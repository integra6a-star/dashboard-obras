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esktop\moderno\dashboard-obras\github\"/>
    </mc:Choice>
  </mc:AlternateContent>
  <xr:revisionPtr revIDLastSave="0" documentId="13_ncr:1_{B50AD89F-3513-4496-BDE8-1FE1E06AFA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AP_PRODUCA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P27" i="2"/>
  <c r="P28" i="2" s="1"/>
  <c r="P29" i="2" s="1"/>
  <c r="I17" i="2" l="1"/>
  <c r="I15" i="2"/>
  <c r="I16" i="2"/>
  <c r="I7" i="2"/>
  <c r="I8" i="2"/>
  <c r="I9" i="2"/>
  <c r="I10" i="2"/>
  <c r="I11" i="2"/>
  <c r="I12" i="2"/>
  <c r="I13" i="2"/>
  <c r="I14" i="2"/>
  <c r="I6" i="2"/>
  <c r="L9" i="2" l="1"/>
  <c r="L10" i="2" s="1"/>
  <c r="L11" i="2" s="1"/>
</calcChain>
</file>

<file path=xl/sharedStrings.xml><?xml version="1.0" encoding="utf-8"?>
<sst xmlns="http://schemas.openxmlformats.org/spreadsheetml/2006/main" count="30" uniqueCount="20">
  <si>
    <t>Ano</t>
  </si>
  <si>
    <t>Mes</t>
  </si>
  <si>
    <t>EAP</t>
  </si>
  <si>
    <t>Produzido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</si>
  <si>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</si>
  <si>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</si>
  <si>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</si>
  <si>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</si>
  <si>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</si>
  <si>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</si>
  <si>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</si>
  <si>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</si>
  <si>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</si>
  <si>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</si>
  <si>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</si>
  <si>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</si>
  <si>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Economias EAP</t>
  </si>
  <si>
    <t>Economias Recebidas</t>
  </si>
  <si>
    <t xml:space="preserve"> </t>
  </si>
  <si>
    <t>mar de coral esta com o valor de as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</si>
</sst>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" fillId="0" borderId="0" xfId="0" applyNumberFormat="1" applyFont="1"/>
    <xf numFmtId="1" fontId="0" fillId="0" borderId="0" xfId="0" applyNumberFormat="1" applyAlignment="1">
      <alignment vertical="center" wrapText="1"/>
    </xf>
    <xf numFmtId="43" fontId="0" fillId="0" borderId="0" xfId="0" applyNumberFormat="1"/>
    <xf numFmtId="0" fontId="4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B20D-368F-4B56-83D6-7E9238F3C577}">
  <dimension ref="B2:P34"/>
  <sheetViews>
    <sheetView tabSelected="1" workbookViewId="0">
      <selection activeCell="G31" sqref="G31"/>
    </sheetView>
  </sheetViews>
  <sheetFormatPr defaultRowHeight="14.4" x14ac:dyDescent="0.3"/>
  <cols>
    <col min="2" max="2" width="9.109375" customWidth="1"/>
    <col min="3" max="3" width="9.88671875" customWidth="1"/>
    <col min="4" max="4" width="12" customWidth="1"/>
    <col min="5" max="5" width="13.21875" customWidth="1"/>
    <col min="6" max="6" width="15.77734375" customWidth="1"/>
    <col min="7" max="7" width="19.5546875" bestFit="1" customWidth="1"/>
    <col min="9" max="10" width="9.33203125" bestFit="1" customWidth="1"/>
    <col min="12" max="12" width="9.33203125" bestFit="1" customWidth="1"/>
  </cols>
  <sheetData>
    <row r="2" spans="2:15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17</v>
      </c>
    </row>
    <row r="3" spans="2:15" x14ac:dyDescent="0.3">
      <c r="B3" s="2">
        <v>2025</v>
      </c>
      <c r="C3" s="2" t="s">
        <v>6</v>
      </c>
      <c r="D3" s="3">
        <v>159.15</v>
      </c>
      <c r="E3" s="2">
        <v>0</v>
      </c>
      <c r="F3" s="4">
        <v>0</v>
      </c>
      <c r="G3">
        <v>0</v>
      </c>
      <c r="J3" s="5"/>
    </row>
    <row r="4" spans="2:15" x14ac:dyDescent="0.3">
      <c r="B4" s="2">
        <v>2025</v>
      </c>
      <c r="C4" s="2" t="s">
        <v>7</v>
      </c>
      <c r="D4" s="3">
        <v>723.7</v>
      </c>
      <c r="E4" s="2">
        <v>47.5</v>
      </c>
      <c r="F4" s="4">
        <v>0</v>
      </c>
      <c r="G4">
        <v>0</v>
      </c>
      <c r="J4" s="5"/>
    </row>
    <row r="5" spans="2:15" x14ac:dyDescent="0.3">
      <c r="B5" s="2">
        <v>2025</v>
      </c>
      <c r="C5" s="2" t="s">
        <v>8</v>
      </c>
      <c r="D5" s="3">
        <v>905.99</v>
      </c>
      <c r="E5" s="2">
        <v>397.82</v>
      </c>
      <c r="F5" s="4">
        <v>0</v>
      </c>
      <c r="G5">
        <v>0</v>
      </c>
      <c r="J5" s="5"/>
    </row>
    <row r="6" spans="2:15" x14ac:dyDescent="0.3">
      <c r="B6" s="2">
        <v>2025</v>
      </c>
      <c r="C6" s="2" t="s">
        <v>9</v>
      </c>
      <c r="D6" s="3">
        <v>1089.1400000000001</v>
      </c>
      <c r="E6">
        <v>364.53</v>
      </c>
      <c r="F6">
        <v>191</v>
      </c>
      <c r="G6">
        <v>2611</v>
      </c>
      <c r="I6" s="5">
        <f>D6-E6</f>
        <v>724.61000000000013</v>
      </c>
      <c r="J6" s="5"/>
    </row>
    <row r="7" spans="2:15" x14ac:dyDescent="0.3">
      <c r="B7" s="2">
        <v>2025</v>
      </c>
      <c r="C7" s="2" t="s">
        <v>10</v>
      </c>
      <c r="D7" s="3">
        <v>588.28</v>
      </c>
      <c r="E7" s="2">
        <v>1061.675</v>
      </c>
      <c r="F7">
        <v>489</v>
      </c>
      <c r="G7">
        <v>584</v>
      </c>
      <c r="I7" s="5">
        <f t="shared" ref="I7:I17" si="0">D7-E7</f>
        <v>-473.39499999999998</v>
      </c>
      <c r="J7" s="5"/>
    </row>
    <row r="8" spans="2:15" x14ac:dyDescent="0.3">
      <c r="B8" s="2">
        <v>2025</v>
      </c>
      <c r="C8" s="2" t="s">
        <v>11</v>
      </c>
      <c r="D8" s="3">
        <v>1227.24</v>
      </c>
      <c r="E8" s="2">
        <v>1533.835</v>
      </c>
      <c r="F8">
        <v>1635</v>
      </c>
      <c r="G8">
        <v>3598</v>
      </c>
      <c r="I8" s="5">
        <f t="shared" si="0"/>
        <v>-306.59500000000003</v>
      </c>
      <c r="J8" s="5"/>
    </row>
    <row r="9" spans="2:15" x14ac:dyDescent="0.3">
      <c r="B9" s="2">
        <v>2025</v>
      </c>
      <c r="C9" s="2" t="s">
        <v>12</v>
      </c>
      <c r="D9" s="3">
        <v>1914.65</v>
      </c>
      <c r="E9" s="2">
        <v>1369.69</v>
      </c>
      <c r="F9">
        <v>1110</v>
      </c>
      <c r="G9">
        <v>3229</v>
      </c>
      <c r="I9" s="5">
        <f t="shared" si="0"/>
        <v>544.96</v>
      </c>
      <c r="J9" s="5"/>
      <c r="L9" s="5">
        <f>SUM(I9:I15)</f>
        <v>3364.2089999999998</v>
      </c>
    </row>
    <row r="10" spans="2:15" x14ac:dyDescent="0.3">
      <c r="B10" s="2">
        <v>2025</v>
      </c>
      <c r="C10" s="2" t="s">
        <v>13</v>
      </c>
      <c r="D10" s="3">
        <v>1749.47</v>
      </c>
      <c r="E10" s="2">
        <v>1342.07</v>
      </c>
      <c r="F10">
        <v>763</v>
      </c>
      <c r="G10">
        <v>1433</v>
      </c>
      <c r="I10" s="5">
        <f t="shared" si="0"/>
        <v>407.40000000000009</v>
      </c>
      <c r="J10" s="5"/>
      <c r="L10" s="5">
        <f>L9+I6</f>
        <v>4088.819</v>
      </c>
    </row>
    <row r="11" spans="2:15" x14ac:dyDescent="0.3">
      <c r="B11" s="2">
        <v>2025</v>
      </c>
      <c r="C11" s="2" t="s">
        <v>14</v>
      </c>
      <c r="D11" s="3">
        <v>1942.9</v>
      </c>
      <c r="E11" s="2">
        <v>1118.625</v>
      </c>
      <c r="F11">
        <v>4493</v>
      </c>
      <c r="G11">
        <v>2359</v>
      </c>
      <c r="I11" s="5">
        <f t="shared" si="0"/>
        <v>824.27500000000009</v>
      </c>
      <c r="J11" s="5"/>
      <c r="L11" s="5">
        <f>L10+I7+I8</f>
        <v>3308.8289999999997</v>
      </c>
    </row>
    <row r="12" spans="2:15" x14ac:dyDescent="0.3">
      <c r="B12" s="2">
        <v>2025</v>
      </c>
      <c r="C12" s="2" t="s">
        <v>15</v>
      </c>
      <c r="D12" s="3">
        <v>1588.61</v>
      </c>
      <c r="E12" s="2">
        <v>1502.325</v>
      </c>
      <c r="F12">
        <v>4252</v>
      </c>
      <c r="G12">
        <v>3356</v>
      </c>
      <c r="I12" s="5">
        <f t="shared" si="0"/>
        <v>86.284999999999854</v>
      </c>
      <c r="J12" s="5"/>
    </row>
    <row r="13" spans="2:15" x14ac:dyDescent="0.3">
      <c r="B13" s="2">
        <v>2026</v>
      </c>
      <c r="C13" s="2" t="s">
        <v>4</v>
      </c>
      <c r="D13" s="3">
        <v>2185.34</v>
      </c>
      <c r="E13" s="2">
        <v>1272.4169999999999</v>
      </c>
      <c r="F13">
        <v>1436</v>
      </c>
      <c r="G13">
        <v>1152</v>
      </c>
      <c r="I13" s="5">
        <f t="shared" si="0"/>
        <v>912.92300000000023</v>
      </c>
      <c r="J13" s="5"/>
    </row>
    <row r="14" spans="2:15" x14ac:dyDescent="0.3">
      <c r="B14" s="2">
        <v>2026</v>
      </c>
      <c r="C14" s="2" t="s">
        <v>5</v>
      </c>
      <c r="D14" s="3">
        <v>2340.4</v>
      </c>
      <c r="E14" s="2">
        <v>2291.4540000000002</v>
      </c>
      <c r="F14">
        <v>2834</v>
      </c>
      <c r="G14">
        <v>1928</v>
      </c>
      <c r="I14" s="5">
        <f t="shared" si="0"/>
        <v>48.945999999999913</v>
      </c>
      <c r="J14" s="5"/>
    </row>
    <row r="15" spans="2:15" x14ac:dyDescent="0.3">
      <c r="B15" s="2">
        <v>2026</v>
      </c>
      <c r="C15" s="2" t="s">
        <v>6</v>
      </c>
      <c r="D15" s="3">
        <v>2128.08</v>
      </c>
      <c r="E15" s="6">
        <v>1588.66</v>
      </c>
      <c r="F15">
        <v>2813</v>
      </c>
      <c r="G15">
        <v>1159</v>
      </c>
      <c r="I15" s="5">
        <f t="shared" si="0"/>
        <v>539.41999999999985</v>
      </c>
      <c r="J15" s="5"/>
      <c r="O15" s="7" t="s">
        <v>19</v>
      </c>
    </row>
    <row r="16" spans="2:15" x14ac:dyDescent="0.3">
      <c r="B16" s="2">
        <v>2026</v>
      </c>
      <c r="C16" s="2" t="s">
        <v>7</v>
      </c>
      <c r="D16" s="3">
        <v>2426.84</v>
      </c>
      <c r="E16" s="2">
        <v>1466.67</v>
      </c>
      <c r="F16">
        <v>2735</v>
      </c>
      <c r="G16">
        <v>5246</v>
      </c>
      <c r="I16" s="5">
        <f t="shared" si="0"/>
        <v>960.17000000000007</v>
      </c>
      <c r="J16" s="5"/>
    </row>
    <row r="17" spans="2:16" x14ac:dyDescent="0.3">
      <c r="B17" s="2">
        <v>2026</v>
      </c>
      <c r="C17" s="2" t="s">
        <v>8</v>
      </c>
      <c r="D17" s="3">
        <v>2545.85</v>
      </c>
      <c r="E17" s="2">
        <f>85.03+1854.823</f>
        <v>1939.8530000000001</v>
      </c>
      <c r="F17">
        <v>2361</v>
      </c>
      <c r="G17">
        <v>0</v>
      </c>
      <c r="I17" s="5">
        <f t="shared" si="0"/>
        <v>605.99699999999984</v>
      </c>
    </row>
    <row r="18" spans="2:16" x14ac:dyDescent="0.3">
      <c r="B18" s="2">
        <v>2026</v>
      </c>
      <c r="C18" s="2" t="s">
        <v>9</v>
      </c>
      <c r="D18" s="3">
        <v>3108.25</v>
      </c>
      <c r="F18">
        <v>2874</v>
      </c>
      <c r="G18">
        <v>0</v>
      </c>
    </row>
    <row r="19" spans="2:16" x14ac:dyDescent="0.3">
      <c r="B19" s="2">
        <v>2026</v>
      </c>
      <c r="C19" s="2" t="s">
        <v>10</v>
      </c>
      <c r="D19" s="3">
        <v>3269.49</v>
      </c>
      <c r="F19">
        <v>4487</v>
      </c>
      <c r="G19">
        <v>0</v>
      </c>
    </row>
    <row r="20" spans="2:16" x14ac:dyDescent="0.3">
      <c r="B20" s="2">
        <v>2026</v>
      </c>
      <c r="C20" s="2" t="s">
        <v>11</v>
      </c>
      <c r="D20" s="3">
        <v>3305.21</v>
      </c>
      <c r="F20">
        <v>4543</v>
      </c>
      <c r="G20">
        <v>0</v>
      </c>
    </row>
    <row r="21" spans="2:16" x14ac:dyDescent="0.3">
      <c r="B21" s="2">
        <v>2026</v>
      </c>
      <c r="C21" s="2" t="s">
        <v>12</v>
      </c>
      <c r="D21" s="3">
        <v>3138.09</v>
      </c>
      <c r="F21">
        <v>3432</v>
      </c>
      <c r="G21">
        <v>0</v>
      </c>
    </row>
    <row r="22" spans="2:16" x14ac:dyDescent="0.3">
      <c r="B22" s="2">
        <v>2026</v>
      </c>
      <c r="C22" s="2" t="s">
        <v>13</v>
      </c>
      <c r="D22" s="3">
        <v>2251.2800000000002</v>
      </c>
      <c r="F22">
        <v>1923</v>
      </c>
      <c r="G22">
        <v>0</v>
      </c>
    </row>
    <row r="23" spans="2:16" x14ac:dyDescent="0.3">
      <c r="B23" s="2">
        <v>2026</v>
      </c>
      <c r="C23" s="2" t="s">
        <v>14</v>
      </c>
      <c r="D23" s="3">
        <v>1527.07</v>
      </c>
      <c r="F23">
        <v>713</v>
      </c>
      <c r="G23">
        <v>0</v>
      </c>
    </row>
    <row r="24" spans="2:16" x14ac:dyDescent="0.3">
      <c r="B24" s="2">
        <v>2026</v>
      </c>
      <c r="C24" s="2" t="s">
        <v>15</v>
      </c>
      <c r="D24" s="3">
        <v>542.46</v>
      </c>
      <c r="F24">
        <v>39</v>
      </c>
      <c r="G24">
        <v>0</v>
      </c>
    </row>
    <row r="26" spans="2:16" x14ac:dyDescent="0.3">
      <c r="F26" s="5"/>
    </row>
    <row r="27" spans="2:16" x14ac:dyDescent="0.3">
      <c r="P27">
        <f>SUM(E3:E16)</f>
        <v>15357.270999999999</v>
      </c>
    </row>
    <row r="28" spans="2:16" x14ac:dyDescent="0.3">
      <c r="P28">
        <f>14468.56-P27</f>
        <v>-888.71099999999933</v>
      </c>
    </row>
    <row r="29" spans="2:16" x14ac:dyDescent="0.3">
      <c r="P29">
        <f>P28+2135.09</f>
        <v>1246.3790000000008</v>
      </c>
    </row>
    <row r="34" spans="8:8" x14ac:dyDescent="0.3">
      <c r="H34" t="s">
        <v>18</v>
      </c>
    </row>
  </sheetData>
  <phoneticPr fontId="1" type="noConversion"/>
  <conditionalFormatting sqref="D3:D10">
    <cfRule type="expression" dxfId="15" priority="26">
      <formula>#REF!="FRENTE"</formula>
    </cfRule>
    <cfRule type="expression" dxfId="14" priority="27">
      <formula>#REF!="PREVISTO-R$"</formula>
    </cfRule>
    <cfRule type="expression" dxfId="13" priority="28">
      <formula>#REF!="PREVISTO-UD"</formula>
    </cfRule>
    <cfRule type="expression" dxfId="12" priority="29">
      <formula>#REF!="PREVISTO-M"</formula>
    </cfRule>
    <cfRule type="expression" dxfId="11" priority="30">
      <formula>#REF!="PREVISTO-OBC"</formula>
    </cfRule>
    <cfRule type="expression" dxfId="10" priority="31">
      <formula>#REF!="PREVISTO-FOR"</formula>
    </cfRule>
    <cfRule type="expression" dxfId="9" priority="32">
      <formula>#REF!="PREVISTO-MON"</formula>
    </cfRule>
  </conditionalFormatting>
  <conditionalFormatting sqref="D10">
    <cfRule type="expression" dxfId="8" priority="25">
      <formula>#REF!="FRENTE"</formula>
    </cfRule>
  </conditionalFormatting>
  <conditionalFormatting sqref="D11:D24">
    <cfRule type="expression" dxfId="7" priority="17">
      <formula>$E11="FRENTE"</formula>
    </cfRule>
    <cfRule type="expression" dxfId="6" priority="18">
      <formula>$E11="FRENTE"</formula>
    </cfRule>
    <cfRule type="expression" dxfId="5" priority="19">
      <formula>$E11="PREVISTO-R$"</formula>
    </cfRule>
    <cfRule type="expression" dxfId="4" priority="20">
      <formula>$E11="PREVISTO-UD"</formula>
    </cfRule>
    <cfRule type="expression" dxfId="3" priority="21">
      <formula>$E11="PREVISTO-M"</formula>
    </cfRule>
    <cfRule type="expression" dxfId="2" priority="22">
      <formula>$E11="PREVISTO-OBC"</formula>
    </cfRule>
    <cfRule type="expression" dxfId="1" priority="23">
      <formula>$E11="PREVISTO-FOR"</formula>
    </cfRule>
    <cfRule type="expression" dxfId="0" priority="24">
      <formula>$E11="PREVISTO-MON"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EAP_PRODUCAO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2026-02-17T21:58:51Z</dcterms:created>
  <dcterms:modified xsi:type="dcterms:W3CDTF">2026-06-01T19:43:11Z</dcterms:modified>
</cp:coreProperties>
</file>