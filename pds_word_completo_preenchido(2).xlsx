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55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46148</v>
      </c>
      <c r="B2212" t="inlineStr">
        <is>
          <t>Quarta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PVE-17 ao PV-06</t>
        </is>
      </c>
      <c r="G2212" t="inlineStr">
        <is>
          <t>17</t>
        </is>
      </c>
      <c r="H2212" t="inlineStr">
        <is>
          <t>06</t>
        </is>
      </c>
      <c r="I2212" t="inlineStr">
        <is>
          <t>17 ao 06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PDS-Maio.docx</t>
        </is>
      </c>
      <c r="M2212">
        <f>IF($A2212="","",TEXT($A2212,"mmmm/yyyy"))</f>
        <v/>
      </c>
      <c r="P2212">
        <f>IFERROR(XLOOKUP($N2212,Base_Enderecos!$A:$A,Base_Enderecos!$B:$B,""),"")</f>
        <v/>
      </c>
      <c r="Q2212">
        <f>IFERROR(XLOOKUP($N2212,Base_Enderecos!$A:$A,Base_Enderecos!$C:$C,""),"")</f>
        <v/>
      </c>
      <c r="R2212">
        <f>IF(ISNUMBER(SEARCH("HDD",$F2212)),"HDD",IF(ISNUMBER(SEARCH("VCA",$F2212)),"VCA","MND"))</f>
        <v/>
      </c>
      <c r="T2212">
        <f>TEXT($A2212,"yyyy-mm")&amp;"|"&amp;$C2212&amp;"|"&amp;$I2212</f>
        <v/>
      </c>
    </row>
    <row r="2213">
      <c r="A2213" s="36" t="n">
        <v>46148</v>
      </c>
      <c r="B2213" t="inlineStr">
        <is>
          <t>Quarta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PDS-Maio.docx</t>
        </is>
      </c>
      <c r="M2213">
        <f>IF($A2213="","",TEXT($A2213,"mmmm/yyyy"))</f>
        <v/>
      </c>
      <c r="P2213">
        <f>IFERROR(XLOOKUP($N2213,Base_Enderecos!$A:$A,Base_Enderecos!$B:$B,""),"")</f>
        <v/>
      </c>
      <c r="Q2213">
        <f>IFERROR(XLOOKUP($N2213,Base_Enderecos!$A:$A,Base_Enderecos!$C:$C,""),"")</f>
        <v/>
      </c>
      <c r="R2213">
        <f>IF(ISNUMBER(SEARCH("HDD",$F2213)),"HDD",IF(ISNUMBER(SEARCH("VCA",$F2213)),"VCA","MND"))</f>
        <v/>
      </c>
      <c r="T2213">
        <f>TEXT($A2213,"yyyy-mm")&amp;"|"&amp;$C2213&amp;"|"&amp;$I2213</f>
        <v/>
      </c>
    </row>
    <row r="2214">
      <c r="A2214" s="36" t="n">
        <v>46148</v>
      </c>
      <c r="B2214" t="inlineStr">
        <is>
          <t>Quarta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PDS-Maio.docx</t>
        </is>
      </c>
      <c r="M2214">
        <f>IF($A2214="","",TEXT($A2214,"mmmm/yyyy"))</f>
        <v/>
      </c>
      <c r="P2214">
        <f>IFERROR(XLOOKUP($N2214,Base_Enderecos!$A:$A,Base_Enderecos!$B:$B,""),"")</f>
        <v/>
      </c>
      <c r="Q2214">
        <f>IFERROR(XLOOKUP($N2214,Base_Enderecos!$A:$A,Base_Enderecos!$C:$C,""),"")</f>
        <v/>
      </c>
      <c r="R2214">
        <f>IF(ISNUMBER(SEARCH("HDD",$F2214)),"HDD",IF(ISNUMBER(SEARCH("VCA",$F2214)),"VCA","MND"))</f>
        <v/>
      </c>
      <c r="T2214">
        <f>TEXT($A2214,"yyyy-mm")&amp;"|"&amp;$C2214&amp;"|"&amp;$I2214</f>
        <v/>
      </c>
    </row>
    <row r="2215">
      <c r="A2215" s="36" t="n">
        <v>46148</v>
      </c>
      <c r="B2215" t="inlineStr">
        <is>
          <t>Quarta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PDS-Maio.docx</t>
        </is>
      </c>
      <c r="M2215">
        <f>IF($A2215="","",TEXT($A2215,"mmmm/yyyy"))</f>
        <v/>
      </c>
      <c r="P2215">
        <f>IFERROR(XLOOKUP($N2215,Base_Enderecos!$A:$A,Base_Enderecos!$B:$B,""),"")</f>
        <v/>
      </c>
      <c r="Q2215">
        <f>IFERROR(XLOOKUP($N2215,Base_Enderecos!$A:$A,Base_Enderecos!$C:$C,""),"")</f>
        <v/>
      </c>
      <c r="R2215">
        <f>IF(ISNUMBER(SEARCH("HDD",$F2215)),"HDD",IF(ISNUMBER(SEARCH("VCA",$F2215)),"VCA","MND"))</f>
        <v/>
      </c>
      <c r="T2215">
        <f>TEXT($A2215,"yyyy-mm")&amp;"|"&amp;$C2215&amp;"|"&amp;$I2215</f>
        <v/>
      </c>
    </row>
    <row r="2216">
      <c r="A2216" s="36" t="n">
        <v>46148</v>
      </c>
      <c r="B2216" t="inlineStr">
        <is>
          <t>Quarta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09</t>
        </is>
      </c>
      <c r="G2216" t="inlineStr">
        <is>
          <t>09</t>
        </is>
      </c>
      <c r="I2216" t="inlineStr">
        <is>
          <t>09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PDS-Maio.docx</t>
        </is>
      </c>
      <c r="M2216">
        <f>IF($A2216="","",TEXT($A2216,"mmmm/yyyy"))</f>
        <v/>
      </c>
      <c r="P2216">
        <f>IFERROR(XLOOKUP($N2216,Base_Enderecos!$A:$A,Base_Enderecos!$B:$B,""),"")</f>
        <v/>
      </c>
      <c r="Q2216">
        <f>IFERROR(XLOOKUP($N2216,Base_Enderecos!$A:$A,Base_Enderecos!$C:$C,""),"")</f>
        <v/>
      </c>
      <c r="R2216">
        <f>IF(ISNUMBER(SEARCH("HDD",$F2216)),"HDD",IF(ISNUMBER(SEARCH("VCA",$F2216)),"VCA","MND"))</f>
        <v/>
      </c>
      <c r="T2216">
        <f>TEXT($A2216,"yyyy-mm")&amp;"|"&amp;$C2216&amp;"|"&amp;$I2216</f>
        <v/>
      </c>
    </row>
    <row r="2217">
      <c r="A2217" s="36" t="n">
        <v>46148</v>
      </c>
      <c r="B2217" t="inlineStr">
        <is>
          <t>Quarta</t>
        </is>
      </c>
      <c r="C2217" t="inlineStr">
        <is>
          <t>CTS Mar De Coral</t>
        </is>
      </c>
      <c r="D2217" t="inlineStr">
        <is>
          <t>Silvestre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PDS-Maio.docx</t>
        </is>
      </c>
      <c r="M2217">
        <f>IF($A2217="","",TEXT($A2217,"mmmm/yyyy"))</f>
        <v/>
      </c>
      <c r="P2217">
        <f>IFERROR(XLOOKUP($N2217,Base_Enderecos!$A:$A,Base_Enderecos!$B:$B,""),"")</f>
        <v/>
      </c>
      <c r="Q2217">
        <f>IFERROR(XLOOKUP($N2217,Base_Enderecos!$A:$A,Base_Enderecos!$C:$C,""),"")</f>
        <v/>
      </c>
      <c r="R2217">
        <f>IF(ISNUMBER(SEARCH("HDD",$F2217)),"HDD",IF(ISNUMBER(SEARCH("VCA",$F2217)),"VCA","MND"))</f>
        <v/>
      </c>
      <c r="T2217">
        <f>TEXT($A2217,"yyyy-mm")&amp;"|"&amp;$C2217&amp;"|"&amp;$I2217</f>
        <v/>
      </c>
    </row>
    <row r="2218">
      <c r="A2218" s="36" t="n">
        <v>46148</v>
      </c>
      <c r="B2218" t="inlineStr">
        <is>
          <t>Quarta</t>
        </is>
      </c>
      <c r="C2218" t="inlineStr">
        <is>
          <t>CTS Mar De Coral</t>
        </is>
      </c>
      <c r="D2218" t="inlineStr">
        <is>
          <t>Silvestre</t>
        </is>
      </c>
      <c r="E2218" t="inlineStr">
        <is>
          <t>Cidão</t>
        </is>
      </c>
      <c r="F2218" t="inlineStr">
        <is>
          <t>Acabamento PV 5.10</t>
        </is>
      </c>
      <c r="G2218" t="inlineStr">
        <is>
          <t>5.10</t>
        </is>
      </c>
      <c r="I2218" t="inlineStr">
        <is>
          <t>5.10</t>
        </is>
      </c>
      <c r="J2218" t="inlineStr">
        <is>
          <t>Acabamento</t>
        </is>
      </c>
      <c r="K2218" t="inlineStr">
        <is>
          <t>Planejamento</t>
        </is>
      </c>
      <c r="L2218" t="inlineStr">
        <is>
          <t>PDS-Maio.docx</t>
        </is>
      </c>
      <c r="M2218">
        <f>IF($A2218="","",TEXT($A2218,"mmmm/yyyy"))</f>
        <v/>
      </c>
      <c r="P2218">
        <f>IFERROR(XLOOKUP($N2218,Base_Enderecos!$A:$A,Base_Enderecos!$B:$B,""),"")</f>
        <v/>
      </c>
      <c r="Q2218">
        <f>IFERROR(XLOOKUP($N2218,Base_Enderecos!$A:$A,Base_Enderecos!$C:$C,""),"")</f>
        <v/>
      </c>
      <c r="R2218">
        <f>IF(ISNUMBER(SEARCH("HDD",$F2218)),"HDD",IF(ISNUMBER(SEARCH("VCA",$F2218)),"VCA","MND"))</f>
        <v/>
      </c>
      <c r="T2218">
        <f>TEXT($A2218,"yyyy-mm")&amp;"|"&amp;$C2218&amp;"|"&amp;$I2218</f>
        <v/>
      </c>
    </row>
    <row r="2219">
      <c r="A2219" s="36" t="n">
        <v>46148</v>
      </c>
      <c r="B2219" t="inlineStr">
        <is>
          <t>Quarta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Marcio</t>
        </is>
      </c>
      <c r="F2219" t="inlineStr">
        <is>
          <t>Lavagem da rede</t>
        </is>
      </c>
      <c r="J2219" t="inlineStr">
        <is>
          <t>Lavagem</t>
        </is>
      </c>
      <c r="K2219" t="inlineStr">
        <is>
          <t>Planejamento</t>
        </is>
      </c>
      <c r="L2219" t="inlineStr">
        <is>
          <t>PDS-Maio.docx</t>
        </is>
      </c>
      <c r="M2219">
        <f>IF($A2219="","",TEXT($A2219,"mmmm/yyyy"))</f>
        <v/>
      </c>
      <c r="P2219">
        <f>IFERROR(XLOOKUP($N2219,Base_Enderecos!$A:$A,Base_Enderecos!$B:$B,""),"")</f>
        <v/>
      </c>
      <c r="Q2219">
        <f>IFERROR(XLOOKUP($N2219,Base_Enderecos!$A:$A,Base_Enderecos!$C:$C,""),"")</f>
        <v/>
      </c>
      <c r="R2219">
        <f>IF(ISNUMBER(SEARCH("HDD",$F2219)),"HDD",IF(ISNUMBER(SEARCH("VCA",$F2219)),"VCA","MND"))</f>
        <v/>
      </c>
      <c r="T2219">
        <f>TEXT($A2219,"yyyy-mm")&amp;"|"&amp;$C2219&amp;"|"&amp;$I2219</f>
        <v/>
      </c>
    </row>
    <row r="2220">
      <c r="A2220" s="36" t="n">
        <v>46148</v>
      </c>
      <c r="B2220" t="inlineStr">
        <is>
          <t>Quarta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Higor</t>
        </is>
      </c>
      <c r="F2220" t="inlineStr">
        <is>
          <t>Acabamento PV 08 ao PV 09</t>
        </is>
      </c>
      <c r="G2220" t="inlineStr">
        <is>
          <t>08</t>
        </is>
      </c>
      <c r="H2220" t="inlineStr">
        <is>
          <t>09</t>
        </is>
      </c>
      <c r="I2220" t="inlineStr">
        <is>
          <t>08 ao 09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PDS-Maio.docx</t>
        </is>
      </c>
      <c r="M2220">
        <f>IF($A2220="","",TEXT($A2220,"mmmm/yyyy"))</f>
        <v/>
      </c>
      <c r="P2220">
        <f>IFERROR(XLOOKUP($N2220,Base_Enderecos!$A:$A,Base_Enderecos!$B:$B,""),"")</f>
        <v/>
      </c>
      <c r="Q2220">
        <f>IFERROR(XLOOKUP($N2220,Base_Enderecos!$A:$A,Base_Enderecos!$C:$C,""),"")</f>
        <v/>
      </c>
      <c r="R2220">
        <f>IF(ISNUMBER(SEARCH("HDD",$F2220)),"HDD",IF(ISNUMBER(SEARCH("VCA",$F2220)),"VCA","MND"))</f>
        <v/>
      </c>
      <c r="T2220">
        <f>TEXT($A2220,"yyyy-mm")&amp;"|"&amp;$C2220&amp;"|"&amp;$I2220</f>
        <v/>
      </c>
    </row>
    <row r="2221">
      <c r="A2221" s="36" t="n">
        <v>46148</v>
      </c>
      <c r="B2221" t="inlineStr">
        <is>
          <t>Quarta</t>
        </is>
      </c>
      <c r="C2221" t="inlineStr">
        <is>
          <t>CTS Luis Botelho Mourão</t>
        </is>
      </c>
      <c r="D2221" t="inlineStr">
        <is>
          <t>Robson</t>
        </is>
      </c>
      <c r="E2221" t="inlineStr">
        <is>
          <t>Jhonatan</t>
        </is>
      </c>
      <c r="F2221" t="inlineStr">
        <is>
          <t>Substituição Rede PV 05 ao PVE</t>
        </is>
      </c>
      <c r="G2221" t="inlineStr">
        <is>
          <t>05</t>
        </is>
      </c>
      <c r="I2221" t="inlineStr">
        <is>
          <t>05</t>
        </is>
      </c>
      <c r="J2221" t="inlineStr">
        <is>
          <t>Atividade</t>
        </is>
      </c>
      <c r="K2221" t="inlineStr">
        <is>
          <t>Planejamento</t>
        </is>
      </c>
      <c r="L2221" t="inlineStr">
        <is>
          <t>PDS-Maio.docx</t>
        </is>
      </c>
      <c r="M2221">
        <f>IF($A2221="","",TEXT($A2221,"mmmm/yyyy"))</f>
        <v/>
      </c>
      <c r="P2221">
        <f>IFERROR(XLOOKUP($N2221,Base_Enderecos!$A:$A,Base_Enderecos!$B:$B,""),"")</f>
        <v/>
      </c>
      <c r="Q2221">
        <f>IFERROR(XLOOKUP($N2221,Base_Enderecos!$A:$A,Base_Enderecos!$C:$C,""),"")</f>
        <v/>
      </c>
      <c r="R2221">
        <f>IF(ISNUMBER(SEARCH("HDD",$F2221)),"HDD",IF(ISNUMBER(SEARCH("VCA",$F2221)),"VCA","MND"))</f>
        <v/>
      </c>
      <c r="T2221">
        <f>TEXT($A2221,"yyyy-mm")&amp;"|"&amp;$C2221&amp;"|"&amp;$I2221</f>
        <v/>
      </c>
    </row>
    <row r="2222">
      <c r="A2222" s="36" t="n">
        <v>46148</v>
      </c>
      <c r="B2222" t="inlineStr">
        <is>
          <t>Quarta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Antonio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PDS-Maio.docx</t>
        </is>
      </c>
      <c r="M2222">
        <f>IF($A2222="","",TEXT($A2222,"mmmm/yyyy"))</f>
        <v/>
      </c>
      <c r="P2222">
        <f>IFERROR(XLOOKUP($N2222,Base_Enderecos!$A:$A,Base_Enderecos!$B:$B,""),"")</f>
        <v/>
      </c>
      <c r="Q2222">
        <f>IFERROR(XLOOKUP($N2222,Base_Enderecos!$A:$A,Base_Enderecos!$C:$C,""),"")</f>
        <v/>
      </c>
      <c r="R2222">
        <f>IF(ISNUMBER(SEARCH("HDD",$F2222)),"HDD",IF(ISNUMBER(SEARCH("VCA",$F2222)),"VCA","MND"))</f>
        <v/>
      </c>
      <c r="T2222">
        <f>TEXT($A2222,"yyyy-mm")&amp;"|"&amp;$C2222&amp;"|"&amp;$I2222</f>
        <v/>
      </c>
    </row>
    <row r="2223">
      <c r="A2223" s="36" t="n">
        <v>46148</v>
      </c>
      <c r="B2223" t="inlineStr">
        <is>
          <t>Quarta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Medeiros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PDS-Maio.docx</t>
        </is>
      </c>
      <c r="M2223">
        <f>IF($A2223="","",TEXT($A2223,"mmmm/yyyy"))</f>
        <v/>
      </c>
      <c r="P2223">
        <f>IFERROR(XLOOKUP($N2223,Base_Enderecos!$A:$A,Base_Enderecos!$B:$B,""),"")</f>
        <v/>
      </c>
      <c r="Q2223">
        <f>IFERROR(XLOOKUP($N2223,Base_Enderecos!$A:$A,Base_Enderecos!$C:$C,""),"")</f>
        <v/>
      </c>
      <c r="R2223">
        <f>IF(ISNUMBER(SEARCH("HDD",$F2223)),"HDD",IF(ISNUMBER(SEARCH("VCA",$F2223)),"VCA","MND"))</f>
        <v/>
      </c>
      <c r="T2223">
        <f>TEXT($A2223,"yyyy-mm")&amp;"|"&amp;$C2223&amp;"|"&amp;$I2223</f>
        <v/>
      </c>
    </row>
    <row r="2224">
      <c r="A2224" s="36" t="n">
        <v>46148</v>
      </c>
      <c r="B2224" t="inlineStr">
        <is>
          <t>Quarta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Ricardo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PDS-Maio.docx</t>
        </is>
      </c>
      <c r="M2224">
        <f>IF($A2224="","",TEXT($A2224,"mmmm/yyyy"))</f>
        <v/>
      </c>
      <c r="P2224">
        <f>IFERROR(XLOOKUP($N2224,Base_Enderecos!$A:$A,Base_Enderecos!$B:$B,""),"")</f>
        <v/>
      </c>
      <c r="Q2224">
        <f>IFERROR(XLOOKUP($N2224,Base_Enderecos!$A:$A,Base_Enderecos!$C:$C,""),"")</f>
        <v/>
      </c>
      <c r="R2224">
        <f>IF(ISNUMBER(SEARCH("HDD",$F2224)),"HDD",IF(ISNUMBER(SEARCH("VCA",$F2224)),"VCA","MND"))</f>
        <v/>
      </c>
      <c r="T2224">
        <f>TEXT($A2224,"yyyy-mm")&amp;"|"&amp;$C2224&amp;"|"&amp;$I2224</f>
        <v/>
      </c>
    </row>
    <row r="2225">
      <c r="A2225" s="36" t="n">
        <v>46148</v>
      </c>
      <c r="B2225" t="inlineStr">
        <is>
          <t>Quarta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Claudinei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PDS-Maio.docx</t>
        </is>
      </c>
      <c r="M2225">
        <f>IF($A2225="","",TEXT($A2225,"mmmm/yyyy"))</f>
        <v/>
      </c>
      <c r="P2225">
        <f>IFERROR(XLOOKUP($N2225,Base_Enderecos!$A:$A,Base_Enderecos!$B:$B,""),"")</f>
        <v/>
      </c>
      <c r="Q2225">
        <f>IFERROR(XLOOKUP($N2225,Base_Enderecos!$A:$A,Base_Enderecos!$C:$C,""),"")</f>
        <v/>
      </c>
      <c r="R2225">
        <f>IF(ISNUMBER(SEARCH("HDD",$F2225)),"HDD",IF(ISNUMBER(SEARCH("VCA",$F2225)),"VCA","MND"))</f>
        <v/>
      </c>
      <c r="T2225">
        <f>TEXT($A2225,"yyyy-mm")&amp;"|"&amp;$C2225&amp;"|"&amp;$I2225</f>
        <v/>
      </c>
    </row>
    <row r="2226">
      <c r="A2226" s="36" t="n">
        <v>46148</v>
      </c>
      <c r="B2226" t="inlineStr">
        <is>
          <t>Quarta</t>
        </is>
      </c>
      <c r="C2226" t="inlineStr">
        <is>
          <t>RCE São Lucas</t>
        </is>
      </c>
      <c r="D2226" t="inlineStr">
        <is>
          <t>Fábio</t>
        </is>
      </c>
      <c r="E2226" t="inlineStr">
        <is>
          <t>Marcelo</t>
        </is>
      </c>
      <c r="F2226" t="inlineStr">
        <is>
          <t>VCA, PVs e Ligações</t>
        </is>
      </c>
      <c r="J2226" t="inlineStr">
        <is>
          <t>VCA</t>
        </is>
      </c>
      <c r="K2226" t="inlineStr">
        <is>
          <t>Planejamento</t>
        </is>
      </c>
      <c r="L2226" t="inlineStr">
        <is>
          <t>PDS-Maio.docx</t>
        </is>
      </c>
      <c r="M2226">
        <f>IF($A2226="","",TEXT($A2226,"mmmm/yyyy"))</f>
        <v/>
      </c>
      <c r="P2226">
        <f>IFERROR(XLOOKUP($N2226,Base_Enderecos!$A:$A,Base_Enderecos!$B:$B,""),"")</f>
        <v/>
      </c>
      <c r="Q2226">
        <f>IFERROR(XLOOKUP($N2226,Base_Enderecos!$A:$A,Base_Enderecos!$C:$C,""),"")</f>
        <v/>
      </c>
      <c r="R2226">
        <f>IF(ISNUMBER(SEARCH("HDD",$F2226)),"HDD",IF(ISNUMBER(SEARCH("VCA",$F2226)),"VCA","MND"))</f>
        <v/>
      </c>
      <c r="T2226">
        <f>TEXT($A2226,"yyyy-mm")&amp;"|"&amp;$C2226&amp;"|"&amp;$I2226</f>
        <v/>
      </c>
    </row>
    <row r="2227">
      <c r="A2227" s="36" t="n">
        <v>46148</v>
      </c>
      <c r="B2227" t="inlineStr">
        <is>
          <t>Quarta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Cesar</t>
        </is>
      </c>
      <c r="F2227" t="inlineStr">
        <is>
          <t>Tubo de queda PVE</t>
        </is>
      </c>
      <c r="J2227" t="inlineStr">
        <is>
          <t>Tubo</t>
        </is>
      </c>
      <c r="K2227" t="inlineStr">
        <is>
          <t>Planejamento</t>
        </is>
      </c>
      <c r="L2227" t="inlineStr">
        <is>
          <t>PDS-Maio.docx</t>
        </is>
      </c>
      <c r="M2227">
        <f>IF($A2227="","",TEXT($A2227,"mmmm/yyyy"))</f>
        <v/>
      </c>
      <c r="P2227">
        <f>IFERROR(XLOOKUP($N2227,Base_Enderecos!$A:$A,Base_Enderecos!$B:$B,""),"")</f>
        <v/>
      </c>
      <c r="Q2227">
        <f>IFERROR(XLOOKUP($N2227,Base_Enderecos!$A:$A,Base_Enderecos!$C:$C,""),"")</f>
        <v/>
      </c>
      <c r="R2227">
        <f>IF(ISNUMBER(SEARCH("HDD",$F2227)),"HDD",IF(ISNUMBER(SEARCH("VCA",$F2227)),"VCA","MND"))</f>
        <v/>
      </c>
      <c r="T2227">
        <f>TEXT($A2227,"yyyy-mm")&amp;"|"&amp;$C2227&amp;"|"&amp;$I2227</f>
        <v/>
      </c>
    </row>
    <row r="2228">
      <c r="A2228" s="36" t="n">
        <v>46148</v>
      </c>
      <c r="B2228" t="inlineStr">
        <is>
          <t>Quarta</t>
        </is>
      </c>
      <c r="C2228" t="inlineStr">
        <is>
          <t>CTS Conceicão</t>
        </is>
      </c>
      <c r="D2228" t="inlineStr">
        <is>
          <t>Valmir / Leandro</t>
        </is>
      </c>
      <c r="E2228" t="inlineStr">
        <is>
          <t>Emanuel Go-01</t>
        </is>
      </c>
      <c r="F2228" t="inlineStr">
        <is>
          <t>Shaft PV 10.2.1</t>
        </is>
      </c>
      <c r="G2228" t="inlineStr">
        <is>
          <t>10.2.1</t>
        </is>
      </c>
      <c r="I2228" t="inlineStr">
        <is>
          <t>10.2.1</t>
        </is>
      </c>
      <c r="J2228" t="inlineStr">
        <is>
          <t>Shaft</t>
        </is>
      </c>
      <c r="K2228" t="inlineStr">
        <is>
          <t>Planejamento</t>
        </is>
      </c>
      <c r="L2228" t="inlineStr">
        <is>
          <t>PDS-Maio.docx</t>
        </is>
      </c>
      <c r="M2228">
        <f>IF($A2228="","",TEXT($A2228,"mmmm/yyyy"))</f>
        <v/>
      </c>
      <c r="P2228">
        <f>IFERROR(XLOOKUP($N2228,Base_Enderecos!$A:$A,Base_Enderecos!$B:$B,""),"")</f>
        <v/>
      </c>
      <c r="Q2228">
        <f>IFERROR(XLOOKUP($N2228,Base_Enderecos!$A:$A,Base_Enderecos!$C:$C,""),"")</f>
        <v/>
      </c>
      <c r="R2228">
        <f>IF(ISNUMBER(SEARCH("HDD",$F2228)),"HDD",IF(ISNUMBER(SEARCH("VCA",$F2228)),"VCA","MND"))</f>
        <v/>
      </c>
      <c r="T2228">
        <f>TEXT($A2228,"yyyy-mm")&amp;"|"&amp;$C2228&amp;"|"&amp;$I2228</f>
        <v/>
      </c>
    </row>
    <row r="2229">
      <c r="A2229" s="36" t="n">
        <v>46148</v>
      </c>
      <c r="B2229" t="inlineStr">
        <is>
          <t>Quarta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Henko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PDS-Maio.docx</t>
        </is>
      </c>
      <c r="M2229">
        <f>IF($A2229="","",TEXT($A2229,"mmmm/yyyy"))</f>
        <v/>
      </c>
      <c r="P2229">
        <f>IFERROR(XLOOKUP($N2229,Base_Enderecos!$A:$A,Base_Enderecos!$B:$B,""),"")</f>
        <v/>
      </c>
      <c r="Q2229">
        <f>IFERROR(XLOOKUP($N2229,Base_Enderecos!$A:$A,Base_Enderecos!$C:$C,""),"")</f>
        <v/>
      </c>
      <c r="R2229">
        <f>IF(ISNUMBER(SEARCH("HDD",$F2229)),"HDD",IF(ISNUMBER(SEARCH("VCA",$F2229)),"VCA","MND"))</f>
        <v/>
      </c>
      <c r="T2229">
        <f>TEXT($A2229,"yyyy-mm")&amp;"|"&amp;$C2229&amp;"|"&amp;$I2229</f>
        <v/>
      </c>
    </row>
    <row r="2230">
      <c r="A2230" s="36" t="n">
        <v>46148</v>
      </c>
      <c r="B2230" t="inlineStr">
        <is>
          <t>Quarta</t>
        </is>
      </c>
      <c r="C2230" t="inlineStr">
        <is>
          <t>Botelho Mourão</t>
        </is>
      </c>
      <c r="E2230" t="inlineStr">
        <is>
          <t>Vacal</t>
        </is>
      </c>
      <c r="F2230" t="inlineStr">
        <is>
          <t>Botelho Mourão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PDS-Maio.docx</t>
        </is>
      </c>
      <c r="M2230">
        <f>IF($A2230="","",TEXT($A2230,"mmmm/yyyy"))</f>
        <v/>
      </c>
      <c r="P2230">
        <f>IFERROR(XLOOKUP($N2230,Base_Enderecos!$A:$A,Base_Enderecos!$B:$B,""),"")</f>
        <v/>
      </c>
      <c r="Q2230">
        <f>IFERROR(XLOOKUP($N2230,Base_Enderecos!$A:$A,Base_Enderecos!$C:$C,""),"")</f>
        <v/>
      </c>
      <c r="R2230">
        <f>IF(ISNUMBER(SEARCH("HDD",$F2230)),"HDD",IF(ISNUMBER(SEARCH("VCA",$F2230)),"VCA","MND"))</f>
        <v/>
      </c>
      <c r="T2230">
        <f>TEXT($A2230,"yyyy-mm")&amp;"|"&amp;$C2230&amp;"|"&amp;$I2230</f>
        <v/>
      </c>
    </row>
    <row r="2231">
      <c r="A2231" s="36" t="n">
        <v>46148</v>
      </c>
      <c r="B2231" t="inlineStr">
        <is>
          <t>Quarta</t>
        </is>
      </c>
      <c r="C2231" t="inlineStr">
        <is>
          <t>Botelho Mourão</t>
        </is>
      </c>
      <c r="E2231" t="inlineStr">
        <is>
          <t>Vacal</t>
        </is>
      </c>
      <c r="F2231" t="inlineStr">
        <is>
          <t>Botelho Mourão – Hidrosol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PDS-Maio.docx</t>
        </is>
      </c>
      <c r="M2231">
        <f>IF($A2231="","",TEXT($A2231,"mmmm/yyyy"))</f>
        <v/>
      </c>
      <c r="P2231">
        <f>IFERROR(XLOOKUP($N2231,Base_Enderecos!$A:$A,Base_Enderecos!$B:$B,""),"")</f>
        <v/>
      </c>
      <c r="Q2231">
        <f>IFERROR(XLOOKUP($N2231,Base_Enderecos!$A:$A,Base_Enderecos!$C:$C,""),"")</f>
        <v/>
      </c>
      <c r="R2231">
        <f>IF(ISNUMBER(SEARCH("HDD",$F2231)),"HDD",IF(ISNUMBER(SEARCH("VCA",$F2231)),"VCA","MND"))</f>
        <v/>
      </c>
      <c r="T2231">
        <f>TEXT($A2231,"yyyy-mm")&amp;"|"&amp;$C2231&amp;"|"&amp;$I2231</f>
        <v/>
      </c>
    </row>
    <row r="2232">
      <c r="A2232" s="36" t="n">
        <v>46148</v>
      </c>
      <c r="B2232" t="inlineStr">
        <is>
          <t>Quarta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PDS-Maio.docx</t>
        </is>
      </c>
      <c r="M2232">
        <f>IF($A2232="","",TEXT($A2232,"mmmm/yyyy"))</f>
        <v/>
      </c>
      <c r="P2232">
        <f>IFERROR(XLOOKUP($N2232,Base_Enderecos!$A:$A,Base_Enderecos!$B:$B,""),"")</f>
        <v/>
      </c>
      <c r="Q2232">
        <f>IFERROR(XLOOKUP($N2232,Base_Enderecos!$A:$A,Base_Enderecos!$C:$C,""),"")</f>
        <v/>
      </c>
      <c r="R2232">
        <f>IF(ISNUMBER(SEARCH("HDD",$F2232)),"HDD",IF(ISNUMBER(SEARCH("VCA",$F2232)),"VCA","MND"))</f>
        <v/>
      </c>
      <c r="T2232">
        <f>TEXT($A2232,"yyyy-mm")&amp;"|"&amp;$C2232&amp;"|"&amp;$I2232</f>
        <v/>
      </c>
    </row>
    <row r="2233">
      <c r="A2233" s="36" t="n">
        <v>46148</v>
      </c>
      <c r="B2233" t="inlineStr">
        <is>
          <t>Quarta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PDS-Maio.docx</t>
        </is>
      </c>
      <c r="M2233">
        <f>IF($A2233="","",TEXT($A2233,"mmmm/yyyy"))</f>
        <v/>
      </c>
      <c r="P2233">
        <f>IFERROR(XLOOKUP($N2233,Base_Enderecos!$A:$A,Base_Enderecos!$B:$B,""),"")</f>
        <v/>
      </c>
      <c r="Q2233">
        <f>IFERROR(XLOOKUP($N2233,Base_Enderecos!$A:$A,Base_Enderecos!$C:$C,""),"")</f>
        <v/>
      </c>
      <c r="R2233">
        <f>IF(ISNUMBER(SEARCH("HDD",$F2233)),"HDD",IF(ISNUMBER(SEARCH("VCA",$F2233)),"VCA","MND"))</f>
        <v/>
      </c>
      <c r="T2233">
        <f>TEXT($A2233,"yyyy-mm")&amp;"|"&amp;$C2233&amp;"|"&amp;$I2233</f>
        <v/>
      </c>
    </row>
    <row r="2234">
      <c r="A2234" s="36" t="n">
        <v>46149</v>
      </c>
      <c r="B2234" t="inlineStr">
        <is>
          <t>Quinta</t>
        </is>
      </c>
      <c r="C2234" t="inlineStr">
        <is>
          <t>CT João Canzi</t>
        </is>
      </c>
      <c r="D2234" t="inlineStr">
        <is>
          <t>Leandro</t>
        </is>
      </c>
      <c r="E2234" t="inlineStr">
        <is>
          <t>Goiânia Drill</t>
        </is>
      </c>
      <c r="F2234" t="inlineStr">
        <is>
          <t>Furo piloto e puxe do PV-06 ao PV-08</t>
        </is>
      </c>
      <c r="G2234" t="inlineStr">
        <is>
          <t>06</t>
        </is>
      </c>
      <c r="H2234" t="inlineStr">
        <is>
          <t>08</t>
        </is>
      </c>
      <c r="I2234" t="inlineStr">
        <is>
          <t>06 ao 08</t>
        </is>
      </c>
      <c r="J2234" t="inlineStr">
        <is>
          <t>HDD</t>
        </is>
      </c>
      <c r="K2234" t="inlineStr">
        <is>
          <t>Planejamento</t>
        </is>
      </c>
      <c r="L2234" t="inlineStr">
        <is>
          <t>PDS-Abril.docx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46149</v>
      </c>
      <c r="B2235" t="inlineStr">
        <is>
          <t>Quinta</t>
        </is>
      </c>
      <c r="C2235" t="inlineStr">
        <is>
          <t>CT João Canzi</t>
        </is>
      </c>
      <c r="D2235" t="inlineStr">
        <is>
          <t>Leandro</t>
        </is>
      </c>
      <c r="E2235" t="inlineStr">
        <is>
          <t>Bruno</t>
        </is>
      </c>
      <c r="F2235" t="inlineStr">
        <is>
          <t>Apoio ao HDD</t>
        </is>
      </c>
      <c r="G2235" t="inlineStr"/>
      <c r="H2235" t="inlineStr"/>
      <c r="I2235" t="inlineStr"/>
      <c r="J2235" t="inlineStr">
        <is>
          <t>HDD</t>
        </is>
      </c>
      <c r="K2235" t="inlineStr">
        <is>
          <t>Planejamento</t>
        </is>
      </c>
      <c r="L2235" t="inlineStr">
        <is>
          <t>PDS-Abril.docx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46149</v>
      </c>
      <c r="B2236" t="inlineStr">
        <is>
          <t>Quinta</t>
        </is>
      </c>
      <c r="C2236" t="inlineStr">
        <is>
          <t>CT João Canzi</t>
        </is>
      </c>
      <c r="D2236" t="inlineStr">
        <is>
          <t>Leandro</t>
        </is>
      </c>
      <c r="E2236" t="inlineStr">
        <is>
          <t>Miro Go-02</t>
        </is>
      </c>
      <c r="F2236" t="inlineStr">
        <is>
          <t>Shaft PV 11</t>
        </is>
      </c>
      <c r="G2236" t="inlineStr">
        <is>
          <t>11</t>
        </is>
      </c>
      <c r="H2236" t="inlineStr"/>
      <c r="I2236" t="inlineStr">
        <is>
          <t>11</t>
        </is>
      </c>
      <c r="J2236" t="inlineStr">
        <is>
          <t>Shaft</t>
        </is>
      </c>
      <c r="K2236" t="inlineStr">
        <is>
          <t>Planejamento</t>
        </is>
      </c>
      <c r="L2236" t="inlineStr">
        <is>
          <t>PDS-Abril.docx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46149</v>
      </c>
      <c r="B2237" t="inlineStr">
        <is>
          <t>Quinta</t>
        </is>
      </c>
      <c r="C2237" t="inlineStr">
        <is>
          <t>CT João Canzi</t>
        </is>
      </c>
      <c r="D2237" t="inlineStr">
        <is>
          <t>Leandro</t>
        </is>
      </c>
      <c r="E2237" t="inlineStr">
        <is>
          <t>Valter</t>
        </is>
      </c>
      <c r="F2237" t="inlineStr">
        <is>
          <t>Shaft PV 15</t>
        </is>
      </c>
      <c r="G2237" t="inlineStr">
        <is>
          <t>15</t>
        </is>
      </c>
      <c r="H2237" t="inlineStr"/>
      <c r="I2237" t="inlineStr">
        <is>
          <t>15</t>
        </is>
      </c>
      <c r="J2237" t="inlineStr">
        <is>
          <t>Shaft</t>
        </is>
      </c>
      <c r="K2237" t="inlineStr">
        <is>
          <t>Planejamento</t>
        </is>
      </c>
      <c r="L2237" t="inlineStr">
        <is>
          <t>PDS-Abril.docx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46149</v>
      </c>
      <c r="B2238" t="inlineStr">
        <is>
          <t>Quinta</t>
        </is>
      </c>
      <c r="C2238" t="inlineStr">
        <is>
          <t>CT João Canzi</t>
        </is>
      </c>
      <c r="D2238" t="inlineStr">
        <is>
          <t>Leandro</t>
        </is>
      </c>
      <c r="E2238" t="inlineStr">
        <is>
          <t>Carlos</t>
        </is>
      </c>
      <c r="F2238" t="inlineStr">
        <is>
          <t>Shaft PV 16</t>
        </is>
      </c>
      <c r="G2238" t="inlineStr">
        <is>
          <t>16</t>
        </is>
      </c>
      <c r="H2238" t="inlineStr"/>
      <c r="I2238" t="inlineStr">
        <is>
          <t>16</t>
        </is>
      </c>
      <c r="J2238" t="inlineStr">
        <is>
          <t>Shaft</t>
        </is>
      </c>
      <c r="K2238" t="inlineStr">
        <is>
          <t>Planejamento</t>
        </is>
      </c>
      <c r="L2238" t="inlineStr">
        <is>
          <t>PDS-Abril.docx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46149</v>
      </c>
      <c r="B2239" t="inlineStr">
        <is>
          <t>Quinta</t>
        </is>
      </c>
      <c r="C2239" t="inlineStr">
        <is>
          <t>CTS Mar De Coral</t>
        </is>
      </c>
      <c r="D2239" t="inlineStr">
        <is>
          <t>Valmir</t>
        </is>
      </c>
      <c r="E2239" t="inlineStr">
        <is>
          <t>Edvando</t>
        </is>
      </c>
      <c r="F2239" t="inlineStr">
        <is>
          <t>VCA e transformações de PVs entre PV 22.2 ao 22.4</t>
        </is>
      </c>
      <c r="G2239" t="inlineStr">
        <is>
          <t>22.2</t>
        </is>
      </c>
      <c r="H2239" t="inlineStr">
        <is>
          <t>22.4</t>
        </is>
      </c>
      <c r="I2239" t="inlineStr">
        <is>
          <t>22.2 ao 22.4</t>
        </is>
      </c>
      <c r="J2239" t="inlineStr">
        <is>
          <t>Transformação</t>
        </is>
      </c>
      <c r="K2239" t="inlineStr">
        <is>
          <t>Planejamento</t>
        </is>
      </c>
      <c r="L2239" t="inlineStr">
        <is>
          <t>PDS-Abril.docx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46149</v>
      </c>
      <c r="B2240" t="inlineStr">
        <is>
          <t>Quinta</t>
        </is>
      </c>
      <c r="C2240" t="inlineStr">
        <is>
          <t>CTS Mar De Coral</t>
        </is>
      </c>
      <c r="D2240" t="inlineStr">
        <is>
          <t>Valmir</t>
        </is>
      </c>
      <c r="E2240" t="inlineStr">
        <is>
          <t>Cidão</t>
        </is>
      </c>
      <c r="F2240" t="inlineStr">
        <is>
          <t>Adequação VCA PVs 5.10 ao PV 5.11</t>
        </is>
      </c>
      <c r="G2240" t="inlineStr">
        <is>
          <t>5.10</t>
        </is>
      </c>
      <c r="H2240" t="inlineStr">
        <is>
          <t>5.11</t>
        </is>
      </c>
      <c r="I2240" t="inlineStr">
        <is>
          <t>5.10 ao 5.11</t>
        </is>
      </c>
      <c r="J2240" t="inlineStr">
        <is>
          <t>VCA</t>
        </is>
      </c>
      <c r="K2240" t="inlineStr">
        <is>
          <t>Planejamento</t>
        </is>
      </c>
      <c r="L2240" t="inlineStr">
        <is>
          <t>PDS-Abril.docx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46149</v>
      </c>
      <c r="B2241" t="inlineStr">
        <is>
          <t>Quinta</t>
        </is>
      </c>
      <c r="C2241" t="inlineStr">
        <is>
          <t>CTS Luis Botelho Mourão</t>
        </is>
      </c>
      <c r="D2241" t="inlineStr">
        <is>
          <t>Robson</t>
        </is>
      </c>
      <c r="E2241" t="inlineStr">
        <is>
          <t>Higor</t>
        </is>
      </c>
      <c r="F2241" t="inlineStr">
        <is>
          <t>Reparo calçadas, guias e sarjetas</t>
        </is>
      </c>
      <c r="G2241" t="inlineStr"/>
      <c r="H2241" t="inlineStr"/>
      <c r="I2241" t="inlineStr"/>
      <c r="J2241" t="inlineStr">
        <is>
          <t>Atividade</t>
        </is>
      </c>
      <c r="K2241" t="inlineStr">
        <is>
          <t>Planejamento</t>
        </is>
      </c>
      <c r="L2241" t="inlineStr">
        <is>
          <t>PDS-Abril.docx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46149</v>
      </c>
      <c r="B2242" t="inlineStr">
        <is>
          <t>Quinta</t>
        </is>
      </c>
      <c r="C2242" t="inlineStr">
        <is>
          <t>CTS Luis Botelho Mourão</t>
        </is>
      </c>
      <c r="D2242" t="inlineStr">
        <is>
          <t>Robson</t>
        </is>
      </c>
      <c r="E2242" t="inlineStr">
        <is>
          <t>Jhonatan</t>
        </is>
      </c>
      <c r="F2242" t="inlineStr">
        <is>
          <t>Acabamentos</t>
        </is>
      </c>
      <c r="G2242" t="inlineStr"/>
      <c r="H2242" t="inlineStr"/>
      <c r="I2242" t="inlineStr"/>
      <c r="J2242" t="inlineStr">
        <is>
          <t>Acabamento</t>
        </is>
      </c>
      <c r="K2242" t="inlineStr">
        <is>
          <t>Planejamento</t>
        </is>
      </c>
      <c r="L2242" t="inlineStr">
        <is>
          <t>PDS-Abril.docx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46149</v>
      </c>
      <c r="B2243" t="inlineStr">
        <is>
          <t>Quinta</t>
        </is>
      </c>
      <c r="C2243" t="inlineStr">
        <is>
          <t>RCE São Lucas</t>
        </is>
      </c>
      <c r="D2243" t="inlineStr">
        <is>
          <t>Fábio</t>
        </is>
      </c>
      <c r="E2243" t="inlineStr">
        <is>
          <t>Antonio</t>
        </is>
      </c>
      <c r="F2243" t="inlineStr">
        <is>
          <t>VCA, PVs e Ligações</t>
        </is>
      </c>
      <c r="G2243" t="inlineStr"/>
      <c r="H2243" t="inlineStr"/>
      <c r="I2243" t="inlineStr"/>
      <c r="J2243" t="inlineStr">
        <is>
          <t>VCA</t>
        </is>
      </c>
      <c r="K2243" t="inlineStr">
        <is>
          <t>Planejamento</t>
        </is>
      </c>
      <c r="L2243" t="inlineStr">
        <is>
          <t>PDS-Abril.docx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46149</v>
      </c>
      <c r="B2244" t="inlineStr">
        <is>
          <t>Quinta</t>
        </is>
      </c>
      <c r="C2244" t="inlineStr">
        <is>
          <t>RCE São Lucas</t>
        </is>
      </c>
      <c r="D2244" t="inlineStr">
        <is>
          <t>Fábio</t>
        </is>
      </c>
      <c r="E2244" t="inlineStr">
        <is>
          <t>Medeiros</t>
        </is>
      </c>
      <c r="F2244" t="inlineStr">
        <is>
          <t>VCA, PVs e Ligações</t>
        </is>
      </c>
      <c r="G2244" t="inlineStr"/>
      <c r="H2244" t="inlineStr"/>
      <c r="I2244" t="inlineStr"/>
      <c r="J2244" t="inlineStr">
        <is>
          <t>VCA</t>
        </is>
      </c>
      <c r="K2244" t="inlineStr">
        <is>
          <t>Planejamento</t>
        </is>
      </c>
      <c r="L2244" t="inlineStr">
        <is>
          <t>PDS-Abril.docx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46149</v>
      </c>
      <c r="B2245" t="inlineStr">
        <is>
          <t>Quinta</t>
        </is>
      </c>
      <c r="C2245" t="inlineStr">
        <is>
          <t>RCE São Lucas</t>
        </is>
      </c>
      <c r="D2245" t="inlineStr">
        <is>
          <t>Fábio</t>
        </is>
      </c>
      <c r="E2245" t="inlineStr">
        <is>
          <t>Ricardo</t>
        </is>
      </c>
      <c r="F2245" t="inlineStr">
        <is>
          <t>VCA, PVs e Ligações</t>
        </is>
      </c>
      <c r="G2245" t="inlineStr"/>
      <c r="H2245" t="inlineStr"/>
      <c r="I2245" t="inlineStr"/>
      <c r="J2245" t="inlineStr">
        <is>
          <t>VCA</t>
        </is>
      </c>
      <c r="K2245" t="inlineStr">
        <is>
          <t>Planejamento</t>
        </is>
      </c>
      <c r="L2245" t="inlineStr">
        <is>
          <t>PDS-Abril.docx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46149</v>
      </c>
      <c r="B2246" t="inlineStr">
        <is>
          <t>Quinta</t>
        </is>
      </c>
      <c r="C2246" t="inlineStr">
        <is>
          <t>RCE São Lucas</t>
        </is>
      </c>
      <c r="D2246" t="inlineStr">
        <is>
          <t>Fábio</t>
        </is>
      </c>
      <c r="E2246" t="inlineStr">
        <is>
          <t>Claudinei</t>
        </is>
      </c>
      <c r="F2246" t="inlineStr">
        <is>
          <t>VCA, PVs e Ligações</t>
        </is>
      </c>
      <c r="G2246" t="inlineStr"/>
      <c r="H2246" t="inlineStr"/>
      <c r="I2246" t="inlineStr"/>
      <c r="J2246" t="inlineStr">
        <is>
          <t>VCA</t>
        </is>
      </c>
      <c r="K2246" t="inlineStr">
        <is>
          <t>Planejamento</t>
        </is>
      </c>
      <c r="L2246" t="inlineStr">
        <is>
          <t>PDS-Abril.docx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46149</v>
      </c>
      <c r="B2247" t="inlineStr">
        <is>
          <t>Quinta</t>
        </is>
      </c>
      <c r="C2247" t="inlineStr">
        <is>
          <t>RCE São Lucas</t>
        </is>
      </c>
      <c r="D2247" t="inlineStr">
        <is>
          <t>Fábio</t>
        </is>
      </c>
      <c r="E2247" t="inlineStr">
        <is>
          <t>Marcelo</t>
        </is>
      </c>
      <c r="F2247" t="inlineStr">
        <is>
          <t>VCA, PVs e Ligações</t>
        </is>
      </c>
      <c r="G2247" t="inlineStr"/>
      <c r="H2247" t="inlineStr"/>
      <c r="I2247" t="inlineStr"/>
      <c r="J2247" t="inlineStr">
        <is>
          <t>VCA</t>
        </is>
      </c>
      <c r="K2247" t="inlineStr">
        <is>
          <t>Planejamento</t>
        </is>
      </c>
      <c r="L2247" t="inlineStr">
        <is>
          <t>PDS-Abril.docx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46149</v>
      </c>
      <c r="B2248" t="inlineStr">
        <is>
          <t>Quinta</t>
        </is>
      </c>
      <c r="C2248" t="inlineStr">
        <is>
          <t>CTS Conceicão</t>
        </is>
      </c>
      <c r="D2248" t="inlineStr">
        <is>
          <t>Valmir / Leandro</t>
        </is>
      </c>
      <c r="E2248" t="inlineStr">
        <is>
          <t>Cesar</t>
        </is>
      </c>
      <c r="F2248" t="inlineStr">
        <is>
          <t>Tubo de queda PVE</t>
        </is>
      </c>
      <c r="G2248" t="inlineStr"/>
      <c r="H2248" t="inlineStr"/>
      <c r="I2248" t="inlineStr"/>
      <c r="J2248" t="inlineStr">
        <is>
          <t>Tubo</t>
        </is>
      </c>
      <c r="K2248" t="inlineStr">
        <is>
          <t>Planejamento</t>
        </is>
      </c>
      <c r="L2248" t="inlineStr">
        <is>
          <t>PDS-Abril.docx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46149</v>
      </c>
      <c r="B2249" t="inlineStr">
        <is>
          <t>Quinta</t>
        </is>
      </c>
      <c r="C2249" t="inlineStr">
        <is>
          <t>CTS Conceicão</t>
        </is>
      </c>
      <c r="D2249" t="inlineStr">
        <is>
          <t>Valmir / Leandro</t>
        </is>
      </c>
      <c r="E2249" t="inlineStr">
        <is>
          <t>Emanuel Go-01</t>
        </is>
      </c>
      <c r="F2249" t="inlineStr">
        <is>
          <t>Shaft PV 10.2.1</t>
        </is>
      </c>
      <c r="G2249" t="inlineStr">
        <is>
          <t>10.2.1</t>
        </is>
      </c>
      <c r="H2249" t="inlineStr"/>
      <c r="I2249" t="inlineStr">
        <is>
          <t>10.2.1</t>
        </is>
      </c>
      <c r="J2249" t="inlineStr">
        <is>
          <t>Shaft</t>
        </is>
      </c>
      <c r="K2249" t="inlineStr">
        <is>
          <t>Planejamento</t>
        </is>
      </c>
      <c r="L2249" t="inlineStr">
        <is>
          <t>PDS-Abril.docx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46149</v>
      </c>
      <c r="B2250" t="inlineStr">
        <is>
          <t>Quinta</t>
        </is>
      </c>
      <c r="C2250" t="inlineStr">
        <is>
          <t>Botelho Mourão</t>
        </is>
      </c>
      <c r="D2250" t="inlineStr"/>
      <c r="E2250" t="inlineStr">
        <is>
          <t>Vacal</t>
        </is>
      </c>
      <c r="F2250" t="inlineStr">
        <is>
          <t>Botelho Mourão – Henko</t>
        </is>
      </c>
      <c r="G2250" t="inlineStr"/>
      <c r="H2250" t="inlineStr"/>
      <c r="I2250" t="inlineStr"/>
      <c r="J2250" t="inlineStr">
        <is>
          <t>Atividade</t>
        </is>
      </c>
      <c r="K2250" t="inlineStr">
        <is>
          <t>Apoio</t>
        </is>
      </c>
      <c r="L2250" t="inlineStr">
        <is>
          <t>PDS-Abril.docx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46149</v>
      </c>
      <c r="B2251" t="inlineStr">
        <is>
          <t>Quinta</t>
        </is>
      </c>
      <c r="C2251" t="inlineStr">
        <is>
          <t>Botelho Mourão</t>
        </is>
      </c>
      <c r="D2251" t="inlineStr"/>
      <c r="E2251" t="inlineStr">
        <is>
          <t>Vacal</t>
        </is>
      </c>
      <c r="F2251" t="inlineStr">
        <is>
          <t>Botelho Mourão – Hidrosol</t>
        </is>
      </c>
      <c r="G2251" t="inlineStr"/>
      <c r="H2251" t="inlineStr"/>
      <c r="I2251" t="inlineStr"/>
      <c r="J2251" t="inlineStr">
        <is>
          <t>Atividade</t>
        </is>
      </c>
      <c r="K2251" t="inlineStr">
        <is>
          <t>Apoio</t>
        </is>
      </c>
      <c r="L2251" t="inlineStr">
        <is>
          <t>PDS-Abril.docx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46149</v>
      </c>
      <c r="B2252" t="inlineStr">
        <is>
          <t>Quinta</t>
        </is>
      </c>
      <c r="C2252" t="inlineStr">
        <is>
          <t>Água Vermelha</t>
        </is>
      </c>
      <c r="D2252" t="inlineStr"/>
      <c r="E2252" t="inlineStr">
        <is>
          <t>Vacal</t>
        </is>
      </c>
      <c r="F2252" t="inlineStr">
        <is>
          <t>Água Vermelha – Renasce</t>
        </is>
      </c>
      <c r="G2252" t="inlineStr"/>
      <c r="H2252" t="inlineStr"/>
      <c r="I2252" t="inlineStr"/>
      <c r="J2252" t="inlineStr">
        <is>
          <t>Atividade</t>
        </is>
      </c>
      <c r="K2252" t="inlineStr">
        <is>
          <t>Apoio</t>
        </is>
      </c>
      <c r="L2252" t="inlineStr">
        <is>
          <t>PDS-Abril.docx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46149</v>
      </c>
      <c r="B2253" t="inlineStr">
        <is>
          <t>Quinta</t>
        </is>
      </c>
      <c r="C2253" t="inlineStr">
        <is>
          <t>João Canzi</t>
        </is>
      </c>
      <c r="D2253" t="inlineStr"/>
      <c r="E2253" t="inlineStr">
        <is>
          <t>Vacal</t>
        </is>
      </c>
      <c r="F2253" t="inlineStr">
        <is>
          <t>João Canzi – Renasce</t>
        </is>
      </c>
      <c r="G2253" t="inlineStr"/>
      <c r="H2253" t="inlineStr"/>
      <c r="I2253" t="inlineStr"/>
      <c r="J2253" t="inlineStr">
        <is>
          <t>Atividade</t>
        </is>
      </c>
      <c r="K2253" t="inlineStr">
        <is>
          <t>Apoio</t>
        </is>
      </c>
      <c r="L2253" t="inlineStr">
        <is>
          <t>PDS-Abril.docx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46149</v>
      </c>
      <c r="B2254" t="inlineStr">
        <is>
          <t>Quinta</t>
        </is>
      </c>
      <c r="C2254" t="inlineStr">
        <is>
          <t>Guindauto</t>
        </is>
      </c>
      <c r="D2254" t="inlineStr"/>
      <c r="E2254" t="inlineStr">
        <is>
          <t>Guindauto</t>
        </is>
      </c>
      <c r="F2254" t="inlineStr">
        <is>
          <t>Marcio - Apoio as equipes</t>
        </is>
      </c>
      <c r="G2254" t="inlineStr"/>
      <c r="H2254" t="inlineStr"/>
      <c r="I2254" t="inlineStr"/>
      <c r="J2254" t="inlineStr">
        <is>
          <t>Atividade</t>
        </is>
      </c>
      <c r="K2254" t="inlineStr">
        <is>
          <t>Apoio</t>
        </is>
      </c>
      <c r="L2254" t="inlineStr">
        <is>
          <t>PDS-Abril.docx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46149</v>
      </c>
      <c r="B2255" t="inlineStr">
        <is>
          <t>Quinta</t>
        </is>
      </c>
      <c r="C2255" t="inlineStr">
        <is>
          <t>Guindauto</t>
        </is>
      </c>
      <c r="D2255" t="inlineStr"/>
      <c r="E2255" t="inlineStr">
        <is>
          <t>Guindauto</t>
        </is>
      </c>
      <c r="F2255" t="inlineStr">
        <is>
          <t>Luiz Carlos - Apoio as equipes</t>
        </is>
      </c>
      <c r="G2255" t="inlineStr"/>
      <c r="H2255" t="inlineStr"/>
      <c r="I2255" t="inlineStr"/>
      <c r="J2255" t="inlineStr">
        <is>
          <t>Atividade</t>
        </is>
      </c>
      <c r="K2255" t="inlineStr">
        <is>
          <t>Apoio</t>
        </is>
      </c>
      <c r="L2255" t="inlineStr">
        <is>
          <t>PDS-Abril.docx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2026-05-07T10:40:01Z</dcterms:modified>
  <cp:lastModifiedBy>Cleulton Marcio Goncalves Freire</cp:lastModifiedBy>
</cp:coreProperties>
</file>