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6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E2751" t="inlineStr">
        <is>
          <t>Vacal</t>
        </is>
      </c>
      <c r="F2751" t="inlineStr">
        <is>
          <t>João Canzi – Henko (Wellington/Thiago)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E2752" t="inlineStr">
        <is>
          <t>Vacal</t>
        </is>
      </c>
      <c r="F2752" t="inlineStr">
        <is>
          <t>João Canzi – Renasce (Raimundo)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E2753" t="inlineStr">
        <is>
          <t>Vacal</t>
        </is>
      </c>
      <c r="F2753" t="inlineStr">
        <is>
          <t>Lourdes – Henko (Marcio)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E2754" t="inlineStr">
        <is>
          <t>Vacal</t>
        </is>
      </c>
      <c r="F2754" t="inlineStr">
        <is>
          <t>ITI 15 – Henko (Osmar)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Marcio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E2756" t="inlineStr">
        <is>
          <t>Guindauto</t>
        </is>
      </c>
      <c r="F2756" t="inlineStr">
        <is>
          <t>Luiz - Apoio as equipes</t>
        </is>
      </c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E2774" t="inlineStr">
        <is>
          <t>Vacal</t>
        </is>
      </c>
      <c r="F2774" t="inlineStr">
        <is>
          <t>João Canzi – Henko (Márcio)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E2775" t="inlineStr">
        <is>
          <t>Vacal</t>
        </is>
      </c>
      <c r="F2775" t="inlineStr">
        <is>
          <t>ITI 15 – Henko (Wellington)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E2777" t="inlineStr">
        <is>
          <t>Guindauto</t>
        </is>
      </c>
      <c r="F2777" t="inlineStr">
        <is>
          <t>Marcio - Apoio as equipes</t>
        </is>
      </c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E2778" t="inlineStr">
        <is>
          <t>Guindauto</t>
        </is>
      </c>
      <c r="F2778" t="inlineStr">
        <is>
          <t>Luiz - Apoio as equipes</t>
        </is>
      </c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E2795" t="inlineStr">
        <is>
          <t>Vacal</t>
        </is>
      </c>
      <c r="F2795" t="inlineStr">
        <is>
          <t>João Canzi – Henko (Wellington/Thiago)</t>
        </is>
      </c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E2796" t="inlineStr">
        <is>
          <t>Vacal</t>
        </is>
      </c>
      <c r="F2796" t="inlineStr">
        <is>
          <t>Lourdes – Henko (Marcio)</t>
        </is>
      </c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E2797" t="inlineStr">
        <is>
          <t>Vacal</t>
        </is>
      </c>
      <c r="F2797" t="inlineStr">
        <is>
          <t>ITI 15 – Henko (Osmar)</t>
        </is>
      </c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E2798" t="inlineStr">
        <is>
          <t>Guindauto</t>
        </is>
      </c>
      <c r="F2798" t="inlineStr">
        <is>
          <t>Marcio - Apoio as equipes</t>
        </is>
      </c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E2799" t="inlineStr">
        <is>
          <t>Guindauto</t>
        </is>
      </c>
      <c r="F2799" t="inlineStr">
        <is>
          <t>Luiz - Apoio as equipes</t>
        </is>
      </c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E2814" t="inlineStr">
        <is>
          <t>Vacal</t>
        </is>
      </c>
      <c r="F2814" t="inlineStr">
        <is>
          <t>João Canzi – Henko (Wellington/Thiago)</t>
        </is>
      </c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E2815" t="inlineStr">
        <is>
          <t>Vacal</t>
        </is>
      </c>
      <c r="F2815" t="inlineStr">
        <is>
          <t>João Canzi – Henko (Marcio)</t>
        </is>
      </c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E2816" t="inlineStr">
        <is>
          <t>Vacal</t>
        </is>
      </c>
      <c r="F2816" t="inlineStr">
        <is>
          <t>ITI 15 – Henko (Osmar)</t>
        </is>
      </c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E2817" t="inlineStr">
        <is>
          <t>Guindauto</t>
        </is>
      </c>
      <c r="F2817" t="inlineStr">
        <is>
          <t>Luiz - Apoio as equipes</t>
        </is>
      </c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E2835" t="inlineStr">
        <is>
          <t>Vacal</t>
        </is>
      </c>
      <c r="F2835" t="inlineStr">
        <is>
          <t>João Canzi – Henko (Wellington/Thiago)</t>
        </is>
      </c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E2836" t="inlineStr">
        <is>
          <t>Vacal</t>
        </is>
      </c>
      <c r="F2836" t="inlineStr">
        <is>
          <t>João Canzi – Henko (Marcio)</t>
        </is>
      </c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E2837" t="inlineStr">
        <is>
          <t>Vacal</t>
        </is>
      </c>
      <c r="F2837" t="inlineStr">
        <is>
          <t>ITI 15 – Henko (Osmar)</t>
        </is>
      </c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E2838" t="inlineStr">
        <is>
          <t>Guindauto</t>
        </is>
      </c>
      <c r="F2838" t="inlineStr">
        <is>
          <t>Marcio - Apoio as equipes</t>
        </is>
      </c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E2839" t="inlineStr">
        <is>
          <t>Guindauto</t>
        </is>
      </c>
      <c r="F2839" t="inlineStr">
        <is>
          <t>Luiz - Apoio as equipes</t>
        </is>
      </c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  <row r="2840">
      <c r="A2840" s="36" t="n">
        <v>46182</v>
      </c>
      <c r="B2840" t="inlineStr">
        <is>
          <t>Terça</t>
        </is>
      </c>
      <c r="C2840" t="inlineStr">
        <is>
          <t>CT João Canzi</t>
        </is>
      </c>
      <c r="D2840" t="inlineStr">
        <is>
          <t>Valmir</t>
        </is>
      </c>
      <c r="E2840" t="inlineStr">
        <is>
          <t>Goiânia Drill</t>
        </is>
      </c>
      <c r="F2840" t="inlineStr">
        <is>
          <t>Piloto e Puxe do PV-19 ao PV-20</t>
        </is>
      </c>
      <c r="G2840" t="inlineStr">
        <is>
          <t>19</t>
        </is>
      </c>
      <c r="H2840" t="inlineStr">
        <is>
          <t>20</t>
        </is>
      </c>
      <c r="I2840" t="inlineStr">
        <is>
          <t>19 ao 20</t>
        </is>
      </c>
      <c r="J2840" t="inlineStr">
        <is>
          <t>HDD</t>
        </is>
      </c>
      <c r="K2840" t="inlineStr">
        <is>
          <t>Planejamento</t>
        </is>
      </c>
      <c r="L2840" t="inlineStr">
        <is>
          <t>PDS-Junho.docx</t>
        </is>
      </c>
      <c r="M2840">
        <f>IF($A2840="","",TEXT($A2840,"mmmm/yyyy"))</f>
        <v/>
      </c>
      <c r="P2840">
        <f>IFERROR(XLOOKUP($N2840,Base_Enderecos!$A:$A,Base_Enderecos!$B:$B,""),"")</f>
        <v/>
      </c>
      <c r="Q2840">
        <f>IFERROR(XLOOKUP($N2840,Base_Enderecos!$A:$A,Base_Enderecos!$C:$C,""),"")</f>
        <v/>
      </c>
      <c r="R2840">
        <f>IF(ISNUMBER(SEARCH("HDD",$F2840)),"HDD",IF(ISNUMBER(SEARCH("VCA",$F2840)),"VCA","MND"))</f>
        <v/>
      </c>
      <c r="T2840">
        <f>TEXT($A2840,"yyyy-mm")&amp;"|"&amp;$C2840&amp;"|"&amp;$I2840</f>
        <v/>
      </c>
    </row>
    <row r="2841">
      <c r="A2841" s="36" t="n">
        <v>46182</v>
      </c>
      <c r="B2841" t="inlineStr">
        <is>
          <t>Terça</t>
        </is>
      </c>
      <c r="C2841" t="inlineStr">
        <is>
          <t>CT João Canzi</t>
        </is>
      </c>
      <c r="D2841" t="inlineStr">
        <is>
          <t>Valmir</t>
        </is>
      </c>
      <c r="E2841" t="inlineStr">
        <is>
          <t>Bruno</t>
        </is>
      </c>
      <c r="F2841" t="inlineStr">
        <is>
          <t>Apoio ao HDD</t>
        </is>
      </c>
      <c r="G2841" t="inlineStr"/>
      <c r="H2841" t="inlineStr"/>
      <c r="I2841" t="inlineStr"/>
      <c r="J2841" t="inlineStr">
        <is>
          <t>HDD</t>
        </is>
      </c>
      <c r="K2841" t="inlineStr">
        <is>
          <t>Planejamento</t>
        </is>
      </c>
      <c r="L2841" t="inlineStr">
        <is>
          <t>PDS-Junho.docx</t>
        </is>
      </c>
      <c r="M2841">
        <f>IF($A2841="","",TEXT($A2841,"mmmm/yyyy"))</f>
        <v/>
      </c>
      <c r="P2841">
        <f>IFERROR(XLOOKUP($N2841,Base_Enderecos!$A:$A,Base_Enderecos!$B:$B,""),"")</f>
        <v/>
      </c>
      <c r="Q2841">
        <f>IFERROR(XLOOKUP($N2841,Base_Enderecos!$A:$A,Base_Enderecos!$C:$C,""),"")</f>
        <v/>
      </c>
      <c r="R2841">
        <f>IF(ISNUMBER(SEARCH("HDD",$F2841)),"HDD",IF(ISNUMBER(SEARCH("VCA",$F2841)),"VCA","MND"))</f>
        <v/>
      </c>
      <c r="T2841">
        <f>TEXT($A2841,"yyyy-mm")&amp;"|"&amp;$C2841&amp;"|"&amp;$I2841</f>
        <v/>
      </c>
    </row>
    <row r="2842">
      <c r="A2842" s="36" t="n">
        <v>46182</v>
      </c>
      <c r="B2842" t="inlineStr">
        <is>
          <t>Terça</t>
        </is>
      </c>
      <c r="C2842" t="inlineStr">
        <is>
          <t>CT João Canzi</t>
        </is>
      </c>
      <c r="D2842" t="inlineStr">
        <is>
          <t>Valmir</t>
        </is>
      </c>
      <c r="E2842" t="inlineStr">
        <is>
          <t>Medeiros</t>
        </is>
      </c>
      <c r="F2842" t="inlineStr">
        <is>
          <t>Reaterro Shaft PV 10.1</t>
        </is>
      </c>
      <c r="G2842" t="inlineStr">
        <is>
          <t>10.1</t>
        </is>
      </c>
      <c r="H2842" t="inlineStr"/>
      <c r="I2842" t="inlineStr">
        <is>
          <t>10.1</t>
        </is>
      </c>
      <c r="J2842" t="inlineStr">
        <is>
          <t>Shaft</t>
        </is>
      </c>
      <c r="K2842" t="inlineStr">
        <is>
          <t>Planejamento</t>
        </is>
      </c>
      <c r="L2842" t="inlineStr">
        <is>
          <t>PDS-Junho.docx</t>
        </is>
      </c>
      <c r="M2842">
        <f>IF($A2842="","",TEXT($A2842,"mmmm/yyyy"))</f>
        <v/>
      </c>
      <c r="P2842">
        <f>IFERROR(XLOOKUP($N2842,Base_Enderecos!$A:$A,Base_Enderecos!$B:$B,""),"")</f>
        <v/>
      </c>
      <c r="Q2842">
        <f>IFERROR(XLOOKUP($N2842,Base_Enderecos!$A:$A,Base_Enderecos!$C:$C,""),"")</f>
        <v/>
      </c>
      <c r="R2842">
        <f>IF(ISNUMBER(SEARCH("HDD",$F2842)),"HDD",IF(ISNUMBER(SEARCH("VCA",$F2842)),"VCA","MND"))</f>
        <v/>
      </c>
      <c r="T2842">
        <f>TEXT($A2842,"yyyy-mm")&amp;"|"&amp;$C2842&amp;"|"&amp;$I2842</f>
        <v/>
      </c>
    </row>
    <row r="2843">
      <c r="A2843" s="36" t="n">
        <v>46182</v>
      </c>
      <c r="B2843" t="inlineStr">
        <is>
          <t>Terça</t>
        </is>
      </c>
      <c r="C2843" t="inlineStr">
        <is>
          <t>CT João Canzi</t>
        </is>
      </c>
      <c r="D2843" t="inlineStr">
        <is>
          <t>Valmir</t>
        </is>
      </c>
      <c r="E2843" t="inlineStr">
        <is>
          <t>Márcio</t>
        </is>
      </c>
      <c r="F2843" t="inlineStr">
        <is>
          <t>Transformação PV 10</t>
        </is>
      </c>
      <c r="G2843" t="inlineStr">
        <is>
          <t>10</t>
        </is>
      </c>
      <c r="H2843" t="inlineStr"/>
      <c r="I2843" t="inlineStr">
        <is>
          <t>10</t>
        </is>
      </c>
      <c r="J2843" t="inlineStr">
        <is>
          <t>Transformação</t>
        </is>
      </c>
      <c r="K2843" t="inlineStr">
        <is>
          <t>Planejamento</t>
        </is>
      </c>
      <c r="L2843" t="inlineStr">
        <is>
          <t>PDS-Junho.docx</t>
        </is>
      </c>
      <c r="M2843">
        <f>IF($A2843="","",TEXT($A2843,"mmmm/yyyy"))</f>
        <v/>
      </c>
      <c r="P2843">
        <f>IFERROR(XLOOKUP($N2843,Base_Enderecos!$A:$A,Base_Enderecos!$B:$B,""),"")</f>
        <v/>
      </c>
      <c r="Q2843">
        <f>IFERROR(XLOOKUP($N2843,Base_Enderecos!$A:$A,Base_Enderecos!$C:$C,""),"")</f>
        <v/>
      </c>
      <c r="R2843">
        <f>IF(ISNUMBER(SEARCH("HDD",$F2843)),"HDD",IF(ISNUMBER(SEARCH("VCA",$F2843)),"VCA","MND"))</f>
        <v/>
      </c>
      <c r="T2843">
        <f>TEXT($A2843,"yyyy-mm")&amp;"|"&amp;$C2843&amp;"|"&amp;$I2843</f>
        <v/>
      </c>
    </row>
    <row r="2844">
      <c r="A2844" s="36" t="n">
        <v>46182</v>
      </c>
      <c r="B2844" t="inlineStr">
        <is>
          <t>Terça</t>
        </is>
      </c>
      <c r="C2844" t="inlineStr">
        <is>
          <t>RCE Elvira</t>
        </is>
      </c>
      <c r="D2844" t="inlineStr">
        <is>
          <t>Silvestre</t>
        </is>
      </c>
      <c r="E2844" t="inlineStr">
        <is>
          <t>Valter</t>
        </is>
      </c>
      <c r="F2844" t="inlineStr">
        <is>
          <t>VCA, PVs e Ligações</t>
        </is>
      </c>
      <c r="G2844" t="inlineStr"/>
      <c r="H2844" t="inlineStr"/>
      <c r="I2844" t="inlineStr"/>
      <c r="J2844" t="inlineStr">
        <is>
          <t>VCA</t>
        </is>
      </c>
      <c r="K2844" t="inlineStr">
        <is>
          <t>Planejamento</t>
        </is>
      </c>
      <c r="L2844" t="inlineStr">
        <is>
          <t>PDS-Junho.docx</t>
        </is>
      </c>
      <c r="M2844">
        <f>IF($A2844="","",TEXT($A2844,"mmmm/yyyy"))</f>
        <v/>
      </c>
      <c r="P2844">
        <f>IFERROR(XLOOKUP($N2844,Base_Enderecos!$A:$A,Base_Enderecos!$B:$B,""),"")</f>
        <v/>
      </c>
      <c r="Q2844">
        <f>IFERROR(XLOOKUP($N2844,Base_Enderecos!$A:$A,Base_Enderecos!$C:$C,""),"")</f>
        <v/>
      </c>
      <c r="R2844">
        <f>IF(ISNUMBER(SEARCH("HDD",$F2844)),"HDD",IF(ISNUMBER(SEARCH("VCA",$F2844)),"VCA","MND"))</f>
        <v/>
      </c>
      <c r="T2844">
        <f>TEXT($A2844,"yyyy-mm")&amp;"|"&amp;$C2844&amp;"|"&amp;$I2844</f>
        <v/>
      </c>
    </row>
    <row r="2845">
      <c r="A2845" s="36" t="n">
        <v>46182</v>
      </c>
      <c r="B2845" t="inlineStr">
        <is>
          <t>Terça</t>
        </is>
      </c>
      <c r="C2845" t="inlineStr">
        <is>
          <t>RCE Elias Sleiman / CT João Canzi</t>
        </is>
      </c>
      <c r="D2845" t="inlineStr">
        <is>
          <t>Silvestre</t>
        </is>
      </c>
      <c r="E2845" t="inlineStr">
        <is>
          <t>Edvando</t>
        </is>
      </c>
      <c r="F2845" t="inlineStr">
        <is>
          <t>VCA PV 22 ao PV 23</t>
        </is>
      </c>
      <c r="G2845" t="inlineStr">
        <is>
          <t>22</t>
        </is>
      </c>
      <c r="H2845" t="inlineStr">
        <is>
          <t>23</t>
        </is>
      </c>
      <c r="I2845" t="inlineStr">
        <is>
          <t>22 ao 23</t>
        </is>
      </c>
      <c r="J2845" t="inlineStr">
        <is>
          <t>VCA</t>
        </is>
      </c>
      <c r="K2845" t="inlineStr">
        <is>
          <t>Planejamento</t>
        </is>
      </c>
      <c r="L2845" t="inlineStr">
        <is>
          <t>PDS-Junho.docx</t>
        </is>
      </c>
      <c r="M2845">
        <f>IF($A2845="","",TEXT($A2845,"mmmm/yyyy"))</f>
        <v/>
      </c>
      <c r="P2845">
        <f>IFERROR(XLOOKUP($N2845,Base_Enderecos!$A:$A,Base_Enderecos!$B:$B,""),"")</f>
        <v/>
      </c>
      <c r="Q2845">
        <f>IFERROR(XLOOKUP($N2845,Base_Enderecos!$A:$A,Base_Enderecos!$C:$C,""),"")</f>
        <v/>
      </c>
      <c r="R2845">
        <f>IF(ISNUMBER(SEARCH("HDD",$F2845)),"HDD",IF(ISNUMBER(SEARCH("VCA",$F2845)),"VCA","MND"))</f>
        <v/>
      </c>
      <c r="T2845">
        <f>TEXT($A2845,"yyyy-mm")&amp;"|"&amp;$C2845&amp;"|"&amp;$I2845</f>
        <v/>
      </c>
    </row>
    <row r="2846">
      <c r="A2846" s="36" t="n">
        <v>46182</v>
      </c>
      <c r="B2846" t="inlineStr">
        <is>
          <t>Terça</t>
        </is>
      </c>
      <c r="C2846" t="inlineStr">
        <is>
          <t>RCE Conj. União</t>
        </is>
      </c>
      <c r="D2846" t="inlineStr">
        <is>
          <t>Caroline</t>
        </is>
      </c>
      <c r="E2846" t="inlineStr">
        <is>
          <t>Jhonatan</t>
        </is>
      </c>
      <c r="F2846" t="inlineStr">
        <is>
          <t>Shaft PV 48</t>
        </is>
      </c>
      <c r="G2846" t="inlineStr">
        <is>
          <t>48</t>
        </is>
      </c>
      <c r="H2846" t="inlineStr"/>
      <c r="I2846" t="inlineStr">
        <is>
          <t>48</t>
        </is>
      </c>
      <c r="J2846" t="inlineStr">
        <is>
          <t>Shaft</t>
        </is>
      </c>
      <c r="K2846" t="inlineStr">
        <is>
          <t>Planejamento</t>
        </is>
      </c>
      <c r="L2846" t="inlineStr">
        <is>
          <t>PDS-Junho.docx</t>
        </is>
      </c>
      <c r="M2846">
        <f>IF($A2846="","",TEXT($A2846,"mmmm/yyyy"))</f>
        <v/>
      </c>
      <c r="P2846">
        <f>IFERROR(XLOOKUP($N2846,Base_Enderecos!$A:$A,Base_Enderecos!$B:$B,""),"")</f>
        <v/>
      </c>
      <c r="Q2846">
        <f>IFERROR(XLOOKUP($N2846,Base_Enderecos!$A:$A,Base_Enderecos!$C:$C,""),"")</f>
        <v/>
      </c>
      <c r="R2846">
        <f>IF(ISNUMBER(SEARCH("HDD",$F2846)),"HDD",IF(ISNUMBER(SEARCH("VCA",$F2846)),"VCA","MND"))</f>
        <v/>
      </c>
      <c r="T2846">
        <f>TEXT($A2846,"yyyy-mm")&amp;"|"&amp;$C2846&amp;"|"&amp;$I2846</f>
        <v/>
      </c>
    </row>
    <row r="2847">
      <c r="A2847" s="36" t="n">
        <v>46182</v>
      </c>
      <c r="B2847" t="inlineStr">
        <is>
          <t>Terça</t>
        </is>
      </c>
      <c r="C2847" t="inlineStr">
        <is>
          <t>RCE Américo Machado/elis Regina</t>
        </is>
      </c>
      <c r="D2847" t="inlineStr">
        <is>
          <t>Caroline</t>
        </is>
      </c>
      <c r="E2847" t="inlineStr">
        <is>
          <t>Cesar</t>
        </is>
      </c>
      <c r="F2847" t="inlineStr">
        <is>
          <t>Shaft PV 01</t>
        </is>
      </c>
      <c r="G2847" t="inlineStr">
        <is>
          <t>01</t>
        </is>
      </c>
      <c r="H2847" t="inlineStr"/>
      <c r="I2847" t="inlineStr">
        <is>
          <t>01</t>
        </is>
      </c>
      <c r="J2847" t="inlineStr">
        <is>
          <t>Shaft</t>
        </is>
      </c>
      <c r="K2847" t="inlineStr">
        <is>
          <t>Planejamento</t>
        </is>
      </c>
      <c r="L2847" t="inlineStr">
        <is>
          <t>PDS-Junho.docx</t>
        </is>
      </c>
      <c r="M2847">
        <f>IF($A2847="","",TEXT($A2847,"mmmm/yyyy"))</f>
        <v/>
      </c>
      <c r="P2847">
        <f>IFERROR(XLOOKUP($N2847,Base_Enderecos!$A:$A,Base_Enderecos!$B:$B,""),"")</f>
        <v/>
      </c>
      <c r="Q2847">
        <f>IFERROR(XLOOKUP($N2847,Base_Enderecos!$A:$A,Base_Enderecos!$C:$C,""),"")</f>
        <v/>
      </c>
      <c r="R2847">
        <f>IF(ISNUMBER(SEARCH("HDD",$F2847)),"HDD",IF(ISNUMBER(SEARCH("VCA",$F2847)),"VCA","MND"))</f>
        <v/>
      </c>
      <c r="T2847">
        <f>TEXT($A2847,"yyyy-mm")&amp;"|"&amp;$C2847&amp;"|"&amp;$I2847</f>
        <v/>
      </c>
    </row>
    <row r="2848">
      <c r="A2848" s="36" t="n">
        <v>46182</v>
      </c>
      <c r="B2848" t="inlineStr">
        <is>
          <t>Terça</t>
        </is>
      </c>
      <c r="C2848" t="inlineStr">
        <is>
          <t>CTS Lourdes Complementar</t>
        </is>
      </c>
      <c r="D2848" t="inlineStr">
        <is>
          <t>Robson</t>
        </is>
      </c>
      <c r="E2848" t="inlineStr">
        <is>
          <t>Marcelo</t>
        </is>
      </c>
      <c r="F2848" t="inlineStr">
        <is>
          <t>Transformação PV 05 + Interligação</t>
        </is>
      </c>
      <c r="G2848" t="inlineStr">
        <is>
          <t>05</t>
        </is>
      </c>
      <c r="H2848" t="inlineStr"/>
      <c r="I2848" t="inlineStr">
        <is>
          <t>05</t>
        </is>
      </c>
      <c r="J2848" t="inlineStr">
        <is>
          <t>Transformação</t>
        </is>
      </c>
      <c r="K2848" t="inlineStr">
        <is>
          <t>Planejamento</t>
        </is>
      </c>
      <c r="L2848" t="inlineStr">
        <is>
          <t>PDS-Junho.docx</t>
        </is>
      </c>
      <c r="M2848">
        <f>IF($A2848="","",TEXT($A2848,"mmmm/yyyy"))</f>
        <v/>
      </c>
      <c r="P2848">
        <f>IFERROR(XLOOKUP($N2848,Base_Enderecos!$A:$A,Base_Enderecos!$B:$B,""),"")</f>
        <v/>
      </c>
      <c r="Q2848">
        <f>IFERROR(XLOOKUP($N2848,Base_Enderecos!$A:$A,Base_Enderecos!$C:$C,""),"")</f>
        <v/>
      </c>
      <c r="R2848">
        <f>IF(ISNUMBER(SEARCH("HDD",$F2848)),"HDD",IF(ISNUMBER(SEARCH("VCA",$F2848)),"VCA","MND"))</f>
        <v/>
      </c>
      <c r="T2848">
        <f>TEXT($A2848,"yyyy-mm")&amp;"|"&amp;$C2848&amp;"|"&amp;$I2848</f>
        <v/>
      </c>
    </row>
    <row r="2849">
      <c r="A2849" s="36" t="n">
        <v>46182</v>
      </c>
      <c r="B2849" t="inlineStr">
        <is>
          <t>Terça</t>
        </is>
      </c>
      <c r="C2849" t="inlineStr">
        <is>
          <t>RCE São Lucas</t>
        </is>
      </c>
      <c r="D2849" t="inlineStr">
        <is>
          <t>Fábio</t>
        </is>
      </c>
      <c r="E2849" t="inlineStr">
        <is>
          <t>Ricardo (pi 08 Ao Pi 09)</t>
        </is>
      </c>
      <c r="F2849" t="inlineStr">
        <is>
          <t>VCA, PVs e Ligações</t>
        </is>
      </c>
      <c r="G2849" t="inlineStr"/>
      <c r="H2849" t="inlineStr"/>
      <c r="I2849" t="inlineStr"/>
      <c r="J2849" t="inlineStr">
        <is>
          <t>VCA</t>
        </is>
      </c>
      <c r="K2849" t="inlineStr">
        <is>
          <t>Planejamento</t>
        </is>
      </c>
      <c r="L2849" t="inlineStr">
        <is>
          <t>PDS-Junho.docx</t>
        </is>
      </c>
      <c r="M2849">
        <f>IF($A2849="","",TEXT($A2849,"mmmm/yyyy"))</f>
        <v/>
      </c>
      <c r="P2849">
        <f>IFERROR(XLOOKUP($N2849,Base_Enderecos!$A:$A,Base_Enderecos!$B:$B,""),"")</f>
        <v/>
      </c>
      <c r="Q2849">
        <f>IFERROR(XLOOKUP($N2849,Base_Enderecos!$A:$A,Base_Enderecos!$C:$C,""),"")</f>
        <v/>
      </c>
      <c r="R2849">
        <f>IF(ISNUMBER(SEARCH("HDD",$F2849)),"HDD",IF(ISNUMBER(SEARCH("VCA",$F2849)),"VCA","MND"))</f>
        <v/>
      </c>
      <c r="T2849">
        <f>TEXT($A2849,"yyyy-mm")&amp;"|"&amp;$C2849&amp;"|"&amp;$I2849</f>
        <v/>
      </c>
    </row>
    <row r="2850">
      <c r="A2850" s="36" t="n">
        <v>46182</v>
      </c>
      <c r="B2850" t="inlineStr">
        <is>
          <t>Terça</t>
        </is>
      </c>
      <c r="C2850" t="inlineStr">
        <is>
          <t>RCE São Lucas</t>
        </is>
      </c>
      <c r="D2850" t="inlineStr">
        <is>
          <t>Fábio</t>
        </is>
      </c>
      <c r="E2850" t="inlineStr">
        <is>
          <t>Claudinei (pi 38 Ao Pi 81)</t>
        </is>
      </c>
      <c r="F2850" t="inlineStr">
        <is>
          <t>VCA, PVs e Ligações</t>
        </is>
      </c>
      <c r="G2850" t="inlineStr"/>
      <c r="H2850" t="inlineStr"/>
      <c r="I2850" t="inlineStr"/>
      <c r="J2850" t="inlineStr">
        <is>
          <t>VCA</t>
        </is>
      </c>
      <c r="K2850" t="inlineStr">
        <is>
          <t>Planejamento</t>
        </is>
      </c>
      <c r="L2850" t="inlineStr">
        <is>
          <t>PDS-Junho.docx</t>
        </is>
      </c>
      <c r="M2850">
        <f>IF($A2850="","",TEXT($A2850,"mmmm/yyyy"))</f>
        <v/>
      </c>
      <c r="P2850">
        <f>IFERROR(XLOOKUP($N2850,Base_Enderecos!$A:$A,Base_Enderecos!$B:$B,""),"")</f>
        <v/>
      </c>
      <c r="Q2850">
        <f>IFERROR(XLOOKUP($N2850,Base_Enderecos!$A:$A,Base_Enderecos!$C:$C,""),"")</f>
        <v/>
      </c>
      <c r="R2850">
        <f>IF(ISNUMBER(SEARCH("HDD",$F2850)),"HDD",IF(ISNUMBER(SEARCH("VCA",$F2850)),"VCA","MND"))</f>
        <v/>
      </c>
      <c r="T2850">
        <f>TEXT($A2850,"yyyy-mm")&amp;"|"&amp;$C2850&amp;"|"&amp;$I2850</f>
        <v/>
      </c>
    </row>
    <row r="2851">
      <c r="A2851" s="36" t="n">
        <v>46182</v>
      </c>
      <c r="B2851" t="inlineStr">
        <is>
          <t>Terça</t>
        </is>
      </c>
      <c r="C2851" t="inlineStr">
        <is>
          <t>RCE São Lucas</t>
        </is>
      </c>
      <c r="D2851" t="inlineStr">
        <is>
          <t>Fábio</t>
        </is>
      </c>
      <c r="E2851" t="inlineStr">
        <is>
          <t>Miro (pi 60 Ao Pi 61)</t>
        </is>
      </c>
      <c r="F2851" t="inlineStr">
        <is>
          <t>VCA, PVs e Ligações</t>
        </is>
      </c>
      <c r="G2851" t="inlineStr"/>
      <c r="H2851" t="inlineStr"/>
      <c r="I2851" t="inlineStr"/>
      <c r="J2851" t="inlineStr">
        <is>
          <t>VCA</t>
        </is>
      </c>
      <c r="K2851" t="inlineStr">
        <is>
          <t>Planejamento</t>
        </is>
      </c>
      <c r="L2851" t="inlineStr">
        <is>
          <t>PDS-Junho.docx</t>
        </is>
      </c>
      <c r="M2851">
        <f>IF($A2851="","",TEXT($A2851,"mmmm/yyyy"))</f>
        <v/>
      </c>
      <c r="P2851">
        <f>IFERROR(XLOOKUP($N2851,Base_Enderecos!$A:$A,Base_Enderecos!$B:$B,""),"")</f>
        <v/>
      </c>
      <c r="Q2851">
        <f>IFERROR(XLOOKUP($N2851,Base_Enderecos!$A:$A,Base_Enderecos!$C:$C,""),"")</f>
        <v/>
      </c>
      <c r="R2851">
        <f>IF(ISNUMBER(SEARCH("HDD",$F2851)),"HDD",IF(ISNUMBER(SEARCH("VCA",$F2851)),"VCA","MND"))</f>
        <v/>
      </c>
      <c r="T2851">
        <f>TEXT($A2851,"yyyy-mm")&amp;"|"&amp;$C2851&amp;"|"&amp;$I2851</f>
        <v/>
      </c>
    </row>
    <row r="2852">
      <c r="A2852" s="36" t="n">
        <v>46182</v>
      </c>
      <c r="B2852" t="inlineStr">
        <is>
          <t>Terça</t>
        </is>
      </c>
      <c r="C2852" t="inlineStr">
        <is>
          <t>RCE São Lucas</t>
        </is>
      </c>
      <c r="D2852" t="inlineStr">
        <is>
          <t>Fábio</t>
        </is>
      </c>
      <c r="E2852" t="inlineStr">
        <is>
          <t>Emanuel (pi 25 Ao Pi 26)</t>
        </is>
      </c>
      <c r="F2852" t="inlineStr">
        <is>
          <t>VCA, PVs e Ligações</t>
        </is>
      </c>
      <c r="G2852" t="inlineStr"/>
      <c r="H2852" t="inlineStr"/>
      <c r="I2852" t="inlineStr"/>
      <c r="J2852" t="inlineStr">
        <is>
          <t>VCA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46182</v>
      </c>
      <c r="B2853" t="inlineStr">
        <is>
          <t>Terça</t>
        </is>
      </c>
      <c r="C2853" t="inlineStr">
        <is>
          <t>RCE São Lucas</t>
        </is>
      </c>
      <c r="D2853" t="inlineStr">
        <is>
          <t>Fábio</t>
        </is>
      </c>
      <c r="E2853" t="inlineStr">
        <is>
          <t>Antonio (pi 55 Ao Pi 56)</t>
        </is>
      </c>
      <c r="F2853" t="inlineStr">
        <is>
          <t>VCA, PVs e Ligações</t>
        </is>
      </c>
      <c r="G2853" t="inlineStr"/>
      <c r="H2853" t="inlineStr"/>
      <c r="I2853" t="inlineStr"/>
      <c r="J2853" t="inlineStr">
        <is>
          <t>VCA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46182</v>
      </c>
      <c r="B2854" t="inlineStr">
        <is>
          <t>Terça</t>
        </is>
      </c>
      <c r="C2854" t="inlineStr">
        <is>
          <t>RCE São Lucas</t>
        </is>
      </c>
      <c r="D2854" t="inlineStr">
        <is>
          <t>Fábio</t>
        </is>
      </c>
      <c r="E2854" t="inlineStr">
        <is>
          <t>Antonio (pi 55 Ao Pi 56)</t>
        </is>
      </c>
      <c r="F2854" t="inlineStr">
        <is>
          <t>SERVIÇOS REPOSIÇÃO – LEANDRO</t>
        </is>
      </c>
      <c r="G2854" t="inlineStr"/>
      <c r="H2854" t="inlineStr"/>
      <c r="I2854" t="inlineStr"/>
      <c r="J2854" t="inlineStr">
        <is>
          <t>Atividade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46182</v>
      </c>
      <c r="B2855" t="inlineStr">
        <is>
          <t>Terça</t>
        </is>
      </c>
      <c r="C2855" t="inlineStr">
        <is>
          <t>RCE São Lucas</t>
        </is>
      </c>
      <c r="D2855" t="inlineStr">
        <is>
          <t>Fábio</t>
        </is>
      </c>
      <c r="E2855" t="inlineStr">
        <is>
          <t>Antonio (pi 55 Ao Pi 56)</t>
        </is>
      </c>
      <c r="F2855" t="inlineStr">
        <is>
          <t>Reparos Gerais</t>
        </is>
      </c>
      <c r="G2855" t="inlineStr"/>
      <c r="H2855" t="inlineStr"/>
      <c r="I2855" t="inlineStr"/>
      <c r="J2855" t="inlineStr">
        <is>
          <t>Atividade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46182</v>
      </c>
      <c r="B2856" t="inlineStr">
        <is>
          <t>Terça</t>
        </is>
      </c>
      <c r="C2856" t="inlineStr">
        <is>
          <t>CTS Lageado</t>
        </is>
      </c>
      <c r="D2856" t="inlineStr">
        <is>
          <t>Gabriel</t>
        </is>
      </c>
      <c r="E2856" t="inlineStr">
        <is>
          <t>Cidão</t>
        </is>
      </c>
      <c r="F2856" t="inlineStr">
        <is>
          <t>Acabamentos gerais</t>
        </is>
      </c>
      <c r="G2856" t="inlineStr"/>
      <c r="H2856" t="inlineStr"/>
      <c r="I2856" t="inlineStr"/>
      <c r="J2856" t="inlineStr">
        <is>
          <t>Acabamento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46182</v>
      </c>
      <c r="B2857" t="inlineStr">
        <is>
          <t>Terça</t>
        </is>
      </c>
      <c r="C2857" t="inlineStr">
        <is>
          <t>João Canzi</t>
        </is>
      </c>
      <c r="D2857" t="inlineStr"/>
      <c r="E2857" t="inlineStr">
        <is>
          <t>Vacal</t>
        </is>
      </c>
      <c r="F2857" t="inlineStr">
        <is>
          <t>João Canzi - Renasce</t>
        </is>
      </c>
      <c r="G2857" t="inlineStr"/>
      <c r="H2857" t="inlineStr"/>
      <c r="I2857" t="inlineStr"/>
      <c r="J2857" t="inlineStr">
        <is>
          <t>Atividade</t>
        </is>
      </c>
      <c r="K2857" t="inlineStr">
        <is>
          <t>Apoio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46182</v>
      </c>
      <c r="B2858" t="inlineStr">
        <is>
          <t>Terça</t>
        </is>
      </c>
      <c r="C2858" t="inlineStr">
        <is>
          <t>João Canzi</t>
        </is>
      </c>
      <c r="D2858" t="inlineStr"/>
      <c r="E2858" t="inlineStr">
        <is>
          <t>Vacal</t>
        </is>
      </c>
      <c r="F2858" t="inlineStr">
        <is>
          <t>João Canzi – Renasce</t>
        </is>
      </c>
      <c r="G2858" t="inlineStr"/>
      <c r="H2858" t="inlineStr"/>
      <c r="I2858" t="inlineStr"/>
      <c r="J2858" t="inlineStr">
        <is>
          <t>Atividade</t>
        </is>
      </c>
      <c r="K2858" t="inlineStr">
        <is>
          <t>Apoio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46182</v>
      </c>
      <c r="B2859" t="inlineStr">
        <is>
          <t>Terça</t>
        </is>
      </c>
      <c r="C2859" t="inlineStr">
        <is>
          <t>Iti 15</t>
        </is>
      </c>
      <c r="D2859" t="inlineStr"/>
      <c r="E2859" t="inlineStr">
        <is>
          <t>Vacal</t>
        </is>
      </c>
      <c r="F2859" t="inlineStr">
        <is>
          <t>ITI 15 – Henko (Osmar)</t>
        </is>
      </c>
      <c r="G2859" t="inlineStr"/>
      <c r="H2859" t="inlineStr"/>
      <c r="I2859" t="inlineStr"/>
      <c r="J2859" t="inlineStr">
        <is>
          <t>Atividade</t>
        </is>
      </c>
      <c r="K2859" t="inlineStr">
        <is>
          <t>Apoio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46182</v>
      </c>
      <c r="B2860" t="inlineStr">
        <is>
          <t>Terça</t>
        </is>
      </c>
      <c r="C2860" t="inlineStr">
        <is>
          <t>Guindauto</t>
        </is>
      </c>
      <c r="D2860" t="inlineStr"/>
      <c r="E2860" t="inlineStr">
        <is>
          <t>Guindauto</t>
        </is>
      </c>
      <c r="F2860" t="inlineStr">
        <is>
          <t>Marcio - Apoio as equipes</t>
        </is>
      </c>
      <c r="G2860" t="inlineStr"/>
      <c r="H2860" t="inlineStr"/>
      <c r="I2860" t="inlineStr"/>
      <c r="J2860" t="inlineStr">
        <is>
          <t>Atividade</t>
        </is>
      </c>
      <c r="K2860" t="inlineStr">
        <is>
          <t>Apoio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46182</v>
      </c>
      <c r="B2861" t="inlineStr">
        <is>
          <t>Terça</t>
        </is>
      </c>
      <c r="C2861" t="inlineStr">
        <is>
          <t>Guindauto</t>
        </is>
      </c>
      <c r="D2861" t="inlineStr"/>
      <c r="E2861" t="inlineStr">
        <is>
          <t>Guindauto</t>
        </is>
      </c>
      <c r="F2861" t="inlineStr">
        <is>
          <t>Luiz - Apoio as equipes</t>
        </is>
      </c>
      <c r="G2861" t="inlineStr"/>
      <c r="H2861" t="inlineStr"/>
      <c r="I2861" t="inlineStr"/>
      <c r="J2861" t="inlineStr">
        <is>
          <t>Atividade</t>
        </is>
      </c>
      <c r="K2861" t="inlineStr">
        <is>
          <t>Apoio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2026-06-09T11:10:32Z</dcterms:modified>
  <cp:lastModifiedBy>Cleulton Marcio Goncalves Freire</cp:lastModifiedBy>
</cp:coreProperties>
</file>