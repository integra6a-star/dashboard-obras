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17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/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E3016" t="inlineStr">
        <is>
          <t>Vacal</t>
        </is>
      </c>
      <c r="F3016" t="inlineStr">
        <is>
          <t>João Canzi - Henko</t>
        </is>
      </c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E3017" t="inlineStr">
        <is>
          <t>Vacal</t>
        </is>
      </c>
      <c r="F3017" t="inlineStr">
        <is>
          <t>João Canzi - Henko</t>
        </is>
      </c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E3018" t="inlineStr">
        <is>
          <t>Vacal</t>
        </is>
      </c>
      <c r="F3018" t="inlineStr">
        <is>
          <t>ITI 15 - Henko</t>
        </is>
      </c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E3019" t="inlineStr">
        <is>
          <t>Marcio</t>
        </is>
      </c>
      <c r="F3019" t="inlineStr">
        <is>
          <t>Marcio - Apoio as equipes</t>
        </is>
      </c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E3020" t="inlineStr">
        <is>
          <t>Luiz</t>
        </is>
      </c>
      <c r="F3020" t="inlineStr">
        <is>
          <t>Luiz - Apoio as equipes</t>
        </is>
      </c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E3036" t="inlineStr">
        <is>
          <t>Vacal</t>
        </is>
      </c>
      <c r="F3036" t="inlineStr">
        <is>
          <t>Água Vermelha - Henko</t>
        </is>
      </c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E3037" t="inlineStr">
        <is>
          <t>Vacal</t>
        </is>
      </c>
      <c r="F3037" t="inlineStr">
        <is>
          <t>ITI 15 - Henko</t>
        </is>
      </c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E3038" t="inlineStr">
        <is>
          <t>Marcio</t>
        </is>
      </c>
      <c r="F3038" t="inlineStr">
        <is>
          <t>Marcio - Apoio as equipes</t>
        </is>
      </c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E3039" t="inlineStr">
        <is>
          <t>Luiz</t>
        </is>
      </c>
      <c r="F3039" t="inlineStr">
        <is>
          <t>Luiz - Apoio as equipes</t>
        </is>
      </c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  <row r="3040">
      <c r="A3040" s="36" t="n">
        <v>46196</v>
      </c>
      <c r="B3040" t="inlineStr">
        <is>
          <t>Terça</t>
        </is>
      </c>
      <c r="C3040" t="inlineStr">
        <is>
          <t>CT Água Vermelha ME</t>
        </is>
      </c>
      <c r="D3040" t="inlineStr">
        <is>
          <t>Valmir</t>
        </is>
      </c>
      <c r="E3040" t="inlineStr">
        <is>
          <t>Cesar</t>
        </is>
      </c>
      <c r="F3040" t="inlineStr">
        <is>
          <t>Adequação PVE 07</t>
        </is>
      </c>
      <c r="G3040" t="inlineStr">
        <is>
          <t>07</t>
        </is>
      </c>
      <c r="I3040" t="inlineStr">
        <is>
          <t>07</t>
        </is>
      </c>
      <c r="J3040" t="inlineStr">
        <is>
          <t>Adequação</t>
        </is>
      </c>
      <c r="K3040" t="inlineStr">
        <is>
          <t>Planejamento</t>
        </is>
      </c>
      <c r="L3040" t="inlineStr">
        <is>
          <t>PDS_manual_2026-06-23</t>
        </is>
      </c>
      <c r="M3040">
        <f>IF($A3040="","",TEXT($A3040,"mmmm/yyyy"))</f>
        <v/>
      </c>
      <c r="P3040">
        <f>IFERROR(XLOOKUP($N3040,Base_Enderecos!$A:$A,Base_Enderecos!$B:$B,""),"")</f>
        <v/>
      </c>
      <c r="Q3040">
        <f>IFERROR(XLOOKUP($N3040,Base_Enderecos!$A:$A,Base_Enderecos!$C:$C,""),"")</f>
        <v/>
      </c>
      <c r="R3040">
        <f>IF(ISNUMBER(SEARCH("HDD",$F3040)),"HDD",IF(ISNUMBER(SEARCH("VCA",$F3040)),"VCA","MND"))</f>
        <v/>
      </c>
      <c r="T3040">
        <f>TEXT($A3040,"yyyy-mm")&amp;"|"&amp;$C3040&amp;"|"&amp;$I3040</f>
        <v/>
      </c>
    </row>
    <row r="3041">
      <c r="A3041" s="36" t="n">
        <v>46196</v>
      </c>
      <c r="B3041" t="inlineStr">
        <is>
          <t>Terça</t>
        </is>
      </c>
      <c r="C3041" t="inlineStr">
        <is>
          <t>RCE Conj. União</t>
        </is>
      </c>
      <c r="D3041" t="inlineStr">
        <is>
          <t>Silvestre</t>
        </is>
      </c>
      <c r="E3041" t="inlineStr">
        <is>
          <t>Jhonatan</t>
        </is>
      </c>
      <c r="F3041" t="inlineStr">
        <is>
          <t>VCA PV 48 ao PV 47</t>
        </is>
      </c>
      <c r="G3041" t="inlineStr">
        <is>
          <t>48</t>
        </is>
      </c>
      <c r="H3041" t="inlineStr">
        <is>
          <t>47</t>
        </is>
      </c>
      <c r="I3041" t="inlineStr">
        <is>
          <t>48 ao 47</t>
        </is>
      </c>
      <c r="J3041" t="inlineStr">
        <is>
          <t>VCA</t>
        </is>
      </c>
      <c r="K3041" t="inlineStr">
        <is>
          <t>Planejamento</t>
        </is>
      </c>
      <c r="L3041" t="inlineStr">
        <is>
          <t>PDS_manual_2026-06-23</t>
        </is>
      </c>
      <c r="M3041">
        <f>IF($A3041="","",TEXT($A3041,"mmmm/yyyy"))</f>
        <v/>
      </c>
      <c r="P3041">
        <f>IFERROR(XLOOKUP($N3041,Base_Enderecos!$A:$A,Base_Enderecos!$B:$B,""),"")</f>
        <v/>
      </c>
      <c r="Q3041">
        <f>IFERROR(XLOOKUP($N3041,Base_Enderecos!$A:$A,Base_Enderecos!$C:$C,""),"")</f>
        <v/>
      </c>
      <c r="R3041">
        <f>IF(ISNUMBER(SEARCH("HDD",$F3041)),"HDD",IF(ISNUMBER(SEARCH("VCA",$F3041)),"VCA","MND"))</f>
        <v/>
      </c>
      <c r="T3041">
        <f>TEXT($A3041,"yyyy-mm")&amp;"|"&amp;$C3041&amp;"|"&amp;$I3041</f>
        <v/>
      </c>
    </row>
    <row r="3042">
      <c r="A3042" s="36" t="n">
        <v>46196</v>
      </c>
      <c r="B3042" t="inlineStr">
        <is>
          <t>Terça</t>
        </is>
      </c>
      <c r="C3042" t="inlineStr">
        <is>
          <t>CT Barão de Arariba</t>
        </is>
      </c>
      <c r="D3042" t="inlineStr">
        <is>
          <t>Silvestre</t>
        </is>
      </c>
      <c r="E3042" t="inlineStr">
        <is>
          <t>Edvando</t>
        </is>
      </c>
      <c r="F3042" t="inlineStr">
        <is>
          <t>Adequação PV 10</t>
        </is>
      </c>
      <c r="G3042" t="inlineStr">
        <is>
          <t>10</t>
        </is>
      </c>
      <c r="I3042" t="inlineStr">
        <is>
          <t>10</t>
        </is>
      </c>
      <c r="J3042" t="inlineStr">
        <is>
          <t>Adequação</t>
        </is>
      </c>
      <c r="K3042" t="inlineStr">
        <is>
          <t>Planejamento</t>
        </is>
      </c>
      <c r="L3042" t="inlineStr">
        <is>
          <t>PDS_manual_2026-06-23</t>
        </is>
      </c>
      <c r="M3042">
        <f>IF($A3042="","",TEXT($A3042,"mmmm/yyyy"))</f>
        <v/>
      </c>
      <c r="P3042">
        <f>IFERROR(XLOOKUP($N3042,Base_Enderecos!$A:$A,Base_Enderecos!$B:$B,""),"")</f>
        <v/>
      </c>
      <c r="Q3042">
        <f>IFERROR(XLOOKUP($N3042,Base_Enderecos!$A:$A,Base_Enderecos!$C:$C,""),"")</f>
        <v/>
      </c>
      <c r="R3042">
        <f>IF(ISNUMBER(SEARCH("HDD",$F3042)),"HDD",IF(ISNUMBER(SEARCH("VCA",$F3042)),"VCA","MND"))</f>
        <v/>
      </c>
      <c r="T3042">
        <f>TEXT($A3042,"yyyy-mm")&amp;"|"&amp;$C3042&amp;"|"&amp;$I3042</f>
        <v/>
      </c>
    </row>
    <row r="3043">
      <c r="A3043" s="36" t="n">
        <v>46196</v>
      </c>
      <c r="B3043" t="inlineStr">
        <is>
          <t>Terça</t>
        </is>
      </c>
      <c r="C3043" t="inlineStr">
        <is>
          <t>RCE Maria Dos Santos Machado</t>
        </is>
      </c>
      <c r="D3043" t="inlineStr">
        <is>
          <t>Caroline</t>
        </is>
      </c>
      <c r="E3043" t="inlineStr">
        <is>
          <t>Marcio</t>
        </is>
      </c>
      <c r="F3043" t="inlineStr">
        <is>
          <t>VCA PV 01 ao PV 02</t>
        </is>
      </c>
      <c r="G3043" t="inlineStr">
        <is>
          <t>01</t>
        </is>
      </c>
      <c r="H3043" t="inlineStr">
        <is>
          <t>02</t>
        </is>
      </c>
      <c r="I3043" t="inlineStr">
        <is>
          <t>01 ao 02</t>
        </is>
      </c>
      <c r="J3043" t="inlineStr">
        <is>
          <t>VCA</t>
        </is>
      </c>
      <c r="K3043" t="inlineStr">
        <is>
          <t>Planejamento</t>
        </is>
      </c>
      <c r="L3043" t="inlineStr">
        <is>
          <t>PDS_manual_2026-06-23</t>
        </is>
      </c>
      <c r="M3043">
        <f>IF($A3043="","",TEXT($A3043,"mmmm/yyyy"))</f>
        <v/>
      </c>
      <c r="P3043">
        <f>IFERROR(XLOOKUP($N3043,Base_Enderecos!$A:$A,Base_Enderecos!$B:$B,""),"")</f>
        <v/>
      </c>
      <c r="Q3043">
        <f>IFERROR(XLOOKUP($N3043,Base_Enderecos!$A:$A,Base_Enderecos!$C:$C,""),"")</f>
        <v/>
      </c>
      <c r="R3043">
        <f>IF(ISNUMBER(SEARCH("HDD",$F3043)),"HDD",IF(ISNUMBER(SEARCH("VCA",$F3043)),"VCA","MND"))</f>
        <v/>
      </c>
      <c r="T3043">
        <f>TEXT($A3043,"yyyy-mm")&amp;"|"&amp;$C3043&amp;"|"&amp;$I3043</f>
        <v/>
      </c>
    </row>
    <row r="3044">
      <c r="A3044" s="36" t="n">
        <v>46196</v>
      </c>
      <c r="B3044" t="inlineStr">
        <is>
          <t>Terça</t>
        </is>
      </c>
      <c r="C3044" t="inlineStr">
        <is>
          <t>RCE Elvira</t>
        </is>
      </c>
      <c r="D3044" t="inlineStr">
        <is>
          <t>Caroline</t>
        </is>
      </c>
      <c r="E3044" t="inlineStr">
        <is>
          <t>Valter</t>
        </is>
      </c>
      <c r="F3044" t="inlineStr">
        <is>
          <t>VCA, PVs e Ligações</t>
        </is>
      </c>
      <c r="J3044" t="inlineStr">
        <is>
          <t>VCA</t>
        </is>
      </c>
      <c r="K3044" t="inlineStr">
        <is>
          <t>Planejamento</t>
        </is>
      </c>
      <c r="L3044" t="inlineStr">
        <is>
          <t>PDS_manual_2026-06-23</t>
        </is>
      </c>
      <c r="M3044">
        <f>IF($A3044="","",TEXT($A3044,"mmmm/yyyy"))</f>
        <v/>
      </c>
      <c r="P3044">
        <f>IFERROR(XLOOKUP($N3044,Base_Enderecos!$A:$A,Base_Enderecos!$B:$B,""),"")</f>
        <v/>
      </c>
      <c r="Q3044">
        <f>IFERROR(XLOOKUP($N3044,Base_Enderecos!$A:$A,Base_Enderecos!$C:$C,""),"")</f>
        <v/>
      </c>
      <c r="R3044">
        <f>IF(ISNUMBER(SEARCH("HDD",$F3044)),"HDD",IF(ISNUMBER(SEARCH("VCA",$F3044)),"VCA","MND"))</f>
        <v/>
      </c>
      <c r="T3044">
        <f>TEXT($A3044,"yyyy-mm")&amp;"|"&amp;$C3044&amp;"|"&amp;$I3044</f>
        <v/>
      </c>
    </row>
    <row r="3045">
      <c r="A3045" s="36" t="n">
        <v>46196</v>
      </c>
      <c r="B3045" t="inlineStr">
        <is>
          <t>Terça</t>
        </is>
      </c>
      <c r="C3045" t="inlineStr">
        <is>
          <t>CT Bandeirantes</t>
        </is>
      </c>
      <c r="D3045" t="inlineStr">
        <is>
          <t>Caroline</t>
        </is>
      </c>
      <c r="E3045" t="inlineStr">
        <is>
          <t>Marcelo</t>
        </is>
      </c>
      <c r="F3045" t="inlineStr">
        <is>
          <t>Shaft PV 33 + Interligação</t>
        </is>
      </c>
      <c r="G3045" t="inlineStr">
        <is>
          <t>33</t>
        </is>
      </c>
      <c r="I3045" t="inlineStr">
        <is>
          <t>33</t>
        </is>
      </c>
      <c r="J3045" t="inlineStr">
        <is>
          <t>Shaft</t>
        </is>
      </c>
      <c r="K3045" t="inlineStr">
        <is>
          <t>Planejamento</t>
        </is>
      </c>
      <c r="L3045" t="inlineStr">
        <is>
          <t>PDS_manual_2026-06-23</t>
        </is>
      </c>
      <c r="M3045">
        <f>IF($A3045="","",TEXT($A3045,"mmmm/yyyy"))</f>
        <v/>
      </c>
      <c r="P3045">
        <f>IFERROR(XLOOKUP($N3045,Base_Enderecos!$A:$A,Base_Enderecos!$B:$B,""),"")</f>
        <v/>
      </c>
      <c r="Q3045">
        <f>IFERROR(XLOOKUP($N3045,Base_Enderecos!$A:$A,Base_Enderecos!$C:$C,""),"")</f>
        <v/>
      </c>
      <c r="R3045">
        <f>IF(ISNUMBER(SEARCH("HDD",$F3045)),"HDD",IF(ISNUMBER(SEARCH("VCA",$F3045)),"VCA","MND"))</f>
        <v/>
      </c>
      <c r="T3045">
        <f>TEXT($A3045,"yyyy-mm")&amp;"|"&amp;$C3045&amp;"|"&amp;$I3045</f>
        <v/>
      </c>
    </row>
    <row r="3046">
      <c r="A3046" s="36" t="n">
        <v>46196</v>
      </c>
      <c r="B3046" t="inlineStr">
        <is>
          <t>Terça</t>
        </is>
      </c>
      <c r="C3046" t="inlineStr">
        <is>
          <t>RCE Raulzito</t>
        </is>
      </c>
      <c r="D3046" t="inlineStr">
        <is>
          <t>Robson</t>
        </is>
      </c>
      <c r="E3046" t="inlineStr">
        <is>
          <t>Bruno</t>
        </is>
      </c>
      <c r="F3046" t="inlineStr">
        <is>
          <t>VCA, PVs e Ligações</t>
        </is>
      </c>
      <c r="J3046" t="inlineStr">
        <is>
          <t>VCA</t>
        </is>
      </c>
      <c r="K3046" t="inlineStr">
        <is>
          <t>Planejamento</t>
        </is>
      </c>
      <c r="L3046" t="inlineStr">
        <is>
          <t>PDS_manual_2026-06-23</t>
        </is>
      </c>
      <c r="M3046">
        <f>IF($A3046="","",TEXT($A3046,"mmmm/yyyy"))</f>
        <v/>
      </c>
      <c r="P3046">
        <f>IFERROR(XLOOKUP($N3046,Base_Enderecos!$A:$A,Base_Enderecos!$B:$B,""),"")</f>
        <v/>
      </c>
      <c r="Q3046">
        <f>IFERROR(XLOOKUP($N3046,Base_Enderecos!$A:$A,Base_Enderecos!$C:$C,""),"")</f>
        <v/>
      </c>
      <c r="R3046">
        <f>IF(ISNUMBER(SEARCH("HDD",$F3046)),"HDD",IF(ISNUMBER(SEARCH("VCA",$F3046)),"VCA","MND"))</f>
        <v/>
      </c>
      <c r="T3046">
        <f>TEXT($A3046,"yyyy-mm")&amp;"|"&amp;$C3046&amp;"|"&amp;$I3046</f>
        <v/>
      </c>
    </row>
    <row r="3047">
      <c r="A3047" s="36" t="n">
        <v>46196</v>
      </c>
      <c r="B3047" t="inlineStr">
        <is>
          <t>Terça</t>
        </is>
      </c>
      <c r="C3047" t="inlineStr">
        <is>
          <t>RCE Raulzito</t>
        </is>
      </c>
      <c r="D3047" t="inlineStr">
        <is>
          <t>Robson</t>
        </is>
      </c>
      <c r="E3047" t="inlineStr">
        <is>
          <t>Medeiros</t>
        </is>
      </c>
      <c r="F3047" t="inlineStr">
        <is>
          <t>VCA, PVs e Ligações</t>
        </is>
      </c>
      <c r="J3047" t="inlineStr">
        <is>
          <t>VCA</t>
        </is>
      </c>
      <c r="K3047" t="inlineStr">
        <is>
          <t>Planejamento</t>
        </is>
      </c>
      <c r="L3047" t="inlineStr">
        <is>
          <t>PDS_manual_2026-06-23</t>
        </is>
      </c>
      <c r="M3047">
        <f>IF($A3047="","",TEXT($A3047,"mmmm/yyyy"))</f>
        <v/>
      </c>
      <c r="P3047">
        <f>IFERROR(XLOOKUP($N3047,Base_Enderecos!$A:$A,Base_Enderecos!$B:$B,""),"")</f>
        <v/>
      </c>
      <c r="Q3047">
        <f>IFERROR(XLOOKUP($N3047,Base_Enderecos!$A:$A,Base_Enderecos!$C:$C,""),"")</f>
        <v/>
      </c>
      <c r="R3047">
        <f>IF(ISNUMBER(SEARCH("HDD",$F3047)),"HDD",IF(ISNUMBER(SEARCH("VCA",$F3047)),"VCA","MND"))</f>
        <v/>
      </c>
      <c r="T3047">
        <f>TEXT($A3047,"yyyy-mm")&amp;"|"&amp;$C3047&amp;"|"&amp;$I3047</f>
        <v/>
      </c>
    </row>
    <row r="3048">
      <c r="A3048" s="36" t="n">
        <v>46196</v>
      </c>
      <c r="B3048" t="inlineStr">
        <is>
          <t>Terça</t>
        </is>
      </c>
      <c r="C3048" t="inlineStr">
        <is>
          <t>RCE Raulzito</t>
        </is>
      </c>
      <c r="D3048" t="inlineStr">
        <is>
          <t>Robson</t>
        </is>
      </c>
      <c r="E3048" t="inlineStr">
        <is>
          <t>Cidão</t>
        </is>
      </c>
      <c r="F3048" t="inlineStr">
        <is>
          <t>VCA, PVs e Ligações</t>
        </is>
      </c>
      <c r="J3048" t="inlineStr">
        <is>
          <t>VCA</t>
        </is>
      </c>
      <c r="K3048" t="inlineStr">
        <is>
          <t>Planejamento</t>
        </is>
      </c>
      <c r="L3048" t="inlineStr">
        <is>
          <t>PDS_manual_2026-06-23</t>
        </is>
      </c>
      <c r="M3048">
        <f>IF($A3048="","",TEXT($A3048,"mmmm/yyyy"))</f>
        <v/>
      </c>
      <c r="P3048">
        <f>IFERROR(XLOOKUP($N3048,Base_Enderecos!$A:$A,Base_Enderecos!$B:$B,""),"")</f>
        <v/>
      </c>
      <c r="Q3048">
        <f>IFERROR(XLOOKUP($N3048,Base_Enderecos!$A:$A,Base_Enderecos!$C:$C,""),"")</f>
        <v/>
      </c>
      <c r="R3048">
        <f>IF(ISNUMBER(SEARCH("HDD",$F3048)),"HDD",IF(ISNUMBER(SEARCH("VCA",$F3048)),"VCA","MND"))</f>
        <v/>
      </c>
      <c r="T3048">
        <f>TEXT($A3048,"yyyy-mm")&amp;"|"&amp;$C3048&amp;"|"&amp;$I3048</f>
        <v/>
      </c>
    </row>
    <row r="3049">
      <c r="A3049" s="36" t="n">
        <v>46196</v>
      </c>
      <c r="B3049" t="inlineStr">
        <is>
          <t>Terça</t>
        </is>
      </c>
      <c r="C3049" t="inlineStr">
        <is>
          <t>RCE São Lucas</t>
        </is>
      </c>
      <c r="D3049" t="inlineStr">
        <is>
          <t>Fábio</t>
        </is>
      </c>
      <c r="E3049" t="inlineStr">
        <is>
          <t>Ricardo (PI 13 ao PI 14)</t>
        </is>
      </c>
      <c r="F3049" t="inlineStr">
        <is>
          <t>VCA, PVs e Ligações</t>
        </is>
      </c>
      <c r="G3049" t="inlineStr">
        <is>
          <t>13</t>
        </is>
      </c>
      <c r="H3049" t="inlineStr">
        <is>
          <t>14</t>
        </is>
      </c>
      <c r="I3049" t="inlineStr">
        <is>
          <t>13 ao 14</t>
        </is>
      </c>
      <c r="J3049" t="inlineStr">
        <is>
          <t>VCA</t>
        </is>
      </c>
      <c r="K3049" t="inlineStr">
        <is>
          <t>Planejamento</t>
        </is>
      </c>
      <c r="L3049" t="inlineStr">
        <is>
          <t>PDS_manual_2026-06-23</t>
        </is>
      </c>
      <c r="M3049">
        <f>IF($A3049="","",TEXT($A3049,"mmmm/yyyy"))</f>
        <v/>
      </c>
      <c r="P3049">
        <f>IFERROR(XLOOKUP($N3049,Base_Enderecos!$A:$A,Base_Enderecos!$B:$B,""),"")</f>
        <v/>
      </c>
      <c r="Q3049">
        <f>IFERROR(XLOOKUP($N3049,Base_Enderecos!$A:$A,Base_Enderecos!$C:$C,""),"")</f>
        <v/>
      </c>
      <c r="R3049">
        <f>IF(ISNUMBER(SEARCH("HDD",$F3049)),"HDD",IF(ISNUMBER(SEARCH("VCA",$F3049)),"VCA","MND"))</f>
        <v/>
      </c>
      <c r="T3049">
        <f>TEXT($A3049,"yyyy-mm")&amp;"|"&amp;$C3049&amp;"|"&amp;$I3049</f>
        <v/>
      </c>
    </row>
    <row r="3050">
      <c r="A3050" s="36" t="n">
        <v>46196</v>
      </c>
      <c r="B3050" t="inlineStr">
        <is>
          <t>Terça</t>
        </is>
      </c>
      <c r="C3050" t="inlineStr">
        <is>
          <t>RCE São Lucas</t>
        </is>
      </c>
      <c r="D3050" t="inlineStr">
        <is>
          <t>Fábio</t>
        </is>
      </c>
      <c r="E3050" t="inlineStr">
        <is>
          <t>Claudinei (PI 65 ao PI 66)</t>
        </is>
      </c>
      <c r="F3050" t="inlineStr">
        <is>
          <t>VCA, PVs e Ligações</t>
        </is>
      </c>
      <c r="G3050" t="inlineStr">
        <is>
          <t>65</t>
        </is>
      </c>
      <c r="H3050" t="inlineStr">
        <is>
          <t>66</t>
        </is>
      </c>
      <c r="I3050" t="inlineStr">
        <is>
          <t>65 ao 66</t>
        </is>
      </c>
      <c r="J3050" t="inlineStr">
        <is>
          <t>VCA</t>
        </is>
      </c>
      <c r="K3050" t="inlineStr">
        <is>
          <t>Planejamento</t>
        </is>
      </c>
      <c r="L3050" t="inlineStr">
        <is>
          <t>PDS_manual_2026-06-23</t>
        </is>
      </c>
      <c r="M3050">
        <f>IF($A3050="","",TEXT($A3050,"mmmm/yyyy"))</f>
        <v/>
      </c>
      <c r="P3050">
        <f>IFERROR(XLOOKUP($N3050,Base_Enderecos!$A:$A,Base_Enderecos!$B:$B,""),"")</f>
        <v/>
      </c>
      <c r="Q3050">
        <f>IFERROR(XLOOKUP($N3050,Base_Enderecos!$A:$A,Base_Enderecos!$C:$C,""),"")</f>
        <v/>
      </c>
      <c r="R3050">
        <f>IF(ISNUMBER(SEARCH("HDD",$F3050)),"HDD",IF(ISNUMBER(SEARCH("VCA",$F3050)),"VCA","MND"))</f>
        <v/>
      </c>
      <c r="T3050">
        <f>TEXT($A3050,"yyyy-mm")&amp;"|"&amp;$C3050&amp;"|"&amp;$I3050</f>
        <v/>
      </c>
    </row>
    <row r="3051">
      <c r="A3051" s="36" t="n">
        <v>46196</v>
      </c>
      <c r="B3051" t="inlineStr">
        <is>
          <t>Terça</t>
        </is>
      </c>
      <c r="C3051" t="inlineStr">
        <is>
          <t>RCE São Lucas</t>
        </is>
      </c>
      <c r="D3051" t="inlineStr">
        <is>
          <t>Fábio</t>
        </is>
      </c>
      <c r="E3051" t="inlineStr">
        <is>
          <t>Miro (PI 61 ao PI 62)</t>
        </is>
      </c>
      <c r="F3051" t="inlineStr">
        <is>
          <t>VCA, PVs e Ligações</t>
        </is>
      </c>
      <c r="G3051" t="inlineStr">
        <is>
          <t>61</t>
        </is>
      </c>
      <c r="H3051" t="inlineStr">
        <is>
          <t>62</t>
        </is>
      </c>
      <c r="I3051" t="inlineStr">
        <is>
          <t>61 ao 62</t>
        </is>
      </c>
      <c r="J3051" t="inlineStr">
        <is>
          <t>VCA</t>
        </is>
      </c>
      <c r="K3051" t="inlineStr">
        <is>
          <t>Planejamento</t>
        </is>
      </c>
      <c r="L3051" t="inlineStr">
        <is>
          <t>PDS_manual_2026-06-23</t>
        </is>
      </c>
      <c r="M3051">
        <f>IF($A3051="","",TEXT($A3051,"mmmm/yyyy"))</f>
        <v/>
      </c>
      <c r="P3051">
        <f>IFERROR(XLOOKUP($N3051,Base_Enderecos!$A:$A,Base_Enderecos!$B:$B,""),"")</f>
        <v/>
      </c>
      <c r="Q3051">
        <f>IFERROR(XLOOKUP($N3051,Base_Enderecos!$A:$A,Base_Enderecos!$C:$C,""),"")</f>
        <v/>
      </c>
      <c r="R3051">
        <f>IF(ISNUMBER(SEARCH("HDD",$F3051)),"HDD",IF(ISNUMBER(SEARCH("VCA",$F3051)),"VCA","MND"))</f>
        <v/>
      </c>
      <c r="T3051">
        <f>TEXT($A3051,"yyyy-mm")&amp;"|"&amp;$C3051&amp;"|"&amp;$I3051</f>
        <v/>
      </c>
    </row>
    <row r="3052">
      <c r="A3052" s="36" t="n">
        <v>46196</v>
      </c>
      <c r="B3052" t="inlineStr">
        <is>
          <t>Terça</t>
        </is>
      </c>
      <c r="C3052" t="inlineStr">
        <is>
          <t>RCE São Lucas</t>
        </is>
      </c>
      <c r="D3052" t="inlineStr">
        <is>
          <t>Fábio</t>
        </is>
      </c>
      <c r="E3052" t="inlineStr">
        <is>
          <t>Emanuel (PI 48 ao PI 49)</t>
        </is>
      </c>
      <c r="F3052" t="inlineStr">
        <is>
          <t>VCA, PVs e Ligações</t>
        </is>
      </c>
      <c r="G3052" t="inlineStr">
        <is>
          <t>48</t>
        </is>
      </c>
      <c r="H3052" t="inlineStr">
        <is>
          <t>49</t>
        </is>
      </c>
      <c r="I3052" t="inlineStr">
        <is>
          <t>48 ao 49</t>
        </is>
      </c>
      <c r="J3052" t="inlineStr">
        <is>
          <t>VCA</t>
        </is>
      </c>
      <c r="K3052" t="inlineStr">
        <is>
          <t>Planejamento</t>
        </is>
      </c>
      <c r="L3052" t="inlineStr">
        <is>
          <t>PDS_manual_2026-06-23</t>
        </is>
      </c>
      <c r="M3052">
        <f>IF($A3052="","",TEXT($A3052,"mmmm/yyyy"))</f>
        <v/>
      </c>
      <c r="P3052">
        <f>IFERROR(XLOOKUP($N3052,Base_Enderecos!$A:$A,Base_Enderecos!$B:$B,""),"")</f>
        <v/>
      </c>
      <c r="Q3052">
        <f>IFERROR(XLOOKUP($N3052,Base_Enderecos!$A:$A,Base_Enderecos!$C:$C,""),"")</f>
        <v/>
      </c>
      <c r="R3052">
        <f>IF(ISNUMBER(SEARCH("HDD",$F3052)),"HDD",IF(ISNUMBER(SEARCH("VCA",$F3052)),"VCA","MND"))</f>
        <v/>
      </c>
      <c r="T3052">
        <f>TEXT($A3052,"yyyy-mm")&amp;"|"&amp;$C3052&amp;"|"&amp;$I3052</f>
        <v/>
      </c>
    </row>
    <row r="3053">
      <c r="A3053" s="36" t="n">
        <v>46196</v>
      </c>
      <c r="B3053" t="inlineStr">
        <is>
          <t>Terça</t>
        </is>
      </c>
      <c r="C3053" t="inlineStr">
        <is>
          <t>RCE São Lucas</t>
        </is>
      </c>
      <c r="D3053" t="inlineStr">
        <is>
          <t>Fábio</t>
        </is>
      </c>
      <c r="E3053" t="inlineStr">
        <is>
          <t>Antonio (PI 18 ao PI 17)</t>
        </is>
      </c>
      <c r="F3053" t="inlineStr">
        <is>
          <t>VCA, PVs e Ligações</t>
        </is>
      </c>
      <c r="G3053" t="inlineStr">
        <is>
          <t>18</t>
        </is>
      </c>
      <c r="H3053" t="inlineStr">
        <is>
          <t>17</t>
        </is>
      </c>
      <c r="I3053" t="inlineStr">
        <is>
          <t>18 ao 17</t>
        </is>
      </c>
      <c r="J3053" t="inlineStr">
        <is>
          <t>VCA</t>
        </is>
      </c>
      <c r="K3053" t="inlineStr">
        <is>
          <t>Planejamento</t>
        </is>
      </c>
      <c r="L3053" t="inlineStr">
        <is>
          <t>PDS_manual_2026-06-23</t>
        </is>
      </c>
      <c r="M3053">
        <f>IF($A3053="","",TEXT($A3053,"mmmm/yyyy"))</f>
        <v/>
      </c>
      <c r="P3053">
        <f>IFERROR(XLOOKUP($N3053,Base_Enderecos!$A:$A,Base_Enderecos!$B:$B,""),"")</f>
        <v/>
      </c>
      <c r="Q3053">
        <f>IFERROR(XLOOKUP($N3053,Base_Enderecos!$A:$A,Base_Enderecos!$C:$C,""),"")</f>
        <v/>
      </c>
      <c r="R3053">
        <f>IF(ISNUMBER(SEARCH("HDD",$F3053)),"HDD",IF(ISNUMBER(SEARCH("VCA",$F3053)),"VCA","MND"))</f>
        <v/>
      </c>
      <c r="T3053">
        <f>TEXT($A3053,"yyyy-mm")&amp;"|"&amp;$C3053&amp;"|"&amp;$I3053</f>
        <v/>
      </c>
    </row>
    <row r="3054">
      <c r="A3054" s="36" t="n">
        <v>46196</v>
      </c>
      <c r="B3054" t="inlineStr">
        <is>
          <t>Terça</t>
        </is>
      </c>
      <c r="C3054" t="inlineStr">
        <is>
          <t>Serviços Reposição</t>
        </is>
      </c>
      <c r="D3054" t="inlineStr">
        <is>
          <t>Leandro</t>
        </is>
      </c>
      <c r="E3054" t="inlineStr">
        <is>
          <t>Reparos Gerais</t>
        </is>
      </c>
      <c r="F3054" t="inlineStr">
        <is>
          <t>Reparos Gerais</t>
        </is>
      </c>
      <c r="J3054" t="inlineStr">
        <is>
          <t>Atividade</t>
        </is>
      </c>
      <c r="K3054" t="inlineStr">
        <is>
          <t>Planejamento</t>
        </is>
      </c>
      <c r="L3054" t="inlineStr">
        <is>
          <t>PDS_manual_2026-06-23</t>
        </is>
      </c>
      <c r="M3054">
        <f>IF($A3054="","",TEXT($A3054,"mmmm/yyyy"))</f>
        <v/>
      </c>
      <c r="P3054">
        <f>IFERROR(XLOOKUP($N3054,Base_Enderecos!$A:$A,Base_Enderecos!$B:$B,""),"")</f>
        <v/>
      </c>
      <c r="Q3054">
        <f>IFERROR(XLOOKUP($N3054,Base_Enderecos!$A:$A,Base_Enderecos!$C:$C,""),"")</f>
        <v/>
      </c>
      <c r="R3054">
        <f>IF(ISNUMBER(SEARCH("HDD",$F3054)),"HDD",IF(ISNUMBER(SEARCH("VCA",$F3054)),"VCA","MND"))</f>
        <v/>
      </c>
      <c r="T3054">
        <f>TEXT($A3054,"yyyy-mm")&amp;"|"&amp;$C3054&amp;"|"&amp;$I3054</f>
        <v/>
      </c>
    </row>
    <row r="3055">
      <c r="A3055" s="36" t="n">
        <v>46196</v>
      </c>
      <c r="B3055" t="inlineStr">
        <is>
          <t>Terça</t>
        </is>
      </c>
      <c r="C3055" t="inlineStr">
        <is>
          <t>Água Vermelha</t>
        </is>
      </c>
      <c r="D3055" t="inlineStr">
        <is>
          <t>Henko</t>
        </is>
      </c>
      <c r="E3055" t="inlineStr">
        <is>
          <t>Vacal</t>
        </is>
      </c>
      <c r="F3055" t="inlineStr">
        <is>
          <t>Água Vermelha - Henko</t>
        </is>
      </c>
      <c r="J3055" t="inlineStr">
        <is>
          <t>Atividade</t>
        </is>
      </c>
      <c r="K3055" t="inlineStr">
        <is>
          <t>Apoio</t>
        </is>
      </c>
      <c r="L3055" t="inlineStr">
        <is>
          <t>PDS_manual_2026-06-23</t>
        </is>
      </c>
      <c r="M3055">
        <f>IF($A3055="","",TEXT($A3055,"mmmm/yyyy"))</f>
        <v/>
      </c>
      <c r="P3055">
        <f>IFERROR(XLOOKUP($N3055,Base_Enderecos!$A:$A,Base_Enderecos!$B:$B,""),"")</f>
        <v/>
      </c>
      <c r="Q3055">
        <f>IFERROR(XLOOKUP($N3055,Base_Enderecos!$A:$A,Base_Enderecos!$C:$C,""),"")</f>
        <v/>
      </c>
      <c r="R3055">
        <f>IF(ISNUMBER(SEARCH("HDD",$F3055)),"HDD",IF(ISNUMBER(SEARCH("VCA",$F3055)),"VCA","MND"))</f>
        <v/>
      </c>
      <c r="T3055">
        <f>TEXT($A3055,"yyyy-mm")&amp;"|"&amp;$C3055&amp;"|"&amp;$I3055</f>
        <v/>
      </c>
    </row>
    <row r="3056">
      <c r="A3056" s="36" t="n">
        <v>46196</v>
      </c>
      <c r="B3056" t="inlineStr">
        <is>
          <t>Terça</t>
        </is>
      </c>
      <c r="C3056" t="inlineStr">
        <is>
          <t>CT Lourdes</t>
        </is>
      </c>
      <c r="D3056" t="inlineStr">
        <is>
          <t>Henko</t>
        </is>
      </c>
      <c r="E3056" t="inlineStr">
        <is>
          <t>Vacal</t>
        </is>
      </c>
      <c r="F3056" t="inlineStr">
        <is>
          <t>CT Lourdes - Henko</t>
        </is>
      </c>
      <c r="J3056" t="inlineStr">
        <is>
          <t>Atividade</t>
        </is>
      </c>
      <c r="K3056" t="inlineStr">
        <is>
          <t>Apoio</t>
        </is>
      </c>
      <c r="L3056" t="inlineStr">
        <is>
          <t>PDS_manual_2026-06-23</t>
        </is>
      </c>
      <c r="M3056">
        <f>IF($A3056="","",TEXT($A3056,"mmmm/yyyy"))</f>
        <v/>
      </c>
      <c r="P3056">
        <f>IFERROR(XLOOKUP($N3056,Base_Enderecos!$A:$A,Base_Enderecos!$B:$B,""),"")</f>
        <v/>
      </c>
      <c r="Q3056">
        <f>IFERROR(XLOOKUP($N3056,Base_Enderecos!$A:$A,Base_Enderecos!$C:$C,""),"")</f>
        <v/>
      </c>
      <c r="R3056">
        <f>IF(ISNUMBER(SEARCH("HDD",$F3056)),"HDD",IF(ISNUMBER(SEARCH("VCA",$F3056)),"VCA","MND"))</f>
        <v/>
      </c>
      <c r="T3056">
        <f>TEXT($A3056,"yyyy-mm")&amp;"|"&amp;$C3056&amp;"|"&amp;$I3056</f>
        <v/>
      </c>
    </row>
    <row r="3057">
      <c r="A3057" s="36" t="n">
        <v>46196</v>
      </c>
      <c r="B3057" t="inlineStr">
        <is>
          <t>Terça</t>
        </is>
      </c>
      <c r="C3057" t="inlineStr">
        <is>
          <t>CT Lourdes</t>
        </is>
      </c>
      <c r="D3057" t="inlineStr">
        <is>
          <t>Henko</t>
        </is>
      </c>
      <c r="E3057" t="inlineStr">
        <is>
          <t>Vacal</t>
        </is>
      </c>
      <c r="F3057" t="inlineStr">
        <is>
          <t>CT Lourdes - Henko</t>
        </is>
      </c>
      <c r="J3057" t="inlineStr">
        <is>
          <t>Atividade</t>
        </is>
      </c>
      <c r="K3057" t="inlineStr">
        <is>
          <t>Apoio</t>
        </is>
      </c>
      <c r="L3057" t="inlineStr">
        <is>
          <t>PDS_manual_2026-06-23</t>
        </is>
      </c>
      <c r="M3057">
        <f>IF($A3057="","",TEXT($A3057,"mmmm/yyyy"))</f>
        <v/>
      </c>
      <c r="P3057">
        <f>IFERROR(XLOOKUP($N3057,Base_Enderecos!$A:$A,Base_Enderecos!$B:$B,""),"")</f>
        <v/>
      </c>
      <c r="Q3057">
        <f>IFERROR(XLOOKUP($N3057,Base_Enderecos!$A:$A,Base_Enderecos!$C:$C,""),"")</f>
        <v/>
      </c>
      <c r="R3057">
        <f>IF(ISNUMBER(SEARCH("HDD",$F3057)),"HDD",IF(ISNUMBER(SEARCH("VCA",$F3057)),"VCA","MND"))</f>
        <v/>
      </c>
      <c r="T3057">
        <f>TEXT($A3057,"yyyy-mm")&amp;"|"&amp;$C3057&amp;"|"&amp;$I3057</f>
        <v/>
      </c>
    </row>
    <row r="3058">
      <c r="A3058" s="36" t="n">
        <v>46196</v>
      </c>
      <c r="B3058" t="inlineStr">
        <is>
          <t>Terça</t>
        </is>
      </c>
      <c r="C3058" t="inlineStr">
        <is>
          <t>Guindauto</t>
        </is>
      </c>
      <c r="E3058" t="inlineStr">
        <is>
          <t>Marcio</t>
        </is>
      </c>
      <c r="F3058" t="inlineStr">
        <is>
          <t>Apoio as equipes</t>
        </is>
      </c>
      <c r="J3058" t="inlineStr">
        <is>
          <t>Atividade</t>
        </is>
      </c>
      <c r="K3058" t="inlineStr">
        <is>
          <t>Apoio</t>
        </is>
      </c>
      <c r="L3058" t="inlineStr">
        <is>
          <t>PDS_manual_2026-06-23</t>
        </is>
      </c>
      <c r="M3058">
        <f>IF($A3058="","",TEXT($A3058,"mmmm/yyyy"))</f>
        <v/>
      </c>
      <c r="P3058">
        <f>IFERROR(XLOOKUP($N3058,Base_Enderecos!$A:$A,Base_Enderecos!$B:$B,""),"")</f>
        <v/>
      </c>
      <c r="Q3058">
        <f>IFERROR(XLOOKUP($N3058,Base_Enderecos!$A:$A,Base_Enderecos!$C:$C,""),"")</f>
        <v/>
      </c>
      <c r="R3058">
        <f>IF(ISNUMBER(SEARCH("HDD",$F3058)),"HDD",IF(ISNUMBER(SEARCH("VCA",$F3058)),"VCA","MND"))</f>
        <v/>
      </c>
      <c r="T3058">
        <f>TEXT($A3058,"yyyy-mm")&amp;"|"&amp;$C3058&amp;"|"&amp;$I3058</f>
        <v/>
      </c>
    </row>
    <row r="3059">
      <c r="A3059" s="36" t="n">
        <v>46196</v>
      </c>
      <c r="B3059" t="inlineStr">
        <is>
          <t>Terça</t>
        </is>
      </c>
      <c r="C3059" t="inlineStr">
        <is>
          <t>Guindauto</t>
        </is>
      </c>
      <c r="E3059" t="inlineStr">
        <is>
          <t>Luiz</t>
        </is>
      </c>
      <c r="F3059" t="inlineStr">
        <is>
          <t>Apoio as equipes</t>
        </is>
      </c>
      <c r="J3059" t="inlineStr">
        <is>
          <t>Atividade</t>
        </is>
      </c>
      <c r="K3059" t="inlineStr">
        <is>
          <t>Apoio</t>
        </is>
      </c>
      <c r="L3059" t="inlineStr">
        <is>
          <t>PDS_manual_2026-06-23</t>
        </is>
      </c>
      <c r="M3059">
        <f>IF($A3059="","",TEXT($A3059,"mmmm/yyyy"))</f>
        <v/>
      </c>
      <c r="P3059">
        <f>IFERROR(XLOOKUP($N3059,Base_Enderecos!$A:$A,Base_Enderecos!$B:$B,""),"")</f>
        <v/>
      </c>
      <c r="Q3059">
        <f>IFERROR(XLOOKUP($N3059,Base_Enderecos!$A:$A,Base_Enderecos!$C:$C,""),"")</f>
        <v/>
      </c>
      <c r="R3059">
        <f>IF(ISNUMBER(SEARCH("HDD",$F3059)),"HDD",IF(ISNUMBER(SEARCH("VCA",$F3059)),"VCA","MND"))</f>
        <v/>
      </c>
      <c r="T3059">
        <f>TEXT($A3059,"yyyy-mm")&amp;"|"&amp;$C3059&amp;"|"&amp;$I3059</f>
        <v/>
      </c>
    </row>
    <row r="3060">
      <c r="A3060" s="36" t="n">
        <v>46195</v>
      </c>
      <c r="B3060" t="inlineStr">
        <is>
          <t>Segunda</t>
        </is>
      </c>
      <c r="C3060" t="inlineStr">
        <is>
          <t>CT Água Vermelha ME</t>
        </is>
      </c>
      <c r="D3060" t="inlineStr">
        <is>
          <t>Valmir</t>
        </is>
      </c>
      <c r="E3060" t="inlineStr">
        <is>
          <t>Cesar</t>
        </is>
      </c>
      <c r="F3060" t="inlineStr">
        <is>
          <t>Adequação PVE 07</t>
        </is>
      </c>
      <c r="G3060" t="inlineStr">
        <is>
          <t>07</t>
        </is>
      </c>
      <c r="I3060" t="inlineStr">
        <is>
          <t>07</t>
        </is>
      </c>
      <c r="J3060" t="inlineStr">
        <is>
          <t>Atividade</t>
        </is>
      </c>
      <c r="K3060" t="inlineStr">
        <is>
          <t>Planejamento</t>
        </is>
      </c>
      <c r="L3060" t="inlineStr">
        <is>
          <t>PDS-Junho.docx</t>
        </is>
      </c>
      <c r="M3060">
        <f>IF($A3060="","",TEXT($A3060,"mmmm/yyyy"))</f>
        <v/>
      </c>
      <c r="P3060">
        <f>IFERROR(XLOOKUP($N3060,Base_Enderecos!$A:$A,Base_Enderecos!$B:$B,""),"")</f>
        <v/>
      </c>
      <c r="Q3060">
        <f>IFERROR(XLOOKUP($N3060,Base_Enderecos!$A:$A,Base_Enderecos!$C:$C,""),"")</f>
        <v/>
      </c>
      <c r="R3060">
        <f>IF(ISNUMBER(SEARCH("HDD",$F3060)),"HDD",IF(ISNUMBER(SEARCH("VCA",$F3060)),"VCA","MND"))</f>
        <v/>
      </c>
      <c r="T3060">
        <f>TEXT($A3060,"yyyy-mm")&amp;"|"&amp;$C3060&amp;"|"&amp;$I3060</f>
        <v/>
      </c>
    </row>
    <row r="3061">
      <c r="A3061" s="36" t="n">
        <v>46195</v>
      </c>
      <c r="B3061" t="inlineStr">
        <is>
          <t>Segunda</t>
        </is>
      </c>
      <c r="C3061" t="inlineStr">
        <is>
          <t>RCE Maria Dos Santos Machado</t>
        </is>
      </c>
      <c r="D3061" t="inlineStr">
        <is>
          <t>Silvestre</t>
        </is>
      </c>
      <c r="E3061" t="inlineStr">
        <is>
          <t>Marcio</t>
        </is>
      </c>
      <c r="F3061" t="inlineStr">
        <is>
          <t>VCA PVP-0 ao PV-1</t>
        </is>
      </c>
      <c r="G3061" t="inlineStr">
        <is>
          <t>1</t>
        </is>
      </c>
      <c r="I3061" t="inlineStr">
        <is>
          <t>1</t>
        </is>
      </c>
      <c r="J3061" t="inlineStr">
        <is>
          <t>VCA</t>
        </is>
      </c>
      <c r="K3061" t="inlineStr">
        <is>
          <t>Planejamento</t>
        </is>
      </c>
      <c r="L3061" t="inlineStr">
        <is>
          <t>PDS-Junho.docx</t>
        </is>
      </c>
      <c r="M3061">
        <f>IF($A3061="","",TEXT($A3061,"mmmm/yyyy"))</f>
        <v/>
      </c>
      <c r="P3061">
        <f>IFERROR(XLOOKUP($N3061,Base_Enderecos!$A:$A,Base_Enderecos!$B:$B,""),"")</f>
        <v/>
      </c>
      <c r="Q3061">
        <f>IFERROR(XLOOKUP($N3061,Base_Enderecos!$A:$A,Base_Enderecos!$C:$C,""),"")</f>
        <v/>
      </c>
      <c r="R3061">
        <f>IF(ISNUMBER(SEARCH("HDD",$F3061)),"HDD",IF(ISNUMBER(SEARCH("VCA",$F3061)),"VCA","MND"))</f>
        <v/>
      </c>
      <c r="T3061">
        <f>TEXT($A3061,"yyyy-mm")&amp;"|"&amp;$C3061&amp;"|"&amp;$I3061</f>
        <v/>
      </c>
    </row>
    <row r="3062">
      <c r="A3062" s="36" t="n">
        <v>46195</v>
      </c>
      <c r="B3062" t="inlineStr">
        <is>
          <t>Segunda</t>
        </is>
      </c>
      <c r="C3062" t="inlineStr">
        <is>
          <t>RCE Conj. União</t>
        </is>
      </c>
      <c r="D3062" t="inlineStr">
        <is>
          <t>Silvestre</t>
        </is>
      </c>
      <c r="E3062" t="inlineStr">
        <is>
          <t>Jhonatan</t>
        </is>
      </c>
      <c r="F3062" t="inlineStr">
        <is>
          <t>VCA PV 48 ao PV 47</t>
        </is>
      </c>
      <c r="G3062" t="inlineStr">
        <is>
          <t>48</t>
        </is>
      </c>
      <c r="H3062" t="inlineStr">
        <is>
          <t>47</t>
        </is>
      </c>
      <c r="I3062" t="inlineStr">
        <is>
          <t>48 ao 47</t>
        </is>
      </c>
      <c r="J3062" t="inlineStr">
        <is>
          <t>VCA</t>
        </is>
      </c>
      <c r="K3062" t="inlineStr">
        <is>
          <t>Planejamento</t>
        </is>
      </c>
      <c r="L3062" t="inlineStr">
        <is>
          <t>PDS-Junho.docx</t>
        </is>
      </c>
      <c r="M3062">
        <f>IF($A3062="","",TEXT($A3062,"mmmm/yyyy"))</f>
        <v/>
      </c>
      <c r="P3062">
        <f>IFERROR(XLOOKUP($N3062,Base_Enderecos!$A:$A,Base_Enderecos!$B:$B,""),"")</f>
        <v/>
      </c>
      <c r="Q3062">
        <f>IFERROR(XLOOKUP($N3062,Base_Enderecos!$A:$A,Base_Enderecos!$C:$C,""),"")</f>
        <v/>
      </c>
      <c r="R3062">
        <f>IF(ISNUMBER(SEARCH("HDD",$F3062)),"HDD",IF(ISNUMBER(SEARCH("VCA",$F3062)),"VCA","MND"))</f>
        <v/>
      </c>
      <c r="T3062">
        <f>TEXT($A3062,"yyyy-mm")&amp;"|"&amp;$C3062&amp;"|"&amp;$I3062</f>
        <v/>
      </c>
    </row>
    <row r="3063">
      <c r="A3063" s="36" t="n">
        <v>46195</v>
      </c>
      <c r="B3063" t="inlineStr">
        <is>
          <t>Segunda</t>
        </is>
      </c>
      <c r="C3063" t="inlineStr">
        <is>
          <t>RCE Elias Sleiman</t>
        </is>
      </c>
      <c r="D3063" t="inlineStr">
        <is>
          <t>Caroline</t>
        </is>
      </c>
      <c r="E3063" t="inlineStr">
        <is>
          <t>Edvando</t>
        </is>
      </c>
      <c r="F3063" t="inlineStr">
        <is>
          <t>Ligações</t>
        </is>
      </c>
      <c r="J3063" t="inlineStr">
        <is>
          <t>Ligação</t>
        </is>
      </c>
      <c r="K3063" t="inlineStr">
        <is>
          <t>Planejamento</t>
        </is>
      </c>
      <c r="L3063" t="inlineStr">
        <is>
          <t>PDS-Junho.docx</t>
        </is>
      </c>
      <c r="M3063">
        <f>IF($A3063="","",TEXT($A3063,"mmmm/yyyy"))</f>
        <v/>
      </c>
      <c r="P3063">
        <f>IFERROR(XLOOKUP($N3063,Base_Enderecos!$A:$A,Base_Enderecos!$B:$B,""),"")</f>
        <v/>
      </c>
      <c r="Q3063">
        <f>IFERROR(XLOOKUP($N3063,Base_Enderecos!$A:$A,Base_Enderecos!$C:$C,""),"")</f>
        <v/>
      </c>
      <c r="R3063">
        <f>IF(ISNUMBER(SEARCH("HDD",$F3063)),"HDD",IF(ISNUMBER(SEARCH("VCA",$F3063)),"VCA","MND"))</f>
        <v/>
      </c>
      <c r="T3063">
        <f>TEXT($A3063,"yyyy-mm")&amp;"|"&amp;$C3063&amp;"|"&amp;$I3063</f>
        <v/>
      </c>
    </row>
    <row r="3064">
      <c r="A3064" s="36" t="n">
        <v>46195</v>
      </c>
      <c r="B3064" t="inlineStr">
        <is>
          <t>Segunda</t>
        </is>
      </c>
      <c r="C3064" t="inlineStr">
        <is>
          <t>RCE Elvira</t>
        </is>
      </c>
      <c r="D3064" t="inlineStr">
        <is>
          <t>Caroline</t>
        </is>
      </c>
      <c r="E3064" t="inlineStr">
        <is>
          <t>Valter</t>
        </is>
      </c>
      <c r="F3064" t="inlineStr">
        <is>
          <t>VCA, PVs e Ligações</t>
        </is>
      </c>
      <c r="J3064" t="inlineStr">
        <is>
          <t>VCA</t>
        </is>
      </c>
      <c r="K3064" t="inlineStr">
        <is>
          <t>Planejamento</t>
        </is>
      </c>
      <c r="L3064" t="inlineStr">
        <is>
          <t>PDS-Junho.docx</t>
        </is>
      </c>
      <c r="M3064">
        <f>IF($A3064="","",TEXT($A3064,"mmmm/yyyy"))</f>
        <v/>
      </c>
      <c r="P3064">
        <f>IFERROR(XLOOKUP($N3064,Base_Enderecos!$A:$A,Base_Enderecos!$B:$B,""),"")</f>
        <v/>
      </c>
      <c r="Q3064">
        <f>IFERROR(XLOOKUP($N3064,Base_Enderecos!$A:$A,Base_Enderecos!$C:$C,""),"")</f>
        <v/>
      </c>
      <c r="R3064">
        <f>IF(ISNUMBER(SEARCH("HDD",$F3064)),"HDD",IF(ISNUMBER(SEARCH("VCA",$F3064)),"VCA","MND"))</f>
        <v/>
      </c>
      <c r="T3064">
        <f>TEXT($A3064,"yyyy-mm")&amp;"|"&amp;$C3064&amp;"|"&amp;$I3064</f>
        <v/>
      </c>
    </row>
    <row r="3065">
      <c r="A3065" s="36" t="n">
        <v>46195</v>
      </c>
      <c r="B3065" t="inlineStr">
        <is>
          <t>Segunda</t>
        </is>
      </c>
      <c r="C3065" t="inlineStr">
        <is>
          <t>RCE Raulzito</t>
        </is>
      </c>
      <c r="D3065" t="inlineStr">
        <is>
          <t>Robson</t>
        </is>
      </c>
      <c r="E3065" t="inlineStr">
        <is>
          <t>Bruno</t>
        </is>
      </c>
      <c r="F3065" t="inlineStr">
        <is>
          <t>VCA, PVs e Ligações</t>
        </is>
      </c>
      <c r="J3065" t="inlineStr">
        <is>
          <t>VCA</t>
        </is>
      </c>
      <c r="K3065" t="inlineStr">
        <is>
          <t>Planejamento</t>
        </is>
      </c>
      <c r="L3065" t="inlineStr">
        <is>
          <t>PDS-Junho.docx</t>
        </is>
      </c>
      <c r="M3065">
        <f>IF($A3065="","",TEXT($A3065,"mmmm/yyyy"))</f>
        <v/>
      </c>
      <c r="P3065">
        <f>IFERROR(XLOOKUP($N3065,Base_Enderecos!$A:$A,Base_Enderecos!$B:$B,""),"")</f>
        <v/>
      </c>
      <c r="Q3065">
        <f>IFERROR(XLOOKUP($N3065,Base_Enderecos!$A:$A,Base_Enderecos!$C:$C,""),"")</f>
        <v/>
      </c>
      <c r="R3065">
        <f>IF(ISNUMBER(SEARCH("HDD",$F3065)),"HDD",IF(ISNUMBER(SEARCH("VCA",$F3065)),"VCA","MND"))</f>
        <v/>
      </c>
      <c r="T3065">
        <f>TEXT($A3065,"yyyy-mm")&amp;"|"&amp;$C3065&amp;"|"&amp;$I3065</f>
        <v/>
      </c>
    </row>
    <row r="3066">
      <c r="A3066" s="36" t="n">
        <v>46195</v>
      </c>
      <c r="B3066" t="inlineStr">
        <is>
          <t>Segunda</t>
        </is>
      </c>
      <c r="C3066" t="inlineStr">
        <is>
          <t>RCE Raulzito</t>
        </is>
      </c>
      <c r="D3066" t="inlineStr">
        <is>
          <t>Robson</t>
        </is>
      </c>
      <c r="E3066" t="inlineStr">
        <is>
          <t>Medeiros</t>
        </is>
      </c>
      <c r="F3066" t="inlineStr">
        <is>
          <t>VCA, PVs e Ligações</t>
        </is>
      </c>
      <c r="J3066" t="inlineStr">
        <is>
          <t>VCA</t>
        </is>
      </c>
      <c r="K3066" t="inlineStr">
        <is>
          <t>Planejamento</t>
        </is>
      </c>
      <c r="L3066" t="inlineStr">
        <is>
          <t>PDS-Junho.docx</t>
        </is>
      </c>
      <c r="M3066">
        <f>IF($A3066="","",TEXT($A3066,"mmmm/yyyy"))</f>
        <v/>
      </c>
      <c r="P3066">
        <f>IFERROR(XLOOKUP($N3066,Base_Enderecos!$A:$A,Base_Enderecos!$B:$B,""),"")</f>
        <v/>
      </c>
      <c r="Q3066">
        <f>IFERROR(XLOOKUP($N3066,Base_Enderecos!$A:$A,Base_Enderecos!$C:$C,""),"")</f>
        <v/>
      </c>
      <c r="R3066">
        <f>IF(ISNUMBER(SEARCH("HDD",$F3066)),"HDD",IF(ISNUMBER(SEARCH("VCA",$F3066)),"VCA","MND"))</f>
        <v/>
      </c>
      <c r="T3066">
        <f>TEXT($A3066,"yyyy-mm")&amp;"|"&amp;$C3066&amp;"|"&amp;$I3066</f>
        <v/>
      </c>
    </row>
    <row r="3067">
      <c r="A3067" s="36" t="n">
        <v>46195</v>
      </c>
      <c r="B3067" t="inlineStr">
        <is>
          <t>Segunda</t>
        </is>
      </c>
      <c r="C3067" t="inlineStr">
        <is>
          <t>RCE Raulzito</t>
        </is>
      </c>
      <c r="D3067" t="inlineStr">
        <is>
          <t>Robson</t>
        </is>
      </c>
      <c r="E3067" t="inlineStr">
        <is>
          <t>Marcelo</t>
        </is>
      </c>
      <c r="F3067" t="inlineStr">
        <is>
          <t>VCA, PVs e Ligações</t>
        </is>
      </c>
      <c r="J3067" t="inlineStr">
        <is>
          <t>VCA</t>
        </is>
      </c>
      <c r="K3067" t="inlineStr">
        <is>
          <t>Planejamento</t>
        </is>
      </c>
      <c r="L3067" t="inlineStr">
        <is>
          <t>PDS-Junho.docx</t>
        </is>
      </c>
      <c r="M3067">
        <f>IF($A3067="","",TEXT($A3067,"mmmm/yyyy"))</f>
        <v/>
      </c>
      <c r="P3067">
        <f>IFERROR(XLOOKUP($N3067,Base_Enderecos!$A:$A,Base_Enderecos!$B:$B,""),"")</f>
        <v/>
      </c>
      <c r="Q3067">
        <f>IFERROR(XLOOKUP($N3067,Base_Enderecos!$A:$A,Base_Enderecos!$C:$C,""),"")</f>
        <v/>
      </c>
      <c r="R3067">
        <f>IF(ISNUMBER(SEARCH("HDD",$F3067)),"HDD",IF(ISNUMBER(SEARCH("VCA",$F3067)),"VCA","MND"))</f>
        <v/>
      </c>
      <c r="T3067">
        <f>TEXT($A3067,"yyyy-mm")&amp;"|"&amp;$C3067&amp;"|"&amp;$I3067</f>
        <v/>
      </c>
    </row>
    <row r="3068">
      <c r="A3068" s="36" t="n">
        <v>46195</v>
      </c>
      <c r="B3068" t="inlineStr">
        <is>
          <t>Segunda</t>
        </is>
      </c>
      <c r="C3068" t="inlineStr">
        <is>
          <t>RCE Raulzito</t>
        </is>
      </c>
      <c r="D3068" t="inlineStr">
        <is>
          <t>Robson</t>
        </is>
      </c>
      <c r="E3068" t="inlineStr">
        <is>
          <t>Cidão</t>
        </is>
      </c>
      <c r="F3068" t="inlineStr">
        <is>
          <t>VCA, PVs e Ligações</t>
        </is>
      </c>
      <c r="J3068" t="inlineStr">
        <is>
          <t>VCA</t>
        </is>
      </c>
      <c r="K3068" t="inlineStr">
        <is>
          <t>Planejamento</t>
        </is>
      </c>
      <c r="L3068" t="inlineStr">
        <is>
          <t>PDS-Junho.docx</t>
        </is>
      </c>
      <c r="M3068">
        <f>IF($A3068="","",TEXT($A3068,"mmmm/yyyy"))</f>
        <v/>
      </c>
      <c r="P3068">
        <f>IFERROR(XLOOKUP($N3068,Base_Enderecos!$A:$A,Base_Enderecos!$B:$B,""),"")</f>
        <v/>
      </c>
      <c r="Q3068">
        <f>IFERROR(XLOOKUP($N3068,Base_Enderecos!$A:$A,Base_Enderecos!$C:$C,""),"")</f>
        <v/>
      </c>
      <c r="R3068">
        <f>IF(ISNUMBER(SEARCH("HDD",$F3068)),"HDD",IF(ISNUMBER(SEARCH("VCA",$F3068)),"VCA","MND"))</f>
        <v/>
      </c>
      <c r="T3068">
        <f>TEXT($A3068,"yyyy-mm")&amp;"|"&amp;$C3068&amp;"|"&amp;$I3068</f>
        <v/>
      </c>
    </row>
    <row r="3069">
      <c r="A3069" s="36" t="n">
        <v>46195</v>
      </c>
      <c r="B3069" t="inlineStr">
        <is>
          <t>Segunda</t>
        </is>
      </c>
      <c r="C3069" t="inlineStr">
        <is>
          <t>RCE São Lucas</t>
        </is>
      </c>
      <c r="D3069" t="inlineStr">
        <is>
          <t>Fábio</t>
        </is>
      </c>
      <c r="E3069" t="inlineStr">
        <is>
          <t>Ricardo (pi 13 Ao Pi 14)</t>
        </is>
      </c>
      <c r="F3069" t="inlineStr">
        <is>
          <t>VCA, PVs e Ligações</t>
        </is>
      </c>
      <c r="J3069" t="inlineStr">
        <is>
          <t>VCA</t>
        </is>
      </c>
      <c r="K3069" t="inlineStr">
        <is>
          <t>Planejamento</t>
        </is>
      </c>
      <c r="L3069" t="inlineStr">
        <is>
          <t>PDS-Junho.docx</t>
        </is>
      </c>
      <c r="M3069">
        <f>IF($A3069="","",TEXT($A3069,"mmmm/yyyy"))</f>
        <v/>
      </c>
      <c r="P3069">
        <f>IFERROR(XLOOKUP($N3069,Base_Enderecos!$A:$A,Base_Enderecos!$B:$B,""),"")</f>
        <v/>
      </c>
      <c r="Q3069">
        <f>IFERROR(XLOOKUP($N3069,Base_Enderecos!$A:$A,Base_Enderecos!$C:$C,""),"")</f>
        <v/>
      </c>
      <c r="R3069">
        <f>IF(ISNUMBER(SEARCH("HDD",$F3069)),"HDD",IF(ISNUMBER(SEARCH("VCA",$F3069)),"VCA","MND"))</f>
        <v/>
      </c>
      <c r="T3069">
        <f>TEXT($A3069,"yyyy-mm")&amp;"|"&amp;$C3069&amp;"|"&amp;$I3069</f>
        <v/>
      </c>
    </row>
    <row r="3070">
      <c r="A3070" s="36" t="n">
        <v>46195</v>
      </c>
      <c r="B3070" t="inlineStr">
        <is>
          <t>Segunda</t>
        </is>
      </c>
      <c r="C3070" t="inlineStr">
        <is>
          <t>RCE São Lucas</t>
        </is>
      </c>
      <c r="D3070" t="inlineStr">
        <is>
          <t>Fábio</t>
        </is>
      </c>
      <c r="E3070" t="inlineStr">
        <is>
          <t>Claudinei (pi 65 Ao Pi 66)</t>
        </is>
      </c>
      <c r="F3070" t="inlineStr">
        <is>
          <t>VCA, PVs e Ligações</t>
        </is>
      </c>
      <c r="J3070" t="inlineStr">
        <is>
          <t>VCA</t>
        </is>
      </c>
      <c r="K3070" t="inlineStr">
        <is>
          <t>Planejamento</t>
        </is>
      </c>
      <c r="L3070" t="inlineStr">
        <is>
          <t>PDS-Junho.docx</t>
        </is>
      </c>
      <c r="M3070">
        <f>IF($A3070="","",TEXT($A3070,"mmmm/yyyy"))</f>
        <v/>
      </c>
      <c r="P3070">
        <f>IFERROR(XLOOKUP($N3070,Base_Enderecos!$A:$A,Base_Enderecos!$B:$B,""),"")</f>
        <v/>
      </c>
      <c r="Q3070">
        <f>IFERROR(XLOOKUP($N3070,Base_Enderecos!$A:$A,Base_Enderecos!$C:$C,""),"")</f>
        <v/>
      </c>
      <c r="R3070">
        <f>IF(ISNUMBER(SEARCH("HDD",$F3070)),"HDD",IF(ISNUMBER(SEARCH("VCA",$F3070)),"VCA","MND"))</f>
        <v/>
      </c>
      <c r="T3070">
        <f>TEXT($A3070,"yyyy-mm")&amp;"|"&amp;$C3070&amp;"|"&amp;$I3070</f>
        <v/>
      </c>
    </row>
    <row r="3071">
      <c r="A3071" s="36" t="n">
        <v>46195</v>
      </c>
      <c r="B3071" t="inlineStr">
        <is>
          <t>Segunda</t>
        </is>
      </c>
      <c r="C3071" t="inlineStr">
        <is>
          <t>RCE São Lucas</t>
        </is>
      </c>
      <c r="D3071" t="inlineStr">
        <is>
          <t>Fábio</t>
        </is>
      </c>
      <c r="E3071" t="inlineStr">
        <is>
          <t>Miro (pi 61 Ao Pi 62)</t>
        </is>
      </c>
      <c r="F3071" t="inlineStr">
        <is>
          <t>VCA, PVs e Ligações</t>
        </is>
      </c>
      <c r="J3071" t="inlineStr">
        <is>
          <t>VCA</t>
        </is>
      </c>
      <c r="K3071" t="inlineStr">
        <is>
          <t>Planejamento</t>
        </is>
      </c>
      <c r="L3071" t="inlineStr">
        <is>
          <t>PDS-Junho.docx</t>
        </is>
      </c>
      <c r="M3071">
        <f>IF($A3071="","",TEXT($A3071,"mmmm/yyyy"))</f>
        <v/>
      </c>
      <c r="P3071">
        <f>IFERROR(XLOOKUP($N3071,Base_Enderecos!$A:$A,Base_Enderecos!$B:$B,""),"")</f>
        <v/>
      </c>
      <c r="Q3071">
        <f>IFERROR(XLOOKUP($N3071,Base_Enderecos!$A:$A,Base_Enderecos!$C:$C,""),"")</f>
        <v/>
      </c>
      <c r="R3071">
        <f>IF(ISNUMBER(SEARCH("HDD",$F3071)),"HDD",IF(ISNUMBER(SEARCH("VCA",$F3071)),"VCA","MND"))</f>
        <v/>
      </c>
      <c r="T3071">
        <f>TEXT($A3071,"yyyy-mm")&amp;"|"&amp;$C3071&amp;"|"&amp;$I3071</f>
        <v/>
      </c>
    </row>
    <row r="3072">
      <c r="A3072" s="36" t="n">
        <v>46195</v>
      </c>
      <c r="B3072" t="inlineStr">
        <is>
          <t>Segunda</t>
        </is>
      </c>
      <c r="C3072" t="inlineStr">
        <is>
          <t>RCE São Lucas</t>
        </is>
      </c>
      <c r="D3072" t="inlineStr">
        <is>
          <t>Fábio</t>
        </is>
      </c>
      <c r="E3072" t="inlineStr">
        <is>
          <t>Emanuel (pi 48 Ao Pi 49)</t>
        </is>
      </c>
      <c r="F3072" t="inlineStr">
        <is>
          <t>VCA, PVs e Ligações</t>
        </is>
      </c>
      <c r="J3072" t="inlineStr">
        <is>
          <t>VCA</t>
        </is>
      </c>
      <c r="K3072" t="inlineStr">
        <is>
          <t>Planejamento</t>
        </is>
      </c>
      <c r="L3072" t="inlineStr">
        <is>
          <t>PDS-Junho.docx</t>
        </is>
      </c>
      <c r="M3072">
        <f>IF($A3072="","",TEXT($A3072,"mmmm/yyyy"))</f>
        <v/>
      </c>
      <c r="P3072">
        <f>IFERROR(XLOOKUP($N3072,Base_Enderecos!$A:$A,Base_Enderecos!$B:$B,""),"")</f>
        <v/>
      </c>
      <c r="Q3072">
        <f>IFERROR(XLOOKUP($N3072,Base_Enderecos!$A:$A,Base_Enderecos!$C:$C,""),"")</f>
        <v/>
      </c>
      <c r="R3072">
        <f>IF(ISNUMBER(SEARCH("HDD",$F3072)),"HDD",IF(ISNUMBER(SEARCH("VCA",$F3072)),"VCA","MND"))</f>
        <v/>
      </c>
      <c r="T3072">
        <f>TEXT($A3072,"yyyy-mm")&amp;"|"&amp;$C3072&amp;"|"&amp;$I3072</f>
        <v/>
      </c>
    </row>
    <row r="3073">
      <c r="A3073" s="36" t="n">
        <v>46195</v>
      </c>
      <c r="B3073" t="inlineStr">
        <is>
          <t>Segunda</t>
        </is>
      </c>
      <c r="C3073" t="inlineStr">
        <is>
          <t>RCE São Lucas</t>
        </is>
      </c>
      <c r="D3073" t="inlineStr">
        <is>
          <t>Fábio</t>
        </is>
      </c>
      <c r="E3073" t="inlineStr">
        <is>
          <t>Antonio (pi 18 Ao Pi 17)</t>
        </is>
      </c>
      <c r="F3073" t="inlineStr">
        <is>
          <t>VCA, PVs e Ligações</t>
        </is>
      </c>
      <c r="J3073" t="inlineStr">
        <is>
          <t>VCA</t>
        </is>
      </c>
      <c r="K3073" t="inlineStr">
        <is>
          <t>Planejamento</t>
        </is>
      </c>
      <c r="L3073" t="inlineStr">
        <is>
          <t>PDS-Junho.docx</t>
        </is>
      </c>
      <c r="M3073">
        <f>IF($A3073="","",TEXT($A3073,"mmmm/yyyy"))</f>
        <v/>
      </c>
      <c r="P3073">
        <f>IFERROR(XLOOKUP($N3073,Base_Enderecos!$A:$A,Base_Enderecos!$B:$B,""),"")</f>
        <v/>
      </c>
      <c r="Q3073">
        <f>IFERROR(XLOOKUP($N3073,Base_Enderecos!$A:$A,Base_Enderecos!$C:$C,""),"")</f>
        <v/>
      </c>
      <c r="R3073">
        <f>IF(ISNUMBER(SEARCH("HDD",$F3073)),"HDD",IF(ISNUMBER(SEARCH("VCA",$F3073)),"VCA","MND"))</f>
        <v/>
      </c>
      <c r="T3073">
        <f>TEXT($A3073,"yyyy-mm")&amp;"|"&amp;$C3073&amp;"|"&amp;$I3073</f>
        <v/>
      </c>
    </row>
    <row r="3074">
      <c r="A3074" s="36" t="n">
        <v>46195</v>
      </c>
      <c r="B3074" t="inlineStr">
        <is>
          <t>Segunda</t>
        </is>
      </c>
      <c r="C3074" t="inlineStr">
        <is>
          <t>RCE São Lucas</t>
        </is>
      </c>
      <c r="D3074" t="inlineStr">
        <is>
          <t>Fábio</t>
        </is>
      </c>
      <c r="E3074" t="inlineStr">
        <is>
          <t>Antonio (pi 18 Ao Pi 17)</t>
        </is>
      </c>
      <c r="F3074" t="inlineStr">
        <is>
          <t>SERVIÇOS REPOSIÇÃO – LEANDRO</t>
        </is>
      </c>
      <c r="J3074" t="inlineStr">
        <is>
          <t>Atividade</t>
        </is>
      </c>
      <c r="K3074" t="inlineStr">
        <is>
          <t>Planejamento</t>
        </is>
      </c>
      <c r="L3074" t="inlineStr">
        <is>
          <t>PDS-Junho.docx</t>
        </is>
      </c>
      <c r="M3074">
        <f>IF($A3074="","",TEXT($A3074,"mmmm/yyyy"))</f>
        <v/>
      </c>
      <c r="P3074">
        <f>IFERROR(XLOOKUP($N3074,Base_Enderecos!$A:$A,Base_Enderecos!$B:$B,""),"")</f>
        <v/>
      </c>
      <c r="Q3074">
        <f>IFERROR(XLOOKUP($N3074,Base_Enderecos!$A:$A,Base_Enderecos!$C:$C,""),"")</f>
        <v/>
      </c>
      <c r="R3074">
        <f>IF(ISNUMBER(SEARCH("HDD",$F3074)),"HDD",IF(ISNUMBER(SEARCH("VCA",$F3074)),"VCA","MND"))</f>
        <v/>
      </c>
      <c r="T3074">
        <f>TEXT($A3074,"yyyy-mm")&amp;"|"&amp;$C3074&amp;"|"&amp;$I3074</f>
        <v/>
      </c>
    </row>
    <row r="3075">
      <c r="A3075" s="36" t="n">
        <v>46195</v>
      </c>
      <c r="B3075" t="inlineStr">
        <is>
          <t>Segunda</t>
        </is>
      </c>
      <c r="C3075" t="inlineStr">
        <is>
          <t>RCE São Lucas</t>
        </is>
      </c>
      <c r="D3075" t="inlineStr">
        <is>
          <t>Fábio</t>
        </is>
      </c>
      <c r="E3075" t="inlineStr">
        <is>
          <t>Antonio (pi 18 Ao Pi 17)</t>
        </is>
      </c>
      <c r="F3075" t="inlineStr">
        <is>
          <t>Reparos Gerais</t>
        </is>
      </c>
      <c r="J3075" t="inlineStr">
        <is>
          <t>Atividade</t>
        </is>
      </c>
      <c r="K3075" t="inlineStr">
        <is>
          <t>Planejamento</t>
        </is>
      </c>
      <c r="L3075" t="inlineStr">
        <is>
          <t>PDS-Junho.docx</t>
        </is>
      </c>
      <c r="M3075">
        <f>IF($A3075="","",TEXT($A3075,"mmmm/yyyy"))</f>
        <v/>
      </c>
      <c r="P3075">
        <f>IFERROR(XLOOKUP($N3075,Base_Enderecos!$A:$A,Base_Enderecos!$B:$B,""),"")</f>
        <v/>
      </c>
      <c r="Q3075">
        <f>IFERROR(XLOOKUP($N3075,Base_Enderecos!$A:$A,Base_Enderecos!$C:$C,""),"")</f>
        <v/>
      </c>
      <c r="R3075">
        <f>IF(ISNUMBER(SEARCH("HDD",$F3075)),"HDD",IF(ISNUMBER(SEARCH("VCA",$F3075)),"VCA","MND"))</f>
        <v/>
      </c>
      <c r="T3075">
        <f>TEXT($A3075,"yyyy-mm")&amp;"|"&amp;$C3075&amp;"|"&amp;$I3075</f>
        <v/>
      </c>
    </row>
    <row r="3076">
      <c r="A3076" s="36" t="n">
        <v>46195</v>
      </c>
      <c r="B3076" t="inlineStr">
        <is>
          <t>Segunda</t>
        </is>
      </c>
      <c r="C3076" t="inlineStr">
        <is>
          <t>Água Vermelha</t>
        </is>
      </c>
      <c r="E3076" t="inlineStr">
        <is>
          <t>Vacal</t>
        </is>
      </c>
      <c r="F3076" t="inlineStr">
        <is>
          <t>Água Vermelha - Henko</t>
        </is>
      </c>
      <c r="J3076" t="inlineStr">
        <is>
          <t>Atividade</t>
        </is>
      </c>
      <c r="K3076" t="inlineStr">
        <is>
          <t>Apoio</t>
        </is>
      </c>
      <c r="L3076" t="inlineStr">
        <is>
          <t>PDS-Junho.docx</t>
        </is>
      </c>
      <c r="M3076">
        <f>IF($A3076="","",TEXT($A3076,"mmmm/yyyy"))</f>
        <v/>
      </c>
      <c r="P3076">
        <f>IFERROR(XLOOKUP($N3076,Base_Enderecos!$A:$A,Base_Enderecos!$B:$B,""),"")</f>
        <v/>
      </c>
      <c r="Q3076">
        <f>IFERROR(XLOOKUP($N3076,Base_Enderecos!$A:$A,Base_Enderecos!$C:$C,""),"")</f>
        <v/>
      </c>
      <c r="R3076">
        <f>IF(ISNUMBER(SEARCH("HDD",$F3076)),"HDD",IF(ISNUMBER(SEARCH("VCA",$F3076)),"VCA","MND"))</f>
        <v/>
      </c>
      <c r="T3076">
        <f>TEXT($A3076,"yyyy-mm")&amp;"|"&amp;$C3076&amp;"|"&amp;$I3076</f>
        <v/>
      </c>
    </row>
    <row r="3077">
      <c r="A3077" s="36" t="n">
        <v>46195</v>
      </c>
      <c r="B3077" t="inlineStr">
        <is>
          <t>Segunda</t>
        </is>
      </c>
      <c r="C3077" t="inlineStr">
        <is>
          <t>Iti 15</t>
        </is>
      </c>
      <c r="E3077" t="inlineStr">
        <is>
          <t>Vacal</t>
        </is>
      </c>
      <c r="F3077" t="inlineStr">
        <is>
          <t>ITI 15 – Henko</t>
        </is>
      </c>
      <c r="J3077" t="inlineStr">
        <is>
          <t>Atividade</t>
        </is>
      </c>
      <c r="K3077" t="inlineStr">
        <is>
          <t>Apoio</t>
        </is>
      </c>
      <c r="L3077" t="inlineStr">
        <is>
          <t>PDS-Junho.docx</t>
        </is>
      </c>
      <c r="M3077">
        <f>IF($A3077="","",TEXT($A3077,"mmmm/yyyy"))</f>
        <v/>
      </c>
      <c r="P3077">
        <f>IFERROR(XLOOKUP($N3077,Base_Enderecos!$A:$A,Base_Enderecos!$B:$B,""),"")</f>
        <v/>
      </c>
      <c r="Q3077">
        <f>IFERROR(XLOOKUP($N3077,Base_Enderecos!$A:$A,Base_Enderecos!$C:$C,""),"")</f>
        <v/>
      </c>
      <c r="R3077">
        <f>IF(ISNUMBER(SEARCH("HDD",$F3077)),"HDD",IF(ISNUMBER(SEARCH("VCA",$F3077)),"VCA","MND"))</f>
        <v/>
      </c>
      <c r="T3077">
        <f>TEXT($A3077,"yyyy-mm")&amp;"|"&amp;$C3077&amp;"|"&amp;$I3077</f>
        <v/>
      </c>
    </row>
    <row r="3078">
      <c r="A3078" s="36" t="n">
        <v>46195</v>
      </c>
      <c r="B3078" t="inlineStr">
        <is>
          <t>Segunda</t>
        </is>
      </c>
      <c r="C3078" t="inlineStr">
        <is>
          <t>Guindauto</t>
        </is>
      </c>
      <c r="E3078" t="inlineStr">
        <is>
          <t>Guindauto</t>
        </is>
      </c>
      <c r="F3078" t="inlineStr">
        <is>
          <t>Marcio - Apoio as equipes</t>
        </is>
      </c>
      <c r="J3078" t="inlineStr">
        <is>
          <t>Atividade</t>
        </is>
      </c>
      <c r="K3078" t="inlineStr">
        <is>
          <t>Apoio</t>
        </is>
      </c>
      <c r="L3078" t="inlineStr">
        <is>
          <t>PDS-Junho.docx</t>
        </is>
      </c>
      <c r="M3078">
        <f>IF($A3078="","",TEXT($A3078,"mmmm/yyyy"))</f>
        <v/>
      </c>
      <c r="P3078">
        <f>IFERROR(XLOOKUP($N3078,Base_Enderecos!$A:$A,Base_Enderecos!$B:$B,""),"")</f>
        <v/>
      </c>
      <c r="Q3078">
        <f>IFERROR(XLOOKUP($N3078,Base_Enderecos!$A:$A,Base_Enderecos!$C:$C,""),"")</f>
        <v/>
      </c>
      <c r="R3078">
        <f>IF(ISNUMBER(SEARCH("HDD",$F3078)),"HDD",IF(ISNUMBER(SEARCH("VCA",$F3078)),"VCA","MND"))</f>
        <v/>
      </c>
      <c r="T3078">
        <f>TEXT($A3078,"yyyy-mm")&amp;"|"&amp;$C3078&amp;"|"&amp;$I3078</f>
        <v/>
      </c>
    </row>
    <row r="3079">
      <c r="A3079" s="36" t="n">
        <v>46195</v>
      </c>
      <c r="B3079" t="inlineStr">
        <is>
          <t>Segunda</t>
        </is>
      </c>
      <c r="C3079" t="inlineStr">
        <is>
          <t>Guindauto</t>
        </is>
      </c>
      <c r="E3079" t="inlineStr">
        <is>
          <t>Guindauto</t>
        </is>
      </c>
      <c r="F3079" t="inlineStr">
        <is>
          <t>Luiz - Apoio as equipes</t>
        </is>
      </c>
      <c r="J3079" t="inlineStr">
        <is>
          <t>Atividade</t>
        </is>
      </c>
      <c r="K3079" t="inlineStr">
        <is>
          <t>Apoio</t>
        </is>
      </c>
      <c r="L3079" t="inlineStr">
        <is>
          <t>PDS-Junho.docx</t>
        </is>
      </c>
      <c r="M3079">
        <f>IF($A3079="","",TEXT($A3079,"mmmm/yyyy"))</f>
        <v/>
      </c>
      <c r="P3079">
        <f>IFERROR(XLOOKUP($N3079,Base_Enderecos!$A:$A,Base_Enderecos!$B:$B,""),"")</f>
        <v/>
      </c>
      <c r="Q3079">
        <f>IFERROR(XLOOKUP($N3079,Base_Enderecos!$A:$A,Base_Enderecos!$C:$C,""),"")</f>
        <v/>
      </c>
      <c r="R3079">
        <f>IF(ISNUMBER(SEARCH("HDD",$F3079)),"HDD",IF(ISNUMBER(SEARCH("VCA",$F3079)),"VCA","MND"))</f>
        <v/>
      </c>
      <c r="T3079">
        <f>TEXT($A3079,"yyyy-mm")&amp;"|"&amp;$C3079&amp;"|"&amp;$I3079</f>
        <v/>
      </c>
    </row>
    <row r="3080">
      <c r="A3080" t="inlineStr">
        <is>
          <t>2026-06-24</t>
        </is>
      </c>
      <c r="B3080" t="inlineStr">
        <is>
          <t>Quarta</t>
        </is>
      </c>
      <c r="C3080" t="inlineStr">
        <is>
          <t>CTs Água Vermelha ME</t>
        </is>
      </c>
      <c r="E3080" t="inlineStr">
        <is>
          <t>Cesar</t>
        </is>
      </c>
      <c r="F3080" t="inlineStr">
        <is>
          <t>Adequação PVE 07</t>
        </is>
      </c>
      <c r="G3080" t="inlineStr">
        <is>
          <t>07</t>
        </is>
      </c>
      <c r="I3080" t="inlineStr">
        <is>
          <t>07</t>
        </is>
      </c>
      <c r="J3080" t="inlineStr">
        <is>
          <t>Planejamento</t>
        </is>
      </c>
      <c r="K3080" t="inlineStr">
        <is>
          <t>Planejamento</t>
        </is>
      </c>
      <c r="L3080" t="inlineStr">
        <is>
          <t>PDS manual 2026-06-24</t>
        </is>
      </c>
    </row>
    <row r="3081">
      <c r="A3081" t="inlineStr">
        <is>
          <t>2026-06-24</t>
        </is>
      </c>
      <c r="B3081" t="inlineStr">
        <is>
          <t>Quarta</t>
        </is>
      </c>
      <c r="C3081" t="inlineStr">
        <is>
          <t>RCE Conj. União</t>
        </is>
      </c>
      <c r="E3081" t="inlineStr">
        <is>
          <t>Jhonatan</t>
        </is>
      </c>
      <c r="F3081" t="inlineStr">
        <is>
          <t>VCA PV 48 ao PV 47</t>
        </is>
      </c>
      <c r="G3081" t="inlineStr">
        <is>
          <t>48</t>
        </is>
      </c>
      <c r="H3081" t="inlineStr">
        <is>
          <t>47</t>
        </is>
      </c>
      <c r="I3081" t="inlineStr">
        <is>
          <t>48 ao 47</t>
        </is>
      </c>
      <c r="J3081" t="inlineStr">
        <is>
          <t>Planejamento</t>
        </is>
      </c>
      <c r="K3081" t="inlineStr">
        <is>
          <t>Planejamento</t>
        </is>
      </c>
      <c r="L3081" t="inlineStr">
        <is>
          <t>PDS manual 2026-06-24</t>
        </is>
      </c>
    </row>
    <row r="3082">
      <c r="A3082" t="inlineStr">
        <is>
          <t>2026-06-24</t>
        </is>
      </c>
      <c r="B3082" t="inlineStr">
        <is>
          <t>Quarta</t>
        </is>
      </c>
      <c r="C3082" t="inlineStr">
        <is>
          <t>CTs Barão de Arariba</t>
        </is>
      </c>
      <c r="E3082" t="inlineStr">
        <is>
          <t>Edvando</t>
        </is>
      </c>
      <c r="F3082" t="inlineStr">
        <is>
          <t>Adequação PV 10</t>
        </is>
      </c>
      <c r="G3082" t="inlineStr">
        <is>
          <t>10</t>
        </is>
      </c>
      <c r="I3082" t="inlineStr">
        <is>
          <t>10</t>
        </is>
      </c>
      <c r="J3082" t="inlineStr">
        <is>
          <t>Planejamento</t>
        </is>
      </c>
      <c r="K3082" t="inlineStr">
        <is>
          <t>Planejamento</t>
        </is>
      </c>
      <c r="L3082" t="inlineStr">
        <is>
          <t>PDS manual 2026-06-24</t>
        </is>
      </c>
    </row>
    <row r="3083">
      <c r="A3083" t="inlineStr">
        <is>
          <t>2026-06-24</t>
        </is>
      </c>
      <c r="B3083" t="inlineStr">
        <is>
          <t>Quarta</t>
        </is>
      </c>
      <c r="C3083" t="inlineStr">
        <is>
          <t>RCE Maria dos Santos Machado</t>
        </is>
      </c>
      <c r="E3083" t="inlineStr">
        <is>
          <t>Marcio</t>
        </is>
      </c>
      <c r="F3083" t="inlineStr">
        <is>
          <t>VCA PV 01 ao PV 02</t>
        </is>
      </c>
      <c r="G3083" t="inlineStr">
        <is>
          <t>01</t>
        </is>
      </c>
      <c r="H3083" t="inlineStr">
        <is>
          <t>02</t>
        </is>
      </c>
      <c r="I3083" t="inlineStr">
        <is>
          <t>01 ao 02</t>
        </is>
      </c>
      <c r="J3083" t="inlineStr">
        <is>
          <t>Planejamento</t>
        </is>
      </c>
      <c r="K3083" t="inlineStr">
        <is>
          <t>Planejamento</t>
        </is>
      </c>
      <c r="L3083" t="inlineStr">
        <is>
          <t>PDS manual 2026-06-24</t>
        </is>
      </c>
    </row>
    <row r="3084">
      <c r="A3084" t="inlineStr">
        <is>
          <t>2026-06-24</t>
        </is>
      </c>
      <c r="B3084" t="inlineStr">
        <is>
          <t>Quarta</t>
        </is>
      </c>
      <c r="C3084" t="inlineStr">
        <is>
          <t>RCE Elvira</t>
        </is>
      </c>
      <c r="E3084" t="inlineStr">
        <is>
          <t>Valter</t>
        </is>
      </c>
      <c r="F3084" t="inlineStr">
        <is>
          <t>VCA, PVs e Ligações</t>
        </is>
      </c>
      <c r="J3084" t="inlineStr">
        <is>
          <t>Planejamento</t>
        </is>
      </c>
      <c r="K3084" t="inlineStr">
        <is>
          <t>Planejamento</t>
        </is>
      </c>
      <c r="L3084" t="inlineStr">
        <is>
          <t>PDS manual 2026-06-24</t>
        </is>
      </c>
    </row>
    <row r="3085">
      <c r="A3085" t="inlineStr">
        <is>
          <t>2026-06-24</t>
        </is>
      </c>
      <c r="B3085" t="inlineStr">
        <is>
          <t>Quarta</t>
        </is>
      </c>
      <c r="C3085" t="inlineStr">
        <is>
          <t>CTs Bandeirantes</t>
        </is>
      </c>
      <c r="E3085" t="inlineStr">
        <is>
          <t>Marcelo</t>
        </is>
      </c>
      <c r="F3085" t="inlineStr">
        <is>
          <t>Shaft PV 33 + Interligação</t>
        </is>
      </c>
      <c r="G3085" t="inlineStr">
        <is>
          <t>33</t>
        </is>
      </c>
      <c r="I3085" t="inlineStr">
        <is>
          <t>33</t>
        </is>
      </c>
      <c r="J3085" t="inlineStr">
        <is>
          <t>Planejamento</t>
        </is>
      </c>
      <c r="K3085" t="inlineStr">
        <is>
          <t>Planejamento</t>
        </is>
      </c>
      <c r="L3085" t="inlineStr">
        <is>
          <t>PDS manual 2026-06-24</t>
        </is>
      </c>
    </row>
    <row r="3086">
      <c r="A3086" t="inlineStr">
        <is>
          <t>2026-06-24</t>
        </is>
      </c>
      <c r="B3086" t="inlineStr">
        <is>
          <t>Quarta</t>
        </is>
      </c>
      <c r="C3086" t="inlineStr">
        <is>
          <t>RCE Raulzito</t>
        </is>
      </c>
      <c r="E3086" t="inlineStr">
        <is>
          <t>Bruno</t>
        </is>
      </c>
      <c r="F3086" t="inlineStr">
        <is>
          <t>VCA, PVs e Ligações</t>
        </is>
      </c>
      <c r="J3086" t="inlineStr">
        <is>
          <t>Planejamento</t>
        </is>
      </c>
      <c r="K3086" t="inlineStr">
        <is>
          <t>Planejamento</t>
        </is>
      </c>
      <c r="L3086" t="inlineStr">
        <is>
          <t>PDS manual 2026-06-24</t>
        </is>
      </c>
    </row>
    <row r="3087">
      <c r="A3087" t="inlineStr">
        <is>
          <t>2026-06-24</t>
        </is>
      </c>
      <c r="B3087" t="inlineStr">
        <is>
          <t>Quarta</t>
        </is>
      </c>
      <c r="C3087" t="inlineStr">
        <is>
          <t>RCE Raulzito</t>
        </is>
      </c>
      <c r="E3087" t="inlineStr">
        <is>
          <t>Medeiros</t>
        </is>
      </c>
      <c r="F3087" t="inlineStr">
        <is>
          <t>VCA, PVs e Ligações</t>
        </is>
      </c>
      <c r="J3087" t="inlineStr">
        <is>
          <t>Planejamento</t>
        </is>
      </c>
      <c r="K3087" t="inlineStr">
        <is>
          <t>Planejamento</t>
        </is>
      </c>
      <c r="L3087" t="inlineStr">
        <is>
          <t>PDS manual 2026-06-24</t>
        </is>
      </c>
    </row>
    <row r="3088">
      <c r="A3088" t="inlineStr">
        <is>
          <t>2026-06-24</t>
        </is>
      </c>
      <c r="B3088" t="inlineStr">
        <is>
          <t>Quarta</t>
        </is>
      </c>
      <c r="C3088" t="inlineStr">
        <is>
          <t>RCE Raulzito</t>
        </is>
      </c>
      <c r="E3088" t="inlineStr">
        <is>
          <t>Cidão</t>
        </is>
      </c>
      <c r="F3088" t="inlineStr">
        <is>
          <t>VCA, PVs e Ligações</t>
        </is>
      </c>
      <c r="J3088" t="inlineStr">
        <is>
          <t>Planejamento</t>
        </is>
      </c>
      <c r="K3088" t="inlineStr">
        <is>
          <t>Planejamento</t>
        </is>
      </c>
      <c r="L3088" t="inlineStr">
        <is>
          <t>PDS manual 2026-06-24</t>
        </is>
      </c>
    </row>
    <row r="3089">
      <c r="A3089" t="inlineStr">
        <is>
          <t>2026-06-24</t>
        </is>
      </c>
      <c r="B3089" t="inlineStr">
        <is>
          <t>Quarta</t>
        </is>
      </c>
      <c r="C3089" t="inlineStr">
        <is>
          <t>RCE São Lucas</t>
        </is>
      </c>
      <c r="E3089" t="inlineStr">
        <is>
          <t>Ricardo (PI 19 ao PI 20)</t>
        </is>
      </c>
      <c r="F3089" t="inlineStr">
        <is>
          <t>VCA, PVs e Ligações</t>
        </is>
      </c>
      <c r="J3089" t="inlineStr">
        <is>
          <t>Planejamento</t>
        </is>
      </c>
      <c r="K3089" t="inlineStr">
        <is>
          <t>Planejamento</t>
        </is>
      </c>
      <c r="L3089" t="inlineStr">
        <is>
          <t>PDS manual 2026-06-24</t>
        </is>
      </c>
    </row>
    <row r="3090">
      <c r="A3090" t="inlineStr">
        <is>
          <t>2026-06-24</t>
        </is>
      </c>
      <c r="B3090" t="inlineStr">
        <is>
          <t>Quarta</t>
        </is>
      </c>
      <c r="C3090" t="inlineStr">
        <is>
          <t>RCE São Lucas</t>
        </is>
      </c>
      <c r="E3090" t="inlineStr">
        <is>
          <t>Claudinei (PI 66 ao PI 42)</t>
        </is>
      </c>
      <c r="F3090" t="inlineStr">
        <is>
          <t>VCA, PVs e Ligações</t>
        </is>
      </c>
      <c r="J3090" t="inlineStr">
        <is>
          <t>Planejamento</t>
        </is>
      </c>
      <c r="K3090" t="inlineStr">
        <is>
          <t>Planejamento</t>
        </is>
      </c>
      <c r="L3090" t="inlineStr">
        <is>
          <t>PDS manual 2026-06-24</t>
        </is>
      </c>
    </row>
    <row r="3091">
      <c r="A3091" t="inlineStr">
        <is>
          <t>2026-06-24</t>
        </is>
      </c>
      <c r="B3091" t="inlineStr">
        <is>
          <t>Quarta</t>
        </is>
      </c>
      <c r="C3091" t="inlineStr">
        <is>
          <t>RCE São Lucas</t>
        </is>
      </c>
      <c r="E3091" t="inlineStr">
        <is>
          <t>Miro (PI 61 ao PI 62)</t>
        </is>
      </c>
      <c r="F3091" t="inlineStr">
        <is>
          <t>VCA, PVs e Ligações</t>
        </is>
      </c>
      <c r="J3091" t="inlineStr">
        <is>
          <t>Planejamento</t>
        </is>
      </c>
      <c r="K3091" t="inlineStr">
        <is>
          <t>Planejamento</t>
        </is>
      </c>
      <c r="L3091" t="inlineStr">
        <is>
          <t>PDS manual 2026-06-24</t>
        </is>
      </c>
    </row>
    <row r="3092">
      <c r="A3092" t="inlineStr">
        <is>
          <t>2026-06-24</t>
        </is>
      </c>
      <c r="B3092" t="inlineStr">
        <is>
          <t>Quarta</t>
        </is>
      </c>
      <c r="C3092" t="inlineStr">
        <is>
          <t>RCE São Lucas</t>
        </is>
      </c>
      <c r="E3092" t="inlineStr">
        <is>
          <t>Emanuel (PI 50 ao PI 51)</t>
        </is>
      </c>
      <c r="F3092" t="inlineStr">
        <is>
          <t>VCA, PVs e Ligações</t>
        </is>
      </c>
      <c r="J3092" t="inlineStr">
        <is>
          <t>Planejamento</t>
        </is>
      </c>
      <c r="K3092" t="inlineStr">
        <is>
          <t>Planejamento</t>
        </is>
      </c>
      <c r="L3092" t="inlineStr">
        <is>
          <t>PDS manual 2026-06-24</t>
        </is>
      </c>
    </row>
    <row r="3093">
      <c r="A3093" t="inlineStr">
        <is>
          <t>2026-06-24</t>
        </is>
      </c>
      <c r="B3093" t="inlineStr">
        <is>
          <t>Quarta</t>
        </is>
      </c>
      <c r="C3093" t="inlineStr">
        <is>
          <t>RCE São Lucas</t>
        </is>
      </c>
      <c r="E3093" t="inlineStr">
        <is>
          <t>Antonio (PI 18 ao PI 17)</t>
        </is>
      </c>
      <c r="F3093" t="inlineStr">
        <is>
          <t>VCA, PVs e Ligações</t>
        </is>
      </c>
      <c r="J3093" t="inlineStr">
        <is>
          <t>Planejamento</t>
        </is>
      </c>
      <c r="K3093" t="inlineStr">
        <is>
          <t>Planejamento</t>
        </is>
      </c>
      <c r="L3093" t="inlineStr">
        <is>
          <t>PDS manual 2026-06-24</t>
        </is>
      </c>
    </row>
    <row r="3094">
      <c r="A3094" t="inlineStr">
        <is>
          <t>2026-06-24</t>
        </is>
      </c>
      <c r="B3094" t="inlineStr">
        <is>
          <t>Quarta</t>
        </is>
      </c>
      <c r="C3094" t="inlineStr">
        <is>
          <t>Serviços Reposição</t>
        </is>
      </c>
      <c r="E3094" t="inlineStr">
        <is>
          <t>Leandro</t>
        </is>
      </c>
      <c r="F3094" t="inlineStr">
        <is>
          <t>Reparos Gerais</t>
        </is>
      </c>
      <c r="J3094" t="inlineStr">
        <is>
          <t>Planejamento</t>
        </is>
      </c>
      <c r="K3094" t="inlineStr">
        <is>
          <t>Planejamento</t>
        </is>
      </c>
      <c r="L3094" t="inlineStr">
        <is>
          <t>PDS manual 2026-06-24</t>
        </is>
      </c>
    </row>
    <row r="3095">
      <c r="A3095" t="inlineStr">
        <is>
          <t>2026-06-24</t>
        </is>
      </c>
      <c r="B3095" t="inlineStr">
        <is>
          <t>Quarta</t>
        </is>
      </c>
      <c r="C3095" t="inlineStr">
        <is>
          <t>Vacal: Água Vermelha</t>
        </is>
      </c>
      <c r="E3095" t="inlineStr">
        <is>
          <t>Henko</t>
        </is>
      </c>
      <c r="F3095" t="inlineStr">
        <is>
          <t>Apoio às equipes</t>
        </is>
      </c>
      <c r="J3095" t="inlineStr">
        <is>
          <t>Apoio</t>
        </is>
      </c>
      <c r="K3095" t="inlineStr">
        <is>
          <t>Planejamento</t>
        </is>
      </c>
      <c r="L3095" t="inlineStr">
        <is>
          <t>PDS manual 2026-06-24</t>
        </is>
      </c>
    </row>
    <row r="3096">
      <c r="A3096" t="inlineStr">
        <is>
          <t>2026-06-24</t>
        </is>
      </c>
      <c r="B3096" t="inlineStr">
        <is>
          <t>Quarta</t>
        </is>
      </c>
      <c r="C3096" t="inlineStr">
        <is>
          <t>Vacal: CT Lourdes</t>
        </is>
      </c>
      <c r="E3096" t="inlineStr">
        <is>
          <t>Henko</t>
        </is>
      </c>
      <c r="F3096" t="inlineStr">
        <is>
          <t>Apoio às equipes</t>
        </is>
      </c>
      <c r="J3096" t="inlineStr">
        <is>
          <t>Apoio</t>
        </is>
      </c>
      <c r="K3096" t="inlineStr">
        <is>
          <t>Planejamento</t>
        </is>
      </c>
      <c r="L3096" t="inlineStr">
        <is>
          <t>PDS manual 2026-06-24</t>
        </is>
      </c>
    </row>
    <row r="3097">
      <c r="A3097" t="inlineStr">
        <is>
          <t>2026-06-24</t>
        </is>
      </c>
      <c r="B3097" t="inlineStr">
        <is>
          <t>Quarta</t>
        </is>
      </c>
      <c r="C3097" t="inlineStr">
        <is>
          <t>Vacal: CT Lourdes</t>
        </is>
      </c>
      <c r="E3097" t="inlineStr">
        <is>
          <t>Henko</t>
        </is>
      </c>
      <c r="F3097" t="inlineStr">
        <is>
          <t>Apoio às equipes</t>
        </is>
      </c>
      <c r="J3097" t="inlineStr">
        <is>
          <t>Apoio</t>
        </is>
      </c>
      <c r="K3097" t="inlineStr">
        <is>
          <t>Planejamento</t>
        </is>
      </c>
      <c r="L3097" t="inlineStr">
        <is>
          <t>PDS manual 2026-06-24</t>
        </is>
      </c>
    </row>
    <row r="3098">
      <c r="A3098" t="inlineStr">
        <is>
          <t>2026-06-24</t>
        </is>
      </c>
      <c r="B3098" t="inlineStr">
        <is>
          <t>Quarta</t>
        </is>
      </c>
      <c r="C3098" t="inlineStr">
        <is>
          <t>Guindauto</t>
        </is>
      </c>
      <c r="E3098" t="inlineStr">
        <is>
          <t>Marcio</t>
        </is>
      </c>
      <c r="F3098" t="inlineStr">
        <is>
          <t>Apoio as equipes</t>
        </is>
      </c>
      <c r="J3098" t="inlineStr">
        <is>
          <t>Apoio</t>
        </is>
      </c>
      <c r="K3098" t="inlineStr">
        <is>
          <t>Planejamento</t>
        </is>
      </c>
      <c r="L3098" t="inlineStr">
        <is>
          <t>PDS manual 2026-06-24</t>
        </is>
      </c>
    </row>
    <row r="3099">
      <c r="A3099" t="inlineStr">
        <is>
          <t>2026-06-24</t>
        </is>
      </c>
      <c r="B3099" t="inlineStr">
        <is>
          <t>Quarta</t>
        </is>
      </c>
      <c r="C3099" t="inlineStr">
        <is>
          <t>Guindauto</t>
        </is>
      </c>
      <c r="E3099" t="inlineStr">
        <is>
          <t>Luiz</t>
        </is>
      </c>
      <c r="F3099" t="inlineStr">
        <is>
          <t>Apoio as equipes</t>
        </is>
      </c>
      <c r="J3099" t="inlineStr">
        <is>
          <t>Apoio</t>
        </is>
      </c>
      <c r="K3099" t="inlineStr">
        <is>
          <t>Planejamento</t>
        </is>
      </c>
      <c r="L3099" t="inlineStr">
        <is>
          <t>PDS manual 2026-06-24</t>
        </is>
      </c>
    </row>
    <row r="3100">
      <c r="A3100" t="inlineStr">
        <is>
          <t>2026-07-02</t>
        </is>
      </c>
      <c r="B3100" t="inlineStr"/>
      <c r="C3100" t="inlineStr">
        <is>
          <t>RCE Conj. União</t>
        </is>
      </c>
      <c r="D3100" t="inlineStr"/>
      <c r="E3100" t="inlineStr">
        <is>
          <t>Márcio</t>
        </is>
      </c>
      <c r="F3100" t="inlineStr">
        <is>
          <t>VCA, PVs e Ligações</t>
        </is>
      </c>
      <c r="G3100" t="inlineStr"/>
      <c r="H3100" t="inlineStr"/>
      <c r="I3100" t="inlineStr"/>
      <c r="J3100" t="inlineStr"/>
      <c r="K3100" t="inlineStr"/>
      <c r="L3100" t="inlineStr"/>
      <c r="M3100" t="inlineStr"/>
      <c r="N3100" t="inlineStr"/>
      <c r="O3100" t="inlineStr"/>
      <c r="P3100" t="inlineStr"/>
      <c r="Q3100" t="inlineStr"/>
      <c r="R3100" t="inlineStr"/>
      <c r="S3100" t="inlineStr"/>
      <c r="T3100" t="inlineStr"/>
      <c r="U3100" t="inlineStr"/>
    </row>
    <row r="3101">
      <c r="A3101" t="inlineStr">
        <is>
          <t>2026-07-02</t>
        </is>
      </c>
      <c r="B3101" t="inlineStr"/>
      <c r="C3101" t="inlineStr">
        <is>
          <t>RCE Maria dos Santos Machado</t>
        </is>
      </c>
      <c r="D3101" t="inlineStr"/>
      <c r="E3101" t="inlineStr">
        <is>
          <t>Cesar</t>
        </is>
      </c>
      <c r="F3101" t="inlineStr">
        <is>
          <t>VCA PV 02 ao PV 03</t>
        </is>
      </c>
      <c r="G3101" t="inlineStr">
        <is>
          <t>02</t>
        </is>
      </c>
      <c r="H3101" t="inlineStr">
        <is>
          <t>03</t>
        </is>
      </c>
      <c r="I3101" t="inlineStr"/>
      <c r="J3101" t="inlineStr"/>
      <c r="K3101" t="inlineStr"/>
      <c r="L3101" t="inlineStr"/>
      <c r="M3101" t="inlineStr"/>
      <c r="N3101" t="inlineStr"/>
      <c r="O3101" t="inlineStr"/>
      <c r="P3101" t="inlineStr"/>
      <c r="Q3101" t="inlineStr"/>
      <c r="R3101" t="inlineStr"/>
      <c r="S3101" t="inlineStr"/>
      <c r="T3101" t="inlineStr"/>
      <c r="U3101" t="inlineStr"/>
    </row>
    <row r="3102">
      <c r="A3102" t="inlineStr">
        <is>
          <t>2026-07-02</t>
        </is>
      </c>
      <c r="B3102" t="inlineStr"/>
      <c r="C3102" t="inlineStr">
        <is>
          <t>RCE Elvira</t>
        </is>
      </c>
      <c r="D3102" t="inlineStr"/>
      <c r="E3102" t="inlineStr">
        <is>
          <t>Valter</t>
        </is>
      </c>
      <c r="F3102" t="inlineStr">
        <is>
          <t>Ligações</t>
        </is>
      </c>
      <c r="G3102" t="inlineStr"/>
      <c r="H3102" t="inlineStr"/>
      <c r="I3102" t="inlineStr"/>
      <c r="J3102" t="inlineStr"/>
      <c r="K3102" t="inlineStr"/>
      <c r="L3102" t="inlineStr"/>
      <c r="M3102" t="inlineStr"/>
      <c r="N3102" t="inlineStr"/>
      <c r="O3102" t="inlineStr"/>
      <c r="P3102" t="inlineStr"/>
      <c r="Q3102" t="inlineStr"/>
      <c r="R3102" t="inlineStr"/>
      <c r="S3102" t="inlineStr"/>
      <c r="T3102" t="inlineStr"/>
      <c r="U3102" t="inlineStr"/>
    </row>
    <row r="3103">
      <c r="A3103" t="inlineStr">
        <is>
          <t>2026-07-02</t>
        </is>
      </c>
      <c r="B3103" t="inlineStr"/>
      <c r="C3103" t="inlineStr">
        <is>
          <t>CT Lageado</t>
        </is>
      </c>
      <c r="D3103" t="inlineStr"/>
      <c r="E3103" t="inlineStr">
        <is>
          <t>Marcelo</t>
        </is>
      </c>
      <c r="F3103" t="inlineStr">
        <is>
          <t>Shaft PV-02</t>
        </is>
      </c>
      <c r="G3103" t="inlineStr"/>
      <c r="H3103" t="inlineStr"/>
      <c r="I3103" t="inlineStr">
        <is>
          <t>PV-02</t>
        </is>
      </c>
      <c r="J3103" t="inlineStr"/>
      <c r="K3103" t="inlineStr"/>
      <c r="L3103" t="inlineStr"/>
      <c r="M3103" t="inlineStr"/>
      <c r="N3103" t="inlineStr"/>
      <c r="O3103" t="inlineStr"/>
      <c r="P3103" t="inlineStr"/>
      <c r="Q3103" t="inlineStr"/>
      <c r="R3103" t="inlineStr"/>
      <c r="S3103" t="inlineStr"/>
      <c r="T3103" t="inlineStr"/>
      <c r="U3103" t="inlineStr"/>
    </row>
    <row r="3104">
      <c r="A3104" t="inlineStr">
        <is>
          <t>2026-07-02</t>
        </is>
      </c>
      <c r="B3104" t="inlineStr"/>
      <c r="C3104" t="inlineStr">
        <is>
          <t>CT Água Vermelha MD / ME</t>
        </is>
      </c>
      <c r="D3104" t="inlineStr"/>
      <c r="E3104" t="inlineStr">
        <is>
          <t>Edvando</t>
        </is>
      </c>
      <c r="F3104" t="inlineStr">
        <is>
          <t>VCA, Interligação PV - 24</t>
        </is>
      </c>
      <c r="G3104" t="inlineStr"/>
      <c r="H3104" t="inlineStr"/>
      <c r="I3104" t="inlineStr">
        <is>
          <t>PV-24</t>
        </is>
      </c>
      <c r="J3104" t="inlineStr"/>
      <c r="K3104" t="inlineStr"/>
      <c r="L3104" t="inlineStr"/>
      <c r="M3104" t="inlineStr"/>
      <c r="N3104" t="inlineStr"/>
      <c r="O3104" t="inlineStr"/>
      <c r="P3104" t="inlineStr"/>
      <c r="Q3104" t="inlineStr"/>
      <c r="R3104" t="inlineStr"/>
      <c r="S3104" t="inlineStr"/>
      <c r="T3104" t="inlineStr"/>
      <c r="U3104" t="inlineStr"/>
    </row>
    <row r="3105">
      <c r="A3105" t="inlineStr">
        <is>
          <t>2026-07-02</t>
        </is>
      </c>
      <c r="B3105" t="inlineStr"/>
      <c r="C3105" t="inlineStr">
        <is>
          <t>CT Água Vermelha MD / ME</t>
        </is>
      </c>
      <c r="D3105" t="inlineStr"/>
      <c r="E3105" t="inlineStr">
        <is>
          <t>Jhonatan</t>
        </is>
      </c>
      <c r="F3105" t="inlineStr">
        <is>
          <t>Shaft PV - 14</t>
        </is>
      </c>
      <c r="G3105" t="inlineStr"/>
      <c r="H3105" t="inlineStr"/>
      <c r="I3105" t="inlineStr">
        <is>
          <t>PV-14</t>
        </is>
      </c>
      <c r="J3105" t="inlineStr"/>
      <c r="K3105" t="inlineStr"/>
      <c r="L3105" t="inlineStr"/>
      <c r="M3105" t="inlineStr"/>
      <c r="N3105" t="inlineStr"/>
      <c r="O3105" t="inlineStr"/>
      <c r="P3105" t="inlineStr"/>
      <c r="Q3105" t="inlineStr"/>
      <c r="R3105" t="inlineStr"/>
      <c r="S3105" t="inlineStr"/>
      <c r="T3105" t="inlineStr"/>
      <c r="U3105" t="inlineStr"/>
    </row>
    <row r="3106">
      <c r="A3106" t="inlineStr">
        <is>
          <t>2026-07-02</t>
        </is>
      </c>
      <c r="B3106" t="inlineStr"/>
      <c r="C3106" t="inlineStr">
        <is>
          <t>RCE Raulzito</t>
        </is>
      </c>
      <c r="D3106" t="inlineStr"/>
      <c r="E3106" t="inlineStr">
        <is>
          <t>Cidão (PI 17 ao PI 18)</t>
        </is>
      </c>
      <c r="F3106" t="inlineStr">
        <is>
          <t>VCA, PVs e Ligações</t>
        </is>
      </c>
      <c r="G3106" t="inlineStr"/>
      <c r="H3106" t="inlineStr"/>
      <c r="I3106" t="inlineStr"/>
      <c r="J3106" t="inlineStr"/>
      <c r="K3106" t="inlineStr"/>
      <c r="L3106" t="inlineStr"/>
      <c r="M3106" t="inlineStr"/>
      <c r="N3106" t="inlineStr"/>
      <c r="O3106" t="inlineStr"/>
      <c r="P3106" t="inlineStr"/>
      <c r="Q3106" t="inlineStr"/>
      <c r="R3106" t="inlineStr"/>
      <c r="S3106" t="inlineStr"/>
      <c r="T3106" t="inlineStr"/>
      <c r="U3106" t="inlineStr"/>
    </row>
    <row r="3107">
      <c r="A3107" t="inlineStr">
        <is>
          <t>2026-07-02</t>
        </is>
      </c>
      <c r="B3107" t="inlineStr"/>
      <c r="C3107" t="inlineStr">
        <is>
          <t>RCE Raulzito</t>
        </is>
      </c>
      <c r="D3107" t="inlineStr"/>
      <c r="E3107" t="inlineStr">
        <is>
          <t>Bruno (PI 13 ao PI 14)</t>
        </is>
      </c>
      <c r="F3107" t="inlineStr">
        <is>
          <t>VCA, PVs e Ligações</t>
        </is>
      </c>
      <c r="G3107" t="inlineStr"/>
      <c r="H3107" t="inlineStr"/>
      <c r="I3107" t="inlineStr"/>
      <c r="J3107" t="inlineStr"/>
      <c r="K3107" t="inlineStr"/>
      <c r="L3107" t="inlineStr"/>
      <c r="M3107" t="inlineStr"/>
      <c r="N3107" t="inlineStr"/>
      <c r="O3107" t="inlineStr"/>
      <c r="P3107" t="inlineStr"/>
      <c r="Q3107" t="inlineStr"/>
      <c r="R3107" t="inlineStr"/>
      <c r="S3107" t="inlineStr"/>
      <c r="T3107" t="inlineStr"/>
      <c r="U3107" t="inlineStr"/>
    </row>
    <row r="3108">
      <c r="A3108" t="inlineStr">
        <is>
          <t>2026-07-02</t>
        </is>
      </c>
      <c r="B3108" t="inlineStr"/>
      <c r="C3108" t="inlineStr">
        <is>
          <t>CT Lourdes Complementar</t>
        </is>
      </c>
      <c r="D3108" t="inlineStr"/>
      <c r="E3108" t="inlineStr">
        <is>
          <t>Medeiros</t>
        </is>
      </c>
      <c r="F3108" t="inlineStr">
        <is>
          <t>Shaft sobre rede existente à Jusante</t>
        </is>
      </c>
      <c r="G3108" t="inlineStr"/>
      <c r="H3108" t="inlineStr"/>
      <c r="I3108" t="inlineStr"/>
      <c r="J3108" t="inlineStr"/>
      <c r="K3108" t="inlineStr"/>
      <c r="L3108" t="inlineStr"/>
      <c r="M3108" t="inlineStr"/>
      <c r="N3108" t="inlineStr"/>
      <c r="O3108" t="inlineStr"/>
      <c r="P3108" t="inlineStr"/>
      <c r="Q3108" t="inlineStr"/>
      <c r="R3108" t="inlineStr"/>
      <c r="S3108" t="inlineStr"/>
      <c r="T3108" t="inlineStr"/>
      <c r="U3108" t="inlineStr"/>
    </row>
    <row r="3109">
      <c r="A3109" t="inlineStr">
        <is>
          <t>2026-07-02</t>
        </is>
      </c>
      <c r="B3109" t="inlineStr"/>
      <c r="C3109" t="inlineStr">
        <is>
          <t>RCE São Lucas</t>
        </is>
      </c>
      <c r="D3109" t="inlineStr"/>
      <c r="E3109" t="inlineStr">
        <is>
          <t>Ricardo (PI 21 ao PI 23)</t>
        </is>
      </c>
      <c r="F3109" t="inlineStr">
        <is>
          <t>VCA, PVs e Ligações</t>
        </is>
      </c>
      <c r="G3109" t="inlineStr"/>
      <c r="H3109" t="inlineStr"/>
      <c r="I3109" t="inlineStr"/>
      <c r="J3109" t="inlineStr"/>
      <c r="K3109" t="inlineStr"/>
      <c r="L3109" t="inlineStr"/>
      <c r="M3109" t="inlineStr"/>
      <c r="N3109" t="inlineStr"/>
      <c r="O3109" t="inlineStr"/>
      <c r="P3109" t="inlineStr"/>
      <c r="Q3109" t="inlineStr"/>
      <c r="R3109" t="inlineStr"/>
      <c r="S3109" t="inlineStr"/>
      <c r="T3109" t="inlineStr"/>
      <c r="U3109" t="inlineStr"/>
    </row>
    <row r="3110">
      <c r="A3110" t="inlineStr">
        <is>
          <t>2026-07-02</t>
        </is>
      </c>
      <c r="B3110" t="inlineStr"/>
      <c r="C3110" t="inlineStr">
        <is>
          <t>RCE São Lucas</t>
        </is>
      </c>
      <c r="D3110" t="inlineStr"/>
      <c r="E3110" t="inlineStr">
        <is>
          <t>Claudinei (PI 09 ao PI 93)</t>
        </is>
      </c>
      <c r="F3110" t="inlineStr">
        <is>
          <t>VCA, PVs e Ligações</t>
        </is>
      </c>
      <c r="G3110" t="inlineStr"/>
      <c r="H3110" t="inlineStr"/>
      <c r="I3110" t="inlineStr"/>
      <c r="J3110" t="inlineStr"/>
      <c r="K3110" t="inlineStr"/>
      <c r="L3110" t="inlineStr"/>
      <c r="M3110" t="inlineStr"/>
      <c r="N3110" t="inlineStr"/>
      <c r="O3110" t="inlineStr"/>
      <c r="P3110" t="inlineStr"/>
      <c r="Q3110" t="inlineStr"/>
      <c r="R3110" t="inlineStr"/>
      <c r="S3110" t="inlineStr"/>
      <c r="T3110" t="inlineStr"/>
      <c r="U3110" t="inlineStr"/>
    </row>
    <row r="3111">
      <c r="A3111" t="inlineStr">
        <is>
          <t>2026-07-02</t>
        </is>
      </c>
      <c r="B3111" t="inlineStr"/>
      <c r="C3111" t="inlineStr">
        <is>
          <t>RCE São Lucas</t>
        </is>
      </c>
      <c r="D3111" t="inlineStr"/>
      <c r="E3111" t="inlineStr">
        <is>
          <t>Miro (PI 61 ao PI 62)</t>
        </is>
      </c>
      <c r="F3111" t="inlineStr">
        <is>
          <t>VCA, PVs e Ligações</t>
        </is>
      </c>
      <c r="G3111" t="inlineStr"/>
      <c r="H3111" t="inlineStr"/>
      <c r="I3111" t="inlineStr"/>
      <c r="J3111" t="inlineStr"/>
      <c r="K3111" t="inlineStr"/>
      <c r="L3111" t="inlineStr"/>
      <c r="M3111" t="inlineStr"/>
      <c r="N3111" t="inlineStr"/>
      <c r="O3111" t="inlineStr"/>
      <c r="P3111" t="inlineStr"/>
      <c r="Q3111" t="inlineStr"/>
      <c r="R3111" t="inlineStr"/>
      <c r="S3111" t="inlineStr"/>
      <c r="T3111" t="inlineStr"/>
      <c r="U3111" t="inlineStr"/>
    </row>
    <row r="3112">
      <c r="A3112" t="inlineStr">
        <is>
          <t>2026-07-02</t>
        </is>
      </c>
      <c r="B3112" t="inlineStr"/>
      <c r="C3112" t="inlineStr">
        <is>
          <t>RCE São Lucas</t>
        </is>
      </c>
      <c r="D3112" t="inlineStr"/>
      <c r="E3112" t="inlineStr">
        <is>
          <t>Emanuel (PI 10 ao PI 43)</t>
        </is>
      </c>
      <c r="F3112" t="inlineStr">
        <is>
          <t>VCA, PVs e Ligações</t>
        </is>
      </c>
      <c r="G3112" t="inlineStr"/>
      <c r="H3112" t="inlineStr"/>
      <c r="I3112" t="inlineStr"/>
      <c r="J3112" t="inlineStr"/>
      <c r="K3112" t="inlineStr"/>
      <c r="L3112" t="inlineStr"/>
      <c r="M3112" t="inlineStr"/>
      <c r="N3112" t="inlineStr"/>
      <c r="O3112" t="inlineStr"/>
      <c r="P3112" t="inlineStr"/>
      <c r="Q3112" t="inlineStr"/>
      <c r="R3112" t="inlineStr"/>
      <c r="S3112" t="inlineStr"/>
      <c r="T3112" t="inlineStr"/>
      <c r="U3112" t="inlineStr"/>
    </row>
    <row r="3113">
      <c r="A3113" t="inlineStr">
        <is>
          <t>2026-07-02</t>
        </is>
      </c>
      <c r="B3113" t="inlineStr"/>
      <c r="C3113" t="inlineStr">
        <is>
          <t>RCE São Lucas</t>
        </is>
      </c>
      <c r="D3113" t="inlineStr"/>
      <c r="E3113" t="inlineStr">
        <is>
          <t>Antonio (PI 20 ao PI 21)</t>
        </is>
      </c>
      <c r="F3113" t="inlineStr">
        <is>
          <t>VCA, PVs e Ligações</t>
        </is>
      </c>
      <c r="G3113" t="inlineStr"/>
      <c r="H3113" t="inlineStr"/>
      <c r="I3113" t="inlineStr"/>
      <c r="J3113" t="inlineStr"/>
      <c r="K3113" t="inlineStr"/>
      <c r="L3113" t="inlineStr"/>
      <c r="M3113" t="inlineStr"/>
      <c r="N3113" t="inlineStr"/>
      <c r="O3113" t="inlineStr"/>
      <c r="P3113" t="inlineStr"/>
      <c r="Q3113" t="inlineStr"/>
      <c r="R3113" t="inlineStr"/>
      <c r="S3113" t="inlineStr"/>
      <c r="T3113" t="inlineStr"/>
      <c r="U3113" t="inlineStr"/>
    </row>
    <row r="3114">
      <c r="A3114" t="inlineStr">
        <is>
          <t>2026-07-02</t>
        </is>
      </c>
      <c r="B3114" t="inlineStr"/>
      <c r="C3114" t="inlineStr">
        <is>
          <t>Serviços Reposição</t>
        </is>
      </c>
      <c r="D3114" t="inlineStr"/>
      <c r="E3114" t="inlineStr">
        <is>
          <t>Leandro</t>
        </is>
      </c>
      <c r="F3114" t="inlineStr">
        <is>
          <t>Reparos Gerais</t>
        </is>
      </c>
      <c r="G3114" t="inlineStr"/>
      <c r="H3114" t="inlineStr"/>
      <c r="I3114" t="inlineStr"/>
      <c r="J3114" t="inlineStr"/>
      <c r="K3114" t="inlineStr"/>
      <c r="L3114" t="inlineStr"/>
      <c r="M3114" t="inlineStr"/>
      <c r="N3114" t="inlineStr"/>
      <c r="O3114" t="inlineStr"/>
      <c r="P3114" t="inlineStr"/>
      <c r="Q3114" t="inlineStr"/>
      <c r="R3114" t="inlineStr"/>
      <c r="S3114" t="inlineStr"/>
      <c r="T3114" t="inlineStr"/>
      <c r="U3114" t="inlineStr"/>
    </row>
    <row r="3115">
      <c r="A3115" t="inlineStr">
        <is>
          <t>2026-07-02</t>
        </is>
      </c>
      <c r="B3115" t="inlineStr"/>
      <c r="C3115" t="inlineStr">
        <is>
          <t>Vacal: ITI 15</t>
        </is>
      </c>
      <c r="D3115" t="inlineStr"/>
      <c r="E3115" t="inlineStr">
        <is>
          <t>Henko</t>
        </is>
      </c>
      <c r="F3115" t="inlineStr">
        <is>
          <t>Apoio às equipes</t>
        </is>
      </c>
      <c r="G3115" t="inlineStr"/>
      <c r="H3115" t="inlineStr"/>
      <c r="I3115" t="inlineStr"/>
      <c r="J3115" t="inlineStr"/>
      <c r="K3115" t="inlineStr"/>
      <c r="L3115" t="inlineStr"/>
      <c r="M3115" t="inlineStr"/>
      <c r="N3115" t="inlineStr"/>
      <c r="O3115" t="inlineStr"/>
      <c r="P3115" t="inlineStr"/>
      <c r="Q3115" t="inlineStr"/>
      <c r="R3115" t="inlineStr"/>
      <c r="S3115" t="inlineStr"/>
      <c r="T3115" t="inlineStr"/>
      <c r="U3115" t="inlineStr"/>
    </row>
    <row r="3116">
      <c r="A3116" t="inlineStr">
        <is>
          <t>2026-07-02</t>
        </is>
      </c>
      <c r="B3116" t="inlineStr"/>
      <c r="C3116" t="inlineStr">
        <is>
          <t>Guindauto</t>
        </is>
      </c>
      <c r="D3116" t="inlineStr"/>
      <c r="E3116" t="inlineStr">
        <is>
          <t>Marcio</t>
        </is>
      </c>
      <c r="F3116" t="inlineStr">
        <is>
          <t>Apoio as equipes</t>
        </is>
      </c>
      <c r="G3116" t="inlineStr"/>
      <c r="H3116" t="inlineStr"/>
      <c r="I3116" t="inlineStr"/>
      <c r="J3116" t="inlineStr"/>
      <c r="K3116" t="inlineStr"/>
      <c r="L3116" t="inlineStr"/>
      <c r="M3116" t="inlineStr"/>
      <c r="N3116" t="inlineStr"/>
      <c r="O3116" t="inlineStr"/>
      <c r="P3116" t="inlineStr"/>
      <c r="Q3116" t="inlineStr"/>
      <c r="R3116" t="inlineStr"/>
      <c r="S3116" t="inlineStr"/>
      <c r="T3116" t="inlineStr"/>
      <c r="U3116" t="inlineStr"/>
    </row>
    <row r="3117">
      <c r="A3117" t="inlineStr">
        <is>
          <t>2026-07-02</t>
        </is>
      </c>
      <c r="B3117" t="inlineStr"/>
      <c r="C3117" t="inlineStr">
        <is>
          <t>Guindauto</t>
        </is>
      </c>
      <c r="D3117" t="inlineStr"/>
      <c r="E3117" t="inlineStr">
        <is>
          <t>Luiz</t>
        </is>
      </c>
      <c r="F3117" t="inlineStr">
        <is>
          <t>Apoio as equipes</t>
        </is>
      </c>
      <c r="G3117" t="inlineStr"/>
      <c r="H3117" t="inlineStr"/>
      <c r="I3117" t="inlineStr"/>
      <c r="J3117" t="inlineStr"/>
      <c r="K3117" t="inlineStr"/>
      <c r="L3117" t="inlineStr"/>
      <c r="M3117" t="inlineStr"/>
      <c r="N3117" t="inlineStr"/>
      <c r="O3117" t="inlineStr"/>
      <c r="P3117" t="inlineStr"/>
      <c r="Q3117" t="inlineStr"/>
      <c r="R3117" t="inlineStr"/>
      <c r="S3117" t="inlineStr"/>
      <c r="T3117" t="inlineStr"/>
      <c r="U3117" t="inlineStr"/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2026-07-02T10:07:25Z</dcterms:modified>
  <cp:lastModifiedBy>Cleulton Marcio Goncalves Freire</cp:lastModifiedBy>
</cp:coreProperties>
</file>