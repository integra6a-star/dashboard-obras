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839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E2706" t="inlineStr">
        <is>
          <t>Vacal</t>
        </is>
      </c>
      <c r="F2706" t="inlineStr">
        <is>
          <t>João Canzi – Henko (Osmar)</t>
        </is>
      </c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E2707" t="inlineStr">
        <is>
          <t>Vacal</t>
        </is>
      </c>
      <c r="F2707" t="inlineStr">
        <is>
          <t>João Canzi – Renasce (Raimundo)</t>
        </is>
      </c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E2708" t="inlineStr">
        <is>
          <t>Vacal</t>
        </is>
      </c>
      <c r="F2708" t="inlineStr">
        <is>
          <t>João Canzi – Hidrosol (Jonathan)</t>
        </is>
      </c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E2709" t="inlineStr">
        <is>
          <t>Vacal</t>
        </is>
      </c>
      <c r="F2709" t="inlineStr">
        <is>
          <t>Lourdes – Henko (Marcio)</t>
        </is>
      </c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E2710" t="inlineStr">
        <is>
          <t>Vacal</t>
        </is>
      </c>
      <c r="F2710" t="inlineStr">
        <is>
          <t>ITI 15 – Henko (Thiago)</t>
        </is>
      </c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E2711" t="inlineStr">
        <is>
          <t>Guindauto</t>
        </is>
      </c>
      <c r="F2711" t="inlineStr">
        <is>
          <t>Marcio - Apoio as equipes</t>
        </is>
      </c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E2712" t="inlineStr">
        <is>
          <t>Guindauto</t>
        </is>
      </c>
      <c r="F2712" t="inlineStr">
        <is>
          <t>Luiz - Apoio as equipes</t>
        </is>
      </c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  <row r="2713">
      <c r="A2713" s="36" t="n">
        <v>46175</v>
      </c>
      <c r="B2713" t="inlineStr">
        <is>
          <t>Terça</t>
        </is>
      </c>
      <c r="C2713" t="inlineStr">
        <is>
          <t>CT João Canzi</t>
        </is>
      </c>
      <c r="D2713" t="inlineStr">
        <is>
          <t>Valmir</t>
        </is>
      </c>
      <c r="E2713" t="inlineStr">
        <is>
          <t>Goiânia Drill</t>
        </is>
      </c>
      <c r="F2713" t="inlineStr">
        <is>
          <t>Puxe do PV-10 ao PV-11</t>
        </is>
      </c>
      <c r="G2713" t="inlineStr">
        <is>
          <t>10</t>
        </is>
      </c>
      <c r="H2713" t="inlineStr">
        <is>
          <t>11</t>
        </is>
      </c>
      <c r="I2713" t="inlineStr">
        <is>
          <t>10 ao 11</t>
        </is>
      </c>
      <c r="J2713" t="inlineStr">
        <is>
          <t>HDD</t>
        </is>
      </c>
      <c r="K2713" t="inlineStr">
        <is>
          <t>Planejamento</t>
        </is>
      </c>
      <c r="L2713" t="inlineStr">
        <is>
          <t>PDS-Junho.docx</t>
        </is>
      </c>
      <c r="M2713">
        <f>IF($A2713="","",TEXT($A2713,"mmmm/yyyy"))</f>
        <v/>
      </c>
      <c r="P2713">
        <f>IFERROR(XLOOKUP($N2713,Base_Enderecos!$A:$A,Base_Enderecos!$B:$B,""),"")</f>
        <v/>
      </c>
      <c r="Q2713">
        <f>IFERROR(XLOOKUP($N2713,Base_Enderecos!$A:$A,Base_Enderecos!$C:$C,""),"")</f>
        <v/>
      </c>
      <c r="R2713">
        <f>IF(ISNUMBER(SEARCH("HDD",$F2713)),"HDD",IF(ISNUMBER(SEARCH("VCA",$F2713)),"VCA","MND"))</f>
        <v/>
      </c>
      <c r="T2713">
        <f>TEXT($A2713,"yyyy-mm")&amp;"|"&amp;$C2713&amp;"|"&amp;$I2713</f>
        <v/>
      </c>
    </row>
    <row r="2714">
      <c r="A2714" s="36" t="n">
        <v>46175</v>
      </c>
      <c r="B2714" t="inlineStr">
        <is>
          <t>Terça</t>
        </is>
      </c>
      <c r="C2714" t="inlineStr">
        <is>
          <t>CT João Canzi</t>
        </is>
      </c>
      <c r="D2714" t="inlineStr">
        <is>
          <t>Valmir</t>
        </is>
      </c>
      <c r="E2714" t="inlineStr">
        <is>
          <t>Bruno E Medeiros</t>
        </is>
      </c>
      <c r="F2714" t="inlineStr">
        <is>
          <t>Apoio ao HDD</t>
        </is>
      </c>
      <c r="J2714" t="inlineStr">
        <is>
          <t>HDD</t>
        </is>
      </c>
      <c r="K2714" t="inlineStr">
        <is>
          <t>Planejamento</t>
        </is>
      </c>
      <c r="L2714" t="inlineStr">
        <is>
          <t>PDS-Junho.docx</t>
        </is>
      </c>
      <c r="M2714">
        <f>IF($A2714="","",TEXT($A2714,"mmmm/yyyy"))</f>
        <v/>
      </c>
      <c r="P2714">
        <f>IFERROR(XLOOKUP($N2714,Base_Enderecos!$A:$A,Base_Enderecos!$B:$B,""),"")</f>
        <v/>
      </c>
      <c r="Q2714">
        <f>IFERROR(XLOOKUP($N2714,Base_Enderecos!$A:$A,Base_Enderecos!$C:$C,""),"")</f>
        <v/>
      </c>
      <c r="R2714">
        <f>IF(ISNUMBER(SEARCH("HDD",$F2714)),"HDD",IF(ISNUMBER(SEARCH("VCA",$F2714)),"VCA","MND"))</f>
        <v/>
      </c>
      <c r="T2714">
        <f>TEXT($A2714,"yyyy-mm")&amp;"|"&amp;$C2714&amp;"|"&amp;$I2714</f>
        <v/>
      </c>
    </row>
    <row r="2715">
      <c r="A2715" s="36" t="n">
        <v>46175</v>
      </c>
      <c r="B2715" t="inlineStr">
        <is>
          <t>Terça</t>
        </is>
      </c>
      <c r="C2715" t="inlineStr">
        <is>
          <t>CT João Canzi</t>
        </is>
      </c>
      <c r="D2715" t="inlineStr">
        <is>
          <t>Valmir</t>
        </is>
      </c>
      <c r="E2715" t="inlineStr">
        <is>
          <t>Cidão</t>
        </is>
      </c>
      <c r="F2715" t="inlineStr">
        <is>
          <t>Transformação PV 15</t>
        </is>
      </c>
      <c r="G2715" t="inlineStr">
        <is>
          <t>15</t>
        </is>
      </c>
      <c r="I2715" t="inlineStr">
        <is>
          <t>15</t>
        </is>
      </c>
      <c r="J2715" t="inlineStr">
        <is>
          <t>Transformação</t>
        </is>
      </c>
      <c r="K2715" t="inlineStr">
        <is>
          <t>Planejamento</t>
        </is>
      </c>
      <c r="L2715" t="inlineStr">
        <is>
          <t>PDS-Junho.docx</t>
        </is>
      </c>
      <c r="M2715">
        <f>IF($A2715="","",TEXT($A2715,"mmmm/yyyy"))</f>
        <v/>
      </c>
      <c r="P2715">
        <f>IFERROR(XLOOKUP($N2715,Base_Enderecos!$A:$A,Base_Enderecos!$B:$B,""),"")</f>
        <v/>
      </c>
      <c r="Q2715">
        <f>IFERROR(XLOOKUP($N2715,Base_Enderecos!$A:$A,Base_Enderecos!$C:$C,""),"")</f>
        <v/>
      </c>
      <c r="R2715">
        <f>IF(ISNUMBER(SEARCH("HDD",$F2715)),"HDD",IF(ISNUMBER(SEARCH("VCA",$F2715)),"VCA","MND"))</f>
        <v/>
      </c>
      <c r="T2715">
        <f>TEXT($A2715,"yyyy-mm")&amp;"|"&amp;$C2715&amp;"|"&amp;$I2715</f>
        <v/>
      </c>
    </row>
    <row r="2716">
      <c r="A2716" s="36" t="n">
        <v>46175</v>
      </c>
      <c r="B2716" t="inlineStr">
        <is>
          <t>Terça</t>
        </is>
      </c>
      <c r="C2716" t="inlineStr">
        <is>
          <t>CT João Canzi</t>
        </is>
      </c>
      <c r="D2716" t="inlineStr">
        <is>
          <t>Valmir</t>
        </is>
      </c>
      <c r="E2716" t="inlineStr">
        <is>
          <t>Márcio</t>
        </is>
      </c>
      <c r="F2716" t="inlineStr">
        <is>
          <t>Transformação PV 09</t>
        </is>
      </c>
      <c r="G2716" t="inlineStr">
        <is>
          <t>09</t>
        </is>
      </c>
      <c r="I2716" t="inlineStr">
        <is>
          <t>09</t>
        </is>
      </c>
      <c r="J2716" t="inlineStr">
        <is>
          <t>Transformação</t>
        </is>
      </c>
      <c r="K2716" t="inlineStr">
        <is>
          <t>Planejamento</t>
        </is>
      </c>
      <c r="L2716" t="inlineStr">
        <is>
          <t>PDS-Junho.docx</t>
        </is>
      </c>
      <c r="M2716">
        <f>IF($A2716="","",TEXT($A2716,"mmmm/yyyy"))</f>
        <v/>
      </c>
      <c r="P2716">
        <f>IFERROR(XLOOKUP($N2716,Base_Enderecos!$A:$A,Base_Enderecos!$B:$B,""),"")</f>
        <v/>
      </c>
      <c r="Q2716">
        <f>IFERROR(XLOOKUP($N2716,Base_Enderecos!$A:$A,Base_Enderecos!$C:$C,""),"")</f>
        <v/>
      </c>
      <c r="R2716">
        <f>IF(ISNUMBER(SEARCH("HDD",$F2716)),"HDD",IF(ISNUMBER(SEARCH("VCA",$F2716)),"VCA","MND"))</f>
        <v/>
      </c>
      <c r="T2716">
        <f>TEXT($A2716,"yyyy-mm")&amp;"|"&amp;$C2716&amp;"|"&amp;$I2716</f>
        <v/>
      </c>
    </row>
    <row r="2717">
      <c r="A2717" s="36" t="n">
        <v>46175</v>
      </c>
      <c r="B2717" t="inlineStr">
        <is>
          <t>Terça</t>
        </is>
      </c>
      <c r="C2717" t="inlineStr">
        <is>
          <t>RCE Elvira</t>
        </is>
      </c>
      <c r="D2717" t="inlineStr">
        <is>
          <t>Silvestre</t>
        </is>
      </c>
      <c r="E2717" t="inlineStr">
        <is>
          <t>Valter</t>
        </is>
      </c>
      <c r="F2717" t="inlineStr">
        <is>
          <t>VCA, PVs e Ligações</t>
        </is>
      </c>
      <c r="J2717" t="inlineStr">
        <is>
          <t>VCA</t>
        </is>
      </c>
      <c r="K2717" t="inlineStr">
        <is>
          <t>Planejamento</t>
        </is>
      </c>
      <c r="L2717" t="inlineStr">
        <is>
          <t>PDS-Junho.docx</t>
        </is>
      </c>
      <c r="M2717">
        <f>IF($A2717="","",TEXT($A2717,"mmmm/yyyy"))</f>
        <v/>
      </c>
      <c r="P2717">
        <f>IFERROR(XLOOKUP($N2717,Base_Enderecos!$A:$A,Base_Enderecos!$B:$B,""),"")</f>
        <v/>
      </c>
      <c r="Q2717">
        <f>IFERROR(XLOOKUP($N2717,Base_Enderecos!$A:$A,Base_Enderecos!$C:$C,""),"")</f>
        <v/>
      </c>
      <c r="R2717">
        <f>IF(ISNUMBER(SEARCH("HDD",$F2717)),"HDD",IF(ISNUMBER(SEARCH("VCA",$F2717)),"VCA","MND"))</f>
        <v/>
      </c>
      <c r="T2717">
        <f>TEXT($A2717,"yyyy-mm")&amp;"|"&amp;$C2717&amp;"|"&amp;$I2717</f>
        <v/>
      </c>
    </row>
    <row r="2718">
      <c r="A2718" s="36" t="n">
        <v>46175</v>
      </c>
      <c r="B2718" t="inlineStr">
        <is>
          <t>Terça</t>
        </is>
      </c>
      <c r="C2718" t="inlineStr">
        <is>
          <t>RCE Conj. União</t>
        </is>
      </c>
      <c r="D2718" t="inlineStr">
        <is>
          <t>Silvestre</t>
        </is>
      </c>
      <c r="E2718" t="inlineStr">
        <is>
          <t>Jonathan</t>
        </is>
      </c>
      <c r="F2718" t="inlineStr">
        <is>
          <t>Transformação PV 40.1</t>
        </is>
      </c>
      <c r="G2718" t="inlineStr">
        <is>
          <t>40.1</t>
        </is>
      </c>
      <c r="I2718" t="inlineStr">
        <is>
          <t>40.1</t>
        </is>
      </c>
      <c r="J2718" t="inlineStr">
        <is>
          <t>Transformação</t>
        </is>
      </c>
      <c r="K2718" t="inlineStr">
        <is>
          <t>Planejamento</t>
        </is>
      </c>
      <c r="L2718" t="inlineStr">
        <is>
          <t>PDS-Junho.docx</t>
        </is>
      </c>
      <c r="M2718">
        <f>IF($A2718="","",TEXT($A2718,"mmmm/yyyy"))</f>
        <v/>
      </c>
      <c r="P2718">
        <f>IFERROR(XLOOKUP($N2718,Base_Enderecos!$A:$A,Base_Enderecos!$B:$B,""),"")</f>
        <v/>
      </c>
      <c r="Q2718">
        <f>IFERROR(XLOOKUP($N2718,Base_Enderecos!$A:$A,Base_Enderecos!$C:$C,""),"")</f>
        <v/>
      </c>
      <c r="R2718">
        <f>IF(ISNUMBER(SEARCH("HDD",$F2718)),"HDD",IF(ISNUMBER(SEARCH("VCA",$F2718)),"VCA","MND"))</f>
        <v/>
      </c>
      <c r="T2718">
        <f>TEXT($A2718,"yyyy-mm")&amp;"|"&amp;$C2718&amp;"|"&amp;$I2718</f>
        <v/>
      </c>
    </row>
    <row r="2719">
      <c r="A2719" s="36" t="n">
        <v>46175</v>
      </c>
      <c r="B2719" t="inlineStr">
        <is>
          <t>Terça</t>
        </is>
      </c>
      <c r="C2719" t="inlineStr">
        <is>
          <t>RCE Elias Sleiman / CT João Canzi</t>
        </is>
      </c>
      <c r="D2719" t="inlineStr">
        <is>
          <t>Silvestre</t>
        </is>
      </c>
      <c r="E2719" t="inlineStr">
        <is>
          <t>Edvando</t>
        </is>
      </c>
      <c r="F2719" t="inlineStr">
        <is>
          <t>VCA + interl PV 17 ao PV 22</t>
        </is>
      </c>
      <c r="G2719" t="inlineStr">
        <is>
          <t>17</t>
        </is>
      </c>
      <c r="H2719" t="inlineStr">
        <is>
          <t>22</t>
        </is>
      </c>
      <c r="I2719" t="inlineStr">
        <is>
          <t>17 ao 22</t>
        </is>
      </c>
      <c r="J2719" t="inlineStr">
        <is>
          <t>VCA</t>
        </is>
      </c>
      <c r="K2719" t="inlineStr">
        <is>
          <t>Planejamento</t>
        </is>
      </c>
      <c r="L2719" t="inlineStr">
        <is>
          <t>PDS-Junho.docx</t>
        </is>
      </c>
      <c r="M2719">
        <f>IF($A2719="","",TEXT($A2719,"mmmm/yyyy"))</f>
        <v/>
      </c>
      <c r="P2719">
        <f>IFERROR(XLOOKUP($N2719,Base_Enderecos!$A:$A,Base_Enderecos!$B:$B,""),"")</f>
        <v/>
      </c>
      <c r="Q2719">
        <f>IFERROR(XLOOKUP($N2719,Base_Enderecos!$A:$A,Base_Enderecos!$C:$C,""),"")</f>
        <v/>
      </c>
      <c r="R2719">
        <f>IF(ISNUMBER(SEARCH("HDD",$F2719)),"HDD",IF(ISNUMBER(SEARCH("VCA",$F2719)),"VCA","MND"))</f>
        <v/>
      </c>
      <c r="T2719">
        <f>TEXT($A2719,"yyyy-mm")&amp;"|"&amp;$C2719&amp;"|"&amp;$I2719</f>
        <v/>
      </c>
    </row>
    <row r="2720">
      <c r="A2720" s="36" t="n">
        <v>46175</v>
      </c>
      <c r="B2720" t="inlineStr">
        <is>
          <t>Terça</t>
        </is>
      </c>
      <c r="C2720" t="inlineStr">
        <is>
          <t>RCE São Lucas</t>
        </is>
      </c>
      <c r="D2720" t="inlineStr">
        <is>
          <t>Fábio</t>
        </is>
      </c>
      <c r="E2720" t="inlineStr">
        <is>
          <t>Ricardo (pi 05 Ao Pi 06)</t>
        </is>
      </c>
      <c r="F2720" t="inlineStr">
        <is>
          <t>VCA, PVs e Ligações</t>
        </is>
      </c>
      <c r="J2720" t="inlineStr">
        <is>
          <t>VCA</t>
        </is>
      </c>
      <c r="K2720" t="inlineStr">
        <is>
          <t>Planejamento</t>
        </is>
      </c>
      <c r="L2720" t="inlineStr">
        <is>
          <t>PDS-Junho.docx</t>
        </is>
      </c>
      <c r="M2720">
        <f>IF($A2720="","",TEXT($A2720,"mmmm/yyyy"))</f>
        <v/>
      </c>
      <c r="P2720">
        <f>IFERROR(XLOOKUP($N2720,Base_Enderecos!$A:$A,Base_Enderecos!$B:$B,""),"")</f>
        <v/>
      </c>
      <c r="Q2720">
        <f>IFERROR(XLOOKUP($N2720,Base_Enderecos!$A:$A,Base_Enderecos!$C:$C,""),"")</f>
        <v/>
      </c>
      <c r="R2720">
        <f>IF(ISNUMBER(SEARCH("HDD",$F2720)),"HDD",IF(ISNUMBER(SEARCH("VCA",$F2720)),"VCA","MND"))</f>
        <v/>
      </c>
      <c r="T2720">
        <f>TEXT($A2720,"yyyy-mm")&amp;"|"&amp;$C2720&amp;"|"&amp;$I2720</f>
        <v/>
      </c>
    </row>
    <row r="2721">
      <c r="A2721" s="36" t="n">
        <v>46175</v>
      </c>
      <c r="B2721" t="inlineStr">
        <is>
          <t>Terça</t>
        </is>
      </c>
      <c r="C2721" t="inlineStr">
        <is>
          <t>RCE São Lucas</t>
        </is>
      </c>
      <c r="D2721" t="inlineStr">
        <is>
          <t>Fábio</t>
        </is>
      </c>
      <c r="E2721" t="inlineStr">
        <is>
          <t>Claudinei (pi 37 Ao Pi 38)</t>
        </is>
      </c>
      <c r="F2721" t="inlineStr">
        <is>
          <t>VCA, PVs e Ligações</t>
        </is>
      </c>
      <c r="J2721" t="inlineStr">
        <is>
          <t>VCA</t>
        </is>
      </c>
      <c r="K2721" t="inlineStr">
        <is>
          <t>Planejamento</t>
        </is>
      </c>
      <c r="L2721" t="inlineStr">
        <is>
          <t>PDS-Junho.docx</t>
        </is>
      </c>
      <c r="M2721">
        <f>IF($A2721="","",TEXT($A2721,"mmmm/yyyy"))</f>
        <v/>
      </c>
      <c r="P2721">
        <f>IFERROR(XLOOKUP($N2721,Base_Enderecos!$A:$A,Base_Enderecos!$B:$B,""),"")</f>
        <v/>
      </c>
      <c r="Q2721">
        <f>IFERROR(XLOOKUP($N2721,Base_Enderecos!$A:$A,Base_Enderecos!$C:$C,""),"")</f>
        <v/>
      </c>
      <c r="R2721">
        <f>IF(ISNUMBER(SEARCH("HDD",$F2721)),"HDD",IF(ISNUMBER(SEARCH("VCA",$F2721)),"VCA","MND"))</f>
        <v/>
      </c>
      <c r="T2721">
        <f>TEXT($A2721,"yyyy-mm")&amp;"|"&amp;$C2721&amp;"|"&amp;$I2721</f>
        <v/>
      </c>
    </row>
    <row r="2722">
      <c r="A2722" s="36" t="n">
        <v>46175</v>
      </c>
      <c r="B2722" t="inlineStr">
        <is>
          <t>Terça</t>
        </is>
      </c>
      <c r="C2722" t="inlineStr">
        <is>
          <t>RCE São Lucas</t>
        </is>
      </c>
      <c r="D2722" t="inlineStr">
        <is>
          <t>Fábio</t>
        </is>
      </c>
      <c r="E2722" t="inlineStr">
        <is>
          <t>Miro</t>
        </is>
      </c>
      <c r="F2722" t="inlineStr">
        <is>
          <t>VCA, PVs e Ligações; (PI 32 ao PI 60)</t>
        </is>
      </c>
      <c r="G2722" t="inlineStr">
        <is>
          <t>32</t>
        </is>
      </c>
      <c r="H2722" t="inlineStr">
        <is>
          <t>60</t>
        </is>
      </c>
      <c r="I2722" t="inlineStr">
        <is>
          <t>32 ao 60</t>
        </is>
      </c>
      <c r="J2722" t="inlineStr">
        <is>
          <t>VCA</t>
        </is>
      </c>
      <c r="K2722" t="inlineStr">
        <is>
          <t>Planejamento</t>
        </is>
      </c>
      <c r="L2722" t="inlineStr">
        <is>
          <t>PDS-Junho.docx</t>
        </is>
      </c>
      <c r="M2722">
        <f>IF($A2722="","",TEXT($A2722,"mmmm/yyyy"))</f>
        <v/>
      </c>
      <c r="P2722">
        <f>IFERROR(XLOOKUP($N2722,Base_Enderecos!$A:$A,Base_Enderecos!$B:$B,""),"")</f>
        <v/>
      </c>
      <c r="Q2722">
        <f>IFERROR(XLOOKUP($N2722,Base_Enderecos!$A:$A,Base_Enderecos!$C:$C,""),"")</f>
        <v/>
      </c>
      <c r="R2722">
        <f>IF(ISNUMBER(SEARCH("HDD",$F2722)),"HDD",IF(ISNUMBER(SEARCH("VCA",$F2722)),"VCA","MND"))</f>
        <v/>
      </c>
      <c r="T2722">
        <f>TEXT($A2722,"yyyy-mm")&amp;"|"&amp;$C2722&amp;"|"&amp;$I2722</f>
        <v/>
      </c>
    </row>
    <row r="2723">
      <c r="A2723" s="36" t="n">
        <v>46175</v>
      </c>
      <c r="B2723" t="inlineStr">
        <is>
          <t>Terça</t>
        </is>
      </c>
      <c r="C2723" t="inlineStr">
        <is>
          <t>RCE São Lucas</t>
        </is>
      </c>
      <c r="D2723" t="inlineStr">
        <is>
          <t>Fábio</t>
        </is>
      </c>
      <c r="E2723" t="inlineStr">
        <is>
          <t>Emanuel</t>
        </is>
      </c>
      <c r="F2723" t="inlineStr">
        <is>
          <t>VCA, PVs e Ligações; (PI 32 ao PI 60)</t>
        </is>
      </c>
      <c r="G2723" t="inlineStr">
        <is>
          <t>32</t>
        </is>
      </c>
      <c r="H2723" t="inlineStr">
        <is>
          <t>60</t>
        </is>
      </c>
      <c r="I2723" t="inlineStr">
        <is>
          <t>32 ao 60</t>
        </is>
      </c>
      <c r="J2723" t="inlineStr">
        <is>
          <t>VCA</t>
        </is>
      </c>
      <c r="K2723" t="inlineStr">
        <is>
          <t>Planejamento</t>
        </is>
      </c>
      <c r="L2723" t="inlineStr">
        <is>
          <t>PDS-Junho.docx</t>
        </is>
      </c>
      <c r="M2723">
        <f>IF($A2723="","",TEXT($A2723,"mmmm/yyyy"))</f>
        <v/>
      </c>
      <c r="P2723">
        <f>IFERROR(XLOOKUP($N2723,Base_Enderecos!$A:$A,Base_Enderecos!$B:$B,""),"")</f>
        <v/>
      </c>
      <c r="Q2723">
        <f>IFERROR(XLOOKUP($N2723,Base_Enderecos!$A:$A,Base_Enderecos!$C:$C,""),"")</f>
        <v/>
      </c>
      <c r="R2723">
        <f>IF(ISNUMBER(SEARCH("HDD",$F2723)),"HDD",IF(ISNUMBER(SEARCH("VCA",$F2723)),"VCA","MND"))</f>
        <v/>
      </c>
      <c r="T2723">
        <f>TEXT($A2723,"yyyy-mm")&amp;"|"&amp;$C2723&amp;"|"&amp;$I2723</f>
        <v/>
      </c>
    </row>
    <row r="2724">
      <c r="A2724" s="36" t="n">
        <v>46175</v>
      </c>
      <c r="B2724" t="inlineStr">
        <is>
          <t>Terça</t>
        </is>
      </c>
      <c r="C2724" t="inlineStr">
        <is>
          <t>RCE Rua São João</t>
        </is>
      </c>
      <c r="D2724" t="inlineStr">
        <is>
          <t>Fábio</t>
        </is>
      </c>
      <c r="E2724" t="inlineStr">
        <is>
          <t>Antonio (pv 02 Ao Pi 04)*</t>
        </is>
      </c>
      <c r="F2724" t="inlineStr">
        <is>
          <t>VCA, PVs e Ligações</t>
        </is>
      </c>
      <c r="J2724" t="inlineStr">
        <is>
          <t>VCA</t>
        </is>
      </c>
      <c r="K2724" t="inlineStr">
        <is>
          <t>Planejamento</t>
        </is>
      </c>
      <c r="L2724" t="inlineStr">
        <is>
          <t>PDS-Junho.docx</t>
        </is>
      </c>
      <c r="M2724">
        <f>IF($A2724="","",TEXT($A2724,"mmmm/yyyy"))</f>
        <v/>
      </c>
      <c r="P2724">
        <f>IFERROR(XLOOKUP($N2724,Base_Enderecos!$A:$A,Base_Enderecos!$B:$B,""),"")</f>
        <v/>
      </c>
      <c r="Q2724">
        <f>IFERROR(XLOOKUP($N2724,Base_Enderecos!$A:$A,Base_Enderecos!$C:$C,""),"")</f>
        <v/>
      </c>
      <c r="R2724">
        <f>IF(ISNUMBER(SEARCH("HDD",$F2724)),"HDD",IF(ISNUMBER(SEARCH("VCA",$F2724)),"VCA","MND"))</f>
        <v/>
      </c>
      <c r="T2724">
        <f>TEXT($A2724,"yyyy-mm")&amp;"|"&amp;$C2724&amp;"|"&amp;$I2724</f>
        <v/>
      </c>
    </row>
    <row r="2725">
      <c r="A2725" s="36" t="n">
        <v>46175</v>
      </c>
      <c r="B2725" t="inlineStr">
        <is>
          <t>Terça</t>
        </is>
      </c>
      <c r="C2725" t="inlineStr">
        <is>
          <t>CTS Lourdes Complementar</t>
        </is>
      </c>
      <c r="D2725" t="inlineStr">
        <is>
          <t>Robson</t>
        </is>
      </c>
      <c r="E2725" t="inlineStr">
        <is>
          <t>Cesar</t>
        </is>
      </c>
      <c r="F2725" t="inlineStr">
        <is>
          <t>Transformação PV 03</t>
        </is>
      </c>
      <c r="G2725" t="inlineStr">
        <is>
          <t>03</t>
        </is>
      </c>
      <c r="I2725" t="inlineStr">
        <is>
          <t>03</t>
        </is>
      </c>
      <c r="J2725" t="inlineStr">
        <is>
          <t>Transformação</t>
        </is>
      </c>
      <c r="K2725" t="inlineStr">
        <is>
          <t>Planejamento</t>
        </is>
      </c>
      <c r="L2725" t="inlineStr">
        <is>
          <t>PDS-Junho.docx</t>
        </is>
      </c>
      <c r="M2725">
        <f>IF($A2725="","",TEXT($A2725,"mmmm/yyyy"))</f>
        <v/>
      </c>
      <c r="P2725">
        <f>IFERROR(XLOOKUP($N2725,Base_Enderecos!$A:$A,Base_Enderecos!$B:$B,""),"")</f>
        <v/>
      </c>
      <c r="Q2725">
        <f>IFERROR(XLOOKUP($N2725,Base_Enderecos!$A:$A,Base_Enderecos!$C:$C,""),"")</f>
        <v/>
      </c>
      <c r="R2725">
        <f>IF(ISNUMBER(SEARCH("HDD",$F2725)),"HDD",IF(ISNUMBER(SEARCH("VCA",$F2725)),"VCA","MND"))</f>
        <v/>
      </c>
      <c r="T2725">
        <f>TEXT($A2725,"yyyy-mm")&amp;"|"&amp;$C2725&amp;"|"&amp;$I2725</f>
        <v/>
      </c>
    </row>
    <row r="2726">
      <c r="A2726" s="36" t="n">
        <v>46175</v>
      </c>
      <c r="B2726" t="inlineStr">
        <is>
          <t>Terça</t>
        </is>
      </c>
      <c r="C2726" t="inlineStr">
        <is>
          <t>CTS Lourdes Complementar</t>
        </is>
      </c>
      <c r="D2726" t="inlineStr">
        <is>
          <t>Robson</t>
        </is>
      </c>
      <c r="E2726" t="inlineStr">
        <is>
          <t>Marcelo</t>
        </is>
      </c>
      <c r="F2726" t="inlineStr">
        <is>
          <t>Transformação PV 04</t>
        </is>
      </c>
      <c r="G2726" t="inlineStr">
        <is>
          <t>04</t>
        </is>
      </c>
      <c r="I2726" t="inlineStr">
        <is>
          <t>04</t>
        </is>
      </c>
      <c r="J2726" t="inlineStr">
        <is>
          <t>Transformação</t>
        </is>
      </c>
      <c r="K2726" t="inlineStr">
        <is>
          <t>Planejamento</t>
        </is>
      </c>
      <c r="L2726" t="inlineStr">
        <is>
          <t>PDS-Junho.docx</t>
        </is>
      </c>
      <c r="M2726">
        <f>IF($A2726="","",TEXT($A2726,"mmmm/yyyy"))</f>
        <v/>
      </c>
      <c r="P2726">
        <f>IFERROR(XLOOKUP($N2726,Base_Enderecos!$A:$A,Base_Enderecos!$B:$B,""),"")</f>
        <v/>
      </c>
      <c r="Q2726">
        <f>IFERROR(XLOOKUP($N2726,Base_Enderecos!$A:$A,Base_Enderecos!$C:$C,""),"")</f>
        <v/>
      </c>
      <c r="R2726">
        <f>IF(ISNUMBER(SEARCH("HDD",$F2726)),"HDD",IF(ISNUMBER(SEARCH("VCA",$F2726)),"VCA","MND"))</f>
        <v/>
      </c>
      <c r="T2726">
        <f>TEXT($A2726,"yyyy-mm")&amp;"|"&amp;$C2726&amp;"|"&amp;$I2726</f>
        <v/>
      </c>
    </row>
    <row r="2727">
      <c r="A2727" s="36" t="n">
        <v>46175</v>
      </c>
      <c r="B2727" t="inlineStr">
        <is>
          <t>Terça</t>
        </is>
      </c>
      <c r="C2727" t="inlineStr">
        <is>
          <t>João Canzi</t>
        </is>
      </c>
      <c r="E2727" t="inlineStr">
        <is>
          <t>Vacal</t>
        </is>
      </c>
      <c r="F2727" t="inlineStr">
        <is>
          <t>João Canzi – Henko (Wellington/Thiago)</t>
        </is>
      </c>
      <c r="J2727" t="inlineStr">
        <is>
          <t>Atividade</t>
        </is>
      </c>
      <c r="K2727" t="inlineStr">
        <is>
          <t>Apoio</t>
        </is>
      </c>
      <c r="L2727" t="inlineStr">
        <is>
          <t>PDS-Junho.docx</t>
        </is>
      </c>
      <c r="M2727">
        <f>IF($A2727="","",TEXT($A2727,"mmmm/yyyy"))</f>
        <v/>
      </c>
      <c r="P2727">
        <f>IFERROR(XLOOKUP($N2727,Base_Enderecos!$A:$A,Base_Enderecos!$B:$B,""),"")</f>
        <v/>
      </c>
      <c r="Q2727">
        <f>IFERROR(XLOOKUP($N2727,Base_Enderecos!$A:$A,Base_Enderecos!$C:$C,""),"")</f>
        <v/>
      </c>
      <c r="R2727">
        <f>IF(ISNUMBER(SEARCH("HDD",$F2727)),"HDD",IF(ISNUMBER(SEARCH("VCA",$F2727)),"VCA","MND"))</f>
        <v/>
      </c>
      <c r="T2727">
        <f>TEXT($A2727,"yyyy-mm")&amp;"|"&amp;$C2727&amp;"|"&amp;$I2727</f>
        <v/>
      </c>
    </row>
    <row r="2728">
      <c r="A2728" s="36" t="n">
        <v>46175</v>
      </c>
      <c r="B2728" t="inlineStr">
        <is>
          <t>Terça</t>
        </is>
      </c>
      <c r="C2728" t="inlineStr">
        <is>
          <t>João Canzi</t>
        </is>
      </c>
      <c r="E2728" t="inlineStr">
        <is>
          <t>Vacal</t>
        </is>
      </c>
      <c r="F2728" t="inlineStr">
        <is>
          <t>João Canzi – Renasce (Raimundo)</t>
        </is>
      </c>
      <c r="J2728" t="inlineStr">
        <is>
          <t>Atividade</t>
        </is>
      </c>
      <c r="K2728" t="inlineStr">
        <is>
          <t>Apoio</t>
        </is>
      </c>
      <c r="L2728" t="inlineStr">
        <is>
          <t>PDS-Junho.docx</t>
        </is>
      </c>
      <c r="M2728">
        <f>IF($A2728="","",TEXT($A2728,"mmmm/yyyy"))</f>
        <v/>
      </c>
      <c r="P2728">
        <f>IFERROR(XLOOKUP($N2728,Base_Enderecos!$A:$A,Base_Enderecos!$B:$B,""),"")</f>
        <v/>
      </c>
      <c r="Q2728">
        <f>IFERROR(XLOOKUP($N2728,Base_Enderecos!$A:$A,Base_Enderecos!$C:$C,""),"")</f>
        <v/>
      </c>
      <c r="R2728">
        <f>IF(ISNUMBER(SEARCH("HDD",$F2728)),"HDD",IF(ISNUMBER(SEARCH("VCA",$F2728)),"VCA","MND"))</f>
        <v/>
      </c>
      <c r="T2728">
        <f>TEXT($A2728,"yyyy-mm")&amp;"|"&amp;$C2728&amp;"|"&amp;$I2728</f>
        <v/>
      </c>
    </row>
    <row r="2729">
      <c r="A2729" s="36" t="n">
        <v>46175</v>
      </c>
      <c r="B2729" t="inlineStr">
        <is>
          <t>Terça</t>
        </is>
      </c>
      <c r="C2729" t="inlineStr">
        <is>
          <t>João Canzi</t>
        </is>
      </c>
      <c r="E2729" t="inlineStr">
        <is>
          <t>Vacal</t>
        </is>
      </c>
      <c r="F2729" t="inlineStr">
        <is>
          <t>João Canzi – Hidrosol (Jonathan)</t>
        </is>
      </c>
      <c r="J2729" t="inlineStr">
        <is>
          <t>Atividade</t>
        </is>
      </c>
      <c r="K2729" t="inlineStr">
        <is>
          <t>Apoio</t>
        </is>
      </c>
      <c r="L2729" t="inlineStr">
        <is>
          <t>PDS-Junho.docx</t>
        </is>
      </c>
      <c r="M2729">
        <f>IF($A2729="","",TEXT($A2729,"mmmm/yyyy"))</f>
        <v/>
      </c>
      <c r="P2729">
        <f>IFERROR(XLOOKUP($N2729,Base_Enderecos!$A:$A,Base_Enderecos!$B:$B,""),"")</f>
        <v/>
      </c>
      <c r="Q2729">
        <f>IFERROR(XLOOKUP($N2729,Base_Enderecos!$A:$A,Base_Enderecos!$C:$C,""),"")</f>
        <v/>
      </c>
      <c r="R2729">
        <f>IF(ISNUMBER(SEARCH("HDD",$F2729)),"HDD",IF(ISNUMBER(SEARCH("VCA",$F2729)),"VCA","MND"))</f>
        <v/>
      </c>
      <c r="T2729">
        <f>TEXT($A2729,"yyyy-mm")&amp;"|"&amp;$C2729&amp;"|"&amp;$I2729</f>
        <v/>
      </c>
    </row>
    <row r="2730">
      <c r="A2730" s="36" t="n">
        <v>46175</v>
      </c>
      <c r="B2730" t="inlineStr">
        <is>
          <t>Terça</t>
        </is>
      </c>
      <c r="C2730" t="inlineStr">
        <is>
          <t>Lourdes</t>
        </is>
      </c>
      <c r="E2730" t="inlineStr">
        <is>
          <t>Vacal</t>
        </is>
      </c>
      <c r="F2730" t="inlineStr">
        <is>
          <t>Lourdes – Henko (Marcio)</t>
        </is>
      </c>
      <c r="J2730" t="inlineStr">
        <is>
          <t>Atividade</t>
        </is>
      </c>
      <c r="K2730" t="inlineStr">
        <is>
          <t>Apoio</t>
        </is>
      </c>
      <c r="L2730" t="inlineStr">
        <is>
          <t>PDS-Junho.docx</t>
        </is>
      </c>
      <c r="M2730">
        <f>IF($A2730="","",TEXT($A2730,"mmmm/yyyy"))</f>
        <v/>
      </c>
      <c r="P2730">
        <f>IFERROR(XLOOKUP($N2730,Base_Enderecos!$A:$A,Base_Enderecos!$B:$B,""),"")</f>
        <v/>
      </c>
      <c r="Q2730">
        <f>IFERROR(XLOOKUP($N2730,Base_Enderecos!$A:$A,Base_Enderecos!$C:$C,""),"")</f>
        <v/>
      </c>
      <c r="R2730">
        <f>IF(ISNUMBER(SEARCH("HDD",$F2730)),"HDD",IF(ISNUMBER(SEARCH("VCA",$F2730)),"VCA","MND"))</f>
        <v/>
      </c>
      <c r="T2730">
        <f>TEXT($A2730,"yyyy-mm")&amp;"|"&amp;$C2730&amp;"|"&amp;$I2730</f>
        <v/>
      </c>
    </row>
    <row r="2731">
      <c r="A2731" s="36" t="n">
        <v>46175</v>
      </c>
      <c r="B2731" t="inlineStr">
        <is>
          <t>Terça</t>
        </is>
      </c>
      <c r="C2731" t="inlineStr">
        <is>
          <t>Iti 15</t>
        </is>
      </c>
      <c r="E2731" t="inlineStr">
        <is>
          <t>Vacal</t>
        </is>
      </c>
      <c r="F2731" t="inlineStr">
        <is>
          <t>ITI 15 – Henko (Osmar)</t>
        </is>
      </c>
      <c r="J2731" t="inlineStr">
        <is>
          <t>Atividade</t>
        </is>
      </c>
      <c r="K2731" t="inlineStr">
        <is>
          <t>Apoio</t>
        </is>
      </c>
      <c r="L2731" t="inlineStr">
        <is>
          <t>PDS-Junho.docx</t>
        </is>
      </c>
      <c r="M2731">
        <f>IF($A2731="","",TEXT($A2731,"mmmm/yyyy"))</f>
        <v/>
      </c>
      <c r="P2731">
        <f>IFERROR(XLOOKUP($N2731,Base_Enderecos!$A:$A,Base_Enderecos!$B:$B,""),"")</f>
        <v/>
      </c>
      <c r="Q2731">
        <f>IFERROR(XLOOKUP($N2731,Base_Enderecos!$A:$A,Base_Enderecos!$C:$C,""),"")</f>
        <v/>
      </c>
      <c r="R2731">
        <f>IF(ISNUMBER(SEARCH("HDD",$F2731)),"HDD",IF(ISNUMBER(SEARCH("VCA",$F2731)),"VCA","MND"))</f>
        <v/>
      </c>
      <c r="T2731">
        <f>TEXT($A2731,"yyyy-mm")&amp;"|"&amp;$C2731&amp;"|"&amp;$I2731</f>
        <v/>
      </c>
    </row>
    <row r="2732">
      <c r="A2732" s="36" t="n">
        <v>46175</v>
      </c>
      <c r="B2732" t="inlineStr">
        <is>
          <t>Terça</t>
        </is>
      </c>
      <c r="C2732" t="inlineStr">
        <is>
          <t>Guindauto</t>
        </is>
      </c>
      <c r="E2732" t="inlineStr">
        <is>
          <t>Guindauto</t>
        </is>
      </c>
      <c r="F2732" t="inlineStr">
        <is>
          <t>Marcio - Apoio as equipes</t>
        </is>
      </c>
      <c r="J2732" t="inlineStr">
        <is>
          <t>Atividade</t>
        </is>
      </c>
      <c r="K2732" t="inlineStr">
        <is>
          <t>Apoio</t>
        </is>
      </c>
      <c r="L2732" t="inlineStr">
        <is>
          <t>PDS-Junho.docx</t>
        </is>
      </c>
      <c r="M2732">
        <f>IF($A2732="","",TEXT($A2732,"mmmm/yyyy"))</f>
        <v/>
      </c>
      <c r="P2732">
        <f>IFERROR(XLOOKUP($N2732,Base_Enderecos!$A:$A,Base_Enderecos!$B:$B,""),"")</f>
        <v/>
      </c>
      <c r="Q2732">
        <f>IFERROR(XLOOKUP($N2732,Base_Enderecos!$A:$A,Base_Enderecos!$C:$C,""),"")</f>
        <v/>
      </c>
      <c r="R2732">
        <f>IF(ISNUMBER(SEARCH("HDD",$F2732)),"HDD",IF(ISNUMBER(SEARCH("VCA",$F2732)),"VCA","MND"))</f>
        <v/>
      </c>
      <c r="T2732">
        <f>TEXT($A2732,"yyyy-mm")&amp;"|"&amp;$C2732&amp;"|"&amp;$I2732</f>
        <v/>
      </c>
    </row>
    <row r="2733">
      <c r="A2733" s="36" t="n">
        <v>46175</v>
      </c>
      <c r="B2733" t="inlineStr">
        <is>
          <t>Terça</t>
        </is>
      </c>
      <c r="C2733" t="inlineStr">
        <is>
          <t>Guindauto</t>
        </is>
      </c>
      <c r="E2733" t="inlineStr">
        <is>
          <t>Guindauto</t>
        </is>
      </c>
      <c r="F2733" t="inlineStr">
        <is>
          <t>Luiz - Apoio as equipes</t>
        </is>
      </c>
      <c r="J2733" t="inlineStr">
        <is>
          <t>Atividade</t>
        </is>
      </c>
      <c r="K2733" t="inlineStr">
        <is>
          <t>Apoio</t>
        </is>
      </c>
      <c r="L2733" t="inlineStr">
        <is>
          <t>PDS-Junho.docx</t>
        </is>
      </c>
      <c r="M2733">
        <f>IF($A2733="","",TEXT($A2733,"mmmm/yyyy"))</f>
        <v/>
      </c>
      <c r="P2733">
        <f>IFERROR(XLOOKUP($N2733,Base_Enderecos!$A:$A,Base_Enderecos!$B:$B,""),"")</f>
        <v/>
      </c>
      <c r="Q2733">
        <f>IFERROR(XLOOKUP($N2733,Base_Enderecos!$A:$A,Base_Enderecos!$C:$C,""),"")</f>
        <v/>
      </c>
      <c r="R2733">
        <f>IF(ISNUMBER(SEARCH("HDD",$F2733)),"HDD",IF(ISNUMBER(SEARCH("VCA",$F2733)),"VCA","MND"))</f>
        <v/>
      </c>
      <c r="T2733">
        <f>TEXT($A2733,"yyyy-mm")&amp;"|"&amp;$C2733&amp;"|"&amp;$I2733</f>
        <v/>
      </c>
    </row>
    <row r="2734">
      <c r="A2734" s="36" t="n">
        <v>46176</v>
      </c>
      <c r="B2734" t="inlineStr">
        <is>
          <t>Quarta</t>
        </is>
      </c>
      <c r="C2734" t="inlineStr">
        <is>
          <t>CT João Canzi</t>
        </is>
      </c>
      <c r="D2734" t="inlineStr">
        <is>
          <t>Valmir</t>
        </is>
      </c>
      <c r="E2734" t="inlineStr">
        <is>
          <t>Goiânia Drill</t>
        </is>
      </c>
      <c r="F2734" t="inlineStr">
        <is>
          <t>Puxe do PV-16 ao PV-17</t>
        </is>
      </c>
      <c r="G2734" t="inlineStr">
        <is>
          <t>16</t>
        </is>
      </c>
      <c r="H2734" t="inlineStr">
        <is>
          <t>17</t>
        </is>
      </c>
      <c r="I2734" t="inlineStr">
        <is>
          <t>16 ao 17</t>
        </is>
      </c>
      <c r="J2734" t="inlineStr">
        <is>
          <t>HDD</t>
        </is>
      </c>
      <c r="K2734" t="inlineStr">
        <is>
          <t>Planejamento</t>
        </is>
      </c>
      <c r="L2734" t="inlineStr">
        <is>
          <t>pds_colado_2026-06-03_a_2026-06-08.txt</t>
        </is>
      </c>
      <c r="M2734">
        <f>IF($A2734="","",TEXT($A2734,"mmmm/yyyy"))</f>
        <v/>
      </c>
      <c r="P2734">
        <f>IFERROR(XLOOKUP($N2734,Base_Enderecos!$A:$A,Base_Enderecos!$B:$B,""),"")</f>
        <v/>
      </c>
      <c r="Q2734">
        <f>IFERROR(XLOOKUP($N2734,Base_Enderecos!$A:$A,Base_Enderecos!$C:$C,""),"")</f>
        <v/>
      </c>
      <c r="R2734">
        <f>IF(ISNUMBER(SEARCH("HDD",$F2734)),"HDD",IF(ISNUMBER(SEARCH("VCA",$F2734)),"VCA","MND"))</f>
        <v/>
      </c>
      <c r="T2734">
        <f>TEXT($A2734,"yyyy-mm")&amp;"|"&amp;$C2734&amp;"|"&amp;$I2734</f>
        <v/>
      </c>
    </row>
    <row r="2735">
      <c r="A2735" s="36" t="n">
        <v>46176</v>
      </c>
      <c r="B2735" t="inlineStr">
        <is>
          <t>Quarta</t>
        </is>
      </c>
      <c r="C2735" t="inlineStr">
        <is>
          <t>CT João Canzi</t>
        </is>
      </c>
      <c r="D2735" t="inlineStr">
        <is>
          <t>Valmir</t>
        </is>
      </c>
      <c r="E2735" t="inlineStr">
        <is>
          <t>Bruno</t>
        </is>
      </c>
      <c r="F2735" t="inlineStr">
        <is>
          <t>Apoio ao HDD</t>
        </is>
      </c>
      <c r="G2735" t="inlineStr"/>
      <c r="H2735" t="inlineStr"/>
      <c r="I2735" t="inlineStr"/>
      <c r="J2735" t="inlineStr">
        <is>
          <t>HDD</t>
        </is>
      </c>
      <c r="K2735" t="inlineStr">
        <is>
          <t>Planejamento</t>
        </is>
      </c>
      <c r="L2735" t="inlineStr">
        <is>
          <t>pds_colado_2026-06-03_a_2026-06-08.txt</t>
        </is>
      </c>
      <c r="M2735">
        <f>IF($A2735="","",TEXT($A2735,"mmmm/yyyy"))</f>
        <v/>
      </c>
      <c r="P2735">
        <f>IFERROR(XLOOKUP($N2735,Base_Enderecos!$A:$A,Base_Enderecos!$B:$B,""),"")</f>
        <v/>
      </c>
      <c r="Q2735">
        <f>IFERROR(XLOOKUP($N2735,Base_Enderecos!$A:$A,Base_Enderecos!$C:$C,""),"")</f>
        <v/>
      </c>
      <c r="R2735">
        <f>IF(ISNUMBER(SEARCH("HDD",$F2735)),"HDD",IF(ISNUMBER(SEARCH("VCA",$F2735)),"VCA","MND"))</f>
        <v/>
      </c>
      <c r="T2735">
        <f>TEXT($A2735,"yyyy-mm")&amp;"|"&amp;$C2735&amp;"|"&amp;$I2735</f>
        <v/>
      </c>
    </row>
    <row r="2736">
      <c r="A2736" s="36" t="n">
        <v>46176</v>
      </c>
      <c r="B2736" t="inlineStr">
        <is>
          <t>Quarta</t>
        </is>
      </c>
      <c r="C2736" t="inlineStr">
        <is>
          <t>CT João Canzi</t>
        </is>
      </c>
      <c r="D2736" t="inlineStr">
        <is>
          <t>Valmir</t>
        </is>
      </c>
      <c r="E2736" t="inlineStr">
        <is>
          <t>Medeiros</t>
        </is>
      </c>
      <c r="F2736" t="inlineStr">
        <is>
          <t>Shaft PV 10.1</t>
        </is>
      </c>
      <c r="G2736" t="inlineStr">
        <is>
          <t>10.1</t>
        </is>
      </c>
      <c r="H2736" t="inlineStr"/>
      <c r="I2736" t="inlineStr">
        <is>
          <t>10.1</t>
        </is>
      </c>
      <c r="J2736" t="inlineStr">
        <is>
          <t>Shaft</t>
        </is>
      </c>
      <c r="K2736" t="inlineStr">
        <is>
          <t>Planejamento</t>
        </is>
      </c>
      <c r="L2736" t="inlineStr">
        <is>
          <t>pds_colado_2026-06-03_a_2026-06-08.txt</t>
        </is>
      </c>
      <c r="M2736">
        <f>IF($A2736="","",TEXT($A2736,"mmmm/yyyy"))</f>
        <v/>
      </c>
      <c r="P2736">
        <f>IFERROR(XLOOKUP($N2736,Base_Enderecos!$A:$A,Base_Enderecos!$B:$B,""),"")</f>
        <v/>
      </c>
      <c r="Q2736">
        <f>IFERROR(XLOOKUP($N2736,Base_Enderecos!$A:$A,Base_Enderecos!$C:$C,""),"")</f>
        <v/>
      </c>
      <c r="R2736">
        <f>IF(ISNUMBER(SEARCH("HDD",$F2736)),"HDD",IF(ISNUMBER(SEARCH("VCA",$F2736)),"VCA","MND"))</f>
        <v/>
      </c>
      <c r="T2736">
        <f>TEXT($A2736,"yyyy-mm")&amp;"|"&amp;$C2736&amp;"|"&amp;$I2736</f>
        <v/>
      </c>
    </row>
    <row r="2737">
      <c r="A2737" s="36" t="n">
        <v>46176</v>
      </c>
      <c r="B2737" t="inlineStr">
        <is>
          <t>Quarta</t>
        </is>
      </c>
      <c r="C2737" t="inlineStr">
        <is>
          <t>CT João Canzi</t>
        </is>
      </c>
      <c r="D2737" t="inlineStr">
        <is>
          <t>Valmir</t>
        </is>
      </c>
      <c r="E2737" t="inlineStr">
        <is>
          <t>Cidão</t>
        </is>
      </c>
      <c r="F2737" t="inlineStr">
        <is>
          <t>Transformação PV 15</t>
        </is>
      </c>
      <c r="G2737" t="inlineStr">
        <is>
          <t>15</t>
        </is>
      </c>
      <c r="H2737" t="inlineStr"/>
      <c r="I2737" t="inlineStr">
        <is>
          <t>15</t>
        </is>
      </c>
      <c r="J2737" t="inlineStr">
        <is>
          <t>Transformação</t>
        </is>
      </c>
      <c r="K2737" t="inlineStr">
        <is>
          <t>Planejamento</t>
        </is>
      </c>
      <c r="L2737" t="inlineStr">
        <is>
          <t>pds_colado_2026-06-03_a_2026-06-08.txt</t>
        </is>
      </c>
      <c r="M2737">
        <f>IF($A2737="","",TEXT($A2737,"mmmm/yyyy"))</f>
        <v/>
      </c>
      <c r="P2737">
        <f>IFERROR(XLOOKUP($N2737,Base_Enderecos!$A:$A,Base_Enderecos!$B:$B,""),"")</f>
        <v/>
      </c>
      <c r="Q2737">
        <f>IFERROR(XLOOKUP($N2737,Base_Enderecos!$A:$A,Base_Enderecos!$C:$C,""),"")</f>
        <v/>
      </c>
      <c r="R2737">
        <f>IF(ISNUMBER(SEARCH("HDD",$F2737)),"HDD",IF(ISNUMBER(SEARCH("VCA",$F2737)),"VCA","MND"))</f>
        <v/>
      </c>
      <c r="T2737">
        <f>TEXT($A2737,"yyyy-mm")&amp;"|"&amp;$C2737&amp;"|"&amp;$I2737</f>
        <v/>
      </c>
    </row>
    <row r="2738">
      <c r="A2738" s="36" t="n">
        <v>46176</v>
      </c>
      <c r="B2738" t="inlineStr">
        <is>
          <t>Quarta</t>
        </is>
      </c>
      <c r="C2738" t="inlineStr">
        <is>
          <t>CT João Canzi</t>
        </is>
      </c>
      <c r="D2738" t="inlineStr">
        <is>
          <t>Valmir</t>
        </is>
      </c>
      <c r="E2738" t="inlineStr">
        <is>
          <t>Márcio</t>
        </is>
      </c>
      <c r="F2738" t="inlineStr">
        <is>
          <t>Nivelamento BGS</t>
        </is>
      </c>
      <c r="G2738" t="inlineStr"/>
      <c r="H2738" t="inlineStr"/>
      <c r="I2738" t="inlineStr"/>
      <c r="J2738" t="inlineStr">
        <is>
          <t>Atividade</t>
        </is>
      </c>
      <c r="K2738" t="inlineStr">
        <is>
          <t>Planejamento</t>
        </is>
      </c>
      <c r="L2738" t="inlineStr">
        <is>
          <t>pds_colado_2026-06-03_a_2026-06-08.txt</t>
        </is>
      </c>
      <c r="M2738">
        <f>IF($A2738="","",TEXT($A2738,"mmmm/yyyy"))</f>
        <v/>
      </c>
      <c r="P2738">
        <f>IFERROR(XLOOKUP($N2738,Base_Enderecos!$A:$A,Base_Enderecos!$B:$B,""),"")</f>
        <v/>
      </c>
      <c r="Q2738">
        <f>IFERROR(XLOOKUP($N2738,Base_Enderecos!$A:$A,Base_Enderecos!$C:$C,""),"")</f>
        <v/>
      </c>
      <c r="R2738">
        <f>IF(ISNUMBER(SEARCH("HDD",$F2738)),"HDD",IF(ISNUMBER(SEARCH("VCA",$F2738)),"VCA","MND"))</f>
        <v/>
      </c>
      <c r="T2738">
        <f>TEXT($A2738,"yyyy-mm")&amp;"|"&amp;$C2738&amp;"|"&amp;$I2738</f>
        <v/>
      </c>
    </row>
    <row r="2739">
      <c r="A2739" s="36" t="n">
        <v>46176</v>
      </c>
      <c r="B2739" t="inlineStr">
        <is>
          <t>Quarta</t>
        </is>
      </c>
      <c r="C2739" t="inlineStr">
        <is>
          <t>RCE Elvira</t>
        </is>
      </c>
      <c r="D2739" t="inlineStr">
        <is>
          <t>Silvestre</t>
        </is>
      </c>
      <c r="E2739" t="inlineStr">
        <is>
          <t>Valter</t>
        </is>
      </c>
      <c r="F2739" t="inlineStr">
        <is>
          <t>VCA, PVs e Ligações</t>
        </is>
      </c>
      <c r="G2739" t="inlineStr"/>
      <c r="H2739" t="inlineStr"/>
      <c r="I2739" t="inlineStr"/>
      <c r="J2739" t="inlineStr">
        <is>
          <t>VCA</t>
        </is>
      </c>
      <c r="K2739" t="inlineStr">
        <is>
          <t>Planejamento</t>
        </is>
      </c>
      <c r="L2739" t="inlineStr">
        <is>
          <t>pds_colado_2026-06-03_a_2026-06-08.txt</t>
        </is>
      </c>
      <c r="M2739">
        <f>IF($A2739="","",TEXT($A2739,"mmmm/yyyy"))</f>
        <v/>
      </c>
      <c r="P2739">
        <f>IFERROR(XLOOKUP($N2739,Base_Enderecos!$A:$A,Base_Enderecos!$B:$B,""),"")</f>
        <v/>
      </c>
      <c r="Q2739">
        <f>IFERROR(XLOOKUP($N2739,Base_Enderecos!$A:$A,Base_Enderecos!$C:$C,""),"")</f>
        <v/>
      </c>
      <c r="R2739">
        <f>IF(ISNUMBER(SEARCH("HDD",$F2739)),"HDD",IF(ISNUMBER(SEARCH("VCA",$F2739)),"VCA","MND"))</f>
        <v/>
      </c>
      <c r="T2739">
        <f>TEXT($A2739,"yyyy-mm")&amp;"|"&amp;$C2739&amp;"|"&amp;$I2739</f>
        <v/>
      </c>
    </row>
    <row r="2740">
      <c r="A2740" s="36" t="n">
        <v>46176</v>
      </c>
      <c r="B2740" t="inlineStr">
        <is>
          <t>Quarta</t>
        </is>
      </c>
      <c r="C2740" t="inlineStr">
        <is>
          <t>RCE Conj. União</t>
        </is>
      </c>
      <c r="D2740" t="inlineStr">
        <is>
          <t>Silvestre</t>
        </is>
      </c>
      <c r="E2740" t="inlineStr">
        <is>
          <t>Jonathan</t>
        </is>
      </c>
      <c r="F2740" t="inlineStr">
        <is>
          <t>Transformação PV 40.1</t>
        </is>
      </c>
      <c r="G2740" t="inlineStr">
        <is>
          <t>40.1</t>
        </is>
      </c>
      <c r="H2740" t="inlineStr"/>
      <c r="I2740" t="inlineStr">
        <is>
          <t>40.1</t>
        </is>
      </c>
      <c r="J2740" t="inlineStr">
        <is>
          <t>Transformação</t>
        </is>
      </c>
      <c r="K2740" t="inlineStr">
        <is>
          <t>Planejamento</t>
        </is>
      </c>
      <c r="L2740" t="inlineStr">
        <is>
          <t>pds_colado_2026-06-03_a_2026-06-08.txt</t>
        </is>
      </c>
      <c r="M2740">
        <f>IF($A2740="","",TEXT($A2740,"mmmm/yyyy"))</f>
        <v/>
      </c>
      <c r="P2740">
        <f>IFERROR(XLOOKUP($N2740,Base_Enderecos!$A:$A,Base_Enderecos!$B:$B,""),"")</f>
        <v/>
      </c>
      <c r="Q2740">
        <f>IFERROR(XLOOKUP($N2740,Base_Enderecos!$A:$A,Base_Enderecos!$C:$C,""),"")</f>
        <v/>
      </c>
      <c r="R2740">
        <f>IF(ISNUMBER(SEARCH("HDD",$F2740)),"HDD",IF(ISNUMBER(SEARCH("VCA",$F2740)),"VCA","MND"))</f>
        <v/>
      </c>
      <c r="T2740">
        <f>TEXT($A2740,"yyyy-mm")&amp;"|"&amp;$C2740&amp;"|"&amp;$I2740</f>
        <v/>
      </c>
    </row>
    <row r="2741">
      <c r="A2741" s="36" t="n">
        <v>46176</v>
      </c>
      <c r="B2741" t="inlineStr">
        <is>
          <t>Quarta</t>
        </is>
      </c>
      <c r="C2741" t="inlineStr">
        <is>
          <t>RCE Elias Sleiman / CT João Canzi</t>
        </is>
      </c>
      <c r="D2741" t="inlineStr">
        <is>
          <t>Silvestre</t>
        </is>
      </c>
      <c r="E2741" t="inlineStr">
        <is>
          <t>Edvando</t>
        </is>
      </c>
      <c r="F2741" t="inlineStr">
        <is>
          <t>VCA + interl PV 17 ao PV 22</t>
        </is>
      </c>
      <c r="G2741" t="inlineStr">
        <is>
          <t>17</t>
        </is>
      </c>
      <c r="H2741" t="inlineStr">
        <is>
          <t>22</t>
        </is>
      </c>
      <c r="I2741" t="inlineStr">
        <is>
          <t>17 ao 22</t>
        </is>
      </c>
      <c r="J2741" t="inlineStr">
        <is>
          <t>VCA</t>
        </is>
      </c>
      <c r="K2741" t="inlineStr">
        <is>
          <t>Planejamento</t>
        </is>
      </c>
      <c r="L2741" t="inlineStr">
        <is>
          <t>pds_colado_2026-06-03_a_2026-06-08.txt</t>
        </is>
      </c>
      <c r="M2741">
        <f>IF($A2741="","",TEXT($A2741,"mmmm/yyyy"))</f>
        <v/>
      </c>
      <c r="P2741">
        <f>IFERROR(XLOOKUP($N2741,Base_Enderecos!$A:$A,Base_Enderecos!$B:$B,""),"")</f>
        <v/>
      </c>
      <c r="Q2741">
        <f>IFERROR(XLOOKUP($N2741,Base_Enderecos!$A:$A,Base_Enderecos!$C:$C,""),"")</f>
        <v/>
      </c>
      <c r="R2741">
        <f>IF(ISNUMBER(SEARCH("HDD",$F2741)),"HDD",IF(ISNUMBER(SEARCH("VCA",$F2741)),"VCA","MND"))</f>
        <v/>
      </c>
      <c r="T2741">
        <f>TEXT($A2741,"yyyy-mm")&amp;"|"&amp;$C2741&amp;"|"&amp;$I2741</f>
        <v/>
      </c>
    </row>
    <row r="2742">
      <c r="A2742" s="36" t="n">
        <v>46176</v>
      </c>
      <c r="B2742" t="inlineStr">
        <is>
          <t>Quarta</t>
        </is>
      </c>
      <c r="C2742" t="inlineStr">
        <is>
          <t>RCE São Lucas</t>
        </is>
      </c>
      <c r="D2742" t="inlineStr">
        <is>
          <t>Fábio</t>
        </is>
      </c>
      <c r="E2742" t="inlineStr">
        <is>
          <t>Ricardo</t>
        </is>
      </c>
      <c r="F2742" t="inlineStr">
        <is>
          <t>VCA, PVs e Ligações; (PI 08 ao PI 09)</t>
        </is>
      </c>
      <c r="G2742" t="inlineStr">
        <is>
          <t>08</t>
        </is>
      </c>
      <c r="H2742" t="inlineStr">
        <is>
          <t>09</t>
        </is>
      </c>
      <c r="I2742" t="inlineStr">
        <is>
          <t>08 ao 09</t>
        </is>
      </c>
      <c r="J2742" t="inlineStr">
        <is>
          <t>VCA</t>
        </is>
      </c>
      <c r="K2742" t="inlineStr">
        <is>
          <t>Planejamento</t>
        </is>
      </c>
      <c r="L2742" t="inlineStr">
        <is>
          <t>pds_colado_2026-06-03_a_2026-06-08.txt</t>
        </is>
      </c>
      <c r="M2742">
        <f>IF($A2742="","",TEXT($A2742,"mmmm/yyyy"))</f>
        <v/>
      </c>
      <c r="P2742">
        <f>IFERROR(XLOOKUP($N2742,Base_Enderecos!$A:$A,Base_Enderecos!$B:$B,""),"")</f>
        <v/>
      </c>
      <c r="Q2742">
        <f>IFERROR(XLOOKUP($N2742,Base_Enderecos!$A:$A,Base_Enderecos!$C:$C,""),"")</f>
        <v/>
      </c>
      <c r="R2742">
        <f>IF(ISNUMBER(SEARCH("HDD",$F2742)),"HDD",IF(ISNUMBER(SEARCH("VCA",$F2742)),"VCA","MND"))</f>
        <v/>
      </c>
      <c r="T2742">
        <f>TEXT($A2742,"yyyy-mm")&amp;"|"&amp;$C2742&amp;"|"&amp;$I2742</f>
        <v/>
      </c>
    </row>
    <row r="2743">
      <c r="A2743" s="36" t="n">
        <v>46176</v>
      </c>
      <c r="B2743" t="inlineStr">
        <is>
          <t>Quarta</t>
        </is>
      </c>
      <c r="C2743" t="inlineStr">
        <is>
          <t>RCE São Lucas</t>
        </is>
      </c>
      <c r="D2743" t="inlineStr">
        <is>
          <t>Fábio</t>
        </is>
      </c>
      <c r="E2743" t="inlineStr">
        <is>
          <t>Claudinei</t>
        </is>
      </c>
      <c r="F2743" t="inlineStr">
        <is>
          <t>VCA, PVs e Ligações; (PI 37 ao PI 38)</t>
        </is>
      </c>
      <c r="G2743" t="inlineStr">
        <is>
          <t>37</t>
        </is>
      </c>
      <c r="H2743" t="inlineStr">
        <is>
          <t>38</t>
        </is>
      </c>
      <c r="I2743" t="inlineStr">
        <is>
          <t>37 ao 38</t>
        </is>
      </c>
      <c r="J2743" t="inlineStr">
        <is>
          <t>VCA</t>
        </is>
      </c>
      <c r="K2743" t="inlineStr">
        <is>
          <t>Planejamento</t>
        </is>
      </c>
      <c r="L2743" t="inlineStr">
        <is>
          <t>pds_colado_2026-06-03_a_2026-06-08.txt</t>
        </is>
      </c>
      <c r="M2743">
        <f>IF($A2743="","",TEXT($A2743,"mmmm/yyyy"))</f>
        <v/>
      </c>
      <c r="P2743">
        <f>IFERROR(XLOOKUP($N2743,Base_Enderecos!$A:$A,Base_Enderecos!$B:$B,""),"")</f>
        <v/>
      </c>
      <c r="Q2743">
        <f>IFERROR(XLOOKUP($N2743,Base_Enderecos!$A:$A,Base_Enderecos!$C:$C,""),"")</f>
        <v/>
      </c>
      <c r="R2743">
        <f>IF(ISNUMBER(SEARCH("HDD",$F2743)),"HDD",IF(ISNUMBER(SEARCH("VCA",$F2743)),"VCA","MND"))</f>
        <v/>
      </c>
      <c r="T2743">
        <f>TEXT($A2743,"yyyy-mm")&amp;"|"&amp;$C2743&amp;"|"&amp;$I2743</f>
        <v/>
      </c>
    </row>
    <row r="2744">
      <c r="A2744" s="36" t="n">
        <v>46176</v>
      </c>
      <c r="B2744" t="inlineStr">
        <is>
          <t>Quarta</t>
        </is>
      </c>
      <c r="C2744" t="inlineStr">
        <is>
          <t>RCE São Lucas</t>
        </is>
      </c>
      <c r="D2744" t="inlineStr">
        <is>
          <t>Fábio</t>
        </is>
      </c>
      <c r="E2744" t="inlineStr">
        <is>
          <t>Miro</t>
        </is>
      </c>
      <c r="F2744" t="inlineStr">
        <is>
          <t>VCA, PVs e Ligações; (PI 32 ao PI 60)</t>
        </is>
      </c>
      <c r="G2744" t="inlineStr">
        <is>
          <t>32</t>
        </is>
      </c>
      <c r="H2744" t="inlineStr">
        <is>
          <t>60</t>
        </is>
      </c>
      <c r="I2744" t="inlineStr">
        <is>
          <t>32 ao 60</t>
        </is>
      </c>
      <c r="J2744" t="inlineStr">
        <is>
          <t>VCA</t>
        </is>
      </c>
      <c r="K2744" t="inlineStr">
        <is>
          <t>Planejamento</t>
        </is>
      </c>
      <c r="L2744" t="inlineStr">
        <is>
          <t>pds_colado_2026-06-03_a_2026-06-08.txt</t>
        </is>
      </c>
      <c r="M2744">
        <f>IF($A2744="","",TEXT($A2744,"mmmm/yyyy"))</f>
        <v/>
      </c>
      <c r="P2744">
        <f>IFERROR(XLOOKUP($N2744,Base_Enderecos!$A:$A,Base_Enderecos!$B:$B,""),"")</f>
        <v/>
      </c>
      <c r="Q2744">
        <f>IFERROR(XLOOKUP($N2744,Base_Enderecos!$A:$A,Base_Enderecos!$C:$C,""),"")</f>
        <v/>
      </c>
      <c r="R2744">
        <f>IF(ISNUMBER(SEARCH("HDD",$F2744)),"HDD",IF(ISNUMBER(SEARCH("VCA",$F2744)),"VCA","MND"))</f>
        <v/>
      </c>
      <c r="T2744">
        <f>TEXT($A2744,"yyyy-mm")&amp;"|"&amp;$C2744&amp;"|"&amp;$I2744</f>
        <v/>
      </c>
    </row>
    <row r="2745">
      <c r="A2745" s="36" t="n">
        <v>46176</v>
      </c>
      <c r="B2745" t="inlineStr">
        <is>
          <t>Quarta</t>
        </is>
      </c>
      <c r="C2745" t="inlineStr">
        <is>
          <t>RCE São Lucas</t>
        </is>
      </c>
      <c r="D2745" t="inlineStr">
        <is>
          <t>Fábio</t>
        </is>
      </c>
      <c r="E2745" t="inlineStr">
        <is>
          <t>Emanuel</t>
        </is>
      </c>
      <c r="F2745" t="inlineStr">
        <is>
          <t>VCA, PVs e Ligações; (PI 32 ao PI 60)</t>
        </is>
      </c>
      <c r="G2745" t="inlineStr">
        <is>
          <t>32</t>
        </is>
      </c>
      <c r="H2745" t="inlineStr">
        <is>
          <t>60</t>
        </is>
      </c>
      <c r="I2745" t="inlineStr">
        <is>
          <t>32 ao 60</t>
        </is>
      </c>
      <c r="J2745" t="inlineStr">
        <is>
          <t>VCA</t>
        </is>
      </c>
      <c r="K2745" t="inlineStr">
        <is>
          <t>Planejamento</t>
        </is>
      </c>
      <c r="L2745" t="inlineStr">
        <is>
          <t>pds_colado_2026-06-03_a_2026-06-08.txt</t>
        </is>
      </c>
      <c r="M2745">
        <f>IF($A2745="","",TEXT($A2745,"mmmm/yyyy"))</f>
        <v/>
      </c>
      <c r="P2745">
        <f>IFERROR(XLOOKUP($N2745,Base_Enderecos!$A:$A,Base_Enderecos!$B:$B,""),"")</f>
        <v/>
      </c>
      <c r="Q2745">
        <f>IFERROR(XLOOKUP($N2745,Base_Enderecos!$A:$A,Base_Enderecos!$C:$C,""),"")</f>
        <v/>
      </c>
      <c r="R2745">
        <f>IF(ISNUMBER(SEARCH("HDD",$F2745)),"HDD",IF(ISNUMBER(SEARCH("VCA",$F2745)),"VCA","MND"))</f>
        <v/>
      </c>
      <c r="T2745">
        <f>TEXT($A2745,"yyyy-mm")&amp;"|"&amp;$C2745&amp;"|"&amp;$I2745</f>
        <v/>
      </c>
    </row>
    <row r="2746">
      <c r="A2746" s="36" t="n">
        <v>46176</v>
      </c>
      <c r="B2746" t="inlineStr">
        <is>
          <t>Quarta</t>
        </is>
      </c>
      <c r="C2746" t="inlineStr">
        <is>
          <t>RCE Rua São João</t>
        </is>
      </c>
      <c r="D2746" t="inlineStr">
        <is>
          <t>Fábio</t>
        </is>
      </c>
      <c r="E2746" t="inlineStr">
        <is>
          <t>Antonio</t>
        </is>
      </c>
      <c r="F2746" t="inlineStr">
        <is>
          <t>VCA, PVs e Ligações; (PV 02 ao PV 04)*</t>
        </is>
      </c>
      <c r="G2746" t="inlineStr">
        <is>
          <t>02</t>
        </is>
      </c>
      <c r="H2746" t="inlineStr">
        <is>
          <t>04</t>
        </is>
      </c>
      <c r="I2746" t="inlineStr">
        <is>
          <t>02 ao 04</t>
        </is>
      </c>
      <c r="J2746" t="inlineStr">
        <is>
          <t>VCA</t>
        </is>
      </c>
      <c r="K2746" t="inlineStr">
        <is>
          <t>Planejamento</t>
        </is>
      </c>
      <c r="L2746" t="inlineStr">
        <is>
          <t>pds_colado_2026-06-03_a_2026-06-08.txt</t>
        </is>
      </c>
      <c r="M2746">
        <f>IF($A2746="","",TEXT($A2746,"mmmm/yyyy"))</f>
        <v/>
      </c>
      <c r="P2746">
        <f>IFERROR(XLOOKUP($N2746,Base_Enderecos!$A:$A,Base_Enderecos!$B:$B,""),"")</f>
        <v/>
      </c>
      <c r="Q2746">
        <f>IFERROR(XLOOKUP($N2746,Base_Enderecos!$A:$A,Base_Enderecos!$C:$C,""),"")</f>
        <v/>
      </c>
      <c r="R2746">
        <f>IF(ISNUMBER(SEARCH("HDD",$F2746)),"HDD",IF(ISNUMBER(SEARCH("VCA",$F2746)),"VCA","MND"))</f>
        <v/>
      </c>
      <c r="T2746">
        <f>TEXT($A2746,"yyyy-mm")&amp;"|"&amp;$C2746&amp;"|"&amp;$I2746</f>
        <v/>
      </c>
    </row>
    <row r="2747">
      <c r="A2747" s="36" t="n">
        <v>46176</v>
      </c>
      <c r="B2747" t="inlineStr">
        <is>
          <t>Quarta</t>
        </is>
      </c>
      <c r="C2747" t="inlineStr">
        <is>
          <t>CTS Lourdes Complementar</t>
        </is>
      </c>
      <c r="D2747" t="inlineStr">
        <is>
          <t>Robson</t>
        </is>
      </c>
      <c r="E2747" t="inlineStr">
        <is>
          <t>Cesar</t>
        </is>
      </c>
      <c r="F2747" t="inlineStr">
        <is>
          <t>Transformação PV 03</t>
        </is>
      </c>
      <c r="G2747" t="inlineStr">
        <is>
          <t>03</t>
        </is>
      </c>
      <c r="H2747" t="inlineStr"/>
      <c r="I2747" t="inlineStr">
        <is>
          <t>03</t>
        </is>
      </c>
      <c r="J2747" t="inlineStr">
        <is>
          <t>Transformação</t>
        </is>
      </c>
      <c r="K2747" t="inlineStr">
        <is>
          <t>Planejamento</t>
        </is>
      </c>
      <c r="L2747" t="inlineStr">
        <is>
          <t>pds_colado_2026-06-03_a_2026-06-08.txt</t>
        </is>
      </c>
      <c r="M2747">
        <f>IF($A2747="","",TEXT($A2747,"mmmm/yyyy"))</f>
        <v/>
      </c>
      <c r="P2747">
        <f>IFERROR(XLOOKUP($N2747,Base_Enderecos!$A:$A,Base_Enderecos!$B:$B,""),"")</f>
        <v/>
      </c>
      <c r="Q2747">
        <f>IFERROR(XLOOKUP($N2747,Base_Enderecos!$A:$A,Base_Enderecos!$C:$C,""),"")</f>
        <v/>
      </c>
      <c r="R2747">
        <f>IF(ISNUMBER(SEARCH("HDD",$F2747)),"HDD",IF(ISNUMBER(SEARCH("VCA",$F2747)),"VCA","MND"))</f>
        <v/>
      </c>
      <c r="T2747">
        <f>TEXT($A2747,"yyyy-mm")&amp;"|"&amp;$C2747&amp;"|"&amp;$I2747</f>
        <v/>
      </c>
    </row>
    <row r="2748">
      <c r="A2748" s="36" t="n">
        <v>46176</v>
      </c>
      <c r="B2748" t="inlineStr">
        <is>
          <t>Quarta</t>
        </is>
      </c>
      <c r="C2748" t="inlineStr">
        <is>
          <t>CTS Lourdes Complementar</t>
        </is>
      </c>
      <c r="D2748" t="inlineStr">
        <is>
          <t>Robson</t>
        </is>
      </c>
      <c r="E2748" t="inlineStr">
        <is>
          <t>Marcelo</t>
        </is>
      </c>
      <c r="F2748" t="inlineStr">
        <is>
          <t>Transformação PV 04</t>
        </is>
      </c>
      <c r="G2748" t="inlineStr">
        <is>
          <t>04</t>
        </is>
      </c>
      <c r="H2748" t="inlineStr"/>
      <c r="I2748" t="inlineStr">
        <is>
          <t>04</t>
        </is>
      </c>
      <c r="J2748" t="inlineStr">
        <is>
          <t>Transformação</t>
        </is>
      </c>
      <c r="K2748" t="inlineStr">
        <is>
          <t>Planejamento</t>
        </is>
      </c>
      <c r="L2748" t="inlineStr">
        <is>
          <t>pds_colado_2026-06-03_a_2026-06-08.txt</t>
        </is>
      </c>
      <c r="M2748">
        <f>IF($A2748="","",TEXT($A2748,"mmmm/yyyy"))</f>
        <v/>
      </c>
      <c r="P2748">
        <f>IFERROR(XLOOKUP($N2748,Base_Enderecos!$A:$A,Base_Enderecos!$B:$B,""),"")</f>
        <v/>
      </c>
      <c r="Q2748">
        <f>IFERROR(XLOOKUP($N2748,Base_Enderecos!$A:$A,Base_Enderecos!$C:$C,""),"")</f>
        <v/>
      </c>
      <c r="R2748">
        <f>IF(ISNUMBER(SEARCH("HDD",$F2748)),"HDD",IF(ISNUMBER(SEARCH("VCA",$F2748)),"VCA","MND"))</f>
        <v/>
      </c>
      <c r="T2748">
        <f>TEXT($A2748,"yyyy-mm")&amp;"|"&amp;$C2748&amp;"|"&amp;$I2748</f>
        <v/>
      </c>
    </row>
    <row r="2749">
      <c r="A2749" s="36" t="n">
        <v>46176</v>
      </c>
      <c r="B2749" t="inlineStr">
        <is>
          <t>Quarta</t>
        </is>
      </c>
      <c r="C2749" t="inlineStr">
        <is>
          <t>CTS Lourdes Complementar</t>
        </is>
      </c>
      <c r="D2749" t="inlineStr">
        <is>
          <t>Robson</t>
        </is>
      </c>
      <c r="E2749" t="inlineStr">
        <is>
          <t>Marcelo</t>
        </is>
      </c>
      <c r="F2749" t="inlineStr">
        <is>
          <t>Botelho Mourão</t>
        </is>
      </c>
      <c r="G2749" t="inlineStr"/>
      <c r="H2749" t="inlineStr"/>
      <c r="I2749" t="inlineStr"/>
      <c r="J2749" t="inlineStr">
        <is>
          <t>Atividade</t>
        </is>
      </c>
      <c r="K2749" t="inlineStr">
        <is>
          <t>Planejamento</t>
        </is>
      </c>
      <c r="L2749" t="inlineStr">
        <is>
          <t>pds_colado_2026-06-03_a_2026-06-08.txt</t>
        </is>
      </c>
      <c r="M2749">
        <f>IF($A2749="","",TEXT($A2749,"mmmm/yyyy"))</f>
        <v/>
      </c>
      <c r="P2749">
        <f>IFERROR(XLOOKUP($N2749,Base_Enderecos!$A:$A,Base_Enderecos!$B:$B,""),"")</f>
        <v/>
      </c>
      <c r="Q2749">
        <f>IFERROR(XLOOKUP($N2749,Base_Enderecos!$A:$A,Base_Enderecos!$C:$C,""),"")</f>
        <v/>
      </c>
      <c r="R2749">
        <f>IF(ISNUMBER(SEARCH("HDD",$F2749)),"HDD",IF(ISNUMBER(SEARCH("VCA",$F2749)),"VCA","MND"))</f>
        <v/>
      </c>
      <c r="T2749">
        <f>TEXT($A2749,"yyyy-mm")&amp;"|"&amp;$C2749&amp;"|"&amp;$I2749</f>
        <v/>
      </c>
    </row>
    <row r="2750">
      <c r="A2750" s="36" t="n">
        <v>46176</v>
      </c>
      <c r="B2750" t="inlineStr">
        <is>
          <t>Quarta</t>
        </is>
      </c>
      <c r="C2750" t="inlineStr">
        <is>
          <t>CTS Lourdes Complementar</t>
        </is>
      </c>
      <c r="D2750" t="inlineStr">
        <is>
          <t>Robson</t>
        </is>
      </c>
      <c r="E2750" t="inlineStr">
        <is>
          <t>Márcio</t>
        </is>
      </c>
      <c r="F2750" t="inlineStr">
        <is>
          <t>Nivelamento BGS PV 05</t>
        </is>
      </c>
      <c r="G2750" t="inlineStr">
        <is>
          <t>05</t>
        </is>
      </c>
      <c r="H2750" t="inlineStr"/>
      <c r="I2750" t="inlineStr">
        <is>
          <t>05</t>
        </is>
      </c>
      <c r="J2750" t="inlineStr">
        <is>
          <t>Atividade</t>
        </is>
      </c>
      <c r="K2750" t="inlineStr">
        <is>
          <t>Planejamento</t>
        </is>
      </c>
      <c r="L2750" t="inlineStr">
        <is>
          <t>pds_colado_2026-06-03_a_2026-06-08.txt</t>
        </is>
      </c>
      <c r="M2750">
        <f>IF($A2750="","",TEXT($A2750,"mmmm/yyyy"))</f>
        <v/>
      </c>
      <c r="P2750">
        <f>IFERROR(XLOOKUP($N2750,Base_Enderecos!$A:$A,Base_Enderecos!$B:$B,""),"")</f>
        <v/>
      </c>
      <c r="Q2750">
        <f>IFERROR(XLOOKUP($N2750,Base_Enderecos!$A:$A,Base_Enderecos!$C:$C,""),"")</f>
        <v/>
      </c>
      <c r="R2750">
        <f>IF(ISNUMBER(SEARCH("HDD",$F2750)),"HDD",IF(ISNUMBER(SEARCH("VCA",$F2750)),"VCA","MND"))</f>
        <v/>
      </c>
      <c r="T2750">
        <f>TEXT($A2750,"yyyy-mm")&amp;"|"&amp;$C2750&amp;"|"&amp;$I2750</f>
        <v/>
      </c>
    </row>
    <row r="2751">
      <c r="A2751" s="36" t="n">
        <v>46176</v>
      </c>
      <c r="B2751" t="inlineStr">
        <is>
          <t>Quarta</t>
        </is>
      </c>
      <c r="C2751" t="inlineStr">
        <is>
          <t>João Canzi – Henko (wellington/thiago)</t>
        </is>
      </c>
      <c r="D2751" t="inlineStr"/>
      <c r="E2751" t="inlineStr">
        <is>
          <t>Vacal</t>
        </is>
      </c>
      <c r="F2751" t="inlineStr">
        <is>
          <t>João Canzi – Henko (Wellington/Thiago)</t>
        </is>
      </c>
      <c r="G2751" t="inlineStr"/>
      <c r="H2751" t="inlineStr"/>
      <c r="I2751" t="inlineStr"/>
      <c r="J2751" t="inlineStr">
        <is>
          <t>Atividade</t>
        </is>
      </c>
      <c r="K2751" t="inlineStr">
        <is>
          <t>Apoio</t>
        </is>
      </c>
      <c r="L2751" t="inlineStr">
        <is>
          <t>pds_colado_2026-06-03_a_2026-06-08.txt</t>
        </is>
      </c>
      <c r="M2751">
        <f>IF($A2751="","",TEXT($A2751,"mmmm/yyyy"))</f>
        <v/>
      </c>
      <c r="P2751">
        <f>IFERROR(XLOOKUP($N2751,Base_Enderecos!$A:$A,Base_Enderecos!$B:$B,""),"")</f>
        <v/>
      </c>
      <c r="Q2751">
        <f>IFERROR(XLOOKUP($N2751,Base_Enderecos!$A:$A,Base_Enderecos!$C:$C,""),"")</f>
        <v/>
      </c>
      <c r="R2751">
        <f>IF(ISNUMBER(SEARCH("HDD",$F2751)),"HDD",IF(ISNUMBER(SEARCH("VCA",$F2751)),"VCA","MND"))</f>
        <v/>
      </c>
      <c r="T2751">
        <f>TEXT($A2751,"yyyy-mm")&amp;"|"&amp;$C2751&amp;"|"&amp;$I2751</f>
        <v/>
      </c>
    </row>
    <row r="2752">
      <c r="A2752" s="36" t="n">
        <v>46176</v>
      </c>
      <c r="B2752" t="inlineStr">
        <is>
          <t>Quarta</t>
        </is>
      </c>
      <c r="C2752" t="inlineStr">
        <is>
          <t>João Canzi – Renasce (raimundo)</t>
        </is>
      </c>
      <c r="D2752" t="inlineStr"/>
      <c r="E2752" t="inlineStr">
        <is>
          <t>Vacal</t>
        </is>
      </c>
      <c r="F2752" t="inlineStr">
        <is>
          <t>João Canzi – Renasce (Raimundo)</t>
        </is>
      </c>
      <c r="G2752" t="inlineStr"/>
      <c r="H2752" t="inlineStr"/>
      <c r="I2752" t="inlineStr"/>
      <c r="J2752" t="inlineStr">
        <is>
          <t>Atividade</t>
        </is>
      </c>
      <c r="K2752" t="inlineStr">
        <is>
          <t>Apoio</t>
        </is>
      </c>
      <c r="L2752" t="inlineStr">
        <is>
          <t>pds_colado_2026-06-03_a_2026-06-08.txt</t>
        </is>
      </c>
      <c r="M2752">
        <f>IF($A2752="","",TEXT($A2752,"mmmm/yyyy"))</f>
        <v/>
      </c>
      <c r="P2752">
        <f>IFERROR(XLOOKUP($N2752,Base_Enderecos!$A:$A,Base_Enderecos!$B:$B,""),"")</f>
        <v/>
      </c>
      <c r="Q2752">
        <f>IFERROR(XLOOKUP($N2752,Base_Enderecos!$A:$A,Base_Enderecos!$C:$C,""),"")</f>
        <v/>
      </c>
      <c r="R2752">
        <f>IF(ISNUMBER(SEARCH("HDD",$F2752)),"HDD",IF(ISNUMBER(SEARCH("VCA",$F2752)),"VCA","MND"))</f>
        <v/>
      </c>
      <c r="T2752">
        <f>TEXT($A2752,"yyyy-mm")&amp;"|"&amp;$C2752&amp;"|"&amp;$I2752</f>
        <v/>
      </c>
    </row>
    <row r="2753">
      <c r="A2753" s="36" t="n">
        <v>46176</v>
      </c>
      <c r="B2753" t="inlineStr">
        <is>
          <t>Quarta</t>
        </is>
      </c>
      <c r="C2753" t="inlineStr">
        <is>
          <t>Lourdes – Henko (marcio)</t>
        </is>
      </c>
      <c r="D2753" t="inlineStr"/>
      <c r="E2753" t="inlineStr">
        <is>
          <t>Vacal</t>
        </is>
      </c>
      <c r="F2753" t="inlineStr">
        <is>
          <t>Lourdes – Henko (Marcio)</t>
        </is>
      </c>
      <c r="G2753" t="inlineStr"/>
      <c r="H2753" t="inlineStr"/>
      <c r="I2753" t="inlineStr"/>
      <c r="J2753" t="inlineStr">
        <is>
          <t>Atividade</t>
        </is>
      </c>
      <c r="K2753" t="inlineStr">
        <is>
          <t>Apoio</t>
        </is>
      </c>
      <c r="L2753" t="inlineStr">
        <is>
          <t>pds_colado_2026-06-03_a_2026-06-08.txt</t>
        </is>
      </c>
      <c r="M2753">
        <f>IF($A2753="","",TEXT($A2753,"mmmm/yyyy"))</f>
        <v/>
      </c>
      <c r="P2753">
        <f>IFERROR(XLOOKUP($N2753,Base_Enderecos!$A:$A,Base_Enderecos!$B:$B,""),"")</f>
        <v/>
      </c>
      <c r="Q2753">
        <f>IFERROR(XLOOKUP($N2753,Base_Enderecos!$A:$A,Base_Enderecos!$C:$C,""),"")</f>
        <v/>
      </c>
      <c r="R2753">
        <f>IF(ISNUMBER(SEARCH("HDD",$F2753)),"HDD",IF(ISNUMBER(SEARCH("VCA",$F2753)),"VCA","MND"))</f>
        <v/>
      </c>
      <c r="T2753">
        <f>TEXT($A2753,"yyyy-mm")&amp;"|"&amp;$C2753&amp;"|"&amp;$I2753</f>
        <v/>
      </c>
    </row>
    <row r="2754">
      <c r="A2754" s="36" t="n">
        <v>46176</v>
      </c>
      <c r="B2754" t="inlineStr">
        <is>
          <t>Quarta</t>
        </is>
      </c>
      <c r="C2754" t="inlineStr">
        <is>
          <t>Iti 15 – Henko (osmar)</t>
        </is>
      </c>
      <c r="D2754" t="inlineStr"/>
      <c r="E2754" t="inlineStr">
        <is>
          <t>Vacal</t>
        </is>
      </c>
      <c r="F2754" t="inlineStr">
        <is>
          <t>ITI 15 – Henko (Osmar)</t>
        </is>
      </c>
      <c r="G2754" t="inlineStr"/>
      <c r="H2754" t="inlineStr"/>
      <c r="I2754" t="inlineStr"/>
      <c r="J2754" t="inlineStr">
        <is>
          <t>Atividade</t>
        </is>
      </c>
      <c r="K2754" t="inlineStr">
        <is>
          <t>Apoio</t>
        </is>
      </c>
      <c r="L2754" t="inlineStr">
        <is>
          <t>pds_colado_2026-06-03_a_2026-06-08.txt</t>
        </is>
      </c>
      <c r="M2754">
        <f>IF($A2754="","",TEXT($A2754,"mmmm/yyyy"))</f>
        <v/>
      </c>
      <c r="P2754">
        <f>IFERROR(XLOOKUP($N2754,Base_Enderecos!$A:$A,Base_Enderecos!$B:$B,""),"")</f>
        <v/>
      </c>
      <c r="Q2754">
        <f>IFERROR(XLOOKUP($N2754,Base_Enderecos!$A:$A,Base_Enderecos!$C:$C,""),"")</f>
        <v/>
      </c>
      <c r="R2754">
        <f>IF(ISNUMBER(SEARCH("HDD",$F2754)),"HDD",IF(ISNUMBER(SEARCH("VCA",$F2754)),"VCA","MND"))</f>
        <v/>
      </c>
      <c r="T2754">
        <f>TEXT($A2754,"yyyy-mm")&amp;"|"&amp;$C2754&amp;"|"&amp;$I2754</f>
        <v/>
      </c>
    </row>
    <row r="2755">
      <c r="A2755" s="36" t="n">
        <v>46176</v>
      </c>
      <c r="B2755" t="inlineStr">
        <is>
          <t>Quarta</t>
        </is>
      </c>
      <c r="C2755" t="inlineStr">
        <is>
          <t>Guindauto</t>
        </is>
      </c>
      <c r="D2755" t="inlineStr"/>
      <c r="E2755" t="inlineStr">
        <is>
          <t>Guindauto</t>
        </is>
      </c>
      <c r="F2755" t="inlineStr">
        <is>
          <t>Marcio - Apoio as equipes</t>
        </is>
      </c>
      <c r="G2755" t="inlineStr"/>
      <c r="H2755" t="inlineStr"/>
      <c r="I2755" t="inlineStr"/>
      <c r="J2755" t="inlineStr">
        <is>
          <t>Atividade</t>
        </is>
      </c>
      <c r="K2755" t="inlineStr">
        <is>
          <t>Apoio</t>
        </is>
      </c>
      <c r="L2755" t="inlineStr">
        <is>
          <t>pds_colado_2026-06-03_a_2026-06-08.txt</t>
        </is>
      </c>
      <c r="M2755">
        <f>IF($A2755="","",TEXT($A2755,"mmmm/yyyy"))</f>
        <v/>
      </c>
      <c r="P2755">
        <f>IFERROR(XLOOKUP($N2755,Base_Enderecos!$A:$A,Base_Enderecos!$B:$B,""),"")</f>
        <v/>
      </c>
      <c r="Q2755">
        <f>IFERROR(XLOOKUP($N2755,Base_Enderecos!$A:$A,Base_Enderecos!$C:$C,""),"")</f>
        <v/>
      </c>
      <c r="R2755">
        <f>IF(ISNUMBER(SEARCH("HDD",$F2755)),"HDD",IF(ISNUMBER(SEARCH("VCA",$F2755)),"VCA","MND"))</f>
        <v/>
      </c>
      <c r="T2755">
        <f>TEXT($A2755,"yyyy-mm")&amp;"|"&amp;$C2755&amp;"|"&amp;$I2755</f>
        <v/>
      </c>
    </row>
    <row r="2756">
      <c r="A2756" s="36" t="n">
        <v>46176</v>
      </c>
      <c r="B2756" t="inlineStr">
        <is>
          <t>Quarta</t>
        </is>
      </c>
      <c r="C2756" t="inlineStr">
        <is>
          <t>Guindauto</t>
        </is>
      </c>
      <c r="D2756" t="inlineStr"/>
      <c r="E2756" t="inlineStr">
        <is>
          <t>Guindauto</t>
        </is>
      </c>
      <c r="F2756" t="inlineStr">
        <is>
          <t>Luiz - Apoio as equipes</t>
        </is>
      </c>
      <c r="G2756" t="inlineStr"/>
      <c r="H2756" t="inlineStr"/>
      <c r="I2756" t="inlineStr"/>
      <c r="J2756" t="inlineStr">
        <is>
          <t>Atividade</t>
        </is>
      </c>
      <c r="K2756" t="inlineStr">
        <is>
          <t>Apoio</t>
        </is>
      </c>
      <c r="L2756" t="inlineStr">
        <is>
          <t>pds_colado_2026-06-03_a_2026-06-08.txt</t>
        </is>
      </c>
      <c r="M2756">
        <f>IF($A2756="","",TEXT($A2756,"mmmm/yyyy"))</f>
        <v/>
      </c>
      <c r="P2756">
        <f>IFERROR(XLOOKUP($N2756,Base_Enderecos!$A:$A,Base_Enderecos!$B:$B,""),"")</f>
        <v/>
      </c>
      <c r="Q2756">
        <f>IFERROR(XLOOKUP($N2756,Base_Enderecos!$A:$A,Base_Enderecos!$C:$C,""),"")</f>
        <v/>
      </c>
      <c r="R2756">
        <f>IF(ISNUMBER(SEARCH("HDD",$F2756)),"HDD",IF(ISNUMBER(SEARCH("VCA",$F2756)),"VCA","MND"))</f>
        <v/>
      </c>
      <c r="T2756">
        <f>TEXT($A2756,"yyyy-mm")&amp;"|"&amp;$C2756&amp;"|"&amp;$I2756</f>
        <v/>
      </c>
    </row>
    <row r="2757">
      <c r="A2757" s="36" t="n">
        <v>46177</v>
      </c>
      <c r="B2757" t="inlineStr">
        <is>
          <t>Quinta</t>
        </is>
      </c>
      <c r="C2757" t="inlineStr">
        <is>
          <t>CT João Canzi</t>
        </is>
      </c>
      <c r="D2757" t="inlineStr">
        <is>
          <t>Valmir</t>
        </is>
      </c>
      <c r="E2757" t="inlineStr">
        <is>
          <t>Goiânia Drill</t>
        </is>
      </c>
      <c r="F2757" t="inlineStr">
        <is>
          <t>Piloto do PV-17 ao PV-18</t>
        </is>
      </c>
      <c r="G2757" t="inlineStr">
        <is>
          <t>17</t>
        </is>
      </c>
      <c r="H2757" t="inlineStr">
        <is>
          <t>18</t>
        </is>
      </c>
      <c r="I2757" t="inlineStr">
        <is>
          <t>17 ao 18</t>
        </is>
      </c>
      <c r="J2757" t="inlineStr">
        <is>
          <t>Atividade</t>
        </is>
      </c>
      <c r="K2757" t="inlineStr">
        <is>
          <t>Planejamento</t>
        </is>
      </c>
      <c r="L2757" t="inlineStr">
        <is>
          <t>pds_colado_2026-06-03_a_2026-06-08.txt</t>
        </is>
      </c>
      <c r="M2757">
        <f>IF($A2757="","",TEXT($A2757,"mmmm/yyyy"))</f>
        <v/>
      </c>
      <c r="P2757">
        <f>IFERROR(XLOOKUP($N2757,Base_Enderecos!$A:$A,Base_Enderecos!$B:$B,""),"")</f>
        <v/>
      </c>
      <c r="Q2757">
        <f>IFERROR(XLOOKUP($N2757,Base_Enderecos!$A:$A,Base_Enderecos!$C:$C,""),"")</f>
        <v/>
      </c>
      <c r="R2757">
        <f>IF(ISNUMBER(SEARCH("HDD",$F2757)),"HDD",IF(ISNUMBER(SEARCH("VCA",$F2757)),"VCA","MND"))</f>
        <v/>
      </c>
      <c r="T2757">
        <f>TEXT($A2757,"yyyy-mm")&amp;"|"&amp;$C2757&amp;"|"&amp;$I2757</f>
        <v/>
      </c>
    </row>
    <row r="2758">
      <c r="A2758" s="36" t="n">
        <v>46177</v>
      </c>
      <c r="B2758" t="inlineStr">
        <is>
          <t>Quinta</t>
        </is>
      </c>
      <c r="C2758" t="inlineStr">
        <is>
          <t>CT João Canzi</t>
        </is>
      </c>
      <c r="D2758" t="inlineStr">
        <is>
          <t>Valmir</t>
        </is>
      </c>
      <c r="E2758" t="inlineStr">
        <is>
          <t>Bruno</t>
        </is>
      </c>
      <c r="F2758" t="inlineStr">
        <is>
          <t>Apoio ao HDD</t>
        </is>
      </c>
      <c r="G2758" t="inlineStr"/>
      <c r="H2758" t="inlineStr"/>
      <c r="I2758" t="inlineStr"/>
      <c r="J2758" t="inlineStr">
        <is>
          <t>HDD</t>
        </is>
      </c>
      <c r="K2758" t="inlineStr">
        <is>
          <t>Planejamento</t>
        </is>
      </c>
      <c r="L2758" t="inlineStr">
        <is>
          <t>pds_colado_2026-06-03_a_2026-06-08.txt</t>
        </is>
      </c>
      <c r="M2758">
        <f>IF($A2758="","",TEXT($A2758,"mmmm/yyyy"))</f>
        <v/>
      </c>
      <c r="P2758">
        <f>IFERROR(XLOOKUP($N2758,Base_Enderecos!$A:$A,Base_Enderecos!$B:$B,""),"")</f>
        <v/>
      </c>
      <c r="Q2758">
        <f>IFERROR(XLOOKUP($N2758,Base_Enderecos!$A:$A,Base_Enderecos!$C:$C,""),"")</f>
        <v/>
      </c>
      <c r="R2758">
        <f>IF(ISNUMBER(SEARCH("HDD",$F2758)),"HDD",IF(ISNUMBER(SEARCH("VCA",$F2758)),"VCA","MND"))</f>
        <v/>
      </c>
      <c r="T2758">
        <f>TEXT($A2758,"yyyy-mm")&amp;"|"&amp;$C2758&amp;"|"&amp;$I2758</f>
        <v/>
      </c>
    </row>
    <row r="2759">
      <c r="A2759" s="36" t="n">
        <v>46177</v>
      </c>
      <c r="B2759" t="inlineStr">
        <is>
          <t>Quinta</t>
        </is>
      </c>
      <c r="C2759" t="inlineStr">
        <is>
          <t>CT João Canzi</t>
        </is>
      </c>
      <c r="D2759" t="inlineStr">
        <is>
          <t>Valmir</t>
        </is>
      </c>
      <c r="E2759" t="inlineStr">
        <is>
          <t>Medeiros</t>
        </is>
      </c>
      <c r="F2759" t="inlineStr">
        <is>
          <t>Shaft PV 10.1</t>
        </is>
      </c>
      <c r="G2759" t="inlineStr">
        <is>
          <t>10.1</t>
        </is>
      </c>
      <c r="H2759" t="inlineStr"/>
      <c r="I2759" t="inlineStr">
        <is>
          <t>10.1</t>
        </is>
      </c>
      <c r="J2759" t="inlineStr">
        <is>
          <t>Shaft</t>
        </is>
      </c>
      <c r="K2759" t="inlineStr">
        <is>
          <t>Planejamento</t>
        </is>
      </c>
      <c r="L2759" t="inlineStr">
        <is>
          <t>pds_colado_2026-06-03_a_2026-06-08.txt</t>
        </is>
      </c>
      <c r="M2759">
        <f>IF($A2759="","",TEXT($A2759,"mmmm/yyyy"))</f>
        <v/>
      </c>
      <c r="P2759">
        <f>IFERROR(XLOOKUP($N2759,Base_Enderecos!$A:$A,Base_Enderecos!$B:$B,""),"")</f>
        <v/>
      </c>
      <c r="Q2759">
        <f>IFERROR(XLOOKUP($N2759,Base_Enderecos!$A:$A,Base_Enderecos!$C:$C,""),"")</f>
        <v/>
      </c>
      <c r="R2759">
        <f>IF(ISNUMBER(SEARCH("HDD",$F2759)),"HDD",IF(ISNUMBER(SEARCH("VCA",$F2759)),"VCA","MND"))</f>
        <v/>
      </c>
      <c r="T2759">
        <f>TEXT($A2759,"yyyy-mm")&amp;"|"&amp;$C2759&amp;"|"&amp;$I2759</f>
        <v/>
      </c>
    </row>
    <row r="2760">
      <c r="A2760" s="36" t="n">
        <v>46177</v>
      </c>
      <c r="B2760" t="inlineStr">
        <is>
          <t>Quinta</t>
        </is>
      </c>
      <c r="C2760" t="inlineStr">
        <is>
          <t>CT João Canzi</t>
        </is>
      </c>
      <c r="D2760" t="inlineStr">
        <is>
          <t>Valmir</t>
        </is>
      </c>
      <c r="E2760" t="inlineStr">
        <is>
          <t>Cesar</t>
        </is>
      </c>
      <c r="F2760" t="inlineStr">
        <is>
          <t>Transformação PV 16</t>
        </is>
      </c>
      <c r="G2760" t="inlineStr">
        <is>
          <t>16</t>
        </is>
      </c>
      <c r="H2760" t="inlineStr"/>
      <c r="I2760" t="inlineStr">
        <is>
          <t>16</t>
        </is>
      </c>
      <c r="J2760" t="inlineStr">
        <is>
          <t>Transformação</t>
        </is>
      </c>
      <c r="K2760" t="inlineStr">
        <is>
          <t>Planejamento</t>
        </is>
      </c>
      <c r="L2760" t="inlineStr">
        <is>
          <t>pds_colado_2026-06-03_a_2026-06-08.txt</t>
        </is>
      </c>
      <c r="M2760">
        <f>IF($A2760="","",TEXT($A2760,"mmmm/yyyy"))</f>
        <v/>
      </c>
      <c r="P2760">
        <f>IFERROR(XLOOKUP($N2760,Base_Enderecos!$A:$A,Base_Enderecos!$B:$B,""),"")</f>
        <v/>
      </c>
      <c r="Q2760">
        <f>IFERROR(XLOOKUP($N2760,Base_Enderecos!$A:$A,Base_Enderecos!$C:$C,""),"")</f>
        <v/>
      </c>
      <c r="R2760">
        <f>IF(ISNUMBER(SEARCH("HDD",$F2760)),"HDD",IF(ISNUMBER(SEARCH("VCA",$F2760)),"VCA","MND"))</f>
        <v/>
      </c>
      <c r="T2760">
        <f>TEXT($A2760,"yyyy-mm")&amp;"|"&amp;$C2760&amp;"|"&amp;$I2760</f>
        <v/>
      </c>
    </row>
    <row r="2761">
      <c r="A2761" s="36" t="n">
        <v>46177</v>
      </c>
      <c r="B2761" t="inlineStr">
        <is>
          <t>Quinta</t>
        </is>
      </c>
      <c r="C2761" t="inlineStr">
        <is>
          <t>RCE Elvira</t>
        </is>
      </c>
      <c r="D2761" t="inlineStr">
        <is>
          <t>Silvestre</t>
        </is>
      </c>
      <c r="E2761" t="inlineStr">
        <is>
          <t>Valter</t>
        </is>
      </c>
      <c r="F2761" t="inlineStr">
        <is>
          <t>VCA, PVs e Ligações</t>
        </is>
      </c>
      <c r="G2761" t="inlineStr"/>
      <c r="H2761" t="inlineStr"/>
      <c r="I2761" t="inlineStr"/>
      <c r="J2761" t="inlineStr">
        <is>
          <t>VCA</t>
        </is>
      </c>
      <c r="K2761" t="inlineStr">
        <is>
          <t>Planejamento</t>
        </is>
      </c>
      <c r="L2761" t="inlineStr">
        <is>
          <t>pds_colado_2026-06-03_a_2026-06-08.txt</t>
        </is>
      </c>
      <c r="M2761">
        <f>IF($A2761="","",TEXT($A2761,"mmmm/yyyy"))</f>
        <v/>
      </c>
      <c r="P2761">
        <f>IFERROR(XLOOKUP($N2761,Base_Enderecos!$A:$A,Base_Enderecos!$B:$B,""),"")</f>
        <v/>
      </c>
      <c r="Q2761">
        <f>IFERROR(XLOOKUP($N2761,Base_Enderecos!$A:$A,Base_Enderecos!$C:$C,""),"")</f>
        <v/>
      </c>
      <c r="R2761">
        <f>IF(ISNUMBER(SEARCH("HDD",$F2761)),"HDD",IF(ISNUMBER(SEARCH("VCA",$F2761)),"VCA","MND"))</f>
        <v/>
      </c>
      <c r="T2761">
        <f>TEXT($A2761,"yyyy-mm")&amp;"|"&amp;$C2761&amp;"|"&amp;$I2761</f>
        <v/>
      </c>
    </row>
    <row r="2762">
      <c r="A2762" s="36" t="n">
        <v>46177</v>
      </c>
      <c r="B2762" t="inlineStr">
        <is>
          <t>Quinta</t>
        </is>
      </c>
      <c r="C2762" t="inlineStr">
        <is>
          <t>RCE Conj. União</t>
        </is>
      </c>
      <c r="D2762" t="inlineStr">
        <is>
          <t>Silvestre</t>
        </is>
      </c>
      <c r="E2762" t="inlineStr">
        <is>
          <t>Jonathan</t>
        </is>
      </c>
      <c r="F2762" t="inlineStr">
        <is>
          <t>Transformação PV 40.1</t>
        </is>
      </c>
      <c r="G2762" t="inlineStr">
        <is>
          <t>40.1</t>
        </is>
      </c>
      <c r="H2762" t="inlineStr"/>
      <c r="I2762" t="inlineStr">
        <is>
          <t>40.1</t>
        </is>
      </c>
      <c r="J2762" t="inlineStr">
        <is>
          <t>Transformação</t>
        </is>
      </c>
      <c r="K2762" t="inlineStr">
        <is>
          <t>Planejamento</t>
        </is>
      </c>
      <c r="L2762" t="inlineStr">
        <is>
          <t>pds_colado_2026-06-03_a_2026-06-08.txt</t>
        </is>
      </c>
      <c r="M2762">
        <f>IF($A2762="","",TEXT($A2762,"mmmm/yyyy"))</f>
        <v/>
      </c>
      <c r="P2762">
        <f>IFERROR(XLOOKUP($N2762,Base_Enderecos!$A:$A,Base_Enderecos!$B:$B,""),"")</f>
        <v/>
      </c>
      <c r="Q2762">
        <f>IFERROR(XLOOKUP($N2762,Base_Enderecos!$A:$A,Base_Enderecos!$C:$C,""),"")</f>
        <v/>
      </c>
      <c r="R2762">
        <f>IF(ISNUMBER(SEARCH("HDD",$F2762)),"HDD",IF(ISNUMBER(SEARCH("VCA",$F2762)),"VCA","MND"))</f>
        <v/>
      </c>
      <c r="T2762">
        <f>TEXT($A2762,"yyyy-mm")&amp;"|"&amp;$C2762&amp;"|"&amp;$I2762</f>
        <v/>
      </c>
    </row>
    <row r="2763">
      <c r="A2763" s="36" t="n">
        <v>46177</v>
      </c>
      <c r="B2763" t="inlineStr">
        <is>
          <t>Quinta</t>
        </is>
      </c>
      <c r="C2763" t="inlineStr">
        <is>
          <t>RCE Elias Sleiman / CT João Canzi</t>
        </is>
      </c>
      <c r="D2763" t="inlineStr">
        <is>
          <t>Silvestre</t>
        </is>
      </c>
      <c r="E2763" t="inlineStr">
        <is>
          <t>Edvando</t>
        </is>
      </c>
      <c r="F2763" t="inlineStr">
        <is>
          <t>VCA + interl PV 17 ao PV 22</t>
        </is>
      </c>
      <c r="G2763" t="inlineStr">
        <is>
          <t>17</t>
        </is>
      </c>
      <c r="H2763" t="inlineStr">
        <is>
          <t>22</t>
        </is>
      </c>
      <c r="I2763" t="inlineStr">
        <is>
          <t>17 ao 22</t>
        </is>
      </c>
      <c r="J2763" t="inlineStr">
        <is>
          <t>VCA</t>
        </is>
      </c>
      <c r="K2763" t="inlineStr">
        <is>
          <t>Planejamento</t>
        </is>
      </c>
      <c r="L2763" t="inlineStr">
        <is>
          <t>pds_colado_2026-06-03_a_2026-06-08.txt</t>
        </is>
      </c>
      <c r="M2763">
        <f>IF($A2763="","",TEXT($A2763,"mmmm/yyyy"))</f>
        <v/>
      </c>
      <c r="P2763">
        <f>IFERROR(XLOOKUP($N2763,Base_Enderecos!$A:$A,Base_Enderecos!$B:$B,""),"")</f>
        <v/>
      </c>
      <c r="Q2763">
        <f>IFERROR(XLOOKUP($N2763,Base_Enderecos!$A:$A,Base_Enderecos!$C:$C,""),"")</f>
        <v/>
      </c>
      <c r="R2763">
        <f>IF(ISNUMBER(SEARCH("HDD",$F2763)),"HDD",IF(ISNUMBER(SEARCH("VCA",$F2763)),"VCA","MND"))</f>
        <v/>
      </c>
      <c r="T2763">
        <f>TEXT($A2763,"yyyy-mm")&amp;"|"&amp;$C2763&amp;"|"&amp;$I2763</f>
        <v/>
      </c>
    </row>
    <row r="2764">
      <c r="A2764" s="36" t="n">
        <v>46177</v>
      </c>
      <c r="B2764" t="inlineStr">
        <is>
          <t>Quinta</t>
        </is>
      </c>
      <c r="C2764" t="inlineStr">
        <is>
          <t>RCE São Lucas</t>
        </is>
      </c>
      <c r="D2764" t="inlineStr">
        <is>
          <t>Fábio</t>
        </is>
      </c>
      <c r="E2764" t="inlineStr">
        <is>
          <t>Ricardo</t>
        </is>
      </c>
      <c r="F2764" t="inlineStr">
        <is>
          <t>VCA, PVs e Ligações; (PI 08 ao PI 09)</t>
        </is>
      </c>
      <c r="G2764" t="inlineStr">
        <is>
          <t>08</t>
        </is>
      </c>
      <c r="H2764" t="inlineStr">
        <is>
          <t>09</t>
        </is>
      </c>
      <c r="I2764" t="inlineStr">
        <is>
          <t>08 ao 09</t>
        </is>
      </c>
      <c r="J2764" t="inlineStr">
        <is>
          <t>VCA</t>
        </is>
      </c>
      <c r="K2764" t="inlineStr">
        <is>
          <t>Planejamento</t>
        </is>
      </c>
      <c r="L2764" t="inlineStr">
        <is>
          <t>pds_colado_2026-06-03_a_2026-06-08.txt</t>
        </is>
      </c>
      <c r="M2764">
        <f>IF($A2764="","",TEXT($A2764,"mmmm/yyyy"))</f>
        <v/>
      </c>
      <c r="P2764">
        <f>IFERROR(XLOOKUP($N2764,Base_Enderecos!$A:$A,Base_Enderecos!$B:$B,""),"")</f>
        <v/>
      </c>
      <c r="Q2764">
        <f>IFERROR(XLOOKUP($N2764,Base_Enderecos!$A:$A,Base_Enderecos!$C:$C,""),"")</f>
        <v/>
      </c>
      <c r="R2764">
        <f>IF(ISNUMBER(SEARCH("HDD",$F2764)),"HDD",IF(ISNUMBER(SEARCH("VCA",$F2764)),"VCA","MND"))</f>
        <v/>
      </c>
      <c r="T2764">
        <f>TEXT($A2764,"yyyy-mm")&amp;"|"&amp;$C2764&amp;"|"&amp;$I2764</f>
        <v/>
      </c>
    </row>
    <row r="2765">
      <c r="A2765" s="36" t="n">
        <v>46177</v>
      </c>
      <c r="B2765" t="inlineStr">
        <is>
          <t>Quinta</t>
        </is>
      </c>
      <c r="C2765" t="inlineStr">
        <is>
          <t>RCE São Lucas</t>
        </is>
      </c>
      <c r="D2765" t="inlineStr">
        <is>
          <t>Fábio</t>
        </is>
      </c>
      <c r="E2765" t="inlineStr">
        <is>
          <t>Claudinei</t>
        </is>
      </c>
      <c r="F2765" t="inlineStr">
        <is>
          <t>VCA, PVs e Ligações; (PI 37 ao PI 38)</t>
        </is>
      </c>
      <c r="G2765" t="inlineStr">
        <is>
          <t>37</t>
        </is>
      </c>
      <c r="H2765" t="inlineStr">
        <is>
          <t>38</t>
        </is>
      </c>
      <c r="I2765" t="inlineStr">
        <is>
          <t>37 ao 38</t>
        </is>
      </c>
      <c r="J2765" t="inlineStr">
        <is>
          <t>VCA</t>
        </is>
      </c>
      <c r="K2765" t="inlineStr">
        <is>
          <t>Planejamento</t>
        </is>
      </c>
      <c r="L2765" t="inlineStr">
        <is>
          <t>pds_colado_2026-06-03_a_2026-06-08.txt</t>
        </is>
      </c>
      <c r="M2765">
        <f>IF($A2765="","",TEXT($A2765,"mmmm/yyyy"))</f>
        <v/>
      </c>
      <c r="P2765">
        <f>IFERROR(XLOOKUP($N2765,Base_Enderecos!$A:$A,Base_Enderecos!$B:$B,""),"")</f>
        <v/>
      </c>
      <c r="Q2765">
        <f>IFERROR(XLOOKUP($N2765,Base_Enderecos!$A:$A,Base_Enderecos!$C:$C,""),"")</f>
        <v/>
      </c>
      <c r="R2765">
        <f>IF(ISNUMBER(SEARCH("HDD",$F2765)),"HDD",IF(ISNUMBER(SEARCH("VCA",$F2765)),"VCA","MND"))</f>
        <v/>
      </c>
      <c r="T2765">
        <f>TEXT($A2765,"yyyy-mm")&amp;"|"&amp;$C2765&amp;"|"&amp;$I2765</f>
        <v/>
      </c>
    </row>
    <row r="2766">
      <c r="A2766" s="36" t="n">
        <v>46177</v>
      </c>
      <c r="B2766" t="inlineStr">
        <is>
          <t>Quinta</t>
        </is>
      </c>
      <c r="C2766" t="inlineStr">
        <is>
          <t>RCE São Lucas</t>
        </is>
      </c>
      <c r="D2766" t="inlineStr">
        <is>
          <t>Fábio</t>
        </is>
      </c>
      <c r="E2766" t="inlineStr">
        <is>
          <t>Miro</t>
        </is>
      </c>
      <c r="F2766" t="inlineStr">
        <is>
          <t>VCA, PVs e Ligações; (PI 32 ao PI 60)</t>
        </is>
      </c>
      <c r="G2766" t="inlineStr">
        <is>
          <t>32</t>
        </is>
      </c>
      <c r="H2766" t="inlineStr">
        <is>
          <t>60</t>
        </is>
      </c>
      <c r="I2766" t="inlineStr">
        <is>
          <t>32 ao 60</t>
        </is>
      </c>
      <c r="J2766" t="inlineStr">
        <is>
          <t>VCA</t>
        </is>
      </c>
      <c r="K2766" t="inlineStr">
        <is>
          <t>Planejamento</t>
        </is>
      </c>
      <c r="L2766" t="inlineStr">
        <is>
          <t>pds_colado_2026-06-03_a_2026-06-08.txt</t>
        </is>
      </c>
      <c r="M2766">
        <f>IF($A2766="","",TEXT($A2766,"mmmm/yyyy"))</f>
        <v/>
      </c>
      <c r="P2766">
        <f>IFERROR(XLOOKUP($N2766,Base_Enderecos!$A:$A,Base_Enderecos!$B:$B,""),"")</f>
        <v/>
      </c>
      <c r="Q2766">
        <f>IFERROR(XLOOKUP($N2766,Base_Enderecos!$A:$A,Base_Enderecos!$C:$C,""),"")</f>
        <v/>
      </c>
      <c r="R2766">
        <f>IF(ISNUMBER(SEARCH("HDD",$F2766)),"HDD",IF(ISNUMBER(SEARCH("VCA",$F2766)),"VCA","MND"))</f>
        <v/>
      </c>
      <c r="T2766">
        <f>TEXT($A2766,"yyyy-mm")&amp;"|"&amp;$C2766&amp;"|"&amp;$I2766</f>
        <v/>
      </c>
    </row>
    <row r="2767">
      <c r="A2767" s="36" t="n">
        <v>46177</v>
      </c>
      <c r="B2767" t="inlineStr">
        <is>
          <t>Quinta</t>
        </is>
      </c>
      <c r="C2767" t="inlineStr">
        <is>
          <t>RCE São Lucas</t>
        </is>
      </c>
      <c r="D2767" t="inlineStr">
        <is>
          <t>Fábio</t>
        </is>
      </c>
      <c r="E2767" t="inlineStr">
        <is>
          <t>Emanuel</t>
        </is>
      </c>
      <c r="F2767" t="inlineStr">
        <is>
          <t>VCA, PVs e Ligações; (PI 32 ao PI 60)</t>
        </is>
      </c>
      <c r="G2767" t="inlineStr">
        <is>
          <t>32</t>
        </is>
      </c>
      <c r="H2767" t="inlineStr">
        <is>
          <t>60</t>
        </is>
      </c>
      <c r="I2767" t="inlineStr">
        <is>
          <t>32 ao 60</t>
        </is>
      </c>
      <c r="J2767" t="inlineStr">
        <is>
          <t>VCA</t>
        </is>
      </c>
      <c r="K2767" t="inlineStr">
        <is>
          <t>Planejamento</t>
        </is>
      </c>
      <c r="L2767" t="inlineStr">
        <is>
          <t>pds_colado_2026-06-03_a_2026-06-08.txt</t>
        </is>
      </c>
      <c r="M2767">
        <f>IF($A2767="","",TEXT($A2767,"mmmm/yyyy"))</f>
        <v/>
      </c>
      <c r="P2767">
        <f>IFERROR(XLOOKUP($N2767,Base_Enderecos!$A:$A,Base_Enderecos!$B:$B,""),"")</f>
        <v/>
      </c>
      <c r="Q2767">
        <f>IFERROR(XLOOKUP($N2767,Base_Enderecos!$A:$A,Base_Enderecos!$C:$C,""),"")</f>
        <v/>
      </c>
      <c r="R2767">
        <f>IF(ISNUMBER(SEARCH("HDD",$F2767)),"HDD",IF(ISNUMBER(SEARCH("VCA",$F2767)),"VCA","MND"))</f>
        <v/>
      </c>
      <c r="T2767">
        <f>TEXT($A2767,"yyyy-mm")&amp;"|"&amp;$C2767&amp;"|"&amp;$I2767</f>
        <v/>
      </c>
    </row>
    <row r="2768">
      <c r="A2768" s="36" t="n">
        <v>46177</v>
      </c>
      <c r="B2768" t="inlineStr">
        <is>
          <t>Quinta</t>
        </is>
      </c>
      <c r="C2768" t="inlineStr">
        <is>
          <t>RCE Rua São João</t>
        </is>
      </c>
      <c r="D2768" t="inlineStr">
        <is>
          <t>Fábio</t>
        </is>
      </c>
      <c r="E2768" t="inlineStr">
        <is>
          <t>Antonio</t>
        </is>
      </c>
      <c r="F2768" t="inlineStr">
        <is>
          <t>VCA, PVs e Ligações; (PV 02 ao PV 04)*</t>
        </is>
      </c>
      <c r="G2768" t="inlineStr">
        <is>
          <t>02</t>
        </is>
      </c>
      <c r="H2768" t="inlineStr">
        <is>
          <t>04</t>
        </is>
      </c>
      <c r="I2768" t="inlineStr">
        <is>
          <t>02 ao 04</t>
        </is>
      </c>
      <c r="J2768" t="inlineStr">
        <is>
          <t>VCA</t>
        </is>
      </c>
      <c r="K2768" t="inlineStr">
        <is>
          <t>Planejamento</t>
        </is>
      </c>
      <c r="L2768" t="inlineStr">
        <is>
          <t>pds_colado_2026-06-03_a_2026-06-08.txt</t>
        </is>
      </c>
      <c r="M2768">
        <f>IF($A2768="","",TEXT($A2768,"mmmm/yyyy"))</f>
        <v/>
      </c>
      <c r="P2768">
        <f>IFERROR(XLOOKUP($N2768,Base_Enderecos!$A:$A,Base_Enderecos!$B:$B,""),"")</f>
        <v/>
      </c>
      <c r="Q2768">
        <f>IFERROR(XLOOKUP($N2768,Base_Enderecos!$A:$A,Base_Enderecos!$C:$C,""),"")</f>
        <v/>
      </c>
      <c r="R2768">
        <f>IF(ISNUMBER(SEARCH("HDD",$F2768)),"HDD",IF(ISNUMBER(SEARCH("VCA",$F2768)),"VCA","MND"))</f>
        <v/>
      </c>
      <c r="T2768">
        <f>TEXT($A2768,"yyyy-mm")&amp;"|"&amp;$C2768&amp;"|"&amp;$I2768</f>
        <v/>
      </c>
    </row>
    <row r="2769">
      <c r="A2769" s="36" t="n">
        <v>46177</v>
      </c>
      <c r="B2769" t="inlineStr">
        <is>
          <t>Quinta</t>
        </is>
      </c>
      <c r="C2769" t="inlineStr">
        <is>
          <t>CTS Lourdes Complementar</t>
        </is>
      </c>
      <c r="D2769" t="inlineStr">
        <is>
          <t>Robson</t>
        </is>
      </c>
      <c r="E2769" t="inlineStr">
        <is>
          <t>Marcelo</t>
        </is>
      </c>
      <c r="F2769" t="inlineStr">
        <is>
          <t>Transformação PV 04</t>
        </is>
      </c>
      <c r="G2769" t="inlineStr">
        <is>
          <t>04</t>
        </is>
      </c>
      <c r="H2769" t="inlineStr"/>
      <c r="I2769" t="inlineStr">
        <is>
          <t>04</t>
        </is>
      </c>
      <c r="J2769" t="inlineStr">
        <is>
          <t>Transformação</t>
        </is>
      </c>
      <c r="K2769" t="inlineStr">
        <is>
          <t>Planejamento</t>
        </is>
      </c>
      <c r="L2769" t="inlineStr">
        <is>
          <t>pds_colado_2026-06-03_a_2026-06-08.txt</t>
        </is>
      </c>
      <c r="M2769">
        <f>IF($A2769="","",TEXT($A2769,"mmmm/yyyy"))</f>
        <v/>
      </c>
      <c r="P2769">
        <f>IFERROR(XLOOKUP($N2769,Base_Enderecos!$A:$A,Base_Enderecos!$B:$B,""),"")</f>
        <v/>
      </c>
      <c r="Q2769">
        <f>IFERROR(XLOOKUP($N2769,Base_Enderecos!$A:$A,Base_Enderecos!$C:$C,""),"")</f>
        <v/>
      </c>
      <c r="R2769">
        <f>IF(ISNUMBER(SEARCH("HDD",$F2769)),"HDD",IF(ISNUMBER(SEARCH("VCA",$F2769)),"VCA","MND"))</f>
        <v/>
      </c>
      <c r="T2769">
        <f>TEXT($A2769,"yyyy-mm")&amp;"|"&amp;$C2769&amp;"|"&amp;$I2769</f>
        <v/>
      </c>
    </row>
    <row r="2770">
      <c r="A2770" s="36" t="n">
        <v>46177</v>
      </c>
      <c r="B2770" t="inlineStr">
        <is>
          <t>Quinta</t>
        </is>
      </c>
      <c r="C2770" t="inlineStr">
        <is>
          <t>CTS Lourdes Complementar</t>
        </is>
      </c>
      <c r="D2770" t="inlineStr">
        <is>
          <t>Robson</t>
        </is>
      </c>
      <c r="E2770" t="inlineStr">
        <is>
          <t>Marcelo</t>
        </is>
      </c>
      <c r="F2770" t="inlineStr">
        <is>
          <t>Botelho Mourão</t>
        </is>
      </c>
      <c r="G2770" t="inlineStr"/>
      <c r="H2770" t="inlineStr"/>
      <c r="I2770" t="inlineStr"/>
      <c r="J2770" t="inlineStr">
        <is>
          <t>Atividade</t>
        </is>
      </c>
      <c r="K2770" t="inlineStr">
        <is>
          <t>Planejamento</t>
        </is>
      </c>
      <c r="L2770" t="inlineStr">
        <is>
          <t>pds_colado_2026-06-03_a_2026-06-08.txt</t>
        </is>
      </c>
      <c r="M2770">
        <f>IF($A2770="","",TEXT($A2770,"mmmm/yyyy"))</f>
        <v/>
      </c>
      <c r="P2770">
        <f>IFERROR(XLOOKUP($N2770,Base_Enderecos!$A:$A,Base_Enderecos!$B:$B,""),"")</f>
        <v/>
      </c>
      <c r="Q2770">
        <f>IFERROR(XLOOKUP($N2770,Base_Enderecos!$A:$A,Base_Enderecos!$C:$C,""),"")</f>
        <v/>
      </c>
      <c r="R2770">
        <f>IF(ISNUMBER(SEARCH("HDD",$F2770)),"HDD",IF(ISNUMBER(SEARCH("VCA",$F2770)),"VCA","MND"))</f>
        <v/>
      </c>
      <c r="T2770">
        <f>TEXT($A2770,"yyyy-mm")&amp;"|"&amp;$C2770&amp;"|"&amp;$I2770</f>
        <v/>
      </c>
    </row>
    <row r="2771">
      <c r="A2771" s="36" t="n">
        <v>46177</v>
      </c>
      <c r="B2771" t="inlineStr">
        <is>
          <t>Quinta</t>
        </is>
      </c>
      <c r="C2771" t="inlineStr">
        <is>
          <t>CTS Lourdes Complementar</t>
        </is>
      </c>
      <c r="D2771" t="inlineStr">
        <is>
          <t>Robson</t>
        </is>
      </c>
      <c r="E2771" t="inlineStr">
        <is>
          <t>Márcio</t>
        </is>
      </c>
      <c r="F2771" t="inlineStr">
        <is>
          <t>Nivelamento BGS PV 05</t>
        </is>
      </c>
      <c r="G2771" t="inlineStr">
        <is>
          <t>05</t>
        </is>
      </c>
      <c r="H2771" t="inlineStr"/>
      <c r="I2771" t="inlineStr">
        <is>
          <t>05</t>
        </is>
      </c>
      <c r="J2771" t="inlineStr">
        <is>
          <t>Atividade</t>
        </is>
      </c>
      <c r="K2771" t="inlineStr">
        <is>
          <t>Planejamento</t>
        </is>
      </c>
      <c r="L2771" t="inlineStr">
        <is>
          <t>pds_colado_2026-06-03_a_2026-06-08.txt</t>
        </is>
      </c>
      <c r="M2771">
        <f>IF($A2771="","",TEXT($A2771,"mmmm/yyyy"))</f>
        <v/>
      </c>
      <c r="P2771">
        <f>IFERROR(XLOOKUP($N2771,Base_Enderecos!$A:$A,Base_Enderecos!$B:$B,""),"")</f>
        <v/>
      </c>
      <c r="Q2771">
        <f>IFERROR(XLOOKUP($N2771,Base_Enderecos!$A:$A,Base_Enderecos!$C:$C,""),"")</f>
        <v/>
      </c>
      <c r="R2771">
        <f>IF(ISNUMBER(SEARCH("HDD",$F2771)),"HDD",IF(ISNUMBER(SEARCH("VCA",$F2771)),"VCA","MND"))</f>
        <v/>
      </c>
      <c r="T2771">
        <f>TEXT($A2771,"yyyy-mm")&amp;"|"&amp;$C2771&amp;"|"&amp;$I2771</f>
        <v/>
      </c>
    </row>
    <row r="2772">
      <c r="A2772" s="36" t="n">
        <v>46177</v>
      </c>
      <c r="B2772" t="inlineStr">
        <is>
          <t>Quinta</t>
        </is>
      </c>
      <c r="C2772" t="inlineStr">
        <is>
          <t>CTS Lourdes Complementar</t>
        </is>
      </c>
      <c r="D2772" t="inlineStr">
        <is>
          <t>Robson</t>
        </is>
      </c>
      <c r="E2772" t="inlineStr">
        <is>
          <t>Márcio</t>
        </is>
      </c>
      <c r="F2772" t="inlineStr">
        <is>
          <t>SOUTO MAIOR/BENFICA - GABRIEL</t>
        </is>
      </c>
      <c r="G2772" t="inlineStr"/>
      <c r="H2772" t="inlineStr"/>
      <c r="I2772" t="inlineStr"/>
      <c r="J2772" t="inlineStr">
        <is>
          <t>Atividade</t>
        </is>
      </c>
      <c r="K2772" t="inlineStr">
        <is>
          <t>Planejamento</t>
        </is>
      </c>
      <c r="L2772" t="inlineStr">
        <is>
          <t>pds_colado_2026-06-03_a_2026-06-08.txt</t>
        </is>
      </c>
      <c r="M2772">
        <f>IF($A2772="","",TEXT($A2772,"mmmm/yyyy"))</f>
        <v/>
      </c>
      <c r="P2772">
        <f>IFERROR(XLOOKUP($N2772,Base_Enderecos!$A:$A,Base_Enderecos!$B:$B,""),"")</f>
        <v/>
      </c>
      <c r="Q2772">
        <f>IFERROR(XLOOKUP($N2772,Base_Enderecos!$A:$A,Base_Enderecos!$C:$C,""),"")</f>
        <v/>
      </c>
      <c r="R2772">
        <f>IF(ISNUMBER(SEARCH("HDD",$F2772)),"HDD",IF(ISNUMBER(SEARCH("VCA",$F2772)),"VCA","MND"))</f>
        <v/>
      </c>
      <c r="T2772">
        <f>TEXT($A2772,"yyyy-mm")&amp;"|"&amp;$C2772&amp;"|"&amp;$I2772</f>
        <v/>
      </c>
    </row>
    <row r="2773">
      <c r="A2773" s="36" t="n">
        <v>46177</v>
      </c>
      <c r="B2773" t="inlineStr">
        <is>
          <t>Quinta</t>
        </is>
      </c>
      <c r="C2773" t="inlineStr">
        <is>
          <t>CTS Lourdes Complementar</t>
        </is>
      </c>
      <c r="D2773" t="inlineStr">
        <is>
          <t>Robson</t>
        </is>
      </c>
      <c r="E2773" t="inlineStr">
        <is>
          <t>Cidão</t>
        </is>
      </c>
      <c r="F2773" t="inlineStr">
        <is>
          <t>Reparos Gerais</t>
        </is>
      </c>
      <c r="G2773" t="inlineStr"/>
      <c r="H2773" t="inlineStr"/>
      <c r="I2773" t="inlineStr"/>
      <c r="J2773" t="inlineStr">
        <is>
          <t>Atividade</t>
        </is>
      </c>
      <c r="K2773" t="inlineStr">
        <is>
          <t>Planejamento</t>
        </is>
      </c>
      <c r="L2773" t="inlineStr">
        <is>
          <t>pds_colado_2026-06-03_a_2026-06-08.txt</t>
        </is>
      </c>
      <c r="M2773">
        <f>IF($A2773="","",TEXT($A2773,"mmmm/yyyy"))</f>
        <v/>
      </c>
      <c r="P2773">
        <f>IFERROR(XLOOKUP($N2773,Base_Enderecos!$A:$A,Base_Enderecos!$B:$B,""),"")</f>
        <v/>
      </c>
      <c r="Q2773">
        <f>IFERROR(XLOOKUP($N2773,Base_Enderecos!$A:$A,Base_Enderecos!$C:$C,""),"")</f>
        <v/>
      </c>
      <c r="R2773">
        <f>IF(ISNUMBER(SEARCH("HDD",$F2773)),"HDD",IF(ISNUMBER(SEARCH("VCA",$F2773)),"VCA","MND"))</f>
        <v/>
      </c>
      <c r="T2773">
        <f>TEXT($A2773,"yyyy-mm")&amp;"|"&amp;$C2773&amp;"|"&amp;$I2773</f>
        <v/>
      </c>
    </row>
    <row r="2774">
      <c r="A2774" s="36" t="n">
        <v>46177</v>
      </c>
      <c r="B2774" t="inlineStr">
        <is>
          <t>Quinta</t>
        </is>
      </c>
      <c r="C2774" t="inlineStr">
        <is>
          <t>João Canzi – Henko (márcio)</t>
        </is>
      </c>
      <c r="D2774" t="inlineStr"/>
      <c r="E2774" t="inlineStr">
        <is>
          <t>Vacal</t>
        </is>
      </c>
      <c r="F2774" t="inlineStr">
        <is>
          <t>João Canzi – Henko (Márcio)</t>
        </is>
      </c>
      <c r="G2774" t="inlineStr"/>
      <c r="H2774" t="inlineStr"/>
      <c r="I2774" t="inlineStr"/>
      <c r="J2774" t="inlineStr">
        <is>
          <t>Atividade</t>
        </is>
      </c>
      <c r="K2774" t="inlineStr">
        <is>
          <t>Apoio</t>
        </is>
      </c>
      <c r="L2774" t="inlineStr">
        <is>
          <t>pds_colado_2026-06-03_a_2026-06-08.txt</t>
        </is>
      </c>
      <c r="M2774">
        <f>IF($A2774="","",TEXT($A2774,"mmmm/yyyy"))</f>
        <v/>
      </c>
      <c r="P2774">
        <f>IFERROR(XLOOKUP($N2774,Base_Enderecos!$A:$A,Base_Enderecos!$B:$B,""),"")</f>
        <v/>
      </c>
      <c r="Q2774">
        <f>IFERROR(XLOOKUP($N2774,Base_Enderecos!$A:$A,Base_Enderecos!$C:$C,""),"")</f>
        <v/>
      </c>
      <c r="R2774">
        <f>IF(ISNUMBER(SEARCH("HDD",$F2774)),"HDD",IF(ISNUMBER(SEARCH("VCA",$F2774)),"VCA","MND"))</f>
        <v/>
      </c>
      <c r="T2774">
        <f>TEXT($A2774,"yyyy-mm")&amp;"|"&amp;$C2774&amp;"|"&amp;$I2774</f>
        <v/>
      </c>
    </row>
    <row r="2775">
      <c r="A2775" s="36" t="n">
        <v>46177</v>
      </c>
      <c r="B2775" t="inlineStr">
        <is>
          <t>Quinta</t>
        </is>
      </c>
      <c r="C2775" t="inlineStr">
        <is>
          <t>Iti 15 – Henko (wellington)</t>
        </is>
      </c>
      <c r="D2775" t="inlineStr"/>
      <c r="E2775" t="inlineStr">
        <is>
          <t>Vacal</t>
        </is>
      </c>
      <c r="F2775" t="inlineStr">
        <is>
          <t>ITI 15 – Henko (Wellington)</t>
        </is>
      </c>
      <c r="G2775" t="inlineStr"/>
      <c r="H2775" t="inlineStr"/>
      <c r="I2775" t="inlineStr"/>
      <c r="J2775" t="inlineStr">
        <is>
          <t>Atividade</t>
        </is>
      </c>
      <c r="K2775" t="inlineStr">
        <is>
          <t>Apoio</t>
        </is>
      </c>
      <c r="L2775" t="inlineStr">
        <is>
          <t>pds_colado_2026-06-03_a_2026-06-08.txt</t>
        </is>
      </c>
      <c r="M2775">
        <f>IF($A2775="","",TEXT($A2775,"mmmm/yyyy"))</f>
        <v/>
      </c>
      <c r="P2775">
        <f>IFERROR(XLOOKUP($N2775,Base_Enderecos!$A:$A,Base_Enderecos!$B:$B,""),"")</f>
        <v/>
      </c>
      <c r="Q2775">
        <f>IFERROR(XLOOKUP($N2775,Base_Enderecos!$A:$A,Base_Enderecos!$C:$C,""),"")</f>
        <v/>
      </c>
      <c r="R2775">
        <f>IF(ISNUMBER(SEARCH("HDD",$F2775)),"HDD",IF(ISNUMBER(SEARCH("VCA",$F2775)),"VCA","MND"))</f>
        <v/>
      </c>
      <c r="T2775">
        <f>TEXT($A2775,"yyyy-mm")&amp;"|"&amp;$C2775&amp;"|"&amp;$I2775</f>
        <v/>
      </c>
    </row>
    <row r="2776">
      <c r="A2776" s="36" t="n">
        <v>46177</v>
      </c>
      <c r="B2776" t="inlineStr">
        <is>
          <t>Quinta</t>
        </is>
      </c>
      <c r="C2776" t="inlineStr">
        <is>
          <t>CTS Lourdes Complementar</t>
        </is>
      </c>
      <c r="D2776" t="inlineStr">
        <is>
          <t>Robson</t>
        </is>
      </c>
      <c r="E2776" t="inlineStr">
        <is>
          <t>Cidão</t>
        </is>
      </c>
      <c r="F2776" t="inlineStr">
        <is>
          <t>Henko (Osmar) - Raspagem</t>
        </is>
      </c>
      <c r="G2776" t="inlineStr"/>
      <c r="H2776" t="inlineStr"/>
      <c r="I2776" t="inlineStr"/>
      <c r="J2776" t="inlineStr">
        <is>
          <t>Atividade</t>
        </is>
      </c>
      <c r="K2776" t="inlineStr">
        <is>
          <t>Planejamento</t>
        </is>
      </c>
      <c r="L2776" t="inlineStr">
        <is>
          <t>pds_colado_2026-06-03_a_2026-06-08.txt</t>
        </is>
      </c>
      <c r="M2776">
        <f>IF($A2776="","",TEXT($A2776,"mmmm/yyyy"))</f>
        <v/>
      </c>
      <c r="P2776">
        <f>IFERROR(XLOOKUP($N2776,Base_Enderecos!$A:$A,Base_Enderecos!$B:$B,""),"")</f>
        <v/>
      </c>
      <c r="Q2776">
        <f>IFERROR(XLOOKUP($N2776,Base_Enderecos!$A:$A,Base_Enderecos!$C:$C,""),"")</f>
        <v/>
      </c>
      <c r="R2776">
        <f>IF(ISNUMBER(SEARCH("HDD",$F2776)),"HDD",IF(ISNUMBER(SEARCH("VCA",$F2776)),"VCA","MND"))</f>
        <v/>
      </c>
      <c r="T2776">
        <f>TEXT($A2776,"yyyy-mm")&amp;"|"&amp;$C2776&amp;"|"&amp;$I2776</f>
        <v/>
      </c>
    </row>
    <row r="2777">
      <c r="A2777" s="36" t="n">
        <v>46177</v>
      </c>
      <c r="B2777" t="inlineStr">
        <is>
          <t>Quinta</t>
        </is>
      </c>
      <c r="C2777" t="inlineStr">
        <is>
          <t>Guindauto</t>
        </is>
      </c>
      <c r="D2777" t="inlineStr"/>
      <c r="E2777" t="inlineStr">
        <is>
          <t>Guindauto</t>
        </is>
      </c>
      <c r="F2777" t="inlineStr">
        <is>
          <t>Marcio - Apoio as equipes</t>
        </is>
      </c>
      <c r="G2777" t="inlineStr"/>
      <c r="H2777" t="inlineStr"/>
      <c r="I2777" t="inlineStr"/>
      <c r="J2777" t="inlineStr">
        <is>
          <t>Atividade</t>
        </is>
      </c>
      <c r="K2777" t="inlineStr">
        <is>
          <t>Apoio</t>
        </is>
      </c>
      <c r="L2777" t="inlineStr">
        <is>
          <t>pds_colado_2026-06-03_a_2026-06-08.txt</t>
        </is>
      </c>
      <c r="M2777">
        <f>IF($A2777="","",TEXT($A2777,"mmmm/yyyy"))</f>
        <v/>
      </c>
      <c r="P2777">
        <f>IFERROR(XLOOKUP($N2777,Base_Enderecos!$A:$A,Base_Enderecos!$B:$B,""),"")</f>
        <v/>
      </c>
      <c r="Q2777">
        <f>IFERROR(XLOOKUP($N2777,Base_Enderecos!$A:$A,Base_Enderecos!$C:$C,""),"")</f>
        <v/>
      </c>
      <c r="R2777">
        <f>IF(ISNUMBER(SEARCH("HDD",$F2777)),"HDD",IF(ISNUMBER(SEARCH("VCA",$F2777)),"VCA","MND"))</f>
        <v/>
      </c>
      <c r="T2777">
        <f>TEXT($A2777,"yyyy-mm")&amp;"|"&amp;$C2777&amp;"|"&amp;$I2777</f>
        <v/>
      </c>
    </row>
    <row r="2778">
      <c r="A2778" s="36" t="n">
        <v>46177</v>
      </c>
      <c r="B2778" t="inlineStr">
        <is>
          <t>Quinta</t>
        </is>
      </c>
      <c r="C2778" t="inlineStr">
        <is>
          <t>Guindauto</t>
        </is>
      </c>
      <c r="D2778" t="inlineStr"/>
      <c r="E2778" t="inlineStr">
        <is>
          <t>Guindauto</t>
        </is>
      </c>
      <c r="F2778" t="inlineStr">
        <is>
          <t>Luiz - Apoio as equipes</t>
        </is>
      </c>
      <c r="G2778" t="inlineStr"/>
      <c r="H2778" t="inlineStr"/>
      <c r="I2778" t="inlineStr"/>
      <c r="J2778" t="inlineStr">
        <is>
          <t>Atividade</t>
        </is>
      </c>
      <c r="K2778" t="inlineStr">
        <is>
          <t>Apoio</t>
        </is>
      </c>
      <c r="L2778" t="inlineStr">
        <is>
          <t>pds_colado_2026-06-03_a_2026-06-08.txt</t>
        </is>
      </c>
      <c r="M2778">
        <f>IF($A2778="","",TEXT($A2778,"mmmm/yyyy"))</f>
        <v/>
      </c>
      <c r="P2778">
        <f>IFERROR(XLOOKUP($N2778,Base_Enderecos!$A:$A,Base_Enderecos!$B:$B,""),"")</f>
        <v/>
      </c>
      <c r="Q2778">
        <f>IFERROR(XLOOKUP($N2778,Base_Enderecos!$A:$A,Base_Enderecos!$C:$C,""),"")</f>
        <v/>
      </c>
      <c r="R2778">
        <f>IF(ISNUMBER(SEARCH("HDD",$F2778)),"HDD",IF(ISNUMBER(SEARCH("VCA",$F2778)),"VCA","MND"))</f>
        <v/>
      </c>
      <c r="T2778">
        <f>TEXT($A2778,"yyyy-mm")&amp;"|"&amp;$C2778&amp;"|"&amp;$I2778</f>
        <v/>
      </c>
    </row>
    <row r="2779">
      <c r="A2779" s="36" t="n">
        <v>46178</v>
      </c>
      <c r="B2779" t="inlineStr">
        <is>
          <t>Sexta</t>
        </is>
      </c>
      <c r="C2779" t="inlineStr">
        <is>
          <t>CT João Canzi</t>
        </is>
      </c>
      <c r="D2779" t="inlineStr">
        <is>
          <t>Valmir</t>
        </is>
      </c>
      <c r="E2779" t="inlineStr">
        <is>
          <t>Goiânia Drill</t>
        </is>
      </c>
      <c r="F2779" t="inlineStr">
        <is>
          <t>Puxe do PV-17 ao PV-18</t>
        </is>
      </c>
      <c r="G2779" t="inlineStr">
        <is>
          <t>17</t>
        </is>
      </c>
      <c r="H2779" t="inlineStr">
        <is>
          <t>18</t>
        </is>
      </c>
      <c r="I2779" t="inlineStr">
        <is>
          <t>17 ao 18</t>
        </is>
      </c>
      <c r="J2779" t="inlineStr">
        <is>
          <t>HDD</t>
        </is>
      </c>
      <c r="K2779" t="inlineStr">
        <is>
          <t>Planejamento</t>
        </is>
      </c>
      <c r="L2779" t="inlineStr">
        <is>
          <t>pds_colado_2026-06-03_a_2026-06-08.txt</t>
        </is>
      </c>
      <c r="M2779">
        <f>IF($A2779="","",TEXT($A2779,"mmmm/yyyy"))</f>
        <v/>
      </c>
      <c r="P2779">
        <f>IFERROR(XLOOKUP($N2779,Base_Enderecos!$A:$A,Base_Enderecos!$B:$B,""),"")</f>
        <v/>
      </c>
      <c r="Q2779">
        <f>IFERROR(XLOOKUP($N2779,Base_Enderecos!$A:$A,Base_Enderecos!$C:$C,""),"")</f>
        <v/>
      </c>
      <c r="R2779">
        <f>IF(ISNUMBER(SEARCH("HDD",$F2779)),"HDD",IF(ISNUMBER(SEARCH("VCA",$F2779)),"VCA","MND"))</f>
        <v/>
      </c>
      <c r="T2779">
        <f>TEXT($A2779,"yyyy-mm")&amp;"|"&amp;$C2779&amp;"|"&amp;$I2779</f>
        <v/>
      </c>
    </row>
    <row r="2780">
      <c r="A2780" s="36" t="n">
        <v>46178</v>
      </c>
      <c r="B2780" t="inlineStr">
        <is>
          <t>Sexta</t>
        </is>
      </c>
      <c r="C2780" t="inlineStr">
        <is>
          <t>CT João Canzi</t>
        </is>
      </c>
      <c r="D2780" t="inlineStr">
        <is>
          <t>Valmir</t>
        </is>
      </c>
      <c r="E2780" t="inlineStr">
        <is>
          <t>Bruno</t>
        </is>
      </c>
      <c r="F2780" t="inlineStr">
        <is>
          <t>Apoio ao HDD</t>
        </is>
      </c>
      <c r="G2780" t="inlineStr"/>
      <c r="H2780" t="inlineStr"/>
      <c r="I2780" t="inlineStr"/>
      <c r="J2780" t="inlineStr">
        <is>
          <t>HDD</t>
        </is>
      </c>
      <c r="K2780" t="inlineStr">
        <is>
          <t>Planejamento</t>
        </is>
      </c>
      <c r="L2780" t="inlineStr">
        <is>
          <t>pds_colado_2026-06-03_a_2026-06-08.txt</t>
        </is>
      </c>
      <c r="M2780">
        <f>IF($A2780="","",TEXT($A2780,"mmmm/yyyy"))</f>
        <v/>
      </c>
      <c r="P2780">
        <f>IFERROR(XLOOKUP($N2780,Base_Enderecos!$A:$A,Base_Enderecos!$B:$B,""),"")</f>
        <v/>
      </c>
      <c r="Q2780">
        <f>IFERROR(XLOOKUP($N2780,Base_Enderecos!$A:$A,Base_Enderecos!$C:$C,""),"")</f>
        <v/>
      </c>
      <c r="R2780">
        <f>IF(ISNUMBER(SEARCH("HDD",$F2780)),"HDD",IF(ISNUMBER(SEARCH("VCA",$F2780)),"VCA","MND"))</f>
        <v/>
      </c>
      <c r="T2780">
        <f>TEXT($A2780,"yyyy-mm")&amp;"|"&amp;$C2780&amp;"|"&amp;$I2780</f>
        <v/>
      </c>
    </row>
    <row r="2781">
      <c r="A2781" s="36" t="n">
        <v>46178</v>
      </c>
      <c r="B2781" t="inlineStr">
        <is>
          <t>Sexta</t>
        </is>
      </c>
      <c r="C2781" t="inlineStr">
        <is>
          <t>CT João Canzi</t>
        </is>
      </c>
      <c r="D2781" t="inlineStr">
        <is>
          <t>Valmir</t>
        </is>
      </c>
      <c r="E2781" t="inlineStr">
        <is>
          <t>Medeiros</t>
        </is>
      </c>
      <c r="F2781" t="inlineStr">
        <is>
          <t>Shaft PV 10.1</t>
        </is>
      </c>
      <c r="G2781" t="inlineStr">
        <is>
          <t>10.1</t>
        </is>
      </c>
      <c r="H2781" t="inlineStr"/>
      <c r="I2781" t="inlineStr">
        <is>
          <t>10.1</t>
        </is>
      </c>
      <c r="J2781" t="inlineStr">
        <is>
          <t>Shaft</t>
        </is>
      </c>
      <c r="K2781" t="inlineStr">
        <is>
          <t>Planejamento</t>
        </is>
      </c>
      <c r="L2781" t="inlineStr">
        <is>
          <t>pds_colado_2026-06-03_a_2026-06-08.txt</t>
        </is>
      </c>
      <c r="M2781">
        <f>IF($A2781="","",TEXT($A2781,"mmmm/yyyy"))</f>
        <v/>
      </c>
      <c r="P2781">
        <f>IFERROR(XLOOKUP($N2781,Base_Enderecos!$A:$A,Base_Enderecos!$B:$B,""),"")</f>
        <v/>
      </c>
      <c r="Q2781">
        <f>IFERROR(XLOOKUP($N2781,Base_Enderecos!$A:$A,Base_Enderecos!$C:$C,""),"")</f>
        <v/>
      </c>
      <c r="R2781">
        <f>IF(ISNUMBER(SEARCH("HDD",$F2781)),"HDD",IF(ISNUMBER(SEARCH("VCA",$F2781)),"VCA","MND"))</f>
        <v/>
      </c>
      <c r="T2781">
        <f>TEXT($A2781,"yyyy-mm")&amp;"|"&amp;$C2781&amp;"|"&amp;$I2781</f>
        <v/>
      </c>
    </row>
    <row r="2782">
      <c r="A2782" s="36" t="n">
        <v>46178</v>
      </c>
      <c r="B2782" t="inlineStr">
        <is>
          <t>Sexta</t>
        </is>
      </c>
      <c r="C2782" t="inlineStr">
        <is>
          <t>CT João Canzi</t>
        </is>
      </c>
      <c r="D2782" t="inlineStr">
        <is>
          <t>Valmir</t>
        </is>
      </c>
      <c r="E2782" t="inlineStr">
        <is>
          <t>Cesar</t>
        </is>
      </c>
      <c r="F2782" t="inlineStr">
        <is>
          <t>Transformação PV 16</t>
        </is>
      </c>
      <c r="G2782" t="inlineStr">
        <is>
          <t>16</t>
        </is>
      </c>
      <c r="H2782" t="inlineStr"/>
      <c r="I2782" t="inlineStr">
        <is>
          <t>16</t>
        </is>
      </c>
      <c r="J2782" t="inlineStr">
        <is>
          <t>Transformação</t>
        </is>
      </c>
      <c r="K2782" t="inlineStr">
        <is>
          <t>Planejamento</t>
        </is>
      </c>
      <c r="L2782" t="inlineStr">
        <is>
          <t>pds_colado_2026-06-03_a_2026-06-08.txt</t>
        </is>
      </c>
      <c r="M2782">
        <f>IF($A2782="","",TEXT($A2782,"mmmm/yyyy"))</f>
        <v/>
      </c>
      <c r="P2782">
        <f>IFERROR(XLOOKUP($N2782,Base_Enderecos!$A:$A,Base_Enderecos!$B:$B,""),"")</f>
        <v/>
      </c>
      <c r="Q2782">
        <f>IFERROR(XLOOKUP($N2782,Base_Enderecos!$A:$A,Base_Enderecos!$C:$C,""),"")</f>
        <v/>
      </c>
      <c r="R2782">
        <f>IF(ISNUMBER(SEARCH("HDD",$F2782)),"HDD",IF(ISNUMBER(SEARCH("VCA",$F2782)),"VCA","MND"))</f>
        <v/>
      </c>
      <c r="T2782">
        <f>TEXT($A2782,"yyyy-mm")&amp;"|"&amp;$C2782&amp;"|"&amp;$I2782</f>
        <v/>
      </c>
    </row>
    <row r="2783">
      <c r="A2783" s="36" t="n">
        <v>46178</v>
      </c>
      <c r="B2783" t="inlineStr">
        <is>
          <t>Sexta</t>
        </is>
      </c>
      <c r="C2783" t="inlineStr">
        <is>
          <t>RCE Elvira</t>
        </is>
      </c>
      <c r="D2783" t="inlineStr">
        <is>
          <t>Silvestre</t>
        </is>
      </c>
      <c r="E2783" t="inlineStr">
        <is>
          <t>Valter</t>
        </is>
      </c>
      <c r="F2783" t="inlineStr">
        <is>
          <t>VCA, PVs e Ligações</t>
        </is>
      </c>
      <c r="G2783" t="inlineStr"/>
      <c r="H2783" t="inlineStr"/>
      <c r="I2783" t="inlineStr"/>
      <c r="J2783" t="inlineStr">
        <is>
          <t>VCA</t>
        </is>
      </c>
      <c r="K2783" t="inlineStr">
        <is>
          <t>Planejamento</t>
        </is>
      </c>
      <c r="L2783" t="inlineStr">
        <is>
          <t>pds_colado_2026-06-03_a_2026-06-08.txt</t>
        </is>
      </c>
      <c r="M2783">
        <f>IF($A2783="","",TEXT($A2783,"mmmm/yyyy"))</f>
        <v/>
      </c>
      <c r="P2783">
        <f>IFERROR(XLOOKUP($N2783,Base_Enderecos!$A:$A,Base_Enderecos!$B:$B,""),"")</f>
        <v/>
      </c>
      <c r="Q2783">
        <f>IFERROR(XLOOKUP($N2783,Base_Enderecos!$A:$A,Base_Enderecos!$C:$C,""),"")</f>
        <v/>
      </c>
      <c r="R2783">
        <f>IF(ISNUMBER(SEARCH("HDD",$F2783)),"HDD",IF(ISNUMBER(SEARCH("VCA",$F2783)),"VCA","MND"))</f>
        <v/>
      </c>
      <c r="T2783">
        <f>TEXT($A2783,"yyyy-mm")&amp;"|"&amp;$C2783&amp;"|"&amp;$I2783</f>
        <v/>
      </c>
    </row>
    <row r="2784">
      <c r="A2784" s="36" t="n">
        <v>46178</v>
      </c>
      <c r="B2784" t="inlineStr">
        <is>
          <t>Sexta</t>
        </is>
      </c>
      <c r="C2784" t="inlineStr">
        <is>
          <t>RCE Conj. União</t>
        </is>
      </c>
      <c r="D2784" t="inlineStr">
        <is>
          <t>Silvestre</t>
        </is>
      </c>
      <c r="E2784" t="inlineStr">
        <is>
          <t>Jonathan</t>
        </is>
      </c>
      <c r="F2784" t="inlineStr">
        <is>
          <t>Transformação PV 40.1</t>
        </is>
      </c>
      <c r="G2784" t="inlineStr">
        <is>
          <t>40.1</t>
        </is>
      </c>
      <c r="H2784" t="inlineStr"/>
      <c r="I2784" t="inlineStr">
        <is>
          <t>40.1</t>
        </is>
      </c>
      <c r="J2784" t="inlineStr">
        <is>
          <t>Transformação</t>
        </is>
      </c>
      <c r="K2784" t="inlineStr">
        <is>
          <t>Planejamento</t>
        </is>
      </c>
      <c r="L2784" t="inlineStr">
        <is>
          <t>pds_colado_2026-06-03_a_2026-06-08.txt</t>
        </is>
      </c>
      <c r="M2784">
        <f>IF($A2784="","",TEXT($A2784,"mmmm/yyyy"))</f>
        <v/>
      </c>
      <c r="P2784">
        <f>IFERROR(XLOOKUP($N2784,Base_Enderecos!$A:$A,Base_Enderecos!$B:$B,""),"")</f>
        <v/>
      </c>
      <c r="Q2784">
        <f>IFERROR(XLOOKUP($N2784,Base_Enderecos!$A:$A,Base_Enderecos!$C:$C,""),"")</f>
        <v/>
      </c>
      <c r="R2784">
        <f>IF(ISNUMBER(SEARCH("HDD",$F2784)),"HDD",IF(ISNUMBER(SEARCH("VCA",$F2784)),"VCA","MND"))</f>
        <v/>
      </c>
      <c r="T2784">
        <f>TEXT($A2784,"yyyy-mm")&amp;"|"&amp;$C2784&amp;"|"&amp;$I2784</f>
        <v/>
      </c>
    </row>
    <row r="2785">
      <c r="A2785" s="36" t="n">
        <v>46178</v>
      </c>
      <c r="B2785" t="inlineStr">
        <is>
          <t>Sexta</t>
        </is>
      </c>
      <c r="C2785" t="inlineStr">
        <is>
          <t>RCE Elias Sleiman / CT João Canzi</t>
        </is>
      </c>
      <c r="D2785" t="inlineStr">
        <is>
          <t>Silvestre</t>
        </is>
      </c>
      <c r="E2785" t="inlineStr">
        <is>
          <t>Edvando</t>
        </is>
      </c>
      <c r="F2785" t="inlineStr">
        <is>
          <t>VCA + interl PV 17 ao PV 22</t>
        </is>
      </c>
      <c r="G2785" t="inlineStr">
        <is>
          <t>17</t>
        </is>
      </c>
      <c r="H2785" t="inlineStr">
        <is>
          <t>22</t>
        </is>
      </c>
      <c r="I2785" t="inlineStr">
        <is>
          <t>17 ao 22</t>
        </is>
      </c>
      <c r="J2785" t="inlineStr">
        <is>
          <t>VCA</t>
        </is>
      </c>
      <c r="K2785" t="inlineStr">
        <is>
          <t>Planejamento</t>
        </is>
      </c>
      <c r="L2785" t="inlineStr">
        <is>
          <t>pds_colado_2026-06-03_a_2026-06-08.txt</t>
        </is>
      </c>
      <c r="M2785">
        <f>IF($A2785="","",TEXT($A2785,"mmmm/yyyy"))</f>
        <v/>
      </c>
      <c r="P2785">
        <f>IFERROR(XLOOKUP($N2785,Base_Enderecos!$A:$A,Base_Enderecos!$B:$B,""),"")</f>
        <v/>
      </c>
      <c r="Q2785">
        <f>IFERROR(XLOOKUP($N2785,Base_Enderecos!$A:$A,Base_Enderecos!$C:$C,""),"")</f>
        <v/>
      </c>
      <c r="R2785">
        <f>IF(ISNUMBER(SEARCH("HDD",$F2785)),"HDD",IF(ISNUMBER(SEARCH("VCA",$F2785)),"VCA","MND"))</f>
        <v/>
      </c>
      <c r="T2785">
        <f>TEXT($A2785,"yyyy-mm")&amp;"|"&amp;$C2785&amp;"|"&amp;$I2785</f>
        <v/>
      </c>
    </row>
    <row r="2786">
      <c r="A2786" s="36" t="n">
        <v>46178</v>
      </c>
      <c r="B2786" t="inlineStr">
        <is>
          <t>Sexta</t>
        </is>
      </c>
      <c r="C2786" t="inlineStr">
        <is>
          <t>RCE São Lucas</t>
        </is>
      </c>
      <c r="D2786" t="inlineStr">
        <is>
          <t>Fábio</t>
        </is>
      </c>
      <c r="E2786" t="inlineStr">
        <is>
          <t>Ricardo</t>
        </is>
      </c>
      <c r="F2786" t="inlineStr">
        <is>
          <t>VCA, PVs e Ligações; (PI 08 ao PI 09)</t>
        </is>
      </c>
      <c r="G2786" t="inlineStr">
        <is>
          <t>08</t>
        </is>
      </c>
      <c r="H2786" t="inlineStr">
        <is>
          <t>09</t>
        </is>
      </c>
      <c r="I2786" t="inlineStr">
        <is>
          <t>08 ao 09</t>
        </is>
      </c>
      <c r="J2786" t="inlineStr">
        <is>
          <t>VCA</t>
        </is>
      </c>
      <c r="K2786" t="inlineStr">
        <is>
          <t>Planejamento</t>
        </is>
      </c>
      <c r="L2786" t="inlineStr">
        <is>
          <t>pds_colado_2026-06-03_a_2026-06-08.txt</t>
        </is>
      </c>
      <c r="M2786">
        <f>IF($A2786="","",TEXT($A2786,"mmmm/yyyy"))</f>
        <v/>
      </c>
      <c r="P2786">
        <f>IFERROR(XLOOKUP($N2786,Base_Enderecos!$A:$A,Base_Enderecos!$B:$B,""),"")</f>
        <v/>
      </c>
      <c r="Q2786">
        <f>IFERROR(XLOOKUP($N2786,Base_Enderecos!$A:$A,Base_Enderecos!$C:$C,""),"")</f>
        <v/>
      </c>
      <c r="R2786">
        <f>IF(ISNUMBER(SEARCH("HDD",$F2786)),"HDD",IF(ISNUMBER(SEARCH("VCA",$F2786)),"VCA","MND"))</f>
        <v/>
      </c>
      <c r="T2786">
        <f>TEXT($A2786,"yyyy-mm")&amp;"|"&amp;$C2786&amp;"|"&amp;$I2786</f>
        <v/>
      </c>
    </row>
    <row r="2787">
      <c r="A2787" s="36" t="n">
        <v>46178</v>
      </c>
      <c r="B2787" t="inlineStr">
        <is>
          <t>Sexta</t>
        </is>
      </c>
      <c r="C2787" t="inlineStr">
        <is>
          <t>RCE São Lucas</t>
        </is>
      </c>
      <c r="D2787" t="inlineStr">
        <is>
          <t>Fábio</t>
        </is>
      </c>
      <c r="E2787" t="inlineStr">
        <is>
          <t>Claudinei</t>
        </is>
      </c>
      <c r="F2787" t="inlineStr">
        <is>
          <t>VCA, PVs e Ligações; (PI 37 ao PI 38)</t>
        </is>
      </c>
      <c r="G2787" t="inlineStr">
        <is>
          <t>37</t>
        </is>
      </c>
      <c r="H2787" t="inlineStr">
        <is>
          <t>38</t>
        </is>
      </c>
      <c r="I2787" t="inlineStr">
        <is>
          <t>37 ao 38</t>
        </is>
      </c>
      <c r="J2787" t="inlineStr">
        <is>
          <t>VCA</t>
        </is>
      </c>
      <c r="K2787" t="inlineStr">
        <is>
          <t>Planejamento</t>
        </is>
      </c>
      <c r="L2787" t="inlineStr">
        <is>
          <t>pds_colado_2026-06-03_a_2026-06-08.txt</t>
        </is>
      </c>
      <c r="M2787">
        <f>IF($A2787="","",TEXT($A2787,"mmmm/yyyy"))</f>
        <v/>
      </c>
      <c r="P2787">
        <f>IFERROR(XLOOKUP($N2787,Base_Enderecos!$A:$A,Base_Enderecos!$B:$B,""),"")</f>
        <v/>
      </c>
      <c r="Q2787">
        <f>IFERROR(XLOOKUP($N2787,Base_Enderecos!$A:$A,Base_Enderecos!$C:$C,""),"")</f>
        <v/>
      </c>
      <c r="R2787">
        <f>IF(ISNUMBER(SEARCH("HDD",$F2787)),"HDD",IF(ISNUMBER(SEARCH("VCA",$F2787)),"VCA","MND"))</f>
        <v/>
      </c>
      <c r="T2787">
        <f>TEXT($A2787,"yyyy-mm")&amp;"|"&amp;$C2787&amp;"|"&amp;$I2787</f>
        <v/>
      </c>
    </row>
    <row r="2788">
      <c r="A2788" s="36" t="n">
        <v>46178</v>
      </c>
      <c r="B2788" t="inlineStr">
        <is>
          <t>Sexta</t>
        </is>
      </c>
      <c r="C2788" t="inlineStr">
        <is>
          <t>RCE São Lucas</t>
        </is>
      </c>
      <c r="D2788" t="inlineStr">
        <is>
          <t>Fábio</t>
        </is>
      </c>
      <c r="E2788" t="inlineStr">
        <is>
          <t>Miro</t>
        </is>
      </c>
      <c r="F2788" t="inlineStr">
        <is>
          <t>VCA, PVs e Ligações; (PI 32 ao PI 60)</t>
        </is>
      </c>
      <c r="G2788" t="inlineStr">
        <is>
          <t>32</t>
        </is>
      </c>
      <c r="H2788" t="inlineStr">
        <is>
          <t>60</t>
        </is>
      </c>
      <c r="I2788" t="inlineStr">
        <is>
          <t>32 ao 60</t>
        </is>
      </c>
      <c r="J2788" t="inlineStr">
        <is>
          <t>VCA</t>
        </is>
      </c>
      <c r="K2788" t="inlineStr">
        <is>
          <t>Planejamento</t>
        </is>
      </c>
      <c r="L2788" t="inlineStr">
        <is>
          <t>pds_colado_2026-06-03_a_2026-06-08.txt</t>
        </is>
      </c>
      <c r="M2788">
        <f>IF($A2788="","",TEXT($A2788,"mmmm/yyyy"))</f>
        <v/>
      </c>
      <c r="P2788">
        <f>IFERROR(XLOOKUP($N2788,Base_Enderecos!$A:$A,Base_Enderecos!$B:$B,""),"")</f>
        <v/>
      </c>
      <c r="Q2788">
        <f>IFERROR(XLOOKUP($N2788,Base_Enderecos!$A:$A,Base_Enderecos!$C:$C,""),"")</f>
        <v/>
      </c>
      <c r="R2788">
        <f>IF(ISNUMBER(SEARCH("HDD",$F2788)),"HDD",IF(ISNUMBER(SEARCH("VCA",$F2788)),"VCA","MND"))</f>
        <v/>
      </c>
      <c r="T2788">
        <f>TEXT($A2788,"yyyy-mm")&amp;"|"&amp;$C2788&amp;"|"&amp;$I2788</f>
        <v/>
      </c>
    </row>
    <row r="2789">
      <c r="A2789" s="36" t="n">
        <v>46178</v>
      </c>
      <c r="B2789" t="inlineStr">
        <is>
          <t>Sexta</t>
        </is>
      </c>
      <c r="C2789" t="inlineStr">
        <is>
          <t>RCE São Lucas</t>
        </is>
      </c>
      <c r="D2789" t="inlineStr">
        <is>
          <t>Fábio</t>
        </is>
      </c>
      <c r="E2789" t="inlineStr">
        <is>
          <t>Emanuel</t>
        </is>
      </c>
      <c r="F2789" t="inlineStr">
        <is>
          <t>VCA, PVs e Ligações; (PI 25 ao PI 26)</t>
        </is>
      </c>
      <c r="G2789" t="inlineStr">
        <is>
          <t>25</t>
        </is>
      </c>
      <c r="H2789" t="inlineStr">
        <is>
          <t>26</t>
        </is>
      </c>
      <c r="I2789" t="inlineStr">
        <is>
          <t>25 ao 26</t>
        </is>
      </c>
      <c r="J2789" t="inlineStr">
        <is>
          <t>VCA</t>
        </is>
      </c>
      <c r="K2789" t="inlineStr">
        <is>
          <t>Planejamento</t>
        </is>
      </c>
      <c r="L2789" t="inlineStr">
        <is>
          <t>pds_colado_2026-06-03_a_2026-06-08.txt</t>
        </is>
      </c>
      <c r="M2789">
        <f>IF($A2789="","",TEXT($A2789,"mmmm/yyyy"))</f>
        <v/>
      </c>
      <c r="P2789">
        <f>IFERROR(XLOOKUP($N2789,Base_Enderecos!$A:$A,Base_Enderecos!$B:$B,""),"")</f>
        <v/>
      </c>
      <c r="Q2789">
        <f>IFERROR(XLOOKUP($N2789,Base_Enderecos!$A:$A,Base_Enderecos!$C:$C,""),"")</f>
        <v/>
      </c>
      <c r="R2789">
        <f>IF(ISNUMBER(SEARCH("HDD",$F2789)),"HDD",IF(ISNUMBER(SEARCH("VCA",$F2789)),"VCA","MND"))</f>
        <v/>
      </c>
      <c r="T2789">
        <f>TEXT($A2789,"yyyy-mm")&amp;"|"&amp;$C2789&amp;"|"&amp;$I2789</f>
        <v/>
      </c>
    </row>
    <row r="2790">
      <c r="A2790" s="36" t="n">
        <v>46178</v>
      </c>
      <c r="B2790" t="inlineStr">
        <is>
          <t>Sexta</t>
        </is>
      </c>
      <c r="C2790" t="inlineStr">
        <is>
          <t>RCE São Lucas</t>
        </is>
      </c>
      <c r="D2790" t="inlineStr">
        <is>
          <t>Fábio</t>
        </is>
      </c>
      <c r="E2790" t="inlineStr">
        <is>
          <t>Antonio</t>
        </is>
      </c>
      <c r="F2790" t="inlineStr">
        <is>
          <t>VCA, PVs e Ligações; (Início Ponto 04)*</t>
        </is>
      </c>
      <c r="G2790" t="inlineStr"/>
      <c r="H2790" t="inlineStr"/>
      <c r="I2790" t="inlineStr"/>
      <c r="J2790" t="inlineStr">
        <is>
          <t>VCA</t>
        </is>
      </c>
      <c r="K2790" t="inlineStr">
        <is>
          <t>Planejamento</t>
        </is>
      </c>
      <c r="L2790" t="inlineStr">
        <is>
          <t>pds_colado_2026-06-03_a_2026-06-08.txt</t>
        </is>
      </c>
      <c r="M2790">
        <f>IF($A2790="","",TEXT($A2790,"mmmm/yyyy"))</f>
        <v/>
      </c>
      <c r="P2790">
        <f>IFERROR(XLOOKUP($N2790,Base_Enderecos!$A:$A,Base_Enderecos!$B:$B,""),"")</f>
        <v/>
      </c>
      <c r="Q2790">
        <f>IFERROR(XLOOKUP($N2790,Base_Enderecos!$A:$A,Base_Enderecos!$C:$C,""),"")</f>
        <v/>
      </c>
      <c r="R2790">
        <f>IF(ISNUMBER(SEARCH("HDD",$F2790)),"HDD",IF(ISNUMBER(SEARCH("VCA",$F2790)),"VCA","MND"))</f>
        <v/>
      </c>
      <c r="T2790">
        <f>TEXT($A2790,"yyyy-mm")&amp;"|"&amp;$C2790&amp;"|"&amp;$I2790</f>
        <v/>
      </c>
    </row>
    <row r="2791">
      <c r="A2791" s="36" t="n">
        <v>46178</v>
      </c>
      <c r="B2791" t="inlineStr">
        <is>
          <t>Sexta</t>
        </is>
      </c>
      <c r="C2791" t="inlineStr">
        <is>
          <t>CTS Lourdes Complementar</t>
        </is>
      </c>
      <c r="D2791" t="inlineStr">
        <is>
          <t>Robson</t>
        </is>
      </c>
      <c r="E2791" t="inlineStr">
        <is>
          <t>Marcelo</t>
        </is>
      </c>
      <c r="F2791" t="inlineStr">
        <is>
          <t>Transformação PV 04</t>
        </is>
      </c>
      <c r="G2791" t="inlineStr">
        <is>
          <t>04</t>
        </is>
      </c>
      <c r="H2791" t="inlineStr"/>
      <c r="I2791" t="inlineStr">
        <is>
          <t>04</t>
        </is>
      </c>
      <c r="J2791" t="inlineStr">
        <is>
          <t>Transformação</t>
        </is>
      </c>
      <c r="K2791" t="inlineStr">
        <is>
          <t>Planejamento</t>
        </is>
      </c>
      <c r="L2791" t="inlineStr">
        <is>
          <t>pds_colado_2026-06-03_a_2026-06-08.txt</t>
        </is>
      </c>
      <c r="M2791">
        <f>IF($A2791="","",TEXT($A2791,"mmmm/yyyy"))</f>
        <v/>
      </c>
      <c r="P2791">
        <f>IFERROR(XLOOKUP($N2791,Base_Enderecos!$A:$A,Base_Enderecos!$B:$B,""),"")</f>
        <v/>
      </c>
      <c r="Q2791">
        <f>IFERROR(XLOOKUP($N2791,Base_Enderecos!$A:$A,Base_Enderecos!$C:$C,""),"")</f>
        <v/>
      </c>
      <c r="R2791">
        <f>IF(ISNUMBER(SEARCH("HDD",$F2791)),"HDD",IF(ISNUMBER(SEARCH("VCA",$F2791)),"VCA","MND"))</f>
        <v/>
      </c>
      <c r="T2791">
        <f>TEXT($A2791,"yyyy-mm")&amp;"|"&amp;$C2791&amp;"|"&amp;$I2791</f>
        <v/>
      </c>
    </row>
    <row r="2792">
      <c r="A2792" s="36" t="n">
        <v>46178</v>
      </c>
      <c r="B2792" t="inlineStr">
        <is>
          <t>Sexta</t>
        </is>
      </c>
      <c r="C2792" t="inlineStr">
        <is>
          <t>CTS Lourdes Complementar</t>
        </is>
      </c>
      <c r="D2792" t="inlineStr">
        <is>
          <t>Robson</t>
        </is>
      </c>
      <c r="E2792" t="inlineStr">
        <is>
          <t>Márcio</t>
        </is>
      </c>
      <c r="F2792" t="inlineStr">
        <is>
          <t>Shaft PV 05</t>
        </is>
      </c>
      <c r="G2792" t="inlineStr">
        <is>
          <t>05</t>
        </is>
      </c>
      <c r="H2792" t="inlineStr"/>
      <c r="I2792" t="inlineStr">
        <is>
          <t>05</t>
        </is>
      </c>
      <c r="J2792" t="inlineStr">
        <is>
          <t>Shaft</t>
        </is>
      </c>
      <c r="K2792" t="inlineStr">
        <is>
          <t>Planejamento</t>
        </is>
      </c>
      <c r="L2792" t="inlineStr">
        <is>
          <t>pds_colado_2026-06-03_a_2026-06-08.txt</t>
        </is>
      </c>
      <c r="M2792">
        <f>IF($A2792="","",TEXT($A2792,"mmmm/yyyy"))</f>
        <v/>
      </c>
      <c r="P2792">
        <f>IFERROR(XLOOKUP($N2792,Base_Enderecos!$A:$A,Base_Enderecos!$B:$B,""),"")</f>
        <v/>
      </c>
      <c r="Q2792">
        <f>IFERROR(XLOOKUP($N2792,Base_Enderecos!$A:$A,Base_Enderecos!$C:$C,""),"")</f>
        <v/>
      </c>
      <c r="R2792">
        <f>IF(ISNUMBER(SEARCH("HDD",$F2792)),"HDD",IF(ISNUMBER(SEARCH("VCA",$F2792)),"VCA","MND"))</f>
        <v/>
      </c>
      <c r="T2792">
        <f>TEXT($A2792,"yyyy-mm")&amp;"|"&amp;$C2792&amp;"|"&amp;$I2792</f>
        <v/>
      </c>
    </row>
    <row r="2793">
      <c r="A2793" s="36" t="n">
        <v>46178</v>
      </c>
      <c r="B2793" t="inlineStr">
        <is>
          <t>Sexta</t>
        </is>
      </c>
      <c r="C2793" t="inlineStr">
        <is>
          <t>CTS Lourdes Complementar</t>
        </is>
      </c>
      <c r="D2793" t="inlineStr">
        <is>
          <t>Robson</t>
        </is>
      </c>
      <c r="E2793" t="inlineStr">
        <is>
          <t>Márcio</t>
        </is>
      </c>
      <c r="F2793" t="inlineStr">
        <is>
          <t>Mar de Coral/BENFICA - GABRIEL</t>
        </is>
      </c>
      <c r="G2793" t="inlineStr"/>
      <c r="H2793" t="inlineStr"/>
      <c r="I2793" t="inlineStr"/>
      <c r="J2793" t="inlineStr">
        <is>
          <t>Atividade</t>
        </is>
      </c>
      <c r="K2793" t="inlineStr">
        <is>
          <t>Planejamento</t>
        </is>
      </c>
      <c r="L2793" t="inlineStr">
        <is>
          <t>pds_colado_2026-06-03_a_2026-06-08.txt</t>
        </is>
      </c>
      <c r="M2793">
        <f>IF($A2793="","",TEXT($A2793,"mmmm/yyyy"))</f>
        <v/>
      </c>
      <c r="P2793">
        <f>IFERROR(XLOOKUP($N2793,Base_Enderecos!$A:$A,Base_Enderecos!$B:$B,""),"")</f>
        <v/>
      </c>
      <c r="Q2793">
        <f>IFERROR(XLOOKUP($N2793,Base_Enderecos!$A:$A,Base_Enderecos!$C:$C,""),"")</f>
        <v/>
      </c>
      <c r="R2793">
        <f>IF(ISNUMBER(SEARCH("HDD",$F2793)),"HDD",IF(ISNUMBER(SEARCH("VCA",$F2793)),"VCA","MND"))</f>
        <v/>
      </c>
      <c r="T2793">
        <f>TEXT($A2793,"yyyy-mm")&amp;"|"&amp;$C2793&amp;"|"&amp;$I2793</f>
        <v/>
      </c>
    </row>
    <row r="2794">
      <c r="A2794" s="36" t="n">
        <v>46178</v>
      </c>
      <c r="B2794" t="inlineStr">
        <is>
          <t>Sexta</t>
        </is>
      </c>
      <c r="C2794" t="inlineStr">
        <is>
          <t>CTS Lourdes Complementar</t>
        </is>
      </c>
      <c r="D2794" t="inlineStr">
        <is>
          <t>Robson</t>
        </is>
      </c>
      <c r="E2794" t="inlineStr">
        <is>
          <t>Cidão</t>
        </is>
      </c>
      <c r="F2794" t="inlineStr">
        <is>
          <t>Reparos Gerais</t>
        </is>
      </c>
      <c r="G2794" t="inlineStr"/>
      <c r="H2794" t="inlineStr"/>
      <c r="I2794" t="inlineStr"/>
      <c r="J2794" t="inlineStr">
        <is>
          <t>Atividade</t>
        </is>
      </c>
      <c r="K2794" t="inlineStr">
        <is>
          <t>Planejamento</t>
        </is>
      </c>
      <c r="L2794" t="inlineStr">
        <is>
          <t>pds_colado_2026-06-03_a_2026-06-08.txt</t>
        </is>
      </c>
      <c r="M2794">
        <f>IF($A2794="","",TEXT($A2794,"mmmm/yyyy"))</f>
        <v/>
      </c>
      <c r="P2794">
        <f>IFERROR(XLOOKUP($N2794,Base_Enderecos!$A:$A,Base_Enderecos!$B:$B,""),"")</f>
        <v/>
      </c>
      <c r="Q2794">
        <f>IFERROR(XLOOKUP($N2794,Base_Enderecos!$A:$A,Base_Enderecos!$C:$C,""),"")</f>
        <v/>
      </c>
      <c r="R2794">
        <f>IF(ISNUMBER(SEARCH("HDD",$F2794)),"HDD",IF(ISNUMBER(SEARCH("VCA",$F2794)),"VCA","MND"))</f>
        <v/>
      </c>
      <c r="T2794">
        <f>TEXT($A2794,"yyyy-mm")&amp;"|"&amp;$C2794&amp;"|"&amp;$I2794</f>
        <v/>
      </c>
    </row>
    <row r="2795">
      <c r="A2795" s="36" t="n">
        <v>46178</v>
      </c>
      <c r="B2795" t="inlineStr">
        <is>
          <t>Sexta</t>
        </is>
      </c>
      <c r="C2795" t="inlineStr">
        <is>
          <t>João Canzi – Henko (wellington/thiago)</t>
        </is>
      </c>
      <c r="D2795" t="inlineStr"/>
      <c r="E2795" t="inlineStr">
        <is>
          <t>Vacal</t>
        </is>
      </c>
      <c r="F2795" t="inlineStr">
        <is>
          <t>João Canzi – Henko (Wellington/Thiago)</t>
        </is>
      </c>
      <c r="G2795" t="inlineStr"/>
      <c r="H2795" t="inlineStr"/>
      <c r="I2795" t="inlineStr"/>
      <c r="J2795" t="inlineStr">
        <is>
          <t>Atividade</t>
        </is>
      </c>
      <c r="K2795" t="inlineStr">
        <is>
          <t>Apoio</t>
        </is>
      </c>
      <c r="L2795" t="inlineStr">
        <is>
          <t>pds_colado_2026-06-03_a_2026-06-08.txt</t>
        </is>
      </c>
      <c r="M2795">
        <f>IF($A2795="","",TEXT($A2795,"mmmm/yyyy"))</f>
        <v/>
      </c>
      <c r="P2795">
        <f>IFERROR(XLOOKUP($N2795,Base_Enderecos!$A:$A,Base_Enderecos!$B:$B,""),"")</f>
        <v/>
      </c>
      <c r="Q2795">
        <f>IFERROR(XLOOKUP($N2795,Base_Enderecos!$A:$A,Base_Enderecos!$C:$C,""),"")</f>
        <v/>
      </c>
      <c r="R2795">
        <f>IF(ISNUMBER(SEARCH("HDD",$F2795)),"HDD",IF(ISNUMBER(SEARCH("VCA",$F2795)),"VCA","MND"))</f>
        <v/>
      </c>
      <c r="T2795">
        <f>TEXT($A2795,"yyyy-mm")&amp;"|"&amp;$C2795&amp;"|"&amp;$I2795</f>
        <v/>
      </c>
    </row>
    <row r="2796">
      <c r="A2796" s="36" t="n">
        <v>46178</v>
      </c>
      <c r="B2796" t="inlineStr">
        <is>
          <t>Sexta</t>
        </is>
      </c>
      <c r="C2796" t="inlineStr">
        <is>
          <t>Lourdes – Henko (marcio)</t>
        </is>
      </c>
      <c r="D2796" t="inlineStr"/>
      <c r="E2796" t="inlineStr">
        <is>
          <t>Vacal</t>
        </is>
      </c>
      <c r="F2796" t="inlineStr">
        <is>
          <t>Lourdes – Henko (Marcio)</t>
        </is>
      </c>
      <c r="G2796" t="inlineStr"/>
      <c r="H2796" t="inlineStr"/>
      <c r="I2796" t="inlineStr"/>
      <c r="J2796" t="inlineStr">
        <is>
          <t>Atividade</t>
        </is>
      </c>
      <c r="K2796" t="inlineStr">
        <is>
          <t>Apoio</t>
        </is>
      </c>
      <c r="L2796" t="inlineStr">
        <is>
          <t>pds_colado_2026-06-03_a_2026-06-08.txt</t>
        </is>
      </c>
      <c r="M2796">
        <f>IF($A2796="","",TEXT($A2796,"mmmm/yyyy"))</f>
        <v/>
      </c>
      <c r="P2796">
        <f>IFERROR(XLOOKUP($N2796,Base_Enderecos!$A:$A,Base_Enderecos!$B:$B,""),"")</f>
        <v/>
      </c>
      <c r="Q2796">
        <f>IFERROR(XLOOKUP($N2796,Base_Enderecos!$A:$A,Base_Enderecos!$C:$C,""),"")</f>
        <v/>
      </c>
      <c r="R2796">
        <f>IF(ISNUMBER(SEARCH("HDD",$F2796)),"HDD",IF(ISNUMBER(SEARCH("VCA",$F2796)),"VCA","MND"))</f>
        <v/>
      </c>
      <c r="T2796">
        <f>TEXT($A2796,"yyyy-mm")&amp;"|"&amp;$C2796&amp;"|"&amp;$I2796</f>
        <v/>
      </c>
    </row>
    <row r="2797">
      <c r="A2797" s="36" t="n">
        <v>46178</v>
      </c>
      <c r="B2797" t="inlineStr">
        <is>
          <t>Sexta</t>
        </is>
      </c>
      <c r="C2797" t="inlineStr">
        <is>
          <t>Iti 15 – Henko (osmar)</t>
        </is>
      </c>
      <c r="D2797" t="inlineStr"/>
      <c r="E2797" t="inlineStr">
        <is>
          <t>Vacal</t>
        </is>
      </c>
      <c r="F2797" t="inlineStr">
        <is>
          <t>ITI 15 – Henko (Osmar)</t>
        </is>
      </c>
      <c r="G2797" t="inlineStr"/>
      <c r="H2797" t="inlineStr"/>
      <c r="I2797" t="inlineStr"/>
      <c r="J2797" t="inlineStr">
        <is>
          <t>Atividade</t>
        </is>
      </c>
      <c r="K2797" t="inlineStr">
        <is>
          <t>Apoio</t>
        </is>
      </c>
      <c r="L2797" t="inlineStr">
        <is>
          <t>pds_colado_2026-06-03_a_2026-06-08.txt</t>
        </is>
      </c>
      <c r="M2797">
        <f>IF($A2797="","",TEXT($A2797,"mmmm/yyyy"))</f>
        <v/>
      </c>
      <c r="P2797">
        <f>IFERROR(XLOOKUP($N2797,Base_Enderecos!$A:$A,Base_Enderecos!$B:$B,""),"")</f>
        <v/>
      </c>
      <c r="Q2797">
        <f>IFERROR(XLOOKUP($N2797,Base_Enderecos!$A:$A,Base_Enderecos!$C:$C,""),"")</f>
        <v/>
      </c>
      <c r="R2797">
        <f>IF(ISNUMBER(SEARCH("HDD",$F2797)),"HDD",IF(ISNUMBER(SEARCH("VCA",$F2797)),"VCA","MND"))</f>
        <v/>
      </c>
      <c r="T2797">
        <f>TEXT($A2797,"yyyy-mm")&amp;"|"&amp;$C2797&amp;"|"&amp;$I2797</f>
        <v/>
      </c>
    </row>
    <row r="2798">
      <c r="A2798" s="36" t="n">
        <v>46178</v>
      </c>
      <c r="B2798" t="inlineStr">
        <is>
          <t>Sexta</t>
        </is>
      </c>
      <c r="C2798" t="inlineStr">
        <is>
          <t>Guindauto</t>
        </is>
      </c>
      <c r="D2798" t="inlineStr"/>
      <c r="E2798" t="inlineStr">
        <is>
          <t>Guindauto</t>
        </is>
      </c>
      <c r="F2798" t="inlineStr">
        <is>
          <t>Marcio - Apoio as equipes</t>
        </is>
      </c>
      <c r="G2798" t="inlineStr"/>
      <c r="H2798" t="inlineStr"/>
      <c r="I2798" t="inlineStr"/>
      <c r="J2798" t="inlineStr">
        <is>
          <t>Atividade</t>
        </is>
      </c>
      <c r="K2798" t="inlineStr">
        <is>
          <t>Apoio</t>
        </is>
      </c>
      <c r="L2798" t="inlineStr">
        <is>
          <t>pds_colado_2026-06-03_a_2026-06-08.txt</t>
        </is>
      </c>
      <c r="M2798">
        <f>IF($A2798="","",TEXT($A2798,"mmmm/yyyy"))</f>
        <v/>
      </c>
      <c r="P2798">
        <f>IFERROR(XLOOKUP($N2798,Base_Enderecos!$A:$A,Base_Enderecos!$B:$B,""),"")</f>
        <v/>
      </c>
      <c r="Q2798">
        <f>IFERROR(XLOOKUP($N2798,Base_Enderecos!$A:$A,Base_Enderecos!$C:$C,""),"")</f>
        <v/>
      </c>
      <c r="R2798">
        <f>IF(ISNUMBER(SEARCH("HDD",$F2798)),"HDD",IF(ISNUMBER(SEARCH("VCA",$F2798)),"VCA","MND"))</f>
        <v/>
      </c>
      <c r="T2798">
        <f>TEXT($A2798,"yyyy-mm")&amp;"|"&amp;$C2798&amp;"|"&amp;$I2798</f>
        <v/>
      </c>
    </row>
    <row r="2799">
      <c r="A2799" s="36" t="n">
        <v>46178</v>
      </c>
      <c r="B2799" t="inlineStr">
        <is>
          <t>Sexta</t>
        </is>
      </c>
      <c r="C2799" t="inlineStr">
        <is>
          <t>Guindauto</t>
        </is>
      </c>
      <c r="D2799" t="inlineStr"/>
      <c r="E2799" t="inlineStr">
        <is>
          <t>Guindauto</t>
        </is>
      </c>
      <c r="F2799" t="inlineStr">
        <is>
          <t>Luiz - Apoio as equipes</t>
        </is>
      </c>
      <c r="G2799" t="inlineStr"/>
      <c r="H2799" t="inlineStr"/>
      <c r="I2799" t="inlineStr"/>
      <c r="J2799" t="inlineStr">
        <is>
          <t>Atividade</t>
        </is>
      </c>
      <c r="K2799" t="inlineStr">
        <is>
          <t>Apoio</t>
        </is>
      </c>
      <c r="L2799" t="inlineStr">
        <is>
          <t>pds_colado_2026-06-03_a_2026-06-08.txt</t>
        </is>
      </c>
      <c r="M2799">
        <f>IF($A2799="","",TEXT($A2799,"mmmm/yyyy"))</f>
        <v/>
      </c>
      <c r="P2799">
        <f>IFERROR(XLOOKUP($N2799,Base_Enderecos!$A:$A,Base_Enderecos!$B:$B,""),"")</f>
        <v/>
      </c>
      <c r="Q2799">
        <f>IFERROR(XLOOKUP($N2799,Base_Enderecos!$A:$A,Base_Enderecos!$C:$C,""),"")</f>
        <v/>
      </c>
      <c r="R2799">
        <f>IF(ISNUMBER(SEARCH("HDD",$F2799)),"HDD",IF(ISNUMBER(SEARCH("VCA",$F2799)),"VCA","MND"))</f>
        <v/>
      </c>
      <c r="T2799">
        <f>TEXT($A2799,"yyyy-mm")&amp;"|"&amp;$C2799&amp;"|"&amp;$I2799</f>
        <v/>
      </c>
    </row>
    <row r="2800">
      <c r="A2800" s="36" t="n">
        <v>46179</v>
      </c>
      <c r="B2800" t="inlineStr">
        <is>
          <t>Sábado</t>
        </is>
      </c>
      <c r="C2800" t="inlineStr">
        <is>
          <t>CT João Canzi</t>
        </is>
      </c>
      <c r="D2800" t="inlineStr">
        <is>
          <t>Valmir</t>
        </is>
      </c>
      <c r="E2800" t="inlineStr">
        <is>
          <t>Goiânia Drill</t>
        </is>
      </c>
      <c r="F2800" t="inlineStr">
        <is>
          <t>Complemento Puxe PV 10.1 ao PV 10</t>
        </is>
      </c>
      <c r="G2800" t="inlineStr">
        <is>
          <t>10.1</t>
        </is>
      </c>
      <c r="H2800" t="inlineStr">
        <is>
          <t>10</t>
        </is>
      </c>
      <c r="I2800" t="inlineStr">
        <is>
          <t>10.1 ao 10</t>
        </is>
      </c>
      <c r="J2800" t="inlineStr">
        <is>
          <t>HDD</t>
        </is>
      </c>
      <c r="K2800" t="inlineStr">
        <is>
          <t>Planejamento</t>
        </is>
      </c>
      <c r="L2800" t="inlineStr">
        <is>
          <t>pds_colado_2026-06-03_a_2026-06-08.txt</t>
        </is>
      </c>
      <c r="M2800">
        <f>IF($A2800="","",TEXT($A2800,"mmmm/yyyy"))</f>
        <v/>
      </c>
      <c r="P2800">
        <f>IFERROR(XLOOKUP($N2800,Base_Enderecos!$A:$A,Base_Enderecos!$B:$B,""),"")</f>
        <v/>
      </c>
      <c r="Q2800">
        <f>IFERROR(XLOOKUP($N2800,Base_Enderecos!$A:$A,Base_Enderecos!$C:$C,""),"")</f>
        <v/>
      </c>
      <c r="R2800">
        <f>IF(ISNUMBER(SEARCH("HDD",$F2800)),"HDD",IF(ISNUMBER(SEARCH("VCA",$F2800)),"VCA","MND"))</f>
        <v/>
      </c>
      <c r="T2800">
        <f>TEXT($A2800,"yyyy-mm")&amp;"|"&amp;$C2800&amp;"|"&amp;$I2800</f>
        <v/>
      </c>
    </row>
    <row r="2801">
      <c r="A2801" s="36" t="n">
        <v>46179</v>
      </c>
      <c r="B2801" t="inlineStr">
        <is>
          <t>Sábado</t>
        </is>
      </c>
      <c r="C2801" t="inlineStr">
        <is>
          <t>CT João Canzi</t>
        </is>
      </c>
      <c r="D2801" t="inlineStr">
        <is>
          <t>Valmir</t>
        </is>
      </c>
      <c r="E2801" t="inlineStr">
        <is>
          <t>Bruno</t>
        </is>
      </c>
      <c r="F2801" t="inlineStr">
        <is>
          <t>Apoio ao HDD</t>
        </is>
      </c>
      <c r="G2801" t="inlineStr"/>
      <c r="H2801" t="inlineStr"/>
      <c r="I2801" t="inlineStr"/>
      <c r="J2801" t="inlineStr">
        <is>
          <t>HDD</t>
        </is>
      </c>
      <c r="K2801" t="inlineStr">
        <is>
          <t>Planejamento</t>
        </is>
      </c>
      <c r="L2801" t="inlineStr">
        <is>
          <t>pds_colado_2026-06-03_a_2026-06-08.txt</t>
        </is>
      </c>
      <c r="M2801">
        <f>IF($A2801="","",TEXT($A2801,"mmmm/yyyy"))</f>
        <v/>
      </c>
      <c r="P2801">
        <f>IFERROR(XLOOKUP($N2801,Base_Enderecos!$A:$A,Base_Enderecos!$B:$B,""),"")</f>
        <v/>
      </c>
      <c r="Q2801">
        <f>IFERROR(XLOOKUP($N2801,Base_Enderecos!$A:$A,Base_Enderecos!$C:$C,""),"")</f>
        <v/>
      </c>
      <c r="R2801">
        <f>IF(ISNUMBER(SEARCH("HDD",$F2801)),"HDD",IF(ISNUMBER(SEARCH("VCA",$F2801)),"VCA","MND"))</f>
        <v/>
      </c>
      <c r="T2801">
        <f>TEXT($A2801,"yyyy-mm")&amp;"|"&amp;$C2801&amp;"|"&amp;$I2801</f>
        <v/>
      </c>
    </row>
    <row r="2802">
      <c r="A2802" s="36" t="n">
        <v>46179</v>
      </c>
      <c r="B2802" t="inlineStr">
        <is>
          <t>Sábado</t>
        </is>
      </c>
      <c r="C2802" t="inlineStr">
        <is>
          <t>CT João Canzi</t>
        </is>
      </c>
      <c r="D2802" t="inlineStr">
        <is>
          <t>Valmir</t>
        </is>
      </c>
      <c r="E2802" t="inlineStr">
        <is>
          <t>Jhonatan</t>
        </is>
      </c>
      <c r="F2802" t="inlineStr">
        <is>
          <t>Transformação PV 17</t>
        </is>
      </c>
      <c r="G2802" t="inlineStr">
        <is>
          <t>17</t>
        </is>
      </c>
      <c r="H2802" t="inlineStr"/>
      <c r="I2802" t="inlineStr">
        <is>
          <t>17</t>
        </is>
      </c>
      <c r="J2802" t="inlineStr">
        <is>
          <t>Transformação</t>
        </is>
      </c>
      <c r="K2802" t="inlineStr">
        <is>
          <t>Planejamento</t>
        </is>
      </c>
      <c r="L2802" t="inlineStr">
        <is>
          <t>pds_colado_2026-06-03_a_2026-06-08.txt</t>
        </is>
      </c>
      <c r="M2802">
        <f>IF($A2802="","",TEXT($A2802,"mmmm/yyyy"))</f>
        <v/>
      </c>
      <c r="P2802">
        <f>IFERROR(XLOOKUP($N2802,Base_Enderecos!$A:$A,Base_Enderecos!$B:$B,""),"")</f>
        <v/>
      </c>
      <c r="Q2802">
        <f>IFERROR(XLOOKUP($N2802,Base_Enderecos!$A:$A,Base_Enderecos!$C:$C,""),"")</f>
        <v/>
      </c>
      <c r="R2802">
        <f>IF(ISNUMBER(SEARCH("HDD",$F2802)),"HDD",IF(ISNUMBER(SEARCH("VCA",$F2802)),"VCA","MND"))</f>
        <v/>
      </c>
      <c r="T2802">
        <f>TEXT($A2802,"yyyy-mm")&amp;"|"&amp;$C2802&amp;"|"&amp;$I2802</f>
        <v/>
      </c>
    </row>
    <row r="2803">
      <c r="A2803" s="36" t="n">
        <v>46179</v>
      </c>
      <c r="B2803" t="inlineStr">
        <is>
          <t>Sábado</t>
        </is>
      </c>
      <c r="C2803" t="inlineStr">
        <is>
          <t>RCE Maria Santos Machado</t>
        </is>
      </c>
      <c r="D2803" t="inlineStr">
        <is>
          <t>Valmir</t>
        </is>
      </c>
      <c r="E2803" t="inlineStr">
        <is>
          <t>Cesar</t>
        </is>
      </c>
      <c r="F2803" t="inlineStr">
        <is>
          <t>VCA e PVP-0</t>
        </is>
      </c>
      <c r="G2803" t="inlineStr"/>
      <c r="H2803" t="inlineStr"/>
      <c r="I2803" t="inlineStr"/>
      <c r="J2803" t="inlineStr">
        <is>
          <t>VCA</t>
        </is>
      </c>
      <c r="K2803" t="inlineStr">
        <is>
          <t>Planejamento</t>
        </is>
      </c>
      <c r="L2803" t="inlineStr">
        <is>
          <t>pds_colado_2026-06-03_a_2026-06-08.txt</t>
        </is>
      </c>
      <c r="M2803">
        <f>IF($A2803="","",TEXT($A2803,"mmmm/yyyy"))</f>
        <v/>
      </c>
      <c r="P2803">
        <f>IFERROR(XLOOKUP($N2803,Base_Enderecos!$A:$A,Base_Enderecos!$B:$B,""),"")</f>
        <v/>
      </c>
      <c r="Q2803">
        <f>IFERROR(XLOOKUP($N2803,Base_Enderecos!$A:$A,Base_Enderecos!$C:$C,""),"")</f>
        <v/>
      </c>
      <c r="R2803">
        <f>IF(ISNUMBER(SEARCH("HDD",$F2803)),"HDD",IF(ISNUMBER(SEARCH("VCA",$F2803)),"VCA","MND"))</f>
        <v/>
      </c>
      <c r="T2803">
        <f>TEXT($A2803,"yyyy-mm")&amp;"|"&amp;$C2803&amp;"|"&amp;$I2803</f>
        <v/>
      </c>
    </row>
    <row r="2804">
      <c r="A2804" s="36" t="n">
        <v>46179</v>
      </c>
      <c r="B2804" t="inlineStr">
        <is>
          <t>Sábado</t>
        </is>
      </c>
      <c r="C2804" t="inlineStr">
        <is>
          <t>RCE Elias Sleiman / CT João Canzi</t>
        </is>
      </c>
      <c r="D2804" t="inlineStr">
        <is>
          <t>Antonio</t>
        </is>
      </c>
      <c r="E2804" t="inlineStr">
        <is>
          <t>Edvando</t>
        </is>
      </c>
      <c r="F2804" t="inlineStr">
        <is>
          <t>VCA + interl PV 21 ao PV 22</t>
        </is>
      </c>
      <c r="G2804" t="inlineStr">
        <is>
          <t>21</t>
        </is>
      </c>
      <c r="H2804" t="inlineStr">
        <is>
          <t>22</t>
        </is>
      </c>
      <c r="I2804" t="inlineStr">
        <is>
          <t>21 ao 22</t>
        </is>
      </c>
      <c r="J2804" t="inlineStr">
        <is>
          <t>VCA</t>
        </is>
      </c>
      <c r="K2804" t="inlineStr">
        <is>
          <t>Planejamento</t>
        </is>
      </c>
      <c r="L2804" t="inlineStr">
        <is>
          <t>pds_colado_2026-06-03_a_2026-06-08.txt</t>
        </is>
      </c>
      <c r="M2804">
        <f>IF($A2804="","",TEXT($A2804,"mmmm/yyyy"))</f>
        <v/>
      </c>
      <c r="P2804">
        <f>IFERROR(XLOOKUP($N2804,Base_Enderecos!$A:$A,Base_Enderecos!$B:$B,""),"")</f>
        <v/>
      </c>
      <c r="Q2804">
        <f>IFERROR(XLOOKUP($N2804,Base_Enderecos!$A:$A,Base_Enderecos!$C:$C,""),"")</f>
        <v/>
      </c>
      <c r="R2804">
        <f>IF(ISNUMBER(SEARCH("HDD",$F2804)),"HDD",IF(ISNUMBER(SEARCH("VCA",$F2804)),"VCA","MND"))</f>
        <v/>
      </c>
      <c r="T2804">
        <f>TEXT($A2804,"yyyy-mm")&amp;"|"&amp;$C2804&amp;"|"&amp;$I2804</f>
        <v/>
      </c>
    </row>
    <row r="2805">
      <c r="A2805" s="36" t="n">
        <v>46179</v>
      </c>
      <c r="B2805" t="inlineStr">
        <is>
          <t>Sábado</t>
        </is>
      </c>
      <c r="C2805" t="inlineStr">
        <is>
          <t>RCE Elias Sleiman / CT João Canzi</t>
        </is>
      </c>
      <c r="D2805" t="inlineStr">
        <is>
          <t>Antonio</t>
        </is>
      </c>
      <c r="E2805" t="inlineStr">
        <is>
          <t>Cidão</t>
        </is>
      </c>
      <c r="F2805" t="inlineStr">
        <is>
          <t>VCA + interl PV 25 ao PV 26</t>
        </is>
      </c>
      <c r="G2805" t="inlineStr">
        <is>
          <t>25</t>
        </is>
      </c>
      <c r="H2805" t="inlineStr">
        <is>
          <t>26</t>
        </is>
      </c>
      <c r="I2805" t="inlineStr">
        <is>
          <t>25 ao 26</t>
        </is>
      </c>
      <c r="J2805" t="inlineStr">
        <is>
          <t>VCA</t>
        </is>
      </c>
      <c r="K2805" t="inlineStr">
        <is>
          <t>Planejamento</t>
        </is>
      </c>
      <c r="L2805" t="inlineStr">
        <is>
          <t>pds_colado_2026-06-03_a_2026-06-08.txt</t>
        </is>
      </c>
      <c r="M2805">
        <f>IF($A2805="","",TEXT($A2805,"mmmm/yyyy"))</f>
        <v/>
      </c>
      <c r="P2805">
        <f>IFERROR(XLOOKUP($N2805,Base_Enderecos!$A:$A,Base_Enderecos!$B:$B,""),"")</f>
        <v/>
      </c>
      <c r="Q2805">
        <f>IFERROR(XLOOKUP($N2805,Base_Enderecos!$A:$A,Base_Enderecos!$C:$C,""),"")</f>
        <v/>
      </c>
      <c r="R2805">
        <f>IF(ISNUMBER(SEARCH("HDD",$F2805)),"HDD",IF(ISNUMBER(SEARCH("VCA",$F2805)),"VCA","MND"))</f>
        <v/>
      </c>
      <c r="T2805">
        <f>TEXT($A2805,"yyyy-mm")&amp;"|"&amp;$C2805&amp;"|"&amp;$I2805</f>
        <v/>
      </c>
    </row>
    <row r="2806">
      <c r="A2806" s="36" t="n">
        <v>46179</v>
      </c>
      <c r="B2806" t="inlineStr">
        <is>
          <t>Sábado</t>
        </is>
      </c>
      <c r="C2806" t="inlineStr">
        <is>
          <t>CTS Lourdes Complementar</t>
        </is>
      </c>
      <c r="D2806" t="inlineStr">
        <is>
          <t>Antonio</t>
        </is>
      </c>
      <c r="E2806" t="inlineStr">
        <is>
          <t>Marcelo</t>
        </is>
      </c>
      <c r="F2806" t="inlineStr">
        <is>
          <t>Shaft PV 05</t>
        </is>
      </c>
      <c r="G2806" t="inlineStr">
        <is>
          <t>05</t>
        </is>
      </c>
      <c r="H2806" t="inlineStr"/>
      <c r="I2806" t="inlineStr">
        <is>
          <t>05</t>
        </is>
      </c>
      <c r="J2806" t="inlineStr">
        <is>
          <t>Shaft</t>
        </is>
      </c>
      <c r="K2806" t="inlineStr">
        <is>
          <t>Planejamento</t>
        </is>
      </c>
      <c r="L2806" t="inlineStr">
        <is>
          <t>pds_colado_2026-06-03_a_2026-06-08.txt</t>
        </is>
      </c>
      <c r="M2806">
        <f>IF($A2806="","",TEXT($A2806,"mmmm/yyyy"))</f>
        <v/>
      </c>
      <c r="P2806">
        <f>IFERROR(XLOOKUP($N2806,Base_Enderecos!$A:$A,Base_Enderecos!$B:$B,""),"")</f>
        <v/>
      </c>
      <c r="Q2806">
        <f>IFERROR(XLOOKUP($N2806,Base_Enderecos!$A:$A,Base_Enderecos!$C:$C,""),"")</f>
        <v/>
      </c>
      <c r="R2806">
        <f>IF(ISNUMBER(SEARCH("HDD",$F2806)),"HDD",IF(ISNUMBER(SEARCH("VCA",$F2806)),"VCA","MND"))</f>
        <v/>
      </c>
      <c r="T2806">
        <f>TEXT($A2806,"yyyy-mm")&amp;"|"&amp;$C2806&amp;"|"&amp;$I2806</f>
        <v/>
      </c>
    </row>
    <row r="2807">
      <c r="A2807" s="36" t="n">
        <v>46179</v>
      </c>
      <c r="B2807" t="inlineStr">
        <is>
          <t>Sábado</t>
        </is>
      </c>
      <c r="C2807" t="inlineStr">
        <is>
          <t>RCE São Lucas</t>
        </is>
      </c>
      <c r="D2807" t="inlineStr">
        <is>
          <t>Fábio</t>
        </is>
      </c>
      <c r="E2807" t="inlineStr">
        <is>
          <t>Ricardo</t>
        </is>
      </c>
      <c r="F2807" t="inlineStr">
        <is>
          <t>VCA, PVs e Ligações; (PI 08 ao PI 09)</t>
        </is>
      </c>
      <c r="G2807" t="inlineStr">
        <is>
          <t>08</t>
        </is>
      </c>
      <c r="H2807" t="inlineStr">
        <is>
          <t>09</t>
        </is>
      </c>
      <c r="I2807" t="inlineStr">
        <is>
          <t>08 ao 09</t>
        </is>
      </c>
      <c r="J2807" t="inlineStr">
        <is>
          <t>VCA</t>
        </is>
      </c>
      <c r="K2807" t="inlineStr">
        <is>
          <t>Planejamento</t>
        </is>
      </c>
      <c r="L2807" t="inlineStr">
        <is>
          <t>pds_colado_2026-06-03_a_2026-06-08.txt</t>
        </is>
      </c>
      <c r="M2807">
        <f>IF($A2807="","",TEXT($A2807,"mmmm/yyyy"))</f>
        <v/>
      </c>
      <c r="P2807">
        <f>IFERROR(XLOOKUP($N2807,Base_Enderecos!$A:$A,Base_Enderecos!$B:$B,""),"")</f>
        <v/>
      </c>
      <c r="Q2807">
        <f>IFERROR(XLOOKUP($N2807,Base_Enderecos!$A:$A,Base_Enderecos!$C:$C,""),"")</f>
        <v/>
      </c>
      <c r="R2807">
        <f>IF(ISNUMBER(SEARCH("HDD",$F2807)),"HDD",IF(ISNUMBER(SEARCH("VCA",$F2807)),"VCA","MND"))</f>
        <v/>
      </c>
      <c r="T2807">
        <f>TEXT($A2807,"yyyy-mm")&amp;"|"&amp;$C2807&amp;"|"&amp;$I2807</f>
        <v/>
      </c>
    </row>
    <row r="2808">
      <c r="A2808" s="36" t="n">
        <v>46179</v>
      </c>
      <c r="B2808" t="inlineStr">
        <is>
          <t>Sábado</t>
        </is>
      </c>
      <c r="C2808" t="inlineStr">
        <is>
          <t>RCE São Lucas</t>
        </is>
      </c>
      <c r="D2808" t="inlineStr">
        <is>
          <t>Fábio</t>
        </is>
      </c>
      <c r="E2808" t="inlineStr">
        <is>
          <t>Claudinei</t>
        </is>
      </c>
      <c r="F2808" t="inlineStr">
        <is>
          <t>VCA, PVs e Ligações; (PI 37 ao PI 38)</t>
        </is>
      </c>
      <c r="G2808" t="inlineStr">
        <is>
          <t>37</t>
        </is>
      </c>
      <c r="H2808" t="inlineStr">
        <is>
          <t>38</t>
        </is>
      </c>
      <c r="I2808" t="inlineStr">
        <is>
          <t>37 ao 38</t>
        </is>
      </c>
      <c r="J2808" t="inlineStr">
        <is>
          <t>VCA</t>
        </is>
      </c>
      <c r="K2808" t="inlineStr">
        <is>
          <t>Planejamento</t>
        </is>
      </c>
      <c r="L2808" t="inlineStr">
        <is>
          <t>pds_colado_2026-06-03_a_2026-06-08.txt</t>
        </is>
      </c>
      <c r="M2808">
        <f>IF($A2808="","",TEXT($A2808,"mmmm/yyyy"))</f>
        <v/>
      </c>
      <c r="P2808">
        <f>IFERROR(XLOOKUP($N2808,Base_Enderecos!$A:$A,Base_Enderecos!$B:$B,""),"")</f>
        <v/>
      </c>
      <c r="Q2808">
        <f>IFERROR(XLOOKUP($N2808,Base_Enderecos!$A:$A,Base_Enderecos!$C:$C,""),"")</f>
        <v/>
      </c>
      <c r="R2808">
        <f>IF(ISNUMBER(SEARCH("HDD",$F2808)),"HDD",IF(ISNUMBER(SEARCH("VCA",$F2808)),"VCA","MND"))</f>
        <v/>
      </c>
      <c r="T2808">
        <f>TEXT($A2808,"yyyy-mm")&amp;"|"&amp;$C2808&amp;"|"&amp;$I2808</f>
        <v/>
      </c>
    </row>
    <row r="2809">
      <c r="A2809" s="36" t="n">
        <v>46179</v>
      </c>
      <c r="B2809" t="inlineStr">
        <is>
          <t>Sábado</t>
        </is>
      </c>
      <c r="C2809" t="inlineStr">
        <is>
          <t>RCE São Lucas</t>
        </is>
      </c>
      <c r="D2809" t="inlineStr">
        <is>
          <t>Fábio</t>
        </is>
      </c>
      <c r="E2809" t="inlineStr">
        <is>
          <t>Miro</t>
        </is>
      </c>
      <c r="F2809" t="inlineStr">
        <is>
          <t>VCA, PVs e Ligações; (PI 60 ao PI 61)</t>
        </is>
      </c>
      <c r="G2809" t="inlineStr">
        <is>
          <t>60</t>
        </is>
      </c>
      <c r="H2809" t="inlineStr">
        <is>
          <t>61</t>
        </is>
      </c>
      <c r="I2809" t="inlineStr">
        <is>
          <t>60 ao 61</t>
        </is>
      </c>
      <c r="J2809" t="inlineStr">
        <is>
          <t>VCA</t>
        </is>
      </c>
      <c r="K2809" t="inlineStr">
        <is>
          <t>Planejamento</t>
        </is>
      </c>
      <c r="L2809" t="inlineStr">
        <is>
          <t>pds_colado_2026-06-03_a_2026-06-08.txt</t>
        </is>
      </c>
      <c r="M2809">
        <f>IF($A2809="","",TEXT($A2809,"mmmm/yyyy"))</f>
        <v/>
      </c>
      <c r="P2809">
        <f>IFERROR(XLOOKUP($N2809,Base_Enderecos!$A:$A,Base_Enderecos!$B:$B,""),"")</f>
        <v/>
      </c>
      <c r="Q2809">
        <f>IFERROR(XLOOKUP($N2809,Base_Enderecos!$A:$A,Base_Enderecos!$C:$C,""),"")</f>
        <v/>
      </c>
      <c r="R2809">
        <f>IF(ISNUMBER(SEARCH("HDD",$F2809)),"HDD",IF(ISNUMBER(SEARCH("VCA",$F2809)),"VCA","MND"))</f>
        <v/>
      </c>
      <c r="T2809">
        <f>TEXT($A2809,"yyyy-mm")&amp;"|"&amp;$C2809&amp;"|"&amp;$I2809</f>
        <v/>
      </c>
    </row>
    <row r="2810">
      <c r="A2810" s="36" t="n">
        <v>46179</v>
      </c>
      <c r="B2810" t="inlineStr">
        <is>
          <t>Sábado</t>
        </is>
      </c>
      <c r="C2810" t="inlineStr">
        <is>
          <t>RCE São Lucas</t>
        </is>
      </c>
      <c r="D2810" t="inlineStr">
        <is>
          <t>Fábio</t>
        </is>
      </c>
      <c r="E2810" t="inlineStr">
        <is>
          <t>Emanuel</t>
        </is>
      </c>
      <c r="F2810" t="inlineStr">
        <is>
          <t>VCA, PVs e Ligações; (PI 25 ao PI 26)</t>
        </is>
      </c>
      <c r="G2810" t="inlineStr">
        <is>
          <t>25</t>
        </is>
      </c>
      <c r="H2810" t="inlineStr">
        <is>
          <t>26</t>
        </is>
      </c>
      <c r="I2810" t="inlineStr">
        <is>
          <t>25 ao 26</t>
        </is>
      </c>
      <c r="J2810" t="inlineStr">
        <is>
          <t>VCA</t>
        </is>
      </c>
      <c r="K2810" t="inlineStr">
        <is>
          <t>Planejamento</t>
        </is>
      </c>
      <c r="L2810" t="inlineStr">
        <is>
          <t>pds_colado_2026-06-03_a_2026-06-08.txt</t>
        </is>
      </c>
      <c r="M2810">
        <f>IF($A2810="","",TEXT($A2810,"mmmm/yyyy"))</f>
        <v/>
      </c>
      <c r="P2810">
        <f>IFERROR(XLOOKUP($N2810,Base_Enderecos!$A:$A,Base_Enderecos!$B:$B,""),"")</f>
        <v/>
      </c>
      <c r="Q2810">
        <f>IFERROR(XLOOKUP($N2810,Base_Enderecos!$A:$A,Base_Enderecos!$C:$C,""),"")</f>
        <v/>
      </c>
      <c r="R2810">
        <f>IF(ISNUMBER(SEARCH("HDD",$F2810)),"HDD",IF(ISNUMBER(SEARCH("VCA",$F2810)),"VCA","MND"))</f>
        <v/>
      </c>
      <c r="T2810">
        <f>TEXT($A2810,"yyyy-mm")&amp;"|"&amp;$C2810&amp;"|"&amp;$I2810</f>
        <v/>
      </c>
    </row>
    <row r="2811">
      <c r="A2811" s="36" t="n">
        <v>46179</v>
      </c>
      <c r="B2811" t="inlineStr">
        <is>
          <t>Sábado</t>
        </is>
      </c>
      <c r="C2811" t="inlineStr">
        <is>
          <t>RCE São Lucas</t>
        </is>
      </c>
      <c r="D2811" t="inlineStr">
        <is>
          <t>Fábio</t>
        </is>
      </c>
      <c r="E2811" t="inlineStr">
        <is>
          <t>Antonio</t>
        </is>
      </c>
      <c r="F2811" t="inlineStr">
        <is>
          <t>VCA, PVs e Ligações; (Inicio Ponto 04)*</t>
        </is>
      </c>
      <c r="G2811" t="inlineStr"/>
      <c r="H2811" t="inlineStr"/>
      <c r="I2811" t="inlineStr"/>
      <c r="J2811" t="inlineStr">
        <is>
          <t>VCA</t>
        </is>
      </c>
      <c r="K2811" t="inlineStr">
        <is>
          <t>Planejamento</t>
        </is>
      </c>
      <c r="L2811" t="inlineStr">
        <is>
          <t>pds_colado_2026-06-03_a_2026-06-08.txt</t>
        </is>
      </c>
      <c r="M2811">
        <f>IF($A2811="","",TEXT($A2811,"mmmm/yyyy"))</f>
        <v/>
      </c>
      <c r="P2811">
        <f>IFERROR(XLOOKUP($N2811,Base_Enderecos!$A:$A,Base_Enderecos!$B:$B,""),"")</f>
        <v/>
      </c>
      <c r="Q2811">
        <f>IFERROR(XLOOKUP($N2811,Base_Enderecos!$A:$A,Base_Enderecos!$C:$C,""),"")</f>
        <v/>
      </c>
      <c r="R2811">
        <f>IF(ISNUMBER(SEARCH("HDD",$F2811)),"HDD",IF(ISNUMBER(SEARCH("VCA",$F2811)),"VCA","MND"))</f>
        <v/>
      </c>
      <c r="T2811">
        <f>TEXT($A2811,"yyyy-mm")&amp;"|"&amp;$C2811&amp;"|"&amp;$I2811</f>
        <v/>
      </c>
    </row>
    <row r="2812">
      <c r="A2812" s="36" t="n">
        <v>46179</v>
      </c>
      <c r="B2812" t="inlineStr">
        <is>
          <t>Sábado</t>
        </is>
      </c>
      <c r="C2812" t="inlineStr">
        <is>
          <t>RCE São Lucas</t>
        </is>
      </c>
      <c r="D2812" t="inlineStr">
        <is>
          <t>Fábio</t>
        </is>
      </c>
      <c r="E2812" t="inlineStr">
        <is>
          <t>Antonio</t>
        </is>
      </c>
      <c r="F2812" t="inlineStr">
        <is>
          <t>SERVIÇOS REPOSIÇÃO – LEANDRO</t>
        </is>
      </c>
      <c r="G2812" t="inlineStr"/>
      <c r="H2812" t="inlineStr"/>
      <c r="I2812" t="inlineStr"/>
      <c r="J2812" t="inlineStr">
        <is>
          <t>Atividade</t>
        </is>
      </c>
      <c r="K2812" t="inlineStr">
        <is>
          <t>Planejamento</t>
        </is>
      </c>
      <c r="L2812" t="inlineStr">
        <is>
          <t>pds_colado_2026-06-03_a_2026-06-08.txt</t>
        </is>
      </c>
      <c r="M2812">
        <f>IF($A2812="","",TEXT($A2812,"mmmm/yyyy"))</f>
        <v/>
      </c>
      <c r="P2812">
        <f>IFERROR(XLOOKUP($N2812,Base_Enderecos!$A:$A,Base_Enderecos!$B:$B,""),"")</f>
        <v/>
      </c>
      <c r="Q2812">
        <f>IFERROR(XLOOKUP($N2812,Base_Enderecos!$A:$A,Base_Enderecos!$C:$C,""),"")</f>
        <v/>
      </c>
      <c r="R2812">
        <f>IF(ISNUMBER(SEARCH("HDD",$F2812)),"HDD",IF(ISNUMBER(SEARCH("VCA",$F2812)),"VCA","MND"))</f>
        <v/>
      </c>
      <c r="T2812">
        <f>TEXT($A2812,"yyyy-mm")&amp;"|"&amp;$C2812&amp;"|"&amp;$I2812</f>
        <v/>
      </c>
    </row>
    <row r="2813">
      <c r="A2813" s="36" t="n">
        <v>46179</v>
      </c>
      <c r="B2813" t="inlineStr">
        <is>
          <t>Sábado</t>
        </is>
      </c>
      <c r="C2813" t="inlineStr">
        <is>
          <t>RCE São Lucas</t>
        </is>
      </c>
      <c r="D2813" t="inlineStr">
        <is>
          <t>Fábio</t>
        </is>
      </c>
      <c r="E2813" t="inlineStr">
        <is>
          <t>Antonio</t>
        </is>
      </c>
      <c r="F2813" t="inlineStr">
        <is>
          <t>Reparos Gerais</t>
        </is>
      </c>
      <c r="G2813" t="inlineStr"/>
      <c r="H2813" t="inlineStr"/>
      <c r="I2813" t="inlineStr"/>
      <c r="J2813" t="inlineStr">
        <is>
          <t>Atividade</t>
        </is>
      </c>
      <c r="K2813" t="inlineStr">
        <is>
          <t>Planejamento</t>
        </is>
      </c>
      <c r="L2813" t="inlineStr">
        <is>
          <t>pds_colado_2026-06-03_a_2026-06-08.txt</t>
        </is>
      </c>
      <c r="M2813">
        <f>IF($A2813="","",TEXT($A2813,"mmmm/yyyy"))</f>
        <v/>
      </c>
      <c r="P2813">
        <f>IFERROR(XLOOKUP($N2813,Base_Enderecos!$A:$A,Base_Enderecos!$B:$B,""),"")</f>
        <v/>
      </c>
      <c r="Q2813">
        <f>IFERROR(XLOOKUP($N2813,Base_Enderecos!$A:$A,Base_Enderecos!$C:$C,""),"")</f>
        <v/>
      </c>
      <c r="R2813">
        <f>IF(ISNUMBER(SEARCH("HDD",$F2813)),"HDD",IF(ISNUMBER(SEARCH("VCA",$F2813)),"VCA","MND"))</f>
        <v/>
      </c>
      <c r="T2813">
        <f>TEXT($A2813,"yyyy-mm")&amp;"|"&amp;$C2813&amp;"|"&amp;$I2813</f>
        <v/>
      </c>
    </row>
    <row r="2814">
      <c r="A2814" s="36" t="n">
        <v>46179</v>
      </c>
      <c r="B2814" t="inlineStr">
        <is>
          <t>Sábado</t>
        </is>
      </c>
      <c r="C2814" t="inlineStr">
        <is>
          <t>João Canzi – Henko (wellington/thiago)</t>
        </is>
      </c>
      <c r="D2814" t="inlineStr"/>
      <c r="E2814" t="inlineStr">
        <is>
          <t>Vacal</t>
        </is>
      </c>
      <c r="F2814" t="inlineStr">
        <is>
          <t>João Canzi – Henko (Wellington/Thiago)</t>
        </is>
      </c>
      <c r="G2814" t="inlineStr"/>
      <c r="H2814" t="inlineStr"/>
      <c r="I2814" t="inlineStr"/>
      <c r="J2814" t="inlineStr">
        <is>
          <t>Atividade</t>
        </is>
      </c>
      <c r="K2814" t="inlineStr">
        <is>
          <t>Apoio</t>
        </is>
      </c>
      <c r="L2814" t="inlineStr">
        <is>
          <t>pds_colado_2026-06-03_a_2026-06-08.txt</t>
        </is>
      </c>
      <c r="M2814">
        <f>IF($A2814="","",TEXT($A2814,"mmmm/yyyy"))</f>
        <v/>
      </c>
      <c r="P2814">
        <f>IFERROR(XLOOKUP($N2814,Base_Enderecos!$A:$A,Base_Enderecos!$B:$B,""),"")</f>
        <v/>
      </c>
      <c r="Q2814">
        <f>IFERROR(XLOOKUP($N2814,Base_Enderecos!$A:$A,Base_Enderecos!$C:$C,""),"")</f>
        <v/>
      </c>
      <c r="R2814">
        <f>IF(ISNUMBER(SEARCH("HDD",$F2814)),"HDD",IF(ISNUMBER(SEARCH("VCA",$F2814)),"VCA","MND"))</f>
        <v/>
      </c>
      <c r="T2814">
        <f>TEXT($A2814,"yyyy-mm")&amp;"|"&amp;$C2814&amp;"|"&amp;$I2814</f>
        <v/>
      </c>
    </row>
    <row r="2815">
      <c r="A2815" s="36" t="n">
        <v>46179</v>
      </c>
      <c r="B2815" t="inlineStr">
        <is>
          <t>Sábado</t>
        </is>
      </c>
      <c r="C2815" t="inlineStr">
        <is>
          <t>João Canzi – Henko (marcio)</t>
        </is>
      </c>
      <c r="D2815" t="inlineStr"/>
      <c r="E2815" t="inlineStr">
        <is>
          <t>Vacal</t>
        </is>
      </c>
      <c r="F2815" t="inlineStr">
        <is>
          <t>João Canzi – Henko (Marcio)</t>
        </is>
      </c>
      <c r="G2815" t="inlineStr"/>
      <c r="H2815" t="inlineStr"/>
      <c r="I2815" t="inlineStr"/>
      <c r="J2815" t="inlineStr">
        <is>
          <t>Atividade</t>
        </is>
      </c>
      <c r="K2815" t="inlineStr">
        <is>
          <t>Apoio</t>
        </is>
      </c>
      <c r="L2815" t="inlineStr">
        <is>
          <t>pds_colado_2026-06-03_a_2026-06-08.txt</t>
        </is>
      </c>
      <c r="M2815">
        <f>IF($A2815="","",TEXT($A2815,"mmmm/yyyy"))</f>
        <v/>
      </c>
      <c r="P2815">
        <f>IFERROR(XLOOKUP($N2815,Base_Enderecos!$A:$A,Base_Enderecos!$B:$B,""),"")</f>
        <v/>
      </c>
      <c r="Q2815">
        <f>IFERROR(XLOOKUP($N2815,Base_Enderecos!$A:$A,Base_Enderecos!$C:$C,""),"")</f>
        <v/>
      </c>
      <c r="R2815">
        <f>IF(ISNUMBER(SEARCH("HDD",$F2815)),"HDD",IF(ISNUMBER(SEARCH("VCA",$F2815)),"VCA","MND"))</f>
        <v/>
      </c>
      <c r="T2815">
        <f>TEXT($A2815,"yyyy-mm")&amp;"|"&amp;$C2815&amp;"|"&amp;$I2815</f>
        <v/>
      </c>
    </row>
    <row r="2816">
      <c r="A2816" s="36" t="n">
        <v>46179</v>
      </c>
      <c r="B2816" t="inlineStr">
        <is>
          <t>Sábado</t>
        </is>
      </c>
      <c r="C2816" t="inlineStr">
        <is>
          <t>Iti 15 – Henko (osmar)</t>
        </is>
      </c>
      <c r="D2816" t="inlineStr"/>
      <c r="E2816" t="inlineStr">
        <is>
          <t>Vacal</t>
        </is>
      </c>
      <c r="F2816" t="inlineStr">
        <is>
          <t>ITI 15 – Henko (Osmar)</t>
        </is>
      </c>
      <c r="G2816" t="inlineStr"/>
      <c r="H2816" t="inlineStr"/>
      <c r="I2816" t="inlineStr"/>
      <c r="J2816" t="inlineStr">
        <is>
          <t>Atividade</t>
        </is>
      </c>
      <c r="K2816" t="inlineStr">
        <is>
          <t>Apoio</t>
        </is>
      </c>
      <c r="L2816" t="inlineStr">
        <is>
          <t>pds_colado_2026-06-03_a_2026-06-08.txt</t>
        </is>
      </c>
      <c r="M2816">
        <f>IF($A2816="","",TEXT($A2816,"mmmm/yyyy"))</f>
        <v/>
      </c>
      <c r="P2816">
        <f>IFERROR(XLOOKUP($N2816,Base_Enderecos!$A:$A,Base_Enderecos!$B:$B,""),"")</f>
        <v/>
      </c>
      <c r="Q2816">
        <f>IFERROR(XLOOKUP($N2816,Base_Enderecos!$A:$A,Base_Enderecos!$C:$C,""),"")</f>
        <v/>
      </c>
      <c r="R2816">
        <f>IF(ISNUMBER(SEARCH("HDD",$F2816)),"HDD",IF(ISNUMBER(SEARCH("VCA",$F2816)),"VCA","MND"))</f>
        <v/>
      </c>
      <c r="T2816">
        <f>TEXT($A2816,"yyyy-mm")&amp;"|"&amp;$C2816&amp;"|"&amp;$I2816</f>
        <v/>
      </c>
    </row>
    <row r="2817">
      <c r="A2817" s="36" t="n">
        <v>46179</v>
      </c>
      <c r="B2817" t="inlineStr">
        <is>
          <t>Sábado</t>
        </is>
      </c>
      <c r="C2817" t="inlineStr">
        <is>
          <t>Guindauto</t>
        </is>
      </c>
      <c r="D2817" t="inlineStr"/>
      <c r="E2817" t="inlineStr">
        <is>
          <t>Guindauto</t>
        </is>
      </c>
      <c r="F2817" t="inlineStr">
        <is>
          <t>Luiz - Apoio as equipes</t>
        </is>
      </c>
      <c r="G2817" t="inlineStr"/>
      <c r="H2817" t="inlineStr"/>
      <c r="I2817" t="inlineStr"/>
      <c r="J2817" t="inlineStr">
        <is>
          <t>Atividade</t>
        </is>
      </c>
      <c r="K2817" t="inlineStr">
        <is>
          <t>Apoio</t>
        </is>
      </c>
      <c r="L2817" t="inlineStr">
        <is>
          <t>pds_colado_2026-06-03_a_2026-06-08.txt</t>
        </is>
      </c>
      <c r="M2817">
        <f>IF($A2817="","",TEXT($A2817,"mmmm/yyyy"))</f>
        <v/>
      </c>
      <c r="P2817">
        <f>IFERROR(XLOOKUP($N2817,Base_Enderecos!$A:$A,Base_Enderecos!$B:$B,""),"")</f>
        <v/>
      </c>
      <c r="Q2817">
        <f>IFERROR(XLOOKUP($N2817,Base_Enderecos!$A:$A,Base_Enderecos!$C:$C,""),"")</f>
        <v/>
      </c>
      <c r="R2817">
        <f>IF(ISNUMBER(SEARCH("HDD",$F2817)),"HDD",IF(ISNUMBER(SEARCH("VCA",$F2817)),"VCA","MND"))</f>
        <v/>
      </c>
      <c r="T2817">
        <f>TEXT($A2817,"yyyy-mm")&amp;"|"&amp;$C2817&amp;"|"&amp;$I2817</f>
        <v/>
      </c>
    </row>
    <row r="2818">
      <c r="A2818" s="36" t="n">
        <v>46181</v>
      </c>
      <c r="B2818" t="inlineStr">
        <is>
          <t>Segunda</t>
        </is>
      </c>
      <c r="C2818" t="inlineStr">
        <is>
          <t>CT João Canzi</t>
        </is>
      </c>
      <c r="D2818" t="inlineStr">
        <is>
          <t>Valmir</t>
        </is>
      </c>
      <c r="E2818" t="inlineStr">
        <is>
          <t>Goiânia Drill</t>
        </is>
      </c>
      <c r="F2818" t="inlineStr">
        <is>
          <t>Puxe do PV-18 ao PV-19</t>
        </is>
      </c>
      <c r="G2818" t="inlineStr">
        <is>
          <t>18</t>
        </is>
      </c>
      <c r="H2818" t="inlineStr">
        <is>
          <t>19</t>
        </is>
      </c>
      <c r="I2818" t="inlineStr">
        <is>
          <t>18 ao 19</t>
        </is>
      </c>
      <c r="J2818" t="inlineStr">
        <is>
          <t>HDD</t>
        </is>
      </c>
      <c r="K2818" t="inlineStr">
        <is>
          <t>Planejamento</t>
        </is>
      </c>
      <c r="L2818" t="inlineStr">
        <is>
          <t>pds_colado_2026-06-03_a_2026-06-08.txt</t>
        </is>
      </c>
      <c r="M2818">
        <f>IF($A2818="","",TEXT($A2818,"mmmm/yyyy"))</f>
        <v/>
      </c>
      <c r="P2818">
        <f>IFERROR(XLOOKUP($N2818,Base_Enderecos!$A:$A,Base_Enderecos!$B:$B,""),"")</f>
        <v/>
      </c>
      <c r="Q2818">
        <f>IFERROR(XLOOKUP($N2818,Base_Enderecos!$A:$A,Base_Enderecos!$C:$C,""),"")</f>
        <v/>
      </c>
      <c r="R2818">
        <f>IF(ISNUMBER(SEARCH("HDD",$F2818)),"HDD",IF(ISNUMBER(SEARCH("VCA",$F2818)),"VCA","MND"))</f>
        <v/>
      </c>
      <c r="T2818">
        <f>TEXT($A2818,"yyyy-mm")&amp;"|"&amp;$C2818&amp;"|"&amp;$I2818</f>
        <v/>
      </c>
    </row>
    <row r="2819">
      <c r="A2819" s="36" t="n">
        <v>46181</v>
      </c>
      <c r="B2819" t="inlineStr">
        <is>
          <t>Segunda</t>
        </is>
      </c>
      <c r="C2819" t="inlineStr">
        <is>
          <t>CT João Canzi</t>
        </is>
      </c>
      <c r="D2819" t="inlineStr">
        <is>
          <t>Valmir</t>
        </is>
      </c>
      <c r="E2819" t="inlineStr">
        <is>
          <t>Bruno</t>
        </is>
      </c>
      <c r="F2819" t="inlineStr">
        <is>
          <t>Apoio ao HDD</t>
        </is>
      </c>
      <c r="G2819" t="inlineStr"/>
      <c r="H2819" t="inlineStr"/>
      <c r="I2819" t="inlineStr"/>
      <c r="J2819" t="inlineStr">
        <is>
          <t>HDD</t>
        </is>
      </c>
      <c r="K2819" t="inlineStr">
        <is>
          <t>Planejamento</t>
        </is>
      </c>
      <c r="L2819" t="inlineStr">
        <is>
          <t>pds_colado_2026-06-03_a_2026-06-08.txt</t>
        </is>
      </c>
      <c r="M2819">
        <f>IF($A2819="","",TEXT($A2819,"mmmm/yyyy"))</f>
        <v/>
      </c>
      <c r="P2819">
        <f>IFERROR(XLOOKUP($N2819,Base_Enderecos!$A:$A,Base_Enderecos!$B:$B,""),"")</f>
        <v/>
      </c>
      <c r="Q2819">
        <f>IFERROR(XLOOKUP($N2819,Base_Enderecos!$A:$A,Base_Enderecos!$C:$C,""),"")</f>
        <v/>
      </c>
      <c r="R2819">
        <f>IF(ISNUMBER(SEARCH("HDD",$F2819)),"HDD",IF(ISNUMBER(SEARCH("VCA",$F2819)),"VCA","MND"))</f>
        <v/>
      </c>
      <c r="T2819">
        <f>TEXT($A2819,"yyyy-mm")&amp;"|"&amp;$C2819&amp;"|"&amp;$I2819</f>
        <v/>
      </c>
    </row>
    <row r="2820">
      <c r="A2820" s="36" t="n">
        <v>46181</v>
      </c>
      <c r="B2820" t="inlineStr">
        <is>
          <t>Segunda</t>
        </is>
      </c>
      <c r="C2820" t="inlineStr">
        <is>
          <t>CT João Canzi</t>
        </is>
      </c>
      <c r="D2820" t="inlineStr">
        <is>
          <t>Valmir</t>
        </is>
      </c>
      <c r="E2820" t="inlineStr">
        <is>
          <t>Medeiros</t>
        </is>
      </c>
      <c r="F2820" t="inlineStr">
        <is>
          <t>Reaterro Shaft PV 10.1</t>
        </is>
      </c>
      <c r="G2820" t="inlineStr">
        <is>
          <t>10.1</t>
        </is>
      </c>
      <c r="H2820" t="inlineStr"/>
      <c r="I2820" t="inlineStr">
        <is>
          <t>10.1</t>
        </is>
      </c>
      <c r="J2820" t="inlineStr">
        <is>
          <t>Shaft</t>
        </is>
      </c>
      <c r="K2820" t="inlineStr">
        <is>
          <t>Planejamento</t>
        </is>
      </c>
      <c r="L2820" t="inlineStr">
        <is>
          <t>pds_colado_2026-06-03_a_2026-06-08.txt</t>
        </is>
      </c>
      <c r="M2820">
        <f>IF($A2820="","",TEXT($A2820,"mmmm/yyyy"))</f>
        <v/>
      </c>
      <c r="P2820">
        <f>IFERROR(XLOOKUP($N2820,Base_Enderecos!$A:$A,Base_Enderecos!$B:$B,""),"")</f>
        <v/>
      </c>
      <c r="Q2820">
        <f>IFERROR(XLOOKUP($N2820,Base_Enderecos!$A:$A,Base_Enderecos!$C:$C,""),"")</f>
        <v/>
      </c>
      <c r="R2820">
        <f>IF(ISNUMBER(SEARCH("HDD",$F2820)),"HDD",IF(ISNUMBER(SEARCH("VCA",$F2820)),"VCA","MND"))</f>
        <v/>
      </c>
      <c r="T2820">
        <f>TEXT($A2820,"yyyy-mm")&amp;"|"&amp;$C2820&amp;"|"&amp;$I2820</f>
        <v/>
      </c>
    </row>
    <row r="2821">
      <c r="A2821" s="36" t="n">
        <v>46181</v>
      </c>
      <c r="B2821" t="inlineStr">
        <is>
          <t>Segunda</t>
        </is>
      </c>
      <c r="C2821" t="inlineStr">
        <is>
          <t>CT João Canzi</t>
        </is>
      </c>
      <c r="D2821" t="inlineStr">
        <is>
          <t>Valmir</t>
        </is>
      </c>
      <c r="E2821" t="inlineStr">
        <is>
          <t>Márcio</t>
        </is>
      </c>
      <c r="F2821" t="inlineStr">
        <is>
          <t>Transformação PV 10</t>
        </is>
      </c>
      <c r="G2821" t="inlineStr">
        <is>
          <t>10</t>
        </is>
      </c>
      <c r="H2821" t="inlineStr"/>
      <c r="I2821" t="inlineStr">
        <is>
          <t>10</t>
        </is>
      </c>
      <c r="J2821" t="inlineStr">
        <is>
          <t>Transformação</t>
        </is>
      </c>
      <c r="K2821" t="inlineStr">
        <is>
          <t>Planejamento</t>
        </is>
      </c>
      <c r="L2821" t="inlineStr">
        <is>
          <t>pds_colado_2026-06-03_a_2026-06-08.txt</t>
        </is>
      </c>
      <c r="M2821">
        <f>IF($A2821="","",TEXT($A2821,"mmmm/yyyy"))</f>
        <v/>
      </c>
      <c r="P2821">
        <f>IFERROR(XLOOKUP($N2821,Base_Enderecos!$A:$A,Base_Enderecos!$B:$B,""),"")</f>
        <v/>
      </c>
      <c r="Q2821">
        <f>IFERROR(XLOOKUP($N2821,Base_Enderecos!$A:$A,Base_Enderecos!$C:$C,""),"")</f>
        <v/>
      </c>
      <c r="R2821">
        <f>IF(ISNUMBER(SEARCH("HDD",$F2821)),"HDD",IF(ISNUMBER(SEARCH("VCA",$F2821)),"VCA","MND"))</f>
        <v/>
      </c>
      <c r="T2821">
        <f>TEXT($A2821,"yyyy-mm")&amp;"|"&amp;$C2821&amp;"|"&amp;$I2821</f>
        <v/>
      </c>
    </row>
    <row r="2822">
      <c r="A2822" s="36" t="n">
        <v>46181</v>
      </c>
      <c r="B2822" t="inlineStr">
        <is>
          <t>Segunda</t>
        </is>
      </c>
      <c r="C2822" t="inlineStr">
        <is>
          <t>RCE Elvira</t>
        </is>
      </c>
      <c r="D2822" t="inlineStr">
        <is>
          <t>Silvestre</t>
        </is>
      </c>
      <c r="E2822" t="inlineStr">
        <is>
          <t>Valter</t>
        </is>
      </c>
      <c r="F2822" t="inlineStr">
        <is>
          <t>VCA, PVs e Ligações</t>
        </is>
      </c>
      <c r="G2822" t="inlineStr"/>
      <c r="H2822" t="inlineStr"/>
      <c r="I2822" t="inlineStr"/>
      <c r="J2822" t="inlineStr">
        <is>
          <t>VCA</t>
        </is>
      </c>
      <c r="K2822" t="inlineStr">
        <is>
          <t>Planejamento</t>
        </is>
      </c>
      <c r="L2822" t="inlineStr">
        <is>
          <t>pds_colado_2026-06-03_a_2026-06-08.txt</t>
        </is>
      </c>
      <c r="M2822">
        <f>IF($A2822="","",TEXT($A2822,"mmmm/yyyy"))</f>
        <v/>
      </c>
      <c r="P2822">
        <f>IFERROR(XLOOKUP($N2822,Base_Enderecos!$A:$A,Base_Enderecos!$B:$B,""),"")</f>
        <v/>
      </c>
      <c r="Q2822">
        <f>IFERROR(XLOOKUP($N2822,Base_Enderecos!$A:$A,Base_Enderecos!$C:$C,""),"")</f>
        <v/>
      </c>
      <c r="R2822">
        <f>IF(ISNUMBER(SEARCH("HDD",$F2822)),"HDD",IF(ISNUMBER(SEARCH("VCA",$F2822)),"VCA","MND"))</f>
        <v/>
      </c>
      <c r="T2822">
        <f>TEXT($A2822,"yyyy-mm")&amp;"|"&amp;$C2822&amp;"|"&amp;$I2822</f>
        <v/>
      </c>
    </row>
    <row r="2823">
      <c r="A2823" s="36" t="n">
        <v>46181</v>
      </c>
      <c r="B2823" t="inlineStr">
        <is>
          <t>Segunda</t>
        </is>
      </c>
      <c r="C2823" t="inlineStr">
        <is>
          <t>RCE Elias Sleiman</t>
        </is>
      </c>
      <c r="D2823" t="inlineStr">
        <is>
          <t>Silvestre</t>
        </is>
      </c>
      <c r="E2823" t="inlineStr">
        <is>
          <t>Edvando</t>
        </is>
      </c>
      <c r="F2823" t="inlineStr">
        <is>
          <t>VCA PV 22 ao PV 23</t>
        </is>
      </c>
      <c r="G2823" t="inlineStr">
        <is>
          <t>22</t>
        </is>
      </c>
      <c r="H2823" t="inlineStr">
        <is>
          <t>23</t>
        </is>
      </c>
      <c r="I2823" t="inlineStr">
        <is>
          <t>22 ao 23</t>
        </is>
      </c>
      <c r="J2823" t="inlineStr">
        <is>
          <t>VCA</t>
        </is>
      </c>
      <c r="K2823" t="inlineStr">
        <is>
          <t>Planejamento</t>
        </is>
      </c>
      <c r="L2823" t="inlineStr">
        <is>
          <t>pds_colado_2026-06-03_a_2026-06-08.txt</t>
        </is>
      </c>
      <c r="M2823">
        <f>IF($A2823="","",TEXT($A2823,"mmmm/yyyy"))</f>
        <v/>
      </c>
      <c r="P2823">
        <f>IFERROR(XLOOKUP($N2823,Base_Enderecos!$A:$A,Base_Enderecos!$B:$B,""),"")</f>
        <v/>
      </c>
      <c r="Q2823">
        <f>IFERROR(XLOOKUP($N2823,Base_Enderecos!$A:$A,Base_Enderecos!$C:$C,""),"")</f>
        <v/>
      </c>
      <c r="R2823">
        <f>IF(ISNUMBER(SEARCH("HDD",$F2823)),"HDD",IF(ISNUMBER(SEARCH("VCA",$F2823)),"VCA","MND"))</f>
        <v/>
      </c>
      <c r="T2823">
        <f>TEXT($A2823,"yyyy-mm")&amp;"|"&amp;$C2823&amp;"|"&amp;$I2823</f>
        <v/>
      </c>
    </row>
    <row r="2824">
      <c r="A2824" s="36" t="n">
        <v>46181</v>
      </c>
      <c r="B2824" t="inlineStr">
        <is>
          <t>Segunda</t>
        </is>
      </c>
      <c r="C2824" t="inlineStr">
        <is>
          <t>RCE Conj. União</t>
        </is>
      </c>
      <c r="D2824" t="inlineStr">
        <is>
          <t>Caroline</t>
        </is>
      </c>
      <c r="E2824" t="inlineStr">
        <is>
          <t>Jhonatan</t>
        </is>
      </c>
      <c r="F2824" t="inlineStr">
        <is>
          <t>VCA, PVs e Ligações</t>
        </is>
      </c>
      <c r="G2824" t="inlineStr"/>
      <c r="H2824" t="inlineStr"/>
      <c r="I2824" t="inlineStr"/>
      <c r="J2824" t="inlineStr">
        <is>
          <t>VCA</t>
        </is>
      </c>
      <c r="K2824" t="inlineStr">
        <is>
          <t>Planejamento</t>
        </is>
      </c>
      <c r="L2824" t="inlineStr">
        <is>
          <t>pds_colado_2026-06-03_a_2026-06-08.txt</t>
        </is>
      </c>
      <c r="M2824">
        <f>IF($A2824="","",TEXT($A2824,"mmmm/yyyy"))</f>
        <v/>
      </c>
      <c r="P2824">
        <f>IFERROR(XLOOKUP($N2824,Base_Enderecos!$A:$A,Base_Enderecos!$B:$B,""),"")</f>
        <v/>
      </c>
      <c r="Q2824">
        <f>IFERROR(XLOOKUP($N2824,Base_Enderecos!$A:$A,Base_Enderecos!$C:$C,""),"")</f>
        <v/>
      </c>
      <c r="R2824">
        <f>IF(ISNUMBER(SEARCH("HDD",$F2824)),"HDD",IF(ISNUMBER(SEARCH("VCA",$F2824)),"VCA","MND"))</f>
        <v/>
      </c>
      <c r="T2824">
        <f>TEXT($A2824,"yyyy-mm")&amp;"|"&amp;$C2824&amp;"|"&amp;$I2824</f>
        <v/>
      </c>
    </row>
    <row r="2825">
      <c r="A2825" s="36" t="n">
        <v>46181</v>
      </c>
      <c r="B2825" t="inlineStr">
        <is>
          <t>Segunda</t>
        </is>
      </c>
      <c r="C2825" t="inlineStr">
        <is>
          <t>RCE Américo Machado/elis Regina</t>
        </is>
      </c>
      <c r="D2825" t="inlineStr">
        <is>
          <t>Caroline</t>
        </is>
      </c>
      <c r="E2825" t="inlineStr">
        <is>
          <t>Cesar</t>
        </is>
      </c>
      <c r="F2825" t="inlineStr">
        <is>
          <t>VCA, PVs e Ligações</t>
        </is>
      </c>
      <c r="G2825" t="inlineStr"/>
      <c r="H2825" t="inlineStr"/>
      <c r="I2825" t="inlineStr"/>
      <c r="J2825" t="inlineStr">
        <is>
          <t>VCA</t>
        </is>
      </c>
      <c r="K2825" t="inlineStr">
        <is>
          <t>Planejamento</t>
        </is>
      </c>
      <c r="L2825" t="inlineStr">
        <is>
          <t>pds_colado_2026-06-03_a_2026-06-08.txt</t>
        </is>
      </c>
      <c r="M2825">
        <f>IF($A2825="","",TEXT($A2825,"mmmm/yyyy"))</f>
        <v/>
      </c>
      <c r="P2825">
        <f>IFERROR(XLOOKUP($N2825,Base_Enderecos!$A:$A,Base_Enderecos!$B:$B,""),"")</f>
        <v/>
      </c>
      <c r="Q2825">
        <f>IFERROR(XLOOKUP($N2825,Base_Enderecos!$A:$A,Base_Enderecos!$C:$C,""),"")</f>
        <v/>
      </c>
      <c r="R2825">
        <f>IF(ISNUMBER(SEARCH("HDD",$F2825)),"HDD",IF(ISNUMBER(SEARCH("VCA",$F2825)),"VCA","MND"))</f>
        <v/>
      </c>
      <c r="T2825">
        <f>TEXT($A2825,"yyyy-mm")&amp;"|"&amp;$C2825&amp;"|"&amp;$I2825</f>
        <v/>
      </c>
    </row>
    <row r="2826">
      <c r="A2826" s="36" t="n">
        <v>46181</v>
      </c>
      <c r="B2826" t="inlineStr">
        <is>
          <t>Segunda</t>
        </is>
      </c>
      <c r="C2826" t="inlineStr">
        <is>
          <t>CTS Lourdes Complementar</t>
        </is>
      </c>
      <c r="D2826" t="inlineStr">
        <is>
          <t>Robson</t>
        </is>
      </c>
      <c r="E2826" t="inlineStr">
        <is>
          <t>Marcelo</t>
        </is>
      </c>
      <c r="F2826" t="inlineStr">
        <is>
          <t>Transformação PV 05 + Interligação</t>
        </is>
      </c>
      <c r="G2826" t="inlineStr">
        <is>
          <t>05</t>
        </is>
      </c>
      <c r="H2826" t="inlineStr"/>
      <c r="I2826" t="inlineStr">
        <is>
          <t>05</t>
        </is>
      </c>
      <c r="J2826" t="inlineStr">
        <is>
          <t>Transformação</t>
        </is>
      </c>
      <c r="K2826" t="inlineStr">
        <is>
          <t>Planejamento</t>
        </is>
      </c>
      <c r="L2826" t="inlineStr">
        <is>
          <t>pds_colado_2026-06-03_a_2026-06-08.txt</t>
        </is>
      </c>
      <c r="M2826">
        <f>IF($A2826="","",TEXT($A2826,"mmmm/yyyy"))</f>
        <v/>
      </c>
      <c r="P2826">
        <f>IFERROR(XLOOKUP($N2826,Base_Enderecos!$A:$A,Base_Enderecos!$B:$B,""),"")</f>
        <v/>
      </c>
      <c r="Q2826">
        <f>IFERROR(XLOOKUP($N2826,Base_Enderecos!$A:$A,Base_Enderecos!$C:$C,""),"")</f>
        <v/>
      </c>
      <c r="R2826">
        <f>IF(ISNUMBER(SEARCH("HDD",$F2826)),"HDD",IF(ISNUMBER(SEARCH("VCA",$F2826)),"VCA","MND"))</f>
        <v/>
      </c>
      <c r="T2826">
        <f>TEXT($A2826,"yyyy-mm")&amp;"|"&amp;$C2826&amp;"|"&amp;$I2826</f>
        <v/>
      </c>
    </row>
    <row r="2827">
      <c r="A2827" s="36" t="n">
        <v>46181</v>
      </c>
      <c r="B2827" t="inlineStr">
        <is>
          <t>Segunda</t>
        </is>
      </c>
      <c r="C2827" t="inlineStr">
        <is>
          <t>RCE São Lucas</t>
        </is>
      </c>
      <c r="D2827" t="inlineStr">
        <is>
          <t>Fábio</t>
        </is>
      </c>
      <c r="E2827" t="inlineStr">
        <is>
          <t>Ricardo</t>
        </is>
      </c>
      <c r="F2827" t="inlineStr">
        <is>
          <t>VCA, PVs e Ligações</t>
        </is>
      </c>
      <c r="G2827" t="inlineStr"/>
      <c r="H2827" t="inlineStr"/>
      <c r="I2827" t="inlineStr"/>
      <c r="J2827" t="inlineStr">
        <is>
          <t>VCA</t>
        </is>
      </c>
      <c r="K2827" t="inlineStr">
        <is>
          <t>Planejamento</t>
        </is>
      </c>
      <c r="L2827" t="inlineStr">
        <is>
          <t>pds_colado_2026-06-03_a_2026-06-08.txt</t>
        </is>
      </c>
      <c r="M2827">
        <f>IF($A2827="","",TEXT($A2827,"mmmm/yyyy"))</f>
        <v/>
      </c>
      <c r="P2827">
        <f>IFERROR(XLOOKUP($N2827,Base_Enderecos!$A:$A,Base_Enderecos!$B:$B,""),"")</f>
        <v/>
      </c>
      <c r="Q2827">
        <f>IFERROR(XLOOKUP($N2827,Base_Enderecos!$A:$A,Base_Enderecos!$C:$C,""),"")</f>
        <v/>
      </c>
      <c r="R2827">
        <f>IF(ISNUMBER(SEARCH("HDD",$F2827)),"HDD",IF(ISNUMBER(SEARCH("VCA",$F2827)),"VCA","MND"))</f>
        <v/>
      </c>
      <c r="T2827">
        <f>TEXT($A2827,"yyyy-mm")&amp;"|"&amp;$C2827&amp;"|"&amp;$I2827</f>
        <v/>
      </c>
    </row>
    <row r="2828">
      <c r="A2828" s="36" t="n">
        <v>46181</v>
      </c>
      <c r="B2828" t="inlineStr">
        <is>
          <t>Segunda</t>
        </is>
      </c>
      <c r="C2828" t="inlineStr">
        <is>
          <t>RCE São Lucas</t>
        </is>
      </c>
      <c r="D2828" t="inlineStr">
        <is>
          <t>Fábio</t>
        </is>
      </c>
      <c r="E2828" t="inlineStr">
        <is>
          <t>Claudinei</t>
        </is>
      </c>
      <c r="F2828" t="inlineStr">
        <is>
          <t>VCA, PVs e Ligações</t>
        </is>
      </c>
      <c r="G2828" t="inlineStr"/>
      <c r="H2828" t="inlineStr"/>
      <c r="I2828" t="inlineStr"/>
      <c r="J2828" t="inlineStr">
        <is>
          <t>VCA</t>
        </is>
      </c>
      <c r="K2828" t="inlineStr">
        <is>
          <t>Planejamento</t>
        </is>
      </c>
      <c r="L2828" t="inlineStr">
        <is>
          <t>pds_colado_2026-06-03_a_2026-06-08.txt</t>
        </is>
      </c>
      <c r="M2828">
        <f>IF($A2828="","",TEXT($A2828,"mmmm/yyyy"))</f>
        <v/>
      </c>
      <c r="P2828">
        <f>IFERROR(XLOOKUP($N2828,Base_Enderecos!$A:$A,Base_Enderecos!$B:$B,""),"")</f>
        <v/>
      </c>
      <c r="Q2828">
        <f>IFERROR(XLOOKUP($N2828,Base_Enderecos!$A:$A,Base_Enderecos!$C:$C,""),"")</f>
        <v/>
      </c>
      <c r="R2828">
        <f>IF(ISNUMBER(SEARCH("HDD",$F2828)),"HDD",IF(ISNUMBER(SEARCH("VCA",$F2828)),"VCA","MND"))</f>
        <v/>
      </c>
      <c r="T2828">
        <f>TEXT($A2828,"yyyy-mm")&amp;"|"&amp;$C2828&amp;"|"&amp;$I2828</f>
        <v/>
      </c>
    </row>
    <row r="2829">
      <c r="A2829" s="36" t="n">
        <v>46181</v>
      </c>
      <c r="B2829" t="inlineStr">
        <is>
          <t>Segunda</t>
        </is>
      </c>
      <c r="C2829" t="inlineStr">
        <is>
          <t>RCE São Lucas</t>
        </is>
      </c>
      <c r="D2829" t="inlineStr">
        <is>
          <t>Fábio</t>
        </is>
      </c>
      <c r="E2829" t="inlineStr">
        <is>
          <t>Miro</t>
        </is>
      </c>
      <c r="F2829" t="inlineStr">
        <is>
          <t>VCA, PVs e Ligações</t>
        </is>
      </c>
      <c r="G2829" t="inlineStr"/>
      <c r="H2829" t="inlineStr"/>
      <c r="I2829" t="inlineStr"/>
      <c r="J2829" t="inlineStr">
        <is>
          <t>VCA</t>
        </is>
      </c>
      <c r="K2829" t="inlineStr">
        <is>
          <t>Planejamento</t>
        </is>
      </c>
      <c r="L2829" t="inlineStr">
        <is>
          <t>pds_colado_2026-06-03_a_2026-06-08.txt</t>
        </is>
      </c>
      <c r="M2829">
        <f>IF($A2829="","",TEXT($A2829,"mmmm/yyyy"))</f>
        <v/>
      </c>
      <c r="P2829">
        <f>IFERROR(XLOOKUP($N2829,Base_Enderecos!$A:$A,Base_Enderecos!$B:$B,""),"")</f>
        <v/>
      </c>
      <c r="Q2829">
        <f>IFERROR(XLOOKUP($N2829,Base_Enderecos!$A:$A,Base_Enderecos!$C:$C,""),"")</f>
        <v/>
      </c>
      <c r="R2829">
        <f>IF(ISNUMBER(SEARCH("HDD",$F2829)),"HDD",IF(ISNUMBER(SEARCH("VCA",$F2829)),"VCA","MND"))</f>
        <v/>
      </c>
      <c r="T2829">
        <f>TEXT($A2829,"yyyy-mm")&amp;"|"&amp;$C2829&amp;"|"&amp;$I2829</f>
        <v/>
      </c>
    </row>
    <row r="2830">
      <c r="A2830" s="36" t="n">
        <v>46181</v>
      </c>
      <c r="B2830" t="inlineStr">
        <is>
          <t>Segunda</t>
        </is>
      </c>
      <c r="C2830" t="inlineStr">
        <is>
          <t>RCE São Lucas</t>
        </is>
      </c>
      <c r="D2830" t="inlineStr">
        <is>
          <t>Fábio</t>
        </is>
      </c>
      <c r="E2830" t="inlineStr">
        <is>
          <t>Emanuel</t>
        </is>
      </c>
      <c r="F2830" t="inlineStr">
        <is>
          <t>VCA, PVs e Ligações</t>
        </is>
      </c>
      <c r="G2830" t="inlineStr"/>
      <c r="H2830" t="inlineStr"/>
      <c r="I2830" t="inlineStr"/>
      <c r="J2830" t="inlineStr">
        <is>
          <t>VCA</t>
        </is>
      </c>
      <c r="K2830" t="inlineStr">
        <is>
          <t>Planejamento</t>
        </is>
      </c>
      <c r="L2830" t="inlineStr">
        <is>
          <t>pds_colado_2026-06-03_a_2026-06-08.txt</t>
        </is>
      </c>
      <c r="M2830">
        <f>IF($A2830="","",TEXT($A2830,"mmmm/yyyy"))</f>
        <v/>
      </c>
      <c r="P2830">
        <f>IFERROR(XLOOKUP($N2830,Base_Enderecos!$A:$A,Base_Enderecos!$B:$B,""),"")</f>
        <v/>
      </c>
      <c r="Q2830">
        <f>IFERROR(XLOOKUP($N2830,Base_Enderecos!$A:$A,Base_Enderecos!$C:$C,""),"")</f>
        <v/>
      </c>
      <c r="R2830">
        <f>IF(ISNUMBER(SEARCH("HDD",$F2830)),"HDD",IF(ISNUMBER(SEARCH("VCA",$F2830)),"VCA","MND"))</f>
        <v/>
      </c>
      <c r="T2830">
        <f>TEXT($A2830,"yyyy-mm")&amp;"|"&amp;$C2830&amp;"|"&amp;$I2830</f>
        <v/>
      </c>
    </row>
    <row r="2831">
      <c r="A2831" s="36" t="n">
        <v>46181</v>
      </c>
      <c r="B2831" t="inlineStr">
        <is>
          <t>Segunda</t>
        </is>
      </c>
      <c r="C2831" t="inlineStr">
        <is>
          <t>RCE São Lucas</t>
        </is>
      </c>
      <c r="D2831" t="inlineStr">
        <is>
          <t>Fábio</t>
        </is>
      </c>
      <c r="E2831" t="inlineStr">
        <is>
          <t>Antonio</t>
        </is>
      </c>
      <c r="F2831" t="inlineStr">
        <is>
          <t>VCA, PVs e Ligações</t>
        </is>
      </c>
      <c r="G2831" t="inlineStr"/>
      <c r="H2831" t="inlineStr"/>
      <c r="I2831" t="inlineStr"/>
      <c r="J2831" t="inlineStr">
        <is>
          <t>VCA</t>
        </is>
      </c>
      <c r="K2831" t="inlineStr">
        <is>
          <t>Planejamento</t>
        </is>
      </c>
      <c r="L2831" t="inlineStr">
        <is>
          <t>pds_colado_2026-06-03_a_2026-06-08.txt</t>
        </is>
      </c>
      <c r="M2831">
        <f>IF($A2831="","",TEXT($A2831,"mmmm/yyyy"))</f>
        <v/>
      </c>
      <c r="P2831">
        <f>IFERROR(XLOOKUP($N2831,Base_Enderecos!$A:$A,Base_Enderecos!$B:$B,""),"")</f>
        <v/>
      </c>
      <c r="Q2831">
        <f>IFERROR(XLOOKUP($N2831,Base_Enderecos!$A:$A,Base_Enderecos!$C:$C,""),"")</f>
        <v/>
      </c>
      <c r="R2831">
        <f>IF(ISNUMBER(SEARCH("HDD",$F2831)),"HDD",IF(ISNUMBER(SEARCH("VCA",$F2831)),"VCA","MND"))</f>
        <v/>
      </c>
      <c r="T2831">
        <f>TEXT($A2831,"yyyy-mm")&amp;"|"&amp;$C2831&amp;"|"&amp;$I2831</f>
        <v/>
      </c>
    </row>
    <row r="2832">
      <c r="A2832" s="36" t="n">
        <v>46181</v>
      </c>
      <c r="B2832" t="inlineStr">
        <is>
          <t>Segunda</t>
        </is>
      </c>
      <c r="C2832" t="inlineStr">
        <is>
          <t>RCE São Lucas</t>
        </is>
      </c>
      <c r="D2832" t="inlineStr">
        <is>
          <t>Fábio</t>
        </is>
      </c>
      <c r="E2832" t="inlineStr">
        <is>
          <t>Antonio</t>
        </is>
      </c>
      <c r="F2832" t="inlineStr">
        <is>
          <t>SERVIÇOS REPOSIÇÃO – LEANDRO</t>
        </is>
      </c>
      <c r="G2832" t="inlineStr"/>
      <c r="H2832" t="inlineStr"/>
      <c r="I2832" t="inlineStr"/>
      <c r="J2832" t="inlineStr">
        <is>
          <t>Atividade</t>
        </is>
      </c>
      <c r="K2832" t="inlineStr">
        <is>
          <t>Planejamento</t>
        </is>
      </c>
      <c r="L2832" t="inlineStr">
        <is>
          <t>pds_colado_2026-06-03_a_2026-06-08.txt</t>
        </is>
      </c>
      <c r="M2832">
        <f>IF($A2832="","",TEXT($A2832,"mmmm/yyyy"))</f>
        <v/>
      </c>
      <c r="P2832">
        <f>IFERROR(XLOOKUP($N2832,Base_Enderecos!$A:$A,Base_Enderecos!$B:$B,""),"")</f>
        <v/>
      </c>
      <c r="Q2832">
        <f>IFERROR(XLOOKUP($N2832,Base_Enderecos!$A:$A,Base_Enderecos!$C:$C,""),"")</f>
        <v/>
      </c>
      <c r="R2832">
        <f>IF(ISNUMBER(SEARCH("HDD",$F2832)),"HDD",IF(ISNUMBER(SEARCH("VCA",$F2832)),"VCA","MND"))</f>
        <v/>
      </c>
      <c r="T2832">
        <f>TEXT($A2832,"yyyy-mm")&amp;"|"&amp;$C2832&amp;"|"&amp;$I2832</f>
        <v/>
      </c>
    </row>
    <row r="2833">
      <c r="A2833" s="36" t="n">
        <v>46181</v>
      </c>
      <c r="B2833" t="inlineStr">
        <is>
          <t>Segunda</t>
        </is>
      </c>
      <c r="C2833" t="inlineStr">
        <is>
          <t>RCE São Lucas</t>
        </is>
      </c>
      <c r="D2833" t="inlineStr">
        <is>
          <t>Fábio</t>
        </is>
      </c>
      <c r="E2833" t="inlineStr">
        <is>
          <t>Antonio</t>
        </is>
      </c>
      <c r="F2833" t="inlineStr">
        <is>
          <t>Reparos Gerais</t>
        </is>
      </c>
      <c r="G2833" t="inlineStr"/>
      <c r="H2833" t="inlineStr"/>
      <c r="I2833" t="inlineStr"/>
      <c r="J2833" t="inlineStr">
        <is>
          <t>Atividade</t>
        </is>
      </c>
      <c r="K2833" t="inlineStr">
        <is>
          <t>Planejamento</t>
        </is>
      </c>
      <c r="L2833" t="inlineStr">
        <is>
          <t>pds_colado_2026-06-03_a_2026-06-08.txt</t>
        </is>
      </c>
      <c r="M2833">
        <f>IF($A2833="","",TEXT($A2833,"mmmm/yyyy"))</f>
        <v/>
      </c>
      <c r="P2833">
        <f>IFERROR(XLOOKUP($N2833,Base_Enderecos!$A:$A,Base_Enderecos!$B:$B,""),"")</f>
        <v/>
      </c>
      <c r="Q2833">
        <f>IFERROR(XLOOKUP($N2833,Base_Enderecos!$A:$A,Base_Enderecos!$C:$C,""),"")</f>
        <v/>
      </c>
      <c r="R2833">
        <f>IF(ISNUMBER(SEARCH("HDD",$F2833)),"HDD",IF(ISNUMBER(SEARCH("VCA",$F2833)),"VCA","MND"))</f>
        <v/>
      </c>
      <c r="T2833">
        <f>TEXT($A2833,"yyyy-mm")&amp;"|"&amp;$C2833&amp;"|"&amp;$I2833</f>
        <v/>
      </c>
    </row>
    <row r="2834">
      <c r="A2834" s="36" t="n">
        <v>46181</v>
      </c>
      <c r="B2834" t="inlineStr">
        <is>
          <t>Segunda</t>
        </is>
      </c>
      <c r="C2834" t="inlineStr">
        <is>
          <t>CTS Lageado</t>
        </is>
      </c>
      <c r="D2834" t="inlineStr">
        <is>
          <t>Gabriel</t>
        </is>
      </c>
      <c r="E2834" t="inlineStr">
        <is>
          <t>Cidão</t>
        </is>
      </c>
      <c r="F2834" t="inlineStr">
        <is>
          <t>Acabamentos gerais</t>
        </is>
      </c>
      <c r="G2834" t="inlineStr"/>
      <c r="H2834" t="inlineStr"/>
      <c r="I2834" t="inlineStr"/>
      <c r="J2834" t="inlineStr">
        <is>
          <t>Acabamento</t>
        </is>
      </c>
      <c r="K2834" t="inlineStr">
        <is>
          <t>Planejamento</t>
        </is>
      </c>
      <c r="L2834" t="inlineStr">
        <is>
          <t>pds_colado_2026-06-03_a_2026-06-08.txt</t>
        </is>
      </c>
      <c r="M2834">
        <f>IF($A2834="","",TEXT($A2834,"mmmm/yyyy"))</f>
        <v/>
      </c>
      <c r="P2834">
        <f>IFERROR(XLOOKUP($N2834,Base_Enderecos!$A:$A,Base_Enderecos!$B:$B,""),"")</f>
        <v/>
      </c>
      <c r="Q2834">
        <f>IFERROR(XLOOKUP($N2834,Base_Enderecos!$A:$A,Base_Enderecos!$C:$C,""),"")</f>
        <v/>
      </c>
      <c r="R2834">
        <f>IF(ISNUMBER(SEARCH("HDD",$F2834)),"HDD",IF(ISNUMBER(SEARCH("VCA",$F2834)),"VCA","MND"))</f>
        <v/>
      </c>
      <c r="T2834">
        <f>TEXT($A2834,"yyyy-mm")&amp;"|"&amp;$C2834&amp;"|"&amp;$I2834</f>
        <v/>
      </c>
    </row>
    <row r="2835">
      <c r="A2835" s="36" t="n">
        <v>46181</v>
      </c>
      <c r="B2835" t="inlineStr">
        <is>
          <t>Segunda</t>
        </is>
      </c>
      <c r="C2835" t="inlineStr">
        <is>
          <t>João Canzi – Henko (wellington/thiago)</t>
        </is>
      </c>
      <c r="D2835" t="inlineStr"/>
      <c r="E2835" t="inlineStr">
        <is>
          <t>Vacal</t>
        </is>
      </c>
      <c r="F2835" t="inlineStr">
        <is>
          <t>João Canzi – Henko (Wellington/Thiago)</t>
        </is>
      </c>
      <c r="G2835" t="inlineStr"/>
      <c r="H2835" t="inlineStr"/>
      <c r="I2835" t="inlineStr"/>
      <c r="J2835" t="inlineStr">
        <is>
          <t>Atividade</t>
        </is>
      </c>
      <c r="K2835" t="inlineStr">
        <is>
          <t>Apoio</t>
        </is>
      </c>
      <c r="L2835" t="inlineStr">
        <is>
          <t>pds_colado_2026-06-03_a_2026-06-08.txt</t>
        </is>
      </c>
      <c r="M2835">
        <f>IF($A2835="","",TEXT($A2835,"mmmm/yyyy"))</f>
        <v/>
      </c>
      <c r="P2835">
        <f>IFERROR(XLOOKUP($N2835,Base_Enderecos!$A:$A,Base_Enderecos!$B:$B,""),"")</f>
        <v/>
      </c>
      <c r="Q2835">
        <f>IFERROR(XLOOKUP($N2835,Base_Enderecos!$A:$A,Base_Enderecos!$C:$C,""),"")</f>
        <v/>
      </c>
      <c r="R2835">
        <f>IF(ISNUMBER(SEARCH("HDD",$F2835)),"HDD",IF(ISNUMBER(SEARCH("VCA",$F2835)),"VCA","MND"))</f>
        <v/>
      </c>
      <c r="T2835">
        <f>TEXT($A2835,"yyyy-mm")&amp;"|"&amp;$C2835&amp;"|"&amp;$I2835</f>
        <v/>
      </c>
    </row>
    <row r="2836">
      <c r="A2836" s="36" t="n">
        <v>46181</v>
      </c>
      <c r="B2836" t="inlineStr">
        <is>
          <t>Segunda</t>
        </is>
      </c>
      <c r="C2836" t="inlineStr">
        <is>
          <t>João Canzi – Henko (marcio)</t>
        </is>
      </c>
      <c r="D2836" t="inlineStr"/>
      <c r="E2836" t="inlineStr">
        <is>
          <t>Vacal</t>
        </is>
      </c>
      <c r="F2836" t="inlineStr">
        <is>
          <t>João Canzi – Henko (Marcio)</t>
        </is>
      </c>
      <c r="G2836" t="inlineStr"/>
      <c r="H2836" t="inlineStr"/>
      <c r="I2836" t="inlineStr"/>
      <c r="J2836" t="inlineStr">
        <is>
          <t>Atividade</t>
        </is>
      </c>
      <c r="K2836" t="inlineStr">
        <is>
          <t>Apoio</t>
        </is>
      </c>
      <c r="L2836" t="inlineStr">
        <is>
          <t>pds_colado_2026-06-03_a_2026-06-08.txt</t>
        </is>
      </c>
      <c r="M2836">
        <f>IF($A2836="","",TEXT($A2836,"mmmm/yyyy"))</f>
        <v/>
      </c>
      <c r="P2836">
        <f>IFERROR(XLOOKUP($N2836,Base_Enderecos!$A:$A,Base_Enderecos!$B:$B,""),"")</f>
        <v/>
      </c>
      <c r="Q2836">
        <f>IFERROR(XLOOKUP($N2836,Base_Enderecos!$A:$A,Base_Enderecos!$C:$C,""),"")</f>
        <v/>
      </c>
      <c r="R2836">
        <f>IF(ISNUMBER(SEARCH("HDD",$F2836)),"HDD",IF(ISNUMBER(SEARCH("VCA",$F2836)),"VCA","MND"))</f>
        <v/>
      </c>
      <c r="T2836">
        <f>TEXT($A2836,"yyyy-mm")&amp;"|"&amp;$C2836&amp;"|"&amp;$I2836</f>
        <v/>
      </c>
    </row>
    <row r="2837">
      <c r="A2837" s="36" t="n">
        <v>46181</v>
      </c>
      <c r="B2837" t="inlineStr">
        <is>
          <t>Segunda</t>
        </is>
      </c>
      <c r="C2837" t="inlineStr">
        <is>
          <t>Iti 15 – Henko (osmar)</t>
        </is>
      </c>
      <c r="D2837" t="inlineStr"/>
      <c r="E2837" t="inlineStr">
        <is>
          <t>Vacal</t>
        </is>
      </c>
      <c r="F2837" t="inlineStr">
        <is>
          <t>ITI 15 – Henko (Osmar)</t>
        </is>
      </c>
      <c r="G2837" t="inlineStr"/>
      <c r="H2837" t="inlineStr"/>
      <c r="I2837" t="inlineStr"/>
      <c r="J2837" t="inlineStr">
        <is>
          <t>Atividade</t>
        </is>
      </c>
      <c r="K2837" t="inlineStr">
        <is>
          <t>Apoio</t>
        </is>
      </c>
      <c r="L2837" t="inlineStr">
        <is>
          <t>pds_colado_2026-06-03_a_2026-06-08.txt</t>
        </is>
      </c>
      <c r="M2837">
        <f>IF($A2837="","",TEXT($A2837,"mmmm/yyyy"))</f>
        <v/>
      </c>
      <c r="P2837">
        <f>IFERROR(XLOOKUP($N2837,Base_Enderecos!$A:$A,Base_Enderecos!$B:$B,""),"")</f>
        <v/>
      </c>
      <c r="Q2837">
        <f>IFERROR(XLOOKUP($N2837,Base_Enderecos!$A:$A,Base_Enderecos!$C:$C,""),"")</f>
        <v/>
      </c>
      <c r="R2837">
        <f>IF(ISNUMBER(SEARCH("HDD",$F2837)),"HDD",IF(ISNUMBER(SEARCH("VCA",$F2837)),"VCA","MND"))</f>
        <v/>
      </c>
      <c r="T2837">
        <f>TEXT($A2837,"yyyy-mm")&amp;"|"&amp;$C2837&amp;"|"&amp;$I2837</f>
        <v/>
      </c>
    </row>
    <row r="2838">
      <c r="A2838" s="36" t="n">
        <v>46181</v>
      </c>
      <c r="B2838" t="inlineStr">
        <is>
          <t>Segunda</t>
        </is>
      </c>
      <c r="C2838" t="inlineStr">
        <is>
          <t>Guindauto</t>
        </is>
      </c>
      <c r="D2838" t="inlineStr"/>
      <c r="E2838" t="inlineStr">
        <is>
          <t>Guindauto</t>
        </is>
      </c>
      <c r="F2838" t="inlineStr">
        <is>
          <t>Marcio - Apoio as equipes</t>
        </is>
      </c>
      <c r="G2838" t="inlineStr"/>
      <c r="H2838" t="inlineStr"/>
      <c r="I2838" t="inlineStr"/>
      <c r="J2838" t="inlineStr">
        <is>
          <t>Atividade</t>
        </is>
      </c>
      <c r="K2838" t="inlineStr">
        <is>
          <t>Apoio</t>
        </is>
      </c>
      <c r="L2838" t="inlineStr">
        <is>
          <t>pds_colado_2026-06-03_a_2026-06-08.txt</t>
        </is>
      </c>
      <c r="M2838">
        <f>IF($A2838="","",TEXT($A2838,"mmmm/yyyy"))</f>
        <v/>
      </c>
      <c r="P2838">
        <f>IFERROR(XLOOKUP($N2838,Base_Enderecos!$A:$A,Base_Enderecos!$B:$B,""),"")</f>
        <v/>
      </c>
      <c r="Q2838">
        <f>IFERROR(XLOOKUP($N2838,Base_Enderecos!$A:$A,Base_Enderecos!$C:$C,""),"")</f>
        <v/>
      </c>
      <c r="R2838">
        <f>IF(ISNUMBER(SEARCH("HDD",$F2838)),"HDD",IF(ISNUMBER(SEARCH("VCA",$F2838)),"VCA","MND"))</f>
        <v/>
      </c>
      <c r="T2838">
        <f>TEXT($A2838,"yyyy-mm")&amp;"|"&amp;$C2838&amp;"|"&amp;$I2838</f>
        <v/>
      </c>
    </row>
    <row r="2839">
      <c r="A2839" s="36" t="n">
        <v>46181</v>
      </c>
      <c r="B2839" t="inlineStr">
        <is>
          <t>Segunda</t>
        </is>
      </c>
      <c r="C2839" t="inlineStr">
        <is>
          <t>Guindauto</t>
        </is>
      </c>
      <c r="D2839" t="inlineStr"/>
      <c r="E2839" t="inlineStr">
        <is>
          <t>Guindauto</t>
        </is>
      </c>
      <c r="F2839" t="inlineStr">
        <is>
          <t>Luiz - Apoio as equipes</t>
        </is>
      </c>
      <c r="G2839" t="inlineStr"/>
      <c r="H2839" t="inlineStr"/>
      <c r="I2839" t="inlineStr"/>
      <c r="J2839" t="inlineStr">
        <is>
          <t>Atividade</t>
        </is>
      </c>
      <c r="K2839" t="inlineStr">
        <is>
          <t>Apoio</t>
        </is>
      </c>
      <c r="L2839" t="inlineStr">
        <is>
          <t>pds_colado_2026-06-03_a_2026-06-08.txt</t>
        </is>
      </c>
      <c r="M2839">
        <f>IF($A2839="","",TEXT($A2839,"mmmm/yyyy"))</f>
        <v/>
      </c>
      <c r="P2839">
        <f>IFERROR(XLOOKUP($N2839,Base_Enderecos!$A:$A,Base_Enderecos!$B:$B,""),"")</f>
        <v/>
      </c>
      <c r="Q2839">
        <f>IFERROR(XLOOKUP($N2839,Base_Enderecos!$A:$A,Base_Enderecos!$C:$C,""),"")</f>
        <v/>
      </c>
      <c r="R2839">
        <f>IF(ISNUMBER(SEARCH("HDD",$F2839)),"HDD",IF(ISNUMBER(SEARCH("VCA",$F2839)),"VCA","MND"))</f>
        <v/>
      </c>
      <c r="T2839">
        <f>TEXT($A2839,"yyyy-mm")&amp;"|"&amp;$C2839&amp;"|"&amp;$I2839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2026-06-08T10:43:01Z</dcterms:modified>
  <cp:lastModifiedBy>Cleulton Marcio Goncalves Freire</cp:lastModifiedBy>
</cp:coreProperties>
</file>