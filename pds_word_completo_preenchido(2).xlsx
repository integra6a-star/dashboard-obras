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48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46168</v>
      </c>
      <c r="B2625" t="inlineStr">
        <is>
          <t>Terça</t>
        </is>
      </c>
      <c r="C2625" t="inlineStr">
        <is>
          <t>CT João Canzi</t>
        </is>
      </c>
      <c r="D2625" t="inlineStr">
        <is>
          <t>Valmir</t>
        </is>
      </c>
      <c r="E2625" t="inlineStr">
        <is>
          <t>Goiânia Drill</t>
        </is>
      </c>
      <c r="F2625" t="inlineStr">
        <is>
          <t>Furo piloto e puxe do PV-14 ao PV-15</t>
        </is>
      </c>
      <c r="G2625" t="inlineStr">
        <is>
          <t>14</t>
        </is>
      </c>
      <c r="H2625" t="inlineStr">
        <is>
          <t>15</t>
        </is>
      </c>
      <c r="I2625" t="inlineStr">
        <is>
          <t>14 ao 15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PDS-Maio.docx</t>
        </is>
      </c>
      <c r="M2625">
        <f>IF($A2625="","",TEXT($A2625,"mmmm/yyyy"))</f>
        <v/>
      </c>
      <c r="P2625">
        <f>IFERROR(XLOOKUP($N2625,Base_Enderecos!$A:$A,Base_Enderecos!$B:$B,""),"")</f>
        <v/>
      </c>
      <c r="Q2625">
        <f>IFERROR(XLOOKUP($N2625,Base_Enderecos!$A:$A,Base_Enderecos!$C:$C,""),"")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46168</v>
      </c>
      <c r="B2626" t="inlineStr">
        <is>
          <t>Terça</t>
        </is>
      </c>
      <c r="C2626" t="inlineStr">
        <is>
          <t>CT João Canzi</t>
        </is>
      </c>
      <c r="D2626" t="inlineStr">
        <is>
          <t>Valmir</t>
        </is>
      </c>
      <c r="E2626" t="inlineStr">
        <is>
          <t>Bruno</t>
        </is>
      </c>
      <c r="F2626" t="inlineStr">
        <is>
          <t>Apoio ao HDD</t>
        </is>
      </c>
      <c r="G2626" t="inlineStr"/>
      <c r="H2626" t="inlineStr"/>
      <c r="I2626" t="inlineStr"/>
      <c r="J2626" t="inlineStr">
        <is>
          <t>HDD</t>
        </is>
      </c>
      <c r="K2626" t="inlineStr">
        <is>
          <t>Planejamento</t>
        </is>
      </c>
      <c r="L2626" t="inlineStr">
        <is>
          <t>PDS-Maio.docx</t>
        </is>
      </c>
      <c r="M2626">
        <f>IF($A2626="","",TEXT($A2626,"mmmm/yyyy"))</f>
        <v/>
      </c>
      <c r="P2626">
        <f>IFERROR(XLOOKUP($N2626,Base_Enderecos!$A:$A,Base_Enderecos!$B:$B,""),"")</f>
        <v/>
      </c>
      <c r="Q2626">
        <f>IFERROR(XLOOKUP($N2626,Base_Enderecos!$A:$A,Base_Enderecos!$C:$C,""),"")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46168</v>
      </c>
      <c r="B2627" t="inlineStr">
        <is>
          <t>Terça</t>
        </is>
      </c>
      <c r="C2627" t="inlineStr">
        <is>
          <t>CT João Canzi</t>
        </is>
      </c>
      <c r="D2627" t="inlineStr">
        <is>
          <t>Valmir</t>
        </is>
      </c>
      <c r="E2627" t="inlineStr">
        <is>
          <t>Valter</t>
        </is>
      </c>
      <c r="F2627" t="inlineStr">
        <is>
          <t>Transformação PV 01* (ELVIRA/JOÃO CANZI)</t>
        </is>
      </c>
      <c r="G2627" t="inlineStr">
        <is>
          <t>01</t>
        </is>
      </c>
      <c r="H2627" t="inlineStr"/>
      <c r="I2627" t="inlineStr">
        <is>
          <t>01</t>
        </is>
      </c>
      <c r="J2627" t="inlineStr">
        <is>
          <t>Transformação</t>
        </is>
      </c>
      <c r="K2627" t="inlineStr">
        <is>
          <t>Planejamento</t>
        </is>
      </c>
      <c r="L2627" t="inlineStr">
        <is>
          <t>PDS-Maio.docx</t>
        </is>
      </c>
      <c r="M2627">
        <f>IF($A2627="","",TEXT($A2627,"mmmm/yyyy"))</f>
        <v/>
      </c>
      <c r="P2627">
        <f>IFERROR(XLOOKUP($N2627,Base_Enderecos!$A:$A,Base_Enderecos!$B:$B,""),"")</f>
        <v/>
      </c>
      <c r="Q2627">
        <f>IFERROR(XLOOKUP($N2627,Base_Enderecos!$A:$A,Base_Enderecos!$C:$C,""),"")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46168</v>
      </c>
      <c r="B2628" t="inlineStr">
        <is>
          <t>Terça</t>
        </is>
      </c>
      <c r="C2628" t="inlineStr">
        <is>
          <t>CT João Canzi</t>
        </is>
      </c>
      <c r="D2628" t="inlineStr">
        <is>
          <t>Valmir</t>
        </is>
      </c>
      <c r="E2628" t="inlineStr">
        <is>
          <t>Marcelo</t>
        </is>
      </c>
      <c r="F2628" t="inlineStr">
        <is>
          <t>Transformação PV 08</t>
        </is>
      </c>
      <c r="G2628" t="inlineStr">
        <is>
          <t>08</t>
        </is>
      </c>
      <c r="H2628" t="inlineStr"/>
      <c r="I2628" t="inlineStr">
        <is>
          <t>08</t>
        </is>
      </c>
      <c r="J2628" t="inlineStr">
        <is>
          <t>Transformação</t>
        </is>
      </c>
      <c r="K2628" t="inlineStr">
        <is>
          <t>Planejamento</t>
        </is>
      </c>
      <c r="L2628" t="inlineStr">
        <is>
          <t>PDS-Maio.docx</t>
        </is>
      </c>
      <c r="M2628">
        <f>IF($A2628="","",TEXT($A2628,"mmmm/yyyy"))</f>
        <v/>
      </c>
      <c r="P2628">
        <f>IFERROR(XLOOKUP($N2628,Base_Enderecos!$A:$A,Base_Enderecos!$B:$B,""),"")</f>
        <v/>
      </c>
      <c r="Q2628">
        <f>IFERROR(XLOOKUP($N2628,Base_Enderecos!$A:$A,Base_Enderecos!$C:$C,""),"")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46168</v>
      </c>
      <c r="B2629" t="inlineStr">
        <is>
          <t>Terça</t>
        </is>
      </c>
      <c r="C2629" t="inlineStr">
        <is>
          <t>CT João Canzi</t>
        </is>
      </c>
      <c r="D2629" t="inlineStr">
        <is>
          <t>Valmir</t>
        </is>
      </c>
      <c r="E2629" t="inlineStr">
        <is>
          <t>Cidão</t>
        </is>
      </c>
      <c r="F2629" t="inlineStr">
        <is>
          <t>Transformação PV 13</t>
        </is>
      </c>
      <c r="G2629" t="inlineStr">
        <is>
          <t>13</t>
        </is>
      </c>
      <c r="H2629" t="inlineStr"/>
      <c r="I2629" t="inlineStr">
        <is>
          <t>13</t>
        </is>
      </c>
      <c r="J2629" t="inlineStr">
        <is>
          <t>Transformação</t>
        </is>
      </c>
      <c r="K2629" t="inlineStr">
        <is>
          <t>Planejamento</t>
        </is>
      </c>
      <c r="L2629" t="inlineStr">
        <is>
          <t>PDS-Maio.docx</t>
        </is>
      </c>
      <c r="M2629">
        <f>IF($A2629="","",TEXT($A2629,"mmmm/yyyy"))</f>
        <v/>
      </c>
      <c r="P2629">
        <f>IFERROR(XLOOKUP($N2629,Base_Enderecos!$A:$A,Base_Enderecos!$B:$B,""),"")</f>
        <v/>
      </c>
      <c r="Q2629">
        <f>IFERROR(XLOOKUP($N2629,Base_Enderecos!$A:$A,Base_Enderecos!$C:$C,""),"")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46168</v>
      </c>
      <c r="B2630" t="inlineStr">
        <is>
          <t>Terça</t>
        </is>
      </c>
      <c r="C2630" t="inlineStr">
        <is>
          <t>RCE São Lucas</t>
        </is>
      </c>
      <c r="D2630" t="inlineStr">
        <is>
          <t>Fábio (rce Rua São João)</t>
        </is>
      </c>
      <c r="E2630" t="inlineStr">
        <is>
          <t>Ricardo (pi 03 Ao Pi 04)</t>
        </is>
      </c>
      <c r="F2630" t="inlineStr">
        <is>
          <t>VCA, PVs e Ligações</t>
        </is>
      </c>
      <c r="G2630" t="inlineStr"/>
      <c r="H2630" t="inlineStr"/>
      <c r="I2630" t="inlineStr"/>
      <c r="J2630" t="inlineStr">
        <is>
          <t>VCA</t>
        </is>
      </c>
      <c r="K2630" t="inlineStr">
        <is>
          <t>Planejamento</t>
        </is>
      </c>
      <c r="L2630" t="inlineStr">
        <is>
          <t>PDS-Maio.docx</t>
        </is>
      </c>
      <c r="M2630">
        <f>IF($A2630="","",TEXT($A2630,"mmmm/yyyy"))</f>
        <v/>
      </c>
      <c r="P2630">
        <f>IFERROR(XLOOKUP($N2630,Base_Enderecos!$A:$A,Base_Enderecos!$B:$B,""),"")</f>
        <v/>
      </c>
      <c r="Q2630">
        <f>IFERROR(XLOOKUP($N2630,Base_Enderecos!$A:$A,Base_Enderecos!$C:$C,""),"")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46168</v>
      </c>
      <c r="B2631" t="inlineStr">
        <is>
          <t>Terça</t>
        </is>
      </c>
      <c r="C2631" t="inlineStr">
        <is>
          <t>RCE São Lucas</t>
        </is>
      </c>
      <c r="D2631" t="inlineStr">
        <is>
          <t>Fábio (rce Rua São João)</t>
        </is>
      </c>
      <c r="E2631" t="inlineStr">
        <is>
          <t>Claudinei (pi 37 Ao Pi 38)</t>
        </is>
      </c>
      <c r="F2631" t="inlineStr">
        <is>
          <t>VCA, PVs e Ligações</t>
        </is>
      </c>
      <c r="G2631" t="inlineStr"/>
      <c r="H2631" t="inlineStr"/>
      <c r="I2631" t="inlineStr"/>
      <c r="J2631" t="inlineStr">
        <is>
          <t>VCA</t>
        </is>
      </c>
      <c r="K2631" t="inlineStr">
        <is>
          <t>Planejamento</t>
        </is>
      </c>
      <c r="L2631" t="inlineStr">
        <is>
          <t>PDS-Maio.docx</t>
        </is>
      </c>
      <c r="M2631">
        <f>IF($A2631="","",TEXT($A2631,"mmmm/yyyy"))</f>
        <v/>
      </c>
      <c r="P2631">
        <f>IFERROR(XLOOKUP($N2631,Base_Enderecos!$A:$A,Base_Enderecos!$B:$B,""),"")</f>
        <v/>
      </c>
      <c r="Q2631">
        <f>IFERROR(XLOOKUP($N2631,Base_Enderecos!$A:$A,Base_Enderecos!$C:$C,""),"")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46168</v>
      </c>
      <c r="B2632" t="inlineStr">
        <is>
          <t>Terça</t>
        </is>
      </c>
      <c r="C2632" t="inlineStr">
        <is>
          <t>RCE São Lucas</t>
        </is>
      </c>
      <c r="D2632" t="inlineStr">
        <is>
          <t>Fábio (rce Rua São João)</t>
        </is>
      </c>
      <c r="E2632" t="inlineStr">
        <is>
          <t>Antonio (pi 01 Ao Pi 02)*</t>
        </is>
      </c>
      <c r="F2632" t="inlineStr">
        <is>
          <t>VCA, PVs e Ligações</t>
        </is>
      </c>
      <c r="G2632" t="inlineStr"/>
      <c r="H2632" t="inlineStr"/>
      <c r="I2632" t="inlineStr"/>
      <c r="J2632" t="inlineStr">
        <is>
          <t>VCA</t>
        </is>
      </c>
      <c r="K2632" t="inlineStr">
        <is>
          <t>Planejamento</t>
        </is>
      </c>
      <c r="L2632" t="inlineStr">
        <is>
          <t>PDS-Maio.docx</t>
        </is>
      </c>
      <c r="M2632">
        <f>IF($A2632="","",TEXT($A2632,"mmmm/yyyy"))</f>
        <v/>
      </c>
      <c r="P2632">
        <f>IFERROR(XLOOKUP($N2632,Base_Enderecos!$A:$A,Base_Enderecos!$B:$B,""),"")</f>
        <v/>
      </c>
      <c r="Q2632">
        <f>IFERROR(XLOOKUP($N2632,Base_Enderecos!$A:$A,Base_Enderecos!$C:$C,""),"")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46168</v>
      </c>
      <c r="B2633" t="inlineStr">
        <is>
          <t>Terça</t>
        </is>
      </c>
      <c r="C2633" t="inlineStr">
        <is>
          <t>RCE São Lucas</t>
        </is>
      </c>
      <c r="D2633" t="inlineStr">
        <is>
          <t>Fábio (rce Rua São João)</t>
        </is>
      </c>
      <c r="E2633" t="inlineStr">
        <is>
          <t>Emanuel Go-01</t>
        </is>
      </c>
      <c r="F2633" t="inlineStr">
        <is>
          <t>VCA, PVs e Ligações; (PI 32 ao PI 33)</t>
        </is>
      </c>
      <c r="G2633" t="inlineStr">
        <is>
          <t>32</t>
        </is>
      </c>
      <c r="H2633" t="inlineStr">
        <is>
          <t>33</t>
        </is>
      </c>
      <c r="I2633" t="inlineStr">
        <is>
          <t>32 ao 33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PDS-Maio.docx</t>
        </is>
      </c>
      <c r="M2633">
        <f>IF($A2633="","",TEXT($A2633,"mmmm/yyyy"))</f>
        <v/>
      </c>
      <c r="P2633">
        <f>IFERROR(XLOOKUP($N2633,Base_Enderecos!$A:$A,Base_Enderecos!$B:$B,""),"")</f>
        <v/>
      </c>
      <c r="Q2633">
        <f>IFERROR(XLOOKUP($N2633,Base_Enderecos!$A:$A,Base_Enderecos!$C:$C,""),"")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46168</v>
      </c>
      <c r="B2634" t="inlineStr">
        <is>
          <t>Terça</t>
        </is>
      </c>
      <c r="C2634" t="inlineStr">
        <is>
          <t>RCE São Lucas</t>
        </is>
      </c>
      <c r="D2634" t="inlineStr">
        <is>
          <t>Fábio (rce Rua São João)</t>
        </is>
      </c>
      <c r="E2634" t="inlineStr">
        <is>
          <t>Miro Go-02</t>
        </is>
      </c>
      <c r="F2634" t="inlineStr">
        <is>
          <t>VCA, PVs e Ligações; (PI 32 ao PI 33)</t>
        </is>
      </c>
      <c r="G2634" t="inlineStr">
        <is>
          <t>32</t>
        </is>
      </c>
      <c r="H2634" t="inlineStr">
        <is>
          <t>33</t>
        </is>
      </c>
      <c r="I2634" t="inlineStr">
        <is>
          <t>32 ao 33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PDS-Maio.docx</t>
        </is>
      </c>
      <c r="M2634">
        <f>IF($A2634="","",TEXT($A2634,"mmmm/yyyy"))</f>
        <v/>
      </c>
      <c r="P2634">
        <f>IFERROR(XLOOKUP($N2634,Base_Enderecos!$A:$A,Base_Enderecos!$B:$B,""),"")</f>
        <v/>
      </c>
      <c r="Q2634">
        <f>IFERROR(XLOOKUP($N2634,Base_Enderecos!$A:$A,Base_Enderecos!$C:$C,""),"")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46168</v>
      </c>
      <c r="B2635" t="inlineStr">
        <is>
          <t>Terça</t>
        </is>
      </c>
      <c r="C2635" t="inlineStr">
        <is>
          <t>CTS Lourdes Complementar</t>
        </is>
      </c>
      <c r="D2635" t="inlineStr">
        <is>
          <t>Robson</t>
        </is>
      </c>
      <c r="E2635" t="inlineStr">
        <is>
          <t>Gr Drill</t>
        </is>
      </c>
      <c r="F2635" t="inlineStr">
        <is>
          <t>Furo Piloto e puxe PV 03 ao PV 04</t>
        </is>
      </c>
      <c r="G2635" t="inlineStr">
        <is>
          <t>03</t>
        </is>
      </c>
      <c r="H2635" t="inlineStr">
        <is>
          <t>04</t>
        </is>
      </c>
      <c r="I2635" t="inlineStr">
        <is>
          <t>03 ao 04</t>
        </is>
      </c>
      <c r="J2635" t="inlineStr">
        <is>
          <t>HDD</t>
        </is>
      </c>
      <c r="K2635" t="inlineStr">
        <is>
          <t>Planejamento</t>
        </is>
      </c>
      <c r="L2635" t="inlineStr">
        <is>
          <t>PDS-Maio.docx</t>
        </is>
      </c>
      <c r="M2635">
        <f>IF($A2635="","",TEXT($A2635,"mmmm/yyyy"))</f>
        <v/>
      </c>
      <c r="P2635">
        <f>IFERROR(XLOOKUP($N2635,Base_Enderecos!$A:$A,Base_Enderecos!$B:$B,""),"")</f>
        <v/>
      </c>
      <c r="Q2635">
        <f>IFERROR(XLOOKUP($N2635,Base_Enderecos!$A:$A,Base_Enderecos!$C:$C,""),"")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46168</v>
      </c>
      <c r="B2636" t="inlineStr">
        <is>
          <t>Terça</t>
        </is>
      </c>
      <c r="C2636" t="inlineStr">
        <is>
          <t>CTS Lourdes Complementar</t>
        </is>
      </c>
      <c r="D2636" t="inlineStr">
        <is>
          <t>Robson</t>
        </is>
      </c>
      <c r="E2636" t="inlineStr">
        <is>
          <t>Medeiros</t>
        </is>
      </c>
      <c r="F2636" t="inlineStr">
        <is>
          <t>Apoio HDD</t>
        </is>
      </c>
      <c r="G2636" t="inlineStr"/>
      <c r="H2636" t="inlineStr"/>
      <c r="I2636" t="inlineStr"/>
      <c r="J2636" t="inlineStr">
        <is>
          <t>HDD</t>
        </is>
      </c>
      <c r="K2636" t="inlineStr">
        <is>
          <t>Planejamento</t>
        </is>
      </c>
      <c r="L2636" t="inlineStr">
        <is>
          <t>PDS-Maio.docx</t>
        </is>
      </c>
      <c r="M2636">
        <f>IF($A2636="","",TEXT($A2636,"mmmm/yyyy"))</f>
        <v/>
      </c>
      <c r="P2636">
        <f>IFERROR(XLOOKUP($N2636,Base_Enderecos!$A:$A,Base_Enderecos!$B:$B,""),"")</f>
        <v/>
      </c>
      <c r="Q2636">
        <f>IFERROR(XLOOKUP($N2636,Base_Enderecos!$A:$A,Base_Enderecos!$C:$C,""),"")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46168</v>
      </c>
      <c r="B2637" t="inlineStr">
        <is>
          <t>Terça</t>
        </is>
      </c>
      <c r="C2637" t="inlineStr">
        <is>
          <t>CTS Lourdes Complementar</t>
        </is>
      </c>
      <c r="D2637" t="inlineStr">
        <is>
          <t>Robson</t>
        </is>
      </c>
      <c r="E2637" t="inlineStr">
        <is>
          <t>Cesar</t>
        </is>
      </c>
      <c r="F2637" t="inlineStr">
        <is>
          <t>Transformação e interligação PV 01</t>
        </is>
      </c>
      <c r="G2637" t="inlineStr">
        <is>
          <t>01</t>
        </is>
      </c>
      <c r="H2637" t="inlineStr"/>
      <c r="I2637" t="inlineStr">
        <is>
          <t>01</t>
        </is>
      </c>
      <c r="J2637" t="inlineStr">
        <is>
          <t>Transformação</t>
        </is>
      </c>
      <c r="K2637" t="inlineStr">
        <is>
          <t>Planejamento</t>
        </is>
      </c>
      <c r="L2637" t="inlineStr">
        <is>
          <t>PDS-Maio.docx</t>
        </is>
      </c>
      <c r="M2637">
        <f>IF($A2637="","",TEXT($A2637,"mmmm/yyyy"))</f>
        <v/>
      </c>
      <c r="P2637">
        <f>IFERROR(XLOOKUP($N2637,Base_Enderecos!$A:$A,Base_Enderecos!$B:$B,""),"")</f>
        <v/>
      </c>
      <c r="Q2637">
        <f>IFERROR(XLOOKUP($N2637,Base_Enderecos!$A:$A,Base_Enderecos!$C:$C,""),"")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46168</v>
      </c>
      <c r="B2638" t="inlineStr">
        <is>
          <t>Terça</t>
        </is>
      </c>
      <c r="C2638" t="inlineStr">
        <is>
          <t>CTS Lourdes Complementar</t>
        </is>
      </c>
      <c r="D2638" t="inlineStr">
        <is>
          <t>Robson</t>
        </is>
      </c>
      <c r="E2638" t="inlineStr">
        <is>
          <t>Edvando</t>
        </is>
      </c>
      <c r="F2638" t="inlineStr">
        <is>
          <t>Transformação PV 02</t>
        </is>
      </c>
      <c r="G2638" t="inlineStr">
        <is>
          <t>02</t>
        </is>
      </c>
      <c r="H2638" t="inlineStr"/>
      <c r="I2638" t="inlineStr">
        <is>
          <t>02</t>
        </is>
      </c>
      <c r="J2638" t="inlineStr">
        <is>
          <t>Transformação</t>
        </is>
      </c>
      <c r="K2638" t="inlineStr">
        <is>
          <t>Planejamento</t>
        </is>
      </c>
      <c r="L2638" t="inlineStr">
        <is>
          <t>PDS-Maio.docx</t>
        </is>
      </c>
      <c r="M2638">
        <f>IF($A2638="","",TEXT($A2638,"mmmm/yyyy"))</f>
        <v/>
      </c>
      <c r="P2638">
        <f>IFERROR(XLOOKUP($N2638,Base_Enderecos!$A:$A,Base_Enderecos!$B:$B,""),"")</f>
        <v/>
      </c>
      <c r="Q2638">
        <f>IFERROR(XLOOKUP($N2638,Base_Enderecos!$A:$A,Base_Enderecos!$C:$C,""),"")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46168</v>
      </c>
      <c r="B2639" t="inlineStr">
        <is>
          <t>Terça</t>
        </is>
      </c>
      <c r="C2639" t="inlineStr">
        <is>
          <t>CTS Mar De Coral</t>
        </is>
      </c>
      <c r="D2639" t="inlineStr">
        <is>
          <t>Silvestre</t>
        </is>
      </c>
      <c r="E2639" t="inlineStr">
        <is>
          <t>Jonathan</t>
        </is>
      </c>
      <c r="F2639" t="inlineStr">
        <is>
          <t>VCA Condomínio</t>
        </is>
      </c>
      <c r="G2639" t="inlineStr"/>
      <c r="H2639" t="inlineStr"/>
      <c r="I2639" t="inlineStr"/>
      <c r="J2639" t="inlineStr">
        <is>
          <t>VCA</t>
        </is>
      </c>
      <c r="K2639" t="inlineStr">
        <is>
          <t>Planejamento</t>
        </is>
      </c>
      <c r="L2639" t="inlineStr">
        <is>
          <t>PDS-Maio.docx</t>
        </is>
      </c>
      <c r="M2639">
        <f>IF($A2639="","",TEXT($A2639,"mmmm/yyyy"))</f>
        <v/>
      </c>
      <c r="P2639">
        <f>IFERROR(XLOOKUP($N2639,Base_Enderecos!$A:$A,Base_Enderecos!$B:$B,""),"")</f>
        <v/>
      </c>
      <c r="Q2639">
        <f>IFERROR(XLOOKUP($N2639,Base_Enderecos!$A:$A,Base_Enderecos!$C:$C,""),"")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46168</v>
      </c>
      <c r="B2640" t="inlineStr">
        <is>
          <t>Terça</t>
        </is>
      </c>
      <c r="C2640" t="inlineStr">
        <is>
          <t>CTS Mar De Coral</t>
        </is>
      </c>
      <c r="D2640" t="inlineStr">
        <is>
          <t>Silvestre</t>
        </is>
      </c>
      <c r="E2640" t="inlineStr">
        <is>
          <t>Marcio</t>
        </is>
      </c>
      <c r="F2640" t="inlineStr">
        <is>
          <t>Substituição rede – Cerâmica p/ PVC – PV 33</t>
        </is>
      </c>
      <c r="G2640" t="inlineStr">
        <is>
          <t>33</t>
        </is>
      </c>
      <c r="H2640" t="inlineStr"/>
      <c r="I2640" t="inlineStr">
        <is>
          <t>33</t>
        </is>
      </c>
      <c r="J2640" t="inlineStr">
        <is>
          <t>Atividade</t>
        </is>
      </c>
      <c r="K2640" t="inlineStr">
        <is>
          <t>Planejamento</t>
        </is>
      </c>
      <c r="L2640" t="inlineStr">
        <is>
          <t>PDS-Maio.docx</t>
        </is>
      </c>
      <c r="M2640">
        <f>IF($A2640="","",TEXT($A2640,"mmmm/yyyy"))</f>
        <v/>
      </c>
      <c r="P2640">
        <f>IFERROR(XLOOKUP($N2640,Base_Enderecos!$A:$A,Base_Enderecos!$B:$B,""),"")</f>
        <v/>
      </c>
      <c r="Q2640">
        <f>IFERROR(XLOOKUP($N2640,Base_Enderecos!$A:$A,Base_Enderecos!$C:$C,""),"")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46168</v>
      </c>
      <c r="B2641" t="inlineStr">
        <is>
          <t>Terça</t>
        </is>
      </c>
      <c r="C2641" t="inlineStr">
        <is>
          <t>CTS Mar De Coral</t>
        </is>
      </c>
      <c r="D2641" t="inlineStr">
        <is>
          <t>Silvestre</t>
        </is>
      </c>
      <c r="E2641" t="inlineStr">
        <is>
          <t>Marcio</t>
        </is>
      </c>
      <c r="F2641" t="inlineStr">
        <is>
          <t>SERVIÇOS REPOSIÇÃO – LEANDRO</t>
        </is>
      </c>
      <c r="G2641" t="inlineStr"/>
      <c r="H2641" t="inlineStr"/>
      <c r="I2641" t="inlineStr"/>
      <c r="J2641" t="inlineStr">
        <is>
          <t>Atividade</t>
        </is>
      </c>
      <c r="K2641" t="inlineStr">
        <is>
          <t>Planejamento</t>
        </is>
      </c>
      <c r="L2641" t="inlineStr">
        <is>
          <t>PDS-Maio.docx</t>
        </is>
      </c>
      <c r="M2641">
        <f>IF($A2641="","",TEXT($A2641,"mmmm/yyyy"))</f>
        <v/>
      </c>
      <c r="P2641">
        <f>IFERROR(XLOOKUP($N2641,Base_Enderecos!$A:$A,Base_Enderecos!$B:$B,""),"")</f>
        <v/>
      </c>
      <c r="Q2641">
        <f>IFERROR(XLOOKUP($N2641,Base_Enderecos!$A:$A,Base_Enderecos!$C:$C,""),"")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46168</v>
      </c>
      <c r="B2642" t="inlineStr">
        <is>
          <t>Terça</t>
        </is>
      </c>
      <c r="C2642" t="inlineStr">
        <is>
          <t>CTS Mar De Coral</t>
        </is>
      </c>
      <c r="D2642" t="inlineStr">
        <is>
          <t>Silvestre</t>
        </is>
      </c>
      <c r="E2642" t="inlineStr">
        <is>
          <t>Marcio</t>
        </is>
      </c>
      <c r="F2642" t="inlineStr">
        <is>
          <t>Reparos Gerais</t>
        </is>
      </c>
      <c r="G2642" t="inlineStr"/>
      <c r="H2642" t="inlineStr"/>
      <c r="I2642" t="inlineStr"/>
      <c r="J2642" t="inlineStr">
        <is>
          <t>Atividade</t>
        </is>
      </c>
      <c r="K2642" t="inlineStr">
        <is>
          <t>Planejamento</t>
        </is>
      </c>
      <c r="L2642" t="inlineStr">
        <is>
          <t>PDS-Maio.docx</t>
        </is>
      </c>
      <c r="M2642">
        <f>IF($A2642="","",TEXT($A2642,"mmmm/yyyy"))</f>
        <v/>
      </c>
      <c r="P2642">
        <f>IFERROR(XLOOKUP($N2642,Base_Enderecos!$A:$A,Base_Enderecos!$B:$B,""),"")</f>
        <v/>
      </c>
      <c r="Q2642">
        <f>IFERROR(XLOOKUP($N2642,Base_Enderecos!$A:$A,Base_Enderecos!$C:$C,""),"")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46168</v>
      </c>
      <c r="B2643" t="inlineStr">
        <is>
          <t>Terça</t>
        </is>
      </c>
      <c r="C2643" t="inlineStr">
        <is>
          <t>João Canzi</t>
        </is>
      </c>
      <c r="D2643" t="inlineStr"/>
      <c r="E2643" t="inlineStr">
        <is>
          <t>Vacal</t>
        </is>
      </c>
      <c r="F2643" t="inlineStr">
        <is>
          <t>João Canzi – Renasce</t>
        </is>
      </c>
      <c r="G2643" t="inlineStr"/>
      <c r="H2643" t="inlineStr"/>
      <c r="I2643" t="inlineStr"/>
      <c r="J2643" t="inlineStr">
        <is>
          <t>Atividade</t>
        </is>
      </c>
      <c r="K2643" t="inlineStr">
        <is>
          <t>Apoio</t>
        </is>
      </c>
      <c r="L2643" t="inlineStr">
        <is>
          <t>PDS-Maio.docx</t>
        </is>
      </c>
      <c r="M2643">
        <f>IF($A2643="","",TEXT($A2643,"mmmm/yyyy"))</f>
        <v/>
      </c>
      <c r="P2643">
        <f>IFERROR(XLOOKUP($N2643,Base_Enderecos!$A:$A,Base_Enderecos!$B:$B,""),"")</f>
        <v/>
      </c>
      <c r="Q2643">
        <f>IFERROR(XLOOKUP($N2643,Base_Enderecos!$A:$A,Base_Enderecos!$C:$C,""),"")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46168</v>
      </c>
      <c r="B2644" t="inlineStr">
        <is>
          <t>Terça</t>
        </is>
      </c>
      <c r="C2644" t="inlineStr">
        <is>
          <t>João Canzi</t>
        </is>
      </c>
      <c r="D2644" t="inlineStr"/>
      <c r="E2644" t="inlineStr">
        <is>
          <t>Vacal</t>
        </is>
      </c>
      <c r="F2644" t="inlineStr">
        <is>
          <t>João Canzi – Henko</t>
        </is>
      </c>
      <c r="G2644" t="inlineStr"/>
      <c r="H2644" t="inlineStr"/>
      <c r="I2644" t="inlineStr"/>
      <c r="J2644" t="inlineStr">
        <is>
          <t>Atividade</t>
        </is>
      </c>
      <c r="K2644" t="inlineStr">
        <is>
          <t>Apoio</t>
        </is>
      </c>
      <c r="L2644" t="inlineStr">
        <is>
          <t>PDS-Maio.docx</t>
        </is>
      </c>
      <c r="M2644">
        <f>IF($A2644="","",TEXT($A2644,"mmmm/yyyy"))</f>
        <v/>
      </c>
      <c r="P2644">
        <f>IFERROR(XLOOKUP($N2644,Base_Enderecos!$A:$A,Base_Enderecos!$B:$B,""),"")</f>
        <v/>
      </c>
      <c r="Q2644">
        <f>IFERROR(XLOOKUP($N2644,Base_Enderecos!$A:$A,Base_Enderecos!$C:$C,""),"")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46168</v>
      </c>
      <c r="B2645" t="inlineStr">
        <is>
          <t>Terça</t>
        </is>
      </c>
      <c r="C2645" t="inlineStr">
        <is>
          <t>Lourdes</t>
        </is>
      </c>
      <c r="D2645" t="inlineStr"/>
      <c r="E2645" t="inlineStr">
        <is>
          <t>Vacal</t>
        </is>
      </c>
      <c r="F2645" t="inlineStr">
        <is>
          <t>Lourdes - Hidrosol</t>
        </is>
      </c>
      <c r="G2645" t="inlineStr"/>
      <c r="H2645" t="inlineStr"/>
      <c r="I2645" t="inlineStr"/>
      <c r="J2645" t="inlineStr">
        <is>
          <t>Atividade</t>
        </is>
      </c>
      <c r="K2645" t="inlineStr">
        <is>
          <t>Apoio</t>
        </is>
      </c>
      <c r="L2645" t="inlineStr">
        <is>
          <t>PDS-Maio.docx</t>
        </is>
      </c>
      <c r="M2645">
        <f>IF($A2645="","",TEXT($A2645,"mmmm/yyyy"))</f>
        <v/>
      </c>
      <c r="P2645">
        <f>IFERROR(XLOOKUP($N2645,Base_Enderecos!$A:$A,Base_Enderecos!$B:$B,""),"")</f>
        <v/>
      </c>
      <c r="Q2645">
        <f>IFERROR(XLOOKUP($N2645,Base_Enderecos!$A:$A,Base_Enderecos!$C:$C,""),"")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46168</v>
      </c>
      <c r="B2646" t="inlineStr">
        <is>
          <t>Terça</t>
        </is>
      </c>
      <c r="C2646" t="inlineStr">
        <is>
          <t>Lourdes</t>
        </is>
      </c>
      <c r="D2646" t="inlineStr"/>
      <c r="E2646" t="inlineStr">
        <is>
          <t>Vacal</t>
        </is>
      </c>
      <c r="F2646" t="inlineStr">
        <is>
          <t>Lourdes – Henko</t>
        </is>
      </c>
      <c r="G2646" t="inlineStr"/>
      <c r="H2646" t="inlineStr"/>
      <c r="I2646" t="inlineStr"/>
      <c r="J2646" t="inlineStr">
        <is>
          <t>Atividade</t>
        </is>
      </c>
      <c r="K2646" t="inlineStr">
        <is>
          <t>Apoio</t>
        </is>
      </c>
      <c r="L2646" t="inlineStr">
        <is>
          <t>PDS-Maio.docx</t>
        </is>
      </c>
      <c r="M2646">
        <f>IF($A2646="","",TEXT($A2646,"mmmm/yyyy"))</f>
        <v/>
      </c>
      <c r="P2646">
        <f>IFERROR(XLOOKUP($N2646,Base_Enderecos!$A:$A,Base_Enderecos!$B:$B,""),"")</f>
        <v/>
      </c>
      <c r="Q2646">
        <f>IFERROR(XLOOKUP($N2646,Base_Enderecos!$A:$A,Base_Enderecos!$C:$C,""),"")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46168</v>
      </c>
      <c r="B2647" t="inlineStr">
        <is>
          <t>Terça</t>
        </is>
      </c>
      <c r="C2647" t="inlineStr">
        <is>
          <t>Guindauto</t>
        </is>
      </c>
      <c r="D2647" t="inlineStr"/>
      <c r="E2647" t="inlineStr">
        <is>
          <t>Guindauto</t>
        </is>
      </c>
      <c r="F2647" t="inlineStr">
        <is>
          <t>Marcio - Apoio as equipes</t>
        </is>
      </c>
      <c r="G2647" t="inlineStr"/>
      <c r="H2647" t="inlineStr"/>
      <c r="I2647" t="inlineStr"/>
      <c r="J2647" t="inlineStr">
        <is>
          <t>Atividade</t>
        </is>
      </c>
      <c r="K2647" t="inlineStr">
        <is>
          <t>Apoio</t>
        </is>
      </c>
      <c r="L2647" t="inlineStr">
        <is>
          <t>PDS-Maio.docx</t>
        </is>
      </c>
      <c r="M2647">
        <f>IF($A2647="","",TEXT($A2647,"mmmm/yyyy"))</f>
        <v/>
      </c>
      <c r="P2647">
        <f>IFERROR(XLOOKUP($N2647,Base_Enderecos!$A:$A,Base_Enderecos!$B:$B,""),"")</f>
        <v/>
      </c>
      <c r="Q2647">
        <f>IFERROR(XLOOKUP($N2647,Base_Enderecos!$A:$A,Base_Enderecos!$C:$C,""),"")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46168</v>
      </c>
      <c r="B2648" t="inlineStr">
        <is>
          <t>Terça</t>
        </is>
      </c>
      <c r="C2648" t="inlineStr">
        <is>
          <t>Guindauto</t>
        </is>
      </c>
      <c r="D2648" t="inlineStr"/>
      <c r="E2648" t="inlineStr">
        <is>
          <t>Guindauto</t>
        </is>
      </c>
      <c r="F2648" t="inlineStr">
        <is>
          <t>Luiz Carlos - Apoio as equipes</t>
        </is>
      </c>
      <c r="G2648" t="inlineStr"/>
      <c r="H2648" t="inlineStr"/>
      <c r="I2648" t="inlineStr"/>
      <c r="J2648" t="inlineStr">
        <is>
          <t>Atividade</t>
        </is>
      </c>
      <c r="K2648" t="inlineStr">
        <is>
          <t>Apoio</t>
        </is>
      </c>
      <c r="L2648" t="inlineStr">
        <is>
          <t>PDS-Maio.docx</t>
        </is>
      </c>
      <c r="M2648">
        <f>IF($A2648="","",TEXT($A2648,"mmmm/yyyy"))</f>
        <v/>
      </c>
      <c r="P2648">
        <f>IFERROR(XLOOKUP($N2648,Base_Enderecos!$A:$A,Base_Enderecos!$B:$B,""),"")</f>
        <v/>
      </c>
      <c r="Q2648">
        <f>IFERROR(XLOOKUP($N2648,Base_Enderecos!$A:$A,Base_Enderecos!$C:$C,""),"")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2026-05-26T11:50:04Z</dcterms:modified>
  <cp:lastModifiedBy>Cleulton Marcio Goncalves Freire</cp:lastModifiedBy>
</cp:coreProperties>
</file>