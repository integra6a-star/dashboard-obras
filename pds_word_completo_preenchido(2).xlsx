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6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46176</v>
      </c>
      <c r="B2734" t="inlineStr">
        <is>
          <t>Quarta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Puxe do PV-16 ao PV-17</t>
        </is>
      </c>
      <c r="G2734" t="inlineStr">
        <is>
          <t>16</t>
        </is>
      </c>
      <c r="H2734" t="inlineStr">
        <is>
          <t>17</t>
        </is>
      </c>
      <c r="I2734" t="inlineStr">
        <is>
          <t>16 ao 17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pds_colado_2026-06-03_a_2026-06-08.txt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46176</v>
      </c>
      <c r="B2735" t="inlineStr">
        <is>
          <t>Quarta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pds_colado_2026-06-03_a_2026-06-08.txt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46176</v>
      </c>
      <c r="B2736" t="inlineStr">
        <is>
          <t>Quarta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pds_colado_2026-06-03_a_2026-06-08.txt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46176</v>
      </c>
      <c r="B2737" t="inlineStr">
        <is>
          <t>Quarta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Cidão</t>
        </is>
      </c>
      <c r="F2737" t="inlineStr">
        <is>
          <t>Transformação PV 15</t>
        </is>
      </c>
      <c r="G2737" t="inlineStr">
        <is>
          <t>15</t>
        </is>
      </c>
      <c r="I2737" t="inlineStr">
        <is>
          <t>15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pds_colado_2026-06-03_a_2026-06-08.txt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46176</v>
      </c>
      <c r="B2738" t="inlineStr">
        <is>
          <t>Quarta</t>
        </is>
      </c>
      <c r="C2738" t="inlineStr">
        <is>
          <t>CT João Canzi</t>
        </is>
      </c>
      <c r="D2738" t="inlineStr">
        <is>
          <t>Valmir</t>
        </is>
      </c>
      <c r="E2738" t="inlineStr">
        <is>
          <t>Márcio</t>
        </is>
      </c>
      <c r="F2738" t="inlineStr">
        <is>
          <t>Nivelamento BGS</t>
        </is>
      </c>
      <c r="J2738" t="inlineStr">
        <is>
          <t>Atividade</t>
        </is>
      </c>
      <c r="K2738" t="inlineStr">
        <is>
          <t>Planejamento</t>
        </is>
      </c>
      <c r="L2738" t="inlineStr">
        <is>
          <t>pds_colado_2026-06-03_a_2026-06-08.txt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46176</v>
      </c>
      <c r="B2739" t="inlineStr">
        <is>
          <t>Quarta</t>
        </is>
      </c>
      <c r="C2739" t="inlineStr">
        <is>
          <t>RCE Elvira</t>
        </is>
      </c>
      <c r="D2739" t="inlineStr">
        <is>
          <t>Silvestre</t>
        </is>
      </c>
      <c r="E2739" t="inlineStr">
        <is>
          <t>Valter</t>
        </is>
      </c>
      <c r="F2739" t="inlineStr">
        <is>
          <t>VCA, PVs e Ligações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pds_colado_2026-06-03_a_2026-06-08.txt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46176</v>
      </c>
      <c r="B2740" t="inlineStr">
        <is>
          <t>Quarta</t>
        </is>
      </c>
      <c r="C2740" t="inlineStr">
        <is>
          <t>RCE Conj. União</t>
        </is>
      </c>
      <c r="D2740" t="inlineStr">
        <is>
          <t>Silvestre</t>
        </is>
      </c>
      <c r="E2740" t="inlineStr">
        <is>
          <t>Jonathan</t>
        </is>
      </c>
      <c r="F2740" t="inlineStr">
        <is>
          <t>Transformação PV 40.1</t>
        </is>
      </c>
      <c r="G2740" t="inlineStr">
        <is>
          <t>40.1</t>
        </is>
      </c>
      <c r="I2740" t="inlineStr">
        <is>
          <t>40.1</t>
        </is>
      </c>
      <c r="J2740" t="inlineStr">
        <is>
          <t>Transformação</t>
        </is>
      </c>
      <c r="K2740" t="inlineStr">
        <is>
          <t>Planejamento</t>
        </is>
      </c>
      <c r="L2740" t="inlineStr">
        <is>
          <t>pds_colado_2026-06-03_a_2026-06-08.txt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46176</v>
      </c>
      <c r="B2741" t="inlineStr">
        <is>
          <t>Quarta</t>
        </is>
      </c>
      <c r="C2741" t="inlineStr">
        <is>
          <t>RCE Elias Sleiman / CT João Canzi</t>
        </is>
      </c>
      <c r="D2741" t="inlineStr">
        <is>
          <t>Silvestre</t>
        </is>
      </c>
      <c r="E2741" t="inlineStr">
        <is>
          <t>Edvando</t>
        </is>
      </c>
      <c r="F2741" t="inlineStr">
        <is>
          <t>VCA + interl PV 17 ao PV 22</t>
        </is>
      </c>
      <c r="G2741" t="inlineStr">
        <is>
          <t>17</t>
        </is>
      </c>
      <c r="H2741" t="inlineStr">
        <is>
          <t>22</t>
        </is>
      </c>
      <c r="I2741" t="inlineStr">
        <is>
          <t>17 ao 22</t>
        </is>
      </c>
      <c r="J2741" t="inlineStr">
        <is>
          <t>VCA</t>
        </is>
      </c>
      <c r="K2741" t="inlineStr">
        <is>
          <t>Planejamento</t>
        </is>
      </c>
      <c r="L2741" t="inlineStr">
        <is>
          <t>pds_colado_2026-06-03_a_2026-06-08.txt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46176</v>
      </c>
      <c r="B2742" t="inlineStr">
        <is>
          <t>Quarta</t>
        </is>
      </c>
      <c r="C2742" t="inlineStr">
        <is>
          <t>RCE São Lucas</t>
        </is>
      </c>
      <c r="D2742" t="inlineStr">
        <is>
          <t>Fábio</t>
        </is>
      </c>
      <c r="E2742" t="inlineStr">
        <is>
          <t>Ricardo</t>
        </is>
      </c>
      <c r="F2742" t="inlineStr">
        <is>
          <t>VCA, PVs e Ligações; (PI 08 ao PI 09)</t>
        </is>
      </c>
      <c r="G2742" t="inlineStr">
        <is>
          <t>08</t>
        </is>
      </c>
      <c r="H2742" t="inlineStr">
        <is>
          <t>09</t>
        </is>
      </c>
      <c r="I2742" t="inlineStr">
        <is>
          <t>08 ao 09</t>
        </is>
      </c>
      <c r="J2742" t="inlineStr">
        <is>
          <t>VCA</t>
        </is>
      </c>
      <c r="K2742" t="inlineStr">
        <is>
          <t>Planejamento</t>
        </is>
      </c>
      <c r="L2742" t="inlineStr">
        <is>
          <t>pds_colado_2026-06-03_a_2026-06-08.txt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46176</v>
      </c>
      <c r="B2743" t="inlineStr">
        <is>
          <t>Quarta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Claudinei</t>
        </is>
      </c>
      <c r="F2743" t="inlineStr">
        <is>
          <t>VCA, PVs e Ligações; (PI 37 ao PI 38)</t>
        </is>
      </c>
      <c r="G2743" t="inlineStr">
        <is>
          <t>37</t>
        </is>
      </c>
      <c r="H2743" t="inlineStr">
        <is>
          <t>38</t>
        </is>
      </c>
      <c r="I2743" t="inlineStr">
        <is>
          <t>37 ao 38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pds_colado_2026-06-03_a_2026-06-08.txt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46176</v>
      </c>
      <c r="B2744" t="inlineStr">
        <is>
          <t>Quarta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Miro</t>
        </is>
      </c>
      <c r="F2744" t="inlineStr">
        <is>
          <t>VCA, PVs e Ligações; (PI 32 ao PI 60)</t>
        </is>
      </c>
      <c r="G2744" t="inlineStr">
        <is>
          <t>32</t>
        </is>
      </c>
      <c r="H2744" t="inlineStr">
        <is>
          <t>60</t>
        </is>
      </c>
      <c r="I2744" t="inlineStr">
        <is>
          <t>32 ao 60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pds_colado_2026-06-03_a_2026-06-08.txt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46176</v>
      </c>
      <c r="B2745" t="inlineStr">
        <is>
          <t>Quarta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Emanuel</t>
        </is>
      </c>
      <c r="F2745" t="inlineStr">
        <is>
          <t>VCA, PVs e Ligações; (PI 32 ao PI 60)</t>
        </is>
      </c>
      <c r="G2745" t="inlineStr">
        <is>
          <t>32</t>
        </is>
      </c>
      <c r="H2745" t="inlineStr">
        <is>
          <t>60</t>
        </is>
      </c>
      <c r="I2745" t="inlineStr">
        <is>
          <t>32 ao 60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pds_colado_2026-06-03_a_2026-06-08.txt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46176</v>
      </c>
      <c r="B2746" t="inlineStr">
        <is>
          <t>Quarta</t>
        </is>
      </c>
      <c r="C2746" t="inlineStr">
        <is>
          <t>RCE Rua São João</t>
        </is>
      </c>
      <c r="D2746" t="inlineStr">
        <is>
          <t>Fábio</t>
        </is>
      </c>
      <c r="E2746" t="inlineStr">
        <is>
          <t>Antonio</t>
        </is>
      </c>
      <c r="F2746" t="inlineStr">
        <is>
          <t>VCA, PVs e Ligações; (PV 02 ao PV 04)*</t>
        </is>
      </c>
      <c r="G2746" t="inlineStr">
        <is>
          <t>02</t>
        </is>
      </c>
      <c r="H2746" t="inlineStr">
        <is>
          <t>04</t>
        </is>
      </c>
      <c r="I2746" t="inlineStr">
        <is>
          <t>02 ao 04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pds_colado_2026-06-03_a_2026-06-08.txt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46176</v>
      </c>
      <c r="B2747" t="inlineStr">
        <is>
          <t>Quarta</t>
        </is>
      </c>
      <c r="C2747" t="inlineStr">
        <is>
          <t>CTS Lourdes Complementar</t>
        </is>
      </c>
      <c r="D2747" t="inlineStr">
        <is>
          <t>Robson</t>
        </is>
      </c>
      <c r="E2747" t="inlineStr">
        <is>
          <t>Cesar</t>
        </is>
      </c>
      <c r="F2747" t="inlineStr">
        <is>
          <t>Transformação PV 03</t>
        </is>
      </c>
      <c r="G2747" t="inlineStr">
        <is>
          <t>03</t>
        </is>
      </c>
      <c r="I2747" t="inlineStr">
        <is>
          <t>03</t>
        </is>
      </c>
      <c r="J2747" t="inlineStr">
        <is>
          <t>Transformação</t>
        </is>
      </c>
      <c r="K2747" t="inlineStr">
        <is>
          <t>Planejamento</t>
        </is>
      </c>
      <c r="L2747" t="inlineStr">
        <is>
          <t>pds_colado_2026-06-03_a_2026-06-08.txt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46176</v>
      </c>
      <c r="B2748" t="inlineStr">
        <is>
          <t>Quarta</t>
        </is>
      </c>
      <c r="C2748" t="inlineStr">
        <is>
          <t>CTS Lourdes Complementar</t>
        </is>
      </c>
      <c r="D2748" t="inlineStr">
        <is>
          <t>Robson</t>
        </is>
      </c>
      <c r="E2748" t="inlineStr">
        <is>
          <t>Marcelo</t>
        </is>
      </c>
      <c r="F2748" t="inlineStr">
        <is>
          <t>Transformação PV 04</t>
        </is>
      </c>
      <c r="G2748" t="inlineStr">
        <is>
          <t>04</t>
        </is>
      </c>
      <c r="I2748" t="inlineStr">
        <is>
          <t>04</t>
        </is>
      </c>
      <c r="J2748" t="inlineStr">
        <is>
          <t>Transformação</t>
        </is>
      </c>
      <c r="K2748" t="inlineStr">
        <is>
          <t>Planejamento</t>
        </is>
      </c>
      <c r="L2748" t="inlineStr">
        <is>
          <t>pds_colado_2026-06-03_a_2026-06-08.txt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46176</v>
      </c>
      <c r="B2749" t="inlineStr">
        <is>
          <t>Quarta</t>
        </is>
      </c>
      <c r="C2749" t="inlineStr">
        <is>
          <t>CTS Lourdes Complementar</t>
        </is>
      </c>
      <c r="D2749" t="inlineStr">
        <is>
          <t>Robson</t>
        </is>
      </c>
      <c r="E2749" t="inlineStr">
        <is>
          <t>Marcelo</t>
        </is>
      </c>
      <c r="F2749" t="inlineStr">
        <is>
          <t>Botelho Mourão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pds_colado_2026-06-03_a_2026-06-08.txt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46176</v>
      </c>
      <c r="B2750" t="inlineStr">
        <is>
          <t>Quarta</t>
        </is>
      </c>
      <c r="C2750" t="inlineStr">
        <is>
          <t>CTS Lourdes Complementar</t>
        </is>
      </c>
      <c r="D2750" t="inlineStr">
        <is>
          <t>Robson</t>
        </is>
      </c>
      <c r="E2750" t="inlineStr">
        <is>
          <t>Márcio</t>
        </is>
      </c>
      <c r="F2750" t="inlineStr">
        <is>
          <t>Nivelamento BGS PV 05</t>
        </is>
      </c>
      <c r="G2750" t="inlineStr">
        <is>
          <t>05</t>
        </is>
      </c>
      <c r="I2750" t="inlineStr">
        <is>
          <t>05</t>
        </is>
      </c>
      <c r="J2750" t="inlineStr">
        <is>
          <t>Atividade</t>
        </is>
      </c>
      <c r="K2750" t="inlineStr">
        <is>
          <t>Planejamento</t>
        </is>
      </c>
      <c r="L2750" t="inlineStr">
        <is>
          <t>pds_colado_2026-06-03_a_2026-06-08.txt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46176</v>
      </c>
      <c r="B2751" t="inlineStr">
        <is>
          <t>Quarta</t>
        </is>
      </c>
      <c r="C2751" t="inlineStr">
        <is>
          <t>João Canzi – Henko (wellington/thiago)</t>
        </is>
      </c>
      <c r="E2751" t="inlineStr">
        <is>
          <t>Vacal</t>
        </is>
      </c>
      <c r="F2751" t="inlineStr">
        <is>
          <t>João Canzi – Henko (Wellington/Thiago)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pds_colado_2026-06-03_a_2026-06-08.txt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46176</v>
      </c>
      <c r="B2752" t="inlineStr">
        <is>
          <t>Quarta</t>
        </is>
      </c>
      <c r="C2752" t="inlineStr">
        <is>
          <t>João Canzi – Renasce (raimundo)</t>
        </is>
      </c>
      <c r="E2752" t="inlineStr">
        <is>
          <t>Vacal</t>
        </is>
      </c>
      <c r="F2752" t="inlineStr">
        <is>
          <t>João Canzi – Renasce (Raimundo)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pds_colado_2026-06-03_a_2026-06-08.txt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46176</v>
      </c>
      <c r="B2753" t="inlineStr">
        <is>
          <t>Quarta</t>
        </is>
      </c>
      <c r="C2753" t="inlineStr">
        <is>
          <t>Lourdes – Henko (marcio)</t>
        </is>
      </c>
      <c r="E2753" t="inlineStr">
        <is>
          <t>Vacal</t>
        </is>
      </c>
      <c r="F2753" t="inlineStr">
        <is>
          <t>Lourdes – Henko (Marcio)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pds_colado_2026-06-03_a_2026-06-08.txt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46176</v>
      </c>
      <c r="B2754" t="inlineStr">
        <is>
          <t>Quarta</t>
        </is>
      </c>
      <c r="C2754" t="inlineStr">
        <is>
          <t>Iti 15 – Henko (osmar)</t>
        </is>
      </c>
      <c r="E2754" t="inlineStr">
        <is>
          <t>Vacal</t>
        </is>
      </c>
      <c r="F2754" t="inlineStr">
        <is>
          <t>ITI 15 – Henko (Osmar)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pds_colado_2026-06-03_a_2026-06-08.txt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46176</v>
      </c>
      <c r="B2755" t="inlineStr">
        <is>
          <t>Quarta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Marcio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pds_colado_2026-06-03_a_2026-06-08.txt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46176</v>
      </c>
      <c r="B2756" t="inlineStr">
        <is>
          <t>Quarta</t>
        </is>
      </c>
      <c r="C2756" t="inlineStr">
        <is>
          <t>Guindauto</t>
        </is>
      </c>
      <c r="E2756" t="inlineStr">
        <is>
          <t>Guindauto</t>
        </is>
      </c>
      <c r="F2756" t="inlineStr">
        <is>
          <t>Luiz - Apoio as equipes</t>
        </is>
      </c>
      <c r="J2756" t="inlineStr">
        <is>
          <t>Atividade</t>
        </is>
      </c>
      <c r="K2756" t="inlineStr">
        <is>
          <t>Apoio</t>
        </is>
      </c>
      <c r="L2756" t="inlineStr">
        <is>
          <t>pds_colado_2026-06-03_a_2026-06-08.txt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46177</v>
      </c>
      <c r="B2757" t="inlineStr">
        <is>
          <t>Quinta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Goiânia Drill</t>
        </is>
      </c>
      <c r="F2757" t="inlineStr">
        <is>
          <t>Piloto do PV-17 ao PV-18</t>
        </is>
      </c>
      <c r="G2757" t="inlineStr">
        <is>
          <t>17</t>
        </is>
      </c>
      <c r="H2757" t="inlineStr">
        <is>
          <t>18</t>
        </is>
      </c>
      <c r="I2757" t="inlineStr">
        <is>
          <t>17 ao 18</t>
        </is>
      </c>
      <c r="J2757" t="inlineStr">
        <is>
          <t>Atividade</t>
        </is>
      </c>
      <c r="K2757" t="inlineStr">
        <is>
          <t>Planejamento</t>
        </is>
      </c>
      <c r="L2757" t="inlineStr">
        <is>
          <t>pds_colado_2026-06-03_a_2026-06-08.txt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46177</v>
      </c>
      <c r="B2758" t="inlineStr">
        <is>
          <t>Quinta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Bruno</t>
        </is>
      </c>
      <c r="F2758" t="inlineStr">
        <is>
          <t>Apoio ao HDD</t>
        </is>
      </c>
      <c r="J2758" t="inlineStr">
        <is>
          <t>HDD</t>
        </is>
      </c>
      <c r="K2758" t="inlineStr">
        <is>
          <t>Planejamento</t>
        </is>
      </c>
      <c r="L2758" t="inlineStr">
        <is>
          <t>pds_colado_2026-06-03_a_2026-06-08.txt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46177</v>
      </c>
      <c r="B2759" t="inlineStr">
        <is>
          <t>Quinta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Medeiros</t>
        </is>
      </c>
      <c r="F2759" t="inlineStr">
        <is>
          <t>Shaft PV 10.1</t>
        </is>
      </c>
      <c r="G2759" t="inlineStr">
        <is>
          <t>10.1</t>
        </is>
      </c>
      <c r="I2759" t="inlineStr">
        <is>
          <t>10.1</t>
        </is>
      </c>
      <c r="J2759" t="inlineStr">
        <is>
          <t>Shaft</t>
        </is>
      </c>
      <c r="K2759" t="inlineStr">
        <is>
          <t>Planejamento</t>
        </is>
      </c>
      <c r="L2759" t="inlineStr">
        <is>
          <t>pds_colado_2026-06-03_a_2026-06-08.txt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46177</v>
      </c>
      <c r="B2760" t="inlineStr">
        <is>
          <t>Quinta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Cesar</t>
        </is>
      </c>
      <c r="F2760" t="inlineStr">
        <is>
          <t>Transformação PV 16</t>
        </is>
      </c>
      <c r="G2760" t="inlineStr">
        <is>
          <t>16</t>
        </is>
      </c>
      <c r="I2760" t="inlineStr">
        <is>
          <t>16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pds_colado_2026-06-03_a_2026-06-08.txt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46177</v>
      </c>
      <c r="B2761" t="inlineStr">
        <is>
          <t>Quinta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pds_colado_2026-06-03_a_2026-06-08.txt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46177</v>
      </c>
      <c r="B2762" t="inlineStr">
        <is>
          <t>Quinta</t>
        </is>
      </c>
      <c r="C2762" t="inlineStr">
        <is>
          <t>RCE Conj. União</t>
        </is>
      </c>
      <c r="D2762" t="inlineStr">
        <is>
          <t>Silvestre</t>
        </is>
      </c>
      <c r="E2762" t="inlineStr">
        <is>
          <t>Jonathan</t>
        </is>
      </c>
      <c r="F2762" t="inlineStr">
        <is>
          <t>Transformação PV 40.1</t>
        </is>
      </c>
      <c r="G2762" t="inlineStr">
        <is>
          <t>40.1</t>
        </is>
      </c>
      <c r="I2762" t="inlineStr">
        <is>
          <t>40.1</t>
        </is>
      </c>
      <c r="J2762" t="inlineStr">
        <is>
          <t>Transformação</t>
        </is>
      </c>
      <c r="K2762" t="inlineStr">
        <is>
          <t>Planejamento</t>
        </is>
      </c>
      <c r="L2762" t="inlineStr">
        <is>
          <t>pds_colado_2026-06-03_a_2026-06-08.txt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46177</v>
      </c>
      <c r="B2763" t="inlineStr">
        <is>
          <t>Quinta</t>
        </is>
      </c>
      <c r="C2763" t="inlineStr">
        <is>
          <t>RCE Elias Sleiman / CT João Canzi</t>
        </is>
      </c>
      <c r="D2763" t="inlineStr">
        <is>
          <t>Silvestre</t>
        </is>
      </c>
      <c r="E2763" t="inlineStr">
        <is>
          <t>Edvando</t>
        </is>
      </c>
      <c r="F2763" t="inlineStr">
        <is>
          <t>VCA + interl PV 17 ao PV 22</t>
        </is>
      </c>
      <c r="G2763" t="inlineStr">
        <is>
          <t>17</t>
        </is>
      </c>
      <c r="H2763" t="inlineStr">
        <is>
          <t>22</t>
        </is>
      </c>
      <c r="I2763" t="inlineStr">
        <is>
          <t>17 ao 22</t>
        </is>
      </c>
      <c r="J2763" t="inlineStr">
        <is>
          <t>VCA</t>
        </is>
      </c>
      <c r="K2763" t="inlineStr">
        <is>
          <t>Planejamento</t>
        </is>
      </c>
      <c r="L2763" t="inlineStr">
        <is>
          <t>pds_colado_2026-06-03_a_2026-06-08.txt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46177</v>
      </c>
      <c r="B2764" t="inlineStr">
        <is>
          <t>Quinta</t>
        </is>
      </c>
      <c r="C2764" t="inlineStr">
        <is>
          <t>RCE São Lucas</t>
        </is>
      </c>
      <c r="D2764" t="inlineStr">
        <is>
          <t>Fábio</t>
        </is>
      </c>
      <c r="E2764" t="inlineStr">
        <is>
          <t>Ricardo</t>
        </is>
      </c>
      <c r="F2764" t="inlineStr">
        <is>
          <t>VCA, PVs e Ligações; (PI 08 ao PI 09)</t>
        </is>
      </c>
      <c r="G2764" t="inlineStr">
        <is>
          <t>08</t>
        </is>
      </c>
      <c r="H2764" t="inlineStr">
        <is>
          <t>09</t>
        </is>
      </c>
      <c r="I2764" t="inlineStr">
        <is>
          <t>08 ao 09</t>
        </is>
      </c>
      <c r="J2764" t="inlineStr">
        <is>
          <t>VCA</t>
        </is>
      </c>
      <c r="K2764" t="inlineStr">
        <is>
          <t>Planejamento</t>
        </is>
      </c>
      <c r="L2764" t="inlineStr">
        <is>
          <t>pds_colado_2026-06-03_a_2026-06-08.txt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46177</v>
      </c>
      <c r="B2765" t="inlineStr">
        <is>
          <t>Quinta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Claudinei</t>
        </is>
      </c>
      <c r="F2765" t="inlineStr">
        <is>
          <t>VCA, PVs e Ligações; (PI 37 ao PI 38)</t>
        </is>
      </c>
      <c r="G2765" t="inlineStr">
        <is>
          <t>37</t>
        </is>
      </c>
      <c r="H2765" t="inlineStr">
        <is>
          <t>38</t>
        </is>
      </c>
      <c r="I2765" t="inlineStr">
        <is>
          <t>37 ao 38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pds_colado_2026-06-03_a_2026-06-08.txt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46177</v>
      </c>
      <c r="B2766" t="inlineStr">
        <is>
          <t>Quinta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Miro</t>
        </is>
      </c>
      <c r="F2766" t="inlineStr">
        <is>
          <t>VCA, PVs e Ligações; (PI 32 ao PI 60)</t>
        </is>
      </c>
      <c r="G2766" t="inlineStr">
        <is>
          <t>32</t>
        </is>
      </c>
      <c r="H2766" t="inlineStr">
        <is>
          <t>60</t>
        </is>
      </c>
      <c r="I2766" t="inlineStr">
        <is>
          <t>32 ao 60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pds_colado_2026-06-03_a_2026-06-08.txt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46177</v>
      </c>
      <c r="B2767" t="inlineStr">
        <is>
          <t>Quinta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Emanuel</t>
        </is>
      </c>
      <c r="F2767" t="inlineStr">
        <is>
          <t>VCA, PVs e Ligações; (PI 32 ao PI 60)</t>
        </is>
      </c>
      <c r="G2767" t="inlineStr">
        <is>
          <t>32</t>
        </is>
      </c>
      <c r="H2767" t="inlineStr">
        <is>
          <t>60</t>
        </is>
      </c>
      <c r="I2767" t="inlineStr">
        <is>
          <t>32 ao 60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pds_colado_2026-06-03_a_2026-06-08.txt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46177</v>
      </c>
      <c r="B2768" t="inlineStr">
        <is>
          <t>Quinta</t>
        </is>
      </c>
      <c r="C2768" t="inlineStr">
        <is>
          <t>RCE Rua São João</t>
        </is>
      </c>
      <c r="D2768" t="inlineStr">
        <is>
          <t>Fábio</t>
        </is>
      </c>
      <c r="E2768" t="inlineStr">
        <is>
          <t>Antonio</t>
        </is>
      </c>
      <c r="F2768" t="inlineStr">
        <is>
          <t>VCA, PVs e Ligações; (PV 02 ao PV 04)*</t>
        </is>
      </c>
      <c r="G2768" t="inlineStr">
        <is>
          <t>02</t>
        </is>
      </c>
      <c r="H2768" t="inlineStr">
        <is>
          <t>04</t>
        </is>
      </c>
      <c r="I2768" t="inlineStr">
        <is>
          <t>02 ao 04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pds_colado_2026-06-03_a_2026-06-08.txt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46177</v>
      </c>
      <c r="B2769" t="inlineStr">
        <is>
          <t>Quinta</t>
        </is>
      </c>
      <c r="C2769" t="inlineStr">
        <is>
          <t>CTS Lourdes Complementar</t>
        </is>
      </c>
      <c r="D2769" t="inlineStr">
        <is>
          <t>Robson</t>
        </is>
      </c>
      <c r="E2769" t="inlineStr">
        <is>
          <t>Marcelo</t>
        </is>
      </c>
      <c r="F2769" t="inlineStr">
        <is>
          <t>Transformação PV 04</t>
        </is>
      </c>
      <c r="G2769" t="inlineStr">
        <is>
          <t>04</t>
        </is>
      </c>
      <c r="I2769" t="inlineStr">
        <is>
          <t>04</t>
        </is>
      </c>
      <c r="J2769" t="inlineStr">
        <is>
          <t>Transformação</t>
        </is>
      </c>
      <c r="K2769" t="inlineStr">
        <is>
          <t>Planejamento</t>
        </is>
      </c>
      <c r="L2769" t="inlineStr">
        <is>
          <t>pds_colado_2026-06-03_a_2026-06-08.txt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46177</v>
      </c>
      <c r="B2770" t="inlineStr">
        <is>
          <t>Quinta</t>
        </is>
      </c>
      <c r="C2770" t="inlineStr">
        <is>
          <t>CTS Lourdes Complementar</t>
        </is>
      </c>
      <c r="D2770" t="inlineStr">
        <is>
          <t>Robson</t>
        </is>
      </c>
      <c r="E2770" t="inlineStr">
        <is>
          <t>Marcelo</t>
        </is>
      </c>
      <c r="F2770" t="inlineStr">
        <is>
          <t>Botelho Mourão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pds_colado_2026-06-03_a_2026-06-08.txt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46177</v>
      </c>
      <c r="B2771" t="inlineStr">
        <is>
          <t>Quinta</t>
        </is>
      </c>
      <c r="C2771" t="inlineStr">
        <is>
          <t>CTS Lourdes Complementar</t>
        </is>
      </c>
      <c r="D2771" t="inlineStr">
        <is>
          <t>Robson</t>
        </is>
      </c>
      <c r="E2771" t="inlineStr">
        <is>
          <t>Márcio</t>
        </is>
      </c>
      <c r="F2771" t="inlineStr">
        <is>
          <t>Nivelamento BGS PV 05</t>
        </is>
      </c>
      <c r="G2771" t="inlineStr">
        <is>
          <t>05</t>
        </is>
      </c>
      <c r="I2771" t="inlineStr">
        <is>
          <t>05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pds_colado_2026-06-03_a_2026-06-08.txt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46177</v>
      </c>
      <c r="B2772" t="inlineStr">
        <is>
          <t>Quinta</t>
        </is>
      </c>
      <c r="C2772" t="inlineStr">
        <is>
          <t>CTS Lourdes Complementar</t>
        </is>
      </c>
      <c r="D2772" t="inlineStr">
        <is>
          <t>Robson</t>
        </is>
      </c>
      <c r="E2772" t="inlineStr">
        <is>
          <t>Márcio</t>
        </is>
      </c>
      <c r="F2772" t="inlineStr">
        <is>
          <t>SOUTO MAIOR/BENFICA - GABRIEL</t>
        </is>
      </c>
      <c r="J2772" t="inlineStr">
        <is>
          <t>Atividade</t>
        </is>
      </c>
      <c r="K2772" t="inlineStr">
        <is>
          <t>Planejamento</t>
        </is>
      </c>
      <c r="L2772" t="inlineStr">
        <is>
          <t>pds_colado_2026-06-03_a_2026-06-08.txt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46177</v>
      </c>
      <c r="B2773" t="inlineStr">
        <is>
          <t>Quinta</t>
        </is>
      </c>
      <c r="C2773" t="inlineStr">
        <is>
          <t>CTS Lourdes Complementar</t>
        </is>
      </c>
      <c r="D2773" t="inlineStr">
        <is>
          <t>Robson</t>
        </is>
      </c>
      <c r="E2773" t="inlineStr">
        <is>
          <t>Cidão</t>
        </is>
      </c>
      <c r="F2773" t="inlineStr">
        <is>
          <t>Reparos Gerais</t>
        </is>
      </c>
      <c r="J2773" t="inlineStr">
        <is>
          <t>Atividade</t>
        </is>
      </c>
      <c r="K2773" t="inlineStr">
        <is>
          <t>Planejamento</t>
        </is>
      </c>
      <c r="L2773" t="inlineStr">
        <is>
          <t>pds_colado_2026-06-03_a_2026-06-08.txt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46177</v>
      </c>
      <c r="B2774" t="inlineStr">
        <is>
          <t>Quinta</t>
        </is>
      </c>
      <c r="C2774" t="inlineStr">
        <is>
          <t>João Canzi – Henko (márcio)</t>
        </is>
      </c>
      <c r="E2774" t="inlineStr">
        <is>
          <t>Vacal</t>
        </is>
      </c>
      <c r="F2774" t="inlineStr">
        <is>
          <t>João Canzi – Henko (Márcio)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pds_colado_2026-06-03_a_2026-06-08.txt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46177</v>
      </c>
      <c r="B2775" t="inlineStr">
        <is>
          <t>Quinta</t>
        </is>
      </c>
      <c r="C2775" t="inlineStr">
        <is>
          <t>Iti 15 – Henko (wellington)</t>
        </is>
      </c>
      <c r="E2775" t="inlineStr">
        <is>
          <t>Vacal</t>
        </is>
      </c>
      <c r="F2775" t="inlineStr">
        <is>
          <t>ITI 15 – Henko (Wellington)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pds_colado_2026-06-03_a_2026-06-08.txt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46177</v>
      </c>
      <c r="B2776" t="inlineStr">
        <is>
          <t>Quinta</t>
        </is>
      </c>
      <c r="C2776" t="inlineStr">
        <is>
          <t>CTS Lourdes Complementar</t>
        </is>
      </c>
      <c r="D2776" t="inlineStr">
        <is>
          <t>Robson</t>
        </is>
      </c>
      <c r="E2776" t="inlineStr">
        <is>
          <t>Cidão</t>
        </is>
      </c>
      <c r="F2776" t="inlineStr">
        <is>
          <t>Henko (Osmar) - Raspagem</t>
        </is>
      </c>
      <c r="J2776" t="inlineStr">
        <is>
          <t>Atividade</t>
        </is>
      </c>
      <c r="K2776" t="inlineStr">
        <is>
          <t>Planejamento</t>
        </is>
      </c>
      <c r="L2776" t="inlineStr">
        <is>
          <t>pds_colado_2026-06-03_a_2026-06-08.txt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46177</v>
      </c>
      <c r="B2777" t="inlineStr">
        <is>
          <t>Quinta</t>
        </is>
      </c>
      <c r="C2777" t="inlineStr">
        <is>
          <t>Guindauto</t>
        </is>
      </c>
      <c r="E2777" t="inlineStr">
        <is>
          <t>Guindauto</t>
        </is>
      </c>
      <c r="F2777" t="inlineStr">
        <is>
          <t>Marcio - Apoio as equipes</t>
        </is>
      </c>
      <c r="J2777" t="inlineStr">
        <is>
          <t>Atividade</t>
        </is>
      </c>
      <c r="K2777" t="inlineStr">
        <is>
          <t>Apoio</t>
        </is>
      </c>
      <c r="L2777" t="inlineStr">
        <is>
          <t>pds_colado_2026-06-03_a_2026-06-08.txt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46177</v>
      </c>
      <c r="B2778" t="inlineStr">
        <is>
          <t>Quinta</t>
        </is>
      </c>
      <c r="C2778" t="inlineStr">
        <is>
          <t>Guindauto</t>
        </is>
      </c>
      <c r="E2778" t="inlineStr">
        <is>
          <t>Guindauto</t>
        </is>
      </c>
      <c r="F2778" t="inlineStr">
        <is>
          <t>Luiz - Apoio as equipes</t>
        </is>
      </c>
      <c r="J2778" t="inlineStr">
        <is>
          <t>Atividade</t>
        </is>
      </c>
      <c r="K2778" t="inlineStr">
        <is>
          <t>Apoio</t>
        </is>
      </c>
      <c r="L2778" t="inlineStr">
        <is>
          <t>pds_colado_2026-06-03_a_2026-06-08.txt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46178</v>
      </c>
      <c r="B2779" t="inlineStr">
        <is>
          <t>Sexta</t>
        </is>
      </c>
      <c r="C2779" t="inlineStr">
        <is>
          <t>CT João Canzi</t>
        </is>
      </c>
      <c r="D2779" t="inlineStr">
        <is>
          <t>Valmir</t>
        </is>
      </c>
      <c r="E2779" t="inlineStr">
        <is>
          <t>Goiânia Drill</t>
        </is>
      </c>
      <c r="F2779" t="inlineStr">
        <is>
          <t>Puxe do PV-17 ao PV-18</t>
        </is>
      </c>
      <c r="G2779" t="inlineStr">
        <is>
          <t>17</t>
        </is>
      </c>
      <c r="H2779" t="inlineStr">
        <is>
          <t>18</t>
        </is>
      </c>
      <c r="I2779" t="inlineStr">
        <is>
          <t>17 ao 18</t>
        </is>
      </c>
      <c r="J2779" t="inlineStr">
        <is>
          <t>HDD</t>
        </is>
      </c>
      <c r="K2779" t="inlineStr">
        <is>
          <t>Planejamento</t>
        </is>
      </c>
      <c r="L2779" t="inlineStr">
        <is>
          <t>pds_colado_2026-06-03_a_2026-06-08.txt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46178</v>
      </c>
      <c r="B2780" t="inlineStr">
        <is>
          <t>Sexta</t>
        </is>
      </c>
      <c r="C2780" t="inlineStr">
        <is>
          <t>CT João Canzi</t>
        </is>
      </c>
      <c r="D2780" t="inlineStr">
        <is>
          <t>Valmir</t>
        </is>
      </c>
      <c r="E2780" t="inlineStr">
        <is>
          <t>Bruno</t>
        </is>
      </c>
      <c r="F2780" t="inlineStr">
        <is>
          <t>Apoio ao HDD</t>
        </is>
      </c>
      <c r="J2780" t="inlineStr">
        <is>
          <t>HDD</t>
        </is>
      </c>
      <c r="K2780" t="inlineStr">
        <is>
          <t>Planejamento</t>
        </is>
      </c>
      <c r="L2780" t="inlineStr">
        <is>
          <t>pds_colado_2026-06-03_a_2026-06-08.txt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46178</v>
      </c>
      <c r="B2781" t="inlineStr">
        <is>
          <t>Sexta</t>
        </is>
      </c>
      <c r="C2781" t="inlineStr">
        <is>
          <t>CT João Canzi</t>
        </is>
      </c>
      <c r="D2781" t="inlineStr">
        <is>
          <t>Valmir</t>
        </is>
      </c>
      <c r="E2781" t="inlineStr">
        <is>
          <t>Medeiros</t>
        </is>
      </c>
      <c r="F2781" t="inlineStr">
        <is>
          <t>Shaft PV 10.1</t>
        </is>
      </c>
      <c r="G2781" t="inlineStr">
        <is>
          <t>10.1</t>
        </is>
      </c>
      <c r="I2781" t="inlineStr">
        <is>
          <t>10.1</t>
        </is>
      </c>
      <c r="J2781" t="inlineStr">
        <is>
          <t>Shaft</t>
        </is>
      </c>
      <c r="K2781" t="inlineStr">
        <is>
          <t>Planejamento</t>
        </is>
      </c>
      <c r="L2781" t="inlineStr">
        <is>
          <t>pds_colado_2026-06-03_a_2026-06-08.txt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46178</v>
      </c>
      <c r="B2782" t="inlineStr">
        <is>
          <t>Sexta</t>
        </is>
      </c>
      <c r="C2782" t="inlineStr">
        <is>
          <t>CT João Canzi</t>
        </is>
      </c>
      <c r="D2782" t="inlineStr">
        <is>
          <t>Valmir</t>
        </is>
      </c>
      <c r="E2782" t="inlineStr">
        <is>
          <t>Cesar</t>
        </is>
      </c>
      <c r="F2782" t="inlineStr">
        <is>
          <t>Transformação PV 16</t>
        </is>
      </c>
      <c r="G2782" t="inlineStr">
        <is>
          <t>16</t>
        </is>
      </c>
      <c r="I2782" t="inlineStr">
        <is>
          <t>16</t>
        </is>
      </c>
      <c r="J2782" t="inlineStr">
        <is>
          <t>Transformação</t>
        </is>
      </c>
      <c r="K2782" t="inlineStr">
        <is>
          <t>Planejamento</t>
        </is>
      </c>
      <c r="L2782" t="inlineStr">
        <is>
          <t>pds_colado_2026-06-03_a_2026-06-08.txt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46178</v>
      </c>
      <c r="B2783" t="inlineStr">
        <is>
          <t>Sexta</t>
        </is>
      </c>
      <c r="C2783" t="inlineStr">
        <is>
          <t>RCE Elvira</t>
        </is>
      </c>
      <c r="D2783" t="inlineStr">
        <is>
          <t>Silvestre</t>
        </is>
      </c>
      <c r="E2783" t="inlineStr">
        <is>
          <t>Valter</t>
        </is>
      </c>
      <c r="F2783" t="inlineStr">
        <is>
          <t>VCA, PVs e Ligações</t>
        </is>
      </c>
      <c r="J2783" t="inlineStr">
        <is>
          <t>VCA</t>
        </is>
      </c>
      <c r="K2783" t="inlineStr">
        <is>
          <t>Planejamento</t>
        </is>
      </c>
      <c r="L2783" t="inlineStr">
        <is>
          <t>pds_colado_2026-06-03_a_2026-06-08.txt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46178</v>
      </c>
      <c r="B2784" t="inlineStr">
        <is>
          <t>Sexta</t>
        </is>
      </c>
      <c r="C2784" t="inlineStr">
        <is>
          <t>RCE Conj. União</t>
        </is>
      </c>
      <c r="D2784" t="inlineStr">
        <is>
          <t>Silvestre</t>
        </is>
      </c>
      <c r="E2784" t="inlineStr">
        <is>
          <t>Jonathan</t>
        </is>
      </c>
      <c r="F2784" t="inlineStr">
        <is>
          <t>Transformação PV 40.1</t>
        </is>
      </c>
      <c r="G2784" t="inlineStr">
        <is>
          <t>40.1</t>
        </is>
      </c>
      <c r="I2784" t="inlineStr">
        <is>
          <t>40.1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pds_colado_2026-06-03_a_2026-06-08.txt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46178</v>
      </c>
      <c r="B2785" t="inlineStr">
        <is>
          <t>Sexta</t>
        </is>
      </c>
      <c r="C2785" t="inlineStr">
        <is>
          <t>RCE Elias Sleiman / CT João Canzi</t>
        </is>
      </c>
      <c r="D2785" t="inlineStr">
        <is>
          <t>Silvestre</t>
        </is>
      </c>
      <c r="E2785" t="inlineStr">
        <is>
          <t>Edvando</t>
        </is>
      </c>
      <c r="F2785" t="inlineStr">
        <is>
          <t>VCA + interl PV 17 ao PV 22</t>
        </is>
      </c>
      <c r="G2785" t="inlineStr">
        <is>
          <t>17</t>
        </is>
      </c>
      <c r="H2785" t="inlineStr">
        <is>
          <t>22</t>
        </is>
      </c>
      <c r="I2785" t="inlineStr">
        <is>
          <t>17 ao 22</t>
        </is>
      </c>
      <c r="J2785" t="inlineStr">
        <is>
          <t>VCA</t>
        </is>
      </c>
      <c r="K2785" t="inlineStr">
        <is>
          <t>Planejamento</t>
        </is>
      </c>
      <c r="L2785" t="inlineStr">
        <is>
          <t>pds_colado_2026-06-03_a_2026-06-08.txt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46178</v>
      </c>
      <c r="B2786" t="inlineStr">
        <is>
          <t>Sexta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</t>
        </is>
      </c>
      <c r="F2786" t="inlineStr">
        <is>
          <t>VCA, PVs e Ligações; (PI 08 ao PI 09)</t>
        </is>
      </c>
      <c r="G2786" t="inlineStr">
        <is>
          <t>08</t>
        </is>
      </c>
      <c r="H2786" t="inlineStr">
        <is>
          <t>09</t>
        </is>
      </c>
      <c r="I2786" t="inlineStr">
        <is>
          <t>08 ao 09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pds_colado_2026-06-03_a_2026-06-08.txt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46178</v>
      </c>
      <c r="B2787" t="inlineStr">
        <is>
          <t>Sexta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</t>
        </is>
      </c>
      <c r="F2787" t="inlineStr">
        <is>
          <t>VCA, PVs e Ligações; (PI 37 ao PI 38)</t>
        </is>
      </c>
      <c r="G2787" t="inlineStr">
        <is>
          <t>37</t>
        </is>
      </c>
      <c r="H2787" t="inlineStr">
        <is>
          <t>38</t>
        </is>
      </c>
      <c r="I2787" t="inlineStr">
        <is>
          <t>37 ao 38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pds_colado_2026-06-03_a_2026-06-08.txt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46178</v>
      </c>
      <c r="B2788" t="inlineStr">
        <is>
          <t>Sexta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</t>
        </is>
      </c>
      <c r="F2788" t="inlineStr">
        <is>
          <t>VCA, PVs e Ligações; (PI 32 ao PI 60)</t>
        </is>
      </c>
      <c r="G2788" t="inlineStr">
        <is>
          <t>32</t>
        </is>
      </c>
      <c r="H2788" t="inlineStr">
        <is>
          <t>60</t>
        </is>
      </c>
      <c r="I2788" t="inlineStr">
        <is>
          <t>32 ao 60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pds_colado_2026-06-03_a_2026-06-08.txt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46178</v>
      </c>
      <c r="B2789" t="inlineStr">
        <is>
          <t>Sexta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</t>
        </is>
      </c>
      <c r="F2789" t="inlineStr">
        <is>
          <t>VCA, PVs e Ligações; (PI 25 ao PI 26)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pds_colado_2026-06-03_a_2026-06-08.txt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46178</v>
      </c>
      <c r="B2790" t="inlineStr">
        <is>
          <t>Sexta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</t>
        </is>
      </c>
      <c r="F2790" t="inlineStr">
        <is>
          <t>VCA, PVs e Ligações; (Início Ponto 04)*</t>
        </is>
      </c>
      <c r="J2790" t="inlineStr">
        <is>
          <t>VCA</t>
        </is>
      </c>
      <c r="K2790" t="inlineStr">
        <is>
          <t>Planejamento</t>
        </is>
      </c>
      <c r="L2790" t="inlineStr">
        <is>
          <t>pds_colado_2026-06-03_a_2026-06-08.txt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46178</v>
      </c>
      <c r="B2791" t="inlineStr">
        <is>
          <t>Sexta</t>
        </is>
      </c>
      <c r="C2791" t="inlineStr">
        <is>
          <t>CTS Lourdes Complementar</t>
        </is>
      </c>
      <c r="D2791" t="inlineStr">
        <is>
          <t>Robson</t>
        </is>
      </c>
      <c r="E2791" t="inlineStr">
        <is>
          <t>Marcelo</t>
        </is>
      </c>
      <c r="F2791" t="inlineStr">
        <is>
          <t>Transformação PV 04</t>
        </is>
      </c>
      <c r="G2791" t="inlineStr">
        <is>
          <t>04</t>
        </is>
      </c>
      <c r="I2791" t="inlineStr">
        <is>
          <t>04</t>
        </is>
      </c>
      <c r="J2791" t="inlineStr">
        <is>
          <t>Transformação</t>
        </is>
      </c>
      <c r="K2791" t="inlineStr">
        <is>
          <t>Planejamento</t>
        </is>
      </c>
      <c r="L2791" t="inlineStr">
        <is>
          <t>pds_colado_2026-06-03_a_2026-06-08.txt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46178</v>
      </c>
      <c r="B2792" t="inlineStr">
        <is>
          <t>Sexta</t>
        </is>
      </c>
      <c r="C2792" t="inlineStr">
        <is>
          <t>CTS Lourdes Complementar</t>
        </is>
      </c>
      <c r="D2792" t="inlineStr">
        <is>
          <t>Robson</t>
        </is>
      </c>
      <c r="E2792" t="inlineStr">
        <is>
          <t>Márcio</t>
        </is>
      </c>
      <c r="F2792" t="inlineStr">
        <is>
          <t>Shaft PV 05</t>
        </is>
      </c>
      <c r="G2792" t="inlineStr">
        <is>
          <t>05</t>
        </is>
      </c>
      <c r="I2792" t="inlineStr">
        <is>
          <t>05</t>
        </is>
      </c>
      <c r="J2792" t="inlineStr">
        <is>
          <t>Shaft</t>
        </is>
      </c>
      <c r="K2792" t="inlineStr">
        <is>
          <t>Planejamento</t>
        </is>
      </c>
      <c r="L2792" t="inlineStr">
        <is>
          <t>pds_colado_2026-06-03_a_2026-06-08.txt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46178</v>
      </c>
      <c r="B2793" t="inlineStr">
        <is>
          <t>Sexta</t>
        </is>
      </c>
      <c r="C2793" t="inlineStr">
        <is>
          <t>CTS Lourdes Complementar</t>
        </is>
      </c>
      <c r="D2793" t="inlineStr">
        <is>
          <t>Robson</t>
        </is>
      </c>
      <c r="E2793" t="inlineStr">
        <is>
          <t>Márcio</t>
        </is>
      </c>
      <c r="F2793" t="inlineStr">
        <is>
          <t>Mar de Coral/BENFICA - GABRIEL</t>
        </is>
      </c>
      <c r="J2793" t="inlineStr">
        <is>
          <t>Atividade</t>
        </is>
      </c>
      <c r="K2793" t="inlineStr">
        <is>
          <t>Planejamento</t>
        </is>
      </c>
      <c r="L2793" t="inlineStr">
        <is>
          <t>pds_colado_2026-06-03_a_2026-06-08.txt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46178</v>
      </c>
      <c r="B2794" t="inlineStr">
        <is>
          <t>Sexta</t>
        </is>
      </c>
      <c r="C2794" t="inlineStr">
        <is>
          <t>CTS Lourdes Complementar</t>
        </is>
      </c>
      <c r="D2794" t="inlineStr">
        <is>
          <t>Robson</t>
        </is>
      </c>
      <c r="E2794" t="inlineStr">
        <is>
          <t>Cidão</t>
        </is>
      </c>
      <c r="F2794" t="inlineStr">
        <is>
          <t>Reparos Gerais</t>
        </is>
      </c>
      <c r="J2794" t="inlineStr">
        <is>
          <t>Atividade</t>
        </is>
      </c>
      <c r="K2794" t="inlineStr">
        <is>
          <t>Planejamento</t>
        </is>
      </c>
      <c r="L2794" t="inlineStr">
        <is>
          <t>pds_colado_2026-06-03_a_2026-06-08.txt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46178</v>
      </c>
      <c r="B2795" t="inlineStr">
        <is>
          <t>Sexta</t>
        </is>
      </c>
      <c r="C2795" t="inlineStr">
        <is>
          <t>João Canzi – Henko (wellington/thiago)</t>
        </is>
      </c>
      <c r="E2795" t="inlineStr">
        <is>
          <t>Vacal</t>
        </is>
      </c>
      <c r="F2795" t="inlineStr">
        <is>
          <t>João Canzi – Henko (Wellington/Thiago)</t>
        </is>
      </c>
      <c r="J2795" t="inlineStr">
        <is>
          <t>Atividade</t>
        </is>
      </c>
      <c r="K2795" t="inlineStr">
        <is>
          <t>Apoio</t>
        </is>
      </c>
      <c r="L2795" t="inlineStr">
        <is>
          <t>pds_colado_2026-06-03_a_2026-06-08.txt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46178</v>
      </c>
      <c r="B2796" t="inlineStr">
        <is>
          <t>Sexta</t>
        </is>
      </c>
      <c r="C2796" t="inlineStr">
        <is>
          <t>Lourdes – Henko (marcio)</t>
        </is>
      </c>
      <c r="E2796" t="inlineStr">
        <is>
          <t>Vacal</t>
        </is>
      </c>
      <c r="F2796" t="inlineStr">
        <is>
          <t>Lourdes – Henko (Marcio)</t>
        </is>
      </c>
      <c r="J2796" t="inlineStr">
        <is>
          <t>Atividade</t>
        </is>
      </c>
      <c r="K2796" t="inlineStr">
        <is>
          <t>Apoio</t>
        </is>
      </c>
      <c r="L2796" t="inlineStr">
        <is>
          <t>pds_colado_2026-06-03_a_2026-06-08.txt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  <row r="2797">
      <c r="A2797" s="36" t="n">
        <v>46178</v>
      </c>
      <c r="B2797" t="inlineStr">
        <is>
          <t>Sexta</t>
        </is>
      </c>
      <c r="C2797" t="inlineStr">
        <is>
          <t>Iti 15 – Henko (osmar)</t>
        </is>
      </c>
      <c r="E2797" t="inlineStr">
        <is>
          <t>Vacal</t>
        </is>
      </c>
      <c r="F2797" t="inlineStr">
        <is>
          <t>ITI 15 – Henko (Osmar)</t>
        </is>
      </c>
      <c r="J2797" t="inlineStr">
        <is>
          <t>Atividade</t>
        </is>
      </c>
      <c r="K2797" t="inlineStr">
        <is>
          <t>Apoio</t>
        </is>
      </c>
      <c r="L2797" t="inlineStr">
        <is>
          <t>pds_colado_2026-06-03_a_2026-06-08.txt</t>
        </is>
      </c>
      <c r="M2797">
        <f>IF($A2797="","",TEXT($A2797,"mmmm/yyyy"))</f>
        <v/>
      </c>
      <c r="P2797">
        <f>IFERROR(XLOOKUP($N2797,Base_Enderecos!$A:$A,Base_Enderecos!$B:$B,""),"")</f>
        <v/>
      </c>
      <c r="Q2797">
        <f>IFERROR(XLOOKUP($N2797,Base_Enderecos!$A:$A,Base_Enderecos!$C:$C,""),"")</f>
        <v/>
      </c>
      <c r="R2797">
        <f>IF(ISNUMBER(SEARCH("HDD",$F2797)),"HDD",IF(ISNUMBER(SEARCH("VCA",$F2797)),"VCA","MND"))</f>
        <v/>
      </c>
      <c r="T2797">
        <f>TEXT($A2797,"yyyy-mm")&amp;"|"&amp;$C2797&amp;"|"&amp;$I2797</f>
        <v/>
      </c>
    </row>
    <row r="2798">
      <c r="A2798" s="36" t="n">
        <v>46178</v>
      </c>
      <c r="B2798" t="inlineStr">
        <is>
          <t>Sexta</t>
        </is>
      </c>
      <c r="C2798" t="inlineStr">
        <is>
          <t>Guindauto</t>
        </is>
      </c>
      <c r="E2798" t="inlineStr">
        <is>
          <t>Guindauto</t>
        </is>
      </c>
      <c r="F2798" t="inlineStr">
        <is>
          <t>Marcio - Apoio as equipes</t>
        </is>
      </c>
      <c r="J2798" t="inlineStr">
        <is>
          <t>Atividade</t>
        </is>
      </c>
      <c r="K2798" t="inlineStr">
        <is>
          <t>Apoio</t>
        </is>
      </c>
      <c r="L2798" t="inlineStr">
        <is>
          <t>pds_colado_2026-06-03_a_2026-06-08.txt</t>
        </is>
      </c>
      <c r="M2798">
        <f>IF($A2798="","",TEXT($A2798,"mmmm/yyyy"))</f>
        <v/>
      </c>
      <c r="P2798">
        <f>IFERROR(XLOOKUP($N2798,Base_Enderecos!$A:$A,Base_Enderecos!$B:$B,""),"")</f>
        <v/>
      </c>
      <c r="Q2798">
        <f>IFERROR(XLOOKUP($N2798,Base_Enderecos!$A:$A,Base_Enderecos!$C:$C,""),"")</f>
        <v/>
      </c>
      <c r="R2798">
        <f>IF(ISNUMBER(SEARCH("HDD",$F2798)),"HDD",IF(ISNUMBER(SEARCH("VCA",$F2798)),"VCA","MND"))</f>
        <v/>
      </c>
      <c r="T2798">
        <f>TEXT($A2798,"yyyy-mm")&amp;"|"&amp;$C2798&amp;"|"&amp;$I2798</f>
        <v/>
      </c>
    </row>
    <row r="2799">
      <c r="A2799" s="36" t="n">
        <v>46178</v>
      </c>
      <c r="B2799" t="inlineStr">
        <is>
          <t>Sexta</t>
        </is>
      </c>
      <c r="C2799" t="inlineStr">
        <is>
          <t>Guindauto</t>
        </is>
      </c>
      <c r="E2799" t="inlineStr">
        <is>
          <t>Guindauto</t>
        </is>
      </c>
      <c r="F2799" t="inlineStr">
        <is>
          <t>Luiz - Apoio as equipes</t>
        </is>
      </c>
      <c r="J2799" t="inlineStr">
        <is>
          <t>Atividade</t>
        </is>
      </c>
      <c r="K2799" t="inlineStr">
        <is>
          <t>Apoio</t>
        </is>
      </c>
      <c r="L2799" t="inlineStr">
        <is>
          <t>pds_colado_2026-06-03_a_2026-06-08.txt</t>
        </is>
      </c>
      <c r="M2799">
        <f>IF($A2799="","",TEXT($A2799,"mmmm/yyyy"))</f>
        <v/>
      </c>
      <c r="P2799">
        <f>IFERROR(XLOOKUP($N2799,Base_Enderecos!$A:$A,Base_Enderecos!$B:$B,""),"")</f>
        <v/>
      </c>
      <c r="Q2799">
        <f>IFERROR(XLOOKUP($N2799,Base_Enderecos!$A:$A,Base_Enderecos!$C:$C,""),"")</f>
        <v/>
      </c>
      <c r="R2799">
        <f>IF(ISNUMBER(SEARCH("HDD",$F2799)),"HDD",IF(ISNUMBER(SEARCH("VCA",$F2799)),"VCA","MND"))</f>
        <v/>
      </c>
      <c r="T2799">
        <f>TEXT($A2799,"yyyy-mm")&amp;"|"&amp;$C2799&amp;"|"&amp;$I2799</f>
        <v/>
      </c>
    </row>
    <row r="2800">
      <c r="A2800" s="36" t="n">
        <v>46179</v>
      </c>
      <c r="B2800" t="inlineStr">
        <is>
          <t>Sábado</t>
        </is>
      </c>
      <c r="C2800" t="inlineStr">
        <is>
          <t>CT João Canzi</t>
        </is>
      </c>
      <c r="D2800" t="inlineStr">
        <is>
          <t>Valmir</t>
        </is>
      </c>
      <c r="E2800" t="inlineStr">
        <is>
          <t>Goiânia Drill</t>
        </is>
      </c>
      <c r="F2800" t="inlineStr">
        <is>
          <t>Complemento Puxe PV 10.1 ao PV 10</t>
        </is>
      </c>
      <c r="G2800" t="inlineStr">
        <is>
          <t>10.1</t>
        </is>
      </c>
      <c r="H2800" t="inlineStr">
        <is>
          <t>10</t>
        </is>
      </c>
      <c r="I2800" t="inlineStr">
        <is>
          <t>10.1 ao 10</t>
        </is>
      </c>
      <c r="J2800" t="inlineStr">
        <is>
          <t>HDD</t>
        </is>
      </c>
      <c r="K2800" t="inlineStr">
        <is>
          <t>Planejamento</t>
        </is>
      </c>
      <c r="L2800" t="inlineStr">
        <is>
          <t>pds_colado_2026-06-03_a_2026-06-08.txt</t>
        </is>
      </c>
      <c r="M2800">
        <f>IF($A2800="","",TEXT($A2800,"mmmm/yyyy"))</f>
        <v/>
      </c>
      <c r="P2800">
        <f>IFERROR(XLOOKUP($N2800,Base_Enderecos!$A:$A,Base_Enderecos!$B:$B,""),"")</f>
        <v/>
      </c>
      <c r="Q2800">
        <f>IFERROR(XLOOKUP($N2800,Base_Enderecos!$A:$A,Base_Enderecos!$C:$C,""),"")</f>
        <v/>
      </c>
      <c r="R2800">
        <f>IF(ISNUMBER(SEARCH("HDD",$F2800)),"HDD",IF(ISNUMBER(SEARCH("VCA",$F2800)),"VCA","MND"))</f>
        <v/>
      </c>
      <c r="T2800">
        <f>TEXT($A2800,"yyyy-mm")&amp;"|"&amp;$C2800&amp;"|"&amp;$I2800</f>
        <v/>
      </c>
    </row>
    <row r="2801">
      <c r="A2801" s="36" t="n">
        <v>46179</v>
      </c>
      <c r="B2801" t="inlineStr">
        <is>
          <t>Sábado</t>
        </is>
      </c>
      <c r="C2801" t="inlineStr">
        <is>
          <t>CT João Canzi</t>
        </is>
      </c>
      <c r="D2801" t="inlineStr">
        <is>
          <t>Valmir</t>
        </is>
      </c>
      <c r="E2801" t="inlineStr">
        <is>
          <t>Bruno</t>
        </is>
      </c>
      <c r="F2801" t="inlineStr">
        <is>
          <t>Apoio ao HDD</t>
        </is>
      </c>
      <c r="J2801" t="inlineStr">
        <is>
          <t>HDD</t>
        </is>
      </c>
      <c r="K2801" t="inlineStr">
        <is>
          <t>Planejamento</t>
        </is>
      </c>
      <c r="L2801" t="inlineStr">
        <is>
          <t>pds_colado_2026-06-03_a_2026-06-08.txt</t>
        </is>
      </c>
      <c r="M2801">
        <f>IF($A2801="","",TEXT($A2801,"mmmm/yyyy"))</f>
        <v/>
      </c>
      <c r="P2801">
        <f>IFERROR(XLOOKUP($N2801,Base_Enderecos!$A:$A,Base_Enderecos!$B:$B,""),"")</f>
        <v/>
      </c>
      <c r="Q2801">
        <f>IFERROR(XLOOKUP($N2801,Base_Enderecos!$A:$A,Base_Enderecos!$C:$C,""),"")</f>
        <v/>
      </c>
      <c r="R2801">
        <f>IF(ISNUMBER(SEARCH("HDD",$F2801)),"HDD",IF(ISNUMBER(SEARCH("VCA",$F2801)),"VCA","MND"))</f>
        <v/>
      </c>
      <c r="T2801">
        <f>TEXT($A2801,"yyyy-mm")&amp;"|"&amp;$C2801&amp;"|"&amp;$I2801</f>
        <v/>
      </c>
    </row>
    <row r="2802">
      <c r="A2802" s="36" t="n">
        <v>46179</v>
      </c>
      <c r="B2802" t="inlineStr">
        <is>
          <t>Sábado</t>
        </is>
      </c>
      <c r="C2802" t="inlineStr">
        <is>
          <t>CT João Canzi</t>
        </is>
      </c>
      <c r="D2802" t="inlineStr">
        <is>
          <t>Valmir</t>
        </is>
      </c>
      <c r="E2802" t="inlineStr">
        <is>
          <t>Jhonatan</t>
        </is>
      </c>
      <c r="F2802" t="inlineStr">
        <is>
          <t>Transformação PV 17</t>
        </is>
      </c>
      <c r="G2802" t="inlineStr">
        <is>
          <t>17</t>
        </is>
      </c>
      <c r="I2802" t="inlineStr">
        <is>
          <t>17</t>
        </is>
      </c>
      <c r="J2802" t="inlineStr">
        <is>
          <t>Transformação</t>
        </is>
      </c>
      <c r="K2802" t="inlineStr">
        <is>
          <t>Planejamento</t>
        </is>
      </c>
      <c r="L2802" t="inlineStr">
        <is>
          <t>pds_colado_2026-06-03_a_2026-06-08.txt</t>
        </is>
      </c>
      <c r="M2802">
        <f>IF($A2802="","",TEXT($A2802,"mmmm/yyyy"))</f>
        <v/>
      </c>
      <c r="P2802">
        <f>IFERROR(XLOOKUP($N2802,Base_Enderecos!$A:$A,Base_Enderecos!$B:$B,""),"")</f>
        <v/>
      </c>
      <c r="Q2802">
        <f>IFERROR(XLOOKUP($N2802,Base_Enderecos!$A:$A,Base_Enderecos!$C:$C,""),"")</f>
        <v/>
      </c>
      <c r="R2802">
        <f>IF(ISNUMBER(SEARCH("HDD",$F2802)),"HDD",IF(ISNUMBER(SEARCH("VCA",$F2802)),"VCA","MND"))</f>
        <v/>
      </c>
      <c r="T2802">
        <f>TEXT($A2802,"yyyy-mm")&amp;"|"&amp;$C2802&amp;"|"&amp;$I2802</f>
        <v/>
      </c>
    </row>
    <row r="2803">
      <c r="A2803" s="36" t="n">
        <v>46179</v>
      </c>
      <c r="B2803" t="inlineStr">
        <is>
          <t>Sábado</t>
        </is>
      </c>
      <c r="C2803" t="inlineStr">
        <is>
          <t>RCE Maria Santos Machado</t>
        </is>
      </c>
      <c r="D2803" t="inlineStr">
        <is>
          <t>Valmir</t>
        </is>
      </c>
      <c r="E2803" t="inlineStr">
        <is>
          <t>Cesar</t>
        </is>
      </c>
      <c r="F2803" t="inlineStr">
        <is>
          <t>VCA e PVP-0</t>
        </is>
      </c>
      <c r="J2803" t="inlineStr">
        <is>
          <t>VCA</t>
        </is>
      </c>
      <c r="K2803" t="inlineStr">
        <is>
          <t>Planejamento</t>
        </is>
      </c>
      <c r="L2803" t="inlineStr">
        <is>
          <t>pds_colado_2026-06-03_a_2026-06-08.txt</t>
        </is>
      </c>
      <c r="M2803">
        <f>IF($A2803="","",TEXT($A2803,"mmmm/yyyy"))</f>
        <v/>
      </c>
      <c r="P2803">
        <f>IFERROR(XLOOKUP($N2803,Base_Enderecos!$A:$A,Base_Enderecos!$B:$B,""),"")</f>
        <v/>
      </c>
      <c r="Q2803">
        <f>IFERROR(XLOOKUP($N2803,Base_Enderecos!$A:$A,Base_Enderecos!$C:$C,""),"")</f>
        <v/>
      </c>
      <c r="R2803">
        <f>IF(ISNUMBER(SEARCH("HDD",$F2803)),"HDD",IF(ISNUMBER(SEARCH("VCA",$F2803)),"VCA","MND"))</f>
        <v/>
      </c>
      <c r="T2803">
        <f>TEXT($A2803,"yyyy-mm")&amp;"|"&amp;$C2803&amp;"|"&amp;$I2803</f>
        <v/>
      </c>
    </row>
    <row r="2804">
      <c r="A2804" s="36" t="n">
        <v>46179</v>
      </c>
      <c r="B2804" t="inlineStr">
        <is>
          <t>Sábado</t>
        </is>
      </c>
      <c r="C2804" t="inlineStr">
        <is>
          <t>RCE Elias Sleiman / CT João Canzi</t>
        </is>
      </c>
      <c r="D2804" t="inlineStr">
        <is>
          <t>Antonio</t>
        </is>
      </c>
      <c r="E2804" t="inlineStr">
        <is>
          <t>Edvando</t>
        </is>
      </c>
      <c r="F2804" t="inlineStr">
        <is>
          <t>VCA + interl PV 21 ao PV 22</t>
        </is>
      </c>
      <c r="G2804" t="inlineStr">
        <is>
          <t>21</t>
        </is>
      </c>
      <c r="H2804" t="inlineStr">
        <is>
          <t>22</t>
        </is>
      </c>
      <c r="I2804" t="inlineStr">
        <is>
          <t>21 ao 22</t>
        </is>
      </c>
      <c r="J2804" t="inlineStr">
        <is>
          <t>VCA</t>
        </is>
      </c>
      <c r="K2804" t="inlineStr">
        <is>
          <t>Planejamento</t>
        </is>
      </c>
      <c r="L2804" t="inlineStr">
        <is>
          <t>pds_colado_2026-06-03_a_2026-06-08.txt</t>
        </is>
      </c>
      <c r="M2804">
        <f>IF($A2804="","",TEXT($A2804,"mmmm/yyyy"))</f>
        <v/>
      </c>
      <c r="P2804">
        <f>IFERROR(XLOOKUP($N2804,Base_Enderecos!$A:$A,Base_Enderecos!$B:$B,""),"")</f>
        <v/>
      </c>
      <c r="Q2804">
        <f>IFERROR(XLOOKUP($N2804,Base_Enderecos!$A:$A,Base_Enderecos!$C:$C,""),"")</f>
        <v/>
      </c>
      <c r="R2804">
        <f>IF(ISNUMBER(SEARCH("HDD",$F2804)),"HDD",IF(ISNUMBER(SEARCH("VCA",$F2804)),"VCA","MND"))</f>
        <v/>
      </c>
      <c r="T2804">
        <f>TEXT($A2804,"yyyy-mm")&amp;"|"&amp;$C2804&amp;"|"&amp;$I2804</f>
        <v/>
      </c>
    </row>
    <row r="2805">
      <c r="A2805" s="36" t="n">
        <v>46179</v>
      </c>
      <c r="B2805" t="inlineStr">
        <is>
          <t>Sábado</t>
        </is>
      </c>
      <c r="C2805" t="inlineStr">
        <is>
          <t>RCE Elias Sleiman / CT João Canzi</t>
        </is>
      </c>
      <c r="D2805" t="inlineStr">
        <is>
          <t>Antonio</t>
        </is>
      </c>
      <c r="E2805" t="inlineStr">
        <is>
          <t>Cidão</t>
        </is>
      </c>
      <c r="F2805" t="inlineStr">
        <is>
          <t>VCA + interl PV 25 ao PV 26</t>
        </is>
      </c>
      <c r="G2805" t="inlineStr">
        <is>
          <t>25</t>
        </is>
      </c>
      <c r="H2805" t="inlineStr">
        <is>
          <t>26</t>
        </is>
      </c>
      <c r="I2805" t="inlineStr">
        <is>
          <t>25 ao 26</t>
        </is>
      </c>
      <c r="J2805" t="inlineStr">
        <is>
          <t>VCA</t>
        </is>
      </c>
      <c r="K2805" t="inlineStr">
        <is>
          <t>Planejamento</t>
        </is>
      </c>
      <c r="L2805" t="inlineStr">
        <is>
          <t>pds_colado_2026-06-03_a_2026-06-08.txt</t>
        </is>
      </c>
      <c r="M2805">
        <f>IF($A2805="","",TEXT($A2805,"mmmm/yyyy"))</f>
        <v/>
      </c>
      <c r="P2805">
        <f>IFERROR(XLOOKUP($N2805,Base_Enderecos!$A:$A,Base_Enderecos!$B:$B,""),"")</f>
        <v/>
      </c>
      <c r="Q2805">
        <f>IFERROR(XLOOKUP($N2805,Base_Enderecos!$A:$A,Base_Enderecos!$C:$C,""),"")</f>
        <v/>
      </c>
      <c r="R2805">
        <f>IF(ISNUMBER(SEARCH("HDD",$F2805)),"HDD",IF(ISNUMBER(SEARCH("VCA",$F2805)),"VCA","MND"))</f>
        <v/>
      </c>
      <c r="T2805">
        <f>TEXT($A2805,"yyyy-mm")&amp;"|"&amp;$C2805&amp;"|"&amp;$I2805</f>
        <v/>
      </c>
    </row>
    <row r="2806">
      <c r="A2806" s="36" t="n">
        <v>46179</v>
      </c>
      <c r="B2806" t="inlineStr">
        <is>
          <t>Sábado</t>
        </is>
      </c>
      <c r="C2806" t="inlineStr">
        <is>
          <t>CTS Lourdes Complementar</t>
        </is>
      </c>
      <c r="D2806" t="inlineStr">
        <is>
          <t>Antonio</t>
        </is>
      </c>
      <c r="E2806" t="inlineStr">
        <is>
          <t>Marcelo</t>
        </is>
      </c>
      <c r="F2806" t="inlineStr">
        <is>
          <t>Shaft PV 05</t>
        </is>
      </c>
      <c r="G2806" t="inlineStr">
        <is>
          <t>05</t>
        </is>
      </c>
      <c r="I2806" t="inlineStr">
        <is>
          <t>05</t>
        </is>
      </c>
      <c r="J2806" t="inlineStr">
        <is>
          <t>Shaft</t>
        </is>
      </c>
      <c r="K2806" t="inlineStr">
        <is>
          <t>Planejamento</t>
        </is>
      </c>
      <c r="L2806" t="inlineStr">
        <is>
          <t>pds_colado_2026-06-03_a_2026-06-08.txt</t>
        </is>
      </c>
      <c r="M2806">
        <f>IF($A2806="","",TEXT($A2806,"mmmm/yyyy"))</f>
        <v/>
      </c>
      <c r="P2806">
        <f>IFERROR(XLOOKUP($N2806,Base_Enderecos!$A:$A,Base_Enderecos!$B:$B,""),"")</f>
        <v/>
      </c>
      <c r="Q2806">
        <f>IFERROR(XLOOKUP($N2806,Base_Enderecos!$A:$A,Base_Enderecos!$C:$C,""),"")</f>
        <v/>
      </c>
      <c r="R2806">
        <f>IF(ISNUMBER(SEARCH("HDD",$F2806)),"HDD",IF(ISNUMBER(SEARCH("VCA",$F2806)),"VCA","MND"))</f>
        <v/>
      </c>
      <c r="T2806">
        <f>TEXT($A2806,"yyyy-mm")&amp;"|"&amp;$C2806&amp;"|"&amp;$I2806</f>
        <v/>
      </c>
    </row>
    <row r="2807">
      <c r="A2807" s="36" t="n">
        <v>46179</v>
      </c>
      <c r="B2807" t="inlineStr">
        <is>
          <t>Sábado</t>
        </is>
      </c>
      <c r="C2807" t="inlineStr">
        <is>
          <t>RCE São Lucas</t>
        </is>
      </c>
      <c r="D2807" t="inlineStr">
        <is>
          <t>Fábio</t>
        </is>
      </c>
      <c r="E2807" t="inlineStr">
        <is>
          <t>Ricardo</t>
        </is>
      </c>
      <c r="F2807" t="inlineStr">
        <is>
          <t>VCA, PVs e Ligações; (PI 08 ao PI 09)</t>
        </is>
      </c>
      <c r="G2807" t="inlineStr">
        <is>
          <t>08</t>
        </is>
      </c>
      <c r="H2807" t="inlineStr">
        <is>
          <t>09</t>
        </is>
      </c>
      <c r="I2807" t="inlineStr">
        <is>
          <t>08 ao 09</t>
        </is>
      </c>
      <c r="J2807" t="inlineStr">
        <is>
          <t>VCA</t>
        </is>
      </c>
      <c r="K2807" t="inlineStr">
        <is>
          <t>Planejamento</t>
        </is>
      </c>
      <c r="L2807" t="inlineStr">
        <is>
          <t>pds_colado_2026-06-03_a_2026-06-08.txt</t>
        </is>
      </c>
      <c r="M2807">
        <f>IF($A2807="","",TEXT($A2807,"mmmm/yyyy"))</f>
        <v/>
      </c>
      <c r="P2807">
        <f>IFERROR(XLOOKUP($N2807,Base_Enderecos!$A:$A,Base_Enderecos!$B:$B,""),"")</f>
        <v/>
      </c>
      <c r="Q2807">
        <f>IFERROR(XLOOKUP($N2807,Base_Enderecos!$A:$A,Base_Enderecos!$C:$C,""),"")</f>
        <v/>
      </c>
      <c r="R2807">
        <f>IF(ISNUMBER(SEARCH("HDD",$F2807)),"HDD",IF(ISNUMBER(SEARCH("VCA",$F2807)),"VCA","MND"))</f>
        <v/>
      </c>
      <c r="T2807">
        <f>TEXT($A2807,"yyyy-mm")&amp;"|"&amp;$C2807&amp;"|"&amp;$I2807</f>
        <v/>
      </c>
    </row>
    <row r="2808">
      <c r="A2808" s="36" t="n">
        <v>46179</v>
      </c>
      <c r="B2808" t="inlineStr">
        <is>
          <t>Sábado</t>
        </is>
      </c>
      <c r="C2808" t="inlineStr">
        <is>
          <t>RCE São Lucas</t>
        </is>
      </c>
      <c r="D2808" t="inlineStr">
        <is>
          <t>Fábio</t>
        </is>
      </c>
      <c r="E2808" t="inlineStr">
        <is>
          <t>Claudinei</t>
        </is>
      </c>
      <c r="F2808" t="inlineStr">
        <is>
          <t>VCA, PVs e Ligações; (PI 37 ao PI 38)</t>
        </is>
      </c>
      <c r="G2808" t="inlineStr">
        <is>
          <t>37</t>
        </is>
      </c>
      <c r="H2808" t="inlineStr">
        <is>
          <t>38</t>
        </is>
      </c>
      <c r="I2808" t="inlineStr">
        <is>
          <t>37 ao 38</t>
        </is>
      </c>
      <c r="J2808" t="inlineStr">
        <is>
          <t>VCA</t>
        </is>
      </c>
      <c r="K2808" t="inlineStr">
        <is>
          <t>Planejamento</t>
        </is>
      </c>
      <c r="L2808" t="inlineStr">
        <is>
          <t>pds_colado_2026-06-03_a_2026-06-08.txt</t>
        </is>
      </c>
      <c r="M2808">
        <f>IF($A2808="","",TEXT($A2808,"mmmm/yyyy"))</f>
        <v/>
      </c>
      <c r="P2808">
        <f>IFERROR(XLOOKUP($N2808,Base_Enderecos!$A:$A,Base_Enderecos!$B:$B,""),"")</f>
        <v/>
      </c>
      <c r="Q2808">
        <f>IFERROR(XLOOKUP($N2808,Base_Enderecos!$A:$A,Base_Enderecos!$C:$C,""),"")</f>
        <v/>
      </c>
      <c r="R2808">
        <f>IF(ISNUMBER(SEARCH("HDD",$F2808)),"HDD",IF(ISNUMBER(SEARCH("VCA",$F2808)),"VCA","MND"))</f>
        <v/>
      </c>
      <c r="T2808">
        <f>TEXT($A2808,"yyyy-mm")&amp;"|"&amp;$C2808&amp;"|"&amp;$I2808</f>
        <v/>
      </c>
    </row>
    <row r="2809">
      <c r="A2809" s="36" t="n">
        <v>46179</v>
      </c>
      <c r="B2809" t="inlineStr">
        <is>
          <t>Sábado</t>
        </is>
      </c>
      <c r="C2809" t="inlineStr">
        <is>
          <t>RCE São Lucas</t>
        </is>
      </c>
      <c r="D2809" t="inlineStr">
        <is>
          <t>Fábio</t>
        </is>
      </c>
      <c r="E2809" t="inlineStr">
        <is>
          <t>Miro</t>
        </is>
      </c>
      <c r="F2809" t="inlineStr">
        <is>
          <t>VCA, PVs e Ligações; (PI 60 ao PI 61)</t>
        </is>
      </c>
      <c r="G2809" t="inlineStr">
        <is>
          <t>60</t>
        </is>
      </c>
      <c r="H2809" t="inlineStr">
        <is>
          <t>61</t>
        </is>
      </c>
      <c r="I2809" t="inlineStr">
        <is>
          <t>60 ao 61</t>
        </is>
      </c>
      <c r="J2809" t="inlineStr">
        <is>
          <t>VCA</t>
        </is>
      </c>
      <c r="K2809" t="inlineStr">
        <is>
          <t>Planejamento</t>
        </is>
      </c>
      <c r="L2809" t="inlineStr">
        <is>
          <t>pds_colado_2026-06-03_a_2026-06-08.txt</t>
        </is>
      </c>
      <c r="M2809">
        <f>IF($A2809="","",TEXT($A2809,"mmmm/yyyy"))</f>
        <v/>
      </c>
      <c r="P2809">
        <f>IFERROR(XLOOKUP($N2809,Base_Enderecos!$A:$A,Base_Enderecos!$B:$B,""),"")</f>
        <v/>
      </c>
      <c r="Q2809">
        <f>IFERROR(XLOOKUP($N2809,Base_Enderecos!$A:$A,Base_Enderecos!$C:$C,""),"")</f>
        <v/>
      </c>
      <c r="R2809">
        <f>IF(ISNUMBER(SEARCH("HDD",$F2809)),"HDD",IF(ISNUMBER(SEARCH("VCA",$F2809)),"VCA","MND"))</f>
        <v/>
      </c>
      <c r="T2809">
        <f>TEXT($A2809,"yyyy-mm")&amp;"|"&amp;$C2809&amp;"|"&amp;$I2809</f>
        <v/>
      </c>
    </row>
    <row r="2810">
      <c r="A2810" s="36" t="n">
        <v>46179</v>
      </c>
      <c r="B2810" t="inlineStr">
        <is>
          <t>Sábado</t>
        </is>
      </c>
      <c r="C2810" t="inlineStr">
        <is>
          <t>RCE São Lucas</t>
        </is>
      </c>
      <c r="D2810" t="inlineStr">
        <is>
          <t>Fábio</t>
        </is>
      </c>
      <c r="E2810" t="inlineStr">
        <is>
          <t>Emanuel</t>
        </is>
      </c>
      <c r="F2810" t="inlineStr">
        <is>
          <t>VCA, PVs e Ligações; (PI 25 ao PI 26)</t>
        </is>
      </c>
      <c r="G2810" t="inlineStr">
        <is>
          <t>25</t>
        </is>
      </c>
      <c r="H2810" t="inlineStr">
        <is>
          <t>26</t>
        </is>
      </c>
      <c r="I2810" t="inlineStr">
        <is>
          <t>25 ao 26</t>
        </is>
      </c>
      <c r="J2810" t="inlineStr">
        <is>
          <t>VCA</t>
        </is>
      </c>
      <c r="K2810" t="inlineStr">
        <is>
          <t>Planejamento</t>
        </is>
      </c>
      <c r="L2810" t="inlineStr">
        <is>
          <t>pds_colado_2026-06-03_a_2026-06-08.txt</t>
        </is>
      </c>
      <c r="M2810">
        <f>IF($A2810="","",TEXT($A2810,"mmmm/yyyy"))</f>
        <v/>
      </c>
      <c r="P2810">
        <f>IFERROR(XLOOKUP($N2810,Base_Enderecos!$A:$A,Base_Enderecos!$B:$B,""),"")</f>
        <v/>
      </c>
      <c r="Q2810">
        <f>IFERROR(XLOOKUP($N2810,Base_Enderecos!$A:$A,Base_Enderecos!$C:$C,""),"")</f>
        <v/>
      </c>
      <c r="R2810">
        <f>IF(ISNUMBER(SEARCH("HDD",$F2810)),"HDD",IF(ISNUMBER(SEARCH("VCA",$F2810)),"VCA","MND"))</f>
        <v/>
      </c>
      <c r="T2810">
        <f>TEXT($A2810,"yyyy-mm")&amp;"|"&amp;$C2810&amp;"|"&amp;$I2810</f>
        <v/>
      </c>
    </row>
    <row r="2811">
      <c r="A2811" s="36" t="n">
        <v>46179</v>
      </c>
      <c r="B2811" t="inlineStr">
        <is>
          <t>Sábado</t>
        </is>
      </c>
      <c r="C2811" t="inlineStr">
        <is>
          <t>RCE São Lucas</t>
        </is>
      </c>
      <c r="D2811" t="inlineStr">
        <is>
          <t>Fábio</t>
        </is>
      </c>
      <c r="E2811" t="inlineStr">
        <is>
          <t>Antonio</t>
        </is>
      </c>
      <c r="F2811" t="inlineStr">
        <is>
          <t>VCA, PVs e Ligações; (Inicio Ponto 04)*</t>
        </is>
      </c>
      <c r="J2811" t="inlineStr">
        <is>
          <t>VCA</t>
        </is>
      </c>
      <c r="K2811" t="inlineStr">
        <is>
          <t>Planejamento</t>
        </is>
      </c>
      <c r="L2811" t="inlineStr">
        <is>
          <t>pds_colado_2026-06-03_a_2026-06-08.txt</t>
        </is>
      </c>
      <c r="M2811">
        <f>IF($A2811="","",TEXT($A2811,"mmmm/yyyy"))</f>
        <v/>
      </c>
      <c r="P2811">
        <f>IFERROR(XLOOKUP($N2811,Base_Enderecos!$A:$A,Base_Enderecos!$B:$B,""),"")</f>
        <v/>
      </c>
      <c r="Q2811">
        <f>IFERROR(XLOOKUP($N2811,Base_Enderecos!$A:$A,Base_Enderecos!$C:$C,""),"")</f>
        <v/>
      </c>
      <c r="R2811">
        <f>IF(ISNUMBER(SEARCH("HDD",$F2811)),"HDD",IF(ISNUMBER(SEARCH("VCA",$F2811)),"VCA","MND"))</f>
        <v/>
      </c>
      <c r="T2811">
        <f>TEXT($A2811,"yyyy-mm")&amp;"|"&amp;$C2811&amp;"|"&amp;$I2811</f>
        <v/>
      </c>
    </row>
    <row r="2812">
      <c r="A2812" s="36" t="n">
        <v>46179</v>
      </c>
      <c r="B2812" t="inlineStr">
        <is>
          <t>Sábado</t>
        </is>
      </c>
      <c r="C2812" t="inlineStr">
        <is>
          <t>RCE São Lucas</t>
        </is>
      </c>
      <c r="D2812" t="inlineStr">
        <is>
          <t>Fábio</t>
        </is>
      </c>
      <c r="E2812" t="inlineStr">
        <is>
          <t>Antonio</t>
        </is>
      </c>
      <c r="F2812" t="inlineStr">
        <is>
          <t>SERVIÇOS REPOSIÇÃO – LEANDRO</t>
        </is>
      </c>
      <c r="J2812" t="inlineStr">
        <is>
          <t>Atividade</t>
        </is>
      </c>
      <c r="K2812" t="inlineStr">
        <is>
          <t>Planejamento</t>
        </is>
      </c>
      <c r="L2812" t="inlineStr">
        <is>
          <t>pds_colado_2026-06-03_a_2026-06-08.txt</t>
        </is>
      </c>
      <c r="M2812">
        <f>IF($A2812="","",TEXT($A2812,"mmmm/yyyy"))</f>
        <v/>
      </c>
      <c r="P2812">
        <f>IFERROR(XLOOKUP($N2812,Base_Enderecos!$A:$A,Base_Enderecos!$B:$B,""),"")</f>
        <v/>
      </c>
      <c r="Q2812">
        <f>IFERROR(XLOOKUP($N2812,Base_Enderecos!$A:$A,Base_Enderecos!$C:$C,""),"")</f>
        <v/>
      </c>
      <c r="R2812">
        <f>IF(ISNUMBER(SEARCH("HDD",$F2812)),"HDD",IF(ISNUMBER(SEARCH("VCA",$F2812)),"VCA","MND"))</f>
        <v/>
      </c>
      <c r="T2812">
        <f>TEXT($A2812,"yyyy-mm")&amp;"|"&amp;$C2812&amp;"|"&amp;$I2812</f>
        <v/>
      </c>
    </row>
    <row r="2813">
      <c r="A2813" s="36" t="n">
        <v>46179</v>
      </c>
      <c r="B2813" t="inlineStr">
        <is>
          <t>Sábado</t>
        </is>
      </c>
      <c r="C2813" t="inlineStr">
        <is>
          <t>RCE São Lucas</t>
        </is>
      </c>
      <c r="D2813" t="inlineStr">
        <is>
          <t>Fábio</t>
        </is>
      </c>
      <c r="E2813" t="inlineStr">
        <is>
          <t>Antonio</t>
        </is>
      </c>
      <c r="F2813" t="inlineStr">
        <is>
          <t>Reparos Gerais</t>
        </is>
      </c>
      <c r="J2813" t="inlineStr">
        <is>
          <t>Atividade</t>
        </is>
      </c>
      <c r="K2813" t="inlineStr">
        <is>
          <t>Planejamento</t>
        </is>
      </c>
      <c r="L2813" t="inlineStr">
        <is>
          <t>pds_colado_2026-06-03_a_2026-06-08.txt</t>
        </is>
      </c>
      <c r="M2813">
        <f>IF($A2813="","",TEXT($A2813,"mmmm/yyyy"))</f>
        <v/>
      </c>
      <c r="P2813">
        <f>IFERROR(XLOOKUP($N2813,Base_Enderecos!$A:$A,Base_Enderecos!$B:$B,""),"")</f>
        <v/>
      </c>
      <c r="Q2813">
        <f>IFERROR(XLOOKUP($N2813,Base_Enderecos!$A:$A,Base_Enderecos!$C:$C,""),"")</f>
        <v/>
      </c>
      <c r="R2813">
        <f>IF(ISNUMBER(SEARCH("HDD",$F2813)),"HDD",IF(ISNUMBER(SEARCH("VCA",$F2813)),"VCA","MND"))</f>
        <v/>
      </c>
      <c r="T2813">
        <f>TEXT($A2813,"yyyy-mm")&amp;"|"&amp;$C2813&amp;"|"&amp;$I2813</f>
        <v/>
      </c>
    </row>
    <row r="2814">
      <c r="A2814" s="36" t="n">
        <v>46179</v>
      </c>
      <c r="B2814" t="inlineStr">
        <is>
          <t>Sábado</t>
        </is>
      </c>
      <c r="C2814" t="inlineStr">
        <is>
          <t>João Canzi – Henko (wellington/thiago)</t>
        </is>
      </c>
      <c r="E2814" t="inlineStr">
        <is>
          <t>Vacal</t>
        </is>
      </c>
      <c r="F2814" t="inlineStr">
        <is>
          <t>João Canzi – Henko (Wellington/Thiago)</t>
        </is>
      </c>
      <c r="J2814" t="inlineStr">
        <is>
          <t>Atividade</t>
        </is>
      </c>
      <c r="K2814" t="inlineStr">
        <is>
          <t>Apoio</t>
        </is>
      </c>
      <c r="L2814" t="inlineStr">
        <is>
          <t>pds_colado_2026-06-03_a_2026-06-08.txt</t>
        </is>
      </c>
      <c r="M2814">
        <f>IF($A2814="","",TEXT($A2814,"mmmm/yyyy"))</f>
        <v/>
      </c>
      <c r="P2814">
        <f>IFERROR(XLOOKUP($N2814,Base_Enderecos!$A:$A,Base_Enderecos!$B:$B,""),"")</f>
        <v/>
      </c>
      <c r="Q2814">
        <f>IFERROR(XLOOKUP($N2814,Base_Enderecos!$A:$A,Base_Enderecos!$C:$C,""),"")</f>
        <v/>
      </c>
      <c r="R2814">
        <f>IF(ISNUMBER(SEARCH("HDD",$F2814)),"HDD",IF(ISNUMBER(SEARCH("VCA",$F2814)),"VCA","MND"))</f>
        <v/>
      </c>
      <c r="T2814">
        <f>TEXT($A2814,"yyyy-mm")&amp;"|"&amp;$C2814&amp;"|"&amp;$I2814</f>
        <v/>
      </c>
    </row>
    <row r="2815">
      <c r="A2815" s="36" t="n">
        <v>46179</v>
      </c>
      <c r="B2815" t="inlineStr">
        <is>
          <t>Sábado</t>
        </is>
      </c>
      <c r="C2815" t="inlineStr">
        <is>
          <t>João Canzi – Henko (marcio)</t>
        </is>
      </c>
      <c r="E2815" t="inlineStr">
        <is>
          <t>Vacal</t>
        </is>
      </c>
      <c r="F2815" t="inlineStr">
        <is>
          <t>João Canzi – Henko (Marcio)</t>
        </is>
      </c>
      <c r="J2815" t="inlineStr">
        <is>
          <t>Atividade</t>
        </is>
      </c>
      <c r="K2815" t="inlineStr">
        <is>
          <t>Apoio</t>
        </is>
      </c>
      <c r="L2815" t="inlineStr">
        <is>
          <t>pds_colado_2026-06-03_a_2026-06-08.txt</t>
        </is>
      </c>
      <c r="M2815">
        <f>IF($A2815="","",TEXT($A2815,"mmmm/yyyy"))</f>
        <v/>
      </c>
      <c r="P2815">
        <f>IFERROR(XLOOKUP($N2815,Base_Enderecos!$A:$A,Base_Enderecos!$B:$B,""),"")</f>
        <v/>
      </c>
      <c r="Q2815">
        <f>IFERROR(XLOOKUP($N2815,Base_Enderecos!$A:$A,Base_Enderecos!$C:$C,""),"")</f>
        <v/>
      </c>
      <c r="R2815">
        <f>IF(ISNUMBER(SEARCH("HDD",$F2815)),"HDD",IF(ISNUMBER(SEARCH("VCA",$F2815)),"VCA","MND"))</f>
        <v/>
      </c>
      <c r="T2815">
        <f>TEXT($A2815,"yyyy-mm")&amp;"|"&amp;$C2815&amp;"|"&amp;$I2815</f>
        <v/>
      </c>
    </row>
    <row r="2816">
      <c r="A2816" s="36" t="n">
        <v>46179</v>
      </c>
      <c r="B2816" t="inlineStr">
        <is>
          <t>Sábado</t>
        </is>
      </c>
      <c r="C2816" t="inlineStr">
        <is>
          <t>Iti 15 – Henko (osmar)</t>
        </is>
      </c>
      <c r="E2816" t="inlineStr">
        <is>
          <t>Vacal</t>
        </is>
      </c>
      <c r="F2816" t="inlineStr">
        <is>
          <t>ITI 15 – Henko (Osmar)</t>
        </is>
      </c>
      <c r="J2816" t="inlineStr">
        <is>
          <t>Atividade</t>
        </is>
      </c>
      <c r="K2816" t="inlineStr">
        <is>
          <t>Apoio</t>
        </is>
      </c>
      <c r="L2816" t="inlineStr">
        <is>
          <t>pds_colado_2026-06-03_a_2026-06-08.txt</t>
        </is>
      </c>
      <c r="M2816">
        <f>IF($A2816="","",TEXT($A2816,"mmmm/yyyy"))</f>
        <v/>
      </c>
      <c r="P2816">
        <f>IFERROR(XLOOKUP($N2816,Base_Enderecos!$A:$A,Base_Enderecos!$B:$B,""),"")</f>
        <v/>
      </c>
      <c r="Q2816">
        <f>IFERROR(XLOOKUP($N2816,Base_Enderecos!$A:$A,Base_Enderecos!$C:$C,""),"")</f>
        <v/>
      </c>
      <c r="R2816">
        <f>IF(ISNUMBER(SEARCH("HDD",$F2816)),"HDD",IF(ISNUMBER(SEARCH("VCA",$F2816)),"VCA","MND"))</f>
        <v/>
      </c>
      <c r="T2816">
        <f>TEXT($A2816,"yyyy-mm")&amp;"|"&amp;$C2816&amp;"|"&amp;$I2816</f>
        <v/>
      </c>
    </row>
    <row r="2817">
      <c r="A2817" s="36" t="n">
        <v>46179</v>
      </c>
      <c r="B2817" t="inlineStr">
        <is>
          <t>Sábado</t>
        </is>
      </c>
      <c r="C2817" t="inlineStr">
        <is>
          <t>Guindauto</t>
        </is>
      </c>
      <c r="E2817" t="inlineStr">
        <is>
          <t>Guindauto</t>
        </is>
      </c>
      <c r="F2817" t="inlineStr">
        <is>
          <t>Luiz - Apoio as equipes</t>
        </is>
      </c>
      <c r="J2817" t="inlineStr">
        <is>
          <t>Atividade</t>
        </is>
      </c>
      <c r="K2817" t="inlineStr">
        <is>
          <t>Apoio</t>
        </is>
      </c>
      <c r="L2817" t="inlineStr">
        <is>
          <t>pds_colado_2026-06-03_a_2026-06-08.txt</t>
        </is>
      </c>
      <c r="M2817">
        <f>IF($A2817="","",TEXT($A2817,"mmmm/yyyy"))</f>
        <v/>
      </c>
      <c r="P2817">
        <f>IFERROR(XLOOKUP($N2817,Base_Enderecos!$A:$A,Base_Enderecos!$B:$B,""),"")</f>
        <v/>
      </c>
      <c r="Q2817">
        <f>IFERROR(XLOOKUP($N2817,Base_Enderecos!$A:$A,Base_Enderecos!$C:$C,""),"")</f>
        <v/>
      </c>
      <c r="R2817">
        <f>IF(ISNUMBER(SEARCH("HDD",$F2817)),"HDD",IF(ISNUMBER(SEARCH("VCA",$F2817)),"VCA","MND"))</f>
        <v/>
      </c>
      <c r="T2817">
        <f>TEXT($A2817,"yyyy-mm")&amp;"|"&amp;$C2817&amp;"|"&amp;$I2817</f>
        <v/>
      </c>
    </row>
    <row r="2818">
      <c r="A2818" s="36" t="n">
        <v>46181</v>
      </c>
      <c r="B2818" t="inlineStr">
        <is>
          <t>Segunda</t>
        </is>
      </c>
      <c r="C2818" t="inlineStr">
        <is>
          <t>CT João Canzi</t>
        </is>
      </c>
      <c r="D2818" t="inlineStr">
        <is>
          <t>Valmir</t>
        </is>
      </c>
      <c r="E2818" t="inlineStr">
        <is>
          <t>Goiânia Drill</t>
        </is>
      </c>
      <c r="F2818" t="inlineStr">
        <is>
          <t>Puxe do PV-18 ao PV-19</t>
        </is>
      </c>
      <c r="G2818" t="inlineStr">
        <is>
          <t>18</t>
        </is>
      </c>
      <c r="H2818" t="inlineStr">
        <is>
          <t>19</t>
        </is>
      </c>
      <c r="I2818" t="inlineStr">
        <is>
          <t>18 ao 19</t>
        </is>
      </c>
      <c r="J2818" t="inlineStr">
        <is>
          <t>HDD</t>
        </is>
      </c>
      <c r="K2818" t="inlineStr">
        <is>
          <t>Planejamento</t>
        </is>
      </c>
      <c r="L2818" t="inlineStr">
        <is>
          <t>pds_colado_2026-06-03_a_2026-06-08.txt</t>
        </is>
      </c>
      <c r="M2818">
        <f>IF($A2818="","",TEXT($A2818,"mmmm/yyyy"))</f>
        <v/>
      </c>
      <c r="P2818">
        <f>IFERROR(XLOOKUP($N2818,Base_Enderecos!$A:$A,Base_Enderecos!$B:$B,""),"")</f>
        <v/>
      </c>
      <c r="Q2818">
        <f>IFERROR(XLOOKUP($N2818,Base_Enderecos!$A:$A,Base_Enderecos!$C:$C,""),"")</f>
        <v/>
      </c>
      <c r="R2818">
        <f>IF(ISNUMBER(SEARCH("HDD",$F2818)),"HDD",IF(ISNUMBER(SEARCH("VCA",$F2818)),"VCA","MND"))</f>
        <v/>
      </c>
      <c r="T2818">
        <f>TEXT($A2818,"yyyy-mm")&amp;"|"&amp;$C2818&amp;"|"&amp;$I2818</f>
        <v/>
      </c>
    </row>
    <row r="2819">
      <c r="A2819" s="36" t="n">
        <v>46181</v>
      </c>
      <c r="B2819" t="inlineStr">
        <is>
          <t>Segunda</t>
        </is>
      </c>
      <c r="C2819" t="inlineStr">
        <is>
          <t>CT João Canzi</t>
        </is>
      </c>
      <c r="D2819" t="inlineStr">
        <is>
          <t>Valmir</t>
        </is>
      </c>
      <c r="E2819" t="inlineStr">
        <is>
          <t>Bruno</t>
        </is>
      </c>
      <c r="F2819" t="inlineStr">
        <is>
          <t>Apoio ao HDD</t>
        </is>
      </c>
      <c r="J2819" t="inlineStr">
        <is>
          <t>HDD</t>
        </is>
      </c>
      <c r="K2819" t="inlineStr">
        <is>
          <t>Planejamento</t>
        </is>
      </c>
      <c r="L2819" t="inlineStr">
        <is>
          <t>pds_colado_2026-06-03_a_2026-06-08.txt</t>
        </is>
      </c>
      <c r="M2819">
        <f>IF($A2819="","",TEXT($A2819,"mmmm/yyyy"))</f>
        <v/>
      </c>
      <c r="P2819">
        <f>IFERROR(XLOOKUP($N2819,Base_Enderecos!$A:$A,Base_Enderecos!$B:$B,""),"")</f>
        <v/>
      </c>
      <c r="Q2819">
        <f>IFERROR(XLOOKUP($N2819,Base_Enderecos!$A:$A,Base_Enderecos!$C:$C,""),"")</f>
        <v/>
      </c>
      <c r="R2819">
        <f>IF(ISNUMBER(SEARCH("HDD",$F2819)),"HDD",IF(ISNUMBER(SEARCH("VCA",$F2819)),"VCA","MND"))</f>
        <v/>
      </c>
      <c r="T2819">
        <f>TEXT($A2819,"yyyy-mm")&amp;"|"&amp;$C2819&amp;"|"&amp;$I2819</f>
        <v/>
      </c>
    </row>
    <row r="2820">
      <c r="A2820" s="36" t="n">
        <v>46181</v>
      </c>
      <c r="B2820" t="inlineStr">
        <is>
          <t>Segunda</t>
        </is>
      </c>
      <c r="C2820" t="inlineStr">
        <is>
          <t>CT João Canzi</t>
        </is>
      </c>
      <c r="D2820" t="inlineStr">
        <is>
          <t>Valmir</t>
        </is>
      </c>
      <c r="E2820" t="inlineStr">
        <is>
          <t>Medeiros</t>
        </is>
      </c>
      <c r="F2820" t="inlineStr">
        <is>
          <t>Reaterro Shaft PV 10.1</t>
        </is>
      </c>
      <c r="G2820" t="inlineStr">
        <is>
          <t>10.1</t>
        </is>
      </c>
      <c r="I2820" t="inlineStr">
        <is>
          <t>10.1</t>
        </is>
      </c>
      <c r="J2820" t="inlineStr">
        <is>
          <t>Shaft</t>
        </is>
      </c>
      <c r="K2820" t="inlineStr">
        <is>
          <t>Planejamento</t>
        </is>
      </c>
      <c r="L2820" t="inlineStr">
        <is>
          <t>pds_colado_2026-06-03_a_2026-06-08.txt</t>
        </is>
      </c>
      <c r="M2820">
        <f>IF($A2820="","",TEXT($A2820,"mmmm/yyyy"))</f>
        <v/>
      </c>
      <c r="P2820">
        <f>IFERROR(XLOOKUP($N2820,Base_Enderecos!$A:$A,Base_Enderecos!$B:$B,""),"")</f>
        <v/>
      </c>
      <c r="Q2820">
        <f>IFERROR(XLOOKUP($N2820,Base_Enderecos!$A:$A,Base_Enderecos!$C:$C,""),"")</f>
        <v/>
      </c>
      <c r="R2820">
        <f>IF(ISNUMBER(SEARCH("HDD",$F2820)),"HDD",IF(ISNUMBER(SEARCH("VCA",$F2820)),"VCA","MND"))</f>
        <v/>
      </c>
      <c r="T2820">
        <f>TEXT($A2820,"yyyy-mm")&amp;"|"&amp;$C2820&amp;"|"&amp;$I2820</f>
        <v/>
      </c>
    </row>
    <row r="2821">
      <c r="A2821" s="36" t="n">
        <v>46181</v>
      </c>
      <c r="B2821" t="inlineStr">
        <is>
          <t>Segunda</t>
        </is>
      </c>
      <c r="C2821" t="inlineStr">
        <is>
          <t>CT João Canzi</t>
        </is>
      </c>
      <c r="D2821" t="inlineStr">
        <is>
          <t>Valmir</t>
        </is>
      </c>
      <c r="E2821" t="inlineStr">
        <is>
          <t>Márcio</t>
        </is>
      </c>
      <c r="F2821" t="inlineStr">
        <is>
          <t>Transformação PV 10</t>
        </is>
      </c>
      <c r="G2821" t="inlineStr">
        <is>
          <t>10</t>
        </is>
      </c>
      <c r="I2821" t="inlineStr">
        <is>
          <t>10</t>
        </is>
      </c>
      <c r="J2821" t="inlineStr">
        <is>
          <t>Transformação</t>
        </is>
      </c>
      <c r="K2821" t="inlineStr">
        <is>
          <t>Planejamento</t>
        </is>
      </c>
      <c r="L2821" t="inlineStr">
        <is>
          <t>pds_colado_2026-06-03_a_2026-06-08.txt</t>
        </is>
      </c>
      <c r="M2821">
        <f>IF($A2821="","",TEXT($A2821,"mmmm/yyyy"))</f>
        <v/>
      </c>
      <c r="P2821">
        <f>IFERROR(XLOOKUP($N2821,Base_Enderecos!$A:$A,Base_Enderecos!$B:$B,""),"")</f>
        <v/>
      </c>
      <c r="Q2821">
        <f>IFERROR(XLOOKUP($N2821,Base_Enderecos!$A:$A,Base_Enderecos!$C:$C,""),"")</f>
        <v/>
      </c>
      <c r="R2821">
        <f>IF(ISNUMBER(SEARCH("HDD",$F2821)),"HDD",IF(ISNUMBER(SEARCH("VCA",$F2821)),"VCA","MND"))</f>
        <v/>
      </c>
      <c r="T2821">
        <f>TEXT($A2821,"yyyy-mm")&amp;"|"&amp;$C2821&amp;"|"&amp;$I2821</f>
        <v/>
      </c>
    </row>
    <row r="2822">
      <c r="A2822" s="36" t="n">
        <v>46181</v>
      </c>
      <c r="B2822" t="inlineStr">
        <is>
          <t>Segunda</t>
        </is>
      </c>
      <c r="C2822" t="inlineStr">
        <is>
          <t>RCE Elvira</t>
        </is>
      </c>
      <c r="D2822" t="inlineStr">
        <is>
          <t>Silvestre</t>
        </is>
      </c>
      <c r="E2822" t="inlineStr">
        <is>
          <t>Valter</t>
        </is>
      </c>
      <c r="F2822" t="inlineStr">
        <is>
          <t>VCA, PVs e Ligações</t>
        </is>
      </c>
      <c r="J2822" t="inlineStr">
        <is>
          <t>VCA</t>
        </is>
      </c>
      <c r="K2822" t="inlineStr">
        <is>
          <t>Planejamento</t>
        </is>
      </c>
      <c r="L2822" t="inlineStr">
        <is>
          <t>pds_colado_2026-06-03_a_2026-06-08.txt</t>
        </is>
      </c>
      <c r="M2822">
        <f>IF($A2822="","",TEXT($A2822,"mmmm/yyyy"))</f>
        <v/>
      </c>
      <c r="P2822">
        <f>IFERROR(XLOOKUP($N2822,Base_Enderecos!$A:$A,Base_Enderecos!$B:$B,""),"")</f>
        <v/>
      </c>
      <c r="Q2822">
        <f>IFERROR(XLOOKUP($N2822,Base_Enderecos!$A:$A,Base_Enderecos!$C:$C,""),"")</f>
        <v/>
      </c>
      <c r="R2822">
        <f>IF(ISNUMBER(SEARCH("HDD",$F2822)),"HDD",IF(ISNUMBER(SEARCH("VCA",$F2822)),"VCA","MND"))</f>
        <v/>
      </c>
      <c r="T2822">
        <f>TEXT($A2822,"yyyy-mm")&amp;"|"&amp;$C2822&amp;"|"&amp;$I2822</f>
        <v/>
      </c>
    </row>
    <row r="2823">
      <c r="A2823" s="36" t="n">
        <v>46181</v>
      </c>
      <c r="B2823" t="inlineStr">
        <is>
          <t>Segunda</t>
        </is>
      </c>
      <c r="C2823" t="inlineStr">
        <is>
          <t>RCE Elias Sleiman</t>
        </is>
      </c>
      <c r="D2823" t="inlineStr">
        <is>
          <t>Silvestre</t>
        </is>
      </c>
      <c r="E2823" t="inlineStr">
        <is>
          <t>Edvando</t>
        </is>
      </c>
      <c r="F2823" t="inlineStr">
        <is>
          <t>VCA PV 22 ao PV 23</t>
        </is>
      </c>
      <c r="G2823" t="inlineStr">
        <is>
          <t>22</t>
        </is>
      </c>
      <c r="H2823" t="inlineStr">
        <is>
          <t>23</t>
        </is>
      </c>
      <c r="I2823" t="inlineStr">
        <is>
          <t>22 ao 23</t>
        </is>
      </c>
      <c r="J2823" t="inlineStr">
        <is>
          <t>VCA</t>
        </is>
      </c>
      <c r="K2823" t="inlineStr">
        <is>
          <t>Planejamento</t>
        </is>
      </c>
      <c r="L2823" t="inlineStr">
        <is>
          <t>pds_colado_2026-06-03_a_2026-06-08.txt</t>
        </is>
      </c>
      <c r="M2823">
        <f>IF($A2823="","",TEXT($A2823,"mmmm/yyyy"))</f>
        <v/>
      </c>
      <c r="P2823">
        <f>IFERROR(XLOOKUP($N2823,Base_Enderecos!$A:$A,Base_Enderecos!$B:$B,""),"")</f>
        <v/>
      </c>
      <c r="Q2823">
        <f>IFERROR(XLOOKUP($N2823,Base_Enderecos!$A:$A,Base_Enderecos!$C:$C,""),"")</f>
        <v/>
      </c>
      <c r="R2823">
        <f>IF(ISNUMBER(SEARCH("HDD",$F2823)),"HDD",IF(ISNUMBER(SEARCH("VCA",$F2823)),"VCA","MND"))</f>
        <v/>
      </c>
      <c r="T2823">
        <f>TEXT($A2823,"yyyy-mm")&amp;"|"&amp;$C2823&amp;"|"&amp;$I2823</f>
        <v/>
      </c>
    </row>
    <row r="2824">
      <c r="A2824" s="36" t="n">
        <v>46181</v>
      </c>
      <c r="B2824" t="inlineStr">
        <is>
          <t>Segunda</t>
        </is>
      </c>
      <c r="C2824" t="inlineStr">
        <is>
          <t>RCE Conj. União</t>
        </is>
      </c>
      <c r="D2824" t="inlineStr">
        <is>
          <t>Caroline</t>
        </is>
      </c>
      <c r="E2824" t="inlineStr">
        <is>
          <t>Jhonatan</t>
        </is>
      </c>
      <c r="F2824" t="inlineStr">
        <is>
          <t>VCA, PVs e Ligações</t>
        </is>
      </c>
      <c r="J2824" t="inlineStr">
        <is>
          <t>VCA</t>
        </is>
      </c>
      <c r="K2824" t="inlineStr">
        <is>
          <t>Planejamento</t>
        </is>
      </c>
      <c r="L2824" t="inlineStr">
        <is>
          <t>pds_colado_2026-06-03_a_2026-06-08.txt</t>
        </is>
      </c>
      <c r="M2824">
        <f>IF($A2824="","",TEXT($A2824,"mmmm/yyyy"))</f>
        <v/>
      </c>
      <c r="P2824">
        <f>IFERROR(XLOOKUP($N2824,Base_Enderecos!$A:$A,Base_Enderecos!$B:$B,""),"")</f>
        <v/>
      </c>
      <c r="Q2824">
        <f>IFERROR(XLOOKUP($N2824,Base_Enderecos!$A:$A,Base_Enderecos!$C:$C,""),"")</f>
        <v/>
      </c>
      <c r="R2824">
        <f>IF(ISNUMBER(SEARCH("HDD",$F2824)),"HDD",IF(ISNUMBER(SEARCH("VCA",$F2824)),"VCA","MND"))</f>
        <v/>
      </c>
      <c r="T2824">
        <f>TEXT($A2824,"yyyy-mm")&amp;"|"&amp;$C2824&amp;"|"&amp;$I2824</f>
        <v/>
      </c>
    </row>
    <row r="2825">
      <c r="A2825" s="36" t="n">
        <v>46181</v>
      </c>
      <c r="B2825" t="inlineStr">
        <is>
          <t>Segunda</t>
        </is>
      </c>
      <c r="C2825" t="inlineStr">
        <is>
          <t>RCE Américo Machado/elis Regina</t>
        </is>
      </c>
      <c r="D2825" t="inlineStr">
        <is>
          <t>Caroline</t>
        </is>
      </c>
      <c r="E2825" t="inlineStr">
        <is>
          <t>Cesar</t>
        </is>
      </c>
      <c r="F2825" t="inlineStr">
        <is>
          <t>VCA, PVs e Ligações</t>
        </is>
      </c>
      <c r="J2825" t="inlineStr">
        <is>
          <t>VCA</t>
        </is>
      </c>
      <c r="K2825" t="inlineStr">
        <is>
          <t>Planejamento</t>
        </is>
      </c>
      <c r="L2825" t="inlineStr">
        <is>
          <t>pds_colado_2026-06-03_a_2026-06-08.txt</t>
        </is>
      </c>
      <c r="M2825">
        <f>IF($A2825="","",TEXT($A2825,"mmmm/yyyy"))</f>
        <v/>
      </c>
      <c r="P2825">
        <f>IFERROR(XLOOKUP($N2825,Base_Enderecos!$A:$A,Base_Enderecos!$B:$B,""),"")</f>
        <v/>
      </c>
      <c r="Q2825">
        <f>IFERROR(XLOOKUP($N2825,Base_Enderecos!$A:$A,Base_Enderecos!$C:$C,""),"")</f>
        <v/>
      </c>
      <c r="R2825">
        <f>IF(ISNUMBER(SEARCH("HDD",$F2825)),"HDD",IF(ISNUMBER(SEARCH("VCA",$F2825)),"VCA","MND"))</f>
        <v/>
      </c>
      <c r="T2825">
        <f>TEXT($A2825,"yyyy-mm")&amp;"|"&amp;$C2825&amp;"|"&amp;$I2825</f>
        <v/>
      </c>
    </row>
    <row r="2826">
      <c r="A2826" s="36" t="n">
        <v>46181</v>
      </c>
      <c r="B2826" t="inlineStr">
        <is>
          <t>Segunda</t>
        </is>
      </c>
      <c r="C2826" t="inlineStr">
        <is>
          <t>CTS Lourdes Complementar</t>
        </is>
      </c>
      <c r="D2826" t="inlineStr">
        <is>
          <t>Robson</t>
        </is>
      </c>
      <c r="E2826" t="inlineStr">
        <is>
          <t>Marcelo</t>
        </is>
      </c>
      <c r="F2826" t="inlineStr">
        <is>
          <t>Transformação PV 05 + Interligação</t>
        </is>
      </c>
      <c r="G2826" t="inlineStr">
        <is>
          <t>05</t>
        </is>
      </c>
      <c r="I2826" t="inlineStr">
        <is>
          <t>05</t>
        </is>
      </c>
      <c r="J2826" t="inlineStr">
        <is>
          <t>Transformação</t>
        </is>
      </c>
      <c r="K2826" t="inlineStr">
        <is>
          <t>Planejamento</t>
        </is>
      </c>
      <c r="L2826" t="inlineStr">
        <is>
          <t>pds_colado_2026-06-03_a_2026-06-08.txt</t>
        </is>
      </c>
      <c r="M2826">
        <f>IF($A2826="","",TEXT($A2826,"mmmm/yyyy"))</f>
        <v/>
      </c>
      <c r="P2826">
        <f>IFERROR(XLOOKUP($N2826,Base_Enderecos!$A:$A,Base_Enderecos!$B:$B,""),"")</f>
        <v/>
      </c>
      <c r="Q2826">
        <f>IFERROR(XLOOKUP($N2826,Base_Enderecos!$A:$A,Base_Enderecos!$C:$C,""),"")</f>
        <v/>
      </c>
      <c r="R2826">
        <f>IF(ISNUMBER(SEARCH("HDD",$F2826)),"HDD",IF(ISNUMBER(SEARCH("VCA",$F2826)),"VCA","MND"))</f>
        <v/>
      </c>
      <c r="T2826">
        <f>TEXT($A2826,"yyyy-mm")&amp;"|"&amp;$C2826&amp;"|"&amp;$I2826</f>
        <v/>
      </c>
    </row>
    <row r="2827">
      <c r="A2827" s="36" t="n">
        <v>46181</v>
      </c>
      <c r="B2827" t="inlineStr">
        <is>
          <t>Segunda</t>
        </is>
      </c>
      <c r="C2827" t="inlineStr">
        <is>
          <t>RCE São Lucas</t>
        </is>
      </c>
      <c r="D2827" t="inlineStr">
        <is>
          <t>Fábio</t>
        </is>
      </c>
      <c r="E2827" t="inlineStr">
        <is>
          <t>Ricardo</t>
        </is>
      </c>
      <c r="F2827" t="inlineStr">
        <is>
          <t>VCA, PVs e Ligações</t>
        </is>
      </c>
      <c r="J2827" t="inlineStr">
        <is>
          <t>VCA</t>
        </is>
      </c>
      <c r="K2827" t="inlineStr">
        <is>
          <t>Planejamento</t>
        </is>
      </c>
      <c r="L2827" t="inlineStr">
        <is>
          <t>pds_colado_2026-06-03_a_2026-06-08.txt</t>
        </is>
      </c>
      <c r="M2827">
        <f>IF($A2827="","",TEXT($A2827,"mmmm/yyyy"))</f>
        <v/>
      </c>
      <c r="P2827">
        <f>IFERROR(XLOOKUP($N2827,Base_Enderecos!$A:$A,Base_Enderecos!$B:$B,""),"")</f>
        <v/>
      </c>
      <c r="Q2827">
        <f>IFERROR(XLOOKUP($N2827,Base_Enderecos!$A:$A,Base_Enderecos!$C:$C,""),"")</f>
        <v/>
      </c>
      <c r="R2827">
        <f>IF(ISNUMBER(SEARCH("HDD",$F2827)),"HDD",IF(ISNUMBER(SEARCH("VCA",$F2827)),"VCA","MND"))</f>
        <v/>
      </c>
      <c r="T2827">
        <f>TEXT($A2827,"yyyy-mm")&amp;"|"&amp;$C2827&amp;"|"&amp;$I2827</f>
        <v/>
      </c>
    </row>
    <row r="2828">
      <c r="A2828" s="36" t="n">
        <v>46181</v>
      </c>
      <c r="B2828" t="inlineStr">
        <is>
          <t>Segunda</t>
        </is>
      </c>
      <c r="C2828" t="inlineStr">
        <is>
          <t>RCE São Lucas</t>
        </is>
      </c>
      <c r="D2828" t="inlineStr">
        <is>
          <t>Fábio</t>
        </is>
      </c>
      <c r="E2828" t="inlineStr">
        <is>
          <t>Claudinei</t>
        </is>
      </c>
      <c r="F2828" t="inlineStr">
        <is>
          <t>VCA, PVs e Ligações</t>
        </is>
      </c>
      <c r="J2828" t="inlineStr">
        <is>
          <t>VCA</t>
        </is>
      </c>
      <c r="K2828" t="inlineStr">
        <is>
          <t>Planejamento</t>
        </is>
      </c>
      <c r="L2828" t="inlineStr">
        <is>
          <t>pds_colado_2026-06-03_a_2026-06-08.txt</t>
        </is>
      </c>
      <c r="M2828">
        <f>IF($A2828="","",TEXT($A2828,"mmmm/yyyy"))</f>
        <v/>
      </c>
      <c r="P2828">
        <f>IFERROR(XLOOKUP($N2828,Base_Enderecos!$A:$A,Base_Enderecos!$B:$B,""),"")</f>
        <v/>
      </c>
      <c r="Q2828">
        <f>IFERROR(XLOOKUP($N2828,Base_Enderecos!$A:$A,Base_Enderecos!$C:$C,""),"")</f>
        <v/>
      </c>
      <c r="R2828">
        <f>IF(ISNUMBER(SEARCH("HDD",$F2828)),"HDD",IF(ISNUMBER(SEARCH("VCA",$F2828)),"VCA","MND"))</f>
        <v/>
      </c>
      <c r="T2828">
        <f>TEXT($A2828,"yyyy-mm")&amp;"|"&amp;$C2828&amp;"|"&amp;$I2828</f>
        <v/>
      </c>
    </row>
    <row r="2829">
      <c r="A2829" s="36" t="n">
        <v>46181</v>
      </c>
      <c r="B2829" t="inlineStr">
        <is>
          <t>Segunda</t>
        </is>
      </c>
      <c r="C2829" t="inlineStr">
        <is>
          <t>RCE São Lucas</t>
        </is>
      </c>
      <c r="D2829" t="inlineStr">
        <is>
          <t>Fábio</t>
        </is>
      </c>
      <c r="E2829" t="inlineStr">
        <is>
          <t>Miro</t>
        </is>
      </c>
      <c r="F2829" t="inlineStr">
        <is>
          <t>VCA, PVs e Ligações</t>
        </is>
      </c>
      <c r="J2829" t="inlineStr">
        <is>
          <t>VCA</t>
        </is>
      </c>
      <c r="K2829" t="inlineStr">
        <is>
          <t>Planejamento</t>
        </is>
      </c>
      <c r="L2829" t="inlineStr">
        <is>
          <t>pds_colado_2026-06-03_a_2026-06-08.txt</t>
        </is>
      </c>
      <c r="M2829">
        <f>IF($A2829="","",TEXT($A2829,"mmmm/yyyy"))</f>
        <v/>
      </c>
      <c r="P2829">
        <f>IFERROR(XLOOKUP($N2829,Base_Enderecos!$A:$A,Base_Enderecos!$B:$B,""),"")</f>
        <v/>
      </c>
      <c r="Q2829">
        <f>IFERROR(XLOOKUP($N2829,Base_Enderecos!$A:$A,Base_Enderecos!$C:$C,""),"")</f>
        <v/>
      </c>
      <c r="R2829">
        <f>IF(ISNUMBER(SEARCH("HDD",$F2829)),"HDD",IF(ISNUMBER(SEARCH("VCA",$F2829)),"VCA","MND"))</f>
        <v/>
      </c>
      <c r="T2829">
        <f>TEXT($A2829,"yyyy-mm")&amp;"|"&amp;$C2829&amp;"|"&amp;$I2829</f>
        <v/>
      </c>
    </row>
    <row r="2830">
      <c r="A2830" s="36" t="n">
        <v>46181</v>
      </c>
      <c r="B2830" t="inlineStr">
        <is>
          <t>Segunda</t>
        </is>
      </c>
      <c r="C2830" t="inlineStr">
        <is>
          <t>RCE São Lucas</t>
        </is>
      </c>
      <c r="D2830" t="inlineStr">
        <is>
          <t>Fábio</t>
        </is>
      </c>
      <c r="E2830" t="inlineStr">
        <is>
          <t>Emanuel</t>
        </is>
      </c>
      <c r="F2830" t="inlineStr">
        <is>
          <t>VCA, PVs e Ligações</t>
        </is>
      </c>
      <c r="J2830" t="inlineStr">
        <is>
          <t>VCA</t>
        </is>
      </c>
      <c r="K2830" t="inlineStr">
        <is>
          <t>Planejamento</t>
        </is>
      </c>
      <c r="L2830" t="inlineStr">
        <is>
          <t>pds_colado_2026-06-03_a_2026-06-08.txt</t>
        </is>
      </c>
      <c r="M2830">
        <f>IF($A2830="","",TEXT($A2830,"mmmm/yyyy"))</f>
        <v/>
      </c>
      <c r="P2830">
        <f>IFERROR(XLOOKUP($N2830,Base_Enderecos!$A:$A,Base_Enderecos!$B:$B,""),"")</f>
        <v/>
      </c>
      <c r="Q2830">
        <f>IFERROR(XLOOKUP($N2830,Base_Enderecos!$A:$A,Base_Enderecos!$C:$C,""),"")</f>
        <v/>
      </c>
      <c r="R2830">
        <f>IF(ISNUMBER(SEARCH("HDD",$F2830)),"HDD",IF(ISNUMBER(SEARCH("VCA",$F2830)),"VCA","MND"))</f>
        <v/>
      </c>
      <c r="T2830">
        <f>TEXT($A2830,"yyyy-mm")&amp;"|"&amp;$C2830&amp;"|"&amp;$I2830</f>
        <v/>
      </c>
    </row>
    <row r="2831">
      <c r="A2831" s="36" t="n">
        <v>46181</v>
      </c>
      <c r="B2831" t="inlineStr">
        <is>
          <t>Segunda</t>
        </is>
      </c>
      <c r="C2831" t="inlineStr">
        <is>
          <t>RCE São Lucas</t>
        </is>
      </c>
      <c r="D2831" t="inlineStr">
        <is>
          <t>Fábio</t>
        </is>
      </c>
      <c r="E2831" t="inlineStr">
        <is>
          <t>Antonio</t>
        </is>
      </c>
      <c r="F2831" t="inlineStr">
        <is>
          <t>VCA, PVs e Ligações</t>
        </is>
      </c>
      <c r="J2831" t="inlineStr">
        <is>
          <t>VCA</t>
        </is>
      </c>
      <c r="K2831" t="inlineStr">
        <is>
          <t>Planejamento</t>
        </is>
      </c>
      <c r="L2831" t="inlineStr">
        <is>
          <t>pds_colado_2026-06-03_a_2026-06-08.txt</t>
        </is>
      </c>
      <c r="M2831">
        <f>IF($A2831="","",TEXT($A2831,"mmmm/yyyy"))</f>
        <v/>
      </c>
      <c r="P2831">
        <f>IFERROR(XLOOKUP($N2831,Base_Enderecos!$A:$A,Base_Enderecos!$B:$B,""),"")</f>
        <v/>
      </c>
      <c r="Q2831">
        <f>IFERROR(XLOOKUP($N2831,Base_Enderecos!$A:$A,Base_Enderecos!$C:$C,""),"")</f>
        <v/>
      </c>
      <c r="R2831">
        <f>IF(ISNUMBER(SEARCH("HDD",$F2831)),"HDD",IF(ISNUMBER(SEARCH("VCA",$F2831)),"VCA","MND"))</f>
        <v/>
      </c>
      <c r="T2831">
        <f>TEXT($A2831,"yyyy-mm")&amp;"|"&amp;$C2831&amp;"|"&amp;$I2831</f>
        <v/>
      </c>
    </row>
    <row r="2832">
      <c r="A2832" s="36" t="n">
        <v>46181</v>
      </c>
      <c r="B2832" t="inlineStr">
        <is>
          <t>Segunda</t>
        </is>
      </c>
      <c r="C2832" t="inlineStr">
        <is>
          <t>RCE São Lucas</t>
        </is>
      </c>
      <c r="D2832" t="inlineStr">
        <is>
          <t>Fábio</t>
        </is>
      </c>
      <c r="E2832" t="inlineStr">
        <is>
          <t>Antonio</t>
        </is>
      </c>
      <c r="F2832" t="inlineStr">
        <is>
          <t>SERVIÇOS REPOSIÇÃO – LEANDRO</t>
        </is>
      </c>
      <c r="J2832" t="inlineStr">
        <is>
          <t>Atividade</t>
        </is>
      </c>
      <c r="K2832" t="inlineStr">
        <is>
          <t>Planejamento</t>
        </is>
      </c>
      <c r="L2832" t="inlineStr">
        <is>
          <t>pds_colado_2026-06-03_a_2026-06-08.txt</t>
        </is>
      </c>
      <c r="M2832">
        <f>IF($A2832="","",TEXT($A2832,"mmmm/yyyy"))</f>
        <v/>
      </c>
      <c r="P2832">
        <f>IFERROR(XLOOKUP($N2832,Base_Enderecos!$A:$A,Base_Enderecos!$B:$B,""),"")</f>
        <v/>
      </c>
      <c r="Q2832">
        <f>IFERROR(XLOOKUP($N2832,Base_Enderecos!$A:$A,Base_Enderecos!$C:$C,""),"")</f>
        <v/>
      </c>
      <c r="R2832">
        <f>IF(ISNUMBER(SEARCH("HDD",$F2832)),"HDD",IF(ISNUMBER(SEARCH("VCA",$F2832)),"VCA","MND"))</f>
        <v/>
      </c>
      <c r="T2832">
        <f>TEXT($A2832,"yyyy-mm")&amp;"|"&amp;$C2832&amp;"|"&amp;$I2832</f>
        <v/>
      </c>
    </row>
    <row r="2833">
      <c r="A2833" s="36" t="n">
        <v>46181</v>
      </c>
      <c r="B2833" t="inlineStr">
        <is>
          <t>Segunda</t>
        </is>
      </c>
      <c r="C2833" t="inlineStr">
        <is>
          <t>RCE São Lucas</t>
        </is>
      </c>
      <c r="D2833" t="inlineStr">
        <is>
          <t>Fábio</t>
        </is>
      </c>
      <c r="E2833" t="inlineStr">
        <is>
          <t>Antonio</t>
        </is>
      </c>
      <c r="F2833" t="inlineStr">
        <is>
          <t>Reparos Gerais</t>
        </is>
      </c>
      <c r="J2833" t="inlineStr">
        <is>
          <t>Atividade</t>
        </is>
      </c>
      <c r="K2833" t="inlineStr">
        <is>
          <t>Planejamento</t>
        </is>
      </c>
      <c r="L2833" t="inlineStr">
        <is>
          <t>pds_colado_2026-06-03_a_2026-06-08.txt</t>
        </is>
      </c>
      <c r="M2833">
        <f>IF($A2833="","",TEXT($A2833,"mmmm/yyyy"))</f>
        <v/>
      </c>
      <c r="P2833">
        <f>IFERROR(XLOOKUP($N2833,Base_Enderecos!$A:$A,Base_Enderecos!$B:$B,""),"")</f>
        <v/>
      </c>
      <c r="Q2833">
        <f>IFERROR(XLOOKUP($N2833,Base_Enderecos!$A:$A,Base_Enderecos!$C:$C,""),"")</f>
        <v/>
      </c>
      <c r="R2833">
        <f>IF(ISNUMBER(SEARCH("HDD",$F2833)),"HDD",IF(ISNUMBER(SEARCH("VCA",$F2833)),"VCA","MND"))</f>
        <v/>
      </c>
      <c r="T2833">
        <f>TEXT($A2833,"yyyy-mm")&amp;"|"&amp;$C2833&amp;"|"&amp;$I2833</f>
        <v/>
      </c>
    </row>
    <row r="2834">
      <c r="A2834" s="36" t="n">
        <v>46181</v>
      </c>
      <c r="B2834" t="inlineStr">
        <is>
          <t>Segunda</t>
        </is>
      </c>
      <c r="C2834" t="inlineStr">
        <is>
          <t>CTS Lageado</t>
        </is>
      </c>
      <c r="D2834" t="inlineStr">
        <is>
          <t>Gabriel</t>
        </is>
      </c>
      <c r="E2834" t="inlineStr">
        <is>
          <t>Cidão</t>
        </is>
      </c>
      <c r="F2834" t="inlineStr">
        <is>
          <t>Acabamentos gerais</t>
        </is>
      </c>
      <c r="J2834" t="inlineStr">
        <is>
          <t>Acabamento</t>
        </is>
      </c>
      <c r="K2834" t="inlineStr">
        <is>
          <t>Planejamento</t>
        </is>
      </c>
      <c r="L2834" t="inlineStr">
        <is>
          <t>pds_colado_2026-06-03_a_2026-06-08.txt</t>
        </is>
      </c>
      <c r="M2834">
        <f>IF($A2834="","",TEXT($A2834,"mmmm/yyyy"))</f>
        <v/>
      </c>
      <c r="P2834">
        <f>IFERROR(XLOOKUP($N2834,Base_Enderecos!$A:$A,Base_Enderecos!$B:$B,""),"")</f>
        <v/>
      </c>
      <c r="Q2834">
        <f>IFERROR(XLOOKUP($N2834,Base_Enderecos!$A:$A,Base_Enderecos!$C:$C,""),"")</f>
        <v/>
      </c>
      <c r="R2834">
        <f>IF(ISNUMBER(SEARCH("HDD",$F2834)),"HDD",IF(ISNUMBER(SEARCH("VCA",$F2834)),"VCA","MND"))</f>
        <v/>
      </c>
      <c r="T2834">
        <f>TEXT($A2834,"yyyy-mm")&amp;"|"&amp;$C2834&amp;"|"&amp;$I2834</f>
        <v/>
      </c>
    </row>
    <row r="2835">
      <c r="A2835" s="36" t="n">
        <v>46181</v>
      </c>
      <c r="B2835" t="inlineStr">
        <is>
          <t>Segunda</t>
        </is>
      </c>
      <c r="C2835" t="inlineStr">
        <is>
          <t>João Canzi – Henko (wellington/thiago)</t>
        </is>
      </c>
      <c r="E2835" t="inlineStr">
        <is>
          <t>Vacal</t>
        </is>
      </c>
      <c r="F2835" t="inlineStr">
        <is>
          <t>João Canzi – Henko (Wellington/Thiago)</t>
        </is>
      </c>
      <c r="J2835" t="inlineStr">
        <is>
          <t>Atividade</t>
        </is>
      </c>
      <c r="K2835" t="inlineStr">
        <is>
          <t>Apoio</t>
        </is>
      </c>
      <c r="L2835" t="inlineStr">
        <is>
          <t>pds_colado_2026-06-03_a_2026-06-08.txt</t>
        </is>
      </c>
      <c r="M2835">
        <f>IF($A2835="","",TEXT($A2835,"mmmm/yyyy"))</f>
        <v/>
      </c>
      <c r="P2835">
        <f>IFERROR(XLOOKUP($N2835,Base_Enderecos!$A:$A,Base_Enderecos!$B:$B,""),"")</f>
        <v/>
      </c>
      <c r="Q2835">
        <f>IFERROR(XLOOKUP($N2835,Base_Enderecos!$A:$A,Base_Enderecos!$C:$C,""),"")</f>
        <v/>
      </c>
      <c r="R2835">
        <f>IF(ISNUMBER(SEARCH("HDD",$F2835)),"HDD",IF(ISNUMBER(SEARCH("VCA",$F2835)),"VCA","MND"))</f>
        <v/>
      </c>
      <c r="T2835">
        <f>TEXT($A2835,"yyyy-mm")&amp;"|"&amp;$C2835&amp;"|"&amp;$I2835</f>
        <v/>
      </c>
    </row>
    <row r="2836">
      <c r="A2836" s="36" t="n">
        <v>46181</v>
      </c>
      <c r="B2836" t="inlineStr">
        <is>
          <t>Segunda</t>
        </is>
      </c>
      <c r="C2836" t="inlineStr">
        <is>
          <t>João Canzi – Henko (marcio)</t>
        </is>
      </c>
      <c r="E2836" t="inlineStr">
        <is>
          <t>Vacal</t>
        </is>
      </c>
      <c r="F2836" t="inlineStr">
        <is>
          <t>João Canzi – Henko (Marcio)</t>
        </is>
      </c>
      <c r="J2836" t="inlineStr">
        <is>
          <t>Atividade</t>
        </is>
      </c>
      <c r="K2836" t="inlineStr">
        <is>
          <t>Apoio</t>
        </is>
      </c>
      <c r="L2836" t="inlineStr">
        <is>
          <t>pds_colado_2026-06-03_a_2026-06-08.txt</t>
        </is>
      </c>
      <c r="M2836">
        <f>IF($A2836="","",TEXT($A2836,"mmmm/yyyy"))</f>
        <v/>
      </c>
      <c r="P2836">
        <f>IFERROR(XLOOKUP($N2836,Base_Enderecos!$A:$A,Base_Enderecos!$B:$B,""),"")</f>
        <v/>
      </c>
      <c r="Q2836">
        <f>IFERROR(XLOOKUP($N2836,Base_Enderecos!$A:$A,Base_Enderecos!$C:$C,""),"")</f>
        <v/>
      </c>
      <c r="R2836">
        <f>IF(ISNUMBER(SEARCH("HDD",$F2836)),"HDD",IF(ISNUMBER(SEARCH("VCA",$F2836)),"VCA","MND"))</f>
        <v/>
      </c>
      <c r="T2836">
        <f>TEXT($A2836,"yyyy-mm")&amp;"|"&amp;$C2836&amp;"|"&amp;$I2836</f>
        <v/>
      </c>
    </row>
    <row r="2837">
      <c r="A2837" s="36" t="n">
        <v>46181</v>
      </c>
      <c r="B2837" t="inlineStr">
        <is>
          <t>Segunda</t>
        </is>
      </c>
      <c r="C2837" t="inlineStr">
        <is>
          <t>Iti 15 – Henko (osmar)</t>
        </is>
      </c>
      <c r="E2837" t="inlineStr">
        <is>
          <t>Vacal</t>
        </is>
      </c>
      <c r="F2837" t="inlineStr">
        <is>
          <t>ITI 15 – Henko (Osmar)</t>
        </is>
      </c>
      <c r="J2837" t="inlineStr">
        <is>
          <t>Atividade</t>
        </is>
      </c>
      <c r="K2837" t="inlineStr">
        <is>
          <t>Apoio</t>
        </is>
      </c>
      <c r="L2837" t="inlineStr">
        <is>
          <t>pds_colado_2026-06-03_a_2026-06-08.txt</t>
        </is>
      </c>
      <c r="M2837">
        <f>IF($A2837="","",TEXT($A2837,"mmmm/yyyy"))</f>
        <v/>
      </c>
      <c r="P2837">
        <f>IFERROR(XLOOKUP($N2837,Base_Enderecos!$A:$A,Base_Enderecos!$B:$B,""),"")</f>
        <v/>
      </c>
      <c r="Q2837">
        <f>IFERROR(XLOOKUP($N2837,Base_Enderecos!$A:$A,Base_Enderecos!$C:$C,""),"")</f>
        <v/>
      </c>
      <c r="R2837">
        <f>IF(ISNUMBER(SEARCH("HDD",$F2837)),"HDD",IF(ISNUMBER(SEARCH("VCA",$F2837)),"VCA","MND"))</f>
        <v/>
      </c>
      <c r="T2837">
        <f>TEXT($A2837,"yyyy-mm")&amp;"|"&amp;$C2837&amp;"|"&amp;$I2837</f>
        <v/>
      </c>
    </row>
    <row r="2838">
      <c r="A2838" s="36" t="n">
        <v>46181</v>
      </c>
      <c r="B2838" t="inlineStr">
        <is>
          <t>Segunda</t>
        </is>
      </c>
      <c r="C2838" t="inlineStr">
        <is>
          <t>Guindauto</t>
        </is>
      </c>
      <c r="E2838" t="inlineStr">
        <is>
          <t>Guindauto</t>
        </is>
      </c>
      <c r="F2838" t="inlineStr">
        <is>
          <t>Marcio - Apoio as equipes</t>
        </is>
      </c>
      <c r="J2838" t="inlineStr">
        <is>
          <t>Atividade</t>
        </is>
      </c>
      <c r="K2838" t="inlineStr">
        <is>
          <t>Apoio</t>
        </is>
      </c>
      <c r="L2838" t="inlineStr">
        <is>
          <t>pds_colado_2026-06-03_a_2026-06-08.txt</t>
        </is>
      </c>
      <c r="M2838">
        <f>IF($A2838="","",TEXT($A2838,"mmmm/yyyy"))</f>
        <v/>
      </c>
      <c r="P2838">
        <f>IFERROR(XLOOKUP($N2838,Base_Enderecos!$A:$A,Base_Enderecos!$B:$B,""),"")</f>
        <v/>
      </c>
      <c r="Q2838">
        <f>IFERROR(XLOOKUP($N2838,Base_Enderecos!$A:$A,Base_Enderecos!$C:$C,""),"")</f>
        <v/>
      </c>
      <c r="R2838">
        <f>IF(ISNUMBER(SEARCH("HDD",$F2838)),"HDD",IF(ISNUMBER(SEARCH("VCA",$F2838)),"VCA","MND"))</f>
        <v/>
      </c>
      <c r="T2838">
        <f>TEXT($A2838,"yyyy-mm")&amp;"|"&amp;$C2838&amp;"|"&amp;$I2838</f>
        <v/>
      </c>
    </row>
    <row r="2839">
      <c r="A2839" s="36" t="n">
        <v>46181</v>
      </c>
      <c r="B2839" t="inlineStr">
        <is>
          <t>Segunda</t>
        </is>
      </c>
      <c r="C2839" t="inlineStr">
        <is>
          <t>Guindauto</t>
        </is>
      </c>
      <c r="E2839" t="inlineStr">
        <is>
          <t>Guindauto</t>
        </is>
      </c>
      <c r="F2839" t="inlineStr">
        <is>
          <t>Luiz - Apoio as equipes</t>
        </is>
      </c>
      <c r="J2839" t="inlineStr">
        <is>
          <t>Atividade</t>
        </is>
      </c>
      <c r="K2839" t="inlineStr">
        <is>
          <t>Apoio</t>
        </is>
      </c>
      <c r="L2839" t="inlineStr">
        <is>
          <t>pds_colado_2026-06-03_a_2026-06-08.txt</t>
        </is>
      </c>
      <c r="M2839">
        <f>IF($A2839="","",TEXT($A2839,"mmmm/yyyy"))</f>
        <v/>
      </c>
      <c r="P2839">
        <f>IFERROR(XLOOKUP($N2839,Base_Enderecos!$A:$A,Base_Enderecos!$B:$B,""),"")</f>
        <v/>
      </c>
      <c r="Q2839">
        <f>IFERROR(XLOOKUP($N2839,Base_Enderecos!$A:$A,Base_Enderecos!$C:$C,""),"")</f>
        <v/>
      </c>
      <c r="R2839">
        <f>IF(ISNUMBER(SEARCH("HDD",$F2839)),"HDD",IF(ISNUMBER(SEARCH("VCA",$F2839)),"VCA","MND"))</f>
        <v/>
      </c>
      <c r="T2839">
        <f>TEXT($A2839,"yyyy-mm")&amp;"|"&amp;$C2839&amp;"|"&amp;$I2839</f>
        <v/>
      </c>
    </row>
    <row r="2840">
      <c r="A2840" s="36" t="n">
        <v>46182</v>
      </c>
      <c r="B2840" t="inlineStr">
        <is>
          <t>Terça</t>
        </is>
      </c>
      <c r="C2840" t="inlineStr">
        <is>
          <t>CT João Canzi</t>
        </is>
      </c>
      <c r="D2840" t="inlineStr">
        <is>
          <t>Valmir</t>
        </is>
      </c>
      <c r="E2840" t="inlineStr">
        <is>
          <t>Goiânia Drill</t>
        </is>
      </c>
      <c r="F2840" t="inlineStr">
        <is>
          <t>Piloto e Puxe do PV-19 ao PV-20</t>
        </is>
      </c>
      <c r="G2840" t="inlineStr">
        <is>
          <t>19</t>
        </is>
      </c>
      <c r="H2840" t="inlineStr">
        <is>
          <t>20</t>
        </is>
      </c>
      <c r="I2840" t="inlineStr">
        <is>
          <t>19 ao 20</t>
        </is>
      </c>
      <c r="J2840" t="inlineStr">
        <is>
          <t>HDD</t>
        </is>
      </c>
      <c r="K2840" t="inlineStr">
        <is>
          <t>Planejamento</t>
        </is>
      </c>
      <c r="L2840" t="inlineStr">
        <is>
          <t>PDS-Junho.docx</t>
        </is>
      </c>
      <c r="M2840">
        <f>IF($A2840="","",TEXT($A2840,"mmmm/yyyy"))</f>
        <v/>
      </c>
      <c r="P2840">
        <f>IFERROR(XLOOKUP($N2840,Base_Enderecos!$A:$A,Base_Enderecos!$B:$B,""),"")</f>
        <v/>
      </c>
      <c r="Q2840">
        <f>IFERROR(XLOOKUP($N2840,Base_Enderecos!$A:$A,Base_Enderecos!$C:$C,""),"")</f>
        <v/>
      </c>
      <c r="R2840">
        <f>IF(ISNUMBER(SEARCH("HDD",$F2840)),"HDD",IF(ISNUMBER(SEARCH("VCA",$F2840)),"VCA","MND"))</f>
        <v/>
      </c>
      <c r="T2840">
        <f>TEXT($A2840,"yyyy-mm")&amp;"|"&amp;$C2840&amp;"|"&amp;$I2840</f>
        <v/>
      </c>
    </row>
    <row r="2841">
      <c r="A2841" s="36" t="n">
        <v>46182</v>
      </c>
      <c r="B2841" t="inlineStr">
        <is>
          <t>Terça</t>
        </is>
      </c>
      <c r="C2841" t="inlineStr">
        <is>
          <t>CT João Canzi</t>
        </is>
      </c>
      <c r="D2841" t="inlineStr">
        <is>
          <t>Valmir</t>
        </is>
      </c>
      <c r="E2841" t="inlineStr">
        <is>
          <t>Bruno</t>
        </is>
      </c>
      <c r="F2841" t="inlineStr">
        <is>
          <t>Apoio ao HDD</t>
        </is>
      </c>
      <c r="G2841" t="inlineStr"/>
      <c r="H2841" t="inlineStr"/>
      <c r="I2841" t="inlineStr"/>
      <c r="J2841" t="inlineStr">
        <is>
          <t>HDD</t>
        </is>
      </c>
      <c r="K2841" t="inlineStr">
        <is>
          <t>Planejamento</t>
        </is>
      </c>
      <c r="L2841" t="inlineStr">
        <is>
          <t>PDS-Junho.docx</t>
        </is>
      </c>
      <c r="M2841">
        <f>IF($A2841="","",TEXT($A2841,"mmmm/yyyy"))</f>
        <v/>
      </c>
      <c r="P2841">
        <f>IFERROR(XLOOKUP($N2841,Base_Enderecos!$A:$A,Base_Enderecos!$B:$B,""),"")</f>
        <v/>
      </c>
      <c r="Q2841">
        <f>IFERROR(XLOOKUP($N2841,Base_Enderecos!$A:$A,Base_Enderecos!$C:$C,""),"")</f>
        <v/>
      </c>
      <c r="R2841">
        <f>IF(ISNUMBER(SEARCH("HDD",$F2841)),"HDD",IF(ISNUMBER(SEARCH("VCA",$F2841)),"VCA","MND"))</f>
        <v/>
      </c>
      <c r="T2841">
        <f>TEXT($A2841,"yyyy-mm")&amp;"|"&amp;$C2841&amp;"|"&amp;$I2841</f>
        <v/>
      </c>
    </row>
    <row r="2842">
      <c r="A2842" s="36" t="n">
        <v>46182</v>
      </c>
      <c r="B2842" t="inlineStr">
        <is>
          <t>Terça</t>
        </is>
      </c>
      <c r="C2842" t="inlineStr">
        <is>
          <t>CT João Canzi</t>
        </is>
      </c>
      <c r="D2842" t="inlineStr">
        <is>
          <t>Valmir</t>
        </is>
      </c>
      <c r="E2842" t="inlineStr">
        <is>
          <t>Medeiros</t>
        </is>
      </c>
      <c r="F2842" t="inlineStr">
        <is>
          <t>Reaterro Shaft PV 10.1</t>
        </is>
      </c>
      <c r="G2842" t="inlineStr">
        <is>
          <t>10.1</t>
        </is>
      </c>
      <c r="H2842" t="inlineStr"/>
      <c r="I2842" t="inlineStr">
        <is>
          <t>10.1</t>
        </is>
      </c>
      <c r="J2842" t="inlineStr">
        <is>
          <t>Shaft</t>
        </is>
      </c>
      <c r="K2842" t="inlineStr">
        <is>
          <t>Planejamento</t>
        </is>
      </c>
      <c r="L2842" t="inlineStr">
        <is>
          <t>PDS-Junho.docx</t>
        </is>
      </c>
      <c r="M2842">
        <f>IF($A2842="","",TEXT($A2842,"mmmm/yyyy"))</f>
        <v/>
      </c>
      <c r="P2842">
        <f>IFERROR(XLOOKUP($N2842,Base_Enderecos!$A:$A,Base_Enderecos!$B:$B,""),"")</f>
        <v/>
      </c>
      <c r="Q2842">
        <f>IFERROR(XLOOKUP($N2842,Base_Enderecos!$A:$A,Base_Enderecos!$C:$C,""),"")</f>
        <v/>
      </c>
      <c r="R2842">
        <f>IF(ISNUMBER(SEARCH("HDD",$F2842)),"HDD",IF(ISNUMBER(SEARCH("VCA",$F2842)),"VCA","MND"))</f>
        <v/>
      </c>
      <c r="T2842">
        <f>TEXT($A2842,"yyyy-mm")&amp;"|"&amp;$C2842&amp;"|"&amp;$I2842</f>
        <v/>
      </c>
    </row>
    <row r="2843">
      <c r="A2843" s="36" t="n">
        <v>46182</v>
      </c>
      <c r="B2843" t="inlineStr">
        <is>
          <t>Terça</t>
        </is>
      </c>
      <c r="C2843" t="inlineStr">
        <is>
          <t>CT João Canzi</t>
        </is>
      </c>
      <c r="D2843" t="inlineStr">
        <is>
          <t>Valmir</t>
        </is>
      </c>
      <c r="E2843" t="inlineStr">
        <is>
          <t>Márcio</t>
        </is>
      </c>
      <c r="F2843" t="inlineStr">
        <is>
          <t>Transformação PV 10</t>
        </is>
      </c>
      <c r="G2843" t="inlineStr">
        <is>
          <t>10</t>
        </is>
      </c>
      <c r="H2843" t="inlineStr"/>
      <c r="I2843" t="inlineStr">
        <is>
          <t>10</t>
        </is>
      </c>
      <c r="J2843" t="inlineStr">
        <is>
          <t>Transformação</t>
        </is>
      </c>
      <c r="K2843" t="inlineStr">
        <is>
          <t>Planejamento</t>
        </is>
      </c>
      <c r="L2843" t="inlineStr">
        <is>
          <t>PDS-Junho.docx</t>
        </is>
      </c>
      <c r="M2843">
        <f>IF($A2843="","",TEXT($A2843,"mmmm/yyyy"))</f>
        <v/>
      </c>
      <c r="P2843">
        <f>IFERROR(XLOOKUP($N2843,Base_Enderecos!$A:$A,Base_Enderecos!$B:$B,""),"")</f>
        <v/>
      </c>
      <c r="Q2843">
        <f>IFERROR(XLOOKUP($N2843,Base_Enderecos!$A:$A,Base_Enderecos!$C:$C,""),"")</f>
        <v/>
      </c>
      <c r="R2843">
        <f>IF(ISNUMBER(SEARCH("HDD",$F2843)),"HDD",IF(ISNUMBER(SEARCH("VCA",$F2843)),"VCA","MND"))</f>
        <v/>
      </c>
      <c r="T2843">
        <f>TEXT($A2843,"yyyy-mm")&amp;"|"&amp;$C2843&amp;"|"&amp;$I2843</f>
        <v/>
      </c>
    </row>
    <row r="2844">
      <c r="A2844" s="36" t="n">
        <v>46182</v>
      </c>
      <c r="B2844" t="inlineStr">
        <is>
          <t>Terça</t>
        </is>
      </c>
      <c r="C2844" t="inlineStr">
        <is>
          <t>RCE Elvira</t>
        </is>
      </c>
      <c r="D2844" t="inlineStr">
        <is>
          <t>Silvestre</t>
        </is>
      </c>
      <c r="E2844" t="inlineStr">
        <is>
          <t>Valter</t>
        </is>
      </c>
      <c r="F2844" t="inlineStr">
        <is>
          <t>VCA, PVs e Ligações</t>
        </is>
      </c>
      <c r="G2844" t="inlineStr"/>
      <c r="H2844" t="inlineStr"/>
      <c r="I2844" t="inlineStr"/>
      <c r="J2844" t="inlineStr">
        <is>
          <t>VCA</t>
        </is>
      </c>
      <c r="K2844" t="inlineStr">
        <is>
          <t>Planejamento</t>
        </is>
      </c>
      <c r="L2844" t="inlineStr">
        <is>
          <t>PDS-Junho.docx</t>
        </is>
      </c>
      <c r="M2844">
        <f>IF($A2844="","",TEXT($A2844,"mmmm/yyyy"))</f>
        <v/>
      </c>
      <c r="P2844">
        <f>IFERROR(XLOOKUP($N2844,Base_Enderecos!$A:$A,Base_Enderecos!$B:$B,""),"")</f>
        <v/>
      </c>
      <c r="Q2844">
        <f>IFERROR(XLOOKUP($N2844,Base_Enderecos!$A:$A,Base_Enderecos!$C:$C,""),"")</f>
        <v/>
      </c>
      <c r="R2844">
        <f>IF(ISNUMBER(SEARCH("HDD",$F2844)),"HDD",IF(ISNUMBER(SEARCH("VCA",$F2844)),"VCA","MND"))</f>
        <v/>
      </c>
      <c r="T2844">
        <f>TEXT($A2844,"yyyy-mm")&amp;"|"&amp;$C2844&amp;"|"&amp;$I2844</f>
        <v/>
      </c>
    </row>
    <row r="2845">
      <c r="A2845" s="36" t="n">
        <v>46182</v>
      </c>
      <c r="B2845" t="inlineStr">
        <is>
          <t>Terça</t>
        </is>
      </c>
      <c r="C2845" t="inlineStr">
        <is>
          <t>RCE Elias Sleiman / CT João Canzi</t>
        </is>
      </c>
      <c r="D2845" t="inlineStr">
        <is>
          <t>Silvestre</t>
        </is>
      </c>
      <c r="E2845" t="inlineStr">
        <is>
          <t>Edvando</t>
        </is>
      </c>
      <c r="F2845" t="inlineStr">
        <is>
          <t>VCA PV 22 ao PV 23</t>
        </is>
      </c>
      <c r="G2845" t="inlineStr">
        <is>
          <t>22</t>
        </is>
      </c>
      <c r="H2845" t="inlineStr">
        <is>
          <t>23</t>
        </is>
      </c>
      <c r="I2845" t="inlineStr">
        <is>
          <t>22 ao 23</t>
        </is>
      </c>
      <c r="J2845" t="inlineStr">
        <is>
          <t>VCA</t>
        </is>
      </c>
      <c r="K2845" t="inlineStr">
        <is>
          <t>Planejamento</t>
        </is>
      </c>
      <c r="L2845" t="inlineStr">
        <is>
          <t>PDS-Junho.docx</t>
        </is>
      </c>
      <c r="M2845">
        <f>IF($A2845="","",TEXT($A2845,"mmmm/yyyy"))</f>
        <v/>
      </c>
      <c r="P2845">
        <f>IFERROR(XLOOKUP($N2845,Base_Enderecos!$A:$A,Base_Enderecos!$B:$B,""),"")</f>
        <v/>
      </c>
      <c r="Q2845">
        <f>IFERROR(XLOOKUP($N2845,Base_Enderecos!$A:$A,Base_Enderecos!$C:$C,""),"")</f>
        <v/>
      </c>
      <c r="R2845">
        <f>IF(ISNUMBER(SEARCH("HDD",$F2845)),"HDD",IF(ISNUMBER(SEARCH("VCA",$F2845)),"VCA","MND"))</f>
        <v/>
      </c>
      <c r="T2845">
        <f>TEXT($A2845,"yyyy-mm")&amp;"|"&amp;$C2845&amp;"|"&amp;$I2845</f>
        <v/>
      </c>
    </row>
    <row r="2846">
      <c r="A2846" s="36" t="n">
        <v>46182</v>
      </c>
      <c r="B2846" t="inlineStr">
        <is>
          <t>Terça</t>
        </is>
      </c>
      <c r="C2846" t="inlineStr">
        <is>
          <t>RCE Conj. União</t>
        </is>
      </c>
      <c r="D2846" t="inlineStr">
        <is>
          <t>Caroline</t>
        </is>
      </c>
      <c r="E2846" t="inlineStr">
        <is>
          <t>Jhonatan</t>
        </is>
      </c>
      <c r="F2846" t="inlineStr">
        <is>
          <t>Shaft PV 48</t>
        </is>
      </c>
      <c r="G2846" t="inlineStr">
        <is>
          <t>48</t>
        </is>
      </c>
      <c r="H2846" t="inlineStr"/>
      <c r="I2846" t="inlineStr">
        <is>
          <t>48</t>
        </is>
      </c>
      <c r="J2846" t="inlineStr">
        <is>
          <t>Shaft</t>
        </is>
      </c>
      <c r="K2846" t="inlineStr">
        <is>
          <t>Planejamento</t>
        </is>
      </c>
      <c r="L2846" t="inlineStr">
        <is>
          <t>PDS-Junho.docx</t>
        </is>
      </c>
      <c r="M2846">
        <f>IF($A2846="","",TEXT($A2846,"mmmm/yyyy"))</f>
        <v/>
      </c>
      <c r="P2846">
        <f>IFERROR(XLOOKUP($N2846,Base_Enderecos!$A:$A,Base_Enderecos!$B:$B,""),"")</f>
        <v/>
      </c>
      <c r="Q2846">
        <f>IFERROR(XLOOKUP($N2846,Base_Enderecos!$A:$A,Base_Enderecos!$C:$C,""),"")</f>
        <v/>
      </c>
      <c r="R2846">
        <f>IF(ISNUMBER(SEARCH("HDD",$F2846)),"HDD",IF(ISNUMBER(SEARCH("VCA",$F2846)),"VCA","MND"))</f>
        <v/>
      </c>
      <c r="T2846">
        <f>TEXT($A2846,"yyyy-mm")&amp;"|"&amp;$C2846&amp;"|"&amp;$I2846</f>
        <v/>
      </c>
    </row>
    <row r="2847">
      <c r="A2847" s="36" t="n">
        <v>46182</v>
      </c>
      <c r="B2847" t="inlineStr">
        <is>
          <t>Terça</t>
        </is>
      </c>
      <c r="C2847" t="inlineStr">
        <is>
          <t>RCE Américo Machado/elis Regina</t>
        </is>
      </c>
      <c r="D2847" t="inlineStr">
        <is>
          <t>Caroline</t>
        </is>
      </c>
      <c r="E2847" t="inlineStr">
        <is>
          <t>Cesar</t>
        </is>
      </c>
      <c r="F2847" t="inlineStr">
        <is>
          <t>Shaft PV 01</t>
        </is>
      </c>
      <c r="G2847" t="inlineStr">
        <is>
          <t>01</t>
        </is>
      </c>
      <c r="H2847" t="inlineStr"/>
      <c r="I2847" t="inlineStr">
        <is>
          <t>01</t>
        </is>
      </c>
      <c r="J2847" t="inlineStr">
        <is>
          <t>Shaft</t>
        </is>
      </c>
      <c r="K2847" t="inlineStr">
        <is>
          <t>Planejamento</t>
        </is>
      </c>
      <c r="L2847" t="inlineStr">
        <is>
          <t>PDS-Junho.docx</t>
        </is>
      </c>
      <c r="M2847">
        <f>IF($A2847="","",TEXT($A2847,"mmmm/yyyy"))</f>
        <v/>
      </c>
      <c r="P2847">
        <f>IFERROR(XLOOKUP($N2847,Base_Enderecos!$A:$A,Base_Enderecos!$B:$B,""),"")</f>
        <v/>
      </c>
      <c r="Q2847">
        <f>IFERROR(XLOOKUP($N2847,Base_Enderecos!$A:$A,Base_Enderecos!$C:$C,""),"")</f>
        <v/>
      </c>
      <c r="R2847">
        <f>IF(ISNUMBER(SEARCH("HDD",$F2847)),"HDD",IF(ISNUMBER(SEARCH("VCA",$F2847)),"VCA","MND"))</f>
        <v/>
      </c>
      <c r="T2847">
        <f>TEXT($A2847,"yyyy-mm")&amp;"|"&amp;$C2847&amp;"|"&amp;$I2847</f>
        <v/>
      </c>
    </row>
    <row r="2848">
      <c r="A2848" s="36" t="n">
        <v>46182</v>
      </c>
      <c r="B2848" t="inlineStr">
        <is>
          <t>Terça</t>
        </is>
      </c>
      <c r="C2848" t="inlineStr">
        <is>
          <t>CTS Lourdes Complementar</t>
        </is>
      </c>
      <c r="D2848" t="inlineStr">
        <is>
          <t>Robson</t>
        </is>
      </c>
      <c r="E2848" t="inlineStr">
        <is>
          <t>Marcelo</t>
        </is>
      </c>
      <c r="F2848" t="inlineStr">
        <is>
          <t>Transformação PV 05 + Interligação</t>
        </is>
      </c>
      <c r="G2848" t="inlineStr">
        <is>
          <t>05</t>
        </is>
      </c>
      <c r="H2848" t="inlineStr"/>
      <c r="I2848" t="inlineStr">
        <is>
          <t>05</t>
        </is>
      </c>
      <c r="J2848" t="inlineStr">
        <is>
          <t>Transformação</t>
        </is>
      </c>
      <c r="K2848" t="inlineStr">
        <is>
          <t>Planejamento</t>
        </is>
      </c>
      <c r="L2848" t="inlineStr">
        <is>
          <t>PDS-Junho.docx</t>
        </is>
      </c>
      <c r="M2848">
        <f>IF($A2848="","",TEXT($A2848,"mmmm/yyyy"))</f>
        <v/>
      </c>
      <c r="P2848">
        <f>IFERROR(XLOOKUP($N2848,Base_Enderecos!$A:$A,Base_Enderecos!$B:$B,""),"")</f>
        <v/>
      </c>
      <c r="Q2848">
        <f>IFERROR(XLOOKUP($N2848,Base_Enderecos!$A:$A,Base_Enderecos!$C:$C,""),"")</f>
        <v/>
      </c>
      <c r="R2848">
        <f>IF(ISNUMBER(SEARCH("HDD",$F2848)),"HDD",IF(ISNUMBER(SEARCH("VCA",$F2848)),"VCA","MND"))</f>
        <v/>
      </c>
      <c r="T2848">
        <f>TEXT($A2848,"yyyy-mm")&amp;"|"&amp;$C2848&amp;"|"&amp;$I2848</f>
        <v/>
      </c>
    </row>
    <row r="2849">
      <c r="A2849" s="36" t="n">
        <v>46182</v>
      </c>
      <c r="B2849" t="inlineStr">
        <is>
          <t>Terça</t>
        </is>
      </c>
      <c r="C2849" t="inlineStr">
        <is>
          <t>RCE São Lucas</t>
        </is>
      </c>
      <c r="D2849" t="inlineStr">
        <is>
          <t>Fábio</t>
        </is>
      </c>
      <c r="E2849" t="inlineStr">
        <is>
          <t>Ricardo (pi 08 Ao Pi 09)</t>
        </is>
      </c>
      <c r="F2849" t="inlineStr">
        <is>
          <t>VCA, PVs e Ligações</t>
        </is>
      </c>
      <c r="G2849" t="inlineStr"/>
      <c r="H2849" t="inlineStr"/>
      <c r="I2849" t="inlineStr"/>
      <c r="J2849" t="inlineStr">
        <is>
          <t>VCA</t>
        </is>
      </c>
      <c r="K2849" t="inlineStr">
        <is>
          <t>Planejamento</t>
        </is>
      </c>
      <c r="L2849" t="inlineStr">
        <is>
          <t>PDS-Junho.docx</t>
        </is>
      </c>
      <c r="M2849">
        <f>IF($A2849="","",TEXT($A2849,"mmmm/yyyy"))</f>
        <v/>
      </c>
      <c r="P2849">
        <f>IFERROR(XLOOKUP($N2849,Base_Enderecos!$A:$A,Base_Enderecos!$B:$B,""),"")</f>
        <v/>
      </c>
      <c r="Q2849">
        <f>IFERROR(XLOOKUP($N2849,Base_Enderecos!$A:$A,Base_Enderecos!$C:$C,""),"")</f>
        <v/>
      </c>
      <c r="R2849">
        <f>IF(ISNUMBER(SEARCH("HDD",$F2849)),"HDD",IF(ISNUMBER(SEARCH("VCA",$F2849)),"VCA","MND"))</f>
        <v/>
      </c>
      <c r="T2849">
        <f>TEXT($A2849,"yyyy-mm")&amp;"|"&amp;$C2849&amp;"|"&amp;$I2849</f>
        <v/>
      </c>
    </row>
    <row r="2850">
      <c r="A2850" s="36" t="n">
        <v>46182</v>
      </c>
      <c r="B2850" t="inlineStr">
        <is>
          <t>Terça</t>
        </is>
      </c>
      <c r="C2850" t="inlineStr">
        <is>
          <t>RCE São Lucas</t>
        </is>
      </c>
      <c r="D2850" t="inlineStr">
        <is>
          <t>Fábio</t>
        </is>
      </c>
      <c r="E2850" t="inlineStr">
        <is>
          <t>Claudinei (pi 38 Ao Pi 81)</t>
        </is>
      </c>
      <c r="F2850" t="inlineStr">
        <is>
          <t>VCA, PVs e Ligações</t>
        </is>
      </c>
      <c r="G2850" t="inlineStr"/>
      <c r="H2850" t="inlineStr"/>
      <c r="I2850" t="inlineStr"/>
      <c r="J2850" t="inlineStr">
        <is>
          <t>VCA</t>
        </is>
      </c>
      <c r="K2850" t="inlineStr">
        <is>
          <t>Planejamento</t>
        </is>
      </c>
      <c r="L2850" t="inlineStr">
        <is>
          <t>PDS-Junho.docx</t>
        </is>
      </c>
      <c r="M2850">
        <f>IF($A2850="","",TEXT($A2850,"mmmm/yyyy"))</f>
        <v/>
      </c>
      <c r="P2850">
        <f>IFERROR(XLOOKUP($N2850,Base_Enderecos!$A:$A,Base_Enderecos!$B:$B,""),"")</f>
        <v/>
      </c>
      <c r="Q2850">
        <f>IFERROR(XLOOKUP($N2850,Base_Enderecos!$A:$A,Base_Enderecos!$C:$C,""),"")</f>
        <v/>
      </c>
      <c r="R2850">
        <f>IF(ISNUMBER(SEARCH("HDD",$F2850)),"HDD",IF(ISNUMBER(SEARCH("VCA",$F2850)),"VCA","MND"))</f>
        <v/>
      </c>
      <c r="T2850">
        <f>TEXT($A2850,"yyyy-mm")&amp;"|"&amp;$C2850&amp;"|"&amp;$I2850</f>
        <v/>
      </c>
    </row>
    <row r="2851">
      <c r="A2851" s="36" t="n">
        <v>46182</v>
      </c>
      <c r="B2851" t="inlineStr">
        <is>
          <t>Terça</t>
        </is>
      </c>
      <c r="C2851" t="inlineStr">
        <is>
          <t>RCE São Lucas</t>
        </is>
      </c>
      <c r="D2851" t="inlineStr">
        <is>
          <t>Fábio</t>
        </is>
      </c>
      <c r="E2851" t="inlineStr">
        <is>
          <t>Miro (pi 60 Ao Pi 61)</t>
        </is>
      </c>
      <c r="F2851" t="inlineStr">
        <is>
          <t>VCA, PVs e Ligações</t>
        </is>
      </c>
      <c r="G2851" t="inlineStr"/>
      <c r="H2851" t="inlineStr"/>
      <c r="I2851" t="inlineStr"/>
      <c r="J2851" t="inlineStr">
        <is>
          <t>VCA</t>
        </is>
      </c>
      <c r="K2851" t="inlineStr">
        <is>
          <t>Planejamento</t>
        </is>
      </c>
      <c r="L2851" t="inlineStr">
        <is>
          <t>PDS-Junho.docx</t>
        </is>
      </c>
      <c r="M2851">
        <f>IF($A2851="","",TEXT($A2851,"mmmm/yyyy"))</f>
        <v/>
      </c>
      <c r="P2851">
        <f>IFERROR(XLOOKUP($N2851,Base_Enderecos!$A:$A,Base_Enderecos!$B:$B,""),"")</f>
        <v/>
      </c>
      <c r="Q2851">
        <f>IFERROR(XLOOKUP($N2851,Base_Enderecos!$A:$A,Base_Enderecos!$C:$C,""),"")</f>
        <v/>
      </c>
      <c r="R2851">
        <f>IF(ISNUMBER(SEARCH("HDD",$F2851)),"HDD",IF(ISNUMBER(SEARCH("VCA",$F2851)),"VCA","MND"))</f>
        <v/>
      </c>
      <c r="T2851">
        <f>TEXT($A2851,"yyyy-mm")&amp;"|"&amp;$C2851&amp;"|"&amp;$I2851</f>
        <v/>
      </c>
    </row>
    <row r="2852">
      <c r="A2852" s="36" t="n">
        <v>46182</v>
      </c>
      <c r="B2852" t="inlineStr">
        <is>
          <t>Terça</t>
        </is>
      </c>
      <c r="C2852" t="inlineStr">
        <is>
          <t>RCE São Lucas</t>
        </is>
      </c>
      <c r="D2852" t="inlineStr">
        <is>
          <t>Fábio</t>
        </is>
      </c>
      <c r="E2852" t="inlineStr">
        <is>
          <t>Emanuel (pi 25 Ao Pi 26)</t>
        </is>
      </c>
      <c r="F2852" t="inlineStr">
        <is>
          <t>VCA, PVs e Ligações</t>
        </is>
      </c>
      <c r="G2852" t="inlineStr"/>
      <c r="H2852" t="inlineStr"/>
      <c r="I2852" t="inlineStr"/>
      <c r="J2852" t="inlineStr">
        <is>
          <t>VCA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46182</v>
      </c>
      <c r="B2853" t="inlineStr">
        <is>
          <t>Terça</t>
        </is>
      </c>
      <c r="C2853" t="inlineStr">
        <is>
          <t>RCE São Lucas</t>
        </is>
      </c>
      <c r="D2853" t="inlineStr">
        <is>
          <t>Fábio</t>
        </is>
      </c>
      <c r="E2853" t="inlineStr">
        <is>
          <t>Antonio (pi 55 Ao Pi 56)</t>
        </is>
      </c>
      <c r="F2853" t="inlineStr">
        <is>
          <t>VCA, PVs e Ligações</t>
        </is>
      </c>
      <c r="G2853" t="inlineStr"/>
      <c r="H2853" t="inlineStr"/>
      <c r="I2853" t="inlineStr"/>
      <c r="J2853" t="inlineStr">
        <is>
          <t>VCA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46182</v>
      </c>
      <c r="B2854" t="inlineStr">
        <is>
          <t>Terça</t>
        </is>
      </c>
      <c r="C2854" t="inlineStr">
        <is>
          <t>RCE São Lucas</t>
        </is>
      </c>
      <c r="D2854" t="inlineStr">
        <is>
          <t>Fábio</t>
        </is>
      </c>
      <c r="E2854" t="inlineStr">
        <is>
          <t>Antonio (pi 55 Ao Pi 56)</t>
        </is>
      </c>
      <c r="F2854" t="inlineStr">
        <is>
          <t>SERVIÇOS REPOSIÇÃO – LEANDRO</t>
        </is>
      </c>
      <c r="G2854" t="inlineStr"/>
      <c r="H2854" t="inlineStr"/>
      <c r="I2854" t="inlineStr"/>
      <c r="J2854" t="inlineStr">
        <is>
          <t>Atividade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46182</v>
      </c>
      <c r="B2855" t="inlineStr">
        <is>
          <t>Terça</t>
        </is>
      </c>
      <c r="C2855" t="inlineStr">
        <is>
          <t>RCE São Lucas</t>
        </is>
      </c>
      <c r="D2855" t="inlineStr">
        <is>
          <t>Fábio</t>
        </is>
      </c>
      <c r="E2855" t="inlineStr">
        <is>
          <t>Antonio (pi 55 Ao Pi 56)</t>
        </is>
      </c>
      <c r="F2855" t="inlineStr">
        <is>
          <t>Reparos Gerais</t>
        </is>
      </c>
      <c r="G2855" t="inlineStr"/>
      <c r="H2855" t="inlineStr"/>
      <c r="I2855" t="inlineStr"/>
      <c r="J2855" t="inlineStr">
        <is>
          <t>Atividade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46182</v>
      </c>
      <c r="B2856" t="inlineStr">
        <is>
          <t>Terça</t>
        </is>
      </c>
      <c r="C2856" t="inlineStr">
        <is>
          <t>CTS Lageado</t>
        </is>
      </c>
      <c r="D2856" t="inlineStr">
        <is>
          <t>Gabriel</t>
        </is>
      </c>
      <c r="E2856" t="inlineStr">
        <is>
          <t>Cidão</t>
        </is>
      </c>
      <c r="F2856" t="inlineStr">
        <is>
          <t>Acabamentos gerais</t>
        </is>
      </c>
      <c r="G2856" t="inlineStr"/>
      <c r="H2856" t="inlineStr"/>
      <c r="I2856" t="inlineStr"/>
      <c r="J2856" t="inlineStr">
        <is>
          <t>Acabamento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46182</v>
      </c>
      <c r="B2857" t="inlineStr">
        <is>
          <t>Terça</t>
        </is>
      </c>
      <c r="C2857" t="inlineStr">
        <is>
          <t>João Canzi</t>
        </is>
      </c>
      <c r="D2857" t="inlineStr"/>
      <c r="E2857" t="inlineStr">
        <is>
          <t>Vacal</t>
        </is>
      </c>
      <c r="F2857" t="inlineStr">
        <is>
          <t>João Canzi - Renasce</t>
        </is>
      </c>
      <c r="G2857" t="inlineStr"/>
      <c r="H2857" t="inlineStr"/>
      <c r="I2857" t="inlineStr"/>
      <c r="J2857" t="inlineStr">
        <is>
          <t>Atividade</t>
        </is>
      </c>
      <c r="K2857" t="inlineStr">
        <is>
          <t>Apoio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46182</v>
      </c>
      <c r="B2858" t="inlineStr">
        <is>
          <t>Terça</t>
        </is>
      </c>
      <c r="C2858" t="inlineStr">
        <is>
          <t>João Canzi</t>
        </is>
      </c>
      <c r="D2858" t="inlineStr"/>
      <c r="E2858" t="inlineStr">
        <is>
          <t>Vacal</t>
        </is>
      </c>
      <c r="F2858" t="inlineStr">
        <is>
          <t>João Canzi – Renasce</t>
        </is>
      </c>
      <c r="G2858" t="inlineStr"/>
      <c r="H2858" t="inlineStr"/>
      <c r="I2858" t="inlineStr"/>
      <c r="J2858" t="inlineStr">
        <is>
          <t>Atividade</t>
        </is>
      </c>
      <c r="K2858" t="inlineStr">
        <is>
          <t>Apoio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46182</v>
      </c>
      <c r="B2859" t="inlineStr">
        <is>
          <t>Terça</t>
        </is>
      </c>
      <c r="C2859" t="inlineStr">
        <is>
          <t>Iti 15</t>
        </is>
      </c>
      <c r="D2859" t="inlineStr"/>
      <c r="E2859" t="inlineStr">
        <is>
          <t>Vacal</t>
        </is>
      </c>
      <c r="F2859" t="inlineStr">
        <is>
          <t>ITI 15 – Henko (Osmar)</t>
        </is>
      </c>
      <c r="G2859" t="inlineStr"/>
      <c r="H2859" t="inlineStr"/>
      <c r="I2859" t="inlineStr"/>
      <c r="J2859" t="inlineStr">
        <is>
          <t>Atividade</t>
        </is>
      </c>
      <c r="K2859" t="inlineStr">
        <is>
          <t>Apoio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46182</v>
      </c>
      <c r="B2860" t="inlineStr">
        <is>
          <t>Terça</t>
        </is>
      </c>
      <c r="C2860" t="inlineStr">
        <is>
          <t>Guindauto</t>
        </is>
      </c>
      <c r="D2860" t="inlineStr"/>
      <c r="E2860" t="inlineStr">
        <is>
          <t>Guindauto</t>
        </is>
      </c>
      <c r="F2860" t="inlineStr">
        <is>
          <t>Marcio - Apoio as equipes</t>
        </is>
      </c>
      <c r="G2860" t="inlineStr"/>
      <c r="H2860" t="inlineStr"/>
      <c r="I2860" t="inlineStr"/>
      <c r="J2860" t="inlineStr">
        <is>
          <t>Atividade</t>
        </is>
      </c>
      <c r="K2860" t="inlineStr">
        <is>
          <t>Apoio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46182</v>
      </c>
      <c r="B2861" t="inlineStr">
        <is>
          <t>Terça</t>
        </is>
      </c>
      <c r="C2861" t="inlineStr">
        <is>
          <t>Guindauto</t>
        </is>
      </c>
      <c r="D2861" t="inlineStr"/>
      <c r="E2861" t="inlineStr">
        <is>
          <t>Guindauto</t>
        </is>
      </c>
      <c r="F2861" t="inlineStr">
        <is>
          <t>Luiz - Apoio as equipes</t>
        </is>
      </c>
      <c r="G2861" t="inlineStr"/>
      <c r="H2861" t="inlineStr"/>
      <c r="I2861" t="inlineStr"/>
      <c r="J2861" t="inlineStr">
        <is>
          <t>Atividade</t>
        </is>
      </c>
      <c r="K2861" t="inlineStr">
        <is>
          <t>Apoio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2026-06-09T11:35:53Z</dcterms:modified>
  <cp:lastModifiedBy>Cleulton Marcio Goncalves Freire</cp:lastModifiedBy>
</cp:coreProperties>
</file>