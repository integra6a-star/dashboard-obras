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210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CONCEI??O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CONCEI??O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CONCEI??O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CONCEI??O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CONCEI??O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CONCEI??O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CONCEI??O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CONCEI??O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CONCEI??O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CONCEI??O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CONCEI??O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CONCEI??O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CONCEI??O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CONCEI??O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CONCEI??O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CONCEI??O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CONCEI??O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CONCEI??O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CONCEI??O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CONCEI??O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CONCEI??O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CONCEI??O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CONCEI??O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CONCEI??O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CONCEI??O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CONCEI??O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CONCEI??O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CONCEI??O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CONCEI??O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CONCEI??O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CONCEI??O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CONCEI??O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CONCEI??O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CONCEI??O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CONCEI??O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CONCEI??O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CONCEI??O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CONCEI??O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CONCEI??O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CONCEI??O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CONCEI??O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CONCEI??O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CONCEI??O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CONCEI??O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CONCEI??O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CONCEI??O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CONCEI??O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CONCEI??O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CONCEI??O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CONCEI??O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CONCEI??O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CONCEI??O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CONCEI??O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CONCEI??O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CONCEI??O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CONCEI??O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CONCEI??O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CONCEI??O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CONCEI??O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CONCEI??O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CONCEI??O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CONCEI??O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CONCEI??O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CONCEI??O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CONCEI??O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CONCEI??O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CONCEI??O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CONCEI??O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CONCEI??O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CONCEI??O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CONCEI??O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CONCEI??O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CONCEI??O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CONCEI??O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CONCEI??O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CONCEI??O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CONCEI??O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CONCEI??O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CONCEI??O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CONCEI??O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CONCEI??O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CONCEI??O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CONCEI??O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CONCEI??O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CONCEI??O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CONCEI??O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CONCEI??O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CONCEI??O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CONCEI??O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CONCEI??O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CONCEI??O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CONCEI??O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CONCEI??O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CONCEI??O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CONCEI??O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CONCEI??O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CONCEI??O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CONCEI??O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CONCEI??O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CONCEI??O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CONCEI??O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CONCEI??O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CONCEI??O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CONCEI??O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CONCEI??O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CONCEI??O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CONCEI??O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CONCEI??O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CONCEI??O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CONCEI??O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CONCEI??O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CONCEI??O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CONCEI??O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CONCEI??O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CONCEI??O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CONCEI??O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CONCEI??O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CONCEI??O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CONCEI??O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CONCEI??O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CONCEI??O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CONCEI??O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CONCEI??O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CONCEI??O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CONCEI??O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CONCEI??O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CONCEI??O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CONCEI??O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CONCEI??O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CONCEI??O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CONCEI??O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CONCEI??O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CONCEI??O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CONCEI??O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CONCEI??O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CONCEI??O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CONCEI??O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CONCEI??O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CONCEI??O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CONCEI??O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CONCEI??O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CONCEI??O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CONCEI??O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CONCEI??O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CONCEI??O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CONCEI??O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CONCEI??O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CONCEI??O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CONCEI??O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CONCEI??O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CONCEI??O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CONCEI??O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CONCEI??O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CONCEI??O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CONCEI??O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CONCEI??O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CONCEI??O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CONCEI??O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CONCEI??O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CONCEI??O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CONCEI??O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CONCEI??O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CONCEI??O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CONCEI??O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CONCEI??O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CONCEI??O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CONCEI??O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CONCEI??O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CONCEI??O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CONCEI??O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CONCEI??O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CONCEI??O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CONCEI??O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CONCEI??O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CONCEI??O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CONCEI??O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CONCEI??O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CONCEI??O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CONCEI??O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CONCEI??O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CONCEI??O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CONCEI??O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CONCEI??O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CONCEI??O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CONCEI??O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CONCEI??O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CONCEI??O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CONCEI??O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CONCEI??O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CONCEI??O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CONCEI??O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CONCEI??O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CONCEI??O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CONCEI??O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CONCEI??O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CONCEI??O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CONCEI??O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CONCEI??O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CONCEI??O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CONCEI??O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CONCEI??O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CONCEI??O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CONCEI??O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CONCEI??O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CONCEI??O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CONCEI??O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CONCEI??O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CONCEI??O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CONCEI??O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1" t="n">
        <v>46148</v>
      </c>
      <c r="B2188" s="8" t="inlineStr">
        <is>
          <t>Quarta</t>
        </is>
      </c>
      <c r="C2188" s="33" t="inlineStr">
        <is>
          <t>CT JOÃO CANZI</t>
        </is>
      </c>
      <c r="D2188" s="33" t="inlineStr">
        <is>
          <t>LEANDRO</t>
        </is>
      </c>
      <c r="E2188" s="27" t="inlineStr">
        <is>
          <t>Goiânia Drill</t>
        </is>
      </c>
      <c r="F2188" s="34" t="inlineStr">
        <is>
          <t>Furo piloto e puxe do PVE-17 ao PV-06</t>
        </is>
      </c>
      <c r="G2188" s="27" t="inlineStr">
        <is>
          <t>PVE-17</t>
        </is>
      </c>
      <c r="H2188" s="27" t="inlineStr">
        <is>
          <t>06</t>
        </is>
      </c>
      <c r="I2188" s="27" t="inlineStr">
        <is>
          <t>PVE-17,06</t>
        </is>
      </c>
      <c r="J2188" s="27" t="inlineStr">
        <is>
          <t>Furo piloto e puxe</t>
        </is>
      </c>
      <c r="K2188" s="27" t="inlineStr">
        <is>
          <t>Planejamento</t>
        </is>
      </c>
      <c r="L2188" s="17" t="inlineStr">
        <is>
          <t>PDS-Maio.docx</t>
        </is>
      </c>
      <c r="M2188">
        <f>IF($A2188="","",TEXT($A2188,"mmmm/yyyy"))</f>
        <v/>
      </c>
      <c r="P2188">
        <f>IFERROR(_xludf.XLOOKUP($N2188,Base_Enderecos!$A:$A,Base_Enderecos!$B:$B,""),"")</f>
        <v/>
      </c>
      <c r="Q2188">
        <f>IFERROR(_xludf.XLOOKUP($N2188,Base_Enderecos!$A:$A,Base_Enderecos!$C:$C,""),"")</f>
        <v/>
      </c>
      <c r="R2188">
        <f>IF(OR(ISNUMBER(SEARCH("HDD",$F2188)),ISNUMBER(SEARCH("MND",$F2188)),ISNUMBER(SEARCH("PEAD",$F2188)),ISNUMBER(SEARCH("Puxe",$J2188)),ISNUMBER(SEARCH("Apoio HDD",$F2188))),"MND",IF(OR(ISNUMBER(SEARCH("VCA",$F2188)),ISNUMBER(SEARCH("PVC",$F2188)),ISNUMBER(SEARCH("vca",$J2188)),ISNUMBER(SEARCH("Transforma??o",$J2188))),"VCA",IF(OR(ISNUMBER(SEARCH("crava",$F2188)),ISNUMBER(SEARCH("tubo cravado",$F2188)),ISNUMBER(SEARCH("shaft",$J2188)),ISNUMBER(SEARCH("concreto",$F2188))),"TUBO CRAVADO","")))</f>
        <v/>
      </c>
      <c r="T2188">
        <f>IF($A2188="","",TEXT($A2188,"yyyymm")&amp;"|"&amp;$C2188&amp;"|"&amp;$F2188&amp;"|"&amp;$N2188&amp;"|"&amp;$R2188)</f>
        <v/>
      </c>
    </row>
    <row r="2189">
      <c r="A2189" s="31" t="n">
        <v>46148</v>
      </c>
      <c r="B2189" s="8" t="inlineStr">
        <is>
          <t>Quarta</t>
        </is>
      </c>
      <c r="C2189" s="33" t="inlineStr">
        <is>
          <t>CT JOÃO CANZI</t>
        </is>
      </c>
      <c r="D2189" s="33" t="inlineStr">
        <is>
          <t>LEANDRO</t>
        </is>
      </c>
      <c r="E2189" s="27" t="inlineStr">
        <is>
          <t>Bruno</t>
        </is>
      </c>
      <c r="F2189" s="34" t="inlineStr">
        <is>
          <t>Apoio ao HDD</t>
        </is>
      </c>
      <c r="G2189" s="27" t="n"/>
      <c r="H2189" s="27" t="n"/>
      <c r="I2189" s="27" t="n"/>
      <c r="J2189" s="27" t="inlineStr">
        <is>
          <t>Apoio HDD</t>
        </is>
      </c>
      <c r="K2189" s="27" t="inlineStr">
        <is>
          <t>Apoio</t>
        </is>
      </c>
      <c r="L2189" s="17" t="inlineStr">
        <is>
          <t>PDS-Maio.docx</t>
        </is>
      </c>
      <c r="M2189">
        <f>IF($A2189="","",TEXT($A2189,"mmmm/yyyy"))</f>
        <v/>
      </c>
      <c r="P2189">
        <f>IFERROR(_xludf.XLOOKUP($N2189,Base_Enderecos!$A:$A,Base_Enderecos!$B:$B,""),"")</f>
        <v/>
      </c>
      <c r="Q2189">
        <f>IFERROR(_xludf.XLOOKUP($N2189,Base_Enderecos!$A:$A,Base_Enderecos!$C:$C,""),"")</f>
        <v/>
      </c>
      <c r="R2189">
        <f>IF(OR(ISNUMBER(SEARCH("HDD",$F2189)),ISNUMBER(SEARCH("MND",$F2189)),ISNUMBER(SEARCH("PEAD",$F2189)),ISNUMBER(SEARCH("Puxe",$J2189)),ISNUMBER(SEARCH("Apoio HDD",$F2189))),"MND",IF(OR(ISNUMBER(SEARCH("VCA",$F2189)),ISNUMBER(SEARCH("PVC",$F2189)),ISNUMBER(SEARCH("vca",$J2189)),ISNUMBER(SEARCH("Transforma??o",$J2189))),"VCA",IF(OR(ISNUMBER(SEARCH("crava",$F2189)),ISNUMBER(SEARCH("tubo cravado",$F2189)),ISNUMBER(SEARCH("shaft",$J2189)),ISNUMBER(SEARCH("concreto",$F2189))),"TUBO CRAVADO","")))</f>
        <v/>
      </c>
      <c r="T2189">
        <f>IF($A2189="","",TEXT($A2189,"yyyymm")&amp;"|"&amp;$C2189&amp;"|"&amp;$F2189&amp;"|"&amp;$N2189&amp;"|"&amp;$R2189)</f>
        <v/>
      </c>
    </row>
    <row r="2190">
      <c r="A2190" s="31" t="n">
        <v>46148</v>
      </c>
      <c r="B2190" s="8" t="inlineStr">
        <is>
          <t>Quarta</t>
        </is>
      </c>
      <c r="C2190" s="33" t="inlineStr">
        <is>
          <t>CT JOÃO CANZI</t>
        </is>
      </c>
      <c r="D2190" s="33" t="inlineStr">
        <is>
          <t>LEANDRO</t>
        </is>
      </c>
      <c r="E2190" s="27" t="inlineStr">
        <is>
          <t>Miro GO-02</t>
        </is>
      </c>
      <c r="F2190" s="34" t="inlineStr">
        <is>
          <t>Shaft PV 11</t>
        </is>
      </c>
      <c r="G2190" s="27" t="inlineStr">
        <is>
          <t>11</t>
        </is>
      </c>
      <c r="H2190" s="27" t="n"/>
      <c r="I2190" s="27" t="inlineStr">
        <is>
          <t>11</t>
        </is>
      </c>
      <c r="J2190" s="27" t="inlineStr">
        <is>
          <t>Shaft</t>
        </is>
      </c>
      <c r="K2190" s="27" t="inlineStr">
        <is>
          <t>Planejamento</t>
        </is>
      </c>
      <c r="L2190" s="17" t="inlineStr">
        <is>
          <t>PDS-Maio.docx</t>
        </is>
      </c>
      <c r="M2190">
        <f>IF($A2190="","",TEXT($A2190,"mmmm/yyyy"))</f>
        <v/>
      </c>
      <c r="P2190">
        <f>IFERROR(_xludf.XLOOKUP($N2190,Base_Enderecos!$A:$A,Base_Enderecos!$B:$B,""),"")</f>
        <v/>
      </c>
      <c r="Q2190">
        <f>IFERROR(_xludf.XLOOKUP($N2190,Base_Enderecos!$A:$A,Base_Enderecos!$C:$C,""),"")</f>
        <v/>
      </c>
      <c r="R2190">
        <f>IF(OR(ISNUMBER(SEARCH("HDD",$F2190)),ISNUMBER(SEARCH("MND",$F2190)),ISNUMBER(SEARCH("PEAD",$F2190)),ISNUMBER(SEARCH("Puxe",$J2190)),ISNUMBER(SEARCH("Apoio HDD",$F2190))),"MND",IF(OR(ISNUMBER(SEARCH("VCA",$F2190)),ISNUMBER(SEARCH("PVC",$F2190)),ISNUMBER(SEARCH("vca",$J2190)),ISNUMBER(SEARCH("Transforma??o",$J2190))),"VCA",IF(OR(ISNUMBER(SEARCH("crava",$F2190)),ISNUMBER(SEARCH("tubo cravado",$F2190)),ISNUMBER(SEARCH("shaft",$J2190)),ISNUMBER(SEARCH("concreto",$F2190))),"TUBO CRAVADO","")))</f>
        <v/>
      </c>
      <c r="T2190">
        <f>IF($A2190="","",TEXT($A2190,"yyyymm")&amp;"|"&amp;$C2190&amp;"|"&amp;$F2190&amp;"|"&amp;$N2190&amp;"|"&amp;$R2190)</f>
        <v/>
      </c>
    </row>
    <row r="2191">
      <c r="A2191" s="31" t="n">
        <v>46148</v>
      </c>
      <c r="B2191" s="8" t="inlineStr">
        <is>
          <t>Quarta</t>
        </is>
      </c>
      <c r="C2191" s="33" t="inlineStr">
        <is>
          <t>CT JOÃO CANZI</t>
        </is>
      </c>
      <c r="D2191" s="33" t="inlineStr">
        <is>
          <t>LEANDRO</t>
        </is>
      </c>
      <c r="E2191" s="27" t="inlineStr">
        <is>
          <t>Valter</t>
        </is>
      </c>
      <c r="F2191" s="34" t="inlineStr">
        <is>
          <t>Shaft PV 15</t>
        </is>
      </c>
      <c r="G2191" s="27" t="inlineStr">
        <is>
          <t>15</t>
        </is>
      </c>
      <c r="H2191" s="27" t="n"/>
      <c r="I2191" s="27" t="inlineStr">
        <is>
          <t>15</t>
        </is>
      </c>
      <c r="J2191" s="27" t="inlineStr">
        <is>
          <t>Shaft</t>
        </is>
      </c>
      <c r="K2191" s="27" t="inlineStr">
        <is>
          <t>Planejamento</t>
        </is>
      </c>
      <c r="L2191" s="17" t="inlineStr">
        <is>
          <t>PDS-Maio.docx</t>
        </is>
      </c>
      <c r="M2191">
        <f>IF($A2191="","",TEXT($A2191,"mmmm/yyyy"))</f>
        <v/>
      </c>
      <c r="P2191">
        <f>IFERROR(_xludf.XLOOKUP($N2191,Base_Enderecos!$A:$A,Base_Enderecos!$B:$B,""),"")</f>
        <v/>
      </c>
      <c r="Q2191">
        <f>IFERROR(_xludf.XLOOKUP($N2191,Base_Enderecos!$A:$A,Base_Enderecos!$C:$C,""),"")</f>
        <v/>
      </c>
      <c r="R2191">
        <f>IF(OR(ISNUMBER(SEARCH("HDD",$F2191)),ISNUMBER(SEARCH("MND",$F2191)),ISNUMBER(SEARCH("PEAD",$F2191)),ISNUMBER(SEARCH("Puxe",$J2191)),ISNUMBER(SEARCH("Apoio HDD",$F2191))),"MND",IF(OR(ISNUMBER(SEARCH("VCA",$F2191)),ISNUMBER(SEARCH("PVC",$F2191)),ISNUMBER(SEARCH("vca",$J2191)),ISNUMBER(SEARCH("Transforma??o",$J2191))),"VCA",IF(OR(ISNUMBER(SEARCH("crava",$F2191)),ISNUMBER(SEARCH("tubo cravado",$F2191)),ISNUMBER(SEARCH("shaft",$J2191)),ISNUMBER(SEARCH("concreto",$F2191))),"TUBO CRAVADO","")))</f>
        <v/>
      </c>
      <c r="T2191">
        <f>IF($A2191="","",TEXT($A2191,"yyyymm")&amp;"|"&amp;$C2191&amp;"|"&amp;$F2191&amp;"|"&amp;$N2191&amp;"|"&amp;$R2191)</f>
        <v/>
      </c>
    </row>
    <row r="2192">
      <c r="A2192" s="31" t="n">
        <v>46148</v>
      </c>
      <c r="B2192" s="8" t="inlineStr">
        <is>
          <t>Quarta</t>
        </is>
      </c>
      <c r="C2192" s="33" t="inlineStr">
        <is>
          <t>CT JOÃO CANZI</t>
        </is>
      </c>
      <c r="D2192" s="33" t="inlineStr">
        <is>
          <t>LEANDRO</t>
        </is>
      </c>
      <c r="E2192" s="27" t="inlineStr">
        <is>
          <t>Carlos</t>
        </is>
      </c>
      <c r="F2192" s="34" t="inlineStr">
        <is>
          <t>Shaft PV 09</t>
        </is>
      </c>
      <c r="G2192" s="27" t="inlineStr">
        <is>
          <t>09</t>
        </is>
      </c>
      <c r="H2192" s="27" t="n"/>
      <c r="I2192" s="27" t="inlineStr">
        <is>
          <t>09</t>
        </is>
      </c>
      <c r="J2192" s="27" t="inlineStr">
        <is>
          <t>Shaft</t>
        </is>
      </c>
      <c r="K2192" s="27" t="inlineStr">
        <is>
          <t>Planejamento</t>
        </is>
      </c>
      <c r="L2192" s="17" t="inlineStr">
        <is>
          <t>PDS-Maio.docx</t>
        </is>
      </c>
      <c r="M2192">
        <f>IF($A2192="","",TEXT($A2192,"mmmm/yyyy"))</f>
        <v/>
      </c>
      <c r="P2192">
        <f>IFERROR(_xludf.XLOOKUP($N2192,Base_Enderecos!$A:$A,Base_Enderecos!$B:$B,""),"")</f>
        <v/>
      </c>
      <c r="Q2192">
        <f>IFERROR(_xludf.XLOOKUP($N2192,Base_Enderecos!$A:$A,Base_Enderecos!$C:$C,""),"")</f>
        <v/>
      </c>
      <c r="R2192">
        <f>IF(OR(ISNUMBER(SEARCH("HDD",$F2192)),ISNUMBER(SEARCH("MND",$F2192)),ISNUMBER(SEARCH("PEAD",$F2192)),ISNUMBER(SEARCH("Puxe",$J2192)),ISNUMBER(SEARCH("Apoio HDD",$F2192))),"MND",IF(OR(ISNUMBER(SEARCH("VCA",$F2192)),ISNUMBER(SEARCH("PVC",$F2192)),ISNUMBER(SEARCH("vca",$J2192)),ISNUMBER(SEARCH("Transforma??o",$J2192))),"VCA",IF(OR(ISNUMBER(SEARCH("crava",$F2192)),ISNUMBER(SEARCH("tubo cravado",$F2192)),ISNUMBER(SEARCH("shaft",$J2192)),ISNUMBER(SEARCH("concreto",$F2192))),"TUBO CRAVADO","")))</f>
        <v/>
      </c>
      <c r="T2192">
        <f>IF($A2192="","",TEXT($A2192,"yyyymm")&amp;"|"&amp;$C2192&amp;"|"&amp;$F2192&amp;"|"&amp;$N2192&amp;"|"&amp;$R2192)</f>
        <v/>
      </c>
    </row>
    <row r="2193">
      <c r="A2193" s="31" t="n">
        <v>46148</v>
      </c>
      <c r="B2193" s="8" t="inlineStr">
        <is>
          <t>Quarta</t>
        </is>
      </c>
      <c r="C2193" s="33" t="inlineStr">
        <is>
          <t>CTS MAR DE CORAL</t>
        </is>
      </c>
      <c r="D2193" s="33" t="inlineStr">
        <is>
          <t>SILVESTRE</t>
        </is>
      </c>
      <c r="E2193" s="27" t="inlineStr">
        <is>
          <t>Edvando</t>
        </is>
      </c>
      <c r="F2193" s="34" t="inlineStr">
        <is>
          <t>VCA e transformações de PVs entre PV 22.2 ao 22.4</t>
        </is>
      </c>
      <c r="G2193" s="27" t="inlineStr">
        <is>
          <t>22.2</t>
        </is>
      </c>
      <c r="H2193" s="27" t="inlineStr">
        <is>
          <t>22.4</t>
        </is>
      </c>
      <c r="I2193" s="27" t="inlineStr">
        <is>
          <t>22.2,22.4</t>
        </is>
      </c>
      <c r="J2193" s="27" t="inlineStr">
        <is>
          <t>VCA</t>
        </is>
      </c>
      <c r="K2193" s="27" t="inlineStr">
        <is>
          <t>Planejamento</t>
        </is>
      </c>
      <c r="L2193" s="17" t="inlineStr">
        <is>
          <t>PDS-Maio.docx</t>
        </is>
      </c>
      <c r="M2193">
        <f>IF($A2193="","",TEXT($A2193,"mmmm/yyyy"))</f>
        <v/>
      </c>
      <c r="P2193">
        <f>IFERROR(_xludf.XLOOKUP($N2193,Base_Enderecos!$A:$A,Base_Enderecos!$B:$B,""),"")</f>
        <v/>
      </c>
      <c r="Q2193">
        <f>IFERROR(_xludf.XLOOKUP($N2193,Base_Enderecos!$A:$A,Base_Enderecos!$C:$C,""),"")</f>
        <v/>
      </c>
      <c r="R2193">
        <f>IF(OR(ISNUMBER(SEARCH("HDD",$F2193)),ISNUMBER(SEARCH("MND",$F2193)),ISNUMBER(SEARCH("PEAD",$F2193)),ISNUMBER(SEARCH("Puxe",$J2193)),ISNUMBER(SEARCH("Apoio HDD",$F2193))),"MND",IF(OR(ISNUMBER(SEARCH("VCA",$F2193)),ISNUMBER(SEARCH("PVC",$F2193)),ISNUMBER(SEARCH("vca",$J2193)),ISNUMBER(SEARCH("Transforma??o",$J2193))),"VCA",IF(OR(ISNUMBER(SEARCH("crava",$F2193)),ISNUMBER(SEARCH("tubo cravado",$F2193)),ISNUMBER(SEARCH("shaft",$J2193)),ISNUMBER(SEARCH("concreto",$F2193))),"TUBO CRAVADO","")))</f>
        <v/>
      </c>
      <c r="T2193">
        <f>IF($A2193="","",TEXT($A2193,"yyyymm")&amp;"|"&amp;$C2193&amp;"|"&amp;$F2193&amp;"|"&amp;$N2193&amp;"|"&amp;$R2193)</f>
        <v/>
      </c>
    </row>
    <row r="2194">
      <c r="A2194" s="31" t="n">
        <v>46148</v>
      </c>
      <c r="B2194" s="8" t="inlineStr">
        <is>
          <t>Quarta</t>
        </is>
      </c>
      <c r="C2194" s="33" t="inlineStr">
        <is>
          <t>CTS MAR DE CORAL</t>
        </is>
      </c>
      <c r="D2194" s="33" t="inlineStr">
        <is>
          <t>SILVESTRE</t>
        </is>
      </c>
      <c r="E2194" s="27" t="inlineStr">
        <is>
          <t>Cidão</t>
        </is>
      </c>
      <c r="F2194" s="34" t="inlineStr">
        <is>
          <t>Acabamento PV 5.10</t>
        </is>
      </c>
      <c r="G2194" s="27" t="inlineStr">
        <is>
          <t>5.10</t>
        </is>
      </c>
      <c r="H2194" s="27" t="n"/>
      <c r="I2194" s="27" t="inlineStr">
        <is>
          <t>5.10</t>
        </is>
      </c>
      <c r="J2194" s="27" t="inlineStr">
        <is>
          <t>Acabamento</t>
        </is>
      </c>
      <c r="K2194" s="27" t="inlineStr">
        <is>
          <t>Planejamento</t>
        </is>
      </c>
      <c r="L2194" s="17" t="inlineStr">
        <is>
          <t>PDS-Maio.docx</t>
        </is>
      </c>
      <c r="M2194">
        <f>IF($A2194="","",TEXT($A2194,"mmmm/yyyy"))</f>
        <v/>
      </c>
      <c r="P2194">
        <f>IFERROR(_xludf.XLOOKUP($N2194,Base_Enderecos!$A:$A,Base_Enderecos!$B:$B,""),"")</f>
        <v/>
      </c>
      <c r="Q2194">
        <f>IFERROR(_xludf.XLOOKUP($N2194,Base_Enderecos!$A:$A,Base_Enderecos!$C:$C,""),"")</f>
        <v/>
      </c>
      <c r="R2194">
        <f>IF(OR(ISNUMBER(SEARCH("HDD",$F2194)),ISNUMBER(SEARCH("MND",$F2194)),ISNUMBER(SEARCH("PEAD",$F2194)),ISNUMBER(SEARCH("Puxe",$J2194)),ISNUMBER(SEARCH("Apoio HDD",$F2194))),"MND",IF(OR(ISNUMBER(SEARCH("VCA",$F2194)),ISNUMBER(SEARCH("PVC",$F2194)),ISNUMBER(SEARCH("vca",$J2194)),ISNUMBER(SEARCH("Transforma??o",$J2194))),"VCA",IF(OR(ISNUMBER(SEARCH("crava",$F2194)),ISNUMBER(SEARCH("tubo cravado",$F2194)),ISNUMBER(SEARCH("shaft",$J2194)),ISNUMBER(SEARCH("concreto",$F2194))),"TUBO CRAVADO","")))</f>
        <v/>
      </c>
      <c r="T2194">
        <f>IF($A2194="","",TEXT($A2194,"yyyymm")&amp;"|"&amp;$C2194&amp;"|"&amp;$F2194&amp;"|"&amp;$N2194&amp;"|"&amp;$R2194)</f>
        <v/>
      </c>
    </row>
    <row r="2195">
      <c r="A2195" s="31" t="n">
        <v>46148</v>
      </c>
      <c r="B2195" s="8" t="inlineStr">
        <is>
          <t>Quarta</t>
        </is>
      </c>
      <c r="C2195" s="33" t="inlineStr">
        <is>
          <t>CTS LUIS BOTELHO MOURÃO</t>
        </is>
      </c>
      <c r="D2195" s="33" t="inlineStr">
        <is>
          <t>ROBSON</t>
        </is>
      </c>
      <c r="E2195" s="27" t="inlineStr">
        <is>
          <t>Marcio</t>
        </is>
      </c>
      <c r="F2195" s="34" t="inlineStr">
        <is>
          <t>Lavagem da rede</t>
        </is>
      </c>
      <c r="G2195" s="27" t="n"/>
      <c r="H2195" s="27" t="n"/>
      <c r="I2195" s="27" t="n"/>
      <c r="J2195" s="27" t="inlineStr">
        <is>
          <t>Lavagem</t>
        </is>
      </c>
      <c r="K2195" s="27" t="inlineStr">
        <is>
          <t>Planejamento</t>
        </is>
      </c>
      <c r="L2195" s="17" t="inlineStr">
        <is>
          <t>PDS-Maio.docx</t>
        </is>
      </c>
      <c r="M2195">
        <f>IF($A2195="","",TEXT($A2195,"mmmm/yyyy"))</f>
        <v/>
      </c>
      <c r="P2195">
        <f>IFERROR(_xludf.XLOOKUP($N2195,Base_Enderecos!$A:$A,Base_Enderecos!$B:$B,""),"")</f>
        <v/>
      </c>
      <c r="Q2195">
        <f>IFERROR(_xludf.XLOOKUP($N2195,Base_Enderecos!$A:$A,Base_Enderecos!$C:$C,""),"")</f>
        <v/>
      </c>
      <c r="R2195">
        <f>IF(OR(ISNUMBER(SEARCH("HDD",$F2195)),ISNUMBER(SEARCH("MND",$F2195)),ISNUMBER(SEARCH("PEAD",$F2195)),ISNUMBER(SEARCH("Puxe",$J2195)),ISNUMBER(SEARCH("Apoio HDD",$F2195))),"MND",IF(OR(ISNUMBER(SEARCH("VCA",$F2195)),ISNUMBER(SEARCH("PVC",$F2195)),ISNUMBER(SEARCH("vca",$J2195)),ISNUMBER(SEARCH("Transforma??o",$J2195))),"VCA",IF(OR(ISNUMBER(SEARCH("crava",$F2195)),ISNUMBER(SEARCH("tubo cravado",$F2195)),ISNUMBER(SEARCH("shaft",$J2195)),ISNUMBER(SEARCH("concreto",$F2195))),"TUBO CRAVADO","")))</f>
        <v/>
      </c>
      <c r="T2195">
        <f>IF($A2195="","",TEXT($A2195,"yyyymm")&amp;"|"&amp;$C2195&amp;"|"&amp;$F2195&amp;"|"&amp;$N2195&amp;"|"&amp;$R2195)</f>
        <v/>
      </c>
    </row>
    <row r="2196">
      <c r="A2196" s="31" t="n">
        <v>46148</v>
      </c>
      <c r="B2196" s="8" t="inlineStr">
        <is>
          <t>Quarta</t>
        </is>
      </c>
      <c r="C2196" s="33" t="inlineStr">
        <is>
          <t>CTS LUIS BOTELHO MOURÃO</t>
        </is>
      </c>
      <c r="D2196" s="33" t="inlineStr">
        <is>
          <t>ROBSON</t>
        </is>
      </c>
      <c r="E2196" s="27" t="inlineStr">
        <is>
          <t>Higor</t>
        </is>
      </c>
      <c r="F2196" s="34" t="inlineStr">
        <is>
          <t>Acabamento PV 08 ao PV 09</t>
        </is>
      </c>
      <c r="G2196" s="27" t="inlineStr">
        <is>
          <t>08</t>
        </is>
      </c>
      <c r="H2196" s="27" t="inlineStr">
        <is>
          <t>09</t>
        </is>
      </c>
      <c r="I2196" s="27" t="inlineStr">
        <is>
          <t>08,09</t>
        </is>
      </c>
      <c r="J2196" s="27" t="inlineStr">
        <is>
          <t>Acabamento</t>
        </is>
      </c>
      <c r="K2196" s="27" t="inlineStr">
        <is>
          <t>Planejamento</t>
        </is>
      </c>
      <c r="L2196" s="17" t="inlineStr">
        <is>
          <t>PDS-Maio.docx</t>
        </is>
      </c>
      <c r="M2196">
        <f>IF($A2196="","",TEXT($A2196,"mmmm/yyyy"))</f>
        <v/>
      </c>
      <c r="P2196">
        <f>IFERROR(_xludf.XLOOKUP($N2196,Base_Enderecos!$A:$A,Base_Enderecos!$B:$B,""),"")</f>
        <v/>
      </c>
      <c r="Q2196">
        <f>IFERROR(_xludf.XLOOKUP($N2196,Base_Enderecos!$A:$A,Base_Enderecos!$C:$C,""),"")</f>
        <v/>
      </c>
      <c r="R2196">
        <f>IF(OR(ISNUMBER(SEARCH("HDD",$F2196)),ISNUMBER(SEARCH("MND",$F2196)),ISNUMBER(SEARCH("PEAD",$F2196)),ISNUMBER(SEARCH("Puxe",$J2196)),ISNUMBER(SEARCH("Apoio HDD",$F2196))),"MND",IF(OR(ISNUMBER(SEARCH("VCA",$F2196)),ISNUMBER(SEARCH("PVC",$F2196)),ISNUMBER(SEARCH("vca",$J2196)),ISNUMBER(SEARCH("Transforma??o",$J2196))),"VCA",IF(OR(ISNUMBER(SEARCH("crava",$F2196)),ISNUMBER(SEARCH("tubo cravado",$F2196)),ISNUMBER(SEARCH("shaft",$J2196)),ISNUMBER(SEARCH("concreto",$F2196))),"TUBO CRAVADO","")))</f>
        <v/>
      </c>
      <c r="T2196">
        <f>IF($A2196="","",TEXT($A2196,"yyyymm")&amp;"|"&amp;$C2196&amp;"|"&amp;$F2196&amp;"|"&amp;$N2196&amp;"|"&amp;$R2196)</f>
        <v/>
      </c>
    </row>
    <row r="2197">
      <c r="A2197" s="31" t="n">
        <v>46148</v>
      </c>
      <c r="B2197" s="8" t="inlineStr">
        <is>
          <t>Quarta</t>
        </is>
      </c>
      <c r="C2197" s="33" t="inlineStr">
        <is>
          <t>CTS LUIS BOTELHO MOURÃO</t>
        </is>
      </c>
      <c r="D2197" s="33" t="inlineStr">
        <is>
          <t>ROBSON</t>
        </is>
      </c>
      <c r="E2197" s="27" t="inlineStr">
        <is>
          <t>Jhonatan</t>
        </is>
      </c>
      <c r="F2197" s="34" t="inlineStr">
        <is>
          <t>Substituição Rede PV 05 ao PVE</t>
        </is>
      </c>
      <c r="G2197" s="27" t="inlineStr">
        <is>
          <t>05</t>
        </is>
      </c>
      <c r="H2197" s="27" t="inlineStr">
        <is>
          <t>PVE</t>
        </is>
      </c>
      <c r="I2197" s="27" t="inlineStr">
        <is>
          <t>05,PVE</t>
        </is>
      </c>
      <c r="J2197" s="27" t="inlineStr">
        <is>
          <t>Substitui??o de rede</t>
        </is>
      </c>
      <c r="K2197" s="27" t="inlineStr">
        <is>
          <t>Planejamento</t>
        </is>
      </c>
      <c r="L2197" s="17" t="inlineStr">
        <is>
          <t>PDS-Maio.docx</t>
        </is>
      </c>
      <c r="M2197">
        <f>IF($A2197="","",TEXT($A2197,"mmmm/yyyy"))</f>
        <v/>
      </c>
      <c r="P2197">
        <f>IFERROR(_xludf.XLOOKUP($N2197,Base_Enderecos!$A:$A,Base_Enderecos!$B:$B,""),"")</f>
        <v/>
      </c>
      <c r="Q2197">
        <f>IFERROR(_xludf.XLOOKUP($N2197,Base_Enderecos!$A:$A,Base_Enderecos!$C:$C,""),"")</f>
        <v/>
      </c>
      <c r="R2197">
        <f>IF(OR(ISNUMBER(SEARCH("HDD",$F2197)),ISNUMBER(SEARCH("MND",$F2197)),ISNUMBER(SEARCH("PEAD",$F2197)),ISNUMBER(SEARCH("Puxe",$J2197)),ISNUMBER(SEARCH("Apoio HDD",$F2197))),"MND",IF(OR(ISNUMBER(SEARCH("VCA",$F2197)),ISNUMBER(SEARCH("PVC",$F2197)),ISNUMBER(SEARCH("vca",$J2197)),ISNUMBER(SEARCH("Transforma??o",$J2197))),"VCA",IF(OR(ISNUMBER(SEARCH("crava",$F2197)),ISNUMBER(SEARCH("tubo cravado",$F2197)),ISNUMBER(SEARCH("shaft",$J2197)),ISNUMBER(SEARCH("concreto",$F2197))),"TUBO CRAVADO","")))</f>
        <v/>
      </c>
      <c r="T2197">
        <f>IF($A2197="","",TEXT($A2197,"yyyymm")&amp;"|"&amp;$C2197&amp;"|"&amp;$F2197&amp;"|"&amp;$N2197&amp;"|"&amp;$R2197)</f>
        <v/>
      </c>
    </row>
    <row r="2198">
      <c r="A2198" s="31" t="n">
        <v>46148</v>
      </c>
      <c r="B2198" s="8" t="inlineStr">
        <is>
          <t>Quarta</t>
        </is>
      </c>
      <c r="C2198" s="33" t="inlineStr">
        <is>
          <t>RCE SÃO LUCAS</t>
        </is>
      </c>
      <c r="D2198" s="33" t="inlineStr">
        <is>
          <t>FÁBIO</t>
        </is>
      </c>
      <c r="E2198" s="27" t="inlineStr">
        <is>
          <t>Antonio</t>
        </is>
      </c>
      <c r="F2198" s="34" t="inlineStr">
        <is>
          <t>VCA, PVs e Ligações</t>
        </is>
      </c>
      <c r="G2198" s="27" t="n"/>
      <c r="H2198" s="27" t="n"/>
      <c r="I2198" s="27" t="n"/>
      <c r="J2198" s="27" t="inlineStr">
        <is>
          <t>VCA</t>
        </is>
      </c>
      <c r="K2198" s="27" t="inlineStr">
        <is>
          <t>Planejamento</t>
        </is>
      </c>
      <c r="L2198" s="17" t="inlineStr">
        <is>
          <t>PDS-Maio.docx</t>
        </is>
      </c>
      <c r="M2198">
        <f>IF($A2198="","",TEXT($A2198,"mmmm/yyyy"))</f>
        <v/>
      </c>
      <c r="P2198">
        <f>IFERROR(_xludf.XLOOKUP($N2198,Base_Enderecos!$A:$A,Base_Enderecos!$B:$B,""),"")</f>
        <v/>
      </c>
      <c r="Q2198">
        <f>IFERROR(_xludf.XLOOKUP($N2198,Base_Enderecos!$A:$A,Base_Enderecos!$C:$C,""),"")</f>
        <v/>
      </c>
      <c r="R2198">
        <f>IF(OR(ISNUMBER(SEARCH("HDD",$F2198)),ISNUMBER(SEARCH("MND",$F2198)),ISNUMBER(SEARCH("PEAD",$F2198)),ISNUMBER(SEARCH("Puxe",$J2198)),ISNUMBER(SEARCH("Apoio HDD",$F2198))),"MND",IF(OR(ISNUMBER(SEARCH("VCA",$F2198)),ISNUMBER(SEARCH("PVC",$F2198)),ISNUMBER(SEARCH("vca",$J2198)),ISNUMBER(SEARCH("Transforma??o",$J2198))),"VCA",IF(OR(ISNUMBER(SEARCH("crava",$F2198)),ISNUMBER(SEARCH("tubo cravado",$F2198)),ISNUMBER(SEARCH("shaft",$J2198)),ISNUMBER(SEARCH("concreto",$F2198))),"TUBO CRAVADO","")))</f>
        <v/>
      </c>
      <c r="T2198">
        <f>IF($A2198="","",TEXT($A2198,"yyyymm")&amp;"|"&amp;$C2198&amp;"|"&amp;$F2198&amp;"|"&amp;$N2198&amp;"|"&amp;$R2198)</f>
        <v/>
      </c>
    </row>
    <row r="2199">
      <c r="A2199" s="31" t="n">
        <v>46148</v>
      </c>
      <c r="B2199" s="8" t="inlineStr">
        <is>
          <t>Quarta</t>
        </is>
      </c>
      <c r="C2199" s="33" t="inlineStr">
        <is>
          <t>RCE SÃO LUCAS</t>
        </is>
      </c>
      <c r="D2199" s="33" t="inlineStr">
        <is>
          <t>FÁBIO</t>
        </is>
      </c>
      <c r="E2199" s="27" t="inlineStr">
        <is>
          <t>Medeiros</t>
        </is>
      </c>
      <c r="F2199" s="34" t="inlineStr">
        <is>
          <t>VCA, PVs e Ligações</t>
        </is>
      </c>
      <c r="G2199" s="27" t="n"/>
      <c r="H2199" s="27" t="n"/>
      <c r="I2199" s="27" t="n"/>
      <c r="J2199" s="27" t="inlineStr">
        <is>
          <t>VCA</t>
        </is>
      </c>
      <c r="K2199" s="27" t="inlineStr">
        <is>
          <t>Planejamento</t>
        </is>
      </c>
      <c r="L2199" s="17" t="inlineStr">
        <is>
          <t>PDS-Maio.docx</t>
        </is>
      </c>
      <c r="M2199">
        <f>IF($A2199="","",TEXT($A2199,"mmmm/yyyy"))</f>
        <v/>
      </c>
      <c r="P2199">
        <f>IFERROR(_xludf.XLOOKUP($N2199,Base_Enderecos!$A:$A,Base_Enderecos!$B:$B,""),"")</f>
        <v/>
      </c>
      <c r="Q2199">
        <f>IFERROR(_xludf.XLOOKUP($N2199,Base_Enderecos!$A:$A,Base_Enderecos!$C:$C,""),"")</f>
        <v/>
      </c>
      <c r="R2199">
        <f>IF(OR(ISNUMBER(SEARCH("HDD",$F2199)),ISNUMBER(SEARCH("MND",$F2199)),ISNUMBER(SEARCH("PEAD",$F2199)),ISNUMBER(SEARCH("Puxe",$J2199)),ISNUMBER(SEARCH("Apoio HDD",$F2199))),"MND",IF(OR(ISNUMBER(SEARCH("VCA",$F2199)),ISNUMBER(SEARCH("PVC",$F2199)),ISNUMBER(SEARCH("vca",$J2199)),ISNUMBER(SEARCH("Transforma??o",$J2199))),"VCA",IF(OR(ISNUMBER(SEARCH("crava",$F2199)),ISNUMBER(SEARCH("tubo cravado",$F2199)),ISNUMBER(SEARCH("shaft",$J2199)),ISNUMBER(SEARCH("concreto",$F2199))),"TUBO CRAVADO","")))</f>
        <v/>
      </c>
      <c r="T2199">
        <f>IF($A2199="","",TEXT($A2199,"yyyymm")&amp;"|"&amp;$C2199&amp;"|"&amp;$F2199&amp;"|"&amp;$N2199&amp;"|"&amp;$R2199)</f>
        <v/>
      </c>
    </row>
    <row r="2200">
      <c r="A2200" s="31" t="n">
        <v>46148</v>
      </c>
      <c r="B2200" s="8" t="inlineStr">
        <is>
          <t>Quarta</t>
        </is>
      </c>
      <c r="C2200" s="33" t="inlineStr">
        <is>
          <t>RCE SÃO LUCAS</t>
        </is>
      </c>
      <c r="D2200" s="33" t="inlineStr">
        <is>
          <t>FÁBIO</t>
        </is>
      </c>
      <c r="E2200" s="27" t="inlineStr">
        <is>
          <t>Ricardo</t>
        </is>
      </c>
      <c r="F2200" s="34" t="inlineStr">
        <is>
          <t>VCA, PVs e Ligações</t>
        </is>
      </c>
      <c r="G2200" s="27" t="n"/>
      <c r="H2200" s="27" t="n"/>
      <c r="I2200" s="27" t="n"/>
      <c r="J2200" s="27" t="inlineStr">
        <is>
          <t>VCA</t>
        </is>
      </c>
      <c r="K2200" s="27" t="inlineStr">
        <is>
          <t>Planejamento</t>
        </is>
      </c>
      <c r="L2200" s="17" t="inlineStr">
        <is>
          <t>PDS-Maio.docx</t>
        </is>
      </c>
      <c r="M2200">
        <f>IF($A2200="","",TEXT($A2200,"mmmm/yyyy"))</f>
        <v/>
      </c>
      <c r="P2200">
        <f>IFERROR(_xludf.XLOOKUP($N2200,Base_Enderecos!$A:$A,Base_Enderecos!$B:$B,""),"")</f>
        <v/>
      </c>
      <c r="Q2200">
        <f>IFERROR(_xludf.XLOOKUP($N2200,Base_Enderecos!$A:$A,Base_Enderecos!$C:$C,""),"")</f>
        <v/>
      </c>
      <c r="R2200">
        <f>IF(OR(ISNUMBER(SEARCH("HDD",$F2200)),ISNUMBER(SEARCH("MND",$F2200)),ISNUMBER(SEARCH("PEAD",$F2200)),ISNUMBER(SEARCH("Puxe",$J2200)),ISNUMBER(SEARCH("Apoio HDD",$F2200))),"MND",IF(OR(ISNUMBER(SEARCH("VCA",$F2200)),ISNUMBER(SEARCH("PVC",$F2200)),ISNUMBER(SEARCH("vca",$J2200)),ISNUMBER(SEARCH("Transforma??o",$J2200))),"VCA",IF(OR(ISNUMBER(SEARCH("crava",$F2200)),ISNUMBER(SEARCH("tubo cravado",$F2200)),ISNUMBER(SEARCH("shaft",$J2200)),ISNUMBER(SEARCH("concreto",$F2200))),"TUBO CRAVADO","")))</f>
        <v/>
      </c>
      <c r="T2200">
        <f>IF($A2200="","",TEXT($A2200,"yyyymm")&amp;"|"&amp;$C2200&amp;"|"&amp;$F2200&amp;"|"&amp;$N2200&amp;"|"&amp;$R2200)</f>
        <v/>
      </c>
    </row>
    <row r="2201">
      <c r="A2201" s="31" t="n">
        <v>46148</v>
      </c>
      <c r="B2201" s="8" t="inlineStr">
        <is>
          <t>Quarta</t>
        </is>
      </c>
      <c r="C2201" s="33" t="inlineStr">
        <is>
          <t>RCE SÃO LUCAS</t>
        </is>
      </c>
      <c r="D2201" s="33" t="inlineStr">
        <is>
          <t>FÁBIO</t>
        </is>
      </c>
      <c r="E2201" s="27" t="inlineStr">
        <is>
          <t>Claudinei</t>
        </is>
      </c>
      <c r="F2201" s="34" t="inlineStr">
        <is>
          <t>VCA, PVs e Ligações</t>
        </is>
      </c>
      <c r="G2201" s="27" t="n"/>
      <c r="H2201" s="27" t="n"/>
      <c r="I2201" s="27" t="n"/>
      <c r="J2201" s="27" t="inlineStr">
        <is>
          <t>VCA</t>
        </is>
      </c>
      <c r="K2201" s="27" t="inlineStr">
        <is>
          <t>Planejamento</t>
        </is>
      </c>
      <c r="L2201" s="17" t="inlineStr">
        <is>
          <t>PDS-Maio.docx</t>
        </is>
      </c>
      <c r="M2201">
        <f>IF($A2201="","",TEXT($A2201,"mmmm/yyyy"))</f>
        <v/>
      </c>
      <c r="P2201">
        <f>IFERROR(_xludf.XLOOKUP($N2201,Base_Enderecos!$A:$A,Base_Enderecos!$B:$B,""),"")</f>
        <v/>
      </c>
      <c r="Q2201">
        <f>IFERROR(_xludf.XLOOKUP($N2201,Base_Enderecos!$A:$A,Base_Enderecos!$C:$C,""),"")</f>
        <v/>
      </c>
      <c r="R2201">
        <f>IF(OR(ISNUMBER(SEARCH("HDD",$F2201)),ISNUMBER(SEARCH("MND",$F2201)),ISNUMBER(SEARCH("PEAD",$F2201)),ISNUMBER(SEARCH("Puxe",$J2201)),ISNUMBER(SEARCH("Apoio HDD",$F2201))),"MND",IF(OR(ISNUMBER(SEARCH("VCA",$F2201)),ISNUMBER(SEARCH("PVC",$F2201)),ISNUMBER(SEARCH("vca",$J2201)),ISNUMBER(SEARCH("Transforma??o",$J2201))),"VCA",IF(OR(ISNUMBER(SEARCH("crava",$F2201)),ISNUMBER(SEARCH("tubo cravado",$F2201)),ISNUMBER(SEARCH("shaft",$J2201)),ISNUMBER(SEARCH("concreto",$F2201))),"TUBO CRAVADO","")))</f>
        <v/>
      </c>
      <c r="T2201">
        <f>IF($A2201="","",TEXT($A2201,"yyyymm")&amp;"|"&amp;$C2201&amp;"|"&amp;$F2201&amp;"|"&amp;$N2201&amp;"|"&amp;$R2201)</f>
        <v/>
      </c>
    </row>
    <row r="2202">
      <c r="A2202" s="31" t="n">
        <v>46148</v>
      </c>
      <c r="B2202" s="8" t="inlineStr">
        <is>
          <t>Quarta</t>
        </is>
      </c>
      <c r="C2202" s="33" t="inlineStr">
        <is>
          <t>RCE SÃO LUCAS</t>
        </is>
      </c>
      <c r="D2202" s="33" t="inlineStr">
        <is>
          <t>FÁBIO</t>
        </is>
      </c>
      <c r="E2202" s="27" t="inlineStr">
        <is>
          <t>Marcelo</t>
        </is>
      </c>
      <c r="F2202" s="34" t="inlineStr">
        <is>
          <t>VCA, PVs e Ligações</t>
        </is>
      </c>
      <c r="G2202" s="27" t="n"/>
      <c r="H2202" s="27" t="n"/>
      <c r="I2202" s="27" t="n"/>
      <c r="J2202" s="27" t="inlineStr">
        <is>
          <t>VCA</t>
        </is>
      </c>
      <c r="K2202" s="27" t="inlineStr">
        <is>
          <t>Planejamento</t>
        </is>
      </c>
      <c r="L2202" s="17" t="inlineStr">
        <is>
          <t>PDS-Maio.docx</t>
        </is>
      </c>
      <c r="M2202">
        <f>IF($A2202="","",TEXT($A2202,"mmmm/yyyy"))</f>
        <v/>
      </c>
      <c r="P2202">
        <f>IFERROR(_xludf.XLOOKUP($N2202,Base_Enderecos!$A:$A,Base_Enderecos!$B:$B,""),"")</f>
        <v/>
      </c>
      <c r="Q2202">
        <f>IFERROR(_xludf.XLOOKUP($N2202,Base_Enderecos!$A:$A,Base_Enderecos!$C:$C,""),"")</f>
        <v/>
      </c>
      <c r="R2202">
        <f>IF(OR(ISNUMBER(SEARCH("HDD",$F2202)),ISNUMBER(SEARCH("MND",$F2202)),ISNUMBER(SEARCH("PEAD",$F2202)),ISNUMBER(SEARCH("Puxe",$J2202)),ISNUMBER(SEARCH("Apoio HDD",$F2202))),"MND",IF(OR(ISNUMBER(SEARCH("VCA",$F2202)),ISNUMBER(SEARCH("PVC",$F2202)),ISNUMBER(SEARCH("vca",$J2202)),ISNUMBER(SEARCH("Transforma??o",$J2202))),"VCA",IF(OR(ISNUMBER(SEARCH("crava",$F2202)),ISNUMBER(SEARCH("tubo cravado",$F2202)),ISNUMBER(SEARCH("shaft",$J2202)),ISNUMBER(SEARCH("concreto",$F2202))),"TUBO CRAVADO","")))</f>
        <v/>
      </c>
      <c r="T2202">
        <f>IF($A2202="","",TEXT($A2202,"yyyymm")&amp;"|"&amp;$C2202&amp;"|"&amp;$F2202&amp;"|"&amp;$N2202&amp;"|"&amp;$R2202)</f>
        <v/>
      </c>
    </row>
    <row r="2203">
      <c r="A2203" s="31" t="n">
        <v>46148</v>
      </c>
      <c r="B2203" s="8" t="inlineStr">
        <is>
          <t>Quarta</t>
        </is>
      </c>
      <c r="C2203" s="33" t="inlineStr">
        <is>
          <t>CTS CONCEI??O</t>
        </is>
      </c>
      <c r="D2203" s="33" t="inlineStr">
        <is>
          <t>VALMIR / LEANDRO</t>
        </is>
      </c>
      <c r="E2203" s="27" t="inlineStr">
        <is>
          <t>Cesar</t>
        </is>
      </c>
      <c r="F2203" s="34" t="inlineStr">
        <is>
          <t>Tubo de queda PVE</t>
        </is>
      </c>
      <c r="G2203" s="27" t="inlineStr">
        <is>
          <t>PVE</t>
        </is>
      </c>
      <c r="H2203" s="27" t="n"/>
      <c r="I2203" s="27" t="inlineStr">
        <is>
          <t>PVE</t>
        </is>
      </c>
      <c r="J2203" s="27" t="inlineStr">
        <is>
          <t>Tubo de queda</t>
        </is>
      </c>
      <c r="K2203" s="27" t="inlineStr">
        <is>
          <t>Planejamento</t>
        </is>
      </c>
      <c r="L2203" s="17" t="inlineStr">
        <is>
          <t>PDS-Maio.docx</t>
        </is>
      </c>
      <c r="M2203">
        <f>IF($A2203="","",TEXT($A2203,"mmmm/yyyy"))</f>
        <v/>
      </c>
      <c r="P2203">
        <f>IFERROR(_xludf.XLOOKUP($N2203,Base_Enderecos!$A:$A,Base_Enderecos!$B:$B,""),"")</f>
        <v/>
      </c>
      <c r="Q2203">
        <f>IFERROR(_xludf.XLOOKUP($N2203,Base_Enderecos!$A:$A,Base_Enderecos!$C:$C,""),"")</f>
        <v/>
      </c>
      <c r="R2203">
        <f>IF(OR(ISNUMBER(SEARCH("HDD",$F2203)),ISNUMBER(SEARCH("MND",$F2203)),ISNUMBER(SEARCH("PEAD",$F2203)),ISNUMBER(SEARCH("Puxe",$J2203)),ISNUMBER(SEARCH("Apoio HDD",$F2203))),"MND",IF(OR(ISNUMBER(SEARCH("VCA",$F2203)),ISNUMBER(SEARCH("PVC",$F2203)),ISNUMBER(SEARCH("vca",$J2203)),ISNUMBER(SEARCH("Transforma??o",$J2203))),"VCA",IF(OR(ISNUMBER(SEARCH("crava",$F2203)),ISNUMBER(SEARCH("tubo cravado",$F2203)),ISNUMBER(SEARCH("shaft",$J2203)),ISNUMBER(SEARCH("concreto",$F2203))),"TUBO CRAVADO","")))</f>
        <v/>
      </c>
      <c r="T2203">
        <f>IF($A2203="","",TEXT($A2203,"yyyymm")&amp;"|"&amp;$C2203&amp;"|"&amp;$F2203&amp;"|"&amp;$N2203&amp;"|"&amp;$R2203)</f>
        <v/>
      </c>
    </row>
    <row r="2204">
      <c r="A2204" s="31" t="n">
        <v>46148</v>
      </c>
      <c r="B2204" s="8" t="inlineStr">
        <is>
          <t>Quarta</t>
        </is>
      </c>
      <c r="C2204" s="33" t="inlineStr">
        <is>
          <t>CTS CONCEI??O</t>
        </is>
      </c>
      <c r="D2204" s="33" t="inlineStr">
        <is>
          <t>VALMIR / LEANDRO</t>
        </is>
      </c>
      <c r="E2204" s="27" t="inlineStr">
        <is>
          <t>Emanuel GO-01</t>
        </is>
      </c>
      <c r="F2204" s="34" t="inlineStr">
        <is>
          <t>Shaft PV 10.2.1</t>
        </is>
      </c>
      <c r="G2204" s="27" t="inlineStr">
        <is>
          <t>10.2</t>
        </is>
      </c>
      <c r="H2204" s="27" t="n"/>
      <c r="I2204" s="27" t="inlineStr">
        <is>
          <t>10.2</t>
        </is>
      </c>
      <c r="J2204" s="27" t="inlineStr">
        <is>
          <t>Shaft</t>
        </is>
      </c>
      <c r="K2204" s="27" t="inlineStr">
        <is>
          <t>Planejamento</t>
        </is>
      </c>
      <c r="L2204" s="17" t="inlineStr">
        <is>
          <t>PDS-Maio.docx</t>
        </is>
      </c>
      <c r="M2204">
        <f>IF($A2204="","",TEXT($A2204,"mmmm/yyyy"))</f>
        <v/>
      </c>
      <c r="P2204">
        <f>IFERROR(_xludf.XLOOKUP($N2204,Base_Enderecos!$A:$A,Base_Enderecos!$B:$B,""),"")</f>
        <v/>
      </c>
      <c r="Q2204">
        <f>IFERROR(_xludf.XLOOKUP($N2204,Base_Enderecos!$A:$A,Base_Enderecos!$C:$C,""),"")</f>
        <v/>
      </c>
      <c r="R2204">
        <f>IF(OR(ISNUMBER(SEARCH("HDD",$F2204)),ISNUMBER(SEARCH("MND",$F2204)),ISNUMBER(SEARCH("PEAD",$F2204)),ISNUMBER(SEARCH("Puxe",$J2204)),ISNUMBER(SEARCH("Apoio HDD",$F2204))),"MND",IF(OR(ISNUMBER(SEARCH("VCA",$F2204)),ISNUMBER(SEARCH("PVC",$F2204)),ISNUMBER(SEARCH("vca",$J2204)),ISNUMBER(SEARCH("Transforma??o",$J2204))),"VCA",IF(OR(ISNUMBER(SEARCH("crava",$F2204)),ISNUMBER(SEARCH("tubo cravado",$F2204)),ISNUMBER(SEARCH("shaft",$J2204)),ISNUMBER(SEARCH("concreto",$F2204))),"TUBO CRAVADO","")))</f>
        <v/>
      </c>
      <c r="T2204">
        <f>IF($A2204="","",TEXT($A2204,"yyyymm")&amp;"|"&amp;$C2204&amp;"|"&amp;$F2204&amp;"|"&amp;$N2204&amp;"|"&amp;$R2204)</f>
        <v/>
      </c>
    </row>
    <row r="2205">
      <c r="A2205" s="31" t="n">
        <v>46148</v>
      </c>
      <c r="B2205" s="8" t="inlineStr">
        <is>
          <t>Quarta</t>
        </is>
      </c>
      <c r="C2205" s="33" t="inlineStr">
        <is>
          <t>Vacal</t>
        </is>
      </c>
      <c r="D2205" s="33" t="n"/>
      <c r="E2205" s="27" t="inlineStr">
        <is>
          <t>Botelho Mourão – Henko</t>
        </is>
      </c>
      <c r="F2205" s="34" t="inlineStr">
        <is>
          <t>Apoio Vacal</t>
        </is>
      </c>
      <c r="G2205" s="27" t="n"/>
      <c r="H2205" s="27" t="n"/>
      <c r="I2205" s="27" t="n"/>
      <c r="J2205" s="27" t="inlineStr">
        <is>
          <t>Vacal</t>
        </is>
      </c>
      <c r="K2205" s="27" t="inlineStr">
        <is>
          <t>Apoio</t>
        </is>
      </c>
      <c r="L2205" s="17" t="inlineStr">
        <is>
          <t>PDS-Maio.docx</t>
        </is>
      </c>
      <c r="M2205">
        <f>IF($A2205="","",TEXT($A2205,"mmmm/yyyy"))</f>
        <v/>
      </c>
      <c r="P2205">
        <f>IFERROR(_xludf.XLOOKUP($N2205,Base_Enderecos!$A:$A,Base_Enderecos!$B:$B,""),"")</f>
        <v/>
      </c>
      <c r="Q2205">
        <f>IFERROR(_xludf.XLOOKUP($N2205,Base_Enderecos!$A:$A,Base_Enderecos!$C:$C,""),"")</f>
        <v/>
      </c>
      <c r="R2205">
        <f>IF(OR(ISNUMBER(SEARCH("HDD",$F2205)),ISNUMBER(SEARCH("MND",$F2205)),ISNUMBER(SEARCH("PEAD",$F2205)),ISNUMBER(SEARCH("Puxe",$J2205)),ISNUMBER(SEARCH("Apoio HDD",$F2205))),"MND",IF(OR(ISNUMBER(SEARCH("VCA",$F2205)),ISNUMBER(SEARCH("PVC",$F2205)),ISNUMBER(SEARCH("vca",$J2205)),ISNUMBER(SEARCH("Transforma??o",$J2205))),"VCA",IF(OR(ISNUMBER(SEARCH("crava",$F2205)),ISNUMBER(SEARCH("tubo cravado",$F2205)),ISNUMBER(SEARCH("shaft",$J2205)),ISNUMBER(SEARCH("concreto",$F2205))),"TUBO CRAVADO","")))</f>
        <v/>
      </c>
      <c r="T2205">
        <f>IF($A2205="","",TEXT($A2205,"yyyymm")&amp;"|"&amp;$C2205&amp;"|"&amp;$F2205&amp;"|"&amp;$N2205&amp;"|"&amp;$R2205)</f>
        <v/>
      </c>
    </row>
    <row r="2206">
      <c r="A2206" s="31" t="n">
        <v>46148</v>
      </c>
      <c r="B2206" s="8" t="inlineStr">
        <is>
          <t>Quarta</t>
        </is>
      </c>
      <c r="C2206" s="33" t="inlineStr">
        <is>
          <t>Vacal</t>
        </is>
      </c>
      <c r="D2206" s="33" t="n"/>
      <c r="E2206" s="27" t="inlineStr">
        <is>
          <t>Botelho Mourão – Henko</t>
        </is>
      </c>
      <c r="F2206" s="34" t="inlineStr">
        <is>
          <t>Apoio Vacal</t>
        </is>
      </c>
      <c r="G2206" s="27" t="n"/>
      <c r="H2206" s="27" t="n"/>
      <c r="I2206" s="27" t="n"/>
      <c r="J2206" s="27" t="inlineStr">
        <is>
          <t>Vacal</t>
        </is>
      </c>
      <c r="K2206" s="27" t="inlineStr">
        <is>
          <t>Apoio</t>
        </is>
      </c>
      <c r="L2206" s="17" t="inlineStr">
        <is>
          <t>PDS-Maio.docx</t>
        </is>
      </c>
      <c r="M2206">
        <f>IF($A2206="","",TEXT($A2206,"mmmm/yyyy"))</f>
        <v/>
      </c>
      <c r="P2206">
        <f>IFERROR(_xludf.XLOOKUP($N2206,Base_Enderecos!$A:$A,Base_Enderecos!$B:$B,""),"")</f>
        <v/>
      </c>
      <c r="Q2206">
        <f>IFERROR(_xludf.XLOOKUP($N2206,Base_Enderecos!$A:$A,Base_Enderecos!$C:$C,""),"")</f>
        <v/>
      </c>
      <c r="R2206">
        <f>IF(OR(ISNUMBER(SEARCH("HDD",$F2206)),ISNUMBER(SEARCH("MND",$F2206)),ISNUMBER(SEARCH("PEAD",$F2206)),ISNUMBER(SEARCH("Puxe",$J2206)),ISNUMBER(SEARCH("Apoio HDD",$F2206))),"MND",IF(OR(ISNUMBER(SEARCH("VCA",$F2206)),ISNUMBER(SEARCH("PVC",$F2206)),ISNUMBER(SEARCH("vca",$J2206)),ISNUMBER(SEARCH("Transforma??o",$J2206))),"VCA",IF(OR(ISNUMBER(SEARCH("crava",$F2206)),ISNUMBER(SEARCH("tubo cravado",$F2206)),ISNUMBER(SEARCH("shaft",$J2206)),ISNUMBER(SEARCH("concreto",$F2206))),"TUBO CRAVADO","")))</f>
        <v/>
      </c>
      <c r="T2206">
        <f>IF($A2206="","",TEXT($A2206,"yyyymm")&amp;"|"&amp;$C2206&amp;"|"&amp;$F2206&amp;"|"&amp;$N2206&amp;"|"&amp;$R2206)</f>
        <v/>
      </c>
    </row>
    <row r="2207">
      <c r="A2207" s="31" t="n">
        <v>46148</v>
      </c>
      <c r="B2207" s="8" t="inlineStr">
        <is>
          <t>Quarta</t>
        </is>
      </c>
      <c r="C2207" s="33" t="inlineStr">
        <is>
          <t>Vacal</t>
        </is>
      </c>
      <c r="D2207" s="33" t="n"/>
      <c r="E2207" s="27" t="inlineStr">
        <is>
          <t>Botelho Mourão – Renasce</t>
        </is>
      </c>
      <c r="F2207" s="34" t="inlineStr">
        <is>
          <t>Apoio Vacal</t>
        </is>
      </c>
      <c r="G2207" s="27" t="n"/>
      <c r="H2207" s="27" t="n"/>
      <c r="I2207" s="27" t="n"/>
      <c r="J2207" s="27" t="inlineStr">
        <is>
          <t>Vacal</t>
        </is>
      </c>
      <c r="K2207" s="27" t="inlineStr">
        <is>
          <t>Apoio</t>
        </is>
      </c>
      <c r="L2207" s="17" t="inlineStr">
        <is>
          <t>PDS-Maio.docx</t>
        </is>
      </c>
      <c r="M2207">
        <f>IF($A2207="","",TEXT($A2207,"mmmm/yyyy"))</f>
        <v/>
      </c>
      <c r="P2207">
        <f>IFERROR(_xludf.XLOOKUP($N2207,Base_Enderecos!$A:$A,Base_Enderecos!$B:$B,""),"")</f>
        <v/>
      </c>
      <c r="Q2207">
        <f>IFERROR(_xludf.XLOOKUP($N2207,Base_Enderecos!$A:$A,Base_Enderecos!$C:$C,""),"")</f>
        <v/>
      </c>
      <c r="R2207">
        <f>IF(OR(ISNUMBER(SEARCH("HDD",$F2207)),ISNUMBER(SEARCH("MND",$F2207)),ISNUMBER(SEARCH("PEAD",$F2207)),ISNUMBER(SEARCH("Puxe",$J2207)),ISNUMBER(SEARCH("Apoio HDD",$F2207))),"MND",IF(OR(ISNUMBER(SEARCH("VCA",$F2207)),ISNUMBER(SEARCH("PVC",$F2207)),ISNUMBER(SEARCH("vca",$J2207)),ISNUMBER(SEARCH("Transforma??o",$J2207))),"VCA",IF(OR(ISNUMBER(SEARCH("crava",$F2207)),ISNUMBER(SEARCH("tubo cravado",$F2207)),ISNUMBER(SEARCH("shaft",$J2207)),ISNUMBER(SEARCH("concreto",$F2207))),"TUBO CRAVADO","")))</f>
        <v/>
      </c>
      <c r="T2207">
        <f>IF($A2207="","",TEXT($A2207,"yyyymm")&amp;"|"&amp;$C2207&amp;"|"&amp;$F2207&amp;"|"&amp;$N2207&amp;"|"&amp;$R2207)</f>
        <v/>
      </c>
    </row>
    <row r="2208">
      <c r="A2208" s="31" t="n">
        <v>46148</v>
      </c>
      <c r="B2208" s="8" t="inlineStr">
        <is>
          <t>Quarta</t>
        </is>
      </c>
      <c r="C2208" s="33" t="inlineStr">
        <is>
          <t>Vacal</t>
        </is>
      </c>
      <c r="D2208" s="33" t="n"/>
      <c r="E2208" s="27" t="inlineStr">
        <is>
          <t>Botelho Mourão – Hidrosol</t>
        </is>
      </c>
      <c r="F2208" s="34" t="inlineStr">
        <is>
          <t>Apoio Vacal</t>
        </is>
      </c>
      <c r="G2208" s="27" t="n"/>
      <c r="H2208" s="27" t="n"/>
      <c r="I2208" s="27" t="n"/>
      <c r="J2208" s="27" t="inlineStr">
        <is>
          <t>Vacal</t>
        </is>
      </c>
      <c r="K2208" s="27" t="inlineStr">
        <is>
          <t>Apoio</t>
        </is>
      </c>
      <c r="L2208" s="17" t="inlineStr">
        <is>
          <t>PDS-Maio.docx</t>
        </is>
      </c>
      <c r="M2208">
        <f>IF($A2208="","",TEXT($A2208,"mmmm/yyyy"))</f>
        <v/>
      </c>
      <c r="P2208">
        <f>IFERROR(_xludf.XLOOKUP($N2208,Base_Enderecos!$A:$A,Base_Enderecos!$B:$B,""),"")</f>
        <v/>
      </c>
      <c r="Q2208">
        <f>IFERROR(_xludf.XLOOKUP($N2208,Base_Enderecos!$A:$A,Base_Enderecos!$C:$C,""),"")</f>
        <v/>
      </c>
      <c r="R2208">
        <f>IF(OR(ISNUMBER(SEARCH("HDD",$F2208)),ISNUMBER(SEARCH("MND",$F2208)),ISNUMBER(SEARCH("PEAD",$F2208)),ISNUMBER(SEARCH("Puxe",$J2208)),ISNUMBER(SEARCH("Apoio HDD",$F2208))),"MND",IF(OR(ISNUMBER(SEARCH("VCA",$F2208)),ISNUMBER(SEARCH("PVC",$F2208)),ISNUMBER(SEARCH("vca",$J2208)),ISNUMBER(SEARCH("Transforma??o",$J2208))),"VCA",IF(OR(ISNUMBER(SEARCH("crava",$F2208)),ISNUMBER(SEARCH("tubo cravado",$F2208)),ISNUMBER(SEARCH("shaft",$J2208)),ISNUMBER(SEARCH("concreto",$F2208))),"TUBO CRAVADO","")))</f>
        <v/>
      </c>
      <c r="T2208">
        <f>IF($A2208="","",TEXT($A2208,"yyyymm")&amp;"|"&amp;$C2208&amp;"|"&amp;$F2208&amp;"|"&amp;$N2208&amp;"|"&amp;$R2208)</f>
        <v/>
      </c>
    </row>
    <row r="2209">
      <c r="A2209" s="31" t="n">
        <v>46148</v>
      </c>
      <c r="B2209" s="8" t="inlineStr">
        <is>
          <t>Quarta</t>
        </is>
      </c>
      <c r="C2209" s="33" t="inlineStr">
        <is>
          <t>Guindauto</t>
        </is>
      </c>
      <c r="D2209" s="33" t="n"/>
      <c r="E2209" s="27" t="inlineStr">
        <is>
          <t>Marcio</t>
        </is>
      </c>
      <c r="F2209" s="34" t="inlineStr">
        <is>
          <t>Apoio as equipes</t>
        </is>
      </c>
      <c r="G2209" s="27" t="n"/>
      <c r="H2209" s="27" t="n"/>
      <c r="I2209" s="27" t="n"/>
      <c r="J2209" s="27" t="inlineStr">
        <is>
          <t>Apoio as equipes</t>
        </is>
      </c>
      <c r="K2209" s="27" t="inlineStr">
        <is>
          <t>Apoio</t>
        </is>
      </c>
      <c r="L2209" s="17" t="inlineStr">
        <is>
          <t>PDS-Maio.docx</t>
        </is>
      </c>
      <c r="M2209">
        <f>IF($A2209="","",TEXT($A2209,"mmmm/yyyy"))</f>
        <v/>
      </c>
      <c r="P2209">
        <f>IFERROR(_xludf.XLOOKUP($N2209,Base_Enderecos!$A:$A,Base_Enderecos!$B:$B,""),"")</f>
        <v/>
      </c>
      <c r="Q2209">
        <f>IFERROR(_xludf.XLOOKUP($N2209,Base_Enderecos!$A:$A,Base_Enderecos!$C:$C,""),"")</f>
        <v/>
      </c>
      <c r="R2209">
        <f>IF(OR(ISNUMBER(SEARCH("HDD",$F2209)),ISNUMBER(SEARCH("MND",$F2209)),ISNUMBER(SEARCH("PEAD",$F2209)),ISNUMBER(SEARCH("Puxe",$J2209)),ISNUMBER(SEARCH("Apoio HDD",$F2209))),"MND",IF(OR(ISNUMBER(SEARCH("VCA",$F2209)),ISNUMBER(SEARCH("PVC",$F2209)),ISNUMBER(SEARCH("vca",$J2209)),ISNUMBER(SEARCH("Transforma??o",$J2209))),"VCA",IF(OR(ISNUMBER(SEARCH("crava",$F2209)),ISNUMBER(SEARCH("tubo cravado",$F2209)),ISNUMBER(SEARCH("shaft",$J2209)),ISNUMBER(SEARCH("concreto",$F2209))),"TUBO CRAVADO","")))</f>
        <v/>
      </c>
      <c r="T2209">
        <f>IF($A2209="","",TEXT($A2209,"yyyymm")&amp;"|"&amp;$C2209&amp;"|"&amp;$F2209&amp;"|"&amp;$N2209&amp;"|"&amp;$R2209)</f>
        <v/>
      </c>
    </row>
    <row r="2210">
      <c r="A2210" s="31" t="n">
        <v>46148</v>
      </c>
      <c r="B2210" s="8" t="inlineStr">
        <is>
          <t>Quarta</t>
        </is>
      </c>
      <c r="C2210" s="33" t="inlineStr">
        <is>
          <t>Guindauto</t>
        </is>
      </c>
      <c r="D2210" s="33" t="n"/>
      <c r="E2210" s="27" t="inlineStr">
        <is>
          <t>Luiz Carlos</t>
        </is>
      </c>
      <c r="F2210" s="34" t="inlineStr">
        <is>
          <t>Apoio as equipes</t>
        </is>
      </c>
      <c r="G2210" s="27" t="n"/>
      <c r="H2210" s="27" t="n"/>
      <c r="I2210" s="27" t="n"/>
      <c r="J2210" s="27" t="inlineStr">
        <is>
          <t>Apoio as equipes</t>
        </is>
      </c>
      <c r="K2210" s="27" t="inlineStr">
        <is>
          <t>Apoio</t>
        </is>
      </c>
      <c r="L2210" s="17" t="inlineStr">
        <is>
          <t>PDS-Maio.docx</t>
        </is>
      </c>
      <c r="M2210">
        <f>IF($A2210="","",TEXT($A2210,"mmmm/yyyy"))</f>
        <v/>
      </c>
      <c r="P2210">
        <f>IFERROR(_xludf.XLOOKUP($N2210,Base_Enderecos!$A:$A,Base_Enderecos!$B:$B,""),"")</f>
        <v/>
      </c>
      <c r="Q2210">
        <f>IFERROR(_xludf.XLOOKUP($N2210,Base_Enderecos!$A:$A,Base_Enderecos!$C:$C,""),"")</f>
        <v/>
      </c>
      <c r="R2210">
        <f>IF(OR(ISNUMBER(SEARCH("HDD",$F2210)),ISNUMBER(SEARCH("MND",$F2210)),ISNUMBER(SEARCH("PEAD",$F2210)),ISNUMBER(SEARCH("Puxe",$J2210)),ISNUMBER(SEARCH("Apoio HDD",$F2210))),"MND",IF(OR(ISNUMBER(SEARCH("VCA",$F2210)),ISNUMBER(SEARCH("PVC",$F2210)),ISNUMBER(SEARCH("vca",$J2210)),ISNUMBER(SEARCH("Transforma??o",$J2210))),"VCA",IF(OR(ISNUMBER(SEARCH("crava",$F2210)),ISNUMBER(SEARCH("tubo cravado",$F2210)),ISNUMBER(SEARCH("shaft",$J2210)),ISNUMBER(SEARCH("concreto",$F2210))),"TUBO CRAVADO","")))</f>
        <v/>
      </c>
      <c r="T2210">
        <f>IF($A2210="","",TEXT($A2210,"yyyymm")&amp;"|"&amp;$C2210&amp;"|"&amp;$F2210&amp;"|"&amp;$N2210&amp;"|"&amp;$R2210)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2026-05-06T17:37:37Z</dcterms:modified>
  <cp:lastModifiedBy>Cleulton Marcio Goncalves Freire</cp:lastModifiedBy>
</cp:coreProperties>
</file>