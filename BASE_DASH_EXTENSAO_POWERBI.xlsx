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github_corrigido_dashboard_obrasRev1\github\docs\"/>
    </mc:Choice>
  </mc:AlternateContent>
  <xr:revisionPtr revIDLastSave="0" documentId="13_ncr:1_{38D3F51D-200A-4500-8FFE-9E4651753B9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0" i="1" l="1"/>
  <c r="X178" i="1" l="1"/>
  <c r="X179" i="1"/>
  <c r="X168" i="1" l="1"/>
  <c r="X73" i="1"/>
  <c r="V156" i="1"/>
  <c r="U156" i="1"/>
  <c r="X169" i="1"/>
  <c r="U158" i="1"/>
</calcChain>
</file>

<file path=xl/sharedStrings.xml><?xml version="1.0" encoding="utf-8"?>
<sst xmlns="http://schemas.openxmlformats.org/spreadsheetml/2006/main" count="632" uniqueCount="120">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</sst>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2" fontId="0" fillId="0" borderId="0" xfId="0" applyNumberFormat="1"/>
  </cellXfs>
  <cellStyles count="1">
    <cellStyle name="Normal" xfId="0" builtinId="0"/>
  </cellStyles>
  <dxfs count="1"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0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/>
    <tableColumn id="12" xr3:uid="{2CC935E5-AE57-401D-B0B9-16AA7CE547C9}" name="produção Maio 2025"/>
    <tableColumn id="13" xr3:uid="{D4A32E48-58F4-4347-A22F-3EC617F115ED}" name="produção Junho 2025"/>
    <tableColumn id="14" xr3:uid="{FD08EE1C-24D6-435D-BFB5-DE8525365C0B}" name="produção Julho 2025"/>
    <tableColumn id="15" xr3:uid="{0E3143BC-7DD4-42C2-9632-F4C84435B02B}" name="produção Agosto 2025"/>
    <tableColumn id="16" xr3:uid="{1A595E00-BFE2-4CB2-88ED-7BAD72BCDC1D}" name="produção Setembro 2025"/>
    <tableColumn id="17" xr3:uid="{8A59EA87-2170-4E3A-8757-7A5746B89A12}" name="produção Outubro 2025"/>
    <tableColumn id="18" xr3:uid="{E9DBE3BD-B4AB-4971-9574-0FF7FA5803DD}" name="produção Novembro 2025"/>
    <tableColumn id="19" xr3:uid="{1D73A10C-A301-48D5-96BD-32A1DB452BFA}" name="produção Dezembro 2025"/>
    <tableColumn id="20" xr3:uid="{D518955F-FB3C-479D-B0A0-C858B4EE0CF2}" name="produção Janeiro 2026"/>
    <tableColumn id="21" xr3:uid="{2643BDE6-67AE-4701-982B-BBA15C7E24D7}" name="produção Fevereiro 2026"/>
    <tableColumn id="22" xr3:uid="{25EDB414-06AF-467B-BEAF-CBFA34B0E3FE}" name="produção Março 2026"/>
    <tableColumn id="23" xr3:uid="{ACC94B2B-3C05-4E69-BC1D-31E6BC6BF41F}" name="produção Abril 2026"/>
    <tableColumn id="24" xr3:uid="{434478D3-9DE1-40FA-BAE2-5B310B23261F}" name="produção Maio 2026"/>
    <tableColumn id="25" xr3:uid="{F969BF45-8403-448D-ADFE-D1E4B359F4FC}" name="produção Junho 2026"/>
    <tableColumn id="26" xr3:uid="{3190B8C0-F461-4D5F-9042-D3DA4392D852}" name="produção Julho 2026"/>
    <tableColumn id="27" xr3:uid="{1296E3F8-3AB4-4A3B-8378-6F3E29C9E2CA}" name="produção Agosto 2026"/>
    <tableColumn id="28" xr3:uid="{8DDEDC24-3476-4DA6-AF25-63FF4B848894}" name="produção Setembro 2026"/>
    <tableColumn id="29" xr3:uid="{CCF3E2AD-2E1F-42BE-8A16-B57AE967B62C}" name="produção Outubro 2026"/>
    <tableColumn id="30" xr3:uid="{AEDAF9C8-4CB3-46E6-9E05-502560E49621}" name="produção Novembro 2026"/>
    <tableColumn id="31" xr3:uid="{224F4735-9E51-4718-AB11-1FC679A00B87}" name="produção Dezembro 20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95" activePane="bottomLeft" state="frozen"/>
      <selection pane="bottomLeft" activeCell="AG141" sqref="AG141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4"/>
      <c r="M2" s="4">
        <v>162.59</v>
      </c>
      <c r="N2" s="4"/>
      <c r="O2" s="4"/>
      <c r="P2" s="4"/>
      <c r="Q2" s="4"/>
      <c r="R2" s="4"/>
      <c r="S2" s="4"/>
      <c r="T2" s="4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4"/>
      <c r="M3" s="4">
        <v>6.19</v>
      </c>
      <c r="N3" s="4"/>
      <c r="O3" s="4"/>
      <c r="P3" s="4"/>
      <c r="Q3" s="4"/>
      <c r="R3" s="4"/>
      <c r="S3" s="4"/>
      <c r="T3" s="4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4"/>
      <c r="M4" s="4">
        <v>47.94</v>
      </c>
      <c r="N4" s="4">
        <v>11.7</v>
      </c>
      <c r="O4" s="4"/>
      <c r="P4" s="4"/>
      <c r="Q4" s="4"/>
      <c r="R4" s="4"/>
      <c r="S4" s="4"/>
      <c r="T4" s="4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4">
        <v>47.5</v>
      </c>
      <c r="M5" s="4"/>
      <c r="N5" s="4"/>
      <c r="O5" s="4"/>
      <c r="P5" s="4"/>
      <c r="Q5" s="4"/>
      <c r="R5" s="4"/>
      <c r="S5" s="4"/>
      <c r="T5" s="4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4"/>
      <c r="M6" s="4">
        <v>105.6</v>
      </c>
      <c r="N6" s="4"/>
      <c r="O6" s="4"/>
      <c r="P6" s="4"/>
      <c r="Q6" s="4"/>
      <c r="R6" s="4"/>
      <c r="S6" s="4"/>
      <c r="T6" s="4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4"/>
      <c r="M7" s="4"/>
      <c r="N7" s="4">
        <v>2.2999999999999998</v>
      </c>
      <c r="O7" s="4"/>
      <c r="P7" s="4"/>
      <c r="Q7" s="4"/>
      <c r="R7" s="4"/>
      <c r="S7" s="4"/>
      <c r="T7" s="4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4"/>
      <c r="M8" s="4">
        <v>66.83</v>
      </c>
      <c r="N8" s="4">
        <v>64.599999999999994</v>
      </c>
      <c r="O8" s="4"/>
      <c r="P8" s="4"/>
      <c r="Q8" s="4"/>
      <c r="R8" s="4"/>
      <c r="S8" s="4"/>
      <c r="T8" s="4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523.63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4">
        <v>217.93</v>
      </c>
      <c r="O10" s="4">
        <v>305.72500000000002</v>
      </c>
      <c r="P10" s="4"/>
      <c r="Q10" s="4"/>
      <c r="R10" s="4"/>
      <c r="S10" s="4"/>
      <c r="T10" s="4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4"/>
      <c r="M12" s="4"/>
      <c r="N12" s="4"/>
      <c r="O12" s="4">
        <v>134.10499999999999</v>
      </c>
      <c r="P12" s="4">
        <v>208.60499999999999</v>
      </c>
      <c r="Q12" s="4"/>
      <c r="R12" s="4"/>
      <c r="S12" s="4"/>
      <c r="T12" s="4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4"/>
      <c r="M13" s="4"/>
      <c r="N13" s="4"/>
      <c r="O13" s="4"/>
      <c r="P13" s="4"/>
      <c r="Q13" s="4"/>
      <c r="R13" s="4"/>
      <c r="S13" s="4"/>
      <c r="T13" s="4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4"/>
      <c r="M14" s="4"/>
      <c r="N14" s="4"/>
      <c r="O14" s="4"/>
      <c r="P14" s="4">
        <v>231.85</v>
      </c>
      <c r="Q14" s="4"/>
      <c r="R14" s="4"/>
      <c r="S14" s="4"/>
      <c r="T14" s="4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4"/>
      <c r="M15" s="4"/>
      <c r="N15" s="4"/>
      <c r="O15" s="4"/>
      <c r="P15" s="4">
        <v>4.0599999999999996</v>
      </c>
      <c r="Q15" s="4"/>
      <c r="R15" s="4"/>
      <c r="S15" s="4"/>
      <c r="T15" s="4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4"/>
      <c r="M16" s="4"/>
      <c r="N16" s="4"/>
      <c r="O16" s="4"/>
      <c r="P16" s="4">
        <v>132.27000000000001</v>
      </c>
      <c r="Q16" s="4">
        <v>235.44</v>
      </c>
      <c r="R16" s="4"/>
      <c r="S16" s="4"/>
      <c r="T16" s="4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4"/>
      <c r="M17" s="4"/>
      <c r="N17" s="4"/>
      <c r="O17" s="4"/>
      <c r="P17" s="4"/>
      <c r="Q17" s="4">
        <v>154.93</v>
      </c>
      <c r="R17" s="4"/>
      <c r="S17" s="4"/>
      <c r="T17" s="4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4"/>
      <c r="M19" s="4"/>
      <c r="N19" s="4"/>
      <c r="O19" s="4"/>
      <c r="P19" s="4">
        <v>242.97</v>
      </c>
      <c r="Q19" s="4">
        <v>148.49</v>
      </c>
      <c r="R19" s="4"/>
      <c r="S19" s="4"/>
      <c r="T19" s="4">
        <v>54</v>
      </c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</row>
    <row r="27" spans="2:33" x14ac:dyDescent="0.3">
      <c r="B27" t="s">
        <v>26</v>
      </c>
      <c r="C27">
        <v>12</v>
      </c>
      <c r="D27" t="s">
        <v>7</v>
      </c>
      <c r="E27">
        <v>636</v>
      </c>
    </row>
    <row r="28" spans="2:33" x14ac:dyDescent="0.3">
      <c r="B28" t="s">
        <v>27</v>
      </c>
      <c r="C28">
        <v>12</v>
      </c>
      <c r="D28" t="s">
        <v>6</v>
      </c>
      <c r="E28">
        <v>20</v>
      </c>
    </row>
    <row r="29" spans="2:33" x14ac:dyDescent="0.3">
      <c r="B29" t="s">
        <v>27</v>
      </c>
      <c r="C29">
        <v>12</v>
      </c>
      <c r="D29" t="s">
        <v>7</v>
      </c>
    </row>
    <row r="30" spans="2:33" x14ac:dyDescent="0.3">
      <c r="B30" t="s">
        <v>28</v>
      </c>
      <c r="C30">
        <v>12</v>
      </c>
      <c r="D30" t="s">
        <v>6</v>
      </c>
    </row>
    <row r="31" spans="2:33" x14ac:dyDescent="0.3">
      <c r="B31" t="s">
        <v>28</v>
      </c>
      <c r="C31">
        <v>12</v>
      </c>
      <c r="D31" t="s">
        <v>7</v>
      </c>
      <c r="E31">
        <v>110</v>
      </c>
    </row>
    <row r="32" spans="2:33" x14ac:dyDescent="0.3">
      <c r="B32" t="s">
        <v>29</v>
      </c>
      <c r="C32">
        <v>12</v>
      </c>
      <c r="D32" t="s">
        <v>6</v>
      </c>
    </row>
    <row r="33" spans="2:9" x14ac:dyDescent="0.3">
      <c r="B33" t="s">
        <v>29</v>
      </c>
      <c r="C33">
        <v>12</v>
      </c>
      <c r="D33" t="s">
        <v>7</v>
      </c>
      <c r="E33">
        <v>55</v>
      </c>
    </row>
    <row r="34" spans="2:9" x14ac:dyDescent="0.3">
      <c r="B34" t="s">
        <v>30</v>
      </c>
      <c r="C34">
        <v>12</v>
      </c>
      <c r="D34" t="s">
        <v>6</v>
      </c>
    </row>
    <row r="35" spans="2:9" x14ac:dyDescent="0.3">
      <c r="B35" t="s">
        <v>30</v>
      </c>
      <c r="C35">
        <v>12</v>
      </c>
      <c r="D35" t="s">
        <v>7</v>
      </c>
      <c r="E35">
        <v>34</v>
      </c>
    </row>
    <row r="36" spans="2:9" x14ac:dyDescent="0.3">
      <c r="B36" t="s">
        <v>31</v>
      </c>
      <c r="C36">
        <v>12</v>
      </c>
      <c r="D36" t="s">
        <v>6</v>
      </c>
    </row>
    <row r="37" spans="2:9" x14ac:dyDescent="0.3">
      <c r="B37" t="s">
        <v>31</v>
      </c>
      <c r="C37">
        <v>12</v>
      </c>
      <c r="D37" t="s">
        <v>7</v>
      </c>
      <c r="E37">
        <v>17</v>
      </c>
    </row>
    <row r="38" spans="2:9" x14ac:dyDescent="0.3">
      <c r="B38" t="s">
        <v>32</v>
      </c>
      <c r="C38">
        <v>13</v>
      </c>
      <c r="D38" t="s">
        <v>6</v>
      </c>
      <c r="I38">
        <v>11130</v>
      </c>
    </row>
    <row r="39" spans="2:9" x14ac:dyDescent="0.3">
      <c r="B39" t="s">
        <v>32</v>
      </c>
      <c r="C39">
        <v>13</v>
      </c>
      <c r="D39" t="s">
        <v>7</v>
      </c>
    </row>
    <row r="40" spans="2:9" x14ac:dyDescent="0.3">
      <c r="B40" t="s">
        <v>33</v>
      </c>
      <c r="C40">
        <v>13</v>
      </c>
      <c r="D40" t="s">
        <v>6</v>
      </c>
      <c r="E40">
        <v>1787.905</v>
      </c>
    </row>
    <row r="41" spans="2:9" x14ac:dyDescent="0.3">
      <c r="B41" t="s">
        <v>33</v>
      </c>
      <c r="C41">
        <v>13</v>
      </c>
      <c r="D41" t="s">
        <v>7</v>
      </c>
    </row>
    <row r="42" spans="2:9" x14ac:dyDescent="0.3">
      <c r="B42" t="s">
        <v>117</v>
      </c>
      <c r="C42">
        <v>13</v>
      </c>
      <c r="D42" t="s">
        <v>6</v>
      </c>
      <c r="E42">
        <v>1583.28</v>
      </c>
    </row>
    <row r="43" spans="2:9" x14ac:dyDescent="0.3">
      <c r="B43" t="s">
        <v>117</v>
      </c>
      <c r="C43">
        <v>13</v>
      </c>
      <c r="D43" t="s">
        <v>7</v>
      </c>
    </row>
    <row r="44" spans="2:9" x14ac:dyDescent="0.3">
      <c r="B44" t="s">
        <v>34</v>
      </c>
      <c r="C44">
        <v>13</v>
      </c>
      <c r="D44" t="s">
        <v>6</v>
      </c>
      <c r="E44">
        <v>699.23500000000001</v>
      </c>
    </row>
    <row r="45" spans="2:9" x14ac:dyDescent="0.3">
      <c r="B45" t="s">
        <v>34</v>
      </c>
      <c r="C45">
        <v>13</v>
      </c>
      <c r="D45" t="s">
        <v>7</v>
      </c>
      <c r="E45">
        <v>166.2</v>
      </c>
    </row>
    <row r="46" spans="2:9" x14ac:dyDescent="0.3">
      <c r="B46" t="s">
        <v>35</v>
      </c>
      <c r="C46">
        <v>13</v>
      </c>
      <c r="D46" t="s">
        <v>6</v>
      </c>
      <c r="E46">
        <v>820.2</v>
      </c>
    </row>
    <row r="47" spans="2:9" x14ac:dyDescent="0.3">
      <c r="B47" t="s">
        <v>35</v>
      </c>
      <c r="C47">
        <v>13</v>
      </c>
      <c r="D47" t="s">
        <v>7</v>
      </c>
      <c r="E47">
        <v>191.4</v>
      </c>
    </row>
    <row r="48" spans="2:9" x14ac:dyDescent="0.3">
      <c r="B48" t="s">
        <v>36</v>
      </c>
      <c r="C48">
        <v>13</v>
      </c>
      <c r="D48" t="s">
        <v>6</v>
      </c>
      <c r="E48">
        <v>165</v>
      </c>
    </row>
    <row r="49" spans="2:33" x14ac:dyDescent="0.3">
      <c r="B49" t="s">
        <v>36</v>
      </c>
      <c r="C49">
        <v>13</v>
      </c>
      <c r="D49" t="s">
        <v>7</v>
      </c>
      <c r="E49">
        <v>43.5</v>
      </c>
    </row>
    <row r="50" spans="2:33" x14ac:dyDescent="0.3">
      <c r="B50" t="s">
        <v>37</v>
      </c>
      <c r="C50">
        <v>13</v>
      </c>
      <c r="D50" t="s">
        <v>6</v>
      </c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4"/>
      <c r="M52" s="4"/>
      <c r="N52" s="4"/>
      <c r="O52" s="4"/>
      <c r="P52" s="4"/>
      <c r="Q52" s="4"/>
      <c r="R52" s="4">
        <v>75</v>
      </c>
      <c r="S52" s="4">
        <v>325</v>
      </c>
      <c r="T52" s="4"/>
      <c r="U52" s="4"/>
      <c r="V52" s="4"/>
      <c r="W52" s="4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4"/>
      <c r="M54" s="4"/>
      <c r="N54" s="4"/>
      <c r="O54" s="4"/>
      <c r="P54" s="4"/>
      <c r="Q54" s="4"/>
      <c r="R54" s="4"/>
      <c r="S54" s="4"/>
      <c r="T54" s="4">
        <v>35</v>
      </c>
      <c r="U54" s="4">
        <v>122.7</v>
      </c>
      <c r="V54" s="4"/>
      <c r="W54" s="4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4"/>
      <c r="M56" s="4"/>
      <c r="N56" s="4"/>
      <c r="O56" s="4"/>
      <c r="P56" s="4"/>
      <c r="Q56" s="4"/>
      <c r="R56" s="4"/>
      <c r="S56" s="4">
        <v>220</v>
      </c>
      <c r="T56" s="4">
        <v>121.715</v>
      </c>
      <c r="U56" s="4"/>
      <c r="V56" s="4"/>
      <c r="W56" s="4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4"/>
      <c r="M57" s="4"/>
      <c r="N57" s="4"/>
      <c r="O57" s="4"/>
      <c r="P57" s="4"/>
      <c r="Q57" s="4"/>
      <c r="R57" s="4"/>
      <c r="S57" s="4"/>
      <c r="T57" s="4">
        <v>13.17</v>
      </c>
      <c r="U57" s="4"/>
      <c r="V57" s="4"/>
      <c r="W57" s="4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4"/>
      <c r="M58" s="4"/>
      <c r="N58" s="4"/>
      <c r="O58" s="4"/>
      <c r="P58" s="4"/>
      <c r="Q58" s="4"/>
      <c r="R58" s="4"/>
      <c r="S58" s="4"/>
      <c r="T58" s="4">
        <v>43.015000000000001</v>
      </c>
      <c r="U58" s="4"/>
      <c r="V58" s="4"/>
      <c r="W58" s="4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4"/>
      <c r="M59" s="4"/>
      <c r="N59" s="4"/>
      <c r="O59" s="4"/>
      <c r="P59" s="4"/>
      <c r="Q59" s="4"/>
      <c r="R59" s="4"/>
      <c r="S59" s="4">
        <v>51.05</v>
      </c>
      <c r="T59" s="4"/>
      <c r="U59" s="4"/>
      <c r="V59" s="4"/>
      <c r="W59" s="4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4"/>
      <c r="M60" s="4"/>
      <c r="N60" s="4"/>
      <c r="O60" s="4"/>
      <c r="P60" s="4"/>
      <c r="Q60" s="4">
        <v>288.26</v>
      </c>
      <c r="R60" s="4"/>
      <c r="S60" s="4"/>
      <c r="T60" s="4"/>
      <c r="U60" s="4"/>
      <c r="V60" s="4"/>
      <c r="W60" s="4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4"/>
      <c r="M61" s="4"/>
      <c r="N61" s="4"/>
      <c r="O61" s="4"/>
      <c r="P61" s="4"/>
      <c r="Q61" s="4">
        <v>32.85</v>
      </c>
      <c r="R61" s="4"/>
      <c r="S61" s="4"/>
      <c r="T61" s="4"/>
      <c r="U61" s="4"/>
      <c r="V61" s="4"/>
      <c r="W61" s="4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4"/>
      <c r="M62" s="4"/>
      <c r="N62" s="4"/>
      <c r="O62" s="4"/>
      <c r="P62" s="4"/>
      <c r="Q62" s="4"/>
      <c r="R62" s="4">
        <v>223.29</v>
      </c>
      <c r="S62" s="4"/>
      <c r="T62" s="4"/>
      <c r="U62" s="4"/>
      <c r="V62" s="4"/>
      <c r="W62" s="4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4"/>
      <c r="M63" s="4"/>
      <c r="N63" s="4"/>
      <c r="O63" s="4"/>
      <c r="P63" s="4"/>
      <c r="Q63" s="4">
        <v>26.66</v>
      </c>
      <c r="R63" s="4"/>
      <c r="S63" s="4"/>
      <c r="T63" s="4"/>
      <c r="U63" s="4"/>
      <c r="V63" s="4"/>
      <c r="W63" s="4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4"/>
      <c r="M64" s="4"/>
      <c r="N64" s="4"/>
      <c r="O64" s="4"/>
      <c r="P64" s="4"/>
      <c r="Q64" s="4"/>
      <c r="R64" s="4"/>
      <c r="S64" s="4"/>
      <c r="T64" s="4">
        <v>99.9</v>
      </c>
      <c r="U64" s="4"/>
      <c r="V64" s="4"/>
      <c r="W64" s="4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4"/>
      <c r="M65" s="4"/>
      <c r="N65" s="4"/>
      <c r="O65" s="4"/>
      <c r="P65" s="4"/>
      <c r="Q65" s="4">
        <v>24</v>
      </c>
      <c r="R65" s="4"/>
      <c r="S65" s="4"/>
      <c r="T65" s="4"/>
      <c r="U65" s="4"/>
      <c r="V65" s="4"/>
      <c r="W65" s="4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4"/>
      <c r="M66" s="4"/>
      <c r="N66" s="4">
        <v>68</v>
      </c>
      <c r="O66" s="4">
        <v>621.84500000000003</v>
      </c>
      <c r="P66" s="4">
        <v>354.52499999999998</v>
      </c>
      <c r="Q66" s="4">
        <v>67.900000000000006</v>
      </c>
      <c r="R66" s="4">
        <v>117.68</v>
      </c>
      <c r="S66" s="4"/>
      <c r="T66" s="4"/>
      <c r="U66" s="4"/>
      <c r="V66" s="4"/>
      <c r="W66" s="4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4"/>
      <c r="M68" s="4"/>
      <c r="N68" s="4"/>
      <c r="O68" s="4"/>
      <c r="P68" s="4">
        <v>328.75</v>
      </c>
      <c r="Q68" s="4"/>
      <c r="R68" s="4"/>
      <c r="S68" s="4"/>
      <c r="T68" s="4"/>
      <c r="U68" s="4"/>
      <c r="V68" s="4"/>
      <c r="W68" s="4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4"/>
      <c r="M70" s="4"/>
      <c r="N70" s="4"/>
      <c r="O70" s="4"/>
      <c r="P70" s="4">
        <v>247.93</v>
      </c>
      <c r="Q70" s="4">
        <v>136.74</v>
      </c>
      <c r="R70" s="4"/>
      <c r="S70" s="4"/>
      <c r="T70" s="4"/>
      <c r="U70" s="4"/>
      <c r="V70" s="4"/>
      <c r="W70" s="4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4"/>
      <c r="M71" s="4"/>
      <c r="N71" s="4"/>
      <c r="O71" s="4"/>
      <c r="P71" s="4"/>
      <c r="Q71" s="4">
        <v>20.32</v>
      </c>
      <c r="R71" s="4"/>
      <c r="S71" s="4"/>
      <c r="T71" s="4"/>
      <c r="U71" s="4"/>
      <c r="V71" s="4"/>
      <c r="W71" s="4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485.52</v>
      </c>
      <c r="I72">
        <v>1801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>
        <v>485.52</v>
      </c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>
        <f>6.22+4.51</f>
        <v>10.73</v>
      </c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>
        <v>545.34</v>
      </c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>
        <v>12.02</v>
      </c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T76" s="4"/>
      <c r="U76" s="4">
        <v>384.37</v>
      </c>
      <c r="V76" s="4"/>
      <c r="W76" s="4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T77" s="4"/>
      <c r="U77" s="4">
        <v>23.8</v>
      </c>
      <c r="V77" s="4"/>
      <c r="W77" s="4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T78" s="4"/>
      <c r="U78" s="4"/>
      <c r="V78" s="4">
        <v>20.95</v>
      </c>
      <c r="W78" s="4"/>
      <c r="X78" s="4">
        <v>70.260000000000005</v>
      </c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T79" s="4"/>
      <c r="U79" s="4"/>
      <c r="V79" s="4">
        <v>8.06</v>
      </c>
      <c r="W79" s="4"/>
      <c r="X79">
        <v>2</v>
      </c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T80" s="4"/>
      <c r="U80" s="4"/>
      <c r="V80" s="4">
        <f>230.02-55.56</f>
        <v>174.46</v>
      </c>
      <c r="W80" s="4">
        <v>56.26</v>
      </c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T81" s="4"/>
      <c r="U81" s="4"/>
      <c r="V81" s="4"/>
      <c r="W81" s="4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T82" s="4"/>
      <c r="U82" s="4"/>
      <c r="V82" s="4">
        <v>35.5</v>
      </c>
      <c r="W82" s="4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T83" s="4"/>
      <c r="U83" s="4"/>
      <c r="V83" s="4"/>
      <c r="W83" s="4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T84" s="4"/>
      <c r="U84" s="4"/>
      <c r="V84" s="4">
        <v>36.979999999999997</v>
      </c>
      <c r="W84" s="4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T85" s="4"/>
      <c r="U85" s="4"/>
      <c r="V85" s="4"/>
      <c r="W85" s="4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T86" s="4"/>
      <c r="U86" s="4"/>
      <c r="V86" s="4">
        <v>39.04</v>
      </c>
      <c r="W86" s="4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T87" s="4"/>
      <c r="U87" s="4"/>
      <c r="V87" s="4"/>
      <c r="W87" s="4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T88" s="4"/>
      <c r="U88" s="4"/>
      <c r="V88" s="4">
        <v>34.42</v>
      </c>
      <c r="W88" s="4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T89" s="4"/>
      <c r="U89" s="4"/>
      <c r="V89" s="4"/>
      <c r="W89" s="4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T90" s="4"/>
      <c r="U90" s="4"/>
      <c r="V90" s="4">
        <v>34.119999999999997</v>
      </c>
      <c r="W90" s="4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T91" s="4"/>
      <c r="U91" s="4"/>
      <c r="V91" s="4"/>
      <c r="W91" s="4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T92" s="4"/>
      <c r="U92" s="4"/>
      <c r="V92" s="4">
        <v>32.11</v>
      </c>
      <c r="W92" s="4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T93" s="4"/>
      <c r="U93" s="4"/>
      <c r="V93" s="4"/>
      <c r="W93" s="4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T94" s="4"/>
      <c r="U94" s="4"/>
      <c r="V94" s="4">
        <v>35.9</v>
      </c>
      <c r="W94" s="4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T95" s="4"/>
      <c r="U95" s="4"/>
      <c r="V95" s="4"/>
      <c r="W95" s="4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T96" s="4"/>
      <c r="U96" s="4"/>
      <c r="V96" s="4">
        <v>32.19</v>
      </c>
      <c r="W96" s="4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T97" s="4"/>
      <c r="U97" s="4"/>
      <c r="V97" s="4"/>
      <c r="W97" s="4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T98" s="4"/>
      <c r="U98" s="4"/>
      <c r="V98" s="4">
        <v>37.72</v>
      </c>
      <c r="W98" s="4">
        <v>38.880000000000003</v>
      </c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T99" s="4"/>
      <c r="U99" s="4"/>
      <c r="V99" s="4"/>
      <c r="W99" s="4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T100" s="4"/>
      <c r="U100" s="4"/>
      <c r="V100" s="4">
        <v>36.840000000000003</v>
      </c>
      <c r="W100" s="4">
        <v>47.78</v>
      </c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T101" s="4"/>
      <c r="U101" s="4"/>
      <c r="V101" s="4"/>
      <c r="W101" s="4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T102" s="4"/>
      <c r="U102" s="4"/>
      <c r="V102" s="4">
        <v>35.5</v>
      </c>
      <c r="W102" s="4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T103" s="4"/>
      <c r="U103" s="4"/>
      <c r="V103" s="4"/>
      <c r="W103" s="4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T104" s="4"/>
      <c r="U104" s="4"/>
      <c r="V104" s="4">
        <v>34.380000000000003</v>
      </c>
      <c r="W104" s="4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T105" s="4"/>
      <c r="U105" s="4"/>
      <c r="V105" s="4"/>
      <c r="W105" s="4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T106" s="4"/>
      <c r="U106" s="4"/>
      <c r="V106" s="4">
        <v>43.97</v>
      </c>
      <c r="W106" s="4">
        <v>123.22</v>
      </c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T107" s="4"/>
      <c r="U107" s="4"/>
      <c r="V107" s="4"/>
      <c r="W107" s="4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T108" s="4"/>
      <c r="U108" s="4"/>
      <c r="V108" s="4"/>
      <c r="W108" s="4">
        <v>189</v>
      </c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W109">
        <v>70.930000000000007</v>
      </c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V110">
        <v>329.56</v>
      </c>
      <c r="W110" s="4">
        <v>34.29</v>
      </c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X111">
        <v>19.84</v>
      </c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V112">
        <v>32.99</v>
      </c>
      <c r="W112">
        <v>56.06</v>
      </c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V114">
        <v>35.479999999999997</v>
      </c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V116">
        <v>129.66999999999999</v>
      </c>
      <c r="W116">
        <v>76.5</v>
      </c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V118">
        <v>68.16</v>
      </c>
      <c r="W118">
        <v>29</v>
      </c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V120">
        <v>35.42</v>
      </c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V122">
        <v>34.409999999999997</v>
      </c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V124">
        <v>47.44</v>
      </c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V126">
        <v>67.05</v>
      </c>
      <c r="X126">
        <v>188.81</v>
      </c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S128">
        <v>162.16499999999999</v>
      </c>
      <c r="T128">
        <v>283.32499999999999</v>
      </c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T129">
        <v>75.599999999999994</v>
      </c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T130">
        <v>629.14</v>
      </c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T131">
        <v>37.89</v>
      </c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T132">
        <v>108.02</v>
      </c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T133">
        <v>1.55</v>
      </c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R134">
        <v>296.60000000000002</v>
      </c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R136">
        <v>102.5</v>
      </c>
      <c r="U136">
        <v>28.8</v>
      </c>
      <c r="V136">
        <v>73</v>
      </c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R137">
        <v>16</v>
      </c>
      <c r="V137">
        <v>32</v>
      </c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X138" s="6">
        <v>220.59</v>
      </c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</row>
    <row r="141" spans="2:33" x14ac:dyDescent="0.3">
      <c r="B141" t="s">
        <v>39</v>
      </c>
      <c r="C141">
        <v>60</v>
      </c>
      <c r="D141" t="s">
        <v>7</v>
      </c>
      <c r="E141">
        <v>415.5</v>
      </c>
    </row>
    <row r="142" spans="2:33" x14ac:dyDescent="0.3">
      <c r="B142" t="s">
        <v>40</v>
      </c>
      <c r="C142">
        <v>60</v>
      </c>
      <c r="D142" t="s">
        <v>6</v>
      </c>
      <c r="E142">
        <v>28.85</v>
      </c>
    </row>
    <row r="143" spans="2:33" x14ac:dyDescent="0.3">
      <c r="B143" t="s">
        <v>40</v>
      </c>
      <c r="C143">
        <v>60</v>
      </c>
      <c r="D143" t="s">
        <v>7</v>
      </c>
      <c r="E143">
        <v>138.24</v>
      </c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U145">
        <v>9</v>
      </c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</row>
    <row r="147" spans="2:33" x14ac:dyDescent="0.3">
      <c r="B147" t="s">
        <v>41</v>
      </c>
      <c r="C147">
        <v>61</v>
      </c>
      <c r="D147" t="s">
        <v>7</v>
      </c>
      <c r="E147">
        <v>109.8</v>
      </c>
    </row>
    <row r="148" spans="2:33" x14ac:dyDescent="0.3">
      <c r="B148" t="s">
        <v>42</v>
      </c>
      <c r="C148">
        <v>26</v>
      </c>
      <c r="D148" t="s">
        <v>6</v>
      </c>
    </row>
    <row r="149" spans="2:33" x14ac:dyDescent="0.3">
      <c r="B149" t="s">
        <v>42</v>
      </c>
      <c r="C149">
        <v>26</v>
      </c>
      <c r="D149" t="s">
        <v>7</v>
      </c>
      <c r="E149">
        <v>220.48</v>
      </c>
    </row>
    <row r="150" spans="2:33" x14ac:dyDescent="0.3">
      <c r="B150" t="s">
        <v>43</v>
      </c>
      <c r="C150">
        <v>62</v>
      </c>
      <c r="D150" t="s">
        <v>6</v>
      </c>
      <c r="I150">
        <v>32</v>
      </c>
    </row>
    <row r="151" spans="2:33" x14ac:dyDescent="0.3">
      <c r="B151" t="s">
        <v>43</v>
      </c>
      <c r="C151">
        <v>62</v>
      </c>
      <c r="D151" t="s">
        <v>7</v>
      </c>
      <c r="E151">
        <v>59.5</v>
      </c>
    </row>
    <row r="152" spans="2:33" x14ac:dyDescent="0.3">
      <c r="B152" t="s">
        <v>44</v>
      </c>
      <c r="C152">
        <v>63</v>
      </c>
      <c r="D152" t="s">
        <v>6</v>
      </c>
      <c r="I152">
        <v>1180</v>
      </c>
    </row>
    <row r="153" spans="2:33" x14ac:dyDescent="0.3">
      <c r="B153" t="s">
        <v>44</v>
      </c>
      <c r="C153">
        <v>63</v>
      </c>
      <c r="D153" t="s">
        <v>7</v>
      </c>
      <c r="E153">
        <v>382.5</v>
      </c>
    </row>
    <row r="154" spans="2:33" x14ac:dyDescent="0.3">
      <c r="B154" t="s">
        <v>45</v>
      </c>
      <c r="C154">
        <v>63</v>
      </c>
      <c r="D154" t="s">
        <v>6</v>
      </c>
      <c r="E154">
        <v>418.5</v>
      </c>
    </row>
    <row r="155" spans="2:33" x14ac:dyDescent="0.3">
      <c r="B155" t="s">
        <v>45</v>
      </c>
      <c r="C155">
        <v>63</v>
      </c>
      <c r="D155" t="s">
        <v>7</v>
      </c>
      <c r="E155">
        <v>441.5</v>
      </c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U156">
        <f>528.5-68.36</f>
        <v>460.14</v>
      </c>
      <c r="V156">
        <f>52.4-0.15</f>
        <v>52.25</v>
      </c>
      <c r="X156">
        <v>70.239999999999995</v>
      </c>
      <c r="AG156" t="s">
        <v>115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U157">
        <v>42.7</v>
      </c>
      <c r="W157">
        <v>39.799999999999997</v>
      </c>
      <c r="X157">
        <v>8.81</v>
      </c>
      <c r="AG157" t="s">
        <v>115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U158">
        <f>67.2+51</f>
        <v>118.2</v>
      </c>
      <c r="V158">
        <v>256.5</v>
      </c>
      <c r="AG158" t="s">
        <v>115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W159">
        <v>65.599999999999994</v>
      </c>
      <c r="AG159" t="s">
        <v>115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V160">
        <v>207.4</v>
      </c>
      <c r="AG160" t="s">
        <v>115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W161">
        <v>2</v>
      </c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</row>
    <row r="163" spans="2:33" x14ac:dyDescent="0.3">
      <c r="B163" t="s">
        <v>46</v>
      </c>
      <c r="C163">
        <v>67</v>
      </c>
      <c r="D163" t="s">
        <v>7</v>
      </c>
      <c r="E163">
        <v>894.97</v>
      </c>
    </row>
    <row r="164" spans="2:33" x14ac:dyDescent="0.3">
      <c r="B164" t="s">
        <v>47</v>
      </c>
      <c r="C164">
        <v>68</v>
      </c>
      <c r="D164" t="s">
        <v>6</v>
      </c>
    </row>
    <row r="165" spans="2:33" x14ac:dyDescent="0.3">
      <c r="B165" t="s">
        <v>47</v>
      </c>
      <c r="C165">
        <v>68</v>
      </c>
      <c r="D165" t="s">
        <v>7</v>
      </c>
      <c r="E165">
        <v>747</v>
      </c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X166">
        <v>76.400000000000006</v>
      </c>
      <c r="AG166" t="s">
        <v>115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AG167" t="s">
        <v>115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W168">
        <v>81.8</v>
      </c>
      <c r="X168">
        <f>42+158.17+61.95+0.21</f>
        <v>262.33</v>
      </c>
      <c r="AG168" t="s">
        <v>115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X169">
        <f>11.35+17.44+12.11</f>
        <v>40.9</v>
      </c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</row>
    <row r="171" spans="2:33" x14ac:dyDescent="0.3">
      <c r="B171" t="s">
        <v>49</v>
      </c>
      <c r="C171">
        <v>71</v>
      </c>
      <c r="D171" t="s">
        <v>7</v>
      </c>
      <c r="E171">
        <v>28</v>
      </c>
    </row>
    <row r="172" spans="2:33" x14ac:dyDescent="0.3">
      <c r="B172" t="s">
        <v>50</v>
      </c>
      <c r="C172">
        <v>71</v>
      </c>
      <c r="D172" t="s">
        <v>6</v>
      </c>
    </row>
    <row r="173" spans="2:33" x14ac:dyDescent="0.3">
      <c r="B173" t="s">
        <v>50</v>
      </c>
      <c r="C173">
        <v>71</v>
      </c>
      <c r="D173" t="s">
        <v>7</v>
      </c>
      <c r="E173">
        <v>125</v>
      </c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</row>
    <row r="175" spans="2:33" x14ac:dyDescent="0.3">
      <c r="B175" t="s">
        <v>51</v>
      </c>
      <c r="C175">
        <v>73</v>
      </c>
      <c r="D175" t="s">
        <v>7</v>
      </c>
      <c r="E175">
        <v>15.2</v>
      </c>
    </row>
    <row r="176" spans="2:33" x14ac:dyDescent="0.3">
      <c r="B176" t="s">
        <v>95</v>
      </c>
      <c r="C176">
        <v>74</v>
      </c>
      <c r="D176" t="s">
        <v>6</v>
      </c>
    </row>
    <row r="177" spans="2:33" x14ac:dyDescent="0.3">
      <c r="B177" t="s">
        <v>95</v>
      </c>
      <c r="C177">
        <v>74</v>
      </c>
      <c r="D177" t="s">
        <v>7</v>
      </c>
      <c r="E177">
        <v>1021.03</v>
      </c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W178">
        <v>78.180000000000007</v>
      </c>
      <c r="X178">
        <f>18.75+12+36.95</f>
        <v>67.7</v>
      </c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X179">
        <f>34.75+6.11+14.97</f>
        <v>55.83</v>
      </c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</row>
    <row r="181" spans="2:33" x14ac:dyDescent="0.3">
      <c r="B181" t="s">
        <v>53</v>
      </c>
      <c r="C181">
        <v>75</v>
      </c>
      <c r="D181" t="s">
        <v>7</v>
      </c>
      <c r="E181">
        <v>226.5</v>
      </c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</row>
    <row r="183" spans="2:33" x14ac:dyDescent="0.3">
      <c r="B183" t="s">
        <v>54</v>
      </c>
      <c r="C183">
        <v>75</v>
      </c>
      <c r="D183" t="s">
        <v>7</v>
      </c>
      <c r="E183">
        <v>244.5</v>
      </c>
    </row>
    <row r="184" spans="2:33" x14ac:dyDescent="0.3">
      <c r="B184" t="s">
        <v>55</v>
      </c>
      <c r="C184">
        <v>75</v>
      </c>
      <c r="D184" t="s">
        <v>6</v>
      </c>
    </row>
    <row r="185" spans="2:33" x14ac:dyDescent="0.3">
      <c r="B185" t="s">
        <v>55</v>
      </c>
      <c r="C185">
        <v>75</v>
      </c>
      <c r="D185" t="s">
        <v>7</v>
      </c>
      <c r="E185">
        <v>338.5</v>
      </c>
    </row>
    <row r="186" spans="2:33" x14ac:dyDescent="0.3">
      <c r="B186" t="s">
        <v>56</v>
      </c>
      <c r="C186">
        <v>75</v>
      </c>
      <c r="D186" t="s">
        <v>6</v>
      </c>
    </row>
    <row r="187" spans="2:33" x14ac:dyDescent="0.3">
      <c r="B187" t="s">
        <v>56</v>
      </c>
      <c r="C187">
        <v>75</v>
      </c>
      <c r="D187" t="s">
        <v>7</v>
      </c>
      <c r="E187">
        <v>238</v>
      </c>
    </row>
    <row r="188" spans="2:33" x14ac:dyDescent="0.3">
      <c r="B188" t="s">
        <v>57</v>
      </c>
      <c r="C188">
        <v>75</v>
      </c>
      <c r="D188" t="s">
        <v>6</v>
      </c>
    </row>
    <row r="189" spans="2:33" x14ac:dyDescent="0.3">
      <c r="B189" t="s">
        <v>57</v>
      </c>
      <c r="C189">
        <v>75</v>
      </c>
      <c r="D189" t="s">
        <v>7</v>
      </c>
      <c r="E189">
        <v>69</v>
      </c>
    </row>
    <row r="190" spans="2:33" x14ac:dyDescent="0.3">
      <c r="B190" t="s">
        <v>58</v>
      </c>
      <c r="C190">
        <v>75</v>
      </c>
      <c r="D190" t="s">
        <v>6</v>
      </c>
    </row>
    <row r="191" spans="2:33" x14ac:dyDescent="0.3">
      <c r="B191" t="s">
        <v>58</v>
      </c>
      <c r="C191">
        <v>75</v>
      </c>
      <c r="D191" t="s">
        <v>7</v>
      </c>
      <c r="E191">
        <v>140</v>
      </c>
    </row>
    <row r="192" spans="2:33" x14ac:dyDescent="0.3">
      <c r="B192" t="s">
        <v>118</v>
      </c>
      <c r="C192">
        <v>75</v>
      </c>
      <c r="D192" t="s">
        <v>6</v>
      </c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</row>
    <row r="194" spans="2:33" x14ac:dyDescent="0.3">
      <c r="B194" t="s">
        <v>94</v>
      </c>
      <c r="C194">
        <v>75</v>
      </c>
      <c r="D194" t="s">
        <v>6</v>
      </c>
    </row>
    <row r="195" spans="2:33" x14ac:dyDescent="0.3">
      <c r="B195" t="s">
        <v>94</v>
      </c>
      <c r="C195">
        <v>75</v>
      </c>
      <c r="D195" t="s">
        <v>7</v>
      </c>
      <c r="E195">
        <v>168</v>
      </c>
    </row>
    <row r="196" spans="2:33" x14ac:dyDescent="0.3">
      <c r="B196" t="s">
        <v>59</v>
      </c>
      <c r="C196">
        <v>75</v>
      </c>
      <c r="D196" t="s">
        <v>6</v>
      </c>
    </row>
    <row r="197" spans="2:33" x14ac:dyDescent="0.3">
      <c r="B197" t="s">
        <v>59</v>
      </c>
      <c r="C197">
        <v>75</v>
      </c>
      <c r="D197" t="s">
        <v>7</v>
      </c>
      <c r="E197">
        <v>180</v>
      </c>
    </row>
    <row r="198" spans="2:33" x14ac:dyDescent="0.3">
      <c r="B198" t="s">
        <v>60</v>
      </c>
      <c r="C198">
        <v>76</v>
      </c>
      <c r="D198" t="s">
        <v>6</v>
      </c>
      <c r="I198">
        <v>182</v>
      </c>
    </row>
    <row r="199" spans="2:33" x14ac:dyDescent="0.3">
      <c r="B199" t="s">
        <v>60</v>
      </c>
      <c r="C199">
        <v>76</v>
      </c>
      <c r="D199" t="s">
        <v>7</v>
      </c>
      <c r="E199">
        <v>238.52</v>
      </c>
    </row>
    <row r="200" spans="2:33" x14ac:dyDescent="0.3">
      <c r="B200" t="s">
        <v>61</v>
      </c>
      <c r="C200">
        <v>76</v>
      </c>
      <c r="D200" t="s">
        <v>6</v>
      </c>
    </row>
    <row r="201" spans="2:33" x14ac:dyDescent="0.3">
      <c r="B201" t="s">
        <v>61</v>
      </c>
      <c r="C201">
        <v>76</v>
      </c>
      <c r="D201" t="s">
        <v>7</v>
      </c>
      <c r="E201">
        <v>229.5</v>
      </c>
    </row>
    <row r="202" spans="2:33" x14ac:dyDescent="0.3">
      <c r="B202" t="s">
        <v>62</v>
      </c>
      <c r="C202">
        <v>76</v>
      </c>
      <c r="D202" t="s">
        <v>6</v>
      </c>
    </row>
    <row r="203" spans="2:33" x14ac:dyDescent="0.3">
      <c r="B203" t="s">
        <v>62</v>
      </c>
      <c r="C203">
        <v>76</v>
      </c>
      <c r="D203" t="s">
        <v>7</v>
      </c>
      <c r="E203">
        <v>1566.27</v>
      </c>
    </row>
    <row r="204" spans="2:33" x14ac:dyDescent="0.3">
      <c r="B204" t="s">
        <v>93</v>
      </c>
      <c r="C204">
        <v>76</v>
      </c>
      <c r="D204" t="s">
        <v>6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V206">
        <v>34.57</v>
      </c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S208">
        <v>300.68</v>
      </c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Q209">
        <v>127.69</v>
      </c>
      <c r="W209">
        <v>42</v>
      </c>
      <c r="X209">
        <v>167.77</v>
      </c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</row>
    <row r="214" spans="2:33" x14ac:dyDescent="0.3">
      <c r="B214" t="s">
        <v>64</v>
      </c>
      <c r="C214" s="1" t="s">
        <v>92</v>
      </c>
      <c r="D214" t="s">
        <v>6</v>
      </c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</row>
    <row r="216" spans="2:33" x14ac:dyDescent="0.3">
      <c r="B216" t="s">
        <v>96</v>
      </c>
      <c r="C216" s="1">
        <v>12</v>
      </c>
      <c r="D216" t="s">
        <v>6</v>
      </c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2026-05-05T12:39:42Z</dcterms:modified>
</cp:coreProperties>
</file>