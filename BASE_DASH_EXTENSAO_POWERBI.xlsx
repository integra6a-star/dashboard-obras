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77884FDC-C6A3-407C-BDD4-AF07C4518E02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BASE_DASH_EXTENSAO!$AG$1:$AG$218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5" i="1" l="1"/>
  <c r="Y195" i="1"/>
  <c r="Y54" i="1"/>
  <c r="V161" i="1"/>
  <c r="U161" i="1"/>
  <c r="V159" i="1"/>
  <c r="U159" i="1"/>
  <c r="V85" i="1"/>
  <c r="AL157" i="1"/>
  <c r="AL160" i="1" s="1"/>
  <c r="P27" i="2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X182" i="1"/>
  <c r="X181" i="1"/>
  <c r="X171" i="1"/>
  <c r="Y162" i="1"/>
  <c r="X76" i="1"/>
  <c r="E70" i="1"/>
  <c r="E69" i="1"/>
  <c r="P19" i="1"/>
  <c r="F19" i="1"/>
  <c r="P16" i="1"/>
  <c r="F16" i="1"/>
  <c r="P14" i="1"/>
  <c r="F14" i="1" s="1"/>
</calcChain>
</file>

<file path=xl/sharedStrings.xml><?xml version="1.0" encoding="utf-8"?>
<sst xmlns="http://schemas.openxmlformats.org/spreadsheetml/2006/main" count="651" uniqueCount="125">
  <si>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</si>
  <si>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</si>
  <si>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</si>
  <si>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</si>
  <si>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</si>
  <si>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</si>
  <si>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</si>
  <si>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</si>
  <si>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</si>
  <si>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</si>
  <si>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</si>
  <si>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</si>
  <si>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</si>
  <si>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</si>
  <si>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</si>
  <si>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</si>
  <si>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</si>
  <si>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</si>
  <si>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</si>
  <si>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</si>
  <si>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</si>
  <si>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</si>
  <si>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</si>
  <si>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</si>
  <si>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</si>
  <si>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</si>
  <si>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</si>
  <si>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</si>
  <si>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</si>
  <si>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</si>
  <si>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</si>
  <si>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</si>
  <si>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</si>
  <si>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</si>
  <si>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</si>
  <si>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</si>
  <si>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</si>
  <si>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</si>
  <si>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</si>
  <si>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</si>
  <si>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</si>
  <si>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</si>
  <si>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</si>
  <si>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</si>
  <si>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</si>
  <si>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</si>
  <si>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</si>
  <si>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</si>
  <si>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</si>
  <si>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</si>
  <si>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</si>
  <si>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</si>
  <si>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</si>
  <si>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</si>
  <si>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</si>
  <si>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</si>
  <si>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</si>
  <si>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</si>
  <si>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</si>
  <si>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</si>
  <si>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</si>
  <si>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</si>
  <si>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</si>
  <si>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</si>
  <si>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</si>
  <si>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</si>
  <si>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</si>
  <si>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</si>
  <si>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</si>
  <si>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</si>
  <si>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</si>
  <si>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</si>
  <si>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</si>
  <si>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</si>
  <si>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concuido</t>
  </si>
  <si>
    <t>CTS MAR DE CORAL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</si>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</sst>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/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10"/>
    <tableColumn id="22" xr3:uid="{00000000-0010-0000-0000-000016000000}" name="produção Março 2026" dataDxfId="9"/>
    <tableColumn id="23" xr3:uid="{00000000-0010-0000-0000-000017000000}" name="produção Abril 2026" dataDxfId="8"/>
    <tableColumn id="24" xr3:uid="{00000000-0010-0000-0000-000018000000}" name="produção Maio 2026" dataDxfId="7"/>
    <tableColumn id="25" xr3:uid="{00000000-0010-0000-0000-000019000000}" name="produção Junho 2026" dataDxfId="6"/>
    <tableColumn id="26" xr3:uid="{00000000-0010-0000-0000-00001A000000}" name="produção Julho 2026" dataDxfId="5"/>
    <tableColumn id="27" xr3:uid="{00000000-0010-0000-0000-00001B000000}" name="produção Agosto 2026" dataDxfId="4"/>
    <tableColumn id="28" xr3:uid="{00000000-0010-0000-0000-00001C000000}" name="produção Setembro 2026" dataDxfId="3"/>
    <tableColumn id="29" xr3:uid="{00000000-0010-0000-0000-00001D000000}" name="produção Outubro 2026" dataDxfId="2"/>
    <tableColumn id="30" xr3:uid="{00000000-0010-0000-0000-00001E000000}" name="produção Novembro 2026" dataDxfId="1"/>
    <tableColumn id="31" xr3:uid="{00000000-0010-0000-0000-00001F000000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18"/>
  <sheetViews>
    <sheetView tabSelected="1" zoomScale="55" zoomScaleNormal="55" workbookViewId="0">
      <pane ySplit="1" topLeftCell="A2" activePane="bottomLeft" state="frozen"/>
      <selection pane="bottomLeft" activeCell="Z1" sqref="Z1:Z1048576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21" width="7.6640625" customWidth="1"/>
    <col min="22" max="22" width="36" bestFit="1" customWidth="1"/>
    <col min="23" max="23" width="7.6640625" customWidth="1"/>
    <col min="24" max="24" width="9.88671875" customWidth="1"/>
    <col min="25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s="3" t="s">
        <v>33</v>
      </c>
      <c r="C2">
        <v>1</v>
      </c>
      <c r="D2" t="s">
        <v>34</v>
      </c>
      <c r="E2">
        <v>156.30000000000001</v>
      </c>
      <c r="F2" s="3">
        <v>150.44999999999999</v>
      </c>
      <c r="G2">
        <v>10</v>
      </c>
      <c r="L2" s="4"/>
      <c r="M2" s="6">
        <v>150.44999999999999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t="s">
        <v>35</v>
      </c>
    </row>
    <row r="3" spans="1:33" x14ac:dyDescent="0.3">
      <c r="B3" s="3" t="s">
        <v>33</v>
      </c>
      <c r="C3">
        <v>1</v>
      </c>
      <c r="D3" t="s">
        <v>36</v>
      </c>
      <c r="E3">
        <v>37.4</v>
      </c>
      <c r="F3" s="3">
        <v>27</v>
      </c>
      <c r="L3" s="4"/>
      <c r="M3" s="6">
        <v>27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t="s">
        <v>35</v>
      </c>
    </row>
    <row r="4" spans="1:33" x14ac:dyDescent="0.3">
      <c r="B4" s="3" t="s">
        <v>33</v>
      </c>
      <c r="C4">
        <v>2</v>
      </c>
      <c r="D4" t="s">
        <v>34</v>
      </c>
      <c r="F4" s="3">
        <v>59.64</v>
      </c>
      <c r="G4">
        <v>1</v>
      </c>
      <c r="L4" s="4"/>
      <c r="M4" s="6">
        <v>47.94</v>
      </c>
      <c r="N4" s="6">
        <v>11.7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t="s">
        <v>35</v>
      </c>
    </row>
    <row r="5" spans="1:33" x14ac:dyDescent="0.3">
      <c r="B5" s="3" t="s">
        <v>33</v>
      </c>
      <c r="C5">
        <v>2</v>
      </c>
      <c r="D5" t="s">
        <v>36</v>
      </c>
      <c r="E5">
        <v>108.9</v>
      </c>
      <c r="F5" s="3">
        <v>47.5</v>
      </c>
      <c r="L5" s="6">
        <v>47.5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t="s">
        <v>35</v>
      </c>
    </row>
    <row r="6" spans="1:33" x14ac:dyDescent="0.3">
      <c r="B6" s="3" t="s">
        <v>33</v>
      </c>
      <c r="C6">
        <v>3</v>
      </c>
      <c r="D6" t="s">
        <v>34</v>
      </c>
      <c r="F6" s="3">
        <v>105.6</v>
      </c>
      <c r="G6">
        <v>1</v>
      </c>
      <c r="L6" s="4"/>
      <c r="M6" s="6">
        <v>105.6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t="s">
        <v>35</v>
      </c>
    </row>
    <row r="7" spans="1:33" x14ac:dyDescent="0.3">
      <c r="B7" s="3" t="s">
        <v>33</v>
      </c>
      <c r="C7">
        <v>3</v>
      </c>
      <c r="D7" t="s">
        <v>36</v>
      </c>
      <c r="E7">
        <v>112.7</v>
      </c>
      <c r="F7" s="3">
        <v>2.2999999999999998</v>
      </c>
      <c r="L7" s="4"/>
      <c r="M7" s="4"/>
      <c r="N7" s="6">
        <v>2.2999999999999998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t="s">
        <v>35</v>
      </c>
    </row>
    <row r="8" spans="1:33" x14ac:dyDescent="0.3">
      <c r="B8" s="3" t="s">
        <v>33</v>
      </c>
      <c r="C8">
        <v>4</v>
      </c>
      <c r="D8" t="s">
        <v>34</v>
      </c>
      <c r="E8">
        <v>109.9</v>
      </c>
      <c r="F8" s="3">
        <v>131.43</v>
      </c>
      <c r="G8">
        <v>2</v>
      </c>
      <c r="L8" s="4"/>
      <c r="M8" s="6">
        <v>66.83</v>
      </c>
      <c r="N8" s="6">
        <v>64.599999999999994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t="s">
        <v>35</v>
      </c>
    </row>
    <row r="9" spans="1:33" x14ac:dyDescent="0.3">
      <c r="B9" s="3" t="s">
        <v>33</v>
      </c>
      <c r="C9">
        <v>4</v>
      </c>
      <c r="D9" t="s">
        <v>36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t="s">
        <v>35</v>
      </c>
    </row>
    <row r="10" spans="1:33" x14ac:dyDescent="0.3">
      <c r="B10" s="3" t="s">
        <v>37</v>
      </c>
      <c r="C10">
        <v>5</v>
      </c>
      <c r="D10" t="s">
        <v>34</v>
      </c>
      <c r="E10">
        <v>0</v>
      </c>
      <c r="F10" s="3">
        <v>523.65499999999997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6">
        <v>217.93</v>
      </c>
      <c r="O10" s="6">
        <v>305.72500000000002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t="s">
        <v>35</v>
      </c>
    </row>
    <row r="11" spans="1:33" x14ac:dyDescent="0.3">
      <c r="B11" s="3" t="s">
        <v>37</v>
      </c>
      <c r="C11">
        <v>5</v>
      </c>
      <c r="D11" t="s">
        <v>36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t="s">
        <v>35</v>
      </c>
    </row>
    <row r="12" spans="1:33" x14ac:dyDescent="0.3">
      <c r="B12" s="3" t="s">
        <v>37</v>
      </c>
      <c r="C12">
        <v>6</v>
      </c>
      <c r="D12" t="s">
        <v>34</v>
      </c>
      <c r="E12">
        <v>124.2</v>
      </c>
      <c r="F12" s="3">
        <v>342.71</v>
      </c>
      <c r="I12">
        <v>91</v>
      </c>
      <c r="J12">
        <v>595</v>
      </c>
      <c r="L12" s="4"/>
      <c r="M12" s="4"/>
      <c r="N12" s="4"/>
      <c r="O12" s="6">
        <v>134.10499999999999</v>
      </c>
      <c r="P12" s="6">
        <v>208.60499999999999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t="s">
        <v>35</v>
      </c>
    </row>
    <row r="13" spans="1:33" x14ac:dyDescent="0.3">
      <c r="B13" s="3" t="s">
        <v>37</v>
      </c>
      <c r="C13">
        <v>6</v>
      </c>
      <c r="D13" t="s">
        <v>36</v>
      </c>
      <c r="E13">
        <v>83</v>
      </c>
      <c r="F13" s="3">
        <v>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t="s">
        <v>35</v>
      </c>
    </row>
    <row r="14" spans="1:33" x14ac:dyDescent="0.3">
      <c r="B14" s="3" t="s">
        <v>37</v>
      </c>
      <c r="C14">
        <v>7</v>
      </c>
      <c r="D14" t="s">
        <v>34</v>
      </c>
      <c r="E14">
        <v>240.7</v>
      </c>
      <c r="F14" s="3">
        <f>tb_base_dash_extensao[[#This Row],[produção Agosto 2025]]</f>
        <v>159.47499999999999</v>
      </c>
      <c r="I14">
        <v>589</v>
      </c>
      <c r="J14">
        <v>109</v>
      </c>
      <c r="L14" s="4"/>
      <c r="M14" s="4"/>
      <c r="N14" s="4"/>
      <c r="O14" s="4"/>
      <c r="P14" s="6">
        <f>231.85-72.375</f>
        <v>159.47499999999999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t="s">
        <v>35</v>
      </c>
    </row>
    <row r="15" spans="1:33" x14ac:dyDescent="0.3">
      <c r="B15" s="3" t="s">
        <v>37</v>
      </c>
      <c r="C15">
        <v>7</v>
      </c>
      <c r="D15" t="s">
        <v>36</v>
      </c>
      <c r="E15">
        <v>118.5</v>
      </c>
      <c r="F15" s="3">
        <v>4.0599999999999996</v>
      </c>
      <c r="L15" s="4"/>
      <c r="M15" s="4"/>
      <c r="N15" s="4"/>
      <c r="O15" s="4"/>
      <c r="P15" s="6">
        <v>4.0599999999999996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t="s">
        <v>35</v>
      </c>
    </row>
    <row r="16" spans="1:33" x14ac:dyDescent="0.3">
      <c r="B16" s="3" t="s">
        <v>37</v>
      </c>
      <c r="C16">
        <v>8</v>
      </c>
      <c r="D16" t="s">
        <v>34</v>
      </c>
      <c r="E16">
        <v>0</v>
      </c>
      <c r="F16" s="3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4"/>
      <c r="M16" s="4"/>
      <c r="N16" s="4"/>
      <c r="O16" s="4"/>
      <c r="P16" s="6">
        <f>132.27-72.375</f>
        <v>59.89500000000001</v>
      </c>
      <c r="Q16" s="6">
        <v>235.44</v>
      </c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t="s">
        <v>35</v>
      </c>
    </row>
    <row r="17" spans="2:33" x14ac:dyDescent="0.3">
      <c r="B17" s="3" t="s">
        <v>37</v>
      </c>
      <c r="C17">
        <v>8</v>
      </c>
      <c r="D17" t="s">
        <v>36</v>
      </c>
      <c r="E17">
        <v>232.1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t="s">
        <v>35</v>
      </c>
    </row>
    <row r="18" spans="2:33" x14ac:dyDescent="0.3">
      <c r="B18" s="3" t="s">
        <v>37</v>
      </c>
      <c r="C18">
        <v>9</v>
      </c>
      <c r="D18" t="s">
        <v>34</v>
      </c>
      <c r="E18">
        <v>70.5</v>
      </c>
      <c r="F18" s="3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t="s">
        <v>35</v>
      </c>
    </row>
    <row r="19" spans="2:33" x14ac:dyDescent="0.3">
      <c r="B19" s="3" t="s">
        <v>37</v>
      </c>
      <c r="C19">
        <v>9</v>
      </c>
      <c r="D19" t="s">
        <v>36</v>
      </c>
      <c r="E19">
        <v>754</v>
      </c>
      <c r="F19" s="3">
        <f>tb_base_dash_extensao[[#This Row],[produção Agosto 2025]]+tb_base_dash_extensao[[#This Row],[produção Setembro 2025]]+tb_base_dash_extensao[[#This Row],[produção Dezembro 2025]]</f>
        <v>373.08500000000004</v>
      </c>
      <c r="L19" s="4"/>
      <c r="M19" s="4"/>
      <c r="N19" s="4"/>
      <c r="O19" s="4"/>
      <c r="P19" s="4">
        <f>242.97-72.375</f>
        <v>170.595</v>
      </c>
      <c r="Q19" s="4">
        <v>148.49</v>
      </c>
      <c r="R19" s="4"/>
      <c r="S19" s="4"/>
      <c r="T19" s="4">
        <v>54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t="s">
        <v>35</v>
      </c>
    </row>
    <row r="20" spans="2:33" x14ac:dyDescent="0.3">
      <c r="B20" s="3" t="s">
        <v>38</v>
      </c>
      <c r="C20">
        <v>10</v>
      </c>
      <c r="D20" t="s">
        <v>34</v>
      </c>
      <c r="E20">
        <v>0</v>
      </c>
      <c r="F20" s="3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t="s">
        <v>35</v>
      </c>
    </row>
    <row r="21" spans="2:33" x14ac:dyDescent="0.3">
      <c r="B21" s="3" t="s">
        <v>38</v>
      </c>
      <c r="C21">
        <v>10</v>
      </c>
      <c r="D21" t="s">
        <v>36</v>
      </c>
      <c r="E21">
        <v>44.2</v>
      </c>
      <c r="F21" s="3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t="s">
        <v>35</v>
      </c>
    </row>
    <row r="22" spans="2:33" x14ac:dyDescent="0.3">
      <c r="B22" s="3" t="s">
        <v>38</v>
      </c>
      <c r="C22">
        <v>11</v>
      </c>
      <c r="D22" t="s">
        <v>34</v>
      </c>
      <c r="E22">
        <v>291.8</v>
      </c>
      <c r="F22" s="3">
        <v>259.3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259.3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t="s">
        <v>35</v>
      </c>
    </row>
    <row r="23" spans="2:33" x14ac:dyDescent="0.3">
      <c r="B23" s="3" t="s">
        <v>38</v>
      </c>
      <c r="C23">
        <v>11</v>
      </c>
      <c r="D23" t="s">
        <v>36</v>
      </c>
      <c r="E23">
        <v>208.6</v>
      </c>
      <c r="F23" s="3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t="s">
        <v>35</v>
      </c>
    </row>
    <row r="24" spans="2:33" x14ac:dyDescent="0.3">
      <c r="B24" t="s">
        <v>39</v>
      </c>
      <c r="C24">
        <v>12</v>
      </c>
      <c r="D24" t="s">
        <v>34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t="s">
        <v>40</v>
      </c>
    </row>
    <row r="25" spans="2:33" x14ac:dyDescent="0.3">
      <c r="B25" t="s">
        <v>39</v>
      </c>
      <c r="C25">
        <v>12</v>
      </c>
      <c r="D25" t="s">
        <v>36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t="s">
        <v>40</v>
      </c>
    </row>
    <row r="26" spans="2:33" x14ac:dyDescent="0.3">
      <c r="B26" t="s">
        <v>41</v>
      </c>
      <c r="C26">
        <v>12</v>
      </c>
      <c r="D26" t="s">
        <v>34</v>
      </c>
      <c r="E26">
        <v>137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2:33" x14ac:dyDescent="0.3">
      <c r="B27" t="s">
        <v>41</v>
      </c>
      <c r="C27">
        <v>12</v>
      </c>
      <c r="D27" t="s">
        <v>36</v>
      </c>
      <c r="E27">
        <v>636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2:33" x14ac:dyDescent="0.3">
      <c r="B28" t="s">
        <v>42</v>
      </c>
      <c r="C28">
        <v>12</v>
      </c>
      <c r="D28" t="s">
        <v>34</v>
      </c>
      <c r="E28">
        <v>20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2:33" x14ac:dyDescent="0.3">
      <c r="B29" t="s">
        <v>42</v>
      </c>
      <c r="C29">
        <v>12</v>
      </c>
      <c r="D29" t="s">
        <v>36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2:33" x14ac:dyDescent="0.3">
      <c r="B30" t="s">
        <v>43</v>
      </c>
      <c r="C30">
        <v>12</v>
      </c>
      <c r="D30" t="s">
        <v>34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2:33" x14ac:dyDescent="0.3">
      <c r="B31" t="s">
        <v>43</v>
      </c>
      <c r="C31">
        <v>12</v>
      </c>
      <c r="D31" t="s">
        <v>36</v>
      </c>
      <c r="E31">
        <v>110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2:33" x14ac:dyDescent="0.3">
      <c r="B32" t="s">
        <v>44</v>
      </c>
      <c r="C32">
        <v>12</v>
      </c>
      <c r="D32" t="s">
        <v>34</v>
      </c>
      <c r="F32" s="3">
        <v>38.299999999999997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>
        <v>38.299999999999997</v>
      </c>
      <c r="AA32" s="4"/>
      <c r="AB32" s="4"/>
      <c r="AC32" s="4"/>
      <c r="AD32" s="4"/>
      <c r="AE32" s="4"/>
      <c r="AF32" s="4"/>
      <c r="AG32" t="s">
        <v>35</v>
      </c>
    </row>
    <row r="33" spans="2:33" x14ac:dyDescent="0.3">
      <c r="B33" t="s">
        <v>44</v>
      </c>
      <c r="C33">
        <v>12</v>
      </c>
      <c r="D33" t="s">
        <v>36</v>
      </c>
      <c r="E33">
        <v>55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t="s">
        <v>40</v>
      </c>
    </row>
    <row r="34" spans="2:33" x14ac:dyDescent="0.3">
      <c r="B34" t="s">
        <v>45</v>
      </c>
      <c r="C34">
        <v>12</v>
      </c>
      <c r="D34" t="s">
        <v>34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2:33" x14ac:dyDescent="0.3">
      <c r="B35" t="s">
        <v>45</v>
      </c>
      <c r="C35">
        <v>12</v>
      </c>
      <c r="D35" t="s">
        <v>36</v>
      </c>
      <c r="E35">
        <v>34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2:33" x14ac:dyDescent="0.3">
      <c r="B36" t="s">
        <v>46</v>
      </c>
      <c r="C36">
        <v>12</v>
      </c>
      <c r="D36" t="s">
        <v>34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2:33" x14ac:dyDescent="0.3">
      <c r="B37" t="s">
        <v>46</v>
      </c>
      <c r="C37">
        <v>12</v>
      </c>
      <c r="D37" t="s">
        <v>36</v>
      </c>
      <c r="E37">
        <v>17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2:33" x14ac:dyDescent="0.3">
      <c r="B38" t="s">
        <v>47</v>
      </c>
      <c r="C38" s="1">
        <v>12</v>
      </c>
      <c r="D38" t="s">
        <v>34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t="s">
        <v>40</v>
      </c>
    </row>
    <row r="39" spans="2:33" x14ac:dyDescent="0.3">
      <c r="B39" t="s">
        <v>47</v>
      </c>
      <c r="C39" s="1">
        <v>12</v>
      </c>
      <c r="D39" t="s">
        <v>36</v>
      </c>
      <c r="E39">
        <v>205</v>
      </c>
      <c r="F39" s="3">
        <v>11.5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>
        <v>11.5</v>
      </c>
      <c r="AA39" s="4"/>
      <c r="AB39" s="4"/>
      <c r="AC39" s="4"/>
      <c r="AD39" s="4"/>
      <c r="AE39" s="4"/>
      <c r="AF39" s="4"/>
    </row>
    <row r="40" spans="2:33" x14ac:dyDescent="0.3">
      <c r="B40" t="s">
        <v>48</v>
      </c>
      <c r="C40">
        <v>13</v>
      </c>
      <c r="D40" t="s">
        <v>34</v>
      </c>
      <c r="I40">
        <v>11130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2:33" x14ac:dyDescent="0.3">
      <c r="B41" t="s">
        <v>48</v>
      </c>
      <c r="C41">
        <v>13</v>
      </c>
      <c r="D41" t="s">
        <v>36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2:33" x14ac:dyDescent="0.3">
      <c r="B42" t="s">
        <v>49</v>
      </c>
      <c r="C42">
        <v>13</v>
      </c>
      <c r="D42" t="s">
        <v>34</v>
      </c>
      <c r="E42">
        <v>1787.905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2:33" x14ac:dyDescent="0.3">
      <c r="B43" t="s">
        <v>49</v>
      </c>
      <c r="C43">
        <v>13</v>
      </c>
      <c r="D43" t="s">
        <v>36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2:33" x14ac:dyDescent="0.3">
      <c r="B44" t="s">
        <v>50</v>
      </c>
      <c r="C44">
        <v>13</v>
      </c>
      <c r="D44" t="s">
        <v>34</v>
      </c>
      <c r="E44">
        <v>1583.28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2:33" x14ac:dyDescent="0.3">
      <c r="B45" t="s">
        <v>50</v>
      </c>
      <c r="C45">
        <v>13</v>
      </c>
      <c r="D45" t="s">
        <v>36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2:33" x14ac:dyDescent="0.3">
      <c r="B46" t="s">
        <v>51</v>
      </c>
      <c r="C46">
        <v>13</v>
      </c>
      <c r="D46" t="s">
        <v>34</v>
      </c>
      <c r="E46">
        <v>699.23500000000001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2:33" x14ac:dyDescent="0.3">
      <c r="B47" t="s">
        <v>51</v>
      </c>
      <c r="C47">
        <v>13</v>
      </c>
      <c r="D47" t="s">
        <v>36</v>
      </c>
      <c r="E47">
        <v>166.2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2:33" x14ac:dyDescent="0.3">
      <c r="B48" t="s">
        <v>52</v>
      </c>
      <c r="C48">
        <v>13</v>
      </c>
      <c r="D48" t="s">
        <v>34</v>
      </c>
      <c r="E48">
        <v>820.2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2:33" x14ac:dyDescent="0.3">
      <c r="B49" t="s">
        <v>52</v>
      </c>
      <c r="C49">
        <v>13</v>
      </c>
      <c r="D49" t="s">
        <v>36</v>
      </c>
      <c r="E49">
        <v>191.4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2:33" x14ac:dyDescent="0.3">
      <c r="B50" t="s">
        <v>53</v>
      </c>
      <c r="C50">
        <v>13</v>
      </c>
      <c r="D50" t="s">
        <v>34</v>
      </c>
      <c r="E50">
        <v>165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2:33" x14ac:dyDescent="0.3">
      <c r="B51" t="s">
        <v>53</v>
      </c>
      <c r="C51">
        <v>13</v>
      </c>
      <c r="D51" t="s">
        <v>36</v>
      </c>
      <c r="E51">
        <v>43.5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2:33" x14ac:dyDescent="0.3">
      <c r="B52" t="s">
        <v>54</v>
      </c>
      <c r="C52">
        <v>13</v>
      </c>
      <c r="D52" t="s">
        <v>34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2:33" x14ac:dyDescent="0.3">
      <c r="B53" t="s">
        <v>54</v>
      </c>
      <c r="C53">
        <v>13</v>
      </c>
      <c r="D53" t="s">
        <v>36</v>
      </c>
      <c r="E53">
        <v>201.5</v>
      </c>
      <c r="K53" s="2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2:33" x14ac:dyDescent="0.3">
      <c r="B54" s="3" t="s">
        <v>55</v>
      </c>
      <c r="C54">
        <v>13</v>
      </c>
      <c r="D54" t="s">
        <v>34</v>
      </c>
      <c r="E54">
        <v>0</v>
      </c>
      <c r="F54" s="3">
        <v>308.3</v>
      </c>
      <c r="K54" s="2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>
        <f>78.58+84.32+66.57+78.843</f>
        <v>308.31299999999999</v>
      </c>
      <c r="Z54" s="4"/>
      <c r="AA54" s="4"/>
      <c r="AB54" s="4"/>
      <c r="AC54" s="4"/>
      <c r="AD54" s="4"/>
      <c r="AE54" s="4"/>
      <c r="AF54" s="4"/>
      <c r="AG54" t="s">
        <v>40</v>
      </c>
    </row>
    <row r="55" spans="2:33" x14ac:dyDescent="0.3">
      <c r="B55" s="3" t="s">
        <v>56</v>
      </c>
      <c r="C55">
        <v>14</v>
      </c>
      <c r="D55" t="s">
        <v>34</v>
      </c>
      <c r="E55">
        <v>267</v>
      </c>
      <c r="F55" s="3">
        <v>400</v>
      </c>
      <c r="I55">
        <v>41</v>
      </c>
      <c r="J55">
        <v>39</v>
      </c>
      <c r="K55" s="2"/>
      <c r="L55" s="4"/>
      <c r="M55" s="4"/>
      <c r="N55" s="4"/>
      <c r="O55" s="4"/>
      <c r="P55" s="4"/>
      <c r="Q55" s="4"/>
      <c r="R55" s="4">
        <v>75</v>
      </c>
      <c r="S55" s="4">
        <v>325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t="s">
        <v>35</v>
      </c>
    </row>
    <row r="56" spans="2:33" x14ac:dyDescent="0.3">
      <c r="B56" s="3" t="s">
        <v>56</v>
      </c>
      <c r="C56">
        <v>14</v>
      </c>
      <c r="D56" t="s">
        <v>36</v>
      </c>
      <c r="E56">
        <v>233.1</v>
      </c>
      <c r="F56" s="3">
        <v>0</v>
      </c>
      <c r="K56" s="2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t="s">
        <v>35</v>
      </c>
    </row>
    <row r="57" spans="2:33" x14ac:dyDescent="0.3">
      <c r="B57" s="3" t="s">
        <v>56</v>
      </c>
      <c r="C57">
        <v>15</v>
      </c>
      <c r="D57" t="s">
        <v>34</v>
      </c>
      <c r="E57">
        <v>0</v>
      </c>
      <c r="F57" s="3">
        <v>157.69999999999999</v>
      </c>
      <c r="I57">
        <v>464</v>
      </c>
      <c r="J57">
        <v>523</v>
      </c>
      <c r="K57" s="2"/>
      <c r="L57" s="4"/>
      <c r="M57" s="4"/>
      <c r="N57" s="4"/>
      <c r="O57" s="4"/>
      <c r="P57" s="4"/>
      <c r="Q57" s="4"/>
      <c r="R57" s="4"/>
      <c r="S57" s="4"/>
      <c r="T57" s="4">
        <v>35</v>
      </c>
      <c r="U57" s="4">
        <v>122.7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t="s">
        <v>35</v>
      </c>
    </row>
    <row r="58" spans="2:33" x14ac:dyDescent="0.3">
      <c r="B58" s="3" t="s">
        <v>56</v>
      </c>
      <c r="C58">
        <v>15</v>
      </c>
      <c r="D58" t="s">
        <v>36</v>
      </c>
      <c r="E58">
        <v>243.8</v>
      </c>
      <c r="F58" s="3">
        <v>0</v>
      </c>
      <c r="K58" s="2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t="s">
        <v>35</v>
      </c>
    </row>
    <row r="59" spans="2:33" x14ac:dyDescent="0.3">
      <c r="B59" s="3" t="s">
        <v>56</v>
      </c>
      <c r="C59">
        <v>16</v>
      </c>
      <c r="D59" t="s">
        <v>34</v>
      </c>
      <c r="E59">
        <v>0</v>
      </c>
      <c r="F59" s="3">
        <v>341.71499999999997</v>
      </c>
      <c r="I59">
        <v>2139</v>
      </c>
      <c r="J59">
        <v>2126</v>
      </c>
      <c r="K59" s="2"/>
      <c r="L59" s="4"/>
      <c r="M59" s="4"/>
      <c r="N59" s="4"/>
      <c r="O59" s="4"/>
      <c r="P59" s="4"/>
      <c r="Q59" s="4"/>
      <c r="R59" s="4"/>
      <c r="S59" s="4">
        <v>220</v>
      </c>
      <c r="T59" s="4">
        <v>121.715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t="s">
        <v>35</v>
      </c>
    </row>
    <row r="60" spans="2:33" x14ac:dyDescent="0.3">
      <c r="B60" s="3" t="s">
        <v>56</v>
      </c>
      <c r="C60">
        <v>16</v>
      </c>
      <c r="D60" t="s">
        <v>36</v>
      </c>
      <c r="E60">
        <v>276.10000000000002</v>
      </c>
      <c r="F60" s="3">
        <v>13.17</v>
      </c>
      <c r="K60" s="2"/>
      <c r="L60" s="4"/>
      <c r="M60" s="4"/>
      <c r="N60" s="4"/>
      <c r="O60" s="4"/>
      <c r="P60" s="4"/>
      <c r="Q60" s="4"/>
      <c r="R60" s="4"/>
      <c r="S60" s="4"/>
      <c r="T60" s="4">
        <v>13.17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t="s">
        <v>35</v>
      </c>
    </row>
    <row r="61" spans="2:33" x14ac:dyDescent="0.3">
      <c r="B61" s="3" t="s">
        <v>56</v>
      </c>
      <c r="C61">
        <v>17</v>
      </c>
      <c r="D61" t="s">
        <v>34</v>
      </c>
      <c r="F61" s="3">
        <v>43.02</v>
      </c>
      <c r="I61">
        <v>208</v>
      </c>
      <c r="J61">
        <v>191</v>
      </c>
      <c r="K61" s="2"/>
      <c r="L61" s="4"/>
      <c r="M61" s="4"/>
      <c r="N61" s="4"/>
      <c r="O61" s="4"/>
      <c r="P61" s="4"/>
      <c r="Q61" s="4"/>
      <c r="R61" s="4"/>
      <c r="S61" s="4"/>
      <c r="T61" s="4">
        <v>43.015000000000001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t="s">
        <v>35</v>
      </c>
    </row>
    <row r="62" spans="2:33" x14ac:dyDescent="0.3">
      <c r="B62" s="3" t="s">
        <v>56</v>
      </c>
      <c r="C62">
        <v>17</v>
      </c>
      <c r="D62" t="s">
        <v>36</v>
      </c>
      <c r="E62">
        <v>83.2</v>
      </c>
      <c r="F62" s="3">
        <v>51.05</v>
      </c>
      <c r="K62" s="2"/>
      <c r="L62" s="4"/>
      <c r="M62" s="4"/>
      <c r="N62" s="4"/>
      <c r="O62" s="4"/>
      <c r="P62" s="4"/>
      <c r="Q62" s="4"/>
      <c r="R62" s="4"/>
      <c r="S62" s="4">
        <v>51.05</v>
      </c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t="s">
        <v>35</v>
      </c>
    </row>
    <row r="63" spans="2:33" x14ac:dyDescent="0.3">
      <c r="B63" s="3" t="s">
        <v>57</v>
      </c>
      <c r="C63">
        <v>18</v>
      </c>
      <c r="D63" t="s">
        <v>34</v>
      </c>
      <c r="E63">
        <v>65.5</v>
      </c>
      <c r="F63" s="3">
        <v>288.26</v>
      </c>
      <c r="G63">
        <v>17</v>
      </c>
      <c r="H63">
        <v>51.09</v>
      </c>
      <c r="I63">
        <v>139</v>
      </c>
      <c r="J63">
        <v>109</v>
      </c>
      <c r="K63" s="2"/>
      <c r="L63" s="4"/>
      <c r="M63" s="4"/>
      <c r="N63" s="4"/>
      <c r="O63" s="4"/>
      <c r="P63" s="4"/>
      <c r="Q63" s="4">
        <v>288.26</v>
      </c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t="s">
        <v>35</v>
      </c>
    </row>
    <row r="64" spans="2:33" x14ac:dyDescent="0.3">
      <c r="B64" s="3" t="s">
        <v>57</v>
      </c>
      <c r="C64">
        <v>18</v>
      </c>
      <c r="D64" t="s">
        <v>36</v>
      </c>
      <c r="E64">
        <v>226.5</v>
      </c>
      <c r="F64" s="3">
        <v>32.85</v>
      </c>
      <c r="K64" s="2"/>
      <c r="L64" s="4"/>
      <c r="M64" s="4"/>
      <c r="N64" s="4"/>
      <c r="O64" s="4"/>
      <c r="P64" s="4"/>
      <c r="Q64" s="4">
        <v>32.85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t="s">
        <v>35</v>
      </c>
    </row>
    <row r="65" spans="2:33" x14ac:dyDescent="0.3">
      <c r="B65" s="3" t="s">
        <v>57</v>
      </c>
      <c r="C65">
        <v>19</v>
      </c>
      <c r="D65" t="s">
        <v>34</v>
      </c>
      <c r="E65">
        <v>366.4</v>
      </c>
      <c r="F65" s="3">
        <v>223.29</v>
      </c>
      <c r="I65">
        <v>219</v>
      </c>
      <c r="J65">
        <v>188</v>
      </c>
      <c r="K65" s="2"/>
      <c r="L65" s="4"/>
      <c r="M65" s="4"/>
      <c r="N65" s="4"/>
      <c r="O65" s="4"/>
      <c r="P65" s="4"/>
      <c r="Q65" s="4"/>
      <c r="R65" s="4">
        <v>223.29</v>
      </c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t="s">
        <v>35</v>
      </c>
    </row>
    <row r="66" spans="2:33" x14ac:dyDescent="0.3">
      <c r="B66" s="3" t="s">
        <v>57</v>
      </c>
      <c r="C66">
        <v>19</v>
      </c>
      <c r="D66" t="s">
        <v>36</v>
      </c>
      <c r="E66">
        <v>95.7</v>
      </c>
      <c r="F66" s="3">
        <v>26.66</v>
      </c>
      <c r="K66" s="2"/>
      <c r="L66" s="4"/>
      <c r="M66" s="4"/>
      <c r="N66" s="4"/>
      <c r="O66" s="4"/>
      <c r="P66" s="4"/>
      <c r="Q66" s="4">
        <v>26.66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t="s">
        <v>35</v>
      </c>
    </row>
    <row r="67" spans="2:33" x14ac:dyDescent="0.3">
      <c r="B67" s="3" t="s">
        <v>57</v>
      </c>
      <c r="C67">
        <v>20</v>
      </c>
      <c r="D67" t="s">
        <v>34</v>
      </c>
      <c r="E67">
        <v>163.4</v>
      </c>
      <c r="F67" s="3">
        <v>159.63</v>
      </c>
      <c r="I67">
        <v>848</v>
      </c>
      <c r="J67">
        <v>860</v>
      </c>
      <c r="K67" s="2"/>
      <c r="L67" s="4"/>
      <c r="M67" s="4"/>
      <c r="N67" s="4"/>
      <c r="O67" s="4"/>
      <c r="P67" s="4"/>
      <c r="Q67" s="4"/>
      <c r="R67" s="4"/>
      <c r="S67" s="4">
        <v>59.73</v>
      </c>
      <c r="T67" s="4">
        <v>99.9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t="s">
        <v>35</v>
      </c>
    </row>
    <row r="68" spans="2:33" x14ac:dyDescent="0.3">
      <c r="B68" s="3" t="s">
        <v>57</v>
      </c>
      <c r="C68">
        <v>20</v>
      </c>
      <c r="D68" t="s">
        <v>36</v>
      </c>
      <c r="E68">
        <v>24</v>
      </c>
      <c r="F68" s="3">
        <v>31.4</v>
      </c>
      <c r="K68" s="2"/>
      <c r="L68" s="4"/>
      <c r="M68" s="4"/>
      <c r="N68" s="4"/>
      <c r="O68" s="4"/>
      <c r="P68" s="4"/>
      <c r="Q68" s="4">
        <v>31.4</v>
      </c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t="s">
        <v>35</v>
      </c>
    </row>
    <row r="69" spans="2:33" x14ac:dyDescent="0.3">
      <c r="B69" s="3" t="s">
        <v>58</v>
      </c>
      <c r="C69">
        <v>21</v>
      </c>
      <c r="D69" t="s">
        <v>34</v>
      </c>
      <c r="E69">
        <f>475.4-8.8</f>
        <v>466.59999999999997</v>
      </c>
      <c r="F69" s="7">
        <v>1229.95</v>
      </c>
      <c r="G69">
        <v>19</v>
      </c>
      <c r="H69">
        <v>92.92</v>
      </c>
      <c r="I69">
        <v>78</v>
      </c>
      <c r="J69">
        <v>72</v>
      </c>
      <c r="K69" s="2"/>
      <c r="L69" s="4"/>
      <c r="M69" s="4"/>
      <c r="N69" s="4">
        <v>68</v>
      </c>
      <c r="O69" s="4">
        <v>621.84500000000003</v>
      </c>
      <c r="P69" s="4">
        <v>354.52499999999998</v>
      </c>
      <c r="Q69" s="4">
        <v>67.900000000000006</v>
      </c>
      <c r="R69" s="4">
        <v>117.68</v>
      </c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t="s">
        <v>35</v>
      </c>
    </row>
    <row r="70" spans="2:33" x14ac:dyDescent="0.3">
      <c r="B70" s="3" t="s">
        <v>58</v>
      </c>
      <c r="C70">
        <v>21</v>
      </c>
      <c r="D70" t="s">
        <v>36</v>
      </c>
      <c r="E70">
        <f>12.3+771.1</f>
        <v>783.4</v>
      </c>
      <c r="F70" s="3">
        <v>0</v>
      </c>
      <c r="K70" s="2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t="s">
        <v>35</v>
      </c>
    </row>
    <row r="71" spans="2:33" x14ac:dyDescent="0.3">
      <c r="B71" s="3" t="s">
        <v>58</v>
      </c>
      <c r="C71">
        <v>22</v>
      </c>
      <c r="D71" t="s">
        <v>34</v>
      </c>
      <c r="E71">
        <v>59.5</v>
      </c>
      <c r="F71" s="7">
        <v>328.75</v>
      </c>
      <c r="G71">
        <v>6</v>
      </c>
      <c r="H71">
        <v>16.16</v>
      </c>
      <c r="I71">
        <v>471</v>
      </c>
      <c r="J71">
        <v>338</v>
      </c>
      <c r="K71" s="2"/>
      <c r="L71" s="4"/>
      <c r="M71" s="4"/>
      <c r="N71" s="4"/>
      <c r="O71" s="4"/>
      <c r="P71" s="4">
        <v>328.75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t="s">
        <v>35</v>
      </c>
    </row>
    <row r="72" spans="2:33" x14ac:dyDescent="0.3">
      <c r="B72" s="3" t="s">
        <v>58</v>
      </c>
      <c r="C72">
        <v>22</v>
      </c>
      <c r="D72" t="s">
        <v>36</v>
      </c>
      <c r="E72">
        <v>216</v>
      </c>
      <c r="F72" s="3">
        <v>0</v>
      </c>
      <c r="K72" s="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t="s">
        <v>35</v>
      </c>
    </row>
    <row r="73" spans="2:33" x14ac:dyDescent="0.3">
      <c r="B73" s="3" t="s">
        <v>58</v>
      </c>
      <c r="C73">
        <v>23</v>
      </c>
      <c r="D73" t="s">
        <v>34</v>
      </c>
      <c r="E73">
        <v>352.8</v>
      </c>
      <c r="F73" s="7">
        <v>384.67</v>
      </c>
      <c r="G73">
        <v>7</v>
      </c>
      <c r="H73">
        <v>24.74</v>
      </c>
      <c r="I73">
        <v>987</v>
      </c>
      <c r="J73">
        <v>901</v>
      </c>
      <c r="K73" s="2"/>
      <c r="L73" s="4"/>
      <c r="M73" s="4"/>
      <c r="N73" s="4"/>
      <c r="O73" s="4"/>
      <c r="P73" s="4">
        <v>247.93</v>
      </c>
      <c r="Q73" s="4">
        <v>136.74</v>
      </c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t="s">
        <v>35</v>
      </c>
    </row>
    <row r="74" spans="2:33" x14ac:dyDescent="0.3">
      <c r="B74" s="3" t="s">
        <v>58</v>
      </c>
      <c r="C74">
        <v>23</v>
      </c>
      <c r="D74" t="s">
        <v>36</v>
      </c>
      <c r="E74">
        <v>254.9</v>
      </c>
      <c r="F74" s="3">
        <v>20.32</v>
      </c>
      <c r="K74" s="2"/>
      <c r="L74" s="4"/>
      <c r="M74" s="4"/>
      <c r="N74" s="4"/>
      <c r="O74" s="4"/>
      <c r="P74" s="4"/>
      <c r="Q74" s="4">
        <v>20.32</v>
      </c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t="s">
        <v>35</v>
      </c>
    </row>
    <row r="75" spans="2:33" x14ac:dyDescent="0.3">
      <c r="B75" s="3" t="s">
        <v>59</v>
      </c>
      <c r="C75">
        <v>24</v>
      </c>
      <c r="D75" t="s">
        <v>34</v>
      </c>
      <c r="E75">
        <v>207.5</v>
      </c>
      <c r="F75" s="3">
        <v>197.8</v>
      </c>
      <c r="I75">
        <v>1801</v>
      </c>
      <c r="K75" s="2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>
        <v>197.8</v>
      </c>
      <c r="Y75" s="4"/>
      <c r="Z75" s="4"/>
      <c r="AA75" s="4"/>
      <c r="AB75" s="4"/>
      <c r="AC75" s="4"/>
      <c r="AD75" s="4"/>
      <c r="AE75" s="4"/>
      <c r="AF75" s="4"/>
      <c r="AG75" t="s">
        <v>35</v>
      </c>
    </row>
    <row r="76" spans="2:33" x14ac:dyDescent="0.3">
      <c r="B76" s="3" t="s">
        <v>59</v>
      </c>
      <c r="C76">
        <v>24</v>
      </c>
      <c r="D76" t="s">
        <v>36</v>
      </c>
      <c r="E76">
        <v>95</v>
      </c>
      <c r="F76" s="3">
        <v>10.73</v>
      </c>
      <c r="K76" s="2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>
        <f>6.22+4.51</f>
        <v>10.73</v>
      </c>
      <c r="Y76" s="4"/>
      <c r="Z76" s="4"/>
      <c r="AA76" s="4"/>
      <c r="AB76" s="4"/>
      <c r="AC76" s="4"/>
      <c r="AD76" s="4"/>
      <c r="AE76" s="4"/>
      <c r="AF76" s="4"/>
      <c r="AG76" t="s">
        <v>35</v>
      </c>
    </row>
    <row r="77" spans="2:33" x14ac:dyDescent="0.3">
      <c r="B77" s="3" t="s">
        <v>59</v>
      </c>
      <c r="C77">
        <v>25</v>
      </c>
      <c r="D77" t="s">
        <v>34</v>
      </c>
      <c r="E77">
        <v>315.5</v>
      </c>
      <c r="F77" s="3">
        <v>545.34</v>
      </c>
      <c r="I77">
        <v>168</v>
      </c>
      <c r="K77" s="2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>
        <v>545.34</v>
      </c>
      <c r="X77" s="4"/>
      <c r="Y77" s="4"/>
      <c r="Z77" s="4"/>
      <c r="AA77" s="4"/>
      <c r="AB77" s="4"/>
      <c r="AC77" s="4"/>
      <c r="AD77" s="4"/>
      <c r="AE77" s="4"/>
      <c r="AF77" s="4"/>
      <c r="AG77" t="s">
        <v>35</v>
      </c>
    </row>
    <row r="78" spans="2:33" x14ac:dyDescent="0.3">
      <c r="B78" s="3" t="s">
        <v>59</v>
      </c>
      <c r="C78">
        <v>25</v>
      </c>
      <c r="D78" t="s">
        <v>36</v>
      </c>
      <c r="E78">
        <v>194.5</v>
      </c>
      <c r="F78" s="3">
        <v>12.02</v>
      </c>
      <c r="K78" s="2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>
        <v>12.02</v>
      </c>
      <c r="X78" s="4"/>
      <c r="Y78" s="4"/>
      <c r="Z78" s="4"/>
      <c r="AA78" s="4"/>
      <c r="AB78" s="4"/>
      <c r="AC78" s="4"/>
      <c r="AD78" s="4"/>
      <c r="AE78" s="4"/>
      <c r="AF78" s="4"/>
      <c r="AG78" t="s">
        <v>35</v>
      </c>
    </row>
    <row r="79" spans="2:33" x14ac:dyDescent="0.3">
      <c r="B79" s="3" t="s">
        <v>60</v>
      </c>
      <c r="C79">
        <v>26</v>
      </c>
      <c r="D79" t="s">
        <v>34</v>
      </c>
      <c r="E79">
        <v>31.9</v>
      </c>
      <c r="F79" s="3">
        <v>384.37</v>
      </c>
      <c r="I79">
        <v>1302</v>
      </c>
      <c r="J79">
        <v>1152</v>
      </c>
      <c r="L79" s="4"/>
      <c r="M79" s="4"/>
      <c r="N79" s="4"/>
      <c r="O79" s="4"/>
      <c r="P79" s="4"/>
      <c r="Q79" s="4"/>
      <c r="R79" s="4"/>
      <c r="S79" s="4"/>
      <c r="T79" s="4"/>
      <c r="U79" s="4">
        <v>384.37</v>
      </c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t="s">
        <v>35</v>
      </c>
    </row>
    <row r="80" spans="2:33" x14ac:dyDescent="0.3">
      <c r="B80" s="3" t="s">
        <v>60</v>
      </c>
      <c r="C80">
        <v>26</v>
      </c>
      <c r="D80" t="s">
        <v>36</v>
      </c>
      <c r="E80">
        <v>600.73</v>
      </c>
      <c r="F80" s="3">
        <v>23.8</v>
      </c>
      <c r="L80" s="4"/>
      <c r="M80" s="4"/>
      <c r="N80" s="4"/>
      <c r="O80" s="4"/>
      <c r="P80" s="4"/>
      <c r="Q80" s="4"/>
      <c r="R80" s="4"/>
      <c r="S80" s="4"/>
      <c r="T80" s="4"/>
      <c r="U80" s="4">
        <v>23.8</v>
      </c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t="s">
        <v>35</v>
      </c>
    </row>
    <row r="81" spans="2:33" x14ac:dyDescent="0.3">
      <c r="B81" t="s">
        <v>61</v>
      </c>
      <c r="C81">
        <v>26</v>
      </c>
      <c r="D81" t="s">
        <v>34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t="s">
        <v>35</v>
      </c>
    </row>
    <row r="82" spans="2:33" x14ac:dyDescent="0.3">
      <c r="B82" t="s">
        <v>61</v>
      </c>
      <c r="C82">
        <v>26</v>
      </c>
      <c r="D82" t="s">
        <v>36</v>
      </c>
      <c r="E82">
        <v>220.48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t="s">
        <v>35</v>
      </c>
    </row>
    <row r="83" spans="2:33" x14ac:dyDescent="0.3">
      <c r="B83" s="3" t="s">
        <v>62</v>
      </c>
      <c r="C83">
        <v>27</v>
      </c>
      <c r="D83" t="s">
        <v>34</v>
      </c>
      <c r="F83" s="3">
        <v>91.21</v>
      </c>
      <c r="I83">
        <v>2885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>
        <v>20.95</v>
      </c>
      <c r="W83" s="4"/>
      <c r="X83" s="4">
        <v>70.260000000000005</v>
      </c>
      <c r="Y83" s="4"/>
      <c r="Z83" s="4"/>
      <c r="AA83" s="4"/>
      <c r="AB83" s="4"/>
      <c r="AC83" s="4"/>
      <c r="AD83" s="4"/>
      <c r="AE83" s="4"/>
      <c r="AF83" s="4"/>
      <c r="AG83" t="s">
        <v>35</v>
      </c>
    </row>
    <row r="84" spans="2:33" x14ac:dyDescent="0.3">
      <c r="B84" s="3" t="s">
        <v>62</v>
      </c>
      <c r="C84">
        <v>27</v>
      </c>
      <c r="D84" t="s">
        <v>36</v>
      </c>
      <c r="E84">
        <v>100.5</v>
      </c>
      <c r="F84" s="3">
        <v>10.06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>
        <v>8.06</v>
      </c>
      <c r="W84" s="4"/>
      <c r="X84" s="4">
        <v>2</v>
      </c>
      <c r="Y84" s="4"/>
      <c r="Z84" s="4"/>
      <c r="AA84" s="4"/>
      <c r="AB84" s="4"/>
      <c r="AC84" s="4"/>
      <c r="AD84" s="4"/>
      <c r="AE84" s="4"/>
      <c r="AF84" s="4"/>
      <c r="AG84" t="s">
        <v>35</v>
      </c>
    </row>
    <row r="85" spans="2:33" x14ac:dyDescent="0.3">
      <c r="B85" s="3" t="s">
        <v>62</v>
      </c>
      <c r="C85">
        <v>28</v>
      </c>
      <c r="D85" t="s">
        <v>34</v>
      </c>
      <c r="F85" s="3">
        <v>230.72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>
        <f>230.02-55.56</f>
        <v>174.46</v>
      </c>
      <c r="W85" s="4">
        <v>56.26</v>
      </c>
      <c r="X85" s="4"/>
      <c r="Y85" s="4"/>
      <c r="Z85" s="4"/>
      <c r="AA85" s="4"/>
      <c r="AB85" s="4"/>
      <c r="AC85" s="4"/>
      <c r="AD85" s="4"/>
      <c r="AE85" s="4"/>
      <c r="AF85" s="4"/>
      <c r="AG85" t="s">
        <v>35</v>
      </c>
    </row>
    <row r="86" spans="2:33" x14ac:dyDescent="0.3">
      <c r="B86" s="3" t="s">
        <v>62</v>
      </c>
      <c r="C86">
        <v>28</v>
      </c>
      <c r="D86" t="s">
        <v>36</v>
      </c>
      <c r="E86">
        <v>210.02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t="s">
        <v>35</v>
      </c>
    </row>
    <row r="87" spans="2:33" x14ac:dyDescent="0.3">
      <c r="B87" s="3" t="s">
        <v>62</v>
      </c>
      <c r="C87">
        <v>29</v>
      </c>
      <c r="D87" t="s">
        <v>34</v>
      </c>
      <c r="F87" s="3">
        <v>35.5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>
        <v>35.5</v>
      </c>
      <c r="W87" s="4"/>
      <c r="X87" s="4"/>
      <c r="Y87" s="4"/>
      <c r="Z87" s="4"/>
      <c r="AA87" s="4"/>
      <c r="AB87" s="4"/>
      <c r="AC87" s="4"/>
      <c r="AD87" s="4"/>
      <c r="AE87" s="4"/>
      <c r="AF87" s="4"/>
      <c r="AG87" t="s">
        <v>35</v>
      </c>
    </row>
    <row r="88" spans="2:33" x14ac:dyDescent="0.3">
      <c r="B88" s="3" t="s">
        <v>62</v>
      </c>
      <c r="C88">
        <v>29</v>
      </c>
      <c r="D88" t="s">
        <v>36</v>
      </c>
      <c r="E88">
        <v>57.5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t="s">
        <v>35</v>
      </c>
    </row>
    <row r="89" spans="2:33" x14ac:dyDescent="0.3">
      <c r="B89" s="3" t="s">
        <v>62</v>
      </c>
      <c r="C89">
        <v>30</v>
      </c>
      <c r="D89" t="s">
        <v>34</v>
      </c>
      <c r="F89" s="3">
        <v>36.979999999999997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>
        <v>36.979999999999997</v>
      </c>
      <c r="W89" s="4"/>
      <c r="X89" s="4"/>
      <c r="Y89" s="4"/>
      <c r="Z89" s="4"/>
      <c r="AA89" s="4"/>
      <c r="AB89" s="4"/>
      <c r="AC89" s="4"/>
      <c r="AD89" s="4"/>
      <c r="AE89" s="4"/>
      <c r="AF89" s="4"/>
      <c r="AG89" t="s">
        <v>35</v>
      </c>
    </row>
    <row r="90" spans="2:33" x14ac:dyDescent="0.3">
      <c r="B90" s="3" t="s">
        <v>62</v>
      </c>
      <c r="C90">
        <v>30</v>
      </c>
      <c r="D90" t="s">
        <v>36</v>
      </c>
      <c r="E90">
        <v>56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t="s">
        <v>35</v>
      </c>
    </row>
    <row r="91" spans="2:33" x14ac:dyDescent="0.3">
      <c r="B91" s="3" t="s">
        <v>62</v>
      </c>
      <c r="C91">
        <v>31</v>
      </c>
      <c r="D91" t="s">
        <v>34</v>
      </c>
      <c r="F91" s="3">
        <v>39.04</v>
      </c>
      <c r="J91">
        <v>628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>
        <v>39.04</v>
      </c>
      <c r="W91" s="4"/>
      <c r="X91" s="4"/>
      <c r="Y91" s="4"/>
      <c r="Z91" s="4"/>
      <c r="AA91" s="4"/>
      <c r="AB91" s="4"/>
      <c r="AC91" s="4"/>
      <c r="AD91" s="4"/>
      <c r="AE91" s="4"/>
      <c r="AF91" s="4"/>
      <c r="AG91" t="s">
        <v>35</v>
      </c>
    </row>
    <row r="92" spans="2:33" x14ac:dyDescent="0.3">
      <c r="B92" s="3" t="s">
        <v>62</v>
      </c>
      <c r="C92">
        <v>31</v>
      </c>
      <c r="D92" t="s">
        <v>36</v>
      </c>
      <c r="E92">
        <v>39.5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t="s">
        <v>35</v>
      </c>
    </row>
    <row r="93" spans="2:33" x14ac:dyDescent="0.3">
      <c r="B93" s="3" t="s">
        <v>62</v>
      </c>
      <c r="C93">
        <v>32</v>
      </c>
      <c r="D93" t="s">
        <v>34</v>
      </c>
      <c r="F93" s="3">
        <v>34.42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>
        <v>34.42</v>
      </c>
      <c r="W93" s="4"/>
      <c r="X93" s="4"/>
      <c r="Y93" s="4"/>
      <c r="Z93" s="4"/>
      <c r="AA93" s="4"/>
      <c r="AB93" s="4"/>
      <c r="AC93" s="4"/>
      <c r="AD93" s="4"/>
      <c r="AE93" s="4"/>
      <c r="AF93" s="4"/>
      <c r="AG93" t="s">
        <v>35</v>
      </c>
    </row>
    <row r="94" spans="2:33" x14ac:dyDescent="0.3">
      <c r="B94" s="3" t="s">
        <v>62</v>
      </c>
      <c r="C94">
        <v>32</v>
      </c>
      <c r="D94" t="s">
        <v>36</v>
      </c>
      <c r="E94">
        <v>63.5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t="s">
        <v>35</v>
      </c>
    </row>
    <row r="95" spans="2:33" x14ac:dyDescent="0.3">
      <c r="B95" s="3" t="s">
        <v>62</v>
      </c>
      <c r="C95">
        <v>33</v>
      </c>
      <c r="D95" t="s">
        <v>34</v>
      </c>
      <c r="F95" s="3">
        <v>34.119999999999997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>
        <v>34.119999999999997</v>
      </c>
      <c r="W95" s="4"/>
      <c r="X95" s="4"/>
      <c r="Y95" s="4"/>
      <c r="Z95" s="4"/>
      <c r="AA95" s="4"/>
      <c r="AB95" s="4"/>
      <c r="AC95" s="4"/>
      <c r="AD95" s="4"/>
      <c r="AE95" s="4"/>
      <c r="AF95" s="4"/>
      <c r="AG95" t="s">
        <v>35</v>
      </c>
    </row>
    <row r="96" spans="2:33" x14ac:dyDescent="0.3">
      <c r="B96" s="3" t="s">
        <v>62</v>
      </c>
      <c r="C96">
        <v>33</v>
      </c>
      <c r="D96" t="s">
        <v>36</v>
      </c>
      <c r="E96">
        <v>67.5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t="s">
        <v>35</v>
      </c>
    </row>
    <row r="97" spans="2:33" x14ac:dyDescent="0.3">
      <c r="B97" s="3" t="s">
        <v>62</v>
      </c>
      <c r="C97">
        <v>34</v>
      </c>
      <c r="D97" t="s">
        <v>34</v>
      </c>
      <c r="F97" s="3">
        <v>32.11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>
        <v>32.11</v>
      </c>
      <c r="W97" s="4"/>
      <c r="X97" s="4"/>
      <c r="Y97" s="4"/>
      <c r="Z97" s="4"/>
      <c r="AA97" s="4"/>
      <c r="AB97" s="4"/>
      <c r="AC97" s="4"/>
      <c r="AD97" s="4"/>
      <c r="AE97" s="4"/>
      <c r="AF97" s="4"/>
      <c r="AG97" t="s">
        <v>35</v>
      </c>
    </row>
    <row r="98" spans="2:33" x14ac:dyDescent="0.3">
      <c r="B98" s="3" t="s">
        <v>62</v>
      </c>
      <c r="C98">
        <v>34</v>
      </c>
      <c r="D98" t="s">
        <v>36</v>
      </c>
      <c r="E98">
        <v>67.5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t="s">
        <v>35</v>
      </c>
    </row>
    <row r="99" spans="2:33" x14ac:dyDescent="0.3">
      <c r="B99" s="3" t="s">
        <v>62</v>
      </c>
      <c r="C99">
        <v>37</v>
      </c>
      <c r="D99" t="s">
        <v>34</v>
      </c>
      <c r="F99" s="3">
        <v>35.9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>
        <v>35.9</v>
      </c>
      <c r="W99" s="4"/>
      <c r="X99" s="4"/>
      <c r="Y99" s="4"/>
      <c r="Z99" s="4"/>
      <c r="AA99" s="4"/>
      <c r="AB99" s="4"/>
      <c r="AC99" s="4"/>
      <c r="AD99" s="4"/>
      <c r="AE99" s="4"/>
      <c r="AF99" s="4"/>
      <c r="AG99" t="s">
        <v>35</v>
      </c>
    </row>
    <row r="100" spans="2:33" x14ac:dyDescent="0.3">
      <c r="B100" s="3" t="s">
        <v>62</v>
      </c>
      <c r="C100">
        <v>37</v>
      </c>
      <c r="D100" t="s">
        <v>36</v>
      </c>
      <c r="E100">
        <v>84.5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t="s">
        <v>35</v>
      </c>
    </row>
    <row r="101" spans="2:33" x14ac:dyDescent="0.3">
      <c r="B101" s="3" t="s">
        <v>62</v>
      </c>
      <c r="C101">
        <v>38</v>
      </c>
      <c r="D101" t="s">
        <v>34</v>
      </c>
      <c r="E101">
        <v>39</v>
      </c>
      <c r="F101" s="3">
        <v>32.19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>
        <v>32.19</v>
      </c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t="s">
        <v>35</v>
      </c>
    </row>
    <row r="102" spans="2:33" x14ac:dyDescent="0.3">
      <c r="B102" s="3" t="s">
        <v>62</v>
      </c>
      <c r="C102">
        <v>38</v>
      </c>
      <c r="D102" t="s">
        <v>36</v>
      </c>
      <c r="E102">
        <v>114.5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t="s">
        <v>35</v>
      </c>
    </row>
    <row r="103" spans="2:33" x14ac:dyDescent="0.3">
      <c r="B103" s="3" t="s">
        <v>62</v>
      </c>
      <c r="C103">
        <v>39</v>
      </c>
      <c r="D103" t="s">
        <v>34</v>
      </c>
      <c r="E103">
        <v>35</v>
      </c>
      <c r="F103" s="3">
        <v>76.599999999999994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>
        <v>37.72</v>
      </c>
      <c r="W103" s="4">
        <v>38.880000000000003</v>
      </c>
      <c r="X103" s="4"/>
      <c r="Y103" s="4"/>
      <c r="Z103" s="4"/>
      <c r="AA103" s="4"/>
      <c r="AB103" s="4"/>
      <c r="AC103" s="4"/>
      <c r="AD103" s="4"/>
      <c r="AE103" s="4"/>
      <c r="AF103" s="4"/>
      <c r="AG103" t="s">
        <v>35</v>
      </c>
    </row>
    <row r="104" spans="2:33" x14ac:dyDescent="0.3">
      <c r="B104" s="3" t="s">
        <v>62</v>
      </c>
      <c r="C104">
        <v>39</v>
      </c>
      <c r="D104" t="s">
        <v>36</v>
      </c>
      <c r="E104">
        <v>58.5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t="s">
        <v>35</v>
      </c>
    </row>
    <row r="105" spans="2:33" x14ac:dyDescent="0.3">
      <c r="B105" s="3" t="s">
        <v>62</v>
      </c>
      <c r="C105">
        <v>40</v>
      </c>
      <c r="D105" t="s">
        <v>34</v>
      </c>
      <c r="E105">
        <v>61.5</v>
      </c>
      <c r="F105" s="3">
        <v>84.62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>
        <v>36.840000000000003</v>
      </c>
      <c r="W105" s="4">
        <v>47.78</v>
      </c>
      <c r="X105" s="4"/>
      <c r="Y105" s="4"/>
      <c r="Z105" s="4"/>
      <c r="AA105" s="4"/>
      <c r="AB105" s="4"/>
      <c r="AC105" s="4"/>
      <c r="AD105" s="4"/>
      <c r="AE105" s="4"/>
      <c r="AF105" s="4"/>
      <c r="AG105" t="s">
        <v>35</v>
      </c>
    </row>
    <row r="106" spans="2:33" ht="15" customHeight="1" x14ac:dyDescent="0.3">
      <c r="B106" s="3" t="s">
        <v>62</v>
      </c>
      <c r="C106">
        <v>40</v>
      </c>
      <c r="D106" t="s">
        <v>36</v>
      </c>
      <c r="E106">
        <v>37.5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t="s">
        <v>35</v>
      </c>
    </row>
    <row r="107" spans="2:33" x14ac:dyDescent="0.3">
      <c r="B107" s="3" t="s">
        <v>62</v>
      </c>
      <c r="C107">
        <v>41</v>
      </c>
      <c r="D107" t="s">
        <v>34</v>
      </c>
      <c r="E107">
        <v>65.5</v>
      </c>
      <c r="F107" s="3">
        <v>35.5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>
        <v>35.5</v>
      </c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t="s">
        <v>35</v>
      </c>
    </row>
    <row r="108" spans="2:33" x14ac:dyDescent="0.3">
      <c r="B108" s="3" t="s">
        <v>62</v>
      </c>
      <c r="C108">
        <v>41</v>
      </c>
      <c r="D108" t="s">
        <v>36</v>
      </c>
      <c r="E108">
        <v>32.5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t="s">
        <v>35</v>
      </c>
    </row>
    <row r="109" spans="2:33" x14ac:dyDescent="0.3">
      <c r="B109" s="3" t="s">
        <v>62</v>
      </c>
      <c r="C109">
        <v>42</v>
      </c>
      <c r="D109" t="s">
        <v>34</v>
      </c>
      <c r="E109">
        <v>91.5</v>
      </c>
      <c r="F109" s="3">
        <v>34.380000000000003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>
        <v>34.380000000000003</v>
      </c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t="s">
        <v>35</v>
      </c>
    </row>
    <row r="110" spans="2:33" x14ac:dyDescent="0.3">
      <c r="B110" s="3" t="s">
        <v>62</v>
      </c>
      <c r="C110">
        <v>42</v>
      </c>
      <c r="D110" t="s">
        <v>36</v>
      </c>
      <c r="E110">
        <v>5.5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t="s">
        <v>35</v>
      </c>
    </row>
    <row r="111" spans="2:33" x14ac:dyDescent="0.3">
      <c r="B111" s="3" t="s">
        <v>62</v>
      </c>
      <c r="C111">
        <v>43</v>
      </c>
      <c r="D111" t="s">
        <v>34</v>
      </c>
      <c r="E111">
        <v>198</v>
      </c>
      <c r="F111" s="3">
        <v>167.19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>
        <v>43.97</v>
      </c>
      <c r="W111" s="4">
        <v>123.22</v>
      </c>
      <c r="X111" s="4"/>
      <c r="Y111" s="4"/>
      <c r="Z111" s="4"/>
      <c r="AA111" s="4"/>
      <c r="AB111" s="4"/>
      <c r="AC111" s="4"/>
      <c r="AD111" s="4"/>
      <c r="AE111" s="4"/>
      <c r="AF111" s="4"/>
      <c r="AG111" t="s">
        <v>35</v>
      </c>
    </row>
    <row r="112" spans="2:33" x14ac:dyDescent="0.3">
      <c r="B112" s="3" t="s">
        <v>62</v>
      </c>
      <c r="C112">
        <v>43</v>
      </c>
      <c r="D112" t="s">
        <v>36</v>
      </c>
      <c r="E112">
        <v>2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t="s">
        <v>35</v>
      </c>
    </row>
    <row r="113" spans="2:33" x14ac:dyDescent="0.3">
      <c r="B113" s="3" t="s">
        <v>62</v>
      </c>
      <c r="C113">
        <v>44</v>
      </c>
      <c r="D113" t="s">
        <v>34</v>
      </c>
      <c r="E113">
        <v>75</v>
      </c>
      <c r="F113" s="3">
        <v>189</v>
      </c>
      <c r="J113">
        <v>531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>
        <v>189</v>
      </c>
      <c r="X113" s="4"/>
      <c r="Y113" s="4"/>
      <c r="Z113" s="4"/>
      <c r="AA113" s="4"/>
      <c r="AB113" s="4"/>
      <c r="AC113" s="4"/>
      <c r="AD113" s="4"/>
      <c r="AE113" s="4"/>
      <c r="AF113" s="4"/>
      <c r="AG113" t="s">
        <v>35</v>
      </c>
    </row>
    <row r="114" spans="2:33" x14ac:dyDescent="0.3">
      <c r="B114" s="3" t="s">
        <v>62</v>
      </c>
      <c r="C114">
        <v>44</v>
      </c>
      <c r="D114" t="s">
        <v>36</v>
      </c>
      <c r="E114">
        <v>48.5</v>
      </c>
      <c r="F114" s="3">
        <v>70.930000000000007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70.930000000000007</v>
      </c>
      <c r="X114" s="4"/>
      <c r="Y114" s="4"/>
      <c r="Z114" s="4"/>
      <c r="AA114" s="4"/>
      <c r="AB114" s="4"/>
      <c r="AC114" s="4"/>
      <c r="AD114" s="4"/>
      <c r="AE114" s="4"/>
      <c r="AF114" s="4"/>
      <c r="AG114" t="s">
        <v>35</v>
      </c>
    </row>
    <row r="115" spans="2:33" x14ac:dyDescent="0.3">
      <c r="B115" s="3" t="s">
        <v>63</v>
      </c>
      <c r="C115">
        <v>45</v>
      </c>
      <c r="D115" t="s">
        <v>34</v>
      </c>
      <c r="E115">
        <v>298</v>
      </c>
      <c r="F115" s="3">
        <v>363.85</v>
      </c>
      <c r="I115">
        <v>223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>
        <v>329.56</v>
      </c>
      <c r="W115" s="4">
        <v>34.29</v>
      </c>
      <c r="X115" s="4"/>
      <c r="Y115" s="4"/>
      <c r="Z115" s="4"/>
      <c r="AA115" s="4"/>
      <c r="AB115" s="4"/>
      <c r="AC115" s="4"/>
      <c r="AD115" s="4"/>
      <c r="AE115" s="4"/>
      <c r="AF115" s="4"/>
      <c r="AG115" t="s">
        <v>35</v>
      </c>
    </row>
    <row r="116" spans="2:33" x14ac:dyDescent="0.3">
      <c r="B116" s="3" t="s">
        <v>63</v>
      </c>
      <c r="C116">
        <v>45</v>
      </c>
      <c r="D116" t="s">
        <v>36</v>
      </c>
      <c r="E116">
        <v>113.5</v>
      </c>
      <c r="F116" s="3">
        <v>19.84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19.84</v>
      </c>
      <c r="Y116" s="4"/>
      <c r="Z116" s="4"/>
      <c r="AA116" s="4"/>
      <c r="AB116" s="4"/>
      <c r="AC116" s="4"/>
      <c r="AD116" s="4"/>
      <c r="AE116" s="4"/>
      <c r="AF116" s="4"/>
      <c r="AG116" t="s">
        <v>35</v>
      </c>
    </row>
    <row r="117" spans="2:33" x14ac:dyDescent="0.3">
      <c r="B117" s="3" t="s">
        <v>63</v>
      </c>
      <c r="C117">
        <v>46</v>
      </c>
      <c r="D117" t="s">
        <v>34</v>
      </c>
      <c r="E117">
        <v>88</v>
      </c>
      <c r="F117" s="3">
        <v>89.05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>
        <v>32.99</v>
      </c>
      <c r="W117" s="4">
        <v>56.06</v>
      </c>
      <c r="X117" s="4"/>
      <c r="Y117" s="4"/>
      <c r="Z117" s="4"/>
      <c r="AA117" s="4"/>
      <c r="AB117" s="4"/>
      <c r="AC117" s="4"/>
      <c r="AD117" s="4"/>
      <c r="AE117" s="4"/>
      <c r="AF117" s="4"/>
      <c r="AG117" t="s">
        <v>35</v>
      </c>
    </row>
    <row r="118" spans="2:33" x14ac:dyDescent="0.3">
      <c r="B118" s="3" t="s">
        <v>63</v>
      </c>
      <c r="C118">
        <v>46</v>
      </c>
      <c r="D118" t="s">
        <v>36</v>
      </c>
      <c r="E118">
        <v>2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t="s">
        <v>35</v>
      </c>
    </row>
    <row r="119" spans="2:33" x14ac:dyDescent="0.3">
      <c r="B119" s="3" t="s">
        <v>63</v>
      </c>
      <c r="C119">
        <v>47</v>
      </c>
      <c r="D119" t="s">
        <v>34</v>
      </c>
      <c r="E119">
        <v>68.5</v>
      </c>
      <c r="F119" s="3">
        <v>35.479999999999997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>
        <v>35.479999999999997</v>
      </c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t="s">
        <v>35</v>
      </c>
    </row>
    <row r="120" spans="2:33" x14ac:dyDescent="0.3">
      <c r="B120" s="3" t="s">
        <v>63</v>
      </c>
      <c r="C120">
        <v>47</v>
      </c>
      <c r="D120" t="s">
        <v>36</v>
      </c>
      <c r="E120">
        <v>26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t="s">
        <v>35</v>
      </c>
    </row>
    <row r="121" spans="2:33" x14ac:dyDescent="0.3">
      <c r="B121" s="3" t="s">
        <v>63</v>
      </c>
      <c r="C121">
        <v>48</v>
      </c>
      <c r="D121" t="s">
        <v>34</v>
      </c>
      <c r="E121">
        <v>216.5</v>
      </c>
      <c r="F121" s="3">
        <v>206.17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129.66999999999999</v>
      </c>
      <c r="W121" s="4">
        <v>76.5</v>
      </c>
      <c r="X121" s="4"/>
      <c r="Y121" s="4"/>
      <c r="Z121" s="4"/>
      <c r="AA121" s="4"/>
      <c r="AB121" s="4"/>
      <c r="AC121" s="4"/>
      <c r="AD121" s="4"/>
      <c r="AE121" s="4"/>
      <c r="AF121" s="4"/>
      <c r="AG121" t="s">
        <v>35</v>
      </c>
    </row>
    <row r="122" spans="2:33" x14ac:dyDescent="0.3">
      <c r="B122" s="3" t="s">
        <v>63</v>
      </c>
      <c r="C122">
        <v>48</v>
      </c>
      <c r="D122" t="s">
        <v>36</v>
      </c>
      <c r="E122">
        <v>86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t="s">
        <v>35</v>
      </c>
    </row>
    <row r="123" spans="2:33" x14ac:dyDescent="0.3">
      <c r="B123" s="3" t="s">
        <v>63</v>
      </c>
      <c r="C123">
        <v>49</v>
      </c>
      <c r="D123" t="s">
        <v>34</v>
      </c>
      <c r="E123">
        <v>68</v>
      </c>
      <c r="F123" s="3">
        <v>97.16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>
        <v>68.16</v>
      </c>
      <c r="W123" s="4">
        <v>29</v>
      </c>
      <c r="X123" s="4"/>
      <c r="Y123" s="4"/>
      <c r="Z123" s="4"/>
      <c r="AA123" s="4"/>
      <c r="AB123" s="4"/>
      <c r="AC123" s="4"/>
      <c r="AD123" s="4"/>
      <c r="AE123" s="4"/>
      <c r="AF123" s="4"/>
      <c r="AG123" t="s">
        <v>35</v>
      </c>
    </row>
    <row r="124" spans="2:33" x14ac:dyDescent="0.3">
      <c r="B124" s="3" t="s">
        <v>63</v>
      </c>
      <c r="C124">
        <v>49</v>
      </c>
      <c r="D124" t="s">
        <v>36</v>
      </c>
      <c r="E124">
        <v>40.5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t="s">
        <v>35</v>
      </c>
    </row>
    <row r="125" spans="2:33" x14ac:dyDescent="0.3">
      <c r="B125" s="3" t="s">
        <v>63</v>
      </c>
      <c r="C125">
        <v>50</v>
      </c>
      <c r="D125" t="s">
        <v>34</v>
      </c>
      <c r="E125">
        <v>87.5</v>
      </c>
      <c r="F125" s="3">
        <v>35.42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>
        <v>35.42</v>
      </c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t="s">
        <v>35</v>
      </c>
    </row>
    <row r="126" spans="2:33" x14ac:dyDescent="0.3">
      <c r="B126" s="3" t="s">
        <v>63</v>
      </c>
      <c r="C126">
        <v>50</v>
      </c>
      <c r="D126" t="s">
        <v>36</v>
      </c>
      <c r="E126">
        <v>2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t="s">
        <v>35</v>
      </c>
    </row>
    <row r="127" spans="2:33" x14ac:dyDescent="0.3">
      <c r="B127" s="3" t="s">
        <v>63</v>
      </c>
      <c r="C127">
        <v>51</v>
      </c>
      <c r="D127" t="s">
        <v>34</v>
      </c>
      <c r="E127">
        <v>84.5</v>
      </c>
      <c r="F127" s="3">
        <v>34.409999999999997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>
        <v>34.409999999999997</v>
      </c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t="s">
        <v>35</v>
      </c>
    </row>
    <row r="128" spans="2:33" x14ac:dyDescent="0.3">
      <c r="B128" s="3" t="s">
        <v>63</v>
      </c>
      <c r="C128">
        <v>51</v>
      </c>
      <c r="D128" t="s">
        <v>36</v>
      </c>
      <c r="E128">
        <v>2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t="s">
        <v>35</v>
      </c>
    </row>
    <row r="129" spans="2:33" x14ac:dyDescent="0.3">
      <c r="B129" s="3" t="s">
        <v>63</v>
      </c>
      <c r="C129">
        <v>52</v>
      </c>
      <c r="D129" t="s">
        <v>34</v>
      </c>
      <c r="E129">
        <v>109</v>
      </c>
      <c r="F129" s="3">
        <v>47.44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>
        <v>47.44</v>
      </c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t="s">
        <v>35</v>
      </c>
    </row>
    <row r="130" spans="2:33" x14ac:dyDescent="0.3">
      <c r="B130" s="3" t="s">
        <v>63</v>
      </c>
      <c r="C130">
        <v>52</v>
      </c>
      <c r="D130" t="s">
        <v>36</v>
      </c>
      <c r="E130">
        <v>9.5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t="s">
        <v>35</v>
      </c>
    </row>
    <row r="131" spans="2:33" x14ac:dyDescent="0.3">
      <c r="B131" s="3" t="s">
        <v>63</v>
      </c>
      <c r="C131">
        <v>53</v>
      </c>
      <c r="D131" t="s">
        <v>34</v>
      </c>
      <c r="E131">
        <v>255</v>
      </c>
      <c r="F131" s="3">
        <v>255.86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>
        <v>67.05</v>
      </c>
      <c r="W131" s="4"/>
      <c r="X131" s="4">
        <v>188.81</v>
      </c>
      <c r="Y131" s="4"/>
      <c r="Z131" s="4"/>
      <c r="AA131" s="4"/>
      <c r="AB131" s="4"/>
      <c r="AC131" s="4"/>
      <c r="AD131" s="4"/>
      <c r="AE131" s="4"/>
      <c r="AF131" s="4"/>
      <c r="AG131" t="s">
        <v>35</v>
      </c>
    </row>
    <row r="132" spans="2:33" x14ac:dyDescent="0.3">
      <c r="B132" s="3" t="s">
        <v>63</v>
      </c>
      <c r="C132">
        <v>53</v>
      </c>
      <c r="D132" t="s">
        <v>36</v>
      </c>
      <c r="E132">
        <v>144</v>
      </c>
      <c r="F132" s="3">
        <v>0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t="s">
        <v>35</v>
      </c>
    </row>
    <row r="133" spans="2:33" x14ac:dyDescent="0.3">
      <c r="B133" s="3" t="s">
        <v>64</v>
      </c>
      <c r="C133">
        <v>54</v>
      </c>
      <c r="D133" t="s">
        <v>34</v>
      </c>
      <c r="E133">
        <v>561.5</v>
      </c>
      <c r="F133" s="7">
        <v>445.49</v>
      </c>
      <c r="G133">
        <v>32</v>
      </c>
      <c r="H133">
        <v>186.84</v>
      </c>
      <c r="I133">
        <v>443</v>
      </c>
      <c r="J133">
        <v>2397</v>
      </c>
      <c r="L133" s="4"/>
      <c r="M133" s="4"/>
      <c r="N133" s="4"/>
      <c r="O133" s="4"/>
      <c r="P133" s="4"/>
      <c r="Q133" s="4"/>
      <c r="R133" s="4"/>
      <c r="S133" s="4">
        <v>162.16499999999999</v>
      </c>
      <c r="T133" s="4">
        <v>283.32499999999999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t="s">
        <v>35</v>
      </c>
    </row>
    <row r="134" spans="2:33" x14ac:dyDescent="0.3">
      <c r="B134" s="3" t="s">
        <v>64</v>
      </c>
      <c r="C134">
        <v>54</v>
      </c>
      <c r="D134" t="s">
        <v>36</v>
      </c>
      <c r="E134">
        <v>144.5</v>
      </c>
      <c r="F134" s="7">
        <v>75.599999999999994</v>
      </c>
      <c r="L134" s="4"/>
      <c r="M134" s="4"/>
      <c r="N134" s="4"/>
      <c r="O134" s="4"/>
      <c r="P134" s="4"/>
      <c r="Q134" s="4"/>
      <c r="R134" s="4"/>
      <c r="S134" s="4"/>
      <c r="T134" s="4">
        <v>75.599999999999994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t="s">
        <v>35</v>
      </c>
    </row>
    <row r="135" spans="2:33" x14ac:dyDescent="0.3">
      <c r="B135" s="3" t="s">
        <v>64</v>
      </c>
      <c r="C135">
        <v>55</v>
      </c>
      <c r="D135" t="s">
        <v>34</v>
      </c>
      <c r="E135">
        <v>451.5</v>
      </c>
      <c r="F135" s="7">
        <v>629.14</v>
      </c>
      <c r="I135">
        <v>788</v>
      </c>
      <c r="L135" s="4"/>
      <c r="M135" s="4"/>
      <c r="N135" s="4"/>
      <c r="O135" s="4"/>
      <c r="P135" s="4"/>
      <c r="Q135" s="4"/>
      <c r="R135" s="4"/>
      <c r="S135" s="4"/>
      <c r="T135" s="4">
        <v>629.14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t="s">
        <v>35</v>
      </c>
    </row>
    <row r="136" spans="2:33" x14ac:dyDescent="0.3">
      <c r="B136" s="3" t="s">
        <v>64</v>
      </c>
      <c r="C136">
        <v>55</v>
      </c>
      <c r="D136" t="s">
        <v>36</v>
      </c>
      <c r="E136">
        <v>144.5</v>
      </c>
      <c r="F136" s="7">
        <v>37.89</v>
      </c>
      <c r="L136" s="4"/>
      <c r="M136" s="4"/>
      <c r="N136" s="4"/>
      <c r="O136" s="4"/>
      <c r="P136" s="4"/>
      <c r="Q136" s="4"/>
      <c r="R136" s="4"/>
      <c r="S136" s="4"/>
      <c r="T136" s="4">
        <v>37.89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t="s">
        <v>35</v>
      </c>
    </row>
    <row r="137" spans="2:33" x14ac:dyDescent="0.3">
      <c r="B137" s="3" t="s">
        <v>64</v>
      </c>
      <c r="C137">
        <v>56</v>
      </c>
      <c r="D137" t="s">
        <v>34</v>
      </c>
      <c r="E137">
        <v>322</v>
      </c>
      <c r="F137" s="7">
        <v>108.02</v>
      </c>
      <c r="I137">
        <v>654</v>
      </c>
      <c r="L137" s="4"/>
      <c r="M137" s="4"/>
      <c r="N137" s="4"/>
      <c r="O137" s="4"/>
      <c r="P137" s="4"/>
      <c r="Q137" s="4"/>
      <c r="R137" s="4"/>
      <c r="S137" s="4"/>
      <c r="T137" s="4">
        <v>108.02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t="s">
        <v>35</v>
      </c>
    </row>
    <row r="138" spans="2:33" x14ac:dyDescent="0.3">
      <c r="B138" s="3" t="s">
        <v>64</v>
      </c>
      <c r="C138">
        <v>56</v>
      </c>
      <c r="D138" t="s">
        <v>36</v>
      </c>
      <c r="E138">
        <v>100</v>
      </c>
      <c r="F138" s="7">
        <v>1.55</v>
      </c>
      <c r="L138" s="4"/>
      <c r="M138" s="4"/>
      <c r="N138" s="4"/>
      <c r="O138" s="4"/>
      <c r="P138" s="4"/>
      <c r="Q138" s="4"/>
      <c r="R138" s="4"/>
      <c r="S138" s="4"/>
      <c r="T138" s="4">
        <v>1.55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t="s">
        <v>35</v>
      </c>
    </row>
    <row r="139" spans="2:33" x14ac:dyDescent="0.3">
      <c r="B139" t="s">
        <v>65</v>
      </c>
      <c r="C139">
        <v>57</v>
      </c>
      <c r="D139" t="s">
        <v>34</v>
      </c>
      <c r="E139">
        <v>0</v>
      </c>
      <c r="F139" s="3">
        <v>296.60000000000002</v>
      </c>
      <c r="I139">
        <v>511</v>
      </c>
      <c r="J139">
        <v>393</v>
      </c>
      <c r="L139" s="4"/>
      <c r="M139" s="4"/>
      <c r="N139" s="4"/>
      <c r="O139" s="4"/>
      <c r="P139" s="4"/>
      <c r="Q139" s="4"/>
      <c r="R139" s="4">
        <v>296.60000000000002</v>
      </c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t="s">
        <v>35</v>
      </c>
    </row>
    <row r="140" spans="2:33" x14ac:dyDescent="0.3">
      <c r="B140" t="s">
        <v>65</v>
      </c>
      <c r="C140">
        <v>57</v>
      </c>
      <c r="D140" t="s">
        <v>36</v>
      </c>
      <c r="E140">
        <v>437</v>
      </c>
      <c r="F140" s="3">
        <v>0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t="s">
        <v>35</v>
      </c>
    </row>
    <row r="141" spans="2:33" x14ac:dyDescent="0.3">
      <c r="B141" t="s">
        <v>65</v>
      </c>
      <c r="C141">
        <v>58</v>
      </c>
      <c r="D141" t="s">
        <v>34</v>
      </c>
      <c r="E141">
        <v>141.5</v>
      </c>
      <c r="F141" s="3">
        <v>204.3</v>
      </c>
      <c r="I141">
        <v>118</v>
      </c>
      <c r="L141" s="4"/>
      <c r="M141" s="4"/>
      <c r="N141" s="4"/>
      <c r="O141" s="4"/>
      <c r="P141" s="4"/>
      <c r="Q141" s="4"/>
      <c r="R141" s="4">
        <v>102.5</v>
      </c>
      <c r="S141" s="4"/>
      <c r="T141" s="4"/>
      <c r="U141" s="4">
        <v>28.8</v>
      </c>
      <c r="V141" s="4">
        <v>73</v>
      </c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t="s">
        <v>35</v>
      </c>
    </row>
    <row r="142" spans="2:33" x14ac:dyDescent="0.3">
      <c r="B142" t="s">
        <v>65</v>
      </c>
      <c r="C142">
        <v>58</v>
      </c>
      <c r="D142" t="s">
        <v>36</v>
      </c>
      <c r="E142">
        <v>70.5</v>
      </c>
      <c r="F142" s="3">
        <v>48</v>
      </c>
      <c r="L142" s="4"/>
      <c r="M142" s="4"/>
      <c r="N142" s="4"/>
      <c r="O142" s="4"/>
      <c r="P142" s="4"/>
      <c r="Q142" s="4"/>
      <c r="R142" s="4">
        <v>16</v>
      </c>
      <c r="S142" s="4"/>
      <c r="T142" s="4"/>
      <c r="U142" s="4"/>
      <c r="V142" s="4">
        <v>32</v>
      </c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t="s">
        <v>35</v>
      </c>
    </row>
    <row r="143" spans="2:33" x14ac:dyDescent="0.3">
      <c r="B143" s="3" t="s">
        <v>66</v>
      </c>
      <c r="C143">
        <v>59</v>
      </c>
      <c r="D143" t="s">
        <v>34</v>
      </c>
      <c r="E143">
        <v>75.5</v>
      </c>
      <c r="F143" s="3">
        <v>220.59</v>
      </c>
      <c r="I143">
        <v>2295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5">
        <v>220.59</v>
      </c>
      <c r="Y143" s="4"/>
      <c r="Z143" s="4"/>
      <c r="AA143" s="4"/>
      <c r="AB143" s="4"/>
      <c r="AC143" s="4"/>
      <c r="AD143" s="4"/>
      <c r="AE143" s="4"/>
      <c r="AF143" s="4"/>
      <c r="AG143" t="s">
        <v>35</v>
      </c>
    </row>
    <row r="144" spans="2:33" x14ac:dyDescent="0.3">
      <c r="B144" s="3" t="s">
        <v>66</v>
      </c>
      <c r="C144">
        <v>59</v>
      </c>
      <c r="D144" t="s">
        <v>36</v>
      </c>
      <c r="E144">
        <v>130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t="s">
        <v>35</v>
      </c>
    </row>
    <row r="145" spans="2:38" x14ac:dyDescent="0.3">
      <c r="B145" t="s">
        <v>67</v>
      </c>
      <c r="C145">
        <v>60</v>
      </c>
      <c r="D145" t="s">
        <v>34</v>
      </c>
      <c r="E145">
        <v>174</v>
      </c>
      <c r="I145">
        <v>220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spans="2:38" x14ac:dyDescent="0.3">
      <c r="B146" t="s">
        <v>67</v>
      </c>
      <c r="C146">
        <v>60</v>
      </c>
      <c r="D146" t="s">
        <v>36</v>
      </c>
      <c r="E146">
        <v>415.5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spans="2:38" x14ac:dyDescent="0.3">
      <c r="B147" t="s">
        <v>68</v>
      </c>
      <c r="C147">
        <v>60</v>
      </c>
      <c r="D147" t="s">
        <v>34</v>
      </c>
      <c r="E147">
        <v>28.85</v>
      </c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spans="2:38" x14ac:dyDescent="0.3">
      <c r="B148" t="s">
        <v>68</v>
      </c>
      <c r="C148">
        <v>60</v>
      </c>
      <c r="D148" t="s">
        <v>36</v>
      </c>
      <c r="E148">
        <v>138.24</v>
      </c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spans="2:38" x14ac:dyDescent="0.3">
      <c r="B149" t="s">
        <v>69</v>
      </c>
      <c r="C149">
        <v>61</v>
      </c>
      <c r="D149" t="s">
        <v>34</v>
      </c>
      <c r="E149">
        <v>0</v>
      </c>
      <c r="F149" s="3">
        <v>0</v>
      </c>
      <c r="I149">
        <v>94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spans="2:38" x14ac:dyDescent="0.3">
      <c r="B150" t="s">
        <v>69</v>
      </c>
      <c r="C150">
        <v>61</v>
      </c>
      <c r="D150" t="s">
        <v>36</v>
      </c>
      <c r="E150">
        <v>1799.2</v>
      </c>
      <c r="F150" s="3">
        <v>1316.7</v>
      </c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>
        <v>888</v>
      </c>
      <c r="Z150" s="4">
        <v>428.7</v>
      </c>
      <c r="AA150" s="4"/>
      <c r="AB150" s="4"/>
      <c r="AC150" s="4"/>
      <c r="AD150" s="4"/>
      <c r="AE150" s="4"/>
      <c r="AF150" s="4"/>
      <c r="AG150" t="s">
        <v>40</v>
      </c>
    </row>
    <row r="151" spans="2:38" x14ac:dyDescent="0.3">
      <c r="B151" t="s">
        <v>70</v>
      </c>
      <c r="C151">
        <v>61</v>
      </c>
      <c r="D151" t="s">
        <v>34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spans="2:38" x14ac:dyDescent="0.3">
      <c r="B152" t="s">
        <v>70</v>
      </c>
      <c r="C152">
        <v>61</v>
      </c>
      <c r="D152" t="s">
        <v>36</v>
      </c>
      <c r="E152">
        <v>109.8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spans="2:38" x14ac:dyDescent="0.3">
      <c r="B153" t="s">
        <v>71</v>
      </c>
      <c r="C153">
        <v>62</v>
      </c>
      <c r="D153" t="s">
        <v>34</v>
      </c>
      <c r="I153">
        <v>32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spans="2:38" x14ac:dyDescent="0.3">
      <c r="B154" t="s">
        <v>71</v>
      </c>
      <c r="C154">
        <v>62</v>
      </c>
      <c r="D154" t="s">
        <v>36</v>
      </c>
      <c r="E154">
        <v>59.5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spans="2:38" x14ac:dyDescent="0.3">
      <c r="B155" t="s">
        <v>72</v>
      </c>
      <c r="C155">
        <v>63</v>
      </c>
      <c r="D155" t="s">
        <v>34</v>
      </c>
      <c r="I155">
        <v>1180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L155">
        <v>1746.61</v>
      </c>
    </row>
    <row r="156" spans="2:38" x14ac:dyDescent="0.3">
      <c r="B156" t="s">
        <v>72</v>
      </c>
      <c r="C156">
        <v>63</v>
      </c>
      <c r="D156" t="s">
        <v>36</v>
      </c>
      <c r="E156">
        <v>382.5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L156">
        <v>1471.49</v>
      </c>
    </row>
    <row r="157" spans="2:38" x14ac:dyDescent="0.3">
      <c r="B157" t="s">
        <v>73</v>
      </c>
      <c r="C157">
        <v>63</v>
      </c>
      <c r="D157" t="s">
        <v>34</v>
      </c>
      <c r="E157">
        <v>418.5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L157">
        <f>AL155-AL156</f>
        <v>275.11999999999989</v>
      </c>
    </row>
    <row r="158" spans="2:38" x14ac:dyDescent="0.3">
      <c r="B158" t="s">
        <v>73</v>
      </c>
      <c r="C158">
        <v>63</v>
      </c>
      <c r="D158" t="s">
        <v>36</v>
      </c>
      <c r="E158">
        <v>441.5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 spans="2:38" x14ac:dyDescent="0.3">
      <c r="B159" s="3" t="s">
        <v>75</v>
      </c>
      <c r="C159">
        <v>64</v>
      </c>
      <c r="D159" t="s">
        <v>34</v>
      </c>
      <c r="E159">
        <v>240.4</v>
      </c>
      <c r="F159" s="3">
        <v>766.04399999999998</v>
      </c>
      <c r="G159">
        <v>18</v>
      </c>
      <c r="H159">
        <v>61.47</v>
      </c>
      <c r="I159">
        <v>1989</v>
      </c>
      <c r="J159">
        <v>1901</v>
      </c>
      <c r="L159" s="4"/>
      <c r="M159" s="4"/>
      <c r="N159" s="4"/>
      <c r="O159" s="4"/>
      <c r="P159" s="4"/>
      <c r="Q159" s="4"/>
      <c r="R159" s="4"/>
      <c r="S159" s="4"/>
      <c r="T159" s="4"/>
      <c r="U159" s="4">
        <f>528.5-68.36+91.707</f>
        <v>551.84699999999998</v>
      </c>
      <c r="V159" s="4">
        <f>52.4-0.15+91.707</f>
        <v>143.95699999999999</v>
      </c>
      <c r="W159" s="4"/>
      <c r="X159" s="4">
        <v>70.239999999999995</v>
      </c>
      <c r="Y159" s="4"/>
      <c r="Z159" s="4"/>
      <c r="AA159" s="4"/>
      <c r="AB159" s="4"/>
      <c r="AC159" s="4"/>
      <c r="AD159" s="4"/>
      <c r="AE159" s="4"/>
      <c r="AF159" s="4"/>
      <c r="AG159" t="s">
        <v>74</v>
      </c>
    </row>
    <row r="160" spans="2:38" x14ac:dyDescent="0.3">
      <c r="B160" s="3" t="s">
        <v>75</v>
      </c>
      <c r="C160">
        <v>64</v>
      </c>
      <c r="D160" t="s">
        <v>36</v>
      </c>
      <c r="E160">
        <v>976.24</v>
      </c>
      <c r="F160" s="3">
        <v>162.15</v>
      </c>
      <c r="L160" s="4"/>
      <c r="M160" s="4"/>
      <c r="N160" s="4"/>
      <c r="O160" s="4"/>
      <c r="P160" s="4"/>
      <c r="Q160" s="4"/>
      <c r="R160" s="4"/>
      <c r="S160" s="4"/>
      <c r="T160" s="4"/>
      <c r="U160" s="4">
        <v>42.7</v>
      </c>
      <c r="V160" s="4"/>
      <c r="W160" s="4">
        <v>39.799999999999997</v>
      </c>
      <c r="X160" s="4">
        <v>8.81</v>
      </c>
      <c r="Y160" s="4">
        <v>70.84</v>
      </c>
      <c r="Z160" s="4"/>
      <c r="AA160" s="4"/>
      <c r="AB160" s="4"/>
      <c r="AC160" s="4"/>
      <c r="AD160" s="4"/>
      <c r="AE160" s="4"/>
      <c r="AF160" s="4"/>
      <c r="AG160" t="s">
        <v>74</v>
      </c>
      <c r="AL160">
        <f>AL157/3</f>
        <v>91.706666666666635</v>
      </c>
    </row>
    <row r="161" spans="2:33" x14ac:dyDescent="0.3">
      <c r="B161" s="3" t="s">
        <v>75</v>
      </c>
      <c r="C161">
        <v>65</v>
      </c>
      <c r="D161" t="s">
        <v>34</v>
      </c>
      <c r="E161">
        <v>286</v>
      </c>
      <c r="F161" s="3">
        <v>466.40699999999998</v>
      </c>
      <c r="G161">
        <v>8</v>
      </c>
      <c r="H161">
        <v>28.55</v>
      </c>
      <c r="I161">
        <v>574</v>
      </c>
      <c r="J161">
        <v>822</v>
      </c>
      <c r="L161" s="4"/>
      <c r="M161" s="4"/>
      <c r="N161" s="4"/>
      <c r="O161" s="4"/>
      <c r="P161" s="4"/>
      <c r="Q161" s="4"/>
      <c r="R161" s="4"/>
      <c r="S161" s="4"/>
      <c r="T161" s="4"/>
      <c r="U161" s="4">
        <f>67.2+51</f>
        <v>118.2</v>
      </c>
      <c r="V161" s="4">
        <f>256.5+91.707</f>
        <v>348.20699999999999</v>
      </c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t="s">
        <v>74</v>
      </c>
    </row>
    <row r="162" spans="2:33" x14ac:dyDescent="0.3">
      <c r="B162" s="3" t="s">
        <v>75</v>
      </c>
      <c r="C162">
        <v>65</v>
      </c>
      <c r="D162" t="s">
        <v>36</v>
      </c>
      <c r="E162">
        <v>566.29999999999995</v>
      </c>
      <c r="F162" s="3">
        <v>142.61000000000001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>
        <v>65.599999999999994</v>
      </c>
      <c r="X162" s="4"/>
      <c r="Y162" s="4">
        <f>14.84+38.87+23.3</f>
        <v>77.009999999999991</v>
      </c>
      <c r="Z162" s="4"/>
      <c r="AA162" s="4"/>
      <c r="AB162" s="4"/>
      <c r="AC162" s="4"/>
      <c r="AD162" s="4"/>
      <c r="AE162" s="4"/>
      <c r="AF162" s="4"/>
      <c r="AG162" t="s">
        <v>74</v>
      </c>
    </row>
    <row r="163" spans="2:33" x14ac:dyDescent="0.3">
      <c r="B163" s="3" t="s">
        <v>75</v>
      </c>
      <c r="C163">
        <v>66</v>
      </c>
      <c r="D163" t="s">
        <v>34</v>
      </c>
      <c r="F163" s="3">
        <v>207.4</v>
      </c>
      <c r="G163">
        <v>7</v>
      </c>
      <c r="H163">
        <v>21.76</v>
      </c>
      <c r="I163">
        <v>597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>
        <v>207.4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t="s">
        <v>74</v>
      </c>
    </row>
    <row r="164" spans="2:33" x14ac:dyDescent="0.3">
      <c r="B164" s="3" t="s">
        <v>75</v>
      </c>
      <c r="C164">
        <v>66</v>
      </c>
      <c r="D164" t="s">
        <v>36</v>
      </c>
      <c r="E164">
        <v>116.6</v>
      </c>
      <c r="F164" s="3">
        <v>2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>
        <v>2</v>
      </c>
      <c r="X164" s="4"/>
      <c r="Y164" s="4"/>
      <c r="Z164" s="4"/>
      <c r="AA164" s="4"/>
      <c r="AB164" s="4"/>
      <c r="AC164" s="4"/>
      <c r="AD164" s="4"/>
      <c r="AE164" s="4"/>
      <c r="AF164" s="4"/>
      <c r="AG164" t="s">
        <v>74</v>
      </c>
    </row>
    <row r="165" spans="2:33" x14ac:dyDescent="0.3">
      <c r="B165" t="s">
        <v>76</v>
      </c>
      <c r="C165">
        <v>67</v>
      </c>
      <c r="D165" t="s">
        <v>34</v>
      </c>
      <c r="E165">
        <v>772.07</v>
      </c>
      <c r="I165">
        <v>785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spans="2:33" x14ac:dyDescent="0.3">
      <c r="B166" t="s">
        <v>76</v>
      </c>
      <c r="C166">
        <v>67</v>
      </c>
      <c r="D166" t="s">
        <v>36</v>
      </c>
      <c r="E166">
        <v>894.97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spans="2:33" x14ac:dyDescent="0.3">
      <c r="B167" t="s">
        <v>77</v>
      </c>
      <c r="C167">
        <v>68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spans="2:33" x14ac:dyDescent="0.3">
      <c r="B168" t="s">
        <v>77</v>
      </c>
      <c r="C168">
        <v>68</v>
      </c>
      <c r="D168" t="s">
        <v>36</v>
      </c>
      <c r="E168">
        <v>747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spans="2:33" x14ac:dyDescent="0.3">
      <c r="B169" s="3" t="s">
        <v>78</v>
      </c>
      <c r="C169">
        <v>69</v>
      </c>
      <c r="D169" t="s">
        <v>34</v>
      </c>
      <c r="E169">
        <v>205.65</v>
      </c>
      <c r="F169" s="3">
        <v>76.400000000000006</v>
      </c>
      <c r="I169">
        <v>288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>
        <v>76.400000000000006</v>
      </c>
      <c r="Y169" s="4"/>
      <c r="Z169" s="4"/>
      <c r="AA169" s="4"/>
      <c r="AB169" s="4"/>
      <c r="AC169" s="4"/>
      <c r="AD169" s="4"/>
      <c r="AE169" s="4"/>
      <c r="AF169" s="4"/>
      <c r="AG169" t="s">
        <v>35</v>
      </c>
    </row>
    <row r="170" spans="2:33" x14ac:dyDescent="0.3">
      <c r="B170" s="3" t="s">
        <v>78</v>
      </c>
      <c r="C170">
        <v>69</v>
      </c>
      <c r="D170" t="s">
        <v>36</v>
      </c>
      <c r="E170">
        <v>59.6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t="s">
        <v>35</v>
      </c>
    </row>
    <row r="171" spans="2:33" x14ac:dyDescent="0.3">
      <c r="B171" s="3" t="s">
        <v>78</v>
      </c>
      <c r="C171">
        <v>70</v>
      </c>
      <c r="D171" t="s">
        <v>34</v>
      </c>
      <c r="E171">
        <v>62.5</v>
      </c>
      <c r="F171" s="3">
        <v>344.13</v>
      </c>
      <c r="I171">
        <v>415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>
        <v>81.8</v>
      </c>
      <c r="X171" s="4">
        <f>42+158.17+61.95+0.21</f>
        <v>262.33</v>
      </c>
      <c r="Y171" s="4"/>
      <c r="Z171" s="4"/>
      <c r="AA171" s="4"/>
      <c r="AB171" s="4"/>
      <c r="AC171" s="4"/>
      <c r="AD171" s="4"/>
      <c r="AE171" s="4"/>
      <c r="AF171" s="4"/>
      <c r="AG171" t="s">
        <v>35</v>
      </c>
    </row>
    <row r="172" spans="2:33" x14ac:dyDescent="0.3">
      <c r="B172" s="3" t="s">
        <v>78</v>
      </c>
      <c r="C172">
        <v>70</v>
      </c>
      <c r="D172" t="s">
        <v>36</v>
      </c>
      <c r="E172">
        <v>63</v>
      </c>
      <c r="F172" s="3">
        <v>47.56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>
        <v>47.56</v>
      </c>
      <c r="Y172" s="4"/>
      <c r="Z172" s="4"/>
      <c r="AA172" s="4"/>
      <c r="AB172" s="4"/>
      <c r="AC172" s="4"/>
      <c r="AD172" s="4"/>
      <c r="AE172" s="4"/>
      <c r="AF172" s="4"/>
      <c r="AG172" t="s">
        <v>35</v>
      </c>
    </row>
    <row r="173" spans="2:33" x14ac:dyDescent="0.3">
      <c r="B173" t="s">
        <v>79</v>
      </c>
      <c r="C173">
        <v>71</v>
      </c>
      <c r="D173" t="s">
        <v>34</v>
      </c>
      <c r="E173">
        <v>217</v>
      </c>
      <c r="I173">
        <v>141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spans="2:33" x14ac:dyDescent="0.3">
      <c r="B174" t="s">
        <v>79</v>
      </c>
      <c r="C174">
        <v>71</v>
      </c>
      <c r="D174" t="s">
        <v>36</v>
      </c>
      <c r="E174">
        <v>28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spans="2:33" x14ac:dyDescent="0.3">
      <c r="B175" t="s">
        <v>80</v>
      </c>
      <c r="C175">
        <v>71</v>
      </c>
      <c r="D175" t="s">
        <v>34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spans="2:33" x14ac:dyDescent="0.3">
      <c r="B176" t="s">
        <v>80</v>
      </c>
      <c r="C176">
        <v>71</v>
      </c>
      <c r="D176" t="s">
        <v>36</v>
      </c>
      <c r="E176">
        <v>125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spans="2:33" x14ac:dyDescent="0.3">
      <c r="B177" t="s">
        <v>81</v>
      </c>
      <c r="C177">
        <v>73</v>
      </c>
      <c r="D177" t="s">
        <v>34</v>
      </c>
      <c r="E177">
        <v>131.30000000000001</v>
      </c>
      <c r="I177">
        <v>134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spans="2:33" x14ac:dyDescent="0.3">
      <c r="B178" t="s">
        <v>81</v>
      </c>
      <c r="C178">
        <v>73</v>
      </c>
      <c r="D178" t="s">
        <v>36</v>
      </c>
      <c r="E178">
        <v>15.2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spans="2:33" x14ac:dyDescent="0.3">
      <c r="B179" t="s">
        <v>82</v>
      </c>
      <c r="C179">
        <v>74</v>
      </c>
      <c r="D179" t="s">
        <v>34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spans="2:33" x14ac:dyDescent="0.3">
      <c r="B180" t="s">
        <v>82</v>
      </c>
      <c r="C180">
        <v>74</v>
      </c>
      <c r="D180" t="s">
        <v>36</v>
      </c>
      <c r="E180">
        <v>1021.03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 spans="2:33" x14ac:dyDescent="0.3">
      <c r="B181" s="3" t="s">
        <v>83</v>
      </c>
      <c r="C181">
        <v>74</v>
      </c>
      <c r="D181" t="s">
        <v>34</v>
      </c>
      <c r="E181">
        <v>341.2</v>
      </c>
      <c r="F181" s="3">
        <v>145.88</v>
      </c>
      <c r="I181">
        <v>37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>
        <v>78.180000000000007</v>
      </c>
      <c r="X181" s="4">
        <f>18.75+12+36.95</f>
        <v>67.7</v>
      </c>
      <c r="Y181" s="4"/>
      <c r="Z181" s="4"/>
      <c r="AA181" s="4"/>
      <c r="AB181" s="4"/>
      <c r="AC181" s="4"/>
      <c r="AD181" s="4"/>
      <c r="AE181" s="4"/>
      <c r="AF181" s="4"/>
      <c r="AG181" t="s">
        <v>35</v>
      </c>
    </row>
    <row r="182" spans="2:33" x14ac:dyDescent="0.3">
      <c r="B182" s="3" t="s">
        <v>83</v>
      </c>
      <c r="C182">
        <v>74</v>
      </c>
      <c r="D182" t="s">
        <v>36</v>
      </c>
      <c r="E182">
        <v>83.8</v>
      </c>
      <c r="F182" s="3">
        <v>55.83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>
        <f>34.75+6.11+14.97</f>
        <v>55.83</v>
      </c>
      <c r="Y182" s="4"/>
      <c r="Z182" s="4"/>
      <c r="AA182" s="4"/>
      <c r="AB182" s="4"/>
      <c r="AC182" s="4"/>
      <c r="AD182" s="4"/>
      <c r="AE182" s="4"/>
      <c r="AF182" s="4"/>
      <c r="AG182" t="s">
        <v>35</v>
      </c>
    </row>
    <row r="183" spans="2:33" x14ac:dyDescent="0.3">
      <c r="B183" t="s">
        <v>84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t="s">
        <v>40</v>
      </c>
    </row>
    <row r="184" spans="2:33" x14ac:dyDescent="0.3">
      <c r="B184" t="s">
        <v>84</v>
      </c>
      <c r="C184">
        <v>75</v>
      </c>
      <c r="D184" t="s">
        <v>36</v>
      </c>
      <c r="E184">
        <v>226.5</v>
      </c>
      <c r="F184" s="3">
        <v>42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>
        <v>42</v>
      </c>
      <c r="AA184" s="4"/>
      <c r="AB184" s="4"/>
      <c r="AC184" s="4"/>
      <c r="AD184" s="4"/>
      <c r="AE184" s="4"/>
      <c r="AF184" s="4"/>
    </row>
    <row r="185" spans="2:33" x14ac:dyDescent="0.3">
      <c r="B185" t="s">
        <v>85</v>
      </c>
      <c r="C185">
        <v>75</v>
      </c>
      <c r="D185" t="s">
        <v>34</v>
      </c>
      <c r="E185">
        <v>375</v>
      </c>
      <c r="I185">
        <v>87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2:33" x14ac:dyDescent="0.3">
      <c r="B186" t="s">
        <v>85</v>
      </c>
      <c r="C186">
        <v>75</v>
      </c>
      <c r="D186" t="s">
        <v>36</v>
      </c>
      <c r="E186">
        <v>244.5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spans="2:33" x14ac:dyDescent="0.3">
      <c r="B187" t="s">
        <v>86</v>
      </c>
      <c r="C187">
        <v>75</v>
      </c>
      <c r="D187" t="s">
        <v>34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t="s">
        <v>40</v>
      </c>
    </row>
    <row r="188" spans="2:33" x14ac:dyDescent="0.3">
      <c r="B188" t="s">
        <v>86</v>
      </c>
      <c r="C188">
        <v>75</v>
      </c>
      <c r="D188" t="s">
        <v>36</v>
      </c>
      <c r="E188">
        <v>338.5</v>
      </c>
      <c r="F188" s="3">
        <v>377.8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>
        <v>377.8</v>
      </c>
      <c r="AA188" s="4"/>
      <c r="AB188" s="4"/>
      <c r="AC188" s="4"/>
      <c r="AD188" s="4"/>
      <c r="AE188" s="4"/>
      <c r="AF188" s="4"/>
      <c r="AG188" t="s">
        <v>40</v>
      </c>
    </row>
    <row r="189" spans="2:33" x14ac:dyDescent="0.3">
      <c r="B189" t="s">
        <v>87</v>
      </c>
      <c r="C189">
        <v>75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spans="2:33" x14ac:dyDescent="0.3">
      <c r="B190" t="s">
        <v>87</v>
      </c>
      <c r="C190">
        <v>75</v>
      </c>
      <c r="D190" t="s">
        <v>36</v>
      </c>
      <c r="E190">
        <v>238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spans="2:33" x14ac:dyDescent="0.3">
      <c r="B191" t="s">
        <v>88</v>
      </c>
      <c r="C191">
        <v>75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spans="2:33" x14ac:dyDescent="0.3">
      <c r="B192" t="s">
        <v>88</v>
      </c>
      <c r="C192">
        <v>75</v>
      </c>
      <c r="D192" t="s">
        <v>36</v>
      </c>
      <c r="E192">
        <v>69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spans="2:33" x14ac:dyDescent="0.3">
      <c r="B193" t="s">
        <v>89</v>
      </c>
      <c r="C193">
        <v>75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spans="2:33" x14ac:dyDescent="0.3">
      <c r="B194" t="s">
        <v>89</v>
      </c>
      <c r="C194">
        <v>75</v>
      </c>
      <c r="D194" t="s">
        <v>36</v>
      </c>
      <c r="E194">
        <v>140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spans="2:33" x14ac:dyDescent="0.3">
      <c r="B195" t="s">
        <v>90</v>
      </c>
      <c r="C195">
        <v>75</v>
      </c>
      <c r="D195" t="s">
        <v>34</v>
      </c>
      <c r="F195" s="3">
        <v>880.94100000000003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>
        <f>592.21-43.66</f>
        <v>548.55000000000007</v>
      </c>
      <c r="Z195" s="4">
        <f>64.57+79.57+66.725+63.68+57.846</f>
        <v>332.39099999999996</v>
      </c>
      <c r="AA195" s="4"/>
      <c r="AB195" s="4"/>
      <c r="AC195" s="4"/>
      <c r="AD195" s="4"/>
      <c r="AE195" s="4"/>
      <c r="AF195" s="4"/>
      <c r="AG195" t="s">
        <v>40</v>
      </c>
    </row>
    <row r="196" spans="2:33" x14ac:dyDescent="0.3">
      <c r="B196" t="s">
        <v>90</v>
      </c>
      <c r="C196">
        <v>75</v>
      </c>
      <c r="D196" t="s">
        <v>36</v>
      </c>
      <c r="E196">
        <v>858.5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t="s">
        <v>40</v>
      </c>
    </row>
    <row r="197" spans="2:33" x14ac:dyDescent="0.3">
      <c r="B197" t="s">
        <v>91</v>
      </c>
      <c r="C197">
        <v>75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t="s">
        <v>40</v>
      </c>
    </row>
    <row r="198" spans="2:33" x14ac:dyDescent="0.3">
      <c r="B198" t="s">
        <v>91</v>
      </c>
      <c r="C198">
        <v>75</v>
      </c>
      <c r="D198" t="s">
        <v>36</v>
      </c>
      <c r="E198">
        <v>168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t="s">
        <v>40</v>
      </c>
    </row>
    <row r="199" spans="2:33" x14ac:dyDescent="0.3">
      <c r="B199" t="s">
        <v>92</v>
      </c>
      <c r="C199">
        <v>75</v>
      </c>
      <c r="D199" t="s">
        <v>34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t="s">
        <v>40</v>
      </c>
    </row>
    <row r="200" spans="2:33" x14ac:dyDescent="0.3">
      <c r="B200" t="s">
        <v>92</v>
      </c>
      <c r="C200">
        <v>75</v>
      </c>
      <c r="D200" t="s">
        <v>36</v>
      </c>
      <c r="E200">
        <v>180</v>
      </c>
      <c r="F200" s="3">
        <v>160.86000000000001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>
        <v>43.66</v>
      </c>
      <c r="Z200" s="4">
        <v>117.2</v>
      </c>
      <c r="AA200" s="4"/>
      <c r="AB200" s="4"/>
      <c r="AC200" s="4"/>
      <c r="AD200" s="4"/>
      <c r="AE200" s="4"/>
      <c r="AF200" s="4"/>
      <c r="AG200" t="s">
        <v>40</v>
      </c>
    </row>
    <row r="201" spans="2:33" x14ac:dyDescent="0.3">
      <c r="B201" t="s">
        <v>93</v>
      </c>
      <c r="C201">
        <v>76</v>
      </c>
      <c r="D201" t="s">
        <v>34</v>
      </c>
      <c r="I201">
        <v>182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spans="2:33" x14ac:dyDescent="0.3">
      <c r="B202" t="s">
        <v>93</v>
      </c>
      <c r="C202">
        <v>76</v>
      </c>
      <c r="D202" t="s">
        <v>36</v>
      </c>
      <c r="E202">
        <v>238.52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spans="2:33" x14ac:dyDescent="0.3">
      <c r="B203" t="s">
        <v>94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2:33" x14ac:dyDescent="0.3">
      <c r="B204" t="s">
        <v>94</v>
      </c>
      <c r="C204">
        <v>76</v>
      </c>
      <c r="D204" t="s">
        <v>36</v>
      </c>
      <c r="E204">
        <v>229.5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2:33" x14ac:dyDescent="0.3">
      <c r="B205" t="s">
        <v>95</v>
      </c>
      <c r="C205">
        <v>76</v>
      </c>
      <c r="D205" t="s">
        <v>34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 spans="2:33" x14ac:dyDescent="0.3">
      <c r="B206" t="s">
        <v>95</v>
      </c>
      <c r="C206">
        <v>76</v>
      </c>
      <c r="D206" t="s">
        <v>36</v>
      </c>
      <c r="E206">
        <v>1566.27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2:33" x14ac:dyDescent="0.3">
      <c r="B207" t="s">
        <v>96</v>
      </c>
      <c r="C207">
        <v>76</v>
      </c>
      <c r="D207" t="s">
        <v>34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t="s">
        <v>40</v>
      </c>
    </row>
    <row r="208" spans="2:33" x14ac:dyDescent="0.3">
      <c r="B208" t="s">
        <v>96</v>
      </c>
      <c r="C208">
        <v>76</v>
      </c>
      <c r="D208" t="s">
        <v>36</v>
      </c>
      <c r="E208">
        <v>95</v>
      </c>
      <c r="F208" s="3">
        <v>93.1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>
        <v>56.1</v>
      </c>
      <c r="Z208" s="4">
        <v>37</v>
      </c>
      <c r="AA208" s="4"/>
      <c r="AB208" s="4"/>
      <c r="AC208" s="4"/>
      <c r="AD208" s="4"/>
      <c r="AE208" s="4"/>
      <c r="AF208" s="4"/>
      <c r="AG208" t="s">
        <v>40</v>
      </c>
    </row>
    <row r="209" spans="2:33" x14ac:dyDescent="0.3">
      <c r="B209" s="3" t="s">
        <v>62</v>
      </c>
      <c r="C209" s="1" t="s">
        <v>97</v>
      </c>
      <c r="D209" t="s">
        <v>34</v>
      </c>
      <c r="E209">
        <v>0</v>
      </c>
      <c r="F209" s="3">
        <v>34.57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>
        <v>34.57</v>
      </c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t="s">
        <v>35</v>
      </c>
    </row>
    <row r="210" spans="2:33" x14ac:dyDescent="0.3">
      <c r="B210" s="3" t="s">
        <v>62</v>
      </c>
      <c r="C210" s="1" t="s">
        <v>97</v>
      </c>
      <c r="D210" t="s">
        <v>36</v>
      </c>
      <c r="E210">
        <v>158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t="s">
        <v>35</v>
      </c>
    </row>
    <row r="211" spans="2:33" x14ac:dyDescent="0.3">
      <c r="B211" t="s">
        <v>98</v>
      </c>
      <c r="C211" s="1" t="s">
        <v>99</v>
      </c>
      <c r="D211" t="s">
        <v>34</v>
      </c>
      <c r="E211">
        <v>351</v>
      </c>
      <c r="F211" s="3">
        <v>300.68</v>
      </c>
      <c r="I211">
        <v>8</v>
      </c>
      <c r="J211">
        <v>27</v>
      </c>
      <c r="L211" s="4"/>
      <c r="M211" s="4"/>
      <c r="N211" s="4"/>
      <c r="O211" s="4"/>
      <c r="P211" s="4"/>
      <c r="Q211" s="4"/>
      <c r="R211" s="4"/>
      <c r="S211" s="4">
        <v>300.68</v>
      </c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2:33" x14ac:dyDescent="0.3">
      <c r="B212" t="s">
        <v>98</v>
      </c>
      <c r="C212" s="1" t="s">
        <v>99</v>
      </c>
      <c r="D212" t="s">
        <v>36</v>
      </c>
      <c r="E212">
        <v>152</v>
      </c>
      <c r="F212" s="3">
        <v>337.46</v>
      </c>
      <c r="L212" s="4"/>
      <c r="M212" s="4"/>
      <c r="N212" s="4"/>
      <c r="O212" s="4"/>
      <c r="P212" s="4"/>
      <c r="Q212" s="4">
        <v>127.69</v>
      </c>
      <c r="R212" s="4"/>
      <c r="S212" s="4"/>
      <c r="T212" s="4"/>
      <c r="U212" s="4"/>
      <c r="V212" s="4"/>
      <c r="W212" s="4">
        <v>42</v>
      </c>
      <c r="X212" s="4">
        <v>167.77</v>
      </c>
      <c r="Y212" s="4"/>
      <c r="Z212" s="4"/>
      <c r="AA212" s="4"/>
      <c r="AB212" s="4"/>
      <c r="AC212" s="4"/>
      <c r="AD212" s="4"/>
      <c r="AE212" s="4"/>
      <c r="AF212" s="4"/>
    </row>
    <row r="213" spans="2:33" x14ac:dyDescent="0.3">
      <c r="B213" t="s">
        <v>100</v>
      </c>
      <c r="C213" s="1" t="s">
        <v>101</v>
      </c>
      <c r="D213" t="s">
        <v>34</v>
      </c>
      <c r="E213">
        <v>100.2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2:33" x14ac:dyDescent="0.3">
      <c r="B214" t="s">
        <v>100</v>
      </c>
      <c r="C214" s="1" t="s">
        <v>101</v>
      </c>
      <c r="D214" t="s">
        <v>36</v>
      </c>
      <c r="E214">
        <v>253.5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2:33" x14ac:dyDescent="0.3">
      <c r="B215" t="s">
        <v>102</v>
      </c>
      <c r="C215" s="1" t="s">
        <v>103</v>
      </c>
      <c r="D215" t="s">
        <v>34</v>
      </c>
      <c r="E215">
        <v>89.9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2:33" x14ac:dyDescent="0.3">
      <c r="B216" t="s">
        <v>102</v>
      </c>
      <c r="C216" s="1" t="s">
        <v>103</v>
      </c>
      <c r="D216" t="s">
        <v>36</v>
      </c>
      <c r="E216">
        <v>322.2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2:33" x14ac:dyDescent="0.3">
      <c r="B217" t="s">
        <v>104</v>
      </c>
      <c r="C217" s="1" t="s">
        <v>105</v>
      </c>
      <c r="D217" t="s">
        <v>34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2:33" x14ac:dyDescent="0.3">
      <c r="B218" t="s">
        <v>104</v>
      </c>
      <c r="C218" s="1" t="s">
        <v>105</v>
      </c>
      <c r="D218" t="s">
        <v>36</v>
      </c>
      <c r="E218">
        <v>129.80000000000001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</sheetData>
  <autoFilter ref="AG1:AG218" xr:uid="{00000000-0001-0000-0000-000000000000}"/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106</v>
      </c>
      <c r="C2" t="s">
        <v>107</v>
      </c>
      <c r="D2" t="s">
        <v>108</v>
      </c>
      <c r="E2" t="s">
        <v>109</v>
      </c>
      <c r="F2" t="s">
        <v>110</v>
      </c>
      <c r="G2" t="s">
        <v>9</v>
      </c>
    </row>
    <row r="3" spans="2:15" x14ac:dyDescent="0.3">
      <c r="B3">
        <v>2025</v>
      </c>
      <c r="C3" t="s">
        <v>111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112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113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114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115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116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117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118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119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120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121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122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111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123</v>
      </c>
    </row>
    <row r="16" spans="2:15" x14ac:dyDescent="0.3">
      <c r="B16">
        <v>2026</v>
      </c>
      <c r="C16" t="s">
        <v>112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113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114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115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116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117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118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119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120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2026-06-23T09:58:43Z</dcterms:modified>
</cp:coreProperties>
</file>