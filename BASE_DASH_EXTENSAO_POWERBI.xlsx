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DED96A70-3D12-4F17-AEF2-A3ACCDE3CC7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Z195" i="1"/>
  <c r="Y195" i="1"/>
  <c r="X182" i="1"/>
  <c r="X181" i="1"/>
  <c r="X171" i="1"/>
  <c r="Y162" i="1"/>
  <c r="V161" i="1"/>
  <c r="U161" i="1"/>
  <c r="V159" i="1"/>
  <c r="U159" i="1"/>
  <c r="AL157" i="1"/>
  <c r="AL160" i="1" s="1"/>
  <c r="V85" i="1"/>
  <c r="X76" i="1"/>
  <c r="E70" i="1"/>
  <c r="E69" i="1"/>
  <c r="Y54" i="1"/>
  <c r="P19" i="1"/>
  <c r="F19" i="1"/>
  <c r="P16" i="1"/>
  <c r="F16" i="1"/>
  <c r="P14" i="1"/>
  <c r="F14" i="1"/>
</calcChain>
</file>

<file path=xl/sharedStrings.xml><?xml version="1.0" encoding="utf-8"?>
<sst xmlns="http://schemas.openxmlformats.org/spreadsheetml/2006/main" count="654" uniqueCount="126">
  <si>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</si>
  <si>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</si>
  <si>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</si>
  <si>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</si>
  <si>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</si>
  <si>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</si>
  <si>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</si>
  <si>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</si>
  <si>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</si>
  <si>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</si>
  <si>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</si>
  <si>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</si>
  <si>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</si>
  <si>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</si>
  <si>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</si>
  <si>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</si>
  <si>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</si>
  <si>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</si>
  <si>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</si>
  <si>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</si>
  <si>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</si>
  <si>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</si>
  <si>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</si>
  <si>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</si>
  <si>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</si>
  <si>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</si>
  <si>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</si>
  <si>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</si>
  <si>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</si>
  <si>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</si>
  <si>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</si>
  <si>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</si>
  <si>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</si>
  <si>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</si>
  <si>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</si>
  <si>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</si>
  <si>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</si>
  <si>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</si>
  <si>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</si>
  <si>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</si>
  <si>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</si>
  <si>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</si>
  <si>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</si>
  <si>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</si>
  <si>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</si>
  <si>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</si>
  <si>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</si>
  <si>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</si>
  <si>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</si>
  <si>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</si>
  <si>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</si>
  <si>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</si>
  <si>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</si>
  <si>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</si>
  <si>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</si>
  <si>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</si>
  <si>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</si>
  <si>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</si>
  <si>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</si>
  <si>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</si>
  <si>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</si>
  <si>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</si>
  <si>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</si>
  <si>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</si>
  <si>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</si>
  <si>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</si>
  <si>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</si>
  <si>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</si>
  <si>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</si>
  <si>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</si>
  <si>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</si>
  <si>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</si>
  <si>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</si>
  <si>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</si>
  <si>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</si>
  <si>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>concuido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</si>
  <si>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</si>
  <si>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</si>
  <si>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</si>
  <si>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</si>
  <si>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</si>
  <si>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</si>
  <si>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</si>
  <si>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</si>
  <si>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</si>
  <si>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</si>
  <si>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</si>
  <si>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</si>
  <si>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</si>
  <si>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</si>
  <si>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</si>
  <si>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</si>
  <si>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</si>
  <si>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</si>
  <si>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rede existente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</si>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</sst>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H1" zoomScale="85" zoomScaleNormal="85" workbookViewId="0">
      <pane ySplit="1" topLeftCell="A14" activePane="bottomLeft" state="frozen"/>
      <selection pane="bottomLeft" activeCell="Z1" sqref="Z1:Z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9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9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9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9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9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F32" s="3">
        <v>38.299999999999997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9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9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9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F39" s="3">
        <v>169.1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>
        <v>169.1</v>
      </c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9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9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9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9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9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9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9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320.31299999999999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9">
        <v>12</v>
      </c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9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9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9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9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9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9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9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9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9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9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9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9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1696.2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930</v>
      </c>
      <c r="Z150" s="9">
        <v>584.20000000000005</v>
      </c>
      <c r="AA150" s="4">
        <v>182</v>
      </c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9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F154" s="3">
        <v>68.2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>
        <v>68.2</v>
      </c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x14ac:dyDescent="0.3">
      <c r="B159" s="3" t="s">
        <v>74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9"/>
      <c r="AA159" s="4"/>
      <c r="AB159" s="4"/>
      <c r="AC159" s="4"/>
      <c r="AD159" s="4"/>
      <c r="AE159" s="4"/>
      <c r="AF159" s="4"/>
      <c r="AG159" t="s">
        <v>75</v>
      </c>
    </row>
    <row r="160" spans="2:38" x14ac:dyDescent="0.3">
      <c r="B160" s="3" t="s">
        <v>74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9"/>
      <c r="AA160" s="4"/>
      <c r="AB160" s="4"/>
      <c r="AC160" s="4"/>
      <c r="AD160" s="4"/>
      <c r="AE160" s="4"/>
      <c r="AF160" s="4"/>
      <c r="AG160" t="s">
        <v>75</v>
      </c>
      <c r="AL160">
        <f>AL157/3</f>
        <v>91.706666666666635</v>
      </c>
    </row>
    <row r="161" spans="2:33" x14ac:dyDescent="0.3">
      <c r="B161" s="3" t="s">
        <v>74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9"/>
      <c r="AA161" s="4"/>
      <c r="AB161" s="4"/>
      <c r="AC161" s="4"/>
      <c r="AD161" s="4"/>
      <c r="AE161" s="4"/>
      <c r="AF161" s="4"/>
      <c r="AG161" t="s">
        <v>75</v>
      </c>
    </row>
    <row r="162" spans="2:33" x14ac:dyDescent="0.3">
      <c r="B162" s="3" t="s">
        <v>74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9"/>
      <c r="AA162" s="4"/>
      <c r="AB162" s="4"/>
      <c r="AC162" s="4"/>
      <c r="AD162" s="4"/>
      <c r="AE162" s="4"/>
      <c r="AF162" s="4"/>
      <c r="AG162" t="s">
        <v>75</v>
      </c>
    </row>
    <row r="163" spans="2:33" x14ac:dyDescent="0.3">
      <c r="B163" s="3" t="s">
        <v>74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75</v>
      </c>
    </row>
    <row r="164" spans="2:33" x14ac:dyDescent="0.3">
      <c r="B164" s="3" t="s">
        <v>74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9"/>
      <c r="AA164" s="4"/>
      <c r="AB164" s="4"/>
      <c r="AC164" s="4"/>
      <c r="AD164" s="4"/>
      <c r="AE164" s="4"/>
      <c r="AF164" s="4"/>
      <c r="AG164" t="s">
        <v>75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9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9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9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9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9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9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F184" s="3">
        <v>189.9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>
        <v>100.7</v>
      </c>
      <c r="AA184" s="4">
        <v>89.2</v>
      </c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377.8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>
        <v>377.8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880.94100000000003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9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167.96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9">
        <v>89.8</v>
      </c>
      <c r="AA200" s="4">
        <v>34.5</v>
      </c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  <c r="AG201" t="s">
        <v>94</v>
      </c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  <c r="AG202" t="s">
        <v>94</v>
      </c>
    </row>
    <row r="203" spans="2:33" x14ac:dyDescent="0.3">
      <c r="B203" t="s">
        <v>95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</row>
    <row r="204" spans="2:33" x14ac:dyDescent="0.3">
      <c r="B204" t="s">
        <v>95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9"/>
      <c r="AA204" s="4"/>
      <c r="AB204" s="4"/>
      <c r="AC204" s="4"/>
      <c r="AD204" s="4"/>
      <c r="AE204" s="4"/>
      <c r="AF204" s="4"/>
    </row>
    <row r="205" spans="2:33" x14ac:dyDescent="0.3">
      <c r="B205" t="s">
        <v>96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40</v>
      </c>
    </row>
    <row r="206" spans="2:33" x14ac:dyDescent="0.3">
      <c r="B206" t="s">
        <v>96</v>
      </c>
      <c r="C206">
        <v>76</v>
      </c>
      <c r="D206" t="s">
        <v>36</v>
      </c>
      <c r="E206">
        <v>1566.27</v>
      </c>
      <c r="F206" s="3">
        <v>176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9">
        <v>42</v>
      </c>
      <c r="AA206" s="4">
        <v>134</v>
      </c>
      <c r="AB206" s="4"/>
      <c r="AC206" s="4"/>
      <c r="AD206" s="4"/>
      <c r="AE206" s="4"/>
      <c r="AF206" s="4"/>
    </row>
    <row r="207" spans="2:33" x14ac:dyDescent="0.3">
      <c r="B207" t="s">
        <v>97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97</v>
      </c>
      <c r="C208">
        <v>76</v>
      </c>
      <c r="D208" t="s">
        <v>36</v>
      </c>
      <c r="E208">
        <v>95</v>
      </c>
      <c r="F208" s="3">
        <v>93.2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93.2</v>
      </c>
      <c r="Z208" s="9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98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9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98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99</v>
      </c>
      <c r="C211" s="1" t="s">
        <v>100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</row>
    <row r="212" spans="2:33" x14ac:dyDescent="0.3">
      <c r="B212" t="s">
        <v>99</v>
      </c>
      <c r="C212" s="1" t="s">
        <v>100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9"/>
      <c r="AA212" s="4"/>
      <c r="AB212" s="4"/>
      <c r="AC212" s="4"/>
      <c r="AD212" s="4"/>
      <c r="AE212" s="4"/>
      <c r="AF212" s="4"/>
    </row>
    <row r="213" spans="2:33" x14ac:dyDescent="0.3">
      <c r="B213" t="s">
        <v>101</v>
      </c>
      <c r="C213" s="1" t="s">
        <v>102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</row>
    <row r="214" spans="2:33" x14ac:dyDescent="0.3">
      <c r="B214" t="s">
        <v>101</v>
      </c>
      <c r="C214" s="1" t="s">
        <v>102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</row>
    <row r="215" spans="2:33" x14ac:dyDescent="0.3">
      <c r="B215" t="s">
        <v>103</v>
      </c>
      <c r="C215" s="1" t="s">
        <v>104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</row>
    <row r="216" spans="2:33" x14ac:dyDescent="0.3">
      <c r="B216" t="s">
        <v>103</v>
      </c>
      <c r="C216" s="1" t="s">
        <v>104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</row>
    <row r="217" spans="2:33" x14ac:dyDescent="0.3">
      <c r="B217" t="s">
        <v>105</v>
      </c>
      <c r="C217" s="1" t="s">
        <v>106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</row>
    <row r="218" spans="2:33" x14ac:dyDescent="0.3">
      <c r="B218" t="s">
        <v>105</v>
      </c>
      <c r="C218" s="1" t="s">
        <v>106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</row>
  </sheetData>
  <autoFilter ref="AG1:AG218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107</v>
      </c>
      <c r="C2" t="s">
        <v>108</v>
      </c>
      <c r="D2" t="s">
        <v>109</v>
      </c>
      <c r="E2" t="s">
        <v>110</v>
      </c>
      <c r="F2" t="s">
        <v>111</v>
      </c>
      <c r="G2" t="s">
        <v>9</v>
      </c>
    </row>
    <row r="3" spans="2:15" x14ac:dyDescent="0.3">
      <c r="B3">
        <v>2025</v>
      </c>
      <c r="C3" t="s">
        <v>112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113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114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115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116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117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118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119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120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121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122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123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112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124</v>
      </c>
    </row>
    <row r="16" spans="2:15" x14ac:dyDescent="0.3">
      <c r="B16">
        <v>2026</v>
      </c>
      <c r="C16" t="s">
        <v>113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114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115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116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117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118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119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120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121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2026-07-08T14:57:06Z</dcterms:modified>
</cp:coreProperties>
</file>