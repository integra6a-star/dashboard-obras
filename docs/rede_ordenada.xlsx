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shboard-obras\docs\"/>
    </mc:Choice>
  </mc:AlternateContent>
  <xr:revisionPtr revIDLastSave="0" documentId="13_ncr:1_{238096DA-6C59-40E4-A581-E58FAA9B1D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de_ordenada" sheetId="1" r:id="rId1"/>
  </sheets>
  <definedNames>
    <definedName name="_xlnm._FilterDatabase" localSheetId="0" hidden="1">rede_ordenada!$A$1:$M$115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1" i="1" l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L172" i="1"/>
  <c r="L171" i="1"/>
  <c r="L159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59" i="1" l="1"/>
  <c r="I152" i="1" l="1"/>
  <c r="I153" i="1"/>
  <c r="I154" i="1"/>
  <c r="I155" i="1"/>
  <c r="I156" i="1"/>
  <c r="I157" i="1"/>
  <c r="I158" i="1"/>
  <c r="H152" i="1"/>
  <c r="H153" i="1"/>
  <c r="H154" i="1"/>
  <c r="H155" i="1"/>
  <c r="H156" i="1"/>
  <c r="H157" i="1"/>
  <c r="H158" i="1"/>
  <c r="G152" i="1"/>
  <c r="G153" i="1"/>
  <c r="G154" i="1"/>
  <c r="G155" i="1"/>
  <c r="G156" i="1"/>
  <c r="G157" i="1"/>
  <c r="G15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H138" i="1"/>
  <c r="I138" i="1"/>
  <c r="I129" i="1"/>
  <c r="I130" i="1"/>
  <c r="I131" i="1"/>
  <c r="I132" i="1"/>
  <c r="I133" i="1"/>
  <c r="I134" i="1"/>
  <c r="I135" i="1"/>
  <c r="I136" i="1"/>
  <c r="I137" i="1"/>
  <c r="H129" i="1"/>
  <c r="H130" i="1"/>
  <c r="H131" i="1"/>
  <c r="H132" i="1"/>
  <c r="H133" i="1"/>
  <c r="H134" i="1"/>
  <c r="H135" i="1"/>
  <c r="H136" i="1"/>
  <c r="H137" i="1"/>
  <c r="G134" i="1"/>
  <c r="G135" i="1"/>
  <c r="G136" i="1"/>
  <c r="G137" i="1"/>
  <c r="G133" i="1"/>
  <c r="G132" i="1"/>
  <c r="G131" i="1"/>
  <c r="G130" i="1"/>
  <c r="G129" i="1"/>
  <c r="I124" i="1" l="1"/>
  <c r="I125" i="1"/>
  <c r="I126" i="1"/>
  <c r="I127" i="1"/>
  <c r="I128" i="1"/>
  <c r="H124" i="1"/>
  <c r="H125" i="1"/>
  <c r="H126" i="1"/>
  <c r="H127" i="1"/>
  <c r="H128" i="1"/>
  <c r="G124" i="1"/>
  <c r="G125" i="1"/>
  <c r="G126" i="1"/>
  <c r="G127" i="1"/>
  <c r="G128" i="1"/>
  <c r="G123" i="1"/>
  <c r="H123" i="1"/>
  <c r="I123" i="1"/>
  <c r="H122" i="1"/>
  <c r="I122" i="1"/>
  <c r="G122" i="1"/>
  <c r="I116" i="1"/>
  <c r="I117" i="1"/>
  <c r="I118" i="1"/>
  <c r="I119" i="1"/>
  <c r="I120" i="1"/>
  <c r="I121" i="1"/>
  <c r="H116" i="1"/>
  <c r="H117" i="1"/>
  <c r="H118" i="1"/>
  <c r="H119" i="1"/>
  <c r="H120" i="1"/>
  <c r="H121" i="1"/>
  <c r="G116" i="1"/>
  <c r="G117" i="1"/>
  <c r="G118" i="1"/>
  <c r="G119" i="1"/>
  <c r="G120" i="1"/>
  <c r="G121" i="1"/>
  <c r="H115" i="1"/>
  <c r="I115" i="1"/>
  <c r="G1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3" i="1"/>
  <c r="G4" i="1"/>
  <c r="G5" i="1"/>
  <c r="H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2" i="1"/>
</calcChain>
</file>

<file path=xl/sharedStrings.xml><?xml version="1.0" encoding="utf-8"?>
<sst xmlns="http://schemas.openxmlformats.org/spreadsheetml/2006/main" count="1411" uniqueCount="269">
  <si>
    <t>Obra</t>
  </si>
  <si>
    <t>Bloco</t>
  </si>
  <si>
    <t>Extensao_m</t>
  </si>
  <si>
    <t>PV-001</t>
  </si>
  <si>
    <t>PV-002</t>
  </si>
  <si>
    <t>PV-003</t>
  </si>
  <si>
    <t>PV-004</t>
  </si>
  <si>
    <t>Endereço principal</t>
  </si>
  <si>
    <t>BLOCO 21</t>
  </si>
  <si>
    <t>PVE-001</t>
  </si>
  <si>
    <t>BLOCO 22</t>
  </si>
  <si>
    <t>BLOCO 23</t>
  </si>
  <si>
    <t>RUA FRANCISCO DE GOES ARAUJO</t>
  </si>
  <si>
    <t>MND</t>
  </si>
  <si>
    <t>CTS BANDEIRANTES</t>
  </si>
  <si>
    <t>RUA DR. MIGUEL VIEIRA FERREIRA</t>
  </si>
  <si>
    <t>PV-005</t>
  </si>
  <si>
    <t>PV-006</t>
  </si>
  <si>
    <t>RUA MASATO SAKAI</t>
  </si>
  <si>
    <t>PV-007</t>
  </si>
  <si>
    <t>PV-009</t>
  </si>
  <si>
    <t>PV-042</t>
  </si>
  <si>
    <t>RUA GONÇALVES CASTELÃO</t>
  </si>
  <si>
    <t>PVE-003</t>
  </si>
  <si>
    <t>RUA JOSÉ BREVE BRETAS</t>
  </si>
  <si>
    <t>PV-011</t>
  </si>
  <si>
    <t>PV-012</t>
  </si>
  <si>
    <t>PV-013</t>
  </si>
  <si>
    <t>PV-014</t>
  </si>
  <si>
    <t>PV-016</t>
  </si>
  <si>
    <t>PV-017</t>
  </si>
  <si>
    <t>PV-018</t>
  </si>
  <si>
    <t>PV-019</t>
  </si>
  <si>
    <t>PV-020</t>
  </si>
  <si>
    <t>PV-022</t>
  </si>
  <si>
    <t>PV-048</t>
  </si>
  <si>
    <t>PV-023</t>
  </si>
  <si>
    <t>PIE</t>
  </si>
  <si>
    <t>RUA MARCELO GARCIA</t>
  </si>
  <si>
    <t>RUA ONDINA</t>
  </si>
  <si>
    <t>ESTRADA DE TERRA</t>
  </si>
  <si>
    <t>VCA</t>
  </si>
  <si>
    <t xml:space="preserve">RUA GENI GOMES </t>
  </si>
  <si>
    <t>ÁREA CHACARA 03 NASCENTES</t>
  </si>
  <si>
    <t>PV-025</t>
  </si>
  <si>
    <t xml:space="preserve">RUA DAS PALMEIRAS </t>
  </si>
  <si>
    <t>PV-026</t>
  </si>
  <si>
    <t>PI-025.1</t>
  </si>
  <si>
    <t>PI-025.2</t>
  </si>
  <si>
    <t>PIE-50</t>
  </si>
  <si>
    <t xml:space="preserve">ESTRADA DO BANDEIRANTE </t>
  </si>
  <si>
    <t>PV-030</t>
  </si>
  <si>
    <t>PV-032</t>
  </si>
  <si>
    <t>PV-034</t>
  </si>
  <si>
    <t>PV-035</t>
  </si>
  <si>
    <t>PV-037</t>
  </si>
  <si>
    <t>PV-038</t>
  </si>
  <si>
    <t>PV-039</t>
  </si>
  <si>
    <t>RUA ERCINDO AUGUSTO BATISTELA</t>
  </si>
  <si>
    <t>TRAVESSA MARCELINO ISIDORO</t>
  </si>
  <si>
    <t>Sequencia</t>
  </si>
  <si>
    <t>PEAD</t>
  </si>
  <si>
    <t>PVC</t>
  </si>
  <si>
    <t>DIAMETRO</t>
  </si>
  <si>
    <t>MATERIAL</t>
  </si>
  <si>
    <t xml:space="preserve">RCE AVENIDA BARÃO LUIZ DE ARARIBA </t>
  </si>
  <si>
    <t xml:space="preserve">AVENIDA BARÃO LUIZ DE ARARIBA </t>
  </si>
  <si>
    <t>RUA GERONIMO BARBOSA DA SILVA</t>
  </si>
  <si>
    <t>PV-11</t>
  </si>
  <si>
    <t>PV-4.4</t>
  </si>
  <si>
    <t>PVE-4.4.1</t>
  </si>
  <si>
    <t>PVE-4.5</t>
  </si>
  <si>
    <t>PVE-005</t>
  </si>
  <si>
    <t>PVE-6.1</t>
  </si>
  <si>
    <t>BLOCO 01</t>
  </si>
  <si>
    <t>PVE-002</t>
  </si>
  <si>
    <t>RUA ENSEADA DE TITÓIA</t>
  </si>
  <si>
    <t>PIE-016</t>
  </si>
  <si>
    <t>PV-013A</t>
  </si>
  <si>
    <t>PI-14.1</t>
  </si>
  <si>
    <t>PIE-013</t>
  </si>
  <si>
    <t>RUA ALFREDO MOREIRA PINTO</t>
  </si>
  <si>
    <t>BLOCO 02</t>
  </si>
  <si>
    <t>BLOCO 03</t>
  </si>
  <si>
    <t>BLOCO 04</t>
  </si>
  <si>
    <t>RUA MANOEL MENDOÇA DE AGUIAR</t>
  </si>
  <si>
    <t>PI-020</t>
  </si>
  <si>
    <t>PI-018.1</t>
  </si>
  <si>
    <t>PI-019</t>
  </si>
  <si>
    <t>PV-021</t>
  </si>
  <si>
    <t>PI-023</t>
  </si>
  <si>
    <t>PV-008</t>
  </si>
  <si>
    <t>PV-010</t>
  </si>
  <si>
    <t>PI-009</t>
  </si>
  <si>
    <t>PI-024</t>
  </si>
  <si>
    <t>PI-011</t>
  </si>
  <si>
    <t>RUA EVARISTO MARTINS FRANCO</t>
  </si>
  <si>
    <t>RUA DOMINGOS JOÃO DE CARVALHO</t>
  </si>
  <si>
    <t>RUA MARCO BELTRAME</t>
  </si>
  <si>
    <t>CTS DOMINGOS JOÃO DE CARVALHO</t>
  </si>
  <si>
    <t>CTS JARAGUÁ</t>
  </si>
  <si>
    <t>BLOCO 26</t>
  </si>
  <si>
    <t xml:space="preserve">RUA LAGOA CAJUBÁ </t>
  </si>
  <si>
    <t>RUA REGISTRO VELHO</t>
  </si>
  <si>
    <t>PIE-001</t>
  </si>
  <si>
    <t>PIE-019</t>
  </si>
  <si>
    <t>PIE-005</t>
  </si>
  <si>
    <t>PIE-010</t>
  </si>
  <si>
    <t>RUA FRANCISCO LUIS DE OLIVEIRA</t>
  </si>
  <si>
    <t>Método</t>
  </si>
  <si>
    <t>BLOCO 54</t>
  </si>
  <si>
    <t>RUA LOPES DE CASCAIS</t>
  </si>
  <si>
    <t>PV-01A</t>
  </si>
  <si>
    <t>PV-01B</t>
  </si>
  <si>
    <t>PV-01C</t>
  </si>
  <si>
    <t>PV-01D</t>
  </si>
  <si>
    <t>BLOCO 55</t>
  </si>
  <si>
    <t>BLOCO 56</t>
  </si>
  <si>
    <t xml:space="preserve">ESTRADA DO LAGEADO VELHO X RUA LOPES DE CASCAIS </t>
  </si>
  <si>
    <t>PV-01E</t>
  </si>
  <si>
    <t xml:space="preserve">ESTRADA DO BANDEIRANTE X RUA LOURENÇO RUXAQUE </t>
  </si>
  <si>
    <t>OBRA INTERNA - FRABRICA DE BRINQUEDOS BAND.</t>
  </si>
  <si>
    <t>PV-019.1</t>
  </si>
  <si>
    <t>PV-03.1</t>
  </si>
  <si>
    <t>PV-04.1</t>
  </si>
  <si>
    <t>PVE-04.2</t>
  </si>
  <si>
    <t>PI-03.2</t>
  </si>
  <si>
    <t>PV-05.1</t>
  </si>
  <si>
    <t>PV-05</t>
  </si>
  <si>
    <t>PV-05.2</t>
  </si>
  <si>
    <t xml:space="preserve">RUA PADRE LOPES </t>
  </si>
  <si>
    <t>VIA SEM DENOMINAÇÃO</t>
  </si>
  <si>
    <t>RUA VILA DA RAINHA</t>
  </si>
  <si>
    <t>RUA CAP.MOR. MASCARANHAS HOMEM</t>
  </si>
  <si>
    <t>PV-07.1</t>
  </si>
  <si>
    <t>PV-07</t>
  </si>
  <si>
    <t>PV-08</t>
  </si>
  <si>
    <t>PV-08.1</t>
  </si>
  <si>
    <t>PV-07.2</t>
  </si>
  <si>
    <t>PV-012.1</t>
  </si>
  <si>
    <t>PV-012.2</t>
  </si>
  <si>
    <t>PV-016.1</t>
  </si>
  <si>
    <t>PV-018.1</t>
  </si>
  <si>
    <t>PV-018.2</t>
  </si>
  <si>
    <t xml:space="preserve">RUA DOM VASCO  MASCARANHAS </t>
  </si>
  <si>
    <t>RUA AVACAMBUI</t>
  </si>
  <si>
    <t xml:space="preserve">RUA CAP.MOR. FRANCISCO FALCÃO </t>
  </si>
  <si>
    <t>RUA DIAS MENDES</t>
  </si>
  <si>
    <t>RUA PEDRO ROSA</t>
  </si>
  <si>
    <t>PV_I</t>
  </si>
  <si>
    <t>PV_F</t>
  </si>
  <si>
    <t>ID_TRECHO</t>
  </si>
  <si>
    <t>TIPO_PV_I</t>
  </si>
  <si>
    <t>TIPO_PV_F</t>
  </si>
  <si>
    <t>CT LAGEADO MONTANTE</t>
  </si>
  <si>
    <t>CTS DOROTÉIA COUTINHO</t>
  </si>
  <si>
    <t>BLOCO 11</t>
  </si>
  <si>
    <t xml:space="preserve">RUA DOROTÉIA COUTINHO </t>
  </si>
  <si>
    <t>RUA ANTÔNIO JOÃO DE MEDEIROS</t>
  </si>
  <si>
    <t>RUA FRANCISCO SARAPES</t>
  </si>
  <si>
    <t>PV-50</t>
  </si>
  <si>
    <t>PIE-015</t>
  </si>
  <si>
    <t>PVE-06.1</t>
  </si>
  <si>
    <t>PV-06</t>
  </si>
  <si>
    <t>BLOCO 10</t>
  </si>
  <si>
    <t>BLOCO 57</t>
  </si>
  <si>
    <t>PI-008.1</t>
  </si>
  <si>
    <t>PI-006.1</t>
  </si>
  <si>
    <t>BLOCO 05</t>
  </si>
  <si>
    <t>PVE-01</t>
  </si>
  <si>
    <t>PV-33</t>
  </si>
  <si>
    <t>PV-033</t>
  </si>
  <si>
    <t>BLOCO 06</t>
  </si>
  <si>
    <t>BLOCO 07</t>
  </si>
  <si>
    <t>BLOCO 08</t>
  </si>
  <si>
    <t>CTS JD. MIRIAM</t>
  </si>
  <si>
    <t>AVENIDA BARÃO LUIS DE ARARIBA</t>
  </si>
  <si>
    <t>RUA PONTAL DO RIO PARDO</t>
  </si>
  <si>
    <t>RUA BASÍLIO SALAZAR</t>
  </si>
  <si>
    <t>RUA TUCURUÍ</t>
  </si>
  <si>
    <t>RUA MANOEL JOSÉ VAZ</t>
  </si>
  <si>
    <t>PV-39</t>
  </si>
  <si>
    <t>PV-44</t>
  </si>
  <si>
    <t>PV-012A</t>
  </si>
  <si>
    <t>PV-17</t>
  </si>
  <si>
    <t>PV-18</t>
  </si>
  <si>
    <t>PV-18.1</t>
  </si>
  <si>
    <t>PVE-04</t>
  </si>
  <si>
    <t>PV-017.1</t>
  </si>
  <si>
    <t>PV-19</t>
  </si>
  <si>
    <t>PIE-037</t>
  </si>
  <si>
    <t>PV-18.2</t>
  </si>
  <si>
    <t>RUA LUÍS GARAMBÉU</t>
  </si>
  <si>
    <t>AV. CARLOS CARNEIRO DE SOUZA</t>
  </si>
  <si>
    <t>RUA FRANCISCO MATOSO</t>
  </si>
  <si>
    <t>PV-20</t>
  </si>
  <si>
    <t>PV-21</t>
  </si>
  <si>
    <t>PV-22</t>
  </si>
  <si>
    <t>PV-23</t>
  </si>
  <si>
    <t>PV-25</t>
  </si>
  <si>
    <t>PIE-40</t>
  </si>
  <si>
    <t>AVENIDA CARLOS CARNEIRO DE SOUZA</t>
  </si>
  <si>
    <t>RUA VITÓRIA DO ESPÍRITO SANTO</t>
  </si>
  <si>
    <t>CONDOMÍNIO ÔMEGA</t>
  </si>
  <si>
    <t>TRAVESSA ANTÔNIO JOÃO DE MEDEIROS</t>
  </si>
  <si>
    <t>-</t>
  </si>
  <si>
    <t>PV-25A</t>
  </si>
  <si>
    <t>PV-27</t>
  </si>
  <si>
    <t>PV-29</t>
  </si>
  <si>
    <t>PVE-30</t>
  </si>
  <si>
    <t>PVE-05</t>
  </si>
  <si>
    <t>PVE-06</t>
  </si>
  <si>
    <t>PVE-07</t>
  </si>
  <si>
    <t>PVE-08</t>
  </si>
  <si>
    <t>PV-48</t>
  </si>
  <si>
    <t>PV-49</t>
  </si>
  <si>
    <t>PIE-07</t>
  </si>
  <si>
    <t>PV-49A</t>
  </si>
  <si>
    <t>PIE-08</t>
  </si>
  <si>
    <t>PIE-05</t>
  </si>
  <si>
    <t xml:space="preserve">PV-25 </t>
  </si>
  <si>
    <t>PV-47</t>
  </si>
  <si>
    <t xml:space="preserve">PV-25A </t>
  </si>
  <si>
    <t xml:space="preserve">PV-44  </t>
  </si>
  <si>
    <t>PIE-44.1</t>
  </si>
  <si>
    <t xml:space="preserve">PV-27 </t>
  </si>
  <si>
    <t>PV-27A</t>
  </si>
  <si>
    <t>PV-43</t>
  </si>
  <si>
    <t xml:space="preserve">PV-29 </t>
  </si>
  <si>
    <t xml:space="preserve">PVE-30 </t>
  </si>
  <si>
    <t xml:space="preserve">PVE-07 </t>
  </si>
  <si>
    <t xml:space="preserve">PIE-07 </t>
  </si>
  <si>
    <t xml:space="preserve">PIE-05 </t>
  </si>
  <si>
    <t>PIE-09</t>
  </si>
  <si>
    <t>BLOCO 09</t>
  </si>
  <si>
    <t xml:space="preserve">RUA DE TERRA </t>
  </si>
  <si>
    <t xml:space="preserve">ALAMEDA UM  </t>
  </si>
  <si>
    <t>ALAMEDA UM</t>
  </si>
  <si>
    <t>ALAMEDA DOIS</t>
  </si>
  <si>
    <t>ALAMEDA TRÊS</t>
  </si>
  <si>
    <t>PI-53.2 - PV-55</t>
  </si>
  <si>
    <t>PV-55 - PI-55.1</t>
  </si>
  <si>
    <t>PI-55.1 - PI-55.2</t>
  </si>
  <si>
    <t>PI-55.2 - PI-55.3</t>
  </si>
  <si>
    <t>PV-55 - PI-55.4</t>
  </si>
  <si>
    <t>PI-55.4 - PI-55.5</t>
  </si>
  <si>
    <t>PV-52 - PI-61</t>
  </si>
  <si>
    <t>PI-61 - PI-62</t>
  </si>
  <si>
    <t>PVE-64 - PI-64</t>
  </si>
  <si>
    <t>PV-51</t>
  </si>
  <si>
    <t xml:space="preserve">PV-51 </t>
  </si>
  <si>
    <t>PV-52</t>
  </si>
  <si>
    <t xml:space="preserve">PV-52 </t>
  </si>
  <si>
    <t>PV-54</t>
  </si>
  <si>
    <t xml:space="preserve">PV-54 </t>
  </si>
  <si>
    <t>PVE-64</t>
  </si>
  <si>
    <t>PV-54.1</t>
  </si>
  <si>
    <t>PV-56</t>
  </si>
  <si>
    <t xml:space="preserve">PV-56 </t>
  </si>
  <si>
    <t>PV-57</t>
  </si>
  <si>
    <t xml:space="preserve">PI-57 </t>
  </si>
  <si>
    <t>PV-59</t>
  </si>
  <si>
    <t xml:space="preserve">PV-59  </t>
  </si>
  <si>
    <t>PVE-60</t>
  </si>
  <si>
    <t>PI-53</t>
  </si>
  <si>
    <t xml:space="preserve">PI-53 </t>
  </si>
  <si>
    <t>PI-53.1</t>
  </si>
  <si>
    <t xml:space="preserve">PI-53.1 </t>
  </si>
  <si>
    <t>PI-53.2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</si>
</sst>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"/>
  <sheetViews>
    <sheetView tabSelected="1" workbookViewId="0">
      <selection activeCell="C22" sqref="C22"/>
    </sheetView>
  </sheetViews>
  <sheetFormatPr defaultRowHeight="14.4" x14ac:dyDescent="0.3"/>
  <cols>
    <col min="1" max="1" width="35" bestFit="1" customWidth="1"/>
    <col min="2" max="2" width="9.21875" bestFit="1" customWidth="1"/>
    <col min="3" max="3" width="49" bestFit="1" customWidth="1"/>
    <col min="4" max="4" width="9.77734375" bestFit="1" customWidth="1"/>
    <col min="5" max="5" width="9.21875" bestFit="1" customWidth="1"/>
    <col min="6" max="6" width="11.6640625" bestFit="1" customWidth="1"/>
    <col min="7" max="8" width="11.6640625" customWidth="1"/>
    <col min="9" max="9" width="57.6640625" bestFit="1" customWidth="1"/>
    <col min="10" max="10" width="12.21875" bestFit="1" customWidth="1"/>
    <col min="11" max="11" width="9.5546875" bestFit="1" customWidth="1"/>
    <col min="12" max="12" width="11.33203125" bestFit="1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7</v>
      </c>
      <c r="D1" t="s">
        <v>109</v>
      </c>
      <c r="E1" t="s">
        <v>149</v>
      </c>
      <c r="F1" t="s">
        <v>150</v>
      </c>
      <c r="G1" t="s">
        <v>152</v>
      </c>
      <c r="H1" t="s">
        <v>153</v>
      </c>
      <c r="I1" t="s">
        <v>151</v>
      </c>
      <c r="J1" t="s">
        <v>63</v>
      </c>
      <c r="K1" t="s">
        <v>64</v>
      </c>
      <c r="L1" t="s">
        <v>2</v>
      </c>
      <c r="M1" t="s">
        <v>60</v>
      </c>
    </row>
    <row r="2" spans="1:13" x14ac:dyDescent="0.3">
      <c r="A2" t="s">
        <v>99</v>
      </c>
      <c r="B2" t="s">
        <v>74</v>
      </c>
      <c r="C2" t="s">
        <v>81</v>
      </c>
      <c r="D2" t="s">
        <v>13</v>
      </c>
      <c r="E2" t="s">
        <v>75</v>
      </c>
      <c r="F2" t="s">
        <v>4</v>
      </c>
      <c r="G2" t="str">
        <f>IF(LEFT(E2,3)="PVE","PVE",IF(LEFT(E2,2)="PV","PV",IF(LEFT(E2,2)="PI","PI","OUTRO")))</f>
        <v>PVE</v>
      </c>
      <c r="H2" t="str">
        <f>IF(LEFT(F2,3)="PVE","PVE",IF(LEFT(F2,2)="PV","PV",IF(LEFT(F2,2)="PI","PI","OUTRO")))</f>
        <v>PV</v>
      </c>
      <c r="I2" t="str">
        <f>UPPER(TRIM(A2))&amp;"|"&amp;UPPER(TRIM(B2))&amp;"|"&amp;UPPER(TRIM(E2))&amp;"|"&amp;UPPER(TRIM(F2))</f>
        <v>CTS DOMINGOS JOÃO DE CARVALHO|BLOCO 01|PVE-002|PV-002</v>
      </c>
      <c r="J2">
        <v>315</v>
      </c>
      <c r="K2" t="s">
        <v>61</v>
      </c>
      <c r="L2">
        <v>2.54</v>
      </c>
      <c r="M2">
        <v>1</v>
      </c>
    </row>
    <row r="3" spans="1:13" x14ac:dyDescent="0.3">
      <c r="A3" t="s">
        <v>99</v>
      </c>
      <c r="B3" t="s">
        <v>74</v>
      </c>
      <c r="C3" t="s">
        <v>81</v>
      </c>
      <c r="D3" t="s">
        <v>13</v>
      </c>
      <c r="E3" t="s">
        <v>4</v>
      </c>
      <c r="F3" t="s">
        <v>5</v>
      </c>
      <c r="G3" t="str">
        <f t="shared" ref="G3:G66" si="0">IF(LEFT(E3,3)="PVE","PVE",IF(LEFT(E3,2)="PV","PV",IF(LEFT(E3,2)="PI","PI","OUTRO")))</f>
        <v>PV</v>
      </c>
      <c r="H3" t="str">
        <f t="shared" ref="H3:H66" si="1">IF(LEFT(F3,3)="PVE","PVE",IF(LEFT(F3,2)="PV","PV",IF(LEFT(F3,2)="PI","PI","OUTRO")))</f>
        <v>PV</v>
      </c>
      <c r="I3" t="str">
        <f t="shared" ref="I3:I66" si="2">UPPER(TRIM(A3))&amp;"|"&amp;UPPER(TRIM(B3))&amp;"|"&amp;UPPER(TRIM(E3))&amp;"|"&amp;UPPER(TRIM(F3))</f>
        <v>CTS DOMINGOS JOÃO DE CARVALHO|BLOCO 01|PV-002|PV-003</v>
      </c>
      <c r="J3">
        <v>315</v>
      </c>
      <c r="K3" t="s">
        <v>61</v>
      </c>
      <c r="L3">
        <v>55.22</v>
      </c>
      <c r="M3">
        <v>2</v>
      </c>
    </row>
    <row r="4" spans="1:13" x14ac:dyDescent="0.3">
      <c r="A4" t="s">
        <v>99</v>
      </c>
      <c r="B4" t="s">
        <v>74</v>
      </c>
      <c r="C4" t="s">
        <v>76</v>
      </c>
      <c r="D4" t="s">
        <v>13</v>
      </c>
      <c r="E4" t="s">
        <v>5</v>
      </c>
      <c r="F4" t="s">
        <v>6</v>
      </c>
      <c r="G4" t="str">
        <f t="shared" si="0"/>
        <v>PV</v>
      </c>
      <c r="H4" t="str">
        <f t="shared" si="1"/>
        <v>PV</v>
      </c>
      <c r="I4" t="str">
        <f t="shared" si="2"/>
        <v>CTS DOMINGOS JOÃO DE CARVALHO|BLOCO 01|PV-003|PV-004</v>
      </c>
      <c r="J4">
        <v>315</v>
      </c>
      <c r="K4" t="s">
        <v>61</v>
      </c>
      <c r="L4">
        <v>85.51</v>
      </c>
      <c r="M4">
        <v>3</v>
      </c>
    </row>
    <row r="5" spans="1:13" x14ac:dyDescent="0.3">
      <c r="A5" t="s">
        <v>99</v>
      </c>
      <c r="B5" t="s">
        <v>82</v>
      </c>
      <c r="C5" t="s">
        <v>76</v>
      </c>
      <c r="D5" t="s">
        <v>13</v>
      </c>
      <c r="E5" t="s">
        <v>6</v>
      </c>
      <c r="F5" t="s">
        <v>26</v>
      </c>
      <c r="G5" t="str">
        <f t="shared" si="0"/>
        <v>PV</v>
      </c>
      <c r="H5" t="str">
        <f t="shared" si="1"/>
        <v>PV</v>
      </c>
      <c r="I5" t="str">
        <f t="shared" si="2"/>
        <v>CTS DOMINGOS JOÃO DE CARVALHO|BLOCO 02|PV-004|PV-012</v>
      </c>
      <c r="J5">
        <v>315</v>
      </c>
      <c r="K5" t="s">
        <v>61</v>
      </c>
      <c r="L5">
        <v>11.59</v>
      </c>
      <c r="M5">
        <v>4</v>
      </c>
    </row>
    <row r="6" spans="1:13" x14ac:dyDescent="0.3">
      <c r="A6" t="s">
        <v>99</v>
      </c>
      <c r="B6" t="s">
        <v>82</v>
      </c>
      <c r="C6" t="s">
        <v>76</v>
      </c>
      <c r="D6" t="s">
        <v>41</v>
      </c>
      <c r="E6" t="s">
        <v>26</v>
      </c>
      <c r="F6" t="s">
        <v>77</v>
      </c>
      <c r="G6" t="str">
        <f t="shared" si="0"/>
        <v>PV</v>
      </c>
      <c r="H6" t="str">
        <f t="shared" si="1"/>
        <v>PI</v>
      </c>
      <c r="I6" t="str">
        <f t="shared" si="2"/>
        <v>CTS DOMINGOS JOÃO DE CARVALHO|BLOCO 02|PV-012|PIE-016</v>
      </c>
      <c r="J6">
        <v>200</v>
      </c>
      <c r="K6" t="s">
        <v>62</v>
      </c>
      <c r="L6">
        <v>2.94</v>
      </c>
      <c r="M6">
        <v>5</v>
      </c>
    </row>
    <row r="7" spans="1:13" x14ac:dyDescent="0.3">
      <c r="A7" t="s">
        <v>99</v>
      </c>
      <c r="B7" t="s">
        <v>82</v>
      </c>
      <c r="C7" t="s">
        <v>76</v>
      </c>
      <c r="D7" t="s">
        <v>13</v>
      </c>
      <c r="E7" t="s">
        <v>26</v>
      </c>
      <c r="F7" t="s">
        <v>78</v>
      </c>
      <c r="G7" t="str">
        <f t="shared" si="0"/>
        <v>PV</v>
      </c>
      <c r="H7" t="str">
        <f t="shared" si="1"/>
        <v>PV</v>
      </c>
      <c r="I7" t="str">
        <f t="shared" si="2"/>
        <v>CTS DOMINGOS JOÃO DE CARVALHO|BLOCO 02|PV-012|PV-013A</v>
      </c>
      <c r="J7">
        <v>315</v>
      </c>
      <c r="K7" t="s">
        <v>61</v>
      </c>
      <c r="L7">
        <v>12.12</v>
      </c>
      <c r="M7">
        <v>6</v>
      </c>
    </row>
    <row r="8" spans="1:13" x14ac:dyDescent="0.3">
      <c r="A8" t="s">
        <v>99</v>
      </c>
      <c r="B8" t="s">
        <v>82</v>
      </c>
      <c r="C8" t="s">
        <v>76</v>
      </c>
      <c r="D8" t="s">
        <v>41</v>
      </c>
      <c r="E8" t="s">
        <v>78</v>
      </c>
      <c r="F8" t="s">
        <v>79</v>
      </c>
      <c r="G8" t="str">
        <f t="shared" si="0"/>
        <v>PV</v>
      </c>
      <c r="H8" t="str">
        <f t="shared" si="1"/>
        <v>PI</v>
      </c>
      <c r="I8" t="str">
        <f t="shared" si="2"/>
        <v>CTS DOMINGOS JOÃO DE CARVALHO|BLOCO 02|PV-013A|PI-14.1</v>
      </c>
      <c r="J8">
        <v>200</v>
      </c>
      <c r="K8" t="s">
        <v>62</v>
      </c>
      <c r="L8">
        <v>3.56</v>
      </c>
      <c r="M8">
        <v>7</v>
      </c>
    </row>
    <row r="9" spans="1:13" x14ac:dyDescent="0.3">
      <c r="A9" t="s">
        <v>99</v>
      </c>
      <c r="B9" t="s">
        <v>82</v>
      </c>
      <c r="C9" t="s">
        <v>76</v>
      </c>
      <c r="D9" t="s">
        <v>41</v>
      </c>
      <c r="E9" t="s">
        <v>78</v>
      </c>
      <c r="F9" t="s">
        <v>80</v>
      </c>
      <c r="G9" t="str">
        <f t="shared" si="0"/>
        <v>PV</v>
      </c>
      <c r="H9" t="str">
        <f t="shared" si="1"/>
        <v>PI</v>
      </c>
      <c r="I9" t="str">
        <f t="shared" si="2"/>
        <v>CTS DOMINGOS JOÃO DE CARVALHO|BLOCO 02|PV-013A|PIE-013</v>
      </c>
      <c r="J9">
        <v>200</v>
      </c>
      <c r="K9" t="s">
        <v>62</v>
      </c>
      <c r="L9">
        <v>3.1</v>
      </c>
      <c r="M9">
        <v>8</v>
      </c>
    </row>
    <row r="10" spans="1:13" x14ac:dyDescent="0.3">
      <c r="A10" t="s">
        <v>99</v>
      </c>
      <c r="B10" t="s">
        <v>83</v>
      </c>
      <c r="C10" t="s">
        <v>85</v>
      </c>
      <c r="D10" t="s">
        <v>13</v>
      </c>
      <c r="E10" t="s">
        <v>6</v>
      </c>
      <c r="F10" t="s">
        <v>17</v>
      </c>
      <c r="G10" t="str">
        <f t="shared" si="0"/>
        <v>PV</v>
      </c>
      <c r="H10" t="str">
        <f t="shared" si="1"/>
        <v>PV</v>
      </c>
      <c r="I10" t="str">
        <f t="shared" si="2"/>
        <v>CTS DOMINGOS JOÃO DE CARVALHO|BLOCO 03|PV-004|PV-006</v>
      </c>
      <c r="J10">
        <v>315</v>
      </c>
      <c r="K10" t="s">
        <v>61</v>
      </c>
      <c r="L10">
        <v>46.86</v>
      </c>
      <c r="M10">
        <v>9</v>
      </c>
    </row>
    <row r="11" spans="1:13" x14ac:dyDescent="0.3">
      <c r="A11" t="s">
        <v>99</v>
      </c>
      <c r="B11" t="s">
        <v>83</v>
      </c>
      <c r="C11" t="s">
        <v>85</v>
      </c>
      <c r="D11" t="s">
        <v>41</v>
      </c>
      <c r="E11" t="s">
        <v>17</v>
      </c>
      <c r="F11" t="s">
        <v>30</v>
      </c>
      <c r="G11" t="str">
        <f t="shared" si="0"/>
        <v>PV</v>
      </c>
      <c r="H11" t="str">
        <f t="shared" si="1"/>
        <v>PV</v>
      </c>
      <c r="I11" t="str">
        <f t="shared" si="2"/>
        <v>CTS DOMINGOS JOÃO DE CARVALHO|BLOCO 03|PV-006|PV-017</v>
      </c>
      <c r="J11">
        <v>200</v>
      </c>
      <c r="K11" t="s">
        <v>62</v>
      </c>
      <c r="L11">
        <v>48.86</v>
      </c>
      <c r="M11">
        <v>10</v>
      </c>
    </row>
    <row r="12" spans="1:13" x14ac:dyDescent="0.3">
      <c r="A12" t="s">
        <v>99</v>
      </c>
      <c r="B12" t="s">
        <v>83</v>
      </c>
      <c r="C12" t="s">
        <v>85</v>
      </c>
      <c r="D12" t="s">
        <v>41</v>
      </c>
      <c r="E12" t="s">
        <v>30</v>
      </c>
      <c r="F12" t="s">
        <v>86</v>
      </c>
      <c r="G12" t="str">
        <f t="shared" si="0"/>
        <v>PV</v>
      </c>
      <c r="H12" t="str">
        <f t="shared" si="1"/>
        <v>PI</v>
      </c>
      <c r="I12" t="str">
        <f t="shared" si="2"/>
        <v>CTS DOMINGOS JOÃO DE CARVALHO|BLOCO 03|PV-017|PI-020</v>
      </c>
      <c r="J12">
        <v>200</v>
      </c>
      <c r="K12" t="s">
        <v>62</v>
      </c>
      <c r="L12">
        <v>2.11</v>
      </c>
      <c r="M12">
        <v>11</v>
      </c>
    </row>
    <row r="13" spans="1:13" x14ac:dyDescent="0.3">
      <c r="A13" t="s">
        <v>99</v>
      </c>
      <c r="B13" t="s">
        <v>83</v>
      </c>
      <c r="C13" t="s">
        <v>85</v>
      </c>
      <c r="D13" t="s">
        <v>41</v>
      </c>
      <c r="E13" t="s">
        <v>30</v>
      </c>
      <c r="F13" t="s">
        <v>31</v>
      </c>
      <c r="G13" t="str">
        <f t="shared" si="0"/>
        <v>PV</v>
      </c>
      <c r="H13" t="str">
        <f t="shared" si="1"/>
        <v>PV</v>
      </c>
      <c r="I13" t="str">
        <f t="shared" si="2"/>
        <v>CTS DOMINGOS JOÃO DE CARVALHO|BLOCO 03|PV-017|PV-018</v>
      </c>
      <c r="J13">
        <v>200</v>
      </c>
      <c r="K13" t="s">
        <v>62</v>
      </c>
      <c r="L13">
        <v>6.69</v>
      </c>
      <c r="M13">
        <v>12</v>
      </c>
    </row>
    <row r="14" spans="1:13" x14ac:dyDescent="0.3">
      <c r="A14" t="s">
        <v>99</v>
      </c>
      <c r="B14" t="s">
        <v>83</v>
      </c>
      <c r="C14" t="s">
        <v>85</v>
      </c>
      <c r="D14" t="s">
        <v>41</v>
      </c>
      <c r="E14" t="s">
        <v>31</v>
      </c>
      <c r="F14" t="s">
        <v>87</v>
      </c>
      <c r="G14" t="str">
        <f t="shared" si="0"/>
        <v>PV</v>
      </c>
      <c r="H14" t="str">
        <f t="shared" si="1"/>
        <v>PI</v>
      </c>
      <c r="I14" t="str">
        <f t="shared" si="2"/>
        <v>CTS DOMINGOS JOÃO DE CARVALHO|BLOCO 03|PV-018|PI-018.1</v>
      </c>
      <c r="J14">
        <v>200</v>
      </c>
      <c r="K14" t="s">
        <v>62</v>
      </c>
      <c r="L14">
        <v>1.45</v>
      </c>
      <c r="M14">
        <v>13</v>
      </c>
    </row>
    <row r="15" spans="1:13" x14ac:dyDescent="0.3">
      <c r="A15" t="s">
        <v>99</v>
      </c>
      <c r="B15" t="s">
        <v>83</v>
      </c>
      <c r="C15" t="s">
        <v>85</v>
      </c>
      <c r="D15" t="s">
        <v>41</v>
      </c>
      <c r="E15" t="s">
        <v>31</v>
      </c>
      <c r="F15" t="s">
        <v>88</v>
      </c>
      <c r="G15" t="str">
        <f t="shared" si="0"/>
        <v>PV</v>
      </c>
      <c r="H15" t="str">
        <f t="shared" si="1"/>
        <v>PI</v>
      </c>
      <c r="I15" t="str">
        <f t="shared" si="2"/>
        <v>CTS DOMINGOS JOÃO DE CARVALHO|BLOCO 03|PV-018|PI-019</v>
      </c>
      <c r="J15">
        <v>200</v>
      </c>
      <c r="K15" t="s">
        <v>62</v>
      </c>
      <c r="L15">
        <v>3.25</v>
      </c>
      <c r="M15">
        <v>14</v>
      </c>
    </row>
    <row r="16" spans="1:13" x14ac:dyDescent="0.3">
      <c r="A16" t="s">
        <v>99</v>
      </c>
      <c r="B16" t="s">
        <v>83</v>
      </c>
      <c r="C16" t="s">
        <v>96</v>
      </c>
      <c r="D16" t="s">
        <v>13</v>
      </c>
      <c r="E16" t="s">
        <v>31</v>
      </c>
      <c r="F16" t="s">
        <v>88</v>
      </c>
      <c r="G16" t="str">
        <f t="shared" si="0"/>
        <v>PV</v>
      </c>
      <c r="H16" t="str">
        <f t="shared" si="1"/>
        <v>PI</v>
      </c>
      <c r="I16" t="str">
        <f t="shared" si="2"/>
        <v>CTS DOMINGOS JOÃO DE CARVALHO|BLOCO 03|PV-018|PI-019</v>
      </c>
      <c r="J16">
        <v>315</v>
      </c>
      <c r="K16" t="s">
        <v>61</v>
      </c>
      <c r="L16">
        <v>46.45</v>
      </c>
      <c r="M16">
        <v>15</v>
      </c>
    </row>
    <row r="17" spans="1:13" x14ac:dyDescent="0.3">
      <c r="A17" t="s">
        <v>99</v>
      </c>
      <c r="B17" t="s">
        <v>83</v>
      </c>
      <c r="C17" t="s">
        <v>97</v>
      </c>
      <c r="D17" t="s">
        <v>13</v>
      </c>
      <c r="E17" t="s">
        <v>19</v>
      </c>
      <c r="F17" t="s">
        <v>89</v>
      </c>
      <c r="G17" t="str">
        <f t="shared" si="0"/>
        <v>PV</v>
      </c>
      <c r="H17" t="str">
        <f t="shared" si="1"/>
        <v>PV</v>
      </c>
      <c r="I17" t="str">
        <f t="shared" si="2"/>
        <v>CTS DOMINGOS JOÃO DE CARVALHO|BLOCO 03|PV-007|PV-021</v>
      </c>
      <c r="J17">
        <v>315</v>
      </c>
      <c r="K17" t="s">
        <v>61</v>
      </c>
      <c r="L17">
        <v>51.25</v>
      </c>
      <c r="M17">
        <v>16</v>
      </c>
    </row>
    <row r="18" spans="1:13" x14ac:dyDescent="0.3">
      <c r="A18" t="s">
        <v>99</v>
      </c>
      <c r="B18" t="s">
        <v>83</v>
      </c>
      <c r="C18" t="s">
        <v>97</v>
      </c>
      <c r="D18" t="s">
        <v>13</v>
      </c>
      <c r="E18" t="s">
        <v>89</v>
      </c>
      <c r="F18" t="s">
        <v>34</v>
      </c>
      <c r="G18" t="str">
        <f t="shared" si="0"/>
        <v>PV</v>
      </c>
      <c r="H18" t="str">
        <f t="shared" si="1"/>
        <v>PV</v>
      </c>
      <c r="I18" t="str">
        <f t="shared" si="2"/>
        <v>CTS DOMINGOS JOÃO DE CARVALHO|BLOCO 03|PV-021|PV-022</v>
      </c>
      <c r="J18">
        <v>315</v>
      </c>
      <c r="K18" t="s">
        <v>61</v>
      </c>
      <c r="L18">
        <v>8.02</v>
      </c>
      <c r="M18">
        <v>17</v>
      </c>
    </row>
    <row r="19" spans="1:13" x14ac:dyDescent="0.3">
      <c r="A19" t="s">
        <v>99</v>
      </c>
      <c r="B19" t="s">
        <v>83</v>
      </c>
      <c r="C19" t="s">
        <v>97</v>
      </c>
      <c r="D19" t="s">
        <v>41</v>
      </c>
      <c r="E19" t="s">
        <v>89</v>
      </c>
      <c r="F19" t="s">
        <v>90</v>
      </c>
      <c r="G19" t="str">
        <f t="shared" si="0"/>
        <v>PV</v>
      </c>
      <c r="H19" t="str">
        <f t="shared" si="1"/>
        <v>PI</v>
      </c>
      <c r="I19" t="str">
        <f t="shared" si="2"/>
        <v>CTS DOMINGOS JOÃO DE CARVALHO|BLOCO 03|PV-021|PI-023</v>
      </c>
      <c r="J19">
        <v>200</v>
      </c>
      <c r="K19" t="s">
        <v>62</v>
      </c>
      <c r="L19">
        <v>2.36</v>
      </c>
      <c r="M19">
        <v>18</v>
      </c>
    </row>
    <row r="20" spans="1:13" x14ac:dyDescent="0.3">
      <c r="A20" t="s">
        <v>99</v>
      </c>
      <c r="B20" t="s">
        <v>84</v>
      </c>
      <c r="C20" t="s">
        <v>98</v>
      </c>
      <c r="D20" t="s">
        <v>13</v>
      </c>
      <c r="E20" t="s">
        <v>19</v>
      </c>
      <c r="F20" t="s">
        <v>91</v>
      </c>
      <c r="G20" t="str">
        <f t="shared" si="0"/>
        <v>PV</v>
      </c>
      <c r="H20" t="str">
        <f t="shared" si="1"/>
        <v>PV</v>
      </c>
      <c r="I20" t="str">
        <f t="shared" si="2"/>
        <v>CTS DOMINGOS JOÃO DE CARVALHO|BLOCO 04|PV-007|PV-008</v>
      </c>
      <c r="J20">
        <v>315</v>
      </c>
      <c r="K20" t="s">
        <v>61</v>
      </c>
      <c r="L20">
        <v>47.3</v>
      </c>
      <c r="M20">
        <v>19</v>
      </c>
    </row>
    <row r="21" spans="1:13" x14ac:dyDescent="0.3">
      <c r="A21" t="s">
        <v>99</v>
      </c>
      <c r="B21" t="s">
        <v>84</v>
      </c>
      <c r="C21" t="s">
        <v>98</v>
      </c>
      <c r="D21" t="s">
        <v>13</v>
      </c>
      <c r="E21" t="s">
        <v>91</v>
      </c>
      <c r="F21" t="s">
        <v>20</v>
      </c>
      <c r="G21" t="str">
        <f t="shared" si="0"/>
        <v>PV</v>
      </c>
      <c r="H21" t="str">
        <f t="shared" si="1"/>
        <v>PV</v>
      </c>
      <c r="I21" t="str">
        <f t="shared" si="2"/>
        <v>CTS DOMINGOS JOÃO DE CARVALHO|BLOCO 04|PV-008|PV-009</v>
      </c>
      <c r="J21">
        <v>315</v>
      </c>
      <c r="K21" t="s">
        <v>61</v>
      </c>
      <c r="L21">
        <v>62.84</v>
      </c>
      <c r="M21">
        <v>20</v>
      </c>
    </row>
    <row r="22" spans="1:13" x14ac:dyDescent="0.3">
      <c r="A22" t="s">
        <v>99</v>
      </c>
      <c r="B22" t="s">
        <v>84</v>
      </c>
      <c r="C22" t="s">
        <v>98</v>
      </c>
      <c r="D22" t="s">
        <v>13</v>
      </c>
      <c r="E22" t="s">
        <v>20</v>
      </c>
      <c r="F22" t="s">
        <v>92</v>
      </c>
      <c r="G22" t="str">
        <f t="shared" si="0"/>
        <v>PV</v>
      </c>
      <c r="H22" t="str">
        <f t="shared" si="1"/>
        <v>PV</v>
      </c>
      <c r="I22" t="str">
        <f t="shared" si="2"/>
        <v>CTS DOMINGOS JOÃO DE CARVALHO|BLOCO 04|PV-009|PV-010</v>
      </c>
      <c r="J22">
        <v>315</v>
      </c>
      <c r="K22" t="s">
        <v>61</v>
      </c>
      <c r="L22">
        <v>11.26</v>
      </c>
      <c r="M22">
        <v>21</v>
      </c>
    </row>
    <row r="23" spans="1:13" x14ac:dyDescent="0.3">
      <c r="A23" t="s">
        <v>99</v>
      </c>
      <c r="B23" t="s">
        <v>84</v>
      </c>
      <c r="C23" t="s">
        <v>98</v>
      </c>
      <c r="D23" t="s">
        <v>41</v>
      </c>
      <c r="E23" t="s">
        <v>20</v>
      </c>
      <c r="F23" t="s">
        <v>93</v>
      </c>
      <c r="G23" t="str">
        <f t="shared" si="0"/>
        <v>PV</v>
      </c>
      <c r="H23" t="str">
        <f t="shared" si="1"/>
        <v>PI</v>
      </c>
      <c r="I23" t="str">
        <f t="shared" si="2"/>
        <v>CTS DOMINGOS JOÃO DE CARVALHO|BLOCO 04|PV-009|PI-009</v>
      </c>
      <c r="J23">
        <v>300</v>
      </c>
      <c r="K23" t="s">
        <v>62</v>
      </c>
      <c r="L23">
        <v>5.27</v>
      </c>
      <c r="M23">
        <v>22</v>
      </c>
    </row>
    <row r="24" spans="1:13" x14ac:dyDescent="0.3">
      <c r="A24" t="s">
        <v>99</v>
      </c>
      <c r="B24" t="s">
        <v>84</v>
      </c>
      <c r="C24" t="s">
        <v>98</v>
      </c>
      <c r="D24" t="s">
        <v>41</v>
      </c>
      <c r="E24" t="s">
        <v>20</v>
      </c>
      <c r="F24" t="s">
        <v>94</v>
      </c>
      <c r="G24" t="str">
        <f t="shared" si="0"/>
        <v>PV</v>
      </c>
      <c r="H24" t="str">
        <f t="shared" si="1"/>
        <v>PI</v>
      </c>
      <c r="I24" t="str">
        <f t="shared" si="2"/>
        <v>CTS DOMINGOS JOÃO DE CARVALHO|BLOCO 04|PV-009|PI-024</v>
      </c>
      <c r="J24">
        <v>200</v>
      </c>
      <c r="K24" t="s">
        <v>62</v>
      </c>
      <c r="L24">
        <v>1.77</v>
      </c>
      <c r="M24">
        <v>23</v>
      </c>
    </row>
    <row r="25" spans="1:13" x14ac:dyDescent="0.3">
      <c r="A25" t="s">
        <v>99</v>
      </c>
      <c r="B25" t="s">
        <v>84</v>
      </c>
      <c r="C25" t="s">
        <v>98</v>
      </c>
      <c r="D25" t="s">
        <v>41</v>
      </c>
      <c r="E25" t="s">
        <v>92</v>
      </c>
      <c r="F25" t="s">
        <v>95</v>
      </c>
      <c r="G25" t="str">
        <f t="shared" si="0"/>
        <v>PV</v>
      </c>
      <c r="H25" t="str">
        <f t="shared" si="1"/>
        <v>PI</v>
      </c>
      <c r="I25" t="str">
        <f t="shared" si="2"/>
        <v>CTS DOMINGOS JOÃO DE CARVALHO|BLOCO 04|PV-010|PI-011</v>
      </c>
      <c r="J25">
        <v>200</v>
      </c>
      <c r="K25" t="s">
        <v>62</v>
      </c>
      <c r="L25">
        <v>2.13</v>
      </c>
      <c r="M25">
        <v>24</v>
      </c>
    </row>
    <row r="26" spans="1:13" x14ac:dyDescent="0.3">
      <c r="A26" t="s">
        <v>14</v>
      </c>
      <c r="B26" t="s">
        <v>8</v>
      </c>
      <c r="C26" t="s">
        <v>12</v>
      </c>
      <c r="D26" t="s">
        <v>13</v>
      </c>
      <c r="E26" t="s">
        <v>9</v>
      </c>
      <c r="F26" t="s">
        <v>3</v>
      </c>
      <c r="G26" t="str">
        <f t="shared" si="0"/>
        <v>PVE</v>
      </c>
      <c r="H26" t="str">
        <f t="shared" si="1"/>
        <v>PV</v>
      </c>
      <c r="I26" t="str">
        <f t="shared" si="2"/>
        <v>CTS BANDEIRANTES|BLOCO 21|PVE-001|PV-001</v>
      </c>
      <c r="J26">
        <v>355</v>
      </c>
      <c r="K26" t="s">
        <v>61</v>
      </c>
      <c r="L26">
        <v>2.94</v>
      </c>
      <c r="M26">
        <v>1</v>
      </c>
    </row>
    <row r="27" spans="1:13" x14ac:dyDescent="0.3">
      <c r="A27" t="s">
        <v>14</v>
      </c>
      <c r="B27" t="s">
        <v>8</v>
      </c>
      <c r="C27" t="s">
        <v>12</v>
      </c>
      <c r="D27" t="s">
        <v>13</v>
      </c>
      <c r="E27" t="s">
        <v>3</v>
      </c>
      <c r="F27" t="s">
        <v>4</v>
      </c>
      <c r="G27" t="str">
        <f t="shared" si="0"/>
        <v>PV</v>
      </c>
      <c r="H27" t="str">
        <f t="shared" si="1"/>
        <v>PV</v>
      </c>
      <c r="I27" t="str">
        <f t="shared" si="2"/>
        <v>CTS BANDEIRANTES|BLOCO 21|PV-001|PV-002</v>
      </c>
      <c r="J27">
        <v>355</v>
      </c>
      <c r="K27" t="s">
        <v>61</v>
      </c>
      <c r="L27">
        <v>56.85</v>
      </c>
      <c r="M27">
        <v>2</v>
      </c>
    </row>
    <row r="28" spans="1:13" x14ac:dyDescent="0.3">
      <c r="A28" t="s">
        <v>14</v>
      </c>
      <c r="B28" t="s">
        <v>8</v>
      </c>
      <c r="C28" t="s">
        <v>12</v>
      </c>
      <c r="D28" t="s">
        <v>13</v>
      </c>
      <c r="E28" t="s">
        <v>4</v>
      </c>
      <c r="F28" t="s">
        <v>5</v>
      </c>
      <c r="G28" t="str">
        <f t="shared" si="0"/>
        <v>PV</v>
      </c>
      <c r="H28" t="str">
        <f t="shared" si="1"/>
        <v>PV</v>
      </c>
      <c r="I28" t="str">
        <f t="shared" si="2"/>
        <v>CTS BANDEIRANTES|BLOCO 21|PV-002|PV-003</v>
      </c>
      <c r="J28">
        <v>355</v>
      </c>
      <c r="K28" t="s">
        <v>61</v>
      </c>
      <c r="L28">
        <v>11.45</v>
      </c>
      <c r="M28">
        <v>3</v>
      </c>
    </row>
    <row r="29" spans="1:13" x14ac:dyDescent="0.3">
      <c r="A29" t="s">
        <v>14</v>
      </c>
      <c r="B29" t="s">
        <v>8</v>
      </c>
      <c r="C29" t="s">
        <v>15</v>
      </c>
      <c r="D29" t="s">
        <v>13</v>
      </c>
      <c r="E29" t="s">
        <v>5</v>
      </c>
      <c r="F29" t="s">
        <v>6</v>
      </c>
      <c r="G29" t="str">
        <f t="shared" si="0"/>
        <v>PV</v>
      </c>
      <c r="H29" t="str">
        <f t="shared" si="1"/>
        <v>PV</v>
      </c>
      <c r="I29" t="str">
        <f t="shared" si="2"/>
        <v>CTS BANDEIRANTES|BLOCO 21|PV-003|PV-004</v>
      </c>
      <c r="J29">
        <v>355</v>
      </c>
      <c r="K29" t="s">
        <v>61</v>
      </c>
      <c r="L29">
        <v>65.489999999999995</v>
      </c>
      <c r="M29">
        <v>4</v>
      </c>
    </row>
    <row r="30" spans="1:13" x14ac:dyDescent="0.3">
      <c r="A30" t="s">
        <v>14</v>
      </c>
      <c r="B30" t="s">
        <v>8</v>
      </c>
      <c r="C30" t="s">
        <v>15</v>
      </c>
      <c r="D30" t="s">
        <v>13</v>
      </c>
      <c r="E30" t="s">
        <v>6</v>
      </c>
      <c r="F30" t="s">
        <v>16</v>
      </c>
      <c r="G30" t="str">
        <f t="shared" si="0"/>
        <v>PV</v>
      </c>
      <c r="H30" t="str">
        <f t="shared" si="1"/>
        <v>PV</v>
      </c>
      <c r="I30" t="str">
        <f t="shared" si="2"/>
        <v>CTS BANDEIRANTES|BLOCO 21|PV-004|PV-005</v>
      </c>
      <c r="J30">
        <v>355</v>
      </c>
      <c r="K30" t="s">
        <v>61</v>
      </c>
      <c r="L30">
        <v>81.75</v>
      </c>
      <c r="M30">
        <v>5</v>
      </c>
    </row>
    <row r="31" spans="1:13" x14ac:dyDescent="0.3">
      <c r="A31" t="s">
        <v>14</v>
      </c>
      <c r="B31" t="s">
        <v>8</v>
      </c>
      <c r="C31" t="s">
        <v>15</v>
      </c>
      <c r="D31" t="s">
        <v>13</v>
      </c>
      <c r="E31" t="s">
        <v>16</v>
      </c>
      <c r="F31" t="s">
        <v>17</v>
      </c>
      <c r="G31" t="str">
        <f t="shared" si="0"/>
        <v>PV</v>
      </c>
      <c r="H31" t="str">
        <f t="shared" si="1"/>
        <v>PV</v>
      </c>
      <c r="I31" t="str">
        <f t="shared" si="2"/>
        <v>CTS BANDEIRANTES|BLOCO 21|PV-005|PV-006</v>
      </c>
      <c r="J31">
        <v>355</v>
      </c>
      <c r="K31" t="s">
        <v>61</v>
      </c>
      <c r="L31">
        <v>83.67</v>
      </c>
      <c r="M31">
        <v>6</v>
      </c>
    </row>
    <row r="32" spans="1:13" x14ac:dyDescent="0.3">
      <c r="A32" t="s">
        <v>14</v>
      </c>
      <c r="B32" t="s">
        <v>8</v>
      </c>
      <c r="C32" t="s">
        <v>15</v>
      </c>
      <c r="D32" t="s">
        <v>13</v>
      </c>
      <c r="E32" t="s">
        <v>17</v>
      </c>
      <c r="F32" t="s">
        <v>19</v>
      </c>
      <c r="G32" t="str">
        <f t="shared" si="0"/>
        <v>PV</v>
      </c>
      <c r="H32" t="str">
        <f t="shared" si="1"/>
        <v>PV</v>
      </c>
      <c r="I32" t="str">
        <f t="shared" si="2"/>
        <v>CTS BANDEIRANTES|BLOCO 21|PV-006|PV-007</v>
      </c>
      <c r="J32">
        <v>355</v>
      </c>
      <c r="K32" t="s">
        <v>61</v>
      </c>
      <c r="L32">
        <v>86.03</v>
      </c>
      <c r="M32">
        <v>7</v>
      </c>
    </row>
    <row r="33" spans="1:13" x14ac:dyDescent="0.3">
      <c r="A33" t="s">
        <v>14</v>
      </c>
      <c r="B33" t="s">
        <v>8</v>
      </c>
      <c r="C33" t="s">
        <v>18</v>
      </c>
      <c r="D33" t="s">
        <v>13</v>
      </c>
      <c r="E33" t="s">
        <v>19</v>
      </c>
      <c r="F33" t="s">
        <v>21</v>
      </c>
      <c r="G33" t="str">
        <f t="shared" si="0"/>
        <v>PV</v>
      </c>
      <c r="H33" t="str">
        <f t="shared" si="1"/>
        <v>PV</v>
      </c>
      <c r="I33" t="str">
        <f t="shared" si="2"/>
        <v>CTS BANDEIRANTES|BLOCO 21|PV-007|PV-042</v>
      </c>
      <c r="J33">
        <v>355</v>
      </c>
      <c r="K33" t="s">
        <v>61</v>
      </c>
      <c r="L33">
        <v>63.1</v>
      </c>
      <c r="M33">
        <v>8</v>
      </c>
    </row>
    <row r="34" spans="1:13" x14ac:dyDescent="0.3">
      <c r="A34" t="s">
        <v>14</v>
      </c>
      <c r="B34" t="s">
        <v>8</v>
      </c>
      <c r="C34" t="s">
        <v>22</v>
      </c>
      <c r="D34" t="s">
        <v>13</v>
      </c>
      <c r="E34" t="s">
        <v>21</v>
      </c>
      <c r="F34" t="s">
        <v>23</v>
      </c>
      <c r="G34" t="str">
        <f t="shared" si="0"/>
        <v>PV</v>
      </c>
      <c r="H34" t="str">
        <f t="shared" si="1"/>
        <v>PVE</v>
      </c>
      <c r="I34" t="str">
        <f t="shared" si="2"/>
        <v>CTS BANDEIRANTES|BLOCO 21|PV-042|PVE-003</v>
      </c>
      <c r="J34">
        <v>355</v>
      </c>
      <c r="K34" t="s">
        <v>61</v>
      </c>
      <c r="L34">
        <v>8.08</v>
      </c>
      <c r="M34">
        <v>9</v>
      </c>
    </row>
    <row r="35" spans="1:13" x14ac:dyDescent="0.3">
      <c r="A35" t="s">
        <v>14</v>
      </c>
      <c r="B35" t="s">
        <v>8</v>
      </c>
      <c r="C35" t="s">
        <v>24</v>
      </c>
      <c r="D35" t="s">
        <v>13</v>
      </c>
      <c r="E35" t="s">
        <v>19</v>
      </c>
      <c r="F35" t="s">
        <v>20</v>
      </c>
      <c r="G35" t="str">
        <f t="shared" si="0"/>
        <v>PV</v>
      </c>
      <c r="H35" t="str">
        <f t="shared" si="1"/>
        <v>PV</v>
      </c>
      <c r="I35" t="str">
        <f t="shared" si="2"/>
        <v>CTS BANDEIRANTES|BLOCO 21|PV-007|PV-009</v>
      </c>
      <c r="J35">
        <v>355</v>
      </c>
      <c r="K35" t="s">
        <v>61</v>
      </c>
      <c r="L35">
        <v>52.44</v>
      </c>
      <c r="M35">
        <v>10</v>
      </c>
    </row>
    <row r="36" spans="1:13" x14ac:dyDescent="0.3">
      <c r="A36" t="s">
        <v>14</v>
      </c>
      <c r="B36" t="s">
        <v>8</v>
      </c>
      <c r="C36" t="s">
        <v>24</v>
      </c>
      <c r="D36" t="s">
        <v>13</v>
      </c>
      <c r="E36" t="s">
        <v>20</v>
      </c>
      <c r="F36" t="s">
        <v>25</v>
      </c>
      <c r="G36" t="str">
        <f t="shared" si="0"/>
        <v>PV</v>
      </c>
      <c r="H36" t="str">
        <f t="shared" si="1"/>
        <v>PV</v>
      </c>
      <c r="I36" t="str">
        <f t="shared" si="2"/>
        <v>CTS BANDEIRANTES|BLOCO 21|PV-009|PV-011</v>
      </c>
      <c r="J36">
        <v>355</v>
      </c>
      <c r="K36" t="s">
        <v>61</v>
      </c>
      <c r="L36">
        <v>83.66</v>
      </c>
      <c r="M36">
        <v>11</v>
      </c>
    </row>
    <row r="37" spans="1:13" x14ac:dyDescent="0.3">
      <c r="A37" t="s">
        <v>14</v>
      </c>
      <c r="B37" t="s">
        <v>8</v>
      </c>
      <c r="C37" t="s">
        <v>24</v>
      </c>
      <c r="D37" t="s">
        <v>13</v>
      </c>
      <c r="E37" t="s">
        <v>25</v>
      </c>
      <c r="F37" t="s">
        <v>26</v>
      </c>
      <c r="G37" t="str">
        <f t="shared" si="0"/>
        <v>PV</v>
      </c>
      <c r="H37" t="str">
        <f t="shared" si="1"/>
        <v>PV</v>
      </c>
      <c r="I37" t="str">
        <f t="shared" si="2"/>
        <v>CTS BANDEIRANTES|BLOCO 21|PV-011|PV-012</v>
      </c>
      <c r="J37">
        <v>355</v>
      </c>
      <c r="K37" t="s">
        <v>61</v>
      </c>
      <c r="L37">
        <v>59.22</v>
      </c>
      <c r="M37">
        <v>12</v>
      </c>
    </row>
    <row r="38" spans="1:13" x14ac:dyDescent="0.3">
      <c r="A38" t="s">
        <v>14</v>
      </c>
      <c r="B38" t="s">
        <v>8</v>
      </c>
      <c r="C38" t="s">
        <v>24</v>
      </c>
      <c r="D38" t="s">
        <v>13</v>
      </c>
      <c r="E38" t="s">
        <v>26</v>
      </c>
      <c r="F38" t="s">
        <v>27</v>
      </c>
      <c r="G38" t="str">
        <f t="shared" si="0"/>
        <v>PV</v>
      </c>
      <c r="H38" t="str">
        <f t="shared" si="1"/>
        <v>PV</v>
      </c>
      <c r="I38" t="str">
        <f t="shared" si="2"/>
        <v>CTS BANDEIRANTES|BLOCO 21|PV-012|PV-013</v>
      </c>
      <c r="J38">
        <v>355</v>
      </c>
      <c r="K38" t="s">
        <v>61</v>
      </c>
      <c r="L38">
        <v>36.31</v>
      </c>
      <c r="M38">
        <v>13</v>
      </c>
    </row>
    <row r="39" spans="1:13" x14ac:dyDescent="0.3">
      <c r="A39" t="s">
        <v>14</v>
      </c>
      <c r="B39" t="s">
        <v>8</v>
      </c>
      <c r="C39" t="s">
        <v>38</v>
      </c>
      <c r="D39" t="s">
        <v>13</v>
      </c>
      <c r="E39" t="s">
        <v>27</v>
      </c>
      <c r="F39" t="s">
        <v>28</v>
      </c>
      <c r="G39" t="str">
        <f t="shared" si="0"/>
        <v>PV</v>
      </c>
      <c r="H39" t="str">
        <f t="shared" si="1"/>
        <v>PV</v>
      </c>
      <c r="I39" t="str">
        <f t="shared" si="2"/>
        <v>CTS BANDEIRANTES|BLOCO 21|PV-013|PV-014</v>
      </c>
      <c r="J39">
        <v>355</v>
      </c>
      <c r="K39" t="s">
        <v>61</v>
      </c>
      <c r="L39">
        <v>45.26</v>
      </c>
      <c r="M39">
        <v>14</v>
      </c>
    </row>
    <row r="40" spans="1:13" x14ac:dyDescent="0.3">
      <c r="A40" t="s">
        <v>14</v>
      </c>
      <c r="B40" t="s">
        <v>8</v>
      </c>
      <c r="C40" t="s">
        <v>39</v>
      </c>
      <c r="D40" t="s">
        <v>13</v>
      </c>
      <c r="E40" t="s">
        <v>28</v>
      </c>
      <c r="F40" t="s">
        <v>29</v>
      </c>
      <c r="G40" t="str">
        <f t="shared" si="0"/>
        <v>PV</v>
      </c>
      <c r="H40" t="str">
        <f t="shared" si="1"/>
        <v>PV</v>
      </c>
      <c r="I40" t="str">
        <f t="shared" si="2"/>
        <v>CTS BANDEIRANTES|BLOCO 21|PV-014|PV-016</v>
      </c>
      <c r="J40">
        <v>355</v>
      </c>
      <c r="K40" t="s">
        <v>61</v>
      </c>
      <c r="L40">
        <v>109.55</v>
      </c>
      <c r="M40">
        <v>15</v>
      </c>
    </row>
    <row r="41" spans="1:13" x14ac:dyDescent="0.3">
      <c r="A41" t="s">
        <v>14</v>
      </c>
      <c r="B41" t="s">
        <v>8</v>
      </c>
      <c r="C41" t="s">
        <v>40</v>
      </c>
      <c r="D41" t="s">
        <v>13</v>
      </c>
      <c r="E41" t="s">
        <v>29</v>
      </c>
      <c r="F41" t="s">
        <v>30</v>
      </c>
      <c r="G41" t="str">
        <f t="shared" si="0"/>
        <v>PV</v>
      </c>
      <c r="H41" t="str">
        <f t="shared" si="1"/>
        <v>PV</v>
      </c>
      <c r="I41" t="str">
        <f t="shared" si="2"/>
        <v>CTS BANDEIRANTES|BLOCO 21|PV-016|PV-017</v>
      </c>
      <c r="J41">
        <v>355</v>
      </c>
      <c r="K41" t="s">
        <v>61</v>
      </c>
      <c r="L41">
        <v>39.270000000000003</v>
      </c>
      <c r="M41">
        <v>16</v>
      </c>
    </row>
    <row r="42" spans="1:13" x14ac:dyDescent="0.3">
      <c r="A42" t="s">
        <v>14</v>
      </c>
      <c r="B42" t="s">
        <v>8</v>
      </c>
      <c r="C42" t="s">
        <v>40</v>
      </c>
      <c r="D42" t="s">
        <v>13</v>
      </c>
      <c r="E42" t="s">
        <v>30</v>
      </c>
      <c r="F42" t="s">
        <v>31</v>
      </c>
      <c r="G42" t="str">
        <f t="shared" si="0"/>
        <v>PV</v>
      </c>
      <c r="H42" t="str">
        <f t="shared" si="1"/>
        <v>PV</v>
      </c>
      <c r="I42" t="str">
        <f t="shared" si="2"/>
        <v>CTS BANDEIRANTES|BLOCO 21|PV-017|PV-018</v>
      </c>
      <c r="J42">
        <v>355</v>
      </c>
      <c r="K42" t="s">
        <v>61</v>
      </c>
      <c r="L42">
        <v>71.099999999999994</v>
      </c>
      <c r="M42">
        <v>17</v>
      </c>
    </row>
    <row r="43" spans="1:13" x14ac:dyDescent="0.3">
      <c r="A43" t="s">
        <v>14</v>
      </c>
      <c r="B43" t="s">
        <v>8</v>
      </c>
      <c r="C43" t="s">
        <v>40</v>
      </c>
      <c r="D43" t="s">
        <v>13</v>
      </c>
      <c r="E43" t="s">
        <v>31</v>
      </c>
      <c r="F43" t="s">
        <v>32</v>
      </c>
      <c r="G43" t="str">
        <f t="shared" si="0"/>
        <v>PV</v>
      </c>
      <c r="H43" t="str">
        <f t="shared" si="1"/>
        <v>PV</v>
      </c>
      <c r="I43" t="str">
        <f t="shared" si="2"/>
        <v>CTS BANDEIRANTES|BLOCO 21|PV-018|PV-019</v>
      </c>
      <c r="J43">
        <v>355</v>
      </c>
      <c r="K43" t="s">
        <v>61</v>
      </c>
      <c r="L43">
        <v>51.3</v>
      </c>
      <c r="M43">
        <v>18</v>
      </c>
    </row>
    <row r="44" spans="1:13" x14ac:dyDescent="0.3">
      <c r="A44" t="s">
        <v>14</v>
      </c>
      <c r="B44" t="s">
        <v>8</v>
      </c>
      <c r="C44" t="s">
        <v>40</v>
      </c>
      <c r="D44" t="s">
        <v>13</v>
      </c>
      <c r="E44" t="s">
        <v>32</v>
      </c>
      <c r="F44" t="s">
        <v>33</v>
      </c>
      <c r="G44" t="str">
        <f t="shared" si="0"/>
        <v>PV</v>
      </c>
      <c r="H44" t="str">
        <f t="shared" si="1"/>
        <v>PV</v>
      </c>
      <c r="I44" t="str">
        <f t="shared" si="2"/>
        <v>CTS BANDEIRANTES|BLOCO 21|PV-019|PV-020</v>
      </c>
      <c r="J44">
        <v>355</v>
      </c>
      <c r="K44" t="s">
        <v>61</v>
      </c>
      <c r="L44">
        <v>90.97</v>
      </c>
      <c r="M44">
        <v>19</v>
      </c>
    </row>
    <row r="45" spans="1:13" x14ac:dyDescent="0.3">
      <c r="A45" t="s">
        <v>14</v>
      </c>
      <c r="B45" t="s">
        <v>8</v>
      </c>
      <c r="C45" t="s">
        <v>40</v>
      </c>
      <c r="D45" t="s">
        <v>13</v>
      </c>
      <c r="E45" t="s">
        <v>33</v>
      </c>
      <c r="F45" t="s">
        <v>35</v>
      </c>
      <c r="G45" t="str">
        <f t="shared" si="0"/>
        <v>PV</v>
      </c>
      <c r="H45" t="str">
        <f t="shared" si="1"/>
        <v>PV</v>
      </c>
      <c r="I45" t="str">
        <f t="shared" si="2"/>
        <v>CTS BANDEIRANTES|BLOCO 21|PV-020|PV-048</v>
      </c>
      <c r="J45">
        <v>355</v>
      </c>
      <c r="K45" t="s">
        <v>61</v>
      </c>
      <c r="L45">
        <v>35.28</v>
      </c>
      <c r="M45">
        <v>20</v>
      </c>
    </row>
    <row r="46" spans="1:13" x14ac:dyDescent="0.3">
      <c r="A46" t="s">
        <v>14</v>
      </c>
      <c r="B46" t="s">
        <v>8</v>
      </c>
      <c r="C46" t="s">
        <v>40</v>
      </c>
      <c r="D46" t="s">
        <v>41</v>
      </c>
      <c r="E46" t="s">
        <v>35</v>
      </c>
      <c r="F46" t="s">
        <v>37</v>
      </c>
      <c r="G46" t="str">
        <f t="shared" si="0"/>
        <v>PV</v>
      </c>
      <c r="H46" t="str">
        <f t="shared" si="1"/>
        <v>PI</v>
      </c>
      <c r="I46" t="str">
        <f t="shared" si="2"/>
        <v>CTS BANDEIRANTES|BLOCO 21|PV-048|PIE</v>
      </c>
      <c r="J46">
        <v>200</v>
      </c>
      <c r="K46" t="s">
        <v>62</v>
      </c>
      <c r="L46">
        <v>1.36</v>
      </c>
      <c r="M46">
        <v>21</v>
      </c>
    </row>
    <row r="47" spans="1:13" x14ac:dyDescent="0.3">
      <c r="A47" t="s">
        <v>14</v>
      </c>
      <c r="B47" t="s">
        <v>10</v>
      </c>
      <c r="C47" t="s">
        <v>42</v>
      </c>
      <c r="D47" t="s">
        <v>13</v>
      </c>
      <c r="E47" t="s">
        <v>33</v>
      </c>
      <c r="F47" t="s">
        <v>34</v>
      </c>
      <c r="G47" t="str">
        <f t="shared" si="0"/>
        <v>PV</v>
      </c>
      <c r="H47" t="str">
        <f t="shared" si="1"/>
        <v>PV</v>
      </c>
      <c r="I47" t="str">
        <f t="shared" si="2"/>
        <v>CTS BANDEIRANTES|BLOCO 22|PV-020|PV-022</v>
      </c>
      <c r="J47">
        <v>355</v>
      </c>
      <c r="K47" t="s">
        <v>61</v>
      </c>
      <c r="L47">
        <v>94.87</v>
      </c>
      <c r="M47">
        <v>22</v>
      </c>
    </row>
    <row r="48" spans="1:13" x14ac:dyDescent="0.3">
      <c r="A48" t="s">
        <v>14</v>
      </c>
      <c r="B48" t="s">
        <v>10</v>
      </c>
      <c r="C48" t="s">
        <v>43</v>
      </c>
      <c r="D48" t="s">
        <v>13</v>
      </c>
      <c r="E48" t="s">
        <v>34</v>
      </c>
      <c r="F48" t="s">
        <v>36</v>
      </c>
      <c r="G48" t="str">
        <f t="shared" si="0"/>
        <v>PV</v>
      </c>
      <c r="H48" t="str">
        <f t="shared" si="1"/>
        <v>PV</v>
      </c>
      <c r="I48" t="str">
        <f t="shared" si="2"/>
        <v>CTS BANDEIRANTES|BLOCO 22|PV-022|PV-023</v>
      </c>
      <c r="J48">
        <v>355</v>
      </c>
      <c r="K48" t="s">
        <v>61</v>
      </c>
      <c r="L48">
        <v>56.19</v>
      </c>
      <c r="M48">
        <v>23</v>
      </c>
    </row>
    <row r="49" spans="1:13" x14ac:dyDescent="0.3">
      <c r="A49" t="s">
        <v>14</v>
      </c>
      <c r="B49" t="s">
        <v>10</v>
      </c>
      <c r="C49" t="s">
        <v>43</v>
      </c>
      <c r="D49" t="s">
        <v>13</v>
      </c>
      <c r="E49" t="s">
        <v>36</v>
      </c>
      <c r="F49" t="s">
        <v>44</v>
      </c>
      <c r="G49" t="str">
        <f t="shared" si="0"/>
        <v>PV</v>
      </c>
      <c r="H49" t="str">
        <f t="shared" si="1"/>
        <v>PV</v>
      </c>
      <c r="I49" t="str">
        <f t="shared" si="2"/>
        <v>CTS BANDEIRANTES|BLOCO 22|PV-023|PV-025</v>
      </c>
      <c r="J49">
        <v>355</v>
      </c>
      <c r="K49" t="s">
        <v>61</v>
      </c>
      <c r="L49">
        <v>84.6</v>
      </c>
      <c r="M49">
        <v>24</v>
      </c>
    </row>
    <row r="50" spans="1:13" x14ac:dyDescent="0.3">
      <c r="A50" t="s">
        <v>14</v>
      </c>
      <c r="B50" t="s">
        <v>10</v>
      </c>
      <c r="C50" t="s">
        <v>45</v>
      </c>
      <c r="D50" t="s">
        <v>13</v>
      </c>
      <c r="E50" t="s">
        <v>44</v>
      </c>
      <c r="F50" t="s">
        <v>46</v>
      </c>
      <c r="G50" t="str">
        <f t="shared" si="0"/>
        <v>PV</v>
      </c>
      <c r="H50" t="str">
        <f t="shared" si="1"/>
        <v>PV</v>
      </c>
      <c r="I50" t="str">
        <f t="shared" si="2"/>
        <v>CTS BANDEIRANTES|BLOCO 22|PV-025|PV-026</v>
      </c>
      <c r="J50">
        <v>200</v>
      </c>
      <c r="K50" t="s">
        <v>62</v>
      </c>
      <c r="L50">
        <v>43.08</v>
      </c>
      <c r="M50">
        <v>25</v>
      </c>
    </row>
    <row r="51" spans="1:13" x14ac:dyDescent="0.3">
      <c r="A51" t="s">
        <v>14</v>
      </c>
      <c r="B51" t="s">
        <v>10</v>
      </c>
      <c r="C51" t="s">
        <v>45</v>
      </c>
      <c r="D51" t="s">
        <v>13</v>
      </c>
      <c r="E51" t="s">
        <v>44</v>
      </c>
      <c r="F51" t="s">
        <v>47</v>
      </c>
      <c r="G51" t="str">
        <f t="shared" si="0"/>
        <v>PV</v>
      </c>
      <c r="H51" t="str">
        <f t="shared" si="1"/>
        <v>PI</v>
      </c>
      <c r="I51" t="str">
        <f t="shared" si="2"/>
        <v>CTS BANDEIRANTES|BLOCO 22|PV-025|PI-025.1</v>
      </c>
      <c r="J51">
        <v>200</v>
      </c>
      <c r="K51" t="s">
        <v>62</v>
      </c>
      <c r="L51">
        <v>11.55</v>
      </c>
      <c r="M51">
        <v>26</v>
      </c>
    </row>
    <row r="52" spans="1:13" x14ac:dyDescent="0.3">
      <c r="A52" t="s">
        <v>14</v>
      </c>
      <c r="B52" t="s">
        <v>10</v>
      </c>
      <c r="C52" t="s">
        <v>45</v>
      </c>
      <c r="D52" t="s">
        <v>13</v>
      </c>
      <c r="E52" t="s">
        <v>47</v>
      </c>
      <c r="F52" t="s">
        <v>48</v>
      </c>
      <c r="G52" t="str">
        <f t="shared" si="0"/>
        <v>PI</v>
      </c>
      <c r="H52" t="str">
        <f t="shared" si="1"/>
        <v>PI</v>
      </c>
      <c r="I52" t="str">
        <f t="shared" si="2"/>
        <v>CTS BANDEIRANTES|BLOCO 22|PI-025.1|PI-025.2</v>
      </c>
      <c r="J52">
        <v>200</v>
      </c>
      <c r="K52" t="s">
        <v>62</v>
      </c>
      <c r="L52">
        <v>11.59</v>
      </c>
      <c r="M52">
        <v>27</v>
      </c>
    </row>
    <row r="53" spans="1:13" x14ac:dyDescent="0.3">
      <c r="A53" t="s">
        <v>14</v>
      </c>
      <c r="B53" t="s">
        <v>10</v>
      </c>
      <c r="C53" t="s">
        <v>45</v>
      </c>
      <c r="D53" t="s">
        <v>13</v>
      </c>
      <c r="E53" t="s">
        <v>46</v>
      </c>
      <c r="F53" t="s">
        <v>49</v>
      </c>
      <c r="G53" t="str">
        <f t="shared" si="0"/>
        <v>PV</v>
      </c>
      <c r="H53" t="str">
        <f t="shared" si="1"/>
        <v>PI</v>
      </c>
      <c r="I53" t="str">
        <f t="shared" si="2"/>
        <v>CTS BANDEIRANTES|BLOCO 22|PV-026|PIE-50</v>
      </c>
      <c r="J53">
        <v>200</v>
      </c>
      <c r="K53" t="s">
        <v>62</v>
      </c>
      <c r="L53">
        <v>13.8</v>
      </c>
      <c r="M53">
        <v>28</v>
      </c>
    </row>
    <row r="54" spans="1:13" x14ac:dyDescent="0.3">
      <c r="A54" t="s">
        <v>14</v>
      </c>
      <c r="B54" t="s">
        <v>11</v>
      </c>
      <c r="C54" t="s">
        <v>50</v>
      </c>
      <c r="D54" t="s">
        <v>13</v>
      </c>
      <c r="E54" t="s">
        <v>46</v>
      </c>
      <c r="F54" t="s">
        <v>51</v>
      </c>
      <c r="G54" t="str">
        <f t="shared" si="0"/>
        <v>PV</v>
      </c>
      <c r="H54" t="str">
        <f t="shared" si="1"/>
        <v>PV</v>
      </c>
      <c r="I54" t="str">
        <f t="shared" si="2"/>
        <v>CTS BANDEIRANTES|BLOCO 23|PV-026|PV-030</v>
      </c>
      <c r="J54">
        <v>355</v>
      </c>
      <c r="K54" t="s">
        <v>61</v>
      </c>
      <c r="L54">
        <v>107.91</v>
      </c>
      <c r="M54">
        <v>29</v>
      </c>
    </row>
    <row r="55" spans="1:13" x14ac:dyDescent="0.3">
      <c r="A55" t="s">
        <v>14</v>
      </c>
      <c r="B55" t="s">
        <v>11</v>
      </c>
      <c r="C55" t="s">
        <v>50</v>
      </c>
      <c r="D55" t="s">
        <v>13</v>
      </c>
      <c r="E55" t="s">
        <v>51</v>
      </c>
      <c r="F55" t="s">
        <v>52</v>
      </c>
      <c r="G55" t="str">
        <f t="shared" si="0"/>
        <v>PV</v>
      </c>
      <c r="H55" t="str">
        <f t="shared" si="1"/>
        <v>PV</v>
      </c>
      <c r="I55" t="str">
        <f t="shared" si="2"/>
        <v>CTS BANDEIRANTES|BLOCO 23|PV-030|PV-032</v>
      </c>
      <c r="J55">
        <v>355</v>
      </c>
      <c r="K55" t="s">
        <v>61</v>
      </c>
      <c r="L55">
        <v>87.55</v>
      </c>
      <c r="M55">
        <v>30</v>
      </c>
    </row>
    <row r="56" spans="1:13" x14ac:dyDescent="0.3">
      <c r="A56" t="s">
        <v>14</v>
      </c>
      <c r="B56" t="s">
        <v>11</v>
      </c>
      <c r="C56" t="s">
        <v>58</v>
      </c>
      <c r="D56" t="s">
        <v>13</v>
      </c>
      <c r="E56" t="s">
        <v>52</v>
      </c>
      <c r="F56" t="s">
        <v>53</v>
      </c>
      <c r="G56" t="str">
        <f t="shared" si="0"/>
        <v>PV</v>
      </c>
      <c r="H56" t="str">
        <f t="shared" si="1"/>
        <v>PV</v>
      </c>
      <c r="I56" t="str">
        <f t="shared" si="2"/>
        <v>CTS BANDEIRANTES|BLOCO 23|PV-032|PV-034</v>
      </c>
      <c r="J56">
        <v>355</v>
      </c>
      <c r="K56" t="s">
        <v>61</v>
      </c>
      <c r="L56">
        <v>104.81</v>
      </c>
      <c r="M56">
        <v>31</v>
      </c>
    </row>
    <row r="57" spans="1:13" x14ac:dyDescent="0.3">
      <c r="A57" t="s">
        <v>14</v>
      </c>
      <c r="B57" t="s">
        <v>11</v>
      </c>
      <c r="C57" t="s">
        <v>58</v>
      </c>
      <c r="D57" t="s">
        <v>13</v>
      </c>
      <c r="E57" t="s">
        <v>53</v>
      </c>
      <c r="F57" t="s">
        <v>54</v>
      </c>
      <c r="G57" t="str">
        <f t="shared" si="0"/>
        <v>PV</v>
      </c>
      <c r="H57" t="str">
        <f t="shared" si="1"/>
        <v>PV</v>
      </c>
      <c r="I57" t="str">
        <f t="shared" si="2"/>
        <v>CTS BANDEIRANTES|BLOCO 23|PV-034|PV-035</v>
      </c>
      <c r="J57">
        <v>355</v>
      </c>
      <c r="K57" t="s">
        <v>61</v>
      </c>
      <c r="L57">
        <v>75.61</v>
      </c>
      <c r="M57">
        <v>32</v>
      </c>
    </row>
    <row r="58" spans="1:13" x14ac:dyDescent="0.3">
      <c r="A58" t="s">
        <v>14</v>
      </c>
      <c r="B58" t="s">
        <v>11</v>
      </c>
      <c r="C58" t="s">
        <v>58</v>
      </c>
      <c r="D58" t="s">
        <v>13</v>
      </c>
      <c r="E58" t="s">
        <v>54</v>
      </c>
      <c r="F58" t="s">
        <v>55</v>
      </c>
      <c r="G58" t="str">
        <f t="shared" si="0"/>
        <v>PV</v>
      </c>
      <c r="H58" t="str">
        <f t="shared" si="1"/>
        <v>PV</v>
      </c>
      <c r="I58" t="str">
        <f t="shared" si="2"/>
        <v>CTS BANDEIRANTES|BLOCO 23|PV-035|PV-037</v>
      </c>
      <c r="J58">
        <v>355</v>
      </c>
      <c r="K58" t="s">
        <v>61</v>
      </c>
      <c r="L58">
        <v>85.48</v>
      </c>
      <c r="M58">
        <v>33</v>
      </c>
    </row>
    <row r="59" spans="1:13" x14ac:dyDescent="0.3">
      <c r="A59" t="s">
        <v>14</v>
      </c>
      <c r="B59" t="s">
        <v>11</v>
      </c>
      <c r="C59" t="s">
        <v>58</v>
      </c>
      <c r="D59" t="s">
        <v>13</v>
      </c>
      <c r="E59" t="s">
        <v>55</v>
      </c>
      <c r="F59" t="s">
        <v>56</v>
      </c>
      <c r="G59" t="str">
        <f t="shared" si="0"/>
        <v>PV</v>
      </c>
      <c r="H59" t="str">
        <f t="shared" si="1"/>
        <v>PV</v>
      </c>
      <c r="I59" t="str">
        <f t="shared" si="2"/>
        <v>CTS BANDEIRANTES|BLOCO 23|PV-037|PV-038</v>
      </c>
      <c r="J59">
        <v>355</v>
      </c>
      <c r="K59" t="s">
        <v>61</v>
      </c>
      <c r="L59">
        <v>19.239999999999998</v>
      </c>
      <c r="M59">
        <v>34</v>
      </c>
    </row>
    <row r="60" spans="1:13" x14ac:dyDescent="0.3">
      <c r="A60" t="s">
        <v>14</v>
      </c>
      <c r="B60" t="s">
        <v>11</v>
      </c>
      <c r="C60" t="s">
        <v>59</v>
      </c>
      <c r="D60" t="s">
        <v>13</v>
      </c>
      <c r="E60" t="s">
        <v>56</v>
      </c>
      <c r="F60" t="s">
        <v>57</v>
      </c>
      <c r="G60" t="str">
        <f t="shared" si="0"/>
        <v>PV</v>
      </c>
      <c r="H60" t="str">
        <f t="shared" si="1"/>
        <v>PV</v>
      </c>
      <c r="I60" t="str">
        <f t="shared" si="2"/>
        <v>CTS BANDEIRANTES|BLOCO 23|PV-038|PV-039</v>
      </c>
      <c r="J60">
        <v>355</v>
      </c>
      <c r="K60" t="s">
        <v>61</v>
      </c>
      <c r="L60">
        <v>32.33</v>
      </c>
      <c r="M60">
        <v>35</v>
      </c>
    </row>
    <row r="61" spans="1:13" x14ac:dyDescent="0.3">
      <c r="A61" t="s">
        <v>100</v>
      </c>
      <c r="B61" t="s">
        <v>101</v>
      </c>
      <c r="C61" t="s">
        <v>102</v>
      </c>
      <c r="D61" t="s">
        <v>13</v>
      </c>
      <c r="E61" t="s">
        <v>9</v>
      </c>
      <c r="F61" t="s">
        <v>3</v>
      </c>
      <c r="G61" t="str">
        <f t="shared" si="0"/>
        <v>PVE</v>
      </c>
      <c r="H61" t="str">
        <f t="shared" si="1"/>
        <v>PV</v>
      </c>
      <c r="I61" t="str">
        <f t="shared" si="2"/>
        <v>CTS JARAGUÁ|BLOCO 26|PVE-001|PV-001</v>
      </c>
      <c r="J61">
        <v>355</v>
      </c>
      <c r="K61" t="s">
        <v>61</v>
      </c>
      <c r="L61">
        <v>2.04</v>
      </c>
      <c r="M61">
        <v>1</v>
      </c>
    </row>
    <row r="62" spans="1:13" x14ac:dyDescent="0.3">
      <c r="A62" t="s">
        <v>100</v>
      </c>
      <c r="B62" t="s">
        <v>101</v>
      </c>
      <c r="C62" t="s">
        <v>102</v>
      </c>
      <c r="D62" t="s">
        <v>13</v>
      </c>
      <c r="E62" t="s">
        <v>3</v>
      </c>
      <c r="F62" t="s">
        <v>4</v>
      </c>
      <c r="G62" t="str">
        <f t="shared" si="0"/>
        <v>PV</v>
      </c>
      <c r="H62" t="str">
        <f t="shared" si="1"/>
        <v>PV</v>
      </c>
      <c r="I62" t="str">
        <f t="shared" si="2"/>
        <v>CTS JARAGUÁ|BLOCO 26|PV-001|PV-002</v>
      </c>
      <c r="J62">
        <v>355</v>
      </c>
      <c r="K62" t="s">
        <v>61</v>
      </c>
      <c r="L62">
        <v>25.94</v>
      </c>
      <c r="M62">
        <v>2</v>
      </c>
    </row>
    <row r="63" spans="1:13" x14ac:dyDescent="0.3">
      <c r="A63" t="s">
        <v>100</v>
      </c>
      <c r="B63" t="s">
        <v>101</v>
      </c>
      <c r="C63" t="s">
        <v>103</v>
      </c>
      <c r="D63" t="s">
        <v>13</v>
      </c>
      <c r="E63" t="s">
        <v>4</v>
      </c>
      <c r="F63" t="s">
        <v>6</v>
      </c>
      <c r="G63" t="str">
        <f t="shared" si="0"/>
        <v>PV</v>
      </c>
      <c r="H63" t="str">
        <f t="shared" si="1"/>
        <v>PV</v>
      </c>
      <c r="I63" t="str">
        <f t="shared" si="2"/>
        <v>CTS JARAGUÁ|BLOCO 26|PV-002|PV-004</v>
      </c>
      <c r="J63">
        <v>355</v>
      </c>
      <c r="K63" t="s">
        <v>61</v>
      </c>
      <c r="L63">
        <v>58.33</v>
      </c>
      <c r="M63">
        <v>3</v>
      </c>
    </row>
    <row r="64" spans="1:13" x14ac:dyDescent="0.3">
      <c r="A64" t="s">
        <v>100</v>
      </c>
      <c r="B64" t="s">
        <v>101</v>
      </c>
      <c r="C64" t="s">
        <v>103</v>
      </c>
      <c r="D64" t="s">
        <v>13</v>
      </c>
      <c r="E64" t="s">
        <v>6</v>
      </c>
      <c r="F64" t="s">
        <v>16</v>
      </c>
      <c r="G64" t="str">
        <f t="shared" si="0"/>
        <v>PV</v>
      </c>
      <c r="H64" t="str">
        <f t="shared" si="1"/>
        <v>PV</v>
      </c>
      <c r="I64" t="str">
        <f t="shared" si="2"/>
        <v>CTS JARAGUÁ|BLOCO 26|PV-004|PV-005</v>
      </c>
      <c r="J64">
        <v>355</v>
      </c>
      <c r="K64" t="s">
        <v>61</v>
      </c>
      <c r="L64">
        <v>56.37</v>
      </c>
      <c r="M64">
        <v>4</v>
      </c>
    </row>
    <row r="65" spans="1:13" x14ac:dyDescent="0.3">
      <c r="A65" t="s">
        <v>100</v>
      </c>
      <c r="B65" t="s">
        <v>101</v>
      </c>
      <c r="C65" t="s">
        <v>103</v>
      </c>
      <c r="D65" t="s">
        <v>13</v>
      </c>
      <c r="E65" t="s">
        <v>16</v>
      </c>
      <c r="F65" t="s">
        <v>91</v>
      </c>
      <c r="G65" t="str">
        <f t="shared" si="0"/>
        <v>PV</v>
      </c>
      <c r="H65" t="str">
        <f t="shared" si="1"/>
        <v>PV</v>
      </c>
      <c r="I65" t="str">
        <f t="shared" si="2"/>
        <v>CTS JARAGUÁ|BLOCO 26|PV-005|PV-008</v>
      </c>
      <c r="J65">
        <v>355</v>
      </c>
      <c r="K65" t="s">
        <v>61</v>
      </c>
      <c r="L65">
        <v>70.88</v>
      </c>
      <c r="M65">
        <v>5</v>
      </c>
    </row>
    <row r="66" spans="1:13" x14ac:dyDescent="0.3">
      <c r="A66" t="s">
        <v>100</v>
      </c>
      <c r="B66" t="s">
        <v>101</v>
      </c>
      <c r="C66" t="s">
        <v>103</v>
      </c>
      <c r="D66" t="s">
        <v>13</v>
      </c>
      <c r="E66" t="s">
        <v>91</v>
      </c>
      <c r="F66" t="s">
        <v>20</v>
      </c>
      <c r="G66" t="str">
        <f t="shared" si="0"/>
        <v>PV</v>
      </c>
      <c r="H66" t="str">
        <f t="shared" si="1"/>
        <v>PV</v>
      </c>
      <c r="I66" t="str">
        <f t="shared" si="2"/>
        <v>CTS JARAGUÁ|BLOCO 26|PV-008|PV-009</v>
      </c>
      <c r="J66">
        <v>355</v>
      </c>
      <c r="K66" t="s">
        <v>61</v>
      </c>
      <c r="L66">
        <v>62.29</v>
      </c>
      <c r="M66">
        <v>6</v>
      </c>
    </row>
    <row r="67" spans="1:13" x14ac:dyDescent="0.3">
      <c r="A67" t="s">
        <v>100</v>
      </c>
      <c r="B67" t="s">
        <v>101</v>
      </c>
      <c r="C67" t="s">
        <v>103</v>
      </c>
      <c r="D67" t="s">
        <v>13</v>
      </c>
      <c r="E67" t="s">
        <v>20</v>
      </c>
      <c r="F67" t="s">
        <v>92</v>
      </c>
      <c r="G67" t="str">
        <f t="shared" ref="G67:H134" si="3">IF(LEFT(E67,3)="PVE","PVE",IF(LEFT(E67,2)="PV","PV",IF(LEFT(E67,2)="PI","PI","OUTRO")))</f>
        <v>PV</v>
      </c>
      <c r="H67" t="str">
        <f t="shared" ref="H67:H130" si="4">IF(LEFT(F67,3)="PVE","PVE",IF(LEFT(F67,2)="PV","PV",IF(LEFT(F67,2)="PI","PI","OUTRO")))</f>
        <v>PV</v>
      </c>
      <c r="I67" t="str">
        <f t="shared" ref="I67:I130" si="5">UPPER(TRIM(A67))&amp;"|"&amp;UPPER(TRIM(B67))&amp;"|"&amp;UPPER(TRIM(E67))&amp;"|"&amp;UPPER(TRIM(F67))</f>
        <v>CTS JARAGUÁ|BLOCO 26|PV-009|PV-010</v>
      </c>
      <c r="J67">
        <v>355</v>
      </c>
      <c r="K67" t="s">
        <v>61</v>
      </c>
      <c r="L67">
        <v>50.62</v>
      </c>
      <c r="M67">
        <v>7</v>
      </c>
    </row>
    <row r="68" spans="1:13" x14ac:dyDescent="0.3">
      <c r="A68" t="s">
        <v>100</v>
      </c>
      <c r="B68" t="s">
        <v>101</v>
      </c>
      <c r="C68" t="s">
        <v>103</v>
      </c>
      <c r="D68" t="s">
        <v>13</v>
      </c>
      <c r="E68" t="s">
        <v>92</v>
      </c>
      <c r="F68" t="s">
        <v>25</v>
      </c>
      <c r="G68" t="str">
        <f t="shared" si="3"/>
        <v>PV</v>
      </c>
      <c r="H68" t="str">
        <f t="shared" si="4"/>
        <v>PV</v>
      </c>
      <c r="I68" t="str">
        <f t="shared" si="5"/>
        <v>CTS JARAGUÁ|BLOCO 26|PV-010|PV-011</v>
      </c>
      <c r="J68">
        <v>355</v>
      </c>
      <c r="K68" t="s">
        <v>61</v>
      </c>
      <c r="L68">
        <v>57.9</v>
      </c>
      <c r="M68">
        <v>8</v>
      </c>
    </row>
    <row r="69" spans="1:13" x14ac:dyDescent="0.3">
      <c r="A69" t="s">
        <v>100</v>
      </c>
      <c r="B69" t="s">
        <v>101</v>
      </c>
      <c r="C69" t="s">
        <v>108</v>
      </c>
      <c r="D69" t="s">
        <v>41</v>
      </c>
      <c r="E69" t="s">
        <v>25</v>
      </c>
      <c r="F69" t="s">
        <v>104</v>
      </c>
      <c r="G69" t="str">
        <f t="shared" si="3"/>
        <v>PV</v>
      </c>
      <c r="H69" t="str">
        <f t="shared" si="4"/>
        <v>PI</v>
      </c>
      <c r="I69" t="str">
        <f t="shared" si="5"/>
        <v>CTS JARAGUÁ|BLOCO 26|PV-011|PIE-001</v>
      </c>
      <c r="J69">
        <v>355</v>
      </c>
      <c r="K69" t="s">
        <v>61</v>
      </c>
      <c r="L69">
        <v>3.95</v>
      </c>
      <c r="M69">
        <v>9</v>
      </c>
    </row>
    <row r="70" spans="1:13" x14ac:dyDescent="0.3">
      <c r="A70" t="s">
        <v>100</v>
      </c>
      <c r="B70" t="s">
        <v>101</v>
      </c>
      <c r="C70" t="s">
        <v>108</v>
      </c>
      <c r="D70" t="s">
        <v>41</v>
      </c>
      <c r="E70" t="s">
        <v>25</v>
      </c>
      <c r="F70" t="s">
        <v>105</v>
      </c>
      <c r="G70" t="str">
        <f t="shared" si="3"/>
        <v>PV</v>
      </c>
      <c r="H70" t="str">
        <f t="shared" si="4"/>
        <v>PI</v>
      </c>
      <c r="I70" t="str">
        <f t="shared" si="5"/>
        <v>CTS JARAGUÁ|BLOCO 26|PV-011|PIE-019</v>
      </c>
      <c r="J70">
        <v>200</v>
      </c>
      <c r="K70" t="s">
        <v>62</v>
      </c>
      <c r="L70">
        <v>15.41</v>
      </c>
      <c r="M70">
        <v>10</v>
      </c>
    </row>
    <row r="71" spans="1:13" x14ac:dyDescent="0.3">
      <c r="A71" t="s">
        <v>100</v>
      </c>
      <c r="B71" t="s">
        <v>101</v>
      </c>
      <c r="C71" t="s">
        <v>103</v>
      </c>
      <c r="D71" t="s">
        <v>41</v>
      </c>
      <c r="E71" t="s">
        <v>91</v>
      </c>
      <c r="F71" t="s">
        <v>106</v>
      </c>
      <c r="G71" t="str">
        <f t="shared" si="3"/>
        <v>PV</v>
      </c>
      <c r="H71" t="str">
        <f t="shared" si="4"/>
        <v>PI</v>
      </c>
      <c r="I71" t="str">
        <f t="shared" si="5"/>
        <v>CTS JARAGUÁ|BLOCO 26|PV-008|PIE-005</v>
      </c>
      <c r="J71">
        <v>200</v>
      </c>
      <c r="K71" t="s">
        <v>62</v>
      </c>
      <c r="L71">
        <v>3.1</v>
      </c>
      <c r="M71">
        <v>11</v>
      </c>
    </row>
    <row r="72" spans="1:13" x14ac:dyDescent="0.3">
      <c r="A72" t="s">
        <v>100</v>
      </c>
      <c r="B72" t="s">
        <v>101</v>
      </c>
      <c r="C72" t="s">
        <v>103</v>
      </c>
      <c r="D72" t="s">
        <v>41</v>
      </c>
      <c r="E72" t="s">
        <v>6</v>
      </c>
      <c r="F72" t="s">
        <v>107</v>
      </c>
      <c r="G72" t="str">
        <f t="shared" si="3"/>
        <v>PV</v>
      </c>
      <c r="H72" t="str">
        <f t="shared" si="4"/>
        <v>PI</v>
      </c>
      <c r="I72" t="str">
        <f t="shared" si="5"/>
        <v>CTS JARAGUÁ|BLOCO 26|PV-004|PIE-010</v>
      </c>
      <c r="J72">
        <v>200</v>
      </c>
      <c r="K72" t="s">
        <v>62</v>
      </c>
      <c r="L72">
        <v>1.34</v>
      </c>
      <c r="M72">
        <v>12</v>
      </c>
    </row>
    <row r="73" spans="1:13" x14ac:dyDescent="0.3">
      <c r="A73" t="s">
        <v>100</v>
      </c>
      <c r="B73" t="s">
        <v>101</v>
      </c>
      <c r="C73" t="s">
        <v>102</v>
      </c>
      <c r="D73" t="s">
        <v>41</v>
      </c>
      <c r="E73" t="s">
        <v>4</v>
      </c>
      <c r="F73" t="s">
        <v>80</v>
      </c>
      <c r="G73" t="str">
        <f t="shared" si="3"/>
        <v>PV</v>
      </c>
      <c r="H73" t="str">
        <f t="shared" si="4"/>
        <v>PI</v>
      </c>
      <c r="I73" t="str">
        <f t="shared" si="5"/>
        <v>CTS JARAGUÁ|BLOCO 26|PV-002|PIE-013</v>
      </c>
      <c r="J73">
        <v>200</v>
      </c>
      <c r="K73" t="s">
        <v>62</v>
      </c>
      <c r="L73">
        <v>27.04</v>
      </c>
      <c r="M73">
        <v>13</v>
      </c>
    </row>
    <row r="74" spans="1:13" x14ac:dyDescent="0.3">
      <c r="A74" t="s">
        <v>65</v>
      </c>
      <c r="B74" t="s">
        <v>165</v>
      </c>
      <c r="C74" t="s">
        <v>66</v>
      </c>
      <c r="D74" t="s">
        <v>13</v>
      </c>
      <c r="E74" t="s">
        <v>68</v>
      </c>
      <c r="F74" t="s">
        <v>3</v>
      </c>
      <c r="G74" t="str">
        <f t="shared" si="3"/>
        <v>PV</v>
      </c>
      <c r="H74" t="str">
        <f t="shared" si="4"/>
        <v>PV</v>
      </c>
      <c r="I74" t="str">
        <f t="shared" si="5"/>
        <v>RCE AVENIDA BARÃO LUIZ DE ARARIBA|BLOCO 57|PV-11|PV-001</v>
      </c>
      <c r="J74">
        <v>355</v>
      </c>
      <c r="K74" t="s">
        <v>61</v>
      </c>
      <c r="L74">
        <v>48.82</v>
      </c>
      <c r="M74">
        <v>1</v>
      </c>
    </row>
    <row r="75" spans="1:13" x14ac:dyDescent="0.3">
      <c r="A75" t="s">
        <v>65</v>
      </c>
      <c r="B75" t="s">
        <v>165</v>
      </c>
      <c r="C75" t="s">
        <v>66</v>
      </c>
      <c r="D75" t="s">
        <v>13</v>
      </c>
      <c r="E75" t="s">
        <v>3</v>
      </c>
      <c r="F75" t="s">
        <v>5</v>
      </c>
      <c r="G75" t="str">
        <f t="shared" si="3"/>
        <v>PV</v>
      </c>
      <c r="H75" t="str">
        <f t="shared" si="4"/>
        <v>PV</v>
      </c>
      <c r="I75" t="str">
        <f t="shared" si="5"/>
        <v>RCE AVENIDA BARÃO LUIZ DE ARARIBA|BLOCO 57|PV-001|PV-003</v>
      </c>
      <c r="J75">
        <v>355</v>
      </c>
      <c r="K75" t="s">
        <v>61</v>
      </c>
      <c r="L75">
        <v>83.62</v>
      </c>
      <c r="M75">
        <v>2</v>
      </c>
    </row>
    <row r="76" spans="1:13" x14ac:dyDescent="0.3">
      <c r="A76" t="s">
        <v>65</v>
      </c>
      <c r="B76" t="s">
        <v>165</v>
      </c>
      <c r="C76" t="s">
        <v>66</v>
      </c>
      <c r="D76" t="s">
        <v>13</v>
      </c>
      <c r="E76" t="s">
        <v>5</v>
      </c>
      <c r="F76" t="s">
        <v>6</v>
      </c>
      <c r="G76" t="str">
        <f t="shared" si="3"/>
        <v>PV</v>
      </c>
      <c r="H76" t="str">
        <f t="shared" si="4"/>
        <v>PV</v>
      </c>
      <c r="I76" t="str">
        <f t="shared" si="5"/>
        <v>RCE AVENIDA BARÃO LUIZ DE ARARIBA|BLOCO 57|PV-003|PV-004</v>
      </c>
      <c r="J76">
        <v>355</v>
      </c>
      <c r="K76" t="s">
        <v>61</v>
      </c>
      <c r="L76">
        <v>82.07</v>
      </c>
      <c r="M76">
        <v>3</v>
      </c>
    </row>
    <row r="77" spans="1:13" x14ac:dyDescent="0.3">
      <c r="A77" t="s">
        <v>65</v>
      </c>
      <c r="B77" t="s">
        <v>165</v>
      </c>
      <c r="C77" t="s">
        <v>67</v>
      </c>
      <c r="D77" t="s">
        <v>13</v>
      </c>
      <c r="E77" t="s">
        <v>6</v>
      </c>
      <c r="F77" t="s">
        <v>69</v>
      </c>
      <c r="G77" t="str">
        <f t="shared" si="3"/>
        <v>PV</v>
      </c>
      <c r="H77" t="str">
        <f t="shared" si="4"/>
        <v>PV</v>
      </c>
      <c r="I77" t="str">
        <f t="shared" si="5"/>
        <v>RCE AVENIDA BARÃO LUIZ DE ARARIBA|BLOCO 57|PV-004|PV-4.4</v>
      </c>
      <c r="J77">
        <v>355</v>
      </c>
      <c r="K77" t="s">
        <v>61</v>
      </c>
      <c r="L77">
        <v>54.23</v>
      </c>
      <c r="M77">
        <v>7</v>
      </c>
    </row>
    <row r="78" spans="1:13" x14ac:dyDescent="0.3">
      <c r="A78" t="s">
        <v>65</v>
      </c>
      <c r="B78" t="s">
        <v>165</v>
      </c>
      <c r="C78" t="s">
        <v>67</v>
      </c>
      <c r="D78" t="s">
        <v>41</v>
      </c>
      <c r="E78" t="s">
        <v>69</v>
      </c>
      <c r="F78" t="s">
        <v>70</v>
      </c>
      <c r="G78" t="str">
        <f t="shared" si="3"/>
        <v>PV</v>
      </c>
      <c r="H78" t="str">
        <f t="shared" si="4"/>
        <v>PVE</v>
      </c>
      <c r="I78" t="str">
        <f t="shared" si="5"/>
        <v>RCE AVENIDA BARÃO LUIZ DE ARARIBA|BLOCO 57|PV-4.4|PVE-4.4.1</v>
      </c>
      <c r="J78">
        <v>200</v>
      </c>
      <c r="K78" t="s">
        <v>62</v>
      </c>
      <c r="L78">
        <v>3.79</v>
      </c>
      <c r="M78">
        <v>8</v>
      </c>
    </row>
    <row r="79" spans="1:13" x14ac:dyDescent="0.3">
      <c r="A79" t="s">
        <v>65</v>
      </c>
      <c r="B79" t="s">
        <v>165</v>
      </c>
      <c r="C79" t="s">
        <v>67</v>
      </c>
      <c r="D79" t="s">
        <v>41</v>
      </c>
      <c r="E79" t="s">
        <v>69</v>
      </c>
      <c r="F79" t="s">
        <v>71</v>
      </c>
      <c r="G79" t="str">
        <f t="shared" si="3"/>
        <v>PV</v>
      </c>
      <c r="H79" t="str">
        <f t="shared" si="4"/>
        <v>PVE</v>
      </c>
      <c r="I79" t="str">
        <f t="shared" si="5"/>
        <v>RCE AVENIDA BARÃO LUIZ DE ARARIBA|BLOCO 57|PV-4.4|PVE-4.5</v>
      </c>
      <c r="J79">
        <v>200</v>
      </c>
      <c r="K79" t="s">
        <v>62</v>
      </c>
      <c r="L79">
        <v>14.31</v>
      </c>
      <c r="M79">
        <v>9</v>
      </c>
    </row>
    <row r="80" spans="1:13" x14ac:dyDescent="0.3">
      <c r="A80" t="s">
        <v>65</v>
      </c>
      <c r="B80" t="s">
        <v>165</v>
      </c>
      <c r="C80" t="s">
        <v>66</v>
      </c>
      <c r="D80" t="s">
        <v>13</v>
      </c>
      <c r="E80" t="s">
        <v>6</v>
      </c>
      <c r="F80" t="s">
        <v>72</v>
      </c>
      <c r="G80" t="str">
        <f t="shared" si="3"/>
        <v>PV</v>
      </c>
      <c r="H80" t="str">
        <f t="shared" si="4"/>
        <v>PVE</v>
      </c>
      <c r="I80" t="str">
        <f t="shared" si="5"/>
        <v>RCE AVENIDA BARÃO LUIZ DE ARARIBA|BLOCO 57|PV-004|PVE-005</v>
      </c>
      <c r="J80">
        <v>355</v>
      </c>
      <c r="K80" t="s">
        <v>61</v>
      </c>
      <c r="L80">
        <v>65.819999999999993</v>
      </c>
      <c r="M80">
        <v>4</v>
      </c>
    </row>
    <row r="81" spans="1:13" x14ac:dyDescent="0.3">
      <c r="A81" t="s">
        <v>65</v>
      </c>
      <c r="B81" t="s">
        <v>165</v>
      </c>
      <c r="C81" t="s">
        <v>66</v>
      </c>
      <c r="D81" t="s">
        <v>13</v>
      </c>
      <c r="E81" t="s">
        <v>16</v>
      </c>
      <c r="F81" t="s">
        <v>17</v>
      </c>
      <c r="G81" t="str">
        <f t="shared" si="3"/>
        <v>PV</v>
      </c>
      <c r="H81" t="str">
        <f t="shared" si="4"/>
        <v>PV</v>
      </c>
      <c r="I81" t="str">
        <f t="shared" si="5"/>
        <v>RCE AVENIDA BARÃO LUIZ DE ARARIBA|BLOCO 57|PV-005|PV-006</v>
      </c>
      <c r="J81">
        <v>355</v>
      </c>
      <c r="K81" t="s">
        <v>61</v>
      </c>
      <c r="L81">
        <v>59.78</v>
      </c>
      <c r="M81">
        <v>5</v>
      </c>
    </row>
    <row r="82" spans="1:13" x14ac:dyDescent="0.3">
      <c r="A82" t="s">
        <v>65</v>
      </c>
      <c r="B82" t="s">
        <v>165</v>
      </c>
      <c r="C82" t="s">
        <v>66</v>
      </c>
      <c r="D82" t="s">
        <v>13</v>
      </c>
      <c r="E82" t="s">
        <v>17</v>
      </c>
      <c r="F82" t="s">
        <v>73</v>
      </c>
      <c r="G82" t="str">
        <f t="shared" si="3"/>
        <v>PV</v>
      </c>
      <c r="H82" t="str">
        <f t="shared" si="4"/>
        <v>PVE</v>
      </c>
      <c r="I82" t="str">
        <f t="shared" si="5"/>
        <v>RCE AVENIDA BARÃO LUIZ DE ARARIBA|BLOCO 57|PV-006|PVE-6.1</v>
      </c>
      <c r="J82">
        <v>355</v>
      </c>
      <c r="K82" t="s">
        <v>61</v>
      </c>
      <c r="L82">
        <v>2.8</v>
      </c>
      <c r="M82">
        <v>10</v>
      </c>
    </row>
    <row r="83" spans="1:13" x14ac:dyDescent="0.3">
      <c r="A83" t="s">
        <v>65</v>
      </c>
      <c r="B83" t="s">
        <v>165</v>
      </c>
      <c r="C83" t="s">
        <v>66</v>
      </c>
      <c r="D83" t="s">
        <v>13</v>
      </c>
      <c r="E83" t="s">
        <v>17</v>
      </c>
      <c r="F83" t="s">
        <v>19</v>
      </c>
      <c r="G83" t="str">
        <f t="shared" si="3"/>
        <v>PV</v>
      </c>
      <c r="H83" t="str">
        <f t="shared" si="4"/>
        <v>PV</v>
      </c>
      <c r="I83" t="str">
        <f t="shared" si="5"/>
        <v>RCE AVENIDA BARÃO LUIZ DE ARARIBA|BLOCO 57|PV-006|PV-007</v>
      </c>
      <c r="J83">
        <v>355</v>
      </c>
      <c r="K83" t="s">
        <v>61</v>
      </c>
      <c r="L83">
        <v>51.39</v>
      </c>
      <c r="M83">
        <v>6</v>
      </c>
    </row>
    <row r="84" spans="1:13" x14ac:dyDescent="0.3">
      <c r="A84" t="s">
        <v>154</v>
      </c>
      <c r="B84" t="s">
        <v>110</v>
      </c>
      <c r="C84" t="s">
        <v>111</v>
      </c>
      <c r="D84" t="s">
        <v>41</v>
      </c>
      <c r="E84" t="s">
        <v>9</v>
      </c>
      <c r="F84" t="s">
        <v>112</v>
      </c>
      <c r="G84" t="str">
        <f t="shared" si="3"/>
        <v>PVE</v>
      </c>
      <c r="H84" t="str">
        <f t="shared" si="4"/>
        <v>PV</v>
      </c>
      <c r="I84" t="str">
        <f t="shared" si="5"/>
        <v>CT LAGEADO MONTANTE|BLOCO 54|PVE-001|PV-01A</v>
      </c>
      <c r="J84">
        <v>200</v>
      </c>
      <c r="K84" t="s">
        <v>62</v>
      </c>
      <c r="L84">
        <v>1.41</v>
      </c>
      <c r="M84">
        <v>1</v>
      </c>
    </row>
    <row r="85" spans="1:13" x14ac:dyDescent="0.3">
      <c r="A85" t="s">
        <v>154</v>
      </c>
      <c r="B85" t="s">
        <v>110</v>
      </c>
      <c r="C85" t="s">
        <v>111</v>
      </c>
      <c r="D85" t="s">
        <v>13</v>
      </c>
      <c r="E85" t="s">
        <v>112</v>
      </c>
      <c r="F85" t="s">
        <v>113</v>
      </c>
      <c r="G85" t="str">
        <f t="shared" si="3"/>
        <v>PV</v>
      </c>
      <c r="H85" t="str">
        <f t="shared" si="4"/>
        <v>PV</v>
      </c>
      <c r="I85" t="str">
        <f t="shared" si="5"/>
        <v>CT LAGEADO MONTANTE|BLOCO 54|PV-01A|PV-01B</v>
      </c>
      <c r="J85">
        <v>355</v>
      </c>
      <c r="K85" t="s">
        <v>61</v>
      </c>
      <c r="L85">
        <v>56.23</v>
      </c>
      <c r="M85">
        <v>2</v>
      </c>
    </row>
    <row r="86" spans="1:13" x14ac:dyDescent="0.3">
      <c r="A86" t="s">
        <v>154</v>
      </c>
      <c r="B86" t="s">
        <v>110</v>
      </c>
      <c r="C86" t="s">
        <v>111</v>
      </c>
      <c r="D86" t="s">
        <v>13</v>
      </c>
      <c r="E86" t="s">
        <v>113</v>
      </c>
      <c r="F86" t="s">
        <v>114</v>
      </c>
      <c r="G86" t="str">
        <f t="shared" si="3"/>
        <v>PV</v>
      </c>
      <c r="H86" t="str">
        <f t="shared" si="4"/>
        <v>PV</v>
      </c>
      <c r="I86" t="str">
        <f t="shared" si="5"/>
        <v>CT LAGEADO MONTANTE|BLOCO 54|PV-01B|PV-01C</v>
      </c>
      <c r="J86">
        <v>355</v>
      </c>
      <c r="K86" t="s">
        <v>61</v>
      </c>
      <c r="L86">
        <v>39.869999999999997</v>
      </c>
      <c r="M86">
        <v>3</v>
      </c>
    </row>
    <row r="87" spans="1:13" x14ac:dyDescent="0.3">
      <c r="A87" t="s">
        <v>154</v>
      </c>
      <c r="B87" t="s">
        <v>110</v>
      </c>
      <c r="C87" t="s">
        <v>111</v>
      </c>
      <c r="D87" t="s">
        <v>41</v>
      </c>
      <c r="E87" t="s">
        <v>114</v>
      </c>
      <c r="F87" t="s">
        <v>115</v>
      </c>
      <c r="G87" t="str">
        <f t="shared" si="3"/>
        <v>PV</v>
      </c>
      <c r="H87" t="str">
        <f t="shared" si="4"/>
        <v>PV</v>
      </c>
      <c r="I87" t="str">
        <f t="shared" si="5"/>
        <v>CT LAGEADO MONTANTE|BLOCO 54|PV-01C|PV-01D</v>
      </c>
      <c r="J87">
        <v>355</v>
      </c>
      <c r="K87" t="s">
        <v>61</v>
      </c>
      <c r="L87">
        <v>67.849999999999994</v>
      </c>
      <c r="M87">
        <v>4</v>
      </c>
    </row>
    <row r="88" spans="1:13" x14ac:dyDescent="0.3">
      <c r="A88" t="s">
        <v>154</v>
      </c>
      <c r="B88" t="s">
        <v>110</v>
      </c>
      <c r="C88" t="s">
        <v>118</v>
      </c>
      <c r="D88" t="s">
        <v>13</v>
      </c>
      <c r="E88" t="s">
        <v>115</v>
      </c>
      <c r="F88" t="s">
        <v>119</v>
      </c>
      <c r="G88" t="str">
        <f t="shared" si="3"/>
        <v>PV</v>
      </c>
      <c r="H88" t="str">
        <f t="shared" si="4"/>
        <v>PV</v>
      </c>
      <c r="I88" t="str">
        <f t="shared" si="5"/>
        <v>CT LAGEADO MONTANTE|BLOCO 54|PV-01D|PV-01E</v>
      </c>
      <c r="J88">
        <v>355</v>
      </c>
      <c r="K88" t="s">
        <v>61</v>
      </c>
      <c r="L88">
        <v>64.75</v>
      </c>
      <c r="M88">
        <v>5</v>
      </c>
    </row>
    <row r="89" spans="1:13" x14ac:dyDescent="0.3">
      <c r="A89" t="s">
        <v>154</v>
      </c>
      <c r="B89" t="s">
        <v>110</v>
      </c>
      <c r="C89" t="s">
        <v>120</v>
      </c>
      <c r="D89" t="s">
        <v>41</v>
      </c>
      <c r="E89" t="s">
        <v>119</v>
      </c>
      <c r="F89" t="s">
        <v>3</v>
      </c>
      <c r="G89" t="str">
        <f t="shared" si="3"/>
        <v>PV</v>
      </c>
      <c r="H89" t="str">
        <f t="shared" si="4"/>
        <v>PV</v>
      </c>
      <c r="I89" t="str">
        <f t="shared" si="5"/>
        <v>CT LAGEADO MONTANTE|BLOCO 54|PV-01E|PV-001</v>
      </c>
      <c r="J89">
        <v>355</v>
      </c>
      <c r="K89" t="s">
        <v>61</v>
      </c>
      <c r="L89">
        <v>17.77</v>
      </c>
      <c r="M89">
        <v>6</v>
      </c>
    </row>
    <row r="90" spans="1:13" x14ac:dyDescent="0.3">
      <c r="A90" t="s">
        <v>154</v>
      </c>
      <c r="B90" t="s">
        <v>116</v>
      </c>
      <c r="C90" t="s">
        <v>121</v>
      </c>
      <c r="D90" t="s">
        <v>13</v>
      </c>
      <c r="E90" t="s">
        <v>3</v>
      </c>
      <c r="F90" t="s">
        <v>5</v>
      </c>
      <c r="G90" t="str">
        <f t="shared" si="3"/>
        <v>PV</v>
      </c>
      <c r="H90" t="str">
        <f t="shared" si="4"/>
        <v>PV</v>
      </c>
      <c r="I90" t="str">
        <f t="shared" si="5"/>
        <v>CT LAGEADO MONTANTE|BLOCO 55|PV-001|PV-003</v>
      </c>
      <c r="J90">
        <v>355</v>
      </c>
      <c r="K90" t="s">
        <v>61</v>
      </c>
      <c r="L90">
        <v>96.06</v>
      </c>
      <c r="M90">
        <v>7</v>
      </c>
    </row>
    <row r="91" spans="1:13" x14ac:dyDescent="0.3">
      <c r="A91" t="s">
        <v>154</v>
      </c>
      <c r="B91" t="s">
        <v>116</v>
      </c>
      <c r="C91" t="s">
        <v>121</v>
      </c>
      <c r="D91" t="s">
        <v>13</v>
      </c>
      <c r="E91" t="s">
        <v>5</v>
      </c>
      <c r="F91" t="s">
        <v>6</v>
      </c>
      <c r="G91" t="str">
        <f t="shared" si="3"/>
        <v>PV</v>
      </c>
      <c r="H91" t="str">
        <f t="shared" si="4"/>
        <v>PV</v>
      </c>
      <c r="I91" t="str">
        <f t="shared" si="5"/>
        <v>CT LAGEADO MONTANTE|BLOCO 55|PV-003|PV-004</v>
      </c>
      <c r="J91">
        <v>355</v>
      </c>
      <c r="K91" t="s">
        <v>61</v>
      </c>
      <c r="L91">
        <v>60.56</v>
      </c>
      <c r="M91">
        <v>8</v>
      </c>
    </row>
    <row r="92" spans="1:13" x14ac:dyDescent="0.3">
      <c r="A92" t="s">
        <v>154</v>
      </c>
      <c r="B92" t="s">
        <v>116</v>
      </c>
      <c r="C92" t="s">
        <v>121</v>
      </c>
      <c r="D92" t="s">
        <v>13</v>
      </c>
      <c r="E92" t="s">
        <v>6</v>
      </c>
      <c r="F92" t="s">
        <v>16</v>
      </c>
      <c r="G92" t="str">
        <f t="shared" si="3"/>
        <v>PV</v>
      </c>
      <c r="H92" t="str">
        <f t="shared" si="4"/>
        <v>PV</v>
      </c>
      <c r="I92" t="str">
        <f t="shared" si="5"/>
        <v>CT LAGEADO MONTANTE|BLOCO 55|PV-004|PV-005</v>
      </c>
      <c r="J92">
        <v>355</v>
      </c>
      <c r="K92" t="s">
        <v>61</v>
      </c>
      <c r="L92">
        <v>55.54</v>
      </c>
      <c r="M92">
        <v>9</v>
      </c>
    </row>
    <row r="93" spans="1:13" x14ac:dyDescent="0.3">
      <c r="A93" t="s">
        <v>154</v>
      </c>
      <c r="B93" t="s">
        <v>116</v>
      </c>
      <c r="C93" t="s">
        <v>121</v>
      </c>
      <c r="D93" t="s">
        <v>13</v>
      </c>
      <c r="E93" t="s">
        <v>16</v>
      </c>
      <c r="F93" t="s">
        <v>19</v>
      </c>
      <c r="G93" t="str">
        <f t="shared" si="3"/>
        <v>PV</v>
      </c>
      <c r="H93" t="str">
        <f t="shared" si="4"/>
        <v>PV</v>
      </c>
      <c r="I93" t="str">
        <f t="shared" si="5"/>
        <v>CT LAGEADO MONTANTE|BLOCO 55|PV-005|PV-007</v>
      </c>
      <c r="J93">
        <v>355</v>
      </c>
      <c r="K93" t="s">
        <v>61</v>
      </c>
      <c r="L93">
        <v>72.48</v>
      </c>
      <c r="M93">
        <v>10</v>
      </c>
    </row>
    <row r="94" spans="1:13" x14ac:dyDescent="0.3">
      <c r="A94" t="s">
        <v>154</v>
      </c>
      <c r="B94" t="s">
        <v>116</v>
      </c>
      <c r="C94" t="s">
        <v>121</v>
      </c>
      <c r="D94" t="s">
        <v>13</v>
      </c>
      <c r="E94" t="s">
        <v>19</v>
      </c>
      <c r="F94" t="s">
        <v>91</v>
      </c>
      <c r="G94" t="str">
        <f t="shared" si="3"/>
        <v>PV</v>
      </c>
      <c r="H94" t="str">
        <f t="shared" si="4"/>
        <v>PV</v>
      </c>
      <c r="I94" t="str">
        <f t="shared" si="5"/>
        <v>CT LAGEADO MONTANTE|BLOCO 55|PV-007|PV-008</v>
      </c>
      <c r="J94">
        <v>355</v>
      </c>
      <c r="K94" t="s">
        <v>61</v>
      </c>
      <c r="L94">
        <v>62.68</v>
      </c>
      <c r="M94">
        <v>11</v>
      </c>
    </row>
    <row r="95" spans="1:13" x14ac:dyDescent="0.3">
      <c r="A95" t="s">
        <v>154</v>
      </c>
      <c r="B95" t="s">
        <v>116</v>
      </c>
      <c r="C95" t="s">
        <v>121</v>
      </c>
      <c r="D95" t="s">
        <v>13</v>
      </c>
      <c r="E95" t="s">
        <v>91</v>
      </c>
      <c r="F95" t="s">
        <v>92</v>
      </c>
      <c r="G95" t="str">
        <f t="shared" si="3"/>
        <v>PV</v>
      </c>
      <c r="H95" t="str">
        <f t="shared" si="4"/>
        <v>PV</v>
      </c>
      <c r="I95" t="str">
        <f t="shared" si="5"/>
        <v>CT LAGEADO MONTANTE|BLOCO 55|PV-008|PV-010</v>
      </c>
      <c r="J95">
        <v>355</v>
      </c>
      <c r="K95" t="s">
        <v>61</v>
      </c>
      <c r="L95">
        <v>82.84</v>
      </c>
      <c r="M95">
        <v>12</v>
      </c>
    </row>
    <row r="96" spans="1:13" x14ac:dyDescent="0.3">
      <c r="A96" t="s">
        <v>154</v>
      </c>
      <c r="B96" t="s">
        <v>116</v>
      </c>
      <c r="C96" t="s">
        <v>121</v>
      </c>
      <c r="D96" t="s">
        <v>13</v>
      </c>
      <c r="E96" t="s">
        <v>92</v>
      </c>
      <c r="F96" t="s">
        <v>26</v>
      </c>
      <c r="G96" t="str">
        <f t="shared" si="3"/>
        <v>PV</v>
      </c>
      <c r="H96" t="str">
        <f t="shared" si="4"/>
        <v>PV</v>
      </c>
      <c r="I96" t="str">
        <f t="shared" si="5"/>
        <v>CT LAGEADO MONTANTE|BLOCO 55|PV-010|PV-012</v>
      </c>
      <c r="J96">
        <v>355</v>
      </c>
      <c r="K96" t="s">
        <v>61</v>
      </c>
      <c r="L96">
        <v>90.91</v>
      </c>
      <c r="M96">
        <v>13</v>
      </c>
    </row>
    <row r="97" spans="1:13" x14ac:dyDescent="0.3">
      <c r="A97" t="s">
        <v>154</v>
      </c>
      <c r="B97" t="s">
        <v>116</v>
      </c>
      <c r="C97" t="s">
        <v>121</v>
      </c>
      <c r="D97" t="s">
        <v>13</v>
      </c>
      <c r="E97" t="s">
        <v>26</v>
      </c>
      <c r="F97" t="s">
        <v>29</v>
      </c>
      <c r="G97" t="str">
        <f t="shared" si="3"/>
        <v>PV</v>
      </c>
      <c r="H97" t="str">
        <f t="shared" si="4"/>
        <v>PV</v>
      </c>
      <c r="I97" t="str">
        <f t="shared" si="5"/>
        <v>CT LAGEADO MONTANTE|BLOCO 55|PV-012|PV-016</v>
      </c>
      <c r="J97">
        <v>355</v>
      </c>
      <c r="K97" t="s">
        <v>61</v>
      </c>
      <c r="L97">
        <v>70.92</v>
      </c>
      <c r="M97">
        <v>14</v>
      </c>
    </row>
    <row r="98" spans="1:13" x14ac:dyDescent="0.3">
      <c r="A98" t="s">
        <v>154</v>
      </c>
      <c r="B98" t="s">
        <v>117</v>
      </c>
      <c r="C98" t="s">
        <v>121</v>
      </c>
      <c r="D98" t="s">
        <v>13</v>
      </c>
      <c r="E98" t="s">
        <v>29</v>
      </c>
      <c r="F98" t="s">
        <v>31</v>
      </c>
      <c r="G98" t="str">
        <f t="shared" si="3"/>
        <v>PV</v>
      </c>
      <c r="H98" t="str">
        <f t="shared" si="4"/>
        <v>PV</v>
      </c>
      <c r="I98" t="str">
        <f t="shared" si="5"/>
        <v>CT LAGEADO MONTANTE|BLOCO 56|PV-016|PV-018</v>
      </c>
      <c r="J98">
        <v>355</v>
      </c>
      <c r="K98" t="s">
        <v>61</v>
      </c>
      <c r="L98">
        <v>62.29</v>
      </c>
      <c r="M98">
        <v>15</v>
      </c>
    </row>
    <row r="99" spans="1:13" x14ac:dyDescent="0.3">
      <c r="A99" t="s">
        <v>154</v>
      </c>
      <c r="B99" t="s">
        <v>117</v>
      </c>
      <c r="C99" t="s">
        <v>121</v>
      </c>
      <c r="D99" t="s">
        <v>13</v>
      </c>
      <c r="E99" t="s">
        <v>31</v>
      </c>
      <c r="F99" t="s">
        <v>32</v>
      </c>
      <c r="G99" t="str">
        <f t="shared" si="3"/>
        <v>PV</v>
      </c>
      <c r="H99" t="str">
        <f t="shared" si="4"/>
        <v>PV</v>
      </c>
      <c r="I99" t="str">
        <f t="shared" si="5"/>
        <v>CT LAGEADO MONTANTE|BLOCO 56|PV-018|PV-019</v>
      </c>
      <c r="J99">
        <v>355</v>
      </c>
      <c r="K99" t="s">
        <v>61</v>
      </c>
      <c r="L99">
        <v>76.77</v>
      </c>
      <c r="M99">
        <v>16</v>
      </c>
    </row>
    <row r="100" spans="1:13" x14ac:dyDescent="0.3">
      <c r="A100" t="s">
        <v>154</v>
      </c>
      <c r="B100" t="s">
        <v>117</v>
      </c>
      <c r="C100" t="s">
        <v>130</v>
      </c>
      <c r="D100" t="s">
        <v>13</v>
      </c>
      <c r="E100" t="s">
        <v>32</v>
      </c>
      <c r="F100" t="s">
        <v>122</v>
      </c>
      <c r="G100" t="str">
        <f t="shared" si="3"/>
        <v>PV</v>
      </c>
      <c r="H100" t="str">
        <f t="shared" si="4"/>
        <v>PV</v>
      </c>
      <c r="I100" t="str">
        <f t="shared" si="5"/>
        <v>CT LAGEADO MONTANTE|BLOCO 56|PV-019|PV-019.1</v>
      </c>
      <c r="J100">
        <v>355</v>
      </c>
      <c r="K100" t="s">
        <v>61</v>
      </c>
      <c r="L100">
        <v>25.59</v>
      </c>
      <c r="M100">
        <v>17</v>
      </c>
    </row>
    <row r="101" spans="1:13" x14ac:dyDescent="0.3">
      <c r="A101" t="s">
        <v>154</v>
      </c>
      <c r="B101" t="s">
        <v>116</v>
      </c>
      <c r="C101" t="s">
        <v>131</v>
      </c>
      <c r="D101" t="s">
        <v>13</v>
      </c>
      <c r="E101" t="s">
        <v>5</v>
      </c>
      <c r="F101" t="s">
        <v>123</v>
      </c>
      <c r="G101" t="str">
        <f t="shared" si="3"/>
        <v>PV</v>
      </c>
      <c r="H101" t="str">
        <f t="shared" si="4"/>
        <v>PV</v>
      </c>
      <c r="I101" t="str">
        <f t="shared" si="5"/>
        <v>CT LAGEADO MONTANTE|BLOCO 55|PV-003|PV-03.1</v>
      </c>
      <c r="J101">
        <v>355</v>
      </c>
      <c r="K101" t="s">
        <v>61</v>
      </c>
      <c r="L101">
        <v>24.87</v>
      </c>
      <c r="M101">
        <v>18</v>
      </c>
    </row>
    <row r="102" spans="1:13" x14ac:dyDescent="0.3">
      <c r="A102" t="s">
        <v>154</v>
      </c>
      <c r="B102" t="s">
        <v>116</v>
      </c>
      <c r="C102" t="s">
        <v>131</v>
      </c>
      <c r="D102" t="s">
        <v>41</v>
      </c>
      <c r="E102" t="s">
        <v>123</v>
      </c>
      <c r="F102" t="s">
        <v>126</v>
      </c>
      <c r="G102" t="str">
        <f t="shared" si="3"/>
        <v>PV</v>
      </c>
      <c r="H102" t="str">
        <f t="shared" si="4"/>
        <v>PI</v>
      </c>
      <c r="I102" t="str">
        <f t="shared" si="5"/>
        <v>CT LAGEADO MONTANTE|BLOCO 55|PV-03.1|PI-03.2</v>
      </c>
      <c r="J102">
        <v>200</v>
      </c>
      <c r="K102" t="s">
        <v>62</v>
      </c>
      <c r="L102">
        <v>26.85</v>
      </c>
      <c r="M102">
        <v>19</v>
      </c>
    </row>
    <row r="103" spans="1:13" x14ac:dyDescent="0.3">
      <c r="A103" t="s">
        <v>154</v>
      </c>
      <c r="B103" t="s">
        <v>116</v>
      </c>
      <c r="C103" t="s">
        <v>132</v>
      </c>
      <c r="D103" t="s">
        <v>13</v>
      </c>
      <c r="E103" t="s">
        <v>6</v>
      </c>
      <c r="F103" t="s">
        <v>124</v>
      </c>
      <c r="G103" t="str">
        <f t="shared" si="3"/>
        <v>PV</v>
      </c>
      <c r="H103" t="str">
        <f t="shared" si="4"/>
        <v>PV</v>
      </c>
      <c r="I103" t="str">
        <f t="shared" si="5"/>
        <v>CT LAGEADO MONTANTE|BLOCO 55|PV-004|PV-04.1</v>
      </c>
      <c r="J103">
        <v>355</v>
      </c>
      <c r="K103" t="s">
        <v>61</v>
      </c>
      <c r="L103">
        <v>22.93</v>
      </c>
      <c r="M103">
        <v>20</v>
      </c>
    </row>
    <row r="104" spans="1:13" x14ac:dyDescent="0.3">
      <c r="A104" t="s">
        <v>154</v>
      </c>
      <c r="B104" t="s">
        <v>116</v>
      </c>
      <c r="C104" t="s">
        <v>132</v>
      </c>
      <c r="D104" t="s">
        <v>41</v>
      </c>
      <c r="E104" t="s">
        <v>124</v>
      </c>
      <c r="F104" t="s">
        <v>125</v>
      </c>
      <c r="G104" t="str">
        <f t="shared" si="3"/>
        <v>PV</v>
      </c>
      <c r="H104" t="str">
        <f t="shared" si="4"/>
        <v>PVE</v>
      </c>
      <c r="I104" t="str">
        <f t="shared" si="5"/>
        <v>CT LAGEADO MONTANTE|BLOCO 55|PV-04.1|PVE-04.2</v>
      </c>
      <c r="J104">
        <v>200</v>
      </c>
      <c r="K104" t="s">
        <v>62</v>
      </c>
      <c r="L104">
        <v>4.9800000000000004</v>
      </c>
      <c r="M104">
        <v>21</v>
      </c>
    </row>
    <row r="105" spans="1:13" x14ac:dyDescent="0.3">
      <c r="A105" t="s">
        <v>154</v>
      </c>
      <c r="B105" t="s">
        <v>116</v>
      </c>
      <c r="C105" t="s">
        <v>133</v>
      </c>
      <c r="D105" t="s">
        <v>13</v>
      </c>
      <c r="E105" t="s">
        <v>128</v>
      </c>
      <c r="F105" t="s">
        <v>127</v>
      </c>
      <c r="G105" t="str">
        <f t="shared" si="3"/>
        <v>PV</v>
      </c>
      <c r="H105" t="str">
        <f t="shared" si="4"/>
        <v>PV</v>
      </c>
      <c r="I105" t="str">
        <f t="shared" si="5"/>
        <v>CT LAGEADO MONTANTE|BLOCO 55|PV-05|PV-05.1</v>
      </c>
      <c r="J105">
        <v>355</v>
      </c>
      <c r="K105" t="s">
        <v>61</v>
      </c>
      <c r="L105">
        <v>16.04</v>
      </c>
      <c r="M105">
        <v>22</v>
      </c>
    </row>
    <row r="106" spans="1:13" x14ac:dyDescent="0.3">
      <c r="A106" t="s">
        <v>154</v>
      </c>
      <c r="B106" t="s">
        <v>116</v>
      </c>
      <c r="C106" t="s">
        <v>133</v>
      </c>
      <c r="D106" t="s">
        <v>41</v>
      </c>
      <c r="E106" t="s">
        <v>127</v>
      </c>
      <c r="F106" t="s">
        <v>129</v>
      </c>
      <c r="G106" t="str">
        <f t="shared" si="3"/>
        <v>PV</v>
      </c>
      <c r="H106" t="str">
        <f t="shared" si="4"/>
        <v>PV</v>
      </c>
      <c r="I106" t="str">
        <f t="shared" si="5"/>
        <v>CT LAGEADO MONTANTE|BLOCO 55|PV-05.1|PV-05.2</v>
      </c>
      <c r="J106">
        <v>200</v>
      </c>
      <c r="K106" t="s">
        <v>62</v>
      </c>
      <c r="L106">
        <v>52.57</v>
      </c>
      <c r="M106">
        <v>23</v>
      </c>
    </row>
    <row r="107" spans="1:13" x14ac:dyDescent="0.3">
      <c r="A107" t="s">
        <v>154</v>
      </c>
      <c r="B107" t="s">
        <v>116</v>
      </c>
      <c r="C107" t="s">
        <v>144</v>
      </c>
      <c r="D107" t="s">
        <v>13</v>
      </c>
      <c r="E107" t="s">
        <v>135</v>
      </c>
      <c r="F107" t="s">
        <v>134</v>
      </c>
      <c r="G107" t="str">
        <f t="shared" si="3"/>
        <v>PV</v>
      </c>
      <c r="H107" t="str">
        <f t="shared" si="4"/>
        <v>PV</v>
      </c>
      <c r="I107" t="str">
        <f t="shared" si="5"/>
        <v>CT LAGEADO MONTANTE|BLOCO 55|PV-07|PV-07.1</v>
      </c>
      <c r="J107">
        <v>355</v>
      </c>
      <c r="K107" t="s">
        <v>61</v>
      </c>
      <c r="L107">
        <v>22.26</v>
      </c>
      <c r="M107">
        <v>24</v>
      </c>
    </row>
    <row r="108" spans="1:13" x14ac:dyDescent="0.3">
      <c r="A108" t="s">
        <v>154</v>
      </c>
      <c r="B108" t="s">
        <v>116</v>
      </c>
      <c r="C108" t="s">
        <v>144</v>
      </c>
      <c r="D108" t="s">
        <v>41</v>
      </c>
      <c r="E108" t="s">
        <v>134</v>
      </c>
      <c r="F108" t="s">
        <v>138</v>
      </c>
      <c r="G108" t="str">
        <f t="shared" si="3"/>
        <v>PV</v>
      </c>
      <c r="H108" t="str">
        <f t="shared" si="4"/>
        <v>PV</v>
      </c>
      <c r="I108" t="str">
        <f t="shared" si="5"/>
        <v>CT LAGEADO MONTANTE|BLOCO 55|PV-07.1|PV-07.2</v>
      </c>
      <c r="J108">
        <v>200</v>
      </c>
      <c r="K108" t="s">
        <v>62</v>
      </c>
      <c r="L108">
        <v>6.06</v>
      </c>
      <c r="M108">
        <v>25</v>
      </c>
    </row>
    <row r="109" spans="1:13" x14ac:dyDescent="0.3">
      <c r="A109" t="s">
        <v>154</v>
      </c>
      <c r="B109" t="s">
        <v>116</v>
      </c>
      <c r="C109" t="s">
        <v>145</v>
      </c>
      <c r="D109" t="s">
        <v>13</v>
      </c>
      <c r="E109" t="s">
        <v>136</v>
      </c>
      <c r="F109" t="s">
        <v>137</v>
      </c>
      <c r="G109" t="str">
        <f t="shared" si="3"/>
        <v>PV</v>
      </c>
      <c r="H109" t="str">
        <f t="shared" si="4"/>
        <v>PV</v>
      </c>
      <c r="I109" t="str">
        <f t="shared" si="5"/>
        <v>CT LAGEADO MONTANTE|BLOCO 55|PV-08|PV-08.1</v>
      </c>
      <c r="J109">
        <v>355</v>
      </c>
      <c r="K109" t="s">
        <v>61</v>
      </c>
      <c r="L109">
        <v>18.29</v>
      </c>
      <c r="M109">
        <v>26</v>
      </c>
    </row>
    <row r="110" spans="1:13" x14ac:dyDescent="0.3">
      <c r="A110" t="s">
        <v>154</v>
      </c>
      <c r="B110" t="s">
        <v>117</v>
      </c>
      <c r="C110" t="s">
        <v>146</v>
      </c>
      <c r="D110" t="s">
        <v>13</v>
      </c>
      <c r="E110" t="s">
        <v>26</v>
      </c>
      <c r="F110" t="s">
        <v>139</v>
      </c>
      <c r="G110" t="str">
        <f t="shared" si="3"/>
        <v>PV</v>
      </c>
      <c r="H110" t="str">
        <f t="shared" si="4"/>
        <v>PV</v>
      </c>
      <c r="I110" t="str">
        <f t="shared" si="5"/>
        <v>CT LAGEADO MONTANTE|BLOCO 56|PV-012|PV-012.1</v>
      </c>
      <c r="J110">
        <v>355</v>
      </c>
      <c r="K110" t="s">
        <v>61</v>
      </c>
      <c r="L110">
        <v>14.33</v>
      </c>
      <c r="M110">
        <v>27</v>
      </c>
    </row>
    <row r="111" spans="1:13" x14ac:dyDescent="0.3">
      <c r="A111" t="s">
        <v>154</v>
      </c>
      <c r="B111" t="s">
        <v>117</v>
      </c>
      <c r="C111" t="s">
        <v>146</v>
      </c>
      <c r="D111" t="s">
        <v>41</v>
      </c>
      <c r="E111" t="s">
        <v>139</v>
      </c>
      <c r="F111" t="s">
        <v>140</v>
      </c>
      <c r="G111" t="str">
        <f t="shared" si="3"/>
        <v>PV</v>
      </c>
      <c r="H111" t="str">
        <f t="shared" si="4"/>
        <v>PV</v>
      </c>
      <c r="I111" t="str">
        <f t="shared" si="5"/>
        <v>CT LAGEADO MONTANTE|BLOCO 56|PV-012.1|PV-012.2</v>
      </c>
      <c r="J111">
        <v>200</v>
      </c>
      <c r="K111" t="s">
        <v>62</v>
      </c>
      <c r="L111">
        <v>1.55</v>
      </c>
      <c r="M111">
        <v>28</v>
      </c>
    </row>
    <row r="112" spans="1:13" x14ac:dyDescent="0.3">
      <c r="A112" t="s">
        <v>154</v>
      </c>
      <c r="B112" t="s">
        <v>117</v>
      </c>
      <c r="C112" t="s">
        <v>147</v>
      </c>
      <c r="D112" t="s">
        <v>13</v>
      </c>
      <c r="E112" t="s">
        <v>29</v>
      </c>
      <c r="F112" t="s">
        <v>141</v>
      </c>
      <c r="G112" t="str">
        <f t="shared" si="3"/>
        <v>PV</v>
      </c>
      <c r="H112" t="str">
        <f t="shared" si="4"/>
        <v>PV</v>
      </c>
      <c r="I112" t="str">
        <f t="shared" si="5"/>
        <v>CT LAGEADO MONTANTE|BLOCO 56|PV-016|PV-016.1</v>
      </c>
      <c r="J112">
        <v>355</v>
      </c>
      <c r="K112" t="s">
        <v>61</v>
      </c>
      <c r="L112">
        <v>12.78</v>
      </c>
      <c r="M112">
        <v>29</v>
      </c>
    </row>
    <row r="113" spans="1:13" x14ac:dyDescent="0.3">
      <c r="A113" t="s">
        <v>154</v>
      </c>
      <c r="B113" t="s">
        <v>117</v>
      </c>
      <c r="C113" t="s">
        <v>148</v>
      </c>
      <c r="D113" t="s">
        <v>13</v>
      </c>
      <c r="E113" t="s">
        <v>31</v>
      </c>
      <c r="F113" t="s">
        <v>142</v>
      </c>
      <c r="G113" t="str">
        <f t="shared" si="3"/>
        <v>PV</v>
      </c>
      <c r="H113" t="str">
        <f t="shared" si="4"/>
        <v>PV</v>
      </c>
      <c r="I113" t="str">
        <f t="shared" si="5"/>
        <v>CT LAGEADO MONTANTE|BLOCO 56|PV-018|PV-018.1</v>
      </c>
      <c r="J113">
        <v>355</v>
      </c>
      <c r="K113" t="s">
        <v>61</v>
      </c>
      <c r="L113">
        <v>11.24</v>
      </c>
      <c r="M113">
        <v>30</v>
      </c>
    </row>
    <row r="114" spans="1:13" x14ac:dyDescent="0.3">
      <c r="A114" t="s">
        <v>154</v>
      </c>
      <c r="B114" t="s">
        <v>117</v>
      </c>
      <c r="C114" t="s">
        <v>148</v>
      </c>
      <c r="D114" t="s">
        <v>13</v>
      </c>
      <c r="E114" t="s">
        <v>142</v>
      </c>
      <c r="F114" t="s">
        <v>143</v>
      </c>
      <c r="G114" t="str">
        <f t="shared" si="3"/>
        <v>PV</v>
      </c>
      <c r="H114" t="str">
        <f t="shared" si="4"/>
        <v>PV</v>
      </c>
      <c r="I114" t="str">
        <f t="shared" si="5"/>
        <v>CT LAGEADO MONTANTE|BLOCO 56|PV-018.1|PV-018.2</v>
      </c>
      <c r="J114">
        <v>355</v>
      </c>
      <c r="K114" t="s">
        <v>61</v>
      </c>
      <c r="L114">
        <v>62.24</v>
      </c>
      <c r="M114">
        <v>31</v>
      </c>
    </row>
    <row r="115" spans="1:13" x14ac:dyDescent="0.3">
      <c r="A115" t="s">
        <v>155</v>
      </c>
      <c r="B115" t="s">
        <v>156</v>
      </c>
      <c r="C115" t="s">
        <v>157</v>
      </c>
      <c r="D115" t="s">
        <v>13</v>
      </c>
      <c r="E115" t="s">
        <v>160</v>
      </c>
      <c r="F115" t="s">
        <v>5</v>
      </c>
      <c r="G115" t="str">
        <f t="shared" si="3"/>
        <v>PV</v>
      </c>
      <c r="H115" t="str">
        <f t="shared" si="4"/>
        <v>PV</v>
      </c>
      <c r="I115" t="str">
        <f t="shared" si="5"/>
        <v>CTS DOROTÉIA COUTINHO|BLOCO 11|PV-50|PV-003</v>
      </c>
      <c r="J115">
        <v>355</v>
      </c>
      <c r="K115" t="s">
        <v>61</v>
      </c>
      <c r="L115">
        <v>13.52</v>
      </c>
      <c r="M115">
        <v>1</v>
      </c>
    </row>
    <row r="116" spans="1:13" x14ac:dyDescent="0.3">
      <c r="A116" t="s">
        <v>155</v>
      </c>
      <c r="B116" t="s">
        <v>156</v>
      </c>
      <c r="C116" t="s">
        <v>157</v>
      </c>
      <c r="D116" t="s">
        <v>13</v>
      </c>
      <c r="E116" t="s">
        <v>5</v>
      </c>
      <c r="F116" t="s">
        <v>6</v>
      </c>
      <c r="G116" t="str">
        <f t="shared" si="3"/>
        <v>PV</v>
      </c>
      <c r="H116" t="str">
        <f t="shared" si="4"/>
        <v>PV</v>
      </c>
      <c r="I116" t="str">
        <f t="shared" si="5"/>
        <v>CTS DOROTÉIA COUTINHO|BLOCO 11|PV-003|PV-004</v>
      </c>
      <c r="J116">
        <v>355</v>
      </c>
      <c r="K116" t="s">
        <v>61</v>
      </c>
      <c r="L116">
        <v>78.36</v>
      </c>
      <c r="M116">
        <v>2</v>
      </c>
    </row>
    <row r="117" spans="1:13" x14ac:dyDescent="0.3">
      <c r="A117" t="s">
        <v>155</v>
      </c>
      <c r="B117" t="s">
        <v>156</v>
      </c>
      <c r="C117" t="s">
        <v>157</v>
      </c>
      <c r="D117" t="s">
        <v>13</v>
      </c>
      <c r="E117" t="s">
        <v>6</v>
      </c>
      <c r="F117" t="s">
        <v>17</v>
      </c>
      <c r="G117" t="str">
        <f t="shared" si="3"/>
        <v>PV</v>
      </c>
      <c r="H117" t="str">
        <f t="shared" si="4"/>
        <v>PV</v>
      </c>
      <c r="I117" t="str">
        <f t="shared" si="5"/>
        <v>CTS DOROTÉIA COUTINHO|BLOCO 11|PV-004|PV-006</v>
      </c>
      <c r="J117">
        <v>355</v>
      </c>
      <c r="K117" t="s">
        <v>61</v>
      </c>
      <c r="L117">
        <v>100.16</v>
      </c>
      <c r="M117">
        <v>3</v>
      </c>
    </row>
    <row r="118" spans="1:13" x14ac:dyDescent="0.3">
      <c r="A118" t="s">
        <v>155</v>
      </c>
      <c r="B118" t="s">
        <v>156</v>
      </c>
      <c r="C118" t="s">
        <v>158</v>
      </c>
      <c r="D118" t="s">
        <v>13</v>
      </c>
      <c r="E118" t="s">
        <v>17</v>
      </c>
      <c r="F118" t="s">
        <v>91</v>
      </c>
      <c r="G118" t="str">
        <f t="shared" si="3"/>
        <v>PV</v>
      </c>
      <c r="H118" t="str">
        <f t="shared" si="4"/>
        <v>PV</v>
      </c>
      <c r="I118" t="str">
        <f t="shared" si="5"/>
        <v>CTS DOROTÉIA COUTINHO|BLOCO 11|PV-006|PV-008</v>
      </c>
      <c r="J118">
        <v>355</v>
      </c>
      <c r="K118" t="s">
        <v>61</v>
      </c>
      <c r="L118">
        <v>41.01</v>
      </c>
      <c r="M118">
        <v>4</v>
      </c>
    </row>
    <row r="119" spans="1:13" x14ac:dyDescent="0.3">
      <c r="A119" t="s">
        <v>155</v>
      </c>
      <c r="B119" t="s">
        <v>156</v>
      </c>
      <c r="C119" t="s">
        <v>158</v>
      </c>
      <c r="D119" t="s">
        <v>13</v>
      </c>
      <c r="E119" t="s">
        <v>91</v>
      </c>
      <c r="F119" t="s">
        <v>20</v>
      </c>
      <c r="G119" t="str">
        <f t="shared" si="3"/>
        <v>PV</v>
      </c>
      <c r="H119" t="str">
        <f t="shared" si="4"/>
        <v>PV</v>
      </c>
      <c r="I119" t="str">
        <f t="shared" si="5"/>
        <v>CTS DOROTÉIA COUTINHO|BLOCO 11|PV-008|PV-009</v>
      </c>
      <c r="J119">
        <v>355</v>
      </c>
      <c r="K119" t="s">
        <v>61</v>
      </c>
      <c r="L119">
        <v>48.08</v>
      </c>
      <c r="M119">
        <v>5</v>
      </c>
    </row>
    <row r="120" spans="1:13" x14ac:dyDescent="0.3">
      <c r="A120" t="s">
        <v>155</v>
      </c>
      <c r="B120" t="s">
        <v>156</v>
      </c>
      <c r="C120" t="s">
        <v>158</v>
      </c>
      <c r="D120" t="s">
        <v>13</v>
      </c>
      <c r="E120" t="s">
        <v>20</v>
      </c>
      <c r="F120" t="s">
        <v>92</v>
      </c>
      <c r="G120" t="str">
        <f t="shared" si="3"/>
        <v>PV</v>
      </c>
      <c r="H120" t="str">
        <f t="shared" si="4"/>
        <v>PV</v>
      </c>
      <c r="I120" t="str">
        <f t="shared" si="5"/>
        <v>CTS DOROTÉIA COUTINHO|BLOCO 11|PV-009|PV-010</v>
      </c>
      <c r="J120">
        <v>355</v>
      </c>
      <c r="K120" t="s">
        <v>61</v>
      </c>
      <c r="L120">
        <v>58.82</v>
      </c>
      <c r="M120">
        <v>6</v>
      </c>
    </row>
    <row r="121" spans="1:13" x14ac:dyDescent="0.3">
      <c r="A121" t="s">
        <v>155</v>
      </c>
      <c r="B121" t="s">
        <v>164</v>
      </c>
      <c r="C121" t="s">
        <v>159</v>
      </c>
      <c r="D121" t="s">
        <v>13</v>
      </c>
      <c r="E121" t="s">
        <v>92</v>
      </c>
      <c r="F121" t="s">
        <v>26</v>
      </c>
      <c r="G121" t="str">
        <f t="shared" si="3"/>
        <v>PV</v>
      </c>
      <c r="H121" t="str">
        <f t="shared" si="4"/>
        <v>PV</v>
      </c>
      <c r="I121" t="str">
        <f t="shared" si="5"/>
        <v>CTS DOROTÉIA COUTINHO|BLOCO 10|PV-010|PV-012</v>
      </c>
      <c r="J121">
        <v>355</v>
      </c>
      <c r="K121" t="s">
        <v>61</v>
      </c>
      <c r="L121">
        <v>65.209999999999994</v>
      </c>
      <c r="M121">
        <v>7</v>
      </c>
    </row>
    <row r="122" spans="1:13" x14ac:dyDescent="0.3">
      <c r="A122" t="s">
        <v>155</v>
      </c>
      <c r="B122" t="s">
        <v>164</v>
      </c>
      <c r="C122" t="s">
        <v>159</v>
      </c>
      <c r="D122" t="s">
        <v>13</v>
      </c>
      <c r="E122" t="s">
        <v>26</v>
      </c>
      <c r="F122" t="s">
        <v>77</v>
      </c>
      <c r="G122" t="str">
        <f t="shared" si="3"/>
        <v>PV</v>
      </c>
      <c r="H122" t="str">
        <f t="shared" si="4"/>
        <v>PI</v>
      </c>
      <c r="I122" t="str">
        <f t="shared" si="5"/>
        <v>CTS DOROTÉIA COUTINHO|BLOCO 10|PV-012|PIE-016</v>
      </c>
      <c r="J122">
        <v>355</v>
      </c>
      <c r="K122" t="s">
        <v>61</v>
      </c>
      <c r="L122">
        <v>20.28</v>
      </c>
      <c r="M122">
        <v>8</v>
      </c>
    </row>
    <row r="123" spans="1:13" x14ac:dyDescent="0.3">
      <c r="A123" t="s">
        <v>155</v>
      </c>
      <c r="B123" t="s">
        <v>164</v>
      </c>
      <c r="C123" t="s">
        <v>159</v>
      </c>
      <c r="D123" t="s">
        <v>13</v>
      </c>
      <c r="E123" t="s">
        <v>26</v>
      </c>
      <c r="F123" t="s">
        <v>32</v>
      </c>
      <c r="G123" t="str">
        <f t="shared" si="3"/>
        <v>PV</v>
      </c>
      <c r="H123" t="str">
        <f t="shared" si="4"/>
        <v>PV</v>
      </c>
      <c r="I123" t="str">
        <f t="shared" si="5"/>
        <v>CTS DOROTÉIA COUTINHO|BLOCO 10|PV-012|PV-019</v>
      </c>
      <c r="J123">
        <v>355</v>
      </c>
      <c r="K123" t="s">
        <v>61</v>
      </c>
      <c r="L123">
        <v>25.9</v>
      </c>
      <c r="M123">
        <v>9</v>
      </c>
    </row>
    <row r="124" spans="1:13" x14ac:dyDescent="0.3">
      <c r="A124" t="s">
        <v>155</v>
      </c>
      <c r="B124" t="s">
        <v>164</v>
      </c>
      <c r="C124" t="s">
        <v>159</v>
      </c>
      <c r="D124" t="s">
        <v>41</v>
      </c>
      <c r="E124" t="s">
        <v>32</v>
      </c>
      <c r="F124" t="s">
        <v>33</v>
      </c>
      <c r="G124" t="str">
        <f t="shared" si="3"/>
        <v>PV</v>
      </c>
      <c r="H124" t="str">
        <f t="shared" si="4"/>
        <v>PV</v>
      </c>
      <c r="I124" t="str">
        <f t="shared" si="5"/>
        <v>CTS DOROTÉIA COUTINHO|BLOCO 10|PV-019|PV-020</v>
      </c>
      <c r="J124">
        <v>200</v>
      </c>
      <c r="K124" t="s">
        <v>62</v>
      </c>
      <c r="L124">
        <v>13.84</v>
      </c>
      <c r="M124">
        <v>10</v>
      </c>
    </row>
    <row r="125" spans="1:13" x14ac:dyDescent="0.3">
      <c r="A125" t="s">
        <v>155</v>
      </c>
      <c r="B125" t="s">
        <v>164</v>
      </c>
      <c r="C125" t="s">
        <v>159</v>
      </c>
      <c r="D125" t="s">
        <v>41</v>
      </c>
      <c r="E125" t="s">
        <v>5</v>
      </c>
      <c r="F125" t="s">
        <v>161</v>
      </c>
      <c r="G125" t="str">
        <f t="shared" si="3"/>
        <v>PV</v>
      </c>
      <c r="H125" t="str">
        <f t="shared" si="4"/>
        <v>PI</v>
      </c>
      <c r="I125" t="str">
        <f t="shared" si="5"/>
        <v>CTS DOROTÉIA COUTINHO|BLOCO 10|PV-003|PIE-015</v>
      </c>
      <c r="J125">
        <v>200</v>
      </c>
      <c r="K125" t="s">
        <v>62</v>
      </c>
      <c r="L125">
        <v>13.43</v>
      </c>
      <c r="M125">
        <v>11</v>
      </c>
    </row>
    <row r="126" spans="1:13" x14ac:dyDescent="0.3">
      <c r="A126" t="s">
        <v>155</v>
      </c>
      <c r="B126" t="s">
        <v>164</v>
      </c>
      <c r="C126" t="s">
        <v>158</v>
      </c>
      <c r="D126" t="s">
        <v>41</v>
      </c>
      <c r="E126" t="s">
        <v>162</v>
      </c>
      <c r="F126" t="s">
        <v>163</v>
      </c>
      <c r="G126" t="str">
        <f t="shared" si="3"/>
        <v>PVE</v>
      </c>
      <c r="H126" t="str">
        <f t="shared" si="4"/>
        <v>PV</v>
      </c>
      <c r="I126" t="str">
        <f t="shared" si="5"/>
        <v>CTS DOROTÉIA COUTINHO|BLOCO 10|PVE-06.1|PV-06</v>
      </c>
      <c r="J126">
        <v>200</v>
      </c>
      <c r="K126" t="s">
        <v>62</v>
      </c>
      <c r="L126">
        <v>3.61</v>
      </c>
      <c r="M126">
        <v>12</v>
      </c>
    </row>
    <row r="127" spans="1:13" x14ac:dyDescent="0.3">
      <c r="A127" t="s">
        <v>155</v>
      </c>
      <c r="B127" t="s">
        <v>164</v>
      </c>
      <c r="C127" t="s">
        <v>158</v>
      </c>
      <c r="D127" t="s">
        <v>41</v>
      </c>
      <c r="E127" t="s">
        <v>91</v>
      </c>
      <c r="F127" t="s">
        <v>166</v>
      </c>
      <c r="G127" t="str">
        <f t="shared" si="3"/>
        <v>PV</v>
      </c>
      <c r="H127" t="str">
        <f t="shared" si="4"/>
        <v>PI</v>
      </c>
      <c r="I127" t="str">
        <f t="shared" si="5"/>
        <v>CTS DOROTÉIA COUTINHO|BLOCO 10|PV-008|PI-008.1</v>
      </c>
      <c r="J127">
        <v>200</v>
      </c>
      <c r="K127" t="s">
        <v>62</v>
      </c>
      <c r="L127">
        <v>2.87</v>
      </c>
      <c r="M127">
        <v>13</v>
      </c>
    </row>
    <row r="128" spans="1:13" x14ac:dyDescent="0.3">
      <c r="A128" t="s">
        <v>155</v>
      </c>
      <c r="B128" t="s">
        <v>164</v>
      </c>
      <c r="C128" t="s">
        <v>158</v>
      </c>
      <c r="D128" t="s">
        <v>41</v>
      </c>
      <c r="E128" t="s">
        <v>167</v>
      </c>
      <c r="F128" t="s">
        <v>163</v>
      </c>
      <c r="G128" t="str">
        <f t="shared" si="3"/>
        <v>PI</v>
      </c>
      <c r="H128" t="str">
        <f t="shared" si="4"/>
        <v>PV</v>
      </c>
      <c r="I128" t="str">
        <f t="shared" si="5"/>
        <v>CTS DOROTÉIA COUTINHO|BLOCO 10|PI-006.1|PV-06</v>
      </c>
      <c r="J128">
        <v>200</v>
      </c>
      <c r="K128" t="s">
        <v>62</v>
      </c>
      <c r="L128">
        <v>25.91</v>
      </c>
      <c r="M128">
        <v>14</v>
      </c>
    </row>
    <row r="129" spans="1:13" x14ac:dyDescent="0.3">
      <c r="A129" t="s">
        <v>175</v>
      </c>
      <c r="B129" t="s">
        <v>168</v>
      </c>
      <c r="C129" t="s">
        <v>66</v>
      </c>
      <c r="D129" t="s">
        <v>13</v>
      </c>
      <c r="E129" t="s">
        <v>169</v>
      </c>
      <c r="F129" t="s">
        <v>4</v>
      </c>
      <c r="G129" t="str">
        <f t="shared" si="3"/>
        <v>PVE</v>
      </c>
      <c r="H129" t="str">
        <f t="shared" si="4"/>
        <v>PV</v>
      </c>
      <c r="I129" t="str">
        <f t="shared" si="5"/>
        <v>CTS JD. MIRIAM|BLOCO 05|PVE-01|PV-002</v>
      </c>
      <c r="J129">
        <v>355</v>
      </c>
      <c r="K129" t="s">
        <v>61</v>
      </c>
      <c r="L129">
        <v>3.27</v>
      </c>
      <c r="M129">
        <v>1</v>
      </c>
    </row>
    <row r="130" spans="1:13" x14ac:dyDescent="0.3">
      <c r="A130" t="s">
        <v>175</v>
      </c>
      <c r="B130" t="s">
        <v>168</v>
      </c>
      <c r="C130" t="s">
        <v>66</v>
      </c>
      <c r="D130" t="s">
        <v>13</v>
      </c>
      <c r="E130" t="s">
        <v>4</v>
      </c>
      <c r="F130" t="s">
        <v>5</v>
      </c>
      <c r="G130" t="str">
        <f t="shared" si="3"/>
        <v>PV</v>
      </c>
      <c r="H130" t="str">
        <f t="shared" si="4"/>
        <v>PV</v>
      </c>
      <c r="I130" t="str">
        <f t="shared" si="5"/>
        <v>CTS JD. MIRIAM|BLOCO 05|PV-002|PV-003</v>
      </c>
      <c r="J130">
        <v>355</v>
      </c>
      <c r="K130" t="s">
        <v>61</v>
      </c>
      <c r="L130">
        <v>91.65</v>
      </c>
      <c r="M130">
        <v>2</v>
      </c>
    </row>
    <row r="131" spans="1:13" x14ac:dyDescent="0.3">
      <c r="A131" t="s">
        <v>175</v>
      </c>
      <c r="B131" t="s">
        <v>168</v>
      </c>
      <c r="C131" t="s">
        <v>66</v>
      </c>
      <c r="D131" t="s">
        <v>13</v>
      </c>
      <c r="E131" t="s">
        <v>6</v>
      </c>
      <c r="F131" t="s">
        <v>16</v>
      </c>
      <c r="G131" t="str">
        <f t="shared" si="3"/>
        <v>PV</v>
      </c>
      <c r="H131" t="str">
        <f t="shared" si="3"/>
        <v>PV</v>
      </c>
      <c r="I131" t="str">
        <f t="shared" ref="I131:I194" si="6">UPPER(TRIM(A131))&amp;"|"&amp;UPPER(TRIM(B131))&amp;"|"&amp;UPPER(TRIM(E131))&amp;"|"&amp;UPPER(TRIM(F131))</f>
        <v>CTS JD. MIRIAM|BLOCO 05|PV-004|PV-005</v>
      </c>
      <c r="J131">
        <v>355</v>
      </c>
      <c r="K131" t="s">
        <v>61</v>
      </c>
      <c r="L131">
        <v>64.510000000000005</v>
      </c>
      <c r="M131">
        <v>3</v>
      </c>
    </row>
    <row r="132" spans="1:13" x14ac:dyDescent="0.3">
      <c r="A132" t="s">
        <v>175</v>
      </c>
      <c r="B132" t="s">
        <v>168</v>
      </c>
      <c r="C132" t="s">
        <v>66</v>
      </c>
      <c r="D132" t="s">
        <v>13</v>
      </c>
      <c r="E132" t="s">
        <v>16</v>
      </c>
      <c r="F132" t="s">
        <v>17</v>
      </c>
      <c r="G132" t="str">
        <f t="shared" si="3"/>
        <v>PV</v>
      </c>
      <c r="H132" t="str">
        <f t="shared" si="3"/>
        <v>PV</v>
      </c>
      <c r="I132" t="str">
        <f t="shared" si="6"/>
        <v>CTS JD. MIRIAM|BLOCO 05|PV-005|PV-006</v>
      </c>
      <c r="J132">
        <v>355</v>
      </c>
      <c r="K132" t="s">
        <v>61</v>
      </c>
      <c r="L132">
        <v>75.36</v>
      </c>
      <c r="M132">
        <v>4</v>
      </c>
    </row>
    <row r="133" spans="1:13" x14ac:dyDescent="0.3">
      <c r="A133" t="s">
        <v>175</v>
      </c>
      <c r="B133" t="s">
        <v>168</v>
      </c>
      <c r="C133" t="s">
        <v>66</v>
      </c>
      <c r="D133" t="s">
        <v>13</v>
      </c>
      <c r="E133" t="s">
        <v>17</v>
      </c>
      <c r="F133" t="s">
        <v>19</v>
      </c>
      <c r="G133" t="str">
        <f t="shared" si="3"/>
        <v>PV</v>
      </c>
      <c r="H133" t="str">
        <f t="shared" si="3"/>
        <v>PV</v>
      </c>
      <c r="I133" t="str">
        <f t="shared" si="6"/>
        <v>CTS JD. MIRIAM|BLOCO 05|PV-006|PV-007</v>
      </c>
      <c r="J133">
        <v>355</v>
      </c>
      <c r="K133" t="s">
        <v>61</v>
      </c>
      <c r="L133">
        <v>87.36</v>
      </c>
      <c r="M133">
        <v>5</v>
      </c>
    </row>
    <row r="134" spans="1:13" x14ac:dyDescent="0.3">
      <c r="A134" t="s">
        <v>175</v>
      </c>
      <c r="B134" t="s">
        <v>168</v>
      </c>
      <c r="C134" t="s">
        <v>66</v>
      </c>
      <c r="D134" t="s">
        <v>13</v>
      </c>
      <c r="E134" t="s">
        <v>19</v>
      </c>
      <c r="F134" t="s">
        <v>91</v>
      </c>
      <c r="G134" t="str">
        <f t="shared" si="3"/>
        <v>PV</v>
      </c>
      <c r="H134" t="str">
        <f t="shared" si="3"/>
        <v>PV</v>
      </c>
      <c r="I134" t="str">
        <f t="shared" si="6"/>
        <v>CTS JD. MIRIAM|BLOCO 05|PV-007|PV-008</v>
      </c>
      <c r="J134">
        <v>355</v>
      </c>
      <c r="K134" t="s">
        <v>61</v>
      </c>
      <c r="L134">
        <v>52.59</v>
      </c>
      <c r="M134">
        <v>6</v>
      </c>
    </row>
    <row r="135" spans="1:13" x14ac:dyDescent="0.3">
      <c r="A135" t="s">
        <v>175</v>
      </c>
      <c r="B135" t="s">
        <v>168</v>
      </c>
      <c r="C135" t="s">
        <v>66</v>
      </c>
      <c r="D135" t="s">
        <v>13</v>
      </c>
      <c r="E135" t="s">
        <v>91</v>
      </c>
      <c r="F135" t="s">
        <v>20</v>
      </c>
      <c r="G135" t="str">
        <f t="shared" ref="G135:H150" si="7">IF(LEFT(E135,3)="PVE","PVE",IF(LEFT(E135,2)="PV","PV",IF(LEFT(E135,2)="PI","PI","OUTRO")))</f>
        <v>PV</v>
      </c>
      <c r="H135" t="str">
        <f t="shared" si="7"/>
        <v>PV</v>
      </c>
      <c r="I135" t="str">
        <f t="shared" si="6"/>
        <v>CTS JD. MIRIAM|BLOCO 05|PV-008|PV-009</v>
      </c>
      <c r="J135">
        <v>355</v>
      </c>
      <c r="K135" t="s">
        <v>61</v>
      </c>
      <c r="L135">
        <v>20.68</v>
      </c>
      <c r="M135">
        <v>7</v>
      </c>
    </row>
    <row r="136" spans="1:13" x14ac:dyDescent="0.3">
      <c r="A136" t="s">
        <v>175</v>
      </c>
      <c r="B136" t="s">
        <v>168</v>
      </c>
      <c r="C136" t="s">
        <v>66</v>
      </c>
      <c r="D136" t="s">
        <v>13</v>
      </c>
      <c r="E136" t="s">
        <v>20</v>
      </c>
      <c r="F136" t="s">
        <v>171</v>
      </c>
      <c r="G136" t="str">
        <f t="shared" si="7"/>
        <v>PV</v>
      </c>
      <c r="H136" t="str">
        <f t="shared" si="7"/>
        <v>PV</v>
      </c>
      <c r="I136" t="str">
        <f t="shared" si="6"/>
        <v>CTS JD. MIRIAM|BLOCO 05|PV-009|PV-033</v>
      </c>
      <c r="J136">
        <v>200</v>
      </c>
      <c r="K136" t="s">
        <v>62</v>
      </c>
      <c r="L136">
        <v>51.6</v>
      </c>
      <c r="M136">
        <v>8</v>
      </c>
    </row>
    <row r="137" spans="1:13" x14ac:dyDescent="0.3">
      <c r="A137" t="s">
        <v>175</v>
      </c>
      <c r="B137" t="s">
        <v>168</v>
      </c>
      <c r="C137" t="s">
        <v>66</v>
      </c>
      <c r="D137" t="s">
        <v>13</v>
      </c>
      <c r="E137" t="s">
        <v>170</v>
      </c>
      <c r="F137" t="s">
        <v>53</v>
      </c>
      <c r="G137" t="str">
        <f t="shared" si="7"/>
        <v>PV</v>
      </c>
      <c r="H137" t="str">
        <f t="shared" si="7"/>
        <v>PV</v>
      </c>
      <c r="I137" t="str">
        <f t="shared" si="6"/>
        <v>CTS JD. MIRIAM|BLOCO 05|PV-33|PV-034</v>
      </c>
      <c r="J137">
        <v>200</v>
      </c>
      <c r="K137" t="s">
        <v>62</v>
      </c>
      <c r="L137">
        <v>60.05</v>
      </c>
      <c r="M137">
        <v>9</v>
      </c>
    </row>
    <row r="138" spans="1:13" x14ac:dyDescent="0.3">
      <c r="A138" t="s">
        <v>175</v>
      </c>
      <c r="B138" t="s">
        <v>172</v>
      </c>
      <c r="C138" t="s">
        <v>176</v>
      </c>
      <c r="D138" t="s">
        <v>13</v>
      </c>
      <c r="E138" t="s">
        <v>20</v>
      </c>
      <c r="F138" t="s">
        <v>25</v>
      </c>
      <c r="G138" t="str">
        <f t="shared" si="7"/>
        <v>PV</v>
      </c>
      <c r="H138" t="str">
        <f t="shared" si="7"/>
        <v>PV</v>
      </c>
      <c r="I138" t="str">
        <f t="shared" si="6"/>
        <v>CTS JD. MIRIAM|BLOCO 06|PV-009|PV-011</v>
      </c>
      <c r="J138">
        <v>355</v>
      </c>
      <c r="K138" t="s">
        <v>61</v>
      </c>
      <c r="L138">
        <v>16.32</v>
      </c>
      <c r="M138">
        <v>10</v>
      </c>
    </row>
    <row r="139" spans="1:13" x14ac:dyDescent="0.3">
      <c r="A139" t="s">
        <v>175</v>
      </c>
      <c r="B139" t="s">
        <v>172</v>
      </c>
      <c r="C139" t="s">
        <v>177</v>
      </c>
      <c r="D139" t="s">
        <v>13</v>
      </c>
      <c r="E139" t="s">
        <v>25</v>
      </c>
      <c r="F139" t="s">
        <v>183</v>
      </c>
      <c r="G139" t="str">
        <f t="shared" si="7"/>
        <v>PV</v>
      </c>
      <c r="H139" t="str">
        <f t="shared" si="7"/>
        <v>PV</v>
      </c>
      <c r="I139" t="str">
        <f t="shared" si="6"/>
        <v>CTS JD. MIRIAM|BLOCO 06|PV-011|PV-012A</v>
      </c>
      <c r="J139">
        <v>355</v>
      </c>
      <c r="K139" t="s">
        <v>61</v>
      </c>
      <c r="L139">
        <v>30.82</v>
      </c>
      <c r="M139">
        <v>11</v>
      </c>
    </row>
    <row r="140" spans="1:13" x14ac:dyDescent="0.3">
      <c r="A140" t="s">
        <v>175</v>
      </c>
      <c r="B140" t="s">
        <v>172</v>
      </c>
      <c r="C140" t="s">
        <v>177</v>
      </c>
      <c r="D140" t="s">
        <v>13</v>
      </c>
      <c r="E140" t="s">
        <v>183</v>
      </c>
      <c r="F140" t="s">
        <v>26</v>
      </c>
      <c r="G140" t="str">
        <f t="shared" si="7"/>
        <v>PV</v>
      </c>
      <c r="H140" t="str">
        <f t="shared" si="7"/>
        <v>PV</v>
      </c>
      <c r="I140" t="str">
        <f t="shared" si="6"/>
        <v>CTS JD. MIRIAM|BLOCO 06|PV-012A|PV-012</v>
      </c>
      <c r="J140">
        <v>355</v>
      </c>
      <c r="K140" t="s">
        <v>61</v>
      </c>
      <c r="L140">
        <v>35.17</v>
      </c>
      <c r="M140">
        <v>12</v>
      </c>
    </row>
    <row r="141" spans="1:13" x14ac:dyDescent="0.3">
      <c r="A141" t="s">
        <v>175</v>
      </c>
      <c r="B141" t="s">
        <v>172</v>
      </c>
      <c r="C141" t="s">
        <v>178</v>
      </c>
      <c r="D141" t="s">
        <v>13</v>
      </c>
      <c r="E141" t="s">
        <v>26</v>
      </c>
      <c r="F141" t="s">
        <v>27</v>
      </c>
      <c r="G141" t="str">
        <f t="shared" si="7"/>
        <v>PV</v>
      </c>
      <c r="H141" t="str">
        <f t="shared" si="7"/>
        <v>PV</v>
      </c>
      <c r="I141" t="str">
        <f t="shared" si="6"/>
        <v>CTS JD. MIRIAM|BLOCO 06|PV-012|PV-013</v>
      </c>
      <c r="J141">
        <v>355</v>
      </c>
      <c r="K141" t="s">
        <v>61</v>
      </c>
      <c r="L141">
        <v>55.31</v>
      </c>
      <c r="M141">
        <v>13</v>
      </c>
    </row>
    <row r="142" spans="1:13" x14ac:dyDescent="0.3">
      <c r="A142" t="s">
        <v>175</v>
      </c>
      <c r="B142" t="s">
        <v>172</v>
      </c>
      <c r="C142" t="s">
        <v>178</v>
      </c>
      <c r="D142" t="s">
        <v>13</v>
      </c>
      <c r="E142" t="s">
        <v>27</v>
      </c>
      <c r="F142" t="s">
        <v>54</v>
      </c>
      <c r="G142" t="str">
        <f t="shared" si="7"/>
        <v>PV</v>
      </c>
      <c r="H142" t="str">
        <f t="shared" si="7"/>
        <v>PV</v>
      </c>
      <c r="I142" t="str">
        <f t="shared" si="6"/>
        <v>CTS JD. MIRIAM|BLOCO 06|PV-013|PV-035</v>
      </c>
      <c r="J142">
        <v>355</v>
      </c>
      <c r="K142" t="s">
        <v>61</v>
      </c>
      <c r="L142">
        <v>36.53</v>
      </c>
      <c r="M142">
        <v>14</v>
      </c>
    </row>
    <row r="143" spans="1:13" x14ac:dyDescent="0.3">
      <c r="A143" t="s">
        <v>175</v>
      </c>
      <c r="B143" t="s">
        <v>172</v>
      </c>
      <c r="C143" t="s">
        <v>178</v>
      </c>
      <c r="D143" t="s">
        <v>41</v>
      </c>
      <c r="E143" t="s">
        <v>54</v>
      </c>
      <c r="F143" t="s">
        <v>187</v>
      </c>
      <c r="G143" t="str">
        <f t="shared" si="7"/>
        <v>PV</v>
      </c>
      <c r="H143" t="str">
        <f t="shared" si="7"/>
        <v>PVE</v>
      </c>
      <c r="I143" t="str">
        <f t="shared" si="6"/>
        <v>CTS JD. MIRIAM|BLOCO 06|PV-035|PVE-04</v>
      </c>
      <c r="J143">
        <v>200</v>
      </c>
      <c r="K143" t="s">
        <v>62</v>
      </c>
      <c r="L143">
        <v>2</v>
      </c>
      <c r="M143">
        <v>15</v>
      </c>
    </row>
    <row r="144" spans="1:13" x14ac:dyDescent="0.3">
      <c r="A144" t="s">
        <v>175</v>
      </c>
      <c r="B144" t="s">
        <v>172</v>
      </c>
      <c r="C144" t="s">
        <v>179</v>
      </c>
      <c r="D144" t="s">
        <v>13</v>
      </c>
      <c r="E144" t="s">
        <v>27</v>
      </c>
      <c r="F144" t="s">
        <v>29</v>
      </c>
      <c r="G144" t="str">
        <f t="shared" si="7"/>
        <v>PV</v>
      </c>
      <c r="H144" t="str">
        <f t="shared" si="7"/>
        <v>PV</v>
      </c>
      <c r="I144" t="str">
        <f t="shared" si="6"/>
        <v>CTS JD. MIRIAM|BLOCO 06|PV-013|PV-016</v>
      </c>
      <c r="J144">
        <v>355</v>
      </c>
      <c r="K144" t="s">
        <v>61</v>
      </c>
      <c r="L144">
        <v>57.56</v>
      </c>
      <c r="M144">
        <v>16</v>
      </c>
    </row>
    <row r="145" spans="1:13" x14ac:dyDescent="0.3">
      <c r="A145" t="s">
        <v>175</v>
      </c>
      <c r="B145" t="s">
        <v>172</v>
      </c>
      <c r="C145" t="s">
        <v>180</v>
      </c>
      <c r="D145" t="s">
        <v>13</v>
      </c>
      <c r="E145" t="s">
        <v>29</v>
      </c>
      <c r="F145" t="s">
        <v>30</v>
      </c>
      <c r="G145" t="str">
        <f t="shared" si="7"/>
        <v>PV</v>
      </c>
      <c r="H145" t="str">
        <f t="shared" si="7"/>
        <v>PV</v>
      </c>
      <c r="I145" t="str">
        <f t="shared" si="6"/>
        <v>CTS JD. MIRIAM|BLOCO 06|PV-016|PV-017</v>
      </c>
      <c r="J145">
        <v>355</v>
      </c>
      <c r="K145" t="s">
        <v>61</v>
      </c>
      <c r="L145">
        <v>23.47</v>
      </c>
      <c r="M145">
        <v>17</v>
      </c>
    </row>
    <row r="146" spans="1:13" x14ac:dyDescent="0.3">
      <c r="A146" t="s">
        <v>175</v>
      </c>
      <c r="B146" t="s">
        <v>172</v>
      </c>
      <c r="C146" t="s">
        <v>180</v>
      </c>
      <c r="D146" t="s">
        <v>41</v>
      </c>
      <c r="E146" t="s">
        <v>184</v>
      </c>
      <c r="F146" t="s">
        <v>188</v>
      </c>
      <c r="G146" t="str">
        <f t="shared" si="7"/>
        <v>PV</v>
      </c>
      <c r="H146" t="str">
        <f t="shared" si="7"/>
        <v>PV</v>
      </c>
      <c r="I146" t="str">
        <f t="shared" si="6"/>
        <v>CTS JD. MIRIAM|BLOCO 06|PV-17|PV-017.1</v>
      </c>
      <c r="J146">
        <v>200</v>
      </c>
      <c r="K146" t="s">
        <v>62</v>
      </c>
      <c r="L146">
        <v>6.41</v>
      </c>
      <c r="M146">
        <v>18</v>
      </c>
    </row>
    <row r="147" spans="1:13" x14ac:dyDescent="0.3">
      <c r="A147" t="s">
        <v>175</v>
      </c>
      <c r="B147" t="s">
        <v>172</v>
      </c>
      <c r="C147" t="s">
        <v>180</v>
      </c>
      <c r="D147" t="s">
        <v>13</v>
      </c>
      <c r="E147" t="s">
        <v>184</v>
      </c>
      <c r="F147" t="s">
        <v>185</v>
      </c>
      <c r="G147" t="str">
        <f t="shared" si="7"/>
        <v>PV</v>
      </c>
      <c r="H147" t="str">
        <f t="shared" si="7"/>
        <v>PV</v>
      </c>
      <c r="I147" t="str">
        <f t="shared" si="6"/>
        <v>CTS JD. MIRIAM|BLOCO 06|PV-17|PV-18</v>
      </c>
      <c r="J147">
        <v>355</v>
      </c>
      <c r="K147" t="s">
        <v>61</v>
      </c>
      <c r="L147">
        <v>20.94</v>
      </c>
      <c r="M147">
        <v>19</v>
      </c>
    </row>
    <row r="148" spans="1:13" x14ac:dyDescent="0.3">
      <c r="A148" t="s">
        <v>175</v>
      </c>
      <c r="B148" t="s">
        <v>172</v>
      </c>
      <c r="C148" t="s">
        <v>180</v>
      </c>
      <c r="D148" t="s">
        <v>41</v>
      </c>
      <c r="E148" t="s">
        <v>185</v>
      </c>
      <c r="F148" t="s">
        <v>190</v>
      </c>
      <c r="G148" t="str">
        <f t="shared" si="7"/>
        <v>PV</v>
      </c>
      <c r="H148" t="str">
        <f t="shared" si="7"/>
        <v>PI</v>
      </c>
      <c r="I148" t="str">
        <f t="shared" si="6"/>
        <v>CTS JD. MIRIAM|BLOCO 06|PV-18|PIE-037</v>
      </c>
      <c r="J148">
        <v>200</v>
      </c>
      <c r="K148" t="s">
        <v>62</v>
      </c>
      <c r="L148">
        <v>1.39</v>
      </c>
      <c r="M148">
        <v>20</v>
      </c>
    </row>
    <row r="149" spans="1:13" x14ac:dyDescent="0.3">
      <c r="A149" t="s">
        <v>175</v>
      </c>
      <c r="B149" t="s">
        <v>172</v>
      </c>
      <c r="C149" t="s">
        <v>180</v>
      </c>
      <c r="D149" t="s">
        <v>41</v>
      </c>
      <c r="E149" t="s">
        <v>185</v>
      </c>
      <c r="F149" t="s">
        <v>186</v>
      </c>
      <c r="G149" t="str">
        <f t="shared" si="7"/>
        <v>PV</v>
      </c>
      <c r="H149" t="str">
        <f t="shared" si="7"/>
        <v>PV</v>
      </c>
      <c r="I149" t="str">
        <f t="shared" si="6"/>
        <v>CTS JD. MIRIAM|BLOCO 06|PV-18|PV-18.1</v>
      </c>
      <c r="J149">
        <v>300</v>
      </c>
      <c r="K149" t="s">
        <v>62</v>
      </c>
      <c r="L149">
        <v>2.29</v>
      </c>
      <c r="M149">
        <v>21</v>
      </c>
    </row>
    <row r="150" spans="1:13" x14ac:dyDescent="0.3">
      <c r="A150" t="s">
        <v>175</v>
      </c>
      <c r="B150" t="s">
        <v>172</v>
      </c>
      <c r="C150" t="s">
        <v>180</v>
      </c>
      <c r="D150" t="s">
        <v>41</v>
      </c>
      <c r="E150" t="s">
        <v>186</v>
      </c>
      <c r="F150" t="s">
        <v>191</v>
      </c>
      <c r="G150" t="str">
        <f t="shared" si="7"/>
        <v>PV</v>
      </c>
      <c r="H150" t="str">
        <f t="shared" si="7"/>
        <v>PV</v>
      </c>
      <c r="I150" t="str">
        <f t="shared" si="6"/>
        <v>CTS JD. MIRIAM|BLOCO 06|PV-18.1|PV-18.2</v>
      </c>
      <c r="J150">
        <v>300</v>
      </c>
      <c r="K150" t="s">
        <v>62</v>
      </c>
      <c r="L150">
        <v>6.6</v>
      </c>
      <c r="M150">
        <v>22</v>
      </c>
    </row>
    <row r="151" spans="1:13" x14ac:dyDescent="0.3">
      <c r="A151" t="s">
        <v>175</v>
      </c>
      <c r="B151" t="s">
        <v>172</v>
      </c>
      <c r="C151" t="s">
        <v>180</v>
      </c>
      <c r="D151" t="s">
        <v>13</v>
      </c>
      <c r="E151" t="s">
        <v>185</v>
      </c>
      <c r="F151" t="s">
        <v>189</v>
      </c>
      <c r="G151" t="str">
        <f t="shared" ref="G151:H166" si="8">IF(LEFT(E151,3)="PVE","PVE",IF(LEFT(E151,2)="PV","PV",IF(LEFT(E151,2)="PI","PI","OUTRO")))</f>
        <v>PV</v>
      </c>
      <c r="H151" t="str">
        <f t="shared" si="8"/>
        <v>PV</v>
      </c>
      <c r="I151" t="str">
        <f t="shared" si="6"/>
        <v>CTS JD. MIRIAM|BLOCO 06|PV-18|PV-19</v>
      </c>
      <c r="J151">
        <v>355</v>
      </c>
      <c r="K151" t="s">
        <v>61</v>
      </c>
      <c r="L151">
        <v>47.9</v>
      </c>
      <c r="M151">
        <v>23</v>
      </c>
    </row>
    <row r="152" spans="1:13" x14ac:dyDescent="0.3">
      <c r="A152" t="s">
        <v>175</v>
      </c>
      <c r="B152" t="s">
        <v>173</v>
      </c>
      <c r="C152" t="s">
        <v>180</v>
      </c>
      <c r="D152" t="s">
        <v>13</v>
      </c>
      <c r="E152" t="s">
        <v>189</v>
      </c>
      <c r="F152" t="s">
        <v>195</v>
      </c>
      <c r="G152" t="str">
        <f t="shared" si="8"/>
        <v>PV</v>
      </c>
      <c r="H152" t="str">
        <f t="shared" si="8"/>
        <v>PV</v>
      </c>
      <c r="I152" t="str">
        <f t="shared" si="6"/>
        <v>CTS JD. MIRIAM|BLOCO 07|PV-19|PV-20</v>
      </c>
      <c r="J152">
        <v>355</v>
      </c>
      <c r="K152" t="s">
        <v>61</v>
      </c>
      <c r="L152">
        <v>53.79</v>
      </c>
      <c r="M152">
        <v>24</v>
      </c>
    </row>
    <row r="153" spans="1:13" x14ac:dyDescent="0.3">
      <c r="A153" t="s">
        <v>175</v>
      </c>
      <c r="B153" t="s">
        <v>173</v>
      </c>
      <c r="C153" t="s">
        <v>192</v>
      </c>
      <c r="D153" t="s">
        <v>13</v>
      </c>
      <c r="E153" t="s">
        <v>195</v>
      </c>
      <c r="F153" t="s">
        <v>196</v>
      </c>
      <c r="G153" t="str">
        <f t="shared" si="8"/>
        <v>PV</v>
      </c>
      <c r="H153" t="str">
        <f t="shared" si="8"/>
        <v>PV</v>
      </c>
      <c r="I153" t="str">
        <f t="shared" si="6"/>
        <v>CTS JD. MIRIAM|BLOCO 07|PV-20|PV-21</v>
      </c>
      <c r="J153">
        <v>355</v>
      </c>
      <c r="K153" t="s">
        <v>61</v>
      </c>
      <c r="L153">
        <v>55.8</v>
      </c>
      <c r="M153">
        <v>25</v>
      </c>
    </row>
    <row r="154" spans="1:13" x14ac:dyDescent="0.3">
      <c r="A154" t="s">
        <v>175</v>
      </c>
      <c r="B154" t="s">
        <v>173</v>
      </c>
      <c r="C154" t="s">
        <v>192</v>
      </c>
      <c r="D154" t="s">
        <v>13</v>
      </c>
      <c r="E154" t="s">
        <v>196</v>
      </c>
      <c r="F154" t="s">
        <v>197</v>
      </c>
      <c r="G154" t="str">
        <f t="shared" si="8"/>
        <v>PV</v>
      </c>
      <c r="H154" t="str">
        <f t="shared" si="8"/>
        <v>PV</v>
      </c>
      <c r="I154" t="str">
        <f t="shared" si="6"/>
        <v>CTS JD. MIRIAM|BLOCO 07|PV-21|PV-22</v>
      </c>
      <c r="J154">
        <v>355</v>
      </c>
      <c r="K154" t="s">
        <v>61</v>
      </c>
      <c r="L154">
        <v>40.19</v>
      </c>
      <c r="M154">
        <v>26</v>
      </c>
    </row>
    <row r="155" spans="1:13" x14ac:dyDescent="0.3">
      <c r="A155" t="s">
        <v>175</v>
      </c>
      <c r="B155" t="s">
        <v>173</v>
      </c>
      <c r="C155" t="s">
        <v>193</v>
      </c>
      <c r="D155" t="s">
        <v>13</v>
      </c>
      <c r="E155" t="s">
        <v>197</v>
      </c>
      <c r="F155" t="s">
        <v>198</v>
      </c>
      <c r="G155" t="str">
        <f t="shared" si="8"/>
        <v>PV</v>
      </c>
      <c r="H155" t="str">
        <f t="shared" si="8"/>
        <v>PV</v>
      </c>
      <c r="I155" t="str">
        <f t="shared" si="6"/>
        <v>CTS JD. MIRIAM|BLOCO 07|PV-22|PV-23</v>
      </c>
      <c r="J155">
        <v>355</v>
      </c>
      <c r="K155" t="s">
        <v>61</v>
      </c>
      <c r="L155">
        <v>41.75</v>
      </c>
      <c r="M155">
        <v>27</v>
      </c>
    </row>
    <row r="156" spans="1:13" x14ac:dyDescent="0.3">
      <c r="A156" t="s">
        <v>175</v>
      </c>
      <c r="B156" t="s">
        <v>173</v>
      </c>
      <c r="C156" t="s">
        <v>193</v>
      </c>
      <c r="D156" t="s">
        <v>13</v>
      </c>
      <c r="E156" t="s">
        <v>198</v>
      </c>
      <c r="F156" t="s">
        <v>199</v>
      </c>
      <c r="G156" t="str">
        <f t="shared" si="8"/>
        <v>PV</v>
      </c>
      <c r="H156" t="str">
        <f t="shared" si="8"/>
        <v>PV</v>
      </c>
      <c r="I156" t="str">
        <f t="shared" si="6"/>
        <v>CTS JD. MIRIAM|BLOCO 07|PV-23|PV-25</v>
      </c>
      <c r="J156">
        <v>355</v>
      </c>
      <c r="K156" t="s">
        <v>61</v>
      </c>
      <c r="L156">
        <v>19.22</v>
      </c>
      <c r="M156">
        <v>28</v>
      </c>
    </row>
    <row r="157" spans="1:13" x14ac:dyDescent="0.3">
      <c r="A157" t="s">
        <v>175</v>
      </c>
      <c r="B157" t="s">
        <v>173</v>
      </c>
      <c r="C157" t="s">
        <v>194</v>
      </c>
      <c r="D157" t="s">
        <v>13</v>
      </c>
      <c r="E157" t="s">
        <v>199</v>
      </c>
      <c r="F157" t="s">
        <v>181</v>
      </c>
      <c r="G157" t="str">
        <f t="shared" si="8"/>
        <v>PV</v>
      </c>
      <c r="H157" t="str">
        <f t="shared" si="8"/>
        <v>PV</v>
      </c>
      <c r="I157" t="str">
        <f t="shared" si="6"/>
        <v>CTS JD. MIRIAM|BLOCO 07|PV-25|PV-39</v>
      </c>
      <c r="J157">
        <v>355</v>
      </c>
      <c r="K157" t="s">
        <v>61</v>
      </c>
      <c r="L157">
        <v>21.1</v>
      </c>
      <c r="M157">
        <v>29</v>
      </c>
    </row>
    <row r="158" spans="1:13" x14ac:dyDescent="0.3">
      <c r="A158" t="s">
        <v>175</v>
      </c>
      <c r="B158" t="s">
        <v>173</v>
      </c>
      <c r="C158" t="s">
        <v>194</v>
      </c>
      <c r="D158" t="s">
        <v>41</v>
      </c>
      <c r="E158" t="s">
        <v>181</v>
      </c>
      <c r="F158" t="s">
        <v>200</v>
      </c>
      <c r="G158" t="str">
        <f t="shared" si="8"/>
        <v>PV</v>
      </c>
      <c r="H158" t="str">
        <f t="shared" si="8"/>
        <v>PI</v>
      </c>
      <c r="I158" t="str">
        <f t="shared" si="6"/>
        <v>CTS JD. MIRIAM|BLOCO 07|PV-39|PIE-40</v>
      </c>
      <c r="J158">
        <v>200</v>
      </c>
      <c r="K158" t="s">
        <v>62</v>
      </c>
      <c r="L158">
        <v>4.0599999999999996</v>
      </c>
      <c r="M158">
        <v>30</v>
      </c>
    </row>
    <row r="159" spans="1:13" x14ac:dyDescent="0.3">
      <c r="A159" t="s">
        <v>175</v>
      </c>
      <c r="B159" t="s">
        <v>174</v>
      </c>
      <c r="C159" t="s">
        <v>201</v>
      </c>
      <c r="D159" t="s">
        <v>13</v>
      </c>
      <c r="E159" t="s">
        <v>220</v>
      </c>
      <c r="F159" t="s">
        <v>206</v>
      </c>
      <c r="G159" t="str">
        <f t="shared" si="8"/>
        <v>PV</v>
      </c>
      <c r="H159" t="str">
        <f t="shared" si="8"/>
        <v>PV</v>
      </c>
      <c r="I159" t="str">
        <f t="shared" si="6"/>
        <v>CTS JD. MIRIAM|BLOCO 08|PV-25|PV-25A</v>
      </c>
      <c r="J159">
        <v>355</v>
      </c>
      <c r="K159" t="s">
        <v>61</v>
      </c>
      <c r="L159">
        <f>29.34</f>
        <v>29.34</v>
      </c>
      <c r="M159">
        <v>1</v>
      </c>
    </row>
    <row r="160" spans="1:13" x14ac:dyDescent="0.3">
      <c r="A160" t="s">
        <v>175</v>
      </c>
      <c r="B160" t="s">
        <v>174</v>
      </c>
      <c r="C160" t="s">
        <v>201</v>
      </c>
      <c r="D160" t="s">
        <v>13</v>
      </c>
      <c r="E160" t="s">
        <v>206</v>
      </c>
      <c r="F160" t="s">
        <v>207</v>
      </c>
      <c r="G160" t="str">
        <f t="shared" si="8"/>
        <v>PV</v>
      </c>
      <c r="H160" t="str">
        <f t="shared" si="8"/>
        <v>PV</v>
      </c>
      <c r="I160" t="str">
        <f t="shared" si="6"/>
        <v>CTS JD. MIRIAM|BLOCO 08|PV-25A|PV-27</v>
      </c>
      <c r="J160">
        <v>355</v>
      </c>
      <c r="K160" t="s">
        <v>61</v>
      </c>
      <c r="L160">
        <v>47.92</v>
      </c>
      <c r="M160">
        <v>2</v>
      </c>
    </row>
    <row r="161" spans="1:13" x14ac:dyDescent="0.3">
      <c r="A161" t="s">
        <v>175</v>
      </c>
      <c r="B161" t="s">
        <v>174</v>
      </c>
      <c r="C161" t="s">
        <v>201</v>
      </c>
      <c r="D161" t="s">
        <v>13</v>
      </c>
      <c r="E161" t="s">
        <v>222</v>
      </c>
      <c r="F161" t="s">
        <v>182</v>
      </c>
      <c r="G161" t="str">
        <f t="shared" si="8"/>
        <v>PV</v>
      </c>
      <c r="H161" t="str">
        <f t="shared" si="8"/>
        <v>PV</v>
      </c>
      <c r="I161" t="str">
        <f t="shared" si="6"/>
        <v>CTS JD. MIRIAM|BLOCO 08|PV-25A|PV-44</v>
      </c>
      <c r="J161">
        <v>355</v>
      </c>
      <c r="K161" t="s">
        <v>61</v>
      </c>
      <c r="L161">
        <v>24.38</v>
      </c>
      <c r="M161">
        <v>3</v>
      </c>
    </row>
    <row r="162" spans="1:13" x14ac:dyDescent="0.3">
      <c r="A162" t="s">
        <v>175</v>
      </c>
      <c r="B162" t="s">
        <v>174</v>
      </c>
      <c r="C162" t="s">
        <v>201</v>
      </c>
      <c r="D162" t="s">
        <v>13</v>
      </c>
      <c r="E162" t="s">
        <v>223</v>
      </c>
      <c r="F162" t="s">
        <v>224</v>
      </c>
      <c r="G162" t="str">
        <f t="shared" si="8"/>
        <v>PV</v>
      </c>
      <c r="H162" t="str">
        <f t="shared" si="8"/>
        <v>PI</v>
      </c>
      <c r="I162" t="str">
        <f t="shared" si="6"/>
        <v>CTS JD. MIRIAM|BLOCO 08|PV-44|PIE-44.1</v>
      </c>
      <c r="J162">
        <v>355</v>
      </c>
      <c r="K162" t="s">
        <v>61</v>
      </c>
      <c r="L162">
        <v>0</v>
      </c>
      <c r="M162">
        <v>4</v>
      </c>
    </row>
    <row r="163" spans="1:13" x14ac:dyDescent="0.3">
      <c r="A163" t="s">
        <v>175</v>
      </c>
      <c r="B163" t="s">
        <v>174</v>
      </c>
      <c r="C163" t="s">
        <v>201</v>
      </c>
      <c r="D163" t="s">
        <v>13</v>
      </c>
      <c r="E163" t="s">
        <v>225</v>
      </c>
      <c r="F163" t="s">
        <v>226</v>
      </c>
      <c r="G163" t="str">
        <f t="shared" si="8"/>
        <v>PV</v>
      </c>
      <c r="H163" t="str">
        <f t="shared" si="8"/>
        <v>PV</v>
      </c>
      <c r="I163" t="str">
        <f t="shared" si="6"/>
        <v>CTS JD. MIRIAM|BLOCO 08|PV-27|PV-27A</v>
      </c>
      <c r="J163">
        <v>355</v>
      </c>
      <c r="K163" t="s">
        <v>61</v>
      </c>
      <c r="L163">
        <v>0</v>
      </c>
      <c r="M163">
        <v>5</v>
      </c>
    </row>
    <row r="164" spans="1:13" x14ac:dyDescent="0.3">
      <c r="A164" t="s">
        <v>175</v>
      </c>
      <c r="B164" t="s">
        <v>174</v>
      </c>
      <c r="C164" t="s">
        <v>201</v>
      </c>
      <c r="D164" t="s">
        <v>13</v>
      </c>
      <c r="E164" t="s">
        <v>225</v>
      </c>
      <c r="F164" t="s">
        <v>208</v>
      </c>
      <c r="G164" t="str">
        <f t="shared" si="8"/>
        <v>PV</v>
      </c>
      <c r="H164" t="str">
        <f t="shared" si="8"/>
        <v>PV</v>
      </c>
      <c r="I164" t="str">
        <f t="shared" si="6"/>
        <v>CTS JD. MIRIAM|BLOCO 08|PV-27|PV-29</v>
      </c>
      <c r="J164">
        <v>355</v>
      </c>
      <c r="K164" t="s">
        <v>61</v>
      </c>
      <c r="L164">
        <v>39.5</v>
      </c>
      <c r="M164">
        <v>6</v>
      </c>
    </row>
    <row r="165" spans="1:13" x14ac:dyDescent="0.3">
      <c r="A165" t="s">
        <v>175</v>
      </c>
      <c r="B165" t="s">
        <v>174</v>
      </c>
      <c r="C165" t="s">
        <v>201</v>
      </c>
      <c r="D165" t="s">
        <v>13</v>
      </c>
      <c r="E165" t="s">
        <v>225</v>
      </c>
      <c r="F165" t="s">
        <v>227</v>
      </c>
      <c r="G165" t="str">
        <f t="shared" si="8"/>
        <v>PV</v>
      </c>
      <c r="H165" t="str">
        <f t="shared" si="8"/>
        <v>PV</v>
      </c>
      <c r="I165" t="str">
        <f t="shared" si="6"/>
        <v>CTS JD. MIRIAM|BLOCO 08|PV-27|PV-43</v>
      </c>
      <c r="J165">
        <v>355</v>
      </c>
      <c r="K165" t="s">
        <v>61</v>
      </c>
      <c r="L165">
        <v>14.88</v>
      </c>
      <c r="M165">
        <v>7</v>
      </c>
    </row>
    <row r="166" spans="1:13" x14ac:dyDescent="0.3">
      <c r="A166" t="s">
        <v>175</v>
      </c>
      <c r="B166" t="s">
        <v>174</v>
      </c>
      <c r="C166" t="s">
        <v>201</v>
      </c>
      <c r="D166" t="s">
        <v>13</v>
      </c>
      <c r="E166" t="s">
        <v>228</v>
      </c>
      <c r="F166" t="s">
        <v>209</v>
      </c>
      <c r="G166" t="str">
        <f t="shared" si="8"/>
        <v>PV</v>
      </c>
      <c r="H166" t="str">
        <f t="shared" si="8"/>
        <v>PVE</v>
      </c>
      <c r="I166" t="str">
        <f t="shared" si="6"/>
        <v>CTS JD. MIRIAM|BLOCO 08|PV-29|PVE-30</v>
      </c>
      <c r="J166">
        <v>300</v>
      </c>
      <c r="K166" t="s">
        <v>62</v>
      </c>
      <c r="L166">
        <v>0</v>
      </c>
      <c r="M166">
        <v>8</v>
      </c>
    </row>
    <row r="167" spans="1:13" x14ac:dyDescent="0.3">
      <c r="A167" t="s">
        <v>175</v>
      </c>
      <c r="B167" t="s">
        <v>174</v>
      </c>
      <c r="C167" t="s">
        <v>201</v>
      </c>
      <c r="D167" t="s">
        <v>13</v>
      </c>
      <c r="E167" t="s">
        <v>229</v>
      </c>
      <c r="F167" t="s">
        <v>210</v>
      </c>
      <c r="G167" t="str">
        <f t="shared" ref="G167:H180" si="9">IF(LEFT(E167,3)="PVE","PVE",IF(LEFT(E167,2)="PV","PV",IF(LEFT(E167,2)="PI","PI","OUTRO")))</f>
        <v>PVE</v>
      </c>
      <c r="H167" t="str">
        <f t="shared" si="9"/>
        <v>PVE</v>
      </c>
      <c r="I167" t="str">
        <f t="shared" si="6"/>
        <v>CTS JD. MIRIAM|BLOCO 08|PVE-30|PVE-05</v>
      </c>
      <c r="J167">
        <v>300</v>
      </c>
      <c r="K167" t="s">
        <v>62</v>
      </c>
      <c r="L167">
        <v>0</v>
      </c>
      <c r="M167">
        <v>9</v>
      </c>
    </row>
    <row r="168" spans="1:13" x14ac:dyDescent="0.3">
      <c r="A168" t="s">
        <v>175</v>
      </c>
      <c r="B168" t="s">
        <v>174</v>
      </c>
      <c r="C168" t="s">
        <v>201</v>
      </c>
      <c r="D168" t="s">
        <v>13</v>
      </c>
      <c r="E168" t="s">
        <v>210</v>
      </c>
      <c r="F168" t="s">
        <v>211</v>
      </c>
      <c r="G168" t="str">
        <f t="shared" si="9"/>
        <v>PVE</v>
      </c>
      <c r="H168" t="str">
        <f t="shared" si="9"/>
        <v>PVE</v>
      </c>
      <c r="I168" t="str">
        <f t="shared" si="6"/>
        <v>CTS JD. MIRIAM|BLOCO 08|PVE-05|PVE-06</v>
      </c>
      <c r="J168">
        <v>300</v>
      </c>
      <c r="K168" t="s">
        <v>62</v>
      </c>
      <c r="L168">
        <v>0</v>
      </c>
      <c r="M168">
        <v>10</v>
      </c>
    </row>
    <row r="169" spans="1:13" x14ac:dyDescent="0.3">
      <c r="A169" t="s">
        <v>175</v>
      </c>
      <c r="B169" t="s">
        <v>174</v>
      </c>
      <c r="C169" t="s">
        <v>201</v>
      </c>
      <c r="D169" t="s">
        <v>13</v>
      </c>
      <c r="E169" t="s">
        <v>211</v>
      </c>
      <c r="F169" t="s">
        <v>212</v>
      </c>
      <c r="G169" t="str">
        <f t="shared" si="9"/>
        <v>PVE</v>
      </c>
      <c r="H169" t="str">
        <f t="shared" si="9"/>
        <v>PVE</v>
      </c>
      <c r="I169" t="str">
        <f t="shared" si="6"/>
        <v>CTS JD. MIRIAM|BLOCO 08|PVE-06|PVE-07</v>
      </c>
      <c r="J169">
        <v>300</v>
      </c>
      <c r="K169" t="s">
        <v>62</v>
      </c>
      <c r="L169">
        <v>0</v>
      </c>
      <c r="M169">
        <v>11</v>
      </c>
    </row>
    <row r="170" spans="1:13" x14ac:dyDescent="0.3">
      <c r="A170" t="s">
        <v>175</v>
      </c>
      <c r="B170" t="s">
        <v>174</v>
      </c>
      <c r="C170" t="s">
        <v>201</v>
      </c>
      <c r="D170" t="s">
        <v>13</v>
      </c>
      <c r="E170" t="s">
        <v>230</v>
      </c>
      <c r="F170" t="s">
        <v>213</v>
      </c>
      <c r="G170" t="str">
        <f t="shared" si="9"/>
        <v>PVE</v>
      </c>
      <c r="H170" t="str">
        <f t="shared" si="9"/>
        <v>PVE</v>
      </c>
      <c r="I170" t="str">
        <f t="shared" si="6"/>
        <v>CTS JD. MIRIAM|BLOCO 08|PVE-07|PVE-08</v>
      </c>
      <c r="J170">
        <v>300</v>
      </c>
      <c r="K170" t="s">
        <v>62</v>
      </c>
      <c r="L170">
        <v>0</v>
      </c>
      <c r="M170">
        <v>12</v>
      </c>
    </row>
    <row r="171" spans="1:13" x14ac:dyDescent="0.3">
      <c r="A171" t="s">
        <v>175</v>
      </c>
      <c r="B171" t="s">
        <v>174</v>
      </c>
      <c r="C171" t="s">
        <v>202</v>
      </c>
      <c r="D171" t="s">
        <v>13</v>
      </c>
      <c r="E171" t="s">
        <v>213</v>
      </c>
      <c r="F171" t="s">
        <v>221</v>
      </c>
      <c r="G171" t="str">
        <f t="shared" si="9"/>
        <v>PVE</v>
      </c>
      <c r="H171" t="str">
        <f t="shared" si="9"/>
        <v>PV</v>
      </c>
      <c r="I171" t="str">
        <f t="shared" si="6"/>
        <v>CTS JD. MIRIAM|BLOCO 08|PVE-08|PV-47</v>
      </c>
      <c r="J171">
        <v>355</v>
      </c>
      <c r="K171" t="s">
        <v>61</v>
      </c>
      <c r="L171">
        <f>27.27</f>
        <v>27.27</v>
      </c>
      <c r="M171">
        <v>13</v>
      </c>
    </row>
    <row r="172" spans="1:13" x14ac:dyDescent="0.3">
      <c r="A172" t="s">
        <v>175</v>
      </c>
      <c r="B172" t="s">
        <v>174</v>
      </c>
      <c r="C172" t="s">
        <v>202</v>
      </c>
      <c r="D172" t="s">
        <v>13</v>
      </c>
      <c r="E172" t="s">
        <v>221</v>
      </c>
      <c r="F172" t="s">
        <v>214</v>
      </c>
      <c r="G172" t="str">
        <f t="shared" si="9"/>
        <v>PV</v>
      </c>
      <c r="H172" t="str">
        <f t="shared" si="9"/>
        <v>PV</v>
      </c>
      <c r="I172" t="str">
        <f t="shared" si="6"/>
        <v>CTS JD. MIRIAM|BLOCO 08|PV-47|PV-48</v>
      </c>
      <c r="J172">
        <v>355</v>
      </c>
      <c r="K172" t="s">
        <v>61</v>
      </c>
      <c r="L172">
        <f>56.42</f>
        <v>56.42</v>
      </c>
      <c r="M172">
        <v>14</v>
      </c>
    </row>
    <row r="173" spans="1:13" x14ac:dyDescent="0.3">
      <c r="A173" t="s">
        <v>175</v>
      </c>
      <c r="B173" t="s">
        <v>174</v>
      </c>
      <c r="C173" t="s">
        <v>202</v>
      </c>
      <c r="D173" t="s">
        <v>13</v>
      </c>
      <c r="E173" t="s">
        <v>214</v>
      </c>
      <c r="F173" t="s">
        <v>215</v>
      </c>
      <c r="G173" t="str">
        <f t="shared" si="9"/>
        <v>PV</v>
      </c>
      <c r="H173" t="str">
        <f t="shared" si="9"/>
        <v>PV</v>
      </c>
      <c r="I173" t="str">
        <f t="shared" si="6"/>
        <v>CTS JD. MIRIAM|BLOCO 08|PV-48|PV-49</v>
      </c>
      <c r="J173">
        <v>355</v>
      </c>
      <c r="K173" t="s">
        <v>61</v>
      </c>
      <c r="L173">
        <v>71.23</v>
      </c>
      <c r="M173">
        <v>15</v>
      </c>
    </row>
    <row r="174" spans="1:13" x14ac:dyDescent="0.3">
      <c r="A174" t="s">
        <v>175</v>
      </c>
      <c r="B174" t="s">
        <v>174</v>
      </c>
      <c r="C174" t="s">
        <v>202</v>
      </c>
      <c r="D174" t="s">
        <v>13</v>
      </c>
      <c r="E174" t="s">
        <v>215</v>
      </c>
      <c r="F174" t="s">
        <v>160</v>
      </c>
      <c r="G174" t="str">
        <f t="shared" si="9"/>
        <v>PV</v>
      </c>
      <c r="H174" t="str">
        <f t="shared" si="9"/>
        <v>PV</v>
      </c>
      <c r="I174" t="str">
        <f t="shared" si="6"/>
        <v>CTS JD. MIRIAM|BLOCO 08|PV-49|PV-50</v>
      </c>
      <c r="J174">
        <v>355</v>
      </c>
      <c r="K174" t="s">
        <v>61</v>
      </c>
      <c r="L174">
        <v>25.98</v>
      </c>
      <c r="M174">
        <v>16</v>
      </c>
    </row>
    <row r="175" spans="1:13" x14ac:dyDescent="0.3">
      <c r="A175" t="s">
        <v>175</v>
      </c>
      <c r="B175" t="s">
        <v>174</v>
      </c>
      <c r="C175" t="s">
        <v>203</v>
      </c>
      <c r="D175" t="s">
        <v>13</v>
      </c>
      <c r="E175" t="s">
        <v>215</v>
      </c>
      <c r="F175" t="s">
        <v>217</v>
      </c>
      <c r="G175" t="str">
        <f t="shared" si="9"/>
        <v>PV</v>
      </c>
      <c r="H175" t="str">
        <f t="shared" si="9"/>
        <v>PV</v>
      </c>
      <c r="I175" t="str">
        <f t="shared" si="6"/>
        <v>CTS JD. MIRIAM|BLOCO 08|PV-49|PV-49A</v>
      </c>
      <c r="J175">
        <v>355</v>
      </c>
      <c r="K175" t="s">
        <v>61</v>
      </c>
      <c r="L175">
        <v>30.79</v>
      </c>
      <c r="M175">
        <v>17</v>
      </c>
    </row>
    <row r="176" spans="1:13" x14ac:dyDescent="0.3">
      <c r="A176" t="s">
        <v>175</v>
      </c>
      <c r="B176" t="s">
        <v>174</v>
      </c>
      <c r="C176" t="s">
        <v>204</v>
      </c>
      <c r="D176" t="s">
        <v>205</v>
      </c>
      <c r="E176" t="s">
        <v>231</v>
      </c>
      <c r="F176" t="s">
        <v>217</v>
      </c>
      <c r="G176" t="str">
        <f t="shared" si="9"/>
        <v>PI</v>
      </c>
      <c r="H176" t="str">
        <f t="shared" si="9"/>
        <v>PV</v>
      </c>
      <c r="I176" t="str">
        <f t="shared" si="6"/>
        <v>CTS JD. MIRIAM|BLOCO 08|PIE-07|PV-49A</v>
      </c>
      <c r="J176">
        <v>300</v>
      </c>
      <c r="K176" t="s">
        <v>62</v>
      </c>
      <c r="L176">
        <v>0</v>
      </c>
      <c r="M176">
        <v>18</v>
      </c>
    </row>
    <row r="177" spans="1:13" x14ac:dyDescent="0.3">
      <c r="A177" t="s">
        <v>175</v>
      </c>
      <c r="B177" t="s">
        <v>174</v>
      </c>
      <c r="C177" t="s">
        <v>204</v>
      </c>
      <c r="D177" t="s">
        <v>205</v>
      </c>
      <c r="E177" t="s">
        <v>217</v>
      </c>
      <c r="F177" t="s">
        <v>219</v>
      </c>
      <c r="G177" t="str">
        <f t="shared" si="9"/>
        <v>PV</v>
      </c>
      <c r="H177" t="str">
        <f t="shared" si="9"/>
        <v>PI</v>
      </c>
      <c r="I177" t="str">
        <f t="shared" si="6"/>
        <v>CTS JD. MIRIAM|BLOCO 08|PV-49A|PIE-05</v>
      </c>
      <c r="J177">
        <v>300</v>
      </c>
      <c r="K177" t="s">
        <v>62</v>
      </c>
      <c r="L177">
        <v>0</v>
      </c>
      <c r="M177">
        <v>19</v>
      </c>
    </row>
    <row r="178" spans="1:13" x14ac:dyDescent="0.3">
      <c r="A178" t="s">
        <v>175</v>
      </c>
      <c r="B178" t="s">
        <v>174</v>
      </c>
      <c r="C178" t="s">
        <v>204</v>
      </c>
      <c r="D178" t="s">
        <v>205</v>
      </c>
      <c r="E178" t="s">
        <v>232</v>
      </c>
      <c r="F178" t="s">
        <v>218</v>
      </c>
      <c r="G178" t="str">
        <f t="shared" si="9"/>
        <v>PI</v>
      </c>
      <c r="H178" t="str">
        <f t="shared" si="9"/>
        <v>PI</v>
      </c>
      <c r="I178" t="str">
        <f t="shared" si="6"/>
        <v>CTS JD. MIRIAM|BLOCO 08|PIE-05|PIE-08</v>
      </c>
      <c r="J178">
        <v>300</v>
      </c>
      <c r="K178" t="s">
        <v>62</v>
      </c>
      <c r="L178">
        <v>0</v>
      </c>
      <c r="M178">
        <v>20</v>
      </c>
    </row>
    <row r="179" spans="1:13" x14ac:dyDescent="0.3">
      <c r="A179" t="s">
        <v>175</v>
      </c>
      <c r="B179" t="s">
        <v>174</v>
      </c>
      <c r="C179" t="s">
        <v>204</v>
      </c>
      <c r="D179" t="s">
        <v>205</v>
      </c>
      <c r="E179" t="s">
        <v>216</v>
      </c>
      <c r="F179" t="s">
        <v>218</v>
      </c>
      <c r="G179" t="str">
        <f t="shared" si="9"/>
        <v>PI</v>
      </c>
      <c r="H179" t="str">
        <f t="shared" si="9"/>
        <v>PI</v>
      </c>
      <c r="I179" t="str">
        <f t="shared" si="6"/>
        <v>CTS JD. MIRIAM|BLOCO 08|PIE-07|PIE-08</v>
      </c>
      <c r="J179">
        <v>300</v>
      </c>
      <c r="K179" t="s">
        <v>62</v>
      </c>
      <c r="L179">
        <v>0</v>
      </c>
      <c r="M179">
        <v>21</v>
      </c>
    </row>
    <row r="180" spans="1:13" x14ac:dyDescent="0.3">
      <c r="A180" t="s">
        <v>175</v>
      </c>
      <c r="B180" t="s">
        <v>174</v>
      </c>
      <c r="C180" t="s">
        <v>204</v>
      </c>
      <c r="D180" t="s">
        <v>205</v>
      </c>
      <c r="E180" t="s">
        <v>218</v>
      </c>
      <c r="F180" t="s">
        <v>233</v>
      </c>
      <c r="G180" t="str">
        <f t="shared" si="9"/>
        <v>PI</v>
      </c>
      <c r="H180" t="str">
        <f t="shared" si="9"/>
        <v>PI</v>
      </c>
      <c r="I180" t="str">
        <f t="shared" si="6"/>
        <v>CTS JD. MIRIAM|BLOCO 08|PIE-08|PIE-09</v>
      </c>
      <c r="J180">
        <v>300</v>
      </c>
      <c r="K180" t="s">
        <v>62</v>
      </c>
      <c r="L180">
        <v>0</v>
      </c>
      <c r="M180">
        <v>22</v>
      </c>
    </row>
    <row r="181" spans="1:13" x14ac:dyDescent="0.3">
      <c r="A181" t="s">
        <v>175</v>
      </c>
      <c r="B181" t="s">
        <v>234</v>
      </c>
      <c r="C181" t="s">
        <v>235</v>
      </c>
      <c r="D181" t="s">
        <v>13</v>
      </c>
      <c r="E181" t="s">
        <v>215</v>
      </c>
      <c r="F181" t="s">
        <v>160</v>
      </c>
      <c r="I181" t="str">
        <f t="shared" si="6"/>
        <v>CTS JD. MIRIAM|BLOCO 09|PV-49|PV-50</v>
      </c>
      <c r="J181">
        <v>355</v>
      </c>
      <c r="K181" t="s">
        <v>61</v>
      </c>
    </row>
    <row r="182" spans="1:13" x14ac:dyDescent="0.3">
      <c r="A182" t="s">
        <v>175</v>
      </c>
      <c r="B182" t="s">
        <v>234</v>
      </c>
      <c r="C182" t="s">
        <v>235</v>
      </c>
      <c r="D182" t="s">
        <v>13</v>
      </c>
      <c r="E182" t="s">
        <v>160</v>
      </c>
      <c r="F182" t="s">
        <v>249</v>
      </c>
      <c r="I182" t="str">
        <f t="shared" si="6"/>
        <v>CTS JD. MIRIAM|BLOCO 09|PV-50|PV-51</v>
      </c>
      <c r="J182">
        <v>355</v>
      </c>
      <c r="K182" t="s">
        <v>61</v>
      </c>
    </row>
    <row r="183" spans="1:13" x14ac:dyDescent="0.3">
      <c r="A183" t="s">
        <v>175</v>
      </c>
      <c r="B183" t="s">
        <v>234</v>
      </c>
      <c r="C183" t="s">
        <v>236</v>
      </c>
      <c r="D183" t="s">
        <v>13</v>
      </c>
      <c r="E183" t="s">
        <v>250</v>
      </c>
      <c r="F183" t="s">
        <v>251</v>
      </c>
      <c r="I183" t="str">
        <f t="shared" si="6"/>
        <v>CTS JD. MIRIAM|BLOCO 09|PV-51|PV-52</v>
      </c>
      <c r="J183">
        <v>355</v>
      </c>
      <c r="K183" t="s">
        <v>61</v>
      </c>
    </row>
    <row r="184" spans="1:13" x14ac:dyDescent="0.3">
      <c r="A184" t="s">
        <v>175</v>
      </c>
      <c r="B184" t="s">
        <v>234</v>
      </c>
      <c r="C184" t="s">
        <v>237</v>
      </c>
      <c r="D184" t="s">
        <v>13</v>
      </c>
      <c r="E184" t="s">
        <v>252</v>
      </c>
      <c r="F184" t="s">
        <v>253</v>
      </c>
      <c r="I184" t="str">
        <f t="shared" si="6"/>
        <v>CTS JD. MIRIAM|BLOCO 09|PV-52|PV-54</v>
      </c>
      <c r="J184">
        <v>355</v>
      </c>
      <c r="K184" t="s">
        <v>61</v>
      </c>
    </row>
    <row r="185" spans="1:13" x14ac:dyDescent="0.3">
      <c r="A185" t="s">
        <v>175</v>
      </c>
      <c r="B185" t="s">
        <v>234</v>
      </c>
      <c r="C185" t="s">
        <v>237</v>
      </c>
      <c r="D185" t="s">
        <v>41</v>
      </c>
      <c r="E185" t="s">
        <v>254</v>
      </c>
      <c r="F185" t="s">
        <v>255</v>
      </c>
      <c r="I185" t="str">
        <f t="shared" si="6"/>
        <v>CTS JD. MIRIAM|BLOCO 09|PV-54|PVE-64</v>
      </c>
      <c r="J185">
        <v>200</v>
      </c>
      <c r="K185" t="s">
        <v>62</v>
      </c>
    </row>
    <row r="186" spans="1:13" x14ac:dyDescent="0.3">
      <c r="A186" t="s">
        <v>175</v>
      </c>
      <c r="B186" t="s">
        <v>234</v>
      </c>
      <c r="C186" t="s">
        <v>238</v>
      </c>
      <c r="D186" t="s">
        <v>13</v>
      </c>
      <c r="E186" t="s">
        <v>253</v>
      </c>
      <c r="F186" t="s">
        <v>256</v>
      </c>
      <c r="I186" t="str">
        <f t="shared" si="6"/>
        <v>CTS JD. MIRIAM|BLOCO 09|PV-54|PV-54.1</v>
      </c>
      <c r="J186">
        <v>355</v>
      </c>
      <c r="K186" t="s">
        <v>61</v>
      </c>
    </row>
    <row r="187" spans="1:13" x14ac:dyDescent="0.3">
      <c r="A187" t="s">
        <v>175</v>
      </c>
      <c r="B187" t="s">
        <v>234</v>
      </c>
      <c r="C187" t="s">
        <v>238</v>
      </c>
      <c r="D187" t="s">
        <v>13</v>
      </c>
      <c r="E187" t="s">
        <v>256</v>
      </c>
      <c r="F187" t="s">
        <v>257</v>
      </c>
      <c r="I187" t="str">
        <f t="shared" si="6"/>
        <v>CTS JD. MIRIAM|BLOCO 09|PV-54.1|PV-56</v>
      </c>
      <c r="J187">
        <v>355</v>
      </c>
      <c r="K187" t="s">
        <v>61</v>
      </c>
    </row>
    <row r="188" spans="1:13" x14ac:dyDescent="0.3">
      <c r="A188" t="s">
        <v>175</v>
      </c>
      <c r="B188" t="s">
        <v>234</v>
      </c>
      <c r="C188" t="s">
        <v>238</v>
      </c>
      <c r="D188" t="s">
        <v>41</v>
      </c>
      <c r="E188" t="s">
        <v>258</v>
      </c>
      <c r="F188" t="s">
        <v>259</v>
      </c>
      <c r="I188" t="str">
        <f t="shared" si="6"/>
        <v>CTS JD. MIRIAM|BLOCO 09|PV-56|PV-57</v>
      </c>
      <c r="J188">
        <v>300</v>
      </c>
      <c r="K188" t="s">
        <v>62</v>
      </c>
    </row>
    <row r="189" spans="1:13" x14ac:dyDescent="0.3">
      <c r="A189" t="s">
        <v>175</v>
      </c>
      <c r="B189" t="s">
        <v>234</v>
      </c>
      <c r="C189" t="s">
        <v>238</v>
      </c>
      <c r="D189" t="s">
        <v>41</v>
      </c>
      <c r="E189" t="s">
        <v>260</v>
      </c>
      <c r="F189" t="s">
        <v>261</v>
      </c>
      <c r="I189" t="str">
        <f t="shared" si="6"/>
        <v>CTS JD. MIRIAM|BLOCO 09|PI-57|PV-59</v>
      </c>
      <c r="J189">
        <v>300</v>
      </c>
      <c r="K189" t="s">
        <v>62</v>
      </c>
    </row>
    <row r="190" spans="1:13" x14ac:dyDescent="0.3">
      <c r="A190" t="s">
        <v>175</v>
      </c>
      <c r="B190" t="s">
        <v>234</v>
      </c>
      <c r="C190" t="s">
        <v>238</v>
      </c>
      <c r="D190" t="s">
        <v>41</v>
      </c>
      <c r="E190" t="s">
        <v>262</v>
      </c>
      <c r="F190" t="s">
        <v>263</v>
      </c>
      <c r="I190" t="str">
        <f t="shared" si="6"/>
        <v>CTS JD. MIRIAM|BLOCO 09|PV-59|PVE-60</v>
      </c>
      <c r="J190">
        <v>300</v>
      </c>
      <c r="K190" t="s">
        <v>62</v>
      </c>
    </row>
    <row r="191" spans="1:13" x14ac:dyDescent="0.3">
      <c r="A191" t="s">
        <v>175</v>
      </c>
      <c r="B191" t="s">
        <v>234</v>
      </c>
      <c r="C191" t="s">
        <v>237</v>
      </c>
      <c r="D191" t="s">
        <v>41</v>
      </c>
      <c r="E191" t="s">
        <v>251</v>
      </c>
      <c r="F191" t="s">
        <v>264</v>
      </c>
      <c r="I191" t="str">
        <f t="shared" si="6"/>
        <v>CTS JD. MIRIAM|BLOCO 09|PV-52|PI-53</v>
      </c>
      <c r="J191">
        <v>200</v>
      </c>
      <c r="K191" t="s">
        <v>62</v>
      </c>
    </row>
    <row r="192" spans="1:13" x14ac:dyDescent="0.3">
      <c r="A192" t="s">
        <v>175</v>
      </c>
      <c r="B192" t="s">
        <v>234</v>
      </c>
      <c r="C192" t="s">
        <v>237</v>
      </c>
      <c r="D192" t="s">
        <v>41</v>
      </c>
      <c r="E192" t="s">
        <v>265</v>
      </c>
      <c r="F192" t="s">
        <v>266</v>
      </c>
      <c r="I192" t="str">
        <f t="shared" si="6"/>
        <v>CTS JD. MIRIAM|BLOCO 09|PI-53|PI-53.1</v>
      </c>
      <c r="J192">
        <v>200</v>
      </c>
      <c r="K192" t="s">
        <v>62</v>
      </c>
    </row>
    <row r="193" spans="1:11" x14ac:dyDescent="0.3">
      <c r="A193" t="s">
        <v>175</v>
      </c>
      <c r="B193" t="s">
        <v>234</v>
      </c>
      <c r="C193" t="s">
        <v>237</v>
      </c>
      <c r="D193" t="s">
        <v>41</v>
      </c>
      <c r="E193" t="s">
        <v>267</v>
      </c>
      <c r="F193" t="s">
        <v>268</v>
      </c>
      <c r="I193" t="str">
        <f t="shared" si="6"/>
        <v>CTS JD. MIRIAM|BLOCO 09|PI-53.1|PI-53.2</v>
      </c>
      <c r="J193">
        <v>200</v>
      </c>
      <c r="K193" t="s">
        <v>62</v>
      </c>
    </row>
    <row r="194" spans="1:11" x14ac:dyDescent="0.3">
      <c r="A194" t="s">
        <v>175</v>
      </c>
      <c r="B194" t="s">
        <v>234</v>
      </c>
      <c r="C194" t="s">
        <v>237</v>
      </c>
      <c r="D194" t="s">
        <v>41</v>
      </c>
      <c r="E194" t="s">
        <v>240</v>
      </c>
      <c r="I194" t="str">
        <f t="shared" si="6"/>
        <v>CTS JD. MIRIAM|BLOCO 09|PI-53.2 - PV-55|</v>
      </c>
      <c r="J194">
        <v>200</v>
      </c>
      <c r="K194" t="s">
        <v>62</v>
      </c>
    </row>
    <row r="195" spans="1:11" x14ac:dyDescent="0.3">
      <c r="A195" t="s">
        <v>175</v>
      </c>
      <c r="B195" t="s">
        <v>234</v>
      </c>
      <c r="C195" t="s">
        <v>237</v>
      </c>
      <c r="D195" t="s">
        <v>41</v>
      </c>
      <c r="E195" t="s">
        <v>241</v>
      </c>
      <c r="I195" t="str">
        <f t="shared" ref="I195:I202" si="10">UPPER(TRIM(A195))&amp;"|"&amp;UPPER(TRIM(B195))&amp;"|"&amp;UPPER(TRIM(E195))&amp;"|"&amp;UPPER(TRIM(F195))</f>
        <v>CTS JD. MIRIAM|BLOCO 09|PV-55 - PI-55.1|</v>
      </c>
      <c r="J195">
        <v>200</v>
      </c>
      <c r="K195" t="s">
        <v>62</v>
      </c>
    </row>
    <row r="196" spans="1:11" x14ac:dyDescent="0.3">
      <c r="A196" t="s">
        <v>175</v>
      </c>
      <c r="B196" t="s">
        <v>234</v>
      </c>
      <c r="C196" t="s">
        <v>237</v>
      </c>
      <c r="D196" t="s">
        <v>41</v>
      </c>
      <c r="E196" t="s">
        <v>242</v>
      </c>
      <c r="I196" t="str">
        <f t="shared" si="10"/>
        <v>CTS JD. MIRIAM|BLOCO 09|PI-55.1 - PI-55.2|</v>
      </c>
      <c r="J196">
        <v>200</v>
      </c>
      <c r="K196" t="s">
        <v>62</v>
      </c>
    </row>
    <row r="197" spans="1:11" x14ac:dyDescent="0.3">
      <c r="A197" t="s">
        <v>175</v>
      </c>
      <c r="B197" t="s">
        <v>234</v>
      </c>
      <c r="C197" t="s">
        <v>237</v>
      </c>
      <c r="D197" t="s">
        <v>41</v>
      </c>
      <c r="E197" t="s">
        <v>243</v>
      </c>
      <c r="I197" t="str">
        <f t="shared" si="10"/>
        <v>CTS JD. MIRIAM|BLOCO 09|PI-55.2 - PI-55.3|</v>
      </c>
      <c r="J197">
        <v>200</v>
      </c>
      <c r="K197" t="s">
        <v>62</v>
      </c>
    </row>
    <row r="198" spans="1:11" x14ac:dyDescent="0.3">
      <c r="A198" t="s">
        <v>175</v>
      </c>
      <c r="B198" t="s">
        <v>234</v>
      </c>
      <c r="C198" t="s">
        <v>236</v>
      </c>
      <c r="D198" t="s">
        <v>41</v>
      </c>
      <c r="E198" t="s">
        <v>244</v>
      </c>
      <c r="I198" t="str">
        <f t="shared" si="10"/>
        <v>CTS JD. MIRIAM|BLOCO 09|PV-55 - PI-55.4|</v>
      </c>
      <c r="J198">
        <v>200</v>
      </c>
      <c r="K198" t="s">
        <v>62</v>
      </c>
    </row>
    <row r="199" spans="1:11" x14ac:dyDescent="0.3">
      <c r="A199" t="s">
        <v>175</v>
      </c>
      <c r="B199" t="s">
        <v>234</v>
      </c>
      <c r="C199" t="s">
        <v>236</v>
      </c>
      <c r="D199" t="s">
        <v>41</v>
      </c>
      <c r="E199" t="s">
        <v>245</v>
      </c>
      <c r="I199" t="str">
        <f t="shared" si="10"/>
        <v>CTS JD. MIRIAM|BLOCO 09|PI-55.4 - PI-55.5|</v>
      </c>
      <c r="J199">
        <v>200</v>
      </c>
      <c r="K199" t="s">
        <v>62</v>
      </c>
    </row>
    <row r="200" spans="1:11" x14ac:dyDescent="0.3">
      <c r="A200" t="s">
        <v>175</v>
      </c>
      <c r="B200" t="s">
        <v>234</v>
      </c>
      <c r="C200" t="s">
        <v>239</v>
      </c>
      <c r="D200" t="s">
        <v>41</v>
      </c>
      <c r="E200" t="s">
        <v>246</v>
      </c>
      <c r="I200" t="str">
        <f t="shared" si="10"/>
        <v>CTS JD. MIRIAM|BLOCO 09|PV-52 - PI-61|</v>
      </c>
      <c r="J200">
        <v>200</v>
      </c>
      <c r="K200" t="s">
        <v>62</v>
      </c>
    </row>
    <row r="201" spans="1:11" x14ac:dyDescent="0.3">
      <c r="A201" t="s">
        <v>175</v>
      </c>
      <c r="B201" t="s">
        <v>234</v>
      </c>
      <c r="C201" t="s">
        <v>239</v>
      </c>
      <c r="D201" t="s">
        <v>41</v>
      </c>
      <c r="E201" t="s">
        <v>247</v>
      </c>
      <c r="I201" t="str">
        <f t="shared" si="10"/>
        <v>CTS JD. MIRIAM|BLOCO 09|PI-61 - PI-62|</v>
      </c>
      <c r="J201">
        <v>200</v>
      </c>
      <c r="K201" t="s">
        <v>62</v>
      </c>
    </row>
    <row r="202" spans="1:11" x14ac:dyDescent="0.3">
      <c r="A202" t="s">
        <v>175</v>
      </c>
      <c r="B202" t="s">
        <v>234</v>
      </c>
      <c r="C202" t="s">
        <v>238</v>
      </c>
      <c r="D202" t="s">
        <v>41</v>
      </c>
      <c r="E202" t="s">
        <v>248</v>
      </c>
      <c r="I202" t="str">
        <f t="shared" si="10"/>
        <v>CTS JD. MIRIAM|BLOCO 09|PVE-64 - PI-64|</v>
      </c>
      <c r="J202">
        <v>200</v>
      </c>
      <c r="K202" t="s">
        <v>62</v>
      </c>
    </row>
  </sheetData>
  <autoFilter ref="A1:M115" xr:uid="{00000000-0001-0000-0000-000000000000}">
    <sortState xmlns:xlrd2="http://schemas.microsoft.com/office/spreadsheetml/2017/richdata2" ref="A2:M83">
      <sortCondition ref="B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rede_ordenada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2026-03-30T16:24:29Z</dcterms:created>
  <dcterms:modified xsi:type="dcterms:W3CDTF">2026-04-08T11:18:11Z</dcterms:modified>
</cp:coreProperties>
</file>