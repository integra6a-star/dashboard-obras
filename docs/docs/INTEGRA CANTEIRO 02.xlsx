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docs\"/>
    </mc:Choice>
  </mc:AlternateContent>
  <xr:revisionPtr revIDLastSave="0" documentId="13_ncr:1_{DB5FD0EC-5836-4F5C-A775-1849907433DD}" xr6:coauthVersionLast="47" xr6:coauthVersionMax="47" xr10:uidLastSave="{00000000-0000-0000-0000-000000000000}"/>
  <bookViews>
    <workbookView xWindow="-28920" yWindow="-120" windowWidth="29040" windowHeight="15720" tabRatio="722" activeTab="1" xr2:uid="{00000000-000D-0000-FFFF-FFFF00000000}"/>
  </bookViews>
  <sheets>
    <sheet name="Instruções" sheetId="9" r:id="rId1"/>
    <sheet name="Produtos" sheetId="3" r:id="rId2"/>
    <sheet name="Movimentos" sheetId="5" r:id="rId3"/>
    <sheet name="Resumo" sheetId="8" r:id="rId4"/>
  </sheets>
  <definedNames>
    <definedName name="_xlnm._FilterDatabase" localSheetId="2" hidden="1">Movimentos!$B$3:$F$3</definedName>
    <definedName name="_xlnm._FilterDatabase" localSheetId="1" hidden="1">Produtos!$B$3:$E$3</definedName>
    <definedName name="_xlnm.Print_Area" localSheetId="3">Resumo!$A$1:$M$45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3" i="5" l="1"/>
  <c r="E825" i="5"/>
  <c r="E4" i="3"/>
  <c r="E446" i="5" l="1"/>
  <c r="E344" i="5" l="1"/>
  <c r="E280" i="5" l="1"/>
  <c r="E184" i="5" l="1"/>
  <c r="E108" i="5" l="1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57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36" i="5"/>
  <c r="E14" i="5"/>
  <c r="A6" i="5"/>
  <c r="E6" i="5"/>
  <c r="E7" i="3"/>
  <c r="E8" i="3"/>
  <c r="E9" i="3"/>
  <c r="E10" i="3"/>
  <c r="E11" i="3"/>
  <c r="E12" i="3"/>
  <c r="E13" i="3"/>
  <c r="E14" i="3"/>
  <c r="E15" i="3"/>
  <c r="E16" i="3"/>
  <c r="E17" i="3"/>
  <c r="E11" i="5"/>
  <c r="E5" i="5"/>
  <c r="E7" i="5"/>
  <c r="E8" i="5"/>
  <c r="E9" i="5"/>
  <c r="E10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4" i="5"/>
  <c r="E180" i="5"/>
  <c r="E181" i="5"/>
  <c r="E182" i="5"/>
  <c r="E183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95" i="3" l="1"/>
  <c r="E96" i="3"/>
  <c r="F96" i="3" s="1"/>
  <c r="A96" i="3" s="1"/>
  <c r="E97" i="3"/>
  <c r="F97" i="3" s="1"/>
  <c r="A97" i="3" s="1"/>
  <c r="E87" i="3"/>
  <c r="E89" i="3"/>
  <c r="F89" i="3" s="1"/>
  <c r="A89" i="3" s="1"/>
  <c r="E90" i="3"/>
  <c r="E91" i="3"/>
  <c r="F91" i="3" s="1"/>
  <c r="A91" i="3" s="1"/>
  <c r="E93" i="3"/>
  <c r="E94" i="3"/>
  <c r="E92" i="3"/>
  <c r="E80" i="3"/>
  <c r="E81" i="3"/>
  <c r="F81" i="3" s="1"/>
  <c r="A81" i="3" s="1"/>
  <c r="E82" i="3"/>
  <c r="F82" i="3" s="1"/>
  <c r="A82" i="3" s="1"/>
  <c r="E83" i="3"/>
  <c r="E84" i="3"/>
  <c r="F84" i="3" s="1"/>
  <c r="A84" i="3" s="1"/>
  <c r="E85" i="3"/>
  <c r="F85" i="3" s="1"/>
  <c r="A85" i="3" s="1"/>
  <c r="E86" i="3"/>
  <c r="E79" i="3"/>
  <c r="F79" i="3" s="1"/>
  <c r="A79" i="3" s="1"/>
  <c r="E78" i="3"/>
  <c r="F78" i="3" s="1"/>
  <c r="A78" i="3" s="1"/>
  <c r="E77" i="3"/>
  <c r="F77" i="3" s="1"/>
  <c r="A77" i="3" s="1"/>
  <c r="E35" i="3"/>
  <c r="F35" i="3" s="1"/>
  <c r="A35" i="3" s="1"/>
  <c r="E25" i="3"/>
  <c r="F25" i="3" s="1"/>
  <c r="A25" i="3" s="1"/>
  <c r="E23" i="3"/>
  <c r="F23" i="3" s="1"/>
  <c r="A23" i="3" s="1"/>
  <c r="E22" i="3"/>
  <c r="F22" i="3" s="1"/>
  <c r="A22" i="3" s="1"/>
  <c r="E21" i="3"/>
  <c r="F21" i="3" s="1"/>
  <c r="A21" i="3" s="1"/>
  <c r="E66" i="3"/>
  <c r="F66" i="3" s="1"/>
  <c r="A66" i="3" s="1"/>
  <c r="E67" i="3"/>
  <c r="E68" i="3"/>
  <c r="F68" i="3" s="1"/>
  <c r="A68" i="3" s="1"/>
  <c r="E69" i="3"/>
  <c r="F69" i="3" s="1"/>
  <c r="A69" i="3" s="1"/>
  <c r="E70" i="3"/>
  <c r="E71" i="3"/>
  <c r="F71" i="3" s="1"/>
  <c r="A71" i="3" s="1"/>
  <c r="E72" i="3"/>
  <c r="F72" i="3" s="1"/>
  <c r="A72" i="3" s="1"/>
  <c r="E73" i="3"/>
  <c r="E74" i="3"/>
  <c r="F74" i="3" s="1"/>
  <c r="A74" i="3" s="1"/>
  <c r="E75" i="3"/>
  <c r="F75" i="3" s="1"/>
  <c r="A75" i="3" s="1"/>
  <c r="E76" i="3"/>
  <c r="E65" i="3"/>
  <c r="F28" i="8"/>
  <c r="E61" i="3"/>
  <c r="E57" i="3"/>
  <c r="E56" i="3"/>
  <c r="E55" i="3"/>
  <c r="E54" i="3"/>
  <c r="E53" i="3"/>
  <c r="E51" i="3"/>
  <c r="E50" i="3"/>
  <c r="E48" i="3"/>
  <c r="E47" i="3"/>
  <c r="E46" i="3"/>
  <c r="E45" i="3"/>
  <c r="E43" i="3"/>
  <c r="F43" i="3" s="1"/>
  <c r="A43" i="3" s="1"/>
  <c r="E41" i="3"/>
  <c r="F41" i="3" s="1"/>
  <c r="A41" i="3" s="1"/>
  <c r="E39" i="3"/>
  <c r="E38" i="3"/>
  <c r="F38" i="3" s="1"/>
  <c r="A38" i="3" s="1"/>
  <c r="E37" i="3"/>
  <c r="F37" i="3" s="1"/>
  <c r="A37" i="3" s="1"/>
  <c r="E27" i="3"/>
  <c r="F27" i="3" s="1"/>
  <c r="A27" i="3" s="1"/>
  <c r="E26" i="3"/>
  <c r="F26" i="3" s="1"/>
  <c r="A26" i="3" s="1"/>
  <c r="E24" i="3"/>
  <c r="F24" i="3" s="1"/>
  <c r="A24" i="3" s="1"/>
  <c r="E20" i="3"/>
  <c r="F20" i="3" s="1"/>
  <c r="A20" i="3" s="1"/>
  <c r="E19" i="3"/>
  <c r="F19" i="3" s="1"/>
  <c r="A19" i="3" s="1"/>
  <c r="F17" i="3"/>
  <c r="A17" i="3" s="1"/>
  <c r="E18" i="3"/>
  <c r="F18" i="3" s="1"/>
  <c r="A18" i="3" s="1"/>
  <c r="F16" i="3"/>
  <c r="A16" i="3" s="1"/>
  <c r="F15" i="3"/>
  <c r="A15" i="3" s="1"/>
  <c r="F13" i="3"/>
  <c r="A13" i="3" s="1"/>
  <c r="F11" i="3"/>
  <c r="A11" i="3" s="1"/>
  <c r="F10" i="3"/>
  <c r="A10" i="3" s="1"/>
  <c r="F8" i="3"/>
  <c r="A8" i="3" s="1"/>
  <c r="E6" i="3"/>
  <c r="F6" i="3" s="1"/>
  <c r="A6" i="3" s="1"/>
  <c r="E32" i="3"/>
  <c r="F32" i="3" s="1"/>
  <c r="A32" i="3" s="1"/>
  <c r="E30" i="3"/>
  <c r="F30" i="3" s="1"/>
  <c r="A30" i="3" s="1"/>
  <c r="E31" i="3"/>
  <c r="F31" i="3" s="1"/>
  <c r="A31" i="3" s="1"/>
  <c r="E29" i="3"/>
  <c r="F29" i="3" s="1"/>
  <c r="A29" i="3" s="1"/>
  <c r="E28" i="3"/>
  <c r="F28" i="3" s="1"/>
  <c r="A28" i="3" s="1"/>
  <c r="E33" i="3"/>
  <c r="F33" i="3" s="1"/>
  <c r="A33" i="3" s="1"/>
  <c r="E34" i="3"/>
  <c r="F34" i="3" s="1"/>
  <c r="A34" i="3" s="1"/>
  <c r="E36" i="3"/>
  <c r="F36" i="3" s="1"/>
  <c r="A36" i="3" s="1"/>
  <c r="E40" i="3"/>
  <c r="F40" i="3" s="1"/>
  <c r="A40" i="3" s="1"/>
  <c r="E42" i="3"/>
  <c r="F42" i="3" s="1"/>
  <c r="A42" i="3" s="1"/>
  <c r="E44" i="3"/>
  <c r="F44" i="3"/>
  <c r="A44" i="3" s="1"/>
  <c r="E52" i="3"/>
  <c r="F52" i="3" s="1"/>
  <c r="A52" i="3" s="1"/>
  <c r="E60" i="3"/>
  <c r="F60" i="3" s="1"/>
  <c r="A60" i="3" s="1"/>
  <c r="E63" i="3"/>
  <c r="F63" i="3" s="1"/>
  <c r="A63" i="3" s="1"/>
  <c r="E62" i="3"/>
  <c r="F62" i="3" s="1"/>
  <c r="A62" i="3" s="1"/>
  <c r="E59" i="3"/>
  <c r="F59" i="3"/>
  <c r="A59" i="3" s="1"/>
  <c r="E64" i="3"/>
  <c r="F64" i="3" s="1"/>
  <c r="A64" i="3" s="1"/>
  <c r="E58" i="3"/>
  <c r="F58" i="3" s="1"/>
  <c r="A58" i="3" s="1"/>
  <c r="F9" i="3"/>
  <c r="A9" i="3" s="1"/>
  <c r="F12" i="3"/>
  <c r="A12" i="3" s="1"/>
  <c r="A54" i="5"/>
  <c r="E49" i="3"/>
  <c r="F49" i="3" s="1"/>
  <c r="A49" i="3" s="1"/>
  <c r="F14" i="3"/>
  <c r="A14" i="3" s="1"/>
  <c r="F7" i="3"/>
  <c r="A7" i="3" s="1"/>
  <c r="A9" i="5"/>
  <c r="F4" i="3"/>
  <c r="A4" i="3" s="1"/>
  <c r="A8" i="5"/>
  <c r="A4" i="5"/>
  <c r="A5" i="5"/>
  <c r="A7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A5407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A5501" i="5"/>
  <c r="A5502" i="5"/>
  <c r="A5503" i="5"/>
  <c r="A5504" i="5"/>
  <c r="A5505" i="5"/>
  <c r="A5506" i="5"/>
  <c r="A5507" i="5"/>
  <c r="A5508" i="5"/>
  <c r="A5509" i="5"/>
  <c r="A5510" i="5"/>
  <c r="A5511" i="5"/>
  <c r="A5512" i="5"/>
  <c r="A5513" i="5"/>
  <c r="A5514" i="5"/>
  <c r="A5515" i="5"/>
  <c r="A5516" i="5"/>
  <c r="A5517" i="5"/>
  <c r="A5518" i="5"/>
  <c r="A5519" i="5"/>
  <c r="A5520" i="5"/>
  <c r="A5521" i="5"/>
  <c r="A5522" i="5"/>
  <c r="A5523" i="5"/>
  <c r="A5524" i="5"/>
  <c r="A5525" i="5"/>
  <c r="A5526" i="5"/>
  <c r="A5527" i="5"/>
  <c r="A5528" i="5"/>
  <c r="A5529" i="5"/>
  <c r="A5530" i="5"/>
  <c r="A5531" i="5"/>
  <c r="A5532" i="5"/>
  <c r="A5533" i="5"/>
  <c r="A5534" i="5"/>
  <c r="A5535" i="5"/>
  <c r="A5536" i="5"/>
  <c r="A5537" i="5"/>
  <c r="A5538" i="5"/>
  <c r="A5539" i="5"/>
  <c r="A5540" i="5"/>
  <c r="A5541" i="5"/>
  <c r="A5542" i="5"/>
  <c r="A5543" i="5"/>
  <c r="A5544" i="5"/>
  <c r="A5545" i="5"/>
  <c r="A5546" i="5"/>
  <c r="A5547" i="5"/>
  <c r="A5548" i="5"/>
  <c r="A5549" i="5"/>
  <c r="A5550" i="5"/>
  <c r="A5551" i="5"/>
  <c r="A5552" i="5"/>
  <c r="A5553" i="5"/>
  <c r="A5554" i="5"/>
  <c r="A5555" i="5"/>
  <c r="A5556" i="5"/>
  <c r="A5557" i="5"/>
  <c r="A5558" i="5"/>
  <c r="A5559" i="5"/>
  <c r="A5560" i="5"/>
  <c r="A5561" i="5"/>
  <c r="A5562" i="5"/>
  <c r="A5563" i="5"/>
  <c r="A5564" i="5"/>
  <c r="A5565" i="5"/>
  <c r="A5566" i="5"/>
  <c r="A5567" i="5"/>
  <c r="A5568" i="5"/>
  <c r="A5569" i="5"/>
  <c r="A5570" i="5"/>
  <c r="A5571" i="5"/>
  <c r="A5572" i="5"/>
  <c r="A5573" i="5"/>
  <c r="A5574" i="5"/>
  <c r="A5575" i="5"/>
  <c r="A5576" i="5"/>
  <c r="A5577" i="5"/>
  <c r="A5578" i="5"/>
  <c r="A5579" i="5"/>
  <c r="A5580" i="5"/>
  <c r="A5581" i="5"/>
  <c r="A5582" i="5"/>
  <c r="A5583" i="5"/>
  <c r="A5584" i="5"/>
  <c r="A5585" i="5"/>
  <c r="A5586" i="5"/>
  <c r="A5587" i="5"/>
  <c r="A5588" i="5"/>
  <c r="A5589" i="5"/>
  <c r="A5590" i="5"/>
  <c r="A5591" i="5"/>
  <c r="A5592" i="5"/>
  <c r="A5593" i="5"/>
  <c r="A5594" i="5"/>
  <c r="A5595" i="5"/>
  <c r="A5596" i="5"/>
  <c r="A5597" i="5"/>
  <c r="A5598" i="5"/>
  <c r="A5599" i="5"/>
  <c r="A5600" i="5"/>
  <c r="A5601" i="5"/>
  <c r="A5602" i="5"/>
  <c r="A5603" i="5"/>
  <c r="A5604" i="5"/>
  <c r="A5605" i="5"/>
  <c r="A5606" i="5"/>
  <c r="A5607" i="5"/>
  <c r="A5608" i="5"/>
  <c r="A5609" i="5"/>
  <c r="A5610" i="5"/>
  <c r="A5611" i="5"/>
  <c r="A5612" i="5"/>
  <c r="A5613" i="5"/>
  <c r="A5614" i="5"/>
  <c r="A5615" i="5"/>
  <c r="A5616" i="5"/>
  <c r="A5617" i="5"/>
  <c r="A5618" i="5"/>
  <c r="A5619" i="5"/>
  <c r="A5620" i="5"/>
  <c r="A5621" i="5"/>
  <c r="A5622" i="5"/>
  <c r="A5623" i="5"/>
  <c r="A5624" i="5"/>
  <c r="A5625" i="5"/>
  <c r="A5626" i="5"/>
  <c r="A5627" i="5"/>
  <c r="A5628" i="5"/>
  <c r="A5629" i="5"/>
  <c r="A5630" i="5"/>
  <c r="A5631" i="5"/>
  <c r="A5632" i="5"/>
  <c r="A5633" i="5"/>
  <c r="A5634" i="5"/>
  <c r="A5635" i="5"/>
  <c r="A5636" i="5"/>
  <c r="A5637" i="5"/>
  <c r="A5638" i="5"/>
  <c r="A5639" i="5"/>
  <c r="A5640" i="5"/>
  <c r="A5641" i="5"/>
  <c r="A5642" i="5"/>
  <c r="A5643" i="5"/>
  <c r="A5644" i="5"/>
  <c r="A5645" i="5"/>
  <c r="A5646" i="5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A5659" i="5"/>
  <c r="A5660" i="5"/>
  <c r="A5661" i="5"/>
  <c r="A5662" i="5"/>
  <c r="A5663" i="5"/>
  <c r="A5664" i="5"/>
  <c r="A5665" i="5"/>
  <c r="A5666" i="5"/>
  <c r="A5667" i="5"/>
  <c r="A5668" i="5"/>
  <c r="A5669" i="5"/>
  <c r="A5670" i="5"/>
  <c r="A5671" i="5"/>
  <c r="A5672" i="5"/>
  <c r="A5673" i="5"/>
  <c r="A5674" i="5"/>
  <c r="A5675" i="5"/>
  <c r="A5676" i="5"/>
  <c r="A5677" i="5"/>
  <c r="A5678" i="5"/>
  <c r="A5679" i="5"/>
  <c r="A5680" i="5"/>
  <c r="A5681" i="5"/>
  <c r="A5682" i="5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A5695" i="5"/>
  <c r="A5696" i="5"/>
  <c r="A5697" i="5"/>
  <c r="A5698" i="5"/>
  <c r="A5699" i="5"/>
  <c r="A5700" i="5"/>
  <c r="A5701" i="5"/>
  <c r="A5702" i="5"/>
  <c r="A5703" i="5"/>
  <c r="A5704" i="5"/>
  <c r="A5705" i="5"/>
  <c r="A5706" i="5"/>
  <c r="A5707" i="5"/>
  <c r="A5708" i="5"/>
  <c r="A5709" i="5"/>
  <c r="A5710" i="5"/>
  <c r="A5711" i="5"/>
  <c r="A5712" i="5"/>
  <c r="A5713" i="5"/>
  <c r="A5714" i="5"/>
  <c r="A5715" i="5"/>
  <c r="A5716" i="5"/>
  <c r="A5717" i="5"/>
  <c r="A5718" i="5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A5731" i="5"/>
  <c r="A5732" i="5"/>
  <c r="A5733" i="5"/>
  <c r="A5734" i="5"/>
  <c r="A5735" i="5"/>
  <c r="A5736" i="5"/>
  <c r="A5737" i="5"/>
  <c r="A5738" i="5"/>
  <c r="A5739" i="5"/>
  <c r="A5740" i="5"/>
  <c r="A5741" i="5"/>
  <c r="A5742" i="5"/>
  <c r="A5743" i="5"/>
  <c r="A5744" i="5"/>
  <c r="A5745" i="5"/>
  <c r="A5746" i="5"/>
  <c r="A5747" i="5"/>
  <c r="A5748" i="5"/>
  <c r="A5749" i="5"/>
  <c r="A5750" i="5"/>
  <c r="A5751" i="5"/>
  <c r="A5752" i="5"/>
  <c r="A5753" i="5"/>
  <c r="A5754" i="5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A5767" i="5"/>
  <c r="A5768" i="5"/>
  <c r="A5769" i="5"/>
  <c r="A5770" i="5"/>
  <c r="A5771" i="5"/>
  <c r="A5772" i="5"/>
  <c r="A5773" i="5"/>
  <c r="A5774" i="5"/>
  <c r="A5775" i="5"/>
  <c r="A5776" i="5"/>
  <c r="A5777" i="5"/>
  <c r="A5778" i="5"/>
  <c r="A5779" i="5"/>
  <c r="A5780" i="5"/>
  <c r="A5781" i="5"/>
  <c r="A5782" i="5"/>
  <c r="A5783" i="5"/>
  <c r="A5784" i="5"/>
  <c r="A5785" i="5"/>
  <c r="A5786" i="5"/>
  <c r="A5787" i="5"/>
  <c r="A5788" i="5"/>
  <c r="A5789" i="5"/>
  <c r="A5790" i="5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A5803" i="5"/>
  <c r="A5804" i="5"/>
  <c r="A5805" i="5"/>
  <c r="A5806" i="5"/>
  <c r="A5807" i="5"/>
  <c r="A5808" i="5"/>
  <c r="A5809" i="5"/>
  <c r="A5810" i="5"/>
  <c r="A5811" i="5"/>
  <c r="A5812" i="5"/>
  <c r="A5813" i="5"/>
  <c r="A5814" i="5"/>
  <c r="A5815" i="5"/>
  <c r="A5816" i="5"/>
  <c r="A5817" i="5"/>
  <c r="A5818" i="5"/>
  <c r="A5819" i="5"/>
  <c r="A5820" i="5"/>
  <c r="A5821" i="5"/>
  <c r="A5822" i="5"/>
  <c r="A5823" i="5"/>
  <c r="A5824" i="5"/>
  <c r="A5825" i="5"/>
  <c r="A5826" i="5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A5839" i="5"/>
  <c r="A5840" i="5"/>
  <c r="A5841" i="5"/>
  <c r="A5842" i="5"/>
  <c r="A5843" i="5"/>
  <c r="A5844" i="5"/>
  <c r="A5845" i="5"/>
  <c r="A5846" i="5"/>
  <c r="A5847" i="5"/>
  <c r="A5848" i="5"/>
  <c r="A5849" i="5"/>
  <c r="A5850" i="5"/>
  <c r="A5851" i="5"/>
  <c r="A5852" i="5"/>
  <c r="A5853" i="5"/>
  <c r="A5854" i="5"/>
  <c r="A5855" i="5"/>
  <c r="A5856" i="5"/>
  <c r="A5857" i="5"/>
  <c r="A5858" i="5"/>
  <c r="A5859" i="5"/>
  <c r="A5860" i="5"/>
  <c r="A5861" i="5"/>
  <c r="A5862" i="5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A5875" i="5"/>
  <c r="A5876" i="5"/>
  <c r="A5877" i="5"/>
  <c r="A5878" i="5"/>
  <c r="A5879" i="5"/>
  <c r="A5880" i="5"/>
  <c r="A5881" i="5"/>
  <c r="A5882" i="5"/>
  <c r="A5883" i="5"/>
  <c r="A5884" i="5"/>
  <c r="A5885" i="5"/>
  <c r="A5886" i="5"/>
  <c r="A5887" i="5"/>
  <c r="A5888" i="5"/>
  <c r="A5889" i="5"/>
  <c r="A5890" i="5"/>
  <c r="A5891" i="5"/>
  <c r="A5892" i="5"/>
  <c r="A5893" i="5"/>
  <c r="A5894" i="5"/>
  <c r="A5895" i="5"/>
  <c r="A5896" i="5"/>
  <c r="A5897" i="5"/>
  <c r="A5898" i="5"/>
  <c r="A5899" i="5"/>
  <c r="A5900" i="5"/>
  <c r="A5901" i="5"/>
  <c r="A5902" i="5"/>
  <c r="A5903" i="5"/>
  <c r="A5904" i="5"/>
  <c r="A5905" i="5"/>
  <c r="A5906" i="5"/>
  <c r="A5907" i="5"/>
  <c r="A5908" i="5"/>
  <c r="A5909" i="5"/>
  <c r="A5910" i="5"/>
  <c r="A5911" i="5"/>
  <c r="A5912" i="5"/>
  <c r="A5913" i="5"/>
  <c r="A5914" i="5"/>
  <c r="A5915" i="5"/>
  <c r="A5916" i="5"/>
  <c r="A5917" i="5"/>
  <c r="A5918" i="5"/>
  <c r="A5919" i="5"/>
  <c r="A5920" i="5"/>
  <c r="A5921" i="5"/>
  <c r="A5922" i="5"/>
  <c r="A5923" i="5"/>
  <c r="A5924" i="5"/>
  <c r="A5925" i="5"/>
  <c r="A5926" i="5"/>
  <c r="A5927" i="5"/>
  <c r="A5928" i="5"/>
  <c r="A5929" i="5"/>
  <c r="A5930" i="5"/>
  <c r="A5931" i="5"/>
  <c r="A5932" i="5"/>
  <c r="A5933" i="5"/>
  <c r="A5934" i="5"/>
  <c r="A5935" i="5"/>
  <c r="A5936" i="5"/>
  <c r="A5937" i="5"/>
  <c r="A5938" i="5"/>
  <c r="A5939" i="5"/>
  <c r="A5940" i="5"/>
  <c r="A5941" i="5"/>
  <c r="A5942" i="5"/>
  <c r="A5943" i="5"/>
  <c r="A5944" i="5"/>
  <c r="A5945" i="5"/>
  <c r="A5946" i="5"/>
  <c r="A5947" i="5"/>
  <c r="A5948" i="5"/>
  <c r="A5949" i="5"/>
  <c r="A5950" i="5"/>
  <c r="A5951" i="5"/>
  <c r="A5952" i="5"/>
  <c r="A5953" i="5"/>
  <c r="A5954" i="5"/>
  <c r="A5955" i="5"/>
  <c r="A5956" i="5"/>
  <c r="A5957" i="5"/>
  <c r="A5958" i="5"/>
  <c r="A5959" i="5"/>
  <c r="A5960" i="5"/>
  <c r="A5961" i="5"/>
  <c r="A5962" i="5"/>
  <c r="A5963" i="5"/>
  <c r="A5964" i="5"/>
  <c r="A5965" i="5"/>
  <c r="A5966" i="5"/>
  <c r="A5967" i="5"/>
  <c r="A5968" i="5"/>
  <c r="A5969" i="5"/>
  <c r="A5970" i="5"/>
  <c r="A5971" i="5"/>
  <c r="A5972" i="5"/>
  <c r="A5973" i="5"/>
  <c r="A5974" i="5"/>
  <c r="A5975" i="5"/>
  <c r="A5976" i="5"/>
  <c r="A5977" i="5"/>
  <c r="A5978" i="5"/>
  <c r="A5979" i="5"/>
  <c r="A5980" i="5"/>
  <c r="A5981" i="5"/>
  <c r="A5982" i="5"/>
  <c r="A5983" i="5"/>
  <c r="A5984" i="5"/>
  <c r="A5985" i="5"/>
  <c r="A5986" i="5"/>
  <c r="A5987" i="5"/>
  <c r="A5988" i="5"/>
  <c r="A5989" i="5"/>
  <c r="A5990" i="5"/>
  <c r="A5991" i="5"/>
  <c r="A5992" i="5"/>
  <c r="A5993" i="5"/>
  <c r="A5994" i="5"/>
  <c r="A5995" i="5"/>
  <c r="A5996" i="5"/>
  <c r="A5997" i="5"/>
  <c r="A5998" i="5"/>
  <c r="A5999" i="5"/>
  <c r="A6000" i="5"/>
  <c r="A6001" i="5"/>
  <c r="A6002" i="5"/>
  <c r="A6003" i="5"/>
  <c r="A6004" i="5"/>
  <c r="A6005" i="5"/>
  <c r="A6006" i="5"/>
  <c r="A6007" i="5"/>
  <c r="A6008" i="5"/>
  <c r="A6009" i="5"/>
  <c r="A6010" i="5"/>
  <c r="A6011" i="5"/>
  <c r="A6012" i="5"/>
  <c r="A6013" i="5"/>
  <c r="A6014" i="5"/>
  <c r="A6015" i="5"/>
  <c r="A6016" i="5"/>
  <c r="A6017" i="5"/>
  <c r="A6018" i="5"/>
  <c r="A6019" i="5"/>
  <c r="A6020" i="5"/>
  <c r="A6021" i="5"/>
  <c r="A6022" i="5"/>
  <c r="A6023" i="5"/>
  <c r="A6024" i="5"/>
  <c r="A6025" i="5"/>
  <c r="A6026" i="5"/>
  <c r="A6027" i="5"/>
  <c r="A6028" i="5"/>
  <c r="A6029" i="5"/>
  <c r="A6030" i="5"/>
  <c r="A6031" i="5"/>
  <c r="A6032" i="5"/>
  <c r="A6033" i="5"/>
  <c r="A6034" i="5"/>
  <c r="A6035" i="5"/>
  <c r="A6036" i="5"/>
  <c r="A6037" i="5"/>
  <c r="A6038" i="5"/>
  <c r="A6039" i="5"/>
  <c r="A6040" i="5"/>
  <c r="A6041" i="5"/>
  <c r="A6042" i="5"/>
  <c r="A6043" i="5"/>
  <c r="A6044" i="5"/>
  <c r="A6045" i="5"/>
  <c r="A6046" i="5"/>
  <c r="A6047" i="5"/>
  <c r="A6048" i="5"/>
  <c r="A6049" i="5"/>
  <c r="A6050" i="5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A6073" i="5"/>
  <c r="A6074" i="5"/>
  <c r="A6075" i="5"/>
  <c r="A6076" i="5"/>
  <c r="A6077" i="5"/>
  <c r="A6078" i="5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A6113" i="5"/>
  <c r="A6114" i="5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A6147" i="5"/>
  <c r="A6148" i="5"/>
  <c r="A6149" i="5"/>
  <c r="A6150" i="5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A6177" i="5"/>
  <c r="A6178" i="5"/>
  <c r="A6179" i="5"/>
  <c r="A6180" i="5"/>
  <c r="A6181" i="5"/>
  <c r="A6182" i="5"/>
  <c r="A6183" i="5"/>
  <c r="A6184" i="5"/>
  <c r="A6185" i="5"/>
  <c r="A6186" i="5"/>
  <c r="A6187" i="5"/>
  <c r="A6188" i="5"/>
  <c r="A6189" i="5"/>
  <c r="A6190" i="5"/>
  <c r="A6191" i="5"/>
  <c r="A6192" i="5"/>
  <c r="A6193" i="5"/>
  <c r="A6194" i="5"/>
  <c r="A6195" i="5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A6215" i="5"/>
  <c r="A6216" i="5"/>
  <c r="A6217" i="5"/>
  <c r="A6218" i="5"/>
  <c r="A6219" i="5"/>
  <c r="A6220" i="5"/>
  <c r="A6221" i="5"/>
  <c r="A6222" i="5"/>
  <c r="A6223" i="5"/>
  <c r="A6224" i="5"/>
  <c r="A6225" i="5"/>
  <c r="A6226" i="5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A6249" i="5"/>
  <c r="A6250" i="5"/>
  <c r="A6251" i="5"/>
  <c r="A6252" i="5"/>
  <c r="A6253" i="5"/>
  <c r="A6254" i="5"/>
  <c r="A6255" i="5"/>
  <c r="A6256" i="5"/>
  <c r="A6257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A6283" i="5"/>
  <c r="A6284" i="5"/>
  <c r="A6285" i="5"/>
  <c r="A6286" i="5"/>
  <c r="A6287" i="5"/>
  <c r="A6288" i="5"/>
  <c r="A6289" i="5"/>
  <c r="A6290" i="5"/>
  <c r="A6291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A6317" i="5"/>
  <c r="A6318" i="5"/>
  <c r="A6319" i="5"/>
  <c r="A6320" i="5"/>
  <c r="A6321" i="5"/>
  <c r="A6322" i="5"/>
  <c r="A6323" i="5"/>
  <c r="A6324" i="5"/>
  <c r="A6325" i="5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A6343" i="5"/>
  <c r="A6344" i="5"/>
  <c r="A6345" i="5"/>
  <c r="A6346" i="5"/>
  <c r="A6347" i="5"/>
  <c r="A6348" i="5"/>
  <c r="A6349" i="5"/>
  <c r="A6350" i="5"/>
  <c r="A6351" i="5"/>
  <c r="A6352" i="5"/>
  <c r="A6353" i="5"/>
  <c r="A6354" i="5"/>
  <c r="A6355" i="5"/>
  <c r="A6356" i="5"/>
  <c r="A6357" i="5"/>
  <c r="A6358" i="5"/>
  <c r="A6359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A6385" i="5"/>
  <c r="A6386" i="5"/>
  <c r="A6387" i="5"/>
  <c r="A6388" i="5"/>
  <c r="A6389" i="5"/>
  <c r="A6390" i="5"/>
  <c r="A6391" i="5"/>
  <c r="A6392" i="5"/>
  <c r="A6393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A6417" i="5"/>
  <c r="A6418" i="5"/>
  <c r="A6419" i="5"/>
  <c r="A6420" i="5"/>
  <c r="A6421" i="5"/>
  <c r="A6422" i="5"/>
  <c r="A6423" i="5"/>
  <c r="A6424" i="5"/>
  <c r="A6425" i="5"/>
  <c r="A6426" i="5"/>
  <c r="A6427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A6451" i="5"/>
  <c r="A6452" i="5"/>
  <c r="A6453" i="5"/>
  <c r="A6454" i="5"/>
  <c r="A6455" i="5"/>
  <c r="A6456" i="5"/>
  <c r="A6457" i="5"/>
  <c r="A6458" i="5"/>
  <c r="A6459" i="5"/>
  <c r="A6460" i="5"/>
  <c r="A6461" i="5"/>
  <c r="A6462" i="5"/>
  <c r="A6463" i="5"/>
  <c r="A6464" i="5"/>
  <c r="A6465" i="5"/>
  <c r="A6466" i="5"/>
  <c r="A6467" i="5"/>
  <c r="A6468" i="5"/>
  <c r="A6469" i="5"/>
  <c r="A6470" i="5"/>
  <c r="A6471" i="5"/>
  <c r="A6472" i="5"/>
  <c r="A6473" i="5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A6487" i="5"/>
  <c r="A6488" i="5"/>
  <c r="A6489" i="5"/>
  <c r="A6490" i="5"/>
  <c r="A6491" i="5"/>
  <c r="A6492" i="5"/>
  <c r="A6493" i="5"/>
  <c r="A6494" i="5"/>
  <c r="A6495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A6523" i="5"/>
  <c r="A6524" i="5"/>
  <c r="A6525" i="5"/>
  <c r="A6526" i="5"/>
  <c r="A6527" i="5"/>
  <c r="A6528" i="5"/>
  <c r="A6529" i="5"/>
  <c r="A6530" i="5"/>
  <c r="A6531" i="5"/>
  <c r="A6532" i="5"/>
  <c r="A6533" i="5"/>
  <c r="A6534" i="5"/>
  <c r="A6535" i="5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A6555" i="5"/>
  <c r="A6556" i="5"/>
  <c r="A6557" i="5"/>
  <c r="A6558" i="5"/>
  <c r="A6559" i="5"/>
  <c r="A6560" i="5"/>
  <c r="A6561" i="5"/>
  <c r="A6562" i="5"/>
  <c r="A6563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A6581" i="5"/>
  <c r="A6582" i="5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A6595" i="5"/>
  <c r="A6596" i="5"/>
  <c r="A6597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A6610" i="5"/>
  <c r="A6611" i="5"/>
  <c r="A6612" i="5"/>
  <c r="A6613" i="5"/>
  <c r="A6614" i="5"/>
  <c r="A6615" i="5"/>
  <c r="A6616" i="5"/>
  <c r="A6617" i="5"/>
  <c r="A6618" i="5"/>
  <c r="A6619" i="5"/>
  <c r="A6620" i="5"/>
  <c r="A6621" i="5"/>
  <c r="A6622" i="5"/>
  <c r="A6623" i="5"/>
  <c r="A6624" i="5"/>
  <c r="A6625" i="5"/>
  <c r="A6626" i="5"/>
  <c r="A6627" i="5"/>
  <c r="A6628" i="5"/>
  <c r="A6629" i="5"/>
  <c r="A6630" i="5"/>
  <c r="A6631" i="5"/>
  <c r="A6632" i="5"/>
  <c r="A6633" i="5"/>
  <c r="A6634" i="5"/>
  <c r="A6635" i="5"/>
  <c r="A6636" i="5"/>
  <c r="A6637" i="5"/>
  <c r="A6638" i="5"/>
  <c r="A6639" i="5"/>
  <c r="A6640" i="5"/>
  <c r="A6641" i="5"/>
  <c r="A6642" i="5"/>
  <c r="A6643" i="5"/>
  <c r="A6644" i="5"/>
  <c r="A6645" i="5"/>
  <c r="A6646" i="5"/>
  <c r="A6647" i="5"/>
  <c r="A6648" i="5"/>
  <c r="A6649" i="5"/>
  <c r="A6650" i="5"/>
  <c r="A6651" i="5"/>
  <c r="A6652" i="5"/>
  <c r="A6653" i="5"/>
  <c r="A6654" i="5"/>
  <c r="A6655" i="5"/>
  <c r="A6656" i="5"/>
  <c r="A6657" i="5"/>
  <c r="A6658" i="5"/>
  <c r="A6659" i="5"/>
  <c r="A6660" i="5"/>
  <c r="A6661" i="5"/>
  <c r="A6662" i="5"/>
  <c r="A6663" i="5"/>
  <c r="A6664" i="5"/>
  <c r="A6665" i="5"/>
  <c r="A6666" i="5"/>
  <c r="A6667" i="5"/>
  <c r="A6668" i="5"/>
  <c r="A6669" i="5"/>
  <c r="A6670" i="5"/>
  <c r="A6671" i="5"/>
  <c r="A6672" i="5"/>
  <c r="A6673" i="5"/>
  <c r="A6674" i="5"/>
  <c r="A6675" i="5"/>
  <c r="A6676" i="5"/>
  <c r="A6677" i="5"/>
  <c r="A6678" i="5"/>
  <c r="A6679" i="5"/>
  <c r="A6680" i="5"/>
  <c r="A6681" i="5"/>
  <c r="A6682" i="5"/>
  <c r="A6683" i="5"/>
  <c r="A6684" i="5"/>
  <c r="A6685" i="5"/>
  <c r="A6686" i="5"/>
  <c r="A6687" i="5"/>
  <c r="A6688" i="5"/>
  <c r="A6689" i="5"/>
  <c r="A6690" i="5"/>
  <c r="A6691" i="5"/>
  <c r="A6692" i="5"/>
  <c r="A6693" i="5"/>
  <c r="A6694" i="5"/>
  <c r="A6695" i="5"/>
  <c r="A6696" i="5"/>
  <c r="A6697" i="5"/>
  <c r="A6698" i="5"/>
  <c r="A6699" i="5"/>
  <c r="A6700" i="5"/>
  <c r="A6701" i="5"/>
  <c r="A6702" i="5"/>
  <c r="A6703" i="5"/>
  <c r="A6704" i="5"/>
  <c r="A6705" i="5"/>
  <c r="A6706" i="5"/>
  <c r="A6707" i="5"/>
  <c r="A6708" i="5"/>
  <c r="A6709" i="5"/>
  <c r="A6710" i="5"/>
  <c r="A6711" i="5"/>
  <c r="A6712" i="5"/>
  <c r="A6713" i="5"/>
  <c r="A6714" i="5"/>
  <c r="A6715" i="5"/>
  <c r="A6716" i="5"/>
  <c r="A6717" i="5"/>
  <c r="A6718" i="5"/>
  <c r="A6719" i="5"/>
  <c r="A6720" i="5"/>
  <c r="A6721" i="5"/>
  <c r="A6722" i="5"/>
  <c r="A6723" i="5"/>
  <c r="A6724" i="5"/>
  <c r="A6725" i="5"/>
  <c r="A6726" i="5"/>
  <c r="A6727" i="5"/>
  <c r="A6728" i="5"/>
  <c r="A6729" i="5"/>
  <c r="A6730" i="5"/>
  <c r="A6731" i="5"/>
  <c r="A6732" i="5"/>
  <c r="A6733" i="5"/>
  <c r="A6734" i="5"/>
  <c r="A6735" i="5"/>
  <c r="A6736" i="5"/>
  <c r="A6737" i="5"/>
  <c r="A6738" i="5"/>
  <c r="A6739" i="5"/>
  <c r="A6740" i="5"/>
  <c r="A6741" i="5"/>
  <c r="A6742" i="5"/>
  <c r="A6743" i="5"/>
  <c r="A6744" i="5"/>
  <c r="A6745" i="5"/>
  <c r="A6746" i="5"/>
  <c r="A6747" i="5"/>
  <c r="A6748" i="5"/>
  <c r="A6749" i="5"/>
  <c r="A6750" i="5"/>
  <c r="A6751" i="5"/>
  <c r="A6752" i="5"/>
  <c r="A6753" i="5"/>
  <c r="A6754" i="5"/>
  <c r="A6755" i="5"/>
  <c r="A6756" i="5"/>
  <c r="A6757" i="5"/>
  <c r="A6758" i="5"/>
  <c r="A6759" i="5"/>
  <c r="A6760" i="5"/>
  <c r="A6761" i="5"/>
  <c r="A6762" i="5"/>
  <c r="A6763" i="5"/>
  <c r="A6764" i="5"/>
  <c r="A6765" i="5"/>
  <c r="A6766" i="5"/>
  <c r="A6767" i="5"/>
  <c r="A6768" i="5"/>
  <c r="A6769" i="5"/>
  <c r="A6770" i="5"/>
  <c r="A6771" i="5"/>
  <c r="A6772" i="5"/>
  <c r="A6773" i="5"/>
  <c r="A6774" i="5"/>
  <c r="A6775" i="5"/>
  <c r="A6776" i="5"/>
  <c r="A6777" i="5"/>
  <c r="A6778" i="5"/>
  <c r="A6779" i="5"/>
  <c r="A6780" i="5"/>
  <c r="A6781" i="5"/>
  <c r="A6782" i="5"/>
  <c r="A6783" i="5"/>
  <c r="A6784" i="5"/>
  <c r="A6785" i="5"/>
  <c r="A6786" i="5"/>
  <c r="A6787" i="5"/>
  <c r="A6788" i="5"/>
  <c r="A6789" i="5"/>
  <c r="A6790" i="5"/>
  <c r="A6791" i="5"/>
  <c r="A6792" i="5"/>
  <c r="A6793" i="5"/>
  <c r="A6794" i="5"/>
  <c r="A6795" i="5"/>
  <c r="A6796" i="5"/>
  <c r="A6797" i="5"/>
  <c r="A6798" i="5"/>
  <c r="A6799" i="5"/>
  <c r="A6800" i="5"/>
  <c r="A6801" i="5"/>
  <c r="A6802" i="5"/>
  <c r="A6803" i="5"/>
  <c r="A6804" i="5"/>
  <c r="A6805" i="5"/>
  <c r="A6806" i="5"/>
  <c r="A6807" i="5"/>
  <c r="A6808" i="5"/>
  <c r="A6809" i="5"/>
  <c r="A6810" i="5"/>
  <c r="A6811" i="5"/>
  <c r="A6812" i="5"/>
  <c r="A6813" i="5"/>
  <c r="A6814" i="5"/>
  <c r="A6815" i="5"/>
  <c r="A6816" i="5"/>
  <c r="A6817" i="5"/>
  <c r="A6818" i="5"/>
  <c r="A6819" i="5"/>
  <c r="A6820" i="5"/>
  <c r="A6821" i="5"/>
  <c r="A6822" i="5"/>
  <c r="A6823" i="5"/>
  <c r="A6824" i="5"/>
  <c r="A6825" i="5"/>
  <c r="A6826" i="5"/>
  <c r="A6827" i="5"/>
  <c r="A6828" i="5"/>
  <c r="A6829" i="5"/>
  <c r="A6830" i="5"/>
  <c r="A6831" i="5"/>
  <c r="A6832" i="5"/>
  <c r="A6833" i="5"/>
  <c r="A6834" i="5"/>
  <c r="A6835" i="5"/>
  <c r="A6836" i="5"/>
  <c r="A6837" i="5"/>
  <c r="A6838" i="5"/>
  <c r="A6839" i="5"/>
  <c r="A6840" i="5"/>
  <c r="A6841" i="5"/>
  <c r="A6842" i="5"/>
  <c r="A6843" i="5"/>
  <c r="A6844" i="5"/>
  <c r="A6845" i="5"/>
  <c r="A6846" i="5"/>
  <c r="A6847" i="5"/>
  <c r="A6848" i="5"/>
  <c r="A6849" i="5"/>
  <c r="A6850" i="5"/>
  <c r="A6851" i="5"/>
  <c r="A6852" i="5"/>
  <c r="A6853" i="5"/>
  <c r="A6854" i="5"/>
  <c r="A6855" i="5"/>
  <c r="A6856" i="5"/>
  <c r="A6857" i="5"/>
  <c r="A6858" i="5"/>
  <c r="A6859" i="5"/>
  <c r="A6860" i="5"/>
  <c r="A6861" i="5"/>
  <c r="A6862" i="5"/>
  <c r="A6863" i="5"/>
  <c r="A6864" i="5"/>
  <c r="A6865" i="5"/>
  <c r="A6866" i="5"/>
  <c r="A6867" i="5"/>
  <c r="A6868" i="5"/>
  <c r="A6869" i="5"/>
  <c r="A6870" i="5"/>
  <c r="A6871" i="5"/>
  <c r="A6872" i="5"/>
  <c r="A6873" i="5"/>
  <c r="A6874" i="5"/>
  <c r="A6875" i="5"/>
  <c r="A6876" i="5"/>
  <c r="A6877" i="5"/>
  <c r="A6878" i="5"/>
  <c r="A6879" i="5"/>
  <c r="A6880" i="5"/>
  <c r="A6881" i="5"/>
  <c r="A6882" i="5"/>
  <c r="A6883" i="5"/>
  <c r="A6884" i="5"/>
  <c r="A6885" i="5"/>
  <c r="A6886" i="5"/>
  <c r="A6887" i="5"/>
  <c r="A6888" i="5"/>
  <c r="A6889" i="5"/>
  <c r="A6890" i="5"/>
  <c r="A6891" i="5"/>
  <c r="A6892" i="5"/>
  <c r="A6893" i="5"/>
  <c r="A6894" i="5"/>
  <c r="A6895" i="5"/>
  <c r="A6896" i="5"/>
  <c r="A6897" i="5"/>
  <c r="A6898" i="5"/>
  <c r="A6899" i="5"/>
  <c r="A6900" i="5"/>
  <c r="A6901" i="5"/>
  <c r="A6902" i="5"/>
  <c r="A6903" i="5"/>
  <c r="A6904" i="5"/>
  <c r="A6905" i="5"/>
  <c r="A6906" i="5"/>
  <c r="A6907" i="5"/>
  <c r="A6908" i="5"/>
  <c r="A6909" i="5"/>
  <c r="A6910" i="5"/>
  <c r="A6911" i="5"/>
  <c r="A6912" i="5"/>
  <c r="A6913" i="5"/>
  <c r="A6914" i="5"/>
  <c r="A6915" i="5"/>
  <c r="A6916" i="5"/>
  <c r="A6917" i="5"/>
  <c r="A6918" i="5"/>
  <c r="A6919" i="5"/>
  <c r="A6920" i="5"/>
  <c r="A6921" i="5"/>
  <c r="A6922" i="5"/>
  <c r="A6923" i="5"/>
  <c r="A6924" i="5"/>
  <c r="A6925" i="5"/>
  <c r="A6926" i="5"/>
  <c r="A6927" i="5"/>
  <c r="A6928" i="5"/>
  <c r="A6929" i="5"/>
  <c r="A6930" i="5"/>
  <c r="A6931" i="5"/>
  <c r="A6932" i="5"/>
  <c r="A6933" i="5"/>
  <c r="A6934" i="5"/>
  <c r="A6935" i="5"/>
  <c r="A6936" i="5"/>
  <c r="A6937" i="5"/>
  <c r="A6938" i="5"/>
  <c r="A6939" i="5"/>
  <c r="A6940" i="5"/>
  <c r="A6941" i="5"/>
  <c r="A6942" i="5"/>
  <c r="A6943" i="5"/>
  <c r="A6944" i="5"/>
  <c r="A6945" i="5"/>
  <c r="A6946" i="5"/>
  <c r="A6947" i="5"/>
  <c r="A6948" i="5"/>
  <c r="A6949" i="5"/>
  <c r="A6950" i="5"/>
  <c r="A6951" i="5"/>
  <c r="A6952" i="5"/>
  <c r="A6953" i="5"/>
  <c r="A6954" i="5"/>
  <c r="A6955" i="5"/>
  <c r="A6956" i="5"/>
  <c r="A6957" i="5"/>
  <c r="A6958" i="5"/>
  <c r="A6959" i="5"/>
  <c r="A6960" i="5"/>
  <c r="A6961" i="5"/>
  <c r="A6962" i="5"/>
  <c r="A6963" i="5"/>
  <c r="A6964" i="5"/>
  <c r="A6965" i="5"/>
  <c r="A6966" i="5"/>
  <c r="A6967" i="5"/>
  <c r="A6968" i="5"/>
  <c r="A6969" i="5"/>
  <c r="A6970" i="5"/>
  <c r="A6971" i="5"/>
  <c r="A6972" i="5"/>
  <c r="A6973" i="5"/>
  <c r="A6974" i="5"/>
  <c r="A6975" i="5"/>
  <c r="A6976" i="5"/>
  <c r="A6977" i="5"/>
  <c r="A6978" i="5"/>
  <c r="A6979" i="5"/>
  <c r="A6980" i="5"/>
  <c r="A6981" i="5"/>
  <c r="A6982" i="5"/>
  <c r="A6983" i="5"/>
  <c r="A6984" i="5"/>
  <c r="A6985" i="5"/>
  <c r="A6986" i="5"/>
  <c r="A6987" i="5"/>
  <c r="A6988" i="5"/>
  <c r="A6989" i="5"/>
  <c r="A6990" i="5"/>
  <c r="A6991" i="5"/>
  <c r="A6992" i="5"/>
  <c r="A6993" i="5"/>
  <c r="A6994" i="5"/>
  <c r="A6995" i="5"/>
  <c r="A6996" i="5"/>
  <c r="A6997" i="5"/>
  <c r="A6998" i="5"/>
  <c r="A6999" i="5"/>
  <c r="A7000" i="5"/>
  <c r="A7001" i="5"/>
  <c r="A7002" i="5"/>
  <c r="A7003" i="5"/>
  <c r="A7004" i="5"/>
  <c r="A7005" i="5"/>
  <c r="A7006" i="5"/>
  <c r="A7007" i="5"/>
  <c r="A7008" i="5"/>
  <c r="A7009" i="5"/>
  <c r="A7010" i="5"/>
  <c r="A7011" i="5"/>
  <c r="A7012" i="5"/>
  <c r="A7013" i="5"/>
  <c r="A7014" i="5"/>
  <c r="A7015" i="5"/>
  <c r="A7016" i="5"/>
  <c r="A7017" i="5"/>
  <c r="A7018" i="5"/>
  <c r="A7019" i="5"/>
  <c r="A7020" i="5"/>
  <c r="A7021" i="5"/>
  <c r="A7022" i="5"/>
  <c r="A7023" i="5"/>
  <c r="A7024" i="5"/>
  <c r="A7025" i="5"/>
  <c r="A7026" i="5"/>
  <c r="A7027" i="5"/>
  <c r="A7028" i="5"/>
  <c r="A7029" i="5"/>
  <c r="A7030" i="5"/>
  <c r="A7031" i="5"/>
  <c r="A7032" i="5"/>
  <c r="A7033" i="5"/>
  <c r="A7034" i="5"/>
  <c r="A7035" i="5"/>
  <c r="A7036" i="5"/>
  <c r="A7037" i="5"/>
  <c r="A7038" i="5"/>
  <c r="A7039" i="5"/>
  <c r="A7040" i="5"/>
  <c r="A7041" i="5"/>
  <c r="A7042" i="5"/>
  <c r="A7043" i="5"/>
  <c r="A7044" i="5"/>
  <c r="A7045" i="5"/>
  <c r="A7046" i="5"/>
  <c r="A7047" i="5"/>
  <c r="A7048" i="5"/>
  <c r="A7049" i="5"/>
  <c r="A7050" i="5"/>
  <c r="A7051" i="5"/>
  <c r="A7052" i="5"/>
  <c r="A7053" i="5"/>
  <c r="A7054" i="5"/>
  <c r="A7055" i="5"/>
  <c r="A7056" i="5"/>
  <c r="A7057" i="5"/>
  <c r="A7058" i="5"/>
  <c r="A7059" i="5"/>
  <c r="A7060" i="5"/>
  <c r="A7061" i="5"/>
  <c r="A7062" i="5"/>
  <c r="A7063" i="5"/>
  <c r="A7064" i="5"/>
  <c r="A7065" i="5"/>
  <c r="A7066" i="5"/>
  <c r="A7067" i="5"/>
  <c r="A7068" i="5"/>
  <c r="A7069" i="5"/>
  <c r="A7070" i="5"/>
  <c r="A7071" i="5"/>
  <c r="A7072" i="5"/>
  <c r="A7073" i="5"/>
  <c r="A7074" i="5"/>
  <c r="A7075" i="5"/>
  <c r="A7076" i="5"/>
  <c r="A7077" i="5"/>
  <c r="A7078" i="5"/>
  <c r="A7079" i="5"/>
  <c r="A7080" i="5"/>
  <c r="A7081" i="5"/>
  <c r="A7082" i="5"/>
  <c r="A7083" i="5"/>
  <c r="A7084" i="5"/>
  <c r="A7085" i="5"/>
  <c r="A7086" i="5"/>
  <c r="A7087" i="5"/>
  <c r="A7088" i="5"/>
  <c r="A7089" i="5"/>
  <c r="A7090" i="5"/>
  <c r="A7091" i="5"/>
  <c r="A7092" i="5"/>
  <c r="A7093" i="5"/>
  <c r="A7094" i="5"/>
  <c r="A7095" i="5"/>
  <c r="A7096" i="5"/>
  <c r="A7097" i="5"/>
  <c r="A7098" i="5"/>
  <c r="A7099" i="5"/>
  <c r="A7100" i="5"/>
  <c r="A7101" i="5"/>
  <c r="A7102" i="5"/>
  <c r="A7103" i="5"/>
  <c r="A7104" i="5"/>
  <c r="A7105" i="5"/>
  <c r="A7106" i="5"/>
  <c r="A7107" i="5"/>
  <c r="A7108" i="5"/>
  <c r="A7109" i="5"/>
  <c r="A7110" i="5"/>
  <c r="A7111" i="5"/>
  <c r="A7112" i="5"/>
  <c r="A7113" i="5"/>
  <c r="A7114" i="5"/>
  <c r="A7115" i="5"/>
  <c r="A7116" i="5"/>
  <c r="A7117" i="5"/>
  <c r="A7118" i="5"/>
  <c r="A7119" i="5"/>
  <c r="A7120" i="5"/>
  <c r="A7121" i="5"/>
  <c r="A7122" i="5"/>
  <c r="A7123" i="5"/>
  <c r="A7124" i="5"/>
  <c r="A7125" i="5"/>
  <c r="A7126" i="5"/>
  <c r="A7127" i="5"/>
  <c r="A7128" i="5"/>
  <c r="A7129" i="5"/>
  <c r="A7130" i="5"/>
  <c r="A7131" i="5"/>
  <c r="A7132" i="5"/>
  <c r="A7133" i="5"/>
  <c r="A7134" i="5"/>
  <c r="A7135" i="5"/>
  <c r="A7136" i="5"/>
  <c r="A7137" i="5"/>
  <c r="A7138" i="5"/>
  <c r="A7139" i="5"/>
  <c r="A7140" i="5"/>
  <c r="A7141" i="5"/>
  <c r="A7142" i="5"/>
  <c r="A7143" i="5"/>
  <c r="A7144" i="5"/>
  <c r="A7145" i="5"/>
  <c r="A7146" i="5"/>
  <c r="A7147" i="5"/>
  <c r="A7148" i="5"/>
  <c r="A7149" i="5"/>
  <c r="A7150" i="5"/>
  <c r="A7151" i="5"/>
  <c r="A7152" i="5"/>
  <c r="A7153" i="5"/>
  <c r="A7154" i="5"/>
  <c r="A7155" i="5"/>
  <c r="A7156" i="5"/>
  <c r="A7157" i="5"/>
  <c r="A7158" i="5"/>
  <c r="A7159" i="5"/>
  <c r="A7160" i="5"/>
  <c r="A7161" i="5"/>
  <c r="A7162" i="5"/>
  <c r="A7163" i="5"/>
  <c r="A7164" i="5"/>
  <c r="A7165" i="5"/>
  <c r="A7166" i="5"/>
  <c r="A7167" i="5"/>
  <c r="A7168" i="5"/>
  <c r="A7169" i="5"/>
  <c r="A7170" i="5"/>
  <c r="A7171" i="5"/>
  <c r="A7172" i="5"/>
  <c r="A7173" i="5"/>
  <c r="A7174" i="5"/>
  <c r="A7175" i="5"/>
  <c r="A7176" i="5"/>
  <c r="A7177" i="5"/>
  <c r="A7178" i="5"/>
  <c r="A7179" i="5"/>
  <c r="A7180" i="5"/>
  <c r="A7181" i="5"/>
  <c r="A7182" i="5"/>
  <c r="A7183" i="5"/>
  <c r="A7184" i="5"/>
  <c r="A7185" i="5"/>
  <c r="A7186" i="5"/>
  <c r="A7187" i="5"/>
  <c r="A7188" i="5"/>
  <c r="A7189" i="5"/>
  <c r="A7190" i="5"/>
  <c r="A7191" i="5"/>
  <c r="A7192" i="5"/>
  <c r="A7193" i="5"/>
  <c r="A7194" i="5"/>
  <c r="A7195" i="5"/>
  <c r="A7196" i="5"/>
  <c r="A7197" i="5"/>
  <c r="A7198" i="5"/>
  <c r="A7199" i="5"/>
  <c r="A7200" i="5"/>
  <c r="A7201" i="5"/>
  <c r="A7202" i="5"/>
  <c r="A7203" i="5"/>
  <c r="A7204" i="5"/>
  <c r="A7205" i="5"/>
  <c r="A7206" i="5"/>
  <c r="A7207" i="5"/>
  <c r="A7208" i="5"/>
  <c r="A7209" i="5"/>
  <c r="A7210" i="5"/>
  <c r="A7211" i="5"/>
  <c r="A7212" i="5"/>
  <c r="A7213" i="5"/>
  <c r="A7214" i="5"/>
  <c r="A7215" i="5"/>
  <c r="A7216" i="5"/>
  <c r="A7217" i="5"/>
  <c r="A7218" i="5"/>
  <c r="A7219" i="5"/>
  <c r="A7220" i="5"/>
  <c r="A7221" i="5"/>
  <c r="A7222" i="5"/>
  <c r="A7223" i="5"/>
  <c r="A7224" i="5"/>
  <c r="A7225" i="5"/>
  <c r="A7226" i="5"/>
  <c r="A7227" i="5"/>
  <c r="A7228" i="5"/>
  <c r="A7229" i="5"/>
  <c r="A7230" i="5"/>
  <c r="A7231" i="5"/>
  <c r="A7232" i="5"/>
  <c r="A7233" i="5"/>
  <c r="A7234" i="5"/>
  <c r="A7235" i="5"/>
  <c r="A7236" i="5"/>
  <c r="A7237" i="5"/>
  <c r="A7238" i="5"/>
  <c r="A7239" i="5"/>
  <c r="A7240" i="5"/>
  <c r="A7241" i="5"/>
  <c r="A7242" i="5"/>
  <c r="A7243" i="5"/>
  <c r="A7244" i="5"/>
  <c r="A7245" i="5"/>
  <c r="A7246" i="5"/>
  <c r="A7247" i="5"/>
  <c r="A7248" i="5"/>
  <c r="A7249" i="5"/>
  <c r="A7250" i="5"/>
  <c r="A7251" i="5"/>
  <c r="A7252" i="5"/>
  <c r="A7253" i="5"/>
  <c r="A7254" i="5"/>
  <c r="A7255" i="5"/>
  <c r="A7256" i="5"/>
  <c r="A7257" i="5"/>
  <c r="A7258" i="5"/>
  <c r="A7259" i="5"/>
  <c r="A7260" i="5"/>
  <c r="A7261" i="5"/>
  <c r="A7262" i="5"/>
  <c r="A7263" i="5"/>
  <c r="A7264" i="5"/>
  <c r="A7265" i="5"/>
  <c r="A7266" i="5"/>
  <c r="A7267" i="5"/>
  <c r="A7268" i="5"/>
  <c r="A7269" i="5"/>
  <c r="A7270" i="5"/>
  <c r="A7271" i="5"/>
  <c r="A7272" i="5"/>
  <c r="A7273" i="5"/>
  <c r="A7274" i="5"/>
  <c r="A7275" i="5"/>
  <c r="A7276" i="5"/>
  <c r="A7277" i="5"/>
  <c r="A7278" i="5"/>
  <c r="A7279" i="5"/>
  <c r="A7280" i="5"/>
  <c r="A7281" i="5"/>
  <c r="A7282" i="5"/>
  <c r="A7283" i="5"/>
  <c r="A7284" i="5"/>
  <c r="A7285" i="5"/>
  <c r="A7286" i="5"/>
  <c r="A7287" i="5"/>
  <c r="A7288" i="5"/>
  <c r="A7289" i="5"/>
  <c r="A7290" i="5"/>
  <c r="A7291" i="5"/>
  <c r="A7292" i="5"/>
  <c r="A7293" i="5"/>
  <c r="A7294" i="5"/>
  <c r="A7295" i="5"/>
  <c r="A7296" i="5"/>
  <c r="A7297" i="5"/>
  <c r="A7298" i="5"/>
  <c r="A7299" i="5"/>
  <c r="A7300" i="5"/>
  <c r="A7301" i="5"/>
  <c r="A7302" i="5"/>
  <c r="A7303" i="5"/>
  <c r="A7304" i="5"/>
  <c r="A7305" i="5"/>
  <c r="A7306" i="5"/>
  <c r="A7307" i="5"/>
  <c r="A7308" i="5"/>
  <c r="A7309" i="5"/>
  <c r="A7310" i="5"/>
  <c r="A7311" i="5"/>
  <c r="A7312" i="5"/>
  <c r="A7313" i="5"/>
  <c r="A7314" i="5"/>
  <c r="A7315" i="5"/>
  <c r="A7316" i="5"/>
  <c r="A7317" i="5"/>
  <c r="A7318" i="5"/>
  <c r="A7319" i="5"/>
  <c r="A7320" i="5"/>
  <c r="A7321" i="5"/>
  <c r="A7322" i="5"/>
  <c r="A7323" i="5"/>
  <c r="A7324" i="5"/>
  <c r="A7325" i="5"/>
  <c r="A7326" i="5"/>
  <c r="A7327" i="5"/>
  <c r="A7328" i="5"/>
  <c r="A7329" i="5"/>
  <c r="A7330" i="5"/>
  <c r="A7331" i="5"/>
  <c r="A7332" i="5"/>
  <c r="A7333" i="5"/>
  <c r="A7334" i="5"/>
  <c r="A7335" i="5"/>
  <c r="A7336" i="5"/>
  <c r="A7337" i="5"/>
  <c r="A7338" i="5"/>
  <c r="A7339" i="5"/>
  <c r="A7340" i="5"/>
  <c r="A7341" i="5"/>
  <c r="A7342" i="5"/>
  <c r="A7343" i="5"/>
  <c r="A7344" i="5"/>
  <c r="A7345" i="5"/>
  <c r="A7346" i="5"/>
  <c r="A7347" i="5"/>
  <c r="A7348" i="5"/>
  <c r="A7349" i="5"/>
  <c r="A7350" i="5"/>
  <c r="A7351" i="5"/>
  <c r="A7352" i="5"/>
  <c r="A7353" i="5"/>
  <c r="A7354" i="5"/>
  <c r="A7355" i="5"/>
  <c r="A7356" i="5"/>
  <c r="A7357" i="5"/>
  <c r="A7358" i="5"/>
  <c r="A7359" i="5"/>
  <c r="A7360" i="5"/>
  <c r="A7361" i="5"/>
  <c r="A7362" i="5"/>
  <c r="A7363" i="5"/>
  <c r="A7364" i="5"/>
  <c r="A7365" i="5"/>
  <c r="A7366" i="5"/>
  <c r="A7367" i="5"/>
  <c r="A7368" i="5"/>
  <c r="A7369" i="5"/>
  <c r="A7370" i="5"/>
  <c r="A7371" i="5"/>
  <c r="A7372" i="5"/>
  <c r="A7373" i="5"/>
  <c r="A7374" i="5"/>
  <c r="A7375" i="5"/>
  <c r="A7376" i="5"/>
  <c r="A7377" i="5"/>
  <c r="A7378" i="5"/>
  <c r="A7379" i="5"/>
  <c r="A7380" i="5"/>
  <c r="A7381" i="5"/>
  <c r="A7382" i="5"/>
  <c r="A7383" i="5"/>
  <c r="A7384" i="5"/>
  <c r="A7385" i="5"/>
  <c r="A7386" i="5"/>
  <c r="A7387" i="5"/>
  <c r="A7388" i="5"/>
  <c r="A7389" i="5"/>
  <c r="A7390" i="5"/>
  <c r="A7391" i="5"/>
  <c r="A7392" i="5"/>
  <c r="A7393" i="5"/>
  <c r="A7394" i="5"/>
  <c r="A7395" i="5"/>
  <c r="A7396" i="5"/>
  <c r="A7397" i="5"/>
  <c r="A7398" i="5"/>
  <c r="A7399" i="5"/>
  <c r="A7400" i="5"/>
  <c r="A7401" i="5"/>
  <c r="A7402" i="5"/>
  <c r="A7403" i="5"/>
  <c r="A7404" i="5"/>
  <c r="A7405" i="5"/>
  <c r="A7406" i="5"/>
  <c r="A7407" i="5"/>
  <c r="A7408" i="5"/>
  <c r="A7409" i="5"/>
  <c r="A7410" i="5"/>
  <c r="A7411" i="5"/>
  <c r="A7412" i="5"/>
  <c r="A7413" i="5"/>
  <c r="A7414" i="5"/>
  <c r="A7415" i="5"/>
  <c r="A7416" i="5"/>
  <c r="A7417" i="5"/>
  <c r="A7418" i="5"/>
  <c r="A7419" i="5"/>
  <c r="A7420" i="5"/>
  <c r="A7421" i="5"/>
  <c r="A7422" i="5"/>
  <c r="A7423" i="5"/>
  <c r="A7424" i="5"/>
  <c r="A7425" i="5"/>
  <c r="A7426" i="5"/>
  <c r="A7427" i="5"/>
  <c r="A7428" i="5"/>
  <c r="A7429" i="5"/>
  <c r="A7430" i="5"/>
  <c r="A7431" i="5"/>
  <c r="A7432" i="5"/>
  <c r="A7433" i="5"/>
  <c r="A7434" i="5"/>
  <c r="A7435" i="5"/>
  <c r="A7436" i="5"/>
  <c r="A7437" i="5"/>
  <c r="A7438" i="5"/>
  <c r="A7439" i="5"/>
  <c r="A7440" i="5"/>
  <c r="A7441" i="5"/>
  <c r="A7442" i="5"/>
  <c r="A7443" i="5"/>
  <c r="A7444" i="5"/>
  <c r="A7445" i="5"/>
  <c r="A7446" i="5"/>
  <c r="A7447" i="5"/>
  <c r="A7448" i="5"/>
  <c r="A7449" i="5"/>
  <c r="A7450" i="5"/>
  <c r="A7451" i="5"/>
  <c r="A7452" i="5"/>
  <c r="A7453" i="5"/>
  <c r="A7454" i="5"/>
  <c r="A7455" i="5"/>
  <c r="A7456" i="5"/>
  <c r="A7457" i="5"/>
  <c r="A7458" i="5"/>
  <c r="A7459" i="5"/>
  <c r="A7460" i="5"/>
  <c r="A7461" i="5"/>
  <c r="A7462" i="5"/>
  <c r="A7463" i="5"/>
  <c r="A7464" i="5"/>
  <c r="A7465" i="5"/>
  <c r="A7466" i="5"/>
  <c r="A7467" i="5"/>
  <c r="A7468" i="5"/>
  <c r="A7469" i="5"/>
  <c r="A7470" i="5"/>
  <c r="A7471" i="5"/>
  <c r="A7472" i="5"/>
  <c r="A7473" i="5"/>
  <c r="A7474" i="5"/>
  <c r="A7475" i="5"/>
  <c r="A7476" i="5"/>
  <c r="A7477" i="5"/>
  <c r="A7478" i="5"/>
  <c r="A7479" i="5"/>
  <c r="A7480" i="5"/>
  <c r="A7481" i="5"/>
  <c r="A7482" i="5"/>
  <c r="A7483" i="5"/>
  <c r="A7484" i="5"/>
  <c r="A7485" i="5"/>
  <c r="A7486" i="5"/>
  <c r="A7487" i="5"/>
  <c r="A7488" i="5"/>
  <c r="A7489" i="5"/>
  <c r="A7490" i="5"/>
  <c r="A7491" i="5"/>
  <c r="A7492" i="5"/>
  <c r="A7493" i="5"/>
  <c r="A7494" i="5"/>
  <c r="A7495" i="5"/>
  <c r="A7496" i="5"/>
  <c r="A7497" i="5"/>
  <c r="A7498" i="5"/>
  <c r="A7499" i="5"/>
  <c r="A7500" i="5"/>
  <c r="A7501" i="5"/>
  <c r="A7502" i="5"/>
  <c r="A7503" i="5"/>
  <c r="A7504" i="5"/>
  <c r="A7505" i="5"/>
  <c r="A7506" i="5"/>
  <c r="A7507" i="5"/>
  <c r="A7508" i="5"/>
  <c r="A7509" i="5"/>
  <c r="A7510" i="5"/>
  <c r="A7511" i="5"/>
  <c r="A7512" i="5"/>
  <c r="A7513" i="5"/>
  <c r="A7514" i="5"/>
  <c r="A7515" i="5"/>
  <c r="A7516" i="5"/>
  <c r="A7517" i="5"/>
  <c r="A7518" i="5"/>
  <c r="A7519" i="5"/>
  <c r="A7520" i="5"/>
  <c r="A7521" i="5"/>
  <c r="A7522" i="5"/>
  <c r="A7523" i="5"/>
  <c r="A7524" i="5"/>
  <c r="A7525" i="5"/>
  <c r="A7526" i="5"/>
  <c r="A7527" i="5"/>
  <c r="A7528" i="5"/>
  <c r="A7529" i="5"/>
  <c r="A7530" i="5"/>
  <c r="A7531" i="5"/>
  <c r="A7532" i="5"/>
  <c r="A7533" i="5"/>
  <c r="A7534" i="5"/>
  <c r="A7535" i="5"/>
  <c r="A7536" i="5"/>
  <c r="A7537" i="5"/>
  <c r="A7538" i="5"/>
  <c r="A7539" i="5"/>
  <c r="A7540" i="5"/>
  <c r="A7541" i="5"/>
  <c r="A7542" i="5"/>
  <c r="A7543" i="5"/>
  <c r="A7544" i="5"/>
  <c r="A7545" i="5"/>
  <c r="A7546" i="5"/>
  <c r="A7547" i="5"/>
  <c r="A7548" i="5"/>
  <c r="A7549" i="5"/>
  <c r="A7550" i="5"/>
  <c r="A7551" i="5"/>
  <c r="A7552" i="5"/>
  <c r="A7553" i="5"/>
  <c r="A7554" i="5"/>
  <c r="A7555" i="5"/>
  <c r="A7556" i="5"/>
  <c r="A7557" i="5"/>
  <c r="A7558" i="5"/>
  <c r="A7559" i="5"/>
  <c r="A7560" i="5"/>
  <c r="A7561" i="5"/>
  <c r="A7562" i="5"/>
  <c r="A7563" i="5"/>
  <c r="A7564" i="5"/>
  <c r="A7565" i="5"/>
  <c r="A7566" i="5"/>
  <c r="A7567" i="5"/>
  <c r="A7568" i="5"/>
  <c r="A7569" i="5"/>
  <c r="A7570" i="5"/>
  <c r="A7571" i="5"/>
  <c r="A7572" i="5"/>
  <c r="A7573" i="5"/>
  <c r="A7574" i="5"/>
  <c r="A7575" i="5"/>
  <c r="A7576" i="5"/>
  <c r="A7577" i="5"/>
  <c r="A7578" i="5"/>
  <c r="A7579" i="5"/>
  <c r="A7580" i="5"/>
  <c r="A7581" i="5"/>
  <c r="A7582" i="5"/>
  <c r="A7583" i="5"/>
  <c r="A7584" i="5"/>
  <c r="A7585" i="5"/>
  <c r="A7586" i="5"/>
  <c r="A7587" i="5"/>
  <c r="A7588" i="5"/>
  <c r="A7589" i="5"/>
  <c r="A7590" i="5"/>
  <c r="A7591" i="5"/>
  <c r="A7592" i="5"/>
  <c r="A7593" i="5"/>
  <c r="A7594" i="5"/>
  <c r="A7595" i="5"/>
  <c r="A7596" i="5"/>
  <c r="A7597" i="5"/>
  <c r="A7598" i="5"/>
  <c r="A7599" i="5"/>
  <c r="A7600" i="5"/>
  <c r="A7601" i="5"/>
  <c r="A7602" i="5"/>
  <c r="A7603" i="5"/>
  <c r="A7604" i="5"/>
  <c r="A7605" i="5"/>
  <c r="A7606" i="5"/>
  <c r="A7607" i="5"/>
  <c r="A7608" i="5"/>
  <c r="A7609" i="5"/>
  <c r="A7610" i="5"/>
  <c r="A7611" i="5"/>
  <c r="A7612" i="5"/>
  <c r="A7613" i="5"/>
  <c r="A7614" i="5"/>
  <c r="A7615" i="5"/>
  <c r="A7616" i="5"/>
  <c r="A7617" i="5"/>
  <c r="A7618" i="5"/>
  <c r="A7619" i="5"/>
  <c r="A7620" i="5"/>
  <c r="A7621" i="5"/>
  <c r="A7622" i="5"/>
  <c r="A7623" i="5"/>
  <c r="A7624" i="5"/>
  <c r="A7625" i="5"/>
  <c r="A7626" i="5"/>
  <c r="A7627" i="5"/>
  <c r="A7628" i="5"/>
  <c r="A7629" i="5"/>
  <c r="A7630" i="5"/>
  <c r="A7631" i="5"/>
  <c r="A7632" i="5"/>
  <c r="A7633" i="5"/>
  <c r="A7634" i="5"/>
  <c r="A7635" i="5"/>
  <c r="A7636" i="5"/>
  <c r="A7637" i="5"/>
  <c r="A7638" i="5"/>
  <c r="A7639" i="5"/>
  <c r="A7640" i="5"/>
  <c r="A7641" i="5"/>
  <c r="A7642" i="5"/>
  <c r="A7643" i="5"/>
  <c r="A7644" i="5"/>
  <c r="A7645" i="5"/>
  <c r="A7646" i="5"/>
  <c r="A7647" i="5"/>
  <c r="A7648" i="5"/>
  <c r="A7649" i="5"/>
  <c r="A7650" i="5"/>
  <c r="A7651" i="5"/>
  <c r="A7652" i="5"/>
  <c r="A7653" i="5"/>
  <c r="A7654" i="5"/>
  <c r="A7655" i="5"/>
  <c r="A7656" i="5"/>
  <c r="A7657" i="5"/>
  <c r="A7658" i="5"/>
  <c r="A7659" i="5"/>
  <c r="A7660" i="5"/>
  <c r="A7661" i="5"/>
  <c r="A7662" i="5"/>
  <c r="A7663" i="5"/>
  <c r="A7664" i="5"/>
  <c r="A7665" i="5"/>
  <c r="A7666" i="5"/>
  <c r="A7667" i="5"/>
  <c r="A7668" i="5"/>
  <c r="A7669" i="5"/>
  <c r="A7670" i="5"/>
  <c r="A7671" i="5"/>
  <c r="A7672" i="5"/>
  <c r="A7673" i="5"/>
  <c r="A7674" i="5"/>
  <c r="A7675" i="5"/>
  <c r="A7676" i="5"/>
  <c r="A7677" i="5"/>
  <c r="A7678" i="5"/>
  <c r="A7679" i="5"/>
  <c r="A7680" i="5"/>
  <c r="A7681" i="5"/>
  <c r="A7682" i="5"/>
  <c r="A7683" i="5"/>
  <c r="A7684" i="5"/>
  <c r="A7685" i="5"/>
  <c r="A7686" i="5"/>
  <c r="A7687" i="5"/>
  <c r="A7688" i="5"/>
  <c r="A7689" i="5"/>
  <c r="A7690" i="5"/>
  <c r="A7691" i="5"/>
  <c r="A7692" i="5"/>
  <c r="A7693" i="5"/>
  <c r="A7694" i="5"/>
  <c r="A7695" i="5"/>
  <c r="A7696" i="5"/>
  <c r="A7697" i="5"/>
  <c r="A7698" i="5"/>
  <c r="A7699" i="5"/>
  <c r="A7700" i="5"/>
  <c r="A7701" i="5"/>
  <c r="A7702" i="5"/>
  <c r="A7703" i="5"/>
  <c r="A7704" i="5"/>
  <c r="A7705" i="5"/>
  <c r="A7706" i="5"/>
  <c r="A7707" i="5"/>
  <c r="A7708" i="5"/>
  <c r="A7709" i="5"/>
  <c r="A7710" i="5"/>
  <c r="A7711" i="5"/>
  <c r="A7712" i="5"/>
  <c r="A7713" i="5"/>
  <c r="A7714" i="5"/>
  <c r="A7715" i="5"/>
  <c r="A7716" i="5"/>
  <c r="A7717" i="5"/>
  <c r="A7718" i="5"/>
  <c r="A7719" i="5"/>
  <c r="A7720" i="5"/>
  <c r="A7721" i="5"/>
  <c r="A7722" i="5"/>
  <c r="A7723" i="5"/>
  <c r="A7724" i="5"/>
  <c r="A7725" i="5"/>
  <c r="A7726" i="5"/>
  <c r="A7727" i="5"/>
  <c r="A7728" i="5"/>
  <c r="A7729" i="5"/>
  <c r="A7730" i="5"/>
  <c r="A7731" i="5"/>
  <c r="A7732" i="5"/>
  <c r="A7733" i="5"/>
  <c r="A7734" i="5"/>
  <c r="A7735" i="5"/>
  <c r="A7736" i="5"/>
  <c r="A7737" i="5"/>
  <c r="A7738" i="5"/>
  <c r="A7739" i="5"/>
  <c r="A7740" i="5"/>
  <c r="A7741" i="5"/>
  <c r="A7742" i="5"/>
  <c r="A7743" i="5"/>
  <c r="A7744" i="5"/>
  <c r="A7745" i="5"/>
  <c r="A7746" i="5"/>
  <c r="A7747" i="5"/>
  <c r="A7748" i="5"/>
  <c r="A7749" i="5"/>
  <c r="A7750" i="5"/>
  <c r="A7751" i="5"/>
  <c r="A7752" i="5"/>
  <c r="A7753" i="5"/>
  <c r="A7754" i="5"/>
  <c r="A7755" i="5"/>
  <c r="A7756" i="5"/>
  <c r="A7757" i="5"/>
  <c r="A7758" i="5"/>
  <c r="A7759" i="5"/>
  <c r="A7760" i="5"/>
  <c r="A7761" i="5"/>
  <c r="A7762" i="5"/>
  <c r="A7763" i="5"/>
  <c r="A7764" i="5"/>
  <c r="A7765" i="5"/>
  <c r="A7766" i="5"/>
  <c r="A7767" i="5"/>
  <c r="A7768" i="5"/>
  <c r="A7769" i="5"/>
  <c r="A7770" i="5"/>
  <c r="A7771" i="5"/>
  <c r="A7772" i="5"/>
  <c r="A7773" i="5"/>
  <c r="A7774" i="5"/>
  <c r="A7775" i="5"/>
  <c r="A7776" i="5"/>
  <c r="A7777" i="5"/>
  <c r="A7778" i="5"/>
  <c r="A7779" i="5"/>
  <c r="A7780" i="5"/>
  <c r="A7781" i="5"/>
  <c r="A7782" i="5"/>
  <c r="A7783" i="5"/>
  <c r="A7784" i="5"/>
  <c r="A7785" i="5"/>
  <c r="A7786" i="5"/>
  <c r="A7787" i="5"/>
  <c r="A7788" i="5"/>
  <c r="A7789" i="5"/>
  <c r="A7790" i="5"/>
  <c r="A7791" i="5"/>
  <c r="A7792" i="5"/>
  <c r="A7793" i="5"/>
  <c r="A7794" i="5"/>
  <c r="A7795" i="5"/>
  <c r="A7796" i="5"/>
  <c r="A7797" i="5"/>
  <c r="A7798" i="5"/>
  <c r="A7799" i="5"/>
  <c r="A7800" i="5"/>
  <c r="A7801" i="5"/>
  <c r="A7802" i="5"/>
  <c r="A7803" i="5"/>
  <c r="A7804" i="5"/>
  <c r="A7805" i="5"/>
  <c r="A7806" i="5"/>
  <c r="A7807" i="5"/>
  <c r="A7808" i="5"/>
  <c r="A7809" i="5"/>
  <c r="A7810" i="5"/>
  <c r="A7811" i="5"/>
  <c r="A7812" i="5"/>
  <c r="A7813" i="5"/>
  <c r="A7814" i="5"/>
  <c r="A7815" i="5"/>
  <c r="A7816" i="5"/>
  <c r="A7817" i="5"/>
  <c r="A7818" i="5"/>
  <c r="A7819" i="5"/>
  <c r="A7820" i="5"/>
  <c r="A7821" i="5"/>
  <c r="A7822" i="5"/>
  <c r="A7823" i="5"/>
  <c r="A7824" i="5"/>
  <c r="A7825" i="5"/>
  <c r="A7826" i="5"/>
  <c r="A7827" i="5"/>
  <c r="A7828" i="5"/>
  <c r="A7829" i="5"/>
  <c r="A7830" i="5"/>
  <c r="A7831" i="5"/>
  <c r="A7832" i="5"/>
  <c r="A7833" i="5"/>
  <c r="A7834" i="5"/>
  <c r="A7835" i="5"/>
  <c r="A7836" i="5"/>
  <c r="A7837" i="5"/>
  <c r="A7838" i="5"/>
  <c r="A7839" i="5"/>
  <c r="A7840" i="5"/>
  <c r="A7841" i="5"/>
  <c r="A7842" i="5"/>
  <c r="A7843" i="5"/>
  <c r="A7844" i="5"/>
  <c r="A7845" i="5"/>
  <c r="A7846" i="5"/>
  <c r="A7847" i="5"/>
  <c r="A7848" i="5"/>
  <c r="A7849" i="5"/>
  <c r="A7850" i="5"/>
  <c r="A7851" i="5"/>
  <c r="A7852" i="5"/>
  <c r="A7853" i="5"/>
  <c r="A7854" i="5"/>
  <c r="A7855" i="5"/>
  <c r="A7856" i="5"/>
  <c r="A7857" i="5"/>
  <c r="A7858" i="5"/>
  <c r="A7859" i="5"/>
  <c r="A7860" i="5"/>
  <c r="A7861" i="5"/>
  <c r="A7862" i="5"/>
  <c r="A7863" i="5"/>
  <c r="A7864" i="5"/>
  <c r="A7865" i="5"/>
  <c r="A7866" i="5"/>
  <c r="A7867" i="5"/>
  <c r="A7868" i="5"/>
  <c r="A7869" i="5"/>
  <c r="A7870" i="5"/>
  <c r="A7871" i="5"/>
  <c r="A7872" i="5"/>
  <c r="A7873" i="5"/>
  <c r="A7874" i="5"/>
  <c r="A7875" i="5"/>
  <c r="A7876" i="5"/>
  <c r="A7877" i="5"/>
  <c r="A7878" i="5"/>
  <c r="A7879" i="5"/>
  <c r="A7880" i="5"/>
  <c r="A7881" i="5"/>
  <c r="A7882" i="5"/>
  <c r="A7883" i="5"/>
  <c r="A7884" i="5"/>
  <c r="A7885" i="5"/>
  <c r="A7886" i="5"/>
  <c r="A7887" i="5"/>
  <c r="A7888" i="5"/>
  <c r="A7889" i="5"/>
  <c r="A7890" i="5"/>
  <c r="A7891" i="5"/>
  <c r="A7892" i="5"/>
  <c r="A7893" i="5"/>
  <c r="A7894" i="5"/>
  <c r="A7895" i="5"/>
  <c r="A7896" i="5"/>
  <c r="A7897" i="5"/>
  <c r="A7898" i="5"/>
  <c r="A7899" i="5"/>
  <c r="A7900" i="5"/>
  <c r="A7901" i="5"/>
  <c r="A7902" i="5"/>
  <c r="A7903" i="5"/>
  <c r="A7904" i="5"/>
  <c r="A7905" i="5"/>
  <c r="A7906" i="5"/>
  <c r="A7907" i="5"/>
  <c r="A7908" i="5"/>
  <c r="A7909" i="5"/>
  <c r="A7910" i="5"/>
  <c r="A7911" i="5"/>
  <c r="A7912" i="5"/>
  <c r="A7913" i="5"/>
  <c r="A7914" i="5"/>
  <c r="A7915" i="5"/>
  <c r="A7916" i="5"/>
  <c r="A7917" i="5"/>
  <c r="A7918" i="5"/>
  <c r="A7919" i="5"/>
  <c r="A7920" i="5"/>
  <c r="A7921" i="5"/>
  <c r="A7922" i="5"/>
  <c r="A7923" i="5"/>
  <c r="A7924" i="5"/>
  <c r="A7925" i="5"/>
  <c r="A7926" i="5"/>
  <c r="A7927" i="5"/>
  <c r="A7928" i="5"/>
  <c r="A7929" i="5"/>
  <c r="A7930" i="5"/>
  <c r="A7931" i="5"/>
  <c r="A7932" i="5"/>
  <c r="A7933" i="5"/>
  <c r="A7934" i="5"/>
  <c r="A7935" i="5"/>
  <c r="A7936" i="5"/>
  <c r="A7937" i="5"/>
  <c r="A7938" i="5"/>
  <c r="A7939" i="5"/>
  <c r="A7940" i="5"/>
  <c r="A7941" i="5"/>
  <c r="A7942" i="5"/>
  <c r="A7943" i="5"/>
  <c r="A7944" i="5"/>
  <c r="A7945" i="5"/>
  <c r="A7946" i="5"/>
  <c r="A7947" i="5"/>
  <c r="A7948" i="5"/>
  <c r="A7949" i="5"/>
  <c r="A7950" i="5"/>
  <c r="A7951" i="5"/>
  <c r="A7952" i="5"/>
  <c r="A7953" i="5"/>
  <c r="A7954" i="5"/>
  <c r="A7955" i="5"/>
  <c r="A7956" i="5"/>
  <c r="A7957" i="5"/>
  <c r="A7958" i="5"/>
  <c r="A7959" i="5"/>
  <c r="A7960" i="5"/>
  <c r="A7961" i="5"/>
  <c r="A7962" i="5"/>
  <c r="A7963" i="5"/>
  <c r="A7964" i="5"/>
  <c r="A7965" i="5"/>
  <c r="A7966" i="5"/>
  <c r="A7967" i="5"/>
  <c r="A7968" i="5"/>
  <c r="A7969" i="5"/>
  <c r="A7970" i="5"/>
  <c r="A7971" i="5"/>
  <c r="A7972" i="5"/>
  <c r="A7973" i="5"/>
  <c r="A7974" i="5"/>
  <c r="A7975" i="5"/>
  <c r="A7976" i="5"/>
  <c r="A7977" i="5"/>
  <c r="A7978" i="5"/>
  <c r="A7979" i="5"/>
  <c r="A7980" i="5"/>
  <c r="A7981" i="5"/>
  <c r="A7982" i="5"/>
  <c r="A7983" i="5"/>
  <c r="A7984" i="5"/>
  <c r="A7985" i="5"/>
  <c r="A7986" i="5"/>
  <c r="A7987" i="5"/>
  <c r="A7988" i="5"/>
  <c r="A7989" i="5"/>
  <c r="A7990" i="5"/>
  <c r="A7991" i="5"/>
  <c r="A7992" i="5"/>
  <c r="A7993" i="5"/>
  <c r="A7994" i="5"/>
  <c r="A7995" i="5"/>
  <c r="A7996" i="5"/>
  <c r="A7997" i="5"/>
  <c r="A7998" i="5"/>
  <c r="A7999" i="5"/>
  <c r="A8000" i="5"/>
  <c r="A8001" i="5"/>
  <c r="A8002" i="5"/>
  <c r="A8003" i="5"/>
  <c r="A8004" i="5"/>
  <c r="A8005" i="5"/>
  <c r="A8006" i="5"/>
  <c r="A8007" i="5"/>
  <c r="A8008" i="5"/>
  <c r="A8009" i="5"/>
  <c r="A8010" i="5"/>
  <c r="A8011" i="5"/>
  <c r="A8012" i="5"/>
  <c r="A8013" i="5"/>
  <c r="A8014" i="5"/>
  <c r="A8015" i="5"/>
  <c r="A8016" i="5"/>
  <c r="A8017" i="5"/>
  <c r="A8018" i="5"/>
  <c r="A8019" i="5"/>
  <c r="A8020" i="5"/>
  <c r="A8021" i="5"/>
  <c r="A8022" i="5"/>
  <c r="A8023" i="5"/>
  <c r="A8024" i="5"/>
  <c r="A8025" i="5"/>
  <c r="A8026" i="5"/>
  <c r="A8027" i="5"/>
  <c r="A8028" i="5"/>
  <c r="A8029" i="5"/>
  <c r="A8030" i="5"/>
  <c r="A8031" i="5"/>
  <c r="A8032" i="5"/>
  <c r="A8033" i="5"/>
  <c r="A8034" i="5"/>
  <c r="A8035" i="5"/>
  <c r="A8036" i="5"/>
  <c r="A8037" i="5"/>
  <c r="A8038" i="5"/>
  <c r="A8039" i="5"/>
  <c r="A8040" i="5"/>
  <c r="A8041" i="5"/>
  <c r="A8042" i="5"/>
  <c r="A8043" i="5"/>
  <c r="A8044" i="5"/>
  <c r="A8045" i="5"/>
  <c r="A8046" i="5"/>
  <c r="A8047" i="5"/>
  <c r="A8048" i="5"/>
  <c r="A8049" i="5"/>
  <c r="A8050" i="5"/>
  <c r="A8051" i="5"/>
  <c r="A8052" i="5"/>
  <c r="A8053" i="5"/>
  <c r="A8054" i="5"/>
  <c r="A8055" i="5"/>
  <c r="A8056" i="5"/>
  <c r="A8057" i="5"/>
  <c r="A8058" i="5"/>
  <c r="A8059" i="5"/>
  <c r="A8060" i="5"/>
  <c r="A8061" i="5"/>
  <c r="A8062" i="5"/>
  <c r="A8063" i="5"/>
  <c r="A8064" i="5"/>
  <c r="A8065" i="5"/>
  <c r="A8066" i="5"/>
  <c r="A8067" i="5"/>
  <c r="A8068" i="5"/>
  <c r="A8069" i="5"/>
  <c r="A8070" i="5"/>
  <c r="A8071" i="5"/>
  <c r="A8072" i="5"/>
  <c r="A8073" i="5"/>
  <c r="A8074" i="5"/>
  <c r="A8075" i="5"/>
  <c r="A8076" i="5"/>
  <c r="A8077" i="5"/>
  <c r="A8078" i="5"/>
  <c r="A8079" i="5"/>
  <c r="A8080" i="5"/>
  <c r="A8081" i="5"/>
  <c r="A8082" i="5"/>
  <c r="A8083" i="5"/>
  <c r="A8084" i="5"/>
  <c r="A8085" i="5"/>
  <c r="A8086" i="5"/>
  <c r="A8087" i="5"/>
  <c r="A8088" i="5"/>
  <c r="A8089" i="5"/>
  <c r="A8090" i="5"/>
  <c r="A8091" i="5"/>
  <c r="A8092" i="5"/>
  <c r="A8093" i="5"/>
  <c r="A8094" i="5"/>
  <c r="A8095" i="5"/>
  <c r="A8096" i="5"/>
  <c r="A8097" i="5"/>
  <c r="A8098" i="5"/>
  <c r="A8099" i="5"/>
  <c r="A8100" i="5"/>
  <c r="A8101" i="5"/>
  <c r="A8102" i="5"/>
  <c r="A8103" i="5"/>
  <c r="A8104" i="5"/>
  <c r="A8105" i="5"/>
  <c r="A8106" i="5"/>
  <c r="A8107" i="5"/>
  <c r="A8108" i="5"/>
  <c r="A8109" i="5"/>
  <c r="A8110" i="5"/>
  <c r="A8111" i="5"/>
  <c r="A8112" i="5"/>
  <c r="A8113" i="5"/>
  <c r="A8114" i="5"/>
  <c r="A8115" i="5"/>
  <c r="A8116" i="5"/>
  <c r="A8117" i="5"/>
  <c r="A8118" i="5"/>
  <c r="A8119" i="5"/>
  <c r="A8120" i="5"/>
  <c r="A8121" i="5"/>
  <c r="A8122" i="5"/>
  <c r="A8123" i="5"/>
  <c r="A8124" i="5"/>
  <c r="A8125" i="5"/>
  <c r="A8126" i="5"/>
  <c r="A8127" i="5"/>
  <c r="A8128" i="5"/>
  <c r="A8129" i="5"/>
  <c r="A8130" i="5"/>
  <c r="A8131" i="5"/>
  <c r="A8132" i="5"/>
  <c r="A8133" i="5"/>
  <c r="A8134" i="5"/>
  <c r="A8135" i="5"/>
  <c r="A8136" i="5"/>
  <c r="A8137" i="5"/>
  <c r="A8138" i="5"/>
  <c r="A8139" i="5"/>
  <c r="A8140" i="5"/>
  <c r="A8141" i="5"/>
  <c r="A8142" i="5"/>
  <c r="A8143" i="5"/>
  <c r="A8144" i="5"/>
  <c r="A8145" i="5"/>
  <c r="A8146" i="5"/>
  <c r="A8147" i="5"/>
  <c r="A8148" i="5"/>
  <c r="A8149" i="5"/>
  <c r="A8150" i="5"/>
  <c r="A8151" i="5"/>
  <c r="A8152" i="5"/>
  <c r="A8153" i="5"/>
  <c r="A8154" i="5"/>
  <c r="A8155" i="5"/>
  <c r="A8156" i="5"/>
  <c r="A8157" i="5"/>
  <c r="A8158" i="5"/>
  <c r="A8159" i="5"/>
  <c r="A8160" i="5"/>
  <c r="A8161" i="5"/>
  <c r="A8162" i="5"/>
  <c r="A8163" i="5"/>
  <c r="A8164" i="5"/>
  <c r="A8165" i="5"/>
  <c r="A8166" i="5"/>
  <c r="A8167" i="5"/>
  <c r="A8168" i="5"/>
  <c r="A8169" i="5"/>
  <c r="A8170" i="5"/>
  <c r="A8171" i="5"/>
  <c r="A8172" i="5"/>
  <c r="A8173" i="5"/>
  <c r="A8174" i="5"/>
  <c r="A8175" i="5"/>
  <c r="A8176" i="5"/>
  <c r="A8177" i="5"/>
  <c r="A8178" i="5"/>
  <c r="A8179" i="5"/>
  <c r="A8180" i="5"/>
  <c r="A8181" i="5"/>
  <c r="A8182" i="5"/>
  <c r="A8183" i="5"/>
  <c r="A8184" i="5"/>
  <c r="A8185" i="5"/>
  <c r="A8186" i="5"/>
  <c r="A8187" i="5"/>
  <c r="A8188" i="5"/>
  <c r="A8189" i="5"/>
  <c r="A8190" i="5"/>
  <c r="A8191" i="5"/>
  <c r="A8192" i="5"/>
  <c r="A8193" i="5"/>
  <c r="A8194" i="5"/>
  <c r="A8195" i="5"/>
  <c r="A8196" i="5"/>
  <c r="A8197" i="5"/>
  <c r="A8198" i="5"/>
  <c r="A8199" i="5"/>
  <c r="A8200" i="5"/>
  <c r="A8201" i="5"/>
  <c r="A8202" i="5"/>
  <c r="A8203" i="5"/>
  <c r="A8204" i="5"/>
  <c r="A8205" i="5"/>
  <c r="A8206" i="5"/>
  <c r="A8207" i="5"/>
  <c r="A8208" i="5"/>
  <c r="A8209" i="5"/>
  <c r="A8210" i="5"/>
  <c r="A8211" i="5"/>
  <c r="A8212" i="5"/>
  <c r="A8213" i="5"/>
  <c r="A8214" i="5"/>
  <c r="A8215" i="5"/>
  <c r="A8216" i="5"/>
  <c r="A8217" i="5"/>
  <c r="A8218" i="5"/>
  <c r="A8219" i="5"/>
  <c r="A8220" i="5"/>
  <c r="A8221" i="5"/>
  <c r="A8222" i="5"/>
  <c r="A8223" i="5"/>
  <c r="A8224" i="5"/>
  <c r="A8225" i="5"/>
  <c r="A8226" i="5"/>
  <c r="A8227" i="5"/>
  <c r="A8228" i="5"/>
  <c r="A8229" i="5"/>
  <c r="A8230" i="5"/>
  <c r="A8231" i="5"/>
  <c r="A8232" i="5"/>
  <c r="A8233" i="5"/>
  <c r="A8234" i="5"/>
  <c r="A8235" i="5"/>
  <c r="A8236" i="5"/>
  <c r="A8237" i="5"/>
  <c r="A8238" i="5"/>
  <c r="A8239" i="5"/>
  <c r="A8240" i="5"/>
  <c r="A8241" i="5"/>
  <c r="A8242" i="5"/>
  <c r="A8243" i="5"/>
  <c r="A8244" i="5"/>
  <c r="A8245" i="5"/>
  <c r="A8246" i="5"/>
  <c r="A8247" i="5"/>
  <c r="A8248" i="5"/>
  <c r="A8249" i="5"/>
  <c r="A8250" i="5"/>
  <c r="A8251" i="5"/>
  <c r="A8252" i="5"/>
  <c r="A8253" i="5"/>
  <c r="A8254" i="5"/>
  <c r="A8255" i="5"/>
  <c r="A8256" i="5"/>
  <c r="A8257" i="5"/>
  <c r="A8258" i="5"/>
  <c r="A8259" i="5"/>
  <c r="A8260" i="5"/>
  <c r="A8261" i="5"/>
  <c r="A8262" i="5"/>
  <c r="A8263" i="5"/>
  <c r="A8264" i="5"/>
  <c r="A8265" i="5"/>
  <c r="A8266" i="5"/>
  <c r="A8267" i="5"/>
  <c r="A8268" i="5"/>
  <c r="A8269" i="5"/>
  <c r="A8270" i="5"/>
  <c r="A8271" i="5"/>
  <c r="A8272" i="5"/>
  <c r="A8273" i="5"/>
  <c r="A8274" i="5"/>
  <c r="A8275" i="5"/>
  <c r="A8276" i="5"/>
  <c r="A8277" i="5"/>
  <c r="A8278" i="5"/>
  <c r="A8279" i="5"/>
  <c r="A8280" i="5"/>
  <c r="A8281" i="5"/>
  <c r="A8282" i="5"/>
  <c r="A8283" i="5"/>
  <c r="A8284" i="5"/>
  <c r="A8285" i="5"/>
  <c r="A8286" i="5"/>
  <c r="A8287" i="5"/>
  <c r="A8288" i="5"/>
  <c r="A8289" i="5"/>
  <c r="A8290" i="5"/>
  <c r="A8291" i="5"/>
  <c r="A8292" i="5"/>
  <c r="A8293" i="5"/>
  <c r="A8294" i="5"/>
  <c r="A8295" i="5"/>
  <c r="A8296" i="5"/>
  <c r="A8297" i="5"/>
  <c r="A8298" i="5"/>
  <c r="A8299" i="5"/>
  <c r="A8300" i="5"/>
  <c r="A8301" i="5"/>
  <c r="A8302" i="5"/>
  <c r="A8303" i="5"/>
  <c r="A8304" i="5"/>
  <c r="A8305" i="5"/>
  <c r="A8306" i="5"/>
  <c r="A8307" i="5"/>
  <c r="A8308" i="5"/>
  <c r="A8309" i="5"/>
  <c r="A8310" i="5"/>
  <c r="A8311" i="5"/>
  <c r="A8312" i="5"/>
  <c r="A8313" i="5"/>
  <c r="A8314" i="5"/>
  <c r="A8315" i="5"/>
  <c r="A8316" i="5"/>
  <c r="A8317" i="5"/>
  <c r="A8318" i="5"/>
  <c r="A8319" i="5"/>
  <c r="A8320" i="5"/>
  <c r="A8321" i="5"/>
  <c r="A8322" i="5"/>
  <c r="A8323" i="5"/>
  <c r="A8324" i="5"/>
  <c r="A8325" i="5"/>
  <c r="A8326" i="5"/>
  <c r="A8327" i="5"/>
  <c r="A8328" i="5"/>
  <c r="A8329" i="5"/>
  <c r="A8330" i="5"/>
  <c r="A8331" i="5"/>
  <c r="A8332" i="5"/>
  <c r="A8333" i="5"/>
  <c r="A8334" i="5"/>
  <c r="A8335" i="5"/>
  <c r="A8336" i="5"/>
  <c r="A8337" i="5"/>
  <c r="A8338" i="5"/>
  <c r="A8339" i="5"/>
  <c r="A8340" i="5"/>
  <c r="A8341" i="5"/>
  <c r="A8342" i="5"/>
  <c r="A8343" i="5"/>
  <c r="A8344" i="5"/>
  <c r="A8345" i="5"/>
  <c r="A8346" i="5"/>
  <c r="A8347" i="5"/>
  <c r="A8348" i="5"/>
  <c r="A8349" i="5"/>
  <c r="A8350" i="5"/>
  <c r="A8351" i="5"/>
  <c r="A8352" i="5"/>
  <c r="A8353" i="5"/>
  <c r="A8354" i="5"/>
  <c r="A8355" i="5"/>
  <c r="A8356" i="5"/>
  <c r="A8357" i="5"/>
  <c r="A8358" i="5"/>
  <c r="A8359" i="5"/>
  <c r="A8360" i="5"/>
  <c r="A8361" i="5"/>
  <c r="A8362" i="5"/>
  <c r="A8363" i="5"/>
  <c r="A8364" i="5"/>
  <c r="A8365" i="5"/>
  <c r="A8366" i="5"/>
  <c r="A8367" i="5"/>
  <c r="A8368" i="5"/>
  <c r="A8369" i="5"/>
  <c r="A8370" i="5"/>
  <c r="A8371" i="5"/>
  <c r="A8372" i="5"/>
  <c r="A8373" i="5"/>
  <c r="A8374" i="5"/>
  <c r="A8375" i="5"/>
  <c r="A8376" i="5"/>
  <c r="A8377" i="5"/>
  <c r="A8378" i="5"/>
  <c r="A8379" i="5"/>
  <c r="A8380" i="5"/>
  <c r="A8381" i="5"/>
  <c r="A8382" i="5"/>
  <c r="A8383" i="5"/>
  <c r="A8384" i="5"/>
  <c r="A8385" i="5"/>
  <c r="A8386" i="5"/>
  <c r="A8387" i="5"/>
  <c r="A8388" i="5"/>
  <c r="A8389" i="5"/>
  <c r="A8390" i="5"/>
  <c r="A8391" i="5"/>
  <c r="A8392" i="5"/>
  <c r="A8393" i="5"/>
  <c r="A8394" i="5"/>
  <c r="A8395" i="5"/>
  <c r="A8396" i="5"/>
  <c r="A8397" i="5"/>
  <c r="A8398" i="5"/>
  <c r="A8399" i="5"/>
  <c r="A8400" i="5"/>
  <c r="A8401" i="5"/>
  <c r="A8402" i="5"/>
  <c r="A8403" i="5"/>
  <c r="A8404" i="5"/>
  <c r="A8405" i="5"/>
  <c r="A8406" i="5"/>
  <c r="A8407" i="5"/>
  <c r="A8408" i="5"/>
  <c r="A8409" i="5"/>
  <c r="A8410" i="5"/>
  <c r="A8411" i="5"/>
  <c r="A8412" i="5"/>
  <c r="A8413" i="5"/>
  <c r="A8414" i="5"/>
  <c r="A8415" i="5"/>
  <c r="A8416" i="5"/>
  <c r="A8417" i="5"/>
  <c r="A8418" i="5"/>
  <c r="A8419" i="5"/>
  <c r="A8420" i="5"/>
  <c r="A8421" i="5"/>
  <c r="A8422" i="5"/>
  <c r="A8423" i="5"/>
  <c r="A8424" i="5"/>
  <c r="A8425" i="5"/>
  <c r="A8426" i="5"/>
  <c r="A8427" i="5"/>
  <c r="A8428" i="5"/>
  <c r="A8429" i="5"/>
  <c r="A8430" i="5"/>
  <c r="A8431" i="5"/>
  <c r="A8432" i="5"/>
  <c r="A8433" i="5"/>
  <c r="A8434" i="5"/>
  <c r="A8435" i="5"/>
  <c r="A8436" i="5"/>
  <c r="A8437" i="5"/>
  <c r="A8438" i="5"/>
  <c r="A8439" i="5"/>
  <c r="A8440" i="5"/>
  <c r="A8441" i="5"/>
  <c r="A8442" i="5"/>
  <c r="A8443" i="5"/>
  <c r="A8444" i="5"/>
  <c r="A8445" i="5"/>
  <c r="A8446" i="5"/>
  <c r="A8447" i="5"/>
  <c r="A8448" i="5"/>
  <c r="A8449" i="5"/>
  <c r="A8450" i="5"/>
  <c r="A8451" i="5"/>
  <c r="A8452" i="5"/>
  <c r="A8453" i="5"/>
  <c r="A8454" i="5"/>
  <c r="A8455" i="5"/>
  <c r="A8456" i="5"/>
  <c r="A8457" i="5"/>
  <c r="A8458" i="5"/>
  <c r="A8459" i="5"/>
  <c r="A8460" i="5"/>
  <c r="A8461" i="5"/>
  <c r="A8462" i="5"/>
  <c r="A8463" i="5"/>
  <c r="A8464" i="5"/>
  <c r="A8465" i="5"/>
  <c r="A8466" i="5"/>
  <c r="A8467" i="5"/>
  <c r="A8468" i="5"/>
  <c r="A8469" i="5"/>
  <c r="A8470" i="5"/>
  <c r="A8471" i="5"/>
  <c r="A8472" i="5"/>
  <c r="A8473" i="5"/>
  <c r="A8474" i="5"/>
  <c r="A8475" i="5"/>
  <c r="A8476" i="5"/>
  <c r="A8477" i="5"/>
  <c r="A8478" i="5"/>
  <c r="A8479" i="5"/>
  <c r="A8480" i="5"/>
  <c r="A8481" i="5"/>
  <c r="A8482" i="5"/>
  <c r="A8483" i="5"/>
  <c r="A8484" i="5"/>
  <c r="A8485" i="5"/>
  <c r="A8486" i="5"/>
  <c r="A8487" i="5"/>
  <c r="A8488" i="5"/>
  <c r="A8489" i="5"/>
  <c r="A8490" i="5"/>
  <c r="A8491" i="5"/>
  <c r="A8492" i="5"/>
  <c r="A8493" i="5"/>
  <c r="A8494" i="5"/>
  <c r="A8495" i="5"/>
  <c r="A8496" i="5"/>
  <c r="A8497" i="5"/>
  <c r="A8498" i="5"/>
  <c r="A8499" i="5"/>
  <c r="A8500" i="5"/>
  <c r="A8501" i="5"/>
  <c r="A8502" i="5"/>
  <c r="A8503" i="5"/>
  <c r="A8504" i="5"/>
  <c r="A8505" i="5"/>
  <c r="A8506" i="5"/>
  <c r="A8507" i="5"/>
  <c r="A8508" i="5"/>
  <c r="A8509" i="5"/>
  <c r="A8510" i="5"/>
  <c r="A8511" i="5"/>
  <c r="A8512" i="5"/>
  <c r="A8513" i="5"/>
  <c r="A8514" i="5"/>
  <c r="A8515" i="5"/>
  <c r="A8516" i="5"/>
  <c r="A8517" i="5"/>
  <c r="A8518" i="5"/>
  <c r="A8519" i="5"/>
  <c r="A8520" i="5"/>
  <c r="A8521" i="5"/>
  <c r="A8522" i="5"/>
  <c r="A8523" i="5"/>
  <c r="A8524" i="5"/>
  <c r="A8525" i="5"/>
  <c r="A8526" i="5"/>
  <c r="A8527" i="5"/>
  <c r="A8528" i="5"/>
  <c r="A8529" i="5"/>
  <c r="A8530" i="5"/>
  <c r="A8531" i="5"/>
  <c r="A8532" i="5"/>
  <c r="A8533" i="5"/>
  <c r="A8534" i="5"/>
  <c r="A8535" i="5"/>
  <c r="A8536" i="5"/>
  <c r="A8537" i="5"/>
  <c r="A8538" i="5"/>
  <c r="A8539" i="5"/>
  <c r="A8540" i="5"/>
  <c r="A8541" i="5"/>
  <c r="A8542" i="5"/>
  <c r="A8543" i="5"/>
  <c r="A8544" i="5"/>
  <c r="A8545" i="5"/>
  <c r="A8546" i="5"/>
  <c r="A8547" i="5"/>
  <c r="A8548" i="5"/>
  <c r="A8549" i="5"/>
  <c r="A8550" i="5"/>
  <c r="A8551" i="5"/>
  <c r="A8552" i="5"/>
  <c r="A8553" i="5"/>
  <c r="A8554" i="5"/>
  <c r="A8555" i="5"/>
  <c r="A8556" i="5"/>
  <c r="A8557" i="5"/>
  <c r="A8558" i="5"/>
  <c r="A8559" i="5"/>
  <c r="A8560" i="5"/>
  <c r="A8561" i="5"/>
  <c r="A8562" i="5"/>
  <c r="A8563" i="5"/>
  <c r="A8564" i="5"/>
  <c r="A8565" i="5"/>
  <c r="A8566" i="5"/>
  <c r="A8567" i="5"/>
  <c r="A8568" i="5"/>
  <c r="A8569" i="5"/>
  <c r="A8570" i="5"/>
  <c r="A8571" i="5"/>
  <c r="A8572" i="5"/>
  <c r="A8573" i="5"/>
  <c r="A8574" i="5"/>
  <c r="A8575" i="5"/>
  <c r="A8576" i="5"/>
  <c r="A8577" i="5"/>
  <c r="A8578" i="5"/>
  <c r="A8579" i="5"/>
  <c r="A8580" i="5"/>
  <c r="A8581" i="5"/>
  <c r="A8582" i="5"/>
  <c r="A8583" i="5"/>
  <c r="A8584" i="5"/>
  <c r="A8585" i="5"/>
  <c r="A8586" i="5"/>
  <c r="A8587" i="5"/>
  <c r="A8588" i="5"/>
  <c r="A8589" i="5"/>
  <c r="A8590" i="5"/>
  <c r="A8591" i="5"/>
  <c r="A8592" i="5"/>
  <c r="A8593" i="5"/>
  <c r="A8594" i="5"/>
  <c r="A8595" i="5"/>
  <c r="A8596" i="5"/>
  <c r="A8597" i="5"/>
  <c r="A8598" i="5"/>
  <c r="A8599" i="5"/>
  <c r="A8600" i="5"/>
  <c r="A8601" i="5"/>
  <c r="A8602" i="5"/>
  <c r="A8603" i="5"/>
  <c r="A8604" i="5"/>
  <c r="A8605" i="5"/>
  <c r="A8606" i="5"/>
  <c r="A8607" i="5"/>
  <c r="A8608" i="5"/>
  <c r="A8609" i="5"/>
  <c r="A8610" i="5"/>
  <c r="A8611" i="5"/>
  <c r="A8612" i="5"/>
  <c r="A8613" i="5"/>
  <c r="A8614" i="5"/>
  <c r="A8615" i="5"/>
  <c r="A8616" i="5"/>
  <c r="A8617" i="5"/>
  <c r="A8618" i="5"/>
  <c r="A8619" i="5"/>
  <c r="A8620" i="5"/>
  <c r="A8621" i="5"/>
  <c r="A8622" i="5"/>
  <c r="A8623" i="5"/>
  <c r="A8624" i="5"/>
  <c r="A8625" i="5"/>
  <c r="A8626" i="5"/>
  <c r="A8627" i="5"/>
  <c r="A8628" i="5"/>
  <c r="A8629" i="5"/>
  <c r="A8630" i="5"/>
  <c r="A8631" i="5"/>
  <c r="A8632" i="5"/>
  <c r="A8633" i="5"/>
  <c r="A8634" i="5"/>
  <c r="A8635" i="5"/>
  <c r="A8636" i="5"/>
  <c r="A8637" i="5"/>
  <c r="A8638" i="5"/>
  <c r="A8639" i="5"/>
  <c r="A8640" i="5"/>
  <c r="A8641" i="5"/>
  <c r="A8642" i="5"/>
  <c r="A8643" i="5"/>
  <c r="A8644" i="5"/>
  <c r="A8645" i="5"/>
  <c r="A8646" i="5"/>
  <c r="A8647" i="5"/>
  <c r="A8648" i="5"/>
  <c r="A8649" i="5"/>
  <c r="A8650" i="5"/>
  <c r="A8651" i="5"/>
  <c r="A8652" i="5"/>
  <c r="A8653" i="5"/>
  <c r="A8654" i="5"/>
  <c r="A8655" i="5"/>
  <c r="A8656" i="5"/>
  <c r="A8657" i="5"/>
  <c r="A8658" i="5"/>
  <c r="A8659" i="5"/>
  <c r="A8660" i="5"/>
  <c r="A8661" i="5"/>
  <c r="A8662" i="5"/>
  <c r="A8663" i="5"/>
  <c r="A8664" i="5"/>
  <c r="A8665" i="5"/>
  <c r="A8666" i="5"/>
  <c r="A8667" i="5"/>
  <c r="A8668" i="5"/>
  <c r="A8669" i="5"/>
  <c r="A8670" i="5"/>
  <c r="A8671" i="5"/>
  <c r="A8672" i="5"/>
  <c r="A8673" i="5"/>
  <c r="A8674" i="5"/>
  <c r="A8675" i="5"/>
  <c r="A8676" i="5"/>
  <c r="A8677" i="5"/>
  <c r="A8678" i="5"/>
  <c r="A8679" i="5"/>
  <c r="A8680" i="5"/>
  <c r="A8681" i="5"/>
  <c r="A8682" i="5"/>
  <c r="A8683" i="5"/>
  <c r="A8684" i="5"/>
  <c r="A8685" i="5"/>
  <c r="A8686" i="5"/>
  <c r="A8687" i="5"/>
  <c r="A8688" i="5"/>
  <c r="A8689" i="5"/>
  <c r="A8690" i="5"/>
  <c r="A8691" i="5"/>
  <c r="A8692" i="5"/>
  <c r="A8693" i="5"/>
  <c r="A8694" i="5"/>
  <c r="A8695" i="5"/>
  <c r="A8696" i="5"/>
  <c r="A8697" i="5"/>
  <c r="A8698" i="5"/>
  <c r="A8699" i="5"/>
  <c r="A8700" i="5"/>
  <c r="A8701" i="5"/>
  <c r="A8702" i="5"/>
  <c r="A8703" i="5"/>
  <c r="A8704" i="5"/>
  <c r="A8705" i="5"/>
  <c r="A8706" i="5"/>
  <c r="A8707" i="5"/>
  <c r="A8708" i="5"/>
  <c r="A8709" i="5"/>
  <c r="A8710" i="5"/>
  <c r="A8711" i="5"/>
  <c r="A8712" i="5"/>
  <c r="A8713" i="5"/>
  <c r="A8714" i="5"/>
  <c r="A8715" i="5"/>
  <c r="A8716" i="5"/>
  <c r="A8717" i="5"/>
  <c r="A8718" i="5"/>
  <c r="A8719" i="5"/>
  <c r="A8720" i="5"/>
  <c r="A8721" i="5"/>
  <c r="A8722" i="5"/>
  <c r="A8723" i="5"/>
  <c r="A8724" i="5"/>
  <c r="A8725" i="5"/>
  <c r="A8726" i="5"/>
  <c r="A8727" i="5"/>
  <c r="A8728" i="5"/>
  <c r="A8729" i="5"/>
  <c r="A8730" i="5"/>
  <c r="A8731" i="5"/>
  <c r="A8732" i="5"/>
  <c r="A8733" i="5"/>
  <c r="A8734" i="5"/>
  <c r="A8735" i="5"/>
  <c r="A8736" i="5"/>
  <c r="A8737" i="5"/>
  <c r="A8738" i="5"/>
  <c r="A8739" i="5"/>
  <c r="A8740" i="5"/>
  <c r="A8741" i="5"/>
  <c r="A8742" i="5"/>
  <c r="A8743" i="5"/>
  <c r="A8744" i="5"/>
  <c r="A8745" i="5"/>
  <c r="A8746" i="5"/>
  <c r="A8747" i="5"/>
  <c r="A8748" i="5"/>
  <c r="A8749" i="5"/>
  <c r="A8750" i="5"/>
  <c r="A8751" i="5"/>
  <c r="A8752" i="5"/>
  <c r="A8753" i="5"/>
  <c r="A8754" i="5"/>
  <c r="A8755" i="5"/>
  <c r="A8756" i="5"/>
  <c r="A8757" i="5"/>
  <c r="A8758" i="5"/>
  <c r="A8759" i="5"/>
  <c r="A8760" i="5"/>
  <c r="A8761" i="5"/>
  <c r="A8762" i="5"/>
  <c r="A8763" i="5"/>
  <c r="A8764" i="5"/>
  <c r="A8765" i="5"/>
  <c r="A8766" i="5"/>
  <c r="A8767" i="5"/>
  <c r="A8768" i="5"/>
  <c r="A8769" i="5"/>
  <c r="A8770" i="5"/>
  <c r="A8771" i="5"/>
  <c r="A8772" i="5"/>
  <c r="A8773" i="5"/>
  <c r="A8774" i="5"/>
  <c r="A8775" i="5"/>
  <c r="A8776" i="5"/>
  <c r="A8777" i="5"/>
  <c r="A8778" i="5"/>
  <c r="A8779" i="5"/>
  <c r="A8780" i="5"/>
  <c r="A8781" i="5"/>
  <c r="A8782" i="5"/>
  <c r="A8783" i="5"/>
  <c r="A8784" i="5"/>
  <c r="A8785" i="5"/>
  <c r="A8786" i="5"/>
  <c r="A8787" i="5"/>
  <c r="A8788" i="5"/>
  <c r="A8789" i="5"/>
  <c r="A8790" i="5"/>
  <c r="A8791" i="5"/>
  <c r="A8792" i="5"/>
  <c r="A8793" i="5"/>
  <c r="A8794" i="5"/>
  <c r="A8795" i="5"/>
  <c r="A8796" i="5"/>
  <c r="A8797" i="5"/>
  <c r="A8798" i="5"/>
  <c r="A8799" i="5"/>
  <c r="A8800" i="5"/>
  <c r="A8801" i="5"/>
  <c r="A8802" i="5"/>
  <c r="A8803" i="5"/>
  <c r="A8804" i="5"/>
  <c r="A8805" i="5"/>
  <c r="A8806" i="5"/>
  <c r="A8807" i="5"/>
  <c r="A8808" i="5"/>
  <c r="A8809" i="5"/>
  <c r="A8810" i="5"/>
  <c r="A8811" i="5"/>
  <c r="A8812" i="5"/>
  <c r="A8813" i="5"/>
  <c r="A8814" i="5"/>
  <c r="A8815" i="5"/>
  <c r="A8816" i="5"/>
  <c r="A8817" i="5"/>
  <c r="A8818" i="5"/>
  <c r="A8819" i="5"/>
  <c r="A8820" i="5"/>
  <c r="A8821" i="5"/>
  <c r="A8822" i="5"/>
  <c r="A8823" i="5"/>
  <c r="A8824" i="5"/>
  <c r="A8825" i="5"/>
  <c r="A8826" i="5"/>
  <c r="A8827" i="5"/>
  <c r="A8828" i="5"/>
  <c r="A8829" i="5"/>
  <c r="A8830" i="5"/>
  <c r="A8831" i="5"/>
  <c r="A8832" i="5"/>
  <c r="A8833" i="5"/>
  <c r="A8834" i="5"/>
  <c r="A8835" i="5"/>
  <c r="A8836" i="5"/>
  <c r="A8837" i="5"/>
  <c r="A8838" i="5"/>
  <c r="A8839" i="5"/>
  <c r="A8840" i="5"/>
  <c r="A8841" i="5"/>
  <c r="A8842" i="5"/>
  <c r="A8843" i="5"/>
  <c r="A8844" i="5"/>
  <c r="A8845" i="5"/>
  <c r="A8846" i="5"/>
  <c r="A8847" i="5"/>
  <c r="A8848" i="5"/>
  <c r="A8849" i="5"/>
  <c r="A8850" i="5"/>
  <c r="A8851" i="5"/>
  <c r="A8852" i="5"/>
  <c r="A8853" i="5"/>
  <c r="A8854" i="5"/>
  <c r="A8855" i="5"/>
  <c r="A8856" i="5"/>
  <c r="A8857" i="5"/>
  <c r="A8858" i="5"/>
  <c r="A8859" i="5"/>
  <c r="A8860" i="5"/>
  <c r="A8861" i="5"/>
  <c r="A8862" i="5"/>
  <c r="A8863" i="5"/>
  <c r="A8864" i="5"/>
  <c r="A8865" i="5"/>
  <c r="A8866" i="5"/>
  <c r="A8867" i="5"/>
  <c r="A8868" i="5"/>
  <c r="A8869" i="5"/>
  <c r="A8870" i="5"/>
  <c r="A8871" i="5"/>
  <c r="A8872" i="5"/>
  <c r="A8873" i="5"/>
  <c r="A8874" i="5"/>
  <c r="A8875" i="5"/>
  <c r="A8876" i="5"/>
  <c r="A8877" i="5"/>
  <c r="A8878" i="5"/>
  <c r="A8879" i="5"/>
  <c r="A8880" i="5"/>
  <c r="A8881" i="5"/>
  <c r="A8882" i="5"/>
  <c r="A8883" i="5"/>
  <c r="A8884" i="5"/>
  <c r="A8885" i="5"/>
  <c r="A8886" i="5"/>
  <c r="A8887" i="5"/>
  <c r="A8888" i="5"/>
  <c r="A8889" i="5"/>
  <c r="A8890" i="5"/>
  <c r="A8891" i="5"/>
  <c r="A8892" i="5"/>
  <c r="A8893" i="5"/>
  <c r="A8894" i="5"/>
  <c r="A8895" i="5"/>
  <c r="A8896" i="5"/>
  <c r="A8897" i="5"/>
  <c r="A8898" i="5"/>
  <c r="A8899" i="5"/>
  <c r="A8900" i="5"/>
  <c r="A8901" i="5"/>
  <c r="A8902" i="5"/>
  <c r="A8903" i="5"/>
  <c r="A8904" i="5"/>
  <c r="A8905" i="5"/>
  <c r="A8906" i="5"/>
  <c r="A8907" i="5"/>
  <c r="A8908" i="5"/>
  <c r="A8909" i="5"/>
  <c r="A8910" i="5"/>
  <c r="A8911" i="5"/>
  <c r="A8912" i="5"/>
  <c r="A8913" i="5"/>
  <c r="A8914" i="5"/>
  <c r="A8915" i="5"/>
  <c r="A8916" i="5"/>
  <c r="A8917" i="5"/>
  <c r="A8918" i="5"/>
  <c r="A8919" i="5"/>
  <c r="A8920" i="5"/>
  <c r="A8921" i="5"/>
  <c r="A8922" i="5"/>
  <c r="A8923" i="5"/>
  <c r="A8924" i="5"/>
  <c r="A8925" i="5"/>
  <c r="A8926" i="5"/>
  <c r="A8927" i="5"/>
  <c r="A8928" i="5"/>
  <c r="A8929" i="5"/>
  <c r="A8930" i="5"/>
  <c r="A8931" i="5"/>
  <c r="A8932" i="5"/>
  <c r="A8933" i="5"/>
  <c r="A8934" i="5"/>
  <c r="A8935" i="5"/>
  <c r="A8936" i="5"/>
  <c r="A8937" i="5"/>
  <c r="A8938" i="5"/>
  <c r="A8939" i="5"/>
  <c r="A8940" i="5"/>
  <c r="A8941" i="5"/>
  <c r="A8942" i="5"/>
  <c r="A8943" i="5"/>
  <c r="A8944" i="5"/>
  <c r="A8945" i="5"/>
  <c r="A8946" i="5"/>
  <c r="A8947" i="5"/>
  <c r="A8948" i="5"/>
  <c r="A8949" i="5"/>
  <c r="A8950" i="5"/>
  <c r="A8951" i="5"/>
  <c r="A8952" i="5"/>
  <c r="A8953" i="5"/>
  <c r="A8954" i="5"/>
  <c r="A8955" i="5"/>
  <c r="A8956" i="5"/>
  <c r="A8957" i="5"/>
  <c r="A8958" i="5"/>
  <c r="A8959" i="5"/>
  <c r="A8960" i="5"/>
  <c r="A8961" i="5"/>
  <c r="A8962" i="5"/>
  <c r="A8963" i="5"/>
  <c r="A8964" i="5"/>
  <c r="A8965" i="5"/>
  <c r="A8966" i="5"/>
  <c r="A8967" i="5"/>
  <c r="A8968" i="5"/>
  <c r="A8969" i="5"/>
  <c r="A8970" i="5"/>
  <c r="A8971" i="5"/>
  <c r="A8972" i="5"/>
  <c r="A8973" i="5"/>
  <c r="A8974" i="5"/>
  <c r="A8975" i="5"/>
  <c r="A8976" i="5"/>
  <c r="A8977" i="5"/>
  <c r="A8978" i="5"/>
  <c r="A8979" i="5"/>
  <c r="A8980" i="5"/>
  <c r="A8981" i="5"/>
  <c r="A8982" i="5"/>
  <c r="A8983" i="5"/>
  <c r="A8984" i="5"/>
  <c r="A8985" i="5"/>
  <c r="A8986" i="5"/>
  <c r="A8987" i="5"/>
  <c r="A8988" i="5"/>
  <c r="A8989" i="5"/>
  <c r="A8990" i="5"/>
  <c r="A8991" i="5"/>
  <c r="A8992" i="5"/>
  <c r="A8993" i="5"/>
  <c r="A8994" i="5"/>
  <c r="A8995" i="5"/>
  <c r="A8996" i="5"/>
  <c r="A8997" i="5"/>
  <c r="A8998" i="5"/>
  <c r="A8999" i="5"/>
  <c r="A9000" i="5"/>
  <c r="A9001" i="5"/>
  <c r="A9002" i="5"/>
  <c r="A9003" i="5"/>
  <c r="A9004" i="5"/>
  <c r="A9005" i="5"/>
  <c r="A9006" i="5"/>
  <c r="A9007" i="5"/>
  <c r="A9008" i="5"/>
  <c r="A9009" i="5"/>
  <c r="A9010" i="5"/>
  <c r="A9011" i="5"/>
  <c r="A9012" i="5"/>
  <c r="A9013" i="5"/>
  <c r="A9014" i="5"/>
  <c r="A9015" i="5"/>
  <c r="A9016" i="5"/>
  <c r="A9017" i="5"/>
  <c r="A9018" i="5"/>
  <c r="A9019" i="5"/>
  <c r="A9020" i="5"/>
  <c r="A9021" i="5"/>
  <c r="A9022" i="5"/>
  <c r="A9023" i="5"/>
  <c r="A9024" i="5"/>
  <c r="A9025" i="5"/>
  <c r="A9026" i="5"/>
  <c r="A9027" i="5"/>
  <c r="A9028" i="5"/>
  <c r="A9029" i="5"/>
  <c r="A9030" i="5"/>
  <c r="A9031" i="5"/>
  <c r="A9032" i="5"/>
  <c r="A9033" i="5"/>
  <c r="A9034" i="5"/>
  <c r="A9035" i="5"/>
  <c r="A9036" i="5"/>
  <c r="A9037" i="5"/>
  <c r="A9038" i="5"/>
  <c r="A9039" i="5"/>
  <c r="A9040" i="5"/>
  <c r="A9041" i="5"/>
  <c r="A9042" i="5"/>
  <c r="A9043" i="5"/>
  <c r="A9044" i="5"/>
  <c r="A9045" i="5"/>
  <c r="A9046" i="5"/>
  <c r="A9047" i="5"/>
  <c r="A9048" i="5"/>
  <c r="A9049" i="5"/>
  <c r="A9050" i="5"/>
  <c r="A9051" i="5"/>
  <c r="A9052" i="5"/>
  <c r="A9053" i="5"/>
  <c r="A9054" i="5"/>
  <c r="A9055" i="5"/>
  <c r="A9056" i="5"/>
  <c r="A9057" i="5"/>
  <c r="A9058" i="5"/>
  <c r="A9059" i="5"/>
  <c r="A9060" i="5"/>
  <c r="A9061" i="5"/>
  <c r="A9062" i="5"/>
  <c r="A9063" i="5"/>
  <c r="A9064" i="5"/>
  <c r="A9065" i="5"/>
  <c r="A9066" i="5"/>
  <c r="A9067" i="5"/>
  <c r="A9068" i="5"/>
  <c r="A9069" i="5"/>
  <c r="A9070" i="5"/>
  <c r="A9071" i="5"/>
  <c r="A9072" i="5"/>
  <c r="A9073" i="5"/>
  <c r="A9074" i="5"/>
  <c r="A9075" i="5"/>
  <c r="A9076" i="5"/>
  <c r="A9077" i="5"/>
  <c r="A9078" i="5"/>
  <c r="A9079" i="5"/>
  <c r="A9080" i="5"/>
  <c r="A9081" i="5"/>
  <c r="A9082" i="5"/>
  <c r="A9083" i="5"/>
  <c r="A9084" i="5"/>
  <c r="A9085" i="5"/>
  <c r="A9086" i="5"/>
  <c r="A9087" i="5"/>
  <c r="A9088" i="5"/>
  <c r="A9089" i="5"/>
  <c r="A9090" i="5"/>
  <c r="A9091" i="5"/>
  <c r="A9092" i="5"/>
  <c r="A9093" i="5"/>
  <c r="A9094" i="5"/>
  <c r="A9095" i="5"/>
  <c r="A9096" i="5"/>
  <c r="A9097" i="5"/>
  <c r="A9098" i="5"/>
  <c r="A9099" i="5"/>
  <c r="A9100" i="5"/>
  <c r="A9101" i="5"/>
  <c r="A9102" i="5"/>
  <c r="A9103" i="5"/>
  <c r="A9104" i="5"/>
  <c r="A9105" i="5"/>
  <c r="A9106" i="5"/>
  <c r="A9107" i="5"/>
  <c r="A9108" i="5"/>
  <c r="A9109" i="5"/>
  <c r="A9110" i="5"/>
  <c r="A9111" i="5"/>
  <c r="A9112" i="5"/>
  <c r="A9113" i="5"/>
  <c r="A9114" i="5"/>
  <c r="A9115" i="5"/>
  <c r="A9116" i="5"/>
  <c r="A9117" i="5"/>
  <c r="A9118" i="5"/>
  <c r="A9119" i="5"/>
  <c r="A9120" i="5"/>
  <c r="A9121" i="5"/>
  <c r="A9122" i="5"/>
  <c r="A9123" i="5"/>
  <c r="A9124" i="5"/>
  <c r="A9125" i="5"/>
  <c r="A9126" i="5"/>
  <c r="A9127" i="5"/>
  <c r="A9128" i="5"/>
  <c r="A9129" i="5"/>
  <c r="A9130" i="5"/>
  <c r="A9131" i="5"/>
  <c r="A9132" i="5"/>
  <c r="A9133" i="5"/>
  <c r="A9134" i="5"/>
  <c r="A9135" i="5"/>
  <c r="A9136" i="5"/>
  <c r="A9137" i="5"/>
  <c r="A9138" i="5"/>
  <c r="A9139" i="5"/>
  <c r="A9140" i="5"/>
  <c r="A9141" i="5"/>
  <c r="A9142" i="5"/>
  <c r="A9143" i="5"/>
  <c r="A9144" i="5"/>
  <c r="A9145" i="5"/>
  <c r="A9146" i="5"/>
  <c r="A9147" i="5"/>
  <c r="A9148" i="5"/>
  <c r="A9149" i="5"/>
  <c r="A9150" i="5"/>
  <c r="A9151" i="5"/>
  <c r="A9152" i="5"/>
  <c r="A9153" i="5"/>
  <c r="A9154" i="5"/>
  <c r="A9155" i="5"/>
  <c r="A9156" i="5"/>
  <c r="A9157" i="5"/>
  <c r="A9158" i="5"/>
  <c r="A9159" i="5"/>
  <c r="A9160" i="5"/>
  <c r="A9161" i="5"/>
  <c r="A9162" i="5"/>
  <c r="A9163" i="5"/>
  <c r="A9164" i="5"/>
  <c r="A9165" i="5"/>
  <c r="A9166" i="5"/>
  <c r="A9167" i="5"/>
  <c r="A9168" i="5"/>
  <c r="A9169" i="5"/>
  <c r="A9170" i="5"/>
  <c r="A9171" i="5"/>
  <c r="A9172" i="5"/>
  <c r="A9173" i="5"/>
  <c r="A9174" i="5"/>
  <c r="A9175" i="5"/>
  <c r="A9176" i="5"/>
  <c r="A9177" i="5"/>
  <c r="A9178" i="5"/>
  <c r="A9179" i="5"/>
  <c r="A9180" i="5"/>
  <c r="A9181" i="5"/>
  <c r="A9182" i="5"/>
  <c r="A9183" i="5"/>
  <c r="A9184" i="5"/>
  <c r="A9185" i="5"/>
  <c r="A9186" i="5"/>
  <c r="A9187" i="5"/>
  <c r="A9188" i="5"/>
  <c r="A9189" i="5"/>
  <c r="A9190" i="5"/>
  <c r="A9191" i="5"/>
  <c r="A9192" i="5"/>
  <c r="A9193" i="5"/>
  <c r="A9194" i="5"/>
  <c r="A9195" i="5"/>
  <c r="A9196" i="5"/>
  <c r="A9197" i="5"/>
  <c r="A9198" i="5"/>
  <c r="A9199" i="5"/>
  <c r="A9200" i="5"/>
  <c r="A9201" i="5"/>
  <c r="A9202" i="5"/>
  <c r="A9203" i="5"/>
  <c r="A9204" i="5"/>
  <c r="A9205" i="5"/>
  <c r="A9206" i="5"/>
  <c r="A9207" i="5"/>
  <c r="A9208" i="5"/>
  <c r="A9209" i="5"/>
  <c r="A9210" i="5"/>
  <c r="A9211" i="5"/>
  <c r="A9212" i="5"/>
  <c r="A9213" i="5"/>
  <c r="A9214" i="5"/>
  <c r="A9215" i="5"/>
  <c r="A9216" i="5"/>
  <c r="A9217" i="5"/>
  <c r="A9218" i="5"/>
  <c r="A9219" i="5"/>
  <c r="A9220" i="5"/>
  <c r="A9221" i="5"/>
  <c r="A9222" i="5"/>
  <c r="A9223" i="5"/>
  <c r="A9224" i="5"/>
  <c r="A9225" i="5"/>
  <c r="A9226" i="5"/>
  <c r="A9227" i="5"/>
  <c r="A9228" i="5"/>
  <c r="A9229" i="5"/>
  <c r="A9230" i="5"/>
  <c r="A9231" i="5"/>
  <c r="A9232" i="5"/>
  <c r="A9233" i="5"/>
  <c r="A9234" i="5"/>
  <c r="A9235" i="5"/>
  <c r="A9236" i="5"/>
  <c r="A9237" i="5"/>
  <c r="A9238" i="5"/>
  <c r="A9239" i="5"/>
  <c r="A9240" i="5"/>
  <c r="A9241" i="5"/>
  <c r="A9242" i="5"/>
  <c r="A9243" i="5"/>
  <c r="A9244" i="5"/>
  <c r="A9245" i="5"/>
  <c r="A9246" i="5"/>
  <c r="A9247" i="5"/>
  <c r="A9248" i="5"/>
  <c r="A9249" i="5"/>
  <c r="A9250" i="5"/>
  <c r="A9251" i="5"/>
  <c r="A9252" i="5"/>
  <c r="A9253" i="5"/>
  <c r="A9254" i="5"/>
  <c r="A9255" i="5"/>
  <c r="A9256" i="5"/>
  <c r="A9257" i="5"/>
  <c r="A9258" i="5"/>
  <c r="A9259" i="5"/>
  <c r="A9260" i="5"/>
  <c r="A9261" i="5"/>
  <c r="A9262" i="5"/>
  <c r="A9263" i="5"/>
  <c r="A9264" i="5"/>
  <c r="A9265" i="5"/>
  <c r="A9266" i="5"/>
  <c r="A9267" i="5"/>
  <c r="A9268" i="5"/>
  <c r="A9269" i="5"/>
  <c r="A9270" i="5"/>
  <c r="A9271" i="5"/>
  <c r="A9272" i="5"/>
  <c r="A9273" i="5"/>
  <c r="A9274" i="5"/>
  <c r="A9275" i="5"/>
  <c r="A9276" i="5"/>
  <c r="A9277" i="5"/>
  <c r="A9278" i="5"/>
  <c r="A9279" i="5"/>
  <c r="A9280" i="5"/>
  <c r="A9281" i="5"/>
  <c r="A9282" i="5"/>
  <c r="A9283" i="5"/>
  <c r="A9284" i="5"/>
  <c r="A9285" i="5"/>
  <c r="A9286" i="5"/>
  <c r="A9287" i="5"/>
  <c r="A9288" i="5"/>
  <c r="A9289" i="5"/>
  <c r="A9290" i="5"/>
  <c r="A9291" i="5"/>
  <c r="A9292" i="5"/>
  <c r="A9293" i="5"/>
  <c r="A9294" i="5"/>
  <c r="A9295" i="5"/>
  <c r="A9296" i="5"/>
  <c r="A9297" i="5"/>
  <c r="A9298" i="5"/>
  <c r="A9299" i="5"/>
  <c r="A9300" i="5"/>
  <c r="A9301" i="5"/>
  <c r="A9302" i="5"/>
  <c r="A9303" i="5"/>
  <c r="A9304" i="5"/>
  <c r="A9305" i="5"/>
  <c r="A9306" i="5"/>
  <c r="A9307" i="5"/>
  <c r="A9308" i="5"/>
  <c r="A9309" i="5"/>
  <c r="A9310" i="5"/>
  <c r="A9311" i="5"/>
  <c r="A9312" i="5"/>
  <c r="A9313" i="5"/>
  <c r="A9314" i="5"/>
  <c r="A9315" i="5"/>
  <c r="A9316" i="5"/>
  <c r="A9317" i="5"/>
  <c r="A9318" i="5"/>
  <c r="A9319" i="5"/>
  <c r="A9320" i="5"/>
  <c r="A9321" i="5"/>
  <c r="A9322" i="5"/>
  <c r="A9323" i="5"/>
  <c r="A9324" i="5"/>
  <c r="A9325" i="5"/>
  <c r="A9326" i="5"/>
  <c r="A9327" i="5"/>
  <c r="A9328" i="5"/>
  <c r="A9329" i="5"/>
  <c r="A9330" i="5"/>
  <c r="A9331" i="5"/>
  <c r="A9332" i="5"/>
  <c r="A9333" i="5"/>
  <c r="A9334" i="5"/>
  <c r="A9335" i="5"/>
  <c r="A9336" i="5"/>
  <c r="A9337" i="5"/>
  <c r="A9338" i="5"/>
  <c r="A9339" i="5"/>
  <c r="A9340" i="5"/>
  <c r="A9341" i="5"/>
  <c r="A9342" i="5"/>
  <c r="A9343" i="5"/>
  <c r="A9344" i="5"/>
  <c r="A9345" i="5"/>
  <c r="A9346" i="5"/>
  <c r="A9347" i="5"/>
  <c r="A9348" i="5"/>
  <c r="A9349" i="5"/>
  <c r="A9350" i="5"/>
  <c r="A9351" i="5"/>
  <c r="A9352" i="5"/>
  <c r="A9353" i="5"/>
  <c r="A9354" i="5"/>
  <c r="A9355" i="5"/>
  <c r="A9356" i="5"/>
  <c r="A9357" i="5"/>
  <c r="A9358" i="5"/>
  <c r="A9359" i="5"/>
  <c r="A9360" i="5"/>
  <c r="A9361" i="5"/>
  <c r="A9362" i="5"/>
  <c r="A9363" i="5"/>
  <c r="A9364" i="5"/>
  <c r="A9365" i="5"/>
  <c r="A9366" i="5"/>
  <c r="A9367" i="5"/>
  <c r="A9368" i="5"/>
  <c r="A9369" i="5"/>
  <c r="A9370" i="5"/>
  <c r="A9371" i="5"/>
  <c r="A9372" i="5"/>
  <c r="A9373" i="5"/>
  <c r="A9374" i="5"/>
  <c r="A9375" i="5"/>
  <c r="A9376" i="5"/>
  <c r="A9377" i="5"/>
  <c r="A9378" i="5"/>
  <c r="A9379" i="5"/>
  <c r="A9380" i="5"/>
  <c r="A9381" i="5"/>
  <c r="A9382" i="5"/>
  <c r="A9383" i="5"/>
  <c r="A9384" i="5"/>
  <c r="A9385" i="5"/>
  <c r="A9386" i="5"/>
  <c r="A9387" i="5"/>
  <c r="A9388" i="5"/>
  <c r="A9389" i="5"/>
  <c r="A9390" i="5"/>
  <c r="A9391" i="5"/>
  <c r="A9392" i="5"/>
  <c r="A9393" i="5"/>
  <c r="A9394" i="5"/>
  <c r="A9395" i="5"/>
  <c r="A9396" i="5"/>
  <c r="A9397" i="5"/>
  <c r="A9398" i="5"/>
  <c r="A9399" i="5"/>
  <c r="A9400" i="5"/>
  <c r="A9401" i="5"/>
  <c r="A9402" i="5"/>
  <c r="A9403" i="5"/>
  <c r="A9404" i="5"/>
  <c r="A9405" i="5"/>
  <c r="A9406" i="5"/>
  <c r="A9407" i="5"/>
  <c r="A9408" i="5"/>
  <c r="A9409" i="5"/>
  <c r="A9410" i="5"/>
  <c r="A9411" i="5"/>
  <c r="A9412" i="5"/>
  <c r="A9413" i="5"/>
  <c r="A9414" i="5"/>
  <c r="A9415" i="5"/>
  <c r="A9416" i="5"/>
  <c r="A9417" i="5"/>
  <c r="A9418" i="5"/>
  <c r="A9419" i="5"/>
  <c r="A9420" i="5"/>
  <c r="A9421" i="5"/>
  <c r="A9422" i="5"/>
  <c r="A9423" i="5"/>
  <c r="A9424" i="5"/>
  <c r="A9425" i="5"/>
  <c r="A9426" i="5"/>
  <c r="A9427" i="5"/>
  <c r="A9428" i="5"/>
  <c r="A9429" i="5"/>
  <c r="A9430" i="5"/>
  <c r="A9431" i="5"/>
  <c r="A9432" i="5"/>
  <c r="A9433" i="5"/>
  <c r="A9434" i="5"/>
  <c r="A9435" i="5"/>
  <c r="A9436" i="5"/>
  <c r="A9437" i="5"/>
  <c r="A9438" i="5"/>
  <c r="A9439" i="5"/>
  <c r="A9440" i="5"/>
  <c r="A9441" i="5"/>
  <c r="A9442" i="5"/>
  <c r="A9443" i="5"/>
  <c r="A9444" i="5"/>
  <c r="A9445" i="5"/>
  <c r="A9446" i="5"/>
  <c r="A9447" i="5"/>
  <c r="A9448" i="5"/>
  <c r="A9449" i="5"/>
  <c r="A9450" i="5"/>
  <c r="A9451" i="5"/>
  <c r="A9452" i="5"/>
  <c r="A9453" i="5"/>
  <c r="A9454" i="5"/>
  <c r="A9455" i="5"/>
  <c r="A9456" i="5"/>
  <c r="A9457" i="5"/>
  <c r="A9458" i="5"/>
  <c r="A9459" i="5"/>
  <c r="A9460" i="5"/>
  <c r="A9461" i="5"/>
  <c r="A9462" i="5"/>
  <c r="A9463" i="5"/>
  <c r="A9464" i="5"/>
  <c r="A9465" i="5"/>
  <c r="A9466" i="5"/>
  <c r="A9467" i="5"/>
  <c r="A9468" i="5"/>
  <c r="A9469" i="5"/>
  <c r="A9470" i="5"/>
  <c r="A9471" i="5"/>
  <c r="A9472" i="5"/>
  <c r="A9473" i="5"/>
  <c r="A9474" i="5"/>
  <c r="A9475" i="5"/>
  <c r="A9476" i="5"/>
  <c r="A9477" i="5"/>
  <c r="A9478" i="5"/>
  <c r="A9479" i="5"/>
  <c r="A9480" i="5"/>
  <c r="A9481" i="5"/>
  <c r="A9482" i="5"/>
  <c r="A9483" i="5"/>
  <c r="A9484" i="5"/>
  <c r="A9485" i="5"/>
  <c r="A9486" i="5"/>
  <c r="A9487" i="5"/>
  <c r="A9488" i="5"/>
  <c r="A9489" i="5"/>
  <c r="A9490" i="5"/>
  <c r="A9491" i="5"/>
  <c r="A9492" i="5"/>
  <c r="A9493" i="5"/>
  <c r="A9494" i="5"/>
  <c r="A9495" i="5"/>
  <c r="A9496" i="5"/>
  <c r="A9497" i="5"/>
  <c r="A9498" i="5"/>
  <c r="A9499" i="5"/>
  <c r="A9500" i="5"/>
  <c r="A9501" i="5"/>
  <c r="A9502" i="5"/>
  <c r="A9503" i="5"/>
  <c r="A9504" i="5"/>
  <c r="A9505" i="5"/>
  <c r="A9506" i="5"/>
  <c r="A9507" i="5"/>
  <c r="A9508" i="5"/>
  <c r="A9509" i="5"/>
  <c r="A9510" i="5"/>
  <c r="A9511" i="5"/>
  <c r="A9512" i="5"/>
  <c r="A9513" i="5"/>
  <c r="A9514" i="5"/>
  <c r="A9515" i="5"/>
  <c r="A9516" i="5"/>
  <c r="A9517" i="5"/>
  <c r="A9518" i="5"/>
  <c r="A9519" i="5"/>
  <c r="A9520" i="5"/>
  <c r="A9521" i="5"/>
  <c r="A9522" i="5"/>
  <c r="A9523" i="5"/>
  <c r="A9524" i="5"/>
  <c r="A9525" i="5"/>
  <c r="A9526" i="5"/>
  <c r="A9527" i="5"/>
  <c r="A9528" i="5"/>
  <c r="A9529" i="5"/>
  <c r="A9530" i="5"/>
  <c r="A9531" i="5"/>
  <c r="A9532" i="5"/>
  <c r="A9533" i="5"/>
  <c r="A9534" i="5"/>
  <c r="A9535" i="5"/>
  <c r="A9536" i="5"/>
  <c r="A9537" i="5"/>
  <c r="A9538" i="5"/>
  <c r="A9539" i="5"/>
  <c r="A9540" i="5"/>
  <c r="A9541" i="5"/>
  <c r="A9542" i="5"/>
  <c r="A9543" i="5"/>
  <c r="A9544" i="5"/>
  <c r="A9545" i="5"/>
  <c r="A9546" i="5"/>
  <c r="A9547" i="5"/>
  <c r="A9548" i="5"/>
  <c r="A9549" i="5"/>
  <c r="A9550" i="5"/>
  <c r="A9551" i="5"/>
  <c r="A9552" i="5"/>
  <c r="A9553" i="5"/>
  <c r="A9554" i="5"/>
  <c r="A9555" i="5"/>
  <c r="A9556" i="5"/>
  <c r="A9557" i="5"/>
  <c r="A9558" i="5"/>
  <c r="A9559" i="5"/>
  <c r="A9560" i="5"/>
  <c r="A9561" i="5"/>
  <c r="A9562" i="5"/>
  <c r="A9563" i="5"/>
  <c r="A9564" i="5"/>
  <c r="A9565" i="5"/>
  <c r="A9566" i="5"/>
  <c r="A9567" i="5"/>
  <c r="A9568" i="5"/>
  <c r="A9569" i="5"/>
  <c r="A9570" i="5"/>
  <c r="A9571" i="5"/>
  <c r="A9572" i="5"/>
  <c r="A9573" i="5"/>
  <c r="A9574" i="5"/>
  <c r="A9575" i="5"/>
  <c r="A9576" i="5"/>
  <c r="A9577" i="5"/>
  <c r="A9578" i="5"/>
  <c r="A9579" i="5"/>
  <c r="A9580" i="5"/>
  <c r="A9581" i="5"/>
  <c r="A9582" i="5"/>
  <c r="A9583" i="5"/>
  <c r="A9584" i="5"/>
  <c r="A9585" i="5"/>
  <c r="A9586" i="5"/>
  <c r="A9587" i="5"/>
  <c r="A9588" i="5"/>
  <c r="A9589" i="5"/>
  <c r="A9590" i="5"/>
  <c r="A9591" i="5"/>
  <c r="A9592" i="5"/>
  <c r="A9593" i="5"/>
  <c r="A9594" i="5"/>
  <c r="A9595" i="5"/>
  <c r="A9596" i="5"/>
  <c r="A9597" i="5"/>
  <c r="A9598" i="5"/>
  <c r="A9599" i="5"/>
  <c r="A9600" i="5"/>
  <c r="A9601" i="5"/>
  <c r="A9602" i="5"/>
  <c r="A9603" i="5"/>
  <c r="A9604" i="5"/>
  <c r="A9605" i="5"/>
  <c r="A9606" i="5"/>
  <c r="A9607" i="5"/>
  <c r="A9608" i="5"/>
  <c r="A9609" i="5"/>
  <c r="A9610" i="5"/>
  <c r="A9611" i="5"/>
  <c r="A9612" i="5"/>
  <c r="A9613" i="5"/>
  <c r="A9614" i="5"/>
  <c r="A9615" i="5"/>
  <c r="A9616" i="5"/>
  <c r="A9617" i="5"/>
  <c r="A9618" i="5"/>
  <c r="A9619" i="5"/>
  <c r="A9620" i="5"/>
  <c r="A9621" i="5"/>
  <c r="A9622" i="5"/>
  <c r="A9623" i="5"/>
  <c r="A9624" i="5"/>
  <c r="A9625" i="5"/>
  <c r="A9626" i="5"/>
  <c r="A9627" i="5"/>
  <c r="A9628" i="5"/>
  <c r="A9629" i="5"/>
  <c r="A9630" i="5"/>
  <c r="A9631" i="5"/>
  <c r="A9632" i="5"/>
  <c r="A9633" i="5"/>
  <c r="A9634" i="5"/>
  <c r="A9635" i="5"/>
  <c r="A9636" i="5"/>
  <c r="A9637" i="5"/>
  <c r="A9638" i="5"/>
  <c r="A9639" i="5"/>
  <c r="A9640" i="5"/>
  <c r="A9641" i="5"/>
  <c r="A9642" i="5"/>
  <c r="A9643" i="5"/>
  <c r="A9644" i="5"/>
  <c r="A9645" i="5"/>
  <c r="A9646" i="5"/>
  <c r="A9647" i="5"/>
  <c r="A9648" i="5"/>
  <c r="A9649" i="5"/>
  <c r="A9650" i="5"/>
  <c r="A9651" i="5"/>
  <c r="A9652" i="5"/>
  <c r="A9653" i="5"/>
  <c r="A9654" i="5"/>
  <c r="A9655" i="5"/>
  <c r="A9656" i="5"/>
  <c r="A9657" i="5"/>
  <c r="A9658" i="5"/>
  <c r="A9659" i="5"/>
  <c r="A9660" i="5"/>
  <c r="A9661" i="5"/>
  <c r="A9662" i="5"/>
  <c r="A9663" i="5"/>
  <c r="A9664" i="5"/>
  <c r="A9665" i="5"/>
  <c r="A9666" i="5"/>
  <c r="A9667" i="5"/>
  <c r="A9668" i="5"/>
  <c r="A9669" i="5"/>
  <c r="A9670" i="5"/>
  <c r="A9671" i="5"/>
  <c r="A9672" i="5"/>
  <c r="A9673" i="5"/>
  <c r="A9674" i="5"/>
  <c r="A9675" i="5"/>
  <c r="A9676" i="5"/>
  <c r="A9677" i="5"/>
  <c r="A9678" i="5"/>
  <c r="A9679" i="5"/>
  <c r="A9680" i="5"/>
  <c r="A9681" i="5"/>
  <c r="A9682" i="5"/>
  <c r="A9683" i="5"/>
  <c r="A9684" i="5"/>
  <c r="A9685" i="5"/>
  <c r="A9686" i="5"/>
  <c r="A9687" i="5"/>
  <c r="A9688" i="5"/>
  <c r="A9689" i="5"/>
  <c r="A9690" i="5"/>
  <c r="A9691" i="5"/>
  <c r="A9692" i="5"/>
  <c r="A9693" i="5"/>
  <c r="A9694" i="5"/>
  <c r="A9695" i="5"/>
  <c r="A9696" i="5"/>
  <c r="A9697" i="5"/>
  <c r="A9698" i="5"/>
  <c r="A9699" i="5"/>
  <c r="A9700" i="5"/>
  <c r="A9701" i="5"/>
  <c r="A9702" i="5"/>
  <c r="A9703" i="5"/>
  <c r="A9704" i="5"/>
  <c r="A9705" i="5"/>
  <c r="A9706" i="5"/>
  <c r="A9707" i="5"/>
  <c r="A9708" i="5"/>
  <c r="A9709" i="5"/>
  <c r="A9710" i="5"/>
  <c r="A9711" i="5"/>
  <c r="A9712" i="5"/>
  <c r="A9713" i="5"/>
  <c r="A9714" i="5"/>
  <c r="A9715" i="5"/>
  <c r="A9716" i="5"/>
  <c r="A9717" i="5"/>
  <c r="A9718" i="5"/>
  <c r="A9719" i="5"/>
  <c r="A9720" i="5"/>
  <c r="A9721" i="5"/>
  <c r="A9722" i="5"/>
  <c r="A9723" i="5"/>
  <c r="A9724" i="5"/>
  <c r="A9725" i="5"/>
  <c r="A9726" i="5"/>
  <c r="A9727" i="5"/>
  <c r="A9728" i="5"/>
  <c r="A9729" i="5"/>
  <c r="A9730" i="5"/>
  <c r="A9731" i="5"/>
  <c r="A9732" i="5"/>
  <c r="A9733" i="5"/>
  <c r="A9734" i="5"/>
  <c r="A9735" i="5"/>
  <c r="A9736" i="5"/>
  <c r="A9737" i="5"/>
  <c r="A9738" i="5"/>
  <c r="A9739" i="5"/>
  <c r="A9740" i="5"/>
  <c r="A9741" i="5"/>
  <c r="A9742" i="5"/>
  <c r="A9743" i="5"/>
  <c r="A9744" i="5"/>
  <c r="A9745" i="5"/>
  <c r="A9746" i="5"/>
  <c r="A9747" i="5"/>
  <c r="A9748" i="5"/>
  <c r="A9749" i="5"/>
  <c r="A9750" i="5"/>
  <c r="A9751" i="5"/>
  <c r="A9752" i="5"/>
  <c r="A9753" i="5"/>
  <c r="A9754" i="5"/>
  <c r="A9755" i="5"/>
  <c r="A9756" i="5"/>
  <c r="A9757" i="5"/>
  <c r="A9758" i="5"/>
  <c r="A9759" i="5"/>
  <c r="A9760" i="5"/>
  <c r="A9761" i="5"/>
  <c r="A9762" i="5"/>
  <c r="A9763" i="5"/>
  <c r="A9764" i="5"/>
  <c r="A9765" i="5"/>
  <c r="A9766" i="5"/>
  <c r="A9767" i="5"/>
  <c r="A9768" i="5"/>
  <c r="A9769" i="5"/>
  <c r="A9770" i="5"/>
  <c r="A9771" i="5"/>
  <c r="A9772" i="5"/>
  <c r="A9773" i="5"/>
  <c r="A9774" i="5"/>
  <c r="A9775" i="5"/>
  <c r="A9776" i="5"/>
  <c r="A9777" i="5"/>
  <c r="A9778" i="5"/>
  <c r="A9779" i="5"/>
  <c r="A9780" i="5"/>
  <c r="A9781" i="5"/>
  <c r="A9782" i="5"/>
  <c r="A9783" i="5"/>
  <c r="A9784" i="5"/>
  <c r="A9785" i="5"/>
  <c r="A9786" i="5"/>
  <c r="A9787" i="5"/>
  <c r="A9788" i="5"/>
  <c r="A9789" i="5"/>
  <c r="A9790" i="5"/>
  <c r="A9791" i="5"/>
  <c r="A9792" i="5"/>
  <c r="A9793" i="5"/>
  <c r="A9794" i="5"/>
  <c r="A9795" i="5"/>
  <c r="A9796" i="5"/>
  <c r="A9797" i="5"/>
  <c r="A9798" i="5"/>
  <c r="A9799" i="5"/>
  <c r="A9800" i="5"/>
  <c r="A9801" i="5"/>
  <c r="A9802" i="5"/>
  <c r="A9803" i="5"/>
  <c r="A9804" i="5"/>
  <c r="A9805" i="5"/>
  <c r="A9806" i="5"/>
  <c r="A9807" i="5"/>
  <c r="A9808" i="5"/>
  <c r="A9809" i="5"/>
  <c r="A9810" i="5"/>
  <c r="A9811" i="5"/>
  <c r="A9812" i="5"/>
  <c r="A9813" i="5"/>
  <c r="A9814" i="5"/>
  <c r="A9815" i="5"/>
  <c r="A9816" i="5"/>
  <c r="A9817" i="5"/>
  <c r="A9818" i="5"/>
  <c r="A9819" i="5"/>
  <c r="A9820" i="5"/>
  <c r="A9821" i="5"/>
  <c r="A9822" i="5"/>
  <c r="A9823" i="5"/>
  <c r="A9824" i="5"/>
  <c r="A9825" i="5"/>
  <c r="A9826" i="5"/>
  <c r="A9827" i="5"/>
  <c r="A9828" i="5"/>
  <c r="A9829" i="5"/>
  <c r="A9830" i="5"/>
  <c r="A9831" i="5"/>
  <c r="A9832" i="5"/>
  <c r="A9833" i="5"/>
  <c r="A9834" i="5"/>
  <c r="A9835" i="5"/>
  <c r="A9836" i="5"/>
  <c r="A9837" i="5"/>
  <c r="A9838" i="5"/>
  <c r="A9839" i="5"/>
  <c r="A9840" i="5"/>
  <c r="A9841" i="5"/>
  <c r="A9842" i="5"/>
  <c r="A9843" i="5"/>
  <c r="A9844" i="5"/>
  <c r="A9845" i="5"/>
  <c r="A9846" i="5"/>
  <c r="A9847" i="5"/>
  <c r="A9848" i="5"/>
  <c r="A9849" i="5"/>
  <c r="A9850" i="5"/>
  <c r="A9851" i="5"/>
  <c r="A9852" i="5"/>
  <c r="A9853" i="5"/>
  <c r="A9854" i="5"/>
  <c r="A9855" i="5"/>
  <c r="A9856" i="5"/>
  <c r="A9857" i="5"/>
  <c r="A9858" i="5"/>
  <c r="A9859" i="5"/>
  <c r="A9860" i="5"/>
  <c r="A9861" i="5"/>
  <c r="A9862" i="5"/>
  <c r="A9863" i="5"/>
  <c r="A9864" i="5"/>
  <c r="A9865" i="5"/>
  <c r="A9866" i="5"/>
  <c r="A9867" i="5"/>
  <c r="A9868" i="5"/>
  <c r="A9869" i="5"/>
  <c r="A9870" i="5"/>
  <c r="A9871" i="5"/>
  <c r="A9872" i="5"/>
  <c r="A9873" i="5"/>
  <c r="A9874" i="5"/>
  <c r="A9875" i="5"/>
  <c r="A9876" i="5"/>
  <c r="A9877" i="5"/>
  <c r="A9878" i="5"/>
  <c r="A9879" i="5"/>
  <c r="A9880" i="5"/>
  <c r="A9881" i="5"/>
  <c r="A9882" i="5"/>
  <c r="A9883" i="5"/>
  <c r="A9884" i="5"/>
  <c r="A9885" i="5"/>
  <c r="A9886" i="5"/>
  <c r="A9887" i="5"/>
  <c r="A9888" i="5"/>
  <c r="A9889" i="5"/>
  <c r="A9890" i="5"/>
  <c r="A9891" i="5"/>
  <c r="A9892" i="5"/>
  <c r="A9893" i="5"/>
  <c r="A9894" i="5"/>
  <c r="A9895" i="5"/>
  <c r="A9896" i="5"/>
  <c r="A9897" i="5"/>
  <c r="A9898" i="5"/>
  <c r="A9899" i="5"/>
  <c r="A9900" i="5"/>
  <c r="A9901" i="5"/>
  <c r="A9902" i="5"/>
  <c r="A9903" i="5"/>
  <c r="A9904" i="5"/>
  <c r="A9905" i="5"/>
  <c r="A9906" i="5"/>
  <c r="A9907" i="5"/>
  <c r="A9908" i="5"/>
  <c r="A9909" i="5"/>
  <c r="A9910" i="5"/>
  <c r="A9911" i="5"/>
  <c r="A9912" i="5"/>
  <c r="A9913" i="5"/>
  <c r="A9914" i="5"/>
  <c r="A9915" i="5"/>
  <c r="A9916" i="5"/>
  <c r="A9917" i="5"/>
  <c r="A9918" i="5"/>
  <c r="A9919" i="5"/>
  <c r="A9920" i="5"/>
  <c r="A9921" i="5"/>
  <c r="A9922" i="5"/>
  <c r="A9923" i="5"/>
  <c r="A9924" i="5"/>
  <c r="A9925" i="5"/>
  <c r="A9926" i="5"/>
  <c r="A9927" i="5"/>
  <c r="A9928" i="5"/>
  <c r="A9929" i="5"/>
  <c r="A9930" i="5"/>
  <c r="A9931" i="5"/>
  <c r="A9932" i="5"/>
  <c r="A9933" i="5"/>
  <c r="A9934" i="5"/>
  <c r="A9935" i="5"/>
  <c r="A9936" i="5"/>
  <c r="A9937" i="5"/>
  <c r="A9938" i="5"/>
  <c r="A9939" i="5"/>
  <c r="A9940" i="5"/>
  <c r="A9941" i="5"/>
  <c r="A9942" i="5"/>
  <c r="A9943" i="5"/>
  <c r="A9944" i="5"/>
  <c r="A9945" i="5"/>
  <c r="A9946" i="5"/>
  <c r="A9947" i="5"/>
  <c r="A9948" i="5"/>
  <c r="A9949" i="5"/>
  <c r="A9950" i="5"/>
  <c r="A9951" i="5"/>
  <c r="A9952" i="5"/>
  <c r="A9953" i="5"/>
  <c r="A9954" i="5"/>
  <c r="A9955" i="5"/>
  <c r="A9956" i="5"/>
  <c r="A9957" i="5"/>
  <c r="A9958" i="5"/>
  <c r="A9959" i="5"/>
  <c r="A9960" i="5"/>
  <c r="A9961" i="5"/>
  <c r="A9962" i="5"/>
  <c r="A9963" i="5"/>
  <c r="A9964" i="5"/>
  <c r="A9965" i="5"/>
  <c r="A9966" i="5"/>
  <c r="A9967" i="5"/>
  <c r="A9968" i="5"/>
  <c r="A9969" i="5"/>
  <c r="A9970" i="5"/>
  <c r="A9971" i="5"/>
  <c r="A9972" i="5"/>
  <c r="A9973" i="5"/>
  <c r="A9974" i="5"/>
  <c r="A9975" i="5"/>
  <c r="A9976" i="5"/>
  <c r="A9977" i="5"/>
  <c r="A9978" i="5"/>
  <c r="A9979" i="5"/>
  <c r="A9980" i="5"/>
  <c r="A9981" i="5"/>
  <c r="A9982" i="5"/>
  <c r="A9983" i="5"/>
  <c r="A9984" i="5"/>
  <c r="A9985" i="5"/>
  <c r="A9986" i="5"/>
  <c r="A9987" i="5"/>
  <c r="A9988" i="5"/>
  <c r="A9989" i="5"/>
  <c r="A9990" i="5"/>
  <c r="A9991" i="5"/>
  <c r="A9992" i="5"/>
  <c r="A9993" i="5"/>
  <c r="A9994" i="5"/>
  <c r="A9995" i="5"/>
  <c r="A9996" i="5"/>
  <c r="B4" i="8"/>
  <c r="E5" i="3"/>
  <c r="F5" i="3" s="1"/>
  <c r="A5" i="3" s="1"/>
  <c r="I33" i="8"/>
  <c r="I34" i="8"/>
  <c r="I35" i="8"/>
  <c r="I36" i="8"/>
  <c r="I37" i="8"/>
  <c r="I38" i="8"/>
  <c r="I39" i="8"/>
  <c r="I40" i="8"/>
  <c r="I41" i="8"/>
  <c r="I42" i="8"/>
  <c r="I43" i="8"/>
  <c r="I32" i="8"/>
  <c r="F33" i="8"/>
  <c r="F34" i="8"/>
  <c r="F35" i="8"/>
  <c r="F36" i="8"/>
  <c r="F37" i="8"/>
  <c r="F38" i="8"/>
  <c r="F39" i="8"/>
  <c r="F40" i="8"/>
  <c r="F41" i="8"/>
  <c r="F42" i="8"/>
  <c r="F43" i="8"/>
  <c r="F32" i="8"/>
  <c r="C28" i="8"/>
  <c r="I28" i="8"/>
  <c r="C26" i="8"/>
  <c r="I9" i="8"/>
  <c r="I10" i="8"/>
  <c r="I11" i="8"/>
  <c r="I12" i="8"/>
  <c r="I13" i="8"/>
  <c r="I14" i="8"/>
  <c r="I15" i="8"/>
  <c r="I16" i="8"/>
  <c r="I17" i="8"/>
  <c r="I18" i="8"/>
  <c r="I19" i="8"/>
  <c r="I8" i="8"/>
  <c r="F9" i="8"/>
  <c r="F10" i="8"/>
  <c r="F11" i="8"/>
  <c r="F12" i="8"/>
  <c r="F13" i="8"/>
  <c r="F14" i="8"/>
  <c r="F15" i="8"/>
  <c r="F16" i="8"/>
  <c r="F17" i="8"/>
  <c r="F18" i="8"/>
  <c r="F19" i="8"/>
  <c r="F8" i="8"/>
  <c r="E445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6" i="5"/>
  <c r="E827" i="5"/>
  <c r="E828" i="5"/>
  <c r="E829" i="5"/>
  <c r="E830" i="5"/>
  <c r="E831" i="5"/>
  <c r="E832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F4996" i="3"/>
  <c r="A4996" i="3" s="1"/>
  <c r="E4996" i="3"/>
  <c r="F4995" i="3"/>
  <c r="A4995" i="3" s="1"/>
  <c r="E4995" i="3"/>
  <c r="F4994" i="3"/>
  <c r="A4994" i="3" s="1"/>
  <c r="E4994" i="3"/>
  <c r="F4993" i="3"/>
  <c r="A4993" i="3" s="1"/>
  <c r="E4993" i="3"/>
  <c r="F4992" i="3"/>
  <c r="A4992" i="3" s="1"/>
  <c r="E4992" i="3"/>
  <c r="F4991" i="3"/>
  <c r="A4991" i="3" s="1"/>
  <c r="E4991" i="3"/>
  <c r="F4990" i="3"/>
  <c r="A4990" i="3" s="1"/>
  <c r="E4990" i="3"/>
  <c r="F4989" i="3"/>
  <c r="A4989" i="3" s="1"/>
  <c r="E4989" i="3"/>
  <c r="F4988" i="3"/>
  <c r="A4988" i="3" s="1"/>
  <c r="E4988" i="3"/>
  <c r="F4987" i="3"/>
  <c r="A4987" i="3" s="1"/>
  <c r="E4987" i="3"/>
  <c r="F4986" i="3"/>
  <c r="A4986" i="3" s="1"/>
  <c r="E4986" i="3"/>
  <c r="F4985" i="3"/>
  <c r="A4985" i="3" s="1"/>
  <c r="E4985" i="3"/>
  <c r="F4984" i="3"/>
  <c r="A4984" i="3" s="1"/>
  <c r="E4984" i="3"/>
  <c r="F4983" i="3"/>
  <c r="A4983" i="3" s="1"/>
  <c r="E4983" i="3"/>
  <c r="F4982" i="3"/>
  <c r="A4982" i="3" s="1"/>
  <c r="E4982" i="3"/>
  <c r="F4981" i="3"/>
  <c r="A4981" i="3" s="1"/>
  <c r="E4981" i="3"/>
  <c r="F4980" i="3"/>
  <c r="A4980" i="3" s="1"/>
  <c r="E4980" i="3"/>
  <c r="F4979" i="3"/>
  <c r="A4979" i="3" s="1"/>
  <c r="E4979" i="3"/>
  <c r="F4978" i="3"/>
  <c r="A4978" i="3" s="1"/>
  <c r="E4978" i="3"/>
  <c r="F4977" i="3"/>
  <c r="A4977" i="3" s="1"/>
  <c r="E4977" i="3"/>
  <c r="F4976" i="3"/>
  <c r="A4976" i="3" s="1"/>
  <c r="E4976" i="3"/>
  <c r="F4975" i="3"/>
  <c r="A4975" i="3" s="1"/>
  <c r="E4975" i="3"/>
  <c r="F4974" i="3"/>
  <c r="A4974" i="3" s="1"/>
  <c r="E4974" i="3"/>
  <c r="F4973" i="3"/>
  <c r="A4973" i="3" s="1"/>
  <c r="E4973" i="3"/>
  <c r="F4972" i="3"/>
  <c r="A4972" i="3" s="1"/>
  <c r="E4972" i="3"/>
  <c r="F4971" i="3"/>
  <c r="A4971" i="3" s="1"/>
  <c r="E4971" i="3"/>
  <c r="F4970" i="3"/>
  <c r="A4970" i="3" s="1"/>
  <c r="E4970" i="3"/>
  <c r="F4969" i="3"/>
  <c r="A4969" i="3" s="1"/>
  <c r="E4969" i="3"/>
  <c r="F4968" i="3"/>
  <c r="A4968" i="3" s="1"/>
  <c r="E4968" i="3"/>
  <c r="F4967" i="3"/>
  <c r="A4967" i="3" s="1"/>
  <c r="E4967" i="3"/>
  <c r="F4966" i="3"/>
  <c r="A4966" i="3" s="1"/>
  <c r="E4966" i="3"/>
  <c r="F4965" i="3"/>
  <c r="A4965" i="3" s="1"/>
  <c r="E4965" i="3"/>
  <c r="F4964" i="3"/>
  <c r="A4964" i="3" s="1"/>
  <c r="E4964" i="3"/>
  <c r="F4963" i="3"/>
  <c r="A4963" i="3" s="1"/>
  <c r="E4963" i="3"/>
  <c r="F4962" i="3"/>
  <c r="A4962" i="3" s="1"/>
  <c r="E4962" i="3"/>
  <c r="F4961" i="3"/>
  <c r="A4961" i="3" s="1"/>
  <c r="E4961" i="3"/>
  <c r="F4960" i="3"/>
  <c r="A4960" i="3" s="1"/>
  <c r="E4960" i="3"/>
  <c r="F4959" i="3"/>
  <c r="A4959" i="3" s="1"/>
  <c r="E4959" i="3"/>
  <c r="F4958" i="3"/>
  <c r="A4958" i="3" s="1"/>
  <c r="E4958" i="3"/>
  <c r="F4957" i="3"/>
  <c r="A4957" i="3" s="1"/>
  <c r="E4957" i="3"/>
  <c r="F4956" i="3"/>
  <c r="A4956" i="3" s="1"/>
  <c r="E4956" i="3"/>
  <c r="F4955" i="3"/>
  <c r="A4955" i="3" s="1"/>
  <c r="E4955" i="3"/>
  <c r="F4954" i="3"/>
  <c r="A4954" i="3" s="1"/>
  <c r="E4954" i="3"/>
  <c r="F4953" i="3"/>
  <c r="A4953" i="3" s="1"/>
  <c r="E4953" i="3"/>
  <c r="F4952" i="3"/>
  <c r="A4952" i="3" s="1"/>
  <c r="E4952" i="3"/>
  <c r="F4951" i="3"/>
  <c r="A4951" i="3" s="1"/>
  <c r="E4951" i="3"/>
  <c r="F4950" i="3"/>
  <c r="A4950" i="3" s="1"/>
  <c r="E4950" i="3"/>
  <c r="F4949" i="3"/>
  <c r="A4949" i="3" s="1"/>
  <c r="E4949" i="3"/>
  <c r="F4948" i="3"/>
  <c r="A4948" i="3" s="1"/>
  <c r="E4948" i="3"/>
  <c r="F4947" i="3"/>
  <c r="A4947" i="3" s="1"/>
  <c r="E4947" i="3"/>
  <c r="F4946" i="3"/>
  <c r="A4946" i="3" s="1"/>
  <c r="E4946" i="3"/>
  <c r="F4945" i="3"/>
  <c r="A4945" i="3" s="1"/>
  <c r="E4945" i="3"/>
  <c r="F4944" i="3"/>
  <c r="A4944" i="3" s="1"/>
  <c r="E4944" i="3"/>
  <c r="F4943" i="3"/>
  <c r="A4943" i="3" s="1"/>
  <c r="E4943" i="3"/>
  <c r="F4942" i="3"/>
  <c r="A4942" i="3" s="1"/>
  <c r="E4942" i="3"/>
  <c r="F4941" i="3"/>
  <c r="A4941" i="3" s="1"/>
  <c r="E4941" i="3"/>
  <c r="F4940" i="3"/>
  <c r="A4940" i="3" s="1"/>
  <c r="E4940" i="3"/>
  <c r="F4939" i="3"/>
  <c r="A4939" i="3" s="1"/>
  <c r="E4939" i="3"/>
  <c r="F4938" i="3"/>
  <c r="A4938" i="3" s="1"/>
  <c r="E4938" i="3"/>
  <c r="F4937" i="3"/>
  <c r="A4937" i="3" s="1"/>
  <c r="E4937" i="3"/>
  <c r="F4936" i="3"/>
  <c r="A4936" i="3" s="1"/>
  <c r="E4936" i="3"/>
  <c r="F4935" i="3"/>
  <c r="A4935" i="3" s="1"/>
  <c r="E4935" i="3"/>
  <c r="F4934" i="3"/>
  <c r="A4934" i="3" s="1"/>
  <c r="E4934" i="3"/>
  <c r="F4933" i="3"/>
  <c r="A4933" i="3" s="1"/>
  <c r="E4933" i="3"/>
  <c r="F4932" i="3"/>
  <c r="A4932" i="3" s="1"/>
  <c r="E4932" i="3"/>
  <c r="F4931" i="3"/>
  <c r="A4931" i="3" s="1"/>
  <c r="E4931" i="3"/>
  <c r="F4930" i="3"/>
  <c r="A4930" i="3" s="1"/>
  <c r="E4930" i="3"/>
  <c r="F4929" i="3"/>
  <c r="A4929" i="3" s="1"/>
  <c r="E4929" i="3"/>
  <c r="F4928" i="3"/>
  <c r="A4928" i="3" s="1"/>
  <c r="E4928" i="3"/>
  <c r="F4927" i="3"/>
  <c r="A4927" i="3" s="1"/>
  <c r="E4927" i="3"/>
  <c r="F4926" i="3"/>
  <c r="A4926" i="3" s="1"/>
  <c r="E4926" i="3"/>
  <c r="F4925" i="3"/>
  <c r="A4925" i="3" s="1"/>
  <c r="E4925" i="3"/>
  <c r="F4924" i="3"/>
  <c r="A4924" i="3" s="1"/>
  <c r="E4924" i="3"/>
  <c r="F4923" i="3"/>
  <c r="A4923" i="3" s="1"/>
  <c r="E4923" i="3"/>
  <c r="F4922" i="3"/>
  <c r="A4922" i="3" s="1"/>
  <c r="E4922" i="3"/>
  <c r="F4921" i="3"/>
  <c r="A4921" i="3" s="1"/>
  <c r="E4921" i="3"/>
  <c r="F4920" i="3"/>
  <c r="A4920" i="3" s="1"/>
  <c r="E4920" i="3"/>
  <c r="F4919" i="3"/>
  <c r="A4919" i="3" s="1"/>
  <c r="E4919" i="3"/>
  <c r="F4918" i="3"/>
  <c r="A4918" i="3" s="1"/>
  <c r="E4918" i="3"/>
  <c r="F4917" i="3"/>
  <c r="A4917" i="3" s="1"/>
  <c r="E4917" i="3"/>
  <c r="F4916" i="3"/>
  <c r="A4916" i="3" s="1"/>
  <c r="E4916" i="3"/>
  <c r="F4915" i="3"/>
  <c r="A4915" i="3" s="1"/>
  <c r="E4915" i="3"/>
  <c r="F4914" i="3"/>
  <c r="A4914" i="3" s="1"/>
  <c r="E4914" i="3"/>
  <c r="F4913" i="3"/>
  <c r="A4913" i="3" s="1"/>
  <c r="E4913" i="3"/>
  <c r="F4912" i="3"/>
  <c r="A4912" i="3" s="1"/>
  <c r="E4912" i="3"/>
  <c r="F4911" i="3"/>
  <c r="A4911" i="3" s="1"/>
  <c r="E4911" i="3"/>
  <c r="F4910" i="3"/>
  <c r="A4910" i="3" s="1"/>
  <c r="E4910" i="3"/>
  <c r="F4909" i="3"/>
  <c r="A4909" i="3" s="1"/>
  <c r="E4909" i="3"/>
  <c r="F4908" i="3"/>
  <c r="A4908" i="3" s="1"/>
  <c r="E4908" i="3"/>
  <c r="F4907" i="3"/>
  <c r="A4907" i="3" s="1"/>
  <c r="E4907" i="3"/>
  <c r="F4906" i="3"/>
  <c r="A4906" i="3" s="1"/>
  <c r="E4906" i="3"/>
  <c r="F4905" i="3"/>
  <c r="A4905" i="3" s="1"/>
  <c r="E4905" i="3"/>
  <c r="F4904" i="3"/>
  <c r="A4904" i="3" s="1"/>
  <c r="E4904" i="3"/>
  <c r="F4903" i="3"/>
  <c r="A4903" i="3" s="1"/>
  <c r="E4903" i="3"/>
  <c r="F4902" i="3"/>
  <c r="A4902" i="3" s="1"/>
  <c r="E4902" i="3"/>
  <c r="F4901" i="3"/>
  <c r="A4901" i="3" s="1"/>
  <c r="E4901" i="3"/>
  <c r="F4900" i="3"/>
  <c r="A4900" i="3" s="1"/>
  <c r="E4900" i="3"/>
  <c r="F4899" i="3"/>
  <c r="A4899" i="3" s="1"/>
  <c r="E4899" i="3"/>
  <c r="F4898" i="3"/>
  <c r="A4898" i="3" s="1"/>
  <c r="E4898" i="3"/>
  <c r="F4897" i="3"/>
  <c r="A4897" i="3" s="1"/>
  <c r="E4897" i="3"/>
  <c r="F4896" i="3"/>
  <c r="A4896" i="3" s="1"/>
  <c r="E4896" i="3"/>
  <c r="F4895" i="3"/>
  <c r="A4895" i="3" s="1"/>
  <c r="E4895" i="3"/>
  <c r="F4894" i="3"/>
  <c r="A4894" i="3" s="1"/>
  <c r="E4894" i="3"/>
  <c r="F4893" i="3"/>
  <c r="A4893" i="3" s="1"/>
  <c r="E4893" i="3"/>
  <c r="F4892" i="3"/>
  <c r="A4892" i="3" s="1"/>
  <c r="E4892" i="3"/>
  <c r="F4891" i="3"/>
  <c r="A4891" i="3" s="1"/>
  <c r="E4891" i="3"/>
  <c r="F4890" i="3"/>
  <c r="A4890" i="3" s="1"/>
  <c r="E4890" i="3"/>
  <c r="F4889" i="3"/>
  <c r="A4889" i="3" s="1"/>
  <c r="E4889" i="3"/>
  <c r="F4888" i="3"/>
  <c r="A4888" i="3" s="1"/>
  <c r="E4888" i="3"/>
  <c r="F4887" i="3"/>
  <c r="A4887" i="3" s="1"/>
  <c r="E4887" i="3"/>
  <c r="F4886" i="3"/>
  <c r="A4886" i="3" s="1"/>
  <c r="E4886" i="3"/>
  <c r="F4885" i="3"/>
  <c r="A4885" i="3" s="1"/>
  <c r="E4885" i="3"/>
  <c r="F4884" i="3"/>
  <c r="A4884" i="3" s="1"/>
  <c r="E4884" i="3"/>
  <c r="F4883" i="3"/>
  <c r="A4883" i="3" s="1"/>
  <c r="E4883" i="3"/>
  <c r="F4882" i="3"/>
  <c r="A4882" i="3" s="1"/>
  <c r="E4882" i="3"/>
  <c r="F4881" i="3"/>
  <c r="A4881" i="3" s="1"/>
  <c r="E4881" i="3"/>
  <c r="F4880" i="3"/>
  <c r="A4880" i="3" s="1"/>
  <c r="E4880" i="3"/>
  <c r="F4879" i="3"/>
  <c r="A4879" i="3" s="1"/>
  <c r="E4879" i="3"/>
  <c r="F4878" i="3"/>
  <c r="A4878" i="3" s="1"/>
  <c r="E4878" i="3"/>
  <c r="F4877" i="3"/>
  <c r="A4877" i="3" s="1"/>
  <c r="E4877" i="3"/>
  <c r="F4876" i="3"/>
  <c r="A4876" i="3" s="1"/>
  <c r="E4876" i="3"/>
  <c r="F4875" i="3"/>
  <c r="A4875" i="3" s="1"/>
  <c r="E4875" i="3"/>
  <c r="F4874" i="3"/>
  <c r="A4874" i="3" s="1"/>
  <c r="E4874" i="3"/>
  <c r="F4873" i="3"/>
  <c r="A4873" i="3" s="1"/>
  <c r="E4873" i="3"/>
  <c r="F4872" i="3"/>
  <c r="A4872" i="3" s="1"/>
  <c r="E4872" i="3"/>
  <c r="F4871" i="3"/>
  <c r="A4871" i="3" s="1"/>
  <c r="E4871" i="3"/>
  <c r="F4870" i="3"/>
  <c r="A4870" i="3" s="1"/>
  <c r="E4870" i="3"/>
  <c r="F4869" i="3"/>
  <c r="A4869" i="3" s="1"/>
  <c r="E4869" i="3"/>
  <c r="F4868" i="3"/>
  <c r="A4868" i="3" s="1"/>
  <c r="E4868" i="3"/>
  <c r="F4867" i="3"/>
  <c r="A4867" i="3" s="1"/>
  <c r="E4867" i="3"/>
  <c r="F4866" i="3"/>
  <c r="A4866" i="3" s="1"/>
  <c r="E4866" i="3"/>
  <c r="F4865" i="3"/>
  <c r="A4865" i="3" s="1"/>
  <c r="E4865" i="3"/>
  <c r="F4864" i="3"/>
  <c r="A4864" i="3" s="1"/>
  <c r="E4864" i="3"/>
  <c r="F4863" i="3"/>
  <c r="A4863" i="3" s="1"/>
  <c r="E4863" i="3"/>
  <c r="F4862" i="3"/>
  <c r="A4862" i="3" s="1"/>
  <c r="E4862" i="3"/>
  <c r="F4861" i="3"/>
  <c r="A4861" i="3" s="1"/>
  <c r="E4861" i="3"/>
  <c r="F4860" i="3"/>
  <c r="A4860" i="3" s="1"/>
  <c r="E4860" i="3"/>
  <c r="F4859" i="3"/>
  <c r="A4859" i="3" s="1"/>
  <c r="E4859" i="3"/>
  <c r="F4858" i="3"/>
  <c r="A4858" i="3" s="1"/>
  <c r="E4858" i="3"/>
  <c r="F4857" i="3"/>
  <c r="A4857" i="3" s="1"/>
  <c r="E4857" i="3"/>
  <c r="F4856" i="3"/>
  <c r="A4856" i="3" s="1"/>
  <c r="E4856" i="3"/>
  <c r="F4855" i="3"/>
  <c r="A4855" i="3" s="1"/>
  <c r="E4855" i="3"/>
  <c r="F4854" i="3"/>
  <c r="A4854" i="3" s="1"/>
  <c r="E4854" i="3"/>
  <c r="F4853" i="3"/>
  <c r="A4853" i="3" s="1"/>
  <c r="E4853" i="3"/>
  <c r="F4852" i="3"/>
  <c r="A4852" i="3" s="1"/>
  <c r="E4852" i="3"/>
  <c r="F4851" i="3"/>
  <c r="A4851" i="3" s="1"/>
  <c r="E4851" i="3"/>
  <c r="F4850" i="3"/>
  <c r="A4850" i="3" s="1"/>
  <c r="E4850" i="3"/>
  <c r="F4849" i="3"/>
  <c r="A4849" i="3" s="1"/>
  <c r="E4849" i="3"/>
  <c r="F4848" i="3"/>
  <c r="A4848" i="3" s="1"/>
  <c r="E4848" i="3"/>
  <c r="F4847" i="3"/>
  <c r="A4847" i="3" s="1"/>
  <c r="E4847" i="3"/>
  <c r="F4846" i="3"/>
  <c r="A4846" i="3" s="1"/>
  <c r="E4846" i="3"/>
  <c r="F4845" i="3"/>
  <c r="A4845" i="3" s="1"/>
  <c r="E4845" i="3"/>
  <c r="F4844" i="3"/>
  <c r="A4844" i="3" s="1"/>
  <c r="E4844" i="3"/>
  <c r="F4843" i="3"/>
  <c r="A4843" i="3" s="1"/>
  <c r="E4843" i="3"/>
  <c r="F4842" i="3"/>
  <c r="A4842" i="3" s="1"/>
  <c r="E4842" i="3"/>
  <c r="F4841" i="3"/>
  <c r="A4841" i="3" s="1"/>
  <c r="E4841" i="3"/>
  <c r="F4840" i="3"/>
  <c r="A4840" i="3" s="1"/>
  <c r="E4840" i="3"/>
  <c r="F4839" i="3"/>
  <c r="A4839" i="3" s="1"/>
  <c r="E4839" i="3"/>
  <c r="F4838" i="3"/>
  <c r="A4838" i="3" s="1"/>
  <c r="E4838" i="3"/>
  <c r="F4837" i="3"/>
  <c r="A4837" i="3" s="1"/>
  <c r="E4837" i="3"/>
  <c r="F4836" i="3"/>
  <c r="A4836" i="3" s="1"/>
  <c r="E4836" i="3"/>
  <c r="F4835" i="3"/>
  <c r="A4835" i="3" s="1"/>
  <c r="E4835" i="3"/>
  <c r="F4834" i="3"/>
  <c r="A4834" i="3" s="1"/>
  <c r="E4834" i="3"/>
  <c r="F4833" i="3"/>
  <c r="A4833" i="3" s="1"/>
  <c r="E4833" i="3"/>
  <c r="F4832" i="3"/>
  <c r="A4832" i="3" s="1"/>
  <c r="E4832" i="3"/>
  <c r="F4831" i="3"/>
  <c r="A4831" i="3" s="1"/>
  <c r="E4831" i="3"/>
  <c r="F4830" i="3"/>
  <c r="A4830" i="3" s="1"/>
  <c r="E4830" i="3"/>
  <c r="F4829" i="3"/>
  <c r="A4829" i="3" s="1"/>
  <c r="E4829" i="3"/>
  <c r="F4828" i="3"/>
  <c r="A4828" i="3" s="1"/>
  <c r="E4828" i="3"/>
  <c r="F4827" i="3"/>
  <c r="A4827" i="3" s="1"/>
  <c r="E4827" i="3"/>
  <c r="F4826" i="3"/>
  <c r="A4826" i="3" s="1"/>
  <c r="E4826" i="3"/>
  <c r="F4825" i="3"/>
  <c r="A4825" i="3" s="1"/>
  <c r="E4825" i="3"/>
  <c r="F4824" i="3"/>
  <c r="A4824" i="3" s="1"/>
  <c r="E4824" i="3"/>
  <c r="F4823" i="3"/>
  <c r="A4823" i="3" s="1"/>
  <c r="E4823" i="3"/>
  <c r="F4822" i="3"/>
  <c r="A4822" i="3" s="1"/>
  <c r="E4822" i="3"/>
  <c r="F4821" i="3"/>
  <c r="A4821" i="3" s="1"/>
  <c r="E4821" i="3"/>
  <c r="F4820" i="3"/>
  <c r="A4820" i="3" s="1"/>
  <c r="E4820" i="3"/>
  <c r="F4819" i="3"/>
  <c r="A4819" i="3" s="1"/>
  <c r="E4819" i="3"/>
  <c r="F4818" i="3"/>
  <c r="A4818" i="3" s="1"/>
  <c r="E4818" i="3"/>
  <c r="F4817" i="3"/>
  <c r="A4817" i="3" s="1"/>
  <c r="E4817" i="3"/>
  <c r="F4816" i="3"/>
  <c r="A4816" i="3" s="1"/>
  <c r="E4816" i="3"/>
  <c r="F4815" i="3"/>
  <c r="A4815" i="3" s="1"/>
  <c r="E4815" i="3"/>
  <c r="F4814" i="3"/>
  <c r="A4814" i="3" s="1"/>
  <c r="E4814" i="3"/>
  <c r="F4813" i="3"/>
  <c r="A4813" i="3" s="1"/>
  <c r="E4813" i="3"/>
  <c r="F4812" i="3"/>
  <c r="A4812" i="3" s="1"/>
  <c r="E4812" i="3"/>
  <c r="F4811" i="3"/>
  <c r="A4811" i="3" s="1"/>
  <c r="E4811" i="3"/>
  <c r="F4810" i="3"/>
  <c r="A4810" i="3" s="1"/>
  <c r="E4810" i="3"/>
  <c r="F4809" i="3"/>
  <c r="A4809" i="3" s="1"/>
  <c r="E4809" i="3"/>
  <c r="F4808" i="3"/>
  <c r="A4808" i="3" s="1"/>
  <c r="E4808" i="3"/>
  <c r="F4807" i="3"/>
  <c r="A4807" i="3" s="1"/>
  <c r="E4807" i="3"/>
  <c r="F4806" i="3"/>
  <c r="A4806" i="3" s="1"/>
  <c r="E4806" i="3"/>
  <c r="F4805" i="3"/>
  <c r="A4805" i="3" s="1"/>
  <c r="E4805" i="3"/>
  <c r="F4804" i="3"/>
  <c r="A4804" i="3" s="1"/>
  <c r="E4804" i="3"/>
  <c r="F4803" i="3"/>
  <c r="A4803" i="3" s="1"/>
  <c r="E4803" i="3"/>
  <c r="F4802" i="3"/>
  <c r="A4802" i="3" s="1"/>
  <c r="E4802" i="3"/>
  <c r="F4801" i="3"/>
  <c r="A4801" i="3" s="1"/>
  <c r="E4801" i="3"/>
  <c r="F4800" i="3"/>
  <c r="A4800" i="3" s="1"/>
  <c r="E4800" i="3"/>
  <c r="F4799" i="3"/>
  <c r="A4799" i="3" s="1"/>
  <c r="E4799" i="3"/>
  <c r="F4798" i="3"/>
  <c r="A4798" i="3" s="1"/>
  <c r="E4798" i="3"/>
  <c r="F4797" i="3"/>
  <c r="A4797" i="3" s="1"/>
  <c r="E4797" i="3"/>
  <c r="F4796" i="3"/>
  <c r="A4796" i="3" s="1"/>
  <c r="E4796" i="3"/>
  <c r="F4795" i="3"/>
  <c r="A4795" i="3" s="1"/>
  <c r="E4795" i="3"/>
  <c r="F4794" i="3"/>
  <c r="A4794" i="3" s="1"/>
  <c r="E4794" i="3"/>
  <c r="F4793" i="3"/>
  <c r="A4793" i="3" s="1"/>
  <c r="E4793" i="3"/>
  <c r="F4792" i="3"/>
  <c r="A4792" i="3" s="1"/>
  <c r="E4792" i="3"/>
  <c r="F4791" i="3"/>
  <c r="A4791" i="3" s="1"/>
  <c r="E4791" i="3"/>
  <c r="F4790" i="3"/>
  <c r="A4790" i="3" s="1"/>
  <c r="E4790" i="3"/>
  <c r="F4789" i="3"/>
  <c r="A4789" i="3" s="1"/>
  <c r="E4789" i="3"/>
  <c r="F4788" i="3"/>
  <c r="A4788" i="3" s="1"/>
  <c r="E4788" i="3"/>
  <c r="F4787" i="3"/>
  <c r="A4787" i="3" s="1"/>
  <c r="E4787" i="3"/>
  <c r="F4786" i="3"/>
  <c r="A4786" i="3" s="1"/>
  <c r="E4786" i="3"/>
  <c r="F4785" i="3"/>
  <c r="A4785" i="3" s="1"/>
  <c r="E4785" i="3"/>
  <c r="F4784" i="3"/>
  <c r="A4784" i="3" s="1"/>
  <c r="E4784" i="3"/>
  <c r="F4783" i="3"/>
  <c r="A4783" i="3" s="1"/>
  <c r="E4783" i="3"/>
  <c r="F4782" i="3"/>
  <c r="A4782" i="3" s="1"/>
  <c r="E4782" i="3"/>
  <c r="F4781" i="3"/>
  <c r="A4781" i="3" s="1"/>
  <c r="E4781" i="3"/>
  <c r="F4780" i="3"/>
  <c r="A4780" i="3" s="1"/>
  <c r="E4780" i="3"/>
  <c r="F4779" i="3"/>
  <c r="A4779" i="3" s="1"/>
  <c r="E4779" i="3"/>
  <c r="F4778" i="3"/>
  <c r="A4778" i="3" s="1"/>
  <c r="E4778" i="3"/>
  <c r="F4777" i="3"/>
  <c r="A4777" i="3" s="1"/>
  <c r="E4777" i="3"/>
  <c r="F4776" i="3"/>
  <c r="A4776" i="3" s="1"/>
  <c r="E4776" i="3"/>
  <c r="F4775" i="3"/>
  <c r="A4775" i="3" s="1"/>
  <c r="E4775" i="3"/>
  <c r="F4774" i="3"/>
  <c r="A4774" i="3" s="1"/>
  <c r="E4774" i="3"/>
  <c r="F4773" i="3"/>
  <c r="A4773" i="3" s="1"/>
  <c r="E4773" i="3"/>
  <c r="F4772" i="3"/>
  <c r="A4772" i="3" s="1"/>
  <c r="E4772" i="3"/>
  <c r="F4771" i="3"/>
  <c r="A4771" i="3" s="1"/>
  <c r="E4771" i="3"/>
  <c r="F4770" i="3"/>
  <c r="A4770" i="3" s="1"/>
  <c r="E4770" i="3"/>
  <c r="F4769" i="3"/>
  <c r="A4769" i="3" s="1"/>
  <c r="E4769" i="3"/>
  <c r="F4768" i="3"/>
  <c r="A4768" i="3" s="1"/>
  <c r="E4768" i="3"/>
  <c r="F4767" i="3"/>
  <c r="A4767" i="3" s="1"/>
  <c r="E4767" i="3"/>
  <c r="F4766" i="3"/>
  <c r="A4766" i="3" s="1"/>
  <c r="E4766" i="3"/>
  <c r="F4765" i="3"/>
  <c r="A4765" i="3" s="1"/>
  <c r="E4765" i="3"/>
  <c r="F4764" i="3"/>
  <c r="A4764" i="3" s="1"/>
  <c r="E4764" i="3"/>
  <c r="F4763" i="3"/>
  <c r="A4763" i="3" s="1"/>
  <c r="E4763" i="3"/>
  <c r="F4762" i="3"/>
  <c r="A4762" i="3" s="1"/>
  <c r="E4762" i="3"/>
  <c r="F4761" i="3"/>
  <c r="A4761" i="3" s="1"/>
  <c r="E4761" i="3"/>
  <c r="F4760" i="3"/>
  <c r="A4760" i="3" s="1"/>
  <c r="E4760" i="3"/>
  <c r="F4759" i="3"/>
  <c r="A4759" i="3" s="1"/>
  <c r="E4759" i="3"/>
  <c r="F4758" i="3"/>
  <c r="A4758" i="3" s="1"/>
  <c r="E4758" i="3"/>
  <c r="F4757" i="3"/>
  <c r="A4757" i="3" s="1"/>
  <c r="E4757" i="3"/>
  <c r="F4756" i="3"/>
  <c r="A4756" i="3" s="1"/>
  <c r="E4756" i="3"/>
  <c r="F4755" i="3"/>
  <c r="A4755" i="3" s="1"/>
  <c r="E4755" i="3"/>
  <c r="F4754" i="3"/>
  <c r="A4754" i="3" s="1"/>
  <c r="E4754" i="3"/>
  <c r="F4753" i="3"/>
  <c r="A4753" i="3" s="1"/>
  <c r="E4753" i="3"/>
  <c r="F4752" i="3"/>
  <c r="A4752" i="3" s="1"/>
  <c r="E4752" i="3"/>
  <c r="F4751" i="3"/>
  <c r="A4751" i="3" s="1"/>
  <c r="E4751" i="3"/>
  <c r="F4750" i="3"/>
  <c r="A4750" i="3" s="1"/>
  <c r="E4750" i="3"/>
  <c r="F4749" i="3"/>
  <c r="A4749" i="3" s="1"/>
  <c r="E4749" i="3"/>
  <c r="F4748" i="3"/>
  <c r="A4748" i="3" s="1"/>
  <c r="E4748" i="3"/>
  <c r="F4747" i="3"/>
  <c r="A4747" i="3" s="1"/>
  <c r="E4747" i="3"/>
  <c r="F4746" i="3"/>
  <c r="A4746" i="3" s="1"/>
  <c r="E4746" i="3"/>
  <c r="F4745" i="3"/>
  <c r="A4745" i="3" s="1"/>
  <c r="E4745" i="3"/>
  <c r="F4744" i="3"/>
  <c r="A4744" i="3" s="1"/>
  <c r="E4744" i="3"/>
  <c r="F4743" i="3"/>
  <c r="A4743" i="3" s="1"/>
  <c r="E4743" i="3"/>
  <c r="F4742" i="3"/>
  <c r="A4742" i="3" s="1"/>
  <c r="E4742" i="3"/>
  <c r="F4741" i="3"/>
  <c r="A4741" i="3" s="1"/>
  <c r="E4741" i="3"/>
  <c r="F4740" i="3"/>
  <c r="A4740" i="3" s="1"/>
  <c r="E4740" i="3"/>
  <c r="F4739" i="3"/>
  <c r="A4739" i="3" s="1"/>
  <c r="E4739" i="3"/>
  <c r="F4738" i="3"/>
  <c r="A4738" i="3" s="1"/>
  <c r="E4738" i="3"/>
  <c r="F4737" i="3"/>
  <c r="A4737" i="3" s="1"/>
  <c r="E4737" i="3"/>
  <c r="F4736" i="3"/>
  <c r="A4736" i="3" s="1"/>
  <c r="E4736" i="3"/>
  <c r="F4735" i="3"/>
  <c r="A4735" i="3" s="1"/>
  <c r="E4735" i="3"/>
  <c r="F4734" i="3"/>
  <c r="A4734" i="3" s="1"/>
  <c r="E4734" i="3"/>
  <c r="F4733" i="3"/>
  <c r="A4733" i="3" s="1"/>
  <c r="E4733" i="3"/>
  <c r="F4732" i="3"/>
  <c r="A4732" i="3" s="1"/>
  <c r="E4732" i="3"/>
  <c r="F4731" i="3"/>
  <c r="A4731" i="3" s="1"/>
  <c r="E4731" i="3"/>
  <c r="F4730" i="3"/>
  <c r="A4730" i="3" s="1"/>
  <c r="E4730" i="3"/>
  <c r="F4729" i="3"/>
  <c r="A4729" i="3" s="1"/>
  <c r="E4729" i="3"/>
  <c r="F4728" i="3"/>
  <c r="A4728" i="3" s="1"/>
  <c r="E4728" i="3"/>
  <c r="F4727" i="3"/>
  <c r="A4727" i="3" s="1"/>
  <c r="E4727" i="3"/>
  <c r="F4726" i="3"/>
  <c r="A4726" i="3" s="1"/>
  <c r="E4726" i="3"/>
  <c r="F4725" i="3"/>
  <c r="A4725" i="3" s="1"/>
  <c r="E4725" i="3"/>
  <c r="F4724" i="3"/>
  <c r="A4724" i="3" s="1"/>
  <c r="E4724" i="3"/>
  <c r="F4723" i="3"/>
  <c r="A4723" i="3" s="1"/>
  <c r="E4723" i="3"/>
  <c r="F4722" i="3"/>
  <c r="A4722" i="3" s="1"/>
  <c r="E4722" i="3"/>
  <c r="F4721" i="3"/>
  <c r="A4721" i="3" s="1"/>
  <c r="E4721" i="3"/>
  <c r="F4720" i="3"/>
  <c r="A4720" i="3" s="1"/>
  <c r="E4720" i="3"/>
  <c r="F4719" i="3"/>
  <c r="A4719" i="3" s="1"/>
  <c r="E4719" i="3"/>
  <c r="F4718" i="3"/>
  <c r="A4718" i="3" s="1"/>
  <c r="E4718" i="3"/>
  <c r="F4717" i="3"/>
  <c r="A4717" i="3" s="1"/>
  <c r="E4717" i="3"/>
  <c r="F4716" i="3"/>
  <c r="A4716" i="3" s="1"/>
  <c r="E4716" i="3"/>
  <c r="F4715" i="3"/>
  <c r="A4715" i="3" s="1"/>
  <c r="E4715" i="3"/>
  <c r="F4714" i="3"/>
  <c r="A4714" i="3" s="1"/>
  <c r="E4714" i="3"/>
  <c r="F4713" i="3"/>
  <c r="A4713" i="3" s="1"/>
  <c r="E4713" i="3"/>
  <c r="F4712" i="3"/>
  <c r="A4712" i="3" s="1"/>
  <c r="E4712" i="3"/>
  <c r="F4711" i="3"/>
  <c r="A4711" i="3" s="1"/>
  <c r="E4711" i="3"/>
  <c r="F4710" i="3"/>
  <c r="A4710" i="3" s="1"/>
  <c r="E4710" i="3"/>
  <c r="F4709" i="3"/>
  <c r="A4709" i="3" s="1"/>
  <c r="E4709" i="3"/>
  <c r="F4708" i="3"/>
  <c r="A4708" i="3" s="1"/>
  <c r="E4708" i="3"/>
  <c r="F4707" i="3"/>
  <c r="A4707" i="3" s="1"/>
  <c r="E4707" i="3"/>
  <c r="F4706" i="3"/>
  <c r="A4706" i="3" s="1"/>
  <c r="E4706" i="3"/>
  <c r="F4705" i="3"/>
  <c r="A4705" i="3" s="1"/>
  <c r="E4705" i="3"/>
  <c r="F4704" i="3"/>
  <c r="A4704" i="3" s="1"/>
  <c r="E4704" i="3"/>
  <c r="F4703" i="3"/>
  <c r="A4703" i="3" s="1"/>
  <c r="E4703" i="3"/>
  <c r="F4702" i="3"/>
  <c r="A4702" i="3" s="1"/>
  <c r="E4702" i="3"/>
  <c r="F4701" i="3"/>
  <c r="A4701" i="3" s="1"/>
  <c r="E4701" i="3"/>
  <c r="F4700" i="3"/>
  <c r="A4700" i="3" s="1"/>
  <c r="E4700" i="3"/>
  <c r="F4699" i="3"/>
  <c r="A4699" i="3" s="1"/>
  <c r="E4699" i="3"/>
  <c r="F4698" i="3"/>
  <c r="A4698" i="3" s="1"/>
  <c r="E4698" i="3"/>
  <c r="F4697" i="3"/>
  <c r="A4697" i="3" s="1"/>
  <c r="E4697" i="3"/>
  <c r="F4696" i="3"/>
  <c r="A4696" i="3" s="1"/>
  <c r="E4696" i="3"/>
  <c r="F4695" i="3"/>
  <c r="A4695" i="3" s="1"/>
  <c r="E4695" i="3"/>
  <c r="F4694" i="3"/>
  <c r="A4694" i="3" s="1"/>
  <c r="E4694" i="3"/>
  <c r="F4693" i="3"/>
  <c r="A4693" i="3" s="1"/>
  <c r="E4693" i="3"/>
  <c r="F4692" i="3"/>
  <c r="A4692" i="3" s="1"/>
  <c r="E4692" i="3"/>
  <c r="F4691" i="3"/>
  <c r="A4691" i="3" s="1"/>
  <c r="E4691" i="3"/>
  <c r="F4690" i="3"/>
  <c r="A4690" i="3" s="1"/>
  <c r="E4690" i="3"/>
  <c r="F4689" i="3"/>
  <c r="A4689" i="3" s="1"/>
  <c r="E4689" i="3"/>
  <c r="F4688" i="3"/>
  <c r="A4688" i="3" s="1"/>
  <c r="E4688" i="3"/>
  <c r="F4687" i="3"/>
  <c r="A4687" i="3" s="1"/>
  <c r="E4687" i="3"/>
  <c r="F4686" i="3"/>
  <c r="A4686" i="3" s="1"/>
  <c r="E4686" i="3"/>
  <c r="F4685" i="3"/>
  <c r="A4685" i="3" s="1"/>
  <c r="E4685" i="3"/>
  <c r="F4684" i="3"/>
  <c r="A4684" i="3" s="1"/>
  <c r="E4684" i="3"/>
  <c r="F4683" i="3"/>
  <c r="A4683" i="3" s="1"/>
  <c r="E4683" i="3"/>
  <c r="F4682" i="3"/>
  <c r="A4682" i="3" s="1"/>
  <c r="E4682" i="3"/>
  <c r="F4681" i="3"/>
  <c r="A4681" i="3" s="1"/>
  <c r="E4681" i="3"/>
  <c r="F4680" i="3"/>
  <c r="A4680" i="3" s="1"/>
  <c r="E4680" i="3"/>
  <c r="F4679" i="3"/>
  <c r="A4679" i="3" s="1"/>
  <c r="E4679" i="3"/>
  <c r="F4678" i="3"/>
  <c r="A4678" i="3" s="1"/>
  <c r="E4678" i="3"/>
  <c r="F4677" i="3"/>
  <c r="A4677" i="3" s="1"/>
  <c r="E4677" i="3"/>
  <c r="F4676" i="3"/>
  <c r="A4676" i="3" s="1"/>
  <c r="E4676" i="3"/>
  <c r="F4675" i="3"/>
  <c r="A4675" i="3" s="1"/>
  <c r="E4675" i="3"/>
  <c r="F4674" i="3"/>
  <c r="A4674" i="3" s="1"/>
  <c r="E4674" i="3"/>
  <c r="F4673" i="3"/>
  <c r="A4673" i="3" s="1"/>
  <c r="E4673" i="3"/>
  <c r="F4672" i="3"/>
  <c r="A4672" i="3" s="1"/>
  <c r="E4672" i="3"/>
  <c r="F4671" i="3"/>
  <c r="A4671" i="3" s="1"/>
  <c r="E4671" i="3"/>
  <c r="F4670" i="3"/>
  <c r="A4670" i="3" s="1"/>
  <c r="E4670" i="3"/>
  <c r="F4669" i="3"/>
  <c r="A4669" i="3" s="1"/>
  <c r="E4669" i="3"/>
  <c r="F4668" i="3"/>
  <c r="A4668" i="3" s="1"/>
  <c r="E4668" i="3"/>
  <c r="F4667" i="3"/>
  <c r="A4667" i="3" s="1"/>
  <c r="E4667" i="3"/>
  <c r="F4666" i="3"/>
  <c r="A4666" i="3" s="1"/>
  <c r="E4666" i="3"/>
  <c r="F4665" i="3"/>
  <c r="A4665" i="3" s="1"/>
  <c r="E4665" i="3"/>
  <c r="F4664" i="3"/>
  <c r="A4664" i="3" s="1"/>
  <c r="E4664" i="3"/>
  <c r="F4663" i="3"/>
  <c r="A4663" i="3" s="1"/>
  <c r="E4663" i="3"/>
  <c r="F4662" i="3"/>
  <c r="A4662" i="3" s="1"/>
  <c r="E4662" i="3"/>
  <c r="F4661" i="3"/>
  <c r="A4661" i="3" s="1"/>
  <c r="E4661" i="3"/>
  <c r="F4660" i="3"/>
  <c r="A4660" i="3" s="1"/>
  <c r="E4660" i="3"/>
  <c r="F4659" i="3"/>
  <c r="A4659" i="3" s="1"/>
  <c r="E4659" i="3"/>
  <c r="F4658" i="3"/>
  <c r="A4658" i="3" s="1"/>
  <c r="E4658" i="3"/>
  <c r="F4657" i="3"/>
  <c r="A4657" i="3" s="1"/>
  <c r="E4657" i="3"/>
  <c r="F4656" i="3"/>
  <c r="A4656" i="3" s="1"/>
  <c r="E4656" i="3"/>
  <c r="F4655" i="3"/>
  <c r="A4655" i="3" s="1"/>
  <c r="E4655" i="3"/>
  <c r="F4654" i="3"/>
  <c r="A4654" i="3" s="1"/>
  <c r="E4654" i="3"/>
  <c r="F4653" i="3"/>
  <c r="A4653" i="3" s="1"/>
  <c r="E4653" i="3"/>
  <c r="F4652" i="3"/>
  <c r="A4652" i="3" s="1"/>
  <c r="E4652" i="3"/>
  <c r="F4651" i="3"/>
  <c r="A4651" i="3" s="1"/>
  <c r="E4651" i="3"/>
  <c r="F4650" i="3"/>
  <c r="A4650" i="3" s="1"/>
  <c r="E4650" i="3"/>
  <c r="F4649" i="3"/>
  <c r="A4649" i="3" s="1"/>
  <c r="E4649" i="3"/>
  <c r="F4648" i="3"/>
  <c r="A4648" i="3" s="1"/>
  <c r="E4648" i="3"/>
  <c r="F4647" i="3"/>
  <c r="A4647" i="3" s="1"/>
  <c r="E4647" i="3"/>
  <c r="F4646" i="3"/>
  <c r="A4646" i="3" s="1"/>
  <c r="E4646" i="3"/>
  <c r="F4645" i="3"/>
  <c r="A4645" i="3" s="1"/>
  <c r="E4645" i="3"/>
  <c r="F4644" i="3"/>
  <c r="A4644" i="3" s="1"/>
  <c r="E4644" i="3"/>
  <c r="F4643" i="3"/>
  <c r="A4643" i="3" s="1"/>
  <c r="E4643" i="3"/>
  <c r="F4642" i="3"/>
  <c r="A4642" i="3" s="1"/>
  <c r="E4642" i="3"/>
  <c r="F4641" i="3"/>
  <c r="A4641" i="3" s="1"/>
  <c r="E4641" i="3"/>
  <c r="F4640" i="3"/>
  <c r="A4640" i="3" s="1"/>
  <c r="E4640" i="3"/>
  <c r="F4639" i="3"/>
  <c r="A4639" i="3" s="1"/>
  <c r="E4639" i="3"/>
  <c r="F4638" i="3"/>
  <c r="A4638" i="3" s="1"/>
  <c r="E4638" i="3"/>
  <c r="F4637" i="3"/>
  <c r="A4637" i="3" s="1"/>
  <c r="E4637" i="3"/>
  <c r="F4636" i="3"/>
  <c r="A4636" i="3" s="1"/>
  <c r="E4636" i="3"/>
  <c r="F4635" i="3"/>
  <c r="A4635" i="3" s="1"/>
  <c r="E4635" i="3"/>
  <c r="F4634" i="3"/>
  <c r="A4634" i="3" s="1"/>
  <c r="E4634" i="3"/>
  <c r="F4633" i="3"/>
  <c r="A4633" i="3" s="1"/>
  <c r="E4633" i="3"/>
  <c r="F4632" i="3"/>
  <c r="A4632" i="3" s="1"/>
  <c r="E4632" i="3"/>
  <c r="F4631" i="3"/>
  <c r="A4631" i="3" s="1"/>
  <c r="E4631" i="3"/>
  <c r="F4630" i="3"/>
  <c r="A4630" i="3" s="1"/>
  <c r="E4630" i="3"/>
  <c r="F4629" i="3"/>
  <c r="A4629" i="3" s="1"/>
  <c r="E4629" i="3"/>
  <c r="F4628" i="3"/>
  <c r="A4628" i="3" s="1"/>
  <c r="E4628" i="3"/>
  <c r="F4627" i="3"/>
  <c r="A4627" i="3" s="1"/>
  <c r="E4627" i="3"/>
  <c r="F4626" i="3"/>
  <c r="A4626" i="3" s="1"/>
  <c r="E4626" i="3"/>
  <c r="F4625" i="3"/>
  <c r="A4625" i="3" s="1"/>
  <c r="E4625" i="3"/>
  <c r="F4624" i="3"/>
  <c r="A4624" i="3" s="1"/>
  <c r="E4624" i="3"/>
  <c r="F4623" i="3"/>
  <c r="A4623" i="3" s="1"/>
  <c r="E4623" i="3"/>
  <c r="F4622" i="3"/>
  <c r="A4622" i="3" s="1"/>
  <c r="E4622" i="3"/>
  <c r="F4621" i="3"/>
  <c r="A4621" i="3" s="1"/>
  <c r="E4621" i="3"/>
  <c r="F4620" i="3"/>
  <c r="A4620" i="3" s="1"/>
  <c r="E4620" i="3"/>
  <c r="F4619" i="3"/>
  <c r="A4619" i="3" s="1"/>
  <c r="E4619" i="3"/>
  <c r="F4618" i="3"/>
  <c r="A4618" i="3" s="1"/>
  <c r="E4618" i="3"/>
  <c r="F4617" i="3"/>
  <c r="A4617" i="3" s="1"/>
  <c r="E4617" i="3"/>
  <c r="F4616" i="3"/>
  <c r="A4616" i="3" s="1"/>
  <c r="E4616" i="3"/>
  <c r="F4615" i="3"/>
  <c r="A4615" i="3" s="1"/>
  <c r="E4615" i="3"/>
  <c r="F4614" i="3"/>
  <c r="A4614" i="3" s="1"/>
  <c r="E4614" i="3"/>
  <c r="F4613" i="3"/>
  <c r="A4613" i="3" s="1"/>
  <c r="E4613" i="3"/>
  <c r="F4612" i="3"/>
  <c r="A4612" i="3" s="1"/>
  <c r="E4612" i="3"/>
  <c r="F4611" i="3"/>
  <c r="A4611" i="3" s="1"/>
  <c r="E4611" i="3"/>
  <c r="F4610" i="3"/>
  <c r="A4610" i="3" s="1"/>
  <c r="E4610" i="3"/>
  <c r="F4609" i="3"/>
  <c r="A4609" i="3" s="1"/>
  <c r="E4609" i="3"/>
  <c r="F4608" i="3"/>
  <c r="A4608" i="3" s="1"/>
  <c r="E4608" i="3"/>
  <c r="F4607" i="3"/>
  <c r="A4607" i="3" s="1"/>
  <c r="E4607" i="3"/>
  <c r="F4606" i="3"/>
  <c r="A4606" i="3" s="1"/>
  <c r="E4606" i="3"/>
  <c r="F4605" i="3"/>
  <c r="A4605" i="3" s="1"/>
  <c r="E4605" i="3"/>
  <c r="F4604" i="3"/>
  <c r="A4604" i="3" s="1"/>
  <c r="E4604" i="3"/>
  <c r="F4603" i="3"/>
  <c r="A4603" i="3" s="1"/>
  <c r="E4603" i="3"/>
  <c r="F4602" i="3"/>
  <c r="A4602" i="3" s="1"/>
  <c r="E4602" i="3"/>
  <c r="F4601" i="3"/>
  <c r="A4601" i="3" s="1"/>
  <c r="E4601" i="3"/>
  <c r="F4600" i="3"/>
  <c r="A4600" i="3" s="1"/>
  <c r="E4600" i="3"/>
  <c r="F4599" i="3"/>
  <c r="A4599" i="3" s="1"/>
  <c r="E4599" i="3"/>
  <c r="F4598" i="3"/>
  <c r="A4598" i="3" s="1"/>
  <c r="E4598" i="3"/>
  <c r="F4597" i="3"/>
  <c r="A4597" i="3" s="1"/>
  <c r="E4597" i="3"/>
  <c r="F4596" i="3"/>
  <c r="A4596" i="3" s="1"/>
  <c r="E4596" i="3"/>
  <c r="F4595" i="3"/>
  <c r="A4595" i="3" s="1"/>
  <c r="E4595" i="3"/>
  <c r="F4594" i="3"/>
  <c r="A4594" i="3" s="1"/>
  <c r="E4594" i="3"/>
  <c r="F4593" i="3"/>
  <c r="A4593" i="3" s="1"/>
  <c r="E4593" i="3"/>
  <c r="F4592" i="3"/>
  <c r="A4592" i="3" s="1"/>
  <c r="E4592" i="3"/>
  <c r="F4591" i="3"/>
  <c r="A4591" i="3" s="1"/>
  <c r="E4591" i="3"/>
  <c r="F4590" i="3"/>
  <c r="A4590" i="3" s="1"/>
  <c r="E4590" i="3"/>
  <c r="F4589" i="3"/>
  <c r="A4589" i="3" s="1"/>
  <c r="E4589" i="3"/>
  <c r="F4588" i="3"/>
  <c r="A4588" i="3" s="1"/>
  <c r="E4588" i="3"/>
  <c r="F4587" i="3"/>
  <c r="A4587" i="3" s="1"/>
  <c r="E4587" i="3"/>
  <c r="F4586" i="3"/>
  <c r="A4586" i="3" s="1"/>
  <c r="E4586" i="3"/>
  <c r="F4585" i="3"/>
  <c r="A4585" i="3" s="1"/>
  <c r="E4585" i="3"/>
  <c r="F4584" i="3"/>
  <c r="A4584" i="3" s="1"/>
  <c r="E4584" i="3"/>
  <c r="F4583" i="3"/>
  <c r="A4583" i="3" s="1"/>
  <c r="E4583" i="3"/>
  <c r="F4582" i="3"/>
  <c r="A4582" i="3" s="1"/>
  <c r="E4582" i="3"/>
  <c r="F4581" i="3"/>
  <c r="A4581" i="3" s="1"/>
  <c r="E4581" i="3"/>
  <c r="F4580" i="3"/>
  <c r="A4580" i="3" s="1"/>
  <c r="E4580" i="3"/>
  <c r="F4579" i="3"/>
  <c r="A4579" i="3" s="1"/>
  <c r="E4579" i="3"/>
  <c r="F4578" i="3"/>
  <c r="A4578" i="3" s="1"/>
  <c r="E4578" i="3"/>
  <c r="F4577" i="3"/>
  <c r="A4577" i="3" s="1"/>
  <c r="E4577" i="3"/>
  <c r="F4576" i="3"/>
  <c r="A4576" i="3" s="1"/>
  <c r="E4576" i="3"/>
  <c r="F4575" i="3"/>
  <c r="A4575" i="3" s="1"/>
  <c r="E4575" i="3"/>
  <c r="F4574" i="3"/>
  <c r="A4574" i="3" s="1"/>
  <c r="E4574" i="3"/>
  <c r="F4573" i="3"/>
  <c r="A4573" i="3" s="1"/>
  <c r="E4573" i="3"/>
  <c r="F4572" i="3"/>
  <c r="A4572" i="3" s="1"/>
  <c r="E4572" i="3"/>
  <c r="F4571" i="3"/>
  <c r="A4571" i="3" s="1"/>
  <c r="E4571" i="3"/>
  <c r="F4570" i="3"/>
  <c r="A4570" i="3" s="1"/>
  <c r="E4570" i="3"/>
  <c r="F4569" i="3"/>
  <c r="A4569" i="3" s="1"/>
  <c r="E4569" i="3"/>
  <c r="F4568" i="3"/>
  <c r="A4568" i="3" s="1"/>
  <c r="E4568" i="3"/>
  <c r="F4567" i="3"/>
  <c r="A4567" i="3" s="1"/>
  <c r="E4567" i="3"/>
  <c r="F4566" i="3"/>
  <c r="A4566" i="3" s="1"/>
  <c r="E4566" i="3"/>
  <c r="F4565" i="3"/>
  <c r="A4565" i="3" s="1"/>
  <c r="E4565" i="3"/>
  <c r="F4564" i="3"/>
  <c r="A4564" i="3" s="1"/>
  <c r="E4564" i="3"/>
  <c r="F4563" i="3"/>
  <c r="A4563" i="3" s="1"/>
  <c r="E4563" i="3"/>
  <c r="F4562" i="3"/>
  <c r="A4562" i="3" s="1"/>
  <c r="E4562" i="3"/>
  <c r="F4561" i="3"/>
  <c r="A4561" i="3" s="1"/>
  <c r="E4561" i="3"/>
  <c r="F4560" i="3"/>
  <c r="A4560" i="3" s="1"/>
  <c r="E4560" i="3"/>
  <c r="F4559" i="3"/>
  <c r="A4559" i="3" s="1"/>
  <c r="E4559" i="3"/>
  <c r="F4558" i="3"/>
  <c r="A4558" i="3" s="1"/>
  <c r="E4558" i="3"/>
  <c r="F4557" i="3"/>
  <c r="A4557" i="3" s="1"/>
  <c r="E4557" i="3"/>
  <c r="F4556" i="3"/>
  <c r="A4556" i="3" s="1"/>
  <c r="E4556" i="3"/>
  <c r="F4555" i="3"/>
  <c r="A4555" i="3" s="1"/>
  <c r="E4555" i="3"/>
  <c r="F4554" i="3"/>
  <c r="A4554" i="3" s="1"/>
  <c r="E4554" i="3"/>
  <c r="F4553" i="3"/>
  <c r="A4553" i="3" s="1"/>
  <c r="E4553" i="3"/>
  <c r="F4552" i="3"/>
  <c r="A4552" i="3" s="1"/>
  <c r="E4552" i="3"/>
  <c r="F4551" i="3"/>
  <c r="A4551" i="3" s="1"/>
  <c r="E4551" i="3"/>
  <c r="F4550" i="3"/>
  <c r="A4550" i="3" s="1"/>
  <c r="E4550" i="3"/>
  <c r="F4549" i="3"/>
  <c r="A4549" i="3" s="1"/>
  <c r="E4549" i="3"/>
  <c r="F4548" i="3"/>
  <c r="A4548" i="3" s="1"/>
  <c r="E4548" i="3"/>
  <c r="F4547" i="3"/>
  <c r="A4547" i="3" s="1"/>
  <c r="E4547" i="3"/>
  <c r="F4546" i="3"/>
  <c r="A4546" i="3" s="1"/>
  <c r="E4546" i="3"/>
  <c r="F4545" i="3"/>
  <c r="A4545" i="3" s="1"/>
  <c r="E4545" i="3"/>
  <c r="F4544" i="3"/>
  <c r="A4544" i="3" s="1"/>
  <c r="E4544" i="3"/>
  <c r="F4543" i="3"/>
  <c r="A4543" i="3" s="1"/>
  <c r="E4543" i="3"/>
  <c r="F4542" i="3"/>
  <c r="A4542" i="3" s="1"/>
  <c r="E4542" i="3"/>
  <c r="F4541" i="3"/>
  <c r="A4541" i="3" s="1"/>
  <c r="E4541" i="3"/>
  <c r="F4540" i="3"/>
  <c r="A4540" i="3" s="1"/>
  <c r="E4540" i="3"/>
  <c r="F4539" i="3"/>
  <c r="A4539" i="3" s="1"/>
  <c r="E4539" i="3"/>
  <c r="F4538" i="3"/>
  <c r="A4538" i="3" s="1"/>
  <c r="E4538" i="3"/>
  <c r="F4537" i="3"/>
  <c r="A4537" i="3" s="1"/>
  <c r="E4537" i="3"/>
  <c r="F4536" i="3"/>
  <c r="A4536" i="3" s="1"/>
  <c r="E4536" i="3"/>
  <c r="F4535" i="3"/>
  <c r="A4535" i="3" s="1"/>
  <c r="E4535" i="3"/>
  <c r="F4534" i="3"/>
  <c r="A4534" i="3" s="1"/>
  <c r="E4534" i="3"/>
  <c r="F4533" i="3"/>
  <c r="A4533" i="3" s="1"/>
  <c r="E4533" i="3"/>
  <c r="F4532" i="3"/>
  <c r="A4532" i="3" s="1"/>
  <c r="E4532" i="3"/>
  <c r="F4531" i="3"/>
  <c r="A4531" i="3" s="1"/>
  <c r="E4531" i="3"/>
  <c r="F4530" i="3"/>
  <c r="A4530" i="3" s="1"/>
  <c r="E4530" i="3"/>
  <c r="F4529" i="3"/>
  <c r="A4529" i="3" s="1"/>
  <c r="E4529" i="3"/>
  <c r="F4528" i="3"/>
  <c r="A4528" i="3" s="1"/>
  <c r="E4528" i="3"/>
  <c r="F4527" i="3"/>
  <c r="A4527" i="3" s="1"/>
  <c r="E4527" i="3"/>
  <c r="F4526" i="3"/>
  <c r="A4526" i="3" s="1"/>
  <c r="E4526" i="3"/>
  <c r="F4525" i="3"/>
  <c r="A4525" i="3" s="1"/>
  <c r="E4525" i="3"/>
  <c r="F4524" i="3"/>
  <c r="A4524" i="3" s="1"/>
  <c r="E4524" i="3"/>
  <c r="F4523" i="3"/>
  <c r="A4523" i="3" s="1"/>
  <c r="E4523" i="3"/>
  <c r="F4522" i="3"/>
  <c r="A4522" i="3" s="1"/>
  <c r="E4522" i="3"/>
  <c r="F4521" i="3"/>
  <c r="A4521" i="3" s="1"/>
  <c r="E4521" i="3"/>
  <c r="F4520" i="3"/>
  <c r="A4520" i="3" s="1"/>
  <c r="E4520" i="3"/>
  <c r="F4519" i="3"/>
  <c r="A4519" i="3" s="1"/>
  <c r="E4519" i="3"/>
  <c r="F4518" i="3"/>
  <c r="A4518" i="3" s="1"/>
  <c r="E4518" i="3"/>
  <c r="F4517" i="3"/>
  <c r="A4517" i="3" s="1"/>
  <c r="E4517" i="3"/>
  <c r="F4516" i="3"/>
  <c r="A4516" i="3" s="1"/>
  <c r="E4516" i="3"/>
  <c r="F4515" i="3"/>
  <c r="A4515" i="3" s="1"/>
  <c r="E4515" i="3"/>
  <c r="F4514" i="3"/>
  <c r="A4514" i="3" s="1"/>
  <c r="E4514" i="3"/>
  <c r="F4513" i="3"/>
  <c r="A4513" i="3" s="1"/>
  <c r="E4513" i="3"/>
  <c r="F4512" i="3"/>
  <c r="A4512" i="3" s="1"/>
  <c r="E4512" i="3"/>
  <c r="F4511" i="3"/>
  <c r="A4511" i="3" s="1"/>
  <c r="E4511" i="3"/>
  <c r="F4510" i="3"/>
  <c r="A4510" i="3" s="1"/>
  <c r="E4510" i="3"/>
  <c r="F4509" i="3"/>
  <c r="A4509" i="3" s="1"/>
  <c r="E4509" i="3"/>
  <c r="F4508" i="3"/>
  <c r="A4508" i="3" s="1"/>
  <c r="E4508" i="3"/>
  <c r="F4507" i="3"/>
  <c r="A4507" i="3" s="1"/>
  <c r="E4507" i="3"/>
  <c r="F4506" i="3"/>
  <c r="A4506" i="3" s="1"/>
  <c r="E4506" i="3"/>
  <c r="F4505" i="3"/>
  <c r="A4505" i="3" s="1"/>
  <c r="E4505" i="3"/>
  <c r="F4504" i="3"/>
  <c r="A4504" i="3" s="1"/>
  <c r="E4504" i="3"/>
  <c r="F4503" i="3"/>
  <c r="A4503" i="3" s="1"/>
  <c r="E4503" i="3"/>
  <c r="F4502" i="3"/>
  <c r="A4502" i="3" s="1"/>
  <c r="E4502" i="3"/>
  <c r="F4501" i="3"/>
  <c r="A4501" i="3" s="1"/>
  <c r="E4501" i="3"/>
  <c r="F4500" i="3"/>
  <c r="A4500" i="3" s="1"/>
  <c r="E4500" i="3"/>
  <c r="F4499" i="3"/>
  <c r="A4499" i="3" s="1"/>
  <c r="E4499" i="3"/>
  <c r="F4498" i="3"/>
  <c r="A4498" i="3" s="1"/>
  <c r="E4498" i="3"/>
  <c r="F4497" i="3"/>
  <c r="A4497" i="3" s="1"/>
  <c r="E4497" i="3"/>
  <c r="F4496" i="3"/>
  <c r="A4496" i="3" s="1"/>
  <c r="E4496" i="3"/>
  <c r="F4495" i="3"/>
  <c r="A4495" i="3" s="1"/>
  <c r="E4495" i="3"/>
  <c r="F4494" i="3"/>
  <c r="A4494" i="3" s="1"/>
  <c r="E4494" i="3"/>
  <c r="F4493" i="3"/>
  <c r="A4493" i="3" s="1"/>
  <c r="E4493" i="3"/>
  <c r="F4492" i="3"/>
  <c r="A4492" i="3" s="1"/>
  <c r="E4492" i="3"/>
  <c r="F4491" i="3"/>
  <c r="A4491" i="3" s="1"/>
  <c r="E4491" i="3"/>
  <c r="F4490" i="3"/>
  <c r="A4490" i="3" s="1"/>
  <c r="E4490" i="3"/>
  <c r="F4489" i="3"/>
  <c r="A4489" i="3" s="1"/>
  <c r="E4489" i="3"/>
  <c r="F4488" i="3"/>
  <c r="A4488" i="3" s="1"/>
  <c r="E4488" i="3"/>
  <c r="F4487" i="3"/>
  <c r="A4487" i="3" s="1"/>
  <c r="E4487" i="3"/>
  <c r="F4486" i="3"/>
  <c r="A4486" i="3" s="1"/>
  <c r="E4486" i="3"/>
  <c r="F4485" i="3"/>
  <c r="A4485" i="3" s="1"/>
  <c r="E4485" i="3"/>
  <c r="F4484" i="3"/>
  <c r="A4484" i="3" s="1"/>
  <c r="E4484" i="3"/>
  <c r="F4483" i="3"/>
  <c r="A4483" i="3" s="1"/>
  <c r="E4483" i="3"/>
  <c r="F4482" i="3"/>
  <c r="A4482" i="3" s="1"/>
  <c r="E4482" i="3"/>
  <c r="F4481" i="3"/>
  <c r="A4481" i="3" s="1"/>
  <c r="E4481" i="3"/>
  <c r="F4480" i="3"/>
  <c r="A4480" i="3" s="1"/>
  <c r="E4480" i="3"/>
  <c r="F4479" i="3"/>
  <c r="A4479" i="3" s="1"/>
  <c r="E4479" i="3"/>
  <c r="F4478" i="3"/>
  <c r="A4478" i="3" s="1"/>
  <c r="E4478" i="3"/>
  <c r="F4477" i="3"/>
  <c r="A4477" i="3" s="1"/>
  <c r="E4477" i="3"/>
  <c r="F4476" i="3"/>
  <c r="A4476" i="3" s="1"/>
  <c r="E4476" i="3"/>
  <c r="F4475" i="3"/>
  <c r="A4475" i="3" s="1"/>
  <c r="E4475" i="3"/>
  <c r="F4474" i="3"/>
  <c r="A4474" i="3" s="1"/>
  <c r="E4474" i="3"/>
  <c r="F4473" i="3"/>
  <c r="A4473" i="3" s="1"/>
  <c r="E4473" i="3"/>
  <c r="F4472" i="3"/>
  <c r="A4472" i="3" s="1"/>
  <c r="E4472" i="3"/>
  <c r="F4471" i="3"/>
  <c r="A4471" i="3" s="1"/>
  <c r="E4471" i="3"/>
  <c r="F4470" i="3"/>
  <c r="A4470" i="3" s="1"/>
  <c r="E4470" i="3"/>
  <c r="F4469" i="3"/>
  <c r="A4469" i="3" s="1"/>
  <c r="E4469" i="3"/>
  <c r="F4468" i="3"/>
  <c r="A4468" i="3" s="1"/>
  <c r="E4468" i="3"/>
  <c r="F4467" i="3"/>
  <c r="A4467" i="3" s="1"/>
  <c r="E4467" i="3"/>
  <c r="F4466" i="3"/>
  <c r="A4466" i="3" s="1"/>
  <c r="E4466" i="3"/>
  <c r="F4465" i="3"/>
  <c r="A4465" i="3" s="1"/>
  <c r="E4465" i="3"/>
  <c r="F4464" i="3"/>
  <c r="A4464" i="3" s="1"/>
  <c r="E4464" i="3"/>
  <c r="F4463" i="3"/>
  <c r="A4463" i="3" s="1"/>
  <c r="E4463" i="3"/>
  <c r="F4462" i="3"/>
  <c r="A4462" i="3" s="1"/>
  <c r="E4462" i="3"/>
  <c r="F4461" i="3"/>
  <c r="A4461" i="3" s="1"/>
  <c r="E4461" i="3"/>
  <c r="F4460" i="3"/>
  <c r="A4460" i="3" s="1"/>
  <c r="E4460" i="3"/>
  <c r="F4459" i="3"/>
  <c r="A4459" i="3" s="1"/>
  <c r="E4459" i="3"/>
  <c r="F4458" i="3"/>
  <c r="A4458" i="3" s="1"/>
  <c r="E4458" i="3"/>
  <c r="F4457" i="3"/>
  <c r="A4457" i="3" s="1"/>
  <c r="E4457" i="3"/>
  <c r="F4456" i="3"/>
  <c r="A4456" i="3" s="1"/>
  <c r="E4456" i="3"/>
  <c r="F4455" i="3"/>
  <c r="A4455" i="3" s="1"/>
  <c r="E4455" i="3"/>
  <c r="F4454" i="3"/>
  <c r="A4454" i="3" s="1"/>
  <c r="E4454" i="3"/>
  <c r="F4453" i="3"/>
  <c r="A4453" i="3" s="1"/>
  <c r="E4453" i="3"/>
  <c r="F4452" i="3"/>
  <c r="A4452" i="3" s="1"/>
  <c r="E4452" i="3"/>
  <c r="F4451" i="3"/>
  <c r="A4451" i="3" s="1"/>
  <c r="E4451" i="3"/>
  <c r="F4450" i="3"/>
  <c r="A4450" i="3" s="1"/>
  <c r="E4450" i="3"/>
  <c r="F4449" i="3"/>
  <c r="A4449" i="3" s="1"/>
  <c r="E4449" i="3"/>
  <c r="F4448" i="3"/>
  <c r="A4448" i="3" s="1"/>
  <c r="E4448" i="3"/>
  <c r="F4447" i="3"/>
  <c r="A4447" i="3" s="1"/>
  <c r="E4447" i="3"/>
  <c r="F4446" i="3"/>
  <c r="A4446" i="3" s="1"/>
  <c r="E4446" i="3"/>
  <c r="F4445" i="3"/>
  <c r="A4445" i="3" s="1"/>
  <c r="E4445" i="3"/>
  <c r="F4444" i="3"/>
  <c r="A4444" i="3" s="1"/>
  <c r="E4444" i="3"/>
  <c r="F4443" i="3"/>
  <c r="A4443" i="3" s="1"/>
  <c r="E4443" i="3"/>
  <c r="F4442" i="3"/>
  <c r="A4442" i="3" s="1"/>
  <c r="E4442" i="3"/>
  <c r="F4441" i="3"/>
  <c r="A4441" i="3" s="1"/>
  <c r="E4441" i="3"/>
  <c r="F4440" i="3"/>
  <c r="A4440" i="3" s="1"/>
  <c r="E4440" i="3"/>
  <c r="F4439" i="3"/>
  <c r="A4439" i="3" s="1"/>
  <c r="E4439" i="3"/>
  <c r="F4438" i="3"/>
  <c r="A4438" i="3" s="1"/>
  <c r="E4438" i="3"/>
  <c r="F4437" i="3"/>
  <c r="A4437" i="3" s="1"/>
  <c r="E4437" i="3"/>
  <c r="F4436" i="3"/>
  <c r="A4436" i="3" s="1"/>
  <c r="E4436" i="3"/>
  <c r="F4435" i="3"/>
  <c r="A4435" i="3" s="1"/>
  <c r="E4435" i="3"/>
  <c r="F4434" i="3"/>
  <c r="A4434" i="3" s="1"/>
  <c r="E4434" i="3"/>
  <c r="F4433" i="3"/>
  <c r="A4433" i="3" s="1"/>
  <c r="E4433" i="3"/>
  <c r="F4432" i="3"/>
  <c r="A4432" i="3" s="1"/>
  <c r="E4432" i="3"/>
  <c r="F4431" i="3"/>
  <c r="A4431" i="3" s="1"/>
  <c r="E4431" i="3"/>
  <c r="F4430" i="3"/>
  <c r="A4430" i="3" s="1"/>
  <c r="E4430" i="3"/>
  <c r="F4429" i="3"/>
  <c r="A4429" i="3" s="1"/>
  <c r="E4429" i="3"/>
  <c r="F4428" i="3"/>
  <c r="A4428" i="3" s="1"/>
  <c r="E4428" i="3"/>
  <c r="F4427" i="3"/>
  <c r="A4427" i="3" s="1"/>
  <c r="E4427" i="3"/>
  <c r="F4426" i="3"/>
  <c r="A4426" i="3" s="1"/>
  <c r="E4426" i="3"/>
  <c r="F4425" i="3"/>
  <c r="A4425" i="3" s="1"/>
  <c r="E4425" i="3"/>
  <c r="F4424" i="3"/>
  <c r="A4424" i="3" s="1"/>
  <c r="E4424" i="3"/>
  <c r="F4423" i="3"/>
  <c r="A4423" i="3" s="1"/>
  <c r="E4423" i="3"/>
  <c r="F4422" i="3"/>
  <c r="A4422" i="3" s="1"/>
  <c r="E4422" i="3"/>
  <c r="F4421" i="3"/>
  <c r="A4421" i="3" s="1"/>
  <c r="E4421" i="3"/>
  <c r="F4420" i="3"/>
  <c r="A4420" i="3" s="1"/>
  <c r="E4420" i="3"/>
  <c r="F4419" i="3"/>
  <c r="A4419" i="3" s="1"/>
  <c r="E4419" i="3"/>
  <c r="F4418" i="3"/>
  <c r="A4418" i="3" s="1"/>
  <c r="E4418" i="3"/>
  <c r="F4417" i="3"/>
  <c r="A4417" i="3" s="1"/>
  <c r="E4417" i="3"/>
  <c r="F4416" i="3"/>
  <c r="A4416" i="3" s="1"/>
  <c r="E4416" i="3"/>
  <c r="F4415" i="3"/>
  <c r="A4415" i="3" s="1"/>
  <c r="E4415" i="3"/>
  <c r="F4414" i="3"/>
  <c r="A4414" i="3" s="1"/>
  <c r="E4414" i="3"/>
  <c r="F4413" i="3"/>
  <c r="A4413" i="3" s="1"/>
  <c r="E4413" i="3"/>
  <c r="F4412" i="3"/>
  <c r="A4412" i="3" s="1"/>
  <c r="E4412" i="3"/>
  <c r="F4411" i="3"/>
  <c r="A4411" i="3" s="1"/>
  <c r="E4411" i="3"/>
  <c r="F4410" i="3"/>
  <c r="A4410" i="3" s="1"/>
  <c r="E4410" i="3"/>
  <c r="F4409" i="3"/>
  <c r="A4409" i="3" s="1"/>
  <c r="E4409" i="3"/>
  <c r="F4408" i="3"/>
  <c r="A4408" i="3" s="1"/>
  <c r="E4408" i="3"/>
  <c r="F4407" i="3"/>
  <c r="A4407" i="3" s="1"/>
  <c r="E4407" i="3"/>
  <c r="F4406" i="3"/>
  <c r="A4406" i="3" s="1"/>
  <c r="E4406" i="3"/>
  <c r="F4405" i="3"/>
  <c r="A4405" i="3" s="1"/>
  <c r="E4405" i="3"/>
  <c r="F4404" i="3"/>
  <c r="A4404" i="3" s="1"/>
  <c r="E4404" i="3"/>
  <c r="F4403" i="3"/>
  <c r="A4403" i="3" s="1"/>
  <c r="E4403" i="3"/>
  <c r="F4402" i="3"/>
  <c r="A4402" i="3" s="1"/>
  <c r="E4402" i="3"/>
  <c r="F4401" i="3"/>
  <c r="A4401" i="3" s="1"/>
  <c r="E4401" i="3"/>
  <c r="F4400" i="3"/>
  <c r="A4400" i="3" s="1"/>
  <c r="E4400" i="3"/>
  <c r="F4399" i="3"/>
  <c r="A4399" i="3" s="1"/>
  <c r="E4399" i="3"/>
  <c r="F4398" i="3"/>
  <c r="A4398" i="3" s="1"/>
  <c r="E4398" i="3"/>
  <c r="F4397" i="3"/>
  <c r="A4397" i="3" s="1"/>
  <c r="E4397" i="3"/>
  <c r="F4396" i="3"/>
  <c r="A4396" i="3" s="1"/>
  <c r="E4396" i="3"/>
  <c r="F4395" i="3"/>
  <c r="A4395" i="3" s="1"/>
  <c r="E4395" i="3"/>
  <c r="F4394" i="3"/>
  <c r="A4394" i="3" s="1"/>
  <c r="E4394" i="3"/>
  <c r="F4393" i="3"/>
  <c r="A4393" i="3" s="1"/>
  <c r="E4393" i="3"/>
  <c r="F4392" i="3"/>
  <c r="A4392" i="3" s="1"/>
  <c r="E4392" i="3"/>
  <c r="F4391" i="3"/>
  <c r="A4391" i="3" s="1"/>
  <c r="E4391" i="3"/>
  <c r="F4390" i="3"/>
  <c r="A4390" i="3" s="1"/>
  <c r="E4390" i="3"/>
  <c r="F4389" i="3"/>
  <c r="A4389" i="3" s="1"/>
  <c r="E4389" i="3"/>
  <c r="F4388" i="3"/>
  <c r="A4388" i="3" s="1"/>
  <c r="E4388" i="3"/>
  <c r="F4387" i="3"/>
  <c r="A4387" i="3" s="1"/>
  <c r="E4387" i="3"/>
  <c r="F4386" i="3"/>
  <c r="A4386" i="3" s="1"/>
  <c r="E4386" i="3"/>
  <c r="F4385" i="3"/>
  <c r="A4385" i="3" s="1"/>
  <c r="E4385" i="3"/>
  <c r="F4384" i="3"/>
  <c r="A4384" i="3" s="1"/>
  <c r="E4384" i="3"/>
  <c r="F4383" i="3"/>
  <c r="A4383" i="3" s="1"/>
  <c r="E4383" i="3"/>
  <c r="F4382" i="3"/>
  <c r="A4382" i="3" s="1"/>
  <c r="E4382" i="3"/>
  <c r="F4381" i="3"/>
  <c r="A4381" i="3" s="1"/>
  <c r="E4381" i="3"/>
  <c r="F4380" i="3"/>
  <c r="A4380" i="3" s="1"/>
  <c r="E4380" i="3"/>
  <c r="F4379" i="3"/>
  <c r="A4379" i="3" s="1"/>
  <c r="E4379" i="3"/>
  <c r="F4378" i="3"/>
  <c r="A4378" i="3" s="1"/>
  <c r="E4378" i="3"/>
  <c r="F4377" i="3"/>
  <c r="A4377" i="3" s="1"/>
  <c r="E4377" i="3"/>
  <c r="F4376" i="3"/>
  <c r="A4376" i="3" s="1"/>
  <c r="E4376" i="3"/>
  <c r="F4375" i="3"/>
  <c r="A4375" i="3" s="1"/>
  <c r="E4375" i="3"/>
  <c r="F4374" i="3"/>
  <c r="A4374" i="3" s="1"/>
  <c r="E4374" i="3"/>
  <c r="F4373" i="3"/>
  <c r="A4373" i="3" s="1"/>
  <c r="E4373" i="3"/>
  <c r="F4372" i="3"/>
  <c r="A4372" i="3" s="1"/>
  <c r="E4372" i="3"/>
  <c r="F4371" i="3"/>
  <c r="A4371" i="3" s="1"/>
  <c r="E4371" i="3"/>
  <c r="F4370" i="3"/>
  <c r="A4370" i="3" s="1"/>
  <c r="E4370" i="3"/>
  <c r="F4369" i="3"/>
  <c r="A4369" i="3" s="1"/>
  <c r="E4369" i="3"/>
  <c r="F4368" i="3"/>
  <c r="A4368" i="3" s="1"/>
  <c r="E4368" i="3"/>
  <c r="F4367" i="3"/>
  <c r="A4367" i="3" s="1"/>
  <c r="E4367" i="3"/>
  <c r="F4366" i="3"/>
  <c r="A4366" i="3" s="1"/>
  <c r="E4366" i="3"/>
  <c r="F4365" i="3"/>
  <c r="A4365" i="3" s="1"/>
  <c r="E4365" i="3"/>
  <c r="F4364" i="3"/>
  <c r="A4364" i="3" s="1"/>
  <c r="E4364" i="3"/>
  <c r="F4363" i="3"/>
  <c r="A4363" i="3" s="1"/>
  <c r="E4363" i="3"/>
  <c r="F4362" i="3"/>
  <c r="A4362" i="3" s="1"/>
  <c r="E4362" i="3"/>
  <c r="F4361" i="3"/>
  <c r="A4361" i="3" s="1"/>
  <c r="E4361" i="3"/>
  <c r="F4360" i="3"/>
  <c r="A4360" i="3" s="1"/>
  <c r="E4360" i="3"/>
  <c r="F4359" i="3"/>
  <c r="A4359" i="3" s="1"/>
  <c r="E4359" i="3"/>
  <c r="F4358" i="3"/>
  <c r="A4358" i="3" s="1"/>
  <c r="E4358" i="3"/>
  <c r="F4357" i="3"/>
  <c r="A4357" i="3" s="1"/>
  <c r="E4357" i="3"/>
  <c r="F4356" i="3"/>
  <c r="A4356" i="3" s="1"/>
  <c r="E4356" i="3"/>
  <c r="F4355" i="3"/>
  <c r="A4355" i="3" s="1"/>
  <c r="E4355" i="3"/>
  <c r="F4354" i="3"/>
  <c r="A4354" i="3" s="1"/>
  <c r="E4354" i="3"/>
  <c r="F4353" i="3"/>
  <c r="A4353" i="3" s="1"/>
  <c r="E4353" i="3"/>
  <c r="F4352" i="3"/>
  <c r="A4352" i="3" s="1"/>
  <c r="E4352" i="3"/>
  <c r="F4351" i="3"/>
  <c r="A4351" i="3" s="1"/>
  <c r="E4351" i="3"/>
  <c r="F4350" i="3"/>
  <c r="A4350" i="3" s="1"/>
  <c r="E4350" i="3"/>
  <c r="F4349" i="3"/>
  <c r="A4349" i="3" s="1"/>
  <c r="E4349" i="3"/>
  <c r="F4348" i="3"/>
  <c r="A4348" i="3" s="1"/>
  <c r="E4348" i="3"/>
  <c r="F4347" i="3"/>
  <c r="A4347" i="3" s="1"/>
  <c r="E4347" i="3"/>
  <c r="F4346" i="3"/>
  <c r="A4346" i="3" s="1"/>
  <c r="E4346" i="3"/>
  <c r="F4345" i="3"/>
  <c r="A4345" i="3" s="1"/>
  <c r="E4345" i="3"/>
  <c r="F4344" i="3"/>
  <c r="A4344" i="3" s="1"/>
  <c r="E4344" i="3"/>
  <c r="F4343" i="3"/>
  <c r="A4343" i="3" s="1"/>
  <c r="E4343" i="3"/>
  <c r="F4342" i="3"/>
  <c r="A4342" i="3" s="1"/>
  <c r="E4342" i="3"/>
  <c r="F4341" i="3"/>
  <c r="A4341" i="3" s="1"/>
  <c r="E4341" i="3"/>
  <c r="F4340" i="3"/>
  <c r="A4340" i="3" s="1"/>
  <c r="E4340" i="3"/>
  <c r="F4339" i="3"/>
  <c r="A4339" i="3" s="1"/>
  <c r="E4339" i="3"/>
  <c r="F4338" i="3"/>
  <c r="A4338" i="3" s="1"/>
  <c r="E4338" i="3"/>
  <c r="F4337" i="3"/>
  <c r="A4337" i="3" s="1"/>
  <c r="E4337" i="3"/>
  <c r="F4336" i="3"/>
  <c r="A4336" i="3" s="1"/>
  <c r="E4336" i="3"/>
  <c r="F4335" i="3"/>
  <c r="A4335" i="3" s="1"/>
  <c r="E4335" i="3"/>
  <c r="F4334" i="3"/>
  <c r="A4334" i="3" s="1"/>
  <c r="E4334" i="3"/>
  <c r="F4333" i="3"/>
  <c r="A4333" i="3" s="1"/>
  <c r="E4333" i="3"/>
  <c r="F4332" i="3"/>
  <c r="A4332" i="3" s="1"/>
  <c r="E4332" i="3"/>
  <c r="F4331" i="3"/>
  <c r="A4331" i="3" s="1"/>
  <c r="E4331" i="3"/>
  <c r="F4330" i="3"/>
  <c r="A4330" i="3" s="1"/>
  <c r="E4330" i="3"/>
  <c r="F4329" i="3"/>
  <c r="A4329" i="3" s="1"/>
  <c r="E4329" i="3"/>
  <c r="F4328" i="3"/>
  <c r="A4328" i="3" s="1"/>
  <c r="E4328" i="3"/>
  <c r="F4327" i="3"/>
  <c r="A4327" i="3" s="1"/>
  <c r="E4327" i="3"/>
  <c r="F4326" i="3"/>
  <c r="A4326" i="3" s="1"/>
  <c r="E4326" i="3"/>
  <c r="F4325" i="3"/>
  <c r="A4325" i="3" s="1"/>
  <c r="E4325" i="3"/>
  <c r="F4324" i="3"/>
  <c r="A4324" i="3" s="1"/>
  <c r="E4324" i="3"/>
  <c r="F4323" i="3"/>
  <c r="A4323" i="3" s="1"/>
  <c r="E4323" i="3"/>
  <c r="F4322" i="3"/>
  <c r="A4322" i="3" s="1"/>
  <c r="E4322" i="3"/>
  <c r="F4321" i="3"/>
  <c r="A4321" i="3" s="1"/>
  <c r="E4321" i="3"/>
  <c r="F4320" i="3"/>
  <c r="A4320" i="3" s="1"/>
  <c r="E4320" i="3"/>
  <c r="F4319" i="3"/>
  <c r="A4319" i="3" s="1"/>
  <c r="E4319" i="3"/>
  <c r="F4318" i="3"/>
  <c r="A4318" i="3" s="1"/>
  <c r="E4318" i="3"/>
  <c r="F4317" i="3"/>
  <c r="A4317" i="3" s="1"/>
  <c r="E4317" i="3"/>
  <c r="F4316" i="3"/>
  <c r="A4316" i="3" s="1"/>
  <c r="E4316" i="3"/>
  <c r="F4315" i="3"/>
  <c r="A4315" i="3" s="1"/>
  <c r="E4315" i="3"/>
  <c r="F4314" i="3"/>
  <c r="A4314" i="3" s="1"/>
  <c r="E4314" i="3"/>
  <c r="F4313" i="3"/>
  <c r="A4313" i="3" s="1"/>
  <c r="E4313" i="3"/>
  <c r="F4312" i="3"/>
  <c r="A4312" i="3" s="1"/>
  <c r="E4312" i="3"/>
  <c r="F4311" i="3"/>
  <c r="A4311" i="3" s="1"/>
  <c r="E4311" i="3"/>
  <c r="F4310" i="3"/>
  <c r="A4310" i="3" s="1"/>
  <c r="E4310" i="3"/>
  <c r="F4309" i="3"/>
  <c r="A4309" i="3" s="1"/>
  <c r="E4309" i="3"/>
  <c r="F4308" i="3"/>
  <c r="A4308" i="3" s="1"/>
  <c r="E4308" i="3"/>
  <c r="F4307" i="3"/>
  <c r="A4307" i="3" s="1"/>
  <c r="E4307" i="3"/>
  <c r="F4306" i="3"/>
  <c r="A4306" i="3" s="1"/>
  <c r="E4306" i="3"/>
  <c r="F4305" i="3"/>
  <c r="A4305" i="3" s="1"/>
  <c r="E4305" i="3"/>
  <c r="F4304" i="3"/>
  <c r="A4304" i="3" s="1"/>
  <c r="E4304" i="3"/>
  <c r="F4303" i="3"/>
  <c r="A4303" i="3" s="1"/>
  <c r="E4303" i="3"/>
  <c r="F4302" i="3"/>
  <c r="A4302" i="3" s="1"/>
  <c r="E4302" i="3"/>
  <c r="F4301" i="3"/>
  <c r="A4301" i="3" s="1"/>
  <c r="E4301" i="3"/>
  <c r="F4300" i="3"/>
  <c r="A4300" i="3" s="1"/>
  <c r="E4300" i="3"/>
  <c r="F4299" i="3"/>
  <c r="A4299" i="3" s="1"/>
  <c r="E4299" i="3"/>
  <c r="F4298" i="3"/>
  <c r="A4298" i="3" s="1"/>
  <c r="E4298" i="3"/>
  <c r="F4297" i="3"/>
  <c r="A4297" i="3" s="1"/>
  <c r="E4297" i="3"/>
  <c r="F4296" i="3"/>
  <c r="A4296" i="3" s="1"/>
  <c r="E4296" i="3"/>
  <c r="F4295" i="3"/>
  <c r="A4295" i="3" s="1"/>
  <c r="E4295" i="3"/>
  <c r="F4294" i="3"/>
  <c r="A4294" i="3" s="1"/>
  <c r="E4294" i="3"/>
  <c r="F4293" i="3"/>
  <c r="A4293" i="3" s="1"/>
  <c r="E4293" i="3"/>
  <c r="F4292" i="3"/>
  <c r="A4292" i="3" s="1"/>
  <c r="E4292" i="3"/>
  <c r="F4291" i="3"/>
  <c r="A4291" i="3" s="1"/>
  <c r="E4291" i="3"/>
  <c r="F4290" i="3"/>
  <c r="A4290" i="3" s="1"/>
  <c r="E4290" i="3"/>
  <c r="F4289" i="3"/>
  <c r="A4289" i="3" s="1"/>
  <c r="E4289" i="3"/>
  <c r="F4288" i="3"/>
  <c r="A4288" i="3" s="1"/>
  <c r="E4288" i="3"/>
  <c r="F4287" i="3"/>
  <c r="A4287" i="3" s="1"/>
  <c r="E4287" i="3"/>
  <c r="F4286" i="3"/>
  <c r="A4286" i="3" s="1"/>
  <c r="E4286" i="3"/>
  <c r="F4285" i="3"/>
  <c r="A4285" i="3" s="1"/>
  <c r="E4285" i="3"/>
  <c r="F4284" i="3"/>
  <c r="A4284" i="3" s="1"/>
  <c r="E4284" i="3"/>
  <c r="F4283" i="3"/>
  <c r="A4283" i="3" s="1"/>
  <c r="E4283" i="3"/>
  <c r="F4282" i="3"/>
  <c r="A4282" i="3" s="1"/>
  <c r="E4282" i="3"/>
  <c r="F4281" i="3"/>
  <c r="A4281" i="3" s="1"/>
  <c r="E4281" i="3"/>
  <c r="F4280" i="3"/>
  <c r="A4280" i="3" s="1"/>
  <c r="E4280" i="3"/>
  <c r="F4279" i="3"/>
  <c r="A4279" i="3" s="1"/>
  <c r="E4279" i="3"/>
  <c r="F4278" i="3"/>
  <c r="A4278" i="3" s="1"/>
  <c r="E4278" i="3"/>
  <c r="F4277" i="3"/>
  <c r="A4277" i="3" s="1"/>
  <c r="E4277" i="3"/>
  <c r="F4276" i="3"/>
  <c r="A4276" i="3" s="1"/>
  <c r="E4276" i="3"/>
  <c r="F4275" i="3"/>
  <c r="A4275" i="3" s="1"/>
  <c r="E4275" i="3"/>
  <c r="F4274" i="3"/>
  <c r="A4274" i="3" s="1"/>
  <c r="E4274" i="3"/>
  <c r="F4273" i="3"/>
  <c r="A4273" i="3" s="1"/>
  <c r="E4273" i="3"/>
  <c r="F4272" i="3"/>
  <c r="A4272" i="3" s="1"/>
  <c r="E4272" i="3"/>
  <c r="F4271" i="3"/>
  <c r="A4271" i="3" s="1"/>
  <c r="E4271" i="3"/>
  <c r="F4270" i="3"/>
  <c r="A4270" i="3" s="1"/>
  <c r="E4270" i="3"/>
  <c r="F4269" i="3"/>
  <c r="A4269" i="3" s="1"/>
  <c r="E4269" i="3"/>
  <c r="F4268" i="3"/>
  <c r="A4268" i="3" s="1"/>
  <c r="E4268" i="3"/>
  <c r="F4267" i="3"/>
  <c r="A4267" i="3" s="1"/>
  <c r="E4267" i="3"/>
  <c r="F4266" i="3"/>
  <c r="A4266" i="3" s="1"/>
  <c r="E4266" i="3"/>
  <c r="F4265" i="3"/>
  <c r="A4265" i="3" s="1"/>
  <c r="E4265" i="3"/>
  <c r="F4264" i="3"/>
  <c r="A4264" i="3" s="1"/>
  <c r="E4264" i="3"/>
  <c r="F4263" i="3"/>
  <c r="A4263" i="3" s="1"/>
  <c r="E4263" i="3"/>
  <c r="F4262" i="3"/>
  <c r="A4262" i="3" s="1"/>
  <c r="E4262" i="3"/>
  <c r="F4261" i="3"/>
  <c r="A4261" i="3" s="1"/>
  <c r="E4261" i="3"/>
  <c r="F4260" i="3"/>
  <c r="A4260" i="3" s="1"/>
  <c r="E4260" i="3"/>
  <c r="F4259" i="3"/>
  <c r="A4259" i="3" s="1"/>
  <c r="E4259" i="3"/>
  <c r="F4258" i="3"/>
  <c r="A4258" i="3" s="1"/>
  <c r="E4258" i="3"/>
  <c r="F4257" i="3"/>
  <c r="A4257" i="3" s="1"/>
  <c r="E4257" i="3"/>
  <c r="F4256" i="3"/>
  <c r="A4256" i="3" s="1"/>
  <c r="E4256" i="3"/>
  <c r="F4255" i="3"/>
  <c r="A4255" i="3" s="1"/>
  <c r="E4255" i="3"/>
  <c r="F4254" i="3"/>
  <c r="A4254" i="3" s="1"/>
  <c r="E4254" i="3"/>
  <c r="F4253" i="3"/>
  <c r="A4253" i="3" s="1"/>
  <c r="E4253" i="3"/>
  <c r="F4252" i="3"/>
  <c r="A4252" i="3" s="1"/>
  <c r="E4252" i="3"/>
  <c r="F4251" i="3"/>
  <c r="A4251" i="3" s="1"/>
  <c r="E4251" i="3"/>
  <c r="F4250" i="3"/>
  <c r="A4250" i="3" s="1"/>
  <c r="E4250" i="3"/>
  <c r="F4249" i="3"/>
  <c r="A4249" i="3" s="1"/>
  <c r="E4249" i="3"/>
  <c r="F4248" i="3"/>
  <c r="A4248" i="3" s="1"/>
  <c r="E4248" i="3"/>
  <c r="F4247" i="3"/>
  <c r="A4247" i="3" s="1"/>
  <c r="E4247" i="3"/>
  <c r="F4246" i="3"/>
  <c r="A4246" i="3" s="1"/>
  <c r="E4246" i="3"/>
  <c r="F4245" i="3"/>
  <c r="A4245" i="3" s="1"/>
  <c r="E4245" i="3"/>
  <c r="F4244" i="3"/>
  <c r="A4244" i="3" s="1"/>
  <c r="E4244" i="3"/>
  <c r="F4243" i="3"/>
  <c r="A4243" i="3" s="1"/>
  <c r="E4243" i="3"/>
  <c r="F4242" i="3"/>
  <c r="A4242" i="3" s="1"/>
  <c r="E4242" i="3"/>
  <c r="F4241" i="3"/>
  <c r="A4241" i="3" s="1"/>
  <c r="E4241" i="3"/>
  <c r="F4240" i="3"/>
  <c r="A4240" i="3" s="1"/>
  <c r="E4240" i="3"/>
  <c r="F4239" i="3"/>
  <c r="A4239" i="3" s="1"/>
  <c r="E4239" i="3"/>
  <c r="F4238" i="3"/>
  <c r="A4238" i="3" s="1"/>
  <c r="E4238" i="3"/>
  <c r="F4237" i="3"/>
  <c r="A4237" i="3" s="1"/>
  <c r="E4237" i="3"/>
  <c r="F4236" i="3"/>
  <c r="A4236" i="3" s="1"/>
  <c r="E4236" i="3"/>
  <c r="F4235" i="3"/>
  <c r="A4235" i="3" s="1"/>
  <c r="E4235" i="3"/>
  <c r="F4234" i="3"/>
  <c r="A4234" i="3" s="1"/>
  <c r="E4234" i="3"/>
  <c r="F4233" i="3"/>
  <c r="A4233" i="3" s="1"/>
  <c r="E4233" i="3"/>
  <c r="F4232" i="3"/>
  <c r="A4232" i="3" s="1"/>
  <c r="E4232" i="3"/>
  <c r="F4231" i="3"/>
  <c r="A4231" i="3" s="1"/>
  <c r="E4231" i="3"/>
  <c r="F4230" i="3"/>
  <c r="A4230" i="3" s="1"/>
  <c r="E4230" i="3"/>
  <c r="F4229" i="3"/>
  <c r="A4229" i="3" s="1"/>
  <c r="E4229" i="3"/>
  <c r="F4228" i="3"/>
  <c r="A4228" i="3" s="1"/>
  <c r="E4228" i="3"/>
  <c r="F4227" i="3"/>
  <c r="A4227" i="3" s="1"/>
  <c r="E4227" i="3"/>
  <c r="F4226" i="3"/>
  <c r="A4226" i="3" s="1"/>
  <c r="E4226" i="3"/>
  <c r="F4225" i="3"/>
  <c r="A4225" i="3" s="1"/>
  <c r="E4225" i="3"/>
  <c r="F4224" i="3"/>
  <c r="A4224" i="3" s="1"/>
  <c r="E4224" i="3"/>
  <c r="F4223" i="3"/>
  <c r="A4223" i="3" s="1"/>
  <c r="E4223" i="3"/>
  <c r="F4222" i="3"/>
  <c r="A4222" i="3" s="1"/>
  <c r="E4222" i="3"/>
  <c r="F4221" i="3"/>
  <c r="A4221" i="3" s="1"/>
  <c r="E4221" i="3"/>
  <c r="F4220" i="3"/>
  <c r="A4220" i="3" s="1"/>
  <c r="E4220" i="3"/>
  <c r="F4219" i="3"/>
  <c r="A4219" i="3" s="1"/>
  <c r="E4219" i="3"/>
  <c r="F4218" i="3"/>
  <c r="A4218" i="3" s="1"/>
  <c r="E4218" i="3"/>
  <c r="F4217" i="3"/>
  <c r="A4217" i="3" s="1"/>
  <c r="E4217" i="3"/>
  <c r="F4216" i="3"/>
  <c r="A4216" i="3" s="1"/>
  <c r="E4216" i="3"/>
  <c r="F4215" i="3"/>
  <c r="A4215" i="3" s="1"/>
  <c r="E4215" i="3"/>
  <c r="F4214" i="3"/>
  <c r="A4214" i="3" s="1"/>
  <c r="E4214" i="3"/>
  <c r="F4213" i="3"/>
  <c r="A4213" i="3" s="1"/>
  <c r="E4213" i="3"/>
  <c r="F4212" i="3"/>
  <c r="A4212" i="3" s="1"/>
  <c r="E4212" i="3"/>
  <c r="F4211" i="3"/>
  <c r="A4211" i="3" s="1"/>
  <c r="E4211" i="3"/>
  <c r="F4210" i="3"/>
  <c r="A4210" i="3" s="1"/>
  <c r="E4210" i="3"/>
  <c r="F4209" i="3"/>
  <c r="A4209" i="3" s="1"/>
  <c r="E4209" i="3"/>
  <c r="F4208" i="3"/>
  <c r="A4208" i="3" s="1"/>
  <c r="E4208" i="3"/>
  <c r="F4207" i="3"/>
  <c r="A4207" i="3" s="1"/>
  <c r="E4207" i="3"/>
  <c r="F4206" i="3"/>
  <c r="A4206" i="3" s="1"/>
  <c r="E4206" i="3"/>
  <c r="F4205" i="3"/>
  <c r="A4205" i="3" s="1"/>
  <c r="E4205" i="3"/>
  <c r="F4204" i="3"/>
  <c r="A4204" i="3" s="1"/>
  <c r="E4204" i="3"/>
  <c r="F4203" i="3"/>
  <c r="A4203" i="3" s="1"/>
  <c r="E4203" i="3"/>
  <c r="F4202" i="3"/>
  <c r="A4202" i="3" s="1"/>
  <c r="E4202" i="3"/>
  <c r="F4201" i="3"/>
  <c r="A4201" i="3" s="1"/>
  <c r="E4201" i="3"/>
  <c r="F4200" i="3"/>
  <c r="A4200" i="3" s="1"/>
  <c r="E4200" i="3"/>
  <c r="F4199" i="3"/>
  <c r="A4199" i="3" s="1"/>
  <c r="E4199" i="3"/>
  <c r="F4198" i="3"/>
  <c r="A4198" i="3" s="1"/>
  <c r="E4198" i="3"/>
  <c r="F4197" i="3"/>
  <c r="A4197" i="3" s="1"/>
  <c r="E4197" i="3"/>
  <c r="F4196" i="3"/>
  <c r="A4196" i="3" s="1"/>
  <c r="E4196" i="3"/>
  <c r="F4195" i="3"/>
  <c r="A4195" i="3" s="1"/>
  <c r="E4195" i="3"/>
  <c r="F4194" i="3"/>
  <c r="A4194" i="3" s="1"/>
  <c r="E4194" i="3"/>
  <c r="F4193" i="3"/>
  <c r="A4193" i="3" s="1"/>
  <c r="E4193" i="3"/>
  <c r="F4192" i="3"/>
  <c r="A4192" i="3" s="1"/>
  <c r="E4192" i="3"/>
  <c r="F4191" i="3"/>
  <c r="A4191" i="3" s="1"/>
  <c r="E4191" i="3"/>
  <c r="F4190" i="3"/>
  <c r="A4190" i="3" s="1"/>
  <c r="E4190" i="3"/>
  <c r="F4189" i="3"/>
  <c r="A4189" i="3" s="1"/>
  <c r="E4189" i="3"/>
  <c r="F4188" i="3"/>
  <c r="A4188" i="3" s="1"/>
  <c r="E4188" i="3"/>
  <c r="F4187" i="3"/>
  <c r="A4187" i="3" s="1"/>
  <c r="E4187" i="3"/>
  <c r="F4186" i="3"/>
  <c r="A4186" i="3" s="1"/>
  <c r="E4186" i="3"/>
  <c r="F4185" i="3"/>
  <c r="A4185" i="3" s="1"/>
  <c r="E4185" i="3"/>
  <c r="F4184" i="3"/>
  <c r="A4184" i="3" s="1"/>
  <c r="E4184" i="3"/>
  <c r="F4183" i="3"/>
  <c r="A4183" i="3" s="1"/>
  <c r="E4183" i="3"/>
  <c r="F4182" i="3"/>
  <c r="A4182" i="3" s="1"/>
  <c r="E4182" i="3"/>
  <c r="F4181" i="3"/>
  <c r="A4181" i="3" s="1"/>
  <c r="E4181" i="3"/>
  <c r="F4180" i="3"/>
  <c r="A4180" i="3" s="1"/>
  <c r="E4180" i="3"/>
  <c r="F4179" i="3"/>
  <c r="A4179" i="3" s="1"/>
  <c r="E4179" i="3"/>
  <c r="F4178" i="3"/>
  <c r="A4178" i="3" s="1"/>
  <c r="E4178" i="3"/>
  <c r="F4177" i="3"/>
  <c r="A4177" i="3" s="1"/>
  <c r="E4177" i="3"/>
  <c r="F4176" i="3"/>
  <c r="A4176" i="3" s="1"/>
  <c r="E4176" i="3"/>
  <c r="F4175" i="3"/>
  <c r="A4175" i="3" s="1"/>
  <c r="E4175" i="3"/>
  <c r="F4174" i="3"/>
  <c r="A4174" i="3" s="1"/>
  <c r="E4174" i="3"/>
  <c r="F4173" i="3"/>
  <c r="A4173" i="3" s="1"/>
  <c r="E4173" i="3"/>
  <c r="F4172" i="3"/>
  <c r="A4172" i="3" s="1"/>
  <c r="E4172" i="3"/>
  <c r="F4171" i="3"/>
  <c r="A4171" i="3" s="1"/>
  <c r="E4171" i="3"/>
  <c r="F4170" i="3"/>
  <c r="A4170" i="3" s="1"/>
  <c r="E4170" i="3"/>
  <c r="F4169" i="3"/>
  <c r="A4169" i="3" s="1"/>
  <c r="E4169" i="3"/>
  <c r="F4168" i="3"/>
  <c r="A4168" i="3" s="1"/>
  <c r="E4168" i="3"/>
  <c r="F4167" i="3"/>
  <c r="A4167" i="3" s="1"/>
  <c r="E4167" i="3"/>
  <c r="F4166" i="3"/>
  <c r="A4166" i="3" s="1"/>
  <c r="E4166" i="3"/>
  <c r="F4165" i="3"/>
  <c r="A4165" i="3" s="1"/>
  <c r="E4165" i="3"/>
  <c r="F4164" i="3"/>
  <c r="A4164" i="3" s="1"/>
  <c r="E4164" i="3"/>
  <c r="F4163" i="3"/>
  <c r="A4163" i="3" s="1"/>
  <c r="E4163" i="3"/>
  <c r="F4162" i="3"/>
  <c r="A4162" i="3" s="1"/>
  <c r="E4162" i="3"/>
  <c r="F4161" i="3"/>
  <c r="A4161" i="3" s="1"/>
  <c r="E4161" i="3"/>
  <c r="F4160" i="3"/>
  <c r="A4160" i="3" s="1"/>
  <c r="E4160" i="3"/>
  <c r="F4159" i="3"/>
  <c r="A4159" i="3" s="1"/>
  <c r="E4159" i="3"/>
  <c r="F4158" i="3"/>
  <c r="A4158" i="3" s="1"/>
  <c r="E4158" i="3"/>
  <c r="F4157" i="3"/>
  <c r="A4157" i="3" s="1"/>
  <c r="E4157" i="3"/>
  <c r="F4156" i="3"/>
  <c r="A4156" i="3" s="1"/>
  <c r="E4156" i="3"/>
  <c r="F4155" i="3"/>
  <c r="A4155" i="3" s="1"/>
  <c r="E4155" i="3"/>
  <c r="F4154" i="3"/>
  <c r="A4154" i="3" s="1"/>
  <c r="E4154" i="3"/>
  <c r="F4153" i="3"/>
  <c r="A4153" i="3" s="1"/>
  <c r="E4153" i="3"/>
  <c r="F4152" i="3"/>
  <c r="A4152" i="3" s="1"/>
  <c r="E4152" i="3"/>
  <c r="F4151" i="3"/>
  <c r="A4151" i="3" s="1"/>
  <c r="E4151" i="3"/>
  <c r="F4150" i="3"/>
  <c r="A4150" i="3" s="1"/>
  <c r="E4150" i="3"/>
  <c r="F4149" i="3"/>
  <c r="A4149" i="3" s="1"/>
  <c r="E4149" i="3"/>
  <c r="F4148" i="3"/>
  <c r="A4148" i="3" s="1"/>
  <c r="E4148" i="3"/>
  <c r="F4147" i="3"/>
  <c r="A4147" i="3" s="1"/>
  <c r="E4147" i="3"/>
  <c r="F4146" i="3"/>
  <c r="A4146" i="3" s="1"/>
  <c r="E4146" i="3"/>
  <c r="F4145" i="3"/>
  <c r="A4145" i="3" s="1"/>
  <c r="E4145" i="3"/>
  <c r="F4144" i="3"/>
  <c r="A4144" i="3" s="1"/>
  <c r="E4144" i="3"/>
  <c r="F4143" i="3"/>
  <c r="A4143" i="3" s="1"/>
  <c r="E4143" i="3"/>
  <c r="F4142" i="3"/>
  <c r="A4142" i="3" s="1"/>
  <c r="E4142" i="3"/>
  <c r="F4141" i="3"/>
  <c r="A4141" i="3" s="1"/>
  <c r="E4141" i="3"/>
  <c r="F4140" i="3"/>
  <c r="A4140" i="3" s="1"/>
  <c r="E4140" i="3"/>
  <c r="F4139" i="3"/>
  <c r="A4139" i="3" s="1"/>
  <c r="E4139" i="3"/>
  <c r="F4138" i="3"/>
  <c r="A4138" i="3" s="1"/>
  <c r="E4138" i="3"/>
  <c r="F4137" i="3"/>
  <c r="A4137" i="3" s="1"/>
  <c r="E4137" i="3"/>
  <c r="F4136" i="3"/>
  <c r="A4136" i="3" s="1"/>
  <c r="E4136" i="3"/>
  <c r="F4135" i="3"/>
  <c r="A4135" i="3" s="1"/>
  <c r="E4135" i="3"/>
  <c r="F4134" i="3"/>
  <c r="A4134" i="3" s="1"/>
  <c r="E4134" i="3"/>
  <c r="F4133" i="3"/>
  <c r="A4133" i="3" s="1"/>
  <c r="E4133" i="3"/>
  <c r="F4132" i="3"/>
  <c r="A4132" i="3" s="1"/>
  <c r="E4132" i="3"/>
  <c r="F4131" i="3"/>
  <c r="A4131" i="3" s="1"/>
  <c r="E4131" i="3"/>
  <c r="F4130" i="3"/>
  <c r="A4130" i="3" s="1"/>
  <c r="E4130" i="3"/>
  <c r="F4129" i="3"/>
  <c r="A4129" i="3" s="1"/>
  <c r="E4129" i="3"/>
  <c r="F4128" i="3"/>
  <c r="A4128" i="3" s="1"/>
  <c r="E4128" i="3"/>
  <c r="F4127" i="3"/>
  <c r="A4127" i="3" s="1"/>
  <c r="E4127" i="3"/>
  <c r="F4126" i="3"/>
  <c r="A4126" i="3" s="1"/>
  <c r="E4126" i="3"/>
  <c r="F4125" i="3"/>
  <c r="A4125" i="3" s="1"/>
  <c r="E4125" i="3"/>
  <c r="F4124" i="3"/>
  <c r="A4124" i="3" s="1"/>
  <c r="E4124" i="3"/>
  <c r="F4123" i="3"/>
  <c r="A4123" i="3" s="1"/>
  <c r="E4123" i="3"/>
  <c r="F4122" i="3"/>
  <c r="A4122" i="3" s="1"/>
  <c r="E4122" i="3"/>
  <c r="F4121" i="3"/>
  <c r="A4121" i="3" s="1"/>
  <c r="E4121" i="3"/>
  <c r="F4120" i="3"/>
  <c r="A4120" i="3" s="1"/>
  <c r="E4120" i="3"/>
  <c r="F4119" i="3"/>
  <c r="A4119" i="3" s="1"/>
  <c r="E4119" i="3"/>
  <c r="F4118" i="3"/>
  <c r="A4118" i="3" s="1"/>
  <c r="E4118" i="3"/>
  <c r="F4117" i="3"/>
  <c r="A4117" i="3" s="1"/>
  <c r="E4117" i="3"/>
  <c r="F4116" i="3"/>
  <c r="A4116" i="3" s="1"/>
  <c r="E4116" i="3"/>
  <c r="F4115" i="3"/>
  <c r="A4115" i="3" s="1"/>
  <c r="E4115" i="3"/>
  <c r="F4114" i="3"/>
  <c r="A4114" i="3" s="1"/>
  <c r="E4114" i="3"/>
  <c r="F4113" i="3"/>
  <c r="A4113" i="3" s="1"/>
  <c r="E4113" i="3"/>
  <c r="F4112" i="3"/>
  <c r="A4112" i="3" s="1"/>
  <c r="E4112" i="3"/>
  <c r="F4111" i="3"/>
  <c r="A4111" i="3" s="1"/>
  <c r="E4111" i="3"/>
  <c r="F4110" i="3"/>
  <c r="A4110" i="3" s="1"/>
  <c r="E4110" i="3"/>
  <c r="F4109" i="3"/>
  <c r="A4109" i="3" s="1"/>
  <c r="E4109" i="3"/>
  <c r="F4108" i="3"/>
  <c r="A4108" i="3" s="1"/>
  <c r="E4108" i="3"/>
  <c r="F4107" i="3"/>
  <c r="A4107" i="3" s="1"/>
  <c r="E4107" i="3"/>
  <c r="F4106" i="3"/>
  <c r="A4106" i="3" s="1"/>
  <c r="E4106" i="3"/>
  <c r="F4105" i="3"/>
  <c r="A4105" i="3" s="1"/>
  <c r="E4105" i="3"/>
  <c r="F4104" i="3"/>
  <c r="A4104" i="3" s="1"/>
  <c r="E4104" i="3"/>
  <c r="F4103" i="3"/>
  <c r="A4103" i="3" s="1"/>
  <c r="E4103" i="3"/>
  <c r="F4102" i="3"/>
  <c r="A4102" i="3" s="1"/>
  <c r="E4102" i="3"/>
  <c r="F4101" i="3"/>
  <c r="A4101" i="3" s="1"/>
  <c r="E4101" i="3"/>
  <c r="F4100" i="3"/>
  <c r="A4100" i="3" s="1"/>
  <c r="E4100" i="3"/>
  <c r="F4099" i="3"/>
  <c r="A4099" i="3" s="1"/>
  <c r="E4099" i="3"/>
  <c r="F4098" i="3"/>
  <c r="A4098" i="3" s="1"/>
  <c r="E4098" i="3"/>
  <c r="F4097" i="3"/>
  <c r="A4097" i="3" s="1"/>
  <c r="E4097" i="3"/>
  <c r="F4096" i="3"/>
  <c r="A4096" i="3" s="1"/>
  <c r="E4096" i="3"/>
  <c r="F4095" i="3"/>
  <c r="A4095" i="3" s="1"/>
  <c r="E4095" i="3"/>
  <c r="F4094" i="3"/>
  <c r="A4094" i="3" s="1"/>
  <c r="E4094" i="3"/>
  <c r="F4093" i="3"/>
  <c r="A4093" i="3" s="1"/>
  <c r="E4093" i="3"/>
  <c r="F4092" i="3"/>
  <c r="A4092" i="3" s="1"/>
  <c r="E4092" i="3"/>
  <c r="F4091" i="3"/>
  <c r="A4091" i="3" s="1"/>
  <c r="E4091" i="3"/>
  <c r="F4090" i="3"/>
  <c r="A4090" i="3" s="1"/>
  <c r="E4090" i="3"/>
  <c r="F4089" i="3"/>
  <c r="A4089" i="3" s="1"/>
  <c r="E4089" i="3"/>
  <c r="F4088" i="3"/>
  <c r="A4088" i="3" s="1"/>
  <c r="E4088" i="3"/>
  <c r="F4087" i="3"/>
  <c r="A4087" i="3" s="1"/>
  <c r="E4087" i="3"/>
  <c r="F4086" i="3"/>
  <c r="A4086" i="3" s="1"/>
  <c r="E4086" i="3"/>
  <c r="F4085" i="3"/>
  <c r="A4085" i="3" s="1"/>
  <c r="E4085" i="3"/>
  <c r="F4084" i="3"/>
  <c r="A4084" i="3" s="1"/>
  <c r="E4084" i="3"/>
  <c r="F4083" i="3"/>
  <c r="A4083" i="3" s="1"/>
  <c r="E4083" i="3"/>
  <c r="F4082" i="3"/>
  <c r="A4082" i="3" s="1"/>
  <c r="E4082" i="3"/>
  <c r="F4081" i="3"/>
  <c r="A4081" i="3" s="1"/>
  <c r="E4081" i="3"/>
  <c r="F4080" i="3"/>
  <c r="A4080" i="3" s="1"/>
  <c r="E4080" i="3"/>
  <c r="F4079" i="3"/>
  <c r="A4079" i="3" s="1"/>
  <c r="E4079" i="3"/>
  <c r="F4078" i="3"/>
  <c r="A4078" i="3" s="1"/>
  <c r="E4078" i="3"/>
  <c r="F4077" i="3"/>
  <c r="A4077" i="3" s="1"/>
  <c r="E4077" i="3"/>
  <c r="F4076" i="3"/>
  <c r="A4076" i="3" s="1"/>
  <c r="E4076" i="3"/>
  <c r="F4075" i="3"/>
  <c r="A4075" i="3" s="1"/>
  <c r="E4075" i="3"/>
  <c r="F4074" i="3"/>
  <c r="A4074" i="3" s="1"/>
  <c r="E4074" i="3"/>
  <c r="F4073" i="3"/>
  <c r="A4073" i="3" s="1"/>
  <c r="E4073" i="3"/>
  <c r="F4072" i="3"/>
  <c r="A4072" i="3" s="1"/>
  <c r="E4072" i="3"/>
  <c r="F4071" i="3"/>
  <c r="A4071" i="3" s="1"/>
  <c r="E4071" i="3"/>
  <c r="F4070" i="3"/>
  <c r="A4070" i="3" s="1"/>
  <c r="E4070" i="3"/>
  <c r="F4069" i="3"/>
  <c r="A4069" i="3" s="1"/>
  <c r="E4069" i="3"/>
  <c r="F4068" i="3"/>
  <c r="A4068" i="3" s="1"/>
  <c r="E4068" i="3"/>
  <c r="F4067" i="3"/>
  <c r="A4067" i="3" s="1"/>
  <c r="E4067" i="3"/>
  <c r="F4066" i="3"/>
  <c r="A4066" i="3" s="1"/>
  <c r="E4066" i="3"/>
  <c r="F4065" i="3"/>
  <c r="A4065" i="3" s="1"/>
  <c r="E4065" i="3"/>
  <c r="F4064" i="3"/>
  <c r="A4064" i="3" s="1"/>
  <c r="E4064" i="3"/>
  <c r="F4063" i="3"/>
  <c r="A4063" i="3" s="1"/>
  <c r="E4063" i="3"/>
  <c r="F4062" i="3"/>
  <c r="A4062" i="3" s="1"/>
  <c r="E4062" i="3"/>
  <c r="F4061" i="3"/>
  <c r="A4061" i="3" s="1"/>
  <c r="E4061" i="3"/>
  <c r="F4060" i="3"/>
  <c r="A4060" i="3" s="1"/>
  <c r="E4060" i="3"/>
  <c r="F4059" i="3"/>
  <c r="A4059" i="3" s="1"/>
  <c r="E4059" i="3"/>
  <c r="F4058" i="3"/>
  <c r="A4058" i="3" s="1"/>
  <c r="E4058" i="3"/>
  <c r="F4057" i="3"/>
  <c r="A4057" i="3" s="1"/>
  <c r="E4057" i="3"/>
  <c r="F4056" i="3"/>
  <c r="A4056" i="3" s="1"/>
  <c r="E4056" i="3"/>
  <c r="F4055" i="3"/>
  <c r="A4055" i="3" s="1"/>
  <c r="E4055" i="3"/>
  <c r="F4054" i="3"/>
  <c r="A4054" i="3" s="1"/>
  <c r="E4054" i="3"/>
  <c r="F4053" i="3"/>
  <c r="A4053" i="3" s="1"/>
  <c r="E4053" i="3"/>
  <c r="F4052" i="3"/>
  <c r="A4052" i="3" s="1"/>
  <c r="E4052" i="3"/>
  <c r="F4051" i="3"/>
  <c r="A4051" i="3" s="1"/>
  <c r="E4051" i="3"/>
  <c r="F4050" i="3"/>
  <c r="A4050" i="3" s="1"/>
  <c r="E4050" i="3"/>
  <c r="F4049" i="3"/>
  <c r="A4049" i="3" s="1"/>
  <c r="E4049" i="3"/>
  <c r="F4048" i="3"/>
  <c r="A4048" i="3" s="1"/>
  <c r="E4048" i="3"/>
  <c r="F4047" i="3"/>
  <c r="A4047" i="3" s="1"/>
  <c r="E4047" i="3"/>
  <c r="F4046" i="3"/>
  <c r="A4046" i="3" s="1"/>
  <c r="E4046" i="3"/>
  <c r="F4045" i="3"/>
  <c r="A4045" i="3" s="1"/>
  <c r="E4045" i="3"/>
  <c r="F4044" i="3"/>
  <c r="A4044" i="3" s="1"/>
  <c r="E4044" i="3"/>
  <c r="F4043" i="3"/>
  <c r="A4043" i="3" s="1"/>
  <c r="E4043" i="3"/>
  <c r="F4042" i="3"/>
  <c r="A4042" i="3" s="1"/>
  <c r="E4042" i="3"/>
  <c r="F4041" i="3"/>
  <c r="A4041" i="3" s="1"/>
  <c r="E4041" i="3"/>
  <c r="F4040" i="3"/>
  <c r="A4040" i="3" s="1"/>
  <c r="E4040" i="3"/>
  <c r="F4039" i="3"/>
  <c r="A4039" i="3" s="1"/>
  <c r="E4039" i="3"/>
  <c r="F4038" i="3"/>
  <c r="A4038" i="3" s="1"/>
  <c r="E4038" i="3"/>
  <c r="F4037" i="3"/>
  <c r="A4037" i="3" s="1"/>
  <c r="E4037" i="3"/>
  <c r="F4036" i="3"/>
  <c r="A4036" i="3" s="1"/>
  <c r="E4036" i="3"/>
  <c r="F4035" i="3"/>
  <c r="A4035" i="3" s="1"/>
  <c r="E4035" i="3"/>
  <c r="F4034" i="3"/>
  <c r="A4034" i="3" s="1"/>
  <c r="E4034" i="3"/>
  <c r="F4033" i="3"/>
  <c r="A4033" i="3" s="1"/>
  <c r="E4033" i="3"/>
  <c r="F4032" i="3"/>
  <c r="A4032" i="3" s="1"/>
  <c r="E4032" i="3"/>
  <c r="F4031" i="3"/>
  <c r="A4031" i="3" s="1"/>
  <c r="E4031" i="3"/>
  <c r="F4030" i="3"/>
  <c r="A4030" i="3" s="1"/>
  <c r="E4030" i="3"/>
  <c r="F4029" i="3"/>
  <c r="A4029" i="3" s="1"/>
  <c r="E4029" i="3"/>
  <c r="F4028" i="3"/>
  <c r="A4028" i="3" s="1"/>
  <c r="E4028" i="3"/>
  <c r="F4027" i="3"/>
  <c r="A4027" i="3" s="1"/>
  <c r="E4027" i="3"/>
  <c r="F4026" i="3"/>
  <c r="A4026" i="3" s="1"/>
  <c r="E4026" i="3"/>
  <c r="F4025" i="3"/>
  <c r="A4025" i="3" s="1"/>
  <c r="E4025" i="3"/>
  <c r="F4024" i="3"/>
  <c r="A4024" i="3" s="1"/>
  <c r="E4024" i="3"/>
  <c r="F4023" i="3"/>
  <c r="A4023" i="3" s="1"/>
  <c r="E4023" i="3"/>
  <c r="F4022" i="3"/>
  <c r="A4022" i="3" s="1"/>
  <c r="E4022" i="3"/>
  <c r="F4021" i="3"/>
  <c r="A4021" i="3" s="1"/>
  <c r="E4021" i="3"/>
  <c r="F4020" i="3"/>
  <c r="A4020" i="3" s="1"/>
  <c r="E4020" i="3"/>
  <c r="F4019" i="3"/>
  <c r="A4019" i="3" s="1"/>
  <c r="E4019" i="3"/>
  <c r="F4018" i="3"/>
  <c r="A4018" i="3" s="1"/>
  <c r="E4018" i="3"/>
  <c r="F4017" i="3"/>
  <c r="A4017" i="3" s="1"/>
  <c r="E4017" i="3"/>
  <c r="F4016" i="3"/>
  <c r="A4016" i="3" s="1"/>
  <c r="E4016" i="3"/>
  <c r="F4015" i="3"/>
  <c r="A4015" i="3" s="1"/>
  <c r="E4015" i="3"/>
  <c r="F4014" i="3"/>
  <c r="A4014" i="3" s="1"/>
  <c r="E4014" i="3"/>
  <c r="F4013" i="3"/>
  <c r="A4013" i="3" s="1"/>
  <c r="E4013" i="3"/>
  <c r="F4012" i="3"/>
  <c r="A4012" i="3" s="1"/>
  <c r="E4012" i="3"/>
  <c r="F4011" i="3"/>
  <c r="A4011" i="3" s="1"/>
  <c r="E4011" i="3"/>
  <c r="F4010" i="3"/>
  <c r="A4010" i="3" s="1"/>
  <c r="E4010" i="3"/>
  <c r="F4009" i="3"/>
  <c r="A4009" i="3" s="1"/>
  <c r="E4009" i="3"/>
  <c r="F4008" i="3"/>
  <c r="A4008" i="3" s="1"/>
  <c r="E4008" i="3"/>
  <c r="F4007" i="3"/>
  <c r="A4007" i="3" s="1"/>
  <c r="E4007" i="3"/>
  <c r="F4006" i="3"/>
  <c r="A4006" i="3" s="1"/>
  <c r="E4006" i="3"/>
  <c r="F4005" i="3"/>
  <c r="A4005" i="3" s="1"/>
  <c r="E4005" i="3"/>
  <c r="F4004" i="3"/>
  <c r="A4004" i="3" s="1"/>
  <c r="E4004" i="3"/>
  <c r="F4003" i="3"/>
  <c r="A4003" i="3" s="1"/>
  <c r="E4003" i="3"/>
  <c r="F4002" i="3"/>
  <c r="A4002" i="3" s="1"/>
  <c r="E4002" i="3"/>
  <c r="F4001" i="3"/>
  <c r="A4001" i="3" s="1"/>
  <c r="E4001" i="3"/>
  <c r="F4000" i="3"/>
  <c r="A4000" i="3" s="1"/>
  <c r="E4000" i="3"/>
  <c r="F3999" i="3"/>
  <c r="A3999" i="3" s="1"/>
  <c r="E3999" i="3"/>
  <c r="F3998" i="3"/>
  <c r="A3998" i="3" s="1"/>
  <c r="E3998" i="3"/>
  <c r="F3997" i="3"/>
  <c r="A3997" i="3" s="1"/>
  <c r="E3997" i="3"/>
  <c r="F3996" i="3"/>
  <c r="A3996" i="3" s="1"/>
  <c r="E3996" i="3"/>
  <c r="F3995" i="3"/>
  <c r="A3995" i="3" s="1"/>
  <c r="E3995" i="3"/>
  <c r="F3994" i="3"/>
  <c r="A3994" i="3" s="1"/>
  <c r="E3994" i="3"/>
  <c r="F3993" i="3"/>
  <c r="A3993" i="3" s="1"/>
  <c r="E3993" i="3"/>
  <c r="F3992" i="3"/>
  <c r="A3992" i="3" s="1"/>
  <c r="E3992" i="3"/>
  <c r="F3991" i="3"/>
  <c r="A3991" i="3" s="1"/>
  <c r="E3991" i="3"/>
  <c r="F3990" i="3"/>
  <c r="A3990" i="3" s="1"/>
  <c r="E3990" i="3"/>
  <c r="F3989" i="3"/>
  <c r="A3989" i="3" s="1"/>
  <c r="E3989" i="3"/>
  <c r="F3988" i="3"/>
  <c r="A3988" i="3" s="1"/>
  <c r="E3988" i="3"/>
  <c r="F3987" i="3"/>
  <c r="A3987" i="3" s="1"/>
  <c r="E3987" i="3"/>
  <c r="F3986" i="3"/>
  <c r="A3986" i="3" s="1"/>
  <c r="E3986" i="3"/>
  <c r="F3985" i="3"/>
  <c r="A3985" i="3" s="1"/>
  <c r="E3985" i="3"/>
  <c r="F3984" i="3"/>
  <c r="A3984" i="3" s="1"/>
  <c r="E3984" i="3"/>
  <c r="F3983" i="3"/>
  <c r="A3983" i="3" s="1"/>
  <c r="E3983" i="3"/>
  <c r="F3982" i="3"/>
  <c r="A3982" i="3" s="1"/>
  <c r="E3982" i="3"/>
  <c r="F3981" i="3"/>
  <c r="A3981" i="3" s="1"/>
  <c r="E3981" i="3"/>
  <c r="F3980" i="3"/>
  <c r="A3980" i="3" s="1"/>
  <c r="E3980" i="3"/>
  <c r="F3979" i="3"/>
  <c r="A3979" i="3" s="1"/>
  <c r="E3979" i="3"/>
  <c r="F3978" i="3"/>
  <c r="A3978" i="3" s="1"/>
  <c r="E3978" i="3"/>
  <c r="F3977" i="3"/>
  <c r="A3977" i="3" s="1"/>
  <c r="E3977" i="3"/>
  <c r="F3976" i="3"/>
  <c r="A3976" i="3" s="1"/>
  <c r="E3976" i="3"/>
  <c r="F3975" i="3"/>
  <c r="A3975" i="3" s="1"/>
  <c r="E3975" i="3"/>
  <c r="F3974" i="3"/>
  <c r="A3974" i="3" s="1"/>
  <c r="E3974" i="3"/>
  <c r="F3973" i="3"/>
  <c r="A3973" i="3" s="1"/>
  <c r="E3973" i="3"/>
  <c r="F3972" i="3"/>
  <c r="A3972" i="3" s="1"/>
  <c r="E3972" i="3"/>
  <c r="F3971" i="3"/>
  <c r="A3971" i="3" s="1"/>
  <c r="E3971" i="3"/>
  <c r="F3970" i="3"/>
  <c r="A3970" i="3" s="1"/>
  <c r="E3970" i="3"/>
  <c r="F3969" i="3"/>
  <c r="A3969" i="3" s="1"/>
  <c r="E3969" i="3"/>
  <c r="F3968" i="3"/>
  <c r="A3968" i="3" s="1"/>
  <c r="E3968" i="3"/>
  <c r="F3967" i="3"/>
  <c r="A3967" i="3" s="1"/>
  <c r="E3967" i="3"/>
  <c r="F3966" i="3"/>
  <c r="A3966" i="3" s="1"/>
  <c r="E3966" i="3"/>
  <c r="F3965" i="3"/>
  <c r="A3965" i="3" s="1"/>
  <c r="E3965" i="3"/>
  <c r="F3964" i="3"/>
  <c r="A3964" i="3" s="1"/>
  <c r="E3964" i="3"/>
  <c r="F3963" i="3"/>
  <c r="A3963" i="3" s="1"/>
  <c r="E3963" i="3"/>
  <c r="F3962" i="3"/>
  <c r="A3962" i="3" s="1"/>
  <c r="E3962" i="3"/>
  <c r="F3961" i="3"/>
  <c r="A3961" i="3" s="1"/>
  <c r="E3961" i="3"/>
  <c r="F3960" i="3"/>
  <c r="A3960" i="3" s="1"/>
  <c r="E3960" i="3"/>
  <c r="F3959" i="3"/>
  <c r="A3959" i="3" s="1"/>
  <c r="E3959" i="3"/>
  <c r="F3958" i="3"/>
  <c r="A3958" i="3" s="1"/>
  <c r="E3958" i="3"/>
  <c r="F3957" i="3"/>
  <c r="A3957" i="3" s="1"/>
  <c r="E3957" i="3"/>
  <c r="F3956" i="3"/>
  <c r="A3956" i="3" s="1"/>
  <c r="E3956" i="3"/>
  <c r="F3955" i="3"/>
  <c r="A3955" i="3" s="1"/>
  <c r="E3955" i="3"/>
  <c r="F3954" i="3"/>
  <c r="A3954" i="3" s="1"/>
  <c r="E3954" i="3"/>
  <c r="F3953" i="3"/>
  <c r="A3953" i="3" s="1"/>
  <c r="E3953" i="3"/>
  <c r="F3952" i="3"/>
  <c r="A3952" i="3" s="1"/>
  <c r="E3952" i="3"/>
  <c r="F3951" i="3"/>
  <c r="A3951" i="3" s="1"/>
  <c r="E3951" i="3"/>
  <c r="F3950" i="3"/>
  <c r="A3950" i="3" s="1"/>
  <c r="E3950" i="3"/>
  <c r="F3949" i="3"/>
  <c r="A3949" i="3" s="1"/>
  <c r="E3949" i="3"/>
  <c r="F3948" i="3"/>
  <c r="A3948" i="3" s="1"/>
  <c r="E3948" i="3"/>
  <c r="F3947" i="3"/>
  <c r="A3947" i="3" s="1"/>
  <c r="E3947" i="3"/>
  <c r="F3946" i="3"/>
  <c r="A3946" i="3" s="1"/>
  <c r="E3946" i="3"/>
  <c r="F3945" i="3"/>
  <c r="A3945" i="3" s="1"/>
  <c r="E3945" i="3"/>
  <c r="F3944" i="3"/>
  <c r="A3944" i="3" s="1"/>
  <c r="E3944" i="3"/>
  <c r="F3943" i="3"/>
  <c r="A3943" i="3" s="1"/>
  <c r="E3943" i="3"/>
  <c r="F3942" i="3"/>
  <c r="A3942" i="3" s="1"/>
  <c r="E3942" i="3"/>
  <c r="F3941" i="3"/>
  <c r="A3941" i="3" s="1"/>
  <c r="E3941" i="3"/>
  <c r="F3940" i="3"/>
  <c r="A3940" i="3" s="1"/>
  <c r="E3940" i="3"/>
  <c r="F3939" i="3"/>
  <c r="A3939" i="3" s="1"/>
  <c r="E3939" i="3"/>
  <c r="F3938" i="3"/>
  <c r="A3938" i="3" s="1"/>
  <c r="E3938" i="3"/>
  <c r="F3937" i="3"/>
  <c r="A3937" i="3" s="1"/>
  <c r="E3937" i="3"/>
  <c r="F3936" i="3"/>
  <c r="A3936" i="3" s="1"/>
  <c r="E3936" i="3"/>
  <c r="F3935" i="3"/>
  <c r="A3935" i="3" s="1"/>
  <c r="E3935" i="3"/>
  <c r="F3934" i="3"/>
  <c r="A3934" i="3" s="1"/>
  <c r="E3934" i="3"/>
  <c r="F3933" i="3"/>
  <c r="A3933" i="3" s="1"/>
  <c r="E3933" i="3"/>
  <c r="F3932" i="3"/>
  <c r="A3932" i="3" s="1"/>
  <c r="E3932" i="3"/>
  <c r="F3931" i="3"/>
  <c r="A3931" i="3" s="1"/>
  <c r="E3931" i="3"/>
  <c r="F3930" i="3"/>
  <c r="A3930" i="3" s="1"/>
  <c r="E3930" i="3"/>
  <c r="F3929" i="3"/>
  <c r="A3929" i="3" s="1"/>
  <c r="E3929" i="3"/>
  <c r="F3928" i="3"/>
  <c r="A3928" i="3" s="1"/>
  <c r="E3928" i="3"/>
  <c r="F3927" i="3"/>
  <c r="A3927" i="3" s="1"/>
  <c r="E3927" i="3"/>
  <c r="F3926" i="3"/>
  <c r="A3926" i="3" s="1"/>
  <c r="E3926" i="3"/>
  <c r="F3925" i="3"/>
  <c r="A3925" i="3" s="1"/>
  <c r="E3925" i="3"/>
  <c r="F3924" i="3"/>
  <c r="A3924" i="3" s="1"/>
  <c r="E3924" i="3"/>
  <c r="F3923" i="3"/>
  <c r="A3923" i="3" s="1"/>
  <c r="E3923" i="3"/>
  <c r="F3922" i="3"/>
  <c r="A3922" i="3" s="1"/>
  <c r="E3922" i="3"/>
  <c r="F3921" i="3"/>
  <c r="A3921" i="3" s="1"/>
  <c r="E3921" i="3"/>
  <c r="F3920" i="3"/>
  <c r="A3920" i="3" s="1"/>
  <c r="E3920" i="3"/>
  <c r="F3919" i="3"/>
  <c r="A3919" i="3" s="1"/>
  <c r="E3919" i="3"/>
  <c r="F3918" i="3"/>
  <c r="A3918" i="3" s="1"/>
  <c r="E3918" i="3"/>
  <c r="F3917" i="3"/>
  <c r="A3917" i="3" s="1"/>
  <c r="E3917" i="3"/>
  <c r="F3916" i="3"/>
  <c r="A3916" i="3" s="1"/>
  <c r="E3916" i="3"/>
  <c r="F3915" i="3"/>
  <c r="A3915" i="3" s="1"/>
  <c r="E3915" i="3"/>
  <c r="F3914" i="3"/>
  <c r="A3914" i="3" s="1"/>
  <c r="E3914" i="3"/>
  <c r="F3913" i="3"/>
  <c r="A3913" i="3" s="1"/>
  <c r="E3913" i="3"/>
  <c r="F3912" i="3"/>
  <c r="A3912" i="3" s="1"/>
  <c r="E3912" i="3"/>
  <c r="F3911" i="3"/>
  <c r="A3911" i="3" s="1"/>
  <c r="E3911" i="3"/>
  <c r="F3910" i="3"/>
  <c r="A3910" i="3" s="1"/>
  <c r="E3910" i="3"/>
  <c r="F3909" i="3"/>
  <c r="A3909" i="3" s="1"/>
  <c r="E3909" i="3"/>
  <c r="F3908" i="3"/>
  <c r="A3908" i="3" s="1"/>
  <c r="E3908" i="3"/>
  <c r="F3907" i="3"/>
  <c r="A3907" i="3" s="1"/>
  <c r="E3907" i="3"/>
  <c r="F3906" i="3"/>
  <c r="A3906" i="3" s="1"/>
  <c r="E3906" i="3"/>
  <c r="F3905" i="3"/>
  <c r="A3905" i="3" s="1"/>
  <c r="E3905" i="3"/>
  <c r="F3904" i="3"/>
  <c r="A3904" i="3" s="1"/>
  <c r="E3904" i="3"/>
  <c r="F3903" i="3"/>
  <c r="A3903" i="3" s="1"/>
  <c r="E3903" i="3"/>
  <c r="F3902" i="3"/>
  <c r="A3902" i="3" s="1"/>
  <c r="E3902" i="3"/>
  <c r="F3901" i="3"/>
  <c r="A3901" i="3" s="1"/>
  <c r="E3901" i="3"/>
  <c r="F3900" i="3"/>
  <c r="A3900" i="3" s="1"/>
  <c r="E3900" i="3"/>
  <c r="F3899" i="3"/>
  <c r="A3899" i="3" s="1"/>
  <c r="E3899" i="3"/>
  <c r="F3898" i="3"/>
  <c r="A3898" i="3" s="1"/>
  <c r="E3898" i="3"/>
  <c r="F3897" i="3"/>
  <c r="A3897" i="3" s="1"/>
  <c r="E3897" i="3"/>
  <c r="F3896" i="3"/>
  <c r="A3896" i="3" s="1"/>
  <c r="E3896" i="3"/>
  <c r="F3895" i="3"/>
  <c r="A3895" i="3" s="1"/>
  <c r="E3895" i="3"/>
  <c r="F3894" i="3"/>
  <c r="A3894" i="3" s="1"/>
  <c r="E3894" i="3"/>
  <c r="F3893" i="3"/>
  <c r="A3893" i="3" s="1"/>
  <c r="E3893" i="3"/>
  <c r="F3892" i="3"/>
  <c r="A3892" i="3" s="1"/>
  <c r="E3892" i="3"/>
  <c r="F3891" i="3"/>
  <c r="A3891" i="3" s="1"/>
  <c r="E3891" i="3"/>
  <c r="F3890" i="3"/>
  <c r="A3890" i="3" s="1"/>
  <c r="E3890" i="3"/>
  <c r="F3889" i="3"/>
  <c r="A3889" i="3" s="1"/>
  <c r="E3889" i="3"/>
  <c r="F3888" i="3"/>
  <c r="A3888" i="3" s="1"/>
  <c r="E3888" i="3"/>
  <c r="F3887" i="3"/>
  <c r="A3887" i="3" s="1"/>
  <c r="E3887" i="3"/>
  <c r="F3886" i="3"/>
  <c r="A3886" i="3" s="1"/>
  <c r="E3886" i="3"/>
  <c r="F3885" i="3"/>
  <c r="A3885" i="3" s="1"/>
  <c r="E3885" i="3"/>
  <c r="F3884" i="3"/>
  <c r="A3884" i="3" s="1"/>
  <c r="E3884" i="3"/>
  <c r="F3883" i="3"/>
  <c r="A3883" i="3" s="1"/>
  <c r="E3883" i="3"/>
  <c r="F3882" i="3"/>
  <c r="A3882" i="3" s="1"/>
  <c r="E3882" i="3"/>
  <c r="F3881" i="3"/>
  <c r="A3881" i="3" s="1"/>
  <c r="E3881" i="3"/>
  <c r="F3880" i="3"/>
  <c r="A3880" i="3" s="1"/>
  <c r="E3880" i="3"/>
  <c r="F3879" i="3"/>
  <c r="A3879" i="3" s="1"/>
  <c r="E3879" i="3"/>
  <c r="F3878" i="3"/>
  <c r="A3878" i="3" s="1"/>
  <c r="E3878" i="3"/>
  <c r="F3877" i="3"/>
  <c r="A3877" i="3" s="1"/>
  <c r="E3877" i="3"/>
  <c r="F3876" i="3"/>
  <c r="A3876" i="3" s="1"/>
  <c r="E3876" i="3"/>
  <c r="F3875" i="3"/>
  <c r="A3875" i="3" s="1"/>
  <c r="E3875" i="3"/>
  <c r="F3874" i="3"/>
  <c r="A3874" i="3" s="1"/>
  <c r="E3874" i="3"/>
  <c r="F3873" i="3"/>
  <c r="A3873" i="3" s="1"/>
  <c r="E3873" i="3"/>
  <c r="F3872" i="3"/>
  <c r="A3872" i="3" s="1"/>
  <c r="E3872" i="3"/>
  <c r="F3871" i="3"/>
  <c r="A3871" i="3" s="1"/>
  <c r="E3871" i="3"/>
  <c r="F3870" i="3"/>
  <c r="A3870" i="3" s="1"/>
  <c r="E3870" i="3"/>
  <c r="F3869" i="3"/>
  <c r="A3869" i="3" s="1"/>
  <c r="E3869" i="3"/>
  <c r="F3868" i="3"/>
  <c r="A3868" i="3" s="1"/>
  <c r="E3868" i="3"/>
  <c r="F3867" i="3"/>
  <c r="A3867" i="3" s="1"/>
  <c r="E3867" i="3"/>
  <c r="F3866" i="3"/>
  <c r="A3866" i="3" s="1"/>
  <c r="E3866" i="3"/>
  <c r="F3865" i="3"/>
  <c r="A3865" i="3" s="1"/>
  <c r="E3865" i="3"/>
  <c r="F3864" i="3"/>
  <c r="A3864" i="3" s="1"/>
  <c r="E3864" i="3"/>
  <c r="F3863" i="3"/>
  <c r="A3863" i="3" s="1"/>
  <c r="E3863" i="3"/>
  <c r="F3862" i="3"/>
  <c r="A3862" i="3" s="1"/>
  <c r="E3862" i="3"/>
  <c r="F3861" i="3"/>
  <c r="A3861" i="3" s="1"/>
  <c r="E3861" i="3"/>
  <c r="F3860" i="3"/>
  <c r="A3860" i="3" s="1"/>
  <c r="E3860" i="3"/>
  <c r="F3859" i="3"/>
  <c r="A3859" i="3" s="1"/>
  <c r="E3859" i="3"/>
  <c r="F3858" i="3"/>
  <c r="A3858" i="3" s="1"/>
  <c r="E3858" i="3"/>
  <c r="F3857" i="3"/>
  <c r="A3857" i="3" s="1"/>
  <c r="E3857" i="3"/>
  <c r="F3856" i="3"/>
  <c r="A3856" i="3" s="1"/>
  <c r="E3856" i="3"/>
  <c r="F3855" i="3"/>
  <c r="A3855" i="3" s="1"/>
  <c r="E3855" i="3"/>
  <c r="F3854" i="3"/>
  <c r="A3854" i="3" s="1"/>
  <c r="E3854" i="3"/>
  <c r="F3853" i="3"/>
  <c r="A3853" i="3" s="1"/>
  <c r="E3853" i="3"/>
  <c r="F3852" i="3"/>
  <c r="A3852" i="3" s="1"/>
  <c r="E3852" i="3"/>
  <c r="F3851" i="3"/>
  <c r="A3851" i="3" s="1"/>
  <c r="E3851" i="3"/>
  <c r="F3850" i="3"/>
  <c r="A3850" i="3" s="1"/>
  <c r="E3850" i="3"/>
  <c r="F3849" i="3"/>
  <c r="A3849" i="3" s="1"/>
  <c r="E3849" i="3"/>
  <c r="F3848" i="3"/>
  <c r="A3848" i="3" s="1"/>
  <c r="E3848" i="3"/>
  <c r="F3847" i="3"/>
  <c r="A3847" i="3" s="1"/>
  <c r="E3847" i="3"/>
  <c r="F3846" i="3"/>
  <c r="A3846" i="3" s="1"/>
  <c r="E3846" i="3"/>
  <c r="F3845" i="3"/>
  <c r="A3845" i="3" s="1"/>
  <c r="E3845" i="3"/>
  <c r="F3844" i="3"/>
  <c r="A3844" i="3" s="1"/>
  <c r="E3844" i="3"/>
  <c r="F3843" i="3"/>
  <c r="A3843" i="3" s="1"/>
  <c r="E3843" i="3"/>
  <c r="F3842" i="3"/>
  <c r="A3842" i="3" s="1"/>
  <c r="E3842" i="3"/>
  <c r="F3841" i="3"/>
  <c r="A3841" i="3" s="1"/>
  <c r="E3841" i="3"/>
  <c r="F3840" i="3"/>
  <c r="A3840" i="3" s="1"/>
  <c r="E3840" i="3"/>
  <c r="F3839" i="3"/>
  <c r="A3839" i="3" s="1"/>
  <c r="E3839" i="3"/>
  <c r="F3838" i="3"/>
  <c r="A3838" i="3" s="1"/>
  <c r="E3838" i="3"/>
  <c r="F3837" i="3"/>
  <c r="A3837" i="3" s="1"/>
  <c r="E3837" i="3"/>
  <c r="F3836" i="3"/>
  <c r="A3836" i="3" s="1"/>
  <c r="E3836" i="3"/>
  <c r="F3835" i="3"/>
  <c r="A3835" i="3" s="1"/>
  <c r="E3835" i="3"/>
  <c r="F3834" i="3"/>
  <c r="A3834" i="3" s="1"/>
  <c r="E3834" i="3"/>
  <c r="F3833" i="3"/>
  <c r="A3833" i="3" s="1"/>
  <c r="E3833" i="3"/>
  <c r="F3832" i="3"/>
  <c r="A3832" i="3" s="1"/>
  <c r="E3832" i="3"/>
  <c r="F3831" i="3"/>
  <c r="A3831" i="3" s="1"/>
  <c r="E3831" i="3"/>
  <c r="F3830" i="3"/>
  <c r="A3830" i="3" s="1"/>
  <c r="E3830" i="3"/>
  <c r="F3829" i="3"/>
  <c r="A3829" i="3" s="1"/>
  <c r="E3829" i="3"/>
  <c r="F3828" i="3"/>
  <c r="A3828" i="3" s="1"/>
  <c r="E3828" i="3"/>
  <c r="F3827" i="3"/>
  <c r="A3827" i="3" s="1"/>
  <c r="E3827" i="3"/>
  <c r="F3826" i="3"/>
  <c r="A3826" i="3" s="1"/>
  <c r="E3826" i="3"/>
  <c r="F3825" i="3"/>
  <c r="A3825" i="3" s="1"/>
  <c r="E3825" i="3"/>
  <c r="F3824" i="3"/>
  <c r="A3824" i="3" s="1"/>
  <c r="E3824" i="3"/>
  <c r="F3823" i="3"/>
  <c r="A3823" i="3" s="1"/>
  <c r="E3823" i="3"/>
  <c r="F3822" i="3"/>
  <c r="A3822" i="3" s="1"/>
  <c r="E3822" i="3"/>
  <c r="F3821" i="3"/>
  <c r="A3821" i="3" s="1"/>
  <c r="E3821" i="3"/>
  <c r="F3820" i="3"/>
  <c r="A3820" i="3" s="1"/>
  <c r="E3820" i="3"/>
  <c r="F3819" i="3"/>
  <c r="A3819" i="3" s="1"/>
  <c r="E3819" i="3"/>
  <c r="F3818" i="3"/>
  <c r="A3818" i="3" s="1"/>
  <c r="E3818" i="3"/>
  <c r="F3817" i="3"/>
  <c r="A3817" i="3" s="1"/>
  <c r="E3817" i="3"/>
  <c r="F3816" i="3"/>
  <c r="A3816" i="3" s="1"/>
  <c r="E3816" i="3"/>
  <c r="F3815" i="3"/>
  <c r="A3815" i="3" s="1"/>
  <c r="E3815" i="3"/>
  <c r="F3814" i="3"/>
  <c r="A3814" i="3" s="1"/>
  <c r="E3814" i="3"/>
  <c r="F3813" i="3"/>
  <c r="A3813" i="3" s="1"/>
  <c r="E3813" i="3"/>
  <c r="F3812" i="3"/>
  <c r="A3812" i="3" s="1"/>
  <c r="E3812" i="3"/>
  <c r="F3811" i="3"/>
  <c r="A3811" i="3" s="1"/>
  <c r="E3811" i="3"/>
  <c r="F3810" i="3"/>
  <c r="A3810" i="3" s="1"/>
  <c r="E3810" i="3"/>
  <c r="F3809" i="3"/>
  <c r="A3809" i="3" s="1"/>
  <c r="E3809" i="3"/>
  <c r="F3808" i="3"/>
  <c r="A3808" i="3" s="1"/>
  <c r="E3808" i="3"/>
  <c r="F3807" i="3"/>
  <c r="A3807" i="3" s="1"/>
  <c r="E3807" i="3"/>
  <c r="F3806" i="3"/>
  <c r="A3806" i="3" s="1"/>
  <c r="E3806" i="3"/>
  <c r="F3805" i="3"/>
  <c r="A3805" i="3" s="1"/>
  <c r="E3805" i="3"/>
  <c r="F3804" i="3"/>
  <c r="A3804" i="3" s="1"/>
  <c r="E3804" i="3"/>
  <c r="F3803" i="3"/>
  <c r="A3803" i="3" s="1"/>
  <c r="E3803" i="3"/>
  <c r="F3802" i="3"/>
  <c r="A3802" i="3" s="1"/>
  <c r="E3802" i="3"/>
  <c r="F3801" i="3"/>
  <c r="A3801" i="3" s="1"/>
  <c r="E3801" i="3"/>
  <c r="F3800" i="3"/>
  <c r="A3800" i="3" s="1"/>
  <c r="E3800" i="3"/>
  <c r="F3799" i="3"/>
  <c r="A3799" i="3" s="1"/>
  <c r="E3799" i="3"/>
  <c r="F3798" i="3"/>
  <c r="A3798" i="3" s="1"/>
  <c r="E3798" i="3"/>
  <c r="F3797" i="3"/>
  <c r="A3797" i="3" s="1"/>
  <c r="E3797" i="3"/>
  <c r="F3796" i="3"/>
  <c r="A3796" i="3" s="1"/>
  <c r="E3796" i="3"/>
  <c r="F3795" i="3"/>
  <c r="A3795" i="3" s="1"/>
  <c r="E3795" i="3"/>
  <c r="F3794" i="3"/>
  <c r="A3794" i="3" s="1"/>
  <c r="E3794" i="3"/>
  <c r="F3793" i="3"/>
  <c r="A3793" i="3" s="1"/>
  <c r="E3793" i="3"/>
  <c r="F3792" i="3"/>
  <c r="A3792" i="3" s="1"/>
  <c r="E3792" i="3"/>
  <c r="F3791" i="3"/>
  <c r="A3791" i="3" s="1"/>
  <c r="E3791" i="3"/>
  <c r="F3790" i="3"/>
  <c r="A3790" i="3" s="1"/>
  <c r="E3790" i="3"/>
  <c r="F3789" i="3"/>
  <c r="A3789" i="3" s="1"/>
  <c r="E3789" i="3"/>
  <c r="F3788" i="3"/>
  <c r="A3788" i="3" s="1"/>
  <c r="E3788" i="3"/>
  <c r="F3787" i="3"/>
  <c r="A3787" i="3" s="1"/>
  <c r="E3787" i="3"/>
  <c r="F3786" i="3"/>
  <c r="A3786" i="3" s="1"/>
  <c r="E3786" i="3"/>
  <c r="F3785" i="3"/>
  <c r="A3785" i="3" s="1"/>
  <c r="E3785" i="3"/>
  <c r="F3784" i="3"/>
  <c r="A3784" i="3" s="1"/>
  <c r="E3784" i="3"/>
  <c r="F3783" i="3"/>
  <c r="A3783" i="3" s="1"/>
  <c r="E3783" i="3"/>
  <c r="F3782" i="3"/>
  <c r="A3782" i="3" s="1"/>
  <c r="E3782" i="3"/>
  <c r="F3781" i="3"/>
  <c r="A3781" i="3" s="1"/>
  <c r="E3781" i="3"/>
  <c r="F3780" i="3"/>
  <c r="A3780" i="3" s="1"/>
  <c r="E3780" i="3"/>
  <c r="F3779" i="3"/>
  <c r="A3779" i="3" s="1"/>
  <c r="E3779" i="3"/>
  <c r="F3778" i="3"/>
  <c r="A3778" i="3" s="1"/>
  <c r="E3778" i="3"/>
  <c r="F3777" i="3"/>
  <c r="A3777" i="3" s="1"/>
  <c r="E3777" i="3"/>
  <c r="F3776" i="3"/>
  <c r="A3776" i="3" s="1"/>
  <c r="E3776" i="3"/>
  <c r="F3775" i="3"/>
  <c r="A3775" i="3" s="1"/>
  <c r="E3775" i="3"/>
  <c r="F3774" i="3"/>
  <c r="A3774" i="3" s="1"/>
  <c r="E3774" i="3"/>
  <c r="F3773" i="3"/>
  <c r="A3773" i="3" s="1"/>
  <c r="E3773" i="3"/>
  <c r="F3772" i="3"/>
  <c r="A3772" i="3" s="1"/>
  <c r="E3772" i="3"/>
  <c r="F3771" i="3"/>
  <c r="A3771" i="3" s="1"/>
  <c r="E3771" i="3"/>
  <c r="F3770" i="3"/>
  <c r="A3770" i="3" s="1"/>
  <c r="E3770" i="3"/>
  <c r="F3769" i="3"/>
  <c r="A3769" i="3" s="1"/>
  <c r="E3769" i="3"/>
  <c r="F3768" i="3"/>
  <c r="A3768" i="3" s="1"/>
  <c r="E3768" i="3"/>
  <c r="F3767" i="3"/>
  <c r="A3767" i="3" s="1"/>
  <c r="E3767" i="3"/>
  <c r="F3766" i="3"/>
  <c r="A3766" i="3" s="1"/>
  <c r="E3766" i="3"/>
  <c r="F3765" i="3"/>
  <c r="A3765" i="3" s="1"/>
  <c r="E3765" i="3"/>
  <c r="F3764" i="3"/>
  <c r="A3764" i="3" s="1"/>
  <c r="E3764" i="3"/>
  <c r="F3763" i="3"/>
  <c r="A3763" i="3" s="1"/>
  <c r="E3763" i="3"/>
  <c r="F3762" i="3"/>
  <c r="A3762" i="3" s="1"/>
  <c r="E3762" i="3"/>
  <c r="F3761" i="3"/>
  <c r="A3761" i="3" s="1"/>
  <c r="E3761" i="3"/>
  <c r="F3760" i="3"/>
  <c r="A3760" i="3" s="1"/>
  <c r="E3760" i="3"/>
  <c r="F3759" i="3"/>
  <c r="A3759" i="3" s="1"/>
  <c r="E3759" i="3"/>
  <c r="F3758" i="3"/>
  <c r="A3758" i="3" s="1"/>
  <c r="E3758" i="3"/>
  <c r="F3757" i="3"/>
  <c r="A3757" i="3" s="1"/>
  <c r="E3757" i="3"/>
  <c r="F3756" i="3"/>
  <c r="A3756" i="3" s="1"/>
  <c r="E3756" i="3"/>
  <c r="F3755" i="3"/>
  <c r="A3755" i="3" s="1"/>
  <c r="E3755" i="3"/>
  <c r="F3754" i="3"/>
  <c r="A3754" i="3" s="1"/>
  <c r="E3754" i="3"/>
  <c r="F3753" i="3"/>
  <c r="A3753" i="3" s="1"/>
  <c r="E3753" i="3"/>
  <c r="F3752" i="3"/>
  <c r="A3752" i="3" s="1"/>
  <c r="E3752" i="3"/>
  <c r="F3751" i="3"/>
  <c r="A3751" i="3" s="1"/>
  <c r="E3751" i="3"/>
  <c r="F3750" i="3"/>
  <c r="A3750" i="3" s="1"/>
  <c r="E3750" i="3"/>
  <c r="F3749" i="3"/>
  <c r="A3749" i="3" s="1"/>
  <c r="E3749" i="3"/>
  <c r="F3748" i="3"/>
  <c r="A3748" i="3" s="1"/>
  <c r="E3748" i="3"/>
  <c r="F3747" i="3"/>
  <c r="A3747" i="3" s="1"/>
  <c r="E3747" i="3"/>
  <c r="F3746" i="3"/>
  <c r="A3746" i="3" s="1"/>
  <c r="E3746" i="3"/>
  <c r="F3745" i="3"/>
  <c r="A3745" i="3" s="1"/>
  <c r="E3745" i="3"/>
  <c r="F3744" i="3"/>
  <c r="A3744" i="3" s="1"/>
  <c r="E3744" i="3"/>
  <c r="F3743" i="3"/>
  <c r="A3743" i="3" s="1"/>
  <c r="E3743" i="3"/>
  <c r="F3742" i="3"/>
  <c r="A3742" i="3" s="1"/>
  <c r="E3742" i="3"/>
  <c r="F3741" i="3"/>
  <c r="A3741" i="3" s="1"/>
  <c r="E3741" i="3"/>
  <c r="F3740" i="3"/>
  <c r="A3740" i="3" s="1"/>
  <c r="E3740" i="3"/>
  <c r="F3739" i="3"/>
  <c r="A3739" i="3" s="1"/>
  <c r="E3739" i="3"/>
  <c r="F3738" i="3"/>
  <c r="A3738" i="3" s="1"/>
  <c r="E3738" i="3"/>
  <c r="F3737" i="3"/>
  <c r="A3737" i="3" s="1"/>
  <c r="E3737" i="3"/>
  <c r="F3736" i="3"/>
  <c r="A3736" i="3" s="1"/>
  <c r="E3736" i="3"/>
  <c r="F3735" i="3"/>
  <c r="A3735" i="3" s="1"/>
  <c r="E3735" i="3"/>
  <c r="F3734" i="3"/>
  <c r="A3734" i="3" s="1"/>
  <c r="E3734" i="3"/>
  <c r="F3733" i="3"/>
  <c r="A3733" i="3" s="1"/>
  <c r="E3733" i="3"/>
  <c r="F3732" i="3"/>
  <c r="A3732" i="3" s="1"/>
  <c r="E3732" i="3"/>
  <c r="F3731" i="3"/>
  <c r="A3731" i="3" s="1"/>
  <c r="E3731" i="3"/>
  <c r="F3730" i="3"/>
  <c r="A3730" i="3" s="1"/>
  <c r="E3730" i="3"/>
  <c r="F3729" i="3"/>
  <c r="A3729" i="3" s="1"/>
  <c r="E3729" i="3"/>
  <c r="F3728" i="3"/>
  <c r="A3728" i="3" s="1"/>
  <c r="E3728" i="3"/>
  <c r="F3727" i="3"/>
  <c r="A3727" i="3" s="1"/>
  <c r="E3727" i="3"/>
  <c r="F3726" i="3"/>
  <c r="A3726" i="3" s="1"/>
  <c r="E3726" i="3"/>
  <c r="F3725" i="3"/>
  <c r="A3725" i="3" s="1"/>
  <c r="E3725" i="3"/>
  <c r="F3724" i="3"/>
  <c r="A3724" i="3" s="1"/>
  <c r="E3724" i="3"/>
  <c r="F3723" i="3"/>
  <c r="A3723" i="3" s="1"/>
  <c r="E3723" i="3"/>
  <c r="F3722" i="3"/>
  <c r="A3722" i="3" s="1"/>
  <c r="E3722" i="3"/>
  <c r="F3721" i="3"/>
  <c r="A3721" i="3" s="1"/>
  <c r="E3721" i="3"/>
  <c r="F3720" i="3"/>
  <c r="A3720" i="3" s="1"/>
  <c r="E3720" i="3"/>
  <c r="F3719" i="3"/>
  <c r="A3719" i="3" s="1"/>
  <c r="E3719" i="3"/>
  <c r="F3718" i="3"/>
  <c r="A3718" i="3" s="1"/>
  <c r="E3718" i="3"/>
  <c r="F3717" i="3"/>
  <c r="A3717" i="3" s="1"/>
  <c r="E3717" i="3"/>
  <c r="F3716" i="3"/>
  <c r="A3716" i="3" s="1"/>
  <c r="E3716" i="3"/>
  <c r="F3715" i="3"/>
  <c r="A3715" i="3" s="1"/>
  <c r="E3715" i="3"/>
  <c r="F3714" i="3"/>
  <c r="A3714" i="3" s="1"/>
  <c r="E3714" i="3"/>
  <c r="F3713" i="3"/>
  <c r="A3713" i="3" s="1"/>
  <c r="E3713" i="3"/>
  <c r="F3712" i="3"/>
  <c r="A3712" i="3" s="1"/>
  <c r="E3712" i="3"/>
  <c r="F3711" i="3"/>
  <c r="A3711" i="3" s="1"/>
  <c r="E3711" i="3"/>
  <c r="F3710" i="3"/>
  <c r="A3710" i="3" s="1"/>
  <c r="E3710" i="3"/>
  <c r="F3709" i="3"/>
  <c r="A3709" i="3" s="1"/>
  <c r="E3709" i="3"/>
  <c r="F3708" i="3"/>
  <c r="A3708" i="3" s="1"/>
  <c r="E3708" i="3"/>
  <c r="F3707" i="3"/>
  <c r="A3707" i="3" s="1"/>
  <c r="E3707" i="3"/>
  <c r="F3706" i="3"/>
  <c r="A3706" i="3" s="1"/>
  <c r="E3706" i="3"/>
  <c r="F3705" i="3"/>
  <c r="A3705" i="3" s="1"/>
  <c r="E3705" i="3"/>
  <c r="F3704" i="3"/>
  <c r="A3704" i="3" s="1"/>
  <c r="E3704" i="3"/>
  <c r="F3703" i="3"/>
  <c r="A3703" i="3" s="1"/>
  <c r="E3703" i="3"/>
  <c r="F3702" i="3"/>
  <c r="A3702" i="3" s="1"/>
  <c r="E3702" i="3"/>
  <c r="F3701" i="3"/>
  <c r="A3701" i="3" s="1"/>
  <c r="E3701" i="3"/>
  <c r="F3700" i="3"/>
  <c r="A3700" i="3" s="1"/>
  <c r="E3700" i="3"/>
  <c r="F3699" i="3"/>
  <c r="A3699" i="3" s="1"/>
  <c r="E3699" i="3"/>
  <c r="F3698" i="3"/>
  <c r="A3698" i="3" s="1"/>
  <c r="E3698" i="3"/>
  <c r="F3697" i="3"/>
  <c r="A3697" i="3" s="1"/>
  <c r="E3697" i="3"/>
  <c r="F3696" i="3"/>
  <c r="A3696" i="3" s="1"/>
  <c r="E3696" i="3"/>
  <c r="F3695" i="3"/>
  <c r="A3695" i="3" s="1"/>
  <c r="E3695" i="3"/>
  <c r="F3694" i="3"/>
  <c r="A3694" i="3" s="1"/>
  <c r="E3694" i="3"/>
  <c r="F3693" i="3"/>
  <c r="A3693" i="3" s="1"/>
  <c r="E3693" i="3"/>
  <c r="F3692" i="3"/>
  <c r="A3692" i="3" s="1"/>
  <c r="E3692" i="3"/>
  <c r="F3691" i="3"/>
  <c r="A3691" i="3" s="1"/>
  <c r="E3691" i="3"/>
  <c r="F3690" i="3"/>
  <c r="A3690" i="3" s="1"/>
  <c r="E3690" i="3"/>
  <c r="F3689" i="3"/>
  <c r="A3689" i="3" s="1"/>
  <c r="E3689" i="3"/>
  <c r="F3688" i="3"/>
  <c r="A3688" i="3" s="1"/>
  <c r="E3688" i="3"/>
  <c r="F3687" i="3"/>
  <c r="A3687" i="3" s="1"/>
  <c r="E3687" i="3"/>
  <c r="F3686" i="3"/>
  <c r="A3686" i="3" s="1"/>
  <c r="E3686" i="3"/>
  <c r="F3685" i="3"/>
  <c r="A3685" i="3" s="1"/>
  <c r="E3685" i="3"/>
  <c r="F3684" i="3"/>
  <c r="A3684" i="3" s="1"/>
  <c r="E3684" i="3"/>
  <c r="F3683" i="3"/>
  <c r="A3683" i="3" s="1"/>
  <c r="E3683" i="3"/>
  <c r="F3682" i="3"/>
  <c r="A3682" i="3" s="1"/>
  <c r="E3682" i="3"/>
  <c r="F3681" i="3"/>
  <c r="A3681" i="3" s="1"/>
  <c r="E3681" i="3"/>
  <c r="F3680" i="3"/>
  <c r="A3680" i="3" s="1"/>
  <c r="E3680" i="3"/>
  <c r="F3679" i="3"/>
  <c r="A3679" i="3" s="1"/>
  <c r="E3679" i="3"/>
  <c r="F3678" i="3"/>
  <c r="A3678" i="3" s="1"/>
  <c r="E3678" i="3"/>
  <c r="F3677" i="3"/>
  <c r="A3677" i="3" s="1"/>
  <c r="E3677" i="3"/>
  <c r="F3676" i="3"/>
  <c r="A3676" i="3" s="1"/>
  <c r="E3676" i="3"/>
  <c r="F3675" i="3"/>
  <c r="A3675" i="3" s="1"/>
  <c r="E3675" i="3"/>
  <c r="F3674" i="3"/>
  <c r="A3674" i="3" s="1"/>
  <c r="E3674" i="3"/>
  <c r="F3673" i="3"/>
  <c r="A3673" i="3" s="1"/>
  <c r="E3673" i="3"/>
  <c r="F3672" i="3"/>
  <c r="A3672" i="3" s="1"/>
  <c r="E3672" i="3"/>
  <c r="F3671" i="3"/>
  <c r="A3671" i="3" s="1"/>
  <c r="E3671" i="3"/>
  <c r="F3670" i="3"/>
  <c r="A3670" i="3" s="1"/>
  <c r="E3670" i="3"/>
  <c r="F3669" i="3"/>
  <c r="A3669" i="3" s="1"/>
  <c r="E3669" i="3"/>
  <c r="F3668" i="3"/>
  <c r="A3668" i="3" s="1"/>
  <c r="E3668" i="3"/>
  <c r="F3667" i="3"/>
  <c r="A3667" i="3" s="1"/>
  <c r="E3667" i="3"/>
  <c r="F3666" i="3"/>
  <c r="A3666" i="3" s="1"/>
  <c r="E3666" i="3"/>
  <c r="F3665" i="3"/>
  <c r="A3665" i="3" s="1"/>
  <c r="E3665" i="3"/>
  <c r="F3664" i="3"/>
  <c r="A3664" i="3" s="1"/>
  <c r="E3664" i="3"/>
  <c r="F3663" i="3"/>
  <c r="A3663" i="3" s="1"/>
  <c r="E3663" i="3"/>
  <c r="F3662" i="3"/>
  <c r="A3662" i="3" s="1"/>
  <c r="E3662" i="3"/>
  <c r="F3661" i="3"/>
  <c r="A3661" i="3" s="1"/>
  <c r="E3661" i="3"/>
  <c r="F3660" i="3"/>
  <c r="A3660" i="3" s="1"/>
  <c r="E3660" i="3"/>
  <c r="F3659" i="3"/>
  <c r="A3659" i="3" s="1"/>
  <c r="E3659" i="3"/>
  <c r="F3658" i="3"/>
  <c r="A3658" i="3" s="1"/>
  <c r="E3658" i="3"/>
  <c r="F3657" i="3"/>
  <c r="A3657" i="3" s="1"/>
  <c r="E3657" i="3"/>
  <c r="F3656" i="3"/>
  <c r="A3656" i="3" s="1"/>
  <c r="E3656" i="3"/>
  <c r="F3655" i="3"/>
  <c r="A3655" i="3" s="1"/>
  <c r="E3655" i="3"/>
  <c r="F3654" i="3"/>
  <c r="A3654" i="3" s="1"/>
  <c r="E3654" i="3"/>
  <c r="F3653" i="3"/>
  <c r="A3653" i="3" s="1"/>
  <c r="E3653" i="3"/>
  <c r="F3652" i="3"/>
  <c r="A3652" i="3" s="1"/>
  <c r="E3652" i="3"/>
  <c r="F3651" i="3"/>
  <c r="A3651" i="3" s="1"/>
  <c r="E3651" i="3"/>
  <c r="F3650" i="3"/>
  <c r="A3650" i="3" s="1"/>
  <c r="E3650" i="3"/>
  <c r="F3649" i="3"/>
  <c r="A3649" i="3" s="1"/>
  <c r="E3649" i="3"/>
  <c r="F3648" i="3"/>
  <c r="A3648" i="3" s="1"/>
  <c r="E3648" i="3"/>
  <c r="F3647" i="3"/>
  <c r="A3647" i="3" s="1"/>
  <c r="E3647" i="3"/>
  <c r="F3646" i="3"/>
  <c r="A3646" i="3" s="1"/>
  <c r="E3646" i="3"/>
  <c r="F3645" i="3"/>
  <c r="A3645" i="3" s="1"/>
  <c r="E3645" i="3"/>
  <c r="F3644" i="3"/>
  <c r="A3644" i="3" s="1"/>
  <c r="E3644" i="3"/>
  <c r="F3643" i="3"/>
  <c r="A3643" i="3" s="1"/>
  <c r="E3643" i="3"/>
  <c r="F3642" i="3"/>
  <c r="A3642" i="3" s="1"/>
  <c r="E3642" i="3"/>
  <c r="F3641" i="3"/>
  <c r="A3641" i="3" s="1"/>
  <c r="E3641" i="3"/>
  <c r="F3640" i="3"/>
  <c r="A3640" i="3" s="1"/>
  <c r="E3640" i="3"/>
  <c r="F3639" i="3"/>
  <c r="A3639" i="3" s="1"/>
  <c r="E3639" i="3"/>
  <c r="F3638" i="3"/>
  <c r="A3638" i="3" s="1"/>
  <c r="E3638" i="3"/>
  <c r="F3637" i="3"/>
  <c r="A3637" i="3" s="1"/>
  <c r="E3637" i="3"/>
  <c r="F3636" i="3"/>
  <c r="A3636" i="3" s="1"/>
  <c r="E3636" i="3"/>
  <c r="F3635" i="3"/>
  <c r="A3635" i="3" s="1"/>
  <c r="E3635" i="3"/>
  <c r="F3634" i="3"/>
  <c r="A3634" i="3" s="1"/>
  <c r="E3634" i="3"/>
  <c r="F3633" i="3"/>
  <c r="A3633" i="3" s="1"/>
  <c r="E3633" i="3"/>
  <c r="F3632" i="3"/>
  <c r="A3632" i="3" s="1"/>
  <c r="E3632" i="3"/>
  <c r="F3631" i="3"/>
  <c r="A3631" i="3" s="1"/>
  <c r="E3631" i="3"/>
  <c r="F3630" i="3"/>
  <c r="A3630" i="3" s="1"/>
  <c r="E3630" i="3"/>
  <c r="F3629" i="3"/>
  <c r="A3629" i="3" s="1"/>
  <c r="E3629" i="3"/>
  <c r="F3628" i="3"/>
  <c r="A3628" i="3" s="1"/>
  <c r="E3628" i="3"/>
  <c r="F3627" i="3"/>
  <c r="A3627" i="3" s="1"/>
  <c r="E3627" i="3"/>
  <c r="F3626" i="3"/>
  <c r="A3626" i="3" s="1"/>
  <c r="E3626" i="3"/>
  <c r="F3625" i="3"/>
  <c r="A3625" i="3" s="1"/>
  <c r="E3625" i="3"/>
  <c r="F3624" i="3"/>
  <c r="A3624" i="3" s="1"/>
  <c r="E3624" i="3"/>
  <c r="F3623" i="3"/>
  <c r="A3623" i="3" s="1"/>
  <c r="E3623" i="3"/>
  <c r="F3622" i="3"/>
  <c r="A3622" i="3" s="1"/>
  <c r="E3622" i="3"/>
  <c r="F3621" i="3"/>
  <c r="A3621" i="3" s="1"/>
  <c r="E3621" i="3"/>
  <c r="F3620" i="3"/>
  <c r="A3620" i="3" s="1"/>
  <c r="E3620" i="3"/>
  <c r="F3619" i="3"/>
  <c r="A3619" i="3" s="1"/>
  <c r="E3619" i="3"/>
  <c r="F3618" i="3"/>
  <c r="A3618" i="3" s="1"/>
  <c r="E3618" i="3"/>
  <c r="F3617" i="3"/>
  <c r="A3617" i="3" s="1"/>
  <c r="E3617" i="3"/>
  <c r="F3616" i="3"/>
  <c r="A3616" i="3" s="1"/>
  <c r="E3616" i="3"/>
  <c r="F3615" i="3"/>
  <c r="A3615" i="3" s="1"/>
  <c r="E3615" i="3"/>
  <c r="F3614" i="3"/>
  <c r="A3614" i="3" s="1"/>
  <c r="E3614" i="3"/>
  <c r="F3613" i="3"/>
  <c r="A3613" i="3" s="1"/>
  <c r="E3613" i="3"/>
  <c r="F3612" i="3"/>
  <c r="A3612" i="3" s="1"/>
  <c r="E3612" i="3"/>
  <c r="F3611" i="3"/>
  <c r="A3611" i="3" s="1"/>
  <c r="E3611" i="3"/>
  <c r="F3610" i="3"/>
  <c r="A3610" i="3" s="1"/>
  <c r="E3610" i="3"/>
  <c r="F3609" i="3"/>
  <c r="A3609" i="3" s="1"/>
  <c r="E3609" i="3"/>
  <c r="F3608" i="3"/>
  <c r="A3608" i="3" s="1"/>
  <c r="E3608" i="3"/>
  <c r="F3607" i="3"/>
  <c r="A3607" i="3" s="1"/>
  <c r="E3607" i="3"/>
  <c r="F3606" i="3"/>
  <c r="A3606" i="3" s="1"/>
  <c r="E3606" i="3"/>
  <c r="F3605" i="3"/>
  <c r="A3605" i="3" s="1"/>
  <c r="E3605" i="3"/>
  <c r="F3604" i="3"/>
  <c r="A3604" i="3" s="1"/>
  <c r="E3604" i="3"/>
  <c r="F3603" i="3"/>
  <c r="A3603" i="3" s="1"/>
  <c r="E3603" i="3"/>
  <c r="F3602" i="3"/>
  <c r="A3602" i="3" s="1"/>
  <c r="E3602" i="3"/>
  <c r="F3601" i="3"/>
  <c r="A3601" i="3" s="1"/>
  <c r="E3601" i="3"/>
  <c r="F3600" i="3"/>
  <c r="A3600" i="3" s="1"/>
  <c r="E3600" i="3"/>
  <c r="F3599" i="3"/>
  <c r="A3599" i="3" s="1"/>
  <c r="E3599" i="3"/>
  <c r="F3598" i="3"/>
  <c r="A3598" i="3" s="1"/>
  <c r="E3598" i="3"/>
  <c r="F3597" i="3"/>
  <c r="A3597" i="3" s="1"/>
  <c r="E3597" i="3"/>
  <c r="F3596" i="3"/>
  <c r="A3596" i="3" s="1"/>
  <c r="E3596" i="3"/>
  <c r="F3595" i="3"/>
  <c r="A3595" i="3" s="1"/>
  <c r="E3595" i="3"/>
  <c r="F3594" i="3"/>
  <c r="A3594" i="3" s="1"/>
  <c r="E3594" i="3"/>
  <c r="F3593" i="3"/>
  <c r="A3593" i="3" s="1"/>
  <c r="E3593" i="3"/>
  <c r="F3592" i="3"/>
  <c r="A3592" i="3" s="1"/>
  <c r="E3592" i="3"/>
  <c r="F3591" i="3"/>
  <c r="A3591" i="3" s="1"/>
  <c r="E3591" i="3"/>
  <c r="F3590" i="3"/>
  <c r="A3590" i="3" s="1"/>
  <c r="E3590" i="3"/>
  <c r="F3589" i="3"/>
  <c r="A3589" i="3" s="1"/>
  <c r="E3589" i="3"/>
  <c r="F3588" i="3"/>
  <c r="A3588" i="3" s="1"/>
  <c r="E3588" i="3"/>
  <c r="F3587" i="3"/>
  <c r="A3587" i="3" s="1"/>
  <c r="E3587" i="3"/>
  <c r="F3586" i="3"/>
  <c r="A3586" i="3" s="1"/>
  <c r="E3586" i="3"/>
  <c r="F3585" i="3"/>
  <c r="A3585" i="3" s="1"/>
  <c r="E3585" i="3"/>
  <c r="F3584" i="3"/>
  <c r="A3584" i="3" s="1"/>
  <c r="E3584" i="3"/>
  <c r="F3583" i="3"/>
  <c r="A3583" i="3" s="1"/>
  <c r="E3583" i="3"/>
  <c r="F3582" i="3"/>
  <c r="A3582" i="3" s="1"/>
  <c r="E3582" i="3"/>
  <c r="F3581" i="3"/>
  <c r="A3581" i="3" s="1"/>
  <c r="E3581" i="3"/>
  <c r="F3580" i="3"/>
  <c r="A3580" i="3" s="1"/>
  <c r="E3580" i="3"/>
  <c r="F3579" i="3"/>
  <c r="A3579" i="3" s="1"/>
  <c r="E3579" i="3"/>
  <c r="F3578" i="3"/>
  <c r="A3578" i="3" s="1"/>
  <c r="E3578" i="3"/>
  <c r="F3577" i="3"/>
  <c r="A3577" i="3" s="1"/>
  <c r="E3577" i="3"/>
  <c r="F3576" i="3"/>
  <c r="A3576" i="3" s="1"/>
  <c r="E3576" i="3"/>
  <c r="F3575" i="3"/>
  <c r="A3575" i="3" s="1"/>
  <c r="E3575" i="3"/>
  <c r="F3574" i="3"/>
  <c r="A3574" i="3" s="1"/>
  <c r="E3574" i="3"/>
  <c r="F3573" i="3"/>
  <c r="A3573" i="3" s="1"/>
  <c r="E3573" i="3"/>
  <c r="F3572" i="3"/>
  <c r="A3572" i="3" s="1"/>
  <c r="E3572" i="3"/>
  <c r="F3571" i="3"/>
  <c r="A3571" i="3" s="1"/>
  <c r="E3571" i="3"/>
  <c r="F3570" i="3"/>
  <c r="A3570" i="3" s="1"/>
  <c r="E3570" i="3"/>
  <c r="F3569" i="3"/>
  <c r="A3569" i="3" s="1"/>
  <c r="E3569" i="3"/>
  <c r="F3568" i="3"/>
  <c r="A3568" i="3" s="1"/>
  <c r="E3568" i="3"/>
  <c r="F3567" i="3"/>
  <c r="A3567" i="3" s="1"/>
  <c r="E3567" i="3"/>
  <c r="F3566" i="3"/>
  <c r="A3566" i="3" s="1"/>
  <c r="E3566" i="3"/>
  <c r="F3565" i="3"/>
  <c r="A3565" i="3" s="1"/>
  <c r="E3565" i="3"/>
  <c r="F3564" i="3"/>
  <c r="A3564" i="3" s="1"/>
  <c r="E3564" i="3"/>
  <c r="F3563" i="3"/>
  <c r="A3563" i="3" s="1"/>
  <c r="E3563" i="3"/>
  <c r="F3562" i="3"/>
  <c r="A3562" i="3" s="1"/>
  <c r="E3562" i="3"/>
  <c r="F3561" i="3"/>
  <c r="A3561" i="3" s="1"/>
  <c r="E3561" i="3"/>
  <c r="F3560" i="3"/>
  <c r="A3560" i="3" s="1"/>
  <c r="E3560" i="3"/>
  <c r="F3559" i="3"/>
  <c r="A3559" i="3" s="1"/>
  <c r="E3559" i="3"/>
  <c r="F3558" i="3"/>
  <c r="A3558" i="3" s="1"/>
  <c r="E3558" i="3"/>
  <c r="F3557" i="3"/>
  <c r="A3557" i="3" s="1"/>
  <c r="E3557" i="3"/>
  <c r="F3556" i="3"/>
  <c r="A3556" i="3" s="1"/>
  <c r="E3556" i="3"/>
  <c r="F3555" i="3"/>
  <c r="A3555" i="3" s="1"/>
  <c r="E3555" i="3"/>
  <c r="F3554" i="3"/>
  <c r="A3554" i="3" s="1"/>
  <c r="E3554" i="3"/>
  <c r="F3553" i="3"/>
  <c r="A3553" i="3" s="1"/>
  <c r="E3553" i="3"/>
  <c r="F3552" i="3"/>
  <c r="A3552" i="3" s="1"/>
  <c r="E3552" i="3"/>
  <c r="F3551" i="3"/>
  <c r="A3551" i="3" s="1"/>
  <c r="E3551" i="3"/>
  <c r="F3550" i="3"/>
  <c r="A3550" i="3" s="1"/>
  <c r="E3550" i="3"/>
  <c r="F3549" i="3"/>
  <c r="A3549" i="3" s="1"/>
  <c r="E3549" i="3"/>
  <c r="F3548" i="3"/>
  <c r="A3548" i="3" s="1"/>
  <c r="E3548" i="3"/>
  <c r="F3547" i="3"/>
  <c r="A3547" i="3" s="1"/>
  <c r="E3547" i="3"/>
  <c r="F3546" i="3"/>
  <c r="A3546" i="3" s="1"/>
  <c r="E3546" i="3"/>
  <c r="F3545" i="3"/>
  <c r="A3545" i="3" s="1"/>
  <c r="E3545" i="3"/>
  <c r="F3544" i="3"/>
  <c r="A3544" i="3" s="1"/>
  <c r="E3544" i="3"/>
  <c r="F3543" i="3"/>
  <c r="A3543" i="3" s="1"/>
  <c r="E3543" i="3"/>
  <c r="F3542" i="3"/>
  <c r="A3542" i="3" s="1"/>
  <c r="E3542" i="3"/>
  <c r="F3541" i="3"/>
  <c r="A3541" i="3" s="1"/>
  <c r="E3541" i="3"/>
  <c r="F3540" i="3"/>
  <c r="A3540" i="3" s="1"/>
  <c r="E3540" i="3"/>
  <c r="F3539" i="3"/>
  <c r="A3539" i="3" s="1"/>
  <c r="E3539" i="3"/>
  <c r="F3538" i="3"/>
  <c r="A3538" i="3" s="1"/>
  <c r="E3538" i="3"/>
  <c r="F3537" i="3"/>
  <c r="A3537" i="3" s="1"/>
  <c r="E3537" i="3"/>
  <c r="F3536" i="3"/>
  <c r="A3536" i="3" s="1"/>
  <c r="E3536" i="3"/>
  <c r="F3535" i="3"/>
  <c r="A3535" i="3" s="1"/>
  <c r="E3535" i="3"/>
  <c r="F3534" i="3"/>
  <c r="A3534" i="3" s="1"/>
  <c r="E3534" i="3"/>
  <c r="F3533" i="3"/>
  <c r="A3533" i="3" s="1"/>
  <c r="E3533" i="3"/>
  <c r="F3532" i="3"/>
  <c r="A3532" i="3" s="1"/>
  <c r="E3532" i="3"/>
  <c r="F3531" i="3"/>
  <c r="A3531" i="3" s="1"/>
  <c r="E3531" i="3"/>
  <c r="F3530" i="3"/>
  <c r="A3530" i="3" s="1"/>
  <c r="E3530" i="3"/>
  <c r="F3529" i="3"/>
  <c r="A3529" i="3" s="1"/>
  <c r="E3529" i="3"/>
  <c r="F3528" i="3"/>
  <c r="A3528" i="3" s="1"/>
  <c r="E3528" i="3"/>
  <c r="F3527" i="3"/>
  <c r="A3527" i="3" s="1"/>
  <c r="E3527" i="3"/>
  <c r="F3526" i="3"/>
  <c r="A3526" i="3" s="1"/>
  <c r="E3526" i="3"/>
  <c r="F3525" i="3"/>
  <c r="A3525" i="3" s="1"/>
  <c r="E3525" i="3"/>
  <c r="F3524" i="3"/>
  <c r="A3524" i="3" s="1"/>
  <c r="E3524" i="3"/>
  <c r="F3523" i="3"/>
  <c r="A3523" i="3" s="1"/>
  <c r="E3523" i="3"/>
  <c r="F3522" i="3"/>
  <c r="A3522" i="3" s="1"/>
  <c r="E3522" i="3"/>
  <c r="F3521" i="3"/>
  <c r="A3521" i="3" s="1"/>
  <c r="E3521" i="3"/>
  <c r="F3520" i="3"/>
  <c r="A3520" i="3" s="1"/>
  <c r="E3520" i="3"/>
  <c r="F3519" i="3"/>
  <c r="A3519" i="3" s="1"/>
  <c r="E3519" i="3"/>
  <c r="F3518" i="3"/>
  <c r="A3518" i="3" s="1"/>
  <c r="E3518" i="3"/>
  <c r="F3517" i="3"/>
  <c r="A3517" i="3" s="1"/>
  <c r="E3517" i="3"/>
  <c r="F3516" i="3"/>
  <c r="A3516" i="3" s="1"/>
  <c r="E3516" i="3"/>
  <c r="F3515" i="3"/>
  <c r="A3515" i="3" s="1"/>
  <c r="E3515" i="3"/>
  <c r="F3514" i="3"/>
  <c r="A3514" i="3" s="1"/>
  <c r="E3514" i="3"/>
  <c r="F3513" i="3"/>
  <c r="A3513" i="3" s="1"/>
  <c r="E3513" i="3"/>
  <c r="F3512" i="3"/>
  <c r="A3512" i="3" s="1"/>
  <c r="E3512" i="3"/>
  <c r="F3511" i="3"/>
  <c r="A3511" i="3" s="1"/>
  <c r="E3511" i="3"/>
  <c r="F3510" i="3"/>
  <c r="A3510" i="3" s="1"/>
  <c r="E3510" i="3"/>
  <c r="F3509" i="3"/>
  <c r="A3509" i="3" s="1"/>
  <c r="E3509" i="3"/>
  <c r="F3508" i="3"/>
  <c r="A3508" i="3" s="1"/>
  <c r="E3508" i="3"/>
  <c r="F3507" i="3"/>
  <c r="A3507" i="3" s="1"/>
  <c r="E3507" i="3"/>
  <c r="F3506" i="3"/>
  <c r="A3506" i="3" s="1"/>
  <c r="E3506" i="3"/>
  <c r="F3505" i="3"/>
  <c r="A3505" i="3" s="1"/>
  <c r="E3505" i="3"/>
  <c r="F3504" i="3"/>
  <c r="A3504" i="3" s="1"/>
  <c r="E3504" i="3"/>
  <c r="F3503" i="3"/>
  <c r="A3503" i="3" s="1"/>
  <c r="E3503" i="3"/>
  <c r="F3502" i="3"/>
  <c r="A3502" i="3" s="1"/>
  <c r="E3502" i="3"/>
  <c r="F3501" i="3"/>
  <c r="A3501" i="3" s="1"/>
  <c r="E3501" i="3"/>
  <c r="F3500" i="3"/>
  <c r="A3500" i="3" s="1"/>
  <c r="E3500" i="3"/>
  <c r="F3499" i="3"/>
  <c r="A3499" i="3" s="1"/>
  <c r="E3499" i="3"/>
  <c r="F3498" i="3"/>
  <c r="A3498" i="3" s="1"/>
  <c r="E3498" i="3"/>
  <c r="F3497" i="3"/>
  <c r="A3497" i="3" s="1"/>
  <c r="E3497" i="3"/>
  <c r="F3496" i="3"/>
  <c r="A3496" i="3" s="1"/>
  <c r="E3496" i="3"/>
  <c r="F3495" i="3"/>
  <c r="A3495" i="3" s="1"/>
  <c r="E3495" i="3"/>
  <c r="F3494" i="3"/>
  <c r="A3494" i="3" s="1"/>
  <c r="E3494" i="3"/>
  <c r="F3493" i="3"/>
  <c r="A3493" i="3" s="1"/>
  <c r="E3493" i="3"/>
  <c r="F3492" i="3"/>
  <c r="A3492" i="3" s="1"/>
  <c r="E3492" i="3"/>
  <c r="F3491" i="3"/>
  <c r="A3491" i="3" s="1"/>
  <c r="E3491" i="3"/>
  <c r="F3490" i="3"/>
  <c r="A3490" i="3" s="1"/>
  <c r="E3490" i="3"/>
  <c r="F3489" i="3"/>
  <c r="A3489" i="3" s="1"/>
  <c r="E3489" i="3"/>
  <c r="F3488" i="3"/>
  <c r="A3488" i="3" s="1"/>
  <c r="E3488" i="3"/>
  <c r="F3487" i="3"/>
  <c r="A3487" i="3" s="1"/>
  <c r="E3487" i="3"/>
  <c r="F3486" i="3"/>
  <c r="A3486" i="3" s="1"/>
  <c r="E3486" i="3"/>
  <c r="F3485" i="3"/>
  <c r="A3485" i="3" s="1"/>
  <c r="E3485" i="3"/>
  <c r="F3484" i="3"/>
  <c r="A3484" i="3" s="1"/>
  <c r="E3484" i="3"/>
  <c r="F3483" i="3"/>
  <c r="A3483" i="3" s="1"/>
  <c r="E3483" i="3"/>
  <c r="F3482" i="3"/>
  <c r="A3482" i="3" s="1"/>
  <c r="E3482" i="3"/>
  <c r="F3481" i="3"/>
  <c r="A3481" i="3" s="1"/>
  <c r="E3481" i="3"/>
  <c r="F3480" i="3"/>
  <c r="A3480" i="3" s="1"/>
  <c r="E3480" i="3"/>
  <c r="F3479" i="3"/>
  <c r="A3479" i="3" s="1"/>
  <c r="E3479" i="3"/>
  <c r="F3478" i="3"/>
  <c r="A3478" i="3" s="1"/>
  <c r="E3478" i="3"/>
  <c r="F3477" i="3"/>
  <c r="A3477" i="3" s="1"/>
  <c r="E3477" i="3"/>
  <c r="F3476" i="3"/>
  <c r="A3476" i="3" s="1"/>
  <c r="E3476" i="3"/>
  <c r="F3475" i="3"/>
  <c r="A3475" i="3" s="1"/>
  <c r="E3475" i="3"/>
  <c r="F3474" i="3"/>
  <c r="A3474" i="3" s="1"/>
  <c r="E3474" i="3"/>
  <c r="F3473" i="3"/>
  <c r="A3473" i="3" s="1"/>
  <c r="E3473" i="3"/>
  <c r="F3472" i="3"/>
  <c r="A3472" i="3" s="1"/>
  <c r="E3472" i="3"/>
  <c r="F3471" i="3"/>
  <c r="A3471" i="3" s="1"/>
  <c r="E3471" i="3"/>
  <c r="F3470" i="3"/>
  <c r="A3470" i="3" s="1"/>
  <c r="E3470" i="3"/>
  <c r="F3469" i="3"/>
  <c r="A3469" i="3" s="1"/>
  <c r="E3469" i="3"/>
  <c r="F3468" i="3"/>
  <c r="A3468" i="3" s="1"/>
  <c r="E3468" i="3"/>
  <c r="F3467" i="3"/>
  <c r="A3467" i="3" s="1"/>
  <c r="E3467" i="3"/>
  <c r="F3466" i="3"/>
  <c r="A3466" i="3" s="1"/>
  <c r="E3466" i="3"/>
  <c r="F3465" i="3"/>
  <c r="A3465" i="3" s="1"/>
  <c r="E3465" i="3"/>
  <c r="F3464" i="3"/>
  <c r="A3464" i="3" s="1"/>
  <c r="E3464" i="3"/>
  <c r="F3463" i="3"/>
  <c r="A3463" i="3" s="1"/>
  <c r="E3463" i="3"/>
  <c r="F3462" i="3"/>
  <c r="A3462" i="3" s="1"/>
  <c r="E3462" i="3"/>
  <c r="F3461" i="3"/>
  <c r="A3461" i="3" s="1"/>
  <c r="E3461" i="3"/>
  <c r="F3460" i="3"/>
  <c r="A3460" i="3" s="1"/>
  <c r="E3460" i="3"/>
  <c r="F3459" i="3"/>
  <c r="A3459" i="3" s="1"/>
  <c r="E3459" i="3"/>
  <c r="F3458" i="3"/>
  <c r="A3458" i="3" s="1"/>
  <c r="E3458" i="3"/>
  <c r="F3457" i="3"/>
  <c r="A3457" i="3" s="1"/>
  <c r="E3457" i="3"/>
  <c r="F3456" i="3"/>
  <c r="A3456" i="3" s="1"/>
  <c r="E3456" i="3"/>
  <c r="F3455" i="3"/>
  <c r="A3455" i="3" s="1"/>
  <c r="E3455" i="3"/>
  <c r="F3454" i="3"/>
  <c r="A3454" i="3" s="1"/>
  <c r="E3454" i="3"/>
  <c r="F3453" i="3"/>
  <c r="A3453" i="3" s="1"/>
  <c r="E3453" i="3"/>
  <c r="F3452" i="3"/>
  <c r="A3452" i="3" s="1"/>
  <c r="E3452" i="3"/>
  <c r="F3451" i="3"/>
  <c r="A3451" i="3" s="1"/>
  <c r="E3451" i="3"/>
  <c r="F3450" i="3"/>
  <c r="A3450" i="3" s="1"/>
  <c r="E3450" i="3"/>
  <c r="F3449" i="3"/>
  <c r="A3449" i="3" s="1"/>
  <c r="E3449" i="3"/>
  <c r="F3448" i="3"/>
  <c r="A3448" i="3" s="1"/>
  <c r="E3448" i="3"/>
  <c r="F3447" i="3"/>
  <c r="A3447" i="3" s="1"/>
  <c r="E3447" i="3"/>
  <c r="F3446" i="3"/>
  <c r="A3446" i="3" s="1"/>
  <c r="E3446" i="3"/>
  <c r="F3445" i="3"/>
  <c r="A3445" i="3" s="1"/>
  <c r="E3445" i="3"/>
  <c r="F3444" i="3"/>
  <c r="A3444" i="3" s="1"/>
  <c r="E3444" i="3"/>
  <c r="F3443" i="3"/>
  <c r="A3443" i="3" s="1"/>
  <c r="E3443" i="3"/>
  <c r="F3442" i="3"/>
  <c r="A3442" i="3" s="1"/>
  <c r="E3442" i="3"/>
  <c r="F3441" i="3"/>
  <c r="A3441" i="3" s="1"/>
  <c r="E3441" i="3"/>
  <c r="F3440" i="3"/>
  <c r="A3440" i="3" s="1"/>
  <c r="E3440" i="3"/>
  <c r="F3439" i="3"/>
  <c r="A3439" i="3" s="1"/>
  <c r="E3439" i="3"/>
  <c r="F3438" i="3"/>
  <c r="A3438" i="3" s="1"/>
  <c r="E3438" i="3"/>
  <c r="F3437" i="3"/>
  <c r="A3437" i="3" s="1"/>
  <c r="E3437" i="3"/>
  <c r="F3436" i="3"/>
  <c r="A3436" i="3" s="1"/>
  <c r="E3436" i="3"/>
  <c r="F3435" i="3"/>
  <c r="A3435" i="3" s="1"/>
  <c r="E3435" i="3"/>
  <c r="F3434" i="3"/>
  <c r="A3434" i="3" s="1"/>
  <c r="E3434" i="3"/>
  <c r="F3433" i="3"/>
  <c r="A3433" i="3" s="1"/>
  <c r="E3433" i="3"/>
  <c r="F3432" i="3"/>
  <c r="A3432" i="3" s="1"/>
  <c r="E3432" i="3"/>
  <c r="F3431" i="3"/>
  <c r="A3431" i="3" s="1"/>
  <c r="E3431" i="3"/>
  <c r="F3430" i="3"/>
  <c r="A3430" i="3" s="1"/>
  <c r="E3430" i="3"/>
  <c r="F3429" i="3"/>
  <c r="A3429" i="3" s="1"/>
  <c r="E3429" i="3"/>
  <c r="F3428" i="3"/>
  <c r="A3428" i="3" s="1"/>
  <c r="E3428" i="3"/>
  <c r="F3427" i="3"/>
  <c r="A3427" i="3" s="1"/>
  <c r="E3427" i="3"/>
  <c r="F3426" i="3"/>
  <c r="A3426" i="3" s="1"/>
  <c r="E3426" i="3"/>
  <c r="F3425" i="3"/>
  <c r="A3425" i="3" s="1"/>
  <c r="E3425" i="3"/>
  <c r="F3424" i="3"/>
  <c r="A3424" i="3" s="1"/>
  <c r="E3424" i="3"/>
  <c r="F3423" i="3"/>
  <c r="A3423" i="3" s="1"/>
  <c r="E3423" i="3"/>
  <c r="F3422" i="3"/>
  <c r="A3422" i="3" s="1"/>
  <c r="E3422" i="3"/>
  <c r="F3421" i="3"/>
  <c r="A3421" i="3" s="1"/>
  <c r="E3421" i="3"/>
  <c r="F3420" i="3"/>
  <c r="A3420" i="3" s="1"/>
  <c r="E3420" i="3"/>
  <c r="F3419" i="3"/>
  <c r="A3419" i="3" s="1"/>
  <c r="E3419" i="3"/>
  <c r="F3418" i="3"/>
  <c r="A3418" i="3" s="1"/>
  <c r="E3418" i="3"/>
  <c r="F3417" i="3"/>
  <c r="A3417" i="3" s="1"/>
  <c r="E3417" i="3"/>
  <c r="F3416" i="3"/>
  <c r="A3416" i="3" s="1"/>
  <c r="E3416" i="3"/>
  <c r="F3415" i="3"/>
  <c r="A3415" i="3" s="1"/>
  <c r="E3415" i="3"/>
  <c r="F3414" i="3"/>
  <c r="A3414" i="3" s="1"/>
  <c r="E3414" i="3"/>
  <c r="F3413" i="3"/>
  <c r="A3413" i="3" s="1"/>
  <c r="E3413" i="3"/>
  <c r="F3412" i="3"/>
  <c r="A3412" i="3" s="1"/>
  <c r="E3412" i="3"/>
  <c r="F3411" i="3"/>
  <c r="A3411" i="3" s="1"/>
  <c r="E3411" i="3"/>
  <c r="F3410" i="3"/>
  <c r="A3410" i="3" s="1"/>
  <c r="E3410" i="3"/>
  <c r="F3409" i="3"/>
  <c r="A3409" i="3" s="1"/>
  <c r="E3409" i="3"/>
  <c r="F3408" i="3"/>
  <c r="A3408" i="3" s="1"/>
  <c r="E3408" i="3"/>
  <c r="F3407" i="3"/>
  <c r="A3407" i="3" s="1"/>
  <c r="E3407" i="3"/>
  <c r="F3406" i="3"/>
  <c r="A3406" i="3" s="1"/>
  <c r="E3406" i="3"/>
  <c r="F3405" i="3"/>
  <c r="A3405" i="3" s="1"/>
  <c r="E3405" i="3"/>
  <c r="F3404" i="3"/>
  <c r="A3404" i="3" s="1"/>
  <c r="E3404" i="3"/>
  <c r="F3403" i="3"/>
  <c r="A3403" i="3" s="1"/>
  <c r="E3403" i="3"/>
  <c r="F3402" i="3"/>
  <c r="A3402" i="3" s="1"/>
  <c r="E3402" i="3"/>
  <c r="F3401" i="3"/>
  <c r="A3401" i="3" s="1"/>
  <c r="E3401" i="3"/>
  <c r="F3400" i="3"/>
  <c r="A3400" i="3" s="1"/>
  <c r="E3400" i="3"/>
  <c r="F3399" i="3"/>
  <c r="A3399" i="3" s="1"/>
  <c r="E3399" i="3"/>
  <c r="F3398" i="3"/>
  <c r="A3398" i="3" s="1"/>
  <c r="E3398" i="3"/>
  <c r="F3397" i="3"/>
  <c r="A3397" i="3" s="1"/>
  <c r="E3397" i="3"/>
  <c r="F3396" i="3"/>
  <c r="A3396" i="3" s="1"/>
  <c r="E3396" i="3"/>
  <c r="F3395" i="3"/>
  <c r="A3395" i="3" s="1"/>
  <c r="E3395" i="3"/>
  <c r="F3394" i="3"/>
  <c r="A3394" i="3" s="1"/>
  <c r="E3394" i="3"/>
  <c r="F3393" i="3"/>
  <c r="A3393" i="3" s="1"/>
  <c r="E3393" i="3"/>
  <c r="F3392" i="3"/>
  <c r="A3392" i="3" s="1"/>
  <c r="E3392" i="3"/>
  <c r="F3391" i="3"/>
  <c r="A3391" i="3" s="1"/>
  <c r="E3391" i="3"/>
  <c r="F3390" i="3"/>
  <c r="A3390" i="3" s="1"/>
  <c r="E3390" i="3"/>
  <c r="F3389" i="3"/>
  <c r="A3389" i="3" s="1"/>
  <c r="E3389" i="3"/>
  <c r="F3388" i="3"/>
  <c r="A3388" i="3" s="1"/>
  <c r="E3388" i="3"/>
  <c r="F3387" i="3"/>
  <c r="A3387" i="3" s="1"/>
  <c r="E3387" i="3"/>
  <c r="F3386" i="3"/>
  <c r="A3386" i="3" s="1"/>
  <c r="E3386" i="3"/>
  <c r="F3385" i="3"/>
  <c r="A3385" i="3" s="1"/>
  <c r="E3385" i="3"/>
  <c r="F3384" i="3"/>
  <c r="A3384" i="3" s="1"/>
  <c r="E3384" i="3"/>
  <c r="F3383" i="3"/>
  <c r="A3383" i="3" s="1"/>
  <c r="E3383" i="3"/>
  <c r="F3382" i="3"/>
  <c r="A3382" i="3" s="1"/>
  <c r="E3382" i="3"/>
  <c r="F3381" i="3"/>
  <c r="A3381" i="3" s="1"/>
  <c r="E3381" i="3"/>
  <c r="F3380" i="3"/>
  <c r="A3380" i="3" s="1"/>
  <c r="E3380" i="3"/>
  <c r="F3379" i="3"/>
  <c r="A3379" i="3" s="1"/>
  <c r="E3379" i="3"/>
  <c r="F3378" i="3"/>
  <c r="A3378" i="3" s="1"/>
  <c r="E3378" i="3"/>
  <c r="F3377" i="3"/>
  <c r="A3377" i="3" s="1"/>
  <c r="E3377" i="3"/>
  <c r="F3376" i="3"/>
  <c r="A3376" i="3" s="1"/>
  <c r="E3376" i="3"/>
  <c r="F3375" i="3"/>
  <c r="A3375" i="3" s="1"/>
  <c r="E3375" i="3"/>
  <c r="F3374" i="3"/>
  <c r="A3374" i="3" s="1"/>
  <c r="E3374" i="3"/>
  <c r="F3373" i="3"/>
  <c r="A3373" i="3" s="1"/>
  <c r="E3373" i="3"/>
  <c r="F3372" i="3"/>
  <c r="A3372" i="3" s="1"/>
  <c r="E3372" i="3"/>
  <c r="F3371" i="3"/>
  <c r="A3371" i="3" s="1"/>
  <c r="E3371" i="3"/>
  <c r="F3370" i="3"/>
  <c r="A3370" i="3" s="1"/>
  <c r="E3370" i="3"/>
  <c r="F3369" i="3"/>
  <c r="A3369" i="3" s="1"/>
  <c r="E3369" i="3"/>
  <c r="F3368" i="3"/>
  <c r="A3368" i="3" s="1"/>
  <c r="E3368" i="3"/>
  <c r="F3367" i="3"/>
  <c r="A3367" i="3" s="1"/>
  <c r="E3367" i="3"/>
  <c r="F3366" i="3"/>
  <c r="A3366" i="3" s="1"/>
  <c r="E3366" i="3"/>
  <c r="F3365" i="3"/>
  <c r="A3365" i="3" s="1"/>
  <c r="E3365" i="3"/>
  <c r="F3364" i="3"/>
  <c r="A3364" i="3" s="1"/>
  <c r="E3364" i="3"/>
  <c r="F3363" i="3"/>
  <c r="A3363" i="3" s="1"/>
  <c r="E3363" i="3"/>
  <c r="F3362" i="3"/>
  <c r="A3362" i="3" s="1"/>
  <c r="E3362" i="3"/>
  <c r="F3361" i="3"/>
  <c r="A3361" i="3" s="1"/>
  <c r="E3361" i="3"/>
  <c r="F3360" i="3"/>
  <c r="A3360" i="3" s="1"/>
  <c r="E3360" i="3"/>
  <c r="F3359" i="3"/>
  <c r="A3359" i="3" s="1"/>
  <c r="E3359" i="3"/>
  <c r="F3358" i="3"/>
  <c r="A3358" i="3" s="1"/>
  <c r="E3358" i="3"/>
  <c r="F3357" i="3"/>
  <c r="A3357" i="3" s="1"/>
  <c r="E3357" i="3"/>
  <c r="F3356" i="3"/>
  <c r="A3356" i="3" s="1"/>
  <c r="E3356" i="3"/>
  <c r="F3355" i="3"/>
  <c r="A3355" i="3" s="1"/>
  <c r="E3355" i="3"/>
  <c r="F3354" i="3"/>
  <c r="A3354" i="3" s="1"/>
  <c r="E3354" i="3"/>
  <c r="F3353" i="3"/>
  <c r="A3353" i="3" s="1"/>
  <c r="E3353" i="3"/>
  <c r="F3352" i="3"/>
  <c r="A3352" i="3" s="1"/>
  <c r="E3352" i="3"/>
  <c r="F3351" i="3"/>
  <c r="A3351" i="3" s="1"/>
  <c r="E3351" i="3"/>
  <c r="F3350" i="3"/>
  <c r="A3350" i="3" s="1"/>
  <c r="E3350" i="3"/>
  <c r="F3349" i="3"/>
  <c r="A3349" i="3" s="1"/>
  <c r="E3349" i="3"/>
  <c r="F3348" i="3"/>
  <c r="A3348" i="3" s="1"/>
  <c r="E3348" i="3"/>
  <c r="F3347" i="3"/>
  <c r="A3347" i="3" s="1"/>
  <c r="E3347" i="3"/>
  <c r="F3346" i="3"/>
  <c r="A3346" i="3" s="1"/>
  <c r="E3346" i="3"/>
  <c r="F3345" i="3"/>
  <c r="A3345" i="3" s="1"/>
  <c r="E3345" i="3"/>
  <c r="F3344" i="3"/>
  <c r="A3344" i="3" s="1"/>
  <c r="E3344" i="3"/>
  <c r="F3343" i="3"/>
  <c r="A3343" i="3" s="1"/>
  <c r="E3343" i="3"/>
  <c r="F3342" i="3"/>
  <c r="A3342" i="3" s="1"/>
  <c r="E3342" i="3"/>
  <c r="F3341" i="3"/>
  <c r="A3341" i="3" s="1"/>
  <c r="E3341" i="3"/>
  <c r="F3340" i="3"/>
  <c r="A3340" i="3" s="1"/>
  <c r="E3340" i="3"/>
  <c r="F3339" i="3"/>
  <c r="A3339" i="3" s="1"/>
  <c r="E3339" i="3"/>
  <c r="F3338" i="3"/>
  <c r="A3338" i="3" s="1"/>
  <c r="E3338" i="3"/>
  <c r="F3337" i="3"/>
  <c r="A3337" i="3" s="1"/>
  <c r="E3337" i="3"/>
  <c r="F3336" i="3"/>
  <c r="A3336" i="3" s="1"/>
  <c r="E3336" i="3"/>
  <c r="F3335" i="3"/>
  <c r="A3335" i="3" s="1"/>
  <c r="E3335" i="3"/>
  <c r="F3334" i="3"/>
  <c r="A3334" i="3" s="1"/>
  <c r="E3334" i="3"/>
  <c r="F3333" i="3"/>
  <c r="A3333" i="3" s="1"/>
  <c r="E3333" i="3"/>
  <c r="F3332" i="3"/>
  <c r="A3332" i="3" s="1"/>
  <c r="E3332" i="3"/>
  <c r="F3331" i="3"/>
  <c r="A3331" i="3" s="1"/>
  <c r="E3331" i="3"/>
  <c r="F3330" i="3"/>
  <c r="A3330" i="3" s="1"/>
  <c r="E3330" i="3"/>
  <c r="F3329" i="3"/>
  <c r="A3329" i="3" s="1"/>
  <c r="E3329" i="3"/>
  <c r="F3328" i="3"/>
  <c r="A3328" i="3" s="1"/>
  <c r="E3328" i="3"/>
  <c r="F3327" i="3"/>
  <c r="A3327" i="3" s="1"/>
  <c r="E3327" i="3"/>
  <c r="F3326" i="3"/>
  <c r="A3326" i="3" s="1"/>
  <c r="E3326" i="3"/>
  <c r="F3325" i="3"/>
  <c r="A3325" i="3" s="1"/>
  <c r="E3325" i="3"/>
  <c r="F3324" i="3"/>
  <c r="A3324" i="3" s="1"/>
  <c r="E3324" i="3"/>
  <c r="F3323" i="3"/>
  <c r="A3323" i="3" s="1"/>
  <c r="E3323" i="3"/>
  <c r="F3322" i="3"/>
  <c r="A3322" i="3" s="1"/>
  <c r="E3322" i="3"/>
  <c r="F3321" i="3"/>
  <c r="A3321" i="3" s="1"/>
  <c r="E3321" i="3"/>
  <c r="F3320" i="3"/>
  <c r="A3320" i="3" s="1"/>
  <c r="E3320" i="3"/>
  <c r="F3319" i="3"/>
  <c r="A3319" i="3" s="1"/>
  <c r="E3319" i="3"/>
  <c r="F3318" i="3"/>
  <c r="A3318" i="3" s="1"/>
  <c r="E3318" i="3"/>
  <c r="F3317" i="3"/>
  <c r="A3317" i="3" s="1"/>
  <c r="E3317" i="3"/>
  <c r="F3316" i="3"/>
  <c r="A3316" i="3" s="1"/>
  <c r="E3316" i="3"/>
  <c r="F3315" i="3"/>
  <c r="A3315" i="3" s="1"/>
  <c r="E3315" i="3"/>
  <c r="F3314" i="3"/>
  <c r="A3314" i="3" s="1"/>
  <c r="E3314" i="3"/>
  <c r="F3313" i="3"/>
  <c r="A3313" i="3" s="1"/>
  <c r="E3313" i="3"/>
  <c r="F3312" i="3"/>
  <c r="A3312" i="3" s="1"/>
  <c r="E3312" i="3"/>
  <c r="F3311" i="3"/>
  <c r="A3311" i="3" s="1"/>
  <c r="E3311" i="3"/>
  <c r="F3310" i="3"/>
  <c r="A3310" i="3" s="1"/>
  <c r="E3310" i="3"/>
  <c r="F3309" i="3"/>
  <c r="A3309" i="3" s="1"/>
  <c r="E3309" i="3"/>
  <c r="F3308" i="3"/>
  <c r="A3308" i="3" s="1"/>
  <c r="E3308" i="3"/>
  <c r="F3307" i="3"/>
  <c r="A3307" i="3" s="1"/>
  <c r="E3307" i="3"/>
  <c r="F3306" i="3"/>
  <c r="A3306" i="3" s="1"/>
  <c r="E3306" i="3"/>
  <c r="F3305" i="3"/>
  <c r="A3305" i="3" s="1"/>
  <c r="E3305" i="3"/>
  <c r="F3304" i="3"/>
  <c r="A3304" i="3" s="1"/>
  <c r="E3304" i="3"/>
  <c r="F3303" i="3"/>
  <c r="A3303" i="3" s="1"/>
  <c r="E3303" i="3"/>
  <c r="F3302" i="3"/>
  <c r="A3302" i="3" s="1"/>
  <c r="E3302" i="3"/>
  <c r="F3301" i="3"/>
  <c r="A3301" i="3" s="1"/>
  <c r="E3301" i="3"/>
  <c r="F3300" i="3"/>
  <c r="A3300" i="3" s="1"/>
  <c r="E3300" i="3"/>
  <c r="F3299" i="3"/>
  <c r="A3299" i="3" s="1"/>
  <c r="E3299" i="3"/>
  <c r="F3298" i="3"/>
  <c r="A3298" i="3" s="1"/>
  <c r="E3298" i="3"/>
  <c r="F3297" i="3"/>
  <c r="A3297" i="3" s="1"/>
  <c r="E3297" i="3"/>
  <c r="F3296" i="3"/>
  <c r="A3296" i="3" s="1"/>
  <c r="E3296" i="3"/>
  <c r="F3295" i="3"/>
  <c r="A3295" i="3" s="1"/>
  <c r="E3295" i="3"/>
  <c r="F3294" i="3"/>
  <c r="A3294" i="3" s="1"/>
  <c r="E3294" i="3"/>
  <c r="F3293" i="3"/>
  <c r="A3293" i="3" s="1"/>
  <c r="E3293" i="3"/>
  <c r="F3292" i="3"/>
  <c r="A3292" i="3" s="1"/>
  <c r="E3292" i="3"/>
  <c r="F3291" i="3"/>
  <c r="A3291" i="3" s="1"/>
  <c r="E3291" i="3"/>
  <c r="F3290" i="3"/>
  <c r="A3290" i="3" s="1"/>
  <c r="E3290" i="3"/>
  <c r="F3289" i="3"/>
  <c r="A3289" i="3" s="1"/>
  <c r="E3289" i="3"/>
  <c r="F3288" i="3"/>
  <c r="A3288" i="3" s="1"/>
  <c r="E3288" i="3"/>
  <c r="F3287" i="3"/>
  <c r="A3287" i="3" s="1"/>
  <c r="E3287" i="3"/>
  <c r="F3286" i="3"/>
  <c r="A3286" i="3" s="1"/>
  <c r="E3286" i="3"/>
  <c r="F3285" i="3"/>
  <c r="A3285" i="3" s="1"/>
  <c r="E3285" i="3"/>
  <c r="F3284" i="3"/>
  <c r="A3284" i="3" s="1"/>
  <c r="E3284" i="3"/>
  <c r="F3283" i="3"/>
  <c r="A3283" i="3" s="1"/>
  <c r="E3283" i="3"/>
  <c r="F3282" i="3"/>
  <c r="A3282" i="3" s="1"/>
  <c r="E3282" i="3"/>
  <c r="F3281" i="3"/>
  <c r="A3281" i="3" s="1"/>
  <c r="E3281" i="3"/>
  <c r="F3280" i="3"/>
  <c r="A3280" i="3" s="1"/>
  <c r="E3280" i="3"/>
  <c r="F3279" i="3"/>
  <c r="A3279" i="3" s="1"/>
  <c r="E3279" i="3"/>
  <c r="F3278" i="3"/>
  <c r="A3278" i="3" s="1"/>
  <c r="E3278" i="3"/>
  <c r="F3277" i="3"/>
  <c r="A3277" i="3" s="1"/>
  <c r="E3277" i="3"/>
  <c r="F3276" i="3"/>
  <c r="A3276" i="3" s="1"/>
  <c r="E3276" i="3"/>
  <c r="F3275" i="3"/>
  <c r="A3275" i="3" s="1"/>
  <c r="E3275" i="3"/>
  <c r="F3274" i="3"/>
  <c r="A3274" i="3" s="1"/>
  <c r="E3274" i="3"/>
  <c r="F3273" i="3"/>
  <c r="A3273" i="3" s="1"/>
  <c r="E3273" i="3"/>
  <c r="F3272" i="3"/>
  <c r="A3272" i="3" s="1"/>
  <c r="E3272" i="3"/>
  <c r="F3271" i="3"/>
  <c r="A3271" i="3" s="1"/>
  <c r="E3271" i="3"/>
  <c r="F3270" i="3"/>
  <c r="A3270" i="3" s="1"/>
  <c r="E3270" i="3"/>
  <c r="F3269" i="3"/>
  <c r="A3269" i="3" s="1"/>
  <c r="E3269" i="3"/>
  <c r="F3268" i="3"/>
  <c r="A3268" i="3" s="1"/>
  <c r="E3268" i="3"/>
  <c r="F3267" i="3"/>
  <c r="A3267" i="3" s="1"/>
  <c r="E3267" i="3"/>
  <c r="F3266" i="3"/>
  <c r="A3266" i="3" s="1"/>
  <c r="E3266" i="3"/>
  <c r="F3265" i="3"/>
  <c r="A3265" i="3" s="1"/>
  <c r="E3265" i="3"/>
  <c r="F3264" i="3"/>
  <c r="A3264" i="3" s="1"/>
  <c r="E3264" i="3"/>
  <c r="F3263" i="3"/>
  <c r="A3263" i="3" s="1"/>
  <c r="E3263" i="3"/>
  <c r="F3262" i="3"/>
  <c r="A3262" i="3" s="1"/>
  <c r="E3262" i="3"/>
  <c r="F3261" i="3"/>
  <c r="A3261" i="3" s="1"/>
  <c r="E3261" i="3"/>
  <c r="F3260" i="3"/>
  <c r="A3260" i="3" s="1"/>
  <c r="E3260" i="3"/>
  <c r="F3259" i="3"/>
  <c r="A3259" i="3" s="1"/>
  <c r="E3259" i="3"/>
  <c r="F3258" i="3"/>
  <c r="A3258" i="3" s="1"/>
  <c r="E3258" i="3"/>
  <c r="F3257" i="3"/>
  <c r="A3257" i="3" s="1"/>
  <c r="E3257" i="3"/>
  <c r="F3256" i="3"/>
  <c r="A3256" i="3" s="1"/>
  <c r="E3256" i="3"/>
  <c r="F3255" i="3"/>
  <c r="A3255" i="3" s="1"/>
  <c r="E3255" i="3"/>
  <c r="F3254" i="3"/>
  <c r="A3254" i="3" s="1"/>
  <c r="E3254" i="3"/>
  <c r="F3253" i="3"/>
  <c r="A3253" i="3" s="1"/>
  <c r="E3253" i="3"/>
  <c r="F3252" i="3"/>
  <c r="A3252" i="3" s="1"/>
  <c r="E3252" i="3"/>
  <c r="F3251" i="3"/>
  <c r="A3251" i="3" s="1"/>
  <c r="E3251" i="3"/>
  <c r="F3250" i="3"/>
  <c r="A3250" i="3" s="1"/>
  <c r="E3250" i="3"/>
  <c r="F3249" i="3"/>
  <c r="A3249" i="3" s="1"/>
  <c r="E3249" i="3"/>
  <c r="F3248" i="3"/>
  <c r="A3248" i="3" s="1"/>
  <c r="E3248" i="3"/>
  <c r="F3247" i="3"/>
  <c r="A3247" i="3" s="1"/>
  <c r="E3247" i="3"/>
  <c r="F3246" i="3"/>
  <c r="A3246" i="3" s="1"/>
  <c r="E3246" i="3"/>
  <c r="F3245" i="3"/>
  <c r="A3245" i="3" s="1"/>
  <c r="E3245" i="3"/>
  <c r="F3244" i="3"/>
  <c r="A3244" i="3" s="1"/>
  <c r="E3244" i="3"/>
  <c r="F3243" i="3"/>
  <c r="A3243" i="3" s="1"/>
  <c r="E3243" i="3"/>
  <c r="F3242" i="3"/>
  <c r="A3242" i="3" s="1"/>
  <c r="E3242" i="3"/>
  <c r="F3241" i="3"/>
  <c r="A3241" i="3" s="1"/>
  <c r="E3241" i="3"/>
  <c r="F3240" i="3"/>
  <c r="A3240" i="3" s="1"/>
  <c r="E3240" i="3"/>
  <c r="F3239" i="3"/>
  <c r="A3239" i="3" s="1"/>
  <c r="E3239" i="3"/>
  <c r="F3238" i="3"/>
  <c r="A3238" i="3" s="1"/>
  <c r="E3238" i="3"/>
  <c r="F3237" i="3"/>
  <c r="A3237" i="3" s="1"/>
  <c r="E3237" i="3"/>
  <c r="F3236" i="3"/>
  <c r="A3236" i="3" s="1"/>
  <c r="E3236" i="3"/>
  <c r="F3235" i="3"/>
  <c r="A3235" i="3" s="1"/>
  <c r="E3235" i="3"/>
  <c r="F3234" i="3"/>
  <c r="A3234" i="3" s="1"/>
  <c r="E3234" i="3"/>
  <c r="F3233" i="3"/>
  <c r="A3233" i="3" s="1"/>
  <c r="E3233" i="3"/>
  <c r="F3232" i="3"/>
  <c r="A3232" i="3" s="1"/>
  <c r="E3232" i="3"/>
  <c r="F3231" i="3"/>
  <c r="A3231" i="3" s="1"/>
  <c r="E3231" i="3"/>
  <c r="F3230" i="3"/>
  <c r="A3230" i="3" s="1"/>
  <c r="E3230" i="3"/>
  <c r="F3229" i="3"/>
  <c r="A3229" i="3" s="1"/>
  <c r="E3229" i="3"/>
  <c r="F3228" i="3"/>
  <c r="A3228" i="3" s="1"/>
  <c r="E3228" i="3"/>
  <c r="F3227" i="3"/>
  <c r="A3227" i="3" s="1"/>
  <c r="E3227" i="3"/>
  <c r="F3226" i="3"/>
  <c r="A3226" i="3" s="1"/>
  <c r="E3226" i="3"/>
  <c r="F3225" i="3"/>
  <c r="A3225" i="3" s="1"/>
  <c r="E3225" i="3"/>
  <c r="F3224" i="3"/>
  <c r="A3224" i="3" s="1"/>
  <c r="E3224" i="3"/>
  <c r="F3223" i="3"/>
  <c r="A3223" i="3" s="1"/>
  <c r="E3223" i="3"/>
  <c r="F3222" i="3"/>
  <c r="A3222" i="3" s="1"/>
  <c r="E3222" i="3"/>
  <c r="F3221" i="3"/>
  <c r="A3221" i="3" s="1"/>
  <c r="E3221" i="3"/>
  <c r="F3220" i="3"/>
  <c r="A3220" i="3" s="1"/>
  <c r="E3220" i="3"/>
  <c r="F3219" i="3"/>
  <c r="A3219" i="3" s="1"/>
  <c r="E3219" i="3"/>
  <c r="F3218" i="3"/>
  <c r="A3218" i="3" s="1"/>
  <c r="E3218" i="3"/>
  <c r="F3217" i="3"/>
  <c r="A3217" i="3" s="1"/>
  <c r="E3217" i="3"/>
  <c r="F3216" i="3"/>
  <c r="A3216" i="3" s="1"/>
  <c r="E3216" i="3"/>
  <c r="F3215" i="3"/>
  <c r="A3215" i="3" s="1"/>
  <c r="E3215" i="3"/>
  <c r="F3214" i="3"/>
  <c r="A3214" i="3" s="1"/>
  <c r="E3214" i="3"/>
  <c r="F3213" i="3"/>
  <c r="A3213" i="3" s="1"/>
  <c r="E3213" i="3"/>
  <c r="F3212" i="3"/>
  <c r="A3212" i="3" s="1"/>
  <c r="E3212" i="3"/>
  <c r="F3211" i="3"/>
  <c r="A3211" i="3" s="1"/>
  <c r="E3211" i="3"/>
  <c r="F3210" i="3"/>
  <c r="A3210" i="3" s="1"/>
  <c r="E3210" i="3"/>
  <c r="F3209" i="3"/>
  <c r="A3209" i="3" s="1"/>
  <c r="E3209" i="3"/>
  <c r="F3208" i="3"/>
  <c r="A3208" i="3" s="1"/>
  <c r="E3208" i="3"/>
  <c r="F3207" i="3"/>
  <c r="A3207" i="3" s="1"/>
  <c r="E3207" i="3"/>
  <c r="F3206" i="3"/>
  <c r="A3206" i="3" s="1"/>
  <c r="E3206" i="3"/>
  <c r="F3205" i="3"/>
  <c r="A3205" i="3" s="1"/>
  <c r="E3205" i="3"/>
  <c r="F3204" i="3"/>
  <c r="A3204" i="3" s="1"/>
  <c r="E3204" i="3"/>
  <c r="F3203" i="3"/>
  <c r="A3203" i="3" s="1"/>
  <c r="E3203" i="3"/>
  <c r="F3202" i="3"/>
  <c r="A3202" i="3" s="1"/>
  <c r="E3202" i="3"/>
  <c r="F3201" i="3"/>
  <c r="A3201" i="3" s="1"/>
  <c r="E3201" i="3"/>
  <c r="F3200" i="3"/>
  <c r="A3200" i="3" s="1"/>
  <c r="E3200" i="3"/>
  <c r="F3199" i="3"/>
  <c r="A3199" i="3" s="1"/>
  <c r="E3199" i="3"/>
  <c r="F3198" i="3"/>
  <c r="A3198" i="3" s="1"/>
  <c r="E3198" i="3"/>
  <c r="F3197" i="3"/>
  <c r="A3197" i="3" s="1"/>
  <c r="E3197" i="3"/>
  <c r="F3196" i="3"/>
  <c r="A3196" i="3" s="1"/>
  <c r="E3196" i="3"/>
  <c r="F3195" i="3"/>
  <c r="A3195" i="3" s="1"/>
  <c r="E3195" i="3"/>
  <c r="F3194" i="3"/>
  <c r="A3194" i="3" s="1"/>
  <c r="E3194" i="3"/>
  <c r="F3193" i="3"/>
  <c r="A3193" i="3" s="1"/>
  <c r="E3193" i="3"/>
  <c r="F3192" i="3"/>
  <c r="A3192" i="3" s="1"/>
  <c r="E3192" i="3"/>
  <c r="F3191" i="3"/>
  <c r="A3191" i="3" s="1"/>
  <c r="E3191" i="3"/>
  <c r="F3190" i="3"/>
  <c r="A3190" i="3" s="1"/>
  <c r="E3190" i="3"/>
  <c r="F3189" i="3"/>
  <c r="A3189" i="3" s="1"/>
  <c r="E3189" i="3"/>
  <c r="F3188" i="3"/>
  <c r="A3188" i="3" s="1"/>
  <c r="E3188" i="3"/>
  <c r="F3187" i="3"/>
  <c r="A3187" i="3" s="1"/>
  <c r="E3187" i="3"/>
  <c r="F3186" i="3"/>
  <c r="A3186" i="3" s="1"/>
  <c r="E3186" i="3"/>
  <c r="F3185" i="3"/>
  <c r="A3185" i="3" s="1"/>
  <c r="E3185" i="3"/>
  <c r="F3184" i="3"/>
  <c r="A3184" i="3" s="1"/>
  <c r="E3184" i="3"/>
  <c r="F3183" i="3"/>
  <c r="A3183" i="3" s="1"/>
  <c r="E3183" i="3"/>
  <c r="F3182" i="3"/>
  <c r="A3182" i="3" s="1"/>
  <c r="E3182" i="3"/>
  <c r="F3181" i="3"/>
  <c r="A3181" i="3" s="1"/>
  <c r="E3181" i="3"/>
  <c r="F3180" i="3"/>
  <c r="A3180" i="3" s="1"/>
  <c r="E3180" i="3"/>
  <c r="F3179" i="3"/>
  <c r="A3179" i="3" s="1"/>
  <c r="E3179" i="3"/>
  <c r="F3178" i="3"/>
  <c r="A3178" i="3" s="1"/>
  <c r="E3178" i="3"/>
  <c r="F3177" i="3"/>
  <c r="A3177" i="3" s="1"/>
  <c r="E3177" i="3"/>
  <c r="F3176" i="3"/>
  <c r="A3176" i="3" s="1"/>
  <c r="E3176" i="3"/>
  <c r="F3175" i="3"/>
  <c r="A3175" i="3" s="1"/>
  <c r="E3175" i="3"/>
  <c r="F3174" i="3"/>
  <c r="A3174" i="3" s="1"/>
  <c r="E3174" i="3"/>
  <c r="F3173" i="3"/>
  <c r="A3173" i="3" s="1"/>
  <c r="E3173" i="3"/>
  <c r="F3172" i="3"/>
  <c r="A3172" i="3" s="1"/>
  <c r="E3172" i="3"/>
  <c r="F3171" i="3"/>
  <c r="A3171" i="3" s="1"/>
  <c r="E3171" i="3"/>
  <c r="F3170" i="3"/>
  <c r="A3170" i="3" s="1"/>
  <c r="E3170" i="3"/>
  <c r="F3169" i="3"/>
  <c r="A3169" i="3" s="1"/>
  <c r="E3169" i="3"/>
  <c r="F3168" i="3"/>
  <c r="A3168" i="3" s="1"/>
  <c r="E3168" i="3"/>
  <c r="F3167" i="3"/>
  <c r="A3167" i="3" s="1"/>
  <c r="E3167" i="3"/>
  <c r="F3166" i="3"/>
  <c r="A3166" i="3" s="1"/>
  <c r="E3166" i="3"/>
  <c r="F3165" i="3"/>
  <c r="A3165" i="3" s="1"/>
  <c r="E3165" i="3"/>
  <c r="F3164" i="3"/>
  <c r="A3164" i="3" s="1"/>
  <c r="E3164" i="3"/>
  <c r="F3163" i="3"/>
  <c r="A3163" i="3" s="1"/>
  <c r="E3163" i="3"/>
  <c r="F3162" i="3"/>
  <c r="A3162" i="3" s="1"/>
  <c r="E3162" i="3"/>
  <c r="F3161" i="3"/>
  <c r="A3161" i="3" s="1"/>
  <c r="E3161" i="3"/>
  <c r="F3160" i="3"/>
  <c r="A3160" i="3" s="1"/>
  <c r="E3160" i="3"/>
  <c r="F3159" i="3"/>
  <c r="A3159" i="3" s="1"/>
  <c r="E3159" i="3"/>
  <c r="F3158" i="3"/>
  <c r="A3158" i="3" s="1"/>
  <c r="E3158" i="3"/>
  <c r="F3157" i="3"/>
  <c r="A3157" i="3" s="1"/>
  <c r="E3157" i="3"/>
  <c r="F3156" i="3"/>
  <c r="A3156" i="3" s="1"/>
  <c r="E3156" i="3"/>
  <c r="F3155" i="3"/>
  <c r="A3155" i="3" s="1"/>
  <c r="E3155" i="3"/>
  <c r="F3154" i="3"/>
  <c r="A3154" i="3" s="1"/>
  <c r="E3154" i="3"/>
  <c r="F3153" i="3"/>
  <c r="A3153" i="3" s="1"/>
  <c r="E3153" i="3"/>
  <c r="F3152" i="3"/>
  <c r="A3152" i="3" s="1"/>
  <c r="E3152" i="3"/>
  <c r="F3151" i="3"/>
  <c r="A3151" i="3" s="1"/>
  <c r="E3151" i="3"/>
  <c r="F3150" i="3"/>
  <c r="A3150" i="3" s="1"/>
  <c r="E3150" i="3"/>
  <c r="F3149" i="3"/>
  <c r="A3149" i="3" s="1"/>
  <c r="E3149" i="3"/>
  <c r="F3148" i="3"/>
  <c r="A3148" i="3" s="1"/>
  <c r="E3148" i="3"/>
  <c r="F3147" i="3"/>
  <c r="A3147" i="3" s="1"/>
  <c r="E3147" i="3"/>
  <c r="F3146" i="3"/>
  <c r="A3146" i="3" s="1"/>
  <c r="E3146" i="3"/>
  <c r="F3145" i="3"/>
  <c r="A3145" i="3" s="1"/>
  <c r="E3145" i="3"/>
  <c r="F3144" i="3"/>
  <c r="A3144" i="3" s="1"/>
  <c r="E3144" i="3"/>
  <c r="F3143" i="3"/>
  <c r="A3143" i="3" s="1"/>
  <c r="E3143" i="3"/>
  <c r="F3142" i="3"/>
  <c r="A3142" i="3" s="1"/>
  <c r="E3142" i="3"/>
  <c r="F3141" i="3"/>
  <c r="A3141" i="3" s="1"/>
  <c r="E3141" i="3"/>
  <c r="F3140" i="3"/>
  <c r="A3140" i="3" s="1"/>
  <c r="E3140" i="3"/>
  <c r="F3139" i="3"/>
  <c r="A3139" i="3" s="1"/>
  <c r="E3139" i="3"/>
  <c r="F3138" i="3"/>
  <c r="A3138" i="3" s="1"/>
  <c r="E3138" i="3"/>
  <c r="F3137" i="3"/>
  <c r="A3137" i="3" s="1"/>
  <c r="E3137" i="3"/>
  <c r="F3136" i="3"/>
  <c r="A3136" i="3" s="1"/>
  <c r="E3136" i="3"/>
  <c r="F3135" i="3"/>
  <c r="A3135" i="3" s="1"/>
  <c r="E3135" i="3"/>
  <c r="F3134" i="3"/>
  <c r="A3134" i="3" s="1"/>
  <c r="E3134" i="3"/>
  <c r="F3133" i="3"/>
  <c r="A3133" i="3" s="1"/>
  <c r="E3133" i="3"/>
  <c r="F3132" i="3"/>
  <c r="A3132" i="3" s="1"/>
  <c r="E3132" i="3"/>
  <c r="F3131" i="3"/>
  <c r="A3131" i="3" s="1"/>
  <c r="E3131" i="3"/>
  <c r="F3130" i="3"/>
  <c r="A3130" i="3" s="1"/>
  <c r="E3130" i="3"/>
  <c r="F3129" i="3"/>
  <c r="A3129" i="3" s="1"/>
  <c r="E3129" i="3"/>
  <c r="F3128" i="3"/>
  <c r="A3128" i="3" s="1"/>
  <c r="E3128" i="3"/>
  <c r="F3127" i="3"/>
  <c r="A3127" i="3" s="1"/>
  <c r="E3127" i="3"/>
  <c r="F3126" i="3"/>
  <c r="A3126" i="3" s="1"/>
  <c r="E3126" i="3"/>
  <c r="F3125" i="3"/>
  <c r="A3125" i="3" s="1"/>
  <c r="E3125" i="3"/>
  <c r="F3124" i="3"/>
  <c r="A3124" i="3" s="1"/>
  <c r="E3124" i="3"/>
  <c r="F3123" i="3"/>
  <c r="A3123" i="3" s="1"/>
  <c r="E3123" i="3"/>
  <c r="F3122" i="3"/>
  <c r="A3122" i="3" s="1"/>
  <c r="E3122" i="3"/>
  <c r="F3121" i="3"/>
  <c r="A3121" i="3" s="1"/>
  <c r="E3121" i="3"/>
  <c r="F3120" i="3"/>
  <c r="A3120" i="3" s="1"/>
  <c r="E3120" i="3"/>
  <c r="F3119" i="3"/>
  <c r="A3119" i="3" s="1"/>
  <c r="E3119" i="3"/>
  <c r="F3118" i="3"/>
  <c r="A3118" i="3" s="1"/>
  <c r="E3118" i="3"/>
  <c r="F3117" i="3"/>
  <c r="A3117" i="3" s="1"/>
  <c r="E3117" i="3"/>
  <c r="F3116" i="3"/>
  <c r="A3116" i="3" s="1"/>
  <c r="E3116" i="3"/>
  <c r="F3115" i="3"/>
  <c r="A3115" i="3" s="1"/>
  <c r="E3115" i="3"/>
  <c r="F3114" i="3"/>
  <c r="A3114" i="3" s="1"/>
  <c r="E3114" i="3"/>
  <c r="F3113" i="3"/>
  <c r="A3113" i="3" s="1"/>
  <c r="E3113" i="3"/>
  <c r="F3112" i="3"/>
  <c r="A3112" i="3" s="1"/>
  <c r="E3112" i="3"/>
  <c r="F3111" i="3"/>
  <c r="A3111" i="3" s="1"/>
  <c r="E3111" i="3"/>
  <c r="F3110" i="3"/>
  <c r="A3110" i="3" s="1"/>
  <c r="E3110" i="3"/>
  <c r="F3109" i="3"/>
  <c r="A3109" i="3" s="1"/>
  <c r="E3109" i="3"/>
  <c r="F3108" i="3"/>
  <c r="A3108" i="3" s="1"/>
  <c r="E3108" i="3"/>
  <c r="F3107" i="3"/>
  <c r="A3107" i="3" s="1"/>
  <c r="E3107" i="3"/>
  <c r="F3106" i="3"/>
  <c r="A3106" i="3" s="1"/>
  <c r="E3106" i="3"/>
  <c r="F3105" i="3"/>
  <c r="A3105" i="3" s="1"/>
  <c r="E3105" i="3"/>
  <c r="F3104" i="3"/>
  <c r="A3104" i="3" s="1"/>
  <c r="E3104" i="3"/>
  <c r="F3103" i="3"/>
  <c r="A3103" i="3" s="1"/>
  <c r="E3103" i="3"/>
  <c r="F3102" i="3"/>
  <c r="A3102" i="3" s="1"/>
  <c r="E3102" i="3"/>
  <c r="F3101" i="3"/>
  <c r="A3101" i="3" s="1"/>
  <c r="E3101" i="3"/>
  <c r="F3100" i="3"/>
  <c r="A3100" i="3" s="1"/>
  <c r="E3100" i="3"/>
  <c r="F3099" i="3"/>
  <c r="A3099" i="3" s="1"/>
  <c r="E3099" i="3"/>
  <c r="F3098" i="3"/>
  <c r="A3098" i="3" s="1"/>
  <c r="E3098" i="3"/>
  <c r="F3097" i="3"/>
  <c r="A3097" i="3" s="1"/>
  <c r="E3097" i="3"/>
  <c r="F3096" i="3"/>
  <c r="A3096" i="3" s="1"/>
  <c r="E3096" i="3"/>
  <c r="F3095" i="3"/>
  <c r="A3095" i="3" s="1"/>
  <c r="E3095" i="3"/>
  <c r="F3094" i="3"/>
  <c r="A3094" i="3" s="1"/>
  <c r="E3094" i="3"/>
  <c r="F3093" i="3"/>
  <c r="A3093" i="3" s="1"/>
  <c r="E3093" i="3"/>
  <c r="F3092" i="3"/>
  <c r="A3092" i="3" s="1"/>
  <c r="E3092" i="3"/>
  <c r="F3091" i="3"/>
  <c r="A3091" i="3" s="1"/>
  <c r="E3091" i="3"/>
  <c r="F3090" i="3"/>
  <c r="A3090" i="3" s="1"/>
  <c r="E3090" i="3"/>
  <c r="F3089" i="3"/>
  <c r="A3089" i="3" s="1"/>
  <c r="E3089" i="3"/>
  <c r="F3088" i="3"/>
  <c r="A3088" i="3" s="1"/>
  <c r="E3088" i="3"/>
  <c r="F3087" i="3"/>
  <c r="A3087" i="3" s="1"/>
  <c r="E3087" i="3"/>
  <c r="F3086" i="3"/>
  <c r="A3086" i="3" s="1"/>
  <c r="E3086" i="3"/>
  <c r="F3085" i="3"/>
  <c r="A3085" i="3" s="1"/>
  <c r="E3085" i="3"/>
  <c r="F3084" i="3"/>
  <c r="A3084" i="3" s="1"/>
  <c r="E3084" i="3"/>
  <c r="F3083" i="3"/>
  <c r="A3083" i="3" s="1"/>
  <c r="E3083" i="3"/>
  <c r="F3082" i="3"/>
  <c r="A3082" i="3" s="1"/>
  <c r="E3082" i="3"/>
  <c r="F3081" i="3"/>
  <c r="A3081" i="3" s="1"/>
  <c r="E3081" i="3"/>
  <c r="F3080" i="3"/>
  <c r="A3080" i="3" s="1"/>
  <c r="E3080" i="3"/>
  <c r="F3079" i="3"/>
  <c r="A3079" i="3" s="1"/>
  <c r="E3079" i="3"/>
  <c r="F3078" i="3"/>
  <c r="A3078" i="3" s="1"/>
  <c r="E3078" i="3"/>
  <c r="F3077" i="3"/>
  <c r="A3077" i="3" s="1"/>
  <c r="E3077" i="3"/>
  <c r="F3076" i="3"/>
  <c r="A3076" i="3" s="1"/>
  <c r="E3076" i="3"/>
  <c r="F3075" i="3"/>
  <c r="A3075" i="3" s="1"/>
  <c r="E3075" i="3"/>
  <c r="F3074" i="3"/>
  <c r="A3074" i="3" s="1"/>
  <c r="E3074" i="3"/>
  <c r="F3073" i="3"/>
  <c r="A3073" i="3" s="1"/>
  <c r="E3073" i="3"/>
  <c r="F3072" i="3"/>
  <c r="A3072" i="3" s="1"/>
  <c r="E3072" i="3"/>
  <c r="F3071" i="3"/>
  <c r="A3071" i="3" s="1"/>
  <c r="E3071" i="3"/>
  <c r="F3070" i="3"/>
  <c r="A3070" i="3" s="1"/>
  <c r="E3070" i="3"/>
  <c r="F3069" i="3"/>
  <c r="A3069" i="3" s="1"/>
  <c r="E3069" i="3"/>
  <c r="F3068" i="3"/>
  <c r="A3068" i="3" s="1"/>
  <c r="E3068" i="3"/>
  <c r="F3067" i="3"/>
  <c r="A3067" i="3" s="1"/>
  <c r="E3067" i="3"/>
  <c r="F3066" i="3"/>
  <c r="A3066" i="3" s="1"/>
  <c r="E3066" i="3"/>
  <c r="F3065" i="3"/>
  <c r="A3065" i="3" s="1"/>
  <c r="E3065" i="3"/>
  <c r="F3064" i="3"/>
  <c r="A3064" i="3" s="1"/>
  <c r="E3064" i="3"/>
  <c r="F3063" i="3"/>
  <c r="A3063" i="3" s="1"/>
  <c r="E3063" i="3"/>
  <c r="F3062" i="3"/>
  <c r="A3062" i="3" s="1"/>
  <c r="E3062" i="3"/>
  <c r="F3061" i="3"/>
  <c r="A3061" i="3" s="1"/>
  <c r="E3061" i="3"/>
  <c r="F3060" i="3"/>
  <c r="A3060" i="3" s="1"/>
  <c r="E3060" i="3"/>
  <c r="F3059" i="3"/>
  <c r="A3059" i="3" s="1"/>
  <c r="E3059" i="3"/>
  <c r="F3058" i="3"/>
  <c r="A3058" i="3" s="1"/>
  <c r="E3058" i="3"/>
  <c r="F3057" i="3"/>
  <c r="A3057" i="3" s="1"/>
  <c r="E3057" i="3"/>
  <c r="F3056" i="3"/>
  <c r="A3056" i="3" s="1"/>
  <c r="E3056" i="3"/>
  <c r="F3055" i="3"/>
  <c r="A3055" i="3" s="1"/>
  <c r="E3055" i="3"/>
  <c r="F3054" i="3"/>
  <c r="A3054" i="3" s="1"/>
  <c r="E3054" i="3"/>
  <c r="F3053" i="3"/>
  <c r="A3053" i="3" s="1"/>
  <c r="E3053" i="3"/>
  <c r="F3052" i="3"/>
  <c r="A3052" i="3" s="1"/>
  <c r="E3052" i="3"/>
  <c r="F3051" i="3"/>
  <c r="A3051" i="3" s="1"/>
  <c r="E3051" i="3"/>
  <c r="F3050" i="3"/>
  <c r="A3050" i="3" s="1"/>
  <c r="E3050" i="3"/>
  <c r="F3049" i="3"/>
  <c r="A3049" i="3" s="1"/>
  <c r="E3049" i="3"/>
  <c r="F3048" i="3"/>
  <c r="A3048" i="3" s="1"/>
  <c r="E3048" i="3"/>
  <c r="F3047" i="3"/>
  <c r="A3047" i="3" s="1"/>
  <c r="E3047" i="3"/>
  <c r="F3046" i="3"/>
  <c r="A3046" i="3" s="1"/>
  <c r="E3046" i="3"/>
  <c r="F3045" i="3"/>
  <c r="A3045" i="3" s="1"/>
  <c r="E3045" i="3"/>
  <c r="F3044" i="3"/>
  <c r="A3044" i="3" s="1"/>
  <c r="E3044" i="3"/>
  <c r="F3043" i="3"/>
  <c r="A3043" i="3" s="1"/>
  <c r="E3043" i="3"/>
  <c r="F3042" i="3"/>
  <c r="A3042" i="3" s="1"/>
  <c r="E3042" i="3"/>
  <c r="F3041" i="3"/>
  <c r="A3041" i="3" s="1"/>
  <c r="E3041" i="3"/>
  <c r="F3040" i="3"/>
  <c r="A3040" i="3" s="1"/>
  <c r="E3040" i="3"/>
  <c r="F3039" i="3"/>
  <c r="A3039" i="3" s="1"/>
  <c r="E3039" i="3"/>
  <c r="F3038" i="3"/>
  <c r="A3038" i="3" s="1"/>
  <c r="E3038" i="3"/>
  <c r="F3037" i="3"/>
  <c r="A3037" i="3" s="1"/>
  <c r="E3037" i="3"/>
  <c r="F3036" i="3"/>
  <c r="A3036" i="3" s="1"/>
  <c r="E3036" i="3"/>
  <c r="F3035" i="3"/>
  <c r="A3035" i="3" s="1"/>
  <c r="E3035" i="3"/>
  <c r="F3034" i="3"/>
  <c r="A3034" i="3" s="1"/>
  <c r="E3034" i="3"/>
  <c r="F3033" i="3"/>
  <c r="A3033" i="3" s="1"/>
  <c r="E3033" i="3"/>
  <c r="F3032" i="3"/>
  <c r="A3032" i="3" s="1"/>
  <c r="E3032" i="3"/>
  <c r="F3031" i="3"/>
  <c r="A3031" i="3" s="1"/>
  <c r="E3031" i="3"/>
  <c r="F3030" i="3"/>
  <c r="A3030" i="3" s="1"/>
  <c r="E3030" i="3"/>
  <c r="F3029" i="3"/>
  <c r="A3029" i="3" s="1"/>
  <c r="E3029" i="3"/>
  <c r="F3028" i="3"/>
  <c r="A3028" i="3" s="1"/>
  <c r="E3028" i="3"/>
  <c r="F3027" i="3"/>
  <c r="A3027" i="3" s="1"/>
  <c r="E3027" i="3"/>
  <c r="F3026" i="3"/>
  <c r="A3026" i="3" s="1"/>
  <c r="E3026" i="3"/>
  <c r="F3025" i="3"/>
  <c r="A3025" i="3" s="1"/>
  <c r="E3025" i="3"/>
  <c r="F3024" i="3"/>
  <c r="A3024" i="3" s="1"/>
  <c r="E3024" i="3"/>
  <c r="F3023" i="3"/>
  <c r="A3023" i="3" s="1"/>
  <c r="E3023" i="3"/>
  <c r="F3022" i="3"/>
  <c r="A3022" i="3" s="1"/>
  <c r="E3022" i="3"/>
  <c r="F3021" i="3"/>
  <c r="A3021" i="3" s="1"/>
  <c r="E3021" i="3"/>
  <c r="F3020" i="3"/>
  <c r="A3020" i="3" s="1"/>
  <c r="E3020" i="3"/>
  <c r="F3019" i="3"/>
  <c r="A3019" i="3" s="1"/>
  <c r="E3019" i="3"/>
  <c r="F3018" i="3"/>
  <c r="A3018" i="3" s="1"/>
  <c r="E3018" i="3"/>
  <c r="F3017" i="3"/>
  <c r="A3017" i="3" s="1"/>
  <c r="E3017" i="3"/>
  <c r="F3016" i="3"/>
  <c r="A3016" i="3" s="1"/>
  <c r="E3016" i="3"/>
  <c r="F3015" i="3"/>
  <c r="A3015" i="3" s="1"/>
  <c r="E3015" i="3"/>
  <c r="F3014" i="3"/>
  <c r="A3014" i="3" s="1"/>
  <c r="E3014" i="3"/>
  <c r="F3013" i="3"/>
  <c r="A3013" i="3" s="1"/>
  <c r="E3013" i="3"/>
  <c r="F3012" i="3"/>
  <c r="A3012" i="3" s="1"/>
  <c r="E3012" i="3"/>
  <c r="F3011" i="3"/>
  <c r="A3011" i="3" s="1"/>
  <c r="E3011" i="3"/>
  <c r="F3010" i="3"/>
  <c r="A3010" i="3" s="1"/>
  <c r="E3010" i="3"/>
  <c r="F3009" i="3"/>
  <c r="A3009" i="3" s="1"/>
  <c r="E3009" i="3"/>
  <c r="F3008" i="3"/>
  <c r="A3008" i="3" s="1"/>
  <c r="E3008" i="3"/>
  <c r="F3007" i="3"/>
  <c r="A3007" i="3" s="1"/>
  <c r="E3007" i="3"/>
  <c r="F3006" i="3"/>
  <c r="A3006" i="3" s="1"/>
  <c r="E3006" i="3"/>
  <c r="F3005" i="3"/>
  <c r="A3005" i="3" s="1"/>
  <c r="E3005" i="3"/>
  <c r="F3004" i="3"/>
  <c r="A3004" i="3" s="1"/>
  <c r="E3004" i="3"/>
  <c r="F3003" i="3"/>
  <c r="A3003" i="3" s="1"/>
  <c r="E3003" i="3"/>
  <c r="F3002" i="3"/>
  <c r="A3002" i="3" s="1"/>
  <c r="E3002" i="3"/>
  <c r="F3001" i="3"/>
  <c r="A3001" i="3" s="1"/>
  <c r="E3001" i="3"/>
  <c r="F3000" i="3"/>
  <c r="A3000" i="3" s="1"/>
  <c r="E3000" i="3"/>
  <c r="F2999" i="3"/>
  <c r="A2999" i="3" s="1"/>
  <c r="E2999" i="3"/>
  <c r="F2998" i="3"/>
  <c r="A2998" i="3" s="1"/>
  <c r="E2998" i="3"/>
  <c r="F2997" i="3"/>
  <c r="A2997" i="3" s="1"/>
  <c r="E2997" i="3"/>
  <c r="F2996" i="3"/>
  <c r="A2996" i="3" s="1"/>
  <c r="E2996" i="3"/>
  <c r="F2995" i="3"/>
  <c r="A2995" i="3" s="1"/>
  <c r="E2995" i="3"/>
  <c r="F2994" i="3"/>
  <c r="A2994" i="3" s="1"/>
  <c r="E2994" i="3"/>
  <c r="F2993" i="3"/>
  <c r="A2993" i="3" s="1"/>
  <c r="E2993" i="3"/>
  <c r="F2992" i="3"/>
  <c r="A2992" i="3" s="1"/>
  <c r="E2992" i="3"/>
  <c r="F2991" i="3"/>
  <c r="A2991" i="3" s="1"/>
  <c r="E2991" i="3"/>
  <c r="F2990" i="3"/>
  <c r="A2990" i="3" s="1"/>
  <c r="E2990" i="3"/>
  <c r="F2989" i="3"/>
  <c r="A2989" i="3" s="1"/>
  <c r="E2989" i="3"/>
  <c r="F2988" i="3"/>
  <c r="A2988" i="3" s="1"/>
  <c r="E2988" i="3"/>
  <c r="F2987" i="3"/>
  <c r="A2987" i="3" s="1"/>
  <c r="E2987" i="3"/>
  <c r="F2986" i="3"/>
  <c r="A2986" i="3" s="1"/>
  <c r="E2986" i="3"/>
  <c r="F2985" i="3"/>
  <c r="A2985" i="3" s="1"/>
  <c r="E2985" i="3"/>
  <c r="F2984" i="3"/>
  <c r="A2984" i="3" s="1"/>
  <c r="E2984" i="3"/>
  <c r="F2983" i="3"/>
  <c r="A2983" i="3" s="1"/>
  <c r="E2983" i="3"/>
  <c r="F2982" i="3"/>
  <c r="A2982" i="3" s="1"/>
  <c r="E2982" i="3"/>
  <c r="F2981" i="3"/>
  <c r="A2981" i="3" s="1"/>
  <c r="E2981" i="3"/>
  <c r="F2980" i="3"/>
  <c r="A2980" i="3" s="1"/>
  <c r="E2980" i="3"/>
  <c r="F2979" i="3"/>
  <c r="A2979" i="3" s="1"/>
  <c r="E2979" i="3"/>
  <c r="F2978" i="3"/>
  <c r="A2978" i="3" s="1"/>
  <c r="E2978" i="3"/>
  <c r="F2977" i="3"/>
  <c r="A2977" i="3" s="1"/>
  <c r="E2977" i="3"/>
  <c r="F2976" i="3"/>
  <c r="A2976" i="3" s="1"/>
  <c r="E2976" i="3"/>
  <c r="F2975" i="3"/>
  <c r="A2975" i="3" s="1"/>
  <c r="E2975" i="3"/>
  <c r="F2974" i="3"/>
  <c r="A2974" i="3" s="1"/>
  <c r="E2974" i="3"/>
  <c r="F2973" i="3"/>
  <c r="A2973" i="3" s="1"/>
  <c r="E2973" i="3"/>
  <c r="F2972" i="3"/>
  <c r="A2972" i="3" s="1"/>
  <c r="E2972" i="3"/>
  <c r="F2971" i="3"/>
  <c r="A2971" i="3" s="1"/>
  <c r="E2971" i="3"/>
  <c r="F2970" i="3"/>
  <c r="A2970" i="3" s="1"/>
  <c r="E2970" i="3"/>
  <c r="F2969" i="3"/>
  <c r="A2969" i="3" s="1"/>
  <c r="E2969" i="3"/>
  <c r="F2968" i="3"/>
  <c r="A2968" i="3" s="1"/>
  <c r="E2968" i="3"/>
  <c r="F2967" i="3"/>
  <c r="A2967" i="3" s="1"/>
  <c r="E2967" i="3"/>
  <c r="F2966" i="3"/>
  <c r="A2966" i="3" s="1"/>
  <c r="E2966" i="3"/>
  <c r="F2965" i="3"/>
  <c r="A2965" i="3" s="1"/>
  <c r="E2965" i="3"/>
  <c r="F2964" i="3"/>
  <c r="A2964" i="3" s="1"/>
  <c r="E2964" i="3"/>
  <c r="F2963" i="3"/>
  <c r="A2963" i="3" s="1"/>
  <c r="E2963" i="3"/>
  <c r="F2962" i="3"/>
  <c r="A2962" i="3" s="1"/>
  <c r="E2962" i="3"/>
  <c r="F2961" i="3"/>
  <c r="A2961" i="3" s="1"/>
  <c r="E2961" i="3"/>
  <c r="F2960" i="3"/>
  <c r="A2960" i="3" s="1"/>
  <c r="E2960" i="3"/>
  <c r="F2959" i="3"/>
  <c r="A2959" i="3" s="1"/>
  <c r="E2959" i="3"/>
  <c r="F2958" i="3"/>
  <c r="A2958" i="3" s="1"/>
  <c r="E2958" i="3"/>
  <c r="F2957" i="3"/>
  <c r="A2957" i="3" s="1"/>
  <c r="E2957" i="3"/>
  <c r="F2956" i="3"/>
  <c r="A2956" i="3" s="1"/>
  <c r="E2956" i="3"/>
  <c r="F2955" i="3"/>
  <c r="A2955" i="3" s="1"/>
  <c r="E2955" i="3"/>
  <c r="F2954" i="3"/>
  <c r="A2954" i="3" s="1"/>
  <c r="E2954" i="3"/>
  <c r="F2953" i="3"/>
  <c r="A2953" i="3" s="1"/>
  <c r="E2953" i="3"/>
  <c r="F2952" i="3"/>
  <c r="A2952" i="3" s="1"/>
  <c r="E2952" i="3"/>
  <c r="F2951" i="3"/>
  <c r="A2951" i="3" s="1"/>
  <c r="E2951" i="3"/>
  <c r="F2950" i="3"/>
  <c r="A2950" i="3" s="1"/>
  <c r="E2950" i="3"/>
  <c r="F2949" i="3"/>
  <c r="A2949" i="3" s="1"/>
  <c r="E2949" i="3"/>
  <c r="F2948" i="3"/>
  <c r="A2948" i="3" s="1"/>
  <c r="E2948" i="3"/>
  <c r="F2947" i="3"/>
  <c r="A2947" i="3" s="1"/>
  <c r="E2947" i="3"/>
  <c r="F2946" i="3"/>
  <c r="A2946" i="3" s="1"/>
  <c r="E2946" i="3"/>
  <c r="F2945" i="3"/>
  <c r="A2945" i="3" s="1"/>
  <c r="E2945" i="3"/>
  <c r="F2944" i="3"/>
  <c r="A2944" i="3" s="1"/>
  <c r="E2944" i="3"/>
  <c r="F2943" i="3"/>
  <c r="A2943" i="3" s="1"/>
  <c r="E2943" i="3"/>
  <c r="F2942" i="3"/>
  <c r="A2942" i="3" s="1"/>
  <c r="E2942" i="3"/>
  <c r="F2941" i="3"/>
  <c r="A2941" i="3" s="1"/>
  <c r="E2941" i="3"/>
  <c r="F2940" i="3"/>
  <c r="A2940" i="3" s="1"/>
  <c r="E2940" i="3"/>
  <c r="F2939" i="3"/>
  <c r="A2939" i="3" s="1"/>
  <c r="E2939" i="3"/>
  <c r="F2938" i="3"/>
  <c r="A2938" i="3" s="1"/>
  <c r="E2938" i="3"/>
  <c r="F2937" i="3"/>
  <c r="A2937" i="3" s="1"/>
  <c r="E2937" i="3"/>
  <c r="F2936" i="3"/>
  <c r="A2936" i="3" s="1"/>
  <c r="E2936" i="3"/>
  <c r="F2935" i="3"/>
  <c r="A2935" i="3" s="1"/>
  <c r="E2935" i="3"/>
  <c r="F2934" i="3"/>
  <c r="A2934" i="3" s="1"/>
  <c r="E2934" i="3"/>
  <c r="F2933" i="3"/>
  <c r="A2933" i="3" s="1"/>
  <c r="E2933" i="3"/>
  <c r="F2932" i="3"/>
  <c r="A2932" i="3" s="1"/>
  <c r="E2932" i="3"/>
  <c r="F2931" i="3"/>
  <c r="A2931" i="3" s="1"/>
  <c r="E2931" i="3"/>
  <c r="F2930" i="3"/>
  <c r="A2930" i="3" s="1"/>
  <c r="E2930" i="3"/>
  <c r="F2929" i="3"/>
  <c r="A2929" i="3" s="1"/>
  <c r="E2929" i="3"/>
  <c r="F2928" i="3"/>
  <c r="A2928" i="3" s="1"/>
  <c r="E2928" i="3"/>
  <c r="F2927" i="3"/>
  <c r="A2927" i="3" s="1"/>
  <c r="E2927" i="3"/>
  <c r="F2926" i="3"/>
  <c r="A2926" i="3" s="1"/>
  <c r="E2926" i="3"/>
  <c r="F2925" i="3"/>
  <c r="A2925" i="3" s="1"/>
  <c r="E2925" i="3"/>
  <c r="F2924" i="3"/>
  <c r="A2924" i="3" s="1"/>
  <c r="E2924" i="3"/>
  <c r="F2923" i="3"/>
  <c r="A2923" i="3" s="1"/>
  <c r="E2923" i="3"/>
  <c r="F2922" i="3"/>
  <c r="A2922" i="3" s="1"/>
  <c r="E2922" i="3"/>
  <c r="F2921" i="3"/>
  <c r="A2921" i="3" s="1"/>
  <c r="E2921" i="3"/>
  <c r="F2920" i="3"/>
  <c r="A2920" i="3" s="1"/>
  <c r="E2920" i="3"/>
  <c r="F2919" i="3"/>
  <c r="A2919" i="3" s="1"/>
  <c r="E2919" i="3"/>
  <c r="F2918" i="3"/>
  <c r="A2918" i="3" s="1"/>
  <c r="E2918" i="3"/>
  <c r="F2917" i="3"/>
  <c r="A2917" i="3" s="1"/>
  <c r="E2917" i="3"/>
  <c r="F2916" i="3"/>
  <c r="A2916" i="3" s="1"/>
  <c r="E2916" i="3"/>
  <c r="F2915" i="3"/>
  <c r="A2915" i="3" s="1"/>
  <c r="E2915" i="3"/>
  <c r="F2914" i="3"/>
  <c r="A2914" i="3" s="1"/>
  <c r="E2914" i="3"/>
  <c r="F2913" i="3"/>
  <c r="A2913" i="3" s="1"/>
  <c r="E2913" i="3"/>
  <c r="F2912" i="3"/>
  <c r="A2912" i="3" s="1"/>
  <c r="E2912" i="3"/>
  <c r="F2911" i="3"/>
  <c r="A2911" i="3" s="1"/>
  <c r="E2911" i="3"/>
  <c r="F2910" i="3"/>
  <c r="A2910" i="3" s="1"/>
  <c r="E2910" i="3"/>
  <c r="F2909" i="3"/>
  <c r="A2909" i="3" s="1"/>
  <c r="E2909" i="3"/>
  <c r="F2908" i="3"/>
  <c r="A2908" i="3" s="1"/>
  <c r="E2908" i="3"/>
  <c r="F2907" i="3"/>
  <c r="A2907" i="3" s="1"/>
  <c r="E2907" i="3"/>
  <c r="F2906" i="3"/>
  <c r="A2906" i="3" s="1"/>
  <c r="E2906" i="3"/>
  <c r="F2905" i="3"/>
  <c r="A2905" i="3" s="1"/>
  <c r="E2905" i="3"/>
  <c r="F2904" i="3"/>
  <c r="A2904" i="3" s="1"/>
  <c r="E2904" i="3"/>
  <c r="F2903" i="3"/>
  <c r="A2903" i="3" s="1"/>
  <c r="E2903" i="3"/>
  <c r="F2902" i="3"/>
  <c r="A2902" i="3" s="1"/>
  <c r="E2902" i="3"/>
  <c r="F2901" i="3"/>
  <c r="A2901" i="3" s="1"/>
  <c r="E2901" i="3"/>
  <c r="F2900" i="3"/>
  <c r="A2900" i="3" s="1"/>
  <c r="E2900" i="3"/>
  <c r="F2899" i="3"/>
  <c r="A2899" i="3" s="1"/>
  <c r="E2899" i="3"/>
  <c r="F2898" i="3"/>
  <c r="A2898" i="3" s="1"/>
  <c r="E2898" i="3"/>
  <c r="F2897" i="3"/>
  <c r="A2897" i="3" s="1"/>
  <c r="E2897" i="3"/>
  <c r="F2896" i="3"/>
  <c r="A2896" i="3" s="1"/>
  <c r="E2896" i="3"/>
  <c r="F2895" i="3"/>
  <c r="A2895" i="3" s="1"/>
  <c r="E2895" i="3"/>
  <c r="F2894" i="3"/>
  <c r="A2894" i="3" s="1"/>
  <c r="E2894" i="3"/>
  <c r="F2893" i="3"/>
  <c r="A2893" i="3" s="1"/>
  <c r="E2893" i="3"/>
  <c r="F2892" i="3"/>
  <c r="A2892" i="3" s="1"/>
  <c r="E2892" i="3"/>
  <c r="F2891" i="3"/>
  <c r="A2891" i="3" s="1"/>
  <c r="E2891" i="3"/>
  <c r="F2890" i="3"/>
  <c r="A2890" i="3" s="1"/>
  <c r="E2890" i="3"/>
  <c r="F2889" i="3"/>
  <c r="A2889" i="3" s="1"/>
  <c r="E2889" i="3"/>
  <c r="F2888" i="3"/>
  <c r="A2888" i="3" s="1"/>
  <c r="E2888" i="3"/>
  <c r="F2887" i="3"/>
  <c r="A2887" i="3" s="1"/>
  <c r="E2887" i="3"/>
  <c r="F2886" i="3"/>
  <c r="A2886" i="3" s="1"/>
  <c r="E2886" i="3"/>
  <c r="F2885" i="3"/>
  <c r="A2885" i="3" s="1"/>
  <c r="E2885" i="3"/>
  <c r="F2884" i="3"/>
  <c r="A2884" i="3" s="1"/>
  <c r="E2884" i="3"/>
  <c r="F2883" i="3"/>
  <c r="A2883" i="3" s="1"/>
  <c r="E2883" i="3"/>
  <c r="F2882" i="3"/>
  <c r="A2882" i="3" s="1"/>
  <c r="E2882" i="3"/>
  <c r="F2881" i="3"/>
  <c r="A2881" i="3" s="1"/>
  <c r="E2881" i="3"/>
  <c r="F2880" i="3"/>
  <c r="A2880" i="3" s="1"/>
  <c r="E2880" i="3"/>
  <c r="F2879" i="3"/>
  <c r="A2879" i="3" s="1"/>
  <c r="E2879" i="3"/>
  <c r="F2878" i="3"/>
  <c r="A2878" i="3" s="1"/>
  <c r="E2878" i="3"/>
  <c r="F2877" i="3"/>
  <c r="A2877" i="3" s="1"/>
  <c r="E2877" i="3"/>
  <c r="F2876" i="3"/>
  <c r="A2876" i="3" s="1"/>
  <c r="E2876" i="3"/>
  <c r="F2875" i="3"/>
  <c r="A2875" i="3" s="1"/>
  <c r="E2875" i="3"/>
  <c r="F2874" i="3"/>
  <c r="A2874" i="3" s="1"/>
  <c r="E2874" i="3"/>
  <c r="F2873" i="3"/>
  <c r="A2873" i="3" s="1"/>
  <c r="E2873" i="3"/>
  <c r="F2872" i="3"/>
  <c r="A2872" i="3" s="1"/>
  <c r="E2872" i="3"/>
  <c r="F2871" i="3"/>
  <c r="A2871" i="3" s="1"/>
  <c r="E2871" i="3"/>
  <c r="F2870" i="3"/>
  <c r="A2870" i="3" s="1"/>
  <c r="E2870" i="3"/>
  <c r="F2869" i="3"/>
  <c r="A2869" i="3" s="1"/>
  <c r="E2869" i="3"/>
  <c r="F2868" i="3"/>
  <c r="A2868" i="3" s="1"/>
  <c r="E2868" i="3"/>
  <c r="F2867" i="3"/>
  <c r="A2867" i="3" s="1"/>
  <c r="E2867" i="3"/>
  <c r="F2866" i="3"/>
  <c r="A2866" i="3" s="1"/>
  <c r="E2866" i="3"/>
  <c r="F2865" i="3"/>
  <c r="A2865" i="3" s="1"/>
  <c r="E2865" i="3"/>
  <c r="F2864" i="3"/>
  <c r="A2864" i="3" s="1"/>
  <c r="E2864" i="3"/>
  <c r="F2863" i="3"/>
  <c r="A2863" i="3" s="1"/>
  <c r="E2863" i="3"/>
  <c r="F2862" i="3"/>
  <c r="A2862" i="3" s="1"/>
  <c r="E2862" i="3"/>
  <c r="F2861" i="3"/>
  <c r="A2861" i="3" s="1"/>
  <c r="E2861" i="3"/>
  <c r="F2860" i="3"/>
  <c r="A2860" i="3" s="1"/>
  <c r="E2860" i="3"/>
  <c r="F2859" i="3"/>
  <c r="A2859" i="3" s="1"/>
  <c r="E2859" i="3"/>
  <c r="F2858" i="3"/>
  <c r="A2858" i="3" s="1"/>
  <c r="E2858" i="3"/>
  <c r="F2857" i="3"/>
  <c r="A2857" i="3" s="1"/>
  <c r="E2857" i="3"/>
  <c r="F2856" i="3"/>
  <c r="A2856" i="3" s="1"/>
  <c r="E2856" i="3"/>
  <c r="F2855" i="3"/>
  <c r="A2855" i="3" s="1"/>
  <c r="E2855" i="3"/>
  <c r="F2854" i="3"/>
  <c r="A2854" i="3" s="1"/>
  <c r="E2854" i="3"/>
  <c r="F2853" i="3"/>
  <c r="A2853" i="3" s="1"/>
  <c r="E2853" i="3"/>
  <c r="F2852" i="3"/>
  <c r="A2852" i="3" s="1"/>
  <c r="E2852" i="3"/>
  <c r="F2851" i="3"/>
  <c r="A2851" i="3" s="1"/>
  <c r="E2851" i="3"/>
  <c r="F2850" i="3"/>
  <c r="A2850" i="3" s="1"/>
  <c r="E2850" i="3"/>
  <c r="F2849" i="3"/>
  <c r="A2849" i="3" s="1"/>
  <c r="E2849" i="3"/>
  <c r="F2848" i="3"/>
  <c r="A2848" i="3" s="1"/>
  <c r="E2848" i="3"/>
  <c r="F2847" i="3"/>
  <c r="A2847" i="3" s="1"/>
  <c r="E2847" i="3"/>
  <c r="F2846" i="3"/>
  <c r="A2846" i="3" s="1"/>
  <c r="E2846" i="3"/>
  <c r="F2845" i="3"/>
  <c r="A2845" i="3" s="1"/>
  <c r="E2845" i="3"/>
  <c r="F2844" i="3"/>
  <c r="A2844" i="3" s="1"/>
  <c r="E2844" i="3"/>
  <c r="F2843" i="3"/>
  <c r="A2843" i="3" s="1"/>
  <c r="E2843" i="3"/>
  <c r="F2842" i="3"/>
  <c r="A2842" i="3" s="1"/>
  <c r="E2842" i="3"/>
  <c r="F2841" i="3"/>
  <c r="A2841" i="3" s="1"/>
  <c r="E2841" i="3"/>
  <c r="F2840" i="3"/>
  <c r="A2840" i="3" s="1"/>
  <c r="E2840" i="3"/>
  <c r="F2839" i="3"/>
  <c r="A2839" i="3" s="1"/>
  <c r="E2839" i="3"/>
  <c r="F2838" i="3"/>
  <c r="A2838" i="3" s="1"/>
  <c r="E2838" i="3"/>
  <c r="F2837" i="3"/>
  <c r="A2837" i="3" s="1"/>
  <c r="E2837" i="3"/>
  <c r="F2836" i="3"/>
  <c r="A2836" i="3" s="1"/>
  <c r="E2836" i="3"/>
  <c r="F2835" i="3"/>
  <c r="A2835" i="3" s="1"/>
  <c r="E2835" i="3"/>
  <c r="F2834" i="3"/>
  <c r="A2834" i="3" s="1"/>
  <c r="E2834" i="3"/>
  <c r="F2833" i="3"/>
  <c r="A2833" i="3" s="1"/>
  <c r="E2833" i="3"/>
  <c r="F2832" i="3"/>
  <c r="A2832" i="3" s="1"/>
  <c r="E2832" i="3"/>
  <c r="F2831" i="3"/>
  <c r="A2831" i="3" s="1"/>
  <c r="E2831" i="3"/>
  <c r="F2830" i="3"/>
  <c r="A2830" i="3" s="1"/>
  <c r="E2830" i="3"/>
  <c r="F2829" i="3"/>
  <c r="A2829" i="3" s="1"/>
  <c r="E2829" i="3"/>
  <c r="F2828" i="3"/>
  <c r="A2828" i="3" s="1"/>
  <c r="E2828" i="3"/>
  <c r="F2827" i="3"/>
  <c r="A2827" i="3" s="1"/>
  <c r="E2827" i="3"/>
  <c r="F2826" i="3"/>
  <c r="A2826" i="3" s="1"/>
  <c r="E2826" i="3"/>
  <c r="F2825" i="3"/>
  <c r="A2825" i="3" s="1"/>
  <c r="E2825" i="3"/>
  <c r="F2824" i="3"/>
  <c r="A2824" i="3" s="1"/>
  <c r="E2824" i="3"/>
  <c r="F2823" i="3"/>
  <c r="A2823" i="3" s="1"/>
  <c r="E2823" i="3"/>
  <c r="F2822" i="3"/>
  <c r="A2822" i="3" s="1"/>
  <c r="E2822" i="3"/>
  <c r="F2821" i="3"/>
  <c r="A2821" i="3" s="1"/>
  <c r="E2821" i="3"/>
  <c r="F2820" i="3"/>
  <c r="A2820" i="3" s="1"/>
  <c r="E2820" i="3"/>
  <c r="F2819" i="3"/>
  <c r="A2819" i="3" s="1"/>
  <c r="E2819" i="3"/>
  <c r="F2818" i="3"/>
  <c r="A2818" i="3" s="1"/>
  <c r="E2818" i="3"/>
  <c r="F2817" i="3"/>
  <c r="A2817" i="3" s="1"/>
  <c r="E2817" i="3"/>
  <c r="F2816" i="3"/>
  <c r="A2816" i="3" s="1"/>
  <c r="E2816" i="3"/>
  <c r="F2815" i="3"/>
  <c r="A2815" i="3" s="1"/>
  <c r="E2815" i="3"/>
  <c r="F2814" i="3"/>
  <c r="A2814" i="3" s="1"/>
  <c r="E2814" i="3"/>
  <c r="F2813" i="3"/>
  <c r="A2813" i="3" s="1"/>
  <c r="E2813" i="3"/>
  <c r="F2812" i="3"/>
  <c r="A2812" i="3" s="1"/>
  <c r="E2812" i="3"/>
  <c r="F2811" i="3"/>
  <c r="A2811" i="3" s="1"/>
  <c r="E2811" i="3"/>
  <c r="F2810" i="3"/>
  <c r="A2810" i="3" s="1"/>
  <c r="E2810" i="3"/>
  <c r="F2809" i="3"/>
  <c r="A2809" i="3" s="1"/>
  <c r="E2809" i="3"/>
  <c r="F2808" i="3"/>
  <c r="A2808" i="3" s="1"/>
  <c r="E2808" i="3"/>
  <c r="F2807" i="3"/>
  <c r="A2807" i="3" s="1"/>
  <c r="E2807" i="3"/>
  <c r="F2806" i="3"/>
  <c r="A2806" i="3" s="1"/>
  <c r="E2806" i="3"/>
  <c r="F2805" i="3"/>
  <c r="A2805" i="3" s="1"/>
  <c r="E2805" i="3"/>
  <c r="F2804" i="3"/>
  <c r="A2804" i="3" s="1"/>
  <c r="E2804" i="3"/>
  <c r="F2803" i="3"/>
  <c r="A2803" i="3" s="1"/>
  <c r="E2803" i="3"/>
  <c r="F2802" i="3"/>
  <c r="A2802" i="3" s="1"/>
  <c r="E2802" i="3"/>
  <c r="F2801" i="3"/>
  <c r="A2801" i="3" s="1"/>
  <c r="E2801" i="3"/>
  <c r="F2800" i="3"/>
  <c r="A2800" i="3" s="1"/>
  <c r="E2800" i="3"/>
  <c r="F2799" i="3"/>
  <c r="A2799" i="3" s="1"/>
  <c r="E2799" i="3"/>
  <c r="F2798" i="3"/>
  <c r="A2798" i="3" s="1"/>
  <c r="E2798" i="3"/>
  <c r="F2797" i="3"/>
  <c r="A2797" i="3" s="1"/>
  <c r="E2797" i="3"/>
  <c r="F2796" i="3"/>
  <c r="A2796" i="3" s="1"/>
  <c r="E2796" i="3"/>
  <c r="F2795" i="3"/>
  <c r="A2795" i="3" s="1"/>
  <c r="E2795" i="3"/>
  <c r="F2794" i="3"/>
  <c r="A2794" i="3" s="1"/>
  <c r="E2794" i="3"/>
  <c r="F2793" i="3"/>
  <c r="A2793" i="3" s="1"/>
  <c r="E2793" i="3"/>
  <c r="F2792" i="3"/>
  <c r="A2792" i="3" s="1"/>
  <c r="E2792" i="3"/>
  <c r="F2791" i="3"/>
  <c r="A2791" i="3" s="1"/>
  <c r="E2791" i="3"/>
  <c r="F2790" i="3"/>
  <c r="A2790" i="3" s="1"/>
  <c r="E2790" i="3"/>
  <c r="F2789" i="3"/>
  <c r="A2789" i="3" s="1"/>
  <c r="E2789" i="3"/>
  <c r="F2788" i="3"/>
  <c r="A2788" i="3" s="1"/>
  <c r="E2788" i="3"/>
  <c r="F2787" i="3"/>
  <c r="A2787" i="3" s="1"/>
  <c r="E2787" i="3"/>
  <c r="F2786" i="3"/>
  <c r="A2786" i="3" s="1"/>
  <c r="E2786" i="3"/>
  <c r="F2785" i="3"/>
  <c r="A2785" i="3" s="1"/>
  <c r="E2785" i="3"/>
  <c r="F2784" i="3"/>
  <c r="A2784" i="3" s="1"/>
  <c r="E2784" i="3"/>
  <c r="F2783" i="3"/>
  <c r="A2783" i="3" s="1"/>
  <c r="E2783" i="3"/>
  <c r="F2782" i="3"/>
  <c r="A2782" i="3" s="1"/>
  <c r="E2782" i="3"/>
  <c r="F2781" i="3"/>
  <c r="A2781" i="3" s="1"/>
  <c r="E2781" i="3"/>
  <c r="F2780" i="3"/>
  <c r="A2780" i="3" s="1"/>
  <c r="E2780" i="3"/>
  <c r="F2779" i="3"/>
  <c r="A2779" i="3" s="1"/>
  <c r="E2779" i="3"/>
  <c r="F2778" i="3"/>
  <c r="A2778" i="3" s="1"/>
  <c r="E2778" i="3"/>
  <c r="F2777" i="3"/>
  <c r="A2777" i="3" s="1"/>
  <c r="E2777" i="3"/>
  <c r="F2776" i="3"/>
  <c r="A2776" i="3" s="1"/>
  <c r="E2776" i="3"/>
  <c r="F2775" i="3"/>
  <c r="A2775" i="3" s="1"/>
  <c r="E2775" i="3"/>
  <c r="F2774" i="3"/>
  <c r="A2774" i="3" s="1"/>
  <c r="E2774" i="3"/>
  <c r="F2773" i="3"/>
  <c r="A2773" i="3" s="1"/>
  <c r="E2773" i="3"/>
  <c r="F2772" i="3"/>
  <c r="A2772" i="3" s="1"/>
  <c r="E2772" i="3"/>
  <c r="F2771" i="3"/>
  <c r="A2771" i="3" s="1"/>
  <c r="E2771" i="3"/>
  <c r="F2770" i="3"/>
  <c r="A2770" i="3" s="1"/>
  <c r="E2770" i="3"/>
  <c r="F2769" i="3"/>
  <c r="A2769" i="3" s="1"/>
  <c r="E2769" i="3"/>
  <c r="F2768" i="3"/>
  <c r="A2768" i="3" s="1"/>
  <c r="E2768" i="3"/>
  <c r="F2767" i="3"/>
  <c r="A2767" i="3" s="1"/>
  <c r="E2767" i="3"/>
  <c r="F2766" i="3"/>
  <c r="A2766" i="3" s="1"/>
  <c r="E2766" i="3"/>
  <c r="F2765" i="3"/>
  <c r="A2765" i="3" s="1"/>
  <c r="E2765" i="3"/>
  <c r="F2764" i="3"/>
  <c r="A2764" i="3" s="1"/>
  <c r="E2764" i="3"/>
  <c r="F2763" i="3"/>
  <c r="A2763" i="3" s="1"/>
  <c r="E2763" i="3"/>
  <c r="F2762" i="3"/>
  <c r="A2762" i="3" s="1"/>
  <c r="E2762" i="3"/>
  <c r="F2761" i="3"/>
  <c r="A2761" i="3" s="1"/>
  <c r="E2761" i="3"/>
  <c r="F2760" i="3"/>
  <c r="A2760" i="3" s="1"/>
  <c r="E2760" i="3"/>
  <c r="F2759" i="3"/>
  <c r="A2759" i="3" s="1"/>
  <c r="E2759" i="3"/>
  <c r="F2758" i="3"/>
  <c r="A2758" i="3" s="1"/>
  <c r="E2758" i="3"/>
  <c r="F2757" i="3"/>
  <c r="A2757" i="3" s="1"/>
  <c r="E2757" i="3"/>
  <c r="F2756" i="3"/>
  <c r="A2756" i="3" s="1"/>
  <c r="E2756" i="3"/>
  <c r="F2755" i="3"/>
  <c r="A2755" i="3" s="1"/>
  <c r="E2755" i="3"/>
  <c r="F2754" i="3"/>
  <c r="A2754" i="3" s="1"/>
  <c r="E2754" i="3"/>
  <c r="F2753" i="3"/>
  <c r="A2753" i="3" s="1"/>
  <c r="E2753" i="3"/>
  <c r="F2752" i="3"/>
  <c r="A2752" i="3" s="1"/>
  <c r="E2752" i="3"/>
  <c r="F2751" i="3"/>
  <c r="A2751" i="3" s="1"/>
  <c r="E2751" i="3"/>
  <c r="F2750" i="3"/>
  <c r="A2750" i="3" s="1"/>
  <c r="E2750" i="3"/>
  <c r="F2749" i="3"/>
  <c r="A2749" i="3" s="1"/>
  <c r="E2749" i="3"/>
  <c r="F2748" i="3"/>
  <c r="A2748" i="3" s="1"/>
  <c r="E2748" i="3"/>
  <c r="F2747" i="3"/>
  <c r="A2747" i="3" s="1"/>
  <c r="E2747" i="3"/>
  <c r="F2746" i="3"/>
  <c r="A2746" i="3" s="1"/>
  <c r="E2746" i="3"/>
  <c r="F2745" i="3"/>
  <c r="A2745" i="3" s="1"/>
  <c r="E2745" i="3"/>
  <c r="F2744" i="3"/>
  <c r="A2744" i="3" s="1"/>
  <c r="E2744" i="3"/>
  <c r="F2743" i="3"/>
  <c r="A2743" i="3" s="1"/>
  <c r="E2743" i="3"/>
  <c r="F2742" i="3"/>
  <c r="A2742" i="3" s="1"/>
  <c r="E2742" i="3"/>
  <c r="F2741" i="3"/>
  <c r="A2741" i="3" s="1"/>
  <c r="E2741" i="3"/>
  <c r="F2740" i="3"/>
  <c r="A2740" i="3" s="1"/>
  <c r="E2740" i="3"/>
  <c r="F2739" i="3"/>
  <c r="A2739" i="3" s="1"/>
  <c r="E2739" i="3"/>
  <c r="F2738" i="3"/>
  <c r="A2738" i="3" s="1"/>
  <c r="E2738" i="3"/>
  <c r="F2737" i="3"/>
  <c r="A2737" i="3" s="1"/>
  <c r="E2737" i="3"/>
  <c r="F2736" i="3"/>
  <c r="A2736" i="3" s="1"/>
  <c r="E2736" i="3"/>
  <c r="F2735" i="3"/>
  <c r="A2735" i="3" s="1"/>
  <c r="E2735" i="3"/>
  <c r="F2734" i="3"/>
  <c r="A2734" i="3" s="1"/>
  <c r="E2734" i="3"/>
  <c r="F2733" i="3"/>
  <c r="A2733" i="3" s="1"/>
  <c r="E2733" i="3"/>
  <c r="F2732" i="3"/>
  <c r="A2732" i="3" s="1"/>
  <c r="E2732" i="3"/>
  <c r="F2731" i="3"/>
  <c r="A2731" i="3" s="1"/>
  <c r="E2731" i="3"/>
  <c r="F2730" i="3"/>
  <c r="A2730" i="3" s="1"/>
  <c r="E2730" i="3"/>
  <c r="F2729" i="3"/>
  <c r="A2729" i="3" s="1"/>
  <c r="E2729" i="3"/>
  <c r="F2728" i="3"/>
  <c r="A2728" i="3" s="1"/>
  <c r="E2728" i="3"/>
  <c r="F2727" i="3"/>
  <c r="A2727" i="3" s="1"/>
  <c r="E2727" i="3"/>
  <c r="F2726" i="3"/>
  <c r="A2726" i="3" s="1"/>
  <c r="E2726" i="3"/>
  <c r="F2725" i="3"/>
  <c r="A2725" i="3" s="1"/>
  <c r="E2725" i="3"/>
  <c r="F2724" i="3"/>
  <c r="A2724" i="3" s="1"/>
  <c r="E2724" i="3"/>
  <c r="F2723" i="3"/>
  <c r="A2723" i="3" s="1"/>
  <c r="E2723" i="3"/>
  <c r="F2722" i="3"/>
  <c r="A2722" i="3" s="1"/>
  <c r="E2722" i="3"/>
  <c r="F2721" i="3"/>
  <c r="A2721" i="3" s="1"/>
  <c r="E2721" i="3"/>
  <c r="F2720" i="3"/>
  <c r="A2720" i="3" s="1"/>
  <c r="E2720" i="3"/>
  <c r="F2719" i="3"/>
  <c r="A2719" i="3" s="1"/>
  <c r="E2719" i="3"/>
  <c r="F2718" i="3"/>
  <c r="A2718" i="3" s="1"/>
  <c r="E2718" i="3"/>
  <c r="F2717" i="3"/>
  <c r="A2717" i="3" s="1"/>
  <c r="E2717" i="3"/>
  <c r="F2716" i="3"/>
  <c r="A2716" i="3" s="1"/>
  <c r="E2716" i="3"/>
  <c r="F2715" i="3"/>
  <c r="A2715" i="3" s="1"/>
  <c r="E2715" i="3"/>
  <c r="F2714" i="3"/>
  <c r="A2714" i="3" s="1"/>
  <c r="E2714" i="3"/>
  <c r="F2713" i="3"/>
  <c r="A2713" i="3" s="1"/>
  <c r="E2713" i="3"/>
  <c r="F2712" i="3"/>
  <c r="A2712" i="3" s="1"/>
  <c r="E2712" i="3"/>
  <c r="F2711" i="3"/>
  <c r="A2711" i="3" s="1"/>
  <c r="E2711" i="3"/>
  <c r="F2710" i="3"/>
  <c r="A2710" i="3" s="1"/>
  <c r="E2710" i="3"/>
  <c r="F2709" i="3"/>
  <c r="A2709" i="3" s="1"/>
  <c r="E2709" i="3"/>
  <c r="F2708" i="3"/>
  <c r="A2708" i="3" s="1"/>
  <c r="E2708" i="3"/>
  <c r="F2707" i="3"/>
  <c r="A2707" i="3" s="1"/>
  <c r="E2707" i="3"/>
  <c r="F2706" i="3"/>
  <c r="A2706" i="3" s="1"/>
  <c r="E2706" i="3"/>
  <c r="F2705" i="3"/>
  <c r="A2705" i="3" s="1"/>
  <c r="E2705" i="3"/>
  <c r="F2704" i="3"/>
  <c r="A2704" i="3" s="1"/>
  <c r="E2704" i="3"/>
  <c r="F2703" i="3"/>
  <c r="A2703" i="3" s="1"/>
  <c r="E2703" i="3"/>
  <c r="F2702" i="3"/>
  <c r="A2702" i="3" s="1"/>
  <c r="E2702" i="3"/>
  <c r="F2701" i="3"/>
  <c r="A2701" i="3" s="1"/>
  <c r="E2701" i="3"/>
  <c r="F2700" i="3"/>
  <c r="A2700" i="3" s="1"/>
  <c r="E2700" i="3"/>
  <c r="F2699" i="3"/>
  <c r="A2699" i="3" s="1"/>
  <c r="E2699" i="3"/>
  <c r="F2698" i="3"/>
  <c r="A2698" i="3" s="1"/>
  <c r="E2698" i="3"/>
  <c r="F2697" i="3"/>
  <c r="A2697" i="3" s="1"/>
  <c r="E2697" i="3"/>
  <c r="F2696" i="3"/>
  <c r="A2696" i="3" s="1"/>
  <c r="E2696" i="3"/>
  <c r="F2695" i="3"/>
  <c r="A2695" i="3" s="1"/>
  <c r="E2695" i="3"/>
  <c r="F2694" i="3"/>
  <c r="A2694" i="3" s="1"/>
  <c r="E2694" i="3"/>
  <c r="F2693" i="3"/>
  <c r="A2693" i="3" s="1"/>
  <c r="E2693" i="3"/>
  <c r="F2692" i="3"/>
  <c r="A2692" i="3" s="1"/>
  <c r="E2692" i="3"/>
  <c r="F2691" i="3"/>
  <c r="A2691" i="3" s="1"/>
  <c r="E2691" i="3"/>
  <c r="F2690" i="3"/>
  <c r="A2690" i="3" s="1"/>
  <c r="E2690" i="3"/>
  <c r="F2689" i="3"/>
  <c r="A2689" i="3" s="1"/>
  <c r="E2689" i="3"/>
  <c r="F2688" i="3"/>
  <c r="A2688" i="3" s="1"/>
  <c r="E2688" i="3"/>
  <c r="F2687" i="3"/>
  <c r="A2687" i="3" s="1"/>
  <c r="E2687" i="3"/>
  <c r="F2686" i="3"/>
  <c r="A2686" i="3" s="1"/>
  <c r="E2686" i="3"/>
  <c r="F2685" i="3"/>
  <c r="A2685" i="3" s="1"/>
  <c r="E2685" i="3"/>
  <c r="F2684" i="3"/>
  <c r="A2684" i="3" s="1"/>
  <c r="E2684" i="3"/>
  <c r="F2683" i="3"/>
  <c r="A2683" i="3" s="1"/>
  <c r="E2683" i="3"/>
  <c r="F2682" i="3"/>
  <c r="A2682" i="3" s="1"/>
  <c r="E2682" i="3"/>
  <c r="F2681" i="3"/>
  <c r="A2681" i="3" s="1"/>
  <c r="E2681" i="3"/>
  <c r="F2680" i="3"/>
  <c r="A2680" i="3" s="1"/>
  <c r="E2680" i="3"/>
  <c r="F2679" i="3"/>
  <c r="A2679" i="3" s="1"/>
  <c r="E2679" i="3"/>
  <c r="F2678" i="3"/>
  <c r="A2678" i="3" s="1"/>
  <c r="E2678" i="3"/>
  <c r="F2677" i="3"/>
  <c r="A2677" i="3" s="1"/>
  <c r="E2677" i="3"/>
  <c r="F2676" i="3"/>
  <c r="A2676" i="3" s="1"/>
  <c r="E2676" i="3"/>
  <c r="F2675" i="3"/>
  <c r="A2675" i="3" s="1"/>
  <c r="E2675" i="3"/>
  <c r="F2674" i="3"/>
  <c r="A2674" i="3" s="1"/>
  <c r="E2674" i="3"/>
  <c r="F2673" i="3"/>
  <c r="A2673" i="3" s="1"/>
  <c r="E2673" i="3"/>
  <c r="F2672" i="3"/>
  <c r="A2672" i="3" s="1"/>
  <c r="E2672" i="3"/>
  <c r="F2671" i="3"/>
  <c r="A2671" i="3" s="1"/>
  <c r="E2671" i="3"/>
  <c r="F2670" i="3"/>
  <c r="A2670" i="3" s="1"/>
  <c r="E2670" i="3"/>
  <c r="F2669" i="3"/>
  <c r="A2669" i="3" s="1"/>
  <c r="E2669" i="3"/>
  <c r="F2668" i="3"/>
  <c r="A2668" i="3" s="1"/>
  <c r="E2668" i="3"/>
  <c r="F2667" i="3"/>
  <c r="A2667" i="3" s="1"/>
  <c r="E2667" i="3"/>
  <c r="F2666" i="3"/>
  <c r="A2666" i="3" s="1"/>
  <c r="E2666" i="3"/>
  <c r="F2665" i="3"/>
  <c r="A2665" i="3" s="1"/>
  <c r="E2665" i="3"/>
  <c r="F2664" i="3"/>
  <c r="A2664" i="3" s="1"/>
  <c r="E2664" i="3"/>
  <c r="F2663" i="3"/>
  <c r="A2663" i="3" s="1"/>
  <c r="E2663" i="3"/>
  <c r="F2662" i="3"/>
  <c r="A2662" i="3" s="1"/>
  <c r="E2662" i="3"/>
  <c r="F2661" i="3"/>
  <c r="A2661" i="3" s="1"/>
  <c r="E2661" i="3"/>
  <c r="F2660" i="3"/>
  <c r="A2660" i="3" s="1"/>
  <c r="E2660" i="3"/>
  <c r="F2659" i="3"/>
  <c r="A2659" i="3" s="1"/>
  <c r="E2659" i="3"/>
  <c r="F2658" i="3"/>
  <c r="A2658" i="3" s="1"/>
  <c r="E2658" i="3"/>
  <c r="F2657" i="3"/>
  <c r="A2657" i="3" s="1"/>
  <c r="E2657" i="3"/>
  <c r="F2656" i="3"/>
  <c r="A2656" i="3" s="1"/>
  <c r="E2656" i="3"/>
  <c r="F2655" i="3"/>
  <c r="A2655" i="3" s="1"/>
  <c r="E2655" i="3"/>
  <c r="F2654" i="3"/>
  <c r="A2654" i="3" s="1"/>
  <c r="E2654" i="3"/>
  <c r="F2653" i="3"/>
  <c r="A2653" i="3" s="1"/>
  <c r="E2653" i="3"/>
  <c r="F2652" i="3"/>
  <c r="A2652" i="3" s="1"/>
  <c r="E2652" i="3"/>
  <c r="F2651" i="3"/>
  <c r="A2651" i="3" s="1"/>
  <c r="E2651" i="3"/>
  <c r="F2650" i="3"/>
  <c r="A2650" i="3" s="1"/>
  <c r="E2650" i="3"/>
  <c r="F2649" i="3"/>
  <c r="A2649" i="3" s="1"/>
  <c r="E2649" i="3"/>
  <c r="F2648" i="3"/>
  <c r="A2648" i="3" s="1"/>
  <c r="E2648" i="3"/>
  <c r="F2647" i="3"/>
  <c r="A2647" i="3" s="1"/>
  <c r="E2647" i="3"/>
  <c r="F2646" i="3"/>
  <c r="A2646" i="3" s="1"/>
  <c r="E2646" i="3"/>
  <c r="F2645" i="3"/>
  <c r="A2645" i="3" s="1"/>
  <c r="E2645" i="3"/>
  <c r="F2644" i="3"/>
  <c r="A2644" i="3" s="1"/>
  <c r="E2644" i="3"/>
  <c r="F2643" i="3"/>
  <c r="A2643" i="3" s="1"/>
  <c r="E2643" i="3"/>
  <c r="F2642" i="3"/>
  <c r="A2642" i="3" s="1"/>
  <c r="E2642" i="3"/>
  <c r="F2641" i="3"/>
  <c r="A2641" i="3" s="1"/>
  <c r="E2641" i="3"/>
  <c r="F2640" i="3"/>
  <c r="A2640" i="3" s="1"/>
  <c r="E2640" i="3"/>
  <c r="F2639" i="3"/>
  <c r="A2639" i="3" s="1"/>
  <c r="E2639" i="3"/>
  <c r="F2638" i="3"/>
  <c r="A2638" i="3" s="1"/>
  <c r="E2638" i="3"/>
  <c r="F2637" i="3"/>
  <c r="A2637" i="3" s="1"/>
  <c r="E2637" i="3"/>
  <c r="F2636" i="3"/>
  <c r="A2636" i="3" s="1"/>
  <c r="E2636" i="3"/>
  <c r="F2635" i="3"/>
  <c r="A2635" i="3" s="1"/>
  <c r="E2635" i="3"/>
  <c r="F2634" i="3"/>
  <c r="A2634" i="3" s="1"/>
  <c r="E2634" i="3"/>
  <c r="F2633" i="3"/>
  <c r="A2633" i="3" s="1"/>
  <c r="E2633" i="3"/>
  <c r="F2632" i="3"/>
  <c r="A2632" i="3" s="1"/>
  <c r="E2632" i="3"/>
  <c r="F2631" i="3"/>
  <c r="A2631" i="3" s="1"/>
  <c r="E2631" i="3"/>
  <c r="F2630" i="3"/>
  <c r="A2630" i="3" s="1"/>
  <c r="E2630" i="3"/>
  <c r="F2629" i="3"/>
  <c r="A2629" i="3" s="1"/>
  <c r="E2629" i="3"/>
  <c r="F2628" i="3"/>
  <c r="A2628" i="3" s="1"/>
  <c r="E2628" i="3"/>
  <c r="F2627" i="3"/>
  <c r="A2627" i="3" s="1"/>
  <c r="E2627" i="3"/>
  <c r="F2626" i="3"/>
  <c r="A2626" i="3" s="1"/>
  <c r="E2626" i="3"/>
  <c r="F2625" i="3"/>
  <c r="A2625" i="3" s="1"/>
  <c r="E2625" i="3"/>
  <c r="F2624" i="3"/>
  <c r="A2624" i="3" s="1"/>
  <c r="E2624" i="3"/>
  <c r="F2623" i="3"/>
  <c r="A2623" i="3" s="1"/>
  <c r="E2623" i="3"/>
  <c r="F2622" i="3"/>
  <c r="A2622" i="3" s="1"/>
  <c r="E2622" i="3"/>
  <c r="F2621" i="3"/>
  <c r="A2621" i="3" s="1"/>
  <c r="E2621" i="3"/>
  <c r="F2620" i="3"/>
  <c r="A2620" i="3" s="1"/>
  <c r="E2620" i="3"/>
  <c r="F2619" i="3"/>
  <c r="A2619" i="3" s="1"/>
  <c r="E2619" i="3"/>
  <c r="F2618" i="3"/>
  <c r="A2618" i="3" s="1"/>
  <c r="E2618" i="3"/>
  <c r="F2617" i="3"/>
  <c r="A2617" i="3" s="1"/>
  <c r="E2617" i="3"/>
  <c r="F2616" i="3"/>
  <c r="A2616" i="3" s="1"/>
  <c r="E2616" i="3"/>
  <c r="F2615" i="3"/>
  <c r="A2615" i="3" s="1"/>
  <c r="E2615" i="3"/>
  <c r="F2614" i="3"/>
  <c r="A2614" i="3" s="1"/>
  <c r="E2614" i="3"/>
  <c r="F2613" i="3"/>
  <c r="A2613" i="3" s="1"/>
  <c r="E2613" i="3"/>
  <c r="F2612" i="3"/>
  <c r="A2612" i="3" s="1"/>
  <c r="E2612" i="3"/>
  <c r="F2611" i="3"/>
  <c r="A2611" i="3" s="1"/>
  <c r="E2611" i="3"/>
  <c r="F2610" i="3"/>
  <c r="A2610" i="3" s="1"/>
  <c r="E2610" i="3"/>
  <c r="F2609" i="3"/>
  <c r="A2609" i="3" s="1"/>
  <c r="E2609" i="3"/>
  <c r="F2608" i="3"/>
  <c r="A2608" i="3" s="1"/>
  <c r="E2608" i="3"/>
  <c r="F2607" i="3"/>
  <c r="A2607" i="3" s="1"/>
  <c r="E2607" i="3"/>
  <c r="F2606" i="3"/>
  <c r="A2606" i="3" s="1"/>
  <c r="E2606" i="3"/>
  <c r="F2605" i="3"/>
  <c r="A2605" i="3" s="1"/>
  <c r="E2605" i="3"/>
  <c r="F2604" i="3"/>
  <c r="A2604" i="3" s="1"/>
  <c r="E2604" i="3"/>
  <c r="F2603" i="3"/>
  <c r="A2603" i="3" s="1"/>
  <c r="E2603" i="3"/>
  <c r="F2602" i="3"/>
  <c r="A2602" i="3" s="1"/>
  <c r="E2602" i="3"/>
  <c r="F2601" i="3"/>
  <c r="A2601" i="3" s="1"/>
  <c r="E2601" i="3"/>
  <c r="F2600" i="3"/>
  <c r="A2600" i="3" s="1"/>
  <c r="E2600" i="3"/>
  <c r="F2599" i="3"/>
  <c r="A2599" i="3" s="1"/>
  <c r="E2599" i="3"/>
  <c r="F2598" i="3"/>
  <c r="A2598" i="3" s="1"/>
  <c r="E2598" i="3"/>
  <c r="F2597" i="3"/>
  <c r="A2597" i="3" s="1"/>
  <c r="E2597" i="3"/>
  <c r="F2596" i="3"/>
  <c r="A2596" i="3" s="1"/>
  <c r="E2596" i="3"/>
  <c r="F2595" i="3"/>
  <c r="A2595" i="3" s="1"/>
  <c r="E2595" i="3"/>
  <c r="F2594" i="3"/>
  <c r="A2594" i="3" s="1"/>
  <c r="E2594" i="3"/>
  <c r="F2593" i="3"/>
  <c r="A2593" i="3" s="1"/>
  <c r="E2593" i="3"/>
  <c r="F2592" i="3"/>
  <c r="A2592" i="3" s="1"/>
  <c r="E2592" i="3"/>
  <c r="F2591" i="3"/>
  <c r="A2591" i="3" s="1"/>
  <c r="E2591" i="3"/>
  <c r="F2590" i="3"/>
  <c r="A2590" i="3" s="1"/>
  <c r="E2590" i="3"/>
  <c r="F2589" i="3"/>
  <c r="A2589" i="3" s="1"/>
  <c r="E2589" i="3"/>
  <c r="F2588" i="3"/>
  <c r="A2588" i="3" s="1"/>
  <c r="E2588" i="3"/>
  <c r="F2587" i="3"/>
  <c r="A2587" i="3" s="1"/>
  <c r="E2587" i="3"/>
  <c r="F2586" i="3"/>
  <c r="A2586" i="3" s="1"/>
  <c r="E2586" i="3"/>
  <c r="F2585" i="3"/>
  <c r="A2585" i="3" s="1"/>
  <c r="E2585" i="3"/>
  <c r="F2584" i="3"/>
  <c r="A2584" i="3" s="1"/>
  <c r="E2584" i="3"/>
  <c r="F2583" i="3"/>
  <c r="A2583" i="3" s="1"/>
  <c r="E2583" i="3"/>
  <c r="F2582" i="3"/>
  <c r="A2582" i="3" s="1"/>
  <c r="E2582" i="3"/>
  <c r="F2581" i="3"/>
  <c r="A2581" i="3" s="1"/>
  <c r="E2581" i="3"/>
  <c r="F2580" i="3"/>
  <c r="A2580" i="3" s="1"/>
  <c r="E2580" i="3"/>
  <c r="F2579" i="3"/>
  <c r="A2579" i="3" s="1"/>
  <c r="E2579" i="3"/>
  <c r="F2578" i="3"/>
  <c r="A2578" i="3" s="1"/>
  <c r="E2578" i="3"/>
  <c r="F2577" i="3"/>
  <c r="A2577" i="3" s="1"/>
  <c r="E2577" i="3"/>
  <c r="F2576" i="3"/>
  <c r="A2576" i="3" s="1"/>
  <c r="E2576" i="3"/>
  <c r="F2575" i="3"/>
  <c r="A2575" i="3" s="1"/>
  <c r="E2575" i="3"/>
  <c r="F2574" i="3"/>
  <c r="A2574" i="3" s="1"/>
  <c r="E2574" i="3"/>
  <c r="F2573" i="3"/>
  <c r="A2573" i="3" s="1"/>
  <c r="E2573" i="3"/>
  <c r="F2572" i="3"/>
  <c r="A2572" i="3" s="1"/>
  <c r="E2572" i="3"/>
  <c r="F2571" i="3"/>
  <c r="A2571" i="3" s="1"/>
  <c r="E2571" i="3"/>
  <c r="F2570" i="3"/>
  <c r="A2570" i="3" s="1"/>
  <c r="E2570" i="3"/>
  <c r="F2569" i="3"/>
  <c r="A2569" i="3" s="1"/>
  <c r="E2569" i="3"/>
  <c r="F2568" i="3"/>
  <c r="A2568" i="3" s="1"/>
  <c r="E2568" i="3"/>
  <c r="F2567" i="3"/>
  <c r="A2567" i="3" s="1"/>
  <c r="E2567" i="3"/>
  <c r="F2566" i="3"/>
  <c r="A2566" i="3" s="1"/>
  <c r="E2566" i="3"/>
  <c r="F2565" i="3"/>
  <c r="A2565" i="3" s="1"/>
  <c r="E2565" i="3"/>
  <c r="F2564" i="3"/>
  <c r="A2564" i="3" s="1"/>
  <c r="E2564" i="3"/>
  <c r="F2563" i="3"/>
  <c r="A2563" i="3" s="1"/>
  <c r="E2563" i="3"/>
  <c r="F2562" i="3"/>
  <c r="A2562" i="3" s="1"/>
  <c r="E2562" i="3"/>
  <c r="F2561" i="3"/>
  <c r="A2561" i="3" s="1"/>
  <c r="E2561" i="3"/>
  <c r="F2560" i="3"/>
  <c r="A2560" i="3" s="1"/>
  <c r="E2560" i="3"/>
  <c r="F2559" i="3"/>
  <c r="A2559" i="3" s="1"/>
  <c r="E2559" i="3"/>
  <c r="F2558" i="3"/>
  <c r="A2558" i="3" s="1"/>
  <c r="E2558" i="3"/>
  <c r="F2557" i="3"/>
  <c r="A2557" i="3" s="1"/>
  <c r="E2557" i="3"/>
  <c r="F2556" i="3"/>
  <c r="A2556" i="3" s="1"/>
  <c r="E2556" i="3"/>
  <c r="F2555" i="3"/>
  <c r="A2555" i="3" s="1"/>
  <c r="E2555" i="3"/>
  <c r="F2554" i="3"/>
  <c r="A2554" i="3" s="1"/>
  <c r="E2554" i="3"/>
  <c r="F2553" i="3"/>
  <c r="A2553" i="3" s="1"/>
  <c r="E2553" i="3"/>
  <c r="F2552" i="3"/>
  <c r="A2552" i="3" s="1"/>
  <c r="E2552" i="3"/>
  <c r="F2551" i="3"/>
  <c r="A2551" i="3" s="1"/>
  <c r="E2551" i="3"/>
  <c r="F2550" i="3"/>
  <c r="A2550" i="3" s="1"/>
  <c r="E2550" i="3"/>
  <c r="F2549" i="3"/>
  <c r="A2549" i="3" s="1"/>
  <c r="E2549" i="3"/>
  <c r="F2548" i="3"/>
  <c r="A2548" i="3" s="1"/>
  <c r="E2548" i="3"/>
  <c r="F2547" i="3"/>
  <c r="A2547" i="3" s="1"/>
  <c r="E2547" i="3"/>
  <c r="F2546" i="3"/>
  <c r="A2546" i="3" s="1"/>
  <c r="E2546" i="3"/>
  <c r="F2545" i="3"/>
  <c r="A2545" i="3" s="1"/>
  <c r="E2545" i="3"/>
  <c r="F2544" i="3"/>
  <c r="A2544" i="3" s="1"/>
  <c r="E2544" i="3"/>
  <c r="F2543" i="3"/>
  <c r="A2543" i="3" s="1"/>
  <c r="E2543" i="3"/>
  <c r="F2542" i="3"/>
  <c r="A2542" i="3" s="1"/>
  <c r="E2542" i="3"/>
  <c r="F2541" i="3"/>
  <c r="A2541" i="3" s="1"/>
  <c r="E2541" i="3"/>
  <c r="F2540" i="3"/>
  <c r="A2540" i="3" s="1"/>
  <c r="E2540" i="3"/>
  <c r="F2539" i="3"/>
  <c r="A2539" i="3" s="1"/>
  <c r="E2539" i="3"/>
  <c r="F2538" i="3"/>
  <c r="A2538" i="3" s="1"/>
  <c r="E2538" i="3"/>
  <c r="F2537" i="3"/>
  <c r="A2537" i="3" s="1"/>
  <c r="E2537" i="3"/>
  <c r="F2536" i="3"/>
  <c r="A2536" i="3" s="1"/>
  <c r="E2536" i="3"/>
  <c r="F2535" i="3"/>
  <c r="A2535" i="3" s="1"/>
  <c r="E2535" i="3"/>
  <c r="F2534" i="3"/>
  <c r="A2534" i="3" s="1"/>
  <c r="E2534" i="3"/>
  <c r="F2533" i="3"/>
  <c r="A2533" i="3" s="1"/>
  <c r="E2533" i="3"/>
  <c r="F2532" i="3"/>
  <c r="A2532" i="3" s="1"/>
  <c r="E2532" i="3"/>
  <c r="F2531" i="3"/>
  <c r="A2531" i="3" s="1"/>
  <c r="E2531" i="3"/>
  <c r="F2530" i="3"/>
  <c r="A2530" i="3" s="1"/>
  <c r="E2530" i="3"/>
  <c r="F2529" i="3"/>
  <c r="A2529" i="3" s="1"/>
  <c r="E2529" i="3"/>
  <c r="F2528" i="3"/>
  <c r="A2528" i="3" s="1"/>
  <c r="E2528" i="3"/>
  <c r="F2527" i="3"/>
  <c r="A2527" i="3" s="1"/>
  <c r="E2527" i="3"/>
  <c r="F2526" i="3"/>
  <c r="A2526" i="3" s="1"/>
  <c r="E2526" i="3"/>
  <c r="F2525" i="3"/>
  <c r="A2525" i="3" s="1"/>
  <c r="E2525" i="3"/>
  <c r="F2524" i="3"/>
  <c r="A2524" i="3" s="1"/>
  <c r="E2524" i="3"/>
  <c r="F2523" i="3"/>
  <c r="A2523" i="3" s="1"/>
  <c r="E2523" i="3"/>
  <c r="F2522" i="3"/>
  <c r="A2522" i="3" s="1"/>
  <c r="E2522" i="3"/>
  <c r="F2521" i="3"/>
  <c r="A2521" i="3" s="1"/>
  <c r="E2521" i="3"/>
  <c r="F2520" i="3"/>
  <c r="A2520" i="3" s="1"/>
  <c r="E2520" i="3"/>
  <c r="F2519" i="3"/>
  <c r="A2519" i="3" s="1"/>
  <c r="E2519" i="3"/>
  <c r="F2518" i="3"/>
  <c r="A2518" i="3" s="1"/>
  <c r="E2518" i="3"/>
  <c r="F2517" i="3"/>
  <c r="A2517" i="3" s="1"/>
  <c r="E2517" i="3"/>
  <c r="F2516" i="3"/>
  <c r="A2516" i="3" s="1"/>
  <c r="E2516" i="3"/>
  <c r="F2515" i="3"/>
  <c r="A2515" i="3" s="1"/>
  <c r="E2515" i="3"/>
  <c r="F2514" i="3"/>
  <c r="A2514" i="3" s="1"/>
  <c r="E2514" i="3"/>
  <c r="F2513" i="3"/>
  <c r="A2513" i="3" s="1"/>
  <c r="E2513" i="3"/>
  <c r="F2512" i="3"/>
  <c r="A2512" i="3" s="1"/>
  <c r="E2512" i="3"/>
  <c r="F2511" i="3"/>
  <c r="A2511" i="3" s="1"/>
  <c r="E2511" i="3"/>
  <c r="F2510" i="3"/>
  <c r="A2510" i="3" s="1"/>
  <c r="E2510" i="3"/>
  <c r="F2509" i="3"/>
  <c r="A2509" i="3" s="1"/>
  <c r="E2509" i="3"/>
  <c r="F2508" i="3"/>
  <c r="A2508" i="3" s="1"/>
  <c r="E2508" i="3"/>
  <c r="F2507" i="3"/>
  <c r="A2507" i="3" s="1"/>
  <c r="E2507" i="3"/>
  <c r="F2506" i="3"/>
  <c r="A2506" i="3" s="1"/>
  <c r="E2506" i="3"/>
  <c r="F2505" i="3"/>
  <c r="A2505" i="3" s="1"/>
  <c r="E2505" i="3"/>
  <c r="F2504" i="3"/>
  <c r="A2504" i="3" s="1"/>
  <c r="E2504" i="3"/>
  <c r="F2503" i="3"/>
  <c r="A2503" i="3" s="1"/>
  <c r="E2503" i="3"/>
  <c r="F2502" i="3"/>
  <c r="A2502" i="3" s="1"/>
  <c r="E2502" i="3"/>
  <c r="F2501" i="3"/>
  <c r="A2501" i="3" s="1"/>
  <c r="E2501" i="3"/>
  <c r="F2500" i="3"/>
  <c r="A2500" i="3" s="1"/>
  <c r="E2500" i="3"/>
  <c r="F2499" i="3"/>
  <c r="A2499" i="3" s="1"/>
  <c r="E2499" i="3"/>
  <c r="F2498" i="3"/>
  <c r="A2498" i="3" s="1"/>
  <c r="E2498" i="3"/>
  <c r="F2497" i="3"/>
  <c r="A2497" i="3" s="1"/>
  <c r="E2497" i="3"/>
  <c r="F2496" i="3"/>
  <c r="A2496" i="3" s="1"/>
  <c r="E2496" i="3"/>
  <c r="F2495" i="3"/>
  <c r="A2495" i="3" s="1"/>
  <c r="E2495" i="3"/>
  <c r="F2494" i="3"/>
  <c r="A2494" i="3" s="1"/>
  <c r="E2494" i="3"/>
  <c r="F2493" i="3"/>
  <c r="A2493" i="3" s="1"/>
  <c r="E2493" i="3"/>
  <c r="F2492" i="3"/>
  <c r="A2492" i="3" s="1"/>
  <c r="E2492" i="3"/>
  <c r="F2491" i="3"/>
  <c r="A2491" i="3" s="1"/>
  <c r="E2491" i="3"/>
  <c r="F2490" i="3"/>
  <c r="A2490" i="3" s="1"/>
  <c r="E2490" i="3"/>
  <c r="F2489" i="3"/>
  <c r="A2489" i="3" s="1"/>
  <c r="E2489" i="3"/>
  <c r="F2488" i="3"/>
  <c r="A2488" i="3" s="1"/>
  <c r="E2488" i="3"/>
  <c r="F2487" i="3"/>
  <c r="A2487" i="3" s="1"/>
  <c r="E2487" i="3"/>
  <c r="F2486" i="3"/>
  <c r="A2486" i="3" s="1"/>
  <c r="E2486" i="3"/>
  <c r="F2485" i="3"/>
  <c r="A2485" i="3" s="1"/>
  <c r="E2485" i="3"/>
  <c r="F2484" i="3"/>
  <c r="A2484" i="3" s="1"/>
  <c r="E2484" i="3"/>
  <c r="F2483" i="3"/>
  <c r="A2483" i="3" s="1"/>
  <c r="E2483" i="3"/>
  <c r="F2482" i="3"/>
  <c r="A2482" i="3" s="1"/>
  <c r="E2482" i="3"/>
  <c r="F2481" i="3"/>
  <c r="A2481" i="3" s="1"/>
  <c r="E2481" i="3"/>
  <c r="F2480" i="3"/>
  <c r="A2480" i="3" s="1"/>
  <c r="E2480" i="3"/>
  <c r="F2479" i="3"/>
  <c r="A2479" i="3" s="1"/>
  <c r="E2479" i="3"/>
  <c r="F2478" i="3"/>
  <c r="A2478" i="3" s="1"/>
  <c r="E2478" i="3"/>
  <c r="F2477" i="3"/>
  <c r="A2477" i="3" s="1"/>
  <c r="E2477" i="3"/>
  <c r="F2476" i="3"/>
  <c r="A2476" i="3" s="1"/>
  <c r="E2476" i="3"/>
  <c r="F2475" i="3"/>
  <c r="A2475" i="3" s="1"/>
  <c r="E2475" i="3"/>
  <c r="F2474" i="3"/>
  <c r="A2474" i="3" s="1"/>
  <c r="E2474" i="3"/>
  <c r="F2473" i="3"/>
  <c r="A2473" i="3" s="1"/>
  <c r="E2473" i="3"/>
  <c r="F2472" i="3"/>
  <c r="A2472" i="3" s="1"/>
  <c r="E2472" i="3"/>
  <c r="F2471" i="3"/>
  <c r="A2471" i="3" s="1"/>
  <c r="E2471" i="3"/>
  <c r="F2470" i="3"/>
  <c r="A2470" i="3" s="1"/>
  <c r="E2470" i="3"/>
  <c r="F2469" i="3"/>
  <c r="A2469" i="3" s="1"/>
  <c r="E2469" i="3"/>
  <c r="F2468" i="3"/>
  <c r="A2468" i="3" s="1"/>
  <c r="E2468" i="3"/>
  <c r="F2467" i="3"/>
  <c r="A2467" i="3" s="1"/>
  <c r="E2467" i="3"/>
  <c r="F2466" i="3"/>
  <c r="A2466" i="3" s="1"/>
  <c r="E2466" i="3"/>
  <c r="F2465" i="3"/>
  <c r="A2465" i="3" s="1"/>
  <c r="E2465" i="3"/>
  <c r="F2464" i="3"/>
  <c r="A2464" i="3" s="1"/>
  <c r="E2464" i="3"/>
  <c r="F2463" i="3"/>
  <c r="A2463" i="3" s="1"/>
  <c r="E2463" i="3"/>
  <c r="F2462" i="3"/>
  <c r="A2462" i="3" s="1"/>
  <c r="E2462" i="3"/>
  <c r="F2461" i="3"/>
  <c r="A2461" i="3" s="1"/>
  <c r="E2461" i="3"/>
  <c r="F2460" i="3"/>
  <c r="A2460" i="3" s="1"/>
  <c r="E2460" i="3"/>
  <c r="F2459" i="3"/>
  <c r="A2459" i="3" s="1"/>
  <c r="E2459" i="3"/>
  <c r="F2458" i="3"/>
  <c r="A2458" i="3" s="1"/>
  <c r="E2458" i="3"/>
  <c r="F2457" i="3"/>
  <c r="A2457" i="3" s="1"/>
  <c r="E2457" i="3"/>
  <c r="F2456" i="3"/>
  <c r="A2456" i="3" s="1"/>
  <c r="E2456" i="3"/>
  <c r="F2455" i="3"/>
  <c r="A2455" i="3" s="1"/>
  <c r="E2455" i="3"/>
  <c r="F2454" i="3"/>
  <c r="A2454" i="3" s="1"/>
  <c r="E2454" i="3"/>
  <c r="F2453" i="3"/>
  <c r="A2453" i="3" s="1"/>
  <c r="E2453" i="3"/>
  <c r="F2452" i="3"/>
  <c r="A2452" i="3" s="1"/>
  <c r="E2452" i="3"/>
  <c r="F2451" i="3"/>
  <c r="A2451" i="3" s="1"/>
  <c r="E2451" i="3"/>
  <c r="F2450" i="3"/>
  <c r="A2450" i="3" s="1"/>
  <c r="E2450" i="3"/>
  <c r="F2449" i="3"/>
  <c r="A2449" i="3" s="1"/>
  <c r="E2449" i="3"/>
  <c r="F2448" i="3"/>
  <c r="A2448" i="3" s="1"/>
  <c r="E2448" i="3"/>
  <c r="F2447" i="3"/>
  <c r="A2447" i="3" s="1"/>
  <c r="E2447" i="3"/>
  <c r="F2446" i="3"/>
  <c r="A2446" i="3" s="1"/>
  <c r="E2446" i="3"/>
  <c r="F2445" i="3"/>
  <c r="A2445" i="3" s="1"/>
  <c r="E2445" i="3"/>
  <c r="F2444" i="3"/>
  <c r="A2444" i="3" s="1"/>
  <c r="E2444" i="3"/>
  <c r="F2443" i="3"/>
  <c r="A2443" i="3" s="1"/>
  <c r="E2443" i="3"/>
  <c r="F2442" i="3"/>
  <c r="A2442" i="3" s="1"/>
  <c r="E2442" i="3"/>
  <c r="F2441" i="3"/>
  <c r="A2441" i="3" s="1"/>
  <c r="E2441" i="3"/>
  <c r="F2440" i="3"/>
  <c r="A2440" i="3" s="1"/>
  <c r="E2440" i="3"/>
  <c r="F2439" i="3"/>
  <c r="A2439" i="3" s="1"/>
  <c r="E2439" i="3"/>
  <c r="F2438" i="3"/>
  <c r="A2438" i="3" s="1"/>
  <c r="E2438" i="3"/>
  <c r="F2437" i="3"/>
  <c r="A2437" i="3" s="1"/>
  <c r="E2437" i="3"/>
  <c r="F2436" i="3"/>
  <c r="A2436" i="3" s="1"/>
  <c r="E2436" i="3"/>
  <c r="F2435" i="3"/>
  <c r="A2435" i="3" s="1"/>
  <c r="E2435" i="3"/>
  <c r="F2434" i="3"/>
  <c r="A2434" i="3" s="1"/>
  <c r="E2434" i="3"/>
  <c r="F2433" i="3"/>
  <c r="A2433" i="3" s="1"/>
  <c r="E2433" i="3"/>
  <c r="F2432" i="3"/>
  <c r="A2432" i="3" s="1"/>
  <c r="E2432" i="3"/>
  <c r="F2431" i="3"/>
  <c r="A2431" i="3" s="1"/>
  <c r="E2431" i="3"/>
  <c r="F2430" i="3"/>
  <c r="A2430" i="3" s="1"/>
  <c r="E2430" i="3"/>
  <c r="F2429" i="3"/>
  <c r="A2429" i="3" s="1"/>
  <c r="E2429" i="3"/>
  <c r="F2428" i="3"/>
  <c r="A2428" i="3" s="1"/>
  <c r="E2428" i="3"/>
  <c r="F2427" i="3"/>
  <c r="A2427" i="3" s="1"/>
  <c r="E2427" i="3"/>
  <c r="F2426" i="3"/>
  <c r="A2426" i="3" s="1"/>
  <c r="E2426" i="3"/>
  <c r="F2425" i="3"/>
  <c r="A2425" i="3" s="1"/>
  <c r="E2425" i="3"/>
  <c r="F2424" i="3"/>
  <c r="A2424" i="3" s="1"/>
  <c r="E2424" i="3"/>
  <c r="F2423" i="3"/>
  <c r="A2423" i="3" s="1"/>
  <c r="E2423" i="3"/>
  <c r="F2422" i="3"/>
  <c r="A2422" i="3" s="1"/>
  <c r="E2422" i="3"/>
  <c r="F2421" i="3"/>
  <c r="A2421" i="3" s="1"/>
  <c r="E2421" i="3"/>
  <c r="F2420" i="3"/>
  <c r="A2420" i="3" s="1"/>
  <c r="E2420" i="3"/>
  <c r="F2419" i="3"/>
  <c r="A2419" i="3" s="1"/>
  <c r="E2419" i="3"/>
  <c r="F2418" i="3"/>
  <c r="A2418" i="3" s="1"/>
  <c r="E2418" i="3"/>
  <c r="F2417" i="3"/>
  <c r="A2417" i="3" s="1"/>
  <c r="E2417" i="3"/>
  <c r="F2416" i="3"/>
  <c r="A2416" i="3" s="1"/>
  <c r="E2416" i="3"/>
  <c r="F2415" i="3"/>
  <c r="A2415" i="3" s="1"/>
  <c r="E2415" i="3"/>
  <c r="F2414" i="3"/>
  <c r="A2414" i="3" s="1"/>
  <c r="E2414" i="3"/>
  <c r="F2413" i="3"/>
  <c r="A2413" i="3" s="1"/>
  <c r="E2413" i="3"/>
  <c r="F2412" i="3"/>
  <c r="A2412" i="3" s="1"/>
  <c r="E2412" i="3"/>
  <c r="F2411" i="3"/>
  <c r="A2411" i="3" s="1"/>
  <c r="E2411" i="3"/>
  <c r="F2410" i="3"/>
  <c r="A2410" i="3" s="1"/>
  <c r="E2410" i="3"/>
  <c r="F2409" i="3"/>
  <c r="A2409" i="3" s="1"/>
  <c r="E2409" i="3"/>
  <c r="F2408" i="3"/>
  <c r="A2408" i="3" s="1"/>
  <c r="E2408" i="3"/>
  <c r="F2407" i="3"/>
  <c r="A2407" i="3" s="1"/>
  <c r="E2407" i="3"/>
  <c r="F2406" i="3"/>
  <c r="A2406" i="3" s="1"/>
  <c r="E2406" i="3"/>
  <c r="F2405" i="3"/>
  <c r="A2405" i="3" s="1"/>
  <c r="E2405" i="3"/>
  <c r="F2404" i="3"/>
  <c r="A2404" i="3" s="1"/>
  <c r="E2404" i="3"/>
  <c r="F2403" i="3"/>
  <c r="A2403" i="3" s="1"/>
  <c r="E2403" i="3"/>
  <c r="F2402" i="3"/>
  <c r="A2402" i="3" s="1"/>
  <c r="E2402" i="3"/>
  <c r="F2401" i="3"/>
  <c r="A2401" i="3" s="1"/>
  <c r="E2401" i="3"/>
  <c r="F2400" i="3"/>
  <c r="A2400" i="3" s="1"/>
  <c r="E2400" i="3"/>
  <c r="F2399" i="3"/>
  <c r="A2399" i="3" s="1"/>
  <c r="E2399" i="3"/>
  <c r="F2398" i="3"/>
  <c r="A2398" i="3" s="1"/>
  <c r="E2398" i="3"/>
  <c r="F2397" i="3"/>
  <c r="A2397" i="3" s="1"/>
  <c r="E2397" i="3"/>
  <c r="F2396" i="3"/>
  <c r="A2396" i="3" s="1"/>
  <c r="E2396" i="3"/>
  <c r="F2395" i="3"/>
  <c r="A2395" i="3" s="1"/>
  <c r="E2395" i="3"/>
  <c r="F2394" i="3"/>
  <c r="A2394" i="3" s="1"/>
  <c r="E2394" i="3"/>
  <c r="F2393" i="3"/>
  <c r="A2393" i="3" s="1"/>
  <c r="E2393" i="3"/>
  <c r="F2392" i="3"/>
  <c r="A2392" i="3" s="1"/>
  <c r="E2392" i="3"/>
  <c r="F2391" i="3"/>
  <c r="A2391" i="3" s="1"/>
  <c r="E2391" i="3"/>
  <c r="F2390" i="3"/>
  <c r="A2390" i="3" s="1"/>
  <c r="E2390" i="3"/>
  <c r="F2389" i="3"/>
  <c r="A2389" i="3" s="1"/>
  <c r="E2389" i="3"/>
  <c r="F2388" i="3"/>
  <c r="A2388" i="3" s="1"/>
  <c r="E2388" i="3"/>
  <c r="F2387" i="3"/>
  <c r="A2387" i="3" s="1"/>
  <c r="E2387" i="3"/>
  <c r="F2386" i="3"/>
  <c r="A2386" i="3" s="1"/>
  <c r="E2386" i="3"/>
  <c r="F2385" i="3"/>
  <c r="A2385" i="3" s="1"/>
  <c r="E2385" i="3"/>
  <c r="F2384" i="3"/>
  <c r="A2384" i="3" s="1"/>
  <c r="E2384" i="3"/>
  <c r="F2383" i="3"/>
  <c r="A2383" i="3" s="1"/>
  <c r="E2383" i="3"/>
  <c r="F2382" i="3"/>
  <c r="A2382" i="3" s="1"/>
  <c r="E2382" i="3"/>
  <c r="F2381" i="3"/>
  <c r="A2381" i="3" s="1"/>
  <c r="E2381" i="3"/>
  <c r="F2380" i="3"/>
  <c r="A2380" i="3" s="1"/>
  <c r="E2380" i="3"/>
  <c r="F2379" i="3"/>
  <c r="A2379" i="3" s="1"/>
  <c r="E2379" i="3"/>
  <c r="F2378" i="3"/>
  <c r="A2378" i="3" s="1"/>
  <c r="E2378" i="3"/>
  <c r="F2377" i="3"/>
  <c r="A2377" i="3" s="1"/>
  <c r="E2377" i="3"/>
  <c r="F2376" i="3"/>
  <c r="A2376" i="3" s="1"/>
  <c r="E2376" i="3"/>
  <c r="F2375" i="3"/>
  <c r="A2375" i="3" s="1"/>
  <c r="E2375" i="3"/>
  <c r="F2374" i="3"/>
  <c r="A2374" i="3" s="1"/>
  <c r="E2374" i="3"/>
  <c r="F2373" i="3"/>
  <c r="A2373" i="3" s="1"/>
  <c r="E2373" i="3"/>
  <c r="F2372" i="3"/>
  <c r="A2372" i="3" s="1"/>
  <c r="E2372" i="3"/>
  <c r="F2371" i="3"/>
  <c r="A2371" i="3" s="1"/>
  <c r="E2371" i="3"/>
  <c r="F2370" i="3"/>
  <c r="A2370" i="3" s="1"/>
  <c r="E2370" i="3"/>
  <c r="F2369" i="3"/>
  <c r="A2369" i="3" s="1"/>
  <c r="E2369" i="3"/>
  <c r="F2368" i="3"/>
  <c r="A2368" i="3" s="1"/>
  <c r="E2368" i="3"/>
  <c r="F2367" i="3"/>
  <c r="A2367" i="3" s="1"/>
  <c r="E2367" i="3"/>
  <c r="F2366" i="3"/>
  <c r="A2366" i="3" s="1"/>
  <c r="E2366" i="3"/>
  <c r="F2365" i="3"/>
  <c r="A2365" i="3" s="1"/>
  <c r="E2365" i="3"/>
  <c r="F2364" i="3"/>
  <c r="A2364" i="3" s="1"/>
  <c r="E2364" i="3"/>
  <c r="F2363" i="3"/>
  <c r="A2363" i="3" s="1"/>
  <c r="E2363" i="3"/>
  <c r="F2362" i="3"/>
  <c r="A2362" i="3" s="1"/>
  <c r="E2362" i="3"/>
  <c r="F2361" i="3"/>
  <c r="A2361" i="3" s="1"/>
  <c r="E2361" i="3"/>
  <c r="F2360" i="3"/>
  <c r="A2360" i="3" s="1"/>
  <c r="E2360" i="3"/>
  <c r="F2359" i="3"/>
  <c r="A2359" i="3" s="1"/>
  <c r="E2359" i="3"/>
  <c r="F2358" i="3"/>
  <c r="A2358" i="3" s="1"/>
  <c r="E2358" i="3"/>
  <c r="F2357" i="3"/>
  <c r="A2357" i="3" s="1"/>
  <c r="E2357" i="3"/>
  <c r="F2356" i="3"/>
  <c r="A2356" i="3" s="1"/>
  <c r="E2356" i="3"/>
  <c r="F2355" i="3"/>
  <c r="A2355" i="3" s="1"/>
  <c r="E2355" i="3"/>
  <c r="F2354" i="3"/>
  <c r="A2354" i="3" s="1"/>
  <c r="E2354" i="3"/>
  <c r="F2353" i="3"/>
  <c r="A2353" i="3" s="1"/>
  <c r="E2353" i="3"/>
  <c r="F2352" i="3"/>
  <c r="A2352" i="3" s="1"/>
  <c r="E2352" i="3"/>
  <c r="F2351" i="3"/>
  <c r="A2351" i="3" s="1"/>
  <c r="E2351" i="3"/>
  <c r="F2350" i="3"/>
  <c r="A2350" i="3" s="1"/>
  <c r="E2350" i="3"/>
  <c r="F2349" i="3"/>
  <c r="A2349" i="3" s="1"/>
  <c r="E2349" i="3"/>
  <c r="F2348" i="3"/>
  <c r="A2348" i="3" s="1"/>
  <c r="E2348" i="3"/>
  <c r="F2347" i="3"/>
  <c r="A2347" i="3" s="1"/>
  <c r="E2347" i="3"/>
  <c r="F2346" i="3"/>
  <c r="A2346" i="3" s="1"/>
  <c r="E2346" i="3"/>
  <c r="F2345" i="3"/>
  <c r="A2345" i="3" s="1"/>
  <c r="E2345" i="3"/>
  <c r="F2344" i="3"/>
  <c r="A2344" i="3" s="1"/>
  <c r="E2344" i="3"/>
  <c r="F2343" i="3"/>
  <c r="A2343" i="3" s="1"/>
  <c r="E2343" i="3"/>
  <c r="F2342" i="3"/>
  <c r="A2342" i="3" s="1"/>
  <c r="E2342" i="3"/>
  <c r="F2341" i="3"/>
  <c r="A2341" i="3" s="1"/>
  <c r="E2341" i="3"/>
  <c r="F2340" i="3"/>
  <c r="A2340" i="3" s="1"/>
  <c r="E2340" i="3"/>
  <c r="F2339" i="3"/>
  <c r="A2339" i="3" s="1"/>
  <c r="E2339" i="3"/>
  <c r="F2338" i="3"/>
  <c r="A2338" i="3" s="1"/>
  <c r="E2338" i="3"/>
  <c r="F2337" i="3"/>
  <c r="A2337" i="3" s="1"/>
  <c r="E2337" i="3"/>
  <c r="F2336" i="3"/>
  <c r="A2336" i="3" s="1"/>
  <c r="E2336" i="3"/>
  <c r="F2335" i="3"/>
  <c r="A2335" i="3" s="1"/>
  <c r="E2335" i="3"/>
  <c r="F2334" i="3"/>
  <c r="A2334" i="3" s="1"/>
  <c r="E2334" i="3"/>
  <c r="F2333" i="3"/>
  <c r="A2333" i="3" s="1"/>
  <c r="E2333" i="3"/>
  <c r="F2332" i="3"/>
  <c r="A2332" i="3" s="1"/>
  <c r="E2332" i="3"/>
  <c r="F2331" i="3"/>
  <c r="A2331" i="3" s="1"/>
  <c r="E2331" i="3"/>
  <c r="F2330" i="3"/>
  <c r="A2330" i="3" s="1"/>
  <c r="E2330" i="3"/>
  <c r="F2329" i="3"/>
  <c r="A2329" i="3" s="1"/>
  <c r="E2329" i="3"/>
  <c r="F2328" i="3"/>
  <c r="A2328" i="3" s="1"/>
  <c r="E2328" i="3"/>
  <c r="F2327" i="3"/>
  <c r="A2327" i="3" s="1"/>
  <c r="E2327" i="3"/>
  <c r="F2326" i="3"/>
  <c r="A2326" i="3" s="1"/>
  <c r="E2326" i="3"/>
  <c r="F2325" i="3"/>
  <c r="A2325" i="3" s="1"/>
  <c r="E2325" i="3"/>
  <c r="F2324" i="3"/>
  <c r="A2324" i="3" s="1"/>
  <c r="E2324" i="3"/>
  <c r="F2323" i="3"/>
  <c r="A2323" i="3" s="1"/>
  <c r="E2323" i="3"/>
  <c r="F2322" i="3"/>
  <c r="A2322" i="3" s="1"/>
  <c r="E2322" i="3"/>
  <c r="F2321" i="3"/>
  <c r="A2321" i="3" s="1"/>
  <c r="E2321" i="3"/>
  <c r="F2320" i="3"/>
  <c r="A2320" i="3" s="1"/>
  <c r="E2320" i="3"/>
  <c r="F2319" i="3"/>
  <c r="A2319" i="3" s="1"/>
  <c r="E2319" i="3"/>
  <c r="F2318" i="3"/>
  <c r="A2318" i="3" s="1"/>
  <c r="E2318" i="3"/>
  <c r="F2317" i="3"/>
  <c r="A2317" i="3" s="1"/>
  <c r="E2317" i="3"/>
  <c r="F2316" i="3"/>
  <c r="A2316" i="3" s="1"/>
  <c r="E2316" i="3"/>
  <c r="F2315" i="3"/>
  <c r="A2315" i="3" s="1"/>
  <c r="E2315" i="3"/>
  <c r="F2314" i="3"/>
  <c r="A2314" i="3" s="1"/>
  <c r="E2314" i="3"/>
  <c r="F2313" i="3"/>
  <c r="A2313" i="3" s="1"/>
  <c r="E2313" i="3"/>
  <c r="F2312" i="3"/>
  <c r="A2312" i="3" s="1"/>
  <c r="E2312" i="3"/>
  <c r="F2311" i="3"/>
  <c r="A2311" i="3" s="1"/>
  <c r="E2311" i="3"/>
  <c r="F2310" i="3"/>
  <c r="A2310" i="3" s="1"/>
  <c r="E2310" i="3"/>
  <c r="F2309" i="3"/>
  <c r="A2309" i="3" s="1"/>
  <c r="E2309" i="3"/>
  <c r="F2308" i="3"/>
  <c r="A2308" i="3" s="1"/>
  <c r="E2308" i="3"/>
  <c r="F2307" i="3"/>
  <c r="A2307" i="3" s="1"/>
  <c r="E2307" i="3"/>
  <c r="F2306" i="3"/>
  <c r="A2306" i="3" s="1"/>
  <c r="E2306" i="3"/>
  <c r="F2305" i="3"/>
  <c r="A2305" i="3" s="1"/>
  <c r="E2305" i="3"/>
  <c r="F2304" i="3"/>
  <c r="A2304" i="3" s="1"/>
  <c r="E2304" i="3"/>
  <c r="F2303" i="3"/>
  <c r="A2303" i="3" s="1"/>
  <c r="E2303" i="3"/>
  <c r="F2302" i="3"/>
  <c r="A2302" i="3" s="1"/>
  <c r="E2302" i="3"/>
  <c r="F2301" i="3"/>
  <c r="A2301" i="3" s="1"/>
  <c r="E2301" i="3"/>
  <c r="F2300" i="3"/>
  <c r="A2300" i="3" s="1"/>
  <c r="E2300" i="3"/>
  <c r="F2299" i="3"/>
  <c r="A2299" i="3" s="1"/>
  <c r="E2299" i="3"/>
  <c r="F2298" i="3"/>
  <c r="A2298" i="3" s="1"/>
  <c r="E2298" i="3"/>
  <c r="F2297" i="3"/>
  <c r="A2297" i="3" s="1"/>
  <c r="E2297" i="3"/>
  <c r="F2296" i="3"/>
  <c r="A2296" i="3" s="1"/>
  <c r="E2296" i="3"/>
  <c r="F2295" i="3"/>
  <c r="A2295" i="3" s="1"/>
  <c r="E2295" i="3"/>
  <c r="F2294" i="3"/>
  <c r="A2294" i="3" s="1"/>
  <c r="E2294" i="3"/>
  <c r="F2293" i="3"/>
  <c r="A2293" i="3" s="1"/>
  <c r="E2293" i="3"/>
  <c r="F2292" i="3"/>
  <c r="A2292" i="3" s="1"/>
  <c r="E2292" i="3"/>
  <c r="F2291" i="3"/>
  <c r="A2291" i="3" s="1"/>
  <c r="E2291" i="3"/>
  <c r="F2290" i="3"/>
  <c r="A2290" i="3" s="1"/>
  <c r="E2290" i="3"/>
  <c r="F2289" i="3"/>
  <c r="A2289" i="3" s="1"/>
  <c r="E2289" i="3"/>
  <c r="F2288" i="3"/>
  <c r="A2288" i="3" s="1"/>
  <c r="E2288" i="3"/>
  <c r="F2287" i="3"/>
  <c r="A2287" i="3" s="1"/>
  <c r="E2287" i="3"/>
  <c r="F2286" i="3"/>
  <c r="A2286" i="3" s="1"/>
  <c r="E2286" i="3"/>
  <c r="F2285" i="3"/>
  <c r="A2285" i="3" s="1"/>
  <c r="E2285" i="3"/>
  <c r="F2284" i="3"/>
  <c r="A2284" i="3" s="1"/>
  <c r="E2284" i="3"/>
  <c r="F2283" i="3"/>
  <c r="A2283" i="3" s="1"/>
  <c r="E2283" i="3"/>
  <c r="F2282" i="3"/>
  <c r="A2282" i="3" s="1"/>
  <c r="E2282" i="3"/>
  <c r="F2281" i="3"/>
  <c r="A2281" i="3" s="1"/>
  <c r="E2281" i="3"/>
  <c r="F2280" i="3"/>
  <c r="A2280" i="3" s="1"/>
  <c r="E2280" i="3"/>
  <c r="F2279" i="3"/>
  <c r="A2279" i="3" s="1"/>
  <c r="E2279" i="3"/>
  <c r="F2278" i="3"/>
  <c r="A2278" i="3" s="1"/>
  <c r="E2278" i="3"/>
  <c r="F2277" i="3"/>
  <c r="A2277" i="3" s="1"/>
  <c r="E2277" i="3"/>
  <c r="F2276" i="3"/>
  <c r="A2276" i="3" s="1"/>
  <c r="E2276" i="3"/>
  <c r="F2275" i="3"/>
  <c r="A2275" i="3" s="1"/>
  <c r="E2275" i="3"/>
  <c r="F2274" i="3"/>
  <c r="A2274" i="3" s="1"/>
  <c r="E2274" i="3"/>
  <c r="F2273" i="3"/>
  <c r="A2273" i="3" s="1"/>
  <c r="E2273" i="3"/>
  <c r="F2272" i="3"/>
  <c r="A2272" i="3" s="1"/>
  <c r="E2272" i="3"/>
  <c r="F2271" i="3"/>
  <c r="A2271" i="3" s="1"/>
  <c r="E2271" i="3"/>
  <c r="F2270" i="3"/>
  <c r="A2270" i="3" s="1"/>
  <c r="E2270" i="3"/>
  <c r="F2269" i="3"/>
  <c r="A2269" i="3" s="1"/>
  <c r="E2269" i="3"/>
  <c r="F2268" i="3"/>
  <c r="A2268" i="3" s="1"/>
  <c r="E2268" i="3"/>
  <c r="F2267" i="3"/>
  <c r="A2267" i="3" s="1"/>
  <c r="E2267" i="3"/>
  <c r="F2266" i="3"/>
  <c r="A2266" i="3" s="1"/>
  <c r="E2266" i="3"/>
  <c r="F2265" i="3"/>
  <c r="A2265" i="3" s="1"/>
  <c r="E2265" i="3"/>
  <c r="F2264" i="3"/>
  <c r="A2264" i="3" s="1"/>
  <c r="E2264" i="3"/>
  <c r="F2263" i="3"/>
  <c r="A2263" i="3" s="1"/>
  <c r="E2263" i="3"/>
  <c r="F2262" i="3"/>
  <c r="A2262" i="3" s="1"/>
  <c r="E2262" i="3"/>
  <c r="F2261" i="3"/>
  <c r="A2261" i="3" s="1"/>
  <c r="E2261" i="3"/>
  <c r="F2260" i="3"/>
  <c r="A2260" i="3" s="1"/>
  <c r="E2260" i="3"/>
  <c r="F2259" i="3"/>
  <c r="A2259" i="3" s="1"/>
  <c r="E2259" i="3"/>
  <c r="F2258" i="3"/>
  <c r="A2258" i="3" s="1"/>
  <c r="E2258" i="3"/>
  <c r="F2257" i="3"/>
  <c r="A2257" i="3" s="1"/>
  <c r="E2257" i="3"/>
  <c r="F2256" i="3"/>
  <c r="A2256" i="3" s="1"/>
  <c r="E2256" i="3"/>
  <c r="F2255" i="3"/>
  <c r="A2255" i="3" s="1"/>
  <c r="E2255" i="3"/>
  <c r="F2254" i="3"/>
  <c r="A2254" i="3" s="1"/>
  <c r="E2254" i="3"/>
  <c r="F2253" i="3"/>
  <c r="A2253" i="3" s="1"/>
  <c r="E2253" i="3"/>
  <c r="F2252" i="3"/>
  <c r="A2252" i="3" s="1"/>
  <c r="E2252" i="3"/>
  <c r="F2251" i="3"/>
  <c r="A2251" i="3" s="1"/>
  <c r="E2251" i="3"/>
  <c r="F2250" i="3"/>
  <c r="A2250" i="3" s="1"/>
  <c r="E2250" i="3"/>
  <c r="F2249" i="3"/>
  <c r="A2249" i="3" s="1"/>
  <c r="E2249" i="3"/>
  <c r="F2248" i="3"/>
  <c r="A2248" i="3" s="1"/>
  <c r="E2248" i="3"/>
  <c r="F2247" i="3"/>
  <c r="A2247" i="3" s="1"/>
  <c r="E2247" i="3"/>
  <c r="F2246" i="3"/>
  <c r="A2246" i="3" s="1"/>
  <c r="E2246" i="3"/>
  <c r="F2245" i="3"/>
  <c r="A2245" i="3" s="1"/>
  <c r="E2245" i="3"/>
  <c r="F2244" i="3"/>
  <c r="A2244" i="3" s="1"/>
  <c r="E2244" i="3"/>
  <c r="F2243" i="3"/>
  <c r="A2243" i="3" s="1"/>
  <c r="E2243" i="3"/>
  <c r="F2242" i="3"/>
  <c r="A2242" i="3" s="1"/>
  <c r="E2242" i="3"/>
  <c r="F2241" i="3"/>
  <c r="A2241" i="3" s="1"/>
  <c r="E2241" i="3"/>
  <c r="F2240" i="3"/>
  <c r="A2240" i="3" s="1"/>
  <c r="E2240" i="3"/>
  <c r="F2239" i="3"/>
  <c r="A2239" i="3" s="1"/>
  <c r="E2239" i="3"/>
  <c r="F2238" i="3"/>
  <c r="A2238" i="3" s="1"/>
  <c r="E2238" i="3"/>
  <c r="F2237" i="3"/>
  <c r="A2237" i="3" s="1"/>
  <c r="E2237" i="3"/>
  <c r="F2236" i="3"/>
  <c r="A2236" i="3" s="1"/>
  <c r="E2236" i="3"/>
  <c r="F2235" i="3"/>
  <c r="A2235" i="3" s="1"/>
  <c r="E2235" i="3"/>
  <c r="F2234" i="3"/>
  <c r="A2234" i="3" s="1"/>
  <c r="E2234" i="3"/>
  <c r="F2233" i="3"/>
  <c r="A2233" i="3" s="1"/>
  <c r="E2233" i="3"/>
  <c r="F2232" i="3"/>
  <c r="A2232" i="3" s="1"/>
  <c r="E2232" i="3"/>
  <c r="F2231" i="3"/>
  <c r="A2231" i="3" s="1"/>
  <c r="E2231" i="3"/>
  <c r="F2230" i="3"/>
  <c r="A2230" i="3" s="1"/>
  <c r="E2230" i="3"/>
  <c r="F2229" i="3"/>
  <c r="A2229" i="3" s="1"/>
  <c r="E2229" i="3"/>
  <c r="F2228" i="3"/>
  <c r="A2228" i="3" s="1"/>
  <c r="E2228" i="3"/>
  <c r="F2227" i="3"/>
  <c r="A2227" i="3" s="1"/>
  <c r="E2227" i="3"/>
  <c r="F2226" i="3"/>
  <c r="A2226" i="3" s="1"/>
  <c r="E2226" i="3"/>
  <c r="F2225" i="3"/>
  <c r="A2225" i="3" s="1"/>
  <c r="E2225" i="3"/>
  <c r="F2224" i="3"/>
  <c r="A2224" i="3" s="1"/>
  <c r="E2224" i="3"/>
  <c r="F2223" i="3"/>
  <c r="A2223" i="3" s="1"/>
  <c r="E2223" i="3"/>
  <c r="F2222" i="3"/>
  <c r="A2222" i="3" s="1"/>
  <c r="E2222" i="3"/>
  <c r="F2221" i="3"/>
  <c r="A2221" i="3" s="1"/>
  <c r="E2221" i="3"/>
  <c r="F2220" i="3"/>
  <c r="A2220" i="3" s="1"/>
  <c r="E2220" i="3"/>
  <c r="F2219" i="3"/>
  <c r="A2219" i="3" s="1"/>
  <c r="E2219" i="3"/>
  <c r="F2218" i="3"/>
  <c r="A2218" i="3" s="1"/>
  <c r="E2218" i="3"/>
  <c r="F2217" i="3"/>
  <c r="A2217" i="3" s="1"/>
  <c r="E2217" i="3"/>
  <c r="F2216" i="3"/>
  <c r="A2216" i="3" s="1"/>
  <c r="E2216" i="3"/>
  <c r="F2215" i="3"/>
  <c r="A2215" i="3" s="1"/>
  <c r="E2215" i="3"/>
  <c r="F2214" i="3"/>
  <c r="A2214" i="3" s="1"/>
  <c r="E2214" i="3"/>
  <c r="F2213" i="3"/>
  <c r="A2213" i="3" s="1"/>
  <c r="E2213" i="3"/>
  <c r="F2212" i="3"/>
  <c r="A2212" i="3" s="1"/>
  <c r="E2212" i="3"/>
  <c r="F2211" i="3"/>
  <c r="A2211" i="3" s="1"/>
  <c r="E2211" i="3"/>
  <c r="F2210" i="3"/>
  <c r="A2210" i="3" s="1"/>
  <c r="E2210" i="3"/>
  <c r="F2209" i="3"/>
  <c r="A2209" i="3" s="1"/>
  <c r="E2209" i="3"/>
  <c r="F2208" i="3"/>
  <c r="A2208" i="3" s="1"/>
  <c r="E2208" i="3"/>
  <c r="F2207" i="3"/>
  <c r="A2207" i="3" s="1"/>
  <c r="E2207" i="3"/>
  <c r="F2206" i="3"/>
  <c r="A2206" i="3" s="1"/>
  <c r="E2206" i="3"/>
  <c r="F2205" i="3"/>
  <c r="A2205" i="3" s="1"/>
  <c r="E2205" i="3"/>
  <c r="F2204" i="3"/>
  <c r="A2204" i="3" s="1"/>
  <c r="E2204" i="3"/>
  <c r="F2203" i="3"/>
  <c r="A2203" i="3" s="1"/>
  <c r="E2203" i="3"/>
  <c r="F2202" i="3"/>
  <c r="A2202" i="3" s="1"/>
  <c r="E2202" i="3"/>
  <c r="F2201" i="3"/>
  <c r="A2201" i="3" s="1"/>
  <c r="E2201" i="3"/>
  <c r="F2200" i="3"/>
  <c r="A2200" i="3" s="1"/>
  <c r="E2200" i="3"/>
  <c r="F2199" i="3"/>
  <c r="A2199" i="3" s="1"/>
  <c r="E2199" i="3"/>
  <c r="F2198" i="3"/>
  <c r="A2198" i="3" s="1"/>
  <c r="E2198" i="3"/>
  <c r="F2197" i="3"/>
  <c r="A2197" i="3" s="1"/>
  <c r="E2197" i="3"/>
  <c r="F2196" i="3"/>
  <c r="A2196" i="3" s="1"/>
  <c r="E2196" i="3"/>
  <c r="F2195" i="3"/>
  <c r="A2195" i="3" s="1"/>
  <c r="E2195" i="3"/>
  <c r="F2194" i="3"/>
  <c r="A2194" i="3" s="1"/>
  <c r="E2194" i="3"/>
  <c r="F2193" i="3"/>
  <c r="A2193" i="3" s="1"/>
  <c r="E2193" i="3"/>
  <c r="F2192" i="3"/>
  <c r="A2192" i="3" s="1"/>
  <c r="E2192" i="3"/>
  <c r="F2191" i="3"/>
  <c r="A2191" i="3" s="1"/>
  <c r="E2191" i="3"/>
  <c r="F2190" i="3"/>
  <c r="A2190" i="3" s="1"/>
  <c r="E2190" i="3"/>
  <c r="F2189" i="3"/>
  <c r="A2189" i="3" s="1"/>
  <c r="E2189" i="3"/>
  <c r="F2188" i="3"/>
  <c r="A2188" i="3" s="1"/>
  <c r="E2188" i="3"/>
  <c r="F2187" i="3"/>
  <c r="A2187" i="3" s="1"/>
  <c r="E2187" i="3"/>
  <c r="F2186" i="3"/>
  <c r="A2186" i="3" s="1"/>
  <c r="E2186" i="3"/>
  <c r="F2185" i="3"/>
  <c r="A2185" i="3" s="1"/>
  <c r="E2185" i="3"/>
  <c r="F2184" i="3"/>
  <c r="A2184" i="3" s="1"/>
  <c r="E2184" i="3"/>
  <c r="F2183" i="3"/>
  <c r="A2183" i="3" s="1"/>
  <c r="E2183" i="3"/>
  <c r="F2182" i="3"/>
  <c r="A2182" i="3" s="1"/>
  <c r="E2182" i="3"/>
  <c r="F2181" i="3"/>
  <c r="A2181" i="3" s="1"/>
  <c r="E2181" i="3"/>
  <c r="F2180" i="3"/>
  <c r="A2180" i="3" s="1"/>
  <c r="E2180" i="3"/>
  <c r="F2179" i="3"/>
  <c r="A2179" i="3" s="1"/>
  <c r="E2179" i="3"/>
  <c r="F2178" i="3"/>
  <c r="A2178" i="3" s="1"/>
  <c r="E2178" i="3"/>
  <c r="F2177" i="3"/>
  <c r="A2177" i="3" s="1"/>
  <c r="E2177" i="3"/>
  <c r="F2176" i="3"/>
  <c r="A2176" i="3" s="1"/>
  <c r="E2176" i="3"/>
  <c r="F2175" i="3"/>
  <c r="A2175" i="3" s="1"/>
  <c r="E2175" i="3"/>
  <c r="F2174" i="3"/>
  <c r="A2174" i="3" s="1"/>
  <c r="E2174" i="3"/>
  <c r="F2173" i="3"/>
  <c r="A2173" i="3" s="1"/>
  <c r="E2173" i="3"/>
  <c r="F2172" i="3"/>
  <c r="A2172" i="3" s="1"/>
  <c r="E2172" i="3"/>
  <c r="F2171" i="3"/>
  <c r="A2171" i="3" s="1"/>
  <c r="E2171" i="3"/>
  <c r="F2170" i="3"/>
  <c r="A2170" i="3" s="1"/>
  <c r="E2170" i="3"/>
  <c r="F2169" i="3"/>
  <c r="A2169" i="3" s="1"/>
  <c r="E2169" i="3"/>
  <c r="F2168" i="3"/>
  <c r="A2168" i="3" s="1"/>
  <c r="E2168" i="3"/>
  <c r="F2167" i="3"/>
  <c r="A2167" i="3" s="1"/>
  <c r="E2167" i="3"/>
  <c r="F2166" i="3"/>
  <c r="A2166" i="3" s="1"/>
  <c r="E2166" i="3"/>
  <c r="F2165" i="3"/>
  <c r="A2165" i="3" s="1"/>
  <c r="E2165" i="3"/>
  <c r="F2164" i="3"/>
  <c r="A2164" i="3" s="1"/>
  <c r="E2164" i="3"/>
  <c r="F2163" i="3"/>
  <c r="A2163" i="3" s="1"/>
  <c r="E2163" i="3"/>
  <c r="F2162" i="3"/>
  <c r="A2162" i="3" s="1"/>
  <c r="E2162" i="3"/>
  <c r="F2161" i="3"/>
  <c r="A2161" i="3" s="1"/>
  <c r="E2161" i="3"/>
  <c r="F2160" i="3"/>
  <c r="A2160" i="3" s="1"/>
  <c r="E2160" i="3"/>
  <c r="F2159" i="3"/>
  <c r="A2159" i="3" s="1"/>
  <c r="E2159" i="3"/>
  <c r="F2158" i="3"/>
  <c r="A2158" i="3" s="1"/>
  <c r="E2158" i="3"/>
  <c r="F2157" i="3"/>
  <c r="A2157" i="3" s="1"/>
  <c r="E2157" i="3"/>
  <c r="F2156" i="3"/>
  <c r="A2156" i="3" s="1"/>
  <c r="E2156" i="3"/>
  <c r="F2155" i="3"/>
  <c r="A2155" i="3" s="1"/>
  <c r="E2155" i="3"/>
  <c r="F2154" i="3"/>
  <c r="A2154" i="3" s="1"/>
  <c r="E2154" i="3"/>
  <c r="F2153" i="3"/>
  <c r="A2153" i="3" s="1"/>
  <c r="E2153" i="3"/>
  <c r="F2152" i="3"/>
  <c r="A2152" i="3" s="1"/>
  <c r="E2152" i="3"/>
  <c r="F2151" i="3"/>
  <c r="A2151" i="3" s="1"/>
  <c r="E2151" i="3"/>
  <c r="F2150" i="3"/>
  <c r="A2150" i="3" s="1"/>
  <c r="E2150" i="3"/>
  <c r="F2149" i="3"/>
  <c r="A2149" i="3" s="1"/>
  <c r="E2149" i="3"/>
  <c r="F2148" i="3"/>
  <c r="A2148" i="3" s="1"/>
  <c r="E2148" i="3"/>
  <c r="F2147" i="3"/>
  <c r="A2147" i="3" s="1"/>
  <c r="E2147" i="3"/>
  <c r="F2146" i="3"/>
  <c r="A2146" i="3" s="1"/>
  <c r="E2146" i="3"/>
  <c r="F2145" i="3"/>
  <c r="A2145" i="3" s="1"/>
  <c r="E2145" i="3"/>
  <c r="F2144" i="3"/>
  <c r="A2144" i="3" s="1"/>
  <c r="E2144" i="3"/>
  <c r="F2143" i="3"/>
  <c r="A2143" i="3" s="1"/>
  <c r="E2143" i="3"/>
  <c r="F2142" i="3"/>
  <c r="A2142" i="3" s="1"/>
  <c r="E2142" i="3"/>
  <c r="F2141" i="3"/>
  <c r="A2141" i="3" s="1"/>
  <c r="E2141" i="3"/>
  <c r="F2140" i="3"/>
  <c r="A2140" i="3" s="1"/>
  <c r="E2140" i="3"/>
  <c r="F2139" i="3"/>
  <c r="A2139" i="3" s="1"/>
  <c r="E2139" i="3"/>
  <c r="F2138" i="3"/>
  <c r="A2138" i="3" s="1"/>
  <c r="E2138" i="3"/>
  <c r="F2137" i="3"/>
  <c r="A2137" i="3" s="1"/>
  <c r="E2137" i="3"/>
  <c r="F2136" i="3"/>
  <c r="A2136" i="3" s="1"/>
  <c r="E2136" i="3"/>
  <c r="F2135" i="3"/>
  <c r="A2135" i="3" s="1"/>
  <c r="E2135" i="3"/>
  <c r="F2134" i="3"/>
  <c r="A2134" i="3" s="1"/>
  <c r="E2134" i="3"/>
  <c r="F2133" i="3"/>
  <c r="A2133" i="3" s="1"/>
  <c r="E2133" i="3"/>
  <c r="F2132" i="3"/>
  <c r="A2132" i="3" s="1"/>
  <c r="E2132" i="3"/>
  <c r="F2131" i="3"/>
  <c r="A2131" i="3" s="1"/>
  <c r="E2131" i="3"/>
  <c r="F2130" i="3"/>
  <c r="A2130" i="3" s="1"/>
  <c r="E2130" i="3"/>
  <c r="F2129" i="3"/>
  <c r="A2129" i="3" s="1"/>
  <c r="E2129" i="3"/>
  <c r="F2128" i="3"/>
  <c r="A2128" i="3" s="1"/>
  <c r="E2128" i="3"/>
  <c r="F2127" i="3"/>
  <c r="A2127" i="3" s="1"/>
  <c r="E2127" i="3"/>
  <c r="F2126" i="3"/>
  <c r="A2126" i="3" s="1"/>
  <c r="E2126" i="3"/>
  <c r="F2125" i="3"/>
  <c r="A2125" i="3" s="1"/>
  <c r="E2125" i="3"/>
  <c r="F2124" i="3"/>
  <c r="A2124" i="3" s="1"/>
  <c r="E2124" i="3"/>
  <c r="F2123" i="3"/>
  <c r="A2123" i="3" s="1"/>
  <c r="E2123" i="3"/>
  <c r="F2122" i="3"/>
  <c r="A2122" i="3" s="1"/>
  <c r="E2122" i="3"/>
  <c r="F2121" i="3"/>
  <c r="A2121" i="3" s="1"/>
  <c r="E2121" i="3"/>
  <c r="F2120" i="3"/>
  <c r="A2120" i="3" s="1"/>
  <c r="E2120" i="3"/>
  <c r="F2119" i="3"/>
  <c r="A2119" i="3" s="1"/>
  <c r="E2119" i="3"/>
  <c r="F2118" i="3"/>
  <c r="A2118" i="3" s="1"/>
  <c r="E2118" i="3"/>
  <c r="F2117" i="3"/>
  <c r="A2117" i="3" s="1"/>
  <c r="E2117" i="3"/>
  <c r="F2116" i="3"/>
  <c r="A2116" i="3" s="1"/>
  <c r="E2116" i="3"/>
  <c r="F2115" i="3"/>
  <c r="A2115" i="3" s="1"/>
  <c r="E2115" i="3"/>
  <c r="F2114" i="3"/>
  <c r="A2114" i="3" s="1"/>
  <c r="E2114" i="3"/>
  <c r="F2113" i="3"/>
  <c r="A2113" i="3" s="1"/>
  <c r="E2113" i="3"/>
  <c r="F2112" i="3"/>
  <c r="A2112" i="3" s="1"/>
  <c r="E2112" i="3"/>
  <c r="F2111" i="3"/>
  <c r="A2111" i="3" s="1"/>
  <c r="E2111" i="3"/>
  <c r="F2110" i="3"/>
  <c r="A2110" i="3" s="1"/>
  <c r="E2110" i="3"/>
  <c r="F2109" i="3"/>
  <c r="A2109" i="3" s="1"/>
  <c r="E2109" i="3"/>
  <c r="F2108" i="3"/>
  <c r="A2108" i="3" s="1"/>
  <c r="E2108" i="3"/>
  <c r="F2107" i="3"/>
  <c r="A2107" i="3" s="1"/>
  <c r="E2107" i="3"/>
  <c r="F2106" i="3"/>
  <c r="A2106" i="3" s="1"/>
  <c r="E2106" i="3"/>
  <c r="F2105" i="3"/>
  <c r="A2105" i="3" s="1"/>
  <c r="E2105" i="3"/>
  <c r="F2104" i="3"/>
  <c r="A2104" i="3" s="1"/>
  <c r="E2104" i="3"/>
  <c r="F2103" i="3"/>
  <c r="A2103" i="3" s="1"/>
  <c r="E2103" i="3"/>
  <c r="F2102" i="3"/>
  <c r="A2102" i="3" s="1"/>
  <c r="E2102" i="3"/>
  <c r="F2101" i="3"/>
  <c r="A2101" i="3" s="1"/>
  <c r="E2101" i="3"/>
  <c r="F2100" i="3"/>
  <c r="A2100" i="3" s="1"/>
  <c r="E2100" i="3"/>
  <c r="F2099" i="3"/>
  <c r="A2099" i="3" s="1"/>
  <c r="E2099" i="3"/>
  <c r="F2098" i="3"/>
  <c r="A2098" i="3" s="1"/>
  <c r="E2098" i="3"/>
  <c r="F2097" i="3"/>
  <c r="A2097" i="3" s="1"/>
  <c r="E2097" i="3"/>
  <c r="F2096" i="3"/>
  <c r="A2096" i="3" s="1"/>
  <c r="E2096" i="3"/>
  <c r="F2095" i="3"/>
  <c r="A2095" i="3" s="1"/>
  <c r="E2095" i="3"/>
  <c r="F2094" i="3"/>
  <c r="A2094" i="3" s="1"/>
  <c r="E2094" i="3"/>
  <c r="F2093" i="3"/>
  <c r="A2093" i="3" s="1"/>
  <c r="E2093" i="3"/>
  <c r="F2092" i="3"/>
  <c r="A2092" i="3" s="1"/>
  <c r="E2092" i="3"/>
  <c r="F2091" i="3"/>
  <c r="A2091" i="3" s="1"/>
  <c r="E2091" i="3"/>
  <c r="F2090" i="3"/>
  <c r="A2090" i="3" s="1"/>
  <c r="E2090" i="3"/>
  <c r="F2089" i="3"/>
  <c r="A2089" i="3" s="1"/>
  <c r="E2089" i="3"/>
  <c r="F2088" i="3"/>
  <c r="A2088" i="3" s="1"/>
  <c r="E2088" i="3"/>
  <c r="F2087" i="3"/>
  <c r="A2087" i="3" s="1"/>
  <c r="E2087" i="3"/>
  <c r="F2086" i="3"/>
  <c r="A2086" i="3" s="1"/>
  <c r="E2086" i="3"/>
  <c r="F2085" i="3"/>
  <c r="A2085" i="3" s="1"/>
  <c r="E2085" i="3"/>
  <c r="F2084" i="3"/>
  <c r="A2084" i="3" s="1"/>
  <c r="E2084" i="3"/>
  <c r="F2083" i="3"/>
  <c r="A2083" i="3" s="1"/>
  <c r="E2083" i="3"/>
  <c r="F2082" i="3"/>
  <c r="A2082" i="3" s="1"/>
  <c r="E2082" i="3"/>
  <c r="F2081" i="3"/>
  <c r="A2081" i="3" s="1"/>
  <c r="E2081" i="3"/>
  <c r="F2080" i="3"/>
  <c r="A2080" i="3" s="1"/>
  <c r="E2080" i="3"/>
  <c r="F2079" i="3"/>
  <c r="A2079" i="3" s="1"/>
  <c r="E2079" i="3"/>
  <c r="F2078" i="3"/>
  <c r="A2078" i="3" s="1"/>
  <c r="E2078" i="3"/>
  <c r="F2077" i="3"/>
  <c r="A2077" i="3" s="1"/>
  <c r="E2077" i="3"/>
  <c r="F2076" i="3"/>
  <c r="A2076" i="3" s="1"/>
  <c r="E2076" i="3"/>
  <c r="F2075" i="3"/>
  <c r="A2075" i="3" s="1"/>
  <c r="E2075" i="3"/>
  <c r="F2074" i="3"/>
  <c r="A2074" i="3" s="1"/>
  <c r="E2074" i="3"/>
  <c r="F2073" i="3"/>
  <c r="A2073" i="3" s="1"/>
  <c r="E2073" i="3"/>
  <c r="F2072" i="3"/>
  <c r="A2072" i="3" s="1"/>
  <c r="E2072" i="3"/>
  <c r="F2071" i="3"/>
  <c r="A2071" i="3" s="1"/>
  <c r="E2071" i="3"/>
  <c r="F2070" i="3"/>
  <c r="A2070" i="3" s="1"/>
  <c r="E2070" i="3"/>
  <c r="F2069" i="3"/>
  <c r="A2069" i="3" s="1"/>
  <c r="E2069" i="3"/>
  <c r="F2068" i="3"/>
  <c r="A2068" i="3" s="1"/>
  <c r="E2068" i="3"/>
  <c r="F2067" i="3"/>
  <c r="A2067" i="3" s="1"/>
  <c r="E2067" i="3"/>
  <c r="F2066" i="3"/>
  <c r="A2066" i="3" s="1"/>
  <c r="E2066" i="3"/>
  <c r="F2065" i="3"/>
  <c r="A2065" i="3" s="1"/>
  <c r="E2065" i="3"/>
  <c r="F2064" i="3"/>
  <c r="A2064" i="3" s="1"/>
  <c r="E2064" i="3"/>
  <c r="F2063" i="3"/>
  <c r="A2063" i="3" s="1"/>
  <c r="E2063" i="3"/>
  <c r="F2062" i="3"/>
  <c r="A2062" i="3" s="1"/>
  <c r="E2062" i="3"/>
  <c r="F2061" i="3"/>
  <c r="A2061" i="3" s="1"/>
  <c r="E2061" i="3"/>
  <c r="F2060" i="3"/>
  <c r="A2060" i="3" s="1"/>
  <c r="E2060" i="3"/>
  <c r="F2059" i="3"/>
  <c r="A2059" i="3" s="1"/>
  <c r="E2059" i="3"/>
  <c r="F2058" i="3"/>
  <c r="A2058" i="3" s="1"/>
  <c r="E2058" i="3"/>
  <c r="F2057" i="3"/>
  <c r="A2057" i="3" s="1"/>
  <c r="E2057" i="3"/>
  <c r="F2056" i="3"/>
  <c r="A2056" i="3" s="1"/>
  <c r="E2056" i="3"/>
  <c r="F2055" i="3"/>
  <c r="A2055" i="3" s="1"/>
  <c r="E2055" i="3"/>
  <c r="F2054" i="3"/>
  <c r="A2054" i="3" s="1"/>
  <c r="E2054" i="3"/>
  <c r="F2053" i="3"/>
  <c r="A2053" i="3" s="1"/>
  <c r="E2053" i="3"/>
  <c r="F2052" i="3"/>
  <c r="A2052" i="3" s="1"/>
  <c r="E2052" i="3"/>
  <c r="F2051" i="3"/>
  <c r="A2051" i="3" s="1"/>
  <c r="E2051" i="3"/>
  <c r="F2050" i="3"/>
  <c r="A2050" i="3" s="1"/>
  <c r="E2050" i="3"/>
  <c r="F2049" i="3"/>
  <c r="A2049" i="3" s="1"/>
  <c r="E2049" i="3"/>
  <c r="F2048" i="3"/>
  <c r="A2048" i="3" s="1"/>
  <c r="E2048" i="3"/>
  <c r="F2047" i="3"/>
  <c r="A2047" i="3" s="1"/>
  <c r="E2047" i="3"/>
  <c r="F2046" i="3"/>
  <c r="A2046" i="3" s="1"/>
  <c r="E2046" i="3"/>
  <c r="F2045" i="3"/>
  <c r="A2045" i="3" s="1"/>
  <c r="E2045" i="3"/>
  <c r="F2044" i="3"/>
  <c r="A2044" i="3" s="1"/>
  <c r="E2044" i="3"/>
  <c r="F2043" i="3"/>
  <c r="A2043" i="3" s="1"/>
  <c r="E2043" i="3"/>
  <c r="F2042" i="3"/>
  <c r="A2042" i="3" s="1"/>
  <c r="E2042" i="3"/>
  <c r="F2041" i="3"/>
  <c r="A2041" i="3" s="1"/>
  <c r="E2041" i="3"/>
  <c r="F2040" i="3"/>
  <c r="A2040" i="3" s="1"/>
  <c r="E2040" i="3"/>
  <c r="F2039" i="3"/>
  <c r="A2039" i="3" s="1"/>
  <c r="E2039" i="3"/>
  <c r="F2038" i="3"/>
  <c r="A2038" i="3" s="1"/>
  <c r="E2038" i="3"/>
  <c r="F2037" i="3"/>
  <c r="A2037" i="3" s="1"/>
  <c r="E2037" i="3"/>
  <c r="F2036" i="3"/>
  <c r="A2036" i="3" s="1"/>
  <c r="E2036" i="3"/>
  <c r="F2035" i="3"/>
  <c r="A2035" i="3" s="1"/>
  <c r="E2035" i="3"/>
  <c r="F2034" i="3"/>
  <c r="A2034" i="3" s="1"/>
  <c r="E2034" i="3"/>
  <c r="F2033" i="3"/>
  <c r="A2033" i="3" s="1"/>
  <c r="E2033" i="3"/>
  <c r="F2032" i="3"/>
  <c r="A2032" i="3" s="1"/>
  <c r="E2032" i="3"/>
  <c r="F2031" i="3"/>
  <c r="A2031" i="3" s="1"/>
  <c r="E2031" i="3"/>
  <c r="F2030" i="3"/>
  <c r="A2030" i="3" s="1"/>
  <c r="E2030" i="3"/>
  <c r="F2029" i="3"/>
  <c r="A2029" i="3" s="1"/>
  <c r="E2029" i="3"/>
  <c r="F2028" i="3"/>
  <c r="A2028" i="3" s="1"/>
  <c r="E2028" i="3"/>
  <c r="F2027" i="3"/>
  <c r="A2027" i="3" s="1"/>
  <c r="E2027" i="3"/>
  <c r="F2026" i="3"/>
  <c r="A2026" i="3" s="1"/>
  <c r="E2026" i="3"/>
  <c r="F2025" i="3"/>
  <c r="A2025" i="3" s="1"/>
  <c r="E2025" i="3"/>
  <c r="F2024" i="3"/>
  <c r="A2024" i="3" s="1"/>
  <c r="E2024" i="3"/>
  <c r="F2023" i="3"/>
  <c r="A2023" i="3" s="1"/>
  <c r="E2023" i="3"/>
  <c r="F2022" i="3"/>
  <c r="A2022" i="3" s="1"/>
  <c r="E2022" i="3"/>
  <c r="F2021" i="3"/>
  <c r="A2021" i="3" s="1"/>
  <c r="E2021" i="3"/>
  <c r="F2020" i="3"/>
  <c r="A2020" i="3" s="1"/>
  <c r="E2020" i="3"/>
  <c r="F2019" i="3"/>
  <c r="A2019" i="3" s="1"/>
  <c r="E2019" i="3"/>
  <c r="F2018" i="3"/>
  <c r="A2018" i="3" s="1"/>
  <c r="E2018" i="3"/>
  <c r="F2017" i="3"/>
  <c r="A2017" i="3" s="1"/>
  <c r="E2017" i="3"/>
  <c r="F2016" i="3"/>
  <c r="A2016" i="3" s="1"/>
  <c r="E2016" i="3"/>
  <c r="F2015" i="3"/>
  <c r="A2015" i="3" s="1"/>
  <c r="E2015" i="3"/>
  <c r="F2014" i="3"/>
  <c r="A2014" i="3" s="1"/>
  <c r="E2014" i="3"/>
  <c r="F2013" i="3"/>
  <c r="A2013" i="3" s="1"/>
  <c r="E2013" i="3"/>
  <c r="F2012" i="3"/>
  <c r="A2012" i="3" s="1"/>
  <c r="E2012" i="3"/>
  <c r="F2011" i="3"/>
  <c r="A2011" i="3" s="1"/>
  <c r="E2011" i="3"/>
  <c r="F2010" i="3"/>
  <c r="A2010" i="3" s="1"/>
  <c r="E2010" i="3"/>
  <c r="F2009" i="3"/>
  <c r="A2009" i="3" s="1"/>
  <c r="E2009" i="3"/>
  <c r="F2008" i="3"/>
  <c r="A2008" i="3" s="1"/>
  <c r="E2008" i="3"/>
  <c r="F2007" i="3"/>
  <c r="A2007" i="3" s="1"/>
  <c r="E2007" i="3"/>
  <c r="F2006" i="3"/>
  <c r="A2006" i="3" s="1"/>
  <c r="E2006" i="3"/>
  <c r="F2005" i="3"/>
  <c r="A2005" i="3" s="1"/>
  <c r="E2005" i="3"/>
  <c r="F2004" i="3"/>
  <c r="A2004" i="3" s="1"/>
  <c r="E2004" i="3"/>
  <c r="F2003" i="3"/>
  <c r="A2003" i="3" s="1"/>
  <c r="E2003" i="3"/>
  <c r="F2002" i="3"/>
  <c r="A2002" i="3" s="1"/>
  <c r="E2002" i="3"/>
  <c r="F2001" i="3"/>
  <c r="A2001" i="3" s="1"/>
  <c r="E2001" i="3"/>
  <c r="F2000" i="3"/>
  <c r="A2000" i="3" s="1"/>
  <c r="E2000" i="3"/>
  <c r="F1999" i="3"/>
  <c r="A1999" i="3" s="1"/>
  <c r="E1999" i="3"/>
  <c r="F1998" i="3"/>
  <c r="A1998" i="3" s="1"/>
  <c r="E1998" i="3"/>
  <c r="F1997" i="3"/>
  <c r="A1997" i="3" s="1"/>
  <c r="E1997" i="3"/>
  <c r="F1996" i="3"/>
  <c r="A1996" i="3" s="1"/>
  <c r="E1996" i="3"/>
  <c r="F1995" i="3"/>
  <c r="A1995" i="3" s="1"/>
  <c r="E1995" i="3"/>
  <c r="F1994" i="3"/>
  <c r="A1994" i="3" s="1"/>
  <c r="E1994" i="3"/>
  <c r="F1993" i="3"/>
  <c r="A1993" i="3" s="1"/>
  <c r="E1993" i="3"/>
  <c r="F1992" i="3"/>
  <c r="A1992" i="3" s="1"/>
  <c r="E1992" i="3"/>
  <c r="F1991" i="3"/>
  <c r="A1991" i="3" s="1"/>
  <c r="E1991" i="3"/>
  <c r="F1990" i="3"/>
  <c r="A1990" i="3" s="1"/>
  <c r="E1990" i="3"/>
  <c r="F1989" i="3"/>
  <c r="A1989" i="3" s="1"/>
  <c r="E1989" i="3"/>
  <c r="F1988" i="3"/>
  <c r="A1988" i="3" s="1"/>
  <c r="E1988" i="3"/>
  <c r="F1987" i="3"/>
  <c r="A1987" i="3" s="1"/>
  <c r="E1987" i="3"/>
  <c r="F1986" i="3"/>
  <c r="A1986" i="3" s="1"/>
  <c r="E1986" i="3"/>
  <c r="F1985" i="3"/>
  <c r="A1985" i="3" s="1"/>
  <c r="E1985" i="3"/>
  <c r="F1984" i="3"/>
  <c r="A1984" i="3" s="1"/>
  <c r="E1984" i="3"/>
  <c r="F1983" i="3"/>
  <c r="A1983" i="3" s="1"/>
  <c r="E1983" i="3"/>
  <c r="F1982" i="3"/>
  <c r="A1982" i="3" s="1"/>
  <c r="E1982" i="3"/>
  <c r="F1981" i="3"/>
  <c r="A1981" i="3" s="1"/>
  <c r="E1981" i="3"/>
  <c r="F1980" i="3"/>
  <c r="A1980" i="3" s="1"/>
  <c r="E1980" i="3"/>
  <c r="F1979" i="3"/>
  <c r="A1979" i="3" s="1"/>
  <c r="E1979" i="3"/>
  <c r="F1978" i="3"/>
  <c r="A1978" i="3" s="1"/>
  <c r="E1978" i="3"/>
  <c r="F1977" i="3"/>
  <c r="A1977" i="3" s="1"/>
  <c r="E1977" i="3"/>
  <c r="F1976" i="3"/>
  <c r="A1976" i="3" s="1"/>
  <c r="E1976" i="3"/>
  <c r="F1975" i="3"/>
  <c r="A1975" i="3" s="1"/>
  <c r="E1975" i="3"/>
  <c r="F1974" i="3"/>
  <c r="A1974" i="3" s="1"/>
  <c r="E1974" i="3"/>
  <c r="F1973" i="3"/>
  <c r="A1973" i="3" s="1"/>
  <c r="E1973" i="3"/>
  <c r="F1972" i="3"/>
  <c r="A1972" i="3" s="1"/>
  <c r="E1972" i="3"/>
  <c r="F1971" i="3"/>
  <c r="A1971" i="3" s="1"/>
  <c r="E1971" i="3"/>
  <c r="F1970" i="3"/>
  <c r="A1970" i="3" s="1"/>
  <c r="E1970" i="3"/>
  <c r="F1969" i="3"/>
  <c r="A1969" i="3" s="1"/>
  <c r="E1969" i="3"/>
  <c r="F1968" i="3"/>
  <c r="A1968" i="3" s="1"/>
  <c r="E1968" i="3"/>
  <c r="F1967" i="3"/>
  <c r="A1967" i="3" s="1"/>
  <c r="E1967" i="3"/>
  <c r="F1966" i="3"/>
  <c r="A1966" i="3" s="1"/>
  <c r="E1966" i="3"/>
  <c r="F1965" i="3"/>
  <c r="A1965" i="3" s="1"/>
  <c r="E1965" i="3"/>
  <c r="F1964" i="3"/>
  <c r="A1964" i="3" s="1"/>
  <c r="E1964" i="3"/>
  <c r="F1963" i="3"/>
  <c r="A1963" i="3" s="1"/>
  <c r="E1963" i="3"/>
  <c r="F1962" i="3"/>
  <c r="A1962" i="3" s="1"/>
  <c r="E1962" i="3"/>
  <c r="F1961" i="3"/>
  <c r="A1961" i="3" s="1"/>
  <c r="E1961" i="3"/>
  <c r="F1960" i="3"/>
  <c r="A1960" i="3" s="1"/>
  <c r="E1960" i="3"/>
  <c r="F1959" i="3"/>
  <c r="A1959" i="3" s="1"/>
  <c r="E1959" i="3"/>
  <c r="F1958" i="3"/>
  <c r="A1958" i="3" s="1"/>
  <c r="E1958" i="3"/>
  <c r="F1957" i="3"/>
  <c r="A1957" i="3" s="1"/>
  <c r="E1957" i="3"/>
  <c r="F1956" i="3"/>
  <c r="A1956" i="3" s="1"/>
  <c r="E1956" i="3"/>
  <c r="F1955" i="3"/>
  <c r="A1955" i="3" s="1"/>
  <c r="E1955" i="3"/>
  <c r="F1954" i="3"/>
  <c r="A1954" i="3" s="1"/>
  <c r="E1954" i="3"/>
  <c r="F1953" i="3"/>
  <c r="A1953" i="3" s="1"/>
  <c r="E1953" i="3"/>
  <c r="F1952" i="3"/>
  <c r="A1952" i="3" s="1"/>
  <c r="E1952" i="3"/>
  <c r="F1951" i="3"/>
  <c r="A1951" i="3" s="1"/>
  <c r="E1951" i="3"/>
  <c r="F1950" i="3"/>
  <c r="A1950" i="3" s="1"/>
  <c r="E1950" i="3"/>
  <c r="F1949" i="3"/>
  <c r="A1949" i="3" s="1"/>
  <c r="E1949" i="3"/>
  <c r="F1948" i="3"/>
  <c r="A1948" i="3" s="1"/>
  <c r="E1948" i="3"/>
  <c r="F1947" i="3"/>
  <c r="A1947" i="3" s="1"/>
  <c r="E1947" i="3"/>
  <c r="F1946" i="3"/>
  <c r="A1946" i="3" s="1"/>
  <c r="E1946" i="3"/>
  <c r="F1945" i="3"/>
  <c r="A1945" i="3" s="1"/>
  <c r="E1945" i="3"/>
  <c r="F1944" i="3"/>
  <c r="A1944" i="3" s="1"/>
  <c r="E1944" i="3"/>
  <c r="F1943" i="3"/>
  <c r="A1943" i="3" s="1"/>
  <c r="E1943" i="3"/>
  <c r="F1942" i="3"/>
  <c r="A1942" i="3" s="1"/>
  <c r="E1942" i="3"/>
  <c r="F1941" i="3"/>
  <c r="A1941" i="3" s="1"/>
  <c r="E1941" i="3"/>
  <c r="F1940" i="3"/>
  <c r="A1940" i="3" s="1"/>
  <c r="E1940" i="3"/>
  <c r="F1939" i="3"/>
  <c r="A1939" i="3" s="1"/>
  <c r="E1939" i="3"/>
  <c r="F1938" i="3"/>
  <c r="A1938" i="3" s="1"/>
  <c r="E1938" i="3"/>
  <c r="F1937" i="3"/>
  <c r="A1937" i="3" s="1"/>
  <c r="E1937" i="3"/>
  <c r="F1936" i="3"/>
  <c r="A1936" i="3" s="1"/>
  <c r="E1936" i="3"/>
  <c r="F1935" i="3"/>
  <c r="A1935" i="3" s="1"/>
  <c r="E1935" i="3"/>
  <c r="F1934" i="3"/>
  <c r="A1934" i="3" s="1"/>
  <c r="E1934" i="3"/>
  <c r="F1933" i="3"/>
  <c r="A1933" i="3" s="1"/>
  <c r="E1933" i="3"/>
  <c r="F1932" i="3"/>
  <c r="A1932" i="3" s="1"/>
  <c r="E1932" i="3"/>
  <c r="F1931" i="3"/>
  <c r="A1931" i="3" s="1"/>
  <c r="E1931" i="3"/>
  <c r="F1930" i="3"/>
  <c r="A1930" i="3" s="1"/>
  <c r="E1930" i="3"/>
  <c r="F1929" i="3"/>
  <c r="A1929" i="3" s="1"/>
  <c r="E1929" i="3"/>
  <c r="F1928" i="3"/>
  <c r="A1928" i="3" s="1"/>
  <c r="E1928" i="3"/>
  <c r="F1927" i="3"/>
  <c r="A1927" i="3" s="1"/>
  <c r="E1927" i="3"/>
  <c r="F1926" i="3"/>
  <c r="A1926" i="3" s="1"/>
  <c r="E1926" i="3"/>
  <c r="F1925" i="3"/>
  <c r="A1925" i="3" s="1"/>
  <c r="E1925" i="3"/>
  <c r="F1924" i="3"/>
  <c r="A1924" i="3" s="1"/>
  <c r="E1924" i="3"/>
  <c r="F1923" i="3"/>
  <c r="A1923" i="3" s="1"/>
  <c r="E1923" i="3"/>
  <c r="F1922" i="3"/>
  <c r="A1922" i="3" s="1"/>
  <c r="E1922" i="3"/>
  <c r="F1921" i="3"/>
  <c r="A1921" i="3" s="1"/>
  <c r="E1921" i="3"/>
  <c r="F1920" i="3"/>
  <c r="A1920" i="3" s="1"/>
  <c r="E1920" i="3"/>
  <c r="F1919" i="3"/>
  <c r="A1919" i="3" s="1"/>
  <c r="E1919" i="3"/>
  <c r="F1918" i="3"/>
  <c r="A1918" i="3" s="1"/>
  <c r="E1918" i="3"/>
  <c r="F1917" i="3"/>
  <c r="A1917" i="3" s="1"/>
  <c r="E1917" i="3"/>
  <c r="F1916" i="3"/>
  <c r="A1916" i="3" s="1"/>
  <c r="E1916" i="3"/>
  <c r="F1915" i="3"/>
  <c r="A1915" i="3" s="1"/>
  <c r="E1915" i="3"/>
  <c r="F1914" i="3"/>
  <c r="A1914" i="3" s="1"/>
  <c r="E1914" i="3"/>
  <c r="F1913" i="3"/>
  <c r="A1913" i="3" s="1"/>
  <c r="E1913" i="3"/>
  <c r="F1912" i="3"/>
  <c r="A1912" i="3" s="1"/>
  <c r="E1912" i="3"/>
  <c r="F1911" i="3"/>
  <c r="A1911" i="3" s="1"/>
  <c r="E1911" i="3"/>
  <c r="F1910" i="3"/>
  <c r="A1910" i="3" s="1"/>
  <c r="E1910" i="3"/>
  <c r="F1909" i="3"/>
  <c r="A1909" i="3" s="1"/>
  <c r="E1909" i="3"/>
  <c r="F1908" i="3"/>
  <c r="A1908" i="3" s="1"/>
  <c r="E1908" i="3"/>
  <c r="F1907" i="3"/>
  <c r="A1907" i="3" s="1"/>
  <c r="E1907" i="3"/>
  <c r="F1906" i="3"/>
  <c r="A1906" i="3" s="1"/>
  <c r="E1906" i="3"/>
  <c r="F1905" i="3"/>
  <c r="A1905" i="3" s="1"/>
  <c r="E1905" i="3"/>
  <c r="F1904" i="3"/>
  <c r="A1904" i="3" s="1"/>
  <c r="E1904" i="3"/>
  <c r="F1903" i="3"/>
  <c r="A1903" i="3" s="1"/>
  <c r="E1903" i="3"/>
  <c r="F1902" i="3"/>
  <c r="A1902" i="3" s="1"/>
  <c r="E1902" i="3"/>
  <c r="F1901" i="3"/>
  <c r="A1901" i="3" s="1"/>
  <c r="E1901" i="3"/>
  <c r="F1900" i="3"/>
  <c r="A1900" i="3" s="1"/>
  <c r="E1900" i="3"/>
  <c r="F1899" i="3"/>
  <c r="A1899" i="3" s="1"/>
  <c r="E1899" i="3"/>
  <c r="F1898" i="3"/>
  <c r="A1898" i="3" s="1"/>
  <c r="E1898" i="3"/>
  <c r="F1897" i="3"/>
  <c r="A1897" i="3" s="1"/>
  <c r="E1897" i="3"/>
  <c r="F1896" i="3"/>
  <c r="A1896" i="3" s="1"/>
  <c r="E1896" i="3"/>
  <c r="F1895" i="3"/>
  <c r="A1895" i="3" s="1"/>
  <c r="E1895" i="3"/>
  <c r="F1894" i="3"/>
  <c r="A1894" i="3" s="1"/>
  <c r="E1894" i="3"/>
  <c r="F1893" i="3"/>
  <c r="A1893" i="3" s="1"/>
  <c r="E1893" i="3"/>
  <c r="F1892" i="3"/>
  <c r="A1892" i="3" s="1"/>
  <c r="E1892" i="3"/>
  <c r="F1891" i="3"/>
  <c r="A1891" i="3" s="1"/>
  <c r="E1891" i="3"/>
  <c r="F1890" i="3"/>
  <c r="A1890" i="3" s="1"/>
  <c r="E1890" i="3"/>
  <c r="F1889" i="3"/>
  <c r="A1889" i="3" s="1"/>
  <c r="E1889" i="3"/>
  <c r="F1888" i="3"/>
  <c r="A1888" i="3" s="1"/>
  <c r="E1888" i="3"/>
  <c r="F1887" i="3"/>
  <c r="A1887" i="3" s="1"/>
  <c r="E1887" i="3"/>
  <c r="F1886" i="3"/>
  <c r="A1886" i="3" s="1"/>
  <c r="E1886" i="3"/>
  <c r="F1885" i="3"/>
  <c r="A1885" i="3" s="1"/>
  <c r="E1885" i="3"/>
  <c r="F1884" i="3"/>
  <c r="A1884" i="3" s="1"/>
  <c r="E1884" i="3"/>
  <c r="F1883" i="3"/>
  <c r="A1883" i="3" s="1"/>
  <c r="E1883" i="3"/>
  <c r="F1882" i="3"/>
  <c r="A1882" i="3" s="1"/>
  <c r="E1882" i="3"/>
  <c r="F1881" i="3"/>
  <c r="A1881" i="3" s="1"/>
  <c r="E1881" i="3"/>
  <c r="F1880" i="3"/>
  <c r="A1880" i="3" s="1"/>
  <c r="E1880" i="3"/>
  <c r="F1879" i="3"/>
  <c r="A1879" i="3" s="1"/>
  <c r="E1879" i="3"/>
  <c r="F1878" i="3"/>
  <c r="A1878" i="3" s="1"/>
  <c r="E1878" i="3"/>
  <c r="F1877" i="3"/>
  <c r="A1877" i="3" s="1"/>
  <c r="E1877" i="3"/>
  <c r="F1876" i="3"/>
  <c r="A1876" i="3" s="1"/>
  <c r="E1876" i="3"/>
  <c r="F1875" i="3"/>
  <c r="A1875" i="3" s="1"/>
  <c r="E1875" i="3"/>
  <c r="F1874" i="3"/>
  <c r="A1874" i="3" s="1"/>
  <c r="E1874" i="3"/>
  <c r="F1873" i="3"/>
  <c r="A1873" i="3" s="1"/>
  <c r="E1873" i="3"/>
  <c r="F1872" i="3"/>
  <c r="A1872" i="3" s="1"/>
  <c r="E1872" i="3"/>
  <c r="F1871" i="3"/>
  <c r="A1871" i="3" s="1"/>
  <c r="E1871" i="3"/>
  <c r="F1870" i="3"/>
  <c r="A1870" i="3" s="1"/>
  <c r="E1870" i="3"/>
  <c r="F1869" i="3"/>
  <c r="A1869" i="3" s="1"/>
  <c r="E1869" i="3"/>
  <c r="F1868" i="3"/>
  <c r="A1868" i="3" s="1"/>
  <c r="E1868" i="3"/>
  <c r="F1867" i="3"/>
  <c r="A1867" i="3" s="1"/>
  <c r="E1867" i="3"/>
  <c r="F1866" i="3"/>
  <c r="A1866" i="3" s="1"/>
  <c r="E1866" i="3"/>
  <c r="F1865" i="3"/>
  <c r="A1865" i="3" s="1"/>
  <c r="E1865" i="3"/>
  <c r="F1864" i="3"/>
  <c r="A1864" i="3" s="1"/>
  <c r="E1864" i="3"/>
  <c r="F1863" i="3"/>
  <c r="A1863" i="3" s="1"/>
  <c r="E1863" i="3"/>
  <c r="F1862" i="3"/>
  <c r="A1862" i="3" s="1"/>
  <c r="E1862" i="3"/>
  <c r="F1861" i="3"/>
  <c r="A1861" i="3" s="1"/>
  <c r="E1861" i="3"/>
  <c r="F1860" i="3"/>
  <c r="A1860" i="3" s="1"/>
  <c r="E1860" i="3"/>
  <c r="F1859" i="3"/>
  <c r="A1859" i="3" s="1"/>
  <c r="E1859" i="3"/>
  <c r="F1858" i="3"/>
  <c r="A1858" i="3" s="1"/>
  <c r="E1858" i="3"/>
  <c r="F1857" i="3"/>
  <c r="A1857" i="3" s="1"/>
  <c r="E1857" i="3"/>
  <c r="F1856" i="3"/>
  <c r="A1856" i="3" s="1"/>
  <c r="E1856" i="3"/>
  <c r="F1855" i="3"/>
  <c r="A1855" i="3" s="1"/>
  <c r="E1855" i="3"/>
  <c r="F1854" i="3"/>
  <c r="A1854" i="3" s="1"/>
  <c r="E1854" i="3"/>
  <c r="F1853" i="3"/>
  <c r="A1853" i="3" s="1"/>
  <c r="E1853" i="3"/>
  <c r="F1852" i="3"/>
  <c r="A1852" i="3" s="1"/>
  <c r="E1852" i="3"/>
  <c r="F1851" i="3"/>
  <c r="A1851" i="3" s="1"/>
  <c r="E1851" i="3"/>
  <c r="F1850" i="3"/>
  <c r="A1850" i="3" s="1"/>
  <c r="E1850" i="3"/>
  <c r="F1849" i="3"/>
  <c r="A1849" i="3" s="1"/>
  <c r="E1849" i="3"/>
  <c r="F1848" i="3"/>
  <c r="A1848" i="3" s="1"/>
  <c r="E1848" i="3"/>
  <c r="F1847" i="3"/>
  <c r="A1847" i="3" s="1"/>
  <c r="E1847" i="3"/>
  <c r="F1846" i="3"/>
  <c r="A1846" i="3" s="1"/>
  <c r="E1846" i="3"/>
  <c r="F1845" i="3"/>
  <c r="A1845" i="3" s="1"/>
  <c r="E1845" i="3"/>
  <c r="F1844" i="3"/>
  <c r="A1844" i="3" s="1"/>
  <c r="E1844" i="3"/>
  <c r="F1843" i="3"/>
  <c r="A1843" i="3" s="1"/>
  <c r="E1843" i="3"/>
  <c r="F1842" i="3"/>
  <c r="A1842" i="3" s="1"/>
  <c r="E1842" i="3"/>
  <c r="F1841" i="3"/>
  <c r="A1841" i="3" s="1"/>
  <c r="E1841" i="3"/>
  <c r="F1840" i="3"/>
  <c r="A1840" i="3" s="1"/>
  <c r="E1840" i="3"/>
  <c r="F1839" i="3"/>
  <c r="A1839" i="3" s="1"/>
  <c r="E1839" i="3"/>
  <c r="F1838" i="3"/>
  <c r="A1838" i="3" s="1"/>
  <c r="E1838" i="3"/>
  <c r="F1837" i="3"/>
  <c r="A1837" i="3" s="1"/>
  <c r="E1837" i="3"/>
  <c r="F1836" i="3"/>
  <c r="A1836" i="3" s="1"/>
  <c r="E1836" i="3"/>
  <c r="F1835" i="3"/>
  <c r="A1835" i="3" s="1"/>
  <c r="E1835" i="3"/>
  <c r="F1834" i="3"/>
  <c r="A1834" i="3" s="1"/>
  <c r="E1834" i="3"/>
  <c r="F1833" i="3"/>
  <c r="A1833" i="3" s="1"/>
  <c r="E1833" i="3"/>
  <c r="F1832" i="3"/>
  <c r="A1832" i="3" s="1"/>
  <c r="E1832" i="3"/>
  <c r="F1831" i="3"/>
  <c r="A1831" i="3" s="1"/>
  <c r="E1831" i="3"/>
  <c r="F1830" i="3"/>
  <c r="A1830" i="3" s="1"/>
  <c r="E1830" i="3"/>
  <c r="F1829" i="3"/>
  <c r="A1829" i="3" s="1"/>
  <c r="E1829" i="3"/>
  <c r="F1828" i="3"/>
  <c r="A1828" i="3" s="1"/>
  <c r="E1828" i="3"/>
  <c r="F1827" i="3"/>
  <c r="A1827" i="3" s="1"/>
  <c r="E1827" i="3"/>
  <c r="F1826" i="3"/>
  <c r="A1826" i="3" s="1"/>
  <c r="E1826" i="3"/>
  <c r="F1825" i="3"/>
  <c r="A1825" i="3" s="1"/>
  <c r="E1825" i="3"/>
  <c r="F1824" i="3"/>
  <c r="A1824" i="3" s="1"/>
  <c r="E1824" i="3"/>
  <c r="F1823" i="3"/>
  <c r="A1823" i="3" s="1"/>
  <c r="E1823" i="3"/>
  <c r="F1822" i="3"/>
  <c r="A1822" i="3" s="1"/>
  <c r="E1822" i="3"/>
  <c r="F1821" i="3"/>
  <c r="A1821" i="3" s="1"/>
  <c r="E1821" i="3"/>
  <c r="F1820" i="3"/>
  <c r="A1820" i="3" s="1"/>
  <c r="E1820" i="3"/>
  <c r="F1819" i="3"/>
  <c r="A1819" i="3" s="1"/>
  <c r="E1819" i="3"/>
  <c r="F1818" i="3"/>
  <c r="A1818" i="3" s="1"/>
  <c r="E1818" i="3"/>
  <c r="F1817" i="3"/>
  <c r="A1817" i="3" s="1"/>
  <c r="E1817" i="3"/>
  <c r="F1816" i="3"/>
  <c r="A1816" i="3" s="1"/>
  <c r="E1816" i="3"/>
  <c r="F1815" i="3"/>
  <c r="A1815" i="3" s="1"/>
  <c r="E1815" i="3"/>
  <c r="F1814" i="3"/>
  <c r="A1814" i="3" s="1"/>
  <c r="E1814" i="3"/>
  <c r="F1813" i="3"/>
  <c r="A1813" i="3" s="1"/>
  <c r="E1813" i="3"/>
  <c r="F1812" i="3"/>
  <c r="A1812" i="3" s="1"/>
  <c r="E1812" i="3"/>
  <c r="F1811" i="3"/>
  <c r="A1811" i="3" s="1"/>
  <c r="E1811" i="3"/>
  <c r="F1810" i="3"/>
  <c r="A1810" i="3" s="1"/>
  <c r="E1810" i="3"/>
  <c r="F1809" i="3"/>
  <c r="A1809" i="3" s="1"/>
  <c r="E1809" i="3"/>
  <c r="F1808" i="3"/>
  <c r="A1808" i="3" s="1"/>
  <c r="E1808" i="3"/>
  <c r="F1807" i="3"/>
  <c r="A1807" i="3" s="1"/>
  <c r="E1807" i="3"/>
  <c r="F1806" i="3"/>
  <c r="A1806" i="3" s="1"/>
  <c r="E1806" i="3"/>
  <c r="F1805" i="3"/>
  <c r="A1805" i="3" s="1"/>
  <c r="E1805" i="3"/>
  <c r="F1804" i="3"/>
  <c r="A1804" i="3" s="1"/>
  <c r="E1804" i="3"/>
  <c r="F1803" i="3"/>
  <c r="A1803" i="3" s="1"/>
  <c r="E1803" i="3"/>
  <c r="F1802" i="3"/>
  <c r="A1802" i="3" s="1"/>
  <c r="E1802" i="3"/>
  <c r="F1801" i="3"/>
  <c r="A1801" i="3" s="1"/>
  <c r="E1801" i="3"/>
  <c r="F1800" i="3"/>
  <c r="A1800" i="3" s="1"/>
  <c r="E1800" i="3"/>
  <c r="F1799" i="3"/>
  <c r="A1799" i="3" s="1"/>
  <c r="E1799" i="3"/>
  <c r="F1798" i="3"/>
  <c r="A1798" i="3" s="1"/>
  <c r="E1798" i="3"/>
  <c r="F1797" i="3"/>
  <c r="A1797" i="3" s="1"/>
  <c r="E1797" i="3"/>
  <c r="F1796" i="3"/>
  <c r="A1796" i="3" s="1"/>
  <c r="E1796" i="3"/>
  <c r="F1795" i="3"/>
  <c r="A1795" i="3" s="1"/>
  <c r="E1795" i="3"/>
  <c r="F1794" i="3"/>
  <c r="A1794" i="3" s="1"/>
  <c r="E1794" i="3"/>
  <c r="F1793" i="3"/>
  <c r="A1793" i="3" s="1"/>
  <c r="E1793" i="3"/>
  <c r="F1792" i="3"/>
  <c r="A1792" i="3" s="1"/>
  <c r="E1792" i="3"/>
  <c r="F1791" i="3"/>
  <c r="A1791" i="3" s="1"/>
  <c r="E1791" i="3"/>
  <c r="F1790" i="3"/>
  <c r="A1790" i="3" s="1"/>
  <c r="E1790" i="3"/>
  <c r="F1789" i="3"/>
  <c r="A1789" i="3" s="1"/>
  <c r="E1789" i="3"/>
  <c r="F1788" i="3"/>
  <c r="A1788" i="3" s="1"/>
  <c r="E1788" i="3"/>
  <c r="F1787" i="3"/>
  <c r="A1787" i="3" s="1"/>
  <c r="E1787" i="3"/>
  <c r="F1786" i="3"/>
  <c r="A1786" i="3" s="1"/>
  <c r="E1786" i="3"/>
  <c r="F1785" i="3"/>
  <c r="A1785" i="3" s="1"/>
  <c r="E1785" i="3"/>
  <c r="F1784" i="3"/>
  <c r="A1784" i="3" s="1"/>
  <c r="E1784" i="3"/>
  <c r="F1783" i="3"/>
  <c r="A1783" i="3" s="1"/>
  <c r="E1783" i="3"/>
  <c r="F1782" i="3"/>
  <c r="A1782" i="3" s="1"/>
  <c r="E1782" i="3"/>
  <c r="F1781" i="3"/>
  <c r="A1781" i="3" s="1"/>
  <c r="E1781" i="3"/>
  <c r="F1780" i="3"/>
  <c r="A1780" i="3" s="1"/>
  <c r="E1780" i="3"/>
  <c r="F1779" i="3"/>
  <c r="A1779" i="3" s="1"/>
  <c r="E1779" i="3"/>
  <c r="F1778" i="3"/>
  <c r="A1778" i="3" s="1"/>
  <c r="E1778" i="3"/>
  <c r="F1777" i="3"/>
  <c r="A1777" i="3" s="1"/>
  <c r="E1777" i="3"/>
  <c r="F1776" i="3"/>
  <c r="A1776" i="3" s="1"/>
  <c r="E1776" i="3"/>
  <c r="F1775" i="3"/>
  <c r="A1775" i="3" s="1"/>
  <c r="E1775" i="3"/>
  <c r="F1774" i="3"/>
  <c r="A1774" i="3" s="1"/>
  <c r="E1774" i="3"/>
  <c r="F1773" i="3"/>
  <c r="A1773" i="3" s="1"/>
  <c r="E1773" i="3"/>
  <c r="F1772" i="3"/>
  <c r="A1772" i="3" s="1"/>
  <c r="E1772" i="3"/>
  <c r="F1771" i="3"/>
  <c r="A1771" i="3" s="1"/>
  <c r="E1771" i="3"/>
  <c r="F1770" i="3"/>
  <c r="A1770" i="3" s="1"/>
  <c r="E1770" i="3"/>
  <c r="F1769" i="3"/>
  <c r="A1769" i="3" s="1"/>
  <c r="E1769" i="3"/>
  <c r="F1768" i="3"/>
  <c r="A1768" i="3" s="1"/>
  <c r="E1768" i="3"/>
  <c r="F1767" i="3"/>
  <c r="A1767" i="3" s="1"/>
  <c r="E1767" i="3"/>
  <c r="F1766" i="3"/>
  <c r="A1766" i="3" s="1"/>
  <c r="E1766" i="3"/>
  <c r="F1765" i="3"/>
  <c r="A1765" i="3" s="1"/>
  <c r="E1765" i="3"/>
  <c r="F1764" i="3"/>
  <c r="A1764" i="3" s="1"/>
  <c r="E1764" i="3"/>
  <c r="F1763" i="3"/>
  <c r="A1763" i="3" s="1"/>
  <c r="E1763" i="3"/>
  <c r="F1762" i="3"/>
  <c r="A1762" i="3" s="1"/>
  <c r="E1762" i="3"/>
  <c r="F1761" i="3"/>
  <c r="A1761" i="3" s="1"/>
  <c r="E1761" i="3"/>
  <c r="F1760" i="3"/>
  <c r="A1760" i="3" s="1"/>
  <c r="E1760" i="3"/>
  <c r="F1759" i="3"/>
  <c r="A1759" i="3" s="1"/>
  <c r="E1759" i="3"/>
  <c r="F1758" i="3"/>
  <c r="A1758" i="3" s="1"/>
  <c r="E1758" i="3"/>
  <c r="F1757" i="3"/>
  <c r="A1757" i="3" s="1"/>
  <c r="E1757" i="3"/>
  <c r="F1756" i="3"/>
  <c r="A1756" i="3" s="1"/>
  <c r="E1756" i="3"/>
  <c r="F1755" i="3"/>
  <c r="A1755" i="3" s="1"/>
  <c r="E1755" i="3"/>
  <c r="F1754" i="3"/>
  <c r="A1754" i="3" s="1"/>
  <c r="E1754" i="3"/>
  <c r="F1753" i="3"/>
  <c r="A1753" i="3" s="1"/>
  <c r="E1753" i="3"/>
  <c r="F1752" i="3"/>
  <c r="A1752" i="3" s="1"/>
  <c r="E1752" i="3"/>
  <c r="F1751" i="3"/>
  <c r="A1751" i="3" s="1"/>
  <c r="E1751" i="3"/>
  <c r="F1750" i="3"/>
  <c r="A1750" i="3" s="1"/>
  <c r="E1750" i="3"/>
  <c r="F1749" i="3"/>
  <c r="A1749" i="3" s="1"/>
  <c r="E1749" i="3"/>
  <c r="F1748" i="3"/>
  <c r="A1748" i="3" s="1"/>
  <c r="E1748" i="3"/>
  <c r="F1747" i="3"/>
  <c r="A1747" i="3" s="1"/>
  <c r="E1747" i="3"/>
  <c r="F1746" i="3"/>
  <c r="A1746" i="3" s="1"/>
  <c r="E1746" i="3"/>
  <c r="F1745" i="3"/>
  <c r="A1745" i="3" s="1"/>
  <c r="E1745" i="3"/>
  <c r="F1744" i="3"/>
  <c r="A1744" i="3" s="1"/>
  <c r="E1744" i="3"/>
  <c r="F1743" i="3"/>
  <c r="A1743" i="3" s="1"/>
  <c r="E1743" i="3"/>
  <c r="F1742" i="3"/>
  <c r="A1742" i="3" s="1"/>
  <c r="E1742" i="3"/>
  <c r="F1741" i="3"/>
  <c r="A1741" i="3" s="1"/>
  <c r="E1741" i="3"/>
  <c r="F1740" i="3"/>
  <c r="A1740" i="3" s="1"/>
  <c r="E1740" i="3"/>
  <c r="F1739" i="3"/>
  <c r="A1739" i="3" s="1"/>
  <c r="E1739" i="3"/>
  <c r="F1738" i="3"/>
  <c r="A1738" i="3" s="1"/>
  <c r="E1738" i="3"/>
  <c r="F1737" i="3"/>
  <c r="A1737" i="3" s="1"/>
  <c r="E1737" i="3"/>
  <c r="F1736" i="3"/>
  <c r="A1736" i="3" s="1"/>
  <c r="E1736" i="3"/>
  <c r="F1735" i="3"/>
  <c r="A1735" i="3" s="1"/>
  <c r="E1735" i="3"/>
  <c r="F1734" i="3"/>
  <c r="A1734" i="3" s="1"/>
  <c r="E1734" i="3"/>
  <c r="F1733" i="3"/>
  <c r="A1733" i="3" s="1"/>
  <c r="E1733" i="3"/>
  <c r="F1732" i="3"/>
  <c r="A1732" i="3" s="1"/>
  <c r="E1732" i="3"/>
  <c r="F1731" i="3"/>
  <c r="A1731" i="3" s="1"/>
  <c r="E1731" i="3"/>
  <c r="F1730" i="3"/>
  <c r="A1730" i="3" s="1"/>
  <c r="E1730" i="3"/>
  <c r="F1729" i="3"/>
  <c r="A1729" i="3" s="1"/>
  <c r="E1729" i="3"/>
  <c r="F1728" i="3"/>
  <c r="A1728" i="3" s="1"/>
  <c r="E1728" i="3"/>
  <c r="F1727" i="3"/>
  <c r="A1727" i="3" s="1"/>
  <c r="E1727" i="3"/>
  <c r="F1726" i="3"/>
  <c r="A1726" i="3" s="1"/>
  <c r="E1726" i="3"/>
  <c r="F1725" i="3"/>
  <c r="A1725" i="3" s="1"/>
  <c r="E1725" i="3"/>
  <c r="F1724" i="3"/>
  <c r="A1724" i="3" s="1"/>
  <c r="E1724" i="3"/>
  <c r="F1723" i="3"/>
  <c r="A1723" i="3" s="1"/>
  <c r="E1723" i="3"/>
  <c r="F1722" i="3"/>
  <c r="A1722" i="3" s="1"/>
  <c r="E1722" i="3"/>
  <c r="F1721" i="3"/>
  <c r="A1721" i="3" s="1"/>
  <c r="E1721" i="3"/>
  <c r="F1720" i="3"/>
  <c r="A1720" i="3" s="1"/>
  <c r="E1720" i="3"/>
  <c r="F1719" i="3"/>
  <c r="A1719" i="3" s="1"/>
  <c r="E1719" i="3"/>
  <c r="F1718" i="3"/>
  <c r="A1718" i="3" s="1"/>
  <c r="E1718" i="3"/>
  <c r="F1717" i="3"/>
  <c r="A1717" i="3" s="1"/>
  <c r="E1717" i="3"/>
  <c r="F1716" i="3"/>
  <c r="A1716" i="3" s="1"/>
  <c r="E1716" i="3"/>
  <c r="F1715" i="3"/>
  <c r="A1715" i="3" s="1"/>
  <c r="E1715" i="3"/>
  <c r="F1714" i="3"/>
  <c r="A1714" i="3" s="1"/>
  <c r="E1714" i="3"/>
  <c r="F1713" i="3"/>
  <c r="A1713" i="3" s="1"/>
  <c r="E1713" i="3"/>
  <c r="F1712" i="3"/>
  <c r="A1712" i="3" s="1"/>
  <c r="E1712" i="3"/>
  <c r="F1711" i="3"/>
  <c r="A1711" i="3" s="1"/>
  <c r="E1711" i="3"/>
  <c r="F1710" i="3"/>
  <c r="A1710" i="3" s="1"/>
  <c r="E1710" i="3"/>
  <c r="F1709" i="3"/>
  <c r="A1709" i="3" s="1"/>
  <c r="E1709" i="3"/>
  <c r="F1708" i="3"/>
  <c r="A1708" i="3" s="1"/>
  <c r="E1708" i="3"/>
  <c r="F1707" i="3"/>
  <c r="A1707" i="3" s="1"/>
  <c r="E1707" i="3"/>
  <c r="F1706" i="3"/>
  <c r="A1706" i="3" s="1"/>
  <c r="E1706" i="3"/>
  <c r="F1705" i="3"/>
  <c r="A1705" i="3" s="1"/>
  <c r="E1705" i="3"/>
  <c r="F1704" i="3"/>
  <c r="A1704" i="3" s="1"/>
  <c r="E1704" i="3"/>
  <c r="F1703" i="3"/>
  <c r="A1703" i="3" s="1"/>
  <c r="E1703" i="3"/>
  <c r="F1702" i="3"/>
  <c r="A1702" i="3" s="1"/>
  <c r="E1702" i="3"/>
  <c r="F1701" i="3"/>
  <c r="A1701" i="3" s="1"/>
  <c r="E1701" i="3"/>
  <c r="F1700" i="3"/>
  <c r="A1700" i="3" s="1"/>
  <c r="E1700" i="3"/>
  <c r="F1699" i="3"/>
  <c r="A1699" i="3" s="1"/>
  <c r="E1699" i="3"/>
  <c r="F1698" i="3"/>
  <c r="A1698" i="3" s="1"/>
  <c r="E1698" i="3"/>
  <c r="F1697" i="3"/>
  <c r="A1697" i="3" s="1"/>
  <c r="E1697" i="3"/>
  <c r="F1696" i="3"/>
  <c r="A1696" i="3" s="1"/>
  <c r="E1696" i="3"/>
  <c r="F1695" i="3"/>
  <c r="A1695" i="3" s="1"/>
  <c r="E1695" i="3"/>
  <c r="F1694" i="3"/>
  <c r="A1694" i="3" s="1"/>
  <c r="E1694" i="3"/>
  <c r="F1693" i="3"/>
  <c r="A1693" i="3" s="1"/>
  <c r="E1693" i="3"/>
  <c r="F1692" i="3"/>
  <c r="A1692" i="3" s="1"/>
  <c r="E1692" i="3"/>
  <c r="F1691" i="3"/>
  <c r="A1691" i="3" s="1"/>
  <c r="E1691" i="3"/>
  <c r="F1690" i="3"/>
  <c r="A1690" i="3" s="1"/>
  <c r="E1690" i="3"/>
  <c r="F1689" i="3"/>
  <c r="A1689" i="3" s="1"/>
  <c r="E1689" i="3"/>
  <c r="F1688" i="3"/>
  <c r="A1688" i="3" s="1"/>
  <c r="E1688" i="3"/>
  <c r="F1687" i="3"/>
  <c r="A1687" i="3" s="1"/>
  <c r="E1687" i="3"/>
  <c r="F1686" i="3"/>
  <c r="A1686" i="3" s="1"/>
  <c r="E1686" i="3"/>
  <c r="F1685" i="3"/>
  <c r="A1685" i="3" s="1"/>
  <c r="E1685" i="3"/>
  <c r="F1684" i="3"/>
  <c r="A1684" i="3" s="1"/>
  <c r="E1684" i="3"/>
  <c r="F1683" i="3"/>
  <c r="A1683" i="3" s="1"/>
  <c r="E1683" i="3"/>
  <c r="F1682" i="3"/>
  <c r="A1682" i="3" s="1"/>
  <c r="E1682" i="3"/>
  <c r="F1681" i="3"/>
  <c r="A1681" i="3" s="1"/>
  <c r="E1681" i="3"/>
  <c r="F1680" i="3"/>
  <c r="A1680" i="3" s="1"/>
  <c r="E1680" i="3"/>
  <c r="F1679" i="3"/>
  <c r="A1679" i="3" s="1"/>
  <c r="E1679" i="3"/>
  <c r="F1678" i="3"/>
  <c r="A1678" i="3" s="1"/>
  <c r="E1678" i="3"/>
  <c r="F1677" i="3"/>
  <c r="A1677" i="3" s="1"/>
  <c r="E1677" i="3"/>
  <c r="F1676" i="3"/>
  <c r="A1676" i="3" s="1"/>
  <c r="E1676" i="3"/>
  <c r="F1675" i="3"/>
  <c r="A1675" i="3" s="1"/>
  <c r="E1675" i="3"/>
  <c r="F1674" i="3"/>
  <c r="A1674" i="3" s="1"/>
  <c r="E1674" i="3"/>
  <c r="F1673" i="3"/>
  <c r="A1673" i="3" s="1"/>
  <c r="E1673" i="3"/>
  <c r="F1672" i="3"/>
  <c r="A1672" i="3" s="1"/>
  <c r="E1672" i="3"/>
  <c r="F1671" i="3"/>
  <c r="A1671" i="3" s="1"/>
  <c r="E1671" i="3"/>
  <c r="F1670" i="3"/>
  <c r="A1670" i="3" s="1"/>
  <c r="E1670" i="3"/>
  <c r="F1669" i="3"/>
  <c r="A1669" i="3" s="1"/>
  <c r="E1669" i="3"/>
  <c r="F1668" i="3"/>
  <c r="A1668" i="3" s="1"/>
  <c r="E1668" i="3"/>
  <c r="F1667" i="3"/>
  <c r="A1667" i="3" s="1"/>
  <c r="E1667" i="3"/>
  <c r="F1666" i="3"/>
  <c r="A1666" i="3" s="1"/>
  <c r="E1666" i="3"/>
  <c r="F1665" i="3"/>
  <c r="A1665" i="3" s="1"/>
  <c r="E1665" i="3"/>
  <c r="F1664" i="3"/>
  <c r="A1664" i="3" s="1"/>
  <c r="E1664" i="3"/>
  <c r="F1663" i="3"/>
  <c r="A1663" i="3" s="1"/>
  <c r="E1663" i="3"/>
  <c r="F1662" i="3"/>
  <c r="A1662" i="3" s="1"/>
  <c r="E1662" i="3"/>
  <c r="F1661" i="3"/>
  <c r="A1661" i="3" s="1"/>
  <c r="E1661" i="3"/>
  <c r="F1660" i="3"/>
  <c r="A1660" i="3" s="1"/>
  <c r="E1660" i="3"/>
  <c r="F1659" i="3"/>
  <c r="A1659" i="3" s="1"/>
  <c r="E1659" i="3"/>
  <c r="F1658" i="3"/>
  <c r="A1658" i="3" s="1"/>
  <c r="E1658" i="3"/>
  <c r="F1657" i="3"/>
  <c r="A1657" i="3" s="1"/>
  <c r="E1657" i="3"/>
  <c r="F1656" i="3"/>
  <c r="A1656" i="3" s="1"/>
  <c r="E1656" i="3"/>
  <c r="F1655" i="3"/>
  <c r="A1655" i="3" s="1"/>
  <c r="E1655" i="3"/>
  <c r="F1654" i="3"/>
  <c r="A1654" i="3" s="1"/>
  <c r="E1654" i="3"/>
  <c r="F1653" i="3"/>
  <c r="A1653" i="3" s="1"/>
  <c r="E1653" i="3"/>
  <c r="F1652" i="3"/>
  <c r="A1652" i="3" s="1"/>
  <c r="E1652" i="3"/>
  <c r="F1651" i="3"/>
  <c r="A1651" i="3" s="1"/>
  <c r="E1651" i="3"/>
  <c r="F1650" i="3"/>
  <c r="A1650" i="3" s="1"/>
  <c r="E1650" i="3"/>
  <c r="F1649" i="3"/>
  <c r="A1649" i="3" s="1"/>
  <c r="E1649" i="3"/>
  <c r="F1648" i="3"/>
  <c r="A1648" i="3" s="1"/>
  <c r="E1648" i="3"/>
  <c r="F1647" i="3"/>
  <c r="A1647" i="3" s="1"/>
  <c r="E1647" i="3"/>
  <c r="F1646" i="3"/>
  <c r="A1646" i="3" s="1"/>
  <c r="E1646" i="3"/>
  <c r="F1645" i="3"/>
  <c r="A1645" i="3" s="1"/>
  <c r="E1645" i="3"/>
  <c r="F1644" i="3"/>
  <c r="A1644" i="3" s="1"/>
  <c r="E1644" i="3"/>
  <c r="F1643" i="3"/>
  <c r="A1643" i="3" s="1"/>
  <c r="E1643" i="3"/>
  <c r="F1642" i="3"/>
  <c r="A1642" i="3" s="1"/>
  <c r="E1642" i="3"/>
  <c r="F1641" i="3"/>
  <c r="A1641" i="3" s="1"/>
  <c r="E1641" i="3"/>
  <c r="F1640" i="3"/>
  <c r="A1640" i="3" s="1"/>
  <c r="E1640" i="3"/>
  <c r="F1639" i="3"/>
  <c r="A1639" i="3" s="1"/>
  <c r="E1639" i="3"/>
  <c r="F1638" i="3"/>
  <c r="A1638" i="3" s="1"/>
  <c r="E1638" i="3"/>
  <c r="F1637" i="3"/>
  <c r="A1637" i="3" s="1"/>
  <c r="E1637" i="3"/>
  <c r="F1636" i="3"/>
  <c r="A1636" i="3" s="1"/>
  <c r="E1636" i="3"/>
  <c r="F1635" i="3"/>
  <c r="A1635" i="3" s="1"/>
  <c r="E1635" i="3"/>
  <c r="F1634" i="3"/>
  <c r="A1634" i="3" s="1"/>
  <c r="E1634" i="3"/>
  <c r="F1633" i="3"/>
  <c r="A1633" i="3" s="1"/>
  <c r="E1633" i="3"/>
  <c r="F1632" i="3"/>
  <c r="A1632" i="3" s="1"/>
  <c r="E1632" i="3"/>
  <c r="F1631" i="3"/>
  <c r="A1631" i="3" s="1"/>
  <c r="E1631" i="3"/>
  <c r="F1630" i="3"/>
  <c r="A1630" i="3" s="1"/>
  <c r="E1630" i="3"/>
  <c r="F1629" i="3"/>
  <c r="A1629" i="3" s="1"/>
  <c r="E1629" i="3"/>
  <c r="F1628" i="3"/>
  <c r="A1628" i="3" s="1"/>
  <c r="E1628" i="3"/>
  <c r="F1627" i="3"/>
  <c r="A1627" i="3" s="1"/>
  <c r="E1627" i="3"/>
  <c r="F1626" i="3"/>
  <c r="A1626" i="3" s="1"/>
  <c r="E1626" i="3"/>
  <c r="F1625" i="3"/>
  <c r="A1625" i="3" s="1"/>
  <c r="E1625" i="3"/>
  <c r="F1624" i="3"/>
  <c r="A1624" i="3" s="1"/>
  <c r="E1624" i="3"/>
  <c r="F1623" i="3"/>
  <c r="A1623" i="3" s="1"/>
  <c r="E1623" i="3"/>
  <c r="F1622" i="3"/>
  <c r="A1622" i="3" s="1"/>
  <c r="E1622" i="3"/>
  <c r="F1621" i="3"/>
  <c r="A1621" i="3" s="1"/>
  <c r="E1621" i="3"/>
  <c r="F1620" i="3"/>
  <c r="A1620" i="3" s="1"/>
  <c r="E1620" i="3"/>
  <c r="F1619" i="3"/>
  <c r="A1619" i="3" s="1"/>
  <c r="E1619" i="3"/>
  <c r="F1618" i="3"/>
  <c r="A1618" i="3" s="1"/>
  <c r="E1618" i="3"/>
  <c r="F1617" i="3"/>
  <c r="A1617" i="3" s="1"/>
  <c r="E1617" i="3"/>
  <c r="F1616" i="3"/>
  <c r="A1616" i="3" s="1"/>
  <c r="E1616" i="3"/>
  <c r="F1615" i="3"/>
  <c r="A1615" i="3" s="1"/>
  <c r="E1615" i="3"/>
  <c r="F1614" i="3"/>
  <c r="A1614" i="3" s="1"/>
  <c r="E1614" i="3"/>
  <c r="F1613" i="3"/>
  <c r="A1613" i="3" s="1"/>
  <c r="E1613" i="3"/>
  <c r="F1612" i="3"/>
  <c r="A1612" i="3" s="1"/>
  <c r="E1612" i="3"/>
  <c r="F1611" i="3"/>
  <c r="A1611" i="3" s="1"/>
  <c r="E1611" i="3"/>
  <c r="F1610" i="3"/>
  <c r="A1610" i="3" s="1"/>
  <c r="E1610" i="3"/>
  <c r="F1609" i="3"/>
  <c r="A1609" i="3" s="1"/>
  <c r="E1609" i="3"/>
  <c r="F1608" i="3"/>
  <c r="A1608" i="3" s="1"/>
  <c r="E1608" i="3"/>
  <c r="F1607" i="3"/>
  <c r="A1607" i="3" s="1"/>
  <c r="E1607" i="3"/>
  <c r="F1606" i="3"/>
  <c r="A1606" i="3" s="1"/>
  <c r="E1606" i="3"/>
  <c r="F1605" i="3"/>
  <c r="A1605" i="3" s="1"/>
  <c r="E1605" i="3"/>
  <c r="F1604" i="3"/>
  <c r="A1604" i="3" s="1"/>
  <c r="E1604" i="3"/>
  <c r="F1603" i="3"/>
  <c r="A1603" i="3" s="1"/>
  <c r="E1603" i="3"/>
  <c r="F1602" i="3"/>
  <c r="A1602" i="3" s="1"/>
  <c r="E1602" i="3"/>
  <c r="F1601" i="3"/>
  <c r="A1601" i="3" s="1"/>
  <c r="E1601" i="3"/>
  <c r="F1600" i="3"/>
  <c r="A1600" i="3" s="1"/>
  <c r="E1600" i="3"/>
  <c r="F1599" i="3"/>
  <c r="A1599" i="3" s="1"/>
  <c r="E1599" i="3"/>
  <c r="F1598" i="3"/>
  <c r="A1598" i="3" s="1"/>
  <c r="E1598" i="3"/>
  <c r="F1597" i="3"/>
  <c r="A1597" i="3" s="1"/>
  <c r="E1597" i="3"/>
  <c r="F1596" i="3"/>
  <c r="A1596" i="3" s="1"/>
  <c r="E1596" i="3"/>
  <c r="F1595" i="3"/>
  <c r="A1595" i="3" s="1"/>
  <c r="E1595" i="3"/>
  <c r="F1594" i="3"/>
  <c r="A1594" i="3" s="1"/>
  <c r="E1594" i="3"/>
  <c r="F1593" i="3"/>
  <c r="A1593" i="3" s="1"/>
  <c r="E1593" i="3"/>
  <c r="F1592" i="3"/>
  <c r="A1592" i="3" s="1"/>
  <c r="E1592" i="3"/>
  <c r="F1591" i="3"/>
  <c r="A1591" i="3" s="1"/>
  <c r="E1591" i="3"/>
  <c r="F1590" i="3"/>
  <c r="A1590" i="3" s="1"/>
  <c r="E1590" i="3"/>
  <c r="F1589" i="3"/>
  <c r="A1589" i="3" s="1"/>
  <c r="E1589" i="3"/>
  <c r="F1588" i="3"/>
  <c r="A1588" i="3" s="1"/>
  <c r="E1588" i="3"/>
  <c r="F1587" i="3"/>
  <c r="A1587" i="3" s="1"/>
  <c r="E1587" i="3"/>
  <c r="F1586" i="3"/>
  <c r="A1586" i="3" s="1"/>
  <c r="E1586" i="3"/>
  <c r="F1585" i="3"/>
  <c r="A1585" i="3" s="1"/>
  <c r="E1585" i="3"/>
  <c r="F1584" i="3"/>
  <c r="A1584" i="3" s="1"/>
  <c r="E1584" i="3"/>
  <c r="F1583" i="3"/>
  <c r="A1583" i="3" s="1"/>
  <c r="E1583" i="3"/>
  <c r="F1582" i="3"/>
  <c r="A1582" i="3" s="1"/>
  <c r="E1582" i="3"/>
  <c r="F1581" i="3"/>
  <c r="A1581" i="3" s="1"/>
  <c r="E1581" i="3"/>
  <c r="F1580" i="3"/>
  <c r="A1580" i="3" s="1"/>
  <c r="E1580" i="3"/>
  <c r="F1579" i="3"/>
  <c r="A1579" i="3" s="1"/>
  <c r="E1579" i="3"/>
  <c r="F1578" i="3"/>
  <c r="A1578" i="3" s="1"/>
  <c r="E1578" i="3"/>
  <c r="F1577" i="3"/>
  <c r="A1577" i="3" s="1"/>
  <c r="E1577" i="3"/>
  <c r="F1576" i="3"/>
  <c r="A1576" i="3" s="1"/>
  <c r="E1576" i="3"/>
  <c r="F1575" i="3"/>
  <c r="A1575" i="3" s="1"/>
  <c r="E1575" i="3"/>
  <c r="F1574" i="3"/>
  <c r="A1574" i="3" s="1"/>
  <c r="E1574" i="3"/>
  <c r="F1573" i="3"/>
  <c r="A1573" i="3" s="1"/>
  <c r="E1573" i="3"/>
  <c r="F1572" i="3"/>
  <c r="A1572" i="3" s="1"/>
  <c r="E1572" i="3"/>
  <c r="F1571" i="3"/>
  <c r="A1571" i="3" s="1"/>
  <c r="E1571" i="3"/>
  <c r="F1570" i="3"/>
  <c r="A1570" i="3" s="1"/>
  <c r="E1570" i="3"/>
  <c r="F1569" i="3"/>
  <c r="A1569" i="3" s="1"/>
  <c r="E1569" i="3"/>
  <c r="F1568" i="3"/>
  <c r="A1568" i="3" s="1"/>
  <c r="E1568" i="3"/>
  <c r="F1567" i="3"/>
  <c r="A1567" i="3" s="1"/>
  <c r="E1567" i="3"/>
  <c r="F1566" i="3"/>
  <c r="A1566" i="3" s="1"/>
  <c r="E1566" i="3"/>
  <c r="F1565" i="3"/>
  <c r="A1565" i="3" s="1"/>
  <c r="E1565" i="3"/>
  <c r="F1564" i="3"/>
  <c r="A1564" i="3" s="1"/>
  <c r="E1564" i="3"/>
  <c r="F1563" i="3"/>
  <c r="A1563" i="3" s="1"/>
  <c r="E1563" i="3"/>
  <c r="F1562" i="3"/>
  <c r="A1562" i="3" s="1"/>
  <c r="E1562" i="3"/>
  <c r="F1561" i="3"/>
  <c r="A1561" i="3" s="1"/>
  <c r="E1561" i="3"/>
  <c r="F1560" i="3"/>
  <c r="A1560" i="3" s="1"/>
  <c r="E1560" i="3"/>
  <c r="F1559" i="3"/>
  <c r="A1559" i="3" s="1"/>
  <c r="E1559" i="3"/>
  <c r="F1558" i="3"/>
  <c r="A1558" i="3" s="1"/>
  <c r="E1558" i="3"/>
  <c r="F1557" i="3"/>
  <c r="A1557" i="3" s="1"/>
  <c r="E1557" i="3"/>
  <c r="F1556" i="3"/>
  <c r="A1556" i="3" s="1"/>
  <c r="E1556" i="3"/>
  <c r="F1555" i="3"/>
  <c r="A1555" i="3" s="1"/>
  <c r="E1555" i="3"/>
  <c r="F1554" i="3"/>
  <c r="A1554" i="3" s="1"/>
  <c r="E1554" i="3"/>
  <c r="F1553" i="3"/>
  <c r="A1553" i="3" s="1"/>
  <c r="E1553" i="3"/>
  <c r="F1552" i="3"/>
  <c r="A1552" i="3" s="1"/>
  <c r="E1552" i="3"/>
  <c r="F1551" i="3"/>
  <c r="A1551" i="3" s="1"/>
  <c r="E1551" i="3"/>
  <c r="F1550" i="3"/>
  <c r="A1550" i="3" s="1"/>
  <c r="E1550" i="3"/>
  <c r="F1549" i="3"/>
  <c r="A1549" i="3" s="1"/>
  <c r="E1549" i="3"/>
  <c r="F1548" i="3"/>
  <c r="A1548" i="3" s="1"/>
  <c r="E1548" i="3"/>
  <c r="F1547" i="3"/>
  <c r="A1547" i="3" s="1"/>
  <c r="E1547" i="3"/>
  <c r="F1546" i="3"/>
  <c r="A1546" i="3" s="1"/>
  <c r="E1546" i="3"/>
  <c r="F1545" i="3"/>
  <c r="A1545" i="3" s="1"/>
  <c r="E1545" i="3"/>
  <c r="F1544" i="3"/>
  <c r="A1544" i="3" s="1"/>
  <c r="E1544" i="3"/>
  <c r="F1543" i="3"/>
  <c r="A1543" i="3" s="1"/>
  <c r="E1543" i="3"/>
  <c r="F1542" i="3"/>
  <c r="A1542" i="3" s="1"/>
  <c r="E1542" i="3"/>
  <c r="F1541" i="3"/>
  <c r="A1541" i="3" s="1"/>
  <c r="E1541" i="3"/>
  <c r="F1540" i="3"/>
  <c r="A1540" i="3" s="1"/>
  <c r="E1540" i="3"/>
  <c r="F1539" i="3"/>
  <c r="A1539" i="3" s="1"/>
  <c r="E1539" i="3"/>
  <c r="F1538" i="3"/>
  <c r="A1538" i="3" s="1"/>
  <c r="E1538" i="3"/>
  <c r="F1537" i="3"/>
  <c r="A1537" i="3" s="1"/>
  <c r="E1537" i="3"/>
  <c r="F1536" i="3"/>
  <c r="A1536" i="3" s="1"/>
  <c r="E1536" i="3"/>
  <c r="F1535" i="3"/>
  <c r="A1535" i="3" s="1"/>
  <c r="E1535" i="3"/>
  <c r="F1534" i="3"/>
  <c r="A1534" i="3" s="1"/>
  <c r="E1534" i="3"/>
  <c r="F1533" i="3"/>
  <c r="A1533" i="3" s="1"/>
  <c r="E1533" i="3"/>
  <c r="F1532" i="3"/>
  <c r="A1532" i="3" s="1"/>
  <c r="E1532" i="3"/>
  <c r="F1531" i="3"/>
  <c r="A1531" i="3" s="1"/>
  <c r="E1531" i="3"/>
  <c r="F1530" i="3"/>
  <c r="A1530" i="3" s="1"/>
  <c r="E1530" i="3"/>
  <c r="F1529" i="3"/>
  <c r="A1529" i="3" s="1"/>
  <c r="E1529" i="3"/>
  <c r="F1528" i="3"/>
  <c r="A1528" i="3" s="1"/>
  <c r="E1528" i="3"/>
  <c r="F1527" i="3"/>
  <c r="A1527" i="3" s="1"/>
  <c r="E1527" i="3"/>
  <c r="F1526" i="3"/>
  <c r="A1526" i="3" s="1"/>
  <c r="E1526" i="3"/>
  <c r="F1525" i="3"/>
  <c r="A1525" i="3" s="1"/>
  <c r="E1525" i="3"/>
  <c r="F1524" i="3"/>
  <c r="A1524" i="3" s="1"/>
  <c r="E1524" i="3"/>
  <c r="F1523" i="3"/>
  <c r="A1523" i="3" s="1"/>
  <c r="E1523" i="3"/>
  <c r="F1522" i="3"/>
  <c r="A1522" i="3" s="1"/>
  <c r="E1522" i="3"/>
  <c r="F1521" i="3"/>
  <c r="A1521" i="3" s="1"/>
  <c r="E1521" i="3"/>
  <c r="F1520" i="3"/>
  <c r="A1520" i="3" s="1"/>
  <c r="E1520" i="3"/>
  <c r="F1519" i="3"/>
  <c r="A1519" i="3" s="1"/>
  <c r="E1519" i="3"/>
  <c r="F1518" i="3"/>
  <c r="A1518" i="3" s="1"/>
  <c r="E1518" i="3"/>
  <c r="F1517" i="3"/>
  <c r="A1517" i="3" s="1"/>
  <c r="E1517" i="3"/>
  <c r="F1516" i="3"/>
  <c r="A1516" i="3" s="1"/>
  <c r="E1516" i="3"/>
  <c r="F1515" i="3"/>
  <c r="A1515" i="3" s="1"/>
  <c r="E1515" i="3"/>
  <c r="F1514" i="3"/>
  <c r="A1514" i="3" s="1"/>
  <c r="E1514" i="3"/>
  <c r="F1513" i="3"/>
  <c r="A1513" i="3" s="1"/>
  <c r="E1513" i="3"/>
  <c r="F1512" i="3"/>
  <c r="A1512" i="3" s="1"/>
  <c r="E1512" i="3"/>
  <c r="F1511" i="3"/>
  <c r="A1511" i="3" s="1"/>
  <c r="E1511" i="3"/>
  <c r="F1510" i="3"/>
  <c r="A1510" i="3" s="1"/>
  <c r="E1510" i="3"/>
  <c r="F1509" i="3"/>
  <c r="A1509" i="3" s="1"/>
  <c r="E1509" i="3"/>
  <c r="F1508" i="3"/>
  <c r="A1508" i="3" s="1"/>
  <c r="E1508" i="3"/>
  <c r="F1507" i="3"/>
  <c r="A1507" i="3" s="1"/>
  <c r="E1507" i="3"/>
  <c r="F1506" i="3"/>
  <c r="A1506" i="3" s="1"/>
  <c r="E1506" i="3"/>
  <c r="F1505" i="3"/>
  <c r="A1505" i="3" s="1"/>
  <c r="E1505" i="3"/>
  <c r="F1504" i="3"/>
  <c r="A1504" i="3" s="1"/>
  <c r="E1504" i="3"/>
  <c r="F1503" i="3"/>
  <c r="A1503" i="3" s="1"/>
  <c r="E1503" i="3"/>
  <c r="F1502" i="3"/>
  <c r="A1502" i="3" s="1"/>
  <c r="E1502" i="3"/>
  <c r="F1501" i="3"/>
  <c r="A1501" i="3" s="1"/>
  <c r="E1501" i="3"/>
  <c r="F1500" i="3"/>
  <c r="A1500" i="3" s="1"/>
  <c r="E1500" i="3"/>
  <c r="F1499" i="3"/>
  <c r="A1499" i="3" s="1"/>
  <c r="E1499" i="3"/>
  <c r="F1498" i="3"/>
  <c r="A1498" i="3" s="1"/>
  <c r="E1498" i="3"/>
  <c r="F1497" i="3"/>
  <c r="A1497" i="3" s="1"/>
  <c r="E1497" i="3"/>
  <c r="F1496" i="3"/>
  <c r="A1496" i="3" s="1"/>
  <c r="E1496" i="3"/>
  <c r="F1495" i="3"/>
  <c r="A1495" i="3" s="1"/>
  <c r="E1495" i="3"/>
  <c r="F1494" i="3"/>
  <c r="A1494" i="3" s="1"/>
  <c r="E1494" i="3"/>
  <c r="F1493" i="3"/>
  <c r="A1493" i="3" s="1"/>
  <c r="E1493" i="3"/>
  <c r="F1492" i="3"/>
  <c r="A1492" i="3" s="1"/>
  <c r="E1492" i="3"/>
  <c r="F1491" i="3"/>
  <c r="A1491" i="3" s="1"/>
  <c r="E1491" i="3"/>
  <c r="F1490" i="3"/>
  <c r="A1490" i="3" s="1"/>
  <c r="E1490" i="3"/>
  <c r="F1489" i="3"/>
  <c r="A1489" i="3" s="1"/>
  <c r="E1489" i="3"/>
  <c r="F1488" i="3"/>
  <c r="A1488" i="3" s="1"/>
  <c r="E1488" i="3"/>
  <c r="F1487" i="3"/>
  <c r="A1487" i="3" s="1"/>
  <c r="E1487" i="3"/>
  <c r="F1486" i="3"/>
  <c r="A1486" i="3" s="1"/>
  <c r="E1486" i="3"/>
  <c r="F1485" i="3"/>
  <c r="A1485" i="3" s="1"/>
  <c r="E1485" i="3"/>
  <c r="F1484" i="3"/>
  <c r="A1484" i="3" s="1"/>
  <c r="E1484" i="3"/>
  <c r="F1483" i="3"/>
  <c r="A1483" i="3" s="1"/>
  <c r="E1483" i="3"/>
  <c r="F1482" i="3"/>
  <c r="A1482" i="3" s="1"/>
  <c r="E1482" i="3"/>
  <c r="F1481" i="3"/>
  <c r="A1481" i="3" s="1"/>
  <c r="E1481" i="3"/>
  <c r="F1480" i="3"/>
  <c r="A1480" i="3" s="1"/>
  <c r="E1480" i="3"/>
  <c r="F1479" i="3"/>
  <c r="A1479" i="3" s="1"/>
  <c r="E1479" i="3"/>
  <c r="F1478" i="3"/>
  <c r="A1478" i="3" s="1"/>
  <c r="E1478" i="3"/>
  <c r="F1477" i="3"/>
  <c r="A1477" i="3" s="1"/>
  <c r="E1477" i="3"/>
  <c r="F1476" i="3"/>
  <c r="A1476" i="3" s="1"/>
  <c r="E1476" i="3"/>
  <c r="F1475" i="3"/>
  <c r="A1475" i="3" s="1"/>
  <c r="E1475" i="3"/>
  <c r="F1474" i="3"/>
  <c r="A1474" i="3" s="1"/>
  <c r="E1474" i="3"/>
  <c r="F1473" i="3"/>
  <c r="A1473" i="3" s="1"/>
  <c r="E1473" i="3"/>
  <c r="F1472" i="3"/>
  <c r="A1472" i="3" s="1"/>
  <c r="E1472" i="3"/>
  <c r="F1471" i="3"/>
  <c r="A1471" i="3" s="1"/>
  <c r="E1471" i="3"/>
  <c r="F1470" i="3"/>
  <c r="A1470" i="3" s="1"/>
  <c r="E1470" i="3"/>
  <c r="F1469" i="3"/>
  <c r="A1469" i="3" s="1"/>
  <c r="E1469" i="3"/>
  <c r="F1468" i="3"/>
  <c r="A1468" i="3" s="1"/>
  <c r="E1468" i="3"/>
  <c r="F1467" i="3"/>
  <c r="A1467" i="3" s="1"/>
  <c r="E1467" i="3"/>
  <c r="F1466" i="3"/>
  <c r="A1466" i="3" s="1"/>
  <c r="E1466" i="3"/>
  <c r="F1465" i="3"/>
  <c r="A1465" i="3" s="1"/>
  <c r="E1465" i="3"/>
  <c r="F1464" i="3"/>
  <c r="A1464" i="3" s="1"/>
  <c r="E1464" i="3"/>
  <c r="F1463" i="3"/>
  <c r="A1463" i="3" s="1"/>
  <c r="E1463" i="3"/>
  <c r="F1462" i="3"/>
  <c r="A1462" i="3" s="1"/>
  <c r="E1462" i="3"/>
  <c r="F1461" i="3"/>
  <c r="A1461" i="3" s="1"/>
  <c r="E1461" i="3"/>
  <c r="F1460" i="3"/>
  <c r="A1460" i="3" s="1"/>
  <c r="E1460" i="3"/>
  <c r="F1459" i="3"/>
  <c r="A1459" i="3" s="1"/>
  <c r="E1459" i="3"/>
  <c r="F1458" i="3"/>
  <c r="A1458" i="3" s="1"/>
  <c r="E1458" i="3"/>
  <c r="F1457" i="3"/>
  <c r="A1457" i="3" s="1"/>
  <c r="E1457" i="3"/>
  <c r="F1456" i="3"/>
  <c r="A1456" i="3" s="1"/>
  <c r="E1456" i="3"/>
  <c r="F1455" i="3"/>
  <c r="A1455" i="3" s="1"/>
  <c r="E1455" i="3"/>
  <c r="F1454" i="3"/>
  <c r="A1454" i="3" s="1"/>
  <c r="E1454" i="3"/>
  <c r="F1453" i="3"/>
  <c r="A1453" i="3" s="1"/>
  <c r="E1453" i="3"/>
  <c r="F1452" i="3"/>
  <c r="A1452" i="3" s="1"/>
  <c r="E1452" i="3"/>
  <c r="F1451" i="3"/>
  <c r="A1451" i="3" s="1"/>
  <c r="E1451" i="3"/>
  <c r="F1450" i="3"/>
  <c r="A1450" i="3" s="1"/>
  <c r="E1450" i="3"/>
  <c r="F1449" i="3"/>
  <c r="A1449" i="3" s="1"/>
  <c r="E1449" i="3"/>
  <c r="F1448" i="3"/>
  <c r="A1448" i="3" s="1"/>
  <c r="E1448" i="3"/>
  <c r="F1447" i="3"/>
  <c r="A1447" i="3" s="1"/>
  <c r="E1447" i="3"/>
  <c r="F1446" i="3"/>
  <c r="A1446" i="3" s="1"/>
  <c r="E1446" i="3"/>
  <c r="F1445" i="3"/>
  <c r="A1445" i="3" s="1"/>
  <c r="E1445" i="3"/>
  <c r="F1444" i="3"/>
  <c r="A1444" i="3" s="1"/>
  <c r="E1444" i="3"/>
  <c r="F1443" i="3"/>
  <c r="A1443" i="3" s="1"/>
  <c r="E1443" i="3"/>
  <c r="F1442" i="3"/>
  <c r="A1442" i="3" s="1"/>
  <c r="E1442" i="3"/>
  <c r="F1441" i="3"/>
  <c r="A1441" i="3" s="1"/>
  <c r="E1441" i="3"/>
  <c r="F1440" i="3"/>
  <c r="A1440" i="3" s="1"/>
  <c r="E1440" i="3"/>
  <c r="F1439" i="3"/>
  <c r="A1439" i="3" s="1"/>
  <c r="E1439" i="3"/>
  <c r="F1438" i="3"/>
  <c r="A1438" i="3" s="1"/>
  <c r="E1438" i="3"/>
  <c r="F1437" i="3"/>
  <c r="A1437" i="3" s="1"/>
  <c r="E1437" i="3"/>
  <c r="F1436" i="3"/>
  <c r="A1436" i="3" s="1"/>
  <c r="E1436" i="3"/>
  <c r="F1435" i="3"/>
  <c r="A1435" i="3" s="1"/>
  <c r="E1435" i="3"/>
  <c r="F1434" i="3"/>
  <c r="A1434" i="3" s="1"/>
  <c r="E1434" i="3"/>
  <c r="F1433" i="3"/>
  <c r="A1433" i="3" s="1"/>
  <c r="E1433" i="3"/>
  <c r="F1432" i="3"/>
  <c r="A1432" i="3" s="1"/>
  <c r="E1432" i="3"/>
  <c r="F1431" i="3"/>
  <c r="A1431" i="3" s="1"/>
  <c r="E1431" i="3"/>
  <c r="F1430" i="3"/>
  <c r="A1430" i="3" s="1"/>
  <c r="E1430" i="3"/>
  <c r="F1429" i="3"/>
  <c r="A1429" i="3" s="1"/>
  <c r="E1429" i="3"/>
  <c r="F1428" i="3"/>
  <c r="A1428" i="3" s="1"/>
  <c r="E1428" i="3"/>
  <c r="F1427" i="3"/>
  <c r="A1427" i="3" s="1"/>
  <c r="E1427" i="3"/>
  <c r="F1426" i="3"/>
  <c r="A1426" i="3" s="1"/>
  <c r="E1426" i="3"/>
  <c r="F1425" i="3"/>
  <c r="A1425" i="3" s="1"/>
  <c r="E1425" i="3"/>
  <c r="F1424" i="3"/>
  <c r="A1424" i="3" s="1"/>
  <c r="E1424" i="3"/>
  <c r="F1423" i="3"/>
  <c r="A1423" i="3" s="1"/>
  <c r="E1423" i="3"/>
  <c r="F1422" i="3"/>
  <c r="A1422" i="3" s="1"/>
  <c r="E1422" i="3"/>
  <c r="F1421" i="3"/>
  <c r="A1421" i="3" s="1"/>
  <c r="E1421" i="3"/>
  <c r="F1420" i="3"/>
  <c r="A1420" i="3" s="1"/>
  <c r="E1420" i="3"/>
  <c r="F1419" i="3"/>
  <c r="A1419" i="3" s="1"/>
  <c r="E1419" i="3"/>
  <c r="F1418" i="3"/>
  <c r="A1418" i="3" s="1"/>
  <c r="E1418" i="3"/>
  <c r="F1417" i="3"/>
  <c r="A1417" i="3" s="1"/>
  <c r="E1417" i="3"/>
  <c r="F1416" i="3"/>
  <c r="A1416" i="3" s="1"/>
  <c r="E1416" i="3"/>
  <c r="F1415" i="3"/>
  <c r="A1415" i="3" s="1"/>
  <c r="E1415" i="3"/>
  <c r="F1414" i="3"/>
  <c r="A1414" i="3" s="1"/>
  <c r="E1414" i="3"/>
  <c r="F1413" i="3"/>
  <c r="A1413" i="3" s="1"/>
  <c r="E1413" i="3"/>
  <c r="F1412" i="3"/>
  <c r="A1412" i="3" s="1"/>
  <c r="E1412" i="3"/>
  <c r="F1411" i="3"/>
  <c r="A1411" i="3" s="1"/>
  <c r="E1411" i="3"/>
  <c r="F1410" i="3"/>
  <c r="A1410" i="3" s="1"/>
  <c r="E1410" i="3"/>
  <c r="F1409" i="3"/>
  <c r="A1409" i="3" s="1"/>
  <c r="E1409" i="3"/>
  <c r="F1408" i="3"/>
  <c r="A1408" i="3" s="1"/>
  <c r="E1408" i="3"/>
  <c r="F1407" i="3"/>
  <c r="A1407" i="3" s="1"/>
  <c r="E1407" i="3"/>
  <c r="F1406" i="3"/>
  <c r="A1406" i="3" s="1"/>
  <c r="E1406" i="3"/>
  <c r="F1405" i="3"/>
  <c r="A1405" i="3" s="1"/>
  <c r="E1405" i="3"/>
  <c r="F1404" i="3"/>
  <c r="A1404" i="3" s="1"/>
  <c r="E1404" i="3"/>
  <c r="F1403" i="3"/>
  <c r="A1403" i="3" s="1"/>
  <c r="E1403" i="3"/>
  <c r="F1402" i="3"/>
  <c r="A1402" i="3" s="1"/>
  <c r="E1402" i="3"/>
  <c r="F1401" i="3"/>
  <c r="A1401" i="3" s="1"/>
  <c r="E1401" i="3"/>
  <c r="F1400" i="3"/>
  <c r="A1400" i="3" s="1"/>
  <c r="E1400" i="3"/>
  <c r="F1399" i="3"/>
  <c r="A1399" i="3" s="1"/>
  <c r="E1399" i="3"/>
  <c r="F1398" i="3"/>
  <c r="A1398" i="3" s="1"/>
  <c r="E1398" i="3"/>
  <c r="F1397" i="3"/>
  <c r="A1397" i="3" s="1"/>
  <c r="E1397" i="3"/>
  <c r="F1396" i="3"/>
  <c r="A1396" i="3" s="1"/>
  <c r="E1396" i="3"/>
  <c r="F1395" i="3"/>
  <c r="A1395" i="3" s="1"/>
  <c r="E1395" i="3"/>
  <c r="F1394" i="3"/>
  <c r="A1394" i="3" s="1"/>
  <c r="E1394" i="3"/>
  <c r="F1393" i="3"/>
  <c r="A1393" i="3" s="1"/>
  <c r="E1393" i="3"/>
  <c r="F1392" i="3"/>
  <c r="A1392" i="3" s="1"/>
  <c r="E1392" i="3"/>
  <c r="F1391" i="3"/>
  <c r="A1391" i="3" s="1"/>
  <c r="E1391" i="3"/>
  <c r="F1390" i="3"/>
  <c r="A1390" i="3" s="1"/>
  <c r="E1390" i="3"/>
  <c r="F1389" i="3"/>
  <c r="A1389" i="3" s="1"/>
  <c r="E1389" i="3"/>
  <c r="F1388" i="3"/>
  <c r="A1388" i="3" s="1"/>
  <c r="E1388" i="3"/>
  <c r="F1387" i="3"/>
  <c r="A1387" i="3" s="1"/>
  <c r="E1387" i="3"/>
  <c r="F1386" i="3"/>
  <c r="A1386" i="3" s="1"/>
  <c r="E1386" i="3"/>
  <c r="F1385" i="3"/>
  <c r="A1385" i="3" s="1"/>
  <c r="E1385" i="3"/>
  <c r="F1384" i="3"/>
  <c r="A1384" i="3" s="1"/>
  <c r="E1384" i="3"/>
  <c r="F1383" i="3"/>
  <c r="A1383" i="3" s="1"/>
  <c r="E1383" i="3"/>
  <c r="F1382" i="3"/>
  <c r="A1382" i="3" s="1"/>
  <c r="E1382" i="3"/>
  <c r="F1381" i="3"/>
  <c r="A1381" i="3" s="1"/>
  <c r="E1381" i="3"/>
  <c r="F1380" i="3"/>
  <c r="A1380" i="3" s="1"/>
  <c r="E1380" i="3"/>
  <c r="F1379" i="3"/>
  <c r="A1379" i="3" s="1"/>
  <c r="E1379" i="3"/>
  <c r="F1378" i="3"/>
  <c r="A1378" i="3" s="1"/>
  <c r="E1378" i="3"/>
  <c r="F1377" i="3"/>
  <c r="A1377" i="3" s="1"/>
  <c r="E1377" i="3"/>
  <c r="F1376" i="3"/>
  <c r="A1376" i="3" s="1"/>
  <c r="E1376" i="3"/>
  <c r="F1375" i="3"/>
  <c r="A1375" i="3" s="1"/>
  <c r="E1375" i="3"/>
  <c r="F1374" i="3"/>
  <c r="A1374" i="3" s="1"/>
  <c r="E1374" i="3"/>
  <c r="F1373" i="3"/>
  <c r="A1373" i="3" s="1"/>
  <c r="E1373" i="3"/>
  <c r="F1372" i="3"/>
  <c r="A1372" i="3" s="1"/>
  <c r="E1372" i="3"/>
  <c r="F1371" i="3"/>
  <c r="A1371" i="3" s="1"/>
  <c r="E1371" i="3"/>
  <c r="F1370" i="3"/>
  <c r="A1370" i="3" s="1"/>
  <c r="E1370" i="3"/>
  <c r="F1369" i="3"/>
  <c r="A1369" i="3" s="1"/>
  <c r="E1369" i="3"/>
  <c r="F1368" i="3"/>
  <c r="A1368" i="3" s="1"/>
  <c r="E1368" i="3"/>
  <c r="F1367" i="3"/>
  <c r="A1367" i="3" s="1"/>
  <c r="E1367" i="3"/>
  <c r="F1366" i="3"/>
  <c r="A1366" i="3" s="1"/>
  <c r="E1366" i="3"/>
  <c r="F1365" i="3"/>
  <c r="A1365" i="3" s="1"/>
  <c r="E1365" i="3"/>
  <c r="F1364" i="3"/>
  <c r="A1364" i="3" s="1"/>
  <c r="E1364" i="3"/>
  <c r="F1363" i="3"/>
  <c r="A1363" i="3" s="1"/>
  <c r="E1363" i="3"/>
  <c r="F1362" i="3"/>
  <c r="A1362" i="3" s="1"/>
  <c r="E1362" i="3"/>
  <c r="F1361" i="3"/>
  <c r="A1361" i="3" s="1"/>
  <c r="E1361" i="3"/>
  <c r="F1360" i="3"/>
  <c r="A1360" i="3" s="1"/>
  <c r="E1360" i="3"/>
  <c r="F1359" i="3"/>
  <c r="A1359" i="3" s="1"/>
  <c r="E1359" i="3"/>
  <c r="F1358" i="3"/>
  <c r="A1358" i="3" s="1"/>
  <c r="E1358" i="3"/>
  <c r="F1357" i="3"/>
  <c r="A1357" i="3" s="1"/>
  <c r="E1357" i="3"/>
  <c r="F1356" i="3"/>
  <c r="A1356" i="3" s="1"/>
  <c r="E1356" i="3"/>
  <c r="F1355" i="3"/>
  <c r="A1355" i="3" s="1"/>
  <c r="E1355" i="3"/>
  <c r="F1354" i="3"/>
  <c r="A1354" i="3" s="1"/>
  <c r="E1354" i="3"/>
  <c r="F1353" i="3"/>
  <c r="A1353" i="3" s="1"/>
  <c r="E1353" i="3"/>
  <c r="F1352" i="3"/>
  <c r="A1352" i="3" s="1"/>
  <c r="E1352" i="3"/>
  <c r="F1351" i="3"/>
  <c r="A1351" i="3" s="1"/>
  <c r="E1351" i="3"/>
  <c r="F1350" i="3"/>
  <c r="A1350" i="3" s="1"/>
  <c r="E1350" i="3"/>
  <c r="F1349" i="3"/>
  <c r="A1349" i="3" s="1"/>
  <c r="E1349" i="3"/>
  <c r="F1348" i="3"/>
  <c r="A1348" i="3" s="1"/>
  <c r="E1348" i="3"/>
  <c r="F1347" i="3"/>
  <c r="A1347" i="3" s="1"/>
  <c r="E1347" i="3"/>
  <c r="F1346" i="3"/>
  <c r="A1346" i="3" s="1"/>
  <c r="E1346" i="3"/>
  <c r="F1345" i="3"/>
  <c r="A1345" i="3" s="1"/>
  <c r="E1345" i="3"/>
  <c r="F1344" i="3"/>
  <c r="A1344" i="3" s="1"/>
  <c r="E1344" i="3"/>
  <c r="F1343" i="3"/>
  <c r="A1343" i="3" s="1"/>
  <c r="E1343" i="3"/>
  <c r="F1342" i="3"/>
  <c r="A1342" i="3" s="1"/>
  <c r="E1342" i="3"/>
  <c r="F1341" i="3"/>
  <c r="A1341" i="3" s="1"/>
  <c r="E1341" i="3"/>
  <c r="F1340" i="3"/>
  <c r="A1340" i="3" s="1"/>
  <c r="E1340" i="3"/>
  <c r="F1339" i="3"/>
  <c r="A1339" i="3" s="1"/>
  <c r="E1339" i="3"/>
  <c r="F1338" i="3"/>
  <c r="A1338" i="3" s="1"/>
  <c r="E1338" i="3"/>
  <c r="F1337" i="3"/>
  <c r="A1337" i="3" s="1"/>
  <c r="E1337" i="3"/>
  <c r="F1336" i="3"/>
  <c r="A1336" i="3" s="1"/>
  <c r="E1336" i="3"/>
  <c r="F1335" i="3"/>
  <c r="A1335" i="3" s="1"/>
  <c r="E1335" i="3"/>
  <c r="F1334" i="3"/>
  <c r="A1334" i="3" s="1"/>
  <c r="E1334" i="3"/>
  <c r="F1333" i="3"/>
  <c r="A1333" i="3" s="1"/>
  <c r="E1333" i="3"/>
  <c r="F1332" i="3"/>
  <c r="A1332" i="3" s="1"/>
  <c r="E1332" i="3"/>
  <c r="F1331" i="3"/>
  <c r="A1331" i="3" s="1"/>
  <c r="E1331" i="3"/>
  <c r="F1330" i="3"/>
  <c r="A1330" i="3" s="1"/>
  <c r="E1330" i="3"/>
  <c r="F1329" i="3"/>
  <c r="A1329" i="3" s="1"/>
  <c r="E1329" i="3"/>
  <c r="F1328" i="3"/>
  <c r="A1328" i="3" s="1"/>
  <c r="E1328" i="3"/>
  <c r="F1327" i="3"/>
  <c r="A1327" i="3" s="1"/>
  <c r="E1327" i="3"/>
  <c r="F1326" i="3"/>
  <c r="A1326" i="3" s="1"/>
  <c r="E1326" i="3"/>
  <c r="F1325" i="3"/>
  <c r="A1325" i="3" s="1"/>
  <c r="E1325" i="3"/>
  <c r="F1324" i="3"/>
  <c r="A1324" i="3" s="1"/>
  <c r="E1324" i="3"/>
  <c r="F1323" i="3"/>
  <c r="A1323" i="3" s="1"/>
  <c r="E1323" i="3"/>
  <c r="F1322" i="3"/>
  <c r="A1322" i="3" s="1"/>
  <c r="E1322" i="3"/>
  <c r="F1321" i="3"/>
  <c r="A1321" i="3" s="1"/>
  <c r="E1321" i="3"/>
  <c r="F1320" i="3"/>
  <c r="A1320" i="3" s="1"/>
  <c r="E1320" i="3"/>
  <c r="F1319" i="3"/>
  <c r="A1319" i="3" s="1"/>
  <c r="E1319" i="3"/>
  <c r="F1318" i="3"/>
  <c r="A1318" i="3" s="1"/>
  <c r="E1318" i="3"/>
  <c r="F1317" i="3"/>
  <c r="A1317" i="3" s="1"/>
  <c r="E1317" i="3"/>
  <c r="F1316" i="3"/>
  <c r="A1316" i="3" s="1"/>
  <c r="E1316" i="3"/>
  <c r="F1315" i="3"/>
  <c r="A1315" i="3" s="1"/>
  <c r="E1315" i="3"/>
  <c r="F1314" i="3"/>
  <c r="A1314" i="3" s="1"/>
  <c r="E1314" i="3"/>
  <c r="F1313" i="3"/>
  <c r="A1313" i="3" s="1"/>
  <c r="E1313" i="3"/>
  <c r="F1312" i="3"/>
  <c r="A1312" i="3" s="1"/>
  <c r="E1312" i="3"/>
  <c r="F1311" i="3"/>
  <c r="A1311" i="3" s="1"/>
  <c r="E1311" i="3"/>
  <c r="F1310" i="3"/>
  <c r="A1310" i="3" s="1"/>
  <c r="E1310" i="3"/>
  <c r="F1309" i="3"/>
  <c r="A1309" i="3" s="1"/>
  <c r="E1309" i="3"/>
  <c r="F1308" i="3"/>
  <c r="A1308" i="3" s="1"/>
  <c r="E1308" i="3"/>
  <c r="F1307" i="3"/>
  <c r="A1307" i="3" s="1"/>
  <c r="E1307" i="3"/>
  <c r="F1306" i="3"/>
  <c r="A1306" i="3" s="1"/>
  <c r="E1306" i="3"/>
  <c r="F1305" i="3"/>
  <c r="A1305" i="3" s="1"/>
  <c r="E1305" i="3"/>
  <c r="F1304" i="3"/>
  <c r="A1304" i="3" s="1"/>
  <c r="E1304" i="3"/>
  <c r="F1303" i="3"/>
  <c r="A1303" i="3" s="1"/>
  <c r="E1303" i="3"/>
  <c r="F1302" i="3"/>
  <c r="A1302" i="3" s="1"/>
  <c r="E1302" i="3"/>
  <c r="F1301" i="3"/>
  <c r="A1301" i="3" s="1"/>
  <c r="E1301" i="3"/>
  <c r="F1300" i="3"/>
  <c r="A1300" i="3" s="1"/>
  <c r="E1300" i="3"/>
  <c r="F1299" i="3"/>
  <c r="A1299" i="3" s="1"/>
  <c r="E1299" i="3"/>
  <c r="F1298" i="3"/>
  <c r="A1298" i="3" s="1"/>
  <c r="E1298" i="3"/>
  <c r="F1297" i="3"/>
  <c r="A1297" i="3" s="1"/>
  <c r="E1297" i="3"/>
  <c r="F1296" i="3"/>
  <c r="A1296" i="3" s="1"/>
  <c r="E1296" i="3"/>
  <c r="F1295" i="3"/>
  <c r="A1295" i="3" s="1"/>
  <c r="E1295" i="3"/>
  <c r="F1294" i="3"/>
  <c r="A1294" i="3" s="1"/>
  <c r="E1294" i="3"/>
  <c r="F1293" i="3"/>
  <c r="A1293" i="3" s="1"/>
  <c r="E1293" i="3"/>
  <c r="F1292" i="3"/>
  <c r="A1292" i="3" s="1"/>
  <c r="E1292" i="3"/>
  <c r="F1291" i="3"/>
  <c r="A1291" i="3" s="1"/>
  <c r="E1291" i="3"/>
  <c r="F1290" i="3"/>
  <c r="A1290" i="3" s="1"/>
  <c r="E1290" i="3"/>
  <c r="F1289" i="3"/>
  <c r="A1289" i="3" s="1"/>
  <c r="E1289" i="3"/>
  <c r="F1288" i="3"/>
  <c r="A1288" i="3" s="1"/>
  <c r="E1288" i="3"/>
  <c r="F1287" i="3"/>
  <c r="A1287" i="3" s="1"/>
  <c r="E1287" i="3"/>
  <c r="F1286" i="3"/>
  <c r="A1286" i="3" s="1"/>
  <c r="E1286" i="3"/>
  <c r="F1285" i="3"/>
  <c r="A1285" i="3" s="1"/>
  <c r="E1285" i="3"/>
  <c r="F1284" i="3"/>
  <c r="A1284" i="3" s="1"/>
  <c r="E1284" i="3"/>
  <c r="F1283" i="3"/>
  <c r="A1283" i="3" s="1"/>
  <c r="E1283" i="3"/>
  <c r="F1282" i="3"/>
  <c r="A1282" i="3" s="1"/>
  <c r="E1282" i="3"/>
  <c r="F1281" i="3"/>
  <c r="A1281" i="3" s="1"/>
  <c r="E1281" i="3"/>
  <c r="F1280" i="3"/>
  <c r="A1280" i="3" s="1"/>
  <c r="E1280" i="3"/>
  <c r="F1279" i="3"/>
  <c r="A1279" i="3" s="1"/>
  <c r="E1279" i="3"/>
  <c r="F1278" i="3"/>
  <c r="A1278" i="3" s="1"/>
  <c r="E1278" i="3"/>
  <c r="F1277" i="3"/>
  <c r="A1277" i="3" s="1"/>
  <c r="E1277" i="3"/>
  <c r="F1276" i="3"/>
  <c r="A1276" i="3" s="1"/>
  <c r="E1276" i="3"/>
  <c r="F1275" i="3"/>
  <c r="A1275" i="3" s="1"/>
  <c r="E1275" i="3"/>
  <c r="F1274" i="3"/>
  <c r="A1274" i="3" s="1"/>
  <c r="E1274" i="3"/>
  <c r="F1273" i="3"/>
  <c r="A1273" i="3" s="1"/>
  <c r="E1273" i="3"/>
  <c r="F1272" i="3"/>
  <c r="A1272" i="3" s="1"/>
  <c r="E1272" i="3"/>
  <c r="F1271" i="3"/>
  <c r="A1271" i="3" s="1"/>
  <c r="E1271" i="3"/>
  <c r="F1270" i="3"/>
  <c r="A1270" i="3" s="1"/>
  <c r="E1270" i="3"/>
  <c r="F1269" i="3"/>
  <c r="A1269" i="3" s="1"/>
  <c r="E1269" i="3"/>
  <c r="F1268" i="3"/>
  <c r="A1268" i="3" s="1"/>
  <c r="E1268" i="3"/>
  <c r="F1267" i="3"/>
  <c r="A1267" i="3" s="1"/>
  <c r="E1267" i="3"/>
  <c r="F1266" i="3"/>
  <c r="A1266" i="3" s="1"/>
  <c r="E1266" i="3"/>
  <c r="F1265" i="3"/>
  <c r="A1265" i="3" s="1"/>
  <c r="E1265" i="3"/>
  <c r="F1264" i="3"/>
  <c r="A1264" i="3" s="1"/>
  <c r="E1264" i="3"/>
  <c r="F1263" i="3"/>
  <c r="A1263" i="3" s="1"/>
  <c r="E1263" i="3"/>
  <c r="F1262" i="3"/>
  <c r="A1262" i="3" s="1"/>
  <c r="E1262" i="3"/>
  <c r="F1261" i="3"/>
  <c r="A1261" i="3" s="1"/>
  <c r="E1261" i="3"/>
  <c r="F1260" i="3"/>
  <c r="A1260" i="3" s="1"/>
  <c r="E1260" i="3"/>
  <c r="F1259" i="3"/>
  <c r="A1259" i="3" s="1"/>
  <c r="E1259" i="3"/>
  <c r="F1258" i="3"/>
  <c r="A1258" i="3" s="1"/>
  <c r="E1258" i="3"/>
  <c r="F1257" i="3"/>
  <c r="A1257" i="3" s="1"/>
  <c r="E1257" i="3"/>
  <c r="F1256" i="3"/>
  <c r="A1256" i="3" s="1"/>
  <c r="E1256" i="3"/>
  <c r="F1255" i="3"/>
  <c r="A1255" i="3" s="1"/>
  <c r="E1255" i="3"/>
  <c r="F1254" i="3"/>
  <c r="A1254" i="3" s="1"/>
  <c r="E1254" i="3"/>
  <c r="F1253" i="3"/>
  <c r="A1253" i="3" s="1"/>
  <c r="E1253" i="3"/>
  <c r="F1252" i="3"/>
  <c r="A1252" i="3" s="1"/>
  <c r="E1252" i="3"/>
  <c r="F1251" i="3"/>
  <c r="A1251" i="3" s="1"/>
  <c r="E1251" i="3"/>
  <c r="F1250" i="3"/>
  <c r="A1250" i="3" s="1"/>
  <c r="E1250" i="3"/>
  <c r="F1249" i="3"/>
  <c r="A1249" i="3" s="1"/>
  <c r="E1249" i="3"/>
  <c r="F1248" i="3"/>
  <c r="A1248" i="3" s="1"/>
  <c r="E1248" i="3"/>
  <c r="F1247" i="3"/>
  <c r="A1247" i="3" s="1"/>
  <c r="E1247" i="3"/>
  <c r="F1246" i="3"/>
  <c r="A1246" i="3" s="1"/>
  <c r="E1246" i="3"/>
  <c r="F1245" i="3"/>
  <c r="A1245" i="3" s="1"/>
  <c r="E1245" i="3"/>
  <c r="F1244" i="3"/>
  <c r="A1244" i="3" s="1"/>
  <c r="E1244" i="3"/>
  <c r="F1243" i="3"/>
  <c r="A1243" i="3" s="1"/>
  <c r="E1243" i="3"/>
  <c r="F1242" i="3"/>
  <c r="A1242" i="3" s="1"/>
  <c r="E1242" i="3"/>
  <c r="F1241" i="3"/>
  <c r="A1241" i="3" s="1"/>
  <c r="E1241" i="3"/>
  <c r="F1240" i="3"/>
  <c r="A1240" i="3" s="1"/>
  <c r="E1240" i="3"/>
  <c r="F1239" i="3"/>
  <c r="A1239" i="3" s="1"/>
  <c r="E1239" i="3"/>
  <c r="F1238" i="3"/>
  <c r="A1238" i="3" s="1"/>
  <c r="E1238" i="3"/>
  <c r="F1237" i="3"/>
  <c r="A1237" i="3" s="1"/>
  <c r="E1237" i="3"/>
  <c r="F1236" i="3"/>
  <c r="A1236" i="3" s="1"/>
  <c r="E1236" i="3"/>
  <c r="F1235" i="3"/>
  <c r="A1235" i="3" s="1"/>
  <c r="E1235" i="3"/>
  <c r="F1234" i="3"/>
  <c r="A1234" i="3" s="1"/>
  <c r="E1234" i="3"/>
  <c r="F1233" i="3"/>
  <c r="A1233" i="3" s="1"/>
  <c r="E1233" i="3"/>
  <c r="F1232" i="3"/>
  <c r="A1232" i="3" s="1"/>
  <c r="E1232" i="3"/>
  <c r="F1231" i="3"/>
  <c r="A1231" i="3" s="1"/>
  <c r="E1231" i="3"/>
  <c r="F1230" i="3"/>
  <c r="A1230" i="3" s="1"/>
  <c r="E1230" i="3"/>
  <c r="F1229" i="3"/>
  <c r="A1229" i="3" s="1"/>
  <c r="E1229" i="3"/>
  <c r="F1228" i="3"/>
  <c r="A1228" i="3" s="1"/>
  <c r="E1228" i="3"/>
  <c r="F1227" i="3"/>
  <c r="A1227" i="3" s="1"/>
  <c r="E1227" i="3"/>
  <c r="F1226" i="3"/>
  <c r="A1226" i="3" s="1"/>
  <c r="E1226" i="3"/>
  <c r="F1225" i="3"/>
  <c r="A1225" i="3" s="1"/>
  <c r="E1225" i="3"/>
  <c r="F1224" i="3"/>
  <c r="A1224" i="3" s="1"/>
  <c r="E1224" i="3"/>
  <c r="F1223" i="3"/>
  <c r="A1223" i="3" s="1"/>
  <c r="E1223" i="3"/>
  <c r="F1222" i="3"/>
  <c r="A1222" i="3" s="1"/>
  <c r="E1222" i="3"/>
  <c r="F1221" i="3"/>
  <c r="A1221" i="3" s="1"/>
  <c r="E1221" i="3"/>
  <c r="F1220" i="3"/>
  <c r="A1220" i="3" s="1"/>
  <c r="E1220" i="3"/>
  <c r="F1219" i="3"/>
  <c r="A1219" i="3" s="1"/>
  <c r="E1219" i="3"/>
  <c r="F1218" i="3"/>
  <c r="A1218" i="3" s="1"/>
  <c r="E1218" i="3"/>
  <c r="F1217" i="3"/>
  <c r="A1217" i="3" s="1"/>
  <c r="E1217" i="3"/>
  <c r="F1216" i="3"/>
  <c r="A1216" i="3" s="1"/>
  <c r="E1216" i="3"/>
  <c r="F1215" i="3"/>
  <c r="A1215" i="3" s="1"/>
  <c r="E1215" i="3"/>
  <c r="F1214" i="3"/>
  <c r="A1214" i="3" s="1"/>
  <c r="E1214" i="3"/>
  <c r="F1213" i="3"/>
  <c r="A1213" i="3" s="1"/>
  <c r="E1213" i="3"/>
  <c r="F1212" i="3"/>
  <c r="A1212" i="3" s="1"/>
  <c r="E1212" i="3"/>
  <c r="F1211" i="3"/>
  <c r="A1211" i="3" s="1"/>
  <c r="E1211" i="3"/>
  <c r="F1210" i="3"/>
  <c r="A1210" i="3" s="1"/>
  <c r="E1210" i="3"/>
  <c r="F1209" i="3"/>
  <c r="A1209" i="3" s="1"/>
  <c r="E1209" i="3"/>
  <c r="F1208" i="3"/>
  <c r="A1208" i="3" s="1"/>
  <c r="E1208" i="3"/>
  <c r="F1207" i="3"/>
  <c r="A1207" i="3" s="1"/>
  <c r="E1207" i="3"/>
  <c r="F1206" i="3"/>
  <c r="A1206" i="3" s="1"/>
  <c r="E1206" i="3"/>
  <c r="F1205" i="3"/>
  <c r="A1205" i="3" s="1"/>
  <c r="E1205" i="3"/>
  <c r="F1204" i="3"/>
  <c r="A1204" i="3" s="1"/>
  <c r="E1204" i="3"/>
  <c r="F1203" i="3"/>
  <c r="A1203" i="3" s="1"/>
  <c r="E1203" i="3"/>
  <c r="F1202" i="3"/>
  <c r="A1202" i="3" s="1"/>
  <c r="E1202" i="3"/>
  <c r="F1201" i="3"/>
  <c r="A1201" i="3" s="1"/>
  <c r="E1201" i="3"/>
  <c r="F1200" i="3"/>
  <c r="A1200" i="3" s="1"/>
  <c r="E1200" i="3"/>
  <c r="F1199" i="3"/>
  <c r="A1199" i="3" s="1"/>
  <c r="E1199" i="3"/>
  <c r="F1198" i="3"/>
  <c r="A1198" i="3" s="1"/>
  <c r="E1198" i="3"/>
  <c r="F1197" i="3"/>
  <c r="A1197" i="3" s="1"/>
  <c r="E1197" i="3"/>
  <c r="F1196" i="3"/>
  <c r="A1196" i="3" s="1"/>
  <c r="E1196" i="3"/>
  <c r="F1195" i="3"/>
  <c r="A1195" i="3" s="1"/>
  <c r="E1195" i="3"/>
  <c r="F1194" i="3"/>
  <c r="A1194" i="3" s="1"/>
  <c r="E1194" i="3"/>
  <c r="F1193" i="3"/>
  <c r="A1193" i="3" s="1"/>
  <c r="E1193" i="3"/>
  <c r="F1192" i="3"/>
  <c r="A1192" i="3" s="1"/>
  <c r="E1192" i="3"/>
  <c r="F1191" i="3"/>
  <c r="A1191" i="3" s="1"/>
  <c r="E1191" i="3"/>
  <c r="F1190" i="3"/>
  <c r="A1190" i="3" s="1"/>
  <c r="E1190" i="3"/>
  <c r="F1189" i="3"/>
  <c r="A1189" i="3" s="1"/>
  <c r="E1189" i="3"/>
  <c r="F1188" i="3"/>
  <c r="A1188" i="3" s="1"/>
  <c r="E1188" i="3"/>
  <c r="F1187" i="3"/>
  <c r="A1187" i="3" s="1"/>
  <c r="E1187" i="3"/>
  <c r="F1186" i="3"/>
  <c r="A1186" i="3" s="1"/>
  <c r="E1186" i="3"/>
  <c r="F1185" i="3"/>
  <c r="A1185" i="3" s="1"/>
  <c r="E1185" i="3"/>
  <c r="F1184" i="3"/>
  <c r="A1184" i="3" s="1"/>
  <c r="E1184" i="3"/>
  <c r="F1183" i="3"/>
  <c r="A1183" i="3" s="1"/>
  <c r="E1183" i="3"/>
  <c r="F1182" i="3"/>
  <c r="A1182" i="3" s="1"/>
  <c r="E1182" i="3"/>
  <c r="F1181" i="3"/>
  <c r="A1181" i="3" s="1"/>
  <c r="E1181" i="3"/>
  <c r="F1180" i="3"/>
  <c r="A1180" i="3" s="1"/>
  <c r="E1180" i="3"/>
  <c r="F1179" i="3"/>
  <c r="A1179" i="3" s="1"/>
  <c r="E1179" i="3"/>
  <c r="F1178" i="3"/>
  <c r="A1178" i="3" s="1"/>
  <c r="E1178" i="3"/>
  <c r="F1177" i="3"/>
  <c r="A1177" i="3" s="1"/>
  <c r="E1177" i="3"/>
  <c r="F1176" i="3"/>
  <c r="A1176" i="3" s="1"/>
  <c r="E1176" i="3"/>
  <c r="F1175" i="3"/>
  <c r="A1175" i="3" s="1"/>
  <c r="E1175" i="3"/>
  <c r="F1174" i="3"/>
  <c r="A1174" i="3" s="1"/>
  <c r="E1174" i="3"/>
  <c r="F1173" i="3"/>
  <c r="A1173" i="3" s="1"/>
  <c r="E1173" i="3"/>
  <c r="F1172" i="3"/>
  <c r="A1172" i="3" s="1"/>
  <c r="E1172" i="3"/>
  <c r="F1171" i="3"/>
  <c r="A1171" i="3" s="1"/>
  <c r="E1171" i="3"/>
  <c r="F1170" i="3"/>
  <c r="A1170" i="3" s="1"/>
  <c r="E1170" i="3"/>
  <c r="F1169" i="3"/>
  <c r="A1169" i="3" s="1"/>
  <c r="E1169" i="3"/>
  <c r="F1168" i="3"/>
  <c r="A1168" i="3" s="1"/>
  <c r="E1168" i="3"/>
  <c r="F1167" i="3"/>
  <c r="A1167" i="3" s="1"/>
  <c r="E1167" i="3"/>
  <c r="F1166" i="3"/>
  <c r="A1166" i="3" s="1"/>
  <c r="E1166" i="3"/>
  <c r="F1165" i="3"/>
  <c r="A1165" i="3" s="1"/>
  <c r="E1165" i="3"/>
  <c r="F1164" i="3"/>
  <c r="A1164" i="3" s="1"/>
  <c r="E1164" i="3"/>
  <c r="F1163" i="3"/>
  <c r="A1163" i="3" s="1"/>
  <c r="E1163" i="3"/>
  <c r="F1162" i="3"/>
  <c r="A1162" i="3" s="1"/>
  <c r="E1162" i="3"/>
  <c r="F1161" i="3"/>
  <c r="A1161" i="3" s="1"/>
  <c r="E1161" i="3"/>
  <c r="F1160" i="3"/>
  <c r="A1160" i="3" s="1"/>
  <c r="E1160" i="3"/>
  <c r="F1159" i="3"/>
  <c r="A1159" i="3" s="1"/>
  <c r="E1159" i="3"/>
  <c r="F1158" i="3"/>
  <c r="A1158" i="3" s="1"/>
  <c r="E1158" i="3"/>
  <c r="F1157" i="3"/>
  <c r="A1157" i="3" s="1"/>
  <c r="E1157" i="3"/>
  <c r="F1156" i="3"/>
  <c r="A1156" i="3" s="1"/>
  <c r="E1156" i="3"/>
  <c r="F1155" i="3"/>
  <c r="A1155" i="3" s="1"/>
  <c r="E1155" i="3"/>
  <c r="F1154" i="3"/>
  <c r="A1154" i="3" s="1"/>
  <c r="E1154" i="3"/>
  <c r="F1153" i="3"/>
  <c r="A1153" i="3" s="1"/>
  <c r="E1153" i="3"/>
  <c r="F1152" i="3"/>
  <c r="A1152" i="3" s="1"/>
  <c r="E1152" i="3"/>
  <c r="F1151" i="3"/>
  <c r="A1151" i="3" s="1"/>
  <c r="E1151" i="3"/>
  <c r="F1150" i="3"/>
  <c r="A1150" i="3" s="1"/>
  <c r="E1150" i="3"/>
  <c r="F1149" i="3"/>
  <c r="A1149" i="3" s="1"/>
  <c r="E1149" i="3"/>
  <c r="F1148" i="3"/>
  <c r="A1148" i="3" s="1"/>
  <c r="E1148" i="3"/>
  <c r="F1147" i="3"/>
  <c r="A1147" i="3" s="1"/>
  <c r="E1147" i="3"/>
  <c r="F1146" i="3"/>
  <c r="A1146" i="3" s="1"/>
  <c r="E1146" i="3"/>
  <c r="F1145" i="3"/>
  <c r="A1145" i="3" s="1"/>
  <c r="E1145" i="3"/>
  <c r="F1144" i="3"/>
  <c r="A1144" i="3" s="1"/>
  <c r="E1144" i="3"/>
  <c r="F1143" i="3"/>
  <c r="A1143" i="3" s="1"/>
  <c r="E1143" i="3"/>
  <c r="F1142" i="3"/>
  <c r="A1142" i="3" s="1"/>
  <c r="E1142" i="3"/>
  <c r="F1141" i="3"/>
  <c r="A1141" i="3" s="1"/>
  <c r="E1141" i="3"/>
  <c r="F1140" i="3"/>
  <c r="A1140" i="3" s="1"/>
  <c r="E1140" i="3"/>
  <c r="F1139" i="3"/>
  <c r="A1139" i="3" s="1"/>
  <c r="E1139" i="3"/>
  <c r="F1138" i="3"/>
  <c r="A1138" i="3" s="1"/>
  <c r="E1138" i="3"/>
  <c r="F1137" i="3"/>
  <c r="A1137" i="3" s="1"/>
  <c r="E1137" i="3"/>
  <c r="F1136" i="3"/>
  <c r="A1136" i="3" s="1"/>
  <c r="E1136" i="3"/>
  <c r="F1135" i="3"/>
  <c r="A1135" i="3" s="1"/>
  <c r="E1135" i="3"/>
  <c r="F1134" i="3"/>
  <c r="A1134" i="3" s="1"/>
  <c r="E1134" i="3"/>
  <c r="F1133" i="3"/>
  <c r="A1133" i="3" s="1"/>
  <c r="E1133" i="3"/>
  <c r="F1132" i="3"/>
  <c r="A1132" i="3" s="1"/>
  <c r="E1132" i="3"/>
  <c r="F1131" i="3"/>
  <c r="A1131" i="3" s="1"/>
  <c r="E1131" i="3"/>
  <c r="F1130" i="3"/>
  <c r="A1130" i="3" s="1"/>
  <c r="E1130" i="3"/>
  <c r="F1129" i="3"/>
  <c r="A1129" i="3" s="1"/>
  <c r="E1129" i="3"/>
  <c r="F1128" i="3"/>
  <c r="A1128" i="3" s="1"/>
  <c r="E1128" i="3"/>
  <c r="F1127" i="3"/>
  <c r="A1127" i="3" s="1"/>
  <c r="E1127" i="3"/>
  <c r="F1126" i="3"/>
  <c r="A1126" i="3" s="1"/>
  <c r="E1126" i="3"/>
  <c r="F1125" i="3"/>
  <c r="A1125" i="3" s="1"/>
  <c r="E1125" i="3"/>
  <c r="F1124" i="3"/>
  <c r="A1124" i="3" s="1"/>
  <c r="E1124" i="3"/>
  <c r="F1123" i="3"/>
  <c r="A1123" i="3" s="1"/>
  <c r="E1123" i="3"/>
  <c r="F1122" i="3"/>
  <c r="A1122" i="3" s="1"/>
  <c r="E1122" i="3"/>
  <c r="F1121" i="3"/>
  <c r="A1121" i="3" s="1"/>
  <c r="E1121" i="3"/>
  <c r="F1120" i="3"/>
  <c r="A1120" i="3" s="1"/>
  <c r="E1120" i="3"/>
  <c r="F1119" i="3"/>
  <c r="A1119" i="3" s="1"/>
  <c r="E1119" i="3"/>
  <c r="F1118" i="3"/>
  <c r="A1118" i="3" s="1"/>
  <c r="E1118" i="3"/>
  <c r="F1117" i="3"/>
  <c r="A1117" i="3" s="1"/>
  <c r="E1117" i="3"/>
  <c r="F1116" i="3"/>
  <c r="A1116" i="3" s="1"/>
  <c r="E1116" i="3"/>
  <c r="F1115" i="3"/>
  <c r="A1115" i="3" s="1"/>
  <c r="E1115" i="3"/>
  <c r="F1114" i="3"/>
  <c r="A1114" i="3" s="1"/>
  <c r="E1114" i="3"/>
  <c r="F1113" i="3"/>
  <c r="A1113" i="3" s="1"/>
  <c r="E1113" i="3"/>
  <c r="F1112" i="3"/>
  <c r="A1112" i="3" s="1"/>
  <c r="E1112" i="3"/>
  <c r="F1111" i="3"/>
  <c r="A1111" i="3" s="1"/>
  <c r="E1111" i="3"/>
  <c r="F1110" i="3"/>
  <c r="A1110" i="3" s="1"/>
  <c r="E1110" i="3"/>
  <c r="F1109" i="3"/>
  <c r="A1109" i="3" s="1"/>
  <c r="E1109" i="3"/>
  <c r="F1108" i="3"/>
  <c r="A1108" i="3" s="1"/>
  <c r="E1108" i="3"/>
  <c r="F1107" i="3"/>
  <c r="A1107" i="3" s="1"/>
  <c r="E1107" i="3"/>
  <c r="F1106" i="3"/>
  <c r="A1106" i="3" s="1"/>
  <c r="E1106" i="3"/>
  <c r="F1105" i="3"/>
  <c r="A1105" i="3" s="1"/>
  <c r="E1105" i="3"/>
  <c r="F1104" i="3"/>
  <c r="A1104" i="3" s="1"/>
  <c r="E1104" i="3"/>
  <c r="F1103" i="3"/>
  <c r="A1103" i="3" s="1"/>
  <c r="E1103" i="3"/>
  <c r="F1102" i="3"/>
  <c r="A1102" i="3" s="1"/>
  <c r="E1102" i="3"/>
  <c r="F1101" i="3"/>
  <c r="A1101" i="3" s="1"/>
  <c r="E1101" i="3"/>
  <c r="F1100" i="3"/>
  <c r="A1100" i="3" s="1"/>
  <c r="E1100" i="3"/>
  <c r="F1099" i="3"/>
  <c r="A1099" i="3" s="1"/>
  <c r="E1099" i="3"/>
  <c r="F1098" i="3"/>
  <c r="A1098" i="3" s="1"/>
  <c r="E1098" i="3"/>
  <c r="F1097" i="3"/>
  <c r="A1097" i="3" s="1"/>
  <c r="E1097" i="3"/>
  <c r="F1096" i="3"/>
  <c r="A1096" i="3" s="1"/>
  <c r="E1096" i="3"/>
  <c r="F1095" i="3"/>
  <c r="A1095" i="3" s="1"/>
  <c r="E1095" i="3"/>
  <c r="F1094" i="3"/>
  <c r="A1094" i="3" s="1"/>
  <c r="E1094" i="3"/>
  <c r="F1093" i="3"/>
  <c r="A1093" i="3" s="1"/>
  <c r="E1093" i="3"/>
  <c r="F1092" i="3"/>
  <c r="A1092" i="3" s="1"/>
  <c r="E1092" i="3"/>
  <c r="F1091" i="3"/>
  <c r="A1091" i="3" s="1"/>
  <c r="E1091" i="3"/>
  <c r="F1090" i="3"/>
  <c r="A1090" i="3" s="1"/>
  <c r="E1090" i="3"/>
  <c r="F1089" i="3"/>
  <c r="A1089" i="3" s="1"/>
  <c r="E1089" i="3"/>
  <c r="F1088" i="3"/>
  <c r="A1088" i="3" s="1"/>
  <c r="E1088" i="3"/>
  <c r="F1087" i="3"/>
  <c r="A1087" i="3" s="1"/>
  <c r="E1087" i="3"/>
  <c r="F1086" i="3"/>
  <c r="A1086" i="3" s="1"/>
  <c r="E1086" i="3"/>
  <c r="F1085" i="3"/>
  <c r="A1085" i="3" s="1"/>
  <c r="E1085" i="3"/>
  <c r="F1084" i="3"/>
  <c r="A1084" i="3" s="1"/>
  <c r="E1084" i="3"/>
  <c r="F1083" i="3"/>
  <c r="A1083" i="3" s="1"/>
  <c r="E1083" i="3"/>
  <c r="F1082" i="3"/>
  <c r="A1082" i="3" s="1"/>
  <c r="E1082" i="3"/>
  <c r="F1081" i="3"/>
  <c r="A1081" i="3" s="1"/>
  <c r="E1081" i="3"/>
  <c r="F1080" i="3"/>
  <c r="A1080" i="3" s="1"/>
  <c r="E1080" i="3"/>
  <c r="F1079" i="3"/>
  <c r="A1079" i="3" s="1"/>
  <c r="E1079" i="3"/>
  <c r="F1078" i="3"/>
  <c r="A1078" i="3" s="1"/>
  <c r="E1078" i="3"/>
  <c r="F1077" i="3"/>
  <c r="A1077" i="3" s="1"/>
  <c r="E1077" i="3"/>
  <c r="F1076" i="3"/>
  <c r="A1076" i="3" s="1"/>
  <c r="E1076" i="3"/>
  <c r="F1075" i="3"/>
  <c r="A1075" i="3" s="1"/>
  <c r="E1075" i="3"/>
  <c r="F1074" i="3"/>
  <c r="A1074" i="3" s="1"/>
  <c r="E1074" i="3"/>
  <c r="F1073" i="3"/>
  <c r="A1073" i="3" s="1"/>
  <c r="E1073" i="3"/>
  <c r="F1072" i="3"/>
  <c r="A1072" i="3" s="1"/>
  <c r="E1072" i="3"/>
  <c r="F1071" i="3"/>
  <c r="A1071" i="3" s="1"/>
  <c r="E1071" i="3"/>
  <c r="F1070" i="3"/>
  <c r="A1070" i="3" s="1"/>
  <c r="E1070" i="3"/>
  <c r="F1069" i="3"/>
  <c r="A1069" i="3" s="1"/>
  <c r="E1069" i="3"/>
  <c r="F1068" i="3"/>
  <c r="A1068" i="3" s="1"/>
  <c r="E1068" i="3"/>
  <c r="F1067" i="3"/>
  <c r="A1067" i="3" s="1"/>
  <c r="E1067" i="3"/>
  <c r="F1066" i="3"/>
  <c r="A1066" i="3" s="1"/>
  <c r="E1066" i="3"/>
  <c r="F1065" i="3"/>
  <c r="A1065" i="3" s="1"/>
  <c r="E1065" i="3"/>
  <c r="F1064" i="3"/>
  <c r="A1064" i="3" s="1"/>
  <c r="E1064" i="3"/>
  <c r="F1063" i="3"/>
  <c r="A1063" i="3" s="1"/>
  <c r="E1063" i="3"/>
  <c r="F1062" i="3"/>
  <c r="A1062" i="3" s="1"/>
  <c r="E1062" i="3"/>
  <c r="F1061" i="3"/>
  <c r="A1061" i="3" s="1"/>
  <c r="E1061" i="3"/>
  <c r="F1060" i="3"/>
  <c r="A1060" i="3" s="1"/>
  <c r="E1060" i="3"/>
  <c r="F1059" i="3"/>
  <c r="A1059" i="3" s="1"/>
  <c r="E1059" i="3"/>
  <c r="F1058" i="3"/>
  <c r="A1058" i="3" s="1"/>
  <c r="E1058" i="3"/>
  <c r="F1057" i="3"/>
  <c r="A1057" i="3" s="1"/>
  <c r="E1057" i="3"/>
  <c r="F1056" i="3"/>
  <c r="A1056" i="3" s="1"/>
  <c r="E1056" i="3"/>
  <c r="F1055" i="3"/>
  <c r="A1055" i="3" s="1"/>
  <c r="E1055" i="3"/>
  <c r="F1054" i="3"/>
  <c r="A1054" i="3" s="1"/>
  <c r="E1054" i="3"/>
  <c r="F1053" i="3"/>
  <c r="A1053" i="3" s="1"/>
  <c r="E1053" i="3"/>
  <c r="F1052" i="3"/>
  <c r="A1052" i="3" s="1"/>
  <c r="E1052" i="3"/>
  <c r="F1051" i="3"/>
  <c r="A1051" i="3" s="1"/>
  <c r="E1051" i="3"/>
  <c r="F1050" i="3"/>
  <c r="A1050" i="3" s="1"/>
  <c r="E1050" i="3"/>
  <c r="F1049" i="3"/>
  <c r="A1049" i="3" s="1"/>
  <c r="E1049" i="3"/>
  <c r="F1048" i="3"/>
  <c r="A1048" i="3" s="1"/>
  <c r="E1048" i="3"/>
  <c r="F1047" i="3"/>
  <c r="A1047" i="3" s="1"/>
  <c r="E1047" i="3"/>
  <c r="F1046" i="3"/>
  <c r="A1046" i="3" s="1"/>
  <c r="E1046" i="3"/>
  <c r="F1045" i="3"/>
  <c r="A1045" i="3" s="1"/>
  <c r="E1045" i="3"/>
  <c r="F1044" i="3"/>
  <c r="A1044" i="3" s="1"/>
  <c r="E1044" i="3"/>
  <c r="F1043" i="3"/>
  <c r="A1043" i="3" s="1"/>
  <c r="E1043" i="3"/>
  <c r="F1042" i="3"/>
  <c r="A1042" i="3" s="1"/>
  <c r="E1042" i="3"/>
  <c r="F1041" i="3"/>
  <c r="A1041" i="3" s="1"/>
  <c r="E1041" i="3"/>
  <c r="F1040" i="3"/>
  <c r="A1040" i="3" s="1"/>
  <c r="E1040" i="3"/>
  <c r="F1039" i="3"/>
  <c r="A1039" i="3" s="1"/>
  <c r="E1039" i="3"/>
  <c r="F1038" i="3"/>
  <c r="A1038" i="3" s="1"/>
  <c r="E1038" i="3"/>
  <c r="F1037" i="3"/>
  <c r="A1037" i="3" s="1"/>
  <c r="E1037" i="3"/>
  <c r="F1036" i="3"/>
  <c r="A1036" i="3" s="1"/>
  <c r="E1036" i="3"/>
  <c r="F1035" i="3"/>
  <c r="A1035" i="3" s="1"/>
  <c r="E1035" i="3"/>
  <c r="F1034" i="3"/>
  <c r="A1034" i="3" s="1"/>
  <c r="E1034" i="3"/>
  <c r="F1033" i="3"/>
  <c r="A1033" i="3" s="1"/>
  <c r="E1033" i="3"/>
  <c r="F1032" i="3"/>
  <c r="A1032" i="3" s="1"/>
  <c r="E1032" i="3"/>
  <c r="F1031" i="3"/>
  <c r="A1031" i="3" s="1"/>
  <c r="E1031" i="3"/>
  <c r="F1030" i="3"/>
  <c r="A1030" i="3" s="1"/>
  <c r="E1030" i="3"/>
  <c r="F1029" i="3"/>
  <c r="A1029" i="3" s="1"/>
  <c r="E1029" i="3"/>
  <c r="F1028" i="3"/>
  <c r="A1028" i="3" s="1"/>
  <c r="E1028" i="3"/>
  <c r="F1027" i="3"/>
  <c r="A1027" i="3" s="1"/>
  <c r="E1027" i="3"/>
  <c r="F1026" i="3"/>
  <c r="A1026" i="3" s="1"/>
  <c r="E1026" i="3"/>
  <c r="F1025" i="3"/>
  <c r="A1025" i="3" s="1"/>
  <c r="E1025" i="3"/>
  <c r="F1024" i="3"/>
  <c r="A1024" i="3" s="1"/>
  <c r="E1024" i="3"/>
  <c r="F1023" i="3"/>
  <c r="A1023" i="3" s="1"/>
  <c r="E1023" i="3"/>
  <c r="F1022" i="3"/>
  <c r="A1022" i="3" s="1"/>
  <c r="E1022" i="3"/>
  <c r="F1021" i="3"/>
  <c r="A1021" i="3" s="1"/>
  <c r="E1021" i="3"/>
  <c r="F1020" i="3"/>
  <c r="A1020" i="3" s="1"/>
  <c r="E1020" i="3"/>
  <c r="F1019" i="3"/>
  <c r="A1019" i="3" s="1"/>
  <c r="E1019" i="3"/>
  <c r="F1018" i="3"/>
  <c r="A1018" i="3" s="1"/>
  <c r="E1018" i="3"/>
  <c r="F1017" i="3"/>
  <c r="A1017" i="3" s="1"/>
  <c r="E1017" i="3"/>
  <c r="F1016" i="3"/>
  <c r="A1016" i="3" s="1"/>
  <c r="E1016" i="3"/>
  <c r="F1015" i="3"/>
  <c r="A1015" i="3" s="1"/>
  <c r="E1015" i="3"/>
  <c r="F1014" i="3"/>
  <c r="A1014" i="3" s="1"/>
  <c r="E1014" i="3"/>
  <c r="F1013" i="3"/>
  <c r="A1013" i="3" s="1"/>
  <c r="E1013" i="3"/>
  <c r="F1012" i="3"/>
  <c r="A1012" i="3" s="1"/>
  <c r="E1012" i="3"/>
  <c r="F1011" i="3"/>
  <c r="A1011" i="3" s="1"/>
  <c r="E1011" i="3"/>
  <c r="F1010" i="3"/>
  <c r="A1010" i="3" s="1"/>
  <c r="E1010" i="3"/>
  <c r="F1009" i="3"/>
  <c r="A1009" i="3" s="1"/>
  <c r="E1009" i="3"/>
  <c r="F1008" i="3"/>
  <c r="A1008" i="3" s="1"/>
  <c r="E1008" i="3"/>
  <c r="F1007" i="3"/>
  <c r="A1007" i="3" s="1"/>
  <c r="E1007" i="3"/>
  <c r="F1006" i="3"/>
  <c r="A1006" i="3" s="1"/>
  <c r="E1006" i="3"/>
  <c r="F1005" i="3"/>
  <c r="A1005" i="3" s="1"/>
  <c r="E1005" i="3"/>
  <c r="F1004" i="3"/>
  <c r="A1004" i="3" s="1"/>
  <c r="E1004" i="3"/>
  <c r="F1003" i="3"/>
  <c r="A1003" i="3" s="1"/>
  <c r="E1003" i="3"/>
  <c r="F1002" i="3"/>
  <c r="A1002" i="3" s="1"/>
  <c r="E1002" i="3"/>
  <c r="F1001" i="3"/>
  <c r="A1001" i="3" s="1"/>
  <c r="E1001" i="3"/>
  <c r="F1000" i="3"/>
  <c r="A1000" i="3" s="1"/>
  <c r="E1000" i="3"/>
  <c r="F999" i="3"/>
  <c r="A999" i="3" s="1"/>
  <c r="E999" i="3"/>
  <c r="F998" i="3"/>
  <c r="A998" i="3" s="1"/>
  <c r="E998" i="3"/>
  <c r="F997" i="3"/>
  <c r="A997" i="3" s="1"/>
  <c r="E997" i="3"/>
  <c r="F996" i="3"/>
  <c r="A996" i="3" s="1"/>
  <c r="E996" i="3"/>
  <c r="F995" i="3"/>
  <c r="A995" i="3" s="1"/>
  <c r="E995" i="3"/>
  <c r="F994" i="3"/>
  <c r="A994" i="3" s="1"/>
  <c r="E994" i="3"/>
  <c r="F993" i="3"/>
  <c r="A993" i="3" s="1"/>
  <c r="E993" i="3"/>
  <c r="F992" i="3"/>
  <c r="A992" i="3" s="1"/>
  <c r="E992" i="3"/>
  <c r="F991" i="3"/>
  <c r="A991" i="3" s="1"/>
  <c r="E991" i="3"/>
  <c r="F990" i="3"/>
  <c r="A990" i="3" s="1"/>
  <c r="E990" i="3"/>
  <c r="F989" i="3"/>
  <c r="A989" i="3" s="1"/>
  <c r="E989" i="3"/>
  <c r="F988" i="3"/>
  <c r="A988" i="3" s="1"/>
  <c r="E988" i="3"/>
  <c r="F987" i="3"/>
  <c r="A987" i="3" s="1"/>
  <c r="E987" i="3"/>
  <c r="F986" i="3"/>
  <c r="A986" i="3" s="1"/>
  <c r="E986" i="3"/>
  <c r="F985" i="3"/>
  <c r="A985" i="3" s="1"/>
  <c r="E985" i="3"/>
  <c r="F984" i="3"/>
  <c r="A984" i="3" s="1"/>
  <c r="E984" i="3"/>
  <c r="F983" i="3"/>
  <c r="A983" i="3" s="1"/>
  <c r="E983" i="3"/>
  <c r="F982" i="3"/>
  <c r="A982" i="3" s="1"/>
  <c r="E982" i="3"/>
  <c r="F981" i="3"/>
  <c r="A981" i="3" s="1"/>
  <c r="E981" i="3"/>
  <c r="F980" i="3"/>
  <c r="A980" i="3" s="1"/>
  <c r="E980" i="3"/>
  <c r="F979" i="3"/>
  <c r="A979" i="3" s="1"/>
  <c r="E979" i="3"/>
  <c r="F978" i="3"/>
  <c r="A978" i="3" s="1"/>
  <c r="E978" i="3"/>
  <c r="F977" i="3"/>
  <c r="A977" i="3" s="1"/>
  <c r="E977" i="3"/>
  <c r="F976" i="3"/>
  <c r="A976" i="3" s="1"/>
  <c r="E976" i="3"/>
  <c r="F975" i="3"/>
  <c r="A975" i="3" s="1"/>
  <c r="E975" i="3"/>
  <c r="F974" i="3"/>
  <c r="A974" i="3" s="1"/>
  <c r="E974" i="3"/>
  <c r="F973" i="3"/>
  <c r="A973" i="3" s="1"/>
  <c r="E973" i="3"/>
  <c r="F972" i="3"/>
  <c r="A972" i="3" s="1"/>
  <c r="E972" i="3"/>
  <c r="F971" i="3"/>
  <c r="A971" i="3" s="1"/>
  <c r="E971" i="3"/>
  <c r="F970" i="3"/>
  <c r="A970" i="3" s="1"/>
  <c r="E970" i="3"/>
  <c r="F969" i="3"/>
  <c r="A969" i="3" s="1"/>
  <c r="E969" i="3"/>
  <c r="F968" i="3"/>
  <c r="A968" i="3" s="1"/>
  <c r="E968" i="3"/>
  <c r="F967" i="3"/>
  <c r="A967" i="3" s="1"/>
  <c r="E967" i="3"/>
  <c r="F966" i="3"/>
  <c r="A966" i="3" s="1"/>
  <c r="E966" i="3"/>
  <c r="F965" i="3"/>
  <c r="A965" i="3" s="1"/>
  <c r="E965" i="3"/>
  <c r="F964" i="3"/>
  <c r="A964" i="3" s="1"/>
  <c r="E964" i="3"/>
  <c r="F963" i="3"/>
  <c r="A963" i="3" s="1"/>
  <c r="E963" i="3"/>
  <c r="F962" i="3"/>
  <c r="A962" i="3" s="1"/>
  <c r="E962" i="3"/>
  <c r="F961" i="3"/>
  <c r="A961" i="3" s="1"/>
  <c r="E961" i="3"/>
  <c r="F960" i="3"/>
  <c r="A960" i="3" s="1"/>
  <c r="E960" i="3"/>
  <c r="F959" i="3"/>
  <c r="A959" i="3" s="1"/>
  <c r="E959" i="3"/>
  <c r="F958" i="3"/>
  <c r="A958" i="3" s="1"/>
  <c r="E958" i="3"/>
  <c r="F957" i="3"/>
  <c r="A957" i="3" s="1"/>
  <c r="E957" i="3"/>
  <c r="F956" i="3"/>
  <c r="A956" i="3" s="1"/>
  <c r="E956" i="3"/>
  <c r="F955" i="3"/>
  <c r="A955" i="3" s="1"/>
  <c r="E955" i="3"/>
  <c r="F954" i="3"/>
  <c r="A954" i="3" s="1"/>
  <c r="E954" i="3"/>
  <c r="F953" i="3"/>
  <c r="A953" i="3" s="1"/>
  <c r="E953" i="3"/>
  <c r="F952" i="3"/>
  <c r="A952" i="3" s="1"/>
  <c r="E952" i="3"/>
  <c r="F951" i="3"/>
  <c r="A951" i="3" s="1"/>
  <c r="E951" i="3"/>
  <c r="F950" i="3"/>
  <c r="A950" i="3" s="1"/>
  <c r="E950" i="3"/>
  <c r="F949" i="3"/>
  <c r="A949" i="3" s="1"/>
  <c r="E949" i="3"/>
  <c r="F948" i="3"/>
  <c r="A948" i="3" s="1"/>
  <c r="E948" i="3"/>
  <c r="F947" i="3"/>
  <c r="A947" i="3" s="1"/>
  <c r="E947" i="3"/>
  <c r="F946" i="3"/>
  <c r="A946" i="3" s="1"/>
  <c r="E946" i="3"/>
  <c r="F945" i="3"/>
  <c r="A945" i="3" s="1"/>
  <c r="E945" i="3"/>
  <c r="F944" i="3"/>
  <c r="A944" i="3" s="1"/>
  <c r="E944" i="3"/>
  <c r="F943" i="3"/>
  <c r="A943" i="3" s="1"/>
  <c r="E943" i="3"/>
  <c r="F942" i="3"/>
  <c r="A942" i="3" s="1"/>
  <c r="E942" i="3"/>
  <c r="F941" i="3"/>
  <c r="A941" i="3" s="1"/>
  <c r="E941" i="3"/>
  <c r="F940" i="3"/>
  <c r="A940" i="3" s="1"/>
  <c r="E940" i="3"/>
  <c r="F939" i="3"/>
  <c r="A939" i="3" s="1"/>
  <c r="E939" i="3"/>
  <c r="F938" i="3"/>
  <c r="A938" i="3" s="1"/>
  <c r="E938" i="3"/>
  <c r="F937" i="3"/>
  <c r="A937" i="3" s="1"/>
  <c r="E937" i="3"/>
  <c r="F936" i="3"/>
  <c r="A936" i="3" s="1"/>
  <c r="E936" i="3"/>
  <c r="F935" i="3"/>
  <c r="A935" i="3" s="1"/>
  <c r="E935" i="3"/>
  <c r="F934" i="3"/>
  <c r="A934" i="3" s="1"/>
  <c r="E934" i="3"/>
  <c r="F933" i="3"/>
  <c r="A933" i="3" s="1"/>
  <c r="E933" i="3"/>
  <c r="F932" i="3"/>
  <c r="A932" i="3" s="1"/>
  <c r="E932" i="3"/>
  <c r="F931" i="3"/>
  <c r="A931" i="3" s="1"/>
  <c r="E931" i="3"/>
  <c r="F930" i="3"/>
  <c r="A930" i="3" s="1"/>
  <c r="E930" i="3"/>
  <c r="F929" i="3"/>
  <c r="A929" i="3" s="1"/>
  <c r="E929" i="3"/>
  <c r="F928" i="3"/>
  <c r="A928" i="3" s="1"/>
  <c r="E928" i="3"/>
  <c r="F927" i="3"/>
  <c r="A927" i="3" s="1"/>
  <c r="E927" i="3"/>
  <c r="F926" i="3"/>
  <c r="A926" i="3" s="1"/>
  <c r="E926" i="3"/>
  <c r="F925" i="3"/>
  <c r="A925" i="3" s="1"/>
  <c r="E925" i="3"/>
  <c r="F924" i="3"/>
  <c r="A924" i="3" s="1"/>
  <c r="E924" i="3"/>
  <c r="F923" i="3"/>
  <c r="A923" i="3" s="1"/>
  <c r="E923" i="3"/>
  <c r="F922" i="3"/>
  <c r="A922" i="3" s="1"/>
  <c r="E922" i="3"/>
  <c r="F921" i="3"/>
  <c r="A921" i="3" s="1"/>
  <c r="E921" i="3"/>
  <c r="F920" i="3"/>
  <c r="A920" i="3" s="1"/>
  <c r="E920" i="3"/>
  <c r="F919" i="3"/>
  <c r="A919" i="3" s="1"/>
  <c r="E919" i="3"/>
  <c r="F918" i="3"/>
  <c r="A918" i="3" s="1"/>
  <c r="E918" i="3"/>
  <c r="F917" i="3"/>
  <c r="A917" i="3" s="1"/>
  <c r="E917" i="3"/>
  <c r="F916" i="3"/>
  <c r="A916" i="3" s="1"/>
  <c r="E916" i="3"/>
  <c r="F915" i="3"/>
  <c r="A915" i="3" s="1"/>
  <c r="E915" i="3"/>
  <c r="F914" i="3"/>
  <c r="A914" i="3" s="1"/>
  <c r="E914" i="3"/>
  <c r="F913" i="3"/>
  <c r="A913" i="3" s="1"/>
  <c r="E913" i="3"/>
  <c r="F912" i="3"/>
  <c r="A912" i="3" s="1"/>
  <c r="E912" i="3"/>
  <c r="F911" i="3"/>
  <c r="A911" i="3" s="1"/>
  <c r="E911" i="3"/>
  <c r="F910" i="3"/>
  <c r="A910" i="3" s="1"/>
  <c r="E910" i="3"/>
  <c r="F909" i="3"/>
  <c r="A909" i="3" s="1"/>
  <c r="E909" i="3"/>
  <c r="F908" i="3"/>
  <c r="A908" i="3" s="1"/>
  <c r="E908" i="3"/>
  <c r="F907" i="3"/>
  <c r="A907" i="3" s="1"/>
  <c r="E907" i="3"/>
  <c r="F906" i="3"/>
  <c r="A906" i="3" s="1"/>
  <c r="E906" i="3"/>
  <c r="F905" i="3"/>
  <c r="A905" i="3" s="1"/>
  <c r="E905" i="3"/>
  <c r="F904" i="3"/>
  <c r="A904" i="3" s="1"/>
  <c r="E904" i="3"/>
  <c r="F903" i="3"/>
  <c r="A903" i="3" s="1"/>
  <c r="E903" i="3"/>
  <c r="F902" i="3"/>
  <c r="A902" i="3" s="1"/>
  <c r="E902" i="3"/>
  <c r="F901" i="3"/>
  <c r="A901" i="3" s="1"/>
  <c r="E901" i="3"/>
  <c r="F900" i="3"/>
  <c r="A900" i="3" s="1"/>
  <c r="E900" i="3"/>
  <c r="F899" i="3"/>
  <c r="A899" i="3" s="1"/>
  <c r="E899" i="3"/>
  <c r="F898" i="3"/>
  <c r="A898" i="3" s="1"/>
  <c r="E898" i="3"/>
  <c r="F897" i="3"/>
  <c r="A897" i="3" s="1"/>
  <c r="E897" i="3"/>
  <c r="F896" i="3"/>
  <c r="A896" i="3" s="1"/>
  <c r="E896" i="3"/>
  <c r="F895" i="3"/>
  <c r="A895" i="3" s="1"/>
  <c r="E895" i="3"/>
  <c r="F894" i="3"/>
  <c r="A894" i="3" s="1"/>
  <c r="E894" i="3"/>
  <c r="F893" i="3"/>
  <c r="A893" i="3" s="1"/>
  <c r="E893" i="3"/>
  <c r="F892" i="3"/>
  <c r="A892" i="3" s="1"/>
  <c r="E892" i="3"/>
  <c r="F891" i="3"/>
  <c r="A891" i="3" s="1"/>
  <c r="E891" i="3"/>
  <c r="F890" i="3"/>
  <c r="A890" i="3" s="1"/>
  <c r="E890" i="3"/>
  <c r="F889" i="3"/>
  <c r="A889" i="3" s="1"/>
  <c r="E889" i="3"/>
  <c r="F888" i="3"/>
  <c r="A888" i="3" s="1"/>
  <c r="E888" i="3"/>
  <c r="F887" i="3"/>
  <c r="A887" i="3" s="1"/>
  <c r="E887" i="3"/>
  <c r="F886" i="3"/>
  <c r="A886" i="3" s="1"/>
  <c r="E886" i="3"/>
  <c r="F885" i="3"/>
  <c r="A885" i="3" s="1"/>
  <c r="E885" i="3"/>
  <c r="F884" i="3"/>
  <c r="A884" i="3" s="1"/>
  <c r="E884" i="3"/>
  <c r="F883" i="3"/>
  <c r="A883" i="3" s="1"/>
  <c r="E883" i="3"/>
  <c r="F882" i="3"/>
  <c r="A882" i="3" s="1"/>
  <c r="E882" i="3"/>
  <c r="F881" i="3"/>
  <c r="A881" i="3" s="1"/>
  <c r="E881" i="3"/>
  <c r="F880" i="3"/>
  <c r="A880" i="3" s="1"/>
  <c r="E880" i="3"/>
  <c r="F879" i="3"/>
  <c r="A879" i="3" s="1"/>
  <c r="E879" i="3"/>
  <c r="F878" i="3"/>
  <c r="A878" i="3" s="1"/>
  <c r="E878" i="3"/>
  <c r="F877" i="3"/>
  <c r="A877" i="3" s="1"/>
  <c r="E877" i="3"/>
  <c r="F876" i="3"/>
  <c r="A876" i="3" s="1"/>
  <c r="E876" i="3"/>
  <c r="F875" i="3"/>
  <c r="A875" i="3" s="1"/>
  <c r="E875" i="3"/>
  <c r="F874" i="3"/>
  <c r="A874" i="3" s="1"/>
  <c r="E874" i="3"/>
  <c r="F873" i="3"/>
  <c r="A873" i="3" s="1"/>
  <c r="E873" i="3"/>
  <c r="F872" i="3"/>
  <c r="A872" i="3" s="1"/>
  <c r="E872" i="3"/>
  <c r="F871" i="3"/>
  <c r="A871" i="3" s="1"/>
  <c r="E871" i="3"/>
  <c r="F870" i="3"/>
  <c r="A870" i="3" s="1"/>
  <c r="E870" i="3"/>
  <c r="F869" i="3"/>
  <c r="A869" i="3" s="1"/>
  <c r="E869" i="3"/>
  <c r="F868" i="3"/>
  <c r="A868" i="3" s="1"/>
  <c r="E868" i="3"/>
  <c r="F867" i="3"/>
  <c r="A867" i="3" s="1"/>
  <c r="E867" i="3"/>
  <c r="F866" i="3"/>
  <c r="A866" i="3" s="1"/>
  <c r="E866" i="3"/>
  <c r="F865" i="3"/>
  <c r="A865" i="3" s="1"/>
  <c r="E865" i="3"/>
  <c r="F864" i="3"/>
  <c r="A864" i="3" s="1"/>
  <c r="E864" i="3"/>
  <c r="F863" i="3"/>
  <c r="A863" i="3" s="1"/>
  <c r="E863" i="3"/>
  <c r="F862" i="3"/>
  <c r="A862" i="3" s="1"/>
  <c r="E862" i="3"/>
  <c r="F861" i="3"/>
  <c r="A861" i="3" s="1"/>
  <c r="E861" i="3"/>
  <c r="F860" i="3"/>
  <c r="A860" i="3" s="1"/>
  <c r="E860" i="3"/>
  <c r="F859" i="3"/>
  <c r="A859" i="3" s="1"/>
  <c r="E859" i="3"/>
  <c r="F858" i="3"/>
  <c r="A858" i="3" s="1"/>
  <c r="E858" i="3"/>
  <c r="F857" i="3"/>
  <c r="A857" i="3" s="1"/>
  <c r="E857" i="3"/>
  <c r="F856" i="3"/>
  <c r="A856" i="3" s="1"/>
  <c r="E856" i="3"/>
  <c r="F855" i="3"/>
  <c r="A855" i="3" s="1"/>
  <c r="E855" i="3"/>
  <c r="F854" i="3"/>
  <c r="A854" i="3" s="1"/>
  <c r="E854" i="3"/>
  <c r="F853" i="3"/>
  <c r="A853" i="3" s="1"/>
  <c r="E853" i="3"/>
  <c r="F852" i="3"/>
  <c r="A852" i="3" s="1"/>
  <c r="E852" i="3"/>
  <c r="F851" i="3"/>
  <c r="A851" i="3" s="1"/>
  <c r="E851" i="3"/>
  <c r="F850" i="3"/>
  <c r="A850" i="3" s="1"/>
  <c r="E850" i="3"/>
  <c r="F849" i="3"/>
  <c r="A849" i="3" s="1"/>
  <c r="E849" i="3"/>
  <c r="F848" i="3"/>
  <c r="A848" i="3" s="1"/>
  <c r="E848" i="3"/>
  <c r="F847" i="3"/>
  <c r="A847" i="3" s="1"/>
  <c r="E847" i="3"/>
  <c r="F846" i="3"/>
  <c r="A846" i="3" s="1"/>
  <c r="E846" i="3"/>
  <c r="F845" i="3"/>
  <c r="A845" i="3" s="1"/>
  <c r="E845" i="3"/>
  <c r="F844" i="3"/>
  <c r="A844" i="3" s="1"/>
  <c r="E844" i="3"/>
  <c r="F843" i="3"/>
  <c r="A843" i="3" s="1"/>
  <c r="E843" i="3"/>
  <c r="F842" i="3"/>
  <c r="A842" i="3" s="1"/>
  <c r="E842" i="3"/>
  <c r="F841" i="3"/>
  <c r="A841" i="3" s="1"/>
  <c r="E841" i="3"/>
  <c r="F840" i="3"/>
  <c r="A840" i="3" s="1"/>
  <c r="E840" i="3"/>
  <c r="F839" i="3"/>
  <c r="A839" i="3" s="1"/>
  <c r="E839" i="3"/>
  <c r="F838" i="3"/>
  <c r="A838" i="3" s="1"/>
  <c r="E838" i="3"/>
  <c r="F837" i="3"/>
  <c r="A837" i="3" s="1"/>
  <c r="E837" i="3"/>
  <c r="F836" i="3"/>
  <c r="A836" i="3" s="1"/>
  <c r="E836" i="3"/>
  <c r="F835" i="3"/>
  <c r="A835" i="3" s="1"/>
  <c r="E835" i="3"/>
  <c r="F834" i="3"/>
  <c r="A834" i="3" s="1"/>
  <c r="E834" i="3"/>
  <c r="F833" i="3"/>
  <c r="A833" i="3" s="1"/>
  <c r="E833" i="3"/>
  <c r="F832" i="3"/>
  <c r="A832" i="3" s="1"/>
  <c r="E832" i="3"/>
  <c r="F831" i="3"/>
  <c r="A831" i="3" s="1"/>
  <c r="E831" i="3"/>
  <c r="F830" i="3"/>
  <c r="A830" i="3" s="1"/>
  <c r="E830" i="3"/>
  <c r="F829" i="3"/>
  <c r="A829" i="3" s="1"/>
  <c r="E829" i="3"/>
  <c r="F828" i="3"/>
  <c r="A828" i="3" s="1"/>
  <c r="E828" i="3"/>
  <c r="F827" i="3"/>
  <c r="A827" i="3" s="1"/>
  <c r="E827" i="3"/>
  <c r="F826" i="3"/>
  <c r="A826" i="3" s="1"/>
  <c r="E826" i="3"/>
  <c r="F825" i="3"/>
  <c r="A825" i="3" s="1"/>
  <c r="E825" i="3"/>
  <c r="F824" i="3"/>
  <c r="A824" i="3" s="1"/>
  <c r="E824" i="3"/>
  <c r="F823" i="3"/>
  <c r="A823" i="3" s="1"/>
  <c r="E823" i="3"/>
  <c r="F822" i="3"/>
  <c r="A822" i="3" s="1"/>
  <c r="E822" i="3"/>
  <c r="F821" i="3"/>
  <c r="A821" i="3" s="1"/>
  <c r="E821" i="3"/>
  <c r="F820" i="3"/>
  <c r="A820" i="3" s="1"/>
  <c r="E820" i="3"/>
  <c r="F819" i="3"/>
  <c r="A819" i="3" s="1"/>
  <c r="E819" i="3"/>
  <c r="F818" i="3"/>
  <c r="A818" i="3" s="1"/>
  <c r="E818" i="3"/>
  <c r="F817" i="3"/>
  <c r="A817" i="3" s="1"/>
  <c r="E817" i="3"/>
  <c r="F816" i="3"/>
  <c r="A816" i="3" s="1"/>
  <c r="E816" i="3"/>
  <c r="F815" i="3"/>
  <c r="A815" i="3" s="1"/>
  <c r="E815" i="3"/>
  <c r="F814" i="3"/>
  <c r="A814" i="3" s="1"/>
  <c r="E814" i="3"/>
  <c r="F813" i="3"/>
  <c r="A813" i="3" s="1"/>
  <c r="E813" i="3"/>
  <c r="F812" i="3"/>
  <c r="A812" i="3" s="1"/>
  <c r="E812" i="3"/>
  <c r="F811" i="3"/>
  <c r="A811" i="3" s="1"/>
  <c r="E811" i="3"/>
  <c r="F810" i="3"/>
  <c r="A810" i="3" s="1"/>
  <c r="E810" i="3"/>
  <c r="F809" i="3"/>
  <c r="A809" i="3" s="1"/>
  <c r="E809" i="3"/>
  <c r="F808" i="3"/>
  <c r="A808" i="3" s="1"/>
  <c r="E808" i="3"/>
  <c r="F807" i="3"/>
  <c r="A807" i="3" s="1"/>
  <c r="E807" i="3"/>
  <c r="F806" i="3"/>
  <c r="A806" i="3" s="1"/>
  <c r="E806" i="3"/>
  <c r="F805" i="3"/>
  <c r="A805" i="3" s="1"/>
  <c r="E805" i="3"/>
  <c r="F804" i="3"/>
  <c r="A804" i="3" s="1"/>
  <c r="E804" i="3"/>
  <c r="F803" i="3"/>
  <c r="A803" i="3" s="1"/>
  <c r="E803" i="3"/>
  <c r="F802" i="3"/>
  <c r="A802" i="3" s="1"/>
  <c r="E802" i="3"/>
  <c r="F801" i="3"/>
  <c r="A801" i="3" s="1"/>
  <c r="E801" i="3"/>
  <c r="F800" i="3"/>
  <c r="A800" i="3" s="1"/>
  <c r="E800" i="3"/>
  <c r="F799" i="3"/>
  <c r="A799" i="3" s="1"/>
  <c r="E799" i="3"/>
  <c r="F798" i="3"/>
  <c r="A798" i="3" s="1"/>
  <c r="E798" i="3"/>
  <c r="F797" i="3"/>
  <c r="A797" i="3" s="1"/>
  <c r="E797" i="3"/>
  <c r="F796" i="3"/>
  <c r="A796" i="3" s="1"/>
  <c r="E796" i="3"/>
  <c r="F795" i="3"/>
  <c r="A795" i="3" s="1"/>
  <c r="E795" i="3"/>
  <c r="F794" i="3"/>
  <c r="A794" i="3" s="1"/>
  <c r="E794" i="3"/>
  <c r="F793" i="3"/>
  <c r="A793" i="3" s="1"/>
  <c r="E793" i="3"/>
  <c r="F792" i="3"/>
  <c r="A792" i="3" s="1"/>
  <c r="E792" i="3"/>
  <c r="F791" i="3"/>
  <c r="A791" i="3" s="1"/>
  <c r="E791" i="3"/>
  <c r="F790" i="3"/>
  <c r="A790" i="3" s="1"/>
  <c r="E790" i="3"/>
  <c r="F789" i="3"/>
  <c r="A789" i="3" s="1"/>
  <c r="E789" i="3"/>
  <c r="F788" i="3"/>
  <c r="A788" i="3" s="1"/>
  <c r="E788" i="3"/>
  <c r="F787" i="3"/>
  <c r="A787" i="3" s="1"/>
  <c r="E787" i="3"/>
  <c r="F786" i="3"/>
  <c r="A786" i="3" s="1"/>
  <c r="E786" i="3"/>
  <c r="F785" i="3"/>
  <c r="A785" i="3" s="1"/>
  <c r="E785" i="3"/>
  <c r="F784" i="3"/>
  <c r="A784" i="3" s="1"/>
  <c r="E784" i="3"/>
  <c r="F783" i="3"/>
  <c r="A783" i="3" s="1"/>
  <c r="E783" i="3"/>
  <c r="F782" i="3"/>
  <c r="A782" i="3" s="1"/>
  <c r="E782" i="3"/>
  <c r="F781" i="3"/>
  <c r="A781" i="3" s="1"/>
  <c r="E781" i="3"/>
  <c r="F780" i="3"/>
  <c r="A780" i="3" s="1"/>
  <c r="E780" i="3"/>
  <c r="F779" i="3"/>
  <c r="A779" i="3" s="1"/>
  <c r="E779" i="3"/>
  <c r="F778" i="3"/>
  <c r="A778" i="3" s="1"/>
  <c r="E778" i="3"/>
  <c r="F777" i="3"/>
  <c r="A777" i="3" s="1"/>
  <c r="E777" i="3"/>
  <c r="F776" i="3"/>
  <c r="A776" i="3" s="1"/>
  <c r="E776" i="3"/>
  <c r="F775" i="3"/>
  <c r="A775" i="3" s="1"/>
  <c r="E775" i="3"/>
  <c r="F774" i="3"/>
  <c r="A774" i="3" s="1"/>
  <c r="E774" i="3"/>
  <c r="F773" i="3"/>
  <c r="A773" i="3" s="1"/>
  <c r="E773" i="3"/>
  <c r="F772" i="3"/>
  <c r="A772" i="3" s="1"/>
  <c r="E772" i="3"/>
  <c r="F771" i="3"/>
  <c r="A771" i="3" s="1"/>
  <c r="E771" i="3"/>
  <c r="F770" i="3"/>
  <c r="A770" i="3" s="1"/>
  <c r="E770" i="3"/>
  <c r="F769" i="3"/>
  <c r="A769" i="3" s="1"/>
  <c r="E769" i="3"/>
  <c r="F768" i="3"/>
  <c r="A768" i="3" s="1"/>
  <c r="E768" i="3"/>
  <c r="F767" i="3"/>
  <c r="A767" i="3" s="1"/>
  <c r="E767" i="3"/>
  <c r="F766" i="3"/>
  <c r="A766" i="3" s="1"/>
  <c r="E766" i="3"/>
  <c r="F765" i="3"/>
  <c r="A765" i="3" s="1"/>
  <c r="E765" i="3"/>
  <c r="F764" i="3"/>
  <c r="A764" i="3" s="1"/>
  <c r="E764" i="3"/>
  <c r="F763" i="3"/>
  <c r="A763" i="3" s="1"/>
  <c r="E763" i="3"/>
  <c r="F762" i="3"/>
  <c r="A762" i="3" s="1"/>
  <c r="E762" i="3"/>
  <c r="F761" i="3"/>
  <c r="A761" i="3" s="1"/>
  <c r="E761" i="3"/>
  <c r="F760" i="3"/>
  <c r="A760" i="3" s="1"/>
  <c r="E760" i="3"/>
  <c r="F759" i="3"/>
  <c r="A759" i="3" s="1"/>
  <c r="E759" i="3"/>
  <c r="F758" i="3"/>
  <c r="A758" i="3" s="1"/>
  <c r="E758" i="3"/>
  <c r="F757" i="3"/>
  <c r="A757" i="3" s="1"/>
  <c r="E757" i="3"/>
  <c r="F756" i="3"/>
  <c r="A756" i="3" s="1"/>
  <c r="E756" i="3"/>
  <c r="F755" i="3"/>
  <c r="A755" i="3" s="1"/>
  <c r="E755" i="3"/>
  <c r="F754" i="3"/>
  <c r="A754" i="3" s="1"/>
  <c r="E754" i="3"/>
  <c r="F753" i="3"/>
  <c r="A753" i="3" s="1"/>
  <c r="E753" i="3"/>
  <c r="F752" i="3"/>
  <c r="A752" i="3" s="1"/>
  <c r="E752" i="3"/>
  <c r="F751" i="3"/>
  <c r="A751" i="3" s="1"/>
  <c r="E751" i="3"/>
  <c r="F750" i="3"/>
  <c r="A750" i="3" s="1"/>
  <c r="E750" i="3"/>
  <c r="F749" i="3"/>
  <c r="A749" i="3" s="1"/>
  <c r="E749" i="3"/>
  <c r="F748" i="3"/>
  <c r="A748" i="3" s="1"/>
  <c r="E748" i="3"/>
  <c r="F747" i="3"/>
  <c r="A747" i="3" s="1"/>
  <c r="E747" i="3"/>
  <c r="F746" i="3"/>
  <c r="A746" i="3" s="1"/>
  <c r="E746" i="3"/>
  <c r="F745" i="3"/>
  <c r="A745" i="3" s="1"/>
  <c r="E745" i="3"/>
  <c r="F744" i="3"/>
  <c r="A744" i="3" s="1"/>
  <c r="E744" i="3"/>
  <c r="F743" i="3"/>
  <c r="A743" i="3" s="1"/>
  <c r="E743" i="3"/>
  <c r="F742" i="3"/>
  <c r="A742" i="3" s="1"/>
  <c r="E742" i="3"/>
  <c r="F741" i="3"/>
  <c r="A741" i="3" s="1"/>
  <c r="E741" i="3"/>
  <c r="F740" i="3"/>
  <c r="A740" i="3" s="1"/>
  <c r="E740" i="3"/>
  <c r="F739" i="3"/>
  <c r="A739" i="3" s="1"/>
  <c r="E739" i="3"/>
  <c r="F738" i="3"/>
  <c r="A738" i="3" s="1"/>
  <c r="E738" i="3"/>
  <c r="F737" i="3"/>
  <c r="A737" i="3" s="1"/>
  <c r="E737" i="3"/>
  <c r="F736" i="3"/>
  <c r="A736" i="3" s="1"/>
  <c r="E736" i="3"/>
  <c r="F735" i="3"/>
  <c r="A735" i="3" s="1"/>
  <c r="E735" i="3"/>
  <c r="F734" i="3"/>
  <c r="A734" i="3" s="1"/>
  <c r="E734" i="3"/>
  <c r="F733" i="3"/>
  <c r="A733" i="3" s="1"/>
  <c r="E733" i="3"/>
  <c r="F732" i="3"/>
  <c r="A732" i="3" s="1"/>
  <c r="E732" i="3"/>
  <c r="F731" i="3"/>
  <c r="A731" i="3" s="1"/>
  <c r="E731" i="3"/>
  <c r="F730" i="3"/>
  <c r="A730" i="3" s="1"/>
  <c r="E730" i="3"/>
  <c r="F729" i="3"/>
  <c r="A729" i="3" s="1"/>
  <c r="E729" i="3"/>
  <c r="F728" i="3"/>
  <c r="A728" i="3" s="1"/>
  <c r="E728" i="3"/>
  <c r="F727" i="3"/>
  <c r="A727" i="3" s="1"/>
  <c r="E727" i="3"/>
  <c r="F726" i="3"/>
  <c r="A726" i="3" s="1"/>
  <c r="E726" i="3"/>
  <c r="F725" i="3"/>
  <c r="A725" i="3" s="1"/>
  <c r="E725" i="3"/>
  <c r="F724" i="3"/>
  <c r="A724" i="3" s="1"/>
  <c r="E724" i="3"/>
  <c r="F723" i="3"/>
  <c r="A723" i="3" s="1"/>
  <c r="E723" i="3"/>
  <c r="F722" i="3"/>
  <c r="A722" i="3" s="1"/>
  <c r="E722" i="3"/>
  <c r="F721" i="3"/>
  <c r="A721" i="3" s="1"/>
  <c r="E721" i="3"/>
  <c r="F720" i="3"/>
  <c r="A720" i="3" s="1"/>
  <c r="E720" i="3"/>
  <c r="F719" i="3"/>
  <c r="A719" i="3" s="1"/>
  <c r="E719" i="3"/>
  <c r="F718" i="3"/>
  <c r="A718" i="3" s="1"/>
  <c r="E718" i="3"/>
  <c r="F717" i="3"/>
  <c r="A717" i="3" s="1"/>
  <c r="E717" i="3"/>
  <c r="F716" i="3"/>
  <c r="A716" i="3" s="1"/>
  <c r="E716" i="3"/>
  <c r="F715" i="3"/>
  <c r="A715" i="3" s="1"/>
  <c r="E715" i="3"/>
  <c r="F714" i="3"/>
  <c r="A714" i="3" s="1"/>
  <c r="E714" i="3"/>
  <c r="F713" i="3"/>
  <c r="A713" i="3" s="1"/>
  <c r="E713" i="3"/>
  <c r="F712" i="3"/>
  <c r="A712" i="3" s="1"/>
  <c r="E712" i="3"/>
  <c r="F711" i="3"/>
  <c r="A711" i="3" s="1"/>
  <c r="E711" i="3"/>
  <c r="F710" i="3"/>
  <c r="A710" i="3" s="1"/>
  <c r="E710" i="3"/>
  <c r="F709" i="3"/>
  <c r="A709" i="3" s="1"/>
  <c r="E709" i="3"/>
  <c r="F708" i="3"/>
  <c r="A708" i="3" s="1"/>
  <c r="E708" i="3"/>
  <c r="F707" i="3"/>
  <c r="A707" i="3" s="1"/>
  <c r="E707" i="3"/>
  <c r="F706" i="3"/>
  <c r="A706" i="3" s="1"/>
  <c r="E706" i="3"/>
  <c r="F705" i="3"/>
  <c r="A705" i="3" s="1"/>
  <c r="E705" i="3"/>
  <c r="F704" i="3"/>
  <c r="A704" i="3" s="1"/>
  <c r="E704" i="3"/>
  <c r="F703" i="3"/>
  <c r="A703" i="3" s="1"/>
  <c r="E703" i="3"/>
  <c r="F702" i="3"/>
  <c r="A702" i="3" s="1"/>
  <c r="E702" i="3"/>
  <c r="F701" i="3"/>
  <c r="A701" i="3" s="1"/>
  <c r="E701" i="3"/>
  <c r="F700" i="3"/>
  <c r="A700" i="3" s="1"/>
  <c r="E700" i="3"/>
  <c r="F699" i="3"/>
  <c r="A699" i="3" s="1"/>
  <c r="E699" i="3"/>
  <c r="F698" i="3"/>
  <c r="A698" i="3" s="1"/>
  <c r="E698" i="3"/>
  <c r="F697" i="3"/>
  <c r="A697" i="3" s="1"/>
  <c r="E697" i="3"/>
  <c r="F696" i="3"/>
  <c r="A696" i="3" s="1"/>
  <c r="E696" i="3"/>
  <c r="F695" i="3"/>
  <c r="A695" i="3" s="1"/>
  <c r="E695" i="3"/>
  <c r="F694" i="3"/>
  <c r="A694" i="3" s="1"/>
  <c r="E694" i="3"/>
  <c r="F693" i="3"/>
  <c r="A693" i="3" s="1"/>
  <c r="E693" i="3"/>
  <c r="F692" i="3"/>
  <c r="A692" i="3" s="1"/>
  <c r="E692" i="3"/>
  <c r="F691" i="3"/>
  <c r="A691" i="3" s="1"/>
  <c r="E691" i="3"/>
  <c r="F690" i="3"/>
  <c r="A690" i="3" s="1"/>
  <c r="E690" i="3"/>
  <c r="F689" i="3"/>
  <c r="A689" i="3" s="1"/>
  <c r="E689" i="3"/>
  <c r="F688" i="3"/>
  <c r="A688" i="3" s="1"/>
  <c r="E688" i="3"/>
  <c r="F687" i="3"/>
  <c r="A687" i="3" s="1"/>
  <c r="E687" i="3"/>
  <c r="F686" i="3"/>
  <c r="A686" i="3" s="1"/>
  <c r="E686" i="3"/>
  <c r="F685" i="3"/>
  <c r="A685" i="3" s="1"/>
  <c r="E685" i="3"/>
  <c r="F684" i="3"/>
  <c r="A684" i="3" s="1"/>
  <c r="E684" i="3"/>
  <c r="F683" i="3"/>
  <c r="A683" i="3" s="1"/>
  <c r="E683" i="3"/>
  <c r="F682" i="3"/>
  <c r="A682" i="3" s="1"/>
  <c r="E682" i="3"/>
  <c r="F681" i="3"/>
  <c r="A681" i="3" s="1"/>
  <c r="E681" i="3"/>
  <c r="F680" i="3"/>
  <c r="A680" i="3" s="1"/>
  <c r="E680" i="3"/>
  <c r="F679" i="3"/>
  <c r="A679" i="3" s="1"/>
  <c r="E679" i="3"/>
  <c r="F678" i="3"/>
  <c r="A678" i="3" s="1"/>
  <c r="E678" i="3"/>
  <c r="F677" i="3"/>
  <c r="A677" i="3" s="1"/>
  <c r="E677" i="3"/>
  <c r="F676" i="3"/>
  <c r="A676" i="3" s="1"/>
  <c r="E676" i="3"/>
  <c r="F675" i="3"/>
  <c r="A675" i="3" s="1"/>
  <c r="E675" i="3"/>
  <c r="F674" i="3"/>
  <c r="A674" i="3" s="1"/>
  <c r="E674" i="3"/>
  <c r="F673" i="3"/>
  <c r="A673" i="3" s="1"/>
  <c r="E673" i="3"/>
  <c r="F672" i="3"/>
  <c r="A672" i="3" s="1"/>
  <c r="E672" i="3"/>
  <c r="F671" i="3"/>
  <c r="A671" i="3" s="1"/>
  <c r="E671" i="3"/>
  <c r="F670" i="3"/>
  <c r="A670" i="3" s="1"/>
  <c r="E670" i="3"/>
  <c r="F669" i="3"/>
  <c r="A669" i="3" s="1"/>
  <c r="E669" i="3"/>
  <c r="F668" i="3"/>
  <c r="A668" i="3" s="1"/>
  <c r="E668" i="3"/>
  <c r="F667" i="3"/>
  <c r="A667" i="3" s="1"/>
  <c r="E667" i="3"/>
  <c r="F666" i="3"/>
  <c r="A666" i="3" s="1"/>
  <c r="E666" i="3"/>
  <c r="F665" i="3"/>
  <c r="A665" i="3" s="1"/>
  <c r="E665" i="3"/>
  <c r="F664" i="3"/>
  <c r="A664" i="3" s="1"/>
  <c r="E664" i="3"/>
  <c r="F663" i="3"/>
  <c r="A663" i="3" s="1"/>
  <c r="E663" i="3"/>
  <c r="F662" i="3"/>
  <c r="A662" i="3" s="1"/>
  <c r="E662" i="3"/>
  <c r="F661" i="3"/>
  <c r="A661" i="3" s="1"/>
  <c r="E661" i="3"/>
  <c r="F660" i="3"/>
  <c r="A660" i="3" s="1"/>
  <c r="E660" i="3"/>
  <c r="F659" i="3"/>
  <c r="A659" i="3" s="1"/>
  <c r="E659" i="3"/>
  <c r="F658" i="3"/>
  <c r="A658" i="3" s="1"/>
  <c r="E658" i="3"/>
  <c r="F657" i="3"/>
  <c r="A657" i="3" s="1"/>
  <c r="E657" i="3"/>
  <c r="F656" i="3"/>
  <c r="A656" i="3" s="1"/>
  <c r="E656" i="3"/>
  <c r="F655" i="3"/>
  <c r="A655" i="3" s="1"/>
  <c r="E655" i="3"/>
  <c r="F654" i="3"/>
  <c r="A654" i="3" s="1"/>
  <c r="E654" i="3"/>
  <c r="F653" i="3"/>
  <c r="A653" i="3" s="1"/>
  <c r="E653" i="3"/>
  <c r="F652" i="3"/>
  <c r="A652" i="3" s="1"/>
  <c r="E652" i="3"/>
  <c r="F651" i="3"/>
  <c r="A651" i="3" s="1"/>
  <c r="E651" i="3"/>
  <c r="F650" i="3"/>
  <c r="A650" i="3" s="1"/>
  <c r="E650" i="3"/>
  <c r="F649" i="3"/>
  <c r="A649" i="3" s="1"/>
  <c r="E649" i="3"/>
  <c r="F648" i="3"/>
  <c r="A648" i="3" s="1"/>
  <c r="E648" i="3"/>
  <c r="F647" i="3"/>
  <c r="A647" i="3" s="1"/>
  <c r="E647" i="3"/>
  <c r="F646" i="3"/>
  <c r="A646" i="3" s="1"/>
  <c r="E646" i="3"/>
  <c r="F645" i="3"/>
  <c r="A645" i="3" s="1"/>
  <c r="E645" i="3"/>
  <c r="F644" i="3"/>
  <c r="A644" i="3" s="1"/>
  <c r="E644" i="3"/>
  <c r="F643" i="3"/>
  <c r="A643" i="3" s="1"/>
  <c r="E643" i="3"/>
  <c r="F642" i="3"/>
  <c r="A642" i="3" s="1"/>
  <c r="E642" i="3"/>
  <c r="F641" i="3"/>
  <c r="A641" i="3" s="1"/>
  <c r="E641" i="3"/>
  <c r="F640" i="3"/>
  <c r="A640" i="3" s="1"/>
  <c r="E640" i="3"/>
  <c r="F639" i="3"/>
  <c r="A639" i="3" s="1"/>
  <c r="E639" i="3"/>
  <c r="F638" i="3"/>
  <c r="A638" i="3" s="1"/>
  <c r="E638" i="3"/>
  <c r="F637" i="3"/>
  <c r="A637" i="3" s="1"/>
  <c r="E637" i="3"/>
  <c r="F636" i="3"/>
  <c r="A636" i="3" s="1"/>
  <c r="E636" i="3"/>
  <c r="F635" i="3"/>
  <c r="A635" i="3" s="1"/>
  <c r="E635" i="3"/>
  <c r="F634" i="3"/>
  <c r="A634" i="3" s="1"/>
  <c r="E634" i="3"/>
  <c r="F633" i="3"/>
  <c r="A633" i="3" s="1"/>
  <c r="E633" i="3"/>
  <c r="F632" i="3"/>
  <c r="A632" i="3" s="1"/>
  <c r="E632" i="3"/>
  <c r="F631" i="3"/>
  <c r="A631" i="3" s="1"/>
  <c r="E631" i="3"/>
  <c r="F630" i="3"/>
  <c r="A630" i="3" s="1"/>
  <c r="E630" i="3"/>
  <c r="F629" i="3"/>
  <c r="A629" i="3" s="1"/>
  <c r="E629" i="3"/>
  <c r="F628" i="3"/>
  <c r="A628" i="3" s="1"/>
  <c r="E628" i="3"/>
  <c r="F627" i="3"/>
  <c r="A627" i="3" s="1"/>
  <c r="E627" i="3"/>
  <c r="F626" i="3"/>
  <c r="A626" i="3" s="1"/>
  <c r="E626" i="3"/>
  <c r="F625" i="3"/>
  <c r="A625" i="3" s="1"/>
  <c r="E625" i="3"/>
  <c r="F624" i="3"/>
  <c r="A624" i="3" s="1"/>
  <c r="E624" i="3"/>
  <c r="F623" i="3"/>
  <c r="A623" i="3" s="1"/>
  <c r="E623" i="3"/>
  <c r="F622" i="3"/>
  <c r="A622" i="3" s="1"/>
  <c r="E622" i="3"/>
  <c r="F621" i="3"/>
  <c r="A621" i="3" s="1"/>
  <c r="E621" i="3"/>
  <c r="F620" i="3"/>
  <c r="A620" i="3" s="1"/>
  <c r="E620" i="3"/>
  <c r="F619" i="3"/>
  <c r="A619" i="3" s="1"/>
  <c r="E619" i="3"/>
  <c r="F618" i="3"/>
  <c r="A618" i="3" s="1"/>
  <c r="E618" i="3"/>
  <c r="F617" i="3"/>
  <c r="A617" i="3" s="1"/>
  <c r="E617" i="3"/>
  <c r="F616" i="3"/>
  <c r="A616" i="3" s="1"/>
  <c r="E616" i="3"/>
  <c r="F615" i="3"/>
  <c r="A615" i="3" s="1"/>
  <c r="E615" i="3"/>
  <c r="F614" i="3"/>
  <c r="A614" i="3" s="1"/>
  <c r="E614" i="3"/>
  <c r="F613" i="3"/>
  <c r="A613" i="3" s="1"/>
  <c r="E613" i="3"/>
  <c r="F612" i="3"/>
  <c r="A612" i="3" s="1"/>
  <c r="E612" i="3"/>
  <c r="F611" i="3"/>
  <c r="A611" i="3" s="1"/>
  <c r="E611" i="3"/>
  <c r="F610" i="3"/>
  <c r="A610" i="3" s="1"/>
  <c r="E610" i="3"/>
  <c r="F609" i="3"/>
  <c r="A609" i="3" s="1"/>
  <c r="E609" i="3"/>
  <c r="F608" i="3"/>
  <c r="A608" i="3" s="1"/>
  <c r="E608" i="3"/>
  <c r="F607" i="3"/>
  <c r="A607" i="3" s="1"/>
  <c r="E607" i="3"/>
  <c r="F606" i="3"/>
  <c r="A606" i="3" s="1"/>
  <c r="E606" i="3"/>
  <c r="F605" i="3"/>
  <c r="A605" i="3" s="1"/>
  <c r="E605" i="3"/>
  <c r="F604" i="3"/>
  <c r="A604" i="3" s="1"/>
  <c r="E604" i="3"/>
  <c r="F603" i="3"/>
  <c r="A603" i="3" s="1"/>
  <c r="E603" i="3"/>
  <c r="F602" i="3"/>
  <c r="A602" i="3" s="1"/>
  <c r="E602" i="3"/>
  <c r="F601" i="3"/>
  <c r="A601" i="3" s="1"/>
  <c r="E601" i="3"/>
  <c r="F600" i="3"/>
  <c r="A600" i="3" s="1"/>
  <c r="E600" i="3"/>
  <c r="F599" i="3"/>
  <c r="A599" i="3" s="1"/>
  <c r="E599" i="3"/>
  <c r="F598" i="3"/>
  <c r="A598" i="3" s="1"/>
  <c r="E598" i="3"/>
  <c r="F597" i="3"/>
  <c r="A597" i="3" s="1"/>
  <c r="E597" i="3"/>
  <c r="F596" i="3"/>
  <c r="A596" i="3" s="1"/>
  <c r="E596" i="3"/>
  <c r="F595" i="3"/>
  <c r="A595" i="3" s="1"/>
  <c r="E595" i="3"/>
  <c r="F594" i="3"/>
  <c r="A594" i="3" s="1"/>
  <c r="E594" i="3"/>
  <c r="F593" i="3"/>
  <c r="A593" i="3" s="1"/>
  <c r="E593" i="3"/>
  <c r="F592" i="3"/>
  <c r="A592" i="3" s="1"/>
  <c r="E592" i="3"/>
  <c r="F591" i="3"/>
  <c r="A591" i="3" s="1"/>
  <c r="E591" i="3"/>
  <c r="F590" i="3"/>
  <c r="A590" i="3" s="1"/>
  <c r="E590" i="3"/>
  <c r="F589" i="3"/>
  <c r="A589" i="3" s="1"/>
  <c r="E589" i="3"/>
  <c r="F588" i="3"/>
  <c r="A588" i="3" s="1"/>
  <c r="E588" i="3"/>
  <c r="F587" i="3"/>
  <c r="A587" i="3" s="1"/>
  <c r="E587" i="3"/>
  <c r="F586" i="3"/>
  <c r="A586" i="3" s="1"/>
  <c r="E586" i="3"/>
  <c r="F585" i="3"/>
  <c r="A585" i="3" s="1"/>
  <c r="E585" i="3"/>
  <c r="F584" i="3"/>
  <c r="A584" i="3" s="1"/>
  <c r="E584" i="3"/>
  <c r="F583" i="3"/>
  <c r="A583" i="3" s="1"/>
  <c r="E583" i="3"/>
  <c r="F582" i="3"/>
  <c r="A582" i="3" s="1"/>
  <c r="E582" i="3"/>
  <c r="F581" i="3"/>
  <c r="A581" i="3" s="1"/>
  <c r="E581" i="3"/>
  <c r="F580" i="3"/>
  <c r="A580" i="3" s="1"/>
  <c r="E580" i="3"/>
  <c r="F579" i="3"/>
  <c r="A579" i="3" s="1"/>
  <c r="E579" i="3"/>
  <c r="F578" i="3"/>
  <c r="A578" i="3" s="1"/>
  <c r="E578" i="3"/>
  <c r="F577" i="3"/>
  <c r="A577" i="3" s="1"/>
  <c r="E577" i="3"/>
  <c r="F576" i="3"/>
  <c r="A576" i="3" s="1"/>
  <c r="E576" i="3"/>
  <c r="F575" i="3"/>
  <c r="A575" i="3" s="1"/>
  <c r="E575" i="3"/>
  <c r="F574" i="3"/>
  <c r="A574" i="3" s="1"/>
  <c r="E574" i="3"/>
  <c r="F573" i="3"/>
  <c r="A573" i="3" s="1"/>
  <c r="E573" i="3"/>
  <c r="F572" i="3"/>
  <c r="A572" i="3" s="1"/>
  <c r="E572" i="3"/>
  <c r="F571" i="3"/>
  <c r="A571" i="3" s="1"/>
  <c r="E571" i="3"/>
  <c r="F570" i="3"/>
  <c r="A570" i="3" s="1"/>
  <c r="E570" i="3"/>
  <c r="F569" i="3"/>
  <c r="A569" i="3" s="1"/>
  <c r="E569" i="3"/>
  <c r="F568" i="3"/>
  <c r="A568" i="3" s="1"/>
  <c r="E568" i="3"/>
  <c r="F567" i="3"/>
  <c r="A567" i="3" s="1"/>
  <c r="E567" i="3"/>
  <c r="F566" i="3"/>
  <c r="A566" i="3" s="1"/>
  <c r="E566" i="3"/>
  <c r="F565" i="3"/>
  <c r="A565" i="3" s="1"/>
  <c r="E565" i="3"/>
  <c r="F564" i="3"/>
  <c r="A564" i="3" s="1"/>
  <c r="E564" i="3"/>
  <c r="F563" i="3"/>
  <c r="A563" i="3" s="1"/>
  <c r="E563" i="3"/>
  <c r="F562" i="3"/>
  <c r="A562" i="3" s="1"/>
  <c r="E562" i="3"/>
  <c r="F561" i="3"/>
  <c r="A561" i="3" s="1"/>
  <c r="E561" i="3"/>
  <c r="F560" i="3"/>
  <c r="A560" i="3" s="1"/>
  <c r="E560" i="3"/>
  <c r="F559" i="3"/>
  <c r="A559" i="3" s="1"/>
  <c r="E559" i="3"/>
  <c r="F558" i="3"/>
  <c r="A558" i="3" s="1"/>
  <c r="E558" i="3"/>
  <c r="F557" i="3"/>
  <c r="A557" i="3" s="1"/>
  <c r="E557" i="3"/>
  <c r="F556" i="3"/>
  <c r="A556" i="3" s="1"/>
  <c r="E556" i="3"/>
  <c r="F555" i="3"/>
  <c r="A555" i="3" s="1"/>
  <c r="E555" i="3"/>
  <c r="F554" i="3"/>
  <c r="A554" i="3" s="1"/>
  <c r="E554" i="3"/>
  <c r="F553" i="3"/>
  <c r="A553" i="3" s="1"/>
  <c r="E553" i="3"/>
  <c r="F552" i="3"/>
  <c r="A552" i="3" s="1"/>
  <c r="E552" i="3"/>
  <c r="F551" i="3"/>
  <c r="A551" i="3" s="1"/>
  <c r="E551" i="3"/>
  <c r="F550" i="3"/>
  <c r="A550" i="3" s="1"/>
  <c r="E550" i="3"/>
  <c r="F549" i="3"/>
  <c r="A549" i="3" s="1"/>
  <c r="E549" i="3"/>
  <c r="F548" i="3"/>
  <c r="A548" i="3" s="1"/>
  <c r="E548" i="3"/>
  <c r="F547" i="3"/>
  <c r="A547" i="3" s="1"/>
  <c r="E547" i="3"/>
  <c r="F546" i="3"/>
  <c r="A546" i="3" s="1"/>
  <c r="E546" i="3"/>
  <c r="F545" i="3"/>
  <c r="A545" i="3" s="1"/>
  <c r="E545" i="3"/>
  <c r="F544" i="3"/>
  <c r="A544" i="3" s="1"/>
  <c r="E544" i="3"/>
  <c r="F543" i="3"/>
  <c r="A543" i="3" s="1"/>
  <c r="E543" i="3"/>
  <c r="F542" i="3"/>
  <c r="A542" i="3" s="1"/>
  <c r="E542" i="3"/>
  <c r="F541" i="3"/>
  <c r="A541" i="3" s="1"/>
  <c r="E541" i="3"/>
  <c r="F540" i="3"/>
  <c r="A540" i="3" s="1"/>
  <c r="E540" i="3"/>
  <c r="F539" i="3"/>
  <c r="A539" i="3" s="1"/>
  <c r="E539" i="3"/>
  <c r="F538" i="3"/>
  <c r="A538" i="3" s="1"/>
  <c r="E538" i="3"/>
  <c r="F537" i="3"/>
  <c r="A537" i="3" s="1"/>
  <c r="E537" i="3"/>
  <c r="F536" i="3"/>
  <c r="A536" i="3" s="1"/>
  <c r="E536" i="3"/>
  <c r="F535" i="3"/>
  <c r="A535" i="3" s="1"/>
  <c r="E535" i="3"/>
  <c r="F534" i="3"/>
  <c r="A534" i="3" s="1"/>
  <c r="E534" i="3"/>
  <c r="F533" i="3"/>
  <c r="A533" i="3" s="1"/>
  <c r="E533" i="3"/>
  <c r="F532" i="3"/>
  <c r="A532" i="3" s="1"/>
  <c r="E532" i="3"/>
  <c r="F531" i="3"/>
  <c r="A531" i="3" s="1"/>
  <c r="E531" i="3"/>
  <c r="F530" i="3"/>
  <c r="A530" i="3" s="1"/>
  <c r="E530" i="3"/>
  <c r="F529" i="3"/>
  <c r="A529" i="3" s="1"/>
  <c r="E529" i="3"/>
  <c r="F528" i="3"/>
  <c r="A528" i="3" s="1"/>
  <c r="E528" i="3"/>
  <c r="F527" i="3"/>
  <c r="A527" i="3" s="1"/>
  <c r="E527" i="3"/>
  <c r="F526" i="3"/>
  <c r="A526" i="3" s="1"/>
  <c r="E526" i="3"/>
  <c r="F525" i="3"/>
  <c r="A525" i="3" s="1"/>
  <c r="E525" i="3"/>
  <c r="F524" i="3"/>
  <c r="A524" i="3" s="1"/>
  <c r="E524" i="3"/>
  <c r="F523" i="3"/>
  <c r="A523" i="3" s="1"/>
  <c r="E523" i="3"/>
  <c r="F522" i="3"/>
  <c r="A522" i="3" s="1"/>
  <c r="E522" i="3"/>
  <c r="F521" i="3"/>
  <c r="A521" i="3" s="1"/>
  <c r="E521" i="3"/>
  <c r="F520" i="3"/>
  <c r="A520" i="3" s="1"/>
  <c r="E520" i="3"/>
  <c r="F519" i="3"/>
  <c r="A519" i="3" s="1"/>
  <c r="E519" i="3"/>
  <c r="F518" i="3"/>
  <c r="A518" i="3" s="1"/>
  <c r="E518" i="3"/>
  <c r="F517" i="3"/>
  <c r="A517" i="3" s="1"/>
  <c r="E517" i="3"/>
  <c r="F516" i="3"/>
  <c r="A516" i="3" s="1"/>
  <c r="E516" i="3"/>
  <c r="F515" i="3"/>
  <c r="A515" i="3" s="1"/>
  <c r="E515" i="3"/>
  <c r="F514" i="3"/>
  <c r="A514" i="3" s="1"/>
  <c r="E514" i="3"/>
  <c r="F513" i="3"/>
  <c r="A513" i="3" s="1"/>
  <c r="E513" i="3"/>
  <c r="F512" i="3"/>
  <c r="A512" i="3" s="1"/>
  <c r="E512" i="3"/>
  <c r="F511" i="3"/>
  <c r="A511" i="3" s="1"/>
  <c r="E511" i="3"/>
  <c r="F510" i="3"/>
  <c r="A510" i="3" s="1"/>
  <c r="E510" i="3"/>
  <c r="F509" i="3"/>
  <c r="A509" i="3" s="1"/>
  <c r="E509" i="3"/>
  <c r="F508" i="3"/>
  <c r="A508" i="3" s="1"/>
  <c r="E508" i="3"/>
  <c r="F507" i="3"/>
  <c r="A507" i="3" s="1"/>
  <c r="E507" i="3"/>
  <c r="F506" i="3"/>
  <c r="A506" i="3" s="1"/>
  <c r="E506" i="3"/>
  <c r="F505" i="3"/>
  <c r="A505" i="3" s="1"/>
  <c r="E505" i="3"/>
  <c r="F504" i="3"/>
  <c r="A504" i="3" s="1"/>
  <c r="E504" i="3"/>
  <c r="F503" i="3"/>
  <c r="A503" i="3" s="1"/>
  <c r="E503" i="3"/>
  <c r="F502" i="3"/>
  <c r="A502" i="3" s="1"/>
  <c r="E502" i="3"/>
  <c r="F501" i="3"/>
  <c r="A501" i="3" s="1"/>
  <c r="E501" i="3"/>
  <c r="F500" i="3"/>
  <c r="A500" i="3" s="1"/>
  <c r="E500" i="3"/>
  <c r="F499" i="3"/>
  <c r="A499" i="3" s="1"/>
  <c r="E499" i="3"/>
  <c r="F498" i="3"/>
  <c r="A498" i="3" s="1"/>
  <c r="E498" i="3"/>
  <c r="F497" i="3"/>
  <c r="A497" i="3" s="1"/>
  <c r="E497" i="3"/>
  <c r="F496" i="3"/>
  <c r="A496" i="3" s="1"/>
  <c r="E496" i="3"/>
  <c r="F495" i="3"/>
  <c r="A495" i="3" s="1"/>
  <c r="E495" i="3"/>
  <c r="F494" i="3"/>
  <c r="A494" i="3" s="1"/>
  <c r="E494" i="3"/>
  <c r="F493" i="3"/>
  <c r="A493" i="3" s="1"/>
  <c r="E493" i="3"/>
  <c r="F492" i="3"/>
  <c r="A492" i="3" s="1"/>
  <c r="E492" i="3"/>
  <c r="F491" i="3"/>
  <c r="A491" i="3" s="1"/>
  <c r="E491" i="3"/>
  <c r="F490" i="3"/>
  <c r="A490" i="3" s="1"/>
  <c r="E490" i="3"/>
  <c r="F489" i="3"/>
  <c r="A489" i="3" s="1"/>
  <c r="E489" i="3"/>
  <c r="F488" i="3"/>
  <c r="A488" i="3" s="1"/>
  <c r="E488" i="3"/>
  <c r="F487" i="3"/>
  <c r="A487" i="3" s="1"/>
  <c r="E487" i="3"/>
  <c r="F486" i="3"/>
  <c r="A486" i="3" s="1"/>
  <c r="E486" i="3"/>
  <c r="F485" i="3"/>
  <c r="A485" i="3" s="1"/>
  <c r="E485" i="3"/>
  <c r="F484" i="3"/>
  <c r="A484" i="3" s="1"/>
  <c r="E484" i="3"/>
  <c r="F483" i="3"/>
  <c r="A483" i="3" s="1"/>
  <c r="E483" i="3"/>
  <c r="F482" i="3"/>
  <c r="A482" i="3" s="1"/>
  <c r="E482" i="3"/>
  <c r="F481" i="3"/>
  <c r="A481" i="3" s="1"/>
  <c r="E481" i="3"/>
  <c r="F480" i="3"/>
  <c r="A480" i="3" s="1"/>
  <c r="E480" i="3"/>
  <c r="F479" i="3"/>
  <c r="A479" i="3" s="1"/>
  <c r="E479" i="3"/>
  <c r="F478" i="3"/>
  <c r="A478" i="3" s="1"/>
  <c r="E478" i="3"/>
  <c r="F477" i="3"/>
  <c r="A477" i="3" s="1"/>
  <c r="E477" i="3"/>
  <c r="F476" i="3"/>
  <c r="A476" i="3" s="1"/>
  <c r="E476" i="3"/>
  <c r="F475" i="3"/>
  <c r="A475" i="3" s="1"/>
  <c r="E475" i="3"/>
  <c r="F474" i="3"/>
  <c r="A474" i="3" s="1"/>
  <c r="E474" i="3"/>
  <c r="F473" i="3"/>
  <c r="A473" i="3" s="1"/>
  <c r="E473" i="3"/>
  <c r="F472" i="3"/>
  <c r="A472" i="3" s="1"/>
  <c r="E472" i="3"/>
  <c r="F471" i="3"/>
  <c r="A471" i="3" s="1"/>
  <c r="E471" i="3"/>
  <c r="F470" i="3"/>
  <c r="A470" i="3" s="1"/>
  <c r="E470" i="3"/>
  <c r="F469" i="3"/>
  <c r="A469" i="3" s="1"/>
  <c r="E469" i="3"/>
  <c r="F468" i="3"/>
  <c r="A468" i="3" s="1"/>
  <c r="E468" i="3"/>
  <c r="F467" i="3"/>
  <c r="A467" i="3" s="1"/>
  <c r="E467" i="3"/>
  <c r="F466" i="3"/>
  <c r="A466" i="3" s="1"/>
  <c r="E466" i="3"/>
  <c r="F465" i="3"/>
  <c r="A465" i="3" s="1"/>
  <c r="E465" i="3"/>
  <c r="F464" i="3"/>
  <c r="A464" i="3" s="1"/>
  <c r="E464" i="3"/>
  <c r="F463" i="3"/>
  <c r="A463" i="3" s="1"/>
  <c r="E463" i="3"/>
  <c r="F462" i="3"/>
  <c r="A462" i="3" s="1"/>
  <c r="E462" i="3"/>
  <c r="F461" i="3"/>
  <c r="A461" i="3" s="1"/>
  <c r="E461" i="3"/>
  <c r="F460" i="3"/>
  <c r="A460" i="3" s="1"/>
  <c r="E460" i="3"/>
  <c r="F459" i="3"/>
  <c r="A459" i="3" s="1"/>
  <c r="E459" i="3"/>
  <c r="F458" i="3"/>
  <c r="A458" i="3" s="1"/>
  <c r="E458" i="3"/>
  <c r="F457" i="3"/>
  <c r="A457" i="3" s="1"/>
  <c r="E457" i="3"/>
  <c r="F456" i="3"/>
  <c r="A456" i="3" s="1"/>
  <c r="E456" i="3"/>
  <c r="F455" i="3"/>
  <c r="A455" i="3" s="1"/>
  <c r="E455" i="3"/>
  <c r="F454" i="3"/>
  <c r="A454" i="3" s="1"/>
  <c r="E454" i="3"/>
  <c r="F453" i="3"/>
  <c r="A453" i="3" s="1"/>
  <c r="E453" i="3"/>
  <c r="F452" i="3"/>
  <c r="A452" i="3" s="1"/>
  <c r="E452" i="3"/>
  <c r="F451" i="3"/>
  <c r="A451" i="3" s="1"/>
  <c r="E451" i="3"/>
  <c r="F450" i="3"/>
  <c r="A450" i="3" s="1"/>
  <c r="E450" i="3"/>
  <c r="F449" i="3"/>
  <c r="A449" i="3" s="1"/>
  <c r="E449" i="3"/>
  <c r="F448" i="3"/>
  <c r="A448" i="3" s="1"/>
  <c r="E448" i="3"/>
  <c r="F447" i="3"/>
  <c r="A447" i="3" s="1"/>
  <c r="E447" i="3"/>
  <c r="F446" i="3"/>
  <c r="A446" i="3" s="1"/>
  <c r="E446" i="3"/>
  <c r="F445" i="3"/>
  <c r="A445" i="3" s="1"/>
  <c r="E445" i="3"/>
  <c r="F444" i="3"/>
  <c r="A444" i="3" s="1"/>
  <c r="E444" i="3"/>
  <c r="F443" i="3"/>
  <c r="A443" i="3" s="1"/>
  <c r="E443" i="3"/>
  <c r="F442" i="3"/>
  <c r="A442" i="3" s="1"/>
  <c r="E442" i="3"/>
  <c r="F441" i="3"/>
  <c r="A441" i="3" s="1"/>
  <c r="E441" i="3"/>
  <c r="F440" i="3"/>
  <c r="A440" i="3" s="1"/>
  <c r="E440" i="3"/>
  <c r="F439" i="3"/>
  <c r="A439" i="3" s="1"/>
  <c r="E439" i="3"/>
  <c r="F438" i="3"/>
  <c r="A438" i="3" s="1"/>
  <c r="E438" i="3"/>
  <c r="F437" i="3"/>
  <c r="A437" i="3" s="1"/>
  <c r="E437" i="3"/>
  <c r="F436" i="3"/>
  <c r="A436" i="3" s="1"/>
  <c r="E436" i="3"/>
  <c r="F435" i="3"/>
  <c r="A435" i="3" s="1"/>
  <c r="E435" i="3"/>
  <c r="F434" i="3"/>
  <c r="A434" i="3" s="1"/>
  <c r="E434" i="3"/>
  <c r="F433" i="3"/>
  <c r="A433" i="3" s="1"/>
  <c r="E433" i="3"/>
  <c r="F432" i="3"/>
  <c r="A432" i="3" s="1"/>
  <c r="E432" i="3"/>
  <c r="F431" i="3"/>
  <c r="A431" i="3" s="1"/>
  <c r="E431" i="3"/>
  <c r="F430" i="3"/>
  <c r="A430" i="3" s="1"/>
  <c r="E430" i="3"/>
  <c r="F429" i="3"/>
  <c r="A429" i="3" s="1"/>
  <c r="E429" i="3"/>
  <c r="F428" i="3"/>
  <c r="A428" i="3" s="1"/>
  <c r="E428" i="3"/>
  <c r="F427" i="3"/>
  <c r="A427" i="3" s="1"/>
  <c r="E427" i="3"/>
  <c r="F426" i="3"/>
  <c r="A426" i="3" s="1"/>
  <c r="E426" i="3"/>
  <c r="F425" i="3"/>
  <c r="A425" i="3" s="1"/>
  <c r="E425" i="3"/>
  <c r="F424" i="3"/>
  <c r="A424" i="3" s="1"/>
  <c r="E424" i="3"/>
  <c r="F423" i="3"/>
  <c r="A423" i="3" s="1"/>
  <c r="E423" i="3"/>
  <c r="F422" i="3"/>
  <c r="A422" i="3" s="1"/>
  <c r="E422" i="3"/>
  <c r="F421" i="3"/>
  <c r="A421" i="3" s="1"/>
  <c r="E421" i="3"/>
  <c r="F420" i="3"/>
  <c r="A420" i="3" s="1"/>
  <c r="E420" i="3"/>
  <c r="F419" i="3"/>
  <c r="A419" i="3" s="1"/>
  <c r="E419" i="3"/>
  <c r="F418" i="3"/>
  <c r="A418" i="3" s="1"/>
  <c r="E418" i="3"/>
  <c r="F417" i="3"/>
  <c r="A417" i="3" s="1"/>
  <c r="E417" i="3"/>
  <c r="F416" i="3"/>
  <c r="A416" i="3" s="1"/>
  <c r="E416" i="3"/>
  <c r="F415" i="3"/>
  <c r="A415" i="3" s="1"/>
  <c r="E415" i="3"/>
  <c r="F414" i="3"/>
  <c r="A414" i="3" s="1"/>
  <c r="E414" i="3"/>
  <c r="F413" i="3"/>
  <c r="A413" i="3" s="1"/>
  <c r="E413" i="3"/>
  <c r="F412" i="3"/>
  <c r="A412" i="3" s="1"/>
  <c r="E412" i="3"/>
  <c r="F411" i="3"/>
  <c r="A411" i="3" s="1"/>
  <c r="E411" i="3"/>
  <c r="F410" i="3"/>
  <c r="A410" i="3" s="1"/>
  <c r="E410" i="3"/>
  <c r="F409" i="3"/>
  <c r="A409" i="3" s="1"/>
  <c r="E409" i="3"/>
  <c r="F408" i="3"/>
  <c r="A408" i="3" s="1"/>
  <c r="E408" i="3"/>
  <c r="F407" i="3"/>
  <c r="A407" i="3" s="1"/>
  <c r="E407" i="3"/>
  <c r="F406" i="3"/>
  <c r="A406" i="3" s="1"/>
  <c r="E406" i="3"/>
  <c r="F405" i="3"/>
  <c r="A405" i="3" s="1"/>
  <c r="E405" i="3"/>
  <c r="F404" i="3"/>
  <c r="A404" i="3" s="1"/>
  <c r="E404" i="3"/>
  <c r="F403" i="3"/>
  <c r="A403" i="3" s="1"/>
  <c r="E403" i="3"/>
  <c r="F402" i="3"/>
  <c r="A402" i="3" s="1"/>
  <c r="E402" i="3"/>
  <c r="F401" i="3"/>
  <c r="A401" i="3" s="1"/>
  <c r="E401" i="3"/>
  <c r="F400" i="3"/>
  <c r="A400" i="3" s="1"/>
  <c r="E400" i="3"/>
  <c r="F399" i="3"/>
  <c r="A399" i="3" s="1"/>
  <c r="E399" i="3"/>
  <c r="F398" i="3"/>
  <c r="A398" i="3" s="1"/>
  <c r="E398" i="3"/>
  <c r="F397" i="3"/>
  <c r="A397" i="3" s="1"/>
  <c r="E397" i="3"/>
  <c r="F396" i="3"/>
  <c r="A396" i="3" s="1"/>
  <c r="E396" i="3"/>
  <c r="F395" i="3"/>
  <c r="A395" i="3" s="1"/>
  <c r="E395" i="3"/>
  <c r="F394" i="3"/>
  <c r="A394" i="3" s="1"/>
  <c r="E394" i="3"/>
  <c r="F393" i="3"/>
  <c r="A393" i="3" s="1"/>
  <c r="E393" i="3"/>
  <c r="F392" i="3"/>
  <c r="A392" i="3" s="1"/>
  <c r="E392" i="3"/>
  <c r="F391" i="3"/>
  <c r="A391" i="3" s="1"/>
  <c r="E391" i="3"/>
  <c r="F390" i="3"/>
  <c r="A390" i="3" s="1"/>
  <c r="E390" i="3"/>
  <c r="F389" i="3"/>
  <c r="A389" i="3" s="1"/>
  <c r="E389" i="3"/>
  <c r="F388" i="3"/>
  <c r="A388" i="3" s="1"/>
  <c r="E388" i="3"/>
  <c r="F387" i="3"/>
  <c r="A387" i="3" s="1"/>
  <c r="E387" i="3"/>
  <c r="F386" i="3"/>
  <c r="A386" i="3" s="1"/>
  <c r="E386" i="3"/>
  <c r="F385" i="3"/>
  <c r="A385" i="3" s="1"/>
  <c r="E385" i="3"/>
  <c r="F384" i="3"/>
  <c r="A384" i="3" s="1"/>
  <c r="E384" i="3"/>
  <c r="F383" i="3"/>
  <c r="A383" i="3" s="1"/>
  <c r="E383" i="3"/>
  <c r="F382" i="3"/>
  <c r="A382" i="3" s="1"/>
  <c r="E382" i="3"/>
  <c r="F381" i="3"/>
  <c r="A381" i="3" s="1"/>
  <c r="E381" i="3"/>
  <c r="F380" i="3"/>
  <c r="A380" i="3" s="1"/>
  <c r="E380" i="3"/>
  <c r="F379" i="3"/>
  <c r="A379" i="3" s="1"/>
  <c r="E379" i="3"/>
  <c r="F378" i="3"/>
  <c r="A378" i="3" s="1"/>
  <c r="E378" i="3"/>
  <c r="F377" i="3"/>
  <c r="A377" i="3" s="1"/>
  <c r="E377" i="3"/>
  <c r="F376" i="3"/>
  <c r="A376" i="3" s="1"/>
  <c r="E376" i="3"/>
  <c r="F375" i="3"/>
  <c r="A375" i="3" s="1"/>
  <c r="E375" i="3"/>
  <c r="F374" i="3"/>
  <c r="A374" i="3" s="1"/>
  <c r="E374" i="3"/>
  <c r="F373" i="3"/>
  <c r="A373" i="3" s="1"/>
  <c r="E373" i="3"/>
  <c r="F372" i="3"/>
  <c r="A372" i="3" s="1"/>
  <c r="E372" i="3"/>
  <c r="F371" i="3"/>
  <c r="A371" i="3" s="1"/>
  <c r="E371" i="3"/>
  <c r="F370" i="3"/>
  <c r="A370" i="3" s="1"/>
  <c r="E370" i="3"/>
  <c r="F369" i="3"/>
  <c r="A369" i="3" s="1"/>
  <c r="E369" i="3"/>
  <c r="F368" i="3"/>
  <c r="A368" i="3" s="1"/>
  <c r="E368" i="3"/>
  <c r="F367" i="3"/>
  <c r="A367" i="3" s="1"/>
  <c r="E367" i="3"/>
  <c r="F366" i="3"/>
  <c r="A366" i="3" s="1"/>
  <c r="E366" i="3"/>
  <c r="F365" i="3"/>
  <c r="A365" i="3" s="1"/>
  <c r="E365" i="3"/>
  <c r="F364" i="3"/>
  <c r="A364" i="3" s="1"/>
  <c r="E364" i="3"/>
  <c r="F363" i="3"/>
  <c r="A363" i="3" s="1"/>
  <c r="E363" i="3"/>
  <c r="F362" i="3"/>
  <c r="A362" i="3" s="1"/>
  <c r="E362" i="3"/>
  <c r="F361" i="3"/>
  <c r="A361" i="3" s="1"/>
  <c r="E361" i="3"/>
  <c r="F360" i="3"/>
  <c r="A360" i="3" s="1"/>
  <c r="E360" i="3"/>
  <c r="F359" i="3"/>
  <c r="A359" i="3" s="1"/>
  <c r="E359" i="3"/>
  <c r="F358" i="3"/>
  <c r="A358" i="3" s="1"/>
  <c r="E358" i="3"/>
  <c r="F357" i="3"/>
  <c r="A357" i="3" s="1"/>
  <c r="E357" i="3"/>
  <c r="F356" i="3"/>
  <c r="A356" i="3" s="1"/>
  <c r="E356" i="3"/>
  <c r="F355" i="3"/>
  <c r="A355" i="3" s="1"/>
  <c r="E355" i="3"/>
  <c r="F354" i="3"/>
  <c r="A354" i="3" s="1"/>
  <c r="E354" i="3"/>
  <c r="F353" i="3"/>
  <c r="A353" i="3" s="1"/>
  <c r="E353" i="3"/>
  <c r="F352" i="3"/>
  <c r="A352" i="3" s="1"/>
  <c r="E352" i="3"/>
  <c r="F351" i="3"/>
  <c r="A351" i="3" s="1"/>
  <c r="E351" i="3"/>
  <c r="F350" i="3"/>
  <c r="A350" i="3" s="1"/>
  <c r="E350" i="3"/>
  <c r="F349" i="3"/>
  <c r="A349" i="3" s="1"/>
  <c r="E349" i="3"/>
  <c r="F348" i="3"/>
  <c r="A348" i="3" s="1"/>
  <c r="E348" i="3"/>
  <c r="F347" i="3"/>
  <c r="A347" i="3" s="1"/>
  <c r="E347" i="3"/>
  <c r="F346" i="3"/>
  <c r="A346" i="3" s="1"/>
  <c r="E346" i="3"/>
  <c r="F345" i="3"/>
  <c r="A345" i="3" s="1"/>
  <c r="E345" i="3"/>
  <c r="F344" i="3"/>
  <c r="A344" i="3" s="1"/>
  <c r="E344" i="3"/>
  <c r="F343" i="3"/>
  <c r="A343" i="3" s="1"/>
  <c r="E343" i="3"/>
  <c r="F342" i="3"/>
  <c r="A342" i="3" s="1"/>
  <c r="E342" i="3"/>
  <c r="F341" i="3"/>
  <c r="A341" i="3" s="1"/>
  <c r="E341" i="3"/>
  <c r="F340" i="3"/>
  <c r="A340" i="3" s="1"/>
  <c r="E340" i="3"/>
  <c r="F339" i="3"/>
  <c r="A339" i="3" s="1"/>
  <c r="E339" i="3"/>
  <c r="F338" i="3"/>
  <c r="A338" i="3" s="1"/>
  <c r="E338" i="3"/>
  <c r="F337" i="3"/>
  <c r="A337" i="3" s="1"/>
  <c r="E337" i="3"/>
  <c r="F336" i="3"/>
  <c r="A336" i="3" s="1"/>
  <c r="E336" i="3"/>
  <c r="F335" i="3"/>
  <c r="A335" i="3" s="1"/>
  <c r="E335" i="3"/>
  <c r="F334" i="3"/>
  <c r="A334" i="3" s="1"/>
  <c r="E334" i="3"/>
  <c r="F333" i="3"/>
  <c r="A333" i="3" s="1"/>
  <c r="E333" i="3"/>
  <c r="F332" i="3"/>
  <c r="A332" i="3" s="1"/>
  <c r="E332" i="3"/>
  <c r="F331" i="3"/>
  <c r="A331" i="3" s="1"/>
  <c r="E331" i="3"/>
  <c r="F330" i="3"/>
  <c r="A330" i="3" s="1"/>
  <c r="E330" i="3"/>
  <c r="F329" i="3"/>
  <c r="A329" i="3" s="1"/>
  <c r="E329" i="3"/>
  <c r="F328" i="3"/>
  <c r="A328" i="3" s="1"/>
  <c r="E328" i="3"/>
  <c r="F327" i="3"/>
  <c r="A327" i="3" s="1"/>
  <c r="E327" i="3"/>
  <c r="F326" i="3"/>
  <c r="A326" i="3" s="1"/>
  <c r="E326" i="3"/>
  <c r="F325" i="3"/>
  <c r="A325" i="3" s="1"/>
  <c r="E325" i="3"/>
  <c r="F324" i="3"/>
  <c r="A324" i="3" s="1"/>
  <c r="E324" i="3"/>
  <c r="F323" i="3"/>
  <c r="A323" i="3" s="1"/>
  <c r="E323" i="3"/>
  <c r="F322" i="3"/>
  <c r="A322" i="3" s="1"/>
  <c r="E322" i="3"/>
  <c r="F321" i="3"/>
  <c r="A321" i="3" s="1"/>
  <c r="E321" i="3"/>
  <c r="F320" i="3"/>
  <c r="A320" i="3" s="1"/>
  <c r="E320" i="3"/>
  <c r="F319" i="3"/>
  <c r="A319" i="3" s="1"/>
  <c r="E319" i="3"/>
  <c r="F318" i="3"/>
  <c r="A318" i="3" s="1"/>
  <c r="E318" i="3"/>
  <c r="F317" i="3"/>
  <c r="A317" i="3" s="1"/>
  <c r="E317" i="3"/>
  <c r="F316" i="3"/>
  <c r="A316" i="3" s="1"/>
  <c r="E316" i="3"/>
  <c r="F315" i="3"/>
  <c r="A315" i="3" s="1"/>
  <c r="E315" i="3"/>
  <c r="F314" i="3"/>
  <c r="A314" i="3" s="1"/>
  <c r="E314" i="3"/>
  <c r="F313" i="3"/>
  <c r="A313" i="3" s="1"/>
  <c r="E313" i="3"/>
  <c r="F312" i="3"/>
  <c r="A312" i="3" s="1"/>
  <c r="E312" i="3"/>
  <c r="F311" i="3"/>
  <c r="A311" i="3" s="1"/>
  <c r="E311" i="3"/>
  <c r="F310" i="3"/>
  <c r="A310" i="3" s="1"/>
  <c r="E310" i="3"/>
  <c r="F309" i="3"/>
  <c r="A309" i="3" s="1"/>
  <c r="E309" i="3"/>
  <c r="F308" i="3"/>
  <c r="A308" i="3" s="1"/>
  <c r="E308" i="3"/>
  <c r="F307" i="3"/>
  <c r="A307" i="3" s="1"/>
  <c r="E307" i="3"/>
  <c r="F306" i="3"/>
  <c r="A306" i="3" s="1"/>
  <c r="E306" i="3"/>
  <c r="F305" i="3"/>
  <c r="A305" i="3" s="1"/>
  <c r="E305" i="3"/>
  <c r="F304" i="3"/>
  <c r="A304" i="3" s="1"/>
  <c r="E304" i="3"/>
  <c r="F303" i="3"/>
  <c r="A303" i="3" s="1"/>
  <c r="E303" i="3"/>
  <c r="F302" i="3"/>
  <c r="A302" i="3" s="1"/>
  <c r="E302" i="3"/>
  <c r="F301" i="3"/>
  <c r="A301" i="3" s="1"/>
  <c r="E301" i="3"/>
  <c r="F300" i="3"/>
  <c r="A300" i="3" s="1"/>
  <c r="E300" i="3"/>
  <c r="F299" i="3"/>
  <c r="A299" i="3" s="1"/>
  <c r="E299" i="3"/>
  <c r="F298" i="3"/>
  <c r="A298" i="3" s="1"/>
  <c r="E298" i="3"/>
  <c r="F297" i="3"/>
  <c r="A297" i="3" s="1"/>
  <c r="E297" i="3"/>
  <c r="F296" i="3"/>
  <c r="A296" i="3" s="1"/>
  <c r="E296" i="3"/>
  <c r="F295" i="3"/>
  <c r="A295" i="3" s="1"/>
  <c r="E295" i="3"/>
  <c r="F294" i="3"/>
  <c r="A294" i="3" s="1"/>
  <c r="E294" i="3"/>
  <c r="F293" i="3"/>
  <c r="A293" i="3" s="1"/>
  <c r="E293" i="3"/>
  <c r="F292" i="3"/>
  <c r="A292" i="3" s="1"/>
  <c r="E292" i="3"/>
  <c r="F291" i="3"/>
  <c r="A291" i="3" s="1"/>
  <c r="E291" i="3"/>
  <c r="F290" i="3"/>
  <c r="A290" i="3" s="1"/>
  <c r="E290" i="3"/>
  <c r="F289" i="3"/>
  <c r="A289" i="3" s="1"/>
  <c r="E289" i="3"/>
  <c r="F288" i="3"/>
  <c r="A288" i="3" s="1"/>
  <c r="E288" i="3"/>
  <c r="F287" i="3"/>
  <c r="A287" i="3" s="1"/>
  <c r="E287" i="3"/>
  <c r="F286" i="3"/>
  <c r="A286" i="3" s="1"/>
  <c r="E286" i="3"/>
  <c r="F285" i="3"/>
  <c r="A285" i="3" s="1"/>
  <c r="E285" i="3"/>
  <c r="F284" i="3"/>
  <c r="A284" i="3" s="1"/>
  <c r="E284" i="3"/>
  <c r="F283" i="3"/>
  <c r="A283" i="3" s="1"/>
  <c r="E283" i="3"/>
  <c r="F282" i="3"/>
  <c r="A282" i="3" s="1"/>
  <c r="E282" i="3"/>
  <c r="F281" i="3"/>
  <c r="A281" i="3" s="1"/>
  <c r="E281" i="3"/>
  <c r="F280" i="3"/>
  <c r="A280" i="3" s="1"/>
  <c r="E280" i="3"/>
  <c r="F279" i="3"/>
  <c r="A279" i="3" s="1"/>
  <c r="E279" i="3"/>
  <c r="F278" i="3"/>
  <c r="A278" i="3" s="1"/>
  <c r="E278" i="3"/>
  <c r="F277" i="3"/>
  <c r="A277" i="3" s="1"/>
  <c r="E277" i="3"/>
  <c r="F276" i="3"/>
  <c r="A276" i="3" s="1"/>
  <c r="E276" i="3"/>
  <c r="F275" i="3"/>
  <c r="A275" i="3" s="1"/>
  <c r="E275" i="3"/>
  <c r="F274" i="3"/>
  <c r="A274" i="3" s="1"/>
  <c r="E274" i="3"/>
  <c r="F273" i="3"/>
  <c r="A273" i="3" s="1"/>
  <c r="E273" i="3"/>
  <c r="F272" i="3"/>
  <c r="A272" i="3" s="1"/>
  <c r="E272" i="3"/>
  <c r="F271" i="3"/>
  <c r="A271" i="3" s="1"/>
  <c r="E271" i="3"/>
  <c r="F270" i="3"/>
  <c r="A270" i="3" s="1"/>
  <c r="E270" i="3"/>
  <c r="F269" i="3"/>
  <c r="A269" i="3" s="1"/>
  <c r="E269" i="3"/>
  <c r="F268" i="3"/>
  <c r="A268" i="3" s="1"/>
  <c r="E268" i="3"/>
  <c r="F267" i="3"/>
  <c r="A267" i="3" s="1"/>
  <c r="E267" i="3"/>
  <c r="F266" i="3"/>
  <c r="A266" i="3" s="1"/>
  <c r="E266" i="3"/>
  <c r="F265" i="3"/>
  <c r="A265" i="3" s="1"/>
  <c r="E265" i="3"/>
  <c r="F264" i="3"/>
  <c r="A264" i="3" s="1"/>
  <c r="E264" i="3"/>
  <c r="F263" i="3"/>
  <c r="A263" i="3" s="1"/>
  <c r="E263" i="3"/>
  <c r="F262" i="3"/>
  <c r="A262" i="3" s="1"/>
  <c r="E262" i="3"/>
  <c r="F261" i="3"/>
  <c r="A261" i="3" s="1"/>
  <c r="E261" i="3"/>
  <c r="F260" i="3"/>
  <c r="A260" i="3" s="1"/>
  <c r="E260" i="3"/>
  <c r="F259" i="3"/>
  <c r="A259" i="3" s="1"/>
  <c r="E259" i="3"/>
  <c r="F258" i="3"/>
  <c r="A258" i="3" s="1"/>
  <c r="E258" i="3"/>
  <c r="F257" i="3"/>
  <c r="A257" i="3" s="1"/>
  <c r="E257" i="3"/>
  <c r="F256" i="3"/>
  <c r="A256" i="3" s="1"/>
  <c r="E256" i="3"/>
  <c r="F255" i="3"/>
  <c r="A255" i="3" s="1"/>
  <c r="E255" i="3"/>
  <c r="F254" i="3"/>
  <c r="A254" i="3" s="1"/>
  <c r="E254" i="3"/>
  <c r="F253" i="3"/>
  <c r="A253" i="3" s="1"/>
  <c r="E253" i="3"/>
  <c r="F252" i="3"/>
  <c r="A252" i="3" s="1"/>
  <c r="E252" i="3"/>
  <c r="F251" i="3"/>
  <c r="A251" i="3" s="1"/>
  <c r="E251" i="3"/>
  <c r="F250" i="3"/>
  <c r="A250" i="3" s="1"/>
  <c r="E250" i="3"/>
  <c r="F249" i="3"/>
  <c r="A249" i="3" s="1"/>
  <c r="E249" i="3"/>
  <c r="F248" i="3"/>
  <c r="A248" i="3" s="1"/>
  <c r="E248" i="3"/>
  <c r="F247" i="3"/>
  <c r="A247" i="3" s="1"/>
  <c r="E247" i="3"/>
  <c r="F246" i="3"/>
  <c r="A246" i="3" s="1"/>
  <c r="E246" i="3"/>
  <c r="F245" i="3"/>
  <c r="A245" i="3" s="1"/>
  <c r="E245" i="3"/>
  <c r="F244" i="3"/>
  <c r="A244" i="3" s="1"/>
  <c r="E244" i="3"/>
  <c r="F243" i="3"/>
  <c r="A243" i="3" s="1"/>
  <c r="E243" i="3"/>
  <c r="F242" i="3"/>
  <c r="A242" i="3" s="1"/>
  <c r="E242" i="3"/>
  <c r="F241" i="3"/>
  <c r="A241" i="3" s="1"/>
  <c r="E241" i="3"/>
  <c r="F240" i="3"/>
  <c r="A240" i="3" s="1"/>
  <c r="E240" i="3"/>
  <c r="F239" i="3"/>
  <c r="A239" i="3" s="1"/>
  <c r="E239" i="3"/>
  <c r="F238" i="3"/>
  <c r="A238" i="3" s="1"/>
  <c r="E238" i="3"/>
  <c r="F237" i="3"/>
  <c r="A237" i="3" s="1"/>
  <c r="E237" i="3"/>
  <c r="F236" i="3"/>
  <c r="A236" i="3" s="1"/>
  <c r="E236" i="3"/>
  <c r="F235" i="3"/>
  <c r="A235" i="3" s="1"/>
  <c r="E235" i="3"/>
  <c r="F234" i="3"/>
  <c r="A234" i="3" s="1"/>
  <c r="E234" i="3"/>
  <c r="F233" i="3"/>
  <c r="A233" i="3" s="1"/>
  <c r="E233" i="3"/>
  <c r="F232" i="3"/>
  <c r="A232" i="3" s="1"/>
  <c r="E232" i="3"/>
  <c r="F231" i="3"/>
  <c r="A231" i="3" s="1"/>
  <c r="E231" i="3"/>
  <c r="F230" i="3"/>
  <c r="A230" i="3" s="1"/>
  <c r="E230" i="3"/>
  <c r="F229" i="3"/>
  <c r="A229" i="3" s="1"/>
  <c r="E229" i="3"/>
  <c r="F228" i="3"/>
  <c r="A228" i="3" s="1"/>
  <c r="E228" i="3"/>
  <c r="F227" i="3"/>
  <c r="A227" i="3" s="1"/>
  <c r="E227" i="3"/>
  <c r="F226" i="3"/>
  <c r="A226" i="3" s="1"/>
  <c r="E226" i="3"/>
  <c r="F225" i="3"/>
  <c r="A225" i="3" s="1"/>
  <c r="E225" i="3"/>
  <c r="F224" i="3"/>
  <c r="A224" i="3" s="1"/>
  <c r="E224" i="3"/>
  <c r="F223" i="3"/>
  <c r="A223" i="3" s="1"/>
  <c r="E223" i="3"/>
  <c r="F222" i="3"/>
  <c r="A222" i="3" s="1"/>
  <c r="E222" i="3"/>
  <c r="F221" i="3"/>
  <c r="A221" i="3" s="1"/>
  <c r="E221" i="3"/>
  <c r="F220" i="3"/>
  <c r="A220" i="3" s="1"/>
  <c r="E220" i="3"/>
  <c r="F219" i="3"/>
  <c r="A219" i="3" s="1"/>
  <c r="E219" i="3"/>
  <c r="F218" i="3"/>
  <c r="A218" i="3" s="1"/>
  <c r="E218" i="3"/>
  <c r="F217" i="3"/>
  <c r="A217" i="3" s="1"/>
  <c r="E217" i="3"/>
  <c r="F216" i="3"/>
  <c r="A216" i="3" s="1"/>
  <c r="E216" i="3"/>
  <c r="F215" i="3"/>
  <c r="A215" i="3" s="1"/>
  <c r="E215" i="3"/>
  <c r="F214" i="3"/>
  <c r="A214" i="3" s="1"/>
  <c r="E214" i="3"/>
  <c r="F213" i="3"/>
  <c r="A213" i="3" s="1"/>
  <c r="E213" i="3"/>
  <c r="F212" i="3"/>
  <c r="A212" i="3" s="1"/>
  <c r="E212" i="3"/>
  <c r="F211" i="3"/>
  <c r="A211" i="3" s="1"/>
  <c r="E211" i="3"/>
  <c r="F210" i="3"/>
  <c r="A210" i="3" s="1"/>
  <c r="E210" i="3"/>
  <c r="F209" i="3"/>
  <c r="A209" i="3" s="1"/>
  <c r="E209" i="3"/>
  <c r="F208" i="3"/>
  <c r="A208" i="3" s="1"/>
  <c r="E208" i="3"/>
  <c r="F207" i="3"/>
  <c r="A207" i="3" s="1"/>
  <c r="E207" i="3"/>
  <c r="F206" i="3"/>
  <c r="A206" i="3" s="1"/>
  <c r="E206" i="3"/>
  <c r="F205" i="3"/>
  <c r="A205" i="3" s="1"/>
  <c r="E205" i="3"/>
  <c r="F204" i="3"/>
  <c r="A204" i="3" s="1"/>
  <c r="E204" i="3"/>
  <c r="F203" i="3"/>
  <c r="A203" i="3" s="1"/>
  <c r="E203" i="3"/>
  <c r="F202" i="3"/>
  <c r="A202" i="3" s="1"/>
  <c r="E202" i="3"/>
  <c r="F201" i="3"/>
  <c r="A201" i="3" s="1"/>
  <c r="E201" i="3"/>
  <c r="F200" i="3"/>
  <c r="A200" i="3" s="1"/>
  <c r="E200" i="3"/>
  <c r="F199" i="3"/>
  <c r="A199" i="3" s="1"/>
  <c r="E199" i="3"/>
  <c r="F198" i="3"/>
  <c r="A198" i="3" s="1"/>
  <c r="E198" i="3"/>
  <c r="F197" i="3"/>
  <c r="A197" i="3" s="1"/>
  <c r="E197" i="3"/>
  <c r="F196" i="3"/>
  <c r="A196" i="3" s="1"/>
  <c r="E196" i="3"/>
  <c r="F195" i="3"/>
  <c r="A195" i="3" s="1"/>
  <c r="E195" i="3"/>
  <c r="F194" i="3"/>
  <c r="A194" i="3" s="1"/>
  <c r="E194" i="3"/>
  <c r="F193" i="3"/>
  <c r="A193" i="3" s="1"/>
  <c r="E193" i="3"/>
  <c r="F192" i="3"/>
  <c r="A192" i="3" s="1"/>
  <c r="E192" i="3"/>
  <c r="F191" i="3"/>
  <c r="A191" i="3" s="1"/>
  <c r="E191" i="3"/>
  <c r="F190" i="3"/>
  <c r="A190" i="3" s="1"/>
  <c r="E190" i="3"/>
  <c r="F189" i="3"/>
  <c r="A189" i="3" s="1"/>
  <c r="E189" i="3"/>
  <c r="F188" i="3"/>
  <c r="A188" i="3" s="1"/>
  <c r="E188" i="3"/>
  <c r="F187" i="3"/>
  <c r="A187" i="3" s="1"/>
  <c r="E187" i="3"/>
  <c r="F186" i="3"/>
  <c r="A186" i="3" s="1"/>
  <c r="E186" i="3"/>
  <c r="F185" i="3"/>
  <c r="A185" i="3" s="1"/>
  <c r="E185" i="3"/>
  <c r="F184" i="3"/>
  <c r="A184" i="3" s="1"/>
  <c r="E184" i="3"/>
  <c r="F183" i="3"/>
  <c r="A183" i="3" s="1"/>
  <c r="E183" i="3"/>
  <c r="F182" i="3"/>
  <c r="A182" i="3" s="1"/>
  <c r="E182" i="3"/>
  <c r="F181" i="3"/>
  <c r="A181" i="3" s="1"/>
  <c r="E181" i="3"/>
  <c r="F180" i="3"/>
  <c r="A180" i="3" s="1"/>
  <c r="E180" i="3"/>
  <c r="F179" i="3"/>
  <c r="A179" i="3" s="1"/>
  <c r="E179" i="3"/>
  <c r="F178" i="3"/>
  <c r="A178" i="3" s="1"/>
  <c r="E178" i="3"/>
  <c r="F177" i="3"/>
  <c r="A177" i="3" s="1"/>
  <c r="E177" i="3"/>
  <c r="F176" i="3"/>
  <c r="A176" i="3" s="1"/>
  <c r="E176" i="3"/>
  <c r="F175" i="3"/>
  <c r="A175" i="3" s="1"/>
  <c r="E175" i="3"/>
  <c r="F174" i="3"/>
  <c r="A174" i="3" s="1"/>
  <c r="E174" i="3"/>
  <c r="F173" i="3"/>
  <c r="A173" i="3" s="1"/>
  <c r="E173" i="3"/>
  <c r="F172" i="3"/>
  <c r="A172" i="3" s="1"/>
  <c r="E172" i="3"/>
  <c r="F171" i="3"/>
  <c r="A171" i="3" s="1"/>
  <c r="E171" i="3"/>
  <c r="F170" i="3"/>
  <c r="A170" i="3" s="1"/>
  <c r="E170" i="3"/>
  <c r="F169" i="3"/>
  <c r="A169" i="3" s="1"/>
  <c r="E169" i="3"/>
  <c r="F168" i="3"/>
  <c r="A168" i="3" s="1"/>
  <c r="E168" i="3"/>
  <c r="F167" i="3"/>
  <c r="A167" i="3" s="1"/>
  <c r="E167" i="3"/>
  <c r="F166" i="3"/>
  <c r="A166" i="3" s="1"/>
  <c r="E166" i="3"/>
  <c r="F165" i="3"/>
  <c r="A165" i="3" s="1"/>
  <c r="E165" i="3"/>
  <c r="F164" i="3"/>
  <c r="A164" i="3" s="1"/>
  <c r="E164" i="3"/>
  <c r="F163" i="3"/>
  <c r="A163" i="3" s="1"/>
  <c r="E163" i="3"/>
  <c r="F162" i="3"/>
  <c r="A162" i="3" s="1"/>
  <c r="E162" i="3"/>
  <c r="F161" i="3"/>
  <c r="A161" i="3" s="1"/>
  <c r="E161" i="3"/>
  <c r="F160" i="3"/>
  <c r="A160" i="3" s="1"/>
  <c r="E160" i="3"/>
  <c r="F159" i="3"/>
  <c r="A159" i="3" s="1"/>
  <c r="E159" i="3"/>
  <c r="F158" i="3"/>
  <c r="A158" i="3" s="1"/>
  <c r="E158" i="3"/>
  <c r="F157" i="3"/>
  <c r="A157" i="3" s="1"/>
  <c r="E157" i="3"/>
  <c r="F156" i="3"/>
  <c r="A156" i="3" s="1"/>
  <c r="E156" i="3"/>
  <c r="F155" i="3"/>
  <c r="A155" i="3" s="1"/>
  <c r="E155" i="3"/>
  <c r="F154" i="3"/>
  <c r="A154" i="3" s="1"/>
  <c r="E154" i="3"/>
  <c r="F153" i="3"/>
  <c r="A153" i="3" s="1"/>
  <c r="E153" i="3"/>
  <c r="F152" i="3"/>
  <c r="A152" i="3" s="1"/>
  <c r="E152" i="3"/>
  <c r="F151" i="3"/>
  <c r="A151" i="3" s="1"/>
  <c r="E151" i="3"/>
  <c r="F150" i="3"/>
  <c r="A150" i="3" s="1"/>
  <c r="E150" i="3"/>
  <c r="F149" i="3"/>
  <c r="A149" i="3" s="1"/>
  <c r="E149" i="3"/>
  <c r="F148" i="3"/>
  <c r="A148" i="3" s="1"/>
  <c r="E148" i="3"/>
  <c r="F147" i="3"/>
  <c r="A147" i="3" s="1"/>
  <c r="E147" i="3"/>
  <c r="F146" i="3"/>
  <c r="A146" i="3" s="1"/>
  <c r="E146" i="3"/>
  <c r="F145" i="3"/>
  <c r="A145" i="3" s="1"/>
  <c r="E145" i="3"/>
  <c r="F144" i="3"/>
  <c r="A144" i="3" s="1"/>
  <c r="E144" i="3"/>
  <c r="F143" i="3"/>
  <c r="A143" i="3" s="1"/>
  <c r="E143" i="3"/>
  <c r="F142" i="3"/>
  <c r="A142" i="3" s="1"/>
  <c r="E142" i="3"/>
  <c r="F141" i="3"/>
  <c r="A141" i="3" s="1"/>
  <c r="E141" i="3"/>
  <c r="F140" i="3"/>
  <c r="A140" i="3" s="1"/>
  <c r="E140" i="3"/>
  <c r="F139" i="3"/>
  <c r="A139" i="3" s="1"/>
  <c r="E139" i="3"/>
  <c r="F138" i="3"/>
  <c r="A138" i="3" s="1"/>
  <c r="E138" i="3"/>
  <c r="F137" i="3"/>
  <c r="A137" i="3" s="1"/>
  <c r="E137" i="3"/>
  <c r="F136" i="3"/>
  <c r="A136" i="3" s="1"/>
  <c r="E136" i="3"/>
  <c r="F135" i="3"/>
  <c r="A135" i="3" s="1"/>
  <c r="E135" i="3"/>
  <c r="F134" i="3"/>
  <c r="A134" i="3" s="1"/>
  <c r="E134" i="3"/>
  <c r="F133" i="3"/>
  <c r="A133" i="3" s="1"/>
  <c r="E133" i="3"/>
  <c r="F132" i="3"/>
  <c r="A132" i="3" s="1"/>
  <c r="E132" i="3"/>
  <c r="F131" i="3"/>
  <c r="A131" i="3" s="1"/>
  <c r="E131" i="3"/>
  <c r="F130" i="3"/>
  <c r="A130" i="3" s="1"/>
  <c r="E130" i="3"/>
  <c r="F129" i="3"/>
  <c r="A129" i="3" s="1"/>
  <c r="E129" i="3"/>
  <c r="F128" i="3"/>
  <c r="A128" i="3" s="1"/>
  <c r="E128" i="3"/>
  <c r="F127" i="3"/>
  <c r="A127" i="3" s="1"/>
  <c r="E127" i="3"/>
  <c r="F126" i="3"/>
  <c r="A126" i="3" s="1"/>
  <c r="E126" i="3"/>
  <c r="F125" i="3"/>
  <c r="A125" i="3" s="1"/>
  <c r="E125" i="3"/>
  <c r="F124" i="3"/>
  <c r="A124" i="3" s="1"/>
  <c r="E124" i="3"/>
  <c r="F123" i="3"/>
  <c r="A123" i="3" s="1"/>
  <c r="E123" i="3"/>
  <c r="F122" i="3"/>
  <c r="A122" i="3" s="1"/>
  <c r="E122" i="3"/>
  <c r="F121" i="3"/>
  <c r="A121" i="3" s="1"/>
  <c r="E121" i="3"/>
  <c r="F120" i="3"/>
  <c r="A120" i="3" s="1"/>
  <c r="E120" i="3"/>
  <c r="F119" i="3"/>
  <c r="A119" i="3" s="1"/>
  <c r="E119" i="3"/>
  <c r="F118" i="3"/>
  <c r="A118" i="3" s="1"/>
  <c r="E118" i="3"/>
  <c r="F117" i="3"/>
  <c r="A117" i="3" s="1"/>
  <c r="E117" i="3"/>
  <c r="F116" i="3"/>
  <c r="A116" i="3" s="1"/>
  <c r="E116" i="3"/>
  <c r="F115" i="3"/>
  <c r="A115" i="3" s="1"/>
  <c r="E115" i="3"/>
  <c r="F114" i="3"/>
  <c r="A114" i="3" s="1"/>
  <c r="E114" i="3"/>
  <c r="F113" i="3"/>
  <c r="A113" i="3" s="1"/>
  <c r="E113" i="3"/>
  <c r="F112" i="3"/>
  <c r="A112" i="3" s="1"/>
  <c r="E112" i="3"/>
  <c r="F111" i="3"/>
  <c r="A111" i="3" s="1"/>
  <c r="E111" i="3"/>
  <c r="F110" i="3"/>
  <c r="A110" i="3" s="1"/>
  <c r="E110" i="3"/>
  <c r="F109" i="3"/>
  <c r="A109" i="3" s="1"/>
  <c r="E109" i="3"/>
  <c r="F108" i="3"/>
  <c r="A108" i="3" s="1"/>
  <c r="E108" i="3"/>
  <c r="F107" i="3"/>
  <c r="A107" i="3" s="1"/>
  <c r="E107" i="3"/>
  <c r="F106" i="3"/>
  <c r="A106" i="3" s="1"/>
  <c r="E106" i="3"/>
  <c r="F105" i="3"/>
  <c r="A105" i="3" s="1"/>
  <c r="E105" i="3"/>
  <c r="F104" i="3"/>
  <c r="A104" i="3" s="1"/>
  <c r="E104" i="3"/>
  <c r="F103" i="3"/>
  <c r="A103" i="3" s="1"/>
  <c r="E103" i="3"/>
  <c r="F102" i="3"/>
  <c r="A102" i="3" s="1"/>
  <c r="E102" i="3"/>
  <c r="F101" i="3"/>
  <c r="A101" i="3" s="1"/>
  <c r="E101" i="3"/>
  <c r="F100" i="3"/>
  <c r="A100" i="3" s="1"/>
  <c r="E100" i="3"/>
  <c r="F99" i="3"/>
  <c r="A99" i="3" s="1"/>
  <c r="E99" i="3"/>
  <c r="F98" i="3"/>
  <c r="A98" i="3" s="1"/>
  <c r="E98" i="3"/>
  <c r="F95" i="3"/>
  <c r="A95" i="3" s="1"/>
  <c r="F94" i="3"/>
  <c r="A94" i="3" s="1"/>
  <c r="F93" i="3"/>
  <c r="A93" i="3" s="1"/>
  <c r="F92" i="3"/>
  <c r="A92" i="3" s="1"/>
  <c r="F90" i="3"/>
  <c r="A90" i="3" s="1"/>
  <c r="E88" i="3"/>
  <c r="F88" i="3" s="1"/>
  <c r="A88" i="3" s="1"/>
  <c r="F87" i="3"/>
  <c r="A87" i="3" s="1"/>
  <c r="F86" i="3"/>
  <c r="A86" i="3" s="1"/>
  <c r="F83" i="3"/>
  <c r="A83" i="3" s="1"/>
  <c r="F80" i="3"/>
  <c r="A80" i="3" s="1"/>
  <c r="F76" i="3"/>
  <c r="A76" i="3" s="1"/>
  <c r="F73" i="3"/>
  <c r="A73" i="3" s="1"/>
  <c r="F70" i="3"/>
  <c r="A70" i="3" s="1"/>
  <c r="F67" i="3"/>
  <c r="A67" i="3" s="1"/>
  <c r="F65" i="3"/>
  <c r="A65" i="3" s="1"/>
  <c r="F61" i="3"/>
  <c r="A61" i="3" s="1"/>
  <c r="F57" i="3"/>
  <c r="A57" i="3" s="1"/>
  <c r="F56" i="3"/>
  <c r="A56" i="3" s="1"/>
  <c r="F55" i="3"/>
  <c r="A55" i="3" s="1"/>
  <c r="F54" i="3"/>
  <c r="A54" i="3" s="1"/>
  <c r="F53" i="3"/>
  <c r="A53" i="3" s="1"/>
  <c r="F51" i="3"/>
  <c r="A51" i="3" s="1"/>
  <c r="F50" i="3"/>
  <c r="A50" i="3" s="1"/>
  <c r="F48" i="3"/>
  <c r="A48" i="3" s="1"/>
  <c r="F47" i="3"/>
  <c r="A47" i="3" s="1"/>
  <c r="F46" i="3"/>
  <c r="A46" i="3" s="1"/>
  <c r="F45" i="3"/>
  <c r="A45" i="3" s="1"/>
  <c r="F39" i="3"/>
  <c r="A39" i="3" s="1"/>
  <c r="I26" i="8" l="1"/>
  <c r="F24" i="8"/>
  <c r="E4" i="8"/>
  <c r="H4" i="8"/>
  <c r="K4" i="8"/>
</calcChain>
</file>

<file path=xl/sharedStrings.xml><?xml version="1.0" encoding="utf-8"?>
<sst xmlns="http://schemas.openxmlformats.org/spreadsheetml/2006/main" count="3027" uniqueCount="259">
  <si>
    <t>Descrição</t>
  </si>
  <si>
    <t>Cód</t>
  </si>
  <si>
    <t>Estoque Atual</t>
  </si>
  <si>
    <t>Cód Produto</t>
  </si>
  <si>
    <t>Quantidade</t>
  </si>
  <si>
    <t>Data</t>
  </si>
  <si>
    <t>Descrição do Produto</t>
  </si>
  <si>
    <t>RESUMO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</si>
  <si>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</si>
  <si>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</si>
  <si>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</si>
  <si>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</si>
  <si>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</si>
  <si>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</si>
  <si>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</si>
  <si>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</si>
  <si>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</si>
  <si>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</si>
  <si>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</si>
  <si>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</si>
  <si>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MOVIMENTOS</t>
  </si>
  <si>
    <t>P001</t>
  </si>
  <si>
    <t>P002</t>
  </si>
  <si>
    <t>P003</t>
  </si>
  <si>
    <t>Estoque Mínimo</t>
  </si>
  <si>
    <t>Situação</t>
  </si>
  <si>
    <t>PRODUTOS</t>
  </si>
  <si>
    <t>Tipo</t>
  </si>
  <si>
    <t>Entrada</t>
  </si>
  <si>
    <t xml:space="preserve"> </t>
  </si>
  <si>
    <t>Cód Produto:</t>
  </si>
  <si>
    <t>Descrição:</t>
  </si>
  <si>
    <t>Saldo Atual:</t>
  </si>
  <si>
    <t>TOTAL DE PRODUTOS</t>
  </si>
  <si>
    <t>TOTAL DE PRODUTOS COM SALDO DISPONÍVEL</t>
  </si>
  <si>
    <t>TOTAL DE PRODUTOS COM SALDO ZERADO</t>
  </si>
  <si>
    <t>TOTAL DE PRODUTOS COM SALDO ABAIXO DO MÍNIMO</t>
  </si>
  <si>
    <t>GRÁFICO DE ENTRADAS X SAÍDAS POR PERÍODO</t>
  </si>
  <si>
    <t>CONSULTAR PRODUTO</t>
  </si>
  <si>
    <t>Entradas:</t>
  </si>
  <si>
    <t>Saídas:</t>
  </si>
  <si>
    <t>Estoque Mínimo:</t>
  </si>
  <si>
    <t>GRÁFICO DE ENTRADAS X SAÍDAS DO PROTUDO POR PERÍODO</t>
  </si>
  <si>
    <t>Situação:</t>
  </si>
  <si>
    <t>INSTRUÇÕES</t>
  </si>
  <si>
    <t>Aba Resumo</t>
  </si>
  <si>
    <t>Aba Produtos</t>
  </si>
  <si>
    <t>2. Os campos Estoque Atual e Situação são gerados automaticamente através de fórmulas, portanto não devem ser alterados manualmente.</t>
  </si>
  <si>
    <t>1. Inserir o Código do Produto, descrição e estoque mínimo.</t>
  </si>
  <si>
    <t>Aba Movimentos</t>
  </si>
  <si>
    <t>1. Inserir os movimentos de Entradas e Saídas dos produtos (Data, Tipo, Cód Produto e Quantidade)</t>
  </si>
  <si>
    <t>2. O campo Descrição é gerado automaticamente através de fórmulas, portanto não deve ser alterado manualmente.</t>
  </si>
  <si>
    <t>2. Todos os outros campos são gerados automaticamente através de fórmulas, portanto não devem ser alterados manualmente.</t>
  </si>
  <si>
    <t>1. Alterar somente o Ano que deseja visualizar os gráficos, e o Código do Produto que deseja consultar (campo amarelo).</t>
  </si>
  <si>
    <t>Saída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</si>
  <si>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</si>
  <si>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</si>
  <si>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</si>
  <si>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</si>
  <si>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</si>
  <si>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</si>
  <si>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</si>
  <si>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</si>
  <si>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</si>
  <si>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</si>
  <si>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</si>
  <si>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</si>
  <si>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</si>
  <si>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</si>
  <si>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</si>
  <si>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</si>
  <si>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</si>
  <si>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</si>
  <si>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</si>
  <si>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</si>
  <si>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</si>
  <si>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</si>
  <si>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</si>
  <si>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</si>
  <si>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REQUISITANTE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</si>
  <si>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</si>
  <si>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</si>
  <si>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</si>
  <si>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</si>
  <si>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</si>
  <si>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</si>
  <si>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</si>
  <si>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</si>
  <si>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</si>
  <si>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</si>
  <si>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</si>
  <si>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</si>
  <si>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</si>
  <si>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</si>
  <si>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</si>
  <si>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</si>
  <si>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</si>
  <si>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</si>
  <si>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</si>
  <si>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</si>
  <si>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</si>
  <si>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</si>
  <si>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</si>
  <si>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</si>
  <si>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</si>
  <si>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</si>
  <si>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</si>
  <si>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</si>
  <si>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</si>
  <si>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</si>
  <si>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</si>
  <si>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</si>
  <si>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</si>
  <si>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</si>
  <si>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</si>
  <si>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</si>
  <si>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</si>
  <si>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</si>
  <si>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</si>
  <si>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</si>
  <si>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</si>
  <si>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</si>
  <si>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</si>
  <si>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</si>
  <si>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</si>
  <si>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</si>
  <si>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</si>
  <si>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</si>
  <si>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</si>
  <si>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</si>
  <si>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</si>
  <si>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</si>
  <si>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</si>
  <si>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</si>
  <si>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</si>
  <si>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</si>
  <si>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</si>
  <si>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</si>
  <si>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</si>
  <si>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</si>
  <si>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</si>
  <si>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</si>
  <si>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</si>
  <si>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</si>
  <si>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</si>
  <si>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</si>
  <si>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</si>
  <si>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LAJE INFERIOR DE 1000</t>
  </si>
  <si>
    <t>LAJE INFERIOR DE 600</t>
  </si>
  <si>
    <t>LAJE SURPERIOR DE 1000</t>
  </si>
  <si>
    <t>TUBO PEAD ESGOTO D 355</t>
  </si>
  <si>
    <t>TUBO PEAD ESGOTO D 315</t>
  </si>
  <si>
    <t>TUBO PEAD ESGOTO D 450</t>
  </si>
  <si>
    <t>TUBO CURRUGADO ESGOTO DN 300</t>
  </si>
  <si>
    <t>TUBO ESGOTO PVC DN 300</t>
  </si>
  <si>
    <t>TUBO ESGOTO PVC DN 200</t>
  </si>
  <si>
    <t>TUBO ESGOTO PVC DN 150</t>
  </si>
  <si>
    <t>TUBO ESGOTO PVC DN 100</t>
  </si>
  <si>
    <t>CHAPA ARMICO</t>
  </si>
  <si>
    <t>BLOCO DE PV</t>
  </si>
  <si>
    <t>FABIO</t>
  </si>
  <si>
    <t>MARCELO</t>
  </si>
  <si>
    <t>EDIVALDO</t>
  </si>
  <si>
    <t>LEANDRO</t>
  </si>
  <si>
    <t>PAULINHO</t>
  </si>
  <si>
    <t>LUCIANO</t>
  </si>
  <si>
    <t>WALTER</t>
  </si>
  <si>
    <t>CIDÃO</t>
  </si>
  <si>
    <t>GG TRANSPORTE</t>
  </si>
  <si>
    <t>IGOR</t>
  </si>
  <si>
    <t>VALMIR</t>
  </si>
  <si>
    <t>SERGIO</t>
  </si>
  <si>
    <t>ELOISIO</t>
  </si>
  <si>
    <t>CERSAR</t>
  </si>
  <si>
    <t>JONATHAN</t>
  </si>
  <si>
    <t>CARLOS</t>
  </si>
  <si>
    <t>ROBISON</t>
  </si>
  <si>
    <t>PERFORMANCE</t>
  </si>
  <si>
    <t>ALOISIO</t>
  </si>
  <si>
    <t>GUIA</t>
  </si>
  <si>
    <t>DANIEL</t>
  </si>
  <si>
    <t>IVAN</t>
  </si>
  <si>
    <t>EMPRÉSTIMO</t>
  </si>
  <si>
    <t>POLITEJO BRASIL</t>
  </si>
  <si>
    <t>PAULO HENRIQUE RETIRADO POR BRUNO NVA SP</t>
  </si>
  <si>
    <t>GUARANI</t>
  </si>
  <si>
    <t>JOSE CARLOS</t>
  </si>
  <si>
    <t xml:space="preserve">           OBS</t>
  </si>
  <si>
    <t>TUBO ESGOTO PVC DN 400</t>
  </si>
  <si>
    <t>TROCA POR TUBO 400</t>
  </si>
  <si>
    <t>LAJE PRE MONTADA / TAMPÃO DN 600</t>
  </si>
  <si>
    <t>DEILTON</t>
  </si>
  <si>
    <t>MARCIO</t>
  </si>
  <si>
    <t>EDVANDRO</t>
  </si>
  <si>
    <t>WILSON</t>
  </si>
  <si>
    <t>ALEX</t>
  </si>
  <si>
    <t>DEVOLUCÃO</t>
  </si>
  <si>
    <t>GENIVAL</t>
  </si>
  <si>
    <t>PEDREIRO</t>
  </si>
  <si>
    <t>CANTERIO 1</t>
  </si>
  <si>
    <t>21/02/2026]</t>
  </si>
  <si>
    <t>USADO</t>
  </si>
  <si>
    <t xml:space="preserve">ANTONIO </t>
  </si>
  <si>
    <t>TUBO PEAD ESGOTO D 225</t>
  </si>
  <si>
    <t>RICARDO</t>
  </si>
  <si>
    <t xml:space="preserve">MADEIRITE </t>
  </si>
  <si>
    <t>ZELÃO</t>
  </si>
  <si>
    <t>MEDEIROS</t>
  </si>
  <si>
    <t>REGINALDO</t>
  </si>
  <si>
    <t>NOVA CENTRO 2</t>
  </si>
  <si>
    <t>W.V.R</t>
  </si>
  <si>
    <t>RATHIFE</t>
  </si>
  <si>
    <t>ANTONIO EUZEBIO</t>
  </si>
  <si>
    <t>CS MANUTEÇÃO NV  CENTRO</t>
  </si>
  <si>
    <t>LANDO INDUSTRIA E CMC</t>
  </si>
  <si>
    <t xml:space="preserve">PARAFUSO QUADRADO 5/8 </t>
  </si>
  <si>
    <t>PARAFUSO SEXTAVADA 5/8</t>
  </si>
  <si>
    <t>PORCA SEXTAVADA 5/8</t>
  </si>
  <si>
    <t xml:space="preserve">  </t>
  </si>
  <si>
    <t>GUIA CHAPÉU</t>
  </si>
  <si>
    <t>GLAVABRA</t>
  </si>
  <si>
    <t>ADILSON</t>
  </si>
  <si>
    <t xml:space="preserve">INTERCITY </t>
  </si>
  <si>
    <t>EMPRETISMO</t>
  </si>
  <si>
    <t>FLAVIO</t>
  </si>
  <si>
    <t>ACO TUBOS</t>
  </si>
  <si>
    <t>MANUFATURA TRIANGULAR</t>
  </si>
  <si>
    <t>FERNANDO</t>
  </si>
  <si>
    <t>PAULO HENRIQUE   NVA SP</t>
  </si>
  <si>
    <t>CAROL</t>
  </si>
  <si>
    <t>CANTERIO 2</t>
  </si>
  <si>
    <t>ADUELA  DE 1500</t>
  </si>
  <si>
    <t>BRUNO</t>
  </si>
  <si>
    <t>CANTERIO 3</t>
  </si>
  <si>
    <t>CANTEIRO 3</t>
  </si>
  <si>
    <t>ANTONIO ENG</t>
  </si>
  <si>
    <t>LEANDRO ENCAREGADO</t>
  </si>
  <si>
    <t>USADAS</t>
  </si>
  <si>
    <t>ACA TUBOS</t>
  </si>
  <si>
    <t>ADUELA  DE 2,00 x 2,00</t>
  </si>
  <si>
    <t>ANTONIO</t>
  </si>
  <si>
    <t>CLAUDINEI</t>
  </si>
  <si>
    <t>BLOCO VEDAÇÃO 14 x 39</t>
  </si>
  <si>
    <t>LEANDRO/PEDREIRO</t>
  </si>
  <si>
    <t>ANEIS DE BORRACHA PARA PV 1000x1000</t>
  </si>
  <si>
    <t>ANTONIO/ CARPINTEIRO</t>
  </si>
  <si>
    <t>DANIOEL</t>
  </si>
  <si>
    <t>EMPRETIMO</t>
  </si>
  <si>
    <t>POLITEJO</t>
  </si>
  <si>
    <t>FK DE QUELUZ</t>
  </si>
  <si>
    <t>ANTONIO JOSE</t>
  </si>
  <si>
    <t>CMNC II</t>
  </si>
  <si>
    <t>MAURICIO</t>
  </si>
  <si>
    <t>ELUISIO</t>
  </si>
  <si>
    <t>PAULO</t>
  </si>
  <si>
    <t>ROBESON/ PEDREIRO</t>
  </si>
  <si>
    <t>SILVESTRE</t>
  </si>
  <si>
    <t>ADUELA DE 1000</t>
  </si>
  <si>
    <t>ADUELA DE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</si>
</sst>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644A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6" tint="0.59999389629810485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sz val="12"/>
      <color theme="6" tint="0.79998168889431442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theme="0" tint="-0.24994659260841701"/>
      </patternFill>
    </fill>
    <fill>
      <patternFill patternType="solid">
        <fgColor theme="0" tint="-0.24994659260841701"/>
        <bgColor theme="0" tint="-0.2499465926084170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9" borderId="0" xfId="0" applyFill="1" applyAlignment="1">
      <alignment vertical="center"/>
    </xf>
    <xf numFmtId="0" fontId="0" fillId="0" borderId="0" xfId="0" applyAlignment="1">
      <alignment horizontal="center"/>
    </xf>
    <xf numFmtId="49" fontId="7" fillId="10" borderId="0" xfId="0" applyNumberFormat="1" applyFont="1" applyFill="1" applyAlignment="1">
      <alignment horizontal="center" vertical="center" wrapText="1"/>
    </xf>
    <xf numFmtId="0" fontId="12" fillId="0" borderId="0" xfId="0" applyFont="1" applyAlignment="1">
      <alignment wrapText="1"/>
    </xf>
    <xf numFmtId="2" fontId="1" fillId="0" borderId="0" xfId="0" applyNumberFormat="1" applyFont="1" applyAlignment="1">
      <alignment vertical="center"/>
    </xf>
    <xf numFmtId="164" fontId="13" fillId="10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14" fontId="7" fillId="10" borderId="0" xfId="0" applyNumberFormat="1" applyFont="1" applyFill="1" applyAlignment="1">
      <alignment horizontal="center" vertical="center" wrapText="1"/>
    </xf>
    <xf numFmtId="2" fontId="7" fillId="10" borderId="0" xfId="0" applyNumberFormat="1" applyFont="1" applyFill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vertical="center"/>
    </xf>
    <xf numFmtId="0" fontId="0" fillId="9" borderId="0" xfId="0" applyFill="1"/>
    <xf numFmtId="0" fontId="1" fillId="9" borderId="0" xfId="0" applyFont="1" applyFill="1"/>
    <xf numFmtId="2" fontId="1" fillId="12" borderId="1" xfId="0" applyNumberFormat="1" applyFont="1" applyFill="1" applyBorder="1" applyAlignment="1">
      <alignment vertical="center"/>
    </xf>
    <xf numFmtId="2" fontId="0" fillId="12" borderId="1" xfId="0" applyNumberFormat="1" applyFill="1" applyBorder="1" applyAlignment="1">
      <alignment vertical="center"/>
    </xf>
    <xf numFmtId="0" fontId="1" fillId="9" borderId="0" xfId="0" applyFont="1" applyFill="1" applyAlignment="1">
      <alignment horizontal="center"/>
    </xf>
    <xf numFmtId="0" fontId="12" fillId="2" borderId="0" xfId="0" applyFont="1" applyFill="1" applyAlignment="1">
      <alignment vertical="center"/>
    </xf>
    <xf numFmtId="0" fontId="19" fillId="9" borderId="0" xfId="0" applyFont="1" applyFill="1" applyAlignment="1">
      <alignment horizontal="center" vertical="center"/>
    </xf>
    <xf numFmtId="2" fontId="20" fillId="12" borderId="1" xfId="0" applyNumberFormat="1" applyFont="1" applyFill="1" applyBorder="1" applyAlignment="1">
      <alignment vertical="center"/>
    </xf>
    <xf numFmtId="2" fontId="21" fillId="12" borderId="1" xfId="0" applyNumberFormat="1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10" borderId="0" xfId="0" applyFont="1" applyFill="1" applyAlignment="1">
      <alignment horizontal="center"/>
    </xf>
    <xf numFmtId="0" fontId="22" fillId="10" borderId="0" xfId="0" applyFont="1" applyFill="1" applyAlignment="1">
      <alignment horizontal="center" vertical="center" wrapText="1"/>
    </xf>
    <xf numFmtId="2" fontId="22" fillId="10" borderId="0" xfId="0" applyNumberFormat="1" applyFont="1" applyFill="1" applyAlignment="1">
      <alignment horizontal="center" vertical="center" wrapText="1"/>
    </xf>
    <xf numFmtId="164" fontId="22" fillId="10" borderId="0" xfId="0" applyNumberFormat="1" applyFont="1" applyFill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12" fillId="10" borderId="0" xfId="0" applyFont="1" applyFill="1" applyAlignment="1">
      <alignment vertical="center" wrapText="1"/>
    </xf>
    <xf numFmtId="0" fontId="23" fillId="0" borderId="0" xfId="0" applyFont="1" applyAlignment="1">
      <alignment vertical="center"/>
    </xf>
    <xf numFmtId="0" fontId="6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0" fillId="10" borderId="0" xfId="0" applyFont="1" applyFill="1" applyAlignment="1">
      <alignment horizontal="center"/>
    </xf>
    <xf numFmtId="0" fontId="0" fillId="0" borderId="0" xfId="0"/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" xfId="0" applyBorder="1"/>
    <xf numFmtId="0" fontId="10" fillId="10" borderId="0" xfId="0" applyFont="1" applyFill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7">
    <dxf>
      <font>
        <color theme="9" tint="-0.499984740745262"/>
      </font>
    </dxf>
    <dxf>
      <font>
        <color theme="7" tint="-0.499984740745262"/>
      </font>
    </dxf>
    <dxf>
      <font>
        <color rgb="FFC00000"/>
      </font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color theme="9" tint="-0.499984740745262"/>
      </font>
    </dxf>
    <dxf>
      <font>
        <color theme="7" tint="-0.499984740745262"/>
      </font>
    </dxf>
    <dxf>
      <font>
        <color rgb="FFC00000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i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6" tint="0.79998168889431442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vertical="center" textRotation="0" wrapText="1" indent="0" justifyLastLine="0" shrinkToFit="0" readingOrder="0"/>
    </dxf>
    <dxf>
      <font>
        <b/>
        <i val="0"/>
      </font>
      <numFmt numFmtId="2" formatCode="0.00"/>
      <alignment horizontal="general" vertical="center" textRotation="0" wrapText="0" indent="0" justifyLastLine="0" shrinkToFit="0" readingOrder="0"/>
    </dxf>
    <dxf>
      <font>
        <i val="0"/>
      </font>
      <numFmt numFmtId="2" formatCode="0.00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 tint="0.59999389629810485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ill>
        <patternFill>
          <fgColor theme="0"/>
          <bgColor theme="0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0" tint="-0.14999847407452621"/>
          <bgColor theme="0" tint="-0.14999847407452621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Medium8 2" pivot="0" count="5" xr9:uid="{CC7FDD62-DC17-4B22-A5F5-B144BE277EFE}">
      <tableStyleElement type="wholeTable" dxfId="36"/>
      <tableStyleElement type="headerRow" dxfId="35"/>
      <tableStyleElement type="totalRow" dxfId="34"/>
      <tableStyleElement type="firstRowStripe" dxfId="33"/>
      <tableStyleElement type="secondRowStripe" dxfId="32"/>
    </tableStyle>
  </tableStyles>
  <colors>
    <mruColors>
      <color rgb="FF644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Entradas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Resumo!$C$8:$C$19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Resumo!$F$8:$F$19</c:f>
              <c:numCache>
                <c:formatCode>General</c:formatCode>
                <c:ptCount val="12"/>
                <c:pt idx="0">
                  <c:v>0</c:v>
                </c:pt>
                <c:pt idx="1">
                  <c:v>5478</c:v>
                </c:pt>
                <c:pt idx="2">
                  <c:v>109921</c:v>
                </c:pt>
                <c:pt idx="3">
                  <c:v>3212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F7-4BF3-A954-F3F1439B424F}"/>
            </c:ext>
          </c:extLst>
        </c:ser>
        <c:ser>
          <c:idx val="1"/>
          <c:order val="1"/>
          <c:tx>
            <c:v>Saidas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Resumo!$C$8:$C$19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Resumo!$I$8:$I$19</c:f>
              <c:numCache>
                <c:formatCode>0</c:formatCode>
                <c:ptCount val="12"/>
                <c:pt idx="0">
                  <c:v>263</c:v>
                </c:pt>
                <c:pt idx="1">
                  <c:v>1972</c:v>
                </c:pt>
                <c:pt idx="2">
                  <c:v>13582</c:v>
                </c:pt>
                <c:pt idx="3">
                  <c:v>15170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F7-4BF3-A954-F3F1439B42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184509759"/>
        <c:axId val="1184504351"/>
      </c:barChart>
      <c:catAx>
        <c:axId val="11845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4351"/>
        <c:crosses val="autoZero"/>
        <c:auto val="1"/>
        <c:lblAlgn val="ctr"/>
        <c:lblOffset val="100"/>
        <c:noMultiLvlLbl val="0"/>
      </c:catAx>
      <c:valAx>
        <c:axId val="118450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984896344995047E-2"/>
          <c:y val="2.71537300906383E-2"/>
          <c:w val="0.94169261486856437"/>
          <c:h val="0.83093177914836436"/>
        </c:manualLayout>
      </c:layout>
      <c:barChart>
        <c:barDir val="col"/>
        <c:grouping val="clustered"/>
        <c:varyColors val="0"/>
        <c:ser>
          <c:idx val="0"/>
          <c:order val="0"/>
          <c:tx>
            <c:v>Entradas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Resumo!$C$32:$C$43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Resumo!$F$32:$F$43</c:f>
              <c:numCache>
                <c:formatCode>General</c:formatCode>
                <c:ptCount val="12"/>
                <c:pt idx="0">
                  <c:v>0</c:v>
                </c:pt>
                <c:pt idx="1">
                  <c:v>1096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9-4F7F-9AB8-6B49C3926682}"/>
            </c:ext>
          </c:extLst>
        </c:ser>
        <c:ser>
          <c:idx val="1"/>
          <c:order val="1"/>
          <c:tx>
            <c:v>Saidas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Resumo!$C$32:$C$43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Resumo!$I$32:$I$43</c:f>
              <c:numCache>
                <c:formatCode>0</c:formatCode>
                <c:ptCount val="12"/>
                <c:pt idx="0">
                  <c:v>95</c:v>
                </c:pt>
                <c:pt idx="1">
                  <c:v>275</c:v>
                </c:pt>
                <c:pt idx="2">
                  <c:v>237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9-4F7F-9AB8-6B49C39266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184509759"/>
        <c:axId val="1184504351"/>
      </c:barChart>
      <c:catAx>
        <c:axId val="11845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4351"/>
        <c:crosses val="autoZero"/>
        <c:auto val="1"/>
        <c:lblAlgn val="ctr"/>
        <c:lblOffset val="100"/>
        <c:noMultiLvlLbl val="0"/>
      </c:catAx>
      <c:valAx>
        <c:axId val="118450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6</xdr:row>
      <xdr:rowOff>0</xdr:rowOff>
    </xdr:from>
    <xdr:to>
      <xdr:col>12</xdr:col>
      <xdr:colOff>0</xdr:colOff>
      <xdr:row>20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91CCA8-8B21-4FB5-BA24-92E0B96A9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180974</xdr:colOff>
      <xdr:row>29</xdr:row>
      <xdr:rowOff>195263</xdr:rowOff>
    </xdr:from>
    <xdr:to>
      <xdr:col>12</xdr:col>
      <xdr:colOff>0</xdr:colOff>
      <xdr:row>43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1F6157-BA2A-4C3A-9D49-F08E97391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C89341-D9AE-4FC5-B921-D44D9AE06888}" name="TabelaProdutos" displayName="TabelaProdutos" ref="A3:F4996" totalsRowShown="0" headerRowDxfId="31" dataDxfId="30">
  <autoFilter ref="A3:F4996" xr:uid="{69C89341-D9AE-4FC5-B921-D44D9AE06888}"/>
  <tableColumns count="6">
    <tableColumn id="6" xr3:uid="{E5BDE71A-FFC6-4555-878F-893AF014012F}" name=" " dataDxfId="29">
      <calculatedColumnFormula>IF(F4="Saldo zerado",0,IF(F4="Saldo abaixo do mínimo",1,IF(F4="Saldo disponível",2,".")))</calculatedColumnFormula>
    </tableColumn>
    <tableColumn id="1" xr3:uid="{9FDBB7D8-3854-4039-87A2-652D8B5BB4F3}" name="Cód" dataDxfId="28"/>
    <tableColumn id="2" xr3:uid="{FEEB5952-C37E-4742-AFFA-10FC1B283FCA}" name="Descrição" dataDxfId="27"/>
    <tableColumn id="3" xr3:uid="{1DC84B67-8FCC-40A6-8E1A-DEDC21C7F9CC}" name="Estoque Mínimo" dataDxfId="26"/>
    <tableColumn id="4" xr3:uid="{D5AB995E-C953-4E49-9FBB-4FBE5B4B9F6B}" name="Estoque Atual" dataDxfId="25">
      <calculatedColumnFormula>IFERROR(IF(AND(B4&lt;&gt;"",C4&lt;&gt;""),SUMIFS(Movimentos!$F$4:$F$9996,Movimentos!$D$4:$D$9996,B4,Movimentos!$C$4:$C$9996,"Entrada")-SUMIFS(Movimentos!$F$4:$F$9996,Movimentos!$D$4:$D$9996,B4,Movimentos!$C$4:$C$9996,"Saída"),""),"")</calculatedColumnFormula>
    </tableColumn>
    <tableColumn id="5" xr3:uid="{443E787A-43A5-4BA9-AC58-29D4A8FA48D0}" name="Situação">
      <calculatedColumnFormula>IF(AND(B4&lt;&gt;"",C4&lt;&gt;""),IF(E4=0,"Saldo zerado",IF(E4&lt;D4,"Saldo abaixo do mínimo","Saldo disponível")),"")</calculatedColumnFormula>
    </tableColumn>
  </tableColumns>
  <tableStyleInfo name="TableStyleMedium8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AA9BE4-256A-4452-81D4-774F01D3FC41}" name="TabelaMovimentos" displayName="TabelaMovimentos" ref="A3:H9996" totalsRowShown="0" headerRowDxfId="24">
  <autoFilter ref="A3:H9996" xr:uid="{66AA9BE4-256A-4452-81D4-774F01D3FC41}"/>
  <tableColumns count="8">
    <tableColumn id="6" xr3:uid="{80B07A30-0E87-4217-B9A2-DD8E204AFFAD}" name=" " dataDxfId="23">
      <calculatedColumnFormula>IF(C4="Entrada",2,IF(C4="Saída",1,"."))</calculatedColumnFormula>
    </tableColumn>
    <tableColumn id="1" xr3:uid="{B75D901A-D0E1-480A-82D3-EE009F0F0A8D}" name="Data" dataDxfId="22"/>
    <tableColumn id="2" xr3:uid="{DE1357BF-5374-414A-A577-927D3313C3D8}" name="Tipo" dataDxfId="21"/>
    <tableColumn id="3" xr3:uid="{5F244064-F4EC-4490-AC6A-FE9F34378100}" name="Cód Produto" dataDxfId="20"/>
    <tableColumn id="4" xr3:uid="{1C084254-4785-4865-B183-AD594235980E}" name="Descrição do Produto" dataDxfId="19">
      <calculatedColumnFormula>IF(D4&lt;&gt;"",IFERROR(INDEX(Produtos!$C$4:$C$4996,MATCH(D4,Produtos!$B$4:$B$4996,0)),"Produto não encontrado"),"")</calculatedColumnFormula>
    </tableColumn>
    <tableColumn id="5" xr3:uid="{28F24B34-DBC0-44D8-A99A-B71F17DDE36A}" name="Quantidade" dataDxfId="18"/>
    <tableColumn id="7" xr3:uid="{0FFD1177-CC76-4BE7-BB97-B4C409A80D46}" name="REQUISITANTE" dataDxfId="17"/>
    <tableColumn id="8" xr3:uid="{317BE270-EDDE-412A-BFBB-D8A83929D352}" name="           OBS" dataDxfId="16"/>
  </tableColumns>
  <tableStyleInfo name="TableStyleMedium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49A2-7658-4C4D-971D-2441AC702E35}">
  <dimension ref="A1:D13"/>
  <sheetViews>
    <sheetView showGridLines="0" topLeftCell="A7" workbookViewId="0">
      <selection activeCell="A34" sqref="A34"/>
    </sheetView>
  </sheetViews>
  <sheetFormatPr defaultRowHeight="14.4" x14ac:dyDescent="0.3"/>
  <cols>
    <col min="1" max="4" width="31.77734375" customWidth="1"/>
  </cols>
  <sheetData>
    <row r="1" spans="1:4" ht="18" x14ac:dyDescent="0.35">
      <c r="A1" s="67" t="s">
        <v>44</v>
      </c>
      <c r="B1" s="67"/>
      <c r="C1" s="67"/>
      <c r="D1" s="67"/>
    </row>
    <row r="2" spans="1:4" x14ac:dyDescent="0.3">
      <c r="A2" s="68"/>
      <c r="B2" s="68"/>
      <c r="C2" s="68"/>
      <c r="D2" s="68"/>
    </row>
    <row r="3" spans="1:4" x14ac:dyDescent="0.3">
      <c r="A3" s="39" t="s">
        <v>46</v>
      </c>
    </row>
    <row r="4" spans="1:4" x14ac:dyDescent="0.3">
      <c r="A4" s="69" t="s">
        <v>48</v>
      </c>
      <c r="B4" s="70"/>
      <c r="C4" s="70"/>
      <c r="D4" s="71"/>
    </row>
    <row r="5" spans="1:4" x14ac:dyDescent="0.3">
      <c r="A5" s="66" t="s">
        <v>47</v>
      </c>
      <c r="B5" s="66"/>
      <c r="C5" s="66"/>
      <c r="D5" s="66"/>
    </row>
    <row r="6" spans="1:4" x14ac:dyDescent="0.3">
      <c r="A6" s="68"/>
      <c r="B6" s="68"/>
      <c r="C6" s="68"/>
      <c r="D6" s="68"/>
    </row>
    <row r="7" spans="1:4" x14ac:dyDescent="0.3">
      <c r="A7" s="39" t="s">
        <v>49</v>
      </c>
    </row>
    <row r="8" spans="1:4" x14ac:dyDescent="0.3">
      <c r="A8" s="72" t="s">
        <v>50</v>
      </c>
      <c r="B8" s="72"/>
      <c r="C8" s="72"/>
      <c r="D8" s="72"/>
    </row>
    <row r="9" spans="1:4" x14ac:dyDescent="0.3">
      <c r="A9" s="66" t="s">
        <v>51</v>
      </c>
      <c r="B9" s="66"/>
      <c r="C9" s="66"/>
      <c r="D9" s="66"/>
    </row>
    <row r="10" spans="1:4" x14ac:dyDescent="0.3">
      <c r="A10" s="68"/>
      <c r="B10" s="68"/>
      <c r="C10" s="68"/>
      <c r="D10" s="68"/>
    </row>
    <row r="11" spans="1:4" x14ac:dyDescent="0.3">
      <c r="A11" s="39" t="s">
        <v>45</v>
      </c>
    </row>
    <row r="12" spans="1:4" x14ac:dyDescent="0.3">
      <c r="A12" s="72" t="s">
        <v>53</v>
      </c>
      <c r="B12" s="72"/>
      <c r="C12" s="72"/>
      <c r="D12" s="72"/>
    </row>
    <row r="13" spans="1:4" x14ac:dyDescent="0.3">
      <c r="A13" s="66" t="s">
        <v>52</v>
      </c>
      <c r="B13" s="66"/>
      <c r="C13" s="66"/>
      <c r="D13" s="66"/>
    </row>
  </sheetData>
  <mergeCells count="10">
    <mergeCell ref="A13:D13"/>
    <mergeCell ref="A1:D1"/>
    <mergeCell ref="A2:D2"/>
    <mergeCell ref="A4:D4"/>
    <mergeCell ref="A5:D5"/>
    <mergeCell ref="A6:D6"/>
    <mergeCell ref="A8:D8"/>
    <mergeCell ref="A9:D9"/>
    <mergeCell ref="A10:D10"/>
    <mergeCell ref="A12:D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903E-8284-4CA6-98F7-B56078957A4D}">
  <dimension ref="A1:F4996"/>
  <sheetViews>
    <sheetView showGridLines="0" tabSelected="1" workbookViewId="0">
      <selection activeCell="I14" sqref="I14"/>
    </sheetView>
  </sheetViews>
  <sheetFormatPr defaultRowHeight="14.4" x14ac:dyDescent="0.3"/>
  <cols>
    <col min="1" max="1" width="4.6640625" style="16" customWidth="1"/>
    <col min="2" max="2" width="10.77734375" style="37" customWidth="1"/>
    <col min="3" max="3" width="50.6640625" style="38" customWidth="1"/>
    <col min="4" max="5" width="12.6640625" style="3" customWidth="1"/>
    <col min="6" max="6" width="25.6640625" customWidth="1"/>
  </cols>
  <sheetData>
    <row r="1" spans="1:6" ht="18" x14ac:dyDescent="0.3">
      <c r="A1" s="73" t="s">
        <v>26</v>
      </c>
      <c r="B1" s="73"/>
      <c r="C1" s="73"/>
      <c r="D1" s="73"/>
      <c r="E1" s="73"/>
      <c r="F1" s="74"/>
    </row>
    <row r="2" spans="1:6" x14ac:dyDescent="0.3">
      <c r="A2" s="75"/>
      <c r="B2" s="75"/>
      <c r="C2" s="75"/>
      <c r="D2" s="75"/>
      <c r="E2" s="75"/>
      <c r="F2" s="75"/>
    </row>
    <row r="3" spans="1:6" s="12" customFormat="1" ht="31.2" x14ac:dyDescent="0.3">
      <c r="A3" s="14" t="s">
        <v>29</v>
      </c>
      <c r="B3" s="11" t="s">
        <v>1</v>
      </c>
      <c r="C3" s="11" t="s">
        <v>0</v>
      </c>
      <c r="D3" s="18" t="s">
        <v>24</v>
      </c>
      <c r="E3" s="41" t="s">
        <v>2</v>
      </c>
      <c r="F3" s="42" t="s">
        <v>25</v>
      </c>
    </row>
    <row r="4" spans="1:6" x14ac:dyDescent="0.3">
      <c r="A4" s="15">
        <f t="shared" ref="A4:A63" si="0">IF(F4="Saldo zerado",0,IF(F4="Saldo abaixo do mínimo",1,IF(F4="Saldo disponível",2,".")))</f>
        <v>2</v>
      </c>
      <c r="B4" s="37" t="s">
        <v>21</v>
      </c>
      <c r="C4" s="38" t="s">
        <v>257</v>
      </c>
      <c r="D4" s="3">
        <v>50</v>
      </c>
      <c r="E4" s="13">
        <f>IFERROR(IF(AND(B4&lt;&gt;"",C4&lt;&gt;""),SUMIFS(Movimentos!$F$4:$F$9996,Movimentos!$D$4:$D$9996,B4,Movimentos!$C$4:$C$9996,"Entrada")-SUMIFS(Movimentos!$F$4:$F$9996,Movimentos!$D$4:$D$9996,B4,Movimentos!$C$4:$C$9996,"Saída"),""),"")</f>
        <v>69</v>
      </c>
      <c r="F4" s="10" t="str">
        <f>IF(AND(B4&lt;&gt;"",C4&lt;&gt;""),IF(E4=0,"Saldo zerado",IF(E4&lt;D4,"Saldo abaixo do mínimo","Saldo disponível")),"")</f>
        <v>Saldo disponível</v>
      </c>
    </row>
    <row r="5" spans="1:6" x14ac:dyDescent="0.3">
      <c r="A5" s="15">
        <f t="shared" si="0"/>
        <v>2</v>
      </c>
      <c r="B5" s="37" t="s">
        <v>22</v>
      </c>
      <c r="C5" s="38" t="s">
        <v>258</v>
      </c>
      <c r="D5" s="3">
        <v>80</v>
      </c>
      <c r="E5" s="13">
        <f>IFERROR(IF(AND(B5&lt;&gt;"",C5&lt;&gt;""),SUMIFS(Movimentos!$F$4:$F$9996,Movimentos!$D$4:$D$9996,B5,Movimentos!$C$4:$C$9996,"Entrada")-SUMIFS(Movimentos!$F$4:$F$9996,Movimentos!$D$4:$D$9996,B5,Movimentos!$C$4:$C$9996,"Saída"),""),"")</f>
        <v>95</v>
      </c>
      <c r="F5" s="10" t="str">
        <f t="shared" ref="F5:F25" si="1">IF(AND(B5&lt;&gt;"",C5&lt;&gt;""),IF(E5=0,"Saldo zerado",IF(E5&lt;D5,"Saldo abaixo do mínimo","Saldo disponível")),"")</f>
        <v>Saldo disponível</v>
      </c>
    </row>
    <row r="6" spans="1:6" x14ac:dyDescent="0.3">
      <c r="A6" s="15">
        <f t="shared" si="0"/>
        <v>2</v>
      </c>
      <c r="B6" s="37" t="s">
        <v>23</v>
      </c>
      <c r="C6" s="38" t="s">
        <v>147</v>
      </c>
      <c r="D6" s="3">
        <v>10</v>
      </c>
      <c r="E6" s="13">
        <f>IFERROR(IF(AND(B6&lt;&gt;"",C6&lt;&gt;""),SUMIFS(Movimentos!$F$4:$F$9996,Movimentos!$D$4:$D$9996,B6,Movimentos!$C$4:$C$9996,"Entrada")-SUMIFS(Movimentos!$F$4:$F$9996,Movimentos!$D$4:$D$9996,B6,Movimentos!$C$4:$C$9996,"Saída"),""),"")</f>
        <v>19</v>
      </c>
      <c r="F6" s="10" t="str">
        <f t="shared" si="1"/>
        <v>Saldo disponível</v>
      </c>
    </row>
    <row r="7" spans="1:6" x14ac:dyDescent="0.3">
      <c r="A7" s="15">
        <f t="shared" si="0"/>
        <v>2</v>
      </c>
      <c r="B7" s="37" t="s">
        <v>55</v>
      </c>
      <c r="C7" s="38" t="s">
        <v>148</v>
      </c>
      <c r="D7" s="3">
        <v>50</v>
      </c>
      <c r="E7" s="13">
        <f>IFERROR(IF(AND(B7&lt;&gt;"",C7&lt;&gt;""),SUMIFS(Movimentos!$F$4:$F$9996,Movimentos!$D$4:$D$9996,B7,Movimentos!$C$4:$C$9996,"Entrada")-SUMIFS(Movimentos!$F$4:$F$9996,Movimentos!$D$4:$D$9996,B7,Movimentos!$C$4:$C$9996,"Saída"),""),"")</f>
        <v>166</v>
      </c>
      <c r="F7" s="10" t="str">
        <f t="shared" si="1"/>
        <v>Saldo disponível</v>
      </c>
    </row>
    <row r="8" spans="1:6" x14ac:dyDescent="0.3">
      <c r="A8" s="15">
        <f t="shared" si="0"/>
        <v>2</v>
      </c>
      <c r="B8" s="37" t="s">
        <v>56</v>
      </c>
      <c r="C8" s="38" t="s">
        <v>149</v>
      </c>
      <c r="D8" s="3">
        <v>10</v>
      </c>
      <c r="E8" s="13">
        <f>IFERROR(IF(AND(B8&lt;&gt;"",C8&lt;&gt;""),SUMIFS(Movimentos!$F$4:$F$9996,Movimentos!$D$4:$D$9996,B8,Movimentos!$C$4:$C$9996,"Entrada")-SUMIFS(Movimentos!$F$4:$F$9996,Movimentos!$D$4:$D$9996,B8,Movimentos!$C$4:$C$9996,"Saída"),""),"")</f>
        <v>39</v>
      </c>
      <c r="F8" s="10" t="str">
        <f t="shared" si="1"/>
        <v>Saldo disponível</v>
      </c>
    </row>
    <row r="9" spans="1:6" x14ac:dyDescent="0.3">
      <c r="A9" s="15">
        <f t="shared" si="0"/>
        <v>2</v>
      </c>
      <c r="B9" s="37" t="s">
        <v>57</v>
      </c>
      <c r="C9" s="38" t="s">
        <v>150</v>
      </c>
      <c r="D9" s="3">
        <v>200</v>
      </c>
      <c r="E9" s="13">
        <f>IFERROR(IF(AND(B9&lt;&gt;"",C9&lt;&gt;""),SUMIFS(Movimentos!$F$4:$F$9996,Movimentos!$D$4:$D$9996,B9,Movimentos!$C$4:$C$9996,"Entrada")-SUMIFS(Movimentos!$F$4:$F$9996,Movimentos!$D$4:$D$9996,B9,Movimentos!$C$4:$C$9996,"Saída"),""),"")</f>
        <v>389</v>
      </c>
      <c r="F9" s="10" t="str">
        <f t="shared" si="1"/>
        <v>Saldo disponível</v>
      </c>
    </row>
    <row r="10" spans="1:6" x14ac:dyDescent="0.3">
      <c r="A10" s="15">
        <f t="shared" si="0"/>
        <v>1</v>
      </c>
      <c r="B10" s="37" t="s">
        <v>58</v>
      </c>
      <c r="C10" s="38" t="s">
        <v>151</v>
      </c>
      <c r="D10" s="3">
        <v>10</v>
      </c>
      <c r="E10" s="13">
        <f>IFERROR(IF(AND(B10&lt;&gt;"",C10&lt;&gt;""),SUMIFS(Movimentos!$F$4:$F$9996,Movimentos!$D$4:$D$9996,B10,Movimentos!$C$4:$C$9996,"Entrada")-SUMIFS(Movimentos!$F$4:$F$9996,Movimentos!$D$4:$D$9996,B10,Movimentos!$C$4:$C$9996,"Saída"),""),"")</f>
        <v>2</v>
      </c>
      <c r="F10" s="10" t="str">
        <f t="shared" si="1"/>
        <v>Saldo abaixo do mínimo</v>
      </c>
    </row>
    <row r="11" spans="1:6" x14ac:dyDescent="0.3">
      <c r="A11" s="15">
        <f t="shared" si="0"/>
        <v>2</v>
      </c>
      <c r="B11" s="37" t="s">
        <v>59</v>
      </c>
      <c r="C11" s="38" t="s">
        <v>203</v>
      </c>
      <c r="D11" s="3">
        <v>10</v>
      </c>
      <c r="E11" s="13">
        <f>IFERROR(IF(AND(B11&lt;&gt;"",C11&lt;&gt;""),SUMIFS(Movimentos!$F$4:$F$9996,Movimentos!$D$4:$D$9996,B11,Movimentos!$C$4:$C$9996,"Entrada")-SUMIFS(Movimentos!$F$4:$F$9996,Movimentos!$D$4:$D$9996,B11,Movimentos!$C$4:$C$9996,"Saída"),""),"")</f>
        <v>239</v>
      </c>
      <c r="F11" s="10" t="str">
        <f t="shared" si="1"/>
        <v>Saldo disponível</v>
      </c>
    </row>
    <row r="12" spans="1:6" x14ac:dyDescent="0.3">
      <c r="A12" s="15">
        <f t="shared" si="0"/>
        <v>2</v>
      </c>
      <c r="B12" s="37" t="s">
        <v>60</v>
      </c>
      <c r="C12" s="38" t="s">
        <v>152</v>
      </c>
      <c r="D12" s="3">
        <v>30</v>
      </c>
      <c r="E12" s="13">
        <f>IFERROR(IF(AND(B12&lt;&gt;"",C12&lt;&gt;""),SUMIFS(Movimentos!$F$4:$F$9996,Movimentos!$D$4:$D$9996,B12,Movimentos!$C$4:$C$9996,"Entrada")-SUMIFS(Movimentos!$F$4:$F$9996,Movimentos!$D$4:$D$9996,B12,Movimentos!$C$4:$C$9996,"Saída"),""),"")</f>
        <v>111</v>
      </c>
      <c r="F12" s="10" t="str">
        <f t="shared" si="1"/>
        <v>Saldo disponível</v>
      </c>
    </row>
    <row r="13" spans="1:6" x14ac:dyDescent="0.3">
      <c r="A13" s="15">
        <f t="shared" ref="A13:A14" si="2">IF(F13="Saldo zerado",0,IF(F13="Saldo abaixo do mínimo",1,IF(F13="Saldo disponível",2,".")))</f>
        <v>2</v>
      </c>
      <c r="B13" s="37" t="s">
        <v>61</v>
      </c>
      <c r="C13" s="38" t="s">
        <v>153</v>
      </c>
      <c r="D13" s="3">
        <v>10</v>
      </c>
      <c r="E13" s="13">
        <f>IFERROR(IF(AND(B13&lt;&gt;"",C13&lt;&gt;""),SUMIFS(Movimentos!$F$4:$F$9996,Movimentos!$D$4:$D$9996,B13,Movimentos!$C$4:$C$9996,"Entrada")-SUMIFS(Movimentos!$F$4:$F$9996,Movimentos!$D$4:$D$9996,B13,Movimentos!$C$4:$C$9996,"Saída"),""),"")</f>
        <v>193</v>
      </c>
      <c r="F13" s="10" t="str">
        <f t="shared" ref="F13:F14" si="3">IF(AND(B13&lt;&gt;"",C13&lt;&gt;""),IF(E13=0,"Saldo zerado",IF(E13&lt;D13,"Saldo abaixo do mínimo","Saldo disponível")),"")</f>
        <v>Saldo disponível</v>
      </c>
    </row>
    <row r="14" spans="1:6" x14ac:dyDescent="0.3">
      <c r="A14" s="15">
        <f t="shared" si="2"/>
        <v>2</v>
      </c>
      <c r="B14" s="37" t="s">
        <v>62</v>
      </c>
      <c r="C14" s="38" t="s">
        <v>154</v>
      </c>
      <c r="D14" s="3">
        <v>10</v>
      </c>
      <c r="E14" s="13">
        <f>IFERROR(IF(AND(B14&lt;&gt;"",C14&lt;&gt;""),SUMIFS(Movimentos!$F$4:$F$9996,Movimentos!$D$4:$D$9996,B14,Movimentos!$C$4:$C$9996,"Entrada")-SUMIFS(Movimentos!$F$4:$F$9996,Movimentos!$D$4:$D$9996,B14,Movimentos!$C$4:$C$9996,"Saída"),""),"")</f>
        <v>284</v>
      </c>
      <c r="F14" s="10" t="str">
        <f t="shared" si="3"/>
        <v>Saldo disponível</v>
      </c>
    </row>
    <row r="15" spans="1:6" x14ac:dyDescent="0.3">
      <c r="A15" s="15">
        <f t="shared" si="0"/>
        <v>2</v>
      </c>
      <c r="B15" s="37" t="s">
        <v>63</v>
      </c>
      <c r="C15" s="38" t="s">
        <v>155</v>
      </c>
      <c r="D15" s="3">
        <v>10</v>
      </c>
      <c r="E15" s="13">
        <f>IFERROR(IF(AND(B15&lt;&gt;"",C15&lt;&gt;""),SUMIFS(Movimentos!$F$4:$F$9996,Movimentos!$D$4:$D$9996,B15,Movimentos!$C$4:$C$9996,"Entrada")-SUMIFS(Movimentos!$F$4:$F$9996,Movimentos!$D$4:$D$9996,B15,Movimentos!$C$4:$C$9996,"Saída"),""),"")</f>
        <v>89</v>
      </c>
      <c r="F15" s="10" t="str">
        <f t="shared" si="1"/>
        <v>Saldo disponível</v>
      </c>
    </row>
    <row r="16" spans="1:6" x14ac:dyDescent="0.3">
      <c r="A16" s="15">
        <f t="shared" si="0"/>
        <v>2</v>
      </c>
      <c r="B16" s="37" t="s">
        <v>64</v>
      </c>
      <c r="C16" s="38" t="s">
        <v>156</v>
      </c>
      <c r="D16" s="3">
        <v>10</v>
      </c>
      <c r="E16" s="13">
        <f>IFERROR(IF(AND(B16&lt;&gt;"",C16&lt;&gt;""),SUMIFS(Movimentos!$F$4:$F$9996,Movimentos!$D$4:$D$9996,B16,Movimentos!$C$4:$C$9996,"Entrada")-SUMIFS(Movimentos!$F$4:$F$9996,Movimentos!$D$4:$D$9996,B16,Movimentos!$C$4:$C$9996,"Saída"),""),"")</f>
        <v>16</v>
      </c>
      <c r="F16" s="10" t="str">
        <f t="shared" si="1"/>
        <v>Saldo disponível</v>
      </c>
    </row>
    <row r="17" spans="1:6" x14ac:dyDescent="0.3">
      <c r="A17" s="15">
        <f t="shared" si="0"/>
        <v>2</v>
      </c>
      <c r="B17" s="37" t="s">
        <v>65</v>
      </c>
      <c r="C17" s="38" t="s">
        <v>157</v>
      </c>
      <c r="D17" s="3">
        <v>10</v>
      </c>
      <c r="E17" s="13">
        <f>IFERROR(IF(AND(B17&lt;&gt;"",C17&lt;&gt;""),SUMIFS(Movimentos!$F$4:$F$9996,Movimentos!$D$4:$D$9996,B17,Movimentos!$C$4:$C$9996,"Entrada")-SUMIFS(Movimentos!$F$4:$F$9996,Movimentos!$D$4:$D$9996,B17,Movimentos!$C$4:$C$9996,"Saída"),""),"")</f>
        <v>583</v>
      </c>
      <c r="F17" s="10" t="str">
        <f t="shared" si="1"/>
        <v>Saldo disponível</v>
      </c>
    </row>
    <row r="18" spans="1:6" x14ac:dyDescent="0.3">
      <c r="A18" s="15">
        <f t="shared" si="0"/>
        <v>2</v>
      </c>
      <c r="B18" s="37" t="s">
        <v>66</v>
      </c>
      <c r="C18" s="38" t="s">
        <v>158</v>
      </c>
      <c r="D18" s="3">
        <v>10</v>
      </c>
      <c r="E18" s="13">
        <f>IFERROR(IF(AND(B18&lt;&gt;"",C18&lt;&gt;""),SUMIFS(Movimentos!$F$4:$F$9996,Movimentos!$D$4:$D$9996,B18,Movimentos!$C$4:$C$9996,"Entrada")-SUMIFS(Movimentos!$F$4:$F$9996,Movimentos!$D$4:$D$9996,B18,Movimentos!$C$4:$C$9996,"Saída"),""),"")</f>
        <v>706</v>
      </c>
      <c r="F18" s="10" t="str">
        <f t="shared" si="1"/>
        <v>Saldo disponível</v>
      </c>
    </row>
    <row r="19" spans="1:6" x14ac:dyDescent="0.3">
      <c r="A19" s="15">
        <f t="shared" si="0"/>
        <v>1</v>
      </c>
      <c r="B19" s="37" t="s">
        <v>67</v>
      </c>
      <c r="C19" s="38" t="s">
        <v>159</v>
      </c>
      <c r="D19" s="3">
        <v>10</v>
      </c>
      <c r="E19" s="13">
        <f>IFERROR(IF(AND(B19&lt;&gt;"",C19&lt;&gt;""),SUMIFS(Movimentos!$F$4:$F$9996,Movimentos!$D$4:$D$9996,B19,Movimentos!$C$4:$C$9996,"Entrada")-SUMIFS(Movimentos!$F$4:$F$9996,Movimentos!$D$4:$D$9996,B19,Movimentos!$C$4:$C$9996,"Saída"),""),"")</f>
        <v>3</v>
      </c>
      <c r="F19" s="10" t="str">
        <f t="shared" si="1"/>
        <v>Saldo abaixo do mínimo</v>
      </c>
    </row>
    <row r="20" spans="1:6" x14ac:dyDescent="0.3">
      <c r="A20" s="15">
        <f t="shared" si="0"/>
        <v>2</v>
      </c>
      <c r="B20" s="37" t="s">
        <v>68</v>
      </c>
      <c r="C20" s="38" t="s">
        <v>242</v>
      </c>
      <c r="D20" s="3">
        <v>300</v>
      </c>
      <c r="E20" s="13">
        <f>IFERROR(IF(AND(B20&lt;&gt;"",C20&lt;&gt;""),SUMIFS(Movimentos!$F$4:$F$9996,Movimentos!$D$4:$D$9996,B20,Movimentos!$C$4:$C$9996,"Entrada")-SUMIFS(Movimentos!$F$4:$F$9996,Movimentos!$D$4:$D$9996,B20,Movimentos!$C$4:$C$9996,"Saída"),""),"")</f>
        <v>612</v>
      </c>
      <c r="F20" s="10" t="str">
        <f t="shared" si="1"/>
        <v>Saldo disponível</v>
      </c>
    </row>
    <row r="21" spans="1:6" x14ac:dyDescent="0.3">
      <c r="A21" s="15">
        <f t="shared" si="0"/>
        <v>2</v>
      </c>
      <c r="B21" s="37" t="s">
        <v>69</v>
      </c>
      <c r="C21" s="38" t="s">
        <v>179</v>
      </c>
      <c r="D21" s="3">
        <v>10</v>
      </c>
      <c r="E21" s="13">
        <f>IFERROR(IF(AND(B21&lt;&gt;"",C21&lt;&gt;""),SUMIFS(Movimentos!$F$4:$F$9996,Movimentos!$D$4:$D$9996,B21,Movimentos!$C$4:$C$9996,"Entrada")-SUMIFS(Movimentos!$F$4:$F$9996,Movimentos!$D$4:$D$9996,B21,Movimentos!$C$4:$C$9996,"Saída"),""),"")</f>
        <v>107</v>
      </c>
      <c r="F21" s="10" t="str">
        <f t="shared" si="1"/>
        <v>Saldo disponível</v>
      </c>
    </row>
    <row r="22" spans="1:6" x14ac:dyDescent="0.3">
      <c r="A22" s="15">
        <f t="shared" si="0"/>
        <v>1</v>
      </c>
      <c r="B22" s="37" t="s">
        <v>70</v>
      </c>
      <c r="C22" s="38" t="s">
        <v>188</v>
      </c>
      <c r="D22" s="3">
        <v>10</v>
      </c>
      <c r="E22" s="13">
        <f>IFERROR(IF(AND(B22&lt;&gt;"",C22&lt;&gt;""),SUMIFS(Movimentos!$F$4:$F$9996,Movimentos!$D$4:$D$9996,B22,Movimentos!$C$4:$C$9996,"Entrada")-SUMIFS(Movimentos!$F$4:$F$9996,Movimentos!$D$4:$D$9996,B22,Movimentos!$C$4:$C$9996,"Saída"),""),"")</f>
        <v>2</v>
      </c>
      <c r="F22" s="10" t="str">
        <f t="shared" si="1"/>
        <v>Saldo abaixo do mínimo</v>
      </c>
    </row>
    <row r="23" spans="1:6" x14ac:dyDescent="0.3">
      <c r="A23" s="15">
        <f t="shared" si="0"/>
        <v>1</v>
      </c>
      <c r="B23" s="37" t="s">
        <v>71</v>
      </c>
      <c r="C23" s="38" t="s">
        <v>190</v>
      </c>
      <c r="D23" s="3">
        <v>10</v>
      </c>
      <c r="E23" s="13">
        <f>IFERROR(IF(AND(B23&lt;&gt;"",C23&lt;&gt;""),SUMIFS(Movimentos!$F$4:$F$9996,Movimentos!$D$4:$D$9996,B23,Movimentos!$C$4:$C$9996,"Entrada")-SUMIFS(Movimentos!$F$4:$F$9996,Movimentos!$D$4:$D$9996,B23,Movimentos!$C$4:$C$9996,"Saída"),""),"")</f>
        <v>2</v>
      </c>
      <c r="F23" s="10" t="str">
        <f t="shared" si="1"/>
        <v>Saldo abaixo do mínimo</v>
      </c>
    </row>
    <row r="24" spans="1:6" x14ac:dyDescent="0.3">
      <c r="A24" s="15">
        <f t="shared" si="0"/>
        <v>1</v>
      </c>
      <c r="B24" s="37" t="s">
        <v>72</v>
      </c>
      <c r="C24" s="38" t="s">
        <v>205</v>
      </c>
      <c r="D24" s="3">
        <v>10</v>
      </c>
      <c r="E24" s="13">
        <f>IFERROR(IF(AND(B24&lt;&gt;"",C24&lt;&gt;""),SUMIFS(Movimentos!$F$4:$F$9996,Movimentos!$D$4:$D$9996,B24,Movimentos!$C$4:$C$9996,"Entrada")-SUMIFS(Movimentos!$F$4:$F$9996,Movimentos!$D$4:$D$9996,B24,Movimentos!$C$4:$C$9996,"Saída"),""),"")</f>
        <v>4</v>
      </c>
      <c r="F24" s="10" t="str">
        <f t="shared" si="1"/>
        <v>Saldo abaixo do mínimo</v>
      </c>
    </row>
    <row r="25" spans="1:6" x14ac:dyDescent="0.3">
      <c r="A25" s="15">
        <f t="shared" si="0"/>
        <v>2</v>
      </c>
      <c r="B25" s="37" t="s">
        <v>73</v>
      </c>
      <c r="C25" s="38" t="s">
        <v>216</v>
      </c>
      <c r="D25" s="3">
        <v>10</v>
      </c>
      <c r="E25" s="13">
        <f>IFERROR(IF(AND(B25&lt;&gt;"",C25&lt;&gt;""),SUMIFS(Movimentos!$F$4:$F$9996,Movimentos!$D$4:$D$9996,B25,Movimentos!$C$4:$C$9996,"Entrada")-SUMIFS(Movimentos!$F$4:$F$9996,Movimentos!$D$4:$D$9996,B25,Movimentos!$C$4:$C$9996,"Saída"),""),"")</f>
        <v>3300</v>
      </c>
      <c r="F25" s="10" t="str">
        <f t="shared" si="1"/>
        <v>Saldo disponível</v>
      </c>
    </row>
    <row r="26" spans="1:6" x14ac:dyDescent="0.3">
      <c r="A26" s="15">
        <f t="shared" si="0"/>
        <v>2</v>
      </c>
      <c r="B26" s="37" t="s">
        <v>74</v>
      </c>
      <c r="C26" s="38" t="s">
        <v>215</v>
      </c>
      <c r="D26" s="3">
        <v>10</v>
      </c>
      <c r="E26" s="13">
        <f>IFERROR(IF(AND(B26&lt;&gt;"",C26&lt;&gt;""),SUMIFS(Movimentos!$F$4:$F$9996,Movimentos!$D$4:$D$9996,B26,Movimentos!$C$4:$C$9996,"Entrada")-SUMIFS(Movimentos!$F$4:$F$9996,Movimentos!$D$4:$D$9996,B26,Movimentos!$C$4:$C$9996,"Saída"),""),"")</f>
        <v>71500</v>
      </c>
      <c r="F26" s="10" t="str">
        <f t="shared" ref="F26:F86" si="4">IF(AND(B26&lt;&gt;"",C26&lt;&gt;""),IF(E26=0,"Saldo zerado",IF(E26&lt;D26,"Saldo abaixo do mínimo","Saldo disponível")),"")</f>
        <v>Saldo disponível</v>
      </c>
    </row>
    <row r="27" spans="1:6" x14ac:dyDescent="0.3">
      <c r="A27" s="15">
        <f t="shared" si="0"/>
        <v>2</v>
      </c>
      <c r="B27" s="37" t="s">
        <v>75</v>
      </c>
      <c r="C27" s="38" t="s">
        <v>217</v>
      </c>
      <c r="D27" s="3">
        <v>10</v>
      </c>
      <c r="E27" s="13">
        <f>IFERROR(IF(AND(B27&lt;&gt;"",C27&lt;&gt;""),SUMIFS(Movimentos!$F$4:$F$9996,Movimentos!$D$4:$D$9996,B27,Movimentos!$C$4:$C$9996,"Entrada")-SUMIFS(Movimentos!$F$4:$F$9996,Movimentos!$D$4:$D$9996,B27,Movimentos!$C$4:$C$9996,"Saída"),""),"")</f>
        <v>9000</v>
      </c>
      <c r="F27" s="10" t="str">
        <f t="shared" si="4"/>
        <v>Saldo disponível</v>
      </c>
    </row>
    <row r="28" spans="1:6" x14ac:dyDescent="0.3">
      <c r="A28" s="15">
        <f t="shared" si="0"/>
        <v>2</v>
      </c>
      <c r="B28" s="37" t="s">
        <v>76</v>
      </c>
      <c r="C28" s="38" t="s">
        <v>219</v>
      </c>
      <c r="D28" s="3">
        <v>10</v>
      </c>
      <c r="E28" s="13">
        <f>IFERROR(IF(AND(B28&lt;&gt;"",C28&lt;&gt;""),SUMIFS(Movimentos!$F$4:$F$9996,Movimentos!$D$4:$D$9996,B28,Movimentos!$C$4:$C$9996,"Entrada")-SUMIFS(Movimentos!$F$4:$F$9996,Movimentos!$D$4:$D$9996,B28,Movimentos!$C$4:$C$9996,"Saída"),""),"")</f>
        <v>27</v>
      </c>
      <c r="F28" s="10" t="str">
        <f t="shared" si="4"/>
        <v>Saldo disponível</v>
      </c>
    </row>
    <row r="29" spans="1:6" x14ac:dyDescent="0.3">
      <c r="A29" s="15">
        <f t="shared" si="0"/>
        <v>1</v>
      </c>
      <c r="B29" s="37" t="s">
        <v>77</v>
      </c>
      <c r="C29" s="38" t="s">
        <v>231</v>
      </c>
      <c r="D29" s="3">
        <v>5</v>
      </c>
      <c r="E29" s="13">
        <f>IFERROR(IF(AND(B29&lt;&gt;"",C29&lt;&gt;""),SUMIFS(Movimentos!$F$4:$F$9996,Movimentos!$D$4:$D$9996,B29,Movimentos!$C$4:$C$9996,"Entrada")-SUMIFS(Movimentos!$F$4:$F$9996,Movimentos!$D$4:$D$9996,B29,Movimentos!$C$4:$C$9996,"Saída"),""),"")</f>
        <v>3</v>
      </c>
      <c r="F29" s="10" t="str">
        <f t="shared" si="4"/>
        <v>Saldo abaixo do mínimo</v>
      </c>
    </row>
    <row r="30" spans="1:6" x14ac:dyDescent="0.3">
      <c r="A30" s="15">
        <f t="shared" si="0"/>
        <v>1</v>
      </c>
      <c r="B30" s="37" t="s">
        <v>78</v>
      </c>
      <c r="C30" s="38" t="s">
        <v>239</v>
      </c>
      <c r="D30" s="3">
        <v>5</v>
      </c>
      <c r="E30" s="13">
        <f>IFERROR(IF(AND(B30&lt;&gt;"",C30&lt;&gt;""),SUMIFS(Movimentos!$F$4:$F$9996,Movimentos!$D$4:$D$9996,B30,Movimentos!$C$4:$C$9996,"Entrada")-SUMIFS(Movimentos!$F$4:$F$9996,Movimentos!$D$4:$D$9996,B30,Movimentos!$C$4:$C$9996,"Saída"),""),"")</f>
        <v>2</v>
      </c>
      <c r="F30" s="10" t="str">
        <f t="shared" si="4"/>
        <v>Saldo abaixo do mínimo</v>
      </c>
    </row>
    <row r="31" spans="1:6" x14ac:dyDescent="0.3">
      <c r="A31" s="15">
        <f t="shared" si="0"/>
        <v>2</v>
      </c>
      <c r="B31" s="37" t="s">
        <v>80</v>
      </c>
      <c r="C31" s="38" t="s">
        <v>244</v>
      </c>
      <c r="D31" s="3">
        <v>10</v>
      </c>
      <c r="E31" s="13">
        <f>IFERROR(IF(AND(B31&lt;&gt;"",C31&lt;&gt;""),SUMIFS(Movimentos!$F$4:$F$9996,Movimentos!$D$4:$D$9996,B31,Movimentos!$C$4:$C$9996,"Entrada")-SUMIFS(Movimentos!$F$4:$F$9996,Movimentos!$D$4:$D$9996,B31,Movimentos!$C$4:$C$9996,"Saída"),""),"")</f>
        <v>61</v>
      </c>
      <c r="F31" s="10" t="str">
        <f t="shared" si="4"/>
        <v>Saldo disponível</v>
      </c>
    </row>
    <row r="32" spans="1:6" x14ac:dyDescent="0.3">
      <c r="A32" s="15" t="str">
        <f t="shared" si="0"/>
        <v>.</v>
      </c>
      <c r="B32" s="37" t="s">
        <v>81</v>
      </c>
      <c r="D32" s="3">
        <v>10</v>
      </c>
      <c r="E32" s="13" t="str">
        <f>IFERROR(IF(AND(B32&lt;&gt;"",C32&lt;&gt;""),SUMIFS(Movimentos!$F$4:$F$9996,Movimentos!$D$4:$D$9996,B32,Movimentos!$C$4:$C$9996,"Entrada")-SUMIFS(Movimentos!$F$4:$F$9996,Movimentos!$D$4:$D$9996,B32,Movimentos!$C$4:$C$9996,"Saída"),""),"")</f>
        <v/>
      </c>
      <c r="F32" s="10" t="str">
        <f t="shared" si="4"/>
        <v/>
      </c>
    </row>
    <row r="33" spans="1:6" x14ac:dyDescent="0.3">
      <c r="A33" s="15" t="str">
        <f t="shared" si="0"/>
        <v>.</v>
      </c>
      <c r="B33" s="37" t="s">
        <v>82</v>
      </c>
      <c r="D33" s="3">
        <v>10</v>
      </c>
      <c r="E33" s="13" t="str">
        <f>IFERROR(IF(AND(B33&lt;&gt;"",C33&lt;&gt;""),SUMIFS(Movimentos!$F$4:$F$9996,Movimentos!$D$4:$D$9996,B33,Movimentos!$C$4:$C$9996,"Entrada")-SUMIFS(Movimentos!$F$4:$F$9996,Movimentos!$D$4:$D$9996,B33,Movimentos!$C$4:$C$9996,"Saída"),""),"")</f>
        <v/>
      </c>
      <c r="F33" s="10" t="str">
        <f t="shared" si="4"/>
        <v/>
      </c>
    </row>
    <row r="34" spans="1:6" x14ac:dyDescent="0.3">
      <c r="A34" s="15" t="str">
        <f t="shared" si="0"/>
        <v>.</v>
      </c>
      <c r="B34" s="37" t="s">
        <v>83</v>
      </c>
      <c r="D34" s="3">
        <v>10</v>
      </c>
      <c r="E34" s="13" t="str">
        <f>IFERROR(IF(AND(B34&lt;&gt;"",C34&lt;&gt;""),SUMIFS(Movimentos!$F$4:$F$9996,Movimentos!$D$4:$D$9996,B34,Movimentos!$C$4:$C$9996,"Entrada")-SUMIFS(Movimentos!$F$4:$F$9996,Movimentos!$D$4:$D$9996,B34,Movimentos!$C$4:$C$9996,"Saída"),""),"")</f>
        <v/>
      </c>
      <c r="F34" s="10" t="str">
        <f t="shared" si="4"/>
        <v/>
      </c>
    </row>
    <row r="35" spans="1:6" x14ac:dyDescent="0.3">
      <c r="A35" s="15" t="str">
        <f t="shared" si="0"/>
        <v>.</v>
      </c>
      <c r="B35" s="37" t="s">
        <v>84</v>
      </c>
      <c r="D35" s="3">
        <v>10</v>
      </c>
      <c r="E35" s="13" t="str">
        <f>IFERROR(IF(AND(B35&lt;&gt;"",C35&lt;&gt;""),SUMIFS(Movimentos!$F$4:$F$9996,Movimentos!$D$4:$D$9996,B35,Movimentos!$C$4:$C$9996,"Entrada")-SUMIFS(Movimentos!$F$4:$F$9996,Movimentos!$D$4:$D$9996,B35,Movimentos!$C$4:$C$9996,"Saída"),""),"")</f>
        <v/>
      </c>
      <c r="F35" s="10" t="str">
        <f t="shared" si="4"/>
        <v/>
      </c>
    </row>
    <row r="36" spans="1:6" x14ac:dyDescent="0.3">
      <c r="A36" s="15" t="str">
        <f t="shared" si="0"/>
        <v>.</v>
      </c>
      <c r="B36" s="37" t="s">
        <v>85</v>
      </c>
      <c r="D36" s="3">
        <v>10</v>
      </c>
      <c r="E36" s="13" t="str">
        <f>IFERROR(IF(AND(B36&lt;&gt;"",C36&lt;&gt;""),SUMIFS(Movimentos!$F$4:$F$9996,Movimentos!$D$4:$D$9996,B36,Movimentos!$C$4:$C$9996,"Entrada")-SUMIFS(Movimentos!$F$4:$F$9996,Movimentos!$D$4:$D$9996,B36,Movimentos!$C$4:$C$9996,"Saída"),""),"")</f>
        <v/>
      </c>
      <c r="F36" s="10" t="str">
        <f t="shared" si="4"/>
        <v/>
      </c>
    </row>
    <row r="37" spans="1:6" x14ac:dyDescent="0.3">
      <c r="A37" s="15" t="str">
        <f t="shared" si="0"/>
        <v>.</v>
      </c>
      <c r="B37" s="37" t="s">
        <v>86</v>
      </c>
      <c r="D37" s="3">
        <v>10</v>
      </c>
      <c r="E37" s="13" t="str">
        <f>IFERROR(IF(AND(B37&lt;&gt;"",C37&lt;&gt;""),SUMIFS(Movimentos!$F$4:$F$9996,Movimentos!$D$4:$D$9996,B37,Movimentos!$C$4:$C$9996,"Entrada")-SUMIFS(Movimentos!$F$4:$F$9996,Movimentos!$D$4:$D$9996,B37,Movimentos!$C$4:$C$9996,"Saída"),""),"")</f>
        <v/>
      </c>
      <c r="F37" s="10" t="str">
        <f t="shared" si="4"/>
        <v/>
      </c>
    </row>
    <row r="38" spans="1:6" x14ac:dyDescent="0.3">
      <c r="A38" s="15" t="str">
        <f t="shared" si="0"/>
        <v>.</v>
      </c>
      <c r="B38" s="37" t="s">
        <v>87</v>
      </c>
      <c r="D38" s="3">
        <v>10</v>
      </c>
      <c r="E38" s="13" t="str">
        <f>IFERROR(IF(AND(B38&lt;&gt;"",C38&lt;&gt;""),SUMIFS(Movimentos!$F$4:$F$9996,Movimentos!$D$4:$D$9996,B38,Movimentos!$C$4:$C$9996,"Entrada")-SUMIFS(Movimentos!$F$4:$F$9996,Movimentos!$D$4:$D$9996,B38,Movimentos!$C$4:$C$9996,"Saída"),""),"")</f>
        <v/>
      </c>
      <c r="F38" s="10" t="str">
        <f t="shared" si="4"/>
        <v/>
      </c>
    </row>
    <row r="39" spans="1:6" x14ac:dyDescent="0.3">
      <c r="A39" s="15" t="str">
        <f t="shared" si="0"/>
        <v>.</v>
      </c>
      <c r="B39" s="37" t="s">
        <v>88</v>
      </c>
      <c r="D39" s="3">
        <v>10</v>
      </c>
      <c r="E39" s="13" t="str">
        <f>IFERROR(IF(AND(B39&lt;&gt;"",C39&lt;&gt;""),SUMIFS(Movimentos!$F$4:$F$9996,Movimentos!$D$4:$D$9996,B39,Movimentos!$C$4:$C$9996,"Entrada")-SUMIFS(Movimentos!$F$4:$F$9996,Movimentos!$D$4:$D$9996,B39,Movimentos!$C$4:$C$9996,"Saída"),""),"")</f>
        <v/>
      </c>
      <c r="F39" s="10" t="str">
        <f t="shared" si="4"/>
        <v/>
      </c>
    </row>
    <row r="40" spans="1:6" x14ac:dyDescent="0.3">
      <c r="A40" s="15" t="str">
        <f t="shared" si="0"/>
        <v>.</v>
      </c>
      <c r="B40" s="37" t="s">
        <v>89</v>
      </c>
      <c r="D40" s="3">
        <v>10</v>
      </c>
      <c r="E40" s="13" t="str">
        <f>IFERROR(IF(AND(B40&lt;&gt;"",C40&lt;&gt;""),SUMIFS(Movimentos!$F$4:$F$9996,Movimentos!$D$4:$D$9996,B40,Movimentos!$C$4:$C$9996,"Entrada")-SUMIFS(Movimentos!$F$4:$F$9996,Movimentos!$D$4:$D$9996,B40,Movimentos!$C$4:$C$9996,"Saída"),""),"")</f>
        <v/>
      </c>
      <c r="F40" s="10" t="str">
        <f t="shared" si="4"/>
        <v/>
      </c>
    </row>
    <row r="41" spans="1:6" x14ac:dyDescent="0.3">
      <c r="A41" s="15" t="str">
        <f t="shared" si="0"/>
        <v>.</v>
      </c>
      <c r="B41" s="37" t="s">
        <v>90</v>
      </c>
      <c r="D41" s="3">
        <v>10</v>
      </c>
      <c r="E41" s="13" t="str">
        <f>IFERROR(IF(AND(B41&lt;&gt;"",C41&lt;&gt;""),SUMIFS(Movimentos!$F$4:$F$9996,Movimentos!$D$4:$D$9996,B41,Movimentos!$C$4:$C$9996,"Entrada")-SUMIFS(Movimentos!$F$4:$F$9996,Movimentos!$D$4:$D$9996,B41,Movimentos!$C$4:$C$9996,"Saída"),""),"")</f>
        <v/>
      </c>
      <c r="F41" s="10" t="str">
        <f t="shared" si="4"/>
        <v/>
      </c>
    </row>
    <row r="42" spans="1:6" x14ac:dyDescent="0.3">
      <c r="A42" s="15" t="str">
        <f t="shared" si="0"/>
        <v>.</v>
      </c>
      <c r="B42" s="37" t="s">
        <v>91</v>
      </c>
      <c r="D42" s="3">
        <v>10</v>
      </c>
      <c r="E42" s="13" t="str">
        <f>IFERROR(IF(AND(B42&lt;&gt;"",C42&lt;&gt;""),SUMIFS(Movimentos!$F$4:$F$9996,Movimentos!$D$4:$D$9996,B42,Movimentos!$C$4:$C$9996,"Entrada")-SUMIFS(Movimentos!$F$4:$F$9996,Movimentos!$D$4:$D$9996,B42,Movimentos!$C$4:$C$9996,"Saída"),""),"")</f>
        <v/>
      </c>
      <c r="F42" s="10" t="str">
        <f t="shared" si="4"/>
        <v/>
      </c>
    </row>
    <row r="43" spans="1:6" x14ac:dyDescent="0.3">
      <c r="A43" s="15" t="str">
        <f t="shared" si="0"/>
        <v>.</v>
      </c>
      <c r="B43" s="37" t="s">
        <v>92</v>
      </c>
      <c r="D43" s="3">
        <v>10</v>
      </c>
      <c r="E43" s="13" t="str">
        <f>IFERROR(IF(AND(B43&lt;&gt;"",C43&lt;&gt;""),SUMIFS(Movimentos!$F$4:$F$9996,Movimentos!$D$4:$D$9996,B43,Movimentos!$C$4:$C$9996,"Entrada")-SUMIFS(Movimentos!$F$4:$F$9996,Movimentos!$D$4:$D$9996,B43,Movimentos!$C$4:$C$9996,"Saída"),""),"")</f>
        <v/>
      </c>
      <c r="F43" s="10" t="str">
        <f t="shared" si="4"/>
        <v/>
      </c>
    </row>
    <row r="44" spans="1:6" x14ac:dyDescent="0.3">
      <c r="A44" s="15" t="str">
        <f t="shared" si="0"/>
        <v>.</v>
      </c>
      <c r="B44" s="37" t="s">
        <v>93</v>
      </c>
      <c r="D44" s="3">
        <v>10</v>
      </c>
      <c r="E44" s="13" t="str">
        <f>IFERROR(IF(AND(B44&lt;&gt;"",C44&lt;&gt;""),SUMIFS(Movimentos!$F$4:$F$9996,Movimentos!$D$4:$D$9996,B44,Movimentos!$C$4:$C$9996,"Entrada")-SUMIFS(Movimentos!$F$4:$F$9996,Movimentos!$D$4:$D$9996,B44,Movimentos!$C$4:$C$9996,"Saída"),""),"")</f>
        <v/>
      </c>
      <c r="F44" s="10" t="str">
        <f t="shared" si="4"/>
        <v/>
      </c>
    </row>
    <row r="45" spans="1:6" x14ac:dyDescent="0.3">
      <c r="A45" s="15" t="str">
        <f t="shared" si="0"/>
        <v>.</v>
      </c>
      <c r="B45" s="37" t="s">
        <v>94</v>
      </c>
      <c r="D45" s="3">
        <v>10</v>
      </c>
      <c r="E45" s="13" t="str">
        <f>IFERROR(IF(AND(B45&lt;&gt;"",C45&lt;&gt;""),SUMIFS(Movimentos!$F$4:$F$9996,Movimentos!$D$4:$D$9996,B45,Movimentos!$C$4:$C$9996,"Entrada")-SUMIFS(Movimentos!$F$4:$F$9996,Movimentos!$D$4:$D$9996,B45,Movimentos!$C$4:$C$9996,"Saída"),""),"")</f>
        <v/>
      </c>
      <c r="F45" s="10" t="str">
        <f t="shared" si="4"/>
        <v/>
      </c>
    </row>
    <row r="46" spans="1:6" x14ac:dyDescent="0.3">
      <c r="A46" s="15" t="str">
        <f t="shared" si="0"/>
        <v>.</v>
      </c>
      <c r="B46" s="37" t="s">
        <v>95</v>
      </c>
      <c r="D46" s="3">
        <v>10</v>
      </c>
      <c r="E46" s="13" t="str">
        <f>IFERROR(IF(AND(B46&lt;&gt;"",C46&lt;&gt;""),SUMIFS(Movimentos!$F$4:$F$9996,Movimentos!$D$4:$D$9996,B46,Movimentos!$C$4:$C$9996,"Entrada")-SUMIFS(Movimentos!$F$4:$F$9996,Movimentos!$D$4:$D$9996,B46,Movimentos!$C$4:$C$9996,"Saída"),""),"")</f>
        <v/>
      </c>
      <c r="F46" s="10" t="str">
        <f t="shared" si="4"/>
        <v/>
      </c>
    </row>
    <row r="47" spans="1:6" x14ac:dyDescent="0.3">
      <c r="A47" s="15" t="str">
        <f t="shared" si="0"/>
        <v>.</v>
      </c>
      <c r="B47" s="37" t="s">
        <v>96</v>
      </c>
      <c r="D47" s="3">
        <v>10</v>
      </c>
      <c r="E47" s="13" t="str">
        <f>IFERROR(IF(AND(B47&lt;&gt;"",C47&lt;&gt;""),SUMIFS(Movimentos!$F$4:$F$9996,Movimentos!$D$4:$D$9996,B47,Movimentos!$C$4:$C$9996,"Entrada")-SUMIFS(Movimentos!$F$4:$F$9996,Movimentos!$D$4:$D$9996,B47,Movimentos!$C$4:$C$9996,"Saída"),""),"")</f>
        <v/>
      </c>
      <c r="F47" s="10" t="str">
        <f t="shared" si="4"/>
        <v/>
      </c>
    </row>
    <row r="48" spans="1:6" x14ac:dyDescent="0.3">
      <c r="A48" s="15" t="str">
        <f t="shared" si="0"/>
        <v>.</v>
      </c>
      <c r="B48" s="37" t="s">
        <v>97</v>
      </c>
      <c r="D48" s="3">
        <v>10</v>
      </c>
      <c r="E48" s="13" t="str">
        <f>IFERROR(IF(AND(B48&lt;&gt;"",C48&lt;&gt;""),SUMIFS(Movimentos!$F$4:$F$9996,Movimentos!$D$4:$D$9996,B48,Movimentos!$C$4:$C$9996,"Entrada")-SUMIFS(Movimentos!$F$4:$F$9996,Movimentos!$D$4:$D$9996,B48,Movimentos!$C$4:$C$9996,"Saída"),""),"")</f>
        <v/>
      </c>
      <c r="F48" s="10" t="str">
        <f t="shared" si="4"/>
        <v/>
      </c>
    </row>
    <row r="49" spans="1:6" x14ac:dyDescent="0.3">
      <c r="A49" s="15" t="str">
        <f t="shared" si="0"/>
        <v>.</v>
      </c>
      <c r="B49" s="37" t="s">
        <v>98</v>
      </c>
      <c r="D49" s="3">
        <v>10</v>
      </c>
      <c r="E49" s="13" t="str">
        <f>IFERROR(IF(AND(B49&lt;&gt;"",C49&lt;&gt;""),SUMIFS(Movimentos!$F$4:$F$9996,Movimentos!$D$4:$D$9996,B49,Movimentos!$C$4:$C$9996,"Entrada")-SUMIFS(Movimentos!$F$4:$F$9996,Movimentos!$D$4:$D$9996,B49,Movimentos!$C$4:$C$9996,"Saída"),""),"")</f>
        <v/>
      </c>
      <c r="F49" s="10" t="str">
        <f t="shared" si="4"/>
        <v/>
      </c>
    </row>
    <row r="50" spans="1:6" x14ac:dyDescent="0.3">
      <c r="A50" s="15" t="str">
        <f t="shared" si="0"/>
        <v>.</v>
      </c>
      <c r="B50" s="37" t="s">
        <v>99</v>
      </c>
      <c r="D50" s="3">
        <v>10</v>
      </c>
      <c r="E50" s="13" t="str">
        <f>IFERROR(IF(AND(B50&lt;&gt;"",C50&lt;&gt;""),SUMIFS(Movimentos!$F$4:$F$9996,Movimentos!$D$4:$D$9996,B50,Movimentos!$C$4:$C$9996,"Entrada")-SUMIFS(Movimentos!$F$4:$F$9996,Movimentos!$D$4:$D$9996,B50,Movimentos!$C$4:$C$9996,"Saída"),""),"")</f>
        <v/>
      </c>
      <c r="F50" s="10" t="str">
        <f t="shared" si="4"/>
        <v/>
      </c>
    </row>
    <row r="51" spans="1:6" x14ac:dyDescent="0.3">
      <c r="A51" s="15" t="str">
        <f t="shared" si="0"/>
        <v>.</v>
      </c>
      <c r="B51" s="37" t="s">
        <v>100</v>
      </c>
      <c r="D51" s="3">
        <v>10</v>
      </c>
      <c r="E51" s="13" t="str">
        <f>IFERROR(IF(AND(B51&lt;&gt;"",C51&lt;&gt;""),SUMIFS(Movimentos!$F$4:$F$9996,Movimentos!$D$4:$D$9996,B51,Movimentos!$C$4:$C$9996,"Entrada")-SUMIFS(Movimentos!$F$4:$F$9996,Movimentos!$D$4:$D$9996,B51,Movimentos!$C$4:$C$9996,"Saída"),""),"")</f>
        <v/>
      </c>
      <c r="F51" s="10" t="str">
        <f t="shared" si="4"/>
        <v/>
      </c>
    </row>
    <row r="52" spans="1:6" x14ac:dyDescent="0.3">
      <c r="A52" s="15" t="str">
        <f t="shared" si="0"/>
        <v>.</v>
      </c>
      <c r="B52" s="37" t="s">
        <v>101</v>
      </c>
      <c r="D52" s="3">
        <v>10</v>
      </c>
      <c r="E52" s="13" t="str">
        <f>IFERROR(IF(AND(B52&lt;&gt;"",C52&lt;&gt;""),SUMIFS(Movimentos!$F$4:$F$9996,Movimentos!$D$4:$D$9996,B52,Movimentos!$C$4:$C$9996,"Entrada")-SUMIFS(Movimentos!$F$4:$F$9996,Movimentos!$D$4:$D$9996,B52,Movimentos!$C$4:$C$9996,"Saída"),""),"")</f>
        <v/>
      </c>
      <c r="F52" s="10" t="str">
        <f t="shared" si="4"/>
        <v/>
      </c>
    </row>
    <row r="53" spans="1:6" x14ac:dyDescent="0.3">
      <c r="A53" s="15" t="str">
        <f t="shared" si="0"/>
        <v>.</v>
      </c>
      <c r="B53" s="37" t="s">
        <v>102</v>
      </c>
      <c r="D53" s="3">
        <v>10</v>
      </c>
      <c r="E53" s="13" t="str">
        <f>IFERROR(IF(AND(B53&lt;&gt;"",C53&lt;&gt;""),SUMIFS(Movimentos!$F$4:$F$9996,Movimentos!$D$4:$D$9996,B53,Movimentos!$C$4:$C$9996,"Entrada")-SUMIFS(Movimentos!$F$4:$F$9996,Movimentos!$D$4:$D$9996,B53,Movimentos!$C$4:$C$9996,"Saída"),""),"")</f>
        <v/>
      </c>
      <c r="F53" s="10" t="str">
        <f t="shared" si="4"/>
        <v/>
      </c>
    </row>
    <row r="54" spans="1:6" x14ac:dyDescent="0.3">
      <c r="A54" s="15" t="str">
        <f t="shared" si="0"/>
        <v>.</v>
      </c>
      <c r="B54" s="37" t="s">
        <v>103</v>
      </c>
      <c r="D54" s="3">
        <v>10</v>
      </c>
      <c r="E54" s="13" t="str">
        <f>IFERROR(IF(AND(B54&lt;&gt;"",C54&lt;&gt;""),SUMIFS(Movimentos!$F$4:$F$9996,Movimentos!$D$4:$D$9996,B54,Movimentos!$C$4:$C$9996,"Entrada")-SUMIFS(Movimentos!$F$4:$F$9996,Movimentos!$D$4:$D$9996,B54,Movimentos!$C$4:$C$9996,"Saída"),""),"")</f>
        <v/>
      </c>
      <c r="F54" s="10" t="str">
        <f t="shared" si="4"/>
        <v/>
      </c>
    </row>
    <row r="55" spans="1:6" x14ac:dyDescent="0.3">
      <c r="A55" s="15" t="str">
        <f t="shared" si="0"/>
        <v>.</v>
      </c>
      <c r="B55" s="37" t="s">
        <v>104</v>
      </c>
      <c r="D55" s="3">
        <v>10</v>
      </c>
      <c r="E55" s="13" t="str">
        <f>IFERROR(IF(AND(B55&lt;&gt;"",C55&lt;&gt;""),SUMIFS(Movimentos!$F$4:$F$9996,Movimentos!$D$4:$D$9996,B55,Movimentos!$C$4:$C$9996,"Entrada")-SUMIFS(Movimentos!$F$4:$F$9996,Movimentos!$D$4:$D$9996,B55,Movimentos!$C$4:$C$9996,"Saída"),""),"")</f>
        <v/>
      </c>
      <c r="F55" s="10" t="str">
        <f t="shared" si="4"/>
        <v/>
      </c>
    </row>
    <row r="56" spans="1:6" x14ac:dyDescent="0.3">
      <c r="A56" s="15" t="str">
        <f t="shared" si="0"/>
        <v>.</v>
      </c>
      <c r="B56" s="37" t="s">
        <v>105</v>
      </c>
      <c r="D56" s="3">
        <v>10</v>
      </c>
      <c r="E56" s="13" t="str">
        <f>IFERROR(IF(AND(B56&lt;&gt;"",C56&lt;&gt;""),SUMIFS(Movimentos!$F$4:$F$9996,Movimentos!$D$4:$D$9996,B56,Movimentos!$C$4:$C$9996,"Entrada")-SUMIFS(Movimentos!$F$4:$F$9996,Movimentos!$D$4:$D$9996,B56,Movimentos!$C$4:$C$9996,"Saída"),""),"")</f>
        <v/>
      </c>
      <c r="F56" s="10" t="str">
        <f t="shared" si="4"/>
        <v/>
      </c>
    </row>
    <row r="57" spans="1:6" x14ac:dyDescent="0.3">
      <c r="A57" s="15" t="str">
        <f t="shared" si="0"/>
        <v>.</v>
      </c>
      <c r="B57" s="37" t="s">
        <v>106</v>
      </c>
      <c r="D57" s="3">
        <v>10</v>
      </c>
      <c r="E57" s="13" t="str">
        <f>IFERROR(IF(AND(B57&lt;&gt;"",C57&lt;&gt;""),SUMIFS(Movimentos!$F$4:$F$9996,Movimentos!$D$4:$D$9996,B57,Movimentos!$C$4:$C$9996,"Entrada")-SUMIFS(Movimentos!$F$4:$F$9996,Movimentos!$D$4:$D$9996,B57,Movimentos!$C$4:$C$9996,"Saída"),""),"")</f>
        <v/>
      </c>
      <c r="F57" s="10" t="str">
        <f t="shared" si="4"/>
        <v/>
      </c>
    </row>
    <row r="58" spans="1:6" x14ac:dyDescent="0.3">
      <c r="A58" s="15" t="str">
        <f t="shared" si="0"/>
        <v>.</v>
      </c>
      <c r="B58" s="37" t="s">
        <v>107</v>
      </c>
      <c r="D58" s="3">
        <v>10</v>
      </c>
      <c r="E58" s="13" t="str">
        <f>IFERROR(IF(AND(B58&lt;&gt;"",C58&lt;&gt;""),SUMIFS(Movimentos!$F$4:$F$9996,Movimentos!$D$4:$D$9996,B58,Movimentos!$C$4:$C$9996,"Entrada")-SUMIFS(Movimentos!$F$4:$F$9996,Movimentos!$D$4:$D$9996,B58,Movimentos!$C$4:$C$9996,"Saída"),""),"")</f>
        <v/>
      </c>
      <c r="F58" s="10" t="str">
        <f t="shared" si="4"/>
        <v/>
      </c>
    </row>
    <row r="59" spans="1:6" x14ac:dyDescent="0.3">
      <c r="A59" s="15" t="str">
        <f t="shared" si="0"/>
        <v>.</v>
      </c>
      <c r="B59" s="37" t="s">
        <v>108</v>
      </c>
      <c r="D59" s="3">
        <v>10</v>
      </c>
      <c r="E59" s="13" t="str">
        <f>IFERROR(IF(AND(B59&lt;&gt;"",C59&lt;&gt;""),SUMIFS(Movimentos!$F$4:$F$9996,Movimentos!$D$4:$D$9996,B59,Movimentos!$C$4:$C$9996,"Entrada")-SUMIFS(Movimentos!$F$4:$F$9996,Movimentos!$D$4:$D$9996,B59,Movimentos!$C$4:$C$9996,"Saída"),""),"")</f>
        <v/>
      </c>
      <c r="F59" s="10" t="str">
        <f t="shared" si="4"/>
        <v/>
      </c>
    </row>
    <row r="60" spans="1:6" x14ac:dyDescent="0.3">
      <c r="A60" s="15" t="str">
        <f t="shared" si="0"/>
        <v>.</v>
      </c>
      <c r="B60" s="37" t="s">
        <v>109</v>
      </c>
      <c r="D60" s="3">
        <v>10</v>
      </c>
      <c r="E60" s="13" t="str">
        <f>IFERROR(IF(AND(B60&lt;&gt;"",C60&lt;&gt;""),SUMIFS(Movimentos!$F$4:$F$9996,Movimentos!$D$4:$D$9996,B60,Movimentos!$C$4:$C$9996,"Entrada")-SUMIFS(Movimentos!$F$4:$F$9996,Movimentos!$D$4:$D$9996,B60,Movimentos!$C$4:$C$9996,"Saída"),""),"")</f>
        <v/>
      </c>
      <c r="F60" s="10" t="str">
        <f t="shared" si="4"/>
        <v/>
      </c>
    </row>
    <row r="61" spans="1:6" x14ac:dyDescent="0.3">
      <c r="A61" s="15" t="str">
        <f t="shared" si="0"/>
        <v>.</v>
      </c>
      <c r="B61" s="37" t="s">
        <v>110</v>
      </c>
      <c r="D61" s="3">
        <v>10</v>
      </c>
      <c r="E61" s="13" t="str">
        <f>IFERROR(IF(AND(B61&lt;&gt;"",C61&lt;&gt;""),SUMIFS(Movimentos!$F$4:$F$9996,Movimentos!$D$4:$D$9996,B61,Movimentos!$C$4:$C$9996,"Entrada")-SUMIFS(Movimentos!$F$4:$F$9996,Movimentos!$D$4:$D$9996,B61,Movimentos!$C$4:$C$9996,"Saída"),""),"")</f>
        <v/>
      </c>
      <c r="F61" s="10" t="str">
        <f t="shared" si="4"/>
        <v/>
      </c>
    </row>
    <row r="62" spans="1:6" x14ac:dyDescent="0.3">
      <c r="A62" s="15" t="str">
        <f t="shared" si="0"/>
        <v>.</v>
      </c>
      <c r="B62" s="37" t="s">
        <v>111</v>
      </c>
      <c r="D62" s="3">
        <v>10</v>
      </c>
      <c r="E62" s="13" t="str">
        <f>IFERROR(IF(AND(B62&lt;&gt;"",C62&lt;&gt;""),SUMIFS(Movimentos!$F$4:$F$9996,Movimentos!$D$4:$D$9996,B62,Movimentos!$C$4:$C$9996,"Entrada")-SUMIFS(Movimentos!$F$4:$F$9996,Movimentos!$D$4:$D$9996,B62,Movimentos!$C$4:$C$9996,"Saída"),""),"")</f>
        <v/>
      </c>
      <c r="F62" s="10" t="str">
        <f t="shared" si="4"/>
        <v/>
      </c>
    </row>
    <row r="63" spans="1:6" x14ac:dyDescent="0.3">
      <c r="A63" s="15" t="str">
        <f t="shared" si="0"/>
        <v>.</v>
      </c>
      <c r="B63" s="37" t="s">
        <v>112</v>
      </c>
      <c r="D63" s="3">
        <v>10</v>
      </c>
      <c r="E63" s="13" t="str">
        <f>IFERROR(IF(AND(B63&lt;&gt;"",C63&lt;&gt;""),SUMIFS(Movimentos!$F$4:$F$9996,Movimentos!$D$4:$D$9996,B63,Movimentos!$C$4:$C$9996,"Entrada")-SUMIFS(Movimentos!$F$4:$F$9996,Movimentos!$D$4:$D$9996,B63,Movimentos!$C$4:$C$9996,"Saída"),""),"")</f>
        <v/>
      </c>
      <c r="F63" s="10" t="str">
        <f t="shared" si="4"/>
        <v/>
      </c>
    </row>
    <row r="64" spans="1:6" x14ac:dyDescent="0.3">
      <c r="A64" s="15" t="str">
        <f>IF(F64="Saldo zerado",0,IF(F64="Saldo abaixo do mínimo",1,IF(F64="Saldo disponível",2,".")))</f>
        <v>.</v>
      </c>
      <c r="B64" s="37" t="s">
        <v>113</v>
      </c>
      <c r="D64" s="3">
        <v>10</v>
      </c>
      <c r="E64" s="13" t="str">
        <f>IFERROR(IF(AND(B64&lt;&gt;"",C64&lt;&gt;""),SUMIFS(Movimentos!$F$4:$F$9996,Movimentos!$D$4:$D$9996,B64,Movimentos!$C$4:$C$9996,"Entrada")-SUMIFS(Movimentos!$F$4:$F$9996,Movimentos!$D$4:$D$9996,B64,Movimentos!$C$4:$C$9996,"Saída"),""),"")</f>
        <v/>
      </c>
      <c r="F64" s="10" t="str">
        <f t="shared" si="4"/>
        <v/>
      </c>
    </row>
    <row r="65" spans="1:6" x14ac:dyDescent="0.3">
      <c r="A65" s="15" t="str">
        <f t="shared" ref="A65:A127" si="5">IF(F65="Saldo zerado",0,IF(F65="Saldo abaixo do mínimo",1,IF(F65="Saldo disponível",2,".")))</f>
        <v>.</v>
      </c>
      <c r="B65" s="37" t="s">
        <v>114</v>
      </c>
      <c r="D65" s="3">
        <v>10</v>
      </c>
      <c r="E65" s="13" t="str">
        <f>IFERROR(IF(AND(B65&lt;&gt;"",C65&lt;&gt;""),SUMIFS(Movimentos!$F$4:$F$9996,Movimentos!$D$4:$D$9996,B65,Movimentos!$C$4:$C$9996,"Entrada")-SUMIFS(Movimentos!$F$4:$F$9996,Movimentos!$D$4:$D$9996,B65,Movimentos!$C$4:$C$9996,"Saída"),""),"")</f>
        <v/>
      </c>
      <c r="F65" s="10" t="str">
        <f t="shared" si="4"/>
        <v/>
      </c>
    </row>
    <row r="66" spans="1:6" x14ac:dyDescent="0.3">
      <c r="A66" s="15" t="str">
        <f t="shared" si="5"/>
        <v>.</v>
      </c>
      <c r="B66" s="37" t="s">
        <v>115</v>
      </c>
      <c r="D66" s="3">
        <v>10</v>
      </c>
      <c r="E66" s="13" t="str">
        <f>IFERROR(IF(AND(B66&lt;&gt;"",C66&lt;&gt;""),SUMIFS(Movimentos!$F$4:$F$9996,Movimentos!$D$4:$D$9996,B66,Movimentos!$C$4:$C$9996,"Entrada")-SUMIFS(Movimentos!$F$4:$F$9996,Movimentos!$D$4:$D$9996,B66,Movimentos!$C$4:$C$9996,"Saída"),""),"")</f>
        <v/>
      </c>
      <c r="F66" s="10" t="str">
        <f t="shared" si="4"/>
        <v/>
      </c>
    </row>
    <row r="67" spans="1:6" x14ac:dyDescent="0.3">
      <c r="A67" s="15" t="str">
        <f t="shared" si="5"/>
        <v>.</v>
      </c>
      <c r="B67" s="37" t="s">
        <v>116</v>
      </c>
      <c r="D67" s="3">
        <v>10</v>
      </c>
      <c r="E67" s="13" t="str">
        <f>IFERROR(IF(AND(B67&lt;&gt;"",C67&lt;&gt;""),SUMIFS(Movimentos!$F$4:$F$9996,Movimentos!$D$4:$D$9996,B67,Movimentos!$C$4:$C$9996,"Entrada")-SUMIFS(Movimentos!$F$4:$F$9996,Movimentos!$D$4:$D$9996,B67,Movimentos!$C$4:$C$9996,"Saída"),""),"")</f>
        <v/>
      </c>
      <c r="F67" s="10" t="str">
        <f t="shared" si="4"/>
        <v/>
      </c>
    </row>
    <row r="68" spans="1:6" x14ac:dyDescent="0.3">
      <c r="A68" s="15" t="str">
        <f t="shared" si="5"/>
        <v>.</v>
      </c>
      <c r="B68" s="37" t="s">
        <v>117</v>
      </c>
      <c r="D68" s="3">
        <v>10</v>
      </c>
      <c r="E68" s="13" t="str">
        <f>IFERROR(IF(AND(B68&lt;&gt;"",C68&lt;&gt;""),SUMIFS(Movimentos!$F$4:$F$9996,Movimentos!$D$4:$D$9996,B68,Movimentos!$C$4:$C$9996,"Entrada")-SUMIFS(Movimentos!$F$4:$F$9996,Movimentos!$D$4:$D$9996,B68,Movimentos!$C$4:$C$9996,"Saída"),""),"")</f>
        <v/>
      </c>
      <c r="F68" s="10" t="str">
        <f t="shared" si="4"/>
        <v/>
      </c>
    </row>
    <row r="69" spans="1:6" x14ac:dyDescent="0.3">
      <c r="A69" s="15" t="str">
        <f t="shared" si="5"/>
        <v>.</v>
      </c>
      <c r="B69" s="37" t="s">
        <v>118</v>
      </c>
      <c r="D69" s="3">
        <v>10</v>
      </c>
      <c r="E69" s="13" t="str">
        <f>IFERROR(IF(AND(B69&lt;&gt;"",C69&lt;&gt;""),SUMIFS(Movimentos!$F$4:$F$9996,Movimentos!$D$4:$D$9996,B69,Movimentos!$C$4:$C$9996,"Entrada")-SUMIFS(Movimentos!$F$4:$F$9996,Movimentos!$D$4:$D$9996,B69,Movimentos!$C$4:$C$9996,"Saída"),""),"")</f>
        <v/>
      </c>
      <c r="F69" s="10" t="str">
        <f t="shared" si="4"/>
        <v/>
      </c>
    </row>
    <row r="70" spans="1:6" x14ac:dyDescent="0.3">
      <c r="A70" s="15" t="str">
        <f t="shared" si="5"/>
        <v>.</v>
      </c>
      <c r="B70" s="37" t="s">
        <v>119</v>
      </c>
      <c r="D70" s="3">
        <v>10</v>
      </c>
      <c r="E70" s="13" t="str">
        <f>IFERROR(IF(AND(B70&lt;&gt;"",C70&lt;&gt;""),SUMIFS(Movimentos!$F$4:$F$9996,Movimentos!$D$4:$D$9996,B70,Movimentos!$C$4:$C$9996,"Entrada")-SUMIFS(Movimentos!$F$4:$F$9996,Movimentos!$D$4:$D$9996,B70,Movimentos!$C$4:$C$9996,"Saída"),""),"")</f>
        <v/>
      </c>
      <c r="F70" s="10" t="str">
        <f t="shared" si="4"/>
        <v/>
      </c>
    </row>
    <row r="71" spans="1:6" x14ac:dyDescent="0.3">
      <c r="A71" s="15" t="str">
        <f t="shared" si="5"/>
        <v>.</v>
      </c>
      <c r="B71" s="37" t="s">
        <v>120</v>
      </c>
      <c r="D71" s="3">
        <v>50</v>
      </c>
      <c r="E71" s="13" t="str">
        <f>IFERROR(IF(AND(B71&lt;&gt;"",C71&lt;&gt;""),SUMIFS(Movimentos!$F$4:$F$9996,Movimentos!$D$4:$D$9996,B71,Movimentos!$C$4:$C$9996,"Entrada")-SUMIFS(Movimentos!$F$4:$F$9996,Movimentos!$D$4:$D$9996,B71,Movimentos!$C$4:$C$9996,"Saída"),""),"")</f>
        <v/>
      </c>
      <c r="F71" s="10" t="str">
        <f t="shared" si="4"/>
        <v/>
      </c>
    </row>
    <row r="72" spans="1:6" x14ac:dyDescent="0.3">
      <c r="A72" s="15" t="str">
        <f t="shared" si="5"/>
        <v>.</v>
      </c>
      <c r="B72" s="37" t="s">
        <v>121</v>
      </c>
      <c r="D72" s="3">
        <v>50</v>
      </c>
      <c r="E72" s="13" t="str">
        <f>IFERROR(IF(AND(B72&lt;&gt;"",C72&lt;&gt;""),SUMIFS(Movimentos!$F$4:$F$9996,Movimentos!$D$4:$D$9996,B72,Movimentos!$C$4:$C$9996,"Entrada")-SUMIFS(Movimentos!$F$4:$F$9996,Movimentos!$D$4:$D$9996,B72,Movimentos!$C$4:$C$9996,"Saída"),""),"")</f>
        <v/>
      </c>
      <c r="F72" s="10" t="str">
        <f t="shared" si="4"/>
        <v/>
      </c>
    </row>
    <row r="73" spans="1:6" x14ac:dyDescent="0.3">
      <c r="A73" s="15" t="str">
        <f t="shared" si="5"/>
        <v>.</v>
      </c>
      <c r="B73" s="37" t="s">
        <v>122</v>
      </c>
      <c r="D73" s="3">
        <v>50</v>
      </c>
      <c r="E73" s="13" t="str">
        <f>IFERROR(IF(AND(B73&lt;&gt;"",C73&lt;&gt;""),SUMIFS(Movimentos!$F$4:$F$9996,Movimentos!$D$4:$D$9996,B73,Movimentos!$C$4:$C$9996,"Entrada")-SUMIFS(Movimentos!$F$4:$F$9996,Movimentos!$D$4:$D$9996,B73,Movimentos!$C$4:$C$9996,"Saída"),""),"")</f>
        <v/>
      </c>
      <c r="F73" s="10" t="str">
        <f t="shared" si="4"/>
        <v/>
      </c>
    </row>
    <row r="74" spans="1:6" x14ac:dyDescent="0.3">
      <c r="A74" s="15" t="str">
        <f t="shared" si="5"/>
        <v>.</v>
      </c>
      <c r="B74" s="37" t="s">
        <v>123</v>
      </c>
      <c r="D74" s="3">
        <v>50</v>
      </c>
      <c r="E74" s="13" t="str">
        <f>IFERROR(IF(AND(B74&lt;&gt;"",C74&lt;&gt;""),SUMIFS(Movimentos!$F$4:$F$9996,Movimentos!$D$4:$D$9996,B74,Movimentos!$C$4:$C$9996,"Entrada")-SUMIFS(Movimentos!$F$4:$F$9996,Movimentos!$D$4:$D$9996,B74,Movimentos!$C$4:$C$9996,"Saída"),""),"")</f>
        <v/>
      </c>
      <c r="F74" s="10" t="str">
        <f t="shared" si="4"/>
        <v/>
      </c>
    </row>
    <row r="75" spans="1:6" x14ac:dyDescent="0.3">
      <c r="A75" s="15" t="str">
        <f t="shared" si="5"/>
        <v>.</v>
      </c>
      <c r="B75" s="37" t="s">
        <v>124</v>
      </c>
      <c r="D75" s="3">
        <v>50</v>
      </c>
      <c r="E75" s="13" t="str">
        <f>IFERROR(IF(AND(B75&lt;&gt;"",C75&lt;&gt;""),SUMIFS(Movimentos!$F$4:$F$9996,Movimentos!$D$4:$D$9996,B75,Movimentos!$C$4:$C$9996,"Entrada")-SUMIFS(Movimentos!$F$4:$F$9996,Movimentos!$D$4:$D$9996,B75,Movimentos!$C$4:$C$9996,"Saída"),""),"")</f>
        <v/>
      </c>
      <c r="F75" s="10" t="str">
        <f t="shared" si="4"/>
        <v/>
      </c>
    </row>
    <row r="76" spans="1:6" x14ac:dyDescent="0.3">
      <c r="A76" s="15" t="str">
        <f t="shared" si="5"/>
        <v>.</v>
      </c>
      <c r="B76" s="37" t="s">
        <v>125</v>
      </c>
      <c r="D76" s="3">
        <v>20</v>
      </c>
      <c r="E76" s="13" t="str">
        <f>IFERROR(IF(AND(B76&lt;&gt;"",C76&lt;&gt;""),SUMIFS(Movimentos!$F$4:$F$9996,Movimentos!$D$4:$D$9996,B76,Movimentos!$C$4:$C$9996,"Entrada")-SUMIFS(Movimentos!$F$4:$F$9996,Movimentos!$D$4:$D$9996,B76,Movimentos!$C$4:$C$9996,"Saída"),""),"")</f>
        <v/>
      </c>
      <c r="F76" s="10" t="str">
        <f t="shared" si="4"/>
        <v/>
      </c>
    </row>
    <row r="77" spans="1:6" x14ac:dyDescent="0.3">
      <c r="A77" s="15" t="str">
        <f t="shared" si="5"/>
        <v>.</v>
      </c>
      <c r="B77" s="37" t="s">
        <v>126</v>
      </c>
      <c r="D77" s="3">
        <v>50</v>
      </c>
      <c r="E77" s="13" t="str">
        <f>IFERROR(IF(AND(B77&lt;&gt;"",C77&lt;&gt;""),SUMIFS(Movimentos!$F$4:$F$9996,Movimentos!$D$4:$D$9996,B77,Movimentos!$C$4:$C$9996,"Entrada")-SUMIFS(Movimentos!$F$4:$F$9996,Movimentos!$D$4:$D$9996,B77,Movimentos!$C$4:$C$9996,"Saída"),""),"")</f>
        <v/>
      </c>
      <c r="F77" s="10" t="str">
        <f t="shared" si="4"/>
        <v/>
      </c>
    </row>
    <row r="78" spans="1:6" x14ac:dyDescent="0.3">
      <c r="A78" s="15" t="str">
        <f t="shared" si="5"/>
        <v>.</v>
      </c>
      <c r="B78" s="37" t="s">
        <v>127</v>
      </c>
      <c r="D78" s="3">
        <v>100</v>
      </c>
      <c r="E78" s="13" t="str">
        <f>IFERROR(IF(AND(B78&lt;&gt;"",C78&lt;&gt;""),SUMIFS(Movimentos!$F$4:$F$9996,Movimentos!$D$4:$D$9996,B78,Movimentos!$C$4:$C$9996,"Entrada")-SUMIFS(Movimentos!$F$4:$F$9996,Movimentos!$D$4:$D$9996,B78,Movimentos!$C$4:$C$9996,"Saída"),""),"")</f>
        <v/>
      </c>
      <c r="F78" s="10" t="str">
        <f t="shared" si="4"/>
        <v/>
      </c>
    </row>
    <row r="79" spans="1:6" x14ac:dyDescent="0.3">
      <c r="A79" s="15" t="str">
        <f t="shared" si="5"/>
        <v>.</v>
      </c>
      <c r="B79" s="37" t="s">
        <v>128</v>
      </c>
      <c r="D79" s="3">
        <v>10</v>
      </c>
      <c r="E79" s="13" t="str">
        <f>IFERROR(IF(AND(B79&lt;&gt;"",C79&lt;&gt;""),SUMIFS(Movimentos!$F$4:$F$9996,Movimentos!$D$4:$D$9996,B79,Movimentos!$C$4:$C$9996,"Entrada")-SUMIFS(Movimentos!$F$4:$F$9996,Movimentos!$D$4:$D$9996,B79,Movimentos!$C$4:$C$9996,"Saída"),""),"")</f>
        <v/>
      </c>
      <c r="F79" s="10" t="str">
        <f t="shared" si="4"/>
        <v/>
      </c>
    </row>
    <row r="80" spans="1:6" x14ac:dyDescent="0.3">
      <c r="A80" s="15" t="str">
        <f t="shared" si="5"/>
        <v>.</v>
      </c>
      <c r="B80" s="37" t="s">
        <v>129</v>
      </c>
      <c r="D80" s="3">
        <v>10</v>
      </c>
      <c r="E80" s="13" t="str">
        <f>IFERROR(IF(AND(B80&lt;&gt;"",C80&lt;&gt;""),SUMIFS(Movimentos!$F$4:$F$9996,Movimentos!$D$4:$D$9996,B80,Movimentos!$C$4:$C$9996,"Entrada")-SUMIFS(Movimentos!$F$4:$F$9996,Movimentos!$D$4:$D$9996,B80,Movimentos!$C$4:$C$9996,"Saída"),""),"")</f>
        <v/>
      </c>
      <c r="F80" s="10" t="str">
        <f t="shared" si="4"/>
        <v/>
      </c>
    </row>
    <row r="81" spans="1:6" x14ac:dyDescent="0.3">
      <c r="A81" s="15" t="str">
        <f t="shared" si="5"/>
        <v>.</v>
      </c>
      <c r="B81" s="37" t="s">
        <v>130</v>
      </c>
      <c r="D81" s="3">
        <v>10</v>
      </c>
      <c r="E81" s="13" t="str">
        <f>IFERROR(IF(AND(B81&lt;&gt;"",C81&lt;&gt;""),SUMIFS(Movimentos!$F$4:$F$9996,Movimentos!$D$4:$D$9996,B81,Movimentos!$C$4:$C$9996,"Entrada")-SUMIFS(Movimentos!$F$4:$F$9996,Movimentos!$D$4:$D$9996,B81,Movimentos!$C$4:$C$9996,"Saída"),""),"")</f>
        <v/>
      </c>
      <c r="F81" s="10" t="str">
        <f t="shared" si="4"/>
        <v/>
      </c>
    </row>
    <row r="82" spans="1:6" x14ac:dyDescent="0.3">
      <c r="A82" s="15" t="str">
        <f t="shared" si="5"/>
        <v>.</v>
      </c>
      <c r="B82" s="37" t="s">
        <v>131</v>
      </c>
      <c r="D82" s="3">
        <v>10</v>
      </c>
      <c r="E82" s="13" t="str">
        <f>IFERROR(IF(AND(B82&lt;&gt;"",C82&lt;&gt;""),SUMIFS(Movimentos!$F$4:$F$9996,Movimentos!$D$4:$D$9996,B82,Movimentos!$C$4:$C$9996,"Entrada")-SUMIFS(Movimentos!$F$4:$F$9996,Movimentos!$D$4:$D$9996,B82,Movimentos!$C$4:$C$9996,"Saída"),""),"")</f>
        <v/>
      </c>
      <c r="F82" s="10" t="str">
        <f t="shared" si="4"/>
        <v/>
      </c>
    </row>
    <row r="83" spans="1:6" x14ac:dyDescent="0.3">
      <c r="A83" s="15" t="str">
        <f t="shared" si="5"/>
        <v>.</v>
      </c>
      <c r="B83" s="37" t="s">
        <v>132</v>
      </c>
      <c r="D83" s="3">
        <v>10</v>
      </c>
      <c r="E83" s="13" t="str">
        <f>IFERROR(IF(AND(B83&lt;&gt;"",C83&lt;&gt;""),SUMIFS(Movimentos!$F$4:$F$9996,Movimentos!$D$4:$D$9996,B83,Movimentos!$C$4:$C$9996,"Entrada")-SUMIFS(Movimentos!$F$4:$F$9996,Movimentos!$D$4:$D$9996,B83,Movimentos!$C$4:$C$9996,"Saída"),""),"")</f>
        <v/>
      </c>
      <c r="F83" s="10" t="str">
        <f t="shared" si="4"/>
        <v/>
      </c>
    </row>
    <row r="84" spans="1:6" x14ac:dyDescent="0.3">
      <c r="A84" s="15" t="str">
        <f t="shared" si="5"/>
        <v>.</v>
      </c>
      <c r="B84" s="37" t="s">
        <v>133</v>
      </c>
      <c r="D84" s="3">
        <v>10</v>
      </c>
      <c r="E84" s="13" t="str">
        <f>IFERROR(IF(AND(B84&lt;&gt;"",C84&lt;&gt;""),SUMIFS(Movimentos!$F$4:$F$9996,Movimentos!$D$4:$D$9996,B84,Movimentos!$C$4:$C$9996,"Entrada")-SUMIFS(Movimentos!$F$4:$F$9996,Movimentos!$D$4:$D$9996,B84,Movimentos!$C$4:$C$9996,"Saída"),""),"")</f>
        <v/>
      </c>
      <c r="F84" s="10" t="str">
        <f t="shared" si="4"/>
        <v/>
      </c>
    </row>
    <row r="85" spans="1:6" x14ac:dyDescent="0.3">
      <c r="A85" s="15" t="str">
        <f t="shared" si="5"/>
        <v>.</v>
      </c>
      <c r="B85" s="37" t="s">
        <v>134</v>
      </c>
      <c r="D85" s="3">
        <v>10</v>
      </c>
      <c r="E85" s="13" t="str">
        <f>IFERROR(IF(AND(B85&lt;&gt;"",C85&lt;&gt;""),SUMIFS(Movimentos!$F$4:$F$9996,Movimentos!$D$4:$D$9996,B85,Movimentos!$C$4:$C$9996,"Entrada")-SUMIFS(Movimentos!$F$4:$F$9996,Movimentos!$D$4:$D$9996,B85,Movimentos!$C$4:$C$9996,"Saída"),""),"")</f>
        <v/>
      </c>
      <c r="F85" s="10" t="str">
        <f t="shared" si="4"/>
        <v/>
      </c>
    </row>
    <row r="86" spans="1:6" x14ac:dyDescent="0.3">
      <c r="A86" s="15" t="str">
        <f t="shared" si="5"/>
        <v>.</v>
      </c>
      <c r="B86" s="37" t="s">
        <v>135</v>
      </c>
      <c r="D86" s="3">
        <v>10</v>
      </c>
      <c r="E86" s="13" t="str">
        <f>IFERROR(IF(AND(B86&lt;&gt;"",C86&lt;&gt;""),SUMIFS(Movimentos!$F$4:$F$9996,Movimentos!$D$4:$D$9996,B86,Movimentos!$C$4:$C$9996,"Entrada")-SUMIFS(Movimentos!$F$4:$F$9996,Movimentos!$D$4:$D$9996,B86,Movimentos!$C$4:$C$9996,"Saída"),""),"")</f>
        <v/>
      </c>
      <c r="F86" s="10" t="str">
        <f t="shared" si="4"/>
        <v/>
      </c>
    </row>
    <row r="87" spans="1:6" x14ac:dyDescent="0.3">
      <c r="A87" s="15" t="str">
        <f t="shared" si="5"/>
        <v>.</v>
      </c>
      <c r="B87" s="37" t="s">
        <v>136</v>
      </c>
      <c r="D87" s="3">
        <v>10</v>
      </c>
      <c r="E87" s="13" t="str">
        <f>IFERROR(IF(AND(B87&lt;&gt;"",C87&lt;&gt;""),SUMIFS(Movimentos!$F$4:$F$9996,Movimentos!$D$4:$D$9996,B87,Movimentos!$C$4:$C$9996,"Entrada")-SUMIFS(Movimentos!$F$4:$F$9996,Movimentos!$D$4:$D$9996,B87,Movimentos!$C$4:$C$9996,"Saída"),""),"")</f>
        <v/>
      </c>
      <c r="F87" s="10" t="str">
        <f t="shared" ref="F87:F150" si="6">IF(AND(B87&lt;&gt;"",C87&lt;&gt;""),IF(E87=0,"Saldo zerado",IF(E87&lt;D87,"Saldo abaixo do mínimo","Saldo disponível")),"")</f>
        <v/>
      </c>
    </row>
    <row r="88" spans="1:6" x14ac:dyDescent="0.3">
      <c r="A88" s="15" t="str">
        <f t="shared" si="5"/>
        <v>.</v>
      </c>
      <c r="B88" s="37" t="s">
        <v>137</v>
      </c>
      <c r="D88" s="3">
        <v>10</v>
      </c>
      <c r="E88" s="13" t="str">
        <f>IFERROR(IF(AND(B88&lt;&gt;"",C88&lt;&gt;""),SUMIFS(Movimentos!$F$4:$F$9996,Movimentos!$D$4:$D$9996,B88,Movimentos!$C$4:$C$9996,"Entrada")-SUMIFS(Movimentos!$F$4:$F$9996,Movimentos!$D$4:$D$9996,B88,Movimentos!$C$4:$C$9996,"Saída"),""),"")</f>
        <v/>
      </c>
      <c r="F88" s="10" t="str">
        <f t="shared" si="6"/>
        <v/>
      </c>
    </row>
    <row r="89" spans="1:6" x14ac:dyDescent="0.3">
      <c r="A89" s="15" t="str">
        <f t="shared" si="5"/>
        <v>.</v>
      </c>
      <c r="B89" s="37" t="s">
        <v>138</v>
      </c>
      <c r="D89" s="3">
        <v>10</v>
      </c>
      <c r="E89" s="13" t="str">
        <f>IFERROR(IF(AND(B89&lt;&gt;"",C89&lt;&gt;""),SUMIFS(Movimentos!$F$4:$F$9996,Movimentos!$D$4:$D$9996,B89,Movimentos!$C$4:$C$9996,"Entrada")-SUMIFS(Movimentos!$F$4:$F$9996,Movimentos!$D$4:$D$9996,B89,Movimentos!$C$4:$C$9996,"Saída"),""),"")</f>
        <v/>
      </c>
      <c r="F89" s="10" t="str">
        <f t="shared" si="6"/>
        <v/>
      </c>
    </row>
    <row r="90" spans="1:6" x14ac:dyDescent="0.3">
      <c r="A90" s="15" t="str">
        <f t="shared" si="5"/>
        <v>.</v>
      </c>
      <c r="B90" s="37" t="s">
        <v>139</v>
      </c>
      <c r="D90" s="3">
        <v>10</v>
      </c>
      <c r="E90" s="13" t="str">
        <f>IFERROR(IF(AND(B90&lt;&gt;"",C90&lt;&gt;""),SUMIFS(Movimentos!$F$4:$F$9996,Movimentos!$D$4:$D$9996,B90,Movimentos!$C$4:$C$9996,"Entrada")-SUMIFS(Movimentos!$F$4:$F$9996,Movimentos!$D$4:$D$9996,B90,Movimentos!$C$4:$C$9996,"Saída"),""),"")</f>
        <v/>
      </c>
      <c r="F90" s="10" t="str">
        <f t="shared" si="6"/>
        <v/>
      </c>
    </row>
    <row r="91" spans="1:6" x14ac:dyDescent="0.3">
      <c r="A91" s="15" t="str">
        <f t="shared" si="5"/>
        <v>.</v>
      </c>
      <c r="B91" s="37" t="s">
        <v>140</v>
      </c>
      <c r="D91" s="3">
        <v>10</v>
      </c>
      <c r="E91" s="13" t="str">
        <f>IFERROR(IF(AND(B91&lt;&gt;"",C91&lt;&gt;""),SUMIFS(Movimentos!$F$4:$F$9996,Movimentos!$D$4:$D$9996,B91,Movimentos!$C$4:$C$9996,"Entrada")-SUMIFS(Movimentos!$F$4:$F$9996,Movimentos!$D$4:$D$9996,B91,Movimentos!$C$4:$C$9996,"Saída"),""),"")</f>
        <v/>
      </c>
      <c r="F91" s="10" t="str">
        <f t="shared" si="6"/>
        <v/>
      </c>
    </row>
    <row r="92" spans="1:6" x14ac:dyDescent="0.3">
      <c r="A92" s="15" t="str">
        <f t="shared" si="5"/>
        <v>.</v>
      </c>
      <c r="B92" s="37" t="s">
        <v>141</v>
      </c>
      <c r="D92" s="3">
        <v>10</v>
      </c>
      <c r="E92" s="13" t="str">
        <f>IFERROR(IF(AND(B92&lt;&gt;"",C92&lt;&gt;""),SUMIFS(Movimentos!$F$4:$F$9996,Movimentos!$D$4:$D$9996,B92,Movimentos!$C$4:$C$9996,"Entrada")-SUMIFS(Movimentos!$F$4:$F$9996,Movimentos!$D$4:$D$9996,B92,Movimentos!$C$4:$C$9996,"Saída"),""),"")</f>
        <v/>
      </c>
      <c r="F92" s="10" t="str">
        <f t="shared" si="6"/>
        <v/>
      </c>
    </row>
    <row r="93" spans="1:6" x14ac:dyDescent="0.3">
      <c r="A93" s="15" t="str">
        <f t="shared" si="5"/>
        <v>.</v>
      </c>
      <c r="B93" s="37" t="s">
        <v>142</v>
      </c>
      <c r="D93" s="3">
        <v>10</v>
      </c>
      <c r="E93" s="13" t="str">
        <f>IFERROR(IF(AND(B93&lt;&gt;"",C93&lt;&gt;""),SUMIFS(Movimentos!$F$4:$F$9996,Movimentos!$D$4:$D$9996,B93,Movimentos!$C$4:$C$9996,"Entrada")-SUMIFS(Movimentos!$F$4:$F$9996,Movimentos!$D$4:$D$9996,B93,Movimentos!$C$4:$C$9996,"Saída"),""),"")</f>
        <v/>
      </c>
      <c r="F93" s="10" t="str">
        <f t="shared" si="6"/>
        <v/>
      </c>
    </row>
    <row r="94" spans="1:6" x14ac:dyDescent="0.3">
      <c r="A94" s="15" t="str">
        <f t="shared" si="5"/>
        <v>.</v>
      </c>
      <c r="B94" s="37" t="s">
        <v>143</v>
      </c>
      <c r="D94" s="3">
        <v>10</v>
      </c>
      <c r="E94" s="13" t="str">
        <f>IFERROR(IF(AND(B94&lt;&gt;"",C94&lt;&gt;""),SUMIFS(Movimentos!$F$4:$F$9996,Movimentos!$D$4:$D$9996,B94,Movimentos!$C$4:$C$9996,"Entrada")-SUMIFS(Movimentos!$F$4:$F$9996,Movimentos!$D$4:$D$9996,B94,Movimentos!$C$4:$C$9996,"Saída"),""),"")</f>
        <v/>
      </c>
      <c r="F94" s="10" t="str">
        <f t="shared" si="6"/>
        <v/>
      </c>
    </row>
    <row r="95" spans="1:6" x14ac:dyDescent="0.3">
      <c r="A95" s="15" t="str">
        <f t="shared" si="5"/>
        <v>.</v>
      </c>
      <c r="B95" s="37" t="s">
        <v>144</v>
      </c>
      <c r="D95" s="3">
        <v>10</v>
      </c>
      <c r="E95" s="13" t="str">
        <f>IFERROR(IF(AND(B95&lt;&gt;"",C95&lt;&gt;""),SUMIFS(Movimentos!$F$4:$F$9996,Movimentos!$D$4:$D$9996,B95,Movimentos!$C$4:$C$9996,"Entrada")-SUMIFS(Movimentos!$F$4:$F$9996,Movimentos!$D$4:$D$9996,B95,Movimentos!$C$4:$C$9996,"Saída"),""),"")</f>
        <v/>
      </c>
      <c r="F95" s="10" t="str">
        <f t="shared" si="6"/>
        <v/>
      </c>
    </row>
    <row r="96" spans="1:6" x14ac:dyDescent="0.3">
      <c r="A96" s="15" t="str">
        <f t="shared" si="5"/>
        <v>.</v>
      </c>
      <c r="B96" s="37" t="s">
        <v>145</v>
      </c>
      <c r="D96" s="3">
        <v>10</v>
      </c>
      <c r="E96" s="13" t="str">
        <f>IFERROR(IF(AND(B96&lt;&gt;"",C96&lt;&gt;""),SUMIFS(Movimentos!$F$4:$F$9996,Movimentos!$D$4:$D$9996,B96,Movimentos!$C$4:$C$9996,"Entrada")-SUMIFS(Movimentos!$F$4:$F$9996,Movimentos!$D$4:$D$9996,B96,Movimentos!$C$4:$C$9996,"Saída"),""),"")</f>
        <v/>
      </c>
      <c r="F96" s="10" t="str">
        <f t="shared" si="6"/>
        <v/>
      </c>
    </row>
    <row r="97" spans="1:6" x14ac:dyDescent="0.3">
      <c r="A97" s="15" t="str">
        <f t="shared" si="5"/>
        <v>.</v>
      </c>
      <c r="B97" s="37" t="s">
        <v>146</v>
      </c>
      <c r="D97" s="3">
        <v>10</v>
      </c>
      <c r="E97" s="13" t="str">
        <f>IFERROR(IF(AND(B97&lt;&gt;"",C97&lt;&gt;""),SUMIFS(Movimentos!$F$4:$F$9996,Movimentos!$D$4:$D$9996,B97,Movimentos!$C$4:$C$9996,"Entrada")-SUMIFS(Movimentos!$F$4:$F$9996,Movimentos!$D$4:$D$9996,B97,Movimentos!$C$4:$C$9996,"Saída"),""),"")</f>
        <v/>
      </c>
      <c r="F97" s="10" t="str">
        <f t="shared" si="6"/>
        <v/>
      </c>
    </row>
    <row r="98" spans="1:6" x14ac:dyDescent="0.3">
      <c r="A98" s="15" t="str">
        <f t="shared" si="5"/>
        <v>.</v>
      </c>
      <c r="E98" s="13" t="str">
        <f>IFERROR(IF(AND(B98&lt;&gt;"",C98&lt;&gt;""),SUMIFS(Movimentos!$F$4:$F$9996,Movimentos!$D$4:$D$9996,B98,Movimentos!$C$4:$C$9996,"Entrada")-SUMIFS(Movimentos!$F$4:$F$9996,Movimentos!$D$4:$D$9996,B98,Movimentos!$C$4:$C$9996,"Saída"),""),"")</f>
        <v/>
      </c>
      <c r="F98" s="10" t="str">
        <f t="shared" si="6"/>
        <v/>
      </c>
    </row>
    <row r="99" spans="1:6" x14ac:dyDescent="0.3">
      <c r="A99" s="15" t="str">
        <f t="shared" si="5"/>
        <v>.</v>
      </c>
      <c r="E99" s="13" t="str">
        <f>IFERROR(IF(AND(B99&lt;&gt;"",C99&lt;&gt;""),SUMIFS(Movimentos!$F$4:$F$9996,Movimentos!$D$4:$D$9996,B99,Movimentos!$C$4:$C$9996,"Entrada")-SUMIFS(Movimentos!$F$4:$F$9996,Movimentos!$D$4:$D$9996,B99,Movimentos!$C$4:$C$9996,"Saída"),""),"")</f>
        <v/>
      </c>
      <c r="F99" s="10" t="str">
        <f t="shared" si="6"/>
        <v/>
      </c>
    </row>
    <row r="100" spans="1:6" x14ac:dyDescent="0.3">
      <c r="A100" s="15" t="str">
        <f t="shared" si="5"/>
        <v>.</v>
      </c>
      <c r="E100" s="13" t="str">
        <f>IFERROR(IF(AND(B100&lt;&gt;"",C100&lt;&gt;""),SUMIFS(Movimentos!$F$4:$F$9996,Movimentos!$D$4:$D$9996,B100,Movimentos!$C$4:$C$9996,"Entrada")-SUMIFS(Movimentos!$F$4:$F$9996,Movimentos!$D$4:$D$9996,B100,Movimentos!$C$4:$C$9996,"Saída"),""),"")</f>
        <v/>
      </c>
      <c r="F100" s="10" t="str">
        <f t="shared" si="6"/>
        <v/>
      </c>
    </row>
    <row r="101" spans="1:6" x14ac:dyDescent="0.3">
      <c r="A101" s="15" t="str">
        <f t="shared" si="5"/>
        <v>.</v>
      </c>
      <c r="E101" s="13" t="str">
        <f>IFERROR(IF(AND(B101&lt;&gt;"",C101&lt;&gt;""),SUMIFS(Movimentos!$F$4:$F$9996,Movimentos!$D$4:$D$9996,B101,Movimentos!$C$4:$C$9996,"Entrada")-SUMIFS(Movimentos!$F$4:$F$9996,Movimentos!$D$4:$D$9996,B101,Movimentos!$C$4:$C$9996,"Saída"),""),"")</f>
        <v/>
      </c>
      <c r="F101" s="10" t="str">
        <f t="shared" si="6"/>
        <v/>
      </c>
    </row>
    <row r="102" spans="1:6" x14ac:dyDescent="0.3">
      <c r="A102" s="15" t="str">
        <f t="shared" si="5"/>
        <v>.</v>
      </c>
      <c r="E102" s="13" t="str">
        <f>IFERROR(IF(AND(B102&lt;&gt;"",C102&lt;&gt;""),SUMIFS(Movimentos!$F$4:$F$9996,Movimentos!$D$4:$D$9996,B102,Movimentos!$C$4:$C$9996,"Entrada")-SUMIFS(Movimentos!$F$4:$F$9996,Movimentos!$D$4:$D$9996,B102,Movimentos!$C$4:$C$9996,"Saída"),""),"")</f>
        <v/>
      </c>
      <c r="F102" s="10" t="str">
        <f t="shared" si="6"/>
        <v/>
      </c>
    </row>
    <row r="103" spans="1:6" x14ac:dyDescent="0.3">
      <c r="A103" s="15" t="str">
        <f t="shared" si="5"/>
        <v>.</v>
      </c>
      <c r="E103" s="13" t="str">
        <f>IFERROR(IF(AND(B103&lt;&gt;"",C103&lt;&gt;""),SUMIFS(Movimentos!$F$4:$F$9996,Movimentos!$D$4:$D$9996,B103,Movimentos!$C$4:$C$9996,"Entrada")-SUMIFS(Movimentos!$F$4:$F$9996,Movimentos!$D$4:$D$9996,B103,Movimentos!$C$4:$C$9996,"Saída"),""),"")</f>
        <v/>
      </c>
      <c r="F103" s="10" t="str">
        <f t="shared" si="6"/>
        <v/>
      </c>
    </row>
    <row r="104" spans="1:6" x14ac:dyDescent="0.3">
      <c r="A104" s="15" t="str">
        <f t="shared" si="5"/>
        <v>.</v>
      </c>
      <c r="E104" s="13" t="str">
        <f>IFERROR(IF(AND(B104&lt;&gt;"",C104&lt;&gt;""),SUMIFS(Movimentos!$F$4:$F$9996,Movimentos!$D$4:$D$9996,B104,Movimentos!$C$4:$C$9996,"Entrada")-SUMIFS(Movimentos!$F$4:$F$9996,Movimentos!$D$4:$D$9996,B104,Movimentos!$C$4:$C$9996,"Saída"),""),"")</f>
        <v/>
      </c>
      <c r="F104" s="10" t="str">
        <f t="shared" si="6"/>
        <v/>
      </c>
    </row>
    <row r="105" spans="1:6" x14ac:dyDescent="0.3">
      <c r="A105" s="15" t="str">
        <f t="shared" si="5"/>
        <v>.</v>
      </c>
      <c r="E105" s="13" t="str">
        <f>IFERROR(IF(AND(B105&lt;&gt;"",C105&lt;&gt;""),SUMIFS(Movimentos!$F$4:$F$9996,Movimentos!$D$4:$D$9996,B105,Movimentos!$C$4:$C$9996,"Entrada")-SUMIFS(Movimentos!$F$4:$F$9996,Movimentos!$D$4:$D$9996,B105,Movimentos!$C$4:$C$9996,"Saída"),""),"")</f>
        <v/>
      </c>
      <c r="F105" s="10" t="str">
        <f t="shared" si="6"/>
        <v/>
      </c>
    </row>
    <row r="106" spans="1:6" x14ac:dyDescent="0.3">
      <c r="A106" s="15" t="str">
        <f t="shared" si="5"/>
        <v>.</v>
      </c>
      <c r="E106" s="13" t="str">
        <f>IFERROR(IF(AND(B106&lt;&gt;"",C106&lt;&gt;""),SUMIFS(Movimentos!$F$4:$F$9996,Movimentos!$D$4:$D$9996,B106,Movimentos!$C$4:$C$9996,"Entrada")-SUMIFS(Movimentos!$F$4:$F$9996,Movimentos!$D$4:$D$9996,B106,Movimentos!$C$4:$C$9996,"Saída"),""),"")</f>
        <v/>
      </c>
      <c r="F106" s="10" t="str">
        <f t="shared" si="6"/>
        <v/>
      </c>
    </row>
    <row r="107" spans="1:6" x14ac:dyDescent="0.3">
      <c r="A107" s="15" t="str">
        <f t="shared" si="5"/>
        <v>.</v>
      </c>
      <c r="E107" s="13" t="str">
        <f>IFERROR(IF(AND(B107&lt;&gt;"",C107&lt;&gt;""),SUMIFS(Movimentos!$F$4:$F$9996,Movimentos!$D$4:$D$9996,B107,Movimentos!$C$4:$C$9996,"Entrada")-SUMIFS(Movimentos!$F$4:$F$9996,Movimentos!$D$4:$D$9996,B107,Movimentos!$C$4:$C$9996,"Saída"),""),"")</f>
        <v/>
      </c>
      <c r="F107" s="10" t="str">
        <f t="shared" si="6"/>
        <v/>
      </c>
    </row>
    <row r="108" spans="1:6" x14ac:dyDescent="0.3">
      <c r="A108" s="15" t="str">
        <f t="shared" si="5"/>
        <v>.</v>
      </c>
      <c r="E108" s="13" t="str">
        <f>IFERROR(IF(AND(B108&lt;&gt;"",C108&lt;&gt;""),SUMIFS(Movimentos!$F$4:$F$9996,Movimentos!$D$4:$D$9996,B108,Movimentos!$C$4:$C$9996,"Entrada")-SUMIFS(Movimentos!$F$4:$F$9996,Movimentos!$D$4:$D$9996,B108,Movimentos!$C$4:$C$9996,"Saída"),""),"")</f>
        <v/>
      </c>
      <c r="F108" s="10" t="str">
        <f t="shared" si="6"/>
        <v/>
      </c>
    </row>
    <row r="109" spans="1:6" x14ac:dyDescent="0.3">
      <c r="A109" s="15" t="str">
        <f t="shared" si="5"/>
        <v>.</v>
      </c>
      <c r="E109" s="13" t="str">
        <f>IFERROR(IF(AND(B109&lt;&gt;"",C109&lt;&gt;""),SUMIFS(Movimentos!$F$4:$F$9996,Movimentos!$D$4:$D$9996,B109,Movimentos!$C$4:$C$9996,"Entrada")-SUMIFS(Movimentos!$F$4:$F$9996,Movimentos!$D$4:$D$9996,B109,Movimentos!$C$4:$C$9996,"Saída"),""),"")</f>
        <v/>
      </c>
      <c r="F109" s="10" t="str">
        <f t="shared" si="6"/>
        <v/>
      </c>
    </row>
    <row r="110" spans="1:6" x14ac:dyDescent="0.3">
      <c r="A110" s="15" t="str">
        <f t="shared" si="5"/>
        <v>.</v>
      </c>
      <c r="E110" s="13" t="str">
        <f>IFERROR(IF(AND(B110&lt;&gt;"",C110&lt;&gt;""),SUMIFS(Movimentos!$F$4:$F$9996,Movimentos!$D$4:$D$9996,B110,Movimentos!$C$4:$C$9996,"Entrada")-SUMIFS(Movimentos!$F$4:$F$9996,Movimentos!$D$4:$D$9996,B110,Movimentos!$C$4:$C$9996,"Saída"),""),"")</f>
        <v/>
      </c>
      <c r="F110" s="10" t="str">
        <f t="shared" si="6"/>
        <v/>
      </c>
    </row>
    <row r="111" spans="1:6" x14ac:dyDescent="0.3">
      <c r="A111" s="15" t="str">
        <f t="shared" si="5"/>
        <v>.</v>
      </c>
      <c r="E111" s="13" t="str">
        <f>IFERROR(IF(AND(B111&lt;&gt;"",C111&lt;&gt;""),SUMIFS(Movimentos!$F$4:$F$9996,Movimentos!$D$4:$D$9996,B111,Movimentos!$C$4:$C$9996,"Entrada")-SUMIFS(Movimentos!$F$4:$F$9996,Movimentos!$D$4:$D$9996,B111,Movimentos!$C$4:$C$9996,"Saída"),""),"")</f>
        <v/>
      </c>
      <c r="F111" s="10" t="str">
        <f t="shared" si="6"/>
        <v/>
      </c>
    </row>
    <row r="112" spans="1:6" x14ac:dyDescent="0.3">
      <c r="A112" s="15" t="str">
        <f t="shared" si="5"/>
        <v>.</v>
      </c>
      <c r="E112" s="13" t="str">
        <f>IFERROR(IF(AND(B112&lt;&gt;"",C112&lt;&gt;""),SUMIFS(Movimentos!$F$4:$F$9996,Movimentos!$D$4:$D$9996,B112,Movimentos!$C$4:$C$9996,"Entrada")-SUMIFS(Movimentos!$F$4:$F$9996,Movimentos!$D$4:$D$9996,B112,Movimentos!$C$4:$C$9996,"Saída"),""),"")</f>
        <v/>
      </c>
      <c r="F112" s="10" t="str">
        <f t="shared" si="6"/>
        <v/>
      </c>
    </row>
    <row r="113" spans="1:6" x14ac:dyDescent="0.3">
      <c r="A113" s="15" t="str">
        <f t="shared" si="5"/>
        <v>.</v>
      </c>
      <c r="E113" s="13" t="str">
        <f>IFERROR(IF(AND(B113&lt;&gt;"",C113&lt;&gt;""),SUMIFS(Movimentos!$F$4:$F$9996,Movimentos!$D$4:$D$9996,B113,Movimentos!$C$4:$C$9996,"Entrada")-SUMIFS(Movimentos!$F$4:$F$9996,Movimentos!$D$4:$D$9996,B113,Movimentos!$C$4:$C$9996,"Saída"),""),"")</f>
        <v/>
      </c>
      <c r="F113" s="10" t="str">
        <f t="shared" si="6"/>
        <v/>
      </c>
    </row>
    <row r="114" spans="1:6" x14ac:dyDescent="0.3">
      <c r="A114" s="15" t="str">
        <f t="shared" si="5"/>
        <v>.</v>
      </c>
      <c r="E114" s="13" t="str">
        <f>IFERROR(IF(AND(B114&lt;&gt;"",C114&lt;&gt;""),SUMIFS(Movimentos!$F$4:$F$9996,Movimentos!$D$4:$D$9996,B114,Movimentos!$C$4:$C$9996,"Entrada")-SUMIFS(Movimentos!$F$4:$F$9996,Movimentos!$D$4:$D$9996,B114,Movimentos!$C$4:$C$9996,"Saída"),""),"")</f>
        <v/>
      </c>
      <c r="F114" s="10" t="str">
        <f t="shared" si="6"/>
        <v/>
      </c>
    </row>
    <row r="115" spans="1:6" x14ac:dyDescent="0.3">
      <c r="A115" s="15" t="str">
        <f t="shared" si="5"/>
        <v>.</v>
      </c>
      <c r="E115" s="13" t="str">
        <f>IFERROR(IF(AND(B115&lt;&gt;"",C115&lt;&gt;""),SUMIFS(Movimentos!$F$4:$F$9996,Movimentos!$D$4:$D$9996,B115,Movimentos!$C$4:$C$9996,"Entrada")-SUMIFS(Movimentos!$F$4:$F$9996,Movimentos!$D$4:$D$9996,B115,Movimentos!$C$4:$C$9996,"Saída"),""),"")</f>
        <v/>
      </c>
      <c r="F115" s="10" t="str">
        <f t="shared" si="6"/>
        <v/>
      </c>
    </row>
    <row r="116" spans="1:6" x14ac:dyDescent="0.3">
      <c r="A116" s="15" t="str">
        <f t="shared" si="5"/>
        <v>.</v>
      </c>
      <c r="E116" s="13" t="str">
        <f>IFERROR(IF(AND(B116&lt;&gt;"",C116&lt;&gt;""),SUMIFS(Movimentos!$F$4:$F$9996,Movimentos!$D$4:$D$9996,B116,Movimentos!$C$4:$C$9996,"Entrada")-SUMIFS(Movimentos!$F$4:$F$9996,Movimentos!$D$4:$D$9996,B116,Movimentos!$C$4:$C$9996,"Saída"),""),"")</f>
        <v/>
      </c>
      <c r="F116" s="10" t="str">
        <f t="shared" si="6"/>
        <v/>
      </c>
    </row>
    <row r="117" spans="1:6" x14ac:dyDescent="0.3">
      <c r="A117" s="15" t="str">
        <f t="shared" si="5"/>
        <v>.</v>
      </c>
      <c r="E117" s="13" t="str">
        <f>IFERROR(IF(AND(B117&lt;&gt;"",C117&lt;&gt;""),SUMIFS(Movimentos!$F$4:$F$9996,Movimentos!$D$4:$D$9996,B117,Movimentos!$C$4:$C$9996,"Entrada")-SUMIFS(Movimentos!$F$4:$F$9996,Movimentos!$D$4:$D$9996,B117,Movimentos!$C$4:$C$9996,"Saída"),""),"")</f>
        <v/>
      </c>
      <c r="F117" s="10" t="str">
        <f t="shared" si="6"/>
        <v/>
      </c>
    </row>
    <row r="118" spans="1:6" x14ac:dyDescent="0.3">
      <c r="A118" s="15" t="str">
        <f t="shared" si="5"/>
        <v>.</v>
      </c>
      <c r="E118" s="13" t="str">
        <f>IFERROR(IF(AND(B118&lt;&gt;"",C118&lt;&gt;""),SUMIFS(Movimentos!$F$4:$F$9996,Movimentos!$D$4:$D$9996,B118,Movimentos!$C$4:$C$9996,"Entrada")-SUMIFS(Movimentos!$F$4:$F$9996,Movimentos!$D$4:$D$9996,B118,Movimentos!$C$4:$C$9996,"Saída"),""),"")</f>
        <v/>
      </c>
      <c r="F118" s="10" t="str">
        <f t="shared" si="6"/>
        <v/>
      </c>
    </row>
    <row r="119" spans="1:6" x14ac:dyDescent="0.3">
      <c r="A119" s="15" t="str">
        <f t="shared" si="5"/>
        <v>.</v>
      </c>
      <c r="E119" s="13" t="str">
        <f>IFERROR(IF(AND(B119&lt;&gt;"",C119&lt;&gt;""),SUMIFS(Movimentos!$F$4:$F$9996,Movimentos!$D$4:$D$9996,B119,Movimentos!$C$4:$C$9996,"Entrada")-SUMIFS(Movimentos!$F$4:$F$9996,Movimentos!$D$4:$D$9996,B119,Movimentos!$C$4:$C$9996,"Saída"),""),"")</f>
        <v/>
      </c>
      <c r="F119" s="10" t="str">
        <f t="shared" si="6"/>
        <v/>
      </c>
    </row>
    <row r="120" spans="1:6" x14ac:dyDescent="0.3">
      <c r="A120" s="15" t="str">
        <f t="shared" si="5"/>
        <v>.</v>
      </c>
      <c r="E120" s="13" t="str">
        <f>IFERROR(IF(AND(B120&lt;&gt;"",C120&lt;&gt;""),SUMIFS(Movimentos!$F$4:$F$9996,Movimentos!$D$4:$D$9996,B120,Movimentos!$C$4:$C$9996,"Entrada")-SUMIFS(Movimentos!$F$4:$F$9996,Movimentos!$D$4:$D$9996,B120,Movimentos!$C$4:$C$9996,"Saída"),""),"")</f>
        <v/>
      </c>
      <c r="F120" s="10" t="str">
        <f t="shared" si="6"/>
        <v/>
      </c>
    </row>
    <row r="121" spans="1:6" x14ac:dyDescent="0.3">
      <c r="A121" s="15" t="str">
        <f t="shared" si="5"/>
        <v>.</v>
      </c>
      <c r="E121" s="13" t="str">
        <f>IFERROR(IF(AND(B121&lt;&gt;"",C121&lt;&gt;""),SUMIFS(Movimentos!$F$4:$F$9996,Movimentos!$D$4:$D$9996,B121,Movimentos!$C$4:$C$9996,"Entrada")-SUMIFS(Movimentos!$F$4:$F$9996,Movimentos!$D$4:$D$9996,B121,Movimentos!$C$4:$C$9996,"Saída"),""),"")</f>
        <v/>
      </c>
      <c r="F121" s="10" t="str">
        <f t="shared" si="6"/>
        <v/>
      </c>
    </row>
    <row r="122" spans="1:6" x14ac:dyDescent="0.3">
      <c r="A122" s="15" t="str">
        <f t="shared" si="5"/>
        <v>.</v>
      </c>
      <c r="E122" s="13" t="str">
        <f>IFERROR(IF(AND(B122&lt;&gt;"",C122&lt;&gt;""),SUMIFS(Movimentos!$F$4:$F$9996,Movimentos!$D$4:$D$9996,B122,Movimentos!$C$4:$C$9996,"Entrada")-SUMIFS(Movimentos!$F$4:$F$9996,Movimentos!$D$4:$D$9996,B122,Movimentos!$C$4:$C$9996,"Saída"),""),"")</f>
        <v/>
      </c>
      <c r="F122" s="10" t="str">
        <f t="shared" si="6"/>
        <v/>
      </c>
    </row>
    <row r="123" spans="1:6" x14ac:dyDescent="0.3">
      <c r="A123" s="15" t="str">
        <f t="shared" si="5"/>
        <v>.</v>
      </c>
      <c r="E123" s="13" t="str">
        <f>IFERROR(IF(AND(B123&lt;&gt;"",C123&lt;&gt;""),SUMIFS(Movimentos!$F$4:$F$9996,Movimentos!$D$4:$D$9996,B123,Movimentos!$C$4:$C$9996,"Entrada")-SUMIFS(Movimentos!$F$4:$F$9996,Movimentos!$D$4:$D$9996,B123,Movimentos!$C$4:$C$9996,"Saída"),""),"")</f>
        <v/>
      </c>
      <c r="F123" s="10" t="str">
        <f t="shared" si="6"/>
        <v/>
      </c>
    </row>
    <row r="124" spans="1:6" x14ac:dyDescent="0.3">
      <c r="A124" s="15" t="str">
        <f t="shared" si="5"/>
        <v>.</v>
      </c>
      <c r="E124" s="13" t="str">
        <f>IFERROR(IF(AND(B124&lt;&gt;"",C124&lt;&gt;""),SUMIFS(Movimentos!$F$4:$F$9996,Movimentos!$D$4:$D$9996,B124,Movimentos!$C$4:$C$9996,"Entrada")-SUMIFS(Movimentos!$F$4:$F$9996,Movimentos!$D$4:$D$9996,B124,Movimentos!$C$4:$C$9996,"Saída"),""),"")</f>
        <v/>
      </c>
      <c r="F124" s="10" t="str">
        <f t="shared" si="6"/>
        <v/>
      </c>
    </row>
    <row r="125" spans="1:6" x14ac:dyDescent="0.3">
      <c r="A125" s="15" t="str">
        <f t="shared" si="5"/>
        <v>.</v>
      </c>
      <c r="E125" s="13" t="str">
        <f>IFERROR(IF(AND(B125&lt;&gt;"",C125&lt;&gt;""),SUMIFS(Movimentos!$F$4:$F$9996,Movimentos!$D$4:$D$9996,B125,Movimentos!$C$4:$C$9996,"Entrada")-SUMIFS(Movimentos!$F$4:$F$9996,Movimentos!$D$4:$D$9996,B125,Movimentos!$C$4:$C$9996,"Saída"),""),"")</f>
        <v/>
      </c>
      <c r="F125" s="10" t="str">
        <f t="shared" si="6"/>
        <v/>
      </c>
    </row>
    <row r="126" spans="1:6" x14ac:dyDescent="0.3">
      <c r="A126" s="15" t="str">
        <f t="shared" si="5"/>
        <v>.</v>
      </c>
      <c r="E126" s="13" t="str">
        <f>IFERROR(IF(AND(B126&lt;&gt;"",C126&lt;&gt;""),SUMIFS(Movimentos!$F$4:$F$9996,Movimentos!$D$4:$D$9996,B126,Movimentos!$C$4:$C$9996,"Entrada")-SUMIFS(Movimentos!$F$4:$F$9996,Movimentos!$D$4:$D$9996,B126,Movimentos!$C$4:$C$9996,"Saída"),""),"")</f>
        <v/>
      </c>
      <c r="F126" s="10" t="str">
        <f t="shared" si="6"/>
        <v/>
      </c>
    </row>
    <row r="127" spans="1:6" x14ac:dyDescent="0.3">
      <c r="A127" s="15" t="str">
        <f t="shared" si="5"/>
        <v>.</v>
      </c>
      <c r="E127" s="13" t="str">
        <f>IFERROR(IF(AND(B127&lt;&gt;"",C127&lt;&gt;""),SUMIFS(Movimentos!$F$4:$F$9996,Movimentos!$D$4:$D$9996,B127,Movimentos!$C$4:$C$9996,"Entrada")-SUMIFS(Movimentos!$F$4:$F$9996,Movimentos!$D$4:$D$9996,B127,Movimentos!$C$4:$C$9996,"Saída"),""),"")</f>
        <v/>
      </c>
      <c r="F127" s="10" t="str">
        <f t="shared" si="6"/>
        <v/>
      </c>
    </row>
    <row r="128" spans="1:6" x14ac:dyDescent="0.3">
      <c r="A128" s="15" t="str">
        <f t="shared" ref="A128:A191" si="7">IF(F128="Saldo zerado",0,IF(F128="Saldo abaixo do mínimo",1,IF(F128="Saldo disponível",2,".")))</f>
        <v>.</v>
      </c>
      <c r="E128" s="13" t="str">
        <f>IFERROR(IF(AND(B128&lt;&gt;"",C128&lt;&gt;""),SUMIFS(Movimentos!$F$4:$F$9996,Movimentos!$D$4:$D$9996,B128,Movimentos!$C$4:$C$9996,"Entrada")-SUMIFS(Movimentos!$F$4:$F$9996,Movimentos!$D$4:$D$9996,B128,Movimentos!$C$4:$C$9996,"Saída"),""),"")</f>
        <v/>
      </c>
      <c r="F128" s="10" t="str">
        <f t="shared" si="6"/>
        <v/>
      </c>
    </row>
    <row r="129" spans="1:6" x14ac:dyDescent="0.3">
      <c r="A129" s="15" t="str">
        <f t="shared" si="7"/>
        <v>.</v>
      </c>
      <c r="E129" s="13" t="str">
        <f>IFERROR(IF(AND(B129&lt;&gt;"",C129&lt;&gt;""),SUMIFS(Movimentos!$F$4:$F$9996,Movimentos!$D$4:$D$9996,B129,Movimentos!$C$4:$C$9996,"Entrada")-SUMIFS(Movimentos!$F$4:$F$9996,Movimentos!$D$4:$D$9996,B129,Movimentos!$C$4:$C$9996,"Saída"),""),"")</f>
        <v/>
      </c>
      <c r="F129" s="10" t="str">
        <f t="shared" si="6"/>
        <v/>
      </c>
    </row>
    <row r="130" spans="1:6" x14ac:dyDescent="0.3">
      <c r="A130" s="15" t="str">
        <f t="shared" si="7"/>
        <v>.</v>
      </c>
      <c r="E130" s="13" t="str">
        <f>IFERROR(IF(AND(B130&lt;&gt;"",C130&lt;&gt;""),SUMIFS(Movimentos!$F$4:$F$9996,Movimentos!$D$4:$D$9996,B130,Movimentos!$C$4:$C$9996,"Entrada")-SUMIFS(Movimentos!$F$4:$F$9996,Movimentos!$D$4:$D$9996,B130,Movimentos!$C$4:$C$9996,"Saída"),""),"")</f>
        <v/>
      </c>
      <c r="F130" s="10" t="str">
        <f t="shared" si="6"/>
        <v/>
      </c>
    </row>
    <row r="131" spans="1:6" x14ac:dyDescent="0.3">
      <c r="A131" s="15" t="str">
        <f t="shared" si="7"/>
        <v>.</v>
      </c>
      <c r="E131" s="13" t="str">
        <f>IFERROR(IF(AND(B131&lt;&gt;"",C131&lt;&gt;""),SUMIFS(Movimentos!$F$4:$F$9996,Movimentos!$D$4:$D$9996,B131,Movimentos!$C$4:$C$9996,"Entrada")-SUMIFS(Movimentos!$F$4:$F$9996,Movimentos!$D$4:$D$9996,B131,Movimentos!$C$4:$C$9996,"Saída"),""),"")</f>
        <v/>
      </c>
      <c r="F131" s="10" t="str">
        <f t="shared" si="6"/>
        <v/>
      </c>
    </row>
    <row r="132" spans="1:6" x14ac:dyDescent="0.3">
      <c r="A132" s="15" t="str">
        <f t="shared" si="7"/>
        <v>.</v>
      </c>
      <c r="E132" s="13" t="str">
        <f>IFERROR(IF(AND(B132&lt;&gt;"",C132&lt;&gt;""),SUMIFS(Movimentos!$F$4:$F$9996,Movimentos!$D$4:$D$9996,B132,Movimentos!$C$4:$C$9996,"Entrada")-SUMIFS(Movimentos!$F$4:$F$9996,Movimentos!$D$4:$D$9996,B132,Movimentos!$C$4:$C$9996,"Saída"),""),"")</f>
        <v/>
      </c>
      <c r="F132" s="10" t="str">
        <f t="shared" si="6"/>
        <v/>
      </c>
    </row>
    <row r="133" spans="1:6" x14ac:dyDescent="0.3">
      <c r="A133" s="15" t="str">
        <f t="shared" si="7"/>
        <v>.</v>
      </c>
      <c r="E133" s="13" t="str">
        <f>IFERROR(IF(AND(B133&lt;&gt;"",C133&lt;&gt;""),SUMIFS(Movimentos!$F$4:$F$9996,Movimentos!$D$4:$D$9996,B133,Movimentos!$C$4:$C$9996,"Entrada")-SUMIFS(Movimentos!$F$4:$F$9996,Movimentos!$D$4:$D$9996,B133,Movimentos!$C$4:$C$9996,"Saída"),""),"")</f>
        <v/>
      </c>
      <c r="F133" s="10" t="str">
        <f t="shared" si="6"/>
        <v/>
      </c>
    </row>
    <row r="134" spans="1:6" x14ac:dyDescent="0.3">
      <c r="A134" s="15" t="str">
        <f t="shared" si="7"/>
        <v>.</v>
      </c>
      <c r="E134" s="13" t="str">
        <f>IFERROR(IF(AND(B134&lt;&gt;"",C134&lt;&gt;""),SUMIFS(Movimentos!$F$4:$F$9996,Movimentos!$D$4:$D$9996,B134,Movimentos!$C$4:$C$9996,"Entrada")-SUMIFS(Movimentos!$F$4:$F$9996,Movimentos!$D$4:$D$9996,B134,Movimentos!$C$4:$C$9996,"Saída"),""),"")</f>
        <v/>
      </c>
      <c r="F134" s="10" t="str">
        <f t="shared" si="6"/>
        <v/>
      </c>
    </row>
    <row r="135" spans="1:6" x14ac:dyDescent="0.3">
      <c r="A135" s="15" t="str">
        <f t="shared" si="7"/>
        <v>.</v>
      </c>
      <c r="E135" s="13" t="str">
        <f>IFERROR(IF(AND(B135&lt;&gt;"",C135&lt;&gt;""),SUMIFS(Movimentos!$F$4:$F$9996,Movimentos!$D$4:$D$9996,B135,Movimentos!$C$4:$C$9996,"Entrada")-SUMIFS(Movimentos!$F$4:$F$9996,Movimentos!$D$4:$D$9996,B135,Movimentos!$C$4:$C$9996,"Saída"),""),"")</f>
        <v/>
      </c>
      <c r="F135" s="10" t="str">
        <f t="shared" si="6"/>
        <v/>
      </c>
    </row>
    <row r="136" spans="1:6" x14ac:dyDescent="0.3">
      <c r="A136" s="15" t="str">
        <f t="shared" si="7"/>
        <v>.</v>
      </c>
      <c r="E136" s="13" t="str">
        <f>IFERROR(IF(AND(B136&lt;&gt;"",C136&lt;&gt;""),SUMIFS(Movimentos!$F$4:$F$9996,Movimentos!$D$4:$D$9996,B136,Movimentos!$C$4:$C$9996,"Entrada")-SUMIFS(Movimentos!$F$4:$F$9996,Movimentos!$D$4:$D$9996,B136,Movimentos!$C$4:$C$9996,"Saída"),""),"")</f>
        <v/>
      </c>
      <c r="F136" s="10" t="str">
        <f t="shared" si="6"/>
        <v/>
      </c>
    </row>
    <row r="137" spans="1:6" x14ac:dyDescent="0.3">
      <c r="A137" s="15" t="str">
        <f t="shared" si="7"/>
        <v>.</v>
      </c>
      <c r="E137" s="13" t="str">
        <f>IFERROR(IF(AND(B137&lt;&gt;"",C137&lt;&gt;""),SUMIFS(Movimentos!$F$4:$F$9996,Movimentos!$D$4:$D$9996,B137,Movimentos!$C$4:$C$9996,"Entrada")-SUMIFS(Movimentos!$F$4:$F$9996,Movimentos!$D$4:$D$9996,B137,Movimentos!$C$4:$C$9996,"Saída"),""),"")</f>
        <v/>
      </c>
      <c r="F137" s="10" t="str">
        <f t="shared" si="6"/>
        <v/>
      </c>
    </row>
    <row r="138" spans="1:6" x14ac:dyDescent="0.3">
      <c r="A138" s="15" t="str">
        <f t="shared" si="7"/>
        <v>.</v>
      </c>
      <c r="E138" s="13" t="str">
        <f>IFERROR(IF(AND(B138&lt;&gt;"",C138&lt;&gt;""),SUMIFS(Movimentos!$F$4:$F$9996,Movimentos!$D$4:$D$9996,B138,Movimentos!$C$4:$C$9996,"Entrada")-SUMIFS(Movimentos!$F$4:$F$9996,Movimentos!$D$4:$D$9996,B138,Movimentos!$C$4:$C$9996,"Saída"),""),"")</f>
        <v/>
      </c>
      <c r="F138" s="10" t="str">
        <f t="shared" si="6"/>
        <v/>
      </c>
    </row>
    <row r="139" spans="1:6" x14ac:dyDescent="0.3">
      <c r="A139" s="15" t="str">
        <f t="shared" si="7"/>
        <v>.</v>
      </c>
      <c r="E139" s="13" t="str">
        <f>IFERROR(IF(AND(B139&lt;&gt;"",C139&lt;&gt;""),SUMIFS(Movimentos!$F$4:$F$9996,Movimentos!$D$4:$D$9996,B139,Movimentos!$C$4:$C$9996,"Entrada")-SUMIFS(Movimentos!$F$4:$F$9996,Movimentos!$D$4:$D$9996,B139,Movimentos!$C$4:$C$9996,"Saída"),""),"")</f>
        <v/>
      </c>
      <c r="F139" s="10" t="str">
        <f t="shared" si="6"/>
        <v/>
      </c>
    </row>
    <row r="140" spans="1:6" x14ac:dyDescent="0.3">
      <c r="A140" s="15" t="str">
        <f t="shared" si="7"/>
        <v>.</v>
      </c>
      <c r="E140" s="13" t="str">
        <f>IFERROR(IF(AND(B140&lt;&gt;"",C140&lt;&gt;""),SUMIFS(Movimentos!$F$4:$F$9996,Movimentos!$D$4:$D$9996,B140,Movimentos!$C$4:$C$9996,"Entrada")-SUMIFS(Movimentos!$F$4:$F$9996,Movimentos!$D$4:$D$9996,B140,Movimentos!$C$4:$C$9996,"Saída"),""),"")</f>
        <v/>
      </c>
      <c r="F140" s="10" t="str">
        <f t="shared" si="6"/>
        <v/>
      </c>
    </row>
    <row r="141" spans="1:6" x14ac:dyDescent="0.3">
      <c r="A141" s="15" t="str">
        <f t="shared" si="7"/>
        <v>.</v>
      </c>
      <c r="E141" s="13" t="str">
        <f>IFERROR(IF(AND(B141&lt;&gt;"",C141&lt;&gt;""),SUMIFS(Movimentos!$F$4:$F$9996,Movimentos!$D$4:$D$9996,B141,Movimentos!$C$4:$C$9996,"Entrada")-SUMIFS(Movimentos!$F$4:$F$9996,Movimentos!$D$4:$D$9996,B141,Movimentos!$C$4:$C$9996,"Saída"),""),"")</f>
        <v/>
      </c>
      <c r="F141" s="10" t="str">
        <f t="shared" si="6"/>
        <v/>
      </c>
    </row>
    <row r="142" spans="1:6" x14ac:dyDescent="0.3">
      <c r="A142" s="15" t="str">
        <f t="shared" si="7"/>
        <v>.</v>
      </c>
      <c r="E142" s="13" t="str">
        <f>IFERROR(IF(AND(B142&lt;&gt;"",C142&lt;&gt;""),SUMIFS(Movimentos!$F$4:$F$9996,Movimentos!$D$4:$D$9996,B142,Movimentos!$C$4:$C$9996,"Entrada")-SUMIFS(Movimentos!$F$4:$F$9996,Movimentos!$D$4:$D$9996,B142,Movimentos!$C$4:$C$9996,"Saída"),""),"")</f>
        <v/>
      </c>
      <c r="F142" s="10" t="str">
        <f t="shared" si="6"/>
        <v/>
      </c>
    </row>
    <row r="143" spans="1:6" x14ac:dyDescent="0.3">
      <c r="A143" s="15" t="str">
        <f t="shared" si="7"/>
        <v>.</v>
      </c>
      <c r="E143" s="13" t="str">
        <f>IFERROR(IF(AND(B143&lt;&gt;"",C143&lt;&gt;""),SUMIFS(Movimentos!$F$4:$F$9996,Movimentos!$D$4:$D$9996,B143,Movimentos!$C$4:$C$9996,"Entrada")-SUMIFS(Movimentos!$F$4:$F$9996,Movimentos!$D$4:$D$9996,B143,Movimentos!$C$4:$C$9996,"Saída"),""),"")</f>
        <v/>
      </c>
      <c r="F143" s="10" t="str">
        <f t="shared" si="6"/>
        <v/>
      </c>
    </row>
    <row r="144" spans="1:6" x14ac:dyDescent="0.3">
      <c r="A144" s="15" t="str">
        <f t="shared" si="7"/>
        <v>.</v>
      </c>
      <c r="E144" s="13" t="str">
        <f>IFERROR(IF(AND(B144&lt;&gt;"",C144&lt;&gt;""),SUMIFS(Movimentos!$F$4:$F$9996,Movimentos!$D$4:$D$9996,B144,Movimentos!$C$4:$C$9996,"Entrada")-SUMIFS(Movimentos!$F$4:$F$9996,Movimentos!$D$4:$D$9996,B144,Movimentos!$C$4:$C$9996,"Saída"),""),"")</f>
        <v/>
      </c>
      <c r="F144" s="10" t="str">
        <f t="shared" si="6"/>
        <v/>
      </c>
    </row>
    <row r="145" spans="1:6" x14ac:dyDescent="0.3">
      <c r="A145" s="15" t="str">
        <f t="shared" si="7"/>
        <v>.</v>
      </c>
      <c r="E145" s="13" t="str">
        <f>IFERROR(IF(AND(B145&lt;&gt;"",C145&lt;&gt;""),SUMIFS(Movimentos!$F$4:$F$9996,Movimentos!$D$4:$D$9996,B145,Movimentos!$C$4:$C$9996,"Entrada")-SUMIFS(Movimentos!$F$4:$F$9996,Movimentos!$D$4:$D$9996,B145,Movimentos!$C$4:$C$9996,"Saída"),""),"")</f>
        <v/>
      </c>
      <c r="F145" s="10" t="str">
        <f t="shared" si="6"/>
        <v/>
      </c>
    </row>
    <row r="146" spans="1:6" x14ac:dyDescent="0.3">
      <c r="A146" s="15" t="str">
        <f t="shared" si="7"/>
        <v>.</v>
      </c>
      <c r="E146" s="13" t="str">
        <f>IFERROR(IF(AND(B146&lt;&gt;"",C146&lt;&gt;""),SUMIFS(Movimentos!$F$4:$F$9996,Movimentos!$D$4:$D$9996,B146,Movimentos!$C$4:$C$9996,"Entrada")-SUMIFS(Movimentos!$F$4:$F$9996,Movimentos!$D$4:$D$9996,B146,Movimentos!$C$4:$C$9996,"Saída"),""),"")</f>
        <v/>
      </c>
      <c r="F146" s="10" t="str">
        <f t="shared" si="6"/>
        <v/>
      </c>
    </row>
    <row r="147" spans="1:6" x14ac:dyDescent="0.3">
      <c r="A147" s="15" t="str">
        <f t="shared" si="7"/>
        <v>.</v>
      </c>
      <c r="E147" s="13" t="str">
        <f>IFERROR(IF(AND(B147&lt;&gt;"",C147&lt;&gt;""),SUMIFS(Movimentos!$F$4:$F$9996,Movimentos!$D$4:$D$9996,B147,Movimentos!$C$4:$C$9996,"Entrada")-SUMIFS(Movimentos!$F$4:$F$9996,Movimentos!$D$4:$D$9996,B147,Movimentos!$C$4:$C$9996,"Saída"),""),"")</f>
        <v/>
      </c>
      <c r="F147" s="10" t="str">
        <f t="shared" si="6"/>
        <v/>
      </c>
    </row>
    <row r="148" spans="1:6" x14ac:dyDescent="0.3">
      <c r="A148" s="15" t="str">
        <f t="shared" si="7"/>
        <v>.</v>
      </c>
      <c r="E148" s="13" t="str">
        <f>IFERROR(IF(AND(B148&lt;&gt;"",C148&lt;&gt;""),SUMIFS(Movimentos!$F$4:$F$9996,Movimentos!$D$4:$D$9996,B148,Movimentos!$C$4:$C$9996,"Entrada")-SUMIFS(Movimentos!$F$4:$F$9996,Movimentos!$D$4:$D$9996,B148,Movimentos!$C$4:$C$9996,"Saída"),""),"")</f>
        <v/>
      </c>
      <c r="F148" s="10" t="str">
        <f t="shared" si="6"/>
        <v/>
      </c>
    </row>
    <row r="149" spans="1:6" x14ac:dyDescent="0.3">
      <c r="A149" s="15" t="str">
        <f t="shared" si="7"/>
        <v>.</v>
      </c>
      <c r="E149" s="13" t="str">
        <f>IFERROR(IF(AND(B149&lt;&gt;"",C149&lt;&gt;""),SUMIFS(Movimentos!$F$4:$F$9996,Movimentos!$D$4:$D$9996,B149,Movimentos!$C$4:$C$9996,"Entrada")-SUMIFS(Movimentos!$F$4:$F$9996,Movimentos!$D$4:$D$9996,B149,Movimentos!$C$4:$C$9996,"Saída"),""),"")</f>
        <v/>
      </c>
      <c r="F149" s="10" t="str">
        <f t="shared" si="6"/>
        <v/>
      </c>
    </row>
    <row r="150" spans="1:6" x14ac:dyDescent="0.3">
      <c r="A150" s="15" t="str">
        <f t="shared" si="7"/>
        <v>.</v>
      </c>
      <c r="E150" s="13" t="str">
        <f>IFERROR(IF(AND(B150&lt;&gt;"",C150&lt;&gt;""),SUMIFS(Movimentos!$F$4:$F$9996,Movimentos!$D$4:$D$9996,B150,Movimentos!$C$4:$C$9996,"Entrada")-SUMIFS(Movimentos!$F$4:$F$9996,Movimentos!$D$4:$D$9996,B150,Movimentos!$C$4:$C$9996,"Saída"),""),"")</f>
        <v/>
      </c>
      <c r="F150" s="10" t="str">
        <f t="shared" si="6"/>
        <v/>
      </c>
    </row>
    <row r="151" spans="1:6" x14ac:dyDescent="0.3">
      <c r="A151" s="15" t="str">
        <f t="shared" si="7"/>
        <v>.</v>
      </c>
      <c r="E151" s="13" t="str">
        <f>IFERROR(IF(AND(B151&lt;&gt;"",C151&lt;&gt;""),SUMIFS(Movimentos!$F$4:$F$9996,Movimentos!$D$4:$D$9996,B151,Movimentos!$C$4:$C$9996,"Entrada")-SUMIFS(Movimentos!$F$4:$F$9996,Movimentos!$D$4:$D$9996,B151,Movimentos!$C$4:$C$9996,"Saída"),""),"")</f>
        <v/>
      </c>
      <c r="F151" s="10" t="str">
        <f t="shared" ref="F151:F214" si="8">IF(AND(B151&lt;&gt;"",C151&lt;&gt;""),IF(E151=0,"Saldo zerado",IF(E151&lt;D151,"Saldo abaixo do mínimo","Saldo disponível")),"")</f>
        <v/>
      </c>
    </row>
    <row r="152" spans="1:6" x14ac:dyDescent="0.3">
      <c r="A152" s="15" t="str">
        <f t="shared" si="7"/>
        <v>.</v>
      </c>
      <c r="E152" s="13" t="str">
        <f>IFERROR(IF(AND(B152&lt;&gt;"",C152&lt;&gt;""),SUMIFS(Movimentos!$F$4:$F$9996,Movimentos!$D$4:$D$9996,B152,Movimentos!$C$4:$C$9996,"Entrada")-SUMIFS(Movimentos!$F$4:$F$9996,Movimentos!$D$4:$D$9996,B152,Movimentos!$C$4:$C$9996,"Saída"),""),"")</f>
        <v/>
      </c>
      <c r="F152" s="10" t="str">
        <f t="shared" si="8"/>
        <v/>
      </c>
    </row>
    <row r="153" spans="1:6" x14ac:dyDescent="0.3">
      <c r="A153" s="15" t="str">
        <f t="shared" si="7"/>
        <v>.</v>
      </c>
      <c r="E153" s="13" t="str">
        <f>IFERROR(IF(AND(B153&lt;&gt;"",C153&lt;&gt;""),SUMIFS(Movimentos!$F$4:$F$9996,Movimentos!$D$4:$D$9996,B153,Movimentos!$C$4:$C$9996,"Entrada")-SUMIFS(Movimentos!$F$4:$F$9996,Movimentos!$D$4:$D$9996,B153,Movimentos!$C$4:$C$9996,"Saída"),""),"")</f>
        <v/>
      </c>
      <c r="F153" s="10" t="str">
        <f t="shared" si="8"/>
        <v/>
      </c>
    </row>
    <row r="154" spans="1:6" x14ac:dyDescent="0.3">
      <c r="A154" s="15" t="str">
        <f t="shared" si="7"/>
        <v>.</v>
      </c>
      <c r="E154" s="13" t="str">
        <f>IFERROR(IF(AND(B154&lt;&gt;"",C154&lt;&gt;""),SUMIFS(Movimentos!$F$4:$F$9996,Movimentos!$D$4:$D$9996,B154,Movimentos!$C$4:$C$9996,"Entrada")-SUMIFS(Movimentos!$F$4:$F$9996,Movimentos!$D$4:$D$9996,B154,Movimentos!$C$4:$C$9996,"Saída"),""),"")</f>
        <v/>
      </c>
      <c r="F154" s="10" t="str">
        <f t="shared" si="8"/>
        <v/>
      </c>
    </row>
    <row r="155" spans="1:6" x14ac:dyDescent="0.3">
      <c r="A155" s="15" t="str">
        <f t="shared" si="7"/>
        <v>.</v>
      </c>
      <c r="E155" s="13" t="str">
        <f>IFERROR(IF(AND(B155&lt;&gt;"",C155&lt;&gt;""),SUMIFS(Movimentos!$F$4:$F$9996,Movimentos!$D$4:$D$9996,B155,Movimentos!$C$4:$C$9996,"Entrada")-SUMIFS(Movimentos!$F$4:$F$9996,Movimentos!$D$4:$D$9996,B155,Movimentos!$C$4:$C$9996,"Saída"),""),"")</f>
        <v/>
      </c>
      <c r="F155" s="10" t="str">
        <f t="shared" si="8"/>
        <v/>
      </c>
    </row>
    <row r="156" spans="1:6" x14ac:dyDescent="0.3">
      <c r="A156" s="15" t="str">
        <f t="shared" si="7"/>
        <v>.</v>
      </c>
      <c r="E156" s="13" t="str">
        <f>IFERROR(IF(AND(B156&lt;&gt;"",C156&lt;&gt;""),SUMIFS(Movimentos!$F$4:$F$9996,Movimentos!$D$4:$D$9996,B156,Movimentos!$C$4:$C$9996,"Entrada")-SUMIFS(Movimentos!$F$4:$F$9996,Movimentos!$D$4:$D$9996,B156,Movimentos!$C$4:$C$9996,"Saída"),""),"")</f>
        <v/>
      </c>
      <c r="F156" s="10" t="str">
        <f t="shared" si="8"/>
        <v/>
      </c>
    </row>
    <row r="157" spans="1:6" x14ac:dyDescent="0.3">
      <c r="A157" s="15" t="str">
        <f t="shared" si="7"/>
        <v>.</v>
      </c>
      <c r="E157" s="13" t="str">
        <f>IFERROR(IF(AND(B157&lt;&gt;"",C157&lt;&gt;""),SUMIFS(Movimentos!$F$4:$F$9996,Movimentos!$D$4:$D$9996,B157,Movimentos!$C$4:$C$9996,"Entrada")-SUMIFS(Movimentos!$F$4:$F$9996,Movimentos!$D$4:$D$9996,B157,Movimentos!$C$4:$C$9996,"Saída"),""),"")</f>
        <v/>
      </c>
      <c r="F157" s="10" t="str">
        <f t="shared" si="8"/>
        <v/>
      </c>
    </row>
    <row r="158" spans="1:6" x14ac:dyDescent="0.3">
      <c r="A158" s="15" t="str">
        <f t="shared" si="7"/>
        <v>.</v>
      </c>
      <c r="E158" s="13" t="str">
        <f>IFERROR(IF(AND(B158&lt;&gt;"",C158&lt;&gt;""),SUMIFS(Movimentos!$F$4:$F$9996,Movimentos!$D$4:$D$9996,B158,Movimentos!$C$4:$C$9996,"Entrada")-SUMIFS(Movimentos!$F$4:$F$9996,Movimentos!$D$4:$D$9996,B158,Movimentos!$C$4:$C$9996,"Saída"),""),"")</f>
        <v/>
      </c>
      <c r="F158" s="10" t="str">
        <f t="shared" si="8"/>
        <v/>
      </c>
    </row>
    <row r="159" spans="1:6" x14ac:dyDescent="0.3">
      <c r="A159" s="15" t="str">
        <f t="shared" si="7"/>
        <v>.</v>
      </c>
      <c r="E159" s="13" t="str">
        <f>IFERROR(IF(AND(B159&lt;&gt;"",C159&lt;&gt;""),SUMIFS(Movimentos!$F$4:$F$9996,Movimentos!$D$4:$D$9996,B159,Movimentos!$C$4:$C$9996,"Entrada")-SUMIFS(Movimentos!$F$4:$F$9996,Movimentos!$D$4:$D$9996,B159,Movimentos!$C$4:$C$9996,"Saída"),""),"")</f>
        <v/>
      </c>
      <c r="F159" s="10" t="str">
        <f t="shared" si="8"/>
        <v/>
      </c>
    </row>
    <row r="160" spans="1:6" x14ac:dyDescent="0.3">
      <c r="A160" s="15" t="str">
        <f t="shared" si="7"/>
        <v>.</v>
      </c>
      <c r="E160" s="13" t="str">
        <f>IFERROR(IF(AND(B160&lt;&gt;"",C160&lt;&gt;""),SUMIFS(Movimentos!$F$4:$F$9996,Movimentos!$D$4:$D$9996,B160,Movimentos!$C$4:$C$9996,"Entrada")-SUMIFS(Movimentos!$F$4:$F$9996,Movimentos!$D$4:$D$9996,B160,Movimentos!$C$4:$C$9996,"Saída"),""),"")</f>
        <v/>
      </c>
      <c r="F160" s="10" t="str">
        <f t="shared" si="8"/>
        <v/>
      </c>
    </row>
    <row r="161" spans="1:6" x14ac:dyDescent="0.3">
      <c r="A161" s="15" t="str">
        <f t="shared" si="7"/>
        <v>.</v>
      </c>
      <c r="E161" s="13" t="str">
        <f>IFERROR(IF(AND(B161&lt;&gt;"",C161&lt;&gt;""),SUMIFS(Movimentos!$F$4:$F$9996,Movimentos!$D$4:$D$9996,B161,Movimentos!$C$4:$C$9996,"Entrada")-SUMIFS(Movimentos!$F$4:$F$9996,Movimentos!$D$4:$D$9996,B161,Movimentos!$C$4:$C$9996,"Saída"),""),"")</f>
        <v/>
      </c>
      <c r="F161" s="10" t="str">
        <f t="shared" si="8"/>
        <v/>
      </c>
    </row>
    <row r="162" spans="1:6" x14ac:dyDescent="0.3">
      <c r="A162" s="15" t="str">
        <f t="shared" si="7"/>
        <v>.</v>
      </c>
      <c r="E162" s="13" t="str">
        <f>IFERROR(IF(AND(B162&lt;&gt;"",C162&lt;&gt;""),SUMIFS(Movimentos!$F$4:$F$9996,Movimentos!$D$4:$D$9996,B162,Movimentos!$C$4:$C$9996,"Entrada")-SUMIFS(Movimentos!$F$4:$F$9996,Movimentos!$D$4:$D$9996,B162,Movimentos!$C$4:$C$9996,"Saída"),""),"")</f>
        <v/>
      </c>
      <c r="F162" s="10" t="str">
        <f t="shared" si="8"/>
        <v/>
      </c>
    </row>
    <row r="163" spans="1:6" x14ac:dyDescent="0.3">
      <c r="A163" s="15" t="str">
        <f t="shared" si="7"/>
        <v>.</v>
      </c>
      <c r="E163" s="13" t="str">
        <f>IFERROR(IF(AND(B163&lt;&gt;"",C163&lt;&gt;""),SUMIFS(Movimentos!$F$4:$F$9996,Movimentos!$D$4:$D$9996,B163,Movimentos!$C$4:$C$9996,"Entrada")-SUMIFS(Movimentos!$F$4:$F$9996,Movimentos!$D$4:$D$9996,B163,Movimentos!$C$4:$C$9996,"Saída"),""),"")</f>
        <v/>
      </c>
      <c r="F163" s="10" t="str">
        <f t="shared" si="8"/>
        <v/>
      </c>
    </row>
    <row r="164" spans="1:6" x14ac:dyDescent="0.3">
      <c r="A164" s="15" t="str">
        <f t="shared" si="7"/>
        <v>.</v>
      </c>
      <c r="E164" s="13" t="str">
        <f>IFERROR(IF(AND(B164&lt;&gt;"",C164&lt;&gt;""),SUMIFS(Movimentos!$F$4:$F$9996,Movimentos!$D$4:$D$9996,B164,Movimentos!$C$4:$C$9996,"Entrada")-SUMIFS(Movimentos!$F$4:$F$9996,Movimentos!$D$4:$D$9996,B164,Movimentos!$C$4:$C$9996,"Saída"),""),"")</f>
        <v/>
      </c>
      <c r="F164" s="10" t="str">
        <f t="shared" si="8"/>
        <v/>
      </c>
    </row>
    <row r="165" spans="1:6" x14ac:dyDescent="0.3">
      <c r="A165" s="15" t="str">
        <f t="shared" si="7"/>
        <v>.</v>
      </c>
      <c r="E165" s="13" t="str">
        <f>IFERROR(IF(AND(B165&lt;&gt;"",C165&lt;&gt;""),SUMIFS(Movimentos!$F$4:$F$9996,Movimentos!$D$4:$D$9996,B165,Movimentos!$C$4:$C$9996,"Entrada")-SUMIFS(Movimentos!$F$4:$F$9996,Movimentos!$D$4:$D$9996,B165,Movimentos!$C$4:$C$9996,"Saída"),""),"")</f>
        <v/>
      </c>
      <c r="F165" s="10" t="str">
        <f t="shared" si="8"/>
        <v/>
      </c>
    </row>
    <row r="166" spans="1:6" x14ac:dyDescent="0.3">
      <c r="A166" s="15" t="str">
        <f t="shared" si="7"/>
        <v>.</v>
      </c>
      <c r="E166" s="13" t="str">
        <f>IFERROR(IF(AND(B166&lt;&gt;"",C166&lt;&gt;""),SUMIFS(Movimentos!$F$4:$F$9996,Movimentos!$D$4:$D$9996,B166,Movimentos!$C$4:$C$9996,"Entrada")-SUMIFS(Movimentos!$F$4:$F$9996,Movimentos!$D$4:$D$9996,B166,Movimentos!$C$4:$C$9996,"Saída"),""),"")</f>
        <v/>
      </c>
      <c r="F166" s="10" t="str">
        <f t="shared" si="8"/>
        <v/>
      </c>
    </row>
    <row r="167" spans="1:6" x14ac:dyDescent="0.3">
      <c r="A167" s="15" t="str">
        <f t="shared" si="7"/>
        <v>.</v>
      </c>
      <c r="E167" s="13" t="str">
        <f>IFERROR(IF(AND(B167&lt;&gt;"",C167&lt;&gt;""),SUMIFS(Movimentos!$F$4:$F$9996,Movimentos!$D$4:$D$9996,B167,Movimentos!$C$4:$C$9996,"Entrada")-SUMIFS(Movimentos!$F$4:$F$9996,Movimentos!$D$4:$D$9996,B167,Movimentos!$C$4:$C$9996,"Saída"),""),"")</f>
        <v/>
      </c>
      <c r="F167" s="10" t="str">
        <f t="shared" si="8"/>
        <v/>
      </c>
    </row>
    <row r="168" spans="1:6" x14ac:dyDescent="0.3">
      <c r="A168" s="15" t="str">
        <f t="shared" si="7"/>
        <v>.</v>
      </c>
      <c r="E168" s="13" t="str">
        <f>IFERROR(IF(AND(B168&lt;&gt;"",C168&lt;&gt;""),SUMIFS(Movimentos!$F$4:$F$9996,Movimentos!$D$4:$D$9996,B168,Movimentos!$C$4:$C$9996,"Entrada")-SUMIFS(Movimentos!$F$4:$F$9996,Movimentos!$D$4:$D$9996,B168,Movimentos!$C$4:$C$9996,"Saída"),""),"")</f>
        <v/>
      </c>
      <c r="F168" s="10" t="str">
        <f t="shared" si="8"/>
        <v/>
      </c>
    </row>
    <row r="169" spans="1:6" x14ac:dyDescent="0.3">
      <c r="A169" s="15" t="str">
        <f t="shared" si="7"/>
        <v>.</v>
      </c>
      <c r="E169" s="13" t="str">
        <f>IFERROR(IF(AND(B169&lt;&gt;"",C169&lt;&gt;""),SUMIFS(Movimentos!$F$4:$F$9996,Movimentos!$D$4:$D$9996,B169,Movimentos!$C$4:$C$9996,"Entrada")-SUMIFS(Movimentos!$F$4:$F$9996,Movimentos!$D$4:$D$9996,B169,Movimentos!$C$4:$C$9996,"Saída"),""),"")</f>
        <v/>
      </c>
      <c r="F169" s="10" t="str">
        <f t="shared" si="8"/>
        <v/>
      </c>
    </row>
    <row r="170" spans="1:6" x14ac:dyDescent="0.3">
      <c r="A170" s="15" t="str">
        <f t="shared" si="7"/>
        <v>.</v>
      </c>
      <c r="E170" s="13" t="str">
        <f>IFERROR(IF(AND(B170&lt;&gt;"",C170&lt;&gt;""),SUMIFS(Movimentos!$F$4:$F$9996,Movimentos!$D$4:$D$9996,B170,Movimentos!$C$4:$C$9996,"Entrada")-SUMIFS(Movimentos!$F$4:$F$9996,Movimentos!$D$4:$D$9996,B170,Movimentos!$C$4:$C$9996,"Saída"),""),"")</f>
        <v/>
      </c>
      <c r="F170" s="10" t="str">
        <f t="shared" si="8"/>
        <v/>
      </c>
    </row>
    <row r="171" spans="1:6" x14ac:dyDescent="0.3">
      <c r="A171" s="15" t="str">
        <f t="shared" si="7"/>
        <v>.</v>
      </c>
      <c r="E171" s="13" t="str">
        <f>IFERROR(IF(AND(B171&lt;&gt;"",C171&lt;&gt;""),SUMIFS(Movimentos!$F$4:$F$9996,Movimentos!$D$4:$D$9996,B171,Movimentos!$C$4:$C$9996,"Entrada")-SUMIFS(Movimentos!$F$4:$F$9996,Movimentos!$D$4:$D$9996,B171,Movimentos!$C$4:$C$9996,"Saída"),""),"")</f>
        <v/>
      </c>
      <c r="F171" s="10" t="str">
        <f t="shared" si="8"/>
        <v/>
      </c>
    </row>
    <row r="172" spans="1:6" x14ac:dyDescent="0.3">
      <c r="A172" s="15" t="str">
        <f t="shared" si="7"/>
        <v>.</v>
      </c>
      <c r="E172" s="13" t="str">
        <f>IFERROR(IF(AND(B172&lt;&gt;"",C172&lt;&gt;""),SUMIFS(Movimentos!$F$4:$F$9996,Movimentos!$D$4:$D$9996,B172,Movimentos!$C$4:$C$9996,"Entrada")-SUMIFS(Movimentos!$F$4:$F$9996,Movimentos!$D$4:$D$9996,B172,Movimentos!$C$4:$C$9996,"Saída"),""),"")</f>
        <v/>
      </c>
      <c r="F172" s="10" t="str">
        <f t="shared" si="8"/>
        <v/>
      </c>
    </row>
    <row r="173" spans="1:6" x14ac:dyDescent="0.3">
      <c r="A173" s="15" t="str">
        <f t="shared" si="7"/>
        <v>.</v>
      </c>
      <c r="E173" s="13" t="str">
        <f>IFERROR(IF(AND(B173&lt;&gt;"",C173&lt;&gt;""),SUMIFS(Movimentos!$F$4:$F$9996,Movimentos!$D$4:$D$9996,B173,Movimentos!$C$4:$C$9996,"Entrada")-SUMIFS(Movimentos!$F$4:$F$9996,Movimentos!$D$4:$D$9996,B173,Movimentos!$C$4:$C$9996,"Saída"),""),"")</f>
        <v/>
      </c>
      <c r="F173" s="10" t="str">
        <f t="shared" si="8"/>
        <v/>
      </c>
    </row>
    <row r="174" spans="1:6" x14ac:dyDescent="0.3">
      <c r="A174" s="15" t="str">
        <f t="shared" si="7"/>
        <v>.</v>
      </c>
      <c r="E174" s="13" t="str">
        <f>IFERROR(IF(AND(B174&lt;&gt;"",C174&lt;&gt;""),SUMIFS(Movimentos!$F$4:$F$9996,Movimentos!$D$4:$D$9996,B174,Movimentos!$C$4:$C$9996,"Entrada")-SUMIFS(Movimentos!$F$4:$F$9996,Movimentos!$D$4:$D$9996,B174,Movimentos!$C$4:$C$9996,"Saída"),""),"")</f>
        <v/>
      </c>
      <c r="F174" s="10" t="str">
        <f t="shared" si="8"/>
        <v/>
      </c>
    </row>
    <row r="175" spans="1:6" x14ac:dyDescent="0.3">
      <c r="A175" s="15" t="str">
        <f t="shared" si="7"/>
        <v>.</v>
      </c>
      <c r="E175" s="13" t="str">
        <f>IFERROR(IF(AND(B175&lt;&gt;"",C175&lt;&gt;""),SUMIFS(Movimentos!$F$4:$F$9996,Movimentos!$D$4:$D$9996,B175,Movimentos!$C$4:$C$9996,"Entrada")-SUMIFS(Movimentos!$F$4:$F$9996,Movimentos!$D$4:$D$9996,B175,Movimentos!$C$4:$C$9996,"Saída"),""),"")</f>
        <v/>
      </c>
      <c r="F175" s="10" t="str">
        <f t="shared" si="8"/>
        <v/>
      </c>
    </row>
    <row r="176" spans="1:6" x14ac:dyDescent="0.3">
      <c r="A176" s="15" t="str">
        <f t="shared" si="7"/>
        <v>.</v>
      </c>
      <c r="E176" s="13" t="str">
        <f>IFERROR(IF(AND(B176&lt;&gt;"",C176&lt;&gt;""),SUMIFS(Movimentos!$F$4:$F$9996,Movimentos!$D$4:$D$9996,B176,Movimentos!$C$4:$C$9996,"Entrada")-SUMIFS(Movimentos!$F$4:$F$9996,Movimentos!$D$4:$D$9996,B176,Movimentos!$C$4:$C$9996,"Saída"),""),"")</f>
        <v/>
      </c>
      <c r="F176" s="10" t="str">
        <f t="shared" si="8"/>
        <v/>
      </c>
    </row>
    <row r="177" spans="1:6" x14ac:dyDescent="0.3">
      <c r="A177" s="15" t="str">
        <f t="shared" si="7"/>
        <v>.</v>
      </c>
      <c r="E177" s="13" t="str">
        <f>IFERROR(IF(AND(B177&lt;&gt;"",C177&lt;&gt;""),SUMIFS(Movimentos!$F$4:$F$9996,Movimentos!$D$4:$D$9996,B177,Movimentos!$C$4:$C$9996,"Entrada")-SUMIFS(Movimentos!$F$4:$F$9996,Movimentos!$D$4:$D$9996,B177,Movimentos!$C$4:$C$9996,"Saída"),""),"")</f>
        <v/>
      </c>
      <c r="F177" s="10" t="str">
        <f t="shared" si="8"/>
        <v/>
      </c>
    </row>
    <row r="178" spans="1:6" x14ac:dyDescent="0.3">
      <c r="A178" s="15" t="str">
        <f t="shared" si="7"/>
        <v>.</v>
      </c>
      <c r="E178" s="13" t="str">
        <f>IFERROR(IF(AND(B178&lt;&gt;"",C178&lt;&gt;""),SUMIFS(Movimentos!$F$4:$F$9996,Movimentos!$D$4:$D$9996,B178,Movimentos!$C$4:$C$9996,"Entrada")-SUMIFS(Movimentos!$F$4:$F$9996,Movimentos!$D$4:$D$9996,B178,Movimentos!$C$4:$C$9996,"Saída"),""),"")</f>
        <v/>
      </c>
      <c r="F178" s="10" t="str">
        <f t="shared" si="8"/>
        <v/>
      </c>
    </row>
    <row r="179" spans="1:6" x14ac:dyDescent="0.3">
      <c r="A179" s="15" t="str">
        <f t="shared" si="7"/>
        <v>.</v>
      </c>
      <c r="E179" s="13" t="str">
        <f>IFERROR(IF(AND(B179&lt;&gt;"",C179&lt;&gt;""),SUMIFS(Movimentos!$F$4:$F$9996,Movimentos!$D$4:$D$9996,B179,Movimentos!$C$4:$C$9996,"Entrada")-SUMIFS(Movimentos!$F$4:$F$9996,Movimentos!$D$4:$D$9996,B179,Movimentos!$C$4:$C$9996,"Saída"),""),"")</f>
        <v/>
      </c>
      <c r="F179" s="10" t="str">
        <f t="shared" si="8"/>
        <v/>
      </c>
    </row>
    <row r="180" spans="1:6" x14ac:dyDescent="0.3">
      <c r="A180" s="15" t="str">
        <f t="shared" si="7"/>
        <v>.</v>
      </c>
      <c r="E180" s="13" t="str">
        <f>IFERROR(IF(AND(B180&lt;&gt;"",C180&lt;&gt;""),SUMIFS(Movimentos!$F$4:$F$9996,Movimentos!$D$4:$D$9996,B180,Movimentos!$C$4:$C$9996,"Entrada")-SUMIFS(Movimentos!$F$4:$F$9996,Movimentos!$D$4:$D$9996,B180,Movimentos!$C$4:$C$9996,"Saída"),""),"")</f>
        <v/>
      </c>
      <c r="F180" s="10" t="str">
        <f t="shared" si="8"/>
        <v/>
      </c>
    </row>
    <row r="181" spans="1:6" x14ac:dyDescent="0.3">
      <c r="A181" s="15" t="str">
        <f t="shared" si="7"/>
        <v>.</v>
      </c>
      <c r="E181" s="13" t="str">
        <f>IFERROR(IF(AND(B181&lt;&gt;"",C181&lt;&gt;""),SUMIFS(Movimentos!$F$4:$F$9996,Movimentos!$D$4:$D$9996,B181,Movimentos!$C$4:$C$9996,"Entrada")-SUMIFS(Movimentos!$F$4:$F$9996,Movimentos!$D$4:$D$9996,B181,Movimentos!$C$4:$C$9996,"Saída"),""),"")</f>
        <v/>
      </c>
      <c r="F181" s="10" t="str">
        <f t="shared" si="8"/>
        <v/>
      </c>
    </row>
    <row r="182" spans="1:6" x14ac:dyDescent="0.3">
      <c r="A182" s="15" t="str">
        <f t="shared" si="7"/>
        <v>.</v>
      </c>
      <c r="E182" s="13" t="str">
        <f>IFERROR(IF(AND(B182&lt;&gt;"",C182&lt;&gt;""),SUMIFS(Movimentos!$F$4:$F$9996,Movimentos!$D$4:$D$9996,B182,Movimentos!$C$4:$C$9996,"Entrada")-SUMIFS(Movimentos!$F$4:$F$9996,Movimentos!$D$4:$D$9996,B182,Movimentos!$C$4:$C$9996,"Saída"),""),"")</f>
        <v/>
      </c>
      <c r="F182" s="10" t="str">
        <f t="shared" si="8"/>
        <v/>
      </c>
    </row>
    <row r="183" spans="1:6" x14ac:dyDescent="0.3">
      <c r="A183" s="15" t="str">
        <f t="shared" si="7"/>
        <v>.</v>
      </c>
      <c r="E183" s="13" t="str">
        <f>IFERROR(IF(AND(B183&lt;&gt;"",C183&lt;&gt;""),SUMIFS(Movimentos!$F$4:$F$9996,Movimentos!$D$4:$D$9996,B183,Movimentos!$C$4:$C$9996,"Entrada")-SUMIFS(Movimentos!$F$4:$F$9996,Movimentos!$D$4:$D$9996,B183,Movimentos!$C$4:$C$9996,"Saída"),""),"")</f>
        <v/>
      </c>
      <c r="F183" s="10" t="str">
        <f t="shared" si="8"/>
        <v/>
      </c>
    </row>
    <row r="184" spans="1:6" x14ac:dyDescent="0.3">
      <c r="A184" s="15" t="str">
        <f t="shared" si="7"/>
        <v>.</v>
      </c>
      <c r="E184" s="13" t="str">
        <f>IFERROR(IF(AND(B184&lt;&gt;"",C184&lt;&gt;""),SUMIFS(Movimentos!$F$4:$F$9996,Movimentos!$D$4:$D$9996,B184,Movimentos!$C$4:$C$9996,"Entrada")-SUMIFS(Movimentos!$F$4:$F$9996,Movimentos!$D$4:$D$9996,B184,Movimentos!$C$4:$C$9996,"Saída"),""),"")</f>
        <v/>
      </c>
      <c r="F184" s="10" t="str">
        <f t="shared" si="8"/>
        <v/>
      </c>
    </row>
    <row r="185" spans="1:6" x14ac:dyDescent="0.3">
      <c r="A185" s="15" t="str">
        <f t="shared" si="7"/>
        <v>.</v>
      </c>
      <c r="E185" s="13" t="str">
        <f>IFERROR(IF(AND(B185&lt;&gt;"",C185&lt;&gt;""),SUMIFS(Movimentos!$F$4:$F$9996,Movimentos!$D$4:$D$9996,B185,Movimentos!$C$4:$C$9996,"Entrada")-SUMIFS(Movimentos!$F$4:$F$9996,Movimentos!$D$4:$D$9996,B185,Movimentos!$C$4:$C$9996,"Saída"),""),"")</f>
        <v/>
      </c>
      <c r="F185" s="10" t="str">
        <f t="shared" si="8"/>
        <v/>
      </c>
    </row>
    <row r="186" spans="1:6" x14ac:dyDescent="0.3">
      <c r="A186" s="15" t="str">
        <f t="shared" si="7"/>
        <v>.</v>
      </c>
      <c r="E186" s="13" t="str">
        <f>IFERROR(IF(AND(B186&lt;&gt;"",C186&lt;&gt;""),SUMIFS(Movimentos!$F$4:$F$9996,Movimentos!$D$4:$D$9996,B186,Movimentos!$C$4:$C$9996,"Entrada")-SUMIFS(Movimentos!$F$4:$F$9996,Movimentos!$D$4:$D$9996,B186,Movimentos!$C$4:$C$9996,"Saída"),""),"")</f>
        <v/>
      </c>
      <c r="F186" s="10" t="str">
        <f t="shared" si="8"/>
        <v/>
      </c>
    </row>
    <row r="187" spans="1:6" x14ac:dyDescent="0.3">
      <c r="A187" s="15" t="str">
        <f t="shared" si="7"/>
        <v>.</v>
      </c>
      <c r="E187" s="13" t="str">
        <f>IFERROR(IF(AND(B187&lt;&gt;"",C187&lt;&gt;""),SUMIFS(Movimentos!$F$4:$F$9996,Movimentos!$D$4:$D$9996,B187,Movimentos!$C$4:$C$9996,"Entrada")-SUMIFS(Movimentos!$F$4:$F$9996,Movimentos!$D$4:$D$9996,B187,Movimentos!$C$4:$C$9996,"Saída"),""),"")</f>
        <v/>
      </c>
      <c r="F187" s="10" t="str">
        <f t="shared" si="8"/>
        <v/>
      </c>
    </row>
    <row r="188" spans="1:6" x14ac:dyDescent="0.3">
      <c r="A188" s="15" t="str">
        <f t="shared" si="7"/>
        <v>.</v>
      </c>
      <c r="E188" s="13" t="str">
        <f>IFERROR(IF(AND(B188&lt;&gt;"",C188&lt;&gt;""),SUMIFS(Movimentos!$F$4:$F$9996,Movimentos!$D$4:$D$9996,B188,Movimentos!$C$4:$C$9996,"Entrada")-SUMIFS(Movimentos!$F$4:$F$9996,Movimentos!$D$4:$D$9996,B188,Movimentos!$C$4:$C$9996,"Saída"),""),"")</f>
        <v/>
      </c>
      <c r="F188" s="10" t="str">
        <f t="shared" si="8"/>
        <v/>
      </c>
    </row>
    <row r="189" spans="1:6" x14ac:dyDescent="0.3">
      <c r="A189" s="15" t="str">
        <f t="shared" si="7"/>
        <v>.</v>
      </c>
      <c r="E189" s="13" t="str">
        <f>IFERROR(IF(AND(B189&lt;&gt;"",C189&lt;&gt;""),SUMIFS(Movimentos!$F$4:$F$9996,Movimentos!$D$4:$D$9996,B189,Movimentos!$C$4:$C$9996,"Entrada")-SUMIFS(Movimentos!$F$4:$F$9996,Movimentos!$D$4:$D$9996,B189,Movimentos!$C$4:$C$9996,"Saída"),""),"")</f>
        <v/>
      </c>
      <c r="F189" s="10" t="str">
        <f t="shared" si="8"/>
        <v/>
      </c>
    </row>
    <row r="190" spans="1:6" x14ac:dyDescent="0.3">
      <c r="A190" s="15" t="str">
        <f t="shared" si="7"/>
        <v>.</v>
      </c>
      <c r="E190" s="13" t="str">
        <f>IFERROR(IF(AND(B190&lt;&gt;"",C190&lt;&gt;""),SUMIFS(Movimentos!$F$4:$F$9996,Movimentos!$D$4:$D$9996,B190,Movimentos!$C$4:$C$9996,"Entrada")-SUMIFS(Movimentos!$F$4:$F$9996,Movimentos!$D$4:$D$9996,B190,Movimentos!$C$4:$C$9996,"Saída"),""),"")</f>
        <v/>
      </c>
      <c r="F190" s="10" t="str">
        <f t="shared" si="8"/>
        <v/>
      </c>
    </row>
    <row r="191" spans="1:6" x14ac:dyDescent="0.3">
      <c r="A191" s="15" t="str">
        <f t="shared" si="7"/>
        <v>.</v>
      </c>
      <c r="E191" s="13" t="str">
        <f>IFERROR(IF(AND(B191&lt;&gt;"",C191&lt;&gt;""),SUMIFS(Movimentos!$F$4:$F$9996,Movimentos!$D$4:$D$9996,B191,Movimentos!$C$4:$C$9996,"Entrada")-SUMIFS(Movimentos!$F$4:$F$9996,Movimentos!$D$4:$D$9996,B191,Movimentos!$C$4:$C$9996,"Saída"),""),"")</f>
        <v/>
      </c>
      <c r="F191" s="10" t="str">
        <f t="shared" si="8"/>
        <v/>
      </c>
    </row>
    <row r="192" spans="1:6" x14ac:dyDescent="0.3">
      <c r="A192" s="15" t="str">
        <f t="shared" ref="A192:A255" si="9">IF(F192="Saldo zerado",0,IF(F192="Saldo abaixo do mínimo",1,IF(F192="Saldo disponível",2,".")))</f>
        <v>.</v>
      </c>
      <c r="E192" s="13" t="str">
        <f>IFERROR(IF(AND(B192&lt;&gt;"",C192&lt;&gt;""),SUMIFS(Movimentos!$F$4:$F$9996,Movimentos!$D$4:$D$9996,B192,Movimentos!$C$4:$C$9996,"Entrada")-SUMIFS(Movimentos!$F$4:$F$9996,Movimentos!$D$4:$D$9996,B192,Movimentos!$C$4:$C$9996,"Saída"),""),"")</f>
        <v/>
      </c>
      <c r="F192" s="10" t="str">
        <f t="shared" si="8"/>
        <v/>
      </c>
    </row>
    <row r="193" spans="1:6" x14ac:dyDescent="0.3">
      <c r="A193" s="15" t="str">
        <f t="shared" si="9"/>
        <v>.</v>
      </c>
      <c r="E193" s="13" t="str">
        <f>IFERROR(IF(AND(B193&lt;&gt;"",C193&lt;&gt;""),SUMIFS(Movimentos!$F$4:$F$9996,Movimentos!$D$4:$D$9996,B193,Movimentos!$C$4:$C$9996,"Entrada")-SUMIFS(Movimentos!$F$4:$F$9996,Movimentos!$D$4:$D$9996,B193,Movimentos!$C$4:$C$9996,"Saída"),""),"")</f>
        <v/>
      </c>
      <c r="F193" s="10" t="str">
        <f t="shared" si="8"/>
        <v/>
      </c>
    </row>
    <row r="194" spans="1:6" x14ac:dyDescent="0.3">
      <c r="A194" s="15" t="str">
        <f t="shared" si="9"/>
        <v>.</v>
      </c>
      <c r="E194" s="13" t="str">
        <f>IFERROR(IF(AND(B194&lt;&gt;"",C194&lt;&gt;""),SUMIFS(Movimentos!$F$4:$F$9996,Movimentos!$D$4:$D$9996,B194,Movimentos!$C$4:$C$9996,"Entrada")-SUMIFS(Movimentos!$F$4:$F$9996,Movimentos!$D$4:$D$9996,B194,Movimentos!$C$4:$C$9996,"Saída"),""),"")</f>
        <v/>
      </c>
      <c r="F194" s="10" t="str">
        <f t="shared" si="8"/>
        <v/>
      </c>
    </row>
    <row r="195" spans="1:6" x14ac:dyDescent="0.3">
      <c r="A195" s="15" t="str">
        <f t="shared" si="9"/>
        <v>.</v>
      </c>
      <c r="E195" s="13" t="str">
        <f>IFERROR(IF(AND(B195&lt;&gt;"",C195&lt;&gt;""),SUMIFS(Movimentos!$F$4:$F$9996,Movimentos!$D$4:$D$9996,B195,Movimentos!$C$4:$C$9996,"Entrada")-SUMIFS(Movimentos!$F$4:$F$9996,Movimentos!$D$4:$D$9996,B195,Movimentos!$C$4:$C$9996,"Saída"),""),"")</f>
        <v/>
      </c>
      <c r="F195" s="10" t="str">
        <f t="shared" si="8"/>
        <v/>
      </c>
    </row>
    <row r="196" spans="1:6" x14ac:dyDescent="0.3">
      <c r="A196" s="15" t="str">
        <f t="shared" si="9"/>
        <v>.</v>
      </c>
      <c r="E196" s="13" t="str">
        <f>IFERROR(IF(AND(B196&lt;&gt;"",C196&lt;&gt;""),SUMIFS(Movimentos!$F$4:$F$9996,Movimentos!$D$4:$D$9996,B196,Movimentos!$C$4:$C$9996,"Entrada")-SUMIFS(Movimentos!$F$4:$F$9996,Movimentos!$D$4:$D$9996,B196,Movimentos!$C$4:$C$9996,"Saída"),""),"")</f>
        <v/>
      </c>
      <c r="F196" s="10" t="str">
        <f t="shared" si="8"/>
        <v/>
      </c>
    </row>
    <row r="197" spans="1:6" x14ac:dyDescent="0.3">
      <c r="A197" s="15" t="str">
        <f t="shared" si="9"/>
        <v>.</v>
      </c>
      <c r="E197" s="13" t="str">
        <f>IFERROR(IF(AND(B197&lt;&gt;"",C197&lt;&gt;""),SUMIFS(Movimentos!$F$4:$F$9996,Movimentos!$D$4:$D$9996,B197,Movimentos!$C$4:$C$9996,"Entrada")-SUMIFS(Movimentos!$F$4:$F$9996,Movimentos!$D$4:$D$9996,B197,Movimentos!$C$4:$C$9996,"Saída"),""),"")</f>
        <v/>
      </c>
      <c r="F197" s="10" t="str">
        <f t="shared" si="8"/>
        <v/>
      </c>
    </row>
    <row r="198" spans="1:6" x14ac:dyDescent="0.3">
      <c r="A198" s="15" t="str">
        <f t="shared" si="9"/>
        <v>.</v>
      </c>
      <c r="E198" s="13" t="str">
        <f>IFERROR(IF(AND(B198&lt;&gt;"",C198&lt;&gt;""),SUMIFS(Movimentos!$F$4:$F$9996,Movimentos!$D$4:$D$9996,B198,Movimentos!$C$4:$C$9996,"Entrada")-SUMIFS(Movimentos!$F$4:$F$9996,Movimentos!$D$4:$D$9996,B198,Movimentos!$C$4:$C$9996,"Saída"),""),"")</f>
        <v/>
      </c>
      <c r="F198" s="10" t="str">
        <f t="shared" si="8"/>
        <v/>
      </c>
    </row>
    <row r="199" spans="1:6" x14ac:dyDescent="0.3">
      <c r="A199" s="15" t="str">
        <f t="shared" si="9"/>
        <v>.</v>
      </c>
      <c r="E199" s="13" t="str">
        <f>IFERROR(IF(AND(B199&lt;&gt;"",C199&lt;&gt;""),SUMIFS(Movimentos!$F$4:$F$9996,Movimentos!$D$4:$D$9996,B199,Movimentos!$C$4:$C$9996,"Entrada")-SUMIFS(Movimentos!$F$4:$F$9996,Movimentos!$D$4:$D$9996,B199,Movimentos!$C$4:$C$9996,"Saída"),""),"")</f>
        <v/>
      </c>
      <c r="F199" s="10" t="str">
        <f t="shared" si="8"/>
        <v/>
      </c>
    </row>
    <row r="200" spans="1:6" x14ac:dyDescent="0.3">
      <c r="A200" s="15" t="str">
        <f t="shared" si="9"/>
        <v>.</v>
      </c>
      <c r="E200" s="13" t="str">
        <f>IFERROR(IF(AND(B200&lt;&gt;"",C200&lt;&gt;""),SUMIFS(Movimentos!$F$4:$F$9996,Movimentos!$D$4:$D$9996,B200,Movimentos!$C$4:$C$9996,"Entrada")-SUMIFS(Movimentos!$F$4:$F$9996,Movimentos!$D$4:$D$9996,B200,Movimentos!$C$4:$C$9996,"Saída"),""),"")</f>
        <v/>
      </c>
      <c r="F200" s="10" t="str">
        <f t="shared" si="8"/>
        <v/>
      </c>
    </row>
    <row r="201" spans="1:6" x14ac:dyDescent="0.3">
      <c r="A201" s="15" t="str">
        <f t="shared" si="9"/>
        <v>.</v>
      </c>
      <c r="E201" s="13" t="str">
        <f>IFERROR(IF(AND(B201&lt;&gt;"",C201&lt;&gt;""),SUMIFS(Movimentos!$F$4:$F$9996,Movimentos!$D$4:$D$9996,B201,Movimentos!$C$4:$C$9996,"Entrada")-SUMIFS(Movimentos!$F$4:$F$9996,Movimentos!$D$4:$D$9996,B201,Movimentos!$C$4:$C$9996,"Saída"),""),"")</f>
        <v/>
      </c>
      <c r="F201" s="10" t="str">
        <f t="shared" si="8"/>
        <v/>
      </c>
    </row>
    <row r="202" spans="1:6" x14ac:dyDescent="0.3">
      <c r="A202" s="15" t="str">
        <f t="shared" si="9"/>
        <v>.</v>
      </c>
      <c r="E202" s="13" t="str">
        <f>IFERROR(IF(AND(B202&lt;&gt;"",C202&lt;&gt;""),SUMIFS(Movimentos!$F$4:$F$9996,Movimentos!$D$4:$D$9996,B202,Movimentos!$C$4:$C$9996,"Entrada")-SUMIFS(Movimentos!$F$4:$F$9996,Movimentos!$D$4:$D$9996,B202,Movimentos!$C$4:$C$9996,"Saída"),""),"")</f>
        <v/>
      </c>
      <c r="F202" s="10" t="str">
        <f t="shared" si="8"/>
        <v/>
      </c>
    </row>
    <row r="203" spans="1:6" x14ac:dyDescent="0.3">
      <c r="A203" s="15" t="str">
        <f t="shared" si="9"/>
        <v>.</v>
      </c>
      <c r="E203" s="13" t="str">
        <f>IFERROR(IF(AND(B203&lt;&gt;"",C203&lt;&gt;""),SUMIFS(Movimentos!$F$4:$F$9996,Movimentos!$D$4:$D$9996,B203,Movimentos!$C$4:$C$9996,"Entrada")-SUMIFS(Movimentos!$F$4:$F$9996,Movimentos!$D$4:$D$9996,B203,Movimentos!$C$4:$C$9996,"Saída"),""),"")</f>
        <v/>
      </c>
      <c r="F203" s="10" t="str">
        <f t="shared" si="8"/>
        <v/>
      </c>
    </row>
    <row r="204" spans="1:6" x14ac:dyDescent="0.3">
      <c r="A204" s="15" t="str">
        <f t="shared" si="9"/>
        <v>.</v>
      </c>
      <c r="E204" s="13" t="str">
        <f>IFERROR(IF(AND(B204&lt;&gt;"",C204&lt;&gt;""),SUMIFS(Movimentos!$F$4:$F$9996,Movimentos!$D$4:$D$9996,B204,Movimentos!$C$4:$C$9996,"Entrada")-SUMIFS(Movimentos!$F$4:$F$9996,Movimentos!$D$4:$D$9996,B204,Movimentos!$C$4:$C$9996,"Saída"),""),"")</f>
        <v/>
      </c>
      <c r="F204" s="10" t="str">
        <f t="shared" si="8"/>
        <v/>
      </c>
    </row>
    <row r="205" spans="1:6" x14ac:dyDescent="0.3">
      <c r="A205" s="15" t="str">
        <f t="shared" si="9"/>
        <v>.</v>
      </c>
      <c r="E205" s="13" t="str">
        <f>IFERROR(IF(AND(B205&lt;&gt;"",C205&lt;&gt;""),SUMIFS(Movimentos!$F$4:$F$9996,Movimentos!$D$4:$D$9996,B205,Movimentos!$C$4:$C$9996,"Entrada")-SUMIFS(Movimentos!$F$4:$F$9996,Movimentos!$D$4:$D$9996,B205,Movimentos!$C$4:$C$9996,"Saída"),""),"")</f>
        <v/>
      </c>
      <c r="F205" s="10" t="str">
        <f t="shared" si="8"/>
        <v/>
      </c>
    </row>
    <row r="206" spans="1:6" x14ac:dyDescent="0.3">
      <c r="A206" s="15" t="str">
        <f t="shared" si="9"/>
        <v>.</v>
      </c>
      <c r="E206" s="13" t="str">
        <f>IFERROR(IF(AND(B206&lt;&gt;"",C206&lt;&gt;""),SUMIFS(Movimentos!$F$4:$F$9996,Movimentos!$D$4:$D$9996,B206,Movimentos!$C$4:$C$9996,"Entrada")-SUMIFS(Movimentos!$F$4:$F$9996,Movimentos!$D$4:$D$9996,B206,Movimentos!$C$4:$C$9996,"Saída"),""),"")</f>
        <v/>
      </c>
      <c r="F206" s="10" t="str">
        <f t="shared" si="8"/>
        <v/>
      </c>
    </row>
    <row r="207" spans="1:6" x14ac:dyDescent="0.3">
      <c r="A207" s="15" t="str">
        <f t="shared" si="9"/>
        <v>.</v>
      </c>
      <c r="E207" s="13" t="str">
        <f>IFERROR(IF(AND(B207&lt;&gt;"",C207&lt;&gt;""),SUMIFS(Movimentos!$F$4:$F$9996,Movimentos!$D$4:$D$9996,B207,Movimentos!$C$4:$C$9996,"Entrada")-SUMIFS(Movimentos!$F$4:$F$9996,Movimentos!$D$4:$D$9996,B207,Movimentos!$C$4:$C$9996,"Saída"),""),"")</f>
        <v/>
      </c>
      <c r="F207" s="10" t="str">
        <f t="shared" si="8"/>
        <v/>
      </c>
    </row>
    <row r="208" spans="1:6" x14ac:dyDescent="0.3">
      <c r="A208" s="15" t="str">
        <f t="shared" si="9"/>
        <v>.</v>
      </c>
      <c r="E208" s="13" t="str">
        <f>IFERROR(IF(AND(B208&lt;&gt;"",C208&lt;&gt;""),SUMIFS(Movimentos!$F$4:$F$9996,Movimentos!$D$4:$D$9996,B208,Movimentos!$C$4:$C$9996,"Entrada")-SUMIFS(Movimentos!$F$4:$F$9996,Movimentos!$D$4:$D$9996,B208,Movimentos!$C$4:$C$9996,"Saída"),""),"")</f>
        <v/>
      </c>
      <c r="F208" s="10" t="str">
        <f t="shared" si="8"/>
        <v/>
      </c>
    </row>
    <row r="209" spans="1:6" x14ac:dyDescent="0.3">
      <c r="A209" s="15" t="str">
        <f t="shared" si="9"/>
        <v>.</v>
      </c>
      <c r="E209" s="13" t="str">
        <f>IFERROR(IF(AND(B209&lt;&gt;"",C209&lt;&gt;""),SUMIFS(Movimentos!$F$4:$F$9996,Movimentos!$D$4:$D$9996,B209,Movimentos!$C$4:$C$9996,"Entrada")-SUMIFS(Movimentos!$F$4:$F$9996,Movimentos!$D$4:$D$9996,B209,Movimentos!$C$4:$C$9996,"Saída"),""),"")</f>
        <v/>
      </c>
      <c r="F209" s="10" t="str">
        <f t="shared" si="8"/>
        <v/>
      </c>
    </row>
    <row r="210" spans="1:6" x14ac:dyDescent="0.3">
      <c r="A210" s="15" t="str">
        <f t="shared" si="9"/>
        <v>.</v>
      </c>
      <c r="E210" s="13" t="str">
        <f>IFERROR(IF(AND(B210&lt;&gt;"",C210&lt;&gt;""),SUMIFS(Movimentos!$F$4:$F$9996,Movimentos!$D$4:$D$9996,B210,Movimentos!$C$4:$C$9996,"Entrada")-SUMIFS(Movimentos!$F$4:$F$9996,Movimentos!$D$4:$D$9996,B210,Movimentos!$C$4:$C$9996,"Saída"),""),"")</f>
        <v/>
      </c>
      <c r="F210" s="10" t="str">
        <f t="shared" si="8"/>
        <v/>
      </c>
    </row>
    <row r="211" spans="1:6" x14ac:dyDescent="0.3">
      <c r="A211" s="15" t="str">
        <f t="shared" si="9"/>
        <v>.</v>
      </c>
      <c r="E211" s="13" t="str">
        <f>IFERROR(IF(AND(B211&lt;&gt;"",C211&lt;&gt;""),SUMIFS(Movimentos!$F$4:$F$9996,Movimentos!$D$4:$D$9996,B211,Movimentos!$C$4:$C$9996,"Entrada")-SUMIFS(Movimentos!$F$4:$F$9996,Movimentos!$D$4:$D$9996,B211,Movimentos!$C$4:$C$9996,"Saída"),""),"")</f>
        <v/>
      </c>
      <c r="F211" s="10" t="str">
        <f t="shared" si="8"/>
        <v/>
      </c>
    </row>
    <row r="212" spans="1:6" x14ac:dyDescent="0.3">
      <c r="A212" s="15" t="str">
        <f t="shared" si="9"/>
        <v>.</v>
      </c>
      <c r="E212" s="13" t="str">
        <f>IFERROR(IF(AND(B212&lt;&gt;"",C212&lt;&gt;""),SUMIFS(Movimentos!$F$4:$F$9996,Movimentos!$D$4:$D$9996,B212,Movimentos!$C$4:$C$9996,"Entrada")-SUMIFS(Movimentos!$F$4:$F$9996,Movimentos!$D$4:$D$9996,B212,Movimentos!$C$4:$C$9996,"Saída"),""),"")</f>
        <v/>
      </c>
      <c r="F212" s="10" t="str">
        <f t="shared" si="8"/>
        <v/>
      </c>
    </row>
    <row r="213" spans="1:6" x14ac:dyDescent="0.3">
      <c r="A213" s="15" t="str">
        <f t="shared" si="9"/>
        <v>.</v>
      </c>
      <c r="E213" s="13" t="str">
        <f>IFERROR(IF(AND(B213&lt;&gt;"",C213&lt;&gt;""),SUMIFS(Movimentos!$F$4:$F$9996,Movimentos!$D$4:$D$9996,B213,Movimentos!$C$4:$C$9996,"Entrada")-SUMIFS(Movimentos!$F$4:$F$9996,Movimentos!$D$4:$D$9996,B213,Movimentos!$C$4:$C$9996,"Saída"),""),"")</f>
        <v/>
      </c>
      <c r="F213" s="10" t="str">
        <f t="shared" si="8"/>
        <v/>
      </c>
    </row>
    <row r="214" spans="1:6" x14ac:dyDescent="0.3">
      <c r="A214" s="15" t="str">
        <f t="shared" si="9"/>
        <v>.</v>
      </c>
      <c r="E214" s="13" t="str">
        <f>IFERROR(IF(AND(B214&lt;&gt;"",C214&lt;&gt;""),SUMIFS(Movimentos!$F$4:$F$9996,Movimentos!$D$4:$D$9996,B214,Movimentos!$C$4:$C$9996,"Entrada")-SUMIFS(Movimentos!$F$4:$F$9996,Movimentos!$D$4:$D$9996,B214,Movimentos!$C$4:$C$9996,"Saída"),""),"")</f>
        <v/>
      </c>
      <c r="F214" s="10" t="str">
        <f t="shared" si="8"/>
        <v/>
      </c>
    </row>
    <row r="215" spans="1:6" x14ac:dyDescent="0.3">
      <c r="A215" s="15" t="str">
        <f t="shared" si="9"/>
        <v>.</v>
      </c>
      <c r="E215" s="13" t="str">
        <f>IFERROR(IF(AND(B215&lt;&gt;"",C215&lt;&gt;""),SUMIFS(Movimentos!$F$4:$F$9996,Movimentos!$D$4:$D$9996,B215,Movimentos!$C$4:$C$9996,"Entrada")-SUMIFS(Movimentos!$F$4:$F$9996,Movimentos!$D$4:$D$9996,B215,Movimentos!$C$4:$C$9996,"Saída"),""),"")</f>
        <v/>
      </c>
      <c r="F215" s="10" t="str">
        <f t="shared" ref="F215:F278" si="10">IF(AND(B215&lt;&gt;"",C215&lt;&gt;""),IF(E215=0,"Saldo zerado",IF(E215&lt;D215,"Saldo abaixo do mínimo","Saldo disponível")),"")</f>
        <v/>
      </c>
    </row>
    <row r="216" spans="1:6" x14ac:dyDescent="0.3">
      <c r="A216" s="15" t="str">
        <f t="shared" si="9"/>
        <v>.</v>
      </c>
      <c r="E216" s="13" t="str">
        <f>IFERROR(IF(AND(B216&lt;&gt;"",C216&lt;&gt;""),SUMIFS(Movimentos!$F$4:$F$9996,Movimentos!$D$4:$D$9996,B216,Movimentos!$C$4:$C$9996,"Entrada")-SUMIFS(Movimentos!$F$4:$F$9996,Movimentos!$D$4:$D$9996,B216,Movimentos!$C$4:$C$9996,"Saída"),""),"")</f>
        <v/>
      </c>
      <c r="F216" s="10" t="str">
        <f t="shared" si="10"/>
        <v/>
      </c>
    </row>
    <row r="217" spans="1:6" x14ac:dyDescent="0.3">
      <c r="A217" s="15" t="str">
        <f t="shared" si="9"/>
        <v>.</v>
      </c>
      <c r="E217" s="13" t="str">
        <f>IFERROR(IF(AND(B217&lt;&gt;"",C217&lt;&gt;""),SUMIFS(Movimentos!$F$4:$F$9996,Movimentos!$D$4:$D$9996,B217,Movimentos!$C$4:$C$9996,"Entrada")-SUMIFS(Movimentos!$F$4:$F$9996,Movimentos!$D$4:$D$9996,B217,Movimentos!$C$4:$C$9996,"Saída"),""),"")</f>
        <v/>
      </c>
      <c r="F217" s="10" t="str">
        <f t="shared" si="10"/>
        <v/>
      </c>
    </row>
    <row r="218" spans="1:6" x14ac:dyDescent="0.3">
      <c r="A218" s="15" t="str">
        <f t="shared" si="9"/>
        <v>.</v>
      </c>
      <c r="E218" s="13" t="str">
        <f>IFERROR(IF(AND(B218&lt;&gt;"",C218&lt;&gt;""),SUMIFS(Movimentos!$F$4:$F$9996,Movimentos!$D$4:$D$9996,B218,Movimentos!$C$4:$C$9996,"Entrada")-SUMIFS(Movimentos!$F$4:$F$9996,Movimentos!$D$4:$D$9996,B218,Movimentos!$C$4:$C$9996,"Saída"),""),"")</f>
        <v/>
      </c>
      <c r="F218" s="10" t="str">
        <f t="shared" si="10"/>
        <v/>
      </c>
    </row>
    <row r="219" spans="1:6" x14ac:dyDescent="0.3">
      <c r="A219" s="15" t="str">
        <f t="shared" si="9"/>
        <v>.</v>
      </c>
      <c r="E219" s="13" t="str">
        <f>IFERROR(IF(AND(B219&lt;&gt;"",C219&lt;&gt;""),SUMIFS(Movimentos!$F$4:$F$9996,Movimentos!$D$4:$D$9996,B219,Movimentos!$C$4:$C$9996,"Entrada")-SUMIFS(Movimentos!$F$4:$F$9996,Movimentos!$D$4:$D$9996,B219,Movimentos!$C$4:$C$9996,"Saída"),""),"")</f>
        <v/>
      </c>
      <c r="F219" s="10" t="str">
        <f t="shared" si="10"/>
        <v/>
      </c>
    </row>
    <row r="220" spans="1:6" x14ac:dyDescent="0.3">
      <c r="A220" s="15" t="str">
        <f t="shared" si="9"/>
        <v>.</v>
      </c>
      <c r="E220" s="13" t="str">
        <f>IFERROR(IF(AND(B220&lt;&gt;"",C220&lt;&gt;""),SUMIFS(Movimentos!$F$4:$F$9996,Movimentos!$D$4:$D$9996,B220,Movimentos!$C$4:$C$9996,"Entrada")-SUMIFS(Movimentos!$F$4:$F$9996,Movimentos!$D$4:$D$9996,B220,Movimentos!$C$4:$C$9996,"Saída"),""),"")</f>
        <v/>
      </c>
      <c r="F220" s="10" t="str">
        <f t="shared" si="10"/>
        <v/>
      </c>
    </row>
    <row r="221" spans="1:6" x14ac:dyDescent="0.3">
      <c r="A221" s="15" t="str">
        <f t="shared" si="9"/>
        <v>.</v>
      </c>
      <c r="E221" s="13" t="str">
        <f>IFERROR(IF(AND(B221&lt;&gt;"",C221&lt;&gt;""),SUMIFS(Movimentos!$F$4:$F$9996,Movimentos!$D$4:$D$9996,B221,Movimentos!$C$4:$C$9996,"Entrada")-SUMIFS(Movimentos!$F$4:$F$9996,Movimentos!$D$4:$D$9996,B221,Movimentos!$C$4:$C$9996,"Saída"),""),"")</f>
        <v/>
      </c>
      <c r="F221" s="10" t="str">
        <f t="shared" si="10"/>
        <v/>
      </c>
    </row>
    <row r="222" spans="1:6" x14ac:dyDescent="0.3">
      <c r="A222" s="15" t="str">
        <f t="shared" si="9"/>
        <v>.</v>
      </c>
      <c r="E222" s="13" t="str">
        <f>IFERROR(IF(AND(B222&lt;&gt;"",C222&lt;&gt;""),SUMIFS(Movimentos!$F$4:$F$9996,Movimentos!$D$4:$D$9996,B222,Movimentos!$C$4:$C$9996,"Entrada")-SUMIFS(Movimentos!$F$4:$F$9996,Movimentos!$D$4:$D$9996,B222,Movimentos!$C$4:$C$9996,"Saída"),""),"")</f>
        <v/>
      </c>
      <c r="F222" s="10" t="str">
        <f t="shared" si="10"/>
        <v/>
      </c>
    </row>
    <row r="223" spans="1:6" x14ac:dyDescent="0.3">
      <c r="A223" s="15" t="str">
        <f t="shared" si="9"/>
        <v>.</v>
      </c>
      <c r="E223" s="13" t="str">
        <f>IFERROR(IF(AND(B223&lt;&gt;"",C223&lt;&gt;""),SUMIFS(Movimentos!$F$4:$F$9996,Movimentos!$D$4:$D$9996,B223,Movimentos!$C$4:$C$9996,"Entrada")-SUMIFS(Movimentos!$F$4:$F$9996,Movimentos!$D$4:$D$9996,B223,Movimentos!$C$4:$C$9996,"Saída"),""),"")</f>
        <v/>
      </c>
      <c r="F223" s="10" t="str">
        <f t="shared" si="10"/>
        <v/>
      </c>
    </row>
    <row r="224" spans="1:6" x14ac:dyDescent="0.3">
      <c r="A224" s="15" t="str">
        <f t="shared" si="9"/>
        <v>.</v>
      </c>
      <c r="E224" s="13" t="str">
        <f>IFERROR(IF(AND(B224&lt;&gt;"",C224&lt;&gt;""),SUMIFS(Movimentos!$F$4:$F$9996,Movimentos!$D$4:$D$9996,B224,Movimentos!$C$4:$C$9996,"Entrada")-SUMIFS(Movimentos!$F$4:$F$9996,Movimentos!$D$4:$D$9996,B224,Movimentos!$C$4:$C$9996,"Saída"),""),"")</f>
        <v/>
      </c>
      <c r="F224" s="10" t="str">
        <f t="shared" si="10"/>
        <v/>
      </c>
    </row>
    <row r="225" spans="1:6" x14ac:dyDescent="0.3">
      <c r="A225" s="15" t="str">
        <f t="shared" si="9"/>
        <v>.</v>
      </c>
      <c r="E225" s="13" t="str">
        <f>IFERROR(IF(AND(B225&lt;&gt;"",C225&lt;&gt;""),SUMIFS(Movimentos!$F$4:$F$9996,Movimentos!$D$4:$D$9996,B225,Movimentos!$C$4:$C$9996,"Entrada")-SUMIFS(Movimentos!$F$4:$F$9996,Movimentos!$D$4:$D$9996,B225,Movimentos!$C$4:$C$9996,"Saída"),""),"")</f>
        <v/>
      </c>
      <c r="F225" s="10" t="str">
        <f t="shared" si="10"/>
        <v/>
      </c>
    </row>
    <row r="226" spans="1:6" x14ac:dyDescent="0.3">
      <c r="A226" s="15" t="str">
        <f t="shared" si="9"/>
        <v>.</v>
      </c>
      <c r="E226" s="13" t="str">
        <f>IFERROR(IF(AND(B226&lt;&gt;"",C226&lt;&gt;""),SUMIFS(Movimentos!$F$4:$F$9996,Movimentos!$D$4:$D$9996,B226,Movimentos!$C$4:$C$9996,"Entrada")-SUMIFS(Movimentos!$F$4:$F$9996,Movimentos!$D$4:$D$9996,B226,Movimentos!$C$4:$C$9996,"Saída"),""),"")</f>
        <v/>
      </c>
      <c r="F226" s="10" t="str">
        <f t="shared" si="10"/>
        <v/>
      </c>
    </row>
    <row r="227" spans="1:6" x14ac:dyDescent="0.3">
      <c r="A227" s="15" t="str">
        <f t="shared" si="9"/>
        <v>.</v>
      </c>
      <c r="E227" s="13" t="str">
        <f>IFERROR(IF(AND(B227&lt;&gt;"",C227&lt;&gt;""),SUMIFS(Movimentos!$F$4:$F$9996,Movimentos!$D$4:$D$9996,B227,Movimentos!$C$4:$C$9996,"Entrada")-SUMIFS(Movimentos!$F$4:$F$9996,Movimentos!$D$4:$D$9996,B227,Movimentos!$C$4:$C$9996,"Saída"),""),"")</f>
        <v/>
      </c>
      <c r="F227" s="10" t="str">
        <f t="shared" si="10"/>
        <v/>
      </c>
    </row>
    <row r="228" spans="1:6" x14ac:dyDescent="0.3">
      <c r="A228" s="15" t="str">
        <f t="shared" si="9"/>
        <v>.</v>
      </c>
      <c r="E228" s="13" t="str">
        <f>IFERROR(IF(AND(B228&lt;&gt;"",C228&lt;&gt;""),SUMIFS(Movimentos!$F$4:$F$9996,Movimentos!$D$4:$D$9996,B228,Movimentos!$C$4:$C$9996,"Entrada")-SUMIFS(Movimentos!$F$4:$F$9996,Movimentos!$D$4:$D$9996,B228,Movimentos!$C$4:$C$9996,"Saída"),""),"")</f>
        <v/>
      </c>
      <c r="F228" s="10" t="str">
        <f t="shared" si="10"/>
        <v/>
      </c>
    </row>
    <row r="229" spans="1:6" x14ac:dyDescent="0.3">
      <c r="A229" s="15" t="str">
        <f t="shared" si="9"/>
        <v>.</v>
      </c>
      <c r="E229" s="13" t="str">
        <f>IFERROR(IF(AND(B229&lt;&gt;"",C229&lt;&gt;""),SUMIFS(Movimentos!$F$4:$F$9996,Movimentos!$D$4:$D$9996,B229,Movimentos!$C$4:$C$9996,"Entrada")-SUMIFS(Movimentos!$F$4:$F$9996,Movimentos!$D$4:$D$9996,B229,Movimentos!$C$4:$C$9996,"Saída"),""),"")</f>
        <v/>
      </c>
      <c r="F229" s="10" t="str">
        <f t="shared" si="10"/>
        <v/>
      </c>
    </row>
    <row r="230" spans="1:6" x14ac:dyDescent="0.3">
      <c r="A230" s="15" t="str">
        <f t="shared" si="9"/>
        <v>.</v>
      </c>
      <c r="E230" s="13" t="str">
        <f>IFERROR(IF(AND(B230&lt;&gt;"",C230&lt;&gt;""),SUMIFS(Movimentos!$F$4:$F$9996,Movimentos!$D$4:$D$9996,B230,Movimentos!$C$4:$C$9996,"Entrada")-SUMIFS(Movimentos!$F$4:$F$9996,Movimentos!$D$4:$D$9996,B230,Movimentos!$C$4:$C$9996,"Saída"),""),"")</f>
        <v/>
      </c>
      <c r="F230" s="10" t="str">
        <f t="shared" si="10"/>
        <v/>
      </c>
    </row>
    <row r="231" spans="1:6" x14ac:dyDescent="0.3">
      <c r="A231" s="15" t="str">
        <f t="shared" si="9"/>
        <v>.</v>
      </c>
      <c r="E231" s="13" t="str">
        <f>IFERROR(IF(AND(B231&lt;&gt;"",C231&lt;&gt;""),SUMIFS(Movimentos!$F$4:$F$9996,Movimentos!$D$4:$D$9996,B231,Movimentos!$C$4:$C$9996,"Entrada")-SUMIFS(Movimentos!$F$4:$F$9996,Movimentos!$D$4:$D$9996,B231,Movimentos!$C$4:$C$9996,"Saída"),""),"")</f>
        <v/>
      </c>
      <c r="F231" s="10" t="str">
        <f t="shared" si="10"/>
        <v/>
      </c>
    </row>
    <row r="232" spans="1:6" x14ac:dyDescent="0.3">
      <c r="A232" s="15" t="str">
        <f t="shared" si="9"/>
        <v>.</v>
      </c>
      <c r="E232" s="13" t="str">
        <f>IFERROR(IF(AND(B232&lt;&gt;"",C232&lt;&gt;""),SUMIFS(Movimentos!$F$4:$F$9996,Movimentos!$D$4:$D$9996,B232,Movimentos!$C$4:$C$9996,"Entrada")-SUMIFS(Movimentos!$F$4:$F$9996,Movimentos!$D$4:$D$9996,B232,Movimentos!$C$4:$C$9996,"Saída"),""),"")</f>
        <v/>
      </c>
      <c r="F232" s="10" t="str">
        <f t="shared" si="10"/>
        <v/>
      </c>
    </row>
    <row r="233" spans="1:6" x14ac:dyDescent="0.3">
      <c r="A233" s="15" t="str">
        <f t="shared" si="9"/>
        <v>.</v>
      </c>
      <c r="E233" s="13" t="str">
        <f>IFERROR(IF(AND(B233&lt;&gt;"",C233&lt;&gt;""),SUMIFS(Movimentos!$F$4:$F$9996,Movimentos!$D$4:$D$9996,B233,Movimentos!$C$4:$C$9996,"Entrada")-SUMIFS(Movimentos!$F$4:$F$9996,Movimentos!$D$4:$D$9996,B233,Movimentos!$C$4:$C$9996,"Saída"),""),"")</f>
        <v/>
      </c>
      <c r="F233" s="10" t="str">
        <f t="shared" si="10"/>
        <v/>
      </c>
    </row>
    <row r="234" spans="1:6" x14ac:dyDescent="0.3">
      <c r="A234" s="15" t="str">
        <f t="shared" si="9"/>
        <v>.</v>
      </c>
      <c r="E234" s="13" t="str">
        <f>IFERROR(IF(AND(B234&lt;&gt;"",C234&lt;&gt;""),SUMIFS(Movimentos!$F$4:$F$9996,Movimentos!$D$4:$D$9996,B234,Movimentos!$C$4:$C$9996,"Entrada")-SUMIFS(Movimentos!$F$4:$F$9996,Movimentos!$D$4:$D$9996,B234,Movimentos!$C$4:$C$9996,"Saída"),""),"")</f>
        <v/>
      </c>
      <c r="F234" s="10" t="str">
        <f t="shared" si="10"/>
        <v/>
      </c>
    </row>
    <row r="235" spans="1:6" x14ac:dyDescent="0.3">
      <c r="A235" s="15" t="str">
        <f t="shared" si="9"/>
        <v>.</v>
      </c>
      <c r="E235" s="13" t="str">
        <f>IFERROR(IF(AND(B235&lt;&gt;"",C235&lt;&gt;""),SUMIFS(Movimentos!$F$4:$F$9996,Movimentos!$D$4:$D$9996,B235,Movimentos!$C$4:$C$9996,"Entrada")-SUMIFS(Movimentos!$F$4:$F$9996,Movimentos!$D$4:$D$9996,B235,Movimentos!$C$4:$C$9996,"Saída"),""),"")</f>
        <v/>
      </c>
      <c r="F235" s="10" t="str">
        <f t="shared" si="10"/>
        <v/>
      </c>
    </row>
    <row r="236" spans="1:6" x14ac:dyDescent="0.3">
      <c r="A236" s="15" t="str">
        <f t="shared" si="9"/>
        <v>.</v>
      </c>
      <c r="E236" s="13" t="str">
        <f>IFERROR(IF(AND(B236&lt;&gt;"",C236&lt;&gt;""),SUMIFS(Movimentos!$F$4:$F$9996,Movimentos!$D$4:$D$9996,B236,Movimentos!$C$4:$C$9996,"Entrada")-SUMIFS(Movimentos!$F$4:$F$9996,Movimentos!$D$4:$D$9996,B236,Movimentos!$C$4:$C$9996,"Saída"),""),"")</f>
        <v/>
      </c>
      <c r="F236" s="10" t="str">
        <f t="shared" si="10"/>
        <v/>
      </c>
    </row>
    <row r="237" spans="1:6" x14ac:dyDescent="0.3">
      <c r="A237" s="15" t="str">
        <f t="shared" si="9"/>
        <v>.</v>
      </c>
      <c r="E237" s="13" t="str">
        <f>IFERROR(IF(AND(B237&lt;&gt;"",C237&lt;&gt;""),SUMIFS(Movimentos!$F$4:$F$9996,Movimentos!$D$4:$D$9996,B237,Movimentos!$C$4:$C$9996,"Entrada")-SUMIFS(Movimentos!$F$4:$F$9996,Movimentos!$D$4:$D$9996,B237,Movimentos!$C$4:$C$9996,"Saída"),""),"")</f>
        <v/>
      </c>
      <c r="F237" s="10" t="str">
        <f t="shared" si="10"/>
        <v/>
      </c>
    </row>
    <row r="238" spans="1:6" x14ac:dyDescent="0.3">
      <c r="A238" s="15" t="str">
        <f t="shared" si="9"/>
        <v>.</v>
      </c>
      <c r="E238" s="13" t="str">
        <f>IFERROR(IF(AND(B238&lt;&gt;"",C238&lt;&gt;""),SUMIFS(Movimentos!$F$4:$F$9996,Movimentos!$D$4:$D$9996,B238,Movimentos!$C$4:$C$9996,"Entrada")-SUMIFS(Movimentos!$F$4:$F$9996,Movimentos!$D$4:$D$9996,B238,Movimentos!$C$4:$C$9996,"Saída"),""),"")</f>
        <v/>
      </c>
      <c r="F238" s="10" t="str">
        <f t="shared" si="10"/>
        <v/>
      </c>
    </row>
    <row r="239" spans="1:6" x14ac:dyDescent="0.3">
      <c r="A239" s="15" t="str">
        <f t="shared" si="9"/>
        <v>.</v>
      </c>
      <c r="E239" s="13" t="str">
        <f>IFERROR(IF(AND(B239&lt;&gt;"",C239&lt;&gt;""),SUMIFS(Movimentos!$F$4:$F$9996,Movimentos!$D$4:$D$9996,B239,Movimentos!$C$4:$C$9996,"Entrada")-SUMIFS(Movimentos!$F$4:$F$9996,Movimentos!$D$4:$D$9996,B239,Movimentos!$C$4:$C$9996,"Saída"),""),"")</f>
        <v/>
      </c>
      <c r="F239" s="10" t="str">
        <f t="shared" si="10"/>
        <v/>
      </c>
    </row>
    <row r="240" spans="1:6" x14ac:dyDescent="0.3">
      <c r="A240" s="15" t="str">
        <f t="shared" si="9"/>
        <v>.</v>
      </c>
      <c r="E240" s="13" t="str">
        <f>IFERROR(IF(AND(B240&lt;&gt;"",C240&lt;&gt;""),SUMIFS(Movimentos!$F$4:$F$9996,Movimentos!$D$4:$D$9996,B240,Movimentos!$C$4:$C$9996,"Entrada")-SUMIFS(Movimentos!$F$4:$F$9996,Movimentos!$D$4:$D$9996,B240,Movimentos!$C$4:$C$9996,"Saída"),""),"")</f>
        <v/>
      </c>
      <c r="F240" s="10" t="str">
        <f t="shared" si="10"/>
        <v/>
      </c>
    </row>
    <row r="241" spans="1:6" x14ac:dyDescent="0.3">
      <c r="A241" s="15" t="str">
        <f t="shared" si="9"/>
        <v>.</v>
      </c>
      <c r="E241" s="13" t="str">
        <f>IFERROR(IF(AND(B241&lt;&gt;"",C241&lt;&gt;""),SUMIFS(Movimentos!$F$4:$F$9996,Movimentos!$D$4:$D$9996,B241,Movimentos!$C$4:$C$9996,"Entrada")-SUMIFS(Movimentos!$F$4:$F$9996,Movimentos!$D$4:$D$9996,B241,Movimentos!$C$4:$C$9996,"Saída"),""),"")</f>
        <v/>
      </c>
      <c r="F241" s="10" t="str">
        <f t="shared" si="10"/>
        <v/>
      </c>
    </row>
    <row r="242" spans="1:6" x14ac:dyDescent="0.3">
      <c r="A242" s="15" t="str">
        <f t="shared" si="9"/>
        <v>.</v>
      </c>
      <c r="E242" s="13" t="str">
        <f>IFERROR(IF(AND(B242&lt;&gt;"",C242&lt;&gt;""),SUMIFS(Movimentos!$F$4:$F$9996,Movimentos!$D$4:$D$9996,B242,Movimentos!$C$4:$C$9996,"Entrada")-SUMIFS(Movimentos!$F$4:$F$9996,Movimentos!$D$4:$D$9996,B242,Movimentos!$C$4:$C$9996,"Saída"),""),"")</f>
        <v/>
      </c>
      <c r="F242" s="10" t="str">
        <f t="shared" si="10"/>
        <v/>
      </c>
    </row>
    <row r="243" spans="1:6" x14ac:dyDescent="0.3">
      <c r="A243" s="15" t="str">
        <f t="shared" si="9"/>
        <v>.</v>
      </c>
      <c r="E243" s="13" t="str">
        <f>IFERROR(IF(AND(B243&lt;&gt;"",C243&lt;&gt;""),SUMIFS(Movimentos!$F$4:$F$9996,Movimentos!$D$4:$D$9996,B243,Movimentos!$C$4:$C$9996,"Entrada")-SUMIFS(Movimentos!$F$4:$F$9996,Movimentos!$D$4:$D$9996,B243,Movimentos!$C$4:$C$9996,"Saída"),""),"")</f>
        <v/>
      </c>
      <c r="F243" s="10" t="str">
        <f t="shared" si="10"/>
        <v/>
      </c>
    </row>
    <row r="244" spans="1:6" x14ac:dyDescent="0.3">
      <c r="A244" s="15" t="str">
        <f t="shared" si="9"/>
        <v>.</v>
      </c>
      <c r="E244" s="13" t="str">
        <f>IFERROR(IF(AND(B244&lt;&gt;"",C244&lt;&gt;""),SUMIFS(Movimentos!$F$4:$F$9996,Movimentos!$D$4:$D$9996,B244,Movimentos!$C$4:$C$9996,"Entrada")-SUMIFS(Movimentos!$F$4:$F$9996,Movimentos!$D$4:$D$9996,B244,Movimentos!$C$4:$C$9996,"Saída"),""),"")</f>
        <v/>
      </c>
      <c r="F244" s="10" t="str">
        <f t="shared" si="10"/>
        <v/>
      </c>
    </row>
    <row r="245" spans="1:6" x14ac:dyDescent="0.3">
      <c r="A245" s="15" t="str">
        <f t="shared" si="9"/>
        <v>.</v>
      </c>
      <c r="E245" s="13" t="str">
        <f>IFERROR(IF(AND(B245&lt;&gt;"",C245&lt;&gt;""),SUMIFS(Movimentos!$F$4:$F$9996,Movimentos!$D$4:$D$9996,B245,Movimentos!$C$4:$C$9996,"Entrada")-SUMIFS(Movimentos!$F$4:$F$9996,Movimentos!$D$4:$D$9996,B245,Movimentos!$C$4:$C$9996,"Saída"),""),"")</f>
        <v/>
      </c>
      <c r="F245" s="10" t="str">
        <f t="shared" si="10"/>
        <v/>
      </c>
    </row>
    <row r="246" spans="1:6" x14ac:dyDescent="0.3">
      <c r="A246" s="15" t="str">
        <f t="shared" si="9"/>
        <v>.</v>
      </c>
      <c r="E246" s="13" t="str">
        <f>IFERROR(IF(AND(B246&lt;&gt;"",C246&lt;&gt;""),SUMIFS(Movimentos!$F$4:$F$9996,Movimentos!$D$4:$D$9996,B246,Movimentos!$C$4:$C$9996,"Entrada")-SUMIFS(Movimentos!$F$4:$F$9996,Movimentos!$D$4:$D$9996,B246,Movimentos!$C$4:$C$9996,"Saída"),""),"")</f>
        <v/>
      </c>
      <c r="F246" s="10" t="str">
        <f t="shared" si="10"/>
        <v/>
      </c>
    </row>
    <row r="247" spans="1:6" x14ac:dyDescent="0.3">
      <c r="A247" s="15" t="str">
        <f t="shared" si="9"/>
        <v>.</v>
      </c>
      <c r="E247" s="13" t="str">
        <f>IFERROR(IF(AND(B247&lt;&gt;"",C247&lt;&gt;""),SUMIFS(Movimentos!$F$4:$F$9996,Movimentos!$D$4:$D$9996,B247,Movimentos!$C$4:$C$9996,"Entrada")-SUMIFS(Movimentos!$F$4:$F$9996,Movimentos!$D$4:$D$9996,B247,Movimentos!$C$4:$C$9996,"Saída"),""),"")</f>
        <v/>
      </c>
      <c r="F247" s="10" t="str">
        <f t="shared" si="10"/>
        <v/>
      </c>
    </row>
    <row r="248" spans="1:6" x14ac:dyDescent="0.3">
      <c r="A248" s="15" t="str">
        <f t="shared" si="9"/>
        <v>.</v>
      </c>
      <c r="E248" s="13" t="str">
        <f>IFERROR(IF(AND(B248&lt;&gt;"",C248&lt;&gt;""),SUMIFS(Movimentos!$F$4:$F$9996,Movimentos!$D$4:$D$9996,B248,Movimentos!$C$4:$C$9996,"Entrada")-SUMIFS(Movimentos!$F$4:$F$9996,Movimentos!$D$4:$D$9996,B248,Movimentos!$C$4:$C$9996,"Saída"),""),"")</f>
        <v/>
      </c>
      <c r="F248" s="10" t="str">
        <f t="shared" si="10"/>
        <v/>
      </c>
    </row>
    <row r="249" spans="1:6" x14ac:dyDescent="0.3">
      <c r="A249" s="15" t="str">
        <f t="shared" si="9"/>
        <v>.</v>
      </c>
      <c r="E249" s="13" t="str">
        <f>IFERROR(IF(AND(B249&lt;&gt;"",C249&lt;&gt;""),SUMIFS(Movimentos!$F$4:$F$9996,Movimentos!$D$4:$D$9996,B249,Movimentos!$C$4:$C$9996,"Entrada")-SUMIFS(Movimentos!$F$4:$F$9996,Movimentos!$D$4:$D$9996,B249,Movimentos!$C$4:$C$9996,"Saída"),""),"")</f>
        <v/>
      </c>
      <c r="F249" s="10" t="str">
        <f t="shared" si="10"/>
        <v/>
      </c>
    </row>
    <row r="250" spans="1:6" x14ac:dyDescent="0.3">
      <c r="A250" s="15" t="str">
        <f t="shared" si="9"/>
        <v>.</v>
      </c>
      <c r="E250" s="13" t="str">
        <f>IFERROR(IF(AND(B250&lt;&gt;"",C250&lt;&gt;""),SUMIFS(Movimentos!$F$4:$F$9996,Movimentos!$D$4:$D$9996,B250,Movimentos!$C$4:$C$9996,"Entrada")-SUMIFS(Movimentos!$F$4:$F$9996,Movimentos!$D$4:$D$9996,B250,Movimentos!$C$4:$C$9996,"Saída"),""),"")</f>
        <v/>
      </c>
      <c r="F250" s="10" t="str">
        <f t="shared" si="10"/>
        <v/>
      </c>
    </row>
    <row r="251" spans="1:6" x14ac:dyDescent="0.3">
      <c r="A251" s="15" t="str">
        <f t="shared" si="9"/>
        <v>.</v>
      </c>
      <c r="E251" s="13" t="str">
        <f>IFERROR(IF(AND(B251&lt;&gt;"",C251&lt;&gt;""),SUMIFS(Movimentos!$F$4:$F$9996,Movimentos!$D$4:$D$9996,B251,Movimentos!$C$4:$C$9996,"Entrada")-SUMIFS(Movimentos!$F$4:$F$9996,Movimentos!$D$4:$D$9996,B251,Movimentos!$C$4:$C$9996,"Saída"),""),"")</f>
        <v/>
      </c>
      <c r="F251" s="10" t="str">
        <f t="shared" si="10"/>
        <v/>
      </c>
    </row>
    <row r="252" spans="1:6" x14ac:dyDescent="0.3">
      <c r="A252" s="15" t="str">
        <f t="shared" si="9"/>
        <v>.</v>
      </c>
      <c r="E252" s="13" t="str">
        <f>IFERROR(IF(AND(B252&lt;&gt;"",C252&lt;&gt;""),SUMIFS(Movimentos!$F$4:$F$9996,Movimentos!$D$4:$D$9996,B252,Movimentos!$C$4:$C$9996,"Entrada")-SUMIFS(Movimentos!$F$4:$F$9996,Movimentos!$D$4:$D$9996,B252,Movimentos!$C$4:$C$9996,"Saída"),""),"")</f>
        <v/>
      </c>
      <c r="F252" s="10" t="str">
        <f t="shared" si="10"/>
        <v/>
      </c>
    </row>
    <row r="253" spans="1:6" x14ac:dyDescent="0.3">
      <c r="A253" s="15" t="str">
        <f t="shared" si="9"/>
        <v>.</v>
      </c>
      <c r="E253" s="13" t="str">
        <f>IFERROR(IF(AND(B253&lt;&gt;"",C253&lt;&gt;""),SUMIFS(Movimentos!$F$4:$F$9996,Movimentos!$D$4:$D$9996,B253,Movimentos!$C$4:$C$9996,"Entrada")-SUMIFS(Movimentos!$F$4:$F$9996,Movimentos!$D$4:$D$9996,B253,Movimentos!$C$4:$C$9996,"Saída"),""),"")</f>
        <v/>
      </c>
      <c r="F253" s="10" t="str">
        <f t="shared" si="10"/>
        <v/>
      </c>
    </row>
    <row r="254" spans="1:6" x14ac:dyDescent="0.3">
      <c r="A254" s="15" t="str">
        <f t="shared" si="9"/>
        <v>.</v>
      </c>
      <c r="E254" s="13" t="str">
        <f>IFERROR(IF(AND(B254&lt;&gt;"",C254&lt;&gt;""),SUMIFS(Movimentos!$F$4:$F$9996,Movimentos!$D$4:$D$9996,B254,Movimentos!$C$4:$C$9996,"Entrada")-SUMIFS(Movimentos!$F$4:$F$9996,Movimentos!$D$4:$D$9996,B254,Movimentos!$C$4:$C$9996,"Saída"),""),"")</f>
        <v/>
      </c>
      <c r="F254" s="10" t="str">
        <f t="shared" si="10"/>
        <v/>
      </c>
    </row>
    <row r="255" spans="1:6" x14ac:dyDescent="0.3">
      <c r="A255" s="15" t="str">
        <f t="shared" si="9"/>
        <v>.</v>
      </c>
      <c r="E255" s="13" t="str">
        <f>IFERROR(IF(AND(B255&lt;&gt;"",C255&lt;&gt;""),SUMIFS(Movimentos!$F$4:$F$9996,Movimentos!$D$4:$D$9996,B255,Movimentos!$C$4:$C$9996,"Entrada")-SUMIFS(Movimentos!$F$4:$F$9996,Movimentos!$D$4:$D$9996,B255,Movimentos!$C$4:$C$9996,"Saída"),""),"")</f>
        <v/>
      </c>
      <c r="F255" s="10" t="str">
        <f t="shared" si="10"/>
        <v/>
      </c>
    </row>
    <row r="256" spans="1:6" x14ac:dyDescent="0.3">
      <c r="A256" s="15" t="str">
        <f t="shared" ref="A256:A319" si="11">IF(F256="Saldo zerado",0,IF(F256="Saldo abaixo do mínimo",1,IF(F256="Saldo disponível",2,".")))</f>
        <v>.</v>
      </c>
      <c r="E256" s="13" t="str">
        <f>IFERROR(IF(AND(B256&lt;&gt;"",C256&lt;&gt;""),SUMIFS(Movimentos!$F$4:$F$9996,Movimentos!$D$4:$D$9996,B256,Movimentos!$C$4:$C$9996,"Entrada")-SUMIFS(Movimentos!$F$4:$F$9996,Movimentos!$D$4:$D$9996,B256,Movimentos!$C$4:$C$9996,"Saída"),""),"")</f>
        <v/>
      </c>
      <c r="F256" s="10" t="str">
        <f t="shared" si="10"/>
        <v/>
      </c>
    </row>
    <row r="257" spans="1:6" x14ac:dyDescent="0.3">
      <c r="A257" s="15" t="str">
        <f t="shared" si="11"/>
        <v>.</v>
      </c>
      <c r="E257" s="13" t="str">
        <f>IFERROR(IF(AND(B257&lt;&gt;"",C257&lt;&gt;""),SUMIFS(Movimentos!$F$4:$F$9996,Movimentos!$D$4:$D$9996,B257,Movimentos!$C$4:$C$9996,"Entrada")-SUMIFS(Movimentos!$F$4:$F$9996,Movimentos!$D$4:$D$9996,B257,Movimentos!$C$4:$C$9996,"Saída"),""),"")</f>
        <v/>
      </c>
      <c r="F257" s="10" t="str">
        <f t="shared" si="10"/>
        <v/>
      </c>
    </row>
    <row r="258" spans="1:6" x14ac:dyDescent="0.3">
      <c r="A258" s="15" t="str">
        <f t="shared" si="11"/>
        <v>.</v>
      </c>
      <c r="E258" s="13" t="str">
        <f>IFERROR(IF(AND(B258&lt;&gt;"",C258&lt;&gt;""),SUMIFS(Movimentos!$F$4:$F$9996,Movimentos!$D$4:$D$9996,B258,Movimentos!$C$4:$C$9996,"Entrada")-SUMIFS(Movimentos!$F$4:$F$9996,Movimentos!$D$4:$D$9996,B258,Movimentos!$C$4:$C$9996,"Saída"),""),"")</f>
        <v/>
      </c>
      <c r="F258" s="10" t="str">
        <f t="shared" si="10"/>
        <v/>
      </c>
    </row>
    <row r="259" spans="1:6" x14ac:dyDescent="0.3">
      <c r="A259" s="15" t="str">
        <f t="shared" si="11"/>
        <v>.</v>
      </c>
      <c r="E259" s="13" t="str">
        <f>IFERROR(IF(AND(B259&lt;&gt;"",C259&lt;&gt;""),SUMIFS(Movimentos!$F$4:$F$9996,Movimentos!$D$4:$D$9996,B259,Movimentos!$C$4:$C$9996,"Entrada")-SUMIFS(Movimentos!$F$4:$F$9996,Movimentos!$D$4:$D$9996,B259,Movimentos!$C$4:$C$9996,"Saída"),""),"")</f>
        <v/>
      </c>
      <c r="F259" s="10" t="str">
        <f t="shared" si="10"/>
        <v/>
      </c>
    </row>
    <row r="260" spans="1:6" x14ac:dyDescent="0.3">
      <c r="A260" s="15" t="str">
        <f t="shared" si="11"/>
        <v>.</v>
      </c>
      <c r="E260" s="13" t="str">
        <f>IFERROR(IF(AND(B260&lt;&gt;"",C260&lt;&gt;""),SUMIFS(Movimentos!$F$4:$F$9996,Movimentos!$D$4:$D$9996,B260,Movimentos!$C$4:$C$9996,"Entrada")-SUMIFS(Movimentos!$F$4:$F$9996,Movimentos!$D$4:$D$9996,B260,Movimentos!$C$4:$C$9996,"Saída"),""),"")</f>
        <v/>
      </c>
      <c r="F260" s="10" t="str">
        <f t="shared" si="10"/>
        <v/>
      </c>
    </row>
    <row r="261" spans="1:6" x14ac:dyDescent="0.3">
      <c r="A261" s="15" t="str">
        <f t="shared" si="11"/>
        <v>.</v>
      </c>
      <c r="E261" s="13" t="str">
        <f>IFERROR(IF(AND(B261&lt;&gt;"",C261&lt;&gt;""),SUMIFS(Movimentos!$F$4:$F$9996,Movimentos!$D$4:$D$9996,B261,Movimentos!$C$4:$C$9996,"Entrada")-SUMIFS(Movimentos!$F$4:$F$9996,Movimentos!$D$4:$D$9996,B261,Movimentos!$C$4:$C$9996,"Saída"),""),"")</f>
        <v/>
      </c>
      <c r="F261" s="10" t="str">
        <f t="shared" si="10"/>
        <v/>
      </c>
    </row>
    <row r="262" spans="1:6" x14ac:dyDescent="0.3">
      <c r="A262" s="15" t="str">
        <f t="shared" si="11"/>
        <v>.</v>
      </c>
      <c r="E262" s="13" t="str">
        <f>IFERROR(IF(AND(B262&lt;&gt;"",C262&lt;&gt;""),SUMIFS(Movimentos!$F$4:$F$9996,Movimentos!$D$4:$D$9996,B262,Movimentos!$C$4:$C$9996,"Entrada")-SUMIFS(Movimentos!$F$4:$F$9996,Movimentos!$D$4:$D$9996,B262,Movimentos!$C$4:$C$9996,"Saída"),""),"")</f>
        <v/>
      </c>
      <c r="F262" s="10" t="str">
        <f t="shared" si="10"/>
        <v/>
      </c>
    </row>
    <row r="263" spans="1:6" x14ac:dyDescent="0.3">
      <c r="A263" s="15" t="str">
        <f t="shared" si="11"/>
        <v>.</v>
      </c>
      <c r="E263" s="13" t="str">
        <f>IFERROR(IF(AND(B263&lt;&gt;"",C263&lt;&gt;""),SUMIFS(Movimentos!$F$4:$F$9996,Movimentos!$D$4:$D$9996,B263,Movimentos!$C$4:$C$9996,"Entrada")-SUMIFS(Movimentos!$F$4:$F$9996,Movimentos!$D$4:$D$9996,B263,Movimentos!$C$4:$C$9996,"Saída"),""),"")</f>
        <v/>
      </c>
      <c r="F263" s="10" t="str">
        <f t="shared" si="10"/>
        <v/>
      </c>
    </row>
    <row r="264" spans="1:6" x14ac:dyDescent="0.3">
      <c r="A264" s="15" t="str">
        <f t="shared" si="11"/>
        <v>.</v>
      </c>
      <c r="E264" s="13" t="str">
        <f>IFERROR(IF(AND(B264&lt;&gt;"",C264&lt;&gt;""),SUMIFS(Movimentos!$F$4:$F$9996,Movimentos!$D$4:$D$9996,B264,Movimentos!$C$4:$C$9996,"Entrada")-SUMIFS(Movimentos!$F$4:$F$9996,Movimentos!$D$4:$D$9996,B264,Movimentos!$C$4:$C$9996,"Saída"),""),"")</f>
        <v/>
      </c>
      <c r="F264" s="10" t="str">
        <f t="shared" si="10"/>
        <v/>
      </c>
    </row>
    <row r="265" spans="1:6" x14ac:dyDescent="0.3">
      <c r="A265" s="15" t="str">
        <f t="shared" si="11"/>
        <v>.</v>
      </c>
      <c r="E265" s="13" t="str">
        <f>IFERROR(IF(AND(B265&lt;&gt;"",C265&lt;&gt;""),SUMIFS(Movimentos!$F$4:$F$9996,Movimentos!$D$4:$D$9996,B265,Movimentos!$C$4:$C$9996,"Entrada")-SUMIFS(Movimentos!$F$4:$F$9996,Movimentos!$D$4:$D$9996,B265,Movimentos!$C$4:$C$9996,"Saída"),""),"")</f>
        <v/>
      </c>
      <c r="F265" s="10" t="str">
        <f t="shared" si="10"/>
        <v/>
      </c>
    </row>
    <row r="266" spans="1:6" x14ac:dyDescent="0.3">
      <c r="A266" s="15" t="str">
        <f t="shared" si="11"/>
        <v>.</v>
      </c>
      <c r="E266" s="13" t="str">
        <f>IFERROR(IF(AND(B266&lt;&gt;"",C266&lt;&gt;""),SUMIFS(Movimentos!$F$4:$F$9996,Movimentos!$D$4:$D$9996,B266,Movimentos!$C$4:$C$9996,"Entrada")-SUMIFS(Movimentos!$F$4:$F$9996,Movimentos!$D$4:$D$9996,B266,Movimentos!$C$4:$C$9996,"Saída"),""),"")</f>
        <v/>
      </c>
      <c r="F266" s="10" t="str">
        <f t="shared" si="10"/>
        <v/>
      </c>
    </row>
    <row r="267" spans="1:6" x14ac:dyDescent="0.3">
      <c r="A267" s="15" t="str">
        <f t="shared" si="11"/>
        <v>.</v>
      </c>
      <c r="E267" s="13" t="str">
        <f>IFERROR(IF(AND(B267&lt;&gt;"",C267&lt;&gt;""),SUMIFS(Movimentos!$F$4:$F$9996,Movimentos!$D$4:$D$9996,B267,Movimentos!$C$4:$C$9996,"Entrada")-SUMIFS(Movimentos!$F$4:$F$9996,Movimentos!$D$4:$D$9996,B267,Movimentos!$C$4:$C$9996,"Saída"),""),"")</f>
        <v/>
      </c>
      <c r="F267" s="10" t="str">
        <f t="shared" si="10"/>
        <v/>
      </c>
    </row>
    <row r="268" spans="1:6" x14ac:dyDescent="0.3">
      <c r="A268" s="15" t="str">
        <f t="shared" si="11"/>
        <v>.</v>
      </c>
      <c r="E268" s="13" t="str">
        <f>IFERROR(IF(AND(B268&lt;&gt;"",C268&lt;&gt;""),SUMIFS(Movimentos!$F$4:$F$9996,Movimentos!$D$4:$D$9996,B268,Movimentos!$C$4:$C$9996,"Entrada")-SUMIFS(Movimentos!$F$4:$F$9996,Movimentos!$D$4:$D$9996,B268,Movimentos!$C$4:$C$9996,"Saída"),""),"")</f>
        <v/>
      </c>
      <c r="F268" s="10" t="str">
        <f t="shared" si="10"/>
        <v/>
      </c>
    </row>
    <row r="269" spans="1:6" x14ac:dyDescent="0.3">
      <c r="A269" s="15" t="str">
        <f t="shared" si="11"/>
        <v>.</v>
      </c>
      <c r="E269" s="13" t="str">
        <f>IFERROR(IF(AND(B269&lt;&gt;"",C269&lt;&gt;""),SUMIFS(Movimentos!$F$4:$F$9996,Movimentos!$D$4:$D$9996,B269,Movimentos!$C$4:$C$9996,"Entrada")-SUMIFS(Movimentos!$F$4:$F$9996,Movimentos!$D$4:$D$9996,B269,Movimentos!$C$4:$C$9996,"Saída"),""),"")</f>
        <v/>
      </c>
      <c r="F269" s="10" t="str">
        <f t="shared" si="10"/>
        <v/>
      </c>
    </row>
    <row r="270" spans="1:6" x14ac:dyDescent="0.3">
      <c r="A270" s="15" t="str">
        <f t="shared" si="11"/>
        <v>.</v>
      </c>
      <c r="E270" s="13" t="str">
        <f>IFERROR(IF(AND(B270&lt;&gt;"",C270&lt;&gt;""),SUMIFS(Movimentos!$F$4:$F$9996,Movimentos!$D$4:$D$9996,B270,Movimentos!$C$4:$C$9996,"Entrada")-SUMIFS(Movimentos!$F$4:$F$9996,Movimentos!$D$4:$D$9996,B270,Movimentos!$C$4:$C$9996,"Saída"),""),"")</f>
        <v/>
      </c>
      <c r="F270" s="10" t="str">
        <f t="shared" si="10"/>
        <v/>
      </c>
    </row>
    <row r="271" spans="1:6" x14ac:dyDescent="0.3">
      <c r="A271" s="15" t="str">
        <f t="shared" si="11"/>
        <v>.</v>
      </c>
      <c r="E271" s="13" t="str">
        <f>IFERROR(IF(AND(B271&lt;&gt;"",C271&lt;&gt;""),SUMIFS(Movimentos!$F$4:$F$9996,Movimentos!$D$4:$D$9996,B271,Movimentos!$C$4:$C$9996,"Entrada")-SUMIFS(Movimentos!$F$4:$F$9996,Movimentos!$D$4:$D$9996,B271,Movimentos!$C$4:$C$9996,"Saída"),""),"")</f>
        <v/>
      </c>
      <c r="F271" s="10" t="str">
        <f t="shared" si="10"/>
        <v/>
      </c>
    </row>
    <row r="272" spans="1:6" x14ac:dyDescent="0.3">
      <c r="A272" s="15" t="str">
        <f t="shared" si="11"/>
        <v>.</v>
      </c>
      <c r="E272" s="13" t="str">
        <f>IFERROR(IF(AND(B272&lt;&gt;"",C272&lt;&gt;""),SUMIFS(Movimentos!$F$4:$F$9996,Movimentos!$D$4:$D$9996,B272,Movimentos!$C$4:$C$9996,"Entrada")-SUMIFS(Movimentos!$F$4:$F$9996,Movimentos!$D$4:$D$9996,B272,Movimentos!$C$4:$C$9996,"Saída"),""),"")</f>
        <v/>
      </c>
      <c r="F272" s="10" t="str">
        <f t="shared" si="10"/>
        <v/>
      </c>
    </row>
    <row r="273" spans="1:6" x14ac:dyDescent="0.3">
      <c r="A273" s="15" t="str">
        <f t="shared" si="11"/>
        <v>.</v>
      </c>
      <c r="E273" s="13" t="str">
        <f>IFERROR(IF(AND(B273&lt;&gt;"",C273&lt;&gt;""),SUMIFS(Movimentos!$F$4:$F$9996,Movimentos!$D$4:$D$9996,B273,Movimentos!$C$4:$C$9996,"Entrada")-SUMIFS(Movimentos!$F$4:$F$9996,Movimentos!$D$4:$D$9996,B273,Movimentos!$C$4:$C$9996,"Saída"),""),"")</f>
        <v/>
      </c>
      <c r="F273" s="10" t="str">
        <f t="shared" si="10"/>
        <v/>
      </c>
    </row>
    <row r="274" spans="1:6" x14ac:dyDescent="0.3">
      <c r="A274" s="15" t="str">
        <f t="shared" si="11"/>
        <v>.</v>
      </c>
      <c r="E274" s="13" t="str">
        <f>IFERROR(IF(AND(B274&lt;&gt;"",C274&lt;&gt;""),SUMIFS(Movimentos!$F$4:$F$9996,Movimentos!$D$4:$D$9996,B274,Movimentos!$C$4:$C$9996,"Entrada")-SUMIFS(Movimentos!$F$4:$F$9996,Movimentos!$D$4:$D$9996,B274,Movimentos!$C$4:$C$9996,"Saída"),""),"")</f>
        <v/>
      </c>
      <c r="F274" s="10" t="str">
        <f t="shared" si="10"/>
        <v/>
      </c>
    </row>
    <row r="275" spans="1:6" x14ac:dyDescent="0.3">
      <c r="A275" s="15" t="str">
        <f t="shared" si="11"/>
        <v>.</v>
      </c>
      <c r="E275" s="13" t="str">
        <f>IFERROR(IF(AND(B275&lt;&gt;"",C275&lt;&gt;""),SUMIFS(Movimentos!$F$4:$F$9996,Movimentos!$D$4:$D$9996,B275,Movimentos!$C$4:$C$9996,"Entrada")-SUMIFS(Movimentos!$F$4:$F$9996,Movimentos!$D$4:$D$9996,B275,Movimentos!$C$4:$C$9996,"Saída"),""),"")</f>
        <v/>
      </c>
      <c r="F275" s="10" t="str">
        <f t="shared" si="10"/>
        <v/>
      </c>
    </row>
    <row r="276" spans="1:6" x14ac:dyDescent="0.3">
      <c r="A276" s="15" t="str">
        <f t="shared" si="11"/>
        <v>.</v>
      </c>
      <c r="E276" s="13" t="str">
        <f>IFERROR(IF(AND(B276&lt;&gt;"",C276&lt;&gt;""),SUMIFS(Movimentos!$F$4:$F$9996,Movimentos!$D$4:$D$9996,B276,Movimentos!$C$4:$C$9996,"Entrada")-SUMIFS(Movimentos!$F$4:$F$9996,Movimentos!$D$4:$D$9996,B276,Movimentos!$C$4:$C$9996,"Saída"),""),"")</f>
        <v/>
      </c>
      <c r="F276" s="10" t="str">
        <f t="shared" si="10"/>
        <v/>
      </c>
    </row>
    <row r="277" spans="1:6" x14ac:dyDescent="0.3">
      <c r="A277" s="15" t="str">
        <f t="shared" si="11"/>
        <v>.</v>
      </c>
      <c r="E277" s="13" t="str">
        <f>IFERROR(IF(AND(B277&lt;&gt;"",C277&lt;&gt;""),SUMIFS(Movimentos!$F$4:$F$9996,Movimentos!$D$4:$D$9996,B277,Movimentos!$C$4:$C$9996,"Entrada")-SUMIFS(Movimentos!$F$4:$F$9996,Movimentos!$D$4:$D$9996,B277,Movimentos!$C$4:$C$9996,"Saída"),""),"")</f>
        <v/>
      </c>
      <c r="F277" s="10" t="str">
        <f t="shared" si="10"/>
        <v/>
      </c>
    </row>
    <row r="278" spans="1:6" x14ac:dyDescent="0.3">
      <c r="A278" s="15" t="str">
        <f t="shared" si="11"/>
        <v>.</v>
      </c>
      <c r="E278" s="13" t="str">
        <f>IFERROR(IF(AND(B278&lt;&gt;"",C278&lt;&gt;""),SUMIFS(Movimentos!$F$4:$F$9996,Movimentos!$D$4:$D$9996,B278,Movimentos!$C$4:$C$9996,"Entrada")-SUMIFS(Movimentos!$F$4:$F$9996,Movimentos!$D$4:$D$9996,B278,Movimentos!$C$4:$C$9996,"Saída"),""),"")</f>
        <v/>
      </c>
      <c r="F278" s="10" t="str">
        <f t="shared" si="10"/>
        <v/>
      </c>
    </row>
    <row r="279" spans="1:6" x14ac:dyDescent="0.3">
      <c r="A279" s="15" t="str">
        <f t="shared" si="11"/>
        <v>.</v>
      </c>
      <c r="E279" s="13" t="str">
        <f>IFERROR(IF(AND(B279&lt;&gt;"",C279&lt;&gt;""),SUMIFS(Movimentos!$F$4:$F$9996,Movimentos!$D$4:$D$9996,B279,Movimentos!$C$4:$C$9996,"Entrada")-SUMIFS(Movimentos!$F$4:$F$9996,Movimentos!$D$4:$D$9996,B279,Movimentos!$C$4:$C$9996,"Saída"),""),"")</f>
        <v/>
      </c>
      <c r="F279" s="10" t="str">
        <f t="shared" ref="F279:F342" si="12">IF(AND(B279&lt;&gt;"",C279&lt;&gt;""),IF(E279=0,"Saldo zerado",IF(E279&lt;D279,"Saldo abaixo do mínimo","Saldo disponível")),"")</f>
        <v/>
      </c>
    </row>
    <row r="280" spans="1:6" x14ac:dyDescent="0.3">
      <c r="A280" s="15" t="str">
        <f t="shared" si="11"/>
        <v>.</v>
      </c>
      <c r="E280" s="13" t="str">
        <f>IFERROR(IF(AND(B280&lt;&gt;"",C280&lt;&gt;""),SUMIFS(Movimentos!$F$4:$F$9996,Movimentos!$D$4:$D$9996,B280,Movimentos!$C$4:$C$9996,"Entrada")-SUMIFS(Movimentos!$F$4:$F$9996,Movimentos!$D$4:$D$9996,B280,Movimentos!$C$4:$C$9996,"Saída"),""),"")</f>
        <v/>
      </c>
      <c r="F280" s="10" t="str">
        <f t="shared" si="12"/>
        <v/>
      </c>
    </row>
    <row r="281" spans="1:6" x14ac:dyDescent="0.3">
      <c r="A281" s="15" t="str">
        <f t="shared" si="11"/>
        <v>.</v>
      </c>
      <c r="E281" s="13" t="str">
        <f>IFERROR(IF(AND(B281&lt;&gt;"",C281&lt;&gt;""),SUMIFS(Movimentos!$F$4:$F$9996,Movimentos!$D$4:$D$9996,B281,Movimentos!$C$4:$C$9996,"Entrada")-SUMIFS(Movimentos!$F$4:$F$9996,Movimentos!$D$4:$D$9996,B281,Movimentos!$C$4:$C$9996,"Saída"),""),"")</f>
        <v/>
      </c>
      <c r="F281" s="10" t="str">
        <f t="shared" si="12"/>
        <v/>
      </c>
    </row>
    <row r="282" spans="1:6" x14ac:dyDescent="0.3">
      <c r="A282" s="15" t="str">
        <f t="shared" si="11"/>
        <v>.</v>
      </c>
      <c r="E282" s="13" t="str">
        <f>IFERROR(IF(AND(B282&lt;&gt;"",C282&lt;&gt;""),SUMIFS(Movimentos!$F$4:$F$9996,Movimentos!$D$4:$D$9996,B282,Movimentos!$C$4:$C$9996,"Entrada")-SUMIFS(Movimentos!$F$4:$F$9996,Movimentos!$D$4:$D$9996,B282,Movimentos!$C$4:$C$9996,"Saída"),""),"")</f>
        <v/>
      </c>
      <c r="F282" s="10" t="str">
        <f t="shared" si="12"/>
        <v/>
      </c>
    </row>
    <row r="283" spans="1:6" x14ac:dyDescent="0.3">
      <c r="A283" s="15" t="str">
        <f t="shared" si="11"/>
        <v>.</v>
      </c>
      <c r="E283" s="13" t="str">
        <f>IFERROR(IF(AND(B283&lt;&gt;"",C283&lt;&gt;""),SUMIFS(Movimentos!$F$4:$F$9996,Movimentos!$D$4:$D$9996,B283,Movimentos!$C$4:$C$9996,"Entrada")-SUMIFS(Movimentos!$F$4:$F$9996,Movimentos!$D$4:$D$9996,B283,Movimentos!$C$4:$C$9996,"Saída"),""),"")</f>
        <v/>
      </c>
      <c r="F283" s="10" t="str">
        <f t="shared" si="12"/>
        <v/>
      </c>
    </row>
    <row r="284" spans="1:6" x14ac:dyDescent="0.3">
      <c r="A284" s="15" t="str">
        <f t="shared" si="11"/>
        <v>.</v>
      </c>
      <c r="E284" s="13" t="str">
        <f>IFERROR(IF(AND(B284&lt;&gt;"",C284&lt;&gt;""),SUMIFS(Movimentos!$F$4:$F$9996,Movimentos!$D$4:$D$9996,B284,Movimentos!$C$4:$C$9996,"Entrada")-SUMIFS(Movimentos!$F$4:$F$9996,Movimentos!$D$4:$D$9996,B284,Movimentos!$C$4:$C$9996,"Saída"),""),"")</f>
        <v/>
      </c>
      <c r="F284" s="10" t="str">
        <f t="shared" si="12"/>
        <v/>
      </c>
    </row>
    <row r="285" spans="1:6" x14ac:dyDescent="0.3">
      <c r="A285" s="15" t="str">
        <f t="shared" si="11"/>
        <v>.</v>
      </c>
      <c r="E285" s="13" t="str">
        <f>IFERROR(IF(AND(B285&lt;&gt;"",C285&lt;&gt;""),SUMIFS(Movimentos!$F$4:$F$9996,Movimentos!$D$4:$D$9996,B285,Movimentos!$C$4:$C$9996,"Entrada")-SUMIFS(Movimentos!$F$4:$F$9996,Movimentos!$D$4:$D$9996,B285,Movimentos!$C$4:$C$9996,"Saída"),""),"")</f>
        <v/>
      </c>
      <c r="F285" s="10" t="str">
        <f t="shared" si="12"/>
        <v/>
      </c>
    </row>
    <row r="286" spans="1:6" x14ac:dyDescent="0.3">
      <c r="A286" s="15" t="str">
        <f t="shared" si="11"/>
        <v>.</v>
      </c>
      <c r="E286" s="13" t="str">
        <f>IFERROR(IF(AND(B286&lt;&gt;"",C286&lt;&gt;""),SUMIFS(Movimentos!$F$4:$F$9996,Movimentos!$D$4:$D$9996,B286,Movimentos!$C$4:$C$9996,"Entrada")-SUMIFS(Movimentos!$F$4:$F$9996,Movimentos!$D$4:$D$9996,B286,Movimentos!$C$4:$C$9996,"Saída"),""),"")</f>
        <v/>
      </c>
      <c r="F286" s="10" t="str">
        <f t="shared" si="12"/>
        <v/>
      </c>
    </row>
    <row r="287" spans="1:6" x14ac:dyDescent="0.3">
      <c r="A287" s="15" t="str">
        <f t="shared" si="11"/>
        <v>.</v>
      </c>
      <c r="E287" s="13" t="str">
        <f>IFERROR(IF(AND(B287&lt;&gt;"",C287&lt;&gt;""),SUMIFS(Movimentos!$F$4:$F$9996,Movimentos!$D$4:$D$9996,B287,Movimentos!$C$4:$C$9996,"Entrada")-SUMIFS(Movimentos!$F$4:$F$9996,Movimentos!$D$4:$D$9996,B287,Movimentos!$C$4:$C$9996,"Saída"),""),"")</f>
        <v/>
      </c>
      <c r="F287" s="10" t="str">
        <f t="shared" si="12"/>
        <v/>
      </c>
    </row>
    <row r="288" spans="1:6" x14ac:dyDescent="0.3">
      <c r="A288" s="15" t="str">
        <f t="shared" si="11"/>
        <v>.</v>
      </c>
      <c r="E288" s="13" t="str">
        <f>IFERROR(IF(AND(B288&lt;&gt;"",C288&lt;&gt;""),SUMIFS(Movimentos!$F$4:$F$9996,Movimentos!$D$4:$D$9996,B288,Movimentos!$C$4:$C$9996,"Entrada")-SUMIFS(Movimentos!$F$4:$F$9996,Movimentos!$D$4:$D$9996,B288,Movimentos!$C$4:$C$9996,"Saída"),""),"")</f>
        <v/>
      </c>
      <c r="F288" s="10" t="str">
        <f t="shared" si="12"/>
        <v/>
      </c>
    </row>
    <row r="289" spans="1:6" x14ac:dyDescent="0.3">
      <c r="A289" s="15" t="str">
        <f t="shared" si="11"/>
        <v>.</v>
      </c>
      <c r="E289" s="13" t="str">
        <f>IFERROR(IF(AND(B289&lt;&gt;"",C289&lt;&gt;""),SUMIFS(Movimentos!$F$4:$F$9996,Movimentos!$D$4:$D$9996,B289,Movimentos!$C$4:$C$9996,"Entrada")-SUMIFS(Movimentos!$F$4:$F$9996,Movimentos!$D$4:$D$9996,B289,Movimentos!$C$4:$C$9996,"Saída"),""),"")</f>
        <v/>
      </c>
      <c r="F289" s="10" t="str">
        <f t="shared" si="12"/>
        <v/>
      </c>
    </row>
    <row r="290" spans="1:6" x14ac:dyDescent="0.3">
      <c r="A290" s="15" t="str">
        <f t="shared" si="11"/>
        <v>.</v>
      </c>
      <c r="E290" s="13" t="str">
        <f>IFERROR(IF(AND(B290&lt;&gt;"",C290&lt;&gt;""),SUMIFS(Movimentos!$F$4:$F$9996,Movimentos!$D$4:$D$9996,B290,Movimentos!$C$4:$C$9996,"Entrada")-SUMIFS(Movimentos!$F$4:$F$9996,Movimentos!$D$4:$D$9996,B290,Movimentos!$C$4:$C$9996,"Saída"),""),"")</f>
        <v/>
      </c>
      <c r="F290" s="10" t="str">
        <f t="shared" si="12"/>
        <v/>
      </c>
    </row>
    <row r="291" spans="1:6" x14ac:dyDescent="0.3">
      <c r="A291" s="15" t="str">
        <f t="shared" si="11"/>
        <v>.</v>
      </c>
      <c r="E291" s="13" t="str">
        <f>IFERROR(IF(AND(B291&lt;&gt;"",C291&lt;&gt;""),SUMIFS(Movimentos!$F$4:$F$9996,Movimentos!$D$4:$D$9996,B291,Movimentos!$C$4:$C$9996,"Entrada")-SUMIFS(Movimentos!$F$4:$F$9996,Movimentos!$D$4:$D$9996,B291,Movimentos!$C$4:$C$9996,"Saída"),""),"")</f>
        <v/>
      </c>
      <c r="F291" s="10" t="str">
        <f t="shared" si="12"/>
        <v/>
      </c>
    </row>
    <row r="292" spans="1:6" x14ac:dyDescent="0.3">
      <c r="A292" s="15" t="str">
        <f t="shared" si="11"/>
        <v>.</v>
      </c>
      <c r="E292" s="13" t="str">
        <f>IFERROR(IF(AND(B292&lt;&gt;"",C292&lt;&gt;""),SUMIFS(Movimentos!$F$4:$F$9996,Movimentos!$D$4:$D$9996,B292,Movimentos!$C$4:$C$9996,"Entrada")-SUMIFS(Movimentos!$F$4:$F$9996,Movimentos!$D$4:$D$9996,B292,Movimentos!$C$4:$C$9996,"Saída"),""),"")</f>
        <v/>
      </c>
      <c r="F292" s="10" t="str">
        <f t="shared" si="12"/>
        <v/>
      </c>
    </row>
    <row r="293" spans="1:6" x14ac:dyDescent="0.3">
      <c r="A293" s="15" t="str">
        <f t="shared" si="11"/>
        <v>.</v>
      </c>
      <c r="E293" s="13" t="str">
        <f>IFERROR(IF(AND(B293&lt;&gt;"",C293&lt;&gt;""),SUMIFS(Movimentos!$F$4:$F$9996,Movimentos!$D$4:$D$9996,B293,Movimentos!$C$4:$C$9996,"Entrada")-SUMIFS(Movimentos!$F$4:$F$9996,Movimentos!$D$4:$D$9996,B293,Movimentos!$C$4:$C$9996,"Saída"),""),"")</f>
        <v/>
      </c>
      <c r="F293" s="10" t="str">
        <f t="shared" si="12"/>
        <v/>
      </c>
    </row>
    <row r="294" spans="1:6" x14ac:dyDescent="0.3">
      <c r="A294" s="15" t="str">
        <f t="shared" si="11"/>
        <v>.</v>
      </c>
      <c r="E294" s="13" t="str">
        <f>IFERROR(IF(AND(B294&lt;&gt;"",C294&lt;&gt;""),SUMIFS(Movimentos!$F$4:$F$9996,Movimentos!$D$4:$D$9996,B294,Movimentos!$C$4:$C$9996,"Entrada")-SUMIFS(Movimentos!$F$4:$F$9996,Movimentos!$D$4:$D$9996,B294,Movimentos!$C$4:$C$9996,"Saída"),""),"")</f>
        <v/>
      </c>
      <c r="F294" s="10" t="str">
        <f t="shared" si="12"/>
        <v/>
      </c>
    </row>
    <row r="295" spans="1:6" x14ac:dyDescent="0.3">
      <c r="A295" s="15" t="str">
        <f t="shared" si="11"/>
        <v>.</v>
      </c>
      <c r="E295" s="13" t="str">
        <f>IFERROR(IF(AND(B295&lt;&gt;"",C295&lt;&gt;""),SUMIFS(Movimentos!$F$4:$F$9996,Movimentos!$D$4:$D$9996,B295,Movimentos!$C$4:$C$9996,"Entrada")-SUMIFS(Movimentos!$F$4:$F$9996,Movimentos!$D$4:$D$9996,B295,Movimentos!$C$4:$C$9996,"Saída"),""),"")</f>
        <v/>
      </c>
      <c r="F295" s="10" t="str">
        <f t="shared" si="12"/>
        <v/>
      </c>
    </row>
    <row r="296" spans="1:6" x14ac:dyDescent="0.3">
      <c r="A296" s="15" t="str">
        <f t="shared" si="11"/>
        <v>.</v>
      </c>
      <c r="E296" s="13" t="str">
        <f>IFERROR(IF(AND(B296&lt;&gt;"",C296&lt;&gt;""),SUMIFS(Movimentos!$F$4:$F$9996,Movimentos!$D$4:$D$9996,B296,Movimentos!$C$4:$C$9996,"Entrada")-SUMIFS(Movimentos!$F$4:$F$9996,Movimentos!$D$4:$D$9996,B296,Movimentos!$C$4:$C$9996,"Saída"),""),"")</f>
        <v/>
      </c>
      <c r="F296" s="10" t="str">
        <f t="shared" si="12"/>
        <v/>
      </c>
    </row>
    <row r="297" spans="1:6" x14ac:dyDescent="0.3">
      <c r="A297" s="15" t="str">
        <f t="shared" si="11"/>
        <v>.</v>
      </c>
      <c r="E297" s="13" t="str">
        <f>IFERROR(IF(AND(B297&lt;&gt;"",C297&lt;&gt;""),SUMIFS(Movimentos!$F$4:$F$9996,Movimentos!$D$4:$D$9996,B297,Movimentos!$C$4:$C$9996,"Entrada")-SUMIFS(Movimentos!$F$4:$F$9996,Movimentos!$D$4:$D$9996,B297,Movimentos!$C$4:$C$9996,"Saída"),""),"")</f>
        <v/>
      </c>
      <c r="F297" s="10" t="str">
        <f t="shared" si="12"/>
        <v/>
      </c>
    </row>
    <row r="298" spans="1:6" x14ac:dyDescent="0.3">
      <c r="A298" s="15" t="str">
        <f t="shared" si="11"/>
        <v>.</v>
      </c>
      <c r="E298" s="13" t="str">
        <f>IFERROR(IF(AND(B298&lt;&gt;"",C298&lt;&gt;""),SUMIFS(Movimentos!$F$4:$F$9996,Movimentos!$D$4:$D$9996,B298,Movimentos!$C$4:$C$9996,"Entrada")-SUMIFS(Movimentos!$F$4:$F$9996,Movimentos!$D$4:$D$9996,B298,Movimentos!$C$4:$C$9996,"Saída"),""),"")</f>
        <v/>
      </c>
      <c r="F298" s="10" t="str">
        <f t="shared" si="12"/>
        <v/>
      </c>
    </row>
    <row r="299" spans="1:6" x14ac:dyDescent="0.3">
      <c r="A299" s="15" t="str">
        <f t="shared" si="11"/>
        <v>.</v>
      </c>
      <c r="E299" s="13" t="str">
        <f>IFERROR(IF(AND(B299&lt;&gt;"",C299&lt;&gt;""),SUMIFS(Movimentos!$F$4:$F$9996,Movimentos!$D$4:$D$9996,B299,Movimentos!$C$4:$C$9996,"Entrada")-SUMIFS(Movimentos!$F$4:$F$9996,Movimentos!$D$4:$D$9996,B299,Movimentos!$C$4:$C$9996,"Saída"),""),"")</f>
        <v/>
      </c>
      <c r="F299" s="10" t="str">
        <f t="shared" si="12"/>
        <v/>
      </c>
    </row>
    <row r="300" spans="1:6" x14ac:dyDescent="0.3">
      <c r="A300" s="15" t="str">
        <f t="shared" si="11"/>
        <v>.</v>
      </c>
      <c r="E300" s="13" t="str">
        <f>IFERROR(IF(AND(B300&lt;&gt;"",C300&lt;&gt;""),SUMIFS(Movimentos!$F$4:$F$9996,Movimentos!$D$4:$D$9996,B300,Movimentos!$C$4:$C$9996,"Entrada")-SUMIFS(Movimentos!$F$4:$F$9996,Movimentos!$D$4:$D$9996,B300,Movimentos!$C$4:$C$9996,"Saída"),""),"")</f>
        <v/>
      </c>
      <c r="F300" s="10" t="str">
        <f t="shared" si="12"/>
        <v/>
      </c>
    </row>
    <row r="301" spans="1:6" x14ac:dyDescent="0.3">
      <c r="A301" s="15" t="str">
        <f t="shared" si="11"/>
        <v>.</v>
      </c>
      <c r="E301" s="13" t="str">
        <f>IFERROR(IF(AND(B301&lt;&gt;"",C301&lt;&gt;""),SUMIFS(Movimentos!$F$4:$F$9996,Movimentos!$D$4:$D$9996,B301,Movimentos!$C$4:$C$9996,"Entrada")-SUMIFS(Movimentos!$F$4:$F$9996,Movimentos!$D$4:$D$9996,B301,Movimentos!$C$4:$C$9996,"Saída"),""),"")</f>
        <v/>
      </c>
      <c r="F301" s="10" t="str">
        <f t="shared" si="12"/>
        <v/>
      </c>
    </row>
    <row r="302" spans="1:6" x14ac:dyDescent="0.3">
      <c r="A302" s="15" t="str">
        <f t="shared" si="11"/>
        <v>.</v>
      </c>
      <c r="E302" s="13" t="str">
        <f>IFERROR(IF(AND(B302&lt;&gt;"",C302&lt;&gt;""),SUMIFS(Movimentos!$F$4:$F$9996,Movimentos!$D$4:$D$9996,B302,Movimentos!$C$4:$C$9996,"Entrada")-SUMIFS(Movimentos!$F$4:$F$9996,Movimentos!$D$4:$D$9996,B302,Movimentos!$C$4:$C$9996,"Saída"),""),"")</f>
        <v/>
      </c>
      <c r="F302" s="10" t="str">
        <f t="shared" si="12"/>
        <v/>
      </c>
    </row>
    <row r="303" spans="1:6" x14ac:dyDescent="0.3">
      <c r="A303" s="15" t="str">
        <f t="shared" si="11"/>
        <v>.</v>
      </c>
      <c r="E303" s="13" t="str">
        <f>IFERROR(IF(AND(B303&lt;&gt;"",C303&lt;&gt;""),SUMIFS(Movimentos!$F$4:$F$9996,Movimentos!$D$4:$D$9996,B303,Movimentos!$C$4:$C$9996,"Entrada")-SUMIFS(Movimentos!$F$4:$F$9996,Movimentos!$D$4:$D$9996,B303,Movimentos!$C$4:$C$9996,"Saída"),""),"")</f>
        <v/>
      </c>
      <c r="F303" s="10" t="str">
        <f t="shared" si="12"/>
        <v/>
      </c>
    </row>
    <row r="304" spans="1:6" x14ac:dyDescent="0.3">
      <c r="A304" s="15" t="str">
        <f t="shared" si="11"/>
        <v>.</v>
      </c>
      <c r="E304" s="13" t="str">
        <f>IFERROR(IF(AND(B304&lt;&gt;"",C304&lt;&gt;""),SUMIFS(Movimentos!$F$4:$F$9996,Movimentos!$D$4:$D$9996,B304,Movimentos!$C$4:$C$9996,"Entrada")-SUMIFS(Movimentos!$F$4:$F$9996,Movimentos!$D$4:$D$9996,B304,Movimentos!$C$4:$C$9996,"Saída"),""),"")</f>
        <v/>
      </c>
      <c r="F304" s="10" t="str">
        <f t="shared" si="12"/>
        <v/>
      </c>
    </row>
    <row r="305" spans="1:6" x14ac:dyDescent="0.3">
      <c r="A305" s="15" t="str">
        <f t="shared" si="11"/>
        <v>.</v>
      </c>
      <c r="E305" s="13" t="str">
        <f>IFERROR(IF(AND(B305&lt;&gt;"",C305&lt;&gt;""),SUMIFS(Movimentos!$F$4:$F$9996,Movimentos!$D$4:$D$9996,B305,Movimentos!$C$4:$C$9996,"Entrada")-SUMIFS(Movimentos!$F$4:$F$9996,Movimentos!$D$4:$D$9996,B305,Movimentos!$C$4:$C$9996,"Saída"),""),"")</f>
        <v/>
      </c>
      <c r="F305" s="10" t="str">
        <f t="shared" si="12"/>
        <v/>
      </c>
    </row>
    <row r="306" spans="1:6" x14ac:dyDescent="0.3">
      <c r="A306" s="15" t="str">
        <f t="shared" si="11"/>
        <v>.</v>
      </c>
      <c r="E306" s="13" t="str">
        <f>IFERROR(IF(AND(B306&lt;&gt;"",C306&lt;&gt;""),SUMIFS(Movimentos!$F$4:$F$9996,Movimentos!$D$4:$D$9996,B306,Movimentos!$C$4:$C$9996,"Entrada")-SUMIFS(Movimentos!$F$4:$F$9996,Movimentos!$D$4:$D$9996,B306,Movimentos!$C$4:$C$9996,"Saída"),""),"")</f>
        <v/>
      </c>
      <c r="F306" s="10" t="str">
        <f t="shared" si="12"/>
        <v/>
      </c>
    </row>
    <row r="307" spans="1:6" x14ac:dyDescent="0.3">
      <c r="A307" s="15" t="str">
        <f t="shared" si="11"/>
        <v>.</v>
      </c>
      <c r="E307" s="13" t="str">
        <f>IFERROR(IF(AND(B307&lt;&gt;"",C307&lt;&gt;""),SUMIFS(Movimentos!$F$4:$F$9996,Movimentos!$D$4:$D$9996,B307,Movimentos!$C$4:$C$9996,"Entrada")-SUMIFS(Movimentos!$F$4:$F$9996,Movimentos!$D$4:$D$9996,B307,Movimentos!$C$4:$C$9996,"Saída"),""),"")</f>
        <v/>
      </c>
      <c r="F307" s="10" t="str">
        <f t="shared" si="12"/>
        <v/>
      </c>
    </row>
    <row r="308" spans="1:6" x14ac:dyDescent="0.3">
      <c r="A308" s="15" t="str">
        <f t="shared" si="11"/>
        <v>.</v>
      </c>
      <c r="E308" s="13" t="str">
        <f>IFERROR(IF(AND(B308&lt;&gt;"",C308&lt;&gt;""),SUMIFS(Movimentos!$F$4:$F$9996,Movimentos!$D$4:$D$9996,B308,Movimentos!$C$4:$C$9996,"Entrada")-SUMIFS(Movimentos!$F$4:$F$9996,Movimentos!$D$4:$D$9996,B308,Movimentos!$C$4:$C$9996,"Saída"),""),"")</f>
        <v/>
      </c>
      <c r="F308" s="10" t="str">
        <f t="shared" si="12"/>
        <v/>
      </c>
    </row>
    <row r="309" spans="1:6" x14ac:dyDescent="0.3">
      <c r="A309" s="15" t="str">
        <f t="shared" si="11"/>
        <v>.</v>
      </c>
      <c r="E309" s="13" t="str">
        <f>IFERROR(IF(AND(B309&lt;&gt;"",C309&lt;&gt;""),SUMIFS(Movimentos!$F$4:$F$9996,Movimentos!$D$4:$D$9996,B309,Movimentos!$C$4:$C$9996,"Entrada")-SUMIFS(Movimentos!$F$4:$F$9996,Movimentos!$D$4:$D$9996,B309,Movimentos!$C$4:$C$9996,"Saída"),""),"")</f>
        <v/>
      </c>
      <c r="F309" s="10" t="str">
        <f t="shared" si="12"/>
        <v/>
      </c>
    </row>
    <row r="310" spans="1:6" x14ac:dyDescent="0.3">
      <c r="A310" s="15" t="str">
        <f t="shared" si="11"/>
        <v>.</v>
      </c>
      <c r="E310" s="13" t="str">
        <f>IFERROR(IF(AND(B310&lt;&gt;"",C310&lt;&gt;""),SUMIFS(Movimentos!$F$4:$F$9996,Movimentos!$D$4:$D$9996,B310,Movimentos!$C$4:$C$9996,"Entrada")-SUMIFS(Movimentos!$F$4:$F$9996,Movimentos!$D$4:$D$9996,B310,Movimentos!$C$4:$C$9996,"Saída"),""),"")</f>
        <v/>
      </c>
      <c r="F310" s="10" t="str">
        <f t="shared" si="12"/>
        <v/>
      </c>
    </row>
    <row r="311" spans="1:6" x14ac:dyDescent="0.3">
      <c r="A311" s="15" t="str">
        <f t="shared" si="11"/>
        <v>.</v>
      </c>
      <c r="E311" s="13" t="str">
        <f>IFERROR(IF(AND(B311&lt;&gt;"",C311&lt;&gt;""),SUMIFS(Movimentos!$F$4:$F$9996,Movimentos!$D$4:$D$9996,B311,Movimentos!$C$4:$C$9996,"Entrada")-SUMIFS(Movimentos!$F$4:$F$9996,Movimentos!$D$4:$D$9996,B311,Movimentos!$C$4:$C$9996,"Saída"),""),"")</f>
        <v/>
      </c>
      <c r="F311" s="10" t="str">
        <f t="shared" si="12"/>
        <v/>
      </c>
    </row>
    <row r="312" spans="1:6" x14ac:dyDescent="0.3">
      <c r="A312" s="15" t="str">
        <f t="shared" si="11"/>
        <v>.</v>
      </c>
      <c r="E312" s="13" t="str">
        <f>IFERROR(IF(AND(B312&lt;&gt;"",C312&lt;&gt;""),SUMIFS(Movimentos!$F$4:$F$9996,Movimentos!$D$4:$D$9996,B312,Movimentos!$C$4:$C$9996,"Entrada")-SUMIFS(Movimentos!$F$4:$F$9996,Movimentos!$D$4:$D$9996,B312,Movimentos!$C$4:$C$9996,"Saída"),""),"")</f>
        <v/>
      </c>
      <c r="F312" s="10" t="str">
        <f t="shared" si="12"/>
        <v/>
      </c>
    </row>
    <row r="313" spans="1:6" x14ac:dyDescent="0.3">
      <c r="A313" s="15" t="str">
        <f t="shared" si="11"/>
        <v>.</v>
      </c>
      <c r="E313" s="13" t="str">
        <f>IFERROR(IF(AND(B313&lt;&gt;"",C313&lt;&gt;""),SUMIFS(Movimentos!$F$4:$F$9996,Movimentos!$D$4:$D$9996,B313,Movimentos!$C$4:$C$9996,"Entrada")-SUMIFS(Movimentos!$F$4:$F$9996,Movimentos!$D$4:$D$9996,B313,Movimentos!$C$4:$C$9996,"Saída"),""),"")</f>
        <v/>
      </c>
      <c r="F313" s="10" t="str">
        <f t="shared" si="12"/>
        <v/>
      </c>
    </row>
    <row r="314" spans="1:6" x14ac:dyDescent="0.3">
      <c r="A314" s="15" t="str">
        <f t="shared" si="11"/>
        <v>.</v>
      </c>
      <c r="E314" s="13" t="str">
        <f>IFERROR(IF(AND(B314&lt;&gt;"",C314&lt;&gt;""),SUMIFS(Movimentos!$F$4:$F$9996,Movimentos!$D$4:$D$9996,B314,Movimentos!$C$4:$C$9996,"Entrada")-SUMIFS(Movimentos!$F$4:$F$9996,Movimentos!$D$4:$D$9996,B314,Movimentos!$C$4:$C$9996,"Saída"),""),"")</f>
        <v/>
      </c>
      <c r="F314" s="10" t="str">
        <f t="shared" si="12"/>
        <v/>
      </c>
    </row>
    <row r="315" spans="1:6" x14ac:dyDescent="0.3">
      <c r="A315" s="15" t="str">
        <f t="shared" si="11"/>
        <v>.</v>
      </c>
      <c r="E315" s="13" t="str">
        <f>IFERROR(IF(AND(B315&lt;&gt;"",C315&lt;&gt;""),SUMIFS(Movimentos!$F$4:$F$9996,Movimentos!$D$4:$D$9996,B315,Movimentos!$C$4:$C$9996,"Entrada")-SUMIFS(Movimentos!$F$4:$F$9996,Movimentos!$D$4:$D$9996,B315,Movimentos!$C$4:$C$9996,"Saída"),""),"")</f>
        <v/>
      </c>
      <c r="F315" s="10" t="str">
        <f t="shared" si="12"/>
        <v/>
      </c>
    </row>
    <row r="316" spans="1:6" x14ac:dyDescent="0.3">
      <c r="A316" s="15" t="str">
        <f t="shared" si="11"/>
        <v>.</v>
      </c>
      <c r="E316" s="13" t="str">
        <f>IFERROR(IF(AND(B316&lt;&gt;"",C316&lt;&gt;""),SUMIFS(Movimentos!$F$4:$F$9996,Movimentos!$D$4:$D$9996,B316,Movimentos!$C$4:$C$9996,"Entrada")-SUMIFS(Movimentos!$F$4:$F$9996,Movimentos!$D$4:$D$9996,B316,Movimentos!$C$4:$C$9996,"Saída"),""),"")</f>
        <v/>
      </c>
      <c r="F316" s="10" t="str">
        <f t="shared" si="12"/>
        <v/>
      </c>
    </row>
    <row r="317" spans="1:6" x14ac:dyDescent="0.3">
      <c r="A317" s="15" t="str">
        <f t="shared" si="11"/>
        <v>.</v>
      </c>
      <c r="E317" s="13" t="str">
        <f>IFERROR(IF(AND(B317&lt;&gt;"",C317&lt;&gt;""),SUMIFS(Movimentos!$F$4:$F$9996,Movimentos!$D$4:$D$9996,B317,Movimentos!$C$4:$C$9996,"Entrada")-SUMIFS(Movimentos!$F$4:$F$9996,Movimentos!$D$4:$D$9996,B317,Movimentos!$C$4:$C$9996,"Saída"),""),"")</f>
        <v/>
      </c>
      <c r="F317" s="10" t="str">
        <f t="shared" si="12"/>
        <v/>
      </c>
    </row>
    <row r="318" spans="1:6" x14ac:dyDescent="0.3">
      <c r="A318" s="15" t="str">
        <f t="shared" si="11"/>
        <v>.</v>
      </c>
      <c r="E318" s="13" t="str">
        <f>IFERROR(IF(AND(B318&lt;&gt;"",C318&lt;&gt;""),SUMIFS(Movimentos!$F$4:$F$9996,Movimentos!$D$4:$D$9996,B318,Movimentos!$C$4:$C$9996,"Entrada")-SUMIFS(Movimentos!$F$4:$F$9996,Movimentos!$D$4:$D$9996,B318,Movimentos!$C$4:$C$9996,"Saída"),""),"")</f>
        <v/>
      </c>
      <c r="F318" s="10" t="str">
        <f t="shared" si="12"/>
        <v/>
      </c>
    </row>
    <row r="319" spans="1:6" x14ac:dyDescent="0.3">
      <c r="A319" s="15" t="str">
        <f t="shared" si="11"/>
        <v>.</v>
      </c>
      <c r="E319" s="13" t="str">
        <f>IFERROR(IF(AND(B319&lt;&gt;"",C319&lt;&gt;""),SUMIFS(Movimentos!$F$4:$F$9996,Movimentos!$D$4:$D$9996,B319,Movimentos!$C$4:$C$9996,"Entrada")-SUMIFS(Movimentos!$F$4:$F$9996,Movimentos!$D$4:$D$9996,B319,Movimentos!$C$4:$C$9996,"Saída"),""),"")</f>
        <v/>
      </c>
      <c r="F319" s="10" t="str">
        <f t="shared" si="12"/>
        <v/>
      </c>
    </row>
    <row r="320" spans="1:6" x14ac:dyDescent="0.3">
      <c r="A320" s="15" t="str">
        <f t="shared" ref="A320:A383" si="13">IF(F320="Saldo zerado",0,IF(F320="Saldo abaixo do mínimo",1,IF(F320="Saldo disponível",2,".")))</f>
        <v>.</v>
      </c>
      <c r="E320" s="13" t="str">
        <f>IFERROR(IF(AND(B320&lt;&gt;"",C320&lt;&gt;""),SUMIFS(Movimentos!$F$4:$F$9996,Movimentos!$D$4:$D$9996,B320,Movimentos!$C$4:$C$9996,"Entrada")-SUMIFS(Movimentos!$F$4:$F$9996,Movimentos!$D$4:$D$9996,B320,Movimentos!$C$4:$C$9996,"Saída"),""),"")</f>
        <v/>
      </c>
      <c r="F320" s="10" t="str">
        <f t="shared" si="12"/>
        <v/>
      </c>
    </row>
    <row r="321" spans="1:6" x14ac:dyDescent="0.3">
      <c r="A321" s="15" t="str">
        <f t="shared" si="13"/>
        <v>.</v>
      </c>
      <c r="E321" s="13" t="str">
        <f>IFERROR(IF(AND(B321&lt;&gt;"",C321&lt;&gt;""),SUMIFS(Movimentos!$F$4:$F$9996,Movimentos!$D$4:$D$9996,B321,Movimentos!$C$4:$C$9996,"Entrada")-SUMIFS(Movimentos!$F$4:$F$9996,Movimentos!$D$4:$D$9996,B321,Movimentos!$C$4:$C$9996,"Saída"),""),"")</f>
        <v/>
      </c>
      <c r="F321" s="10" t="str">
        <f t="shared" si="12"/>
        <v/>
      </c>
    </row>
    <row r="322" spans="1:6" x14ac:dyDescent="0.3">
      <c r="A322" s="15" t="str">
        <f t="shared" si="13"/>
        <v>.</v>
      </c>
      <c r="E322" s="13" t="str">
        <f>IFERROR(IF(AND(B322&lt;&gt;"",C322&lt;&gt;""),SUMIFS(Movimentos!$F$4:$F$9996,Movimentos!$D$4:$D$9996,B322,Movimentos!$C$4:$C$9996,"Entrada")-SUMIFS(Movimentos!$F$4:$F$9996,Movimentos!$D$4:$D$9996,B322,Movimentos!$C$4:$C$9996,"Saída"),""),"")</f>
        <v/>
      </c>
      <c r="F322" s="10" t="str">
        <f t="shared" si="12"/>
        <v/>
      </c>
    </row>
    <row r="323" spans="1:6" x14ac:dyDescent="0.3">
      <c r="A323" s="15" t="str">
        <f t="shared" si="13"/>
        <v>.</v>
      </c>
      <c r="E323" s="13" t="str">
        <f>IFERROR(IF(AND(B323&lt;&gt;"",C323&lt;&gt;""),SUMIFS(Movimentos!$F$4:$F$9996,Movimentos!$D$4:$D$9996,B323,Movimentos!$C$4:$C$9996,"Entrada")-SUMIFS(Movimentos!$F$4:$F$9996,Movimentos!$D$4:$D$9996,B323,Movimentos!$C$4:$C$9996,"Saída"),""),"")</f>
        <v/>
      </c>
      <c r="F323" s="10" t="str">
        <f t="shared" si="12"/>
        <v/>
      </c>
    </row>
    <row r="324" spans="1:6" x14ac:dyDescent="0.3">
      <c r="A324" s="15" t="str">
        <f t="shared" si="13"/>
        <v>.</v>
      </c>
      <c r="E324" s="13" t="str">
        <f>IFERROR(IF(AND(B324&lt;&gt;"",C324&lt;&gt;""),SUMIFS(Movimentos!$F$4:$F$9996,Movimentos!$D$4:$D$9996,B324,Movimentos!$C$4:$C$9996,"Entrada")-SUMIFS(Movimentos!$F$4:$F$9996,Movimentos!$D$4:$D$9996,B324,Movimentos!$C$4:$C$9996,"Saída"),""),"")</f>
        <v/>
      </c>
      <c r="F324" s="10" t="str">
        <f t="shared" si="12"/>
        <v/>
      </c>
    </row>
    <row r="325" spans="1:6" x14ac:dyDescent="0.3">
      <c r="A325" s="15" t="str">
        <f t="shared" si="13"/>
        <v>.</v>
      </c>
      <c r="E325" s="13" t="str">
        <f>IFERROR(IF(AND(B325&lt;&gt;"",C325&lt;&gt;""),SUMIFS(Movimentos!$F$4:$F$9996,Movimentos!$D$4:$D$9996,B325,Movimentos!$C$4:$C$9996,"Entrada")-SUMIFS(Movimentos!$F$4:$F$9996,Movimentos!$D$4:$D$9996,B325,Movimentos!$C$4:$C$9996,"Saída"),""),"")</f>
        <v/>
      </c>
      <c r="F325" s="10" t="str">
        <f t="shared" si="12"/>
        <v/>
      </c>
    </row>
    <row r="326" spans="1:6" x14ac:dyDescent="0.3">
      <c r="A326" s="15" t="str">
        <f t="shared" si="13"/>
        <v>.</v>
      </c>
      <c r="E326" s="13" t="str">
        <f>IFERROR(IF(AND(B326&lt;&gt;"",C326&lt;&gt;""),SUMIFS(Movimentos!$F$4:$F$9996,Movimentos!$D$4:$D$9996,B326,Movimentos!$C$4:$C$9996,"Entrada")-SUMIFS(Movimentos!$F$4:$F$9996,Movimentos!$D$4:$D$9996,B326,Movimentos!$C$4:$C$9996,"Saída"),""),"")</f>
        <v/>
      </c>
      <c r="F326" s="10" t="str">
        <f t="shared" si="12"/>
        <v/>
      </c>
    </row>
    <row r="327" spans="1:6" x14ac:dyDescent="0.3">
      <c r="A327" s="15" t="str">
        <f t="shared" si="13"/>
        <v>.</v>
      </c>
      <c r="E327" s="13" t="str">
        <f>IFERROR(IF(AND(B327&lt;&gt;"",C327&lt;&gt;""),SUMIFS(Movimentos!$F$4:$F$9996,Movimentos!$D$4:$D$9996,B327,Movimentos!$C$4:$C$9996,"Entrada")-SUMIFS(Movimentos!$F$4:$F$9996,Movimentos!$D$4:$D$9996,B327,Movimentos!$C$4:$C$9996,"Saída"),""),"")</f>
        <v/>
      </c>
      <c r="F327" s="10" t="str">
        <f t="shared" si="12"/>
        <v/>
      </c>
    </row>
    <row r="328" spans="1:6" x14ac:dyDescent="0.3">
      <c r="A328" s="15" t="str">
        <f t="shared" si="13"/>
        <v>.</v>
      </c>
      <c r="E328" s="13" t="str">
        <f>IFERROR(IF(AND(B328&lt;&gt;"",C328&lt;&gt;""),SUMIFS(Movimentos!$F$4:$F$9996,Movimentos!$D$4:$D$9996,B328,Movimentos!$C$4:$C$9996,"Entrada")-SUMIFS(Movimentos!$F$4:$F$9996,Movimentos!$D$4:$D$9996,B328,Movimentos!$C$4:$C$9996,"Saída"),""),"")</f>
        <v/>
      </c>
      <c r="F328" s="10" t="str">
        <f t="shared" si="12"/>
        <v/>
      </c>
    </row>
    <row r="329" spans="1:6" x14ac:dyDescent="0.3">
      <c r="A329" s="15" t="str">
        <f t="shared" si="13"/>
        <v>.</v>
      </c>
      <c r="E329" s="13" t="str">
        <f>IFERROR(IF(AND(B329&lt;&gt;"",C329&lt;&gt;""),SUMIFS(Movimentos!$F$4:$F$9996,Movimentos!$D$4:$D$9996,B329,Movimentos!$C$4:$C$9996,"Entrada")-SUMIFS(Movimentos!$F$4:$F$9996,Movimentos!$D$4:$D$9996,B329,Movimentos!$C$4:$C$9996,"Saída"),""),"")</f>
        <v/>
      </c>
      <c r="F329" s="10" t="str">
        <f t="shared" si="12"/>
        <v/>
      </c>
    </row>
    <row r="330" spans="1:6" x14ac:dyDescent="0.3">
      <c r="A330" s="15" t="str">
        <f t="shared" si="13"/>
        <v>.</v>
      </c>
      <c r="E330" s="13" t="str">
        <f>IFERROR(IF(AND(B330&lt;&gt;"",C330&lt;&gt;""),SUMIFS(Movimentos!$F$4:$F$9996,Movimentos!$D$4:$D$9996,B330,Movimentos!$C$4:$C$9996,"Entrada")-SUMIFS(Movimentos!$F$4:$F$9996,Movimentos!$D$4:$D$9996,B330,Movimentos!$C$4:$C$9996,"Saída"),""),"")</f>
        <v/>
      </c>
      <c r="F330" s="10" t="str">
        <f t="shared" si="12"/>
        <v/>
      </c>
    </row>
    <row r="331" spans="1:6" x14ac:dyDescent="0.3">
      <c r="A331" s="15" t="str">
        <f t="shared" si="13"/>
        <v>.</v>
      </c>
      <c r="E331" s="13" t="str">
        <f>IFERROR(IF(AND(B331&lt;&gt;"",C331&lt;&gt;""),SUMIFS(Movimentos!$F$4:$F$9996,Movimentos!$D$4:$D$9996,B331,Movimentos!$C$4:$C$9996,"Entrada")-SUMIFS(Movimentos!$F$4:$F$9996,Movimentos!$D$4:$D$9996,B331,Movimentos!$C$4:$C$9996,"Saída"),""),"")</f>
        <v/>
      </c>
      <c r="F331" s="10" t="str">
        <f t="shared" si="12"/>
        <v/>
      </c>
    </row>
    <row r="332" spans="1:6" x14ac:dyDescent="0.3">
      <c r="A332" s="15" t="str">
        <f t="shared" si="13"/>
        <v>.</v>
      </c>
      <c r="E332" s="13" t="str">
        <f>IFERROR(IF(AND(B332&lt;&gt;"",C332&lt;&gt;""),SUMIFS(Movimentos!$F$4:$F$9996,Movimentos!$D$4:$D$9996,B332,Movimentos!$C$4:$C$9996,"Entrada")-SUMIFS(Movimentos!$F$4:$F$9996,Movimentos!$D$4:$D$9996,B332,Movimentos!$C$4:$C$9996,"Saída"),""),"")</f>
        <v/>
      </c>
      <c r="F332" s="10" t="str">
        <f t="shared" si="12"/>
        <v/>
      </c>
    </row>
    <row r="333" spans="1:6" x14ac:dyDescent="0.3">
      <c r="A333" s="15" t="str">
        <f t="shared" si="13"/>
        <v>.</v>
      </c>
      <c r="E333" s="13" t="str">
        <f>IFERROR(IF(AND(B333&lt;&gt;"",C333&lt;&gt;""),SUMIFS(Movimentos!$F$4:$F$9996,Movimentos!$D$4:$D$9996,B333,Movimentos!$C$4:$C$9996,"Entrada")-SUMIFS(Movimentos!$F$4:$F$9996,Movimentos!$D$4:$D$9996,B333,Movimentos!$C$4:$C$9996,"Saída"),""),"")</f>
        <v/>
      </c>
      <c r="F333" s="10" t="str">
        <f t="shared" si="12"/>
        <v/>
      </c>
    </row>
    <row r="334" spans="1:6" x14ac:dyDescent="0.3">
      <c r="A334" s="15" t="str">
        <f t="shared" si="13"/>
        <v>.</v>
      </c>
      <c r="E334" s="13" t="str">
        <f>IFERROR(IF(AND(B334&lt;&gt;"",C334&lt;&gt;""),SUMIFS(Movimentos!$F$4:$F$9996,Movimentos!$D$4:$D$9996,B334,Movimentos!$C$4:$C$9996,"Entrada")-SUMIFS(Movimentos!$F$4:$F$9996,Movimentos!$D$4:$D$9996,B334,Movimentos!$C$4:$C$9996,"Saída"),""),"")</f>
        <v/>
      </c>
      <c r="F334" s="10" t="str">
        <f t="shared" si="12"/>
        <v/>
      </c>
    </row>
    <row r="335" spans="1:6" x14ac:dyDescent="0.3">
      <c r="A335" s="15" t="str">
        <f t="shared" si="13"/>
        <v>.</v>
      </c>
      <c r="E335" s="13" t="str">
        <f>IFERROR(IF(AND(B335&lt;&gt;"",C335&lt;&gt;""),SUMIFS(Movimentos!$F$4:$F$9996,Movimentos!$D$4:$D$9996,B335,Movimentos!$C$4:$C$9996,"Entrada")-SUMIFS(Movimentos!$F$4:$F$9996,Movimentos!$D$4:$D$9996,B335,Movimentos!$C$4:$C$9996,"Saída"),""),"")</f>
        <v/>
      </c>
      <c r="F335" s="10" t="str">
        <f t="shared" si="12"/>
        <v/>
      </c>
    </row>
    <row r="336" spans="1:6" x14ac:dyDescent="0.3">
      <c r="A336" s="15" t="str">
        <f t="shared" si="13"/>
        <v>.</v>
      </c>
      <c r="E336" s="13" t="str">
        <f>IFERROR(IF(AND(B336&lt;&gt;"",C336&lt;&gt;""),SUMIFS(Movimentos!$F$4:$F$9996,Movimentos!$D$4:$D$9996,B336,Movimentos!$C$4:$C$9996,"Entrada")-SUMIFS(Movimentos!$F$4:$F$9996,Movimentos!$D$4:$D$9996,B336,Movimentos!$C$4:$C$9996,"Saída"),""),"")</f>
        <v/>
      </c>
      <c r="F336" s="10" t="str">
        <f t="shared" si="12"/>
        <v/>
      </c>
    </row>
    <row r="337" spans="1:6" x14ac:dyDescent="0.3">
      <c r="A337" s="15" t="str">
        <f t="shared" si="13"/>
        <v>.</v>
      </c>
      <c r="E337" s="13" t="str">
        <f>IFERROR(IF(AND(B337&lt;&gt;"",C337&lt;&gt;""),SUMIFS(Movimentos!$F$4:$F$9996,Movimentos!$D$4:$D$9996,B337,Movimentos!$C$4:$C$9996,"Entrada")-SUMIFS(Movimentos!$F$4:$F$9996,Movimentos!$D$4:$D$9996,B337,Movimentos!$C$4:$C$9996,"Saída"),""),"")</f>
        <v/>
      </c>
      <c r="F337" s="10" t="str">
        <f t="shared" si="12"/>
        <v/>
      </c>
    </row>
    <row r="338" spans="1:6" x14ac:dyDescent="0.3">
      <c r="A338" s="15" t="str">
        <f t="shared" si="13"/>
        <v>.</v>
      </c>
      <c r="E338" s="13" t="str">
        <f>IFERROR(IF(AND(B338&lt;&gt;"",C338&lt;&gt;""),SUMIFS(Movimentos!$F$4:$F$9996,Movimentos!$D$4:$D$9996,B338,Movimentos!$C$4:$C$9996,"Entrada")-SUMIFS(Movimentos!$F$4:$F$9996,Movimentos!$D$4:$D$9996,B338,Movimentos!$C$4:$C$9996,"Saída"),""),"")</f>
        <v/>
      </c>
      <c r="F338" s="10" t="str">
        <f t="shared" si="12"/>
        <v/>
      </c>
    </row>
    <row r="339" spans="1:6" x14ac:dyDescent="0.3">
      <c r="A339" s="15" t="str">
        <f t="shared" si="13"/>
        <v>.</v>
      </c>
      <c r="E339" s="13" t="str">
        <f>IFERROR(IF(AND(B339&lt;&gt;"",C339&lt;&gt;""),SUMIFS(Movimentos!$F$4:$F$9996,Movimentos!$D$4:$D$9996,B339,Movimentos!$C$4:$C$9996,"Entrada")-SUMIFS(Movimentos!$F$4:$F$9996,Movimentos!$D$4:$D$9996,B339,Movimentos!$C$4:$C$9996,"Saída"),""),"")</f>
        <v/>
      </c>
      <c r="F339" s="10" t="str">
        <f t="shared" si="12"/>
        <v/>
      </c>
    </row>
    <row r="340" spans="1:6" x14ac:dyDescent="0.3">
      <c r="A340" s="15" t="str">
        <f t="shared" si="13"/>
        <v>.</v>
      </c>
      <c r="E340" s="13" t="str">
        <f>IFERROR(IF(AND(B340&lt;&gt;"",C340&lt;&gt;""),SUMIFS(Movimentos!$F$4:$F$9996,Movimentos!$D$4:$D$9996,B340,Movimentos!$C$4:$C$9996,"Entrada")-SUMIFS(Movimentos!$F$4:$F$9996,Movimentos!$D$4:$D$9996,B340,Movimentos!$C$4:$C$9996,"Saída"),""),"")</f>
        <v/>
      </c>
      <c r="F340" s="10" t="str">
        <f t="shared" si="12"/>
        <v/>
      </c>
    </row>
    <row r="341" spans="1:6" x14ac:dyDescent="0.3">
      <c r="A341" s="15" t="str">
        <f t="shared" si="13"/>
        <v>.</v>
      </c>
      <c r="E341" s="13" t="str">
        <f>IFERROR(IF(AND(B341&lt;&gt;"",C341&lt;&gt;""),SUMIFS(Movimentos!$F$4:$F$9996,Movimentos!$D$4:$D$9996,B341,Movimentos!$C$4:$C$9996,"Entrada")-SUMIFS(Movimentos!$F$4:$F$9996,Movimentos!$D$4:$D$9996,B341,Movimentos!$C$4:$C$9996,"Saída"),""),"")</f>
        <v/>
      </c>
      <c r="F341" s="10" t="str">
        <f t="shared" si="12"/>
        <v/>
      </c>
    </row>
    <row r="342" spans="1:6" x14ac:dyDescent="0.3">
      <c r="A342" s="15" t="str">
        <f t="shared" si="13"/>
        <v>.</v>
      </c>
      <c r="E342" s="13" t="str">
        <f>IFERROR(IF(AND(B342&lt;&gt;"",C342&lt;&gt;""),SUMIFS(Movimentos!$F$4:$F$9996,Movimentos!$D$4:$D$9996,B342,Movimentos!$C$4:$C$9996,"Entrada")-SUMIFS(Movimentos!$F$4:$F$9996,Movimentos!$D$4:$D$9996,B342,Movimentos!$C$4:$C$9996,"Saída"),""),"")</f>
        <v/>
      </c>
      <c r="F342" s="10" t="str">
        <f t="shared" si="12"/>
        <v/>
      </c>
    </row>
    <row r="343" spans="1:6" x14ac:dyDescent="0.3">
      <c r="A343" s="15" t="str">
        <f t="shared" si="13"/>
        <v>.</v>
      </c>
      <c r="E343" s="13" t="str">
        <f>IFERROR(IF(AND(B343&lt;&gt;"",C343&lt;&gt;""),SUMIFS(Movimentos!$F$4:$F$9996,Movimentos!$D$4:$D$9996,B343,Movimentos!$C$4:$C$9996,"Entrada")-SUMIFS(Movimentos!$F$4:$F$9996,Movimentos!$D$4:$D$9996,B343,Movimentos!$C$4:$C$9996,"Saída"),""),"")</f>
        <v/>
      </c>
      <c r="F343" s="10" t="str">
        <f t="shared" ref="F343:F406" si="14">IF(AND(B343&lt;&gt;"",C343&lt;&gt;""),IF(E343=0,"Saldo zerado",IF(E343&lt;D343,"Saldo abaixo do mínimo","Saldo disponível")),"")</f>
        <v/>
      </c>
    </row>
    <row r="344" spans="1:6" x14ac:dyDescent="0.3">
      <c r="A344" s="15" t="str">
        <f t="shared" si="13"/>
        <v>.</v>
      </c>
      <c r="E344" s="13" t="str">
        <f>IFERROR(IF(AND(B344&lt;&gt;"",C344&lt;&gt;""),SUMIFS(Movimentos!$F$4:$F$9996,Movimentos!$D$4:$D$9996,B344,Movimentos!$C$4:$C$9996,"Entrada")-SUMIFS(Movimentos!$F$4:$F$9996,Movimentos!$D$4:$D$9996,B344,Movimentos!$C$4:$C$9996,"Saída"),""),"")</f>
        <v/>
      </c>
      <c r="F344" s="10" t="str">
        <f t="shared" si="14"/>
        <v/>
      </c>
    </row>
    <row r="345" spans="1:6" x14ac:dyDescent="0.3">
      <c r="A345" s="15" t="str">
        <f t="shared" si="13"/>
        <v>.</v>
      </c>
      <c r="E345" s="13" t="str">
        <f>IFERROR(IF(AND(B345&lt;&gt;"",C345&lt;&gt;""),SUMIFS(Movimentos!$F$4:$F$9996,Movimentos!$D$4:$D$9996,B345,Movimentos!$C$4:$C$9996,"Entrada")-SUMIFS(Movimentos!$F$4:$F$9996,Movimentos!$D$4:$D$9996,B345,Movimentos!$C$4:$C$9996,"Saída"),""),"")</f>
        <v/>
      </c>
      <c r="F345" s="10" t="str">
        <f t="shared" si="14"/>
        <v/>
      </c>
    </row>
    <row r="346" spans="1:6" x14ac:dyDescent="0.3">
      <c r="A346" s="15" t="str">
        <f t="shared" si="13"/>
        <v>.</v>
      </c>
      <c r="E346" s="13" t="str">
        <f>IFERROR(IF(AND(B346&lt;&gt;"",C346&lt;&gt;""),SUMIFS(Movimentos!$F$4:$F$9996,Movimentos!$D$4:$D$9996,B346,Movimentos!$C$4:$C$9996,"Entrada")-SUMIFS(Movimentos!$F$4:$F$9996,Movimentos!$D$4:$D$9996,B346,Movimentos!$C$4:$C$9996,"Saída"),""),"")</f>
        <v/>
      </c>
      <c r="F346" s="10" t="str">
        <f t="shared" si="14"/>
        <v/>
      </c>
    </row>
    <row r="347" spans="1:6" x14ac:dyDescent="0.3">
      <c r="A347" s="15" t="str">
        <f t="shared" si="13"/>
        <v>.</v>
      </c>
      <c r="E347" s="13" t="str">
        <f>IFERROR(IF(AND(B347&lt;&gt;"",C347&lt;&gt;""),SUMIFS(Movimentos!$F$4:$F$9996,Movimentos!$D$4:$D$9996,B347,Movimentos!$C$4:$C$9996,"Entrada")-SUMIFS(Movimentos!$F$4:$F$9996,Movimentos!$D$4:$D$9996,B347,Movimentos!$C$4:$C$9996,"Saída"),""),"")</f>
        <v/>
      </c>
      <c r="F347" s="10" t="str">
        <f t="shared" si="14"/>
        <v/>
      </c>
    </row>
    <row r="348" spans="1:6" x14ac:dyDescent="0.3">
      <c r="A348" s="15" t="str">
        <f t="shared" si="13"/>
        <v>.</v>
      </c>
      <c r="E348" s="13" t="str">
        <f>IFERROR(IF(AND(B348&lt;&gt;"",C348&lt;&gt;""),SUMIFS(Movimentos!$F$4:$F$9996,Movimentos!$D$4:$D$9996,B348,Movimentos!$C$4:$C$9996,"Entrada")-SUMIFS(Movimentos!$F$4:$F$9996,Movimentos!$D$4:$D$9996,B348,Movimentos!$C$4:$C$9996,"Saída"),""),"")</f>
        <v/>
      </c>
      <c r="F348" s="10" t="str">
        <f t="shared" si="14"/>
        <v/>
      </c>
    </row>
    <row r="349" spans="1:6" x14ac:dyDescent="0.3">
      <c r="A349" s="15" t="str">
        <f t="shared" si="13"/>
        <v>.</v>
      </c>
      <c r="E349" s="13" t="str">
        <f>IFERROR(IF(AND(B349&lt;&gt;"",C349&lt;&gt;""),SUMIFS(Movimentos!$F$4:$F$9996,Movimentos!$D$4:$D$9996,B349,Movimentos!$C$4:$C$9996,"Entrada")-SUMIFS(Movimentos!$F$4:$F$9996,Movimentos!$D$4:$D$9996,B349,Movimentos!$C$4:$C$9996,"Saída"),""),"")</f>
        <v/>
      </c>
      <c r="F349" s="10" t="str">
        <f t="shared" si="14"/>
        <v/>
      </c>
    </row>
    <row r="350" spans="1:6" x14ac:dyDescent="0.3">
      <c r="A350" s="15" t="str">
        <f t="shared" si="13"/>
        <v>.</v>
      </c>
      <c r="E350" s="13" t="str">
        <f>IFERROR(IF(AND(B350&lt;&gt;"",C350&lt;&gt;""),SUMIFS(Movimentos!$F$4:$F$9996,Movimentos!$D$4:$D$9996,B350,Movimentos!$C$4:$C$9996,"Entrada")-SUMIFS(Movimentos!$F$4:$F$9996,Movimentos!$D$4:$D$9996,B350,Movimentos!$C$4:$C$9996,"Saída"),""),"")</f>
        <v/>
      </c>
      <c r="F350" s="10" t="str">
        <f t="shared" si="14"/>
        <v/>
      </c>
    </row>
    <row r="351" spans="1:6" x14ac:dyDescent="0.3">
      <c r="A351" s="15" t="str">
        <f t="shared" si="13"/>
        <v>.</v>
      </c>
      <c r="E351" s="13" t="str">
        <f>IFERROR(IF(AND(B351&lt;&gt;"",C351&lt;&gt;""),SUMIFS(Movimentos!$F$4:$F$9996,Movimentos!$D$4:$D$9996,B351,Movimentos!$C$4:$C$9996,"Entrada")-SUMIFS(Movimentos!$F$4:$F$9996,Movimentos!$D$4:$D$9996,B351,Movimentos!$C$4:$C$9996,"Saída"),""),"")</f>
        <v/>
      </c>
      <c r="F351" s="10" t="str">
        <f t="shared" si="14"/>
        <v/>
      </c>
    </row>
    <row r="352" spans="1:6" x14ac:dyDescent="0.3">
      <c r="A352" s="15" t="str">
        <f t="shared" si="13"/>
        <v>.</v>
      </c>
      <c r="E352" s="13" t="str">
        <f>IFERROR(IF(AND(B352&lt;&gt;"",C352&lt;&gt;""),SUMIFS(Movimentos!$F$4:$F$9996,Movimentos!$D$4:$D$9996,B352,Movimentos!$C$4:$C$9996,"Entrada")-SUMIFS(Movimentos!$F$4:$F$9996,Movimentos!$D$4:$D$9996,B352,Movimentos!$C$4:$C$9996,"Saída"),""),"")</f>
        <v/>
      </c>
      <c r="F352" s="10" t="str">
        <f t="shared" si="14"/>
        <v/>
      </c>
    </row>
    <row r="353" spans="1:6" x14ac:dyDescent="0.3">
      <c r="A353" s="15" t="str">
        <f t="shared" si="13"/>
        <v>.</v>
      </c>
      <c r="E353" s="13" t="str">
        <f>IFERROR(IF(AND(B353&lt;&gt;"",C353&lt;&gt;""),SUMIFS(Movimentos!$F$4:$F$9996,Movimentos!$D$4:$D$9996,B353,Movimentos!$C$4:$C$9996,"Entrada")-SUMIFS(Movimentos!$F$4:$F$9996,Movimentos!$D$4:$D$9996,B353,Movimentos!$C$4:$C$9996,"Saída"),""),"")</f>
        <v/>
      </c>
      <c r="F353" s="10" t="str">
        <f t="shared" si="14"/>
        <v/>
      </c>
    </row>
    <row r="354" spans="1:6" x14ac:dyDescent="0.3">
      <c r="A354" s="15" t="str">
        <f t="shared" si="13"/>
        <v>.</v>
      </c>
      <c r="E354" s="13" t="str">
        <f>IFERROR(IF(AND(B354&lt;&gt;"",C354&lt;&gt;""),SUMIFS(Movimentos!$F$4:$F$9996,Movimentos!$D$4:$D$9996,B354,Movimentos!$C$4:$C$9996,"Entrada")-SUMIFS(Movimentos!$F$4:$F$9996,Movimentos!$D$4:$D$9996,B354,Movimentos!$C$4:$C$9996,"Saída"),""),"")</f>
        <v/>
      </c>
      <c r="F354" s="10" t="str">
        <f t="shared" si="14"/>
        <v/>
      </c>
    </row>
    <row r="355" spans="1:6" x14ac:dyDescent="0.3">
      <c r="A355" s="15" t="str">
        <f t="shared" si="13"/>
        <v>.</v>
      </c>
      <c r="E355" s="13" t="str">
        <f>IFERROR(IF(AND(B355&lt;&gt;"",C355&lt;&gt;""),SUMIFS(Movimentos!$F$4:$F$9996,Movimentos!$D$4:$D$9996,B355,Movimentos!$C$4:$C$9996,"Entrada")-SUMIFS(Movimentos!$F$4:$F$9996,Movimentos!$D$4:$D$9996,B355,Movimentos!$C$4:$C$9996,"Saída"),""),"")</f>
        <v/>
      </c>
      <c r="F355" s="10" t="str">
        <f t="shared" si="14"/>
        <v/>
      </c>
    </row>
    <row r="356" spans="1:6" x14ac:dyDescent="0.3">
      <c r="A356" s="15" t="str">
        <f t="shared" si="13"/>
        <v>.</v>
      </c>
      <c r="E356" s="13" t="str">
        <f>IFERROR(IF(AND(B356&lt;&gt;"",C356&lt;&gt;""),SUMIFS(Movimentos!$F$4:$F$9996,Movimentos!$D$4:$D$9996,B356,Movimentos!$C$4:$C$9996,"Entrada")-SUMIFS(Movimentos!$F$4:$F$9996,Movimentos!$D$4:$D$9996,B356,Movimentos!$C$4:$C$9996,"Saída"),""),"")</f>
        <v/>
      </c>
      <c r="F356" s="10" t="str">
        <f t="shared" si="14"/>
        <v/>
      </c>
    </row>
    <row r="357" spans="1:6" x14ac:dyDescent="0.3">
      <c r="A357" s="15" t="str">
        <f t="shared" si="13"/>
        <v>.</v>
      </c>
      <c r="E357" s="13" t="str">
        <f>IFERROR(IF(AND(B357&lt;&gt;"",C357&lt;&gt;""),SUMIFS(Movimentos!$F$4:$F$9996,Movimentos!$D$4:$D$9996,B357,Movimentos!$C$4:$C$9996,"Entrada")-SUMIFS(Movimentos!$F$4:$F$9996,Movimentos!$D$4:$D$9996,B357,Movimentos!$C$4:$C$9996,"Saída"),""),"")</f>
        <v/>
      </c>
      <c r="F357" s="10" t="str">
        <f t="shared" si="14"/>
        <v/>
      </c>
    </row>
    <row r="358" spans="1:6" x14ac:dyDescent="0.3">
      <c r="A358" s="15" t="str">
        <f t="shared" si="13"/>
        <v>.</v>
      </c>
      <c r="E358" s="13" t="str">
        <f>IFERROR(IF(AND(B358&lt;&gt;"",C358&lt;&gt;""),SUMIFS(Movimentos!$F$4:$F$9996,Movimentos!$D$4:$D$9996,B358,Movimentos!$C$4:$C$9996,"Entrada")-SUMIFS(Movimentos!$F$4:$F$9996,Movimentos!$D$4:$D$9996,B358,Movimentos!$C$4:$C$9996,"Saída"),""),"")</f>
        <v/>
      </c>
      <c r="F358" s="10" t="str">
        <f t="shared" si="14"/>
        <v/>
      </c>
    </row>
    <row r="359" spans="1:6" x14ac:dyDescent="0.3">
      <c r="A359" s="15" t="str">
        <f t="shared" si="13"/>
        <v>.</v>
      </c>
      <c r="E359" s="13" t="str">
        <f>IFERROR(IF(AND(B359&lt;&gt;"",C359&lt;&gt;""),SUMIFS(Movimentos!$F$4:$F$9996,Movimentos!$D$4:$D$9996,B359,Movimentos!$C$4:$C$9996,"Entrada")-SUMIFS(Movimentos!$F$4:$F$9996,Movimentos!$D$4:$D$9996,B359,Movimentos!$C$4:$C$9996,"Saída"),""),"")</f>
        <v/>
      </c>
      <c r="F359" s="10" t="str">
        <f t="shared" si="14"/>
        <v/>
      </c>
    </row>
    <row r="360" spans="1:6" x14ac:dyDescent="0.3">
      <c r="A360" s="15" t="str">
        <f t="shared" si="13"/>
        <v>.</v>
      </c>
      <c r="E360" s="13" t="str">
        <f>IFERROR(IF(AND(B360&lt;&gt;"",C360&lt;&gt;""),SUMIFS(Movimentos!$F$4:$F$9996,Movimentos!$D$4:$D$9996,B360,Movimentos!$C$4:$C$9996,"Entrada")-SUMIFS(Movimentos!$F$4:$F$9996,Movimentos!$D$4:$D$9996,B360,Movimentos!$C$4:$C$9996,"Saída"),""),"")</f>
        <v/>
      </c>
      <c r="F360" s="10" t="str">
        <f t="shared" si="14"/>
        <v/>
      </c>
    </row>
    <row r="361" spans="1:6" x14ac:dyDescent="0.3">
      <c r="A361" s="15" t="str">
        <f t="shared" si="13"/>
        <v>.</v>
      </c>
      <c r="E361" s="13" t="str">
        <f>IFERROR(IF(AND(B361&lt;&gt;"",C361&lt;&gt;""),SUMIFS(Movimentos!$F$4:$F$9996,Movimentos!$D$4:$D$9996,B361,Movimentos!$C$4:$C$9996,"Entrada")-SUMIFS(Movimentos!$F$4:$F$9996,Movimentos!$D$4:$D$9996,B361,Movimentos!$C$4:$C$9996,"Saída"),""),"")</f>
        <v/>
      </c>
      <c r="F361" s="10" t="str">
        <f t="shared" si="14"/>
        <v/>
      </c>
    </row>
    <row r="362" spans="1:6" x14ac:dyDescent="0.3">
      <c r="A362" s="15" t="str">
        <f t="shared" si="13"/>
        <v>.</v>
      </c>
      <c r="E362" s="13" t="str">
        <f>IFERROR(IF(AND(B362&lt;&gt;"",C362&lt;&gt;""),SUMIFS(Movimentos!$F$4:$F$9996,Movimentos!$D$4:$D$9996,B362,Movimentos!$C$4:$C$9996,"Entrada")-SUMIFS(Movimentos!$F$4:$F$9996,Movimentos!$D$4:$D$9996,B362,Movimentos!$C$4:$C$9996,"Saída"),""),"")</f>
        <v/>
      </c>
      <c r="F362" s="10" t="str">
        <f t="shared" si="14"/>
        <v/>
      </c>
    </row>
    <row r="363" spans="1:6" x14ac:dyDescent="0.3">
      <c r="A363" s="15" t="str">
        <f t="shared" si="13"/>
        <v>.</v>
      </c>
      <c r="E363" s="13" t="str">
        <f>IFERROR(IF(AND(B363&lt;&gt;"",C363&lt;&gt;""),SUMIFS(Movimentos!$F$4:$F$9996,Movimentos!$D$4:$D$9996,B363,Movimentos!$C$4:$C$9996,"Entrada")-SUMIFS(Movimentos!$F$4:$F$9996,Movimentos!$D$4:$D$9996,B363,Movimentos!$C$4:$C$9996,"Saída"),""),"")</f>
        <v/>
      </c>
      <c r="F363" s="10" t="str">
        <f t="shared" si="14"/>
        <v/>
      </c>
    </row>
    <row r="364" spans="1:6" x14ac:dyDescent="0.3">
      <c r="A364" s="15" t="str">
        <f t="shared" si="13"/>
        <v>.</v>
      </c>
      <c r="E364" s="13" t="str">
        <f>IFERROR(IF(AND(B364&lt;&gt;"",C364&lt;&gt;""),SUMIFS(Movimentos!$F$4:$F$9996,Movimentos!$D$4:$D$9996,B364,Movimentos!$C$4:$C$9996,"Entrada")-SUMIFS(Movimentos!$F$4:$F$9996,Movimentos!$D$4:$D$9996,B364,Movimentos!$C$4:$C$9996,"Saída"),""),"")</f>
        <v/>
      </c>
      <c r="F364" s="10" t="str">
        <f t="shared" si="14"/>
        <v/>
      </c>
    </row>
    <row r="365" spans="1:6" x14ac:dyDescent="0.3">
      <c r="A365" s="15" t="str">
        <f t="shared" si="13"/>
        <v>.</v>
      </c>
      <c r="E365" s="13" t="str">
        <f>IFERROR(IF(AND(B365&lt;&gt;"",C365&lt;&gt;""),SUMIFS(Movimentos!$F$4:$F$9996,Movimentos!$D$4:$D$9996,B365,Movimentos!$C$4:$C$9996,"Entrada")-SUMIFS(Movimentos!$F$4:$F$9996,Movimentos!$D$4:$D$9996,B365,Movimentos!$C$4:$C$9996,"Saída"),""),"")</f>
        <v/>
      </c>
      <c r="F365" s="10" t="str">
        <f t="shared" si="14"/>
        <v/>
      </c>
    </row>
    <row r="366" spans="1:6" x14ac:dyDescent="0.3">
      <c r="A366" s="15" t="str">
        <f t="shared" si="13"/>
        <v>.</v>
      </c>
      <c r="E366" s="13" t="str">
        <f>IFERROR(IF(AND(B366&lt;&gt;"",C366&lt;&gt;""),SUMIFS(Movimentos!$F$4:$F$9996,Movimentos!$D$4:$D$9996,B366,Movimentos!$C$4:$C$9996,"Entrada")-SUMIFS(Movimentos!$F$4:$F$9996,Movimentos!$D$4:$D$9996,B366,Movimentos!$C$4:$C$9996,"Saída"),""),"")</f>
        <v/>
      </c>
      <c r="F366" s="10" t="str">
        <f t="shared" si="14"/>
        <v/>
      </c>
    </row>
    <row r="367" spans="1:6" x14ac:dyDescent="0.3">
      <c r="A367" s="15" t="str">
        <f t="shared" si="13"/>
        <v>.</v>
      </c>
      <c r="E367" s="13" t="str">
        <f>IFERROR(IF(AND(B367&lt;&gt;"",C367&lt;&gt;""),SUMIFS(Movimentos!$F$4:$F$9996,Movimentos!$D$4:$D$9996,B367,Movimentos!$C$4:$C$9996,"Entrada")-SUMIFS(Movimentos!$F$4:$F$9996,Movimentos!$D$4:$D$9996,B367,Movimentos!$C$4:$C$9996,"Saída"),""),"")</f>
        <v/>
      </c>
      <c r="F367" s="10" t="str">
        <f t="shared" si="14"/>
        <v/>
      </c>
    </row>
    <row r="368" spans="1:6" x14ac:dyDescent="0.3">
      <c r="A368" s="15" t="str">
        <f t="shared" si="13"/>
        <v>.</v>
      </c>
      <c r="E368" s="13" t="str">
        <f>IFERROR(IF(AND(B368&lt;&gt;"",C368&lt;&gt;""),SUMIFS(Movimentos!$F$4:$F$9996,Movimentos!$D$4:$D$9996,B368,Movimentos!$C$4:$C$9996,"Entrada")-SUMIFS(Movimentos!$F$4:$F$9996,Movimentos!$D$4:$D$9996,B368,Movimentos!$C$4:$C$9996,"Saída"),""),"")</f>
        <v/>
      </c>
      <c r="F368" s="10" t="str">
        <f t="shared" si="14"/>
        <v/>
      </c>
    </row>
    <row r="369" spans="1:6" x14ac:dyDescent="0.3">
      <c r="A369" s="15" t="str">
        <f t="shared" si="13"/>
        <v>.</v>
      </c>
      <c r="E369" s="13" t="str">
        <f>IFERROR(IF(AND(B369&lt;&gt;"",C369&lt;&gt;""),SUMIFS(Movimentos!$F$4:$F$9996,Movimentos!$D$4:$D$9996,B369,Movimentos!$C$4:$C$9996,"Entrada")-SUMIFS(Movimentos!$F$4:$F$9996,Movimentos!$D$4:$D$9996,B369,Movimentos!$C$4:$C$9996,"Saída"),""),"")</f>
        <v/>
      </c>
      <c r="F369" s="10" t="str">
        <f t="shared" si="14"/>
        <v/>
      </c>
    </row>
    <row r="370" spans="1:6" x14ac:dyDescent="0.3">
      <c r="A370" s="15" t="str">
        <f t="shared" si="13"/>
        <v>.</v>
      </c>
      <c r="E370" s="13" t="str">
        <f>IFERROR(IF(AND(B370&lt;&gt;"",C370&lt;&gt;""),SUMIFS(Movimentos!$F$4:$F$9996,Movimentos!$D$4:$D$9996,B370,Movimentos!$C$4:$C$9996,"Entrada")-SUMIFS(Movimentos!$F$4:$F$9996,Movimentos!$D$4:$D$9996,B370,Movimentos!$C$4:$C$9996,"Saída"),""),"")</f>
        <v/>
      </c>
      <c r="F370" s="10" t="str">
        <f t="shared" si="14"/>
        <v/>
      </c>
    </row>
    <row r="371" spans="1:6" x14ac:dyDescent="0.3">
      <c r="A371" s="15" t="str">
        <f t="shared" si="13"/>
        <v>.</v>
      </c>
      <c r="E371" s="13" t="str">
        <f>IFERROR(IF(AND(B371&lt;&gt;"",C371&lt;&gt;""),SUMIFS(Movimentos!$F$4:$F$9996,Movimentos!$D$4:$D$9996,B371,Movimentos!$C$4:$C$9996,"Entrada")-SUMIFS(Movimentos!$F$4:$F$9996,Movimentos!$D$4:$D$9996,B371,Movimentos!$C$4:$C$9996,"Saída"),""),"")</f>
        <v/>
      </c>
      <c r="F371" s="10" t="str">
        <f t="shared" si="14"/>
        <v/>
      </c>
    </row>
    <row r="372" spans="1:6" x14ac:dyDescent="0.3">
      <c r="A372" s="15" t="str">
        <f t="shared" si="13"/>
        <v>.</v>
      </c>
      <c r="E372" s="13" t="str">
        <f>IFERROR(IF(AND(B372&lt;&gt;"",C372&lt;&gt;""),SUMIFS(Movimentos!$F$4:$F$9996,Movimentos!$D$4:$D$9996,B372,Movimentos!$C$4:$C$9996,"Entrada")-SUMIFS(Movimentos!$F$4:$F$9996,Movimentos!$D$4:$D$9996,B372,Movimentos!$C$4:$C$9996,"Saída"),""),"")</f>
        <v/>
      </c>
      <c r="F372" s="10" t="str">
        <f t="shared" si="14"/>
        <v/>
      </c>
    </row>
    <row r="373" spans="1:6" x14ac:dyDescent="0.3">
      <c r="A373" s="15" t="str">
        <f t="shared" si="13"/>
        <v>.</v>
      </c>
      <c r="E373" s="13" t="str">
        <f>IFERROR(IF(AND(B373&lt;&gt;"",C373&lt;&gt;""),SUMIFS(Movimentos!$F$4:$F$9996,Movimentos!$D$4:$D$9996,B373,Movimentos!$C$4:$C$9996,"Entrada")-SUMIFS(Movimentos!$F$4:$F$9996,Movimentos!$D$4:$D$9996,B373,Movimentos!$C$4:$C$9996,"Saída"),""),"")</f>
        <v/>
      </c>
      <c r="F373" s="10" t="str">
        <f t="shared" si="14"/>
        <v/>
      </c>
    </row>
    <row r="374" spans="1:6" x14ac:dyDescent="0.3">
      <c r="A374" s="15" t="str">
        <f t="shared" si="13"/>
        <v>.</v>
      </c>
      <c r="E374" s="13" t="str">
        <f>IFERROR(IF(AND(B374&lt;&gt;"",C374&lt;&gt;""),SUMIFS(Movimentos!$F$4:$F$9996,Movimentos!$D$4:$D$9996,B374,Movimentos!$C$4:$C$9996,"Entrada")-SUMIFS(Movimentos!$F$4:$F$9996,Movimentos!$D$4:$D$9996,B374,Movimentos!$C$4:$C$9996,"Saída"),""),"")</f>
        <v/>
      </c>
      <c r="F374" s="10" t="str">
        <f t="shared" si="14"/>
        <v/>
      </c>
    </row>
    <row r="375" spans="1:6" x14ac:dyDescent="0.3">
      <c r="A375" s="15" t="str">
        <f t="shared" si="13"/>
        <v>.</v>
      </c>
      <c r="E375" s="13" t="str">
        <f>IFERROR(IF(AND(B375&lt;&gt;"",C375&lt;&gt;""),SUMIFS(Movimentos!$F$4:$F$9996,Movimentos!$D$4:$D$9996,B375,Movimentos!$C$4:$C$9996,"Entrada")-SUMIFS(Movimentos!$F$4:$F$9996,Movimentos!$D$4:$D$9996,B375,Movimentos!$C$4:$C$9996,"Saída"),""),"")</f>
        <v/>
      </c>
      <c r="F375" s="10" t="str">
        <f t="shared" si="14"/>
        <v/>
      </c>
    </row>
    <row r="376" spans="1:6" x14ac:dyDescent="0.3">
      <c r="A376" s="15" t="str">
        <f t="shared" si="13"/>
        <v>.</v>
      </c>
      <c r="E376" s="13" t="str">
        <f>IFERROR(IF(AND(B376&lt;&gt;"",C376&lt;&gt;""),SUMIFS(Movimentos!$F$4:$F$9996,Movimentos!$D$4:$D$9996,B376,Movimentos!$C$4:$C$9996,"Entrada")-SUMIFS(Movimentos!$F$4:$F$9996,Movimentos!$D$4:$D$9996,B376,Movimentos!$C$4:$C$9996,"Saída"),""),"")</f>
        <v/>
      </c>
      <c r="F376" s="10" t="str">
        <f t="shared" si="14"/>
        <v/>
      </c>
    </row>
    <row r="377" spans="1:6" x14ac:dyDescent="0.3">
      <c r="A377" s="15" t="str">
        <f t="shared" si="13"/>
        <v>.</v>
      </c>
      <c r="E377" s="13" t="str">
        <f>IFERROR(IF(AND(B377&lt;&gt;"",C377&lt;&gt;""),SUMIFS(Movimentos!$F$4:$F$9996,Movimentos!$D$4:$D$9996,B377,Movimentos!$C$4:$C$9996,"Entrada")-SUMIFS(Movimentos!$F$4:$F$9996,Movimentos!$D$4:$D$9996,B377,Movimentos!$C$4:$C$9996,"Saída"),""),"")</f>
        <v/>
      </c>
      <c r="F377" s="10" t="str">
        <f t="shared" si="14"/>
        <v/>
      </c>
    </row>
    <row r="378" spans="1:6" x14ac:dyDescent="0.3">
      <c r="A378" s="15" t="str">
        <f t="shared" si="13"/>
        <v>.</v>
      </c>
      <c r="E378" s="13" t="str">
        <f>IFERROR(IF(AND(B378&lt;&gt;"",C378&lt;&gt;""),SUMIFS(Movimentos!$F$4:$F$9996,Movimentos!$D$4:$D$9996,B378,Movimentos!$C$4:$C$9996,"Entrada")-SUMIFS(Movimentos!$F$4:$F$9996,Movimentos!$D$4:$D$9996,B378,Movimentos!$C$4:$C$9996,"Saída"),""),"")</f>
        <v/>
      </c>
      <c r="F378" s="10" t="str">
        <f t="shared" si="14"/>
        <v/>
      </c>
    </row>
    <row r="379" spans="1:6" x14ac:dyDescent="0.3">
      <c r="A379" s="15" t="str">
        <f t="shared" si="13"/>
        <v>.</v>
      </c>
      <c r="E379" s="13" t="str">
        <f>IFERROR(IF(AND(B379&lt;&gt;"",C379&lt;&gt;""),SUMIFS(Movimentos!$F$4:$F$9996,Movimentos!$D$4:$D$9996,B379,Movimentos!$C$4:$C$9996,"Entrada")-SUMIFS(Movimentos!$F$4:$F$9996,Movimentos!$D$4:$D$9996,B379,Movimentos!$C$4:$C$9996,"Saída"),""),"")</f>
        <v/>
      </c>
      <c r="F379" s="10" t="str">
        <f t="shared" si="14"/>
        <v/>
      </c>
    </row>
    <row r="380" spans="1:6" x14ac:dyDescent="0.3">
      <c r="A380" s="15" t="str">
        <f t="shared" si="13"/>
        <v>.</v>
      </c>
      <c r="E380" s="13" t="str">
        <f>IFERROR(IF(AND(B380&lt;&gt;"",C380&lt;&gt;""),SUMIFS(Movimentos!$F$4:$F$9996,Movimentos!$D$4:$D$9996,B380,Movimentos!$C$4:$C$9996,"Entrada")-SUMIFS(Movimentos!$F$4:$F$9996,Movimentos!$D$4:$D$9996,B380,Movimentos!$C$4:$C$9996,"Saída"),""),"")</f>
        <v/>
      </c>
      <c r="F380" s="10" t="str">
        <f t="shared" si="14"/>
        <v/>
      </c>
    </row>
    <row r="381" spans="1:6" x14ac:dyDescent="0.3">
      <c r="A381" s="15" t="str">
        <f t="shared" si="13"/>
        <v>.</v>
      </c>
      <c r="E381" s="13" t="str">
        <f>IFERROR(IF(AND(B381&lt;&gt;"",C381&lt;&gt;""),SUMIFS(Movimentos!$F$4:$F$9996,Movimentos!$D$4:$D$9996,B381,Movimentos!$C$4:$C$9996,"Entrada")-SUMIFS(Movimentos!$F$4:$F$9996,Movimentos!$D$4:$D$9996,B381,Movimentos!$C$4:$C$9996,"Saída"),""),"")</f>
        <v/>
      </c>
      <c r="F381" s="10" t="str">
        <f t="shared" si="14"/>
        <v/>
      </c>
    </row>
    <row r="382" spans="1:6" x14ac:dyDescent="0.3">
      <c r="A382" s="15" t="str">
        <f t="shared" si="13"/>
        <v>.</v>
      </c>
      <c r="E382" s="13" t="str">
        <f>IFERROR(IF(AND(B382&lt;&gt;"",C382&lt;&gt;""),SUMIFS(Movimentos!$F$4:$F$9996,Movimentos!$D$4:$D$9996,B382,Movimentos!$C$4:$C$9996,"Entrada")-SUMIFS(Movimentos!$F$4:$F$9996,Movimentos!$D$4:$D$9996,B382,Movimentos!$C$4:$C$9996,"Saída"),""),"")</f>
        <v/>
      </c>
      <c r="F382" s="10" t="str">
        <f t="shared" si="14"/>
        <v/>
      </c>
    </row>
    <row r="383" spans="1:6" x14ac:dyDescent="0.3">
      <c r="A383" s="15" t="str">
        <f t="shared" si="13"/>
        <v>.</v>
      </c>
      <c r="E383" s="13" t="str">
        <f>IFERROR(IF(AND(B383&lt;&gt;"",C383&lt;&gt;""),SUMIFS(Movimentos!$F$4:$F$9996,Movimentos!$D$4:$D$9996,B383,Movimentos!$C$4:$C$9996,"Entrada")-SUMIFS(Movimentos!$F$4:$F$9996,Movimentos!$D$4:$D$9996,B383,Movimentos!$C$4:$C$9996,"Saída"),""),"")</f>
        <v/>
      </c>
      <c r="F383" s="10" t="str">
        <f t="shared" si="14"/>
        <v/>
      </c>
    </row>
    <row r="384" spans="1:6" x14ac:dyDescent="0.3">
      <c r="A384" s="15" t="str">
        <f t="shared" ref="A384:A447" si="15">IF(F384="Saldo zerado",0,IF(F384="Saldo abaixo do mínimo",1,IF(F384="Saldo disponível",2,".")))</f>
        <v>.</v>
      </c>
      <c r="E384" s="13" t="str">
        <f>IFERROR(IF(AND(B384&lt;&gt;"",C384&lt;&gt;""),SUMIFS(Movimentos!$F$4:$F$9996,Movimentos!$D$4:$D$9996,B384,Movimentos!$C$4:$C$9996,"Entrada")-SUMIFS(Movimentos!$F$4:$F$9996,Movimentos!$D$4:$D$9996,B384,Movimentos!$C$4:$C$9996,"Saída"),""),"")</f>
        <v/>
      </c>
      <c r="F384" s="10" t="str">
        <f t="shared" si="14"/>
        <v/>
      </c>
    </row>
    <row r="385" spans="1:6" x14ac:dyDescent="0.3">
      <c r="A385" s="15" t="str">
        <f t="shared" si="15"/>
        <v>.</v>
      </c>
      <c r="E385" s="13" t="str">
        <f>IFERROR(IF(AND(B385&lt;&gt;"",C385&lt;&gt;""),SUMIFS(Movimentos!$F$4:$F$9996,Movimentos!$D$4:$D$9996,B385,Movimentos!$C$4:$C$9996,"Entrada")-SUMIFS(Movimentos!$F$4:$F$9996,Movimentos!$D$4:$D$9996,B385,Movimentos!$C$4:$C$9996,"Saída"),""),"")</f>
        <v/>
      </c>
      <c r="F385" s="10" t="str">
        <f t="shared" si="14"/>
        <v/>
      </c>
    </row>
    <row r="386" spans="1:6" x14ac:dyDescent="0.3">
      <c r="A386" s="15" t="str">
        <f t="shared" si="15"/>
        <v>.</v>
      </c>
      <c r="E386" s="13" t="str">
        <f>IFERROR(IF(AND(B386&lt;&gt;"",C386&lt;&gt;""),SUMIFS(Movimentos!$F$4:$F$9996,Movimentos!$D$4:$D$9996,B386,Movimentos!$C$4:$C$9996,"Entrada")-SUMIFS(Movimentos!$F$4:$F$9996,Movimentos!$D$4:$D$9996,B386,Movimentos!$C$4:$C$9996,"Saída"),""),"")</f>
        <v/>
      </c>
      <c r="F386" s="10" t="str">
        <f t="shared" si="14"/>
        <v/>
      </c>
    </row>
    <row r="387" spans="1:6" x14ac:dyDescent="0.3">
      <c r="A387" s="15" t="str">
        <f t="shared" si="15"/>
        <v>.</v>
      </c>
      <c r="E387" s="13" t="str">
        <f>IFERROR(IF(AND(B387&lt;&gt;"",C387&lt;&gt;""),SUMIFS(Movimentos!$F$4:$F$9996,Movimentos!$D$4:$D$9996,B387,Movimentos!$C$4:$C$9996,"Entrada")-SUMIFS(Movimentos!$F$4:$F$9996,Movimentos!$D$4:$D$9996,B387,Movimentos!$C$4:$C$9996,"Saída"),""),"")</f>
        <v/>
      </c>
      <c r="F387" s="10" t="str">
        <f t="shared" si="14"/>
        <v/>
      </c>
    </row>
    <row r="388" spans="1:6" x14ac:dyDescent="0.3">
      <c r="A388" s="15" t="str">
        <f t="shared" si="15"/>
        <v>.</v>
      </c>
      <c r="E388" s="13" t="str">
        <f>IFERROR(IF(AND(B388&lt;&gt;"",C388&lt;&gt;""),SUMIFS(Movimentos!$F$4:$F$9996,Movimentos!$D$4:$D$9996,B388,Movimentos!$C$4:$C$9996,"Entrada")-SUMIFS(Movimentos!$F$4:$F$9996,Movimentos!$D$4:$D$9996,B388,Movimentos!$C$4:$C$9996,"Saída"),""),"")</f>
        <v/>
      </c>
      <c r="F388" s="10" t="str">
        <f t="shared" si="14"/>
        <v/>
      </c>
    </row>
    <row r="389" spans="1:6" x14ac:dyDescent="0.3">
      <c r="A389" s="15" t="str">
        <f t="shared" si="15"/>
        <v>.</v>
      </c>
      <c r="E389" s="13" t="str">
        <f>IFERROR(IF(AND(B389&lt;&gt;"",C389&lt;&gt;""),SUMIFS(Movimentos!$F$4:$F$9996,Movimentos!$D$4:$D$9996,B389,Movimentos!$C$4:$C$9996,"Entrada")-SUMIFS(Movimentos!$F$4:$F$9996,Movimentos!$D$4:$D$9996,B389,Movimentos!$C$4:$C$9996,"Saída"),""),"")</f>
        <v/>
      </c>
      <c r="F389" s="10" t="str">
        <f t="shared" si="14"/>
        <v/>
      </c>
    </row>
    <row r="390" spans="1:6" x14ac:dyDescent="0.3">
      <c r="A390" s="15" t="str">
        <f t="shared" si="15"/>
        <v>.</v>
      </c>
      <c r="E390" s="13" t="str">
        <f>IFERROR(IF(AND(B390&lt;&gt;"",C390&lt;&gt;""),SUMIFS(Movimentos!$F$4:$F$9996,Movimentos!$D$4:$D$9996,B390,Movimentos!$C$4:$C$9996,"Entrada")-SUMIFS(Movimentos!$F$4:$F$9996,Movimentos!$D$4:$D$9996,B390,Movimentos!$C$4:$C$9996,"Saída"),""),"")</f>
        <v/>
      </c>
      <c r="F390" s="10" t="str">
        <f t="shared" si="14"/>
        <v/>
      </c>
    </row>
    <row r="391" spans="1:6" x14ac:dyDescent="0.3">
      <c r="A391" s="15" t="str">
        <f t="shared" si="15"/>
        <v>.</v>
      </c>
      <c r="E391" s="13" t="str">
        <f>IFERROR(IF(AND(B391&lt;&gt;"",C391&lt;&gt;""),SUMIFS(Movimentos!$F$4:$F$9996,Movimentos!$D$4:$D$9996,B391,Movimentos!$C$4:$C$9996,"Entrada")-SUMIFS(Movimentos!$F$4:$F$9996,Movimentos!$D$4:$D$9996,B391,Movimentos!$C$4:$C$9996,"Saída"),""),"")</f>
        <v/>
      </c>
      <c r="F391" s="10" t="str">
        <f t="shared" si="14"/>
        <v/>
      </c>
    </row>
    <row r="392" spans="1:6" x14ac:dyDescent="0.3">
      <c r="A392" s="15" t="str">
        <f t="shared" si="15"/>
        <v>.</v>
      </c>
      <c r="E392" s="13" t="str">
        <f>IFERROR(IF(AND(B392&lt;&gt;"",C392&lt;&gt;""),SUMIFS(Movimentos!$F$4:$F$9996,Movimentos!$D$4:$D$9996,B392,Movimentos!$C$4:$C$9996,"Entrada")-SUMIFS(Movimentos!$F$4:$F$9996,Movimentos!$D$4:$D$9996,B392,Movimentos!$C$4:$C$9996,"Saída"),""),"")</f>
        <v/>
      </c>
      <c r="F392" s="10" t="str">
        <f t="shared" si="14"/>
        <v/>
      </c>
    </row>
    <row r="393" spans="1:6" x14ac:dyDescent="0.3">
      <c r="A393" s="15" t="str">
        <f t="shared" si="15"/>
        <v>.</v>
      </c>
      <c r="E393" s="13" t="str">
        <f>IFERROR(IF(AND(B393&lt;&gt;"",C393&lt;&gt;""),SUMIFS(Movimentos!$F$4:$F$9996,Movimentos!$D$4:$D$9996,B393,Movimentos!$C$4:$C$9996,"Entrada")-SUMIFS(Movimentos!$F$4:$F$9996,Movimentos!$D$4:$D$9996,B393,Movimentos!$C$4:$C$9996,"Saída"),""),"")</f>
        <v/>
      </c>
      <c r="F393" s="10" t="str">
        <f t="shared" si="14"/>
        <v/>
      </c>
    </row>
    <row r="394" spans="1:6" x14ac:dyDescent="0.3">
      <c r="A394" s="15" t="str">
        <f t="shared" si="15"/>
        <v>.</v>
      </c>
      <c r="E394" s="13" t="str">
        <f>IFERROR(IF(AND(B394&lt;&gt;"",C394&lt;&gt;""),SUMIFS(Movimentos!$F$4:$F$9996,Movimentos!$D$4:$D$9996,B394,Movimentos!$C$4:$C$9996,"Entrada")-SUMIFS(Movimentos!$F$4:$F$9996,Movimentos!$D$4:$D$9996,B394,Movimentos!$C$4:$C$9996,"Saída"),""),"")</f>
        <v/>
      </c>
      <c r="F394" s="10" t="str">
        <f t="shared" si="14"/>
        <v/>
      </c>
    </row>
    <row r="395" spans="1:6" x14ac:dyDescent="0.3">
      <c r="A395" s="15" t="str">
        <f t="shared" si="15"/>
        <v>.</v>
      </c>
      <c r="E395" s="13" t="str">
        <f>IFERROR(IF(AND(B395&lt;&gt;"",C395&lt;&gt;""),SUMIFS(Movimentos!$F$4:$F$9996,Movimentos!$D$4:$D$9996,B395,Movimentos!$C$4:$C$9996,"Entrada")-SUMIFS(Movimentos!$F$4:$F$9996,Movimentos!$D$4:$D$9996,B395,Movimentos!$C$4:$C$9996,"Saída"),""),"")</f>
        <v/>
      </c>
      <c r="F395" s="10" t="str">
        <f t="shared" si="14"/>
        <v/>
      </c>
    </row>
    <row r="396" spans="1:6" x14ac:dyDescent="0.3">
      <c r="A396" s="15" t="str">
        <f t="shared" si="15"/>
        <v>.</v>
      </c>
      <c r="E396" s="13" t="str">
        <f>IFERROR(IF(AND(B396&lt;&gt;"",C396&lt;&gt;""),SUMIFS(Movimentos!$F$4:$F$9996,Movimentos!$D$4:$D$9996,B396,Movimentos!$C$4:$C$9996,"Entrada")-SUMIFS(Movimentos!$F$4:$F$9996,Movimentos!$D$4:$D$9996,B396,Movimentos!$C$4:$C$9996,"Saída"),""),"")</f>
        <v/>
      </c>
      <c r="F396" s="10" t="str">
        <f t="shared" si="14"/>
        <v/>
      </c>
    </row>
    <row r="397" spans="1:6" x14ac:dyDescent="0.3">
      <c r="A397" s="15" t="str">
        <f t="shared" si="15"/>
        <v>.</v>
      </c>
      <c r="E397" s="13" t="str">
        <f>IFERROR(IF(AND(B397&lt;&gt;"",C397&lt;&gt;""),SUMIFS(Movimentos!$F$4:$F$9996,Movimentos!$D$4:$D$9996,B397,Movimentos!$C$4:$C$9996,"Entrada")-SUMIFS(Movimentos!$F$4:$F$9996,Movimentos!$D$4:$D$9996,B397,Movimentos!$C$4:$C$9996,"Saída"),""),"")</f>
        <v/>
      </c>
      <c r="F397" s="10" t="str">
        <f t="shared" si="14"/>
        <v/>
      </c>
    </row>
    <row r="398" spans="1:6" x14ac:dyDescent="0.3">
      <c r="A398" s="15" t="str">
        <f t="shared" si="15"/>
        <v>.</v>
      </c>
      <c r="E398" s="13" t="str">
        <f>IFERROR(IF(AND(B398&lt;&gt;"",C398&lt;&gt;""),SUMIFS(Movimentos!$F$4:$F$9996,Movimentos!$D$4:$D$9996,B398,Movimentos!$C$4:$C$9996,"Entrada")-SUMIFS(Movimentos!$F$4:$F$9996,Movimentos!$D$4:$D$9996,B398,Movimentos!$C$4:$C$9996,"Saída"),""),"")</f>
        <v/>
      </c>
      <c r="F398" s="10" t="str">
        <f t="shared" si="14"/>
        <v/>
      </c>
    </row>
    <row r="399" spans="1:6" x14ac:dyDescent="0.3">
      <c r="A399" s="15" t="str">
        <f t="shared" si="15"/>
        <v>.</v>
      </c>
      <c r="E399" s="13" t="str">
        <f>IFERROR(IF(AND(B399&lt;&gt;"",C399&lt;&gt;""),SUMIFS(Movimentos!$F$4:$F$9996,Movimentos!$D$4:$D$9996,B399,Movimentos!$C$4:$C$9996,"Entrada")-SUMIFS(Movimentos!$F$4:$F$9996,Movimentos!$D$4:$D$9996,B399,Movimentos!$C$4:$C$9996,"Saída"),""),"")</f>
        <v/>
      </c>
      <c r="F399" s="10" t="str">
        <f t="shared" si="14"/>
        <v/>
      </c>
    </row>
    <row r="400" spans="1:6" x14ac:dyDescent="0.3">
      <c r="A400" s="15" t="str">
        <f t="shared" si="15"/>
        <v>.</v>
      </c>
      <c r="E400" s="13" t="str">
        <f>IFERROR(IF(AND(B400&lt;&gt;"",C400&lt;&gt;""),SUMIFS(Movimentos!$F$4:$F$9996,Movimentos!$D$4:$D$9996,B400,Movimentos!$C$4:$C$9996,"Entrada")-SUMIFS(Movimentos!$F$4:$F$9996,Movimentos!$D$4:$D$9996,B400,Movimentos!$C$4:$C$9996,"Saída"),""),"")</f>
        <v/>
      </c>
      <c r="F400" s="10" t="str">
        <f t="shared" si="14"/>
        <v/>
      </c>
    </row>
    <row r="401" spans="1:6" x14ac:dyDescent="0.3">
      <c r="A401" s="15" t="str">
        <f t="shared" si="15"/>
        <v>.</v>
      </c>
      <c r="E401" s="13" t="str">
        <f>IFERROR(IF(AND(B401&lt;&gt;"",C401&lt;&gt;""),SUMIFS(Movimentos!$F$4:$F$9996,Movimentos!$D$4:$D$9996,B401,Movimentos!$C$4:$C$9996,"Entrada")-SUMIFS(Movimentos!$F$4:$F$9996,Movimentos!$D$4:$D$9996,B401,Movimentos!$C$4:$C$9996,"Saída"),""),"")</f>
        <v/>
      </c>
      <c r="F401" s="10" t="str">
        <f t="shared" si="14"/>
        <v/>
      </c>
    </row>
    <row r="402" spans="1:6" x14ac:dyDescent="0.3">
      <c r="A402" s="15" t="str">
        <f t="shared" si="15"/>
        <v>.</v>
      </c>
      <c r="E402" s="13" t="str">
        <f>IFERROR(IF(AND(B402&lt;&gt;"",C402&lt;&gt;""),SUMIFS(Movimentos!$F$4:$F$9996,Movimentos!$D$4:$D$9996,B402,Movimentos!$C$4:$C$9996,"Entrada")-SUMIFS(Movimentos!$F$4:$F$9996,Movimentos!$D$4:$D$9996,B402,Movimentos!$C$4:$C$9996,"Saída"),""),"")</f>
        <v/>
      </c>
      <c r="F402" s="10" t="str">
        <f t="shared" si="14"/>
        <v/>
      </c>
    </row>
    <row r="403" spans="1:6" x14ac:dyDescent="0.3">
      <c r="A403" s="15" t="str">
        <f t="shared" si="15"/>
        <v>.</v>
      </c>
      <c r="E403" s="13" t="str">
        <f>IFERROR(IF(AND(B403&lt;&gt;"",C403&lt;&gt;""),SUMIFS(Movimentos!$F$4:$F$9996,Movimentos!$D$4:$D$9996,B403,Movimentos!$C$4:$C$9996,"Entrada")-SUMIFS(Movimentos!$F$4:$F$9996,Movimentos!$D$4:$D$9996,B403,Movimentos!$C$4:$C$9996,"Saída"),""),"")</f>
        <v/>
      </c>
      <c r="F403" s="10" t="str">
        <f t="shared" si="14"/>
        <v/>
      </c>
    </row>
    <row r="404" spans="1:6" x14ac:dyDescent="0.3">
      <c r="A404" s="15" t="str">
        <f t="shared" si="15"/>
        <v>.</v>
      </c>
      <c r="E404" s="13" t="str">
        <f>IFERROR(IF(AND(B404&lt;&gt;"",C404&lt;&gt;""),SUMIFS(Movimentos!$F$4:$F$9996,Movimentos!$D$4:$D$9996,B404,Movimentos!$C$4:$C$9996,"Entrada")-SUMIFS(Movimentos!$F$4:$F$9996,Movimentos!$D$4:$D$9996,B404,Movimentos!$C$4:$C$9996,"Saída"),""),"")</f>
        <v/>
      </c>
      <c r="F404" s="10" t="str">
        <f t="shared" si="14"/>
        <v/>
      </c>
    </row>
    <row r="405" spans="1:6" x14ac:dyDescent="0.3">
      <c r="A405" s="15" t="str">
        <f t="shared" si="15"/>
        <v>.</v>
      </c>
      <c r="E405" s="13" t="str">
        <f>IFERROR(IF(AND(B405&lt;&gt;"",C405&lt;&gt;""),SUMIFS(Movimentos!$F$4:$F$9996,Movimentos!$D$4:$D$9996,B405,Movimentos!$C$4:$C$9996,"Entrada")-SUMIFS(Movimentos!$F$4:$F$9996,Movimentos!$D$4:$D$9996,B405,Movimentos!$C$4:$C$9996,"Saída"),""),"")</f>
        <v/>
      </c>
      <c r="F405" s="10" t="str">
        <f t="shared" si="14"/>
        <v/>
      </c>
    </row>
    <row r="406" spans="1:6" x14ac:dyDescent="0.3">
      <c r="A406" s="15" t="str">
        <f t="shared" si="15"/>
        <v>.</v>
      </c>
      <c r="E406" s="13" t="str">
        <f>IFERROR(IF(AND(B406&lt;&gt;"",C406&lt;&gt;""),SUMIFS(Movimentos!$F$4:$F$9996,Movimentos!$D$4:$D$9996,B406,Movimentos!$C$4:$C$9996,"Entrada")-SUMIFS(Movimentos!$F$4:$F$9996,Movimentos!$D$4:$D$9996,B406,Movimentos!$C$4:$C$9996,"Saída"),""),"")</f>
        <v/>
      </c>
      <c r="F406" s="10" t="str">
        <f t="shared" si="14"/>
        <v/>
      </c>
    </row>
    <row r="407" spans="1:6" x14ac:dyDescent="0.3">
      <c r="A407" s="15" t="str">
        <f t="shared" si="15"/>
        <v>.</v>
      </c>
      <c r="E407" s="13" t="str">
        <f>IFERROR(IF(AND(B407&lt;&gt;"",C407&lt;&gt;""),SUMIFS(Movimentos!$F$4:$F$9996,Movimentos!$D$4:$D$9996,B407,Movimentos!$C$4:$C$9996,"Entrada")-SUMIFS(Movimentos!$F$4:$F$9996,Movimentos!$D$4:$D$9996,B407,Movimentos!$C$4:$C$9996,"Saída"),""),"")</f>
        <v/>
      </c>
      <c r="F407" s="10" t="str">
        <f t="shared" ref="F407:F470" si="16">IF(AND(B407&lt;&gt;"",C407&lt;&gt;""),IF(E407=0,"Saldo zerado",IF(E407&lt;D407,"Saldo abaixo do mínimo","Saldo disponível")),"")</f>
        <v/>
      </c>
    </row>
    <row r="408" spans="1:6" x14ac:dyDescent="0.3">
      <c r="A408" s="15" t="str">
        <f t="shared" si="15"/>
        <v>.</v>
      </c>
      <c r="E408" s="13" t="str">
        <f>IFERROR(IF(AND(B408&lt;&gt;"",C408&lt;&gt;""),SUMIFS(Movimentos!$F$4:$F$9996,Movimentos!$D$4:$D$9996,B408,Movimentos!$C$4:$C$9996,"Entrada")-SUMIFS(Movimentos!$F$4:$F$9996,Movimentos!$D$4:$D$9996,B408,Movimentos!$C$4:$C$9996,"Saída"),""),"")</f>
        <v/>
      </c>
      <c r="F408" s="10" t="str">
        <f t="shared" si="16"/>
        <v/>
      </c>
    </row>
    <row r="409" spans="1:6" x14ac:dyDescent="0.3">
      <c r="A409" s="15" t="str">
        <f t="shared" si="15"/>
        <v>.</v>
      </c>
      <c r="E409" s="13" t="str">
        <f>IFERROR(IF(AND(B409&lt;&gt;"",C409&lt;&gt;""),SUMIFS(Movimentos!$F$4:$F$9996,Movimentos!$D$4:$D$9996,B409,Movimentos!$C$4:$C$9996,"Entrada")-SUMIFS(Movimentos!$F$4:$F$9996,Movimentos!$D$4:$D$9996,B409,Movimentos!$C$4:$C$9996,"Saída"),""),"")</f>
        <v/>
      </c>
      <c r="F409" s="10" t="str">
        <f t="shared" si="16"/>
        <v/>
      </c>
    </row>
    <row r="410" spans="1:6" x14ac:dyDescent="0.3">
      <c r="A410" s="15" t="str">
        <f t="shared" si="15"/>
        <v>.</v>
      </c>
      <c r="E410" s="13" t="str">
        <f>IFERROR(IF(AND(B410&lt;&gt;"",C410&lt;&gt;""),SUMIFS(Movimentos!$F$4:$F$9996,Movimentos!$D$4:$D$9996,B410,Movimentos!$C$4:$C$9996,"Entrada")-SUMIFS(Movimentos!$F$4:$F$9996,Movimentos!$D$4:$D$9996,B410,Movimentos!$C$4:$C$9996,"Saída"),""),"")</f>
        <v/>
      </c>
      <c r="F410" s="10" t="str">
        <f t="shared" si="16"/>
        <v/>
      </c>
    </row>
    <row r="411" spans="1:6" x14ac:dyDescent="0.3">
      <c r="A411" s="15" t="str">
        <f t="shared" si="15"/>
        <v>.</v>
      </c>
      <c r="E411" s="13" t="str">
        <f>IFERROR(IF(AND(B411&lt;&gt;"",C411&lt;&gt;""),SUMIFS(Movimentos!$F$4:$F$9996,Movimentos!$D$4:$D$9996,B411,Movimentos!$C$4:$C$9996,"Entrada")-SUMIFS(Movimentos!$F$4:$F$9996,Movimentos!$D$4:$D$9996,B411,Movimentos!$C$4:$C$9996,"Saída"),""),"")</f>
        <v/>
      </c>
      <c r="F411" s="10" t="str">
        <f t="shared" si="16"/>
        <v/>
      </c>
    </row>
    <row r="412" spans="1:6" x14ac:dyDescent="0.3">
      <c r="A412" s="15" t="str">
        <f t="shared" si="15"/>
        <v>.</v>
      </c>
      <c r="E412" s="13" t="str">
        <f>IFERROR(IF(AND(B412&lt;&gt;"",C412&lt;&gt;""),SUMIFS(Movimentos!$F$4:$F$9996,Movimentos!$D$4:$D$9996,B412,Movimentos!$C$4:$C$9996,"Entrada")-SUMIFS(Movimentos!$F$4:$F$9996,Movimentos!$D$4:$D$9996,B412,Movimentos!$C$4:$C$9996,"Saída"),""),"")</f>
        <v/>
      </c>
      <c r="F412" s="10" t="str">
        <f t="shared" si="16"/>
        <v/>
      </c>
    </row>
    <row r="413" spans="1:6" x14ac:dyDescent="0.3">
      <c r="A413" s="15" t="str">
        <f t="shared" si="15"/>
        <v>.</v>
      </c>
      <c r="E413" s="13" t="str">
        <f>IFERROR(IF(AND(B413&lt;&gt;"",C413&lt;&gt;""),SUMIFS(Movimentos!$F$4:$F$9996,Movimentos!$D$4:$D$9996,B413,Movimentos!$C$4:$C$9996,"Entrada")-SUMIFS(Movimentos!$F$4:$F$9996,Movimentos!$D$4:$D$9996,B413,Movimentos!$C$4:$C$9996,"Saída"),""),"")</f>
        <v/>
      </c>
      <c r="F413" s="10" t="str">
        <f t="shared" si="16"/>
        <v/>
      </c>
    </row>
    <row r="414" spans="1:6" x14ac:dyDescent="0.3">
      <c r="A414" s="15" t="str">
        <f t="shared" si="15"/>
        <v>.</v>
      </c>
      <c r="E414" s="13" t="str">
        <f>IFERROR(IF(AND(B414&lt;&gt;"",C414&lt;&gt;""),SUMIFS(Movimentos!$F$4:$F$9996,Movimentos!$D$4:$D$9996,B414,Movimentos!$C$4:$C$9996,"Entrada")-SUMIFS(Movimentos!$F$4:$F$9996,Movimentos!$D$4:$D$9996,B414,Movimentos!$C$4:$C$9996,"Saída"),""),"")</f>
        <v/>
      </c>
      <c r="F414" s="10" t="str">
        <f t="shared" si="16"/>
        <v/>
      </c>
    </row>
    <row r="415" spans="1:6" x14ac:dyDescent="0.3">
      <c r="A415" s="15" t="str">
        <f t="shared" si="15"/>
        <v>.</v>
      </c>
      <c r="E415" s="13" t="str">
        <f>IFERROR(IF(AND(B415&lt;&gt;"",C415&lt;&gt;""),SUMIFS(Movimentos!$F$4:$F$9996,Movimentos!$D$4:$D$9996,B415,Movimentos!$C$4:$C$9996,"Entrada")-SUMIFS(Movimentos!$F$4:$F$9996,Movimentos!$D$4:$D$9996,B415,Movimentos!$C$4:$C$9996,"Saída"),""),"")</f>
        <v/>
      </c>
      <c r="F415" s="10" t="str">
        <f t="shared" si="16"/>
        <v/>
      </c>
    </row>
    <row r="416" spans="1:6" x14ac:dyDescent="0.3">
      <c r="A416" s="15" t="str">
        <f t="shared" si="15"/>
        <v>.</v>
      </c>
      <c r="E416" s="13" t="str">
        <f>IFERROR(IF(AND(B416&lt;&gt;"",C416&lt;&gt;""),SUMIFS(Movimentos!$F$4:$F$9996,Movimentos!$D$4:$D$9996,B416,Movimentos!$C$4:$C$9996,"Entrada")-SUMIFS(Movimentos!$F$4:$F$9996,Movimentos!$D$4:$D$9996,B416,Movimentos!$C$4:$C$9996,"Saída"),""),"")</f>
        <v/>
      </c>
      <c r="F416" s="10" t="str">
        <f t="shared" si="16"/>
        <v/>
      </c>
    </row>
    <row r="417" spans="1:6" x14ac:dyDescent="0.3">
      <c r="A417" s="15" t="str">
        <f t="shared" si="15"/>
        <v>.</v>
      </c>
      <c r="E417" s="13" t="str">
        <f>IFERROR(IF(AND(B417&lt;&gt;"",C417&lt;&gt;""),SUMIFS(Movimentos!$F$4:$F$9996,Movimentos!$D$4:$D$9996,B417,Movimentos!$C$4:$C$9996,"Entrada")-SUMIFS(Movimentos!$F$4:$F$9996,Movimentos!$D$4:$D$9996,B417,Movimentos!$C$4:$C$9996,"Saída"),""),"")</f>
        <v/>
      </c>
      <c r="F417" s="10" t="str">
        <f t="shared" si="16"/>
        <v/>
      </c>
    </row>
    <row r="418" spans="1:6" x14ac:dyDescent="0.3">
      <c r="A418" s="15" t="str">
        <f t="shared" si="15"/>
        <v>.</v>
      </c>
      <c r="E418" s="13" t="str">
        <f>IFERROR(IF(AND(B418&lt;&gt;"",C418&lt;&gt;""),SUMIFS(Movimentos!$F$4:$F$9996,Movimentos!$D$4:$D$9996,B418,Movimentos!$C$4:$C$9996,"Entrada")-SUMIFS(Movimentos!$F$4:$F$9996,Movimentos!$D$4:$D$9996,B418,Movimentos!$C$4:$C$9996,"Saída"),""),"")</f>
        <v/>
      </c>
      <c r="F418" s="10" t="str">
        <f t="shared" si="16"/>
        <v/>
      </c>
    </row>
    <row r="419" spans="1:6" x14ac:dyDescent="0.3">
      <c r="A419" s="15" t="str">
        <f t="shared" si="15"/>
        <v>.</v>
      </c>
      <c r="E419" s="13" t="str">
        <f>IFERROR(IF(AND(B419&lt;&gt;"",C419&lt;&gt;""),SUMIFS(Movimentos!$F$4:$F$9996,Movimentos!$D$4:$D$9996,B419,Movimentos!$C$4:$C$9996,"Entrada")-SUMIFS(Movimentos!$F$4:$F$9996,Movimentos!$D$4:$D$9996,B419,Movimentos!$C$4:$C$9996,"Saída"),""),"")</f>
        <v/>
      </c>
      <c r="F419" s="10" t="str">
        <f t="shared" si="16"/>
        <v/>
      </c>
    </row>
    <row r="420" spans="1:6" x14ac:dyDescent="0.3">
      <c r="A420" s="15" t="str">
        <f t="shared" si="15"/>
        <v>.</v>
      </c>
      <c r="E420" s="13" t="str">
        <f>IFERROR(IF(AND(B420&lt;&gt;"",C420&lt;&gt;""),SUMIFS(Movimentos!$F$4:$F$9996,Movimentos!$D$4:$D$9996,B420,Movimentos!$C$4:$C$9996,"Entrada")-SUMIFS(Movimentos!$F$4:$F$9996,Movimentos!$D$4:$D$9996,B420,Movimentos!$C$4:$C$9996,"Saída"),""),"")</f>
        <v/>
      </c>
      <c r="F420" s="10" t="str">
        <f t="shared" si="16"/>
        <v/>
      </c>
    </row>
    <row r="421" spans="1:6" x14ac:dyDescent="0.3">
      <c r="A421" s="15" t="str">
        <f t="shared" si="15"/>
        <v>.</v>
      </c>
      <c r="E421" s="13" t="str">
        <f>IFERROR(IF(AND(B421&lt;&gt;"",C421&lt;&gt;""),SUMIFS(Movimentos!$F$4:$F$9996,Movimentos!$D$4:$D$9996,B421,Movimentos!$C$4:$C$9996,"Entrada")-SUMIFS(Movimentos!$F$4:$F$9996,Movimentos!$D$4:$D$9996,B421,Movimentos!$C$4:$C$9996,"Saída"),""),"")</f>
        <v/>
      </c>
      <c r="F421" s="10" t="str">
        <f t="shared" si="16"/>
        <v/>
      </c>
    </row>
    <row r="422" spans="1:6" x14ac:dyDescent="0.3">
      <c r="A422" s="15" t="str">
        <f t="shared" si="15"/>
        <v>.</v>
      </c>
      <c r="E422" s="13" t="str">
        <f>IFERROR(IF(AND(B422&lt;&gt;"",C422&lt;&gt;""),SUMIFS(Movimentos!$F$4:$F$9996,Movimentos!$D$4:$D$9996,B422,Movimentos!$C$4:$C$9996,"Entrada")-SUMIFS(Movimentos!$F$4:$F$9996,Movimentos!$D$4:$D$9996,B422,Movimentos!$C$4:$C$9996,"Saída"),""),"")</f>
        <v/>
      </c>
      <c r="F422" s="10" t="str">
        <f t="shared" si="16"/>
        <v/>
      </c>
    </row>
    <row r="423" spans="1:6" x14ac:dyDescent="0.3">
      <c r="A423" s="15" t="str">
        <f t="shared" si="15"/>
        <v>.</v>
      </c>
      <c r="E423" s="13" t="str">
        <f>IFERROR(IF(AND(B423&lt;&gt;"",C423&lt;&gt;""),SUMIFS(Movimentos!$F$4:$F$9996,Movimentos!$D$4:$D$9996,B423,Movimentos!$C$4:$C$9996,"Entrada")-SUMIFS(Movimentos!$F$4:$F$9996,Movimentos!$D$4:$D$9996,B423,Movimentos!$C$4:$C$9996,"Saída"),""),"")</f>
        <v/>
      </c>
      <c r="F423" s="10" t="str">
        <f t="shared" si="16"/>
        <v/>
      </c>
    </row>
    <row r="424" spans="1:6" x14ac:dyDescent="0.3">
      <c r="A424" s="15" t="str">
        <f t="shared" si="15"/>
        <v>.</v>
      </c>
      <c r="E424" s="13" t="str">
        <f>IFERROR(IF(AND(B424&lt;&gt;"",C424&lt;&gt;""),SUMIFS(Movimentos!$F$4:$F$9996,Movimentos!$D$4:$D$9996,B424,Movimentos!$C$4:$C$9996,"Entrada")-SUMIFS(Movimentos!$F$4:$F$9996,Movimentos!$D$4:$D$9996,B424,Movimentos!$C$4:$C$9996,"Saída"),""),"")</f>
        <v/>
      </c>
      <c r="F424" s="10" t="str">
        <f t="shared" si="16"/>
        <v/>
      </c>
    </row>
    <row r="425" spans="1:6" x14ac:dyDescent="0.3">
      <c r="A425" s="15" t="str">
        <f t="shared" si="15"/>
        <v>.</v>
      </c>
      <c r="E425" s="13" t="str">
        <f>IFERROR(IF(AND(B425&lt;&gt;"",C425&lt;&gt;""),SUMIFS(Movimentos!$F$4:$F$9996,Movimentos!$D$4:$D$9996,B425,Movimentos!$C$4:$C$9996,"Entrada")-SUMIFS(Movimentos!$F$4:$F$9996,Movimentos!$D$4:$D$9996,B425,Movimentos!$C$4:$C$9996,"Saída"),""),"")</f>
        <v/>
      </c>
      <c r="F425" s="10" t="str">
        <f t="shared" si="16"/>
        <v/>
      </c>
    </row>
    <row r="426" spans="1:6" x14ac:dyDescent="0.3">
      <c r="A426" s="15" t="str">
        <f t="shared" si="15"/>
        <v>.</v>
      </c>
      <c r="E426" s="13" t="str">
        <f>IFERROR(IF(AND(B426&lt;&gt;"",C426&lt;&gt;""),SUMIFS(Movimentos!$F$4:$F$9996,Movimentos!$D$4:$D$9996,B426,Movimentos!$C$4:$C$9996,"Entrada")-SUMIFS(Movimentos!$F$4:$F$9996,Movimentos!$D$4:$D$9996,B426,Movimentos!$C$4:$C$9996,"Saída"),""),"")</f>
        <v/>
      </c>
      <c r="F426" s="10" t="str">
        <f t="shared" si="16"/>
        <v/>
      </c>
    </row>
    <row r="427" spans="1:6" x14ac:dyDescent="0.3">
      <c r="A427" s="15" t="str">
        <f t="shared" si="15"/>
        <v>.</v>
      </c>
      <c r="E427" s="13" t="str">
        <f>IFERROR(IF(AND(B427&lt;&gt;"",C427&lt;&gt;""),SUMIFS(Movimentos!$F$4:$F$9996,Movimentos!$D$4:$D$9996,B427,Movimentos!$C$4:$C$9996,"Entrada")-SUMIFS(Movimentos!$F$4:$F$9996,Movimentos!$D$4:$D$9996,B427,Movimentos!$C$4:$C$9996,"Saída"),""),"")</f>
        <v/>
      </c>
      <c r="F427" s="10" t="str">
        <f t="shared" si="16"/>
        <v/>
      </c>
    </row>
    <row r="428" spans="1:6" x14ac:dyDescent="0.3">
      <c r="A428" s="15" t="str">
        <f t="shared" si="15"/>
        <v>.</v>
      </c>
      <c r="E428" s="13" t="str">
        <f>IFERROR(IF(AND(B428&lt;&gt;"",C428&lt;&gt;""),SUMIFS(Movimentos!$F$4:$F$9996,Movimentos!$D$4:$D$9996,B428,Movimentos!$C$4:$C$9996,"Entrada")-SUMIFS(Movimentos!$F$4:$F$9996,Movimentos!$D$4:$D$9996,B428,Movimentos!$C$4:$C$9996,"Saída"),""),"")</f>
        <v/>
      </c>
      <c r="F428" s="10" t="str">
        <f t="shared" si="16"/>
        <v/>
      </c>
    </row>
    <row r="429" spans="1:6" x14ac:dyDescent="0.3">
      <c r="A429" s="15" t="str">
        <f t="shared" si="15"/>
        <v>.</v>
      </c>
      <c r="E429" s="13" t="str">
        <f>IFERROR(IF(AND(B429&lt;&gt;"",C429&lt;&gt;""),SUMIFS(Movimentos!$F$4:$F$9996,Movimentos!$D$4:$D$9996,B429,Movimentos!$C$4:$C$9996,"Entrada")-SUMIFS(Movimentos!$F$4:$F$9996,Movimentos!$D$4:$D$9996,B429,Movimentos!$C$4:$C$9996,"Saída"),""),"")</f>
        <v/>
      </c>
      <c r="F429" s="10" t="str">
        <f t="shared" si="16"/>
        <v/>
      </c>
    </row>
    <row r="430" spans="1:6" x14ac:dyDescent="0.3">
      <c r="A430" s="15" t="str">
        <f t="shared" si="15"/>
        <v>.</v>
      </c>
      <c r="E430" s="13" t="str">
        <f>IFERROR(IF(AND(B430&lt;&gt;"",C430&lt;&gt;""),SUMIFS(Movimentos!$F$4:$F$9996,Movimentos!$D$4:$D$9996,B430,Movimentos!$C$4:$C$9996,"Entrada")-SUMIFS(Movimentos!$F$4:$F$9996,Movimentos!$D$4:$D$9996,B430,Movimentos!$C$4:$C$9996,"Saída"),""),"")</f>
        <v/>
      </c>
      <c r="F430" s="10" t="str">
        <f t="shared" si="16"/>
        <v/>
      </c>
    </row>
    <row r="431" spans="1:6" x14ac:dyDescent="0.3">
      <c r="A431" s="15" t="str">
        <f t="shared" si="15"/>
        <v>.</v>
      </c>
      <c r="E431" s="13" t="str">
        <f>IFERROR(IF(AND(B431&lt;&gt;"",C431&lt;&gt;""),SUMIFS(Movimentos!$F$4:$F$9996,Movimentos!$D$4:$D$9996,B431,Movimentos!$C$4:$C$9996,"Entrada")-SUMIFS(Movimentos!$F$4:$F$9996,Movimentos!$D$4:$D$9996,B431,Movimentos!$C$4:$C$9996,"Saída"),""),"")</f>
        <v/>
      </c>
      <c r="F431" s="10" t="str">
        <f t="shared" si="16"/>
        <v/>
      </c>
    </row>
    <row r="432" spans="1:6" x14ac:dyDescent="0.3">
      <c r="A432" s="15" t="str">
        <f t="shared" si="15"/>
        <v>.</v>
      </c>
      <c r="E432" s="13" t="str">
        <f>IFERROR(IF(AND(B432&lt;&gt;"",C432&lt;&gt;""),SUMIFS(Movimentos!$F$4:$F$9996,Movimentos!$D$4:$D$9996,B432,Movimentos!$C$4:$C$9996,"Entrada")-SUMIFS(Movimentos!$F$4:$F$9996,Movimentos!$D$4:$D$9996,B432,Movimentos!$C$4:$C$9996,"Saída"),""),"")</f>
        <v/>
      </c>
      <c r="F432" s="10" t="str">
        <f t="shared" si="16"/>
        <v/>
      </c>
    </row>
    <row r="433" spans="1:6" x14ac:dyDescent="0.3">
      <c r="A433" s="15" t="str">
        <f t="shared" si="15"/>
        <v>.</v>
      </c>
      <c r="E433" s="13" t="str">
        <f>IFERROR(IF(AND(B433&lt;&gt;"",C433&lt;&gt;""),SUMIFS(Movimentos!$F$4:$F$9996,Movimentos!$D$4:$D$9996,B433,Movimentos!$C$4:$C$9996,"Entrada")-SUMIFS(Movimentos!$F$4:$F$9996,Movimentos!$D$4:$D$9996,B433,Movimentos!$C$4:$C$9996,"Saída"),""),"")</f>
        <v/>
      </c>
      <c r="F433" s="10" t="str">
        <f t="shared" si="16"/>
        <v/>
      </c>
    </row>
    <row r="434" spans="1:6" x14ac:dyDescent="0.3">
      <c r="A434" s="15" t="str">
        <f t="shared" si="15"/>
        <v>.</v>
      </c>
      <c r="E434" s="13" t="str">
        <f>IFERROR(IF(AND(B434&lt;&gt;"",C434&lt;&gt;""),SUMIFS(Movimentos!$F$4:$F$9996,Movimentos!$D$4:$D$9996,B434,Movimentos!$C$4:$C$9996,"Entrada")-SUMIFS(Movimentos!$F$4:$F$9996,Movimentos!$D$4:$D$9996,B434,Movimentos!$C$4:$C$9996,"Saída"),""),"")</f>
        <v/>
      </c>
      <c r="F434" s="10" t="str">
        <f t="shared" si="16"/>
        <v/>
      </c>
    </row>
    <row r="435" spans="1:6" x14ac:dyDescent="0.3">
      <c r="A435" s="15" t="str">
        <f t="shared" si="15"/>
        <v>.</v>
      </c>
      <c r="E435" s="13" t="str">
        <f>IFERROR(IF(AND(B435&lt;&gt;"",C435&lt;&gt;""),SUMIFS(Movimentos!$F$4:$F$9996,Movimentos!$D$4:$D$9996,B435,Movimentos!$C$4:$C$9996,"Entrada")-SUMIFS(Movimentos!$F$4:$F$9996,Movimentos!$D$4:$D$9996,B435,Movimentos!$C$4:$C$9996,"Saída"),""),"")</f>
        <v/>
      </c>
      <c r="F435" s="10" t="str">
        <f t="shared" si="16"/>
        <v/>
      </c>
    </row>
    <row r="436" spans="1:6" x14ac:dyDescent="0.3">
      <c r="A436" s="15" t="str">
        <f t="shared" si="15"/>
        <v>.</v>
      </c>
      <c r="E436" s="13" t="str">
        <f>IFERROR(IF(AND(B436&lt;&gt;"",C436&lt;&gt;""),SUMIFS(Movimentos!$F$4:$F$9996,Movimentos!$D$4:$D$9996,B436,Movimentos!$C$4:$C$9996,"Entrada")-SUMIFS(Movimentos!$F$4:$F$9996,Movimentos!$D$4:$D$9996,B436,Movimentos!$C$4:$C$9996,"Saída"),""),"")</f>
        <v/>
      </c>
      <c r="F436" s="10" t="str">
        <f t="shared" si="16"/>
        <v/>
      </c>
    </row>
    <row r="437" spans="1:6" x14ac:dyDescent="0.3">
      <c r="A437" s="15" t="str">
        <f t="shared" si="15"/>
        <v>.</v>
      </c>
      <c r="E437" s="13" t="str">
        <f>IFERROR(IF(AND(B437&lt;&gt;"",C437&lt;&gt;""),SUMIFS(Movimentos!$F$4:$F$9996,Movimentos!$D$4:$D$9996,B437,Movimentos!$C$4:$C$9996,"Entrada")-SUMIFS(Movimentos!$F$4:$F$9996,Movimentos!$D$4:$D$9996,B437,Movimentos!$C$4:$C$9996,"Saída"),""),"")</f>
        <v/>
      </c>
      <c r="F437" s="10" t="str">
        <f t="shared" si="16"/>
        <v/>
      </c>
    </row>
    <row r="438" spans="1:6" x14ac:dyDescent="0.3">
      <c r="A438" s="15" t="str">
        <f t="shared" si="15"/>
        <v>.</v>
      </c>
      <c r="E438" s="13" t="str">
        <f>IFERROR(IF(AND(B438&lt;&gt;"",C438&lt;&gt;""),SUMIFS(Movimentos!$F$4:$F$9996,Movimentos!$D$4:$D$9996,B438,Movimentos!$C$4:$C$9996,"Entrada")-SUMIFS(Movimentos!$F$4:$F$9996,Movimentos!$D$4:$D$9996,B438,Movimentos!$C$4:$C$9996,"Saída"),""),"")</f>
        <v/>
      </c>
      <c r="F438" s="10" t="str">
        <f t="shared" si="16"/>
        <v/>
      </c>
    </row>
    <row r="439" spans="1:6" x14ac:dyDescent="0.3">
      <c r="A439" s="15" t="str">
        <f t="shared" si="15"/>
        <v>.</v>
      </c>
      <c r="E439" s="13" t="str">
        <f>IFERROR(IF(AND(B439&lt;&gt;"",C439&lt;&gt;""),SUMIFS(Movimentos!$F$4:$F$9996,Movimentos!$D$4:$D$9996,B439,Movimentos!$C$4:$C$9996,"Entrada")-SUMIFS(Movimentos!$F$4:$F$9996,Movimentos!$D$4:$D$9996,B439,Movimentos!$C$4:$C$9996,"Saída"),""),"")</f>
        <v/>
      </c>
      <c r="F439" s="10" t="str">
        <f t="shared" si="16"/>
        <v/>
      </c>
    </row>
    <row r="440" spans="1:6" x14ac:dyDescent="0.3">
      <c r="A440" s="15" t="str">
        <f t="shared" si="15"/>
        <v>.</v>
      </c>
      <c r="E440" s="13" t="str">
        <f>IFERROR(IF(AND(B440&lt;&gt;"",C440&lt;&gt;""),SUMIFS(Movimentos!$F$4:$F$9996,Movimentos!$D$4:$D$9996,B440,Movimentos!$C$4:$C$9996,"Entrada")-SUMIFS(Movimentos!$F$4:$F$9996,Movimentos!$D$4:$D$9996,B440,Movimentos!$C$4:$C$9996,"Saída"),""),"")</f>
        <v/>
      </c>
      <c r="F440" s="10" t="str">
        <f t="shared" si="16"/>
        <v/>
      </c>
    </row>
    <row r="441" spans="1:6" x14ac:dyDescent="0.3">
      <c r="A441" s="15" t="str">
        <f t="shared" si="15"/>
        <v>.</v>
      </c>
      <c r="E441" s="13" t="str">
        <f>IFERROR(IF(AND(B441&lt;&gt;"",C441&lt;&gt;""),SUMIFS(Movimentos!$F$4:$F$9996,Movimentos!$D$4:$D$9996,B441,Movimentos!$C$4:$C$9996,"Entrada")-SUMIFS(Movimentos!$F$4:$F$9996,Movimentos!$D$4:$D$9996,B441,Movimentos!$C$4:$C$9996,"Saída"),""),"")</f>
        <v/>
      </c>
      <c r="F441" s="10" t="str">
        <f t="shared" si="16"/>
        <v/>
      </c>
    </row>
    <row r="442" spans="1:6" x14ac:dyDescent="0.3">
      <c r="A442" s="15" t="str">
        <f t="shared" si="15"/>
        <v>.</v>
      </c>
      <c r="E442" s="13" t="str">
        <f>IFERROR(IF(AND(B442&lt;&gt;"",C442&lt;&gt;""),SUMIFS(Movimentos!$F$4:$F$9996,Movimentos!$D$4:$D$9996,B442,Movimentos!$C$4:$C$9996,"Entrada")-SUMIFS(Movimentos!$F$4:$F$9996,Movimentos!$D$4:$D$9996,B442,Movimentos!$C$4:$C$9996,"Saída"),""),"")</f>
        <v/>
      </c>
      <c r="F442" s="10" t="str">
        <f t="shared" si="16"/>
        <v/>
      </c>
    </row>
    <row r="443" spans="1:6" x14ac:dyDescent="0.3">
      <c r="A443" s="15" t="str">
        <f t="shared" si="15"/>
        <v>.</v>
      </c>
      <c r="E443" s="13" t="str">
        <f>IFERROR(IF(AND(B443&lt;&gt;"",C443&lt;&gt;""),SUMIFS(Movimentos!$F$4:$F$9996,Movimentos!$D$4:$D$9996,B443,Movimentos!$C$4:$C$9996,"Entrada")-SUMIFS(Movimentos!$F$4:$F$9996,Movimentos!$D$4:$D$9996,B443,Movimentos!$C$4:$C$9996,"Saída"),""),"")</f>
        <v/>
      </c>
      <c r="F443" s="10" t="str">
        <f t="shared" si="16"/>
        <v/>
      </c>
    </row>
    <row r="444" spans="1:6" x14ac:dyDescent="0.3">
      <c r="A444" s="15" t="str">
        <f t="shared" si="15"/>
        <v>.</v>
      </c>
      <c r="E444" s="13" t="str">
        <f>IFERROR(IF(AND(B444&lt;&gt;"",C444&lt;&gt;""),SUMIFS(Movimentos!$F$4:$F$9996,Movimentos!$D$4:$D$9996,B444,Movimentos!$C$4:$C$9996,"Entrada")-SUMIFS(Movimentos!$F$4:$F$9996,Movimentos!$D$4:$D$9996,B444,Movimentos!$C$4:$C$9996,"Saída"),""),"")</f>
        <v/>
      </c>
      <c r="F444" s="10" t="str">
        <f t="shared" si="16"/>
        <v/>
      </c>
    </row>
    <row r="445" spans="1:6" x14ac:dyDescent="0.3">
      <c r="A445" s="15" t="str">
        <f t="shared" si="15"/>
        <v>.</v>
      </c>
      <c r="E445" s="13" t="str">
        <f>IFERROR(IF(AND(B445&lt;&gt;"",C445&lt;&gt;""),SUMIFS(Movimentos!$F$4:$F$9996,Movimentos!$D$4:$D$9996,B445,Movimentos!$C$4:$C$9996,"Entrada")-SUMIFS(Movimentos!$F$4:$F$9996,Movimentos!$D$4:$D$9996,B445,Movimentos!$C$4:$C$9996,"Saída"),""),"")</f>
        <v/>
      </c>
      <c r="F445" s="10" t="str">
        <f t="shared" si="16"/>
        <v/>
      </c>
    </row>
    <row r="446" spans="1:6" x14ac:dyDescent="0.3">
      <c r="A446" s="15" t="str">
        <f t="shared" si="15"/>
        <v>.</v>
      </c>
      <c r="E446" s="13" t="str">
        <f>IFERROR(IF(AND(B446&lt;&gt;"",C446&lt;&gt;""),SUMIFS(Movimentos!$F$4:$F$9996,Movimentos!$D$4:$D$9996,B446,Movimentos!$C$4:$C$9996,"Entrada")-SUMIFS(Movimentos!$F$4:$F$9996,Movimentos!$D$4:$D$9996,B446,Movimentos!$C$4:$C$9996,"Saída"),""),"")</f>
        <v/>
      </c>
      <c r="F446" s="10" t="str">
        <f t="shared" si="16"/>
        <v/>
      </c>
    </row>
    <row r="447" spans="1:6" x14ac:dyDescent="0.3">
      <c r="A447" s="15" t="str">
        <f t="shared" si="15"/>
        <v>.</v>
      </c>
      <c r="E447" s="13" t="str">
        <f>IFERROR(IF(AND(B447&lt;&gt;"",C447&lt;&gt;""),SUMIFS(Movimentos!$F$4:$F$9996,Movimentos!$D$4:$D$9996,B447,Movimentos!$C$4:$C$9996,"Entrada")-SUMIFS(Movimentos!$F$4:$F$9996,Movimentos!$D$4:$D$9996,B447,Movimentos!$C$4:$C$9996,"Saída"),""),"")</f>
        <v/>
      </c>
      <c r="F447" s="10" t="str">
        <f t="shared" si="16"/>
        <v/>
      </c>
    </row>
    <row r="448" spans="1:6" x14ac:dyDescent="0.3">
      <c r="A448" s="15" t="str">
        <f t="shared" ref="A448:A511" si="17">IF(F448="Saldo zerado",0,IF(F448="Saldo abaixo do mínimo",1,IF(F448="Saldo disponível",2,".")))</f>
        <v>.</v>
      </c>
      <c r="E448" s="13" t="str">
        <f>IFERROR(IF(AND(B448&lt;&gt;"",C448&lt;&gt;""),SUMIFS(Movimentos!$F$4:$F$9996,Movimentos!$D$4:$D$9996,B448,Movimentos!$C$4:$C$9996,"Entrada")-SUMIFS(Movimentos!$F$4:$F$9996,Movimentos!$D$4:$D$9996,B448,Movimentos!$C$4:$C$9996,"Saída"),""),"")</f>
        <v/>
      </c>
      <c r="F448" s="10" t="str">
        <f t="shared" si="16"/>
        <v/>
      </c>
    </row>
    <row r="449" spans="1:6" x14ac:dyDescent="0.3">
      <c r="A449" s="15" t="str">
        <f t="shared" si="17"/>
        <v>.</v>
      </c>
      <c r="E449" s="13" t="str">
        <f>IFERROR(IF(AND(B449&lt;&gt;"",C449&lt;&gt;""),SUMIFS(Movimentos!$F$4:$F$9996,Movimentos!$D$4:$D$9996,B449,Movimentos!$C$4:$C$9996,"Entrada")-SUMIFS(Movimentos!$F$4:$F$9996,Movimentos!$D$4:$D$9996,B449,Movimentos!$C$4:$C$9996,"Saída"),""),"")</f>
        <v/>
      </c>
      <c r="F449" s="10" t="str">
        <f t="shared" si="16"/>
        <v/>
      </c>
    </row>
    <row r="450" spans="1:6" x14ac:dyDescent="0.3">
      <c r="A450" s="15" t="str">
        <f t="shared" si="17"/>
        <v>.</v>
      </c>
      <c r="E450" s="13" t="str">
        <f>IFERROR(IF(AND(B450&lt;&gt;"",C450&lt;&gt;""),SUMIFS(Movimentos!$F$4:$F$9996,Movimentos!$D$4:$D$9996,B450,Movimentos!$C$4:$C$9996,"Entrada")-SUMIFS(Movimentos!$F$4:$F$9996,Movimentos!$D$4:$D$9996,B450,Movimentos!$C$4:$C$9996,"Saída"),""),"")</f>
        <v/>
      </c>
      <c r="F450" s="10" t="str">
        <f t="shared" si="16"/>
        <v/>
      </c>
    </row>
    <row r="451" spans="1:6" x14ac:dyDescent="0.3">
      <c r="A451" s="15" t="str">
        <f t="shared" si="17"/>
        <v>.</v>
      </c>
      <c r="E451" s="13" t="str">
        <f>IFERROR(IF(AND(B451&lt;&gt;"",C451&lt;&gt;""),SUMIFS(Movimentos!$F$4:$F$9996,Movimentos!$D$4:$D$9996,B451,Movimentos!$C$4:$C$9996,"Entrada")-SUMIFS(Movimentos!$F$4:$F$9996,Movimentos!$D$4:$D$9996,B451,Movimentos!$C$4:$C$9996,"Saída"),""),"")</f>
        <v/>
      </c>
      <c r="F451" s="10" t="str">
        <f t="shared" si="16"/>
        <v/>
      </c>
    </row>
    <row r="452" spans="1:6" x14ac:dyDescent="0.3">
      <c r="A452" s="15" t="str">
        <f t="shared" si="17"/>
        <v>.</v>
      </c>
      <c r="E452" s="13" t="str">
        <f>IFERROR(IF(AND(B452&lt;&gt;"",C452&lt;&gt;""),SUMIFS(Movimentos!$F$4:$F$9996,Movimentos!$D$4:$D$9996,B452,Movimentos!$C$4:$C$9996,"Entrada")-SUMIFS(Movimentos!$F$4:$F$9996,Movimentos!$D$4:$D$9996,B452,Movimentos!$C$4:$C$9996,"Saída"),""),"")</f>
        <v/>
      </c>
      <c r="F452" s="10" t="str">
        <f t="shared" si="16"/>
        <v/>
      </c>
    </row>
    <row r="453" spans="1:6" x14ac:dyDescent="0.3">
      <c r="A453" s="15" t="str">
        <f t="shared" si="17"/>
        <v>.</v>
      </c>
      <c r="E453" s="13" t="str">
        <f>IFERROR(IF(AND(B453&lt;&gt;"",C453&lt;&gt;""),SUMIFS(Movimentos!$F$4:$F$9996,Movimentos!$D$4:$D$9996,B453,Movimentos!$C$4:$C$9996,"Entrada")-SUMIFS(Movimentos!$F$4:$F$9996,Movimentos!$D$4:$D$9996,B453,Movimentos!$C$4:$C$9996,"Saída"),""),"")</f>
        <v/>
      </c>
      <c r="F453" s="10" t="str">
        <f t="shared" si="16"/>
        <v/>
      </c>
    </row>
    <row r="454" spans="1:6" x14ac:dyDescent="0.3">
      <c r="A454" s="15" t="str">
        <f t="shared" si="17"/>
        <v>.</v>
      </c>
      <c r="E454" s="13" t="str">
        <f>IFERROR(IF(AND(B454&lt;&gt;"",C454&lt;&gt;""),SUMIFS(Movimentos!$F$4:$F$9996,Movimentos!$D$4:$D$9996,B454,Movimentos!$C$4:$C$9996,"Entrada")-SUMIFS(Movimentos!$F$4:$F$9996,Movimentos!$D$4:$D$9996,B454,Movimentos!$C$4:$C$9996,"Saída"),""),"")</f>
        <v/>
      </c>
      <c r="F454" s="10" t="str">
        <f t="shared" si="16"/>
        <v/>
      </c>
    </row>
    <row r="455" spans="1:6" x14ac:dyDescent="0.3">
      <c r="A455" s="15" t="str">
        <f t="shared" si="17"/>
        <v>.</v>
      </c>
      <c r="E455" s="13" t="str">
        <f>IFERROR(IF(AND(B455&lt;&gt;"",C455&lt;&gt;""),SUMIFS(Movimentos!$F$4:$F$9996,Movimentos!$D$4:$D$9996,B455,Movimentos!$C$4:$C$9996,"Entrada")-SUMIFS(Movimentos!$F$4:$F$9996,Movimentos!$D$4:$D$9996,B455,Movimentos!$C$4:$C$9996,"Saída"),""),"")</f>
        <v/>
      </c>
      <c r="F455" s="10" t="str">
        <f t="shared" si="16"/>
        <v/>
      </c>
    </row>
    <row r="456" spans="1:6" x14ac:dyDescent="0.3">
      <c r="A456" s="15" t="str">
        <f t="shared" si="17"/>
        <v>.</v>
      </c>
      <c r="E456" s="13" t="str">
        <f>IFERROR(IF(AND(B456&lt;&gt;"",C456&lt;&gt;""),SUMIFS(Movimentos!$F$4:$F$9996,Movimentos!$D$4:$D$9996,B456,Movimentos!$C$4:$C$9996,"Entrada")-SUMIFS(Movimentos!$F$4:$F$9996,Movimentos!$D$4:$D$9996,B456,Movimentos!$C$4:$C$9996,"Saída"),""),"")</f>
        <v/>
      </c>
      <c r="F456" s="10" t="str">
        <f t="shared" si="16"/>
        <v/>
      </c>
    </row>
    <row r="457" spans="1:6" x14ac:dyDescent="0.3">
      <c r="A457" s="15" t="str">
        <f t="shared" si="17"/>
        <v>.</v>
      </c>
      <c r="E457" s="13" t="str">
        <f>IFERROR(IF(AND(B457&lt;&gt;"",C457&lt;&gt;""),SUMIFS(Movimentos!$F$4:$F$9996,Movimentos!$D$4:$D$9996,B457,Movimentos!$C$4:$C$9996,"Entrada")-SUMIFS(Movimentos!$F$4:$F$9996,Movimentos!$D$4:$D$9996,B457,Movimentos!$C$4:$C$9996,"Saída"),""),"")</f>
        <v/>
      </c>
      <c r="F457" s="10" t="str">
        <f t="shared" si="16"/>
        <v/>
      </c>
    </row>
    <row r="458" spans="1:6" x14ac:dyDescent="0.3">
      <c r="A458" s="15" t="str">
        <f t="shared" si="17"/>
        <v>.</v>
      </c>
      <c r="E458" s="13" t="str">
        <f>IFERROR(IF(AND(B458&lt;&gt;"",C458&lt;&gt;""),SUMIFS(Movimentos!$F$4:$F$9996,Movimentos!$D$4:$D$9996,B458,Movimentos!$C$4:$C$9996,"Entrada")-SUMIFS(Movimentos!$F$4:$F$9996,Movimentos!$D$4:$D$9996,B458,Movimentos!$C$4:$C$9996,"Saída"),""),"")</f>
        <v/>
      </c>
      <c r="F458" s="10" t="str">
        <f t="shared" si="16"/>
        <v/>
      </c>
    </row>
    <row r="459" spans="1:6" x14ac:dyDescent="0.3">
      <c r="A459" s="15" t="str">
        <f t="shared" si="17"/>
        <v>.</v>
      </c>
      <c r="E459" s="13" t="str">
        <f>IFERROR(IF(AND(B459&lt;&gt;"",C459&lt;&gt;""),SUMIFS(Movimentos!$F$4:$F$9996,Movimentos!$D$4:$D$9996,B459,Movimentos!$C$4:$C$9996,"Entrada")-SUMIFS(Movimentos!$F$4:$F$9996,Movimentos!$D$4:$D$9996,B459,Movimentos!$C$4:$C$9996,"Saída"),""),"")</f>
        <v/>
      </c>
      <c r="F459" s="10" t="str">
        <f t="shared" si="16"/>
        <v/>
      </c>
    </row>
    <row r="460" spans="1:6" x14ac:dyDescent="0.3">
      <c r="A460" s="15" t="str">
        <f t="shared" si="17"/>
        <v>.</v>
      </c>
      <c r="E460" s="13" t="str">
        <f>IFERROR(IF(AND(B460&lt;&gt;"",C460&lt;&gt;""),SUMIFS(Movimentos!$F$4:$F$9996,Movimentos!$D$4:$D$9996,B460,Movimentos!$C$4:$C$9996,"Entrada")-SUMIFS(Movimentos!$F$4:$F$9996,Movimentos!$D$4:$D$9996,B460,Movimentos!$C$4:$C$9996,"Saída"),""),"")</f>
        <v/>
      </c>
      <c r="F460" s="10" t="str">
        <f t="shared" si="16"/>
        <v/>
      </c>
    </row>
    <row r="461" spans="1:6" x14ac:dyDescent="0.3">
      <c r="A461" s="15" t="str">
        <f t="shared" si="17"/>
        <v>.</v>
      </c>
      <c r="E461" s="13" t="str">
        <f>IFERROR(IF(AND(B461&lt;&gt;"",C461&lt;&gt;""),SUMIFS(Movimentos!$F$4:$F$9996,Movimentos!$D$4:$D$9996,B461,Movimentos!$C$4:$C$9996,"Entrada")-SUMIFS(Movimentos!$F$4:$F$9996,Movimentos!$D$4:$D$9996,B461,Movimentos!$C$4:$C$9996,"Saída"),""),"")</f>
        <v/>
      </c>
      <c r="F461" s="10" t="str">
        <f t="shared" si="16"/>
        <v/>
      </c>
    </row>
    <row r="462" spans="1:6" x14ac:dyDescent="0.3">
      <c r="A462" s="15" t="str">
        <f t="shared" si="17"/>
        <v>.</v>
      </c>
      <c r="E462" s="13" t="str">
        <f>IFERROR(IF(AND(B462&lt;&gt;"",C462&lt;&gt;""),SUMIFS(Movimentos!$F$4:$F$9996,Movimentos!$D$4:$D$9996,B462,Movimentos!$C$4:$C$9996,"Entrada")-SUMIFS(Movimentos!$F$4:$F$9996,Movimentos!$D$4:$D$9996,B462,Movimentos!$C$4:$C$9996,"Saída"),""),"")</f>
        <v/>
      </c>
      <c r="F462" s="10" t="str">
        <f t="shared" si="16"/>
        <v/>
      </c>
    </row>
    <row r="463" spans="1:6" x14ac:dyDescent="0.3">
      <c r="A463" s="15" t="str">
        <f t="shared" si="17"/>
        <v>.</v>
      </c>
      <c r="E463" s="13" t="str">
        <f>IFERROR(IF(AND(B463&lt;&gt;"",C463&lt;&gt;""),SUMIFS(Movimentos!$F$4:$F$9996,Movimentos!$D$4:$D$9996,B463,Movimentos!$C$4:$C$9996,"Entrada")-SUMIFS(Movimentos!$F$4:$F$9996,Movimentos!$D$4:$D$9996,B463,Movimentos!$C$4:$C$9996,"Saída"),""),"")</f>
        <v/>
      </c>
      <c r="F463" s="10" t="str">
        <f t="shared" si="16"/>
        <v/>
      </c>
    </row>
    <row r="464" spans="1:6" x14ac:dyDescent="0.3">
      <c r="A464" s="15" t="str">
        <f t="shared" si="17"/>
        <v>.</v>
      </c>
      <c r="E464" s="13" t="str">
        <f>IFERROR(IF(AND(B464&lt;&gt;"",C464&lt;&gt;""),SUMIFS(Movimentos!$F$4:$F$9996,Movimentos!$D$4:$D$9996,B464,Movimentos!$C$4:$C$9996,"Entrada")-SUMIFS(Movimentos!$F$4:$F$9996,Movimentos!$D$4:$D$9996,B464,Movimentos!$C$4:$C$9996,"Saída"),""),"")</f>
        <v/>
      </c>
      <c r="F464" s="10" t="str">
        <f t="shared" si="16"/>
        <v/>
      </c>
    </row>
    <row r="465" spans="1:6" x14ac:dyDescent="0.3">
      <c r="A465" s="15" t="str">
        <f t="shared" si="17"/>
        <v>.</v>
      </c>
      <c r="E465" s="13" t="str">
        <f>IFERROR(IF(AND(B465&lt;&gt;"",C465&lt;&gt;""),SUMIFS(Movimentos!$F$4:$F$9996,Movimentos!$D$4:$D$9996,B465,Movimentos!$C$4:$C$9996,"Entrada")-SUMIFS(Movimentos!$F$4:$F$9996,Movimentos!$D$4:$D$9996,B465,Movimentos!$C$4:$C$9996,"Saída"),""),"")</f>
        <v/>
      </c>
      <c r="F465" s="10" t="str">
        <f t="shared" si="16"/>
        <v/>
      </c>
    </row>
    <row r="466" spans="1:6" x14ac:dyDescent="0.3">
      <c r="A466" s="15" t="str">
        <f t="shared" si="17"/>
        <v>.</v>
      </c>
      <c r="E466" s="13" t="str">
        <f>IFERROR(IF(AND(B466&lt;&gt;"",C466&lt;&gt;""),SUMIFS(Movimentos!$F$4:$F$9996,Movimentos!$D$4:$D$9996,B466,Movimentos!$C$4:$C$9996,"Entrada")-SUMIFS(Movimentos!$F$4:$F$9996,Movimentos!$D$4:$D$9996,B466,Movimentos!$C$4:$C$9996,"Saída"),""),"")</f>
        <v/>
      </c>
      <c r="F466" s="10" t="str">
        <f t="shared" si="16"/>
        <v/>
      </c>
    </row>
    <row r="467" spans="1:6" x14ac:dyDescent="0.3">
      <c r="A467" s="15" t="str">
        <f t="shared" si="17"/>
        <v>.</v>
      </c>
      <c r="E467" s="13" t="str">
        <f>IFERROR(IF(AND(B467&lt;&gt;"",C467&lt;&gt;""),SUMIFS(Movimentos!$F$4:$F$9996,Movimentos!$D$4:$D$9996,B467,Movimentos!$C$4:$C$9996,"Entrada")-SUMIFS(Movimentos!$F$4:$F$9996,Movimentos!$D$4:$D$9996,B467,Movimentos!$C$4:$C$9996,"Saída"),""),"")</f>
        <v/>
      </c>
      <c r="F467" s="10" t="str">
        <f t="shared" si="16"/>
        <v/>
      </c>
    </row>
    <row r="468" spans="1:6" x14ac:dyDescent="0.3">
      <c r="A468" s="15" t="str">
        <f t="shared" si="17"/>
        <v>.</v>
      </c>
      <c r="E468" s="13" t="str">
        <f>IFERROR(IF(AND(B468&lt;&gt;"",C468&lt;&gt;""),SUMIFS(Movimentos!$F$4:$F$9996,Movimentos!$D$4:$D$9996,B468,Movimentos!$C$4:$C$9996,"Entrada")-SUMIFS(Movimentos!$F$4:$F$9996,Movimentos!$D$4:$D$9996,B468,Movimentos!$C$4:$C$9996,"Saída"),""),"")</f>
        <v/>
      </c>
      <c r="F468" s="10" t="str">
        <f t="shared" si="16"/>
        <v/>
      </c>
    </row>
    <row r="469" spans="1:6" x14ac:dyDescent="0.3">
      <c r="A469" s="15" t="str">
        <f t="shared" si="17"/>
        <v>.</v>
      </c>
      <c r="E469" s="13" t="str">
        <f>IFERROR(IF(AND(B469&lt;&gt;"",C469&lt;&gt;""),SUMIFS(Movimentos!$F$4:$F$9996,Movimentos!$D$4:$D$9996,B469,Movimentos!$C$4:$C$9996,"Entrada")-SUMIFS(Movimentos!$F$4:$F$9996,Movimentos!$D$4:$D$9996,B469,Movimentos!$C$4:$C$9996,"Saída"),""),"")</f>
        <v/>
      </c>
      <c r="F469" s="10" t="str">
        <f t="shared" si="16"/>
        <v/>
      </c>
    </row>
    <row r="470" spans="1:6" x14ac:dyDescent="0.3">
      <c r="A470" s="15" t="str">
        <f t="shared" si="17"/>
        <v>.</v>
      </c>
      <c r="E470" s="13" t="str">
        <f>IFERROR(IF(AND(B470&lt;&gt;"",C470&lt;&gt;""),SUMIFS(Movimentos!$F$4:$F$9996,Movimentos!$D$4:$D$9996,B470,Movimentos!$C$4:$C$9996,"Entrada")-SUMIFS(Movimentos!$F$4:$F$9996,Movimentos!$D$4:$D$9996,B470,Movimentos!$C$4:$C$9996,"Saída"),""),"")</f>
        <v/>
      </c>
      <c r="F470" s="10" t="str">
        <f t="shared" si="16"/>
        <v/>
      </c>
    </row>
    <row r="471" spans="1:6" x14ac:dyDescent="0.3">
      <c r="A471" s="15" t="str">
        <f t="shared" si="17"/>
        <v>.</v>
      </c>
      <c r="E471" s="13" t="str">
        <f>IFERROR(IF(AND(B471&lt;&gt;"",C471&lt;&gt;""),SUMIFS(Movimentos!$F$4:$F$9996,Movimentos!$D$4:$D$9996,B471,Movimentos!$C$4:$C$9996,"Entrada")-SUMIFS(Movimentos!$F$4:$F$9996,Movimentos!$D$4:$D$9996,B471,Movimentos!$C$4:$C$9996,"Saída"),""),"")</f>
        <v/>
      </c>
      <c r="F471" s="10" t="str">
        <f t="shared" ref="F471:F534" si="18">IF(AND(B471&lt;&gt;"",C471&lt;&gt;""),IF(E471=0,"Saldo zerado",IF(E471&lt;D471,"Saldo abaixo do mínimo","Saldo disponível")),"")</f>
        <v/>
      </c>
    </row>
    <row r="472" spans="1:6" x14ac:dyDescent="0.3">
      <c r="A472" s="15" t="str">
        <f t="shared" si="17"/>
        <v>.</v>
      </c>
      <c r="E472" s="13" t="str">
        <f>IFERROR(IF(AND(B472&lt;&gt;"",C472&lt;&gt;""),SUMIFS(Movimentos!$F$4:$F$9996,Movimentos!$D$4:$D$9996,B472,Movimentos!$C$4:$C$9996,"Entrada")-SUMIFS(Movimentos!$F$4:$F$9996,Movimentos!$D$4:$D$9996,B472,Movimentos!$C$4:$C$9996,"Saída"),""),"")</f>
        <v/>
      </c>
      <c r="F472" s="10" t="str">
        <f t="shared" si="18"/>
        <v/>
      </c>
    </row>
    <row r="473" spans="1:6" x14ac:dyDescent="0.3">
      <c r="A473" s="15" t="str">
        <f t="shared" si="17"/>
        <v>.</v>
      </c>
      <c r="E473" s="13" t="str">
        <f>IFERROR(IF(AND(B473&lt;&gt;"",C473&lt;&gt;""),SUMIFS(Movimentos!$F$4:$F$9996,Movimentos!$D$4:$D$9996,B473,Movimentos!$C$4:$C$9996,"Entrada")-SUMIFS(Movimentos!$F$4:$F$9996,Movimentos!$D$4:$D$9996,B473,Movimentos!$C$4:$C$9996,"Saída"),""),"")</f>
        <v/>
      </c>
      <c r="F473" s="10" t="str">
        <f t="shared" si="18"/>
        <v/>
      </c>
    </row>
    <row r="474" spans="1:6" x14ac:dyDescent="0.3">
      <c r="A474" s="15" t="str">
        <f t="shared" si="17"/>
        <v>.</v>
      </c>
      <c r="E474" s="13" t="str">
        <f>IFERROR(IF(AND(B474&lt;&gt;"",C474&lt;&gt;""),SUMIFS(Movimentos!$F$4:$F$9996,Movimentos!$D$4:$D$9996,B474,Movimentos!$C$4:$C$9996,"Entrada")-SUMIFS(Movimentos!$F$4:$F$9996,Movimentos!$D$4:$D$9996,B474,Movimentos!$C$4:$C$9996,"Saída"),""),"")</f>
        <v/>
      </c>
      <c r="F474" s="10" t="str">
        <f t="shared" si="18"/>
        <v/>
      </c>
    </row>
    <row r="475" spans="1:6" x14ac:dyDescent="0.3">
      <c r="A475" s="15" t="str">
        <f t="shared" si="17"/>
        <v>.</v>
      </c>
      <c r="E475" s="13" t="str">
        <f>IFERROR(IF(AND(B475&lt;&gt;"",C475&lt;&gt;""),SUMIFS(Movimentos!$F$4:$F$9996,Movimentos!$D$4:$D$9996,B475,Movimentos!$C$4:$C$9996,"Entrada")-SUMIFS(Movimentos!$F$4:$F$9996,Movimentos!$D$4:$D$9996,B475,Movimentos!$C$4:$C$9996,"Saída"),""),"")</f>
        <v/>
      </c>
      <c r="F475" s="10" t="str">
        <f t="shared" si="18"/>
        <v/>
      </c>
    </row>
    <row r="476" spans="1:6" x14ac:dyDescent="0.3">
      <c r="A476" s="15" t="str">
        <f t="shared" si="17"/>
        <v>.</v>
      </c>
      <c r="E476" s="13" t="str">
        <f>IFERROR(IF(AND(B476&lt;&gt;"",C476&lt;&gt;""),SUMIFS(Movimentos!$F$4:$F$9996,Movimentos!$D$4:$D$9996,B476,Movimentos!$C$4:$C$9996,"Entrada")-SUMIFS(Movimentos!$F$4:$F$9996,Movimentos!$D$4:$D$9996,B476,Movimentos!$C$4:$C$9996,"Saída"),""),"")</f>
        <v/>
      </c>
      <c r="F476" s="10" t="str">
        <f t="shared" si="18"/>
        <v/>
      </c>
    </row>
    <row r="477" spans="1:6" x14ac:dyDescent="0.3">
      <c r="A477" s="15" t="str">
        <f t="shared" si="17"/>
        <v>.</v>
      </c>
      <c r="E477" s="13" t="str">
        <f>IFERROR(IF(AND(B477&lt;&gt;"",C477&lt;&gt;""),SUMIFS(Movimentos!$F$4:$F$9996,Movimentos!$D$4:$D$9996,B477,Movimentos!$C$4:$C$9996,"Entrada")-SUMIFS(Movimentos!$F$4:$F$9996,Movimentos!$D$4:$D$9996,B477,Movimentos!$C$4:$C$9996,"Saída"),""),"")</f>
        <v/>
      </c>
      <c r="F477" s="10" t="str">
        <f t="shared" si="18"/>
        <v/>
      </c>
    </row>
    <row r="478" spans="1:6" x14ac:dyDescent="0.3">
      <c r="A478" s="15" t="str">
        <f t="shared" si="17"/>
        <v>.</v>
      </c>
      <c r="E478" s="13" t="str">
        <f>IFERROR(IF(AND(B478&lt;&gt;"",C478&lt;&gt;""),SUMIFS(Movimentos!$F$4:$F$9996,Movimentos!$D$4:$D$9996,B478,Movimentos!$C$4:$C$9996,"Entrada")-SUMIFS(Movimentos!$F$4:$F$9996,Movimentos!$D$4:$D$9996,B478,Movimentos!$C$4:$C$9996,"Saída"),""),"")</f>
        <v/>
      </c>
      <c r="F478" s="10" t="str">
        <f t="shared" si="18"/>
        <v/>
      </c>
    </row>
    <row r="479" spans="1:6" x14ac:dyDescent="0.3">
      <c r="A479" s="15" t="str">
        <f t="shared" si="17"/>
        <v>.</v>
      </c>
      <c r="E479" s="13" t="str">
        <f>IFERROR(IF(AND(B479&lt;&gt;"",C479&lt;&gt;""),SUMIFS(Movimentos!$F$4:$F$9996,Movimentos!$D$4:$D$9996,B479,Movimentos!$C$4:$C$9996,"Entrada")-SUMIFS(Movimentos!$F$4:$F$9996,Movimentos!$D$4:$D$9996,B479,Movimentos!$C$4:$C$9996,"Saída"),""),"")</f>
        <v/>
      </c>
      <c r="F479" s="10" t="str">
        <f t="shared" si="18"/>
        <v/>
      </c>
    </row>
    <row r="480" spans="1:6" x14ac:dyDescent="0.3">
      <c r="A480" s="15" t="str">
        <f t="shared" si="17"/>
        <v>.</v>
      </c>
      <c r="E480" s="13" t="str">
        <f>IFERROR(IF(AND(B480&lt;&gt;"",C480&lt;&gt;""),SUMIFS(Movimentos!$F$4:$F$9996,Movimentos!$D$4:$D$9996,B480,Movimentos!$C$4:$C$9996,"Entrada")-SUMIFS(Movimentos!$F$4:$F$9996,Movimentos!$D$4:$D$9996,B480,Movimentos!$C$4:$C$9996,"Saída"),""),"")</f>
        <v/>
      </c>
      <c r="F480" s="10" t="str">
        <f t="shared" si="18"/>
        <v/>
      </c>
    </row>
    <row r="481" spans="1:6" x14ac:dyDescent="0.3">
      <c r="A481" s="15" t="str">
        <f t="shared" si="17"/>
        <v>.</v>
      </c>
      <c r="E481" s="13" t="str">
        <f>IFERROR(IF(AND(B481&lt;&gt;"",C481&lt;&gt;""),SUMIFS(Movimentos!$F$4:$F$9996,Movimentos!$D$4:$D$9996,B481,Movimentos!$C$4:$C$9996,"Entrada")-SUMIFS(Movimentos!$F$4:$F$9996,Movimentos!$D$4:$D$9996,B481,Movimentos!$C$4:$C$9996,"Saída"),""),"")</f>
        <v/>
      </c>
      <c r="F481" s="10" t="str">
        <f t="shared" si="18"/>
        <v/>
      </c>
    </row>
    <row r="482" spans="1:6" x14ac:dyDescent="0.3">
      <c r="A482" s="15" t="str">
        <f t="shared" si="17"/>
        <v>.</v>
      </c>
      <c r="E482" s="13" t="str">
        <f>IFERROR(IF(AND(B482&lt;&gt;"",C482&lt;&gt;""),SUMIFS(Movimentos!$F$4:$F$9996,Movimentos!$D$4:$D$9996,B482,Movimentos!$C$4:$C$9996,"Entrada")-SUMIFS(Movimentos!$F$4:$F$9996,Movimentos!$D$4:$D$9996,B482,Movimentos!$C$4:$C$9996,"Saída"),""),"")</f>
        <v/>
      </c>
      <c r="F482" s="10" t="str">
        <f t="shared" si="18"/>
        <v/>
      </c>
    </row>
    <row r="483" spans="1:6" x14ac:dyDescent="0.3">
      <c r="A483" s="15" t="str">
        <f t="shared" si="17"/>
        <v>.</v>
      </c>
      <c r="E483" s="13" t="str">
        <f>IFERROR(IF(AND(B483&lt;&gt;"",C483&lt;&gt;""),SUMIFS(Movimentos!$F$4:$F$9996,Movimentos!$D$4:$D$9996,B483,Movimentos!$C$4:$C$9996,"Entrada")-SUMIFS(Movimentos!$F$4:$F$9996,Movimentos!$D$4:$D$9996,B483,Movimentos!$C$4:$C$9996,"Saída"),""),"")</f>
        <v/>
      </c>
      <c r="F483" s="10" t="str">
        <f t="shared" si="18"/>
        <v/>
      </c>
    </row>
    <row r="484" spans="1:6" x14ac:dyDescent="0.3">
      <c r="A484" s="15" t="str">
        <f t="shared" si="17"/>
        <v>.</v>
      </c>
      <c r="E484" s="13" t="str">
        <f>IFERROR(IF(AND(B484&lt;&gt;"",C484&lt;&gt;""),SUMIFS(Movimentos!$F$4:$F$9996,Movimentos!$D$4:$D$9996,B484,Movimentos!$C$4:$C$9996,"Entrada")-SUMIFS(Movimentos!$F$4:$F$9996,Movimentos!$D$4:$D$9996,B484,Movimentos!$C$4:$C$9996,"Saída"),""),"")</f>
        <v/>
      </c>
      <c r="F484" s="10" t="str">
        <f t="shared" si="18"/>
        <v/>
      </c>
    </row>
    <row r="485" spans="1:6" x14ac:dyDescent="0.3">
      <c r="A485" s="15" t="str">
        <f t="shared" si="17"/>
        <v>.</v>
      </c>
      <c r="E485" s="13" t="str">
        <f>IFERROR(IF(AND(B485&lt;&gt;"",C485&lt;&gt;""),SUMIFS(Movimentos!$F$4:$F$9996,Movimentos!$D$4:$D$9996,B485,Movimentos!$C$4:$C$9996,"Entrada")-SUMIFS(Movimentos!$F$4:$F$9996,Movimentos!$D$4:$D$9996,B485,Movimentos!$C$4:$C$9996,"Saída"),""),"")</f>
        <v/>
      </c>
      <c r="F485" s="10" t="str">
        <f t="shared" si="18"/>
        <v/>
      </c>
    </row>
    <row r="486" spans="1:6" x14ac:dyDescent="0.3">
      <c r="A486" s="15" t="str">
        <f t="shared" si="17"/>
        <v>.</v>
      </c>
      <c r="E486" s="13" t="str">
        <f>IFERROR(IF(AND(B486&lt;&gt;"",C486&lt;&gt;""),SUMIFS(Movimentos!$F$4:$F$9996,Movimentos!$D$4:$D$9996,B486,Movimentos!$C$4:$C$9996,"Entrada")-SUMIFS(Movimentos!$F$4:$F$9996,Movimentos!$D$4:$D$9996,B486,Movimentos!$C$4:$C$9996,"Saída"),""),"")</f>
        <v/>
      </c>
      <c r="F486" s="10" t="str">
        <f t="shared" si="18"/>
        <v/>
      </c>
    </row>
    <row r="487" spans="1:6" x14ac:dyDescent="0.3">
      <c r="A487" s="15" t="str">
        <f t="shared" si="17"/>
        <v>.</v>
      </c>
      <c r="E487" s="13" t="str">
        <f>IFERROR(IF(AND(B487&lt;&gt;"",C487&lt;&gt;""),SUMIFS(Movimentos!$F$4:$F$9996,Movimentos!$D$4:$D$9996,B487,Movimentos!$C$4:$C$9996,"Entrada")-SUMIFS(Movimentos!$F$4:$F$9996,Movimentos!$D$4:$D$9996,B487,Movimentos!$C$4:$C$9996,"Saída"),""),"")</f>
        <v/>
      </c>
      <c r="F487" s="10" t="str">
        <f t="shared" si="18"/>
        <v/>
      </c>
    </row>
    <row r="488" spans="1:6" x14ac:dyDescent="0.3">
      <c r="A488" s="15" t="str">
        <f t="shared" si="17"/>
        <v>.</v>
      </c>
      <c r="E488" s="13" t="str">
        <f>IFERROR(IF(AND(B488&lt;&gt;"",C488&lt;&gt;""),SUMIFS(Movimentos!$F$4:$F$9996,Movimentos!$D$4:$D$9996,B488,Movimentos!$C$4:$C$9996,"Entrada")-SUMIFS(Movimentos!$F$4:$F$9996,Movimentos!$D$4:$D$9996,B488,Movimentos!$C$4:$C$9996,"Saída"),""),"")</f>
        <v/>
      </c>
      <c r="F488" s="10" t="str">
        <f t="shared" si="18"/>
        <v/>
      </c>
    </row>
    <row r="489" spans="1:6" x14ac:dyDescent="0.3">
      <c r="A489" s="15" t="str">
        <f t="shared" si="17"/>
        <v>.</v>
      </c>
      <c r="E489" s="13" t="str">
        <f>IFERROR(IF(AND(B489&lt;&gt;"",C489&lt;&gt;""),SUMIFS(Movimentos!$F$4:$F$9996,Movimentos!$D$4:$D$9996,B489,Movimentos!$C$4:$C$9996,"Entrada")-SUMIFS(Movimentos!$F$4:$F$9996,Movimentos!$D$4:$D$9996,B489,Movimentos!$C$4:$C$9996,"Saída"),""),"")</f>
        <v/>
      </c>
      <c r="F489" s="10" t="str">
        <f t="shared" si="18"/>
        <v/>
      </c>
    </row>
    <row r="490" spans="1:6" x14ac:dyDescent="0.3">
      <c r="A490" s="15" t="str">
        <f t="shared" si="17"/>
        <v>.</v>
      </c>
      <c r="E490" s="13" t="str">
        <f>IFERROR(IF(AND(B490&lt;&gt;"",C490&lt;&gt;""),SUMIFS(Movimentos!$F$4:$F$9996,Movimentos!$D$4:$D$9996,B490,Movimentos!$C$4:$C$9996,"Entrada")-SUMIFS(Movimentos!$F$4:$F$9996,Movimentos!$D$4:$D$9996,B490,Movimentos!$C$4:$C$9996,"Saída"),""),"")</f>
        <v/>
      </c>
      <c r="F490" s="10" t="str">
        <f t="shared" si="18"/>
        <v/>
      </c>
    </row>
    <row r="491" spans="1:6" x14ac:dyDescent="0.3">
      <c r="A491" s="15" t="str">
        <f t="shared" si="17"/>
        <v>.</v>
      </c>
      <c r="E491" s="13" t="str">
        <f>IFERROR(IF(AND(B491&lt;&gt;"",C491&lt;&gt;""),SUMIFS(Movimentos!$F$4:$F$9996,Movimentos!$D$4:$D$9996,B491,Movimentos!$C$4:$C$9996,"Entrada")-SUMIFS(Movimentos!$F$4:$F$9996,Movimentos!$D$4:$D$9996,B491,Movimentos!$C$4:$C$9996,"Saída"),""),"")</f>
        <v/>
      </c>
      <c r="F491" s="10" t="str">
        <f t="shared" si="18"/>
        <v/>
      </c>
    </row>
    <row r="492" spans="1:6" x14ac:dyDescent="0.3">
      <c r="A492" s="15" t="str">
        <f t="shared" si="17"/>
        <v>.</v>
      </c>
      <c r="E492" s="13" t="str">
        <f>IFERROR(IF(AND(B492&lt;&gt;"",C492&lt;&gt;""),SUMIFS(Movimentos!$F$4:$F$9996,Movimentos!$D$4:$D$9996,B492,Movimentos!$C$4:$C$9996,"Entrada")-SUMIFS(Movimentos!$F$4:$F$9996,Movimentos!$D$4:$D$9996,B492,Movimentos!$C$4:$C$9996,"Saída"),""),"")</f>
        <v/>
      </c>
      <c r="F492" s="10" t="str">
        <f t="shared" si="18"/>
        <v/>
      </c>
    </row>
    <row r="493" spans="1:6" x14ac:dyDescent="0.3">
      <c r="A493" s="15" t="str">
        <f t="shared" si="17"/>
        <v>.</v>
      </c>
      <c r="E493" s="13" t="str">
        <f>IFERROR(IF(AND(B493&lt;&gt;"",C493&lt;&gt;""),SUMIFS(Movimentos!$F$4:$F$9996,Movimentos!$D$4:$D$9996,B493,Movimentos!$C$4:$C$9996,"Entrada")-SUMIFS(Movimentos!$F$4:$F$9996,Movimentos!$D$4:$D$9996,B493,Movimentos!$C$4:$C$9996,"Saída"),""),"")</f>
        <v/>
      </c>
      <c r="F493" s="10" t="str">
        <f t="shared" si="18"/>
        <v/>
      </c>
    </row>
    <row r="494" spans="1:6" x14ac:dyDescent="0.3">
      <c r="A494" s="15" t="str">
        <f t="shared" si="17"/>
        <v>.</v>
      </c>
      <c r="E494" s="13" t="str">
        <f>IFERROR(IF(AND(B494&lt;&gt;"",C494&lt;&gt;""),SUMIFS(Movimentos!$F$4:$F$9996,Movimentos!$D$4:$D$9996,B494,Movimentos!$C$4:$C$9996,"Entrada")-SUMIFS(Movimentos!$F$4:$F$9996,Movimentos!$D$4:$D$9996,B494,Movimentos!$C$4:$C$9996,"Saída"),""),"")</f>
        <v/>
      </c>
      <c r="F494" s="10" t="str">
        <f t="shared" si="18"/>
        <v/>
      </c>
    </row>
    <row r="495" spans="1:6" x14ac:dyDescent="0.3">
      <c r="A495" s="15" t="str">
        <f t="shared" si="17"/>
        <v>.</v>
      </c>
      <c r="E495" s="13" t="str">
        <f>IFERROR(IF(AND(B495&lt;&gt;"",C495&lt;&gt;""),SUMIFS(Movimentos!$F$4:$F$9996,Movimentos!$D$4:$D$9996,B495,Movimentos!$C$4:$C$9996,"Entrada")-SUMIFS(Movimentos!$F$4:$F$9996,Movimentos!$D$4:$D$9996,B495,Movimentos!$C$4:$C$9996,"Saída"),""),"")</f>
        <v/>
      </c>
      <c r="F495" s="10" t="str">
        <f t="shared" si="18"/>
        <v/>
      </c>
    </row>
    <row r="496" spans="1:6" x14ac:dyDescent="0.3">
      <c r="A496" s="15" t="str">
        <f t="shared" si="17"/>
        <v>.</v>
      </c>
      <c r="E496" s="13" t="str">
        <f>IFERROR(IF(AND(B496&lt;&gt;"",C496&lt;&gt;""),SUMIFS(Movimentos!$F$4:$F$9996,Movimentos!$D$4:$D$9996,B496,Movimentos!$C$4:$C$9996,"Entrada")-SUMIFS(Movimentos!$F$4:$F$9996,Movimentos!$D$4:$D$9996,B496,Movimentos!$C$4:$C$9996,"Saída"),""),"")</f>
        <v/>
      </c>
      <c r="F496" s="10" t="str">
        <f t="shared" si="18"/>
        <v/>
      </c>
    </row>
    <row r="497" spans="1:6" x14ac:dyDescent="0.3">
      <c r="A497" s="15" t="str">
        <f t="shared" si="17"/>
        <v>.</v>
      </c>
      <c r="E497" s="13" t="str">
        <f>IFERROR(IF(AND(B497&lt;&gt;"",C497&lt;&gt;""),SUMIFS(Movimentos!$F$4:$F$9996,Movimentos!$D$4:$D$9996,B497,Movimentos!$C$4:$C$9996,"Entrada")-SUMIFS(Movimentos!$F$4:$F$9996,Movimentos!$D$4:$D$9996,B497,Movimentos!$C$4:$C$9996,"Saída"),""),"")</f>
        <v/>
      </c>
      <c r="F497" s="10" t="str">
        <f t="shared" si="18"/>
        <v/>
      </c>
    </row>
    <row r="498" spans="1:6" x14ac:dyDescent="0.3">
      <c r="A498" s="15" t="str">
        <f t="shared" si="17"/>
        <v>.</v>
      </c>
      <c r="E498" s="13" t="str">
        <f>IFERROR(IF(AND(B498&lt;&gt;"",C498&lt;&gt;""),SUMIFS(Movimentos!$F$4:$F$9996,Movimentos!$D$4:$D$9996,B498,Movimentos!$C$4:$C$9996,"Entrada")-SUMIFS(Movimentos!$F$4:$F$9996,Movimentos!$D$4:$D$9996,B498,Movimentos!$C$4:$C$9996,"Saída"),""),"")</f>
        <v/>
      </c>
      <c r="F498" s="10" t="str">
        <f t="shared" si="18"/>
        <v/>
      </c>
    </row>
    <row r="499" spans="1:6" x14ac:dyDescent="0.3">
      <c r="A499" s="15" t="str">
        <f t="shared" si="17"/>
        <v>.</v>
      </c>
      <c r="E499" s="13" t="str">
        <f>IFERROR(IF(AND(B499&lt;&gt;"",C499&lt;&gt;""),SUMIFS(Movimentos!$F$4:$F$9996,Movimentos!$D$4:$D$9996,B499,Movimentos!$C$4:$C$9996,"Entrada")-SUMIFS(Movimentos!$F$4:$F$9996,Movimentos!$D$4:$D$9996,B499,Movimentos!$C$4:$C$9996,"Saída"),""),"")</f>
        <v/>
      </c>
      <c r="F499" s="10" t="str">
        <f t="shared" si="18"/>
        <v/>
      </c>
    </row>
    <row r="500" spans="1:6" x14ac:dyDescent="0.3">
      <c r="A500" s="15" t="str">
        <f t="shared" si="17"/>
        <v>.</v>
      </c>
      <c r="E500" s="13" t="str">
        <f>IFERROR(IF(AND(B500&lt;&gt;"",C500&lt;&gt;""),SUMIFS(Movimentos!$F$4:$F$9996,Movimentos!$D$4:$D$9996,B500,Movimentos!$C$4:$C$9996,"Entrada")-SUMIFS(Movimentos!$F$4:$F$9996,Movimentos!$D$4:$D$9996,B500,Movimentos!$C$4:$C$9996,"Saída"),""),"")</f>
        <v/>
      </c>
      <c r="F500" s="10" t="str">
        <f t="shared" si="18"/>
        <v/>
      </c>
    </row>
    <row r="501" spans="1:6" x14ac:dyDescent="0.3">
      <c r="A501" s="15" t="str">
        <f t="shared" si="17"/>
        <v>.</v>
      </c>
      <c r="E501" s="13" t="str">
        <f>IFERROR(IF(AND(B501&lt;&gt;"",C501&lt;&gt;""),SUMIFS(Movimentos!$F$4:$F$9996,Movimentos!$D$4:$D$9996,B501,Movimentos!$C$4:$C$9996,"Entrada")-SUMIFS(Movimentos!$F$4:$F$9996,Movimentos!$D$4:$D$9996,B501,Movimentos!$C$4:$C$9996,"Saída"),""),"")</f>
        <v/>
      </c>
      <c r="F501" s="10" t="str">
        <f t="shared" si="18"/>
        <v/>
      </c>
    </row>
    <row r="502" spans="1:6" x14ac:dyDescent="0.3">
      <c r="A502" s="15" t="str">
        <f t="shared" si="17"/>
        <v>.</v>
      </c>
      <c r="E502" s="13" t="str">
        <f>IFERROR(IF(AND(B502&lt;&gt;"",C502&lt;&gt;""),SUMIFS(Movimentos!$F$4:$F$9996,Movimentos!$D$4:$D$9996,B502,Movimentos!$C$4:$C$9996,"Entrada")-SUMIFS(Movimentos!$F$4:$F$9996,Movimentos!$D$4:$D$9996,B502,Movimentos!$C$4:$C$9996,"Saída"),""),"")</f>
        <v/>
      </c>
      <c r="F502" s="10" t="str">
        <f t="shared" si="18"/>
        <v/>
      </c>
    </row>
    <row r="503" spans="1:6" x14ac:dyDescent="0.3">
      <c r="A503" s="15" t="str">
        <f t="shared" si="17"/>
        <v>.</v>
      </c>
      <c r="E503" s="13" t="str">
        <f>IFERROR(IF(AND(B503&lt;&gt;"",C503&lt;&gt;""),SUMIFS(Movimentos!$F$4:$F$9996,Movimentos!$D$4:$D$9996,B503,Movimentos!$C$4:$C$9996,"Entrada")-SUMIFS(Movimentos!$F$4:$F$9996,Movimentos!$D$4:$D$9996,B503,Movimentos!$C$4:$C$9996,"Saída"),""),"")</f>
        <v/>
      </c>
      <c r="F503" s="10" t="str">
        <f t="shared" si="18"/>
        <v/>
      </c>
    </row>
    <row r="504" spans="1:6" x14ac:dyDescent="0.3">
      <c r="A504" s="15" t="str">
        <f t="shared" si="17"/>
        <v>.</v>
      </c>
      <c r="E504" s="13" t="str">
        <f>IFERROR(IF(AND(B504&lt;&gt;"",C504&lt;&gt;""),SUMIFS(Movimentos!$F$4:$F$9996,Movimentos!$D$4:$D$9996,B504,Movimentos!$C$4:$C$9996,"Entrada")-SUMIFS(Movimentos!$F$4:$F$9996,Movimentos!$D$4:$D$9996,B504,Movimentos!$C$4:$C$9996,"Saída"),""),"")</f>
        <v/>
      </c>
      <c r="F504" s="10" t="str">
        <f t="shared" si="18"/>
        <v/>
      </c>
    </row>
    <row r="505" spans="1:6" x14ac:dyDescent="0.3">
      <c r="A505" s="15" t="str">
        <f t="shared" si="17"/>
        <v>.</v>
      </c>
      <c r="E505" s="13" t="str">
        <f>IFERROR(IF(AND(B505&lt;&gt;"",C505&lt;&gt;""),SUMIFS(Movimentos!$F$4:$F$9996,Movimentos!$D$4:$D$9996,B505,Movimentos!$C$4:$C$9996,"Entrada")-SUMIFS(Movimentos!$F$4:$F$9996,Movimentos!$D$4:$D$9996,B505,Movimentos!$C$4:$C$9996,"Saída"),""),"")</f>
        <v/>
      </c>
      <c r="F505" s="10" t="str">
        <f t="shared" si="18"/>
        <v/>
      </c>
    </row>
    <row r="506" spans="1:6" x14ac:dyDescent="0.3">
      <c r="A506" s="15" t="str">
        <f t="shared" si="17"/>
        <v>.</v>
      </c>
      <c r="E506" s="13" t="str">
        <f>IFERROR(IF(AND(B506&lt;&gt;"",C506&lt;&gt;""),SUMIFS(Movimentos!$F$4:$F$9996,Movimentos!$D$4:$D$9996,B506,Movimentos!$C$4:$C$9996,"Entrada")-SUMIFS(Movimentos!$F$4:$F$9996,Movimentos!$D$4:$D$9996,B506,Movimentos!$C$4:$C$9996,"Saída"),""),"")</f>
        <v/>
      </c>
      <c r="F506" s="10" t="str">
        <f t="shared" si="18"/>
        <v/>
      </c>
    </row>
    <row r="507" spans="1:6" x14ac:dyDescent="0.3">
      <c r="A507" s="15" t="str">
        <f t="shared" si="17"/>
        <v>.</v>
      </c>
      <c r="E507" s="13" t="str">
        <f>IFERROR(IF(AND(B507&lt;&gt;"",C507&lt;&gt;""),SUMIFS(Movimentos!$F$4:$F$9996,Movimentos!$D$4:$D$9996,B507,Movimentos!$C$4:$C$9996,"Entrada")-SUMIFS(Movimentos!$F$4:$F$9996,Movimentos!$D$4:$D$9996,B507,Movimentos!$C$4:$C$9996,"Saída"),""),"")</f>
        <v/>
      </c>
      <c r="F507" s="10" t="str">
        <f t="shared" si="18"/>
        <v/>
      </c>
    </row>
    <row r="508" spans="1:6" x14ac:dyDescent="0.3">
      <c r="A508" s="15" t="str">
        <f t="shared" si="17"/>
        <v>.</v>
      </c>
      <c r="E508" s="13" t="str">
        <f>IFERROR(IF(AND(B508&lt;&gt;"",C508&lt;&gt;""),SUMIFS(Movimentos!$F$4:$F$9996,Movimentos!$D$4:$D$9996,B508,Movimentos!$C$4:$C$9996,"Entrada")-SUMIFS(Movimentos!$F$4:$F$9996,Movimentos!$D$4:$D$9996,B508,Movimentos!$C$4:$C$9996,"Saída"),""),"")</f>
        <v/>
      </c>
      <c r="F508" s="10" t="str">
        <f t="shared" si="18"/>
        <v/>
      </c>
    </row>
    <row r="509" spans="1:6" x14ac:dyDescent="0.3">
      <c r="A509" s="15" t="str">
        <f t="shared" si="17"/>
        <v>.</v>
      </c>
      <c r="E509" s="13" t="str">
        <f>IFERROR(IF(AND(B509&lt;&gt;"",C509&lt;&gt;""),SUMIFS(Movimentos!$F$4:$F$9996,Movimentos!$D$4:$D$9996,B509,Movimentos!$C$4:$C$9996,"Entrada")-SUMIFS(Movimentos!$F$4:$F$9996,Movimentos!$D$4:$D$9996,B509,Movimentos!$C$4:$C$9996,"Saída"),""),"")</f>
        <v/>
      </c>
      <c r="F509" s="10" t="str">
        <f t="shared" si="18"/>
        <v/>
      </c>
    </row>
    <row r="510" spans="1:6" x14ac:dyDescent="0.3">
      <c r="A510" s="15" t="str">
        <f t="shared" si="17"/>
        <v>.</v>
      </c>
      <c r="E510" s="13" t="str">
        <f>IFERROR(IF(AND(B510&lt;&gt;"",C510&lt;&gt;""),SUMIFS(Movimentos!$F$4:$F$9996,Movimentos!$D$4:$D$9996,B510,Movimentos!$C$4:$C$9996,"Entrada")-SUMIFS(Movimentos!$F$4:$F$9996,Movimentos!$D$4:$D$9996,B510,Movimentos!$C$4:$C$9996,"Saída"),""),"")</f>
        <v/>
      </c>
      <c r="F510" s="10" t="str">
        <f t="shared" si="18"/>
        <v/>
      </c>
    </row>
    <row r="511" spans="1:6" x14ac:dyDescent="0.3">
      <c r="A511" s="15" t="str">
        <f t="shared" si="17"/>
        <v>.</v>
      </c>
      <c r="E511" s="13" t="str">
        <f>IFERROR(IF(AND(B511&lt;&gt;"",C511&lt;&gt;""),SUMIFS(Movimentos!$F$4:$F$9996,Movimentos!$D$4:$D$9996,B511,Movimentos!$C$4:$C$9996,"Entrada")-SUMIFS(Movimentos!$F$4:$F$9996,Movimentos!$D$4:$D$9996,B511,Movimentos!$C$4:$C$9996,"Saída"),""),"")</f>
        <v/>
      </c>
      <c r="F511" s="10" t="str">
        <f t="shared" si="18"/>
        <v/>
      </c>
    </row>
    <row r="512" spans="1:6" x14ac:dyDescent="0.3">
      <c r="A512" s="15" t="str">
        <f t="shared" ref="A512:A575" si="19">IF(F512="Saldo zerado",0,IF(F512="Saldo abaixo do mínimo",1,IF(F512="Saldo disponível",2,".")))</f>
        <v>.</v>
      </c>
      <c r="E512" s="13" t="str">
        <f>IFERROR(IF(AND(B512&lt;&gt;"",C512&lt;&gt;""),SUMIFS(Movimentos!$F$4:$F$9996,Movimentos!$D$4:$D$9996,B512,Movimentos!$C$4:$C$9996,"Entrada")-SUMIFS(Movimentos!$F$4:$F$9996,Movimentos!$D$4:$D$9996,B512,Movimentos!$C$4:$C$9996,"Saída"),""),"")</f>
        <v/>
      </c>
      <c r="F512" s="10" t="str">
        <f t="shared" si="18"/>
        <v/>
      </c>
    </row>
    <row r="513" spans="1:6" x14ac:dyDescent="0.3">
      <c r="A513" s="15" t="str">
        <f t="shared" si="19"/>
        <v>.</v>
      </c>
      <c r="E513" s="13" t="str">
        <f>IFERROR(IF(AND(B513&lt;&gt;"",C513&lt;&gt;""),SUMIFS(Movimentos!$F$4:$F$9996,Movimentos!$D$4:$D$9996,B513,Movimentos!$C$4:$C$9996,"Entrada")-SUMIFS(Movimentos!$F$4:$F$9996,Movimentos!$D$4:$D$9996,B513,Movimentos!$C$4:$C$9996,"Saída"),""),"")</f>
        <v/>
      </c>
      <c r="F513" s="10" t="str">
        <f t="shared" si="18"/>
        <v/>
      </c>
    </row>
    <row r="514" spans="1:6" x14ac:dyDescent="0.3">
      <c r="A514" s="15" t="str">
        <f t="shared" si="19"/>
        <v>.</v>
      </c>
      <c r="E514" s="13" t="str">
        <f>IFERROR(IF(AND(B514&lt;&gt;"",C514&lt;&gt;""),SUMIFS(Movimentos!$F$4:$F$9996,Movimentos!$D$4:$D$9996,B514,Movimentos!$C$4:$C$9996,"Entrada")-SUMIFS(Movimentos!$F$4:$F$9996,Movimentos!$D$4:$D$9996,B514,Movimentos!$C$4:$C$9996,"Saída"),""),"")</f>
        <v/>
      </c>
      <c r="F514" s="10" t="str">
        <f t="shared" si="18"/>
        <v/>
      </c>
    </row>
    <row r="515" spans="1:6" x14ac:dyDescent="0.3">
      <c r="A515" s="15" t="str">
        <f t="shared" si="19"/>
        <v>.</v>
      </c>
      <c r="E515" s="13" t="str">
        <f>IFERROR(IF(AND(B515&lt;&gt;"",C515&lt;&gt;""),SUMIFS(Movimentos!$F$4:$F$9996,Movimentos!$D$4:$D$9996,B515,Movimentos!$C$4:$C$9996,"Entrada")-SUMIFS(Movimentos!$F$4:$F$9996,Movimentos!$D$4:$D$9996,B515,Movimentos!$C$4:$C$9996,"Saída"),""),"")</f>
        <v/>
      </c>
      <c r="F515" s="10" t="str">
        <f t="shared" si="18"/>
        <v/>
      </c>
    </row>
    <row r="516" spans="1:6" x14ac:dyDescent="0.3">
      <c r="A516" s="15" t="str">
        <f t="shared" si="19"/>
        <v>.</v>
      </c>
      <c r="E516" s="13" t="str">
        <f>IFERROR(IF(AND(B516&lt;&gt;"",C516&lt;&gt;""),SUMIFS(Movimentos!$F$4:$F$9996,Movimentos!$D$4:$D$9996,B516,Movimentos!$C$4:$C$9996,"Entrada")-SUMIFS(Movimentos!$F$4:$F$9996,Movimentos!$D$4:$D$9996,B516,Movimentos!$C$4:$C$9996,"Saída"),""),"")</f>
        <v/>
      </c>
      <c r="F516" s="10" t="str">
        <f t="shared" si="18"/>
        <v/>
      </c>
    </row>
    <row r="517" spans="1:6" x14ac:dyDescent="0.3">
      <c r="A517" s="15" t="str">
        <f t="shared" si="19"/>
        <v>.</v>
      </c>
      <c r="E517" s="13" t="str">
        <f>IFERROR(IF(AND(B517&lt;&gt;"",C517&lt;&gt;""),SUMIFS(Movimentos!$F$4:$F$9996,Movimentos!$D$4:$D$9996,B517,Movimentos!$C$4:$C$9996,"Entrada")-SUMIFS(Movimentos!$F$4:$F$9996,Movimentos!$D$4:$D$9996,B517,Movimentos!$C$4:$C$9996,"Saída"),""),"")</f>
        <v/>
      </c>
      <c r="F517" s="10" t="str">
        <f t="shared" si="18"/>
        <v/>
      </c>
    </row>
    <row r="518" spans="1:6" x14ac:dyDescent="0.3">
      <c r="A518" s="15" t="str">
        <f t="shared" si="19"/>
        <v>.</v>
      </c>
      <c r="E518" s="13" t="str">
        <f>IFERROR(IF(AND(B518&lt;&gt;"",C518&lt;&gt;""),SUMIFS(Movimentos!$F$4:$F$9996,Movimentos!$D$4:$D$9996,B518,Movimentos!$C$4:$C$9996,"Entrada")-SUMIFS(Movimentos!$F$4:$F$9996,Movimentos!$D$4:$D$9996,B518,Movimentos!$C$4:$C$9996,"Saída"),""),"")</f>
        <v/>
      </c>
      <c r="F518" s="10" t="str">
        <f t="shared" si="18"/>
        <v/>
      </c>
    </row>
    <row r="519" spans="1:6" x14ac:dyDescent="0.3">
      <c r="A519" s="15" t="str">
        <f t="shared" si="19"/>
        <v>.</v>
      </c>
      <c r="E519" s="13" t="str">
        <f>IFERROR(IF(AND(B519&lt;&gt;"",C519&lt;&gt;""),SUMIFS(Movimentos!$F$4:$F$9996,Movimentos!$D$4:$D$9996,B519,Movimentos!$C$4:$C$9996,"Entrada")-SUMIFS(Movimentos!$F$4:$F$9996,Movimentos!$D$4:$D$9996,B519,Movimentos!$C$4:$C$9996,"Saída"),""),"")</f>
        <v/>
      </c>
      <c r="F519" s="10" t="str">
        <f t="shared" si="18"/>
        <v/>
      </c>
    </row>
    <row r="520" spans="1:6" x14ac:dyDescent="0.3">
      <c r="A520" s="15" t="str">
        <f t="shared" si="19"/>
        <v>.</v>
      </c>
      <c r="E520" s="13" t="str">
        <f>IFERROR(IF(AND(B520&lt;&gt;"",C520&lt;&gt;""),SUMIFS(Movimentos!$F$4:$F$9996,Movimentos!$D$4:$D$9996,B520,Movimentos!$C$4:$C$9996,"Entrada")-SUMIFS(Movimentos!$F$4:$F$9996,Movimentos!$D$4:$D$9996,B520,Movimentos!$C$4:$C$9996,"Saída"),""),"")</f>
        <v/>
      </c>
      <c r="F520" s="10" t="str">
        <f t="shared" si="18"/>
        <v/>
      </c>
    </row>
    <row r="521" spans="1:6" x14ac:dyDescent="0.3">
      <c r="A521" s="15" t="str">
        <f t="shared" si="19"/>
        <v>.</v>
      </c>
      <c r="E521" s="13" t="str">
        <f>IFERROR(IF(AND(B521&lt;&gt;"",C521&lt;&gt;""),SUMIFS(Movimentos!$F$4:$F$9996,Movimentos!$D$4:$D$9996,B521,Movimentos!$C$4:$C$9996,"Entrada")-SUMIFS(Movimentos!$F$4:$F$9996,Movimentos!$D$4:$D$9996,B521,Movimentos!$C$4:$C$9996,"Saída"),""),"")</f>
        <v/>
      </c>
      <c r="F521" s="10" t="str">
        <f t="shared" si="18"/>
        <v/>
      </c>
    </row>
    <row r="522" spans="1:6" x14ac:dyDescent="0.3">
      <c r="A522" s="15" t="str">
        <f t="shared" si="19"/>
        <v>.</v>
      </c>
      <c r="E522" s="13" t="str">
        <f>IFERROR(IF(AND(B522&lt;&gt;"",C522&lt;&gt;""),SUMIFS(Movimentos!$F$4:$F$9996,Movimentos!$D$4:$D$9996,B522,Movimentos!$C$4:$C$9996,"Entrada")-SUMIFS(Movimentos!$F$4:$F$9996,Movimentos!$D$4:$D$9996,B522,Movimentos!$C$4:$C$9996,"Saída"),""),"")</f>
        <v/>
      </c>
      <c r="F522" s="10" t="str">
        <f t="shared" si="18"/>
        <v/>
      </c>
    </row>
    <row r="523" spans="1:6" x14ac:dyDescent="0.3">
      <c r="A523" s="15" t="str">
        <f t="shared" si="19"/>
        <v>.</v>
      </c>
      <c r="E523" s="13" t="str">
        <f>IFERROR(IF(AND(B523&lt;&gt;"",C523&lt;&gt;""),SUMIFS(Movimentos!$F$4:$F$9996,Movimentos!$D$4:$D$9996,B523,Movimentos!$C$4:$C$9996,"Entrada")-SUMIFS(Movimentos!$F$4:$F$9996,Movimentos!$D$4:$D$9996,B523,Movimentos!$C$4:$C$9996,"Saída"),""),"")</f>
        <v/>
      </c>
      <c r="F523" s="10" t="str">
        <f t="shared" si="18"/>
        <v/>
      </c>
    </row>
    <row r="524" spans="1:6" x14ac:dyDescent="0.3">
      <c r="A524" s="15" t="str">
        <f t="shared" si="19"/>
        <v>.</v>
      </c>
      <c r="E524" s="13" t="str">
        <f>IFERROR(IF(AND(B524&lt;&gt;"",C524&lt;&gt;""),SUMIFS(Movimentos!$F$4:$F$9996,Movimentos!$D$4:$D$9996,B524,Movimentos!$C$4:$C$9996,"Entrada")-SUMIFS(Movimentos!$F$4:$F$9996,Movimentos!$D$4:$D$9996,B524,Movimentos!$C$4:$C$9996,"Saída"),""),"")</f>
        <v/>
      </c>
      <c r="F524" s="10" t="str">
        <f t="shared" si="18"/>
        <v/>
      </c>
    </row>
    <row r="525" spans="1:6" x14ac:dyDescent="0.3">
      <c r="A525" s="15" t="str">
        <f t="shared" si="19"/>
        <v>.</v>
      </c>
      <c r="E525" s="13" t="str">
        <f>IFERROR(IF(AND(B525&lt;&gt;"",C525&lt;&gt;""),SUMIFS(Movimentos!$F$4:$F$9996,Movimentos!$D$4:$D$9996,B525,Movimentos!$C$4:$C$9996,"Entrada")-SUMIFS(Movimentos!$F$4:$F$9996,Movimentos!$D$4:$D$9996,B525,Movimentos!$C$4:$C$9996,"Saída"),""),"")</f>
        <v/>
      </c>
      <c r="F525" s="10" t="str">
        <f t="shared" si="18"/>
        <v/>
      </c>
    </row>
    <row r="526" spans="1:6" x14ac:dyDescent="0.3">
      <c r="A526" s="15" t="str">
        <f t="shared" si="19"/>
        <v>.</v>
      </c>
      <c r="E526" s="13" t="str">
        <f>IFERROR(IF(AND(B526&lt;&gt;"",C526&lt;&gt;""),SUMIFS(Movimentos!$F$4:$F$9996,Movimentos!$D$4:$D$9996,B526,Movimentos!$C$4:$C$9996,"Entrada")-SUMIFS(Movimentos!$F$4:$F$9996,Movimentos!$D$4:$D$9996,B526,Movimentos!$C$4:$C$9996,"Saída"),""),"")</f>
        <v/>
      </c>
      <c r="F526" s="10" t="str">
        <f t="shared" si="18"/>
        <v/>
      </c>
    </row>
    <row r="527" spans="1:6" x14ac:dyDescent="0.3">
      <c r="A527" s="15" t="str">
        <f t="shared" si="19"/>
        <v>.</v>
      </c>
      <c r="E527" s="13" t="str">
        <f>IFERROR(IF(AND(B527&lt;&gt;"",C527&lt;&gt;""),SUMIFS(Movimentos!$F$4:$F$9996,Movimentos!$D$4:$D$9996,B527,Movimentos!$C$4:$C$9996,"Entrada")-SUMIFS(Movimentos!$F$4:$F$9996,Movimentos!$D$4:$D$9996,B527,Movimentos!$C$4:$C$9996,"Saída"),""),"")</f>
        <v/>
      </c>
      <c r="F527" s="10" t="str">
        <f t="shared" si="18"/>
        <v/>
      </c>
    </row>
    <row r="528" spans="1:6" x14ac:dyDescent="0.3">
      <c r="A528" s="15" t="str">
        <f t="shared" si="19"/>
        <v>.</v>
      </c>
      <c r="E528" s="13" t="str">
        <f>IFERROR(IF(AND(B528&lt;&gt;"",C528&lt;&gt;""),SUMIFS(Movimentos!$F$4:$F$9996,Movimentos!$D$4:$D$9996,B528,Movimentos!$C$4:$C$9996,"Entrada")-SUMIFS(Movimentos!$F$4:$F$9996,Movimentos!$D$4:$D$9996,B528,Movimentos!$C$4:$C$9996,"Saída"),""),"")</f>
        <v/>
      </c>
      <c r="F528" s="10" t="str">
        <f t="shared" si="18"/>
        <v/>
      </c>
    </row>
    <row r="529" spans="1:6" x14ac:dyDescent="0.3">
      <c r="A529" s="15" t="str">
        <f t="shared" si="19"/>
        <v>.</v>
      </c>
      <c r="E529" s="13" t="str">
        <f>IFERROR(IF(AND(B529&lt;&gt;"",C529&lt;&gt;""),SUMIFS(Movimentos!$F$4:$F$9996,Movimentos!$D$4:$D$9996,B529,Movimentos!$C$4:$C$9996,"Entrada")-SUMIFS(Movimentos!$F$4:$F$9996,Movimentos!$D$4:$D$9996,B529,Movimentos!$C$4:$C$9996,"Saída"),""),"")</f>
        <v/>
      </c>
      <c r="F529" s="10" t="str">
        <f t="shared" si="18"/>
        <v/>
      </c>
    </row>
    <row r="530" spans="1:6" x14ac:dyDescent="0.3">
      <c r="A530" s="15" t="str">
        <f t="shared" si="19"/>
        <v>.</v>
      </c>
      <c r="E530" s="13" t="str">
        <f>IFERROR(IF(AND(B530&lt;&gt;"",C530&lt;&gt;""),SUMIFS(Movimentos!$F$4:$F$9996,Movimentos!$D$4:$D$9996,B530,Movimentos!$C$4:$C$9996,"Entrada")-SUMIFS(Movimentos!$F$4:$F$9996,Movimentos!$D$4:$D$9996,B530,Movimentos!$C$4:$C$9996,"Saída"),""),"")</f>
        <v/>
      </c>
      <c r="F530" s="10" t="str">
        <f t="shared" si="18"/>
        <v/>
      </c>
    </row>
    <row r="531" spans="1:6" x14ac:dyDescent="0.3">
      <c r="A531" s="15" t="str">
        <f t="shared" si="19"/>
        <v>.</v>
      </c>
      <c r="E531" s="13" t="str">
        <f>IFERROR(IF(AND(B531&lt;&gt;"",C531&lt;&gt;""),SUMIFS(Movimentos!$F$4:$F$9996,Movimentos!$D$4:$D$9996,B531,Movimentos!$C$4:$C$9996,"Entrada")-SUMIFS(Movimentos!$F$4:$F$9996,Movimentos!$D$4:$D$9996,B531,Movimentos!$C$4:$C$9996,"Saída"),""),"")</f>
        <v/>
      </c>
      <c r="F531" s="10" t="str">
        <f t="shared" si="18"/>
        <v/>
      </c>
    </row>
    <row r="532" spans="1:6" x14ac:dyDescent="0.3">
      <c r="A532" s="15" t="str">
        <f t="shared" si="19"/>
        <v>.</v>
      </c>
      <c r="E532" s="13" t="str">
        <f>IFERROR(IF(AND(B532&lt;&gt;"",C532&lt;&gt;""),SUMIFS(Movimentos!$F$4:$F$9996,Movimentos!$D$4:$D$9996,B532,Movimentos!$C$4:$C$9996,"Entrada")-SUMIFS(Movimentos!$F$4:$F$9996,Movimentos!$D$4:$D$9996,B532,Movimentos!$C$4:$C$9996,"Saída"),""),"")</f>
        <v/>
      </c>
      <c r="F532" s="10" t="str">
        <f t="shared" si="18"/>
        <v/>
      </c>
    </row>
    <row r="533" spans="1:6" x14ac:dyDescent="0.3">
      <c r="A533" s="15" t="str">
        <f t="shared" si="19"/>
        <v>.</v>
      </c>
      <c r="E533" s="13" t="str">
        <f>IFERROR(IF(AND(B533&lt;&gt;"",C533&lt;&gt;""),SUMIFS(Movimentos!$F$4:$F$9996,Movimentos!$D$4:$D$9996,B533,Movimentos!$C$4:$C$9996,"Entrada")-SUMIFS(Movimentos!$F$4:$F$9996,Movimentos!$D$4:$D$9996,B533,Movimentos!$C$4:$C$9996,"Saída"),""),"")</f>
        <v/>
      </c>
      <c r="F533" s="10" t="str">
        <f t="shared" si="18"/>
        <v/>
      </c>
    </row>
    <row r="534" spans="1:6" x14ac:dyDescent="0.3">
      <c r="A534" s="15" t="str">
        <f t="shared" si="19"/>
        <v>.</v>
      </c>
      <c r="E534" s="13" t="str">
        <f>IFERROR(IF(AND(B534&lt;&gt;"",C534&lt;&gt;""),SUMIFS(Movimentos!$F$4:$F$9996,Movimentos!$D$4:$D$9996,B534,Movimentos!$C$4:$C$9996,"Entrada")-SUMIFS(Movimentos!$F$4:$F$9996,Movimentos!$D$4:$D$9996,B534,Movimentos!$C$4:$C$9996,"Saída"),""),"")</f>
        <v/>
      </c>
      <c r="F534" s="10" t="str">
        <f t="shared" si="18"/>
        <v/>
      </c>
    </row>
    <row r="535" spans="1:6" x14ac:dyDescent="0.3">
      <c r="A535" s="15" t="str">
        <f t="shared" si="19"/>
        <v>.</v>
      </c>
      <c r="E535" s="13" t="str">
        <f>IFERROR(IF(AND(B535&lt;&gt;"",C535&lt;&gt;""),SUMIFS(Movimentos!$F$4:$F$9996,Movimentos!$D$4:$D$9996,B535,Movimentos!$C$4:$C$9996,"Entrada")-SUMIFS(Movimentos!$F$4:$F$9996,Movimentos!$D$4:$D$9996,B535,Movimentos!$C$4:$C$9996,"Saída"),""),"")</f>
        <v/>
      </c>
      <c r="F535" s="10" t="str">
        <f t="shared" ref="F535:F598" si="20">IF(AND(B535&lt;&gt;"",C535&lt;&gt;""),IF(E535=0,"Saldo zerado",IF(E535&lt;D535,"Saldo abaixo do mínimo","Saldo disponível")),"")</f>
        <v/>
      </c>
    </row>
    <row r="536" spans="1:6" x14ac:dyDescent="0.3">
      <c r="A536" s="15" t="str">
        <f t="shared" si="19"/>
        <v>.</v>
      </c>
      <c r="E536" s="13" t="str">
        <f>IFERROR(IF(AND(B536&lt;&gt;"",C536&lt;&gt;""),SUMIFS(Movimentos!$F$4:$F$9996,Movimentos!$D$4:$D$9996,B536,Movimentos!$C$4:$C$9996,"Entrada")-SUMIFS(Movimentos!$F$4:$F$9996,Movimentos!$D$4:$D$9996,B536,Movimentos!$C$4:$C$9996,"Saída"),""),"")</f>
        <v/>
      </c>
      <c r="F536" s="10" t="str">
        <f t="shared" si="20"/>
        <v/>
      </c>
    </row>
    <row r="537" spans="1:6" x14ac:dyDescent="0.3">
      <c r="A537" s="15" t="str">
        <f t="shared" si="19"/>
        <v>.</v>
      </c>
      <c r="E537" s="13" t="str">
        <f>IFERROR(IF(AND(B537&lt;&gt;"",C537&lt;&gt;""),SUMIFS(Movimentos!$F$4:$F$9996,Movimentos!$D$4:$D$9996,B537,Movimentos!$C$4:$C$9996,"Entrada")-SUMIFS(Movimentos!$F$4:$F$9996,Movimentos!$D$4:$D$9996,B537,Movimentos!$C$4:$C$9996,"Saída"),""),"")</f>
        <v/>
      </c>
      <c r="F537" s="10" t="str">
        <f t="shared" si="20"/>
        <v/>
      </c>
    </row>
    <row r="538" spans="1:6" x14ac:dyDescent="0.3">
      <c r="A538" s="15" t="str">
        <f t="shared" si="19"/>
        <v>.</v>
      </c>
      <c r="E538" s="13" t="str">
        <f>IFERROR(IF(AND(B538&lt;&gt;"",C538&lt;&gt;""),SUMIFS(Movimentos!$F$4:$F$9996,Movimentos!$D$4:$D$9996,B538,Movimentos!$C$4:$C$9996,"Entrada")-SUMIFS(Movimentos!$F$4:$F$9996,Movimentos!$D$4:$D$9996,B538,Movimentos!$C$4:$C$9996,"Saída"),""),"")</f>
        <v/>
      </c>
      <c r="F538" s="10" t="str">
        <f t="shared" si="20"/>
        <v/>
      </c>
    </row>
    <row r="539" spans="1:6" x14ac:dyDescent="0.3">
      <c r="A539" s="15" t="str">
        <f t="shared" si="19"/>
        <v>.</v>
      </c>
      <c r="E539" s="13" t="str">
        <f>IFERROR(IF(AND(B539&lt;&gt;"",C539&lt;&gt;""),SUMIFS(Movimentos!$F$4:$F$9996,Movimentos!$D$4:$D$9996,B539,Movimentos!$C$4:$C$9996,"Entrada")-SUMIFS(Movimentos!$F$4:$F$9996,Movimentos!$D$4:$D$9996,B539,Movimentos!$C$4:$C$9996,"Saída"),""),"")</f>
        <v/>
      </c>
      <c r="F539" s="10" t="str">
        <f t="shared" si="20"/>
        <v/>
      </c>
    </row>
    <row r="540" spans="1:6" x14ac:dyDescent="0.3">
      <c r="A540" s="15" t="str">
        <f t="shared" si="19"/>
        <v>.</v>
      </c>
      <c r="E540" s="13" t="str">
        <f>IFERROR(IF(AND(B540&lt;&gt;"",C540&lt;&gt;""),SUMIFS(Movimentos!$F$4:$F$9996,Movimentos!$D$4:$D$9996,B540,Movimentos!$C$4:$C$9996,"Entrada")-SUMIFS(Movimentos!$F$4:$F$9996,Movimentos!$D$4:$D$9996,B540,Movimentos!$C$4:$C$9996,"Saída"),""),"")</f>
        <v/>
      </c>
      <c r="F540" s="10" t="str">
        <f t="shared" si="20"/>
        <v/>
      </c>
    </row>
    <row r="541" spans="1:6" x14ac:dyDescent="0.3">
      <c r="A541" s="15" t="str">
        <f t="shared" si="19"/>
        <v>.</v>
      </c>
      <c r="E541" s="13" t="str">
        <f>IFERROR(IF(AND(B541&lt;&gt;"",C541&lt;&gt;""),SUMIFS(Movimentos!$F$4:$F$9996,Movimentos!$D$4:$D$9996,B541,Movimentos!$C$4:$C$9996,"Entrada")-SUMIFS(Movimentos!$F$4:$F$9996,Movimentos!$D$4:$D$9996,B541,Movimentos!$C$4:$C$9996,"Saída"),""),"")</f>
        <v/>
      </c>
      <c r="F541" s="10" t="str">
        <f t="shared" si="20"/>
        <v/>
      </c>
    </row>
    <row r="542" spans="1:6" x14ac:dyDescent="0.3">
      <c r="A542" s="15" t="str">
        <f t="shared" si="19"/>
        <v>.</v>
      </c>
      <c r="E542" s="13" t="str">
        <f>IFERROR(IF(AND(B542&lt;&gt;"",C542&lt;&gt;""),SUMIFS(Movimentos!$F$4:$F$9996,Movimentos!$D$4:$D$9996,B542,Movimentos!$C$4:$C$9996,"Entrada")-SUMIFS(Movimentos!$F$4:$F$9996,Movimentos!$D$4:$D$9996,B542,Movimentos!$C$4:$C$9996,"Saída"),""),"")</f>
        <v/>
      </c>
      <c r="F542" s="10" t="str">
        <f t="shared" si="20"/>
        <v/>
      </c>
    </row>
    <row r="543" spans="1:6" x14ac:dyDescent="0.3">
      <c r="A543" s="15" t="str">
        <f t="shared" si="19"/>
        <v>.</v>
      </c>
      <c r="E543" s="13" t="str">
        <f>IFERROR(IF(AND(B543&lt;&gt;"",C543&lt;&gt;""),SUMIFS(Movimentos!$F$4:$F$9996,Movimentos!$D$4:$D$9996,B543,Movimentos!$C$4:$C$9996,"Entrada")-SUMIFS(Movimentos!$F$4:$F$9996,Movimentos!$D$4:$D$9996,B543,Movimentos!$C$4:$C$9996,"Saída"),""),"")</f>
        <v/>
      </c>
      <c r="F543" s="10" t="str">
        <f t="shared" si="20"/>
        <v/>
      </c>
    </row>
    <row r="544" spans="1:6" x14ac:dyDescent="0.3">
      <c r="A544" s="15" t="str">
        <f t="shared" si="19"/>
        <v>.</v>
      </c>
      <c r="E544" s="13" t="str">
        <f>IFERROR(IF(AND(B544&lt;&gt;"",C544&lt;&gt;""),SUMIFS(Movimentos!$F$4:$F$9996,Movimentos!$D$4:$D$9996,B544,Movimentos!$C$4:$C$9996,"Entrada")-SUMIFS(Movimentos!$F$4:$F$9996,Movimentos!$D$4:$D$9996,B544,Movimentos!$C$4:$C$9996,"Saída"),""),"")</f>
        <v/>
      </c>
      <c r="F544" s="10" t="str">
        <f t="shared" si="20"/>
        <v/>
      </c>
    </row>
    <row r="545" spans="1:6" x14ac:dyDescent="0.3">
      <c r="A545" s="15" t="str">
        <f t="shared" si="19"/>
        <v>.</v>
      </c>
      <c r="E545" s="13" t="str">
        <f>IFERROR(IF(AND(B545&lt;&gt;"",C545&lt;&gt;""),SUMIFS(Movimentos!$F$4:$F$9996,Movimentos!$D$4:$D$9996,B545,Movimentos!$C$4:$C$9996,"Entrada")-SUMIFS(Movimentos!$F$4:$F$9996,Movimentos!$D$4:$D$9996,B545,Movimentos!$C$4:$C$9996,"Saída"),""),"")</f>
        <v/>
      </c>
      <c r="F545" s="10" t="str">
        <f t="shared" si="20"/>
        <v/>
      </c>
    </row>
    <row r="546" spans="1:6" x14ac:dyDescent="0.3">
      <c r="A546" s="15" t="str">
        <f t="shared" si="19"/>
        <v>.</v>
      </c>
      <c r="E546" s="13" t="str">
        <f>IFERROR(IF(AND(B546&lt;&gt;"",C546&lt;&gt;""),SUMIFS(Movimentos!$F$4:$F$9996,Movimentos!$D$4:$D$9996,B546,Movimentos!$C$4:$C$9996,"Entrada")-SUMIFS(Movimentos!$F$4:$F$9996,Movimentos!$D$4:$D$9996,B546,Movimentos!$C$4:$C$9996,"Saída"),""),"")</f>
        <v/>
      </c>
      <c r="F546" s="10" t="str">
        <f t="shared" si="20"/>
        <v/>
      </c>
    </row>
    <row r="547" spans="1:6" x14ac:dyDescent="0.3">
      <c r="A547" s="15" t="str">
        <f t="shared" si="19"/>
        <v>.</v>
      </c>
      <c r="E547" s="13" t="str">
        <f>IFERROR(IF(AND(B547&lt;&gt;"",C547&lt;&gt;""),SUMIFS(Movimentos!$F$4:$F$9996,Movimentos!$D$4:$D$9996,B547,Movimentos!$C$4:$C$9996,"Entrada")-SUMIFS(Movimentos!$F$4:$F$9996,Movimentos!$D$4:$D$9996,B547,Movimentos!$C$4:$C$9996,"Saída"),""),"")</f>
        <v/>
      </c>
      <c r="F547" s="10" t="str">
        <f t="shared" si="20"/>
        <v/>
      </c>
    </row>
    <row r="548" spans="1:6" x14ac:dyDescent="0.3">
      <c r="A548" s="15" t="str">
        <f t="shared" si="19"/>
        <v>.</v>
      </c>
      <c r="E548" s="13" t="str">
        <f>IFERROR(IF(AND(B548&lt;&gt;"",C548&lt;&gt;""),SUMIFS(Movimentos!$F$4:$F$9996,Movimentos!$D$4:$D$9996,B548,Movimentos!$C$4:$C$9996,"Entrada")-SUMIFS(Movimentos!$F$4:$F$9996,Movimentos!$D$4:$D$9996,B548,Movimentos!$C$4:$C$9996,"Saída"),""),"")</f>
        <v/>
      </c>
      <c r="F548" s="10" t="str">
        <f t="shared" si="20"/>
        <v/>
      </c>
    </row>
    <row r="549" spans="1:6" x14ac:dyDescent="0.3">
      <c r="A549" s="15" t="str">
        <f t="shared" si="19"/>
        <v>.</v>
      </c>
      <c r="E549" s="13" t="str">
        <f>IFERROR(IF(AND(B549&lt;&gt;"",C549&lt;&gt;""),SUMIFS(Movimentos!$F$4:$F$9996,Movimentos!$D$4:$D$9996,B549,Movimentos!$C$4:$C$9996,"Entrada")-SUMIFS(Movimentos!$F$4:$F$9996,Movimentos!$D$4:$D$9996,B549,Movimentos!$C$4:$C$9996,"Saída"),""),"")</f>
        <v/>
      </c>
      <c r="F549" s="10" t="str">
        <f t="shared" si="20"/>
        <v/>
      </c>
    </row>
    <row r="550" spans="1:6" x14ac:dyDescent="0.3">
      <c r="A550" s="15" t="str">
        <f t="shared" si="19"/>
        <v>.</v>
      </c>
      <c r="E550" s="13" t="str">
        <f>IFERROR(IF(AND(B550&lt;&gt;"",C550&lt;&gt;""),SUMIFS(Movimentos!$F$4:$F$9996,Movimentos!$D$4:$D$9996,B550,Movimentos!$C$4:$C$9996,"Entrada")-SUMIFS(Movimentos!$F$4:$F$9996,Movimentos!$D$4:$D$9996,B550,Movimentos!$C$4:$C$9996,"Saída"),""),"")</f>
        <v/>
      </c>
      <c r="F550" s="10" t="str">
        <f t="shared" si="20"/>
        <v/>
      </c>
    </row>
    <row r="551" spans="1:6" x14ac:dyDescent="0.3">
      <c r="A551" s="15" t="str">
        <f t="shared" si="19"/>
        <v>.</v>
      </c>
      <c r="E551" s="13" t="str">
        <f>IFERROR(IF(AND(B551&lt;&gt;"",C551&lt;&gt;""),SUMIFS(Movimentos!$F$4:$F$9996,Movimentos!$D$4:$D$9996,B551,Movimentos!$C$4:$C$9996,"Entrada")-SUMIFS(Movimentos!$F$4:$F$9996,Movimentos!$D$4:$D$9996,B551,Movimentos!$C$4:$C$9996,"Saída"),""),"")</f>
        <v/>
      </c>
      <c r="F551" s="10" t="str">
        <f t="shared" si="20"/>
        <v/>
      </c>
    </row>
    <row r="552" spans="1:6" x14ac:dyDescent="0.3">
      <c r="A552" s="15" t="str">
        <f t="shared" si="19"/>
        <v>.</v>
      </c>
      <c r="E552" s="13" t="str">
        <f>IFERROR(IF(AND(B552&lt;&gt;"",C552&lt;&gt;""),SUMIFS(Movimentos!$F$4:$F$9996,Movimentos!$D$4:$D$9996,B552,Movimentos!$C$4:$C$9996,"Entrada")-SUMIFS(Movimentos!$F$4:$F$9996,Movimentos!$D$4:$D$9996,B552,Movimentos!$C$4:$C$9996,"Saída"),""),"")</f>
        <v/>
      </c>
      <c r="F552" s="10" t="str">
        <f t="shared" si="20"/>
        <v/>
      </c>
    </row>
    <row r="553" spans="1:6" x14ac:dyDescent="0.3">
      <c r="A553" s="15" t="str">
        <f t="shared" si="19"/>
        <v>.</v>
      </c>
      <c r="E553" s="13" t="str">
        <f>IFERROR(IF(AND(B553&lt;&gt;"",C553&lt;&gt;""),SUMIFS(Movimentos!$F$4:$F$9996,Movimentos!$D$4:$D$9996,B553,Movimentos!$C$4:$C$9996,"Entrada")-SUMIFS(Movimentos!$F$4:$F$9996,Movimentos!$D$4:$D$9996,B553,Movimentos!$C$4:$C$9996,"Saída"),""),"")</f>
        <v/>
      </c>
      <c r="F553" s="10" t="str">
        <f t="shared" si="20"/>
        <v/>
      </c>
    </row>
    <row r="554" spans="1:6" x14ac:dyDescent="0.3">
      <c r="A554" s="15" t="str">
        <f t="shared" si="19"/>
        <v>.</v>
      </c>
      <c r="E554" s="13" t="str">
        <f>IFERROR(IF(AND(B554&lt;&gt;"",C554&lt;&gt;""),SUMIFS(Movimentos!$F$4:$F$9996,Movimentos!$D$4:$D$9996,B554,Movimentos!$C$4:$C$9996,"Entrada")-SUMIFS(Movimentos!$F$4:$F$9996,Movimentos!$D$4:$D$9996,B554,Movimentos!$C$4:$C$9996,"Saída"),""),"")</f>
        <v/>
      </c>
      <c r="F554" s="10" t="str">
        <f t="shared" si="20"/>
        <v/>
      </c>
    </row>
    <row r="555" spans="1:6" x14ac:dyDescent="0.3">
      <c r="A555" s="15" t="str">
        <f t="shared" si="19"/>
        <v>.</v>
      </c>
      <c r="E555" s="13" t="str">
        <f>IFERROR(IF(AND(B555&lt;&gt;"",C555&lt;&gt;""),SUMIFS(Movimentos!$F$4:$F$9996,Movimentos!$D$4:$D$9996,B555,Movimentos!$C$4:$C$9996,"Entrada")-SUMIFS(Movimentos!$F$4:$F$9996,Movimentos!$D$4:$D$9996,B555,Movimentos!$C$4:$C$9996,"Saída"),""),"")</f>
        <v/>
      </c>
      <c r="F555" s="10" t="str">
        <f t="shared" si="20"/>
        <v/>
      </c>
    </row>
    <row r="556" spans="1:6" x14ac:dyDescent="0.3">
      <c r="A556" s="15" t="str">
        <f t="shared" si="19"/>
        <v>.</v>
      </c>
      <c r="E556" s="13" t="str">
        <f>IFERROR(IF(AND(B556&lt;&gt;"",C556&lt;&gt;""),SUMIFS(Movimentos!$F$4:$F$9996,Movimentos!$D$4:$D$9996,B556,Movimentos!$C$4:$C$9996,"Entrada")-SUMIFS(Movimentos!$F$4:$F$9996,Movimentos!$D$4:$D$9996,B556,Movimentos!$C$4:$C$9996,"Saída"),""),"")</f>
        <v/>
      </c>
      <c r="F556" s="10" t="str">
        <f t="shared" si="20"/>
        <v/>
      </c>
    </row>
    <row r="557" spans="1:6" x14ac:dyDescent="0.3">
      <c r="A557" s="15" t="str">
        <f t="shared" si="19"/>
        <v>.</v>
      </c>
      <c r="E557" s="13" t="str">
        <f>IFERROR(IF(AND(B557&lt;&gt;"",C557&lt;&gt;""),SUMIFS(Movimentos!$F$4:$F$9996,Movimentos!$D$4:$D$9996,B557,Movimentos!$C$4:$C$9996,"Entrada")-SUMIFS(Movimentos!$F$4:$F$9996,Movimentos!$D$4:$D$9996,B557,Movimentos!$C$4:$C$9996,"Saída"),""),"")</f>
        <v/>
      </c>
      <c r="F557" s="10" t="str">
        <f t="shared" si="20"/>
        <v/>
      </c>
    </row>
    <row r="558" spans="1:6" x14ac:dyDescent="0.3">
      <c r="A558" s="15" t="str">
        <f t="shared" si="19"/>
        <v>.</v>
      </c>
      <c r="E558" s="13" t="str">
        <f>IFERROR(IF(AND(B558&lt;&gt;"",C558&lt;&gt;""),SUMIFS(Movimentos!$F$4:$F$9996,Movimentos!$D$4:$D$9996,B558,Movimentos!$C$4:$C$9996,"Entrada")-SUMIFS(Movimentos!$F$4:$F$9996,Movimentos!$D$4:$D$9996,B558,Movimentos!$C$4:$C$9996,"Saída"),""),"")</f>
        <v/>
      </c>
      <c r="F558" s="10" t="str">
        <f t="shared" si="20"/>
        <v/>
      </c>
    </row>
    <row r="559" spans="1:6" x14ac:dyDescent="0.3">
      <c r="A559" s="15" t="str">
        <f t="shared" si="19"/>
        <v>.</v>
      </c>
      <c r="E559" s="13" t="str">
        <f>IFERROR(IF(AND(B559&lt;&gt;"",C559&lt;&gt;""),SUMIFS(Movimentos!$F$4:$F$9996,Movimentos!$D$4:$D$9996,B559,Movimentos!$C$4:$C$9996,"Entrada")-SUMIFS(Movimentos!$F$4:$F$9996,Movimentos!$D$4:$D$9996,B559,Movimentos!$C$4:$C$9996,"Saída"),""),"")</f>
        <v/>
      </c>
      <c r="F559" s="10" t="str">
        <f t="shared" si="20"/>
        <v/>
      </c>
    </row>
    <row r="560" spans="1:6" x14ac:dyDescent="0.3">
      <c r="A560" s="15" t="str">
        <f t="shared" si="19"/>
        <v>.</v>
      </c>
      <c r="E560" s="13" t="str">
        <f>IFERROR(IF(AND(B560&lt;&gt;"",C560&lt;&gt;""),SUMIFS(Movimentos!$F$4:$F$9996,Movimentos!$D$4:$D$9996,B560,Movimentos!$C$4:$C$9996,"Entrada")-SUMIFS(Movimentos!$F$4:$F$9996,Movimentos!$D$4:$D$9996,B560,Movimentos!$C$4:$C$9996,"Saída"),""),"")</f>
        <v/>
      </c>
      <c r="F560" s="10" t="str">
        <f t="shared" si="20"/>
        <v/>
      </c>
    </row>
    <row r="561" spans="1:6" x14ac:dyDescent="0.3">
      <c r="A561" s="15" t="str">
        <f t="shared" si="19"/>
        <v>.</v>
      </c>
      <c r="E561" s="13" t="str">
        <f>IFERROR(IF(AND(B561&lt;&gt;"",C561&lt;&gt;""),SUMIFS(Movimentos!$F$4:$F$9996,Movimentos!$D$4:$D$9996,B561,Movimentos!$C$4:$C$9996,"Entrada")-SUMIFS(Movimentos!$F$4:$F$9996,Movimentos!$D$4:$D$9996,B561,Movimentos!$C$4:$C$9996,"Saída"),""),"")</f>
        <v/>
      </c>
      <c r="F561" s="10" t="str">
        <f t="shared" si="20"/>
        <v/>
      </c>
    </row>
    <row r="562" spans="1:6" x14ac:dyDescent="0.3">
      <c r="A562" s="15" t="str">
        <f t="shared" si="19"/>
        <v>.</v>
      </c>
      <c r="E562" s="13" t="str">
        <f>IFERROR(IF(AND(B562&lt;&gt;"",C562&lt;&gt;""),SUMIFS(Movimentos!$F$4:$F$9996,Movimentos!$D$4:$D$9996,B562,Movimentos!$C$4:$C$9996,"Entrada")-SUMIFS(Movimentos!$F$4:$F$9996,Movimentos!$D$4:$D$9996,B562,Movimentos!$C$4:$C$9996,"Saída"),""),"")</f>
        <v/>
      </c>
      <c r="F562" s="10" t="str">
        <f t="shared" si="20"/>
        <v/>
      </c>
    </row>
    <row r="563" spans="1:6" x14ac:dyDescent="0.3">
      <c r="A563" s="15" t="str">
        <f t="shared" si="19"/>
        <v>.</v>
      </c>
      <c r="E563" s="13" t="str">
        <f>IFERROR(IF(AND(B563&lt;&gt;"",C563&lt;&gt;""),SUMIFS(Movimentos!$F$4:$F$9996,Movimentos!$D$4:$D$9996,B563,Movimentos!$C$4:$C$9996,"Entrada")-SUMIFS(Movimentos!$F$4:$F$9996,Movimentos!$D$4:$D$9996,B563,Movimentos!$C$4:$C$9996,"Saída"),""),"")</f>
        <v/>
      </c>
      <c r="F563" s="10" t="str">
        <f t="shared" si="20"/>
        <v/>
      </c>
    </row>
    <row r="564" spans="1:6" x14ac:dyDescent="0.3">
      <c r="A564" s="15" t="str">
        <f t="shared" si="19"/>
        <v>.</v>
      </c>
      <c r="E564" s="13" t="str">
        <f>IFERROR(IF(AND(B564&lt;&gt;"",C564&lt;&gt;""),SUMIFS(Movimentos!$F$4:$F$9996,Movimentos!$D$4:$D$9996,B564,Movimentos!$C$4:$C$9996,"Entrada")-SUMIFS(Movimentos!$F$4:$F$9996,Movimentos!$D$4:$D$9996,B564,Movimentos!$C$4:$C$9996,"Saída"),""),"")</f>
        <v/>
      </c>
      <c r="F564" s="10" t="str">
        <f t="shared" si="20"/>
        <v/>
      </c>
    </row>
    <row r="565" spans="1:6" x14ac:dyDescent="0.3">
      <c r="A565" s="15" t="str">
        <f t="shared" si="19"/>
        <v>.</v>
      </c>
      <c r="E565" s="13" t="str">
        <f>IFERROR(IF(AND(B565&lt;&gt;"",C565&lt;&gt;""),SUMIFS(Movimentos!$F$4:$F$9996,Movimentos!$D$4:$D$9996,B565,Movimentos!$C$4:$C$9996,"Entrada")-SUMIFS(Movimentos!$F$4:$F$9996,Movimentos!$D$4:$D$9996,B565,Movimentos!$C$4:$C$9996,"Saída"),""),"")</f>
        <v/>
      </c>
      <c r="F565" s="10" t="str">
        <f t="shared" si="20"/>
        <v/>
      </c>
    </row>
    <row r="566" spans="1:6" x14ac:dyDescent="0.3">
      <c r="A566" s="15" t="str">
        <f t="shared" si="19"/>
        <v>.</v>
      </c>
      <c r="E566" s="13" t="str">
        <f>IFERROR(IF(AND(B566&lt;&gt;"",C566&lt;&gt;""),SUMIFS(Movimentos!$F$4:$F$9996,Movimentos!$D$4:$D$9996,B566,Movimentos!$C$4:$C$9996,"Entrada")-SUMIFS(Movimentos!$F$4:$F$9996,Movimentos!$D$4:$D$9996,B566,Movimentos!$C$4:$C$9996,"Saída"),""),"")</f>
        <v/>
      </c>
      <c r="F566" s="10" t="str">
        <f t="shared" si="20"/>
        <v/>
      </c>
    </row>
    <row r="567" spans="1:6" x14ac:dyDescent="0.3">
      <c r="A567" s="15" t="str">
        <f t="shared" si="19"/>
        <v>.</v>
      </c>
      <c r="E567" s="13" t="str">
        <f>IFERROR(IF(AND(B567&lt;&gt;"",C567&lt;&gt;""),SUMIFS(Movimentos!$F$4:$F$9996,Movimentos!$D$4:$D$9996,B567,Movimentos!$C$4:$C$9996,"Entrada")-SUMIFS(Movimentos!$F$4:$F$9996,Movimentos!$D$4:$D$9996,B567,Movimentos!$C$4:$C$9996,"Saída"),""),"")</f>
        <v/>
      </c>
      <c r="F567" s="10" t="str">
        <f t="shared" si="20"/>
        <v/>
      </c>
    </row>
    <row r="568" spans="1:6" x14ac:dyDescent="0.3">
      <c r="A568" s="15" t="str">
        <f t="shared" si="19"/>
        <v>.</v>
      </c>
      <c r="E568" s="13" t="str">
        <f>IFERROR(IF(AND(B568&lt;&gt;"",C568&lt;&gt;""),SUMIFS(Movimentos!$F$4:$F$9996,Movimentos!$D$4:$D$9996,B568,Movimentos!$C$4:$C$9996,"Entrada")-SUMIFS(Movimentos!$F$4:$F$9996,Movimentos!$D$4:$D$9996,B568,Movimentos!$C$4:$C$9996,"Saída"),""),"")</f>
        <v/>
      </c>
      <c r="F568" s="10" t="str">
        <f t="shared" si="20"/>
        <v/>
      </c>
    </row>
    <row r="569" spans="1:6" x14ac:dyDescent="0.3">
      <c r="A569" s="15" t="str">
        <f t="shared" si="19"/>
        <v>.</v>
      </c>
      <c r="E569" s="13" t="str">
        <f>IFERROR(IF(AND(B569&lt;&gt;"",C569&lt;&gt;""),SUMIFS(Movimentos!$F$4:$F$9996,Movimentos!$D$4:$D$9996,B569,Movimentos!$C$4:$C$9996,"Entrada")-SUMIFS(Movimentos!$F$4:$F$9996,Movimentos!$D$4:$D$9996,B569,Movimentos!$C$4:$C$9996,"Saída"),""),"")</f>
        <v/>
      </c>
      <c r="F569" s="10" t="str">
        <f t="shared" si="20"/>
        <v/>
      </c>
    </row>
    <row r="570" spans="1:6" x14ac:dyDescent="0.3">
      <c r="A570" s="15" t="str">
        <f t="shared" si="19"/>
        <v>.</v>
      </c>
      <c r="E570" s="13" t="str">
        <f>IFERROR(IF(AND(B570&lt;&gt;"",C570&lt;&gt;""),SUMIFS(Movimentos!$F$4:$F$9996,Movimentos!$D$4:$D$9996,B570,Movimentos!$C$4:$C$9996,"Entrada")-SUMIFS(Movimentos!$F$4:$F$9996,Movimentos!$D$4:$D$9996,B570,Movimentos!$C$4:$C$9996,"Saída"),""),"")</f>
        <v/>
      </c>
      <c r="F570" s="10" t="str">
        <f t="shared" si="20"/>
        <v/>
      </c>
    </row>
    <row r="571" spans="1:6" x14ac:dyDescent="0.3">
      <c r="A571" s="15" t="str">
        <f t="shared" si="19"/>
        <v>.</v>
      </c>
      <c r="E571" s="13" t="str">
        <f>IFERROR(IF(AND(B571&lt;&gt;"",C571&lt;&gt;""),SUMIFS(Movimentos!$F$4:$F$9996,Movimentos!$D$4:$D$9996,B571,Movimentos!$C$4:$C$9996,"Entrada")-SUMIFS(Movimentos!$F$4:$F$9996,Movimentos!$D$4:$D$9996,B571,Movimentos!$C$4:$C$9996,"Saída"),""),"")</f>
        <v/>
      </c>
      <c r="F571" s="10" t="str">
        <f t="shared" si="20"/>
        <v/>
      </c>
    </row>
    <row r="572" spans="1:6" x14ac:dyDescent="0.3">
      <c r="A572" s="15" t="str">
        <f t="shared" si="19"/>
        <v>.</v>
      </c>
      <c r="E572" s="13" t="str">
        <f>IFERROR(IF(AND(B572&lt;&gt;"",C572&lt;&gt;""),SUMIFS(Movimentos!$F$4:$F$9996,Movimentos!$D$4:$D$9996,B572,Movimentos!$C$4:$C$9996,"Entrada")-SUMIFS(Movimentos!$F$4:$F$9996,Movimentos!$D$4:$D$9996,B572,Movimentos!$C$4:$C$9996,"Saída"),""),"")</f>
        <v/>
      </c>
      <c r="F572" s="10" t="str">
        <f t="shared" si="20"/>
        <v/>
      </c>
    </row>
    <row r="573" spans="1:6" x14ac:dyDescent="0.3">
      <c r="A573" s="15" t="str">
        <f t="shared" si="19"/>
        <v>.</v>
      </c>
      <c r="E573" s="13" t="str">
        <f>IFERROR(IF(AND(B573&lt;&gt;"",C573&lt;&gt;""),SUMIFS(Movimentos!$F$4:$F$9996,Movimentos!$D$4:$D$9996,B573,Movimentos!$C$4:$C$9996,"Entrada")-SUMIFS(Movimentos!$F$4:$F$9996,Movimentos!$D$4:$D$9996,B573,Movimentos!$C$4:$C$9996,"Saída"),""),"")</f>
        <v/>
      </c>
      <c r="F573" s="10" t="str">
        <f t="shared" si="20"/>
        <v/>
      </c>
    </row>
    <row r="574" spans="1:6" x14ac:dyDescent="0.3">
      <c r="A574" s="15" t="str">
        <f t="shared" si="19"/>
        <v>.</v>
      </c>
      <c r="E574" s="13" t="str">
        <f>IFERROR(IF(AND(B574&lt;&gt;"",C574&lt;&gt;""),SUMIFS(Movimentos!$F$4:$F$9996,Movimentos!$D$4:$D$9996,B574,Movimentos!$C$4:$C$9996,"Entrada")-SUMIFS(Movimentos!$F$4:$F$9996,Movimentos!$D$4:$D$9996,B574,Movimentos!$C$4:$C$9996,"Saída"),""),"")</f>
        <v/>
      </c>
      <c r="F574" s="10" t="str">
        <f t="shared" si="20"/>
        <v/>
      </c>
    </row>
    <row r="575" spans="1:6" x14ac:dyDescent="0.3">
      <c r="A575" s="15" t="str">
        <f t="shared" si="19"/>
        <v>.</v>
      </c>
      <c r="E575" s="13" t="str">
        <f>IFERROR(IF(AND(B575&lt;&gt;"",C575&lt;&gt;""),SUMIFS(Movimentos!$F$4:$F$9996,Movimentos!$D$4:$D$9996,B575,Movimentos!$C$4:$C$9996,"Entrada")-SUMIFS(Movimentos!$F$4:$F$9996,Movimentos!$D$4:$D$9996,B575,Movimentos!$C$4:$C$9996,"Saída"),""),"")</f>
        <v/>
      </c>
      <c r="F575" s="10" t="str">
        <f t="shared" si="20"/>
        <v/>
      </c>
    </row>
    <row r="576" spans="1:6" x14ac:dyDescent="0.3">
      <c r="A576" s="15" t="str">
        <f t="shared" ref="A576:A639" si="21">IF(F576="Saldo zerado",0,IF(F576="Saldo abaixo do mínimo",1,IF(F576="Saldo disponível",2,".")))</f>
        <v>.</v>
      </c>
      <c r="E576" s="13" t="str">
        <f>IFERROR(IF(AND(B576&lt;&gt;"",C576&lt;&gt;""),SUMIFS(Movimentos!$F$4:$F$9996,Movimentos!$D$4:$D$9996,B576,Movimentos!$C$4:$C$9996,"Entrada")-SUMIFS(Movimentos!$F$4:$F$9996,Movimentos!$D$4:$D$9996,B576,Movimentos!$C$4:$C$9996,"Saída"),""),"")</f>
        <v/>
      </c>
      <c r="F576" s="10" t="str">
        <f t="shared" si="20"/>
        <v/>
      </c>
    </row>
    <row r="577" spans="1:6" x14ac:dyDescent="0.3">
      <c r="A577" s="15" t="str">
        <f t="shared" si="21"/>
        <v>.</v>
      </c>
      <c r="E577" s="13" t="str">
        <f>IFERROR(IF(AND(B577&lt;&gt;"",C577&lt;&gt;""),SUMIFS(Movimentos!$F$4:$F$9996,Movimentos!$D$4:$D$9996,B577,Movimentos!$C$4:$C$9996,"Entrada")-SUMIFS(Movimentos!$F$4:$F$9996,Movimentos!$D$4:$D$9996,B577,Movimentos!$C$4:$C$9996,"Saída"),""),"")</f>
        <v/>
      </c>
      <c r="F577" s="10" t="str">
        <f t="shared" si="20"/>
        <v/>
      </c>
    </row>
    <row r="578" spans="1:6" x14ac:dyDescent="0.3">
      <c r="A578" s="15" t="str">
        <f t="shared" si="21"/>
        <v>.</v>
      </c>
      <c r="E578" s="13" t="str">
        <f>IFERROR(IF(AND(B578&lt;&gt;"",C578&lt;&gt;""),SUMIFS(Movimentos!$F$4:$F$9996,Movimentos!$D$4:$D$9996,B578,Movimentos!$C$4:$C$9996,"Entrada")-SUMIFS(Movimentos!$F$4:$F$9996,Movimentos!$D$4:$D$9996,B578,Movimentos!$C$4:$C$9996,"Saída"),""),"")</f>
        <v/>
      </c>
      <c r="F578" s="10" t="str">
        <f t="shared" si="20"/>
        <v/>
      </c>
    </row>
    <row r="579" spans="1:6" x14ac:dyDescent="0.3">
      <c r="A579" s="15" t="str">
        <f t="shared" si="21"/>
        <v>.</v>
      </c>
      <c r="E579" s="13" t="str">
        <f>IFERROR(IF(AND(B579&lt;&gt;"",C579&lt;&gt;""),SUMIFS(Movimentos!$F$4:$F$9996,Movimentos!$D$4:$D$9996,B579,Movimentos!$C$4:$C$9996,"Entrada")-SUMIFS(Movimentos!$F$4:$F$9996,Movimentos!$D$4:$D$9996,B579,Movimentos!$C$4:$C$9996,"Saída"),""),"")</f>
        <v/>
      </c>
      <c r="F579" s="10" t="str">
        <f t="shared" si="20"/>
        <v/>
      </c>
    </row>
    <row r="580" spans="1:6" x14ac:dyDescent="0.3">
      <c r="A580" s="15" t="str">
        <f t="shared" si="21"/>
        <v>.</v>
      </c>
      <c r="E580" s="13" t="str">
        <f>IFERROR(IF(AND(B580&lt;&gt;"",C580&lt;&gt;""),SUMIFS(Movimentos!$F$4:$F$9996,Movimentos!$D$4:$D$9996,B580,Movimentos!$C$4:$C$9996,"Entrada")-SUMIFS(Movimentos!$F$4:$F$9996,Movimentos!$D$4:$D$9996,B580,Movimentos!$C$4:$C$9996,"Saída"),""),"")</f>
        <v/>
      </c>
      <c r="F580" s="10" t="str">
        <f t="shared" si="20"/>
        <v/>
      </c>
    </row>
    <row r="581" spans="1:6" x14ac:dyDescent="0.3">
      <c r="A581" s="15" t="str">
        <f t="shared" si="21"/>
        <v>.</v>
      </c>
      <c r="E581" s="13" t="str">
        <f>IFERROR(IF(AND(B581&lt;&gt;"",C581&lt;&gt;""),SUMIFS(Movimentos!$F$4:$F$9996,Movimentos!$D$4:$D$9996,B581,Movimentos!$C$4:$C$9996,"Entrada")-SUMIFS(Movimentos!$F$4:$F$9996,Movimentos!$D$4:$D$9996,B581,Movimentos!$C$4:$C$9996,"Saída"),""),"")</f>
        <v/>
      </c>
      <c r="F581" s="10" t="str">
        <f t="shared" si="20"/>
        <v/>
      </c>
    </row>
    <row r="582" spans="1:6" x14ac:dyDescent="0.3">
      <c r="A582" s="15" t="str">
        <f t="shared" si="21"/>
        <v>.</v>
      </c>
      <c r="E582" s="13" t="str">
        <f>IFERROR(IF(AND(B582&lt;&gt;"",C582&lt;&gt;""),SUMIFS(Movimentos!$F$4:$F$9996,Movimentos!$D$4:$D$9996,B582,Movimentos!$C$4:$C$9996,"Entrada")-SUMIFS(Movimentos!$F$4:$F$9996,Movimentos!$D$4:$D$9996,B582,Movimentos!$C$4:$C$9996,"Saída"),""),"")</f>
        <v/>
      </c>
      <c r="F582" s="10" t="str">
        <f t="shared" si="20"/>
        <v/>
      </c>
    </row>
    <row r="583" spans="1:6" x14ac:dyDescent="0.3">
      <c r="A583" s="15" t="str">
        <f t="shared" si="21"/>
        <v>.</v>
      </c>
      <c r="E583" s="13" t="str">
        <f>IFERROR(IF(AND(B583&lt;&gt;"",C583&lt;&gt;""),SUMIFS(Movimentos!$F$4:$F$9996,Movimentos!$D$4:$D$9996,B583,Movimentos!$C$4:$C$9996,"Entrada")-SUMIFS(Movimentos!$F$4:$F$9996,Movimentos!$D$4:$D$9996,B583,Movimentos!$C$4:$C$9996,"Saída"),""),"")</f>
        <v/>
      </c>
      <c r="F583" s="10" t="str">
        <f t="shared" si="20"/>
        <v/>
      </c>
    </row>
    <row r="584" spans="1:6" x14ac:dyDescent="0.3">
      <c r="A584" s="15" t="str">
        <f t="shared" si="21"/>
        <v>.</v>
      </c>
      <c r="E584" s="13" t="str">
        <f>IFERROR(IF(AND(B584&lt;&gt;"",C584&lt;&gt;""),SUMIFS(Movimentos!$F$4:$F$9996,Movimentos!$D$4:$D$9996,B584,Movimentos!$C$4:$C$9996,"Entrada")-SUMIFS(Movimentos!$F$4:$F$9996,Movimentos!$D$4:$D$9996,B584,Movimentos!$C$4:$C$9996,"Saída"),""),"")</f>
        <v/>
      </c>
      <c r="F584" s="10" t="str">
        <f t="shared" si="20"/>
        <v/>
      </c>
    </row>
    <row r="585" spans="1:6" x14ac:dyDescent="0.3">
      <c r="A585" s="15" t="str">
        <f t="shared" si="21"/>
        <v>.</v>
      </c>
      <c r="E585" s="13" t="str">
        <f>IFERROR(IF(AND(B585&lt;&gt;"",C585&lt;&gt;""),SUMIFS(Movimentos!$F$4:$F$9996,Movimentos!$D$4:$D$9996,B585,Movimentos!$C$4:$C$9996,"Entrada")-SUMIFS(Movimentos!$F$4:$F$9996,Movimentos!$D$4:$D$9996,B585,Movimentos!$C$4:$C$9996,"Saída"),""),"")</f>
        <v/>
      </c>
      <c r="F585" s="10" t="str">
        <f t="shared" si="20"/>
        <v/>
      </c>
    </row>
    <row r="586" spans="1:6" x14ac:dyDescent="0.3">
      <c r="A586" s="15" t="str">
        <f t="shared" si="21"/>
        <v>.</v>
      </c>
      <c r="E586" s="13" t="str">
        <f>IFERROR(IF(AND(B586&lt;&gt;"",C586&lt;&gt;""),SUMIFS(Movimentos!$F$4:$F$9996,Movimentos!$D$4:$D$9996,B586,Movimentos!$C$4:$C$9996,"Entrada")-SUMIFS(Movimentos!$F$4:$F$9996,Movimentos!$D$4:$D$9996,B586,Movimentos!$C$4:$C$9996,"Saída"),""),"")</f>
        <v/>
      </c>
      <c r="F586" s="10" t="str">
        <f t="shared" si="20"/>
        <v/>
      </c>
    </row>
    <row r="587" spans="1:6" x14ac:dyDescent="0.3">
      <c r="A587" s="15" t="str">
        <f t="shared" si="21"/>
        <v>.</v>
      </c>
      <c r="E587" s="13" t="str">
        <f>IFERROR(IF(AND(B587&lt;&gt;"",C587&lt;&gt;""),SUMIFS(Movimentos!$F$4:$F$9996,Movimentos!$D$4:$D$9996,B587,Movimentos!$C$4:$C$9996,"Entrada")-SUMIFS(Movimentos!$F$4:$F$9996,Movimentos!$D$4:$D$9996,B587,Movimentos!$C$4:$C$9996,"Saída"),""),"")</f>
        <v/>
      </c>
      <c r="F587" s="10" t="str">
        <f t="shared" si="20"/>
        <v/>
      </c>
    </row>
    <row r="588" spans="1:6" x14ac:dyDescent="0.3">
      <c r="A588" s="15" t="str">
        <f t="shared" si="21"/>
        <v>.</v>
      </c>
      <c r="E588" s="13" t="str">
        <f>IFERROR(IF(AND(B588&lt;&gt;"",C588&lt;&gt;""),SUMIFS(Movimentos!$F$4:$F$9996,Movimentos!$D$4:$D$9996,B588,Movimentos!$C$4:$C$9996,"Entrada")-SUMIFS(Movimentos!$F$4:$F$9996,Movimentos!$D$4:$D$9996,B588,Movimentos!$C$4:$C$9996,"Saída"),""),"")</f>
        <v/>
      </c>
      <c r="F588" s="10" t="str">
        <f t="shared" si="20"/>
        <v/>
      </c>
    </row>
    <row r="589" spans="1:6" x14ac:dyDescent="0.3">
      <c r="A589" s="15" t="str">
        <f t="shared" si="21"/>
        <v>.</v>
      </c>
      <c r="E589" s="13" t="str">
        <f>IFERROR(IF(AND(B589&lt;&gt;"",C589&lt;&gt;""),SUMIFS(Movimentos!$F$4:$F$9996,Movimentos!$D$4:$D$9996,B589,Movimentos!$C$4:$C$9996,"Entrada")-SUMIFS(Movimentos!$F$4:$F$9996,Movimentos!$D$4:$D$9996,B589,Movimentos!$C$4:$C$9996,"Saída"),""),"")</f>
        <v/>
      </c>
      <c r="F589" s="10" t="str">
        <f t="shared" si="20"/>
        <v/>
      </c>
    </row>
    <row r="590" spans="1:6" x14ac:dyDescent="0.3">
      <c r="A590" s="15" t="str">
        <f t="shared" si="21"/>
        <v>.</v>
      </c>
      <c r="E590" s="13" t="str">
        <f>IFERROR(IF(AND(B590&lt;&gt;"",C590&lt;&gt;""),SUMIFS(Movimentos!$F$4:$F$9996,Movimentos!$D$4:$D$9996,B590,Movimentos!$C$4:$C$9996,"Entrada")-SUMIFS(Movimentos!$F$4:$F$9996,Movimentos!$D$4:$D$9996,B590,Movimentos!$C$4:$C$9996,"Saída"),""),"")</f>
        <v/>
      </c>
      <c r="F590" s="10" t="str">
        <f t="shared" si="20"/>
        <v/>
      </c>
    </row>
    <row r="591" spans="1:6" x14ac:dyDescent="0.3">
      <c r="A591" s="15" t="str">
        <f t="shared" si="21"/>
        <v>.</v>
      </c>
      <c r="E591" s="13" t="str">
        <f>IFERROR(IF(AND(B591&lt;&gt;"",C591&lt;&gt;""),SUMIFS(Movimentos!$F$4:$F$9996,Movimentos!$D$4:$D$9996,B591,Movimentos!$C$4:$C$9996,"Entrada")-SUMIFS(Movimentos!$F$4:$F$9996,Movimentos!$D$4:$D$9996,B591,Movimentos!$C$4:$C$9996,"Saída"),""),"")</f>
        <v/>
      </c>
      <c r="F591" s="10" t="str">
        <f t="shared" si="20"/>
        <v/>
      </c>
    </row>
    <row r="592" spans="1:6" x14ac:dyDescent="0.3">
      <c r="A592" s="15" t="str">
        <f t="shared" si="21"/>
        <v>.</v>
      </c>
      <c r="E592" s="13" t="str">
        <f>IFERROR(IF(AND(B592&lt;&gt;"",C592&lt;&gt;""),SUMIFS(Movimentos!$F$4:$F$9996,Movimentos!$D$4:$D$9996,B592,Movimentos!$C$4:$C$9996,"Entrada")-SUMIFS(Movimentos!$F$4:$F$9996,Movimentos!$D$4:$D$9996,B592,Movimentos!$C$4:$C$9996,"Saída"),""),"")</f>
        <v/>
      </c>
      <c r="F592" s="10" t="str">
        <f t="shared" si="20"/>
        <v/>
      </c>
    </row>
    <row r="593" spans="1:6" x14ac:dyDescent="0.3">
      <c r="A593" s="15" t="str">
        <f t="shared" si="21"/>
        <v>.</v>
      </c>
      <c r="E593" s="13" t="str">
        <f>IFERROR(IF(AND(B593&lt;&gt;"",C593&lt;&gt;""),SUMIFS(Movimentos!$F$4:$F$9996,Movimentos!$D$4:$D$9996,B593,Movimentos!$C$4:$C$9996,"Entrada")-SUMIFS(Movimentos!$F$4:$F$9996,Movimentos!$D$4:$D$9996,B593,Movimentos!$C$4:$C$9996,"Saída"),""),"")</f>
        <v/>
      </c>
      <c r="F593" s="10" t="str">
        <f t="shared" si="20"/>
        <v/>
      </c>
    </row>
    <row r="594" spans="1:6" x14ac:dyDescent="0.3">
      <c r="A594" s="15" t="str">
        <f t="shared" si="21"/>
        <v>.</v>
      </c>
      <c r="E594" s="13" t="str">
        <f>IFERROR(IF(AND(B594&lt;&gt;"",C594&lt;&gt;""),SUMIFS(Movimentos!$F$4:$F$9996,Movimentos!$D$4:$D$9996,B594,Movimentos!$C$4:$C$9996,"Entrada")-SUMIFS(Movimentos!$F$4:$F$9996,Movimentos!$D$4:$D$9996,B594,Movimentos!$C$4:$C$9996,"Saída"),""),"")</f>
        <v/>
      </c>
      <c r="F594" s="10" t="str">
        <f t="shared" si="20"/>
        <v/>
      </c>
    </row>
    <row r="595" spans="1:6" x14ac:dyDescent="0.3">
      <c r="A595" s="15" t="str">
        <f t="shared" si="21"/>
        <v>.</v>
      </c>
      <c r="E595" s="13" t="str">
        <f>IFERROR(IF(AND(B595&lt;&gt;"",C595&lt;&gt;""),SUMIFS(Movimentos!$F$4:$F$9996,Movimentos!$D$4:$D$9996,B595,Movimentos!$C$4:$C$9996,"Entrada")-SUMIFS(Movimentos!$F$4:$F$9996,Movimentos!$D$4:$D$9996,B595,Movimentos!$C$4:$C$9996,"Saída"),""),"")</f>
        <v/>
      </c>
      <c r="F595" s="10" t="str">
        <f t="shared" si="20"/>
        <v/>
      </c>
    </row>
    <row r="596" spans="1:6" x14ac:dyDescent="0.3">
      <c r="A596" s="15" t="str">
        <f t="shared" si="21"/>
        <v>.</v>
      </c>
      <c r="E596" s="13" t="str">
        <f>IFERROR(IF(AND(B596&lt;&gt;"",C596&lt;&gt;""),SUMIFS(Movimentos!$F$4:$F$9996,Movimentos!$D$4:$D$9996,B596,Movimentos!$C$4:$C$9996,"Entrada")-SUMIFS(Movimentos!$F$4:$F$9996,Movimentos!$D$4:$D$9996,B596,Movimentos!$C$4:$C$9996,"Saída"),""),"")</f>
        <v/>
      </c>
      <c r="F596" s="10" t="str">
        <f t="shared" si="20"/>
        <v/>
      </c>
    </row>
    <row r="597" spans="1:6" x14ac:dyDescent="0.3">
      <c r="A597" s="15" t="str">
        <f t="shared" si="21"/>
        <v>.</v>
      </c>
      <c r="E597" s="13" t="str">
        <f>IFERROR(IF(AND(B597&lt;&gt;"",C597&lt;&gt;""),SUMIFS(Movimentos!$F$4:$F$9996,Movimentos!$D$4:$D$9996,B597,Movimentos!$C$4:$C$9996,"Entrada")-SUMIFS(Movimentos!$F$4:$F$9996,Movimentos!$D$4:$D$9996,B597,Movimentos!$C$4:$C$9996,"Saída"),""),"")</f>
        <v/>
      </c>
      <c r="F597" s="10" t="str">
        <f t="shared" si="20"/>
        <v/>
      </c>
    </row>
    <row r="598" spans="1:6" x14ac:dyDescent="0.3">
      <c r="A598" s="15" t="str">
        <f t="shared" si="21"/>
        <v>.</v>
      </c>
      <c r="E598" s="13" t="str">
        <f>IFERROR(IF(AND(B598&lt;&gt;"",C598&lt;&gt;""),SUMIFS(Movimentos!$F$4:$F$9996,Movimentos!$D$4:$D$9996,B598,Movimentos!$C$4:$C$9996,"Entrada")-SUMIFS(Movimentos!$F$4:$F$9996,Movimentos!$D$4:$D$9996,B598,Movimentos!$C$4:$C$9996,"Saída"),""),"")</f>
        <v/>
      </c>
      <c r="F598" s="10" t="str">
        <f t="shared" si="20"/>
        <v/>
      </c>
    </row>
    <row r="599" spans="1:6" x14ac:dyDescent="0.3">
      <c r="A599" s="15" t="str">
        <f t="shared" si="21"/>
        <v>.</v>
      </c>
      <c r="E599" s="13" t="str">
        <f>IFERROR(IF(AND(B599&lt;&gt;"",C599&lt;&gt;""),SUMIFS(Movimentos!$F$4:$F$9996,Movimentos!$D$4:$D$9996,B599,Movimentos!$C$4:$C$9996,"Entrada")-SUMIFS(Movimentos!$F$4:$F$9996,Movimentos!$D$4:$D$9996,B599,Movimentos!$C$4:$C$9996,"Saída"),""),"")</f>
        <v/>
      </c>
      <c r="F599" s="10" t="str">
        <f t="shared" ref="F599:F662" si="22">IF(AND(B599&lt;&gt;"",C599&lt;&gt;""),IF(E599=0,"Saldo zerado",IF(E599&lt;D599,"Saldo abaixo do mínimo","Saldo disponível")),"")</f>
        <v/>
      </c>
    </row>
    <row r="600" spans="1:6" x14ac:dyDescent="0.3">
      <c r="A600" s="15" t="str">
        <f t="shared" si="21"/>
        <v>.</v>
      </c>
      <c r="E600" s="13" t="str">
        <f>IFERROR(IF(AND(B600&lt;&gt;"",C600&lt;&gt;""),SUMIFS(Movimentos!$F$4:$F$9996,Movimentos!$D$4:$D$9996,B600,Movimentos!$C$4:$C$9996,"Entrada")-SUMIFS(Movimentos!$F$4:$F$9996,Movimentos!$D$4:$D$9996,B600,Movimentos!$C$4:$C$9996,"Saída"),""),"")</f>
        <v/>
      </c>
      <c r="F600" s="10" t="str">
        <f t="shared" si="22"/>
        <v/>
      </c>
    </row>
    <row r="601" spans="1:6" x14ac:dyDescent="0.3">
      <c r="A601" s="15" t="str">
        <f t="shared" si="21"/>
        <v>.</v>
      </c>
      <c r="E601" s="13" t="str">
        <f>IFERROR(IF(AND(B601&lt;&gt;"",C601&lt;&gt;""),SUMIFS(Movimentos!$F$4:$F$9996,Movimentos!$D$4:$D$9996,B601,Movimentos!$C$4:$C$9996,"Entrada")-SUMIFS(Movimentos!$F$4:$F$9996,Movimentos!$D$4:$D$9996,B601,Movimentos!$C$4:$C$9996,"Saída"),""),"")</f>
        <v/>
      </c>
      <c r="F601" s="10" t="str">
        <f t="shared" si="22"/>
        <v/>
      </c>
    </row>
    <row r="602" spans="1:6" x14ac:dyDescent="0.3">
      <c r="A602" s="15" t="str">
        <f t="shared" si="21"/>
        <v>.</v>
      </c>
      <c r="E602" s="13" t="str">
        <f>IFERROR(IF(AND(B602&lt;&gt;"",C602&lt;&gt;""),SUMIFS(Movimentos!$F$4:$F$9996,Movimentos!$D$4:$D$9996,B602,Movimentos!$C$4:$C$9996,"Entrada")-SUMIFS(Movimentos!$F$4:$F$9996,Movimentos!$D$4:$D$9996,B602,Movimentos!$C$4:$C$9996,"Saída"),""),"")</f>
        <v/>
      </c>
      <c r="F602" s="10" t="str">
        <f t="shared" si="22"/>
        <v/>
      </c>
    </row>
    <row r="603" spans="1:6" x14ac:dyDescent="0.3">
      <c r="A603" s="15" t="str">
        <f t="shared" si="21"/>
        <v>.</v>
      </c>
      <c r="E603" s="13" t="str">
        <f>IFERROR(IF(AND(B603&lt;&gt;"",C603&lt;&gt;""),SUMIFS(Movimentos!$F$4:$F$9996,Movimentos!$D$4:$D$9996,B603,Movimentos!$C$4:$C$9996,"Entrada")-SUMIFS(Movimentos!$F$4:$F$9996,Movimentos!$D$4:$D$9996,B603,Movimentos!$C$4:$C$9996,"Saída"),""),"")</f>
        <v/>
      </c>
      <c r="F603" s="10" t="str">
        <f t="shared" si="22"/>
        <v/>
      </c>
    </row>
    <row r="604" spans="1:6" x14ac:dyDescent="0.3">
      <c r="A604" s="15" t="str">
        <f t="shared" si="21"/>
        <v>.</v>
      </c>
      <c r="E604" s="13" t="str">
        <f>IFERROR(IF(AND(B604&lt;&gt;"",C604&lt;&gt;""),SUMIFS(Movimentos!$F$4:$F$9996,Movimentos!$D$4:$D$9996,B604,Movimentos!$C$4:$C$9996,"Entrada")-SUMIFS(Movimentos!$F$4:$F$9996,Movimentos!$D$4:$D$9996,B604,Movimentos!$C$4:$C$9996,"Saída"),""),"")</f>
        <v/>
      </c>
      <c r="F604" s="10" t="str">
        <f t="shared" si="22"/>
        <v/>
      </c>
    </row>
    <row r="605" spans="1:6" x14ac:dyDescent="0.3">
      <c r="A605" s="15" t="str">
        <f t="shared" si="21"/>
        <v>.</v>
      </c>
      <c r="E605" s="13" t="str">
        <f>IFERROR(IF(AND(B605&lt;&gt;"",C605&lt;&gt;""),SUMIFS(Movimentos!$F$4:$F$9996,Movimentos!$D$4:$D$9996,B605,Movimentos!$C$4:$C$9996,"Entrada")-SUMIFS(Movimentos!$F$4:$F$9996,Movimentos!$D$4:$D$9996,B605,Movimentos!$C$4:$C$9996,"Saída"),""),"")</f>
        <v/>
      </c>
      <c r="F605" s="10" t="str">
        <f t="shared" si="22"/>
        <v/>
      </c>
    </row>
    <row r="606" spans="1:6" x14ac:dyDescent="0.3">
      <c r="A606" s="15" t="str">
        <f t="shared" si="21"/>
        <v>.</v>
      </c>
      <c r="E606" s="13" t="str">
        <f>IFERROR(IF(AND(B606&lt;&gt;"",C606&lt;&gt;""),SUMIFS(Movimentos!$F$4:$F$9996,Movimentos!$D$4:$D$9996,B606,Movimentos!$C$4:$C$9996,"Entrada")-SUMIFS(Movimentos!$F$4:$F$9996,Movimentos!$D$4:$D$9996,B606,Movimentos!$C$4:$C$9996,"Saída"),""),"")</f>
        <v/>
      </c>
      <c r="F606" s="10" t="str">
        <f t="shared" si="22"/>
        <v/>
      </c>
    </row>
    <row r="607" spans="1:6" x14ac:dyDescent="0.3">
      <c r="A607" s="15" t="str">
        <f t="shared" si="21"/>
        <v>.</v>
      </c>
      <c r="E607" s="13" t="str">
        <f>IFERROR(IF(AND(B607&lt;&gt;"",C607&lt;&gt;""),SUMIFS(Movimentos!$F$4:$F$9996,Movimentos!$D$4:$D$9996,B607,Movimentos!$C$4:$C$9996,"Entrada")-SUMIFS(Movimentos!$F$4:$F$9996,Movimentos!$D$4:$D$9996,B607,Movimentos!$C$4:$C$9996,"Saída"),""),"")</f>
        <v/>
      </c>
      <c r="F607" s="10" t="str">
        <f t="shared" si="22"/>
        <v/>
      </c>
    </row>
    <row r="608" spans="1:6" x14ac:dyDescent="0.3">
      <c r="A608" s="15" t="str">
        <f t="shared" si="21"/>
        <v>.</v>
      </c>
      <c r="E608" s="13" t="str">
        <f>IFERROR(IF(AND(B608&lt;&gt;"",C608&lt;&gt;""),SUMIFS(Movimentos!$F$4:$F$9996,Movimentos!$D$4:$D$9996,B608,Movimentos!$C$4:$C$9996,"Entrada")-SUMIFS(Movimentos!$F$4:$F$9996,Movimentos!$D$4:$D$9996,B608,Movimentos!$C$4:$C$9996,"Saída"),""),"")</f>
        <v/>
      </c>
      <c r="F608" s="10" t="str">
        <f t="shared" si="22"/>
        <v/>
      </c>
    </row>
    <row r="609" spans="1:6" x14ac:dyDescent="0.3">
      <c r="A609" s="15" t="str">
        <f t="shared" si="21"/>
        <v>.</v>
      </c>
      <c r="E609" s="13" t="str">
        <f>IFERROR(IF(AND(B609&lt;&gt;"",C609&lt;&gt;""),SUMIFS(Movimentos!$F$4:$F$9996,Movimentos!$D$4:$D$9996,B609,Movimentos!$C$4:$C$9996,"Entrada")-SUMIFS(Movimentos!$F$4:$F$9996,Movimentos!$D$4:$D$9996,B609,Movimentos!$C$4:$C$9996,"Saída"),""),"")</f>
        <v/>
      </c>
      <c r="F609" s="10" t="str">
        <f t="shared" si="22"/>
        <v/>
      </c>
    </row>
    <row r="610" spans="1:6" x14ac:dyDescent="0.3">
      <c r="A610" s="15" t="str">
        <f t="shared" si="21"/>
        <v>.</v>
      </c>
      <c r="E610" s="13" t="str">
        <f>IFERROR(IF(AND(B610&lt;&gt;"",C610&lt;&gt;""),SUMIFS(Movimentos!$F$4:$F$9996,Movimentos!$D$4:$D$9996,B610,Movimentos!$C$4:$C$9996,"Entrada")-SUMIFS(Movimentos!$F$4:$F$9996,Movimentos!$D$4:$D$9996,B610,Movimentos!$C$4:$C$9996,"Saída"),""),"")</f>
        <v/>
      </c>
      <c r="F610" s="10" t="str">
        <f t="shared" si="22"/>
        <v/>
      </c>
    </row>
    <row r="611" spans="1:6" x14ac:dyDescent="0.3">
      <c r="A611" s="15" t="str">
        <f t="shared" si="21"/>
        <v>.</v>
      </c>
      <c r="E611" s="13" t="str">
        <f>IFERROR(IF(AND(B611&lt;&gt;"",C611&lt;&gt;""),SUMIFS(Movimentos!$F$4:$F$9996,Movimentos!$D$4:$D$9996,B611,Movimentos!$C$4:$C$9996,"Entrada")-SUMIFS(Movimentos!$F$4:$F$9996,Movimentos!$D$4:$D$9996,B611,Movimentos!$C$4:$C$9996,"Saída"),""),"")</f>
        <v/>
      </c>
      <c r="F611" s="10" t="str">
        <f t="shared" si="22"/>
        <v/>
      </c>
    </row>
    <row r="612" spans="1:6" x14ac:dyDescent="0.3">
      <c r="A612" s="15" t="str">
        <f t="shared" si="21"/>
        <v>.</v>
      </c>
      <c r="E612" s="13" t="str">
        <f>IFERROR(IF(AND(B612&lt;&gt;"",C612&lt;&gt;""),SUMIFS(Movimentos!$F$4:$F$9996,Movimentos!$D$4:$D$9996,B612,Movimentos!$C$4:$C$9996,"Entrada")-SUMIFS(Movimentos!$F$4:$F$9996,Movimentos!$D$4:$D$9996,B612,Movimentos!$C$4:$C$9996,"Saída"),""),"")</f>
        <v/>
      </c>
      <c r="F612" s="10" t="str">
        <f t="shared" si="22"/>
        <v/>
      </c>
    </row>
    <row r="613" spans="1:6" x14ac:dyDescent="0.3">
      <c r="A613" s="15" t="str">
        <f t="shared" si="21"/>
        <v>.</v>
      </c>
      <c r="E613" s="13" t="str">
        <f>IFERROR(IF(AND(B613&lt;&gt;"",C613&lt;&gt;""),SUMIFS(Movimentos!$F$4:$F$9996,Movimentos!$D$4:$D$9996,B613,Movimentos!$C$4:$C$9996,"Entrada")-SUMIFS(Movimentos!$F$4:$F$9996,Movimentos!$D$4:$D$9996,B613,Movimentos!$C$4:$C$9996,"Saída"),""),"")</f>
        <v/>
      </c>
      <c r="F613" s="10" t="str">
        <f t="shared" si="22"/>
        <v/>
      </c>
    </row>
    <row r="614" spans="1:6" x14ac:dyDescent="0.3">
      <c r="A614" s="15" t="str">
        <f t="shared" si="21"/>
        <v>.</v>
      </c>
      <c r="E614" s="13" t="str">
        <f>IFERROR(IF(AND(B614&lt;&gt;"",C614&lt;&gt;""),SUMIFS(Movimentos!$F$4:$F$9996,Movimentos!$D$4:$D$9996,B614,Movimentos!$C$4:$C$9996,"Entrada")-SUMIFS(Movimentos!$F$4:$F$9996,Movimentos!$D$4:$D$9996,B614,Movimentos!$C$4:$C$9996,"Saída"),""),"")</f>
        <v/>
      </c>
      <c r="F614" s="10" t="str">
        <f t="shared" si="22"/>
        <v/>
      </c>
    </row>
    <row r="615" spans="1:6" x14ac:dyDescent="0.3">
      <c r="A615" s="15" t="str">
        <f t="shared" si="21"/>
        <v>.</v>
      </c>
      <c r="E615" s="13" t="str">
        <f>IFERROR(IF(AND(B615&lt;&gt;"",C615&lt;&gt;""),SUMIFS(Movimentos!$F$4:$F$9996,Movimentos!$D$4:$D$9996,B615,Movimentos!$C$4:$C$9996,"Entrada")-SUMIFS(Movimentos!$F$4:$F$9996,Movimentos!$D$4:$D$9996,B615,Movimentos!$C$4:$C$9996,"Saída"),""),"")</f>
        <v/>
      </c>
      <c r="F615" s="10" t="str">
        <f t="shared" si="22"/>
        <v/>
      </c>
    </row>
    <row r="616" spans="1:6" x14ac:dyDescent="0.3">
      <c r="A616" s="15" t="str">
        <f t="shared" si="21"/>
        <v>.</v>
      </c>
      <c r="E616" s="13" t="str">
        <f>IFERROR(IF(AND(B616&lt;&gt;"",C616&lt;&gt;""),SUMIFS(Movimentos!$F$4:$F$9996,Movimentos!$D$4:$D$9996,B616,Movimentos!$C$4:$C$9996,"Entrada")-SUMIFS(Movimentos!$F$4:$F$9996,Movimentos!$D$4:$D$9996,B616,Movimentos!$C$4:$C$9996,"Saída"),""),"")</f>
        <v/>
      </c>
      <c r="F616" s="10" t="str">
        <f t="shared" si="22"/>
        <v/>
      </c>
    </row>
    <row r="617" spans="1:6" x14ac:dyDescent="0.3">
      <c r="A617" s="15" t="str">
        <f t="shared" si="21"/>
        <v>.</v>
      </c>
      <c r="E617" s="13" t="str">
        <f>IFERROR(IF(AND(B617&lt;&gt;"",C617&lt;&gt;""),SUMIFS(Movimentos!$F$4:$F$9996,Movimentos!$D$4:$D$9996,B617,Movimentos!$C$4:$C$9996,"Entrada")-SUMIFS(Movimentos!$F$4:$F$9996,Movimentos!$D$4:$D$9996,B617,Movimentos!$C$4:$C$9996,"Saída"),""),"")</f>
        <v/>
      </c>
      <c r="F617" s="10" t="str">
        <f t="shared" si="22"/>
        <v/>
      </c>
    </row>
    <row r="618" spans="1:6" x14ac:dyDescent="0.3">
      <c r="A618" s="15" t="str">
        <f t="shared" si="21"/>
        <v>.</v>
      </c>
      <c r="E618" s="13" t="str">
        <f>IFERROR(IF(AND(B618&lt;&gt;"",C618&lt;&gt;""),SUMIFS(Movimentos!$F$4:$F$9996,Movimentos!$D$4:$D$9996,B618,Movimentos!$C$4:$C$9996,"Entrada")-SUMIFS(Movimentos!$F$4:$F$9996,Movimentos!$D$4:$D$9996,B618,Movimentos!$C$4:$C$9996,"Saída"),""),"")</f>
        <v/>
      </c>
      <c r="F618" s="10" t="str">
        <f t="shared" si="22"/>
        <v/>
      </c>
    </row>
    <row r="619" spans="1:6" x14ac:dyDescent="0.3">
      <c r="A619" s="15" t="str">
        <f t="shared" si="21"/>
        <v>.</v>
      </c>
      <c r="E619" s="13" t="str">
        <f>IFERROR(IF(AND(B619&lt;&gt;"",C619&lt;&gt;""),SUMIFS(Movimentos!$F$4:$F$9996,Movimentos!$D$4:$D$9996,B619,Movimentos!$C$4:$C$9996,"Entrada")-SUMIFS(Movimentos!$F$4:$F$9996,Movimentos!$D$4:$D$9996,B619,Movimentos!$C$4:$C$9996,"Saída"),""),"")</f>
        <v/>
      </c>
      <c r="F619" s="10" t="str">
        <f t="shared" si="22"/>
        <v/>
      </c>
    </row>
    <row r="620" spans="1:6" x14ac:dyDescent="0.3">
      <c r="A620" s="15" t="str">
        <f t="shared" si="21"/>
        <v>.</v>
      </c>
      <c r="E620" s="13" t="str">
        <f>IFERROR(IF(AND(B620&lt;&gt;"",C620&lt;&gt;""),SUMIFS(Movimentos!$F$4:$F$9996,Movimentos!$D$4:$D$9996,B620,Movimentos!$C$4:$C$9996,"Entrada")-SUMIFS(Movimentos!$F$4:$F$9996,Movimentos!$D$4:$D$9996,B620,Movimentos!$C$4:$C$9996,"Saída"),""),"")</f>
        <v/>
      </c>
      <c r="F620" s="10" t="str">
        <f t="shared" si="22"/>
        <v/>
      </c>
    </row>
    <row r="621" spans="1:6" x14ac:dyDescent="0.3">
      <c r="A621" s="15" t="str">
        <f t="shared" si="21"/>
        <v>.</v>
      </c>
      <c r="E621" s="13" t="str">
        <f>IFERROR(IF(AND(B621&lt;&gt;"",C621&lt;&gt;""),SUMIFS(Movimentos!$F$4:$F$9996,Movimentos!$D$4:$D$9996,B621,Movimentos!$C$4:$C$9996,"Entrada")-SUMIFS(Movimentos!$F$4:$F$9996,Movimentos!$D$4:$D$9996,B621,Movimentos!$C$4:$C$9996,"Saída"),""),"")</f>
        <v/>
      </c>
      <c r="F621" s="10" t="str">
        <f t="shared" si="22"/>
        <v/>
      </c>
    </row>
    <row r="622" spans="1:6" x14ac:dyDescent="0.3">
      <c r="A622" s="15" t="str">
        <f t="shared" si="21"/>
        <v>.</v>
      </c>
      <c r="E622" s="13" t="str">
        <f>IFERROR(IF(AND(B622&lt;&gt;"",C622&lt;&gt;""),SUMIFS(Movimentos!$F$4:$F$9996,Movimentos!$D$4:$D$9996,B622,Movimentos!$C$4:$C$9996,"Entrada")-SUMIFS(Movimentos!$F$4:$F$9996,Movimentos!$D$4:$D$9996,B622,Movimentos!$C$4:$C$9996,"Saída"),""),"")</f>
        <v/>
      </c>
      <c r="F622" s="10" t="str">
        <f t="shared" si="22"/>
        <v/>
      </c>
    </row>
    <row r="623" spans="1:6" x14ac:dyDescent="0.3">
      <c r="A623" s="15" t="str">
        <f t="shared" si="21"/>
        <v>.</v>
      </c>
      <c r="E623" s="13" t="str">
        <f>IFERROR(IF(AND(B623&lt;&gt;"",C623&lt;&gt;""),SUMIFS(Movimentos!$F$4:$F$9996,Movimentos!$D$4:$D$9996,B623,Movimentos!$C$4:$C$9996,"Entrada")-SUMIFS(Movimentos!$F$4:$F$9996,Movimentos!$D$4:$D$9996,B623,Movimentos!$C$4:$C$9996,"Saída"),""),"")</f>
        <v/>
      </c>
      <c r="F623" s="10" t="str">
        <f t="shared" si="22"/>
        <v/>
      </c>
    </row>
    <row r="624" spans="1:6" x14ac:dyDescent="0.3">
      <c r="A624" s="15" t="str">
        <f t="shared" si="21"/>
        <v>.</v>
      </c>
      <c r="E624" s="13" t="str">
        <f>IFERROR(IF(AND(B624&lt;&gt;"",C624&lt;&gt;""),SUMIFS(Movimentos!$F$4:$F$9996,Movimentos!$D$4:$D$9996,B624,Movimentos!$C$4:$C$9996,"Entrada")-SUMIFS(Movimentos!$F$4:$F$9996,Movimentos!$D$4:$D$9996,B624,Movimentos!$C$4:$C$9996,"Saída"),""),"")</f>
        <v/>
      </c>
      <c r="F624" s="10" t="str">
        <f t="shared" si="22"/>
        <v/>
      </c>
    </row>
    <row r="625" spans="1:6" x14ac:dyDescent="0.3">
      <c r="A625" s="15" t="str">
        <f t="shared" si="21"/>
        <v>.</v>
      </c>
      <c r="E625" s="13" t="str">
        <f>IFERROR(IF(AND(B625&lt;&gt;"",C625&lt;&gt;""),SUMIFS(Movimentos!$F$4:$F$9996,Movimentos!$D$4:$D$9996,B625,Movimentos!$C$4:$C$9996,"Entrada")-SUMIFS(Movimentos!$F$4:$F$9996,Movimentos!$D$4:$D$9996,B625,Movimentos!$C$4:$C$9996,"Saída"),""),"")</f>
        <v/>
      </c>
      <c r="F625" s="10" t="str">
        <f t="shared" si="22"/>
        <v/>
      </c>
    </row>
    <row r="626" spans="1:6" x14ac:dyDescent="0.3">
      <c r="A626" s="15" t="str">
        <f t="shared" si="21"/>
        <v>.</v>
      </c>
      <c r="E626" s="13" t="str">
        <f>IFERROR(IF(AND(B626&lt;&gt;"",C626&lt;&gt;""),SUMIFS(Movimentos!$F$4:$F$9996,Movimentos!$D$4:$D$9996,B626,Movimentos!$C$4:$C$9996,"Entrada")-SUMIFS(Movimentos!$F$4:$F$9996,Movimentos!$D$4:$D$9996,B626,Movimentos!$C$4:$C$9996,"Saída"),""),"")</f>
        <v/>
      </c>
      <c r="F626" s="10" t="str">
        <f t="shared" si="22"/>
        <v/>
      </c>
    </row>
    <row r="627" spans="1:6" x14ac:dyDescent="0.3">
      <c r="A627" s="15" t="str">
        <f t="shared" si="21"/>
        <v>.</v>
      </c>
      <c r="E627" s="13" t="str">
        <f>IFERROR(IF(AND(B627&lt;&gt;"",C627&lt;&gt;""),SUMIFS(Movimentos!$F$4:$F$9996,Movimentos!$D$4:$D$9996,B627,Movimentos!$C$4:$C$9996,"Entrada")-SUMIFS(Movimentos!$F$4:$F$9996,Movimentos!$D$4:$D$9996,B627,Movimentos!$C$4:$C$9996,"Saída"),""),"")</f>
        <v/>
      </c>
      <c r="F627" s="10" t="str">
        <f t="shared" si="22"/>
        <v/>
      </c>
    </row>
    <row r="628" spans="1:6" x14ac:dyDescent="0.3">
      <c r="A628" s="15" t="str">
        <f t="shared" si="21"/>
        <v>.</v>
      </c>
      <c r="E628" s="13" t="str">
        <f>IFERROR(IF(AND(B628&lt;&gt;"",C628&lt;&gt;""),SUMIFS(Movimentos!$F$4:$F$9996,Movimentos!$D$4:$D$9996,B628,Movimentos!$C$4:$C$9996,"Entrada")-SUMIFS(Movimentos!$F$4:$F$9996,Movimentos!$D$4:$D$9996,B628,Movimentos!$C$4:$C$9996,"Saída"),""),"")</f>
        <v/>
      </c>
      <c r="F628" s="10" t="str">
        <f t="shared" si="22"/>
        <v/>
      </c>
    </row>
    <row r="629" spans="1:6" x14ac:dyDescent="0.3">
      <c r="A629" s="15" t="str">
        <f t="shared" si="21"/>
        <v>.</v>
      </c>
      <c r="E629" s="13" t="str">
        <f>IFERROR(IF(AND(B629&lt;&gt;"",C629&lt;&gt;""),SUMIFS(Movimentos!$F$4:$F$9996,Movimentos!$D$4:$D$9996,B629,Movimentos!$C$4:$C$9996,"Entrada")-SUMIFS(Movimentos!$F$4:$F$9996,Movimentos!$D$4:$D$9996,B629,Movimentos!$C$4:$C$9996,"Saída"),""),"")</f>
        <v/>
      </c>
      <c r="F629" s="10" t="str">
        <f t="shared" si="22"/>
        <v/>
      </c>
    </row>
    <row r="630" spans="1:6" x14ac:dyDescent="0.3">
      <c r="A630" s="15" t="str">
        <f t="shared" si="21"/>
        <v>.</v>
      </c>
      <c r="E630" s="13" t="str">
        <f>IFERROR(IF(AND(B630&lt;&gt;"",C630&lt;&gt;""),SUMIFS(Movimentos!$F$4:$F$9996,Movimentos!$D$4:$D$9996,B630,Movimentos!$C$4:$C$9996,"Entrada")-SUMIFS(Movimentos!$F$4:$F$9996,Movimentos!$D$4:$D$9996,B630,Movimentos!$C$4:$C$9996,"Saída"),""),"")</f>
        <v/>
      </c>
      <c r="F630" s="10" t="str">
        <f t="shared" si="22"/>
        <v/>
      </c>
    </row>
    <row r="631" spans="1:6" x14ac:dyDescent="0.3">
      <c r="A631" s="15" t="str">
        <f t="shared" si="21"/>
        <v>.</v>
      </c>
      <c r="E631" s="13" t="str">
        <f>IFERROR(IF(AND(B631&lt;&gt;"",C631&lt;&gt;""),SUMIFS(Movimentos!$F$4:$F$9996,Movimentos!$D$4:$D$9996,B631,Movimentos!$C$4:$C$9996,"Entrada")-SUMIFS(Movimentos!$F$4:$F$9996,Movimentos!$D$4:$D$9996,B631,Movimentos!$C$4:$C$9996,"Saída"),""),"")</f>
        <v/>
      </c>
      <c r="F631" s="10" t="str">
        <f t="shared" si="22"/>
        <v/>
      </c>
    </row>
    <row r="632" spans="1:6" x14ac:dyDescent="0.3">
      <c r="A632" s="15" t="str">
        <f t="shared" si="21"/>
        <v>.</v>
      </c>
      <c r="E632" s="13" t="str">
        <f>IFERROR(IF(AND(B632&lt;&gt;"",C632&lt;&gt;""),SUMIFS(Movimentos!$F$4:$F$9996,Movimentos!$D$4:$D$9996,B632,Movimentos!$C$4:$C$9996,"Entrada")-SUMIFS(Movimentos!$F$4:$F$9996,Movimentos!$D$4:$D$9996,B632,Movimentos!$C$4:$C$9996,"Saída"),""),"")</f>
        <v/>
      </c>
      <c r="F632" s="10" t="str">
        <f t="shared" si="22"/>
        <v/>
      </c>
    </row>
    <row r="633" spans="1:6" x14ac:dyDescent="0.3">
      <c r="A633" s="15" t="str">
        <f t="shared" si="21"/>
        <v>.</v>
      </c>
      <c r="E633" s="13" t="str">
        <f>IFERROR(IF(AND(B633&lt;&gt;"",C633&lt;&gt;""),SUMIFS(Movimentos!$F$4:$F$9996,Movimentos!$D$4:$D$9996,B633,Movimentos!$C$4:$C$9996,"Entrada")-SUMIFS(Movimentos!$F$4:$F$9996,Movimentos!$D$4:$D$9996,B633,Movimentos!$C$4:$C$9996,"Saída"),""),"")</f>
        <v/>
      </c>
      <c r="F633" s="10" t="str">
        <f t="shared" si="22"/>
        <v/>
      </c>
    </row>
    <row r="634" spans="1:6" x14ac:dyDescent="0.3">
      <c r="A634" s="15" t="str">
        <f t="shared" si="21"/>
        <v>.</v>
      </c>
      <c r="E634" s="13" t="str">
        <f>IFERROR(IF(AND(B634&lt;&gt;"",C634&lt;&gt;""),SUMIFS(Movimentos!$F$4:$F$9996,Movimentos!$D$4:$D$9996,B634,Movimentos!$C$4:$C$9996,"Entrada")-SUMIFS(Movimentos!$F$4:$F$9996,Movimentos!$D$4:$D$9996,B634,Movimentos!$C$4:$C$9996,"Saída"),""),"")</f>
        <v/>
      </c>
      <c r="F634" s="10" t="str">
        <f t="shared" si="22"/>
        <v/>
      </c>
    </row>
    <row r="635" spans="1:6" x14ac:dyDescent="0.3">
      <c r="A635" s="15" t="str">
        <f t="shared" si="21"/>
        <v>.</v>
      </c>
      <c r="E635" s="13" t="str">
        <f>IFERROR(IF(AND(B635&lt;&gt;"",C635&lt;&gt;""),SUMIFS(Movimentos!$F$4:$F$9996,Movimentos!$D$4:$D$9996,B635,Movimentos!$C$4:$C$9996,"Entrada")-SUMIFS(Movimentos!$F$4:$F$9996,Movimentos!$D$4:$D$9996,B635,Movimentos!$C$4:$C$9996,"Saída"),""),"")</f>
        <v/>
      </c>
      <c r="F635" s="10" t="str">
        <f t="shared" si="22"/>
        <v/>
      </c>
    </row>
    <row r="636" spans="1:6" x14ac:dyDescent="0.3">
      <c r="A636" s="15" t="str">
        <f t="shared" si="21"/>
        <v>.</v>
      </c>
      <c r="E636" s="13" t="str">
        <f>IFERROR(IF(AND(B636&lt;&gt;"",C636&lt;&gt;""),SUMIFS(Movimentos!$F$4:$F$9996,Movimentos!$D$4:$D$9996,B636,Movimentos!$C$4:$C$9996,"Entrada")-SUMIFS(Movimentos!$F$4:$F$9996,Movimentos!$D$4:$D$9996,B636,Movimentos!$C$4:$C$9996,"Saída"),""),"")</f>
        <v/>
      </c>
      <c r="F636" s="10" t="str">
        <f t="shared" si="22"/>
        <v/>
      </c>
    </row>
    <row r="637" spans="1:6" x14ac:dyDescent="0.3">
      <c r="A637" s="15" t="str">
        <f t="shared" si="21"/>
        <v>.</v>
      </c>
      <c r="E637" s="13" t="str">
        <f>IFERROR(IF(AND(B637&lt;&gt;"",C637&lt;&gt;""),SUMIFS(Movimentos!$F$4:$F$9996,Movimentos!$D$4:$D$9996,B637,Movimentos!$C$4:$C$9996,"Entrada")-SUMIFS(Movimentos!$F$4:$F$9996,Movimentos!$D$4:$D$9996,B637,Movimentos!$C$4:$C$9996,"Saída"),""),"")</f>
        <v/>
      </c>
      <c r="F637" s="10" t="str">
        <f t="shared" si="22"/>
        <v/>
      </c>
    </row>
    <row r="638" spans="1:6" x14ac:dyDescent="0.3">
      <c r="A638" s="15" t="str">
        <f t="shared" si="21"/>
        <v>.</v>
      </c>
      <c r="E638" s="13" t="str">
        <f>IFERROR(IF(AND(B638&lt;&gt;"",C638&lt;&gt;""),SUMIFS(Movimentos!$F$4:$F$9996,Movimentos!$D$4:$D$9996,B638,Movimentos!$C$4:$C$9996,"Entrada")-SUMIFS(Movimentos!$F$4:$F$9996,Movimentos!$D$4:$D$9996,B638,Movimentos!$C$4:$C$9996,"Saída"),""),"")</f>
        <v/>
      </c>
      <c r="F638" s="10" t="str">
        <f t="shared" si="22"/>
        <v/>
      </c>
    </row>
    <row r="639" spans="1:6" x14ac:dyDescent="0.3">
      <c r="A639" s="15" t="str">
        <f t="shared" si="21"/>
        <v>.</v>
      </c>
      <c r="E639" s="13" t="str">
        <f>IFERROR(IF(AND(B639&lt;&gt;"",C639&lt;&gt;""),SUMIFS(Movimentos!$F$4:$F$9996,Movimentos!$D$4:$D$9996,B639,Movimentos!$C$4:$C$9996,"Entrada")-SUMIFS(Movimentos!$F$4:$F$9996,Movimentos!$D$4:$D$9996,B639,Movimentos!$C$4:$C$9996,"Saída"),""),"")</f>
        <v/>
      </c>
      <c r="F639" s="10" t="str">
        <f t="shared" si="22"/>
        <v/>
      </c>
    </row>
    <row r="640" spans="1:6" x14ac:dyDescent="0.3">
      <c r="A640" s="15" t="str">
        <f t="shared" ref="A640:A703" si="23">IF(F640="Saldo zerado",0,IF(F640="Saldo abaixo do mínimo",1,IF(F640="Saldo disponível",2,".")))</f>
        <v>.</v>
      </c>
      <c r="E640" s="13" t="str">
        <f>IFERROR(IF(AND(B640&lt;&gt;"",C640&lt;&gt;""),SUMIFS(Movimentos!$F$4:$F$9996,Movimentos!$D$4:$D$9996,B640,Movimentos!$C$4:$C$9996,"Entrada")-SUMIFS(Movimentos!$F$4:$F$9996,Movimentos!$D$4:$D$9996,B640,Movimentos!$C$4:$C$9996,"Saída"),""),"")</f>
        <v/>
      </c>
      <c r="F640" s="10" t="str">
        <f t="shared" si="22"/>
        <v/>
      </c>
    </row>
    <row r="641" spans="1:6" x14ac:dyDescent="0.3">
      <c r="A641" s="15" t="str">
        <f t="shared" si="23"/>
        <v>.</v>
      </c>
      <c r="E641" s="13" t="str">
        <f>IFERROR(IF(AND(B641&lt;&gt;"",C641&lt;&gt;""),SUMIFS(Movimentos!$F$4:$F$9996,Movimentos!$D$4:$D$9996,B641,Movimentos!$C$4:$C$9996,"Entrada")-SUMIFS(Movimentos!$F$4:$F$9996,Movimentos!$D$4:$D$9996,B641,Movimentos!$C$4:$C$9996,"Saída"),""),"")</f>
        <v/>
      </c>
      <c r="F641" s="10" t="str">
        <f t="shared" si="22"/>
        <v/>
      </c>
    </row>
    <row r="642" spans="1:6" x14ac:dyDescent="0.3">
      <c r="A642" s="15" t="str">
        <f t="shared" si="23"/>
        <v>.</v>
      </c>
      <c r="E642" s="13" t="str">
        <f>IFERROR(IF(AND(B642&lt;&gt;"",C642&lt;&gt;""),SUMIFS(Movimentos!$F$4:$F$9996,Movimentos!$D$4:$D$9996,B642,Movimentos!$C$4:$C$9996,"Entrada")-SUMIFS(Movimentos!$F$4:$F$9996,Movimentos!$D$4:$D$9996,B642,Movimentos!$C$4:$C$9996,"Saída"),""),"")</f>
        <v/>
      </c>
      <c r="F642" s="10" t="str">
        <f t="shared" si="22"/>
        <v/>
      </c>
    </row>
    <row r="643" spans="1:6" x14ac:dyDescent="0.3">
      <c r="A643" s="15" t="str">
        <f t="shared" si="23"/>
        <v>.</v>
      </c>
      <c r="E643" s="13" t="str">
        <f>IFERROR(IF(AND(B643&lt;&gt;"",C643&lt;&gt;""),SUMIFS(Movimentos!$F$4:$F$9996,Movimentos!$D$4:$D$9996,B643,Movimentos!$C$4:$C$9996,"Entrada")-SUMIFS(Movimentos!$F$4:$F$9996,Movimentos!$D$4:$D$9996,B643,Movimentos!$C$4:$C$9996,"Saída"),""),"")</f>
        <v/>
      </c>
      <c r="F643" s="10" t="str">
        <f t="shared" si="22"/>
        <v/>
      </c>
    </row>
    <row r="644" spans="1:6" x14ac:dyDescent="0.3">
      <c r="A644" s="15" t="str">
        <f t="shared" si="23"/>
        <v>.</v>
      </c>
      <c r="E644" s="13" t="str">
        <f>IFERROR(IF(AND(B644&lt;&gt;"",C644&lt;&gt;""),SUMIFS(Movimentos!$F$4:$F$9996,Movimentos!$D$4:$D$9996,B644,Movimentos!$C$4:$C$9996,"Entrada")-SUMIFS(Movimentos!$F$4:$F$9996,Movimentos!$D$4:$D$9996,B644,Movimentos!$C$4:$C$9996,"Saída"),""),"")</f>
        <v/>
      </c>
      <c r="F644" s="10" t="str">
        <f t="shared" si="22"/>
        <v/>
      </c>
    </row>
    <row r="645" spans="1:6" x14ac:dyDescent="0.3">
      <c r="A645" s="15" t="str">
        <f t="shared" si="23"/>
        <v>.</v>
      </c>
      <c r="E645" s="13" t="str">
        <f>IFERROR(IF(AND(B645&lt;&gt;"",C645&lt;&gt;""),SUMIFS(Movimentos!$F$4:$F$9996,Movimentos!$D$4:$D$9996,B645,Movimentos!$C$4:$C$9996,"Entrada")-SUMIFS(Movimentos!$F$4:$F$9996,Movimentos!$D$4:$D$9996,B645,Movimentos!$C$4:$C$9996,"Saída"),""),"")</f>
        <v/>
      </c>
      <c r="F645" s="10" t="str">
        <f t="shared" si="22"/>
        <v/>
      </c>
    </row>
    <row r="646" spans="1:6" x14ac:dyDescent="0.3">
      <c r="A646" s="15" t="str">
        <f t="shared" si="23"/>
        <v>.</v>
      </c>
      <c r="E646" s="13" t="str">
        <f>IFERROR(IF(AND(B646&lt;&gt;"",C646&lt;&gt;""),SUMIFS(Movimentos!$F$4:$F$9996,Movimentos!$D$4:$D$9996,B646,Movimentos!$C$4:$C$9996,"Entrada")-SUMIFS(Movimentos!$F$4:$F$9996,Movimentos!$D$4:$D$9996,B646,Movimentos!$C$4:$C$9996,"Saída"),""),"")</f>
        <v/>
      </c>
      <c r="F646" s="10" t="str">
        <f t="shared" si="22"/>
        <v/>
      </c>
    </row>
    <row r="647" spans="1:6" x14ac:dyDescent="0.3">
      <c r="A647" s="15" t="str">
        <f t="shared" si="23"/>
        <v>.</v>
      </c>
      <c r="E647" s="13" t="str">
        <f>IFERROR(IF(AND(B647&lt;&gt;"",C647&lt;&gt;""),SUMIFS(Movimentos!$F$4:$F$9996,Movimentos!$D$4:$D$9996,B647,Movimentos!$C$4:$C$9996,"Entrada")-SUMIFS(Movimentos!$F$4:$F$9996,Movimentos!$D$4:$D$9996,B647,Movimentos!$C$4:$C$9996,"Saída"),""),"")</f>
        <v/>
      </c>
      <c r="F647" s="10" t="str">
        <f t="shared" si="22"/>
        <v/>
      </c>
    </row>
    <row r="648" spans="1:6" x14ac:dyDescent="0.3">
      <c r="A648" s="15" t="str">
        <f t="shared" si="23"/>
        <v>.</v>
      </c>
      <c r="E648" s="13" t="str">
        <f>IFERROR(IF(AND(B648&lt;&gt;"",C648&lt;&gt;""),SUMIFS(Movimentos!$F$4:$F$9996,Movimentos!$D$4:$D$9996,B648,Movimentos!$C$4:$C$9996,"Entrada")-SUMIFS(Movimentos!$F$4:$F$9996,Movimentos!$D$4:$D$9996,B648,Movimentos!$C$4:$C$9996,"Saída"),""),"")</f>
        <v/>
      </c>
      <c r="F648" s="10" t="str">
        <f t="shared" si="22"/>
        <v/>
      </c>
    </row>
    <row r="649" spans="1:6" x14ac:dyDescent="0.3">
      <c r="A649" s="15" t="str">
        <f t="shared" si="23"/>
        <v>.</v>
      </c>
      <c r="E649" s="13" t="str">
        <f>IFERROR(IF(AND(B649&lt;&gt;"",C649&lt;&gt;""),SUMIFS(Movimentos!$F$4:$F$9996,Movimentos!$D$4:$D$9996,B649,Movimentos!$C$4:$C$9996,"Entrada")-SUMIFS(Movimentos!$F$4:$F$9996,Movimentos!$D$4:$D$9996,B649,Movimentos!$C$4:$C$9996,"Saída"),""),"")</f>
        <v/>
      </c>
      <c r="F649" s="10" t="str">
        <f t="shared" si="22"/>
        <v/>
      </c>
    </row>
    <row r="650" spans="1:6" x14ac:dyDescent="0.3">
      <c r="A650" s="15" t="str">
        <f t="shared" si="23"/>
        <v>.</v>
      </c>
      <c r="E650" s="13" t="str">
        <f>IFERROR(IF(AND(B650&lt;&gt;"",C650&lt;&gt;""),SUMIFS(Movimentos!$F$4:$F$9996,Movimentos!$D$4:$D$9996,B650,Movimentos!$C$4:$C$9996,"Entrada")-SUMIFS(Movimentos!$F$4:$F$9996,Movimentos!$D$4:$D$9996,B650,Movimentos!$C$4:$C$9996,"Saída"),""),"")</f>
        <v/>
      </c>
      <c r="F650" s="10" t="str">
        <f t="shared" si="22"/>
        <v/>
      </c>
    </row>
    <row r="651" spans="1:6" x14ac:dyDescent="0.3">
      <c r="A651" s="15" t="str">
        <f t="shared" si="23"/>
        <v>.</v>
      </c>
      <c r="E651" s="13" t="str">
        <f>IFERROR(IF(AND(B651&lt;&gt;"",C651&lt;&gt;""),SUMIFS(Movimentos!$F$4:$F$9996,Movimentos!$D$4:$D$9996,B651,Movimentos!$C$4:$C$9996,"Entrada")-SUMIFS(Movimentos!$F$4:$F$9996,Movimentos!$D$4:$D$9996,B651,Movimentos!$C$4:$C$9996,"Saída"),""),"")</f>
        <v/>
      </c>
      <c r="F651" s="10" t="str">
        <f t="shared" si="22"/>
        <v/>
      </c>
    </row>
    <row r="652" spans="1:6" x14ac:dyDescent="0.3">
      <c r="A652" s="15" t="str">
        <f t="shared" si="23"/>
        <v>.</v>
      </c>
      <c r="E652" s="13" t="str">
        <f>IFERROR(IF(AND(B652&lt;&gt;"",C652&lt;&gt;""),SUMIFS(Movimentos!$F$4:$F$9996,Movimentos!$D$4:$D$9996,B652,Movimentos!$C$4:$C$9996,"Entrada")-SUMIFS(Movimentos!$F$4:$F$9996,Movimentos!$D$4:$D$9996,B652,Movimentos!$C$4:$C$9996,"Saída"),""),"")</f>
        <v/>
      </c>
      <c r="F652" s="10" t="str">
        <f t="shared" si="22"/>
        <v/>
      </c>
    </row>
    <row r="653" spans="1:6" x14ac:dyDescent="0.3">
      <c r="A653" s="15" t="str">
        <f t="shared" si="23"/>
        <v>.</v>
      </c>
      <c r="E653" s="13" t="str">
        <f>IFERROR(IF(AND(B653&lt;&gt;"",C653&lt;&gt;""),SUMIFS(Movimentos!$F$4:$F$9996,Movimentos!$D$4:$D$9996,B653,Movimentos!$C$4:$C$9996,"Entrada")-SUMIFS(Movimentos!$F$4:$F$9996,Movimentos!$D$4:$D$9996,B653,Movimentos!$C$4:$C$9996,"Saída"),""),"")</f>
        <v/>
      </c>
      <c r="F653" s="10" t="str">
        <f t="shared" si="22"/>
        <v/>
      </c>
    </row>
    <row r="654" spans="1:6" x14ac:dyDescent="0.3">
      <c r="A654" s="15" t="str">
        <f t="shared" si="23"/>
        <v>.</v>
      </c>
      <c r="E654" s="13" t="str">
        <f>IFERROR(IF(AND(B654&lt;&gt;"",C654&lt;&gt;""),SUMIFS(Movimentos!$F$4:$F$9996,Movimentos!$D$4:$D$9996,B654,Movimentos!$C$4:$C$9996,"Entrada")-SUMIFS(Movimentos!$F$4:$F$9996,Movimentos!$D$4:$D$9996,B654,Movimentos!$C$4:$C$9996,"Saída"),""),"")</f>
        <v/>
      </c>
      <c r="F654" s="10" t="str">
        <f t="shared" si="22"/>
        <v/>
      </c>
    </row>
    <row r="655" spans="1:6" x14ac:dyDescent="0.3">
      <c r="A655" s="15" t="str">
        <f t="shared" si="23"/>
        <v>.</v>
      </c>
      <c r="E655" s="13" t="str">
        <f>IFERROR(IF(AND(B655&lt;&gt;"",C655&lt;&gt;""),SUMIFS(Movimentos!$F$4:$F$9996,Movimentos!$D$4:$D$9996,B655,Movimentos!$C$4:$C$9996,"Entrada")-SUMIFS(Movimentos!$F$4:$F$9996,Movimentos!$D$4:$D$9996,B655,Movimentos!$C$4:$C$9996,"Saída"),""),"")</f>
        <v/>
      </c>
      <c r="F655" s="10" t="str">
        <f t="shared" si="22"/>
        <v/>
      </c>
    </row>
    <row r="656" spans="1:6" x14ac:dyDescent="0.3">
      <c r="A656" s="15" t="str">
        <f t="shared" si="23"/>
        <v>.</v>
      </c>
      <c r="E656" s="13" t="str">
        <f>IFERROR(IF(AND(B656&lt;&gt;"",C656&lt;&gt;""),SUMIFS(Movimentos!$F$4:$F$9996,Movimentos!$D$4:$D$9996,B656,Movimentos!$C$4:$C$9996,"Entrada")-SUMIFS(Movimentos!$F$4:$F$9996,Movimentos!$D$4:$D$9996,B656,Movimentos!$C$4:$C$9996,"Saída"),""),"")</f>
        <v/>
      </c>
      <c r="F656" s="10" t="str">
        <f t="shared" si="22"/>
        <v/>
      </c>
    </row>
    <row r="657" spans="1:6" x14ac:dyDescent="0.3">
      <c r="A657" s="15" t="str">
        <f t="shared" si="23"/>
        <v>.</v>
      </c>
      <c r="E657" s="13" t="str">
        <f>IFERROR(IF(AND(B657&lt;&gt;"",C657&lt;&gt;""),SUMIFS(Movimentos!$F$4:$F$9996,Movimentos!$D$4:$D$9996,B657,Movimentos!$C$4:$C$9996,"Entrada")-SUMIFS(Movimentos!$F$4:$F$9996,Movimentos!$D$4:$D$9996,B657,Movimentos!$C$4:$C$9996,"Saída"),""),"")</f>
        <v/>
      </c>
      <c r="F657" s="10" t="str">
        <f t="shared" si="22"/>
        <v/>
      </c>
    </row>
    <row r="658" spans="1:6" x14ac:dyDescent="0.3">
      <c r="A658" s="15" t="str">
        <f t="shared" si="23"/>
        <v>.</v>
      </c>
      <c r="E658" s="13" t="str">
        <f>IFERROR(IF(AND(B658&lt;&gt;"",C658&lt;&gt;""),SUMIFS(Movimentos!$F$4:$F$9996,Movimentos!$D$4:$D$9996,B658,Movimentos!$C$4:$C$9996,"Entrada")-SUMIFS(Movimentos!$F$4:$F$9996,Movimentos!$D$4:$D$9996,B658,Movimentos!$C$4:$C$9996,"Saída"),""),"")</f>
        <v/>
      </c>
      <c r="F658" s="10" t="str">
        <f t="shared" si="22"/>
        <v/>
      </c>
    </row>
    <row r="659" spans="1:6" x14ac:dyDescent="0.3">
      <c r="A659" s="15" t="str">
        <f t="shared" si="23"/>
        <v>.</v>
      </c>
      <c r="E659" s="13" t="str">
        <f>IFERROR(IF(AND(B659&lt;&gt;"",C659&lt;&gt;""),SUMIFS(Movimentos!$F$4:$F$9996,Movimentos!$D$4:$D$9996,B659,Movimentos!$C$4:$C$9996,"Entrada")-SUMIFS(Movimentos!$F$4:$F$9996,Movimentos!$D$4:$D$9996,B659,Movimentos!$C$4:$C$9996,"Saída"),""),"")</f>
        <v/>
      </c>
      <c r="F659" s="10" t="str">
        <f t="shared" si="22"/>
        <v/>
      </c>
    </row>
    <row r="660" spans="1:6" x14ac:dyDescent="0.3">
      <c r="A660" s="15" t="str">
        <f t="shared" si="23"/>
        <v>.</v>
      </c>
      <c r="E660" s="13" t="str">
        <f>IFERROR(IF(AND(B660&lt;&gt;"",C660&lt;&gt;""),SUMIFS(Movimentos!$F$4:$F$9996,Movimentos!$D$4:$D$9996,B660,Movimentos!$C$4:$C$9996,"Entrada")-SUMIFS(Movimentos!$F$4:$F$9996,Movimentos!$D$4:$D$9996,B660,Movimentos!$C$4:$C$9996,"Saída"),""),"")</f>
        <v/>
      </c>
      <c r="F660" s="10" t="str">
        <f t="shared" si="22"/>
        <v/>
      </c>
    </row>
    <row r="661" spans="1:6" x14ac:dyDescent="0.3">
      <c r="A661" s="15" t="str">
        <f t="shared" si="23"/>
        <v>.</v>
      </c>
      <c r="E661" s="13" t="str">
        <f>IFERROR(IF(AND(B661&lt;&gt;"",C661&lt;&gt;""),SUMIFS(Movimentos!$F$4:$F$9996,Movimentos!$D$4:$D$9996,B661,Movimentos!$C$4:$C$9996,"Entrada")-SUMIFS(Movimentos!$F$4:$F$9996,Movimentos!$D$4:$D$9996,B661,Movimentos!$C$4:$C$9996,"Saída"),""),"")</f>
        <v/>
      </c>
      <c r="F661" s="10" t="str">
        <f t="shared" si="22"/>
        <v/>
      </c>
    </row>
    <row r="662" spans="1:6" x14ac:dyDescent="0.3">
      <c r="A662" s="15" t="str">
        <f t="shared" si="23"/>
        <v>.</v>
      </c>
      <c r="E662" s="13" t="str">
        <f>IFERROR(IF(AND(B662&lt;&gt;"",C662&lt;&gt;""),SUMIFS(Movimentos!$F$4:$F$9996,Movimentos!$D$4:$D$9996,B662,Movimentos!$C$4:$C$9996,"Entrada")-SUMIFS(Movimentos!$F$4:$F$9996,Movimentos!$D$4:$D$9996,B662,Movimentos!$C$4:$C$9996,"Saída"),""),"")</f>
        <v/>
      </c>
      <c r="F662" s="10" t="str">
        <f t="shared" si="22"/>
        <v/>
      </c>
    </row>
    <row r="663" spans="1:6" x14ac:dyDescent="0.3">
      <c r="A663" s="15" t="str">
        <f t="shared" si="23"/>
        <v>.</v>
      </c>
      <c r="E663" s="13" t="str">
        <f>IFERROR(IF(AND(B663&lt;&gt;"",C663&lt;&gt;""),SUMIFS(Movimentos!$F$4:$F$9996,Movimentos!$D$4:$D$9996,B663,Movimentos!$C$4:$C$9996,"Entrada")-SUMIFS(Movimentos!$F$4:$F$9996,Movimentos!$D$4:$D$9996,B663,Movimentos!$C$4:$C$9996,"Saída"),""),"")</f>
        <v/>
      </c>
      <c r="F663" s="10" t="str">
        <f t="shared" ref="F663:F726" si="24">IF(AND(B663&lt;&gt;"",C663&lt;&gt;""),IF(E663=0,"Saldo zerado",IF(E663&lt;D663,"Saldo abaixo do mínimo","Saldo disponível")),"")</f>
        <v/>
      </c>
    </row>
    <row r="664" spans="1:6" x14ac:dyDescent="0.3">
      <c r="A664" s="15" t="str">
        <f t="shared" si="23"/>
        <v>.</v>
      </c>
      <c r="E664" s="13" t="str">
        <f>IFERROR(IF(AND(B664&lt;&gt;"",C664&lt;&gt;""),SUMIFS(Movimentos!$F$4:$F$9996,Movimentos!$D$4:$D$9996,B664,Movimentos!$C$4:$C$9996,"Entrada")-SUMIFS(Movimentos!$F$4:$F$9996,Movimentos!$D$4:$D$9996,B664,Movimentos!$C$4:$C$9996,"Saída"),""),"")</f>
        <v/>
      </c>
      <c r="F664" s="10" t="str">
        <f t="shared" si="24"/>
        <v/>
      </c>
    </row>
    <row r="665" spans="1:6" x14ac:dyDescent="0.3">
      <c r="A665" s="15" t="str">
        <f t="shared" si="23"/>
        <v>.</v>
      </c>
      <c r="E665" s="13" t="str">
        <f>IFERROR(IF(AND(B665&lt;&gt;"",C665&lt;&gt;""),SUMIFS(Movimentos!$F$4:$F$9996,Movimentos!$D$4:$D$9996,B665,Movimentos!$C$4:$C$9996,"Entrada")-SUMIFS(Movimentos!$F$4:$F$9996,Movimentos!$D$4:$D$9996,B665,Movimentos!$C$4:$C$9996,"Saída"),""),"")</f>
        <v/>
      </c>
      <c r="F665" s="10" t="str">
        <f t="shared" si="24"/>
        <v/>
      </c>
    </row>
    <row r="666" spans="1:6" x14ac:dyDescent="0.3">
      <c r="A666" s="15" t="str">
        <f t="shared" si="23"/>
        <v>.</v>
      </c>
      <c r="E666" s="13" t="str">
        <f>IFERROR(IF(AND(B666&lt;&gt;"",C666&lt;&gt;""),SUMIFS(Movimentos!$F$4:$F$9996,Movimentos!$D$4:$D$9996,B666,Movimentos!$C$4:$C$9996,"Entrada")-SUMIFS(Movimentos!$F$4:$F$9996,Movimentos!$D$4:$D$9996,B666,Movimentos!$C$4:$C$9996,"Saída"),""),"")</f>
        <v/>
      </c>
      <c r="F666" s="10" t="str">
        <f t="shared" si="24"/>
        <v/>
      </c>
    </row>
    <row r="667" spans="1:6" x14ac:dyDescent="0.3">
      <c r="A667" s="15" t="str">
        <f t="shared" si="23"/>
        <v>.</v>
      </c>
      <c r="E667" s="13" t="str">
        <f>IFERROR(IF(AND(B667&lt;&gt;"",C667&lt;&gt;""),SUMIFS(Movimentos!$F$4:$F$9996,Movimentos!$D$4:$D$9996,B667,Movimentos!$C$4:$C$9996,"Entrada")-SUMIFS(Movimentos!$F$4:$F$9996,Movimentos!$D$4:$D$9996,B667,Movimentos!$C$4:$C$9996,"Saída"),""),"")</f>
        <v/>
      </c>
      <c r="F667" s="10" t="str">
        <f t="shared" si="24"/>
        <v/>
      </c>
    </row>
    <row r="668" spans="1:6" x14ac:dyDescent="0.3">
      <c r="A668" s="15" t="str">
        <f t="shared" si="23"/>
        <v>.</v>
      </c>
      <c r="E668" s="13" t="str">
        <f>IFERROR(IF(AND(B668&lt;&gt;"",C668&lt;&gt;""),SUMIFS(Movimentos!$F$4:$F$9996,Movimentos!$D$4:$D$9996,B668,Movimentos!$C$4:$C$9996,"Entrada")-SUMIFS(Movimentos!$F$4:$F$9996,Movimentos!$D$4:$D$9996,B668,Movimentos!$C$4:$C$9996,"Saída"),""),"")</f>
        <v/>
      </c>
      <c r="F668" s="10" t="str">
        <f t="shared" si="24"/>
        <v/>
      </c>
    </row>
    <row r="669" spans="1:6" x14ac:dyDescent="0.3">
      <c r="A669" s="15" t="str">
        <f t="shared" si="23"/>
        <v>.</v>
      </c>
      <c r="E669" s="13" t="str">
        <f>IFERROR(IF(AND(B669&lt;&gt;"",C669&lt;&gt;""),SUMIFS(Movimentos!$F$4:$F$9996,Movimentos!$D$4:$D$9996,B669,Movimentos!$C$4:$C$9996,"Entrada")-SUMIFS(Movimentos!$F$4:$F$9996,Movimentos!$D$4:$D$9996,B669,Movimentos!$C$4:$C$9996,"Saída"),""),"")</f>
        <v/>
      </c>
      <c r="F669" s="10" t="str">
        <f t="shared" si="24"/>
        <v/>
      </c>
    </row>
    <row r="670" spans="1:6" x14ac:dyDescent="0.3">
      <c r="A670" s="15" t="str">
        <f t="shared" si="23"/>
        <v>.</v>
      </c>
      <c r="E670" s="13" t="str">
        <f>IFERROR(IF(AND(B670&lt;&gt;"",C670&lt;&gt;""),SUMIFS(Movimentos!$F$4:$F$9996,Movimentos!$D$4:$D$9996,B670,Movimentos!$C$4:$C$9996,"Entrada")-SUMIFS(Movimentos!$F$4:$F$9996,Movimentos!$D$4:$D$9996,B670,Movimentos!$C$4:$C$9996,"Saída"),""),"")</f>
        <v/>
      </c>
      <c r="F670" s="10" t="str">
        <f t="shared" si="24"/>
        <v/>
      </c>
    </row>
    <row r="671" spans="1:6" x14ac:dyDescent="0.3">
      <c r="A671" s="15" t="str">
        <f t="shared" si="23"/>
        <v>.</v>
      </c>
      <c r="E671" s="13" t="str">
        <f>IFERROR(IF(AND(B671&lt;&gt;"",C671&lt;&gt;""),SUMIFS(Movimentos!$F$4:$F$9996,Movimentos!$D$4:$D$9996,B671,Movimentos!$C$4:$C$9996,"Entrada")-SUMIFS(Movimentos!$F$4:$F$9996,Movimentos!$D$4:$D$9996,B671,Movimentos!$C$4:$C$9996,"Saída"),""),"")</f>
        <v/>
      </c>
      <c r="F671" s="10" t="str">
        <f t="shared" si="24"/>
        <v/>
      </c>
    </row>
    <row r="672" spans="1:6" x14ac:dyDescent="0.3">
      <c r="A672" s="15" t="str">
        <f t="shared" si="23"/>
        <v>.</v>
      </c>
      <c r="E672" s="13" t="str">
        <f>IFERROR(IF(AND(B672&lt;&gt;"",C672&lt;&gt;""),SUMIFS(Movimentos!$F$4:$F$9996,Movimentos!$D$4:$D$9996,B672,Movimentos!$C$4:$C$9996,"Entrada")-SUMIFS(Movimentos!$F$4:$F$9996,Movimentos!$D$4:$D$9996,B672,Movimentos!$C$4:$C$9996,"Saída"),""),"")</f>
        <v/>
      </c>
      <c r="F672" s="10" t="str">
        <f t="shared" si="24"/>
        <v/>
      </c>
    </row>
    <row r="673" spans="1:6" x14ac:dyDescent="0.3">
      <c r="A673" s="15" t="str">
        <f t="shared" si="23"/>
        <v>.</v>
      </c>
      <c r="E673" s="13" t="str">
        <f>IFERROR(IF(AND(B673&lt;&gt;"",C673&lt;&gt;""),SUMIFS(Movimentos!$F$4:$F$9996,Movimentos!$D$4:$D$9996,B673,Movimentos!$C$4:$C$9996,"Entrada")-SUMIFS(Movimentos!$F$4:$F$9996,Movimentos!$D$4:$D$9996,B673,Movimentos!$C$4:$C$9996,"Saída"),""),"")</f>
        <v/>
      </c>
      <c r="F673" s="10" t="str">
        <f t="shared" si="24"/>
        <v/>
      </c>
    </row>
    <row r="674" spans="1:6" x14ac:dyDescent="0.3">
      <c r="A674" s="15" t="str">
        <f t="shared" si="23"/>
        <v>.</v>
      </c>
      <c r="E674" s="13" t="str">
        <f>IFERROR(IF(AND(B674&lt;&gt;"",C674&lt;&gt;""),SUMIFS(Movimentos!$F$4:$F$9996,Movimentos!$D$4:$D$9996,B674,Movimentos!$C$4:$C$9996,"Entrada")-SUMIFS(Movimentos!$F$4:$F$9996,Movimentos!$D$4:$D$9996,B674,Movimentos!$C$4:$C$9996,"Saída"),""),"")</f>
        <v/>
      </c>
      <c r="F674" s="10" t="str">
        <f t="shared" si="24"/>
        <v/>
      </c>
    </row>
    <row r="675" spans="1:6" x14ac:dyDescent="0.3">
      <c r="A675" s="15" t="str">
        <f t="shared" si="23"/>
        <v>.</v>
      </c>
      <c r="E675" s="13" t="str">
        <f>IFERROR(IF(AND(B675&lt;&gt;"",C675&lt;&gt;""),SUMIFS(Movimentos!$F$4:$F$9996,Movimentos!$D$4:$D$9996,B675,Movimentos!$C$4:$C$9996,"Entrada")-SUMIFS(Movimentos!$F$4:$F$9996,Movimentos!$D$4:$D$9996,B675,Movimentos!$C$4:$C$9996,"Saída"),""),"")</f>
        <v/>
      </c>
      <c r="F675" s="10" t="str">
        <f t="shared" si="24"/>
        <v/>
      </c>
    </row>
    <row r="676" spans="1:6" x14ac:dyDescent="0.3">
      <c r="A676" s="15" t="str">
        <f t="shared" si="23"/>
        <v>.</v>
      </c>
      <c r="E676" s="13" t="str">
        <f>IFERROR(IF(AND(B676&lt;&gt;"",C676&lt;&gt;""),SUMIFS(Movimentos!$F$4:$F$9996,Movimentos!$D$4:$D$9996,B676,Movimentos!$C$4:$C$9996,"Entrada")-SUMIFS(Movimentos!$F$4:$F$9996,Movimentos!$D$4:$D$9996,B676,Movimentos!$C$4:$C$9996,"Saída"),""),"")</f>
        <v/>
      </c>
      <c r="F676" s="10" t="str">
        <f t="shared" si="24"/>
        <v/>
      </c>
    </row>
    <row r="677" spans="1:6" x14ac:dyDescent="0.3">
      <c r="A677" s="15" t="str">
        <f t="shared" si="23"/>
        <v>.</v>
      </c>
      <c r="E677" s="13" t="str">
        <f>IFERROR(IF(AND(B677&lt;&gt;"",C677&lt;&gt;""),SUMIFS(Movimentos!$F$4:$F$9996,Movimentos!$D$4:$D$9996,B677,Movimentos!$C$4:$C$9996,"Entrada")-SUMIFS(Movimentos!$F$4:$F$9996,Movimentos!$D$4:$D$9996,B677,Movimentos!$C$4:$C$9996,"Saída"),""),"")</f>
        <v/>
      </c>
      <c r="F677" s="10" t="str">
        <f t="shared" si="24"/>
        <v/>
      </c>
    </row>
    <row r="678" spans="1:6" x14ac:dyDescent="0.3">
      <c r="A678" s="15" t="str">
        <f t="shared" si="23"/>
        <v>.</v>
      </c>
      <c r="E678" s="13" t="str">
        <f>IFERROR(IF(AND(B678&lt;&gt;"",C678&lt;&gt;""),SUMIFS(Movimentos!$F$4:$F$9996,Movimentos!$D$4:$D$9996,B678,Movimentos!$C$4:$C$9996,"Entrada")-SUMIFS(Movimentos!$F$4:$F$9996,Movimentos!$D$4:$D$9996,B678,Movimentos!$C$4:$C$9996,"Saída"),""),"")</f>
        <v/>
      </c>
      <c r="F678" s="10" t="str">
        <f t="shared" si="24"/>
        <v/>
      </c>
    </row>
    <row r="679" spans="1:6" x14ac:dyDescent="0.3">
      <c r="A679" s="15" t="str">
        <f t="shared" si="23"/>
        <v>.</v>
      </c>
      <c r="E679" s="13" t="str">
        <f>IFERROR(IF(AND(B679&lt;&gt;"",C679&lt;&gt;""),SUMIFS(Movimentos!$F$4:$F$9996,Movimentos!$D$4:$D$9996,B679,Movimentos!$C$4:$C$9996,"Entrada")-SUMIFS(Movimentos!$F$4:$F$9996,Movimentos!$D$4:$D$9996,B679,Movimentos!$C$4:$C$9996,"Saída"),""),"")</f>
        <v/>
      </c>
      <c r="F679" s="10" t="str">
        <f t="shared" si="24"/>
        <v/>
      </c>
    </row>
    <row r="680" spans="1:6" x14ac:dyDescent="0.3">
      <c r="A680" s="15" t="str">
        <f t="shared" si="23"/>
        <v>.</v>
      </c>
      <c r="E680" s="13" t="str">
        <f>IFERROR(IF(AND(B680&lt;&gt;"",C680&lt;&gt;""),SUMIFS(Movimentos!$F$4:$F$9996,Movimentos!$D$4:$D$9996,B680,Movimentos!$C$4:$C$9996,"Entrada")-SUMIFS(Movimentos!$F$4:$F$9996,Movimentos!$D$4:$D$9996,B680,Movimentos!$C$4:$C$9996,"Saída"),""),"")</f>
        <v/>
      </c>
      <c r="F680" s="10" t="str">
        <f t="shared" si="24"/>
        <v/>
      </c>
    </row>
    <row r="681" spans="1:6" x14ac:dyDescent="0.3">
      <c r="A681" s="15" t="str">
        <f t="shared" si="23"/>
        <v>.</v>
      </c>
      <c r="E681" s="13" t="str">
        <f>IFERROR(IF(AND(B681&lt;&gt;"",C681&lt;&gt;""),SUMIFS(Movimentos!$F$4:$F$9996,Movimentos!$D$4:$D$9996,B681,Movimentos!$C$4:$C$9996,"Entrada")-SUMIFS(Movimentos!$F$4:$F$9996,Movimentos!$D$4:$D$9996,B681,Movimentos!$C$4:$C$9996,"Saída"),""),"")</f>
        <v/>
      </c>
      <c r="F681" s="10" t="str">
        <f t="shared" si="24"/>
        <v/>
      </c>
    </row>
    <row r="682" spans="1:6" x14ac:dyDescent="0.3">
      <c r="A682" s="15" t="str">
        <f t="shared" si="23"/>
        <v>.</v>
      </c>
      <c r="E682" s="13" t="str">
        <f>IFERROR(IF(AND(B682&lt;&gt;"",C682&lt;&gt;""),SUMIFS(Movimentos!$F$4:$F$9996,Movimentos!$D$4:$D$9996,B682,Movimentos!$C$4:$C$9996,"Entrada")-SUMIFS(Movimentos!$F$4:$F$9996,Movimentos!$D$4:$D$9996,B682,Movimentos!$C$4:$C$9996,"Saída"),""),"")</f>
        <v/>
      </c>
      <c r="F682" s="10" t="str">
        <f t="shared" si="24"/>
        <v/>
      </c>
    </row>
    <row r="683" spans="1:6" x14ac:dyDescent="0.3">
      <c r="A683" s="15" t="str">
        <f t="shared" si="23"/>
        <v>.</v>
      </c>
      <c r="E683" s="13" t="str">
        <f>IFERROR(IF(AND(B683&lt;&gt;"",C683&lt;&gt;""),SUMIFS(Movimentos!$F$4:$F$9996,Movimentos!$D$4:$D$9996,B683,Movimentos!$C$4:$C$9996,"Entrada")-SUMIFS(Movimentos!$F$4:$F$9996,Movimentos!$D$4:$D$9996,B683,Movimentos!$C$4:$C$9996,"Saída"),""),"")</f>
        <v/>
      </c>
      <c r="F683" s="10" t="str">
        <f t="shared" si="24"/>
        <v/>
      </c>
    </row>
    <row r="684" spans="1:6" x14ac:dyDescent="0.3">
      <c r="A684" s="15" t="str">
        <f t="shared" si="23"/>
        <v>.</v>
      </c>
      <c r="E684" s="13" t="str">
        <f>IFERROR(IF(AND(B684&lt;&gt;"",C684&lt;&gt;""),SUMIFS(Movimentos!$F$4:$F$9996,Movimentos!$D$4:$D$9996,B684,Movimentos!$C$4:$C$9996,"Entrada")-SUMIFS(Movimentos!$F$4:$F$9996,Movimentos!$D$4:$D$9996,B684,Movimentos!$C$4:$C$9996,"Saída"),""),"")</f>
        <v/>
      </c>
      <c r="F684" s="10" t="str">
        <f t="shared" si="24"/>
        <v/>
      </c>
    </row>
    <row r="685" spans="1:6" x14ac:dyDescent="0.3">
      <c r="A685" s="15" t="str">
        <f t="shared" si="23"/>
        <v>.</v>
      </c>
      <c r="E685" s="13" t="str">
        <f>IFERROR(IF(AND(B685&lt;&gt;"",C685&lt;&gt;""),SUMIFS(Movimentos!$F$4:$F$9996,Movimentos!$D$4:$D$9996,B685,Movimentos!$C$4:$C$9996,"Entrada")-SUMIFS(Movimentos!$F$4:$F$9996,Movimentos!$D$4:$D$9996,B685,Movimentos!$C$4:$C$9996,"Saída"),""),"")</f>
        <v/>
      </c>
      <c r="F685" s="10" t="str">
        <f t="shared" si="24"/>
        <v/>
      </c>
    </row>
    <row r="686" spans="1:6" x14ac:dyDescent="0.3">
      <c r="A686" s="15" t="str">
        <f t="shared" si="23"/>
        <v>.</v>
      </c>
      <c r="E686" s="13" t="str">
        <f>IFERROR(IF(AND(B686&lt;&gt;"",C686&lt;&gt;""),SUMIFS(Movimentos!$F$4:$F$9996,Movimentos!$D$4:$D$9996,B686,Movimentos!$C$4:$C$9996,"Entrada")-SUMIFS(Movimentos!$F$4:$F$9996,Movimentos!$D$4:$D$9996,B686,Movimentos!$C$4:$C$9996,"Saída"),""),"")</f>
        <v/>
      </c>
      <c r="F686" s="10" t="str">
        <f t="shared" si="24"/>
        <v/>
      </c>
    </row>
    <row r="687" spans="1:6" x14ac:dyDescent="0.3">
      <c r="A687" s="15" t="str">
        <f t="shared" si="23"/>
        <v>.</v>
      </c>
      <c r="E687" s="13" t="str">
        <f>IFERROR(IF(AND(B687&lt;&gt;"",C687&lt;&gt;""),SUMIFS(Movimentos!$F$4:$F$9996,Movimentos!$D$4:$D$9996,B687,Movimentos!$C$4:$C$9996,"Entrada")-SUMIFS(Movimentos!$F$4:$F$9996,Movimentos!$D$4:$D$9996,B687,Movimentos!$C$4:$C$9996,"Saída"),""),"")</f>
        <v/>
      </c>
      <c r="F687" s="10" t="str">
        <f t="shared" si="24"/>
        <v/>
      </c>
    </row>
    <row r="688" spans="1:6" x14ac:dyDescent="0.3">
      <c r="A688" s="15" t="str">
        <f t="shared" si="23"/>
        <v>.</v>
      </c>
      <c r="E688" s="13" t="str">
        <f>IFERROR(IF(AND(B688&lt;&gt;"",C688&lt;&gt;""),SUMIFS(Movimentos!$F$4:$F$9996,Movimentos!$D$4:$D$9996,B688,Movimentos!$C$4:$C$9996,"Entrada")-SUMIFS(Movimentos!$F$4:$F$9996,Movimentos!$D$4:$D$9996,B688,Movimentos!$C$4:$C$9996,"Saída"),""),"")</f>
        <v/>
      </c>
      <c r="F688" s="10" t="str">
        <f t="shared" si="24"/>
        <v/>
      </c>
    </row>
    <row r="689" spans="1:6" x14ac:dyDescent="0.3">
      <c r="A689" s="15" t="str">
        <f t="shared" si="23"/>
        <v>.</v>
      </c>
      <c r="E689" s="13" t="str">
        <f>IFERROR(IF(AND(B689&lt;&gt;"",C689&lt;&gt;""),SUMIFS(Movimentos!$F$4:$F$9996,Movimentos!$D$4:$D$9996,B689,Movimentos!$C$4:$C$9996,"Entrada")-SUMIFS(Movimentos!$F$4:$F$9996,Movimentos!$D$4:$D$9996,B689,Movimentos!$C$4:$C$9996,"Saída"),""),"")</f>
        <v/>
      </c>
      <c r="F689" s="10" t="str">
        <f t="shared" si="24"/>
        <v/>
      </c>
    </row>
    <row r="690" spans="1:6" x14ac:dyDescent="0.3">
      <c r="A690" s="15" t="str">
        <f t="shared" si="23"/>
        <v>.</v>
      </c>
      <c r="E690" s="13" t="str">
        <f>IFERROR(IF(AND(B690&lt;&gt;"",C690&lt;&gt;""),SUMIFS(Movimentos!$F$4:$F$9996,Movimentos!$D$4:$D$9996,B690,Movimentos!$C$4:$C$9996,"Entrada")-SUMIFS(Movimentos!$F$4:$F$9996,Movimentos!$D$4:$D$9996,B690,Movimentos!$C$4:$C$9996,"Saída"),""),"")</f>
        <v/>
      </c>
      <c r="F690" s="10" t="str">
        <f t="shared" si="24"/>
        <v/>
      </c>
    </row>
    <row r="691" spans="1:6" x14ac:dyDescent="0.3">
      <c r="A691" s="15" t="str">
        <f t="shared" si="23"/>
        <v>.</v>
      </c>
      <c r="E691" s="13" t="str">
        <f>IFERROR(IF(AND(B691&lt;&gt;"",C691&lt;&gt;""),SUMIFS(Movimentos!$F$4:$F$9996,Movimentos!$D$4:$D$9996,B691,Movimentos!$C$4:$C$9996,"Entrada")-SUMIFS(Movimentos!$F$4:$F$9996,Movimentos!$D$4:$D$9996,B691,Movimentos!$C$4:$C$9996,"Saída"),""),"")</f>
        <v/>
      </c>
      <c r="F691" s="10" t="str">
        <f t="shared" si="24"/>
        <v/>
      </c>
    </row>
    <row r="692" spans="1:6" x14ac:dyDescent="0.3">
      <c r="A692" s="15" t="str">
        <f t="shared" si="23"/>
        <v>.</v>
      </c>
      <c r="E692" s="13" t="str">
        <f>IFERROR(IF(AND(B692&lt;&gt;"",C692&lt;&gt;""),SUMIFS(Movimentos!$F$4:$F$9996,Movimentos!$D$4:$D$9996,B692,Movimentos!$C$4:$C$9996,"Entrada")-SUMIFS(Movimentos!$F$4:$F$9996,Movimentos!$D$4:$D$9996,B692,Movimentos!$C$4:$C$9996,"Saída"),""),"")</f>
        <v/>
      </c>
      <c r="F692" s="10" t="str">
        <f t="shared" si="24"/>
        <v/>
      </c>
    </row>
    <row r="693" spans="1:6" x14ac:dyDescent="0.3">
      <c r="A693" s="15" t="str">
        <f t="shared" si="23"/>
        <v>.</v>
      </c>
      <c r="E693" s="13" t="str">
        <f>IFERROR(IF(AND(B693&lt;&gt;"",C693&lt;&gt;""),SUMIFS(Movimentos!$F$4:$F$9996,Movimentos!$D$4:$D$9996,B693,Movimentos!$C$4:$C$9996,"Entrada")-SUMIFS(Movimentos!$F$4:$F$9996,Movimentos!$D$4:$D$9996,B693,Movimentos!$C$4:$C$9996,"Saída"),""),"")</f>
        <v/>
      </c>
      <c r="F693" s="10" t="str">
        <f t="shared" si="24"/>
        <v/>
      </c>
    </row>
    <row r="694" spans="1:6" x14ac:dyDescent="0.3">
      <c r="A694" s="15" t="str">
        <f t="shared" si="23"/>
        <v>.</v>
      </c>
      <c r="E694" s="13" t="str">
        <f>IFERROR(IF(AND(B694&lt;&gt;"",C694&lt;&gt;""),SUMIFS(Movimentos!$F$4:$F$9996,Movimentos!$D$4:$D$9996,B694,Movimentos!$C$4:$C$9996,"Entrada")-SUMIFS(Movimentos!$F$4:$F$9996,Movimentos!$D$4:$D$9996,B694,Movimentos!$C$4:$C$9996,"Saída"),""),"")</f>
        <v/>
      </c>
      <c r="F694" s="10" t="str">
        <f t="shared" si="24"/>
        <v/>
      </c>
    </row>
    <row r="695" spans="1:6" x14ac:dyDescent="0.3">
      <c r="A695" s="15" t="str">
        <f t="shared" si="23"/>
        <v>.</v>
      </c>
      <c r="E695" s="13" t="str">
        <f>IFERROR(IF(AND(B695&lt;&gt;"",C695&lt;&gt;""),SUMIFS(Movimentos!$F$4:$F$9996,Movimentos!$D$4:$D$9996,B695,Movimentos!$C$4:$C$9996,"Entrada")-SUMIFS(Movimentos!$F$4:$F$9996,Movimentos!$D$4:$D$9996,B695,Movimentos!$C$4:$C$9996,"Saída"),""),"")</f>
        <v/>
      </c>
      <c r="F695" s="10" t="str">
        <f t="shared" si="24"/>
        <v/>
      </c>
    </row>
    <row r="696" spans="1:6" x14ac:dyDescent="0.3">
      <c r="A696" s="15" t="str">
        <f t="shared" si="23"/>
        <v>.</v>
      </c>
      <c r="E696" s="13" t="str">
        <f>IFERROR(IF(AND(B696&lt;&gt;"",C696&lt;&gt;""),SUMIFS(Movimentos!$F$4:$F$9996,Movimentos!$D$4:$D$9996,B696,Movimentos!$C$4:$C$9996,"Entrada")-SUMIFS(Movimentos!$F$4:$F$9996,Movimentos!$D$4:$D$9996,B696,Movimentos!$C$4:$C$9996,"Saída"),""),"")</f>
        <v/>
      </c>
      <c r="F696" s="10" t="str">
        <f t="shared" si="24"/>
        <v/>
      </c>
    </row>
    <row r="697" spans="1:6" x14ac:dyDescent="0.3">
      <c r="A697" s="15" t="str">
        <f t="shared" si="23"/>
        <v>.</v>
      </c>
      <c r="E697" s="13" t="str">
        <f>IFERROR(IF(AND(B697&lt;&gt;"",C697&lt;&gt;""),SUMIFS(Movimentos!$F$4:$F$9996,Movimentos!$D$4:$D$9996,B697,Movimentos!$C$4:$C$9996,"Entrada")-SUMIFS(Movimentos!$F$4:$F$9996,Movimentos!$D$4:$D$9996,B697,Movimentos!$C$4:$C$9996,"Saída"),""),"")</f>
        <v/>
      </c>
      <c r="F697" s="10" t="str">
        <f t="shared" si="24"/>
        <v/>
      </c>
    </row>
    <row r="698" spans="1:6" x14ac:dyDescent="0.3">
      <c r="A698" s="15" t="str">
        <f t="shared" si="23"/>
        <v>.</v>
      </c>
      <c r="E698" s="13" t="str">
        <f>IFERROR(IF(AND(B698&lt;&gt;"",C698&lt;&gt;""),SUMIFS(Movimentos!$F$4:$F$9996,Movimentos!$D$4:$D$9996,B698,Movimentos!$C$4:$C$9996,"Entrada")-SUMIFS(Movimentos!$F$4:$F$9996,Movimentos!$D$4:$D$9996,B698,Movimentos!$C$4:$C$9996,"Saída"),""),"")</f>
        <v/>
      </c>
      <c r="F698" s="10" t="str">
        <f t="shared" si="24"/>
        <v/>
      </c>
    </row>
    <row r="699" spans="1:6" x14ac:dyDescent="0.3">
      <c r="A699" s="15" t="str">
        <f t="shared" si="23"/>
        <v>.</v>
      </c>
      <c r="E699" s="13" t="str">
        <f>IFERROR(IF(AND(B699&lt;&gt;"",C699&lt;&gt;""),SUMIFS(Movimentos!$F$4:$F$9996,Movimentos!$D$4:$D$9996,B699,Movimentos!$C$4:$C$9996,"Entrada")-SUMIFS(Movimentos!$F$4:$F$9996,Movimentos!$D$4:$D$9996,B699,Movimentos!$C$4:$C$9996,"Saída"),""),"")</f>
        <v/>
      </c>
      <c r="F699" s="10" t="str">
        <f t="shared" si="24"/>
        <v/>
      </c>
    </row>
    <row r="700" spans="1:6" x14ac:dyDescent="0.3">
      <c r="A700" s="15" t="str">
        <f t="shared" si="23"/>
        <v>.</v>
      </c>
      <c r="E700" s="13" t="str">
        <f>IFERROR(IF(AND(B700&lt;&gt;"",C700&lt;&gt;""),SUMIFS(Movimentos!$F$4:$F$9996,Movimentos!$D$4:$D$9996,B700,Movimentos!$C$4:$C$9996,"Entrada")-SUMIFS(Movimentos!$F$4:$F$9996,Movimentos!$D$4:$D$9996,B700,Movimentos!$C$4:$C$9996,"Saída"),""),"")</f>
        <v/>
      </c>
      <c r="F700" s="10" t="str">
        <f t="shared" si="24"/>
        <v/>
      </c>
    </row>
    <row r="701" spans="1:6" x14ac:dyDescent="0.3">
      <c r="A701" s="15" t="str">
        <f t="shared" si="23"/>
        <v>.</v>
      </c>
      <c r="E701" s="13" t="str">
        <f>IFERROR(IF(AND(B701&lt;&gt;"",C701&lt;&gt;""),SUMIFS(Movimentos!$F$4:$F$9996,Movimentos!$D$4:$D$9996,B701,Movimentos!$C$4:$C$9996,"Entrada")-SUMIFS(Movimentos!$F$4:$F$9996,Movimentos!$D$4:$D$9996,B701,Movimentos!$C$4:$C$9996,"Saída"),""),"")</f>
        <v/>
      </c>
      <c r="F701" s="10" t="str">
        <f t="shared" si="24"/>
        <v/>
      </c>
    </row>
    <row r="702" spans="1:6" x14ac:dyDescent="0.3">
      <c r="A702" s="15" t="str">
        <f t="shared" si="23"/>
        <v>.</v>
      </c>
      <c r="E702" s="13" t="str">
        <f>IFERROR(IF(AND(B702&lt;&gt;"",C702&lt;&gt;""),SUMIFS(Movimentos!$F$4:$F$9996,Movimentos!$D$4:$D$9996,B702,Movimentos!$C$4:$C$9996,"Entrada")-SUMIFS(Movimentos!$F$4:$F$9996,Movimentos!$D$4:$D$9996,B702,Movimentos!$C$4:$C$9996,"Saída"),""),"")</f>
        <v/>
      </c>
      <c r="F702" s="10" t="str">
        <f t="shared" si="24"/>
        <v/>
      </c>
    </row>
    <row r="703" spans="1:6" x14ac:dyDescent="0.3">
      <c r="A703" s="15" t="str">
        <f t="shared" si="23"/>
        <v>.</v>
      </c>
      <c r="E703" s="13" t="str">
        <f>IFERROR(IF(AND(B703&lt;&gt;"",C703&lt;&gt;""),SUMIFS(Movimentos!$F$4:$F$9996,Movimentos!$D$4:$D$9996,B703,Movimentos!$C$4:$C$9996,"Entrada")-SUMIFS(Movimentos!$F$4:$F$9996,Movimentos!$D$4:$D$9996,B703,Movimentos!$C$4:$C$9996,"Saída"),""),"")</f>
        <v/>
      </c>
      <c r="F703" s="10" t="str">
        <f t="shared" si="24"/>
        <v/>
      </c>
    </row>
    <row r="704" spans="1:6" x14ac:dyDescent="0.3">
      <c r="A704" s="15" t="str">
        <f t="shared" ref="A704:A767" si="25">IF(F704="Saldo zerado",0,IF(F704="Saldo abaixo do mínimo",1,IF(F704="Saldo disponível",2,".")))</f>
        <v>.</v>
      </c>
      <c r="E704" s="13" t="str">
        <f>IFERROR(IF(AND(B704&lt;&gt;"",C704&lt;&gt;""),SUMIFS(Movimentos!$F$4:$F$9996,Movimentos!$D$4:$D$9996,B704,Movimentos!$C$4:$C$9996,"Entrada")-SUMIFS(Movimentos!$F$4:$F$9996,Movimentos!$D$4:$D$9996,B704,Movimentos!$C$4:$C$9996,"Saída"),""),"")</f>
        <v/>
      </c>
      <c r="F704" s="10" t="str">
        <f t="shared" si="24"/>
        <v/>
      </c>
    </row>
    <row r="705" spans="1:6" x14ac:dyDescent="0.3">
      <c r="A705" s="15" t="str">
        <f t="shared" si="25"/>
        <v>.</v>
      </c>
      <c r="E705" s="13" t="str">
        <f>IFERROR(IF(AND(B705&lt;&gt;"",C705&lt;&gt;""),SUMIFS(Movimentos!$F$4:$F$9996,Movimentos!$D$4:$D$9996,B705,Movimentos!$C$4:$C$9996,"Entrada")-SUMIFS(Movimentos!$F$4:$F$9996,Movimentos!$D$4:$D$9996,B705,Movimentos!$C$4:$C$9996,"Saída"),""),"")</f>
        <v/>
      </c>
      <c r="F705" s="10" t="str">
        <f t="shared" si="24"/>
        <v/>
      </c>
    </row>
    <row r="706" spans="1:6" x14ac:dyDescent="0.3">
      <c r="A706" s="15" t="str">
        <f t="shared" si="25"/>
        <v>.</v>
      </c>
      <c r="E706" s="13" t="str">
        <f>IFERROR(IF(AND(B706&lt;&gt;"",C706&lt;&gt;""),SUMIFS(Movimentos!$F$4:$F$9996,Movimentos!$D$4:$D$9996,B706,Movimentos!$C$4:$C$9996,"Entrada")-SUMIFS(Movimentos!$F$4:$F$9996,Movimentos!$D$4:$D$9996,B706,Movimentos!$C$4:$C$9996,"Saída"),""),"")</f>
        <v/>
      </c>
      <c r="F706" s="10" t="str">
        <f t="shared" si="24"/>
        <v/>
      </c>
    </row>
    <row r="707" spans="1:6" x14ac:dyDescent="0.3">
      <c r="A707" s="15" t="str">
        <f t="shared" si="25"/>
        <v>.</v>
      </c>
      <c r="E707" s="13" t="str">
        <f>IFERROR(IF(AND(B707&lt;&gt;"",C707&lt;&gt;""),SUMIFS(Movimentos!$F$4:$F$9996,Movimentos!$D$4:$D$9996,B707,Movimentos!$C$4:$C$9996,"Entrada")-SUMIFS(Movimentos!$F$4:$F$9996,Movimentos!$D$4:$D$9996,B707,Movimentos!$C$4:$C$9996,"Saída"),""),"")</f>
        <v/>
      </c>
      <c r="F707" s="10" t="str">
        <f t="shared" si="24"/>
        <v/>
      </c>
    </row>
    <row r="708" spans="1:6" x14ac:dyDescent="0.3">
      <c r="A708" s="15" t="str">
        <f t="shared" si="25"/>
        <v>.</v>
      </c>
      <c r="E708" s="13" t="str">
        <f>IFERROR(IF(AND(B708&lt;&gt;"",C708&lt;&gt;""),SUMIFS(Movimentos!$F$4:$F$9996,Movimentos!$D$4:$D$9996,B708,Movimentos!$C$4:$C$9996,"Entrada")-SUMIFS(Movimentos!$F$4:$F$9996,Movimentos!$D$4:$D$9996,B708,Movimentos!$C$4:$C$9996,"Saída"),""),"")</f>
        <v/>
      </c>
      <c r="F708" s="10" t="str">
        <f t="shared" si="24"/>
        <v/>
      </c>
    </row>
    <row r="709" spans="1:6" x14ac:dyDescent="0.3">
      <c r="A709" s="15" t="str">
        <f t="shared" si="25"/>
        <v>.</v>
      </c>
      <c r="E709" s="13" t="str">
        <f>IFERROR(IF(AND(B709&lt;&gt;"",C709&lt;&gt;""),SUMIFS(Movimentos!$F$4:$F$9996,Movimentos!$D$4:$D$9996,B709,Movimentos!$C$4:$C$9996,"Entrada")-SUMIFS(Movimentos!$F$4:$F$9996,Movimentos!$D$4:$D$9996,B709,Movimentos!$C$4:$C$9996,"Saída"),""),"")</f>
        <v/>
      </c>
      <c r="F709" s="10" t="str">
        <f t="shared" si="24"/>
        <v/>
      </c>
    </row>
    <row r="710" spans="1:6" x14ac:dyDescent="0.3">
      <c r="A710" s="15" t="str">
        <f t="shared" si="25"/>
        <v>.</v>
      </c>
      <c r="E710" s="13" t="str">
        <f>IFERROR(IF(AND(B710&lt;&gt;"",C710&lt;&gt;""),SUMIFS(Movimentos!$F$4:$F$9996,Movimentos!$D$4:$D$9996,B710,Movimentos!$C$4:$C$9996,"Entrada")-SUMIFS(Movimentos!$F$4:$F$9996,Movimentos!$D$4:$D$9996,B710,Movimentos!$C$4:$C$9996,"Saída"),""),"")</f>
        <v/>
      </c>
      <c r="F710" s="10" t="str">
        <f t="shared" si="24"/>
        <v/>
      </c>
    </row>
    <row r="711" spans="1:6" x14ac:dyDescent="0.3">
      <c r="A711" s="15" t="str">
        <f t="shared" si="25"/>
        <v>.</v>
      </c>
      <c r="E711" s="13" t="str">
        <f>IFERROR(IF(AND(B711&lt;&gt;"",C711&lt;&gt;""),SUMIFS(Movimentos!$F$4:$F$9996,Movimentos!$D$4:$D$9996,B711,Movimentos!$C$4:$C$9996,"Entrada")-SUMIFS(Movimentos!$F$4:$F$9996,Movimentos!$D$4:$D$9996,B711,Movimentos!$C$4:$C$9996,"Saída"),""),"")</f>
        <v/>
      </c>
      <c r="F711" s="10" t="str">
        <f t="shared" si="24"/>
        <v/>
      </c>
    </row>
    <row r="712" spans="1:6" x14ac:dyDescent="0.3">
      <c r="A712" s="15" t="str">
        <f t="shared" si="25"/>
        <v>.</v>
      </c>
      <c r="E712" s="13" t="str">
        <f>IFERROR(IF(AND(B712&lt;&gt;"",C712&lt;&gt;""),SUMIFS(Movimentos!$F$4:$F$9996,Movimentos!$D$4:$D$9996,B712,Movimentos!$C$4:$C$9996,"Entrada")-SUMIFS(Movimentos!$F$4:$F$9996,Movimentos!$D$4:$D$9996,B712,Movimentos!$C$4:$C$9996,"Saída"),""),"")</f>
        <v/>
      </c>
      <c r="F712" s="10" t="str">
        <f t="shared" si="24"/>
        <v/>
      </c>
    </row>
    <row r="713" spans="1:6" x14ac:dyDescent="0.3">
      <c r="A713" s="15" t="str">
        <f t="shared" si="25"/>
        <v>.</v>
      </c>
      <c r="E713" s="13" t="str">
        <f>IFERROR(IF(AND(B713&lt;&gt;"",C713&lt;&gt;""),SUMIFS(Movimentos!$F$4:$F$9996,Movimentos!$D$4:$D$9996,B713,Movimentos!$C$4:$C$9996,"Entrada")-SUMIFS(Movimentos!$F$4:$F$9996,Movimentos!$D$4:$D$9996,B713,Movimentos!$C$4:$C$9996,"Saída"),""),"")</f>
        <v/>
      </c>
      <c r="F713" s="10" t="str">
        <f t="shared" si="24"/>
        <v/>
      </c>
    </row>
    <row r="714" spans="1:6" x14ac:dyDescent="0.3">
      <c r="A714" s="15" t="str">
        <f t="shared" si="25"/>
        <v>.</v>
      </c>
      <c r="E714" s="13" t="str">
        <f>IFERROR(IF(AND(B714&lt;&gt;"",C714&lt;&gt;""),SUMIFS(Movimentos!$F$4:$F$9996,Movimentos!$D$4:$D$9996,B714,Movimentos!$C$4:$C$9996,"Entrada")-SUMIFS(Movimentos!$F$4:$F$9996,Movimentos!$D$4:$D$9996,B714,Movimentos!$C$4:$C$9996,"Saída"),""),"")</f>
        <v/>
      </c>
      <c r="F714" s="10" t="str">
        <f t="shared" si="24"/>
        <v/>
      </c>
    </row>
    <row r="715" spans="1:6" x14ac:dyDescent="0.3">
      <c r="A715" s="15" t="str">
        <f t="shared" si="25"/>
        <v>.</v>
      </c>
      <c r="E715" s="13" t="str">
        <f>IFERROR(IF(AND(B715&lt;&gt;"",C715&lt;&gt;""),SUMIFS(Movimentos!$F$4:$F$9996,Movimentos!$D$4:$D$9996,B715,Movimentos!$C$4:$C$9996,"Entrada")-SUMIFS(Movimentos!$F$4:$F$9996,Movimentos!$D$4:$D$9996,B715,Movimentos!$C$4:$C$9996,"Saída"),""),"")</f>
        <v/>
      </c>
      <c r="F715" s="10" t="str">
        <f t="shared" si="24"/>
        <v/>
      </c>
    </row>
    <row r="716" spans="1:6" x14ac:dyDescent="0.3">
      <c r="A716" s="15" t="str">
        <f t="shared" si="25"/>
        <v>.</v>
      </c>
      <c r="E716" s="13" t="str">
        <f>IFERROR(IF(AND(B716&lt;&gt;"",C716&lt;&gt;""),SUMIFS(Movimentos!$F$4:$F$9996,Movimentos!$D$4:$D$9996,B716,Movimentos!$C$4:$C$9996,"Entrada")-SUMIFS(Movimentos!$F$4:$F$9996,Movimentos!$D$4:$D$9996,B716,Movimentos!$C$4:$C$9996,"Saída"),""),"")</f>
        <v/>
      </c>
      <c r="F716" s="10" t="str">
        <f t="shared" si="24"/>
        <v/>
      </c>
    </row>
    <row r="717" spans="1:6" x14ac:dyDescent="0.3">
      <c r="A717" s="15" t="str">
        <f t="shared" si="25"/>
        <v>.</v>
      </c>
      <c r="E717" s="13" t="str">
        <f>IFERROR(IF(AND(B717&lt;&gt;"",C717&lt;&gt;""),SUMIFS(Movimentos!$F$4:$F$9996,Movimentos!$D$4:$D$9996,B717,Movimentos!$C$4:$C$9996,"Entrada")-SUMIFS(Movimentos!$F$4:$F$9996,Movimentos!$D$4:$D$9996,B717,Movimentos!$C$4:$C$9996,"Saída"),""),"")</f>
        <v/>
      </c>
      <c r="F717" s="10" t="str">
        <f t="shared" si="24"/>
        <v/>
      </c>
    </row>
    <row r="718" spans="1:6" x14ac:dyDescent="0.3">
      <c r="A718" s="15" t="str">
        <f t="shared" si="25"/>
        <v>.</v>
      </c>
      <c r="E718" s="13" t="str">
        <f>IFERROR(IF(AND(B718&lt;&gt;"",C718&lt;&gt;""),SUMIFS(Movimentos!$F$4:$F$9996,Movimentos!$D$4:$D$9996,B718,Movimentos!$C$4:$C$9996,"Entrada")-SUMIFS(Movimentos!$F$4:$F$9996,Movimentos!$D$4:$D$9996,B718,Movimentos!$C$4:$C$9996,"Saída"),""),"")</f>
        <v/>
      </c>
      <c r="F718" s="10" t="str">
        <f t="shared" si="24"/>
        <v/>
      </c>
    </row>
    <row r="719" spans="1:6" x14ac:dyDescent="0.3">
      <c r="A719" s="15" t="str">
        <f t="shared" si="25"/>
        <v>.</v>
      </c>
      <c r="E719" s="13" t="str">
        <f>IFERROR(IF(AND(B719&lt;&gt;"",C719&lt;&gt;""),SUMIFS(Movimentos!$F$4:$F$9996,Movimentos!$D$4:$D$9996,B719,Movimentos!$C$4:$C$9996,"Entrada")-SUMIFS(Movimentos!$F$4:$F$9996,Movimentos!$D$4:$D$9996,B719,Movimentos!$C$4:$C$9996,"Saída"),""),"")</f>
        <v/>
      </c>
      <c r="F719" s="10" t="str">
        <f t="shared" si="24"/>
        <v/>
      </c>
    </row>
    <row r="720" spans="1:6" x14ac:dyDescent="0.3">
      <c r="A720" s="15" t="str">
        <f t="shared" si="25"/>
        <v>.</v>
      </c>
      <c r="E720" s="13" t="str">
        <f>IFERROR(IF(AND(B720&lt;&gt;"",C720&lt;&gt;""),SUMIFS(Movimentos!$F$4:$F$9996,Movimentos!$D$4:$D$9996,B720,Movimentos!$C$4:$C$9996,"Entrada")-SUMIFS(Movimentos!$F$4:$F$9996,Movimentos!$D$4:$D$9996,B720,Movimentos!$C$4:$C$9996,"Saída"),""),"")</f>
        <v/>
      </c>
      <c r="F720" s="10" t="str">
        <f t="shared" si="24"/>
        <v/>
      </c>
    </row>
    <row r="721" spans="1:6" x14ac:dyDescent="0.3">
      <c r="A721" s="15" t="str">
        <f t="shared" si="25"/>
        <v>.</v>
      </c>
      <c r="E721" s="13" t="str">
        <f>IFERROR(IF(AND(B721&lt;&gt;"",C721&lt;&gt;""),SUMIFS(Movimentos!$F$4:$F$9996,Movimentos!$D$4:$D$9996,B721,Movimentos!$C$4:$C$9996,"Entrada")-SUMIFS(Movimentos!$F$4:$F$9996,Movimentos!$D$4:$D$9996,B721,Movimentos!$C$4:$C$9996,"Saída"),""),"")</f>
        <v/>
      </c>
      <c r="F721" s="10" t="str">
        <f t="shared" si="24"/>
        <v/>
      </c>
    </row>
    <row r="722" spans="1:6" x14ac:dyDescent="0.3">
      <c r="A722" s="15" t="str">
        <f t="shared" si="25"/>
        <v>.</v>
      </c>
      <c r="E722" s="13" t="str">
        <f>IFERROR(IF(AND(B722&lt;&gt;"",C722&lt;&gt;""),SUMIFS(Movimentos!$F$4:$F$9996,Movimentos!$D$4:$D$9996,B722,Movimentos!$C$4:$C$9996,"Entrada")-SUMIFS(Movimentos!$F$4:$F$9996,Movimentos!$D$4:$D$9996,B722,Movimentos!$C$4:$C$9996,"Saída"),""),"")</f>
        <v/>
      </c>
      <c r="F722" s="10" t="str">
        <f t="shared" si="24"/>
        <v/>
      </c>
    </row>
    <row r="723" spans="1:6" x14ac:dyDescent="0.3">
      <c r="A723" s="15" t="str">
        <f t="shared" si="25"/>
        <v>.</v>
      </c>
      <c r="E723" s="13" t="str">
        <f>IFERROR(IF(AND(B723&lt;&gt;"",C723&lt;&gt;""),SUMIFS(Movimentos!$F$4:$F$9996,Movimentos!$D$4:$D$9996,B723,Movimentos!$C$4:$C$9996,"Entrada")-SUMIFS(Movimentos!$F$4:$F$9996,Movimentos!$D$4:$D$9996,B723,Movimentos!$C$4:$C$9996,"Saída"),""),"")</f>
        <v/>
      </c>
      <c r="F723" s="10" t="str">
        <f t="shared" si="24"/>
        <v/>
      </c>
    </row>
    <row r="724" spans="1:6" x14ac:dyDescent="0.3">
      <c r="A724" s="15" t="str">
        <f t="shared" si="25"/>
        <v>.</v>
      </c>
      <c r="E724" s="13" t="str">
        <f>IFERROR(IF(AND(B724&lt;&gt;"",C724&lt;&gt;""),SUMIFS(Movimentos!$F$4:$F$9996,Movimentos!$D$4:$D$9996,B724,Movimentos!$C$4:$C$9996,"Entrada")-SUMIFS(Movimentos!$F$4:$F$9996,Movimentos!$D$4:$D$9996,B724,Movimentos!$C$4:$C$9996,"Saída"),""),"")</f>
        <v/>
      </c>
      <c r="F724" s="10" t="str">
        <f t="shared" si="24"/>
        <v/>
      </c>
    </row>
    <row r="725" spans="1:6" x14ac:dyDescent="0.3">
      <c r="A725" s="15" t="str">
        <f t="shared" si="25"/>
        <v>.</v>
      </c>
      <c r="E725" s="13" t="str">
        <f>IFERROR(IF(AND(B725&lt;&gt;"",C725&lt;&gt;""),SUMIFS(Movimentos!$F$4:$F$9996,Movimentos!$D$4:$D$9996,B725,Movimentos!$C$4:$C$9996,"Entrada")-SUMIFS(Movimentos!$F$4:$F$9996,Movimentos!$D$4:$D$9996,B725,Movimentos!$C$4:$C$9996,"Saída"),""),"")</f>
        <v/>
      </c>
      <c r="F725" s="10" t="str">
        <f t="shared" si="24"/>
        <v/>
      </c>
    </row>
    <row r="726" spans="1:6" x14ac:dyDescent="0.3">
      <c r="A726" s="15" t="str">
        <f t="shared" si="25"/>
        <v>.</v>
      </c>
      <c r="E726" s="13" t="str">
        <f>IFERROR(IF(AND(B726&lt;&gt;"",C726&lt;&gt;""),SUMIFS(Movimentos!$F$4:$F$9996,Movimentos!$D$4:$D$9996,B726,Movimentos!$C$4:$C$9996,"Entrada")-SUMIFS(Movimentos!$F$4:$F$9996,Movimentos!$D$4:$D$9996,B726,Movimentos!$C$4:$C$9996,"Saída"),""),"")</f>
        <v/>
      </c>
      <c r="F726" s="10" t="str">
        <f t="shared" si="24"/>
        <v/>
      </c>
    </row>
    <row r="727" spans="1:6" x14ac:dyDescent="0.3">
      <c r="A727" s="15" t="str">
        <f t="shared" si="25"/>
        <v>.</v>
      </c>
      <c r="E727" s="13" t="str">
        <f>IFERROR(IF(AND(B727&lt;&gt;"",C727&lt;&gt;""),SUMIFS(Movimentos!$F$4:$F$9996,Movimentos!$D$4:$D$9996,B727,Movimentos!$C$4:$C$9996,"Entrada")-SUMIFS(Movimentos!$F$4:$F$9996,Movimentos!$D$4:$D$9996,B727,Movimentos!$C$4:$C$9996,"Saída"),""),"")</f>
        <v/>
      </c>
      <c r="F727" s="10" t="str">
        <f t="shared" ref="F727:F790" si="26">IF(AND(B727&lt;&gt;"",C727&lt;&gt;""),IF(E727=0,"Saldo zerado",IF(E727&lt;D727,"Saldo abaixo do mínimo","Saldo disponível")),"")</f>
        <v/>
      </c>
    </row>
    <row r="728" spans="1:6" x14ac:dyDescent="0.3">
      <c r="A728" s="15" t="str">
        <f t="shared" si="25"/>
        <v>.</v>
      </c>
      <c r="E728" s="13" t="str">
        <f>IFERROR(IF(AND(B728&lt;&gt;"",C728&lt;&gt;""),SUMIFS(Movimentos!$F$4:$F$9996,Movimentos!$D$4:$D$9996,B728,Movimentos!$C$4:$C$9996,"Entrada")-SUMIFS(Movimentos!$F$4:$F$9996,Movimentos!$D$4:$D$9996,B728,Movimentos!$C$4:$C$9996,"Saída"),""),"")</f>
        <v/>
      </c>
      <c r="F728" s="10" t="str">
        <f t="shared" si="26"/>
        <v/>
      </c>
    </row>
    <row r="729" spans="1:6" x14ac:dyDescent="0.3">
      <c r="A729" s="15" t="str">
        <f t="shared" si="25"/>
        <v>.</v>
      </c>
      <c r="E729" s="13" t="str">
        <f>IFERROR(IF(AND(B729&lt;&gt;"",C729&lt;&gt;""),SUMIFS(Movimentos!$F$4:$F$9996,Movimentos!$D$4:$D$9996,B729,Movimentos!$C$4:$C$9996,"Entrada")-SUMIFS(Movimentos!$F$4:$F$9996,Movimentos!$D$4:$D$9996,B729,Movimentos!$C$4:$C$9996,"Saída"),""),"")</f>
        <v/>
      </c>
      <c r="F729" s="10" t="str">
        <f t="shared" si="26"/>
        <v/>
      </c>
    </row>
    <row r="730" spans="1:6" x14ac:dyDescent="0.3">
      <c r="A730" s="15" t="str">
        <f t="shared" si="25"/>
        <v>.</v>
      </c>
      <c r="E730" s="13" t="str">
        <f>IFERROR(IF(AND(B730&lt;&gt;"",C730&lt;&gt;""),SUMIFS(Movimentos!$F$4:$F$9996,Movimentos!$D$4:$D$9996,B730,Movimentos!$C$4:$C$9996,"Entrada")-SUMIFS(Movimentos!$F$4:$F$9996,Movimentos!$D$4:$D$9996,B730,Movimentos!$C$4:$C$9996,"Saída"),""),"")</f>
        <v/>
      </c>
      <c r="F730" s="10" t="str">
        <f t="shared" si="26"/>
        <v/>
      </c>
    </row>
    <row r="731" spans="1:6" x14ac:dyDescent="0.3">
      <c r="A731" s="15" t="str">
        <f t="shared" si="25"/>
        <v>.</v>
      </c>
      <c r="E731" s="13" t="str">
        <f>IFERROR(IF(AND(B731&lt;&gt;"",C731&lt;&gt;""),SUMIFS(Movimentos!$F$4:$F$9996,Movimentos!$D$4:$D$9996,B731,Movimentos!$C$4:$C$9996,"Entrada")-SUMIFS(Movimentos!$F$4:$F$9996,Movimentos!$D$4:$D$9996,B731,Movimentos!$C$4:$C$9996,"Saída"),""),"")</f>
        <v/>
      </c>
      <c r="F731" s="10" t="str">
        <f t="shared" si="26"/>
        <v/>
      </c>
    </row>
    <row r="732" spans="1:6" x14ac:dyDescent="0.3">
      <c r="A732" s="15" t="str">
        <f t="shared" si="25"/>
        <v>.</v>
      </c>
      <c r="E732" s="13" t="str">
        <f>IFERROR(IF(AND(B732&lt;&gt;"",C732&lt;&gt;""),SUMIFS(Movimentos!$F$4:$F$9996,Movimentos!$D$4:$D$9996,B732,Movimentos!$C$4:$C$9996,"Entrada")-SUMIFS(Movimentos!$F$4:$F$9996,Movimentos!$D$4:$D$9996,B732,Movimentos!$C$4:$C$9996,"Saída"),""),"")</f>
        <v/>
      </c>
      <c r="F732" s="10" t="str">
        <f t="shared" si="26"/>
        <v/>
      </c>
    </row>
    <row r="733" spans="1:6" x14ac:dyDescent="0.3">
      <c r="A733" s="15" t="str">
        <f t="shared" si="25"/>
        <v>.</v>
      </c>
      <c r="E733" s="13" t="str">
        <f>IFERROR(IF(AND(B733&lt;&gt;"",C733&lt;&gt;""),SUMIFS(Movimentos!$F$4:$F$9996,Movimentos!$D$4:$D$9996,B733,Movimentos!$C$4:$C$9996,"Entrada")-SUMIFS(Movimentos!$F$4:$F$9996,Movimentos!$D$4:$D$9996,B733,Movimentos!$C$4:$C$9996,"Saída"),""),"")</f>
        <v/>
      </c>
      <c r="F733" s="10" t="str">
        <f t="shared" si="26"/>
        <v/>
      </c>
    </row>
    <row r="734" spans="1:6" x14ac:dyDescent="0.3">
      <c r="A734" s="15" t="str">
        <f t="shared" si="25"/>
        <v>.</v>
      </c>
      <c r="E734" s="13" t="str">
        <f>IFERROR(IF(AND(B734&lt;&gt;"",C734&lt;&gt;""),SUMIFS(Movimentos!$F$4:$F$9996,Movimentos!$D$4:$D$9996,B734,Movimentos!$C$4:$C$9996,"Entrada")-SUMIFS(Movimentos!$F$4:$F$9996,Movimentos!$D$4:$D$9996,B734,Movimentos!$C$4:$C$9996,"Saída"),""),"")</f>
        <v/>
      </c>
      <c r="F734" s="10" t="str">
        <f t="shared" si="26"/>
        <v/>
      </c>
    </row>
    <row r="735" spans="1:6" x14ac:dyDescent="0.3">
      <c r="A735" s="15" t="str">
        <f t="shared" si="25"/>
        <v>.</v>
      </c>
      <c r="E735" s="13" t="str">
        <f>IFERROR(IF(AND(B735&lt;&gt;"",C735&lt;&gt;""),SUMIFS(Movimentos!$F$4:$F$9996,Movimentos!$D$4:$D$9996,B735,Movimentos!$C$4:$C$9996,"Entrada")-SUMIFS(Movimentos!$F$4:$F$9996,Movimentos!$D$4:$D$9996,B735,Movimentos!$C$4:$C$9996,"Saída"),""),"")</f>
        <v/>
      </c>
      <c r="F735" s="10" t="str">
        <f t="shared" si="26"/>
        <v/>
      </c>
    </row>
    <row r="736" spans="1:6" x14ac:dyDescent="0.3">
      <c r="A736" s="15" t="str">
        <f t="shared" si="25"/>
        <v>.</v>
      </c>
      <c r="E736" s="13" t="str">
        <f>IFERROR(IF(AND(B736&lt;&gt;"",C736&lt;&gt;""),SUMIFS(Movimentos!$F$4:$F$9996,Movimentos!$D$4:$D$9996,B736,Movimentos!$C$4:$C$9996,"Entrada")-SUMIFS(Movimentos!$F$4:$F$9996,Movimentos!$D$4:$D$9996,B736,Movimentos!$C$4:$C$9996,"Saída"),""),"")</f>
        <v/>
      </c>
      <c r="F736" s="10" t="str">
        <f t="shared" si="26"/>
        <v/>
      </c>
    </row>
    <row r="737" spans="1:6" x14ac:dyDescent="0.3">
      <c r="A737" s="15" t="str">
        <f t="shared" si="25"/>
        <v>.</v>
      </c>
      <c r="E737" s="13" t="str">
        <f>IFERROR(IF(AND(B737&lt;&gt;"",C737&lt;&gt;""),SUMIFS(Movimentos!$F$4:$F$9996,Movimentos!$D$4:$D$9996,B737,Movimentos!$C$4:$C$9996,"Entrada")-SUMIFS(Movimentos!$F$4:$F$9996,Movimentos!$D$4:$D$9996,B737,Movimentos!$C$4:$C$9996,"Saída"),""),"")</f>
        <v/>
      </c>
      <c r="F737" s="10" t="str">
        <f t="shared" si="26"/>
        <v/>
      </c>
    </row>
    <row r="738" spans="1:6" x14ac:dyDescent="0.3">
      <c r="A738" s="15" t="str">
        <f t="shared" si="25"/>
        <v>.</v>
      </c>
      <c r="E738" s="13" t="str">
        <f>IFERROR(IF(AND(B738&lt;&gt;"",C738&lt;&gt;""),SUMIFS(Movimentos!$F$4:$F$9996,Movimentos!$D$4:$D$9996,B738,Movimentos!$C$4:$C$9996,"Entrada")-SUMIFS(Movimentos!$F$4:$F$9996,Movimentos!$D$4:$D$9996,B738,Movimentos!$C$4:$C$9996,"Saída"),""),"")</f>
        <v/>
      </c>
      <c r="F738" s="10" t="str">
        <f t="shared" si="26"/>
        <v/>
      </c>
    </row>
    <row r="739" spans="1:6" x14ac:dyDescent="0.3">
      <c r="A739" s="15" t="str">
        <f t="shared" si="25"/>
        <v>.</v>
      </c>
      <c r="E739" s="13" t="str">
        <f>IFERROR(IF(AND(B739&lt;&gt;"",C739&lt;&gt;""),SUMIFS(Movimentos!$F$4:$F$9996,Movimentos!$D$4:$D$9996,B739,Movimentos!$C$4:$C$9996,"Entrada")-SUMIFS(Movimentos!$F$4:$F$9996,Movimentos!$D$4:$D$9996,B739,Movimentos!$C$4:$C$9996,"Saída"),""),"")</f>
        <v/>
      </c>
      <c r="F739" s="10" t="str">
        <f t="shared" si="26"/>
        <v/>
      </c>
    </row>
    <row r="740" spans="1:6" x14ac:dyDescent="0.3">
      <c r="A740" s="15" t="str">
        <f t="shared" si="25"/>
        <v>.</v>
      </c>
      <c r="E740" s="13" t="str">
        <f>IFERROR(IF(AND(B740&lt;&gt;"",C740&lt;&gt;""),SUMIFS(Movimentos!$F$4:$F$9996,Movimentos!$D$4:$D$9996,B740,Movimentos!$C$4:$C$9996,"Entrada")-SUMIFS(Movimentos!$F$4:$F$9996,Movimentos!$D$4:$D$9996,B740,Movimentos!$C$4:$C$9996,"Saída"),""),"")</f>
        <v/>
      </c>
      <c r="F740" s="10" t="str">
        <f t="shared" si="26"/>
        <v/>
      </c>
    </row>
    <row r="741" spans="1:6" x14ac:dyDescent="0.3">
      <c r="A741" s="15" t="str">
        <f t="shared" si="25"/>
        <v>.</v>
      </c>
      <c r="E741" s="13" t="str">
        <f>IFERROR(IF(AND(B741&lt;&gt;"",C741&lt;&gt;""),SUMIFS(Movimentos!$F$4:$F$9996,Movimentos!$D$4:$D$9996,B741,Movimentos!$C$4:$C$9996,"Entrada")-SUMIFS(Movimentos!$F$4:$F$9996,Movimentos!$D$4:$D$9996,B741,Movimentos!$C$4:$C$9996,"Saída"),""),"")</f>
        <v/>
      </c>
      <c r="F741" s="10" t="str">
        <f t="shared" si="26"/>
        <v/>
      </c>
    </row>
    <row r="742" spans="1:6" x14ac:dyDescent="0.3">
      <c r="A742" s="15" t="str">
        <f t="shared" si="25"/>
        <v>.</v>
      </c>
      <c r="E742" s="13" t="str">
        <f>IFERROR(IF(AND(B742&lt;&gt;"",C742&lt;&gt;""),SUMIFS(Movimentos!$F$4:$F$9996,Movimentos!$D$4:$D$9996,B742,Movimentos!$C$4:$C$9996,"Entrada")-SUMIFS(Movimentos!$F$4:$F$9996,Movimentos!$D$4:$D$9996,B742,Movimentos!$C$4:$C$9996,"Saída"),""),"")</f>
        <v/>
      </c>
      <c r="F742" s="10" t="str">
        <f t="shared" si="26"/>
        <v/>
      </c>
    </row>
    <row r="743" spans="1:6" x14ac:dyDescent="0.3">
      <c r="A743" s="15" t="str">
        <f t="shared" si="25"/>
        <v>.</v>
      </c>
      <c r="E743" s="13" t="str">
        <f>IFERROR(IF(AND(B743&lt;&gt;"",C743&lt;&gt;""),SUMIFS(Movimentos!$F$4:$F$9996,Movimentos!$D$4:$D$9996,B743,Movimentos!$C$4:$C$9996,"Entrada")-SUMIFS(Movimentos!$F$4:$F$9996,Movimentos!$D$4:$D$9996,B743,Movimentos!$C$4:$C$9996,"Saída"),""),"")</f>
        <v/>
      </c>
      <c r="F743" s="10" t="str">
        <f t="shared" si="26"/>
        <v/>
      </c>
    </row>
    <row r="744" spans="1:6" x14ac:dyDescent="0.3">
      <c r="A744" s="15" t="str">
        <f t="shared" si="25"/>
        <v>.</v>
      </c>
      <c r="E744" s="13" t="str">
        <f>IFERROR(IF(AND(B744&lt;&gt;"",C744&lt;&gt;""),SUMIFS(Movimentos!$F$4:$F$9996,Movimentos!$D$4:$D$9996,B744,Movimentos!$C$4:$C$9996,"Entrada")-SUMIFS(Movimentos!$F$4:$F$9996,Movimentos!$D$4:$D$9996,B744,Movimentos!$C$4:$C$9996,"Saída"),""),"")</f>
        <v/>
      </c>
      <c r="F744" s="10" t="str">
        <f t="shared" si="26"/>
        <v/>
      </c>
    </row>
    <row r="745" spans="1:6" x14ac:dyDescent="0.3">
      <c r="A745" s="15" t="str">
        <f t="shared" si="25"/>
        <v>.</v>
      </c>
      <c r="E745" s="13" t="str">
        <f>IFERROR(IF(AND(B745&lt;&gt;"",C745&lt;&gt;""),SUMIFS(Movimentos!$F$4:$F$9996,Movimentos!$D$4:$D$9996,B745,Movimentos!$C$4:$C$9996,"Entrada")-SUMIFS(Movimentos!$F$4:$F$9996,Movimentos!$D$4:$D$9996,B745,Movimentos!$C$4:$C$9996,"Saída"),""),"")</f>
        <v/>
      </c>
      <c r="F745" s="10" t="str">
        <f t="shared" si="26"/>
        <v/>
      </c>
    </row>
    <row r="746" spans="1:6" x14ac:dyDescent="0.3">
      <c r="A746" s="15" t="str">
        <f t="shared" si="25"/>
        <v>.</v>
      </c>
      <c r="E746" s="13" t="str">
        <f>IFERROR(IF(AND(B746&lt;&gt;"",C746&lt;&gt;""),SUMIFS(Movimentos!$F$4:$F$9996,Movimentos!$D$4:$D$9996,B746,Movimentos!$C$4:$C$9996,"Entrada")-SUMIFS(Movimentos!$F$4:$F$9996,Movimentos!$D$4:$D$9996,B746,Movimentos!$C$4:$C$9996,"Saída"),""),"")</f>
        <v/>
      </c>
      <c r="F746" s="10" t="str">
        <f t="shared" si="26"/>
        <v/>
      </c>
    </row>
    <row r="747" spans="1:6" x14ac:dyDescent="0.3">
      <c r="A747" s="15" t="str">
        <f t="shared" si="25"/>
        <v>.</v>
      </c>
      <c r="E747" s="13" t="str">
        <f>IFERROR(IF(AND(B747&lt;&gt;"",C747&lt;&gt;""),SUMIFS(Movimentos!$F$4:$F$9996,Movimentos!$D$4:$D$9996,B747,Movimentos!$C$4:$C$9996,"Entrada")-SUMIFS(Movimentos!$F$4:$F$9996,Movimentos!$D$4:$D$9996,B747,Movimentos!$C$4:$C$9996,"Saída"),""),"")</f>
        <v/>
      </c>
      <c r="F747" s="10" t="str">
        <f t="shared" si="26"/>
        <v/>
      </c>
    </row>
    <row r="748" spans="1:6" x14ac:dyDescent="0.3">
      <c r="A748" s="15" t="str">
        <f t="shared" si="25"/>
        <v>.</v>
      </c>
      <c r="E748" s="13" t="str">
        <f>IFERROR(IF(AND(B748&lt;&gt;"",C748&lt;&gt;""),SUMIFS(Movimentos!$F$4:$F$9996,Movimentos!$D$4:$D$9996,B748,Movimentos!$C$4:$C$9996,"Entrada")-SUMIFS(Movimentos!$F$4:$F$9996,Movimentos!$D$4:$D$9996,B748,Movimentos!$C$4:$C$9996,"Saída"),""),"")</f>
        <v/>
      </c>
      <c r="F748" s="10" t="str">
        <f t="shared" si="26"/>
        <v/>
      </c>
    </row>
    <row r="749" spans="1:6" x14ac:dyDescent="0.3">
      <c r="A749" s="15" t="str">
        <f t="shared" si="25"/>
        <v>.</v>
      </c>
      <c r="E749" s="13" t="str">
        <f>IFERROR(IF(AND(B749&lt;&gt;"",C749&lt;&gt;""),SUMIFS(Movimentos!$F$4:$F$9996,Movimentos!$D$4:$D$9996,B749,Movimentos!$C$4:$C$9996,"Entrada")-SUMIFS(Movimentos!$F$4:$F$9996,Movimentos!$D$4:$D$9996,B749,Movimentos!$C$4:$C$9996,"Saída"),""),"")</f>
        <v/>
      </c>
      <c r="F749" s="10" t="str">
        <f t="shared" si="26"/>
        <v/>
      </c>
    </row>
    <row r="750" spans="1:6" x14ac:dyDescent="0.3">
      <c r="A750" s="15" t="str">
        <f t="shared" si="25"/>
        <v>.</v>
      </c>
      <c r="E750" s="13" t="str">
        <f>IFERROR(IF(AND(B750&lt;&gt;"",C750&lt;&gt;""),SUMIFS(Movimentos!$F$4:$F$9996,Movimentos!$D$4:$D$9996,B750,Movimentos!$C$4:$C$9996,"Entrada")-SUMIFS(Movimentos!$F$4:$F$9996,Movimentos!$D$4:$D$9996,B750,Movimentos!$C$4:$C$9996,"Saída"),""),"")</f>
        <v/>
      </c>
      <c r="F750" s="10" t="str">
        <f t="shared" si="26"/>
        <v/>
      </c>
    </row>
    <row r="751" spans="1:6" x14ac:dyDescent="0.3">
      <c r="A751" s="15" t="str">
        <f t="shared" si="25"/>
        <v>.</v>
      </c>
      <c r="E751" s="13" t="str">
        <f>IFERROR(IF(AND(B751&lt;&gt;"",C751&lt;&gt;""),SUMIFS(Movimentos!$F$4:$F$9996,Movimentos!$D$4:$D$9996,B751,Movimentos!$C$4:$C$9996,"Entrada")-SUMIFS(Movimentos!$F$4:$F$9996,Movimentos!$D$4:$D$9996,B751,Movimentos!$C$4:$C$9996,"Saída"),""),"")</f>
        <v/>
      </c>
      <c r="F751" s="10" t="str">
        <f t="shared" si="26"/>
        <v/>
      </c>
    </row>
    <row r="752" spans="1:6" x14ac:dyDescent="0.3">
      <c r="A752" s="15" t="str">
        <f t="shared" si="25"/>
        <v>.</v>
      </c>
      <c r="E752" s="13" t="str">
        <f>IFERROR(IF(AND(B752&lt;&gt;"",C752&lt;&gt;""),SUMIFS(Movimentos!$F$4:$F$9996,Movimentos!$D$4:$D$9996,B752,Movimentos!$C$4:$C$9996,"Entrada")-SUMIFS(Movimentos!$F$4:$F$9996,Movimentos!$D$4:$D$9996,B752,Movimentos!$C$4:$C$9996,"Saída"),""),"")</f>
        <v/>
      </c>
      <c r="F752" s="10" t="str">
        <f t="shared" si="26"/>
        <v/>
      </c>
    </row>
    <row r="753" spans="1:6" x14ac:dyDescent="0.3">
      <c r="A753" s="15" t="str">
        <f t="shared" si="25"/>
        <v>.</v>
      </c>
      <c r="E753" s="13" t="str">
        <f>IFERROR(IF(AND(B753&lt;&gt;"",C753&lt;&gt;""),SUMIFS(Movimentos!$F$4:$F$9996,Movimentos!$D$4:$D$9996,B753,Movimentos!$C$4:$C$9996,"Entrada")-SUMIFS(Movimentos!$F$4:$F$9996,Movimentos!$D$4:$D$9996,B753,Movimentos!$C$4:$C$9996,"Saída"),""),"")</f>
        <v/>
      </c>
      <c r="F753" s="10" t="str">
        <f t="shared" si="26"/>
        <v/>
      </c>
    </row>
    <row r="754" spans="1:6" x14ac:dyDescent="0.3">
      <c r="A754" s="15" t="str">
        <f t="shared" si="25"/>
        <v>.</v>
      </c>
      <c r="E754" s="13" t="str">
        <f>IFERROR(IF(AND(B754&lt;&gt;"",C754&lt;&gt;""),SUMIFS(Movimentos!$F$4:$F$9996,Movimentos!$D$4:$D$9996,B754,Movimentos!$C$4:$C$9996,"Entrada")-SUMIFS(Movimentos!$F$4:$F$9996,Movimentos!$D$4:$D$9996,B754,Movimentos!$C$4:$C$9996,"Saída"),""),"")</f>
        <v/>
      </c>
      <c r="F754" s="10" t="str">
        <f t="shared" si="26"/>
        <v/>
      </c>
    </row>
    <row r="755" spans="1:6" x14ac:dyDescent="0.3">
      <c r="A755" s="15" t="str">
        <f t="shared" si="25"/>
        <v>.</v>
      </c>
      <c r="E755" s="13" t="str">
        <f>IFERROR(IF(AND(B755&lt;&gt;"",C755&lt;&gt;""),SUMIFS(Movimentos!$F$4:$F$9996,Movimentos!$D$4:$D$9996,B755,Movimentos!$C$4:$C$9996,"Entrada")-SUMIFS(Movimentos!$F$4:$F$9996,Movimentos!$D$4:$D$9996,B755,Movimentos!$C$4:$C$9996,"Saída"),""),"")</f>
        <v/>
      </c>
      <c r="F755" s="10" t="str">
        <f t="shared" si="26"/>
        <v/>
      </c>
    </row>
    <row r="756" spans="1:6" x14ac:dyDescent="0.3">
      <c r="A756" s="15" t="str">
        <f t="shared" si="25"/>
        <v>.</v>
      </c>
      <c r="E756" s="13" t="str">
        <f>IFERROR(IF(AND(B756&lt;&gt;"",C756&lt;&gt;""),SUMIFS(Movimentos!$F$4:$F$9996,Movimentos!$D$4:$D$9996,B756,Movimentos!$C$4:$C$9996,"Entrada")-SUMIFS(Movimentos!$F$4:$F$9996,Movimentos!$D$4:$D$9996,B756,Movimentos!$C$4:$C$9996,"Saída"),""),"")</f>
        <v/>
      </c>
      <c r="F756" s="10" t="str">
        <f t="shared" si="26"/>
        <v/>
      </c>
    </row>
    <row r="757" spans="1:6" x14ac:dyDescent="0.3">
      <c r="A757" s="15" t="str">
        <f t="shared" si="25"/>
        <v>.</v>
      </c>
      <c r="E757" s="13" t="str">
        <f>IFERROR(IF(AND(B757&lt;&gt;"",C757&lt;&gt;""),SUMIFS(Movimentos!$F$4:$F$9996,Movimentos!$D$4:$D$9996,B757,Movimentos!$C$4:$C$9996,"Entrada")-SUMIFS(Movimentos!$F$4:$F$9996,Movimentos!$D$4:$D$9996,B757,Movimentos!$C$4:$C$9996,"Saída"),""),"")</f>
        <v/>
      </c>
      <c r="F757" s="10" t="str">
        <f t="shared" si="26"/>
        <v/>
      </c>
    </row>
    <row r="758" spans="1:6" x14ac:dyDescent="0.3">
      <c r="A758" s="15" t="str">
        <f t="shared" si="25"/>
        <v>.</v>
      </c>
      <c r="E758" s="13" t="str">
        <f>IFERROR(IF(AND(B758&lt;&gt;"",C758&lt;&gt;""),SUMIFS(Movimentos!$F$4:$F$9996,Movimentos!$D$4:$D$9996,B758,Movimentos!$C$4:$C$9996,"Entrada")-SUMIFS(Movimentos!$F$4:$F$9996,Movimentos!$D$4:$D$9996,B758,Movimentos!$C$4:$C$9996,"Saída"),""),"")</f>
        <v/>
      </c>
      <c r="F758" s="10" t="str">
        <f t="shared" si="26"/>
        <v/>
      </c>
    </row>
    <row r="759" spans="1:6" x14ac:dyDescent="0.3">
      <c r="A759" s="15" t="str">
        <f t="shared" si="25"/>
        <v>.</v>
      </c>
      <c r="E759" s="13" t="str">
        <f>IFERROR(IF(AND(B759&lt;&gt;"",C759&lt;&gt;""),SUMIFS(Movimentos!$F$4:$F$9996,Movimentos!$D$4:$D$9996,B759,Movimentos!$C$4:$C$9996,"Entrada")-SUMIFS(Movimentos!$F$4:$F$9996,Movimentos!$D$4:$D$9996,B759,Movimentos!$C$4:$C$9996,"Saída"),""),"")</f>
        <v/>
      </c>
      <c r="F759" s="10" t="str">
        <f t="shared" si="26"/>
        <v/>
      </c>
    </row>
    <row r="760" spans="1:6" x14ac:dyDescent="0.3">
      <c r="A760" s="15" t="str">
        <f t="shared" si="25"/>
        <v>.</v>
      </c>
      <c r="E760" s="13" t="str">
        <f>IFERROR(IF(AND(B760&lt;&gt;"",C760&lt;&gt;""),SUMIFS(Movimentos!$F$4:$F$9996,Movimentos!$D$4:$D$9996,B760,Movimentos!$C$4:$C$9996,"Entrada")-SUMIFS(Movimentos!$F$4:$F$9996,Movimentos!$D$4:$D$9996,B760,Movimentos!$C$4:$C$9996,"Saída"),""),"")</f>
        <v/>
      </c>
      <c r="F760" s="10" t="str">
        <f t="shared" si="26"/>
        <v/>
      </c>
    </row>
    <row r="761" spans="1:6" x14ac:dyDescent="0.3">
      <c r="A761" s="15" t="str">
        <f t="shared" si="25"/>
        <v>.</v>
      </c>
      <c r="E761" s="13" t="str">
        <f>IFERROR(IF(AND(B761&lt;&gt;"",C761&lt;&gt;""),SUMIFS(Movimentos!$F$4:$F$9996,Movimentos!$D$4:$D$9996,B761,Movimentos!$C$4:$C$9996,"Entrada")-SUMIFS(Movimentos!$F$4:$F$9996,Movimentos!$D$4:$D$9996,B761,Movimentos!$C$4:$C$9996,"Saída"),""),"")</f>
        <v/>
      </c>
      <c r="F761" s="10" t="str">
        <f t="shared" si="26"/>
        <v/>
      </c>
    </row>
    <row r="762" spans="1:6" x14ac:dyDescent="0.3">
      <c r="A762" s="15" t="str">
        <f t="shared" si="25"/>
        <v>.</v>
      </c>
      <c r="E762" s="13" t="str">
        <f>IFERROR(IF(AND(B762&lt;&gt;"",C762&lt;&gt;""),SUMIFS(Movimentos!$F$4:$F$9996,Movimentos!$D$4:$D$9996,B762,Movimentos!$C$4:$C$9996,"Entrada")-SUMIFS(Movimentos!$F$4:$F$9996,Movimentos!$D$4:$D$9996,B762,Movimentos!$C$4:$C$9996,"Saída"),""),"")</f>
        <v/>
      </c>
      <c r="F762" s="10" t="str">
        <f t="shared" si="26"/>
        <v/>
      </c>
    </row>
    <row r="763" spans="1:6" x14ac:dyDescent="0.3">
      <c r="A763" s="15" t="str">
        <f t="shared" si="25"/>
        <v>.</v>
      </c>
      <c r="E763" s="13" t="str">
        <f>IFERROR(IF(AND(B763&lt;&gt;"",C763&lt;&gt;""),SUMIFS(Movimentos!$F$4:$F$9996,Movimentos!$D$4:$D$9996,B763,Movimentos!$C$4:$C$9996,"Entrada")-SUMIFS(Movimentos!$F$4:$F$9996,Movimentos!$D$4:$D$9996,B763,Movimentos!$C$4:$C$9996,"Saída"),""),"")</f>
        <v/>
      </c>
      <c r="F763" s="10" t="str">
        <f t="shared" si="26"/>
        <v/>
      </c>
    </row>
    <row r="764" spans="1:6" x14ac:dyDescent="0.3">
      <c r="A764" s="15" t="str">
        <f t="shared" si="25"/>
        <v>.</v>
      </c>
      <c r="E764" s="13" t="str">
        <f>IFERROR(IF(AND(B764&lt;&gt;"",C764&lt;&gt;""),SUMIFS(Movimentos!$F$4:$F$9996,Movimentos!$D$4:$D$9996,B764,Movimentos!$C$4:$C$9996,"Entrada")-SUMIFS(Movimentos!$F$4:$F$9996,Movimentos!$D$4:$D$9996,B764,Movimentos!$C$4:$C$9996,"Saída"),""),"")</f>
        <v/>
      </c>
      <c r="F764" s="10" t="str">
        <f t="shared" si="26"/>
        <v/>
      </c>
    </row>
    <row r="765" spans="1:6" x14ac:dyDescent="0.3">
      <c r="A765" s="15" t="str">
        <f t="shared" si="25"/>
        <v>.</v>
      </c>
      <c r="E765" s="13" t="str">
        <f>IFERROR(IF(AND(B765&lt;&gt;"",C765&lt;&gt;""),SUMIFS(Movimentos!$F$4:$F$9996,Movimentos!$D$4:$D$9996,B765,Movimentos!$C$4:$C$9996,"Entrada")-SUMIFS(Movimentos!$F$4:$F$9996,Movimentos!$D$4:$D$9996,B765,Movimentos!$C$4:$C$9996,"Saída"),""),"")</f>
        <v/>
      </c>
      <c r="F765" s="10" t="str">
        <f t="shared" si="26"/>
        <v/>
      </c>
    </row>
    <row r="766" spans="1:6" x14ac:dyDescent="0.3">
      <c r="A766" s="15" t="str">
        <f t="shared" si="25"/>
        <v>.</v>
      </c>
      <c r="E766" s="13" t="str">
        <f>IFERROR(IF(AND(B766&lt;&gt;"",C766&lt;&gt;""),SUMIFS(Movimentos!$F$4:$F$9996,Movimentos!$D$4:$D$9996,B766,Movimentos!$C$4:$C$9996,"Entrada")-SUMIFS(Movimentos!$F$4:$F$9996,Movimentos!$D$4:$D$9996,B766,Movimentos!$C$4:$C$9996,"Saída"),""),"")</f>
        <v/>
      </c>
      <c r="F766" s="10" t="str">
        <f t="shared" si="26"/>
        <v/>
      </c>
    </row>
    <row r="767" spans="1:6" x14ac:dyDescent="0.3">
      <c r="A767" s="15" t="str">
        <f t="shared" si="25"/>
        <v>.</v>
      </c>
      <c r="E767" s="13" t="str">
        <f>IFERROR(IF(AND(B767&lt;&gt;"",C767&lt;&gt;""),SUMIFS(Movimentos!$F$4:$F$9996,Movimentos!$D$4:$D$9996,B767,Movimentos!$C$4:$C$9996,"Entrada")-SUMIFS(Movimentos!$F$4:$F$9996,Movimentos!$D$4:$D$9996,B767,Movimentos!$C$4:$C$9996,"Saída"),""),"")</f>
        <v/>
      </c>
      <c r="F767" s="10" t="str">
        <f t="shared" si="26"/>
        <v/>
      </c>
    </row>
    <row r="768" spans="1:6" x14ac:dyDescent="0.3">
      <c r="A768" s="15" t="str">
        <f t="shared" ref="A768:A831" si="27">IF(F768="Saldo zerado",0,IF(F768="Saldo abaixo do mínimo",1,IF(F768="Saldo disponível",2,".")))</f>
        <v>.</v>
      </c>
      <c r="E768" s="13" t="str">
        <f>IFERROR(IF(AND(B768&lt;&gt;"",C768&lt;&gt;""),SUMIFS(Movimentos!$F$4:$F$9996,Movimentos!$D$4:$D$9996,B768,Movimentos!$C$4:$C$9996,"Entrada")-SUMIFS(Movimentos!$F$4:$F$9996,Movimentos!$D$4:$D$9996,B768,Movimentos!$C$4:$C$9996,"Saída"),""),"")</f>
        <v/>
      </c>
      <c r="F768" s="10" t="str">
        <f t="shared" si="26"/>
        <v/>
      </c>
    </row>
    <row r="769" spans="1:6" x14ac:dyDescent="0.3">
      <c r="A769" s="15" t="str">
        <f t="shared" si="27"/>
        <v>.</v>
      </c>
      <c r="E769" s="13" t="str">
        <f>IFERROR(IF(AND(B769&lt;&gt;"",C769&lt;&gt;""),SUMIFS(Movimentos!$F$4:$F$9996,Movimentos!$D$4:$D$9996,B769,Movimentos!$C$4:$C$9996,"Entrada")-SUMIFS(Movimentos!$F$4:$F$9996,Movimentos!$D$4:$D$9996,B769,Movimentos!$C$4:$C$9996,"Saída"),""),"")</f>
        <v/>
      </c>
      <c r="F769" s="10" t="str">
        <f t="shared" si="26"/>
        <v/>
      </c>
    </row>
    <row r="770" spans="1:6" x14ac:dyDescent="0.3">
      <c r="A770" s="15" t="str">
        <f t="shared" si="27"/>
        <v>.</v>
      </c>
      <c r="E770" s="13" t="str">
        <f>IFERROR(IF(AND(B770&lt;&gt;"",C770&lt;&gt;""),SUMIFS(Movimentos!$F$4:$F$9996,Movimentos!$D$4:$D$9996,B770,Movimentos!$C$4:$C$9996,"Entrada")-SUMIFS(Movimentos!$F$4:$F$9996,Movimentos!$D$4:$D$9996,B770,Movimentos!$C$4:$C$9996,"Saída"),""),"")</f>
        <v/>
      </c>
      <c r="F770" s="10" t="str">
        <f t="shared" si="26"/>
        <v/>
      </c>
    </row>
    <row r="771" spans="1:6" x14ac:dyDescent="0.3">
      <c r="A771" s="15" t="str">
        <f t="shared" si="27"/>
        <v>.</v>
      </c>
      <c r="E771" s="13" t="str">
        <f>IFERROR(IF(AND(B771&lt;&gt;"",C771&lt;&gt;""),SUMIFS(Movimentos!$F$4:$F$9996,Movimentos!$D$4:$D$9996,B771,Movimentos!$C$4:$C$9996,"Entrada")-SUMIFS(Movimentos!$F$4:$F$9996,Movimentos!$D$4:$D$9996,B771,Movimentos!$C$4:$C$9996,"Saída"),""),"")</f>
        <v/>
      </c>
      <c r="F771" s="10" t="str">
        <f t="shared" si="26"/>
        <v/>
      </c>
    </row>
    <row r="772" spans="1:6" x14ac:dyDescent="0.3">
      <c r="A772" s="15" t="str">
        <f t="shared" si="27"/>
        <v>.</v>
      </c>
      <c r="E772" s="13" t="str">
        <f>IFERROR(IF(AND(B772&lt;&gt;"",C772&lt;&gt;""),SUMIFS(Movimentos!$F$4:$F$9996,Movimentos!$D$4:$D$9996,B772,Movimentos!$C$4:$C$9996,"Entrada")-SUMIFS(Movimentos!$F$4:$F$9996,Movimentos!$D$4:$D$9996,B772,Movimentos!$C$4:$C$9996,"Saída"),""),"")</f>
        <v/>
      </c>
      <c r="F772" s="10" t="str">
        <f t="shared" si="26"/>
        <v/>
      </c>
    </row>
    <row r="773" spans="1:6" x14ac:dyDescent="0.3">
      <c r="A773" s="15" t="str">
        <f t="shared" si="27"/>
        <v>.</v>
      </c>
      <c r="E773" s="13" t="str">
        <f>IFERROR(IF(AND(B773&lt;&gt;"",C773&lt;&gt;""),SUMIFS(Movimentos!$F$4:$F$9996,Movimentos!$D$4:$D$9996,B773,Movimentos!$C$4:$C$9996,"Entrada")-SUMIFS(Movimentos!$F$4:$F$9996,Movimentos!$D$4:$D$9996,B773,Movimentos!$C$4:$C$9996,"Saída"),""),"")</f>
        <v/>
      </c>
      <c r="F773" s="10" t="str">
        <f t="shared" si="26"/>
        <v/>
      </c>
    </row>
    <row r="774" spans="1:6" x14ac:dyDescent="0.3">
      <c r="A774" s="15" t="str">
        <f t="shared" si="27"/>
        <v>.</v>
      </c>
      <c r="E774" s="13" t="str">
        <f>IFERROR(IF(AND(B774&lt;&gt;"",C774&lt;&gt;""),SUMIFS(Movimentos!$F$4:$F$9996,Movimentos!$D$4:$D$9996,B774,Movimentos!$C$4:$C$9996,"Entrada")-SUMIFS(Movimentos!$F$4:$F$9996,Movimentos!$D$4:$D$9996,B774,Movimentos!$C$4:$C$9996,"Saída"),""),"")</f>
        <v/>
      </c>
      <c r="F774" s="10" t="str">
        <f t="shared" si="26"/>
        <v/>
      </c>
    </row>
    <row r="775" spans="1:6" x14ac:dyDescent="0.3">
      <c r="A775" s="15" t="str">
        <f t="shared" si="27"/>
        <v>.</v>
      </c>
      <c r="E775" s="13" t="str">
        <f>IFERROR(IF(AND(B775&lt;&gt;"",C775&lt;&gt;""),SUMIFS(Movimentos!$F$4:$F$9996,Movimentos!$D$4:$D$9996,B775,Movimentos!$C$4:$C$9996,"Entrada")-SUMIFS(Movimentos!$F$4:$F$9996,Movimentos!$D$4:$D$9996,B775,Movimentos!$C$4:$C$9996,"Saída"),""),"")</f>
        <v/>
      </c>
      <c r="F775" s="10" t="str">
        <f t="shared" si="26"/>
        <v/>
      </c>
    </row>
    <row r="776" spans="1:6" x14ac:dyDescent="0.3">
      <c r="A776" s="15" t="str">
        <f t="shared" si="27"/>
        <v>.</v>
      </c>
      <c r="E776" s="13" t="str">
        <f>IFERROR(IF(AND(B776&lt;&gt;"",C776&lt;&gt;""),SUMIFS(Movimentos!$F$4:$F$9996,Movimentos!$D$4:$D$9996,B776,Movimentos!$C$4:$C$9996,"Entrada")-SUMIFS(Movimentos!$F$4:$F$9996,Movimentos!$D$4:$D$9996,B776,Movimentos!$C$4:$C$9996,"Saída"),""),"")</f>
        <v/>
      </c>
      <c r="F776" s="10" t="str">
        <f t="shared" si="26"/>
        <v/>
      </c>
    </row>
    <row r="777" spans="1:6" x14ac:dyDescent="0.3">
      <c r="A777" s="15" t="str">
        <f t="shared" si="27"/>
        <v>.</v>
      </c>
      <c r="E777" s="13" t="str">
        <f>IFERROR(IF(AND(B777&lt;&gt;"",C777&lt;&gt;""),SUMIFS(Movimentos!$F$4:$F$9996,Movimentos!$D$4:$D$9996,B777,Movimentos!$C$4:$C$9996,"Entrada")-SUMIFS(Movimentos!$F$4:$F$9996,Movimentos!$D$4:$D$9996,B777,Movimentos!$C$4:$C$9996,"Saída"),""),"")</f>
        <v/>
      </c>
      <c r="F777" s="10" t="str">
        <f t="shared" si="26"/>
        <v/>
      </c>
    </row>
    <row r="778" spans="1:6" x14ac:dyDescent="0.3">
      <c r="A778" s="15" t="str">
        <f t="shared" si="27"/>
        <v>.</v>
      </c>
      <c r="E778" s="13" t="str">
        <f>IFERROR(IF(AND(B778&lt;&gt;"",C778&lt;&gt;""),SUMIFS(Movimentos!$F$4:$F$9996,Movimentos!$D$4:$D$9996,B778,Movimentos!$C$4:$C$9996,"Entrada")-SUMIFS(Movimentos!$F$4:$F$9996,Movimentos!$D$4:$D$9996,B778,Movimentos!$C$4:$C$9996,"Saída"),""),"")</f>
        <v/>
      </c>
      <c r="F778" s="10" t="str">
        <f t="shared" si="26"/>
        <v/>
      </c>
    </row>
    <row r="779" spans="1:6" x14ac:dyDescent="0.3">
      <c r="A779" s="15" t="str">
        <f t="shared" si="27"/>
        <v>.</v>
      </c>
      <c r="E779" s="13" t="str">
        <f>IFERROR(IF(AND(B779&lt;&gt;"",C779&lt;&gt;""),SUMIFS(Movimentos!$F$4:$F$9996,Movimentos!$D$4:$D$9996,B779,Movimentos!$C$4:$C$9996,"Entrada")-SUMIFS(Movimentos!$F$4:$F$9996,Movimentos!$D$4:$D$9996,B779,Movimentos!$C$4:$C$9996,"Saída"),""),"")</f>
        <v/>
      </c>
      <c r="F779" s="10" t="str">
        <f t="shared" si="26"/>
        <v/>
      </c>
    </row>
    <row r="780" spans="1:6" x14ac:dyDescent="0.3">
      <c r="A780" s="15" t="str">
        <f t="shared" si="27"/>
        <v>.</v>
      </c>
      <c r="E780" s="13" t="str">
        <f>IFERROR(IF(AND(B780&lt;&gt;"",C780&lt;&gt;""),SUMIFS(Movimentos!$F$4:$F$9996,Movimentos!$D$4:$D$9996,B780,Movimentos!$C$4:$C$9996,"Entrada")-SUMIFS(Movimentos!$F$4:$F$9996,Movimentos!$D$4:$D$9996,B780,Movimentos!$C$4:$C$9996,"Saída"),""),"")</f>
        <v/>
      </c>
      <c r="F780" s="10" t="str">
        <f t="shared" si="26"/>
        <v/>
      </c>
    </row>
    <row r="781" spans="1:6" x14ac:dyDescent="0.3">
      <c r="A781" s="15" t="str">
        <f t="shared" si="27"/>
        <v>.</v>
      </c>
      <c r="E781" s="13" t="str">
        <f>IFERROR(IF(AND(B781&lt;&gt;"",C781&lt;&gt;""),SUMIFS(Movimentos!$F$4:$F$9996,Movimentos!$D$4:$D$9996,B781,Movimentos!$C$4:$C$9996,"Entrada")-SUMIFS(Movimentos!$F$4:$F$9996,Movimentos!$D$4:$D$9996,B781,Movimentos!$C$4:$C$9996,"Saída"),""),"")</f>
        <v/>
      </c>
      <c r="F781" s="10" t="str">
        <f t="shared" si="26"/>
        <v/>
      </c>
    </row>
    <row r="782" spans="1:6" x14ac:dyDescent="0.3">
      <c r="A782" s="15" t="str">
        <f t="shared" si="27"/>
        <v>.</v>
      </c>
      <c r="E782" s="13" t="str">
        <f>IFERROR(IF(AND(B782&lt;&gt;"",C782&lt;&gt;""),SUMIFS(Movimentos!$F$4:$F$9996,Movimentos!$D$4:$D$9996,B782,Movimentos!$C$4:$C$9996,"Entrada")-SUMIFS(Movimentos!$F$4:$F$9996,Movimentos!$D$4:$D$9996,B782,Movimentos!$C$4:$C$9996,"Saída"),""),"")</f>
        <v/>
      </c>
      <c r="F782" s="10" t="str">
        <f t="shared" si="26"/>
        <v/>
      </c>
    </row>
    <row r="783" spans="1:6" x14ac:dyDescent="0.3">
      <c r="A783" s="15" t="str">
        <f t="shared" si="27"/>
        <v>.</v>
      </c>
      <c r="E783" s="13" t="str">
        <f>IFERROR(IF(AND(B783&lt;&gt;"",C783&lt;&gt;""),SUMIFS(Movimentos!$F$4:$F$9996,Movimentos!$D$4:$D$9996,B783,Movimentos!$C$4:$C$9996,"Entrada")-SUMIFS(Movimentos!$F$4:$F$9996,Movimentos!$D$4:$D$9996,B783,Movimentos!$C$4:$C$9996,"Saída"),""),"")</f>
        <v/>
      </c>
      <c r="F783" s="10" t="str">
        <f t="shared" si="26"/>
        <v/>
      </c>
    </row>
    <row r="784" spans="1:6" x14ac:dyDescent="0.3">
      <c r="A784" s="15" t="str">
        <f t="shared" si="27"/>
        <v>.</v>
      </c>
      <c r="E784" s="13" t="str">
        <f>IFERROR(IF(AND(B784&lt;&gt;"",C784&lt;&gt;""),SUMIFS(Movimentos!$F$4:$F$9996,Movimentos!$D$4:$D$9996,B784,Movimentos!$C$4:$C$9996,"Entrada")-SUMIFS(Movimentos!$F$4:$F$9996,Movimentos!$D$4:$D$9996,B784,Movimentos!$C$4:$C$9996,"Saída"),""),"")</f>
        <v/>
      </c>
      <c r="F784" s="10" t="str">
        <f t="shared" si="26"/>
        <v/>
      </c>
    </row>
    <row r="785" spans="1:6" x14ac:dyDescent="0.3">
      <c r="A785" s="15" t="str">
        <f t="shared" si="27"/>
        <v>.</v>
      </c>
      <c r="E785" s="13" t="str">
        <f>IFERROR(IF(AND(B785&lt;&gt;"",C785&lt;&gt;""),SUMIFS(Movimentos!$F$4:$F$9996,Movimentos!$D$4:$D$9996,B785,Movimentos!$C$4:$C$9996,"Entrada")-SUMIFS(Movimentos!$F$4:$F$9996,Movimentos!$D$4:$D$9996,B785,Movimentos!$C$4:$C$9996,"Saída"),""),"")</f>
        <v/>
      </c>
      <c r="F785" s="10" t="str">
        <f t="shared" si="26"/>
        <v/>
      </c>
    </row>
    <row r="786" spans="1:6" x14ac:dyDescent="0.3">
      <c r="A786" s="15" t="str">
        <f t="shared" si="27"/>
        <v>.</v>
      </c>
      <c r="E786" s="13" t="str">
        <f>IFERROR(IF(AND(B786&lt;&gt;"",C786&lt;&gt;""),SUMIFS(Movimentos!$F$4:$F$9996,Movimentos!$D$4:$D$9996,B786,Movimentos!$C$4:$C$9996,"Entrada")-SUMIFS(Movimentos!$F$4:$F$9996,Movimentos!$D$4:$D$9996,B786,Movimentos!$C$4:$C$9996,"Saída"),""),"")</f>
        <v/>
      </c>
      <c r="F786" s="10" t="str">
        <f t="shared" si="26"/>
        <v/>
      </c>
    </row>
    <row r="787" spans="1:6" x14ac:dyDescent="0.3">
      <c r="A787" s="15" t="str">
        <f t="shared" si="27"/>
        <v>.</v>
      </c>
      <c r="E787" s="13" t="str">
        <f>IFERROR(IF(AND(B787&lt;&gt;"",C787&lt;&gt;""),SUMIFS(Movimentos!$F$4:$F$9996,Movimentos!$D$4:$D$9996,B787,Movimentos!$C$4:$C$9996,"Entrada")-SUMIFS(Movimentos!$F$4:$F$9996,Movimentos!$D$4:$D$9996,B787,Movimentos!$C$4:$C$9996,"Saída"),""),"")</f>
        <v/>
      </c>
      <c r="F787" s="10" t="str">
        <f t="shared" si="26"/>
        <v/>
      </c>
    </row>
    <row r="788" spans="1:6" x14ac:dyDescent="0.3">
      <c r="A788" s="15" t="str">
        <f t="shared" si="27"/>
        <v>.</v>
      </c>
      <c r="E788" s="13" t="str">
        <f>IFERROR(IF(AND(B788&lt;&gt;"",C788&lt;&gt;""),SUMIFS(Movimentos!$F$4:$F$9996,Movimentos!$D$4:$D$9996,B788,Movimentos!$C$4:$C$9996,"Entrada")-SUMIFS(Movimentos!$F$4:$F$9996,Movimentos!$D$4:$D$9996,B788,Movimentos!$C$4:$C$9996,"Saída"),""),"")</f>
        <v/>
      </c>
      <c r="F788" s="10" t="str">
        <f t="shared" si="26"/>
        <v/>
      </c>
    </row>
    <row r="789" spans="1:6" x14ac:dyDescent="0.3">
      <c r="A789" s="15" t="str">
        <f t="shared" si="27"/>
        <v>.</v>
      </c>
      <c r="E789" s="13" t="str">
        <f>IFERROR(IF(AND(B789&lt;&gt;"",C789&lt;&gt;""),SUMIFS(Movimentos!$F$4:$F$9996,Movimentos!$D$4:$D$9996,B789,Movimentos!$C$4:$C$9996,"Entrada")-SUMIFS(Movimentos!$F$4:$F$9996,Movimentos!$D$4:$D$9996,B789,Movimentos!$C$4:$C$9996,"Saída"),""),"")</f>
        <v/>
      </c>
      <c r="F789" s="10" t="str">
        <f t="shared" si="26"/>
        <v/>
      </c>
    </row>
    <row r="790" spans="1:6" x14ac:dyDescent="0.3">
      <c r="A790" s="15" t="str">
        <f t="shared" si="27"/>
        <v>.</v>
      </c>
      <c r="E790" s="13" t="str">
        <f>IFERROR(IF(AND(B790&lt;&gt;"",C790&lt;&gt;""),SUMIFS(Movimentos!$F$4:$F$9996,Movimentos!$D$4:$D$9996,B790,Movimentos!$C$4:$C$9996,"Entrada")-SUMIFS(Movimentos!$F$4:$F$9996,Movimentos!$D$4:$D$9996,B790,Movimentos!$C$4:$C$9996,"Saída"),""),"")</f>
        <v/>
      </c>
      <c r="F790" s="10" t="str">
        <f t="shared" si="26"/>
        <v/>
      </c>
    </row>
    <row r="791" spans="1:6" x14ac:dyDescent="0.3">
      <c r="A791" s="15" t="str">
        <f t="shared" si="27"/>
        <v>.</v>
      </c>
      <c r="E791" s="13" t="str">
        <f>IFERROR(IF(AND(B791&lt;&gt;"",C791&lt;&gt;""),SUMIFS(Movimentos!$F$4:$F$9996,Movimentos!$D$4:$D$9996,B791,Movimentos!$C$4:$C$9996,"Entrada")-SUMIFS(Movimentos!$F$4:$F$9996,Movimentos!$D$4:$D$9996,B791,Movimentos!$C$4:$C$9996,"Saída"),""),"")</f>
        <v/>
      </c>
      <c r="F791" s="10" t="str">
        <f t="shared" ref="F791:F854" si="28">IF(AND(B791&lt;&gt;"",C791&lt;&gt;""),IF(E791=0,"Saldo zerado",IF(E791&lt;D791,"Saldo abaixo do mínimo","Saldo disponível")),"")</f>
        <v/>
      </c>
    </row>
    <row r="792" spans="1:6" x14ac:dyDescent="0.3">
      <c r="A792" s="15" t="str">
        <f t="shared" si="27"/>
        <v>.</v>
      </c>
      <c r="E792" s="13" t="str">
        <f>IFERROR(IF(AND(B792&lt;&gt;"",C792&lt;&gt;""),SUMIFS(Movimentos!$F$4:$F$9996,Movimentos!$D$4:$D$9996,B792,Movimentos!$C$4:$C$9996,"Entrada")-SUMIFS(Movimentos!$F$4:$F$9996,Movimentos!$D$4:$D$9996,B792,Movimentos!$C$4:$C$9996,"Saída"),""),"")</f>
        <v/>
      </c>
      <c r="F792" s="10" t="str">
        <f t="shared" si="28"/>
        <v/>
      </c>
    </row>
    <row r="793" spans="1:6" x14ac:dyDescent="0.3">
      <c r="A793" s="15" t="str">
        <f t="shared" si="27"/>
        <v>.</v>
      </c>
      <c r="E793" s="13" t="str">
        <f>IFERROR(IF(AND(B793&lt;&gt;"",C793&lt;&gt;""),SUMIFS(Movimentos!$F$4:$F$9996,Movimentos!$D$4:$D$9996,B793,Movimentos!$C$4:$C$9996,"Entrada")-SUMIFS(Movimentos!$F$4:$F$9996,Movimentos!$D$4:$D$9996,B793,Movimentos!$C$4:$C$9996,"Saída"),""),"")</f>
        <v/>
      </c>
      <c r="F793" s="10" t="str">
        <f t="shared" si="28"/>
        <v/>
      </c>
    </row>
    <row r="794" spans="1:6" x14ac:dyDescent="0.3">
      <c r="A794" s="15" t="str">
        <f t="shared" si="27"/>
        <v>.</v>
      </c>
      <c r="E794" s="13" t="str">
        <f>IFERROR(IF(AND(B794&lt;&gt;"",C794&lt;&gt;""),SUMIFS(Movimentos!$F$4:$F$9996,Movimentos!$D$4:$D$9996,B794,Movimentos!$C$4:$C$9996,"Entrada")-SUMIFS(Movimentos!$F$4:$F$9996,Movimentos!$D$4:$D$9996,B794,Movimentos!$C$4:$C$9996,"Saída"),""),"")</f>
        <v/>
      </c>
      <c r="F794" s="10" t="str">
        <f t="shared" si="28"/>
        <v/>
      </c>
    </row>
    <row r="795" spans="1:6" x14ac:dyDescent="0.3">
      <c r="A795" s="15" t="str">
        <f t="shared" si="27"/>
        <v>.</v>
      </c>
      <c r="E795" s="13" t="str">
        <f>IFERROR(IF(AND(B795&lt;&gt;"",C795&lt;&gt;""),SUMIFS(Movimentos!$F$4:$F$9996,Movimentos!$D$4:$D$9996,B795,Movimentos!$C$4:$C$9996,"Entrada")-SUMIFS(Movimentos!$F$4:$F$9996,Movimentos!$D$4:$D$9996,B795,Movimentos!$C$4:$C$9996,"Saída"),""),"")</f>
        <v/>
      </c>
      <c r="F795" s="10" t="str">
        <f t="shared" si="28"/>
        <v/>
      </c>
    </row>
    <row r="796" spans="1:6" x14ac:dyDescent="0.3">
      <c r="A796" s="15" t="str">
        <f t="shared" si="27"/>
        <v>.</v>
      </c>
      <c r="E796" s="13" t="str">
        <f>IFERROR(IF(AND(B796&lt;&gt;"",C796&lt;&gt;""),SUMIFS(Movimentos!$F$4:$F$9996,Movimentos!$D$4:$D$9996,B796,Movimentos!$C$4:$C$9996,"Entrada")-SUMIFS(Movimentos!$F$4:$F$9996,Movimentos!$D$4:$D$9996,B796,Movimentos!$C$4:$C$9996,"Saída"),""),"")</f>
        <v/>
      </c>
      <c r="F796" s="10" t="str">
        <f t="shared" si="28"/>
        <v/>
      </c>
    </row>
    <row r="797" spans="1:6" x14ac:dyDescent="0.3">
      <c r="A797" s="15" t="str">
        <f t="shared" si="27"/>
        <v>.</v>
      </c>
      <c r="E797" s="13" t="str">
        <f>IFERROR(IF(AND(B797&lt;&gt;"",C797&lt;&gt;""),SUMIFS(Movimentos!$F$4:$F$9996,Movimentos!$D$4:$D$9996,B797,Movimentos!$C$4:$C$9996,"Entrada")-SUMIFS(Movimentos!$F$4:$F$9996,Movimentos!$D$4:$D$9996,B797,Movimentos!$C$4:$C$9996,"Saída"),""),"")</f>
        <v/>
      </c>
      <c r="F797" s="10" t="str">
        <f t="shared" si="28"/>
        <v/>
      </c>
    </row>
    <row r="798" spans="1:6" x14ac:dyDescent="0.3">
      <c r="A798" s="15" t="str">
        <f t="shared" si="27"/>
        <v>.</v>
      </c>
      <c r="E798" s="13" t="str">
        <f>IFERROR(IF(AND(B798&lt;&gt;"",C798&lt;&gt;""),SUMIFS(Movimentos!$F$4:$F$9996,Movimentos!$D$4:$D$9996,B798,Movimentos!$C$4:$C$9996,"Entrada")-SUMIFS(Movimentos!$F$4:$F$9996,Movimentos!$D$4:$D$9996,B798,Movimentos!$C$4:$C$9996,"Saída"),""),"")</f>
        <v/>
      </c>
      <c r="F798" s="10" t="str">
        <f t="shared" si="28"/>
        <v/>
      </c>
    </row>
    <row r="799" spans="1:6" x14ac:dyDescent="0.3">
      <c r="A799" s="15" t="str">
        <f t="shared" si="27"/>
        <v>.</v>
      </c>
      <c r="E799" s="13" t="str">
        <f>IFERROR(IF(AND(B799&lt;&gt;"",C799&lt;&gt;""),SUMIFS(Movimentos!$F$4:$F$9996,Movimentos!$D$4:$D$9996,B799,Movimentos!$C$4:$C$9996,"Entrada")-SUMIFS(Movimentos!$F$4:$F$9996,Movimentos!$D$4:$D$9996,B799,Movimentos!$C$4:$C$9996,"Saída"),""),"")</f>
        <v/>
      </c>
      <c r="F799" s="10" t="str">
        <f t="shared" si="28"/>
        <v/>
      </c>
    </row>
    <row r="800" spans="1:6" x14ac:dyDescent="0.3">
      <c r="A800" s="15" t="str">
        <f t="shared" si="27"/>
        <v>.</v>
      </c>
      <c r="E800" s="13" t="str">
        <f>IFERROR(IF(AND(B800&lt;&gt;"",C800&lt;&gt;""),SUMIFS(Movimentos!$F$4:$F$9996,Movimentos!$D$4:$D$9996,B800,Movimentos!$C$4:$C$9996,"Entrada")-SUMIFS(Movimentos!$F$4:$F$9996,Movimentos!$D$4:$D$9996,B800,Movimentos!$C$4:$C$9996,"Saída"),""),"")</f>
        <v/>
      </c>
      <c r="F800" s="10" t="str">
        <f t="shared" si="28"/>
        <v/>
      </c>
    </row>
    <row r="801" spans="1:6" x14ac:dyDescent="0.3">
      <c r="A801" s="15" t="str">
        <f t="shared" si="27"/>
        <v>.</v>
      </c>
      <c r="E801" s="13" t="str">
        <f>IFERROR(IF(AND(B801&lt;&gt;"",C801&lt;&gt;""),SUMIFS(Movimentos!$F$4:$F$9996,Movimentos!$D$4:$D$9996,B801,Movimentos!$C$4:$C$9996,"Entrada")-SUMIFS(Movimentos!$F$4:$F$9996,Movimentos!$D$4:$D$9996,B801,Movimentos!$C$4:$C$9996,"Saída"),""),"")</f>
        <v/>
      </c>
      <c r="F801" s="10" t="str">
        <f t="shared" si="28"/>
        <v/>
      </c>
    </row>
    <row r="802" spans="1:6" x14ac:dyDescent="0.3">
      <c r="A802" s="15" t="str">
        <f t="shared" si="27"/>
        <v>.</v>
      </c>
      <c r="E802" s="13" t="str">
        <f>IFERROR(IF(AND(B802&lt;&gt;"",C802&lt;&gt;""),SUMIFS(Movimentos!$F$4:$F$9996,Movimentos!$D$4:$D$9996,B802,Movimentos!$C$4:$C$9996,"Entrada")-SUMIFS(Movimentos!$F$4:$F$9996,Movimentos!$D$4:$D$9996,B802,Movimentos!$C$4:$C$9996,"Saída"),""),"")</f>
        <v/>
      </c>
      <c r="F802" s="10" t="str">
        <f t="shared" si="28"/>
        <v/>
      </c>
    </row>
    <row r="803" spans="1:6" x14ac:dyDescent="0.3">
      <c r="A803" s="15" t="str">
        <f t="shared" si="27"/>
        <v>.</v>
      </c>
      <c r="E803" s="13" t="str">
        <f>IFERROR(IF(AND(B803&lt;&gt;"",C803&lt;&gt;""),SUMIFS(Movimentos!$F$4:$F$9996,Movimentos!$D$4:$D$9996,B803,Movimentos!$C$4:$C$9996,"Entrada")-SUMIFS(Movimentos!$F$4:$F$9996,Movimentos!$D$4:$D$9996,B803,Movimentos!$C$4:$C$9996,"Saída"),""),"")</f>
        <v/>
      </c>
      <c r="F803" s="10" t="str">
        <f t="shared" si="28"/>
        <v/>
      </c>
    </row>
    <row r="804" spans="1:6" x14ac:dyDescent="0.3">
      <c r="A804" s="15" t="str">
        <f t="shared" si="27"/>
        <v>.</v>
      </c>
      <c r="E804" s="13" t="str">
        <f>IFERROR(IF(AND(B804&lt;&gt;"",C804&lt;&gt;""),SUMIFS(Movimentos!$F$4:$F$9996,Movimentos!$D$4:$D$9996,B804,Movimentos!$C$4:$C$9996,"Entrada")-SUMIFS(Movimentos!$F$4:$F$9996,Movimentos!$D$4:$D$9996,B804,Movimentos!$C$4:$C$9996,"Saída"),""),"")</f>
        <v/>
      </c>
      <c r="F804" s="10" t="str">
        <f t="shared" si="28"/>
        <v/>
      </c>
    </row>
    <row r="805" spans="1:6" x14ac:dyDescent="0.3">
      <c r="A805" s="15" t="str">
        <f t="shared" si="27"/>
        <v>.</v>
      </c>
      <c r="E805" s="13" t="str">
        <f>IFERROR(IF(AND(B805&lt;&gt;"",C805&lt;&gt;""),SUMIFS(Movimentos!$F$4:$F$9996,Movimentos!$D$4:$D$9996,B805,Movimentos!$C$4:$C$9996,"Entrada")-SUMIFS(Movimentos!$F$4:$F$9996,Movimentos!$D$4:$D$9996,B805,Movimentos!$C$4:$C$9996,"Saída"),""),"")</f>
        <v/>
      </c>
      <c r="F805" s="10" t="str">
        <f t="shared" si="28"/>
        <v/>
      </c>
    </row>
    <row r="806" spans="1:6" x14ac:dyDescent="0.3">
      <c r="A806" s="15" t="str">
        <f t="shared" si="27"/>
        <v>.</v>
      </c>
      <c r="E806" s="13" t="str">
        <f>IFERROR(IF(AND(B806&lt;&gt;"",C806&lt;&gt;""),SUMIFS(Movimentos!$F$4:$F$9996,Movimentos!$D$4:$D$9996,B806,Movimentos!$C$4:$C$9996,"Entrada")-SUMIFS(Movimentos!$F$4:$F$9996,Movimentos!$D$4:$D$9996,B806,Movimentos!$C$4:$C$9996,"Saída"),""),"")</f>
        <v/>
      </c>
      <c r="F806" s="10" t="str">
        <f t="shared" si="28"/>
        <v/>
      </c>
    </row>
    <row r="807" spans="1:6" x14ac:dyDescent="0.3">
      <c r="A807" s="15" t="str">
        <f t="shared" si="27"/>
        <v>.</v>
      </c>
      <c r="E807" s="13" t="str">
        <f>IFERROR(IF(AND(B807&lt;&gt;"",C807&lt;&gt;""),SUMIFS(Movimentos!$F$4:$F$9996,Movimentos!$D$4:$D$9996,B807,Movimentos!$C$4:$C$9996,"Entrada")-SUMIFS(Movimentos!$F$4:$F$9996,Movimentos!$D$4:$D$9996,B807,Movimentos!$C$4:$C$9996,"Saída"),""),"")</f>
        <v/>
      </c>
      <c r="F807" s="10" t="str">
        <f t="shared" si="28"/>
        <v/>
      </c>
    </row>
    <row r="808" spans="1:6" x14ac:dyDescent="0.3">
      <c r="A808" s="15" t="str">
        <f t="shared" si="27"/>
        <v>.</v>
      </c>
      <c r="E808" s="13" t="str">
        <f>IFERROR(IF(AND(B808&lt;&gt;"",C808&lt;&gt;""),SUMIFS(Movimentos!$F$4:$F$9996,Movimentos!$D$4:$D$9996,B808,Movimentos!$C$4:$C$9996,"Entrada")-SUMIFS(Movimentos!$F$4:$F$9996,Movimentos!$D$4:$D$9996,B808,Movimentos!$C$4:$C$9996,"Saída"),""),"")</f>
        <v/>
      </c>
      <c r="F808" s="10" t="str">
        <f t="shared" si="28"/>
        <v/>
      </c>
    </row>
    <row r="809" spans="1:6" x14ac:dyDescent="0.3">
      <c r="A809" s="15" t="str">
        <f t="shared" si="27"/>
        <v>.</v>
      </c>
      <c r="E809" s="13" t="str">
        <f>IFERROR(IF(AND(B809&lt;&gt;"",C809&lt;&gt;""),SUMIFS(Movimentos!$F$4:$F$9996,Movimentos!$D$4:$D$9996,B809,Movimentos!$C$4:$C$9996,"Entrada")-SUMIFS(Movimentos!$F$4:$F$9996,Movimentos!$D$4:$D$9996,B809,Movimentos!$C$4:$C$9996,"Saída"),""),"")</f>
        <v/>
      </c>
      <c r="F809" s="10" t="str">
        <f t="shared" si="28"/>
        <v/>
      </c>
    </row>
    <row r="810" spans="1:6" x14ac:dyDescent="0.3">
      <c r="A810" s="15" t="str">
        <f t="shared" si="27"/>
        <v>.</v>
      </c>
      <c r="E810" s="13" t="str">
        <f>IFERROR(IF(AND(B810&lt;&gt;"",C810&lt;&gt;""),SUMIFS(Movimentos!$F$4:$F$9996,Movimentos!$D$4:$D$9996,B810,Movimentos!$C$4:$C$9996,"Entrada")-SUMIFS(Movimentos!$F$4:$F$9996,Movimentos!$D$4:$D$9996,B810,Movimentos!$C$4:$C$9996,"Saída"),""),"")</f>
        <v/>
      </c>
      <c r="F810" s="10" t="str">
        <f t="shared" si="28"/>
        <v/>
      </c>
    </row>
    <row r="811" spans="1:6" x14ac:dyDescent="0.3">
      <c r="A811" s="15" t="str">
        <f t="shared" si="27"/>
        <v>.</v>
      </c>
      <c r="E811" s="13" t="str">
        <f>IFERROR(IF(AND(B811&lt;&gt;"",C811&lt;&gt;""),SUMIFS(Movimentos!$F$4:$F$9996,Movimentos!$D$4:$D$9996,B811,Movimentos!$C$4:$C$9996,"Entrada")-SUMIFS(Movimentos!$F$4:$F$9996,Movimentos!$D$4:$D$9996,B811,Movimentos!$C$4:$C$9996,"Saída"),""),"")</f>
        <v/>
      </c>
      <c r="F811" s="10" t="str">
        <f t="shared" si="28"/>
        <v/>
      </c>
    </row>
    <row r="812" spans="1:6" x14ac:dyDescent="0.3">
      <c r="A812" s="15" t="str">
        <f t="shared" si="27"/>
        <v>.</v>
      </c>
      <c r="E812" s="13" t="str">
        <f>IFERROR(IF(AND(B812&lt;&gt;"",C812&lt;&gt;""),SUMIFS(Movimentos!$F$4:$F$9996,Movimentos!$D$4:$D$9996,B812,Movimentos!$C$4:$C$9996,"Entrada")-SUMIFS(Movimentos!$F$4:$F$9996,Movimentos!$D$4:$D$9996,B812,Movimentos!$C$4:$C$9996,"Saída"),""),"")</f>
        <v/>
      </c>
      <c r="F812" s="10" t="str">
        <f t="shared" si="28"/>
        <v/>
      </c>
    </row>
    <row r="813" spans="1:6" x14ac:dyDescent="0.3">
      <c r="A813" s="15" t="str">
        <f t="shared" si="27"/>
        <v>.</v>
      </c>
      <c r="E813" s="13" t="str">
        <f>IFERROR(IF(AND(B813&lt;&gt;"",C813&lt;&gt;""),SUMIFS(Movimentos!$F$4:$F$9996,Movimentos!$D$4:$D$9996,B813,Movimentos!$C$4:$C$9996,"Entrada")-SUMIFS(Movimentos!$F$4:$F$9996,Movimentos!$D$4:$D$9996,B813,Movimentos!$C$4:$C$9996,"Saída"),""),"")</f>
        <v/>
      </c>
      <c r="F813" s="10" t="str">
        <f t="shared" si="28"/>
        <v/>
      </c>
    </row>
    <row r="814" spans="1:6" x14ac:dyDescent="0.3">
      <c r="A814" s="15" t="str">
        <f t="shared" si="27"/>
        <v>.</v>
      </c>
      <c r="E814" s="13" t="str">
        <f>IFERROR(IF(AND(B814&lt;&gt;"",C814&lt;&gt;""),SUMIFS(Movimentos!$F$4:$F$9996,Movimentos!$D$4:$D$9996,B814,Movimentos!$C$4:$C$9996,"Entrada")-SUMIFS(Movimentos!$F$4:$F$9996,Movimentos!$D$4:$D$9996,B814,Movimentos!$C$4:$C$9996,"Saída"),""),"")</f>
        <v/>
      </c>
      <c r="F814" s="10" t="str">
        <f t="shared" si="28"/>
        <v/>
      </c>
    </row>
    <row r="815" spans="1:6" x14ac:dyDescent="0.3">
      <c r="A815" s="15" t="str">
        <f t="shared" si="27"/>
        <v>.</v>
      </c>
      <c r="E815" s="13" t="str">
        <f>IFERROR(IF(AND(B815&lt;&gt;"",C815&lt;&gt;""),SUMIFS(Movimentos!$F$4:$F$9996,Movimentos!$D$4:$D$9996,B815,Movimentos!$C$4:$C$9996,"Entrada")-SUMIFS(Movimentos!$F$4:$F$9996,Movimentos!$D$4:$D$9996,B815,Movimentos!$C$4:$C$9996,"Saída"),""),"")</f>
        <v/>
      </c>
      <c r="F815" s="10" t="str">
        <f t="shared" si="28"/>
        <v/>
      </c>
    </row>
    <row r="816" spans="1:6" x14ac:dyDescent="0.3">
      <c r="A816" s="15" t="str">
        <f t="shared" si="27"/>
        <v>.</v>
      </c>
      <c r="E816" s="13" t="str">
        <f>IFERROR(IF(AND(B816&lt;&gt;"",C816&lt;&gt;""),SUMIFS(Movimentos!$F$4:$F$9996,Movimentos!$D$4:$D$9996,B816,Movimentos!$C$4:$C$9996,"Entrada")-SUMIFS(Movimentos!$F$4:$F$9996,Movimentos!$D$4:$D$9996,B816,Movimentos!$C$4:$C$9996,"Saída"),""),"")</f>
        <v/>
      </c>
      <c r="F816" s="10" t="str">
        <f t="shared" si="28"/>
        <v/>
      </c>
    </row>
    <row r="817" spans="1:6" x14ac:dyDescent="0.3">
      <c r="A817" s="15" t="str">
        <f t="shared" si="27"/>
        <v>.</v>
      </c>
      <c r="E817" s="13" t="str">
        <f>IFERROR(IF(AND(B817&lt;&gt;"",C817&lt;&gt;""),SUMIFS(Movimentos!$F$4:$F$9996,Movimentos!$D$4:$D$9996,B817,Movimentos!$C$4:$C$9996,"Entrada")-SUMIFS(Movimentos!$F$4:$F$9996,Movimentos!$D$4:$D$9996,B817,Movimentos!$C$4:$C$9996,"Saída"),""),"")</f>
        <v/>
      </c>
      <c r="F817" s="10" t="str">
        <f t="shared" si="28"/>
        <v/>
      </c>
    </row>
    <row r="818" spans="1:6" x14ac:dyDescent="0.3">
      <c r="A818" s="15" t="str">
        <f t="shared" si="27"/>
        <v>.</v>
      </c>
      <c r="E818" s="13" t="str">
        <f>IFERROR(IF(AND(B818&lt;&gt;"",C818&lt;&gt;""),SUMIFS(Movimentos!$F$4:$F$9996,Movimentos!$D$4:$D$9996,B818,Movimentos!$C$4:$C$9996,"Entrada")-SUMIFS(Movimentos!$F$4:$F$9996,Movimentos!$D$4:$D$9996,B818,Movimentos!$C$4:$C$9996,"Saída"),""),"")</f>
        <v/>
      </c>
      <c r="F818" s="10" t="str">
        <f t="shared" si="28"/>
        <v/>
      </c>
    </row>
    <row r="819" spans="1:6" x14ac:dyDescent="0.3">
      <c r="A819" s="15" t="str">
        <f t="shared" si="27"/>
        <v>.</v>
      </c>
      <c r="E819" s="13" t="str">
        <f>IFERROR(IF(AND(B819&lt;&gt;"",C819&lt;&gt;""),SUMIFS(Movimentos!$F$4:$F$9996,Movimentos!$D$4:$D$9996,B819,Movimentos!$C$4:$C$9996,"Entrada")-SUMIFS(Movimentos!$F$4:$F$9996,Movimentos!$D$4:$D$9996,B819,Movimentos!$C$4:$C$9996,"Saída"),""),"")</f>
        <v/>
      </c>
      <c r="F819" s="10" t="str">
        <f t="shared" si="28"/>
        <v/>
      </c>
    </row>
    <row r="820" spans="1:6" x14ac:dyDescent="0.3">
      <c r="A820" s="15" t="str">
        <f t="shared" si="27"/>
        <v>.</v>
      </c>
      <c r="E820" s="13" t="str">
        <f>IFERROR(IF(AND(B820&lt;&gt;"",C820&lt;&gt;""),SUMIFS(Movimentos!$F$4:$F$9996,Movimentos!$D$4:$D$9996,B820,Movimentos!$C$4:$C$9996,"Entrada")-SUMIFS(Movimentos!$F$4:$F$9996,Movimentos!$D$4:$D$9996,B820,Movimentos!$C$4:$C$9996,"Saída"),""),"")</f>
        <v/>
      </c>
      <c r="F820" s="10" t="str">
        <f t="shared" si="28"/>
        <v/>
      </c>
    </row>
    <row r="821" spans="1:6" x14ac:dyDescent="0.3">
      <c r="A821" s="15" t="str">
        <f t="shared" si="27"/>
        <v>.</v>
      </c>
      <c r="E821" s="13" t="str">
        <f>IFERROR(IF(AND(B821&lt;&gt;"",C821&lt;&gt;""),SUMIFS(Movimentos!$F$4:$F$9996,Movimentos!$D$4:$D$9996,B821,Movimentos!$C$4:$C$9996,"Entrada")-SUMIFS(Movimentos!$F$4:$F$9996,Movimentos!$D$4:$D$9996,B821,Movimentos!$C$4:$C$9996,"Saída"),""),"")</f>
        <v/>
      </c>
      <c r="F821" s="10" t="str">
        <f t="shared" si="28"/>
        <v/>
      </c>
    </row>
    <row r="822" spans="1:6" x14ac:dyDescent="0.3">
      <c r="A822" s="15" t="str">
        <f t="shared" si="27"/>
        <v>.</v>
      </c>
      <c r="E822" s="13" t="str">
        <f>IFERROR(IF(AND(B822&lt;&gt;"",C822&lt;&gt;""),SUMIFS(Movimentos!$F$4:$F$9996,Movimentos!$D$4:$D$9996,B822,Movimentos!$C$4:$C$9996,"Entrada")-SUMIFS(Movimentos!$F$4:$F$9996,Movimentos!$D$4:$D$9996,B822,Movimentos!$C$4:$C$9996,"Saída"),""),"")</f>
        <v/>
      </c>
      <c r="F822" s="10" t="str">
        <f t="shared" si="28"/>
        <v/>
      </c>
    </row>
    <row r="823" spans="1:6" x14ac:dyDescent="0.3">
      <c r="A823" s="15" t="str">
        <f t="shared" si="27"/>
        <v>.</v>
      </c>
      <c r="E823" s="13" t="str">
        <f>IFERROR(IF(AND(B823&lt;&gt;"",C823&lt;&gt;""),SUMIFS(Movimentos!$F$4:$F$9996,Movimentos!$D$4:$D$9996,B823,Movimentos!$C$4:$C$9996,"Entrada")-SUMIFS(Movimentos!$F$4:$F$9996,Movimentos!$D$4:$D$9996,B823,Movimentos!$C$4:$C$9996,"Saída"),""),"")</f>
        <v/>
      </c>
      <c r="F823" s="10" t="str">
        <f t="shared" si="28"/>
        <v/>
      </c>
    </row>
    <row r="824" spans="1:6" x14ac:dyDescent="0.3">
      <c r="A824" s="15" t="str">
        <f t="shared" si="27"/>
        <v>.</v>
      </c>
      <c r="E824" s="13" t="str">
        <f>IFERROR(IF(AND(B824&lt;&gt;"",C824&lt;&gt;""),SUMIFS(Movimentos!$F$4:$F$9996,Movimentos!$D$4:$D$9996,B824,Movimentos!$C$4:$C$9996,"Entrada")-SUMIFS(Movimentos!$F$4:$F$9996,Movimentos!$D$4:$D$9996,B824,Movimentos!$C$4:$C$9996,"Saída"),""),"")</f>
        <v/>
      </c>
      <c r="F824" s="10" t="str">
        <f t="shared" si="28"/>
        <v/>
      </c>
    </row>
    <row r="825" spans="1:6" x14ac:dyDescent="0.3">
      <c r="A825" s="15" t="str">
        <f t="shared" si="27"/>
        <v>.</v>
      </c>
      <c r="E825" s="13" t="str">
        <f>IFERROR(IF(AND(B825&lt;&gt;"",C825&lt;&gt;""),SUMIFS(Movimentos!$F$4:$F$9996,Movimentos!$D$4:$D$9996,B825,Movimentos!$C$4:$C$9996,"Entrada")-SUMIFS(Movimentos!$F$4:$F$9996,Movimentos!$D$4:$D$9996,B825,Movimentos!$C$4:$C$9996,"Saída"),""),"")</f>
        <v/>
      </c>
      <c r="F825" s="10" t="str">
        <f t="shared" si="28"/>
        <v/>
      </c>
    </row>
    <row r="826" spans="1:6" x14ac:dyDescent="0.3">
      <c r="A826" s="15" t="str">
        <f t="shared" si="27"/>
        <v>.</v>
      </c>
      <c r="E826" s="13" t="str">
        <f>IFERROR(IF(AND(B826&lt;&gt;"",C826&lt;&gt;""),SUMIFS(Movimentos!$F$4:$F$9996,Movimentos!$D$4:$D$9996,B826,Movimentos!$C$4:$C$9996,"Entrada")-SUMIFS(Movimentos!$F$4:$F$9996,Movimentos!$D$4:$D$9996,B826,Movimentos!$C$4:$C$9996,"Saída"),""),"")</f>
        <v/>
      </c>
      <c r="F826" s="10" t="str">
        <f t="shared" si="28"/>
        <v/>
      </c>
    </row>
    <row r="827" spans="1:6" x14ac:dyDescent="0.3">
      <c r="A827" s="15" t="str">
        <f t="shared" si="27"/>
        <v>.</v>
      </c>
      <c r="E827" s="13" t="str">
        <f>IFERROR(IF(AND(B827&lt;&gt;"",C827&lt;&gt;""),SUMIFS(Movimentos!$F$4:$F$9996,Movimentos!$D$4:$D$9996,B827,Movimentos!$C$4:$C$9996,"Entrada")-SUMIFS(Movimentos!$F$4:$F$9996,Movimentos!$D$4:$D$9996,B827,Movimentos!$C$4:$C$9996,"Saída"),""),"")</f>
        <v/>
      </c>
      <c r="F827" s="10" t="str">
        <f t="shared" si="28"/>
        <v/>
      </c>
    </row>
    <row r="828" spans="1:6" x14ac:dyDescent="0.3">
      <c r="A828" s="15" t="str">
        <f t="shared" si="27"/>
        <v>.</v>
      </c>
      <c r="E828" s="13" t="str">
        <f>IFERROR(IF(AND(B828&lt;&gt;"",C828&lt;&gt;""),SUMIFS(Movimentos!$F$4:$F$9996,Movimentos!$D$4:$D$9996,B828,Movimentos!$C$4:$C$9996,"Entrada")-SUMIFS(Movimentos!$F$4:$F$9996,Movimentos!$D$4:$D$9996,B828,Movimentos!$C$4:$C$9996,"Saída"),""),"")</f>
        <v/>
      </c>
      <c r="F828" s="10" t="str">
        <f t="shared" si="28"/>
        <v/>
      </c>
    </row>
    <row r="829" spans="1:6" x14ac:dyDescent="0.3">
      <c r="A829" s="15" t="str">
        <f t="shared" si="27"/>
        <v>.</v>
      </c>
      <c r="E829" s="13" t="str">
        <f>IFERROR(IF(AND(B829&lt;&gt;"",C829&lt;&gt;""),SUMIFS(Movimentos!$F$4:$F$9996,Movimentos!$D$4:$D$9996,B829,Movimentos!$C$4:$C$9996,"Entrada")-SUMIFS(Movimentos!$F$4:$F$9996,Movimentos!$D$4:$D$9996,B829,Movimentos!$C$4:$C$9996,"Saída"),""),"")</f>
        <v/>
      </c>
      <c r="F829" s="10" t="str">
        <f t="shared" si="28"/>
        <v/>
      </c>
    </row>
    <row r="830" spans="1:6" x14ac:dyDescent="0.3">
      <c r="A830" s="15" t="str">
        <f t="shared" si="27"/>
        <v>.</v>
      </c>
      <c r="E830" s="13" t="str">
        <f>IFERROR(IF(AND(B830&lt;&gt;"",C830&lt;&gt;""),SUMIFS(Movimentos!$F$4:$F$9996,Movimentos!$D$4:$D$9996,B830,Movimentos!$C$4:$C$9996,"Entrada")-SUMIFS(Movimentos!$F$4:$F$9996,Movimentos!$D$4:$D$9996,B830,Movimentos!$C$4:$C$9996,"Saída"),""),"")</f>
        <v/>
      </c>
      <c r="F830" s="10" t="str">
        <f t="shared" si="28"/>
        <v/>
      </c>
    </row>
    <row r="831" spans="1:6" x14ac:dyDescent="0.3">
      <c r="A831" s="15" t="str">
        <f t="shared" si="27"/>
        <v>.</v>
      </c>
      <c r="E831" s="13" t="str">
        <f>IFERROR(IF(AND(B831&lt;&gt;"",C831&lt;&gt;""),SUMIFS(Movimentos!$F$4:$F$9996,Movimentos!$D$4:$D$9996,B831,Movimentos!$C$4:$C$9996,"Entrada")-SUMIFS(Movimentos!$F$4:$F$9996,Movimentos!$D$4:$D$9996,B831,Movimentos!$C$4:$C$9996,"Saída"),""),"")</f>
        <v/>
      </c>
      <c r="F831" s="10" t="str">
        <f t="shared" si="28"/>
        <v/>
      </c>
    </row>
    <row r="832" spans="1:6" x14ac:dyDescent="0.3">
      <c r="A832" s="15" t="str">
        <f t="shared" ref="A832:A895" si="29">IF(F832="Saldo zerado",0,IF(F832="Saldo abaixo do mínimo",1,IF(F832="Saldo disponível",2,".")))</f>
        <v>.</v>
      </c>
      <c r="E832" s="13" t="str">
        <f>IFERROR(IF(AND(B832&lt;&gt;"",C832&lt;&gt;""),SUMIFS(Movimentos!$F$4:$F$9996,Movimentos!$D$4:$D$9996,B832,Movimentos!$C$4:$C$9996,"Entrada")-SUMIFS(Movimentos!$F$4:$F$9996,Movimentos!$D$4:$D$9996,B832,Movimentos!$C$4:$C$9996,"Saída"),""),"")</f>
        <v/>
      </c>
      <c r="F832" s="10" t="str">
        <f t="shared" si="28"/>
        <v/>
      </c>
    </row>
    <row r="833" spans="1:6" x14ac:dyDescent="0.3">
      <c r="A833" s="15" t="str">
        <f t="shared" si="29"/>
        <v>.</v>
      </c>
      <c r="E833" s="13" t="str">
        <f>IFERROR(IF(AND(B833&lt;&gt;"",C833&lt;&gt;""),SUMIFS(Movimentos!$F$4:$F$9996,Movimentos!$D$4:$D$9996,B833,Movimentos!$C$4:$C$9996,"Entrada")-SUMIFS(Movimentos!$F$4:$F$9996,Movimentos!$D$4:$D$9996,B833,Movimentos!$C$4:$C$9996,"Saída"),""),"")</f>
        <v/>
      </c>
      <c r="F833" s="10" t="str">
        <f t="shared" si="28"/>
        <v/>
      </c>
    </row>
    <row r="834" spans="1:6" x14ac:dyDescent="0.3">
      <c r="A834" s="15" t="str">
        <f t="shared" si="29"/>
        <v>.</v>
      </c>
      <c r="E834" s="13" t="str">
        <f>IFERROR(IF(AND(B834&lt;&gt;"",C834&lt;&gt;""),SUMIFS(Movimentos!$F$4:$F$9996,Movimentos!$D$4:$D$9996,B834,Movimentos!$C$4:$C$9996,"Entrada")-SUMIFS(Movimentos!$F$4:$F$9996,Movimentos!$D$4:$D$9996,B834,Movimentos!$C$4:$C$9996,"Saída"),""),"")</f>
        <v/>
      </c>
      <c r="F834" s="10" t="str">
        <f t="shared" si="28"/>
        <v/>
      </c>
    </row>
    <row r="835" spans="1:6" x14ac:dyDescent="0.3">
      <c r="A835" s="15" t="str">
        <f t="shared" si="29"/>
        <v>.</v>
      </c>
      <c r="E835" s="13" t="str">
        <f>IFERROR(IF(AND(B835&lt;&gt;"",C835&lt;&gt;""),SUMIFS(Movimentos!$F$4:$F$9996,Movimentos!$D$4:$D$9996,B835,Movimentos!$C$4:$C$9996,"Entrada")-SUMIFS(Movimentos!$F$4:$F$9996,Movimentos!$D$4:$D$9996,B835,Movimentos!$C$4:$C$9996,"Saída"),""),"")</f>
        <v/>
      </c>
      <c r="F835" s="10" t="str">
        <f t="shared" si="28"/>
        <v/>
      </c>
    </row>
    <row r="836" spans="1:6" x14ac:dyDescent="0.3">
      <c r="A836" s="15" t="str">
        <f t="shared" si="29"/>
        <v>.</v>
      </c>
      <c r="E836" s="13" t="str">
        <f>IFERROR(IF(AND(B836&lt;&gt;"",C836&lt;&gt;""),SUMIFS(Movimentos!$F$4:$F$9996,Movimentos!$D$4:$D$9996,B836,Movimentos!$C$4:$C$9996,"Entrada")-SUMIFS(Movimentos!$F$4:$F$9996,Movimentos!$D$4:$D$9996,B836,Movimentos!$C$4:$C$9996,"Saída"),""),"")</f>
        <v/>
      </c>
      <c r="F836" s="10" t="str">
        <f t="shared" si="28"/>
        <v/>
      </c>
    </row>
    <row r="837" spans="1:6" x14ac:dyDescent="0.3">
      <c r="A837" s="15" t="str">
        <f t="shared" si="29"/>
        <v>.</v>
      </c>
      <c r="E837" s="13" t="str">
        <f>IFERROR(IF(AND(B837&lt;&gt;"",C837&lt;&gt;""),SUMIFS(Movimentos!$F$4:$F$9996,Movimentos!$D$4:$D$9996,B837,Movimentos!$C$4:$C$9996,"Entrada")-SUMIFS(Movimentos!$F$4:$F$9996,Movimentos!$D$4:$D$9996,B837,Movimentos!$C$4:$C$9996,"Saída"),""),"")</f>
        <v/>
      </c>
      <c r="F837" s="10" t="str">
        <f t="shared" si="28"/>
        <v/>
      </c>
    </row>
    <row r="838" spans="1:6" x14ac:dyDescent="0.3">
      <c r="A838" s="15" t="str">
        <f t="shared" si="29"/>
        <v>.</v>
      </c>
      <c r="E838" s="13" t="str">
        <f>IFERROR(IF(AND(B838&lt;&gt;"",C838&lt;&gt;""),SUMIFS(Movimentos!$F$4:$F$9996,Movimentos!$D$4:$D$9996,B838,Movimentos!$C$4:$C$9996,"Entrada")-SUMIFS(Movimentos!$F$4:$F$9996,Movimentos!$D$4:$D$9996,B838,Movimentos!$C$4:$C$9996,"Saída"),""),"")</f>
        <v/>
      </c>
      <c r="F838" s="10" t="str">
        <f t="shared" si="28"/>
        <v/>
      </c>
    </row>
    <row r="839" spans="1:6" x14ac:dyDescent="0.3">
      <c r="A839" s="15" t="str">
        <f t="shared" si="29"/>
        <v>.</v>
      </c>
      <c r="E839" s="13" t="str">
        <f>IFERROR(IF(AND(B839&lt;&gt;"",C839&lt;&gt;""),SUMIFS(Movimentos!$F$4:$F$9996,Movimentos!$D$4:$D$9996,B839,Movimentos!$C$4:$C$9996,"Entrada")-SUMIFS(Movimentos!$F$4:$F$9996,Movimentos!$D$4:$D$9996,B839,Movimentos!$C$4:$C$9996,"Saída"),""),"")</f>
        <v/>
      </c>
      <c r="F839" s="10" t="str">
        <f t="shared" si="28"/>
        <v/>
      </c>
    </row>
    <row r="840" spans="1:6" x14ac:dyDescent="0.3">
      <c r="A840" s="15" t="str">
        <f t="shared" si="29"/>
        <v>.</v>
      </c>
      <c r="E840" s="13" t="str">
        <f>IFERROR(IF(AND(B840&lt;&gt;"",C840&lt;&gt;""),SUMIFS(Movimentos!$F$4:$F$9996,Movimentos!$D$4:$D$9996,B840,Movimentos!$C$4:$C$9996,"Entrada")-SUMIFS(Movimentos!$F$4:$F$9996,Movimentos!$D$4:$D$9996,B840,Movimentos!$C$4:$C$9996,"Saída"),""),"")</f>
        <v/>
      </c>
      <c r="F840" s="10" t="str">
        <f t="shared" si="28"/>
        <v/>
      </c>
    </row>
    <row r="841" spans="1:6" x14ac:dyDescent="0.3">
      <c r="A841" s="15" t="str">
        <f t="shared" si="29"/>
        <v>.</v>
      </c>
      <c r="E841" s="13" t="str">
        <f>IFERROR(IF(AND(B841&lt;&gt;"",C841&lt;&gt;""),SUMIFS(Movimentos!$F$4:$F$9996,Movimentos!$D$4:$D$9996,B841,Movimentos!$C$4:$C$9996,"Entrada")-SUMIFS(Movimentos!$F$4:$F$9996,Movimentos!$D$4:$D$9996,B841,Movimentos!$C$4:$C$9996,"Saída"),""),"")</f>
        <v/>
      </c>
      <c r="F841" s="10" t="str">
        <f t="shared" si="28"/>
        <v/>
      </c>
    </row>
    <row r="842" spans="1:6" x14ac:dyDescent="0.3">
      <c r="A842" s="15" t="str">
        <f t="shared" si="29"/>
        <v>.</v>
      </c>
      <c r="E842" s="13" t="str">
        <f>IFERROR(IF(AND(B842&lt;&gt;"",C842&lt;&gt;""),SUMIFS(Movimentos!$F$4:$F$9996,Movimentos!$D$4:$D$9996,B842,Movimentos!$C$4:$C$9996,"Entrada")-SUMIFS(Movimentos!$F$4:$F$9996,Movimentos!$D$4:$D$9996,B842,Movimentos!$C$4:$C$9996,"Saída"),""),"")</f>
        <v/>
      </c>
      <c r="F842" s="10" t="str">
        <f t="shared" si="28"/>
        <v/>
      </c>
    </row>
    <row r="843" spans="1:6" x14ac:dyDescent="0.3">
      <c r="A843" s="15" t="str">
        <f t="shared" si="29"/>
        <v>.</v>
      </c>
      <c r="E843" s="13" t="str">
        <f>IFERROR(IF(AND(B843&lt;&gt;"",C843&lt;&gt;""),SUMIFS(Movimentos!$F$4:$F$9996,Movimentos!$D$4:$D$9996,B843,Movimentos!$C$4:$C$9996,"Entrada")-SUMIFS(Movimentos!$F$4:$F$9996,Movimentos!$D$4:$D$9996,B843,Movimentos!$C$4:$C$9996,"Saída"),""),"")</f>
        <v/>
      </c>
      <c r="F843" s="10" t="str">
        <f t="shared" si="28"/>
        <v/>
      </c>
    </row>
    <row r="844" spans="1:6" x14ac:dyDescent="0.3">
      <c r="A844" s="15" t="str">
        <f t="shared" si="29"/>
        <v>.</v>
      </c>
      <c r="E844" s="13" t="str">
        <f>IFERROR(IF(AND(B844&lt;&gt;"",C844&lt;&gt;""),SUMIFS(Movimentos!$F$4:$F$9996,Movimentos!$D$4:$D$9996,B844,Movimentos!$C$4:$C$9996,"Entrada")-SUMIFS(Movimentos!$F$4:$F$9996,Movimentos!$D$4:$D$9996,B844,Movimentos!$C$4:$C$9996,"Saída"),""),"")</f>
        <v/>
      </c>
      <c r="F844" s="10" t="str">
        <f t="shared" si="28"/>
        <v/>
      </c>
    </row>
    <row r="845" spans="1:6" x14ac:dyDescent="0.3">
      <c r="A845" s="15" t="str">
        <f t="shared" si="29"/>
        <v>.</v>
      </c>
      <c r="E845" s="13" t="str">
        <f>IFERROR(IF(AND(B845&lt;&gt;"",C845&lt;&gt;""),SUMIFS(Movimentos!$F$4:$F$9996,Movimentos!$D$4:$D$9996,B845,Movimentos!$C$4:$C$9996,"Entrada")-SUMIFS(Movimentos!$F$4:$F$9996,Movimentos!$D$4:$D$9996,B845,Movimentos!$C$4:$C$9996,"Saída"),""),"")</f>
        <v/>
      </c>
      <c r="F845" s="10" t="str">
        <f t="shared" si="28"/>
        <v/>
      </c>
    </row>
    <row r="846" spans="1:6" x14ac:dyDescent="0.3">
      <c r="A846" s="15" t="str">
        <f t="shared" si="29"/>
        <v>.</v>
      </c>
      <c r="E846" s="13" t="str">
        <f>IFERROR(IF(AND(B846&lt;&gt;"",C846&lt;&gt;""),SUMIFS(Movimentos!$F$4:$F$9996,Movimentos!$D$4:$D$9996,B846,Movimentos!$C$4:$C$9996,"Entrada")-SUMIFS(Movimentos!$F$4:$F$9996,Movimentos!$D$4:$D$9996,B846,Movimentos!$C$4:$C$9996,"Saída"),""),"")</f>
        <v/>
      </c>
      <c r="F846" s="10" t="str">
        <f t="shared" si="28"/>
        <v/>
      </c>
    </row>
    <row r="847" spans="1:6" x14ac:dyDescent="0.3">
      <c r="A847" s="15" t="str">
        <f t="shared" si="29"/>
        <v>.</v>
      </c>
      <c r="E847" s="13" t="str">
        <f>IFERROR(IF(AND(B847&lt;&gt;"",C847&lt;&gt;""),SUMIFS(Movimentos!$F$4:$F$9996,Movimentos!$D$4:$D$9996,B847,Movimentos!$C$4:$C$9996,"Entrada")-SUMIFS(Movimentos!$F$4:$F$9996,Movimentos!$D$4:$D$9996,B847,Movimentos!$C$4:$C$9996,"Saída"),""),"")</f>
        <v/>
      </c>
      <c r="F847" s="10" t="str">
        <f t="shared" si="28"/>
        <v/>
      </c>
    </row>
    <row r="848" spans="1:6" x14ac:dyDescent="0.3">
      <c r="A848" s="15" t="str">
        <f t="shared" si="29"/>
        <v>.</v>
      </c>
      <c r="E848" s="13" t="str">
        <f>IFERROR(IF(AND(B848&lt;&gt;"",C848&lt;&gt;""),SUMIFS(Movimentos!$F$4:$F$9996,Movimentos!$D$4:$D$9996,B848,Movimentos!$C$4:$C$9996,"Entrada")-SUMIFS(Movimentos!$F$4:$F$9996,Movimentos!$D$4:$D$9996,B848,Movimentos!$C$4:$C$9996,"Saída"),""),"")</f>
        <v/>
      </c>
      <c r="F848" s="10" t="str">
        <f t="shared" si="28"/>
        <v/>
      </c>
    </row>
    <row r="849" spans="1:6" x14ac:dyDescent="0.3">
      <c r="A849" s="15" t="str">
        <f t="shared" si="29"/>
        <v>.</v>
      </c>
      <c r="E849" s="13" t="str">
        <f>IFERROR(IF(AND(B849&lt;&gt;"",C849&lt;&gt;""),SUMIFS(Movimentos!$F$4:$F$9996,Movimentos!$D$4:$D$9996,B849,Movimentos!$C$4:$C$9996,"Entrada")-SUMIFS(Movimentos!$F$4:$F$9996,Movimentos!$D$4:$D$9996,B849,Movimentos!$C$4:$C$9996,"Saída"),""),"")</f>
        <v/>
      </c>
      <c r="F849" s="10" t="str">
        <f t="shared" si="28"/>
        <v/>
      </c>
    </row>
    <row r="850" spans="1:6" x14ac:dyDescent="0.3">
      <c r="A850" s="15" t="str">
        <f t="shared" si="29"/>
        <v>.</v>
      </c>
      <c r="E850" s="13" t="str">
        <f>IFERROR(IF(AND(B850&lt;&gt;"",C850&lt;&gt;""),SUMIFS(Movimentos!$F$4:$F$9996,Movimentos!$D$4:$D$9996,B850,Movimentos!$C$4:$C$9996,"Entrada")-SUMIFS(Movimentos!$F$4:$F$9996,Movimentos!$D$4:$D$9996,B850,Movimentos!$C$4:$C$9996,"Saída"),""),"")</f>
        <v/>
      </c>
      <c r="F850" s="10" t="str">
        <f t="shared" si="28"/>
        <v/>
      </c>
    </row>
    <row r="851" spans="1:6" x14ac:dyDescent="0.3">
      <c r="A851" s="15" t="str">
        <f t="shared" si="29"/>
        <v>.</v>
      </c>
      <c r="E851" s="13" t="str">
        <f>IFERROR(IF(AND(B851&lt;&gt;"",C851&lt;&gt;""),SUMIFS(Movimentos!$F$4:$F$9996,Movimentos!$D$4:$D$9996,B851,Movimentos!$C$4:$C$9996,"Entrada")-SUMIFS(Movimentos!$F$4:$F$9996,Movimentos!$D$4:$D$9996,B851,Movimentos!$C$4:$C$9996,"Saída"),""),"")</f>
        <v/>
      </c>
      <c r="F851" s="10" t="str">
        <f t="shared" si="28"/>
        <v/>
      </c>
    </row>
    <row r="852" spans="1:6" x14ac:dyDescent="0.3">
      <c r="A852" s="15" t="str">
        <f t="shared" si="29"/>
        <v>.</v>
      </c>
      <c r="E852" s="13" t="str">
        <f>IFERROR(IF(AND(B852&lt;&gt;"",C852&lt;&gt;""),SUMIFS(Movimentos!$F$4:$F$9996,Movimentos!$D$4:$D$9996,B852,Movimentos!$C$4:$C$9996,"Entrada")-SUMIFS(Movimentos!$F$4:$F$9996,Movimentos!$D$4:$D$9996,B852,Movimentos!$C$4:$C$9996,"Saída"),""),"")</f>
        <v/>
      </c>
      <c r="F852" s="10" t="str">
        <f t="shared" si="28"/>
        <v/>
      </c>
    </row>
    <row r="853" spans="1:6" x14ac:dyDescent="0.3">
      <c r="A853" s="15" t="str">
        <f t="shared" si="29"/>
        <v>.</v>
      </c>
      <c r="E853" s="13" t="str">
        <f>IFERROR(IF(AND(B853&lt;&gt;"",C853&lt;&gt;""),SUMIFS(Movimentos!$F$4:$F$9996,Movimentos!$D$4:$D$9996,B853,Movimentos!$C$4:$C$9996,"Entrada")-SUMIFS(Movimentos!$F$4:$F$9996,Movimentos!$D$4:$D$9996,B853,Movimentos!$C$4:$C$9996,"Saída"),""),"")</f>
        <v/>
      </c>
      <c r="F853" s="10" t="str">
        <f t="shared" si="28"/>
        <v/>
      </c>
    </row>
    <row r="854" spans="1:6" x14ac:dyDescent="0.3">
      <c r="A854" s="15" t="str">
        <f t="shared" si="29"/>
        <v>.</v>
      </c>
      <c r="E854" s="13" t="str">
        <f>IFERROR(IF(AND(B854&lt;&gt;"",C854&lt;&gt;""),SUMIFS(Movimentos!$F$4:$F$9996,Movimentos!$D$4:$D$9996,B854,Movimentos!$C$4:$C$9996,"Entrada")-SUMIFS(Movimentos!$F$4:$F$9996,Movimentos!$D$4:$D$9996,B854,Movimentos!$C$4:$C$9996,"Saída"),""),"")</f>
        <v/>
      </c>
      <c r="F854" s="10" t="str">
        <f t="shared" si="28"/>
        <v/>
      </c>
    </row>
    <row r="855" spans="1:6" x14ac:dyDescent="0.3">
      <c r="A855" s="15" t="str">
        <f t="shared" si="29"/>
        <v>.</v>
      </c>
      <c r="E855" s="13" t="str">
        <f>IFERROR(IF(AND(B855&lt;&gt;"",C855&lt;&gt;""),SUMIFS(Movimentos!$F$4:$F$9996,Movimentos!$D$4:$D$9996,B855,Movimentos!$C$4:$C$9996,"Entrada")-SUMIFS(Movimentos!$F$4:$F$9996,Movimentos!$D$4:$D$9996,B855,Movimentos!$C$4:$C$9996,"Saída"),""),"")</f>
        <v/>
      </c>
      <c r="F855" s="10" t="str">
        <f t="shared" ref="F855:F918" si="30">IF(AND(B855&lt;&gt;"",C855&lt;&gt;""),IF(E855=0,"Saldo zerado",IF(E855&lt;D855,"Saldo abaixo do mínimo","Saldo disponível")),"")</f>
        <v/>
      </c>
    </row>
    <row r="856" spans="1:6" x14ac:dyDescent="0.3">
      <c r="A856" s="15" t="str">
        <f t="shared" si="29"/>
        <v>.</v>
      </c>
      <c r="E856" s="13" t="str">
        <f>IFERROR(IF(AND(B856&lt;&gt;"",C856&lt;&gt;""),SUMIFS(Movimentos!$F$4:$F$9996,Movimentos!$D$4:$D$9996,B856,Movimentos!$C$4:$C$9996,"Entrada")-SUMIFS(Movimentos!$F$4:$F$9996,Movimentos!$D$4:$D$9996,B856,Movimentos!$C$4:$C$9996,"Saída"),""),"")</f>
        <v/>
      </c>
      <c r="F856" s="10" t="str">
        <f t="shared" si="30"/>
        <v/>
      </c>
    </row>
    <row r="857" spans="1:6" x14ac:dyDescent="0.3">
      <c r="A857" s="15" t="str">
        <f t="shared" si="29"/>
        <v>.</v>
      </c>
      <c r="E857" s="13" t="str">
        <f>IFERROR(IF(AND(B857&lt;&gt;"",C857&lt;&gt;""),SUMIFS(Movimentos!$F$4:$F$9996,Movimentos!$D$4:$D$9996,B857,Movimentos!$C$4:$C$9996,"Entrada")-SUMIFS(Movimentos!$F$4:$F$9996,Movimentos!$D$4:$D$9996,B857,Movimentos!$C$4:$C$9996,"Saída"),""),"")</f>
        <v/>
      </c>
      <c r="F857" s="10" t="str">
        <f t="shared" si="30"/>
        <v/>
      </c>
    </row>
    <row r="858" spans="1:6" x14ac:dyDescent="0.3">
      <c r="A858" s="15" t="str">
        <f t="shared" si="29"/>
        <v>.</v>
      </c>
      <c r="E858" s="13" t="str">
        <f>IFERROR(IF(AND(B858&lt;&gt;"",C858&lt;&gt;""),SUMIFS(Movimentos!$F$4:$F$9996,Movimentos!$D$4:$D$9996,B858,Movimentos!$C$4:$C$9996,"Entrada")-SUMIFS(Movimentos!$F$4:$F$9996,Movimentos!$D$4:$D$9996,B858,Movimentos!$C$4:$C$9996,"Saída"),""),"")</f>
        <v/>
      </c>
      <c r="F858" s="10" t="str">
        <f t="shared" si="30"/>
        <v/>
      </c>
    </row>
    <row r="859" spans="1:6" x14ac:dyDescent="0.3">
      <c r="A859" s="15" t="str">
        <f t="shared" si="29"/>
        <v>.</v>
      </c>
      <c r="E859" s="13" t="str">
        <f>IFERROR(IF(AND(B859&lt;&gt;"",C859&lt;&gt;""),SUMIFS(Movimentos!$F$4:$F$9996,Movimentos!$D$4:$D$9996,B859,Movimentos!$C$4:$C$9996,"Entrada")-SUMIFS(Movimentos!$F$4:$F$9996,Movimentos!$D$4:$D$9996,B859,Movimentos!$C$4:$C$9996,"Saída"),""),"")</f>
        <v/>
      </c>
      <c r="F859" s="10" t="str">
        <f t="shared" si="30"/>
        <v/>
      </c>
    </row>
    <row r="860" spans="1:6" x14ac:dyDescent="0.3">
      <c r="A860" s="15" t="str">
        <f t="shared" si="29"/>
        <v>.</v>
      </c>
      <c r="E860" s="13" t="str">
        <f>IFERROR(IF(AND(B860&lt;&gt;"",C860&lt;&gt;""),SUMIFS(Movimentos!$F$4:$F$9996,Movimentos!$D$4:$D$9996,B860,Movimentos!$C$4:$C$9996,"Entrada")-SUMIFS(Movimentos!$F$4:$F$9996,Movimentos!$D$4:$D$9996,B860,Movimentos!$C$4:$C$9996,"Saída"),""),"")</f>
        <v/>
      </c>
      <c r="F860" s="10" t="str">
        <f t="shared" si="30"/>
        <v/>
      </c>
    </row>
    <row r="861" spans="1:6" x14ac:dyDescent="0.3">
      <c r="A861" s="15" t="str">
        <f t="shared" si="29"/>
        <v>.</v>
      </c>
      <c r="E861" s="13" t="str">
        <f>IFERROR(IF(AND(B861&lt;&gt;"",C861&lt;&gt;""),SUMIFS(Movimentos!$F$4:$F$9996,Movimentos!$D$4:$D$9996,B861,Movimentos!$C$4:$C$9996,"Entrada")-SUMIFS(Movimentos!$F$4:$F$9996,Movimentos!$D$4:$D$9996,B861,Movimentos!$C$4:$C$9996,"Saída"),""),"")</f>
        <v/>
      </c>
      <c r="F861" s="10" t="str">
        <f t="shared" si="30"/>
        <v/>
      </c>
    </row>
    <row r="862" spans="1:6" x14ac:dyDescent="0.3">
      <c r="A862" s="15" t="str">
        <f t="shared" si="29"/>
        <v>.</v>
      </c>
      <c r="E862" s="13" t="str">
        <f>IFERROR(IF(AND(B862&lt;&gt;"",C862&lt;&gt;""),SUMIFS(Movimentos!$F$4:$F$9996,Movimentos!$D$4:$D$9996,B862,Movimentos!$C$4:$C$9996,"Entrada")-SUMIFS(Movimentos!$F$4:$F$9996,Movimentos!$D$4:$D$9996,B862,Movimentos!$C$4:$C$9996,"Saída"),""),"")</f>
        <v/>
      </c>
      <c r="F862" s="10" t="str">
        <f t="shared" si="30"/>
        <v/>
      </c>
    </row>
    <row r="863" spans="1:6" x14ac:dyDescent="0.3">
      <c r="A863" s="15" t="str">
        <f t="shared" si="29"/>
        <v>.</v>
      </c>
      <c r="E863" s="13" t="str">
        <f>IFERROR(IF(AND(B863&lt;&gt;"",C863&lt;&gt;""),SUMIFS(Movimentos!$F$4:$F$9996,Movimentos!$D$4:$D$9996,B863,Movimentos!$C$4:$C$9996,"Entrada")-SUMIFS(Movimentos!$F$4:$F$9996,Movimentos!$D$4:$D$9996,B863,Movimentos!$C$4:$C$9996,"Saída"),""),"")</f>
        <v/>
      </c>
      <c r="F863" s="10" t="str">
        <f t="shared" si="30"/>
        <v/>
      </c>
    </row>
    <row r="864" spans="1:6" x14ac:dyDescent="0.3">
      <c r="A864" s="15" t="str">
        <f t="shared" si="29"/>
        <v>.</v>
      </c>
      <c r="E864" s="13" t="str">
        <f>IFERROR(IF(AND(B864&lt;&gt;"",C864&lt;&gt;""),SUMIFS(Movimentos!$F$4:$F$9996,Movimentos!$D$4:$D$9996,B864,Movimentos!$C$4:$C$9996,"Entrada")-SUMIFS(Movimentos!$F$4:$F$9996,Movimentos!$D$4:$D$9996,B864,Movimentos!$C$4:$C$9996,"Saída"),""),"")</f>
        <v/>
      </c>
      <c r="F864" s="10" t="str">
        <f t="shared" si="30"/>
        <v/>
      </c>
    </row>
    <row r="865" spans="1:6" x14ac:dyDescent="0.3">
      <c r="A865" s="15" t="str">
        <f t="shared" si="29"/>
        <v>.</v>
      </c>
      <c r="E865" s="13" t="str">
        <f>IFERROR(IF(AND(B865&lt;&gt;"",C865&lt;&gt;""),SUMIFS(Movimentos!$F$4:$F$9996,Movimentos!$D$4:$D$9996,B865,Movimentos!$C$4:$C$9996,"Entrada")-SUMIFS(Movimentos!$F$4:$F$9996,Movimentos!$D$4:$D$9996,B865,Movimentos!$C$4:$C$9996,"Saída"),""),"")</f>
        <v/>
      </c>
      <c r="F865" s="10" t="str">
        <f t="shared" si="30"/>
        <v/>
      </c>
    </row>
    <row r="866" spans="1:6" x14ac:dyDescent="0.3">
      <c r="A866" s="15" t="str">
        <f t="shared" si="29"/>
        <v>.</v>
      </c>
      <c r="E866" s="13" t="str">
        <f>IFERROR(IF(AND(B866&lt;&gt;"",C866&lt;&gt;""),SUMIFS(Movimentos!$F$4:$F$9996,Movimentos!$D$4:$D$9996,B866,Movimentos!$C$4:$C$9996,"Entrada")-SUMIFS(Movimentos!$F$4:$F$9996,Movimentos!$D$4:$D$9996,B866,Movimentos!$C$4:$C$9996,"Saída"),""),"")</f>
        <v/>
      </c>
      <c r="F866" s="10" t="str">
        <f t="shared" si="30"/>
        <v/>
      </c>
    </row>
    <row r="867" spans="1:6" x14ac:dyDescent="0.3">
      <c r="A867" s="15" t="str">
        <f t="shared" si="29"/>
        <v>.</v>
      </c>
      <c r="E867" s="13" t="str">
        <f>IFERROR(IF(AND(B867&lt;&gt;"",C867&lt;&gt;""),SUMIFS(Movimentos!$F$4:$F$9996,Movimentos!$D$4:$D$9996,B867,Movimentos!$C$4:$C$9996,"Entrada")-SUMIFS(Movimentos!$F$4:$F$9996,Movimentos!$D$4:$D$9996,B867,Movimentos!$C$4:$C$9996,"Saída"),""),"")</f>
        <v/>
      </c>
      <c r="F867" s="10" t="str">
        <f t="shared" si="30"/>
        <v/>
      </c>
    </row>
    <row r="868" spans="1:6" x14ac:dyDescent="0.3">
      <c r="A868" s="15" t="str">
        <f t="shared" si="29"/>
        <v>.</v>
      </c>
      <c r="E868" s="13" t="str">
        <f>IFERROR(IF(AND(B868&lt;&gt;"",C868&lt;&gt;""),SUMIFS(Movimentos!$F$4:$F$9996,Movimentos!$D$4:$D$9996,B868,Movimentos!$C$4:$C$9996,"Entrada")-SUMIFS(Movimentos!$F$4:$F$9996,Movimentos!$D$4:$D$9996,B868,Movimentos!$C$4:$C$9996,"Saída"),""),"")</f>
        <v/>
      </c>
      <c r="F868" s="10" t="str">
        <f t="shared" si="30"/>
        <v/>
      </c>
    </row>
    <row r="869" spans="1:6" x14ac:dyDescent="0.3">
      <c r="A869" s="15" t="str">
        <f t="shared" si="29"/>
        <v>.</v>
      </c>
      <c r="E869" s="13" t="str">
        <f>IFERROR(IF(AND(B869&lt;&gt;"",C869&lt;&gt;""),SUMIFS(Movimentos!$F$4:$F$9996,Movimentos!$D$4:$D$9996,B869,Movimentos!$C$4:$C$9996,"Entrada")-SUMIFS(Movimentos!$F$4:$F$9996,Movimentos!$D$4:$D$9996,B869,Movimentos!$C$4:$C$9996,"Saída"),""),"")</f>
        <v/>
      </c>
      <c r="F869" s="10" t="str">
        <f t="shared" si="30"/>
        <v/>
      </c>
    </row>
    <row r="870" spans="1:6" x14ac:dyDescent="0.3">
      <c r="A870" s="15" t="str">
        <f t="shared" si="29"/>
        <v>.</v>
      </c>
      <c r="E870" s="13" t="str">
        <f>IFERROR(IF(AND(B870&lt;&gt;"",C870&lt;&gt;""),SUMIFS(Movimentos!$F$4:$F$9996,Movimentos!$D$4:$D$9996,B870,Movimentos!$C$4:$C$9996,"Entrada")-SUMIFS(Movimentos!$F$4:$F$9996,Movimentos!$D$4:$D$9996,B870,Movimentos!$C$4:$C$9996,"Saída"),""),"")</f>
        <v/>
      </c>
      <c r="F870" s="10" t="str">
        <f t="shared" si="30"/>
        <v/>
      </c>
    </row>
    <row r="871" spans="1:6" x14ac:dyDescent="0.3">
      <c r="A871" s="15" t="str">
        <f t="shared" si="29"/>
        <v>.</v>
      </c>
      <c r="E871" s="13" t="str">
        <f>IFERROR(IF(AND(B871&lt;&gt;"",C871&lt;&gt;""),SUMIFS(Movimentos!$F$4:$F$9996,Movimentos!$D$4:$D$9996,B871,Movimentos!$C$4:$C$9996,"Entrada")-SUMIFS(Movimentos!$F$4:$F$9996,Movimentos!$D$4:$D$9996,B871,Movimentos!$C$4:$C$9996,"Saída"),""),"")</f>
        <v/>
      </c>
      <c r="F871" s="10" t="str">
        <f t="shared" si="30"/>
        <v/>
      </c>
    </row>
    <row r="872" spans="1:6" x14ac:dyDescent="0.3">
      <c r="A872" s="15" t="str">
        <f t="shared" si="29"/>
        <v>.</v>
      </c>
      <c r="E872" s="13" t="str">
        <f>IFERROR(IF(AND(B872&lt;&gt;"",C872&lt;&gt;""),SUMIFS(Movimentos!$F$4:$F$9996,Movimentos!$D$4:$D$9996,B872,Movimentos!$C$4:$C$9996,"Entrada")-SUMIFS(Movimentos!$F$4:$F$9996,Movimentos!$D$4:$D$9996,B872,Movimentos!$C$4:$C$9996,"Saída"),""),"")</f>
        <v/>
      </c>
      <c r="F872" s="10" t="str">
        <f t="shared" si="30"/>
        <v/>
      </c>
    </row>
    <row r="873" spans="1:6" x14ac:dyDescent="0.3">
      <c r="A873" s="15" t="str">
        <f t="shared" si="29"/>
        <v>.</v>
      </c>
      <c r="E873" s="13" t="str">
        <f>IFERROR(IF(AND(B873&lt;&gt;"",C873&lt;&gt;""),SUMIFS(Movimentos!$F$4:$F$9996,Movimentos!$D$4:$D$9996,B873,Movimentos!$C$4:$C$9996,"Entrada")-SUMIFS(Movimentos!$F$4:$F$9996,Movimentos!$D$4:$D$9996,B873,Movimentos!$C$4:$C$9996,"Saída"),""),"")</f>
        <v/>
      </c>
      <c r="F873" s="10" t="str">
        <f t="shared" si="30"/>
        <v/>
      </c>
    </row>
    <row r="874" spans="1:6" x14ac:dyDescent="0.3">
      <c r="A874" s="15" t="str">
        <f t="shared" si="29"/>
        <v>.</v>
      </c>
      <c r="E874" s="13" t="str">
        <f>IFERROR(IF(AND(B874&lt;&gt;"",C874&lt;&gt;""),SUMIFS(Movimentos!$F$4:$F$9996,Movimentos!$D$4:$D$9996,B874,Movimentos!$C$4:$C$9996,"Entrada")-SUMIFS(Movimentos!$F$4:$F$9996,Movimentos!$D$4:$D$9996,B874,Movimentos!$C$4:$C$9996,"Saída"),""),"")</f>
        <v/>
      </c>
      <c r="F874" s="10" t="str">
        <f t="shared" si="30"/>
        <v/>
      </c>
    </row>
    <row r="875" spans="1:6" x14ac:dyDescent="0.3">
      <c r="A875" s="15" t="str">
        <f t="shared" si="29"/>
        <v>.</v>
      </c>
      <c r="E875" s="13" t="str">
        <f>IFERROR(IF(AND(B875&lt;&gt;"",C875&lt;&gt;""),SUMIFS(Movimentos!$F$4:$F$9996,Movimentos!$D$4:$D$9996,B875,Movimentos!$C$4:$C$9996,"Entrada")-SUMIFS(Movimentos!$F$4:$F$9996,Movimentos!$D$4:$D$9996,B875,Movimentos!$C$4:$C$9996,"Saída"),""),"")</f>
        <v/>
      </c>
      <c r="F875" s="10" t="str">
        <f t="shared" si="30"/>
        <v/>
      </c>
    </row>
    <row r="876" spans="1:6" x14ac:dyDescent="0.3">
      <c r="A876" s="15" t="str">
        <f t="shared" si="29"/>
        <v>.</v>
      </c>
      <c r="E876" s="13" t="str">
        <f>IFERROR(IF(AND(B876&lt;&gt;"",C876&lt;&gt;""),SUMIFS(Movimentos!$F$4:$F$9996,Movimentos!$D$4:$D$9996,B876,Movimentos!$C$4:$C$9996,"Entrada")-SUMIFS(Movimentos!$F$4:$F$9996,Movimentos!$D$4:$D$9996,B876,Movimentos!$C$4:$C$9996,"Saída"),""),"")</f>
        <v/>
      </c>
      <c r="F876" s="10" t="str">
        <f t="shared" si="30"/>
        <v/>
      </c>
    </row>
    <row r="877" spans="1:6" x14ac:dyDescent="0.3">
      <c r="A877" s="15" t="str">
        <f t="shared" si="29"/>
        <v>.</v>
      </c>
      <c r="E877" s="13" t="str">
        <f>IFERROR(IF(AND(B877&lt;&gt;"",C877&lt;&gt;""),SUMIFS(Movimentos!$F$4:$F$9996,Movimentos!$D$4:$D$9996,B877,Movimentos!$C$4:$C$9996,"Entrada")-SUMIFS(Movimentos!$F$4:$F$9996,Movimentos!$D$4:$D$9996,B877,Movimentos!$C$4:$C$9996,"Saída"),""),"")</f>
        <v/>
      </c>
      <c r="F877" s="10" t="str">
        <f t="shared" si="30"/>
        <v/>
      </c>
    </row>
    <row r="878" spans="1:6" x14ac:dyDescent="0.3">
      <c r="A878" s="15" t="str">
        <f t="shared" si="29"/>
        <v>.</v>
      </c>
      <c r="E878" s="13" t="str">
        <f>IFERROR(IF(AND(B878&lt;&gt;"",C878&lt;&gt;""),SUMIFS(Movimentos!$F$4:$F$9996,Movimentos!$D$4:$D$9996,B878,Movimentos!$C$4:$C$9996,"Entrada")-SUMIFS(Movimentos!$F$4:$F$9996,Movimentos!$D$4:$D$9996,B878,Movimentos!$C$4:$C$9996,"Saída"),""),"")</f>
        <v/>
      </c>
      <c r="F878" s="10" t="str">
        <f t="shared" si="30"/>
        <v/>
      </c>
    </row>
    <row r="879" spans="1:6" x14ac:dyDescent="0.3">
      <c r="A879" s="15" t="str">
        <f t="shared" si="29"/>
        <v>.</v>
      </c>
      <c r="E879" s="13" t="str">
        <f>IFERROR(IF(AND(B879&lt;&gt;"",C879&lt;&gt;""),SUMIFS(Movimentos!$F$4:$F$9996,Movimentos!$D$4:$D$9996,B879,Movimentos!$C$4:$C$9996,"Entrada")-SUMIFS(Movimentos!$F$4:$F$9996,Movimentos!$D$4:$D$9996,B879,Movimentos!$C$4:$C$9996,"Saída"),""),"")</f>
        <v/>
      </c>
      <c r="F879" s="10" t="str">
        <f t="shared" si="30"/>
        <v/>
      </c>
    </row>
    <row r="880" spans="1:6" x14ac:dyDescent="0.3">
      <c r="A880" s="15" t="str">
        <f t="shared" si="29"/>
        <v>.</v>
      </c>
      <c r="E880" s="13" t="str">
        <f>IFERROR(IF(AND(B880&lt;&gt;"",C880&lt;&gt;""),SUMIFS(Movimentos!$F$4:$F$9996,Movimentos!$D$4:$D$9996,B880,Movimentos!$C$4:$C$9996,"Entrada")-SUMIFS(Movimentos!$F$4:$F$9996,Movimentos!$D$4:$D$9996,B880,Movimentos!$C$4:$C$9996,"Saída"),""),"")</f>
        <v/>
      </c>
      <c r="F880" s="10" t="str">
        <f t="shared" si="30"/>
        <v/>
      </c>
    </row>
    <row r="881" spans="1:6" x14ac:dyDescent="0.3">
      <c r="A881" s="15" t="str">
        <f t="shared" si="29"/>
        <v>.</v>
      </c>
      <c r="E881" s="13" t="str">
        <f>IFERROR(IF(AND(B881&lt;&gt;"",C881&lt;&gt;""),SUMIFS(Movimentos!$F$4:$F$9996,Movimentos!$D$4:$D$9996,B881,Movimentos!$C$4:$C$9996,"Entrada")-SUMIFS(Movimentos!$F$4:$F$9996,Movimentos!$D$4:$D$9996,B881,Movimentos!$C$4:$C$9996,"Saída"),""),"")</f>
        <v/>
      </c>
      <c r="F881" s="10" t="str">
        <f t="shared" si="30"/>
        <v/>
      </c>
    </row>
    <row r="882" spans="1:6" x14ac:dyDescent="0.3">
      <c r="A882" s="15" t="str">
        <f t="shared" si="29"/>
        <v>.</v>
      </c>
      <c r="E882" s="13" t="str">
        <f>IFERROR(IF(AND(B882&lt;&gt;"",C882&lt;&gt;""),SUMIFS(Movimentos!$F$4:$F$9996,Movimentos!$D$4:$D$9996,B882,Movimentos!$C$4:$C$9996,"Entrada")-SUMIFS(Movimentos!$F$4:$F$9996,Movimentos!$D$4:$D$9996,B882,Movimentos!$C$4:$C$9996,"Saída"),""),"")</f>
        <v/>
      </c>
      <c r="F882" s="10" t="str">
        <f t="shared" si="30"/>
        <v/>
      </c>
    </row>
    <row r="883" spans="1:6" x14ac:dyDescent="0.3">
      <c r="A883" s="15" t="str">
        <f t="shared" si="29"/>
        <v>.</v>
      </c>
      <c r="E883" s="13" t="str">
        <f>IFERROR(IF(AND(B883&lt;&gt;"",C883&lt;&gt;""),SUMIFS(Movimentos!$F$4:$F$9996,Movimentos!$D$4:$D$9996,B883,Movimentos!$C$4:$C$9996,"Entrada")-SUMIFS(Movimentos!$F$4:$F$9996,Movimentos!$D$4:$D$9996,B883,Movimentos!$C$4:$C$9996,"Saída"),""),"")</f>
        <v/>
      </c>
      <c r="F883" s="10" t="str">
        <f t="shared" si="30"/>
        <v/>
      </c>
    </row>
    <row r="884" spans="1:6" x14ac:dyDescent="0.3">
      <c r="A884" s="15" t="str">
        <f t="shared" si="29"/>
        <v>.</v>
      </c>
      <c r="E884" s="13" t="str">
        <f>IFERROR(IF(AND(B884&lt;&gt;"",C884&lt;&gt;""),SUMIFS(Movimentos!$F$4:$F$9996,Movimentos!$D$4:$D$9996,B884,Movimentos!$C$4:$C$9996,"Entrada")-SUMIFS(Movimentos!$F$4:$F$9996,Movimentos!$D$4:$D$9996,B884,Movimentos!$C$4:$C$9996,"Saída"),""),"")</f>
        <v/>
      </c>
      <c r="F884" s="10" t="str">
        <f t="shared" si="30"/>
        <v/>
      </c>
    </row>
    <row r="885" spans="1:6" x14ac:dyDescent="0.3">
      <c r="A885" s="15" t="str">
        <f t="shared" si="29"/>
        <v>.</v>
      </c>
      <c r="E885" s="13" t="str">
        <f>IFERROR(IF(AND(B885&lt;&gt;"",C885&lt;&gt;""),SUMIFS(Movimentos!$F$4:$F$9996,Movimentos!$D$4:$D$9996,B885,Movimentos!$C$4:$C$9996,"Entrada")-SUMIFS(Movimentos!$F$4:$F$9996,Movimentos!$D$4:$D$9996,B885,Movimentos!$C$4:$C$9996,"Saída"),""),"")</f>
        <v/>
      </c>
      <c r="F885" s="10" t="str">
        <f t="shared" si="30"/>
        <v/>
      </c>
    </row>
    <row r="886" spans="1:6" x14ac:dyDescent="0.3">
      <c r="A886" s="15" t="str">
        <f t="shared" si="29"/>
        <v>.</v>
      </c>
      <c r="E886" s="13" t="str">
        <f>IFERROR(IF(AND(B886&lt;&gt;"",C886&lt;&gt;""),SUMIFS(Movimentos!$F$4:$F$9996,Movimentos!$D$4:$D$9996,B886,Movimentos!$C$4:$C$9996,"Entrada")-SUMIFS(Movimentos!$F$4:$F$9996,Movimentos!$D$4:$D$9996,B886,Movimentos!$C$4:$C$9996,"Saída"),""),"")</f>
        <v/>
      </c>
      <c r="F886" s="10" t="str">
        <f t="shared" si="30"/>
        <v/>
      </c>
    </row>
    <row r="887" spans="1:6" x14ac:dyDescent="0.3">
      <c r="A887" s="15" t="str">
        <f t="shared" si="29"/>
        <v>.</v>
      </c>
      <c r="E887" s="13" t="str">
        <f>IFERROR(IF(AND(B887&lt;&gt;"",C887&lt;&gt;""),SUMIFS(Movimentos!$F$4:$F$9996,Movimentos!$D$4:$D$9996,B887,Movimentos!$C$4:$C$9996,"Entrada")-SUMIFS(Movimentos!$F$4:$F$9996,Movimentos!$D$4:$D$9996,B887,Movimentos!$C$4:$C$9996,"Saída"),""),"")</f>
        <v/>
      </c>
      <c r="F887" s="10" t="str">
        <f t="shared" si="30"/>
        <v/>
      </c>
    </row>
    <row r="888" spans="1:6" x14ac:dyDescent="0.3">
      <c r="A888" s="15" t="str">
        <f t="shared" si="29"/>
        <v>.</v>
      </c>
      <c r="E888" s="13" t="str">
        <f>IFERROR(IF(AND(B888&lt;&gt;"",C888&lt;&gt;""),SUMIFS(Movimentos!$F$4:$F$9996,Movimentos!$D$4:$D$9996,B888,Movimentos!$C$4:$C$9996,"Entrada")-SUMIFS(Movimentos!$F$4:$F$9996,Movimentos!$D$4:$D$9996,B888,Movimentos!$C$4:$C$9996,"Saída"),""),"")</f>
        <v/>
      </c>
      <c r="F888" s="10" t="str">
        <f t="shared" si="30"/>
        <v/>
      </c>
    </row>
    <row r="889" spans="1:6" x14ac:dyDescent="0.3">
      <c r="A889" s="15" t="str">
        <f t="shared" si="29"/>
        <v>.</v>
      </c>
      <c r="E889" s="13" t="str">
        <f>IFERROR(IF(AND(B889&lt;&gt;"",C889&lt;&gt;""),SUMIFS(Movimentos!$F$4:$F$9996,Movimentos!$D$4:$D$9996,B889,Movimentos!$C$4:$C$9996,"Entrada")-SUMIFS(Movimentos!$F$4:$F$9996,Movimentos!$D$4:$D$9996,B889,Movimentos!$C$4:$C$9996,"Saída"),""),"")</f>
        <v/>
      </c>
      <c r="F889" s="10" t="str">
        <f t="shared" si="30"/>
        <v/>
      </c>
    </row>
    <row r="890" spans="1:6" x14ac:dyDescent="0.3">
      <c r="A890" s="15" t="str">
        <f t="shared" si="29"/>
        <v>.</v>
      </c>
      <c r="E890" s="13" t="str">
        <f>IFERROR(IF(AND(B890&lt;&gt;"",C890&lt;&gt;""),SUMIFS(Movimentos!$F$4:$F$9996,Movimentos!$D$4:$D$9996,B890,Movimentos!$C$4:$C$9996,"Entrada")-SUMIFS(Movimentos!$F$4:$F$9996,Movimentos!$D$4:$D$9996,B890,Movimentos!$C$4:$C$9996,"Saída"),""),"")</f>
        <v/>
      </c>
      <c r="F890" s="10" t="str">
        <f t="shared" si="30"/>
        <v/>
      </c>
    </row>
    <row r="891" spans="1:6" x14ac:dyDescent="0.3">
      <c r="A891" s="15" t="str">
        <f t="shared" si="29"/>
        <v>.</v>
      </c>
      <c r="E891" s="13" t="str">
        <f>IFERROR(IF(AND(B891&lt;&gt;"",C891&lt;&gt;""),SUMIFS(Movimentos!$F$4:$F$9996,Movimentos!$D$4:$D$9996,B891,Movimentos!$C$4:$C$9996,"Entrada")-SUMIFS(Movimentos!$F$4:$F$9996,Movimentos!$D$4:$D$9996,B891,Movimentos!$C$4:$C$9996,"Saída"),""),"")</f>
        <v/>
      </c>
      <c r="F891" s="10" t="str">
        <f t="shared" si="30"/>
        <v/>
      </c>
    </row>
    <row r="892" spans="1:6" x14ac:dyDescent="0.3">
      <c r="A892" s="15" t="str">
        <f t="shared" si="29"/>
        <v>.</v>
      </c>
      <c r="E892" s="13" t="str">
        <f>IFERROR(IF(AND(B892&lt;&gt;"",C892&lt;&gt;""),SUMIFS(Movimentos!$F$4:$F$9996,Movimentos!$D$4:$D$9996,B892,Movimentos!$C$4:$C$9996,"Entrada")-SUMIFS(Movimentos!$F$4:$F$9996,Movimentos!$D$4:$D$9996,B892,Movimentos!$C$4:$C$9996,"Saída"),""),"")</f>
        <v/>
      </c>
      <c r="F892" s="10" t="str">
        <f t="shared" si="30"/>
        <v/>
      </c>
    </row>
    <row r="893" spans="1:6" x14ac:dyDescent="0.3">
      <c r="A893" s="15" t="str">
        <f t="shared" si="29"/>
        <v>.</v>
      </c>
      <c r="E893" s="13" t="str">
        <f>IFERROR(IF(AND(B893&lt;&gt;"",C893&lt;&gt;""),SUMIFS(Movimentos!$F$4:$F$9996,Movimentos!$D$4:$D$9996,B893,Movimentos!$C$4:$C$9996,"Entrada")-SUMIFS(Movimentos!$F$4:$F$9996,Movimentos!$D$4:$D$9996,B893,Movimentos!$C$4:$C$9996,"Saída"),""),"")</f>
        <v/>
      </c>
      <c r="F893" s="10" t="str">
        <f t="shared" si="30"/>
        <v/>
      </c>
    </row>
    <row r="894" spans="1:6" x14ac:dyDescent="0.3">
      <c r="A894" s="15" t="str">
        <f t="shared" si="29"/>
        <v>.</v>
      </c>
      <c r="E894" s="13" t="str">
        <f>IFERROR(IF(AND(B894&lt;&gt;"",C894&lt;&gt;""),SUMIFS(Movimentos!$F$4:$F$9996,Movimentos!$D$4:$D$9996,B894,Movimentos!$C$4:$C$9996,"Entrada")-SUMIFS(Movimentos!$F$4:$F$9996,Movimentos!$D$4:$D$9996,B894,Movimentos!$C$4:$C$9996,"Saída"),""),"")</f>
        <v/>
      </c>
      <c r="F894" s="10" t="str">
        <f t="shared" si="30"/>
        <v/>
      </c>
    </row>
    <row r="895" spans="1:6" x14ac:dyDescent="0.3">
      <c r="A895" s="15" t="str">
        <f t="shared" si="29"/>
        <v>.</v>
      </c>
      <c r="E895" s="13" t="str">
        <f>IFERROR(IF(AND(B895&lt;&gt;"",C895&lt;&gt;""),SUMIFS(Movimentos!$F$4:$F$9996,Movimentos!$D$4:$D$9996,B895,Movimentos!$C$4:$C$9996,"Entrada")-SUMIFS(Movimentos!$F$4:$F$9996,Movimentos!$D$4:$D$9996,B895,Movimentos!$C$4:$C$9996,"Saída"),""),"")</f>
        <v/>
      </c>
      <c r="F895" s="10" t="str">
        <f t="shared" si="30"/>
        <v/>
      </c>
    </row>
    <row r="896" spans="1:6" x14ac:dyDescent="0.3">
      <c r="A896" s="15" t="str">
        <f t="shared" ref="A896:A959" si="31">IF(F896="Saldo zerado",0,IF(F896="Saldo abaixo do mínimo",1,IF(F896="Saldo disponível",2,".")))</f>
        <v>.</v>
      </c>
      <c r="E896" s="13" t="str">
        <f>IFERROR(IF(AND(B896&lt;&gt;"",C896&lt;&gt;""),SUMIFS(Movimentos!$F$4:$F$9996,Movimentos!$D$4:$D$9996,B896,Movimentos!$C$4:$C$9996,"Entrada")-SUMIFS(Movimentos!$F$4:$F$9996,Movimentos!$D$4:$D$9996,B896,Movimentos!$C$4:$C$9996,"Saída"),""),"")</f>
        <v/>
      </c>
      <c r="F896" s="10" t="str">
        <f t="shared" si="30"/>
        <v/>
      </c>
    </row>
    <row r="897" spans="1:6" x14ac:dyDescent="0.3">
      <c r="A897" s="15" t="str">
        <f t="shared" si="31"/>
        <v>.</v>
      </c>
      <c r="E897" s="13" t="str">
        <f>IFERROR(IF(AND(B897&lt;&gt;"",C897&lt;&gt;""),SUMIFS(Movimentos!$F$4:$F$9996,Movimentos!$D$4:$D$9996,B897,Movimentos!$C$4:$C$9996,"Entrada")-SUMIFS(Movimentos!$F$4:$F$9996,Movimentos!$D$4:$D$9996,B897,Movimentos!$C$4:$C$9996,"Saída"),""),"")</f>
        <v/>
      </c>
      <c r="F897" s="10" t="str">
        <f t="shared" si="30"/>
        <v/>
      </c>
    </row>
    <row r="898" spans="1:6" x14ac:dyDescent="0.3">
      <c r="A898" s="15" t="str">
        <f t="shared" si="31"/>
        <v>.</v>
      </c>
      <c r="E898" s="13" t="str">
        <f>IFERROR(IF(AND(B898&lt;&gt;"",C898&lt;&gt;""),SUMIFS(Movimentos!$F$4:$F$9996,Movimentos!$D$4:$D$9996,B898,Movimentos!$C$4:$C$9996,"Entrada")-SUMIFS(Movimentos!$F$4:$F$9996,Movimentos!$D$4:$D$9996,B898,Movimentos!$C$4:$C$9996,"Saída"),""),"")</f>
        <v/>
      </c>
      <c r="F898" s="10" t="str">
        <f t="shared" si="30"/>
        <v/>
      </c>
    </row>
    <row r="899" spans="1:6" x14ac:dyDescent="0.3">
      <c r="A899" s="15" t="str">
        <f t="shared" si="31"/>
        <v>.</v>
      </c>
      <c r="E899" s="13" t="str">
        <f>IFERROR(IF(AND(B899&lt;&gt;"",C899&lt;&gt;""),SUMIFS(Movimentos!$F$4:$F$9996,Movimentos!$D$4:$D$9996,B899,Movimentos!$C$4:$C$9996,"Entrada")-SUMIFS(Movimentos!$F$4:$F$9996,Movimentos!$D$4:$D$9996,B899,Movimentos!$C$4:$C$9996,"Saída"),""),"")</f>
        <v/>
      </c>
      <c r="F899" s="10" t="str">
        <f t="shared" si="30"/>
        <v/>
      </c>
    </row>
    <row r="900" spans="1:6" x14ac:dyDescent="0.3">
      <c r="A900" s="15" t="str">
        <f t="shared" si="31"/>
        <v>.</v>
      </c>
      <c r="E900" s="13" t="str">
        <f>IFERROR(IF(AND(B900&lt;&gt;"",C900&lt;&gt;""),SUMIFS(Movimentos!$F$4:$F$9996,Movimentos!$D$4:$D$9996,B900,Movimentos!$C$4:$C$9996,"Entrada")-SUMIFS(Movimentos!$F$4:$F$9996,Movimentos!$D$4:$D$9996,B900,Movimentos!$C$4:$C$9996,"Saída"),""),"")</f>
        <v/>
      </c>
      <c r="F900" s="10" t="str">
        <f t="shared" si="30"/>
        <v/>
      </c>
    </row>
    <row r="901" spans="1:6" x14ac:dyDescent="0.3">
      <c r="A901" s="15" t="str">
        <f t="shared" si="31"/>
        <v>.</v>
      </c>
      <c r="E901" s="13" t="str">
        <f>IFERROR(IF(AND(B901&lt;&gt;"",C901&lt;&gt;""),SUMIFS(Movimentos!$F$4:$F$9996,Movimentos!$D$4:$D$9996,B901,Movimentos!$C$4:$C$9996,"Entrada")-SUMIFS(Movimentos!$F$4:$F$9996,Movimentos!$D$4:$D$9996,B901,Movimentos!$C$4:$C$9996,"Saída"),""),"")</f>
        <v/>
      </c>
      <c r="F901" s="10" t="str">
        <f t="shared" si="30"/>
        <v/>
      </c>
    </row>
    <row r="902" spans="1:6" x14ac:dyDescent="0.3">
      <c r="A902" s="15" t="str">
        <f t="shared" si="31"/>
        <v>.</v>
      </c>
      <c r="E902" s="13" t="str">
        <f>IFERROR(IF(AND(B902&lt;&gt;"",C902&lt;&gt;""),SUMIFS(Movimentos!$F$4:$F$9996,Movimentos!$D$4:$D$9996,B902,Movimentos!$C$4:$C$9996,"Entrada")-SUMIFS(Movimentos!$F$4:$F$9996,Movimentos!$D$4:$D$9996,B902,Movimentos!$C$4:$C$9996,"Saída"),""),"")</f>
        <v/>
      </c>
      <c r="F902" s="10" t="str">
        <f t="shared" si="30"/>
        <v/>
      </c>
    </row>
    <row r="903" spans="1:6" x14ac:dyDescent="0.3">
      <c r="A903" s="15" t="str">
        <f t="shared" si="31"/>
        <v>.</v>
      </c>
      <c r="E903" s="13" t="str">
        <f>IFERROR(IF(AND(B903&lt;&gt;"",C903&lt;&gt;""),SUMIFS(Movimentos!$F$4:$F$9996,Movimentos!$D$4:$D$9996,B903,Movimentos!$C$4:$C$9996,"Entrada")-SUMIFS(Movimentos!$F$4:$F$9996,Movimentos!$D$4:$D$9996,B903,Movimentos!$C$4:$C$9996,"Saída"),""),"")</f>
        <v/>
      </c>
      <c r="F903" s="10" t="str">
        <f t="shared" si="30"/>
        <v/>
      </c>
    </row>
    <row r="904" spans="1:6" x14ac:dyDescent="0.3">
      <c r="A904" s="15" t="str">
        <f t="shared" si="31"/>
        <v>.</v>
      </c>
      <c r="E904" s="13" t="str">
        <f>IFERROR(IF(AND(B904&lt;&gt;"",C904&lt;&gt;""),SUMIFS(Movimentos!$F$4:$F$9996,Movimentos!$D$4:$D$9996,B904,Movimentos!$C$4:$C$9996,"Entrada")-SUMIFS(Movimentos!$F$4:$F$9996,Movimentos!$D$4:$D$9996,B904,Movimentos!$C$4:$C$9996,"Saída"),""),"")</f>
        <v/>
      </c>
      <c r="F904" s="10" t="str">
        <f t="shared" si="30"/>
        <v/>
      </c>
    </row>
    <row r="905" spans="1:6" x14ac:dyDescent="0.3">
      <c r="A905" s="15" t="str">
        <f t="shared" si="31"/>
        <v>.</v>
      </c>
      <c r="E905" s="13" t="str">
        <f>IFERROR(IF(AND(B905&lt;&gt;"",C905&lt;&gt;""),SUMIFS(Movimentos!$F$4:$F$9996,Movimentos!$D$4:$D$9996,B905,Movimentos!$C$4:$C$9996,"Entrada")-SUMIFS(Movimentos!$F$4:$F$9996,Movimentos!$D$4:$D$9996,B905,Movimentos!$C$4:$C$9996,"Saída"),""),"")</f>
        <v/>
      </c>
      <c r="F905" s="10" t="str">
        <f t="shared" si="30"/>
        <v/>
      </c>
    </row>
    <row r="906" spans="1:6" x14ac:dyDescent="0.3">
      <c r="A906" s="15" t="str">
        <f t="shared" si="31"/>
        <v>.</v>
      </c>
      <c r="E906" s="13" t="str">
        <f>IFERROR(IF(AND(B906&lt;&gt;"",C906&lt;&gt;""),SUMIFS(Movimentos!$F$4:$F$9996,Movimentos!$D$4:$D$9996,B906,Movimentos!$C$4:$C$9996,"Entrada")-SUMIFS(Movimentos!$F$4:$F$9996,Movimentos!$D$4:$D$9996,B906,Movimentos!$C$4:$C$9996,"Saída"),""),"")</f>
        <v/>
      </c>
      <c r="F906" s="10" t="str">
        <f t="shared" si="30"/>
        <v/>
      </c>
    </row>
    <row r="907" spans="1:6" x14ac:dyDescent="0.3">
      <c r="A907" s="15" t="str">
        <f t="shared" si="31"/>
        <v>.</v>
      </c>
      <c r="E907" s="13" t="str">
        <f>IFERROR(IF(AND(B907&lt;&gt;"",C907&lt;&gt;""),SUMIFS(Movimentos!$F$4:$F$9996,Movimentos!$D$4:$D$9996,B907,Movimentos!$C$4:$C$9996,"Entrada")-SUMIFS(Movimentos!$F$4:$F$9996,Movimentos!$D$4:$D$9996,B907,Movimentos!$C$4:$C$9996,"Saída"),""),"")</f>
        <v/>
      </c>
      <c r="F907" s="10" t="str">
        <f t="shared" si="30"/>
        <v/>
      </c>
    </row>
    <row r="908" spans="1:6" x14ac:dyDescent="0.3">
      <c r="A908" s="15" t="str">
        <f t="shared" si="31"/>
        <v>.</v>
      </c>
      <c r="E908" s="13" t="str">
        <f>IFERROR(IF(AND(B908&lt;&gt;"",C908&lt;&gt;""),SUMIFS(Movimentos!$F$4:$F$9996,Movimentos!$D$4:$D$9996,B908,Movimentos!$C$4:$C$9996,"Entrada")-SUMIFS(Movimentos!$F$4:$F$9996,Movimentos!$D$4:$D$9996,B908,Movimentos!$C$4:$C$9996,"Saída"),""),"")</f>
        <v/>
      </c>
      <c r="F908" s="10" t="str">
        <f t="shared" si="30"/>
        <v/>
      </c>
    </row>
    <row r="909" spans="1:6" x14ac:dyDescent="0.3">
      <c r="A909" s="15" t="str">
        <f t="shared" si="31"/>
        <v>.</v>
      </c>
      <c r="E909" s="13" t="str">
        <f>IFERROR(IF(AND(B909&lt;&gt;"",C909&lt;&gt;""),SUMIFS(Movimentos!$F$4:$F$9996,Movimentos!$D$4:$D$9996,B909,Movimentos!$C$4:$C$9996,"Entrada")-SUMIFS(Movimentos!$F$4:$F$9996,Movimentos!$D$4:$D$9996,B909,Movimentos!$C$4:$C$9996,"Saída"),""),"")</f>
        <v/>
      </c>
      <c r="F909" s="10" t="str">
        <f t="shared" si="30"/>
        <v/>
      </c>
    </row>
    <row r="910" spans="1:6" x14ac:dyDescent="0.3">
      <c r="A910" s="15" t="str">
        <f t="shared" si="31"/>
        <v>.</v>
      </c>
      <c r="E910" s="13" t="str">
        <f>IFERROR(IF(AND(B910&lt;&gt;"",C910&lt;&gt;""),SUMIFS(Movimentos!$F$4:$F$9996,Movimentos!$D$4:$D$9996,B910,Movimentos!$C$4:$C$9996,"Entrada")-SUMIFS(Movimentos!$F$4:$F$9996,Movimentos!$D$4:$D$9996,B910,Movimentos!$C$4:$C$9996,"Saída"),""),"")</f>
        <v/>
      </c>
      <c r="F910" s="10" t="str">
        <f t="shared" si="30"/>
        <v/>
      </c>
    </row>
    <row r="911" spans="1:6" x14ac:dyDescent="0.3">
      <c r="A911" s="15" t="str">
        <f t="shared" si="31"/>
        <v>.</v>
      </c>
      <c r="E911" s="13" t="str">
        <f>IFERROR(IF(AND(B911&lt;&gt;"",C911&lt;&gt;""),SUMIFS(Movimentos!$F$4:$F$9996,Movimentos!$D$4:$D$9996,B911,Movimentos!$C$4:$C$9996,"Entrada")-SUMIFS(Movimentos!$F$4:$F$9996,Movimentos!$D$4:$D$9996,B911,Movimentos!$C$4:$C$9996,"Saída"),""),"")</f>
        <v/>
      </c>
      <c r="F911" s="10" t="str">
        <f t="shared" si="30"/>
        <v/>
      </c>
    </row>
    <row r="912" spans="1:6" x14ac:dyDescent="0.3">
      <c r="A912" s="15" t="str">
        <f t="shared" si="31"/>
        <v>.</v>
      </c>
      <c r="E912" s="13" t="str">
        <f>IFERROR(IF(AND(B912&lt;&gt;"",C912&lt;&gt;""),SUMIFS(Movimentos!$F$4:$F$9996,Movimentos!$D$4:$D$9996,B912,Movimentos!$C$4:$C$9996,"Entrada")-SUMIFS(Movimentos!$F$4:$F$9996,Movimentos!$D$4:$D$9996,B912,Movimentos!$C$4:$C$9996,"Saída"),""),"")</f>
        <v/>
      </c>
      <c r="F912" s="10" t="str">
        <f t="shared" si="30"/>
        <v/>
      </c>
    </row>
    <row r="913" spans="1:6" x14ac:dyDescent="0.3">
      <c r="A913" s="15" t="str">
        <f t="shared" si="31"/>
        <v>.</v>
      </c>
      <c r="E913" s="13" t="str">
        <f>IFERROR(IF(AND(B913&lt;&gt;"",C913&lt;&gt;""),SUMIFS(Movimentos!$F$4:$F$9996,Movimentos!$D$4:$D$9996,B913,Movimentos!$C$4:$C$9996,"Entrada")-SUMIFS(Movimentos!$F$4:$F$9996,Movimentos!$D$4:$D$9996,B913,Movimentos!$C$4:$C$9996,"Saída"),""),"")</f>
        <v/>
      </c>
      <c r="F913" s="10" t="str">
        <f t="shared" si="30"/>
        <v/>
      </c>
    </row>
    <row r="914" spans="1:6" x14ac:dyDescent="0.3">
      <c r="A914" s="15" t="str">
        <f t="shared" si="31"/>
        <v>.</v>
      </c>
      <c r="E914" s="13" t="str">
        <f>IFERROR(IF(AND(B914&lt;&gt;"",C914&lt;&gt;""),SUMIFS(Movimentos!$F$4:$F$9996,Movimentos!$D$4:$D$9996,B914,Movimentos!$C$4:$C$9996,"Entrada")-SUMIFS(Movimentos!$F$4:$F$9996,Movimentos!$D$4:$D$9996,B914,Movimentos!$C$4:$C$9996,"Saída"),""),"")</f>
        <v/>
      </c>
      <c r="F914" s="10" t="str">
        <f t="shared" si="30"/>
        <v/>
      </c>
    </row>
    <row r="915" spans="1:6" x14ac:dyDescent="0.3">
      <c r="A915" s="15" t="str">
        <f t="shared" si="31"/>
        <v>.</v>
      </c>
      <c r="E915" s="13" t="str">
        <f>IFERROR(IF(AND(B915&lt;&gt;"",C915&lt;&gt;""),SUMIFS(Movimentos!$F$4:$F$9996,Movimentos!$D$4:$D$9996,B915,Movimentos!$C$4:$C$9996,"Entrada")-SUMIFS(Movimentos!$F$4:$F$9996,Movimentos!$D$4:$D$9996,B915,Movimentos!$C$4:$C$9996,"Saída"),""),"")</f>
        <v/>
      </c>
      <c r="F915" s="10" t="str">
        <f t="shared" si="30"/>
        <v/>
      </c>
    </row>
    <row r="916" spans="1:6" x14ac:dyDescent="0.3">
      <c r="A916" s="15" t="str">
        <f t="shared" si="31"/>
        <v>.</v>
      </c>
      <c r="E916" s="13" t="str">
        <f>IFERROR(IF(AND(B916&lt;&gt;"",C916&lt;&gt;""),SUMIFS(Movimentos!$F$4:$F$9996,Movimentos!$D$4:$D$9996,B916,Movimentos!$C$4:$C$9996,"Entrada")-SUMIFS(Movimentos!$F$4:$F$9996,Movimentos!$D$4:$D$9996,B916,Movimentos!$C$4:$C$9996,"Saída"),""),"")</f>
        <v/>
      </c>
      <c r="F916" s="10" t="str">
        <f t="shared" si="30"/>
        <v/>
      </c>
    </row>
    <row r="917" spans="1:6" x14ac:dyDescent="0.3">
      <c r="A917" s="15" t="str">
        <f t="shared" si="31"/>
        <v>.</v>
      </c>
      <c r="E917" s="13" t="str">
        <f>IFERROR(IF(AND(B917&lt;&gt;"",C917&lt;&gt;""),SUMIFS(Movimentos!$F$4:$F$9996,Movimentos!$D$4:$D$9996,B917,Movimentos!$C$4:$C$9996,"Entrada")-SUMIFS(Movimentos!$F$4:$F$9996,Movimentos!$D$4:$D$9996,B917,Movimentos!$C$4:$C$9996,"Saída"),""),"")</f>
        <v/>
      </c>
      <c r="F917" s="10" t="str">
        <f t="shared" si="30"/>
        <v/>
      </c>
    </row>
    <row r="918" spans="1:6" x14ac:dyDescent="0.3">
      <c r="A918" s="15" t="str">
        <f t="shared" si="31"/>
        <v>.</v>
      </c>
      <c r="E918" s="13" t="str">
        <f>IFERROR(IF(AND(B918&lt;&gt;"",C918&lt;&gt;""),SUMIFS(Movimentos!$F$4:$F$9996,Movimentos!$D$4:$D$9996,B918,Movimentos!$C$4:$C$9996,"Entrada")-SUMIFS(Movimentos!$F$4:$F$9996,Movimentos!$D$4:$D$9996,B918,Movimentos!$C$4:$C$9996,"Saída"),""),"")</f>
        <v/>
      </c>
      <c r="F918" s="10" t="str">
        <f t="shared" si="30"/>
        <v/>
      </c>
    </row>
    <row r="919" spans="1:6" x14ac:dyDescent="0.3">
      <c r="A919" s="15" t="str">
        <f t="shared" si="31"/>
        <v>.</v>
      </c>
      <c r="E919" s="13" t="str">
        <f>IFERROR(IF(AND(B919&lt;&gt;"",C919&lt;&gt;""),SUMIFS(Movimentos!$F$4:$F$9996,Movimentos!$D$4:$D$9996,B919,Movimentos!$C$4:$C$9996,"Entrada")-SUMIFS(Movimentos!$F$4:$F$9996,Movimentos!$D$4:$D$9996,B919,Movimentos!$C$4:$C$9996,"Saída"),""),"")</f>
        <v/>
      </c>
      <c r="F919" s="10" t="str">
        <f t="shared" ref="F919:F982" si="32">IF(AND(B919&lt;&gt;"",C919&lt;&gt;""),IF(E919=0,"Saldo zerado",IF(E919&lt;D919,"Saldo abaixo do mínimo","Saldo disponível")),"")</f>
        <v/>
      </c>
    </row>
    <row r="920" spans="1:6" x14ac:dyDescent="0.3">
      <c r="A920" s="15" t="str">
        <f t="shared" si="31"/>
        <v>.</v>
      </c>
      <c r="E920" s="13" t="str">
        <f>IFERROR(IF(AND(B920&lt;&gt;"",C920&lt;&gt;""),SUMIFS(Movimentos!$F$4:$F$9996,Movimentos!$D$4:$D$9996,B920,Movimentos!$C$4:$C$9996,"Entrada")-SUMIFS(Movimentos!$F$4:$F$9996,Movimentos!$D$4:$D$9996,B920,Movimentos!$C$4:$C$9996,"Saída"),""),"")</f>
        <v/>
      </c>
      <c r="F920" s="10" t="str">
        <f t="shared" si="32"/>
        <v/>
      </c>
    </row>
    <row r="921" spans="1:6" x14ac:dyDescent="0.3">
      <c r="A921" s="15" t="str">
        <f t="shared" si="31"/>
        <v>.</v>
      </c>
      <c r="E921" s="13" t="str">
        <f>IFERROR(IF(AND(B921&lt;&gt;"",C921&lt;&gt;""),SUMIFS(Movimentos!$F$4:$F$9996,Movimentos!$D$4:$D$9996,B921,Movimentos!$C$4:$C$9996,"Entrada")-SUMIFS(Movimentos!$F$4:$F$9996,Movimentos!$D$4:$D$9996,B921,Movimentos!$C$4:$C$9996,"Saída"),""),"")</f>
        <v/>
      </c>
      <c r="F921" s="10" t="str">
        <f t="shared" si="32"/>
        <v/>
      </c>
    </row>
    <row r="922" spans="1:6" x14ac:dyDescent="0.3">
      <c r="A922" s="15" t="str">
        <f t="shared" si="31"/>
        <v>.</v>
      </c>
      <c r="E922" s="13" t="str">
        <f>IFERROR(IF(AND(B922&lt;&gt;"",C922&lt;&gt;""),SUMIFS(Movimentos!$F$4:$F$9996,Movimentos!$D$4:$D$9996,B922,Movimentos!$C$4:$C$9996,"Entrada")-SUMIFS(Movimentos!$F$4:$F$9996,Movimentos!$D$4:$D$9996,B922,Movimentos!$C$4:$C$9996,"Saída"),""),"")</f>
        <v/>
      </c>
      <c r="F922" s="10" t="str">
        <f t="shared" si="32"/>
        <v/>
      </c>
    </row>
    <row r="923" spans="1:6" x14ac:dyDescent="0.3">
      <c r="A923" s="15" t="str">
        <f t="shared" si="31"/>
        <v>.</v>
      </c>
      <c r="E923" s="13" t="str">
        <f>IFERROR(IF(AND(B923&lt;&gt;"",C923&lt;&gt;""),SUMIFS(Movimentos!$F$4:$F$9996,Movimentos!$D$4:$D$9996,B923,Movimentos!$C$4:$C$9996,"Entrada")-SUMIFS(Movimentos!$F$4:$F$9996,Movimentos!$D$4:$D$9996,B923,Movimentos!$C$4:$C$9996,"Saída"),""),"")</f>
        <v/>
      </c>
      <c r="F923" s="10" t="str">
        <f t="shared" si="32"/>
        <v/>
      </c>
    </row>
    <row r="924" spans="1:6" x14ac:dyDescent="0.3">
      <c r="A924" s="15" t="str">
        <f t="shared" si="31"/>
        <v>.</v>
      </c>
      <c r="E924" s="13" t="str">
        <f>IFERROR(IF(AND(B924&lt;&gt;"",C924&lt;&gt;""),SUMIFS(Movimentos!$F$4:$F$9996,Movimentos!$D$4:$D$9996,B924,Movimentos!$C$4:$C$9996,"Entrada")-SUMIFS(Movimentos!$F$4:$F$9996,Movimentos!$D$4:$D$9996,B924,Movimentos!$C$4:$C$9996,"Saída"),""),"")</f>
        <v/>
      </c>
      <c r="F924" s="10" t="str">
        <f t="shared" si="32"/>
        <v/>
      </c>
    </row>
    <row r="925" spans="1:6" x14ac:dyDescent="0.3">
      <c r="A925" s="15" t="str">
        <f t="shared" si="31"/>
        <v>.</v>
      </c>
      <c r="E925" s="13" t="str">
        <f>IFERROR(IF(AND(B925&lt;&gt;"",C925&lt;&gt;""),SUMIFS(Movimentos!$F$4:$F$9996,Movimentos!$D$4:$D$9996,B925,Movimentos!$C$4:$C$9996,"Entrada")-SUMIFS(Movimentos!$F$4:$F$9996,Movimentos!$D$4:$D$9996,B925,Movimentos!$C$4:$C$9996,"Saída"),""),"")</f>
        <v/>
      </c>
      <c r="F925" s="10" t="str">
        <f t="shared" si="32"/>
        <v/>
      </c>
    </row>
    <row r="926" spans="1:6" x14ac:dyDescent="0.3">
      <c r="A926" s="15" t="str">
        <f t="shared" si="31"/>
        <v>.</v>
      </c>
      <c r="E926" s="13" t="str">
        <f>IFERROR(IF(AND(B926&lt;&gt;"",C926&lt;&gt;""),SUMIFS(Movimentos!$F$4:$F$9996,Movimentos!$D$4:$D$9996,B926,Movimentos!$C$4:$C$9996,"Entrada")-SUMIFS(Movimentos!$F$4:$F$9996,Movimentos!$D$4:$D$9996,B926,Movimentos!$C$4:$C$9996,"Saída"),""),"")</f>
        <v/>
      </c>
      <c r="F926" s="10" t="str">
        <f t="shared" si="32"/>
        <v/>
      </c>
    </row>
    <row r="927" spans="1:6" x14ac:dyDescent="0.3">
      <c r="A927" s="15" t="str">
        <f t="shared" si="31"/>
        <v>.</v>
      </c>
      <c r="E927" s="13" t="str">
        <f>IFERROR(IF(AND(B927&lt;&gt;"",C927&lt;&gt;""),SUMIFS(Movimentos!$F$4:$F$9996,Movimentos!$D$4:$D$9996,B927,Movimentos!$C$4:$C$9996,"Entrada")-SUMIFS(Movimentos!$F$4:$F$9996,Movimentos!$D$4:$D$9996,B927,Movimentos!$C$4:$C$9996,"Saída"),""),"")</f>
        <v/>
      </c>
      <c r="F927" s="10" t="str">
        <f t="shared" si="32"/>
        <v/>
      </c>
    </row>
    <row r="928" spans="1:6" x14ac:dyDescent="0.3">
      <c r="A928" s="15" t="str">
        <f t="shared" si="31"/>
        <v>.</v>
      </c>
      <c r="E928" s="13" t="str">
        <f>IFERROR(IF(AND(B928&lt;&gt;"",C928&lt;&gt;""),SUMIFS(Movimentos!$F$4:$F$9996,Movimentos!$D$4:$D$9996,B928,Movimentos!$C$4:$C$9996,"Entrada")-SUMIFS(Movimentos!$F$4:$F$9996,Movimentos!$D$4:$D$9996,B928,Movimentos!$C$4:$C$9996,"Saída"),""),"")</f>
        <v/>
      </c>
      <c r="F928" s="10" t="str">
        <f t="shared" si="32"/>
        <v/>
      </c>
    </row>
    <row r="929" spans="1:6" x14ac:dyDescent="0.3">
      <c r="A929" s="15" t="str">
        <f t="shared" si="31"/>
        <v>.</v>
      </c>
      <c r="E929" s="13" t="str">
        <f>IFERROR(IF(AND(B929&lt;&gt;"",C929&lt;&gt;""),SUMIFS(Movimentos!$F$4:$F$9996,Movimentos!$D$4:$D$9996,B929,Movimentos!$C$4:$C$9996,"Entrada")-SUMIFS(Movimentos!$F$4:$F$9996,Movimentos!$D$4:$D$9996,B929,Movimentos!$C$4:$C$9996,"Saída"),""),"")</f>
        <v/>
      </c>
      <c r="F929" s="10" t="str">
        <f t="shared" si="32"/>
        <v/>
      </c>
    </row>
    <row r="930" spans="1:6" x14ac:dyDescent="0.3">
      <c r="A930" s="15" t="str">
        <f t="shared" si="31"/>
        <v>.</v>
      </c>
      <c r="E930" s="13" t="str">
        <f>IFERROR(IF(AND(B930&lt;&gt;"",C930&lt;&gt;""),SUMIFS(Movimentos!$F$4:$F$9996,Movimentos!$D$4:$D$9996,B930,Movimentos!$C$4:$C$9996,"Entrada")-SUMIFS(Movimentos!$F$4:$F$9996,Movimentos!$D$4:$D$9996,B930,Movimentos!$C$4:$C$9996,"Saída"),""),"")</f>
        <v/>
      </c>
      <c r="F930" s="10" t="str">
        <f t="shared" si="32"/>
        <v/>
      </c>
    </row>
    <row r="931" spans="1:6" x14ac:dyDescent="0.3">
      <c r="A931" s="15" t="str">
        <f t="shared" si="31"/>
        <v>.</v>
      </c>
      <c r="E931" s="13" t="str">
        <f>IFERROR(IF(AND(B931&lt;&gt;"",C931&lt;&gt;""),SUMIFS(Movimentos!$F$4:$F$9996,Movimentos!$D$4:$D$9996,B931,Movimentos!$C$4:$C$9996,"Entrada")-SUMIFS(Movimentos!$F$4:$F$9996,Movimentos!$D$4:$D$9996,B931,Movimentos!$C$4:$C$9996,"Saída"),""),"")</f>
        <v/>
      </c>
      <c r="F931" s="10" t="str">
        <f t="shared" si="32"/>
        <v/>
      </c>
    </row>
    <row r="932" spans="1:6" x14ac:dyDescent="0.3">
      <c r="A932" s="15" t="str">
        <f t="shared" si="31"/>
        <v>.</v>
      </c>
      <c r="E932" s="13" t="str">
        <f>IFERROR(IF(AND(B932&lt;&gt;"",C932&lt;&gt;""),SUMIFS(Movimentos!$F$4:$F$9996,Movimentos!$D$4:$D$9996,B932,Movimentos!$C$4:$C$9996,"Entrada")-SUMIFS(Movimentos!$F$4:$F$9996,Movimentos!$D$4:$D$9996,B932,Movimentos!$C$4:$C$9996,"Saída"),""),"")</f>
        <v/>
      </c>
      <c r="F932" s="10" t="str">
        <f t="shared" si="32"/>
        <v/>
      </c>
    </row>
    <row r="933" spans="1:6" x14ac:dyDescent="0.3">
      <c r="A933" s="15" t="str">
        <f t="shared" si="31"/>
        <v>.</v>
      </c>
      <c r="E933" s="13" t="str">
        <f>IFERROR(IF(AND(B933&lt;&gt;"",C933&lt;&gt;""),SUMIFS(Movimentos!$F$4:$F$9996,Movimentos!$D$4:$D$9996,B933,Movimentos!$C$4:$C$9996,"Entrada")-SUMIFS(Movimentos!$F$4:$F$9996,Movimentos!$D$4:$D$9996,B933,Movimentos!$C$4:$C$9996,"Saída"),""),"")</f>
        <v/>
      </c>
      <c r="F933" s="10" t="str">
        <f t="shared" si="32"/>
        <v/>
      </c>
    </row>
    <row r="934" spans="1:6" x14ac:dyDescent="0.3">
      <c r="A934" s="15" t="str">
        <f t="shared" si="31"/>
        <v>.</v>
      </c>
      <c r="E934" s="13" t="str">
        <f>IFERROR(IF(AND(B934&lt;&gt;"",C934&lt;&gt;""),SUMIFS(Movimentos!$F$4:$F$9996,Movimentos!$D$4:$D$9996,B934,Movimentos!$C$4:$C$9996,"Entrada")-SUMIFS(Movimentos!$F$4:$F$9996,Movimentos!$D$4:$D$9996,B934,Movimentos!$C$4:$C$9996,"Saída"),""),"")</f>
        <v/>
      </c>
      <c r="F934" s="10" t="str">
        <f t="shared" si="32"/>
        <v/>
      </c>
    </row>
    <row r="935" spans="1:6" x14ac:dyDescent="0.3">
      <c r="A935" s="15" t="str">
        <f t="shared" si="31"/>
        <v>.</v>
      </c>
      <c r="E935" s="13" t="str">
        <f>IFERROR(IF(AND(B935&lt;&gt;"",C935&lt;&gt;""),SUMIFS(Movimentos!$F$4:$F$9996,Movimentos!$D$4:$D$9996,B935,Movimentos!$C$4:$C$9996,"Entrada")-SUMIFS(Movimentos!$F$4:$F$9996,Movimentos!$D$4:$D$9996,B935,Movimentos!$C$4:$C$9996,"Saída"),""),"")</f>
        <v/>
      </c>
      <c r="F935" s="10" t="str">
        <f t="shared" si="32"/>
        <v/>
      </c>
    </row>
    <row r="936" spans="1:6" x14ac:dyDescent="0.3">
      <c r="A936" s="15" t="str">
        <f t="shared" si="31"/>
        <v>.</v>
      </c>
      <c r="E936" s="13" t="str">
        <f>IFERROR(IF(AND(B936&lt;&gt;"",C936&lt;&gt;""),SUMIFS(Movimentos!$F$4:$F$9996,Movimentos!$D$4:$D$9996,B936,Movimentos!$C$4:$C$9996,"Entrada")-SUMIFS(Movimentos!$F$4:$F$9996,Movimentos!$D$4:$D$9996,B936,Movimentos!$C$4:$C$9996,"Saída"),""),"")</f>
        <v/>
      </c>
      <c r="F936" s="10" t="str">
        <f t="shared" si="32"/>
        <v/>
      </c>
    </row>
    <row r="937" spans="1:6" x14ac:dyDescent="0.3">
      <c r="A937" s="15" t="str">
        <f t="shared" si="31"/>
        <v>.</v>
      </c>
      <c r="E937" s="13" t="str">
        <f>IFERROR(IF(AND(B937&lt;&gt;"",C937&lt;&gt;""),SUMIFS(Movimentos!$F$4:$F$9996,Movimentos!$D$4:$D$9996,B937,Movimentos!$C$4:$C$9996,"Entrada")-SUMIFS(Movimentos!$F$4:$F$9996,Movimentos!$D$4:$D$9996,B937,Movimentos!$C$4:$C$9996,"Saída"),""),"")</f>
        <v/>
      </c>
      <c r="F937" s="10" t="str">
        <f t="shared" si="32"/>
        <v/>
      </c>
    </row>
    <row r="938" spans="1:6" x14ac:dyDescent="0.3">
      <c r="A938" s="15" t="str">
        <f t="shared" si="31"/>
        <v>.</v>
      </c>
      <c r="E938" s="13" t="str">
        <f>IFERROR(IF(AND(B938&lt;&gt;"",C938&lt;&gt;""),SUMIFS(Movimentos!$F$4:$F$9996,Movimentos!$D$4:$D$9996,B938,Movimentos!$C$4:$C$9996,"Entrada")-SUMIFS(Movimentos!$F$4:$F$9996,Movimentos!$D$4:$D$9996,B938,Movimentos!$C$4:$C$9996,"Saída"),""),"")</f>
        <v/>
      </c>
      <c r="F938" s="10" t="str">
        <f t="shared" si="32"/>
        <v/>
      </c>
    </row>
    <row r="939" spans="1:6" x14ac:dyDescent="0.3">
      <c r="A939" s="15" t="str">
        <f t="shared" si="31"/>
        <v>.</v>
      </c>
      <c r="E939" s="13" t="str">
        <f>IFERROR(IF(AND(B939&lt;&gt;"",C939&lt;&gt;""),SUMIFS(Movimentos!$F$4:$F$9996,Movimentos!$D$4:$D$9996,B939,Movimentos!$C$4:$C$9996,"Entrada")-SUMIFS(Movimentos!$F$4:$F$9996,Movimentos!$D$4:$D$9996,B939,Movimentos!$C$4:$C$9996,"Saída"),""),"")</f>
        <v/>
      </c>
      <c r="F939" s="10" t="str">
        <f t="shared" si="32"/>
        <v/>
      </c>
    </row>
    <row r="940" spans="1:6" x14ac:dyDescent="0.3">
      <c r="A940" s="15" t="str">
        <f t="shared" si="31"/>
        <v>.</v>
      </c>
      <c r="E940" s="13" t="str">
        <f>IFERROR(IF(AND(B940&lt;&gt;"",C940&lt;&gt;""),SUMIFS(Movimentos!$F$4:$F$9996,Movimentos!$D$4:$D$9996,B940,Movimentos!$C$4:$C$9996,"Entrada")-SUMIFS(Movimentos!$F$4:$F$9996,Movimentos!$D$4:$D$9996,B940,Movimentos!$C$4:$C$9996,"Saída"),""),"")</f>
        <v/>
      </c>
      <c r="F940" s="10" t="str">
        <f t="shared" si="32"/>
        <v/>
      </c>
    </row>
    <row r="941" spans="1:6" x14ac:dyDescent="0.3">
      <c r="A941" s="15" t="str">
        <f t="shared" si="31"/>
        <v>.</v>
      </c>
      <c r="E941" s="13" t="str">
        <f>IFERROR(IF(AND(B941&lt;&gt;"",C941&lt;&gt;""),SUMIFS(Movimentos!$F$4:$F$9996,Movimentos!$D$4:$D$9996,B941,Movimentos!$C$4:$C$9996,"Entrada")-SUMIFS(Movimentos!$F$4:$F$9996,Movimentos!$D$4:$D$9996,B941,Movimentos!$C$4:$C$9996,"Saída"),""),"")</f>
        <v/>
      </c>
      <c r="F941" s="10" t="str">
        <f t="shared" si="32"/>
        <v/>
      </c>
    </row>
    <row r="942" spans="1:6" x14ac:dyDescent="0.3">
      <c r="A942" s="15" t="str">
        <f t="shared" si="31"/>
        <v>.</v>
      </c>
      <c r="E942" s="13" t="str">
        <f>IFERROR(IF(AND(B942&lt;&gt;"",C942&lt;&gt;""),SUMIFS(Movimentos!$F$4:$F$9996,Movimentos!$D$4:$D$9996,B942,Movimentos!$C$4:$C$9996,"Entrada")-SUMIFS(Movimentos!$F$4:$F$9996,Movimentos!$D$4:$D$9996,B942,Movimentos!$C$4:$C$9996,"Saída"),""),"")</f>
        <v/>
      </c>
      <c r="F942" s="10" t="str">
        <f t="shared" si="32"/>
        <v/>
      </c>
    </row>
    <row r="943" spans="1:6" x14ac:dyDescent="0.3">
      <c r="A943" s="15" t="str">
        <f t="shared" si="31"/>
        <v>.</v>
      </c>
      <c r="E943" s="13" t="str">
        <f>IFERROR(IF(AND(B943&lt;&gt;"",C943&lt;&gt;""),SUMIFS(Movimentos!$F$4:$F$9996,Movimentos!$D$4:$D$9996,B943,Movimentos!$C$4:$C$9996,"Entrada")-SUMIFS(Movimentos!$F$4:$F$9996,Movimentos!$D$4:$D$9996,B943,Movimentos!$C$4:$C$9996,"Saída"),""),"")</f>
        <v/>
      </c>
      <c r="F943" s="10" t="str">
        <f t="shared" si="32"/>
        <v/>
      </c>
    </row>
    <row r="944" spans="1:6" x14ac:dyDescent="0.3">
      <c r="A944" s="15" t="str">
        <f t="shared" si="31"/>
        <v>.</v>
      </c>
      <c r="E944" s="13" t="str">
        <f>IFERROR(IF(AND(B944&lt;&gt;"",C944&lt;&gt;""),SUMIFS(Movimentos!$F$4:$F$9996,Movimentos!$D$4:$D$9996,B944,Movimentos!$C$4:$C$9996,"Entrada")-SUMIFS(Movimentos!$F$4:$F$9996,Movimentos!$D$4:$D$9996,B944,Movimentos!$C$4:$C$9996,"Saída"),""),"")</f>
        <v/>
      </c>
      <c r="F944" s="10" t="str">
        <f t="shared" si="32"/>
        <v/>
      </c>
    </row>
    <row r="945" spans="1:6" x14ac:dyDescent="0.3">
      <c r="A945" s="15" t="str">
        <f t="shared" si="31"/>
        <v>.</v>
      </c>
      <c r="E945" s="13" t="str">
        <f>IFERROR(IF(AND(B945&lt;&gt;"",C945&lt;&gt;""),SUMIFS(Movimentos!$F$4:$F$9996,Movimentos!$D$4:$D$9996,B945,Movimentos!$C$4:$C$9996,"Entrada")-SUMIFS(Movimentos!$F$4:$F$9996,Movimentos!$D$4:$D$9996,B945,Movimentos!$C$4:$C$9996,"Saída"),""),"")</f>
        <v/>
      </c>
      <c r="F945" s="10" t="str">
        <f t="shared" si="32"/>
        <v/>
      </c>
    </row>
    <row r="946" spans="1:6" x14ac:dyDescent="0.3">
      <c r="A946" s="15" t="str">
        <f t="shared" si="31"/>
        <v>.</v>
      </c>
      <c r="E946" s="13" t="str">
        <f>IFERROR(IF(AND(B946&lt;&gt;"",C946&lt;&gt;""),SUMIFS(Movimentos!$F$4:$F$9996,Movimentos!$D$4:$D$9996,B946,Movimentos!$C$4:$C$9996,"Entrada")-SUMIFS(Movimentos!$F$4:$F$9996,Movimentos!$D$4:$D$9996,B946,Movimentos!$C$4:$C$9996,"Saída"),""),"")</f>
        <v/>
      </c>
      <c r="F946" s="10" t="str">
        <f t="shared" si="32"/>
        <v/>
      </c>
    </row>
    <row r="947" spans="1:6" x14ac:dyDescent="0.3">
      <c r="A947" s="15" t="str">
        <f t="shared" si="31"/>
        <v>.</v>
      </c>
      <c r="E947" s="13" t="str">
        <f>IFERROR(IF(AND(B947&lt;&gt;"",C947&lt;&gt;""),SUMIFS(Movimentos!$F$4:$F$9996,Movimentos!$D$4:$D$9996,B947,Movimentos!$C$4:$C$9996,"Entrada")-SUMIFS(Movimentos!$F$4:$F$9996,Movimentos!$D$4:$D$9996,B947,Movimentos!$C$4:$C$9996,"Saída"),""),"")</f>
        <v/>
      </c>
      <c r="F947" s="10" t="str">
        <f t="shared" si="32"/>
        <v/>
      </c>
    </row>
    <row r="948" spans="1:6" x14ac:dyDescent="0.3">
      <c r="A948" s="15" t="str">
        <f t="shared" si="31"/>
        <v>.</v>
      </c>
      <c r="E948" s="13" t="str">
        <f>IFERROR(IF(AND(B948&lt;&gt;"",C948&lt;&gt;""),SUMIFS(Movimentos!$F$4:$F$9996,Movimentos!$D$4:$D$9996,B948,Movimentos!$C$4:$C$9996,"Entrada")-SUMIFS(Movimentos!$F$4:$F$9996,Movimentos!$D$4:$D$9996,B948,Movimentos!$C$4:$C$9996,"Saída"),""),"")</f>
        <v/>
      </c>
      <c r="F948" s="10" t="str">
        <f t="shared" si="32"/>
        <v/>
      </c>
    </row>
    <row r="949" spans="1:6" x14ac:dyDescent="0.3">
      <c r="A949" s="15" t="str">
        <f t="shared" si="31"/>
        <v>.</v>
      </c>
      <c r="E949" s="13" t="str">
        <f>IFERROR(IF(AND(B949&lt;&gt;"",C949&lt;&gt;""),SUMIFS(Movimentos!$F$4:$F$9996,Movimentos!$D$4:$D$9996,B949,Movimentos!$C$4:$C$9996,"Entrada")-SUMIFS(Movimentos!$F$4:$F$9996,Movimentos!$D$4:$D$9996,B949,Movimentos!$C$4:$C$9996,"Saída"),""),"")</f>
        <v/>
      </c>
      <c r="F949" s="10" t="str">
        <f t="shared" si="32"/>
        <v/>
      </c>
    </row>
    <row r="950" spans="1:6" x14ac:dyDescent="0.3">
      <c r="A950" s="15" t="str">
        <f t="shared" si="31"/>
        <v>.</v>
      </c>
      <c r="E950" s="13" t="str">
        <f>IFERROR(IF(AND(B950&lt;&gt;"",C950&lt;&gt;""),SUMIFS(Movimentos!$F$4:$F$9996,Movimentos!$D$4:$D$9996,B950,Movimentos!$C$4:$C$9996,"Entrada")-SUMIFS(Movimentos!$F$4:$F$9996,Movimentos!$D$4:$D$9996,B950,Movimentos!$C$4:$C$9996,"Saída"),""),"")</f>
        <v/>
      </c>
      <c r="F950" s="10" t="str">
        <f t="shared" si="32"/>
        <v/>
      </c>
    </row>
    <row r="951" spans="1:6" x14ac:dyDescent="0.3">
      <c r="A951" s="15" t="str">
        <f t="shared" si="31"/>
        <v>.</v>
      </c>
      <c r="E951" s="13" t="str">
        <f>IFERROR(IF(AND(B951&lt;&gt;"",C951&lt;&gt;""),SUMIFS(Movimentos!$F$4:$F$9996,Movimentos!$D$4:$D$9996,B951,Movimentos!$C$4:$C$9996,"Entrada")-SUMIFS(Movimentos!$F$4:$F$9996,Movimentos!$D$4:$D$9996,B951,Movimentos!$C$4:$C$9996,"Saída"),""),"")</f>
        <v/>
      </c>
      <c r="F951" s="10" t="str">
        <f t="shared" si="32"/>
        <v/>
      </c>
    </row>
    <row r="952" spans="1:6" x14ac:dyDescent="0.3">
      <c r="A952" s="15" t="str">
        <f t="shared" si="31"/>
        <v>.</v>
      </c>
      <c r="E952" s="13" t="str">
        <f>IFERROR(IF(AND(B952&lt;&gt;"",C952&lt;&gt;""),SUMIFS(Movimentos!$F$4:$F$9996,Movimentos!$D$4:$D$9996,B952,Movimentos!$C$4:$C$9996,"Entrada")-SUMIFS(Movimentos!$F$4:$F$9996,Movimentos!$D$4:$D$9996,B952,Movimentos!$C$4:$C$9996,"Saída"),""),"")</f>
        <v/>
      </c>
      <c r="F952" s="10" t="str">
        <f t="shared" si="32"/>
        <v/>
      </c>
    </row>
    <row r="953" spans="1:6" x14ac:dyDescent="0.3">
      <c r="A953" s="15" t="str">
        <f t="shared" si="31"/>
        <v>.</v>
      </c>
      <c r="E953" s="13" t="str">
        <f>IFERROR(IF(AND(B953&lt;&gt;"",C953&lt;&gt;""),SUMIFS(Movimentos!$F$4:$F$9996,Movimentos!$D$4:$D$9996,B953,Movimentos!$C$4:$C$9996,"Entrada")-SUMIFS(Movimentos!$F$4:$F$9996,Movimentos!$D$4:$D$9996,B953,Movimentos!$C$4:$C$9996,"Saída"),""),"")</f>
        <v/>
      </c>
      <c r="F953" s="10" t="str">
        <f t="shared" si="32"/>
        <v/>
      </c>
    </row>
    <row r="954" spans="1:6" x14ac:dyDescent="0.3">
      <c r="A954" s="15" t="str">
        <f t="shared" si="31"/>
        <v>.</v>
      </c>
      <c r="E954" s="13" t="str">
        <f>IFERROR(IF(AND(B954&lt;&gt;"",C954&lt;&gt;""),SUMIFS(Movimentos!$F$4:$F$9996,Movimentos!$D$4:$D$9996,B954,Movimentos!$C$4:$C$9996,"Entrada")-SUMIFS(Movimentos!$F$4:$F$9996,Movimentos!$D$4:$D$9996,B954,Movimentos!$C$4:$C$9996,"Saída"),""),"")</f>
        <v/>
      </c>
      <c r="F954" s="10" t="str">
        <f t="shared" si="32"/>
        <v/>
      </c>
    </row>
    <row r="955" spans="1:6" x14ac:dyDescent="0.3">
      <c r="A955" s="15" t="str">
        <f t="shared" si="31"/>
        <v>.</v>
      </c>
      <c r="E955" s="13" t="str">
        <f>IFERROR(IF(AND(B955&lt;&gt;"",C955&lt;&gt;""),SUMIFS(Movimentos!$F$4:$F$9996,Movimentos!$D$4:$D$9996,B955,Movimentos!$C$4:$C$9996,"Entrada")-SUMIFS(Movimentos!$F$4:$F$9996,Movimentos!$D$4:$D$9996,B955,Movimentos!$C$4:$C$9996,"Saída"),""),"")</f>
        <v/>
      </c>
      <c r="F955" s="10" t="str">
        <f t="shared" si="32"/>
        <v/>
      </c>
    </row>
    <row r="956" spans="1:6" x14ac:dyDescent="0.3">
      <c r="A956" s="15" t="str">
        <f t="shared" si="31"/>
        <v>.</v>
      </c>
      <c r="E956" s="13" t="str">
        <f>IFERROR(IF(AND(B956&lt;&gt;"",C956&lt;&gt;""),SUMIFS(Movimentos!$F$4:$F$9996,Movimentos!$D$4:$D$9996,B956,Movimentos!$C$4:$C$9996,"Entrada")-SUMIFS(Movimentos!$F$4:$F$9996,Movimentos!$D$4:$D$9996,B956,Movimentos!$C$4:$C$9996,"Saída"),""),"")</f>
        <v/>
      </c>
      <c r="F956" s="10" t="str">
        <f t="shared" si="32"/>
        <v/>
      </c>
    </row>
    <row r="957" spans="1:6" x14ac:dyDescent="0.3">
      <c r="A957" s="15" t="str">
        <f t="shared" si="31"/>
        <v>.</v>
      </c>
      <c r="E957" s="13" t="str">
        <f>IFERROR(IF(AND(B957&lt;&gt;"",C957&lt;&gt;""),SUMIFS(Movimentos!$F$4:$F$9996,Movimentos!$D$4:$D$9996,B957,Movimentos!$C$4:$C$9996,"Entrada")-SUMIFS(Movimentos!$F$4:$F$9996,Movimentos!$D$4:$D$9996,B957,Movimentos!$C$4:$C$9996,"Saída"),""),"")</f>
        <v/>
      </c>
      <c r="F957" s="10" t="str">
        <f t="shared" si="32"/>
        <v/>
      </c>
    </row>
    <row r="958" spans="1:6" x14ac:dyDescent="0.3">
      <c r="A958" s="15" t="str">
        <f t="shared" si="31"/>
        <v>.</v>
      </c>
      <c r="E958" s="13" t="str">
        <f>IFERROR(IF(AND(B958&lt;&gt;"",C958&lt;&gt;""),SUMIFS(Movimentos!$F$4:$F$9996,Movimentos!$D$4:$D$9996,B958,Movimentos!$C$4:$C$9996,"Entrada")-SUMIFS(Movimentos!$F$4:$F$9996,Movimentos!$D$4:$D$9996,B958,Movimentos!$C$4:$C$9996,"Saída"),""),"")</f>
        <v/>
      </c>
      <c r="F958" s="10" t="str">
        <f t="shared" si="32"/>
        <v/>
      </c>
    </row>
    <row r="959" spans="1:6" x14ac:dyDescent="0.3">
      <c r="A959" s="15" t="str">
        <f t="shared" si="31"/>
        <v>.</v>
      </c>
      <c r="E959" s="13" t="str">
        <f>IFERROR(IF(AND(B959&lt;&gt;"",C959&lt;&gt;""),SUMIFS(Movimentos!$F$4:$F$9996,Movimentos!$D$4:$D$9996,B959,Movimentos!$C$4:$C$9996,"Entrada")-SUMIFS(Movimentos!$F$4:$F$9996,Movimentos!$D$4:$D$9996,B959,Movimentos!$C$4:$C$9996,"Saída"),""),"")</f>
        <v/>
      </c>
      <c r="F959" s="10" t="str">
        <f t="shared" si="32"/>
        <v/>
      </c>
    </row>
    <row r="960" spans="1:6" x14ac:dyDescent="0.3">
      <c r="A960" s="15" t="str">
        <f t="shared" ref="A960:A1023" si="33">IF(F960="Saldo zerado",0,IF(F960="Saldo abaixo do mínimo",1,IF(F960="Saldo disponível",2,".")))</f>
        <v>.</v>
      </c>
      <c r="E960" s="13" t="str">
        <f>IFERROR(IF(AND(B960&lt;&gt;"",C960&lt;&gt;""),SUMIFS(Movimentos!$F$4:$F$9996,Movimentos!$D$4:$D$9996,B960,Movimentos!$C$4:$C$9996,"Entrada")-SUMIFS(Movimentos!$F$4:$F$9996,Movimentos!$D$4:$D$9996,B960,Movimentos!$C$4:$C$9996,"Saída"),""),"")</f>
        <v/>
      </c>
      <c r="F960" s="10" t="str">
        <f t="shared" si="32"/>
        <v/>
      </c>
    </row>
    <row r="961" spans="1:6" x14ac:dyDescent="0.3">
      <c r="A961" s="15" t="str">
        <f t="shared" si="33"/>
        <v>.</v>
      </c>
      <c r="E961" s="13" t="str">
        <f>IFERROR(IF(AND(B961&lt;&gt;"",C961&lt;&gt;""),SUMIFS(Movimentos!$F$4:$F$9996,Movimentos!$D$4:$D$9996,B961,Movimentos!$C$4:$C$9996,"Entrada")-SUMIFS(Movimentos!$F$4:$F$9996,Movimentos!$D$4:$D$9996,B961,Movimentos!$C$4:$C$9996,"Saída"),""),"")</f>
        <v/>
      </c>
      <c r="F961" s="10" t="str">
        <f t="shared" si="32"/>
        <v/>
      </c>
    </row>
    <row r="962" spans="1:6" x14ac:dyDescent="0.3">
      <c r="A962" s="15" t="str">
        <f t="shared" si="33"/>
        <v>.</v>
      </c>
      <c r="E962" s="13" t="str">
        <f>IFERROR(IF(AND(B962&lt;&gt;"",C962&lt;&gt;""),SUMIFS(Movimentos!$F$4:$F$9996,Movimentos!$D$4:$D$9996,B962,Movimentos!$C$4:$C$9996,"Entrada")-SUMIFS(Movimentos!$F$4:$F$9996,Movimentos!$D$4:$D$9996,B962,Movimentos!$C$4:$C$9996,"Saída"),""),"")</f>
        <v/>
      </c>
      <c r="F962" s="10" t="str">
        <f t="shared" si="32"/>
        <v/>
      </c>
    </row>
    <row r="963" spans="1:6" x14ac:dyDescent="0.3">
      <c r="A963" s="15" t="str">
        <f t="shared" si="33"/>
        <v>.</v>
      </c>
      <c r="E963" s="13" t="str">
        <f>IFERROR(IF(AND(B963&lt;&gt;"",C963&lt;&gt;""),SUMIFS(Movimentos!$F$4:$F$9996,Movimentos!$D$4:$D$9996,B963,Movimentos!$C$4:$C$9996,"Entrada")-SUMIFS(Movimentos!$F$4:$F$9996,Movimentos!$D$4:$D$9996,B963,Movimentos!$C$4:$C$9996,"Saída"),""),"")</f>
        <v/>
      </c>
      <c r="F963" s="10" t="str">
        <f t="shared" si="32"/>
        <v/>
      </c>
    </row>
    <row r="964" spans="1:6" x14ac:dyDescent="0.3">
      <c r="A964" s="15" t="str">
        <f t="shared" si="33"/>
        <v>.</v>
      </c>
      <c r="E964" s="13" t="str">
        <f>IFERROR(IF(AND(B964&lt;&gt;"",C964&lt;&gt;""),SUMIFS(Movimentos!$F$4:$F$9996,Movimentos!$D$4:$D$9996,B964,Movimentos!$C$4:$C$9996,"Entrada")-SUMIFS(Movimentos!$F$4:$F$9996,Movimentos!$D$4:$D$9996,B964,Movimentos!$C$4:$C$9996,"Saída"),""),"")</f>
        <v/>
      </c>
      <c r="F964" s="10" t="str">
        <f t="shared" si="32"/>
        <v/>
      </c>
    </row>
    <row r="965" spans="1:6" x14ac:dyDescent="0.3">
      <c r="A965" s="15" t="str">
        <f t="shared" si="33"/>
        <v>.</v>
      </c>
      <c r="E965" s="13" t="str">
        <f>IFERROR(IF(AND(B965&lt;&gt;"",C965&lt;&gt;""),SUMIFS(Movimentos!$F$4:$F$9996,Movimentos!$D$4:$D$9996,B965,Movimentos!$C$4:$C$9996,"Entrada")-SUMIFS(Movimentos!$F$4:$F$9996,Movimentos!$D$4:$D$9996,B965,Movimentos!$C$4:$C$9996,"Saída"),""),"")</f>
        <v/>
      </c>
      <c r="F965" s="10" t="str">
        <f t="shared" si="32"/>
        <v/>
      </c>
    </row>
    <row r="966" spans="1:6" x14ac:dyDescent="0.3">
      <c r="A966" s="15" t="str">
        <f t="shared" si="33"/>
        <v>.</v>
      </c>
      <c r="E966" s="13" t="str">
        <f>IFERROR(IF(AND(B966&lt;&gt;"",C966&lt;&gt;""),SUMIFS(Movimentos!$F$4:$F$9996,Movimentos!$D$4:$D$9996,B966,Movimentos!$C$4:$C$9996,"Entrada")-SUMIFS(Movimentos!$F$4:$F$9996,Movimentos!$D$4:$D$9996,B966,Movimentos!$C$4:$C$9996,"Saída"),""),"")</f>
        <v/>
      </c>
      <c r="F966" s="10" t="str">
        <f t="shared" si="32"/>
        <v/>
      </c>
    </row>
    <row r="967" spans="1:6" x14ac:dyDescent="0.3">
      <c r="A967" s="15" t="str">
        <f t="shared" si="33"/>
        <v>.</v>
      </c>
      <c r="E967" s="13" t="str">
        <f>IFERROR(IF(AND(B967&lt;&gt;"",C967&lt;&gt;""),SUMIFS(Movimentos!$F$4:$F$9996,Movimentos!$D$4:$D$9996,B967,Movimentos!$C$4:$C$9996,"Entrada")-SUMIFS(Movimentos!$F$4:$F$9996,Movimentos!$D$4:$D$9996,B967,Movimentos!$C$4:$C$9996,"Saída"),""),"")</f>
        <v/>
      </c>
      <c r="F967" s="10" t="str">
        <f t="shared" si="32"/>
        <v/>
      </c>
    </row>
    <row r="968" spans="1:6" x14ac:dyDescent="0.3">
      <c r="A968" s="15" t="str">
        <f t="shared" si="33"/>
        <v>.</v>
      </c>
      <c r="E968" s="13" t="str">
        <f>IFERROR(IF(AND(B968&lt;&gt;"",C968&lt;&gt;""),SUMIFS(Movimentos!$F$4:$F$9996,Movimentos!$D$4:$D$9996,B968,Movimentos!$C$4:$C$9996,"Entrada")-SUMIFS(Movimentos!$F$4:$F$9996,Movimentos!$D$4:$D$9996,B968,Movimentos!$C$4:$C$9996,"Saída"),""),"")</f>
        <v/>
      </c>
      <c r="F968" s="10" t="str">
        <f t="shared" si="32"/>
        <v/>
      </c>
    </row>
    <row r="969" spans="1:6" x14ac:dyDescent="0.3">
      <c r="A969" s="15" t="str">
        <f t="shared" si="33"/>
        <v>.</v>
      </c>
      <c r="E969" s="13" t="str">
        <f>IFERROR(IF(AND(B969&lt;&gt;"",C969&lt;&gt;""),SUMIFS(Movimentos!$F$4:$F$9996,Movimentos!$D$4:$D$9996,B969,Movimentos!$C$4:$C$9996,"Entrada")-SUMIFS(Movimentos!$F$4:$F$9996,Movimentos!$D$4:$D$9996,B969,Movimentos!$C$4:$C$9996,"Saída"),""),"")</f>
        <v/>
      </c>
      <c r="F969" s="10" t="str">
        <f t="shared" si="32"/>
        <v/>
      </c>
    </row>
    <row r="970" spans="1:6" x14ac:dyDescent="0.3">
      <c r="A970" s="15" t="str">
        <f t="shared" si="33"/>
        <v>.</v>
      </c>
      <c r="E970" s="13" t="str">
        <f>IFERROR(IF(AND(B970&lt;&gt;"",C970&lt;&gt;""),SUMIFS(Movimentos!$F$4:$F$9996,Movimentos!$D$4:$D$9996,B970,Movimentos!$C$4:$C$9996,"Entrada")-SUMIFS(Movimentos!$F$4:$F$9996,Movimentos!$D$4:$D$9996,B970,Movimentos!$C$4:$C$9996,"Saída"),""),"")</f>
        <v/>
      </c>
      <c r="F970" s="10" t="str">
        <f t="shared" si="32"/>
        <v/>
      </c>
    </row>
    <row r="971" spans="1:6" x14ac:dyDescent="0.3">
      <c r="A971" s="15" t="str">
        <f t="shared" si="33"/>
        <v>.</v>
      </c>
      <c r="E971" s="13" t="str">
        <f>IFERROR(IF(AND(B971&lt;&gt;"",C971&lt;&gt;""),SUMIFS(Movimentos!$F$4:$F$9996,Movimentos!$D$4:$D$9996,B971,Movimentos!$C$4:$C$9996,"Entrada")-SUMIFS(Movimentos!$F$4:$F$9996,Movimentos!$D$4:$D$9996,B971,Movimentos!$C$4:$C$9996,"Saída"),""),"")</f>
        <v/>
      </c>
      <c r="F971" s="10" t="str">
        <f t="shared" si="32"/>
        <v/>
      </c>
    </row>
    <row r="972" spans="1:6" x14ac:dyDescent="0.3">
      <c r="A972" s="15" t="str">
        <f t="shared" si="33"/>
        <v>.</v>
      </c>
      <c r="E972" s="13" t="str">
        <f>IFERROR(IF(AND(B972&lt;&gt;"",C972&lt;&gt;""),SUMIFS(Movimentos!$F$4:$F$9996,Movimentos!$D$4:$D$9996,B972,Movimentos!$C$4:$C$9996,"Entrada")-SUMIFS(Movimentos!$F$4:$F$9996,Movimentos!$D$4:$D$9996,B972,Movimentos!$C$4:$C$9996,"Saída"),""),"")</f>
        <v/>
      </c>
      <c r="F972" s="10" t="str">
        <f t="shared" si="32"/>
        <v/>
      </c>
    </row>
    <row r="973" spans="1:6" x14ac:dyDescent="0.3">
      <c r="A973" s="15" t="str">
        <f t="shared" si="33"/>
        <v>.</v>
      </c>
      <c r="E973" s="13" t="str">
        <f>IFERROR(IF(AND(B973&lt;&gt;"",C973&lt;&gt;""),SUMIFS(Movimentos!$F$4:$F$9996,Movimentos!$D$4:$D$9996,B973,Movimentos!$C$4:$C$9996,"Entrada")-SUMIFS(Movimentos!$F$4:$F$9996,Movimentos!$D$4:$D$9996,B973,Movimentos!$C$4:$C$9996,"Saída"),""),"")</f>
        <v/>
      </c>
      <c r="F973" s="10" t="str">
        <f t="shared" si="32"/>
        <v/>
      </c>
    </row>
    <row r="974" spans="1:6" x14ac:dyDescent="0.3">
      <c r="A974" s="15" t="str">
        <f t="shared" si="33"/>
        <v>.</v>
      </c>
      <c r="E974" s="13" t="str">
        <f>IFERROR(IF(AND(B974&lt;&gt;"",C974&lt;&gt;""),SUMIFS(Movimentos!$F$4:$F$9996,Movimentos!$D$4:$D$9996,B974,Movimentos!$C$4:$C$9996,"Entrada")-SUMIFS(Movimentos!$F$4:$F$9996,Movimentos!$D$4:$D$9996,B974,Movimentos!$C$4:$C$9996,"Saída"),""),"")</f>
        <v/>
      </c>
      <c r="F974" s="10" t="str">
        <f t="shared" si="32"/>
        <v/>
      </c>
    </row>
    <row r="975" spans="1:6" x14ac:dyDescent="0.3">
      <c r="A975" s="15" t="str">
        <f t="shared" si="33"/>
        <v>.</v>
      </c>
      <c r="E975" s="13" t="str">
        <f>IFERROR(IF(AND(B975&lt;&gt;"",C975&lt;&gt;""),SUMIFS(Movimentos!$F$4:$F$9996,Movimentos!$D$4:$D$9996,B975,Movimentos!$C$4:$C$9996,"Entrada")-SUMIFS(Movimentos!$F$4:$F$9996,Movimentos!$D$4:$D$9996,B975,Movimentos!$C$4:$C$9996,"Saída"),""),"")</f>
        <v/>
      </c>
      <c r="F975" s="10" t="str">
        <f t="shared" si="32"/>
        <v/>
      </c>
    </row>
    <row r="976" spans="1:6" x14ac:dyDescent="0.3">
      <c r="A976" s="15" t="str">
        <f t="shared" si="33"/>
        <v>.</v>
      </c>
      <c r="E976" s="13" t="str">
        <f>IFERROR(IF(AND(B976&lt;&gt;"",C976&lt;&gt;""),SUMIFS(Movimentos!$F$4:$F$9996,Movimentos!$D$4:$D$9996,B976,Movimentos!$C$4:$C$9996,"Entrada")-SUMIFS(Movimentos!$F$4:$F$9996,Movimentos!$D$4:$D$9996,B976,Movimentos!$C$4:$C$9996,"Saída"),""),"")</f>
        <v/>
      </c>
      <c r="F976" s="10" t="str">
        <f t="shared" si="32"/>
        <v/>
      </c>
    </row>
    <row r="977" spans="1:6" x14ac:dyDescent="0.3">
      <c r="A977" s="15" t="str">
        <f t="shared" si="33"/>
        <v>.</v>
      </c>
      <c r="E977" s="13" t="str">
        <f>IFERROR(IF(AND(B977&lt;&gt;"",C977&lt;&gt;""),SUMIFS(Movimentos!$F$4:$F$9996,Movimentos!$D$4:$D$9996,B977,Movimentos!$C$4:$C$9996,"Entrada")-SUMIFS(Movimentos!$F$4:$F$9996,Movimentos!$D$4:$D$9996,B977,Movimentos!$C$4:$C$9996,"Saída"),""),"")</f>
        <v/>
      </c>
      <c r="F977" s="10" t="str">
        <f t="shared" si="32"/>
        <v/>
      </c>
    </row>
    <row r="978" spans="1:6" x14ac:dyDescent="0.3">
      <c r="A978" s="15" t="str">
        <f t="shared" si="33"/>
        <v>.</v>
      </c>
      <c r="E978" s="13" t="str">
        <f>IFERROR(IF(AND(B978&lt;&gt;"",C978&lt;&gt;""),SUMIFS(Movimentos!$F$4:$F$9996,Movimentos!$D$4:$D$9996,B978,Movimentos!$C$4:$C$9996,"Entrada")-SUMIFS(Movimentos!$F$4:$F$9996,Movimentos!$D$4:$D$9996,B978,Movimentos!$C$4:$C$9996,"Saída"),""),"")</f>
        <v/>
      </c>
      <c r="F978" s="10" t="str">
        <f t="shared" si="32"/>
        <v/>
      </c>
    </row>
    <row r="979" spans="1:6" x14ac:dyDescent="0.3">
      <c r="A979" s="15" t="str">
        <f t="shared" si="33"/>
        <v>.</v>
      </c>
      <c r="E979" s="13" t="str">
        <f>IFERROR(IF(AND(B979&lt;&gt;"",C979&lt;&gt;""),SUMIFS(Movimentos!$F$4:$F$9996,Movimentos!$D$4:$D$9996,B979,Movimentos!$C$4:$C$9996,"Entrada")-SUMIFS(Movimentos!$F$4:$F$9996,Movimentos!$D$4:$D$9996,B979,Movimentos!$C$4:$C$9996,"Saída"),""),"")</f>
        <v/>
      </c>
      <c r="F979" s="10" t="str">
        <f t="shared" si="32"/>
        <v/>
      </c>
    </row>
    <row r="980" spans="1:6" x14ac:dyDescent="0.3">
      <c r="A980" s="15" t="str">
        <f t="shared" si="33"/>
        <v>.</v>
      </c>
      <c r="E980" s="13" t="str">
        <f>IFERROR(IF(AND(B980&lt;&gt;"",C980&lt;&gt;""),SUMIFS(Movimentos!$F$4:$F$9996,Movimentos!$D$4:$D$9996,B980,Movimentos!$C$4:$C$9996,"Entrada")-SUMIFS(Movimentos!$F$4:$F$9996,Movimentos!$D$4:$D$9996,B980,Movimentos!$C$4:$C$9996,"Saída"),""),"")</f>
        <v/>
      </c>
      <c r="F980" s="10" t="str">
        <f t="shared" si="32"/>
        <v/>
      </c>
    </row>
    <row r="981" spans="1:6" x14ac:dyDescent="0.3">
      <c r="A981" s="15" t="str">
        <f t="shared" si="33"/>
        <v>.</v>
      </c>
      <c r="E981" s="13" t="str">
        <f>IFERROR(IF(AND(B981&lt;&gt;"",C981&lt;&gt;""),SUMIFS(Movimentos!$F$4:$F$9996,Movimentos!$D$4:$D$9996,B981,Movimentos!$C$4:$C$9996,"Entrada")-SUMIFS(Movimentos!$F$4:$F$9996,Movimentos!$D$4:$D$9996,B981,Movimentos!$C$4:$C$9996,"Saída"),""),"")</f>
        <v/>
      </c>
      <c r="F981" s="10" t="str">
        <f t="shared" si="32"/>
        <v/>
      </c>
    </row>
    <row r="982" spans="1:6" x14ac:dyDescent="0.3">
      <c r="A982" s="15" t="str">
        <f t="shared" si="33"/>
        <v>.</v>
      </c>
      <c r="E982" s="13" t="str">
        <f>IFERROR(IF(AND(B982&lt;&gt;"",C982&lt;&gt;""),SUMIFS(Movimentos!$F$4:$F$9996,Movimentos!$D$4:$D$9996,B982,Movimentos!$C$4:$C$9996,"Entrada")-SUMIFS(Movimentos!$F$4:$F$9996,Movimentos!$D$4:$D$9996,B982,Movimentos!$C$4:$C$9996,"Saída"),""),"")</f>
        <v/>
      </c>
      <c r="F982" s="10" t="str">
        <f t="shared" si="32"/>
        <v/>
      </c>
    </row>
    <row r="983" spans="1:6" x14ac:dyDescent="0.3">
      <c r="A983" s="15" t="str">
        <f t="shared" si="33"/>
        <v>.</v>
      </c>
      <c r="E983" s="13" t="str">
        <f>IFERROR(IF(AND(B983&lt;&gt;"",C983&lt;&gt;""),SUMIFS(Movimentos!$F$4:$F$9996,Movimentos!$D$4:$D$9996,B983,Movimentos!$C$4:$C$9996,"Entrada")-SUMIFS(Movimentos!$F$4:$F$9996,Movimentos!$D$4:$D$9996,B983,Movimentos!$C$4:$C$9996,"Saída"),""),"")</f>
        <v/>
      </c>
      <c r="F983" s="10" t="str">
        <f t="shared" ref="F983:F1046" si="34">IF(AND(B983&lt;&gt;"",C983&lt;&gt;""),IF(E983=0,"Saldo zerado",IF(E983&lt;D983,"Saldo abaixo do mínimo","Saldo disponível")),"")</f>
        <v/>
      </c>
    </row>
    <row r="984" spans="1:6" x14ac:dyDescent="0.3">
      <c r="A984" s="15" t="str">
        <f t="shared" si="33"/>
        <v>.</v>
      </c>
      <c r="E984" s="13" t="str">
        <f>IFERROR(IF(AND(B984&lt;&gt;"",C984&lt;&gt;""),SUMIFS(Movimentos!$F$4:$F$9996,Movimentos!$D$4:$D$9996,B984,Movimentos!$C$4:$C$9996,"Entrada")-SUMIFS(Movimentos!$F$4:$F$9996,Movimentos!$D$4:$D$9996,B984,Movimentos!$C$4:$C$9996,"Saída"),""),"")</f>
        <v/>
      </c>
      <c r="F984" s="10" t="str">
        <f t="shared" si="34"/>
        <v/>
      </c>
    </row>
    <row r="985" spans="1:6" x14ac:dyDescent="0.3">
      <c r="A985" s="15" t="str">
        <f t="shared" si="33"/>
        <v>.</v>
      </c>
      <c r="E985" s="13" t="str">
        <f>IFERROR(IF(AND(B985&lt;&gt;"",C985&lt;&gt;""),SUMIFS(Movimentos!$F$4:$F$9996,Movimentos!$D$4:$D$9996,B985,Movimentos!$C$4:$C$9996,"Entrada")-SUMIFS(Movimentos!$F$4:$F$9996,Movimentos!$D$4:$D$9996,B985,Movimentos!$C$4:$C$9996,"Saída"),""),"")</f>
        <v/>
      </c>
      <c r="F985" s="10" t="str">
        <f t="shared" si="34"/>
        <v/>
      </c>
    </row>
    <row r="986" spans="1:6" x14ac:dyDescent="0.3">
      <c r="A986" s="15" t="str">
        <f t="shared" si="33"/>
        <v>.</v>
      </c>
      <c r="E986" s="13" t="str">
        <f>IFERROR(IF(AND(B986&lt;&gt;"",C986&lt;&gt;""),SUMIFS(Movimentos!$F$4:$F$9996,Movimentos!$D$4:$D$9996,B986,Movimentos!$C$4:$C$9996,"Entrada")-SUMIFS(Movimentos!$F$4:$F$9996,Movimentos!$D$4:$D$9996,B986,Movimentos!$C$4:$C$9996,"Saída"),""),"")</f>
        <v/>
      </c>
      <c r="F986" s="10" t="str">
        <f t="shared" si="34"/>
        <v/>
      </c>
    </row>
    <row r="987" spans="1:6" x14ac:dyDescent="0.3">
      <c r="A987" s="15" t="str">
        <f t="shared" si="33"/>
        <v>.</v>
      </c>
      <c r="E987" s="13" t="str">
        <f>IFERROR(IF(AND(B987&lt;&gt;"",C987&lt;&gt;""),SUMIFS(Movimentos!$F$4:$F$9996,Movimentos!$D$4:$D$9996,B987,Movimentos!$C$4:$C$9996,"Entrada")-SUMIFS(Movimentos!$F$4:$F$9996,Movimentos!$D$4:$D$9996,B987,Movimentos!$C$4:$C$9996,"Saída"),""),"")</f>
        <v/>
      </c>
      <c r="F987" s="10" t="str">
        <f t="shared" si="34"/>
        <v/>
      </c>
    </row>
    <row r="988" spans="1:6" x14ac:dyDescent="0.3">
      <c r="A988" s="15" t="str">
        <f t="shared" si="33"/>
        <v>.</v>
      </c>
      <c r="E988" s="13" t="str">
        <f>IFERROR(IF(AND(B988&lt;&gt;"",C988&lt;&gt;""),SUMIFS(Movimentos!$F$4:$F$9996,Movimentos!$D$4:$D$9996,B988,Movimentos!$C$4:$C$9996,"Entrada")-SUMIFS(Movimentos!$F$4:$F$9996,Movimentos!$D$4:$D$9996,B988,Movimentos!$C$4:$C$9996,"Saída"),""),"")</f>
        <v/>
      </c>
      <c r="F988" s="10" t="str">
        <f t="shared" si="34"/>
        <v/>
      </c>
    </row>
    <row r="989" spans="1:6" x14ac:dyDescent="0.3">
      <c r="A989" s="15" t="str">
        <f t="shared" si="33"/>
        <v>.</v>
      </c>
      <c r="E989" s="13" t="str">
        <f>IFERROR(IF(AND(B989&lt;&gt;"",C989&lt;&gt;""),SUMIFS(Movimentos!$F$4:$F$9996,Movimentos!$D$4:$D$9996,B989,Movimentos!$C$4:$C$9996,"Entrada")-SUMIFS(Movimentos!$F$4:$F$9996,Movimentos!$D$4:$D$9996,B989,Movimentos!$C$4:$C$9996,"Saída"),""),"")</f>
        <v/>
      </c>
      <c r="F989" s="10" t="str">
        <f t="shared" si="34"/>
        <v/>
      </c>
    </row>
    <row r="990" spans="1:6" x14ac:dyDescent="0.3">
      <c r="A990" s="15" t="str">
        <f t="shared" si="33"/>
        <v>.</v>
      </c>
      <c r="E990" s="13" t="str">
        <f>IFERROR(IF(AND(B990&lt;&gt;"",C990&lt;&gt;""),SUMIFS(Movimentos!$F$4:$F$9996,Movimentos!$D$4:$D$9996,B990,Movimentos!$C$4:$C$9996,"Entrada")-SUMIFS(Movimentos!$F$4:$F$9996,Movimentos!$D$4:$D$9996,B990,Movimentos!$C$4:$C$9996,"Saída"),""),"")</f>
        <v/>
      </c>
      <c r="F990" s="10" t="str">
        <f t="shared" si="34"/>
        <v/>
      </c>
    </row>
    <row r="991" spans="1:6" x14ac:dyDescent="0.3">
      <c r="A991" s="15" t="str">
        <f t="shared" si="33"/>
        <v>.</v>
      </c>
      <c r="E991" s="13" t="str">
        <f>IFERROR(IF(AND(B991&lt;&gt;"",C991&lt;&gt;""),SUMIFS(Movimentos!$F$4:$F$9996,Movimentos!$D$4:$D$9996,B991,Movimentos!$C$4:$C$9996,"Entrada")-SUMIFS(Movimentos!$F$4:$F$9996,Movimentos!$D$4:$D$9996,B991,Movimentos!$C$4:$C$9996,"Saída"),""),"")</f>
        <v/>
      </c>
      <c r="F991" s="10" t="str">
        <f t="shared" si="34"/>
        <v/>
      </c>
    </row>
    <row r="992" spans="1:6" x14ac:dyDescent="0.3">
      <c r="A992" s="15" t="str">
        <f t="shared" si="33"/>
        <v>.</v>
      </c>
      <c r="E992" s="13" t="str">
        <f>IFERROR(IF(AND(B992&lt;&gt;"",C992&lt;&gt;""),SUMIFS(Movimentos!$F$4:$F$9996,Movimentos!$D$4:$D$9996,B992,Movimentos!$C$4:$C$9996,"Entrada")-SUMIFS(Movimentos!$F$4:$F$9996,Movimentos!$D$4:$D$9996,B992,Movimentos!$C$4:$C$9996,"Saída"),""),"")</f>
        <v/>
      </c>
      <c r="F992" s="10" t="str">
        <f t="shared" si="34"/>
        <v/>
      </c>
    </row>
    <row r="993" spans="1:6" x14ac:dyDescent="0.3">
      <c r="A993" s="15" t="str">
        <f t="shared" si="33"/>
        <v>.</v>
      </c>
      <c r="E993" s="13" t="str">
        <f>IFERROR(IF(AND(B993&lt;&gt;"",C993&lt;&gt;""),SUMIFS(Movimentos!$F$4:$F$9996,Movimentos!$D$4:$D$9996,B993,Movimentos!$C$4:$C$9996,"Entrada")-SUMIFS(Movimentos!$F$4:$F$9996,Movimentos!$D$4:$D$9996,B993,Movimentos!$C$4:$C$9996,"Saída"),""),"")</f>
        <v/>
      </c>
      <c r="F993" s="10" t="str">
        <f t="shared" si="34"/>
        <v/>
      </c>
    </row>
    <row r="994" spans="1:6" x14ac:dyDescent="0.3">
      <c r="A994" s="15" t="str">
        <f t="shared" si="33"/>
        <v>.</v>
      </c>
      <c r="E994" s="13" t="str">
        <f>IFERROR(IF(AND(B994&lt;&gt;"",C994&lt;&gt;""),SUMIFS(Movimentos!$F$4:$F$9996,Movimentos!$D$4:$D$9996,B994,Movimentos!$C$4:$C$9996,"Entrada")-SUMIFS(Movimentos!$F$4:$F$9996,Movimentos!$D$4:$D$9996,B994,Movimentos!$C$4:$C$9996,"Saída"),""),"")</f>
        <v/>
      </c>
      <c r="F994" s="10" t="str">
        <f t="shared" si="34"/>
        <v/>
      </c>
    </row>
    <row r="995" spans="1:6" x14ac:dyDescent="0.3">
      <c r="A995" s="15" t="str">
        <f t="shared" si="33"/>
        <v>.</v>
      </c>
      <c r="E995" s="13" t="str">
        <f>IFERROR(IF(AND(B995&lt;&gt;"",C995&lt;&gt;""),SUMIFS(Movimentos!$F$4:$F$9996,Movimentos!$D$4:$D$9996,B995,Movimentos!$C$4:$C$9996,"Entrada")-SUMIFS(Movimentos!$F$4:$F$9996,Movimentos!$D$4:$D$9996,B995,Movimentos!$C$4:$C$9996,"Saída"),""),"")</f>
        <v/>
      </c>
      <c r="F995" s="10" t="str">
        <f t="shared" si="34"/>
        <v/>
      </c>
    </row>
    <row r="996" spans="1:6" x14ac:dyDescent="0.3">
      <c r="A996" s="15" t="str">
        <f t="shared" si="33"/>
        <v>.</v>
      </c>
      <c r="E996" s="13" t="str">
        <f>IFERROR(IF(AND(B996&lt;&gt;"",C996&lt;&gt;""),SUMIFS(Movimentos!$F$4:$F$9996,Movimentos!$D$4:$D$9996,B996,Movimentos!$C$4:$C$9996,"Entrada")-SUMIFS(Movimentos!$F$4:$F$9996,Movimentos!$D$4:$D$9996,B996,Movimentos!$C$4:$C$9996,"Saída"),""),"")</f>
        <v/>
      </c>
      <c r="F996" s="10" t="str">
        <f t="shared" si="34"/>
        <v/>
      </c>
    </row>
    <row r="997" spans="1:6" x14ac:dyDescent="0.3">
      <c r="A997" s="15" t="str">
        <f t="shared" si="33"/>
        <v>.</v>
      </c>
      <c r="E997" s="13" t="str">
        <f>IFERROR(IF(AND(B997&lt;&gt;"",C997&lt;&gt;""),SUMIFS(Movimentos!$F$4:$F$9996,Movimentos!$D$4:$D$9996,B997,Movimentos!$C$4:$C$9996,"Entrada")-SUMIFS(Movimentos!$F$4:$F$9996,Movimentos!$D$4:$D$9996,B997,Movimentos!$C$4:$C$9996,"Saída"),""),"")</f>
        <v/>
      </c>
      <c r="F997" s="10" t="str">
        <f t="shared" si="34"/>
        <v/>
      </c>
    </row>
    <row r="998" spans="1:6" x14ac:dyDescent="0.3">
      <c r="A998" s="15" t="str">
        <f t="shared" si="33"/>
        <v>.</v>
      </c>
      <c r="E998" s="13" t="str">
        <f>IFERROR(IF(AND(B998&lt;&gt;"",C998&lt;&gt;""),SUMIFS(Movimentos!$F$4:$F$9996,Movimentos!$D$4:$D$9996,B998,Movimentos!$C$4:$C$9996,"Entrada")-SUMIFS(Movimentos!$F$4:$F$9996,Movimentos!$D$4:$D$9996,B998,Movimentos!$C$4:$C$9996,"Saída"),""),"")</f>
        <v/>
      </c>
      <c r="F998" s="10" t="str">
        <f t="shared" si="34"/>
        <v/>
      </c>
    </row>
    <row r="999" spans="1:6" x14ac:dyDescent="0.3">
      <c r="A999" s="15" t="str">
        <f t="shared" si="33"/>
        <v>.</v>
      </c>
      <c r="E999" s="13" t="str">
        <f>IFERROR(IF(AND(B999&lt;&gt;"",C999&lt;&gt;""),SUMIFS(Movimentos!$F$4:$F$9996,Movimentos!$D$4:$D$9996,B999,Movimentos!$C$4:$C$9996,"Entrada")-SUMIFS(Movimentos!$F$4:$F$9996,Movimentos!$D$4:$D$9996,B999,Movimentos!$C$4:$C$9996,"Saída"),""),"")</f>
        <v/>
      </c>
      <c r="F999" s="10" t="str">
        <f t="shared" si="34"/>
        <v/>
      </c>
    </row>
    <row r="1000" spans="1:6" x14ac:dyDescent="0.3">
      <c r="A1000" s="15" t="str">
        <f t="shared" si="33"/>
        <v>.</v>
      </c>
      <c r="E1000" s="13" t="str">
        <f>IFERROR(IF(AND(B1000&lt;&gt;"",C1000&lt;&gt;""),SUMIFS(Movimentos!$F$4:$F$9996,Movimentos!$D$4:$D$9996,B1000,Movimentos!$C$4:$C$9996,"Entrada")-SUMIFS(Movimentos!$F$4:$F$9996,Movimentos!$D$4:$D$9996,B1000,Movimentos!$C$4:$C$9996,"Saída"),""),"")</f>
        <v/>
      </c>
      <c r="F1000" s="10" t="str">
        <f t="shared" si="34"/>
        <v/>
      </c>
    </row>
    <row r="1001" spans="1:6" x14ac:dyDescent="0.3">
      <c r="A1001" s="15" t="str">
        <f t="shared" si="33"/>
        <v>.</v>
      </c>
      <c r="E1001" s="13" t="str">
        <f>IFERROR(IF(AND(B1001&lt;&gt;"",C1001&lt;&gt;""),SUMIFS(Movimentos!$F$4:$F$9996,Movimentos!$D$4:$D$9996,B1001,Movimentos!$C$4:$C$9996,"Entrada")-SUMIFS(Movimentos!$F$4:$F$9996,Movimentos!$D$4:$D$9996,B1001,Movimentos!$C$4:$C$9996,"Saída"),""),"")</f>
        <v/>
      </c>
      <c r="F1001" s="10" t="str">
        <f t="shared" si="34"/>
        <v/>
      </c>
    </row>
    <row r="1002" spans="1:6" x14ac:dyDescent="0.3">
      <c r="A1002" s="15" t="str">
        <f t="shared" si="33"/>
        <v>.</v>
      </c>
      <c r="E1002" s="13" t="str">
        <f>IFERROR(IF(AND(B1002&lt;&gt;"",C1002&lt;&gt;""),SUMIFS(Movimentos!$F$4:$F$9996,Movimentos!$D$4:$D$9996,B1002,Movimentos!$C$4:$C$9996,"Entrada")-SUMIFS(Movimentos!$F$4:$F$9996,Movimentos!$D$4:$D$9996,B1002,Movimentos!$C$4:$C$9996,"Saída"),""),"")</f>
        <v/>
      </c>
      <c r="F1002" s="10" t="str">
        <f t="shared" si="34"/>
        <v/>
      </c>
    </row>
    <row r="1003" spans="1:6" x14ac:dyDescent="0.3">
      <c r="A1003" s="15" t="str">
        <f t="shared" si="33"/>
        <v>.</v>
      </c>
      <c r="E1003" s="13" t="str">
        <f>IFERROR(IF(AND(B1003&lt;&gt;"",C1003&lt;&gt;""),SUMIFS(Movimentos!$F$4:$F$9996,Movimentos!$D$4:$D$9996,B1003,Movimentos!$C$4:$C$9996,"Entrada")-SUMIFS(Movimentos!$F$4:$F$9996,Movimentos!$D$4:$D$9996,B1003,Movimentos!$C$4:$C$9996,"Saída"),""),"")</f>
        <v/>
      </c>
      <c r="F1003" s="10" t="str">
        <f t="shared" si="34"/>
        <v/>
      </c>
    </row>
    <row r="1004" spans="1:6" x14ac:dyDescent="0.3">
      <c r="A1004" s="15" t="str">
        <f t="shared" si="33"/>
        <v>.</v>
      </c>
      <c r="E1004" s="13" t="str">
        <f>IFERROR(IF(AND(B1004&lt;&gt;"",C1004&lt;&gt;""),SUMIFS(Movimentos!$F$4:$F$9996,Movimentos!$D$4:$D$9996,B1004,Movimentos!$C$4:$C$9996,"Entrada")-SUMIFS(Movimentos!$F$4:$F$9996,Movimentos!$D$4:$D$9996,B1004,Movimentos!$C$4:$C$9996,"Saída"),""),"")</f>
        <v/>
      </c>
      <c r="F1004" s="10" t="str">
        <f t="shared" si="34"/>
        <v/>
      </c>
    </row>
    <row r="1005" spans="1:6" x14ac:dyDescent="0.3">
      <c r="A1005" s="15" t="str">
        <f t="shared" si="33"/>
        <v>.</v>
      </c>
      <c r="E1005" s="13" t="str">
        <f>IFERROR(IF(AND(B1005&lt;&gt;"",C1005&lt;&gt;""),SUMIFS(Movimentos!$F$4:$F$9996,Movimentos!$D$4:$D$9996,B1005,Movimentos!$C$4:$C$9996,"Entrada")-SUMIFS(Movimentos!$F$4:$F$9996,Movimentos!$D$4:$D$9996,B1005,Movimentos!$C$4:$C$9996,"Saída"),""),"")</f>
        <v/>
      </c>
      <c r="F1005" s="10" t="str">
        <f t="shared" si="34"/>
        <v/>
      </c>
    </row>
    <row r="1006" spans="1:6" x14ac:dyDescent="0.3">
      <c r="A1006" s="15" t="str">
        <f t="shared" si="33"/>
        <v>.</v>
      </c>
      <c r="E1006" s="13" t="str">
        <f>IFERROR(IF(AND(B1006&lt;&gt;"",C1006&lt;&gt;""),SUMIFS(Movimentos!$F$4:$F$9996,Movimentos!$D$4:$D$9996,B1006,Movimentos!$C$4:$C$9996,"Entrada")-SUMIFS(Movimentos!$F$4:$F$9996,Movimentos!$D$4:$D$9996,B1006,Movimentos!$C$4:$C$9996,"Saída"),""),"")</f>
        <v/>
      </c>
      <c r="F1006" s="10" t="str">
        <f t="shared" si="34"/>
        <v/>
      </c>
    </row>
    <row r="1007" spans="1:6" x14ac:dyDescent="0.3">
      <c r="A1007" s="15" t="str">
        <f t="shared" si="33"/>
        <v>.</v>
      </c>
      <c r="E1007" s="13" t="str">
        <f>IFERROR(IF(AND(B1007&lt;&gt;"",C1007&lt;&gt;""),SUMIFS(Movimentos!$F$4:$F$9996,Movimentos!$D$4:$D$9996,B1007,Movimentos!$C$4:$C$9996,"Entrada")-SUMIFS(Movimentos!$F$4:$F$9996,Movimentos!$D$4:$D$9996,B1007,Movimentos!$C$4:$C$9996,"Saída"),""),"")</f>
        <v/>
      </c>
      <c r="F1007" s="10" t="str">
        <f t="shared" si="34"/>
        <v/>
      </c>
    </row>
    <row r="1008" spans="1:6" x14ac:dyDescent="0.3">
      <c r="A1008" s="15" t="str">
        <f t="shared" si="33"/>
        <v>.</v>
      </c>
      <c r="E1008" s="13" t="str">
        <f>IFERROR(IF(AND(B1008&lt;&gt;"",C1008&lt;&gt;""),SUMIFS(Movimentos!$F$4:$F$9996,Movimentos!$D$4:$D$9996,B1008,Movimentos!$C$4:$C$9996,"Entrada")-SUMIFS(Movimentos!$F$4:$F$9996,Movimentos!$D$4:$D$9996,B1008,Movimentos!$C$4:$C$9996,"Saída"),""),"")</f>
        <v/>
      </c>
      <c r="F1008" s="10" t="str">
        <f t="shared" si="34"/>
        <v/>
      </c>
    </row>
    <row r="1009" spans="1:6" x14ac:dyDescent="0.3">
      <c r="A1009" s="15" t="str">
        <f t="shared" si="33"/>
        <v>.</v>
      </c>
      <c r="E1009" s="13" t="str">
        <f>IFERROR(IF(AND(B1009&lt;&gt;"",C1009&lt;&gt;""),SUMIFS(Movimentos!$F$4:$F$9996,Movimentos!$D$4:$D$9996,B1009,Movimentos!$C$4:$C$9996,"Entrada")-SUMIFS(Movimentos!$F$4:$F$9996,Movimentos!$D$4:$D$9996,B1009,Movimentos!$C$4:$C$9996,"Saída"),""),"")</f>
        <v/>
      </c>
      <c r="F1009" s="10" t="str">
        <f t="shared" si="34"/>
        <v/>
      </c>
    </row>
    <row r="1010" spans="1:6" x14ac:dyDescent="0.3">
      <c r="A1010" s="15" t="str">
        <f t="shared" si="33"/>
        <v>.</v>
      </c>
      <c r="E1010" s="13" t="str">
        <f>IFERROR(IF(AND(B1010&lt;&gt;"",C1010&lt;&gt;""),SUMIFS(Movimentos!$F$4:$F$9996,Movimentos!$D$4:$D$9996,B1010,Movimentos!$C$4:$C$9996,"Entrada")-SUMIFS(Movimentos!$F$4:$F$9996,Movimentos!$D$4:$D$9996,B1010,Movimentos!$C$4:$C$9996,"Saída"),""),"")</f>
        <v/>
      </c>
      <c r="F1010" s="10" t="str">
        <f t="shared" si="34"/>
        <v/>
      </c>
    </row>
    <row r="1011" spans="1:6" x14ac:dyDescent="0.3">
      <c r="A1011" s="15" t="str">
        <f t="shared" si="33"/>
        <v>.</v>
      </c>
      <c r="E1011" s="13" t="str">
        <f>IFERROR(IF(AND(B1011&lt;&gt;"",C1011&lt;&gt;""),SUMIFS(Movimentos!$F$4:$F$9996,Movimentos!$D$4:$D$9996,B1011,Movimentos!$C$4:$C$9996,"Entrada")-SUMIFS(Movimentos!$F$4:$F$9996,Movimentos!$D$4:$D$9996,B1011,Movimentos!$C$4:$C$9996,"Saída"),""),"")</f>
        <v/>
      </c>
      <c r="F1011" s="10" t="str">
        <f t="shared" si="34"/>
        <v/>
      </c>
    </row>
    <row r="1012" spans="1:6" x14ac:dyDescent="0.3">
      <c r="A1012" s="15" t="str">
        <f t="shared" si="33"/>
        <v>.</v>
      </c>
      <c r="E1012" s="13" t="str">
        <f>IFERROR(IF(AND(B1012&lt;&gt;"",C1012&lt;&gt;""),SUMIFS(Movimentos!$F$4:$F$9996,Movimentos!$D$4:$D$9996,B1012,Movimentos!$C$4:$C$9996,"Entrada")-SUMIFS(Movimentos!$F$4:$F$9996,Movimentos!$D$4:$D$9996,B1012,Movimentos!$C$4:$C$9996,"Saída"),""),"")</f>
        <v/>
      </c>
      <c r="F1012" s="10" t="str">
        <f t="shared" si="34"/>
        <v/>
      </c>
    </row>
    <row r="1013" spans="1:6" x14ac:dyDescent="0.3">
      <c r="A1013" s="15" t="str">
        <f t="shared" si="33"/>
        <v>.</v>
      </c>
      <c r="E1013" s="13" t="str">
        <f>IFERROR(IF(AND(B1013&lt;&gt;"",C1013&lt;&gt;""),SUMIFS(Movimentos!$F$4:$F$9996,Movimentos!$D$4:$D$9996,B1013,Movimentos!$C$4:$C$9996,"Entrada")-SUMIFS(Movimentos!$F$4:$F$9996,Movimentos!$D$4:$D$9996,B1013,Movimentos!$C$4:$C$9996,"Saída"),""),"")</f>
        <v/>
      </c>
      <c r="F1013" s="10" t="str">
        <f t="shared" si="34"/>
        <v/>
      </c>
    </row>
    <row r="1014" spans="1:6" x14ac:dyDescent="0.3">
      <c r="A1014" s="15" t="str">
        <f t="shared" si="33"/>
        <v>.</v>
      </c>
      <c r="E1014" s="13" t="str">
        <f>IFERROR(IF(AND(B1014&lt;&gt;"",C1014&lt;&gt;""),SUMIFS(Movimentos!$F$4:$F$9996,Movimentos!$D$4:$D$9996,B1014,Movimentos!$C$4:$C$9996,"Entrada")-SUMIFS(Movimentos!$F$4:$F$9996,Movimentos!$D$4:$D$9996,B1014,Movimentos!$C$4:$C$9996,"Saída"),""),"")</f>
        <v/>
      </c>
      <c r="F1014" s="10" t="str">
        <f t="shared" si="34"/>
        <v/>
      </c>
    </row>
    <row r="1015" spans="1:6" x14ac:dyDescent="0.3">
      <c r="A1015" s="15" t="str">
        <f t="shared" si="33"/>
        <v>.</v>
      </c>
      <c r="E1015" s="13" t="str">
        <f>IFERROR(IF(AND(B1015&lt;&gt;"",C1015&lt;&gt;""),SUMIFS(Movimentos!$F$4:$F$9996,Movimentos!$D$4:$D$9996,B1015,Movimentos!$C$4:$C$9996,"Entrada")-SUMIFS(Movimentos!$F$4:$F$9996,Movimentos!$D$4:$D$9996,B1015,Movimentos!$C$4:$C$9996,"Saída"),""),"")</f>
        <v/>
      </c>
      <c r="F1015" s="10" t="str">
        <f t="shared" si="34"/>
        <v/>
      </c>
    </row>
    <row r="1016" spans="1:6" x14ac:dyDescent="0.3">
      <c r="A1016" s="15" t="str">
        <f t="shared" si="33"/>
        <v>.</v>
      </c>
      <c r="E1016" s="13" t="str">
        <f>IFERROR(IF(AND(B1016&lt;&gt;"",C1016&lt;&gt;""),SUMIFS(Movimentos!$F$4:$F$9996,Movimentos!$D$4:$D$9996,B1016,Movimentos!$C$4:$C$9996,"Entrada")-SUMIFS(Movimentos!$F$4:$F$9996,Movimentos!$D$4:$D$9996,B1016,Movimentos!$C$4:$C$9996,"Saída"),""),"")</f>
        <v/>
      </c>
      <c r="F1016" s="10" t="str">
        <f t="shared" si="34"/>
        <v/>
      </c>
    </row>
    <row r="1017" spans="1:6" x14ac:dyDescent="0.3">
      <c r="A1017" s="15" t="str">
        <f t="shared" si="33"/>
        <v>.</v>
      </c>
      <c r="E1017" s="13" t="str">
        <f>IFERROR(IF(AND(B1017&lt;&gt;"",C1017&lt;&gt;""),SUMIFS(Movimentos!$F$4:$F$9996,Movimentos!$D$4:$D$9996,B1017,Movimentos!$C$4:$C$9996,"Entrada")-SUMIFS(Movimentos!$F$4:$F$9996,Movimentos!$D$4:$D$9996,B1017,Movimentos!$C$4:$C$9996,"Saída"),""),"")</f>
        <v/>
      </c>
      <c r="F1017" s="10" t="str">
        <f t="shared" si="34"/>
        <v/>
      </c>
    </row>
    <row r="1018" spans="1:6" x14ac:dyDescent="0.3">
      <c r="A1018" s="15" t="str">
        <f t="shared" si="33"/>
        <v>.</v>
      </c>
      <c r="E1018" s="13" t="str">
        <f>IFERROR(IF(AND(B1018&lt;&gt;"",C1018&lt;&gt;""),SUMIFS(Movimentos!$F$4:$F$9996,Movimentos!$D$4:$D$9996,B1018,Movimentos!$C$4:$C$9996,"Entrada")-SUMIFS(Movimentos!$F$4:$F$9996,Movimentos!$D$4:$D$9996,B1018,Movimentos!$C$4:$C$9996,"Saída"),""),"")</f>
        <v/>
      </c>
      <c r="F1018" s="10" t="str">
        <f t="shared" si="34"/>
        <v/>
      </c>
    </row>
    <row r="1019" spans="1:6" x14ac:dyDescent="0.3">
      <c r="A1019" s="15" t="str">
        <f t="shared" si="33"/>
        <v>.</v>
      </c>
      <c r="E1019" s="13" t="str">
        <f>IFERROR(IF(AND(B1019&lt;&gt;"",C1019&lt;&gt;""),SUMIFS(Movimentos!$F$4:$F$9996,Movimentos!$D$4:$D$9996,B1019,Movimentos!$C$4:$C$9996,"Entrada")-SUMIFS(Movimentos!$F$4:$F$9996,Movimentos!$D$4:$D$9996,B1019,Movimentos!$C$4:$C$9996,"Saída"),""),"")</f>
        <v/>
      </c>
      <c r="F1019" s="10" t="str">
        <f t="shared" si="34"/>
        <v/>
      </c>
    </row>
    <row r="1020" spans="1:6" x14ac:dyDescent="0.3">
      <c r="A1020" s="15" t="str">
        <f t="shared" si="33"/>
        <v>.</v>
      </c>
      <c r="E1020" s="13" t="str">
        <f>IFERROR(IF(AND(B1020&lt;&gt;"",C1020&lt;&gt;""),SUMIFS(Movimentos!$F$4:$F$9996,Movimentos!$D$4:$D$9996,B1020,Movimentos!$C$4:$C$9996,"Entrada")-SUMIFS(Movimentos!$F$4:$F$9996,Movimentos!$D$4:$D$9996,B1020,Movimentos!$C$4:$C$9996,"Saída"),""),"")</f>
        <v/>
      </c>
      <c r="F1020" s="10" t="str">
        <f t="shared" si="34"/>
        <v/>
      </c>
    </row>
    <row r="1021" spans="1:6" x14ac:dyDescent="0.3">
      <c r="A1021" s="15" t="str">
        <f t="shared" si="33"/>
        <v>.</v>
      </c>
      <c r="E1021" s="13" t="str">
        <f>IFERROR(IF(AND(B1021&lt;&gt;"",C1021&lt;&gt;""),SUMIFS(Movimentos!$F$4:$F$9996,Movimentos!$D$4:$D$9996,B1021,Movimentos!$C$4:$C$9996,"Entrada")-SUMIFS(Movimentos!$F$4:$F$9996,Movimentos!$D$4:$D$9996,B1021,Movimentos!$C$4:$C$9996,"Saída"),""),"")</f>
        <v/>
      </c>
      <c r="F1021" s="10" t="str">
        <f t="shared" si="34"/>
        <v/>
      </c>
    </row>
    <row r="1022" spans="1:6" x14ac:dyDescent="0.3">
      <c r="A1022" s="15" t="str">
        <f t="shared" si="33"/>
        <v>.</v>
      </c>
      <c r="E1022" s="13" t="str">
        <f>IFERROR(IF(AND(B1022&lt;&gt;"",C1022&lt;&gt;""),SUMIFS(Movimentos!$F$4:$F$9996,Movimentos!$D$4:$D$9996,B1022,Movimentos!$C$4:$C$9996,"Entrada")-SUMIFS(Movimentos!$F$4:$F$9996,Movimentos!$D$4:$D$9996,B1022,Movimentos!$C$4:$C$9996,"Saída"),""),"")</f>
        <v/>
      </c>
      <c r="F1022" s="10" t="str">
        <f t="shared" si="34"/>
        <v/>
      </c>
    </row>
    <row r="1023" spans="1:6" x14ac:dyDescent="0.3">
      <c r="A1023" s="15" t="str">
        <f t="shared" si="33"/>
        <v>.</v>
      </c>
      <c r="E1023" s="13" t="str">
        <f>IFERROR(IF(AND(B1023&lt;&gt;"",C1023&lt;&gt;""),SUMIFS(Movimentos!$F$4:$F$9996,Movimentos!$D$4:$D$9996,B1023,Movimentos!$C$4:$C$9996,"Entrada")-SUMIFS(Movimentos!$F$4:$F$9996,Movimentos!$D$4:$D$9996,B1023,Movimentos!$C$4:$C$9996,"Saída"),""),"")</f>
        <v/>
      </c>
      <c r="F1023" s="10" t="str">
        <f t="shared" si="34"/>
        <v/>
      </c>
    </row>
    <row r="1024" spans="1:6" x14ac:dyDescent="0.3">
      <c r="A1024" s="15" t="str">
        <f t="shared" ref="A1024:A1087" si="35">IF(F1024="Saldo zerado",0,IF(F1024="Saldo abaixo do mínimo",1,IF(F1024="Saldo disponível",2,".")))</f>
        <v>.</v>
      </c>
      <c r="E1024" s="13" t="str">
        <f>IFERROR(IF(AND(B1024&lt;&gt;"",C1024&lt;&gt;""),SUMIFS(Movimentos!$F$4:$F$9996,Movimentos!$D$4:$D$9996,B1024,Movimentos!$C$4:$C$9996,"Entrada")-SUMIFS(Movimentos!$F$4:$F$9996,Movimentos!$D$4:$D$9996,B1024,Movimentos!$C$4:$C$9996,"Saída"),""),"")</f>
        <v/>
      </c>
      <c r="F1024" s="10" t="str">
        <f t="shared" si="34"/>
        <v/>
      </c>
    </row>
    <row r="1025" spans="1:6" x14ac:dyDescent="0.3">
      <c r="A1025" s="15" t="str">
        <f t="shared" si="35"/>
        <v>.</v>
      </c>
      <c r="E1025" s="13" t="str">
        <f>IFERROR(IF(AND(B1025&lt;&gt;"",C1025&lt;&gt;""),SUMIFS(Movimentos!$F$4:$F$9996,Movimentos!$D$4:$D$9996,B1025,Movimentos!$C$4:$C$9996,"Entrada")-SUMIFS(Movimentos!$F$4:$F$9996,Movimentos!$D$4:$D$9996,B1025,Movimentos!$C$4:$C$9996,"Saída"),""),"")</f>
        <v/>
      </c>
      <c r="F1025" s="10" t="str">
        <f t="shared" si="34"/>
        <v/>
      </c>
    </row>
    <row r="1026" spans="1:6" x14ac:dyDescent="0.3">
      <c r="A1026" s="15" t="str">
        <f t="shared" si="35"/>
        <v>.</v>
      </c>
      <c r="E1026" s="13" t="str">
        <f>IFERROR(IF(AND(B1026&lt;&gt;"",C1026&lt;&gt;""),SUMIFS(Movimentos!$F$4:$F$9996,Movimentos!$D$4:$D$9996,B1026,Movimentos!$C$4:$C$9996,"Entrada")-SUMIFS(Movimentos!$F$4:$F$9996,Movimentos!$D$4:$D$9996,B1026,Movimentos!$C$4:$C$9996,"Saída"),""),"")</f>
        <v/>
      </c>
      <c r="F1026" s="10" t="str">
        <f t="shared" si="34"/>
        <v/>
      </c>
    </row>
    <row r="1027" spans="1:6" x14ac:dyDescent="0.3">
      <c r="A1027" s="15" t="str">
        <f t="shared" si="35"/>
        <v>.</v>
      </c>
      <c r="E1027" s="13" t="str">
        <f>IFERROR(IF(AND(B1027&lt;&gt;"",C1027&lt;&gt;""),SUMIFS(Movimentos!$F$4:$F$9996,Movimentos!$D$4:$D$9996,B1027,Movimentos!$C$4:$C$9996,"Entrada")-SUMIFS(Movimentos!$F$4:$F$9996,Movimentos!$D$4:$D$9996,B1027,Movimentos!$C$4:$C$9996,"Saída"),""),"")</f>
        <v/>
      </c>
      <c r="F1027" s="10" t="str">
        <f t="shared" si="34"/>
        <v/>
      </c>
    </row>
    <row r="1028" spans="1:6" x14ac:dyDescent="0.3">
      <c r="A1028" s="15" t="str">
        <f t="shared" si="35"/>
        <v>.</v>
      </c>
      <c r="E1028" s="13" t="str">
        <f>IFERROR(IF(AND(B1028&lt;&gt;"",C1028&lt;&gt;""),SUMIFS(Movimentos!$F$4:$F$9996,Movimentos!$D$4:$D$9996,B1028,Movimentos!$C$4:$C$9996,"Entrada")-SUMIFS(Movimentos!$F$4:$F$9996,Movimentos!$D$4:$D$9996,B1028,Movimentos!$C$4:$C$9996,"Saída"),""),"")</f>
        <v/>
      </c>
      <c r="F1028" s="10" t="str">
        <f t="shared" si="34"/>
        <v/>
      </c>
    </row>
    <row r="1029" spans="1:6" x14ac:dyDescent="0.3">
      <c r="A1029" s="15" t="str">
        <f t="shared" si="35"/>
        <v>.</v>
      </c>
      <c r="E1029" s="13" t="str">
        <f>IFERROR(IF(AND(B1029&lt;&gt;"",C1029&lt;&gt;""),SUMIFS(Movimentos!$F$4:$F$9996,Movimentos!$D$4:$D$9996,B1029,Movimentos!$C$4:$C$9996,"Entrada")-SUMIFS(Movimentos!$F$4:$F$9996,Movimentos!$D$4:$D$9996,B1029,Movimentos!$C$4:$C$9996,"Saída"),""),"")</f>
        <v/>
      </c>
      <c r="F1029" s="10" t="str">
        <f t="shared" si="34"/>
        <v/>
      </c>
    </row>
    <row r="1030" spans="1:6" x14ac:dyDescent="0.3">
      <c r="A1030" s="15" t="str">
        <f t="shared" si="35"/>
        <v>.</v>
      </c>
      <c r="E1030" s="13" t="str">
        <f>IFERROR(IF(AND(B1030&lt;&gt;"",C1030&lt;&gt;""),SUMIFS(Movimentos!$F$4:$F$9996,Movimentos!$D$4:$D$9996,B1030,Movimentos!$C$4:$C$9996,"Entrada")-SUMIFS(Movimentos!$F$4:$F$9996,Movimentos!$D$4:$D$9996,B1030,Movimentos!$C$4:$C$9996,"Saída"),""),"")</f>
        <v/>
      </c>
      <c r="F1030" s="10" t="str">
        <f t="shared" si="34"/>
        <v/>
      </c>
    </row>
    <row r="1031" spans="1:6" x14ac:dyDescent="0.3">
      <c r="A1031" s="15" t="str">
        <f t="shared" si="35"/>
        <v>.</v>
      </c>
      <c r="E1031" s="13" t="str">
        <f>IFERROR(IF(AND(B1031&lt;&gt;"",C1031&lt;&gt;""),SUMIFS(Movimentos!$F$4:$F$9996,Movimentos!$D$4:$D$9996,B1031,Movimentos!$C$4:$C$9996,"Entrada")-SUMIFS(Movimentos!$F$4:$F$9996,Movimentos!$D$4:$D$9996,B1031,Movimentos!$C$4:$C$9996,"Saída"),""),"")</f>
        <v/>
      </c>
      <c r="F1031" s="10" t="str">
        <f t="shared" si="34"/>
        <v/>
      </c>
    </row>
    <row r="1032" spans="1:6" x14ac:dyDescent="0.3">
      <c r="A1032" s="15" t="str">
        <f t="shared" si="35"/>
        <v>.</v>
      </c>
      <c r="E1032" s="13" t="str">
        <f>IFERROR(IF(AND(B1032&lt;&gt;"",C1032&lt;&gt;""),SUMIFS(Movimentos!$F$4:$F$9996,Movimentos!$D$4:$D$9996,B1032,Movimentos!$C$4:$C$9996,"Entrada")-SUMIFS(Movimentos!$F$4:$F$9996,Movimentos!$D$4:$D$9996,B1032,Movimentos!$C$4:$C$9996,"Saída"),""),"")</f>
        <v/>
      </c>
      <c r="F1032" s="10" t="str">
        <f t="shared" si="34"/>
        <v/>
      </c>
    </row>
    <row r="1033" spans="1:6" x14ac:dyDescent="0.3">
      <c r="A1033" s="15" t="str">
        <f t="shared" si="35"/>
        <v>.</v>
      </c>
      <c r="E1033" s="13" t="str">
        <f>IFERROR(IF(AND(B1033&lt;&gt;"",C1033&lt;&gt;""),SUMIFS(Movimentos!$F$4:$F$9996,Movimentos!$D$4:$D$9996,B1033,Movimentos!$C$4:$C$9996,"Entrada")-SUMIFS(Movimentos!$F$4:$F$9996,Movimentos!$D$4:$D$9996,B1033,Movimentos!$C$4:$C$9996,"Saída"),""),"")</f>
        <v/>
      </c>
      <c r="F1033" s="10" t="str">
        <f t="shared" si="34"/>
        <v/>
      </c>
    </row>
    <row r="1034" spans="1:6" x14ac:dyDescent="0.3">
      <c r="A1034" s="15" t="str">
        <f t="shared" si="35"/>
        <v>.</v>
      </c>
      <c r="E1034" s="13" t="str">
        <f>IFERROR(IF(AND(B1034&lt;&gt;"",C1034&lt;&gt;""),SUMIFS(Movimentos!$F$4:$F$9996,Movimentos!$D$4:$D$9996,B1034,Movimentos!$C$4:$C$9996,"Entrada")-SUMIFS(Movimentos!$F$4:$F$9996,Movimentos!$D$4:$D$9996,B1034,Movimentos!$C$4:$C$9996,"Saída"),""),"")</f>
        <v/>
      </c>
      <c r="F1034" s="10" t="str">
        <f t="shared" si="34"/>
        <v/>
      </c>
    </row>
    <row r="1035" spans="1:6" x14ac:dyDescent="0.3">
      <c r="A1035" s="15" t="str">
        <f t="shared" si="35"/>
        <v>.</v>
      </c>
      <c r="E1035" s="13" t="str">
        <f>IFERROR(IF(AND(B1035&lt;&gt;"",C1035&lt;&gt;""),SUMIFS(Movimentos!$F$4:$F$9996,Movimentos!$D$4:$D$9996,B1035,Movimentos!$C$4:$C$9996,"Entrada")-SUMIFS(Movimentos!$F$4:$F$9996,Movimentos!$D$4:$D$9996,B1035,Movimentos!$C$4:$C$9996,"Saída"),""),"")</f>
        <v/>
      </c>
      <c r="F1035" s="10" t="str">
        <f t="shared" si="34"/>
        <v/>
      </c>
    </row>
    <row r="1036" spans="1:6" x14ac:dyDescent="0.3">
      <c r="A1036" s="15" t="str">
        <f t="shared" si="35"/>
        <v>.</v>
      </c>
      <c r="E1036" s="13" t="str">
        <f>IFERROR(IF(AND(B1036&lt;&gt;"",C1036&lt;&gt;""),SUMIFS(Movimentos!$F$4:$F$9996,Movimentos!$D$4:$D$9996,B1036,Movimentos!$C$4:$C$9996,"Entrada")-SUMIFS(Movimentos!$F$4:$F$9996,Movimentos!$D$4:$D$9996,B1036,Movimentos!$C$4:$C$9996,"Saída"),""),"")</f>
        <v/>
      </c>
      <c r="F1036" s="10" t="str">
        <f t="shared" si="34"/>
        <v/>
      </c>
    </row>
    <row r="1037" spans="1:6" x14ac:dyDescent="0.3">
      <c r="A1037" s="15" t="str">
        <f t="shared" si="35"/>
        <v>.</v>
      </c>
      <c r="E1037" s="13" t="str">
        <f>IFERROR(IF(AND(B1037&lt;&gt;"",C1037&lt;&gt;""),SUMIFS(Movimentos!$F$4:$F$9996,Movimentos!$D$4:$D$9996,B1037,Movimentos!$C$4:$C$9996,"Entrada")-SUMIFS(Movimentos!$F$4:$F$9996,Movimentos!$D$4:$D$9996,B1037,Movimentos!$C$4:$C$9996,"Saída"),""),"")</f>
        <v/>
      </c>
      <c r="F1037" s="10" t="str">
        <f t="shared" si="34"/>
        <v/>
      </c>
    </row>
    <row r="1038" spans="1:6" x14ac:dyDescent="0.3">
      <c r="A1038" s="15" t="str">
        <f t="shared" si="35"/>
        <v>.</v>
      </c>
      <c r="E1038" s="13" t="str">
        <f>IFERROR(IF(AND(B1038&lt;&gt;"",C1038&lt;&gt;""),SUMIFS(Movimentos!$F$4:$F$9996,Movimentos!$D$4:$D$9996,B1038,Movimentos!$C$4:$C$9996,"Entrada")-SUMIFS(Movimentos!$F$4:$F$9996,Movimentos!$D$4:$D$9996,B1038,Movimentos!$C$4:$C$9996,"Saída"),""),"")</f>
        <v/>
      </c>
      <c r="F1038" s="10" t="str">
        <f t="shared" si="34"/>
        <v/>
      </c>
    </row>
    <row r="1039" spans="1:6" x14ac:dyDescent="0.3">
      <c r="A1039" s="15" t="str">
        <f t="shared" si="35"/>
        <v>.</v>
      </c>
      <c r="E1039" s="13" t="str">
        <f>IFERROR(IF(AND(B1039&lt;&gt;"",C1039&lt;&gt;""),SUMIFS(Movimentos!$F$4:$F$9996,Movimentos!$D$4:$D$9996,B1039,Movimentos!$C$4:$C$9996,"Entrada")-SUMIFS(Movimentos!$F$4:$F$9996,Movimentos!$D$4:$D$9996,B1039,Movimentos!$C$4:$C$9996,"Saída"),""),"")</f>
        <v/>
      </c>
      <c r="F1039" s="10" t="str">
        <f t="shared" si="34"/>
        <v/>
      </c>
    </row>
    <row r="1040" spans="1:6" x14ac:dyDescent="0.3">
      <c r="A1040" s="15" t="str">
        <f t="shared" si="35"/>
        <v>.</v>
      </c>
      <c r="E1040" s="13" t="str">
        <f>IFERROR(IF(AND(B1040&lt;&gt;"",C1040&lt;&gt;""),SUMIFS(Movimentos!$F$4:$F$9996,Movimentos!$D$4:$D$9996,B1040,Movimentos!$C$4:$C$9996,"Entrada")-SUMIFS(Movimentos!$F$4:$F$9996,Movimentos!$D$4:$D$9996,B1040,Movimentos!$C$4:$C$9996,"Saída"),""),"")</f>
        <v/>
      </c>
      <c r="F1040" s="10" t="str">
        <f t="shared" si="34"/>
        <v/>
      </c>
    </row>
    <row r="1041" spans="1:6" x14ac:dyDescent="0.3">
      <c r="A1041" s="15" t="str">
        <f t="shared" si="35"/>
        <v>.</v>
      </c>
      <c r="E1041" s="13" t="str">
        <f>IFERROR(IF(AND(B1041&lt;&gt;"",C1041&lt;&gt;""),SUMIFS(Movimentos!$F$4:$F$9996,Movimentos!$D$4:$D$9996,B1041,Movimentos!$C$4:$C$9996,"Entrada")-SUMIFS(Movimentos!$F$4:$F$9996,Movimentos!$D$4:$D$9996,B1041,Movimentos!$C$4:$C$9996,"Saída"),""),"")</f>
        <v/>
      </c>
      <c r="F1041" s="10" t="str">
        <f t="shared" si="34"/>
        <v/>
      </c>
    </row>
    <row r="1042" spans="1:6" x14ac:dyDescent="0.3">
      <c r="A1042" s="15" t="str">
        <f t="shared" si="35"/>
        <v>.</v>
      </c>
      <c r="E1042" s="13" t="str">
        <f>IFERROR(IF(AND(B1042&lt;&gt;"",C1042&lt;&gt;""),SUMIFS(Movimentos!$F$4:$F$9996,Movimentos!$D$4:$D$9996,B1042,Movimentos!$C$4:$C$9996,"Entrada")-SUMIFS(Movimentos!$F$4:$F$9996,Movimentos!$D$4:$D$9996,B1042,Movimentos!$C$4:$C$9996,"Saída"),""),"")</f>
        <v/>
      </c>
      <c r="F1042" s="10" t="str">
        <f t="shared" si="34"/>
        <v/>
      </c>
    </row>
    <row r="1043" spans="1:6" x14ac:dyDescent="0.3">
      <c r="A1043" s="15" t="str">
        <f t="shared" si="35"/>
        <v>.</v>
      </c>
      <c r="E1043" s="13" t="str">
        <f>IFERROR(IF(AND(B1043&lt;&gt;"",C1043&lt;&gt;""),SUMIFS(Movimentos!$F$4:$F$9996,Movimentos!$D$4:$D$9996,B1043,Movimentos!$C$4:$C$9996,"Entrada")-SUMIFS(Movimentos!$F$4:$F$9996,Movimentos!$D$4:$D$9996,B1043,Movimentos!$C$4:$C$9996,"Saída"),""),"")</f>
        <v/>
      </c>
      <c r="F1043" s="10" t="str">
        <f t="shared" si="34"/>
        <v/>
      </c>
    </row>
    <row r="1044" spans="1:6" x14ac:dyDescent="0.3">
      <c r="A1044" s="15" t="str">
        <f t="shared" si="35"/>
        <v>.</v>
      </c>
      <c r="E1044" s="13" t="str">
        <f>IFERROR(IF(AND(B1044&lt;&gt;"",C1044&lt;&gt;""),SUMIFS(Movimentos!$F$4:$F$9996,Movimentos!$D$4:$D$9996,B1044,Movimentos!$C$4:$C$9996,"Entrada")-SUMIFS(Movimentos!$F$4:$F$9996,Movimentos!$D$4:$D$9996,B1044,Movimentos!$C$4:$C$9996,"Saída"),""),"")</f>
        <v/>
      </c>
      <c r="F1044" s="10" t="str">
        <f t="shared" si="34"/>
        <v/>
      </c>
    </row>
    <row r="1045" spans="1:6" x14ac:dyDescent="0.3">
      <c r="A1045" s="15" t="str">
        <f t="shared" si="35"/>
        <v>.</v>
      </c>
      <c r="E1045" s="13" t="str">
        <f>IFERROR(IF(AND(B1045&lt;&gt;"",C1045&lt;&gt;""),SUMIFS(Movimentos!$F$4:$F$9996,Movimentos!$D$4:$D$9996,B1045,Movimentos!$C$4:$C$9996,"Entrada")-SUMIFS(Movimentos!$F$4:$F$9996,Movimentos!$D$4:$D$9996,B1045,Movimentos!$C$4:$C$9996,"Saída"),""),"")</f>
        <v/>
      </c>
      <c r="F1045" s="10" t="str">
        <f t="shared" si="34"/>
        <v/>
      </c>
    </row>
    <row r="1046" spans="1:6" x14ac:dyDescent="0.3">
      <c r="A1046" s="15" t="str">
        <f t="shared" si="35"/>
        <v>.</v>
      </c>
      <c r="E1046" s="13" t="str">
        <f>IFERROR(IF(AND(B1046&lt;&gt;"",C1046&lt;&gt;""),SUMIFS(Movimentos!$F$4:$F$9996,Movimentos!$D$4:$D$9996,B1046,Movimentos!$C$4:$C$9996,"Entrada")-SUMIFS(Movimentos!$F$4:$F$9996,Movimentos!$D$4:$D$9996,B1046,Movimentos!$C$4:$C$9996,"Saída"),""),"")</f>
        <v/>
      </c>
      <c r="F1046" s="10" t="str">
        <f t="shared" si="34"/>
        <v/>
      </c>
    </row>
    <row r="1047" spans="1:6" x14ac:dyDescent="0.3">
      <c r="A1047" s="15" t="str">
        <f t="shared" si="35"/>
        <v>.</v>
      </c>
      <c r="E1047" s="13" t="str">
        <f>IFERROR(IF(AND(B1047&lt;&gt;"",C1047&lt;&gt;""),SUMIFS(Movimentos!$F$4:$F$9996,Movimentos!$D$4:$D$9996,B1047,Movimentos!$C$4:$C$9996,"Entrada")-SUMIFS(Movimentos!$F$4:$F$9996,Movimentos!$D$4:$D$9996,B1047,Movimentos!$C$4:$C$9996,"Saída"),""),"")</f>
        <v/>
      </c>
      <c r="F1047" s="10" t="str">
        <f t="shared" ref="F1047:F1110" si="36">IF(AND(B1047&lt;&gt;"",C1047&lt;&gt;""),IF(E1047=0,"Saldo zerado",IF(E1047&lt;D1047,"Saldo abaixo do mínimo","Saldo disponível")),"")</f>
        <v/>
      </c>
    </row>
    <row r="1048" spans="1:6" x14ac:dyDescent="0.3">
      <c r="A1048" s="15" t="str">
        <f t="shared" si="35"/>
        <v>.</v>
      </c>
      <c r="E1048" s="13" t="str">
        <f>IFERROR(IF(AND(B1048&lt;&gt;"",C1048&lt;&gt;""),SUMIFS(Movimentos!$F$4:$F$9996,Movimentos!$D$4:$D$9996,B1048,Movimentos!$C$4:$C$9996,"Entrada")-SUMIFS(Movimentos!$F$4:$F$9996,Movimentos!$D$4:$D$9996,B1048,Movimentos!$C$4:$C$9996,"Saída"),""),"")</f>
        <v/>
      </c>
      <c r="F1048" s="10" t="str">
        <f t="shared" si="36"/>
        <v/>
      </c>
    </row>
    <row r="1049" spans="1:6" x14ac:dyDescent="0.3">
      <c r="A1049" s="15" t="str">
        <f t="shared" si="35"/>
        <v>.</v>
      </c>
      <c r="E1049" s="13" t="str">
        <f>IFERROR(IF(AND(B1049&lt;&gt;"",C1049&lt;&gt;""),SUMIFS(Movimentos!$F$4:$F$9996,Movimentos!$D$4:$D$9996,B1049,Movimentos!$C$4:$C$9996,"Entrada")-SUMIFS(Movimentos!$F$4:$F$9996,Movimentos!$D$4:$D$9996,B1049,Movimentos!$C$4:$C$9996,"Saída"),""),"")</f>
        <v/>
      </c>
      <c r="F1049" s="10" t="str">
        <f t="shared" si="36"/>
        <v/>
      </c>
    </row>
    <row r="1050" spans="1:6" x14ac:dyDescent="0.3">
      <c r="A1050" s="15" t="str">
        <f t="shared" si="35"/>
        <v>.</v>
      </c>
      <c r="E1050" s="13" t="str">
        <f>IFERROR(IF(AND(B1050&lt;&gt;"",C1050&lt;&gt;""),SUMIFS(Movimentos!$F$4:$F$9996,Movimentos!$D$4:$D$9996,B1050,Movimentos!$C$4:$C$9996,"Entrada")-SUMIFS(Movimentos!$F$4:$F$9996,Movimentos!$D$4:$D$9996,B1050,Movimentos!$C$4:$C$9996,"Saída"),""),"")</f>
        <v/>
      </c>
      <c r="F1050" s="10" t="str">
        <f t="shared" si="36"/>
        <v/>
      </c>
    </row>
    <row r="1051" spans="1:6" x14ac:dyDescent="0.3">
      <c r="A1051" s="15" t="str">
        <f t="shared" si="35"/>
        <v>.</v>
      </c>
      <c r="E1051" s="13" t="str">
        <f>IFERROR(IF(AND(B1051&lt;&gt;"",C1051&lt;&gt;""),SUMIFS(Movimentos!$F$4:$F$9996,Movimentos!$D$4:$D$9996,B1051,Movimentos!$C$4:$C$9996,"Entrada")-SUMIFS(Movimentos!$F$4:$F$9996,Movimentos!$D$4:$D$9996,B1051,Movimentos!$C$4:$C$9996,"Saída"),""),"")</f>
        <v/>
      </c>
      <c r="F1051" s="10" t="str">
        <f t="shared" si="36"/>
        <v/>
      </c>
    </row>
    <row r="1052" spans="1:6" x14ac:dyDescent="0.3">
      <c r="A1052" s="15" t="str">
        <f t="shared" si="35"/>
        <v>.</v>
      </c>
      <c r="E1052" s="13" t="str">
        <f>IFERROR(IF(AND(B1052&lt;&gt;"",C1052&lt;&gt;""),SUMIFS(Movimentos!$F$4:$F$9996,Movimentos!$D$4:$D$9996,B1052,Movimentos!$C$4:$C$9996,"Entrada")-SUMIFS(Movimentos!$F$4:$F$9996,Movimentos!$D$4:$D$9996,B1052,Movimentos!$C$4:$C$9996,"Saída"),""),"")</f>
        <v/>
      </c>
      <c r="F1052" s="10" t="str">
        <f t="shared" si="36"/>
        <v/>
      </c>
    </row>
    <row r="1053" spans="1:6" x14ac:dyDescent="0.3">
      <c r="A1053" s="15" t="str">
        <f t="shared" si="35"/>
        <v>.</v>
      </c>
      <c r="E1053" s="13" t="str">
        <f>IFERROR(IF(AND(B1053&lt;&gt;"",C1053&lt;&gt;""),SUMIFS(Movimentos!$F$4:$F$9996,Movimentos!$D$4:$D$9996,B1053,Movimentos!$C$4:$C$9996,"Entrada")-SUMIFS(Movimentos!$F$4:$F$9996,Movimentos!$D$4:$D$9996,B1053,Movimentos!$C$4:$C$9996,"Saída"),""),"")</f>
        <v/>
      </c>
      <c r="F1053" s="10" t="str">
        <f t="shared" si="36"/>
        <v/>
      </c>
    </row>
    <row r="1054" spans="1:6" x14ac:dyDescent="0.3">
      <c r="A1054" s="15" t="str">
        <f t="shared" si="35"/>
        <v>.</v>
      </c>
      <c r="E1054" s="13" t="str">
        <f>IFERROR(IF(AND(B1054&lt;&gt;"",C1054&lt;&gt;""),SUMIFS(Movimentos!$F$4:$F$9996,Movimentos!$D$4:$D$9996,B1054,Movimentos!$C$4:$C$9996,"Entrada")-SUMIFS(Movimentos!$F$4:$F$9996,Movimentos!$D$4:$D$9996,B1054,Movimentos!$C$4:$C$9996,"Saída"),""),"")</f>
        <v/>
      </c>
      <c r="F1054" s="10" t="str">
        <f t="shared" si="36"/>
        <v/>
      </c>
    </row>
    <row r="1055" spans="1:6" x14ac:dyDescent="0.3">
      <c r="A1055" s="15" t="str">
        <f t="shared" si="35"/>
        <v>.</v>
      </c>
      <c r="E1055" s="13" t="str">
        <f>IFERROR(IF(AND(B1055&lt;&gt;"",C1055&lt;&gt;""),SUMIFS(Movimentos!$F$4:$F$9996,Movimentos!$D$4:$D$9996,B1055,Movimentos!$C$4:$C$9996,"Entrada")-SUMIFS(Movimentos!$F$4:$F$9996,Movimentos!$D$4:$D$9996,B1055,Movimentos!$C$4:$C$9996,"Saída"),""),"")</f>
        <v/>
      </c>
      <c r="F1055" s="10" t="str">
        <f t="shared" si="36"/>
        <v/>
      </c>
    </row>
    <row r="1056" spans="1:6" x14ac:dyDescent="0.3">
      <c r="A1056" s="15" t="str">
        <f t="shared" si="35"/>
        <v>.</v>
      </c>
      <c r="E1056" s="13" t="str">
        <f>IFERROR(IF(AND(B1056&lt;&gt;"",C1056&lt;&gt;""),SUMIFS(Movimentos!$F$4:$F$9996,Movimentos!$D$4:$D$9996,B1056,Movimentos!$C$4:$C$9996,"Entrada")-SUMIFS(Movimentos!$F$4:$F$9996,Movimentos!$D$4:$D$9996,B1056,Movimentos!$C$4:$C$9996,"Saída"),""),"")</f>
        <v/>
      </c>
      <c r="F1056" s="10" t="str">
        <f t="shared" si="36"/>
        <v/>
      </c>
    </row>
    <row r="1057" spans="1:6" x14ac:dyDescent="0.3">
      <c r="A1057" s="15" t="str">
        <f t="shared" si="35"/>
        <v>.</v>
      </c>
      <c r="E1057" s="13" t="str">
        <f>IFERROR(IF(AND(B1057&lt;&gt;"",C1057&lt;&gt;""),SUMIFS(Movimentos!$F$4:$F$9996,Movimentos!$D$4:$D$9996,B1057,Movimentos!$C$4:$C$9996,"Entrada")-SUMIFS(Movimentos!$F$4:$F$9996,Movimentos!$D$4:$D$9996,B1057,Movimentos!$C$4:$C$9996,"Saída"),""),"")</f>
        <v/>
      </c>
      <c r="F1057" s="10" t="str">
        <f t="shared" si="36"/>
        <v/>
      </c>
    </row>
    <row r="1058" spans="1:6" x14ac:dyDescent="0.3">
      <c r="A1058" s="15" t="str">
        <f t="shared" si="35"/>
        <v>.</v>
      </c>
      <c r="E1058" s="13" t="str">
        <f>IFERROR(IF(AND(B1058&lt;&gt;"",C1058&lt;&gt;""),SUMIFS(Movimentos!$F$4:$F$9996,Movimentos!$D$4:$D$9996,B1058,Movimentos!$C$4:$C$9996,"Entrada")-SUMIFS(Movimentos!$F$4:$F$9996,Movimentos!$D$4:$D$9996,B1058,Movimentos!$C$4:$C$9996,"Saída"),""),"")</f>
        <v/>
      </c>
      <c r="F1058" s="10" t="str">
        <f t="shared" si="36"/>
        <v/>
      </c>
    </row>
    <row r="1059" spans="1:6" x14ac:dyDescent="0.3">
      <c r="A1059" s="15" t="str">
        <f t="shared" si="35"/>
        <v>.</v>
      </c>
      <c r="E1059" s="13" t="str">
        <f>IFERROR(IF(AND(B1059&lt;&gt;"",C1059&lt;&gt;""),SUMIFS(Movimentos!$F$4:$F$9996,Movimentos!$D$4:$D$9996,B1059,Movimentos!$C$4:$C$9996,"Entrada")-SUMIFS(Movimentos!$F$4:$F$9996,Movimentos!$D$4:$D$9996,B1059,Movimentos!$C$4:$C$9996,"Saída"),""),"")</f>
        <v/>
      </c>
      <c r="F1059" s="10" t="str">
        <f t="shared" si="36"/>
        <v/>
      </c>
    </row>
    <row r="1060" spans="1:6" x14ac:dyDescent="0.3">
      <c r="A1060" s="15" t="str">
        <f t="shared" si="35"/>
        <v>.</v>
      </c>
      <c r="E1060" s="13" t="str">
        <f>IFERROR(IF(AND(B1060&lt;&gt;"",C1060&lt;&gt;""),SUMIFS(Movimentos!$F$4:$F$9996,Movimentos!$D$4:$D$9996,B1060,Movimentos!$C$4:$C$9996,"Entrada")-SUMIFS(Movimentos!$F$4:$F$9996,Movimentos!$D$4:$D$9996,B1060,Movimentos!$C$4:$C$9996,"Saída"),""),"")</f>
        <v/>
      </c>
      <c r="F1060" s="10" t="str">
        <f t="shared" si="36"/>
        <v/>
      </c>
    </row>
    <row r="1061" spans="1:6" x14ac:dyDescent="0.3">
      <c r="A1061" s="15" t="str">
        <f t="shared" si="35"/>
        <v>.</v>
      </c>
      <c r="E1061" s="13" t="str">
        <f>IFERROR(IF(AND(B1061&lt;&gt;"",C1061&lt;&gt;""),SUMIFS(Movimentos!$F$4:$F$9996,Movimentos!$D$4:$D$9996,B1061,Movimentos!$C$4:$C$9996,"Entrada")-SUMIFS(Movimentos!$F$4:$F$9996,Movimentos!$D$4:$D$9996,B1061,Movimentos!$C$4:$C$9996,"Saída"),""),"")</f>
        <v/>
      </c>
      <c r="F1061" s="10" t="str">
        <f t="shared" si="36"/>
        <v/>
      </c>
    </row>
    <row r="1062" spans="1:6" x14ac:dyDescent="0.3">
      <c r="A1062" s="15" t="str">
        <f t="shared" si="35"/>
        <v>.</v>
      </c>
      <c r="E1062" s="13" t="str">
        <f>IFERROR(IF(AND(B1062&lt;&gt;"",C1062&lt;&gt;""),SUMIFS(Movimentos!$F$4:$F$9996,Movimentos!$D$4:$D$9996,B1062,Movimentos!$C$4:$C$9996,"Entrada")-SUMIFS(Movimentos!$F$4:$F$9996,Movimentos!$D$4:$D$9996,B1062,Movimentos!$C$4:$C$9996,"Saída"),""),"")</f>
        <v/>
      </c>
      <c r="F1062" s="10" t="str">
        <f t="shared" si="36"/>
        <v/>
      </c>
    </row>
    <row r="1063" spans="1:6" x14ac:dyDescent="0.3">
      <c r="A1063" s="15" t="str">
        <f t="shared" si="35"/>
        <v>.</v>
      </c>
      <c r="E1063" s="13" t="str">
        <f>IFERROR(IF(AND(B1063&lt;&gt;"",C1063&lt;&gt;""),SUMIFS(Movimentos!$F$4:$F$9996,Movimentos!$D$4:$D$9996,B1063,Movimentos!$C$4:$C$9996,"Entrada")-SUMIFS(Movimentos!$F$4:$F$9996,Movimentos!$D$4:$D$9996,B1063,Movimentos!$C$4:$C$9996,"Saída"),""),"")</f>
        <v/>
      </c>
      <c r="F1063" s="10" t="str">
        <f t="shared" si="36"/>
        <v/>
      </c>
    </row>
    <row r="1064" spans="1:6" x14ac:dyDescent="0.3">
      <c r="A1064" s="15" t="str">
        <f t="shared" si="35"/>
        <v>.</v>
      </c>
      <c r="E1064" s="13" t="str">
        <f>IFERROR(IF(AND(B1064&lt;&gt;"",C1064&lt;&gt;""),SUMIFS(Movimentos!$F$4:$F$9996,Movimentos!$D$4:$D$9996,B1064,Movimentos!$C$4:$C$9996,"Entrada")-SUMIFS(Movimentos!$F$4:$F$9996,Movimentos!$D$4:$D$9996,B1064,Movimentos!$C$4:$C$9996,"Saída"),""),"")</f>
        <v/>
      </c>
      <c r="F1064" s="10" t="str">
        <f t="shared" si="36"/>
        <v/>
      </c>
    </row>
    <row r="1065" spans="1:6" x14ac:dyDescent="0.3">
      <c r="A1065" s="15" t="str">
        <f t="shared" si="35"/>
        <v>.</v>
      </c>
      <c r="E1065" s="13" t="str">
        <f>IFERROR(IF(AND(B1065&lt;&gt;"",C1065&lt;&gt;""),SUMIFS(Movimentos!$F$4:$F$9996,Movimentos!$D$4:$D$9996,B1065,Movimentos!$C$4:$C$9996,"Entrada")-SUMIFS(Movimentos!$F$4:$F$9996,Movimentos!$D$4:$D$9996,B1065,Movimentos!$C$4:$C$9996,"Saída"),""),"")</f>
        <v/>
      </c>
      <c r="F1065" s="10" t="str">
        <f t="shared" si="36"/>
        <v/>
      </c>
    </row>
    <row r="1066" spans="1:6" x14ac:dyDescent="0.3">
      <c r="A1066" s="15" t="str">
        <f t="shared" si="35"/>
        <v>.</v>
      </c>
      <c r="E1066" s="13" t="str">
        <f>IFERROR(IF(AND(B1066&lt;&gt;"",C1066&lt;&gt;""),SUMIFS(Movimentos!$F$4:$F$9996,Movimentos!$D$4:$D$9996,B1066,Movimentos!$C$4:$C$9996,"Entrada")-SUMIFS(Movimentos!$F$4:$F$9996,Movimentos!$D$4:$D$9996,B1066,Movimentos!$C$4:$C$9996,"Saída"),""),"")</f>
        <v/>
      </c>
      <c r="F1066" s="10" t="str">
        <f t="shared" si="36"/>
        <v/>
      </c>
    </row>
    <row r="1067" spans="1:6" x14ac:dyDescent="0.3">
      <c r="A1067" s="15" t="str">
        <f t="shared" si="35"/>
        <v>.</v>
      </c>
      <c r="E1067" s="13" t="str">
        <f>IFERROR(IF(AND(B1067&lt;&gt;"",C1067&lt;&gt;""),SUMIFS(Movimentos!$F$4:$F$9996,Movimentos!$D$4:$D$9996,B1067,Movimentos!$C$4:$C$9996,"Entrada")-SUMIFS(Movimentos!$F$4:$F$9996,Movimentos!$D$4:$D$9996,B1067,Movimentos!$C$4:$C$9996,"Saída"),""),"")</f>
        <v/>
      </c>
      <c r="F1067" s="10" t="str">
        <f t="shared" si="36"/>
        <v/>
      </c>
    </row>
    <row r="1068" spans="1:6" x14ac:dyDescent="0.3">
      <c r="A1068" s="15" t="str">
        <f t="shared" si="35"/>
        <v>.</v>
      </c>
      <c r="E1068" s="13" t="str">
        <f>IFERROR(IF(AND(B1068&lt;&gt;"",C1068&lt;&gt;""),SUMIFS(Movimentos!$F$4:$F$9996,Movimentos!$D$4:$D$9996,B1068,Movimentos!$C$4:$C$9996,"Entrada")-SUMIFS(Movimentos!$F$4:$F$9996,Movimentos!$D$4:$D$9996,B1068,Movimentos!$C$4:$C$9996,"Saída"),""),"")</f>
        <v/>
      </c>
      <c r="F1068" s="10" t="str">
        <f t="shared" si="36"/>
        <v/>
      </c>
    </row>
    <row r="1069" spans="1:6" x14ac:dyDescent="0.3">
      <c r="A1069" s="15" t="str">
        <f t="shared" si="35"/>
        <v>.</v>
      </c>
      <c r="E1069" s="13" t="str">
        <f>IFERROR(IF(AND(B1069&lt;&gt;"",C1069&lt;&gt;""),SUMIFS(Movimentos!$F$4:$F$9996,Movimentos!$D$4:$D$9996,B1069,Movimentos!$C$4:$C$9996,"Entrada")-SUMIFS(Movimentos!$F$4:$F$9996,Movimentos!$D$4:$D$9996,B1069,Movimentos!$C$4:$C$9996,"Saída"),""),"")</f>
        <v/>
      </c>
      <c r="F1069" s="10" t="str">
        <f t="shared" si="36"/>
        <v/>
      </c>
    </row>
    <row r="1070" spans="1:6" x14ac:dyDescent="0.3">
      <c r="A1070" s="15" t="str">
        <f t="shared" si="35"/>
        <v>.</v>
      </c>
      <c r="E1070" s="13" t="str">
        <f>IFERROR(IF(AND(B1070&lt;&gt;"",C1070&lt;&gt;""),SUMIFS(Movimentos!$F$4:$F$9996,Movimentos!$D$4:$D$9996,B1070,Movimentos!$C$4:$C$9996,"Entrada")-SUMIFS(Movimentos!$F$4:$F$9996,Movimentos!$D$4:$D$9996,B1070,Movimentos!$C$4:$C$9996,"Saída"),""),"")</f>
        <v/>
      </c>
      <c r="F1070" s="10" t="str">
        <f t="shared" si="36"/>
        <v/>
      </c>
    </row>
    <row r="1071" spans="1:6" x14ac:dyDescent="0.3">
      <c r="A1071" s="15" t="str">
        <f t="shared" si="35"/>
        <v>.</v>
      </c>
      <c r="E1071" s="13" t="str">
        <f>IFERROR(IF(AND(B1071&lt;&gt;"",C1071&lt;&gt;""),SUMIFS(Movimentos!$F$4:$F$9996,Movimentos!$D$4:$D$9996,B1071,Movimentos!$C$4:$C$9996,"Entrada")-SUMIFS(Movimentos!$F$4:$F$9996,Movimentos!$D$4:$D$9996,B1071,Movimentos!$C$4:$C$9996,"Saída"),""),"")</f>
        <v/>
      </c>
      <c r="F1071" s="10" t="str">
        <f t="shared" si="36"/>
        <v/>
      </c>
    </row>
    <row r="1072" spans="1:6" x14ac:dyDescent="0.3">
      <c r="A1072" s="15" t="str">
        <f t="shared" si="35"/>
        <v>.</v>
      </c>
      <c r="E1072" s="13" t="str">
        <f>IFERROR(IF(AND(B1072&lt;&gt;"",C1072&lt;&gt;""),SUMIFS(Movimentos!$F$4:$F$9996,Movimentos!$D$4:$D$9996,B1072,Movimentos!$C$4:$C$9996,"Entrada")-SUMIFS(Movimentos!$F$4:$F$9996,Movimentos!$D$4:$D$9996,B1072,Movimentos!$C$4:$C$9996,"Saída"),""),"")</f>
        <v/>
      </c>
      <c r="F1072" s="10" t="str">
        <f t="shared" si="36"/>
        <v/>
      </c>
    </row>
    <row r="1073" spans="1:6" x14ac:dyDescent="0.3">
      <c r="A1073" s="15" t="str">
        <f t="shared" si="35"/>
        <v>.</v>
      </c>
      <c r="E1073" s="13" t="str">
        <f>IFERROR(IF(AND(B1073&lt;&gt;"",C1073&lt;&gt;""),SUMIFS(Movimentos!$F$4:$F$9996,Movimentos!$D$4:$D$9996,B1073,Movimentos!$C$4:$C$9996,"Entrada")-SUMIFS(Movimentos!$F$4:$F$9996,Movimentos!$D$4:$D$9996,B1073,Movimentos!$C$4:$C$9996,"Saída"),""),"")</f>
        <v/>
      </c>
      <c r="F1073" s="10" t="str">
        <f t="shared" si="36"/>
        <v/>
      </c>
    </row>
    <row r="1074" spans="1:6" x14ac:dyDescent="0.3">
      <c r="A1074" s="15" t="str">
        <f t="shared" si="35"/>
        <v>.</v>
      </c>
      <c r="E1074" s="13" t="str">
        <f>IFERROR(IF(AND(B1074&lt;&gt;"",C1074&lt;&gt;""),SUMIFS(Movimentos!$F$4:$F$9996,Movimentos!$D$4:$D$9996,B1074,Movimentos!$C$4:$C$9996,"Entrada")-SUMIFS(Movimentos!$F$4:$F$9996,Movimentos!$D$4:$D$9996,B1074,Movimentos!$C$4:$C$9996,"Saída"),""),"")</f>
        <v/>
      </c>
      <c r="F1074" s="10" t="str">
        <f t="shared" si="36"/>
        <v/>
      </c>
    </row>
    <row r="1075" spans="1:6" x14ac:dyDescent="0.3">
      <c r="A1075" s="15" t="str">
        <f t="shared" si="35"/>
        <v>.</v>
      </c>
      <c r="E1075" s="13" t="str">
        <f>IFERROR(IF(AND(B1075&lt;&gt;"",C1075&lt;&gt;""),SUMIFS(Movimentos!$F$4:$F$9996,Movimentos!$D$4:$D$9996,B1075,Movimentos!$C$4:$C$9996,"Entrada")-SUMIFS(Movimentos!$F$4:$F$9996,Movimentos!$D$4:$D$9996,B1075,Movimentos!$C$4:$C$9996,"Saída"),""),"")</f>
        <v/>
      </c>
      <c r="F1075" s="10" t="str">
        <f t="shared" si="36"/>
        <v/>
      </c>
    </row>
    <row r="1076" spans="1:6" x14ac:dyDescent="0.3">
      <c r="A1076" s="15" t="str">
        <f t="shared" si="35"/>
        <v>.</v>
      </c>
      <c r="E1076" s="13" t="str">
        <f>IFERROR(IF(AND(B1076&lt;&gt;"",C1076&lt;&gt;""),SUMIFS(Movimentos!$F$4:$F$9996,Movimentos!$D$4:$D$9996,B1076,Movimentos!$C$4:$C$9996,"Entrada")-SUMIFS(Movimentos!$F$4:$F$9996,Movimentos!$D$4:$D$9996,B1076,Movimentos!$C$4:$C$9996,"Saída"),""),"")</f>
        <v/>
      </c>
      <c r="F1076" s="10" t="str">
        <f t="shared" si="36"/>
        <v/>
      </c>
    </row>
    <row r="1077" spans="1:6" x14ac:dyDescent="0.3">
      <c r="A1077" s="15" t="str">
        <f t="shared" si="35"/>
        <v>.</v>
      </c>
      <c r="E1077" s="13" t="str">
        <f>IFERROR(IF(AND(B1077&lt;&gt;"",C1077&lt;&gt;""),SUMIFS(Movimentos!$F$4:$F$9996,Movimentos!$D$4:$D$9996,B1077,Movimentos!$C$4:$C$9996,"Entrada")-SUMIFS(Movimentos!$F$4:$F$9996,Movimentos!$D$4:$D$9996,B1077,Movimentos!$C$4:$C$9996,"Saída"),""),"")</f>
        <v/>
      </c>
      <c r="F1077" s="10" t="str">
        <f t="shared" si="36"/>
        <v/>
      </c>
    </row>
    <row r="1078" spans="1:6" x14ac:dyDescent="0.3">
      <c r="A1078" s="15" t="str">
        <f t="shared" si="35"/>
        <v>.</v>
      </c>
      <c r="E1078" s="13" t="str">
        <f>IFERROR(IF(AND(B1078&lt;&gt;"",C1078&lt;&gt;""),SUMIFS(Movimentos!$F$4:$F$9996,Movimentos!$D$4:$D$9996,B1078,Movimentos!$C$4:$C$9996,"Entrada")-SUMIFS(Movimentos!$F$4:$F$9996,Movimentos!$D$4:$D$9996,B1078,Movimentos!$C$4:$C$9996,"Saída"),""),"")</f>
        <v/>
      </c>
      <c r="F1078" s="10" t="str">
        <f t="shared" si="36"/>
        <v/>
      </c>
    </row>
    <row r="1079" spans="1:6" x14ac:dyDescent="0.3">
      <c r="A1079" s="15" t="str">
        <f t="shared" si="35"/>
        <v>.</v>
      </c>
      <c r="E1079" s="13" t="str">
        <f>IFERROR(IF(AND(B1079&lt;&gt;"",C1079&lt;&gt;""),SUMIFS(Movimentos!$F$4:$F$9996,Movimentos!$D$4:$D$9996,B1079,Movimentos!$C$4:$C$9996,"Entrada")-SUMIFS(Movimentos!$F$4:$F$9996,Movimentos!$D$4:$D$9996,B1079,Movimentos!$C$4:$C$9996,"Saída"),""),"")</f>
        <v/>
      </c>
      <c r="F1079" s="10" t="str">
        <f t="shared" si="36"/>
        <v/>
      </c>
    </row>
    <row r="1080" spans="1:6" x14ac:dyDescent="0.3">
      <c r="A1080" s="15" t="str">
        <f t="shared" si="35"/>
        <v>.</v>
      </c>
      <c r="E1080" s="13" t="str">
        <f>IFERROR(IF(AND(B1080&lt;&gt;"",C1080&lt;&gt;""),SUMIFS(Movimentos!$F$4:$F$9996,Movimentos!$D$4:$D$9996,B1080,Movimentos!$C$4:$C$9996,"Entrada")-SUMIFS(Movimentos!$F$4:$F$9996,Movimentos!$D$4:$D$9996,B1080,Movimentos!$C$4:$C$9996,"Saída"),""),"")</f>
        <v/>
      </c>
      <c r="F1080" s="10" t="str">
        <f t="shared" si="36"/>
        <v/>
      </c>
    </row>
    <row r="1081" spans="1:6" x14ac:dyDescent="0.3">
      <c r="A1081" s="15" t="str">
        <f t="shared" si="35"/>
        <v>.</v>
      </c>
      <c r="E1081" s="13" t="str">
        <f>IFERROR(IF(AND(B1081&lt;&gt;"",C1081&lt;&gt;""),SUMIFS(Movimentos!$F$4:$F$9996,Movimentos!$D$4:$D$9996,B1081,Movimentos!$C$4:$C$9996,"Entrada")-SUMIFS(Movimentos!$F$4:$F$9996,Movimentos!$D$4:$D$9996,B1081,Movimentos!$C$4:$C$9996,"Saída"),""),"")</f>
        <v/>
      </c>
      <c r="F1081" s="10" t="str">
        <f t="shared" si="36"/>
        <v/>
      </c>
    </row>
    <row r="1082" spans="1:6" x14ac:dyDescent="0.3">
      <c r="A1082" s="15" t="str">
        <f t="shared" si="35"/>
        <v>.</v>
      </c>
      <c r="E1082" s="13" t="str">
        <f>IFERROR(IF(AND(B1082&lt;&gt;"",C1082&lt;&gt;""),SUMIFS(Movimentos!$F$4:$F$9996,Movimentos!$D$4:$D$9996,B1082,Movimentos!$C$4:$C$9996,"Entrada")-SUMIFS(Movimentos!$F$4:$F$9996,Movimentos!$D$4:$D$9996,B1082,Movimentos!$C$4:$C$9996,"Saída"),""),"")</f>
        <v/>
      </c>
      <c r="F1082" s="10" t="str">
        <f t="shared" si="36"/>
        <v/>
      </c>
    </row>
    <row r="1083" spans="1:6" x14ac:dyDescent="0.3">
      <c r="A1083" s="15" t="str">
        <f t="shared" si="35"/>
        <v>.</v>
      </c>
      <c r="E1083" s="13" t="str">
        <f>IFERROR(IF(AND(B1083&lt;&gt;"",C1083&lt;&gt;""),SUMIFS(Movimentos!$F$4:$F$9996,Movimentos!$D$4:$D$9996,B1083,Movimentos!$C$4:$C$9996,"Entrada")-SUMIFS(Movimentos!$F$4:$F$9996,Movimentos!$D$4:$D$9996,B1083,Movimentos!$C$4:$C$9996,"Saída"),""),"")</f>
        <v/>
      </c>
      <c r="F1083" s="10" t="str">
        <f t="shared" si="36"/>
        <v/>
      </c>
    </row>
    <row r="1084" spans="1:6" x14ac:dyDescent="0.3">
      <c r="A1084" s="15" t="str">
        <f t="shared" si="35"/>
        <v>.</v>
      </c>
      <c r="E1084" s="13" t="str">
        <f>IFERROR(IF(AND(B1084&lt;&gt;"",C1084&lt;&gt;""),SUMIFS(Movimentos!$F$4:$F$9996,Movimentos!$D$4:$D$9996,B1084,Movimentos!$C$4:$C$9996,"Entrada")-SUMIFS(Movimentos!$F$4:$F$9996,Movimentos!$D$4:$D$9996,B1084,Movimentos!$C$4:$C$9996,"Saída"),""),"")</f>
        <v/>
      </c>
      <c r="F1084" s="10" t="str">
        <f t="shared" si="36"/>
        <v/>
      </c>
    </row>
    <row r="1085" spans="1:6" x14ac:dyDescent="0.3">
      <c r="A1085" s="15" t="str">
        <f t="shared" si="35"/>
        <v>.</v>
      </c>
      <c r="E1085" s="13" t="str">
        <f>IFERROR(IF(AND(B1085&lt;&gt;"",C1085&lt;&gt;""),SUMIFS(Movimentos!$F$4:$F$9996,Movimentos!$D$4:$D$9996,B1085,Movimentos!$C$4:$C$9996,"Entrada")-SUMIFS(Movimentos!$F$4:$F$9996,Movimentos!$D$4:$D$9996,B1085,Movimentos!$C$4:$C$9996,"Saída"),""),"")</f>
        <v/>
      </c>
      <c r="F1085" s="10" t="str">
        <f t="shared" si="36"/>
        <v/>
      </c>
    </row>
    <row r="1086" spans="1:6" x14ac:dyDescent="0.3">
      <c r="A1086" s="15" t="str">
        <f t="shared" si="35"/>
        <v>.</v>
      </c>
      <c r="E1086" s="13" t="str">
        <f>IFERROR(IF(AND(B1086&lt;&gt;"",C1086&lt;&gt;""),SUMIFS(Movimentos!$F$4:$F$9996,Movimentos!$D$4:$D$9996,B1086,Movimentos!$C$4:$C$9996,"Entrada")-SUMIFS(Movimentos!$F$4:$F$9996,Movimentos!$D$4:$D$9996,B1086,Movimentos!$C$4:$C$9996,"Saída"),""),"")</f>
        <v/>
      </c>
      <c r="F1086" s="10" t="str">
        <f t="shared" si="36"/>
        <v/>
      </c>
    </row>
    <row r="1087" spans="1:6" x14ac:dyDescent="0.3">
      <c r="A1087" s="15" t="str">
        <f t="shared" si="35"/>
        <v>.</v>
      </c>
      <c r="E1087" s="13" t="str">
        <f>IFERROR(IF(AND(B1087&lt;&gt;"",C1087&lt;&gt;""),SUMIFS(Movimentos!$F$4:$F$9996,Movimentos!$D$4:$D$9996,B1087,Movimentos!$C$4:$C$9996,"Entrada")-SUMIFS(Movimentos!$F$4:$F$9996,Movimentos!$D$4:$D$9996,B1087,Movimentos!$C$4:$C$9996,"Saída"),""),"")</f>
        <v/>
      </c>
      <c r="F1087" s="10" t="str">
        <f t="shared" si="36"/>
        <v/>
      </c>
    </row>
    <row r="1088" spans="1:6" x14ac:dyDescent="0.3">
      <c r="A1088" s="15" t="str">
        <f t="shared" ref="A1088:A1151" si="37">IF(F1088="Saldo zerado",0,IF(F1088="Saldo abaixo do mínimo",1,IF(F1088="Saldo disponível",2,".")))</f>
        <v>.</v>
      </c>
      <c r="E1088" s="13" t="str">
        <f>IFERROR(IF(AND(B1088&lt;&gt;"",C1088&lt;&gt;""),SUMIFS(Movimentos!$F$4:$F$9996,Movimentos!$D$4:$D$9996,B1088,Movimentos!$C$4:$C$9996,"Entrada")-SUMIFS(Movimentos!$F$4:$F$9996,Movimentos!$D$4:$D$9996,B1088,Movimentos!$C$4:$C$9996,"Saída"),""),"")</f>
        <v/>
      </c>
      <c r="F1088" s="10" t="str">
        <f t="shared" si="36"/>
        <v/>
      </c>
    </row>
    <row r="1089" spans="1:6" x14ac:dyDescent="0.3">
      <c r="A1089" s="15" t="str">
        <f t="shared" si="37"/>
        <v>.</v>
      </c>
      <c r="E1089" s="13" t="str">
        <f>IFERROR(IF(AND(B1089&lt;&gt;"",C1089&lt;&gt;""),SUMIFS(Movimentos!$F$4:$F$9996,Movimentos!$D$4:$D$9996,B1089,Movimentos!$C$4:$C$9996,"Entrada")-SUMIFS(Movimentos!$F$4:$F$9996,Movimentos!$D$4:$D$9996,B1089,Movimentos!$C$4:$C$9996,"Saída"),""),"")</f>
        <v/>
      </c>
      <c r="F1089" s="10" t="str">
        <f t="shared" si="36"/>
        <v/>
      </c>
    </row>
    <row r="1090" spans="1:6" x14ac:dyDescent="0.3">
      <c r="A1090" s="15" t="str">
        <f t="shared" si="37"/>
        <v>.</v>
      </c>
      <c r="E1090" s="13" t="str">
        <f>IFERROR(IF(AND(B1090&lt;&gt;"",C1090&lt;&gt;""),SUMIFS(Movimentos!$F$4:$F$9996,Movimentos!$D$4:$D$9996,B1090,Movimentos!$C$4:$C$9996,"Entrada")-SUMIFS(Movimentos!$F$4:$F$9996,Movimentos!$D$4:$D$9996,B1090,Movimentos!$C$4:$C$9996,"Saída"),""),"")</f>
        <v/>
      </c>
      <c r="F1090" s="10" t="str">
        <f t="shared" si="36"/>
        <v/>
      </c>
    </row>
    <row r="1091" spans="1:6" x14ac:dyDescent="0.3">
      <c r="A1091" s="15" t="str">
        <f t="shared" si="37"/>
        <v>.</v>
      </c>
      <c r="E1091" s="13" t="str">
        <f>IFERROR(IF(AND(B1091&lt;&gt;"",C1091&lt;&gt;""),SUMIFS(Movimentos!$F$4:$F$9996,Movimentos!$D$4:$D$9996,B1091,Movimentos!$C$4:$C$9996,"Entrada")-SUMIFS(Movimentos!$F$4:$F$9996,Movimentos!$D$4:$D$9996,B1091,Movimentos!$C$4:$C$9996,"Saída"),""),"")</f>
        <v/>
      </c>
      <c r="F1091" s="10" t="str">
        <f t="shared" si="36"/>
        <v/>
      </c>
    </row>
    <row r="1092" spans="1:6" x14ac:dyDescent="0.3">
      <c r="A1092" s="15" t="str">
        <f t="shared" si="37"/>
        <v>.</v>
      </c>
      <c r="E1092" s="13" t="str">
        <f>IFERROR(IF(AND(B1092&lt;&gt;"",C1092&lt;&gt;""),SUMIFS(Movimentos!$F$4:$F$9996,Movimentos!$D$4:$D$9996,B1092,Movimentos!$C$4:$C$9996,"Entrada")-SUMIFS(Movimentos!$F$4:$F$9996,Movimentos!$D$4:$D$9996,B1092,Movimentos!$C$4:$C$9996,"Saída"),""),"")</f>
        <v/>
      </c>
      <c r="F1092" s="10" t="str">
        <f t="shared" si="36"/>
        <v/>
      </c>
    </row>
    <row r="1093" spans="1:6" x14ac:dyDescent="0.3">
      <c r="A1093" s="15" t="str">
        <f t="shared" si="37"/>
        <v>.</v>
      </c>
      <c r="E1093" s="13" t="str">
        <f>IFERROR(IF(AND(B1093&lt;&gt;"",C1093&lt;&gt;""),SUMIFS(Movimentos!$F$4:$F$9996,Movimentos!$D$4:$D$9996,B1093,Movimentos!$C$4:$C$9996,"Entrada")-SUMIFS(Movimentos!$F$4:$F$9996,Movimentos!$D$4:$D$9996,B1093,Movimentos!$C$4:$C$9996,"Saída"),""),"")</f>
        <v/>
      </c>
      <c r="F1093" s="10" t="str">
        <f t="shared" si="36"/>
        <v/>
      </c>
    </row>
    <row r="1094" spans="1:6" x14ac:dyDescent="0.3">
      <c r="A1094" s="15" t="str">
        <f t="shared" si="37"/>
        <v>.</v>
      </c>
      <c r="E1094" s="13" t="str">
        <f>IFERROR(IF(AND(B1094&lt;&gt;"",C1094&lt;&gt;""),SUMIFS(Movimentos!$F$4:$F$9996,Movimentos!$D$4:$D$9996,B1094,Movimentos!$C$4:$C$9996,"Entrada")-SUMIFS(Movimentos!$F$4:$F$9996,Movimentos!$D$4:$D$9996,B1094,Movimentos!$C$4:$C$9996,"Saída"),""),"")</f>
        <v/>
      </c>
      <c r="F1094" s="10" t="str">
        <f t="shared" si="36"/>
        <v/>
      </c>
    </row>
    <row r="1095" spans="1:6" x14ac:dyDescent="0.3">
      <c r="A1095" s="15" t="str">
        <f t="shared" si="37"/>
        <v>.</v>
      </c>
      <c r="E1095" s="13" t="str">
        <f>IFERROR(IF(AND(B1095&lt;&gt;"",C1095&lt;&gt;""),SUMIFS(Movimentos!$F$4:$F$9996,Movimentos!$D$4:$D$9996,B1095,Movimentos!$C$4:$C$9996,"Entrada")-SUMIFS(Movimentos!$F$4:$F$9996,Movimentos!$D$4:$D$9996,B1095,Movimentos!$C$4:$C$9996,"Saída"),""),"")</f>
        <v/>
      </c>
      <c r="F1095" s="10" t="str">
        <f t="shared" si="36"/>
        <v/>
      </c>
    </row>
    <row r="1096" spans="1:6" x14ac:dyDescent="0.3">
      <c r="A1096" s="15" t="str">
        <f t="shared" si="37"/>
        <v>.</v>
      </c>
      <c r="E1096" s="13" t="str">
        <f>IFERROR(IF(AND(B1096&lt;&gt;"",C1096&lt;&gt;""),SUMIFS(Movimentos!$F$4:$F$9996,Movimentos!$D$4:$D$9996,B1096,Movimentos!$C$4:$C$9996,"Entrada")-SUMIFS(Movimentos!$F$4:$F$9996,Movimentos!$D$4:$D$9996,B1096,Movimentos!$C$4:$C$9996,"Saída"),""),"")</f>
        <v/>
      </c>
      <c r="F1096" s="10" t="str">
        <f t="shared" si="36"/>
        <v/>
      </c>
    </row>
    <row r="1097" spans="1:6" x14ac:dyDescent="0.3">
      <c r="A1097" s="15" t="str">
        <f t="shared" si="37"/>
        <v>.</v>
      </c>
      <c r="E1097" s="13" t="str">
        <f>IFERROR(IF(AND(B1097&lt;&gt;"",C1097&lt;&gt;""),SUMIFS(Movimentos!$F$4:$F$9996,Movimentos!$D$4:$D$9996,B1097,Movimentos!$C$4:$C$9996,"Entrada")-SUMIFS(Movimentos!$F$4:$F$9996,Movimentos!$D$4:$D$9996,B1097,Movimentos!$C$4:$C$9996,"Saída"),""),"")</f>
        <v/>
      </c>
      <c r="F1097" s="10" t="str">
        <f t="shared" si="36"/>
        <v/>
      </c>
    </row>
    <row r="1098" spans="1:6" x14ac:dyDescent="0.3">
      <c r="A1098" s="15" t="str">
        <f t="shared" si="37"/>
        <v>.</v>
      </c>
      <c r="E1098" s="13" t="str">
        <f>IFERROR(IF(AND(B1098&lt;&gt;"",C1098&lt;&gt;""),SUMIFS(Movimentos!$F$4:$F$9996,Movimentos!$D$4:$D$9996,B1098,Movimentos!$C$4:$C$9996,"Entrada")-SUMIFS(Movimentos!$F$4:$F$9996,Movimentos!$D$4:$D$9996,B1098,Movimentos!$C$4:$C$9996,"Saída"),""),"")</f>
        <v/>
      </c>
      <c r="F1098" s="10" t="str">
        <f t="shared" si="36"/>
        <v/>
      </c>
    </row>
    <row r="1099" spans="1:6" x14ac:dyDescent="0.3">
      <c r="A1099" s="15" t="str">
        <f t="shared" si="37"/>
        <v>.</v>
      </c>
      <c r="E1099" s="13" t="str">
        <f>IFERROR(IF(AND(B1099&lt;&gt;"",C1099&lt;&gt;""),SUMIFS(Movimentos!$F$4:$F$9996,Movimentos!$D$4:$D$9996,B1099,Movimentos!$C$4:$C$9996,"Entrada")-SUMIFS(Movimentos!$F$4:$F$9996,Movimentos!$D$4:$D$9996,B1099,Movimentos!$C$4:$C$9996,"Saída"),""),"")</f>
        <v/>
      </c>
      <c r="F1099" s="10" t="str">
        <f t="shared" si="36"/>
        <v/>
      </c>
    </row>
    <row r="1100" spans="1:6" x14ac:dyDescent="0.3">
      <c r="A1100" s="15" t="str">
        <f t="shared" si="37"/>
        <v>.</v>
      </c>
      <c r="E1100" s="13" t="str">
        <f>IFERROR(IF(AND(B1100&lt;&gt;"",C1100&lt;&gt;""),SUMIFS(Movimentos!$F$4:$F$9996,Movimentos!$D$4:$D$9996,B1100,Movimentos!$C$4:$C$9996,"Entrada")-SUMIFS(Movimentos!$F$4:$F$9996,Movimentos!$D$4:$D$9996,B1100,Movimentos!$C$4:$C$9996,"Saída"),""),"")</f>
        <v/>
      </c>
      <c r="F1100" s="10" t="str">
        <f t="shared" si="36"/>
        <v/>
      </c>
    </row>
    <row r="1101" spans="1:6" x14ac:dyDescent="0.3">
      <c r="A1101" s="15" t="str">
        <f t="shared" si="37"/>
        <v>.</v>
      </c>
      <c r="E1101" s="13" t="str">
        <f>IFERROR(IF(AND(B1101&lt;&gt;"",C1101&lt;&gt;""),SUMIFS(Movimentos!$F$4:$F$9996,Movimentos!$D$4:$D$9996,B1101,Movimentos!$C$4:$C$9996,"Entrada")-SUMIFS(Movimentos!$F$4:$F$9996,Movimentos!$D$4:$D$9996,B1101,Movimentos!$C$4:$C$9996,"Saída"),""),"")</f>
        <v/>
      </c>
      <c r="F1101" s="10" t="str">
        <f t="shared" si="36"/>
        <v/>
      </c>
    </row>
    <row r="1102" spans="1:6" x14ac:dyDescent="0.3">
      <c r="A1102" s="15" t="str">
        <f t="shared" si="37"/>
        <v>.</v>
      </c>
      <c r="E1102" s="13" t="str">
        <f>IFERROR(IF(AND(B1102&lt;&gt;"",C1102&lt;&gt;""),SUMIFS(Movimentos!$F$4:$F$9996,Movimentos!$D$4:$D$9996,B1102,Movimentos!$C$4:$C$9996,"Entrada")-SUMIFS(Movimentos!$F$4:$F$9996,Movimentos!$D$4:$D$9996,B1102,Movimentos!$C$4:$C$9996,"Saída"),""),"")</f>
        <v/>
      </c>
      <c r="F1102" s="10" t="str">
        <f t="shared" si="36"/>
        <v/>
      </c>
    </row>
    <row r="1103" spans="1:6" x14ac:dyDescent="0.3">
      <c r="A1103" s="15" t="str">
        <f t="shared" si="37"/>
        <v>.</v>
      </c>
      <c r="E1103" s="13" t="str">
        <f>IFERROR(IF(AND(B1103&lt;&gt;"",C1103&lt;&gt;""),SUMIFS(Movimentos!$F$4:$F$9996,Movimentos!$D$4:$D$9996,B1103,Movimentos!$C$4:$C$9996,"Entrada")-SUMIFS(Movimentos!$F$4:$F$9996,Movimentos!$D$4:$D$9996,B1103,Movimentos!$C$4:$C$9996,"Saída"),""),"")</f>
        <v/>
      </c>
      <c r="F1103" s="10" t="str">
        <f t="shared" si="36"/>
        <v/>
      </c>
    </row>
    <row r="1104" spans="1:6" x14ac:dyDescent="0.3">
      <c r="A1104" s="15" t="str">
        <f t="shared" si="37"/>
        <v>.</v>
      </c>
      <c r="E1104" s="13" t="str">
        <f>IFERROR(IF(AND(B1104&lt;&gt;"",C1104&lt;&gt;""),SUMIFS(Movimentos!$F$4:$F$9996,Movimentos!$D$4:$D$9996,B1104,Movimentos!$C$4:$C$9996,"Entrada")-SUMIFS(Movimentos!$F$4:$F$9996,Movimentos!$D$4:$D$9996,B1104,Movimentos!$C$4:$C$9996,"Saída"),""),"")</f>
        <v/>
      </c>
      <c r="F1104" s="10" t="str">
        <f t="shared" si="36"/>
        <v/>
      </c>
    </row>
    <row r="1105" spans="1:6" x14ac:dyDescent="0.3">
      <c r="A1105" s="15" t="str">
        <f t="shared" si="37"/>
        <v>.</v>
      </c>
      <c r="E1105" s="13" t="str">
        <f>IFERROR(IF(AND(B1105&lt;&gt;"",C1105&lt;&gt;""),SUMIFS(Movimentos!$F$4:$F$9996,Movimentos!$D$4:$D$9996,B1105,Movimentos!$C$4:$C$9996,"Entrada")-SUMIFS(Movimentos!$F$4:$F$9996,Movimentos!$D$4:$D$9996,B1105,Movimentos!$C$4:$C$9996,"Saída"),""),"")</f>
        <v/>
      </c>
      <c r="F1105" s="10" t="str">
        <f t="shared" si="36"/>
        <v/>
      </c>
    </row>
    <row r="1106" spans="1:6" x14ac:dyDescent="0.3">
      <c r="A1106" s="15" t="str">
        <f t="shared" si="37"/>
        <v>.</v>
      </c>
      <c r="E1106" s="13" t="str">
        <f>IFERROR(IF(AND(B1106&lt;&gt;"",C1106&lt;&gt;""),SUMIFS(Movimentos!$F$4:$F$9996,Movimentos!$D$4:$D$9996,B1106,Movimentos!$C$4:$C$9996,"Entrada")-SUMIFS(Movimentos!$F$4:$F$9996,Movimentos!$D$4:$D$9996,B1106,Movimentos!$C$4:$C$9996,"Saída"),""),"")</f>
        <v/>
      </c>
      <c r="F1106" s="10" t="str">
        <f t="shared" si="36"/>
        <v/>
      </c>
    </row>
    <row r="1107" spans="1:6" x14ac:dyDescent="0.3">
      <c r="A1107" s="15" t="str">
        <f t="shared" si="37"/>
        <v>.</v>
      </c>
      <c r="E1107" s="13" t="str">
        <f>IFERROR(IF(AND(B1107&lt;&gt;"",C1107&lt;&gt;""),SUMIFS(Movimentos!$F$4:$F$9996,Movimentos!$D$4:$D$9996,B1107,Movimentos!$C$4:$C$9996,"Entrada")-SUMIFS(Movimentos!$F$4:$F$9996,Movimentos!$D$4:$D$9996,B1107,Movimentos!$C$4:$C$9996,"Saída"),""),"")</f>
        <v/>
      </c>
      <c r="F1107" s="10" t="str">
        <f t="shared" si="36"/>
        <v/>
      </c>
    </row>
    <row r="1108" spans="1:6" x14ac:dyDescent="0.3">
      <c r="A1108" s="15" t="str">
        <f t="shared" si="37"/>
        <v>.</v>
      </c>
      <c r="E1108" s="13" t="str">
        <f>IFERROR(IF(AND(B1108&lt;&gt;"",C1108&lt;&gt;""),SUMIFS(Movimentos!$F$4:$F$9996,Movimentos!$D$4:$D$9996,B1108,Movimentos!$C$4:$C$9996,"Entrada")-SUMIFS(Movimentos!$F$4:$F$9996,Movimentos!$D$4:$D$9996,B1108,Movimentos!$C$4:$C$9996,"Saída"),""),"")</f>
        <v/>
      </c>
      <c r="F1108" s="10" t="str">
        <f t="shared" si="36"/>
        <v/>
      </c>
    </row>
    <row r="1109" spans="1:6" x14ac:dyDescent="0.3">
      <c r="A1109" s="15" t="str">
        <f t="shared" si="37"/>
        <v>.</v>
      </c>
      <c r="E1109" s="13" t="str">
        <f>IFERROR(IF(AND(B1109&lt;&gt;"",C1109&lt;&gt;""),SUMIFS(Movimentos!$F$4:$F$9996,Movimentos!$D$4:$D$9996,B1109,Movimentos!$C$4:$C$9996,"Entrada")-SUMIFS(Movimentos!$F$4:$F$9996,Movimentos!$D$4:$D$9996,B1109,Movimentos!$C$4:$C$9996,"Saída"),""),"")</f>
        <v/>
      </c>
      <c r="F1109" s="10" t="str">
        <f t="shared" si="36"/>
        <v/>
      </c>
    </row>
    <row r="1110" spans="1:6" x14ac:dyDescent="0.3">
      <c r="A1110" s="15" t="str">
        <f t="shared" si="37"/>
        <v>.</v>
      </c>
      <c r="E1110" s="13" t="str">
        <f>IFERROR(IF(AND(B1110&lt;&gt;"",C1110&lt;&gt;""),SUMIFS(Movimentos!$F$4:$F$9996,Movimentos!$D$4:$D$9996,B1110,Movimentos!$C$4:$C$9996,"Entrada")-SUMIFS(Movimentos!$F$4:$F$9996,Movimentos!$D$4:$D$9996,B1110,Movimentos!$C$4:$C$9996,"Saída"),""),"")</f>
        <v/>
      </c>
      <c r="F1110" s="10" t="str">
        <f t="shared" si="36"/>
        <v/>
      </c>
    </row>
    <row r="1111" spans="1:6" x14ac:dyDescent="0.3">
      <c r="A1111" s="15" t="str">
        <f t="shared" si="37"/>
        <v>.</v>
      </c>
      <c r="E1111" s="13" t="str">
        <f>IFERROR(IF(AND(B1111&lt;&gt;"",C1111&lt;&gt;""),SUMIFS(Movimentos!$F$4:$F$9996,Movimentos!$D$4:$D$9996,B1111,Movimentos!$C$4:$C$9996,"Entrada")-SUMIFS(Movimentos!$F$4:$F$9996,Movimentos!$D$4:$D$9996,B1111,Movimentos!$C$4:$C$9996,"Saída"),""),"")</f>
        <v/>
      </c>
      <c r="F1111" s="10" t="str">
        <f t="shared" ref="F1111:F1174" si="38">IF(AND(B1111&lt;&gt;"",C1111&lt;&gt;""),IF(E1111=0,"Saldo zerado",IF(E1111&lt;D1111,"Saldo abaixo do mínimo","Saldo disponível")),"")</f>
        <v/>
      </c>
    </row>
    <row r="1112" spans="1:6" x14ac:dyDescent="0.3">
      <c r="A1112" s="15" t="str">
        <f t="shared" si="37"/>
        <v>.</v>
      </c>
      <c r="E1112" s="13" t="str">
        <f>IFERROR(IF(AND(B1112&lt;&gt;"",C1112&lt;&gt;""),SUMIFS(Movimentos!$F$4:$F$9996,Movimentos!$D$4:$D$9996,B1112,Movimentos!$C$4:$C$9996,"Entrada")-SUMIFS(Movimentos!$F$4:$F$9996,Movimentos!$D$4:$D$9996,B1112,Movimentos!$C$4:$C$9996,"Saída"),""),"")</f>
        <v/>
      </c>
      <c r="F1112" s="10" t="str">
        <f t="shared" si="38"/>
        <v/>
      </c>
    </row>
    <row r="1113" spans="1:6" x14ac:dyDescent="0.3">
      <c r="A1113" s="15" t="str">
        <f t="shared" si="37"/>
        <v>.</v>
      </c>
      <c r="E1113" s="13" t="str">
        <f>IFERROR(IF(AND(B1113&lt;&gt;"",C1113&lt;&gt;""),SUMIFS(Movimentos!$F$4:$F$9996,Movimentos!$D$4:$D$9996,B1113,Movimentos!$C$4:$C$9996,"Entrada")-SUMIFS(Movimentos!$F$4:$F$9996,Movimentos!$D$4:$D$9996,B1113,Movimentos!$C$4:$C$9996,"Saída"),""),"")</f>
        <v/>
      </c>
      <c r="F1113" s="10" t="str">
        <f t="shared" si="38"/>
        <v/>
      </c>
    </row>
    <row r="1114" spans="1:6" x14ac:dyDescent="0.3">
      <c r="A1114" s="15" t="str">
        <f t="shared" si="37"/>
        <v>.</v>
      </c>
      <c r="E1114" s="13" t="str">
        <f>IFERROR(IF(AND(B1114&lt;&gt;"",C1114&lt;&gt;""),SUMIFS(Movimentos!$F$4:$F$9996,Movimentos!$D$4:$D$9996,B1114,Movimentos!$C$4:$C$9996,"Entrada")-SUMIFS(Movimentos!$F$4:$F$9996,Movimentos!$D$4:$D$9996,B1114,Movimentos!$C$4:$C$9996,"Saída"),""),"")</f>
        <v/>
      </c>
      <c r="F1114" s="10" t="str">
        <f t="shared" si="38"/>
        <v/>
      </c>
    </row>
    <row r="1115" spans="1:6" x14ac:dyDescent="0.3">
      <c r="A1115" s="15" t="str">
        <f t="shared" si="37"/>
        <v>.</v>
      </c>
      <c r="E1115" s="13" t="str">
        <f>IFERROR(IF(AND(B1115&lt;&gt;"",C1115&lt;&gt;""),SUMIFS(Movimentos!$F$4:$F$9996,Movimentos!$D$4:$D$9996,B1115,Movimentos!$C$4:$C$9996,"Entrada")-SUMIFS(Movimentos!$F$4:$F$9996,Movimentos!$D$4:$D$9996,B1115,Movimentos!$C$4:$C$9996,"Saída"),""),"")</f>
        <v/>
      </c>
      <c r="F1115" s="10" t="str">
        <f t="shared" si="38"/>
        <v/>
      </c>
    </row>
    <row r="1116" spans="1:6" x14ac:dyDescent="0.3">
      <c r="A1116" s="15" t="str">
        <f t="shared" si="37"/>
        <v>.</v>
      </c>
      <c r="E1116" s="13" t="str">
        <f>IFERROR(IF(AND(B1116&lt;&gt;"",C1116&lt;&gt;""),SUMIFS(Movimentos!$F$4:$F$9996,Movimentos!$D$4:$D$9996,B1116,Movimentos!$C$4:$C$9996,"Entrada")-SUMIFS(Movimentos!$F$4:$F$9996,Movimentos!$D$4:$D$9996,B1116,Movimentos!$C$4:$C$9996,"Saída"),""),"")</f>
        <v/>
      </c>
      <c r="F1116" s="10" t="str">
        <f t="shared" si="38"/>
        <v/>
      </c>
    </row>
    <row r="1117" spans="1:6" x14ac:dyDescent="0.3">
      <c r="A1117" s="15" t="str">
        <f t="shared" si="37"/>
        <v>.</v>
      </c>
      <c r="E1117" s="13" t="str">
        <f>IFERROR(IF(AND(B1117&lt;&gt;"",C1117&lt;&gt;""),SUMIFS(Movimentos!$F$4:$F$9996,Movimentos!$D$4:$D$9996,B1117,Movimentos!$C$4:$C$9996,"Entrada")-SUMIFS(Movimentos!$F$4:$F$9996,Movimentos!$D$4:$D$9996,B1117,Movimentos!$C$4:$C$9996,"Saída"),""),"")</f>
        <v/>
      </c>
      <c r="F1117" s="10" t="str">
        <f t="shared" si="38"/>
        <v/>
      </c>
    </row>
    <row r="1118" spans="1:6" x14ac:dyDescent="0.3">
      <c r="A1118" s="15" t="str">
        <f t="shared" si="37"/>
        <v>.</v>
      </c>
      <c r="E1118" s="13" t="str">
        <f>IFERROR(IF(AND(B1118&lt;&gt;"",C1118&lt;&gt;""),SUMIFS(Movimentos!$F$4:$F$9996,Movimentos!$D$4:$D$9996,B1118,Movimentos!$C$4:$C$9996,"Entrada")-SUMIFS(Movimentos!$F$4:$F$9996,Movimentos!$D$4:$D$9996,B1118,Movimentos!$C$4:$C$9996,"Saída"),""),"")</f>
        <v/>
      </c>
      <c r="F1118" s="10" t="str">
        <f t="shared" si="38"/>
        <v/>
      </c>
    </row>
    <row r="1119" spans="1:6" x14ac:dyDescent="0.3">
      <c r="A1119" s="15" t="str">
        <f t="shared" si="37"/>
        <v>.</v>
      </c>
      <c r="E1119" s="13" t="str">
        <f>IFERROR(IF(AND(B1119&lt;&gt;"",C1119&lt;&gt;""),SUMIFS(Movimentos!$F$4:$F$9996,Movimentos!$D$4:$D$9996,B1119,Movimentos!$C$4:$C$9996,"Entrada")-SUMIFS(Movimentos!$F$4:$F$9996,Movimentos!$D$4:$D$9996,B1119,Movimentos!$C$4:$C$9996,"Saída"),""),"")</f>
        <v/>
      </c>
      <c r="F1119" s="10" t="str">
        <f t="shared" si="38"/>
        <v/>
      </c>
    </row>
    <row r="1120" spans="1:6" x14ac:dyDescent="0.3">
      <c r="A1120" s="15" t="str">
        <f t="shared" si="37"/>
        <v>.</v>
      </c>
      <c r="E1120" s="13" t="str">
        <f>IFERROR(IF(AND(B1120&lt;&gt;"",C1120&lt;&gt;""),SUMIFS(Movimentos!$F$4:$F$9996,Movimentos!$D$4:$D$9996,B1120,Movimentos!$C$4:$C$9996,"Entrada")-SUMIFS(Movimentos!$F$4:$F$9996,Movimentos!$D$4:$D$9996,B1120,Movimentos!$C$4:$C$9996,"Saída"),""),"")</f>
        <v/>
      </c>
      <c r="F1120" s="10" t="str">
        <f t="shared" si="38"/>
        <v/>
      </c>
    </row>
    <row r="1121" spans="1:6" x14ac:dyDescent="0.3">
      <c r="A1121" s="15" t="str">
        <f t="shared" si="37"/>
        <v>.</v>
      </c>
      <c r="E1121" s="13" t="str">
        <f>IFERROR(IF(AND(B1121&lt;&gt;"",C1121&lt;&gt;""),SUMIFS(Movimentos!$F$4:$F$9996,Movimentos!$D$4:$D$9996,B1121,Movimentos!$C$4:$C$9996,"Entrada")-SUMIFS(Movimentos!$F$4:$F$9996,Movimentos!$D$4:$D$9996,B1121,Movimentos!$C$4:$C$9996,"Saída"),""),"")</f>
        <v/>
      </c>
      <c r="F1121" s="10" t="str">
        <f t="shared" si="38"/>
        <v/>
      </c>
    </row>
    <row r="1122" spans="1:6" x14ac:dyDescent="0.3">
      <c r="A1122" s="15" t="str">
        <f t="shared" si="37"/>
        <v>.</v>
      </c>
      <c r="E1122" s="13" t="str">
        <f>IFERROR(IF(AND(B1122&lt;&gt;"",C1122&lt;&gt;""),SUMIFS(Movimentos!$F$4:$F$9996,Movimentos!$D$4:$D$9996,B1122,Movimentos!$C$4:$C$9996,"Entrada")-SUMIFS(Movimentos!$F$4:$F$9996,Movimentos!$D$4:$D$9996,B1122,Movimentos!$C$4:$C$9996,"Saída"),""),"")</f>
        <v/>
      </c>
      <c r="F1122" s="10" t="str">
        <f t="shared" si="38"/>
        <v/>
      </c>
    </row>
    <row r="1123" spans="1:6" x14ac:dyDescent="0.3">
      <c r="A1123" s="15" t="str">
        <f t="shared" si="37"/>
        <v>.</v>
      </c>
      <c r="E1123" s="13" t="str">
        <f>IFERROR(IF(AND(B1123&lt;&gt;"",C1123&lt;&gt;""),SUMIFS(Movimentos!$F$4:$F$9996,Movimentos!$D$4:$D$9996,B1123,Movimentos!$C$4:$C$9996,"Entrada")-SUMIFS(Movimentos!$F$4:$F$9996,Movimentos!$D$4:$D$9996,B1123,Movimentos!$C$4:$C$9996,"Saída"),""),"")</f>
        <v/>
      </c>
      <c r="F1123" s="10" t="str">
        <f t="shared" si="38"/>
        <v/>
      </c>
    </row>
    <row r="1124" spans="1:6" x14ac:dyDescent="0.3">
      <c r="A1124" s="15" t="str">
        <f t="shared" si="37"/>
        <v>.</v>
      </c>
      <c r="E1124" s="13" t="str">
        <f>IFERROR(IF(AND(B1124&lt;&gt;"",C1124&lt;&gt;""),SUMIFS(Movimentos!$F$4:$F$9996,Movimentos!$D$4:$D$9996,B1124,Movimentos!$C$4:$C$9996,"Entrada")-SUMIFS(Movimentos!$F$4:$F$9996,Movimentos!$D$4:$D$9996,B1124,Movimentos!$C$4:$C$9996,"Saída"),""),"")</f>
        <v/>
      </c>
      <c r="F1124" s="10" t="str">
        <f t="shared" si="38"/>
        <v/>
      </c>
    </row>
    <row r="1125" spans="1:6" x14ac:dyDescent="0.3">
      <c r="A1125" s="15" t="str">
        <f t="shared" si="37"/>
        <v>.</v>
      </c>
      <c r="E1125" s="13" t="str">
        <f>IFERROR(IF(AND(B1125&lt;&gt;"",C1125&lt;&gt;""),SUMIFS(Movimentos!$F$4:$F$9996,Movimentos!$D$4:$D$9996,B1125,Movimentos!$C$4:$C$9996,"Entrada")-SUMIFS(Movimentos!$F$4:$F$9996,Movimentos!$D$4:$D$9996,B1125,Movimentos!$C$4:$C$9996,"Saída"),""),"")</f>
        <v/>
      </c>
      <c r="F1125" s="10" t="str">
        <f t="shared" si="38"/>
        <v/>
      </c>
    </row>
    <row r="1126" spans="1:6" x14ac:dyDescent="0.3">
      <c r="A1126" s="15" t="str">
        <f t="shared" si="37"/>
        <v>.</v>
      </c>
      <c r="E1126" s="13" t="str">
        <f>IFERROR(IF(AND(B1126&lt;&gt;"",C1126&lt;&gt;""),SUMIFS(Movimentos!$F$4:$F$9996,Movimentos!$D$4:$D$9996,B1126,Movimentos!$C$4:$C$9996,"Entrada")-SUMIFS(Movimentos!$F$4:$F$9996,Movimentos!$D$4:$D$9996,B1126,Movimentos!$C$4:$C$9996,"Saída"),""),"")</f>
        <v/>
      </c>
      <c r="F1126" s="10" t="str">
        <f t="shared" si="38"/>
        <v/>
      </c>
    </row>
    <row r="1127" spans="1:6" x14ac:dyDescent="0.3">
      <c r="A1127" s="15" t="str">
        <f t="shared" si="37"/>
        <v>.</v>
      </c>
      <c r="E1127" s="13" t="str">
        <f>IFERROR(IF(AND(B1127&lt;&gt;"",C1127&lt;&gt;""),SUMIFS(Movimentos!$F$4:$F$9996,Movimentos!$D$4:$D$9996,B1127,Movimentos!$C$4:$C$9996,"Entrada")-SUMIFS(Movimentos!$F$4:$F$9996,Movimentos!$D$4:$D$9996,B1127,Movimentos!$C$4:$C$9996,"Saída"),""),"")</f>
        <v/>
      </c>
      <c r="F1127" s="10" t="str">
        <f t="shared" si="38"/>
        <v/>
      </c>
    </row>
    <row r="1128" spans="1:6" x14ac:dyDescent="0.3">
      <c r="A1128" s="15" t="str">
        <f t="shared" si="37"/>
        <v>.</v>
      </c>
      <c r="E1128" s="13" t="str">
        <f>IFERROR(IF(AND(B1128&lt;&gt;"",C1128&lt;&gt;""),SUMIFS(Movimentos!$F$4:$F$9996,Movimentos!$D$4:$D$9996,B1128,Movimentos!$C$4:$C$9996,"Entrada")-SUMIFS(Movimentos!$F$4:$F$9996,Movimentos!$D$4:$D$9996,B1128,Movimentos!$C$4:$C$9996,"Saída"),""),"")</f>
        <v/>
      </c>
      <c r="F1128" s="10" t="str">
        <f t="shared" si="38"/>
        <v/>
      </c>
    </row>
    <row r="1129" spans="1:6" x14ac:dyDescent="0.3">
      <c r="A1129" s="15" t="str">
        <f t="shared" si="37"/>
        <v>.</v>
      </c>
      <c r="E1129" s="13" t="str">
        <f>IFERROR(IF(AND(B1129&lt;&gt;"",C1129&lt;&gt;""),SUMIFS(Movimentos!$F$4:$F$9996,Movimentos!$D$4:$D$9996,B1129,Movimentos!$C$4:$C$9996,"Entrada")-SUMIFS(Movimentos!$F$4:$F$9996,Movimentos!$D$4:$D$9996,B1129,Movimentos!$C$4:$C$9996,"Saída"),""),"")</f>
        <v/>
      </c>
      <c r="F1129" s="10" t="str">
        <f t="shared" si="38"/>
        <v/>
      </c>
    </row>
    <row r="1130" spans="1:6" x14ac:dyDescent="0.3">
      <c r="A1130" s="15" t="str">
        <f t="shared" si="37"/>
        <v>.</v>
      </c>
      <c r="E1130" s="13" t="str">
        <f>IFERROR(IF(AND(B1130&lt;&gt;"",C1130&lt;&gt;""),SUMIFS(Movimentos!$F$4:$F$9996,Movimentos!$D$4:$D$9996,B1130,Movimentos!$C$4:$C$9996,"Entrada")-SUMIFS(Movimentos!$F$4:$F$9996,Movimentos!$D$4:$D$9996,B1130,Movimentos!$C$4:$C$9996,"Saída"),""),"")</f>
        <v/>
      </c>
      <c r="F1130" s="10" t="str">
        <f t="shared" si="38"/>
        <v/>
      </c>
    </row>
    <row r="1131" spans="1:6" x14ac:dyDescent="0.3">
      <c r="A1131" s="15" t="str">
        <f t="shared" si="37"/>
        <v>.</v>
      </c>
      <c r="E1131" s="13" t="str">
        <f>IFERROR(IF(AND(B1131&lt;&gt;"",C1131&lt;&gt;""),SUMIFS(Movimentos!$F$4:$F$9996,Movimentos!$D$4:$D$9996,B1131,Movimentos!$C$4:$C$9996,"Entrada")-SUMIFS(Movimentos!$F$4:$F$9996,Movimentos!$D$4:$D$9996,B1131,Movimentos!$C$4:$C$9996,"Saída"),""),"")</f>
        <v/>
      </c>
      <c r="F1131" s="10" t="str">
        <f t="shared" si="38"/>
        <v/>
      </c>
    </row>
    <row r="1132" spans="1:6" x14ac:dyDescent="0.3">
      <c r="A1132" s="15" t="str">
        <f t="shared" si="37"/>
        <v>.</v>
      </c>
      <c r="E1132" s="13" t="str">
        <f>IFERROR(IF(AND(B1132&lt;&gt;"",C1132&lt;&gt;""),SUMIFS(Movimentos!$F$4:$F$9996,Movimentos!$D$4:$D$9996,B1132,Movimentos!$C$4:$C$9996,"Entrada")-SUMIFS(Movimentos!$F$4:$F$9996,Movimentos!$D$4:$D$9996,B1132,Movimentos!$C$4:$C$9996,"Saída"),""),"")</f>
        <v/>
      </c>
      <c r="F1132" s="10" t="str">
        <f t="shared" si="38"/>
        <v/>
      </c>
    </row>
    <row r="1133" spans="1:6" x14ac:dyDescent="0.3">
      <c r="A1133" s="15" t="str">
        <f t="shared" si="37"/>
        <v>.</v>
      </c>
      <c r="E1133" s="13" t="str">
        <f>IFERROR(IF(AND(B1133&lt;&gt;"",C1133&lt;&gt;""),SUMIFS(Movimentos!$F$4:$F$9996,Movimentos!$D$4:$D$9996,B1133,Movimentos!$C$4:$C$9996,"Entrada")-SUMIFS(Movimentos!$F$4:$F$9996,Movimentos!$D$4:$D$9996,B1133,Movimentos!$C$4:$C$9996,"Saída"),""),"")</f>
        <v/>
      </c>
      <c r="F1133" s="10" t="str">
        <f t="shared" si="38"/>
        <v/>
      </c>
    </row>
    <row r="1134" spans="1:6" x14ac:dyDescent="0.3">
      <c r="A1134" s="15" t="str">
        <f t="shared" si="37"/>
        <v>.</v>
      </c>
      <c r="E1134" s="13" t="str">
        <f>IFERROR(IF(AND(B1134&lt;&gt;"",C1134&lt;&gt;""),SUMIFS(Movimentos!$F$4:$F$9996,Movimentos!$D$4:$D$9996,B1134,Movimentos!$C$4:$C$9996,"Entrada")-SUMIFS(Movimentos!$F$4:$F$9996,Movimentos!$D$4:$D$9996,B1134,Movimentos!$C$4:$C$9996,"Saída"),""),"")</f>
        <v/>
      </c>
      <c r="F1134" s="10" t="str">
        <f t="shared" si="38"/>
        <v/>
      </c>
    </row>
    <row r="1135" spans="1:6" x14ac:dyDescent="0.3">
      <c r="A1135" s="15" t="str">
        <f t="shared" si="37"/>
        <v>.</v>
      </c>
      <c r="E1135" s="13" t="str">
        <f>IFERROR(IF(AND(B1135&lt;&gt;"",C1135&lt;&gt;""),SUMIFS(Movimentos!$F$4:$F$9996,Movimentos!$D$4:$D$9996,B1135,Movimentos!$C$4:$C$9996,"Entrada")-SUMIFS(Movimentos!$F$4:$F$9996,Movimentos!$D$4:$D$9996,B1135,Movimentos!$C$4:$C$9996,"Saída"),""),"")</f>
        <v/>
      </c>
      <c r="F1135" s="10" t="str">
        <f t="shared" si="38"/>
        <v/>
      </c>
    </row>
    <row r="1136" spans="1:6" x14ac:dyDescent="0.3">
      <c r="A1136" s="15" t="str">
        <f t="shared" si="37"/>
        <v>.</v>
      </c>
      <c r="E1136" s="13" t="str">
        <f>IFERROR(IF(AND(B1136&lt;&gt;"",C1136&lt;&gt;""),SUMIFS(Movimentos!$F$4:$F$9996,Movimentos!$D$4:$D$9996,B1136,Movimentos!$C$4:$C$9996,"Entrada")-SUMIFS(Movimentos!$F$4:$F$9996,Movimentos!$D$4:$D$9996,B1136,Movimentos!$C$4:$C$9996,"Saída"),""),"")</f>
        <v/>
      </c>
      <c r="F1136" s="10" t="str">
        <f t="shared" si="38"/>
        <v/>
      </c>
    </row>
    <row r="1137" spans="1:6" x14ac:dyDescent="0.3">
      <c r="A1137" s="15" t="str">
        <f t="shared" si="37"/>
        <v>.</v>
      </c>
      <c r="E1137" s="13" t="str">
        <f>IFERROR(IF(AND(B1137&lt;&gt;"",C1137&lt;&gt;""),SUMIFS(Movimentos!$F$4:$F$9996,Movimentos!$D$4:$D$9996,B1137,Movimentos!$C$4:$C$9996,"Entrada")-SUMIFS(Movimentos!$F$4:$F$9996,Movimentos!$D$4:$D$9996,B1137,Movimentos!$C$4:$C$9996,"Saída"),""),"")</f>
        <v/>
      </c>
      <c r="F1137" s="10" t="str">
        <f t="shared" si="38"/>
        <v/>
      </c>
    </row>
    <row r="1138" spans="1:6" x14ac:dyDescent="0.3">
      <c r="A1138" s="15" t="str">
        <f t="shared" si="37"/>
        <v>.</v>
      </c>
      <c r="E1138" s="13" t="str">
        <f>IFERROR(IF(AND(B1138&lt;&gt;"",C1138&lt;&gt;""),SUMIFS(Movimentos!$F$4:$F$9996,Movimentos!$D$4:$D$9996,B1138,Movimentos!$C$4:$C$9996,"Entrada")-SUMIFS(Movimentos!$F$4:$F$9996,Movimentos!$D$4:$D$9996,B1138,Movimentos!$C$4:$C$9996,"Saída"),""),"")</f>
        <v/>
      </c>
      <c r="F1138" s="10" t="str">
        <f t="shared" si="38"/>
        <v/>
      </c>
    </row>
    <row r="1139" spans="1:6" x14ac:dyDescent="0.3">
      <c r="A1139" s="15" t="str">
        <f t="shared" si="37"/>
        <v>.</v>
      </c>
      <c r="E1139" s="13" t="str">
        <f>IFERROR(IF(AND(B1139&lt;&gt;"",C1139&lt;&gt;""),SUMIFS(Movimentos!$F$4:$F$9996,Movimentos!$D$4:$D$9996,B1139,Movimentos!$C$4:$C$9996,"Entrada")-SUMIFS(Movimentos!$F$4:$F$9996,Movimentos!$D$4:$D$9996,B1139,Movimentos!$C$4:$C$9996,"Saída"),""),"")</f>
        <v/>
      </c>
      <c r="F1139" s="10" t="str">
        <f t="shared" si="38"/>
        <v/>
      </c>
    </row>
    <row r="1140" spans="1:6" x14ac:dyDescent="0.3">
      <c r="A1140" s="15" t="str">
        <f t="shared" si="37"/>
        <v>.</v>
      </c>
      <c r="E1140" s="13" t="str">
        <f>IFERROR(IF(AND(B1140&lt;&gt;"",C1140&lt;&gt;""),SUMIFS(Movimentos!$F$4:$F$9996,Movimentos!$D$4:$D$9996,B1140,Movimentos!$C$4:$C$9996,"Entrada")-SUMIFS(Movimentos!$F$4:$F$9996,Movimentos!$D$4:$D$9996,B1140,Movimentos!$C$4:$C$9996,"Saída"),""),"")</f>
        <v/>
      </c>
      <c r="F1140" s="10" t="str">
        <f t="shared" si="38"/>
        <v/>
      </c>
    </row>
    <row r="1141" spans="1:6" x14ac:dyDescent="0.3">
      <c r="A1141" s="15" t="str">
        <f t="shared" si="37"/>
        <v>.</v>
      </c>
      <c r="E1141" s="13" t="str">
        <f>IFERROR(IF(AND(B1141&lt;&gt;"",C1141&lt;&gt;""),SUMIFS(Movimentos!$F$4:$F$9996,Movimentos!$D$4:$D$9996,B1141,Movimentos!$C$4:$C$9996,"Entrada")-SUMIFS(Movimentos!$F$4:$F$9996,Movimentos!$D$4:$D$9996,B1141,Movimentos!$C$4:$C$9996,"Saída"),""),"")</f>
        <v/>
      </c>
      <c r="F1141" s="10" t="str">
        <f t="shared" si="38"/>
        <v/>
      </c>
    </row>
    <row r="1142" spans="1:6" x14ac:dyDescent="0.3">
      <c r="A1142" s="15" t="str">
        <f t="shared" si="37"/>
        <v>.</v>
      </c>
      <c r="E1142" s="13" t="str">
        <f>IFERROR(IF(AND(B1142&lt;&gt;"",C1142&lt;&gt;""),SUMIFS(Movimentos!$F$4:$F$9996,Movimentos!$D$4:$D$9996,B1142,Movimentos!$C$4:$C$9996,"Entrada")-SUMIFS(Movimentos!$F$4:$F$9996,Movimentos!$D$4:$D$9996,B1142,Movimentos!$C$4:$C$9996,"Saída"),""),"")</f>
        <v/>
      </c>
      <c r="F1142" s="10" t="str">
        <f t="shared" si="38"/>
        <v/>
      </c>
    </row>
    <row r="1143" spans="1:6" x14ac:dyDescent="0.3">
      <c r="A1143" s="15" t="str">
        <f t="shared" si="37"/>
        <v>.</v>
      </c>
      <c r="E1143" s="13" t="str">
        <f>IFERROR(IF(AND(B1143&lt;&gt;"",C1143&lt;&gt;""),SUMIFS(Movimentos!$F$4:$F$9996,Movimentos!$D$4:$D$9996,B1143,Movimentos!$C$4:$C$9996,"Entrada")-SUMIFS(Movimentos!$F$4:$F$9996,Movimentos!$D$4:$D$9996,B1143,Movimentos!$C$4:$C$9996,"Saída"),""),"")</f>
        <v/>
      </c>
      <c r="F1143" s="10" t="str">
        <f t="shared" si="38"/>
        <v/>
      </c>
    </row>
    <row r="1144" spans="1:6" x14ac:dyDescent="0.3">
      <c r="A1144" s="15" t="str">
        <f t="shared" si="37"/>
        <v>.</v>
      </c>
      <c r="E1144" s="13" t="str">
        <f>IFERROR(IF(AND(B1144&lt;&gt;"",C1144&lt;&gt;""),SUMIFS(Movimentos!$F$4:$F$9996,Movimentos!$D$4:$D$9996,B1144,Movimentos!$C$4:$C$9996,"Entrada")-SUMIFS(Movimentos!$F$4:$F$9996,Movimentos!$D$4:$D$9996,B1144,Movimentos!$C$4:$C$9996,"Saída"),""),"")</f>
        <v/>
      </c>
      <c r="F1144" s="10" t="str">
        <f t="shared" si="38"/>
        <v/>
      </c>
    </row>
    <row r="1145" spans="1:6" x14ac:dyDescent="0.3">
      <c r="A1145" s="15" t="str">
        <f t="shared" si="37"/>
        <v>.</v>
      </c>
      <c r="E1145" s="13" t="str">
        <f>IFERROR(IF(AND(B1145&lt;&gt;"",C1145&lt;&gt;""),SUMIFS(Movimentos!$F$4:$F$9996,Movimentos!$D$4:$D$9996,B1145,Movimentos!$C$4:$C$9996,"Entrada")-SUMIFS(Movimentos!$F$4:$F$9996,Movimentos!$D$4:$D$9996,B1145,Movimentos!$C$4:$C$9996,"Saída"),""),"")</f>
        <v/>
      </c>
      <c r="F1145" s="10" t="str">
        <f t="shared" si="38"/>
        <v/>
      </c>
    </row>
    <row r="1146" spans="1:6" x14ac:dyDescent="0.3">
      <c r="A1146" s="15" t="str">
        <f t="shared" si="37"/>
        <v>.</v>
      </c>
      <c r="E1146" s="13" t="str">
        <f>IFERROR(IF(AND(B1146&lt;&gt;"",C1146&lt;&gt;""),SUMIFS(Movimentos!$F$4:$F$9996,Movimentos!$D$4:$D$9996,B1146,Movimentos!$C$4:$C$9996,"Entrada")-SUMIFS(Movimentos!$F$4:$F$9996,Movimentos!$D$4:$D$9996,B1146,Movimentos!$C$4:$C$9996,"Saída"),""),"")</f>
        <v/>
      </c>
      <c r="F1146" s="10" t="str">
        <f t="shared" si="38"/>
        <v/>
      </c>
    </row>
    <row r="1147" spans="1:6" x14ac:dyDescent="0.3">
      <c r="A1147" s="15" t="str">
        <f t="shared" si="37"/>
        <v>.</v>
      </c>
      <c r="E1147" s="13" t="str">
        <f>IFERROR(IF(AND(B1147&lt;&gt;"",C1147&lt;&gt;""),SUMIFS(Movimentos!$F$4:$F$9996,Movimentos!$D$4:$D$9996,B1147,Movimentos!$C$4:$C$9996,"Entrada")-SUMIFS(Movimentos!$F$4:$F$9996,Movimentos!$D$4:$D$9996,B1147,Movimentos!$C$4:$C$9996,"Saída"),""),"")</f>
        <v/>
      </c>
      <c r="F1147" s="10" t="str">
        <f t="shared" si="38"/>
        <v/>
      </c>
    </row>
    <row r="1148" spans="1:6" x14ac:dyDescent="0.3">
      <c r="A1148" s="15" t="str">
        <f t="shared" si="37"/>
        <v>.</v>
      </c>
      <c r="E1148" s="13" t="str">
        <f>IFERROR(IF(AND(B1148&lt;&gt;"",C1148&lt;&gt;""),SUMIFS(Movimentos!$F$4:$F$9996,Movimentos!$D$4:$D$9996,B1148,Movimentos!$C$4:$C$9996,"Entrada")-SUMIFS(Movimentos!$F$4:$F$9996,Movimentos!$D$4:$D$9996,B1148,Movimentos!$C$4:$C$9996,"Saída"),""),"")</f>
        <v/>
      </c>
      <c r="F1148" s="10" t="str">
        <f t="shared" si="38"/>
        <v/>
      </c>
    </row>
    <row r="1149" spans="1:6" x14ac:dyDescent="0.3">
      <c r="A1149" s="15" t="str">
        <f t="shared" si="37"/>
        <v>.</v>
      </c>
      <c r="E1149" s="13" t="str">
        <f>IFERROR(IF(AND(B1149&lt;&gt;"",C1149&lt;&gt;""),SUMIFS(Movimentos!$F$4:$F$9996,Movimentos!$D$4:$D$9996,B1149,Movimentos!$C$4:$C$9996,"Entrada")-SUMIFS(Movimentos!$F$4:$F$9996,Movimentos!$D$4:$D$9996,B1149,Movimentos!$C$4:$C$9996,"Saída"),""),"")</f>
        <v/>
      </c>
      <c r="F1149" s="10" t="str">
        <f t="shared" si="38"/>
        <v/>
      </c>
    </row>
    <row r="1150" spans="1:6" x14ac:dyDescent="0.3">
      <c r="A1150" s="15" t="str">
        <f t="shared" si="37"/>
        <v>.</v>
      </c>
      <c r="E1150" s="13" t="str">
        <f>IFERROR(IF(AND(B1150&lt;&gt;"",C1150&lt;&gt;""),SUMIFS(Movimentos!$F$4:$F$9996,Movimentos!$D$4:$D$9996,B1150,Movimentos!$C$4:$C$9996,"Entrada")-SUMIFS(Movimentos!$F$4:$F$9996,Movimentos!$D$4:$D$9996,B1150,Movimentos!$C$4:$C$9996,"Saída"),""),"")</f>
        <v/>
      </c>
      <c r="F1150" s="10" t="str">
        <f t="shared" si="38"/>
        <v/>
      </c>
    </row>
    <row r="1151" spans="1:6" x14ac:dyDescent="0.3">
      <c r="A1151" s="15" t="str">
        <f t="shared" si="37"/>
        <v>.</v>
      </c>
      <c r="E1151" s="13" t="str">
        <f>IFERROR(IF(AND(B1151&lt;&gt;"",C1151&lt;&gt;""),SUMIFS(Movimentos!$F$4:$F$9996,Movimentos!$D$4:$D$9996,B1151,Movimentos!$C$4:$C$9996,"Entrada")-SUMIFS(Movimentos!$F$4:$F$9996,Movimentos!$D$4:$D$9996,B1151,Movimentos!$C$4:$C$9996,"Saída"),""),"")</f>
        <v/>
      </c>
      <c r="F1151" s="10" t="str">
        <f t="shared" si="38"/>
        <v/>
      </c>
    </row>
    <row r="1152" spans="1:6" x14ac:dyDescent="0.3">
      <c r="A1152" s="15" t="str">
        <f t="shared" ref="A1152:A1215" si="39">IF(F1152="Saldo zerado",0,IF(F1152="Saldo abaixo do mínimo",1,IF(F1152="Saldo disponível",2,".")))</f>
        <v>.</v>
      </c>
      <c r="E1152" s="13" t="str">
        <f>IFERROR(IF(AND(B1152&lt;&gt;"",C1152&lt;&gt;""),SUMIFS(Movimentos!$F$4:$F$9996,Movimentos!$D$4:$D$9996,B1152,Movimentos!$C$4:$C$9996,"Entrada")-SUMIFS(Movimentos!$F$4:$F$9996,Movimentos!$D$4:$D$9996,B1152,Movimentos!$C$4:$C$9996,"Saída"),""),"")</f>
        <v/>
      </c>
      <c r="F1152" s="10" t="str">
        <f t="shared" si="38"/>
        <v/>
      </c>
    </row>
    <row r="1153" spans="1:6" x14ac:dyDescent="0.3">
      <c r="A1153" s="15" t="str">
        <f t="shared" si="39"/>
        <v>.</v>
      </c>
      <c r="E1153" s="13" t="str">
        <f>IFERROR(IF(AND(B1153&lt;&gt;"",C1153&lt;&gt;""),SUMIFS(Movimentos!$F$4:$F$9996,Movimentos!$D$4:$D$9996,B1153,Movimentos!$C$4:$C$9996,"Entrada")-SUMIFS(Movimentos!$F$4:$F$9996,Movimentos!$D$4:$D$9996,B1153,Movimentos!$C$4:$C$9996,"Saída"),""),"")</f>
        <v/>
      </c>
      <c r="F1153" s="10" t="str">
        <f t="shared" si="38"/>
        <v/>
      </c>
    </row>
    <row r="1154" spans="1:6" x14ac:dyDescent="0.3">
      <c r="A1154" s="15" t="str">
        <f t="shared" si="39"/>
        <v>.</v>
      </c>
      <c r="E1154" s="13" t="str">
        <f>IFERROR(IF(AND(B1154&lt;&gt;"",C1154&lt;&gt;""),SUMIFS(Movimentos!$F$4:$F$9996,Movimentos!$D$4:$D$9996,B1154,Movimentos!$C$4:$C$9996,"Entrada")-SUMIFS(Movimentos!$F$4:$F$9996,Movimentos!$D$4:$D$9996,B1154,Movimentos!$C$4:$C$9996,"Saída"),""),"")</f>
        <v/>
      </c>
      <c r="F1154" s="10" t="str">
        <f t="shared" si="38"/>
        <v/>
      </c>
    </row>
    <row r="1155" spans="1:6" x14ac:dyDescent="0.3">
      <c r="A1155" s="15" t="str">
        <f t="shared" si="39"/>
        <v>.</v>
      </c>
      <c r="E1155" s="13" t="str">
        <f>IFERROR(IF(AND(B1155&lt;&gt;"",C1155&lt;&gt;""),SUMIFS(Movimentos!$F$4:$F$9996,Movimentos!$D$4:$D$9996,B1155,Movimentos!$C$4:$C$9996,"Entrada")-SUMIFS(Movimentos!$F$4:$F$9996,Movimentos!$D$4:$D$9996,B1155,Movimentos!$C$4:$C$9996,"Saída"),""),"")</f>
        <v/>
      </c>
      <c r="F1155" s="10" t="str">
        <f t="shared" si="38"/>
        <v/>
      </c>
    </row>
    <row r="1156" spans="1:6" x14ac:dyDescent="0.3">
      <c r="A1156" s="15" t="str">
        <f t="shared" si="39"/>
        <v>.</v>
      </c>
      <c r="E1156" s="13" t="str">
        <f>IFERROR(IF(AND(B1156&lt;&gt;"",C1156&lt;&gt;""),SUMIFS(Movimentos!$F$4:$F$9996,Movimentos!$D$4:$D$9996,B1156,Movimentos!$C$4:$C$9996,"Entrada")-SUMIFS(Movimentos!$F$4:$F$9996,Movimentos!$D$4:$D$9996,B1156,Movimentos!$C$4:$C$9996,"Saída"),""),"")</f>
        <v/>
      </c>
      <c r="F1156" s="10" t="str">
        <f t="shared" si="38"/>
        <v/>
      </c>
    </row>
    <row r="1157" spans="1:6" x14ac:dyDescent="0.3">
      <c r="A1157" s="15" t="str">
        <f t="shared" si="39"/>
        <v>.</v>
      </c>
      <c r="E1157" s="13" t="str">
        <f>IFERROR(IF(AND(B1157&lt;&gt;"",C1157&lt;&gt;""),SUMIFS(Movimentos!$F$4:$F$9996,Movimentos!$D$4:$D$9996,B1157,Movimentos!$C$4:$C$9996,"Entrada")-SUMIFS(Movimentos!$F$4:$F$9996,Movimentos!$D$4:$D$9996,B1157,Movimentos!$C$4:$C$9996,"Saída"),""),"")</f>
        <v/>
      </c>
      <c r="F1157" s="10" t="str">
        <f t="shared" si="38"/>
        <v/>
      </c>
    </row>
    <row r="1158" spans="1:6" x14ac:dyDescent="0.3">
      <c r="A1158" s="15" t="str">
        <f t="shared" si="39"/>
        <v>.</v>
      </c>
      <c r="E1158" s="13" t="str">
        <f>IFERROR(IF(AND(B1158&lt;&gt;"",C1158&lt;&gt;""),SUMIFS(Movimentos!$F$4:$F$9996,Movimentos!$D$4:$D$9996,B1158,Movimentos!$C$4:$C$9996,"Entrada")-SUMIFS(Movimentos!$F$4:$F$9996,Movimentos!$D$4:$D$9996,B1158,Movimentos!$C$4:$C$9996,"Saída"),""),"")</f>
        <v/>
      </c>
      <c r="F1158" s="10" t="str">
        <f t="shared" si="38"/>
        <v/>
      </c>
    </row>
    <row r="1159" spans="1:6" x14ac:dyDescent="0.3">
      <c r="A1159" s="15" t="str">
        <f t="shared" si="39"/>
        <v>.</v>
      </c>
      <c r="E1159" s="13" t="str">
        <f>IFERROR(IF(AND(B1159&lt;&gt;"",C1159&lt;&gt;""),SUMIFS(Movimentos!$F$4:$F$9996,Movimentos!$D$4:$D$9996,B1159,Movimentos!$C$4:$C$9996,"Entrada")-SUMIFS(Movimentos!$F$4:$F$9996,Movimentos!$D$4:$D$9996,B1159,Movimentos!$C$4:$C$9996,"Saída"),""),"")</f>
        <v/>
      </c>
      <c r="F1159" s="10" t="str">
        <f t="shared" si="38"/>
        <v/>
      </c>
    </row>
    <row r="1160" spans="1:6" x14ac:dyDescent="0.3">
      <c r="A1160" s="15" t="str">
        <f t="shared" si="39"/>
        <v>.</v>
      </c>
      <c r="E1160" s="13" t="str">
        <f>IFERROR(IF(AND(B1160&lt;&gt;"",C1160&lt;&gt;""),SUMIFS(Movimentos!$F$4:$F$9996,Movimentos!$D$4:$D$9996,B1160,Movimentos!$C$4:$C$9996,"Entrada")-SUMIFS(Movimentos!$F$4:$F$9996,Movimentos!$D$4:$D$9996,B1160,Movimentos!$C$4:$C$9996,"Saída"),""),"")</f>
        <v/>
      </c>
      <c r="F1160" s="10" t="str">
        <f t="shared" si="38"/>
        <v/>
      </c>
    </row>
    <row r="1161" spans="1:6" x14ac:dyDescent="0.3">
      <c r="A1161" s="15" t="str">
        <f t="shared" si="39"/>
        <v>.</v>
      </c>
      <c r="E1161" s="13" t="str">
        <f>IFERROR(IF(AND(B1161&lt;&gt;"",C1161&lt;&gt;""),SUMIFS(Movimentos!$F$4:$F$9996,Movimentos!$D$4:$D$9996,B1161,Movimentos!$C$4:$C$9996,"Entrada")-SUMIFS(Movimentos!$F$4:$F$9996,Movimentos!$D$4:$D$9996,B1161,Movimentos!$C$4:$C$9996,"Saída"),""),"")</f>
        <v/>
      </c>
      <c r="F1161" s="10" t="str">
        <f t="shared" si="38"/>
        <v/>
      </c>
    </row>
    <row r="1162" spans="1:6" x14ac:dyDescent="0.3">
      <c r="A1162" s="15" t="str">
        <f t="shared" si="39"/>
        <v>.</v>
      </c>
      <c r="E1162" s="13" t="str">
        <f>IFERROR(IF(AND(B1162&lt;&gt;"",C1162&lt;&gt;""),SUMIFS(Movimentos!$F$4:$F$9996,Movimentos!$D$4:$D$9996,B1162,Movimentos!$C$4:$C$9996,"Entrada")-SUMIFS(Movimentos!$F$4:$F$9996,Movimentos!$D$4:$D$9996,B1162,Movimentos!$C$4:$C$9996,"Saída"),""),"")</f>
        <v/>
      </c>
      <c r="F1162" s="10" t="str">
        <f t="shared" si="38"/>
        <v/>
      </c>
    </row>
    <row r="1163" spans="1:6" x14ac:dyDescent="0.3">
      <c r="A1163" s="15" t="str">
        <f t="shared" si="39"/>
        <v>.</v>
      </c>
      <c r="E1163" s="13" t="str">
        <f>IFERROR(IF(AND(B1163&lt;&gt;"",C1163&lt;&gt;""),SUMIFS(Movimentos!$F$4:$F$9996,Movimentos!$D$4:$D$9996,B1163,Movimentos!$C$4:$C$9996,"Entrada")-SUMIFS(Movimentos!$F$4:$F$9996,Movimentos!$D$4:$D$9996,B1163,Movimentos!$C$4:$C$9996,"Saída"),""),"")</f>
        <v/>
      </c>
      <c r="F1163" s="10" t="str">
        <f t="shared" si="38"/>
        <v/>
      </c>
    </row>
    <row r="1164" spans="1:6" x14ac:dyDescent="0.3">
      <c r="A1164" s="15" t="str">
        <f t="shared" si="39"/>
        <v>.</v>
      </c>
      <c r="E1164" s="13" t="str">
        <f>IFERROR(IF(AND(B1164&lt;&gt;"",C1164&lt;&gt;""),SUMIFS(Movimentos!$F$4:$F$9996,Movimentos!$D$4:$D$9996,B1164,Movimentos!$C$4:$C$9996,"Entrada")-SUMIFS(Movimentos!$F$4:$F$9996,Movimentos!$D$4:$D$9996,B1164,Movimentos!$C$4:$C$9996,"Saída"),""),"")</f>
        <v/>
      </c>
      <c r="F1164" s="10" t="str">
        <f t="shared" si="38"/>
        <v/>
      </c>
    </row>
    <row r="1165" spans="1:6" x14ac:dyDescent="0.3">
      <c r="A1165" s="15" t="str">
        <f t="shared" si="39"/>
        <v>.</v>
      </c>
      <c r="E1165" s="13" t="str">
        <f>IFERROR(IF(AND(B1165&lt;&gt;"",C1165&lt;&gt;""),SUMIFS(Movimentos!$F$4:$F$9996,Movimentos!$D$4:$D$9996,B1165,Movimentos!$C$4:$C$9996,"Entrada")-SUMIFS(Movimentos!$F$4:$F$9996,Movimentos!$D$4:$D$9996,B1165,Movimentos!$C$4:$C$9996,"Saída"),""),"")</f>
        <v/>
      </c>
      <c r="F1165" s="10" t="str">
        <f t="shared" si="38"/>
        <v/>
      </c>
    </row>
    <row r="1166" spans="1:6" x14ac:dyDescent="0.3">
      <c r="A1166" s="15" t="str">
        <f t="shared" si="39"/>
        <v>.</v>
      </c>
      <c r="E1166" s="13" t="str">
        <f>IFERROR(IF(AND(B1166&lt;&gt;"",C1166&lt;&gt;""),SUMIFS(Movimentos!$F$4:$F$9996,Movimentos!$D$4:$D$9996,B1166,Movimentos!$C$4:$C$9996,"Entrada")-SUMIFS(Movimentos!$F$4:$F$9996,Movimentos!$D$4:$D$9996,B1166,Movimentos!$C$4:$C$9996,"Saída"),""),"")</f>
        <v/>
      </c>
      <c r="F1166" s="10" t="str">
        <f t="shared" si="38"/>
        <v/>
      </c>
    </row>
    <row r="1167" spans="1:6" x14ac:dyDescent="0.3">
      <c r="A1167" s="15" t="str">
        <f t="shared" si="39"/>
        <v>.</v>
      </c>
      <c r="E1167" s="13" t="str">
        <f>IFERROR(IF(AND(B1167&lt;&gt;"",C1167&lt;&gt;""),SUMIFS(Movimentos!$F$4:$F$9996,Movimentos!$D$4:$D$9996,B1167,Movimentos!$C$4:$C$9996,"Entrada")-SUMIFS(Movimentos!$F$4:$F$9996,Movimentos!$D$4:$D$9996,B1167,Movimentos!$C$4:$C$9996,"Saída"),""),"")</f>
        <v/>
      </c>
      <c r="F1167" s="10" t="str">
        <f t="shared" si="38"/>
        <v/>
      </c>
    </row>
    <row r="1168" spans="1:6" x14ac:dyDescent="0.3">
      <c r="A1168" s="15" t="str">
        <f t="shared" si="39"/>
        <v>.</v>
      </c>
      <c r="E1168" s="13" t="str">
        <f>IFERROR(IF(AND(B1168&lt;&gt;"",C1168&lt;&gt;""),SUMIFS(Movimentos!$F$4:$F$9996,Movimentos!$D$4:$D$9996,B1168,Movimentos!$C$4:$C$9996,"Entrada")-SUMIFS(Movimentos!$F$4:$F$9996,Movimentos!$D$4:$D$9996,B1168,Movimentos!$C$4:$C$9996,"Saída"),""),"")</f>
        <v/>
      </c>
      <c r="F1168" s="10" t="str">
        <f t="shared" si="38"/>
        <v/>
      </c>
    </row>
    <row r="1169" spans="1:6" x14ac:dyDescent="0.3">
      <c r="A1169" s="15" t="str">
        <f t="shared" si="39"/>
        <v>.</v>
      </c>
      <c r="E1169" s="13" t="str">
        <f>IFERROR(IF(AND(B1169&lt;&gt;"",C1169&lt;&gt;""),SUMIFS(Movimentos!$F$4:$F$9996,Movimentos!$D$4:$D$9996,B1169,Movimentos!$C$4:$C$9996,"Entrada")-SUMIFS(Movimentos!$F$4:$F$9996,Movimentos!$D$4:$D$9996,B1169,Movimentos!$C$4:$C$9996,"Saída"),""),"")</f>
        <v/>
      </c>
      <c r="F1169" s="10" t="str">
        <f t="shared" si="38"/>
        <v/>
      </c>
    </row>
    <row r="1170" spans="1:6" x14ac:dyDescent="0.3">
      <c r="A1170" s="15" t="str">
        <f t="shared" si="39"/>
        <v>.</v>
      </c>
      <c r="E1170" s="13" t="str">
        <f>IFERROR(IF(AND(B1170&lt;&gt;"",C1170&lt;&gt;""),SUMIFS(Movimentos!$F$4:$F$9996,Movimentos!$D$4:$D$9996,B1170,Movimentos!$C$4:$C$9996,"Entrada")-SUMIFS(Movimentos!$F$4:$F$9996,Movimentos!$D$4:$D$9996,B1170,Movimentos!$C$4:$C$9996,"Saída"),""),"")</f>
        <v/>
      </c>
      <c r="F1170" s="10" t="str">
        <f t="shared" si="38"/>
        <v/>
      </c>
    </row>
    <row r="1171" spans="1:6" x14ac:dyDescent="0.3">
      <c r="A1171" s="15" t="str">
        <f t="shared" si="39"/>
        <v>.</v>
      </c>
      <c r="E1171" s="13" t="str">
        <f>IFERROR(IF(AND(B1171&lt;&gt;"",C1171&lt;&gt;""),SUMIFS(Movimentos!$F$4:$F$9996,Movimentos!$D$4:$D$9996,B1171,Movimentos!$C$4:$C$9996,"Entrada")-SUMIFS(Movimentos!$F$4:$F$9996,Movimentos!$D$4:$D$9996,B1171,Movimentos!$C$4:$C$9996,"Saída"),""),"")</f>
        <v/>
      </c>
      <c r="F1171" s="10" t="str">
        <f t="shared" si="38"/>
        <v/>
      </c>
    </row>
    <row r="1172" spans="1:6" x14ac:dyDescent="0.3">
      <c r="A1172" s="15" t="str">
        <f t="shared" si="39"/>
        <v>.</v>
      </c>
      <c r="E1172" s="13" t="str">
        <f>IFERROR(IF(AND(B1172&lt;&gt;"",C1172&lt;&gt;""),SUMIFS(Movimentos!$F$4:$F$9996,Movimentos!$D$4:$D$9996,B1172,Movimentos!$C$4:$C$9996,"Entrada")-SUMIFS(Movimentos!$F$4:$F$9996,Movimentos!$D$4:$D$9996,B1172,Movimentos!$C$4:$C$9996,"Saída"),""),"")</f>
        <v/>
      </c>
      <c r="F1172" s="10" t="str">
        <f t="shared" si="38"/>
        <v/>
      </c>
    </row>
    <row r="1173" spans="1:6" x14ac:dyDescent="0.3">
      <c r="A1173" s="15" t="str">
        <f t="shared" si="39"/>
        <v>.</v>
      </c>
      <c r="E1173" s="13" t="str">
        <f>IFERROR(IF(AND(B1173&lt;&gt;"",C1173&lt;&gt;""),SUMIFS(Movimentos!$F$4:$F$9996,Movimentos!$D$4:$D$9996,B1173,Movimentos!$C$4:$C$9996,"Entrada")-SUMIFS(Movimentos!$F$4:$F$9996,Movimentos!$D$4:$D$9996,B1173,Movimentos!$C$4:$C$9996,"Saída"),""),"")</f>
        <v/>
      </c>
      <c r="F1173" s="10" t="str">
        <f t="shared" si="38"/>
        <v/>
      </c>
    </row>
    <row r="1174" spans="1:6" x14ac:dyDescent="0.3">
      <c r="A1174" s="15" t="str">
        <f t="shared" si="39"/>
        <v>.</v>
      </c>
      <c r="E1174" s="13" t="str">
        <f>IFERROR(IF(AND(B1174&lt;&gt;"",C1174&lt;&gt;""),SUMIFS(Movimentos!$F$4:$F$9996,Movimentos!$D$4:$D$9996,B1174,Movimentos!$C$4:$C$9996,"Entrada")-SUMIFS(Movimentos!$F$4:$F$9996,Movimentos!$D$4:$D$9996,B1174,Movimentos!$C$4:$C$9996,"Saída"),""),"")</f>
        <v/>
      </c>
      <c r="F1174" s="10" t="str">
        <f t="shared" si="38"/>
        <v/>
      </c>
    </row>
    <row r="1175" spans="1:6" x14ac:dyDescent="0.3">
      <c r="A1175" s="15" t="str">
        <f t="shared" si="39"/>
        <v>.</v>
      </c>
      <c r="E1175" s="13" t="str">
        <f>IFERROR(IF(AND(B1175&lt;&gt;"",C1175&lt;&gt;""),SUMIFS(Movimentos!$F$4:$F$9996,Movimentos!$D$4:$D$9996,B1175,Movimentos!$C$4:$C$9996,"Entrada")-SUMIFS(Movimentos!$F$4:$F$9996,Movimentos!$D$4:$D$9996,B1175,Movimentos!$C$4:$C$9996,"Saída"),""),"")</f>
        <v/>
      </c>
      <c r="F1175" s="10" t="str">
        <f t="shared" ref="F1175:F1238" si="40">IF(AND(B1175&lt;&gt;"",C1175&lt;&gt;""),IF(E1175=0,"Saldo zerado",IF(E1175&lt;D1175,"Saldo abaixo do mínimo","Saldo disponível")),"")</f>
        <v/>
      </c>
    </row>
    <row r="1176" spans="1:6" x14ac:dyDescent="0.3">
      <c r="A1176" s="15" t="str">
        <f t="shared" si="39"/>
        <v>.</v>
      </c>
      <c r="E1176" s="13" t="str">
        <f>IFERROR(IF(AND(B1176&lt;&gt;"",C1176&lt;&gt;""),SUMIFS(Movimentos!$F$4:$F$9996,Movimentos!$D$4:$D$9996,B1176,Movimentos!$C$4:$C$9996,"Entrada")-SUMIFS(Movimentos!$F$4:$F$9996,Movimentos!$D$4:$D$9996,B1176,Movimentos!$C$4:$C$9996,"Saída"),""),"")</f>
        <v/>
      </c>
      <c r="F1176" s="10" t="str">
        <f t="shared" si="40"/>
        <v/>
      </c>
    </row>
    <row r="1177" spans="1:6" x14ac:dyDescent="0.3">
      <c r="A1177" s="15" t="str">
        <f t="shared" si="39"/>
        <v>.</v>
      </c>
      <c r="E1177" s="13" t="str">
        <f>IFERROR(IF(AND(B1177&lt;&gt;"",C1177&lt;&gt;""),SUMIFS(Movimentos!$F$4:$F$9996,Movimentos!$D$4:$D$9996,B1177,Movimentos!$C$4:$C$9996,"Entrada")-SUMIFS(Movimentos!$F$4:$F$9996,Movimentos!$D$4:$D$9996,B1177,Movimentos!$C$4:$C$9996,"Saída"),""),"")</f>
        <v/>
      </c>
      <c r="F1177" s="10" t="str">
        <f t="shared" si="40"/>
        <v/>
      </c>
    </row>
    <row r="1178" spans="1:6" x14ac:dyDescent="0.3">
      <c r="A1178" s="15" t="str">
        <f t="shared" si="39"/>
        <v>.</v>
      </c>
      <c r="E1178" s="13" t="str">
        <f>IFERROR(IF(AND(B1178&lt;&gt;"",C1178&lt;&gt;""),SUMIFS(Movimentos!$F$4:$F$9996,Movimentos!$D$4:$D$9996,B1178,Movimentos!$C$4:$C$9996,"Entrada")-SUMIFS(Movimentos!$F$4:$F$9996,Movimentos!$D$4:$D$9996,B1178,Movimentos!$C$4:$C$9996,"Saída"),""),"")</f>
        <v/>
      </c>
      <c r="F1178" s="10" t="str">
        <f t="shared" si="40"/>
        <v/>
      </c>
    </row>
    <row r="1179" spans="1:6" x14ac:dyDescent="0.3">
      <c r="A1179" s="15" t="str">
        <f t="shared" si="39"/>
        <v>.</v>
      </c>
      <c r="E1179" s="13" t="str">
        <f>IFERROR(IF(AND(B1179&lt;&gt;"",C1179&lt;&gt;""),SUMIFS(Movimentos!$F$4:$F$9996,Movimentos!$D$4:$D$9996,B1179,Movimentos!$C$4:$C$9996,"Entrada")-SUMIFS(Movimentos!$F$4:$F$9996,Movimentos!$D$4:$D$9996,B1179,Movimentos!$C$4:$C$9996,"Saída"),""),"")</f>
        <v/>
      </c>
      <c r="F1179" s="10" t="str">
        <f t="shared" si="40"/>
        <v/>
      </c>
    </row>
    <row r="1180" spans="1:6" x14ac:dyDescent="0.3">
      <c r="A1180" s="15" t="str">
        <f t="shared" si="39"/>
        <v>.</v>
      </c>
      <c r="E1180" s="13" t="str">
        <f>IFERROR(IF(AND(B1180&lt;&gt;"",C1180&lt;&gt;""),SUMIFS(Movimentos!$F$4:$F$9996,Movimentos!$D$4:$D$9996,B1180,Movimentos!$C$4:$C$9996,"Entrada")-SUMIFS(Movimentos!$F$4:$F$9996,Movimentos!$D$4:$D$9996,B1180,Movimentos!$C$4:$C$9996,"Saída"),""),"")</f>
        <v/>
      </c>
      <c r="F1180" s="10" t="str">
        <f t="shared" si="40"/>
        <v/>
      </c>
    </row>
    <row r="1181" spans="1:6" x14ac:dyDescent="0.3">
      <c r="A1181" s="15" t="str">
        <f t="shared" si="39"/>
        <v>.</v>
      </c>
      <c r="E1181" s="13" t="str">
        <f>IFERROR(IF(AND(B1181&lt;&gt;"",C1181&lt;&gt;""),SUMIFS(Movimentos!$F$4:$F$9996,Movimentos!$D$4:$D$9996,B1181,Movimentos!$C$4:$C$9996,"Entrada")-SUMIFS(Movimentos!$F$4:$F$9996,Movimentos!$D$4:$D$9996,B1181,Movimentos!$C$4:$C$9996,"Saída"),""),"")</f>
        <v/>
      </c>
      <c r="F1181" s="10" t="str">
        <f t="shared" si="40"/>
        <v/>
      </c>
    </row>
    <row r="1182" spans="1:6" x14ac:dyDescent="0.3">
      <c r="A1182" s="15" t="str">
        <f t="shared" si="39"/>
        <v>.</v>
      </c>
      <c r="E1182" s="13" t="str">
        <f>IFERROR(IF(AND(B1182&lt;&gt;"",C1182&lt;&gt;""),SUMIFS(Movimentos!$F$4:$F$9996,Movimentos!$D$4:$D$9996,B1182,Movimentos!$C$4:$C$9996,"Entrada")-SUMIFS(Movimentos!$F$4:$F$9996,Movimentos!$D$4:$D$9996,B1182,Movimentos!$C$4:$C$9996,"Saída"),""),"")</f>
        <v/>
      </c>
      <c r="F1182" s="10" t="str">
        <f t="shared" si="40"/>
        <v/>
      </c>
    </row>
    <row r="1183" spans="1:6" x14ac:dyDescent="0.3">
      <c r="A1183" s="15" t="str">
        <f t="shared" si="39"/>
        <v>.</v>
      </c>
      <c r="E1183" s="13" t="str">
        <f>IFERROR(IF(AND(B1183&lt;&gt;"",C1183&lt;&gt;""),SUMIFS(Movimentos!$F$4:$F$9996,Movimentos!$D$4:$D$9996,B1183,Movimentos!$C$4:$C$9996,"Entrada")-SUMIFS(Movimentos!$F$4:$F$9996,Movimentos!$D$4:$D$9996,B1183,Movimentos!$C$4:$C$9996,"Saída"),""),"")</f>
        <v/>
      </c>
      <c r="F1183" s="10" t="str">
        <f t="shared" si="40"/>
        <v/>
      </c>
    </row>
    <row r="1184" spans="1:6" x14ac:dyDescent="0.3">
      <c r="A1184" s="15" t="str">
        <f t="shared" si="39"/>
        <v>.</v>
      </c>
      <c r="E1184" s="13" t="str">
        <f>IFERROR(IF(AND(B1184&lt;&gt;"",C1184&lt;&gt;""),SUMIFS(Movimentos!$F$4:$F$9996,Movimentos!$D$4:$D$9996,B1184,Movimentos!$C$4:$C$9996,"Entrada")-SUMIFS(Movimentos!$F$4:$F$9996,Movimentos!$D$4:$D$9996,B1184,Movimentos!$C$4:$C$9996,"Saída"),""),"")</f>
        <v/>
      </c>
      <c r="F1184" s="10" t="str">
        <f t="shared" si="40"/>
        <v/>
      </c>
    </row>
    <row r="1185" spans="1:6" x14ac:dyDescent="0.3">
      <c r="A1185" s="15" t="str">
        <f t="shared" si="39"/>
        <v>.</v>
      </c>
      <c r="E1185" s="13" t="str">
        <f>IFERROR(IF(AND(B1185&lt;&gt;"",C1185&lt;&gt;""),SUMIFS(Movimentos!$F$4:$F$9996,Movimentos!$D$4:$D$9996,B1185,Movimentos!$C$4:$C$9996,"Entrada")-SUMIFS(Movimentos!$F$4:$F$9996,Movimentos!$D$4:$D$9996,B1185,Movimentos!$C$4:$C$9996,"Saída"),""),"")</f>
        <v/>
      </c>
      <c r="F1185" s="10" t="str">
        <f t="shared" si="40"/>
        <v/>
      </c>
    </row>
    <row r="1186" spans="1:6" x14ac:dyDescent="0.3">
      <c r="A1186" s="15" t="str">
        <f t="shared" si="39"/>
        <v>.</v>
      </c>
      <c r="E1186" s="13" t="str">
        <f>IFERROR(IF(AND(B1186&lt;&gt;"",C1186&lt;&gt;""),SUMIFS(Movimentos!$F$4:$F$9996,Movimentos!$D$4:$D$9996,B1186,Movimentos!$C$4:$C$9996,"Entrada")-SUMIFS(Movimentos!$F$4:$F$9996,Movimentos!$D$4:$D$9996,B1186,Movimentos!$C$4:$C$9996,"Saída"),""),"")</f>
        <v/>
      </c>
      <c r="F1186" s="10" t="str">
        <f t="shared" si="40"/>
        <v/>
      </c>
    </row>
    <row r="1187" spans="1:6" x14ac:dyDescent="0.3">
      <c r="A1187" s="15" t="str">
        <f t="shared" si="39"/>
        <v>.</v>
      </c>
      <c r="E1187" s="13" t="str">
        <f>IFERROR(IF(AND(B1187&lt;&gt;"",C1187&lt;&gt;""),SUMIFS(Movimentos!$F$4:$F$9996,Movimentos!$D$4:$D$9996,B1187,Movimentos!$C$4:$C$9996,"Entrada")-SUMIFS(Movimentos!$F$4:$F$9996,Movimentos!$D$4:$D$9996,B1187,Movimentos!$C$4:$C$9996,"Saída"),""),"")</f>
        <v/>
      </c>
      <c r="F1187" s="10" t="str">
        <f t="shared" si="40"/>
        <v/>
      </c>
    </row>
    <row r="1188" spans="1:6" x14ac:dyDescent="0.3">
      <c r="A1188" s="15" t="str">
        <f t="shared" si="39"/>
        <v>.</v>
      </c>
      <c r="E1188" s="13" t="str">
        <f>IFERROR(IF(AND(B1188&lt;&gt;"",C1188&lt;&gt;""),SUMIFS(Movimentos!$F$4:$F$9996,Movimentos!$D$4:$D$9996,B1188,Movimentos!$C$4:$C$9996,"Entrada")-SUMIFS(Movimentos!$F$4:$F$9996,Movimentos!$D$4:$D$9996,B1188,Movimentos!$C$4:$C$9996,"Saída"),""),"")</f>
        <v/>
      </c>
      <c r="F1188" s="10" t="str">
        <f t="shared" si="40"/>
        <v/>
      </c>
    </row>
    <row r="1189" spans="1:6" x14ac:dyDescent="0.3">
      <c r="A1189" s="15" t="str">
        <f t="shared" si="39"/>
        <v>.</v>
      </c>
      <c r="E1189" s="13" t="str">
        <f>IFERROR(IF(AND(B1189&lt;&gt;"",C1189&lt;&gt;""),SUMIFS(Movimentos!$F$4:$F$9996,Movimentos!$D$4:$D$9996,B1189,Movimentos!$C$4:$C$9996,"Entrada")-SUMIFS(Movimentos!$F$4:$F$9996,Movimentos!$D$4:$D$9996,B1189,Movimentos!$C$4:$C$9996,"Saída"),""),"")</f>
        <v/>
      </c>
      <c r="F1189" s="10" t="str">
        <f t="shared" si="40"/>
        <v/>
      </c>
    </row>
    <row r="1190" spans="1:6" x14ac:dyDescent="0.3">
      <c r="A1190" s="15" t="str">
        <f t="shared" si="39"/>
        <v>.</v>
      </c>
      <c r="E1190" s="13" t="str">
        <f>IFERROR(IF(AND(B1190&lt;&gt;"",C1190&lt;&gt;""),SUMIFS(Movimentos!$F$4:$F$9996,Movimentos!$D$4:$D$9996,B1190,Movimentos!$C$4:$C$9996,"Entrada")-SUMIFS(Movimentos!$F$4:$F$9996,Movimentos!$D$4:$D$9996,B1190,Movimentos!$C$4:$C$9996,"Saída"),""),"")</f>
        <v/>
      </c>
      <c r="F1190" s="10" t="str">
        <f t="shared" si="40"/>
        <v/>
      </c>
    </row>
    <row r="1191" spans="1:6" x14ac:dyDescent="0.3">
      <c r="A1191" s="15" t="str">
        <f t="shared" si="39"/>
        <v>.</v>
      </c>
      <c r="E1191" s="13" t="str">
        <f>IFERROR(IF(AND(B1191&lt;&gt;"",C1191&lt;&gt;""),SUMIFS(Movimentos!$F$4:$F$9996,Movimentos!$D$4:$D$9996,B1191,Movimentos!$C$4:$C$9996,"Entrada")-SUMIFS(Movimentos!$F$4:$F$9996,Movimentos!$D$4:$D$9996,B1191,Movimentos!$C$4:$C$9996,"Saída"),""),"")</f>
        <v/>
      </c>
      <c r="F1191" s="10" t="str">
        <f t="shared" si="40"/>
        <v/>
      </c>
    </row>
    <row r="1192" spans="1:6" x14ac:dyDescent="0.3">
      <c r="A1192" s="15" t="str">
        <f t="shared" si="39"/>
        <v>.</v>
      </c>
      <c r="E1192" s="13" t="str">
        <f>IFERROR(IF(AND(B1192&lt;&gt;"",C1192&lt;&gt;""),SUMIFS(Movimentos!$F$4:$F$9996,Movimentos!$D$4:$D$9996,B1192,Movimentos!$C$4:$C$9996,"Entrada")-SUMIFS(Movimentos!$F$4:$F$9996,Movimentos!$D$4:$D$9996,B1192,Movimentos!$C$4:$C$9996,"Saída"),""),"")</f>
        <v/>
      </c>
      <c r="F1192" s="10" t="str">
        <f t="shared" si="40"/>
        <v/>
      </c>
    </row>
    <row r="1193" spans="1:6" x14ac:dyDescent="0.3">
      <c r="A1193" s="15" t="str">
        <f t="shared" si="39"/>
        <v>.</v>
      </c>
      <c r="E1193" s="13" t="str">
        <f>IFERROR(IF(AND(B1193&lt;&gt;"",C1193&lt;&gt;""),SUMIFS(Movimentos!$F$4:$F$9996,Movimentos!$D$4:$D$9996,B1193,Movimentos!$C$4:$C$9996,"Entrada")-SUMIFS(Movimentos!$F$4:$F$9996,Movimentos!$D$4:$D$9996,B1193,Movimentos!$C$4:$C$9996,"Saída"),""),"")</f>
        <v/>
      </c>
      <c r="F1193" s="10" t="str">
        <f t="shared" si="40"/>
        <v/>
      </c>
    </row>
    <row r="1194" spans="1:6" x14ac:dyDescent="0.3">
      <c r="A1194" s="15" t="str">
        <f t="shared" si="39"/>
        <v>.</v>
      </c>
      <c r="E1194" s="13" t="str">
        <f>IFERROR(IF(AND(B1194&lt;&gt;"",C1194&lt;&gt;""),SUMIFS(Movimentos!$F$4:$F$9996,Movimentos!$D$4:$D$9996,B1194,Movimentos!$C$4:$C$9996,"Entrada")-SUMIFS(Movimentos!$F$4:$F$9996,Movimentos!$D$4:$D$9996,B1194,Movimentos!$C$4:$C$9996,"Saída"),""),"")</f>
        <v/>
      </c>
      <c r="F1194" s="10" t="str">
        <f t="shared" si="40"/>
        <v/>
      </c>
    </row>
    <row r="1195" spans="1:6" x14ac:dyDescent="0.3">
      <c r="A1195" s="15" t="str">
        <f t="shared" si="39"/>
        <v>.</v>
      </c>
      <c r="E1195" s="13" t="str">
        <f>IFERROR(IF(AND(B1195&lt;&gt;"",C1195&lt;&gt;""),SUMIFS(Movimentos!$F$4:$F$9996,Movimentos!$D$4:$D$9996,B1195,Movimentos!$C$4:$C$9996,"Entrada")-SUMIFS(Movimentos!$F$4:$F$9996,Movimentos!$D$4:$D$9996,B1195,Movimentos!$C$4:$C$9996,"Saída"),""),"")</f>
        <v/>
      </c>
      <c r="F1195" s="10" t="str">
        <f t="shared" si="40"/>
        <v/>
      </c>
    </row>
    <row r="1196" spans="1:6" x14ac:dyDescent="0.3">
      <c r="A1196" s="15" t="str">
        <f t="shared" si="39"/>
        <v>.</v>
      </c>
      <c r="E1196" s="13" t="str">
        <f>IFERROR(IF(AND(B1196&lt;&gt;"",C1196&lt;&gt;""),SUMIFS(Movimentos!$F$4:$F$9996,Movimentos!$D$4:$D$9996,B1196,Movimentos!$C$4:$C$9996,"Entrada")-SUMIFS(Movimentos!$F$4:$F$9996,Movimentos!$D$4:$D$9996,B1196,Movimentos!$C$4:$C$9996,"Saída"),""),"")</f>
        <v/>
      </c>
      <c r="F1196" s="10" t="str">
        <f t="shared" si="40"/>
        <v/>
      </c>
    </row>
    <row r="1197" spans="1:6" x14ac:dyDescent="0.3">
      <c r="A1197" s="15" t="str">
        <f t="shared" si="39"/>
        <v>.</v>
      </c>
      <c r="E1197" s="13" t="str">
        <f>IFERROR(IF(AND(B1197&lt;&gt;"",C1197&lt;&gt;""),SUMIFS(Movimentos!$F$4:$F$9996,Movimentos!$D$4:$D$9996,B1197,Movimentos!$C$4:$C$9996,"Entrada")-SUMIFS(Movimentos!$F$4:$F$9996,Movimentos!$D$4:$D$9996,B1197,Movimentos!$C$4:$C$9996,"Saída"),""),"")</f>
        <v/>
      </c>
      <c r="F1197" s="10" t="str">
        <f t="shared" si="40"/>
        <v/>
      </c>
    </row>
    <row r="1198" spans="1:6" x14ac:dyDescent="0.3">
      <c r="A1198" s="15" t="str">
        <f t="shared" si="39"/>
        <v>.</v>
      </c>
      <c r="E1198" s="13" t="str">
        <f>IFERROR(IF(AND(B1198&lt;&gt;"",C1198&lt;&gt;""),SUMIFS(Movimentos!$F$4:$F$9996,Movimentos!$D$4:$D$9996,B1198,Movimentos!$C$4:$C$9996,"Entrada")-SUMIFS(Movimentos!$F$4:$F$9996,Movimentos!$D$4:$D$9996,B1198,Movimentos!$C$4:$C$9996,"Saída"),""),"")</f>
        <v/>
      </c>
      <c r="F1198" s="10" t="str">
        <f t="shared" si="40"/>
        <v/>
      </c>
    </row>
    <row r="1199" spans="1:6" x14ac:dyDescent="0.3">
      <c r="A1199" s="15" t="str">
        <f t="shared" si="39"/>
        <v>.</v>
      </c>
      <c r="E1199" s="13" t="str">
        <f>IFERROR(IF(AND(B1199&lt;&gt;"",C1199&lt;&gt;""),SUMIFS(Movimentos!$F$4:$F$9996,Movimentos!$D$4:$D$9996,B1199,Movimentos!$C$4:$C$9996,"Entrada")-SUMIFS(Movimentos!$F$4:$F$9996,Movimentos!$D$4:$D$9996,B1199,Movimentos!$C$4:$C$9996,"Saída"),""),"")</f>
        <v/>
      </c>
      <c r="F1199" s="10" t="str">
        <f t="shared" si="40"/>
        <v/>
      </c>
    </row>
    <row r="1200" spans="1:6" x14ac:dyDescent="0.3">
      <c r="A1200" s="15" t="str">
        <f t="shared" si="39"/>
        <v>.</v>
      </c>
      <c r="E1200" s="13" t="str">
        <f>IFERROR(IF(AND(B1200&lt;&gt;"",C1200&lt;&gt;""),SUMIFS(Movimentos!$F$4:$F$9996,Movimentos!$D$4:$D$9996,B1200,Movimentos!$C$4:$C$9996,"Entrada")-SUMIFS(Movimentos!$F$4:$F$9996,Movimentos!$D$4:$D$9996,B1200,Movimentos!$C$4:$C$9996,"Saída"),""),"")</f>
        <v/>
      </c>
      <c r="F1200" s="10" t="str">
        <f t="shared" si="40"/>
        <v/>
      </c>
    </row>
    <row r="1201" spans="1:6" x14ac:dyDescent="0.3">
      <c r="A1201" s="15" t="str">
        <f t="shared" si="39"/>
        <v>.</v>
      </c>
      <c r="E1201" s="13" t="str">
        <f>IFERROR(IF(AND(B1201&lt;&gt;"",C1201&lt;&gt;""),SUMIFS(Movimentos!$F$4:$F$9996,Movimentos!$D$4:$D$9996,B1201,Movimentos!$C$4:$C$9996,"Entrada")-SUMIFS(Movimentos!$F$4:$F$9996,Movimentos!$D$4:$D$9996,B1201,Movimentos!$C$4:$C$9996,"Saída"),""),"")</f>
        <v/>
      </c>
      <c r="F1201" s="10" t="str">
        <f t="shared" si="40"/>
        <v/>
      </c>
    </row>
    <row r="1202" spans="1:6" x14ac:dyDescent="0.3">
      <c r="A1202" s="15" t="str">
        <f t="shared" si="39"/>
        <v>.</v>
      </c>
      <c r="E1202" s="13" t="str">
        <f>IFERROR(IF(AND(B1202&lt;&gt;"",C1202&lt;&gt;""),SUMIFS(Movimentos!$F$4:$F$9996,Movimentos!$D$4:$D$9996,B1202,Movimentos!$C$4:$C$9996,"Entrada")-SUMIFS(Movimentos!$F$4:$F$9996,Movimentos!$D$4:$D$9996,B1202,Movimentos!$C$4:$C$9996,"Saída"),""),"")</f>
        <v/>
      </c>
      <c r="F1202" s="10" t="str">
        <f t="shared" si="40"/>
        <v/>
      </c>
    </row>
    <row r="1203" spans="1:6" x14ac:dyDescent="0.3">
      <c r="A1203" s="15" t="str">
        <f t="shared" si="39"/>
        <v>.</v>
      </c>
      <c r="E1203" s="13" t="str">
        <f>IFERROR(IF(AND(B1203&lt;&gt;"",C1203&lt;&gt;""),SUMIFS(Movimentos!$F$4:$F$9996,Movimentos!$D$4:$D$9996,B1203,Movimentos!$C$4:$C$9996,"Entrada")-SUMIFS(Movimentos!$F$4:$F$9996,Movimentos!$D$4:$D$9996,B1203,Movimentos!$C$4:$C$9996,"Saída"),""),"")</f>
        <v/>
      </c>
      <c r="F1203" s="10" t="str">
        <f t="shared" si="40"/>
        <v/>
      </c>
    </row>
    <row r="1204" spans="1:6" x14ac:dyDescent="0.3">
      <c r="A1204" s="15" t="str">
        <f t="shared" si="39"/>
        <v>.</v>
      </c>
      <c r="E1204" s="13" t="str">
        <f>IFERROR(IF(AND(B1204&lt;&gt;"",C1204&lt;&gt;""),SUMIFS(Movimentos!$F$4:$F$9996,Movimentos!$D$4:$D$9996,B1204,Movimentos!$C$4:$C$9996,"Entrada")-SUMIFS(Movimentos!$F$4:$F$9996,Movimentos!$D$4:$D$9996,B1204,Movimentos!$C$4:$C$9996,"Saída"),""),"")</f>
        <v/>
      </c>
      <c r="F1204" s="10" t="str">
        <f t="shared" si="40"/>
        <v/>
      </c>
    </row>
    <row r="1205" spans="1:6" x14ac:dyDescent="0.3">
      <c r="A1205" s="15" t="str">
        <f t="shared" si="39"/>
        <v>.</v>
      </c>
      <c r="E1205" s="13" t="str">
        <f>IFERROR(IF(AND(B1205&lt;&gt;"",C1205&lt;&gt;""),SUMIFS(Movimentos!$F$4:$F$9996,Movimentos!$D$4:$D$9996,B1205,Movimentos!$C$4:$C$9996,"Entrada")-SUMIFS(Movimentos!$F$4:$F$9996,Movimentos!$D$4:$D$9996,B1205,Movimentos!$C$4:$C$9996,"Saída"),""),"")</f>
        <v/>
      </c>
      <c r="F1205" s="10" t="str">
        <f t="shared" si="40"/>
        <v/>
      </c>
    </row>
    <row r="1206" spans="1:6" x14ac:dyDescent="0.3">
      <c r="A1206" s="15" t="str">
        <f t="shared" si="39"/>
        <v>.</v>
      </c>
      <c r="E1206" s="13" t="str">
        <f>IFERROR(IF(AND(B1206&lt;&gt;"",C1206&lt;&gt;""),SUMIFS(Movimentos!$F$4:$F$9996,Movimentos!$D$4:$D$9996,B1206,Movimentos!$C$4:$C$9996,"Entrada")-SUMIFS(Movimentos!$F$4:$F$9996,Movimentos!$D$4:$D$9996,B1206,Movimentos!$C$4:$C$9996,"Saída"),""),"")</f>
        <v/>
      </c>
      <c r="F1206" s="10" t="str">
        <f t="shared" si="40"/>
        <v/>
      </c>
    </row>
    <row r="1207" spans="1:6" x14ac:dyDescent="0.3">
      <c r="A1207" s="15" t="str">
        <f t="shared" si="39"/>
        <v>.</v>
      </c>
      <c r="E1207" s="13" t="str">
        <f>IFERROR(IF(AND(B1207&lt;&gt;"",C1207&lt;&gt;""),SUMIFS(Movimentos!$F$4:$F$9996,Movimentos!$D$4:$D$9996,B1207,Movimentos!$C$4:$C$9996,"Entrada")-SUMIFS(Movimentos!$F$4:$F$9996,Movimentos!$D$4:$D$9996,B1207,Movimentos!$C$4:$C$9996,"Saída"),""),"")</f>
        <v/>
      </c>
      <c r="F1207" s="10" t="str">
        <f t="shared" si="40"/>
        <v/>
      </c>
    </row>
    <row r="1208" spans="1:6" x14ac:dyDescent="0.3">
      <c r="A1208" s="15" t="str">
        <f t="shared" si="39"/>
        <v>.</v>
      </c>
      <c r="E1208" s="13" t="str">
        <f>IFERROR(IF(AND(B1208&lt;&gt;"",C1208&lt;&gt;""),SUMIFS(Movimentos!$F$4:$F$9996,Movimentos!$D$4:$D$9996,B1208,Movimentos!$C$4:$C$9996,"Entrada")-SUMIFS(Movimentos!$F$4:$F$9996,Movimentos!$D$4:$D$9996,B1208,Movimentos!$C$4:$C$9996,"Saída"),""),"")</f>
        <v/>
      </c>
      <c r="F1208" s="10" t="str">
        <f t="shared" si="40"/>
        <v/>
      </c>
    </row>
    <row r="1209" spans="1:6" x14ac:dyDescent="0.3">
      <c r="A1209" s="15" t="str">
        <f t="shared" si="39"/>
        <v>.</v>
      </c>
      <c r="E1209" s="13" t="str">
        <f>IFERROR(IF(AND(B1209&lt;&gt;"",C1209&lt;&gt;""),SUMIFS(Movimentos!$F$4:$F$9996,Movimentos!$D$4:$D$9996,B1209,Movimentos!$C$4:$C$9996,"Entrada")-SUMIFS(Movimentos!$F$4:$F$9996,Movimentos!$D$4:$D$9996,B1209,Movimentos!$C$4:$C$9996,"Saída"),""),"")</f>
        <v/>
      </c>
      <c r="F1209" s="10" t="str">
        <f t="shared" si="40"/>
        <v/>
      </c>
    </row>
    <row r="1210" spans="1:6" x14ac:dyDescent="0.3">
      <c r="A1210" s="15" t="str">
        <f t="shared" si="39"/>
        <v>.</v>
      </c>
      <c r="E1210" s="13" t="str">
        <f>IFERROR(IF(AND(B1210&lt;&gt;"",C1210&lt;&gt;""),SUMIFS(Movimentos!$F$4:$F$9996,Movimentos!$D$4:$D$9996,B1210,Movimentos!$C$4:$C$9996,"Entrada")-SUMIFS(Movimentos!$F$4:$F$9996,Movimentos!$D$4:$D$9996,B1210,Movimentos!$C$4:$C$9996,"Saída"),""),"")</f>
        <v/>
      </c>
      <c r="F1210" s="10" t="str">
        <f t="shared" si="40"/>
        <v/>
      </c>
    </row>
    <row r="1211" spans="1:6" x14ac:dyDescent="0.3">
      <c r="A1211" s="15" t="str">
        <f t="shared" si="39"/>
        <v>.</v>
      </c>
      <c r="E1211" s="13" t="str">
        <f>IFERROR(IF(AND(B1211&lt;&gt;"",C1211&lt;&gt;""),SUMIFS(Movimentos!$F$4:$F$9996,Movimentos!$D$4:$D$9996,B1211,Movimentos!$C$4:$C$9996,"Entrada")-SUMIFS(Movimentos!$F$4:$F$9996,Movimentos!$D$4:$D$9996,B1211,Movimentos!$C$4:$C$9996,"Saída"),""),"")</f>
        <v/>
      </c>
      <c r="F1211" s="10" t="str">
        <f t="shared" si="40"/>
        <v/>
      </c>
    </row>
    <row r="1212" spans="1:6" x14ac:dyDescent="0.3">
      <c r="A1212" s="15" t="str">
        <f t="shared" si="39"/>
        <v>.</v>
      </c>
      <c r="E1212" s="13" t="str">
        <f>IFERROR(IF(AND(B1212&lt;&gt;"",C1212&lt;&gt;""),SUMIFS(Movimentos!$F$4:$F$9996,Movimentos!$D$4:$D$9996,B1212,Movimentos!$C$4:$C$9996,"Entrada")-SUMIFS(Movimentos!$F$4:$F$9996,Movimentos!$D$4:$D$9996,B1212,Movimentos!$C$4:$C$9996,"Saída"),""),"")</f>
        <v/>
      </c>
      <c r="F1212" s="10" t="str">
        <f t="shared" si="40"/>
        <v/>
      </c>
    </row>
    <row r="1213" spans="1:6" x14ac:dyDescent="0.3">
      <c r="A1213" s="15" t="str">
        <f t="shared" si="39"/>
        <v>.</v>
      </c>
      <c r="E1213" s="13" t="str">
        <f>IFERROR(IF(AND(B1213&lt;&gt;"",C1213&lt;&gt;""),SUMIFS(Movimentos!$F$4:$F$9996,Movimentos!$D$4:$D$9996,B1213,Movimentos!$C$4:$C$9996,"Entrada")-SUMIFS(Movimentos!$F$4:$F$9996,Movimentos!$D$4:$D$9996,B1213,Movimentos!$C$4:$C$9996,"Saída"),""),"")</f>
        <v/>
      </c>
      <c r="F1213" s="10" t="str">
        <f t="shared" si="40"/>
        <v/>
      </c>
    </row>
    <row r="1214" spans="1:6" x14ac:dyDescent="0.3">
      <c r="A1214" s="15" t="str">
        <f t="shared" si="39"/>
        <v>.</v>
      </c>
      <c r="E1214" s="13" t="str">
        <f>IFERROR(IF(AND(B1214&lt;&gt;"",C1214&lt;&gt;""),SUMIFS(Movimentos!$F$4:$F$9996,Movimentos!$D$4:$D$9996,B1214,Movimentos!$C$4:$C$9996,"Entrada")-SUMIFS(Movimentos!$F$4:$F$9996,Movimentos!$D$4:$D$9996,B1214,Movimentos!$C$4:$C$9996,"Saída"),""),"")</f>
        <v/>
      </c>
      <c r="F1214" s="10" t="str">
        <f t="shared" si="40"/>
        <v/>
      </c>
    </row>
    <row r="1215" spans="1:6" x14ac:dyDescent="0.3">
      <c r="A1215" s="15" t="str">
        <f t="shared" si="39"/>
        <v>.</v>
      </c>
      <c r="E1215" s="13" t="str">
        <f>IFERROR(IF(AND(B1215&lt;&gt;"",C1215&lt;&gt;""),SUMIFS(Movimentos!$F$4:$F$9996,Movimentos!$D$4:$D$9996,B1215,Movimentos!$C$4:$C$9996,"Entrada")-SUMIFS(Movimentos!$F$4:$F$9996,Movimentos!$D$4:$D$9996,B1215,Movimentos!$C$4:$C$9996,"Saída"),""),"")</f>
        <v/>
      </c>
      <c r="F1215" s="10" t="str">
        <f t="shared" si="40"/>
        <v/>
      </c>
    </row>
    <row r="1216" spans="1:6" x14ac:dyDescent="0.3">
      <c r="A1216" s="15" t="str">
        <f t="shared" ref="A1216:A1279" si="41">IF(F1216="Saldo zerado",0,IF(F1216="Saldo abaixo do mínimo",1,IF(F1216="Saldo disponível",2,".")))</f>
        <v>.</v>
      </c>
      <c r="E1216" s="13" t="str">
        <f>IFERROR(IF(AND(B1216&lt;&gt;"",C1216&lt;&gt;""),SUMIFS(Movimentos!$F$4:$F$9996,Movimentos!$D$4:$D$9996,B1216,Movimentos!$C$4:$C$9996,"Entrada")-SUMIFS(Movimentos!$F$4:$F$9996,Movimentos!$D$4:$D$9996,B1216,Movimentos!$C$4:$C$9996,"Saída"),""),"")</f>
        <v/>
      </c>
      <c r="F1216" s="10" t="str">
        <f t="shared" si="40"/>
        <v/>
      </c>
    </row>
    <row r="1217" spans="1:6" x14ac:dyDescent="0.3">
      <c r="A1217" s="15" t="str">
        <f t="shared" si="41"/>
        <v>.</v>
      </c>
      <c r="E1217" s="13" t="str">
        <f>IFERROR(IF(AND(B1217&lt;&gt;"",C1217&lt;&gt;""),SUMIFS(Movimentos!$F$4:$F$9996,Movimentos!$D$4:$D$9996,B1217,Movimentos!$C$4:$C$9996,"Entrada")-SUMIFS(Movimentos!$F$4:$F$9996,Movimentos!$D$4:$D$9996,B1217,Movimentos!$C$4:$C$9996,"Saída"),""),"")</f>
        <v/>
      </c>
      <c r="F1217" s="10" t="str">
        <f t="shared" si="40"/>
        <v/>
      </c>
    </row>
    <row r="1218" spans="1:6" x14ac:dyDescent="0.3">
      <c r="A1218" s="15" t="str">
        <f t="shared" si="41"/>
        <v>.</v>
      </c>
      <c r="E1218" s="13" t="str">
        <f>IFERROR(IF(AND(B1218&lt;&gt;"",C1218&lt;&gt;""),SUMIFS(Movimentos!$F$4:$F$9996,Movimentos!$D$4:$D$9996,B1218,Movimentos!$C$4:$C$9996,"Entrada")-SUMIFS(Movimentos!$F$4:$F$9996,Movimentos!$D$4:$D$9996,B1218,Movimentos!$C$4:$C$9996,"Saída"),""),"")</f>
        <v/>
      </c>
      <c r="F1218" s="10" t="str">
        <f t="shared" si="40"/>
        <v/>
      </c>
    </row>
    <row r="1219" spans="1:6" x14ac:dyDescent="0.3">
      <c r="A1219" s="15" t="str">
        <f t="shared" si="41"/>
        <v>.</v>
      </c>
      <c r="E1219" s="13" t="str">
        <f>IFERROR(IF(AND(B1219&lt;&gt;"",C1219&lt;&gt;""),SUMIFS(Movimentos!$F$4:$F$9996,Movimentos!$D$4:$D$9996,B1219,Movimentos!$C$4:$C$9996,"Entrada")-SUMIFS(Movimentos!$F$4:$F$9996,Movimentos!$D$4:$D$9996,B1219,Movimentos!$C$4:$C$9996,"Saída"),""),"")</f>
        <v/>
      </c>
      <c r="F1219" s="10" t="str">
        <f t="shared" si="40"/>
        <v/>
      </c>
    </row>
    <row r="1220" spans="1:6" x14ac:dyDescent="0.3">
      <c r="A1220" s="15" t="str">
        <f t="shared" si="41"/>
        <v>.</v>
      </c>
      <c r="E1220" s="13" t="str">
        <f>IFERROR(IF(AND(B1220&lt;&gt;"",C1220&lt;&gt;""),SUMIFS(Movimentos!$F$4:$F$9996,Movimentos!$D$4:$D$9996,B1220,Movimentos!$C$4:$C$9996,"Entrada")-SUMIFS(Movimentos!$F$4:$F$9996,Movimentos!$D$4:$D$9996,B1220,Movimentos!$C$4:$C$9996,"Saída"),""),"")</f>
        <v/>
      </c>
      <c r="F1220" s="10" t="str">
        <f t="shared" si="40"/>
        <v/>
      </c>
    </row>
    <row r="1221" spans="1:6" x14ac:dyDescent="0.3">
      <c r="A1221" s="15" t="str">
        <f t="shared" si="41"/>
        <v>.</v>
      </c>
      <c r="E1221" s="13" t="str">
        <f>IFERROR(IF(AND(B1221&lt;&gt;"",C1221&lt;&gt;""),SUMIFS(Movimentos!$F$4:$F$9996,Movimentos!$D$4:$D$9996,B1221,Movimentos!$C$4:$C$9996,"Entrada")-SUMIFS(Movimentos!$F$4:$F$9996,Movimentos!$D$4:$D$9996,B1221,Movimentos!$C$4:$C$9996,"Saída"),""),"")</f>
        <v/>
      </c>
      <c r="F1221" s="10" t="str">
        <f t="shared" si="40"/>
        <v/>
      </c>
    </row>
    <row r="1222" spans="1:6" x14ac:dyDescent="0.3">
      <c r="A1222" s="15" t="str">
        <f t="shared" si="41"/>
        <v>.</v>
      </c>
      <c r="E1222" s="13" t="str">
        <f>IFERROR(IF(AND(B1222&lt;&gt;"",C1222&lt;&gt;""),SUMIFS(Movimentos!$F$4:$F$9996,Movimentos!$D$4:$D$9996,B1222,Movimentos!$C$4:$C$9996,"Entrada")-SUMIFS(Movimentos!$F$4:$F$9996,Movimentos!$D$4:$D$9996,B1222,Movimentos!$C$4:$C$9996,"Saída"),""),"")</f>
        <v/>
      </c>
      <c r="F1222" s="10" t="str">
        <f t="shared" si="40"/>
        <v/>
      </c>
    </row>
    <row r="1223" spans="1:6" x14ac:dyDescent="0.3">
      <c r="A1223" s="15" t="str">
        <f t="shared" si="41"/>
        <v>.</v>
      </c>
      <c r="E1223" s="13" t="str">
        <f>IFERROR(IF(AND(B1223&lt;&gt;"",C1223&lt;&gt;""),SUMIFS(Movimentos!$F$4:$F$9996,Movimentos!$D$4:$D$9996,B1223,Movimentos!$C$4:$C$9996,"Entrada")-SUMIFS(Movimentos!$F$4:$F$9996,Movimentos!$D$4:$D$9996,B1223,Movimentos!$C$4:$C$9996,"Saída"),""),"")</f>
        <v/>
      </c>
      <c r="F1223" s="10" t="str">
        <f t="shared" si="40"/>
        <v/>
      </c>
    </row>
    <row r="1224" spans="1:6" x14ac:dyDescent="0.3">
      <c r="A1224" s="15" t="str">
        <f t="shared" si="41"/>
        <v>.</v>
      </c>
      <c r="E1224" s="13" t="str">
        <f>IFERROR(IF(AND(B1224&lt;&gt;"",C1224&lt;&gt;""),SUMIFS(Movimentos!$F$4:$F$9996,Movimentos!$D$4:$D$9996,B1224,Movimentos!$C$4:$C$9996,"Entrada")-SUMIFS(Movimentos!$F$4:$F$9996,Movimentos!$D$4:$D$9996,B1224,Movimentos!$C$4:$C$9996,"Saída"),""),"")</f>
        <v/>
      </c>
      <c r="F1224" s="10" t="str">
        <f t="shared" si="40"/>
        <v/>
      </c>
    </row>
    <row r="1225" spans="1:6" x14ac:dyDescent="0.3">
      <c r="A1225" s="15" t="str">
        <f t="shared" si="41"/>
        <v>.</v>
      </c>
      <c r="E1225" s="13" t="str">
        <f>IFERROR(IF(AND(B1225&lt;&gt;"",C1225&lt;&gt;""),SUMIFS(Movimentos!$F$4:$F$9996,Movimentos!$D$4:$D$9996,B1225,Movimentos!$C$4:$C$9996,"Entrada")-SUMIFS(Movimentos!$F$4:$F$9996,Movimentos!$D$4:$D$9996,B1225,Movimentos!$C$4:$C$9996,"Saída"),""),"")</f>
        <v/>
      </c>
      <c r="F1225" s="10" t="str">
        <f t="shared" si="40"/>
        <v/>
      </c>
    </row>
    <row r="1226" spans="1:6" x14ac:dyDescent="0.3">
      <c r="A1226" s="15" t="str">
        <f t="shared" si="41"/>
        <v>.</v>
      </c>
      <c r="E1226" s="13" t="str">
        <f>IFERROR(IF(AND(B1226&lt;&gt;"",C1226&lt;&gt;""),SUMIFS(Movimentos!$F$4:$F$9996,Movimentos!$D$4:$D$9996,B1226,Movimentos!$C$4:$C$9996,"Entrada")-SUMIFS(Movimentos!$F$4:$F$9996,Movimentos!$D$4:$D$9996,B1226,Movimentos!$C$4:$C$9996,"Saída"),""),"")</f>
        <v/>
      </c>
      <c r="F1226" s="10" t="str">
        <f t="shared" si="40"/>
        <v/>
      </c>
    </row>
    <row r="1227" spans="1:6" x14ac:dyDescent="0.3">
      <c r="A1227" s="15" t="str">
        <f t="shared" si="41"/>
        <v>.</v>
      </c>
      <c r="E1227" s="13" t="str">
        <f>IFERROR(IF(AND(B1227&lt;&gt;"",C1227&lt;&gt;""),SUMIFS(Movimentos!$F$4:$F$9996,Movimentos!$D$4:$D$9996,B1227,Movimentos!$C$4:$C$9996,"Entrada")-SUMIFS(Movimentos!$F$4:$F$9996,Movimentos!$D$4:$D$9996,B1227,Movimentos!$C$4:$C$9996,"Saída"),""),"")</f>
        <v/>
      </c>
      <c r="F1227" s="10" t="str">
        <f t="shared" si="40"/>
        <v/>
      </c>
    </row>
    <row r="1228" spans="1:6" x14ac:dyDescent="0.3">
      <c r="A1228" s="15" t="str">
        <f t="shared" si="41"/>
        <v>.</v>
      </c>
      <c r="E1228" s="13" t="str">
        <f>IFERROR(IF(AND(B1228&lt;&gt;"",C1228&lt;&gt;""),SUMIFS(Movimentos!$F$4:$F$9996,Movimentos!$D$4:$D$9996,B1228,Movimentos!$C$4:$C$9996,"Entrada")-SUMIFS(Movimentos!$F$4:$F$9996,Movimentos!$D$4:$D$9996,B1228,Movimentos!$C$4:$C$9996,"Saída"),""),"")</f>
        <v/>
      </c>
      <c r="F1228" s="10" t="str">
        <f t="shared" si="40"/>
        <v/>
      </c>
    </row>
    <row r="1229" spans="1:6" x14ac:dyDescent="0.3">
      <c r="A1229" s="15" t="str">
        <f t="shared" si="41"/>
        <v>.</v>
      </c>
      <c r="E1229" s="13" t="str">
        <f>IFERROR(IF(AND(B1229&lt;&gt;"",C1229&lt;&gt;""),SUMIFS(Movimentos!$F$4:$F$9996,Movimentos!$D$4:$D$9996,B1229,Movimentos!$C$4:$C$9996,"Entrada")-SUMIFS(Movimentos!$F$4:$F$9996,Movimentos!$D$4:$D$9996,B1229,Movimentos!$C$4:$C$9996,"Saída"),""),"")</f>
        <v/>
      </c>
      <c r="F1229" s="10" t="str">
        <f t="shared" si="40"/>
        <v/>
      </c>
    </row>
    <row r="1230" spans="1:6" x14ac:dyDescent="0.3">
      <c r="A1230" s="15" t="str">
        <f t="shared" si="41"/>
        <v>.</v>
      </c>
      <c r="E1230" s="13" t="str">
        <f>IFERROR(IF(AND(B1230&lt;&gt;"",C1230&lt;&gt;""),SUMIFS(Movimentos!$F$4:$F$9996,Movimentos!$D$4:$D$9996,B1230,Movimentos!$C$4:$C$9996,"Entrada")-SUMIFS(Movimentos!$F$4:$F$9996,Movimentos!$D$4:$D$9996,B1230,Movimentos!$C$4:$C$9996,"Saída"),""),"")</f>
        <v/>
      </c>
      <c r="F1230" s="10" t="str">
        <f t="shared" si="40"/>
        <v/>
      </c>
    </row>
    <row r="1231" spans="1:6" x14ac:dyDescent="0.3">
      <c r="A1231" s="15" t="str">
        <f t="shared" si="41"/>
        <v>.</v>
      </c>
      <c r="E1231" s="13" t="str">
        <f>IFERROR(IF(AND(B1231&lt;&gt;"",C1231&lt;&gt;""),SUMIFS(Movimentos!$F$4:$F$9996,Movimentos!$D$4:$D$9996,B1231,Movimentos!$C$4:$C$9996,"Entrada")-SUMIFS(Movimentos!$F$4:$F$9996,Movimentos!$D$4:$D$9996,B1231,Movimentos!$C$4:$C$9996,"Saída"),""),"")</f>
        <v/>
      </c>
      <c r="F1231" s="10" t="str">
        <f t="shared" si="40"/>
        <v/>
      </c>
    </row>
    <row r="1232" spans="1:6" x14ac:dyDescent="0.3">
      <c r="A1232" s="15" t="str">
        <f t="shared" si="41"/>
        <v>.</v>
      </c>
      <c r="E1232" s="13" t="str">
        <f>IFERROR(IF(AND(B1232&lt;&gt;"",C1232&lt;&gt;""),SUMIFS(Movimentos!$F$4:$F$9996,Movimentos!$D$4:$D$9996,B1232,Movimentos!$C$4:$C$9996,"Entrada")-SUMIFS(Movimentos!$F$4:$F$9996,Movimentos!$D$4:$D$9996,B1232,Movimentos!$C$4:$C$9996,"Saída"),""),"")</f>
        <v/>
      </c>
      <c r="F1232" s="10" t="str">
        <f t="shared" si="40"/>
        <v/>
      </c>
    </row>
    <row r="1233" spans="1:6" x14ac:dyDescent="0.3">
      <c r="A1233" s="15" t="str">
        <f t="shared" si="41"/>
        <v>.</v>
      </c>
      <c r="E1233" s="13" t="str">
        <f>IFERROR(IF(AND(B1233&lt;&gt;"",C1233&lt;&gt;""),SUMIFS(Movimentos!$F$4:$F$9996,Movimentos!$D$4:$D$9996,B1233,Movimentos!$C$4:$C$9996,"Entrada")-SUMIFS(Movimentos!$F$4:$F$9996,Movimentos!$D$4:$D$9996,B1233,Movimentos!$C$4:$C$9996,"Saída"),""),"")</f>
        <v/>
      </c>
      <c r="F1233" s="10" t="str">
        <f t="shared" si="40"/>
        <v/>
      </c>
    </row>
    <row r="1234" spans="1:6" x14ac:dyDescent="0.3">
      <c r="A1234" s="15" t="str">
        <f t="shared" si="41"/>
        <v>.</v>
      </c>
      <c r="E1234" s="13" t="str">
        <f>IFERROR(IF(AND(B1234&lt;&gt;"",C1234&lt;&gt;""),SUMIFS(Movimentos!$F$4:$F$9996,Movimentos!$D$4:$D$9996,B1234,Movimentos!$C$4:$C$9996,"Entrada")-SUMIFS(Movimentos!$F$4:$F$9996,Movimentos!$D$4:$D$9996,B1234,Movimentos!$C$4:$C$9996,"Saída"),""),"")</f>
        <v/>
      </c>
      <c r="F1234" s="10" t="str">
        <f t="shared" si="40"/>
        <v/>
      </c>
    </row>
    <row r="1235" spans="1:6" x14ac:dyDescent="0.3">
      <c r="A1235" s="15" t="str">
        <f t="shared" si="41"/>
        <v>.</v>
      </c>
      <c r="E1235" s="13" t="str">
        <f>IFERROR(IF(AND(B1235&lt;&gt;"",C1235&lt;&gt;""),SUMIFS(Movimentos!$F$4:$F$9996,Movimentos!$D$4:$D$9996,B1235,Movimentos!$C$4:$C$9996,"Entrada")-SUMIFS(Movimentos!$F$4:$F$9996,Movimentos!$D$4:$D$9996,B1235,Movimentos!$C$4:$C$9996,"Saída"),""),"")</f>
        <v/>
      </c>
      <c r="F1235" s="10" t="str">
        <f t="shared" si="40"/>
        <v/>
      </c>
    </row>
    <row r="1236" spans="1:6" x14ac:dyDescent="0.3">
      <c r="A1236" s="15" t="str">
        <f t="shared" si="41"/>
        <v>.</v>
      </c>
      <c r="E1236" s="13" t="str">
        <f>IFERROR(IF(AND(B1236&lt;&gt;"",C1236&lt;&gt;""),SUMIFS(Movimentos!$F$4:$F$9996,Movimentos!$D$4:$D$9996,B1236,Movimentos!$C$4:$C$9996,"Entrada")-SUMIFS(Movimentos!$F$4:$F$9996,Movimentos!$D$4:$D$9996,B1236,Movimentos!$C$4:$C$9996,"Saída"),""),"")</f>
        <v/>
      </c>
      <c r="F1236" s="10" t="str">
        <f t="shared" si="40"/>
        <v/>
      </c>
    </row>
    <row r="1237" spans="1:6" x14ac:dyDescent="0.3">
      <c r="A1237" s="15" t="str">
        <f t="shared" si="41"/>
        <v>.</v>
      </c>
      <c r="E1237" s="13" t="str">
        <f>IFERROR(IF(AND(B1237&lt;&gt;"",C1237&lt;&gt;""),SUMIFS(Movimentos!$F$4:$F$9996,Movimentos!$D$4:$D$9996,B1237,Movimentos!$C$4:$C$9996,"Entrada")-SUMIFS(Movimentos!$F$4:$F$9996,Movimentos!$D$4:$D$9996,B1237,Movimentos!$C$4:$C$9996,"Saída"),""),"")</f>
        <v/>
      </c>
      <c r="F1237" s="10" t="str">
        <f t="shared" si="40"/>
        <v/>
      </c>
    </row>
    <row r="1238" spans="1:6" x14ac:dyDescent="0.3">
      <c r="A1238" s="15" t="str">
        <f t="shared" si="41"/>
        <v>.</v>
      </c>
      <c r="E1238" s="13" t="str">
        <f>IFERROR(IF(AND(B1238&lt;&gt;"",C1238&lt;&gt;""),SUMIFS(Movimentos!$F$4:$F$9996,Movimentos!$D$4:$D$9996,B1238,Movimentos!$C$4:$C$9996,"Entrada")-SUMIFS(Movimentos!$F$4:$F$9996,Movimentos!$D$4:$D$9996,B1238,Movimentos!$C$4:$C$9996,"Saída"),""),"")</f>
        <v/>
      </c>
      <c r="F1238" s="10" t="str">
        <f t="shared" si="40"/>
        <v/>
      </c>
    </row>
    <row r="1239" spans="1:6" x14ac:dyDescent="0.3">
      <c r="A1239" s="15" t="str">
        <f t="shared" si="41"/>
        <v>.</v>
      </c>
      <c r="E1239" s="13" t="str">
        <f>IFERROR(IF(AND(B1239&lt;&gt;"",C1239&lt;&gt;""),SUMIFS(Movimentos!$F$4:$F$9996,Movimentos!$D$4:$D$9996,B1239,Movimentos!$C$4:$C$9996,"Entrada")-SUMIFS(Movimentos!$F$4:$F$9996,Movimentos!$D$4:$D$9996,B1239,Movimentos!$C$4:$C$9996,"Saída"),""),"")</f>
        <v/>
      </c>
      <c r="F1239" s="10" t="str">
        <f t="shared" ref="F1239:F1302" si="42">IF(AND(B1239&lt;&gt;"",C1239&lt;&gt;""),IF(E1239=0,"Saldo zerado",IF(E1239&lt;D1239,"Saldo abaixo do mínimo","Saldo disponível")),"")</f>
        <v/>
      </c>
    </row>
    <row r="1240" spans="1:6" x14ac:dyDescent="0.3">
      <c r="A1240" s="15" t="str">
        <f t="shared" si="41"/>
        <v>.</v>
      </c>
      <c r="E1240" s="13" t="str">
        <f>IFERROR(IF(AND(B1240&lt;&gt;"",C1240&lt;&gt;""),SUMIFS(Movimentos!$F$4:$F$9996,Movimentos!$D$4:$D$9996,B1240,Movimentos!$C$4:$C$9996,"Entrada")-SUMIFS(Movimentos!$F$4:$F$9996,Movimentos!$D$4:$D$9996,B1240,Movimentos!$C$4:$C$9996,"Saída"),""),"")</f>
        <v/>
      </c>
      <c r="F1240" s="10" t="str">
        <f t="shared" si="42"/>
        <v/>
      </c>
    </row>
    <row r="1241" spans="1:6" x14ac:dyDescent="0.3">
      <c r="A1241" s="15" t="str">
        <f t="shared" si="41"/>
        <v>.</v>
      </c>
      <c r="E1241" s="13" t="str">
        <f>IFERROR(IF(AND(B1241&lt;&gt;"",C1241&lt;&gt;""),SUMIFS(Movimentos!$F$4:$F$9996,Movimentos!$D$4:$D$9996,B1241,Movimentos!$C$4:$C$9996,"Entrada")-SUMIFS(Movimentos!$F$4:$F$9996,Movimentos!$D$4:$D$9996,B1241,Movimentos!$C$4:$C$9996,"Saída"),""),"")</f>
        <v/>
      </c>
      <c r="F1241" s="10" t="str">
        <f t="shared" si="42"/>
        <v/>
      </c>
    </row>
    <row r="1242" spans="1:6" x14ac:dyDescent="0.3">
      <c r="A1242" s="15" t="str">
        <f t="shared" si="41"/>
        <v>.</v>
      </c>
      <c r="E1242" s="13" t="str">
        <f>IFERROR(IF(AND(B1242&lt;&gt;"",C1242&lt;&gt;""),SUMIFS(Movimentos!$F$4:$F$9996,Movimentos!$D$4:$D$9996,B1242,Movimentos!$C$4:$C$9996,"Entrada")-SUMIFS(Movimentos!$F$4:$F$9996,Movimentos!$D$4:$D$9996,B1242,Movimentos!$C$4:$C$9996,"Saída"),""),"")</f>
        <v/>
      </c>
      <c r="F1242" s="10" t="str">
        <f t="shared" si="42"/>
        <v/>
      </c>
    </row>
    <row r="1243" spans="1:6" x14ac:dyDescent="0.3">
      <c r="A1243" s="15" t="str">
        <f t="shared" si="41"/>
        <v>.</v>
      </c>
      <c r="E1243" s="13" t="str">
        <f>IFERROR(IF(AND(B1243&lt;&gt;"",C1243&lt;&gt;""),SUMIFS(Movimentos!$F$4:$F$9996,Movimentos!$D$4:$D$9996,B1243,Movimentos!$C$4:$C$9996,"Entrada")-SUMIFS(Movimentos!$F$4:$F$9996,Movimentos!$D$4:$D$9996,B1243,Movimentos!$C$4:$C$9996,"Saída"),""),"")</f>
        <v/>
      </c>
      <c r="F1243" s="10" t="str">
        <f t="shared" si="42"/>
        <v/>
      </c>
    </row>
    <row r="1244" spans="1:6" x14ac:dyDescent="0.3">
      <c r="A1244" s="15" t="str">
        <f t="shared" si="41"/>
        <v>.</v>
      </c>
      <c r="E1244" s="13" t="str">
        <f>IFERROR(IF(AND(B1244&lt;&gt;"",C1244&lt;&gt;""),SUMIFS(Movimentos!$F$4:$F$9996,Movimentos!$D$4:$D$9996,B1244,Movimentos!$C$4:$C$9996,"Entrada")-SUMIFS(Movimentos!$F$4:$F$9996,Movimentos!$D$4:$D$9996,B1244,Movimentos!$C$4:$C$9996,"Saída"),""),"")</f>
        <v/>
      </c>
      <c r="F1244" s="10" t="str">
        <f t="shared" si="42"/>
        <v/>
      </c>
    </row>
    <row r="1245" spans="1:6" x14ac:dyDescent="0.3">
      <c r="A1245" s="15" t="str">
        <f t="shared" si="41"/>
        <v>.</v>
      </c>
      <c r="E1245" s="13" t="str">
        <f>IFERROR(IF(AND(B1245&lt;&gt;"",C1245&lt;&gt;""),SUMIFS(Movimentos!$F$4:$F$9996,Movimentos!$D$4:$D$9996,B1245,Movimentos!$C$4:$C$9996,"Entrada")-SUMIFS(Movimentos!$F$4:$F$9996,Movimentos!$D$4:$D$9996,B1245,Movimentos!$C$4:$C$9996,"Saída"),""),"")</f>
        <v/>
      </c>
      <c r="F1245" s="10" t="str">
        <f t="shared" si="42"/>
        <v/>
      </c>
    </row>
    <row r="1246" spans="1:6" x14ac:dyDescent="0.3">
      <c r="A1246" s="15" t="str">
        <f t="shared" si="41"/>
        <v>.</v>
      </c>
      <c r="E1246" s="13" t="str">
        <f>IFERROR(IF(AND(B1246&lt;&gt;"",C1246&lt;&gt;""),SUMIFS(Movimentos!$F$4:$F$9996,Movimentos!$D$4:$D$9996,B1246,Movimentos!$C$4:$C$9996,"Entrada")-SUMIFS(Movimentos!$F$4:$F$9996,Movimentos!$D$4:$D$9996,B1246,Movimentos!$C$4:$C$9996,"Saída"),""),"")</f>
        <v/>
      </c>
      <c r="F1246" s="10" t="str">
        <f t="shared" si="42"/>
        <v/>
      </c>
    </row>
    <row r="1247" spans="1:6" x14ac:dyDescent="0.3">
      <c r="A1247" s="15" t="str">
        <f t="shared" si="41"/>
        <v>.</v>
      </c>
      <c r="E1247" s="13" t="str">
        <f>IFERROR(IF(AND(B1247&lt;&gt;"",C1247&lt;&gt;""),SUMIFS(Movimentos!$F$4:$F$9996,Movimentos!$D$4:$D$9996,B1247,Movimentos!$C$4:$C$9996,"Entrada")-SUMIFS(Movimentos!$F$4:$F$9996,Movimentos!$D$4:$D$9996,B1247,Movimentos!$C$4:$C$9996,"Saída"),""),"")</f>
        <v/>
      </c>
      <c r="F1247" s="10" t="str">
        <f t="shared" si="42"/>
        <v/>
      </c>
    </row>
    <row r="1248" spans="1:6" x14ac:dyDescent="0.3">
      <c r="A1248" s="15" t="str">
        <f t="shared" si="41"/>
        <v>.</v>
      </c>
      <c r="E1248" s="13" t="str">
        <f>IFERROR(IF(AND(B1248&lt;&gt;"",C1248&lt;&gt;""),SUMIFS(Movimentos!$F$4:$F$9996,Movimentos!$D$4:$D$9996,B1248,Movimentos!$C$4:$C$9996,"Entrada")-SUMIFS(Movimentos!$F$4:$F$9996,Movimentos!$D$4:$D$9996,B1248,Movimentos!$C$4:$C$9996,"Saída"),""),"")</f>
        <v/>
      </c>
      <c r="F1248" s="10" t="str">
        <f t="shared" si="42"/>
        <v/>
      </c>
    </row>
    <row r="1249" spans="1:6" x14ac:dyDescent="0.3">
      <c r="A1249" s="15" t="str">
        <f t="shared" si="41"/>
        <v>.</v>
      </c>
      <c r="E1249" s="13" t="str">
        <f>IFERROR(IF(AND(B1249&lt;&gt;"",C1249&lt;&gt;""),SUMIFS(Movimentos!$F$4:$F$9996,Movimentos!$D$4:$D$9996,B1249,Movimentos!$C$4:$C$9996,"Entrada")-SUMIFS(Movimentos!$F$4:$F$9996,Movimentos!$D$4:$D$9996,B1249,Movimentos!$C$4:$C$9996,"Saída"),""),"")</f>
        <v/>
      </c>
      <c r="F1249" s="10" t="str">
        <f t="shared" si="42"/>
        <v/>
      </c>
    </row>
    <row r="1250" spans="1:6" x14ac:dyDescent="0.3">
      <c r="A1250" s="15" t="str">
        <f t="shared" si="41"/>
        <v>.</v>
      </c>
      <c r="E1250" s="13" t="str">
        <f>IFERROR(IF(AND(B1250&lt;&gt;"",C1250&lt;&gt;""),SUMIFS(Movimentos!$F$4:$F$9996,Movimentos!$D$4:$D$9996,B1250,Movimentos!$C$4:$C$9996,"Entrada")-SUMIFS(Movimentos!$F$4:$F$9996,Movimentos!$D$4:$D$9996,B1250,Movimentos!$C$4:$C$9996,"Saída"),""),"")</f>
        <v/>
      </c>
      <c r="F1250" s="10" t="str">
        <f t="shared" si="42"/>
        <v/>
      </c>
    </row>
    <row r="1251" spans="1:6" x14ac:dyDescent="0.3">
      <c r="A1251" s="15" t="str">
        <f t="shared" si="41"/>
        <v>.</v>
      </c>
      <c r="E1251" s="13" t="str">
        <f>IFERROR(IF(AND(B1251&lt;&gt;"",C1251&lt;&gt;""),SUMIFS(Movimentos!$F$4:$F$9996,Movimentos!$D$4:$D$9996,B1251,Movimentos!$C$4:$C$9996,"Entrada")-SUMIFS(Movimentos!$F$4:$F$9996,Movimentos!$D$4:$D$9996,B1251,Movimentos!$C$4:$C$9996,"Saída"),""),"")</f>
        <v/>
      </c>
      <c r="F1251" s="10" t="str">
        <f t="shared" si="42"/>
        <v/>
      </c>
    </row>
    <row r="1252" spans="1:6" x14ac:dyDescent="0.3">
      <c r="A1252" s="15" t="str">
        <f t="shared" si="41"/>
        <v>.</v>
      </c>
      <c r="E1252" s="13" t="str">
        <f>IFERROR(IF(AND(B1252&lt;&gt;"",C1252&lt;&gt;""),SUMIFS(Movimentos!$F$4:$F$9996,Movimentos!$D$4:$D$9996,B1252,Movimentos!$C$4:$C$9996,"Entrada")-SUMIFS(Movimentos!$F$4:$F$9996,Movimentos!$D$4:$D$9996,B1252,Movimentos!$C$4:$C$9996,"Saída"),""),"")</f>
        <v/>
      </c>
      <c r="F1252" s="10" t="str">
        <f t="shared" si="42"/>
        <v/>
      </c>
    </row>
    <row r="1253" spans="1:6" x14ac:dyDescent="0.3">
      <c r="A1253" s="15" t="str">
        <f t="shared" si="41"/>
        <v>.</v>
      </c>
      <c r="E1253" s="13" t="str">
        <f>IFERROR(IF(AND(B1253&lt;&gt;"",C1253&lt;&gt;""),SUMIFS(Movimentos!$F$4:$F$9996,Movimentos!$D$4:$D$9996,B1253,Movimentos!$C$4:$C$9996,"Entrada")-SUMIFS(Movimentos!$F$4:$F$9996,Movimentos!$D$4:$D$9996,B1253,Movimentos!$C$4:$C$9996,"Saída"),""),"")</f>
        <v/>
      </c>
      <c r="F1253" s="10" t="str">
        <f t="shared" si="42"/>
        <v/>
      </c>
    </row>
    <row r="1254" spans="1:6" x14ac:dyDescent="0.3">
      <c r="A1254" s="15" t="str">
        <f t="shared" si="41"/>
        <v>.</v>
      </c>
      <c r="E1254" s="13" t="str">
        <f>IFERROR(IF(AND(B1254&lt;&gt;"",C1254&lt;&gt;""),SUMIFS(Movimentos!$F$4:$F$9996,Movimentos!$D$4:$D$9996,B1254,Movimentos!$C$4:$C$9996,"Entrada")-SUMIFS(Movimentos!$F$4:$F$9996,Movimentos!$D$4:$D$9996,B1254,Movimentos!$C$4:$C$9996,"Saída"),""),"")</f>
        <v/>
      </c>
      <c r="F1254" s="10" t="str">
        <f t="shared" si="42"/>
        <v/>
      </c>
    </row>
    <row r="1255" spans="1:6" x14ac:dyDescent="0.3">
      <c r="A1255" s="15" t="str">
        <f t="shared" si="41"/>
        <v>.</v>
      </c>
      <c r="E1255" s="13" t="str">
        <f>IFERROR(IF(AND(B1255&lt;&gt;"",C1255&lt;&gt;""),SUMIFS(Movimentos!$F$4:$F$9996,Movimentos!$D$4:$D$9996,B1255,Movimentos!$C$4:$C$9996,"Entrada")-SUMIFS(Movimentos!$F$4:$F$9996,Movimentos!$D$4:$D$9996,B1255,Movimentos!$C$4:$C$9996,"Saída"),""),"")</f>
        <v/>
      </c>
      <c r="F1255" s="10" t="str">
        <f t="shared" si="42"/>
        <v/>
      </c>
    </row>
    <row r="1256" spans="1:6" x14ac:dyDescent="0.3">
      <c r="A1256" s="15" t="str">
        <f t="shared" si="41"/>
        <v>.</v>
      </c>
      <c r="E1256" s="13" t="str">
        <f>IFERROR(IF(AND(B1256&lt;&gt;"",C1256&lt;&gt;""),SUMIFS(Movimentos!$F$4:$F$9996,Movimentos!$D$4:$D$9996,B1256,Movimentos!$C$4:$C$9996,"Entrada")-SUMIFS(Movimentos!$F$4:$F$9996,Movimentos!$D$4:$D$9996,B1256,Movimentos!$C$4:$C$9996,"Saída"),""),"")</f>
        <v/>
      </c>
      <c r="F1256" s="10" t="str">
        <f t="shared" si="42"/>
        <v/>
      </c>
    </row>
    <row r="1257" spans="1:6" x14ac:dyDescent="0.3">
      <c r="A1257" s="15" t="str">
        <f t="shared" si="41"/>
        <v>.</v>
      </c>
      <c r="E1257" s="13" t="str">
        <f>IFERROR(IF(AND(B1257&lt;&gt;"",C1257&lt;&gt;""),SUMIFS(Movimentos!$F$4:$F$9996,Movimentos!$D$4:$D$9996,B1257,Movimentos!$C$4:$C$9996,"Entrada")-SUMIFS(Movimentos!$F$4:$F$9996,Movimentos!$D$4:$D$9996,B1257,Movimentos!$C$4:$C$9996,"Saída"),""),"")</f>
        <v/>
      </c>
      <c r="F1257" s="10" t="str">
        <f t="shared" si="42"/>
        <v/>
      </c>
    </row>
    <row r="1258" spans="1:6" x14ac:dyDescent="0.3">
      <c r="A1258" s="15" t="str">
        <f t="shared" si="41"/>
        <v>.</v>
      </c>
      <c r="E1258" s="13" t="str">
        <f>IFERROR(IF(AND(B1258&lt;&gt;"",C1258&lt;&gt;""),SUMIFS(Movimentos!$F$4:$F$9996,Movimentos!$D$4:$D$9996,B1258,Movimentos!$C$4:$C$9996,"Entrada")-SUMIFS(Movimentos!$F$4:$F$9996,Movimentos!$D$4:$D$9996,B1258,Movimentos!$C$4:$C$9996,"Saída"),""),"")</f>
        <v/>
      </c>
      <c r="F1258" s="10" t="str">
        <f t="shared" si="42"/>
        <v/>
      </c>
    </row>
    <row r="1259" spans="1:6" x14ac:dyDescent="0.3">
      <c r="A1259" s="15" t="str">
        <f t="shared" si="41"/>
        <v>.</v>
      </c>
      <c r="E1259" s="13" t="str">
        <f>IFERROR(IF(AND(B1259&lt;&gt;"",C1259&lt;&gt;""),SUMIFS(Movimentos!$F$4:$F$9996,Movimentos!$D$4:$D$9996,B1259,Movimentos!$C$4:$C$9996,"Entrada")-SUMIFS(Movimentos!$F$4:$F$9996,Movimentos!$D$4:$D$9996,B1259,Movimentos!$C$4:$C$9996,"Saída"),""),"")</f>
        <v/>
      </c>
      <c r="F1259" s="10" t="str">
        <f t="shared" si="42"/>
        <v/>
      </c>
    </row>
    <row r="1260" spans="1:6" x14ac:dyDescent="0.3">
      <c r="A1260" s="15" t="str">
        <f t="shared" si="41"/>
        <v>.</v>
      </c>
      <c r="E1260" s="13" t="str">
        <f>IFERROR(IF(AND(B1260&lt;&gt;"",C1260&lt;&gt;""),SUMIFS(Movimentos!$F$4:$F$9996,Movimentos!$D$4:$D$9996,B1260,Movimentos!$C$4:$C$9996,"Entrada")-SUMIFS(Movimentos!$F$4:$F$9996,Movimentos!$D$4:$D$9996,B1260,Movimentos!$C$4:$C$9996,"Saída"),""),"")</f>
        <v/>
      </c>
      <c r="F1260" s="10" t="str">
        <f t="shared" si="42"/>
        <v/>
      </c>
    </row>
    <row r="1261" spans="1:6" x14ac:dyDescent="0.3">
      <c r="A1261" s="15" t="str">
        <f t="shared" si="41"/>
        <v>.</v>
      </c>
      <c r="E1261" s="13" t="str">
        <f>IFERROR(IF(AND(B1261&lt;&gt;"",C1261&lt;&gt;""),SUMIFS(Movimentos!$F$4:$F$9996,Movimentos!$D$4:$D$9996,B1261,Movimentos!$C$4:$C$9996,"Entrada")-SUMIFS(Movimentos!$F$4:$F$9996,Movimentos!$D$4:$D$9996,B1261,Movimentos!$C$4:$C$9996,"Saída"),""),"")</f>
        <v/>
      </c>
      <c r="F1261" s="10" t="str">
        <f t="shared" si="42"/>
        <v/>
      </c>
    </row>
    <row r="1262" spans="1:6" x14ac:dyDescent="0.3">
      <c r="A1262" s="15" t="str">
        <f t="shared" si="41"/>
        <v>.</v>
      </c>
      <c r="E1262" s="13" t="str">
        <f>IFERROR(IF(AND(B1262&lt;&gt;"",C1262&lt;&gt;""),SUMIFS(Movimentos!$F$4:$F$9996,Movimentos!$D$4:$D$9996,B1262,Movimentos!$C$4:$C$9996,"Entrada")-SUMIFS(Movimentos!$F$4:$F$9996,Movimentos!$D$4:$D$9996,B1262,Movimentos!$C$4:$C$9996,"Saída"),""),"")</f>
        <v/>
      </c>
      <c r="F1262" s="10" t="str">
        <f t="shared" si="42"/>
        <v/>
      </c>
    </row>
    <row r="1263" spans="1:6" x14ac:dyDescent="0.3">
      <c r="A1263" s="15" t="str">
        <f t="shared" si="41"/>
        <v>.</v>
      </c>
      <c r="E1263" s="13" t="str">
        <f>IFERROR(IF(AND(B1263&lt;&gt;"",C1263&lt;&gt;""),SUMIFS(Movimentos!$F$4:$F$9996,Movimentos!$D$4:$D$9996,B1263,Movimentos!$C$4:$C$9996,"Entrada")-SUMIFS(Movimentos!$F$4:$F$9996,Movimentos!$D$4:$D$9996,B1263,Movimentos!$C$4:$C$9996,"Saída"),""),"")</f>
        <v/>
      </c>
      <c r="F1263" s="10" t="str">
        <f t="shared" si="42"/>
        <v/>
      </c>
    </row>
    <row r="1264" spans="1:6" x14ac:dyDescent="0.3">
      <c r="A1264" s="15" t="str">
        <f t="shared" si="41"/>
        <v>.</v>
      </c>
      <c r="E1264" s="13" t="str">
        <f>IFERROR(IF(AND(B1264&lt;&gt;"",C1264&lt;&gt;""),SUMIFS(Movimentos!$F$4:$F$9996,Movimentos!$D$4:$D$9996,B1264,Movimentos!$C$4:$C$9996,"Entrada")-SUMIFS(Movimentos!$F$4:$F$9996,Movimentos!$D$4:$D$9996,B1264,Movimentos!$C$4:$C$9996,"Saída"),""),"")</f>
        <v/>
      </c>
      <c r="F1264" s="10" t="str">
        <f t="shared" si="42"/>
        <v/>
      </c>
    </row>
    <row r="1265" spans="1:6" x14ac:dyDescent="0.3">
      <c r="A1265" s="15" t="str">
        <f t="shared" si="41"/>
        <v>.</v>
      </c>
      <c r="E1265" s="13" t="str">
        <f>IFERROR(IF(AND(B1265&lt;&gt;"",C1265&lt;&gt;""),SUMIFS(Movimentos!$F$4:$F$9996,Movimentos!$D$4:$D$9996,B1265,Movimentos!$C$4:$C$9996,"Entrada")-SUMIFS(Movimentos!$F$4:$F$9996,Movimentos!$D$4:$D$9996,B1265,Movimentos!$C$4:$C$9996,"Saída"),""),"")</f>
        <v/>
      </c>
      <c r="F1265" s="10" t="str">
        <f t="shared" si="42"/>
        <v/>
      </c>
    </row>
    <row r="1266" spans="1:6" x14ac:dyDescent="0.3">
      <c r="A1266" s="15" t="str">
        <f t="shared" si="41"/>
        <v>.</v>
      </c>
      <c r="E1266" s="13" t="str">
        <f>IFERROR(IF(AND(B1266&lt;&gt;"",C1266&lt;&gt;""),SUMIFS(Movimentos!$F$4:$F$9996,Movimentos!$D$4:$D$9996,B1266,Movimentos!$C$4:$C$9996,"Entrada")-SUMIFS(Movimentos!$F$4:$F$9996,Movimentos!$D$4:$D$9996,B1266,Movimentos!$C$4:$C$9996,"Saída"),""),"")</f>
        <v/>
      </c>
      <c r="F1266" s="10" t="str">
        <f t="shared" si="42"/>
        <v/>
      </c>
    </row>
    <row r="1267" spans="1:6" x14ac:dyDescent="0.3">
      <c r="A1267" s="15" t="str">
        <f t="shared" si="41"/>
        <v>.</v>
      </c>
      <c r="E1267" s="13" t="str">
        <f>IFERROR(IF(AND(B1267&lt;&gt;"",C1267&lt;&gt;""),SUMIFS(Movimentos!$F$4:$F$9996,Movimentos!$D$4:$D$9996,B1267,Movimentos!$C$4:$C$9996,"Entrada")-SUMIFS(Movimentos!$F$4:$F$9996,Movimentos!$D$4:$D$9996,B1267,Movimentos!$C$4:$C$9996,"Saída"),""),"")</f>
        <v/>
      </c>
      <c r="F1267" s="10" t="str">
        <f t="shared" si="42"/>
        <v/>
      </c>
    </row>
    <row r="1268" spans="1:6" x14ac:dyDescent="0.3">
      <c r="A1268" s="15" t="str">
        <f t="shared" si="41"/>
        <v>.</v>
      </c>
      <c r="E1268" s="13" t="str">
        <f>IFERROR(IF(AND(B1268&lt;&gt;"",C1268&lt;&gt;""),SUMIFS(Movimentos!$F$4:$F$9996,Movimentos!$D$4:$D$9996,B1268,Movimentos!$C$4:$C$9996,"Entrada")-SUMIFS(Movimentos!$F$4:$F$9996,Movimentos!$D$4:$D$9996,B1268,Movimentos!$C$4:$C$9996,"Saída"),""),"")</f>
        <v/>
      </c>
      <c r="F1268" s="10" t="str">
        <f t="shared" si="42"/>
        <v/>
      </c>
    </row>
    <row r="1269" spans="1:6" x14ac:dyDescent="0.3">
      <c r="A1269" s="15" t="str">
        <f t="shared" si="41"/>
        <v>.</v>
      </c>
      <c r="E1269" s="13" t="str">
        <f>IFERROR(IF(AND(B1269&lt;&gt;"",C1269&lt;&gt;""),SUMIFS(Movimentos!$F$4:$F$9996,Movimentos!$D$4:$D$9996,B1269,Movimentos!$C$4:$C$9996,"Entrada")-SUMIFS(Movimentos!$F$4:$F$9996,Movimentos!$D$4:$D$9996,B1269,Movimentos!$C$4:$C$9996,"Saída"),""),"")</f>
        <v/>
      </c>
      <c r="F1269" s="10" t="str">
        <f t="shared" si="42"/>
        <v/>
      </c>
    </row>
    <row r="1270" spans="1:6" x14ac:dyDescent="0.3">
      <c r="A1270" s="15" t="str">
        <f t="shared" si="41"/>
        <v>.</v>
      </c>
      <c r="E1270" s="13" t="str">
        <f>IFERROR(IF(AND(B1270&lt;&gt;"",C1270&lt;&gt;""),SUMIFS(Movimentos!$F$4:$F$9996,Movimentos!$D$4:$D$9996,B1270,Movimentos!$C$4:$C$9996,"Entrada")-SUMIFS(Movimentos!$F$4:$F$9996,Movimentos!$D$4:$D$9996,B1270,Movimentos!$C$4:$C$9996,"Saída"),""),"")</f>
        <v/>
      </c>
      <c r="F1270" s="10" t="str">
        <f t="shared" si="42"/>
        <v/>
      </c>
    </row>
    <row r="1271" spans="1:6" x14ac:dyDescent="0.3">
      <c r="A1271" s="15" t="str">
        <f t="shared" si="41"/>
        <v>.</v>
      </c>
      <c r="E1271" s="13" t="str">
        <f>IFERROR(IF(AND(B1271&lt;&gt;"",C1271&lt;&gt;""),SUMIFS(Movimentos!$F$4:$F$9996,Movimentos!$D$4:$D$9996,B1271,Movimentos!$C$4:$C$9996,"Entrada")-SUMIFS(Movimentos!$F$4:$F$9996,Movimentos!$D$4:$D$9996,B1271,Movimentos!$C$4:$C$9996,"Saída"),""),"")</f>
        <v/>
      </c>
      <c r="F1271" s="10" t="str">
        <f t="shared" si="42"/>
        <v/>
      </c>
    </row>
    <row r="1272" spans="1:6" x14ac:dyDescent="0.3">
      <c r="A1272" s="15" t="str">
        <f t="shared" si="41"/>
        <v>.</v>
      </c>
      <c r="E1272" s="13" t="str">
        <f>IFERROR(IF(AND(B1272&lt;&gt;"",C1272&lt;&gt;""),SUMIFS(Movimentos!$F$4:$F$9996,Movimentos!$D$4:$D$9996,B1272,Movimentos!$C$4:$C$9996,"Entrada")-SUMIFS(Movimentos!$F$4:$F$9996,Movimentos!$D$4:$D$9996,B1272,Movimentos!$C$4:$C$9996,"Saída"),""),"")</f>
        <v/>
      </c>
      <c r="F1272" s="10" t="str">
        <f t="shared" si="42"/>
        <v/>
      </c>
    </row>
    <row r="1273" spans="1:6" x14ac:dyDescent="0.3">
      <c r="A1273" s="15" t="str">
        <f t="shared" si="41"/>
        <v>.</v>
      </c>
      <c r="E1273" s="13" t="str">
        <f>IFERROR(IF(AND(B1273&lt;&gt;"",C1273&lt;&gt;""),SUMIFS(Movimentos!$F$4:$F$9996,Movimentos!$D$4:$D$9996,B1273,Movimentos!$C$4:$C$9996,"Entrada")-SUMIFS(Movimentos!$F$4:$F$9996,Movimentos!$D$4:$D$9996,B1273,Movimentos!$C$4:$C$9996,"Saída"),""),"")</f>
        <v/>
      </c>
      <c r="F1273" s="10" t="str">
        <f t="shared" si="42"/>
        <v/>
      </c>
    </row>
    <row r="1274" spans="1:6" x14ac:dyDescent="0.3">
      <c r="A1274" s="15" t="str">
        <f t="shared" si="41"/>
        <v>.</v>
      </c>
      <c r="E1274" s="13" t="str">
        <f>IFERROR(IF(AND(B1274&lt;&gt;"",C1274&lt;&gt;""),SUMIFS(Movimentos!$F$4:$F$9996,Movimentos!$D$4:$D$9996,B1274,Movimentos!$C$4:$C$9996,"Entrada")-SUMIFS(Movimentos!$F$4:$F$9996,Movimentos!$D$4:$D$9996,B1274,Movimentos!$C$4:$C$9996,"Saída"),""),"")</f>
        <v/>
      </c>
      <c r="F1274" s="10" t="str">
        <f t="shared" si="42"/>
        <v/>
      </c>
    </row>
    <row r="1275" spans="1:6" x14ac:dyDescent="0.3">
      <c r="A1275" s="15" t="str">
        <f t="shared" si="41"/>
        <v>.</v>
      </c>
      <c r="E1275" s="13" t="str">
        <f>IFERROR(IF(AND(B1275&lt;&gt;"",C1275&lt;&gt;""),SUMIFS(Movimentos!$F$4:$F$9996,Movimentos!$D$4:$D$9996,B1275,Movimentos!$C$4:$C$9996,"Entrada")-SUMIFS(Movimentos!$F$4:$F$9996,Movimentos!$D$4:$D$9996,B1275,Movimentos!$C$4:$C$9996,"Saída"),""),"")</f>
        <v/>
      </c>
      <c r="F1275" s="10" t="str">
        <f t="shared" si="42"/>
        <v/>
      </c>
    </row>
    <row r="1276" spans="1:6" x14ac:dyDescent="0.3">
      <c r="A1276" s="15" t="str">
        <f t="shared" si="41"/>
        <v>.</v>
      </c>
      <c r="E1276" s="13" t="str">
        <f>IFERROR(IF(AND(B1276&lt;&gt;"",C1276&lt;&gt;""),SUMIFS(Movimentos!$F$4:$F$9996,Movimentos!$D$4:$D$9996,B1276,Movimentos!$C$4:$C$9996,"Entrada")-SUMIFS(Movimentos!$F$4:$F$9996,Movimentos!$D$4:$D$9996,B1276,Movimentos!$C$4:$C$9996,"Saída"),""),"")</f>
        <v/>
      </c>
      <c r="F1276" s="10" t="str">
        <f t="shared" si="42"/>
        <v/>
      </c>
    </row>
    <row r="1277" spans="1:6" x14ac:dyDescent="0.3">
      <c r="A1277" s="15" t="str">
        <f t="shared" si="41"/>
        <v>.</v>
      </c>
      <c r="E1277" s="13" t="str">
        <f>IFERROR(IF(AND(B1277&lt;&gt;"",C1277&lt;&gt;""),SUMIFS(Movimentos!$F$4:$F$9996,Movimentos!$D$4:$D$9996,B1277,Movimentos!$C$4:$C$9996,"Entrada")-SUMIFS(Movimentos!$F$4:$F$9996,Movimentos!$D$4:$D$9996,B1277,Movimentos!$C$4:$C$9996,"Saída"),""),"")</f>
        <v/>
      </c>
      <c r="F1277" s="10" t="str">
        <f t="shared" si="42"/>
        <v/>
      </c>
    </row>
    <row r="1278" spans="1:6" x14ac:dyDescent="0.3">
      <c r="A1278" s="15" t="str">
        <f t="shared" si="41"/>
        <v>.</v>
      </c>
      <c r="E1278" s="13" t="str">
        <f>IFERROR(IF(AND(B1278&lt;&gt;"",C1278&lt;&gt;""),SUMIFS(Movimentos!$F$4:$F$9996,Movimentos!$D$4:$D$9996,B1278,Movimentos!$C$4:$C$9996,"Entrada")-SUMIFS(Movimentos!$F$4:$F$9996,Movimentos!$D$4:$D$9996,B1278,Movimentos!$C$4:$C$9996,"Saída"),""),"")</f>
        <v/>
      </c>
      <c r="F1278" s="10" t="str">
        <f t="shared" si="42"/>
        <v/>
      </c>
    </row>
    <row r="1279" spans="1:6" x14ac:dyDescent="0.3">
      <c r="A1279" s="15" t="str">
        <f t="shared" si="41"/>
        <v>.</v>
      </c>
      <c r="E1279" s="13" t="str">
        <f>IFERROR(IF(AND(B1279&lt;&gt;"",C1279&lt;&gt;""),SUMIFS(Movimentos!$F$4:$F$9996,Movimentos!$D$4:$D$9996,B1279,Movimentos!$C$4:$C$9996,"Entrada")-SUMIFS(Movimentos!$F$4:$F$9996,Movimentos!$D$4:$D$9996,B1279,Movimentos!$C$4:$C$9996,"Saída"),""),"")</f>
        <v/>
      </c>
      <c r="F1279" s="10" t="str">
        <f t="shared" si="42"/>
        <v/>
      </c>
    </row>
    <row r="1280" spans="1:6" x14ac:dyDescent="0.3">
      <c r="A1280" s="15" t="str">
        <f t="shared" ref="A1280:A1343" si="43">IF(F1280="Saldo zerado",0,IF(F1280="Saldo abaixo do mínimo",1,IF(F1280="Saldo disponível",2,".")))</f>
        <v>.</v>
      </c>
      <c r="E1280" s="13" t="str">
        <f>IFERROR(IF(AND(B1280&lt;&gt;"",C1280&lt;&gt;""),SUMIFS(Movimentos!$F$4:$F$9996,Movimentos!$D$4:$D$9996,B1280,Movimentos!$C$4:$C$9996,"Entrada")-SUMIFS(Movimentos!$F$4:$F$9996,Movimentos!$D$4:$D$9996,B1280,Movimentos!$C$4:$C$9996,"Saída"),""),"")</f>
        <v/>
      </c>
      <c r="F1280" s="10" t="str">
        <f t="shared" si="42"/>
        <v/>
      </c>
    </row>
    <row r="1281" spans="1:6" x14ac:dyDescent="0.3">
      <c r="A1281" s="15" t="str">
        <f t="shared" si="43"/>
        <v>.</v>
      </c>
      <c r="E1281" s="13" t="str">
        <f>IFERROR(IF(AND(B1281&lt;&gt;"",C1281&lt;&gt;""),SUMIFS(Movimentos!$F$4:$F$9996,Movimentos!$D$4:$D$9996,B1281,Movimentos!$C$4:$C$9996,"Entrada")-SUMIFS(Movimentos!$F$4:$F$9996,Movimentos!$D$4:$D$9996,B1281,Movimentos!$C$4:$C$9996,"Saída"),""),"")</f>
        <v/>
      </c>
      <c r="F1281" s="10" t="str">
        <f t="shared" si="42"/>
        <v/>
      </c>
    </row>
    <row r="1282" spans="1:6" x14ac:dyDescent="0.3">
      <c r="A1282" s="15" t="str">
        <f t="shared" si="43"/>
        <v>.</v>
      </c>
      <c r="E1282" s="13" t="str">
        <f>IFERROR(IF(AND(B1282&lt;&gt;"",C1282&lt;&gt;""),SUMIFS(Movimentos!$F$4:$F$9996,Movimentos!$D$4:$D$9996,B1282,Movimentos!$C$4:$C$9996,"Entrada")-SUMIFS(Movimentos!$F$4:$F$9996,Movimentos!$D$4:$D$9996,B1282,Movimentos!$C$4:$C$9996,"Saída"),""),"")</f>
        <v/>
      </c>
      <c r="F1282" s="10" t="str">
        <f t="shared" si="42"/>
        <v/>
      </c>
    </row>
    <row r="1283" spans="1:6" x14ac:dyDescent="0.3">
      <c r="A1283" s="15" t="str">
        <f t="shared" si="43"/>
        <v>.</v>
      </c>
      <c r="E1283" s="13" t="str">
        <f>IFERROR(IF(AND(B1283&lt;&gt;"",C1283&lt;&gt;""),SUMIFS(Movimentos!$F$4:$F$9996,Movimentos!$D$4:$D$9996,B1283,Movimentos!$C$4:$C$9996,"Entrada")-SUMIFS(Movimentos!$F$4:$F$9996,Movimentos!$D$4:$D$9996,B1283,Movimentos!$C$4:$C$9996,"Saída"),""),"")</f>
        <v/>
      </c>
      <c r="F1283" s="10" t="str">
        <f t="shared" si="42"/>
        <v/>
      </c>
    </row>
    <row r="1284" spans="1:6" x14ac:dyDescent="0.3">
      <c r="A1284" s="15" t="str">
        <f t="shared" si="43"/>
        <v>.</v>
      </c>
      <c r="E1284" s="13" t="str">
        <f>IFERROR(IF(AND(B1284&lt;&gt;"",C1284&lt;&gt;""),SUMIFS(Movimentos!$F$4:$F$9996,Movimentos!$D$4:$D$9996,B1284,Movimentos!$C$4:$C$9996,"Entrada")-SUMIFS(Movimentos!$F$4:$F$9996,Movimentos!$D$4:$D$9996,B1284,Movimentos!$C$4:$C$9996,"Saída"),""),"")</f>
        <v/>
      </c>
      <c r="F1284" s="10" t="str">
        <f t="shared" si="42"/>
        <v/>
      </c>
    </row>
    <row r="1285" spans="1:6" x14ac:dyDescent="0.3">
      <c r="A1285" s="15" t="str">
        <f t="shared" si="43"/>
        <v>.</v>
      </c>
      <c r="E1285" s="13" t="str">
        <f>IFERROR(IF(AND(B1285&lt;&gt;"",C1285&lt;&gt;""),SUMIFS(Movimentos!$F$4:$F$9996,Movimentos!$D$4:$D$9996,B1285,Movimentos!$C$4:$C$9996,"Entrada")-SUMIFS(Movimentos!$F$4:$F$9996,Movimentos!$D$4:$D$9996,B1285,Movimentos!$C$4:$C$9996,"Saída"),""),"")</f>
        <v/>
      </c>
      <c r="F1285" s="10" t="str">
        <f t="shared" si="42"/>
        <v/>
      </c>
    </row>
    <row r="1286" spans="1:6" x14ac:dyDescent="0.3">
      <c r="A1286" s="15" t="str">
        <f t="shared" si="43"/>
        <v>.</v>
      </c>
      <c r="E1286" s="13" t="str">
        <f>IFERROR(IF(AND(B1286&lt;&gt;"",C1286&lt;&gt;""),SUMIFS(Movimentos!$F$4:$F$9996,Movimentos!$D$4:$D$9996,B1286,Movimentos!$C$4:$C$9996,"Entrada")-SUMIFS(Movimentos!$F$4:$F$9996,Movimentos!$D$4:$D$9996,B1286,Movimentos!$C$4:$C$9996,"Saída"),""),"")</f>
        <v/>
      </c>
      <c r="F1286" s="10" t="str">
        <f t="shared" si="42"/>
        <v/>
      </c>
    </row>
    <row r="1287" spans="1:6" x14ac:dyDescent="0.3">
      <c r="A1287" s="15" t="str">
        <f t="shared" si="43"/>
        <v>.</v>
      </c>
      <c r="E1287" s="13" t="str">
        <f>IFERROR(IF(AND(B1287&lt;&gt;"",C1287&lt;&gt;""),SUMIFS(Movimentos!$F$4:$F$9996,Movimentos!$D$4:$D$9996,B1287,Movimentos!$C$4:$C$9996,"Entrada")-SUMIFS(Movimentos!$F$4:$F$9996,Movimentos!$D$4:$D$9996,B1287,Movimentos!$C$4:$C$9996,"Saída"),""),"")</f>
        <v/>
      </c>
      <c r="F1287" s="10" t="str">
        <f t="shared" si="42"/>
        <v/>
      </c>
    </row>
    <row r="1288" spans="1:6" x14ac:dyDescent="0.3">
      <c r="A1288" s="15" t="str">
        <f t="shared" si="43"/>
        <v>.</v>
      </c>
      <c r="E1288" s="13" t="str">
        <f>IFERROR(IF(AND(B1288&lt;&gt;"",C1288&lt;&gt;""),SUMIFS(Movimentos!$F$4:$F$9996,Movimentos!$D$4:$D$9996,B1288,Movimentos!$C$4:$C$9996,"Entrada")-SUMIFS(Movimentos!$F$4:$F$9996,Movimentos!$D$4:$D$9996,B1288,Movimentos!$C$4:$C$9996,"Saída"),""),"")</f>
        <v/>
      </c>
      <c r="F1288" s="10" t="str">
        <f t="shared" si="42"/>
        <v/>
      </c>
    </row>
    <row r="1289" spans="1:6" x14ac:dyDescent="0.3">
      <c r="A1289" s="15" t="str">
        <f t="shared" si="43"/>
        <v>.</v>
      </c>
      <c r="E1289" s="13" t="str">
        <f>IFERROR(IF(AND(B1289&lt;&gt;"",C1289&lt;&gt;""),SUMIFS(Movimentos!$F$4:$F$9996,Movimentos!$D$4:$D$9996,B1289,Movimentos!$C$4:$C$9996,"Entrada")-SUMIFS(Movimentos!$F$4:$F$9996,Movimentos!$D$4:$D$9996,B1289,Movimentos!$C$4:$C$9996,"Saída"),""),"")</f>
        <v/>
      </c>
      <c r="F1289" s="10" t="str">
        <f t="shared" si="42"/>
        <v/>
      </c>
    </row>
    <row r="1290" spans="1:6" x14ac:dyDescent="0.3">
      <c r="A1290" s="15" t="str">
        <f t="shared" si="43"/>
        <v>.</v>
      </c>
      <c r="E1290" s="13" t="str">
        <f>IFERROR(IF(AND(B1290&lt;&gt;"",C1290&lt;&gt;""),SUMIFS(Movimentos!$F$4:$F$9996,Movimentos!$D$4:$D$9996,B1290,Movimentos!$C$4:$C$9996,"Entrada")-SUMIFS(Movimentos!$F$4:$F$9996,Movimentos!$D$4:$D$9996,B1290,Movimentos!$C$4:$C$9996,"Saída"),""),"")</f>
        <v/>
      </c>
      <c r="F1290" s="10" t="str">
        <f t="shared" si="42"/>
        <v/>
      </c>
    </row>
    <row r="1291" spans="1:6" x14ac:dyDescent="0.3">
      <c r="A1291" s="15" t="str">
        <f t="shared" si="43"/>
        <v>.</v>
      </c>
      <c r="E1291" s="13" t="str">
        <f>IFERROR(IF(AND(B1291&lt;&gt;"",C1291&lt;&gt;""),SUMIFS(Movimentos!$F$4:$F$9996,Movimentos!$D$4:$D$9996,B1291,Movimentos!$C$4:$C$9996,"Entrada")-SUMIFS(Movimentos!$F$4:$F$9996,Movimentos!$D$4:$D$9996,B1291,Movimentos!$C$4:$C$9996,"Saída"),""),"")</f>
        <v/>
      </c>
      <c r="F1291" s="10" t="str">
        <f t="shared" si="42"/>
        <v/>
      </c>
    </row>
    <row r="1292" spans="1:6" x14ac:dyDescent="0.3">
      <c r="A1292" s="15" t="str">
        <f t="shared" si="43"/>
        <v>.</v>
      </c>
      <c r="E1292" s="13" t="str">
        <f>IFERROR(IF(AND(B1292&lt;&gt;"",C1292&lt;&gt;""),SUMIFS(Movimentos!$F$4:$F$9996,Movimentos!$D$4:$D$9996,B1292,Movimentos!$C$4:$C$9996,"Entrada")-SUMIFS(Movimentos!$F$4:$F$9996,Movimentos!$D$4:$D$9996,B1292,Movimentos!$C$4:$C$9996,"Saída"),""),"")</f>
        <v/>
      </c>
      <c r="F1292" s="10" t="str">
        <f t="shared" si="42"/>
        <v/>
      </c>
    </row>
    <row r="1293" spans="1:6" x14ac:dyDescent="0.3">
      <c r="A1293" s="15" t="str">
        <f t="shared" si="43"/>
        <v>.</v>
      </c>
      <c r="E1293" s="13" t="str">
        <f>IFERROR(IF(AND(B1293&lt;&gt;"",C1293&lt;&gt;""),SUMIFS(Movimentos!$F$4:$F$9996,Movimentos!$D$4:$D$9996,B1293,Movimentos!$C$4:$C$9996,"Entrada")-SUMIFS(Movimentos!$F$4:$F$9996,Movimentos!$D$4:$D$9996,B1293,Movimentos!$C$4:$C$9996,"Saída"),""),"")</f>
        <v/>
      </c>
      <c r="F1293" s="10" t="str">
        <f t="shared" si="42"/>
        <v/>
      </c>
    </row>
    <row r="1294" spans="1:6" x14ac:dyDescent="0.3">
      <c r="A1294" s="15" t="str">
        <f t="shared" si="43"/>
        <v>.</v>
      </c>
      <c r="E1294" s="13" t="str">
        <f>IFERROR(IF(AND(B1294&lt;&gt;"",C1294&lt;&gt;""),SUMIFS(Movimentos!$F$4:$F$9996,Movimentos!$D$4:$D$9996,B1294,Movimentos!$C$4:$C$9996,"Entrada")-SUMIFS(Movimentos!$F$4:$F$9996,Movimentos!$D$4:$D$9996,B1294,Movimentos!$C$4:$C$9996,"Saída"),""),"")</f>
        <v/>
      </c>
      <c r="F1294" s="10" t="str">
        <f t="shared" si="42"/>
        <v/>
      </c>
    </row>
    <row r="1295" spans="1:6" x14ac:dyDescent="0.3">
      <c r="A1295" s="15" t="str">
        <f t="shared" si="43"/>
        <v>.</v>
      </c>
      <c r="E1295" s="13" t="str">
        <f>IFERROR(IF(AND(B1295&lt;&gt;"",C1295&lt;&gt;""),SUMIFS(Movimentos!$F$4:$F$9996,Movimentos!$D$4:$D$9996,B1295,Movimentos!$C$4:$C$9996,"Entrada")-SUMIFS(Movimentos!$F$4:$F$9996,Movimentos!$D$4:$D$9996,B1295,Movimentos!$C$4:$C$9996,"Saída"),""),"")</f>
        <v/>
      </c>
      <c r="F1295" s="10" t="str">
        <f t="shared" si="42"/>
        <v/>
      </c>
    </row>
    <row r="1296" spans="1:6" x14ac:dyDescent="0.3">
      <c r="A1296" s="15" t="str">
        <f t="shared" si="43"/>
        <v>.</v>
      </c>
      <c r="E1296" s="13" t="str">
        <f>IFERROR(IF(AND(B1296&lt;&gt;"",C1296&lt;&gt;""),SUMIFS(Movimentos!$F$4:$F$9996,Movimentos!$D$4:$D$9996,B1296,Movimentos!$C$4:$C$9996,"Entrada")-SUMIFS(Movimentos!$F$4:$F$9996,Movimentos!$D$4:$D$9996,B1296,Movimentos!$C$4:$C$9996,"Saída"),""),"")</f>
        <v/>
      </c>
      <c r="F1296" s="10" t="str">
        <f t="shared" si="42"/>
        <v/>
      </c>
    </row>
    <row r="1297" spans="1:6" x14ac:dyDescent="0.3">
      <c r="A1297" s="15" t="str">
        <f t="shared" si="43"/>
        <v>.</v>
      </c>
      <c r="E1297" s="13" t="str">
        <f>IFERROR(IF(AND(B1297&lt;&gt;"",C1297&lt;&gt;""),SUMIFS(Movimentos!$F$4:$F$9996,Movimentos!$D$4:$D$9996,B1297,Movimentos!$C$4:$C$9996,"Entrada")-SUMIFS(Movimentos!$F$4:$F$9996,Movimentos!$D$4:$D$9996,B1297,Movimentos!$C$4:$C$9996,"Saída"),""),"")</f>
        <v/>
      </c>
      <c r="F1297" s="10" t="str">
        <f t="shared" si="42"/>
        <v/>
      </c>
    </row>
    <row r="1298" spans="1:6" x14ac:dyDescent="0.3">
      <c r="A1298" s="15" t="str">
        <f t="shared" si="43"/>
        <v>.</v>
      </c>
      <c r="E1298" s="13" t="str">
        <f>IFERROR(IF(AND(B1298&lt;&gt;"",C1298&lt;&gt;""),SUMIFS(Movimentos!$F$4:$F$9996,Movimentos!$D$4:$D$9996,B1298,Movimentos!$C$4:$C$9996,"Entrada")-SUMIFS(Movimentos!$F$4:$F$9996,Movimentos!$D$4:$D$9996,B1298,Movimentos!$C$4:$C$9996,"Saída"),""),"")</f>
        <v/>
      </c>
      <c r="F1298" s="10" t="str">
        <f t="shared" si="42"/>
        <v/>
      </c>
    </row>
    <row r="1299" spans="1:6" x14ac:dyDescent="0.3">
      <c r="A1299" s="15" t="str">
        <f t="shared" si="43"/>
        <v>.</v>
      </c>
      <c r="E1299" s="13" t="str">
        <f>IFERROR(IF(AND(B1299&lt;&gt;"",C1299&lt;&gt;""),SUMIFS(Movimentos!$F$4:$F$9996,Movimentos!$D$4:$D$9996,B1299,Movimentos!$C$4:$C$9996,"Entrada")-SUMIFS(Movimentos!$F$4:$F$9996,Movimentos!$D$4:$D$9996,B1299,Movimentos!$C$4:$C$9996,"Saída"),""),"")</f>
        <v/>
      </c>
      <c r="F1299" s="10" t="str">
        <f t="shared" si="42"/>
        <v/>
      </c>
    </row>
    <row r="1300" spans="1:6" x14ac:dyDescent="0.3">
      <c r="A1300" s="15" t="str">
        <f t="shared" si="43"/>
        <v>.</v>
      </c>
      <c r="E1300" s="13" t="str">
        <f>IFERROR(IF(AND(B1300&lt;&gt;"",C1300&lt;&gt;""),SUMIFS(Movimentos!$F$4:$F$9996,Movimentos!$D$4:$D$9996,B1300,Movimentos!$C$4:$C$9996,"Entrada")-SUMIFS(Movimentos!$F$4:$F$9996,Movimentos!$D$4:$D$9996,B1300,Movimentos!$C$4:$C$9996,"Saída"),""),"")</f>
        <v/>
      </c>
      <c r="F1300" s="10" t="str">
        <f t="shared" si="42"/>
        <v/>
      </c>
    </row>
    <row r="1301" spans="1:6" x14ac:dyDescent="0.3">
      <c r="A1301" s="15" t="str">
        <f t="shared" si="43"/>
        <v>.</v>
      </c>
      <c r="E1301" s="13" t="str">
        <f>IFERROR(IF(AND(B1301&lt;&gt;"",C1301&lt;&gt;""),SUMIFS(Movimentos!$F$4:$F$9996,Movimentos!$D$4:$D$9996,B1301,Movimentos!$C$4:$C$9996,"Entrada")-SUMIFS(Movimentos!$F$4:$F$9996,Movimentos!$D$4:$D$9996,B1301,Movimentos!$C$4:$C$9996,"Saída"),""),"")</f>
        <v/>
      </c>
      <c r="F1301" s="10" t="str">
        <f t="shared" si="42"/>
        <v/>
      </c>
    </row>
    <row r="1302" spans="1:6" x14ac:dyDescent="0.3">
      <c r="A1302" s="15" t="str">
        <f t="shared" si="43"/>
        <v>.</v>
      </c>
      <c r="E1302" s="13" t="str">
        <f>IFERROR(IF(AND(B1302&lt;&gt;"",C1302&lt;&gt;""),SUMIFS(Movimentos!$F$4:$F$9996,Movimentos!$D$4:$D$9996,B1302,Movimentos!$C$4:$C$9996,"Entrada")-SUMIFS(Movimentos!$F$4:$F$9996,Movimentos!$D$4:$D$9996,B1302,Movimentos!$C$4:$C$9996,"Saída"),""),"")</f>
        <v/>
      </c>
      <c r="F1302" s="10" t="str">
        <f t="shared" si="42"/>
        <v/>
      </c>
    </row>
    <row r="1303" spans="1:6" x14ac:dyDescent="0.3">
      <c r="A1303" s="15" t="str">
        <f t="shared" si="43"/>
        <v>.</v>
      </c>
      <c r="E1303" s="13" t="str">
        <f>IFERROR(IF(AND(B1303&lt;&gt;"",C1303&lt;&gt;""),SUMIFS(Movimentos!$F$4:$F$9996,Movimentos!$D$4:$D$9996,B1303,Movimentos!$C$4:$C$9996,"Entrada")-SUMIFS(Movimentos!$F$4:$F$9996,Movimentos!$D$4:$D$9996,B1303,Movimentos!$C$4:$C$9996,"Saída"),""),"")</f>
        <v/>
      </c>
      <c r="F1303" s="10" t="str">
        <f t="shared" ref="F1303:F1366" si="44">IF(AND(B1303&lt;&gt;"",C1303&lt;&gt;""),IF(E1303=0,"Saldo zerado",IF(E1303&lt;D1303,"Saldo abaixo do mínimo","Saldo disponível")),"")</f>
        <v/>
      </c>
    </row>
    <row r="1304" spans="1:6" x14ac:dyDescent="0.3">
      <c r="A1304" s="15" t="str">
        <f t="shared" si="43"/>
        <v>.</v>
      </c>
      <c r="E1304" s="13" t="str">
        <f>IFERROR(IF(AND(B1304&lt;&gt;"",C1304&lt;&gt;""),SUMIFS(Movimentos!$F$4:$F$9996,Movimentos!$D$4:$D$9996,B1304,Movimentos!$C$4:$C$9996,"Entrada")-SUMIFS(Movimentos!$F$4:$F$9996,Movimentos!$D$4:$D$9996,B1304,Movimentos!$C$4:$C$9996,"Saída"),""),"")</f>
        <v/>
      </c>
      <c r="F1304" s="10" t="str">
        <f t="shared" si="44"/>
        <v/>
      </c>
    </row>
    <row r="1305" spans="1:6" x14ac:dyDescent="0.3">
      <c r="A1305" s="15" t="str">
        <f t="shared" si="43"/>
        <v>.</v>
      </c>
      <c r="E1305" s="13" t="str">
        <f>IFERROR(IF(AND(B1305&lt;&gt;"",C1305&lt;&gt;""),SUMIFS(Movimentos!$F$4:$F$9996,Movimentos!$D$4:$D$9996,B1305,Movimentos!$C$4:$C$9996,"Entrada")-SUMIFS(Movimentos!$F$4:$F$9996,Movimentos!$D$4:$D$9996,B1305,Movimentos!$C$4:$C$9996,"Saída"),""),"")</f>
        <v/>
      </c>
      <c r="F1305" s="10" t="str">
        <f t="shared" si="44"/>
        <v/>
      </c>
    </row>
    <row r="1306" spans="1:6" x14ac:dyDescent="0.3">
      <c r="A1306" s="15" t="str">
        <f t="shared" si="43"/>
        <v>.</v>
      </c>
      <c r="E1306" s="13" t="str">
        <f>IFERROR(IF(AND(B1306&lt;&gt;"",C1306&lt;&gt;""),SUMIFS(Movimentos!$F$4:$F$9996,Movimentos!$D$4:$D$9996,B1306,Movimentos!$C$4:$C$9996,"Entrada")-SUMIFS(Movimentos!$F$4:$F$9996,Movimentos!$D$4:$D$9996,B1306,Movimentos!$C$4:$C$9996,"Saída"),""),"")</f>
        <v/>
      </c>
      <c r="F1306" s="10" t="str">
        <f t="shared" si="44"/>
        <v/>
      </c>
    </row>
    <row r="1307" spans="1:6" x14ac:dyDescent="0.3">
      <c r="A1307" s="15" t="str">
        <f t="shared" si="43"/>
        <v>.</v>
      </c>
      <c r="E1307" s="13" t="str">
        <f>IFERROR(IF(AND(B1307&lt;&gt;"",C1307&lt;&gt;""),SUMIFS(Movimentos!$F$4:$F$9996,Movimentos!$D$4:$D$9996,B1307,Movimentos!$C$4:$C$9996,"Entrada")-SUMIFS(Movimentos!$F$4:$F$9996,Movimentos!$D$4:$D$9996,B1307,Movimentos!$C$4:$C$9996,"Saída"),""),"")</f>
        <v/>
      </c>
      <c r="F1307" s="10" t="str">
        <f t="shared" si="44"/>
        <v/>
      </c>
    </row>
    <row r="1308" spans="1:6" x14ac:dyDescent="0.3">
      <c r="A1308" s="15" t="str">
        <f t="shared" si="43"/>
        <v>.</v>
      </c>
      <c r="E1308" s="13" t="str">
        <f>IFERROR(IF(AND(B1308&lt;&gt;"",C1308&lt;&gt;""),SUMIFS(Movimentos!$F$4:$F$9996,Movimentos!$D$4:$D$9996,B1308,Movimentos!$C$4:$C$9996,"Entrada")-SUMIFS(Movimentos!$F$4:$F$9996,Movimentos!$D$4:$D$9996,B1308,Movimentos!$C$4:$C$9996,"Saída"),""),"")</f>
        <v/>
      </c>
      <c r="F1308" s="10" t="str">
        <f t="shared" si="44"/>
        <v/>
      </c>
    </row>
    <row r="1309" spans="1:6" x14ac:dyDescent="0.3">
      <c r="A1309" s="15" t="str">
        <f t="shared" si="43"/>
        <v>.</v>
      </c>
      <c r="E1309" s="13" t="str">
        <f>IFERROR(IF(AND(B1309&lt;&gt;"",C1309&lt;&gt;""),SUMIFS(Movimentos!$F$4:$F$9996,Movimentos!$D$4:$D$9996,B1309,Movimentos!$C$4:$C$9996,"Entrada")-SUMIFS(Movimentos!$F$4:$F$9996,Movimentos!$D$4:$D$9996,B1309,Movimentos!$C$4:$C$9996,"Saída"),""),"")</f>
        <v/>
      </c>
      <c r="F1309" s="10" t="str">
        <f t="shared" si="44"/>
        <v/>
      </c>
    </row>
    <row r="1310" spans="1:6" x14ac:dyDescent="0.3">
      <c r="A1310" s="15" t="str">
        <f t="shared" si="43"/>
        <v>.</v>
      </c>
      <c r="E1310" s="13" t="str">
        <f>IFERROR(IF(AND(B1310&lt;&gt;"",C1310&lt;&gt;""),SUMIFS(Movimentos!$F$4:$F$9996,Movimentos!$D$4:$D$9996,B1310,Movimentos!$C$4:$C$9996,"Entrada")-SUMIFS(Movimentos!$F$4:$F$9996,Movimentos!$D$4:$D$9996,B1310,Movimentos!$C$4:$C$9996,"Saída"),""),"")</f>
        <v/>
      </c>
      <c r="F1310" s="10" t="str">
        <f t="shared" si="44"/>
        <v/>
      </c>
    </row>
    <row r="1311" spans="1:6" x14ac:dyDescent="0.3">
      <c r="A1311" s="15" t="str">
        <f t="shared" si="43"/>
        <v>.</v>
      </c>
      <c r="E1311" s="13" t="str">
        <f>IFERROR(IF(AND(B1311&lt;&gt;"",C1311&lt;&gt;""),SUMIFS(Movimentos!$F$4:$F$9996,Movimentos!$D$4:$D$9996,B1311,Movimentos!$C$4:$C$9996,"Entrada")-SUMIFS(Movimentos!$F$4:$F$9996,Movimentos!$D$4:$D$9996,B1311,Movimentos!$C$4:$C$9996,"Saída"),""),"")</f>
        <v/>
      </c>
      <c r="F1311" s="10" t="str">
        <f t="shared" si="44"/>
        <v/>
      </c>
    </row>
    <row r="1312" spans="1:6" x14ac:dyDescent="0.3">
      <c r="A1312" s="15" t="str">
        <f t="shared" si="43"/>
        <v>.</v>
      </c>
      <c r="E1312" s="13" t="str">
        <f>IFERROR(IF(AND(B1312&lt;&gt;"",C1312&lt;&gt;""),SUMIFS(Movimentos!$F$4:$F$9996,Movimentos!$D$4:$D$9996,B1312,Movimentos!$C$4:$C$9996,"Entrada")-SUMIFS(Movimentos!$F$4:$F$9996,Movimentos!$D$4:$D$9996,B1312,Movimentos!$C$4:$C$9996,"Saída"),""),"")</f>
        <v/>
      </c>
      <c r="F1312" s="10" t="str">
        <f t="shared" si="44"/>
        <v/>
      </c>
    </row>
    <row r="1313" spans="1:6" x14ac:dyDescent="0.3">
      <c r="A1313" s="15" t="str">
        <f t="shared" si="43"/>
        <v>.</v>
      </c>
      <c r="E1313" s="13" t="str">
        <f>IFERROR(IF(AND(B1313&lt;&gt;"",C1313&lt;&gt;""),SUMIFS(Movimentos!$F$4:$F$9996,Movimentos!$D$4:$D$9996,B1313,Movimentos!$C$4:$C$9996,"Entrada")-SUMIFS(Movimentos!$F$4:$F$9996,Movimentos!$D$4:$D$9996,B1313,Movimentos!$C$4:$C$9996,"Saída"),""),"")</f>
        <v/>
      </c>
      <c r="F1313" s="10" t="str">
        <f t="shared" si="44"/>
        <v/>
      </c>
    </row>
    <row r="1314" spans="1:6" x14ac:dyDescent="0.3">
      <c r="A1314" s="15" t="str">
        <f t="shared" si="43"/>
        <v>.</v>
      </c>
      <c r="E1314" s="13" t="str">
        <f>IFERROR(IF(AND(B1314&lt;&gt;"",C1314&lt;&gt;""),SUMIFS(Movimentos!$F$4:$F$9996,Movimentos!$D$4:$D$9996,B1314,Movimentos!$C$4:$C$9996,"Entrada")-SUMIFS(Movimentos!$F$4:$F$9996,Movimentos!$D$4:$D$9996,B1314,Movimentos!$C$4:$C$9996,"Saída"),""),"")</f>
        <v/>
      </c>
      <c r="F1314" s="10" t="str">
        <f t="shared" si="44"/>
        <v/>
      </c>
    </row>
    <row r="1315" spans="1:6" x14ac:dyDescent="0.3">
      <c r="A1315" s="15" t="str">
        <f t="shared" si="43"/>
        <v>.</v>
      </c>
      <c r="E1315" s="13" t="str">
        <f>IFERROR(IF(AND(B1315&lt;&gt;"",C1315&lt;&gt;""),SUMIFS(Movimentos!$F$4:$F$9996,Movimentos!$D$4:$D$9996,B1315,Movimentos!$C$4:$C$9996,"Entrada")-SUMIFS(Movimentos!$F$4:$F$9996,Movimentos!$D$4:$D$9996,B1315,Movimentos!$C$4:$C$9996,"Saída"),""),"")</f>
        <v/>
      </c>
      <c r="F1315" s="10" t="str">
        <f t="shared" si="44"/>
        <v/>
      </c>
    </row>
    <row r="1316" spans="1:6" x14ac:dyDescent="0.3">
      <c r="A1316" s="15" t="str">
        <f t="shared" si="43"/>
        <v>.</v>
      </c>
      <c r="E1316" s="13" t="str">
        <f>IFERROR(IF(AND(B1316&lt;&gt;"",C1316&lt;&gt;""),SUMIFS(Movimentos!$F$4:$F$9996,Movimentos!$D$4:$D$9996,B1316,Movimentos!$C$4:$C$9996,"Entrada")-SUMIFS(Movimentos!$F$4:$F$9996,Movimentos!$D$4:$D$9996,B1316,Movimentos!$C$4:$C$9996,"Saída"),""),"")</f>
        <v/>
      </c>
      <c r="F1316" s="10" t="str">
        <f t="shared" si="44"/>
        <v/>
      </c>
    </row>
    <row r="1317" spans="1:6" x14ac:dyDescent="0.3">
      <c r="A1317" s="15" t="str">
        <f t="shared" si="43"/>
        <v>.</v>
      </c>
      <c r="E1317" s="13" t="str">
        <f>IFERROR(IF(AND(B1317&lt;&gt;"",C1317&lt;&gt;""),SUMIFS(Movimentos!$F$4:$F$9996,Movimentos!$D$4:$D$9996,B1317,Movimentos!$C$4:$C$9996,"Entrada")-SUMIFS(Movimentos!$F$4:$F$9996,Movimentos!$D$4:$D$9996,B1317,Movimentos!$C$4:$C$9996,"Saída"),""),"")</f>
        <v/>
      </c>
      <c r="F1317" s="10" t="str">
        <f t="shared" si="44"/>
        <v/>
      </c>
    </row>
    <row r="1318" spans="1:6" x14ac:dyDescent="0.3">
      <c r="A1318" s="15" t="str">
        <f t="shared" si="43"/>
        <v>.</v>
      </c>
      <c r="E1318" s="13" t="str">
        <f>IFERROR(IF(AND(B1318&lt;&gt;"",C1318&lt;&gt;""),SUMIFS(Movimentos!$F$4:$F$9996,Movimentos!$D$4:$D$9996,B1318,Movimentos!$C$4:$C$9996,"Entrada")-SUMIFS(Movimentos!$F$4:$F$9996,Movimentos!$D$4:$D$9996,B1318,Movimentos!$C$4:$C$9996,"Saída"),""),"")</f>
        <v/>
      </c>
      <c r="F1318" s="10" t="str">
        <f t="shared" si="44"/>
        <v/>
      </c>
    </row>
    <row r="1319" spans="1:6" x14ac:dyDescent="0.3">
      <c r="A1319" s="15" t="str">
        <f t="shared" si="43"/>
        <v>.</v>
      </c>
      <c r="E1319" s="13" t="str">
        <f>IFERROR(IF(AND(B1319&lt;&gt;"",C1319&lt;&gt;""),SUMIFS(Movimentos!$F$4:$F$9996,Movimentos!$D$4:$D$9996,B1319,Movimentos!$C$4:$C$9996,"Entrada")-SUMIFS(Movimentos!$F$4:$F$9996,Movimentos!$D$4:$D$9996,B1319,Movimentos!$C$4:$C$9996,"Saída"),""),"")</f>
        <v/>
      </c>
      <c r="F1319" s="10" t="str">
        <f t="shared" si="44"/>
        <v/>
      </c>
    </row>
    <row r="1320" spans="1:6" x14ac:dyDescent="0.3">
      <c r="A1320" s="15" t="str">
        <f t="shared" si="43"/>
        <v>.</v>
      </c>
      <c r="E1320" s="13" t="str">
        <f>IFERROR(IF(AND(B1320&lt;&gt;"",C1320&lt;&gt;""),SUMIFS(Movimentos!$F$4:$F$9996,Movimentos!$D$4:$D$9996,B1320,Movimentos!$C$4:$C$9996,"Entrada")-SUMIFS(Movimentos!$F$4:$F$9996,Movimentos!$D$4:$D$9996,B1320,Movimentos!$C$4:$C$9996,"Saída"),""),"")</f>
        <v/>
      </c>
      <c r="F1320" s="10" t="str">
        <f t="shared" si="44"/>
        <v/>
      </c>
    </row>
    <row r="1321" spans="1:6" x14ac:dyDescent="0.3">
      <c r="A1321" s="15" t="str">
        <f t="shared" si="43"/>
        <v>.</v>
      </c>
      <c r="E1321" s="13" t="str">
        <f>IFERROR(IF(AND(B1321&lt;&gt;"",C1321&lt;&gt;""),SUMIFS(Movimentos!$F$4:$F$9996,Movimentos!$D$4:$D$9996,B1321,Movimentos!$C$4:$C$9996,"Entrada")-SUMIFS(Movimentos!$F$4:$F$9996,Movimentos!$D$4:$D$9996,B1321,Movimentos!$C$4:$C$9996,"Saída"),""),"")</f>
        <v/>
      </c>
      <c r="F1321" s="10" t="str">
        <f t="shared" si="44"/>
        <v/>
      </c>
    </row>
    <row r="1322" spans="1:6" x14ac:dyDescent="0.3">
      <c r="A1322" s="15" t="str">
        <f t="shared" si="43"/>
        <v>.</v>
      </c>
      <c r="E1322" s="13" t="str">
        <f>IFERROR(IF(AND(B1322&lt;&gt;"",C1322&lt;&gt;""),SUMIFS(Movimentos!$F$4:$F$9996,Movimentos!$D$4:$D$9996,B1322,Movimentos!$C$4:$C$9996,"Entrada")-SUMIFS(Movimentos!$F$4:$F$9996,Movimentos!$D$4:$D$9996,B1322,Movimentos!$C$4:$C$9996,"Saída"),""),"")</f>
        <v/>
      </c>
      <c r="F1322" s="10" t="str">
        <f t="shared" si="44"/>
        <v/>
      </c>
    </row>
    <row r="1323" spans="1:6" x14ac:dyDescent="0.3">
      <c r="A1323" s="15" t="str">
        <f t="shared" si="43"/>
        <v>.</v>
      </c>
      <c r="E1323" s="13" t="str">
        <f>IFERROR(IF(AND(B1323&lt;&gt;"",C1323&lt;&gt;""),SUMIFS(Movimentos!$F$4:$F$9996,Movimentos!$D$4:$D$9996,B1323,Movimentos!$C$4:$C$9996,"Entrada")-SUMIFS(Movimentos!$F$4:$F$9996,Movimentos!$D$4:$D$9996,B1323,Movimentos!$C$4:$C$9996,"Saída"),""),"")</f>
        <v/>
      </c>
      <c r="F1323" s="10" t="str">
        <f t="shared" si="44"/>
        <v/>
      </c>
    </row>
    <row r="1324" spans="1:6" x14ac:dyDescent="0.3">
      <c r="A1324" s="15" t="str">
        <f t="shared" si="43"/>
        <v>.</v>
      </c>
      <c r="E1324" s="13" t="str">
        <f>IFERROR(IF(AND(B1324&lt;&gt;"",C1324&lt;&gt;""),SUMIFS(Movimentos!$F$4:$F$9996,Movimentos!$D$4:$D$9996,B1324,Movimentos!$C$4:$C$9996,"Entrada")-SUMIFS(Movimentos!$F$4:$F$9996,Movimentos!$D$4:$D$9996,B1324,Movimentos!$C$4:$C$9996,"Saída"),""),"")</f>
        <v/>
      </c>
      <c r="F1324" s="10" t="str">
        <f t="shared" si="44"/>
        <v/>
      </c>
    </row>
    <row r="1325" spans="1:6" x14ac:dyDescent="0.3">
      <c r="A1325" s="15" t="str">
        <f t="shared" si="43"/>
        <v>.</v>
      </c>
      <c r="E1325" s="13" t="str">
        <f>IFERROR(IF(AND(B1325&lt;&gt;"",C1325&lt;&gt;""),SUMIFS(Movimentos!$F$4:$F$9996,Movimentos!$D$4:$D$9996,B1325,Movimentos!$C$4:$C$9996,"Entrada")-SUMIFS(Movimentos!$F$4:$F$9996,Movimentos!$D$4:$D$9996,B1325,Movimentos!$C$4:$C$9996,"Saída"),""),"")</f>
        <v/>
      </c>
      <c r="F1325" s="10" t="str">
        <f t="shared" si="44"/>
        <v/>
      </c>
    </row>
    <row r="1326" spans="1:6" x14ac:dyDescent="0.3">
      <c r="A1326" s="15" t="str">
        <f t="shared" si="43"/>
        <v>.</v>
      </c>
      <c r="E1326" s="13" t="str">
        <f>IFERROR(IF(AND(B1326&lt;&gt;"",C1326&lt;&gt;""),SUMIFS(Movimentos!$F$4:$F$9996,Movimentos!$D$4:$D$9996,B1326,Movimentos!$C$4:$C$9996,"Entrada")-SUMIFS(Movimentos!$F$4:$F$9996,Movimentos!$D$4:$D$9996,B1326,Movimentos!$C$4:$C$9996,"Saída"),""),"")</f>
        <v/>
      </c>
      <c r="F1326" s="10" t="str">
        <f t="shared" si="44"/>
        <v/>
      </c>
    </row>
    <row r="1327" spans="1:6" x14ac:dyDescent="0.3">
      <c r="A1327" s="15" t="str">
        <f t="shared" si="43"/>
        <v>.</v>
      </c>
      <c r="E1327" s="13" t="str">
        <f>IFERROR(IF(AND(B1327&lt;&gt;"",C1327&lt;&gt;""),SUMIFS(Movimentos!$F$4:$F$9996,Movimentos!$D$4:$D$9996,B1327,Movimentos!$C$4:$C$9996,"Entrada")-SUMIFS(Movimentos!$F$4:$F$9996,Movimentos!$D$4:$D$9996,B1327,Movimentos!$C$4:$C$9996,"Saída"),""),"")</f>
        <v/>
      </c>
      <c r="F1327" s="10" t="str">
        <f t="shared" si="44"/>
        <v/>
      </c>
    </row>
    <row r="1328" spans="1:6" x14ac:dyDescent="0.3">
      <c r="A1328" s="15" t="str">
        <f t="shared" si="43"/>
        <v>.</v>
      </c>
      <c r="E1328" s="13" t="str">
        <f>IFERROR(IF(AND(B1328&lt;&gt;"",C1328&lt;&gt;""),SUMIFS(Movimentos!$F$4:$F$9996,Movimentos!$D$4:$D$9996,B1328,Movimentos!$C$4:$C$9996,"Entrada")-SUMIFS(Movimentos!$F$4:$F$9996,Movimentos!$D$4:$D$9996,B1328,Movimentos!$C$4:$C$9996,"Saída"),""),"")</f>
        <v/>
      </c>
      <c r="F1328" s="10" t="str">
        <f t="shared" si="44"/>
        <v/>
      </c>
    </row>
    <row r="1329" spans="1:6" x14ac:dyDescent="0.3">
      <c r="A1329" s="15" t="str">
        <f t="shared" si="43"/>
        <v>.</v>
      </c>
      <c r="E1329" s="13" t="str">
        <f>IFERROR(IF(AND(B1329&lt;&gt;"",C1329&lt;&gt;""),SUMIFS(Movimentos!$F$4:$F$9996,Movimentos!$D$4:$D$9996,B1329,Movimentos!$C$4:$C$9996,"Entrada")-SUMIFS(Movimentos!$F$4:$F$9996,Movimentos!$D$4:$D$9996,B1329,Movimentos!$C$4:$C$9996,"Saída"),""),"")</f>
        <v/>
      </c>
      <c r="F1329" s="10" t="str">
        <f t="shared" si="44"/>
        <v/>
      </c>
    </row>
    <row r="1330" spans="1:6" x14ac:dyDescent="0.3">
      <c r="A1330" s="15" t="str">
        <f t="shared" si="43"/>
        <v>.</v>
      </c>
      <c r="E1330" s="13" t="str">
        <f>IFERROR(IF(AND(B1330&lt;&gt;"",C1330&lt;&gt;""),SUMIFS(Movimentos!$F$4:$F$9996,Movimentos!$D$4:$D$9996,B1330,Movimentos!$C$4:$C$9996,"Entrada")-SUMIFS(Movimentos!$F$4:$F$9996,Movimentos!$D$4:$D$9996,B1330,Movimentos!$C$4:$C$9996,"Saída"),""),"")</f>
        <v/>
      </c>
      <c r="F1330" s="10" t="str">
        <f t="shared" si="44"/>
        <v/>
      </c>
    </row>
    <row r="1331" spans="1:6" x14ac:dyDescent="0.3">
      <c r="A1331" s="15" t="str">
        <f t="shared" si="43"/>
        <v>.</v>
      </c>
      <c r="E1331" s="13" t="str">
        <f>IFERROR(IF(AND(B1331&lt;&gt;"",C1331&lt;&gt;""),SUMIFS(Movimentos!$F$4:$F$9996,Movimentos!$D$4:$D$9996,B1331,Movimentos!$C$4:$C$9996,"Entrada")-SUMIFS(Movimentos!$F$4:$F$9996,Movimentos!$D$4:$D$9996,B1331,Movimentos!$C$4:$C$9996,"Saída"),""),"")</f>
        <v/>
      </c>
      <c r="F1331" s="10" t="str">
        <f t="shared" si="44"/>
        <v/>
      </c>
    </row>
    <row r="1332" spans="1:6" x14ac:dyDescent="0.3">
      <c r="A1332" s="15" t="str">
        <f t="shared" si="43"/>
        <v>.</v>
      </c>
      <c r="E1332" s="13" t="str">
        <f>IFERROR(IF(AND(B1332&lt;&gt;"",C1332&lt;&gt;""),SUMIFS(Movimentos!$F$4:$F$9996,Movimentos!$D$4:$D$9996,B1332,Movimentos!$C$4:$C$9996,"Entrada")-SUMIFS(Movimentos!$F$4:$F$9996,Movimentos!$D$4:$D$9996,B1332,Movimentos!$C$4:$C$9996,"Saída"),""),"")</f>
        <v/>
      </c>
      <c r="F1332" s="10" t="str">
        <f t="shared" si="44"/>
        <v/>
      </c>
    </row>
    <row r="1333" spans="1:6" x14ac:dyDescent="0.3">
      <c r="A1333" s="15" t="str">
        <f t="shared" si="43"/>
        <v>.</v>
      </c>
      <c r="E1333" s="13" t="str">
        <f>IFERROR(IF(AND(B1333&lt;&gt;"",C1333&lt;&gt;""),SUMIFS(Movimentos!$F$4:$F$9996,Movimentos!$D$4:$D$9996,B1333,Movimentos!$C$4:$C$9996,"Entrada")-SUMIFS(Movimentos!$F$4:$F$9996,Movimentos!$D$4:$D$9996,B1333,Movimentos!$C$4:$C$9996,"Saída"),""),"")</f>
        <v/>
      </c>
      <c r="F1333" s="10" t="str">
        <f t="shared" si="44"/>
        <v/>
      </c>
    </row>
    <row r="1334" spans="1:6" x14ac:dyDescent="0.3">
      <c r="A1334" s="15" t="str">
        <f t="shared" si="43"/>
        <v>.</v>
      </c>
      <c r="E1334" s="13" t="str">
        <f>IFERROR(IF(AND(B1334&lt;&gt;"",C1334&lt;&gt;""),SUMIFS(Movimentos!$F$4:$F$9996,Movimentos!$D$4:$D$9996,B1334,Movimentos!$C$4:$C$9996,"Entrada")-SUMIFS(Movimentos!$F$4:$F$9996,Movimentos!$D$4:$D$9996,B1334,Movimentos!$C$4:$C$9996,"Saída"),""),"")</f>
        <v/>
      </c>
      <c r="F1334" s="10" t="str">
        <f t="shared" si="44"/>
        <v/>
      </c>
    </row>
    <row r="1335" spans="1:6" x14ac:dyDescent="0.3">
      <c r="A1335" s="15" t="str">
        <f t="shared" si="43"/>
        <v>.</v>
      </c>
      <c r="E1335" s="13" t="str">
        <f>IFERROR(IF(AND(B1335&lt;&gt;"",C1335&lt;&gt;""),SUMIFS(Movimentos!$F$4:$F$9996,Movimentos!$D$4:$D$9996,B1335,Movimentos!$C$4:$C$9996,"Entrada")-SUMIFS(Movimentos!$F$4:$F$9996,Movimentos!$D$4:$D$9996,B1335,Movimentos!$C$4:$C$9996,"Saída"),""),"")</f>
        <v/>
      </c>
      <c r="F1335" s="10" t="str">
        <f t="shared" si="44"/>
        <v/>
      </c>
    </row>
    <row r="1336" spans="1:6" x14ac:dyDescent="0.3">
      <c r="A1336" s="15" t="str">
        <f t="shared" si="43"/>
        <v>.</v>
      </c>
      <c r="E1336" s="13" t="str">
        <f>IFERROR(IF(AND(B1336&lt;&gt;"",C1336&lt;&gt;""),SUMIFS(Movimentos!$F$4:$F$9996,Movimentos!$D$4:$D$9996,B1336,Movimentos!$C$4:$C$9996,"Entrada")-SUMIFS(Movimentos!$F$4:$F$9996,Movimentos!$D$4:$D$9996,B1336,Movimentos!$C$4:$C$9996,"Saída"),""),"")</f>
        <v/>
      </c>
      <c r="F1336" s="10" t="str">
        <f t="shared" si="44"/>
        <v/>
      </c>
    </row>
    <row r="1337" spans="1:6" x14ac:dyDescent="0.3">
      <c r="A1337" s="15" t="str">
        <f t="shared" si="43"/>
        <v>.</v>
      </c>
      <c r="E1337" s="13" t="str">
        <f>IFERROR(IF(AND(B1337&lt;&gt;"",C1337&lt;&gt;""),SUMIFS(Movimentos!$F$4:$F$9996,Movimentos!$D$4:$D$9996,B1337,Movimentos!$C$4:$C$9996,"Entrada")-SUMIFS(Movimentos!$F$4:$F$9996,Movimentos!$D$4:$D$9996,B1337,Movimentos!$C$4:$C$9996,"Saída"),""),"")</f>
        <v/>
      </c>
      <c r="F1337" s="10" t="str">
        <f t="shared" si="44"/>
        <v/>
      </c>
    </row>
    <row r="1338" spans="1:6" x14ac:dyDescent="0.3">
      <c r="A1338" s="15" t="str">
        <f t="shared" si="43"/>
        <v>.</v>
      </c>
      <c r="E1338" s="13" t="str">
        <f>IFERROR(IF(AND(B1338&lt;&gt;"",C1338&lt;&gt;""),SUMIFS(Movimentos!$F$4:$F$9996,Movimentos!$D$4:$D$9996,B1338,Movimentos!$C$4:$C$9996,"Entrada")-SUMIFS(Movimentos!$F$4:$F$9996,Movimentos!$D$4:$D$9996,B1338,Movimentos!$C$4:$C$9996,"Saída"),""),"")</f>
        <v/>
      </c>
      <c r="F1338" s="10" t="str">
        <f t="shared" si="44"/>
        <v/>
      </c>
    </row>
    <row r="1339" spans="1:6" x14ac:dyDescent="0.3">
      <c r="A1339" s="15" t="str">
        <f t="shared" si="43"/>
        <v>.</v>
      </c>
      <c r="E1339" s="13" t="str">
        <f>IFERROR(IF(AND(B1339&lt;&gt;"",C1339&lt;&gt;""),SUMIFS(Movimentos!$F$4:$F$9996,Movimentos!$D$4:$D$9996,B1339,Movimentos!$C$4:$C$9996,"Entrada")-SUMIFS(Movimentos!$F$4:$F$9996,Movimentos!$D$4:$D$9996,B1339,Movimentos!$C$4:$C$9996,"Saída"),""),"")</f>
        <v/>
      </c>
      <c r="F1339" s="10" t="str">
        <f t="shared" si="44"/>
        <v/>
      </c>
    </row>
    <row r="1340" spans="1:6" x14ac:dyDescent="0.3">
      <c r="A1340" s="15" t="str">
        <f t="shared" si="43"/>
        <v>.</v>
      </c>
      <c r="E1340" s="13" t="str">
        <f>IFERROR(IF(AND(B1340&lt;&gt;"",C1340&lt;&gt;""),SUMIFS(Movimentos!$F$4:$F$9996,Movimentos!$D$4:$D$9996,B1340,Movimentos!$C$4:$C$9996,"Entrada")-SUMIFS(Movimentos!$F$4:$F$9996,Movimentos!$D$4:$D$9996,B1340,Movimentos!$C$4:$C$9996,"Saída"),""),"")</f>
        <v/>
      </c>
      <c r="F1340" s="10" t="str">
        <f t="shared" si="44"/>
        <v/>
      </c>
    </row>
    <row r="1341" spans="1:6" x14ac:dyDescent="0.3">
      <c r="A1341" s="15" t="str">
        <f t="shared" si="43"/>
        <v>.</v>
      </c>
      <c r="E1341" s="13" t="str">
        <f>IFERROR(IF(AND(B1341&lt;&gt;"",C1341&lt;&gt;""),SUMIFS(Movimentos!$F$4:$F$9996,Movimentos!$D$4:$D$9996,B1341,Movimentos!$C$4:$C$9996,"Entrada")-SUMIFS(Movimentos!$F$4:$F$9996,Movimentos!$D$4:$D$9996,B1341,Movimentos!$C$4:$C$9996,"Saída"),""),"")</f>
        <v/>
      </c>
      <c r="F1341" s="10" t="str">
        <f t="shared" si="44"/>
        <v/>
      </c>
    </row>
    <row r="1342" spans="1:6" x14ac:dyDescent="0.3">
      <c r="A1342" s="15" t="str">
        <f t="shared" si="43"/>
        <v>.</v>
      </c>
      <c r="E1342" s="13" t="str">
        <f>IFERROR(IF(AND(B1342&lt;&gt;"",C1342&lt;&gt;""),SUMIFS(Movimentos!$F$4:$F$9996,Movimentos!$D$4:$D$9996,B1342,Movimentos!$C$4:$C$9996,"Entrada")-SUMIFS(Movimentos!$F$4:$F$9996,Movimentos!$D$4:$D$9996,B1342,Movimentos!$C$4:$C$9996,"Saída"),""),"")</f>
        <v/>
      </c>
      <c r="F1342" s="10" t="str">
        <f t="shared" si="44"/>
        <v/>
      </c>
    </row>
    <row r="1343" spans="1:6" x14ac:dyDescent="0.3">
      <c r="A1343" s="15" t="str">
        <f t="shared" si="43"/>
        <v>.</v>
      </c>
      <c r="E1343" s="13" t="str">
        <f>IFERROR(IF(AND(B1343&lt;&gt;"",C1343&lt;&gt;""),SUMIFS(Movimentos!$F$4:$F$9996,Movimentos!$D$4:$D$9996,B1343,Movimentos!$C$4:$C$9996,"Entrada")-SUMIFS(Movimentos!$F$4:$F$9996,Movimentos!$D$4:$D$9996,B1343,Movimentos!$C$4:$C$9996,"Saída"),""),"")</f>
        <v/>
      </c>
      <c r="F1343" s="10" t="str">
        <f t="shared" si="44"/>
        <v/>
      </c>
    </row>
    <row r="1344" spans="1:6" x14ac:dyDescent="0.3">
      <c r="A1344" s="15" t="str">
        <f t="shared" ref="A1344:A1407" si="45">IF(F1344="Saldo zerado",0,IF(F1344="Saldo abaixo do mínimo",1,IF(F1344="Saldo disponível",2,".")))</f>
        <v>.</v>
      </c>
      <c r="E1344" s="13" t="str">
        <f>IFERROR(IF(AND(B1344&lt;&gt;"",C1344&lt;&gt;""),SUMIFS(Movimentos!$F$4:$F$9996,Movimentos!$D$4:$D$9996,B1344,Movimentos!$C$4:$C$9996,"Entrada")-SUMIFS(Movimentos!$F$4:$F$9996,Movimentos!$D$4:$D$9996,B1344,Movimentos!$C$4:$C$9996,"Saída"),""),"")</f>
        <v/>
      </c>
      <c r="F1344" s="10" t="str">
        <f t="shared" si="44"/>
        <v/>
      </c>
    </row>
    <row r="1345" spans="1:6" x14ac:dyDescent="0.3">
      <c r="A1345" s="15" t="str">
        <f t="shared" si="45"/>
        <v>.</v>
      </c>
      <c r="E1345" s="13" t="str">
        <f>IFERROR(IF(AND(B1345&lt;&gt;"",C1345&lt;&gt;""),SUMIFS(Movimentos!$F$4:$F$9996,Movimentos!$D$4:$D$9996,B1345,Movimentos!$C$4:$C$9996,"Entrada")-SUMIFS(Movimentos!$F$4:$F$9996,Movimentos!$D$4:$D$9996,B1345,Movimentos!$C$4:$C$9996,"Saída"),""),"")</f>
        <v/>
      </c>
      <c r="F1345" s="10" t="str">
        <f t="shared" si="44"/>
        <v/>
      </c>
    </row>
    <row r="1346" spans="1:6" x14ac:dyDescent="0.3">
      <c r="A1346" s="15" t="str">
        <f t="shared" si="45"/>
        <v>.</v>
      </c>
      <c r="E1346" s="13" t="str">
        <f>IFERROR(IF(AND(B1346&lt;&gt;"",C1346&lt;&gt;""),SUMIFS(Movimentos!$F$4:$F$9996,Movimentos!$D$4:$D$9996,B1346,Movimentos!$C$4:$C$9996,"Entrada")-SUMIFS(Movimentos!$F$4:$F$9996,Movimentos!$D$4:$D$9996,B1346,Movimentos!$C$4:$C$9996,"Saída"),""),"")</f>
        <v/>
      </c>
      <c r="F1346" s="10" t="str">
        <f t="shared" si="44"/>
        <v/>
      </c>
    </row>
    <row r="1347" spans="1:6" x14ac:dyDescent="0.3">
      <c r="A1347" s="15" t="str">
        <f t="shared" si="45"/>
        <v>.</v>
      </c>
      <c r="E1347" s="13" t="str">
        <f>IFERROR(IF(AND(B1347&lt;&gt;"",C1347&lt;&gt;""),SUMIFS(Movimentos!$F$4:$F$9996,Movimentos!$D$4:$D$9996,B1347,Movimentos!$C$4:$C$9996,"Entrada")-SUMIFS(Movimentos!$F$4:$F$9996,Movimentos!$D$4:$D$9996,B1347,Movimentos!$C$4:$C$9996,"Saída"),""),"")</f>
        <v/>
      </c>
      <c r="F1347" s="10" t="str">
        <f t="shared" si="44"/>
        <v/>
      </c>
    </row>
    <row r="1348" spans="1:6" x14ac:dyDescent="0.3">
      <c r="A1348" s="15" t="str">
        <f t="shared" si="45"/>
        <v>.</v>
      </c>
      <c r="E1348" s="13" t="str">
        <f>IFERROR(IF(AND(B1348&lt;&gt;"",C1348&lt;&gt;""),SUMIFS(Movimentos!$F$4:$F$9996,Movimentos!$D$4:$D$9996,B1348,Movimentos!$C$4:$C$9996,"Entrada")-SUMIFS(Movimentos!$F$4:$F$9996,Movimentos!$D$4:$D$9996,B1348,Movimentos!$C$4:$C$9996,"Saída"),""),"")</f>
        <v/>
      </c>
      <c r="F1348" s="10" t="str">
        <f t="shared" si="44"/>
        <v/>
      </c>
    </row>
    <row r="1349" spans="1:6" x14ac:dyDescent="0.3">
      <c r="A1349" s="15" t="str">
        <f t="shared" si="45"/>
        <v>.</v>
      </c>
      <c r="E1349" s="13" t="str">
        <f>IFERROR(IF(AND(B1349&lt;&gt;"",C1349&lt;&gt;""),SUMIFS(Movimentos!$F$4:$F$9996,Movimentos!$D$4:$D$9996,B1349,Movimentos!$C$4:$C$9996,"Entrada")-SUMIFS(Movimentos!$F$4:$F$9996,Movimentos!$D$4:$D$9996,B1349,Movimentos!$C$4:$C$9996,"Saída"),""),"")</f>
        <v/>
      </c>
      <c r="F1349" s="10" t="str">
        <f t="shared" si="44"/>
        <v/>
      </c>
    </row>
    <row r="1350" spans="1:6" x14ac:dyDescent="0.3">
      <c r="A1350" s="15" t="str">
        <f t="shared" si="45"/>
        <v>.</v>
      </c>
      <c r="E1350" s="13" t="str">
        <f>IFERROR(IF(AND(B1350&lt;&gt;"",C1350&lt;&gt;""),SUMIFS(Movimentos!$F$4:$F$9996,Movimentos!$D$4:$D$9996,B1350,Movimentos!$C$4:$C$9996,"Entrada")-SUMIFS(Movimentos!$F$4:$F$9996,Movimentos!$D$4:$D$9996,B1350,Movimentos!$C$4:$C$9996,"Saída"),""),"")</f>
        <v/>
      </c>
      <c r="F1350" s="10" t="str">
        <f t="shared" si="44"/>
        <v/>
      </c>
    </row>
    <row r="1351" spans="1:6" x14ac:dyDescent="0.3">
      <c r="A1351" s="15" t="str">
        <f t="shared" si="45"/>
        <v>.</v>
      </c>
      <c r="E1351" s="13" t="str">
        <f>IFERROR(IF(AND(B1351&lt;&gt;"",C1351&lt;&gt;""),SUMIFS(Movimentos!$F$4:$F$9996,Movimentos!$D$4:$D$9996,B1351,Movimentos!$C$4:$C$9996,"Entrada")-SUMIFS(Movimentos!$F$4:$F$9996,Movimentos!$D$4:$D$9996,B1351,Movimentos!$C$4:$C$9996,"Saída"),""),"")</f>
        <v/>
      </c>
      <c r="F1351" s="10" t="str">
        <f t="shared" si="44"/>
        <v/>
      </c>
    </row>
    <row r="1352" spans="1:6" x14ac:dyDescent="0.3">
      <c r="A1352" s="15" t="str">
        <f t="shared" si="45"/>
        <v>.</v>
      </c>
      <c r="E1352" s="13" t="str">
        <f>IFERROR(IF(AND(B1352&lt;&gt;"",C1352&lt;&gt;""),SUMIFS(Movimentos!$F$4:$F$9996,Movimentos!$D$4:$D$9996,B1352,Movimentos!$C$4:$C$9996,"Entrada")-SUMIFS(Movimentos!$F$4:$F$9996,Movimentos!$D$4:$D$9996,B1352,Movimentos!$C$4:$C$9996,"Saída"),""),"")</f>
        <v/>
      </c>
      <c r="F1352" s="10" t="str">
        <f t="shared" si="44"/>
        <v/>
      </c>
    </row>
    <row r="1353" spans="1:6" x14ac:dyDescent="0.3">
      <c r="A1353" s="15" t="str">
        <f t="shared" si="45"/>
        <v>.</v>
      </c>
      <c r="E1353" s="13" t="str">
        <f>IFERROR(IF(AND(B1353&lt;&gt;"",C1353&lt;&gt;""),SUMIFS(Movimentos!$F$4:$F$9996,Movimentos!$D$4:$D$9996,B1353,Movimentos!$C$4:$C$9996,"Entrada")-SUMIFS(Movimentos!$F$4:$F$9996,Movimentos!$D$4:$D$9996,B1353,Movimentos!$C$4:$C$9996,"Saída"),""),"")</f>
        <v/>
      </c>
      <c r="F1353" s="10" t="str">
        <f t="shared" si="44"/>
        <v/>
      </c>
    </row>
    <row r="1354" spans="1:6" x14ac:dyDescent="0.3">
      <c r="A1354" s="15" t="str">
        <f t="shared" si="45"/>
        <v>.</v>
      </c>
      <c r="E1354" s="13" t="str">
        <f>IFERROR(IF(AND(B1354&lt;&gt;"",C1354&lt;&gt;""),SUMIFS(Movimentos!$F$4:$F$9996,Movimentos!$D$4:$D$9996,B1354,Movimentos!$C$4:$C$9996,"Entrada")-SUMIFS(Movimentos!$F$4:$F$9996,Movimentos!$D$4:$D$9996,B1354,Movimentos!$C$4:$C$9996,"Saída"),""),"")</f>
        <v/>
      </c>
      <c r="F1354" s="10" t="str">
        <f t="shared" si="44"/>
        <v/>
      </c>
    </row>
    <row r="1355" spans="1:6" x14ac:dyDescent="0.3">
      <c r="A1355" s="15" t="str">
        <f t="shared" si="45"/>
        <v>.</v>
      </c>
      <c r="E1355" s="13" t="str">
        <f>IFERROR(IF(AND(B1355&lt;&gt;"",C1355&lt;&gt;""),SUMIFS(Movimentos!$F$4:$F$9996,Movimentos!$D$4:$D$9996,B1355,Movimentos!$C$4:$C$9996,"Entrada")-SUMIFS(Movimentos!$F$4:$F$9996,Movimentos!$D$4:$D$9996,B1355,Movimentos!$C$4:$C$9996,"Saída"),""),"")</f>
        <v/>
      </c>
      <c r="F1355" s="10" t="str">
        <f t="shared" si="44"/>
        <v/>
      </c>
    </row>
    <row r="1356" spans="1:6" x14ac:dyDescent="0.3">
      <c r="A1356" s="15" t="str">
        <f t="shared" si="45"/>
        <v>.</v>
      </c>
      <c r="E1356" s="13" t="str">
        <f>IFERROR(IF(AND(B1356&lt;&gt;"",C1356&lt;&gt;""),SUMIFS(Movimentos!$F$4:$F$9996,Movimentos!$D$4:$D$9996,B1356,Movimentos!$C$4:$C$9996,"Entrada")-SUMIFS(Movimentos!$F$4:$F$9996,Movimentos!$D$4:$D$9996,B1356,Movimentos!$C$4:$C$9996,"Saída"),""),"")</f>
        <v/>
      </c>
      <c r="F1356" s="10" t="str">
        <f t="shared" si="44"/>
        <v/>
      </c>
    </row>
    <row r="1357" spans="1:6" x14ac:dyDescent="0.3">
      <c r="A1357" s="15" t="str">
        <f t="shared" si="45"/>
        <v>.</v>
      </c>
      <c r="E1357" s="13" t="str">
        <f>IFERROR(IF(AND(B1357&lt;&gt;"",C1357&lt;&gt;""),SUMIFS(Movimentos!$F$4:$F$9996,Movimentos!$D$4:$D$9996,B1357,Movimentos!$C$4:$C$9996,"Entrada")-SUMIFS(Movimentos!$F$4:$F$9996,Movimentos!$D$4:$D$9996,B1357,Movimentos!$C$4:$C$9996,"Saída"),""),"")</f>
        <v/>
      </c>
      <c r="F1357" s="10" t="str">
        <f t="shared" si="44"/>
        <v/>
      </c>
    </row>
    <row r="1358" spans="1:6" x14ac:dyDescent="0.3">
      <c r="A1358" s="15" t="str">
        <f t="shared" si="45"/>
        <v>.</v>
      </c>
      <c r="E1358" s="13" t="str">
        <f>IFERROR(IF(AND(B1358&lt;&gt;"",C1358&lt;&gt;""),SUMIFS(Movimentos!$F$4:$F$9996,Movimentos!$D$4:$D$9996,B1358,Movimentos!$C$4:$C$9996,"Entrada")-SUMIFS(Movimentos!$F$4:$F$9996,Movimentos!$D$4:$D$9996,B1358,Movimentos!$C$4:$C$9996,"Saída"),""),"")</f>
        <v/>
      </c>
      <c r="F1358" s="10" t="str">
        <f t="shared" si="44"/>
        <v/>
      </c>
    </row>
    <row r="1359" spans="1:6" x14ac:dyDescent="0.3">
      <c r="A1359" s="15" t="str">
        <f t="shared" si="45"/>
        <v>.</v>
      </c>
      <c r="E1359" s="13" t="str">
        <f>IFERROR(IF(AND(B1359&lt;&gt;"",C1359&lt;&gt;""),SUMIFS(Movimentos!$F$4:$F$9996,Movimentos!$D$4:$D$9996,B1359,Movimentos!$C$4:$C$9996,"Entrada")-SUMIFS(Movimentos!$F$4:$F$9996,Movimentos!$D$4:$D$9996,B1359,Movimentos!$C$4:$C$9996,"Saída"),""),"")</f>
        <v/>
      </c>
      <c r="F1359" s="10" t="str">
        <f t="shared" si="44"/>
        <v/>
      </c>
    </row>
    <row r="1360" spans="1:6" x14ac:dyDescent="0.3">
      <c r="A1360" s="15" t="str">
        <f t="shared" si="45"/>
        <v>.</v>
      </c>
      <c r="E1360" s="13" t="str">
        <f>IFERROR(IF(AND(B1360&lt;&gt;"",C1360&lt;&gt;""),SUMIFS(Movimentos!$F$4:$F$9996,Movimentos!$D$4:$D$9996,B1360,Movimentos!$C$4:$C$9996,"Entrada")-SUMIFS(Movimentos!$F$4:$F$9996,Movimentos!$D$4:$D$9996,B1360,Movimentos!$C$4:$C$9996,"Saída"),""),"")</f>
        <v/>
      </c>
      <c r="F1360" s="10" t="str">
        <f t="shared" si="44"/>
        <v/>
      </c>
    </row>
    <row r="1361" spans="1:6" x14ac:dyDescent="0.3">
      <c r="A1361" s="15" t="str">
        <f t="shared" si="45"/>
        <v>.</v>
      </c>
      <c r="E1361" s="13" t="str">
        <f>IFERROR(IF(AND(B1361&lt;&gt;"",C1361&lt;&gt;""),SUMIFS(Movimentos!$F$4:$F$9996,Movimentos!$D$4:$D$9996,B1361,Movimentos!$C$4:$C$9996,"Entrada")-SUMIFS(Movimentos!$F$4:$F$9996,Movimentos!$D$4:$D$9996,B1361,Movimentos!$C$4:$C$9996,"Saída"),""),"")</f>
        <v/>
      </c>
      <c r="F1361" s="10" t="str">
        <f t="shared" si="44"/>
        <v/>
      </c>
    </row>
    <row r="1362" spans="1:6" x14ac:dyDescent="0.3">
      <c r="A1362" s="15" t="str">
        <f t="shared" si="45"/>
        <v>.</v>
      </c>
      <c r="E1362" s="13" t="str">
        <f>IFERROR(IF(AND(B1362&lt;&gt;"",C1362&lt;&gt;""),SUMIFS(Movimentos!$F$4:$F$9996,Movimentos!$D$4:$D$9996,B1362,Movimentos!$C$4:$C$9996,"Entrada")-SUMIFS(Movimentos!$F$4:$F$9996,Movimentos!$D$4:$D$9996,B1362,Movimentos!$C$4:$C$9996,"Saída"),""),"")</f>
        <v/>
      </c>
      <c r="F1362" s="10" t="str">
        <f t="shared" si="44"/>
        <v/>
      </c>
    </row>
    <row r="1363" spans="1:6" x14ac:dyDescent="0.3">
      <c r="A1363" s="15" t="str">
        <f t="shared" si="45"/>
        <v>.</v>
      </c>
      <c r="E1363" s="13" t="str">
        <f>IFERROR(IF(AND(B1363&lt;&gt;"",C1363&lt;&gt;""),SUMIFS(Movimentos!$F$4:$F$9996,Movimentos!$D$4:$D$9996,B1363,Movimentos!$C$4:$C$9996,"Entrada")-SUMIFS(Movimentos!$F$4:$F$9996,Movimentos!$D$4:$D$9996,B1363,Movimentos!$C$4:$C$9996,"Saída"),""),"")</f>
        <v/>
      </c>
      <c r="F1363" s="10" t="str">
        <f t="shared" si="44"/>
        <v/>
      </c>
    </row>
    <row r="1364" spans="1:6" x14ac:dyDescent="0.3">
      <c r="A1364" s="15" t="str">
        <f t="shared" si="45"/>
        <v>.</v>
      </c>
      <c r="E1364" s="13" t="str">
        <f>IFERROR(IF(AND(B1364&lt;&gt;"",C1364&lt;&gt;""),SUMIFS(Movimentos!$F$4:$F$9996,Movimentos!$D$4:$D$9996,B1364,Movimentos!$C$4:$C$9996,"Entrada")-SUMIFS(Movimentos!$F$4:$F$9996,Movimentos!$D$4:$D$9996,B1364,Movimentos!$C$4:$C$9996,"Saída"),""),"")</f>
        <v/>
      </c>
      <c r="F1364" s="10" t="str">
        <f t="shared" si="44"/>
        <v/>
      </c>
    </row>
    <row r="1365" spans="1:6" x14ac:dyDescent="0.3">
      <c r="A1365" s="15" t="str">
        <f t="shared" si="45"/>
        <v>.</v>
      </c>
      <c r="E1365" s="13" t="str">
        <f>IFERROR(IF(AND(B1365&lt;&gt;"",C1365&lt;&gt;""),SUMIFS(Movimentos!$F$4:$F$9996,Movimentos!$D$4:$D$9996,B1365,Movimentos!$C$4:$C$9996,"Entrada")-SUMIFS(Movimentos!$F$4:$F$9996,Movimentos!$D$4:$D$9996,B1365,Movimentos!$C$4:$C$9996,"Saída"),""),"")</f>
        <v/>
      </c>
      <c r="F1365" s="10" t="str">
        <f t="shared" si="44"/>
        <v/>
      </c>
    </row>
    <row r="1366" spans="1:6" x14ac:dyDescent="0.3">
      <c r="A1366" s="15" t="str">
        <f t="shared" si="45"/>
        <v>.</v>
      </c>
      <c r="E1366" s="13" t="str">
        <f>IFERROR(IF(AND(B1366&lt;&gt;"",C1366&lt;&gt;""),SUMIFS(Movimentos!$F$4:$F$9996,Movimentos!$D$4:$D$9996,B1366,Movimentos!$C$4:$C$9996,"Entrada")-SUMIFS(Movimentos!$F$4:$F$9996,Movimentos!$D$4:$D$9996,B1366,Movimentos!$C$4:$C$9996,"Saída"),""),"")</f>
        <v/>
      </c>
      <c r="F1366" s="10" t="str">
        <f t="shared" si="44"/>
        <v/>
      </c>
    </row>
    <row r="1367" spans="1:6" x14ac:dyDescent="0.3">
      <c r="A1367" s="15" t="str">
        <f t="shared" si="45"/>
        <v>.</v>
      </c>
      <c r="E1367" s="13" t="str">
        <f>IFERROR(IF(AND(B1367&lt;&gt;"",C1367&lt;&gt;""),SUMIFS(Movimentos!$F$4:$F$9996,Movimentos!$D$4:$D$9996,B1367,Movimentos!$C$4:$C$9996,"Entrada")-SUMIFS(Movimentos!$F$4:$F$9996,Movimentos!$D$4:$D$9996,B1367,Movimentos!$C$4:$C$9996,"Saída"),""),"")</f>
        <v/>
      </c>
      <c r="F1367" s="10" t="str">
        <f t="shared" ref="F1367:F1430" si="46">IF(AND(B1367&lt;&gt;"",C1367&lt;&gt;""),IF(E1367=0,"Saldo zerado",IF(E1367&lt;D1367,"Saldo abaixo do mínimo","Saldo disponível")),"")</f>
        <v/>
      </c>
    </row>
    <row r="1368" spans="1:6" x14ac:dyDescent="0.3">
      <c r="A1368" s="15" t="str">
        <f t="shared" si="45"/>
        <v>.</v>
      </c>
      <c r="E1368" s="13" t="str">
        <f>IFERROR(IF(AND(B1368&lt;&gt;"",C1368&lt;&gt;""),SUMIFS(Movimentos!$F$4:$F$9996,Movimentos!$D$4:$D$9996,B1368,Movimentos!$C$4:$C$9996,"Entrada")-SUMIFS(Movimentos!$F$4:$F$9996,Movimentos!$D$4:$D$9996,B1368,Movimentos!$C$4:$C$9996,"Saída"),""),"")</f>
        <v/>
      </c>
      <c r="F1368" s="10" t="str">
        <f t="shared" si="46"/>
        <v/>
      </c>
    </row>
    <row r="1369" spans="1:6" x14ac:dyDescent="0.3">
      <c r="A1369" s="15" t="str">
        <f t="shared" si="45"/>
        <v>.</v>
      </c>
      <c r="E1369" s="13" t="str">
        <f>IFERROR(IF(AND(B1369&lt;&gt;"",C1369&lt;&gt;""),SUMIFS(Movimentos!$F$4:$F$9996,Movimentos!$D$4:$D$9996,B1369,Movimentos!$C$4:$C$9996,"Entrada")-SUMIFS(Movimentos!$F$4:$F$9996,Movimentos!$D$4:$D$9996,B1369,Movimentos!$C$4:$C$9996,"Saída"),""),"")</f>
        <v/>
      </c>
      <c r="F1369" s="10" t="str">
        <f t="shared" si="46"/>
        <v/>
      </c>
    </row>
    <row r="1370" spans="1:6" x14ac:dyDescent="0.3">
      <c r="A1370" s="15" t="str">
        <f t="shared" si="45"/>
        <v>.</v>
      </c>
      <c r="E1370" s="13" t="str">
        <f>IFERROR(IF(AND(B1370&lt;&gt;"",C1370&lt;&gt;""),SUMIFS(Movimentos!$F$4:$F$9996,Movimentos!$D$4:$D$9996,B1370,Movimentos!$C$4:$C$9996,"Entrada")-SUMIFS(Movimentos!$F$4:$F$9996,Movimentos!$D$4:$D$9996,B1370,Movimentos!$C$4:$C$9996,"Saída"),""),"")</f>
        <v/>
      </c>
      <c r="F1370" s="10" t="str">
        <f t="shared" si="46"/>
        <v/>
      </c>
    </row>
    <row r="1371" spans="1:6" x14ac:dyDescent="0.3">
      <c r="A1371" s="15" t="str">
        <f t="shared" si="45"/>
        <v>.</v>
      </c>
      <c r="E1371" s="13" t="str">
        <f>IFERROR(IF(AND(B1371&lt;&gt;"",C1371&lt;&gt;""),SUMIFS(Movimentos!$F$4:$F$9996,Movimentos!$D$4:$D$9996,B1371,Movimentos!$C$4:$C$9996,"Entrada")-SUMIFS(Movimentos!$F$4:$F$9996,Movimentos!$D$4:$D$9996,B1371,Movimentos!$C$4:$C$9996,"Saída"),""),"")</f>
        <v/>
      </c>
      <c r="F1371" s="10" t="str">
        <f t="shared" si="46"/>
        <v/>
      </c>
    </row>
    <row r="1372" spans="1:6" x14ac:dyDescent="0.3">
      <c r="A1372" s="15" t="str">
        <f t="shared" si="45"/>
        <v>.</v>
      </c>
      <c r="E1372" s="13" t="str">
        <f>IFERROR(IF(AND(B1372&lt;&gt;"",C1372&lt;&gt;""),SUMIFS(Movimentos!$F$4:$F$9996,Movimentos!$D$4:$D$9996,B1372,Movimentos!$C$4:$C$9996,"Entrada")-SUMIFS(Movimentos!$F$4:$F$9996,Movimentos!$D$4:$D$9996,B1372,Movimentos!$C$4:$C$9996,"Saída"),""),"")</f>
        <v/>
      </c>
      <c r="F1372" s="10" t="str">
        <f t="shared" si="46"/>
        <v/>
      </c>
    </row>
    <row r="1373" spans="1:6" x14ac:dyDescent="0.3">
      <c r="A1373" s="15" t="str">
        <f t="shared" si="45"/>
        <v>.</v>
      </c>
      <c r="E1373" s="13" t="str">
        <f>IFERROR(IF(AND(B1373&lt;&gt;"",C1373&lt;&gt;""),SUMIFS(Movimentos!$F$4:$F$9996,Movimentos!$D$4:$D$9996,B1373,Movimentos!$C$4:$C$9996,"Entrada")-SUMIFS(Movimentos!$F$4:$F$9996,Movimentos!$D$4:$D$9996,B1373,Movimentos!$C$4:$C$9996,"Saída"),""),"")</f>
        <v/>
      </c>
      <c r="F1373" s="10" t="str">
        <f t="shared" si="46"/>
        <v/>
      </c>
    </row>
    <row r="1374" spans="1:6" x14ac:dyDescent="0.3">
      <c r="A1374" s="15" t="str">
        <f t="shared" si="45"/>
        <v>.</v>
      </c>
      <c r="E1374" s="13" t="str">
        <f>IFERROR(IF(AND(B1374&lt;&gt;"",C1374&lt;&gt;""),SUMIFS(Movimentos!$F$4:$F$9996,Movimentos!$D$4:$D$9996,B1374,Movimentos!$C$4:$C$9996,"Entrada")-SUMIFS(Movimentos!$F$4:$F$9996,Movimentos!$D$4:$D$9996,B1374,Movimentos!$C$4:$C$9996,"Saída"),""),"")</f>
        <v/>
      </c>
      <c r="F1374" s="10" t="str">
        <f t="shared" si="46"/>
        <v/>
      </c>
    </row>
    <row r="1375" spans="1:6" x14ac:dyDescent="0.3">
      <c r="A1375" s="15" t="str">
        <f t="shared" si="45"/>
        <v>.</v>
      </c>
      <c r="E1375" s="13" t="str">
        <f>IFERROR(IF(AND(B1375&lt;&gt;"",C1375&lt;&gt;""),SUMIFS(Movimentos!$F$4:$F$9996,Movimentos!$D$4:$D$9996,B1375,Movimentos!$C$4:$C$9996,"Entrada")-SUMIFS(Movimentos!$F$4:$F$9996,Movimentos!$D$4:$D$9996,B1375,Movimentos!$C$4:$C$9996,"Saída"),""),"")</f>
        <v/>
      </c>
      <c r="F1375" s="10" t="str">
        <f t="shared" si="46"/>
        <v/>
      </c>
    </row>
    <row r="1376" spans="1:6" x14ac:dyDescent="0.3">
      <c r="A1376" s="15" t="str">
        <f t="shared" si="45"/>
        <v>.</v>
      </c>
      <c r="E1376" s="13" t="str">
        <f>IFERROR(IF(AND(B1376&lt;&gt;"",C1376&lt;&gt;""),SUMIFS(Movimentos!$F$4:$F$9996,Movimentos!$D$4:$D$9996,B1376,Movimentos!$C$4:$C$9996,"Entrada")-SUMIFS(Movimentos!$F$4:$F$9996,Movimentos!$D$4:$D$9996,B1376,Movimentos!$C$4:$C$9996,"Saída"),""),"")</f>
        <v/>
      </c>
      <c r="F1376" s="10" t="str">
        <f t="shared" si="46"/>
        <v/>
      </c>
    </row>
    <row r="1377" spans="1:6" x14ac:dyDescent="0.3">
      <c r="A1377" s="15" t="str">
        <f t="shared" si="45"/>
        <v>.</v>
      </c>
      <c r="E1377" s="13" t="str">
        <f>IFERROR(IF(AND(B1377&lt;&gt;"",C1377&lt;&gt;""),SUMIFS(Movimentos!$F$4:$F$9996,Movimentos!$D$4:$D$9996,B1377,Movimentos!$C$4:$C$9996,"Entrada")-SUMIFS(Movimentos!$F$4:$F$9996,Movimentos!$D$4:$D$9996,B1377,Movimentos!$C$4:$C$9996,"Saída"),""),"")</f>
        <v/>
      </c>
      <c r="F1377" s="10" t="str">
        <f t="shared" si="46"/>
        <v/>
      </c>
    </row>
    <row r="1378" spans="1:6" x14ac:dyDescent="0.3">
      <c r="A1378" s="15" t="str">
        <f t="shared" si="45"/>
        <v>.</v>
      </c>
      <c r="E1378" s="13" t="str">
        <f>IFERROR(IF(AND(B1378&lt;&gt;"",C1378&lt;&gt;""),SUMIFS(Movimentos!$F$4:$F$9996,Movimentos!$D$4:$D$9996,B1378,Movimentos!$C$4:$C$9996,"Entrada")-SUMIFS(Movimentos!$F$4:$F$9996,Movimentos!$D$4:$D$9996,B1378,Movimentos!$C$4:$C$9996,"Saída"),""),"")</f>
        <v/>
      </c>
      <c r="F1378" s="10" t="str">
        <f t="shared" si="46"/>
        <v/>
      </c>
    </row>
    <row r="1379" spans="1:6" x14ac:dyDescent="0.3">
      <c r="A1379" s="15" t="str">
        <f t="shared" si="45"/>
        <v>.</v>
      </c>
      <c r="E1379" s="13" t="str">
        <f>IFERROR(IF(AND(B1379&lt;&gt;"",C1379&lt;&gt;""),SUMIFS(Movimentos!$F$4:$F$9996,Movimentos!$D$4:$D$9996,B1379,Movimentos!$C$4:$C$9996,"Entrada")-SUMIFS(Movimentos!$F$4:$F$9996,Movimentos!$D$4:$D$9996,B1379,Movimentos!$C$4:$C$9996,"Saída"),""),"")</f>
        <v/>
      </c>
      <c r="F1379" s="10" t="str">
        <f t="shared" si="46"/>
        <v/>
      </c>
    </row>
    <row r="1380" spans="1:6" x14ac:dyDescent="0.3">
      <c r="A1380" s="15" t="str">
        <f t="shared" si="45"/>
        <v>.</v>
      </c>
      <c r="E1380" s="13" t="str">
        <f>IFERROR(IF(AND(B1380&lt;&gt;"",C1380&lt;&gt;""),SUMIFS(Movimentos!$F$4:$F$9996,Movimentos!$D$4:$D$9996,B1380,Movimentos!$C$4:$C$9996,"Entrada")-SUMIFS(Movimentos!$F$4:$F$9996,Movimentos!$D$4:$D$9996,B1380,Movimentos!$C$4:$C$9996,"Saída"),""),"")</f>
        <v/>
      </c>
      <c r="F1380" s="10" t="str">
        <f t="shared" si="46"/>
        <v/>
      </c>
    </row>
    <row r="1381" spans="1:6" x14ac:dyDescent="0.3">
      <c r="A1381" s="15" t="str">
        <f t="shared" si="45"/>
        <v>.</v>
      </c>
      <c r="E1381" s="13" t="str">
        <f>IFERROR(IF(AND(B1381&lt;&gt;"",C1381&lt;&gt;""),SUMIFS(Movimentos!$F$4:$F$9996,Movimentos!$D$4:$D$9996,B1381,Movimentos!$C$4:$C$9996,"Entrada")-SUMIFS(Movimentos!$F$4:$F$9996,Movimentos!$D$4:$D$9996,B1381,Movimentos!$C$4:$C$9996,"Saída"),""),"")</f>
        <v/>
      </c>
      <c r="F1381" s="10" t="str">
        <f t="shared" si="46"/>
        <v/>
      </c>
    </row>
    <row r="1382" spans="1:6" x14ac:dyDescent="0.3">
      <c r="A1382" s="15" t="str">
        <f t="shared" si="45"/>
        <v>.</v>
      </c>
      <c r="E1382" s="13" t="str">
        <f>IFERROR(IF(AND(B1382&lt;&gt;"",C1382&lt;&gt;""),SUMIFS(Movimentos!$F$4:$F$9996,Movimentos!$D$4:$D$9996,B1382,Movimentos!$C$4:$C$9996,"Entrada")-SUMIFS(Movimentos!$F$4:$F$9996,Movimentos!$D$4:$D$9996,B1382,Movimentos!$C$4:$C$9996,"Saída"),""),"")</f>
        <v/>
      </c>
      <c r="F1382" s="10" t="str">
        <f t="shared" si="46"/>
        <v/>
      </c>
    </row>
    <row r="1383" spans="1:6" x14ac:dyDescent="0.3">
      <c r="A1383" s="15" t="str">
        <f t="shared" si="45"/>
        <v>.</v>
      </c>
      <c r="E1383" s="13" t="str">
        <f>IFERROR(IF(AND(B1383&lt;&gt;"",C1383&lt;&gt;""),SUMIFS(Movimentos!$F$4:$F$9996,Movimentos!$D$4:$D$9996,B1383,Movimentos!$C$4:$C$9996,"Entrada")-SUMIFS(Movimentos!$F$4:$F$9996,Movimentos!$D$4:$D$9996,B1383,Movimentos!$C$4:$C$9996,"Saída"),""),"")</f>
        <v/>
      </c>
      <c r="F1383" s="10" t="str">
        <f t="shared" si="46"/>
        <v/>
      </c>
    </row>
    <row r="1384" spans="1:6" x14ac:dyDescent="0.3">
      <c r="A1384" s="15" t="str">
        <f t="shared" si="45"/>
        <v>.</v>
      </c>
      <c r="E1384" s="13" t="str">
        <f>IFERROR(IF(AND(B1384&lt;&gt;"",C1384&lt;&gt;""),SUMIFS(Movimentos!$F$4:$F$9996,Movimentos!$D$4:$D$9996,B1384,Movimentos!$C$4:$C$9996,"Entrada")-SUMIFS(Movimentos!$F$4:$F$9996,Movimentos!$D$4:$D$9996,B1384,Movimentos!$C$4:$C$9996,"Saída"),""),"")</f>
        <v/>
      </c>
      <c r="F1384" s="10" t="str">
        <f t="shared" si="46"/>
        <v/>
      </c>
    </row>
    <row r="1385" spans="1:6" x14ac:dyDescent="0.3">
      <c r="A1385" s="15" t="str">
        <f t="shared" si="45"/>
        <v>.</v>
      </c>
      <c r="E1385" s="13" t="str">
        <f>IFERROR(IF(AND(B1385&lt;&gt;"",C1385&lt;&gt;""),SUMIFS(Movimentos!$F$4:$F$9996,Movimentos!$D$4:$D$9996,B1385,Movimentos!$C$4:$C$9996,"Entrada")-SUMIFS(Movimentos!$F$4:$F$9996,Movimentos!$D$4:$D$9996,B1385,Movimentos!$C$4:$C$9996,"Saída"),""),"")</f>
        <v/>
      </c>
      <c r="F1385" s="10" t="str">
        <f t="shared" si="46"/>
        <v/>
      </c>
    </row>
    <row r="1386" spans="1:6" x14ac:dyDescent="0.3">
      <c r="A1386" s="15" t="str">
        <f t="shared" si="45"/>
        <v>.</v>
      </c>
      <c r="E1386" s="13" t="str">
        <f>IFERROR(IF(AND(B1386&lt;&gt;"",C1386&lt;&gt;""),SUMIFS(Movimentos!$F$4:$F$9996,Movimentos!$D$4:$D$9996,B1386,Movimentos!$C$4:$C$9996,"Entrada")-SUMIFS(Movimentos!$F$4:$F$9996,Movimentos!$D$4:$D$9996,B1386,Movimentos!$C$4:$C$9996,"Saída"),""),"")</f>
        <v/>
      </c>
      <c r="F1386" s="10" t="str">
        <f t="shared" si="46"/>
        <v/>
      </c>
    </row>
    <row r="1387" spans="1:6" x14ac:dyDescent="0.3">
      <c r="A1387" s="15" t="str">
        <f t="shared" si="45"/>
        <v>.</v>
      </c>
      <c r="E1387" s="13" t="str">
        <f>IFERROR(IF(AND(B1387&lt;&gt;"",C1387&lt;&gt;""),SUMIFS(Movimentos!$F$4:$F$9996,Movimentos!$D$4:$D$9996,B1387,Movimentos!$C$4:$C$9996,"Entrada")-SUMIFS(Movimentos!$F$4:$F$9996,Movimentos!$D$4:$D$9996,B1387,Movimentos!$C$4:$C$9996,"Saída"),""),"")</f>
        <v/>
      </c>
      <c r="F1387" s="10" t="str">
        <f t="shared" si="46"/>
        <v/>
      </c>
    </row>
    <row r="1388" spans="1:6" x14ac:dyDescent="0.3">
      <c r="A1388" s="15" t="str">
        <f t="shared" si="45"/>
        <v>.</v>
      </c>
      <c r="E1388" s="13" t="str">
        <f>IFERROR(IF(AND(B1388&lt;&gt;"",C1388&lt;&gt;""),SUMIFS(Movimentos!$F$4:$F$9996,Movimentos!$D$4:$D$9996,B1388,Movimentos!$C$4:$C$9996,"Entrada")-SUMIFS(Movimentos!$F$4:$F$9996,Movimentos!$D$4:$D$9996,B1388,Movimentos!$C$4:$C$9996,"Saída"),""),"")</f>
        <v/>
      </c>
      <c r="F1388" s="10" t="str">
        <f t="shared" si="46"/>
        <v/>
      </c>
    </row>
    <row r="1389" spans="1:6" x14ac:dyDescent="0.3">
      <c r="A1389" s="15" t="str">
        <f t="shared" si="45"/>
        <v>.</v>
      </c>
      <c r="E1389" s="13" t="str">
        <f>IFERROR(IF(AND(B1389&lt;&gt;"",C1389&lt;&gt;""),SUMIFS(Movimentos!$F$4:$F$9996,Movimentos!$D$4:$D$9996,B1389,Movimentos!$C$4:$C$9996,"Entrada")-SUMIFS(Movimentos!$F$4:$F$9996,Movimentos!$D$4:$D$9996,B1389,Movimentos!$C$4:$C$9996,"Saída"),""),"")</f>
        <v/>
      </c>
      <c r="F1389" s="10" t="str">
        <f t="shared" si="46"/>
        <v/>
      </c>
    </row>
    <row r="1390" spans="1:6" x14ac:dyDescent="0.3">
      <c r="A1390" s="15" t="str">
        <f t="shared" si="45"/>
        <v>.</v>
      </c>
      <c r="E1390" s="13" t="str">
        <f>IFERROR(IF(AND(B1390&lt;&gt;"",C1390&lt;&gt;""),SUMIFS(Movimentos!$F$4:$F$9996,Movimentos!$D$4:$D$9996,B1390,Movimentos!$C$4:$C$9996,"Entrada")-SUMIFS(Movimentos!$F$4:$F$9996,Movimentos!$D$4:$D$9996,B1390,Movimentos!$C$4:$C$9996,"Saída"),""),"")</f>
        <v/>
      </c>
      <c r="F1390" s="10" t="str">
        <f t="shared" si="46"/>
        <v/>
      </c>
    </row>
    <row r="1391" spans="1:6" x14ac:dyDescent="0.3">
      <c r="A1391" s="15" t="str">
        <f t="shared" si="45"/>
        <v>.</v>
      </c>
      <c r="E1391" s="13" t="str">
        <f>IFERROR(IF(AND(B1391&lt;&gt;"",C1391&lt;&gt;""),SUMIFS(Movimentos!$F$4:$F$9996,Movimentos!$D$4:$D$9996,B1391,Movimentos!$C$4:$C$9996,"Entrada")-SUMIFS(Movimentos!$F$4:$F$9996,Movimentos!$D$4:$D$9996,B1391,Movimentos!$C$4:$C$9996,"Saída"),""),"")</f>
        <v/>
      </c>
      <c r="F1391" s="10" t="str">
        <f t="shared" si="46"/>
        <v/>
      </c>
    </row>
    <row r="1392" spans="1:6" x14ac:dyDescent="0.3">
      <c r="A1392" s="15" t="str">
        <f t="shared" si="45"/>
        <v>.</v>
      </c>
      <c r="E1392" s="13" t="str">
        <f>IFERROR(IF(AND(B1392&lt;&gt;"",C1392&lt;&gt;""),SUMIFS(Movimentos!$F$4:$F$9996,Movimentos!$D$4:$D$9996,B1392,Movimentos!$C$4:$C$9996,"Entrada")-SUMIFS(Movimentos!$F$4:$F$9996,Movimentos!$D$4:$D$9996,B1392,Movimentos!$C$4:$C$9996,"Saída"),""),"")</f>
        <v/>
      </c>
      <c r="F1392" s="10" t="str">
        <f t="shared" si="46"/>
        <v/>
      </c>
    </row>
    <row r="1393" spans="1:6" x14ac:dyDescent="0.3">
      <c r="A1393" s="15" t="str">
        <f t="shared" si="45"/>
        <v>.</v>
      </c>
      <c r="E1393" s="13" t="str">
        <f>IFERROR(IF(AND(B1393&lt;&gt;"",C1393&lt;&gt;""),SUMIFS(Movimentos!$F$4:$F$9996,Movimentos!$D$4:$D$9996,B1393,Movimentos!$C$4:$C$9996,"Entrada")-SUMIFS(Movimentos!$F$4:$F$9996,Movimentos!$D$4:$D$9996,B1393,Movimentos!$C$4:$C$9996,"Saída"),""),"")</f>
        <v/>
      </c>
      <c r="F1393" s="10" t="str">
        <f t="shared" si="46"/>
        <v/>
      </c>
    </row>
    <row r="1394" spans="1:6" x14ac:dyDescent="0.3">
      <c r="A1394" s="15" t="str">
        <f t="shared" si="45"/>
        <v>.</v>
      </c>
      <c r="E1394" s="13" t="str">
        <f>IFERROR(IF(AND(B1394&lt;&gt;"",C1394&lt;&gt;""),SUMIFS(Movimentos!$F$4:$F$9996,Movimentos!$D$4:$D$9996,B1394,Movimentos!$C$4:$C$9996,"Entrada")-SUMIFS(Movimentos!$F$4:$F$9996,Movimentos!$D$4:$D$9996,B1394,Movimentos!$C$4:$C$9996,"Saída"),""),"")</f>
        <v/>
      </c>
      <c r="F1394" s="10" t="str">
        <f t="shared" si="46"/>
        <v/>
      </c>
    </row>
    <row r="1395" spans="1:6" x14ac:dyDescent="0.3">
      <c r="A1395" s="15" t="str">
        <f t="shared" si="45"/>
        <v>.</v>
      </c>
      <c r="E1395" s="13" t="str">
        <f>IFERROR(IF(AND(B1395&lt;&gt;"",C1395&lt;&gt;""),SUMIFS(Movimentos!$F$4:$F$9996,Movimentos!$D$4:$D$9996,B1395,Movimentos!$C$4:$C$9996,"Entrada")-SUMIFS(Movimentos!$F$4:$F$9996,Movimentos!$D$4:$D$9996,B1395,Movimentos!$C$4:$C$9996,"Saída"),""),"")</f>
        <v/>
      </c>
      <c r="F1395" s="10" t="str">
        <f t="shared" si="46"/>
        <v/>
      </c>
    </row>
    <row r="1396" spans="1:6" x14ac:dyDescent="0.3">
      <c r="A1396" s="15" t="str">
        <f t="shared" si="45"/>
        <v>.</v>
      </c>
      <c r="E1396" s="13" t="str">
        <f>IFERROR(IF(AND(B1396&lt;&gt;"",C1396&lt;&gt;""),SUMIFS(Movimentos!$F$4:$F$9996,Movimentos!$D$4:$D$9996,B1396,Movimentos!$C$4:$C$9996,"Entrada")-SUMIFS(Movimentos!$F$4:$F$9996,Movimentos!$D$4:$D$9996,B1396,Movimentos!$C$4:$C$9996,"Saída"),""),"")</f>
        <v/>
      </c>
      <c r="F1396" s="10" t="str">
        <f t="shared" si="46"/>
        <v/>
      </c>
    </row>
    <row r="1397" spans="1:6" x14ac:dyDescent="0.3">
      <c r="A1397" s="15" t="str">
        <f t="shared" si="45"/>
        <v>.</v>
      </c>
      <c r="E1397" s="13" t="str">
        <f>IFERROR(IF(AND(B1397&lt;&gt;"",C1397&lt;&gt;""),SUMIFS(Movimentos!$F$4:$F$9996,Movimentos!$D$4:$D$9996,B1397,Movimentos!$C$4:$C$9996,"Entrada")-SUMIFS(Movimentos!$F$4:$F$9996,Movimentos!$D$4:$D$9996,B1397,Movimentos!$C$4:$C$9996,"Saída"),""),"")</f>
        <v/>
      </c>
      <c r="F1397" s="10" t="str">
        <f t="shared" si="46"/>
        <v/>
      </c>
    </row>
    <row r="1398" spans="1:6" x14ac:dyDescent="0.3">
      <c r="A1398" s="15" t="str">
        <f t="shared" si="45"/>
        <v>.</v>
      </c>
      <c r="E1398" s="13" t="str">
        <f>IFERROR(IF(AND(B1398&lt;&gt;"",C1398&lt;&gt;""),SUMIFS(Movimentos!$F$4:$F$9996,Movimentos!$D$4:$D$9996,B1398,Movimentos!$C$4:$C$9996,"Entrada")-SUMIFS(Movimentos!$F$4:$F$9996,Movimentos!$D$4:$D$9996,B1398,Movimentos!$C$4:$C$9996,"Saída"),""),"")</f>
        <v/>
      </c>
      <c r="F1398" s="10" t="str">
        <f t="shared" si="46"/>
        <v/>
      </c>
    </row>
    <row r="1399" spans="1:6" x14ac:dyDescent="0.3">
      <c r="A1399" s="15" t="str">
        <f t="shared" si="45"/>
        <v>.</v>
      </c>
      <c r="E1399" s="13" t="str">
        <f>IFERROR(IF(AND(B1399&lt;&gt;"",C1399&lt;&gt;""),SUMIFS(Movimentos!$F$4:$F$9996,Movimentos!$D$4:$D$9996,B1399,Movimentos!$C$4:$C$9996,"Entrada")-SUMIFS(Movimentos!$F$4:$F$9996,Movimentos!$D$4:$D$9996,B1399,Movimentos!$C$4:$C$9996,"Saída"),""),"")</f>
        <v/>
      </c>
      <c r="F1399" s="10" t="str">
        <f t="shared" si="46"/>
        <v/>
      </c>
    </row>
    <row r="1400" spans="1:6" x14ac:dyDescent="0.3">
      <c r="A1400" s="15" t="str">
        <f t="shared" si="45"/>
        <v>.</v>
      </c>
      <c r="E1400" s="13" t="str">
        <f>IFERROR(IF(AND(B1400&lt;&gt;"",C1400&lt;&gt;""),SUMIFS(Movimentos!$F$4:$F$9996,Movimentos!$D$4:$D$9996,B1400,Movimentos!$C$4:$C$9996,"Entrada")-SUMIFS(Movimentos!$F$4:$F$9996,Movimentos!$D$4:$D$9996,B1400,Movimentos!$C$4:$C$9996,"Saída"),""),"")</f>
        <v/>
      </c>
      <c r="F1400" s="10" t="str">
        <f t="shared" si="46"/>
        <v/>
      </c>
    </row>
    <row r="1401" spans="1:6" x14ac:dyDescent="0.3">
      <c r="A1401" s="15" t="str">
        <f t="shared" si="45"/>
        <v>.</v>
      </c>
      <c r="E1401" s="13" t="str">
        <f>IFERROR(IF(AND(B1401&lt;&gt;"",C1401&lt;&gt;""),SUMIFS(Movimentos!$F$4:$F$9996,Movimentos!$D$4:$D$9996,B1401,Movimentos!$C$4:$C$9996,"Entrada")-SUMIFS(Movimentos!$F$4:$F$9996,Movimentos!$D$4:$D$9996,B1401,Movimentos!$C$4:$C$9996,"Saída"),""),"")</f>
        <v/>
      </c>
      <c r="F1401" s="10" t="str">
        <f t="shared" si="46"/>
        <v/>
      </c>
    </row>
    <row r="1402" spans="1:6" x14ac:dyDescent="0.3">
      <c r="A1402" s="15" t="str">
        <f t="shared" si="45"/>
        <v>.</v>
      </c>
      <c r="E1402" s="13" t="str">
        <f>IFERROR(IF(AND(B1402&lt;&gt;"",C1402&lt;&gt;""),SUMIFS(Movimentos!$F$4:$F$9996,Movimentos!$D$4:$D$9996,B1402,Movimentos!$C$4:$C$9996,"Entrada")-SUMIFS(Movimentos!$F$4:$F$9996,Movimentos!$D$4:$D$9996,B1402,Movimentos!$C$4:$C$9996,"Saída"),""),"")</f>
        <v/>
      </c>
      <c r="F1402" s="10" t="str">
        <f t="shared" si="46"/>
        <v/>
      </c>
    </row>
    <row r="1403" spans="1:6" x14ac:dyDescent="0.3">
      <c r="A1403" s="15" t="str">
        <f t="shared" si="45"/>
        <v>.</v>
      </c>
      <c r="E1403" s="13" t="str">
        <f>IFERROR(IF(AND(B1403&lt;&gt;"",C1403&lt;&gt;""),SUMIFS(Movimentos!$F$4:$F$9996,Movimentos!$D$4:$D$9996,B1403,Movimentos!$C$4:$C$9996,"Entrada")-SUMIFS(Movimentos!$F$4:$F$9996,Movimentos!$D$4:$D$9996,B1403,Movimentos!$C$4:$C$9996,"Saída"),""),"")</f>
        <v/>
      </c>
      <c r="F1403" s="10" t="str">
        <f t="shared" si="46"/>
        <v/>
      </c>
    </row>
    <row r="1404" spans="1:6" x14ac:dyDescent="0.3">
      <c r="A1404" s="15" t="str">
        <f t="shared" si="45"/>
        <v>.</v>
      </c>
      <c r="E1404" s="13" t="str">
        <f>IFERROR(IF(AND(B1404&lt;&gt;"",C1404&lt;&gt;""),SUMIFS(Movimentos!$F$4:$F$9996,Movimentos!$D$4:$D$9996,B1404,Movimentos!$C$4:$C$9996,"Entrada")-SUMIFS(Movimentos!$F$4:$F$9996,Movimentos!$D$4:$D$9996,B1404,Movimentos!$C$4:$C$9996,"Saída"),""),"")</f>
        <v/>
      </c>
      <c r="F1404" s="10" t="str">
        <f t="shared" si="46"/>
        <v/>
      </c>
    </row>
    <row r="1405" spans="1:6" x14ac:dyDescent="0.3">
      <c r="A1405" s="15" t="str">
        <f t="shared" si="45"/>
        <v>.</v>
      </c>
      <c r="E1405" s="13" t="str">
        <f>IFERROR(IF(AND(B1405&lt;&gt;"",C1405&lt;&gt;""),SUMIFS(Movimentos!$F$4:$F$9996,Movimentos!$D$4:$D$9996,B1405,Movimentos!$C$4:$C$9996,"Entrada")-SUMIFS(Movimentos!$F$4:$F$9996,Movimentos!$D$4:$D$9996,B1405,Movimentos!$C$4:$C$9996,"Saída"),""),"")</f>
        <v/>
      </c>
      <c r="F1405" s="10" t="str">
        <f t="shared" si="46"/>
        <v/>
      </c>
    </row>
    <row r="1406" spans="1:6" x14ac:dyDescent="0.3">
      <c r="A1406" s="15" t="str">
        <f t="shared" si="45"/>
        <v>.</v>
      </c>
      <c r="E1406" s="13" t="str">
        <f>IFERROR(IF(AND(B1406&lt;&gt;"",C1406&lt;&gt;""),SUMIFS(Movimentos!$F$4:$F$9996,Movimentos!$D$4:$D$9996,B1406,Movimentos!$C$4:$C$9996,"Entrada")-SUMIFS(Movimentos!$F$4:$F$9996,Movimentos!$D$4:$D$9996,B1406,Movimentos!$C$4:$C$9996,"Saída"),""),"")</f>
        <v/>
      </c>
      <c r="F1406" s="10" t="str">
        <f t="shared" si="46"/>
        <v/>
      </c>
    </row>
    <row r="1407" spans="1:6" x14ac:dyDescent="0.3">
      <c r="A1407" s="15" t="str">
        <f t="shared" si="45"/>
        <v>.</v>
      </c>
      <c r="E1407" s="13" t="str">
        <f>IFERROR(IF(AND(B1407&lt;&gt;"",C1407&lt;&gt;""),SUMIFS(Movimentos!$F$4:$F$9996,Movimentos!$D$4:$D$9996,B1407,Movimentos!$C$4:$C$9996,"Entrada")-SUMIFS(Movimentos!$F$4:$F$9996,Movimentos!$D$4:$D$9996,B1407,Movimentos!$C$4:$C$9996,"Saída"),""),"")</f>
        <v/>
      </c>
      <c r="F1407" s="10" t="str">
        <f t="shared" si="46"/>
        <v/>
      </c>
    </row>
    <row r="1408" spans="1:6" x14ac:dyDescent="0.3">
      <c r="A1408" s="15" t="str">
        <f t="shared" ref="A1408:A1471" si="47">IF(F1408="Saldo zerado",0,IF(F1408="Saldo abaixo do mínimo",1,IF(F1408="Saldo disponível",2,".")))</f>
        <v>.</v>
      </c>
      <c r="E1408" s="13" t="str">
        <f>IFERROR(IF(AND(B1408&lt;&gt;"",C1408&lt;&gt;""),SUMIFS(Movimentos!$F$4:$F$9996,Movimentos!$D$4:$D$9996,B1408,Movimentos!$C$4:$C$9996,"Entrada")-SUMIFS(Movimentos!$F$4:$F$9996,Movimentos!$D$4:$D$9996,B1408,Movimentos!$C$4:$C$9996,"Saída"),""),"")</f>
        <v/>
      </c>
      <c r="F1408" s="10" t="str">
        <f t="shared" si="46"/>
        <v/>
      </c>
    </row>
    <row r="1409" spans="1:6" x14ac:dyDescent="0.3">
      <c r="A1409" s="15" t="str">
        <f t="shared" si="47"/>
        <v>.</v>
      </c>
      <c r="E1409" s="13" t="str">
        <f>IFERROR(IF(AND(B1409&lt;&gt;"",C1409&lt;&gt;""),SUMIFS(Movimentos!$F$4:$F$9996,Movimentos!$D$4:$D$9996,B1409,Movimentos!$C$4:$C$9996,"Entrada")-SUMIFS(Movimentos!$F$4:$F$9996,Movimentos!$D$4:$D$9996,B1409,Movimentos!$C$4:$C$9996,"Saída"),""),"")</f>
        <v/>
      </c>
      <c r="F1409" s="10" t="str">
        <f t="shared" si="46"/>
        <v/>
      </c>
    </row>
    <row r="1410" spans="1:6" x14ac:dyDescent="0.3">
      <c r="A1410" s="15" t="str">
        <f t="shared" si="47"/>
        <v>.</v>
      </c>
      <c r="E1410" s="13" t="str">
        <f>IFERROR(IF(AND(B1410&lt;&gt;"",C1410&lt;&gt;""),SUMIFS(Movimentos!$F$4:$F$9996,Movimentos!$D$4:$D$9996,B1410,Movimentos!$C$4:$C$9996,"Entrada")-SUMIFS(Movimentos!$F$4:$F$9996,Movimentos!$D$4:$D$9996,B1410,Movimentos!$C$4:$C$9996,"Saída"),""),"")</f>
        <v/>
      </c>
      <c r="F1410" s="10" t="str">
        <f t="shared" si="46"/>
        <v/>
      </c>
    </row>
    <row r="1411" spans="1:6" x14ac:dyDescent="0.3">
      <c r="A1411" s="15" t="str">
        <f t="shared" si="47"/>
        <v>.</v>
      </c>
      <c r="E1411" s="13" t="str">
        <f>IFERROR(IF(AND(B1411&lt;&gt;"",C1411&lt;&gt;""),SUMIFS(Movimentos!$F$4:$F$9996,Movimentos!$D$4:$D$9996,B1411,Movimentos!$C$4:$C$9996,"Entrada")-SUMIFS(Movimentos!$F$4:$F$9996,Movimentos!$D$4:$D$9996,B1411,Movimentos!$C$4:$C$9996,"Saída"),""),"")</f>
        <v/>
      </c>
      <c r="F1411" s="10" t="str">
        <f t="shared" si="46"/>
        <v/>
      </c>
    </row>
    <row r="1412" spans="1:6" x14ac:dyDescent="0.3">
      <c r="A1412" s="15" t="str">
        <f t="shared" si="47"/>
        <v>.</v>
      </c>
      <c r="E1412" s="13" t="str">
        <f>IFERROR(IF(AND(B1412&lt;&gt;"",C1412&lt;&gt;""),SUMIFS(Movimentos!$F$4:$F$9996,Movimentos!$D$4:$D$9996,B1412,Movimentos!$C$4:$C$9996,"Entrada")-SUMIFS(Movimentos!$F$4:$F$9996,Movimentos!$D$4:$D$9996,B1412,Movimentos!$C$4:$C$9996,"Saída"),""),"")</f>
        <v/>
      </c>
      <c r="F1412" s="10" t="str">
        <f t="shared" si="46"/>
        <v/>
      </c>
    </row>
    <row r="1413" spans="1:6" x14ac:dyDescent="0.3">
      <c r="A1413" s="15" t="str">
        <f t="shared" si="47"/>
        <v>.</v>
      </c>
      <c r="E1413" s="13" t="str">
        <f>IFERROR(IF(AND(B1413&lt;&gt;"",C1413&lt;&gt;""),SUMIFS(Movimentos!$F$4:$F$9996,Movimentos!$D$4:$D$9996,B1413,Movimentos!$C$4:$C$9996,"Entrada")-SUMIFS(Movimentos!$F$4:$F$9996,Movimentos!$D$4:$D$9996,B1413,Movimentos!$C$4:$C$9996,"Saída"),""),"")</f>
        <v/>
      </c>
      <c r="F1413" s="10" t="str">
        <f t="shared" si="46"/>
        <v/>
      </c>
    </row>
    <row r="1414" spans="1:6" x14ac:dyDescent="0.3">
      <c r="A1414" s="15" t="str">
        <f t="shared" si="47"/>
        <v>.</v>
      </c>
      <c r="E1414" s="13" t="str">
        <f>IFERROR(IF(AND(B1414&lt;&gt;"",C1414&lt;&gt;""),SUMIFS(Movimentos!$F$4:$F$9996,Movimentos!$D$4:$D$9996,B1414,Movimentos!$C$4:$C$9996,"Entrada")-SUMIFS(Movimentos!$F$4:$F$9996,Movimentos!$D$4:$D$9996,B1414,Movimentos!$C$4:$C$9996,"Saída"),""),"")</f>
        <v/>
      </c>
      <c r="F1414" s="10" t="str">
        <f t="shared" si="46"/>
        <v/>
      </c>
    </row>
    <row r="1415" spans="1:6" x14ac:dyDescent="0.3">
      <c r="A1415" s="15" t="str">
        <f t="shared" si="47"/>
        <v>.</v>
      </c>
      <c r="E1415" s="13" t="str">
        <f>IFERROR(IF(AND(B1415&lt;&gt;"",C1415&lt;&gt;""),SUMIFS(Movimentos!$F$4:$F$9996,Movimentos!$D$4:$D$9996,B1415,Movimentos!$C$4:$C$9996,"Entrada")-SUMIFS(Movimentos!$F$4:$F$9996,Movimentos!$D$4:$D$9996,B1415,Movimentos!$C$4:$C$9996,"Saída"),""),"")</f>
        <v/>
      </c>
      <c r="F1415" s="10" t="str">
        <f t="shared" si="46"/>
        <v/>
      </c>
    </row>
    <row r="1416" spans="1:6" x14ac:dyDescent="0.3">
      <c r="A1416" s="15" t="str">
        <f t="shared" si="47"/>
        <v>.</v>
      </c>
      <c r="E1416" s="13" t="str">
        <f>IFERROR(IF(AND(B1416&lt;&gt;"",C1416&lt;&gt;""),SUMIFS(Movimentos!$F$4:$F$9996,Movimentos!$D$4:$D$9996,B1416,Movimentos!$C$4:$C$9996,"Entrada")-SUMIFS(Movimentos!$F$4:$F$9996,Movimentos!$D$4:$D$9996,B1416,Movimentos!$C$4:$C$9996,"Saída"),""),"")</f>
        <v/>
      </c>
      <c r="F1416" s="10" t="str">
        <f t="shared" si="46"/>
        <v/>
      </c>
    </row>
    <row r="1417" spans="1:6" x14ac:dyDescent="0.3">
      <c r="A1417" s="15" t="str">
        <f t="shared" si="47"/>
        <v>.</v>
      </c>
      <c r="E1417" s="13" t="str">
        <f>IFERROR(IF(AND(B1417&lt;&gt;"",C1417&lt;&gt;""),SUMIFS(Movimentos!$F$4:$F$9996,Movimentos!$D$4:$D$9996,B1417,Movimentos!$C$4:$C$9996,"Entrada")-SUMIFS(Movimentos!$F$4:$F$9996,Movimentos!$D$4:$D$9996,B1417,Movimentos!$C$4:$C$9996,"Saída"),""),"")</f>
        <v/>
      </c>
      <c r="F1417" s="10" t="str">
        <f t="shared" si="46"/>
        <v/>
      </c>
    </row>
    <row r="1418" spans="1:6" x14ac:dyDescent="0.3">
      <c r="A1418" s="15" t="str">
        <f t="shared" si="47"/>
        <v>.</v>
      </c>
      <c r="E1418" s="13" t="str">
        <f>IFERROR(IF(AND(B1418&lt;&gt;"",C1418&lt;&gt;""),SUMIFS(Movimentos!$F$4:$F$9996,Movimentos!$D$4:$D$9996,B1418,Movimentos!$C$4:$C$9996,"Entrada")-SUMIFS(Movimentos!$F$4:$F$9996,Movimentos!$D$4:$D$9996,B1418,Movimentos!$C$4:$C$9996,"Saída"),""),"")</f>
        <v/>
      </c>
      <c r="F1418" s="10" t="str">
        <f t="shared" si="46"/>
        <v/>
      </c>
    </row>
    <row r="1419" spans="1:6" x14ac:dyDescent="0.3">
      <c r="A1419" s="15" t="str">
        <f t="shared" si="47"/>
        <v>.</v>
      </c>
      <c r="E1419" s="13" t="str">
        <f>IFERROR(IF(AND(B1419&lt;&gt;"",C1419&lt;&gt;""),SUMIFS(Movimentos!$F$4:$F$9996,Movimentos!$D$4:$D$9996,B1419,Movimentos!$C$4:$C$9996,"Entrada")-SUMIFS(Movimentos!$F$4:$F$9996,Movimentos!$D$4:$D$9996,B1419,Movimentos!$C$4:$C$9996,"Saída"),""),"")</f>
        <v/>
      </c>
      <c r="F1419" s="10" t="str">
        <f t="shared" si="46"/>
        <v/>
      </c>
    </row>
    <row r="1420" spans="1:6" x14ac:dyDescent="0.3">
      <c r="A1420" s="15" t="str">
        <f t="shared" si="47"/>
        <v>.</v>
      </c>
      <c r="E1420" s="13" t="str">
        <f>IFERROR(IF(AND(B1420&lt;&gt;"",C1420&lt;&gt;""),SUMIFS(Movimentos!$F$4:$F$9996,Movimentos!$D$4:$D$9996,B1420,Movimentos!$C$4:$C$9996,"Entrada")-SUMIFS(Movimentos!$F$4:$F$9996,Movimentos!$D$4:$D$9996,B1420,Movimentos!$C$4:$C$9996,"Saída"),""),"")</f>
        <v/>
      </c>
      <c r="F1420" s="10" t="str">
        <f t="shared" si="46"/>
        <v/>
      </c>
    </row>
    <row r="1421" spans="1:6" x14ac:dyDescent="0.3">
      <c r="A1421" s="15" t="str">
        <f t="shared" si="47"/>
        <v>.</v>
      </c>
      <c r="E1421" s="13" t="str">
        <f>IFERROR(IF(AND(B1421&lt;&gt;"",C1421&lt;&gt;""),SUMIFS(Movimentos!$F$4:$F$9996,Movimentos!$D$4:$D$9996,B1421,Movimentos!$C$4:$C$9996,"Entrada")-SUMIFS(Movimentos!$F$4:$F$9996,Movimentos!$D$4:$D$9996,B1421,Movimentos!$C$4:$C$9996,"Saída"),""),"")</f>
        <v/>
      </c>
      <c r="F1421" s="10" t="str">
        <f t="shared" si="46"/>
        <v/>
      </c>
    </row>
    <row r="1422" spans="1:6" x14ac:dyDescent="0.3">
      <c r="A1422" s="15" t="str">
        <f t="shared" si="47"/>
        <v>.</v>
      </c>
      <c r="E1422" s="13" t="str">
        <f>IFERROR(IF(AND(B1422&lt;&gt;"",C1422&lt;&gt;""),SUMIFS(Movimentos!$F$4:$F$9996,Movimentos!$D$4:$D$9996,B1422,Movimentos!$C$4:$C$9996,"Entrada")-SUMIFS(Movimentos!$F$4:$F$9996,Movimentos!$D$4:$D$9996,B1422,Movimentos!$C$4:$C$9996,"Saída"),""),"")</f>
        <v/>
      </c>
      <c r="F1422" s="10" t="str">
        <f t="shared" si="46"/>
        <v/>
      </c>
    </row>
    <row r="1423" spans="1:6" x14ac:dyDescent="0.3">
      <c r="A1423" s="15" t="str">
        <f t="shared" si="47"/>
        <v>.</v>
      </c>
      <c r="E1423" s="13" t="str">
        <f>IFERROR(IF(AND(B1423&lt;&gt;"",C1423&lt;&gt;""),SUMIFS(Movimentos!$F$4:$F$9996,Movimentos!$D$4:$D$9996,B1423,Movimentos!$C$4:$C$9996,"Entrada")-SUMIFS(Movimentos!$F$4:$F$9996,Movimentos!$D$4:$D$9996,B1423,Movimentos!$C$4:$C$9996,"Saída"),""),"")</f>
        <v/>
      </c>
      <c r="F1423" s="10" t="str">
        <f t="shared" si="46"/>
        <v/>
      </c>
    </row>
    <row r="1424" spans="1:6" x14ac:dyDescent="0.3">
      <c r="A1424" s="15" t="str">
        <f t="shared" si="47"/>
        <v>.</v>
      </c>
      <c r="E1424" s="13" t="str">
        <f>IFERROR(IF(AND(B1424&lt;&gt;"",C1424&lt;&gt;""),SUMIFS(Movimentos!$F$4:$F$9996,Movimentos!$D$4:$D$9996,B1424,Movimentos!$C$4:$C$9996,"Entrada")-SUMIFS(Movimentos!$F$4:$F$9996,Movimentos!$D$4:$D$9996,B1424,Movimentos!$C$4:$C$9996,"Saída"),""),"")</f>
        <v/>
      </c>
      <c r="F1424" s="10" t="str">
        <f t="shared" si="46"/>
        <v/>
      </c>
    </row>
    <row r="1425" spans="1:6" x14ac:dyDescent="0.3">
      <c r="A1425" s="15" t="str">
        <f t="shared" si="47"/>
        <v>.</v>
      </c>
      <c r="E1425" s="13" t="str">
        <f>IFERROR(IF(AND(B1425&lt;&gt;"",C1425&lt;&gt;""),SUMIFS(Movimentos!$F$4:$F$9996,Movimentos!$D$4:$D$9996,B1425,Movimentos!$C$4:$C$9996,"Entrada")-SUMIFS(Movimentos!$F$4:$F$9996,Movimentos!$D$4:$D$9996,B1425,Movimentos!$C$4:$C$9996,"Saída"),""),"")</f>
        <v/>
      </c>
      <c r="F1425" s="10" t="str">
        <f t="shared" si="46"/>
        <v/>
      </c>
    </row>
    <row r="1426" spans="1:6" x14ac:dyDescent="0.3">
      <c r="A1426" s="15" t="str">
        <f t="shared" si="47"/>
        <v>.</v>
      </c>
      <c r="E1426" s="13" t="str">
        <f>IFERROR(IF(AND(B1426&lt;&gt;"",C1426&lt;&gt;""),SUMIFS(Movimentos!$F$4:$F$9996,Movimentos!$D$4:$D$9996,B1426,Movimentos!$C$4:$C$9996,"Entrada")-SUMIFS(Movimentos!$F$4:$F$9996,Movimentos!$D$4:$D$9996,B1426,Movimentos!$C$4:$C$9996,"Saída"),""),"")</f>
        <v/>
      </c>
      <c r="F1426" s="10" t="str">
        <f t="shared" si="46"/>
        <v/>
      </c>
    </row>
    <row r="1427" spans="1:6" x14ac:dyDescent="0.3">
      <c r="A1427" s="15" t="str">
        <f t="shared" si="47"/>
        <v>.</v>
      </c>
      <c r="E1427" s="13" t="str">
        <f>IFERROR(IF(AND(B1427&lt;&gt;"",C1427&lt;&gt;""),SUMIFS(Movimentos!$F$4:$F$9996,Movimentos!$D$4:$D$9996,B1427,Movimentos!$C$4:$C$9996,"Entrada")-SUMIFS(Movimentos!$F$4:$F$9996,Movimentos!$D$4:$D$9996,B1427,Movimentos!$C$4:$C$9996,"Saída"),""),"")</f>
        <v/>
      </c>
      <c r="F1427" s="10" t="str">
        <f t="shared" si="46"/>
        <v/>
      </c>
    </row>
    <row r="1428" spans="1:6" x14ac:dyDescent="0.3">
      <c r="A1428" s="15" t="str">
        <f t="shared" si="47"/>
        <v>.</v>
      </c>
      <c r="E1428" s="13" t="str">
        <f>IFERROR(IF(AND(B1428&lt;&gt;"",C1428&lt;&gt;""),SUMIFS(Movimentos!$F$4:$F$9996,Movimentos!$D$4:$D$9996,B1428,Movimentos!$C$4:$C$9996,"Entrada")-SUMIFS(Movimentos!$F$4:$F$9996,Movimentos!$D$4:$D$9996,B1428,Movimentos!$C$4:$C$9996,"Saída"),""),"")</f>
        <v/>
      </c>
      <c r="F1428" s="10" t="str">
        <f t="shared" si="46"/>
        <v/>
      </c>
    </row>
    <row r="1429" spans="1:6" x14ac:dyDescent="0.3">
      <c r="A1429" s="15" t="str">
        <f t="shared" si="47"/>
        <v>.</v>
      </c>
      <c r="E1429" s="13" t="str">
        <f>IFERROR(IF(AND(B1429&lt;&gt;"",C1429&lt;&gt;""),SUMIFS(Movimentos!$F$4:$F$9996,Movimentos!$D$4:$D$9996,B1429,Movimentos!$C$4:$C$9996,"Entrada")-SUMIFS(Movimentos!$F$4:$F$9996,Movimentos!$D$4:$D$9996,B1429,Movimentos!$C$4:$C$9996,"Saída"),""),"")</f>
        <v/>
      </c>
      <c r="F1429" s="10" t="str">
        <f t="shared" si="46"/>
        <v/>
      </c>
    </row>
    <row r="1430" spans="1:6" x14ac:dyDescent="0.3">
      <c r="A1430" s="15" t="str">
        <f t="shared" si="47"/>
        <v>.</v>
      </c>
      <c r="E1430" s="13" t="str">
        <f>IFERROR(IF(AND(B1430&lt;&gt;"",C1430&lt;&gt;""),SUMIFS(Movimentos!$F$4:$F$9996,Movimentos!$D$4:$D$9996,B1430,Movimentos!$C$4:$C$9996,"Entrada")-SUMIFS(Movimentos!$F$4:$F$9996,Movimentos!$D$4:$D$9996,B1430,Movimentos!$C$4:$C$9996,"Saída"),""),"")</f>
        <v/>
      </c>
      <c r="F1430" s="10" t="str">
        <f t="shared" si="46"/>
        <v/>
      </c>
    </row>
    <row r="1431" spans="1:6" x14ac:dyDescent="0.3">
      <c r="A1431" s="15" t="str">
        <f t="shared" si="47"/>
        <v>.</v>
      </c>
      <c r="E1431" s="13" t="str">
        <f>IFERROR(IF(AND(B1431&lt;&gt;"",C1431&lt;&gt;""),SUMIFS(Movimentos!$F$4:$F$9996,Movimentos!$D$4:$D$9996,B1431,Movimentos!$C$4:$C$9996,"Entrada")-SUMIFS(Movimentos!$F$4:$F$9996,Movimentos!$D$4:$D$9996,B1431,Movimentos!$C$4:$C$9996,"Saída"),""),"")</f>
        <v/>
      </c>
      <c r="F1431" s="10" t="str">
        <f t="shared" ref="F1431:F1494" si="48">IF(AND(B1431&lt;&gt;"",C1431&lt;&gt;""),IF(E1431=0,"Saldo zerado",IF(E1431&lt;D1431,"Saldo abaixo do mínimo","Saldo disponível")),"")</f>
        <v/>
      </c>
    </row>
    <row r="1432" spans="1:6" x14ac:dyDescent="0.3">
      <c r="A1432" s="15" t="str">
        <f t="shared" si="47"/>
        <v>.</v>
      </c>
      <c r="E1432" s="13" t="str">
        <f>IFERROR(IF(AND(B1432&lt;&gt;"",C1432&lt;&gt;""),SUMIFS(Movimentos!$F$4:$F$9996,Movimentos!$D$4:$D$9996,B1432,Movimentos!$C$4:$C$9996,"Entrada")-SUMIFS(Movimentos!$F$4:$F$9996,Movimentos!$D$4:$D$9996,B1432,Movimentos!$C$4:$C$9996,"Saída"),""),"")</f>
        <v/>
      </c>
      <c r="F1432" s="10" t="str">
        <f t="shared" si="48"/>
        <v/>
      </c>
    </row>
    <row r="1433" spans="1:6" x14ac:dyDescent="0.3">
      <c r="A1433" s="15" t="str">
        <f t="shared" si="47"/>
        <v>.</v>
      </c>
      <c r="E1433" s="13" t="str">
        <f>IFERROR(IF(AND(B1433&lt;&gt;"",C1433&lt;&gt;""),SUMIFS(Movimentos!$F$4:$F$9996,Movimentos!$D$4:$D$9996,B1433,Movimentos!$C$4:$C$9996,"Entrada")-SUMIFS(Movimentos!$F$4:$F$9996,Movimentos!$D$4:$D$9996,B1433,Movimentos!$C$4:$C$9996,"Saída"),""),"")</f>
        <v/>
      </c>
      <c r="F1433" s="10" t="str">
        <f t="shared" si="48"/>
        <v/>
      </c>
    </row>
    <row r="1434" spans="1:6" x14ac:dyDescent="0.3">
      <c r="A1434" s="15" t="str">
        <f t="shared" si="47"/>
        <v>.</v>
      </c>
      <c r="E1434" s="13" t="str">
        <f>IFERROR(IF(AND(B1434&lt;&gt;"",C1434&lt;&gt;""),SUMIFS(Movimentos!$F$4:$F$9996,Movimentos!$D$4:$D$9996,B1434,Movimentos!$C$4:$C$9996,"Entrada")-SUMIFS(Movimentos!$F$4:$F$9996,Movimentos!$D$4:$D$9996,B1434,Movimentos!$C$4:$C$9996,"Saída"),""),"")</f>
        <v/>
      </c>
      <c r="F1434" s="10" t="str">
        <f t="shared" si="48"/>
        <v/>
      </c>
    </row>
    <row r="1435" spans="1:6" x14ac:dyDescent="0.3">
      <c r="A1435" s="15" t="str">
        <f t="shared" si="47"/>
        <v>.</v>
      </c>
      <c r="E1435" s="13" t="str">
        <f>IFERROR(IF(AND(B1435&lt;&gt;"",C1435&lt;&gt;""),SUMIFS(Movimentos!$F$4:$F$9996,Movimentos!$D$4:$D$9996,B1435,Movimentos!$C$4:$C$9996,"Entrada")-SUMIFS(Movimentos!$F$4:$F$9996,Movimentos!$D$4:$D$9996,B1435,Movimentos!$C$4:$C$9996,"Saída"),""),"")</f>
        <v/>
      </c>
      <c r="F1435" s="10" t="str">
        <f t="shared" si="48"/>
        <v/>
      </c>
    </row>
    <row r="1436" spans="1:6" x14ac:dyDescent="0.3">
      <c r="A1436" s="15" t="str">
        <f t="shared" si="47"/>
        <v>.</v>
      </c>
      <c r="E1436" s="13" t="str">
        <f>IFERROR(IF(AND(B1436&lt;&gt;"",C1436&lt;&gt;""),SUMIFS(Movimentos!$F$4:$F$9996,Movimentos!$D$4:$D$9996,B1436,Movimentos!$C$4:$C$9996,"Entrada")-SUMIFS(Movimentos!$F$4:$F$9996,Movimentos!$D$4:$D$9996,B1436,Movimentos!$C$4:$C$9996,"Saída"),""),"")</f>
        <v/>
      </c>
      <c r="F1436" s="10" t="str">
        <f t="shared" si="48"/>
        <v/>
      </c>
    </row>
    <row r="1437" spans="1:6" x14ac:dyDescent="0.3">
      <c r="A1437" s="15" t="str">
        <f t="shared" si="47"/>
        <v>.</v>
      </c>
      <c r="E1437" s="13" t="str">
        <f>IFERROR(IF(AND(B1437&lt;&gt;"",C1437&lt;&gt;""),SUMIFS(Movimentos!$F$4:$F$9996,Movimentos!$D$4:$D$9996,B1437,Movimentos!$C$4:$C$9996,"Entrada")-SUMIFS(Movimentos!$F$4:$F$9996,Movimentos!$D$4:$D$9996,B1437,Movimentos!$C$4:$C$9996,"Saída"),""),"")</f>
        <v/>
      </c>
      <c r="F1437" s="10" t="str">
        <f t="shared" si="48"/>
        <v/>
      </c>
    </row>
    <row r="1438" spans="1:6" x14ac:dyDescent="0.3">
      <c r="A1438" s="15" t="str">
        <f t="shared" si="47"/>
        <v>.</v>
      </c>
      <c r="E1438" s="13" t="str">
        <f>IFERROR(IF(AND(B1438&lt;&gt;"",C1438&lt;&gt;""),SUMIFS(Movimentos!$F$4:$F$9996,Movimentos!$D$4:$D$9996,B1438,Movimentos!$C$4:$C$9996,"Entrada")-SUMIFS(Movimentos!$F$4:$F$9996,Movimentos!$D$4:$D$9996,B1438,Movimentos!$C$4:$C$9996,"Saída"),""),"")</f>
        <v/>
      </c>
      <c r="F1438" s="10" t="str">
        <f t="shared" si="48"/>
        <v/>
      </c>
    </row>
    <row r="1439" spans="1:6" x14ac:dyDescent="0.3">
      <c r="A1439" s="15" t="str">
        <f t="shared" si="47"/>
        <v>.</v>
      </c>
      <c r="E1439" s="13" t="str">
        <f>IFERROR(IF(AND(B1439&lt;&gt;"",C1439&lt;&gt;""),SUMIFS(Movimentos!$F$4:$F$9996,Movimentos!$D$4:$D$9996,B1439,Movimentos!$C$4:$C$9996,"Entrada")-SUMIFS(Movimentos!$F$4:$F$9996,Movimentos!$D$4:$D$9996,B1439,Movimentos!$C$4:$C$9996,"Saída"),""),"")</f>
        <v/>
      </c>
      <c r="F1439" s="10" t="str">
        <f t="shared" si="48"/>
        <v/>
      </c>
    </row>
    <row r="1440" spans="1:6" x14ac:dyDescent="0.3">
      <c r="A1440" s="15" t="str">
        <f t="shared" si="47"/>
        <v>.</v>
      </c>
      <c r="E1440" s="13" t="str">
        <f>IFERROR(IF(AND(B1440&lt;&gt;"",C1440&lt;&gt;""),SUMIFS(Movimentos!$F$4:$F$9996,Movimentos!$D$4:$D$9996,B1440,Movimentos!$C$4:$C$9996,"Entrada")-SUMIFS(Movimentos!$F$4:$F$9996,Movimentos!$D$4:$D$9996,B1440,Movimentos!$C$4:$C$9996,"Saída"),""),"")</f>
        <v/>
      </c>
      <c r="F1440" s="10" t="str">
        <f t="shared" si="48"/>
        <v/>
      </c>
    </row>
    <row r="1441" spans="1:6" x14ac:dyDescent="0.3">
      <c r="A1441" s="15" t="str">
        <f t="shared" si="47"/>
        <v>.</v>
      </c>
      <c r="E1441" s="13" t="str">
        <f>IFERROR(IF(AND(B1441&lt;&gt;"",C1441&lt;&gt;""),SUMIFS(Movimentos!$F$4:$F$9996,Movimentos!$D$4:$D$9996,B1441,Movimentos!$C$4:$C$9996,"Entrada")-SUMIFS(Movimentos!$F$4:$F$9996,Movimentos!$D$4:$D$9996,B1441,Movimentos!$C$4:$C$9996,"Saída"),""),"")</f>
        <v/>
      </c>
      <c r="F1441" s="10" t="str">
        <f t="shared" si="48"/>
        <v/>
      </c>
    </row>
    <row r="1442" spans="1:6" x14ac:dyDescent="0.3">
      <c r="A1442" s="15" t="str">
        <f t="shared" si="47"/>
        <v>.</v>
      </c>
      <c r="E1442" s="13" t="str">
        <f>IFERROR(IF(AND(B1442&lt;&gt;"",C1442&lt;&gt;""),SUMIFS(Movimentos!$F$4:$F$9996,Movimentos!$D$4:$D$9996,B1442,Movimentos!$C$4:$C$9996,"Entrada")-SUMIFS(Movimentos!$F$4:$F$9996,Movimentos!$D$4:$D$9996,B1442,Movimentos!$C$4:$C$9996,"Saída"),""),"")</f>
        <v/>
      </c>
      <c r="F1442" s="10" t="str">
        <f t="shared" si="48"/>
        <v/>
      </c>
    </row>
    <row r="1443" spans="1:6" x14ac:dyDescent="0.3">
      <c r="A1443" s="15" t="str">
        <f t="shared" si="47"/>
        <v>.</v>
      </c>
      <c r="E1443" s="13" t="str">
        <f>IFERROR(IF(AND(B1443&lt;&gt;"",C1443&lt;&gt;""),SUMIFS(Movimentos!$F$4:$F$9996,Movimentos!$D$4:$D$9996,B1443,Movimentos!$C$4:$C$9996,"Entrada")-SUMIFS(Movimentos!$F$4:$F$9996,Movimentos!$D$4:$D$9996,B1443,Movimentos!$C$4:$C$9996,"Saída"),""),"")</f>
        <v/>
      </c>
      <c r="F1443" s="10" t="str">
        <f t="shared" si="48"/>
        <v/>
      </c>
    </row>
    <row r="1444" spans="1:6" x14ac:dyDescent="0.3">
      <c r="A1444" s="15" t="str">
        <f t="shared" si="47"/>
        <v>.</v>
      </c>
      <c r="E1444" s="13" t="str">
        <f>IFERROR(IF(AND(B1444&lt;&gt;"",C1444&lt;&gt;""),SUMIFS(Movimentos!$F$4:$F$9996,Movimentos!$D$4:$D$9996,B1444,Movimentos!$C$4:$C$9996,"Entrada")-SUMIFS(Movimentos!$F$4:$F$9996,Movimentos!$D$4:$D$9996,B1444,Movimentos!$C$4:$C$9996,"Saída"),""),"")</f>
        <v/>
      </c>
      <c r="F1444" s="10" t="str">
        <f t="shared" si="48"/>
        <v/>
      </c>
    </row>
    <row r="1445" spans="1:6" x14ac:dyDescent="0.3">
      <c r="A1445" s="15" t="str">
        <f t="shared" si="47"/>
        <v>.</v>
      </c>
      <c r="E1445" s="13" t="str">
        <f>IFERROR(IF(AND(B1445&lt;&gt;"",C1445&lt;&gt;""),SUMIFS(Movimentos!$F$4:$F$9996,Movimentos!$D$4:$D$9996,B1445,Movimentos!$C$4:$C$9996,"Entrada")-SUMIFS(Movimentos!$F$4:$F$9996,Movimentos!$D$4:$D$9996,B1445,Movimentos!$C$4:$C$9996,"Saída"),""),"")</f>
        <v/>
      </c>
      <c r="F1445" s="10" t="str">
        <f t="shared" si="48"/>
        <v/>
      </c>
    </row>
    <row r="1446" spans="1:6" x14ac:dyDescent="0.3">
      <c r="A1446" s="15" t="str">
        <f t="shared" si="47"/>
        <v>.</v>
      </c>
      <c r="E1446" s="13" t="str">
        <f>IFERROR(IF(AND(B1446&lt;&gt;"",C1446&lt;&gt;""),SUMIFS(Movimentos!$F$4:$F$9996,Movimentos!$D$4:$D$9996,B1446,Movimentos!$C$4:$C$9996,"Entrada")-SUMIFS(Movimentos!$F$4:$F$9996,Movimentos!$D$4:$D$9996,B1446,Movimentos!$C$4:$C$9996,"Saída"),""),"")</f>
        <v/>
      </c>
      <c r="F1446" s="10" t="str">
        <f t="shared" si="48"/>
        <v/>
      </c>
    </row>
    <row r="1447" spans="1:6" x14ac:dyDescent="0.3">
      <c r="A1447" s="15" t="str">
        <f t="shared" si="47"/>
        <v>.</v>
      </c>
      <c r="E1447" s="13" t="str">
        <f>IFERROR(IF(AND(B1447&lt;&gt;"",C1447&lt;&gt;""),SUMIFS(Movimentos!$F$4:$F$9996,Movimentos!$D$4:$D$9996,B1447,Movimentos!$C$4:$C$9996,"Entrada")-SUMIFS(Movimentos!$F$4:$F$9996,Movimentos!$D$4:$D$9996,B1447,Movimentos!$C$4:$C$9996,"Saída"),""),"")</f>
        <v/>
      </c>
      <c r="F1447" s="10" t="str">
        <f t="shared" si="48"/>
        <v/>
      </c>
    </row>
    <row r="1448" spans="1:6" x14ac:dyDescent="0.3">
      <c r="A1448" s="15" t="str">
        <f t="shared" si="47"/>
        <v>.</v>
      </c>
      <c r="E1448" s="13" t="str">
        <f>IFERROR(IF(AND(B1448&lt;&gt;"",C1448&lt;&gt;""),SUMIFS(Movimentos!$F$4:$F$9996,Movimentos!$D$4:$D$9996,B1448,Movimentos!$C$4:$C$9996,"Entrada")-SUMIFS(Movimentos!$F$4:$F$9996,Movimentos!$D$4:$D$9996,B1448,Movimentos!$C$4:$C$9996,"Saída"),""),"")</f>
        <v/>
      </c>
      <c r="F1448" s="10" t="str">
        <f t="shared" si="48"/>
        <v/>
      </c>
    </row>
    <row r="1449" spans="1:6" x14ac:dyDescent="0.3">
      <c r="A1449" s="15" t="str">
        <f t="shared" si="47"/>
        <v>.</v>
      </c>
      <c r="E1449" s="13" t="str">
        <f>IFERROR(IF(AND(B1449&lt;&gt;"",C1449&lt;&gt;""),SUMIFS(Movimentos!$F$4:$F$9996,Movimentos!$D$4:$D$9996,B1449,Movimentos!$C$4:$C$9996,"Entrada")-SUMIFS(Movimentos!$F$4:$F$9996,Movimentos!$D$4:$D$9996,B1449,Movimentos!$C$4:$C$9996,"Saída"),""),"")</f>
        <v/>
      </c>
      <c r="F1449" s="10" t="str">
        <f t="shared" si="48"/>
        <v/>
      </c>
    </row>
    <row r="1450" spans="1:6" x14ac:dyDescent="0.3">
      <c r="A1450" s="15" t="str">
        <f t="shared" si="47"/>
        <v>.</v>
      </c>
      <c r="E1450" s="13" t="str">
        <f>IFERROR(IF(AND(B1450&lt;&gt;"",C1450&lt;&gt;""),SUMIFS(Movimentos!$F$4:$F$9996,Movimentos!$D$4:$D$9996,B1450,Movimentos!$C$4:$C$9996,"Entrada")-SUMIFS(Movimentos!$F$4:$F$9996,Movimentos!$D$4:$D$9996,B1450,Movimentos!$C$4:$C$9996,"Saída"),""),"")</f>
        <v/>
      </c>
      <c r="F1450" s="10" t="str">
        <f t="shared" si="48"/>
        <v/>
      </c>
    </row>
    <row r="1451" spans="1:6" x14ac:dyDescent="0.3">
      <c r="A1451" s="15" t="str">
        <f t="shared" si="47"/>
        <v>.</v>
      </c>
      <c r="E1451" s="13" t="str">
        <f>IFERROR(IF(AND(B1451&lt;&gt;"",C1451&lt;&gt;""),SUMIFS(Movimentos!$F$4:$F$9996,Movimentos!$D$4:$D$9996,B1451,Movimentos!$C$4:$C$9996,"Entrada")-SUMIFS(Movimentos!$F$4:$F$9996,Movimentos!$D$4:$D$9996,B1451,Movimentos!$C$4:$C$9996,"Saída"),""),"")</f>
        <v/>
      </c>
      <c r="F1451" s="10" t="str">
        <f t="shared" si="48"/>
        <v/>
      </c>
    </row>
    <row r="1452" spans="1:6" x14ac:dyDescent="0.3">
      <c r="A1452" s="15" t="str">
        <f t="shared" si="47"/>
        <v>.</v>
      </c>
      <c r="E1452" s="13" t="str">
        <f>IFERROR(IF(AND(B1452&lt;&gt;"",C1452&lt;&gt;""),SUMIFS(Movimentos!$F$4:$F$9996,Movimentos!$D$4:$D$9996,B1452,Movimentos!$C$4:$C$9996,"Entrada")-SUMIFS(Movimentos!$F$4:$F$9996,Movimentos!$D$4:$D$9996,B1452,Movimentos!$C$4:$C$9996,"Saída"),""),"")</f>
        <v/>
      </c>
      <c r="F1452" s="10" t="str">
        <f t="shared" si="48"/>
        <v/>
      </c>
    </row>
    <row r="1453" spans="1:6" x14ac:dyDescent="0.3">
      <c r="A1453" s="15" t="str">
        <f t="shared" si="47"/>
        <v>.</v>
      </c>
      <c r="E1453" s="13" t="str">
        <f>IFERROR(IF(AND(B1453&lt;&gt;"",C1453&lt;&gt;""),SUMIFS(Movimentos!$F$4:$F$9996,Movimentos!$D$4:$D$9996,B1453,Movimentos!$C$4:$C$9996,"Entrada")-SUMIFS(Movimentos!$F$4:$F$9996,Movimentos!$D$4:$D$9996,B1453,Movimentos!$C$4:$C$9996,"Saída"),""),"")</f>
        <v/>
      </c>
      <c r="F1453" s="10" t="str">
        <f t="shared" si="48"/>
        <v/>
      </c>
    </row>
    <row r="1454" spans="1:6" x14ac:dyDescent="0.3">
      <c r="A1454" s="15" t="str">
        <f t="shared" si="47"/>
        <v>.</v>
      </c>
      <c r="E1454" s="13" t="str">
        <f>IFERROR(IF(AND(B1454&lt;&gt;"",C1454&lt;&gt;""),SUMIFS(Movimentos!$F$4:$F$9996,Movimentos!$D$4:$D$9996,B1454,Movimentos!$C$4:$C$9996,"Entrada")-SUMIFS(Movimentos!$F$4:$F$9996,Movimentos!$D$4:$D$9996,B1454,Movimentos!$C$4:$C$9996,"Saída"),""),"")</f>
        <v/>
      </c>
      <c r="F1454" s="10" t="str">
        <f t="shared" si="48"/>
        <v/>
      </c>
    </row>
    <row r="1455" spans="1:6" x14ac:dyDescent="0.3">
      <c r="A1455" s="15" t="str">
        <f t="shared" si="47"/>
        <v>.</v>
      </c>
      <c r="E1455" s="13" t="str">
        <f>IFERROR(IF(AND(B1455&lt;&gt;"",C1455&lt;&gt;""),SUMIFS(Movimentos!$F$4:$F$9996,Movimentos!$D$4:$D$9996,B1455,Movimentos!$C$4:$C$9996,"Entrada")-SUMIFS(Movimentos!$F$4:$F$9996,Movimentos!$D$4:$D$9996,B1455,Movimentos!$C$4:$C$9996,"Saída"),""),"")</f>
        <v/>
      </c>
      <c r="F1455" s="10" t="str">
        <f t="shared" si="48"/>
        <v/>
      </c>
    </row>
    <row r="1456" spans="1:6" x14ac:dyDescent="0.3">
      <c r="A1456" s="15" t="str">
        <f t="shared" si="47"/>
        <v>.</v>
      </c>
      <c r="E1456" s="13" t="str">
        <f>IFERROR(IF(AND(B1456&lt;&gt;"",C1456&lt;&gt;""),SUMIFS(Movimentos!$F$4:$F$9996,Movimentos!$D$4:$D$9996,B1456,Movimentos!$C$4:$C$9996,"Entrada")-SUMIFS(Movimentos!$F$4:$F$9996,Movimentos!$D$4:$D$9996,B1456,Movimentos!$C$4:$C$9996,"Saída"),""),"")</f>
        <v/>
      </c>
      <c r="F1456" s="10" t="str">
        <f t="shared" si="48"/>
        <v/>
      </c>
    </row>
    <row r="1457" spans="1:6" x14ac:dyDescent="0.3">
      <c r="A1457" s="15" t="str">
        <f t="shared" si="47"/>
        <v>.</v>
      </c>
      <c r="E1457" s="13" t="str">
        <f>IFERROR(IF(AND(B1457&lt;&gt;"",C1457&lt;&gt;""),SUMIFS(Movimentos!$F$4:$F$9996,Movimentos!$D$4:$D$9996,B1457,Movimentos!$C$4:$C$9996,"Entrada")-SUMIFS(Movimentos!$F$4:$F$9996,Movimentos!$D$4:$D$9996,B1457,Movimentos!$C$4:$C$9996,"Saída"),""),"")</f>
        <v/>
      </c>
      <c r="F1457" s="10" t="str">
        <f t="shared" si="48"/>
        <v/>
      </c>
    </row>
    <row r="1458" spans="1:6" x14ac:dyDescent="0.3">
      <c r="A1458" s="15" t="str">
        <f t="shared" si="47"/>
        <v>.</v>
      </c>
      <c r="E1458" s="13" t="str">
        <f>IFERROR(IF(AND(B1458&lt;&gt;"",C1458&lt;&gt;""),SUMIFS(Movimentos!$F$4:$F$9996,Movimentos!$D$4:$D$9996,B1458,Movimentos!$C$4:$C$9996,"Entrada")-SUMIFS(Movimentos!$F$4:$F$9996,Movimentos!$D$4:$D$9996,B1458,Movimentos!$C$4:$C$9996,"Saída"),""),"")</f>
        <v/>
      </c>
      <c r="F1458" s="10" t="str">
        <f t="shared" si="48"/>
        <v/>
      </c>
    </row>
    <row r="1459" spans="1:6" x14ac:dyDescent="0.3">
      <c r="A1459" s="15" t="str">
        <f t="shared" si="47"/>
        <v>.</v>
      </c>
      <c r="E1459" s="13" t="str">
        <f>IFERROR(IF(AND(B1459&lt;&gt;"",C1459&lt;&gt;""),SUMIFS(Movimentos!$F$4:$F$9996,Movimentos!$D$4:$D$9996,B1459,Movimentos!$C$4:$C$9996,"Entrada")-SUMIFS(Movimentos!$F$4:$F$9996,Movimentos!$D$4:$D$9996,B1459,Movimentos!$C$4:$C$9996,"Saída"),""),"")</f>
        <v/>
      </c>
      <c r="F1459" s="10" t="str">
        <f t="shared" si="48"/>
        <v/>
      </c>
    </row>
    <row r="1460" spans="1:6" x14ac:dyDescent="0.3">
      <c r="A1460" s="15" t="str">
        <f t="shared" si="47"/>
        <v>.</v>
      </c>
      <c r="E1460" s="13" t="str">
        <f>IFERROR(IF(AND(B1460&lt;&gt;"",C1460&lt;&gt;""),SUMIFS(Movimentos!$F$4:$F$9996,Movimentos!$D$4:$D$9996,B1460,Movimentos!$C$4:$C$9996,"Entrada")-SUMIFS(Movimentos!$F$4:$F$9996,Movimentos!$D$4:$D$9996,B1460,Movimentos!$C$4:$C$9996,"Saída"),""),"")</f>
        <v/>
      </c>
      <c r="F1460" s="10" t="str">
        <f t="shared" si="48"/>
        <v/>
      </c>
    </row>
    <row r="1461" spans="1:6" x14ac:dyDescent="0.3">
      <c r="A1461" s="15" t="str">
        <f t="shared" si="47"/>
        <v>.</v>
      </c>
      <c r="E1461" s="13" t="str">
        <f>IFERROR(IF(AND(B1461&lt;&gt;"",C1461&lt;&gt;""),SUMIFS(Movimentos!$F$4:$F$9996,Movimentos!$D$4:$D$9996,B1461,Movimentos!$C$4:$C$9996,"Entrada")-SUMIFS(Movimentos!$F$4:$F$9996,Movimentos!$D$4:$D$9996,B1461,Movimentos!$C$4:$C$9996,"Saída"),""),"")</f>
        <v/>
      </c>
      <c r="F1461" s="10" t="str">
        <f t="shared" si="48"/>
        <v/>
      </c>
    </row>
    <row r="1462" spans="1:6" x14ac:dyDescent="0.3">
      <c r="A1462" s="15" t="str">
        <f t="shared" si="47"/>
        <v>.</v>
      </c>
      <c r="E1462" s="13" t="str">
        <f>IFERROR(IF(AND(B1462&lt;&gt;"",C1462&lt;&gt;""),SUMIFS(Movimentos!$F$4:$F$9996,Movimentos!$D$4:$D$9996,B1462,Movimentos!$C$4:$C$9996,"Entrada")-SUMIFS(Movimentos!$F$4:$F$9996,Movimentos!$D$4:$D$9996,B1462,Movimentos!$C$4:$C$9996,"Saída"),""),"")</f>
        <v/>
      </c>
      <c r="F1462" s="10" t="str">
        <f t="shared" si="48"/>
        <v/>
      </c>
    </row>
    <row r="1463" spans="1:6" x14ac:dyDescent="0.3">
      <c r="A1463" s="15" t="str">
        <f t="shared" si="47"/>
        <v>.</v>
      </c>
      <c r="E1463" s="13" t="str">
        <f>IFERROR(IF(AND(B1463&lt;&gt;"",C1463&lt;&gt;""),SUMIFS(Movimentos!$F$4:$F$9996,Movimentos!$D$4:$D$9996,B1463,Movimentos!$C$4:$C$9996,"Entrada")-SUMIFS(Movimentos!$F$4:$F$9996,Movimentos!$D$4:$D$9996,B1463,Movimentos!$C$4:$C$9996,"Saída"),""),"")</f>
        <v/>
      </c>
      <c r="F1463" s="10" t="str">
        <f t="shared" si="48"/>
        <v/>
      </c>
    </row>
    <row r="1464" spans="1:6" x14ac:dyDescent="0.3">
      <c r="A1464" s="15" t="str">
        <f t="shared" si="47"/>
        <v>.</v>
      </c>
      <c r="E1464" s="13" t="str">
        <f>IFERROR(IF(AND(B1464&lt;&gt;"",C1464&lt;&gt;""),SUMIFS(Movimentos!$F$4:$F$9996,Movimentos!$D$4:$D$9996,B1464,Movimentos!$C$4:$C$9996,"Entrada")-SUMIFS(Movimentos!$F$4:$F$9996,Movimentos!$D$4:$D$9996,B1464,Movimentos!$C$4:$C$9996,"Saída"),""),"")</f>
        <v/>
      </c>
      <c r="F1464" s="10" t="str">
        <f t="shared" si="48"/>
        <v/>
      </c>
    </row>
    <row r="1465" spans="1:6" x14ac:dyDescent="0.3">
      <c r="A1465" s="15" t="str">
        <f t="shared" si="47"/>
        <v>.</v>
      </c>
      <c r="E1465" s="13" t="str">
        <f>IFERROR(IF(AND(B1465&lt;&gt;"",C1465&lt;&gt;""),SUMIFS(Movimentos!$F$4:$F$9996,Movimentos!$D$4:$D$9996,B1465,Movimentos!$C$4:$C$9996,"Entrada")-SUMIFS(Movimentos!$F$4:$F$9996,Movimentos!$D$4:$D$9996,B1465,Movimentos!$C$4:$C$9996,"Saída"),""),"")</f>
        <v/>
      </c>
      <c r="F1465" s="10" t="str">
        <f t="shared" si="48"/>
        <v/>
      </c>
    </row>
    <row r="1466" spans="1:6" x14ac:dyDescent="0.3">
      <c r="A1466" s="15" t="str">
        <f t="shared" si="47"/>
        <v>.</v>
      </c>
      <c r="E1466" s="13" t="str">
        <f>IFERROR(IF(AND(B1466&lt;&gt;"",C1466&lt;&gt;""),SUMIFS(Movimentos!$F$4:$F$9996,Movimentos!$D$4:$D$9996,B1466,Movimentos!$C$4:$C$9996,"Entrada")-SUMIFS(Movimentos!$F$4:$F$9996,Movimentos!$D$4:$D$9996,B1466,Movimentos!$C$4:$C$9996,"Saída"),""),"")</f>
        <v/>
      </c>
      <c r="F1466" s="10" t="str">
        <f t="shared" si="48"/>
        <v/>
      </c>
    </row>
    <row r="1467" spans="1:6" x14ac:dyDescent="0.3">
      <c r="A1467" s="15" t="str">
        <f t="shared" si="47"/>
        <v>.</v>
      </c>
      <c r="E1467" s="13" t="str">
        <f>IFERROR(IF(AND(B1467&lt;&gt;"",C1467&lt;&gt;""),SUMIFS(Movimentos!$F$4:$F$9996,Movimentos!$D$4:$D$9996,B1467,Movimentos!$C$4:$C$9996,"Entrada")-SUMIFS(Movimentos!$F$4:$F$9996,Movimentos!$D$4:$D$9996,B1467,Movimentos!$C$4:$C$9996,"Saída"),""),"")</f>
        <v/>
      </c>
      <c r="F1467" s="10" t="str">
        <f t="shared" si="48"/>
        <v/>
      </c>
    </row>
    <row r="1468" spans="1:6" x14ac:dyDescent="0.3">
      <c r="A1468" s="15" t="str">
        <f t="shared" si="47"/>
        <v>.</v>
      </c>
      <c r="E1468" s="13" t="str">
        <f>IFERROR(IF(AND(B1468&lt;&gt;"",C1468&lt;&gt;""),SUMIFS(Movimentos!$F$4:$F$9996,Movimentos!$D$4:$D$9996,B1468,Movimentos!$C$4:$C$9996,"Entrada")-SUMIFS(Movimentos!$F$4:$F$9996,Movimentos!$D$4:$D$9996,B1468,Movimentos!$C$4:$C$9996,"Saída"),""),"")</f>
        <v/>
      </c>
      <c r="F1468" s="10" t="str">
        <f t="shared" si="48"/>
        <v/>
      </c>
    </row>
    <row r="1469" spans="1:6" x14ac:dyDescent="0.3">
      <c r="A1469" s="15" t="str">
        <f t="shared" si="47"/>
        <v>.</v>
      </c>
      <c r="E1469" s="13" t="str">
        <f>IFERROR(IF(AND(B1469&lt;&gt;"",C1469&lt;&gt;""),SUMIFS(Movimentos!$F$4:$F$9996,Movimentos!$D$4:$D$9996,B1469,Movimentos!$C$4:$C$9996,"Entrada")-SUMIFS(Movimentos!$F$4:$F$9996,Movimentos!$D$4:$D$9996,B1469,Movimentos!$C$4:$C$9996,"Saída"),""),"")</f>
        <v/>
      </c>
      <c r="F1469" s="10" t="str">
        <f t="shared" si="48"/>
        <v/>
      </c>
    </row>
    <row r="1470" spans="1:6" x14ac:dyDescent="0.3">
      <c r="A1470" s="15" t="str">
        <f t="shared" si="47"/>
        <v>.</v>
      </c>
      <c r="E1470" s="13" t="str">
        <f>IFERROR(IF(AND(B1470&lt;&gt;"",C1470&lt;&gt;""),SUMIFS(Movimentos!$F$4:$F$9996,Movimentos!$D$4:$D$9996,B1470,Movimentos!$C$4:$C$9996,"Entrada")-SUMIFS(Movimentos!$F$4:$F$9996,Movimentos!$D$4:$D$9996,B1470,Movimentos!$C$4:$C$9996,"Saída"),""),"")</f>
        <v/>
      </c>
      <c r="F1470" s="10" t="str">
        <f t="shared" si="48"/>
        <v/>
      </c>
    </row>
    <row r="1471" spans="1:6" x14ac:dyDescent="0.3">
      <c r="A1471" s="15" t="str">
        <f t="shared" si="47"/>
        <v>.</v>
      </c>
      <c r="E1471" s="13" t="str">
        <f>IFERROR(IF(AND(B1471&lt;&gt;"",C1471&lt;&gt;""),SUMIFS(Movimentos!$F$4:$F$9996,Movimentos!$D$4:$D$9996,B1471,Movimentos!$C$4:$C$9996,"Entrada")-SUMIFS(Movimentos!$F$4:$F$9996,Movimentos!$D$4:$D$9996,B1471,Movimentos!$C$4:$C$9996,"Saída"),""),"")</f>
        <v/>
      </c>
      <c r="F1471" s="10" t="str">
        <f t="shared" si="48"/>
        <v/>
      </c>
    </row>
    <row r="1472" spans="1:6" x14ac:dyDescent="0.3">
      <c r="A1472" s="15" t="str">
        <f t="shared" ref="A1472:A1535" si="49">IF(F1472="Saldo zerado",0,IF(F1472="Saldo abaixo do mínimo",1,IF(F1472="Saldo disponível",2,".")))</f>
        <v>.</v>
      </c>
      <c r="E1472" s="13" t="str">
        <f>IFERROR(IF(AND(B1472&lt;&gt;"",C1472&lt;&gt;""),SUMIFS(Movimentos!$F$4:$F$9996,Movimentos!$D$4:$D$9996,B1472,Movimentos!$C$4:$C$9996,"Entrada")-SUMIFS(Movimentos!$F$4:$F$9996,Movimentos!$D$4:$D$9996,B1472,Movimentos!$C$4:$C$9996,"Saída"),""),"")</f>
        <v/>
      </c>
      <c r="F1472" s="10" t="str">
        <f t="shared" si="48"/>
        <v/>
      </c>
    </row>
    <row r="1473" spans="1:6" x14ac:dyDescent="0.3">
      <c r="A1473" s="15" t="str">
        <f t="shared" si="49"/>
        <v>.</v>
      </c>
      <c r="E1473" s="13" t="str">
        <f>IFERROR(IF(AND(B1473&lt;&gt;"",C1473&lt;&gt;""),SUMIFS(Movimentos!$F$4:$F$9996,Movimentos!$D$4:$D$9996,B1473,Movimentos!$C$4:$C$9996,"Entrada")-SUMIFS(Movimentos!$F$4:$F$9996,Movimentos!$D$4:$D$9996,B1473,Movimentos!$C$4:$C$9996,"Saída"),""),"")</f>
        <v/>
      </c>
      <c r="F1473" s="10" t="str">
        <f t="shared" si="48"/>
        <v/>
      </c>
    </row>
    <row r="1474" spans="1:6" x14ac:dyDescent="0.3">
      <c r="A1474" s="15" t="str">
        <f t="shared" si="49"/>
        <v>.</v>
      </c>
      <c r="E1474" s="13" t="str">
        <f>IFERROR(IF(AND(B1474&lt;&gt;"",C1474&lt;&gt;""),SUMIFS(Movimentos!$F$4:$F$9996,Movimentos!$D$4:$D$9996,B1474,Movimentos!$C$4:$C$9996,"Entrada")-SUMIFS(Movimentos!$F$4:$F$9996,Movimentos!$D$4:$D$9996,B1474,Movimentos!$C$4:$C$9996,"Saída"),""),"")</f>
        <v/>
      </c>
      <c r="F1474" s="10" t="str">
        <f t="shared" si="48"/>
        <v/>
      </c>
    </row>
    <row r="1475" spans="1:6" x14ac:dyDescent="0.3">
      <c r="A1475" s="15" t="str">
        <f t="shared" si="49"/>
        <v>.</v>
      </c>
      <c r="E1475" s="13" t="str">
        <f>IFERROR(IF(AND(B1475&lt;&gt;"",C1475&lt;&gt;""),SUMIFS(Movimentos!$F$4:$F$9996,Movimentos!$D$4:$D$9996,B1475,Movimentos!$C$4:$C$9996,"Entrada")-SUMIFS(Movimentos!$F$4:$F$9996,Movimentos!$D$4:$D$9996,B1475,Movimentos!$C$4:$C$9996,"Saída"),""),"")</f>
        <v/>
      </c>
      <c r="F1475" s="10" t="str">
        <f t="shared" si="48"/>
        <v/>
      </c>
    </row>
    <row r="1476" spans="1:6" x14ac:dyDescent="0.3">
      <c r="A1476" s="15" t="str">
        <f t="shared" si="49"/>
        <v>.</v>
      </c>
      <c r="E1476" s="13" t="str">
        <f>IFERROR(IF(AND(B1476&lt;&gt;"",C1476&lt;&gt;""),SUMIFS(Movimentos!$F$4:$F$9996,Movimentos!$D$4:$D$9996,B1476,Movimentos!$C$4:$C$9996,"Entrada")-SUMIFS(Movimentos!$F$4:$F$9996,Movimentos!$D$4:$D$9996,B1476,Movimentos!$C$4:$C$9996,"Saída"),""),"")</f>
        <v/>
      </c>
      <c r="F1476" s="10" t="str">
        <f t="shared" si="48"/>
        <v/>
      </c>
    </row>
    <row r="1477" spans="1:6" x14ac:dyDescent="0.3">
      <c r="A1477" s="15" t="str">
        <f t="shared" si="49"/>
        <v>.</v>
      </c>
      <c r="E1477" s="13" t="str">
        <f>IFERROR(IF(AND(B1477&lt;&gt;"",C1477&lt;&gt;""),SUMIFS(Movimentos!$F$4:$F$9996,Movimentos!$D$4:$D$9996,B1477,Movimentos!$C$4:$C$9996,"Entrada")-SUMIFS(Movimentos!$F$4:$F$9996,Movimentos!$D$4:$D$9996,B1477,Movimentos!$C$4:$C$9996,"Saída"),""),"")</f>
        <v/>
      </c>
      <c r="F1477" s="10" t="str">
        <f t="shared" si="48"/>
        <v/>
      </c>
    </row>
    <row r="1478" spans="1:6" x14ac:dyDescent="0.3">
      <c r="A1478" s="15" t="str">
        <f t="shared" si="49"/>
        <v>.</v>
      </c>
      <c r="E1478" s="13" t="str">
        <f>IFERROR(IF(AND(B1478&lt;&gt;"",C1478&lt;&gt;""),SUMIFS(Movimentos!$F$4:$F$9996,Movimentos!$D$4:$D$9996,B1478,Movimentos!$C$4:$C$9996,"Entrada")-SUMIFS(Movimentos!$F$4:$F$9996,Movimentos!$D$4:$D$9996,B1478,Movimentos!$C$4:$C$9996,"Saída"),""),"")</f>
        <v/>
      </c>
      <c r="F1478" s="10" t="str">
        <f t="shared" si="48"/>
        <v/>
      </c>
    </row>
    <row r="1479" spans="1:6" x14ac:dyDescent="0.3">
      <c r="A1479" s="15" t="str">
        <f t="shared" si="49"/>
        <v>.</v>
      </c>
      <c r="E1479" s="13" t="str">
        <f>IFERROR(IF(AND(B1479&lt;&gt;"",C1479&lt;&gt;""),SUMIFS(Movimentos!$F$4:$F$9996,Movimentos!$D$4:$D$9996,B1479,Movimentos!$C$4:$C$9996,"Entrada")-SUMIFS(Movimentos!$F$4:$F$9996,Movimentos!$D$4:$D$9996,B1479,Movimentos!$C$4:$C$9996,"Saída"),""),"")</f>
        <v/>
      </c>
      <c r="F1479" s="10" t="str">
        <f t="shared" si="48"/>
        <v/>
      </c>
    </row>
    <row r="1480" spans="1:6" x14ac:dyDescent="0.3">
      <c r="A1480" s="15" t="str">
        <f t="shared" si="49"/>
        <v>.</v>
      </c>
      <c r="E1480" s="13" t="str">
        <f>IFERROR(IF(AND(B1480&lt;&gt;"",C1480&lt;&gt;""),SUMIFS(Movimentos!$F$4:$F$9996,Movimentos!$D$4:$D$9996,B1480,Movimentos!$C$4:$C$9996,"Entrada")-SUMIFS(Movimentos!$F$4:$F$9996,Movimentos!$D$4:$D$9996,B1480,Movimentos!$C$4:$C$9996,"Saída"),""),"")</f>
        <v/>
      </c>
      <c r="F1480" s="10" t="str">
        <f t="shared" si="48"/>
        <v/>
      </c>
    </row>
    <row r="1481" spans="1:6" x14ac:dyDescent="0.3">
      <c r="A1481" s="15" t="str">
        <f t="shared" si="49"/>
        <v>.</v>
      </c>
      <c r="E1481" s="13" t="str">
        <f>IFERROR(IF(AND(B1481&lt;&gt;"",C1481&lt;&gt;""),SUMIFS(Movimentos!$F$4:$F$9996,Movimentos!$D$4:$D$9996,B1481,Movimentos!$C$4:$C$9996,"Entrada")-SUMIFS(Movimentos!$F$4:$F$9996,Movimentos!$D$4:$D$9996,B1481,Movimentos!$C$4:$C$9996,"Saída"),""),"")</f>
        <v/>
      </c>
      <c r="F1481" s="10" t="str">
        <f t="shared" si="48"/>
        <v/>
      </c>
    </row>
    <row r="1482" spans="1:6" x14ac:dyDescent="0.3">
      <c r="A1482" s="15" t="str">
        <f t="shared" si="49"/>
        <v>.</v>
      </c>
      <c r="E1482" s="13" t="str">
        <f>IFERROR(IF(AND(B1482&lt;&gt;"",C1482&lt;&gt;""),SUMIFS(Movimentos!$F$4:$F$9996,Movimentos!$D$4:$D$9996,B1482,Movimentos!$C$4:$C$9996,"Entrada")-SUMIFS(Movimentos!$F$4:$F$9996,Movimentos!$D$4:$D$9996,B1482,Movimentos!$C$4:$C$9996,"Saída"),""),"")</f>
        <v/>
      </c>
      <c r="F1482" s="10" t="str">
        <f t="shared" si="48"/>
        <v/>
      </c>
    </row>
    <row r="1483" spans="1:6" x14ac:dyDescent="0.3">
      <c r="A1483" s="15" t="str">
        <f t="shared" si="49"/>
        <v>.</v>
      </c>
      <c r="E1483" s="13" t="str">
        <f>IFERROR(IF(AND(B1483&lt;&gt;"",C1483&lt;&gt;""),SUMIFS(Movimentos!$F$4:$F$9996,Movimentos!$D$4:$D$9996,B1483,Movimentos!$C$4:$C$9996,"Entrada")-SUMIFS(Movimentos!$F$4:$F$9996,Movimentos!$D$4:$D$9996,B1483,Movimentos!$C$4:$C$9996,"Saída"),""),"")</f>
        <v/>
      </c>
      <c r="F1483" s="10" t="str">
        <f t="shared" si="48"/>
        <v/>
      </c>
    </row>
    <row r="1484" spans="1:6" x14ac:dyDescent="0.3">
      <c r="A1484" s="15" t="str">
        <f t="shared" si="49"/>
        <v>.</v>
      </c>
      <c r="E1484" s="13" t="str">
        <f>IFERROR(IF(AND(B1484&lt;&gt;"",C1484&lt;&gt;""),SUMIFS(Movimentos!$F$4:$F$9996,Movimentos!$D$4:$D$9996,B1484,Movimentos!$C$4:$C$9996,"Entrada")-SUMIFS(Movimentos!$F$4:$F$9996,Movimentos!$D$4:$D$9996,B1484,Movimentos!$C$4:$C$9996,"Saída"),""),"")</f>
        <v/>
      </c>
      <c r="F1484" s="10" t="str">
        <f t="shared" si="48"/>
        <v/>
      </c>
    </row>
    <row r="1485" spans="1:6" x14ac:dyDescent="0.3">
      <c r="A1485" s="15" t="str">
        <f t="shared" si="49"/>
        <v>.</v>
      </c>
      <c r="E1485" s="13" t="str">
        <f>IFERROR(IF(AND(B1485&lt;&gt;"",C1485&lt;&gt;""),SUMIFS(Movimentos!$F$4:$F$9996,Movimentos!$D$4:$D$9996,B1485,Movimentos!$C$4:$C$9996,"Entrada")-SUMIFS(Movimentos!$F$4:$F$9996,Movimentos!$D$4:$D$9996,B1485,Movimentos!$C$4:$C$9996,"Saída"),""),"")</f>
        <v/>
      </c>
      <c r="F1485" s="10" t="str">
        <f t="shared" si="48"/>
        <v/>
      </c>
    </row>
    <row r="1486" spans="1:6" x14ac:dyDescent="0.3">
      <c r="A1486" s="15" t="str">
        <f t="shared" si="49"/>
        <v>.</v>
      </c>
      <c r="E1486" s="13" t="str">
        <f>IFERROR(IF(AND(B1486&lt;&gt;"",C1486&lt;&gt;""),SUMIFS(Movimentos!$F$4:$F$9996,Movimentos!$D$4:$D$9996,B1486,Movimentos!$C$4:$C$9996,"Entrada")-SUMIFS(Movimentos!$F$4:$F$9996,Movimentos!$D$4:$D$9996,B1486,Movimentos!$C$4:$C$9996,"Saída"),""),"")</f>
        <v/>
      </c>
      <c r="F1486" s="10" t="str">
        <f t="shared" si="48"/>
        <v/>
      </c>
    </row>
    <row r="1487" spans="1:6" x14ac:dyDescent="0.3">
      <c r="A1487" s="15" t="str">
        <f t="shared" si="49"/>
        <v>.</v>
      </c>
      <c r="E1487" s="13" t="str">
        <f>IFERROR(IF(AND(B1487&lt;&gt;"",C1487&lt;&gt;""),SUMIFS(Movimentos!$F$4:$F$9996,Movimentos!$D$4:$D$9996,B1487,Movimentos!$C$4:$C$9996,"Entrada")-SUMIFS(Movimentos!$F$4:$F$9996,Movimentos!$D$4:$D$9996,B1487,Movimentos!$C$4:$C$9996,"Saída"),""),"")</f>
        <v/>
      </c>
      <c r="F1487" s="10" t="str">
        <f t="shared" si="48"/>
        <v/>
      </c>
    </row>
    <row r="1488" spans="1:6" x14ac:dyDescent="0.3">
      <c r="A1488" s="15" t="str">
        <f t="shared" si="49"/>
        <v>.</v>
      </c>
      <c r="E1488" s="13" t="str">
        <f>IFERROR(IF(AND(B1488&lt;&gt;"",C1488&lt;&gt;""),SUMIFS(Movimentos!$F$4:$F$9996,Movimentos!$D$4:$D$9996,B1488,Movimentos!$C$4:$C$9996,"Entrada")-SUMIFS(Movimentos!$F$4:$F$9996,Movimentos!$D$4:$D$9996,B1488,Movimentos!$C$4:$C$9996,"Saída"),""),"")</f>
        <v/>
      </c>
      <c r="F1488" s="10" t="str">
        <f t="shared" si="48"/>
        <v/>
      </c>
    </row>
    <row r="1489" spans="1:6" x14ac:dyDescent="0.3">
      <c r="A1489" s="15" t="str">
        <f t="shared" si="49"/>
        <v>.</v>
      </c>
      <c r="E1489" s="13" t="str">
        <f>IFERROR(IF(AND(B1489&lt;&gt;"",C1489&lt;&gt;""),SUMIFS(Movimentos!$F$4:$F$9996,Movimentos!$D$4:$D$9996,B1489,Movimentos!$C$4:$C$9996,"Entrada")-SUMIFS(Movimentos!$F$4:$F$9996,Movimentos!$D$4:$D$9996,B1489,Movimentos!$C$4:$C$9996,"Saída"),""),"")</f>
        <v/>
      </c>
      <c r="F1489" s="10" t="str">
        <f t="shared" si="48"/>
        <v/>
      </c>
    </row>
    <row r="1490" spans="1:6" x14ac:dyDescent="0.3">
      <c r="A1490" s="15" t="str">
        <f t="shared" si="49"/>
        <v>.</v>
      </c>
      <c r="E1490" s="13" t="str">
        <f>IFERROR(IF(AND(B1490&lt;&gt;"",C1490&lt;&gt;""),SUMIFS(Movimentos!$F$4:$F$9996,Movimentos!$D$4:$D$9996,B1490,Movimentos!$C$4:$C$9996,"Entrada")-SUMIFS(Movimentos!$F$4:$F$9996,Movimentos!$D$4:$D$9996,B1490,Movimentos!$C$4:$C$9996,"Saída"),""),"")</f>
        <v/>
      </c>
      <c r="F1490" s="10" t="str">
        <f t="shared" si="48"/>
        <v/>
      </c>
    </row>
    <row r="1491" spans="1:6" x14ac:dyDescent="0.3">
      <c r="A1491" s="15" t="str">
        <f t="shared" si="49"/>
        <v>.</v>
      </c>
      <c r="E1491" s="13" t="str">
        <f>IFERROR(IF(AND(B1491&lt;&gt;"",C1491&lt;&gt;""),SUMIFS(Movimentos!$F$4:$F$9996,Movimentos!$D$4:$D$9996,B1491,Movimentos!$C$4:$C$9996,"Entrada")-SUMIFS(Movimentos!$F$4:$F$9996,Movimentos!$D$4:$D$9996,B1491,Movimentos!$C$4:$C$9996,"Saída"),""),"")</f>
        <v/>
      </c>
      <c r="F1491" s="10" t="str">
        <f t="shared" si="48"/>
        <v/>
      </c>
    </row>
    <row r="1492" spans="1:6" x14ac:dyDescent="0.3">
      <c r="A1492" s="15" t="str">
        <f t="shared" si="49"/>
        <v>.</v>
      </c>
      <c r="E1492" s="13" t="str">
        <f>IFERROR(IF(AND(B1492&lt;&gt;"",C1492&lt;&gt;""),SUMIFS(Movimentos!$F$4:$F$9996,Movimentos!$D$4:$D$9996,B1492,Movimentos!$C$4:$C$9996,"Entrada")-SUMIFS(Movimentos!$F$4:$F$9996,Movimentos!$D$4:$D$9996,B1492,Movimentos!$C$4:$C$9996,"Saída"),""),"")</f>
        <v/>
      </c>
      <c r="F1492" s="10" t="str">
        <f t="shared" si="48"/>
        <v/>
      </c>
    </row>
    <row r="1493" spans="1:6" x14ac:dyDescent="0.3">
      <c r="A1493" s="15" t="str">
        <f t="shared" si="49"/>
        <v>.</v>
      </c>
      <c r="E1493" s="13" t="str">
        <f>IFERROR(IF(AND(B1493&lt;&gt;"",C1493&lt;&gt;""),SUMIFS(Movimentos!$F$4:$F$9996,Movimentos!$D$4:$D$9996,B1493,Movimentos!$C$4:$C$9996,"Entrada")-SUMIFS(Movimentos!$F$4:$F$9996,Movimentos!$D$4:$D$9996,B1493,Movimentos!$C$4:$C$9996,"Saída"),""),"")</f>
        <v/>
      </c>
      <c r="F1493" s="10" t="str">
        <f t="shared" si="48"/>
        <v/>
      </c>
    </row>
    <row r="1494" spans="1:6" x14ac:dyDescent="0.3">
      <c r="A1494" s="15" t="str">
        <f t="shared" si="49"/>
        <v>.</v>
      </c>
      <c r="E1494" s="13" t="str">
        <f>IFERROR(IF(AND(B1494&lt;&gt;"",C1494&lt;&gt;""),SUMIFS(Movimentos!$F$4:$F$9996,Movimentos!$D$4:$D$9996,B1494,Movimentos!$C$4:$C$9996,"Entrada")-SUMIFS(Movimentos!$F$4:$F$9996,Movimentos!$D$4:$D$9996,B1494,Movimentos!$C$4:$C$9996,"Saída"),""),"")</f>
        <v/>
      </c>
      <c r="F1494" s="10" t="str">
        <f t="shared" si="48"/>
        <v/>
      </c>
    </row>
    <row r="1495" spans="1:6" x14ac:dyDescent="0.3">
      <c r="A1495" s="15" t="str">
        <f t="shared" si="49"/>
        <v>.</v>
      </c>
      <c r="E1495" s="13" t="str">
        <f>IFERROR(IF(AND(B1495&lt;&gt;"",C1495&lt;&gt;""),SUMIFS(Movimentos!$F$4:$F$9996,Movimentos!$D$4:$D$9996,B1495,Movimentos!$C$4:$C$9996,"Entrada")-SUMIFS(Movimentos!$F$4:$F$9996,Movimentos!$D$4:$D$9996,B1495,Movimentos!$C$4:$C$9996,"Saída"),""),"")</f>
        <v/>
      </c>
      <c r="F1495" s="10" t="str">
        <f t="shared" ref="F1495:F1558" si="50">IF(AND(B1495&lt;&gt;"",C1495&lt;&gt;""),IF(E1495=0,"Saldo zerado",IF(E1495&lt;D1495,"Saldo abaixo do mínimo","Saldo disponível")),"")</f>
        <v/>
      </c>
    </row>
    <row r="1496" spans="1:6" x14ac:dyDescent="0.3">
      <c r="A1496" s="15" t="str">
        <f t="shared" si="49"/>
        <v>.</v>
      </c>
      <c r="E1496" s="13" t="str">
        <f>IFERROR(IF(AND(B1496&lt;&gt;"",C1496&lt;&gt;""),SUMIFS(Movimentos!$F$4:$F$9996,Movimentos!$D$4:$D$9996,B1496,Movimentos!$C$4:$C$9996,"Entrada")-SUMIFS(Movimentos!$F$4:$F$9996,Movimentos!$D$4:$D$9996,B1496,Movimentos!$C$4:$C$9996,"Saída"),""),"")</f>
        <v/>
      </c>
      <c r="F1496" s="10" t="str">
        <f t="shared" si="50"/>
        <v/>
      </c>
    </row>
    <row r="1497" spans="1:6" x14ac:dyDescent="0.3">
      <c r="A1497" s="15" t="str">
        <f t="shared" si="49"/>
        <v>.</v>
      </c>
      <c r="E1497" s="13" t="str">
        <f>IFERROR(IF(AND(B1497&lt;&gt;"",C1497&lt;&gt;""),SUMIFS(Movimentos!$F$4:$F$9996,Movimentos!$D$4:$D$9996,B1497,Movimentos!$C$4:$C$9996,"Entrada")-SUMIFS(Movimentos!$F$4:$F$9996,Movimentos!$D$4:$D$9996,B1497,Movimentos!$C$4:$C$9996,"Saída"),""),"")</f>
        <v/>
      </c>
      <c r="F1497" s="10" t="str">
        <f t="shared" si="50"/>
        <v/>
      </c>
    </row>
    <row r="1498" spans="1:6" x14ac:dyDescent="0.3">
      <c r="A1498" s="15" t="str">
        <f t="shared" si="49"/>
        <v>.</v>
      </c>
      <c r="E1498" s="13" t="str">
        <f>IFERROR(IF(AND(B1498&lt;&gt;"",C1498&lt;&gt;""),SUMIFS(Movimentos!$F$4:$F$9996,Movimentos!$D$4:$D$9996,B1498,Movimentos!$C$4:$C$9996,"Entrada")-SUMIFS(Movimentos!$F$4:$F$9996,Movimentos!$D$4:$D$9996,B1498,Movimentos!$C$4:$C$9996,"Saída"),""),"")</f>
        <v/>
      </c>
      <c r="F1498" s="10" t="str">
        <f t="shared" si="50"/>
        <v/>
      </c>
    </row>
    <row r="1499" spans="1:6" x14ac:dyDescent="0.3">
      <c r="A1499" s="15" t="str">
        <f t="shared" si="49"/>
        <v>.</v>
      </c>
      <c r="E1499" s="13" t="str">
        <f>IFERROR(IF(AND(B1499&lt;&gt;"",C1499&lt;&gt;""),SUMIFS(Movimentos!$F$4:$F$9996,Movimentos!$D$4:$D$9996,B1499,Movimentos!$C$4:$C$9996,"Entrada")-SUMIFS(Movimentos!$F$4:$F$9996,Movimentos!$D$4:$D$9996,B1499,Movimentos!$C$4:$C$9996,"Saída"),""),"")</f>
        <v/>
      </c>
      <c r="F1499" s="10" t="str">
        <f t="shared" si="50"/>
        <v/>
      </c>
    </row>
    <row r="1500" spans="1:6" x14ac:dyDescent="0.3">
      <c r="A1500" s="15" t="str">
        <f t="shared" si="49"/>
        <v>.</v>
      </c>
      <c r="E1500" s="13" t="str">
        <f>IFERROR(IF(AND(B1500&lt;&gt;"",C1500&lt;&gt;""),SUMIFS(Movimentos!$F$4:$F$9996,Movimentos!$D$4:$D$9996,B1500,Movimentos!$C$4:$C$9996,"Entrada")-SUMIFS(Movimentos!$F$4:$F$9996,Movimentos!$D$4:$D$9996,B1500,Movimentos!$C$4:$C$9996,"Saída"),""),"")</f>
        <v/>
      </c>
      <c r="F1500" s="10" t="str">
        <f t="shared" si="50"/>
        <v/>
      </c>
    </row>
    <row r="1501" spans="1:6" x14ac:dyDescent="0.3">
      <c r="A1501" s="15" t="str">
        <f t="shared" si="49"/>
        <v>.</v>
      </c>
      <c r="E1501" s="13" t="str">
        <f>IFERROR(IF(AND(B1501&lt;&gt;"",C1501&lt;&gt;""),SUMIFS(Movimentos!$F$4:$F$9996,Movimentos!$D$4:$D$9996,B1501,Movimentos!$C$4:$C$9996,"Entrada")-SUMIFS(Movimentos!$F$4:$F$9996,Movimentos!$D$4:$D$9996,B1501,Movimentos!$C$4:$C$9996,"Saída"),""),"")</f>
        <v/>
      </c>
      <c r="F1501" s="10" t="str">
        <f t="shared" si="50"/>
        <v/>
      </c>
    </row>
    <row r="1502" spans="1:6" x14ac:dyDescent="0.3">
      <c r="A1502" s="15" t="str">
        <f t="shared" si="49"/>
        <v>.</v>
      </c>
      <c r="E1502" s="13" t="str">
        <f>IFERROR(IF(AND(B1502&lt;&gt;"",C1502&lt;&gt;""),SUMIFS(Movimentos!$F$4:$F$9996,Movimentos!$D$4:$D$9996,B1502,Movimentos!$C$4:$C$9996,"Entrada")-SUMIFS(Movimentos!$F$4:$F$9996,Movimentos!$D$4:$D$9996,B1502,Movimentos!$C$4:$C$9996,"Saída"),""),"")</f>
        <v/>
      </c>
      <c r="F1502" s="10" t="str">
        <f t="shared" si="50"/>
        <v/>
      </c>
    </row>
    <row r="1503" spans="1:6" x14ac:dyDescent="0.3">
      <c r="A1503" s="15" t="str">
        <f t="shared" si="49"/>
        <v>.</v>
      </c>
      <c r="E1503" s="13" t="str">
        <f>IFERROR(IF(AND(B1503&lt;&gt;"",C1503&lt;&gt;""),SUMIFS(Movimentos!$F$4:$F$9996,Movimentos!$D$4:$D$9996,B1503,Movimentos!$C$4:$C$9996,"Entrada")-SUMIFS(Movimentos!$F$4:$F$9996,Movimentos!$D$4:$D$9996,B1503,Movimentos!$C$4:$C$9996,"Saída"),""),"")</f>
        <v/>
      </c>
      <c r="F1503" s="10" t="str">
        <f t="shared" si="50"/>
        <v/>
      </c>
    </row>
    <row r="1504" spans="1:6" x14ac:dyDescent="0.3">
      <c r="A1504" s="15" t="str">
        <f t="shared" si="49"/>
        <v>.</v>
      </c>
      <c r="E1504" s="13" t="str">
        <f>IFERROR(IF(AND(B1504&lt;&gt;"",C1504&lt;&gt;""),SUMIFS(Movimentos!$F$4:$F$9996,Movimentos!$D$4:$D$9996,B1504,Movimentos!$C$4:$C$9996,"Entrada")-SUMIFS(Movimentos!$F$4:$F$9996,Movimentos!$D$4:$D$9996,B1504,Movimentos!$C$4:$C$9996,"Saída"),""),"")</f>
        <v/>
      </c>
      <c r="F1504" s="10" t="str">
        <f t="shared" si="50"/>
        <v/>
      </c>
    </row>
    <row r="1505" spans="1:6" x14ac:dyDescent="0.3">
      <c r="A1505" s="15" t="str">
        <f t="shared" si="49"/>
        <v>.</v>
      </c>
      <c r="E1505" s="13" t="str">
        <f>IFERROR(IF(AND(B1505&lt;&gt;"",C1505&lt;&gt;""),SUMIFS(Movimentos!$F$4:$F$9996,Movimentos!$D$4:$D$9996,B1505,Movimentos!$C$4:$C$9996,"Entrada")-SUMIFS(Movimentos!$F$4:$F$9996,Movimentos!$D$4:$D$9996,B1505,Movimentos!$C$4:$C$9996,"Saída"),""),"")</f>
        <v/>
      </c>
      <c r="F1505" s="10" t="str">
        <f t="shared" si="50"/>
        <v/>
      </c>
    </row>
    <row r="1506" spans="1:6" x14ac:dyDescent="0.3">
      <c r="A1506" s="15" t="str">
        <f t="shared" si="49"/>
        <v>.</v>
      </c>
      <c r="E1506" s="13" t="str">
        <f>IFERROR(IF(AND(B1506&lt;&gt;"",C1506&lt;&gt;""),SUMIFS(Movimentos!$F$4:$F$9996,Movimentos!$D$4:$D$9996,B1506,Movimentos!$C$4:$C$9996,"Entrada")-SUMIFS(Movimentos!$F$4:$F$9996,Movimentos!$D$4:$D$9996,B1506,Movimentos!$C$4:$C$9996,"Saída"),""),"")</f>
        <v/>
      </c>
      <c r="F1506" s="10" t="str">
        <f t="shared" si="50"/>
        <v/>
      </c>
    </row>
    <row r="1507" spans="1:6" x14ac:dyDescent="0.3">
      <c r="A1507" s="15" t="str">
        <f t="shared" si="49"/>
        <v>.</v>
      </c>
      <c r="E1507" s="13" t="str">
        <f>IFERROR(IF(AND(B1507&lt;&gt;"",C1507&lt;&gt;""),SUMIFS(Movimentos!$F$4:$F$9996,Movimentos!$D$4:$D$9996,B1507,Movimentos!$C$4:$C$9996,"Entrada")-SUMIFS(Movimentos!$F$4:$F$9996,Movimentos!$D$4:$D$9996,B1507,Movimentos!$C$4:$C$9996,"Saída"),""),"")</f>
        <v/>
      </c>
      <c r="F1507" s="10" t="str">
        <f t="shared" si="50"/>
        <v/>
      </c>
    </row>
    <row r="1508" spans="1:6" x14ac:dyDescent="0.3">
      <c r="A1508" s="15" t="str">
        <f t="shared" si="49"/>
        <v>.</v>
      </c>
      <c r="E1508" s="13" t="str">
        <f>IFERROR(IF(AND(B1508&lt;&gt;"",C1508&lt;&gt;""),SUMIFS(Movimentos!$F$4:$F$9996,Movimentos!$D$4:$D$9996,B1508,Movimentos!$C$4:$C$9996,"Entrada")-SUMIFS(Movimentos!$F$4:$F$9996,Movimentos!$D$4:$D$9996,B1508,Movimentos!$C$4:$C$9996,"Saída"),""),"")</f>
        <v/>
      </c>
      <c r="F1508" s="10" t="str">
        <f t="shared" si="50"/>
        <v/>
      </c>
    </row>
    <row r="1509" spans="1:6" x14ac:dyDescent="0.3">
      <c r="A1509" s="15" t="str">
        <f t="shared" si="49"/>
        <v>.</v>
      </c>
      <c r="E1509" s="13" t="str">
        <f>IFERROR(IF(AND(B1509&lt;&gt;"",C1509&lt;&gt;""),SUMIFS(Movimentos!$F$4:$F$9996,Movimentos!$D$4:$D$9996,B1509,Movimentos!$C$4:$C$9996,"Entrada")-SUMIFS(Movimentos!$F$4:$F$9996,Movimentos!$D$4:$D$9996,B1509,Movimentos!$C$4:$C$9996,"Saída"),""),"")</f>
        <v/>
      </c>
      <c r="F1509" s="10" t="str">
        <f t="shared" si="50"/>
        <v/>
      </c>
    </row>
    <row r="1510" spans="1:6" x14ac:dyDescent="0.3">
      <c r="A1510" s="15" t="str">
        <f t="shared" si="49"/>
        <v>.</v>
      </c>
      <c r="E1510" s="13" t="str">
        <f>IFERROR(IF(AND(B1510&lt;&gt;"",C1510&lt;&gt;""),SUMIFS(Movimentos!$F$4:$F$9996,Movimentos!$D$4:$D$9996,B1510,Movimentos!$C$4:$C$9996,"Entrada")-SUMIFS(Movimentos!$F$4:$F$9996,Movimentos!$D$4:$D$9996,B1510,Movimentos!$C$4:$C$9996,"Saída"),""),"")</f>
        <v/>
      </c>
      <c r="F1510" s="10" t="str">
        <f t="shared" si="50"/>
        <v/>
      </c>
    </row>
    <row r="1511" spans="1:6" x14ac:dyDescent="0.3">
      <c r="A1511" s="15" t="str">
        <f t="shared" si="49"/>
        <v>.</v>
      </c>
      <c r="E1511" s="13" t="str">
        <f>IFERROR(IF(AND(B1511&lt;&gt;"",C1511&lt;&gt;""),SUMIFS(Movimentos!$F$4:$F$9996,Movimentos!$D$4:$D$9996,B1511,Movimentos!$C$4:$C$9996,"Entrada")-SUMIFS(Movimentos!$F$4:$F$9996,Movimentos!$D$4:$D$9996,B1511,Movimentos!$C$4:$C$9996,"Saída"),""),"")</f>
        <v/>
      </c>
      <c r="F1511" s="10" t="str">
        <f t="shared" si="50"/>
        <v/>
      </c>
    </row>
    <row r="1512" spans="1:6" x14ac:dyDescent="0.3">
      <c r="A1512" s="15" t="str">
        <f t="shared" si="49"/>
        <v>.</v>
      </c>
      <c r="E1512" s="13" t="str">
        <f>IFERROR(IF(AND(B1512&lt;&gt;"",C1512&lt;&gt;""),SUMIFS(Movimentos!$F$4:$F$9996,Movimentos!$D$4:$D$9996,B1512,Movimentos!$C$4:$C$9996,"Entrada")-SUMIFS(Movimentos!$F$4:$F$9996,Movimentos!$D$4:$D$9996,B1512,Movimentos!$C$4:$C$9996,"Saída"),""),"")</f>
        <v/>
      </c>
      <c r="F1512" s="10" t="str">
        <f t="shared" si="50"/>
        <v/>
      </c>
    </row>
    <row r="1513" spans="1:6" x14ac:dyDescent="0.3">
      <c r="A1513" s="15" t="str">
        <f t="shared" si="49"/>
        <v>.</v>
      </c>
      <c r="E1513" s="13" t="str">
        <f>IFERROR(IF(AND(B1513&lt;&gt;"",C1513&lt;&gt;""),SUMIFS(Movimentos!$F$4:$F$9996,Movimentos!$D$4:$D$9996,B1513,Movimentos!$C$4:$C$9996,"Entrada")-SUMIFS(Movimentos!$F$4:$F$9996,Movimentos!$D$4:$D$9996,B1513,Movimentos!$C$4:$C$9996,"Saída"),""),"")</f>
        <v/>
      </c>
      <c r="F1513" s="10" t="str">
        <f t="shared" si="50"/>
        <v/>
      </c>
    </row>
    <row r="1514" spans="1:6" x14ac:dyDescent="0.3">
      <c r="A1514" s="15" t="str">
        <f t="shared" si="49"/>
        <v>.</v>
      </c>
      <c r="E1514" s="13" t="str">
        <f>IFERROR(IF(AND(B1514&lt;&gt;"",C1514&lt;&gt;""),SUMIFS(Movimentos!$F$4:$F$9996,Movimentos!$D$4:$D$9996,B1514,Movimentos!$C$4:$C$9996,"Entrada")-SUMIFS(Movimentos!$F$4:$F$9996,Movimentos!$D$4:$D$9996,B1514,Movimentos!$C$4:$C$9996,"Saída"),""),"")</f>
        <v/>
      </c>
      <c r="F1514" s="10" t="str">
        <f t="shared" si="50"/>
        <v/>
      </c>
    </row>
    <row r="1515" spans="1:6" x14ac:dyDescent="0.3">
      <c r="A1515" s="15" t="str">
        <f t="shared" si="49"/>
        <v>.</v>
      </c>
      <c r="E1515" s="13" t="str">
        <f>IFERROR(IF(AND(B1515&lt;&gt;"",C1515&lt;&gt;""),SUMIFS(Movimentos!$F$4:$F$9996,Movimentos!$D$4:$D$9996,B1515,Movimentos!$C$4:$C$9996,"Entrada")-SUMIFS(Movimentos!$F$4:$F$9996,Movimentos!$D$4:$D$9996,B1515,Movimentos!$C$4:$C$9996,"Saída"),""),"")</f>
        <v/>
      </c>
      <c r="F1515" s="10" t="str">
        <f t="shared" si="50"/>
        <v/>
      </c>
    </row>
    <row r="1516" spans="1:6" x14ac:dyDescent="0.3">
      <c r="A1516" s="15" t="str">
        <f t="shared" si="49"/>
        <v>.</v>
      </c>
      <c r="E1516" s="13" t="str">
        <f>IFERROR(IF(AND(B1516&lt;&gt;"",C1516&lt;&gt;""),SUMIFS(Movimentos!$F$4:$F$9996,Movimentos!$D$4:$D$9996,B1516,Movimentos!$C$4:$C$9996,"Entrada")-SUMIFS(Movimentos!$F$4:$F$9996,Movimentos!$D$4:$D$9996,B1516,Movimentos!$C$4:$C$9996,"Saída"),""),"")</f>
        <v/>
      </c>
      <c r="F1516" s="10" t="str">
        <f t="shared" si="50"/>
        <v/>
      </c>
    </row>
    <row r="1517" spans="1:6" x14ac:dyDescent="0.3">
      <c r="A1517" s="15" t="str">
        <f t="shared" si="49"/>
        <v>.</v>
      </c>
      <c r="E1517" s="13" t="str">
        <f>IFERROR(IF(AND(B1517&lt;&gt;"",C1517&lt;&gt;""),SUMIFS(Movimentos!$F$4:$F$9996,Movimentos!$D$4:$D$9996,B1517,Movimentos!$C$4:$C$9996,"Entrada")-SUMIFS(Movimentos!$F$4:$F$9996,Movimentos!$D$4:$D$9996,B1517,Movimentos!$C$4:$C$9996,"Saída"),""),"")</f>
        <v/>
      </c>
      <c r="F1517" s="10" t="str">
        <f t="shared" si="50"/>
        <v/>
      </c>
    </row>
    <row r="1518" spans="1:6" x14ac:dyDescent="0.3">
      <c r="A1518" s="15" t="str">
        <f t="shared" si="49"/>
        <v>.</v>
      </c>
      <c r="E1518" s="13" t="str">
        <f>IFERROR(IF(AND(B1518&lt;&gt;"",C1518&lt;&gt;""),SUMIFS(Movimentos!$F$4:$F$9996,Movimentos!$D$4:$D$9996,B1518,Movimentos!$C$4:$C$9996,"Entrada")-SUMIFS(Movimentos!$F$4:$F$9996,Movimentos!$D$4:$D$9996,B1518,Movimentos!$C$4:$C$9996,"Saída"),""),"")</f>
        <v/>
      </c>
      <c r="F1518" s="10" t="str">
        <f t="shared" si="50"/>
        <v/>
      </c>
    </row>
    <row r="1519" spans="1:6" x14ac:dyDescent="0.3">
      <c r="A1519" s="15" t="str">
        <f t="shared" si="49"/>
        <v>.</v>
      </c>
      <c r="E1519" s="13" t="str">
        <f>IFERROR(IF(AND(B1519&lt;&gt;"",C1519&lt;&gt;""),SUMIFS(Movimentos!$F$4:$F$9996,Movimentos!$D$4:$D$9996,B1519,Movimentos!$C$4:$C$9996,"Entrada")-SUMIFS(Movimentos!$F$4:$F$9996,Movimentos!$D$4:$D$9996,B1519,Movimentos!$C$4:$C$9996,"Saída"),""),"")</f>
        <v/>
      </c>
      <c r="F1519" s="10" t="str">
        <f t="shared" si="50"/>
        <v/>
      </c>
    </row>
    <row r="1520" spans="1:6" x14ac:dyDescent="0.3">
      <c r="A1520" s="15" t="str">
        <f t="shared" si="49"/>
        <v>.</v>
      </c>
      <c r="E1520" s="13" t="str">
        <f>IFERROR(IF(AND(B1520&lt;&gt;"",C1520&lt;&gt;""),SUMIFS(Movimentos!$F$4:$F$9996,Movimentos!$D$4:$D$9996,B1520,Movimentos!$C$4:$C$9996,"Entrada")-SUMIFS(Movimentos!$F$4:$F$9996,Movimentos!$D$4:$D$9996,B1520,Movimentos!$C$4:$C$9996,"Saída"),""),"")</f>
        <v/>
      </c>
      <c r="F1520" s="10" t="str">
        <f t="shared" si="50"/>
        <v/>
      </c>
    </row>
    <row r="1521" spans="1:6" x14ac:dyDescent="0.3">
      <c r="A1521" s="15" t="str">
        <f t="shared" si="49"/>
        <v>.</v>
      </c>
      <c r="E1521" s="13" t="str">
        <f>IFERROR(IF(AND(B1521&lt;&gt;"",C1521&lt;&gt;""),SUMIFS(Movimentos!$F$4:$F$9996,Movimentos!$D$4:$D$9996,B1521,Movimentos!$C$4:$C$9996,"Entrada")-SUMIFS(Movimentos!$F$4:$F$9996,Movimentos!$D$4:$D$9996,B1521,Movimentos!$C$4:$C$9996,"Saída"),""),"")</f>
        <v/>
      </c>
      <c r="F1521" s="10" t="str">
        <f t="shared" si="50"/>
        <v/>
      </c>
    </row>
    <row r="1522" spans="1:6" x14ac:dyDescent="0.3">
      <c r="A1522" s="15" t="str">
        <f t="shared" si="49"/>
        <v>.</v>
      </c>
      <c r="E1522" s="13" t="str">
        <f>IFERROR(IF(AND(B1522&lt;&gt;"",C1522&lt;&gt;""),SUMIFS(Movimentos!$F$4:$F$9996,Movimentos!$D$4:$D$9996,B1522,Movimentos!$C$4:$C$9996,"Entrada")-SUMIFS(Movimentos!$F$4:$F$9996,Movimentos!$D$4:$D$9996,B1522,Movimentos!$C$4:$C$9996,"Saída"),""),"")</f>
        <v/>
      </c>
      <c r="F1522" s="10" t="str">
        <f t="shared" si="50"/>
        <v/>
      </c>
    </row>
    <row r="1523" spans="1:6" x14ac:dyDescent="0.3">
      <c r="A1523" s="15" t="str">
        <f t="shared" si="49"/>
        <v>.</v>
      </c>
      <c r="E1523" s="13" t="str">
        <f>IFERROR(IF(AND(B1523&lt;&gt;"",C1523&lt;&gt;""),SUMIFS(Movimentos!$F$4:$F$9996,Movimentos!$D$4:$D$9996,B1523,Movimentos!$C$4:$C$9996,"Entrada")-SUMIFS(Movimentos!$F$4:$F$9996,Movimentos!$D$4:$D$9996,B1523,Movimentos!$C$4:$C$9996,"Saída"),""),"")</f>
        <v/>
      </c>
      <c r="F1523" s="10" t="str">
        <f t="shared" si="50"/>
        <v/>
      </c>
    </row>
    <row r="1524" spans="1:6" x14ac:dyDescent="0.3">
      <c r="A1524" s="15" t="str">
        <f t="shared" si="49"/>
        <v>.</v>
      </c>
      <c r="E1524" s="13" t="str">
        <f>IFERROR(IF(AND(B1524&lt;&gt;"",C1524&lt;&gt;""),SUMIFS(Movimentos!$F$4:$F$9996,Movimentos!$D$4:$D$9996,B1524,Movimentos!$C$4:$C$9996,"Entrada")-SUMIFS(Movimentos!$F$4:$F$9996,Movimentos!$D$4:$D$9996,B1524,Movimentos!$C$4:$C$9996,"Saída"),""),"")</f>
        <v/>
      </c>
      <c r="F1524" s="10" t="str">
        <f t="shared" si="50"/>
        <v/>
      </c>
    </row>
    <row r="1525" spans="1:6" x14ac:dyDescent="0.3">
      <c r="A1525" s="15" t="str">
        <f t="shared" si="49"/>
        <v>.</v>
      </c>
      <c r="E1525" s="13" t="str">
        <f>IFERROR(IF(AND(B1525&lt;&gt;"",C1525&lt;&gt;""),SUMIFS(Movimentos!$F$4:$F$9996,Movimentos!$D$4:$D$9996,B1525,Movimentos!$C$4:$C$9996,"Entrada")-SUMIFS(Movimentos!$F$4:$F$9996,Movimentos!$D$4:$D$9996,B1525,Movimentos!$C$4:$C$9996,"Saída"),""),"")</f>
        <v/>
      </c>
      <c r="F1525" s="10" t="str">
        <f t="shared" si="50"/>
        <v/>
      </c>
    </row>
    <row r="1526" spans="1:6" x14ac:dyDescent="0.3">
      <c r="A1526" s="15" t="str">
        <f t="shared" si="49"/>
        <v>.</v>
      </c>
      <c r="E1526" s="13" t="str">
        <f>IFERROR(IF(AND(B1526&lt;&gt;"",C1526&lt;&gt;""),SUMIFS(Movimentos!$F$4:$F$9996,Movimentos!$D$4:$D$9996,B1526,Movimentos!$C$4:$C$9996,"Entrada")-SUMIFS(Movimentos!$F$4:$F$9996,Movimentos!$D$4:$D$9996,B1526,Movimentos!$C$4:$C$9996,"Saída"),""),"")</f>
        <v/>
      </c>
      <c r="F1526" s="10" t="str">
        <f t="shared" si="50"/>
        <v/>
      </c>
    </row>
    <row r="1527" spans="1:6" x14ac:dyDescent="0.3">
      <c r="A1527" s="15" t="str">
        <f t="shared" si="49"/>
        <v>.</v>
      </c>
      <c r="E1527" s="13" t="str">
        <f>IFERROR(IF(AND(B1527&lt;&gt;"",C1527&lt;&gt;""),SUMIFS(Movimentos!$F$4:$F$9996,Movimentos!$D$4:$D$9996,B1527,Movimentos!$C$4:$C$9996,"Entrada")-SUMIFS(Movimentos!$F$4:$F$9996,Movimentos!$D$4:$D$9996,B1527,Movimentos!$C$4:$C$9996,"Saída"),""),"")</f>
        <v/>
      </c>
      <c r="F1527" s="10" t="str">
        <f t="shared" si="50"/>
        <v/>
      </c>
    </row>
    <row r="1528" spans="1:6" x14ac:dyDescent="0.3">
      <c r="A1528" s="15" t="str">
        <f t="shared" si="49"/>
        <v>.</v>
      </c>
      <c r="E1528" s="13" t="str">
        <f>IFERROR(IF(AND(B1528&lt;&gt;"",C1528&lt;&gt;""),SUMIFS(Movimentos!$F$4:$F$9996,Movimentos!$D$4:$D$9996,B1528,Movimentos!$C$4:$C$9996,"Entrada")-SUMIFS(Movimentos!$F$4:$F$9996,Movimentos!$D$4:$D$9996,B1528,Movimentos!$C$4:$C$9996,"Saída"),""),"")</f>
        <v/>
      </c>
      <c r="F1528" s="10" t="str">
        <f t="shared" si="50"/>
        <v/>
      </c>
    </row>
    <row r="1529" spans="1:6" x14ac:dyDescent="0.3">
      <c r="A1529" s="15" t="str">
        <f t="shared" si="49"/>
        <v>.</v>
      </c>
      <c r="E1529" s="13" t="str">
        <f>IFERROR(IF(AND(B1529&lt;&gt;"",C1529&lt;&gt;""),SUMIFS(Movimentos!$F$4:$F$9996,Movimentos!$D$4:$D$9996,B1529,Movimentos!$C$4:$C$9996,"Entrada")-SUMIFS(Movimentos!$F$4:$F$9996,Movimentos!$D$4:$D$9996,B1529,Movimentos!$C$4:$C$9996,"Saída"),""),"")</f>
        <v/>
      </c>
      <c r="F1529" s="10" t="str">
        <f t="shared" si="50"/>
        <v/>
      </c>
    </row>
    <row r="1530" spans="1:6" x14ac:dyDescent="0.3">
      <c r="A1530" s="15" t="str">
        <f t="shared" si="49"/>
        <v>.</v>
      </c>
      <c r="E1530" s="13" t="str">
        <f>IFERROR(IF(AND(B1530&lt;&gt;"",C1530&lt;&gt;""),SUMIFS(Movimentos!$F$4:$F$9996,Movimentos!$D$4:$D$9996,B1530,Movimentos!$C$4:$C$9996,"Entrada")-SUMIFS(Movimentos!$F$4:$F$9996,Movimentos!$D$4:$D$9996,B1530,Movimentos!$C$4:$C$9996,"Saída"),""),"")</f>
        <v/>
      </c>
      <c r="F1530" s="10" t="str">
        <f t="shared" si="50"/>
        <v/>
      </c>
    </row>
    <row r="1531" spans="1:6" x14ac:dyDescent="0.3">
      <c r="A1531" s="15" t="str">
        <f t="shared" si="49"/>
        <v>.</v>
      </c>
      <c r="E1531" s="13" t="str">
        <f>IFERROR(IF(AND(B1531&lt;&gt;"",C1531&lt;&gt;""),SUMIFS(Movimentos!$F$4:$F$9996,Movimentos!$D$4:$D$9996,B1531,Movimentos!$C$4:$C$9996,"Entrada")-SUMIFS(Movimentos!$F$4:$F$9996,Movimentos!$D$4:$D$9996,B1531,Movimentos!$C$4:$C$9996,"Saída"),""),"")</f>
        <v/>
      </c>
      <c r="F1531" s="10" t="str">
        <f t="shared" si="50"/>
        <v/>
      </c>
    </row>
    <row r="1532" spans="1:6" x14ac:dyDescent="0.3">
      <c r="A1532" s="15" t="str">
        <f t="shared" si="49"/>
        <v>.</v>
      </c>
      <c r="E1532" s="13" t="str">
        <f>IFERROR(IF(AND(B1532&lt;&gt;"",C1532&lt;&gt;""),SUMIFS(Movimentos!$F$4:$F$9996,Movimentos!$D$4:$D$9996,B1532,Movimentos!$C$4:$C$9996,"Entrada")-SUMIFS(Movimentos!$F$4:$F$9996,Movimentos!$D$4:$D$9996,B1532,Movimentos!$C$4:$C$9996,"Saída"),""),"")</f>
        <v/>
      </c>
      <c r="F1532" s="10" t="str">
        <f t="shared" si="50"/>
        <v/>
      </c>
    </row>
    <row r="1533" spans="1:6" x14ac:dyDescent="0.3">
      <c r="A1533" s="15" t="str">
        <f t="shared" si="49"/>
        <v>.</v>
      </c>
      <c r="E1533" s="13" t="str">
        <f>IFERROR(IF(AND(B1533&lt;&gt;"",C1533&lt;&gt;""),SUMIFS(Movimentos!$F$4:$F$9996,Movimentos!$D$4:$D$9996,B1533,Movimentos!$C$4:$C$9996,"Entrada")-SUMIFS(Movimentos!$F$4:$F$9996,Movimentos!$D$4:$D$9996,B1533,Movimentos!$C$4:$C$9996,"Saída"),""),"")</f>
        <v/>
      </c>
      <c r="F1533" s="10" t="str">
        <f t="shared" si="50"/>
        <v/>
      </c>
    </row>
    <row r="1534" spans="1:6" x14ac:dyDescent="0.3">
      <c r="A1534" s="15" t="str">
        <f t="shared" si="49"/>
        <v>.</v>
      </c>
      <c r="E1534" s="13" t="str">
        <f>IFERROR(IF(AND(B1534&lt;&gt;"",C1534&lt;&gt;""),SUMIFS(Movimentos!$F$4:$F$9996,Movimentos!$D$4:$D$9996,B1534,Movimentos!$C$4:$C$9996,"Entrada")-SUMIFS(Movimentos!$F$4:$F$9996,Movimentos!$D$4:$D$9996,B1534,Movimentos!$C$4:$C$9996,"Saída"),""),"")</f>
        <v/>
      </c>
      <c r="F1534" s="10" t="str">
        <f t="shared" si="50"/>
        <v/>
      </c>
    </row>
    <row r="1535" spans="1:6" x14ac:dyDescent="0.3">
      <c r="A1535" s="15" t="str">
        <f t="shared" si="49"/>
        <v>.</v>
      </c>
      <c r="E1535" s="13" t="str">
        <f>IFERROR(IF(AND(B1535&lt;&gt;"",C1535&lt;&gt;""),SUMIFS(Movimentos!$F$4:$F$9996,Movimentos!$D$4:$D$9996,B1535,Movimentos!$C$4:$C$9996,"Entrada")-SUMIFS(Movimentos!$F$4:$F$9996,Movimentos!$D$4:$D$9996,B1535,Movimentos!$C$4:$C$9996,"Saída"),""),"")</f>
        <v/>
      </c>
      <c r="F1535" s="10" t="str">
        <f t="shared" si="50"/>
        <v/>
      </c>
    </row>
    <row r="1536" spans="1:6" x14ac:dyDescent="0.3">
      <c r="A1536" s="15" t="str">
        <f t="shared" ref="A1536:A1599" si="51">IF(F1536="Saldo zerado",0,IF(F1536="Saldo abaixo do mínimo",1,IF(F1536="Saldo disponível",2,".")))</f>
        <v>.</v>
      </c>
      <c r="E1536" s="13" t="str">
        <f>IFERROR(IF(AND(B1536&lt;&gt;"",C1536&lt;&gt;""),SUMIFS(Movimentos!$F$4:$F$9996,Movimentos!$D$4:$D$9996,B1536,Movimentos!$C$4:$C$9996,"Entrada")-SUMIFS(Movimentos!$F$4:$F$9996,Movimentos!$D$4:$D$9996,B1536,Movimentos!$C$4:$C$9996,"Saída"),""),"")</f>
        <v/>
      </c>
      <c r="F1536" s="10" t="str">
        <f t="shared" si="50"/>
        <v/>
      </c>
    </row>
    <row r="1537" spans="1:6" x14ac:dyDescent="0.3">
      <c r="A1537" s="15" t="str">
        <f t="shared" si="51"/>
        <v>.</v>
      </c>
      <c r="E1537" s="13" t="str">
        <f>IFERROR(IF(AND(B1537&lt;&gt;"",C1537&lt;&gt;""),SUMIFS(Movimentos!$F$4:$F$9996,Movimentos!$D$4:$D$9996,B1537,Movimentos!$C$4:$C$9996,"Entrada")-SUMIFS(Movimentos!$F$4:$F$9996,Movimentos!$D$4:$D$9996,B1537,Movimentos!$C$4:$C$9996,"Saída"),""),"")</f>
        <v/>
      </c>
      <c r="F1537" s="10" t="str">
        <f t="shared" si="50"/>
        <v/>
      </c>
    </row>
    <row r="1538" spans="1:6" x14ac:dyDescent="0.3">
      <c r="A1538" s="15" t="str">
        <f t="shared" si="51"/>
        <v>.</v>
      </c>
      <c r="E1538" s="13" t="str">
        <f>IFERROR(IF(AND(B1538&lt;&gt;"",C1538&lt;&gt;""),SUMIFS(Movimentos!$F$4:$F$9996,Movimentos!$D$4:$D$9996,B1538,Movimentos!$C$4:$C$9996,"Entrada")-SUMIFS(Movimentos!$F$4:$F$9996,Movimentos!$D$4:$D$9996,B1538,Movimentos!$C$4:$C$9996,"Saída"),""),"")</f>
        <v/>
      </c>
      <c r="F1538" s="10" t="str">
        <f t="shared" si="50"/>
        <v/>
      </c>
    </row>
    <row r="1539" spans="1:6" x14ac:dyDescent="0.3">
      <c r="A1539" s="15" t="str">
        <f t="shared" si="51"/>
        <v>.</v>
      </c>
      <c r="E1539" s="13" t="str">
        <f>IFERROR(IF(AND(B1539&lt;&gt;"",C1539&lt;&gt;""),SUMIFS(Movimentos!$F$4:$F$9996,Movimentos!$D$4:$D$9996,B1539,Movimentos!$C$4:$C$9996,"Entrada")-SUMIFS(Movimentos!$F$4:$F$9996,Movimentos!$D$4:$D$9996,B1539,Movimentos!$C$4:$C$9996,"Saída"),""),"")</f>
        <v/>
      </c>
      <c r="F1539" s="10" t="str">
        <f t="shared" si="50"/>
        <v/>
      </c>
    </row>
    <row r="1540" spans="1:6" x14ac:dyDescent="0.3">
      <c r="A1540" s="15" t="str">
        <f t="shared" si="51"/>
        <v>.</v>
      </c>
      <c r="E1540" s="13" t="str">
        <f>IFERROR(IF(AND(B1540&lt;&gt;"",C1540&lt;&gt;""),SUMIFS(Movimentos!$F$4:$F$9996,Movimentos!$D$4:$D$9996,B1540,Movimentos!$C$4:$C$9996,"Entrada")-SUMIFS(Movimentos!$F$4:$F$9996,Movimentos!$D$4:$D$9996,B1540,Movimentos!$C$4:$C$9996,"Saída"),""),"")</f>
        <v/>
      </c>
      <c r="F1540" s="10" t="str">
        <f t="shared" si="50"/>
        <v/>
      </c>
    </row>
    <row r="1541" spans="1:6" x14ac:dyDescent="0.3">
      <c r="A1541" s="15" t="str">
        <f t="shared" si="51"/>
        <v>.</v>
      </c>
      <c r="E1541" s="13" t="str">
        <f>IFERROR(IF(AND(B1541&lt;&gt;"",C1541&lt;&gt;""),SUMIFS(Movimentos!$F$4:$F$9996,Movimentos!$D$4:$D$9996,B1541,Movimentos!$C$4:$C$9996,"Entrada")-SUMIFS(Movimentos!$F$4:$F$9996,Movimentos!$D$4:$D$9996,B1541,Movimentos!$C$4:$C$9996,"Saída"),""),"")</f>
        <v/>
      </c>
      <c r="F1541" s="10" t="str">
        <f t="shared" si="50"/>
        <v/>
      </c>
    </row>
    <row r="1542" spans="1:6" x14ac:dyDescent="0.3">
      <c r="A1542" s="15" t="str">
        <f t="shared" si="51"/>
        <v>.</v>
      </c>
      <c r="E1542" s="13" t="str">
        <f>IFERROR(IF(AND(B1542&lt;&gt;"",C1542&lt;&gt;""),SUMIFS(Movimentos!$F$4:$F$9996,Movimentos!$D$4:$D$9996,B1542,Movimentos!$C$4:$C$9996,"Entrada")-SUMIFS(Movimentos!$F$4:$F$9996,Movimentos!$D$4:$D$9996,B1542,Movimentos!$C$4:$C$9996,"Saída"),""),"")</f>
        <v/>
      </c>
      <c r="F1542" s="10" t="str">
        <f t="shared" si="50"/>
        <v/>
      </c>
    </row>
    <row r="1543" spans="1:6" x14ac:dyDescent="0.3">
      <c r="A1543" s="15" t="str">
        <f t="shared" si="51"/>
        <v>.</v>
      </c>
      <c r="E1543" s="13" t="str">
        <f>IFERROR(IF(AND(B1543&lt;&gt;"",C1543&lt;&gt;""),SUMIFS(Movimentos!$F$4:$F$9996,Movimentos!$D$4:$D$9996,B1543,Movimentos!$C$4:$C$9996,"Entrada")-SUMIFS(Movimentos!$F$4:$F$9996,Movimentos!$D$4:$D$9996,B1543,Movimentos!$C$4:$C$9996,"Saída"),""),"")</f>
        <v/>
      </c>
      <c r="F1543" s="10" t="str">
        <f t="shared" si="50"/>
        <v/>
      </c>
    </row>
    <row r="1544" spans="1:6" x14ac:dyDescent="0.3">
      <c r="A1544" s="15" t="str">
        <f t="shared" si="51"/>
        <v>.</v>
      </c>
      <c r="E1544" s="13" t="str">
        <f>IFERROR(IF(AND(B1544&lt;&gt;"",C1544&lt;&gt;""),SUMIFS(Movimentos!$F$4:$F$9996,Movimentos!$D$4:$D$9996,B1544,Movimentos!$C$4:$C$9996,"Entrada")-SUMIFS(Movimentos!$F$4:$F$9996,Movimentos!$D$4:$D$9996,B1544,Movimentos!$C$4:$C$9996,"Saída"),""),"")</f>
        <v/>
      </c>
      <c r="F1544" s="10" t="str">
        <f t="shared" si="50"/>
        <v/>
      </c>
    </row>
    <row r="1545" spans="1:6" x14ac:dyDescent="0.3">
      <c r="A1545" s="15" t="str">
        <f t="shared" si="51"/>
        <v>.</v>
      </c>
      <c r="E1545" s="13" t="str">
        <f>IFERROR(IF(AND(B1545&lt;&gt;"",C1545&lt;&gt;""),SUMIFS(Movimentos!$F$4:$F$9996,Movimentos!$D$4:$D$9996,B1545,Movimentos!$C$4:$C$9996,"Entrada")-SUMIFS(Movimentos!$F$4:$F$9996,Movimentos!$D$4:$D$9996,B1545,Movimentos!$C$4:$C$9996,"Saída"),""),"")</f>
        <v/>
      </c>
      <c r="F1545" s="10" t="str">
        <f t="shared" si="50"/>
        <v/>
      </c>
    </row>
    <row r="1546" spans="1:6" x14ac:dyDescent="0.3">
      <c r="A1546" s="15" t="str">
        <f t="shared" si="51"/>
        <v>.</v>
      </c>
      <c r="E1546" s="13" t="str">
        <f>IFERROR(IF(AND(B1546&lt;&gt;"",C1546&lt;&gt;""),SUMIFS(Movimentos!$F$4:$F$9996,Movimentos!$D$4:$D$9996,B1546,Movimentos!$C$4:$C$9996,"Entrada")-SUMIFS(Movimentos!$F$4:$F$9996,Movimentos!$D$4:$D$9996,B1546,Movimentos!$C$4:$C$9996,"Saída"),""),"")</f>
        <v/>
      </c>
      <c r="F1546" s="10" t="str">
        <f t="shared" si="50"/>
        <v/>
      </c>
    </row>
    <row r="1547" spans="1:6" x14ac:dyDescent="0.3">
      <c r="A1547" s="15" t="str">
        <f t="shared" si="51"/>
        <v>.</v>
      </c>
      <c r="E1547" s="13" t="str">
        <f>IFERROR(IF(AND(B1547&lt;&gt;"",C1547&lt;&gt;""),SUMIFS(Movimentos!$F$4:$F$9996,Movimentos!$D$4:$D$9996,B1547,Movimentos!$C$4:$C$9996,"Entrada")-SUMIFS(Movimentos!$F$4:$F$9996,Movimentos!$D$4:$D$9996,B1547,Movimentos!$C$4:$C$9996,"Saída"),""),"")</f>
        <v/>
      </c>
      <c r="F1547" s="10" t="str">
        <f t="shared" si="50"/>
        <v/>
      </c>
    </row>
    <row r="1548" spans="1:6" x14ac:dyDescent="0.3">
      <c r="A1548" s="15" t="str">
        <f t="shared" si="51"/>
        <v>.</v>
      </c>
      <c r="E1548" s="13" t="str">
        <f>IFERROR(IF(AND(B1548&lt;&gt;"",C1548&lt;&gt;""),SUMIFS(Movimentos!$F$4:$F$9996,Movimentos!$D$4:$D$9996,B1548,Movimentos!$C$4:$C$9996,"Entrada")-SUMIFS(Movimentos!$F$4:$F$9996,Movimentos!$D$4:$D$9996,B1548,Movimentos!$C$4:$C$9996,"Saída"),""),"")</f>
        <v/>
      </c>
      <c r="F1548" s="10" t="str">
        <f t="shared" si="50"/>
        <v/>
      </c>
    </row>
    <row r="1549" spans="1:6" x14ac:dyDescent="0.3">
      <c r="A1549" s="15" t="str">
        <f t="shared" si="51"/>
        <v>.</v>
      </c>
      <c r="E1549" s="13" t="str">
        <f>IFERROR(IF(AND(B1549&lt;&gt;"",C1549&lt;&gt;""),SUMIFS(Movimentos!$F$4:$F$9996,Movimentos!$D$4:$D$9996,B1549,Movimentos!$C$4:$C$9996,"Entrada")-SUMIFS(Movimentos!$F$4:$F$9996,Movimentos!$D$4:$D$9996,B1549,Movimentos!$C$4:$C$9996,"Saída"),""),"")</f>
        <v/>
      </c>
      <c r="F1549" s="10" t="str">
        <f t="shared" si="50"/>
        <v/>
      </c>
    </row>
    <row r="1550" spans="1:6" x14ac:dyDescent="0.3">
      <c r="A1550" s="15" t="str">
        <f t="shared" si="51"/>
        <v>.</v>
      </c>
      <c r="E1550" s="13" t="str">
        <f>IFERROR(IF(AND(B1550&lt;&gt;"",C1550&lt;&gt;""),SUMIFS(Movimentos!$F$4:$F$9996,Movimentos!$D$4:$D$9996,B1550,Movimentos!$C$4:$C$9996,"Entrada")-SUMIFS(Movimentos!$F$4:$F$9996,Movimentos!$D$4:$D$9996,B1550,Movimentos!$C$4:$C$9996,"Saída"),""),"")</f>
        <v/>
      </c>
      <c r="F1550" s="10" t="str">
        <f t="shared" si="50"/>
        <v/>
      </c>
    </row>
    <row r="1551" spans="1:6" x14ac:dyDescent="0.3">
      <c r="A1551" s="15" t="str">
        <f t="shared" si="51"/>
        <v>.</v>
      </c>
      <c r="E1551" s="13" t="str">
        <f>IFERROR(IF(AND(B1551&lt;&gt;"",C1551&lt;&gt;""),SUMIFS(Movimentos!$F$4:$F$9996,Movimentos!$D$4:$D$9996,B1551,Movimentos!$C$4:$C$9996,"Entrada")-SUMIFS(Movimentos!$F$4:$F$9996,Movimentos!$D$4:$D$9996,B1551,Movimentos!$C$4:$C$9996,"Saída"),""),"")</f>
        <v/>
      </c>
      <c r="F1551" s="10" t="str">
        <f t="shared" si="50"/>
        <v/>
      </c>
    </row>
    <row r="1552" spans="1:6" x14ac:dyDescent="0.3">
      <c r="A1552" s="15" t="str">
        <f t="shared" si="51"/>
        <v>.</v>
      </c>
      <c r="E1552" s="13" t="str">
        <f>IFERROR(IF(AND(B1552&lt;&gt;"",C1552&lt;&gt;""),SUMIFS(Movimentos!$F$4:$F$9996,Movimentos!$D$4:$D$9996,B1552,Movimentos!$C$4:$C$9996,"Entrada")-SUMIFS(Movimentos!$F$4:$F$9996,Movimentos!$D$4:$D$9996,B1552,Movimentos!$C$4:$C$9996,"Saída"),""),"")</f>
        <v/>
      </c>
      <c r="F1552" s="10" t="str">
        <f t="shared" si="50"/>
        <v/>
      </c>
    </row>
    <row r="1553" spans="1:6" x14ac:dyDescent="0.3">
      <c r="A1553" s="15" t="str">
        <f t="shared" si="51"/>
        <v>.</v>
      </c>
      <c r="E1553" s="13" t="str">
        <f>IFERROR(IF(AND(B1553&lt;&gt;"",C1553&lt;&gt;""),SUMIFS(Movimentos!$F$4:$F$9996,Movimentos!$D$4:$D$9996,B1553,Movimentos!$C$4:$C$9996,"Entrada")-SUMIFS(Movimentos!$F$4:$F$9996,Movimentos!$D$4:$D$9996,B1553,Movimentos!$C$4:$C$9996,"Saída"),""),"")</f>
        <v/>
      </c>
      <c r="F1553" s="10" t="str">
        <f t="shared" si="50"/>
        <v/>
      </c>
    </row>
    <row r="1554" spans="1:6" x14ac:dyDescent="0.3">
      <c r="A1554" s="15" t="str">
        <f t="shared" si="51"/>
        <v>.</v>
      </c>
      <c r="E1554" s="13" t="str">
        <f>IFERROR(IF(AND(B1554&lt;&gt;"",C1554&lt;&gt;""),SUMIFS(Movimentos!$F$4:$F$9996,Movimentos!$D$4:$D$9996,B1554,Movimentos!$C$4:$C$9996,"Entrada")-SUMIFS(Movimentos!$F$4:$F$9996,Movimentos!$D$4:$D$9996,B1554,Movimentos!$C$4:$C$9996,"Saída"),""),"")</f>
        <v/>
      </c>
      <c r="F1554" s="10" t="str">
        <f t="shared" si="50"/>
        <v/>
      </c>
    </row>
    <row r="1555" spans="1:6" x14ac:dyDescent="0.3">
      <c r="A1555" s="15" t="str">
        <f t="shared" si="51"/>
        <v>.</v>
      </c>
      <c r="E1555" s="13" t="str">
        <f>IFERROR(IF(AND(B1555&lt;&gt;"",C1555&lt;&gt;""),SUMIFS(Movimentos!$F$4:$F$9996,Movimentos!$D$4:$D$9996,B1555,Movimentos!$C$4:$C$9996,"Entrada")-SUMIFS(Movimentos!$F$4:$F$9996,Movimentos!$D$4:$D$9996,B1555,Movimentos!$C$4:$C$9996,"Saída"),""),"")</f>
        <v/>
      </c>
      <c r="F1555" s="10" t="str">
        <f t="shared" si="50"/>
        <v/>
      </c>
    </row>
    <row r="1556" spans="1:6" x14ac:dyDescent="0.3">
      <c r="A1556" s="15" t="str">
        <f t="shared" si="51"/>
        <v>.</v>
      </c>
      <c r="E1556" s="13" t="str">
        <f>IFERROR(IF(AND(B1556&lt;&gt;"",C1556&lt;&gt;""),SUMIFS(Movimentos!$F$4:$F$9996,Movimentos!$D$4:$D$9996,B1556,Movimentos!$C$4:$C$9996,"Entrada")-SUMIFS(Movimentos!$F$4:$F$9996,Movimentos!$D$4:$D$9996,B1556,Movimentos!$C$4:$C$9996,"Saída"),""),"")</f>
        <v/>
      </c>
      <c r="F1556" s="10" t="str">
        <f t="shared" si="50"/>
        <v/>
      </c>
    </row>
    <row r="1557" spans="1:6" x14ac:dyDescent="0.3">
      <c r="A1557" s="15" t="str">
        <f t="shared" si="51"/>
        <v>.</v>
      </c>
      <c r="E1557" s="13" t="str">
        <f>IFERROR(IF(AND(B1557&lt;&gt;"",C1557&lt;&gt;""),SUMIFS(Movimentos!$F$4:$F$9996,Movimentos!$D$4:$D$9996,B1557,Movimentos!$C$4:$C$9996,"Entrada")-SUMIFS(Movimentos!$F$4:$F$9996,Movimentos!$D$4:$D$9996,B1557,Movimentos!$C$4:$C$9996,"Saída"),""),"")</f>
        <v/>
      </c>
      <c r="F1557" s="10" t="str">
        <f t="shared" si="50"/>
        <v/>
      </c>
    </row>
    <row r="1558" spans="1:6" x14ac:dyDescent="0.3">
      <c r="A1558" s="15" t="str">
        <f t="shared" si="51"/>
        <v>.</v>
      </c>
      <c r="E1558" s="13" t="str">
        <f>IFERROR(IF(AND(B1558&lt;&gt;"",C1558&lt;&gt;""),SUMIFS(Movimentos!$F$4:$F$9996,Movimentos!$D$4:$D$9996,B1558,Movimentos!$C$4:$C$9996,"Entrada")-SUMIFS(Movimentos!$F$4:$F$9996,Movimentos!$D$4:$D$9996,B1558,Movimentos!$C$4:$C$9996,"Saída"),""),"")</f>
        <v/>
      </c>
      <c r="F1558" s="10" t="str">
        <f t="shared" si="50"/>
        <v/>
      </c>
    </row>
    <row r="1559" spans="1:6" x14ac:dyDescent="0.3">
      <c r="A1559" s="15" t="str">
        <f t="shared" si="51"/>
        <v>.</v>
      </c>
      <c r="E1559" s="13" t="str">
        <f>IFERROR(IF(AND(B1559&lt;&gt;"",C1559&lt;&gt;""),SUMIFS(Movimentos!$F$4:$F$9996,Movimentos!$D$4:$D$9996,B1559,Movimentos!$C$4:$C$9996,"Entrada")-SUMIFS(Movimentos!$F$4:$F$9996,Movimentos!$D$4:$D$9996,B1559,Movimentos!$C$4:$C$9996,"Saída"),""),"")</f>
        <v/>
      </c>
      <c r="F1559" s="10" t="str">
        <f t="shared" ref="F1559:F1622" si="52">IF(AND(B1559&lt;&gt;"",C1559&lt;&gt;""),IF(E1559=0,"Saldo zerado",IF(E1559&lt;D1559,"Saldo abaixo do mínimo","Saldo disponível")),"")</f>
        <v/>
      </c>
    </row>
    <row r="1560" spans="1:6" x14ac:dyDescent="0.3">
      <c r="A1560" s="15" t="str">
        <f t="shared" si="51"/>
        <v>.</v>
      </c>
      <c r="E1560" s="13" t="str">
        <f>IFERROR(IF(AND(B1560&lt;&gt;"",C1560&lt;&gt;""),SUMIFS(Movimentos!$F$4:$F$9996,Movimentos!$D$4:$D$9996,B1560,Movimentos!$C$4:$C$9996,"Entrada")-SUMIFS(Movimentos!$F$4:$F$9996,Movimentos!$D$4:$D$9996,B1560,Movimentos!$C$4:$C$9996,"Saída"),""),"")</f>
        <v/>
      </c>
      <c r="F1560" s="10" t="str">
        <f t="shared" si="52"/>
        <v/>
      </c>
    </row>
    <row r="1561" spans="1:6" x14ac:dyDescent="0.3">
      <c r="A1561" s="15" t="str">
        <f t="shared" si="51"/>
        <v>.</v>
      </c>
      <c r="E1561" s="13" t="str">
        <f>IFERROR(IF(AND(B1561&lt;&gt;"",C1561&lt;&gt;""),SUMIFS(Movimentos!$F$4:$F$9996,Movimentos!$D$4:$D$9996,B1561,Movimentos!$C$4:$C$9996,"Entrada")-SUMIFS(Movimentos!$F$4:$F$9996,Movimentos!$D$4:$D$9996,B1561,Movimentos!$C$4:$C$9996,"Saída"),""),"")</f>
        <v/>
      </c>
      <c r="F1561" s="10" t="str">
        <f t="shared" si="52"/>
        <v/>
      </c>
    </row>
    <row r="1562" spans="1:6" x14ac:dyDescent="0.3">
      <c r="A1562" s="15" t="str">
        <f t="shared" si="51"/>
        <v>.</v>
      </c>
      <c r="E1562" s="13" t="str">
        <f>IFERROR(IF(AND(B1562&lt;&gt;"",C1562&lt;&gt;""),SUMIFS(Movimentos!$F$4:$F$9996,Movimentos!$D$4:$D$9996,B1562,Movimentos!$C$4:$C$9996,"Entrada")-SUMIFS(Movimentos!$F$4:$F$9996,Movimentos!$D$4:$D$9996,B1562,Movimentos!$C$4:$C$9996,"Saída"),""),"")</f>
        <v/>
      </c>
      <c r="F1562" s="10" t="str">
        <f t="shared" si="52"/>
        <v/>
      </c>
    </row>
    <row r="1563" spans="1:6" x14ac:dyDescent="0.3">
      <c r="A1563" s="15" t="str">
        <f t="shared" si="51"/>
        <v>.</v>
      </c>
      <c r="E1563" s="13" t="str">
        <f>IFERROR(IF(AND(B1563&lt;&gt;"",C1563&lt;&gt;""),SUMIFS(Movimentos!$F$4:$F$9996,Movimentos!$D$4:$D$9996,B1563,Movimentos!$C$4:$C$9996,"Entrada")-SUMIFS(Movimentos!$F$4:$F$9996,Movimentos!$D$4:$D$9996,B1563,Movimentos!$C$4:$C$9996,"Saída"),""),"")</f>
        <v/>
      </c>
      <c r="F1563" s="10" t="str">
        <f t="shared" si="52"/>
        <v/>
      </c>
    </row>
    <row r="1564" spans="1:6" x14ac:dyDescent="0.3">
      <c r="A1564" s="15" t="str">
        <f t="shared" si="51"/>
        <v>.</v>
      </c>
      <c r="E1564" s="13" t="str">
        <f>IFERROR(IF(AND(B1564&lt;&gt;"",C1564&lt;&gt;""),SUMIFS(Movimentos!$F$4:$F$9996,Movimentos!$D$4:$D$9996,B1564,Movimentos!$C$4:$C$9996,"Entrada")-SUMIFS(Movimentos!$F$4:$F$9996,Movimentos!$D$4:$D$9996,B1564,Movimentos!$C$4:$C$9996,"Saída"),""),"")</f>
        <v/>
      </c>
      <c r="F1564" s="10" t="str">
        <f t="shared" si="52"/>
        <v/>
      </c>
    </row>
    <row r="1565" spans="1:6" x14ac:dyDescent="0.3">
      <c r="A1565" s="15" t="str">
        <f t="shared" si="51"/>
        <v>.</v>
      </c>
      <c r="E1565" s="13" t="str">
        <f>IFERROR(IF(AND(B1565&lt;&gt;"",C1565&lt;&gt;""),SUMIFS(Movimentos!$F$4:$F$9996,Movimentos!$D$4:$D$9996,B1565,Movimentos!$C$4:$C$9996,"Entrada")-SUMIFS(Movimentos!$F$4:$F$9996,Movimentos!$D$4:$D$9996,B1565,Movimentos!$C$4:$C$9996,"Saída"),""),"")</f>
        <v/>
      </c>
      <c r="F1565" s="10" t="str">
        <f t="shared" si="52"/>
        <v/>
      </c>
    </row>
    <row r="1566" spans="1:6" x14ac:dyDescent="0.3">
      <c r="A1566" s="15" t="str">
        <f t="shared" si="51"/>
        <v>.</v>
      </c>
      <c r="E1566" s="13" t="str">
        <f>IFERROR(IF(AND(B1566&lt;&gt;"",C1566&lt;&gt;""),SUMIFS(Movimentos!$F$4:$F$9996,Movimentos!$D$4:$D$9996,B1566,Movimentos!$C$4:$C$9996,"Entrada")-SUMIFS(Movimentos!$F$4:$F$9996,Movimentos!$D$4:$D$9996,B1566,Movimentos!$C$4:$C$9996,"Saída"),""),"")</f>
        <v/>
      </c>
      <c r="F1566" s="10" t="str">
        <f t="shared" si="52"/>
        <v/>
      </c>
    </row>
    <row r="1567" spans="1:6" x14ac:dyDescent="0.3">
      <c r="A1567" s="15" t="str">
        <f t="shared" si="51"/>
        <v>.</v>
      </c>
      <c r="E1567" s="13" t="str">
        <f>IFERROR(IF(AND(B1567&lt;&gt;"",C1567&lt;&gt;""),SUMIFS(Movimentos!$F$4:$F$9996,Movimentos!$D$4:$D$9996,B1567,Movimentos!$C$4:$C$9996,"Entrada")-SUMIFS(Movimentos!$F$4:$F$9996,Movimentos!$D$4:$D$9996,B1567,Movimentos!$C$4:$C$9996,"Saída"),""),"")</f>
        <v/>
      </c>
      <c r="F1567" s="10" t="str">
        <f t="shared" si="52"/>
        <v/>
      </c>
    </row>
    <row r="1568" spans="1:6" x14ac:dyDescent="0.3">
      <c r="A1568" s="15" t="str">
        <f t="shared" si="51"/>
        <v>.</v>
      </c>
      <c r="E1568" s="13" t="str">
        <f>IFERROR(IF(AND(B1568&lt;&gt;"",C1568&lt;&gt;""),SUMIFS(Movimentos!$F$4:$F$9996,Movimentos!$D$4:$D$9996,B1568,Movimentos!$C$4:$C$9996,"Entrada")-SUMIFS(Movimentos!$F$4:$F$9996,Movimentos!$D$4:$D$9996,B1568,Movimentos!$C$4:$C$9996,"Saída"),""),"")</f>
        <v/>
      </c>
      <c r="F1568" s="10" t="str">
        <f t="shared" si="52"/>
        <v/>
      </c>
    </row>
    <row r="1569" spans="1:6" x14ac:dyDescent="0.3">
      <c r="A1569" s="15" t="str">
        <f t="shared" si="51"/>
        <v>.</v>
      </c>
      <c r="E1569" s="13" t="str">
        <f>IFERROR(IF(AND(B1569&lt;&gt;"",C1569&lt;&gt;""),SUMIFS(Movimentos!$F$4:$F$9996,Movimentos!$D$4:$D$9996,B1569,Movimentos!$C$4:$C$9996,"Entrada")-SUMIFS(Movimentos!$F$4:$F$9996,Movimentos!$D$4:$D$9996,B1569,Movimentos!$C$4:$C$9996,"Saída"),""),"")</f>
        <v/>
      </c>
      <c r="F1569" s="10" t="str">
        <f t="shared" si="52"/>
        <v/>
      </c>
    </row>
    <row r="1570" spans="1:6" x14ac:dyDescent="0.3">
      <c r="A1570" s="15" t="str">
        <f t="shared" si="51"/>
        <v>.</v>
      </c>
      <c r="E1570" s="13" t="str">
        <f>IFERROR(IF(AND(B1570&lt;&gt;"",C1570&lt;&gt;""),SUMIFS(Movimentos!$F$4:$F$9996,Movimentos!$D$4:$D$9996,B1570,Movimentos!$C$4:$C$9996,"Entrada")-SUMIFS(Movimentos!$F$4:$F$9996,Movimentos!$D$4:$D$9996,B1570,Movimentos!$C$4:$C$9996,"Saída"),""),"")</f>
        <v/>
      </c>
      <c r="F1570" s="10" t="str">
        <f t="shared" si="52"/>
        <v/>
      </c>
    </row>
    <row r="1571" spans="1:6" x14ac:dyDescent="0.3">
      <c r="A1571" s="15" t="str">
        <f t="shared" si="51"/>
        <v>.</v>
      </c>
      <c r="E1571" s="13" t="str">
        <f>IFERROR(IF(AND(B1571&lt;&gt;"",C1571&lt;&gt;""),SUMIFS(Movimentos!$F$4:$F$9996,Movimentos!$D$4:$D$9996,B1571,Movimentos!$C$4:$C$9996,"Entrada")-SUMIFS(Movimentos!$F$4:$F$9996,Movimentos!$D$4:$D$9996,B1571,Movimentos!$C$4:$C$9996,"Saída"),""),"")</f>
        <v/>
      </c>
      <c r="F1571" s="10" t="str">
        <f t="shared" si="52"/>
        <v/>
      </c>
    </row>
    <row r="1572" spans="1:6" x14ac:dyDescent="0.3">
      <c r="A1572" s="15" t="str">
        <f t="shared" si="51"/>
        <v>.</v>
      </c>
      <c r="E1572" s="13" t="str">
        <f>IFERROR(IF(AND(B1572&lt;&gt;"",C1572&lt;&gt;""),SUMIFS(Movimentos!$F$4:$F$9996,Movimentos!$D$4:$D$9996,B1572,Movimentos!$C$4:$C$9996,"Entrada")-SUMIFS(Movimentos!$F$4:$F$9996,Movimentos!$D$4:$D$9996,B1572,Movimentos!$C$4:$C$9996,"Saída"),""),"")</f>
        <v/>
      </c>
      <c r="F1572" s="10" t="str">
        <f t="shared" si="52"/>
        <v/>
      </c>
    </row>
    <row r="1573" spans="1:6" x14ac:dyDescent="0.3">
      <c r="A1573" s="15" t="str">
        <f t="shared" si="51"/>
        <v>.</v>
      </c>
      <c r="E1573" s="13" t="str">
        <f>IFERROR(IF(AND(B1573&lt;&gt;"",C1573&lt;&gt;""),SUMIFS(Movimentos!$F$4:$F$9996,Movimentos!$D$4:$D$9996,B1573,Movimentos!$C$4:$C$9996,"Entrada")-SUMIFS(Movimentos!$F$4:$F$9996,Movimentos!$D$4:$D$9996,B1573,Movimentos!$C$4:$C$9996,"Saída"),""),"")</f>
        <v/>
      </c>
      <c r="F1573" s="10" t="str">
        <f t="shared" si="52"/>
        <v/>
      </c>
    </row>
    <row r="1574" spans="1:6" x14ac:dyDescent="0.3">
      <c r="A1574" s="15" t="str">
        <f t="shared" si="51"/>
        <v>.</v>
      </c>
      <c r="E1574" s="13" t="str">
        <f>IFERROR(IF(AND(B1574&lt;&gt;"",C1574&lt;&gt;""),SUMIFS(Movimentos!$F$4:$F$9996,Movimentos!$D$4:$D$9996,B1574,Movimentos!$C$4:$C$9996,"Entrada")-SUMIFS(Movimentos!$F$4:$F$9996,Movimentos!$D$4:$D$9996,B1574,Movimentos!$C$4:$C$9996,"Saída"),""),"")</f>
        <v/>
      </c>
      <c r="F1574" s="10" t="str">
        <f t="shared" si="52"/>
        <v/>
      </c>
    </row>
    <row r="1575" spans="1:6" x14ac:dyDescent="0.3">
      <c r="A1575" s="15" t="str">
        <f t="shared" si="51"/>
        <v>.</v>
      </c>
      <c r="E1575" s="13" t="str">
        <f>IFERROR(IF(AND(B1575&lt;&gt;"",C1575&lt;&gt;""),SUMIFS(Movimentos!$F$4:$F$9996,Movimentos!$D$4:$D$9996,B1575,Movimentos!$C$4:$C$9996,"Entrada")-SUMIFS(Movimentos!$F$4:$F$9996,Movimentos!$D$4:$D$9996,B1575,Movimentos!$C$4:$C$9996,"Saída"),""),"")</f>
        <v/>
      </c>
      <c r="F1575" s="10" t="str">
        <f t="shared" si="52"/>
        <v/>
      </c>
    </row>
    <row r="1576" spans="1:6" x14ac:dyDescent="0.3">
      <c r="A1576" s="15" t="str">
        <f t="shared" si="51"/>
        <v>.</v>
      </c>
      <c r="E1576" s="13" t="str">
        <f>IFERROR(IF(AND(B1576&lt;&gt;"",C1576&lt;&gt;""),SUMIFS(Movimentos!$F$4:$F$9996,Movimentos!$D$4:$D$9996,B1576,Movimentos!$C$4:$C$9996,"Entrada")-SUMIFS(Movimentos!$F$4:$F$9996,Movimentos!$D$4:$D$9996,B1576,Movimentos!$C$4:$C$9996,"Saída"),""),"")</f>
        <v/>
      </c>
      <c r="F1576" s="10" t="str">
        <f t="shared" si="52"/>
        <v/>
      </c>
    </row>
    <row r="1577" spans="1:6" x14ac:dyDescent="0.3">
      <c r="A1577" s="15" t="str">
        <f t="shared" si="51"/>
        <v>.</v>
      </c>
      <c r="E1577" s="13" t="str">
        <f>IFERROR(IF(AND(B1577&lt;&gt;"",C1577&lt;&gt;""),SUMIFS(Movimentos!$F$4:$F$9996,Movimentos!$D$4:$D$9996,B1577,Movimentos!$C$4:$C$9996,"Entrada")-SUMIFS(Movimentos!$F$4:$F$9996,Movimentos!$D$4:$D$9996,B1577,Movimentos!$C$4:$C$9996,"Saída"),""),"")</f>
        <v/>
      </c>
      <c r="F1577" s="10" t="str">
        <f t="shared" si="52"/>
        <v/>
      </c>
    </row>
    <row r="1578" spans="1:6" x14ac:dyDescent="0.3">
      <c r="A1578" s="15" t="str">
        <f t="shared" si="51"/>
        <v>.</v>
      </c>
      <c r="E1578" s="13" t="str">
        <f>IFERROR(IF(AND(B1578&lt;&gt;"",C1578&lt;&gt;""),SUMIFS(Movimentos!$F$4:$F$9996,Movimentos!$D$4:$D$9996,B1578,Movimentos!$C$4:$C$9996,"Entrada")-SUMIFS(Movimentos!$F$4:$F$9996,Movimentos!$D$4:$D$9996,B1578,Movimentos!$C$4:$C$9996,"Saída"),""),"")</f>
        <v/>
      </c>
      <c r="F1578" s="10" t="str">
        <f t="shared" si="52"/>
        <v/>
      </c>
    </row>
    <row r="1579" spans="1:6" x14ac:dyDescent="0.3">
      <c r="A1579" s="15" t="str">
        <f t="shared" si="51"/>
        <v>.</v>
      </c>
      <c r="E1579" s="13" t="str">
        <f>IFERROR(IF(AND(B1579&lt;&gt;"",C1579&lt;&gt;""),SUMIFS(Movimentos!$F$4:$F$9996,Movimentos!$D$4:$D$9996,B1579,Movimentos!$C$4:$C$9996,"Entrada")-SUMIFS(Movimentos!$F$4:$F$9996,Movimentos!$D$4:$D$9996,B1579,Movimentos!$C$4:$C$9996,"Saída"),""),"")</f>
        <v/>
      </c>
      <c r="F1579" s="10" t="str">
        <f t="shared" si="52"/>
        <v/>
      </c>
    </row>
    <row r="1580" spans="1:6" x14ac:dyDescent="0.3">
      <c r="A1580" s="15" t="str">
        <f t="shared" si="51"/>
        <v>.</v>
      </c>
      <c r="E1580" s="13" t="str">
        <f>IFERROR(IF(AND(B1580&lt;&gt;"",C1580&lt;&gt;""),SUMIFS(Movimentos!$F$4:$F$9996,Movimentos!$D$4:$D$9996,B1580,Movimentos!$C$4:$C$9996,"Entrada")-SUMIFS(Movimentos!$F$4:$F$9996,Movimentos!$D$4:$D$9996,B1580,Movimentos!$C$4:$C$9996,"Saída"),""),"")</f>
        <v/>
      </c>
      <c r="F1580" s="10" t="str">
        <f t="shared" si="52"/>
        <v/>
      </c>
    </row>
    <row r="1581" spans="1:6" x14ac:dyDescent="0.3">
      <c r="A1581" s="15" t="str">
        <f t="shared" si="51"/>
        <v>.</v>
      </c>
      <c r="E1581" s="13" t="str">
        <f>IFERROR(IF(AND(B1581&lt;&gt;"",C1581&lt;&gt;""),SUMIFS(Movimentos!$F$4:$F$9996,Movimentos!$D$4:$D$9996,B1581,Movimentos!$C$4:$C$9996,"Entrada")-SUMIFS(Movimentos!$F$4:$F$9996,Movimentos!$D$4:$D$9996,B1581,Movimentos!$C$4:$C$9996,"Saída"),""),"")</f>
        <v/>
      </c>
      <c r="F1581" s="10" t="str">
        <f t="shared" si="52"/>
        <v/>
      </c>
    </row>
    <row r="1582" spans="1:6" x14ac:dyDescent="0.3">
      <c r="A1582" s="15" t="str">
        <f t="shared" si="51"/>
        <v>.</v>
      </c>
      <c r="E1582" s="13" t="str">
        <f>IFERROR(IF(AND(B1582&lt;&gt;"",C1582&lt;&gt;""),SUMIFS(Movimentos!$F$4:$F$9996,Movimentos!$D$4:$D$9996,B1582,Movimentos!$C$4:$C$9996,"Entrada")-SUMIFS(Movimentos!$F$4:$F$9996,Movimentos!$D$4:$D$9996,B1582,Movimentos!$C$4:$C$9996,"Saída"),""),"")</f>
        <v/>
      </c>
      <c r="F1582" s="10" t="str">
        <f t="shared" si="52"/>
        <v/>
      </c>
    </row>
    <row r="1583" spans="1:6" x14ac:dyDescent="0.3">
      <c r="A1583" s="15" t="str">
        <f t="shared" si="51"/>
        <v>.</v>
      </c>
      <c r="E1583" s="13" t="str">
        <f>IFERROR(IF(AND(B1583&lt;&gt;"",C1583&lt;&gt;""),SUMIFS(Movimentos!$F$4:$F$9996,Movimentos!$D$4:$D$9996,B1583,Movimentos!$C$4:$C$9996,"Entrada")-SUMIFS(Movimentos!$F$4:$F$9996,Movimentos!$D$4:$D$9996,B1583,Movimentos!$C$4:$C$9996,"Saída"),""),"")</f>
        <v/>
      </c>
      <c r="F1583" s="10" t="str">
        <f t="shared" si="52"/>
        <v/>
      </c>
    </row>
    <row r="1584" spans="1:6" x14ac:dyDescent="0.3">
      <c r="A1584" s="15" t="str">
        <f t="shared" si="51"/>
        <v>.</v>
      </c>
      <c r="E1584" s="13" t="str">
        <f>IFERROR(IF(AND(B1584&lt;&gt;"",C1584&lt;&gt;""),SUMIFS(Movimentos!$F$4:$F$9996,Movimentos!$D$4:$D$9996,B1584,Movimentos!$C$4:$C$9996,"Entrada")-SUMIFS(Movimentos!$F$4:$F$9996,Movimentos!$D$4:$D$9996,B1584,Movimentos!$C$4:$C$9996,"Saída"),""),"")</f>
        <v/>
      </c>
      <c r="F1584" s="10" t="str">
        <f t="shared" si="52"/>
        <v/>
      </c>
    </row>
    <row r="1585" spans="1:6" x14ac:dyDescent="0.3">
      <c r="A1585" s="15" t="str">
        <f t="shared" si="51"/>
        <v>.</v>
      </c>
      <c r="E1585" s="13" t="str">
        <f>IFERROR(IF(AND(B1585&lt;&gt;"",C1585&lt;&gt;""),SUMIFS(Movimentos!$F$4:$F$9996,Movimentos!$D$4:$D$9996,B1585,Movimentos!$C$4:$C$9996,"Entrada")-SUMIFS(Movimentos!$F$4:$F$9996,Movimentos!$D$4:$D$9996,B1585,Movimentos!$C$4:$C$9996,"Saída"),""),"")</f>
        <v/>
      </c>
      <c r="F1585" s="10" t="str">
        <f t="shared" si="52"/>
        <v/>
      </c>
    </row>
    <row r="1586" spans="1:6" x14ac:dyDescent="0.3">
      <c r="A1586" s="15" t="str">
        <f t="shared" si="51"/>
        <v>.</v>
      </c>
      <c r="E1586" s="13" t="str">
        <f>IFERROR(IF(AND(B1586&lt;&gt;"",C1586&lt;&gt;""),SUMIFS(Movimentos!$F$4:$F$9996,Movimentos!$D$4:$D$9996,B1586,Movimentos!$C$4:$C$9996,"Entrada")-SUMIFS(Movimentos!$F$4:$F$9996,Movimentos!$D$4:$D$9996,B1586,Movimentos!$C$4:$C$9996,"Saída"),""),"")</f>
        <v/>
      </c>
      <c r="F1586" s="10" t="str">
        <f t="shared" si="52"/>
        <v/>
      </c>
    </row>
    <row r="1587" spans="1:6" x14ac:dyDescent="0.3">
      <c r="A1587" s="15" t="str">
        <f t="shared" si="51"/>
        <v>.</v>
      </c>
      <c r="E1587" s="13" t="str">
        <f>IFERROR(IF(AND(B1587&lt;&gt;"",C1587&lt;&gt;""),SUMIFS(Movimentos!$F$4:$F$9996,Movimentos!$D$4:$D$9996,B1587,Movimentos!$C$4:$C$9996,"Entrada")-SUMIFS(Movimentos!$F$4:$F$9996,Movimentos!$D$4:$D$9996,B1587,Movimentos!$C$4:$C$9996,"Saída"),""),"")</f>
        <v/>
      </c>
      <c r="F1587" s="10" t="str">
        <f t="shared" si="52"/>
        <v/>
      </c>
    </row>
    <row r="1588" spans="1:6" x14ac:dyDescent="0.3">
      <c r="A1588" s="15" t="str">
        <f t="shared" si="51"/>
        <v>.</v>
      </c>
      <c r="E1588" s="13" t="str">
        <f>IFERROR(IF(AND(B1588&lt;&gt;"",C1588&lt;&gt;""),SUMIFS(Movimentos!$F$4:$F$9996,Movimentos!$D$4:$D$9996,B1588,Movimentos!$C$4:$C$9996,"Entrada")-SUMIFS(Movimentos!$F$4:$F$9996,Movimentos!$D$4:$D$9996,B1588,Movimentos!$C$4:$C$9996,"Saída"),""),"")</f>
        <v/>
      </c>
      <c r="F1588" s="10" t="str">
        <f t="shared" si="52"/>
        <v/>
      </c>
    </row>
    <row r="1589" spans="1:6" x14ac:dyDescent="0.3">
      <c r="A1589" s="15" t="str">
        <f t="shared" si="51"/>
        <v>.</v>
      </c>
      <c r="E1589" s="13" t="str">
        <f>IFERROR(IF(AND(B1589&lt;&gt;"",C1589&lt;&gt;""),SUMIFS(Movimentos!$F$4:$F$9996,Movimentos!$D$4:$D$9996,B1589,Movimentos!$C$4:$C$9996,"Entrada")-SUMIFS(Movimentos!$F$4:$F$9996,Movimentos!$D$4:$D$9996,B1589,Movimentos!$C$4:$C$9996,"Saída"),""),"")</f>
        <v/>
      </c>
      <c r="F1589" s="10" t="str">
        <f t="shared" si="52"/>
        <v/>
      </c>
    </row>
    <row r="1590" spans="1:6" x14ac:dyDescent="0.3">
      <c r="A1590" s="15" t="str">
        <f t="shared" si="51"/>
        <v>.</v>
      </c>
      <c r="E1590" s="13" t="str">
        <f>IFERROR(IF(AND(B1590&lt;&gt;"",C1590&lt;&gt;""),SUMIFS(Movimentos!$F$4:$F$9996,Movimentos!$D$4:$D$9996,B1590,Movimentos!$C$4:$C$9996,"Entrada")-SUMIFS(Movimentos!$F$4:$F$9996,Movimentos!$D$4:$D$9996,B1590,Movimentos!$C$4:$C$9996,"Saída"),""),"")</f>
        <v/>
      </c>
      <c r="F1590" s="10" t="str">
        <f t="shared" si="52"/>
        <v/>
      </c>
    </row>
    <row r="1591" spans="1:6" x14ac:dyDescent="0.3">
      <c r="A1591" s="15" t="str">
        <f t="shared" si="51"/>
        <v>.</v>
      </c>
      <c r="E1591" s="13" t="str">
        <f>IFERROR(IF(AND(B1591&lt;&gt;"",C1591&lt;&gt;""),SUMIFS(Movimentos!$F$4:$F$9996,Movimentos!$D$4:$D$9996,B1591,Movimentos!$C$4:$C$9996,"Entrada")-SUMIFS(Movimentos!$F$4:$F$9996,Movimentos!$D$4:$D$9996,B1591,Movimentos!$C$4:$C$9996,"Saída"),""),"")</f>
        <v/>
      </c>
      <c r="F1591" s="10" t="str">
        <f t="shared" si="52"/>
        <v/>
      </c>
    </row>
    <row r="1592" spans="1:6" x14ac:dyDescent="0.3">
      <c r="A1592" s="15" t="str">
        <f t="shared" si="51"/>
        <v>.</v>
      </c>
      <c r="E1592" s="13" t="str">
        <f>IFERROR(IF(AND(B1592&lt;&gt;"",C1592&lt;&gt;""),SUMIFS(Movimentos!$F$4:$F$9996,Movimentos!$D$4:$D$9996,B1592,Movimentos!$C$4:$C$9996,"Entrada")-SUMIFS(Movimentos!$F$4:$F$9996,Movimentos!$D$4:$D$9996,B1592,Movimentos!$C$4:$C$9996,"Saída"),""),"")</f>
        <v/>
      </c>
      <c r="F1592" s="10" t="str">
        <f t="shared" si="52"/>
        <v/>
      </c>
    </row>
    <row r="1593" spans="1:6" x14ac:dyDescent="0.3">
      <c r="A1593" s="15" t="str">
        <f t="shared" si="51"/>
        <v>.</v>
      </c>
      <c r="E1593" s="13" t="str">
        <f>IFERROR(IF(AND(B1593&lt;&gt;"",C1593&lt;&gt;""),SUMIFS(Movimentos!$F$4:$F$9996,Movimentos!$D$4:$D$9996,B1593,Movimentos!$C$4:$C$9996,"Entrada")-SUMIFS(Movimentos!$F$4:$F$9996,Movimentos!$D$4:$D$9996,B1593,Movimentos!$C$4:$C$9996,"Saída"),""),"")</f>
        <v/>
      </c>
      <c r="F1593" s="10" t="str">
        <f t="shared" si="52"/>
        <v/>
      </c>
    </row>
    <row r="1594" spans="1:6" x14ac:dyDescent="0.3">
      <c r="A1594" s="15" t="str">
        <f t="shared" si="51"/>
        <v>.</v>
      </c>
      <c r="E1594" s="13" t="str">
        <f>IFERROR(IF(AND(B1594&lt;&gt;"",C1594&lt;&gt;""),SUMIFS(Movimentos!$F$4:$F$9996,Movimentos!$D$4:$D$9996,B1594,Movimentos!$C$4:$C$9996,"Entrada")-SUMIFS(Movimentos!$F$4:$F$9996,Movimentos!$D$4:$D$9996,B1594,Movimentos!$C$4:$C$9996,"Saída"),""),"")</f>
        <v/>
      </c>
      <c r="F1594" s="10" t="str">
        <f t="shared" si="52"/>
        <v/>
      </c>
    </row>
    <row r="1595" spans="1:6" x14ac:dyDescent="0.3">
      <c r="A1595" s="15" t="str">
        <f t="shared" si="51"/>
        <v>.</v>
      </c>
      <c r="E1595" s="13" t="str">
        <f>IFERROR(IF(AND(B1595&lt;&gt;"",C1595&lt;&gt;""),SUMIFS(Movimentos!$F$4:$F$9996,Movimentos!$D$4:$D$9996,B1595,Movimentos!$C$4:$C$9996,"Entrada")-SUMIFS(Movimentos!$F$4:$F$9996,Movimentos!$D$4:$D$9996,B1595,Movimentos!$C$4:$C$9996,"Saída"),""),"")</f>
        <v/>
      </c>
      <c r="F1595" s="10" t="str">
        <f t="shared" si="52"/>
        <v/>
      </c>
    </row>
    <row r="1596" spans="1:6" x14ac:dyDescent="0.3">
      <c r="A1596" s="15" t="str">
        <f t="shared" si="51"/>
        <v>.</v>
      </c>
      <c r="E1596" s="13" t="str">
        <f>IFERROR(IF(AND(B1596&lt;&gt;"",C1596&lt;&gt;""),SUMIFS(Movimentos!$F$4:$F$9996,Movimentos!$D$4:$D$9996,B1596,Movimentos!$C$4:$C$9996,"Entrada")-SUMIFS(Movimentos!$F$4:$F$9996,Movimentos!$D$4:$D$9996,B1596,Movimentos!$C$4:$C$9996,"Saída"),""),"")</f>
        <v/>
      </c>
      <c r="F1596" s="10" t="str">
        <f t="shared" si="52"/>
        <v/>
      </c>
    </row>
    <row r="1597" spans="1:6" x14ac:dyDescent="0.3">
      <c r="A1597" s="15" t="str">
        <f t="shared" si="51"/>
        <v>.</v>
      </c>
      <c r="E1597" s="13" t="str">
        <f>IFERROR(IF(AND(B1597&lt;&gt;"",C1597&lt;&gt;""),SUMIFS(Movimentos!$F$4:$F$9996,Movimentos!$D$4:$D$9996,B1597,Movimentos!$C$4:$C$9996,"Entrada")-SUMIFS(Movimentos!$F$4:$F$9996,Movimentos!$D$4:$D$9996,B1597,Movimentos!$C$4:$C$9996,"Saída"),""),"")</f>
        <v/>
      </c>
      <c r="F1597" s="10" t="str">
        <f t="shared" si="52"/>
        <v/>
      </c>
    </row>
    <row r="1598" spans="1:6" x14ac:dyDescent="0.3">
      <c r="A1598" s="15" t="str">
        <f t="shared" si="51"/>
        <v>.</v>
      </c>
      <c r="E1598" s="13" t="str">
        <f>IFERROR(IF(AND(B1598&lt;&gt;"",C1598&lt;&gt;""),SUMIFS(Movimentos!$F$4:$F$9996,Movimentos!$D$4:$D$9996,B1598,Movimentos!$C$4:$C$9996,"Entrada")-SUMIFS(Movimentos!$F$4:$F$9996,Movimentos!$D$4:$D$9996,B1598,Movimentos!$C$4:$C$9996,"Saída"),""),"")</f>
        <v/>
      </c>
      <c r="F1598" s="10" t="str">
        <f t="shared" si="52"/>
        <v/>
      </c>
    </row>
    <row r="1599" spans="1:6" x14ac:dyDescent="0.3">
      <c r="A1599" s="15" t="str">
        <f t="shared" si="51"/>
        <v>.</v>
      </c>
      <c r="E1599" s="13" t="str">
        <f>IFERROR(IF(AND(B1599&lt;&gt;"",C1599&lt;&gt;""),SUMIFS(Movimentos!$F$4:$F$9996,Movimentos!$D$4:$D$9996,B1599,Movimentos!$C$4:$C$9996,"Entrada")-SUMIFS(Movimentos!$F$4:$F$9996,Movimentos!$D$4:$D$9996,B1599,Movimentos!$C$4:$C$9996,"Saída"),""),"")</f>
        <v/>
      </c>
      <c r="F1599" s="10" t="str">
        <f t="shared" si="52"/>
        <v/>
      </c>
    </row>
    <row r="1600" spans="1:6" x14ac:dyDescent="0.3">
      <c r="A1600" s="15" t="str">
        <f t="shared" ref="A1600:A1663" si="53">IF(F1600="Saldo zerado",0,IF(F1600="Saldo abaixo do mínimo",1,IF(F1600="Saldo disponível",2,".")))</f>
        <v>.</v>
      </c>
      <c r="E1600" s="13" t="str">
        <f>IFERROR(IF(AND(B1600&lt;&gt;"",C1600&lt;&gt;""),SUMIFS(Movimentos!$F$4:$F$9996,Movimentos!$D$4:$D$9996,B1600,Movimentos!$C$4:$C$9996,"Entrada")-SUMIFS(Movimentos!$F$4:$F$9996,Movimentos!$D$4:$D$9996,B1600,Movimentos!$C$4:$C$9996,"Saída"),""),"")</f>
        <v/>
      </c>
      <c r="F1600" s="10" t="str">
        <f t="shared" si="52"/>
        <v/>
      </c>
    </row>
    <row r="1601" spans="1:6" x14ac:dyDescent="0.3">
      <c r="A1601" s="15" t="str">
        <f t="shared" si="53"/>
        <v>.</v>
      </c>
      <c r="E1601" s="13" t="str">
        <f>IFERROR(IF(AND(B1601&lt;&gt;"",C1601&lt;&gt;""),SUMIFS(Movimentos!$F$4:$F$9996,Movimentos!$D$4:$D$9996,B1601,Movimentos!$C$4:$C$9996,"Entrada")-SUMIFS(Movimentos!$F$4:$F$9996,Movimentos!$D$4:$D$9996,B1601,Movimentos!$C$4:$C$9996,"Saída"),""),"")</f>
        <v/>
      </c>
      <c r="F1601" s="10" t="str">
        <f t="shared" si="52"/>
        <v/>
      </c>
    </row>
    <row r="1602" spans="1:6" x14ac:dyDescent="0.3">
      <c r="A1602" s="15" t="str">
        <f t="shared" si="53"/>
        <v>.</v>
      </c>
      <c r="E1602" s="13" t="str">
        <f>IFERROR(IF(AND(B1602&lt;&gt;"",C1602&lt;&gt;""),SUMIFS(Movimentos!$F$4:$F$9996,Movimentos!$D$4:$D$9996,B1602,Movimentos!$C$4:$C$9996,"Entrada")-SUMIFS(Movimentos!$F$4:$F$9996,Movimentos!$D$4:$D$9996,B1602,Movimentos!$C$4:$C$9996,"Saída"),""),"")</f>
        <v/>
      </c>
      <c r="F1602" s="10" t="str">
        <f t="shared" si="52"/>
        <v/>
      </c>
    </row>
    <row r="1603" spans="1:6" x14ac:dyDescent="0.3">
      <c r="A1603" s="15" t="str">
        <f t="shared" si="53"/>
        <v>.</v>
      </c>
      <c r="E1603" s="13" t="str">
        <f>IFERROR(IF(AND(B1603&lt;&gt;"",C1603&lt;&gt;""),SUMIFS(Movimentos!$F$4:$F$9996,Movimentos!$D$4:$D$9996,B1603,Movimentos!$C$4:$C$9996,"Entrada")-SUMIFS(Movimentos!$F$4:$F$9996,Movimentos!$D$4:$D$9996,B1603,Movimentos!$C$4:$C$9996,"Saída"),""),"")</f>
        <v/>
      </c>
      <c r="F1603" s="10" t="str">
        <f t="shared" si="52"/>
        <v/>
      </c>
    </row>
    <row r="1604" spans="1:6" x14ac:dyDescent="0.3">
      <c r="A1604" s="15" t="str">
        <f t="shared" si="53"/>
        <v>.</v>
      </c>
      <c r="E1604" s="13" t="str">
        <f>IFERROR(IF(AND(B1604&lt;&gt;"",C1604&lt;&gt;""),SUMIFS(Movimentos!$F$4:$F$9996,Movimentos!$D$4:$D$9996,B1604,Movimentos!$C$4:$C$9996,"Entrada")-SUMIFS(Movimentos!$F$4:$F$9996,Movimentos!$D$4:$D$9996,B1604,Movimentos!$C$4:$C$9996,"Saída"),""),"")</f>
        <v/>
      </c>
      <c r="F1604" s="10" t="str">
        <f t="shared" si="52"/>
        <v/>
      </c>
    </row>
    <row r="1605" spans="1:6" x14ac:dyDescent="0.3">
      <c r="A1605" s="15" t="str">
        <f t="shared" si="53"/>
        <v>.</v>
      </c>
      <c r="E1605" s="13" t="str">
        <f>IFERROR(IF(AND(B1605&lt;&gt;"",C1605&lt;&gt;""),SUMIFS(Movimentos!$F$4:$F$9996,Movimentos!$D$4:$D$9996,B1605,Movimentos!$C$4:$C$9996,"Entrada")-SUMIFS(Movimentos!$F$4:$F$9996,Movimentos!$D$4:$D$9996,B1605,Movimentos!$C$4:$C$9996,"Saída"),""),"")</f>
        <v/>
      </c>
      <c r="F1605" s="10" t="str">
        <f t="shared" si="52"/>
        <v/>
      </c>
    </row>
    <row r="1606" spans="1:6" x14ac:dyDescent="0.3">
      <c r="A1606" s="15" t="str">
        <f t="shared" si="53"/>
        <v>.</v>
      </c>
      <c r="E1606" s="13" t="str">
        <f>IFERROR(IF(AND(B1606&lt;&gt;"",C1606&lt;&gt;""),SUMIFS(Movimentos!$F$4:$F$9996,Movimentos!$D$4:$D$9996,B1606,Movimentos!$C$4:$C$9996,"Entrada")-SUMIFS(Movimentos!$F$4:$F$9996,Movimentos!$D$4:$D$9996,B1606,Movimentos!$C$4:$C$9996,"Saída"),""),"")</f>
        <v/>
      </c>
      <c r="F1606" s="10" t="str">
        <f t="shared" si="52"/>
        <v/>
      </c>
    </row>
    <row r="1607" spans="1:6" x14ac:dyDescent="0.3">
      <c r="A1607" s="15" t="str">
        <f t="shared" si="53"/>
        <v>.</v>
      </c>
      <c r="E1607" s="13" t="str">
        <f>IFERROR(IF(AND(B1607&lt;&gt;"",C1607&lt;&gt;""),SUMIFS(Movimentos!$F$4:$F$9996,Movimentos!$D$4:$D$9996,B1607,Movimentos!$C$4:$C$9996,"Entrada")-SUMIFS(Movimentos!$F$4:$F$9996,Movimentos!$D$4:$D$9996,B1607,Movimentos!$C$4:$C$9996,"Saída"),""),"")</f>
        <v/>
      </c>
      <c r="F1607" s="10" t="str">
        <f t="shared" si="52"/>
        <v/>
      </c>
    </row>
    <row r="1608" spans="1:6" x14ac:dyDescent="0.3">
      <c r="A1608" s="15" t="str">
        <f t="shared" si="53"/>
        <v>.</v>
      </c>
      <c r="E1608" s="13" t="str">
        <f>IFERROR(IF(AND(B1608&lt;&gt;"",C1608&lt;&gt;""),SUMIFS(Movimentos!$F$4:$F$9996,Movimentos!$D$4:$D$9996,B1608,Movimentos!$C$4:$C$9996,"Entrada")-SUMIFS(Movimentos!$F$4:$F$9996,Movimentos!$D$4:$D$9996,B1608,Movimentos!$C$4:$C$9996,"Saída"),""),"")</f>
        <v/>
      </c>
      <c r="F1608" s="10" t="str">
        <f t="shared" si="52"/>
        <v/>
      </c>
    </row>
    <row r="1609" spans="1:6" x14ac:dyDescent="0.3">
      <c r="A1609" s="15" t="str">
        <f t="shared" si="53"/>
        <v>.</v>
      </c>
      <c r="E1609" s="13" t="str">
        <f>IFERROR(IF(AND(B1609&lt;&gt;"",C1609&lt;&gt;""),SUMIFS(Movimentos!$F$4:$F$9996,Movimentos!$D$4:$D$9996,B1609,Movimentos!$C$4:$C$9996,"Entrada")-SUMIFS(Movimentos!$F$4:$F$9996,Movimentos!$D$4:$D$9996,B1609,Movimentos!$C$4:$C$9996,"Saída"),""),"")</f>
        <v/>
      </c>
      <c r="F1609" s="10" t="str">
        <f t="shared" si="52"/>
        <v/>
      </c>
    </row>
    <row r="1610" spans="1:6" x14ac:dyDescent="0.3">
      <c r="A1610" s="15" t="str">
        <f t="shared" si="53"/>
        <v>.</v>
      </c>
      <c r="E1610" s="13" t="str">
        <f>IFERROR(IF(AND(B1610&lt;&gt;"",C1610&lt;&gt;""),SUMIFS(Movimentos!$F$4:$F$9996,Movimentos!$D$4:$D$9996,B1610,Movimentos!$C$4:$C$9996,"Entrada")-SUMIFS(Movimentos!$F$4:$F$9996,Movimentos!$D$4:$D$9996,B1610,Movimentos!$C$4:$C$9996,"Saída"),""),"")</f>
        <v/>
      </c>
      <c r="F1610" s="10" t="str">
        <f t="shared" si="52"/>
        <v/>
      </c>
    </row>
    <row r="1611" spans="1:6" x14ac:dyDescent="0.3">
      <c r="A1611" s="15" t="str">
        <f t="shared" si="53"/>
        <v>.</v>
      </c>
      <c r="E1611" s="13" t="str">
        <f>IFERROR(IF(AND(B1611&lt;&gt;"",C1611&lt;&gt;""),SUMIFS(Movimentos!$F$4:$F$9996,Movimentos!$D$4:$D$9996,B1611,Movimentos!$C$4:$C$9996,"Entrada")-SUMIFS(Movimentos!$F$4:$F$9996,Movimentos!$D$4:$D$9996,B1611,Movimentos!$C$4:$C$9996,"Saída"),""),"")</f>
        <v/>
      </c>
      <c r="F1611" s="10" t="str">
        <f t="shared" si="52"/>
        <v/>
      </c>
    </row>
    <row r="1612" spans="1:6" x14ac:dyDescent="0.3">
      <c r="A1612" s="15" t="str">
        <f t="shared" si="53"/>
        <v>.</v>
      </c>
      <c r="E1612" s="13" t="str">
        <f>IFERROR(IF(AND(B1612&lt;&gt;"",C1612&lt;&gt;""),SUMIFS(Movimentos!$F$4:$F$9996,Movimentos!$D$4:$D$9996,B1612,Movimentos!$C$4:$C$9996,"Entrada")-SUMIFS(Movimentos!$F$4:$F$9996,Movimentos!$D$4:$D$9996,B1612,Movimentos!$C$4:$C$9996,"Saída"),""),"")</f>
        <v/>
      </c>
      <c r="F1612" s="10" t="str">
        <f t="shared" si="52"/>
        <v/>
      </c>
    </row>
    <row r="1613" spans="1:6" x14ac:dyDescent="0.3">
      <c r="A1613" s="15" t="str">
        <f t="shared" si="53"/>
        <v>.</v>
      </c>
      <c r="E1613" s="13" t="str">
        <f>IFERROR(IF(AND(B1613&lt;&gt;"",C1613&lt;&gt;""),SUMIFS(Movimentos!$F$4:$F$9996,Movimentos!$D$4:$D$9996,B1613,Movimentos!$C$4:$C$9996,"Entrada")-SUMIFS(Movimentos!$F$4:$F$9996,Movimentos!$D$4:$D$9996,B1613,Movimentos!$C$4:$C$9996,"Saída"),""),"")</f>
        <v/>
      </c>
      <c r="F1613" s="10" t="str">
        <f t="shared" si="52"/>
        <v/>
      </c>
    </row>
    <row r="1614" spans="1:6" x14ac:dyDescent="0.3">
      <c r="A1614" s="15" t="str">
        <f t="shared" si="53"/>
        <v>.</v>
      </c>
      <c r="E1614" s="13" t="str">
        <f>IFERROR(IF(AND(B1614&lt;&gt;"",C1614&lt;&gt;""),SUMIFS(Movimentos!$F$4:$F$9996,Movimentos!$D$4:$D$9996,B1614,Movimentos!$C$4:$C$9996,"Entrada")-SUMIFS(Movimentos!$F$4:$F$9996,Movimentos!$D$4:$D$9996,B1614,Movimentos!$C$4:$C$9996,"Saída"),""),"")</f>
        <v/>
      </c>
      <c r="F1614" s="10" t="str">
        <f t="shared" si="52"/>
        <v/>
      </c>
    </row>
    <row r="1615" spans="1:6" x14ac:dyDescent="0.3">
      <c r="A1615" s="15" t="str">
        <f t="shared" si="53"/>
        <v>.</v>
      </c>
      <c r="E1615" s="13" t="str">
        <f>IFERROR(IF(AND(B1615&lt;&gt;"",C1615&lt;&gt;""),SUMIFS(Movimentos!$F$4:$F$9996,Movimentos!$D$4:$D$9996,B1615,Movimentos!$C$4:$C$9996,"Entrada")-SUMIFS(Movimentos!$F$4:$F$9996,Movimentos!$D$4:$D$9996,B1615,Movimentos!$C$4:$C$9996,"Saída"),""),"")</f>
        <v/>
      </c>
      <c r="F1615" s="10" t="str">
        <f t="shared" si="52"/>
        <v/>
      </c>
    </row>
    <row r="1616" spans="1:6" x14ac:dyDescent="0.3">
      <c r="A1616" s="15" t="str">
        <f t="shared" si="53"/>
        <v>.</v>
      </c>
      <c r="E1616" s="13" t="str">
        <f>IFERROR(IF(AND(B1616&lt;&gt;"",C1616&lt;&gt;""),SUMIFS(Movimentos!$F$4:$F$9996,Movimentos!$D$4:$D$9996,B1616,Movimentos!$C$4:$C$9996,"Entrada")-SUMIFS(Movimentos!$F$4:$F$9996,Movimentos!$D$4:$D$9996,B1616,Movimentos!$C$4:$C$9996,"Saída"),""),"")</f>
        <v/>
      </c>
      <c r="F1616" s="10" t="str">
        <f t="shared" si="52"/>
        <v/>
      </c>
    </row>
    <row r="1617" spans="1:6" x14ac:dyDescent="0.3">
      <c r="A1617" s="15" t="str">
        <f t="shared" si="53"/>
        <v>.</v>
      </c>
      <c r="E1617" s="13" t="str">
        <f>IFERROR(IF(AND(B1617&lt;&gt;"",C1617&lt;&gt;""),SUMIFS(Movimentos!$F$4:$F$9996,Movimentos!$D$4:$D$9996,B1617,Movimentos!$C$4:$C$9996,"Entrada")-SUMIFS(Movimentos!$F$4:$F$9996,Movimentos!$D$4:$D$9996,B1617,Movimentos!$C$4:$C$9996,"Saída"),""),"")</f>
        <v/>
      </c>
      <c r="F1617" s="10" t="str">
        <f t="shared" si="52"/>
        <v/>
      </c>
    </row>
    <row r="1618" spans="1:6" x14ac:dyDescent="0.3">
      <c r="A1618" s="15" t="str">
        <f t="shared" si="53"/>
        <v>.</v>
      </c>
      <c r="E1618" s="13" t="str">
        <f>IFERROR(IF(AND(B1618&lt;&gt;"",C1618&lt;&gt;""),SUMIFS(Movimentos!$F$4:$F$9996,Movimentos!$D$4:$D$9996,B1618,Movimentos!$C$4:$C$9996,"Entrada")-SUMIFS(Movimentos!$F$4:$F$9996,Movimentos!$D$4:$D$9996,B1618,Movimentos!$C$4:$C$9996,"Saída"),""),"")</f>
        <v/>
      </c>
      <c r="F1618" s="10" t="str">
        <f t="shared" si="52"/>
        <v/>
      </c>
    </row>
    <row r="1619" spans="1:6" x14ac:dyDescent="0.3">
      <c r="A1619" s="15" t="str">
        <f t="shared" si="53"/>
        <v>.</v>
      </c>
      <c r="E1619" s="13" t="str">
        <f>IFERROR(IF(AND(B1619&lt;&gt;"",C1619&lt;&gt;""),SUMIFS(Movimentos!$F$4:$F$9996,Movimentos!$D$4:$D$9996,B1619,Movimentos!$C$4:$C$9996,"Entrada")-SUMIFS(Movimentos!$F$4:$F$9996,Movimentos!$D$4:$D$9996,B1619,Movimentos!$C$4:$C$9996,"Saída"),""),"")</f>
        <v/>
      </c>
      <c r="F1619" s="10" t="str">
        <f t="shared" si="52"/>
        <v/>
      </c>
    </row>
    <row r="1620" spans="1:6" x14ac:dyDescent="0.3">
      <c r="A1620" s="15" t="str">
        <f t="shared" si="53"/>
        <v>.</v>
      </c>
      <c r="E1620" s="13" t="str">
        <f>IFERROR(IF(AND(B1620&lt;&gt;"",C1620&lt;&gt;""),SUMIFS(Movimentos!$F$4:$F$9996,Movimentos!$D$4:$D$9996,B1620,Movimentos!$C$4:$C$9996,"Entrada")-SUMIFS(Movimentos!$F$4:$F$9996,Movimentos!$D$4:$D$9996,B1620,Movimentos!$C$4:$C$9996,"Saída"),""),"")</f>
        <v/>
      </c>
      <c r="F1620" s="10" t="str">
        <f t="shared" si="52"/>
        <v/>
      </c>
    </row>
    <row r="1621" spans="1:6" x14ac:dyDescent="0.3">
      <c r="A1621" s="15" t="str">
        <f t="shared" si="53"/>
        <v>.</v>
      </c>
      <c r="E1621" s="13" t="str">
        <f>IFERROR(IF(AND(B1621&lt;&gt;"",C1621&lt;&gt;""),SUMIFS(Movimentos!$F$4:$F$9996,Movimentos!$D$4:$D$9996,B1621,Movimentos!$C$4:$C$9996,"Entrada")-SUMIFS(Movimentos!$F$4:$F$9996,Movimentos!$D$4:$D$9996,B1621,Movimentos!$C$4:$C$9996,"Saída"),""),"")</f>
        <v/>
      </c>
      <c r="F1621" s="10" t="str">
        <f t="shared" si="52"/>
        <v/>
      </c>
    </row>
    <row r="1622" spans="1:6" x14ac:dyDescent="0.3">
      <c r="A1622" s="15" t="str">
        <f t="shared" si="53"/>
        <v>.</v>
      </c>
      <c r="E1622" s="13" t="str">
        <f>IFERROR(IF(AND(B1622&lt;&gt;"",C1622&lt;&gt;""),SUMIFS(Movimentos!$F$4:$F$9996,Movimentos!$D$4:$D$9996,B1622,Movimentos!$C$4:$C$9996,"Entrada")-SUMIFS(Movimentos!$F$4:$F$9996,Movimentos!$D$4:$D$9996,B1622,Movimentos!$C$4:$C$9996,"Saída"),""),"")</f>
        <v/>
      </c>
      <c r="F1622" s="10" t="str">
        <f t="shared" si="52"/>
        <v/>
      </c>
    </row>
    <row r="1623" spans="1:6" x14ac:dyDescent="0.3">
      <c r="A1623" s="15" t="str">
        <f t="shared" si="53"/>
        <v>.</v>
      </c>
      <c r="E1623" s="13" t="str">
        <f>IFERROR(IF(AND(B1623&lt;&gt;"",C1623&lt;&gt;""),SUMIFS(Movimentos!$F$4:$F$9996,Movimentos!$D$4:$D$9996,B1623,Movimentos!$C$4:$C$9996,"Entrada")-SUMIFS(Movimentos!$F$4:$F$9996,Movimentos!$D$4:$D$9996,B1623,Movimentos!$C$4:$C$9996,"Saída"),""),"")</f>
        <v/>
      </c>
      <c r="F1623" s="10" t="str">
        <f t="shared" ref="F1623:F1686" si="54">IF(AND(B1623&lt;&gt;"",C1623&lt;&gt;""),IF(E1623=0,"Saldo zerado",IF(E1623&lt;D1623,"Saldo abaixo do mínimo","Saldo disponível")),"")</f>
        <v/>
      </c>
    </row>
    <row r="1624" spans="1:6" x14ac:dyDescent="0.3">
      <c r="A1624" s="15" t="str">
        <f t="shared" si="53"/>
        <v>.</v>
      </c>
      <c r="E1624" s="13" t="str">
        <f>IFERROR(IF(AND(B1624&lt;&gt;"",C1624&lt;&gt;""),SUMIFS(Movimentos!$F$4:$F$9996,Movimentos!$D$4:$D$9996,B1624,Movimentos!$C$4:$C$9996,"Entrada")-SUMIFS(Movimentos!$F$4:$F$9996,Movimentos!$D$4:$D$9996,B1624,Movimentos!$C$4:$C$9996,"Saída"),""),"")</f>
        <v/>
      </c>
      <c r="F1624" s="10" t="str">
        <f t="shared" si="54"/>
        <v/>
      </c>
    </row>
    <row r="1625" spans="1:6" x14ac:dyDescent="0.3">
      <c r="A1625" s="15" t="str">
        <f t="shared" si="53"/>
        <v>.</v>
      </c>
      <c r="E1625" s="13" t="str">
        <f>IFERROR(IF(AND(B1625&lt;&gt;"",C1625&lt;&gt;""),SUMIFS(Movimentos!$F$4:$F$9996,Movimentos!$D$4:$D$9996,B1625,Movimentos!$C$4:$C$9996,"Entrada")-SUMIFS(Movimentos!$F$4:$F$9996,Movimentos!$D$4:$D$9996,B1625,Movimentos!$C$4:$C$9996,"Saída"),""),"")</f>
        <v/>
      </c>
      <c r="F1625" s="10" t="str">
        <f t="shared" si="54"/>
        <v/>
      </c>
    </row>
    <row r="1626" spans="1:6" x14ac:dyDescent="0.3">
      <c r="A1626" s="15" t="str">
        <f t="shared" si="53"/>
        <v>.</v>
      </c>
      <c r="E1626" s="13" t="str">
        <f>IFERROR(IF(AND(B1626&lt;&gt;"",C1626&lt;&gt;""),SUMIFS(Movimentos!$F$4:$F$9996,Movimentos!$D$4:$D$9996,B1626,Movimentos!$C$4:$C$9996,"Entrada")-SUMIFS(Movimentos!$F$4:$F$9996,Movimentos!$D$4:$D$9996,B1626,Movimentos!$C$4:$C$9996,"Saída"),""),"")</f>
        <v/>
      </c>
      <c r="F1626" s="10" t="str">
        <f t="shared" si="54"/>
        <v/>
      </c>
    </row>
    <row r="1627" spans="1:6" x14ac:dyDescent="0.3">
      <c r="A1627" s="15" t="str">
        <f t="shared" si="53"/>
        <v>.</v>
      </c>
      <c r="E1627" s="13" t="str">
        <f>IFERROR(IF(AND(B1627&lt;&gt;"",C1627&lt;&gt;""),SUMIFS(Movimentos!$F$4:$F$9996,Movimentos!$D$4:$D$9996,B1627,Movimentos!$C$4:$C$9996,"Entrada")-SUMIFS(Movimentos!$F$4:$F$9996,Movimentos!$D$4:$D$9996,B1627,Movimentos!$C$4:$C$9996,"Saída"),""),"")</f>
        <v/>
      </c>
      <c r="F1627" s="10" t="str">
        <f t="shared" si="54"/>
        <v/>
      </c>
    </row>
    <row r="1628" spans="1:6" x14ac:dyDescent="0.3">
      <c r="A1628" s="15" t="str">
        <f t="shared" si="53"/>
        <v>.</v>
      </c>
      <c r="E1628" s="13" t="str">
        <f>IFERROR(IF(AND(B1628&lt;&gt;"",C1628&lt;&gt;""),SUMIFS(Movimentos!$F$4:$F$9996,Movimentos!$D$4:$D$9996,B1628,Movimentos!$C$4:$C$9996,"Entrada")-SUMIFS(Movimentos!$F$4:$F$9996,Movimentos!$D$4:$D$9996,B1628,Movimentos!$C$4:$C$9996,"Saída"),""),"")</f>
        <v/>
      </c>
      <c r="F1628" s="10" t="str">
        <f t="shared" si="54"/>
        <v/>
      </c>
    </row>
    <row r="1629" spans="1:6" x14ac:dyDescent="0.3">
      <c r="A1629" s="15" t="str">
        <f t="shared" si="53"/>
        <v>.</v>
      </c>
      <c r="E1629" s="13" t="str">
        <f>IFERROR(IF(AND(B1629&lt;&gt;"",C1629&lt;&gt;""),SUMIFS(Movimentos!$F$4:$F$9996,Movimentos!$D$4:$D$9996,B1629,Movimentos!$C$4:$C$9996,"Entrada")-SUMIFS(Movimentos!$F$4:$F$9996,Movimentos!$D$4:$D$9996,B1629,Movimentos!$C$4:$C$9996,"Saída"),""),"")</f>
        <v/>
      </c>
      <c r="F1629" s="10" t="str">
        <f t="shared" si="54"/>
        <v/>
      </c>
    </row>
    <row r="1630" spans="1:6" x14ac:dyDescent="0.3">
      <c r="A1630" s="15" t="str">
        <f t="shared" si="53"/>
        <v>.</v>
      </c>
      <c r="E1630" s="13" t="str">
        <f>IFERROR(IF(AND(B1630&lt;&gt;"",C1630&lt;&gt;""),SUMIFS(Movimentos!$F$4:$F$9996,Movimentos!$D$4:$D$9996,B1630,Movimentos!$C$4:$C$9996,"Entrada")-SUMIFS(Movimentos!$F$4:$F$9996,Movimentos!$D$4:$D$9996,B1630,Movimentos!$C$4:$C$9996,"Saída"),""),"")</f>
        <v/>
      </c>
      <c r="F1630" s="10" t="str">
        <f t="shared" si="54"/>
        <v/>
      </c>
    </row>
    <row r="1631" spans="1:6" x14ac:dyDescent="0.3">
      <c r="A1631" s="15" t="str">
        <f t="shared" si="53"/>
        <v>.</v>
      </c>
      <c r="E1631" s="13" t="str">
        <f>IFERROR(IF(AND(B1631&lt;&gt;"",C1631&lt;&gt;""),SUMIFS(Movimentos!$F$4:$F$9996,Movimentos!$D$4:$D$9996,B1631,Movimentos!$C$4:$C$9996,"Entrada")-SUMIFS(Movimentos!$F$4:$F$9996,Movimentos!$D$4:$D$9996,B1631,Movimentos!$C$4:$C$9996,"Saída"),""),"")</f>
        <v/>
      </c>
      <c r="F1631" s="10" t="str">
        <f t="shared" si="54"/>
        <v/>
      </c>
    </row>
    <row r="1632" spans="1:6" x14ac:dyDescent="0.3">
      <c r="A1632" s="15" t="str">
        <f t="shared" si="53"/>
        <v>.</v>
      </c>
      <c r="E1632" s="13" t="str">
        <f>IFERROR(IF(AND(B1632&lt;&gt;"",C1632&lt;&gt;""),SUMIFS(Movimentos!$F$4:$F$9996,Movimentos!$D$4:$D$9996,B1632,Movimentos!$C$4:$C$9996,"Entrada")-SUMIFS(Movimentos!$F$4:$F$9996,Movimentos!$D$4:$D$9996,B1632,Movimentos!$C$4:$C$9996,"Saída"),""),"")</f>
        <v/>
      </c>
      <c r="F1632" s="10" t="str">
        <f t="shared" si="54"/>
        <v/>
      </c>
    </row>
    <row r="1633" spans="1:6" x14ac:dyDescent="0.3">
      <c r="A1633" s="15" t="str">
        <f t="shared" si="53"/>
        <v>.</v>
      </c>
      <c r="E1633" s="13" t="str">
        <f>IFERROR(IF(AND(B1633&lt;&gt;"",C1633&lt;&gt;""),SUMIFS(Movimentos!$F$4:$F$9996,Movimentos!$D$4:$D$9996,B1633,Movimentos!$C$4:$C$9996,"Entrada")-SUMIFS(Movimentos!$F$4:$F$9996,Movimentos!$D$4:$D$9996,B1633,Movimentos!$C$4:$C$9996,"Saída"),""),"")</f>
        <v/>
      </c>
      <c r="F1633" s="10" t="str">
        <f t="shared" si="54"/>
        <v/>
      </c>
    </row>
    <row r="1634" spans="1:6" x14ac:dyDescent="0.3">
      <c r="A1634" s="15" t="str">
        <f t="shared" si="53"/>
        <v>.</v>
      </c>
      <c r="E1634" s="13" t="str">
        <f>IFERROR(IF(AND(B1634&lt;&gt;"",C1634&lt;&gt;""),SUMIFS(Movimentos!$F$4:$F$9996,Movimentos!$D$4:$D$9996,B1634,Movimentos!$C$4:$C$9996,"Entrada")-SUMIFS(Movimentos!$F$4:$F$9996,Movimentos!$D$4:$D$9996,B1634,Movimentos!$C$4:$C$9996,"Saída"),""),"")</f>
        <v/>
      </c>
      <c r="F1634" s="10" t="str">
        <f t="shared" si="54"/>
        <v/>
      </c>
    </row>
    <row r="1635" spans="1:6" x14ac:dyDescent="0.3">
      <c r="A1635" s="15" t="str">
        <f t="shared" si="53"/>
        <v>.</v>
      </c>
      <c r="E1635" s="13" t="str">
        <f>IFERROR(IF(AND(B1635&lt;&gt;"",C1635&lt;&gt;""),SUMIFS(Movimentos!$F$4:$F$9996,Movimentos!$D$4:$D$9996,B1635,Movimentos!$C$4:$C$9996,"Entrada")-SUMIFS(Movimentos!$F$4:$F$9996,Movimentos!$D$4:$D$9996,B1635,Movimentos!$C$4:$C$9996,"Saída"),""),"")</f>
        <v/>
      </c>
      <c r="F1635" s="10" t="str">
        <f t="shared" si="54"/>
        <v/>
      </c>
    </row>
    <row r="1636" spans="1:6" x14ac:dyDescent="0.3">
      <c r="A1636" s="15" t="str">
        <f t="shared" si="53"/>
        <v>.</v>
      </c>
      <c r="E1636" s="13" t="str">
        <f>IFERROR(IF(AND(B1636&lt;&gt;"",C1636&lt;&gt;""),SUMIFS(Movimentos!$F$4:$F$9996,Movimentos!$D$4:$D$9996,B1636,Movimentos!$C$4:$C$9996,"Entrada")-SUMIFS(Movimentos!$F$4:$F$9996,Movimentos!$D$4:$D$9996,B1636,Movimentos!$C$4:$C$9996,"Saída"),""),"")</f>
        <v/>
      </c>
      <c r="F1636" s="10" t="str">
        <f t="shared" si="54"/>
        <v/>
      </c>
    </row>
    <row r="1637" spans="1:6" x14ac:dyDescent="0.3">
      <c r="A1637" s="15" t="str">
        <f t="shared" si="53"/>
        <v>.</v>
      </c>
      <c r="E1637" s="13" t="str">
        <f>IFERROR(IF(AND(B1637&lt;&gt;"",C1637&lt;&gt;""),SUMIFS(Movimentos!$F$4:$F$9996,Movimentos!$D$4:$D$9996,B1637,Movimentos!$C$4:$C$9996,"Entrada")-SUMIFS(Movimentos!$F$4:$F$9996,Movimentos!$D$4:$D$9996,B1637,Movimentos!$C$4:$C$9996,"Saída"),""),"")</f>
        <v/>
      </c>
      <c r="F1637" s="10" t="str">
        <f t="shared" si="54"/>
        <v/>
      </c>
    </row>
    <row r="1638" spans="1:6" x14ac:dyDescent="0.3">
      <c r="A1638" s="15" t="str">
        <f t="shared" si="53"/>
        <v>.</v>
      </c>
      <c r="E1638" s="13" t="str">
        <f>IFERROR(IF(AND(B1638&lt;&gt;"",C1638&lt;&gt;""),SUMIFS(Movimentos!$F$4:$F$9996,Movimentos!$D$4:$D$9996,B1638,Movimentos!$C$4:$C$9996,"Entrada")-SUMIFS(Movimentos!$F$4:$F$9996,Movimentos!$D$4:$D$9996,B1638,Movimentos!$C$4:$C$9996,"Saída"),""),"")</f>
        <v/>
      </c>
      <c r="F1638" s="10" t="str">
        <f t="shared" si="54"/>
        <v/>
      </c>
    </row>
    <row r="1639" spans="1:6" x14ac:dyDescent="0.3">
      <c r="A1639" s="15" t="str">
        <f t="shared" si="53"/>
        <v>.</v>
      </c>
      <c r="E1639" s="13" t="str">
        <f>IFERROR(IF(AND(B1639&lt;&gt;"",C1639&lt;&gt;""),SUMIFS(Movimentos!$F$4:$F$9996,Movimentos!$D$4:$D$9996,B1639,Movimentos!$C$4:$C$9996,"Entrada")-SUMIFS(Movimentos!$F$4:$F$9996,Movimentos!$D$4:$D$9996,B1639,Movimentos!$C$4:$C$9996,"Saída"),""),"")</f>
        <v/>
      </c>
      <c r="F1639" s="10" t="str">
        <f t="shared" si="54"/>
        <v/>
      </c>
    </row>
    <row r="1640" spans="1:6" x14ac:dyDescent="0.3">
      <c r="A1640" s="15" t="str">
        <f t="shared" si="53"/>
        <v>.</v>
      </c>
      <c r="E1640" s="13" t="str">
        <f>IFERROR(IF(AND(B1640&lt;&gt;"",C1640&lt;&gt;""),SUMIFS(Movimentos!$F$4:$F$9996,Movimentos!$D$4:$D$9996,B1640,Movimentos!$C$4:$C$9996,"Entrada")-SUMIFS(Movimentos!$F$4:$F$9996,Movimentos!$D$4:$D$9996,B1640,Movimentos!$C$4:$C$9996,"Saída"),""),"")</f>
        <v/>
      </c>
      <c r="F1640" s="10" t="str">
        <f t="shared" si="54"/>
        <v/>
      </c>
    </row>
    <row r="1641" spans="1:6" x14ac:dyDescent="0.3">
      <c r="A1641" s="15" t="str">
        <f t="shared" si="53"/>
        <v>.</v>
      </c>
      <c r="E1641" s="13" t="str">
        <f>IFERROR(IF(AND(B1641&lt;&gt;"",C1641&lt;&gt;""),SUMIFS(Movimentos!$F$4:$F$9996,Movimentos!$D$4:$D$9996,B1641,Movimentos!$C$4:$C$9996,"Entrada")-SUMIFS(Movimentos!$F$4:$F$9996,Movimentos!$D$4:$D$9996,B1641,Movimentos!$C$4:$C$9996,"Saída"),""),"")</f>
        <v/>
      </c>
      <c r="F1641" s="10" t="str">
        <f t="shared" si="54"/>
        <v/>
      </c>
    </row>
    <row r="1642" spans="1:6" x14ac:dyDescent="0.3">
      <c r="A1642" s="15" t="str">
        <f t="shared" si="53"/>
        <v>.</v>
      </c>
      <c r="E1642" s="13" t="str">
        <f>IFERROR(IF(AND(B1642&lt;&gt;"",C1642&lt;&gt;""),SUMIFS(Movimentos!$F$4:$F$9996,Movimentos!$D$4:$D$9996,B1642,Movimentos!$C$4:$C$9996,"Entrada")-SUMIFS(Movimentos!$F$4:$F$9996,Movimentos!$D$4:$D$9996,B1642,Movimentos!$C$4:$C$9996,"Saída"),""),"")</f>
        <v/>
      </c>
      <c r="F1642" s="10" t="str">
        <f t="shared" si="54"/>
        <v/>
      </c>
    </row>
    <row r="1643" spans="1:6" x14ac:dyDescent="0.3">
      <c r="A1643" s="15" t="str">
        <f t="shared" si="53"/>
        <v>.</v>
      </c>
      <c r="E1643" s="13" t="str">
        <f>IFERROR(IF(AND(B1643&lt;&gt;"",C1643&lt;&gt;""),SUMIFS(Movimentos!$F$4:$F$9996,Movimentos!$D$4:$D$9996,B1643,Movimentos!$C$4:$C$9996,"Entrada")-SUMIFS(Movimentos!$F$4:$F$9996,Movimentos!$D$4:$D$9996,B1643,Movimentos!$C$4:$C$9996,"Saída"),""),"")</f>
        <v/>
      </c>
      <c r="F1643" s="10" t="str">
        <f t="shared" si="54"/>
        <v/>
      </c>
    </row>
    <row r="1644" spans="1:6" x14ac:dyDescent="0.3">
      <c r="A1644" s="15" t="str">
        <f t="shared" si="53"/>
        <v>.</v>
      </c>
      <c r="E1644" s="13" t="str">
        <f>IFERROR(IF(AND(B1644&lt;&gt;"",C1644&lt;&gt;""),SUMIFS(Movimentos!$F$4:$F$9996,Movimentos!$D$4:$D$9996,B1644,Movimentos!$C$4:$C$9996,"Entrada")-SUMIFS(Movimentos!$F$4:$F$9996,Movimentos!$D$4:$D$9996,B1644,Movimentos!$C$4:$C$9996,"Saída"),""),"")</f>
        <v/>
      </c>
      <c r="F1644" s="10" t="str">
        <f t="shared" si="54"/>
        <v/>
      </c>
    </row>
    <row r="1645" spans="1:6" x14ac:dyDescent="0.3">
      <c r="A1645" s="15" t="str">
        <f t="shared" si="53"/>
        <v>.</v>
      </c>
      <c r="E1645" s="13" t="str">
        <f>IFERROR(IF(AND(B1645&lt;&gt;"",C1645&lt;&gt;""),SUMIFS(Movimentos!$F$4:$F$9996,Movimentos!$D$4:$D$9996,B1645,Movimentos!$C$4:$C$9996,"Entrada")-SUMIFS(Movimentos!$F$4:$F$9996,Movimentos!$D$4:$D$9996,B1645,Movimentos!$C$4:$C$9996,"Saída"),""),"")</f>
        <v/>
      </c>
      <c r="F1645" s="10" t="str">
        <f t="shared" si="54"/>
        <v/>
      </c>
    </row>
    <row r="1646" spans="1:6" x14ac:dyDescent="0.3">
      <c r="A1646" s="15" t="str">
        <f t="shared" si="53"/>
        <v>.</v>
      </c>
      <c r="E1646" s="13" t="str">
        <f>IFERROR(IF(AND(B1646&lt;&gt;"",C1646&lt;&gt;""),SUMIFS(Movimentos!$F$4:$F$9996,Movimentos!$D$4:$D$9996,B1646,Movimentos!$C$4:$C$9996,"Entrada")-SUMIFS(Movimentos!$F$4:$F$9996,Movimentos!$D$4:$D$9996,B1646,Movimentos!$C$4:$C$9996,"Saída"),""),"")</f>
        <v/>
      </c>
      <c r="F1646" s="10" t="str">
        <f t="shared" si="54"/>
        <v/>
      </c>
    </row>
    <row r="1647" spans="1:6" x14ac:dyDescent="0.3">
      <c r="A1647" s="15" t="str">
        <f t="shared" si="53"/>
        <v>.</v>
      </c>
      <c r="E1647" s="13" t="str">
        <f>IFERROR(IF(AND(B1647&lt;&gt;"",C1647&lt;&gt;""),SUMIFS(Movimentos!$F$4:$F$9996,Movimentos!$D$4:$D$9996,B1647,Movimentos!$C$4:$C$9996,"Entrada")-SUMIFS(Movimentos!$F$4:$F$9996,Movimentos!$D$4:$D$9996,B1647,Movimentos!$C$4:$C$9996,"Saída"),""),"")</f>
        <v/>
      </c>
      <c r="F1647" s="10" t="str">
        <f t="shared" si="54"/>
        <v/>
      </c>
    </row>
    <row r="1648" spans="1:6" x14ac:dyDescent="0.3">
      <c r="A1648" s="15" t="str">
        <f t="shared" si="53"/>
        <v>.</v>
      </c>
      <c r="E1648" s="13" t="str">
        <f>IFERROR(IF(AND(B1648&lt;&gt;"",C1648&lt;&gt;""),SUMIFS(Movimentos!$F$4:$F$9996,Movimentos!$D$4:$D$9996,B1648,Movimentos!$C$4:$C$9996,"Entrada")-SUMIFS(Movimentos!$F$4:$F$9996,Movimentos!$D$4:$D$9996,B1648,Movimentos!$C$4:$C$9996,"Saída"),""),"")</f>
        <v/>
      </c>
      <c r="F1648" s="10" t="str">
        <f t="shared" si="54"/>
        <v/>
      </c>
    </row>
    <row r="1649" spans="1:6" x14ac:dyDescent="0.3">
      <c r="A1649" s="15" t="str">
        <f t="shared" si="53"/>
        <v>.</v>
      </c>
      <c r="E1649" s="13" t="str">
        <f>IFERROR(IF(AND(B1649&lt;&gt;"",C1649&lt;&gt;""),SUMIFS(Movimentos!$F$4:$F$9996,Movimentos!$D$4:$D$9996,B1649,Movimentos!$C$4:$C$9996,"Entrada")-SUMIFS(Movimentos!$F$4:$F$9996,Movimentos!$D$4:$D$9996,B1649,Movimentos!$C$4:$C$9996,"Saída"),""),"")</f>
        <v/>
      </c>
      <c r="F1649" s="10" t="str">
        <f t="shared" si="54"/>
        <v/>
      </c>
    </row>
    <row r="1650" spans="1:6" x14ac:dyDescent="0.3">
      <c r="A1650" s="15" t="str">
        <f t="shared" si="53"/>
        <v>.</v>
      </c>
      <c r="E1650" s="13" t="str">
        <f>IFERROR(IF(AND(B1650&lt;&gt;"",C1650&lt;&gt;""),SUMIFS(Movimentos!$F$4:$F$9996,Movimentos!$D$4:$D$9996,B1650,Movimentos!$C$4:$C$9996,"Entrada")-SUMIFS(Movimentos!$F$4:$F$9996,Movimentos!$D$4:$D$9996,B1650,Movimentos!$C$4:$C$9996,"Saída"),""),"")</f>
        <v/>
      </c>
      <c r="F1650" s="10" t="str">
        <f t="shared" si="54"/>
        <v/>
      </c>
    </row>
    <row r="1651" spans="1:6" x14ac:dyDescent="0.3">
      <c r="A1651" s="15" t="str">
        <f t="shared" si="53"/>
        <v>.</v>
      </c>
      <c r="E1651" s="13" t="str">
        <f>IFERROR(IF(AND(B1651&lt;&gt;"",C1651&lt;&gt;""),SUMIFS(Movimentos!$F$4:$F$9996,Movimentos!$D$4:$D$9996,B1651,Movimentos!$C$4:$C$9996,"Entrada")-SUMIFS(Movimentos!$F$4:$F$9996,Movimentos!$D$4:$D$9996,B1651,Movimentos!$C$4:$C$9996,"Saída"),""),"")</f>
        <v/>
      </c>
      <c r="F1651" s="10" t="str">
        <f t="shared" si="54"/>
        <v/>
      </c>
    </row>
    <row r="1652" spans="1:6" x14ac:dyDescent="0.3">
      <c r="A1652" s="15" t="str">
        <f t="shared" si="53"/>
        <v>.</v>
      </c>
      <c r="E1652" s="13" t="str">
        <f>IFERROR(IF(AND(B1652&lt;&gt;"",C1652&lt;&gt;""),SUMIFS(Movimentos!$F$4:$F$9996,Movimentos!$D$4:$D$9996,B1652,Movimentos!$C$4:$C$9996,"Entrada")-SUMIFS(Movimentos!$F$4:$F$9996,Movimentos!$D$4:$D$9996,B1652,Movimentos!$C$4:$C$9996,"Saída"),""),"")</f>
        <v/>
      </c>
      <c r="F1652" s="10" t="str">
        <f t="shared" si="54"/>
        <v/>
      </c>
    </row>
    <row r="1653" spans="1:6" x14ac:dyDescent="0.3">
      <c r="A1653" s="15" t="str">
        <f t="shared" si="53"/>
        <v>.</v>
      </c>
      <c r="E1653" s="13" t="str">
        <f>IFERROR(IF(AND(B1653&lt;&gt;"",C1653&lt;&gt;""),SUMIFS(Movimentos!$F$4:$F$9996,Movimentos!$D$4:$D$9996,B1653,Movimentos!$C$4:$C$9996,"Entrada")-SUMIFS(Movimentos!$F$4:$F$9996,Movimentos!$D$4:$D$9996,B1653,Movimentos!$C$4:$C$9996,"Saída"),""),"")</f>
        <v/>
      </c>
      <c r="F1653" s="10" t="str">
        <f t="shared" si="54"/>
        <v/>
      </c>
    </row>
    <row r="1654" spans="1:6" x14ac:dyDescent="0.3">
      <c r="A1654" s="15" t="str">
        <f t="shared" si="53"/>
        <v>.</v>
      </c>
      <c r="E1654" s="13" t="str">
        <f>IFERROR(IF(AND(B1654&lt;&gt;"",C1654&lt;&gt;""),SUMIFS(Movimentos!$F$4:$F$9996,Movimentos!$D$4:$D$9996,B1654,Movimentos!$C$4:$C$9996,"Entrada")-SUMIFS(Movimentos!$F$4:$F$9996,Movimentos!$D$4:$D$9996,B1654,Movimentos!$C$4:$C$9996,"Saída"),""),"")</f>
        <v/>
      </c>
      <c r="F1654" s="10" t="str">
        <f t="shared" si="54"/>
        <v/>
      </c>
    </row>
    <row r="1655" spans="1:6" x14ac:dyDescent="0.3">
      <c r="A1655" s="15" t="str">
        <f t="shared" si="53"/>
        <v>.</v>
      </c>
      <c r="E1655" s="13" t="str">
        <f>IFERROR(IF(AND(B1655&lt;&gt;"",C1655&lt;&gt;""),SUMIFS(Movimentos!$F$4:$F$9996,Movimentos!$D$4:$D$9996,B1655,Movimentos!$C$4:$C$9996,"Entrada")-SUMIFS(Movimentos!$F$4:$F$9996,Movimentos!$D$4:$D$9996,B1655,Movimentos!$C$4:$C$9996,"Saída"),""),"")</f>
        <v/>
      </c>
      <c r="F1655" s="10" t="str">
        <f t="shared" si="54"/>
        <v/>
      </c>
    </row>
    <row r="1656" spans="1:6" x14ac:dyDescent="0.3">
      <c r="A1656" s="15" t="str">
        <f t="shared" si="53"/>
        <v>.</v>
      </c>
      <c r="E1656" s="13" t="str">
        <f>IFERROR(IF(AND(B1656&lt;&gt;"",C1656&lt;&gt;""),SUMIFS(Movimentos!$F$4:$F$9996,Movimentos!$D$4:$D$9996,B1656,Movimentos!$C$4:$C$9996,"Entrada")-SUMIFS(Movimentos!$F$4:$F$9996,Movimentos!$D$4:$D$9996,B1656,Movimentos!$C$4:$C$9996,"Saída"),""),"")</f>
        <v/>
      </c>
      <c r="F1656" s="10" t="str">
        <f t="shared" si="54"/>
        <v/>
      </c>
    </row>
    <row r="1657" spans="1:6" x14ac:dyDescent="0.3">
      <c r="A1657" s="15" t="str">
        <f t="shared" si="53"/>
        <v>.</v>
      </c>
      <c r="E1657" s="13" t="str">
        <f>IFERROR(IF(AND(B1657&lt;&gt;"",C1657&lt;&gt;""),SUMIFS(Movimentos!$F$4:$F$9996,Movimentos!$D$4:$D$9996,B1657,Movimentos!$C$4:$C$9996,"Entrada")-SUMIFS(Movimentos!$F$4:$F$9996,Movimentos!$D$4:$D$9996,B1657,Movimentos!$C$4:$C$9996,"Saída"),""),"")</f>
        <v/>
      </c>
      <c r="F1657" s="10" t="str">
        <f t="shared" si="54"/>
        <v/>
      </c>
    </row>
    <row r="1658" spans="1:6" x14ac:dyDescent="0.3">
      <c r="A1658" s="15" t="str">
        <f t="shared" si="53"/>
        <v>.</v>
      </c>
      <c r="E1658" s="13" t="str">
        <f>IFERROR(IF(AND(B1658&lt;&gt;"",C1658&lt;&gt;""),SUMIFS(Movimentos!$F$4:$F$9996,Movimentos!$D$4:$D$9996,B1658,Movimentos!$C$4:$C$9996,"Entrada")-SUMIFS(Movimentos!$F$4:$F$9996,Movimentos!$D$4:$D$9996,B1658,Movimentos!$C$4:$C$9996,"Saída"),""),"")</f>
        <v/>
      </c>
      <c r="F1658" s="10" t="str">
        <f t="shared" si="54"/>
        <v/>
      </c>
    </row>
    <row r="1659" spans="1:6" x14ac:dyDescent="0.3">
      <c r="A1659" s="15" t="str">
        <f t="shared" si="53"/>
        <v>.</v>
      </c>
      <c r="E1659" s="13" t="str">
        <f>IFERROR(IF(AND(B1659&lt;&gt;"",C1659&lt;&gt;""),SUMIFS(Movimentos!$F$4:$F$9996,Movimentos!$D$4:$D$9996,B1659,Movimentos!$C$4:$C$9996,"Entrada")-SUMIFS(Movimentos!$F$4:$F$9996,Movimentos!$D$4:$D$9996,B1659,Movimentos!$C$4:$C$9996,"Saída"),""),"")</f>
        <v/>
      </c>
      <c r="F1659" s="10" t="str">
        <f t="shared" si="54"/>
        <v/>
      </c>
    </row>
    <row r="1660" spans="1:6" x14ac:dyDescent="0.3">
      <c r="A1660" s="15" t="str">
        <f t="shared" si="53"/>
        <v>.</v>
      </c>
      <c r="E1660" s="13" t="str">
        <f>IFERROR(IF(AND(B1660&lt;&gt;"",C1660&lt;&gt;""),SUMIFS(Movimentos!$F$4:$F$9996,Movimentos!$D$4:$D$9996,B1660,Movimentos!$C$4:$C$9996,"Entrada")-SUMIFS(Movimentos!$F$4:$F$9996,Movimentos!$D$4:$D$9996,B1660,Movimentos!$C$4:$C$9996,"Saída"),""),"")</f>
        <v/>
      </c>
      <c r="F1660" s="10" t="str">
        <f t="shared" si="54"/>
        <v/>
      </c>
    </row>
    <row r="1661" spans="1:6" x14ac:dyDescent="0.3">
      <c r="A1661" s="15" t="str">
        <f t="shared" si="53"/>
        <v>.</v>
      </c>
      <c r="E1661" s="13" t="str">
        <f>IFERROR(IF(AND(B1661&lt;&gt;"",C1661&lt;&gt;""),SUMIFS(Movimentos!$F$4:$F$9996,Movimentos!$D$4:$D$9996,B1661,Movimentos!$C$4:$C$9996,"Entrada")-SUMIFS(Movimentos!$F$4:$F$9996,Movimentos!$D$4:$D$9996,B1661,Movimentos!$C$4:$C$9996,"Saída"),""),"")</f>
        <v/>
      </c>
      <c r="F1661" s="10" t="str">
        <f t="shared" si="54"/>
        <v/>
      </c>
    </row>
    <row r="1662" spans="1:6" x14ac:dyDescent="0.3">
      <c r="A1662" s="15" t="str">
        <f t="shared" si="53"/>
        <v>.</v>
      </c>
      <c r="E1662" s="13" t="str">
        <f>IFERROR(IF(AND(B1662&lt;&gt;"",C1662&lt;&gt;""),SUMIFS(Movimentos!$F$4:$F$9996,Movimentos!$D$4:$D$9996,B1662,Movimentos!$C$4:$C$9996,"Entrada")-SUMIFS(Movimentos!$F$4:$F$9996,Movimentos!$D$4:$D$9996,B1662,Movimentos!$C$4:$C$9996,"Saída"),""),"")</f>
        <v/>
      </c>
      <c r="F1662" s="10" t="str">
        <f t="shared" si="54"/>
        <v/>
      </c>
    </row>
    <row r="1663" spans="1:6" x14ac:dyDescent="0.3">
      <c r="A1663" s="15" t="str">
        <f t="shared" si="53"/>
        <v>.</v>
      </c>
      <c r="E1663" s="13" t="str">
        <f>IFERROR(IF(AND(B1663&lt;&gt;"",C1663&lt;&gt;""),SUMIFS(Movimentos!$F$4:$F$9996,Movimentos!$D$4:$D$9996,B1663,Movimentos!$C$4:$C$9996,"Entrada")-SUMIFS(Movimentos!$F$4:$F$9996,Movimentos!$D$4:$D$9996,B1663,Movimentos!$C$4:$C$9996,"Saída"),""),"")</f>
        <v/>
      </c>
      <c r="F1663" s="10" t="str">
        <f t="shared" si="54"/>
        <v/>
      </c>
    </row>
    <row r="1664" spans="1:6" x14ac:dyDescent="0.3">
      <c r="A1664" s="15" t="str">
        <f t="shared" ref="A1664:A1727" si="55">IF(F1664="Saldo zerado",0,IF(F1664="Saldo abaixo do mínimo",1,IF(F1664="Saldo disponível",2,".")))</f>
        <v>.</v>
      </c>
      <c r="E1664" s="13" t="str">
        <f>IFERROR(IF(AND(B1664&lt;&gt;"",C1664&lt;&gt;""),SUMIFS(Movimentos!$F$4:$F$9996,Movimentos!$D$4:$D$9996,B1664,Movimentos!$C$4:$C$9996,"Entrada")-SUMIFS(Movimentos!$F$4:$F$9996,Movimentos!$D$4:$D$9996,B1664,Movimentos!$C$4:$C$9996,"Saída"),""),"")</f>
        <v/>
      </c>
      <c r="F1664" s="10" t="str">
        <f t="shared" si="54"/>
        <v/>
      </c>
    </row>
    <row r="1665" spans="1:6" x14ac:dyDescent="0.3">
      <c r="A1665" s="15" t="str">
        <f t="shared" si="55"/>
        <v>.</v>
      </c>
      <c r="E1665" s="13" t="str">
        <f>IFERROR(IF(AND(B1665&lt;&gt;"",C1665&lt;&gt;""),SUMIFS(Movimentos!$F$4:$F$9996,Movimentos!$D$4:$D$9996,B1665,Movimentos!$C$4:$C$9996,"Entrada")-SUMIFS(Movimentos!$F$4:$F$9996,Movimentos!$D$4:$D$9996,B1665,Movimentos!$C$4:$C$9996,"Saída"),""),"")</f>
        <v/>
      </c>
      <c r="F1665" s="10" t="str">
        <f t="shared" si="54"/>
        <v/>
      </c>
    </row>
    <row r="1666" spans="1:6" x14ac:dyDescent="0.3">
      <c r="A1666" s="15" t="str">
        <f t="shared" si="55"/>
        <v>.</v>
      </c>
      <c r="E1666" s="13" t="str">
        <f>IFERROR(IF(AND(B1666&lt;&gt;"",C1666&lt;&gt;""),SUMIFS(Movimentos!$F$4:$F$9996,Movimentos!$D$4:$D$9996,B1666,Movimentos!$C$4:$C$9996,"Entrada")-SUMIFS(Movimentos!$F$4:$F$9996,Movimentos!$D$4:$D$9996,B1666,Movimentos!$C$4:$C$9996,"Saída"),""),"")</f>
        <v/>
      </c>
      <c r="F1666" s="10" t="str">
        <f t="shared" si="54"/>
        <v/>
      </c>
    </row>
    <row r="1667" spans="1:6" x14ac:dyDescent="0.3">
      <c r="A1667" s="15" t="str">
        <f t="shared" si="55"/>
        <v>.</v>
      </c>
      <c r="E1667" s="13" t="str">
        <f>IFERROR(IF(AND(B1667&lt;&gt;"",C1667&lt;&gt;""),SUMIFS(Movimentos!$F$4:$F$9996,Movimentos!$D$4:$D$9996,B1667,Movimentos!$C$4:$C$9996,"Entrada")-SUMIFS(Movimentos!$F$4:$F$9996,Movimentos!$D$4:$D$9996,B1667,Movimentos!$C$4:$C$9996,"Saída"),""),"")</f>
        <v/>
      </c>
      <c r="F1667" s="10" t="str">
        <f t="shared" si="54"/>
        <v/>
      </c>
    </row>
    <row r="1668" spans="1:6" x14ac:dyDescent="0.3">
      <c r="A1668" s="15" t="str">
        <f t="shared" si="55"/>
        <v>.</v>
      </c>
      <c r="E1668" s="13" t="str">
        <f>IFERROR(IF(AND(B1668&lt;&gt;"",C1668&lt;&gt;""),SUMIFS(Movimentos!$F$4:$F$9996,Movimentos!$D$4:$D$9996,B1668,Movimentos!$C$4:$C$9996,"Entrada")-SUMIFS(Movimentos!$F$4:$F$9996,Movimentos!$D$4:$D$9996,B1668,Movimentos!$C$4:$C$9996,"Saída"),""),"")</f>
        <v/>
      </c>
      <c r="F1668" s="10" t="str">
        <f t="shared" si="54"/>
        <v/>
      </c>
    </row>
    <row r="1669" spans="1:6" x14ac:dyDescent="0.3">
      <c r="A1669" s="15" t="str">
        <f t="shared" si="55"/>
        <v>.</v>
      </c>
      <c r="E1669" s="13" t="str">
        <f>IFERROR(IF(AND(B1669&lt;&gt;"",C1669&lt;&gt;""),SUMIFS(Movimentos!$F$4:$F$9996,Movimentos!$D$4:$D$9996,B1669,Movimentos!$C$4:$C$9996,"Entrada")-SUMIFS(Movimentos!$F$4:$F$9996,Movimentos!$D$4:$D$9996,B1669,Movimentos!$C$4:$C$9996,"Saída"),""),"")</f>
        <v/>
      </c>
      <c r="F1669" s="10" t="str">
        <f t="shared" si="54"/>
        <v/>
      </c>
    </row>
    <row r="1670" spans="1:6" x14ac:dyDescent="0.3">
      <c r="A1670" s="15" t="str">
        <f t="shared" si="55"/>
        <v>.</v>
      </c>
      <c r="E1670" s="13" t="str">
        <f>IFERROR(IF(AND(B1670&lt;&gt;"",C1670&lt;&gt;""),SUMIFS(Movimentos!$F$4:$F$9996,Movimentos!$D$4:$D$9996,B1670,Movimentos!$C$4:$C$9996,"Entrada")-SUMIFS(Movimentos!$F$4:$F$9996,Movimentos!$D$4:$D$9996,B1670,Movimentos!$C$4:$C$9996,"Saída"),""),"")</f>
        <v/>
      </c>
      <c r="F1670" s="10" t="str">
        <f t="shared" si="54"/>
        <v/>
      </c>
    </row>
    <row r="1671" spans="1:6" x14ac:dyDescent="0.3">
      <c r="A1671" s="15" t="str">
        <f t="shared" si="55"/>
        <v>.</v>
      </c>
      <c r="E1671" s="13" t="str">
        <f>IFERROR(IF(AND(B1671&lt;&gt;"",C1671&lt;&gt;""),SUMIFS(Movimentos!$F$4:$F$9996,Movimentos!$D$4:$D$9996,B1671,Movimentos!$C$4:$C$9996,"Entrada")-SUMIFS(Movimentos!$F$4:$F$9996,Movimentos!$D$4:$D$9996,B1671,Movimentos!$C$4:$C$9996,"Saída"),""),"")</f>
        <v/>
      </c>
      <c r="F1671" s="10" t="str">
        <f t="shared" si="54"/>
        <v/>
      </c>
    </row>
    <row r="1672" spans="1:6" x14ac:dyDescent="0.3">
      <c r="A1672" s="15" t="str">
        <f t="shared" si="55"/>
        <v>.</v>
      </c>
      <c r="E1672" s="13" t="str">
        <f>IFERROR(IF(AND(B1672&lt;&gt;"",C1672&lt;&gt;""),SUMIFS(Movimentos!$F$4:$F$9996,Movimentos!$D$4:$D$9996,B1672,Movimentos!$C$4:$C$9996,"Entrada")-SUMIFS(Movimentos!$F$4:$F$9996,Movimentos!$D$4:$D$9996,B1672,Movimentos!$C$4:$C$9996,"Saída"),""),"")</f>
        <v/>
      </c>
      <c r="F1672" s="10" t="str">
        <f t="shared" si="54"/>
        <v/>
      </c>
    </row>
    <row r="1673" spans="1:6" x14ac:dyDescent="0.3">
      <c r="A1673" s="15" t="str">
        <f t="shared" si="55"/>
        <v>.</v>
      </c>
      <c r="E1673" s="13" t="str">
        <f>IFERROR(IF(AND(B1673&lt;&gt;"",C1673&lt;&gt;""),SUMIFS(Movimentos!$F$4:$F$9996,Movimentos!$D$4:$D$9996,B1673,Movimentos!$C$4:$C$9996,"Entrada")-SUMIFS(Movimentos!$F$4:$F$9996,Movimentos!$D$4:$D$9996,B1673,Movimentos!$C$4:$C$9996,"Saída"),""),"")</f>
        <v/>
      </c>
      <c r="F1673" s="10" t="str">
        <f t="shared" si="54"/>
        <v/>
      </c>
    </row>
    <row r="1674" spans="1:6" x14ac:dyDescent="0.3">
      <c r="A1674" s="15" t="str">
        <f t="shared" si="55"/>
        <v>.</v>
      </c>
      <c r="E1674" s="13" t="str">
        <f>IFERROR(IF(AND(B1674&lt;&gt;"",C1674&lt;&gt;""),SUMIFS(Movimentos!$F$4:$F$9996,Movimentos!$D$4:$D$9996,B1674,Movimentos!$C$4:$C$9996,"Entrada")-SUMIFS(Movimentos!$F$4:$F$9996,Movimentos!$D$4:$D$9996,B1674,Movimentos!$C$4:$C$9996,"Saída"),""),"")</f>
        <v/>
      </c>
      <c r="F1674" s="10" t="str">
        <f t="shared" si="54"/>
        <v/>
      </c>
    </row>
    <row r="1675" spans="1:6" x14ac:dyDescent="0.3">
      <c r="A1675" s="15" t="str">
        <f t="shared" si="55"/>
        <v>.</v>
      </c>
      <c r="E1675" s="13" t="str">
        <f>IFERROR(IF(AND(B1675&lt;&gt;"",C1675&lt;&gt;""),SUMIFS(Movimentos!$F$4:$F$9996,Movimentos!$D$4:$D$9996,B1675,Movimentos!$C$4:$C$9996,"Entrada")-SUMIFS(Movimentos!$F$4:$F$9996,Movimentos!$D$4:$D$9996,B1675,Movimentos!$C$4:$C$9996,"Saída"),""),"")</f>
        <v/>
      </c>
      <c r="F1675" s="10" t="str">
        <f t="shared" si="54"/>
        <v/>
      </c>
    </row>
    <row r="1676" spans="1:6" x14ac:dyDescent="0.3">
      <c r="A1676" s="15" t="str">
        <f t="shared" si="55"/>
        <v>.</v>
      </c>
      <c r="E1676" s="13" t="str">
        <f>IFERROR(IF(AND(B1676&lt;&gt;"",C1676&lt;&gt;""),SUMIFS(Movimentos!$F$4:$F$9996,Movimentos!$D$4:$D$9996,B1676,Movimentos!$C$4:$C$9996,"Entrada")-SUMIFS(Movimentos!$F$4:$F$9996,Movimentos!$D$4:$D$9996,B1676,Movimentos!$C$4:$C$9996,"Saída"),""),"")</f>
        <v/>
      </c>
      <c r="F1676" s="10" t="str">
        <f t="shared" si="54"/>
        <v/>
      </c>
    </row>
    <row r="1677" spans="1:6" x14ac:dyDescent="0.3">
      <c r="A1677" s="15" t="str">
        <f t="shared" si="55"/>
        <v>.</v>
      </c>
      <c r="E1677" s="13" t="str">
        <f>IFERROR(IF(AND(B1677&lt;&gt;"",C1677&lt;&gt;""),SUMIFS(Movimentos!$F$4:$F$9996,Movimentos!$D$4:$D$9996,B1677,Movimentos!$C$4:$C$9996,"Entrada")-SUMIFS(Movimentos!$F$4:$F$9996,Movimentos!$D$4:$D$9996,B1677,Movimentos!$C$4:$C$9996,"Saída"),""),"")</f>
        <v/>
      </c>
      <c r="F1677" s="10" t="str">
        <f t="shared" si="54"/>
        <v/>
      </c>
    </row>
    <row r="1678" spans="1:6" x14ac:dyDescent="0.3">
      <c r="A1678" s="15" t="str">
        <f t="shared" si="55"/>
        <v>.</v>
      </c>
      <c r="E1678" s="13" t="str">
        <f>IFERROR(IF(AND(B1678&lt;&gt;"",C1678&lt;&gt;""),SUMIFS(Movimentos!$F$4:$F$9996,Movimentos!$D$4:$D$9996,B1678,Movimentos!$C$4:$C$9996,"Entrada")-SUMIFS(Movimentos!$F$4:$F$9996,Movimentos!$D$4:$D$9996,B1678,Movimentos!$C$4:$C$9996,"Saída"),""),"")</f>
        <v/>
      </c>
      <c r="F1678" s="10" t="str">
        <f t="shared" si="54"/>
        <v/>
      </c>
    </row>
    <row r="1679" spans="1:6" x14ac:dyDescent="0.3">
      <c r="A1679" s="15" t="str">
        <f t="shared" si="55"/>
        <v>.</v>
      </c>
      <c r="E1679" s="13" t="str">
        <f>IFERROR(IF(AND(B1679&lt;&gt;"",C1679&lt;&gt;""),SUMIFS(Movimentos!$F$4:$F$9996,Movimentos!$D$4:$D$9996,B1679,Movimentos!$C$4:$C$9996,"Entrada")-SUMIFS(Movimentos!$F$4:$F$9996,Movimentos!$D$4:$D$9996,B1679,Movimentos!$C$4:$C$9996,"Saída"),""),"")</f>
        <v/>
      </c>
      <c r="F1679" s="10" t="str">
        <f t="shared" si="54"/>
        <v/>
      </c>
    </row>
    <row r="1680" spans="1:6" x14ac:dyDescent="0.3">
      <c r="A1680" s="15" t="str">
        <f t="shared" si="55"/>
        <v>.</v>
      </c>
      <c r="E1680" s="13" t="str">
        <f>IFERROR(IF(AND(B1680&lt;&gt;"",C1680&lt;&gt;""),SUMIFS(Movimentos!$F$4:$F$9996,Movimentos!$D$4:$D$9996,B1680,Movimentos!$C$4:$C$9996,"Entrada")-SUMIFS(Movimentos!$F$4:$F$9996,Movimentos!$D$4:$D$9996,B1680,Movimentos!$C$4:$C$9996,"Saída"),""),"")</f>
        <v/>
      </c>
      <c r="F1680" s="10" t="str">
        <f t="shared" si="54"/>
        <v/>
      </c>
    </row>
    <row r="1681" spans="1:6" x14ac:dyDescent="0.3">
      <c r="A1681" s="15" t="str">
        <f t="shared" si="55"/>
        <v>.</v>
      </c>
      <c r="E1681" s="13" t="str">
        <f>IFERROR(IF(AND(B1681&lt;&gt;"",C1681&lt;&gt;""),SUMIFS(Movimentos!$F$4:$F$9996,Movimentos!$D$4:$D$9996,B1681,Movimentos!$C$4:$C$9996,"Entrada")-SUMIFS(Movimentos!$F$4:$F$9996,Movimentos!$D$4:$D$9996,B1681,Movimentos!$C$4:$C$9996,"Saída"),""),"")</f>
        <v/>
      </c>
      <c r="F1681" s="10" t="str">
        <f t="shared" si="54"/>
        <v/>
      </c>
    </row>
    <row r="1682" spans="1:6" x14ac:dyDescent="0.3">
      <c r="A1682" s="15" t="str">
        <f t="shared" si="55"/>
        <v>.</v>
      </c>
      <c r="E1682" s="13" t="str">
        <f>IFERROR(IF(AND(B1682&lt;&gt;"",C1682&lt;&gt;""),SUMIFS(Movimentos!$F$4:$F$9996,Movimentos!$D$4:$D$9996,B1682,Movimentos!$C$4:$C$9996,"Entrada")-SUMIFS(Movimentos!$F$4:$F$9996,Movimentos!$D$4:$D$9996,B1682,Movimentos!$C$4:$C$9996,"Saída"),""),"")</f>
        <v/>
      </c>
      <c r="F1682" s="10" t="str">
        <f t="shared" si="54"/>
        <v/>
      </c>
    </row>
    <row r="1683" spans="1:6" x14ac:dyDescent="0.3">
      <c r="A1683" s="15" t="str">
        <f t="shared" si="55"/>
        <v>.</v>
      </c>
      <c r="E1683" s="13" t="str">
        <f>IFERROR(IF(AND(B1683&lt;&gt;"",C1683&lt;&gt;""),SUMIFS(Movimentos!$F$4:$F$9996,Movimentos!$D$4:$D$9996,B1683,Movimentos!$C$4:$C$9996,"Entrada")-SUMIFS(Movimentos!$F$4:$F$9996,Movimentos!$D$4:$D$9996,B1683,Movimentos!$C$4:$C$9996,"Saída"),""),"")</f>
        <v/>
      </c>
      <c r="F1683" s="10" t="str">
        <f t="shared" si="54"/>
        <v/>
      </c>
    </row>
    <row r="1684" spans="1:6" x14ac:dyDescent="0.3">
      <c r="A1684" s="15" t="str">
        <f t="shared" si="55"/>
        <v>.</v>
      </c>
      <c r="E1684" s="13" t="str">
        <f>IFERROR(IF(AND(B1684&lt;&gt;"",C1684&lt;&gt;""),SUMIFS(Movimentos!$F$4:$F$9996,Movimentos!$D$4:$D$9996,B1684,Movimentos!$C$4:$C$9996,"Entrada")-SUMIFS(Movimentos!$F$4:$F$9996,Movimentos!$D$4:$D$9996,B1684,Movimentos!$C$4:$C$9996,"Saída"),""),"")</f>
        <v/>
      </c>
      <c r="F1684" s="10" t="str">
        <f t="shared" si="54"/>
        <v/>
      </c>
    </row>
    <row r="1685" spans="1:6" x14ac:dyDescent="0.3">
      <c r="A1685" s="15" t="str">
        <f t="shared" si="55"/>
        <v>.</v>
      </c>
      <c r="E1685" s="13" t="str">
        <f>IFERROR(IF(AND(B1685&lt;&gt;"",C1685&lt;&gt;""),SUMIFS(Movimentos!$F$4:$F$9996,Movimentos!$D$4:$D$9996,B1685,Movimentos!$C$4:$C$9996,"Entrada")-SUMIFS(Movimentos!$F$4:$F$9996,Movimentos!$D$4:$D$9996,B1685,Movimentos!$C$4:$C$9996,"Saída"),""),"")</f>
        <v/>
      </c>
      <c r="F1685" s="10" t="str">
        <f t="shared" si="54"/>
        <v/>
      </c>
    </row>
    <row r="1686" spans="1:6" x14ac:dyDescent="0.3">
      <c r="A1686" s="15" t="str">
        <f t="shared" si="55"/>
        <v>.</v>
      </c>
      <c r="E1686" s="13" t="str">
        <f>IFERROR(IF(AND(B1686&lt;&gt;"",C1686&lt;&gt;""),SUMIFS(Movimentos!$F$4:$F$9996,Movimentos!$D$4:$D$9996,B1686,Movimentos!$C$4:$C$9996,"Entrada")-SUMIFS(Movimentos!$F$4:$F$9996,Movimentos!$D$4:$D$9996,B1686,Movimentos!$C$4:$C$9996,"Saída"),""),"")</f>
        <v/>
      </c>
      <c r="F1686" s="10" t="str">
        <f t="shared" si="54"/>
        <v/>
      </c>
    </row>
    <row r="1687" spans="1:6" x14ac:dyDescent="0.3">
      <c r="A1687" s="15" t="str">
        <f t="shared" si="55"/>
        <v>.</v>
      </c>
      <c r="E1687" s="13" t="str">
        <f>IFERROR(IF(AND(B1687&lt;&gt;"",C1687&lt;&gt;""),SUMIFS(Movimentos!$F$4:$F$9996,Movimentos!$D$4:$D$9996,B1687,Movimentos!$C$4:$C$9996,"Entrada")-SUMIFS(Movimentos!$F$4:$F$9996,Movimentos!$D$4:$D$9996,B1687,Movimentos!$C$4:$C$9996,"Saída"),""),"")</f>
        <v/>
      </c>
      <c r="F1687" s="10" t="str">
        <f t="shared" ref="F1687:F1750" si="56">IF(AND(B1687&lt;&gt;"",C1687&lt;&gt;""),IF(E1687=0,"Saldo zerado",IF(E1687&lt;D1687,"Saldo abaixo do mínimo","Saldo disponível")),"")</f>
        <v/>
      </c>
    </row>
    <row r="1688" spans="1:6" x14ac:dyDescent="0.3">
      <c r="A1688" s="15" t="str">
        <f t="shared" si="55"/>
        <v>.</v>
      </c>
      <c r="E1688" s="13" t="str">
        <f>IFERROR(IF(AND(B1688&lt;&gt;"",C1688&lt;&gt;""),SUMIFS(Movimentos!$F$4:$F$9996,Movimentos!$D$4:$D$9996,B1688,Movimentos!$C$4:$C$9996,"Entrada")-SUMIFS(Movimentos!$F$4:$F$9996,Movimentos!$D$4:$D$9996,B1688,Movimentos!$C$4:$C$9996,"Saída"),""),"")</f>
        <v/>
      </c>
      <c r="F1688" s="10" t="str">
        <f t="shared" si="56"/>
        <v/>
      </c>
    </row>
    <row r="1689" spans="1:6" x14ac:dyDescent="0.3">
      <c r="A1689" s="15" t="str">
        <f t="shared" si="55"/>
        <v>.</v>
      </c>
      <c r="E1689" s="13" t="str">
        <f>IFERROR(IF(AND(B1689&lt;&gt;"",C1689&lt;&gt;""),SUMIFS(Movimentos!$F$4:$F$9996,Movimentos!$D$4:$D$9996,B1689,Movimentos!$C$4:$C$9996,"Entrada")-SUMIFS(Movimentos!$F$4:$F$9996,Movimentos!$D$4:$D$9996,B1689,Movimentos!$C$4:$C$9996,"Saída"),""),"")</f>
        <v/>
      </c>
      <c r="F1689" s="10" t="str">
        <f t="shared" si="56"/>
        <v/>
      </c>
    </row>
    <row r="1690" spans="1:6" x14ac:dyDescent="0.3">
      <c r="A1690" s="15" t="str">
        <f t="shared" si="55"/>
        <v>.</v>
      </c>
      <c r="E1690" s="13" t="str">
        <f>IFERROR(IF(AND(B1690&lt;&gt;"",C1690&lt;&gt;""),SUMIFS(Movimentos!$F$4:$F$9996,Movimentos!$D$4:$D$9996,B1690,Movimentos!$C$4:$C$9996,"Entrada")-SUMIFS(Movimentos!$F$4:$F$9996,Movimentos!$D$4:$D$9996,B1690,Movimentos!$C$4:$C$9996,"Saída"),""),"")</f>
        <v/>
      </c>
      <c r="F1690" s="10" t="str">
        <f t="shared" si="56"/>
        <v/>
      </c>
    </row>
    <row r="1691" spans="1:6" x14ac:dyDescent="0.3">
      <c r="A1691" s="15" t="str">
        <f t="shared" si="55"/>
        <v>.</v>
      </c>
      <c r="E1691" s="13" t="str">
        <f>IFERROR(IF(AND(B1691&lt;&gt;"",C1691&lt;&gt;""),SUMIFS(Movimentos!$F$4:$F$9996,Movimentos!$D$4:$D$9996,B1691,Movimentos!$C$4:$C$9996,"Entrada")-SUMIFS(Movimentos!$F$4:$F$9996,Movimentos!$D$4:$D$9996,B1691,Movimentos!$C$4:$C$9996,"Saída"),""),"")</f>
        <v/>
      </c>
      <c r="F1691" s="10" t="str">
        <f t="shared" si="56"/>
        <v/>
      </c>
    </row>
    <row r="1692" spans="1:6" x14ac:dyDescent="0.3">
      <c r="A1692" s="15" t="str">
        <f t="shared" si="55"/>
        <v>.</v>
      </c>
      <c r="E1692" s="13" t="str">
        <f>IFERROR(IF(AND(B1692&lt;&gt;"",C1692&lt;&gt;""),SUMIFS(Movimentos!$F$4:$F$9996,Movimentos!$D$4:$D$9996,B1692,Movimentos!$C$4:$C$9996,"Entrada")-SUMIFS(Movimentos!$F$4:$F$9996,Movimentos!$D$4:$D$9996,B1692,Movimentos!$C$4:$C$9996,"Saída"),""),"")</f>
        <v/>
      </c>
      <c r="F1692" s="10" t="str">
        <f t="shared" si="56"/>
        <v/>
      </c>
    </row>
    <row r="1693" spans="1:6" x14ac:dyDescent="0.3">
      <c r="A1693" s="15" t="str">
        <f t="shared" si="55"/>
        <v>.</v>
      </c>
      <c r="E1693" s="13" t="str">
        <f>IFERROR(IF(AND(B1693&lt;&gt;"",C1693&lt;&gt;""),SUMIFS(Movimentos!$F$4:$F$9996,Movimentos!$D$4:$D$9996,B1693,Movimentos!$C$4:$C$9996,"Entrada")-SUMIFS(Movimentos!$F$4:$F$9996,Movimentos!$D$4:$D$9996,B1693,Movimentos!$C$4:$C$9996,"Saída"),""),"")</f>
        <v/>
      </c>
      <c r="F1693" s="10" t="str">
        <f t="shared" si="56"/>
        <v/>
      </c>
    </row>
    <row r="1694" spans="1:6" x14ac:dyDescent="0.3">
      <c r="A1694" s="15" t="str">
        <f t="shared" si="55"/>
        <v>.</v>
      </c>
      <c r="E1694" s="13" t="str">
        <f>IFERROR(IF(AND(B1694&lt;&gt;"",C1694&lt;&gt;""),SUMIFS(Movimentos!$F$4:$F$9996,Movimentos!$D$4:$D$9996,B1694,Movimentos!$C$4:$C$9996,"Entrada")-SUMIFS(Movimentos!$F$4:$F$9996,Movimentos!$D$4:$D$9996,B1694,Movimentos!$C$4:$C$9996,"Saída"),""),"")</f>
        <v/>
      </c>
      <c r="F1694" s="10" t="str">
        <f t="shared" si="56"/>
        <v/>
      </c>
    </row>
    <row r="1695" spans="1:6" x14ac:dyDescent="0.3">
      <c r="A1695" s="15" t="str">
        <f t="shared" si="55"/>
        <v>.</v>
      </c>
      <c r="E1695" s="13" t="str">
        <f>IFERROR(IF(AND(B1695&lt;&gt;"",C1695&lt;&gt;""),SUMIFS(Movimentos!$F$4:$F$9996,Movimentos!$D$4:$D$9996,B1695,Movimentos!$C$4:$C$9996,"Entrada")-SUMIFS(Movimentos!$F$4:$F$9996,Movimentos!$D$4:$D$9996,B1695,Movimentos!$C$4:$C$9996,"Saída"),""),"")</f>
        <v/>
      </c>
      <c r="F1695" s="10" t="str">
        <f t="shared" si="56"/>
        <v/>
      </c>
    </row>
    <row r="1696" spans="1:6" x14ac:dyDescent="0.3">
      <c r="A1696" s="15" t="str">
        <f t="shared" si="55"/>
        <v>.</v>
      </c>
      <c r="E1696" s="13" t="str">
        <f>IFERROR(IF(AND(B1696&lt;&gt;"",C1696&lt;&gt;""),SUMIFS(Movimentos!$F$4:$F$9996,Movimentos!$D$4:$D$9996,B1696,Movimentos!$C$4:$C$9996,"Entrada")-SUMIFS(Movimentos!$F$4:$F$9996,Movimentos!$D$4:$D$9996,B1696,Movimentos!$C$4:$C$9996,"Saída"),""),"")</f>
        <v/>
      </c>
      <c r="F1696" s="10" t="str">
        <f t="shared" si="56"/>
        <v/>
      </c>
    </row>
    <row r="1697" spans="1:6" x14ac:dyDescent="0.3">
      <c r="A1697" s="15" t="str">
        <f t="shared" si="55"/>
        <v>.</v>
      </c>
      <c r="E1697" s="13" t="str">
        <f>IFERROR(IF(AND(B1697&lt;&gt;"",C1697&lt;&gt;""),SUMIFS(Movimentos!$F$4:$F$9996,Movimentos!$D$4:$D$9996,B1697,Movimentos!$C$4:$C$9996,"Entrada")-SUMIFS(Movimentos!$F$4:$F$9996,Movimentos!$D$4:$D$9996,B1697,Movimentos!$C$4:$C$9996,"Saída"),""),"")</f>
        <v/>
      </c>
      <c r="F1697" s="10" t="str">
        <f t="shared" si="56"/>
        <v/>
      </c>
    </row>
    <row r="1698" spans="1:6" x14ac:dyDescent="0.3">
      <c r="A1698" s="15" t="str">
        <f t="shared" si="55"/>
        <v>.</v>
      </c>
      <c r="E1698" s="13" t="str">
        <f>IFERROR(IF(AND(B1698&lt;&gt;"",C1698&lt;&gt;""),SUMIFS(Movimentos!$F$4:$F$9996,Movimentos!$D$4:$D$9996,B1698,Movimentos!$C$4:$C$9996,"Entrada")-SUMIFS(Movimentos!$F$4:$F$9996,Movimentos!$D$4:$D$9996,B1698,Movimentos!$C$4:$C$9996,"Saída"),""),"")</f>
        <v/>
      </c>
      <c r="F1698" s="10" t="str">
        <f t="shared" si="56"/>
        <v/>
      </c>
    </row>
    <row r="1699" spans="1:6" x14ac:dyDescent="0.3">
      <c r="A1699" s="15" t="str">
        <f t="shared" si="55"/>
        <v>.</v>
      </c>
      <c r="E1699" s="13" t="str">
        <f>IFERROR(IF(AND(B1699&lt;&gt;"",C1699&lt;&gt;""),SUMIFS(Movimentos!$F$4:$F$9996,Movimentos!$D$4:$D$9996,B1699,Movimentos!$C$4:$C$9996,"Entrada")-SUMIFS(Movimentos!$F$4:$F$9996,Movimentos!$D$4:$D$9996,B1699,Movimentos!$C$4:$C$9996,"Saída"),""),"")</f>
        <v/>
      </c>
      <c r="F1699" s="10" t="str">
        <f t="shared" si="56"/>
        <v/>
      </c>
    </row>
    <row r="1700" spans="1:6" x14ac:dyDescent="0.3">
      <c r="A1700" s="15" t="str">
        <f t="shared" si="55"/>
        <v>.</v>
      </c>
      <c r="E1700" s="13" t="str">
        <f>IFERROR(IF(AND(B1700&lt;&gt;"",C1700&lt;&gt;""),SUMIFS(Movimentos!$F$4:$F$9996,Movimentos!$D$4:$D$9996,B1700,Movimentos!$C$4:$C$9996,"Entrada")-SUMIFS(Movimentos!$F$4:$F$9996,Movimentos!$D$4:$D$9996,B1700,Movimentos!$C$4:$C$9996,"Saída"),""),"")</f>
        <v/>
      </c>
      <c r="F1700" s="10" t="str">
        <f t="shared" si="56"/>
        <v/>
      </c>
    </row>
    <row r="1701" spans="1:6" x14ac:dyDescent="0.3">
      <c r="A1701" s="15" t="str">
        <f t="shared" si="55"/>
        <v>.</v>
      </c>
      <c r="E1701" s="13" t="str">
        <f>IFERROR(IF(AND(B1701&lt;&gt;"",C1701&lt;&gt;""),SUMIFS(Movimentos!$F$4:$F$9996,Movimentos!$D$4:$D$9996,B1701,Movimentos!$C$4:$C$9996,"Entrada")-SUMIFS(Movimentos!$F$4:$F$9996,Movimentos!$D$4:$D$9996,B1701,Movimentos!$C$4:$C$9996,"Saída"),""),"")</f>
        <v/>
      </c>
      <c r="F1701" s="10" t="str">
        <f t="shared" si="56"/>
        <v/>
      </c>
    </row>
    <row r="1702" spans="1:6" x14ac:dyDescent="0.3">
      <c r="A1702" s="15" t="str">
        <f t="shared" si="55"/>
        <v>.</v>
      </c>
      <c r="E1702" s="13" t="str">
        <f>IFERROR(IF(AND(B1702&lt;&gt;"",C1702&lt;&gt;""),SUMIFS(Movimentos!$F$4:$F$9996,Movimentos!$D$4:$D$9996,B1702,Movimentos!$C$4:$C$9996,"Entrada")-SUMIFS(Movimentos!$F$4:$F$9996,Movimentos!$D$4:$D$9996,B1702,Movimentos!$C$4:$C$9996,"Saída"),""),"")</f>
        <v/>
      </c>
      <c r="F1702" s="10" t="str">
        <f t="shared" si="56"/>
        <v/>
      </c>
    </row>
    <row r="1703" spans="1:6" x14ac:dyDescent="0.3">
      <c r="A1703" s="15" t="str">
        <f t="shared" si="55"/>
        <v>.</v>
      </c>
      <c r="E1703" s="13" t="str">
        <f>IFERROR(IF(AND(B1703&lt;&gt;"",C1703&lt;&gt;""),SUMIFS(Movimentos!$F$4:$F$9996,Movimentos!$D$4:$D$9996,B1703,Movimentos!$C$4:$C$9996,"Entrada")-SUMIFS(Movimentos!$F$4:$F$9996,Movimentos!$D$4:$D$9996,B1703,Movimentos!$C$4:$C$9996,"Saída"),""),"")</f>
        <v/>
      </c>
      <c r="F1703" s="10" t="str">
        <f t="shared" si="56"/>
        <v/>
      </c>
    </row>
    <row r="1704" spans="1:6" x14ac:dyDescent="0.3">
      <c r="A1704" s="15" t="str">
        <f t="shared" si="55"/>
        <v>.</v>
      </c>
      <c r="E1704" s="13" t="str">
        <f>IFERROR(IF(AND(B1704&lt;&gt;"",C1704&lt;&gt;""),SUMIFS(Movimentos!$F$4:$F$9996,Movimentos!$D$4:$D$9996,B1704,Movimentos!$C$4:$C$9996,"Entrada")-SUMIFS(Movimentos!$F$4:$F$9996,Movimentos!$D$4:$D$9996,B1704,Movimentos!$C$4:$C$9996,"Saída"),""),"")</f>
        <v/>
      </c>
      <c r="F1704" s="10" t="str">
        <f t="shared" si="56"/>
        <v/>
      </c>
    </row>
    <row r="1705" spans="1:6" x14ac:dyDescent="0.3">
      <c r="A1705" s="15" t="str">
        <f t="shared" si="55"/>
        <v>.</v>
      </c>
      <c r="E1705" s="13" t="str">
        <f>IFERROR(IF(AND(B1705&lt;&gt;"",C1705&lt;&gt;""),SUMIFS(Movimentos!$F$4:$F$9996,Movimentos!$D$4:$D$9996,B1705,Movimentos!$C$4:$C$9996,"Entrada")-SUMIFS(Movimentos!$F$4:$F$9996,Movimentos!$D$4:$D$9996,B1705,Movimentos!$C$4:$C$9996,"Saída"),""),"")</f>
        <v/>
      </c>
      <c r="F1705" s="10" t="str">
        <f t="shared" si="56"/>
        <v/>
      </c>
    </row>
    <row r="1706" spans="1:6" x14ac:dyDescent="0.3">
      <c r="A1706" s="15" t="str">
        <f t="shared" si="55"/>
        <v>.</v>
      </c>
      <c r="E1706" s="13" t="str">
        <f>IFERROR(IF(AND(B1706&lt;&gt;"",C1706&lt;&gt;""),SUMIFS(Movimentos!$F$4:$F$9996,Movimentos!$D$4:$D$9996,B1706,Movimentos!$C$4:$C$9996,"Entrada")-SUMIFS(Movimentos!$F$4:$F$9996,Movimentos!$D$4:$D$9996,B1706,Movimentos!$C$4:$C$9996,"Saída"),""),"")</f>
        <v/>
      </c>
      <c r="F1706" s="10" t="str">
        <f t="shared" si="56"/>
        <v/>
      </c>
    </row>
    <row r="1707" spans="1:6" x14ac:dyDescent="0.3">
      <c r="A1707" s="15" t="str">
        <f t="shared" si="55"/>
        <v>.</v>
      </c>
      <c r="E1707" s="13" t="str">
        <f>IFERROR(IF(AND(B1707&lt;&gt;"",C1707&lt;&gt;""),SUMIFS(Movimentos!$F$4:$F$9996,Movimentos!$D$4:$D$9996,B1707,Movimentos!$C$4:$C$9996,"Entrada")-SUMIFS(Movimentos!$F$4:$F$9996,Movimentos!$D$4:$D$9996,B1707,Movimentos!$C$4:$C$9996,"Saída"),""),"")</f>
        <v/>
      </c>
      <c r="F1707" s="10" t="str">
        <f t="shared" si="56"/>
        <v/>
      </c>
    </row>
    <row r="1708" spans="1:6" x14ac:dyDescent="0.3">
      <c r="A1708" s="15" t="str">
        <f t="shared" si="55"/>
        <v>.</v>
      </c>
      <c r="E1708" s="13" t="str">
        <f>IFERROR(IF(AND(B1708&lt;&gt;"",C1708&lt;&gt;""),SUMIFS(Movimentos!$F$4:$F$9996,Movimentos!$D$4:$D$9996,B1708,Movimentos!$C$4:$C$9996,"Entrada")-SUMIFS(Movimentos!$F$4:$F$9996,Movimentos!$D$4:$D$9996,B1708,Movimentos!$C$4:$C$9996,"Saída"),""),"")</f>
        <v/>
      </c>
      <c r="F1708" s="10" t="str">
        <f t="shared" si="56"/>
        <v/>
      </c>
    </row>
    <row r="1709" spans="1:6" x14ac:dyDescent="0.3">
      <c r="A1709" s="15" t="str">
        <f t="shared" si="55"/>
        <v>.</v>
      </c>
      <c r="E1709" s="13" t="str">
        <f>IFERROR(IF(AND(B1709&lt;&gt;"",C1709&lt;&gt;""),SUMIFS(Movimentos!$F$4:$F$9996,Movimentos!$D$4:$D$9996,B1709,Movimentos!$C$4:$C$9996,"Entrada")-SUMIFS(Movimentos!$F$4:$F$9996,Movimentos!$D$4:$D$9996,B1709,Movimentos!$C$4:$C$9996,"Saída"),""),"")</f>
        <v/>
      </c>
      <c r="F1709" s="10" t="str">
        <f t="shared" si="56"/>
        <v/>
      </c>
    </row>
    <row r="1710" spans="1:6" x14ac:dyDescent="0.3">
      <c r="A1710" s="15" t="str">
        <f t="shared" si="55"/>
        <v>.</v>
      </c>
      <c r="E1710" s="13" t="str">
        <f>IFERROR(IF(AND(B1710&lt;&gt;"",C1710&lt;&gt;""),SUMIFS(Movimentos!$F$4:$F$9996,Movimentos!$D$4:$D$9996,B1710,Movimentos!$C$4:$C$9996,"Entrada")-SUMIFS(Movimentos!$F$4:$F$9996,Movimentos!$D$4:$D$9996,B1710,Movimentos!$C$4:$C$9996,"Saída"),""),"")</f>
        <v/>
      </c>
      <c r="F1710" s="10" t="str">
        <f t="shared" si="56"/>
        <v/>
      </c>
    </row>
    <row r="1711" spans="1:6" x14ac:dyDescent="0.3">
      <c r="A1711" s="15" t="str">
        <f t="shared" si="55"/>
        <v>.</v>
      </c>
      <c r="E1711" s="13" t="str">
        <f>IFERROR(IF(AND(B1711&lt;&gt;"",C1711&lt;&gt;""),SUMIFS(Movimentos!$F$4:$F$9996,Movimentos!$D$4:$D$9996,B1711,Movimentos!$C$4:$C$9996,"Entrada")-SUMIFS(Movimentos!$F$4:$F$9996,Movimentos!$D$4:$D$9996,B1711,Movimentos!$C$4:$C$9996,"Saída"),""),"")</f>
        <v/>
      </c>
      <c r="F1711" s="10" t="str">
        <f t="shared" si="56"/>
        <v/>
      </c>
    </row>
    <row r="1712" spans="1:6" x14ac:dyDescent="0.3">
      <c r="A1712" s="15" t="str">
        <f t="shared" si="55"/>
        <v>.</v>
      </c>
      <c r="E1712" s="13" t="str">
        <f>IFERROR(IF(AND(B1712&lt;&gt;"",C1712&lt;&gt;""),SUMIFS(Movimentos!$F$4:$F$9996,Movimentos!$D$4:$D$9996,B1712,Movimentos!$C$4:$C$9996,"Entrada")-SUMIFS(Movimentos!$F$4:$F$9996,Movimentos!$D$4:$D$9996,B1712,Movimentos!$C$4:$C$9996,"Saída"),""),"")</f>
        <v/>
      </c>
      <c r="F1712" s="10" t="str">
        <f t="shared" si="56"/>
        <v/>
      </c>
    </row>
    <row r="1713" spans="1:6" x14ac:dyDescent="0.3">
      <c r="A1713" s="15" t="str">
        <f t="shared" si="55"/>
        <v>.</v>
      </c>
      <c r="E1713" s="13" t="str">
        <f>IFERROR(IF(AND(B1713&lt;&gt;"",C1713&lt;&gt;""),SUMIFS(Movimentos!$F$4:$F$9996,Movimentos!$D$4:$D$9996,B1713,Movimentos!$C$4:$C$9996,"Entrada")-SUMIFS(Movimentos!$F$4:$F$9996,Movimentos!$D$4:$D$9996,B1713,Movimentos!$C$4:$C$9996,"Saída"),""),"")</f>
        <v/>
      </c>
      <c r="F1713" s="10" t="str">
        <f t="shared" si="56"/>
        <v/>
      </c>
    </row>
    <row r="1714" spans="1:6" x14ac:dyDescent="0.3">
      <c r="A1714" s="15" t="str">
        <f t="shared" si="55"/>
        <v>.</v>
      </c>
      <c r="E1714" s="13" t="str">
        <f>IFERROR(IF(AND(B1714&lt;&gt;"",C1714&lt;&gt;""),SUMIFS(Movimentos!$F$4:$F$9996,Movimentos!$D$4:$D$9996,B1714,Movimentos!$C$4:$C$9996,"Entrada")-SUMIFS(Movimentos!$F$4:$F$9996,Movimentos!$D$4:$D$9996,B1714,Movimentos!$C$4:$C$9996,"Saída"),""),"")</f>
        <v/>
      </c>
      <c r="F1714" s="10" t="str">
        <f t="shared" si="56"/>
        <v/>
      </c>
    </row>
    <row r="1715" spans="1:6" x14ac:dyDescent="0.3">
      <c r="A1715" s="15" t="str">
        <f t="shared" si="55"/>
        <v>.</v>
      </c>
      <c r="E1715" s="13" t="str">
        <f>IFERROR(IF(AND(B1715&lt;&gt;"",C1715&lt;&gt;""),SUMIFS(Movimentos!$F$4:$F$9996,Movimentos!$D$4:$D$9996,B1715,Movimentos!$C$4:$C$9996,"Entrada")-SUMIFS(Movimentos!$F$4:$F$9996,Movimentos!$D$4:$D$9996,B1715,Movimentos!$C$4:$C$9996,"Saída"),""),"")</f>
        <v/>
      </c>
      <c r="F1715" s="10" t="str">
        <f t="shared" si="56"/>
        <v/>
      </c>
    </row>
    <row r="1716" spans="1:6" x14ac:dyDescent="0.3">
      <c r="A1716" s="15" t="str">
        <f t="shared" si="55"/>
        <v>.</v>
      </c>
      <c r="E1716" s="13" t="str">
        <f>IFERROR(IF(AND(B1716&lt;&gt;"",C1716&lt;&gt;""),SUMIFS(Movimentos!$F$4:$F$9996,Movimentos!$D$4:$D$9996,B1716,Movimentos!$C$4:$C$9996,"Entrada")-SUMIFS(Movimentos!$F$4:$F$9996,Movimentos!$D$4:$D$9996,B1716,Movimentos!$C$4:$C$9996,"Saída"),""),"")</f>
        <v/>
      </c>
      <c r="F1716" s="10" t="str">
        <f t="shared" si="56"/>
        <v/>
      </c>
    </row>
    <row r="1717" spans="1:6" x14ac:dyDescent="0.3">
      <c r="A1717" s="15" t="str">
        <f t="shared" si="55"/>
        <v>.</v>
      </c>
      <c r="E1717" s="13" t="str">
        <f>IFERROR(IF(AND(B1717&lt;&gt;"",C1717&lt;&gt;""),SUMIFS(Movimentos!$F$4:$F$9996,Movimentos!$D$4:$D$9996,B1717,Movimentos!$C$4:$C$9996,"Entrada")-SUMIFS(Movimentos!$F$4:$F$9996,Movimentos!$D$4:$D$9996,B1717,Movimentos!$C$4:$C$9996,"Saída"),""),"")</f>
        <v/>
      </c>
      <c r="F1717" s="10" t="str">
        <f t="shared" si="56"/>
        <v/>
      </c>
    </row>
    <row r="1718" spans="1:6" x14ac:dyDescent="0.3">
      <c r="A1718" s="15" t="str">
        <f t="shared" si="55"/>
        <v>.</v>
      </c>
      <c r="E1718" s="13" t="str">
        <f>IFERROR(IF(AND(B1718&lt;&gt;"",C1718&lt;&gt;""),SUMIFS(Movimentos!$F$4:$F$9996,Movimentos!$D$4:$D$9996,B1718,Movimentos!$C$4:$C$9996,"Entrada")-SUMIFS(Movimentos!$F$4:$F$9996,Movimentos!$D$4:$D$9996,B1718,Movimentos!$C$4:$C$9996,"Saída"),""),"")</f>
        <v/>
      </c>
      <c r="F1718" s="10" t="str">
        <f t="shared" si="56"/>
        <v/>
      </c>
    </row>
    <row r="1719" spans="1:6" x14ac:dyDescent="0.3">
      <c r="A1719" s="15" t="str">
        <f t="shared" si="55"/>
        <v>.</v>
      </c>
      <c r="E1719" s="13" t="str">
        <f>IFERROR(IF(AND(B1719&lt;&gt;"",C1719&lt;&gt;""),SUMIFS(Movimentos!$F$4:$F$9996,Movimentos!$D$4:$D$9996,B1719,Movimentos!$C$4:$C$9996,"Entrada")-SUMIFS(Movimentos!$F$4:$F$9996,Movimentos!$D$4:$D$9996,B1719,Movimentos!$C$4:$C$9996,"Saída"),""),"")</f>
        <v/>
      </c>
      <c r="F1719" s="10" t="str">
        <f t="shared" si="56"/>
        <v/>
      </c>
    </row>
    <row r="1720" spans="1:6" x14ac:dyDescent="0.3">
      <c r="A1720" s="15" t="str">
        <f t="shared" si="55"/>
        <v>.</v>
      </c>
      <c r="E1720" s="13" t="str">
        <f>IFERROR(IF(AND(B1720&lt;&gt;"",C1720&lt;&gt;""),SUMIFS(Movimentos!$F$4:$F$9996,Movimentos!$D$4:$D$9996,B1720,Movimentos!$C$4:$C$9996,"Entrada")-SUMIFS(Movimentos!$F$4:$F$9996,Movimentos!$D$4:$D$9996,B1720,Movimentos!$C$4:$C$9996,"Saída"),""),"")</f>
        <v/>
      </c>
      <c r="F1720" s="10" t="str">
        <f t="shared" si="56"/>
        <v/>
      </c>
    </row>
    <row r="1721" spans="1:6" x14ac:dyDescent="0.3">
      <c r="A1721" s="15" t="str">
        <f t="shared" si="55"/>
        <v>.</v>
      </c>
      <c r="E1721" s="13" t="str">
        <f>IFERROR(IF(AND(B1721&lt;&gt;"",C1721&lt;&gt;""),SUMIFS(Movimentos!$F$4:$F$9996,Movimentos!$D$4:$D$9996,B1721,Movimentos!$C$4:$C$9996,"Entrada")-SUMIFS(Movimentos!$F$4:$F$9996,Movimentos!$D$4:$D$9996,B1721,Movimentos!$C$4:$C$9996,"Saída"),""),"")</f>
        <v/>
      </c>
      <c r="F1721" s="10" t="str">
        <f t="shared" si="56"/>
        <v/>
      </c>
    </row>
    <row r="1722" spans="1:6" x14ac:dyDescent="0.3">
      <c r="A1722" s="15" t="str">
        <f t="shared" si="55"/>
        <v>.</v>
      </c>
      <c r="E1722" s="13" t="str">
        <f>IFERROR(IF(AND(B1722&lt;&gt;"",C1722&lt;&gt;""),SUMIFS(Movimentos!$F$4:$F$9996,Movimentos!$D$4:$D$9996,B1722,Movimentos!$C$4:$C$9996,"Entrada")-SUMIFS(Movimentos!$F$4:$F$9996,Movimentos!$D$4:$D$9996,B1722,Movimentos!$C$4:$C$9996,"Saída"),""),"")</f>
        <v/>
      </c>
      <c r="F1722" s="10" t="str">
        <f t="shared" si="56"/>
        <v/>
      </c>
    </row>
    <row r="1723" spans="1:6" x14ac:dyDescent="0.3">
      <c r="A1723" s="15" t="str">
        <f t="shared" si="55"/>
        <v>.</v>
      </c>
      <c r="E1723" s="13" t="str">
        <f>IFERROR(IF(AND(B1723&lt;&gt;"",C1723&lt;&gt;""),SUMIFS(Movimentos!$F$4:$F$9996,Movimentos!$D$4:$D$9996,B1723,Movimentos!$C$4:$C$9996,"Entrada")-SUMIFS(Movimentos!$F$4:$F$9996,Movimentos!$D$4:$D$9996,B1723,Movimentos!$C$4:$C$9996,"Saída"),""),"")</f>
        <v/>
      </c>
      <c r="F1723" s="10" t="str">
        <f t="shared" si="56"/>
        <v/>
      </c>
    </row>
    <row r="1724" spans="1:6" x14ac:dyDescent="0.3">
      <c r="A1724" s="15" t="str">
        <f t="shared" si="55"/>
        <v>.</v>
      </c>
      <c r="E1724" s="13" t="str">
        <f>IFERROR(IF(AND(B1724&lt;&gt;"",C1724&lt;&gt;""),SUMIFS(Movimentos!$F$4:$F$9996,Movimentos!$D$4:$D$9996,B1724,Movimentos!$C$4:$C$9996,"Entrada")-SUMIFS(Movimentos!$F$4:$F$9996,Movimentos!$D$4:$D$9996,B1724,Movimentos!$C$4:$C$9996,"Saída"),""),"")</f>
        <v/>
      </c>
      <c r="F1724" s="10" t="str">
        <f t="shared" si="56"/>
        <v/>
      </c>
    </row>
    <row r="1725" spans="1:6" x14ac:dyDescent="0.3">
      <c r="A1725" s="15" t="str">
        <f t="shared" si="55"/>
        <v>.</v>
      </c>
      <c r="E1725" s="13" t="str">
        <f>IFERROR(IF(AND(B1725&lt;&gt;"",C1725&lt;&gt;""),SUMIFS(Movimentos!$F$4:$F$9996,Movimentos!$D$4:$D$9996,B1725,Movimentos!$C$4:$C$9996,"Entrada")-SUMIFS(Movimentos!$F$4:$F$9996,Movimentos!$D$4:$D$9996,B1725,Movimentos!$C$4:$C$9996,"Saída"),""),"")</f>
        <v/>
      </c>
      <c r="F1725" s="10" t="str">
        <f t="shared" si="56"/>
        <v/>
      </c>
    </row>
    <row r="1726" spans="1:6" x14ac:dyDescent="0.3">
      <c r="A1726" s="15" t="str">
        <f t="shared" si="55"/>
        <v>.</v>
      </c>
      <c r="E1726" s="13" t="str">
        <f>IFERROR(IF(AND(B1726&lt;&gt;"",C1726&lt;&gt;""),SUMIFS(Movimentos!$F$4:$F$9996,Movimentos!$D$4:$D$9996,B1726,Movimentos!$C$4:$C$9996,"Entrada")-SUMIFS(Movimentos!$F$4:$F$9996,Movimentos!$D$4:$D$9996,B1726,Movimentos!$C$4:$C$9996,"Saída"),""),"")</f>
        <v/>
      </c>
      <c r="F1726" s="10" t="str">
        <f t="shared" si="56"/>
        <v/>
      </c>
    </row>
    <row r="1727" spans="1:6" x14ac:dyDescent="0.3">
      <c r="A1727" s="15" t="str">
        <f t="shared" si="55"/>
        <v>.</v>
      </c>
      <c r="E1727" s="13" t="str">
        <f>IFERROR(IF(AND(B1727&lt;&gt;"",C1727&lt;&gt;""),SUMIFS(Movimentos!$F$4:$F$9996,Movimentos!$D$4:$D$9996,B1727,Movimentos!$C$4:$C$9996,"Entrada")-SUMIFS(Movimentos!$F$4:$F$9996,Movimentos!$D$4:$D$9996,B1727,Movimentos!$C$4:$C$9996,"Saída"),""),"")</f>
        <v/>
      </c>
      <c r="F1727" s="10" t="str">
        <f t="shared" si="56"/>
        <v/>
      </c>
    </row>
    <row r="1728" spans="1:6" x14ac:dyDescent="0.3">
      <c r="A1728" s="15" t="str">
        <f t="shared" ref="A1728:A1791" si="57">IF(F1728="Saldo zerado",0,IF(F1728="Saldo abaixo do mínimo",1,IF(F1728="Saldo disponível",2,".")))</f>
        <v>.</v>
      </c>
      <c r="E1728" s="13" t="str">
        <f>IFERROR(IF(AND(B1728&lt;&gt;"",C1728&lt;&gt;""),SUMIFS(Movimentos!$F$4:$F$9996,Movimentos!$D$4:$D$9996,B1728,Movimentos!$C$4:$C$9996,"Entrada")-SUMIFS(Movimentos!$F$4:$F$9996,Movimentos!$D$4:$D$9996,B1728,Movimentos!$C$4:$C$9996,"Saída"),""),"")</f>
        <v/>
      </c>
      <c r="F1728" s="10" t="str">
        <f t="shared" si="56"/>
        <v/>
      </c>
    </row>
    <row r="1729" spans="1:6" x14ac:dyDescent="0.3">
      <c r="A1729" s="15" t="str">
        <f t="shared" si="57"/>
        <v>.</v>
      </c>
      <c r="E1729" s="13" t="str">
        <f>IFERROR(IF(AND(B1729&lt;&gt;"",C1729&lt;&gt;""),SUMIFS(Movimentos!$F$4:$F$9996,Movimentos!$D$4:$D$9996,B1729,Movimentos!$C$4:$C$9996,"Entrada")-SUMIFS(Movimentos!$F$4:$F$9996,Movimentos!$D$4:$D$9996,B1729,Movimentos!$C$4:$C$9996,"Saída"),""),"")</f>
        <v/>
      </c>
      <c r="F1729" s="10" t="str">
        <f t="shared" si="56"/>
        <v/>
      </c>
    </row>
    <row r="1730" spans="1:6" x14ac:dyDescent="0.3">
      <c r="A1730" s="15" t="str">
        <f t="shared" si="57"/>
        <v>.</v>
      </c>
      <c r="E1730" s="13" t="str">
        <f>IFERROR(IF(AND(B1730&lt;&gt;"",C1730&lt;&gt;""),SUMIFS(Movimentos!$F$4:$F$9996,Movimentos!$D$4:$D$9996,B1730,Movimentos!$C$4:$C$9996,"Entrada")-SUMIFS(Movimentos!$F$4:$F$9996,Movimentos!$D$4:$D$9996,B1730,Movimentos!$C$4:$C$9996,"Saída"),""),"")</f>
        <v/>
      </c>
      <c r="F1730" s="10" t="str">
        <f t="shared" si="56"/>
        <v/>
      </c>
    </row>
    <row r="1731" spans="1:6" x14ac:dyDescent="0.3">
      <c r="A1731" s="15" t="str">
        <f t="shared" si="57"/>
        <v>.</v>
      </c>
      <c r="E1731" s="13" t="str">
        <f>IFERROR(IF(AND(B1731&lt;&gt;"",C1731&lt;&gt;""),SUMIFS(Movimentos!$F$4:$F$9996,Movimentos!$D$4:$D$9996,B1731,Movimentos!$C$4:$C$9996,"Entrada")-SUMIFS(Movimentos!$F$4:$F$9996,Movimentos!$D$4:$D$9996,B1731,Movimentos!$C$4:$C$9996,"Saída"),""),"")</f>
        <v/>
      </c>
      <c r="F1731" s="10" t="str">
        <f t="shared" si="56"/>
        <v/>
      </c>
    </row>
    <row r="1732" spans="1:6" x14ac:dyDescent="0.3">
      <c r="A1732" s="15" t="str">
        <f t="shared" si="57"/>
        <v>.</v>
      </c>
      <c r="E1732" s="13" t="str">
        <f>IFERROR(IF(AND(B1732&lt;&gt;"",C1732&lt;&gt;""),SUMIFS(Movimentos!$F$4:$F$9996,Movimentos!$D$4:$D$9996,B1732,Movimentos!$C$4:$C$9996,"Entrada")-SUMIFS(Movimentos!$F$4:$F$9996,Movimentos!$D$4:$D$9996,B1732,Movimentos!$C$4:$C$9996,"Saída"),""),"")</f>
        <v/>
      </c>
      <c r="F1732" s="10" t="str">
        <f t="shared" si="56"/>
        <v/>
      </c>
    </row>
    <row r="1733" spans="1:6" x14ac:dyDescent="0.3">
      <c r="A1733" s="15" t="str">
        <f t="shared" si="57"/>
        <v>.</v>
      </c>
      <c r="E1733" s="13" t="str">
        <f>IFERROR(IF(AND(B1733&lt;&gt;"",C1733&lt;&gt;""),SUMIFS(Movimentos!$F$4:$F$9996,Movimentos!$D$4:$D$9996,B1733,Movimentos!$C$4:$C$9996,"Entrada")-SUMIFS(Movimentos!$F$4:$F$9996,Movimentos!$D$4:$D$9996,B1733,Movimentos!$C$4:$C$9996,"Saída"),""),"")</f>
        <v/>
      </c>
      <c r="F1733" s="10" t="str">
        <f t="shared" si="56"/>
        <v/>
      </c>
    </row>
    <row r="1734" spans="1:6" x14ac:dyDescent="0.3">
      <c r="A1734" s="15" t="str">
        <f t="shared" si="57"/>
        <v>.</v>
      </c>
      <c r="E1734" s="13" t="str">
        <f>IFERROR(IF(AND(B1734&lt;&gt;"",C1734&lt;&gt;""),SUMIFS(Movimentos!$F$4:$F$9996,Movimentos!$D$4:$D$9996,B1734,Movimentos!$C$4:$C$9996,"Entrada")-SUMIFS(Movimentos!$F$4:$F$9996,Movimentos!$D$4:$D$9996,B1734,Movimentos!$C$4:$C$9996,"Saída"),""),"")</f>
        <v/>
      </c>
      <c r="F1734" s="10" t="str">
        <f t="shared" si="56"/>
        <v/>
      </c>
    </row>
    <row r="1735" spans="1:6" x14ac:dyDescent="0.3">
      <c r="A1735" s="15" t="str">
        <f t="shared" si="57"/>
        <v>.</v>
      </c>
      <c r="E1735" s="13" t="str">
        <f>IFERROR(IF(AND(B1735&lt;&gt;"",C1735&lt;&gt;""),SUMIFS(Movimentos!$F$4:$F$9996,Movimentos!$D$4:$D$9996,B1735,Movimentos!$C$4:$C$9996,"Entrada")-SUMIFS(Movimentos!$F$4:$F$9996,Movimentos!$D$4:$D$9996,B1735,Movimentos!$C$4:$C$9996,"Saída"),""),"")</f>
        <v/>
      </c>
      <c r="F1735" s="10" t="str">
        <f t="shared" si="56"/>
        <v/>
      </c>
    </row>
    <row r="1736" spans="1:6" x14ac:dyDescent="0.3">
      <c r="A1736" s="15" t="str">
        <f t="shared" si="57"/>
        <v>.</v>
      </c>
      <c r="E1736" s="13" t="str">
        <f>IFERROR(IF(AND(B1736&lt;&gt;"",C1736&lt;&gt;""),SUMIFS(Movimentos!$F$4:$F$9996,Movimentos!$D$4:$D$9996,B1736,Movimentos!$C$4:$C$9996,"Entrada")-SUMIFS(Movimentos!$F$4:$F$9996,Movimentos!$D$4:$D$9996,B1736,Movimentos!$C$4:$C$9996,"Saída"),""),"")</f>
        <v/>
      </c>
      <c r="F1736" s="10" t="str">
        <f t="shared" si="56"/>
        <v/>
      </c>
    </row>
    <row r="1737" spans="1:6" x14ac:dyDescent="0.3">
      <c r="A1737" s="15" t="str">
        <f t="shared" si="57"/>
        <v>.</v>
      </c>
      <c r="E1737" s="13" t="str">
        <f>IFERROR(IF(AND(B1737&lt;&gt;"",C1737&lt;&gt;""),SUMIFS(Movimentos!$F$4:$F$9996,Movimentos!$D$4:$D$9996,B1737,Movimentos!$C$4:$C$9996,"Entrada")-SUMIFS(Movimentos!$F$4:$F$9996,Movimentos!$D$4:$D$9996,B1737,Movimentos!$C$4:$C$9996,"Saída"),""),"")</f>
        <v/>
      </c>
      <c r="F1737" s="10" t="str">
        <f t="shared" si="56"/>
        <v/>
      </c>
    </row>
    <row r="1738" spans="1:6" x14ac:dyDescent="0.3">
      <c r="A1738" s="15" t="str">
        <f t="shared" si="57"/>
        <v>.</v>
      </c>
      <c r="E1738" s="13" t="str">
        <f>IFERROR(IF(AND(B1738&lt;&gt;"",C1738&lt;&gt;""),SUMIFS(Movimentos!$F$4:$F$9996,Movimentos!$D$4:$D$9996,B1738,Movimentos!$C$4:$C$9996,"Entrada")-SUMIFS(Movimentos!$F$4:$F$9996,Movimentos!$D$4:$D$9996,B1738,Movimentos!$C$4:$C$9996,"Saída"),""),"")</f>
        <v/>
      </c>
      <c r="F1738" s="10" t="str">
        <f t="shared" si="56"/>
        <v/>
      </c>
    </row>
    <row r="1739" spans="1:6" x14ac:dyDescent="0.3">
      <c r="A1739" s="15" t="str">
        <f t="shared" si="57"/>
        <v>.</v>
      </c>
      <c r="E1739" s="13" t="str">
        <f>IFERROR(IF(AND(B1739&lt;&gt;"",C1739&lt;&gt;""),SUMIFS(Movimentos!$F$4:$F$9996,Movimentos!$D$4:$D$9996,B1739,Movimentos!$C$4:$C$9996,"Entrada")-SUMIFS(Movimentos!$F$4:$F$9996,Movimentos!$D$4:$D$9996,B1739,Movimentos!$C$4:$C$9996,"Saída"),""),"")</f>
        <v/>
      </c>
      <c r="F1739" s="10" t="str">
        <f t="shared" si="56"/>
        <v/>
      </c>
    </row>
    <row r="1740" spans="1:6" x14ac:dyDescent="0.3">
      <c r="A1740" s="15" t="str">
        <f t="shared" si="57"/>
        <v>.</v>
      </c>
      <c r="E1740" s="13" t="str">
        <f>IFERROR(IF(AND(B1740&lt;&gt;"",C1740&lt;&gt;""),SUMIFS(Movimentos!$F$4:$F$9996,Movimentos!$D$4:$D$9996,B1740,Movimentos!$C$4:$C$9996,"Entrada")-SUMIFS(Movimentos!$F$4:$F$9996,Movimentos!$D$4:$D$9996,B1740,Movimentos!$C$4:$C$9996,"Saída"),""),"")</f>
        <v/>
      </c>
      <c r="F1740" s="10" t="str">
        <f t="shared" si="56"/>
        <v/>
      </c>
    </row>
    <row r="1741" spans="1:6" x14ac:dyDescent="0.3">
      <c r="A1741" s="15" t="str">
        <f t="shared" si="57"/>
        <v>.</v>
      </c>
      <c r="E1741" s="13" t="str">
        <f>IFERROR(IF(AND(B1741&lt;&gt;"",C1741&lt;&gt;""),SUMIFS(Movimentos!$F$4:$F$9996,Movimentos!$D$4:$D$9996,B1741,Movimentos!$C$4:$C$9996,"Entrada")-SUMIFS(Movimentos!$F$4:$F$9996,Movimentos!$D$4:$D$9996,B1741,Movimentos!$C$4:$C$9996,"Saída"),""),"")</f>
        <v/>
      </c>
      <c r="F1741" s="10" t="str">
        <f t="shared" si="56"/>
        <v/>
      </c>
    </row>
    <row r="1742" spans="1:6" x14ac:dyDescent="0.3">
      <c r="A1742" s="15" t="str">
        <f t="shared" si="57"/>
        <v>.</v>
      </c>
      <c r="E1742" s="13" t="str">
        <f>IFERROR(IF(AND(B1742&lt;&gt;"",C1742&lt;&gt;""),SUMIFS(Movimentos!$F$4:$F$9996,Movimentos!$D$4:$D$9996,B1742,Movimentos!$C$4:$C$9996,"Entrada")-SUMIFS(Movimentos!$F$4:$F$9996,Movimentos!$D$4:$D$9996,B1742,Movimentos!$C$4:$C$9996,"Saída"),""),"")</f>
        <v/>
      </c>
      <c r="F1742" s="10" t="str">
        <f t="shared" si="56"/>
        <v/>
      </c>
    </row>
    <row r="1743" spans="1:6" x14ac:dyDescent="0.3">
      <c r="A1743" s="15" t="str">
        <f t="shared" si="57"/>
        <v>.</v>
      </c>
      <c r="E1743" s="13" t="str">
        <f>IFERROR(IF(AND(B1743&lt;&gt;"",C1743&lt;&gt;""),SUMIFS(Movimentos!$F$4:$F$9996,Movimentos!$D$4:$D$9996,B1743,Movimentos!$C$4:$C$9996,"Entrada")-SUMIFS(Movimentos!$F$4:$F$9996,Movimentos!$D$4:$D$9996,B1743,Movimentos!$C$4:$C$9996,"Saída"),""),"")</f>
        <v/>
      </c>
      <c r="F1743" s="10" t="str">
        <f t="shared" si="56"/>
        <v/>
      </c>
    </row>
    <row r="1744" spans="1:6" x14ac:dyDescent="0.3">
      <c r="A1744" s="15" t="str">
        <f t="shared" si="57"/>
        <v>.</v>
      </c>
      <c r="E1744" s="13" t="str">
        <f>IFERROR(IF(AND(B1744&lt;&gt;"",C1744&lt;&gt;""),SUMIFS(Movimentos!$F$4:$F$9996,Movimentos!$D$4:$D$9996,B1744,Movimentos!$C$4:$C$9996,"Entrada")-SUMIFS(Movimentos!$F$4:$F$9996,Movimentos!$D$4:$D$9996,B1744,Movimentos!$C$4:$C$9996,"Saída"),""),"")</f>
        <v/>
      </c>
      <c r="F1744" s="10" t="str">
        <f t="shared" si="56"/>
        <v/>
      </c>
    </row>
    <row r="1745" spans="1:6" x14ac:dyDescent="0.3">
      <c r="A1745" s="15" t="str">
        <f t="shared" si="57"/>
        <v>.</v>
      </c>
      <c r="E1745" s="13" t="str">
        <f>IFERROR(IF(AND(B1745&lt;&gt;"",C1745&lt;&gt;""),SUMIFS(Movimentos!$F$4:$F$9996,Movimentos!$D$4:$D$9996,B1745,Movimentos!$C$4:$C$9996,"Entrada")-SUMIFS(Movimentos!$F$4:$F$9996,Movimentos!$D$4:$D$9996,B1745,Movimentos!$C$4:$C$9996,"Saída"),""),"")</f>
        <v/>
      </c>
      <c r="F1745" s="10" t="str">
        <f t="shared" si="56"/>
        <v/>
      </c>
    </row>
    <row r="1746" spans="1:6" x14ac:dyDescent="0.3">
      <c r="A1746" s="15" t="str">
        <f t="shared" si="57"/>
        <v>.</v>
      </c>
      <c r="E1746" s="13" t="str">
        <f>IFERROR(IF(AND(B1746&lt;&gt;"",C1746&lt;&gt;""),SUMIFS(Movimentos!$F$4:$F$9996,Movimentos!$D$4:$D$9996,B1746,Movimentos!$C$4:$C$9996,"Entrada")-SUMIFS(Movimentos!$F$4:$F$9996,Movimentos!$D$4:$D$9996,B1746,Movimentos!$C$4:$C$9996,"Saída"),""),"")</f>
        <v/>
      </c>
      <c r="F1746" s="10" t="str">
        <f t="shared" si="56"/>
        <v/>
      </c>
    </row>
    <row r="1747" spans="1:6" x14ac:dyDescent="0.3">
      <c r="A1747" s="15" t="str">
        <f t="shared" si="57"/>
        <v>.</v>
      </c>
      <c r="E1747" s="13" t="str">
        <f>IFERROR(IF(AND(B1747&lt;&gt;"",C1747&lt;&gt;""),SUMIFS(Movimentos!$F$4:$F$9996,Movimentos!$D$4:$D$9996,B1747,Movimentos!$C$4:$C$9996,"Entrada")-SUMIFS(Movimentos!$F$4:$F$9996,Movimentos!$D$4:$D$9996,B1747,Movimentos!$C$4:$C$9996,"Saída"),""),"")</f>
        <v/>
      </c>
      <c r="F1747" s="10" t="str">
        <f t="shared" si="56"/>
        <v/>
      </c>
    </row>
    <row r="1748" spans="1:6" x14ac:dyDescent="0.3">
      <c r="A1748" s="15" t="str">
        <f t="shared" si="57"/>
        <v>.</v>
      </c>
      <c r="E1748" s="13" t="str">
        <f>IFERROR(IF(AND(B1748&lt;&gt;"",C1748&lt;&gt;""),SUMIFS(Movimentos!$F$4:$F$9996,Movimentos!$D$4:$D$9996,B1748,Movimentos!$C$4:$C$9996,"Entrada")-SUMIFS(Movimentos!$F$4:$F$9996,Movimentos!$D$4:$D$9996,B1748,Movimentos!$C$4:$C$9996,"Saída"),""),"")</f>
        <v/>
      </c>
      <c r="F1748" s="10" t="str">
        <f t="shared" si="56"/>
        <v/>
      </c>
    </row>
    <row r="1749" spans="1:6" x14ac:dyDescent="0.3">
      <c r="A1749" s="15" t="str">
        <f t="shared" si="57"/>
        <v>.</v>
      </c>
      <c r="E1749" s="13" t="str">
        <f>IFERROR(IF(AND(B1749&lt;&gt;"",C1749&lt;&gt;""),SUMIFS(Movimentos!$F$4:$F$9996,Movimentos!$D$4:$D$9996,B1749,Movimentos!$C$4:$C$9996,"Entrada")-SUMIFS(Movimentos!$F$4:$F$9996,Movimentos!$D$4:$D$9996,B1749,Movimentos!$C$4:$C$9996,"Saída"),""),"")</f>
        <v/>
      </c>
      <c r="F1749" s="10" t="str">
        <f t="shared" si="56"/>
        <v/>
      </c>
    </row>
    <row r="1750" spans="1:6" x14ac:dyDescent="0.3">
      <c r="A1750" s="15" t="str">
        <f t="shared" si="57"/>
        <v>.</v>
      </c>
      <c r="E1750" s="13" t="str">
        <f>IFERROR(IF(AND(B1750&lt;&gt;"",C1750&lt;&gt;""),SUMIFS(Movimentos!$F$4:$F$9996,Movimentos!$D$4:$D$9996,B1750,Movimentos!$C$4:$C$9996,"Entrada")-SUMIFS(Movimentos!$F$4:$F$9996,Movimentos!$D$4:$D$9996,B1750,Movimentos!$C$4:$C$9996,"Saída"),""),"")</f>
        <v/>
      </c>
      <c r="F1750" s="10" t="str">
        <f t="shared" si="56"/>
        <v/>
      </c>
    </row>
    <row r="1751" spans="1:6" x14ac:dyDescent="0.3">
      <c r="A1751" s="15" t="str">
        <f t="shared" si="57"/>
        <v>.</v>
      </c>
      <c r="E1751" s="13" t="str">
        <f>IFERROR(IF(AND(B1751&lt;&gt;"",C1751&lt;&gt;""),SUMIFS(Movimentos!$F$4:$F$9996,Movimentos!$D$4:$D$9996,B1751,Movimentos!$C$4:$C$9996,"Entrada")-SUMIFS(Movimentos!$F$4:$F$9996,Movimentos!$D$4:$D$9996,B1751,Movimentos!$C$4:$C$9996,"Saída"),""),"")</f>
        <v/>
      </c>
      <c r="F1751" s="10" t="str">
        <f t="shared" ref="F1751:F1814" si="58">IF(AND(B1751&lt;&gt;"",C1751&lt;&gt;""),IF(E1751=0,"Saldo zerado",IF(E1751&lt;D1751,"Saldo abaixo do mínimo","Saldo disponível")),"")</f>
        <v/>
      </c>
    </row>
    <row r="1752" spans="1:6" x14ac:dyDescent="0.3">
      <c r="A1752" s="15" t="str">
        <f t="shared" si="57"/>
        <v>.</v>
      </c>
      <c r="E1752" s="13" t="str">
        <f>IFERROR(IF(AND(B1752&lt;&gt;"",C1752&lt;&gt;""),SUMIFS(Movimentos!$F$4:$F$9996,Movimentos!$D$4:$D$9996,B1752,Movimentos!$C$4:$C$9996,"Entrada")-SUMIFS(Movimentos!$F$4:$F$9996,Movimentos!$D$4:$D$9996,B1752,Movimentos!$C$4:$C$9996,"Saída"),""),"")</f>
        <v/>
      </c>
      <c r="F1752" s="10" t="str">
        <f t="shared" si="58"/>
        <v/>
      </c>
    </row>
    <row r="1753" spans="1:6" x14ac:dyDescent="0.3">
      <c r="A1753" s="15" t="str">
        <f t="shared" si="57"/>
        <v>.</v>
      </c>
      <c r="E1753" s="13" t="str">
        <f>IFERROR(IF(AND(B1753&lt;&gt;"",C1753&lt;&gt;""),SUMIFS(Movimentos!$F$4:$F$9996,Movimentos!$D$4:$D$9996,B1753,Movimentos!$C$4:$C$9996,"Entrada")-SUMIFS(Movimentos!$F$4:$F$9996,Movimentos!$D$4:$D$9996,B1753,Movimentos!$C$4:$C$9996,"Saída"),""),"")</f>
        <v/>
      </c>
      <c r="F1753" s="10" t="str">
        <f t="shared" si="58"/>
        <v/>
      </c>
    </row>
    <row r="1754" spans="1:6" x14ac:dyDescent="0.3">
      <c r="A1754" s="15" t="str">
        <f t="shared" si="57"/>
        <v>.</v>
      </c>
      <c r="E1754" s="13" t="str">
        <f>IFERROR(IF(AND(B1754&lt;&gt;"",C1754&lt;&gt;""),SUMIFS(Movimentos!$F$4:$F$9996,Movimentos!$D$4:$D$9996,B1754,Movimentos!$C$4:$C$9996,"Entrada")-SUMIFS(Movimentos!$F$4:$F$9996,Movimentos!$D$4:$D$9996,B1754,Movimentos!$C$4:$C$9996,"Saída"),""),"")</f>
        <v/>
      </c>
      <c r="F1754" s="10" t="str">
        <f t="shared" si="58"/>
        <v/>
      </c>
    </row>
    <row r="1755" spans="1:6" x14ac:dyDescent="0.3">
      <c r="A1755" s="15" t="str">
        <f t="shared" si="57"/>
        <v>.</v>
      </c>
      <c r="E1755" s="13" t="str">
        <f>IFERROR(IF(AND(B1755&lt;&gt;"",C1755&lt;&gt;""),SUMIFS(Movimentos!$F$4:$F$9996,Movimentos!$D$4:$D$9996,B1755,Movimentos!$C$4:$C$9996,"Entrada")-SUMIFS(Movimentos!$F$4:$F$9996,Movimentos!$D$4:$D$9996,B1755,Movimentos!$C$4:$C$9996,"Saída"),""),"")</f>
        <v/>
      </c>
      <c r="F1755" s="10" t="str">
        <f t="shared" si="58"/>
        <v/>
      </c>
    </row>
    <row r="1756" spans="1:6" x14ac:dyDescent="0.3">
      <c r="A1756" s="15" t="str">
        <f t="shared" si="57"/>
        <v>.</v>
      </c>
      <c r="E1756" s="13" t="str">
        <f>IFERROR(IF(AND(B1756&lt;&gt;"",C1756&lt;&gt;""),SUMIFS(Movimentos!$F$4:$F$9996,Movimentos!$D$4:$D$9996,B1756,Movimentos!$C$4:$C$9996,"Entrada")-SUMIFS(Movimentos!$F$4:$F$9996,Movimentos!$D$4:$D$9996,B1756,Movimentos!$C$4:$C$9996,"Saída"),""),"")</f>
        <v/>
      </c>
      <c r="F1756" s="10" t="str">
        <f t="shared" si="58"/>
        <v/>
      </c>
    </row>
    <row r="1757" spans="1:6" x14ac:dyDescent="0.3">
      <c r="A1757" s="15" t="str">
        <f t="shared" si="57"/>
        <v>.</v>
      </c>
      <c r="E1757" s="13" t="str">
        <f>IFERROR(IF(AND(B1757&lt;&gt;"",C1757&lt;&gt;""),SUMIFS(Movimentos!$F$4:$F$9996,Movimentos!$D$4:$D$9996,B1757,Movimentos!$C$4:$C$9996,"Entrada")-SUMIFS(Movimentos!$F$4:$F$9996,Movimentos!$D$4:$D$9996,B1757,Movimentos!$C$4:$C$9996,"Saída"),""),"")</f>
        <v/>
      </c>
      <c r="F1757" s="10" t="str">
        <f t="shared" si="58"/>
        <v/>
      </c>
    </row>
    <row r="1758" spans="1:6" x14ac:dyDescent="0.3">
      <c r="A1758" s="15" t="str">
        <f t="shared" si="57"/>
        <v>.</v>
      </c>
      <c r="E1758" s="13" t="str">
        <f>IFERROR(IF(AND(B1758&lt;&gt;"",C1758&lt;&gt;""),SUMIFS(Movimentos!$F$4:$F$9996,Movimentos!$D$4:$D$9996,B1758,Movimentos!$C$4:$C$9996,"Entrada")-SUMIFS(Movimentos!$F$4:$F$9996,Movimentos!$D$4:$D$9996,B1758,Movimentos!$C$4:$C$9996,"Saída"),""),"")</f>
        <v/>
      </c>
      <c r="F1758" s="10" t="str">
        <f t="shared" si="58"/>
        <v/>
      </c>
    </row>
    <row r="1759" spans="1:6" x14ac:dyDescent="0.3">
      <c r="A1759" s="15" t="str">
        <f t="shared" si="57"/>
        <v>.</v>
      </c>
      <c r="E1759" s="13" t="str">
        <f>IFERROR(IF(AND(B1759&lt;&gt;"",C1759&lt;&gt;""),SUMIFS(Movimentos!$F$4:$F$9996,Movimentos!$D$4:$D$9996,B1759,Movimentos!$C$4:$C$9996,"Entrada")-SUMIFS(Movimentos!$F$4:$F$9996,Movimentos!$D$4:$D$9996,B1759,Movimentos!$C$4:$C$9996,"Saída"),""),"")</f>
        <v/>
      </c>
      <c r="F1759" s="10" t="str">
        <f t="shared" si="58"/>
        <v/>
      </c>
    </row>
    <row r="1760" spans="1:6" x14ac:dyDescent="0.3">
      <c r="A1760" s="15" t="str">
        <f t="shared" si="57"/>
        <v>.</v>
      </c>
      <c r="E1760" s="13" t="str">
        <f>IFERROR(IF(AND(B1760&lt;&gt;"",C1760&lt;&gt;""),SUMIFS(Movimentos!$F$4:$F$9996,Movimentos!$D$4:$D$9996,B1760,Movimentos!$C$4:$C$9996,"Entrada")-SUMIFS(Movimentos!$F$4:$F$9996,Movimentos!$D$4:$D$9996,B1760,Movimentos!$C$4:$C$9996,"Saída"),""),"")</f>
        <v/>
      </c>
      <c r="F1760" s="10" t="str">
        <f t="shared" si="58"/>
        <v/>
      </c>
    </row>
    <row r="1761" spans="1:6" x14ac:dyDescent="0.3">
      <c r="A1761" s="15" t="str">
        <f t="shared" si="57"/>
        <v>.</v>
      </c>
      <c r="E1761" s="13" t="str">
        <f>IFERROR(IF(AND(B1761&lt;&gt;"",C1761&lt;&gt;""),SUMIFS(Movimentos!$F$4:$F$9996,Movimentos!$D$4:$D$9996,B1761,Movimentos!$C$4:$C$9996,"Entrada")-SUMIFS(Movimentos!$F$4:$F$9996,Movimentos!$D$4:$D$9996,B1761,Movimentos!$C$4:$C$9996,"Saída"),""),"")</f>
        <v/>
      </c>
      <c r="F1761" s="10" t="str">
        <f t="shared" si="58"/>
        <v/>
      </c>
    </row>
    <row r="1762" spans="1:6" x14ac:dyDescent="0.3">
      <c r="A1762" s="15" t="str">
        <f t="shared" si="57"/>
        <v>.</v>
      </c>
      <c r="E1762" s="13" t="str">
        <f>IFERROR(IF(AND(B1762&lt;&gt;"",C1762&lt;&gt;""),SUMIFS(Movimentos!$F$4:$F$9996,Movimentos!$D$4:$D$9996,B1762,Movimentos!$C$4:$C$9996,"Entrada")-SUMIFS(Movimentos!$F$4:$F$9996,Movimentos!$D$4:$D$9996,B1762,Movimentos!$C$4:$C$9996,"Saída"),""),"")</f>
        <v/>
      </c>
      <c r="F1762" s="10" t="str">
        <f t="shared" si="58"/>
        <v/>
      </c>
    </row>
    <row r="1763" spans="1:6" x14ac:dyDescent="0.3">
      <c r="A1763" s="15" t="str">
        <f t="shared" si="57"/>
        <v>.</v>
      </c>
      <c r="E1763" s="13" t="str">
        <f>IFERROR(IF(AND(B1763&lt;&gt;"",C1763&lt;&gt;""),SUMIFS(Movimentos!$F$4:$F$9996,Movimentos!$D$4:$D$9996,B1763,Movimentos!$C$4:$C$9996,"Entrada")-SUMIFS(Movimentos!$F$4:$F$9996,Movimentos!$D$4:$D$9996,B1763,Movimentos!$C$4:$C$9996,"Saída"),""),"")</f>
        <v/>
      </c>
      <c r="F1763" s="10" t="str">
        <f t="shared" si="58"/>
        <v/>
      </c>
    </row>
    <row r="1764" spans="1:6" x14ac:dyDescent="0.3">
      <c r="A1764" s="15" t="str">
        <f t="shared" si="57"/>
        <v>.</v>
      </c>
      <c r="E1764" s="13" t="str">
        <f>IFERROR(IF(AND(B1764&lt;&gt;"",C1764&lt;&gt;""),SUMIFS(Movimentos!$F$4:$F$9996,Movimentos!$D$4:$D$9996,B1764,Movimentos!$C$4:$C$9996,"Entrada")-SUMIFS(Movimentos!$F$4:$F$9996,Movimentos!$D$4:$D$9996,B1764,Movimentos!$C$4:$C$9996,"Saída"),""),"")</f>
        <v/>
      </c>
      <c r="F1764" s="10" t="str">
        <f t="shared" si="58"/>
        <v/>
      </c>
    </row>
    <row r="1765" spans="1:6" x14ac:dyDescent="0.3">
      <c r="A1765" s="15" t="str">
        <f t="shared" si="57"/>
        <v>.</v>
      </c>
      <c r="E1765" s="13" t="str">
        <f>IFERROR(IF(AND(B1765&lt;&gt;"",C1765&lt;&gt;""),SUMIFS(Movimentos!$F$4:$F$9996,Movimentos!$D$4:$D$9996,B1765,Movimentos!$C$4:$C$9996,"Entrada")-SUMIFS(Movimentos!$F$4:$F$9996,Movimentos!$D$4:$D$9996,B1765,Movimentos!$C$4:$C$9996,"Saída"),""),"")</f>
        <v/>
      </c>
      <c r="F1765" s="10" t="str">
        <f t="shared" si="58"/>
        <v/>
      </c>
    </row>
    <row r="1766" spans="1:6" x14ac:dyDescent="0.3">
      <c r="A1766" s="15" t="str">
        <f t="shared" si="57"/>
        <v>.</v>
      </c>
      <c r="E1766" s="13" t="str">
        <f>IFERROR(IF(AND(B1766&lt;&gt;"",C1766&lt;&gt;""),SUMIFS(Movimentos!$F$4:$F$9996,Movimentos!$D$4:$D$9996,B1766,Movimentos!$C$4:$C$9996,"Entrada")-SUMIFS(Movimentos!$F$4:$F$9996,Movimentos!$D$4:$D$9996,B1766,Movimentos!$C$4:$C$9996,"Saída"),""),"")</f>
        <v/>
      </c>
      <c r="F1766" s="10" t="str">
        <f t="shared" si="58"/>
        <v/>
      </c>
    </row>
    <row r="1767" spans="1:6" x14ac:dyDescent="0.3">
      <c r="A1767" s="15" t="str">
        <f t="shared" si="57"/>
        <v>.</v>
      </c>
      <c r="E1767" s="13" t="str">
        <f>IFERROR(IF(AND(B1767&lt;&gt;"",C1767&lt;&gt;""),SUMIFS(Movimentos!$F$4:$F$9996,Movimentos!$D$4:$D$9996,B1767,Movimentos!$C$4:$C$9996,"Entrada")-SUMIFS(Movimentos!$F$4:$F$9996,Movimentos!$D$4:$D$9996,B1767,Movimentos!$C$4:$C$9996,"Saída"),""),"")</f>
        <v/>
      </c>
      <c r="F1767" s="10" t="str">
        <f t="shared" si="58"/>
        <v/>
      </c>
    </row>
    <row r="1768" spans="1:6" x14ac:dyDescent="0.3">
      <c r="A1768" s="15" t="str">
        <f t="shared" si="57"/>
        <v>.</v>
      </c>
      <c r="E1768" s="13" t="str">
        <f>IFERROR(IF(AND(B1768&lt;&gt;"",C1768&lt;&gt;""),SUMIFS(Movimentos!$F$4:$F$9996,Movimentos!$D$4:$D$9996,B1768,Movimentos!$C$4:$C$9996,"Entrada")-SUMIFS(Movimentos!$F$4:$F$9996,Movimentos!$D$4:$D$9996,B1768,Movimentos!$C$4:$C$9996,"Saída"),""),"")</f>
        <v/>
      </c>
      <c r="F1768" s="10" t="str">
        <f t="shared" si="58"/>
        <v/>
      </c>
    </row>
    <row r="1769" spans="1:6" x14ac:dyDescent="0.3">
      <c r="A1769" s="15" t="str">
        <f t="shared" si="57"/>
        <v>.</v>
      </c>
      <c r="E1769" s="13" t="str">
        <f>IFERROR(IF(AND(B1769&lt;&gt;"",C1769&lt;&gt;""),SUMIFS(Movimentos!$F$4:$F$9996,Movimentos!$D$4:$D$9996,B1769,Movimentos!$C$4:$C$9996,"Entrada")-SUMIFS(Movimentos!$F$4:$F$9996,Movimentos!$D$4:$D$9996,B1769,Movimentos!$C$4:$C$9996,"Saída"),""),"")</f>
        <v/>
      </c>
      <c r="F1769" s="10" t="str">
        <f t="shared" si="58"/>
        <v/>
      </c>
    </row>
    <row r="1770" spans="1:6" x14ac:dyDescent="0.3">
      <c r="A1770" s="15" t="str">
        <f t="shared" si="57"/>
        <v>.</v>
      </c>
      <c r="E1770" s="13" t="str">
        <f>IFERROR(IF(AND(B1770&lt;&gt;"",C1770&lt;&gt;""),SUMIFS(Movimentos!$F$4:$F$9996,Movimentos!$D$4:$D$9996,B1770,Movimentos!$C$4:$C$9996,"Entrada")-SUMIFS(Movimentos!$F$4:$F$9996,Movimentos!$D$4:$D$9996,B1770,Movimentos!$C$4:$C$9996,"Saída"),""),"")</f>
        <v/>
      </c>
      <c r="F1770" s="10" t="str">
        <f t="shared" si="58"/>
        <v/>
      </c>
    </row>
    <row r="1771" spans="1:6" x14ac:dyDescent="0.3">
      <c r="A1771" s="15" t="str">
        <f t="shared" si="57"/>
        <v>.</v>
      </c>
      <c r="E1771" s="13" t="str">
        <f>IFERROR(IF(AND(B1771&lt;&gt;"",C1771&lt;&gt;""),SUMIFS(Movimentos!$F$4:$F$9996,Movimentos!$D$4:$D$9996,B1771,Movimentos!$C$4:$C$9996,"Entrada")-SUMIFS(Movimentos!$F$4:$F$9996,Movimentos!$D$4:$D$9996,B1771,Movimentos!$C$4:$C$9996,"Saída"),""),"")</f>
        <v/>
      </c>
      <c r="F1771" s="10" t="str">
        <f t="shared" si="58"/>
        <v/>
      </c>
    </row>
    <row r="1772" spans="1:6" x14ac:dyDescent="0.3">
      <c r="A1772" s="15" t="str">
        <f t="shared" si="57"/>
        <v>.</v>
      </c>
      <c r="E1772" s="13" t="str">
        <f>IFERROR(IF(AND(B1772&lt;&gt;"",C1772&lt;&gt;""),SUMIFS(Movimentos!$F$4:$F$9996,Movimentos!$D$4:$D$9996,B1772,Movimentos!$C$4:$C$9996,"Entrada")-SUMIFS(Movimentos!$F$4:$F$9996,Movimentos!$D$4:$D$9996,B1772,Movimentos!$C$4:$C$9996,"Saída"),""),"")</f>
        <v/>
      </c>
      <c r="F1772" s="10" t="str">
        <f t="shared" si="58"/>
        <v/>
      </c>
    </row>
    <row r="1773" spans="1:6" x14ac:dyDescent="0.3">
      <c r="A1773" s="15" t="str">
        <f t="shared" si="57"/>
        <v>.</v>
      </c>
      <c r="E1773" s="13" t="str">
        <f>IFERROR(IF(AND(B1773&lt;&gt;"",C1773&lt;&gt;""),SUMIFS(Movimentos!$F$4:$F$9996,Movimentos!$D$4:$D$9996,B1773,Movimentos!$C$4:$C$9996,"Entrada")-SUMIFS(Movimentos!$F$4:$F$9996,Movimentos!$D$4:$D$9996,B1773,Movimentos!$C$4:$C$9996,"Saída"),""),"")</f>
        <v/>
      </c>
      <c r="F1773" s="10" t="str">
        <f t="shared" si="58"/>
        <v/>
      </c>
    </row>
    <row r="1774" spans="1:6" x14ac:dyDescent="0.3">
      <c r="A1774" s="15" t="str">
        <f t="shared" si="57"/>
        <v>.</v>
      </c>
      <c r="E1774" s="13" t="str">
        <f>IFERROR(IF(AND(B1774&lt;&gt;"",C1774&lt;&gt;""),SUMIFS(Movimentos!$F$4:$F$9996,Movimentos!$D$4:$D$9996,B1774,Movimentos!$C$4:$C$9996,"Entrada")-SUMIFS(Movimentos!$F$4:$F$9996,Movimentos!$D$4:$D$9996,B1774,Movimentos!$C$4:$C$9996,"Saída"),""),"")</f>
        <v/>
      </c>
      <c r="F1774" s="10" t="str">
        <f t="shared" si="58"/>
        <v/>
      </c>
    </row>
    <row r="1775" spans="1:6" x14ac:dyDescent="0.3">
      <c r="A1775" s="15" t="str">
        <f t="shared" si="57"/>
        <v>.</v>
      </c>
      <c r="E1775" s="13" t="str">
        <f>IFERROR(IF(AND(B1775&lt;&gt;"",C1775&lt;&gt;""),SUMIFS(Movimentos!$F$4:$F$9996,Movimentos!$D$4:$D$9996,B1775,Movimentos!$C$4:$C$9996,"Entrada")-SUMIFS(Movimentos!$F$4:$F$9996,Movimentos!$D$4:$D$9996,B1775,Movimentos!$C$4:$C$9996,"Saída"),""),"")</f>
        <v/>
      </c>
      <c r="F1775" s="10" t="str">
        <f t="shared" si="58"/>
        <v/>
      </c>
    </row>
    <row r="1776" spans="1:6" x14ac:dyDescent="0.3">
      <c r="A1776" s="15" t="str">
        <f t="shared" si="57"/>
        <v>.</v>
      </c>
      <c r="E1776" s="13" t="str">
        <f>IFERROR(IF(AND(B1776&lt;&gt;"",C1776&lt;&gt;""),SUMIFS(Movimentos!$F$4:$F$9996,Movimentos!$D$4:$D$9996,B1776,Movimentos!$C$4:$C$9996,"Entrada")-SUMIFS(Movimentos!$F$4:$F$9996,Movimentos!$D$4:$D$9996,B1776,Movimentos!$C$4:$C$9996,"Saída"),""),"")</f>
        <v/>
      </c>
      <c r="F1776" s="10" t="str">
        <f t="shared" si="58"/>
        <v/>
      </c>
    </row>
    <row r="1777" spans="1:6" x14ac:dyDescent="0.3">
      <c r="A1777" s="15" t="str">
        <f t="shared" si="57"/>
        <v>.</v>
      </c>
      <c r="E1777" s="13" t="str">
        <f>IFERROR(IF(AND(B1777&lt;&gt;"",C1777&lt;&gt;""),SUMIFS(Movimentos!$F$4:$F$9996,Movimentos!$D$4:$D$9996,B1777,Movimentos!$C$4:$C$9996,"Entrada")-SUMIFS(Movimentos!$F$4:$F$9996,Movimentos!$D$4:$D$9996,B1777,Movimentos!$C$4:$C$9996,"Saída"),""),"")</f>
        <v/>
      </c>
      <c r="F1777" s="10" t="str">
        <f t="shared" si="58"/>
        <v/>
      </c>
    </row>
    <row r="1778" spans="1:6" x14ac:dyDescent="0.3">
      <c r="A1778" s="15" t="str">
        <f t="shared" si="57"/>
        <v>.</v>
      </c>
      <c r="E1778" s="13" t="str">
        <f>IFERROR(IF(AND(B1778&lt;&gt;"",C1778&lt;&gt;""),SUMIFS(Movimentos!$F$4:$F$9996,Movimentos!$D$4:$D$9996,B1778,Movimentos!$C$4:$C$9996,"Entrada")-SUMIFS(Movimentos!$F$4:$F$9996,Movimentos!$D$4:$D$9996,B1778,Movimentos!$C$4:$C$9996,"Saída"),""),"")</f>
        <v/>
      </c>
      <c r="F1778" s="10" t="str">
        <f t="shared" si="58"/>
        <v/>
      </c>
    </row>
    <row r="1779" spans="1:6" x14ac:dyDescent="0.3">
      <c r="A1779" s="15" t="str">
        <f t="shared" si="57"/>
        <v>.</v>
      </c>
      <c r="E1779" s="13" t="str">
        <f>IFERROR(IF(AND(B1779&lt;&gt;"",C1779&lt;&gt;""),SUMIFS(Movimentos!$F$4:$F$9996,Movimentos!$D$4:$D$9996,B1779,Movimentos!$C$4:$C$9996,"Entrada")-SUMIFS(Movimentos!$F$4:$F$9996,Movimentos!$D$4:$D$9996,B1779,Movimentos!$C$4:$C$9996,"Saída"),""),"")</f>
        <v/>
      </c>
      <c r="F1779" s="10" t="str">
        <f t="shared" si="58"/>
        <v/>
      </c>
    </row>
    <row r="1780" spans="1:6" x14ac:dyDescent="0.3">
      <c r="A1780" s="15" t="str">
        <f t="shared" si="57"/>
        <v>.</v>
      </c>
      <c r="E1780" s="13" t="str">
        <f>IFERROR(IF(AND(B1780&lt;&gt;"",C1780&lt;&gt;""),SUMIFS(Movimentos!$F$4:$F$9996,Movimentos!$D$4:$D$9996,B1780,Movimentos!$C$4:$C$9996,"Entrada")-SUMIFS(Movimentos!$F$4:$F$9996,Movimentos!$D$4:$D$9996,B1780,Movimentos!$C$4:$C$9996,"Saída"),""),"")</f>
        <v/>
      </c>
      <c r="F1780" s="10" t="str">
        <f t="shared" si="58"/>
        <v/>
      </c>
    </row>
    <row r="1781" spans="1:6" x14ac:dyDescent="0.3">
      <c r="A1781" s="15" t="str">
        <f t="shared" si="57"/>
        <v>.</v>
      </c>
      <c r="E1781" s="13" t="str">
        <f>IFERROR(IF(AND(B1781&lt;&gt;"",C1781&lt;&gt;""),SUMIFS(Movimentos!$F$4:$F$9996,Movimentos!$D$4:$D$9996,B1781,Movimentos!$C$4:$C$9996,"Entrada")-SUMIFS(Movimentos!$F$4:$F$9996,Movimentos!$D$4:$D$9996,B1781,Movimentos!$C$4:$C$9996,"Saída"),""),"")</f>
        <v/>
      </c>
      <c r="F1781" s="10" t="str">
        <f t="shared" si="58"/>
        <v/>
      </c>
    </row>
    <row r="1782" spans="1:6" x14ac:dyDescent="0.3">
      <c r="A1782" s="15" t="str">
        <f t="shared" si="57"/>
        <v>.</v>
      </c>
      <c r="E1782" s="13" t="str">
        <f>IFERROR(IF(AND(B1782&lt;&gt;"",C1782&lt;&gt;""),SUMIFS(Movimentos!$F$4:$F$9996,Movimentos!$D$4:$D$9996,B1782,Movimentos!$C$4:$C$9996,"Entrada")-SUMIFS(Movimentos!$F$4:$F$9996,Movimentos!$D$4:$D$9996,B1782,Movimentos!$C$4:$C$9996,"Saída"),""),"")</f>
        <v/>
      </c>
      <c r="F1782" s="10" t="str">
        <f t="shared" si="58"/>
        <v/>
      </c>
    </row>
    <row r="1783" spans="1:6" x14ac:dyDescent="0.3">
      <c r="A1783" s="15" t="str">
        <f t="shared" si="57"/>
        <v>.</v>
      </c>
      <c r="E1783" s="13" t="str">
        <f>IFERROR(IF(AND(B1783&lt;&gt;"",C1783&lt;&gt;""),SUMIFS(Movimentos!$F$4:$F$9996,Movimentos!$D$4:$D$9996,B1783,Movimentos!$C$4:$C$9996,"Entrada")-SUMIFS(Movimentos!$F$4:$F$9996,Movimentos!$D$4:$D$9996,B1783,Movimentos!$C$4:$C$9996,"Saída"),""),"")</f>
        <v/>
      </c>
      <c r="F1783" s="10" t="str">
        <f t="shared" si="58"/>
        <v/>
      </c>
    </row>
    <row r="1784" spans="1:6" x14ac:dyDescent="0.3">
      <c r="A1784" s="15" t="str">
        <f t="shared" si="57"/>
        <v>.</v>
      </c>
      <c r="E1784" s="13" t="str">
        <f>IFERROR(IF(AND(B1784&lt;&gt;"",C1784&lt;&gt;""),SUMIFS(Movimentos!$F$4:$F$9996,Movimentos!$D$4:$D$9996,B1784,Movimentos!$C$4:$C$9996,"Entrada")-SUMIFS(Movimentos!$F$4:$F$9996,Movimentos!$D$4:$D$9996,B1784,Movimentos!$C$4:$C$9996,"Saída"),""),"")</f>
        <v/>
      </c>
      <c r="F1784" s="10" t="str">
        <f t="shared" si="58"/>
        <v/>
      </c>
    </row>
    <row r="1785" spans="1:6" x14ac:dyDescent="0.3">
      <c r="A1785" s="15" t="str">
        <f t="shared" si="57"/>
        <v>.</v>
      </c>
      <c r="E1785" s="13" t="str">
        <f>IFERROR(IF(AND(B1785&lt;&gt;"",C1785&lt;&gt;""),SUMIFS(Movimentos!$F$4:$F$9996,Movimentos!$D$4:$D$9996,B1785,Movimentos!$C$4:$C$9996,"Entrada")-SUMIFS(Movimentos!$F$4:$F$9996,Movimentos!$D$4:$D$9996,B1785,Movimentos!$C$4:$C$9996,"Saída"),""),"")</f>
        <v/>
      </c>
      <c r="F1785" s="10" t="str">
        <f t="shared" si="58"/>
        <v/>
      </c>
    </row>
    <row r="1786" spans="1:6" x14ac:dyDescent="0.3">
      <c r="A1786" s="15" t="str">
        <f t="shared" si="57"/>
        <v>.</v>
      </c>
      <c r="E1786" s="13" t="str">
        <f>IFERROR(IF(AND(B1786&lt;&gt;"",C1786&lt;&gt;""),SUMIFS(Movimentos!$F$4:$F$9996,Movimentos!$D$4:$D$9996,B1786,Movimentos!$C$4:$C$9996,"Entrada")-SUMIFS(Movimentos!$F$4:$F$9996,Movimentos!$D$4:$D$9996,B1786,Movimentos!$C$4:$C$9996,"Saída"),""),"")</f>
        <v/>
      </c>
      <c r="F1786" s="10" t="str">
        <f t="shared" si="58"/>
        <v/>
      </c>
    </row>
    <row r="1787" spans="1:6" x14ac:dyDescent="0.3">
      <c r="A1787" s="15" t="str">
        <f t="shared" si="57"/>
        <v>.</v>
      </c>
      <c r="E1787" s="13" t="str">
        <f>IFERROR(IF(AND(B1787&lt;&gt;"",C1787&lt;&gt;""),SUMIFS(Movimentos!$F$4:$F$9996,Movimentos!$D$4:$D$9996,B1787,Movimentos!$C$4:$C$9996,"Entrada")-SUMIFS(Movimentos!$F$4:$F$9996,Movimentos!$D$4:$D$9996,B1787,Movimentos!$C$4:$C$9996,"Saída"),""),"")</f>
        <v/>
      </c>
      <c r="F1787" s="10" t="str">
        <f t="shared" si="58"/>
        <v/>
      </c>
    </row>
    <row r="1788" spans="1:6" x14ac:dyDescent="0.3">
      <c r="A1788" s="15" t="str">
        <f t="shared" si="57"/>
        <v>.</v>
      </c>
      <c r="E1788" s="13" t="str">
        <f>IFERROR(IF(AND(B1788&lt;&gt;"",C1788&lt;&gt;""),SUMIFS(Movimentos!$F$4:$F$9996,Movimentos!$D$4:$D$9996,B1788,Movimentos!$C$4:$C$9996,"Entrada")-SUMIFS(Movimentos!$F$4:$F$9996,Movimentos!$D$4:$D$9996,B1788,Movimentos!$C$4:$C$9996,"Saída"),""),"")</f>
        <v/>
      </c>
      <c r="F1788" s="10" t="str">
        <f t="shared" si="58"/>
        <v/>
      </c>
    </row>
    <row r="1789" spans="1:6" x14ac:dyDescent="0.3">
      <c r="A1789" s="15" t="str">
        <f t="shared" si="57"/>
        <v>.</v>
      </c>
      <c r="E1789" s="13" t="str">
        <f>IFERROR(IF(AND(B1789&lt;&gt;"",C1789&lt;&gt;""),SUMIFS(Movimentos!$F$4:$F$9996,Movimentos!$D$4:$D$9996,B1789,Movimentos!$C$4:$C$9996,"Entrada")-SUMIFS(Movimentos!$F$4:$F$9996,Movimentos!$D$4:$D$9996,B1789,Movimentos!$C$4:$C$9996,"Saída"),""),"")</f>
        <v/>
      </c>
      <c r="F1789" s="10" t="str">
        <f t="shared" si="58"/>
        <v/>
      </c>
    </row>
    <row r="1790" spans="1:6" x14ac:dyDescent="0.3">
      <c r="A1790" s="15" t="str">
        <f t="shared" si="57"/>
        <v>.</v>
      </c>
      <c r="E1790" s="13" t="str">
        <f>IFERROR(IF(AND(B1790&lt;&gt;"",C1790&lt;&gt;""),SUMIFS(Movimentos!$F$4:$F$9996,Movimentos!$D$4:$D$9996,B1790,Movimentos!$C$4:$C$9996,"Entrada")-SUMIFS(Movimentos!$F$4:$F$9996,Movimentos!$D$4:$D$9996,B1790,Movimentos!$C$4:$C$9996,"Saída"),""),"")</f>
        <v/>
      </c>
      <c r="F1790" s="10" t="str">
        <f t="shared" si="58"/>
        <v/>
      </c>
    </row>
    <row r="1791" spans="1:6" x14ac:dyDescent="0.3">
      <c r="A1791" s="15" t="str">
        <f t="shared" si="57"/>
        <v>.</v>
      </c>
      <c r="E1791" s="13" t="str">
        <f>IFERROR(IF(AND(B1791&lt;&gt;"",C1791&lt;&gt;""),SUMIFS(Movimentos!$F$4:$F$9996,Movimentos!$D$4:$D$9996,B1791,Movimentos!$C$4:$C$9996,"Entrada")-SUMIFS(Movimentos!$F$4:$F$9996,Movimentos!$D$4:$D$9996,B1791,Movimentos!$C$4:$C$9996,"Saída"),""),"")</f>
        <v/>
      </c>
      <c r="F1791" s="10" t="str">
        <f t="shared" si="58"/>
        <v/>
      </c>
    </row>
    <row r="1792" spans="1:6" x14ac:dyDescent="0.3">
      <c r="A1792" s="15" t="str">
        <f t="shared" ref="A1792:A1855" si="59">IF(F1792="Saldo zerado",0,IF(F1792="Saldo abaixo do mínimo",1,IF(F1792="Saldo disponível",2,".")))</f>
        <v>.</v>
      </c>
      <c r="E1792" s="13" t="str">
        <f>IFERROR(IF(AND(B1792&lt;&gt;"",C1792&lt;&gt;""),SUMIFS(Movimentos!$F$4:$F$9996,Movimentos!$D$4:$D$9996,B1792,Movimentos!$C$4:$C$9996,"Entrada")-SUMIFS(Movimentos!$F$4:$F$9996,Movimentos!$D$4:$D$9996,B1792,Movimentos!$C$4:$C$9996,"Saída"),""),"")</f>
        <v/>
      </c>
      <c r="F1792" s="10" t="str">
        <f t="shared" si="58"/>
        <v/>
      </c>
    </row>
    <row r="1793" spans="1:6" x14ac:dyDescent="0.3">
      <c r="A1793" s="15" t="str">
        <f t="shared" si="59"/>
        <v>.</v>
      </c>
      <c r="E1793" s="13" t="str">
        <f>IFERROR(IF(AND(B1793&lt;&gt;"",C1793&lt;&gt;""),SUMIFS(Movimentos!$F$4:$F$9996,Movimentos!$D$4:$D$9996,B1793,Movimentos!$C$4:$C$9996,"Entrada")-SUMIFS(Movimentos!$F$4:$F$9996,Movimentos!$D$4:$D$9996,B1793,Movimentos!$C$4:$C$9996,"Saída"),""),"")</f>
        <v/>
      </c>
      <c r="F1793" s="10" t="str">
        <f t="shared" si="58"/>
        <v/>
      </c>
    </row>
    <row r="1794" spans="1:6" x14ac:dyDescent="0.3">
      <c r="A1794" s="15" t="str">
        <f t="shared" si="59"/>
        <v>.</v>
      </c>
      <c r="E1794" s="13" t="str">
        <f>IFERROR(IF(AND(B1794&lt;&gt;"",C1794&lt;&gt;""),SUMIFS(Movimentos!$F$4:$F$9996,Movimentos!$D$4:$D$9996,B1794,Movimentos!$C$4:$C$9996,"Entrada")-SUMIFS(Movimentos!$F$4:$F$9996,Movimentos!$D$4:$D$9996,B1794,Movimentos!$C$4:$C$9996,"Saída"),""),"")</f>
        <v/>
      </c>
      <c r="F1794" s="10" t="str">
        <f t="shared" si="58"/>
        <v/>
      </c>
    </row>
    <row r="1795" spans="1:6" x14ac:dyDescent="0.3">
      <c r="A1795" s="15" t="str">
        <f t="shared" si="59"/>
        <v>.</v>
      </c>
      <c r="E1795" s="13" t="str">
        <f>IFERROR(IF(AND(B1795&lt;&gt;"",C1795&lt;&gt;""),SUMIFS(Movimentos!$F$4:$F$9996,Movimentos!$D$4:$D$9996,B1795,Movimentos!$C$4:$C$9996,"Entrada")-SUMIFS(Movimentos!$F$4:$F$9996,Movimentos!$D$4:$D$9996,B1795,Movimentos!$C$4:$C$9996,"Saída"),""),"")</f>
        <v/>
      </c>
      <c r="F1795" s="10" t="str">
        <f t="shared" si="58"/>
        <v/>
      </c>
    </row>
    <row r="1796" spans="1:6" x14ac:dyDescent="0.3">
      <c r="A1796" s="15" t="str">
        <f t="shared" si="59"/>
        <v>.</v>
      </c>
      <c r="E1796" s="13" t="str">
        <f>IFERROR(IF(AND(B1796&lt;&gt;"",C1796&lt;&gt;""),SUMIFS(Movimentos!$F$4:$F$9996,Movimentos!$D$4:$D$9996,B1796,Movimentos!$C$4:$C$9996,"Entrada")-SUMIFS(Movimentos!$F$4:$F$9996,Movimentos!$D$4:$D$9996,B1796,Movimentos!$C$4:$C$9996,"Saída"),""),"")</f>
        <v/>
      </c>
      <c r="F1796" s="10" t="str">
        <f t="shared" si="58"/>
        <v/>
      </c>
    </row>
    <row r="1797" spans="1:6" x14ac:dyDescent="0.3">
      <c r="A1797" s="15" t="str">
        <f t="shared" si="59"/>
        <v>.</v>
      </c>
      <c r="E1797" s="13" t="str">
        <f>IFERROR(IF(AND(B1797&lt;&gt;"",C1797&lt;&gt;""),SUMIFS(Movimentos!$F$4:$F$9996,Movimentos!$D$4:$D$9996,B1797,Movimentos!$C$4:$C$9996,"Entrada")-SUMIFS(Movimentos!$F$4:$F$9996,Movimentos!$D$4:$D$9996,B1797,Movimentos!$C$4:$C$9996,"Saída"),""),"")</f>
        <v/>
      </c>
      <c r="F1797" s="10" t="str">
        <f t="shared" si="58"/>
        <v/>
      </c>
    </row>
    <row r="1798" spans="1:6" x14ac:dyDescent="0.3">
      <c r="A1798" s="15" t="str">
        <f t="shared" si="59"/>
        <v>.</v>
      </c>
      <c r="E1798" s="13" t="str">
        <f>IFERROR(IF(AND(B1798&lt;&gt;"",C1798&lt;&gt;""),SUMIFS(Movimentos!$F$4:$F$9996,Movimentos!$D$4:$D$9996,B1798,Movimentos!$C$4:$C$9996,"Entrada")-SUMIFS(Movimentos!$F$4:$F$9996,Movimentos!$D$4:$D$9996,B1798,Movimentos!$C$4:$C$9996,"Saída"),""),"")</f>
        <v/>
      </c>
      <c r="F1798" s="10" t="str">
        <f t="shared" si="58"/>
        <v/>
      </c>
    </row>
    <row r="1799" spans="1:6" x14ac:dyDescent="0.3">
      <c r="A1799" s="15" t="str">
        <f t="shared" si="59"/>
        <v>.</v>
      </c>
      <c r="E1799" s="13" t="str">
        <f>IFERROR(IF(AND(B1799&lt;&gt;"",C1799&lt;&gt;""),SUMIFS(Movimentos!$F$4:$F$9996,Movimentos!$D$4:$D$9996,B1799,Movimentos!$C$4:$C$9996,"Entrada")-SUMIFS(Movimentos!$F$4:$F$9996,Movimentos!$D$4:$D$9996,B1799,Movimentos!$C$4:$C$9996,"Saída"),""),"")</f>
        <v/>
      </c>
      <c r="F1799" s="10" t="str">
        <f t="shared" si="58"/>
        <v/>
      </c>
    </row>
    <row r="1800" spans="1:6" x14ac:dyDescent="0.3">
      <c r="A1800" s="15" t="str">
        <f t="shared" si="59"/>
        <v>.</v>
      </c>
      <c r="E1800" s="13" t="str">
        <f>IFERROR(IF(AND(B1800&lt;&gt;"",C1800&lt;&gt;""),SUMIFS(Movimentos!$F$4:$F$9996,Movimentos!$D$4:$D$9996,B1800,Movimentos!$C$4:$C$9996,"Entrada")-SUMIFS(Movimentos!$F$4:$F$9996,Movimentos!$D$4:$D$9996,B1800,Movimentos!$C$4:$C$9996,"Saída"),""),"")</f>
        <v/>
      </c>
      <c r="F1800" s="10" t="str">
        <f t="shared" si="58"/>
        <v/>
      </c>
    </row>
    <row r="1801" spans="1:6" x14ac:dyDescent="0.3">
      <c r="A1801" s="15" t="str">
        <f t="shared" si="59"/>
        <v>.</v>
      </c>
      <c r="E1801" s="13" t="str">
        <f>IFERROR(IF(AND(B1801&lt;&gt;"",C1801&lt;&gt;""),SUMIFS(Movimentos!$F$4:$F$9996,Movimentos!$D$4:$D$9996,B1801,Movimentos!$C$4:$C$9996,"Entrada")-SUMIFS(Movimentos!$F$4:$F$9996,Movimentos!$D$4:$D$9996,B1801,Movimentos!$C$4:$C$9996,"Saída"),""),"")</f>
        <v/>
      </c>
      <c r="F1801" s="10" t="str">
        <f t="shared" si="58"/>
        <v/>
      </c>
    </row>
    <row r="1802" spans="1:6" x14ac:dyDescent="0.3">
      <c r="A1802" s="15" t="str">
        <f t="shared" si="59"/>
        <v>.</v>
      </c>
      <c r="E1802" s="13" t="str">
        <f>IFERROR(IF(AND(B1802&lt;&gt;"",C1802&lt;&gt;""),SUMIFS(Movimentos!$F$4:$F$9996,Movimentos!$D$4:$D$9996,B1802,Movimentos!$C$4:$C$9996,"Entrada")-SUMIFS(Movimentos!$F$4:$F$9996,Movimentos!$D$4:$D$9996,B1802,Movimentos!$C$4:$C$9996,"Saída"),""),"")</f>
        <v/>
      </c>
      <c r="F1802" s="10" t="str">
        <f t="shared" si="58"/>
        <v/>
      </c>
    </row>
    <row r="1803" spans="1:6" x14ac:dyDescent="0.3">
      <c r="A1803" s="15" t="str">
        <f t="shared" si="59"/>
        <v>.</v>
      </c>
      <c r="E1803" s="13" t="str">
        <f>IFERROR(IF(AND(B1803&lt;&gt;"",C1803&lt;&gt;""),SUMIFS(Movimentos!$F$4:$F$9996,Movimentos!$D$4:$D$9996,B1803,Movimentos!$C$4:$C$9996,"Entrada")-SUMIFS(Movimentos!$F$4:$F$9996,Movimentos!$D$4:$D$9996,B1803,Movimentos!$C$4:$C$9996,"Saída"),""),"")</f>
        <v/>
      </c>
      <c r="F1803" s="10" t="str">
        <f t="shared" si="58"/>
        <v/>
      </c>
    </row>
    <row r="1804" spans="1:6" x14ac:dyDescent="0.3">
      <c r="A1804" s="15" t="str">
        <f t="shared" si="59"/>
        <v>.</v>
      </c>
      <c r="E1804" s="13" t="str">
        <f>IFERROR(IF(AND(B1804&lt;&gt;"",C1804&lt;&gt;""),SUMIFS(Movimentos!$F$4:$F$9996,Movimentos!$D$4:$D$9996,B1804,Movimentos!$C$4:$C$9996,"Entrada")-SUMIFS(Movimentos!$F$4:$F$9996,Movimentos!$D$4:$D$9996,B1804,Movimentos!$C$4:$C$9996,"Saída"),""),"")</f>
        <v/>
      </c>
      <c r="F1804" s="10" t="str">
        <f t="shared" si="58"/>
        <v/>
      </c>
    </row>
    <row r="1805" spans="1:6" x14ac:dyDescent="0.3">
      <c r="A1805" s="15" t="str">
        <f t="shared" si="59"/>
        <v>.</v>
      </c>
      <c r="E1805" s="13" t="str">
        <f>IFERROR(IF(AND(B1805&lt;&gt;"",C1805&lt;&gt;""),SUMIFS(Movimentos!$F$4:$F$9996,Movimentos!$D$4:$D$9996,B1805,Movimentos!$C$4:$C$9996,"Entrada")-SUMIFS(Movimentos!$F$4:$F$9996,Movimentos!$D$4:$D$9996,B1805,Movimentos!$C$4:$C$9996,"Saída"),""),"")</f>
        <v/>
      </c>
      <c r="F1805" s="10" t="str">
        <f t="shared" si="58"/>
        <v/>
      </c>
    </row>
    <row r="1806" spans="1:6" x14ac:dyDescent="0.3">
      <c r="A1806" s="15" t="str">
        <f t="shared" si="59"/>
        <v>.</v>
      </c>
      <c r="E1806" s="13" t="str">
        <f>IFERROR(IF(AND(B1806&lt;&gt;"",C1806&lt;&gt;""),SUMIFS(Movimentos!$F$4:$F$9996,Movimentos!$D$4:$D$9996,B1806,Movimentos!$C$4:$C$9996,"Entrada")-SUMIFS(Movimentos!$F$4:$F$9996,Movimentos!$D$4:$D$9996,B1806,Movimentos!$C$4:$C$9996,"Saída"),""),"")</f>
        <v/>
      </c>
      <c r="F1806" s="10" t="str">
        <f t="shared" si="58"/>
        <v/>
      </c>
    </row>
    <row r="1807" spans="1:6" x14ac:dyDescent="0.3">
      <c r="A1807" s="15" t="str">
        <f t="shared" si="59"/>
        <v>.</v>
      </c>
      <c r="E1807" s="13" t="str">
        <f>IFERROR(IF(AND(B1807&lt;&gt;"",C1807&lt;&gt;""),SUMIFS(Movimentos!$F$4:$F$9996,Movimentos!$D$4:$D$9996,B1807,Movimentos!$C$4:$C$9996,"Entrada")-SUMIFS(Movimentos!$F$4:$F$9996,Movimentos!$D$4:$D$9996,B1807,Movimentos!$C$4:$C$9996,"Saída"),""),"")</f>
        <v/>
      </c>
      <c r="F1807" s="10" t="str">
        <f t="shared" si="58"/>
        <v/>
      </c>
    </row>
    <row r="1808" spans="1:6" x14ac:dyDescent="0.3">
      <c r="A1808" s="15" t="str">
        <f t="shared" si="59"/>
        <v>.</v>
      </c>
      <c r="E1808" s="13" t="str">
        <f>IFERROR(IF(AND(B1808&lt;&gt;"",C1808&lt;&gt;""),SUMIFS(Movimentos!$F$4:$F$9996,Movimentos!$D$4:$D$9996,B1808,Movimentos!$C$4:$C$9996,"Entrada")-SUMIFS(Movimentos!$F$4:$F$9996,Movimentos!$D$4:$D$9996,B1808,Movimentos!$C$4:$C$9996,"Saída"),""),"")</f>
        <v/>
      </c>
      <c r="F1808" s="10" t="str">
        <f t="shared" si="58"/>
        <v/>
      </c>
    </row>
    <row r="1809" spans="1:6" x14ac:dyDescent="0.3">
      <c r="A1809" s="15" t="str">
        <f t="shared" si="59"/>
        <v>.</v>
      </c>
      <c r="E1809" s="13" t="str">
        <f>IFERROR(IF(AND(B1809&lt;&gt;"",C1809&lt;&gt;""),SUMIFS(Movimentos!$F$4:$F$9996,Movimentos!$D$4:$D$9996,B1809,Movimentos!$C$4:$C$9996,"Entrada")-SUMIFS(Movimentos!$F$4:$F$9996,Movimentos!$D$4:$D$9996,B1809,Movimentos!$C$4:$C$9996,"Saída"),""),"")</f>
        <v/>
      </c>
      <c r="F1809" s="10" t="str">
        <f t="shared" si="58"/>
        <v/>
      </c>
    </row>
    <row r="1810" spans="1:6" x14ac:dyDescent="0.3">
      <c r="A1810" s="15" t="str">
        <f t="shared" si="59"/>
        <v>.</v>
      </c>
      <c r="E1810" s="13" t="str">
        <f>IFERROR(IF(AND(B1810&lt;&gt;"",C1810&lt;&gt;""),SUMIFS(Movimentos!$F$4:$F$9996,Movimentos!$D$4:$D$9996,B1810,Movimentos!$C$4:$C$9996,"Entrada")-SUMIFS(Movimentos!$F$4:$F$9996,Movimentos!$D$4:$D$9996,B1810,Movimentos!$C$4:$C$9996,"Saída"),""),"")</f>
        <v/>
      </c>
      <c r="F1810" s="10" t="str">
        <f t="shared" si="58"/>
        <v/>
      </c>
    </row>
    <row r="1811" spans="1:6" x14ac:dyDescent="0.3">
      <c r="A1811" s="15" t="str">
        <f t="shared" si="59"/>
        <v>.</v>
      </c>
      <c r="E1811" s="13" t="str">
        <f>IFERROR(IF(AND(B1811&lt;&gt;"",C1811&lt;&gt;""),SUMIFS(Movimentos!$F$4:$F$9996,Movimentos!$D$4:$D$9996,B1811,Movimentos!$C$4:$C$9996,"Entrada")-SUMIFS(Movimentos!$F$4:$F$9996,Movimentos!$D$4:$D$9996,B1811,Movimentos!$C$4:$C$9996,"Saída"),""),"")</f>
        <v/>
      </c>
      <c r="F1811" s="10" t="str">
        <f t="shared" si="58"/>
        <v/>
      </c>
    </row>
    <row r="1812" spans="1:6" x14ac:dyDescent="0.3">
      <c r="A1812" s="15" t="str">
        <f t="shared" si="59"/>
        <v>.</v>
      </c>
      <c r="E1812" s="13" t="str">
        <f>IFERROR(IF(AND(B1812&lt;&gt;"",C1812&lt;&gt;""),SUMIFS(Movimentos!$F$4:$F$9996,Movimentos!$D$4:$D$9996,B1812,Movimentos!$C$4:$C$9996,"Entrada")-SUMIFS(Movimentos!$F$4:$F$9996,Movimentos!$D$4:$D$9996,B1812,Movimentos!$C$4:$C$9996,"Saída"),""),"")</f>
        <v/>
      </c>
      <c r="F1812" s="10" t="str">
        <f t="shared" si="58"/>
        <v/>
      </c>
    </row>
    <row r="1813" spans="1:6" x14ac:dyDescent="0.3">
      <c r="A1813" s="15" t="str">
        <f t="shared" si="59"/>
        <v>.</v>
      </c>
      <c r="E1813" s="13" t="str">
        <f>IFERROR(IF(AND(B1813&lt;&gt;"",C1813&lt;&gt;""),SUMIFS(Movimentos!$F$4:$F$9996,Movimentos!$D$4:$D$9996,B1813,Movimentos!$C$4:$C$9996,"Entrada")-SUMIFS(Movimentos!$F$4:$F$9996,Movimentos!$D$4:$D$9996,B1813,Movimentos!$C$4:$C$9996,"Saída"),""),"")</f>
        <v/>
      </c>
      <c r="F1813" s="10" t="str">
        <f t="shared" si="58"/>
        <v/>
      </c>
    </row>
    <row r="1814" spans="1:6" x14ac:dyDescent="0.3">
      <c r="A1814" s="15" t="str">
        <f t="shared" si="59"/>
        <v>.</v>
      </c>
      <c r="E1814" s="13" t="str">
        <f>IFERROR(IF(AND(B1814&lt;&gt;"",C1814&lt;&gt;""),SUMIFS(Movimentos!$F$4:$F$9996,Movimentos!$D$4:$D$9996,B1814,Movimentos!$C$4:$C$9996,"Entrada")-SUMIFS(Movimentos!$F$4:$F$9996,Movimentos!$D$4:$D$9996,B1814,Movimentos!$C$4:$C$9996,"Saída"),""),"")</f>
        <v/>
      </c>
      <c r="F1814" s="10" t="str">
        <f t="shared" si="58"/>
        <v/>
      </c>
    </row>
    <row r="1815" spans="1:6" x14ac:dyDescent="0.3">
      <c r="A1815" s="15" t="str">
        <f t="shared" si="59"/>
        <v>.</v>
      </c>
      <c r="E1815" s="13" t="str">
        <f>IFERROR(IF(AND(B1815&lt;&gt;"",C1815&lt;&gt;""),SUMIFS(Movimentos!$F$4:$F$9996,Movimentos!$D$4:$D$9996,B1815,Movimentos!$C$4:$C$9996,"Entrada")-SUMIFS(Movimentos!$F$4:$F$9996,Movimentos!$D$4:$D$9996,B1815,Movimentos!$C$4:$C$9996,"Saída"),""),"")</f>
        <v/>
      </c>
      <c r="F1815" s="10" t="str">
        <f t="shared" ref="F1815:F1878" si="60">IF(AND(B1815&lt;&gt;"",C1815&lt;&gt;""),IF(E1815=0,"Saldo zerado",IF(E1815&lt;D1815,"Saldo abaixo do mínimo","Saldo disponível")),"")</f>
        <v/>
      </c>
    </row>
    <row r="1816" spans="1:6" x14ac:dyDescent="0.3">
      <c r="A1816" s="15" t="str">
        <f t="shared" si="59"/>
        <v>.</v>
      </c>
      <c r="E1816" s="13" t="str">
        <f>IFERROR(IF(AND(B1816&lt;&gt;"",C1816&lt;&gt;""),SUMIFS(Movimentos!$F$4:$F$9996,Movimentos!$D$4:$D$9996,B1816,Movimentos!$C$4:$C$9996,"Entrada")-SUMIFS(Movimentos!$F$4:$F$9996,Movimentos!$D$4:$D$9996,B1816,Movimentos!$C$4:$C$9996,"Saída"),""),"")</f>
        <v/>
      </c>
      <c r="F1816" s="10" t="str">
        <f t="shared" si="60"/>
        <v/>
      </c>
    </row>
    <row r="1817" spans="1:6" x14ac:dyDescent="0.3">
      <c r="A1817" s="15" t="str">
        <f t="shared" si="59"/>
        <v>.</v>
      </c>
      <c r="E1817" s="13" t="str">
        <f>IFERROR(IF(AND(B1817&lt;&gt;"",C1817&lt;&gt;""),SUMIFS(Movimentos!$F$4:$F$9996,Movimentos!$D$4:$D$9996,B1817,Movimentos!$C$4:$C$9996,"Entrada")-SUMIFS(Movimentos!$F$4:$F$9996,Movimentos!$D$4:$D$9996,B1817,Movimentos!$C$4:$C$9996,"Saída"),""),"")</f>
        <v/>
      </c>
      <c r="F1817" s="10" t="str">
        <f t="shared" si="60"/>
        <v/>
      </c>
    </row>
    <row r="1818" spans="1:6" x14ac:dyDescent="0.3">
      <c r="A1818" s="15" t="str">
        <f t="shared" si="59"/>
        <v>.</v>
      </c>
      <c r="E1818" s="13" t="str">
        <f>IFERROR(IF(AND(B1818&lt;&gt;"",C1818&lt;&gt;""),SUMIFS(Movimentos!$F$4:$F$9996,Movimentos!$D$4:$D$9996,B1818,Movimentos!$C$4:$C$9996,"Entrada")-SUMIFS(Movimentos!$F$4:$F$9996,Movimentos!$D$4:$D$9996,B1818,Movimentos!$C$4:$C$9996,"Saída"),""),"")</f>
        <v/>
      </c>
      <c r="F1818" s="10" t="str">
        <f t="shared" si="60"/>
        <v/>
      </c>
    </row>
    <row r="1819" spans="1:6" x14ac:dyDescent="0.3">
      <c r="A1819" s="15" t="str">
        <f t="shared" si="59"/>
        <v>.</v>
      </c>
      <c r="E1819" s="13" t="str">
        <f>IFERROR(IF(AND(B1819&lt;&gt;"",C1819&lt;&gt;""),SUMIFS(Movimentos!$F$4:$F$9996,Movimentos!$D$4:$D$9996,B1819,Movimentos!$C$4:$C$9996,"Entrada")-SUMIFS(Movimentos!$F$4:$F$9996,Movimentos!$D$4:$D$9996,B1819,Movimentos!$C$4:$C$9996,"Saída"),""),"")</f>
        <v/>
      </c>
      <c r="F1819" s="10" t="str">
        <f t="shared" si="60"/>
        <v/>
      </c>
    </row>
    <row r="1820" spans="1:6" x14ac:dyDescent="0.3">
      <c r="A1820" s="15" t="str">
        <f t="shared" si="59"/>
        <v>.</v>
      </c>
      <c r="E1820" s="13" t="str">
        <f>IFERROR(IF(AND(B1820&lt;&gt;"",C1820&lt;&gt;""),SUMIFS(Movimentos!$F$4:$F$9996,Movimentos!$D$4:$D$9996,B1820,Movimentos!$C$4:$C$9996,"Entrada")-SUMIFS(Movimentos!$F$4:$F$9996,Movimentos!$D$4:$D$9996,B1820,Movimentos!$C$4:$C$9996,"Saída"),""),"")</f>
        <v/>
      </c>
      <c r="F1820" s="10" t="str">
        <f t="shared" si="60"/>
        <v/>
      </c>
    </row>
    <row r="1821" spans="1:6" x14ac:dyDescent="0.3">
      <c r="A1821" s="15" t="str">
        <f t="shared" si="59"/>
        <v>.</v>
      </c>
      <c r="E1821" s="13" t="str">
        <f>IFERROR(IF(AND(B1821&lt;&gt;"",C1821&lt;&gt;""),SUMIFS(Movimentos!$F$4:$F$9996,Movimentos!$D$4:$D$9996,B1821,Movimentos!$C$4:$C$9996,"Entrada")-SUMIFS(Movimentos!$F$4:$F$9996,Movimentos!$D$4:$D$9996,B1821,Movimentos!$C$4:$C$9996,"Saída"),""),"")</f>
        <v/>
      </c>
      <c r="F1821" s="10" t="str">
        <f t="shared" si="60"/>
        <v/>
      </c>
    </row>
    <row r="1822" spans="1:6" x14ac:dyDescent="0.3">
      <c r="A1822" s="15" t="str">
        <f t="shared" si="59"/>
        <v>.</v>
      </c>
      <c r="E1822" s="13" t="str">
        <f>IFERROR(IF(AND(B1822&lt;&gt;"",C1822&lt;&gt;""),SUMIFS(Movimentos!$F$4:$F$9996,Movimentos!$D$4:$D$9996,B1822,Movimentos!$C$4:$C$9996,"Entrada")-SUMIFS(Movimentos!$F$4:$F$9996,Movimentos!$D$4:$D$9996,B1822,Movimentos!$C$4:$C$9996,"Saída"),""),"")</f>
        <v/>
      </c>
      <c r="F1822" s="10" t="str">
        <f t="shared" si="60"/>
        <v/>
      </c>
    </row>
    <row r="1823" spans="1:6" x14ac:dyDescent="0.3">
      <c r="A1823" s="15" t="str">
        <f t="shared" si="59"/>
        <v>.</v>
      </c>
      <c r="E1823" s="13" t="str">
        <f>IFERROR(IF(AND(B1823&lt;&gt;"",C1823&lt;&gt;""),SUMIFS(Movimentos!$F$4:$F$9996,Movimentos!$D$4:$D$9996,B1823,Movimentos!$C$4:$C$9996,"Entrada")-SUMIFS(Movimentos!$F$4:$F$9996,Movimentos!$D$4:$D$9996,B1823,Movimentos!$C$4:$C$9996,"Saída"),""),"")</f>
        <v/>
      </c>
      <c r="F1823" s="10" t="str">
        <f t="shared" si="60"/>
        <v/>
      </c>
    </row>
    <row r="1824" spans="1:6" x14ac:dyDescent="0.3">
      <c r="A1824" s="15" t="str">
        <f t="shared" si="59"/>
        <v>.</v>
      </c>
      <c r="E1824" s="13" t="str">
        <f>IFERROR(IF(AND(B1824&lt;&gt;"",C1824&lt;&gt;""),SUMIFS(Movimentos!$F$4:$F$9996,Movimentos!$D$4:$D$9996,B1824,Movimentos!$C$4:$C$9996,"Entrada")-SUMIFS(Movimentos!$F$4:$F$9996,Movimentos!$D$4:$D$9996,B1824,Movimentos!$C$4:$C$9996,"Saída"),""),"")</f>
        <v/>
      </c>
      <c r="F1824" s="10" t="str">
        <f t="shared" si="60"/>
        <v/>
      </c>
    </row>
    <row r="1825" spans="1:6" x14ac:dyDescent="0.3">
      <c r="A1825" s="15" t="str">
        <f t="shared" si="59"/>
        <v>.</v>
      </c>
      <c r="E1825" s="13" t="str">
        <f>IFERROR(IF(AND(B1825&lt;&gt;"",C1825&lt;&gt;""),SUMIFS(Movimentos!$F$4:$F$9996,Movimentos!$D$4:$D$9996,B1825,Movimentos!$C$4:$C$9996,"Entrada")-SUMIFS(Movimentos!$F$4:$F$9996,Movimentos!$D$4:$D$9996,B1825,Movimentos!$C$4:$C$9996,"Saída"),""),"")</f>
        <v/>
      </c>
      <c r="F1825" s="10" t="str">
        <f t="shared" si="60"/>
        <v/>
      </c>
    </row>
    <row r="1826" spans="1:6" x14ac:dyDescent="0.3">
      <c r="A1826" s="15" t="str">
        <f t="shared" si="59"/>
        <v>.</v>
      </c>
      <c r="E1826" s="13" t="str">
        <f>IFERROR(IF(AND(B1826&lt;&gt;"",C1826&lt;&gt;""),SUMIFS(Movimentos!$F$4:$F$9996,Movimentos!$D$4:$D$9996,B1826,Movimentos!$C$4:$C$9996,"Entrada")-SUMIFS(Movimentos!$F$4:$F$9996,Movimentos!$D$4:$D$9996,B1826,Movimentos!$C$4:$C$9996,"Saída"),""),"")</f>
        <v/>
      </c>
      <c r="F1826" s="10" t="str">
        <f t="shared" si="60"/>
        <v/>
      </c>
    </row>
    <row r="1827" spans="1:6" x14ac:dyDescent="0.3">
      <c r="A1827" s="15" t="str">
        <f t="shared" si="59"/>
        <v>.</v>
      </c>
      <c r="E1827" s="13" t="str">
        <f>IFERROR(IF(AND(B1827&lt;&gt;"",C1827&lt;&gt;""),SUMIFS(Movimentos!$F$4:$F$9996,Movimentos!$D$4:$D$9996,B1827,Movimentos!$C$4:$C$9996,"Entrada")-SUMIFS(Movimentos!$F$4:$F$9996,Movimentos!$D$4:$D$9996,B1827,Movimentos!$C$4:$C$9996,"Saída"),""),"")</f>
        <v/>
      </c>
      <c r="F1827" s="10" t="str">
        <f t="shared" si="60"/>
        <v/>
      </c>
    </row>
    <row r="1828" spans="1:6" x14ac:dyDescent="0.3">
      <c r="A1828" s="15" t="str">
        <f t="shared" si="59"/>
        <v>.</v>
      </c>
      <c r="E1828" s="13" t="str">
        <f>IFERROR(IF(AND(B1828&lt;&gt;"",C1828&lt;&gt;""),SUMIFS(Movimentos!$F$4:$F$9996,Movimentos!$D$4:$D$9996,B1828,Movimentos!$C$4:$C$9996,"Entrada")-SUMIFS(Movimentos!$F$4:$F$9996,Movimentos!$D$4:$D$9996,B1828,Movimentos!$C$4:$C$9996,"Saída"),""),"")</f>
        <v/>
      </c>
      <c r="F1828" s="10" t="str">
        <f t="shared" si="60"/>
        <v/>
      </c>
    </row>
    <row r="1829" spans="1:6" x14ac:dyDescent="0.3">
      <c r="A1829" s="15" t="str">
        <f t="shared" si="59"/>
        <v>.</v>
      </c>
      <c r="E1829" s="13" t="str">
        <f>IFERROR(IF(AND(B1829&lt;&gt;"",C1829&lt;&gt;""),SUMIFS(Movimentos!$F$4:$F$9996,Movimentos!$D$4:$D$9996,B1829,Movimentos!$C$4:$C$9996,"Entrada")-SUMIFS(Movimentos!$F$4:$F$9996,Movimentos!$D$4:$D$9996,B1829,Movimentos!$C$4:$C$9996,"Saída"),""),"")</f>
        <v/>
      </c>
      <c r="F1829" s="10" t="str">
        <f t="shared" si="60"/>
        <v/>
      </c>
    </row>
    <row r="1830" spans="1:6" x14ac:dyDescent="0.3">
      <c r="A1830" s="15" t="str">
        <f t="shared" si="59"/>
        <v>.</v>
      </c>
      <c r="E1830" s="13" t="str">
        <f>IFERROR(IF(AND(B1830&lt;&gt;"",C1830&lt;&gt;""),SUMIFS(Movimentos!$F$4:$F$9996,Movimentos!$D$4:$D$9996,B1830,Movimentos!$C$4:$C$9996,"Entrada")-SUMIFS(Movimentos!$F$4:$F$9996,Movimentos!$D$4:$D$9996,B1830,Movimentos!$C$4:$C$9996,"Saída"),""),"")</f>
        <v/>
      </c>
      <c r="F1830" s="10" t="str">
        <f t="shared" si="60"/>
        <v/>
      </c>
    </row>
    <row r="1831" spans="1:6" x14ac:dyDescent="0.3">
      <c r="A1831" s="15" t="str">
        <f t="shared" si="59"/>
        <v>.</v>
      </c>
      <c r="E1831" s="13" t="str">
        <f>IFERROR(IF(AND(B1831&lt;&gt;"",C1831&lt;&gt;""),SUMIFS(Movimentos!$F$4:$F$9996,Movimentos!$D$4:$D$9996,B1831,Movimentos!$C$4:$C$9996,"Entrada")-SUMIFS(Movimentos!$F$4:$F$9996,Movimentos!$D$4:$D$9996,B1831,Movimentos!$C$4:$C$9996,"Saída"),""),"")</f>
        <v/>
      </c>
      <c r="F1831" s="10" t="str">
        <f t="shared" si="60"/>
        <v/>
      </c>
    </row>
    <row r="1832" spans="1:6" x14ac:dyDescent="0.3">
      <c r="A1832" s="15" t="str">
        <f t="shared" si="59"/>
        <v>.</v>
      </c>
      <c r="E1832" s="13" t="str">
        <f>IFERROR(IF(AND(B1832&lt;&gt;"",C1832&lt;&gt;""),SUMIFS(Movimentos!$F$4:$F$9996,Movimentos!$D$4:$D$9996,B1832,Movimentos!$C$4:$C$9996,"Entrada")-SUMIFS(Movimentos!$F$4:$F$9996,Movimentos!$D$4:$D$9996,B1832,Movimentos!$C$4:$C$9996,"Saída"),""),"")</f>
        <v/>
      </c>
      <c r="F1832" s="10" t="str">
        <f t="shared" si="60"/>
        <v/>
      </c>
    </row>
    <row r="1833" spans="1:6" x14ac:dyDescent="0.3">
      <c r="A1833" s="15" t="str">
        <f t="shared" si="59"/>
        <v>.</v>
      </c>
      <c r="E1833" s="13" t="str">
        <f>IFERROR(IF(AND(B1833&lt;&gt;"",C1833&lt;&gt;""),SUMIFS(Movimentos!$F$4:$F$9996,Movimentos!$D$4:$D$9996,B1833,Movimentos!$C$4:$C$9996,"Entrada")-SUMIFS(Movimentos!$F$4:$F$9996,Movimentos!$D$4:$D$9996,B1833,Movimentos!$C$4:$C$9996,"Saída"),""),"")</f>
        <v/>
      </c>
      <c r="F1833" s="10" t="str">
        <f t="shared" si="60"/>
        <v/>
      </c>
    </row>
    <row r="1834" spans="1:6" x14ac:dyDescent="0.3">
      <c r="A1834" s="15" t="str">
        <f t="shared" si="59"/>
        <v>.</v>
      </c>
      <c r="E1834" s="13" t="str">
        <f>IFERROR(IF(AND(B1834&lt;&gt;"",C1834&lt;&gt;""),SUMIFS(Movimentos!$F$4:$F$9996,Movimentos!$D$4:$D$9996,B1834,Movimentos!$C$4:$C$9996,"Entrada")-SUMIFS(Movimentos!$F$4:$F$9996,Movimentos!$D$4:$D$9996,B1834,Movimentos!$C$4:$C$9996,"Saída"),""),"")</f>
        <v/>
      </c>
      <c r="F1834" s="10" t="str">
        <f t="shared" si="60"/>
        <v/>
      </c>
    </row>
    <row r="1835" spans="1:6" x14ac:dyDescent="0.3">
      <c r="A1835" s="15" t="str">
        <f t="shared" si="59"/>
        <v>.</v>
      </c>
      <c r="E1835" s="13" t="str">
        <f>IFERROR(IF(AND(B1835&lt;&gt;"",C1835&lt;&gt;""),SUMIFS(Movimentos!$F$4:$F$9996,Movimentos!$D$4:$D$9996,B1835,Movimentos!$C$4:$C$9996,"Entrada")-SUMIFS(Movimentos!$F$4:$F$9996,Movimentos!$D$4:$D$9996,B1835,Movimentos!$C$4:$C$9996,"Saída"),""),"")</f>
        <v/>
      </c>
      <c r="F1835" s="10" t="str">
        <f t="shared" si="60"/>
        <v/>
      </c>
    </row>
    <row r="1836" spans="1:6" x14ac:dyDescent="0.3">
      <c r="A1836" s="15" t="str">
        <f t="shared" si="59"/>
        <v>.</v>
      </c>
      <c r="E1836" s="13" t="str">
        <f>IFERROR(IF(AND(B1836&lt;&gt;"",C1836&lt;&gt;""),SUMIFS(Movimentos!$F$4:$F$9996,Movimentos!$D$4:$D$9996,B1836,Movimentos!$C$4:$C$9996,"Entrada")-SUMIFS(Movimentos!$F$4:$F$9996,Movimentos!$D$4:$D$9996,B1836,Movimentos!$C$4:$C$9996,"Saída"),""),"")</f>
        <v/>
      </c>
      <c r="F1836" s="10" t="str">
        <f t="shared" si="60"/>
        <v/>
      </c>
    </row>
    <row r="1837" spans="1:6" x14ac:dyDescent="0.3">
      <c r="A1837" s="15" t="str">
        <f t="shared" si="59"/>
        <v>.</v>
      </c>
      <c r="E1837" s="13" t="str">
        <f>IFERROR(IF(AND(B1837&lt;&gt;"",C1837&lt;&gt;""),SUMIFS(Movimentos!$F$4:$F$9996,Movimentos!$D$4:$D$9996,B1837,Movimentos!$C$4:$C$9996,"Entrada")-SUMIFS(Movimentos!$F$4:$F$9996,Movimentos!$D$4:$D$9996,B1837,Movimentos!$C$4:$C$9996,"Saída"),""),"")</f>
        <v/>
      </c>
      <c r="F1837" s="10" t="str">
        <f t="shared" si="60"/>
        <v/>
      </c>
    </row>
    <row r="1838" spans="1:6" x14ac:dyDescent="0.3">
      <c r="A1838" s="15" t="str">
        <f t="shared" si="59"/>
        <v>.</v>
      </c>
      <c r="E1838" s="13" t="str">
        <f>IFERROR(IF(AND(B1838&lt;&gt;"",C1838&lt;&gt;""),SUMIFS(Movimentos!$F$4:$F$9996,Movimentos!$D$4:$D$9996,B1838,Movimentos!$C$4:$C$9996,"Entrada")-SUMIFS(Movimentos!$F$4:$F$9996,Movimentos!$D$4:$D$9996,B1838,Movimentos!$C$4:$C$9996,"Saída"),""),"")</f>
        <v/>
      </c>
      <c r="F1838" s="10" t="str">
        <f t="shared" si="60"/>
        <v/>
      </c>
    </row>
    <row r="1839" spans="1:6" x14ac:dyDescent="0.3">
      <c r="A1839" s="15" t="str">
        <f t="shared" si="59"/>
        <v>.</v>
      </c>
      <c r="E1839" s="13" t="str">
        <f>IFERROR(IF(AND(B1839&lt;&gt;"",C1839&lt;&gt;""),SUMIFS(Movimentos!$F$4:$F$9996,Movimentos!$D$4:$D$9996,B1839,Movimentos!$C$4:$C$9996,"Entrada")-SUMIFS(Movimentos!$F$4:$F$9996,Movimentos!$D$4:$D$9996,B1839,Movimentos!$C$4:$C$9996,"Saída"),""),"")</f>
        <v/>
      </c>
      <c r="F1839" s="10" t="str">
        <f t="shared" si="60"/>
        <v/>
      </c>
    </row>
    <row r="1840" spans="1:6" x14ac:dyDescent="0.3">
      <c r="A1840" s="15" t="str">
        <f t="shared" si="59"/>
        <v>.</v>
      </c>
      <c r="E1840" s="13" t="str">
        <f>IFERROR(IF(AND(B1840&lt;&gt;"",C1840&lt;&gt;""),SUMIFS(Movimentos!$F$4:$F$9996,Movimentos!$D$4:$D$9996,B1840,Movimentos!$C$4:$C$9996,"Entrada")-SUMIFS(Movimentos!$F$4:$F$9996,Movimentos!$D$4:$D$9996,B1840,Movimentos!$C$4:$C$9996,"Saída"),""),"")</f>
        <v/>
      </c>
      <c r="F1840" s="10" t="str">
        <f t="shared" si="60"/>
        <v/>
      </c>
    </row>
    <row r="1841" spans="1:6" x14ac:dyDescent="0.3">
      <c r="A1841" s="15" t="str">
        <f t="shared" si="59"/>
        <v>.</v>
      </c>
      <c r="E1841" s="13" t="str">
        <f>IFERROR(IF(AND(B1841&lt;&gt;"",C1841&lt;&gt;""),SUMIFS(Movimentos!$F$4:$F$9996,Movimentos!$D$4:$D$9996,B1841,Movimentos!$C$4:$C$9996,"Entrada")-SUMIFS(Movimentos!$F$4:$F$9996,Movimentos!$D$4:$D$9996,B1841,Movimentos!$C$4:$C$9996,"Saída"),""),"")</f>
        <v/>
      </c>
      <c r="F1841" s="10" t="str">
        <f t="shared" si="60"/>
        <v/>
      </c>
    </row>
    <row r="1842" spans="1:6" x14ac:dyDescent="0.3">
      <c r="A1842" s="15" t="str">
        <f t="shared" si="59"/>
        <v>.</v>
      </c>
      <c r="E1842" s="13" t="str">
        <f>IFERROR(IF(AND(B1842&lt;&gt;"",C1842&lt;&gt;""),SUMIFS(Movimentos!$F$4:$F$9996,Movimentos!$D$4:$D$9996,B1842,Movimentos!$C$4:$C$9996,"Entrada")-SUMIFS(Movimentos!$F$4:$F$9996,Movimentos!$D$4:$D$9996,B1842,Movimentos!$C$4:$C$9996,"Saída"),""),"")</f>
        <v/>
      </c>
      <c r="F1842" s="10" t="str">
        <f t="shared" si="60"/>
        <v/>
      </c>
    </row>
    <row r="1843" spans="1:6" x14ac:dyDescent="0.3">
      <c r="A1843" s="15" t="str">
        <f t="shared" si="59"/>
        <v>.</v>
      </c>
      <c r="E1843" s="13" t="str">
        <f>IFERROR(IF(AND(B1843&lt;&gt;"",C1843&lt;&gt;""),SUMIFS(Movimentos!$F$4:$F$9996,Movimentos!$D$4:$D$9996,B1843,Movimentos!$C$4:$C$9996,"Entrada")-SUMIFS(Movimentos!$F$4:$F$9996,Movimentos!$D$4:$D$9996,B1843,Movimentos!$C$4:$C$9996,"Saída"),""),"")</f>
        <v/>
      </c>
      <c r="F1843" s="10" t="str">
        <f t="shared" si="60"/>
        <v/>
      </c>
    </row>
    <row r="1844" spans="1:6" x14ac:dyDescent="0.3">
      <c r="A1844" s="15" t="str">
        <f t="shared" si="59"/>
        <v>.</v>
      </c>
      <c r="E1844" s="13" t="str">
        <f>IFERROR(IF(AND(B1844&lt;&gt;"",C1844&lt;&gt;""),SUMIFS(Movimentos!$F$4:$F$9996,Movimentos!$D$4:$D$9996,B1844,Movimentos!$C$4:$C$9996,"Entrada")-SUMIFS(Movimentos!$F$4:$F$9996,Movimentos!$D$4:$D$9996,B1844,Movimentos!$C$4:$C$9996,"Saída"),""),"")</f>
        <v/>
      </c>
      <c r="F1844" s="10" t="str">
        <f t="shared" si="60"/>
        <v/>
      </c>
    </row>
    <row r="1845" spans="1:6" x14ac:dyDescent="0.3">
      <c r="A1845" s="15" t="str">
        <f t="shared" si="59"/>
        <v>.</v>
      </c>
      <c r="E1845" s="13" t="str">
        <f>IFERROR(IF(AND(B1845&lt;&gt;"",C1845&lt;&gt;""),SUMIFS(Movimentos!$F$4:$F$9996,Movimentos!$D$4:$D$9996,B1845,Movimentos!$C$4:$C$9996,"Entrada")-SUMIFS(Movimentos!$F$4:$F$9996,Movimentos!$D$4:$D$9996,B1845,Movimentos!$C$4:$C$9996,"Saída"),""),"")</f>
        <v/>
      </c>
      <c r="F1845" s="10" t="str">
        <f t="shared" si="60"/>
        <v/>
      </c>
    </row>
    <row r="1846" spans="1:6" x14ac:dyDescent="0.3">
      <c r="A1846" s="15" t="str">
        <f t="shared" si="59"/>
        <v>.</v>
      </c>
      <c r="E1846" s="13" t="str">
        <f>IFERROR(IF(AND(B1846&lt;&gt;"",C1846&lt;&gt;""),SUMIFS(Movimentos!$F$4:$F$9996,Movimentos!$D$4:$D$9996,B1846,Movimentos!$C$4:$C$9996,"Entrada")-SUMIFS(Movimentos!$F$4:$F$9996,Movimentos!$D$4:$D$9996,B1846,Movimentos!$C$4:$C$9996,"Saída"),""),"")</f>
        <v/>
      </c>
      <c r="F1846" s="10" t="str">
        <f t="shared" si="60"/>
        <v/>
      </c>
    </row>
    <row r="1847" spans="1:6" x14ac:dyDescent="0.3">
      <c r="A1847" s="15" t="str">
        <f t="shared" si="59"/>
        <v>.</v>
      </c>
      <c r="E1847" s="13" t="str">
        <f>IFERROR(IF(AND(B1847&lt;&gt;"",C1847&lt;&gt;""),SUMIFS(Movimentos!$F$4:$F$9996,Movimentos!$D$4:$D$9996,B1847,Movimentos!$C$4:$C$9996,"Entrada")-SUMIFS(Movimentos!$F$4:$F$9996,Movimentos!$D$4:$D$9996,B1847,Movimentos!$C$4:$C$9996,"Saída"),""),"")</f>
        <v/>
      </c>
      <c r="F1847" s="10" t="str">
        <f t="shared" si="60"/>
        <v/>
      </c>
    </row>
    <row r="1848" spans="1:6" x14ac:dyDescent="0.3">
      <c r="A1848" s="15" t="str">
        <f t="shared" si="59"/>
        <v>.</v>
      </c>
      <c r="E1848" s="13" t="str">
        <f>IFERROR(IF(AND(B1848&lt;&gt;"",C1848&lt;&gt;""),SUMIFS(Movimentos!$F$4:$F$9996,Movimentos!$D$4:$D$9996,B1848,Movimentos!$C$4:$C$9996,"Entrada")-SUMIFS(Movimentos!$F$4:$F$9996,Movimentos!$D$4:$D$9996,B1848,Movimentos!$C$4:$C$9996,"Saída"),""),"")</f>
        <v/>
      </c>
      <c r="F1848" s="10" t="str">
        <f t="shared" si="60"/>
        <v/>
      </c>
    </row>
    <row r="1849" spans="1:6" x14ac:dyDescent="0.3">
      <c r="A1849" s="15" t="str">
        <f t="shared" si="59"/>
        <v>.</v>
      </c>
      <c r="E1849" s="13" t="str">
        <f>IFERROR(IF(AND(B1849&lt;&gt;"",C1849&lt;&gt;""),SUMIFS(Movimentos!$F$4:$F$9996,Movimentos!$D$4:$D$9996,B1849,Movimentos!$C$4:$C$9996,"Entrada")-SUMIFS(Movimentos!$F$4:$F$9996,Movimentos!$D$4:$D$9996,B1849,Movimentos!$C$4:$C$9996,"Saída"),""),"")</f>
        <v/>
      </c>
      <c r="F1849" s="10" t="str">
        <f t="shared" si="60"/>
        <v/>
      </c>
    </row>
    <row r="1850" spans="1:6" x14ac:dyDescent="0.3">
      <c r="A1850" s="15" t="str">
        <f t="shared" si="59"/>
        <v>.</v>
      </c>
      <c r="E1850" s="13" t="str">
        <f>IFERROR(IF(AND(B1850&lt;&gt;"",C1850&lt;&gt;""),SUMIFS(Movimentos!$F$4:$F$9996,Movimentos!$D$4:$D$9996,B1850,Movimentos!$C$4:$C$9996,"Entrada")-SUMIFS(Movimentos!$F$4:$F$9996,Movimentos!$D$4:$D$9996,B1850,Movimentos!$C$4:$C$9996,"Saída"),""),"")</f>
        <v/>
      </c>
      <c r="F1850" s="10" t="str">
        <f t="shared" si="60"/>
        <v/>
      </c>
    </row>
    <row r="1851" spans="1:6" x14ac:dyDescent="0.3">
      <c r="A1851" s="15" t="str">
        <f t="shared" si="59"/>
        <v>.</v>
      </c>
      <c r="E1851" s="13" t="str">
        <f>IFERROR(IF(AND(B1851&lt;&gt;"",C1851&lt;&gt;""),SUMIFS(Movimentos!$F$4:$F$9996,Movimentos!$D$4:$D$9996,B1851,Movimentos!$C$4:$C$9996,"Entrada")-SUMIFS(Movimentos!$F$4:$F$9996,Movimentos!$D$4:$D$9996,B1851,Movimentos!$C$4:$C$9996,"Saída"),""),"")</f>
        <v/>
      </c>
      <c r="F1851" s="10" t="str">
        <f t="shared" si="60"/>
        <v/>
      </c>
    </row>
    <row r="1852" spans="1:6" x14ac:dyDescent="0.3">
      <c r="A1852" s="15" t="str">
        <f t="shared" si="59"/>
        <v>.</v>
      </c>
      <c r="E1852" s="13" t="str">
        <f>IFERROR(IF(AND(B1852&lt;&gt;"",C1852&lt;&gt;""),SUMIFS(Movimentos!$F$4:$F$9996,Movimentos!$D$4:$D$9996,B1852,Movimentos!$C$4:$C$9996,"Entrada")-SUMIFS(Movimentos!$F$4:$F$9996,Movimentos!$D$4:$D$9996,B1852,Movimentos!$C$4:$C$9996,"Saída"),""),"")</f>
        <v/>
      </c>
      <c r="F1852" s="10" t="str">
        <f t="shared" si="60"/>
        <v/>
      </c>
    </row>
    <row r="1853" spans="1:6" x14ac:dyDescent="0.3">
      <c r="A1853" s="15" t="str">
        <f t="shared" si="59"/>
        <v>.</v>
      </c>
      <c r="E1853" s="13" t="str">
        <f>IFERROR(IF(AND(B1853&lt;&gt;"",C1853&lt;&gt;""),SUMIFS(Movimentos!$F$4:$F$9996,Movimentos!$D$4:$D$9996,B1853,Movimentos!$C$4:$C$9996,"Entrada")-SUMIFS(Movimentos!$F$4:$F$9996,Movimentos!$D$4:$D$9996,B1853,Movimentos!$C$4:$C$9996,"Saída"),""),"")</f>
        <v/>
      </c>
      <c r="F1853" s="10" t="str">
        <f t="shared" si="60"/>
        <v/>
      </c>
    </row>
    <row r="1854" spans="1:6" x14ac:dyDescent="0.3">
      <c r="A1854" s="15" t="str">
        <f t="shared" si="59"/>
        <v>.</v>
      </c>
      <c r="E1854" s="13" t="str">
        <f>IFERROR(IF(AND(B1854&lt;&gt;"",C1854&lt;&gt;""),SUMIFS(Movimentos!$F$4:$F$9996,Movimentos!$D$4:$D$9996,B1854,Movimentos!$C$4:$C$9996,"Entrada")-SUMIFS(Movimentos!$F$4:$F$9996,Movimentos!$D$4:$D$9996,B1854,Movimentos!$C$4:$C$9996,"Saída"),""),"")</f>
        <v/>
      </c>
      <c r="F1854" s="10" t="str">
        <f t="shared" si="60"/>
        <v/>
      </c>
    </row>
    <row r="1855" spans="1:6" x14ac:dyDescent="0.3">
      <c r="A1855" s="15" t="str">
        <f t="shared" si="59"/>
        <v>.</v>
      </c>
      <c r="E1855" s="13" t="str">
        <f>IFERROR(IF(AND(B1855&lt;&gt;"",C1855&lt;&gt;""),SUMIFS(Movimentos!$F$4:$F$9996,Movimentos!$D$4:$D$9996,B1855,Movimentos!$C$4:$C$9996,"Entrada")-SUMIFS(Movimentos!$F$4:$F$9996,Movimentos!$D$4:$D$9996,B1855,Movimentos!$C$4:$C$9996,"Saída"),""),"")</f>
        <v/>
      </c>
      <c r="F1855" s="10" t="str">
        <f t="shared" si="60"/>
        <v/>
      </c>
    </row>
    <row r="1856" spans="1:6" x14ac:dyDescent="0.3">
      <c r="A1856" s="15" t="str">
        <f t="shared" ref="A1856:A1919" si="61">IF(F1856="Saldo zerado",0,IF(F1856="Saldo abaixo do mínimo",1,IF(F1856="Saldo disponível",2,".")))</f>
        <v>.</v>
      </c>
      <c r="E1856" s="13" t="str">
        <f>IFERROR(IF(AND(B1856&lt;&gt;"",C1856&lt;&gt;""),SUMIFS(Movimentos!$F$4:$F$9996,Movimentos!$D$4:$D$9996,B1856,Movimentos!$C$4:$C$9996,"Entrada")-SUMIFS(Movimentos!$F$4:$F$9996,Movimentos!$D$4:$D$9996,B1856,Movimentos!$C$4:$C$9996,"Saída"),""),"")</f>
        <v/>
      </c>
      <c r="F1856" s="10" t="str">
        <f t="shared" si="60"/>
        <v/>
      </c>
    </row>
    <row r="1857" spans="1:6" x14ac:dyDescent="0.3">
      <c r="A1857" s="15" t="str">
        <f t="shared" si="61"/>
        <v>.</v>
      </c>
      <c r="E1857" s="13" t="str">
        <f>IFERROR(IF(AND(B1857&lt;&gt;"",C1857&lt;&gt;""),SUMIFS(Movimentos!$F$4:$F$9996,Movimentos!$D$4:$D$9996,B1857,Movimentos!$C$4:$C$9996,"Entrada")-SUMIFS(Movimentos!$F$4:$F$9996,Movimentos!$D$4:$D$9996,B1857,Movimentos!$C$4:$C$9996,"Saída"),""),"")</f>
        <v/>
      </c>
      <c r="F1857" s="10" t="str">
        <f t="shared" si="60"/>
        <v/>
      </c>
    </row>
    <row r="1858" spans="1:6" x14ac:dyDescent="0.3">
      <c r="A1858" s="15" t="str">
        <f t="shared" si="61"/>
        <v>.</v>
      </c>
      <c r="E1858" s="13" t="str">
        <f>IFERROR(IF(AND(B1858&lt;&gt;"",C1858&lt;&gt;""),SUMIFS(Movimentos!$F$4:$F$9996,Movimentos!$D$4:$D$9996,B1858,Movimentos!$C$4:$C$9996,"Entrada")-SUMIFS(Movimentos!$F$4:$F$9996,Movimentos!$D$4:$D$9996,B1858,Movimentos!$C$4:$C$9996,"Saída"),""),"")</f>
        <v/>
      </c>
      <c r="F1858" s="10" t="str">
        <f t="shared" si="60"/>
        <v/>
      </c>
    </row>
    <row r="1859" spans="1:6" x14ac:dyDescent="0.3">
      <c r="A1859" s="15" t="str">
        <f t="shared" si="61"/>
        <v>.</v>
      </c>
      <c r="E1859" s="13" t="str">
        <f>IFERROR(IF(AND(B1859&lt;&gt;"",C1859&lt;&gt;""),SUMIFS(Movimentos!$F$4:$F$9996,Movimentos!$D$4:$D$9996,B1859,Movimentos!$C$4:$C$9996,"Entrada")-SUMIFS(Movimentos!$F$4:$F$9996,Movimentos!$D$4:$D$9996,B1859,Movimentos!$C$4:$C$9996,"Saída"),""),"")</f>
        <v/>
      </c>
      <c r="F1859" s="10" t="str">
        <f t="shared" si="60"/>
        <v/>
      </c>
    </row>
    <row r="1860" spans="1:6" x14ac:dyDescent="0.3">
      <c r="A1860" s="15" t="str">
        <f t="shared" si="61"/>
        <v>.</v>
      </c>
      <c r="E1860" s="13" t="str">
        <f>IFERROR(IF(AND(B1860&lt;&gt;"",C1860&lt;&gt;""),SUMIFS(Movimentos!$F$4:$F$9996,Movimentos!$D$4:$D$9996,B1860,Movimentos!$C$4:$C$9996,"Entrada")-SUMIFS(Movimentos!$F$4:$F$9996,Movimentos!$D$4:$D$9996,B1860,Movimentos!$C$4:$C$9996,"Saída"),""),"")</f>
        <v/>
      </c>
      <c r="F1860" s="10" t="str">
        <f t="shared" si="60"/>
        <v/>
      </c>
    </row>
    <row r="1861" spans="1:6" x14ac:dyDescent="0.3">
      <c r="A1861" s="15" t="str">
        <f t="shared" si="61"/>
        <v>.</v>
      </c>
      <c r="E1861" s="13" t="str">
        <f>IFERROR(IF(AND(B1861&lt;&gt;"",C1861&lt;&gt;""),SUMIFS(Movimentos!$F$4:$F$9996,Movimentos!$D$4:$D$9996,B1861,Movimentos!$C$4:$C$9996,"Entrada")-SUMIFS(Movimentos!$F$4:$F$9996,Movimentos!$D$4:$D$9996,B1861,Movimentos!$C$4:$C$9996,"Saída"),""),"")</f>
        <v/>
      </c>
      <c r="F1861" s="10" t="str">
        <f t="shared" si="60"/>
        <v/>
      </c>
    </row>
    <row r="1862" spans="1:6" x14ac:dyDescent="0.3">
      <c r="A1862" s="15" t="str">
        <f t="shared" si="61"/>
        <v>.</v>
      </c>
      <c r="E1862" s="13" t="str">
        <f>IFERROR(IF(AND(B1862&lt;&gt;"",C1862&lt;&gt;""),SUMIFS(Movimentos!$F$4:$F$9996,Movimentos!$D$4:$D$9996,B1862,Movimentos!$C$4:$C$9996,"Entrada")-SUMIFS(Movimentos!$F$4:$F$9996,Movimentos!$D$4:$D$9996,B1862,Movimentos!$C$4:$C$9996,"Saída"),""),"")</f>
        <v/>
      </c>
      <c r="F1862" s="10" t="str">
        <f t="shared" si="60"/>
        <v/>
      </c>
    </row>
    <row r="1863" spans="1:6" x14ac:dyDescent="0.3">
      <c r="A1863" s="15" t="str">
        <f t="shared" si="61"/>
        <v>.</v>
      </c>
      <c r="E1863" s="13" t="str">
        <f>IFERROR(IF(AND(B1863&lt;&gt;"",C1863&lt;&gt;""),SUMIFS(Movimentos!$F$4:$F$9996,Movimentos!$D$4:$D$9996,B1863,Movimentos!$C$4:$C$9996,"Entrada")-SUMIFS(Movimentos!$F$4:$F$9996,Movimentos!$D$4:$D$9996,B1863,Movimentos!$C$4:$C$9996,"Saída"),""),"")</f>
        <v/>
      </c>
      <c r="F1863" s="10" t="str">
        <f t="shared" si="60"/>
        <v/>
      </c>
    </row>
    <row r="1864" spans="1:6" x14ac:dyDescent="0.3">
      <c r="A1864" s="15" t="str">
        <f t="shared" si="61"/>
        <v>.</v>
      </c>
      <c r="E1864" s="13" t="str">
        <f>IFERROR(IF(AND(B1864&lt;&gt;"",C1864&lt;&gt;""),SUMIFS(Movimentos!$F$4:$F$9996,Movimentos!$D$4:$D$9996,B1864,Movimentos!$C$4:$C$9996,"Entrada")-SUMIFS(Movimentos!$F$4:$F$9996,Movimentos!$D$4:$D$9996,B1864,Movimentos!$C$4:$C$9996,"Saída"),""),"")</f>
        <v/>
      </c>
      <c r="F1864" s="10" t="str">
        <f t="shared" si="60"/>
        <v/>
      </c>
    </row>
    <row r="1865" spans="1:6" x14ac:dyDescent="0.3">
      <c r="A1865" s="15" t="str">
        <f t="shared" si="61"/>
        <v>.</v>
      </c>
      <c r="E1865" s="13" t="str">
        <f>IFERROR(IF(AND(B1865&lt;&gt;"",C1865&lt;&gt;""),SUMIFS(Movimentos!$F$4:$F$9996,Movimentos!$D$4:$D$9996,B1865,Movimentos!$C$4:$C$9996,"Entrada")-SUMIFS(Movimentos!$F$4:$F$9996,Movimentos!$D$4:$D$9996,B1865,Movimentos!$C$4:$C$9996,"Saída"),""),"")</f>
        <v/>
      </c>
      <c r="F1865" s="10" t="str">
        <f t="shared" si="60"/>
        <v/>
      </c>
    </row>
    <row r="1866" spans="1:6" x14ac:dyDescent="0.3">
      <c r="A1866" s="15" t="str">
        <f t="shared" si="61"/>
        <v>.</v>
      </c>
      <c r="E1866" s="13" t="str">
        <f>IFERROR(IF(AND(B1866&lt;&gt;"",C1866&lt;&gt;""),SUMIFS(Movimentos!$F$4:$F$9996,Movimentos!$D$4:$D$9996,B1866,Movimentos!$C$4:$C$9996,"Entrada")-SUMIFS(Movimentos!$F$4:$F$9996,Movimentos!$D$4:$D$9996,B1866,Movimentos!$C$4:$C$9996,"Saída"),""),"")</f>
        <v/>
      </c>
      <c r="F1866" s="10" t="str">
        <f t="shared" si="60"/>
        <v/>
      </c>
    </row>
    <row r="1867" spans="1:6" x14ac:dyDescent="0.3">
      <c r="A1867" s="15" t="str">
        <f t="shared" si="61"/>
        <v>.</v>
      </c>
      <c r="E1867" s="13" t="str">
        <f>IFERROR(IF(AND(B1867&lt;&gt;"",C1867&lt;&gt;""),SUMIFS(Movimentos!$F$4:$F$9996,Movimentos!$D$4:$D$9996,B1867,Movimentos!$C$4:$C$9996,"Entrada")-SUMIFS(Movimentos!$F$4:$F$9996,Movimentos!$D$4:$D$9996,B1867,Movimentos!$C$4:$C$9996,"Saída"),""),"")</f>
        <v/>
      </c>
      <c r="F1867" s="10" t="str">
        <f t="shared" si="60"/>
        <v/>
      </c>
    </row>
    <row r="1868" spans="1:6" x14ac:dyDescent="0.3">
      <c r="A1868" s="15" t="str">
        <f t="shared" si="61"/>
        <v>.</v>
      </c>
      <c r="E1868" s="13" t="str">
        <f>IFERROR(IF(AND(B1868&lt;&gt;"",C1868&lt;&gt;""),SUMIFS(Movimentos!$F$4:$F$9996,Movimentos!$D$4:$D$9996,B1868,Movimentos!$C$4:$C$9996,"Entrada")-SUMIFS(Movimentos!$F$4:$F$9996,Movimentos!$D$4:$D$9996,B1868,Movimentos!$C$4:$C$9996,"Saída"),""),"")</f>
        <v/>
      </c>
      <c r="F1868" s="10" t="str">
        <f t="shared" si="60"/>
        <v/>
      </c>
    </row>
    <row r="1869" spans="1:6" x14ac:dyDescent="0.3">
      <c r="A1869" s="15" t="str">
        <f t="shared" si="61"/>
        <v>.</v>
      </c>
      <c r="E1869" s="13" t="str">
        <f>IFERROR(IF(AND(B1869&lt;&gt;"",C1869&lt;&gt;""),SUMIFS(Movimentos!$F$4:$F$9996,Movimentos!$D$4:$D$9996,B1869,Movimentos!$C$4:$C$9996,"Entrada")-SUMIFS(Movimentos!$F$4:$F$9996,Movimentos!$D$4:$D$9996,B1869,Movimentos!$C$4:$C$9996,"Saída"),""),"")</f>
        <v/>
      </c>
      <c r="F1869" s="10" t="str">
        <f t="shared" si="60"/>
        <v/>
      </c>
    </row>
    <row r="1870" spans="1:6" x14ac:dyDescent="0.3">
      <c r="A1870" s="15" t="str">
        <f t="shared" si="61"/>
        <v>.</v>
      </c>
      <c r="E1870" s="13" t="str">
        <f>IFERROR(IF(AND(B1870&lt;&gt;"",C1870&lt;&gt;""),SUMIFS(Movimentos!$F$4:$F$9996,Movimentos!$D$4:$D$9996,B1870,Movimentos!$C$4:$C$9996,"Entrada")-SUMIFS(Movimentos!$F$4:$F$9996,Movimentos!$D$4:$D$9996,B1870,Movimentos!$C$4:$C$9996,"Saída"),""),"")</f>
        <v/>
      </c>
      <c r="F1870" s="10" t="str">
        <f t="shared" si="60"/>
        <v/>
      </c>
    </row>
    <row r="1871" spans="1:6" x14ac:dyDescent="0.3">
      <c r="A1871" s="15" t="str">
        <f t="shared" si="61"/>
        <v>.</v>
      </c>
      <c r="E1871" s="13" t="str">
        <f>IFERROR(IF(AND(B1871&lt;&gt;"",C1871&lt;&gt;""),SUMIFS(Movimentos!$F$4:$F$9996,Movimentos!$D$4:$D$9996,B1871,Movimentos!$C$4:$C$9996,"Entrada")-SUMIFS(Movimentos!$F$4:$F$9996,Movimentos!$D$4:$D$9996,B1871,Movimentos!$C$4:$C$9996,"Saída"),""),"")</f>
        <v/>
      </c>
      <c r="F1871" s="10" t="str">
        <f t="shared" si="60"/>
        <v/>
      </c>
    </row>
    <row r="1872" spans="1:6" x14ac:dyDescent="0.3">
      <c r="A1872" s="15" t="str">
        <f t="shared" si="61"/>
        <v>.</v>
      </c>
      <c r="E1872" s="13" t="str">
        <f>IFERROR(IF(AND(B1872&lt;&gt;"",C1872&lt;&gt;""),SUMIFS(Movimentos!$F$4:$F$9996,Movimentos!$D$4:$D$9996,B1872,Movimentos!$C$4:$C$9996,"Entrada")-SUMIFS(Movimentos!$F$4:$F$9996,Movimentos!$D$4:$D$9996,B1872,Movimentos!$C$4:$C$9996,"Saída"),""),"")</f>
        <v/>
      </c>
      <c r="F1872" s="10" t="str">
        <f t="shared" si="60"/>
        <v/>
      </c>
    </row>
    <row r="1873" spans="1:6" x14ac:dyDescent="0.3">
      <c r="A1873" s="15" t="str">
        <f t="shared" si="61"/>
        <v>.</v>
      </c>
      <c r="E1873" s="13" t="str">
        <f>IFERROR(IF(AND(B1873&lt;&gt;"",C1873&lt;&gt;""),SUMIFS(Movimentos!$F$4:$F$9996,Movimentos!$D$4:$D$9996,B1873,Movimentos!$C$4:$C$9996,"Entrada")-SUMIFS(Movimentos!$F$4:$F$9996,Movimentos!$D$4:$D$9996,B1873,Movimentos!$C$4:$C$9996,"Saída"),""),"")</f>
        <v/>
      </c>
      <c r="F1873" s="10" t="str">
        <f t="shared" si="60"/>
        <v/>
      </c>
    </row>
    <row r="1874" spans="1:6" x14ac:dyDescent="0.3">
      <c r="A1874" s="15" t="str">
        <f t="shared" si="61"/>
        <v>.</v>
      </c>
      <c r="E1874" s="13" t="str">
        <f>IFERROR(IF(AND(B1874&lt;&gt;"",C1874&lt;&gt;""),SUMIFS(Movimentos!$F$4:$F$9996,Movimentos!$D$4:$D$9996,B1874,Movimentos!$C$4:$C$9996,"Entrada")-SUMIFS(Movimentos!$F$4:$F$9996,Movimentos!$D$4:$D$9996,B1874,Movimentos!$C$4:$C$9996,"Saída"),""),"")</f>
        <v/>
      </c>
      <c r="F1874" s="10" t="str">
        <f t="shared" si="60"/>
        <v/>
      </c>
    </row>
    <row r="1875" spans="1:6" x14ac:dyDescent="0.3">
      <c r="A1875" s="15" t="str">
        <f t="shared" si="61"/>
        <v>.</v>
      </c>
      <c r="E1875" s="13" t="str">
        <f>IFERROR(IF(AND(B1875&lt;&gt;"",C1875&lt;&gt;""),SUMIFS(Movimentos!$F$4:$F$9996,Movimentos!$D$4:$D$9996,B1875,Movimentos!$C$4:$C$9996,"Entrada")-SUMIFS(Movimentos!$F$4:$F$9996,Movimentos!$D$4:$D$9996,B1875,Movimentos!$C$4:$C$9996,"Saída"),""),"")</f>
        <v/>
      </c>
      <c r="F1875" s="10" t="str">
        <f t="shared" si="60"/>
        <v/>
      </c>
    </row>
    <row r="1876" spans="1:6" x14ac:dyDescent="0.3">
      <c r="A1876" s="15" t="str">
        <f t="shared" si="61"/>
        <v>.</v>
      </c>
      <c r="E1876" s="13" t="str">
        <f>IFERROR(IF(AND(B1876&lt;&gt;"",C1876&lt;&gt;""),SUMIFS(Movimentos!$F$4:$F$9996,Movimentos!$D$4:$D$9996,B1876,Movimentos!$C$4:$C$9996,"Entrada")-SUMIFS(Movimentos!$F$4:$F$9996,Movimentos!$D$4:$D$9996,B1876,Movimentos!$C$4:$C$9996,"Saída"),""),"")</f>
        <v/>
      </c>
      <c r="F1876" s="10" t="str">
        <f t="shared" si="60"/>
        <v/>
      </c>
    </row>
    <row r="1877" spans="1:6" x14ac:dyDescent="0.3">
      <c r="A1877" s="15" t="str">
        <f t="shared" si="61"/>
        <v>.</v>
      </c>
      <c r="E1877" s="13" t="str">
        <f>IFERROR(IF(AND(B1877&lt;&gt;"",C1877&lt;&gt;""),SUMIFS(Movimentos!$F$4:$F$9996,Movimentos!$D$4:$D$9996,B1877,Movimentos!$C$4:$C$9996,"Entrada")-SUMIFS(Movimentos!$F$4:$F$9996,Movimentos!$D$4:$D$9996,B1877,Movimentos!$C$4:$C$9996,"Saída"),""),"")</f>
        <v/>
      </c>
      <c r="F1877" s="10" t="str">
        <f t="shared" si="60"/>
        <v/>
      </c>
    </row>
    <row r="1878" spans="1:6" x14ac:dyDescent="0.3">
      <c r="A1878" s="15" t="str">
        <f t="shared" si="61"/>
        <v>.</v>
      </c>
      <c r="E1878" s="13" t="str">
        <f>IFERROR(IF(AND(B1878&lt;&gt;"",C1878&lt;&gt;""),SUMIFS(Movimentos!$F$4:$F$9996,Movimentos!$D$4:$D$9996,B1878,Movimentos!$C$4:$C$9996,"Entrada")-SUMIFS(Movimentos!$F$4:$F$9996,Movimentos!$D$4:$D$9996,B1878,Movimentos!$C$4:$C$9996,"Saída"),""),"")</f>
        <v/>
      </c>
      <c r="F1878" s="10" t="str">
        <f t="shared" si="60"/>
        <v/>
      </c>
    </row>
    <row r="1879" spans="1:6" x14ac:dyDescent="0.3">
      <c r="A1879" s="15" t="str">
        <f t="shared" si="61"/>
        <v>.</v>
      </c>
      <c r="E1879" s="13" t="str">
        <f>IFERROR(IF(AND(B1879&lt;&gt;"",C1879&lt;&gt;""),SUMIFS(Movimentos!$F$4:$F$9996,Movimentos!$D$4:$D$9996,B1879,Movimentos!$C$4:$C$9996,"Entrada")-SUMIFS(Movimentos!$F$4:$F$9996,Movimentos!$D$4:$D$9996,B1879,Movimentos!$C$4:$C$9996,"Saída"),""),"")</f>
        <v/>
      </c>
      <c r="F1879" s="10" t="str">
        <f t="shared" ref="F1879:F1942" si="62">IF(AND(B1879&lt;&gt;"",C1879&lt;&gt;""),IF(E1879=0,"Saldo zerado",IF(E1879&lt;D1879,"Saldo abaixo do mínimo","Saldo disponível")),"")</f>
        <v/>
      </c>
    </row>
    <row r="1880" spans="1:6" x14ac:dyDescent="0.3">
      <c r="A1880" s="15" t="str">
        <f t="shared" si="61"/>
        <v>.</v>
      </c>
      <c r="E1880" s="13" t="str">
        <f>IFERROR(IF(AND(B1880&lt;&gt;"",C1880&lt;&gt;""),SUMIFS(Movimentos!$F$4:$F$9996,Movimentos!$D$4:$D$9996,B1880,Movimentos!$C$4:$C$9996,"Entrada")-SUMIFS(Movimentos!$F$4:$F$9996,Movimentos!$D$4:$D$9996,B1880,Movimentos!$C$4:$C$9996,"Saída"),""),"")</f>
        <v/>
      </c>
      <c r="F1880" s="10" t="str">
        <f t="shared" si="62"/>
        <v/>
      </c>
    </row>
    <row r="1881" spans="1:6" x14ac:dyDescent="0.3">
      <c r="A1881" s="15" t="str">
        <f t="shared" si="61"/>
        <v>.</v>
      </c>
      <c r="E1881" s="13" t="str">
        <f>IFERROR(IF(AND(B1881&lt;&gt;"",C1881&lt;&gt;""),SUMIFS(Movimentos!$F$4:$F$9996,Movimentos!$D$4:$D$9996,B1881,Movimentos!$C$4:$C$9996,"Entrada")-SUMIFS(Movimentos!$F$4:$F$9996,Movimentos!$D$4:$D$9996,B1881,Movimentos!$C$4:$C$9996,"Saída"),""),"")</f>
        <v/>
      </c>
      <c r="F1881" s="10" t="str">
        <f t="shared" si="62"/>
        <v/>
      </c>
    </row>
    <row r="1882" spans="1:6" x14ac:dyDescent="0.3">
      <c r="A1882" s="15" t="str">
        <f t="shared" si="61"/>
        <v>.</v>
      </c>
      <c r="E1882" s="13" t="str">
        <f>IFERROR(IF(AND(B1882&lt;&gt;"",C1882&lt;&gt;""),SUMIFS(Movimentos!$F$4:$F$9996,Movimentos!$D$4:$D$9996,B1882,Movimentos!$C$4:$C$9996,"Entrada")-SUMIFS(Movimentos!$F$4:$F$9996,Movimentos!$D$4:$D$9996,B1882,Movimentos!$C$4:$C$9996,"Saída"),""),"")</f>
        <v/>
      </c>
      <c r="F1882" s="10" t="str">
        <f t="shared" si="62"/>
        <v/>
      </c>
    </row>
    <row r="1883" spans="1:6" x14ac:dyDescent="0.3">
      <c r="A1883" s="15" t="str">
        <f t="shared" si="61"/>
        <v>.</v>
      </c>
      <c r="E1883" s="13" t="str">
        <f>IFERROR(IF(AND(B1883&lt;&gt;"",C1883&lt;&gt;""),SUMIFS(Movimentos!$F$4:$F$9996,Movimentos!$D$4:$D$9996,B1883,Movimentos!$C$4:$C$9996,"Entrada")-SUMIFS(Movimentos!$F$4:$F$9996,Movimentos!$D$4:$D$9996,B1883,Movimentos!$C$4:$C$9996,"Saída"),""),"")</f>
        <v/>
      </c>
      <c r="F1883" s="10" t="str">
        <f t="shared" si="62"/>
        <v/>
      </c>
    </row>
    <row r="1884" spans="1:6" x14ac:dyDescent="0.3">
      <c r="A1884" s="15" t="str">
        <f t="shared" si="61"/>
        <v>.</v>
      </c>
      <c r="E1884" s="13" t="str">
        <f>IFERROR(IF(AND(B1884&lt;&gt;"",C1884&lt;&gt;""),SUMIFS(Movimentos!$F$4:$F$9996,Movimentos!$D$4:$D$9996,B1884,Movimentos!$C$4:$C$9996,"Entrada")-SUMIFS(Movimentos!$F$4:$F$9996,Movimentos!$D$4:$D$9996,B1884,Movimentos!$C$4:$C$9996,"Saída"),""),"")</f>
        <v/>
      </c>
      <c r="F1884" s="10" t="str">
        <f t="shared" si="62"/>
        <v/>
      </c>
    </row>
    <row r="1885" spans="1:6" x14ac:dyDescent="0.3">
      <c r="A1885" s="15" t="str">
        <f t="shared" si="61"/>
        <v>.</v>
      </c>
      <c r="E1885" s="13" t="str">
        <f>IFERROR(IF(AND(B1885&lt;&gt;"",C1885&lt;&gt;""),SUMIFS(Movimentos!$F$4:$F$9996,Movimentos!$D$4:$D$9996,B1885,Movimentos!$C$4:$C$9996,"Entrada")-SUMIFS(Movimentos!$F$4:$F$9996,Movimentos!$D$4:$D$9996,B1885,Movimentos!$C$4:$C$9996,"Saída"),""),"")</f>
        <v/>
      </c>
      <c r="F1885" s="10" t="str">
        <f t="shared" si="62"/>
        <v/>
      </c>
    </row>
    <row r="1886" spans="1:6" x14ac:dyDescent="0.3">
      <c r="A1886" s="15" t="str">
        <f t="shared" si="61"/>
        <v>.</v>
      </c>
      <c r="E1886" s="13" t="str">
        <f>IFERROR(IF(AND(B1886&lt;&gt;"",C1886&lt;&gt;""),SUMIFS(Movimentos!$F$4:$F$9996,Movimentos!$D$4:$D$9996,B1886,Movimentos!$C$4:$C$9996,"Entrada")-SUMIFS(Movimentos!$F$4:$F$9996,Movimentos!$D$4:$D$9996,B1886,Movimentos!$C$4:$C$9996,"Saída"),""),"")</f>
        <v/>
      </c>
      <c r="F1886" s="10" t="str">
        <f t="shared" si="62"/>
        <v/>
      </c>
    </row>
    <row r="1887" spans="1:6" x14ac:dyDescent="0.3">
      <c r="A1887" s="15" t="str">
        <f t="shared" si="61"/>
        <v>.</v>
      </c>
      <c r="E1887" s="13" t="str">
        <f>IFERROR(IF(AND(B1887&lt;&gt;"",C1887&lt;&gt;""),SUMIFS(Movimentos!$F$4:$F$9996,Movimentos!$D$4:$D$9996,B1887,Movimentos!$C$4:$C$9996,"Entrada")-SUMIFS(Movimentos!$F$4:$F$9996,Movimentos!$D$4:$D$9996,B1887,Movimentos!$C$4:$C$9996,"Saída"),""),"")</f>
        <v/>
      </c>
      <c r="F1887" s="10" t="str">
        <f t="shared" si="62"/>
        <v/>
      </c>
    </row>
    <row r="1888" spans="1:6" x14ac:dyDescent="0.3">
      <c r="A1888" s="15" t="str">
        <f t="shared" si="61"/>
        <v>.</v>
      </c>
      <c r="E1888" s="13" t="str">
        <f>IFERROR(IF(AND(B1888&lt;&gt;"",C1888&lt;&gt;""),SUMIFS(Movimentos!$F$4:$F$9996,Movimentos!$D$4:$D$9996,B1888,Movimentos!$C$4:$C$9996,"Entrada")-SUMIFS(Movimentos!$F$4:$F$9996,Movimentos!$D$4:$D$9996,B1888,Movimentos!$C$4:$C$9996,"Saída"),""),"")</f>
        <v/>
      </c>
      <c r="F1888" s="10" t="str">
        <f t="shared" si="62"/>
        <v/>
      </c>
    </row>
    <row r="1889" spans="1:6" x14ac:dyDescent="0.3">
      <c r="A1889" s="15" t="str">
        <f t="shared" si="61"/>
        <v>.</v>
      </c>
      <c r="E1889" s="13" t="str">
        <f>IFERROR(IF(AND(B1889&lt;&gt;"",C1889&lt;&gt;""),SUMIFS(Movimentos!$F$4:$F$9996,Movimentos!$D$4:$D$9996,B1889,Movimentos!$C$4:$C$9996,"Entrada")-SUMIFS(Movimentos!$F$4:$F$9996,Movimentos!$D$4:$D$9996,B1889,Movimentos!$C$4:$C$9996,"Saída"),""),"")</f>
        <v/>
      </c>
      <c r="F1889" s="10" t="str">
        <f t="shared" si="62"/>
        <v/>
      </c>
    </row>
    <row r="1890" spans="1:6" x14ac:dyDescent="0.3">
      <c r="A1890" s="15" t="str">
        <f t="shared" si="61"/>
        <v>.</v>
      </c>
      <c r="E1890" s="13" t="str">
        <f>IFERROR(IF(AND(B1890&lt;&gt;"",C1890&lt;&gt;""),SUMIFS(Movimentos!$F$4:$F$9996,Movimentos!$D$4:$D$9996,B1890,Movimentos!$C$4:$C$9996,"Entrada")-SUMIFS(Movimentos!$F$4:$F$9996,Movimentos!$D$4:$D$9996,B1890,Movimentos!$C$4:$C$9996,"Saída"),""),"")</f>
        <v/>
      </c>
      <c r="F1890" s="10" t="str">
        <f t="shared" si="62"/>
        <v/>
      </c>
    </row>
    <row r="1891" spans="1:6" x14ac:dyDescent="0.3">
      <c r="A1891" s="15" t="str">
        <f t="shared" si="61"/>
        <v>.</v>
      </c>
      <c r="E1891" s="13" t="str">
        <f>IFERROR(IF(AND(B1891&lt;&gt;"",C1891&lt;&gt;""),SUMIFS(Movimentos!$F$4:$F$9996,Movimentos!$D$4:$D$9996,B1891,Movimentos!$C$4:$C$9996,"Entrada")-SUMIFS(Movimentos!$F$4:$F$9996,Movimentos!$D$4:$D$9996,B1891,Movimentos!$C$4:$C$9996,"Saída"),""),"")</f>
        <v/>
      </c>
      <c r="F1891" s="10" t="str">
        <f t="shared" si="62"/>
        <v/>
      </c>
    </row>
    <row r="1892" spans="1:6" x14ac:dyDescent="0.3">
      <c r="A1892" s="15" t="str">
        <f t="shared" si="61"/>
        <v>.</v>
      </c>
      <c r="E1892" s="13" t="str">
        <f>IFERROR(IF(AND(B1892&lt;&gt;"",C1892&lt;&gt;""),SUMIFS(Movimentos!$F$4:$F$9996,Movimentos!$D$4:$D$9996,B1892,Movimentos!$C$4:$C$9996,"Entrada")-SUMIFS(Movimentos!$F$4:$F$9996,Movimentos!$D$4:$D$9996,B1892,Movimentos!$C$4:$C$9996,"Saída"),""),"")</f>
        <v/>
      </c>
      <c r="F1892" s="10" t="str">
        <f t="shared" si="62"/>
        <v/>
      </c>
    </row>
    <row r="1893" spans="1:6" x14ac:dyDescent="0.3">
      <c r="A1893" s="15" t="str">
        <f t="shared" si="61"/>
        <v>.</v>
      </c>
      <c r="E1893" s="13" t="str">
        <f>IFERROR(IF(AND(B1893&lt;&gt;"",C1893&lt;&gt;""),SUMIFS(Movimentos!$F$4:$F$9996,Movimentos!$D$4:$D$9996,B1893,Movimentos!$C$4:$C$9996,"Entrada")-SUMIFS(Movimentos!$F$4:$F$9996,Movimentos!$D$4:$D$9996,B1893,Movimentos!$C$4:$C$9996,"Saída"),""),"")</f>
        <v/>
      </c>
      <c r="F1893" s="10" t="str">
        <f t="shared" si="62"/>
        <v/>
      </c>
    </row>
    <row r="1894" spans="1:6" x14ac:dyDescent="0.3">
      <c r="A1894" s="15" t="str">
        <f t="shared" si="61"/>
        <v>.</v>
      </c>
      <c r="E1894" s="13" t="str">
        <f>IFERROR(IF(AND(B1894&lt;&gt;"",C1894&lt;&gt;""),SUMIFS(Movimentos!$F$4:$F$9996,Movimentos!$D$4:$D$9996,B1894,Movimentos!$C$4:$C$9996,"Entrada")-SUMIFS(Movimentos!$F$4:$F$9996,Movimentos!$D$4:$D$9996,B1894,Movimentos!$C$4:$C$9996,"Saída"),""),"")</f>
        <v/>
      </c>
      <c r="F1894" s="10" t="str">
        <f t="shared" si="62"/>
        <v/>
      </c>
    </row>
    <row r="1895" spans="1:6" x14ac:dyDescent="0.3">
      <c r="A1895" s="15" t="str">
        <f t="shared" si="61"/>
        <v>.</v>
      </c>
      <c r="E1895" s="13" t="str">
        <f>IFERROR(IF(AND(B1895&lt;&gt;"",C1895&lt;&gt;""),SUMIFS(Movimentos!$F$4:$F$9996,Movimentos!$D$4:$D$9996,B1895,Movimentos!$C$4:$C$9996,"Entrada")-SUMIFS(Movimentos!$F$4:$F$9996,Movimentos!$D$4:$D$9996,B1895,Movimentos!$C$4:$C$9996,"Saída"),""),"")</f>
        <v/>
      </c>
      <c r="F1895" s="10" t="str">
        <f t="shared" si="62"/>
        <v/>
      </c>
    </row>
    <row r="1896" spans="1:6" x14ac:dyDescent="0.3">
      <c r="A1896" s="15" t="str">
        <f t="shared" si="61"/>
        <v>.</v>
      </c>
      <c r="E1896" s="13" t="str">
        <f>IFERROR(IF(AND(B1896&lt;&gt;"",C1896&lt;&gt;""),SUMIFS(Movimentos!$F$4:$F$9996,Movimentos!$D$4:$D$9996,B1896,Movimentos!$C$4:$C$9996,"Entrada")-SUMIFS(Movimentos!$F$4:$F$9996,Movimentos!$D$4:$D$9996,B1896,Movimentos!$C$4:$C$9996,"Saída"),""),"")</f>
        <v/>
      </c>
      <c r="F1896" s="10" t="str">
        <f t="shared" si="62"/>
        <v/>
      </c>
    </row>
    <row r="1897" spans="1:6" x14ac:dyDescent="0.3">
      <c r="A1897" s="15" t="str">
        <f t="shared" si="61"/>
        <v>.</v>
      </c>
      <c r="E1897" s="13" t="str">
        <f>IFERROR(IF(AND(B1897&lt;&gt;"",C1897&lt;&gt;""),SUMIFS(Movimentos!$F$4:$F$9996,Movimentos!$D$4:$D$9996,B1897,Movimentos!$C$4:$C$9996,"Entrada")-SUMIFS(Movimentos!$F$4:$F$9996,Movimentos!$D$4:$D$9996,B1897,Movimentos!$C$4:$C$9996,"Saída"),""),"")</f>
        <v/>
      </c>
      <c r="F1897" s="10" t="str">
        <f t="shared" si="62"/>
        <v/>
      </c>
    </row>
    <row r="1898" spans="1:6" x14ac:dyDescent="0.3">
      <c r="A1898" s="15" t="str">
        <f t="shared" si="61"/>
        <v>.</v>
      </c>
      <c r="E1898" s="13" t="str">
        <f>IFERROR(IF(AND(B1898&lt;&gt;"",C1898&lt;&gt;""),SUMIFS(Movimentos!$F$4:$F$9996,Movimentos!$D$4:$D$9996,B1898,Movimentos!$C$4:$C$9996,"Entrada")-SUMIFS(Movimentos!$F$4:$F$9996,Movimentos!$D$4:$D$9996,B1898,Movimentos!$C$4:$C$9996,"Saída"),""),"")</f>
        <v/>
      </c>
      <c r="F1898" s="10" t="str">
        <f t="shared" si="62"/>
        <v/>
      </c>
    </row>
    <row r="1899" spans="1:6" x14ac:dyDescent="0.3">
      <c r="A1899" s="15" t="str">
        <f t="shared" si="61"/>
        <v>.</v>
      </c>
      <c r="E1899" s="13" t="str">
        <f>IFERROR(IF(AND(B1899&lt;&gt;"",C1899&lt;&gt;""),SUMIFS(Movimentos!$F$4:$F$9996,Movimentos!$D$4:$D$9996,B1899,Movimentos!$C$4:$C$9996,"Entrada")-SUMIFS(Movimentos!$F$4:$F$9996,Movimentos!$D$4:$D$9996,B1899,Movimentos!$C$4:$C$9996,"Saída"),""),"")</f>
        <v/>
      </c>
      <c r="F1899" s="10" t="str">
        <f t="shared" si="62"/>
        <v/>
      </c>
    </row>
    <row r="1900" spans="1:6" x14ac:dyDescent="0.3">
      <c r="A1900" s="15" t="str">
        <f t="shared" si="61"/>
        <v>.</v>
      </c>
      <c r="E1900" s="13" t="str">
        <f>IFERROR(IF(AND(B1900&lt;&gt;"",C1900&lt;&gt;""),SUMIFS(Movimentos!$F$4:$F$9996,Movimentos!$D$4:$D$9996,B1900,Movimentos!$C$4:$C$9996,"Entrada")-SUMIFS(Movimentos!$F$4:$F$9996,Movimentos!$D$4:$D$9996,B1900,Movimentos!$C$4:$C$9996,"Saída"),""),"")</f>
        <v/>
      </c>
      <c r="F1900" s="10" t="str">
        <f t="shared" si="62"/>
        <v/>
      </c>
    </row>
    <row r="1901" spans="1:6" x14ac:dyDescent="0.3">
      <c r="A1901" s="15" t="str">
        <f t="shared" si="61"/>
        <v>.</v>
      </c>
      <c r="E1901" s="13" t="str">
        <f>IFERROR(IF(AND(B1901&lt;&gt;"",C1901&lt;&gt;""),SUMIFS(Movimentos!$F$4:$F$9996,Movimentos!$D$4:$D$9996,B1901,Movimentos!$C$4:$C$9996,"Entrada")-SUMIFS(Movimentos!$F$4:$F$9996,Movimentos!$D$4:$D$9996,B1901,Movimentos!$C$4:$C$9996,"Saída"),""),"")</f>
        <v/>
      </c>
      <c r="F1901" s="10" t="str">
        <f t="shared" si="62"/>
        <v/>
      </c>
    </row>
    <row r="1902" spans="1:6" x14ac:dyDescent="0.3">
      <c r="A1902" s="15" t="str">
        <f t="shared" si="61"/>
        <v>.</v>
      </c>
      <c r="E1902" s="13" t="str">
        <f>IFERROR(IF(AND(B1902&lt;&gt;"",C1902&lt;&gt;""),SUMIFS(Movimentos!$F$4:$F$9996,Movimentos!$D$4:$D$9996,B1902,Movimentos!$C$4:$C$9996,"Entrada")-SUMIFS(Movimentos!$F$4:$F$9996,Movimentos!$D$4:$D$9996,B1902,Movimentos!$C$4:$C$9996,"Saída"),""),"")</f>
        <v/>
      </c>
      <c r="F1902" s="10" t="str">
        <f t="shared" si="62"/>
        <v/>
      </c>
    </row>
    <row r="1903" spans="1:6" x14ac:dyDescent="0.3">
      <c r="A1903" s="15" t="str">
        <f t="shared" si="61"/>
        <v>.</v>
      </c>
      <c r="E1903" s="13" t="str">
        <f>IFERROR(IF(AND(B1903&lt;&gt;"",C1903&lt;&gt;""),SUMIFS(Movimentos!$F$4:$F$9996,Movimentos!$D$4:$D$9996,B1903,Movimentos!$C$4:$C$9996,"Entrada")-SUMIFS(Movimentos!$F$4:$F$9996,Movimentos!$D$4:$D$9996,B1903,Movimentos!$C$4:$C$9996,"Saída"),""),"")</f>
        <v/>
      </c>
      <c r="F1903" s="10" t="str">
        <f t="shared" si="62"/>
        <v/>
      </c>
    </row>
    <row r="1904" spans="1:6" x14ac:dyDescent="0.3">
      <c r="A1904" s="15" t="str">
        <f t="shared" si="61"/>
        <v>.</v>
      </c>
      <c r="E1904" s="13" t="str">
        <f>IFERROR(IF(AND(B1904&lt;&gt;"",C1904&lt;&gt;""),SUMIFS(Movimentos!$F$4:$F$9996,Movimentos!$D$4:$D$9996,B1904,Movimentos!$C$4:$C$9996,"Entrada")-SUMIFS(Movimentos!$F$4:$F$9996,Movimentos!$D$4:$D$9996,B1904,Movimentos!$C$4:$C$9996,"Saída"),""),"")</f>
        <v/>
      </c>
      <c r="F1904" s="10" t="str">
        <f t="shared" si="62"/>
        <v/>
      </c>
    </row>
    <row r="1905" spans="1:6" x14ac:dyDescent="0.3">
      <c r="A1905" s="15" t="str">
        <f t="shared" si="61"/>
        <v>.</v>
      </c>
      <c r="E1905" s="13" t="str">
        <f>IFERROR(IF(AND(B1905&lt;&gt;"",C1905&lt;&gt;""),SUMIFS(Movimentos!$F$4:$F$9996,Movimentos!$D$4:$D$9996,B1905,Movimentos!$C$4:$C$9996,"Entrada")-SUMIFS(Movimentos!$F$4:$F$9996,Movimentos!$D$4:$D$9996,B1905,Movimentos!$C$4:$C$9996,"Saída"),""),"")</f>
        <v/>
      </c>
      <c r="F1905" s="10" t="str">
        <f t="shared" si="62"/>
        <v/>
      </c>
    </row>
    <row r="1906" spans="1:6" x14ac:dyDescent="0.3">
      <c r="A1906" s="15" t="str">
        <f t="shared" si="61"/>
        <v>.</v>
      </c>
      <c r="E1906" s="13" t="str">
        <f>IFERROR(IF(AND(B1906&lt;&gt;"",C1906&lt;&gt;""),SUMIFS(Movimentos!$F$4:$F$9996,Movimentos!$D$4:$D$9996,B1906,Movimentos!$C$4:$C$9996,"Entrada")-SUMIFS(Movimentos!$F$4:$F$9996,Movimentos!$D$4:$D$9996,B1906,Movimentos!$C$4:$C$9996,"Saída"),""),"")</f>
        <v/>
      </c>
      <c r="F1906" s="10" t="str">
        <f t="shared" si="62"/>
        <v/>
      </c>
    </row>
    <row r="1907" spans="1:6" x14ac:dyDescent="0.3">
      <c r="A1907" s="15" t="str">
        <f t="shared" si="61"/>
        <v>.</v>
      </c>
      <c r="E1907" s="13" t="str">
        <f>IFERROR(IF(AND(B1907&lt;&gt;"",C1907&lt;&gt;""),SUMIFS(Movimentos!$F$4:$F$9996,Movimentos!$D$4:$D$9996,B1907,Movimentos!$C$4:$C$9996,"Entrada")-SUMIFS(Movimentos!$F$4:$F$9996,Movimentos!$D$4:$D$9996,B1907,Movimentos!$C$4:$C$9996,"Saída"),""),"")</f>
        <v/>
      </c>
      <c r="F1907" s="10" t="str">
        <f t="shared" si="62"/>
        <v/>
      </c>
    </row>
    <row r="1908" spans="1:6" x14ac:dyDescent="0.3">
      <c r="A1908" s="15" t="str">
        <f t="shared" si="61"/>
        <v>.</v>
      </c>
      <c r="E1908" s="13" t="str">
        <f>IFERROR(IF(AND(B1908&lt;&gt;"",C1908&lt;&gt;""),SUMIFS(Movimentos!$F$4:$F$9996,Movimentos!$D$4:$D$9996,B1908,Movimentos!$C$4:$C$9996,"Entrada")-SUMIFS(Movimentos!$F$4:$F$9996,Movimentos!$D$4:$D$9996,B1908,Movimentos!$C$4:$C$9996,"Saída"),""),"")</f>
        <v/>
      </c>
      <c r="F1908" s="10" t="str">
        <f t="shared" si="62"/>
        <v/>
      </c>
    </row>
    <row r="1909" spans="1:6" x14ac:dyDescent="0.3">
      <c r="A1909" s="15" t="str">
        <f t="shared" si="61"/>
        <v>.</v>
      </c>
      <c r="E1909" s="13" t="str">
        <f>IFERROR(IF(AND(B1909&lt;&gt;"",C1909&lt;&gt;""),SUMIFS(Movimentos!$F$4:$F$9996,Movimentos!$D$4:$D$9996,B1909,Movimentos!$C$4:$C$9996,"Entrada")-SUMIFS(Movimentos!$F$4:$F$9996,Movimentos!$D$4:$D$9996,B1909,Movimentos!$C$4:$C$9996,"Saída"),""),"")</f>
        <v/>
      </c>
      <c r="F1909" s="10" t="str">
        <f t="shared" si="62"/>
        <v/>
      </c>
    </row>
    <row r="1910" spans="1:6" x14ac:dyDescent="0.3">
      <c r="A1910" s="15" t="str">
        <f t="shared" si="61"/>
        <v>.</v>
      </c>
      <c r="E1910" s="13" t="str">
        <f>IFERROR(IF(AND(B1910&lt;&gt;"",C1910&lt;&gt;""),SUMIFS(Movimentos!$F$4:$F$9996,Movimentos!$D$4:$D$9996,B1910,Movimentos!$C$4:$C$9996,"Entrada")-SUMIFS(Movimentos!$F$4:$F$9996,Movimentos!$D$4:$D$9996,B1910,Movimentos!$C$4:$C$9996,"Saída"),""),"")</f>
        <v/>
      </c>
      <c r="F1910" s="10" t="str">
        <f t="shared" si="62"/>
        <v/>
      </c>
    </row>
    <row r="1911" spans="1:6" x14ac:dyDescent="0.3">
      <c r="A1911" s="15" t="str">
        <f t="shared" si="61"/>
        <v>.</v>
      </c>
      <c r="E1911" s="13" t="str">
        <f>IFERROR(IF(AND(B1911&lt;&gt;"",C1911&lt;&gt;""),SUMIFS(Movimentos!$F$4:$F$9996,Movimentos!$D$4:$D$9996,B1911,Movimentos!$C$4:$C$9996,"Entrada")-SUMIFS(Movimentos!$F$4:$F$9996,Movimentos!$D$4:$D$9996,B1911,Movimentos!$C$4:$C$9996,"Saída"),""),"")</f>
        <v/>
      </c>
      <c r="F1911" s="10" t="str">
        <f t="shared" si="62"/>
        <v/>
      </c>
    </row>
    <row r="1912" spans="1:6" x14ac:dyDescent="0.3">
      <c r="A1912" s="15" t="str">
        <f t="shared" si="61"/>
        <v>.</v>
      </c>
      <c r="E1912" s="13" t="str">
        <f>IFERROR(IF(AND(B1912&lt;&gt;"",C1912&lt;&gt;""),SUMIFS(Movimentos!$F$4:$F$9996,Movimentos!$D$4:$D$9996,B1912,Movimentos!$C$4:$C$9996,"Entrada")-SUMIFS(Movimentos!$F$4:$F$9996,Movimentos!$D$4:$D$9996,B1912,Movimentos!$C$4:$C$9996,"Saída"),""),"")</f>
        <v/>
      </c>
      <c r="F1912" s="10" t="str">
        <f t="shared" si="62"/>
        <v/>
      </c>
    </row>
    <row r="1913" spans="1:6" x14ac:dyDescent="0.3">
      <c r="A1913" s="15" t="str">
        <f t="shared" si="61"/>
        <v>.</v>
      </c>
      <c r="E1913" s="13" t="str">
        <f>IFERROR(IF(AND(B1913&lt;&gt;"",C1913&lt;&gt;""),SUMIFS(Movimentos!$F$4:$F$9996,Movimentos!$D$4:$D$9996,B1913,Movimentos!$C$4:$C$9996,"Entrada")-SUMIFS(Movimentos!$F$4:$F$9996,Movimentos!$D$4:$D$9996,B1913,Movimentos!$C$4:$C$9996,"Saída"),""),"")</f>
        <v/>
      </c>
      <c r="F1913" s="10" t="str">
        <f t="shared" si="62"/>
        <v/>
      </c>
    </row>
    <row r="1914" spans="1:6" x14ac:dyDescent="0.3">
      <c r="A1914" s="15" t="str">
        <f t="shared" si="61"/>
        <v>.</v>
      </c>
      <c r="E1914" s="13" t="str">
        <f>IFERROR(IF(AND(B1914&lt;&gt;"",C1914&lt;&gt;""),SUMIFS(Movimentos!$F$4:$F$9996,Movimentos!$D$4:$D$9996,B1914,Movimentos!$C$4:$C$9996,"Entrada")-SUMIFS(Movimentos!$F$4:$F$9996,Movimentos!$D$4:$D$9996,B1914,Movimentos!$C$4:$C$9996,"Saída"),""),"")</f>
        <v/>
      </c>
      <c r="F1914" s="10" t="str">
        <f t="shared" si="62"/>
        <v/>
      </c>
    </row>
    <row r="1915" spans="1:6" x14ac:dyDescent="0.3">
      <c r="A1915" s="15" t="str">
        <f t="shared" si="61"/>
        <v>.</v>
      </c>
      <c r="E1915" s="13" t="str">
        <f>IFERROR(IF(AND(B1915&lt;&gt;"",C1915&lt;&gt;""),SUMIFS(Movimentos!$F$4:$F$9996,Movimentos!$D$4:$D$9996,B1915,Movimentos!$C$4:$C$9996,"Entrada")-SUMIFS(Movimentos!$F$4:$F$9996,Movimentos!$D$4:$D$9996,B1915,Movimentos!$C$4:$C$9996,"Saída"),""),"")</f>
        <v/>
      </c>
      <c r="F1915" s="10" t="str">
        <f t="shared" si="62"/>
        <v/>
      </c>
    </row>
    <row r="1916" spans="1:6" x14ac:dyDescent="0.3">
      <c r="A1916" s="15" t="str">
        <f t="shared" si="61"/>
        <v>.</v>
      </c>
      <c r="E1916" s="13" t="str">
        <f>IFERROR(IF(AND(B1916&lt;&gt;"",C1916&lt;&gt;""),SUMIFS(Movimentos!$F$4:$F$9996,Movimentos!$D$4:$D$9996,B1916,Movimentos!$C$4:$C$9996,"Entrada")-SUMIFS(Movimentos!$F$4:$F$9996,Movimentos!$D$4:$D$9996,B1916,Movimentos!$C$4:$C$9996,"Saída"),""),"")</f>
        <v/>
      </c>
      <c r="F1916" s="10" t="str">
        <f t="shared" si="62"/>
        <v/>
      </c>
    </row>
    <row r="1917" spans="1:6" x14ac:dyDescent="0.3">
      <c r="A1917" s="15" t="str">
        <f t="shared" si="61"/>
        <v>.</v>
      </c>
      <c r="E1917" s="13" t="str">
        <f>IFERROR(IF(AND(B1917&lt;&gt;"",C1917&lt;&gt;""),SUMIFS(Movimentos!$F$4:$F$9996,Movimentos!$D$4:$D$9996,B1917,Movimentos!$C$4:$C$9996,"Entrada")-SUMIFS(Movimentos!$F$4:$F$9996,Movimentos!$D$4:$D$9996,B1917,Movimentos!$C$4:$C$9996,"Saída"),""),"")</f>
        <v/>
      </c>
      <c r="F1917" s="10" t="str">
        <f t="shared" si="62"/>
        <v/>
      </c>
    </row>
    <row r="1918" spans="1:6" x14ac:dyDescent="0.3">
      <c r="A1918" s="15" t="str">
        <f t="shared" si="61"/>
        <v>.</v>
      </c>
      <c r="E1918" s="13" t="str">
        <f>IFERROR(IF(AND(B1918&lt;&gt;"",C1918&lt;&gt;""),SUMIFS(Movimentos!$F$4:$F$9996,Movimentos!$D$4:$D$9996,B1918,Movimentos!$C$4:$C$9996,"Entrada")-SUMIFS(Movimentos!$F$4:$F$9996,Movimentos!$D$4:$D$9996,B1918,Movimentos!$C$4:$C$9996,"Saída"),""),"")</f>
        <v/>
      </c>
      <c r="F1918" s="10" t="str">
        <f t="shared" si="62"/>
        <v/>
      </c>
    </row>
    <row r="1919" spans="1:6" x14ac:dyDescent="0.3">
      <c r="A1919" s="15" t="str">
        <f t="shared" si="61"/>
        <v>.</v>
      </c>
      <c r="E1919" s="13" t="str">
        <f>IFERROR(IF(AND(B1919&lt;&gt;"",C1919&lt;&gt;""),SUMIFS(Movimentos!$F$4:$F$9996,Movimentos!$D$4:$D$9996,B1919,Movimentos!$C$4:$C$9996,"Entrada")-SUMIFS(Movimentos!$F$4:$F$9996,Movimentos!$D$4:$D$9996,B1919,Movimentos!$C$4:$C$9996,"Saída"),""),"")</f>
        <v/>
      </c>
      <c r="F1919" s="10" t="str">
        <f t="shared" si="62"/>
        <v/>
      </c>
    </row>
    <row r="1920" spans="1:6" x14ac:dyDescent="0.3">
      <c r="A1920" s="15" t="str">
        <f t="shared" ref="A1920:A1983" si="63">IF(F1920="Saldo zerado",0,IF(F1920="Saldo abaixo do mínimo",1,IF(F1920="Saldo disponível",2,".")))</f>
        <v>.</v>
      </c>
      <c r="E1920" s="13" t="str">
        <f>IFERROR(IF(AND(B1920&lt;&gt;"",C1920&lt;&gt;""),SUMIFS(Movimentos!$F$4:$F$9996,Movimentos!$D$4:$D$9996,B1920,Movimentos!$C$4:$C$9996,"Entrada")-SUMIFS(Movimentos!$F$4:$F$9996,Movimentos!$D$4:$D$9996,B1920,Movimentos!$C$4:$C$9996,"Saída"),""),"")</f>
        <v/>
      </c>
      <c r="F1920" s="10" t="str">
        <f t="shared" si="62"/>
        <v/>
      </c>
    </row>
    <row r="1921" spans="1:6" x14ac:dyDescent="0.3">
      <c r="A1921" s="15" t="str">
        <f t="shared" si="63"/>
        <v>.</v>
      </c>
      <c r="E1921" s="13" t="str">
        <f>IFERROR(IF(AND(B1921&lt;&gt;"",C1921&lt;&gt;""),SUMIFS(Movimentos!$F$4:$F$9996,Movimentos!$D$4:$D$9996,B1921,Movimentos!$C$4:$C$9996,"Entrada")-SUMIFS(Movimentos!$F$4:$F$9996,Movimentos!$D$4:$D$9996,B1921,Movimentos!$C$4:$C$9996,"Saída"),""),"")</f>
        <v/>
      </c>
      <c r="F1921" s="10" t="str">
        <f t="shared" si="62"/>
        <v/>
      </c>
    </row>
    <row r="1922" spans="1:6" x14ac:dyDescent="0.3">
      <c r="A1922" s="15" t="str">
        <f t="shared" si="63"/>
        <v>.</v>
      </c>
      <c r="E1922" s="13" t="str">
        <f>IFERROR(IF(AND(B1922&lt;&gt;"",C1922&lt;&gt;""),SUMIFS(Movimentos!$F$4:$F$9996,Movimentos!$D$4:$D$9996,B1922,Movimentos!$C$4:$C$9996,"Entrada")-SUMIFS(Movimentos!$F$4:$F$9996,Movimentos!$D$4:$D$9996,B1922,Movimentos!$C$4:$C$9996,"Saída"),""),"")</f>
        <v/>
      </c>
      <c r="F1922" s="10" t="str">
        <f t="shared" si="62"/>
        <v/>
      </c>
    </row>
    <row r="1923" spans="1:6" x14ac:dyDescent="0.3">
      <c r="A1923" s="15" t="str">
        <f t="shared" si="63"/>
        <v>.</v>
      </c>
      <c r="E1923" s="13" t="str">
        <f>IFERROR(IF(AND(B1923&lt;&gt;"",C1923&lt;&gt;""),SUMIFS(Movimentos!$F$4:$F$9996,Movimentos!$D$4:$D$9996,B1923,Movimentos!$C$4:$C$9996,"Entrada")-SUMIFS(Movimentos!$F$4:$F$9996,Movimentos!$D$4:$D$9996,B1923,Movimentos!$C$4:$C$9996,"Saída"),""),"")</f>
        <v/>
      </c>
      <c r="F1923" s="10" t="str">
        <f t="shared" si="62"/>
        <v/>
      </c>
    </row>
    <row r="1924" spans="1:6" x14ac:dyDescent="0.3">
      <c r="A1924" s="15" t="str">
        <f t="shared" si="63"/>
        <v>.</v>
      </c>
      <c r="E1924" s="13" t="str">
        <f>IFERROR(IF(AND(B1924&lt;&gt;"",C1924&lt;&gt;""),SUMIFS(Movimentos!$F$4:$F$9996,Movimentos!$D$4:$D$9996,B1924,Movimentos!$C$4:$C$9996,"Entrada")-SUMIFS(Movimentos!$F$4:$F$9996,Movimentos!$D$4:$D$9996,B1924,Movimentos!$C$4:$C$9996,"Saída"),""),"")</f>
        <v/>
      </c>
      <c r="F1924" s="10" t="str">
        <f t="shared" si="62"/>
        <v/>
      </c>
    </row>
    <row r="1925" spans="1:6" x14ac:dyDescent="0.3">
      <c r="A1925" s="15" t="str">
        <f t="shared" si="63"/>
        <v>.</v>
      </c>
      <c r="E1925" s="13" t="str">
        <f>IFERROR(IF(AND(B1925&lt;&gt;"",C1925&lt;&gt;""),SUMIFS(Movimentos!$F$4:$F$9996,Movimentos!$D$4:$D$9996,B1925,Movimentos!$C$4:$C$9996,"Entrada")-SUMIFS(Movimentos!$F$4:$F$9996,Movimentos!$D$4:$D$9996,B1925,Movimentos!$C$4:$C$9996,"Saída"),""),"")</f>
        <v/>
      </c>
      <c r="F1925" s="10" t="str">
        <f t="shared" si="62"/>
        <v/>
      </c>
    </row>
    <row r="1926" spans="1:6" x14ac:dyDescent="0.3">
      <c r="A1926" s="15" t="str">
        <f t="shared" si="63"/>
        <v>.</v>
      </c>
      <c r="E1926" s="13" t="str">
        <f>IFERROR(IF(AND(B1926&lt;&gt;"",C1926&lt;&gt;""),SUMIFS(Movimentos!$F$4:$F$9996,Movimentos!$D$4:$D$9996,B1926,Movimentos!$C$4:$C$9996,"Entrada")-SUMIFS(Movimentos!$F$4:$F$9996,Movimentos!$D$4:$D$9996,B1926,Movimentos!$C$4:$C$9996,"Saída"),""),"")</f>
        <v/>
      </c>
      <c r="F1926" s="10" t="str">
        <f t="shared" si="62"/>
        <v/>
      </c>
    </row>
    <row r="1927" spans="1:6" x14ac:dyDescent="0.3">
      <c r="A1927" s="15" t="str">
        <f t="shared" si="63"/>
        <v>.</v>
      </c>
      <c r="E1927" s="13" t="str">
        <f>IFERROR(IF(AND(B1927&lt;&gt;"",C1927&lt;&gt;""),SUMIFS(Movimentos!$F$4:$F$9996,Movimentos!$D$4:$D$9996,B1927,Movimentos!$C$4:$C$9996,"Entrada")-SUMIFS(Movimentos!$F$4:$F$9996,Movimentos!$D$4:$D$9996,B1927,Movimentos!$C$4:$C$9996,"Saída"),""),"")</f>
        <v/>
      </c>
      <c r="F1927" s="10" t="str">
        <f t="shared" si="62"/>
        <v/>
      </c>
    </row>
    <row r="1928" spans="1:6" x14ac:dyDescent="0.3">
      <c r="A1928" s="15" t="str">
        <f t="shared" si="63"/>
        <v>.</v>
      </c>
      <c r="E1928" s="13" t="str">
        <f>IFERROR(IF(AND(B1928&lt;&gt;"",C1928&lt;&gt;""),SUMIFS(Movimentos!$F$4:$F$9996,Movimentos!$D$4:$D$9996,B1928,Movimentos!$C$4:$C$9996,"Entrada")-SUMIFS(Movimentos!$F$4:$F$9996,Movimentos!$D$4:$D$9996,B1928,Movimentos!$C$4:$C$9996,"Saída"),""),"")</f>
        <v/>
      </c>
      <c r="F1928" s="10" t="str">
        <f t="shared" si="62"/>
        <v/>
      </c>
    </row>
    <row r="1929" spans="1:6" x14ac:dyDescent="0.3">
      <c r="A1929" s="15" t="str">
        <f t="shared" si="63"/>
        <v>.</v>
      </c>
      <c r="E1929" s="13" t="str">
        <f>IFERROR(IF(AND(B1929&lt;&gt;"",C1929&lt;&gt;""),SUMIFS(Movimentos!$F$4:$F$9996,Movimentos!$D$4:$D$9996,B1929,Movimentos!$C$4:$C$9996,"Entrada")-SUMIFS(Movimentos!$F$4:$F$9996,Movimentos!$D$4:$D$9996,B1929,Movimentos!$C$4:$C$9996,"Saída"),""),"")</f>
        <v/>
      </c>
      <c r="F1929" s="10" t="str">
        <f t="shared" si="62"/>
        <v/>
      </c>
    </row>
    <row r="1930" spans="1:6" x14ac:dyDescent="0.3">
      <c r="A1930" s="15" t="str">
        <f t="shared" si="63"/>
        <v>.</v>
      </c>
      <c r="E1930" s="13" t="str">
        <f>IFERROR(IF(AND(B1930&lt;&gt;"",C1930&lt;&gt;""),SUMIFS(Movimentos!$F$4:$F$9996,Movimentos!$D$4:$D$9996,B1930,Movimentos!$C$4:$C$9996,"Entrada")-SUMIFS(Movimentos!$F$4:$F$9996,Movimentos!$D$4:$D$9996,B1930,Movimentos!$C$4:$C$9996,"Saída"),""),"")</f>
        <v/>
      </c>
      <c r="F1930" s="10" t="str">
        <f t="shared" si="62"/>
        <v/>
      </c>
    </row>
    <row r="1931" spans="1:6" x14ac:dyDescent="0.3">
      <c r="A1931" s="15" t="str">
        <f t="shared" si="63"/>
        <v>.</v>
      </c>
      <c r="E1931" s="13" t="str">
        <f>IFERROR(IF(AND(B1931&lt;&gt;"",C1931&lt;&gt;""),SUMIFS(Movimentos!$F$4:$F$9996,Movimentos!$D$4:$D$9996,B1931,Movimentos!$C$4:$C$9996,"Entrada")-SUMIFS(Movimentos!$F$4:$F$9996,Movimentos!$D$4:$D$9996,B1931,Movimentos!$C$4:$C$9996,"Saída"),""),"")</f>
        <v/>
      </c>
      <c r="F1931" s="10" t="str">
        <f t="shared" si="62"/>
        <v/>
      </c>
    </row>
    <row r="1932" spans="1:6" x14ac:dyDescent="0.3">
      <c r="A1932" s="15" t="str">
        <f t="shared" si="63"/>
        <v>.</v>
      </c>
      <c r="E1932" s="13" t="str">
        <f>IFERROR(IF(AND(B1932&lt;&gt;"",C1932&lt;&gt;""),SUMIFS(Movimentos!$F$4:$F$9996,Movimentos!$D$4:$D$9996,B1932,Movimentos!$C$4:$C$9996,"Entrada")-SUMIFS(Movimentos!$F$4:$F$9996,Movimentos!$D$4:$D$9996,B1932,Movimentos!$C$4:$C$9996,"Saída"),""),"")</f>
        <v/>
      </c>
      <c r="F1932" s="10" t="str">
        <f t="shared" si="62"/>
        <v/>
      </c>
    </row>
    <row r="1933" spans="1:6" x14ac:dyDescent="0.3">
      <c r="A1933" s="15" t="str">
        <f t="shared" si="63"/>
        <v>.</v>
      </c>
      <c r="E1933" s="13" t="str">
        <f>IFERROR(IF(AND(B1933&lt;&gt;"",C1933&lt;&gt;""),SUMIFS(Movimentos!$F$4:$F$9996,Movimentos!$D$4:$D$9996,B1933,Movimentos!$C$4:$C$9996,"Entrada")-SUMIFS(Movimentos!$F$4:$F$9996,Movimentos!$D$4:$D$9996,B1933,Movimentos!$C$4:$C$9996,"Saída"),""),"")</f>
        <v/>
      </c>
      <c r="F1933" s="10" t="str">
        <f t="shared" si="62"/>
        <v/>
      </c>
    </row>
    <row r="1934" spans="1:6" x14ac:dyDescent="0.3">
      <c r="A1934" s="15" t="str">
        <f t="shared" si="63"/>
        <v>.</v>
      </c>
      <c r="E1934" s="13" t="str">
        <f>IFERROR(IF(AND(B1934&lt;&gt;"",C1934&lt;&gt;""),SUMIFS(Movimentos!$F$4:$F$9996,Movimentos!$D$4:$D$9996,B1934,Movimentos!$C$4:$C$9996,"Entrada")-SUMIFS(Movimentos!$F$4:$F$9996,Movimentos!$D$4:$D$9996,B1934,Movimentos!$C$4:$C$9996,"Saída"),""),"")</f>
        <v/>
      </c>
      <c r="F1934" s="10" t="str">
        <f t="shared" si="62"/>
        <v/>
      </c>
    </row>
    <row r="1935" spans="1:6" x14ac:dyDescent="0.3">
      <c r="A1935" s="15" t="str">
        <f t="shared" si="63"/>
        <v>.</v>
      </c>
      <c r="E1935" s="13" t="str">
        <f>IFERROR(IF(AND(B1935&lt;&gt;"",C1935&lt;&gt;""),SUMIFS(Movimentos!$F$4:$F$9996,Movimentos!$D$4:$D$9996,B1935,Movimentos!$C$4:$C$9996,"Entrada")-SUMIFS(Movimentos!$F$4:$F$9996,Movimentos!$D$4:$D$9996,B1935,Movimentos!$C$4:$C$9996,"Saída"),""),"")</f>
        <v/>
      </c>
      <c r="F1935" s="10" t="str">
        <f t="shared" si="62"/>
        <v/>
      </c>
    </row>
    <row r="1936" spans="1:6" x14ac:dyDescent="0.3">
      <c r="A1936" s="15" t="str">
        <f t="shared" si="63"/>
        <v>.</v>
      </c>
      <c r="E1936" s="13" t="str">
        <f>IFERROR(IF(AND(B1936&lt;&gt;"",C1936&lt;&gt;""),SUMIFS(Movimentos!$F$4:$F$9996,Movimentos!$D$4:$D$9996,B1936,Movimentos!$C$4:$C$9996,"Entrada")-SUMIFS(Movimentos!$F$4:$F$9996,Movimentos!$D$4:$D$9996,B1936,Movimentos!$C$4:$C$9996,"Saída"),""),"")</f>
        <v/>
      </c>
      <c r="F1936" s="10" t="str">
        <f t="shared" si="62"/>
        <v/>
      </c>
    </row>
    <row r="1937" spans="1:6" x14ac:dyDescent="0.3">
      <c r="A1937" s="15" t="str">
        <f t="shared" si="63"/>
        <v>.</v>
      </c>
      <c r="E1937" s="13" t="str">
        <f>IFERROR(IF(AND(B1937&lt;&gt;"",C1937&lt;&gt;""),SUMIFS(Movimentos!$F$4:$F$9996,Movimentos!$D$4:$D$9996,B1937,Movimentos!$C$4:$C$9996,"Entrada")-SUMIFS(Movimentos!$F$4:$F$9996,Movimentos!$D$4:$D$9996,B1937,Movimentos!$C$4:$C$9996,"Saída"),""),"")</f>
        <v/>
      </c>
      <c r="F1937" s="10" t="str">
        <f t="shared" si="62"/>
        <v/>
      </c>
    </row>
    <row r="1938" spans="1:6" x14ac:dyDescent="0.3">
      <c r="A1938" s="15" t="str">
        <f t="shared" si="63"/>
        <v>.</v>
      </c>
      <c r="E1938" s="13" t="str">
        <f>IFERROR(IF(AND(B1938&lt;&gt;"",C1938&lt;&gt;""),SUMIFS(Movimentos!$F$4:$F$9996,Movimentos!$D$4:$D$9996,B1938,Movimentos!$C$4:$C$9996,"Entrada")-SUMIFS(Movimentos!$F$4:$F$9996,Movimentos!$D$4:$D$9996,B1938,Movimentos!$C$4:$C$9996,"Saída"),""),"")</f>
        <v/>
      </c>
      <c r="F1938" s="10" t="str">
        <f t="shared" si="62"/>
        <v/>
      </c>
    </row>
    <row r="1939" spans="1:6" x14ac:dyDescent="0.3">
      <c r="A1939" s="15" t="str">
        <f t="shared" si="63"/>
        <v>.</v>
      </c>
      <c r="E1939" s="13" t="str">
        <f>IFERROR(IF(AND(B1939&lt;&gt;"",C1939&lt;&gt;""),SUMIFS(Movimentos!$F$4:$F$9996,Movimentos!$D$4:$D$9996,B1939,Movimentos!$C$4:$C$9996,"Entrada")-SUMIFS(Movimentos!$F$4:$F$9996,Movimentos!$D$4:$D$9996,B1939,Movimentos!$C$4:$C$9996,"Saída"),""),"")</f>
        <v/>
      </c>
      <c r="F1939" s="10" t="str">
        <f t="shared" si="62"/>
        <v/>
      </c>
    </row>
    <row r="1940" spans="1:6" x14ac:dyDescent="0.3">
      <c r="A1940" s="15" t="str">
        <f t="shared" si="63"/>
        <v>.</v>
      </c>
      <c r="E1940" s="13" t="str">
        <f>IFERROR(IF(AND(B1940&lt;&gt;"",C1940&lt;&gt;""),SUMIFS(Movimentos!$F$4:$F$9996,Movimentos!$D$4:$D$9996,B1940,Movimentos!$C$4:$C$9996,"Entrada")-SUMIFS(Movimentos!$F$4:$F$9996,Movimentos!$D$4:$D$9996,B1940,Movimentos!$C$4:$C$9996,"Saída"),""),"")</f>
        <v/>
      </c>
      <c r="F1940" s="10" t="str">
        <f t="shared" si="62"/>
        <v/>
      </c>
    </row>
    <row r="1941" spans="1:6" x14ac:dyDescent="0.3">
      <c r="A1941" s="15" t="str">
        <f t="shared" si="63"/>
        <v>.</v>
      </c>
      <c r="E1941" s="13" t="str">
        <f>IFERROR(IF(AND(B1941&lt;&gt;"",C1941&lt;&gt;""),SUMIFS(Movimentos!$F$4:$F$9996,Movimentos!$D$4:$D$9996,B1941,Movimentos!$C$4:$C$9996,"Entrada")-SUMIFS(Movimentos!$F$4:$F$9996,Movimentos!$D$4:$D$9996,B1941,Movimentos!$C$4:$C$9996,"Saída"),""),"")</f>
        <v/>
      </c>
      <c r="F1941" s="10" t="str">
        <f t="shared" si="62"/>
        <v/>
      </c>
    </row>
    <row r="1942" spans="1:6" x14ac:dyDescent="0.3">
      <c r="A1942" s="15" t="str">
        <f t="shared" si="63"/>
        <v>.</v>
      </c>
      <c r="E1942" s="13" t="str">
        <f>IFERROR(IF(AND(B1942&lt;&gt;"",C1942&lt;&gt;""),SUMIFS(Movimentos!$F$4:$F$9996,Movimentos!$D$4:$D$9996,B1942,Movimentos!$C$4:$C$9996,"Entrada")-SUMIFS(Movimentos!$F$4:$F$9996,Movimentos!$D$4:$D$9996,B1942,Movimentos!$C$4:$C$9996,"Saída"),""),"")</f>
        <v/>
      </c>
      <c r="F1942" s="10" t="str">
        <f t="shared" si="62"/>
        <v/>
      </c>
    </row>
    <row r="1943" spans="1:6" x14ac:dyDescent="0.3">
      <c r="A1943" s="15" t="str">
        <f t="shared" si="63"/>
        <v>.</v>
      </c>
      <c r="E1943" s="13" t="str">
        <f>IFERROR(IF(AND(B1943&lt;&gt;"",C1943&lt;&gt;""),SUMIFS(Movimentos!$F$4:$F$9996,Movimentos!$D$4:$D$9996,B1943,Movimentos!$C$4:$C$9996,"Entrada")-SUMIFS(Movimentos!$F$4:$F$9996,Movimentos!$D$4:$D$9996,B1943,Movimentos!$C$4:$C$9996,"Saída"),""),"")</f>
        <v/>
      </c>
      <c r="F1943" s="10" t="str">
        <f t="shared" ref="F1943:F2006" si="64">IF(AND(B1943&lt;&gt;"",C1943&lt;&gt;""),IF(E1943=0,"Saldo zerado",IF(E1943&lt;D1943,"Saldo abaixo do mínimo","Saldo disponível")),"")</f>
        <v/>
      </c>
    </row>
    <row r="1944" spans="1:6" x14ac:dyDescent="0.3">
      <c r="A1944" s="15" t="str">
        <f t="shared" si="63"/>
        <v>.</v>
      </c>
      <c r="E1944" s="13" t="str">
        <f>IFERROR(IF(AND(B1944&lt;&gt;"",C1944&lt;&gt;""),SUMIFS(Movimentos!$F$4:$F$9996,Movimentos!$D$4:$D$9996,B1944,Movimentos!$C$4:$C$9996,"Entrada")-SUMIFS(Movimentos!$F$4:$F$9996,Movimentos!$D$4:$D$9996,B1944,Movimentos!$C$4:$C$9996,"Saída"),""),"")</f>
        <v/>
      </c>
      <c r="F1944" s="10" t="str">
        <f t="shared" si="64"/>
        <v/>
      </c>
    </row>
    <row r="1945" spans="1:6" x14ac:dyDescent="0.3">
      <c r="A1945" s="15" t="str">
        <f t="shared" si="63"/>
        <v>.</v>
      </c>
      <c r="E1945" s="13" t="str">
        <f>IFERROR(IF(AND(B1945&lt;&gt;"",C1945&lt;&gt;""),SUMIFS(Movimentos!$F$4:$F$9996,Movimentos!$D$4:$D$9996,B1945,Movimentos!$C$4:$C$9996,"Entrada")-SUMIFS(Movimentos!$F$4:$F$9996,Movimentos!$D$4:$D$9996,B1945,Movimentos!$C$4:$C$9996,"Saída"),""),"")</f>
        <v/>
      </c>
      <c r="F1945" s="10" t="str">
        <f t="shared" si="64"/>
        <v/>
      </c>
    </row>
    <row r="1946" spans="1:6" x14ac:dyDescent="0.3">
      <c r="A1946" s="15" t="str">
        <f t="shared" si="63"/>
        <v>.</v>
      </c>
      <c r="E1946" s="13" t="str">
        <f>IFERROR(IF(AND(B1946&lt;&gt;"",C1946&lt;&gt;""),SUMIFS(Movimentos!$F$4:$F$9996,Movimentos!$D$4:$D$9996,B1946,Movimentos!$C$4:$C$9996,"Entrada")-SUMIFS(Movimentos!$F$4:$F$9996,Movimentos!$D$4:$D$9996,B1946,Movimentos!$C$4:$C$9996,"Saída"),""),"")</f>
        <v/>
      </c>
      <c r="F1946" s="10" t="str">
        <f t="shared" si="64"/>
        <v/>
      </c>
    </row>
    <row r="1947" spans="1:6" x14ac:dyDescent="0.3">
      <c r="A1947" s="15" t="str">
        <f t="shared" si="63"/>
        <v>.</v>
      </c>
      <c r="E1947" s="13" t="str">
        <f>IFERROR(IF(AND(B1947&lt;&gt;"",C1947&lt;&gt;""),SUMIFS(Movimentos!$F$4:$F$9996,Movimentos!$D$4:$D$9996,B1947,Movimentos!$C$4:$C$9996,"Entrada")-SUMIFS(Movimentos!$F$4:$F$9996,Movimentos!$D$4:$D$9996,B1947,Movimentos!$C$4:$C$9996,"Saída"),""),"")</f>
        <v/>
      </c>
      <c r="F1947" s="10" t="str">
        <f t="shared" si="64"/>
        <v/>
      </c>
    </row>
    <row r="1948" spans="1:6" x14ac:dyDescent="0.3">
      <c r="A1948" s="15" t="str">
        <f t="shared" si="63"/>
        <v>.</v>
      </c>
      <c r="E1948" s="13" t="str">
        <f>IFERROR(IF(AND(B1948&lt;&gt;"",C1948&lt;&gt;""),SUMIFS(Movimentos!$F$4:$F$9996,Movimentos!$D$4:$D$9996,B1948,Movimentos!$C$4:$C$9996,"Entrada")-SUMIFS(Movimentos!$F$4:$F$9996,Movimentos!$D$4:$D$9996,B1948,Movimentos!$C$4:$C$9996,"Saída"),""),"")</f>
        <v/>
      </c>
      <c r="F1948" s="10" t="str">
        <f t="shared" si="64"/>
        <v/>
      </c>
    </row>
    <row r="1949" spans="1:6" x14ac:dyDescent="0.3">
      <c r="A1949" s="15" t="str">
        <f t="shared" si="63"/>
        <v>.</v>
      </c>
      <c r="E1949" s="13" t="str">
        <f>IFERROR(IF(AND(B1949&lt;&gt;"",C1949&lt;&gt;""),SUMIFS(Movimentos!$F$4:$F$9996,Movimentos!$D$4:$D$9996,B1949,Movimentos!$C$4:$C$9996,"Entrada")-SUMIFS(Movimentos!$F$4:$F$9996,Movimentos!$D$4:$D$9996,B1949,Movimentos!$C$4:$C$9996,"Saída"),""),"")</f>
        <v/>
      </c>
      <c r="F1949" s="10" t="str">
        <f t="shared" si="64"/>
        <v/>
      </c>
    </row>
    <row r="1950" spans="1:6" x14ac:dyDescent="0.3">
      <c r="A1950" s="15" t="str">
        <f t="shared" si="63"/>
        <v>.</v>
      </c>
      <c r="E1950" s="13" t="str">
        <f>IFERROR(IF(AND(B1950&lt;&gt;"",C1950&lt;&gt;""),SUMIFS(Movimentos!$F$4:$F$9996,Movimentos!$D$4:$D$9996,B1950,Movimentos!$C$4:$C$9996,"Entrada")-SUMIFS(Movimentos!$F$4:$F$9996,Movimentos!$D$4:$D$9996,B1950,Movimentos!$C$4:$C$9996,"Saída"),""),"")</f>
        <v/>
      </c>
      <c r="F1950" s="10" t="str">
        <f t="shared" si="64"/>
        <v/>
      </c>
    </row>
    <row r="1951" spans="1:6" x14ac:dyDescent="0.3">
      <c r="A1951" s="15" t="str">
        <f t="shared" si="63"/>
        <v>.</v>
      </c>
      <c r="E1951" s="13" t="str">
        <f>IFERROR(IF(AND(B1951&lt;&gt;"",C1951&lt;&gt;""),SUMIFS(Movimentos!$F$4:$F$9996,Movimentos!$D$4:$D$9996,B1951,Movimentos!$C$4:$C$9996,"Entrada")-SUMIFS(Movimentos!$F$4:$F$9996,Movimentos!$D$4:$D$9996,B1951,Movimentos!$C$4:$C$9996,"Saída"),""),"")</f>
        <v/>
      </c>
      <c r="F1951" s="10" t="str">
        <f t="shared" si="64"/>
        <v/>
      </c>
    </row>
    <row r="1952" spans="1:6" x14ac:dyDescent="0.3">
      <c r="A1952" s="15" t="str">
        <f t="shared" si="63"/>
        <v>.</v>
      </c>
      <c r="E1952" s="13" t="str">
        <f>IFERROR(IF(AND(B1952&lt;&gt;"",C1952&lt;&gt;""),SUMIFS(Movimentos!$F$4:$F$9996,Movimentos!$D$4:$D$9996,B1952,Movimentos!$C$4:$C$9996,"Entrada")-SUMIFS(Movimentos!$F$4:$F$9996,Movimentos!$D$4:$D$9996,B1952,Movimentos!$C$4:$C$9996,"Saída"),""),"")</f>
        <v/>
      </c>
      <c r="F1952" s="10" t="str">
        <f t="shared" si="64"/>
        <v/>
      </c>
    </row>
    <row r="1953" spans="1:6" x14ac:dyDescent="0.3">
      <c r="A1953" s="15" t="str">
        <f t="shared" si="63"/>
        <v>.</v>
      </c>
      <c r="E1953" s="13" t="str">
        <f>IFERROR(IF(AND(B1953&lt;&gt;"",C1953&lt;&gt;""),SUMIFS(Movimentos!$F$4:$F$9996,Movimentos!$D$4:$D$9996,B1953,Movimentos!$C$4:$C$9996,"Entrada")-SUMIFS(Movimentos!$F$4:$F$9996,Movimentos!$D$4:$D$9996,B1953,Movimentos!$C$4:$C$9996,"Saída"),""),"")</f>
        <v/>
      </c>
      <c r="F1953" s="10" t="str">
        <f t="shared" si="64"/>
        <v/>
      </c>
    </row>
    <row r="1954" spans="1:6" x14ac:dyDescent="0.3">
      <c r="A1954" s="15" t="str">
        <f t="shared" si="63"/>
        <v>.</v>
      </c>
      <c r="E1954" s="13" t="str">
        <f>IFERROR(IF(AND(B1954&lt;&gt;"",C1954&lt;&gt;""),SUMIFS(Movimentos!$F$4:$F$9996,Movimentos!$D$4:$D$9996,B1954,Movimentos!$C$4:$C$9996,"Entrada")-SUMIFS(Movimentos!$F$4:$F$9996,Movimentos!$D$4:$D$9996,B1954,Movimentos!$C$4:$C$9996,"Saída"),""),"")</f>
        <v/>
      </c>
      <c r="F1954" s="10" t="str">
        <f t="shared" si="64"/>
        <v/>
      </c>
    </row>
    <row r="1955" spans="1:6" x14ac:dyDescent="0.3">
      <c r="A1955" s="15" t="str">
        <f t="shared" si="63"/>
        <v>.</v>
      </c>
      <c r="E1955" s="13" t="str">
        <f>IFERROR(IF(AND(B1955&lt;&gt;"",C1955&lt;&gt;""),SUMIFS(Movimentos!$F$4:$F$9996,Movimentos!$D$4:$D$9996,B1955,Movimentos!$C$4:$C$9996,"Entrada")-SUMIFS(Movimentos!$F$4:$F$9996,Movimentos!$D$4:$D$9996,B1955,Movimentos!$C$4:$C$9996,"Saída"),""),"")</f>
        <v/>
      </c>
      <c r="F1955" s="10" t="str">
        <f t="shared" si="64"/>
        <v/>
      </c>
    </row>
    <row r="1956" spans="1:6" x14ac:dyDescent="0.3">
      <c r="A1956" s="15" t="str">
        <f t="shared" si="63"/>
        <v>.</v>
      </c>
      <c r="E1956" s="13" t="str">
        <f>IFERROR(IF(AND(B1956&lt;&gt;"",C1956&lt;&gt;""),SUMIFS(Movimentos!$F$4:$F$9996,Movimentos!$D$4:$D$9996,B1956,Movimentos!$C$4:$C$9996,"Entrada")-SUMIFS(Movimentos!$F$4:$F$9996,Movimentos!$D$4:$D$9996,B1956,Movimentos!$C$4:$C$9996,"Saída"),""),"")</f>
        <v/>
      </c>
      <c r="F1956" s="10" t="str">
        <f t="shared" si="64"/>
        <v/>
      </c>
    </row>
    <row r="1957" spans="1:6" x14ac:dyDescent="0.3">
      <c r="A1957" s="15" t="str">
        <f t="shared" si="63"/>
        <v>.</v>
      </c>
      <c r="E1957" s="13" t="str">
        <f>IFERROR(IF(AND(B1957&lt;&gt;"",C1957&lt;&gt;""),SUMIFS(Movimentos!$F$4:$F$9996,Movimentos!$D$4:$D$9996,B1957,Movimentos!$C$4:$C$9996,"Entrada")-SUMIFS(Movimentos!$F$4:$F$9996,Movimentos!$D$4:$D$9996,B1957,Movimentos!$C$4:$C$9996,"Saída"),""),"")</f>
        <v/>
      </c>
      <c r="F1957" s="10" t="str">
        <f t="shared" si="64"/>
        <v/>
      </c>
    </row>
    <row r="1958" spans="1:6" x14ac:dyDescent="0.3">
      <c r="A1958" s="15" t="str">
        <f t="shared" si="63"/>
        <v>.</v>
      </c>
      <c r="E1958" s="13" t="str">
        <f>IFERROR(IF(AND(B1958&lt;&gt;"",C1958&lt;&gt;""),SUMIFS(Movimentos!$F$4:$F$9996,Movimentos!$D$4:$D$9996,B1958,Movimentos!$C$4:$C$9996,"Entrada")-SUMIFS(Movimentos!$F$4:$F$9996,Movimentos!$D$4:$D$9996,B1958,Movimentos!$C$4:$C$9996,"Saída"),""),"")</f>
        <v/>
      </c>
      <c r="F1958" s="10" t="str">
        <f t="shared" si="64"/>
        <v/>
      </c>
    </row>
    <row r="1959" spans="1:6" x14ac:dyDescent="0.3">
      <c r="A1959" s="15" t="str">
        <f t="shared" si="63"/>
        <v>.</v>
      </c>
      <c r="E1959" s="13" t="str">
        <f>IFERROR(IF(AND(B1959&lt;&gt;"",C1959&lt;&gt;""),SUMIFS(Movimentos!$F$4:$F$9996,Movimentos!$D$4:$D$9996,B1959,Movimentos!$C$4:$C$9996,"Entrada")-SUMIFS(Movimentos!$F$4:$F$9996,Movimentos!$D$4:$D$9996,B1959,Movimentos!$C$4:$C$9996,"Saída"),""),"")</f>
        <v/>
      </c>
      <c r="F1959" s="10" t="str">
        <f t="shared" si="64"/>
        <v/>
      </c>
    </row>
    <row r="1960" spans="1:6" x14ac:dyDescent="0.3">
      <c r="A1960" s="15" t="str">
        <f t="shared" si="63"/>
        <v>.</v>
      </c>
      <c r="E1960" s="13" t="str">
        <f>IFERROR(IF(AND(B1960&lt;&gt;"",C1960&lt;&gt;""),SUMIFS(Movimentos!$F$4:$F$9996,Movimentos!$D$4:$D$9996,B1960,Movimentos!$C$4:$C$9996,"Entrada")-SUMIFS(Movimentos!$F$4:$F$9996,Movimentos!$D$4:$D$9996,B1960,Movimentos!$C$4:$C$9996,"Saída"),""),"")</f>
        <v/>
      </c>
      <c r="F1960" s="10" t="str">
        <f t="shared" si="64"/>
        <v/>
      </c>
    </row>
    <row r="1961" spans="1:6" x14ac:dyDescent="0.3">
      <c r="A1961" s="15" t="str">
        <f t="shared" si="63"/>
        <v>.</v>
      </c>
      <c r="E1961" s="13" t="str">
        <f>IFERROR(IF(AND(B1961&lt;&gt;"",C1961&lt;&gt;""),SUMIFS(Movimentos!$F$4:$F$9996,Movimentos!$D$4:$D$9996,B1961,Movimentos!$C$4:$C$9996,"Entrada")-SUMIFS(Movimentos!$F$4:$F$9996,Movimentos!$D$4:$D$9996,B1961,Movimentos!$C$4:$C$9996,"Saída"),""),"")</f>
        <v/>
      </c>
      <c r="F1961" s="10" t="str">
        <f t="shared" si="64"/>
        <v/>
      </c>
    </row>
    <row r="1962" spans="1:6" x14ac:dyDescent="0.3">
      <c r="A1962" s="15" t="str">
        <f t="shared" si="63"/>
        <v>.</v>
      </c>
      <c r="E1962" s="13" t="str">
        <f>IFERROR(IF(AND(B1962&lt;&gt;"",C1962&lt;&gt;""),SUMIFS(Movimentos!$F$4:$F$9996,Movimentos!$D$4:$D$9996,B1962,Movimentos!$C$4:$C$9996,"Entrada")-SUMIFS(Movimentos!$F$4:$F$9996,Movimentos!$D$4:$D$9996,B1962,Movimentos!$C$4:$C$9996,"Saída"),""),"")</f>
        <v/>
      </c>
      <c r="F1962" s="10" t="str">
        <f t="shared" si="64"/>
        <v/>
      </c>
    </row>
    <row r="1963" spans="1:6" x14ac:dyDescent="0.3">
      <c r="A1963" s="15" t="str">
        <f t="shared" si="63"/>
        <v>.</v>
      </c>
      <c r="E1963" s="13" t="str">
        <f>IFERROR(IF(AND(B1963&lt;&gt;"",C1963&lt;&gt;""),SUMIFS(Movimentos!$F$4:$F$9996,Movimentos!$D$4:$D$9996,B1963,Movimentos!$C$4:$C$9996,"Entrada")-SUMIFS(Movimentos!$F$4:$F$9996,Movimentos!$D$4:$D$9996,B1963,Movimentos!$C$4:$C$9996,"Saída"),""),"")</f>
        <v/>
      </c>
      <c r="F1963" s="10" t="str">
        <f t="shared" si="64"/>
        <v/>
      </c>
    </row>
    <row r="1964" spans="1:6" x14ac:dyDescent="0.3">
      <c r="A1964" s="15" t="str">
        <f t="shared" si="63"/>
        <v>.</v>
      </c>
      <c r="E1964" s="13" t="str">
        <f>IFERROR(IF(AND(B1964&lt;&gt;"",C1964&lt;&gt;""),SUMIFS(Movimentos!$F$4:$F$9996,Movimentos!$D$4:$D$9996,B1964,Movimentos!$C$4:$C$9996,"Entrada")-SUMIFS(Movimentos!$F$4:$F$9996,Movimentos!$D$4:$D$9996,B1964,Movimentos!$C$4:$C$9996,"Saída"),""),"")</f>
        <v/>
      </c>
      <c r="F1964" s="10" t="str">
        <f t="shared" si="64"/>
        <v/>
      </c>
    </row>
    <row r="1965" spans="1:6" x14ac:dyDescent="0.3">
      <c r="A1965" s="15" t="str">
        <f t="shared" si="63"/>
        <v>.</v>
      </c>
      <c r="E1965" s="13" t="str">
        <f>IFERROR(IF(AND(B1965&lt;&gt;"",C1965&lt;&gt;""),SUMIFS(Movimentos!$F$4:$F$9996,Movimentos!$D$4:$D$9996,B1965,Movimentos!$C$4:$C$9996,"Entrada")-SUMIFS(Movimentos!$F$4:$F$9996,Movimentos!$D$4:$D$9996,B1965,Movimentos!$C$4:$C$9996,"Saída"),""),"")</f>
        <v/>
      </c>
      <c r="F1965" s="10" t="str">
        <f t="shared" si="64"/>
        <v/>
      </c>
    </row>
    <row r="1966" spans="1:6" x14ac:dyDescent="0.3">
      <c r="A1966" s="15" t="str">
        <f t="shared" si="63"/>
        <v>.</v>
      </c>
      <c r="E1966" s="13" t="str">
        <f>IFERROR(IF(AND(B1966&lt;&gt;"",C1966&lt;&gt;""),SUMIFS(Movimentos!$F$4:$F$9996,Movimentos!$D$4:$D$9996,B1966,Movimentos!$C$4:$C$9996,"Entrada")-SUMIFS(Movimentos!$F$4:$F$9996,Movimentos!$D$4:$D$9996,B1966,Movimentos!$C$4:$C$9996,"Saída"),""),"")</f>
        <v/>
      </c>
      <c r="F1966" s="10" t="str">
        <f t="shared" si="64"/>
        <v/>
      </c>
    </row>
    <row r="1967" spans="1:6" x14ac:dyDescent="0.3">
      <c r="A1967" s="15" t="str">
        <f t="shared" si="63"/>
        <v>.</v>
      </c>
      <c r="E1967" s="13" t="str">
        <f>IFERROR(IF(AND(B1967&lt;&gt;"",C1967&lt;&gt;""),SUMIFS(Movimentos!$F$4:$F$9996,Movimentos!$D$4:$D$9996,B1967,Movimentos!$C$4:$C$9996,"Entrada")-SUMIFS(Movimentos!$F$4:$F$9996,Movimentos!$D$4:$D$9996,B1967,Movimentos!$C$4:$C$9996,"Saída"),""),"")</f>
        <v/>
      </c>
      <c r="F1967" s="10" t="str">
        <f t="shared" si="64"/>
        <v/>
      </c>
    </row>
    <row r="1968" spans="1:6" x14ac:dyDescent="0.3">
      <c r="A1968" s="15" t="str">
        <f t="shared" si="63"/>
        <v>.</v>
      </c>
      <c r="E1968" s="13" t="str">
        <f>IFERROR(IF(AND(B1968&lt;&gt;"",C1968&lt;&gt;""),SUMIFS(Movimentos!$F$4:$F$9996,Movimentos!$D$4:$D$9996,B1968,Movimentos!$C$4:$C$9996,"Entrada")-SUMIFS(Movimentos!$F$4:$F$9996,Movimentos!$D$4:$D$9996,B1968,Movimentos!$C$4:$C$9996,"Saída"),""),"")</f>
        <v/>
      </c>
      <c r="F1968" s="10" t="str">
        <f t="shared" si="64"/>
        <v/>
      </c>
    </row>
    <row r="1969" spans="1:6" x14ac:dyDescent="0.3">
      <c r="A1969" s="15" t="str">
        <f t="shared" si="63"/>
        <v>.</v>
      </c>
      <c r="E1969" s="13" t="str">
        <f>IFERROR(IF(AND(B1969&lt;&gt;"",C1969&lt;&gt;""),SUMIFS(Movimentos!$F$4:$F$9996,Movimentos!$D$4:$D$9996,B1969,Movimentos!$C$4:$C$9996,"Entrada")-SUMIFS(Movimentos!$F$4:$F$9996,Movimentos!$D$4:$D$9996,B1969,Movimentos!$C$4:$C$9996,"Saída"),""),"")</f>
        <v/>
      </c>
      <c r="F1969" s="10" t="str">
        <f t="shared" si="64"/>
        <v/>
      </c>
    </row>
    <row r="1970" spans="1:6" x14ac:dyDescent="0.3">
      <c r="A1970" s="15" t="str">
        <f t="shared" si="63"/>
        <v>.</v>
      </c>
      <c r="E1970" s="13" t="str">
        <f>IFERROR(IF(AND(B1970&lt;&gt;"",C1970&lt;&gt;""),SUMIFS(Movimentos!$F$4:$F$9996,Movimentos!$D$4:$D$9996,B1970,Movimentos!$C$4:$C$9996,"Entrada")-SUMIFS(Movimentos!$F$4:$F$9996,Movimentos!$D$4:$D$9996,B1970,Movimentos!$C$4:$C$9996,"Saída"),""),"")</f>
        <v/>
      </c>
      <c r="F1970" s="10" t="str">
        <f t="shared" si="64"/>
        <v/>
      </c>
    </row>
    <row r="1971" spans="1:6" x14ac:dyDescent="0.3">
      <c r="A1971" s="15" t="str">
        <f t="shared" si="63"/>
        <v>.</v>
      </c>
      <c r="E1971" s="13" t="str">
        <f>IFERROR(IF(AND(B1971&lt;&gt;"",C1971&lt;&gt;""),SUMIFS(Movimentos!$F$4:$F$9996,Movimentos!$D$4:$D$9996,B1971,Movimentos!$C$4:$C$9996,"Entrada")-SUMIFS(Movimentos!$F$4:$F$9996,Movimentos!$D$4:$D$9996,B1971,Movimentos!$C$4:$C$9996,"Saída"),""),"")</f>
        <v/>
      </c>
      <c r="F1971" s="10" t="str">
        <f t="shared" si="64"/>
        <v/>
      </c>
    </row>
    <row r="1972" spans="1:6" x14ac:dyDescent="0.3">
      <c r="A1972" s="15" t="str">
        <f t="shared" si="63"/>
        <v>.</v>
      </c>
      <c r="E1972" s="13" t="str">
        <f>IFERROR(IF(AND(B1972&lt;&gt;"",C1972&lt;&gt;""),SUMIFS(Movimentos!$F$4:$F$9996,Movimentos!$D$4:$D$9996,B1972,Movimentos!$C$4:$C$9996,"Entrada")-SUMIFS(Movimentos!$F$4:$F$9996,Movimentos!$D$4:$D$9996,B1972,Movimentos!$C$4:$C$9996,"Saída"),""),"")</f>
        <v/>
      </c>
      <c r="F1972" s="10" t="str">
        <f t="shared" si="64"/>
        <v/>
      </c>
    </row>
    <row r="1973" spans="1:6" x14ac:dyDescent="0.3">
      <c r="A1973" s="15" t="str">
        <f t="shared" si="63"/>
        <v>.</v>
      </c>
      <c r="E1973" s="13" t="str">
        <f>IFERROR(IF(AND(B1973&lt;&gt;"",C1973&lt;&gt;""),SUMIFS(Movimentos!$F$4:$F$9996,Movimentos!$D$4:$D$9996,B1973,Movimentos!$C$4:$C$9996,"Entrada")-SUMIFS(Movimentos!$F$4:$F$9996,Movimentos!$D$4:$D$9996,B1973,Movimentos!$C$4:$C$9996,"Saída"),""),"")</f>
        <v/>
      </c>
      <c r="F1973" s="10" t="str">
        <f t="shared" si="64"/>
        <v/>
      </c>
    </row>
    <row r="1974" spans="1:6" x14ac:dyDescent="0.3">
      <c r="A1974" s="15" t="str">
        <f t="shared" si="63"/>
        <v>.</v>
      </c>
      <c r="E1974" s="13" t="str">
        <f>IFERROR(IF(AND(B1974&lt;&gt;"",C1974&lt;&gt;""),SUMIFS(Movimentos!$F$4:$F$9996,Movimentos!$D$4:$D$9996,B1974,Movimentos!$C$4:$C$9996,"Entrada")-SUMIFS(Movimentos!$F$4:$F$9996,Movimentos!$D$4:$D$9996,B1974,Movimentos!$C$4:$C$9996,"Saída"),""),"")</f>
        <v/>
      </c>
      <c r="F1974" s="10" t="str">
        <f t="shared" si="64"/>
        <v/>
      </c>
    </row>
    <row r="1975" spans="1:6" x14ac:dyDescent="0.3">
      <c r="A1975" s="15" t="str">
        <f t="shared" si="63"/>
        <v>.</v>
      </c>
      <c r="E1975" s="13" t="str">
        <f>IFERROR(IF(AND(B1975&lt;&gt;"",C1975&lt;&gt;""),SUMIFS(Movimentos!$F$4:$F$9996,Movimentos!$D$4:$D$9996,B1975,Movimentos!$C$4:$C$9996,"Entrada")-SUMIFS(Movimentos!$F$4:$F$9996,Movimentos!$D$4:$D$9996,B1975,Movimentos!$C$4:$C$9996,"Saída"),""),"")</f>
        <v/>
      </c>
      <c r="F1975" s="10" t="str">
        <f t="shared" si="64"/>
        <v/>
      </c>
    </row>
    <row r="1976" spans="1:6" x14ac:dyDescent="0.3">
      <c r="A1976" s="15" t="str">
        <f t="shared" si="63"/>
        <v>.</v>
      </c>
      <c r="E1976" s="13" t="str">
        <f>IFERROR(IF(AND(B1976&lt;&gt;"",C1976&lt;&gt;""),SUMIFS(Movimentos!$F$4:$F$9996,Movimentos!$D$4:$D$9996,B1976,Movimentos!$C$4:$C$9996,"Entrada")-SUMIFS(Movimentos!$F$4:$F$9996,Movimentos!$D$4:$D$9996,B1976,Movimentos!$C$4:$C$9996,"Saída"),""),"")</f>
        <v/>
      </c>
      <c r="F1976" s="10" t="str">
        <f t="shared" si="64"/>
        <v/>
      </c>
    </row>
    <row r="1977" spans="1:6" x14ac:dyDescent="0.3">
      <c r="A1977" s="15" t="str">
        <f t="shared" si="63"/>
        <v>.</v>
      </c>
      <c r="E1977" s="13" t="str">
        <f>IFERROR(IF(AND(B1977&lt;&gt;"",C1977&lt;&gt;""),SUMIFS(Movimentos!$F$4:$F$9996,Movimentos!$D$4:$D$9996,B1977,Movimentos!$C$4:$C$9996,"Entrada")-SUMIFS(Movimentos!$F$4:$F$9996,Movimentos!$D$4:$D$9996,B1977,Movimentos!$C$4:$C$9996,"Saída"),""),"")</f>
        <v/>
      </c>
      <c r="F1977" s="10" t="str">
        <f t="shared" si="64"/>
        <v/>
      </c>
    </row>
    <row r="1978" spans="1:6" x14ac:dyDescent="0.3">
      <c r="A1978" s="15" t="str">
        <f t="shared" si="63"/>
        <v>.</v>
      </c>
      <c r="E1978" s="13" t="str">
        <f>IFERROR(IF(AND(B1978&lt;&gt;"",C1978&lt;&gt;""),SUMIFS(Movimentos!$F$4:$F$9996,Movimentos!$D$4:$D$9996,B1978,Movimentos!$C$4:$C$9996,"Entrada")-SUMIFS(Movimentos!$F$4:$F$9996,Movimentos!$D$4:$D$9996,B1978,Movimentos!$C$4:$C$9996,"Saída"),""),"")</f>
        <v/>
      </c>
      <c r="F1978" s="10" t="str">
        <f t="shared" si="64"/>
        <v/>
      </c>
    </row>
    <row r="1979" spans="1:6" x14ac:dyDescent="0.3">
      <c r="A1979" s="15" t="str">
        <f t="shared" si="63"/>
        <v>.</v>
      </c>
      <c r="E1979" s="13" t="str">
        <f>IFERROR(IF(AND(B1979&lt;&gt;"",C1979&lt;&gt;""),SUMIFS(Movimentos!$F$4:$F$9996,Movimentos!$D$4:$D$9996,B1979,Movimentos!$C$4:$C$9996,"Entrada")-SUMIFS(Movimentos!$F$4:$F$9996,Movimentos!$D$4:$D$9996,B1979,Movimentos!$C$4:$C$9996,"Saída"),""),"")</f>
        <v/>
      </c>
      <c r="F1979" s="10" t="str">
        <f t="shared" si="64"/>
        <v/>
      </c>
    </row>
    <row r="1980" spans="1:6" x14ac:dyDescent="0.3">
      <c r="A1980" s="15" t="str">
        <f t="shared" si="63"/>
        <v>.</v>
      </c>
      <c r="E1980" s="13" t="str">
        <f>IFERROR(IF(AND(B1980&lt;&gt;"",C1980&lt;&gt;""),SUMIFS(Movimentos!$F$4:$F$9996,Movimentos!$D$4:$D$9996,B1980,Movimentos!$C$4:$C$9996,"Entrada")-SUMIFS(Movimentos!$F$4:$F$9996,Movimentos!$D$4:$D$9996,B1980,Movimentos!$C$4:$C$9996,"Saída"),""),"")</f>
        <v/>
      </c>
      <c r="F1980" s="10" t="str">
        <f t="shared" si="64"/>
        <v/>
      </c>
    </row>
    <row r="1981" spans="1:6" x14ac:dyDescent="0.3">
      <c r="A1981" s="15" t="str">
        <f t="shared" si="63"/>
        <v>.</v>
      </c>
      <c r="E1981" s="13" t="str">
        <f>IFERROR(IF(AND(B1981&lt;&gt;"",C1981&lt;&gt;""),SUMIFS(Movimentos!$F$4:$F$9996,Movimentos!$D$4:$D$9996,B1981,Movimentos!$C$4:$C$9996,"Entrada")-SUMIFS(Movimentos!$F$4:$F$9996,Movimentos!$D$4:$D$9996,B1981,Movimentos!$C$4:$C$9996,"Saída"),""),"")</f>
        <v/>
      </c>
      <c r="F1981" s="10" t="str">
        <f t="shared" si="64"/>
        <v/>
      </c>
    </row>
    <row r="1982" spans="1:6" x14ac:dyDescent="0.3">
      <c r="A1982" s="15" t="str">
        <f t="shared" si="63"/>
        <v>.</v>
      </c>
      <c r="E1982" s="13" t="str">
        <f>IFERROR(IF(AND(B1982&lt;&gt;"",C1982&lt;&gt;""),SUMIFS(Movimentos!$F$4:$F$9996,Movimentos!$D$4:$D$9996,B1982,Movimentos!$C$4:$C$9996,"Entrada")-SUMIFS(Movimentos!$F$4:$F$9996,Movimentos!$D$4:$D$9996,B1982,Movimentos!$C$4:$C$9996,"Saída"),""),"")</f>
        <v/>
      </c>
      <c r="F1982" s="10" t="str">
        <f t="shared" si="64"/>
        <v/>
      </c>
    </row>
    <row r="1983" spans="1:6" x14ac:dyDescent="0.3">
      <c r="A1983" s="15" t="str">
        <f t="shared" si="63"/>
        <v>.</v>
      </c>
      <c r="E1983" s="13" t="str">
        <f>IFERROR(IF(AND(B1983&lt;&gt;"",C1983&lt;&gt;""),SUMIFS(Movimentos!$F$4:$F$9996,Movimentos!$D$4:$D$9996,B1983,Movimentos!$C$4:$C$9996,"Entrada")-SUMIFS(Movimentos!$F$4:$F$9996,Movimentos!$D$4:$D$9996,B1983,Movimentos!$C$4:$C$9996,"Saída"),""),"")</f>
        <v/>
      </c>
      <c r="F1983" s="10" t="str">
        <f t="shared" si="64"/>
        <v/>
      </c>
    </row>
    <row r="1984" spans="1:6" x14ac:dyDescent="0.3">
      <c r="A1984" s="15" t="str">
        <f t="shared" ref="A1984:A2047" si="65">IF(F1984="Saldo zerado",0,IF(F1984="Saldo abaixo do mínimo",1,IF(F1984="Saldo disponível",2,".")))</f>
        <v>.</v>
      </c>
      <c r="E1984" s="13" t="str">
        <f>IFERROR(IF(AND(B1984&lt;&gt;"",C1984&lt;&gt;""),SUMIFS(Movimentos!$F$4:$F$9996,Movimentos!$D$4:$D$9996,B1984,Movimentos!$C$4:$C$9996,"Entrada")-SUMIFS(Movimentos!$F$4:$F$9996,Movimentos!$D$4:$D$9996,B1984,Movimentos!$C$4:$C$9996,"Saída"),""),"")</f>
        <v/>
      </c>
      <c r="F1984" s="10" t="str">
        <f t="shared" si="64"/>
        <v/>
      </c>
    </row>
    <row r="1985" spans="1:6" x14ac:dyDescent="0.3">
      <c r="A1985" s="15" t="str">
        <f t="shared" si="65"/>
        <v>.</v>
      </c>
      <c r="E1985" s="13" t="str">
        <f>IFERROR(IF(AND(B1985&lt;&gt;"",C1985&lt;&gt;""),SUMIFS(Movimentos!$F$4:$F$9996,Movimentos!$D$4:$D$9996,B1985,Movimentos!$C$4:$C$9996,"Entrada")-SUMIFS(Movimentos!$F$4:$F$9996,Movimentos!$D$4:$D$9996,B1985,Movimentos!$C$4:$C$9996,"Saída"),""),"")</f>
        <v/>
      </c>
      <c r="F1985" s="10" t="str">
        <f t="shared" si="64"/>
        <v/>
      </c>
    </row>
    <row r="1986" spans="1:6" x14ac:dyDescent="0.3">
      <c r="A1986" s="15" t="str">
        <f t="shared" si="65"/>
        <v>.</v>
      </c>
      <c r="E1986" s="13" t="str">
        <f>IFERROR(IF(AND(B1986&lt;&gt;"",C1986&lt;&gt;""),SUMIFS(Movimentos!$F$4:$F$9996,Movimentos!$D$4:$D$9996,B1986,Movimentos!$C$4:$C$9996,"Entrada")-SUMIFS(Movimentos!$F$4:$F$9996,Movimentos!$D$4:$D$9996,B1986,Movimentos!$C$4:$C$9996,"Saída"),""),"")</f>
        <v/>
      </c>
      <c r="F1986" s="10" t="str">
        <f t="shared" si="64"/>
        <v/>
      </c>
    </row>
    <row r="1987" spans="1:6" x14ac:dyDescent="0.3">
      <c r="A1987" s="15" t="str">
        <f t="shared" si="65"/>
        <v>.</v>
      </c>
      <c r="E1987" s="13" t="str">
        <f>IFERROR(IF(AND(B1987&lt;&gt;"",C1987&lt;&gt;""),SUMIFS(Movimentos!$F$4:$F$9996,Movimentos!$D$4:$D$9996,B1987,Movimentos!$C$4:$C$9996,"Entrada")-SUMIFS(Movimentos!$F$4:$F$9996,Movimentos!$D$4:$D$9996,B1987,Movimentos!$C$4:$C$9996,"Saída"),""),"")</f>
        <v/>
      </c>
      <c r="F1987" s="10" t="str">
        <f t="shared" si="64"/>
        <v/>
      </c>
    </row>
    <row r="1988" spans="1:6" x14ac:dyDescent="0.3">
      <c r="A1988" s="15" t="str">
        <f t="shared" si="65"/>
        <v>.</v>
      </c>
      <c r="E1988" s="13" t="str">
        <f>IFERROR(IF(AND(B1988&lt;&gt;"",C1988&lt;&gt;""),SUMIFS(Movimentos!$F$4:$F$9996,Movimentos!$D$4:$D$9996,B1988,Movimentos!$C$4:$C$9996,"Entrada")-SUMIFS(Movimentos!$F$4:$F$9996,Movimentos!$D$4:$D$9996,B1988,Movimentos!$C$4:$C$9996,"Saída"),""),"")</f>
        <v/>
      </c>
      <c r="F1988" s="10" t="str">
        <f t="shared" si="64"/>
        <v/>
      </c>
    </row>
    <row r="1989" spans="1:6" x14ac:dyDescent="0.3">
      <c r="A1989" s="15" t="str">
        <f t="shared" si="65"/>
        <v>.</v>
      </c>
      <c r="E1989" s="13" t="str">
        <f>IFERROR(IF(AND(B1989&lt;&gt;"",C1989&lt;&gt;""),SUMIFS(Movimentos!$F$4:$F$9996,Movimentos!$D$4:$D$9996,B1989,Movimentos!$C$4:$C$9996,"Entrada")-SUMIFS(Movimentos!$F$4:$F$9996,Movimentos!$D$4:$D$9996,B1989,Movimentos!$C$4:$C$9996,"Saída"),""),"")</f>
        <v/>
      </c>
      <c r="F1989" s="10" t="str">
        <f t="shared" si="64"/>
        <v/>
      </c>
    </row>
    <row r="1990" spans="1:6" x14ac:dyDescent="0.3">
      <c r="A1990" s="15" t="str">
        <f t="shared" si="65"/>
        <v>.</v>
      </c>
      <c r="E1990" s="13" t="str">
        <f>IFERROR(IF(AND(B1990&lt;&gt;"",C1990&lt;&gt;""),SUMIFS(Movimentos!$F$4:$F$9996,Movimentos!$D$4:$D$9996,B1990,Movimentos!$C$4:$C$9996,"Entrada")-SUMIFS(Movimentos!$F$4:$F$9996,Movimentos!$D$4:$D$9996,B1990,Movimentos!$C$4:$C$9996,"Saída"),""),"")</f>
        <v/>
      </c>
      <c r="F1990" s="10" t="str">
        <f t="shared" si="64"/>
        <v/>
      </c>
    </row>
    <row r="1991" spans="1:6" x14ac:dyDescent="0.3">
      <c r="A1991" s="15" t="str">
        <f t="shared" si="65"/>
        <v>.</v>
      </c>
      <c r="E1991" s="13" t="str">
        <f>IFERROR(IF(AND(B1991&lt;&gt;"",C1991&lt;&gt;""),SUMIFS(Movimentos!$F$4:$F$9996,Movimentos!$D$4:$D$9996,B1991,Movimentos!$C$4:$C$9996,"Entrada")-SUMIFS(Movimentos!$F$4:$F$9996,Movimentos!$D$4:$D$9996,B1991,Movimentos!$C$4:$C$9996,"Saída"),""),"")</f>
        <v/>
      </c>
      <c r="F1991" s="10" t="str">
        <f t="shared" si="64"/>
        <v/>
      </c>
    </row>
    <row r="1992" spans="1:6" x14ac:dyDescent="0.3">
      <c r="A1992" s="15" t="str">
        <f t="shared" si="65"/>
        <v>.</v>
      </c>
      <c r="E1992" s="13" t="str">
        <f>IFERROR(IF(AND(B1992&lt;&gt;"",C1992&lt;&gt;""),SUMIFS(Movimentos!$F$4:$F$9996,Movimentos!$D$4:$D$9996,B1992,Movimentos!$C$4:$C$9996,"Entrada")-SUMIFS(Movimentos!$F$4:$F$9996,Movimentos!$D$4:$D$9996,B1992,Movimentos!$C$4:$C$9996,"Saída"),""),"")</f>
        <v/>
      </c>
      <c r="F1992" s="10" t="str">
        <f t="shared" si="64"/>
        <v/>
      </c>
    </row>
    <row r="1993" spans="1:6" x14ac:dyDescent="0.3">
      <c r="A1993" s="15" t="str">
        <f t="shared" si="65"/>
        <v>.</v>
      </c>
      <c r="E1993" s="13" t="str">
        <f>IFERROR(IF(AND(B1993&lt;&gt;"",C1993&lt;&gt;""),SUMIFS(Movimentos!$F$4:$F$9996,Movimentos!$D$4:$D$9996,B1993,Movimentos!$C$4:$C$9996,"Entrada")-SUMIFS(Movimentos!$F$4:$F$9996,Movimentos!$D$4:$D$9996,B1993,Movimentos!$C$4:$C$9996,"Saída"),""),"")</f>
        <v/>
      </c>
      <c r="F1993" s="10" t="str">
        <f t="shared" si="64"/>
        <v/>
      </c>
    </row>
    <row r="1994" spans="1:6" x14ac:dyDescent="0.3">
      <c r="A1994" s="15" t="str">
        <f t="shared" si="65"/>
        <v>.</v>
      </c>
      <c r="E1994" s="13" t="str">
        <f>IFERROR(IF(AND(B1994&lt;&gt;"",C1994&lt;&gt;""),SUMIFS(Movimentos!$F$4:$F$9996,Movimentos!$D$4:$D$9996,B1994,Movimentos!$C$4:$C$9996,"Entrada")-SUMIFS(Movimentos!$F$4:$F$9996,Movimentos!$D$4:$D$9996,B1994,Movimentos!$C$4:$C$9996,"Saída"),""),"")</f>
        <v/>
      </c>
      <c r="F1994" s="10" t="str">
        <f t="shared" si="64"/>
        <v/>
      </c>
    </row>
    <row r="1995" spans="1:6" x14ac:dyDescent="0.3">
      <c r="A1995" s="15" t="str">
        <f t="shared" si="65"/>
        <v>.</v>
      </c>
      <c r="E1995" s="13" t="str">
        <f>IFERROR(IF(AND(B1995&lt;&gt;"",C1995&lt;&gt;""),SUMIFS(Movimentos!$F$4:$F$9996,Movimentos!$D$4:$D$9996,B1995,Movimentos!$C$4:$C$9996,"Entrada")-SUMIFS(Movimentos!$F$4:$F$9996,Movimentos!$D$4:$D$9996,B1995,Movimentos!$C$4:$C$9996,"Saída"),""),"")</f>
        <v/>
      </c>
      <c r="F1995" s="10" t="str">
        <f t="shared" si="64"/>
        <v/>
      </c>
    </row>
    <row r="1996" spans="1:6" x14ac:dyDescent="0.3">
      <c r="A1996" s="15" t="str">
        <f t="shared" si="65"/>
        <v>.</v>
      </c>
      <c r="E1996" s="13" t="str">
        <f>IFERROR(IF(AND(B1996&lt;&gt;"",C1996&lt;&gt;""),SUMIFS(Movimentos!$F$4:$F$9996,Movimentos!$D$4:$D$9996,B1996,Movimentos!$C$4:$C$9996,"Entrada")-SUMIFS(Movimentos!$F$4:$F$9996,Movimentos!$D$4:$D$9996,B1996,Movimentos!$C$4:$C$9996,"Saída"),""),"")</f>
        <v/>
      </c>
      <c r="F1996" s="10" t="str">
        <f t="shared" si="64"/>
        <v/>
      </c>
    </row>
    <row r="1997" spans="1:6" x14ac:dyDescent="0.3">
      <c r="A1997" s="15" t="str">
        <f t="shared" si="65"/>
        <v>.</v>
      </c>
      <c r="E1997" s="13" t="str">
        <f>IFERROR(IF(AND(B1997&lt;&gt;"",C1997&lt;&gt;""),SUMIFS(Movimentos!$F$4:$F$9996,Movimentos!$D$4:$D$9996,B1997,Movimentos!$C$4:$C$9996,"Entrada")-SUMIFS(Movimentos!$F$4:$F$9996,Movimentos!$D$4:$D$9996,B1997,Movimentos!$C$4:$C$9996,"Saída"),""),"")</f>
        <v/>
      </c>
      <c r="F1997" s="10" t="str">
        <f t="shared" si="64"/>
        <v/>
      </c>
    </row>
    <row r="1998" spans="1:6" x14ac:dyDescent="0.3">
      <c r="A1998" s="15" t="str">
        <f t="shared" si="65"/>
        <v>.</v>
      </c>
      <c r="E1998" s="13" t="str">
        <f>IFERROR(IF(AND(B1998&lt;&gt;"",C1998&lt;&gt;""),SUMIFS(Movimentos!$F$4:$F$9996,Movimentos!$D$4:$D$9996,B1998,Movimentos!$C$4:$C$9996,"Entrada")-SUMIFS(Movimentos!$F$4:$F$9996,Movimentos!$D$4:$D$9996,B1998,Movimentos!$C$4:$C$9996,"Saída"),""),"")</f>
        <v/>
      </c>
      <c r="F1998" s="10" t="str">
        <f t="shared" si="64"/>
        <v/>
      </c>
    </row>
    <row r="1999" spans="1:6" x14ac:dyDescent="0.3">
      <c r="A1999" s="15" t="str">
        <f t="shared" si="65"/>
        <v>.</v>
      </c>
      <c r="E1999" s="13" t="str">
        <f>IFERROR(IF(AND(B1999&lt;&gt;"",C1999&lt;&gt;""),SUMIFS(Movimentos!$F$4:$F$9996,Movimentos!$D$4:$D$9996,B1999,Movimentos!$C$4:$C$9996,"Entrada")-SUMIFS(Movimentos!$F$4:$F$9996,Movimentos!$D$4:$D$9996,B1999,Movimentos!$C$4:$C$9996,"Saída"),""),"")</f>
        <v/>
      </c>
      <c r="F1999" s="10" t="str">
        <f t="shared" si="64"/>
        <v/>
      </c>
    </row>
    <row r="2000" spans="1:6" x14ac:dyDescent="0.3">
      <c r="A2000" s="15" t="str">
        <f t="shared" si="65"/>
        <v>.</v>
      </c>
      <c r="E2000" s="13" t="str">
        <f>IFERROR(IF(AND(B2000&lt;&gt;"",C2000&lt;&gt;""),SUMIFS(Movimentos!$F$4:$F$9996,Movimentos!$D$4:$D$9996,B2000,Movimentos!$C$4:$C$9996,"Entrada")-SUMIFS(Movimentos!$F$4:$F$9996,Movimentos!$D$4:$D$9996,B2000,Movimentos!$C$4:$C$9996,"Saída"),""),"")</f>
        <v/>
      </c>
      <c r="F2000" s="10" t="str">
        <f t="shared" si="64"/>
        <v/>
      </c>
    </row>
    <row r="2001" spans="1:6" x14ac:dyDescent="0.3">
      <c r="A2001" s="15" t="str">
        <f t="shared" si="65"/>
        <v>.</v>
      </c>
      <c r="E2001" s="13" t="str">
        <f>IFERROR(IF(AND(B2001&lt;&gt;"",C2001&lt;&gt;""),SUMIFS(Movimentos!$F$4:$F$9996,Movimentos!$D$4:$D$9996,B2001,Movimentos!$C$4:$C$9996,"Entrada")-SUMIFS(Movimentos!$F$4:$F$9996,Movimentos!$D$4:$D$9996,B2001,Movimentos!$C$4:$C$9996,"Saída"),""),"")</f>
        <v/>
      </c>
      <c r="F2001" s="10" t="str">
        <f t="shared" si="64"/>
        <v/>
      </c>
    </row>
    <row r="2002" spans="1:6" x14ac:dyDescent="0.3">
      <c r="A2002" s="15" t="str">
        <f t="shared" si="65"/>
        <v>.</v>
      </c>
      <c r="E2002" s="13" t="str">
        <f>IFERROR(IF(AND(B2002&lt;&gt;"",C2002&lt;&gt;""),SUMIFS(Movimentos!$F$4:$F$9996,Movimentos!$D$4:$D$9996,B2002,Movimentos!$C$4:$C$9996,"Entrada")-SUMIFS(Movimentos!$F$4:$F$9996,Movimentos!$D$4:$D$9996,B2002,Movimentos!$C$4:$C$9996,"Saída"),""),"")</f>
        <v/>
      </c>
      <c r="F2002" s="10" t="str">
        <f t="shared" si="64"/>
        <v/>
      </c>
    </row>
    <row r="2003" spans="1:6" x14ac:dyDescent="0.3">
      <c r="A2003" s="15" t="str">
        <f t="shared" si="65"/>
        <v>.</v>
      </c>
      <c r="E2003" s="13" t="str">
        <f>IFERROR(IF(AND(B2003&lt;&gt;"",C2003&lt;&gt;""),SUMIFS(Movimentos!$F$4:$F$9996,Movimentos!$D$4:$D$9996,B2003,Movimentos!$C$4:$C$9996,"Entrada")-SUMIFS(Movimentos!$F$4:$F$9996,Movimentos!$D$4:$D$9996,B2003,Movimentos!$C$4:$C$9996,"Saída"),""),"")</f>
        <v/>
      </c>
      <c r="F2003" s="10" t="str">
        <f t="shared" si="64"/>
        <v/>
      </c>
    </row>
    <row r="2004" spans="1:6" x14ac:dyDescent="0.3">
      <c r="A2004" s="15" t="str">
        <f t="shared" si="65"/>
        <v>.</v>
      </c>
      <c r="E2004" s="13" t="str">
        <f>IFERROR(IF(AND(B2004&lt;&gt;"",C2004&lt;&gt;""),SUMIFS(Movimentos!$F$4:$F$9996,Movimentos!$D$4:$D$9996,B2004,Movimentos!$C$4:$C$9996,"Entrada")-SUMIFS(Movimentos!$F$4:$F$9996,Movimentos!$D$4:$D$9996,B2004,Movimentos!$C$4:$C$9996,"Saída"),""),"")</f>
        <v/>
      </c>
      <c r="F2004" s="10" t="str">
        <f t="shared" si="64"/>
        <v/>
      </c>
    </row>
    <row r="2005" spans="1:6" x14ac:dyDescent="0.3">
      <c r="A2005" s="15" t="str">
        <f t="shared" si="65"/>
        <v>.</v>
      </c>
      <c r="E2005" s="13" t="str">
        <f>IFERROR(IF(AND(B2005&lt;&gt;"",C2005&lt;&gt;""),SUMIFS(Movimentos!$F$4:$F$9996,Movimentos!$D$4:$D$9996,B2005,Movimentos!$C$4:$C$9996,"Entrada")-SUMIFS(Movimentos!$F$4:$F$9996,Movimentos!$D$4:$D$9996,B2005,Movimentos!$C$4:$C$9996,"Saída"),""),"")</f>
        <v/>
      </c>
      <c r="F2005" s="10" t="str">
        <f t="shared" si="64"/>
        <v/>
      </c>
    </row>
    <row r="2006" spans="1:6" x14ac:dyDescent="0.3">
      <c r="A2006" s="15" t="str">
        <f t="shared" si="65"/>
        <v>.</v>
      </c>
      <c r="E2006" s="13" t="str">
        <f>IFERROR(IF(AND(B2006&lt;&gt;"",C2006&lt;&gt;""),SUMIFS(Movimentos!$F$4:$F$9996,Movimentos!$D$4:$D$9996,B2006,Movimentos!$C$4:$C$9996,"Entrada")-SUMIFS(Movimentos!$F$4:$F$9996,Movimentos!$D$4:$D$9996,B2006,Movimentos!$C$4:$C$9996,"Saída"),""),"")</f>
        <v/>
      </c>
      <c r="F2006" s="10" t="str">
        <f t="shared" si="64"/>
        <v/>
      </c>
    </row>
    <row r="2007" spans="1:6" x14ac:dyDescent="0.3">
      <c r="A2007" s="15" t="str">
        <f t="shared" si="65"/>
        <v>.</v>
      </c>
      <c r="E2007" s="13" t="str">
        <f>IFERROR(IF(AND(B2007&lt;&gt;"",C2007&lt;&gt;""),SUMIFS(Movimentos!$F$4:$F$9996,Movimentos!$D$4:$D$9996,B2007,Movimentos!$C$4:$C$9996,"Entrada")-SUMIFS(Movimentos!$F$4:$F$9996,Movimentos!$D$4:$D$9996,B2007,Movimentos!$C$4:$C$9996,"Saída"),""),"")</f>
        <v/>
      </c>
      <c r="F2007" s="10" t="str">
        <f t="shared" ref="F2007:F2070" si="66">IF(AND(B2007&lt;&gt;"",C2007&lt;&gt;""),IF(E2007=0,"Saldo zerado",IF(E2007&lt;D2007,"Saldo abaixo do mínimo","Saldo disponível")),"")</f>
        <v/>
      </c>
    </row>
    <row r="2008" spans="1:6" x14ac:dyDescent="0.3">
      <c r="A2008" s="15" t="str">
        <f t="shared" si="65"/>
        <v>.</v>
      </c>
      <c r="E2008" s="13" t="str">
        <f>IFERROR(IF(AND(B2008&lt;&gt;"",C2008&lt;&gt;""),SUMIFS(Movimentos!$F$4:$F$9996,Movimentos!$D$4:$D$9996,B2008,Movimentos!$C$4:$C$9996,"Entrada")-SUMIFS(Movimentos!$F$4:$F$9996,Movimentos!$D$4:$D$9996,B2008,Movimentos!$C$4:$C$9996,"Saída"),""),"")</f>
        <v/>
      </c>
      <c r="F2008" s="10" t="str">
        <f t="shared" si="66"/>
        <v/>
      </c>
    </row>
    <row r="2009" spans="1:6" x14ac:dyDescent="0.3">
      <c r="A2009" s="15" t="str">
        <f t="shared" si="65"/>
        <v>.</v>
      </c>
      <c r="E2009" s="13" t="str">
        <f>IFERROR(IF(AND(B2009&lt;&gt;"",C2009&lt;&gt;""),SUMIFS(Movimentos!$F$4:$F$9996,Movimentos!$D$4:$D$9996,B2009,Movimentos!$C$4:$C$9996,"Entrada")-SUMIFS(Movimentos!$F$4:$F$9996,Movimentos!$D$4:$D$9996,B2009,Movimentos!$C$4:$C$9996,"Saída"),""),"")</f>
        <v/>
      </c>
      <c r="F2009" s="10" t="str">
        <f t="shared" si="66"/>
        <v/>
      </c>
    </row>
    <row r="2010" spans="1:6" x14ac:dyDescent="0.3">
      <c r="A2010" s="15" t="str">
        <f t="shared" si="65"/>
        <v>.</v>
      </c>
      <c r="E2010" s="13" t="str">
        <f>IFERROR(IF(AND(B2010&lt;&gt;"",C2010&lt;&gt;""),SUMIFS(Movimentos!$F$4:$F$9996,Movimentos!$D$4:$D$9996,B2010,Movimentos!$C$4:$C$9996,"Entrada")-SUMIFS(Movimentos!$F$4:$F$9996,Movimentos!$D$4:$D$9996,B2010,Movimentos!$C$4:$C$9996,"Saída"),""),"")</f>
        <v/>
      </c>
      <c r="F2010" s="10" t="str">
        <f t="shared" si="66"/>
        <v/>
      </c>
    </row>
    <row r="2011" spans="1:6" x14ac:dyDescent="0.3">
      <c r="A2011" s="15" t="str">
        <f t="shared" si="65"/>
        <v>.</v>
      </c>
      <c r="E2011" s="13" t="str">
        <f>IFERROR(IF(AND(B2011&lt;&gt;"",C2011&lt;&gt;""),SUMIFS(Movimentos!$F$4:$F$9996,Movimentos!$D$4:$D$9996,B2011,Movimentos!$C$4:$C$9996,"Entrada")-SUMIFS(Movimentos!$F$4:$F$9996,Movimentos!$D$4:$D$9996,B2011,Movimentos!$C$4:$C$9996,"Saída"),""),"")</f>
        <v/>
      </c>
      <c r="F2011" s="10" t="str">
        <f t="shared" si="66"/>
        <v/>
      </c>
    </row>
    <row r="2012" spans="1:6" x14ac:dyDescent="0.3">
      <c r="A2012" s="15" t="str">
        <f t="shared" si="65"/>
        <v>.</v>
      </c>
      <c r="E2012" s="13" t="str">
        <f>IFERROR(IF(AND(B2012&lt;&gt;"",C2012&lt;&gt;""),SUMIFS(Movimentos!$F$4:$F$9996,Movimentos!$D$4:$D$9996,B2012,Movimentos!$C$4:$C$9996,"Entrada")-SUMIFS(Movimentos!$F$4:$F$9996,Movimentos!$D$4:$D$9996,B2012,Movimentos!$C$4:$C$9996,"Saída"),""),"")</f>
        <v/>
      </c>
      <c r="F2012" s="10" t="str">
        <f t="shared" si="66"/>
        <v/>
      </c>
    </row>
    <row r="2013" spans="1:6" x14ac:dyDescent="0.3">
      <c r="A2013" s="15" t="str">
        <f t="shared" si="65"/>
        <v>.</v>
      </c>
      <c r="E2013" s="13" t="str">
        <f>IFERROR(IF(AND(B2013&lt;&gt;"",C2013&lt;&gt;""),SUMIFS(Movimentos!$F$4:$F$9996,Movimentos!$D$4:$D$9996,B2013,Movimentos!$C$4:$C$9996,"Entrada")-SUMIFS(Movimentos!$F$4:$F$9996,Movimentos!$D$4:$D$9996,B2013,Movimentos!$C$4:$C$9996,"Saída"),""),"")</f>
        <v/>
      </c>
      <c r="F2013" s="10" t="str">
        <f t="shared" si="66"/>
        <v/>
      </c>
    </row>
    <row r="2014" spans="1:6" x14ac:dyDescent="0.3">
      <c r="A2014" s="15" t="str">
        <f t="shared" si="65"/>
        <v>.</v>
      </c>
      <c r="E2014" s="13" t="str">
        <f>IFERROR(IF(AND(B2014&lt;&gt;"",C2014&lt;&gt;""),SUMIFS(Movimentos!$F$4:$F$9996,Movimentos!$D$4:$D$9996,B2014,Movimentos!$C$4:$C$9996,"Entrada")-SUMIFS(Movimentos!$F$4:$F$9996,Movimentos!$D$4:$D$9996,B2014,Movimentos!$C$4:$C$9996,"Saída"),""),"")</f>
        <v/>
      </c>
      <c r="F2014" s="10" t="str">
        <f t="shared" si="66"/>
        <v/>
      </c>
    </row>
    <row r="2015" spans="1:6" x14ac:dyDescent="0.3">
      <c r="A2015" s="15" t="str">
        <f t="shared" si="65"/>
        <v>.</v>
      </c>
      <c r="E2015" s="13" t="str">
        <f>IFERROR(IF(AND(B2015&lt;&gt;"",C2015&lt;&gt;""),SUMIFS(Movimentos!$F$4:$F$9996,Movimentos!$D$4:$D$9996,B2015,Movimentos!$C$4:$C$9996,"Entrada")-SUMIFS(Movimentos!$F$4:$F$9996,Movimentos!$D$4:$D$9996,B2015,Movimentos!$C$4:$C$9996,"Saída"),""),"")</f>
        <v/>
      </c>
      <c r="F2015" s="10" t="str">
        <f t="shared" si="66"/>
        <v/>
      </c>
    </row>
    <row r="2016" spans="1:6" x14ac:dyDescent="0.3">
      <c r="A2016" s="15" t="str">
        <f t="shared" si="65"/>
        <v>.</v>
      </c>
      <c r="E2016" s="13" t="str">
        <f>IFERROR(IF(AND(B2016&lt;&gt;"",C2016&lt;&gt;""),SUMIFS(Movimentos!$F$4:$F$9996,Movimentos!$D$4:$D$9996,B2016,Movimentos!$C$4:$C$9996,"Entrada")-SUMIFS(Movimentos!$F$4:$F$9996,Movimentos!$D$4:$D$9996,B2016,Movimentos!$C$4:$C$9996,"Saída"),""),"")</f>
        <v/>
      </c>
      <c r="F2016" s="10" t="str">
        <f t="shared" si="66"/>
        <v/>
      </c>
    </row>
    <row r="2017" spans="1:6" x14ac:dyDescent="0.3">
      <c r="A2017" s="15" t="str">
        <f t="shared" si="65"/>
        <v>.</v>
      </c>
      <c r="E2017" s="13" t="str">
        <f>IFERROR(IF(AND(B2017&lt;&gt;"",C2017&lt;&gt;""),SUMIFS(Movimentos!$F$4:$F$9996,Movimentos!$D$4:$D$9996,B2017,Movimentos!$C$4:$C$9996,"Entrada")-SUMIFS(Movimentos!$F$4:$F$9996,Movimentos!$D$4:$D$9996,B2017,Movimentos!$C$4:$C$9996,"Saída"),""),"")</f>
        <v/>
      </c>
      <c r="F2017" s="10" t="str">
        <f t="shared" si="66"/>
        <v/>
      </c>
    </row>
    <row r="2018" spans="1:6" x14ac:dyDescent="0.3">
      <c r="A2018" s="15" t="str">
        <f t="shared" si="65"/>
        <v>.</v>
      </c>
      <c r="E2018" s="13" t="str">
        <f>IFERROR(IF(AND(B2018&lt;&gt;"",C2018&lt;&gt;""),SUMIFS(Movimentos!$F$4:$F$9996,Movimentos!$D$4:$D$9996,B2018,Movimentos!$C$4:$C$9996,"Entrada")-SUMIFS(Movimentos!$F$4:$F$9996,Movimentos!$D$4:$D$9996,B2018,Movimentos!$C$4:$C$9996,"Saída"),""),"")</f>
        <v/>
      </c>
      <c r="F2018" s="10" t="str">
        <f t="shared" si="66"/>
        <v/>
      </c>
    </row>
    <row r="2019" spans="1:6" x14ac:dyDescent="0.3">
      <c r="A2019" s="15" t="str">
        <f t="shared" si="65"/>
        <v>.</v>
      </c>
      <c r="E2019" s="13" t="str">
        <f>IFERROR(IF(AND(B2019&lt;&gt;"",C2019&lt;&gt;""),SUMIFS(Movimentos!$F$4:$F$9996,Movimentos!$D$4:$D$9996,B2019,Movimentos!$C$4:$C$9996,"Entrada")-SUMIFS(Movimentos!$F$4:$F$9996,Movimentos!$D$4:$D$9996,B2019,Movimentos!$C$4:$C$9996,"Saída"),""),"")</f>
        <v/>
      </c>
      <c r="F2019" s="10" t="str">
        <f t="shared" si="66"/>
        <v/>
      </c>
    </row>
    <row r="2020" spans="1:6" x14ac:dyDescent="0.3">
      <c r="A2020" s="15" t="str">
        <f t="shared" si="65"/>
        <v>.</v>
      </c>
      <c r="E2020" s="13" t="str">
        <f>IFERROR(IF(AND(B2020&lt;&gt;"",C2020&lt;&gt;""),SUMIFS(Movimentos!$F$4:$F$9996,Movimentos!$D$4:$D$9996,B2020,Movimentos!$C$4:$C$9996,"Entrada")-SUMIFS(Movimentos!$F$4:$F$9996,Movimentos!$D$4:$D$9996,B2020,Movimentos!$C$4:$C$9996,"Saída"),""),"")</f>
        <v/>
      </c>
      <c r="F2020" s="10" t="str">
        <f t="shared" si="66"/>
        <v/>
      </c>
    </row>
    <row r="2021" spans="1:6" x14ac:dyDescent="0.3">
      <c r="A2021" s="15" t="str">
        <f t="shared" si="65"/>
        <v>.</v>
      </c>
      <c r="E2021" s="13" t="str">
        <f>IFERROR(IF(AND(B2021&lt;&gt;"",C2021&lt;&gt;""),SUMIFS(Movimentos!$F$4:$F$9996,Movimentos!$D$4:$D$9996,B2021,Movimentos!$C$4:$C$9996,"Entrada")-SUMIFS(Movimentos!$F$4:$F$9996,Movimentos!$D$4:$D$9996,B2021,Movimentos!$C$4:$C$9996,"Saída"),""),"")</f>
        <v/>
      </c>
      <c r="F2021" s="10" t="str">
        <f t="shared" si="66"/>
        <v/>
      </c>
    </row>
    <row r="2022" spans="1:6" x14ac:dyDescent="0.3">
      <c r="A2022" s="15" t="str">
        <f t="shared" si="65"/>
        <v>.</v>
      </c>
      <c r="E2022" s="13" t="str">
        <f>IFERROR(IF(AND(B2022&lt;&gt;"",C2022&lt;&gt;""),SUMIFS(Movimentos!$F$4:$F$9996,Movimentos!$D$4:$D$9996,B2022,Movimentos!$C$4:$C$9996,"Entrada")-SUMIFS(Movimentos!$F$4:$F$9996,Movimentos!$D$4:$D$9996,B2022,Movimentos!$C$4:$C$9996,"Saída"),""),"")</f>
        <v/>
      </c>
      <c r="F2022" s="10" t="str">
        <f t="shared" si="66"/>
        <v/>
      </c>
    </row>
    <row r="2023" spans="1:6" x14ac:dyDescent="0.3">
      <c r="A2023" s="15" t="str">
        <f t="shared" si="65"/>
        <v>.</v>
      </c>
      <c r="E2023" s="13" t="str">
        <f>IFERROR(IF(AND(B2023&lt;&gt;"",C2023&lt;&gt;""),SUMIFS(Movimentos!$F$4:$F$9996,Movimentos!$D$4:$D$9996,B2023,Movimentos!$C$4:$C$9996,"Entrada")-SUMIFS(Movimentos!$F$4:$F$9996,Movimentos!$D$4:$D$9996,B2023,Movimentos!$C$4:$C$9996,"Saída"),""),"")</f>
        <v/>
      </c>
      <c r="F2023" s="10" t="str">
        <f t="shared" si="66"/>
        <v/>
      </c>
    </row>
    <row r="2024" spans="1:6" x14ac:dyDescent="0.3">
      <c r="A2024" s="15" t="str">
        <f t="shared" si="65"/>
        <v>.</v>
      </c>
      <c r="E2024" s="13" t="str">
        <f>IFERROR(IF(AND(B2024&lt;&gt;"",C2024&lt;&gt;""),SUMIFS(Movimentos!$F$4:$F$9996,Movimentos!$D$4:$D$9996,B2024,Movimentos!$C$4:$C$9996,"Entrada")-SUMIFS(Movimentos!$F$4:$F$9996,Movimentos!$D$4:$D$9996,B2024,Movimentos!$C$4:$C$9996,"Saída"),""),"")</f>
        <v/>
      </c>
      <c r="F2024" s="10" t="str">
        <f t="shared" si="66"/>
        <v/>
      </c>
    </row>
    <row r="2025" spans="1:6" x14ac:dyDescent="0.3">
      <c r="A2025" s="15" t="str">
        <f t="shared" si="65"/>
        <v>.</v>
      </c>
      <c r="E2025" s="13" t="str">
        <f>IFERROR(IF(AND(B2025&lt;&gt;"",C2025&lt;&gt;""),SUMIFS(Movimentos!$F$4:$F$9996,Movimentos!$D$4:$D$9996,B2025,Movimentos!$C$4:$C$9996,"Entrada")-SUMIFS(Movimentos!$F$4:$F$9996,Movimentos!$D$4:$D$9996,B2025,Movimentos!$C$4:$C$9996,"Saída"),""),"")</f>
        <v/>
      </c>
      <c r="F2025" s="10" t="str">
        <f t="shared" si="66"/>
        <v/>
      </c>
    </row>
    <row r="2026" spans="1:6" x14ac:dyDescent="0.3">
      <c r="A2026" s="15" t="str">
        <f t="shared" si="65"/>
        <v>.</v>
      </c>
      <c r="E2026" s="13" t="str">
        <f>IFERROR(IF(AND(B2026&lt;&gt;"",C2026&lt;&gt;""),SUMIFS(Movimentos!$F$4:$F$9996,Movimentos!$D$4:$D$9996,B2026,Movimentos!$C$4:$C$9996,"Entrada")-SUMIFS(Movimentos!$F$4:$F$9996,Movimentos!$D$4:$D$9996,B2026,Movimentos!$C$4:$C$9996,"Saída"),""),"")</f>
        <v/>
      </c>
      <c r="F2026" s="10" t="str">
        <f t="shared" si="66"/>
        <v/>
      </c>
    </row>
    <row r="2027" spans="1:6" x14ac:dyDescent="0.3">
      <c r="A2027" s="15" t="str">
        <f t="shared" si="65"/>
        <v>.</v>
      </c>
      <c r="E2027" s="13" t="str">
        <f>IFERROR(IF(AND(B2027&lt;&gt;"",C2027&lt;&gt;""),SUMIFS(Movimentos!$F$4:$F$9996,Movimentos!$D$4:$D$9996,B2027,Movimentos!$C$4:$C$9996,"Entrada")-SUMIFS(Movimentos!$F$4:$F$9996,Movimentos!$D$4:$D$9996,B2027,Movimentos!$C$4:$C$9996,"Saída"),""),"")</f>
        <v/>
      </c>
      <c r="F2027" s="10" t="str">
        <f t="shared" si="66"/>
        <v/>
      </c>
    </row>
    <row r="2028" spans="1:6" x14ac:dyDescent="0.3">
      <c r="A2028" s="15" t="str">
        <f t="shared" si="65"/>
        <v>.</v>
      </c>
      <c r="E2028" s="13" t="str">
        <f>IFERROR(IF(AND(B2028&lt;&gt;"",C2028&lt;&gt;""),SUMIFS(Movimentos!$F$4:$F$9996,Movimentos!$D$4:$D$9996,B2028,Movimentos!$C$4:$C$9996,"Entrada")-SUMIFS(Movimentos!$F$4:$F$9996,Movimentos!$D$4:$D$9996,B2028,Movimentos!$C$4:$C$9996,"Saída"),""),"")</f>
        <v/>
      </c>
      <c r="F2028" s="10" t="str">
        <f t="shared" si="66"/>
        <v/>
      </c>
    </row>
    <row r="2029" spans="1:6" x14ac:dyDescent="0.3">
      <c r="A2029" s="15" t="str">
        <f t="shared" si="65"/>
        <v>.</v>
      </c>
      <c r="E2029" s="13" t="str">
        <f>IFERROR(IF(AND(B2029&lt;&gt;"",C2029&lt;&gt;""),SUMIFS(Movimentos!$F$4:$F$9996,Movimentos!$D$4:$D$9996,B2029,Movimentos!$C$4:$C$9996,"Entrada")-SUMIFS(Movimentos!$F$4:$F$9996,Movimentos!$D$4:$D$9996,B2029,Movimentos!$C$4:$C$9996,"Saída"),""),"")</f>
        <v/>
      </c>
      <c r="F2029" s="10" t="str">
        <f t="shared" si="66"/>
        <v/>
      </c>
    </row>
    <row r="2030" spans="1:6" x14ac:dyDescent="0.3">
      <c r="A2030" s="15" t="str">
        <f t="shared" si="65"/>
        <v>.</v>
      </c>
      <c r="E2030" s="13" t="str">
        <f>IFERROR(IF(AND(B2030&lt;&gt;"",C2030&lt;&gt;""),SUMIFS(Movimentos!$F$4:$F$9996,Movimentos!$D$4:$D$9996,B2030,Movimentos!$C$4:$C$9996,"Entrada")-SUMIFS(Movimentos!$F$4:$F$9996,Movimentos!$D$4:$D$9996,B2030,Movimentos!$C$4:$C$9996,"Saída"),""),"")</f>
        <v/>
      </c>
      <c r="F2030" s="10" t="str">
        <f t="shared" si="66"/>
        <v/>
      </c>
    </row>
    <row r="2031" spans="1:6" x14ac:dyDescent="0.3">
      <c r="A2031" s="15" t="str">
        <f t="shared" si="65"/>
        <v>.</v>
      </c>
      <c r="E2031" s="13" t="str">
        <f>IFERROR(IF(AND(B2031&lt;&gt;"",C2031&lt;&gt;""),SUMIFS(Movimentos!$F$4:$F$9996,Movimentos!$D$4:$D$9996,B2031,Movimentos!$C$4:$C$9996,"Entrada")-SUMIFS(Movimentos!$F$4:$F$9996,Movimentos!$D$4:$D$9996,B2031,Movimentos!$C$4:$C$9996,"Saída"),""),"")</f>
        <v/>
      </c>
      <c r="F2031" s="10" t="str">
        <f t="shared" si="66"/>
        <v/>
      </c>
    </row>
    <row r="2032" spans="1:6" x14ac:dyDescent="0.3">
      <c r="A2032" s="15" t="str">
        <f t="shared" si="65"/>
        <v>.</v>
      </c>
      <c r="E2032" s="13" t="str">
        <f>IFERROR(IF(AND(B2032&lt;&gt;"",C2032&lt;&gt;""),SUMIFS(Movimentos!$F$4:$F$9996,Movimentos!$D$4:$D$9996,B2032,Movimentos!$C$4:$C$9996,"Entrada")-SUMIFS(Movimentos!$F$4:$F$9996,Movimentos!$D$4:$D$9996,B2032,Movimentos!$C$4:$C$9996,"Saída"),""),"")</f>
        <v/>
      </c>
      <c r="F2032" s="10" t="str">
        <f t="shared" si="66"/>
        <v/>
      </c>
    </row>
    <row r="2033" spans="1:6" x14ac:dyDescent="0.3">
      <c r="A2033" s="15" t="str">
        <f t="shared" si="65"/>
        <v>.</v>
      </c>
      <c r="E2033" s="13" t="str">
        <f>IFERROR(IF(AND(B2033&lt;&gt;"",C2033&lt;&gt;""),SUMIFS(Movimentos!$F$4:$F$9996,Movimentos!$D$4:$D$9996,B2033,Movimentos!$C$4:$C$9996,"Entrada")-SUMIFS(Movimentos!$F$4:$F$9996,Movimentos!$D$4:$D$9996,B2033,Movimentos!$C$4:$C$9996,"Saída"),""),"")</f>
        <v/>
      </c>
      <c r="F2033" s="10" t="str">
        <f t="shared" si="66"/>
        <v/>
      </c>
    </row>
    <row r="2034" spans="1:6" x14ac:dyDescent="0.3">
      <c r="A2034" s="15" t="str">
        <f t="shared" si="65"/>
        <v>.</v>
      </c>
      <c r="E2034" s="13" t="str">
        <f>IFERROR(IF(AND(B2034&lt;&gt;"",C2034&lt;&gt;""),SUMIFS(Movimentos!$F$4:$F$9996,Movimentos!$D$4:$D$9996,B2034,Movimentos!$C$4:$C$9996,"Entrada")-SUMIFS(Movimentos!$F$4:$F$9996,Movimentos!$D$4:$D$9996,B2034,Movimentos!$C$4:$C$9996,"Saída"),""),"")</f>
        <v/>
      </c>
      <c r="F2034" s="10" t="str">
        <f t="shared" si="66"/>
        <v/>
      </c>
    </row>
    <row r="2035" spans="1:6" x14ac:dyDescent="0.3">
      <c r="A2035" s="15" t="str">
        <f t="shared" si="65"/>
        <v>.</v>
      </c>
      <c r="E2035" s="13" t="str">
        <f>IFERROR(IF(AND(B2035&lt;&gt;"",C2035&lt;&gt;""),SUMIFS(Movimentos!$F$4:$F$9996,Movimentos!$D$4:$D$9996,B2035,Movimentos!$C$4:$C$9996,"Entrada")-SUMIFS(Movimentos!$F$4:$F$9996,Movimentos!$D$4:$D$9996,B2035,Movimentos!$C$4:$C$9996,"Saída"),""),"")</f>
        <v/>
      </c>
      <c r="F2035" s="10" t="str">
        <f t="shared" si="66"/>
        <v/>
      </c>
    </row>
    <row r="2036" spans="1:6" x14ac:dyDescent="0.3">
      <c r="A2036" s="15" t="str">
        <f t="shared" si="65"/>
        <v>.</v>
      </c>
      <c r="E2036" s="13" t="str">
        <f>IFERROR(IF(AND(B2036&lt;&gt;"",C2036&lt;&gt;""),SUMIFS(Movimentos!$F$4:$F$9996,Movimentos!$D$4:$D$9996,B2036,Movimentos!$C$4:$C$9996,"Entrada")-SUMIFS(Movimentos!$F$4:$F$9996,Movimentos!$D$4:$D$9996,B2036,Movimentos!$C$4:$C$9996,"Saída"),""),"")</f>
        <v/>
      </c>
      <c r="F2036" s="10" t="str">
        <f t="shared" si="66"/>
        <v/>
      </c>
    </row>
    <row r="2037" spans="1:6" x14ac:dyDescent="0.3">
      <c r="A2037" s="15" t="str">
        <f t="shared" si="65"/>
        <v>.</v>
      </c>
      <c r="E2037" s="13" t="str">
        <f>IFERROR(IF(AND(B2037&lt;&gt;"",C2037&lt;&gt;""),SUMIFS(Movimentos!$F$4:$F$9996,Movimentos!$D$4:$D$9996,B2037,Movimentos!$C$4:$C$9996,"Entrada")-SUMIFS(Movimentos!$F$4:$F$9996,Movimentos!$D$4:$D$9996,B2037,Movimentos!$C$4:$C$9996,"Saída"),""),"")</f>
        <v/>
      </c>
      <c r="F2037" s="10" t="str">
        <f t="shared" si="66"/>
        <v/>
      </c>
    </row>
    <row r="2038" spans="1:6" x14ac:dyDescent="0.3">
      <c r="A2038" s="15" t="str">
        <f t="shared" si="65"/>
        <v>.</v>
      </c>
      <c r="E2038" s="13" t="str">
        <f>IFERROR(IF(AND(B2038&lt;&gt;"",C2038&lt;&gt;""),SUMIFS(Movimentos!$F$4:$F$9996,Movimentos!$D$4:$D$9996,B2038,Movimentos!$C$4:$C$9996,"Entrada")-SUMIFS(Movimentos!$F$4:$F$9996,Movimentos!$D$4:$D$9996,B2038,Movimentos!$C$4:$C$9996,"Saída"),""),"")</f>
        <v/>
      </c>
      <c r="F2038" s="10" t="str">
        <f t="shared" si="66"/>
        <v/>
      </c>
    </row>
    <row r="2039" spans="1:6" x14ac:dyDescent="0.3">
      <c r="A2039" s="15" t="str">
        <f t="shared" si="65"/>
        <v>.</v>
      </c>
      <c r="E2039" s="13" t="str">
        <f>IFERROR(IF(AND(B2039&lt;&gt;"",C2039&lt;&gt;""),SUMIFS(Movimentos!$F$4:$F$9996,Movimentos!$D$4:$D$9996,B2039,Movimentos!$C$4:$C$9996,"Entrada")-SUMIFS(Movimentos!$F$4:$F$9996,Movimentos!$D$4:$D$9996,B2039,Movimentos!$C$4:$C$9996,"Saída"),""),"")</f>
        <v/>
      </c>
      <c r="F2039" s="10" t="str">
        <f t="shared" si="66"/>
        <v/>
      </c>
    </row>
    <row r="2040" spans="1:6" x14ac:dyDescent="0.3">
      <c r="A2040" s="15" t="str">
        <f t="shared" si="65"/>
        <v>.</v>
      </c>
      <c r="E2040" s="13" t="str">
        <f>IFERROR(IF(AND(B2040&lt;&gt;"",C2040&lt;&gt;""),SUMIFS(Movimentos!$F$4:$F$9996,Movimentos!$D$4:$D$9996,B2040,Movimentos!$C$4:$C$9996,"Entrada")-SUMIFS(Movimentos!$F$4:$F$9996,Movimentos!$D$4:$D$9996,B2040,Movimentos!$C$4:$C$9996,"Saída"),""),"")</f>
        <v/>
      </c>
      <c r="F2040" s="10" t="str">
        <f t="shared" si="66"/>
        <v/>
      </c>
    </row>
    <row r="2041" spans="1:6" x14ac:dyDescent="0.3">
      <c r="A2041" s="15" t="str">
        <f t="shared" si="65"/>
        <v>.</v>
      </c>
      <c r="E2041" s="13" t="str">
        <f>IFERROR(IF(AND(B2041&lt;&gt;"",C2041&lt;&gt;""),SUMIFS(Movimentos!$F$4:$F$9996,Movimentos!$D$4:$D$9996,B2041,Movimentos!$C$4:$C$9996,"Entrada")-SUMIFS(Movimentos!$F$4:$F$9996,Movimentos!$D$4:$D$9996,B2041,Movimentos!$C$4:$C$9996,"Saída"),""),"")</f>
        <v/>
      </c>
      <c r="F2041" s="10" t="str">
        <f t="shared" si="66"/>
        <v/>
      </c>
    </row>
    <row r="2042" spans="1:6" x14ac:dyDescent="0.3">
      <c r="A2042" s="15" t="str">
        <f t="shared" si="65"/>
        <v>.</v>
      </c>
      <c r="E2042" s="13" t="str">
        <f>IFERROR(IF(AND(B2042&lt;&gt;"",C2042&lt;&gt;""),SUMIFS(Movimentos!$F$4:$F$9996,Movimentos!$D$4:$D$9996,B2042,Movimentos!$C$4:$C$9996,"Entrada")-SUMIFS(Movimentos!$F$4:$F$9996,Movimentos!$D$4:$D$9996,B2042,Movimentos!$C$4:$C$9996,"Saída"),""),"")</f>
        <v/>
      </c>
      <c r="F2042" s="10" t="str">
        <f t="shared" si="66"/>
        <v/>
      </c>
    </row>
    <row r="2043" spans="1:6" x14ac:dyDescent="0.3">
      <c r="A2043" s="15" t="str">
        <f t="shared" si="65"/>
        <v>.</v>
      </c>
      <c r="E2043" s="13" t="str">
        <f>IFERROR(IF(AND(B2043&lt;&gt;"",C2043&lt;&gt;""),SUMIFS(Movimentos!$F$4:$F$9996,Movimentos!$D$4:$D$9996,B2043,Movimentos!$C$4:$C$9996,"Entrada")-SUMIFS(Movimentos!$F$4:$F$9996,Movimentos!$D$4:$D$9996,B2043,Movimentos!$C$4:$C$9996,"Saída"),""),"")</f>
        <v/>
      </c>
      <c r="F2043" s="10" t="str">
        <f t="shared" si="66"/>
        <v/>
      </c>
    </row>
    <row r="2044" spans="1:6" x14ac:dyDescent="0.3">
      <c r="A2044" s="15" t="str">
        <f t="shared" si="65"/>
        <v>.</v>
      </c>
      <c r="E2044" s="13" t="str">
        <f>IFERROR(IF(AND(B2044&lt;&gt;"",C2044&lt;&gt;""),SUMIFS(Movimentos!$F$4:$F$9996,Movimentos!$D$4:$D$9996,B2044,Movimentos!$C$4:$C$9996,"Entrada")-SUMIFS(Movimentos!$F$4:$F$9996,Movimentos!$D$4:$D$9996,B2044,Movimentos!$C$4:$C$9996,"Saída"),""),"")</f>
        <v/>
      </c>
      <c r="F2044" s="10" t="str">
        <f t="shared" si="66"/>
        <v/>
      </c>
    </row>
    <row r="2045" spans="1:6" x14ac:dyDescent="0.3">
      <c r="A2045" s="15" t="str">
        <f t="shared" si="65"/>
        <v>.</v>
      </c>
      <c r="E2045" s="13" t="str">
        <f>IFERROR(IF(AND(B2045&lt;&gt;"",C2045&lt;&gt;""),SUMIFS(Movimentos!$F$4:$F$9996,Movimentos!$D$4:$D$9996,B2045,Movimentos!$C$4:$C$9996,"Entrada")-SUMIFS(Movimentos!$F$4:$F$9996,Movimentos!$D$4:$D$9996,B2045,Movimentos!$C$4:$C$9996,"Saída"),""),"")</f>
        <v/>
      </c>
      <c r="F2045" s="10" t="str">
        <f t="shared" si="66"/>
        <v/>
      </c>
    </row>
    <row r="2046" spans="1:6" x14ac:dyDescent="0.3">
      <c r="A2046" s="15" t="str">
        <f t="shared" si="65"/>
        <v>.</v>
      </c>
      <c r="E2046" s="13" t="str">
        <f>IFERROR(IF(AND(B2046&lt;&gt;"",C2046&lt;&gt;""),SUMIFS(Movimentos!$F$4:$F$9996,Movimentos!$D$4:$D$9996,B2046,Movimentos!$C$4:$C$9996,"Entrada")-SUMIFS(Movimentos!$F$4:$F$9996,Movimentos!$D$4:$D$9996,B2046,Movimentos!$C$4:$C$9996,"Saída"),""),"")</f>
        <v/>
      </c>
      <c r="F2046" s="10" t="str">
        <f t="shared" si="66"/>
        <v/>
      </c>
    </row>
    <row r="2047" spans="1:6" x14ac:dyDescent="0.3">
      <c r="A2047" s="15" t="str">
        <f t="shared" si="65"/>
        <v>.</v>
      </c>
      <c r="E2047" s="13" t="str">
        <f>IFERROR(IF(AND(B2047&lt;&gt;"",C2047&lt;&gt;""),SUMIFS(Movimentos!$F$4:$F$9996,Movimentos!$D$4:$D$9996,B2047,Movimentos!$C$4:$C$9996,"Entrada")-SUMIFS(Movimentos!$F$4:$F$9996,Movimentos!$D$4:$D$9996,B2047,Movimentos!$C$4:$C$9996,"Saída"),""),"")</f>
        <v/>
      </c>
      <c r="F2047" s="10" t="str">
        <f t="shared" si="66"/>
        <v/>
      </c>
    </row>
    <row r="2048" spans="1:6" x14ac:dyDescent="0.3">
      <c r="A2048" s="15" t="str">
        <f t="shared" ref="A2048:A2111" si="67">IF(F2048="Saldo zerado",0,IF(F2048="Saldo abaixo do mínimo",1,IF(F2048="Saldo disponível",2,".")))</f>
        <v>.</v>
      </c>
      <c r="E2048" s="13" t="str">
        <f>IFERROR(IF(AND(B2048&lt;&gt;"",C2048&lt;&gt;""),SUMIFS(Movimentos!$F$4:$F$9996,Movimentos!$D$4:$D$9996,B2048,Movimentos!$C$4:$C$9996,"Entrada")-SUMIFS(Movimentos!$F$4:$F$9996,Movimentos!$D$4:$D$9996,B2048,Movimentos!$C$4:$C$9996,"Saída"),""),"")</f>
        <v/>
      </c>
      <c r="F2048" s="10" t="str">
        <f t="shared" si="66"/>
        <v/>
      </c>
    </row>
    <row r="2049" spans="1:6" x14ac:dyDescent="0.3">
      <c r="A2049" s="15" t="str">
        <f t="shared" si="67"/>
        <v>.</v>
      </c>
      <c r="E2049" s="13" t="str">
        <f>IFERROR(IF(AND(B2049&lt;&gt;"",C2049&lt;&gt;""),SUMIFS(Movimentos!$F$4:$F$9996,Movimentos!$D$4:$D$9996,B2049,Movimentos!$C$4:$C$9996,"Entrada")-SUMIFS(Movimentos!$F$4:$F$9996,Movimentos!$D$4:$D$9996,B2049,Movimentos!$C$4:$C$9996,"Saída"),""),"")</f>
        <v/>
      </c>
      <c r="F2049" s="10" t="str">
        <f t="shared" si="66"/>
        <v/>
      </c>
    </row>
    <row r="2050" spans="1:6" x14ac:dyDescent="0.3">
      <c r="A2050" s="15" t="str">
        <f t="shared" si="67"/>
        <v>.</v>
      </c>
      <c r="E2050" s="13" t="str">
        <f>IFERROR(IF(AND(B2050&lt;&gt;"",C2050&lt;&gt;""),SUMIFS(Movimentos!$F$4:$F$9996,Movimentos!$D$4:$D$9996,B2050,Movimentos!$C$4:$C$9996,"Entrada")-SUMIFS(Movimentos!$F$4:$F$9996,Movimentos!$D$4:$D$9996,B2050,Movimentos!$C$4:$C$9996,"Saída"),""),"")</f>
        <v/>
      </c>
      <c r="F2050" s="10" t="str">
        <f t="shared" si="66"/>
        <v/>
      </c>
    </row>
    <row r="2051" spans="1:6" x14ac:dyDescent="0.3">
      <c r="A2051" s="15" t="str">
        <f t="shared" si="67"/>
        <v>.</v>
      </c>
      <c r="E2051" s="13" t="str">
        <f>IFERROR(IF(AND(B2051&lt;&gt;"",C2051&lt;&gt;""),SUMIFS(Movimentos!$F$4:$F$9996,Movimentos!$D$4:$D$9996,B2051,Movimentos!$C$4:$C$9996,"Entrada")-SUMIFS(Movimentos!$F$4:$F$9996,Movimentos!$D$4:$D$9996,B2051,Movimentos!$C$4:$C$9996,"Saída"),""),"")</f>
        <v/>
      </c>
      <c r="F2051" s="10" t="str">
        <f t="shared" si="66"/>
        <v/>
      </c>
    </row>
    <row r="2052" spans="1:6" x14ac:dyDescent="0.3">
      <c r="A2052" s="15" t="str">
        <f t="shared" si="67"/>
        <v>.</v>
      </c>
      <c r="E2052" s="13" t="str">
        <f>IFERROR(IF(AND(B2052&lt;&gt;"",C2052&lt;&gt;""),SUMIFS(Movimentos!$F$4:$F$9996,Movimentos!$D$4:$D$9996,B2052,Movimentos!$C$4:$C$9996,"Entrada")-SUMIFS(Movimentos!$F$4:$F$9996,Movimentos!$D$4:$D$9996,B2052,Movimentos!$C$4:$C$9996,"Saída"),""),"")</f>
        <v/>
      </c>
      <c r="F2052" s="10" t="str">
        <f t="shared" si="66"/>
        <v/>
      </c>
    </row>
    <row r="2053" spans="1:6" x14ac:dyDescent="0.3">
      <c r="A2053" s="15" t="str">
        <f t="shared" si="67"/>
        <v>.</v>
      </c>
      <c r="E2053" s="13" t="str">
        <f>IFERROR(IF(AND(B2053&lt;&gt;"",C2053&lt;&gt;""),SUMIFS(Movimentos!$F$4:$F$9996,Movimentos!$D$4:$D$9996,B2053,Movimentos!$C$4:$C$9996,"Entrada")-SUMIFS(Movimentos!$F$4:$F$9996,Movimentos!$D$4:$D$9996,B2053,Movimentos!$C$4:$C$9996,"Saída"),""),"")</f>
        <v/>
      </c>
      <c r="F2053" s="10" t="str">
        <f t="shared" si="66"/>
        <v/>
      </c>
    </row>
    <row r="2054" spans="1:6" x14ac:dyDescent="0.3">
      <c r="A2054" s="15" t="str">
        <f t="shared" si="67"/>
        <v>.</v>
      </c>
      <c r="E2054" s="13" t="str">
        <f>IFERROR(IF(AND(B2054&lt;&gt;"",C2054&lt;&gt;""),SUMIFS(Movimentos!$F$4:$F$9996,Movimentos!$D$4:$D$9996,B2054,Movimentos!$C$4:$C$9996,"Entrada")-SUMIFS(Movimentos!$F$4:$F$9996,Movimentos!$D$4:$D$9996,B2054,Movimentos!$C$4:$C$9996,"Saída"),""),"")</f>
        <v/>
      </c>
      <c r="F2054" s="10" t="str">
        <f t="shared" si="66"/>
        <v/>
      </c>
    </row>
    <row r="2055" spans="1:6" x14ac:dyDescent="0.3">
      <c r="A2055" s="15" t="str">
        <f t="shared" si="67"/>
        <v>.</v>
      </c>
      <c r="E2055" s="13" t="str">
        <f>IFERROR(IF(AND(B2055&lt;&gt;"",C2055&lt;&gt;""),SUMIFS(Movimentos!$F$4:$F$9996,Movimentos!$D$4:$D$9996,B2055,Movimentos!$C$4:$C$9996,"Entrada")-SUMIFS(Movimentos!$F$4:$F$9996,Movimentos!$D$4:$D$9996,B2055,Movimentos!$C$4:$C$9996,"Saída"),""),"")</f>
        <v/>
      </c>
      <c r="F2055" s="10" t="str">
        <f t="shared" si="66"/>
        <v/>
      </c>
    </row>
    <row r="2056" spans="1:6" x14ac:dyDescent="0.3">
      <c r="A2056" s="15" t="str">
        <f t="shared" si="67"/>
        <v>.</v>
      </c>
      <c r="E2056" s="13" t="str">
        <f>IFERROR(IF(AND(B2056&lt;&gt;"",C2056&lt;&gt;""),SUMIFS(Movimentos!$F$4:$F$9996,Movimentos!$D$4:$D$9996,B2056,Movimentos!$C$4:$C$9996,"Entrada")-SUMIFS(Movimentos!$F$4:$F$9996,Movimentos!$D$4:$D$9996,B2056,Movimentos!$C$4:$C$9996,"Saída"),""),"")</f>
        <v/>
      </c>
      <c r="F2056" s="10" t="str">
        <f t="shared" si="66"/>
        <v/>
      </c>
    </row>
    <row r="2057" spans="1:6" x14ac:dyDescent="0.3">
      <c r="A2057" s="15" t="str">
        <f t="shared" si="67"/>
        <v>.</v>
      </c>
      <c r="E2057" s="13" t="str">
        <f>IFERROR(IF(AND(B2057&lt;&gt;"",C2057&lt;&gt;""),SUMIFS(Movimentos!$F$4:$F$9996,Movimentos!$D$4:$D$9996,B2057,Movimentos!$C$4:$C$9996,"Entrada")-SUMIFS(Movimentos!$F$4:$F$9996,Movimentos!$D$4:$D$9996,B2057,Movimentos!$C$4:$C$9996,"Saída"),""),"")</f>
        <v/>
      </c>
      <c r="F2057" s="10" t="str">
        <f t="shared" si="66"/>
        <v/>
      </c>
    </row>
    <row r="2058" spans="1:6" x14ac:dyDescent="0.3">
      <c r="A2058" s="15" t="str">
        <f t="shared" si="67"/>
        <v>.</v>
      </c>
      <c r="E2058" s="13" t="str">
        <f>IFERROR(IF(AND(B2058&lt;&gt;"",C2058&lt;&gt;""),SUMIFS(Movimentos!$F$4:$F$9996,Movimentos!$D$4:$D$9996,B2058,Movimentos!$C$4:$C$9996,"Entrada")-SUMIFS(Movimentos!$F$4:$F$9996,Movimentos!$D$4:$D$9996,B2058,Movimentos!$C$4:$C$9996,"Saída"),""),"")</f>
        <v/>
      </c>
      <c r="F2058" s="10" t="str">
        <f t="shared" si="66"/>
        <v/>
      </c>
    </row>
    <row r="2059" spans="1:6" x14ac:dyDescent="0.3">
      <c r="A2059" s="15" t="str">
        <f t="shared" si="67"/>
        <v>.</v>
      </c>
      <c r="E2059" s="13" t="str">
        <f>IFERROR(IF(AND(B2059&lt;&gt;"",C2059&lt;&gt;""),SUMIFS(Movimentos!$F$4:$F$9996,Movimentos!$D$4:$D$9996,B2059,Movimentos!$C$4:$C$9996,"Entrada")-SUMIFS(Movimentos!$F$4:$F$9996,Movimentos!$D$4:$D$9996,B2059,Movimentos!$C$4:$C$9996,"Saída"),""),"")</f>
        <v/>
      </c>
      <c r="F2059" s="10" t="str">
        <f t="shared" si="66"/>
        <v/>
      </c>
    </row>
    <row r="2060" spans="1:6" x14ac:dyDescent="0.3">
      <c r="A2060" s="15" t="str">
        <f t="shared" si="67"/>
        <v>.</v>
      </c>
      <c r="E2060" s="13" t="str">
        <f>IFERROR(IF(AND(B2060&lt;&gt;"",C2060&lt;&gt;""),SUMIFS(Movimentos!$F$4:$F$9996,Movimentos!$D$4:$D$9996,B2060,Movimentos!$C$4:$C$9996,"Entrada")-SUMIFS(Movimentos!$F$4:$F$9996,Movimentos!$D$4:$D$9996,B2060,Movimentos!$C$4:$C$9996,"Saída"),""),"")</f>
        <v/>
      </c>
      <c r="F2060" s="10" t="str">
        <f t="shared" si="66"/>
        <v/>
      </c>
    </row>
    <row r="2061" spans="1:6" x14ac:dyDescent="0.3">
      <c r="A2061" s="15" t="str">
        <f t="shared" si="67"/>
        <v>.</v>
      </c>
      <c r="E2061" s="13" t="str">
        <f>IFERROR(IF(AND(B2061&lt;&gt;"",C2061&lt;&gt;""),SUMIFS(Movimentos!$F$4:$F$9996,Movimentos!$D$4:$D$9996,B2061,Movimentos!$C$4:$C$9996,"Entrada")-SUMIFS(Movimentos!$F$4:$F$9996,Movimentos!$D$4:$D$9996,B2061,Movimentos!$C$4:$C$9996,"Saída"),""),"")</f>
        <v/>
      </c>
      <c r="F2061" s="10" t="str">
        <f t="shared" si="66"/>
        <v/>
      </c>
    </row>
    <row r="2062" spans="1:6" x14ac:dyDescent="0.3">
      <c r="A2062" s="15" t="str">
        <f t="shared" si="67"/>
        <v>.</v>
      </c>
      <c r="E2062" s="13" t="str">
        <f>IFERROR(IF(AND(B2062&lt;&gt;"",C2062&lt;&gt;""),SUMIFS(Movimentos!$F$4:$F$9996,Movimentos!$D$4:$D$9996,B2062,Movimentos!$C$4:$C$9996,"Entrada")-SUMIFS(Movimentos!$F$4:$F$9996,Movimentos!$D$4:$D$9996,B2062,Movimentos!$C$4:$C$9996,"Saída"),""),"")</f>
        <v/>
      </c>
      <c r="F2062" s="10" t="str">
        <f t="shared" si="66"/>
        <v/>
      </c>
    </row>
    <row r="2063" spans="1:6" x14ac:dyDescent="0.3">
      <c r="A2063" s="15" t="str">
        <f t="shared" si="67"/>
        <v>.</v>
      </c>
      <c r="E2063" s="13" t="str">
        <f>IFERROR(IF(AND(B2063&lt;&gt;"",C2063&lt;&gt;""),SUMIFS(Movimentos!$F$4:$F$9996,Movimentos!$D$4:$D$9996,B2063,Movimentos!$C$4:$C$9996,"Entrada")-SUMIFS(Movimentos!$F$4:$F$9996,Movimentos!$D$4:$D$9996,B2063,Movimentos!$C$4:$C$9996,"Saída"),""),"")</f>
        <v/>
      </c>
      <c r="F2063" s="10" t="str">
        <f t="shared" si="66"/>
        <v/>
      </c>
    </row>
    <row r="2064" spans="1:6" x14ac:dyDescent="0.3">
      <c r="A2064" s="15" t="str">
        <f t="shared" si="67"/>
        <v>.</v>
      </c>
      <c r="E2064" s="13" t="str">
        <f>IFERROR(IF(AND(B2064&lt;&gt;"",C2064&lt;&gt;""),SUMIFS(Movimentos!$F$4:$F$9996,Movimentos!$D$4:$D$9996,B2064,Movimentos!$C$4:$C$9996,"Entrada")-SUMIFS(Movimentos!$F$4:$F$9996,Movimentos!$D$4:$D$9996,B2064,Movimentos!$C$4:$C$9996,"Saída"),""),"")</f>
        <v/>
      </c>
      <c r="F2064" s="10" t="str">
        <f t="shared" si="66"/>
        <v/>
      </c>
    </row>
    <row r="2065" spans="1:6" x14ac:dyDescent="0.3">
      <c r="A2065" s="15" t="str">
        <f t="shared" si="67"/>
        <v>.</v>
      </c>
      <c r="E2065" s="13" t="str">
        <f>IFERROR(IF(AND(B2065&lt;&gt;"",C2065&lt;&gt;""),SUMIFS(Movimentos!$F$4:$F$9996,Movimentos!$D$4:$D$9996,B2065,Movimentos!$C$4:$C$9996,"Entrada")-SUMIFS(Movimentos!$F$4:$F$9996,Movimentos!$D$4:$D$9996,B2065,Movimentos!$C$4:$C$9996,"Saída"),""),"")</f>
        <v/>
      </c>
      <c r="F2065" s="10" t="str">
        <f t="shared" si="66"/>
        <v/>
      </c>
    </row>
    <row r="2066" spans="1:6" x14ac:dyDescent="0.3">
      <c r="A2066" s="15" t="str">
        <f t="shared" si="67"/>
        <v>.</v>
      </c>
      <c r="E2066" s="13" t="str">
        <f>IFERROR(IF(AND(B2066&lt;&gt;"",C2066&lt;&gt;""),SUMIFS(Movimentos!$F$4:$F$9996,Movimentos!$D$4:$D$9996,B2066,Movimentos!$C$4:$C$9996,"Entrada")-SUMIFS(Movimentos!$F$4:$F$9996,Movimentos!$D$4:$D$9996,B2066,Movimentos!$C$4:$C$9996,"Saída"),""),"")</f>
        <v/>
      </c>
      <c r="F2066" s="10" t="str">
        <f t="shared" si="66"/>
        <v/>
      </c>
    </row>
    <row r="2067" spans="1:6" x14ac:dyDescent="0.3">
      <c r="A2067" s="15" t="str">
        <f t="shared" si="67"/>
        <v>.</v>
      </c>
      <c r="E2067" s="13" t="str">
        <f>IFERROR(IF(AND(B2067&lt;&gt;"",C2067&lt;&gt;""),SUMIFS(Movimentos!$F$4:$F$9996,Movimentos!$D$4:$D$9996,B2067,Movimentos!$C$4:$C$9996,"Entrada")-SUMIFS(Movimentos!$F$4:$F$9996,Movimentos!$D$4:$D$9996,B2067,Movimentos!$C$4:$C$9996,"Saída"),""),"")</f>
        <v/>
      </c>
      <c r="F2067" s="10" t="str">
        <f t="shared" si="66"/>
        <v/>
      </c>
    </row>
    <row r="2068" spans="1:6" x14ac:dyDescent="0.3">
      <c r="A2068" s="15" t="str">
        <f t="shared" si="67"/>
        <v>.</v>
      </c>
      <c r="E2068" s="13" t="str">
        <f>IFERROR(IF(AND(B2068&lt;&gt;"",C2068&lt;&gt;""),SUMIFS(Movimentos!$F$4:$F$9996,Movimentos!$D$4:$D$9996,B2068,Movimentos!$C$4:$C$9996,"Entrada")-SUMIFS(Movimentos!$F$4:$F$9996,Movimentos!$D$4:$D$9996,B2068,Movimentos!$C$4:$C$9996,"Saída"),""),"")</f>
        <v/>
      </c>
      <c r="F2068" s="10" t="str">
        <f t="shared" si="66"/>
        <v/>
      </c>
    </row>
    <row r="2069" spans="1:6" x14ac:dyDescent="0.3">
      <c r="A2069" s="15" t="str">
        <f t="shared" si="67"/>
        <v>.</v>
      </c>
      <c r="E2069" s="13" t="str">
        <f>IFERROR(IF(AND(B2069&lt;&gt;"",C2069&lt;&gt;""),SUMIFS(Movimentos!$F$4:$F$9996,Movimentos!$D$4:$D$9996,B2069,Movimentos!$C$4:$C$9996,"Entrada")-SUMIFS(Movimentos!$F$4:$F$9996,Movimentos!$D$4:$D$9996,B2069,Movimentos!$C$4:$C$9996,"Saída"),""),"")</f>
        <v/>
      </c>
      <c r="F2069" s="10" t="str">
        <f t="shared" si="66"/>
        <v/>
      </c>
    </row>
    <row r="2070" spans="1:6" x14ac:dyDescent="0.3">
      <c r="A2070" s="15" t="str">
        <f t="shared" si="67"/>
        <v>.</v>
      </c>
      <c r="E2070" s="13" t="str">
        <f>IFERROR(IF(AND(B2070&lt;&gt;"",C2070&lt;&gt;""),SUMIFS(Movimentos!$F$4:$F$9996,Movimentos!$D$4:$D$9996,B2070,Movimentos!$C$4:$C$9996,"Entrada")-SUMIFS(Movimentos!$F$4:$F$9996,Movimentos!$D$4:$D$9996,B2070,Movimentos!$C$4:$C$9996,"Saída"),""),"")</f>
        <v/>
      </c>
      <c r="F2070" s="10" t="str">
        <f t="shared" si="66"/>
        <v/>
      </c>
    </row>
    <row r="2071" spans="1:6" x14ac:dyDescent="0.3">
      <c r="A2071" s="15" t="str">
        <f t="shared" si="67"/>
        <v>.</v>
      </c>
      <c r="E2071" s="13" t="str">
        <f>IFERROR(IF(AND(B2071&lt;&gt;"",C2071&lt;&gt;""),SUMIFS(Movimentos!$F$4:$F$9996,Movimentos!$D$4:$D$9996,B2071,Movimentos!$C$4:$C$9996,"Entrada")-SUMIFS(Movimentos!$F$4:$F$9996,Movimentos!$D$4:$D$9996,B2071,Movimentos!$C$4:$C$9996,"Saída"),""),"")</f>
        <v/>
      </c>
      <c r="F2071" s="10" t="str">
        <f t="shared" ref="F2071:F2134" si="68">IF(AND(B2071&lt;&gt;"",C2071&lt;&gt;""),IF(E2071=0,"Saldo zerado",IF(E2071&lt;D2071,"Saldo abaixo do mínimo","Saldo disponível")),"")</f>
        <v/>
      </c>
    </row>
    <row r="2072" spans="1:6" x14ac:dyDescent="0.3">
      <c r="A2072" s="15" t="str">
        <f t="shared" si="67"/>
        <v>.</v>
      </c>
      <c r="E2072" s="13" t="str">
        <f>IFERROR(IF(AND(B2072&lt;&gt;"",C2072&lt;&gt;""),SUMIFS(Movimentos!$F$4:$F$9996,Movimentos!$D$4:$D$9996,B2072,Movimentos!$C$4:$C$9996,"Entrada")-SUMIFS(Movimentos!$F$4:$F$9996,Movimentos!$D$4:$D$9996,B2072,Movimentos!$C$4:$C$9996,"Saída"),""),"")</f>
        <v/>
      </c>
      <c r="F2072" s="10" t="str">
        <f t="shared" si="68"/>
        <v/>
      </c>
    </row>
    <row r="2073" spans="1:6" x14ac:dyDescent="0.3">
      <c r="A2073" s="15" t="str">
        <f t="shared" si="67"/>
        <v>.</v>
      </c>
      <c r="E2073" s="13" t="str">
        <f>IFERROR(IF(AND(B2073&lt;&gt;"",C2073&lt;&gt;""),SUMIFS(Movimentos!$F$4:$F$9996,Movimentos!$D$4:$D$9996,B2073,Movimentos!$C$4:$C$9996,"Entrada")-SUMIFS(Movimentos!$F$4:$F$9996,Movimentos!$D$4:$D$9996,B2073,Movimentos!$C$4:$C$9996,"Saída"),""),"")</f>
        <v/>
      </c>
      <c r="F2073" s="10" t="str">
        <f t="shared" si="68"/>
        <v/>
      </c>
    </row>
    <row r="2074" spans="1:6" x14ac:dyDescent="0.3">
      <c r="A2074" s="15" t="str">
        <f t="shared" si="67"/>
        <v>.</v>
      </c>
      <c r="E2074" s="13" t="str">
        <f>IFERROR(IF(AND(B2074&lt;&gt;"",C2074&lt;&gt;""),SUMIFS(Movimentos!$F$4:$F$9996,Movimentos!$D$4:$D$9996,B2074,Movimentos!$C$4:$C$9996,"Entrada")-SUMIFS(Movimentos!$F$4:$F$9996,Movimentos!$D$4:$D$9996,B2074,Movimentos!$C$4:$C$9996,"Saída"),""),"")</f>
        <v/>
      </c>
      <c r="F2074" s="10" t="str">
        <f t="shared" si="68"/>
        <v/>
      </c>
    </row>
    <row r="2075" spans="1:6" x14ac:dyDescent="0.3">
      <c r="A2075" s="15" t="str">
        <f t="shared" si="67"/>
        <v>.</v>
      </c>
      <c r="E2075" s="13" t="str">
        <f>IFERROR(IF(AND(B2075&lt;&gt;"",C2075&lt;&gt;""),SUMIFS(Movimentos!$F$4:$F$9996,Movimentos!$D$4:$D$9996,B2075,Movimentos!$C$4:$C$9996,"Entrada")-SUMIFS(Movimentos!$F$4:$F$9996,Movimentos!$D$4:$D$9996,B2075,Movimentos!$C$4:$C$9996,"Saída"),""),"")</f>
        <v/>
      </c>
      <c r="F2075" s="10" t="str">
        <f t="shared" si="68"/>
        <v/>
      </c>
    </row>
    <row r="2076" spans="1:6" x14ac:dyDescent="0.3">
      <c r="A2076" s="15" t="str">
        <f t="shared" si="67"/>
        <v>.</v>
      </c>
      <c r="E2076" s="13" t="str">
        <f>IFERROR(IF(AND(B2076&lt;&gt;"",C2076&lt;&gt;""),SUMIFS(Movimentos!$F$4:$F$9996,Movimentos!$D$4:$D$9996,B2076,Movimentos!$C$4:$C$9996,"Entrada")-SUMIFS(Movimentos!$F$4:$F$9996,Movimentos!$D$4:$D$9996,B2076,Movimentos!$C$4:$C$9996,"Saída"),""),"")</f>
        <v/>
      </c>
      <c r="F2076" s="10" t="str">
        <f t="shared" si="68"/>
        <v/>
      </c>
    </row>
    <row r="2077" spans="1:6" x14ac:dyDescent="0.3">
      <c r="A2077" s="15" t="str">
        <f t="shared" si="67"/>
        <v>.</v>
      </c>
      <c r="E2077" s="13" t="str">
        <f>IFERROR(IF(AND(B2077&lt;&gt;"",C2077&lt;&gt;""),SUMIFS(Movimentos!$F$4:$F$9996,Movimentos!$D$4:$D$9996,B2077,Movimentos!$C$4:$C$9996,"Entrada")-SUMIFS(Movimentos!$F$4:$F$9996,Movimentos!$D$4:$D$9996,B2077,Movimentos!$C$4:$C$9996,"Saída"),""),"")</f>
        <v/>
      </c>
      <c r="F2077" s="10" t="str">
        <f t="shared" si="68"/>
        <v/>
      </c>
    </row>
    <row r="2078" spans="1:6" x14ac:dyDescent="0.3">
      <c r="A2078" s="15" t="str">
        <f t="shared" si="67"/>
        <v>.</v>
      </c>
      <c r="E2078" s="13" t="str">
        <f>IFERROR(IF(AND(B2078&lt;&gt;"",C2078&lt;&gt;""),SUMIFS(Movimentos!$F$4:$F$9996,Movimentos!$D$4:$D$9996,B2078,Movimentos!$C$4:$C$9996,"Entrada")-SUMIFS(Movimentos!$F$4:$F$9996,Movimentos!$D$4:$D$9996,B2078,Movimentos!$C$4:$C$9996,"Saída"),""),"")</f>
        <v/>
      </c>
      <c r="F2078" s="10" t="str">
        <f t="shared" si="68"/>
        <v/>
      </c>
    </row>
    <row r="2079" spans="1:6" x14ac:dyDescent="0.3">
      <c r="A2079" s="15" t="str">
        <f t="shared" si="67"/>
        <v>.</v>
      </c>
      <c r="E2079" s="13" t="str">
        <f>IFERROR(IF(AND(B2079&lt;&gt;"",C2079&lt;&gt;""),SUMIFS(Movimentos!$F$4:$F$9996,Movimentos!$D$4:$D$9996,B2079,Movimentos!$C$4:$C$9996,"Entrada")-SUMIFS(Movimentos!$F$4:$F$9996,Movimentos!$D$4:$D$9996,B2079,Movimentos!$C$4:$C$9996,"Saída"),""),"")</f>
        <v/>
      </c>
      <c r="F2079" s="10" t="str">
        <f t="shared" si="68"/>
        <v/>
      </c>
    </row>
    <row r="2080" spans="1:6" x14ac:dyDescent="0.3">
      <c r="A2080" s="15" t="str">
        <f t="shared" si="67"/>
        <v>.</v>
      </c>
      <c r="E2080" s="13" t="str">
        <f>IFERROR(IF(AND(B2080&lt;&gt;"",C2080&lt;&gt;""),SUMIFS(Movimentos!$F$4:$F$9996,Movimentos!$D$4:$D$9996,B2080,Movimentos!$C$4:$C$9996,"Entrada")-SUMIFS(Movimentos!$F$4:$F$9996,Movimentos!$D$4:$D$9996,B2080,Movimentos!$C$4:$C$9996,"Saída"),""),"")</f>
        <v/>
      </c>
      <c r="F2080" s="10" t="str">
        <f t="shared" si="68"/>
        <v/>
      </c>
    </row>
    <row r="2081" spans="1:6" x14ac:dyDescent="0.3">
      <c r="A2081" s="15" t="str">
        <f t="shared" si="67"/>
        <v>.</v>
      </c>
      <c r="E2081" s="13" t="str">
        <f>IFERROR(IF(AND(B2081&lt;&gt;"",C2081&lt;&gt;""),SUMIFS(Movimentos!$F$4:$F$9996,Movimentos!$D$4:$D$9996,B2081,Movimentos!$C$4:$C$9996,"Entrada")-SUMIFS(Movimentos!$F$4:$F$9996,Movimentos!$D$4:$D$9996,B2081,Movimentos!$C$4:$C$9996,"Saída"),""),"")</f>
        <v/>
      </c>
      <c r="F2081" s="10" t="str">
        <f t="shared" si="68"/>
        <v/>
      </c>
    </row>
    <row r="2082" spans="1:6" x14ac:dyDescent="0.3">
      <c r="A2082" s="15" t="str">
        <f t="shared" si="67"/>
        <v>.</v>
      </c>
      <c r="E2082" s="13" t="str">
        <f>IFERROR(IF(AND(B2082&lt;&gt;"",C2082&lt;&gt;""),SUMIFS(Movimentos!$F$4:$F$9996,Movimentos!$D$4:$D$9996,B2082,Movimentos!$C$4:$C$9996,"Entrada")-SUMIFS(Movimentos!$F$4:$F$9996,Movimentos!$D$4:$D$9996,B2082,Movimentos!$C$4:$C$9996,"Saída"),""),"")</f>
        <v/>
      </c>
      <c r="F2082" s="10" t="str">
        <f t="shared" si="68"/>
        <v/>
      </c>
    </row>
    <row r="2083" spans="1:6" x14ac:dyDescent="0.3">
      <c r="A2083" s="15" t="str">
        <f t="shared" si="67"/>
        <v>.</v>
      </c>
      <c r="E2083" s="13" t="str">
        <f>IFERROR(IF(AND(B2083&lt;&gt;"",C2083&lt;&gt;""),SUMIFS(Movimentos!$F$4:$F$9996,Movimentos!$D$4:$D$9996,B2083,Movimentos!$C$4:$C$9996,"Entrada")-SUMIFS(Movimentos!$F$4:$F$9996,Movimentos!$D$4:$D$9996,B2083,Movimentos!$C$4:$C$9996,"Saída"),""),"")</f>
        <v/>
      </c>
      <c r="F2083" s="10" t="str">
        <f t="shared" si="68"/>
        <v/>
      </c>
    </row>
    <row r="2084" spans="1:6" x14ac:dyDescent="0.3">
      <c r="A2084" s="15" t="str">
        <f t="shared" si="67"/>
        <v>.</v>
      </c>
      <c r="E2084" s="13" t="str">
        <f>IFERROR(IF(AND(B2084&lt;&gt;"",C2084&lt;&gt;""),SUMIFS(Movimentos!$F$4:$F$9996,Movimentos!$D$4:$D$9996,B2084,Movimentos!$C$4:$C$9996,"Entrada")-SUMIFS(Movimentos!$F$4:$F$9996,Movimentos!$D$4:$D$9996,B2084,Movimentos!$C$4:$C$9996,"Saída"),""),"")</f>
        <v/>
      </c>
      <c r="F2084" s="10" t="str">
        <f t="shared" si="68"/>
        <v/>
      </c>
    </row>
    <row r="2085" spans="1:6" x14ac:dyDescent="0.3">
      <c r="A2085" s="15" t="str">
        <f t="shared" si="67"/>
        <v>.</v>
      </c>
      <c r="E2085" s="13" t="str">
        <f>IFERROR(IF(AND(B2085&lt;&gt;"",C2085&lt;&gt;""),SUMIFS(Movimentos!$F$4:$F$9996,Movimentos!$D$4:$D$9996,B2085,Movimentos!$C$4:$C$9996,"Entrada")-SUMIFS(Movimentos!$F$4:$F$9996,Movimentos!$D$4:$D$9996,B2085,Movimentos!$C$4:$C$9996,"Saída"),""),"")</f>
        <v/>
      </c>
      <c r="F2085" s="10" t="str">
        <f t="shared" si="68"/>
        <v/>
      </c>
    </row>
    <row r="2086" spans="1:6" x14ac:dyDescent="0.3">
      <c r="A2086" s="15" t="str">
        <f t="shared" si="67"/>
        <v>.</v>
      </c>
      <c r="E2086" s="13" t="str">
        <f>IFERROR(IF(AND(B2086&lt;&gt;"",C2086&lt;&gt;""),SUMIFS(Movimentos!$F$4:$F$9996,Movimentos!$D$4:$D$9996,B2086,Movimentos!$C$4:$C$9996,"Entrada")-SUMIFS(Movimentos!$F$4:$F$9996,Movimentos!$D$4:$D$9996,B2086,Movimentos!$C$4:$C$9996,"Saída"),""),"")</f>
        <v/>
      </c>
      <c r="F2086" s="10" t="str">
        <f t="shared" si="68"/>
        <v/>
      </c>
    </row>
    <row r="2087" spans="1:6" x14ac:dyDescent="0.3">
      <c r="A2087" s="15" t="str">
        <f t="shared" si="67"/>
        <v>.</v>
      </c>
      <c r="E2087" s="13" t="str">
        <f>IFERROR(IF(AND(B2087&lt;&gt;"",C2087&lt;&gt;""),SUMIFS(Movimentos!$F$4:$F$9996,Movimentos!$D$4:$D$9996,B2087,Movimentos!$C$4:$C$9996,"Entrada")-SUMIFS(Movimentos!$F$4:$F$9996,Movimentos!$D$4:$D$9996,B2087,Movimentos!$C$4:$C$9996,"Saída"),""),"")</f>
        <v/>
      </c>
      <c r="F2087" s="10" t="str">
        <f t="shared" si="68"/>
        <v/>
      </c>
    </row>
    <row r="2088" spans="1:6" x14ac:dyDescent="0.3">
      <c r="A2088" s="15" t="str">
        <f t="shared" si="67"/>
        <v>.</v>
      </c>
      <c r="E2088" s="13" t="str">
        <f>IFERROR(IF(AND(B2088&lt;&gt;"",C2088&lt;&gt;""),SUMIFS(Movimentos!$F$4:$F$9996,Movimentos!$D$4:$D$9996,B2088,Movimentos!$C$4:$C$9996,"Entrada")-SUMIFS(Movimentos!$F$4:$F$9996,Movimentos!$D$4:$D$9996,B2088,Movimentos!$C$4:$C$9996,"Saída"),""),"")</f>
        <v/>
      </c>
      <c r="F2088" s="10" t="str">
        <f t="shared" si="68"/>
        <v/>
      </c>
    </row>
    <row r="2089" spans="1:6" x14ac:dyDescent="0.3">
      <c r="A2089" s="15" t="str">
        <f t="shared" si="67"/>
        <v>.</v>
      </c>
      <c r="E2089" s="13" t="str">
        <f>IFERROR(IF(AND(B2089&lt;&gt;"",C2089&lt;&gt;""),SUMIFS(Movimentos!$F$4:$F$9996,Movimentos!$D$4:$D$9996,B2089,Movimentos!$C$4:$C$9996,"Entrada")-SUMIFS(Movimentos!$F$4:$F$9996,Movimentos!$D$4:$D$9996,B2089,Movimentos!$C$4:$C$9996,"Saída"),""),"")</f>
        <v/>
      </c>
      <c r="F2089" s="10" t="str">
        <f t="shared" si="68"/>
        <v/>
      </c>
    </row>
    <row r="2090" spans="1:6" x14ac:dyDescent="0.3">
      <c r="A2090" s="15" t="str">
        <f t="shared" si="67"/>
        <v>.</v>
      </c>
      <c r="E2090" s="13" t="str">
        <f>IFERROR(IF(AND(B2090&lt;&gt;"",C2090&lt;&gt;""),SUMIFS(Movimentos!$F$4:$F$9996,Movimentos!$D$4:$D$9996,B2090,Movimentos!$C$4:$C$9996,"Entrada")-SUMIFS(Movimentos!$F$4:$F$9996,Movimentos!$D$4:$D$9996,B2090,Movimentos!$C$4:$C$9996,"Saída"),""),"")</f>
        <v/>
      </c>
      <c r="F2090" s="10" t="str">
        <f t="shared" si="68"/>
        <v/>
      </c>
    </row>
    <row r="2091" spans="1:6" x14ac:dyDescent="0.3">
      <c r="A2091" s="15" t="str">
        <f t="shared" si="67"/>
        <v>.</v>
      </c>
      <c r="E2091" s="13" t="str">
        <f>IFERROR(IF(AND(B2091&lt;&gt;"",C2091&lt;&gt;""),SUMIFS(Movimentos!$F$4:$F$9996,Movimentos!$D$4:$D$9996,B2091,Movimentos!$C$4:$C$9996,"Entrada")-SUMIFS(Movimentos!$F$4:$F$9996,Movimentos!$D$4:$D$9996,B2091,Movimentos!$C$4:$C$9996,"Saída"),""),"")</f>
        <v/>
      </c>
      <c r="F2091" s="10" t="str">
        <f t="shared" si="68"/>
        <v/>
      </c>
    </row>
    <row r="2092" spans="1:6" x14ac:dyDescent="0.3">
      <c r="A2092" s="15" t="str">
        <f t="shared" si="67"/>
        <v>.</v>
      </c>
      <c r="E2092" s="13" t="str">
        <f>IFERROR(IF(AND(B2092&lt;&gt;"",C2092&lt;&gt;""),SUMIFS(Movimentos!$F$4:$F$9996,Movimentos!$D$4:$D$9996,B2092,Movimentos!$C$4:$C$9996,"Entrada")-SUMIFS(Movimentos!$F$4:$F$9996,Movimentos!$D$4:$D$9996,B2092,Movimentos!$C$4:$C$9996,"Saída"),""),"")</f>
        <v/>
      </c>
      <c r="F2092" s="10" t="str">
        <f t="shared" si="68"/>
        <v/>
      </c>
    </row>
    <row r="2093" spans="1:6" x14ac:dyDescent="0.3">
      <c r="A2093" s="15" t="str">
        <f t="shared" si="67"/>
        <v>.</v>
      </c>
      <c r="E2093" s="13" t="str">
        <f>IFERROR(IF(AND(B2093&lt;&gt;"",C2093&lt;&gt;""),SUMIFS(Movimentos!$F$4:$F$9996,Movimentos!$D$4:$D$9996,B2093,Movimentos!$C$4:$C$9996,"Entrada")-SUMIFS(Movimentos!$F$4:$F$9996,Movimentos!$D$4:$D$9996,B2093,Movimentos!$C$4:$C$9996,"Saída"),""),"")</f>
        <v/>
      </c>
      <c r="F2093" s="10" t="str">
        <f t="shared" si="68"/>
        <v/>
      </c>
    </row>
    <row r="2094" spans="1:6" x14ac:dyDescent="0.3">
      <c r="A2094" s="15" t="str">
        <f t="shared" si="67"/>
        <v>.</v>
      </c>
      <c r="E2094" s="13" t="str">
        <f>IFERROR(IF(AND(B2094&lt;&gt;"",C2094&lt;&gt;""),SUMIFS(Movimentos!$F$4:$F$9996,Movimentos!$D$4:$D$9996,B2094,Movimentos!$C$4:$C$9996,"Entrada")-SUMIFS(Movimentos!$F$4:$F$9996,Movimentos!$D$4:$D$9996,B2094,Movimentos!$C$4:$C$9996,"Saída"),""),"")</f>
        <v/>
      </c>
      <c r="F2094" s="10" t="str">
        <f t="shared" si="68"/>
        <v/>
      </c>
    </row>
    <row r="2095" spans="1:6" x14ac:dyDescent="0.3">
      <c r="A2095" s="15" t="str">
        <f t="shared" si="67"/>
        <v>.</v>
      </c>
      <c r="E2095" s="13" t="str">
        <f>IFERROR(IF(AND(B2095&lt;&gt;"",C2095&lt;&gt;""),SUMIFS(Movimentos!$F$4:$F$9996,Movimentos!$D$4:$D$9996,B2095,Movimentos!$C$4:$C$9996,"Entrada")-SUMIFS(Movimentos!$F$4:$F$9996,Movimentos!$D$4:$D$9996,B2095,Movimentos!$C$4:$C$9996,"Saída"),""),"")</f>
        <v/>
      </c>
      <c r="F2095" s="10" t="str">
        <f t="shared" si="68"/>
        <v/>
      </c>
    </row>
    <row r="2096" spans="1:6" x14ac:dyDescent="0.3">
      <c r="A2096" s="15" t="str">
        <f t="shared" si="67"/>
        <v>.</v>
      </c>
      <c r="E2096" s="13" t="str">
        <f>IFERROR(IF(AND(B2096&lt;&gt;"",C2096&lt;&gt;""),SUMIFS(Movimentos!$F$4:$F$9996,Movimentos!$D$4:$D$9996,B2096,Movimentos!$C$4:$C$9996,"Entrada")-SUMIFS(Movimentos!$F$4:$F$9996,Movimentos!$D$4:$D$9996,B2096,Movimentos!$C$4:$C$9996,"Saída"),""),"")</f>
        <v/>
      </c>
      <c r="F2096" s="10" t="str">
        <f t="shared" si="68"/>
        <v/>
      </c>
    </row>
    <row r="2097" spans="1:6" x14ac:dyDescent="0.3">
      <c r="A2097" s="15" t="str">
        <f t="shared" si="67"/>
        <v>.</v>
      </c>
      <c r="E2097" s="13" t="str">
        <f>IFERROR(IF(AND(B2097&lt;&gt;"",C2097&lt;&gt;""),SUMIFS(Movimentos!$F$4:$F$9996,Movimentos!$D$4:$D$9996,B2097,Movimentos!$C$4:$C$9996,"Entrada")-SUMIFS(Movimentos!$F$4:$F$9996,Movimentos!$D$4:$D$9996,B2097,Movimentos!$C$4:$C$9996,"Saída"),""),"")</f>
        <v/>
      </c>
      <c r="F2097" s="10" t="str">
        <f t="shared" si="68"/>
        <v/>
      </c>
    </row>
    <row r="2098" spans="1:6" x14ac:dyDescent="0.3">
      <c r="A2098" s="15" t="str">
        <f t="shared" si="67"/>
        <v>.</v>
      </c>
      <c r="E2098" s="13" t="str">
        <f>IFERROR(IF(AND(B2098&lt;&gt;"",C2098&lt;&gt;""),SUMIFS(Movimentos!$F$4:$F$9996,Movimentos!$D$4:$D$9996,B2098,Movimentos!$C$4:$C$9996,"Entrada")-SUMIFS(Movimentos!$F$4:$F$9996,Movimentos!$D$4:$D$9996,B2098,Movimentos!$C$4:$C$9996,"Saída"),""),"")</f>
        <v/>
      </c>
      <c r="F2098" s="10" t="str">
        <f t="shared" si="68"/>
        <v/>
      </c>
    </row>
    <row r="2099" spans="1:6" x14ac:dyDescent="0.3">
      <c r="A2099" s="15" t="str">
        <f t="shared" si="67"/>
        <v>.</v>
      </c>
      <c r="E2099" s="13" t="str">
        <f>IFERROR(IF(AND(B2099&lt;&gt;"",C2099&lt;&gt;""),SUMIFS(Movimentos!$F$4:$F$9996,Movimentos!$D$4:$D$9996,B2099,Movimentos!$C$4:$C$9996,"Entrada")-SUMIFS(Movimentos!$F$4:$F$9996,Movimentos!$D$4:$D$9996,B2099,Movimentos!$C$4:$C$9996,"Saída"),""),"")</f>
        <v/>
      </c>
      <c r="F2099" s="10" t="str">
        <f t="shared" si="68"/>
        <v/>
      </c>
    </row>
    <row r="2100" spans="1:6" x14ac:dyDescent="0.3">
      <c r="A2100" s="15" t="str">
        <f t="shared" si="67"/>
        <v>.</v>
      </c>
      <c r="E2100" s="13" t="str">
        <f>IFERROR(IF(AND(B2100&lt;&gt;"",C2100&lt;&gt;""),SUMIFS(Movimentos!$F$4:$F$9996,Movimentos!$D$4:$D$9996,B2100,Movimentos!$C$4:$C$9996,"Entrada")-SUMIFS(Movimentos!$F$4:$F$9996,Movimentos!$D$4:$D$9996,B2100,Movimentos!$C$4:$C$9996,"Saída"),""),"")</f>
        <v/>
      </c>
      <c r="F2100" s="10" t="str">
        <f t="shared" si="68"/>
        <v/>
      </c>
    </row>
    <row r="2101" spans="1:6" x14ac:dyDescent="0.3">
      <c r="A2101" s="15" t="str">
        <f t="shared" si="67"/>
        <v>.</v>
      </c>
      <c r="E2101" s="13" t="str">
        <f>IFERROR(IF(AND(B2101&lt;&gt;"",C2101&lt;&gt;""),SUMIFS(Movimentos!$F$4:$F$9996,Movimentos!$D$4:$D$9996,B2101,Movimentos!$C$4:$C$9996,"Entrada")-SUMIFS(Movimentos!$F$4:$F$9996,Movimentos!$D$4:$D$9996,B2101,Movimentos!$C$4:$C$9996,"Saída"),""),"")</f>
        <v/>
      </c>
      <c r="F2101" s="10" t="str">
        <f t="shared" si="68"/>
        <v/>
      </c>
    </row>
    <row r="2102" spans="1:6" x14ac:dyDescent="0.3">
      <c r="A2102" s="15" t="str">
        <f t="shared" si="67"/>
        <v>.</v>
      </c>
      <c r="E2102" s="13" t="str">
        <f>IFERROR(IF(AND(B2102&lt;&gt;"",C2102&lt;&gt;""),SUMIFS(Movimentos!$F$4:$F$9996,Movimentos!$D$4:$D$9996,B2102,Movimentos!$C$4:$C$9996,"Entrada")-SUMIFS(Movimentos!$F$4:$F$9996,Movimentos!$D$4:$D$9996,B2102,Movimentos!$C$4:$C$9996,"Saída"),""),"")</f>
        <v/>
      </c>
      <c r="F2102" s="10" t="str">
        <f t="shared" si="68"/>
        <v/>
      </c>
    </row>
    <row r="2103" spans="1:6" x14ac:dyDescent="0.3">
      <c r="A2103" s="15" t="str">
        <f t="shared" si="67"/>
        <v>.</v>
      </c>
      <c r="E2103" s="13" t="str">
        <f>IFERROR(IF(AND(B2103&lt;&gt;"",C2103&lt;&gt;""),SUMIFS(Movimentos!$F$4:$F$9996,Movimentos!$D$4:$D$9996,B2103,Movimentos!$C$4:$C$9996,"Entrada")-SUMIFS(Movimentos!$F$4:$F$9996,Movimentos!$D$4:$D$9996,B2103,Movimentos!$C$4:$C$9996,"Saída"),""),"")</f>
        <v/>
      </c>
      <c r="F2103" s="10" t="str">
        <f t="shared" si="68"/>
        <v/>
      </c>
    </row>
    <row r="2104" spans="1:6" x14ac:dyDescent="0.3">
      <c r="A2104" s="15" t="str">
        <f t="shared" si="67"/>
        <v>.</v>
      </c>
      <c r="E2104" s="13" t="str">
        <f>IFERROR(IF(AND(B2104&lt;&gt;"",C2104&lt;&gt;""),SUMIFS(Movimentos!$F$4:$F$9996,Movimentos!$D$4:$D$9996,B2104,Movimentos!$C$4:$C$9996,"Entrada")-SUMIFS(Movimentos!$F$4:$F$9996,Movimentos!$D$4:$D$9996,B2104,Movimentos!$C$4:$C$9996,"Saída"),""),"")</f>
        <v/>
      </c>
      <c r="F2104" s="10" t="str">
        <f t="shared" si="68"/>
        <v/>
      </c>
    </row>
    <row r="2105" spans="1:6" x14ac:dyDescent="0.3">
      <c r="A2105" s="15" t="str">
        <f t="shared" si="67"/>
        <v>.</v>
      </c>
      <c r="E2105" s="13" t="str">
        <f>IFERROR(IF(AND(B2105&lt;&gt;"",C2105&lt;&gt;""),SUMIFS(Movimentos!$F$4:$F$9996,Movimentos!$D$4:$D$9996,B2105,Movimentos!$C$4:$C$9996,"Entrada")-SUMIFS(Movimentos!$F$4:$F$9996,Movimentos!$D$4:$D$9996,B2105,Movimentos!$C$4:$C$9996,"Saída"),""),"")</f>
        <v/>
      </c>
      <c r="F2105" s="10" t="str">
        <f t="shared" si="68"/>
        <v/>
      </c>
    </row>
    <row r="2106" spans="1:6" x14ac:dyDescent="0.3">
      <c r="A2106" s="15" t="str">
        <f t="shared" si="67"/>
        <v>.</v>
      </c>
      <c r="E2106" s="13" t="str">
        <f>IFERROR(IF(AND(B2106&lt;&gt;"",C2106&lt;&gt;""),SUMIFS(Movimentos!$F$4:$F$9996,Movimentos!$D$4:$D$9996,B2106,Movimentos!$C$4:$C$9996,"Entrada")-SUMIFS(Movimentos!$F$4:$F$9996,Movimentos!$D$4:$D$9996,B2106,Movimentos!$C$4:$C$9996,"Saída"),""),"")</f>
        <v/>
      </c>
      <c r="F2106" s="10" t="str">
        <f t="shared" si="68"/>
        <v/>
      </c>
    </row>
    <row r="2107" spans="1:6" x14ac:dyDescent="0.3">
      <c r="A2107" s="15" t="str">
        <f t="shared" si="67"/>
        <v>.</v>
      </c>
      <c r="E2107" s="13" t="str">
        <f>IFERROR(IF(AND(B2107&lt;&gt;"",C2107&lt;&gt;""),SUMIFS(Movimentos!$F$4:$F$9996,Movimentos!$D$4:$D$9996,B2107,Movimentos!$C$4:$C$9996,"Entrada")-SUMIFS(Movimentos!$F$4:$F$9996,Movimentos!$D$4:$D$9996,B2107,Movimentos!$C$4:$C$9996,"Saída"),""),"")</f>
        <v/>
      </c>
      <c r="F2107" s="10" t="str">
        <f t="shared" si="68"/>
        <v/>
      </c>
    </row>
    <row r="2108" spans="1:6" x14ac:dyDescent="0.3">
      <c r="A2108" s="15" t="str">
        <f t="shared" si="67"/>
        <v>.</v>
      </c>
      <c r="E2108" s="13" t="str">
        <f>IFERROR(IF(AND(B2108&lt;&gt;"",C2108&lt;&gt;""),SUMIFS(Movimentos!$F$4:$F$9996,Movimentos!$D$4:$D$9996,B2108,Movimentos!$C$4:$C$9996,"Entrada")-SUMIFS(Movimentos!$F$4:$F$9996,Movimentos!$D$4:$D$9996,B2108,Movimentos!$C$4:$C$9996,"Saída"),""),"")</f>
        <v/>
      </c>
      <c r="F2108" s="10" t="str">
        <f t="shared" si="68"/>
        <v/>
      </c>
    </row>
    <row r="2109" spans="1:6" x14ac:dyDescent="0.3">
      <c r="A2109" s="15" t="str">
        <f t="shared" si="67"/>
        <v>.</v>
      </c>
      <c r="E2109" s="13" t="str">
        <f>IFERROR(IF(AND(B2109&lt;&gt;"",C2109&lt;&gt;""),SUMIFS(Movimentos!$F$4:$F$9996,Movimentos!$D$4:$D$9996,B2109,Movimentos!$C$4:$C$9996,"Entrada")-SUMIFS(Movimentos!$F$4:$F$9996,Movimentos!$D$4:$D$9996,B2109,Movimentos!$C$4:$C$9996,"Saída"),""),"")</f>
        <v/>
      </c>
      <c r="F2109" s="10" t="str">
        <f t="shared" si="68"/>
        <v/>
      </c>
    </row>
    <row r="2110" spans="1:6" x14ac:dyDescent="0.3">
      <c r="A2110" s="15" t="str">
        <f t="shared" si="67"/>
        <v>.</v>
      </c>
      <c r="E2110" s="13" t="str">
        <f>IFERROR(IF(AND(B2110&lt;&gt;"",C2110&lt;&gt;""),SUMIFS(Movimentos!$F$4:$F$9996,Movimentos!$D$4:$D$9996,B2110,Movimentos!$C$4:$C$9996,"Entrada")-SUMIFS(Movimentos!$F$4:$F$9996,Movimentos!$D$4:$D$9996,B2110,Movimentos!$C$4:$C$9996,"Saída"),""),"")</f>
        <v/>
      </c>
      <c r="F2110" s="10" t="str">
        <f t="shared" si="68"/>
        <v/>
      </c>
    </row>
    <row r="2111" spans="1:6" x14ac:dyDescent="0.3">
      <c r="A2111" s="15" t="str">
        <f t="shared" si="67"/>
        <v>.</v>
      </c>
      <c r="E2111" s="13" t="str">
        <f>IFERROR(IF(AND(B2111&lt;&gt;"",C2111&lt;&gt;""),SUMIFS(Movimentos!$F$4:$F$9996,Movimentos!$D$4:$D$9996,B2111,Movimentos!$C$4:$C$9996,"Entrada")-SUMIFS(Movimentos!$F$4:$F$9996,Movimentos!$D$4:$D$9996,B2111,Movimentos!$C$4:$C$9996,"Saída"),""),"")</f>
        <v/>
      </c>
      <c r="F2111" s="10" t="str">
        <f t="shared" si="68"/>
        <v/>
      </c>
    </row>
    <row r="2112" spans="1:6" x14ac:dyDescent="0.3">
      <c r="A2112" s="15" t="str">
        <f t="shared" ref="A2112:A2175" si="69">IF(F2112="Saldo zerado",0,IF(F2112="Saldo abaixo do mínimo",1,IF(F2112="Saldo disponível",2,".")))</f>
        <v>.</v>
      </c>
      <c r="E2112" s="13" t="str">
        <f>IFERROR(IF(AND(B2112&lt;&gt;"",C2112&lt;&gt;""),SUMIFS(Movimentos!$F$4:$F$9996,Movimentos!$D$4:$D$9996,B2112,Movimentos!$C$4:$C$9996,"Entrada")-SUMIFS(Movimentos!$F$4:$F$9996,Movimentos!$D$4:$D$9996,B2112,Movimentos!$C$4:$C$9996,"Saída"),""),"")</f>
        <v/>
      </c>
      <c r="F2112" s="10" t="str">
        <f t="shared" si="68"/>
        <v/>
      </c>
    </row>
    <row r="2113" spans="1:6" x14ac:dyDescent="0.3">
      <c r="A2113" s="15" t="str">
        <f t="shared" si="69"/>
        <v>.</v>
      </c>
      <c r="E2113" s="13" t="str">
        <f>IFERROR(IF(AND(B2113&lt;&gt;"",C2113&lt;&gt;""),SUMIFS(Movimentos!$F$4:$F$9996,Movimentos!$D$4:$D$9996,B2113,Movimentos!$C$4:$C$9996,"Entrada")-SUMIFS(Movimentos!$F$4:$F$9996,Movimentos!$D$4:$D$9996,B2113,Movimentos!$C$4:$C$9996,"Saída"),""),"")</f>
        <v/>
      </c>
      <c r="F2113" s="10" t="str">
        <f t="shared" si="68"/>
        <v/>
      </c>
    </row>
    <row r="2114" spans="1:6" x14ac:dyDescent="0.3">
      <c r="A2114" s="15" t="str">
        <f t="shared" si="69"/>
        <v>.</v>
      </c>
      <c r="E2114" s="13" t="str">
        <f>IFERROR(IF(AND(B2114&lt;&gt;"",C2114&lt;&gt;""),SUMIFS(Movimentos!$F$4:$F$9996,Movimentos!$D$4:$D$9996,B2114,Movimentos!$C$4:$C$9996,"Entrada")-SUMIFS(Movimentos!$F$4:$F$9996,Movimentos!$D$4:$D$9996,B2114,Movimentos!$C$4:$C$9996,"Saída"),""),"")</f>
        <v/>
      </c>
      <c r="F2114" s="10" t="str">
        <f t="shared" si="68"/>
        <v/>
      </c>
    </row>
    <row r="2115" spans="1:6" x14ac:dyDescent="0.3">
      <c r="A2115" s="15" t="str">
        <f t="shared" si="69"/>
        <v>.</v>
      </c>
      <c r="E2115" s="13" t="str">
        <f>IFERROR(IF(AND(B2115&lt;&gt;"",C2115&lt;&gt;""),SUMIFS(Movimentos!$F$4:$F$9996,Movimentos!$D$4:$D$9996,B2115,Movimentos!$C$4:$C$9996,"Entrada")-SUMIFS(Movimentos!$F$4:$F$9996,Movimentos!$D$4:$D$9996,B2115,Movimentos!$C$4:$C$9996,"Saída"),""),"")</f>
        <v/>
      </c>
      <c r="F2115" s="10" t="str">
        <f t="shared" si="68"/>
        <v/>
      </c>
    </row>
    <row r="2116" spans="1:6" x14ac:dyDescent="0.3">
      <c r="A2116" s="15" t="str">
        <f t="shared" si="69"/>
        <v>.</v>
      </c>
      <c r="E2116" s="13" t="str">
        <f>IFERROR(IF(AND(B2116&lt;&gt;"",C2116&lt;&gt;""),SUMIFS(Movimentos!$F$4:$F$9996,Movimentos!$D$4:$D$9996,B2116,Movimentos!$C$4:$C$9996,"Entrada")-SUMIFS(Movimentos!$F$4:$F$9996,Movimentos!$D$4:$D$9996,B2116,Movimentos!$C$4:$C$9996,"Saída"),""),"")</f>
        <v/>
      </c>
      <c r="F2116" s="10" t="str">
        <f t="shared" si="68"/>
        <v/>
      </c>
    </row>
    <row r="2117" spans="1:6" x14ac:dyDescent="0.3">
      <c r="A2117" s="15" t="str">
        <f t="shared" si="69"/>
        <v>.</v>
      </c>
      <c r="E2117" s="13" t="str">
        <f>IFERROR(IF(AND(B2117&lt;&gt;"",C2117&lt;&gt;""),SUMIFS(Movimentos!$F$4:$F$9996,Movimentos!$D$4:$D$9996,B2117,Movimentos!$C$4:$C$9996,"Entrada")-SUMIFS(Movimentos!$F$4:$F$9996,Movimentos!$D$4:$D$9996,B2117,Movimentos!$C$4:$C$9996,"Saída"),""),"")</f>
        <v/>
      </c>
      <c r="F2117" s="10" t="str">
        <f t="shared" si="68"/>
        <v/>
      </c>
    </row>
    <row r="2118" spans="1:6" x14ac:dyDescent="0.3">
      <c r="A2118" s="15" t="str">
        <f t="shared" si="69"/>
        <v>.</v>
      </c>
      <c r="E2118" s="13" t="str">
        <f>IFERROR(IF(AND(B2118&lt;&gt;"",C2118&lt;&gt;""),SUMIFS(Movimentos!$F$4:$F$9996,Movimentos!$D$4:$D$9996,B2118,Movimentos!$C$4:$C$9996,"Entrada")-SUMIFS(Movimentos!$F$4:$F$9996,Movimentos!$D$4:$D$9996,B2118,Movimentos!$C$4:$C$9996,"Saída"),""),"")</f>
        <v/>
      </c>
      <c r="F2118" s="10" t="str">
        <f t="shared" si="68"/>
        <v/>
      </c>
    </row>
    <row r="2119" spans="1:6" x14ac:dyDescent="0.3">
      <c r="A2119" s="15" t="str">
        <f t="shared" si="69"/>
        <v>.</v>
      </c>
      <c r="E2119" s="13" t="str">
        <f>IFERROR(IF(AND(B2119&lt;&gt;"",C2119&lt;&gt;""),SUMIFS(Movimentos!$F$4:$F$9996,Movimentos!$D$4:$D$9996,B2119,Movimentos!$C$4:$C$9996,"Entrada")-SUMIFS(Movimentos!$F$4:$F$9996,Movimentos!$D$4:$D$9996,B2119,Movimentos!$C$4:$C$9996,"Saída"),""),"")</f>
        <v/>
      </c>
      <c r="F2119" s="10" t="str">
        <f t="shared" si="68"/>
        <v/>
      </c>
    </row>
    <row r="2120" spans="1:6" x14ac:dyDescent="0.3">
      <c r="A2120" s="15" t="str">
        <f t="shared" si="69"/>
        <v>.</v>
      </c>
      <c r="E2120" s="13" t="str">
        <f>IFERROR(IF(AND(B2120&lt;&gt;"",C2120&lt;&gt;""),SUMIFS(Movimentos!$F$4:$F$9996,Movimentos!$D$4:$D$9996,B2120,Movimentos!$C$4:$C$9996,"Entrada")-SUMIFS(Movimentos!$F$4:$F$9996,Movimentos!$D$4:$D$9996,B2120,Movimentos!$C$4:$C$9996,"Saída"),""),"")</f>
        <v/>
      </c>
      <c r="F2120" s="10" t="str">
        <f t="shared" si="68"/>
        <v/>
      </c>
    </row>
    <row r="2121" spans="1:6" x14ac:dyDescent="0.3">
      <c r="A2121" s="15" t="str">
        <f t="shared" si="69"/>
        <v>.</v>
      </c>
      <c r="E2121" s="13" t="str">
        <f>IFERROR(IF(AND(B2121&lt;&gt;"",C2121&lt;&gt;""),SUMIFS(Movimentos!$F$4:$F$9996,Movimentos!$D$4:$D$9996,B2121,Movimentos!$C$4:$C$9996,"Entrada")-SUMIFS(Movimentos!$F$4:$F$9996,Movimentos!$D$4:$D$9996,B2121,Movimentos!$C$4:$C$9996,"Saída"),""),"")</f>
        <v/>
      </c>
      <c r="F2121" s="10" t="str">
        <f t="shared" si="68"/>
        <v/>
      </c>
    </row>
    <row r="2122" spans="1:6" x14ac:dyDescent="0.3">
      <c r="A2122" s="15" t="str">
        <f t="shared" si="69"/>
        <v>.</v>
      </c>
      <c r="E2122" s="13" t="str">
        <f>IFERROR(IF(AND(B2122&lt;&gt;"",C2122&lt;&gt;""),SUMIFS(Movimentos!$F$4:$F$9996,Movimentos!$D$4:$D$9996,B2122,Movimentos!$C$4:$C$9996,"Entrada")-SUMIFS(Movimentos!$F$4:$F$9996,Movimentos!$D$4:$D$9996,B2122,Movimentos!$C$4:$C$9996,"Saída"),""),"")</f>
        <v/>
      </c>
      <c r="F2122" s="10" t="str">
        <f t="shared" si="68"/>
        <v/>
      </c>
    </row>
    <row r="2123" spans="1:6" x14ac:dyDescent="0.3">
      <c r="A2123" s="15" t="str">
        <f t="shared" si="69"/>
        <v>.</v>
      </c>
      <c r="E2123" s="13" t="str">
        <f>IFERROR(IF(AND(B2123&lt;&gt;"",C2123&lt;&gt;""),SUMIFS(Movimentos!$F$4:$F$9996,Movimentos!$D$4:$D$9996,B2123,Movimentos!$C$4:$C$9996,"Entrada")-SUMIFS(Movimentos!$F$4:$F$9996,Movimentos!$D$4:$D$9996,B2123,Movimentos!$C$4:$C$9996,"Saída"),""),"")</f>
        <v/>
      </c>
      <c r="F2123" s="10" t="str">
        <f t="shared" si="68"/>
        <v/>
      </c>
    </row>
    <row r="2124" spans="1:6" x14ac:dyDescent="0.3">
      <c r="A2124" s="15" t="str">
        <f t="shared" si="69"/>
        <v>.</v>
      </c>
      <c r="E2124" s="13" t="str">
        <f>IFERROR(IF(AND(B2124&lt;&gt;"",C2124&lt;&gt;""),SUMIFS(Movimentos!$F$4:$F$9996,Movimentos!$D$4:$D$9996,B2124,Movimentos!$C$4:$C$9996,"Entrada")-SUMIFS(Movimentos!$F$4:$F$9996,Movimentos!$D$4:$D$9996,B2124,Movimentos!$C$4:$C$9996,"Saída"),""),"")</f>
        <v/>
      </c>
      <c r="F2124" s="10" t="str">
        <f t="shared" si="68"/>
        <v/>
      </c>
    </row>
    <row r="2125" spans="1:6" x14ac:dyDescent="0.3">
      <c r="A2125" s="15" t="str">
        <f t="shared" si="69"/>
        <v>.</v>
      </c>
      <c r="E2125" s="13" t="str">
        <f>IFERROR(IF(AND(B2125&lt;&gt;"",C2125&lt;&gt;""),SUMIFS(Movimentos!$F$4:$F$9996,Movimentos!$D$4:$D$9996,B2125,Movimentos!$C$4:$C$9996,"Entrada")-SUMIFS(Movimentos!$F$4:$F$9996,Movimentos!$D$4:$D$9996,B2125,Movimentos!$C$4:$C$9996,"Saída"),""),"")</f>
        <v/>
      </c>
      <c r="F2125" s="10" t="str">
        <f t="shared" si="68"/>
        <v/>
      </c>
    </row>
    <row r="2126" spans="1:6" x14ac:dyDescent="0.3">
      <c r="A2126" s="15" t="str">
        <f t="shared" si="69"/>
        <v>.</v>
      </c>
      <c r="E2126" s="13" t="str">
        <f>IFERROR(IF(AND(B2126&lt;&gt;"",C2126&lt;&gt;""),SUMIFS(Movimentos!$F$4:$F$9996,Movimentos!$D$4:$D$9996,B2126,Movimentos!$C$4:$C$9996,"Entrada")-SUMIFS(Movimentos!$F$4:$F$9996,Movimentos!$D$4:$D$9996,B2126,Movimentos!$C$4:$C$9996,"Saída"),""),"")</f>
        <v/>
      </c>
      <c r="F2126" s="10" t="str">
        <f t="shared" si="68"/>
        <v/>
      </c>
    </row>
    <row r="2127" spans="1:6" x14ac:dyDescent="0.3">
      <c r="A2127" s="15" t="str">
        <f t="shared" si="69"/>
        <v>.</v>
      </c>
      <c r="E2127" s="13" t="str">
        <f>IFERROR(IF(AND(B2127&lt;&gt;"",C2127&lt;&gt;""),SUMIFS(Movimentos!$F$4:$F$9996,Movimentos!$D$4:$D$9996,B2127,Movimentos!$C$4:$C$9996,"Entrada")-SUMIFS(Movimentos!$F$4:$F$9996,Movimentos!$D$4:$D$9996,B2127,Movimentos!$C$4:$C$9996,"Saída"),""),"")</f>
        <v/>
      </c>
      <c r="F2127" s="10" t="str">
        <f t="shared" si="68"/>
        <v/>
      </c>
    </row>
    <row r="2128" spans="1:6" x14ac:dyDescent="0.3">
      <c r="A2128" s="15" t="str">
        <f t="shared" si="69"/>
        <v>.</v>
      </c>
      <c r="E2128" s="13" t="str">
        <f>IFERROR(IF(AND(B2128&lt;&gt;"",C2128&lt;&gt;""),SUMIFS(Movimentos!$F$4:$F$9996,Movimentos!$D$4:$D$9996,B2128,Movimentos!$C$4:$C$9996,"Entrada")-SUMIFS(Movimentos!$F$4:$F$9996,Movimentos!$D$4:$D$9996,B2128,Movimentos!$C$4:$C$9996,"Saída"),""),"")</f>
        <v/>
      </c>
      <c r="F2128" s="10" t="str">
        <f t="shared" si="68"/>
        <v/>
      </c>
    </row>
    <row r="2129" spans="1:6" x14ac:dyDescent="0.3">
      <c r="A2129" s="15" t="str">
        <f t="shared" si="69"/>
        <v>.</v>
      </c>
      <c r="E2129" s="13" t="str">
        <f>IFERROR(IF(AND(B2129&lt;&gt;"",C2129&lt;&gt;""),SUMIFS(Movimentos!$F$4:$F$9996,Movimentos!$D$4:$D$9996,B2129,Movimentos!$C$4:$C$9996,"Entrada")-SUMIFS(Movimentos!$F$4:$F$9996,Movimentos!$D$4:$D$9996,B2129,Movimentos!$C$4:$C$9996,"Saída"),""),"")</f>
        <v/>
      </c>
      <c r="F2129" s="10" t="str">
        <f t="shared" si="68"/>
        <v/>
      </c>
    </row>
    <row r="2130" spans="1:6" x14ac:dyDescent="0.3">
      <c r="A2130" s="15" t="str">
        <f t="shared" si="69"/>
        <v>.</v>
      </c>
      <c r="E2130" s="13" t="str">
        <f>IFERROR(IF(AND(B2130&lt;&gt;"",C2130&lt;&gt;""),SUMIFS(Movimentos!$F$4:$F$9996,Movimentos!$D$4:$D$9996,B2130,Movimentos!$C$4:$C$9996,"Entrada")-SUMIFS(Movimentos!$F$4:$F$9996,Movimentos!$D$4:$D$9996,B2130,Movimentos!$C$4:$C$9996,"Saída"),""),"")</f>
        <v/>
      </c>
      <c r="F2130" s="10" t="str">
        <f t="shared" si="68"/>
        <v/>
      </c>
    </row>
    <row r="2131" spans="1:6" x14ac:dyDescent="0.3">
      <c r="A2131" s="15" t="str">
        <f t="shared" si="69"/>
        <v>.</v>
      </c>
      <c r="E2131" s="13" t="str">
        <f>IFERROR(IF(AND(B2131&lt;&gt;"",C2131&lt;&gt;""),SUMIFS(Movimentos!$F$4:$F$9996,Movimentos!$D$4:$D$9996,B2131,Movimentos!$C$4:$C$9996,"Entrada")-SUMIFS(Movimentos!$F$4:$F$9996,Movimentos!$D$4:$D$9996,B2131,Movimentos!$C$4:$C$9996,"Saída"),""),"")</f>
        <v/>
      </c>
      <c r="F2131" s="10" t="str">
        <f t="shared" si="68"/>
        <v/>
      </c>
    </row>
    <row r="2132" spans="1:6" x14ac:dyDescent="0.3">
      <c r="A2132" s="15" t="str">
        <f t="shared" si="69"/>
        <v>.</v>
      </c>
      <c r="E2132" s="13" t="str">
        <f>IFERROR(IF(AND(B2132&lt;&gt;"",C2132&lt;&gt;""),SUMIFS(Movimentos!$F$4:$F$9996,Movimentos!$D$4:$D$9996,B2132,Movimentos!$C$4:$C$9996,"Entrada")-SUMIFS(Movimentos!$F$4:$F$9996,Movimentos!$D$4:$D$9996,B2132,Movimentos!$C$4:$C$9996,"Saída"),""),"")</f>
        <v/>
      </c>
      <c r="F2132" s="10" t="str">
        <f t="shared" si="68"/>
        <v/>
      </c>
    </row>
    <row r="2133" spans="1:6" x14ac:dyDescent="0.3">
      <c r="A2133" s="15" t="str">
        <f t="shared" si="69"/>
        <v>.</v>
      </c>
      <c r="E2133" s="13" t="str">
        <f>IFERROR(IF(AND(B2133&lt;&gt;"",C2133&lt;&gt;""),SUMIFS(Movimentos!$F$4:$F$9996,Movimentos!$D$4:$D$9996,B2133,Movimentos!$C$4:$C$9996,"Entrada")-SUMIFS(Movimentos!$F$4:$F$9996,Movimentos!$D$4:$D$9996,B2133,Movimentos!$C$4:$C$9996,"Saída"),""),"")</f>
        <v/>
      </c>
      <c r="F2133" s="10" t="str">
        <f t="shared" si="68"/>
        <v/>
      </c>
    </row>
    <row r="2134" spans="1:6" x14ac:dyDescent="0.3">
      <c r="A2134" s="15" t="str">
        <f t="shared" si="69"/>
        <v>.</v>
      </c>
      <c r="E2134" s="13" t="str">
        <f>IFERROR(IF(AND(B2134&lt;&gt;"",C2134&lt;&gt;""),SUMIFS(Movimentos!$F$4:$F$9996,Movimentos!$D$4:$D$9996,B2134,Movimentos!$C$4:$C$9996,"Entrada")-SUMIFS(Movimentos!$F$4:$F$9996,Movimentos!$D$4:$D$9996,B2134,Movimentos!$C$4:$C$9996,"Saída"),""),"")</f>
        <v/>
      </c>
      <c r="F2134" s="10" t="str">
        <f t="shared" si="68"/>
        <v/>
      </c>
    </row>
    <row r="2135" spans="1:6" x14ac:dyDescent="0.3">
      <c r="A2135" s="15" t="str">
        <f t="shared" si="69"/>
        <v>.</v>
      </c>
      <c r="E2135" s="13" t="str">
        <f>IFERROR(IF(AND(B2135&lt;&gt;"",C2135&lt;&gt;""),SUMIFS(Movimentos!$F$4:$F$9996,Movimentos!$D$4:$D$9996,B2135,Movimentos!$C$4:$C$9996,"Entrada")-SUMIFS(Movimentos!$F$4:$F$9996,Movimentos!$D$4:$D$9996,B2135,Movimentos!$C$4:$C$9996,"Saída"),""),"")</f>
        <v/>
      </c>
      <c r="F2135" s="10" t="str">
        <f t="shared" ref="F2135:F2198" si="70">IF(AND(B2135&lt;&gt;"",C2135&lt;&gt;""),IF(E2135=0,"Saldo zerado",IF(E2135&lt;D2135,"Saldo abaixo do mínimo","Saldo disponível")),"")</f>
        <v/>
      </c>
    </row>
    <row r="2136" spans="1:6" x14ac:dyDescent="0.3">
      <c r="A2136" s="15" t="str">
        <f t="shared" si="69"/>
        <v>.</v>
      </c>
      <c r="E2136" s="13" t="str">
        <f>IFERROR(IF(AND(B2136&lt;&gt;"",C2136&lt;&gt;""),SUMIFS(Movimentos!$F$4:$F$9996,Movimentos!$D$4:$D$9996,B2136,Movimentos!$C$4:$C$9996,"Entrada")-SUMIFS(Movimentos!$F$4:$F$9996,Movimentos!$D$4:$D$9996,B2136,Movimentos!$C$4:$C$9996,"Saída"),""),"")</f>
        <v/>
      </c>
      <c r="F2136" s="10" t="str">
        <f t="shared" si="70"/>
        <v/>
      </c>
    </row>
    <row r="2137" spans="1:6" x14ac:dyDescent="0.3">
      <c r="A2137" s="15" t="str">
        <f t="shared" si="69"/>
        <v>.</v>
      </c>
      <c r="E2137" s="13" t="str">
        <f>IFERROR(IF(AND(B2137&lt;&gt;"",C2137&lt;&gt;""),SUMIFS(Movimentos!$F$4:$F$9996,Movimentos!$D$4:$D$9996,B2137,Movimentos!$C$4:$C$9996,"Entrada")-SUMIFS(Movimentos!$F$4:$F$9996,Movimentos!$D$4:$D$9996,B2137,Movimentos!$C$4:$C$9996,"Saída"),""),"")</f>
        <v/>
      </c>
      <c r="F2137" s="10" t="str">
        <f t="shared" si="70"/>
        <v/>
      </c>
    </row>
    <row r="2138" spans="1:6" x14ac:dyDescent="0.3">
      <c r="A2138" s="15" t="str">
        <f t="shared" si="69"/>
        <v>.</v>
      </c>
      <c r="E2138" s="13" t="str">
        <f>IFERROR(IF(AND(B2138&lt;&gt;"",C2138&lt;&gt;""),SUMIFS(Movimentos!$F$4:$F$9996,Movimentos!$D$4:$D$9996,B2138,Movimentos!$C$4:$C$9996,"Entrada")-SUMIFS(Movimentos!$F$4:$F$9996,Movimentos!$D$4:$D$9996,B2138,Movimentos!$C$4:$C$9996,"Saída"),""),"")</f>
        <v/>
      </c>
      <c r="F2138" s="10" t="str">
        <f t="shared" si="70"/>
        <v/>
      </c>
    </row>
    <row r="2139" spans="1:6" x14ac:dyDescent="0.3">
      <c r="A2139" s="15" t="str">
        <f t="shared" si="69"/>
        <v>.</v>
      </c>
      <c r="E2139" s="13" t="str">
        <f>IFERROR(IF(AND(B2139&lt;&gt;"",C2139&lt;&gt;""),SUMIFS(Movimentos!$F$4:$F$9996,Movimentos!$D$4:$D$9996,B2139,Movimentos!$C$4:$C$9996,"Entrada")-SUMIFS(Movimentos!$F$4:$F$9996,Movimentos!$D$4:$D$9996,B2139,Movimentos!$C$4:$C$9996,"Saída"),""),"")</f>
        <v/>
      </c>
      <c r="F2139" s="10" t="str">
        <f t="shared" si="70"/>
        <v/>
      </c>
    </row>
    <row r="2140" spans="1:6" x14ac:dyDescent="0.3">
      <c r="A2140" s="15" t="str">
        <f t="shared" si="69"/>
        <v>.</v>
      </c>
      <c r="E2140" s="13" t="str">
        <f>IFERROR(IF(AND(B2140&lt;&gt;"",C2140&lt;&gt;""),SUMIFS(Movimentos!$F$4:$F$9996,Movimentos!$D$4:$D$9996,B2140,Movimentos!$C$4:$C$9996,"Entrada")-SUMIFS(Movimentos!$F$4:$F$9996,Movimentos!$D$4:$D$9996,B2140,Movimentos!$C$4:$C$9996,"Saída"),""),"")</f>
        <v/>
      </c>
      <c r="F2140" s="10" t="str">
        <f t="shared" si="70"/>
        <v/>
      </c>
    </row>
    <row r="2141" spans="1:6" x14ac:dyDescent="0.3">
      <c r="A2141" s="15" t="str">
        <f t="shared" si="69"/>
        <v>.</v>
      </c>
      <c r="E2141" s="13" t="str">
        <f>IFERROR(IF(AND(B2141&lt;&gt;"",C2141&lt;&gt;""),SUMIFS(Movimentos!$F$4:$F$9996,Movimentos!$D$4:$D$9996,B2141,Movimentos!$C$4:$C$9996,"Entrada")-SUMIFS(Movimentos!$F$4:$F$9996,Movimentos!$D$4:$D$9996,B2141,Movimentos!$C$4:$C$9996,"Saída"),""),"")</f>
        <v/>
      </c>
      <c r="F2141" s="10" t="str">
        <f t="shared" si="70"/>
        <v/>
      </c>
    </row>
    <row r="2142" spans="1:6" x14ac:dyDescent="0.3">
      <c r="A2142" s="15" t="str">
        <f t="shared" si="69"/>
        <v>.</v>
      </c>
      <c r="E2142" s="13" t="str">
        <f>IFERROR(IF(AND(B2142&lt;&gt;"",C2142&lt;&gt;""),SUMIFS(Movimentos!$F$4:$F$9996,Movimentos!$D$4:$D$9996,B2142,Movimentos!$C$4:$C$9996,"Entrada")-SUMIFS(Movimentos!$F$4:$F$9996,Movimentos!$D$4:$D$9996,B2142,Movimentos!$C$4:$C$9996,"Saída"),""),"")</f>
        <v/>
      </c>
      <c r="F2142" s="10" t="str">
        <f t="shared" si="70"/>
        <v/>
      </c>
    </row>
    <row r="2143" spans="1:6" x14ac:dyDescent="0.3">
      <c r="A2143" s="15" t="str">
        <f t="shared" si="69"/>
        <v>.</v>
      </c>
      <c r="E2143" s="13" t="str">
        <f>IFERROR(IF(AND(B2143&lt;&gt;"",C2143&lt;&gt;""),SUMIFS(Movimentos!$F$4:$F$9996,Movimentos!$D$4:$D$9996,B2143,Movimentos!$C$4:$C$9996,"Entrada")-SUMIFS(Movimentos!$F$4:$F$9996,Movimentos!$D$4:$D$9996,B2143,Movimentos!$C$4:$C$9996,"Saída"),""),"")</f>
        <v/>
      </c>
      <c r="F2143" s="10" t="str">
        <f t="shared" si="70"/>
        <v/>
      </c>
    </row>
    <row r="2144" spans="1:6" x14ac:dyDescent="0.3">
      <c r="A2144" s="15" t="str">
        <f t="shared" si="69"/>
        <v>.</v>
      </c>
      <c r="E2144" s="13" t="str">
        <f>IFERROR(IF(AND(B2144&lt;&gt;"",C2144&lt;&gt;""),SUMIFS(Movimentos!$F$4:$F$9996,Movimentos!$D$4:$D$9996,B2144,Movimentos!$C$4:$C$9996,"Entrada")-SUMIFS(Movimentos!$F$4:$F$9996,Movimentos!$D$4:$D$9996,B2144,Movimentos!$C$4:$C$9996,"Saída"),""),"")</f>
        <v/>
      </c>
      <c r="F2144" s="10" t="str">
        <f t="shared" si="70"/>
        <v/>
      </c>
    </row>
    <row r="2145" spans="1:6" x14ac:dyDescent="0.3">
      <c r="A2145" s="15" t="str">
        <f t="shared" si="69"/>
        <v>.</v>
      </c>
      <c r="E2145" s="13" t="str">
        <f>IFERROR(IF(AND(B2145&lt;&gt;"",C2145&lt;&gt;""),SUMIFS(Movimentos!$F$4:$F$9996,Movimentos!$D$4:$D$9996,B2145,Movimentos!$C$4:$C$9996,"Entrada")-SUMIFS(Movimentos!$F$4:$F$9996,Movimentos!$D$4:$D$9996,B2145,Movimentos!$C$4:$C$9996,"Saída"),""),"")</f>
        <v/>
      </c>
      <c r="F2145" s="10" t="str">
        <f t="shared" si="70"/>
        <v/>
      </c>
    </row>
    <row r="2146" spans="1:6" x14ac:dyDescent="0.3">
      <c r="A2146" s="15" t="str">
        <f t="shared" si="69"/>
        <v>.</v>
      </c>
      <c r="E2146" s="13" t="str">
        <f>IFERROR(IF(AND(B2146&lt;&gt;"",C2146&lt;&gt;""),SUMIFS(Movimentos!$F$4:$F$9996,Movimentos!$D$4:$D$9996,B2146,Movimentos!$C$4:$C$9996,"Entrada")-SUMIFS(Movimentos!$F$4:$F$9996,Movimentos!$D$4:$D$9996,B2146,Movimentos!$C$4:$C$9996,"Saída"),""),"")</f>
        <v/>
      </c>
      <c r="F2146" s="10" t="str">
        <f t="shared" si="70"/>
        <v/>
      </c>
    </row>
    <row r="2147" spans="1:6" x14ac:dyDescent="0.3">
      <c r="A2147" s="15" t="str">
        <f t="shared" si="69"/>
        <v>.</v>
      </c>
      <c r="E2147" s="13" t="str">
        <f>IFERROR(IF(AND(B2147&lt;&gt;"",C2147&lt;&gt;""),SUMIFS(Movimentos!$F$4:$F$9996,Movimentos!$D$4:$D$9996,B2147,Movimentos!$C$4:$C$9996,"Entrada")-SUMIFS(Movimentos!$F$4:$F$9996,Movimentos!$D$4:$D$9996,B2147,Movimentos!$C$4:$C$9996,"Saída"),""),"")</f>
        <v/>
      </c>
      <c r="F2147" s="10" t="str">
        <f t="shared" si="70"/>
        <v/>
      </c>
    </row>
    <row r="2148" spans="1:6" x14ac:dyDescent="0.3">
      <c r="A2148" s="15" t="str">
        <f t="shared" si="69"/>
        <v>.</v>
      </c>
      <c r="E2148" s="13" t="str">
        <f>IFERROR(IF(AND(B2148&lt;&gt;"",C2148&lt;&gt;""),SUMIFS(Movimentos!$F$4:$F$9996,Movimentos!$D$4:$D$9996,B2148,Movimentos!$C$4:$C$9996,"Entrada")-SUMIFS(Movimentos!$F$4:$F$9996,Movimentos!$D$4:$D$9996,B2148,Movimentos!$C$4:$C$9996,"Saída"),""),"")</f>
        <v/>
      </c>
      <c r="F2148" s="10" t="str">
        <f t="shared" si="70"/>
        <v/>
      </c>
    </row>
    <row r="2149" spans="1:6" x14ac:dyDescent="0.3">
      <c r="A2149" s="15" t="str">
        <f t="shared" si="69"/>
        <v>.</v>
      </c>
      <c r="E2149" s="13" t="str">
        <f>IFERROR(IF(AND(B2149&lt;&gt;"",C2149&lt;&gt;""),SUMIFS(Movimentos!$F$4:$F$9996,Movimentos!$D$4:$D$9996,B2149,Movimentos!$C$4:$C$9996,"Entrada")-SUMIFS(Movimentos!$F$4:$F$9996,Movimentos!$D$4:$D$9996,B2149,Movimentos!$C$4:$C$9996,"Saída"),""),"")</f>
        <v/>
      </c>
      <c r="F2149" s="10" t="str">
        <f t="shared" si="70"/>
        <v/>
      </c>
    </row>
    <row r="2150" spans="1:6" x14ac:dyDescent="0.3">
      <c r="A2150" s="15" t="str">
        <f t="shared" si="69"/>
        <v>.</v>
      </c>
      <c r="E2150" s="13" t="str">
        <f>IFERROR(IF(AND(B2150&lt;&gt;"",C2150&lt;&gt;""),SUMIFS(Movimentos!$F$4:$F$9996,Movimentos!$D$4:$D$9996,B2150,Movimentos!$C$4:$C$9996,"Entrada")-SUMIFS(Movimentos!$F$4:$F$9996,Movimentos!$D$4:$D$9996,B2150,Movimentos!$C$4:$C$9996,"Saída"),""),"")</f>
        <v/>
      </c>
      <c r="F2150" s="10" t="str">
        <f t="shared" si="70"/>
        <v/>
      </c>
    </row>
    <row r="2151" spans="1:6" x14ac:dyDescent="0.3">
      <c r="A2151" s="15" t="str">
        <f t="shared" si="69"/>
        <v>.</v>
      </c>
      <c r="E2151" s="13" t="str">
        <f>IFERROR(IF(AND(B2151&lt;&gt;"",C2151&lt;&gt;""),SUMIFS(Movimentos!$F$4:$F$9996,Movimentos!$D$4:$D$9996,B2151,Movimentos!$C$4:$C$9996,"Entrada")-SUMIFS(Movimentos!$F$4:$F$9996,Movimentos!$D$4:$D$9996,B2151,Movimentos!$C$4:$C$9996,"Saída"),""),"")</f>
        <v/>
      </c>
      <c r="F2151" s="10" t="str">
        <f t="shared" si="70"/>
        <v/>
      </c>
    </row>
    <row r="2152" spans="1:6" x14ac:dyDescent="0.3">
      <c r="A2152" s="15" t="str">
        <f t="shared" si="69"/>
        <v>.</v>
      </c>
      <c r="E2152" s="13" t="str">
        <f>IFERROR(IF(AND(B2152&lt;&gt;"",C2152&lt;&gt;""),SUMIFS(Movimentos!$F$4:$F$9996,Movimentos!$D$4:$D$9996,B2152,Movimentos!$C$4:$C$9996,"Entrada")-SUMIFS(Movimentos!$F$4:$F$9996,Movimentos!$D$4:$D$9996,B2152,Movimentos!$C$4:$C$9996,"Saída"),""),"")</f>
        <v/>
      </c>
      <c r="F2152" s="10" t="str">
        <f t="shared" si="70"/>
        <v/>
      </c>
    </row>
    <row r="2153" spans="1:6" x14ac:dyDescent="0.3">
      <c r="A2153" s="15" t="str">
        <f t="shared" si="69"/>
        <v>.</v>
      </c>
      <c r="E2153" s="13" t="str">
        <f>IFERROR(IF(AND(B2153&lt;&gt;"",C2153&lt;&gt;""),SUMIFS(Movimentos!$F$4:$F$9996,Movimentos!$D$4:$D$9996,B2153,Movimentos!$C$4:$C$9996,"Entrada")-SUMIFS(Movimentos!$F$4:$F$9996,Movimentos!$D$4:$D$9996,B2153,Movimentos!$C$4:$C$9996,"Saída"),""),"")</f>
        <v/>
      </c>
      <c r="F2153" s="10" t="str">
        <f t="shared" si="70"/>
        <v/>
      </c>
    </row>
    <row r="2154" spans="1:6" x14ac:dyDescent="0.3">
      <c r="A2154" s="15" t="str">
        <f t="shared" si="69"/>
        <v>.</v>
      </c>
      <c r="E2154" s="13" t="str">
        <f>IFERROR(IF(AND(B2154&lt;&gt;"",C2154&lt;&gt;""),SUMIFS(Movimentos!$F$4:$F$9996,Movimentos!$D$4:$D$9996,B2154,Movimentos!$C$4:$C$9996,"Entrada")-SUMIFS(Movimentos!$F$4:$F$9996,Movimentos!$D$4:$D$9996,B2154,Movimentos!$C$4:$C$9996,"Saída"),""),"")</f>
        <v/>
      </c>
      <c r="F2154" s="10" t="str">
        <f t="shared" si="70"/>
        <v/>
      </c>
    </row>
    <row r="2155" spans="1:6" x14ac:dyDescent="0.3">
      <c r="A2155" s="15" t="str">
        <f t="shared" si="69"/>
        <v>.</v>
      </c>
      <c r="E2155" s="13" t="str">
        <f>IFERROR(IF(AND(B2155&lt;&gt;"",C2155&lt;&gt;""),SUMIFS(Movimentos!$F$4:$F$9996,Movimentos!$D$4:$D$9996,B2155,Movimentos!$C$4:$C$9996,"Entrada")-SUMIFS(Movimentos!$F$4:$F$9996,Movimentos!$D$4:$D$9996,B2155,Movimentos!$C$4:$C$9996,"Saída"),""),"")</f>
        <v/>
      </c>
      <c r="F2155" s="10" t="str">
        <f t="shared" si="70"/>
        <v/>
      </c>
    </row>
    <row r="2156" spans="1:6" x14ac:dyDescent="0.3">
      <c r="A2156" s="15" t="str">
        <f t="shared" si="69"/>
        <v>.</v>
      </c>
      <c r="E2156" s="13" t="str">
        <f>IFERROR(IF(AND(B2156&lt;&gt;"",C2156&lt;&gt;""),SUMIFS(Movimentos!$F$4:$F$9996,Movimentos!$D$4:$D$9996,B2156,Movimentos!$C$4:$C$9996,"Entrada")-SUMIFS(Movimentos!$F$4:$F$9996,Movimentos!$D$4:$D$9996,B2156,Movimentos!$C$4:$C$9996,"Saída"),""),"")</f>
        <v/>
      </c>
      <c r="F2156" s="10" t="str">
        <f t="shared" si="70"/>
        <v/>
      </c>
    </row>
    <row r="2157" spans="1:6" x14ac:dyDescent="0.3">
      <c r="A2157" s="15" t="str">
        <f t="shared" si="69"/>
        <v>.</v>
      </c>
      <c r="E2157" s="13" t="str">
        <f>IFERROR(IF(AND(B2157&lt;&gt;"",C2157&lt;&gt;""),SUMIFS(Movimentos!$F$4:$F$9996,Movimentos!$D$4:$D$9996,B2157,Movimentos!$C$4:$C$9996,"Entrada")-SUMIFS(Movimentos!$F$4:$F$9996,Movimentos!$D$4:$D$9996,B2157,Movimentos!$C$4:$C$9996,"Saída"),""),"")</f>
        <v/>
      </c>
      <c r="F2157" s="10" t="str">
        <f t="shared" si="70"/>
        <v/>
      </c>
    </row>
    <row r="2158" spans="1:6" x14ac:dyDescent="0.3">
      <c r="A2158" s="15" t="str">
        <f t="shared" si="69"/>
        <v>.</v>
      </c>
      <c r="E2158" s="13" t="str">
        <f>IFERROR(IF(AND(B2158&lt;&gt;"",C2158&lt;&gt;""),SUMIFS(Movimentos!$F$4:$F$9996,Movimentos!$D$4:$D$9996,B2158,Movimentos!$C$4:$C$9996,"Entrada")-SUMIFS(Movimentos!$F$4:$F$9996,Movimentos!$D$4:$D$9996,B2158,Movimentos!$C$4:$C$9996,"Saída"),""),"")</f>
        <v/>
      </c>
      <c r="F2158" s="10" t="str">
        <f t="shared" si="70"/>
        <v/>
      </c>
    </row>
    <row r="2159" spans="1:6" x14ac:dyDescent="0.3">
      <c r="A2159" s="15" t="str">
        <f t="shared" si="69"/>
        <v>.</v>
      </c>
      <c r="E2159" s="13" t="str">
        <f>IFERROR(IF(AND(B2159&lt;&gt;"",C2159&lt;&gt;""),SUMIFS(Movimentos!$F$4:$F$9996,Movimentos!$D$4:$D$9996,B2159,Movimentos!$C$4:$C$9996,"Entrada")-SUMIFS(Movimentos!$F$4:$F$9996,Movimentos!$D$4:$D$9996,B2159,Movimentos!$C$4:$C$9996,"Saída"),""),"")</f>
        <v/>
      </c>
      <c r="F2159" s="10" t="str">
        <f t="shared" si="70"/>
        <v/>
      </c>
    </row>
    <row r="2160" spans="1:6" x14ac:dyDescent="0.3">
      <c r="A2160" s="15" t="str">
        <f t="shared" si="69"/>
        <v>.</v>
      </c>
      <c r="E2160" s="13" t="str">
        <f>IFERROR(IF(AND(B2160&lt;&gt;"",C2160&lt;&gt;""),SUMIFS(Movimentos!$F$4:$F$9996,Movimentos!$D$4:$D$9996,B2160,Movimentos!$C$4:$C$9996,"Entrada")-SUMIFS(Movimentos!$F$4:$F$9996,Movimentos!$D$4:$D$9996,B2160,Movimentos!$C$4:$C$9996,"Saída"),""),"")</f>
        <v/>
      </c>
      <c r="F2160" s="10" t="str">
        <f t="shared" si="70"/>
        <v/>
      </c>
    </row>
    <row r="2161" spans="1:6" x14ac:dyDescent="0.3">
      <c r="A2161" s="15" t="str">
        <f t="shared" si="69"/>
        <v>.</v>
      </c>
      <c r="E2161" s="13" t="str">
        <f>IFERROR(IF(AND(B2161&lt;&gt;"",C2161&lt;&gt;""),SUMIFS(Movimentos!$F$4:$F$9996,Movimentos!$D$4:$D$9996,B2161,Movimentos!$C$4:$C$9996,"Entrada")-SUMIFS(Movimentos!$F$4:$F$9996,Movimentos!$D$4:$D$9996,B2161,Movimentos!$C$4:$C$9996,"Saída"),""),"")</f>
        <v/>
      </c>
      <c r="F2161" s="10" t="str">
        <f t="shared" si="70"/>
        <v/>
      </c>
    </row>
    <row r="2162" spans="1:6" x14ac:dyDescent="0.3">
      <c r="A2162" s="15" t="str">
        <f t="shared" si="69"/>
        <v>.</v>
      </c>
      <c r="E2162" s="13" t="str">
        <f>IFERROR(IF(AND(B2162&lt;&gt;"",C2162&lt;&gt;""),SUMIFS(Movimentos!$F$4:$F$9996,Movimentos!$D$4:$D$9996,B2162,Movimentos!$C$4:$C$9996,"Entrada")-SUMIFS(Movimentos!$F$4:$F$9996,Movimentos!$D$4:$D$9996,B2162,Movimentos!$C$4:$C$9996,"Saída"),""),"")</f>
        <v/>
      </c>
      <c r="F2162" s="10" t="str">
        <f t="shared" si="70"/>
        <v/>
      </c>
    </row>
    <row r="2163" spans="1:6" x14ac:dyDescent="0.3">
      <c r="A2163" s="15" t="str">
        <f t="shared" si="69"/>
        <v>.</v>
      </c>
      <c r="E2163" s="13" t="str">
        <f>IFERROR(IF(AND(B2163&lt;&gt;"",C2163&lt;&gt;""),SUMIFS(Movimentos!$F$4:$F$9996,Movimentos!$D$4:$D$9996,B2163,Movimentos!$C$4:$C$9996,"Entrada")-SUMIFS(Movimentos!$F$4:$F$9996,Movimentos!$D$4:$D$9996,B2163,Movimentos!$C$4:$C$9996,"Saída"),""),"")</f>
        <v/>
      </c>
      <c r="F2163" s="10" t="str">
        <f t="shared" si="70"/>
        <v/>
      </c>
    </row>
    <row r="2164" spans="1:6" x14ac:dyDescent="0.3">
      <c r="A2164" s="15" t="str">
        <f t="shared" si="69"/>
        <v>.</v>
      </c>
      <c r="E2164" s="13" t="str">
        <f>IFERROR(IF(AND(B2164&lt;&gt;"",C2164&lt;&gt;""),SUMIFS(Movimentos!$F$4:$F$9996,Movimentos!$D$4:$D$9996,B2164,Movimentos!$C$4:$C$9996,"Entrada")-SUMIFS(Movimentos!$F$4:$F$9996,Movimentos!$D$4:$D$9996,B2164,Movimentos!$C$4:$C$9996,"Saída"),""),"")</f>
        <v/>
      </c>
      <c r="F2164" s="10" t="str">
        <f t="shared" si="70"/>
        <v/>
      </c>
    </row>
    <row r="2165" spans="1:6" x14ac:dyDescent="0.3">
      <c r="A2165" s="15" t="str">
        <f t="shared" si="69"/>
        <v>.</v>
      </c>
      <c r="E2165" s="13" t="str">
        <f>IFERROR(IF(AND(B2165&lt;&gt;"",C2165&lt;&gt;""),SUMIFS(Movimentos!$F$4:$F$9996,Movimentos!$D$4:$D$9996,B2165,Movimentos!$C$4:$C$9996,"Entrada")-SUMIFS(Movimentos!$F$4:$F$9996,Movimentos!$D$4:$D$9996,B2165,Movimentos!$C$4:$C$9996,"Saída"),""),"")</f>
        <v/>
      </c>
      <c r="F2165" s="10" t="str">
        <f t="shared" si="70"/>
        <v/>
      </c>
    </row>
    <row r="2166" spans="1:6" x14ac:dyDescent="0.3">
      <c r="A2166" s="15" t="str">
        <f t="shared" si="69"/>
        <v>.</v>
      </c>
      <c r="E2166" s="13" t="str">
        <f>IFERROR(IF(AND(B2166&lt;&gt;"",C2166&lt;&gt;""),SUMIFS(Movimentos!$F$4:$F$9996,Movimentos!$D$4:$D$9996,B2166,Movimentos!$C$4:$C$9996,"Entrada")-SUMIFS(Movimentos!$F$4:$F$9996,Movimentos!$D$4:$D$9996,B2166,Movimentos!$C$4:$C$9996,"Saída"),""),"")</f>
        <v/>
      </c>
      <c r="F2166" s="10" t="str">
        <f t="shared" si="70"/>
        <v/>
      </c>
    </row>
    <row r="2167" spans="1:6" x14ac:dyDescent="0.3">
      <c r="A2167" s="15" t="str">
        <f t="shared" si="69"/>
        <v>.</v>
      </c>
      <c r="E2167" s="13" t="str">
        <f>IFERROR(IF(AND(B2167&lt;&gt;"",C2167&lt;&gt;""),SUMIFS(Movimentos!$F$4:$F$9996,Movimentos!$D$4:$D$9996,B2167,Movimentos!$C$4:$C$9996,"Entrada")-SUMIFS(Movimentos!$F$4:$F$9996,Movimentos!$D$4:$D$9996,B2167,Movimentos!$C$4:$C$9996,"Saída"),""),"")</f>
        <v/>
      </c>
      <c r="F2167" s="10" t="str">
        <f t="shared" si="70"/>
        <v/>
      </c>
    </row>
    <row r="2168" spans="1:6" x14ac:dyDescent="0.3">
      <c r="A2168" s="15" t="str">
        <f t="shared" si="69"/>
        <v>.</v>
      </c>
      <c r="E2168" s="13" t="str">
        <f>IFERROR(IF(AND(B2168&lt;&gt;"",C2168&lt;&gt;""),SUMIFS(Movimentos!$F$4:$F$9996,Movimentos!$D$4:$D$9996,B2168,Movimentos!$C$4:$C$9996,"Entrada")-SUMIFS(Movimentos!$F$4:$F$9996,Movimentos!$D$4:$D$9996,B2168,Movimentos!$C$4:$C$9996,"Saída"),""),"")</f>
        <v/>
      </c>
      <c r="F2168" s="10" t="str">
        <f t="shared" si="70"/>
        <v/>
      </c>
    </row>
    <row r="2169" spans="1:6" x14ac:dyDescent="0.3">
      <c r="A2169" s="15" t="str">
        <f t="shared" si="69"/>
        <v>.</v>
      </c>
      <c r="E2169" s="13" t="str">
        <f>IFERROR(IF(AND(B2169&lt;&gt;"",C2169&lt;&gt;""),SUMIFS(Movimentos!$F$4:$F$9996,Movimentos!$D$4:$D$9996,B2169,Movimentos!$C$4:$C$9996,"Entrada")-SUMIFS(Movimentos!$F$4:$F$9996,Movimentos!$D$4:$D$9996,B2169,Movimentos!$C$4:$C$9996,"Saída"),""),"")</f>
        <v/>
      </c>
      <c r="F2169" s="10" t="str">
        <f t="shared" si="70"/>
        <v/>
      </c>
    </row>
    <row r="2170" spans="1:6" x14ac:dyDescent="0.3">
      <c r="A2170" s="15" t="str">
        <f t="shared" si="69"/>
        <v>.</v>
      </c>
      <c r="E2170" s="13" t="str">
        <f>IFERROR(IF(AND(B2170&lt;&gt;"",C2170&lt;&gt;""),SUMIFS(Movimentos!$F$4:$F$9996,Movimentos!$D$4:$D$9996,B2170,Movimentos!$C$4:$C$9996,"Entrada")-SUMIFS(Movimentos!$F$4:$F$9996,Movimentos!$D$4:$D$9996,B2170,Movimentos!$C$4:$C$9996,"Saída"),""),"")</f>
        <v/>
      </c>
      <c r="F2170" s="10" t="str">
        <f t="shared" si="70"/>
        <v/>
      </c>
    </row>
    <row r="2171" spans="1:6" x14ac:dyDescent="0.3">
      <c r="A2171" s="15" t="str">
        <f t="shared" si="69"/>
        <v>.</v>
      </c>
      <c r="E2171" s="13" t="str">
        <f>IFERROR(IF(AND(B2171&lt;&gt;"",C2171&lt;&gt;""),SUMIFS(Movimentos!$F$4:$F$9996,Movimentos!$D$4:$D$9996,B2171,Movimentos!$C$4:$C$9996,"Entrada")-SUMIFS(Movimentos!$F$4:$F$9996,Movimentos!$D$4:$D$9996,B2171,Movimentos!$C$4:$C$9996,"Saída"),""),"")</f>
        <v/>
      </c>
      <c r="F2171" s="10" t="str">
        <f t="shared" si="70"/>
        <v/>
      </c>
    </row>
    <row r="2172" spans="1:6" x14ac:dyDescent="0.3">
      <c r="A2172" s="15" t="str">
        <f t="shared" si="69"/>
        <v>.</v>
      </c>
      <c r="E2172" s="13" t="str">
        <f>IFERROR(IF(AND(B2172&lt;&gt;"",C2172&lt;&gt;""),SUMIFS(Movimentos!$F$4:$F$9996,Movimentos!$D$4:$D$9996,B2172,Movimentos!$C$4:$C$9996,"Entrada")-SUMIFS(Movimentos!$F$4:$F$9996,Movimentos!$D$4:$D$9996,B2172,Movimentos!$C$4:$C$9996,"Saída"),""),"")</f>
        <v/>
      </c>
      <c r="F2172" s="10" t="str">
        <f t="shared" si="70"/>
        <v/>
      </c>
    </row>
    <row r="2173" spans="1:6" x14ac:dyDescent="0.3">
      <c r="A2173" s="15" t="str">
        <f t="shared" si="69"/>
        <v>.</v>
      </c>
      <c r="E2173" s="13" t="str">
        <f>IFERROR(IF(AND(B2173&lt;&gt;"",C2173&lt;&gt;""),SUMIFS(Movimentos!$F$4:$F$9996,Movimentos!$D$4:$D$9996,B2173,Movimentos!$C$4:$C$9996,"Entrada")-SUMIFS(Movimentos!$F$4:$F$9996,Movimentos!$D$4:$D$9996,B2173,Movimentos!$C$4:$C$9996,"Saída"),""),"")</f>
        <v/>
      </c>
      <c r="F2173" s="10" t="str">
        <f t="shared" si="70"/>
        <v/>
      </c>
    </row>
    <row r="2174" spans="1:6" x14ac:dyDescent="0.3">
      <c r="A2174" s="15" t="str">
        <f t="shared" si="69"/>
        <v>.</v>
      </c>
      <c r="E2174" s="13" t="str">
        <f>IFERROR(IF(AND(B2174&lt;&gt;"",C2174&lt;&gt;""),SUMIFS(Movimentos!$F$4:$F$9996,Movimentos!$D$4:$D$9996,B2174,Movimentos!$C$4:$C$9996,"Entrada")-SUMIFS(Movimentos!$F$4:$F$9996,Movimentos!$D$4:$D$9996,B2174,Movimentos!$C$4:$C$9996,"Saída"),""),"")</f>
        <v/>
      </c>
      <c r="F2174" s="10" t="str">
        <f t="shared" si="70"/>
        <v/>
      </c>
    </row>
    <row r="2175" spans="1:6" x14ac:dyDescent="0.3">
      <c r="A2175" s="15" t="str">
        <f t="shared" si="69"/>
        <v>.</v>
      </c>
      <c r="E2175" s="13" t="str">
        <f>IFERROR(IF(AND(B2175&lt;&gt;"",C2175&lt;&gt;""),SUMIFS(Movimentos!$F$4:$F$9996,Movimentos!$D$4:$D$9996,B2175,Movimentos!$C$4:$C$9996,"Entrada")-SUMIFS(Movimentos!$F$4:$F$9996,Movimentos!$D$4:$D$9996,B2175,Movimentos!$C$4:$C$9996,"Saída"),""),"")</f>
        <v/>
      </c>
      <c r="F2175" s="10" t="str">
        <f t="shared" si="70"/>
        <v/>
      </c>
    </row>
    <row r="2176" spans="1:6" x14ac:dyDescent="0.3">
      <c r="A2176" s="15" t="str">
        <f t="shared" ref="A2176:A2239" si="71">IF(F2176="Saldo zerado",0,IF(F2176="Saldo abaixo do mínimo",1,IF(F2176="Saldo disponível",2,".")))</f>
        <v>.</v>
      </c>
      <c r="E2176" s="13" t="str">
        <f>IFERROR(IF(AND(B2176&lt;&gt;"",C2176&lt;&gt;""),SUMIFS(Movimentos!$F$4:$F$9996,Movimentos!$D$4:$D$9996,B2176,Movimentos!$C$4:$C$9996,"Entrada")-SUMIFS(Movimentos!$F$4:$F$9996,Movimentos!$D$4:$D$9996,B2176,Movimentos!$C$4:$C$9996,"Saída"),""),"")</f>
        <v/>
      </c>
      <c r="F2176" s="10" t="str">
        <f t="shared" si="70"/>
        <v/>
      </c>
    </row>
    <row r="2177" spans="1:6" x14ac:dyDescent="0.3">
      <c r="A2177" s="15" t="str">
        <f t="shared" si="71"/>
        <v>.</v>
      </c>
      <c r="E2177" s="13" t="str">
        <f>IFERROR(IF(AND(B2177&lt;&gt;"",C2177&lt;&gt;""),SUMIFS(Movimentos!$F$4:$F$9996,Movimentos!$D$4:$D$9996,B2177,Movimentos!$C$4:$C$9996,"Entrada")-SUMIFS(Movimentos!$F$4:$F$9996,Movimentos!$D$4:$D$9996,B2177,Movimentos!$C$4:$C$9996,"Saída"),""),"")</f>
        <v/>
      </c>
      <c r="F2177" s="10" t="str">
        <f t="shared" si="70"/>
        <v/>
      </c>
    </row>
    <row r="2178" spans="1:6" x14ac:dyDescent="0.3">
      <c r="A2178" s="15" t="str">
        <f t="shared" si="71"/>
        <v>.</v>
      </c>
      <c r="E2178" s="13" t="str">
        <f>IFERROR(IF(AND(B2178&lt;&gt;"",C2178&lt;&gt;""),SUMIFS(Movimentos!$F$4:$F$9996,Movimentos!$D$4:$D$9996,B2178,Movimentos!$C$4:$C$9996,"Entrada")-SUMIFS(Movimentos!$F$4:$F$9996,Movimentos!$D$4:$D$9996,B2178,Movimentos!$C$4:$C$9996,"Saída"),""),"")</f>
        <v/>
      </c>
      <c r="F2178" s="10" t="str">
        <f t="shared" si="70"/>
        <v/>
      </c>
    </row>
    <row r="2179" spans="1:6" x14ac:dyDescent="0.3">
      <c r="A2179" s="15" t="str">
        <f t="shared" si="71"/>
        <v>.</v>
      </c>
      <c r="E2179" s="13" t="str">
        <f>IFERROR(IF(AND(B2179&lt;&gt;"",C2179&lt;&gt;""),SUMIFS(Movimentos!$F$4:$F$9996,Movimentos!$D$4:$D$9996,B2179,Movimentos!$C$4:$C$9996,"Entrada")-SUMIFS(Movimentos!$F$4:$F$9996,Movimentos!$D$4:$D$9996,B2179,Movimentos!$C$4:$C$9996,"Saída"),""),"")</f>
        <v/>
      </c>
      <c r="F2179" s="10" t="str">
        <f t="shared" si="70"/>
        <v/>
      </c>
    </row>
    <row r="2180" spans="1:6" x14ac:dyDescent="0.3">
      <c r="A2180" s="15" t="str">
        <f t="shared" si="71"/>
        <v>.</v>
      </c>
      <c r="E2180" s="13" t="str">
        <f>IFERROR(IF(AND(B2180&lt;&gt;"",C2180&lt;&gt;""),SUMIFS(Movimentos!$F$4:$F$9996,Movimentos!$D$4:$D$9996,B2180,Movimentos!$C$4:$C$9996,"Entrada")-SUMIFS(Movimentos!$F$4:$F$9996,Movimentos!$D$4:$D$9996,B2180,Movimentos!$C$4:$C$9996,"Saída"),""),"")</f>
        <v/>
      </c>
      <c r="F2180" s="10" t="str">
        <f t="shared" si="70"/>
        <v/>
      </c>
    </row>
    <row r="2181" spans="1:6" x14ac:dyDescent="0.3">
      <c r="A2181" s="15" t="str">
        <f t="shared" si="71"/>
        <v>.</v>
      </c>
      <c r="E2181" s="13" t="str">
        <f>IFERROR(IF(AND(B2181&lt;&gt;"",C2181&lt;&gt;""),SUMIFS(Movimentos!$F$4:$F$9996,Movimentos!$D$4:$D$9996,B2181,Movimentos!$C$4:$C$9996,"Entrada")-SUMIFS(Movimentos!$F$4:$F$9996,Movimentos!$D$4:$D$9996,B2181,Movimentos!$C$4:$C$9996,"Saída"),""),"")</f>
        <v/>
      </c>
      <c r="F2181" s="10" t="str">
        <f t="shared" si="70"/>
        <v/>
      </c>
    </row>
    <row r="2182" spans="1:6" x14ac:dyDescent="0.3">
      <c r="A2182" s="15" t="str">
        <f t="shared" si="71"/>
        <v>.</v>
      </c>
      <c r="E2182" s="13" t="str">
        <f>IFERROR(IF(AND(B2182&lt;&gt;"",C2182&lt;&gt;""),SUMIFS(Movimentos!$F$4:$F$9996,Movimentos!$D$4:$D$9996,B2182,Movimentos!$C$4:$C$9996,"Entrada")-SUMIFS(Movimentos!$F$4:$F$9996,Movimentos!$D$4:$D$9996,B2182,Movimentos!$C$4:$C$9996,"Saída"),""),"")</f>
        <v/>
      </c>
      <c r="F2182" s="10" t="str">
        <f t="shared" si="70"/>
        <v/>
      </c>
    </row>
    <row r="2183" spans="1:6" x14ac:dyDescent="0.3">
      <c r="A2183" s="15" t="str">
        <f t="shared" si="71"/>
        <v>.</v>
      </c>
      <c r="E2183" s="13" t="str">
        <f>IFERROR(IF(AND(B2183&lt;&gt;"",C2183&lt;&gt;""),SUMIFS(Movimentos!$F$4:$F$9996,Movimentos!$D$4:$D$9996,B2183,Movimentos!$C$4:$C$9996,"Entrada")-SUMIFS(Movimentos!$F$4:$F$9996,Movimentos!$D$4:$D$9996,B2183,Movimentos!$C$4:$C$9996,"Saída"),""),"")</f>
        <v/>
      </c>
      <c r="F2183" s="10" t="str">
        <f t="shared" si="70"/>
        <v/>
      </c>
    </row>
    <row r="2184" spans="1:6" x14ac:dyDescent="0.3">
      <c r="A2184" s="15" t="str">
        <f t="shared" si="71"/>
        <v>.</v>
      </c>
      <c r="E2184" s="13" t="str">
        <f>IFERROR(IF(AND(B2184&lt;&gt;"",C2184&lt;&gt;""),SUMIFS(Movimentos!$F$4:$F$9996,Movimentos!$D$4:$D$9996,B2184,Movimentos!$C$4:$C$9996,"Entrada")-SUMIFS(Movimentos!$F$4:$F$9996,Movimentos!$D$4:$D$9996,B2184,Movimentos!$C$4:$C$9996,"Saída"),""),"")</f>
        <v/>
      </c>
      <c r="F2184" s="10" t="str">
        <f t="shared" si="70"/>
        <v/>
      </c>
    </row>
    <row r="2185" spans="1:6" x14ac:dyDescent="0.3">
      <c r="A2185" s="15" t="str">
        <f t="shared" si="71"/>
        <v>.</v>
      </c>
      <c r="E2185" s="13" t="str">
        <f>IFERROR(IF(AND(B2185&lt;&gt;"",C2185&lt;&gt;""),SUMIFS(Movimentos!$F$4:$F$9996,Movimentos!$D$4:$D$9996,B2185,Movimentos!$C$4:$C$9996,"Entrada")-SUMIFS(Movimentos!$F$4:$F$9996,Movimentos!$D$4:$D$9996,B2185,Movimentos!$C$4:$C$9996,"Saída"),""),"")</f>
        <v/>
      </c>
      <c r="F2185" s="10" t="str">
        <f t="shared" si="70"/>
        <v/>
      </c>
    </row>
    <row r="2186" spans="1:6" x14ac:dyDescent="0.3">
      <c r="A2186" s="15" t="str">
        <f t="shared" si="71"/>
        <v>.</v>
      </c>
      <c r="E2186" s="13" t="str">
        <f>IFERROR(IF(AND(B2186&lt;&gt;"",C2186&lt;&gt;""),SUMIFS(Movimentos!$F$4:$F$9996,Movimentos!$D$4:$D$9996,B2186,Movimentos!$C$4:$C$9996,"Entrada")-SUMIFS(Movimentos!$F$4:$F$9996,Movimentos!$D$4:$D$9996,B2186,Movimentos!$C$4:$C$9996,"Saída"),""),"")</f>
        <v/>
      </c>
      <c r="F2186" s="10" t="str">
        <f t="shared" si="70"/>
        <v/>
      </c>
    </row>
    <row r="2187" spans="1:6" x14ac:dyDescent="0.3">
      <c r="A2187" s="15" t="str">
        <f t="shared" si="71"/>
        <v>.</v>
      </c>
      <c r="E2187" s="13" t="str">
        <f>IFERROR(IF(AND(B2187&lt;&gt;"",C2187&lt;&gt;""),SUMIFS(Movimentos!$F$4:$F$9996,Movimentos!$D$4:$D$9996,B2187,Movimentos!$C$4:$C$9996,"Entrada")-SUMIFS(Movimentos!$F$4:$F$9996,Movimentos!$D$4:$D$9996,B2187,Movimentos!$C$4:$C$9996,"Saída"),""),"")</f>
        <v/>
      </c>
      <c r="F2187" s="10" t="str">
        <f t="shared" si="70"/>
        <v/>
      </c>
    </row>
    <row r="2188" spans="1:6" x14ac:dyDescent="0.3">
      <c r="A2188" s="15" t="str">
        <f t="shared" si="71"/>
        <v>.</v>
      </c>
      <c r="E2188" s="13" t="str">
        <f>IFERROR(IF(AND(B2188&lt;&gt;"",C2188&lt;&gt;""),SUMIFS(Movimentos!$F$4:$F$9996,Movimentos!$D$4:$D$9996,B2188,Movimentos!$C$4:$C$9996,"Entrada")-SUMIFS(Movimentos!$F$4:$F$9996,Movimentos!$D$4:$D$9996,B2188,Movimentos!$C$4:$C$9996,"Saída"),""),"")</f>
        <v/>
      </c>
      <c r="F2188" s="10" t="str">
        <f t="shared" si="70"/>
        <v/>
      </c>
    </row>
    <row r="2189" spans="1:6" x14ac:dyDescent="0.3">
      <c r="A2189" s="15" t="str">
        <f t="shared" si="71"/>
        <v>.</v>
      </c>
      <c r="E2189" s="13" t="str">
        <f>IFERROR(IF(AND(B2189&lt;&gt;"",C2189&lt;&gt;""),SUMIFS(Movimentos!$F$4:$F$9996,Movimentos!$D$4:$D$9996,B2189,Movimentos!$C$4:$C$9996,"Entrada")-SUMIFS(Movimentos!$F$4:$F$9996,Movimentos!$D$4:$D$9996,B2189,Movimentos!$C$4:$C$9996,"Saída"),""),"")</f>
        <v/>
      </c>
      <c r="F2189" s="10" t="str">
        <f t="shared" si="70"/>
        <v/>
      </c>
    </row>
    <row r="2190" spans="1:6" x14ac:dyDescent="0.3">
      <c r="A2190" s="15" t="str">
        <f t="shared" si="71"/>
        <v>.</v>
      </c>
      <c r="E2190" s="13" t="str">
        <f>IFERROR(IF(AND(B2190&lt;&gt;"",C2190&lt;&gt;""),SUMIFS(Movimentos!$F$4:$F$9996,Movimentos!$D$4:$D$9996,B2190,Movimentos!$C$4:$C$9996,"Entrada")-SUMIFS(Movimentos!$F$4:$F$9996,Movimentos!$D$4:$D$9996,B2190,Movimentos!$C$4:$C$9996,"Saída"),""),"")</f>
        <v/>
      </c>
      <c r="F2190" s="10" t="str">
        <f t="shared" si="70"/>
        <v/>
      </c>
    </row>
    <row r="2191" spans="1:6" x14ac:dyDescent="0.3">
      <c r="A2191" s="15" t="str">
        <f t="shared" si="71"/>
        <v>.</v>
      </c>
      <c r="E2191" s="13" t="str">
        <f>IFERROR(IF(AND(B2191&lt;&gt;"",C2191&lt;&gt;""),SUMIFS(Movimentos!$F$4:$F$9996,Movimentos!$D$4:$D$9996,B2191,Movimentos!$C$4:$C$9996,"Entrada")-SUMIFS(Movimentos!$F$4:$F$9996,Movimentos!$D$4:$D$9996,B2191,Movimentos!$C$4:$C$9996,"Saída"),""),"")</f>
        <v/>
      </c>
      <c r="F2191" s="10" t="str">
        <f t="shared" si="70"/>
        <v/>
      </c>
    </row>
    <row r="2192" spans="1:6" x14ac:dyDescent="0.3">
      <c r="A2192" s="15" t="str">
        <f t="shared" si="71"/>
        <v>.</v>
      </c>
      <c r="E2192" s="13" t="str">
        <f>IFERROR(IF(AND(B2192&lt;&gt;"",C2192&lt;&gt;""),SUMIFS(Movimentos!$F$4:$F$9996,Movimentos!$D$4:$D$9996,B2192,Movimentos!$C$4:$C$9996,"Entrada")-SUMIFS(Movimentos!$F$4:$F$9996,Movimentos!$D$4:$D$9996,B2192,Movimentos!$C$4:$C$9996,"Saída"),""),"")</f>
        <v/>
      </c>
      <c r="F2192" s="10" t="str">
        <f t="shared" si="70"/>
        <v/>
      </c>
    </row>
    <row r="2193" spans="1:6" x14ac:dyDescent="0.3">
      <c r="A2193" s="15" t="str">
        <f t="shared" si="71"/>
        <v>.</v>
      </c>
      <c r="E2193" s="13" t="str">
        <f>IFERROR(IF(AND(B2193&lt;&gt;"",C2193&lt;&gt;""),SUMIFS(Movimentos!$F$4:$F$9996,Movimentos!$D$4:$D$9996,B2193,Movimentos!$C$4:$C$9996,"Entrada")-SUMIFS(Movimentos!$F$4:$F$9996,Movimentos!$D$4:$D$9996,B2193,Movimentos!$C$4:$C$9996,"Saída"),""),"")</f>
        <v/>
      </c>
      <c r="F2193" s="10" t="str">
        <f t="shared" si="70"/>
        <v/>
      </c>
    </row>
    <row r="2194" spans="1:6" x14ac:dyDescent="0.3">
      <c r="A2194" s="15" t="str">
        <f t="shared" si="71"/>
        <v>.</v>
      </c>
      <c r="E2194" s="13" t="str">
        <f>IFERROR(IF(AND(B2194&lt;&gt;"",C2194&lt;&gt;""),SUMIFS(Movimentos!$F$4:$F$9996,Movimentos!$D$4:$D$9996,B2194,Movimentos!$C$4:$C$9996,"Entrada")-SUMIFS(Movimentos!$F$4:$F$9996,Movimentos!$D$4:$D$9996,B2194,Movimentos!$C$4:$C$9996,"Saída"),""),"")</f>
        <v/>
      </c>
      <c r="F2194" s="10" t="str">
        <f t="shared" si="70"/>
        <v/>
      </c>
    </row>
    <row r="2195" spans="1:6" x14ac:dyDescent="0.3">
      <c r="A2195" s="15" t="str">
        <f t="shared" si="71"/>
        <v>.</v>
      </c>
      <c r="E2195" s="13" t="str">
        <f>IFERROR(IF(AND(B2195&lt;&gt;"",C2195&lt;&gt;""),SUMIFS(Movimentos!$F$4:$F$9996,Movimentos!$D$4:$D$9996,B2195,Movimentos!$C$4:$C$9996,"Entrada")-SUMIFS(Movimentos!$F$4:$F$9996,Movimentos!$D$4:$D$9996,B2195,Movimentos!$C$4:$C$9996,"Saída"),""),"")</f>
        <v/>
      </c>
      <c r="F2195" s="10" t="str">
        <f t="shared" si="70"/>
        <v/>
      </c>
    </row>
    <row r="2196" spans="1:6" x14ac:dyDescent="0.3">
      <c r="A2196" s="15" t="str">
        <f t="shared" si="71"/>
        <v>.</v>
      </c>
      <c r="E2196" s="13" t="str">
        <f>IFERROR(IF(AND(B2196&lt;&gt;"",C2196&lt;&gt;""),SUMIFS(Movimentos!$F$4:$F$9996,Movimentos!$D$4:$D$9996,B2196,Movimentos!$C$4:$C$9996,"Entrada")-SUMIFS(Movimentos!$F$4:$F$9996,Movimentos!$D$4:$D$9996,B2196,Movimentos!$C$4:$C$9996,"Saída"),""),"")</f>
        <v/>
      </c>
      <c r="F2196" s="10" t="str">
        <f t="shared" si="70"/>
        <v/>
      </c>
    </row>
    <row r="2197" spans="1:6" x14ac:dyDescent="0.3">
      <c r="A2197" s="15" t="str">
        <f t="shared" si="71"/>
        <v>.</v>
      </c>
      <c r="E2197" s="13" t="str">
        <f>IFERROR(IF(AND(B2197&lt;&gt;"",C2197&lt;&gt;""),SUMIFS(Movimentos!$F$4:$F$9996,Movimentos!$D$4:$D$9996,B2197,Movimentos!$C$4:$C$9996,"Entrada")-SUMIFS(Movimentos!$F$4:$F$9996,Movimentos!$D$4:$D$9996,B2197,Movimentos!$C$4:$C$9996,"Saída"),""),"")</f>
        <v/>
      </c>
      <c r="F2197" s="10" t="str">
        <f t="shared" si="70"/>
        <v/>
      </c>
    </row>
    <row r="2198" spans="1:6" x14ac:dyDescent="0.3">
      <c r="A2198" s="15" t="str">
        <f t="shared" si="71"/>
        <v>.</v>
      </c>
      <c r="E2198" s="13" t="str">
        <f>IFERROR(IF(AND(B2198&lt;&gt;"",C2198&lt;&gt;""),SUMIFS(Movimentos!$F$4:$F$9996,Movimentos!$D$4:$D$9996,B2198,Movimentos!$C$4:$C$9996,"Entrada")-SUMIFS(Movimentos!$F$4:$F$9996,Movimentos!$D$4:$D$9996,B2198,Movimentos!$C$4:$C$9996,"Saída"),""),"")</f>
        <v/>
      </c>
      <c r="F2198" s="10" t="str">
        <f t="shared" si="70"/>
        <v/>
      </c>
    </row>
    <row r="2199" spans="1:6" x14ac:dyDescent="0.3">
      <c r="A2199" s="15" t="str">
        <f t="shared" si="71"/>
        <v>.</v>
      </c>
      <c r="E2199" s="13" t="str">
        <f>IFERROR(IF(AND(B2199&lt;&gt;"",C2199&lt;&gt;""),SUMIFS(Movimentos!$F$4:$F$9996,Movimentos!$D$4:$D$9996,B2199,Movimentos!$C$4:$C$9996,"Entrada")-SUMIFS(Movimentos!$F$4:$F$9996,Movimentos!$D$4:$D$9996,B2199,Movimentos!$C$4:$C$9996,"Saída"),""),"")</f>
        <v/>
      </c>
      <c r="F2199" s="10" t="str">
        <f t="shared" ref="F2199:F2262" si="72">IF(AND(B2199&lt;&gt;"",C2199&lt;&gt;""),IF(E2199=0,"Saldo zerado",IF(E2199&lt;D2199,"Saldo abaixo do mínimo","Saldo disponível")),"")</f>
        <v/>
      </c>
    </row>
    <row r="2200" spans="1:6" x14ac:dyDescent="0.3">
      <c r="A2200" s="15" t="str">
        <f t="shared" si="71"/>
        <v>.</v>
      </c>
      <c r="E2200" s="13" t="str">
        <f>IFERROR(IF(AND(B2200&lt;&gt;"",C2200&lt;&gt;""),SUMIFS(Movimentos!$F$4:$F$9996,Movimentos!$D$4:$D$9996,B2200,Movimentos!$C$4:$C$9996,"Entrada")-SUMIFS(Movimentos!$F$4:$F$9996,Movimentos!$D$4:$D$9996,B2200,Movimentos!$C$4:$C$9996,"Saída"),""),"")</f>
        <v/>
      </c>
      <c r="F2200" s="10" t="str">
        <f t="shared" si="72"/>
        <v/>
      </c>
    </row>
    <row r="2201" spans="1:6" x14ac:dyDescent="0.3">
      <c r="A2201" s="15" t="str">
        <f t="shared" si="71"/>
        <v>.</v>
      </c>
      <c r="E2201" s="13" t="str">
        <f>IFERROR(IF(AND(B2201&lt;&gt;"",C2201&lt;&gt;""),SUMIFS(Movimentos!$F$4:$F$9996,Movimentos!$D$4:$D$9996,B2201,Movimentos!$C$4:$C$9996,"Entrada")-SUMIFS(Movimentos!$F$4:$F$9996,Movimentos!$D$4:$D$9996,B2201,Movimentos!$C$4:$C$9996,"Saída"),""),"")</f>
        <v/>
      </c>
      <c r="F2201" s="10" t="str">
        <f t="shared" si="72"/>
        <v/>
      </c>
    </row>
    <row r="2202" spans="1:6" x14ac:dyDescent="0.3">
      <c r="A2202" s="15" t="str">
        <f t="shared" si="71"/>
        <v>.</v>
      </c>
      <c r="E2202" s="13" t="str">
        <f>IFERROR(IF(AND(B2202&lt;&gt;"",C2202&lt;&gt;""),SUMIFS(Movimentos!$F$4:$F$9996,Movimentos!$D$4:$D$9996,B2202,Movimentos!$C$4:$C$9996,"Entrada")-SUMIFS(Movimentos!$F$4:$F$9996,Movimentos!$D$4:$D$9996,B2202,Movimentos!$C$4:$C$9996,"Saída"),""),"")</f>
        <v/>
      </c>
      <c r="F2202" s="10" t="str">
        <f t="shared" si="72"/>
        <v/>
      </c>
    </row>
    <row r="2203" spans="1:6" x14ac:dyDescent="0.3">
      <c r="A2203" s="15" t="str">
        <f t="shared" si="71"/>
        <v>.</v>
      </c>
      <c r="E2203" s="13" t="str">
        <f>IFERROR(IF(AND(B2203&lt;&gt;"",C2203&lt;&gt;""),SUMIFS(Movimentos!$F$4:$F$9996,Movimentos!$D$4:$D$9996,B2203,Movimentos!$C$4:$C$9996,"Entrada")-SUMIFS(Movimentos!$F$4:$F$9996,Movimentos!$D$4:$D$9996,B2203,Movimentos!$C$4:$C$9996,"Saída"),""),"")</f>
        <v/>
      </c>
      <c r="F2203" s="10" t="str">
        <f t="shared" si="72"/>
        <v/>
      </c>
    </row>
    <row r="2204" spans="1:6" x14ac:dyDescent="0.3">
      <c r="A2204" s="15" t="str">
        <f t="shared" si="71"/>
        <v>.</v>
      </c>
      <c r="E2204" s="13" t="str">
        <f>IFERROR(IF(AND(B2204&lt;&gt;"",C2204&lt;&gt;""),SUMIFS(Movimentos!$F$4:$F$9996,Movimentos!$D$4:$D$9996,B2204,Movimentos!$C$4:$C$9996,"Entrada")-SUMIFS(Movimentos!$F$4:$F$9996,Movimentos!$D$4:$D$9996,B2204,Movimentos!$C$4:$C$9996,"Saída"),""),"")</f>
        <v/>
      </c>
      <c r="F2204" s="10" t="str">
        <f t="shared" si="72"/>
        <v/>
      </c>
    </row>
    <row r="2205" spans="1:6" x14ac:dyDescent="0.3">
      <c r="A2205" s="15" t="str">
        <f t="shared" si="71"/>
        <v>.</v>
      </c>
      <c r="E2205" s="13" t="str">
        <f>IFERROR(IF(AND(B2205&lt;&gt;"",C2205&lt;&gt;""),SUMIFS(Movimentos!$F$4:$F$9996,Movimentos!$D$4:$D$9996,B2205,Movimentos!$C$4:$C$9996,"Entrada")-SUMIFS(Movimentos!$F$4:$F$9996,Movimentos!$D$4:$D$9996,B2205,Movimentos!$C$4:$C$9996,"Saída"),""),"")</f>
        <v/>
      </c>
      <c r="F2205" s="10" t="str">
        <f t="shared" si="72"/>
        <v/>
      </c>
    </row>
    <row r="2206" spans="1:6" x14ac:dyDescent="0.3">
      <c r="A2206" s="15" t="str">
        <f t="shared" si="71"/>
        <v>.</v>
      </c>
      <c r="E2206" s="13" t="str">
        <f>IFERROR(IF(AND(B2206&lt;&gt;"",C2206&lt;&gt;""),SUMIFS(Movimentos!$F$4:$F$9996,Movimentos!$D$4:$D$9996,B2206,Movimentos!$C$4:$C$9996,"Entrada")-SUMIFS(Movimentos!$F$4:$F$9996,Movimentos!$D$4:$D$9996,B2206,Movimentos!$C$4:$C$9996,"Saída"),""),"")</f>
        <v/>
      </c>
      <c r="F2206" s="10" t="str">
        <f t="shared" si="72"/>
        <v/>
      </c>
    </row>
    <row r="2207" spans="1:6" x14ac:dyDescent="0.3">
      <c r="A2207" s="15" t="str">
        <f t="shared" si="71"/>
        <v>.</v>
      </c>
      <c r="E2207" s="13" t="str">
        <f>IFERROR(IF(AND(B2207&lt;&gt;"",C2207&lt;&gt;""),SUMIFS(Movimentos!$F$4:$F$9996,Movimentos!$D$4:$D$9996,B2207,Movimentos!$C$4:$C$9996,"Entrada")-SUMIFS(Movimentos!$F$4:$F$9996,Movimentos!$D$4:$D$9996,B2207,Movimentos!$C$4:$C$9996,"Saída"),""),"")</f>
        <v/>
      </c>
      <c r="F2207" s="10" t="str">
        <f t="shared" si="72"/>
        <v/>
      </c>
    </row>
    <row r="2208" spans="1:6" x14ac:dyDescent="0.3">
      <c r="A2208" s="15" t="str">
        <f t="shared" si="71"/>
        <v>.</v>
      </c>
      <c r="E2208" s="13" t="str">
        <f>IFERROR(IF(AND(B2208&lt;&gt;"",C2208&lt;&gt;""),SUMIFS(Movimentos!$F$4:$F$9996,Movimentos!$D$4:$D$9996,B2208,Movimentos!$C$4:$C$9996,"Entrada")-SUMIFS(Movimentos!$F$4:$F$9996,Movimentos!$D$4:$D$9996,B2208,Movimentos!$C$4:$C$9996,"Saída"),""),"")</f>
        <v/>
      </c>
      <c r="F2208" s="10" t="str">
        <f t="shared" si="72"/>
        <v/>
      </c>
    </row>
    <row r="2209" spans="1:6" x14ac:dyDescent="0.3">
      <c r="A2209" s="15" t="str">
        <f t="shared" si="71"/>
        <v>.</v>
      </c>
      <c r="E2209" s="13" t="str">
        <f>IFERROR(IF(AND(B2209&lt;&gt;"",C2209&lt;&gt;""),SUMIFS(Movimentos!$F$4:$F$9996,Movimentos!$D$4:$D$9996,B2209,Movimentos!$C$4:$C$9996,"Entrada")-SUMIFS(Movimentos!$F$4:$F$9996,Movimentos!$D$4:$D$9996,B2209,Movimentos!$C$4:$C$9996,"Saída"),""),"")</f>
        <v/>
      </c>
      <c r="F2209" s="10" t="str">
        <f t="shared" si="72"/>
        <v/>
      </c>
    </row>
    <row r="2210" spans="1:6" x14ac:dyDescent="0.3">
      <c r="A2210" s="15" t="str">
        <f t="shared" si="71"/>
        <v>.</v>
      </c>
      <c r="E2210" s="13" t="str">
        <f>IFERROR(IF(AND(B2210&lt;&gt;"",C2210&lt;&gt;""),SUMIFS(Movimentos!$F$4:$F$9996,Movimentos!$D$4:$D$9996,B2210,Movimentos!$C$4:$C$9996,"Entrada")-SUMIFS(Movimentos!$F$4:$F$9996,Movimentos!$D$4:$D$9996,B2210,Movimentos!$C$4:$C$9996,"Saída"),""),"")</f>
        <v/>
      </c>
      <c r="F2210" s="10" t="str">
        <f t="shared" si="72"/>
        <v/>
      </c>
    </row>
    <row r="2211" spans="1:6" x14ac:dyDescent="0.3">
      <c r="A2211" s="15" t="str">
        <f t="shared" si="71"/>
        <v>.</v>
      </c>
      <c r="E2211" s="13" t="str">
        <f>IFERROR(IF(AND(B2211&lt;&gt;"",C2211&lt;&gt;""),SUMIFS(Movimentos!$F$4:$F$9996,Movimentos!$D$4:$D$9996,B2211,Movimentos!$C$4:$C$9996,"Entrada")-SUMIFS(Movimentos!$F$4:$F$9996,Movimentos!$D$4:$D$9996,B2211,Movimentos!$C$4:$C$9996,"Saída"),""),"")</f>
        <v/>
      </c>
      <c r="F2211" s="10" t="str">
        <f t="shared" si="72"/>
        <v/>
      </c>
    </row>
    <row r="2212" spans="1:6" x14ac:dyDescent="0.3">
      <c r="A2212" s="15" t="str">
        <f t="shared" si="71"/>
        <v>.</v>
      </c>
      <c r="E2212" s="13" t="str">
        <f>IFERROR(IF(AND(B2212&lt;&gt;"",C2212&lt;&gt;""),SUMIFS(Movimentos!$F$4:$F$9996,Movimentos!$D$4:$D$9996,B2212,Movimentos!$C$4:$C$9996,"Entrada")-SUMIFS(Movimentos!$F$4:$F$9996,Movimentos!$D$4:$D$9996,B2212,Movimentos!$C$4:$C$9996,"Saída"),""),"")</f>
        <v/>
      </c>
      <c r="F2212" s="10" t="str">
        <f t="shared" si="72"/>
        <v/>
      </c>
    </row>
    <row r="2213" spans="1:6" x14ac:dyDescent="0.3">
      <c r="A2213" s="15" t="str">
        <f t="shared" si="71"/>
        <v>.</v>
      </c>
      <c r="E2213" s="13" t="str">
        <f>IFERROR(IF(AND(B2213&lt;&gt;"",C2213&lt;&gt;""),SUMIFS(Movimentos!$F$4:$F$9996,Movimentos!$D$4:$D$9996,B2213,Movimentos!$C$4:$C$9996,"Entrada")-SUMIFS(Movimentos!$F$4:$F$9996,Movimentos!$D$4:$D$9996,B2213,Movimentos!$C$4:$C$9996,"Saída"),""),"")</f>
        <v/>
      </c>
      <c r="F2213" s="10" t="str">
        <f t="shared" si="72"/>
        <v/>
      </c>
    </row>
    <row r="2214" spans="1:6" x14ac:dyDescent="0.3">
      <c r="A2214" s="15" t="str">
        <f t="shared" si="71"/>
        <v>.</v>
      </c>
      <c r="E2214" s="13" t="str">
        <f>IFERROR(IF(AND(B2214&lt;&gt;"",C2214&lt;&gt;""),SUMIFS(Movimentos!$F$4:$F$9996,Movimentos!$D$4:$D$9996,B2214,Movimentos!$C$4:$C$9996,"Entrada")-SUMIFS(Movimentos!$F$4:$F$9996,Movimentos!$D$4:$D$9996,B2214,Movimentos!$C$4:$C$9996,"Saída"),""),"")</f>
        <v/>
      </c>
      <c r="F2214" s="10" t="str">
        <f t="shared" si="72"/>
        <v/>
      </c>
    </row>
    <row r="2215" spans="1:6" x14ac:dyDescent="0.3">
      <c r="A2215" s="15" t="str">
        <f t="shared" si="71"/>
        <v>.</v>
      </c>
      <c r="E2215" s="13" t="str">
        <f>IFERROR(IF(AND(B2215&lt;&gt;"",C2215&lt;&gt;""),SUMIFS(Movimentos!$F$4:$F$9996,Movimentos!$D$4:$D$9996,B2215,Movimentos!$C$4:$C$9996,"Entrada")-SUMIFS(Movimentos!$F$4:$F$9996,Movimentos!$D$4:$D$9996,B2215,Movimentos!$C$4:$C$9996,"Saída"),""),"")</f>
        <v/>
      </c>
      <c r="F2215" s="10" t="str">
        <f t="shared" si="72"/>
        <v/>
      </c>
    </row>
    <row r="2216" spans="1:6" x14ac:dyDescent="0.3">
      <c r="A2216" s="15" t="str">
        <f t="shared" si="71"/>
        <v>.</v>
      </c>
      <c r="E2216" s="13" t="str">
        <f>IFERROR(IF(AND(B2216&lt;&gt;"",C2216&lt;&gt;""),SUMIFS(Movimentos!$F$4:$F$9996,Movimentos!$D$4:$D$9996,B2216,Movimentos!$C$4:$C$9996,"Entrada")-SUMIFS(Movimentos!$F$4:$F$9996,Movimentos!$D$4:$D$9996,B2216,Movimentos!$C$4:$C$9996,"Saída"),""),"")</f>
        <v/>
      </c>
      <c r="F2216" s="10" t="str">
        <f t="shared" si="72"/>
        <v/>
      </c>
    </row>
    <row r="2217" spans="1:6" x14ac:dyDescent="0.3">
      <c r="A2217" s="15" t="str">
        <f t="shared" si="71"/>
        <v>.</v>
      </c>
      <c r="E2217" s="13" t="str">
        <f>IFERROR(IF(AND(B2217&lt;&gt;"",C2217&lt;&gt;""),SUMIFS(Movimentos!$F$4:$F$9996,Movimentos!$D$4:$D$9996,B2217,Movimentos!$C$4:$C$9996,"Entrada")-SUMIFS(Movimentos!$F$4:$F$9996,Movimentos!$D$4:$D$9996,B2217,Movimentos!$C$4:$C$9996,"Saída"),""),"")</f>
        <v/>
      </c>
      <c r="F2217" s="10" t="str">
        <f t="shared" si="72"/>
        <v/>
      </c>
    </row>
    <row r="2218" spans="1:6" x14ac:dyDescent="0.3">
      <c r="A2218" s="15" t="str">
        <f t="shared" si="71"/>
        <v>.</v>
      </c>
      <c r="E2218" s="13" t="str">
        <f>IFERROR(IF(AND(B2218&lt;&gt;"",C2218&lt;&gt;""),SUMIFS(Movimentos!$F$4:$F$9996,Movimentos!$D$4:$D$9996,B2218,Movimentos!$C$4:$C$9996,"Entrada")-SUMIFS(Movimentos!$F$4:$F$9996,Movimentos!$D$4:$D$9996,B2218,Movimentos!$C$4:$C$9996,"Saída"),""),"")</f>
        <v/>
      </c>
      <c r="F2218" s="10" t="str">
        <f t="shared" si="72"/>
        <v/>
      </c>
    </row>
    <row r="2219" spans="1:6" x14ac:dyDescent="0.3">
      <c r="A2219" s="15" t="str">
        <f t="shared" si="71"/>
        <v>.</v>
      </c>
      <c r="E2219" s="13" t="str">
        <f>IFERROR(IF(AND(B2219&lt;&gt;"",C2219&lt;&gt;""),SUMIFS(Movimentos!$F$4:$F$9996,Movimentos!$D$4:$D$9996,B2219,Movimentos!$C$4:$C$9996,"Entrada")-SUMIFS(Movimentos!$F$4:$F$9996,Movimentos!$D$4:$D$9996,B2219,Movimentos!$C$4:$C$9996,"Saída"),""),"")</f>
        <v/>
      </c>
      <c r="F2219" s="10" t="str">
        <f t="shared" si="72"/>
        <v/>
      </c>
    </row>
    <row r="2220" spans="1:6" x14ac:dyDescent="0.3">
      <c r="A2220" s="15" t="str">
        <f t="shared" si="71"/>
        <v>.</v>
      </c>
      <c r="E2220" s="13" t="str">
        <f>IFERROR(IF(AND(B2220&lt;&gt;"",C2220&lt;&gt;""),SUMIFS(Movimentos!$F$4:$F$9996,Movimentos!$D$4:$D$9996,B2220,Movimentos!$C$4:$C$9996,"Entrada")-SUMIFS(Movimentos!$F$4:$F$9996,Movimentos!$D$4:$D$9996,B2220,Movimentos!$C$4:$C$9996,"Saída"),""),"")</f>
        <v/>
      </c>
      <c r="F2220" s="10" t="str">
        <f t="shared" si="72"/>
        <v/>
      </c>
    </row>
    <row r="2221" spans="1:6" x14ac:dyDescent="0.3">
      <c r="A2221" s="15" t="str">
        <f t="shared" si="71"/>
        <v>.</v>
      </c>
      <c r="E2221" s="13" t="str">
        <f>IFERROR(IF(AND(B2221&lt;&gt;"",C2221&lt;&gt;""),SUMIFS(Movimentos!$F$4:$F$9996,Movimentos!$D$4:$D$9996,B2221,Movimentos!$C$4:$C$9996,"Entrada")-SUMIFS(Movimentos!$F$4:$F$9996,Movimentos!$D$4:$D$9996,B2221,Movimentos!$C$4:$C$9996,"Saída"),""),"")</f>
        <v/>
      </c>
      <c r="F2221" s="10" t="str">
        <f t="shared" si="72"/>
        <v/>
      </c>
    </row>
    <row r="2222" spans="1:6" x14ac:dyDescent="0.3">
      <c r="A2222" s="15" t="str">
        <f t="shared" si="71"/>
        <v>.</v>
      </c>
      <c r="E2222" s="13" t="str">
        <f>IFERROR(IF(AND(B2222&lt;&gt;"",C2222&lt;&gt;""),SUMIFS(Movimentos!$F$4:$F$9996,Movimentos!$D$4:$D$9996,B2222,Movimentos!$C$4:$C$9996,"Entrada")-SUMIFS(Movimentos!$F$4:$F$9996,Movimentos!$D$4:$D$9996,B2222,Movimentos!$C$4:$C$9996,"Saída"),""),"")</f>
        <v/>
      </c>
      <c r="F2222" s="10" t="str">
        <f t="shared" si="72"/>
        <v/>
      </c>
    </row>
    <row r="2223" spans="1:6" x14ac:dyDescent="0.3">
      <c r="A2223" s="15" t="str">
        <f t="shared" si="71"/>
        <v>.</v>
      </c>
      <c r="E2223" s="13" t="str">
        <f>IFERROR(IF(AND(B2223&lt;&gt;"",C2223&lt;&gt;""),SUMIFS(Movimentos!$F$4:$F$9996,Movimentos!$D$4:$D$9996,B2223,Movimentos!$C$4:$C$9996,"Entrada")-SUMIFS(Movimentos!$F$4:$F$9996,Movimentos!$D$4:$D$9996,B2223,Movimentos!$C$4:$C$9996,"Saída"),""),"")</f>
        <v/>
      </c>
      <c r="F2223" s="10" t="str">
        <f t="shared" si="72"/>
        <v/>
      </c>
    </row>
    <row r="2224" spans="1:6" x14ac:dyDescent="0.3">
      <c r="A2224" s="15" t="str">
        <f t="shared" si="71"/>
        <v>.</v>
      </c>
      <c r="E2224" s="13" t="str">
        <f>IFERROR(IF(AND(B2224&lt;&gt;"",C2224&lt;&gt;""),SUMIFS(Movimentos!$F$4:$F$9996,Movimentos!$D$4:$D$9996,B2224,Movimentos!$C$4:$C$9996,"Entrada")-SUMIFS(Movimentos!$F$4:$F$9996,Movimentos!$D$4:$D$9996,B2224,Movimentos!$C$4:$C$9996,"Saída"),""),"")</f>
        <v/>
      </c>
      <c r="F2224" s="10" t="str">
        <f t="shared" si="72"/>
        <v/>
      </c>
    </row>
    <row r="2225" spans="1:6" x14ac:dyDescent="0.3">
      <c r="A2225" s="15" t="str">
        <f t="shared" si="71"/>
        <v>.</v>
      </c>
      <c r="E2225" s="13" t="str">
        <f>IFERROR(IF(AND(B2225&lt;&gt;"",C2225&lt;&gt;""),SUMIFS(Movimentos!$F$4:$F$9996,Movimentos!$D$4:$D$9996,B2225,Movimentos!$C$4:$C$9996,"Entrada")-SUMIFS(Movimentos!$F$4:$F$9996,Movimentos!$D$4:$D$9996,B2225,Movimentos!$C$4:$C$9996,"Saída"),""),"")</f>
        <v/>
      </c>
      <c r="F2225" s="10" t="str">
        <f t="shared" si="72"/>
        <v/>
      </c>
    </row>
    <row r="2226" spans="1:6" x14ac:dyDescent="0.3">
      <c r="A2226" s="15" t="str">
        <f t="shared" si="71"/>
        <v>.</v>
      </c>
      <c r="E2226" s="13" t="str">
        <f>IFERROR(IF(AND(B2226&lt;&gt;"",C2226&lt;&gt;""),SUMIFS(Movimentos!$F$4:$F$9996,Movimentos!$D$4:$D$9996,B2226,Movimentos!$C$4:$C$9996,"Entrada")-SUMIFS(Movimentos!$F$4:$F$9996,Movimentos!$D$4:$D$9996,B2226,Movimentos!$C$4:$C$9996,"Saída"),""),"")</f>
        <v/>
      </c>
      <c r="F2226" s="10" t="str">
        <f t="shared" si="72"/>
        <v/>
      </c>
    </row>
    <row r="2227" spans="1:6" x14ac:dyDescent="0.3">
      <c r="A2227" s="15" t="str">
        <f t="shared" si="71"/>
        <v>.</v>
      </c>
      <c r="E2227" s="13" t="str">
        <f>IFERROR(IF(AND(B2227&lt;&gt;"",C2227&lt;&gt;""),SUMIFS(Movimentos!$F$4:$F$9996,Movimentos!$D$4:$D$9996,B2227,Movimentos!$C$4:$C$9996,"Entrada")-SUMIFS(Movimentos!$F$4:$F$9996,Movimentos!$D$4:$D$9996,B2227,Movimentos!$C$4:$C$9996,"Saída"),""),"")</f>
        <v/>
      </c>
      <c r="F2227" s="10" t="str">
        <f t="shared" si="72"/>
        <v/>
      </c>
    </row>
    <row r="2228" spans="1:6" x14ac:dyDescent="0.3">
      <c r="A2228" s="15" t="str">
        <f t="shared" si="71"/>
        <v>.</v>
      </c>
      <c r="E2228" s="13" t="str">
        <f>IFERROR(IF(AND(B2228&lt;&gt;"",C2228&lt;&gt;""),SUMIFS(Movimentos!$F$4:$F$9996,Movimentos!$D$4:$D$9996,B2228,Movimentos!$C$4:$C$9996,"Entrada")-SUMIFS(Movimentos!$F$4:$F$9996,Movimentos!$D$4:$D$9996,B2228,Movimentos!$C$4:$C$9996,"Saída"),""),"")</f>
        <v/>
      </c>
      <c r="F2228" s="10" t="str">
        <f t="shared" si="72"/>
        <v/>
      </c>
    </row>
    <row r="2229" spans="1:6" x14ac:dyDescent="0.3">
      <c r="A2229" s="15" t="str">
        <f t="shared" si="71"/>
        <v>.</v>
      </c>
      <c r="E2229" s="13" t="str">
        <f>IFERROR(IF(AND(B2229&lt;&gt;"",C2229&lt;&gt;""),SUMIFS(Movimentos!$F$4:$F$9996,Movimentos!$D$4:$D$9996,B2229,Movimentos!$C$4:$C$9996,"Entrada")-SUMIFS(Movimentos!$F$4:$F$9996,Movimentos!$D$4:$D$9996,B2229,Movimentos!$C$4:$C$9996,"Saída"),""),"")</f>
        <v/>
      </c>
      <c r="F2229" s="10" t="str">
        <f t="shared" si="72"/>
        <v/>
      </c>
    </row>
    <row r="2230" spans="1:6" x14ac:dyDescent="0.3">
      <c r="A2230" s="15" t="str">
        <f t="shared" si="71"/>
        <v>.</v>
      </c>
      <c r="E2230" s="13" t="str">
        <f>IFERROR(IF(AND(B2230&lt;&gt;"",C2230&lt;&gt;""),SUMIFS(Movimentos!$F$4:$F$9996,Movimentos!$D$4:$D$9996,B2230,Movimentos!$C$4:$C$9996,"Entrada")-SUMIFS(Movimentos!$F$4:$F$9996,Movimentos!$D$4:$D$9996,B2230,Movimentos!$C$4:$C$9996,"Saída"),""),"")</f>
        <v/>
      </c>
      <c r="F2230" s="10" t="str">
        <f t="shared" si="72"/>
        <v/>
      </c>
    </row>
    <row r="2231" spans="1:6" x14ac:dyDescent="0.3">
      <c r="A2231" s="15" t="str">
        <f t="shared" si="71"/>
        <v>.</v>
      </c>
      <c r="E2231" s="13" t="str">
        <f>IFERROR(IF(AND(B2231&lt;&gt;"",C2231&lt;&gt;""),SUMIFS(Movimentos!$F$4:$F$9996,Movimentos!$D$4:$D$9996,B2231,Movimentos!$C$4:$C$9996,"Entrada")-SUMIFS(Movimentos!$F$4:$F$9996,Movimentos!$D$4:$D$9996,B2231,Movimentos!$C$4:$C$9996,"Saída"),""),"")</f>
        <v/>
      </c>
      <c r="F2231" s="10" t="str">
        <f t="shared" si="72"/>
        <v/>
      </c>
    </row>
    <row r="2232" spans="1:6" x14ac:dyDescent="0.3">
      <c r="A2232" s="15" t="str">
        <f t="shared" si="71"/>
        <v>.</v>
      </c>
      <c r="E2232" s="13" t="str">
        <f>IFERROR(IF(AND(B2232&lt;&gt;"",C2232&lt;&gt;""),SUMIFS(Movimentos!$F$4:$F$9996,Movimentos!$D$4:$D$9996,B2232,Movimentos!$C$4:$C$9996,"Entrada")-SUMIFS(Movimentos!$F$4:$F$9996,Movimentos!$D$4:$D$9996,B2232,Movimentos!$C$4:$C$9996,"Saída"),""),"")</f>
        <v/>
      </c>
      <c r="F2232" s="10" t="str">
        <f t="shared" si="72"/>
        <v/>
      </c>
    </row>
    <row r="2233" spans="1:6" x14ac:dyDescent="0.3">
      <c r="A2233" s="15" t="str">
        <f t="shared" si="71"/>
        <v>.</v>
      </c>
      <c r="E2233" s="13" t="str">
        <f>IFERROR(IF(AND(B2233&lt;&gt;"",C2233&lt;&gt;""),SUMIFS(Movimentos!$F$4:$F$9996,Movimentos!$D$4:$D$9996,B2233,Movimentos!$C$4:$C$9996,"Entrada")-SUMIFS(Movimentos!$F$4:$F$9996,Movimentos!$D$4:$D$9996,B2233,Movimentos!$C$4:$C$9996,"Saída"),""),"")</f>
        <v/>
      </c>
      <c r="F2233" s="10" t="str">
        <f t="shared" si="72"/>
        <v/>
      </c>
    </row>
    <row r="2234" spans="1:6" x14ac:dyDescent="0.3">
      <c r="A2234" s="15" t="str">
        <f t="shared" si="71"/>
        <v>.</v>
      </c>
      <c r="E2234" s="13" t="str">
        <f>IFERROR(IF(AND(B2234&lt;&gt;"",C2234&lt;&gt;""),SUMIFS(Movimentos!$F$4:$F$9996,Movimentos!$D$4:$D$9996,B2234,Movimentos!$C$4:$C$9996,"Entrada")-SUMIFS(Movimentos!$F$4:$F$9996,Movimentos!$D$4:$D$9996,B2234,Movimentos!$C$4:$C$9996,"Saída"),""),"")</f>
        <v/>
      </c>
      <c r="F2234" s="10" t="str">
        <f t="shared" si="72"/>
        <v/>
      </c>
    </row>
    <row r="2235" spans="1:6" x14ac:dyDescent="0.3">
      <c r="A2235" s="15" t="str">
        <f t="shared" si="71"/>
        <v>.</v>
      </c>
      <c r="E2235" s="13" t="str">
        <f>IFERROR(IF(AND(B2235&lt;&gt;"",C2235&lt;&gt;""),SUMIFS(Movimentos!$F$4:$F$9996,Movimentos!$D$4:$D$9996,B2235,Movimentos!$C$4:$C$9996,"Entrada")-SUMIFS(Movimentos!$F$4:$F$9996,Movimentos!$D$4:$D$9996,B2235,Movimentos!$C$4:$C$9996,"Saída"),""),"")</f>
        <v/>
      </c>
      <c r="F2235" s="10" t="str">
        <f t="shared" si="72"/>
        <v/>
      </c>
    </row>
    <row r="2236" spans="1:6" x14ac:dyDescent="0.3">
      <c r="A2236" s="15" t="str">
        <f t="shared" si="71"/>
        <v>.</v>
      </c>
      <c r="E2236" s="13" t="str">
        <f>IFERROR(IF(AND(B2236&lt;&gt;"",C2236&lt;&gt;""),SUMIFS(Movimentos!$F$4:$F$9996,Movimentos!$D$4:$D$9996,B2236,Movimentos!$C$4:$C$9996,"Entrada")-SUMIFS(Movimentos!$F$4:$F$9996,Movimentos!$D$4:$D$9996,B2236,Movimentos!$C$4:$C$9996,"Saída"),""),"")</f>
        <v/>
      </c>
      <c r="F2236" s="10" t="str">
        <f t="shared" si="72"/>
        <v/>
      </c>
    </row>
    <row r="2237" spans="1:6" x14ac:dyDescent="0.3">
      <c r="A2237" s="15" t="str">
        <f t="shared" si="71"/>
        <v>.</v>
      </c>
      <c r="E2237" s="13" t="str">
        <f>IFERROR(IF(AND(B2237&lt;&gt;"",C2237&lt;&gt;""),SUMIFS(Movimentos!$F$4:$F$9996,Movimentos!$D$4:$D$9996,B2237,Movimentos!$C$4:$C$9996,"Entrada")-SUMIFS(Movimentos!$F$4:$F$9996,Movimentos!$D$4:$D$9996,B2237,Movimentos!$C$4:$C$9996,"Saída"),""),"")</f>
        <v/>
      </c>
      <c r="F2237" s="10" t="str">
        <f t="shared" si="72"/>
        <v/>
      </c>
    </row>
    <row r="2238" spans="1:6" x14ac:dyDescent="0.3">
      <c r="A2238" s="15" t="str">
        <f t="shared" si="71"/>
        <v>.</v>
      </c>
      <c r="E2238" s="13" t="str">
        <f>IFERROR(IF(AND(B2238&lt;&gt;"",C2238&lt;&gt;""),SUMIFS(Movimentos!$F$4:$F$9996,Movimentos!$D$4:$D$9996,B2238,Movimentos!$C$4:$C$9996,"Entrada")-SUMIFS(Movimentos!$F$4:$F$9996,Movimentos!$D$4:$D$9996,B2238,Movimentos!$C$4:$C$9996,"Saída"),""),"")</f>
        <v/>
      </c>
      <c r="F2238" s="10" t="str">
        <f t="shared" si="72"/>
        <v/>
      </c>
    </row>
    <row r="2239" spans="1:6" x14ac:dyDescent="0.3">
      <c r="A2239" s="15" t="str">
        <f t="shared" si="71"/>
        <v>.</v>
      </c>
      <c r="E2239" s="13" t="str">
        <f>IFERROR(IF(AND(B2239&lt;&gt;"",C2239&lt;&gt;""),SUMIFS(Movimentos!$F$4:$F$9996,Movimentos!$D$4:$D$9996,B2239,Movimentos!$C$4:$C$9996,"Entrada")-SUMIFS(Movimentos!$F$4:$F$9996,Movimentos!$D$4:$D$9996,B2239,Movimentos!$C$4:$C$9996,"Saída"),""),"")</f>
        <v/>
      </c>
      <c r="F2239" s="10" t="str">
        <f t="shared" si="72"/>
        <v/>
      </c>
    </row>
    <row r="2240" spans="1:6" x14ac:dyDescent="0.3">
      <c r="A2240" s="15" t="str">
        <f t="shared" ref="A2240:A2303" si="73">IF(F2240="Saldo zerado",0,IF(F2240="Saldo abaixo do mínimo",1,IF(F2240="Saldo disponível",2,".")))</f>
        <v>.</v>
      </c>
      <c r="E2240" s="13" t="str">
        <f>IFERROR(IF(AND(B2240&lt;&gt;"",C2240&lt;&gt;""),SUMIFS(Movimentos!$F$4:$F$9996,Movimentos!$D$4:$D$9996,B2240,Movimentos!$C$4:$C$9996,"Entrada")-SUMIFS(Movimentos!$F$4:$F$9996,Movimentos!$D$4:$D$9996,B2240,Movimentos!$C$4:$C$9996,"Saída"),""),"")</f>
        <v/>
      </c>
      <c r="F2240" s="10" t="str">
        <f t="shared" si="72"/>
        <v/>
      </c>
    </row>
    <row r="2241" spans="1:6" x14ac:dyDescent="0.3">
      <c r="A2241" s="15" t="str">
        <f t="shared" si="73"/>
        <v>.</v>
      </c>
      <c r="E2241" s="13" t="str">
        <f>IFERROR(IF(AND(B2241&lt;&gt;"",C2241&lt;&gt;""),SUMIFS(Movimentos!$F$4:$F$9996,Movimentos!$D$4:$D$9996,B2241,Movimentos!$C$4:$C$9996,"Entrada")-SUMIFS(Movimentos!$F$4:$F$9996,Movimentos!$D$4:$D$9996,B2241,Movimentos!$C$4:$C$9996,"Saída"),""),"")</f>
        <v/>
      </c>
      <c r="F2241" s="10" t="str">
        <f t="shared" si="72"/>
        <v/>
      </c>
    </row>
    <row r="2242" spans="1:6" x14ac:dyDescent="0.3">
      <c r="A2242" s="15" t="str">
        <f t="shared" si="73"/>
        <v>.</v>
      </c>
      <c r="E2242" s="13" t="str">
        <f>IFERROR(IF(AND(B2242&lt;&gt;"",C2242&lt;&gt;""),SUMIFS(Movimentos!$F$4:$F$9996,Movimentos!$D$4:$D$9996,B2242,Movimentos!$C$4:$C$9996,"Entrada")-SUMIFS(Movimentos!$F$4:$F$9996,Movimentos!$D$4:$D$9996,B2242,Movimentos!$C$4:$C$9996,"Saída"),""),"")</f>
        <v/>
      </c>
      <c r="F2242" s="10" t="str">
        <f t="shared" si="72"/>
        <v/>
      </c>
    </row>
    <row r="2243" spans="1:6" x14ac:dyDescent="0.3">
      <c r="A2243" s="15" t="str">
        <f t="shared" si="73"/>
        <v>.</v>
      </c>
      <c r="E2243" s="13" t="str">
        <f>IFERROR(IF(AND(B2243&lt;&gt;"",C2243&lt;&gt;""),SUMIFS(Movimentos!$F$4:$F$9996,Movimentos!$D$4:$D$9996,B2243,Movimentos!$C$4:$C$9996,"Entrada")-SUMIFS(Movimentos!$F$4:$F$9996,Movimentos!$D$4:$D$9996,B2243,Movimentos!$C$4:$C$9996,"Saída"),""),"")</f>
        <v/>
      </c>
      <c r="F2243" s="10" t="str">
        <f t="shared" si="72"/>
        <v/>
      </c>
    </row>
    <row r="2244" spans="1:6" x14ac:dyDescent="0.3">
      <c r="A2244" s="15" t="str">
        <f t="shared" si="73"/>
        <v>.</v>
      </c>
      <c r="E2244" s="13" t="str">
        <f>IFERROR(IF(AND(B2244&lt;&gt;"",C2244&lt;&gt;""),SUMIFS(Movimentos!$F$4:$F$9996,Movimentos!$D$4:$D$9996,B2244,Movimentos!$C$4:$C$9996,"Entrada")-SUMIFS(Movimentos!$F$4:$F$9996,Movimentos!$D$4:$D$9996,B2244,Movimentos!$C$4:$C$9996,"Saída"),""),"")</f>
        <v/>
      </c>
      <c r="F2244" s="10" t="str">
        <f t="shared" si="72"/>
        <v/>
      </c>
    </row>
    <row r="2245" spans="1:6" x14ac:dyDescent="0.3">
      <c r="A2245" s="15" t="str">
        <f t="shared" si="73"/>
        <v>.</v>
      </c>
      <c r="E2245" s="13" t="str">
        <f>IFERROR(IF(AND(B2245&lt;&gt;"",C2245&lt;&gt;""),SUMIFS(Movimentos!$F$4:$F$9996,Movimentos!$D$4:$D$9996,B2245,Movimentos!$C$4:$C$9996,"Entrada")-SUMIFS(Movimentos!$F$4:$F$9996,Movimentos!$D$4:$D$9996,B2245,Movimentos!$C$4:$C$9996,"Saída"),""),"")</f>
        <v/>
      </c>
      <c r="F2245" s="10" t="str">
        <f t="shared" si="72"/>
        <v/>
      </c>
    </row>
    <row r="2246" spans="1:6" x14ac:dyDescent="0.3">
      <c r="A2246" s="15" t="str">
        <f t="shared" si="73"/>
        <v>.</v>
      </c>
      <c r="E2246" s="13" t="str">
        <f>IFERROR(IF(AND(B2246&lt;&gt;"",C2246&lt;&gt;""),SUMIFS(Movimentos!$F$4:$F$9996,Movimentos!$D$4:$D$9996,B2246,Movimentos!$C$4:$C$9996,"Entrada")-SUMIFS(Movimentos!$F$4:$F$9996,Movimentos!$D$4:$D$9996,B2246,Movimentos!$C$4:$C$9996,"Saída"),""),"")</f>
        <v/>
      </c>
      <c r="F2246" s="10" t="str">
        <f t="shared" si="72"/>
        <v/>
      </c>
    </row>
    <row r="2247" spans="1:6" x14ac:dyDescent="0.3">
      <c r="A2247" s="15" t="str">
        <f t="shared" si="73"/>
        <v>.</v>
      </c>
      <c r="E2247" s="13" t="str">
        <f>IFERROR(IF(AND(B2247&lt;&gt;"",C2247&lt;&gt;""),SUMIFS(Movimentos!$F$4:$F$9996,Movimentos!$D$4:$D$9996,B2247,Movimentos!$C$4:$C$9996,"Entrada")-SUMIFS(Movimentos!$F$4:$F$9996,Movimentos!$D$4:$D$9996,B2247,Movimentos!$C$4:$C$9996,"Saída"),""),"")</f>
        <v/>
      </c>
      <c r="F2247" s="10" t="str">
        <f t="shared" si="72"/>
        <v/>
      </c>
    </row>
    <row r="2248" spans="1:6" x14ac:dyDescent="0.3">
      <c r="A2248" s="15" t="str">
        <f t="shared" si="73"/>
        <v>.</v>
      </c>
      <c r="E2248" s="13" t="str">
        <f>IFERROR(IF(AND(B2248&lt;&gt;"",C2248&lt;&gt;""),SUMIFS(Movimentos!$F$4:$F$9996,Movimentos!$D$4:$D$9996,B2248,Movimentos!$C$4:$C$9996,"Entrada")-SUMIFS(Movimentos!$F$4:$F$9996,Movimentos!$D$4:$D$9996,B2248,Movimentos!$C$4:$C$9996,"Saída"),""),"")</f>
        <v/>
      </c>
      <c r="F2248" s="10" t="str">
        <f t="shared" si="72"/>
        <v/>
      </c>
    </row>
    <row r="2249" spans="1:6" x14ac:dyDescent="0.3">
      <c r="A2249" s="15" t="str">
        <f t="shared" si="73"/>
        <v>.</v>
      </c>
      <c r="E2249" s="13" t="str">
        <f>IFERROR(IF(AND(B2249&lt;&gt;"",C2249&lt;&gt;""),SUMIFS(Movimentos!$F$4:$F$9996,Movimentos!$D$4:$D$9996,B2249,Movimentos!$C$4:$C$9996,"Entrada")-SUMIFS(Movimentos!$F$4:$F$9996,Movimentos!$D$4:$D$9996,B2249,Movimentos!$C$4:$C$9996,"Saída"),""),"")</f>
        <v/>
      </c>
      <c r="F2249" s="10" t="str">
        <f t="shared" si="72"/>
        <v/>
      </c>
    </row>
    <row r="2250" spans="1:6" x14ac:dyDescent="0.3">
      <c r="A2250" s="15" t="str">
        <f t="shared" si="73"/>
        <v>.</v>
      </c>
      <c r="E2250" s="13" t="str">
        <f>IFERROR(IF(AND(B2250&lt;&gt;"",C2250&lt;&gt;""),SUMIFS(Movimentos!$F$4:$F$9996,Movimentos!$D$4:$D$9996,B2250,Movimentos!$C$4:$C$9996,"Entrada")-SUMIFS(Movimentos!$F$4:$F$9996,Movimentos!$D$4:$D$9996,B2250,Movimentos!$C$4:$C$9996,"Saída"),""),"")</f>
        <v/>
      </c>
      <c r="F2250" s="10" t="str">
        <f t="shared" si="72"/>
        <v/>
      </c>
    </row>
    <row r="2251" spans="1:6" x14ac:dyDescent="0.3">
      <c r="A2251" s="15" t="str">
        <f t="shared" si="73"/>
        <v>.</v>
      </c>
      <c r="E2251" s="13" t="str">
        <f>IFERROR(IF(AND(B2251&lt;&gt;"",C2251&lt;&gt;""),SUMIFS(Movimentos!$F$4:$F$9996,Movimentos!$D$4:$D$9996,B2251,Movimentos!$C$4:$C$9996,"Entrada")-SUMIFS(Movimentos!$F$4:$F$9996,Movimentos!$D$4:$D$9996,B2251,Movimentos!$C$4:$C$9996,"Saída"),""),"")</f>
        <v/>
      </c>
      <c r="F2251" s="10" t="str">
        <f t="shared" si="72"/>
        <v/>
      </c>
    </row>
    <row r="2252" spans="1:6" x14ac:dyDescent="0.3">
      <c r="A2252" s="15" t="str">
        <f t="shared" si="73"/>
        <v>.</v>
      </c>
      <c r="E2252" s="13" t="str">
        <f>IFERROR(IF(AND(B2252&lt;&gt;"",C2252&lt;&gt;""),SUMIFS(Movimentos!$F$4:$F$9996,Movimentos!$D$4:$D$9996,B2252,Movimentos!$C$4:$C$9996,"Entrada")-SUMIFS(Movimentos!$F$4:$F$9996,Movimentos!$D$4:$D$9996,B2252,Movimentos!$C$4:$C$9996,"Saída"),""),"")</f>
        <v/>
      </c>
      <c r="F2252" s="10" t="str">
        <f t="shared" si="72"/>
        <v/>
      </c>
    </row>
    <row r="2253" spans="1:6" x14ac:dyDescent="0.3">
      <c r="A2253" s="15" t="str">
        <f t="shared" si="73"/>
        <v>.</v>
      </c>
      <c r="E2253" s="13" t="str">
        <f>IFERROR(IF(AND(B2253&lt;&gt;"",C2253&lt;&gt;""),SUMIFS(Movimentos!$F$4:$F$9996,Movimentos!$D$4:$D$9996,B2253,Movimentos!$C$4:$C$9996,"Entrada")-SUMIFS(Movimentos!$F$4:$F$9996,Movimentos!$D$4:$D$9996,B2253,Movimentos!$C$4:$C$9996,"Saída"),""),"")</f>
        <v/>
      </c>
      <c r="F2253" s="10" t="str">
        <f t="shared" si="72"/>
        <v/>
      </c>
    </row>
    <row r="2254" spans="1:6" x14ac:dyDescent="0.3">
      <c r="A2254" s="15" t="str">
        <f t="shared" si="73"/>
        <v>.</v>
      </c>
      <c r="E2254" s="13" t="str">
        <f>IFERROR(IF(AND(B2254&lt;&gt;"",C2254&lt;&gt;""),SUMIFS(Movimentos!$F$4:$F$9996,Movimentos!$D$4:$D$9996,B2254,Movimentos!$C$4:$C$9996,"Entrada")-SUMIFS(Movimentos!$F$4:$F$9996,Movimentos!$D$4:$D$9996,B2254,Movimentos!$C$4:$C$9996,"Saída"),""),"")</f>
        <v/>
      </c>
      <c r="F2254" s="10" t="str">
        <f t="shared" si="72"/>
        <v/>
      </c>
    </row>
    <row r="2255" spans="1:6" x14ac:dyDescent="0.3">
      <c r="A2255" s="15" t="str">
        <f t="shared" si="73"/>
        <v>.</v>
      </c>
      <c r="E2255" s="13" t="str">
        <f>IFERROR(IF(AND(B2255&lt;&gt;"",C2255&lt;&gt;""),SUMIFS(Movimentos!$F$4:$F$9996,Movimentos!$D$4:$D$9996,B2255,Movimentos!$C$4:$C$9996,"Entrada")-SUMIFS(Movimentos!$F$4:$F$9996,Movimentos!$D$4:$D$9996,B2255,Movimentos!$C$4:$C$9996,"Saída"),""),"")</f>
        <v/>
      </c>
      <c r="F2255" s="10" t="str">
        <f t="shared" si="72"/>
        <v/>
      </c>
    </row>
    <row r="2256" spans="1:6" x14ac:dyDescent="0.3">
      <c r="A2256" s="15" t="str">
        <f t="shared" si="73"/>
        <v>.</v>
      </c>
      <c r="E2256" s="13" t="str">
        <f>IFERROR(IF(AND(B2256&lt;&gt;"",C2256&lt;&gt;""),SUMIFS(Movimentos!$F$4:$F$9996,Movimentos!$D$4:$D$9996,B2256,Movimentos!$C$4:$C$9996,"Entrada")-SUMIFS(Movimentos!$F$4:$F$9996,Movimentos!$D$4:$D$9996,B2256,Movimentos!$C$4:$C$9996,"Saída"),""),"")</f>
        <v/>
      </c>
      <c r="F2256" s="10" t="str">
        <f t="shared" si="72"/>
        <v/>
      </c>
    </row>
    <row r="2257" spans="1:6" x14ac:dyDescent="0.3">
      <c r="A2257" s="15" t="str">
        <f t="shared" si="73"/>
        <v>.</v>
      </c>
      <c r="E2257" s="13" t="str">
        <f>IFERROR(IF(AND(B2257&lt;&gt;"",C2257&lt;&gt;""),SUMIFS(Movimentos!$F$4:$F$9996,Movimentos!$D$4:$D$9996,B2257,Movimentos!$C$4:$C$9996,"Entrada")-SUMIFS(Movimentos!$F$4:$F$9996,Movimentos!$D$4:$D$9996,B2257,Movimentos!$C$4:$C$9996,"Saída"),""),"")</f>
        <v/>
      </c>
      <c r="F2257" s="10" t="str">
        <f t="shared" si="72"/>
        <v/>
      </c>
    </row>
    <row r="2258" spans="1:6" x14ac:dyDescent="0.3">
      <c r="A2258" s="15" t="str">
        <f t="shared" si="73"/>
        <v>.</v>
      </c>
      <c r="E2258" s="13" t="str">
        <f>IFERROR(IF(AND(B2258&lt;&gt;"",C2258&lt;&gt;""),SUMIFS(Movimentos!$F$4:$F$9996,Movimentos!$D$4:$D$9996,B2258,Movimentos!$C$4:$C$9996,"Entrada")-SUMIFS(Movimentos!$F$4:$F$9996,Movimentos!$D$4:$D$9996,B2258,Movimentos!$C$4:$C$9996,"Saída"),""),"")</f>
        <v/>
      </c>
      <c r="F2258" s="10" t="str">
        <f t="shared" si="72"/>
        <v/>
      </c>
    </row>
    <row r="2259" spans="1:6" x14ac:dyDescent="0.3">
      <c r="A2259" s="15" t="str">
        <f t="shared" si="73"/>
        <v>.</v>
      </c>
      <c r="E2259" s="13" t="str">
        <f>IFERROR(IF(AND(B2259&lt;&gt;"",C2259&lt;&gt;""),SUMIFS(Movimentos!$F$4:$F$9996,Movimentos!$D$4:$D$9996,B2259,Movimentos!$C$4:$C$9996,"Entrada")-SUMIFS(Movimentos!$F$4:$F$9996,Movimentos!$D$4:$D$9996,B2259,Movimentos!$C$4:$C$9996,"Saída"),""),"")</f>
        <v/>
      </c>
      <c r="F2259" s="10" t="str">
        <f t="shared" si="72"/>
        <v/>
      </c>
    </row>
    <row r="2260" spans="1:6" x14ac:dyDescent="0.3">
      <c r="A2260" s="15" t="str">
        <f t="shared" si="73"/>
        <v>.</v>
      </c>
      <c r="E2260" s="13" t="str">
        <f>IFERROR(IF(AND(B2260&lt;&gt;"",C2260&lt;&gt;""),SUMIFS(Movimentos!$F$4:$F$9996,Movimentos!$D$4:$D$9996,B2260,Movimentos!$C$4:$C$9996,"Entrada")-SUMIFS(Movimentos!$F$4:$F$9996,Movimentos!$D$4:$D$9996,B2260,Movimentos!$C$4:$C$9996,"Saída"),""),"")</f>
        <v/>
      </c>
      <c r="F2260" s="10" t="str">
        <f t="shared" si="72"/>
        <v/>
      </c>
    </row>
    <row r="2261" spans="1:6" x14ac:dyDescent="0.3">
      <c r="A2261" s="15" t="str">
        <f t="shared" si="73"/>
        <v>.</v>
      </c>
      <c r="E2261" s="13" t="str">
        <f>IFERROR(IF(AND(B2261&lt;&gt;"",C2261&lt;&gt;""),SUMIFS(Movimentos!$F$4:$F$9996,Movimentos!$D$4:$D$9996,B2261,Movimentos!$C$4:$C$9996,"Entrada")-SUMIFS(Movimentos!$F$4:$F$9996,Movimentos!$D$4:$D$9996,B2261,Movimentos!$C$4:$C$9996,"Saída"),""),"")</f>
        <v/>
      </c>
      <c r="F2261" s="10" t="str">
        <f t="shared" si="72"/>
        <v/>
      </c>
    </row>
    <row r="2262" spans="1:6" x14ac:dyDescent="0.3">
      <c r="A2262" s="15" t="str">
        <f t="shared" si="73"/>
        <v>.</v>
      </c>
      <c r="E2262" s="13" t="str">
        <f>IFERROR(IF(AND(B2262&lt;&gt;"",C2262&lt;&gt;""),SUMIFS(Movimentos!$F$4:$F$9996,Movimentos!$D$4:$D$9996,B2262,Movimentos!$C$4:$C$9996,"Entrada")-SUMIFS(Movimentos!$F$4:$F$9996,Movimentos!$D$4:$D$9996,B2262,Movimentos!$C$4:$C$9996,"Saída"),""),"")</f>
        <v/>
      </c>
      <c r="F2262" s="10" t="str">
        <f t="shared" si="72"/>
        <v/>
      </c>
    </row>
    <row r="2263" spans="1:6" x14ac:dyDescent="0.3">
      <c r="A2263" s="15" t="str">
        <f t="shared" si="73"/>
        <v>.</v>
      </c>
      <c r="E2263" s="13" t="str">
        <f>IFERROR(IF(AND(B2263&lt;&gt;"",C2263&lt;&gt;""),SUMIFS(Movimentos!$F$4:$F$9996,Movimentos!$D$4:$D$9996,B2263,Movimentos!$C$4:$C$9996,"Entrada")-SUMIFS(Movimentos!$F$4:$F$9996,Movimentos!$D$4:$D$9996,B2263,Movimentos!$C$4:$C$9996,"Saída"),""),"")</f>
        <v/>
      </c>
      <c r="F2263" s="10" t="str">
        <f t="shared" ref="F2263:F2326" si="74">IF(AND(B2263&lt;&gt;"",C2263&lt;&gt;""),IF(E2263=0,"Saldo zerado",IF(E2263&lt;D2263,"Saldo abaixo do mínimo","Saldo disponível")),"")</f>
        <v/>
      </c>
    </row>
    <row r="2264" spans="1:6" x14ac:dyDescent="0.3">
      <c r="A2264" s="15" t="str">
        <f t="shared" si="73"/>
        <v>.</v>
      </c>
      <c r="E2264" s="13" t="str">
        <f>IFERROR(IF(AND(B2264&lt;&gt;"",C2264&lt;&gt;""),SUMIFS(Movimentos!$F$4:$F$9996,Movimentos!$D$4:$D$9996,B2264,Movimentos!$C$4:$C$9996,"Entrada")-SUMIFS(Movimentos!$F$4:$F$9996,Movimentos!$D$4:$D$9996,B2264,Movimentos!$C$4:$C$9996,"Saída"),""),"")</f>
        <v/>
      </c>
      <c r="F2264" s="10" t="str">
        <f t="shared" si="74"/>
        <v/>
      </c>
    </row>
    <row r="2265" spans="1:6" x14ac:dyDescent="0.3">
      <c r="A2265" s="15" t="str">
        <f t="shared" si="73"/>
        <v>.</v>
      </c>
      <c r="E2265" s="13" t="str">
        <f>IFERROR(IF(AND(B2265&lt;&gt;"",C2265&lt;&gt;""),SUMIFS(Movimentos!$F$4:$F$9996,Movimentos!$D$4:$D$9996,B2265,Movimentos!$C$4:$C$9996,"Entrada")-SUMIFS(Movimentos!$F$4:$F$9996,Movimentos!$D$4:$D$9996,B2265,Movimentos!$C$4:$C$9996,"Saída"),""),"")</f>
        <v/>
      </c>
      <c r="F2265" s="10" t="str">
        <f t="shared" si="74"/>
        <v/>
      </c>
    </row>
    <row r="2266" spans="1:6" x14ac:dyDescent="0.3">
      <c r="A2266" s="15" t="str">
        <f t="shared" si="73"/>
        <v>.</v>
      </c>
      <c r="E2266" s="13" t="str">
        <f>IFERROR(IF(AND(B2266&lt;&gt;"",C2266&lt;&gt;""),SUMIFS(Movimentos!$F$4:$F$9996,Movimentos!$D$4:$D$9996,B2266,Movimentos!$C$4:$C$9996,"Entrada")-SUMIFS(Movimentos!$F$4:$F$9996,Movimentos!$D$4:$D$9996,B2266,Movimentos!$C$4:$C$9996,"Saída"),""),"")</f>
        <v/>
      </c>
      <c r="F2266" s="10" t="str">
        <f t="shared" si="74"/>
        <v/>
      </c>
    </row>
    <row r="2267" spans="1:6" x14ac:dyDescent="0.3">
      <c r="A2267" s="15" t="str">
        <f t="shared" si="73"/>
        <v>.</v>
      </c>
      <c r="E2267" s="13" t="str">
        <f>IFERROR(IF(AND(B2267&lt;&gt;"",C2267&lt;&gt;""),SUMIFS(Movimentos!$F$4:$F$9996,Movimentos!$D$4:$D$9996,B2267,Movimentos!$C$4:$C$9996,"Entrada")-SUMIFS(Movimentos!$F$4:$F$9996,Movimentos!$D$4:$D$9996,B2267,Movimentos!$C$4:$C$9996,"Saída"),""),"")</f>
        <v/>
      </c>
      <c r="F2267" s="10" t="str">
        <f t="shared" si="74"/>
        <v/>
      </c>
    </row>
    <row r="2268" spans="1:6" x14ac:dyDescent="0.3">
      <c r="A2268" s="15" t="str">
        <f t="shared" si="73"/>
        <v>.</v>
      </c>
      <c r="E2268" s="13" t="str">
        <f>IFERROR(IF(AND(B2268&lt;&gt;"",C2268&lt;&gt;""),SUMIFS(Movimentos!$F$4:$F$9996,Movimentos!$D$4:$D$9996,B2268,Movimentos!$C$4:$C$9996,"Entrada")-SUMIFS(Movimentos!$F$4:$F$9996,Movimentos!$D$4:$D$9996,B2268,Movimentos!$C$4:$C$9996,"Saída"),""),"")</f>
        <v/>
      </c>
      <c r="F2268" s="10" t="str">
        <f t="shared" si="74"/>
        <v/>
      </c>
    </row>
    <row r="2269" spans="1:6" x14ac:dyDescent="0.3">
      <c r="A2269" s="15" t="str">
        <f t="shared" si="73"/>
        <v>.</v>
      </c>
      <c r="E2269" s="13" t="str">
        <f>IFERROR(IF(AND(B2269&lt;&gt;"",C2269&lt;&gt;""),SUMIFS(Movimentos!$F$4:$F$9996,Movimentos!$D$4:$D$9996,B2269,Movimentos!$C$4:$C$9996,"Entrada")-SUMIFS(Movimentos!$F$4:$F$9996,Movimentos!$D$4:$D$9996,B2269,Movimentos!$C$4:$C$9996,"Saída"),""),"")</f>
        <v/>
      </c>
      <c r="F2269" s="10" t="str">
        <f t="shared" si="74"/>
        <v/>
      </c>
    </row>
    <row r="2270" spans="1:6" x14ac:dyDescent="0.3">
      <c r="A2270" s="15" t="str">
        <f t="shared" si="73"/>
        <v>.</v>
      </c>
      <c r="E2270" s="13" t="str">
        <f>IFERROR(IF(AND(B2270&lt;&gt;"",C2270&lt;&gt;""),SUMIFS(Movimentos!$F$4:$F$9996,Movimentos!$D$4:$D$9996,B2270,Movimentos!$C$4:$C$9996,"Entrada")-SUMIFS(Movimentos!$F$4:$F$9996,Movimentos!$D$4:$D$9996,B2270,Movimentos!$C$4:$C$9996,"Saída"),""),"")</f>
        <v/>
      </c>
      <c r="F2270" s="10" t="str">
        <f t="shared" si="74"/>
        <v/>
      </c>
    </row>
    <row r="2271" spans="1:6" x14ac:dyDescent="0.3">
      <c r="A2271" s="15" t="str">
        <f t="shared" si="73"/>
        <v>.</v>
      </c>
      <c r="E2271" s="13" t="str">
        <f>IFERROR(IF(AND(B2271&lt;&gt;"",C2271&lt;&gt;""),SUMIFS(Movimentos!$F$4:$F$9996,Movimentos!$D$4:$D$9996,B2271,Movimentos!$C$4:$C$9996,"Entrada")-SUMIFS(Movimentos!$F$4:$F$9996,Movimentos!$D$4:$D$9996,B2271,Movimentos!$C$4:$C$9996,"Saída"),""),"")</f>
        <v/>
      </c>
      <c r="F2271" s="10" t="str">
        <f t="shared" si="74"/>
        <v/>
      </c>
    </row>
    <row r="2272" spans="1:6" x14ac:dyDescent="0.3">
      <c r="A2272" s="15" t="str">
        <f t="shared" si="73"/>
        <v>.</v>
      </c>
      <c r="E2272" s="13" t="str">
        <f>IFERROR(IF(AND(B2272&lt;&gt;"",C2272&lt;&gt;""),SUMIFS(Movimentos!$F$4:$F$9996,Movimentos!$D$4:$D$9996,B2272,Movimentos!$C$4:$C$9996,"Entrada")-SUMIFS(Movimentos!$F$4:$F$9996,Movimentos!$D$4:$D$9996,B2272,Movimentos!$C$4:$C$9996,"Saída"),""),"")</f>
        <v/>
      </c>
      <c r="F2272" s="10" t="str">
        <f t="shared" si="74"/>
        <v/>
      </c>
    </row>
    <row r="2273" spans="1:6" x14ac:dyDescent="0.3">
      <c r="A2273" s="15" t="str">
        <f t="shared" si="73"/>
        <v>.</v>
      </c>
      <c r="E2273" s="13" t="str">
        <f>IFERROR(IF(AND(B2273&lt;&gt;"",C2273&lt;&gt;""),SUMIFS(Movimentos!$F$4:$F$9996,Movimentos!$D$4:$D$9996,B2273,Movimentos!$C$4:$C$9996,"Entrada")-SUMIFS(Movimentos!$F$4:$F$9996,Movimentos!$D$4:$D$9996,B2273,Movimentos!$C$4:$C$9996,"Saída"),""),"")</f>
        <v/>
      </c>
      <c r="F2273" s="10" t="str">
        <f t="shared" si="74"/>
        <v/>
      </c>
    </row>
    <row r="2274" spans="1:6" x14ac:dyDescent="0.3">
      <c r="A2274" s="15" t="str">
        <f t="shared" si="73"/>
        <v>.</v>
      </c>
      <c r="E2274" s="13" t="str">
        <f>IFERROR(IF(AND(B2274&lt;&gt;"",C2274&lt;&gt;""),SUMIFS(Movimentos!$F$4:$F$9996,Movimentos!$D$4:$D$9996,B2274,Movimentos!$C$4:$C$9996,"Entrada")-SUMIFS(Movimentos!$F$4:$F$9996,Movimentos!$D$4:$D$9996,B2274,Movimentos!$C$4:$C$9996,"Saída"),""),"")</f>
        <v/>
      </c>
      <c r="F2274" s="10" t="str">
        <f t="shared" si="74"/>
        <v/>
      </c>
    </row>
    <row r="2275" spans="1:6" x14ac:dyDescent="0.3">
      <c r="A2275" s="15" t="str">
        <f t="shared" si="73"/>
        <v>.</v>
      </c>
      <c r="E2275" s="13" t="str">
        <f>IFERROR(IF(AND(B2275&lt;&gt;"",C2275&lt;&gt;""),SUMIFS(Movimentos!$F$4:$F$9996,Movimentos!$D$4:$D$9996,B2275,Movimentos!$C$4:$C$9996,"Entrada")-SUMIFS(Movimentos!$F$4:$F$9996,Movimentos!$D$4:$D$9996,B2275,Movimentos!$C$4:$C$9996,"Saída"),""),"")</f>
        <v/>
      </c>
      <c r="F2275" s="10" t="str">
        <f t="shared" si="74"/>
        <v/>
      </c>
    </row>
    <row r="2276" spans="1:6" x14ac:dyDescent="0.3">
      <c r="A2276" s="15" t="str">
        <f t="shared" si="73"/>
        <v>.</v>
      </c>
      <c r="E2276" s="13" t="str">
        <f>IFERROR(IF(AND(B2276&lt;&gt;"",C2276&lt;&gt;""),SUMIFS(Movimentos!$F$4:$F$9996,Movimentos!$D$4:$D$9996,B2276,Movimentos!$C$4:$C$9996,"Entrada")-SUMIFS(Movimentos!$F$4:$F$9996,Movimentos!$D$4:$D$9996,B2276,Movimentos!$C$4:$C$9996,"Saída"),""),"")</f>
        <v/>
      </c>
      <c r="F2276" s="10" t="str">
        <f t="shared" si="74"/>
        <v/>
      </c>
    </row>
    <row r="2277" spans="1:6" x14ac:dyDescent="0.3">
      <c r="A2277" s="15" t="str">
        <f t="shared" si="73"/>
        <v>.</v>
      </c>
      <c r="E2277" s="13" t="str">
        <f>IFERROR(IF(AND(B2277&lt;&gt;"",C2277&lt;&gt;""),SUMIFS(Movimentos!$F$4:$F$9996,Movimentos!$D$4:$D$9996,B2277,Movimentos!$C$4:$C$9996,"Entrada")-SUMIFS(Movimentos!$F$4:$F$9996,Movimentos!$D$4:$D$9996,B2277,Movimentos!$C$4:$C$9996,"Saída"),""),"")</f>
        <v/>
      </c>
      <c r="F2277" s="10" t="str">
        <f t="shared" si="74"/>
        <v/>
      </c>
    </row>
    <row r="2278" spans="1:6" x14ac:dyDescent="0.3">
      <c r="A2278" s="15" t="str">
        <f t="shared" si="73"/>
        <v>.</v>
      </c>
      <c r="E2278" s="13" t="str">
        <f>IFERROR(IF(AND(B2278&lt;&gt;"",C2278&lt;&gt;""),SUMIFS(Movimentos!$F$4:$F$9996,Movimentos!$D$4:$D$9996,B2278,Movimentos!$C$4:$C$9996,"Entrada")-SUMIFS(Movimentos!$F$4:$F$9996,Movimentos!$D$4:$D$9996,B2278,Movimentos!$C$4:$C$9996,"Saída"),""),"")</f>
        <v/>
      </c>
      <c r="F2278" s="10" t="str">
        <f t="shared" si="74"/>
        <v/>
      </c>
    </row>
    <row r="2279" spans="1:6" x14ac:dyDescent="0.3">
      <c r="A2279" s="15" t="str">
        <f t="shared" si="73"/>
        <v>.</v>
      </c>
      <c r="E2279" s="13" t="str">
        <f>IFERROR(IF(AND(B2279&lt;&gt;"",C2279&lt;&gt;""),SUMIFS(Movimentos!$F$4:$F$9996,Movimentos!$D$4:$D$9996,B2279,Movimentos!$C$4:$C$9996,"Entrada")-SUMIFS(Movimentos!$F$4:$F$9996,Movimentos!$D$4:$D$9996,B2279,Movimentos!$C$4:$C$9996,"Saída"),""),"")</f>
        <v/>
      </c>
      <c r="F2279" s="10" t="str">
        <f t="shared" si="74"/>
        <v/>
      </c>
    </row>
    <row r="2280" spans="1:6" x14ac:dyDescent="0.3">
      <c r="A2280" s="15" t="str">
        <f t="shared" si="73"/>
        <v>.</v>
      </c>
      <c r="E2280" s="13" t="str">
        <f>IFERROR(IF(AND(B2280&lt;&gt;"",C2280&lt;&gt;""),SUMIFS(Movimentos!$F$4:$F$9996,Movimentos!$D$4:$D$9996,B2280,Movimentos!$C$4:$C$9996,"Entrada")-SUMIFS(Movimentos!$F$4:$F$9996,Movimentos!$D$4:$D$9996,B2280,Movimentos!$C$4:$C$9996,"Saída"),""),"")</f>
        <v/>
      </c>
      <c r="F2280" s="10" t="str">
        <f t="shared" si="74"/>
        <v/>
      </c>
    </row>
    <row r="2281" spans="1:6" x14ac:dyDescent="0.3">
      <c r="A2281" s="15" t="str">
        <f t="shared" si="73"/>
        <v>.</v>
      </c>
      <c r="E2281" s="13" t="str">
        <f>IFERROR(IF(AND(B2281&lt;&gt;"",C2281&lt;&gt;""),SUMIFS(Movimentos!$F$4:$F$9996,Movimentos!$D$4:$D$9996,B2281,Movimentos!$C$4:$C$9996,"Entrada")-SUMIFS(Movimentos!$F$4:$F$9996,Movimentos!$D$4:$D$9996,B2281,Movimentos!$C$4:$C$9996,"Saída"),""),"")</f>
        <v/>
      </c>
      <c r="F2281" s="10" t="str">
        <f t="shared" si="74"/>
        <v/>
      </c>
    </row>
    <row r="2282" spans="1:6" x14ac:dyDescent="0.3">
      <c r="A2282" s="15" t="str">
        <f t="shared" si="73"/>
        <v>.</v>
      </c>
      <c r="E2282" s="13" t="str">
        <f>IFERROR(IF(AND(B2282&lt;&gt;"",C2282&lt;&gt;""),SUMIFS(Movimentos!$F$4:$F$9996,Movimentos!$D$4:$D$9996,B2282,Movimentos!$C$4:$C$9996,"Entrada")-SUMIFS(Movimentos!$F$4:$F$9996,Movimentos!$D$4:$D$9996,B2282,Movimentos!$C$4:$C$9996,"Saída"),""),"")</f>
        <v/>
      </c>
      <c r="F2282" s="10" t="str">
        <f t="shared" si="74"/>
        <v/>
      </c>
    </row>
    <row r="2283" spans="1:6" x14ac:dyDescent="0.3">
      <c r="A2283" s="15" t="str">
        <f t="shared" si="73"/>
        <v>.</v>
      </c>
      <c r="E2283" s="13" t="str">
        <f>IFERROR(IF(AND(B2283&lt;&gt;"",C2283&lt;&gt;""),SUMIFS(Movimentos!$F$4:$F$9996,Movimentos!$D$4:$D$9996,B2283,Movimentos!$C$4:$C$9996,"Entrada")-SUMIFS(Movimentos!$F$4:$F$9996,Movimentos!$D$4:$D$9996,B2283,Movimentos!$C$4:$C$9996,"Saída"),""),"")</f>
        <v/>
      </c>
      <c r="F2283" s="10" t="str">
        <f t="shared" si="74"/>
        <v/>
      </c>
    </row>
    <row r="2284" spans="1:6" x14ac:dyDescent="0.3">
      <c r="A2284" s="15" t="str">
        <f t="shared" si="73"/>
        <v>.</v>
      </c>
      <c r="E2284" s="13" t="str">
        <f>IFERROR(IF(AND(B2284&lt;&gt;"",C2284&lt;&gt;""),SUMIFS(Movimentos!$F$4:$F$9996,Movimentos!$D$4:$D$9996,B2284,Movimentos!$C$4:$C$9996,"Entrada")-SUMIFS(Movimentos!$F$4:$F$9996,Movimentos!$D$4:$D$9996,B2284,Movimentos!$C$4:$C$9996,"Saída"),""),"")</f>
        <v/>
      </c>
      <c r="F2284" s="10" t="str">
        <f t="shared" si="74"/>
        <v/>
      </c>
    </row>
    <row r="2285" spans="1:6" x14ac:dyDescent="0.3">
      <c r="A2285" s="15" t="str">
        <f t="shared" si="73"/>
        <v>.</v>
      </c>
      <c r="E2285" s="13" t="str">
        <f>IFERROR(IF(AND(B2285&lt;&gt;"",C2285&lt;&gt;""),SUMIFS(Movimentos!$F$4:$F$9996,Movimentos!$D$4:$D$9996,B2285,Movimentos!$C$4:$C$9996,"Entrada")-SUMIFS(Movimentos!$F$4:$F$9996,Movimentos!$D$4:$D$9996,B2285,Movimentos!$C$4:$C$9996,"Saída"),""),"")</f>
        <v/>
      </c>
      <c r="F2285" s="10" t="str">
        <f t="shared" si="74"/>
        <v/>
      </c>
    </row>
    <row r="2286" spans="1:6" x14ac:dyDescent="0.3">
      <c r="A2286" s="15" t="str">
        <f t="shared" si="73"/>
        <v>.</v>
      </c>
      <c r="E2286" s="13" t="str">
        <f>IFERROR(IF(AND(B2286&lt;&gt;"",C2286&lt;&gt;""),SUMIFS(Movimentos!$F$4:$F$9996,Movimentos!$D$4:$D$9996,B2286,Movimentos!$C$4:$C$9996,"Entrada")-SUMIFS(Movimentos!$F$4:$F$9996,Movimentos!$D$4:$D$9996,B2286,Movimentos!$C$4:$C$9996,"Saída"),""),"")</f>
        <v/>
      </c>
      <c r="F2286" s="10" t="str">
        <f t="shared" si="74"/>
        <v/>
      </c>
    </row>
    <row r="2287" spans="1:6" x14ac:dyDescent="0.3">
      <c r="A2287" s="15" t="str">
        <f t="shared" si="73"/>
        <v>.</v>
      </c>
      <c r="E2287" s="13" t="str">
        <f>IFERROR(IF(AND(B2287&lt;&gt;"",C2287&lt;&gt;""),SUMIFS(Movimentos!$F$4:$F$9996,Movimentos!$D$4:$D$9996,B2287,Movimentos!$C$4:$C$9996,"Entrada")-SUMIFS(Movimentos!$F$4:$F$9996,Movimentos!$D$4:$D$9996,B2287,Movimentos!$C$4:$C$9996,"Saída"),""),"")</f>
        <v/>
      </c>
      <c r="F2287" s="10" t="str">
        <f t="shared" si="74"/>
        <v/>
      </c>
    </row>
    <row r="2288" spans="1:6" x14ac:dyDescent="0.3">
      <c r="A2288" s="15" t="str">
        <f t="shared" si="73"/>
        <v>.</v>
      </c>
      <c r="E2288" s="13" t="str">
        <f>IFERROR(IF(AND(B2288&lt;&gt;"",C2288&lt;&gt;""),SUMIFS(Movimentos!$F$4:$F$9996,Movimentos!$D$4:$D$9996,B2288,Movimentos!$C$4:$C$9996,"Entrada")-SUMIFS(Movimentos!$F$4:$F$9996,Movimentos!$D$4:$D$9996,B2288,Movimentos!$C$4:$C$9996,"Saída"),""),"")</f>
        <v/>
      </c>
      <c r="F2288" s="10" t="str">
        <f t="shared" si="74"/>
        <v/>
      </c>
    </row>
    <row r="2289" spans="1:6" x14ac:dyDescent="0.3">
      <c r="A2289" s="15" t="str">
        <f t="shared" si="73"/>
        <v>.</v>
      </c>
      <c r="E2289" s="13" t="str">
        <f>IFERROR(IF(AND(B2289&lt;&gt;"",C2289&lt;&gt;""),SUMIFS(Movimentos!$F$4:$F$9996,Movimentos!$D$4:$D$9996,B2289,Movimentos!$C$4:$C$9996,"Entrada")-SUMIFS(Movimentos!$F$4:$F$9996,Movimentos!$D$4:$D$9996,B2289,Movimentos!$C$4:$C$9996,"Saída"),""),"")</f>
        <v/>
      </c>
      <c r="F2289" s="10" t="str">
        <f t="shared" si="74"/>
        <v/>
      </c>
    </row>
    <row r="2290" spans="1:6" x14ac:dyDescent="0.3">
      <c r="A2290" s="15" t="str">
        <f t="shared" si="73"/>
        <v>.</v>
      </c>
      <c r="E2290" s="13" t="str">
        <f>IFERROR(IF(AND(B2290&lt;&gt;"",C2290&lt;&gt;""),SUMIFS(Movimentos!$F$4:$F$9996,Movimentos!$D$4:$D$9996,B2290,Movimentos!$C$4:$C$9996,"Entrada")-SUMIFS(Movimentos!$F$4:$F$9996,Movimentos!$D$4:$D$9996,B2290,Movimentos!$C$4:$C$9996,"Saída"),""),"")</f>
        <v/>
      </c>
      <c r="F2290" s="10" t="str">
        <f t="shared" si="74"/>
        <v/>
      </c>
    </row>
    <row r="2291" spans="1:6" x14ac:dyDescent="0.3">
      <c r="A2291" s="15" t="str">
        <f t="shared" si="73"/>
        <v>.</v>
      </c>
      <c r="E2291" s="13" t="str">
        <f>IFERROR(IF(AND(B2291&lt;&gt;"",C2291&lt;&gt;""),SUMIFS(Movimentos!$F$4:$F$9996,Movimentos!$D$4:$D$9996,B2291,Movimentos!$C$4:$C$9996,"Entrada")-SUMIFS(Movimentos!$F$4:$F$9996,Movimentos!$D$4:$D$9996,B2291,Movimentos!$C$4:$C$9996,"Saída"),""),"")</f>
        <v/>
      </c>
      <c r="F2291" s="10" t="str">
        <f t="shared" si="74"/>
        <v/>
      </c>
    </row>
    <row r="2292" spans="1:6" x14ac:dyDescent="0.3">
      <c r="A2292" s="15" t="str">
        <f t="shared" si="73"/>
        <v>.</v>
      </c>
      <c r="E2292" s="13" t="str">
        <f>IFERROR(IF(AND(B2292&lt;&gt;"",C2292&lt;&gt;""),SUMIFS(Movimentos!$F$4:$F$9996,Movimentos!$D$4:$D$9996,B2292,Movimentos!$C$4:$C$9996,"Entrada")-SUMIFS(Movimentos!$F$4:$F$9996,Movimentos!$D$4:$D$9996,B2292,Movimentos!$C$4:$C$9996,"Saída"),""),"")</f>
        <v/>
      </c>
      <c r="F2292" s="10" t="str">
        <f t="shared" si="74"/>
        <v/>
      </c>
    </row>
    <row r="2293" spans="1:6" x14ac:dyDescent="0.3">
      <c r="A2293" s="15" t="str">
        <f t="shared" si="73"/>
        <v>.</v>
      </c>
      <c r="E2293" s="13" t="str">
        <f>IFERROR(IF(AND(B2293&lt;&gt;"",C2293&lt;&gt;""),SUMIFS(Movimentos!$F$4:$F$9996,Movimentos!$D$4:$D$9996,B2293,Movimentos!$C$4:$C$9996,"Entrada")-SUMIFS(Movimentos!$F$4:$F$9996,Movimentos!$D$4:$D$9996,B2293,Movimentos!$C$4:$C$9996,"Saída"),""),"")</f>
        <v/>
      </c>
      <c r="F2293" s="10" t="str">
        <f t="shared" si="74"/>
        <v/>
      </c>
    </row>
    <row r="2294" spans="1:6" x14ac:dyDescent="0.3">
      <c r="A2294" s="15" t="str">
        <f t="shared" si="73"/>
        <v>.</v>
      </c>
      <c r="E2294" s="13" t="str">
        <f>IFERROR(IF(AND(B2294&lt;&gt;"",C2294&lt;&gt;""),SUMIFS(Movimentos!$F$4:$F$9996,Movimentos!$D$4:$D$9996,B2294,Movimentos!$C$4:$C$9996,"Entrada")-SUMIFS(Movimentos!$F$4:$F$9996,Movimentos!$D$4:$D$9996,B2294,Movimentos!$C$4:$C$9996,"Saída"),""),"")</f>
        <v/>
      </c>
      <c r="F2294" s="10" t="str">
        <f t="shared" si="74"/>
        <v/>
      </c>
    </row>
    <row r="2295" spans="1:6" x14ac:dyDescent="0.3">
      <c r="A2295" s="15" t="str">
        <f t="shared" si="73"/>
        <v>.</v>
      </c>
      <c r="E2295" s="13" t="str">
        <f>IFERROR(IF(AND(B2295&lt;&gt;"",C2295&lt;&gt;""),SUMIFS(Movimentos!$F$4:$F$9996,Movimentos!$D$4:$D$9996,B2295,Movimentos!$C$4:$C$9996,"Entrada")-SUMIFS(Movimentos!$F$4:$F$9996,Movimentos!$D$4:$D$9996,B2295,Movimentos!$C$4:$C$9996,"Saída"),""),"")</f>
        <v/>
      </c>
      <c r="F2295" s="10" t="str">
        <f t="shared" si="74"/>
        <v/>
      </c>
    </row>
    <row r="2296" spans="1:6" x14ac:dyDescent="0.3">
      <c r="A2296" s="15" t="str">
        <f t="shared" si="73"/>
        <v>.</v>
      </c>
      <c r="E2296" s="13" t="str">
        <f>IFERROR(IF(AND(B2296&lt;&gt;"",C2296&lt;&gt;""),SUMIFS(Movimentos!$F$4:$F$9996,Movimentos!$D$4:$D$9996,B2296,Movimentos!$C$4:$C$9996,"Entrada")-SUMIFS(Movimentos!$F$4:$F$9996,Movimentos!$D$4:$D$9996,B2296,Movimentos!$C$4:$C$9996,"Saída"),""),"")</f>
        <v/>
      </c>
      <c r="F2296" s="10" t="str">
        <f t="shared" si="74"/>
        <v/>
      </c>
    </row>
    <row r="2297" spans="1:6" x14ac:dyDescent="0.3">
      <c r="A2297" s="15" t="str">
        <f t="shared" si="73"/>
        <v>.</v>
      </c>
      <c r="E2297" s="13" t="str">
        <f>IFERROR(IF(AND(B2297&lt;&gt;"",C2297&lt;&gt;""),SUMIFS(Movimentos!$F$4:$F$9996,Movimentos!$D$4:$D$9996,B2297,Movimentos!$C$4:$C$9996,"Entrada")-SUMIFS(Movimentos!$F$4:$F$9996,Movimentos!$D$4:$D$9996,B2297,Movimentos!$C$4:$C$9996,"Saída"),""),"")</f>
        <v/>
      </c>
      <c r="F2297" s="10" t="str">
        <f t="shared" si="74"/>
        <v/>
      </c>
    </row>
    <row r="2298" spans="1:6" x14ac:dyDescent="0.3">
      <c r="A2298" s="15" t="str">
        <f t="shared" si="73"/>
        <v>.</v>
      </c>
      <c r="E2298" s="13" t="str">
        <f>IFERROR(IF(AND(B2298&lt;&gt;"",C2298&lt;&gt;""),SUMIFS(Movimentos!$F$4:$F$9996,Movimentos!$D$4:$D$9996,B2298,Movimentos!$C$4:$C$9996,"Entrada")-SUMIFS(Movimentos!$F$4:$F$9996,Movimentos!$D$4:$D$9996,B2298,Movimentos!$C$4:$C$9996,"Saída"),""),"")</f>
        <v/>
      </c>
      <c r="F2298" s="10" t="str">
        <f t="shared" si="74"/>
        <v/>
      </c>
    </row>
    <row r="2299" spans="1:6" x14ac:dyDescent="0.3">
      <c r="A2299" s="15" t="str">
        <f t="shared" si="73"/>
        <v>.</v>
      </c>
      <c r="E2299" s="13" t="str">
        <f>IFERROR(IF(AND(B2299&lt;&gt;"",C2299&lt;&gt;""),SUMIFS(Movimentos!$F$4:$F$9996,Movimentos!$D$4:$D$9996,B2299,Movimentos!$C$4:$C$9996,"Entrada")-SUMIFS(Movimentos!$F$4:$F$9996,Movimentos!$D$4:$D$9996,B2299,Movimentos!$C$4:$C$9996,"Saída"),""),"")</f>
        <v/>
      </c>
      <c r="F2299" s="10" t="str">
        <f t="shared" si="74"/>
        <v/>
      </c>
    </row>
    <row r="2300" spans="1:6" x14ac:dyDescent="0.3">
      <c r="A2300" s="15" t="str">
        <f t="shared" si="73"/>
        <v>.</v>
      </c>
      <c r="E2300" s="13" t="str">
        <f>IFERROR(IF(AND(B2300&lt;&gt;"",C2300&lt;&gt;""),SUMIFS(Movimentos!$F$4:$F$9996,Movimentos!$D$4:$D$9996,B2300,Movimentos!$C$4:$C$9996,"Entrada")-SUMIFS(Movimentos!$F$4:$F$9996,Movimentos!$D$4:$D$9996,B2300,Movimentos!$C$4:$C$9996,"Saída"),""),"")</f>
        <v/>
      </c>
      <c r="F2300" s="10" t="str">
        <f t="shared" si="74"/>
        <v/>
      </c>
    </row>
    <row r="2301" spans="1:6" x14ac:dyDescent="0.3">
      <c r="A2301" s="15" t="str">
        <f t="shared" si="73"/>
        <v>.</v>
      </c>
      <c r="E2301" s="13" t="str">
        <f>IFERROR(IF(AND(B2301&lt;&gt;"",C2301&lt;&gt;""),SUMIFS(Movimentos!$F$4:$F$9996,Movimentos!$D$4:$D$9996,B2301,Movimentos!$C$4:$C$9996,"Entrada")-SUMIFS(Movimentos!$F$4:$F$9996,Movimentos!$D$4:$D$9996,B2301,Movimentos!$C$4:$C$9996,"Saída"),""),"")</f>
        <v/>
      </c>
      <c r="F2301" s="10" t="str">
        <f t="shared" si="74"/>
        <v/>
      </c>
    </row>
    <row r="2302" spans="1:6" x14ac:dyDescent="0.3">
      <c r="A2302" s="15" t="str">
        <f t="shared" si="73"/>
        <v>.</v>
      </c>
      <c r="E2302" s="13" t="str">
        <f>IFERROR(IF(AND(B2302&lt;&gt;"",C2302&lt;&gt;""),SUMIFS(Movimentos!$F$4:$F$9996,Movimentos!$D$4:$D$9996,B2302,Movimentos!$C$4:$C$9996,"Entrada")-SUMIFS(Movimentos!$F$4:$F$9996,Movimentos!$D$4:$D$9996,B2302,Movimentos!$C$4:$C$9996,"Saída"),""),"")</f>
        <v/>
      </c>
      <c r="F2302" s="10" t="str">
        <f t="shared" si="74"/>
        <v/>
      </c>
    </row>
    <row r="2303" spans="1:6" x14ac:dyDescent="0.3">
      <c r="A2303" s="15" t="str">
        <f t="shared" si="73"/>
        <v>.</v>
      </c>
      <c r="E2303" s="13" t="str">
        <f>IFERROR(IF(AND(B2303&lt;&gt;"",C2303&lt;&gt;""),SUMIFS(Movimentos!$F$4:$F$9996,Movimentos!$D$4:$D$9996,B2303,Movimentos!$C$4:$C$9996,"Entrada")-SUMIFS(Movimentos!$F$4:$F$9996,Movimentos!$D$4:$D$9996,B2303,Movimentos!$C$4:$C$9996,"Saída"),""),"")</f>
        <v/>
      </c>
      <c r="F2303" s="10" t="str">
        <f t="shared" si="74"/>
        <v/>
      </c>
    </row>
    <row r="2304" spans="1:6" x14ac:dyDescent="0.3">
      <c r="A2304" s="15" t="str">
        <f t="shared" ref="A2304:A2367" si="75">IF(F2304="Saldo zerado",0,IF(F2304="Saldo abaixo do mínimo",1,IF(F2304="Saldo disponível",2,".")))</f>
        <v>.</v>
      </c>
      <c r="E2304" s="13" t="str">
        <f>IFERROR(IF(AND(B2304&lt;&gt;"",C2304&lt;&gt;""),SUMIFS(Movimentos!$F$4:$F$9996,Movimentos!$D$4:$D$9996,B2304,Movimentos!$C$4:$C$9996,"Entrada")-SUMIFS(Movimentos!$F$4:$F$9996,Movimentos!$D$4:$D$9996,B2304,Movimentos!$C$4:$C$9996,"Saída"),""),"")</f>
        <v/>
      </c>
      <c r="F2304" s="10" t="str">
        <f t="shared" si="74"/>
        <v/>
      </c>
    </row>
    <row r="2305" spans="1:6" x14ac:dyDescent="0.3">
      <c r="A2305" s="15" t="str">
        <f t="shared" si="75"/>
        <v>.</v>
      </c>
      <c r="E2305" s="13" t="str">
        <f>IFERROR(IF(AND(B2305&lt;&gt;"",C2305&lt;&gt;""),SUMIFS(Movimentos!$F$4:$F$9996,Movimentos!$D$4:$D$9996,B2305,Movimentos!$C$4:$C$9996,"Entrada")-SUMIFS(Movimentos!$F$4:$F$9996,Movimentos!$D$4:$D$9996,B2305,Movimentos!$C$4:$C$9996,"Saída"),""),"")</f>
        <v/>
      </c>
      <c r="F2305" s="10" t="str">
        <f t="shared" si="74"/>
        <v/>
      </c>
    </row>
    <row r="2306" spans="1:6" x14ac:dyDescent="0.3">
      <c r="A2306" s="15" t="str">
        <f t="shared" si="75"/>
        <v>.</v>
      </c>
      <c r="E2306" s="13" t="str">
        <f>IFERROR(IF(AND(B2306&lt;&gt;"",C2306&lt;&gt;""),SUMIFS(Movimentos!$F$4:$F$9996,Movimentos!$D$4:$D$9996,B2306,Movimentos!$C$4:$C$9996,"Entrada")-SUMIFS(Movimentos!$F$4:$F$9996,Movimentos!$D$4:$D$9996,B2306,Movimentos!$C$4:$C$9996,"Saída"),""),"")</f>
        <v/>
      </c>
      <c r="F2306" s="10" t="str">
        <f t="shared" si="74"/>
        <v/>
      </c>
    </row>
    <row r="2307" spans="1:6" x14ac:dyDescent="0.3">
      <c r="A2307" s="15" t="str">
        <f t="shared" si="75"/>
        <v>.</v>
      </c>
      <c r="E2307" s="13" t="str">
        <f>IFERROR(IF(AND(B2307&lt;&gt;"",C2307&lt;&gt;""),SUMIFS(Movimentos!$F$4:$F$9996,Movimentos!$D$4:$D$9996,B2307,Movimentos!$C$4:$C$9996,"Entrada")-SUMIFS(Movimentos!$F$4:$F$9996,Movimentos!$D$4:$D$9996,B2307,Movimentos!$C$4:$C$9996,"Saída"),""),"")</f>
        <v/>
      </c>
      <c r="F2307" s="10" t="str">
        <f t="shared" si="74"/>
        <v/>
      </c>
    </row>
    <row r="2308" spans="1:6" x14ac:dyDescent="0.3">
      <c r="A2308" s="15" t="str">
        <f t="shared" si="75"/>
        <v>.</v>
      </c>
      <c r="E2308" s="13" t="str">
        <f>IFERROR(IF(AND(B2308&lt;&gt;"",C2308&lt;&gt;""),SUMIFS(Movimentos!$F$4:$F$9996,Movimentos!$D$4:$D$9996,B2308,Movimentos!$C$4:$C$9996,"Entrada")-SUMIFS(Movimentos!$F$4:$F$9996,Movimentos!$D$4:$D$9996,B2308,Movimentos!$C$4:$C$9996,"Saída"),""),"")</f>
        <v/>
      </c>
      <c r="F2308" s="10" t="str">
        <f t="shared" si="74"/>
        <v/>
      </c>
    </row>
    <row r="2309" spans="1:6" x14ac:dyDescent="0.3">
      <c r="A2309" s="15" t="str">
        <f t="shared" si="75"/>
        <v>.</v>
      </c>
      <c r="E2309" s="13" t="str">
        <f>IFERROR(IF(AND(B2309&lt;&gt;"",C2309&lt;&gt;""),SUMIFS(Movimentos!$F$4:$F$9996,Movimentos!$D$4:$D$9996,B2309,Movimentos!$C$4:$C$9996,"Entrada")-SUMIFS(Movimentos!$F$4:$F$9996,Movimentos!$D$4:$D$9996,B2309,Movimentos!$C$4:$C$9996,"Saída"),""),"")</f>
        <v/>
      </c>
      <c r="F2309" s="10" t="str">
        <f t="shared" si="74"/>
        <v/>
      </c>
    </row>
    <row r="2310" spans="1:6" x14ac:dyDescent="0.3">
      <c r="A2310" s="15" t="str">
        <f t="shared" si="75"/>
        <v>.</v>
      </c>
      <c r="E2310" s="13" t="str">
        <f>IFERROR(IF(AND(B2310&lt;&gt;"",C2310&lt;&gt;""),SUMIFS(Movimentos!$F$4:$F$9996,Movimentos!$D$4:$D$9996,B2310,Movimentos!$C$4:$C$9996,"Entrada")-SUMIFS(Movimentos!$F$4:$F$9996,Movimentos!$D$4:$D$9996,B2310,Movimentos!$C$4:$C$9996,"Saída"),""),"")</f>
        <v/>
      </c>
      <c r="F2310" s="10" t="str">
        <f t="shared" si="74"/>
        <v/>
      </c>
    </row>
    <row r="2311" spans="1:6" x14ac:dyDescent="0.3">
      <c r="A2311" s="15" t="str">
        <f t="shared" si="75"/>
        <v>.</v>
      </c>
      <c r="E2311" s="13" t="str">
        <f>IFERROR(IF(AND(B2311&lt;&gt;"",C2311&lt;&gt;""),SUMIFS(Movimentos!$F$4:$F$9996,Movimentos!$D$4:$D$9996,B2311,Movimentos!$C$4:$C$9996,"Entrada")-SUMIFS(Movimentos!$F$4:$F$9996,Movimentos!$D$4:$D$9996,B2311,Movimentos!$C$4:$C$9996,"Saída"),""),"")</f>
        <v/>
      </c>
      <c r="F2311" s="10" t="str">
        <f t="shared" si="74"/>
        <v/>
      </c>
    </row>
    <row r="2312" spans="1:6" x14ac:dyDescent="0.3">
      <c r="A2312" s="15" t="str">
        <f t="shared" si="75"/>
        <v>.</v>
      </c>
      <c r="E2312" s="13" t="str">
        <f>IFERROR(IF(AND(B2312&lt;&gt;"",C2312&lt;&gt;""),SUMIFS(Movimentos!$F$4:$F$9996,Movimentos!$D$4:$D$9996,B2312,Movimentos!$C$4:$C$9996,"Entrada")-SUMIFS(Movimentos!$F$4:$F$9996,Movimentos!$D$4:$D$9996,B2312,Movimentos!$C$4:$C$9996,"Saída"),""),"")</f>
        <v/>
      </c>
      <c r="F2312" s="10" t="str">
        <f t="shared" si="74"/>
        <v/>
      </c>
    </row>
    <row r="2313" spans="1:6" x14ac:dyDescent="0.3">
      <c r="A2313" s="15" t="str">
        <f t="shared" si="75"/>
        <v>.</v>
      </c>
      <c r="E2313" s="13" t="str">
        <f>IFERROR(IF(AND(B2313&lt;&gt;"",C2313&lt;&gt;""),SUMIFS(Movimentos!$F$4:$F$9996,Movimentos!$D$4:$D$9996,B2313,Movimentos!$C$4:$C$9996,"Entrada")-SUMIFS(Movimentos!$F$4:$F$9996,Movimentos!$D$4:$D$9996,B2313,Movimentos!$C$4:$C$9996,"Saída"),""),"")</f>
        <v/>
      </c>
      <c r="F2313" s="10" t="str">
        <f t="shared" si="74"/>
        <v/>
      </c>
    </row>
    <row r="2314" spans="1:6" x14ac:dyDescent="0.3">
      <c r="A2314" s="15" t="str">
        <f t="shared" si="75"/>
        <v>.</v>
      </c>
      <c r="E2314" s="13" t="str">
        <f>IFERROR(IF(AND(B2314&lt;&gt;"",C2314&lt;&gt;""),SUMIFS(Movimentos!$F$4:$F$9996,Movimentos!$D$4:$D$9996,B2314,Movimentos!$C$4:$C$9996,"Entrada")-SUMIFS(Movimentos!$F$4:$F$9996,Movimentos!$D$4:$D$9996,B2314,Movimentos!$C$4:$C$9996,"Saída"),""),"")</f>
        <v/>
      </c>
      <c r="F2314" s="10" t="str">
        <f t="shared" si="74"/>
        <v/>
      </c>
    </row>
    <row r="2315" spans="1:6" x14ac:dyDescent="0.3">
      <c r="A2315" s="15" t="str">
        <f t="shared" si="75"/>
        <v>.</v>
      </c>
      <c r="E2315" s="13" t="str">
        <f>IFERROR(IF(AND(B2315&lt;&gt;"",C2315&lt;&gt;""),SUMIFS(Movimentos!$F$4:$F$9996,Movimentos!$D$4:$D$9996,B2315,Movimentos!$C$4:$C$9996,"Entrada")-SUMIFS(Movimentos!$F$4:$F$9996,Movimentos!$D$4:$D$9996,B2315,Movimentos!$C$4:$C$9996,"Saída"),""),"")</f>
        <v/>
      </c>
      <c r="F2315" s="10" t="str">
        <f t="shared" si="74"/>
        <v/>
      </c>
    </row>
    <row r="2316" spans="1:6" x14ac:dyDescent="0.3">
      <c r="A2316" s="15" t="str">
        <f t="shared" si="75"/>
        <v>.</v>
      </c>
      <c r="E2316" s="13" t="str">
        <f>IFERROR(IF(AND(B2316&lt;&gt;"",C2316&lt;&gt;""),SUMIFS(Movimentos!$F$4:$F$9996,Movimentos!$D$4:$D$9996,B2316,Movimentos!$C$4:$C$9996,"Entrada")-SUMIFS(Movimentos!$F$4:$F$9996,Movimentos!$D$4:$D$9996,B2316,Movimentos!$C$4:$C$9996,"Saída"),""),"")</f>
        <v/>
      </c>
      <c r="F2316" s="10" t="str">
        <f t="shared" si="74"/>
        <v/>
      </c>
    </row>
    <row r="2317" spans="1:6" x14ac:dyDescent="0.3">
      <c r="A2317" s="15" t="str">
        <f t="shared" si="75"/>
        <v>.</v>
      </c>
      <c r="E2317" s="13" t="str">
        <f>IFERROR(IF(AND(B2317&lt;&gt;"",C2317&lt;&gt;""),SUMIFS(Movimentos!$F$4:$F$9996,Movimentos!$D$4:$D$9996,B2317,Movimentos!$C$4:$C$9996,"Entrada")-SUMIFS(Movimentos!$F$4:$F$9996,Movimentos!$D$4:$D$9996,B2317,Movimentos!$C$4:$C$9996,"Saída"),""),"")</f>
        <v/>
      </c>
      <c r="F2317" s="10" t="str">
        <f t="shared" si="74"/>
        <v/>
      </c>
    </row>
    <row r="2318" spans="1:6" x14ac:dyDescent="0.3">
      <c r="A2318" s="15" t="str">
        <f t="shared" si="75"/>
        <v>.</v>
      </c>
      <c r="E2318" s="13" t="str">
        <f>IFERROR(IF(AND(B2318&lt;&gt;"",C2318&lt;&gt;""),SUMIFS(Movimentos!$F$4:$F$9996,Movimentos!$D$4:$D$9996,B2318,Movimentos!$C$4:$C$9996,"Entrada")-SUMIFS(Movimentos!$F$4:$F$9996,Movimentos!$D$4:$D$9996,B2318,Movimentos!$C$4:$C$9996,"Saída"),""),"")</f>
        <v/>
      </c>
      <c r="F2318" s="10" t="str">
        <f t="shared" si="74"/>
        <v/>
      </c>
    </row>
    <row r="2319" spans="1:6" x14ac:dyDescent="0.3">
      <c r="A2319" s="15" t="str">
        <f t="shared" si="75"/>
        <v>.</v>
      </c>
      <c r="E2319" s="13" t="str">
        <f>IFERROR(IF(AND(B2319&lt;&gt;"",C2319&lt;&gt;""),SUMIFS(Movimentos!$F$4:$F$9996,Movimentos!$D$4:$D$9996,B2319,Movimentos!$C$4:$C$9996,"Entrada")-SUMIFS(Movimentos!$F$4:$F$9996,Movimentos!$D$4:$D$9996,B2319,Movimentos!$C$4:$C$9996,"Saída"),""),"")</f>
        <v/>
      </c>
      <c r="F2319" s="10" t="str">
        <f t="shared" si="74"/>
        <v/>
      </c>
    </row>
    <row r="2320" spans="1:6" x14ac:dyDescent="0.3">
      <c r="A2320" s="15" t="str">
        <f t="shared" si="75"/>
        <v>.</v>
      </c>
      <c r="E2320" s="13" t="str">
        <f>IFERROR(IF(AND(B2320&lt;&gt;"",C2320&lt;&gt;""),SUMIFS(Movimentos!$F$4:$F$9996,Movimentos!$D$4:$D$9996,B2320,Movimentos!$C$4:$C$9996,"Entrada")-SUMIFS(Movimentos!$F$4:$F$9996,Movimentos!$D$4:$D$9996,B2320,Movimentos!$C$4:$C$9996,"Saída"),""),"")</f>
        <v/>
      </c>
      <c r="F2320" s="10" t="str">
        <f t="shared" si="74"/>
        <v/>
      </c>
    </row>
    <row r="2321" spans="1:6" x14ac:dyDescent="0.3">
      <c r="A2321" s="15" t="str">
        <f t="shared" si="75"/>
        <v>.</v>
      </c>
      <c r="E2321" s="13" t="str">
        <f>IFERROR(IF(AND(B2321&lt;&gt;"",C2321&lt;&gt;""),SUMIFS(Movimentos!$F$4:$F$9996,Movimentos!$D$4:$D$9996,B2321,Movimentos!$C$4:$C$9996,"Entrada")-SUMIFS(Movimentos!$F$4:$F$9996,Movimentos!$D$4:$D$9996,B2321,Movimentos!$C$4:$C$9996,"Saída"),""),"")</f>
        <v/>
      </c>
      <c r="F2321" s="10" t="str">
        <f t="shared" si="74"/>
        <v/>
      </c>
    </row>
    <row r="2322" spans="1:6" x14ac:dyDescent="0.3">
      <c r="A2322" s="15" t="str">
        <f t="shared" si="75"/>
        <v>.</v>
      </c>
      <c r="E2322" s="13" t="str">
        <f>IFERROR(IF(AND(B2322&lt;&gt;"",C2322&lt;&gt;""),SUMIFS(Movimentos!$F$4:$F$9996,Movimentos!$D$4:$D$9996,B2322,Movimentos!$C$4:$C$9996,"Entrada")-SUMIFS(Movimentos!$F$4:$F$9996,Movimentos!$D$4:$D$9996,B2322,Movimentos!$C$4:$C$9996,"Saída"),""),"")</f>
        <v/>
      </c>
      <c r="F2322" s="10" t="str">
        <f t="shared" si="74"/>
        <v/>
      </c>
    </row>
    <row r="2323" spans="1:6" x14ac:dyDescent="0.3">
      <c r="A2323" s="15" t="str">
        <f t="shared" si="75"/>
        <v>.</v>
      </c>
      <c r="E2323" s="13" t="str">
        <f>IFERROR(IF(AND(B2323&lt;&gt;"",C2323&lt;&gt;""),SUMIFS(Movimentos!$F$4:$F$9996,Movimentos!$D$4:$D$9996,B2323,Movimentos!$C$4:$C$9996,"Entrada")-SUMIFS(Movimentos!$F$4:$F$9996,Movimentos!$D$4:$D$9996,B2323,Movimentos!$C$4:$C$9996,"Saída"),""),"")</f>
        <v/>
      </c>
      <c r="F2323" s="10" t="str">
        <f t="shared" si="74"/>
        <v/>
      </c>
    </row>
    <row r="2324" spans="1:6" x14ac:dyDescent="0.3">
      <c r="A2324" s="15" t="str">
        <f t="shared" si="75"/>
        <v>.</v>
      </c>
      <c r="E2324" s="13" t="str">
        <f>IFERROR(IF(AND(B2324&lt;&gt;"",C2324&lt;&gt;""),SUMIFS(Movimentos!$F$4:$F$9996,Movimentos!$D$4:$D$9996,B2324,Movimentos!$C$4:$C$9996,"Entrada")-SUMIFS(Movimentos!$F$4:$F$9996,Movimentos!$D$4:$D$9996,B2324,Movimentos!$C$4:$C$9996,"Saída"),""),"")</f>
        <v/>
      </c>
      <c r="F2324" s="10" t="str">
        <f t="shared" si="74"/>
        <v/>
      </c>
    </row>
    <row r="2325" spans="1:6" x14ac:dyDescent="0.3">
      <c r="A2325" s="15" t="str">
        <f t="shared" si="75"/>
        <v>.</v>
      </c>
      <c r="E2325" s="13" t="str">
        <f>IFERROR(IF(AND(B2325&lt;&gt;"",C2325&lt;&gt;""),SUMIFS(Movimentos!$F$4:$F$9996,Movimentos!$D$4:$D$9996,B2325,Movimentos!$C$4:$C$9996,"Entrada")-SUMIFS(Movimentos!$F$4:$F$9996,Movimentos!$D$4:$D$9996,B2325,Movimentos!$C$4:$C$9996,"Saída"),""),"")</f>
        <v/>
      </c>
      <c r="F2325" s="10" t="str">
        <f t="shared" si="74"/>
        <v/>
      </c>
    </row>
    <row r="2326" spans="1:6" x14ac:dyDescent="0.3">
      <c r="A2326" s="15" t="str">
        <f t="shared" si="75"/>
        <v>.</v>
      </c>
      <c r="E2326" s="13" t="str">
        <f>IFERROR(IF(AND(B2326&lt;&gt;"",C2326&lt;&gt;""),SUMIFS(Movimentos!$F$4:$F$9996,Movimentos!$D$4:$D$9996,B2326,Movimentos!$C$4:$C$9996,"Entrada")-SUMIFS(Movimentos!$F$4:$F$9996,Movimentos!$D$4:$D$9996,B2326,Movimentos!$C$4:$C$9996,"Saída"),""),"")</f>
        <v/>
      </c>
      <c r="F2326" s="10" t="str">
        <f t="shared" si="74"/>
        <v/>
      </c>
    </row>
    <row r="2327" spans="1:6" x14ac:dyDescent="0.3">
      <c r="A2327" s="15" t="str">
        <f t="shared" si="75"/>
        <v>.</v>
      </c>
      <c r="E2327" s="13" t="str">
        <f>IFERROR(IF(AND(B2327&lt;&gt;"",C2327&lt;&gt;""),SUMIFS(Movimentos!$F$4:$F$9996,Movimentos!$D$4:$D$9996,B2327,Movimentos!$C$4:$C$9996,"Entrada")-SUMIFS(Movimentos!$F$4:$F$9996,Movimentos!$D$4:$D$9996,B2327,Movimentos!$C$4:$C$9996,"Saída"),""),"")</f>
        <v/>
      </c>
      <c r="F2327" s="10" t="str">
        <f t="shared" ref="F2327:F2390" si="76">IF(AND(B2327&lt;&gt;"",C2327&lt;&gt;""),IF(E2327=0,"Saldo zerado",IF(E2327&lt;D2327,"Saldo abaixo do mínimo","Saldo disponível")),"")</f>
        <v/>
      </c>
    </row>
    <row r="2328" spans="1:6" x14ac:dyDescent="0.3">
      <c r="A2328" s="15" t="str">
        <f t="shared" si="75"/>
        <v>.</v>
      </c>
      <c r="E2328" s="13" t="str">
        <f>IFERROR(IF(AND(B2328&lt;&gt;"",C2328&lt;&gt;""),SUMIFS(Movimentos!$F$4:$F$9996,Movimentos!$D$4:$D$9996,B2328,Movimentos!$C$4:$C$9996,"Entrada")-SUMIFS(Movimentos!$F$4:$F$9996,Movimentos!$D$4:$D$9996,B2328,Movimentos!$C$4:$C$9996,"Saída"),""),"")</f>
        <v/>
      </c>
      <c r="F2328" s="10" t="str">
        <f t="shared" si="76"/>
        <v/>
      </c>
    </row>
    <row r="2329" spans="1:6" x14ac:dyDescent="0.3">
      <c r="A2329" s="15" t="str">
        <f t="shared" si="75"/>
        <v>.</v>
      </c>
      <c r="E2329" s="13" t="str">
        <f>IFERROR(IF(AND(B2329&lt;&gt;"",C2329&lt;&gt;""),SUMIFS(Movimentos!$F$4:$F$9996,Movimentos!$D$4:$D$9996,B2329,Movimentos!$C$4:$C$9996,"Entrada")-SUMIFS(Movimentos!$F$4:$F$9996,Movimentos!$D$4:$D$9996,B2329,Movimentos!$C$4:$C$9996,"Saída"),""),"")</f>
        <v/>
      </c>
      <c r="F2329" s="10" t="str">
        <f t="shared" si="76"/>
        <v/>
      </c>
    </row>
    <row r="2330" spans="1:6" x14ac:dyDescent="0.3">
      <c r="A2330" s="15" t="str">
        <f t="shared" si="75"/>
        <v>.</v>
      </c>
      <c r="E2330" s="13" t="str">
        <f>IFERROR(IF(AND(B2330&lt;&gt;"",C2330&lt;&gt;""),SUMIFS(Movimentos!$F$4:$F$9996,Movimentos!$D$4:$D$9996,B2330,Movimentos!$C$4:$C$9996,"Entrada")-SUMIFS(Movimentos!$F$4:$F$9996,Movimentos!$D$4:$D$9996,B2330,Movimentos!$C$4:$C$9996,"Saída"),""),"")</f>
        <v/>
      </c>
      <c r="F2330" s="10" t="str">
        <f t="shared" si="76"/>
        <v/>
      </c>
    </row>
    <row r="2331" spans="1:6" x14ac:dyDescent="0.3">
      <c r="A2331" s="15" t="str">
        <f t="shared" si="75"/>
        <v>.</v>
      </c>
      <c r="E2331" s="13" t="str">
        <f>IFERROR(IF(AND(B2331&lt;&gt;"",C2331&lt;&gt;""),SUMIFS(Movimentos!$F$4:$F$9996,Movimentos!$D$4:$D$9996,B2331,Movimentos!$C$4:$C$9996,"Entrada")-SUMIFS(Movimentos!$F$4:$F$9996,Movimentos!$D$4:$D$9996,B2331,Movimentos!$C$4:$C$9996,"Saída"),""),"")</f>
        <v/>
      </c>
      <c r="F2331" s="10" t="str">
        <f t="shared" si="76"/>
        <v/>
      </c>
    </row>
    <row r="2332" spans="1:6" x14ac:dyDescent="0.3">
      <c r="A2332" s="15" t="str">
        <f t="shared" si="75"/>
        <v>.</v>
      </c>
      <c r="E2332" s="13" t="str">
        <f>IFERROR(IF(AND(B2332&lt;&gt;"",C2332&lt;&gt;""),SUMIFS(Movimentos!$F$4:$F$9996,Movimentos!$D$4:$D$9996,B2332,Movimentos!$C$4:$C$9996,"Entrada")-SUMIFS(Movimentos!$F$4:$F$9996,Movimentos!$D$4:$D$9996,B2332,Movimentos!$C$4:$C$9996,"Saída"),""),"")</f>
        <v/>
      </c>
      <c r="F2332" s="10" t="str">
        <f t="shared" si="76"/>
        <v/>
      </c>
    </row>
    <row r="2333" spans="1:6" x14ac:dyDescent="0.3">
      <c r="A2333" s="15" t="str">
        <f t="shared" si="75"/>
        <v>.</v>
      </c>
      <c r="E2333" s="13" t="str">
        <f>IFERROR(IF(AND(B2333&lt;&gt;"",C2333&lt;&gt;""),SUMIFS(Movimentos!$F$4:$F$9996,Movimentos!$D$4:$D$9996,B2333,Movimentos!$C$4:$C$9996,"Entrada")-SUMIFS(Movimentos!$F$4:$F$9996,Movimentos!$D$4:$D$9996,B2333,Movimentos!$C$4:$C$9996,"Saída"),""),"")</f>
        <v/>
      </c>
      <c r="F2333" s="10" t="str">
        <f t="shared" si="76"/>
        <v/>
      </c>
    </row>
    <row r="2334" spans="1:6" x14ac:dyDescent="0.3">
      <c r="A2334" s="15" t="str">
        <f t="shared" si="75"/>
        <v>.</v>
      </c>
      <c r="E2334" s="13" t="str">
        <f>IFERROR(IF(AND(B2334&lt;&gt;"",C2334&lt;&gt;""),SUMIFS(Movimentos!$F$4:$F$9996,Movimentos!$D$4:$D$9996,B2334,Movimentos!$C$4:$C$9996,"Entrada")-SUMIFS(Movimentos!$F$4:$F$9996,Movimentos!$D$4:$D$9996,B2334,Movimentos!$C$4:$C$9996,"Saída"),""),"")</f>
        <v/>
      </c>
      <c r="F2334" s="10" t="str">
        <f t="shared" si="76"/>
        <v/>
      </c>
    </row>
    <row r="2335" spans="1:6" x14ac:dyDescent="0.3">
      <c r="A2335" s="15" t="str">
        <f t="shared" si="75"/>
        <v>.</v>
      </c>
      <c r="E2335" s="13" t="str">
        <f>IFERROR(IF(AND(B2335&lt;&gt;"",C2335&lt;&gt;""),SUMIFS(Movimentos!$F$4:$F$9996,Movimentos!$D$4:$D$9996,B2335,Movimentos!$C$4:$C$9996,"Entrada")-SUMIFS(Movimentos!$F$4:$F$9996,Movimentos!$D$4:$D$9996,B2335,Movimentos!$C$4:$C$9996,"Saída"),""),"")</f>
        <v/>
      </c>
      <c r="F2335" s="10" t="str">
        <f t="shared" si="76"/>
        <v/>
      </c>
    </row>
    <row r="2336" spans="1:6" x14ac:dyDescent="0.3">
      <c r="A2336" s="15" t="str">
        <f t="shared" si="75"/>
        <v>.</v>
      </c>
      <c r="E2336" s="13" t="str">
        <f>IFERROR(IF(AND(B2336&lt;&gt;"",C2336&lt;&gt;""),SUMIFS(Movimentos!$F$4:$F$9996,Movimentos!$D$4:$D$9996,B2336,Movimentos!$C$4:$C$9996,"Entrada")-SUMIFS(Movimentos!$F$4:$F$9996,Movimentos!$D$4:$D$9996,B2336,Movimentos!$C$4:$C$9996,"Saída"),""),"")</f>
        <v/>
      </c>
      <c r="F2336" s="10" t="str">
        <f t="shared" si="76"/>
        <v/>
      </c>
    </row>
    <row r="2337" spans="1:6" x14ac:dyDescent="0.3">
      <c r="A2337" s="15" t="str">
        <f t="shared" si="75"/>
        <v>.</v>
      </c>
      <c r="E2337" s="13" t="str">
        <f>IFERROR(IF(AND(B2337&lt;&gt;"",C2337&lt;&gt;""),SUMIFS(Movimentos!$F$4:$F$9996,Movimentos!$D$4:$D$9996,B2337,Movimentos!$C$4:$C$9996,"Entrada")-SUMIFS(Movimentos!$F$4:$F$9996,Movimentos!$D$4:$D$9996,B2337,Movimentos!$C$4:$C$9996,"Saída"),""),"")</f>
        <v/>
      </c>
      <c r="F2337" s="10" t="str">
        <f t="shared" si="76"/>
        <v/>
      </c>
    </row>
    <row r="2338" spans="1:6" x14ac:dyDescent="0.3">
      <c r="A2338" s="15" t="str">
        <f t="shared" si="75"/>
        <v>.</v>
      </c>
      <c r="E2338" s="13" t="str">
        <f>IFERROR(IF(AND(B2338&lt;&gt;"",C2338&lt;&gt;""),SUMIFS(Movimentos!$F$4:$F$9996,Movimentos!$D$4:$D$9996,B2338,Movimentos!$C$4:$C$9996,"Entrada")-SUMIFS(Movimentos!$F$4:$F$9996,Movimentos!$D$4:$D$9996,B2338,Movimentos!$C$4:$C$9996,"Saída"),""),"")</f>
        <v/>
      </c>
      <c r="F2338" s="10" t="str">
        <f t="shared" si="76"/>
        <v/>
      </c>
    </row>
    <row r="2339" spans="1:6" x14ac:dyDescent="0.3">
      <c r="A2339" s="15" t="str">
        <f t="shared" si="75"/>
        <v>.</v>
      </c>
      <c r="E2339" s="13" t="str">
        <f>IFERROR(IF(AND(B2339&lt;&gt;"",C2339&lt;&gt;""),SUMIFS(Movimentos!$F$4:$F$9996,Movimentos!$D$4:$D$9996,B2339,Movimentos!$C$4:$C$9996,"Entrada")-SUMIFS(Movimentos!$F$4:$F$9996,Movimentos!$D$4:$D$9996,B2339,Movimentos!$C$4:$C$9996,"Saída"),""),"")</f>
        <v/>
      </c>
      <c r="F2339" s="10" t="str">
        <f t="shared" si="76"/>
        <v/>
      </c>
    </row>
    <row r="2340" spans="1:6" x14ac:dyDescent="0.3">
      <c r="A2340" s="15" t="str">
        <f t="shared" si="75"/>
        <v>.</v>
      </c>
      <c r="E2340" s="13" t="str">
        <f>IFERROR(IF(AND(B2340&lt;&gt;"",C2340&lt;&gt;""),SUMIFS(Movimentos!$F$4:$F$9996,Movimentos!$D$4:$D$9996,B2340,Movimentos!$C$4:$C$9996,"Entrada")-SUMIFS(Movimentos!$F$4:$F$9996,Movimentos!$D$4:$D$9996,B2340,Movimentos!$C$4:$C$9996,"Saída"),""),"")</f>
        <v/>
      </c>
      <c r="F2340" s="10" t="str">
        <f t="shared" si="76"/>
        <v/>
      </c>
    </row>
    <row r="2341" spans="1:6" x14ac:dyDescent="0.3">
      <c r="A2341" s="15" t="str">
        <f t="shared" si="75"/>
        <v>.</v>
      </c>
      <c r="E2341" s="13" t="str">
        <f>IFERROR(IF(AND(B2341&lt;&gt;"",C2341&lt;&gt;""),SUMIFS(Movimentos!$F$4:$F$9996,Movimentos!$D$4:$D$9996,B2341,Movimentos!$C$4:$C$9996,"Entrada")-SUMIFS(Movimentos!$F$4:$F$9996,Movimentos!$D$4:$D$9996,B2341,Movimentos!$C$4:$C$9996,"Saída"),""),"")</f>
        <v/>
      </c>
      <c r="F2341" s="10" t="str">
        <f t="shared" si="76"/>
        <v/>
      </c>
    </row>
    <row r="2342" spans="1:6" x14ac:dyDescent="0.3">
      <c r="A2342" s="15" t="str">
        <f t="shared" si="75"/>
        <v>.</v>
      </c>
      <c r="E2342" s="13" t="str">
        <f>IFERROR(IF(AND(B2342&lt;&gt;"",C2342&lt;&gt;""),SUMIFS(Movimentos!$F$4:$F$9996,Movimentos!$D$4:$D$9996,B2342,Movimentos!$C$4:$C$9996,"Entrada")-SUMIFS(Movimentos!$F$4:$F$9996,Movimentos!$D$4:$D$9996,B2342,Movimentos!$C$4:$C$9996,"Saída"),""),"")</f>
        <v/>
      </c>
      <c r="F2342" s="10" t="str">
        <f t="shared" si="76"/>
        <v/>
      </c>
    </row>
    <row r="2343" spans="1:6" x14ac:dyDescent="0.3">
      <c r="A2343" s="15" t="str">
        <f t="shared" si="75"/>
        <v>.</v>
      </c>
      <c r="E2343" s="13" t="str">
        <f>IFERROR(IF(AND(B2343&lt;&gt;"",C2343&lt;&gt;""),SUMIFS(Movimentos!$F$4:$F$9996,Movimentos!$D$4:$D$9996,B2343,Movimentos!$C$4:$C$9996,"Entrada")-SUMIFS(Movimentos!$F$4:$F$9996,Movimentos!$D$4:$D$9996,B2343,Movimentos!$C$4:$C$9996,"Saída"),""),"")</f>
        <v/>
      </c>
      <c r="F2343" s="10" t="str">
        <f t="shared" si="76"/>
        <v/>
      </c>
    </row>
    <row r="2344" spans="1:6" x14ac:dyDescent="0.3">
      <c r="A2344" s="15" t="str">
        <f t="shared" si="75"/>
        <v>.</v>
      </c>
      <c r="E2344" s="13" t="str">
        <f>IFERROR(IF(AND(B2344&lt;&gt;"",C2344&lt;&gt;""),SUMIFS(Movimentos!$F$4:$F$9996,Movimentos!$D$4:$D$9996,B2344,Movimentos!$C$4:$C$9996,"Entrada")-SUMIFS(Movimentos!$F$4:$F$9996,Movimentos!$D$4:$D$9996,B2344,Movimentos!$C$4:$C$9996,"Saída"),""),"")</f>
        <v/>
      </c>
      <c r="F2344" s="10" t="str">
        <f t="shared" si="76"/>
        <v/>
      </c>
    </row>
    <row r="2345" spans="1:6" x14ac:dyDescent="0.3">
      <c r="A2345" s="15" t="str">
        <f t="shared" si="75"/>
        <v>.</v>
      </c>
      <c r="E2345" s="13" t="str">
        <f>IFERROR(IF(AND(B2345&lt;&gt;"",C2345&lt;&gt;""),SUMIFS(Movimentos!$F$4:$F$9996,Movimentos!$D$4:$D$9996,B2345,Movimentos!$C$4:$C$9996,"Entrada")-SUMIFS(Movimentos!$F$4:$F$9996,Movimentos!$D$4:$D$9996,B2345,Movimentos!$C$4:$C$9996,"Saída"),""),"")</f>
        <v/>
      </c>
      <c r="F2345" s="10" t="str">
        <f t="shared" si="76"/>
        <v/>
      </c>
    </row>
    <row r="2346" spans="1:6" x14ac:dyDescent="0.3">
      <c r="A2346" s="15" t="str">
        <f t="shared" si="75"/>
        <v>.</v>
      </c>
      <c r="E2346" s="13" t="str">
        <f>IFERROR(IF(AND(B2346&lt;&gt;"",C2346&lt;&gt;""),SUMIFS(Movimentos!$F$4:$F$9996,Movimentos!$D$4:$D$9996,B2346,Movimentos!$C$4:$C$9996,"Entrada")-SUMIFS(Movimentos!$F$4:$F$9996,Movimentos!$D$4:$D$9996,B2346,Movimentos!$C$4:$C$9996,"Saída"),""),"")</f>
        <v/>
      </c>
      <c r="F2346" s="10" t="str">
        <f t="shared" si="76"/>
        <v/>
      </c>
    </row>
    <row r="2347" spans="1:6" x14ac:dyDescent="0.3">
      <c r="A2347" s="15" t="str">
        <f t="shared" si="75"/>
        <v>.</v>
      </c>
      <c r="E2347" s="13" t="str">
        <f>IFERROR(IF(AND(B2347&lt;&gt;"",C2347&lt;&gt;""),SUMIFS(Movimentos!$F$4:$F$9996,Movimentos!$D$4:$D$9996,B2347,Movimentos!$C$4:$C$9996,"Entrada")-SUMIFS(Movimentos!$F$4:$F$9996,Movimentos!$D$4:$D$9996,B2347,Movimentos!$C$4:$C$9996,"Saída"),""),"")</f>
        <v/>
      </c>
      <c r="F2347" s="10" t="str">
        <f t="shared" si="76"/>
        <v/>
      </c>
    </row>
    <row r="2348" spans="1:6" x14ac:dyDescent="0.3">
      <c r="A2348" s="15" t="str">
        <f t="shared" si="75"/>
        <v>.</v>
      </c>
      <c r="E2348" s="13" t="str">
        <f>IFERROR(IF(AND(B2348&lt;&gt;"",C2348&lt;&gt;""),SUMIFS(Movimentos!$F$4:$F$9996,Movimentos!$D$4:$D$9996,B2348,Movimentos!$C$4:$C$9996,"Entrada")-SUMIFS(Movimentos!$F$4:$F$9996,Movimentos!$D$4:$D$9996,B2348,Movimentos!$C$4:$C$9996,"Saída"),""),"")</f>
        <v/>
      </c>
      <c r="F2348" s="10" t="str">
        <f t="shared" si="76"/>
        <v/>
      </c>
    </row>
    <row r="2349" spans="1:6" x14ac:dyDescent="0.3">
      <c r="A2349" s="15" t="str">
        <f t="shared" si="75"/>
        <v>.</v>
      </c>
      <c r="E2349" s="13" t="str">
        <f>IFERROR(IF(AND(B2349&lt;&gt;"",C2349&lt;&gt;""),SUMIFS(Movimentos!$F$4:$F$9996,Movimentos!$D$4:$D$9996,B2349,Movimentos!$C$4:$C$9996,"Entrada")-SUMIFS(Movimentos!$F$4:$F$9996,Movimentos!$D$4:$D$9996,B2349,Movimentos!$C$4:$C$9996,"Saída"),""),"")</f>
        <v/>
      </c>
      <c r="F2349" s="10" t="str">
        <f t="shared" si="76"/>
        <v/>
      </c>
    </row>
    <row r="2350" spans="1:6" x14ac:dyDescent="0.3">
      <c r="A2350" s="15" t="str">
        <f t="shared" si="75"/>
        <v>.</v>
      </c>
      <c r="E2350" s="13" t="str">
        <f>IFERROR(IF(AND(B2350&lt;&gt;"",C2350&lt;&gt;""),SUMIFS(Movimentos!$F$4:$F$9996,Movimentos!$D$4:$D$9996,B2350,Movimentos!$C$4:$C$9996,"Entrada")-SUMIFS(Movimentos!$F$4:$F$9996,Movimentos!$D$4:$D$9996,B2350,Movimentos!$C$4:$C$9996,"Saída"),""),"")</f>
        <v/>
      </c>
      <c r="F2350" s="10" t="str">
        <f t="shared" si="76"/>
        <v/>
      </c>
    </row>
    <row r="2351" spans="1:6" x14ac:dyDescent="0.3">
      <c r="A2351" s="15" t="str">
        <f t="shared" si="75"/>
        <v>.</v>
      </c>
      <c r="E2351" s="13" t="str">
        <f>IFERROR(IF(AND(B2351&lt;&gt;"",C2351&lt;&gt;""),SUMIFS(Movimentos!$F$4:$F$9996,Movimentos!$D$4:$D$9996,B2351,Movimentos!$C$4:$C$9996,"Entrada")-SUMIFS(Movimentos!$F$4:$F$9996,Movimentos!$D$4:$D$9996,B2351,Movimentos!$C$4:$C$9996,"Saída"),""),"")</f>
        <v/>
      </c>
      <c r="F2351" s="10" t="str">
        <f t="shared" si="76"/>
        <v/>
      </c>
    </row>
    <row r="2352" spans="1:6" x14ac:dyDescent="0.3">
      <c r="A2352" s="15" t="str">
        <f t="shared" si="75"/>
        <v>.</v>
      </c>
      <c r="E2352" s="13" t="str">
        <f>IFERROR(IF(AND(B2352&lt;&gt;"",C2352&lt;&gt;""),SUMIFS(Movimentos!$F$4:$F$9996,Movimentos!$D$4:$D$9996,B2352,Movimentos!$C$4:$C$9996,"Entrada")-SUMIFS(Movimentos!$F$4:$F$9996,Movimentos!$D$4:$D$9996,B2352,Movimentos!$C$4:$C$9996,"Saída"),""),"")</f>
        <v/>
      </c>
      <c r="F2352" s="10" t="str">
        <f t="shared" si="76"/>
        <v/>
      </c>
    </row>
    <row r="2353" spans="1:6" x14ac:dyDescent="0.3">
      <c r="A2353" s="15" t="str">
        <f t="shared" si="75"/>
        <v>.</v>
      </c>
      <c r="E2353" s="13" t="str">
        <f>IFERROR(IF(AND(B2353&lt;&gt;"",C2353&lt;&gt;""),SUMIFS(Movimentos!$F$4:$F$9996,Movimentos!$D$4:$D$9996,B2353,Movimentos!$C$4:$C$9996,"Entrada")-SUMIFS(Movimentos!$F$4:$F$9996,Movimentos!$D$4:$D$9996,B2353,Movimentos!$C$4:$C$9996,"Saída"),""),"")</f>
        <v/>
      </c>
      <c r="F2353" s="10" t="str">
        <f t="shared" si="76"/>
        <v/>
      </c>
    </row>
    <row r="2354" spans="1:6" x14ac:dyDescent="0.3">
      <c r="A2354" s="15" t="str">
        <f t="shared" si="75"/>
        <v>.</v>
      </c>
      <c r="E2354" s="13" t="str">
        <f>IFERROR(IF(AND(B2354&lt;&gt;"",C2354&lt;&gt;""),SUMIFS(Movimentos!$F$4:$F$9996,Movimentos!$D$4:$D$9996,B2354,Movimentos!$C$4:$C$9996,"Entrada")-SUMIFS(Movimentos!$F$4:$F$9996,Movimentos!$D$4:$D$9996,B2354,Movimentos!$C$4:$C$9996,"Saída"),""),"")</f>
        <v/>
      </c>
      <c r="F2354" s="10" t="str">
        <f t="shared" si="76"/>
        <v/>
      </c>
    </row>
    <row r="2355" spans="1:6" x14ac:dyDescent="0.3">
      <c r="A2355" s="15" t="str">
        <f t="shared" si="75"/>
        <v>.</v>
      </c>
      <c r="E2355" s="13" t="str">
        <f>IFERROR(IF(AND(B2355&lt;&gt;"",C2355&lt;&gt;""),SUMIFS(Movimentos!$F$4:$F$9996,Movimentos!$D$4:$D$9996,B2355,Movimentos!$C$4:$C$9996,"Entrada")-SUMIFS(Movimentos!$F$4:$F$9996,Movimentos!$D$4:$D$9996,B2355,Movimentos!$C$4:$C$9996,"Saída"),""),"")</f>
        <v/>
      </c>
      <c r="F2355" s="10" t="str">
        <f t="shared" si="76"/>
        <v/>
      </c>
    </row>
    <row r="2356" spans="1:6" x14ac:dyDescent="0.3">
      <c r="A2356" s="15" t="str">
        <f t="shared" si="75"/>
        <v>.</v>
      </c>
      <c r="E2356" s="13" t="str">
        <f>IFERROR(IF(AND(B2356&lt;&gt;"",C2356&lt;&gt;""),SUMIFS(Movimentos!$F$4:$F$9996,Movimentos!$D$4:$D$9996,B2356,Movimentos!$C$4:$C$9996,"Entrada")-SUMIFS(Movimentos!$F$4:$F$9996,Movimentos!$D$4:$D$9996,B2356,Movimentos!$C$4:$C$9996,"Saída"),""),"")</f>
        <v/>
      </c>
      <c r="F2356" s="10" t="str">
        <f t="shared" si="76"/>
        <v/>
      </c>
    </row>
    <row r="2357" spans="1:6" x14ac:dyDescent="0.3">
      <c r="A2357" s="15" t="str">
        <f t="shared" si="75"/>
        <v>.</v>
      </c>
      <c r="E2357" s="13" t="str">
        <f>IFERROR(IF(AND(B2357&lt;&gt;"",C2357&lt;&gt;""),SUMIFS(Movimentos!$F$4:$F$9996,Movimentos!$D$4:$D$9996,B2357,Movimentos!$C$4:$C$9996,"Entrada")-SUMIFS(Movimentos!$F$4:$F$9996,Movimentos!$D$4:$D$9996,B2357,Movimentos!$C$4:$C$9996,"Saída"),""),"")</f>
        <v/>
      </c>
      <c r="F2357" s="10" t="str">
        <f t="shared" si="76"/>
        <v/>
      </c>
    </row>
    <row r="2358" spans="1:6" x14ac:dyDescent="0.3">
      <c r="A2358" s="15" t="str">
        <f t="shared" si="75"/>
        <v>.</v>
      </c>
      <c r="E2358" s="13" t="str">
        <f>IFERROR(IF(AND(B2358&lt;&gt;"",C2358&lt;&gt;""),SUMIFS(Movimentos!$F$4:$F$9996,Movimentos!$D$4:$D$9996,B2358,Movimentos!$C$4:$C$9996,"Entrada")-SUMIFS(Movimentos!$F$4:$F$9996,Movimentos!$D$4:$D$9996,B2358,Movimentos!$C$4:$C$9996,"Saída"),""),"")</f>
        <v/>
      </c>
      <c r="F2358" s="10" t="str">
        <f t="shared" si="76"/>
        <v/>
      </c>
    </row>
    <row r="2359" spans="1:6" x14ac:dyDescent="0.3">
      <c r="A2359" s="15" t="str">
        <f t="shared" si="75"/>
        <v>.</v>
      </c>
      <c r="E2359" s="13" t="str">
        <f>IFERROR(IF(AND(B2359&lt;&gt;"",C2359&lt;&gt;""),SUMIFS(Movimentos!$F$4:$F$9996,Movimentos!$D$4:$D$9996,B2359,Movimentos!$C$4:$C$9996,"Entrada")-SUMIFS(Movimentos!$F$4:$F$9996,Movimentos!$D$4:$D$9996,B2359,Movimentos!$C$4:$C$9996,"Saída"),""),"")</f>
        <v/>
      </c>
      <c r="F2359" s="10" t="str">
        <f t="shared" si="76"/>
        <v/>
      </c>
    </row>
    <row r="2360" spans="1:6" x14ac:dyDescent="0.3">
      <c r="A2360" s="15" t="str">
        <f t="shared" si="75"/>
        <v>.</v>
      </c>
      <c r="E2360" s="13" t="str">
        <f>IFERROR(IF(AND(B2360&lt;&gt;"",C2360&lt;&gt;""),SUMIFS(Movimentos!$F$4:$F$9996,Movimentos!$D$4:$D$9996,B2360,Movimentos!$C$4:$C$9996,"Entrada")-SUMIFS(Movimentos!$F$4:$F$9996,Movimentos!$D$4:$D$9996,B2360,Movimentos!$C$4:$C$9996,"Saída"),""),"")</f>
        <v/>
      </c>
      <c r="F2360" s="10" t="str">
        <f t="shared" si="76"/>
        <v/>
      </c>
    </row>
    <row r="2361" spans="1:6" x14ac:dyDescent="0.3">
      <c r="A2361" s="15" t="str">
        <f t="shared" si="75"/>
        <v>.</v>
      </c>
      <c r="E2361" s="13" t="str">
        <f>IFERROR(IF(AND(B2361&lt;&gt;"",C2361&lt;&gt;""),SUMIFS(Movimentos!$F$4:$F$9996,Movimentos!$D$4:$D$9996,B2361,Movimentos!$C$4:$C$9996,"Entrada")-SUMIFS(Movimentos!$F$4:$F$9996,Movimentos!$D$4:$D$9996,B2361,Movimentos!$C$4:$C$9996,"Saída"),""),"")</f>
        <v/>
      </c>
      <c r="F2361" s="10" t="str">
        <f t="shared" si="76"/>
        <v/>
      </c>
    </row>
    <row r="2362" spans="1:6" x14ac:dyDescent="0.3">
      <c r="A2362" s="15" t="str">
        <f t="shared" si="75"/>
        <v>.</v>
      </c>
      <c r="E2362" s="13" t="str">
        <f>IFERROR(IF(AND(B2362&lt;&gt;"",C2362&lt;&gt;""),SUMIFS(Movimentos!$F$4:$F$9996,Movimentos!$D$4:$D$9996,B2362,Movimentos!$C$4:$C$9996,"Entrada")-SUMIFS(Movimentos!$F$4:$F$9996,Movimentos!$D$4:$D$9996,B2362,Movimentos!$C$4:$C$9996,"Saída"),""),"")</f>
        <v/>
      </c>
      <c r="F2362" s="10" t="str">
        <f t="shared" si="76"/>
        <v/>
      </c>
    </row>
    <row r="2363" spans="1:6" x14ac:dyDescent="0.3">
      <c r="A2363" s="15" t="str">
        <f t="shared" si="75"/>
        <v>.</v>
      </c>
      <c r="E2363" s="13" t="str">
        <f>IFERROR(IF(AND(B2363&lt;&gt;"",C2363&lt;&gt;""),SUMIFS(Movimentos!$F$4:$F$9996,Movimentos!$D$4:$D$9996,B2363,Movimentos!$C$4:$C$9996,"Entrada")-SUMIFS(Movimentos!$F$4:$F$9996,Movimentos!$D$4:$D$9996,B2363,Movimentos!$C$4:$C$9996,"Saída"),""),"")</f>
        <v/>
      </c>
      <c r="F2363" s="10" t="str">
        <f t="shared" si="76"/>
        <v/>
      </c>
    </row>
    <row r="2364" spans="1:6" x14ac:dyDescent="0.3">
      <c r="A2364" s="15" t="str">
        <f t="shared" si="75"/>
        <v>.</v>
      </c>
      <c r="E2364" s="13" t="str">
        <f>IFERROR(IF(AND(B2364&lt;&gt;"",C2364&lt;&gt;""),SUMIFS(Movimentos!$F$4:$F$9996,Movimentos!$D$4:$D$9996,B2364,Movimentos!$C$4:$C$9996,"Entrada")-SUMIFS(Movimentos!$F$4:$F$9996,Movimentos!$D$4:$D$9996,B2364,Movimentos!$C$4:$C$9996,"Saída"),""),"")</f>
        <v/>
      </c>
      <c r="F2364" s="10" t="str">
        <f t="shared" si="76"/>
        <v/>
      </c>
    </row>
    <row r="2365" spans="1:6" x14ac:dyDescent="0.3">
      <c r="A2365" s="15" t="str">
        <f t="shared" si="75"/>
        <v>.</v>
      </c>
      <c r="E2365" s="13" t="str">
        <f>IFERROR(IF(AND(B2365&lt;&gt;"",C2365&lt;&gt;""),SUMIFS(Movimentos!$F$4:$F$9996,Movimentos!$D$4:$D$9996,B2365,Movimentos!$C$4:$C$9996,"Entrada")-SUMIFS(Movimentos!$F$4:$F$9996,Movimentos!$D$4:$D$9996,B2365,Movimentos!$C$4:$C$9996,"Saída"),""),"")</f>
        <v/>
      </c>
      <c r="F2365" s="10" t="str">
        <f t="shared" si="76"/>
        <v/>
      </c>
    </row>
    <row r="2366" spans="1:6" x14ac:dyDescent="0.3">
      <c r="A2366" s="15" t="str">
        <f t="shared" si="75"/>
        <v>.</v>
      </c>
      <c r="E2366" s="13" t="str">
        <f>IFERROR(IF(AND(B2366&lt;&gt;"",C2366&lt;&gt;""),SUMIFS(Movimentos!$F$4:$F$9996,Movimentos!$D$4:$D$9996,B2366,Movimentos!$C$4:$C$9996,"Entrada")-SUMIFS(Movimentos!$F$4:$F$9996,Movimentos!$D$4:$D$9996,B2366,Movimentos!$C$4:$C$9996,"Saída"),""),"")</f>
        <v/>
      </c>
      <c r="F2366" s="10" t="str">
        <f t="shared" si="76"/>
        <v/>
      </c>
    </row>
    <row r="2367" spans="1:6" x14ac:dyDescent="0.3">
      <c r="A2367" s="15" t="str">
        <f t="shared" si="75"/>
        <v>.</v>
      </c>
      <c r="E2367" s="13" t="str">
        <f>IFERROR(IF(AND(B2367&lt;&gt;"",C2367&lt;&gt;""),SUMIFS(Movimentos!$F$4:$F$9996,Movimentos!$D$4:$D$9996,B2367,Movimentos!$C$4:$C$9996,"Entrada")-SUMIFS(Movimentos!$F$4:$F$9996,Movimentos!$D$4:$D$9996,B2367,Movimentos!$C$4:$C$9996,"Saída"),""),"")</f>
        <v/>
      </c>
      <c r="F2367" s="10" t="str">
        <f t="shared" si="76"/>
        <v/>
      </c>
    </row>
    <row r="2368" spans="1:6" x14ac:dyDescent="0.3">
      <c r="A2368" s="15" t="str">
        <f t="shared" ref="A2368:A2431" si="77">IF(F2368="Saldo zerado",0,IF(F2368="Saldo abaixo do mínimo",1,IF(F2368="Saldo disponível",2,".")))</f>
        <v>.</v>
      </c>
      <c r="E2368" s="13" t="str">
        <f>IFERROR(IF(AND(B2368&lt;&gt;"",C2368&lt;&gt;""),SUMIFS(Movimentos!$F$4:$F$9996,Movimentos!$D$4:$D$9996,B2368,Movimentos!$C$4:$C$9996,"Entrada")-SUMIFS(Movimentos!$F$4:$F$9996,Movimentos!$D$4:$D$9996,B2368,Movimentos!$C$4:$C$9996,"Saída"),""),"")</f>
        <v/>
      </c>
      <c r="F2368" s="10" t="str">
        <f t="shared" si="76"/>
        <v/>
      </c>
    </row>
    <row r="2369" spans="1:6" x14ac:dyDescent="0.3">
      <c r="A2369" s="15" t="str">
        <f t="shared" si="77"/>
        <v>.</v>
      </c>
      <c r="E2369" s="13" t="str">
        <f>IFERROR(IF(AND(B2369&lt;&gt;"",C2369&lt;&gt;""),SUMIFS(Movimentos!$F$4:$F$9996,Movimentos!$D$4:$D$9996,B2369,Movimentos!$C$4:$C$9996,"Entrada")-SUMIFS(Movimentos!$F$4:$F$9996,Movimentos!$D$4:$D$9996,B2369,Movimentos!$C$4:$C$9996,"Saída"),""),"")</f>
        <v/>
      </c>
      <c r="F2369" s="10" t="str">
        <f t="shared" si="76"/>
        <v/>
      </c>
    </row>
    <row r="2370" spans="1:6" x14ac:dyDescent="0.3">
      <c r="A2370" s="15" t="str">
        <f t="shared" si="77"/>
        <v>.</v>
      </c>
      <c r="E2370" s="13" t="str">
        <f>IFERROR(IF(AND(B2370&lt;&gt;"",C2370&lt;&gt;""),SUMIFS(Movimentos!$F$4:$F$9996,Movimentos!$D$4:$D$9996,B2370,Movimentos!$C$4:$C$9996,"Entrada")-SUMIFS(Movimentos!$F$4:$F$9996,Movimentos!$D$4:$D$9996,B2370,Movimentos!$C$4:$C$9996,"Saída"),""),"")</f>
        <v/>
      </c>
      <c r="F2370" s="10" t="str">
        <f t="shared" si="76"/>
        <v/>
      </c>
    </row>
    <row r="2371" spans="1:6" x14ac:dyDescent="0.3">
      <c r="A2371" s="15" t="str">
        <f t="shared" si="77"/>
        <v>.</v>
      </c>
      <c r="E2371" s="13" t="str">
        <f>IFERROR(IF(AND(B2371&lt;&gt;"",C2371&lt;&gt;""),SUMIFS(Movimentos!$F$4:$F$9996,Movimentos!$D$4:$D$9996,B2371,Movimentos!$C$4:$C$9996,"Entrada")-SUMIFS(Movimentos!$F$4:$F$9996,Movimentos!$D$4:$D$9996,B2371,Movimentos!$C$4:$C$9996,"Saída"),""),"")</f>
        <v/>
      </c>
      <c r="F2371" s="10" t="str">
        <f t="shared" si="76"/>
        <v/>
      </c>
    </row>
    <row r="2372" spans="1:6" x14ac:dyDescent="0.3">
      <c r="A2372" s="15" t="str">
        <f t="shared" si="77"/>
        <v>.</v>
      </c>
      <c r="E2372" s="13" t="str">
        <f>IFERROR(IF(AND(B2372&lt;&gt;"",C2372&lt;&gt;""),SUMIFS(Movimentos!$F$4:$F$9996,Movimentos!$D$4:$D$9996,B2372,Movimentos!$C$4:$C$9996,"Entrada")-SUMIFS(Movimentos!$F$4:$F$9996,Movimentos!$D$4:$D$9996,B2372,Movimentos!$C$4:$C$9996,"Saída"),""),"")</f>
        <v/>
      </c>
      <c r="F2372" s="10" t="str">
        <f t="shared" si="76"/>
        <v/>
      </c>
    </row>
    <row r="2373" spans="1:6" x14ac:dyDescent="0.3">
      <c r="A2373" s="15" t="str">
        <f t="shared" si="77"/>
        <v>.</v>
      </c>
      <c r="E2373" s="13" t="str">
        <f>IFERROR(IF(AND(B2373&lt;&gt;"",C2373&lt;&gt;""),SUMIFS(Movimentos!$F$4:$F$9996,Movimentos!$D$4:$D$9996,B2373,Movimentos!$C$4:$C$9996,"Entrada")-SUMIFS(Movimentos!$F$4:$F$9996,Movimentos!$D$4:$D$9996,B2373,Movimentos!$C$4:$C$9996,"Saída"),""),"")</f>
        <v/>
      </c>
      <c r="F2373" s="10" t="str">
        <f t="shared" si="76"/>
        <v/>
      </c>
    </row>
    <row r="2374" spans="1:6" x14ac:dyDescent="0.3">
      <c r="A2374" s="15" t="str">
        <f t="shared" si="77"/>
        <v>.</v>
      </c>
      <c r="E2374" s="13" t="str">
        <f>IFERROR(IF(AND(B2374&lt;&gt;"",C2374&lt;&gt;""),SUMIFS(Movimentos!$F$4:$F$9996,Movimentos!$D$4:$D$9996,B2374,Movimentos!$C$4:$C$9996,"Entrada")-SUMIFS(Movimentos!$F$4:$F$9996,Movimentos!$D$4:$D$9996,B2374,Movimentos!$C$4:$C$9996,"Saída"),""),"")</f>
        <v/>
      </c>
      <c r="F2374" s="10" t="str">
        <f t="shared" si="76"/>
        <v/>
      </c>
    </row>
    <row r="2375" spans="1:6" x14ac:dyDescent="0.3">
      <c r="A2375" s="15" t="str">
        <f t="shared" si="77"/>
        <v>.</v>
      </c>
      <c r="E2375" s="13" t="str">
        <f>IFERROR(IF(AND(B2375&lt;&gt;"",C2375&lt;&gt;""),SUMIFS(Movimentos!$F$4:$F$9996,Movimentos!$D$4:$D$9996,B2375,Movimentos!$C$4:$C$9996,"Entrada")-SUMIFS(Movimentos!$F$4:$F$9996,Movimentos!$D$4:$D$9996,B2375,Movimentos!$C$4:$C$9996,"Saída"),""),"")</f>
        <v/>
      </c>
      <c r="F2375" s="10" t="str">
        <f t="shared" si="76"/>
        <v/>
      </c>
    </row>
    <row r="2376" spans="1:6" x14ac:dyDescent="0.3">
      <c r="A2376" s="15" t="str">
        <f t="shared" si="77"/>
        <v>.</v>
      </c>
      <c r="E2376" s="13" t="str">
        <f>IFERROR(IF(AND(B2376&lt;&gt;"",C2376&lt;&gt;""),SUMIFS(Movimentos!$F$4:$F$9996,Movimentos!$D$4:$D$9996,B2376,Movimentos!$C$4:$C$9996,"Entrada")-SUMIFS(Movimentos!$F$4:$F$9996,Movimentos!$D$4:$D$9996,B2376,Movimentos!$C$4:$C$9996,"Saída"),""),"")</f>
        <v/>
      </c>
      <c r="F2376" s="10" t="str">
        <f t="shared" si="76"/>
        <v/>
      </c>
    </row>
    <row r="2377" spans="1:6" x14ac:dyDescent="0.3">
      <c r="A2377" s="15" t="str">
        <f t="shared" si="77"/>
        <v>.</v>
      </c>
      <c r="E2377" s="13" t="str">
        <f>IFERROR(IF(AND(B2377&lt;&gt;"",C2377&lt;&gt;""),SUMIFS(Movimentos!$F$4:$F$9996,Movimentos!$D$4:$D$9996,B2377,Movimentos!$C$4:$C$9996,"Entrada")-SUMIFS(Movimentos!$F$4:$F$9996,Movimentos!$D$4:$D$9996,B2377,Movimentos!$C$4:$C$9996,"Saída"),""),"")</f>
        <v/>
      </c>
      <c r="F2377" s="10" t="str">
        <f t="shared" si="76"/>
        <v/>
      </c>
    </row>
    <row r="2378" spans="1:6" x14ac:dyDescent="0.3">
      <c r="A2378" s="15" t="str">
        <f t="shared" si="77"/>
        <v>.</v>
      </c>
      <c r="E2378" s="13" t="str">
        <f>IFERROR(IF(AND(B2378&lt;&gt;"",C2378&lt;&gt;""),SUMIFS(Movimentos!$F$4:$F$9996,Movimentos!$D$4:$D$9996,B2378,Movimentos!$C$4:$C$9996,"Entrada")-SUMIFS(Movimentos!$F$4:$F$9996,Movimentos!$D$4:$D$9996,B2378,Movimentos!$C$4:$C$9996,"Saída"),""),"")</f>
        <v/>
      </c>
      <c r="F2378" s="10" t="str">
        <f t="shared" si="76"/>
        <v/>
      </c>
    </row>
    <row r="2379" spans="1:6" x14ac:dyDescent="0.3">
      <c r="A2379" s="15" t="str">
        <f t="shared" si="77"/>
        <v>.</v>
      </c>
      <c r="E2379" s="13" t="str">
        <f>IFERROR(IF(AND(B2379&lt;&gt;"",C2379&lt;&gt;""),SUMIFS(Movimentos!$F$4:$F$9996,Movimentos!$D$4:$D$9996,B2379,Movimentos!$C$4:$C$9996,"Entrada")-SUMIFS(Movimentos!$F$4:$F$9996,Movimentos!$D$4:$D$9996,B2379,Movimentos!$C$4:$C$9996,"Saída"),""),"")</f>
        <v/>
      </c>
      <c r="F2379" s="10" t="str">
        <f t="shared" si="76"/>
        <v/>
      </c>
    </row>
    <row r="2380" spans="1:6" x14ac:dyDescent="0.3">
      <c r="A2380" s="15" t="str">
        <f t="shared" si="77"/>
        <v>.</v>
      </c>
      <c r="E2380" s="13" t="str">
        <f>IFERROR(IF(AND(B2380&lt;&gt;"",C2380&lt;&gt;""),SUMIFS(Movimentos!$F$4:$F$9996,Movimentos!$D$4:$D$9996,B2380,Movimentos!$C$4:$C$9996,"Entrada")-SUMIFS(Movimentos!$F$4:$F$9996,Movimentos!$D$4:$D$9996,B2380,Movimentos!$C$4:$C$9996,"Saída"),""),"")</f>
        <v/>
      </c>
      <c r="F2380" s="10" t="str">
        <f t="shared" si="76"/>
        <v/>
      </c>
    </row>
    <row r="2381" spans="1:6" x14ac:dyDescent="0.3">
      <c r="A2381" s="15" t="str">
        <f t="shared" si="77"/>
        <v>.</v>
      </c>
      <c r="E2381" s="13" t="str">
        <f>IFERROR(IF(AND(B2381&lt;&gt;"",C2381&lt;&gt;""),SUMIFS(Movimentos!$F$4:$F$9996,Movimentos!$D$4:$D$9996,B2381,Movimentos!$C$4:$C$9996,"Entrada")-SUMIFS(Movimentos!$F$4:$F$9996,Movimentos!$D$4:$D$9996,B2381,Movimentos!$C$4:$C$9996,"Saída"),""),"")</f>
        <v/>
      </c>
      <c r="F2381" s="10" t="str">
        <f t="shared" si="76"/>
        <v/>
      </c>
    </row>
    <row r="2382" spans="1:6" x14ac:dyDescent="0.3">
      <c r="A2382" s="15" t="str">
        <f t="shared" si="77"/>
        <v>.</v>
      </c>
      <c r="E2382" s="13" t="str">
        <f>IFERROR(IF(AND(B2382&lt;&gt;"",C2382&lt;&gt;""),SUMIFS(Movimentos!$F$4:$F$9996,Movimentos!$D$4:$D$9996,B2382,Movimentos!$C$4:$C$9996,"Entrada")-SUMIFS(Movimentos!$F$4:$F$9996,Movimentos!$D$4:$D$9996,B2382,Movimentos!$C$4:$C$9996,"Saída"),""),"")</f>
        <v/>
      </c>
      <c r="F2382" s="10" t="str">
        <f t="shared" si="76"/>
        <v/>
      </c>
    </row>
    <row r="2383" spans="1:6" x14ac:dyDescent="0.3">
      <c r="A2383" s="15" t="str">
        <f t="shared" si="77"/>
        <v>.</v>
      </c>
      <c r="E2383" s="13" t="str">
        <f>IFERROR(IF(AND(B2383&lt;&gt;"",C2383&lt;&gt;""),SUMIFS(Movimentos!$F$4:$F$9996,Movimentos!$D$4:$D$9996,B2383,Movimentos!$C$4:$C$9996,"Entrada")-SUMIFS(Movimentos!$F$4:$F$9996,Movimentos!$D$4:$D$9996,B2383,Movimentos!$C$4:$C$9996,"Saída"),""),"")</f>
        <v/>
      </c>
      <c r="F2383" s="10" t="str">
        <f t="shared" si="76"/>
        <v/>
      </c>
    </row>
    <row r="2384" spans="1:6" x14ac:dyDescent="0.3">
      <c r="A2384" s="15" t="str">
        <f t="shared" si="77"/>
        <v>.</v>
      </c>
      <c r="E2384" s="13" t="str">
        <f>IFERROR(IF(AND(B2384&lt;&gt;"",C2384&lt;&gt;""),SUMIFS(Movimentos!$F$4:$F$9996,Movimentos!$D$4:$D$9996,B2384,Movimentos!$C$4:$C$9996,"Entrada")-SUMIFS(Movimentos!$F$4:$F$9996,Movimentos!$D$4:$D$9996,B2384,Movimentos!$C$4:$C$9996,"Saída"),""),"")</f>
        <v/>
      </c>
      <c r="F2384" s="10" t="str">
        <f t="shared" si="76"/>
        <v/>
      </c>
    </row>
    <row r="2385" spans="1:6" x14ac:dyDescent="0.3">
      <c r="A2385" s="15" t="str">
        <f t="shared" si="77"/>
        <v>.</v>
      </c>
      <c r="E2385" s="13" t="str">
        <f>IFERROR(IF(AND(B2385&lt;&gt;"",C2385&lt;&gt;""),SUMIFS(Movimentos!$F$4:$F$9996,Movimentos!$D$4:$D$9996,B2385,Movimentos!$C$4:$C$9996,"Entrada")-SUMIFS(Movimentos!$F$4:$F$9996,Movimentos!$D$4:$D$9996,B2385,Movimentos!$C$4:$C$9996,"Saída"),""),"")</f>
        <v/>
      </c>
      <c r="F2385" s="10" t="str">
        <f t="shared" si="76"/>
        <v/>
      </c>
    </row>
    <row r="2386" spans="1:6" x14ac:dyDescent="0.3">
      <c r="A2386" s="15" t="str">
        <f t="shared" si="77"/>
        <v>.</v>
      </c>
      <c r="E2386" s="13" t="str">
        <f>IFERROR(IF(AND(B2386&lt;&gt;"",C2386&lt;&gt;""),SUMIFS(Movimentos!$F$4:$F$9996,Movimentos!$D$4:$D$9996,B2386,Movimentos!$C$4:$C$9996,"Entrada")-SUMIFS(Movimentos!$F$4:$F$9996,Movimentos!$D$4:$D$9996,B2386,Movimentos!$C$4:$C$9996,"Saída"),""),"")</f>
        <v/>
      </c>
      <c r="F2386" s="10" t="str">
        <f t="shared" si="76"/>
        <v/>
      </c>
    </row>
    <row r="2387" spans="1:6" x14ac:dyDescent="0.3">
      <c r="A2387" s="15" t="str">
        <f t="shared" si="77"/>
        <v>.</v>
      </c>
      <c r="E2387" s="13" t="str">
        <f>IFERROR(IF(AND(B2387&lt;&gt;"",C2387&lt;&gt;""),SUMIFS(Movimentos!$F$4:$F$9996,Movimentos!$D$4:$D$9996,B2387,Movimentos!$C$4:$C$9996,"Entrada")-SUMIFS(Movimentos!$F$4:$F$9996,Movimentos!$D$4:$D$9996,B2387,Movimentos!$C$4:$C$9996,"Saída"),""),"")</f>
        <v/>
      </c>
      <c r="F2387" s="10" t="str">
        <f t="shared" si="76"/>
        <v/>
      </c>
    </row>
    <row r="2388" spans="1:6" x14ac:dyDescent="0.3">
      <c r="A2388" s="15" t="str">
        <f t="shared" si="77"/>
        <v>.</v>
      </c>
      <c r="E2388" s="13" t="str">
        <f>IFERROR(IF(AND(B2388&lt;&gt;"",C2388&lt;&gt;""),SUMIFS(Movimentos!$F$4:$F$9996,Movimentos!$D$4:$D$9996,B2388,Movimentos!$C$4:$C$9996,"Entrada")-SUMIFS(Movimentos!$F$4:$F$9996,Movimentos!$D$4:$D$9996,B2388,Movimentos!$C$4:$C$9996,"Saída"),""),"")</f>
        <v/>
      </c>
      <c r="F2388" s="10" t="str">
        <f t="shared" si="76"/>
        <v/>
      </c>
    </row>
    <row r="2389" spans="1:6" x14ac:dyDescent="0.3">
      <c r="A2389" s="15" t="str">
        <f t="shared" si="77"/>
        <v>.</v>
      </c>
      <c r="E2389" s="13" t="str">
        <f>IFERROR(IF(AND(B2389&lt;&gt;"",C2389&lt;&gt;""),SUMIFS(Movimentos!$F$4:$F$9996,Movimentos!$D$4:$D$9996,B2389,Movimentos!$C$4:$C$9996,"Entrada")-SUMIFS(Movimentos!$F$4:$F$9996,Movimentos!$D$4:$D$9996,B2389,Movimentos!$C$4:$C$9996,"Saída"),""),"")</f>
        <v/>
      </c>
      <c r="F2389" s="10" t="str">
        <f t="shared" si="76"/>
        <v/>
      </c>
    </row>
    <row r="2390" spans="1:6" x14ac:dyDescent="0.3">
      <c r="A2390" s="15" t="str">
        <f t="shared" si="77"/>
        <v>.</v>
      </c>
      <c r="E2390" s="13" t="str">
        <f>IFERROR(IF(AND(B2390&lt;&gt;"",C2390&lt;&gt;""),SUMIFS(Movimentos!$F$4:$F$9996,Movimentos!$D$4:$D$9996,B2390,Movimentos!$C$4:$C$9996,"Entrada")-SUMIFS(Movimentos!$F$4:$F$9996,Movimentos!$D$4:$D$9996,B2390,Movimentos!$C$4:$C$9996,"Saída"),""),"")</f>
        <v/>
      </c>
      <c r="F2390" s="10" t="str">
        <f t="shared" si="76"/>
        <v/>
      </c>
    </row>
    <row r="2391" spans="1:6" x14ac:dyDescent="0.3">
      <c r="A2391" s="15" t="str">
        <f t="shared" si="77"/>
        <v>.</v>
      </c>
      <c r="E2391" s="13" t="str">
        <f>IFERROR(IF(AND(B2391&lt;&gt;"",C2391&lt;&gt;""),SUMIFS(Movimentos!$F$4:$F$9996,Movimentos!$D$4:$D$9996,B2391,Movimentos!$C$4:$C$9996,"Entrada")-SUMIFS(Movimentos!$F$4:$F$9996,Movimentos!$D$4:$D$9996,B2391,Movimentos!$C$4:$C$9996,"Saída"),""),"")</f>
        <v/>
      </c>
      <c r="F2391" s="10" t="str">
        <f t="shared" ref="F2391:F2454" si="78">IF(AND(B2391&lt;&gt;"",C2391&lt;&gt;""),IF(E2391=0,"Saldo zerado",IF(E2391&lt;D2391,"Saldo abaixo do mínimo","Saldo disponível")),"")</f>
        <v/>
      </c>
    </row>
    <row r="2392" spans="1:6" x14ac:dyDescent="0.3">
      <c r="A2392" s="15" t="str">
        <f t="shared" si="77"/>
        <v>.</v>
      </c>
      <c r="E2392" s="13" t="str">
        <f>IFERROR(IF(AND(B2392&lt;&gt;"",C2392&lt;&gt;""),SUMIFS(Movimentos!$F$4:$F$9996,Movimentos!$D$4:$D$9996,B2392,Movimentos!$C$4:$C$9996,"Entrada")-SUMIFS(Movimentos!$F$4:$F$9996,Movimentos!$D$4:$D$9996,B2392,Movimentos!$C$4:$C$9996,"Saída"),""),"")</f>
        <v/>
      </c>
      <c r="F2392" s="10" t="str">
        <f t="shared" si="78"/>
        <v/>
      </c>
    </row>
    <row r="2393" spans="1:6" x14ac:dyDescent="0.3">
      <c r="A2393" s="15" t="str">
        <f t="shared" si="77"/>
        <v>.</v>
      </c>
      <c r="E2393" s="13" t="str">
        <f>IFERROR(IF(AND(B2393&lt;&gt;"",C2393&lt;&gt;""),SUMIFS(Movimentos!$F$4:$F$9996,Movimentos!$D$4:$D$9996,B2393,Movimentos!$C$4:$C$9996,"Entrada")-SUMIFS(Movimentos!$F$4:$F$9996,Movimentos!$D$4:$D$9996,B2393,Movimentos!$C$4:$C$9996,"Saída"),""),"")</f>
        <v/>
      </c>
      <c r="F2393" s="10" t="str">
        <f t="shared" si="78"/>
        <v/>
      </c>
    </row>
    <row r="2394" spans="1:6" x14ac:dyDescent="0.3">
      <c r="A2394" s="15" t="str">
        <f t="shared" si="77"/>
        <v>.</v>
      </c>
      <c r="E2394" s="13" t="str">
        <f>IFERROR(IF(AND(B2394&lt;&gt;"",C2394&lt;&gt;""),SUMIFS(Movimentos!$F$4:$F$9996,Movimentos!$D$4:$D$9996,B2394,Movimentos!$C$4:$C$9996,"Entrada")-SUMIFS(Movimentos!$F$4:$F$9996,Movimentos!$D$4:$D$9996,B2394,Movimentos!$C$4:$C$9996,"Saída"),""),"")</f>
        <v/>
      </c>
      <c r="F2394" s="10" t="str">
        <f t="shared" si="78"/>
        <v/>
      </c>
    </row>
    <row r="2395" spans="1:6" x14ac:dyDescent="0.3">
      <c r="A2395" s="15" t="str">
        <f t="shared" si="77"/>
        <v>.</v>
      </c>
      <c r="E2395" s="13" t="str">
        <f>IFERROR(IF(AND(B2395&lt;&gt;"",C2395&lt;&gt;""),SUMIFS(Movimentos!$F$4:$F$9996,Movimentos!$D$4:$D$9996,B2395,Movimentos!$C$4:$C$9996,"Entrada")-SUMIFS(Movimentos!$F$4:$F$9996,Movimentos!$D$4:$D$9996,B2395,Movimentos!$C$4:$C$9996,"Saída"),""),"")</f>
        <v/>
      </c>
      <c r="F2395" s="10" t="str">
        <f t="shared" si="78"/>
        <v/>
      </c>
    </row>
    <row r="2396" spans="1:6" x14ac:dyDescent="0.3">
      <c r="A2396" s="15" t="str">
        <f t="shared" si="77"/>
        <v>.</v>
      </c>
      <c r="E2396" s="13" t="str">
        <f>IFERROR(IF(AND(B2396&lt;&gt;"",C2396&lt;&gt;""),SUMIFS(Movimentos!$F$4:$F$9996,Movimentos!$D$4:$D$9996,B2396,Movimentos!$C$4:$C$9996,"Entrada")-SUMIFS(Movimentos!$F$4:$F$9996,Movimentos!$D$4:$D$9996,B2396,Movimentos!$C$4:$C$9996,"Saída"),""),"")</f>
        <v/>
      </c>
      <c r="F2396" s="10" t="str">
        <f t="shared" si="78"/>
        <v/>
      </c>
    </row>
    <row r="2397" spans="1:6" x14ac:dyDescent="0.3">
      <c r="A2397" s="15" t="str">
        <f t="shared" si="77"/>
        <v>.</v>
      </c>
      <c r="E2397" s="13" t="str">
        <f>IFERROR(IF(AND(B2397&lt;&gt;"",C2397&lt;&gt;""),SUMIFS(Movimentos!$F$4:$F$9996,Movimentos!$D$4:$D$9996,B2397,Movimentos!$C$4:$C$9996,"Entrada")-SUMIFS(Movimentos!$F$4:$F$9996,Movimentos!$D$4:$D$9996,B2397,Movimentos!$C$4:$C$9996,"Saída"),""),"")</f>
        <v/>
      </c>
      <c r="F2397" s="10" t="str">
        <f t="shared" si="78"/>
        <v/>
      </c>
    </row>
    <row r="2398" spans="1:6" x14ac:dyDescent="0.3">
      <c r="A2398" s="15" t="str">
        <f t="shared" si="77"/>
        <v>.</v>
      </c>
      <c r="E2398" s="13" t="str">
        <f>IFERROR(IF(AND(B2398&lt;&gt;"",C2398&lt;&gt;""),SUMIFS(Movimentos!$F$4:$F$9996,Movimentos!$D$4:$D$9996,B2398,Movimentos!$C$4:$C$9996,"Entrada")-SUMIFS(Movimentos!$F$4:$F$9996,Movimentos!$D$4:$D$9996,B2398,Movimentos!$C$4:$C$9996,"Saída"),""),"")</f>
        <v/>
      </c>
      <c r="F2398" s="10" t="str">
        <f t="shared" si="78"/>
        <v/>
      </c>
    </row>
    <row r="2399" spans="1:6" x14ac:dyDescent="0.3">
      <c r="A2399" s="15" t="str">
        <f t="shared" si="77"/>
        <v>.</v>
      </c>
      <c r="E2399" s="13" t="str">
        <f>IFERROR(IF(AND(B2399&lt;&gt;"",C2399&lt;&gt;""),SUMIFS(Movimentos!$F$4:$F$9996,Movimentos!$D$4:$D$9996,B2399,Movimentos!$C$4:$C$9996,"Entrada")-SUMIFS(Movimentos!$F$4:$F$9996,Movimentos!$D$4:$D$9996,B2399,Movimentos!$C$4:$C$9996,"Saída"),""),"")</f>
        <v/>
      </c>
      <c r="F2399" s="10" t="str">
        <f t="shared" si="78"/>
        <v/>
      </c>
    </row>
    <row r="2400" spans="1:6" x14ac:dyDescent="0.3">
      <c r="A2400" s="15" t="str">
        <f t="shared" si="77"/>
        <v>.</v>
      </c>
      <c r="E2400" s="13" t="str">
        <f>IFERROR(IF(AND(B2400&lt;&gt;"",C2400&lt;&gt;""),SUMIFS(Movimentos!$F$4:$F$9996,Movimentos!$D$4:$D$9996,B2400,Movimentos!$C$4:$C$9996,"Entrada")-SUMIFS(Movimentos!$F$4:$F$9996,Movimentos!$D$4:$D$9996,B2400,Movimentos!$C$4:$C$9996,"Saída"),""),"")</f>
        <v/>
      </c>
      <c r="F2400" s="10" t="str">
        <f t="shared" si="78"/>
        <v/>
      </c>
    </row>
    <row r="2401" spans="1:6" x14ac:dyDescent="0.3">
      <c r="A2401" s="15" t="str">
        <f t="shared" si="77"/>
        <v>.</v>
      </c>
      <c r="E2401" s="13" t="str">
        <f>IFERROR(IF(AND(B2401&lt;&gt;"",C2401&lt;&gt;""),SUMIFS(Movimentos!$F$4:$F$9996,Movimentos!$D$4:$D$9996,B2401,Movimentos!$C$4:$C$9996,"Entrada")-SUMIFS(Movimentos!$F$4:$F$9996,Movimentos!$D$4:$D$9996,B2401,Movimentos!$C$4:$C$9996,"Saída"),""),"")</f>
        <v/>
      </c>
      <c r="F2401" s="10" t="str">
        <f t="shared" si="78"/>
        <v/>
      </c>
    </row>
    <row r="2402" spans="1:6" x14ac:dyDescent="0.3">
      <c r="A2402" s="15" t="str">
        <f t="shared" si="77"/>
        <v>.</v>
      </c>
      <c r="E2402" s="13" t="str">
        <f>IFERROR(IF(AND(B2402&lt;&gt;"",C2402&lt;&gt;""),SUMIFS(Movimentos!$F$4:$F$9996,Movimentos!$D$4:$D$9996,B2402,Movimentos!$C$4:$C$9996,"Entrada")-SUMIFS(Movimentos!$F$4:$F$9996,Movimentos!$D$4:$D$9996,B2402,Movimentos!$C$4:$C$9996,"Saída"),""),"")</f>
        <v/>
      </c>
      <c r="F2402" s="10" t="str">
        <f t="shared" si="78"/>
        <v/>
      </c>
    </row>
    <row r="2403" spans="1:6" x14ac:dyDescent="0.3">
      <c r="A2403" s="15" t="str">
        <f t="shared" si="77"/>
        <v>.</v>
      </c>
      <c r="E2403" s="13" t="str">
        <f>IFERROR(IF(AND(B2403&lt;&gt;"",C2403&lt;&gt;""),SUMIFS(Movimentos!$F$4:$F$9996,Movimentos!$D$4:$D$9996,B2403,Movimentos!$C$4:$C$9996,"Entrada")-SUMIFS(Movimentos!$F$4:$F$9996,Movimentos!$D$4:$D$9996,B2403,Movimentos!$C$4:$C$9996,"Saída"),""),"")</f>
        <v/>
      </c>
      <c r="F2403" s="10" t="str">
        <f t="shared" si="78"/>
        <v/>
      </c>
    </row>
    <row r="2404" spans="1:6" x14ac:dyDescent="0.3">
      <c r="A2404" s="15" t="str">
        <f t="shared" si="77"/>
        <v>.</v>
      </c>
      <c r="E2404" s="13" t="str">
        <f>IFERROR(IF(AND(B2404&lt;&gt;"",C2404&lt;&gt;""),SUMIFS(Movimentos!$F$4:$F$9996,Movimentos!$D$4:$D$9996,B2404,Movimentos!$C$4:$C$9996,"Entrada")-SUMIFS(Movimentos!$F$4:$F$9996,Movimentos!$D$4:$D$9996,B2404,Movimentos!$C$4:$C$9996,"Saída"),""),"")</f>
        <v/>
      </c>
      <c r="F2404" s="10" t="str">
        <f t="shared" si="78"/>
        <v/>
      </c>
    </row>
    <row r="2405" spans="1:6" x14ac:dyDescent="0.3">
      <c r="A2405" s="15" t="str">
        <f t="shared" si="77"/>
        <v>.</v>
      </c>
      <c r="E2405" s="13" t="str">
        <f>IFERROR(IF(AND(B2405&lt;&gt;"",C2405&lt;&gt;""),SUMIFS(Movimentos!$F$4:$F$9996,Movimentos!$D$4:$D$9996,B2405,Movimentos!$C$4:$C$9996,"Entrada")-SUMIFS(Movimentos!$F$4:$F$9996,Movimentos!$D$4:$D$9996,B2405,Movimentos!$C$4:$C$9996,"Saída"),""),"")</f>
        <v/>
      </c>
      <c r="F2405" s="10" t="str">
        <f t="shared" si="78"/>
        <v/>
      </c>
    </row>
    <row r="2406" spans="1:6" x14ac:dyDescent="0.3">
      <c r="A2406" s="15" t="str">
        <f t="shared" si="77"/>
        <v>.</v>
      </c>
      <c r="E2406" s="13" t="str">
        <f>IFERROR(IF(AND(B2406&lt;&gt;"",C2406&lt;&gt;""),SUMIFS(Movimentos!$F$4:$F$9996,Movimentos!$D$4:$D$9996,B2406,Movimentos!$C$4:$C$9996,"Entrada")-SUMIFS(Movimentos!$F$4:$F$9996,Movimentos!$D$4:$D$9996,B2406,Movimentos!$C$4:$C$9996,"Saída"),""),"")</f>
        <v/>
      </c>
      <c r="F2406" s="10" t="str">
        <f t="shared" si="78"/>
        <v/>
      </c>
    </row>
    <row r="2407" spans="1:6" x14ac:dyDescent="0.3">
      <c r="A2407" s="15" t="str">
        <f t="shared" si="77"/>
        <v>.</v>
      </c>
      <c r="E2407" s="13" t="str">
        <f>IFERROR(IF(AND(B2407&lt;&gt;"",C2407&lt;&gt;""),SUMIFS(Movimentos!$F$4:$F$9996,Movimentos!$D$4:$D$9996,B2407,Movimentos!$C$4:$C$9996,"Entrada")-SUMIFS(Movimentos!$F$4:$F$9996,Movimentos!$D$4:$D$9996,B2407,Movimentos!$C$4:$C$9996,"Saída"),""),"")</f>
        <v/>
      </c>
      <c r="F2407" s="10" t="str">
        <f t="shared" si="78"/>
        <v/>
      </c>
    </row>
    <row r="2408" spans="1:6" x14ac:dyDescent="0.3">
      <c r="A2408" s="15" t="str">
        <f t="shared" si="77"/>
        <v>.</v>
      </c>
      <c r="E2408" s="13" t="str">
        <f>IFERROR(IF(AND(B2408&lt;&gt;"",C2408&lt;&gt;""),SUMIFS(Movimentos!$F$4:$F$9996,Movimentos!$D$4:$D$9996,B2408,Movimentos!$C$4:$C$9996,"Entrada")-SUMIFS(Movimentos!$F$4:$F$9996,Movimentos!$D$4:$D$9996,B2408,Movimentos!$C$4:$C$9996,"Saída"),""),"")</f>
        <v/>
      </c>
      <c r="F2408" s="10" t="str">
        <f t="shared" si="78"/>
        <v/>
      </c>
    </row>
    <row r="2409" spans="1:6" x14ac:dyDescent="0.3">
      <c r="A2409" s="15" t="str">
        <f t="shared" si="77"/>
        <v>.</v>
      </c>
      <c r="E2409" s="13" t="str">
        <f>IFERROR(IF(AND(B2409&lt;&gt;"",C2409&lt;&gt;""),SUMIFS(Movimentos!$F$4:$F$9996,Movimentos!$D$4:$D$9996,B2409,Movimentos!$C$4:$C$9996,"Entrada")-SUMIFS(Movimentos!$F$4:$F$9996,Movimentos!$D$4:$D$9996,B2409,Movimentos!$C$4:$C$9996,"Saída"),""),"")</f>
        <v/>
      </c>
      <c r="F2409" s="10" t="str">
        <f t="shared" si="78"/>
        <v/>
      </c>
    </row>
    <row r="2410" spans="1:6" x14ac:dyDescent="0.3">
      <c r="A2410" s="15" t="str">
        <f t="shared" si="77"/>
        <v>.</v>
      </c>
      <c r="E2410" s="13" t="str">
        <f>IFERROR(IF(AND(B2410&lt;&gt;"",C2410&lt;&gt;""),SUMIFS(Movimentos!$F$4:$F$9996,Movimentos!$D$4:$D$9996,B2410,Movimentos!$C$4:$C$9996,"Entrada")-SUMIFS(Movimentos!$F$4:$F$9996,Movimentos!$D$4:$D$9996,B2410,Movimentos!$C$4:$C$9996,"Saída"),""),"")</f>
        <v/>
      </c>
      <c r="F2410" s="10" t="str">
        <f t="shared" si="78"/>
        <v/>
      </c>
    </row>
    <row r="2411" spans="1:6" x14ac:dyDescent="0.3">
      <c r="A2411" s="15" t="str">
        <f t="shared" si="77"/>
        <v>.</v>
      </c>
      <c r="E2411" s="13" t="str">
        <f>IFERROR(IF(AND(B2411&lt;&gt;"",C2411&lt;&gt;""),SUMIFS(Movimentos!$F$4:$F$9996,Movimentos!$D$4:$D$9996,B2411,Movimentos!$C$4:$C$9996,"Entrada")-SUMIFS(Movimentos!$F$4:$F$9996,Movimentos!$D$4:$D$9996,B2411,Movimentos!$C$4:$C$9996,"Saída"),""),"")</f>
        <v/>
      </c>
      <c r="F2411" s="10" t="str">
        <f t="shared" si="78"/>
        <v/>
      </c>
    </row>
    <row r="2412" spans="1:6" x14ac:dyDescent="0.3">
      <c r="A2412" s="15" t="str">
        <f t="shared" si="77"/>
        <v>.</v>
      </c>
      <c r="E2412" s="13" t="str">
        <f>IFERROR(IF(AND(B2412&lt;&gt;"",C2412&lt;&gt;""),SUMIFS(Movimentos!$F$4:$F$9996,Movimentos!$D$4:$D$9996,B2412,Movimentos!$C$4:$C$9996,"Entrada")-SUMIFS(Movimentos!$F$4:$F$9996,Movimentos!$D$4:$D$9996,B2412,Movimentos!$C$4:$C$9996,"Saída"),""),"")</f>
        <v/>
      </c>
      <c r="F2412" s="10" t="str">
        <f t="shared" si="78"/>
        <v/>
      </c>
    </row>
    <row r="2413" spans="1:6" x14ac:dyDescent="0.3">
      <c r="A2413" s="15" t="str">
        <f t="shared" si="77"/>
        <v>.</v>
      </c>
      <c r="E2413" s="13" t="str">
        <f>IFERROR(IF(AND(B2413&lt;&gt;"",C2413&lt;&gt;""),SUMIFS(Movimentos!$F$4:$F$9996,Movimentos!$D$4:$D$9996,B2413,Movimentos!$C$4:$C$9996,"Entrada")-SUMIFS(Movimentos!$F$4:$F$9996,Movimentos!$D$4:$D$9996,B2413,Movimentos!$C$4:$C$9996,"Saída"),""),"")</f>
        <v/>
      </c>
      <c r="F2413" s="10" t="str">
        <f t="shared" si="78"/>
        <v/>
      </c>
    </row>
    <row r="2414" spans="1:6" x14ac:dyDescent="0.3">
      <c r="A2414" s="15" t="str">
        <f t="shared" si="77"/>
        <v>.</v>
      </c>
      <c r="E2414" s="13" t="str">
        <f>IFERROR(IF(AND(B2414&lt;&gt;"",C2414&lt;&gt;""),SUMIFS(Movimentos!$F$4:$F$9996,Movimentos!$D$4:$D$9996,B2414,Movimentos!$C$4:$C$9996,"Entrada")-SUMIFS(Movimentos!$F$4:$F$9996,Movimentos!$D$4:$D$9996,B2414,Movimentos!$C$4:$C$9996,"Saída"),""),"")</f>
        <v/>
      </c>
      <c r="F2414" s="10" t="str">
        <f t="shared" si="78"/>
        <v/>
      </c>
    </row>
    <row r="2415" spans="1:6" x14ac:dyDescent="0.3">
      <c r="A2415" s="15" t="str">
        <f t="shared" si="77"/>
        <v>.</v>
      </c>
      <c r="E2415" s="13" t="str">
        <f>IFERROR(IF(AND(B2415&lt;&gt;"",C2415&lt;&gt;""),SUMIFS(Movimentos!$F$4:$F$9996,Movimentos!$D$4:$D$9996,B2415,Movimentos!$C$4:$C$9996,"Entrada")-SUMIFS(Movimentos!$F$4:$F$9996,Movimentos!$D$4:$D$9996,B2415,Movimentos!$C$4:$C$9996,"Saída"),""),"")</f>
        <v/>
      </c>
      <c r="F2415" s="10" t="str">
        <f t="shared" si="78"/>
        <v/>
      </c>
    </row>
    <row r="2416" spans="1:6" x14ac:dyDescent="0.3">
      <c r="A2416" s="15" t="str">
        <f t="shared" si="77"/>
        <v>.</v>
      </c>
      <c r="E2416" s="13" t="str">
        <f>IFERROR(IF(AND(B2416&lt;&gt;"",C2416&lt;&gt;""),SUMIFS(Movimentos!$F$4:$F$9996,Movimentos!$D$4:$D$9996,B2416,Movimentos!$C$4:$C$9996,"Entrada")-SUMIFS(Movimentos!$F$4:$F$9996,Movimentos!$D$4:$D$9996,B2416,Movimentos!$C$4:$C$9996,"Saída"),""),"")</f>
        <v/>
      </c>
      <c r="F2416" s="10" t="str">
        <f t="shared" si="78"/>
        <v/>
      </c>
    </row>
    <row r="2417" spans="1:6" x14ac:dyDescent="0.3">
      <c r="A2417" s="15" t="str">
        <f t="shared" si="77"/>
        <v>.</v>
      </c>
      <c r="E2417" s="13" t="str">
        <f>IFERROR(IF(AND(B2417&lt;&gt;"",C2417&lt;&gt;""),SUMIFS(Movimentos!$F$4:$F$9996,Movimentos!$D$4:$D$9996,B2417,Movimentos!$C$4:$C$9996,"Entrada")-SUMIFS(Movimentos!$F$4:$F$9996,Movimentos!$D$4:$D$9996,B2417,Movimentos!$C$4:$C$9996,"Saída"),""),"")</f>
        <v/>
      </c>
      <c r="F2417" s="10" t="str">
        <f t="shared" si="78"/>
        <v/>
      </c>
    </row>
    <row r="2418" spans="1:6" x14ac:dyDescent="0.3">
      <c r="A2418" s="15" t="str">
        <f t="shared" si="77"/>
        <v>.</v>
      </c>
      <c r="E2418" s="13" t="str">
        <f>IFERROR(IF(AND(B2418&lt;&gt;"",C2418&lt;&gt;""),SUMIFS(Movimentos!$F$4:$F$9996,Movimentos!$D$4:$D$9996,B2418,Movimentos!$C$4:$C$9996,"Entrada")-SUMIFS(Movimentos!$F$4:$F$9996,Movimentos!$D$4:$D$9996,B2418,Movimentos!$C$4:$C$9996,"Saída"),""),"")</f>
        <v/>
      </c>
      <c r="F2418" s="10" t="str">
        <f t="shared" si="78"/>
        <v/>
      </c>
    </row>
    <row r="2419" spans="1:6" x14ac:dyDescent="0.3">
      <c r="A2419" s="15" t="str">
        <f t="shared" si="77"/>
        <v>.</v>
      </c>
      <c r="E2419" s="13" t="str">
        <f>IFERROR(IF(AND(B2419&lt;&gt;"",C2419&lt;&gt;""),SUMIFS(Movimentos!$F$4:$F$9996,Movimentos!$D$4:$D$9996,B2419,Movimentos!$C$4:$C$9996,"Entrada")-SUMIFS(Movimentos!$F$4:$F$9996,Movimentos!$D$4:$D$9996,B2419,Movimentos!$C$4:$C$9996,"Saída"),""),"")</f>
        <v/>
      </c>
      <c r="F2419" s="10" t="str">
        <f t="shared" si="78"/>
        <v/>
      </c>
    </row>
    <row r="2420" spans="1:6" x14ac:dyDescent="0.3">
      <c r="A2420" s="15" t="str">
        <f t="shared" si="77"/>
        <v>.</v>
      </c>
      <c r="E2420" s="13" t="str">
        <f>IFERROR(IF(AND(B2420&lt;&gt;"",C2420&lt;&gt;""),SUMIFS(Movimentos!$F$4:$F$9996,Movimentos!$D$4:$D$9996,B2420,Movimentos!$C$4:$C$9996,"Entrada")-SUMIFS(Movimentos!$F$4:$F$9996,Movimentos!$D$4:$D$9996,B2420,Movimentos!$C$4:$C$9996,"Saída"),""),"")</f>
        <v/>
      </c>
      <c r="F2420" s="10" t="str">
        <f t="shared" si="78"/>
        <v/>
      </c>
    </row>
    <row r="2421" spans="1:6" x14ac:dyDescent="0.3">
      <c r="A2421" s="15" t="str">
        <f t="shared" si="77"/>
        <v>.</v>
      </c>
      <c r="E2421" s="13" t="str">
        <f>IFERROR(IF(AND(B2421&lt;&gt;"",C2421&lt;&gt;""),SUMIFS(Movimentos!$F$4:$F$9996,Movimentos!$D$4:$D$9996,B2421,Movimentos!$C$4:$C$9996,"Entrada")-SUMIFS(Movimentos!$F$4:$F$9996,Movimentos!$D$4:$D$9996,B2421,Movimentos!$C$4:$C$9996,"Saída"),""),"")</f>
        <v/>
      </c>
      <c r="F2421" s="10" t="str">
        <f t="shared" si="78"/>
        <v/>
      </c>
    </row>
    <row r="2422" spans="1:6" x14ac:dyDescent="0.3">
      <c r="A2422" s="15" t="str">
        <f t="shared" si="77"/>
        <v>.</v>
      </c>
      <c r="E2422" s="13" t="str">
        <f>IFERROR(IF(AND(B2422&lt;&gt;"",C2422&lt;&gt;""),SUMIFS(Movimentos!$F$4:$F$9996,Movimentos!$D$4:$D$9996,B2422,Movimentos!$C$4:$C$9996,"Entrada")-SUMIFS(Movimentos!$F$4:$F$9996,Movimentos!$D$4:$D$9996,B2422,Movimentos!$C$4:$C$9996,"Saída"),""),"")</f>
        <v/>
      </c>
      <c r="F2422" s="10" t="str">
        <f t="shared" si="78"/>
        <v/>
      </c>
    </row>
    <row r="2423" spans="1:6" x14ac:dyDescent="0.3">
      <c r="A2423" s="15" t="str">
        <f t="shared" si="77"/>
        <v>.</v>
      </c>
      <c r="E2423" s="13" t="str">
        <f>IFERROR(IF(AND(B2423&lt;&gt;"",C2423&lt;&gt;""),SUMIFS(Movimentos!$F$4:$F$9996,Movimentos!$D$4:$D$9996,B2423,Movimentos!$C$4:$C$9996,"Entrada")-SUMIFS(Movimentos!$F$4:$F$9996,Movimentos!$D$4:$D$9996,B2423,Movimentos!$C$4:$C$9996,"Saída"),""),"")</f>
        <v/>
      </c>
      <c r="F2423" s="10" t="str">
        <f t="shared" si="78"/>
        <v/>
      </c>
    </row>
    <row r="2424" spans="1:6" x14ac:dyDescent="0.3">
      <c r="A2424" s="15" t="str">
        <f t="shared" si="77"/>
        <v>.</v>
      </c>
      <c r="E2424" s="13" t="str">
        <f>IFERROR(IF(AND(B2424&lt;&gt;"",C2424&lt;&gt;""),SUMIFS(Movimentos!$F$4:$F$9996,Movimentos!$D$4:$D$9996,B2424,Movimentos!$C$4:$C$9996,"Entrada")-SUMIFS(Movimentos!$F$4:$F$9996,Movimentos!$D$4:$D$9996,B2424,Movimentos!$C$4:$C$9996,"Saída"),""),"")</f>
        <v/>
      </c>
      <c r="F2424" s="10" t="str">
        <f t="shared" si="78"/>
        <v/>
      </c>
    </row>
    <row r="2425" spans="1:6" x14ac:dyDescent="0.3">
      <c r="A2425" s="15" t="str">
        <f t="shared" si="77"/>
        <v>.</v>
      </c>
      <c r="E2425" s="13" t="str">
        <f>IFERROR(IF(AND(B2425&lt;&gt;"",C2425&lt;&gt;""),SUMIFS(Movimentos!$F$4:$F$9996,Movimentos!$D$4:$D$9996,B2425,Movimentos!$C$4:$C$9996,"Entrada")-SUMIFS(Movimentos!$F$4:$F$9996,Movimentos!$D$4:$D$9996,B2425,Movimentos!$C$4:$C$9996,"Saída"),""),"")</f>
        <v/>
      </c>
      <c r="F2425" s="10" t="str">
        <f t="shared" si="78"/>
        <v/>
      </c>
    </row>
    <row r="2426" spans="1:6" x14ac:dyDescent="0.3">
      <c r="A2426" s="15" t="str">
        <f t="shared" si="77"/>
        <v>.</v>
      </c>
      <c r="E2426" s="13" t="str">
        <f>IFERROR(IF(AND(B2426&lt;&gt;"",C2426&lt;&gt;""),SUMIFS(Movimentos!$F$4:$F$9996,Movimentos!$D$4:$D$9996,B2426,Movimentos!$C$4:$C$9996,"Entrada")-SUMIFS(Movimentos!$F$4:$F$9996,Movimentos!$D$4:$D$9996,B2426,Movimentos!$C$4:$C$9996,"Saída"),""),"")</f>
        <v/>
      </c>
      <c r="F2426" s="10" t="str">
        <f t="shared" si="78"/>
        <v/>
      </c>
    </row>
    <row r="2427" spans="1:6" x14ac:dyDescent="0.3">
      <c r="A2427" s="15" t="str">
        <f t="shared" si="77"/>
        <v>.</v>
      </c>
      <c r="E2427" s="13" t="str">
        <f>IFERROR(IF(AND(B2427&lt;&gt;"",C2427&lt;&gt;""),SUMIFS(Movimentos!$F$4:$F$9996,Movimentos!$D$4:$D$9996,B2427,Movimentos!$C$4:$C$9996,"Entrada")-SUMIFS(Movimentos!$F$4:$F$9996,Movimentos!$D$4:$D$9996,B2427,Movimentos!$C$4:$C$9996,"Saída"),""),"")</f>
        <v/>
      </c>
      <c r="F2427" s="10" t="str">
        <f t="shared" si="78"/>
        <v/>
      </c>
    </row>
    <row r="2428" spans="1:6" x14ac:dyDescent="0.3">
      <c r="A2428" s="15" t="str">
        <f t="shared" si="77"/>
        <v>.</v>
      </c>
      <c r="E2428" s="13" t="str">
        <f>IFERROR(IF(AND(B2428&lt;&gt;"",C2428&lt;&gt;""),SUMIFS(Movimentos!$F$4:$F$9996,Movimentos!$D$4:$D$9996,B2428,Movimentos!$C$4:$C$9996,"Entrada")-SUMIFS(Movimentos!$F$4:$F$9996,Movimentos!$D$4:$D$9996,B2428,Movimentos!$C$4:$C$9996,"Saída"),""),"")</f>
        <v/>
      </c>
      <c r="F2428" s="10" t="str">
        <f t="shared" si="78"/>
        <v/>
      </c>
    </row>
    <row r="2429" spans="1:6" x14ac:dyDescent="0.3">
      <c r="A2429" s="15" t="str">
        <f t="shared" si="77"/>
        <v>.</v>
      </c>
      <c r="E2429" s="13" t="str">
        <f>IFERROR(IF(AND(B2429&lt;&gt;"",C2429&lt;&gt;""),SUMIFS(Movimentos!$F$4:$F$9996,Movimentos!$D$4:$D$9996,B2429,Movimentos!$C$4:$C$9996,"Entrada")-SUMIFS(Movimentos!$F$4:$F$9996,Movimentos!$D$4:$D$9996,B2429,Movimentos!$C$4:$C$9996,"Saída"),""),"")</f>
        <v/>
      </c>
      <c r="F2429" s="10" t="str">
        <f t="shared" si="78"/>
        <v/>
      </c>
    </row>
    <row r="2430" spans="1:6" x14ac:dyDescent="0.3">
      <c r="A2430" s="15" t="str">
        <f t="shared" si="77"/>
        <v>.</v>
      </c>
      <c r="E2430" s="13" t="str">
        <f>IFERROR(IF(AND(B2430&lt;&gt;"",C2430&lt;&gt;""),SUMIFS(Movimentos!$F$4:$F$9996,Movimentos!$D$4:$D$9996,B2430,Movimentos!$C$4:$C$9996,"Entrada")-SUMIFS(Movimentos!$F$4:$F$9996,Movimentos!$D$4:$D$9996,B2430,Movimentos!$C$4:$C$9996,"Saída"),""),"")</f>
        <v/>
      </c>
      <c r="F2430" s="10" t="str">
        <f t="shared" si="78"/>
        <v/>
      </c>
    </row>
    <row r="2431" spans="1:6" x14ac:dyDescent="0.3">
      <c r="A2431" s="15" t="str">
        <f t="shared" si="77"/>
        <v>.</v>
      </c>
      <c r="E2431" s="13" t="str">
        <f>IFERROR(IF(AND(B2431&lt;&gt;"",C2431&lt;&gt;""),SUMIFS(Movimentos!$F$4:$F$9996,Movimentos!$D$4:$D$9996,B2431,Movimentos!$C$4:$C$9996,"Entrada")-SUMIFS(Movimentos!$F$4:$F$9996,Movimentos!$D$4:$D$9996,B2431,Movimentos!$C$4:$C$9996,"Saída"),""),"")</f>
        <v/>
      </c>
      <c r="F2431" s="10" t="str">
        <f t="shared" si="78"/>
        <v/>
      </c>
    </row>
    <row r="2432" spans="1:6" x14ac:dyDescent="0.3">
      <c r="A2432" s="15" t="str">
        <f t="shared" ref="A2432:A2495" si="79">IF(F2432="Saldo zerado",0,IF(F2432="Saldo abaixo do mínimo",1,IF(F2432="Saldo disponível",2,".")))</f>
        <v>.</v>
      </c>
      <c r="E2432" s="13" t="str">
        <f>IFERROR(IF(AND(B2432&lt;&gt;"",C2432&lt;&gt;""),SUMIFS(Movimentos!$F$4:$F$9996,Movimentos!$D$4:$D$9996,B2432,Movimentos!$C$4:$C$9996,"Entrada")-SUMIFS(Movimentos!$F$4:$F$9996,Movimentos!$D$4:$D$9996,B2432,Movimentos!$C$4:$C$9996,"Saída"),""),"")</f>
        <v/>
      </c>
      <c r="F2432" s="10" t="str">
        <f t="shared" si="78"/>
        <v/>
      </c>
    </row>
    <row r="2433" spans="1:6" x14ac:dyDescent="0.3">
      <c r="A2433" s="15" t="str">
        <f t="shared" si="79"/>
        <v>.</v>
      </c>
      <c r="E2433" s="13" t="str">
        <f>IFERROR(IF(AND(B2433&lt;&gt;"",C2433&lt;&gt;""),SUMIFS(Movimentos!$F$4:$F$9996,Movimentos!$D$4:$D$9996,B2433,Movimentos!$C$4:$C$9996,"Entrada")-SUMIFS(Movimentos!$F$4:$F$9996,Movimentos!$D$4:$D$9996,B2433,Movimentos!$C$4:$C$9996,"Saída"),""),"")</f>
        <v/>
      </c>
      <c r="F2433" s="10" t="str">
        <f t="shared" si="78"/>
        <v/>
      </c>
    </row>
    <row r="2434" spans="1:6" x14ac:dyDescent="0.3">
      <c r="A2434" s="15" t="str">
        <f t="shared" si="79"/>
        <v>.</v>
      </c>
      <c r="E2434" s="13" t="str">
        <f>IFERROR(IF(AND(B2434&lt;&gt;"",C2434&lt;&gt;""),SUMIFS(Movimentos!$F$4:$F$9996,Movimentos!$D$4:$D$9996,B2434,Movimentos!$C$4:$C$9996,"Entrada")-SUMIFS(Movimentos!$F$4:$F$9996,Movimentos!$D$4:$D$9996,B2434,Movimentos!$C$4:$C$9996,"Saída"),""),"")</f>
        <v/>
      </c>
      <c r="F2434" s="10" t="str">
        <f t="shared" si="78"/>
        <v/>
      </c>
    </row>
    <row r="2435" spans="1:6" x14ac:dyDescent="0.3">
      <c r="A2435" s="15" t="str">
        <f t="shared" si="79"/>
        <v>.</v>
      </c>
      <c r="E2435" s="13" t="str">
        <f>IFERROR(IF(AND(B2435&lt;&gt;"",C2435&lt;&gt;""),SUMIFS(Movimentos!$F$4:$F$9996,Movimentos!$D$4:$D$9996,B2435,Movimentos!$C$4:$C$9996,"Entrada")-SUMIFS(Movimentos!$F$4:$F$9996,Movimentos!$D$4:$D$9996,B2435,Movimentos!$C$4:$C$9996,"Saída"),""),"")</f>
        <v/>
      </c>
      <c r="F2435" s="10" t="str">
        <f t="shared" si="78"/>
        <v/>
      </c>
    </row>
    <row r="2436" spans="1:6" x14ac:dyDescent="0.3">
      <c r="A2436" s="15" t="str">
        <f t="shared" si="79"/>
        <v>.</v>
      </c>
      <c r="E2436" s="13" t="str">
        <f>IFERROR(IF(AND(B2436&lt;&gt;"",C2436&lt;&gt;""),SUMIFS(Movimentos!$F$4:$F$9996,Movimentos!$D$4:$D$9996,B2436,Movimentos!$C$4:$C$9996,"Entrada")-SUMIFS(Movimentos!$F$4:$F$9996,Movimentos!$D$4:$D$9996,B2436,Movimentos!$C$4:$C$9996,"Saída"),""),"")</f>
        <v/>
      </c>
      <c r="F2436" s="10" t="str">
        <f t="shared" si="78"/>
        <v/>
      </c>
    </row>
    <row r="2437" spans="1:6" x14ac:dyDescent="0.3">
      <c r="A2437" s="15" t="str">
        <f t="shared" si="79"/>
        <v>.</v>
      </c>
      <c r="E2437" s="13" t="str">
        <f>IFERROR(IF(AND(B2437&lt;&gt;"",C2437&lt;&gt;""),SUMIFS(Movimentos!$F$4:$F$9996,Movimentos!$D$4:$D$9996,B2437,Movimentos!$C$4:$C$9996,"Entrada")-SUMIFS(Movimentos!$F$4:$F$9996,Movimentos!$D$4:$D$9996,B2437,Movimentos!$C$4:$C$9996,"Saída"),""),"")</f>
        <v/>
      </c>
      <c r="F2437" s="10" t="str">
        <f t="shared" si="78"/>
        <v/>
      </c>
    </row>
    <row r="2438" spans="1:6" x14ac:dyDescent="0.3">
      <c r="A2438" s="15" t="str">
        <f t="shared" si="79"/>
        <v>.</v>
      </c>
      <c r="E2438" s="13" t="str">
        <f>IFERROR(IF(AND(B2438&lt;&gt;"",C2438&lt;&gt;""),SUMIFS(Movimentos!$F$4:$F$9996,Movimentos!$D$4:$D$9996,B2438,Movimentos!$C$4:$C$9996,"Entrada")-SUMIFS(Movimentos!$F$4:$F$9996,Movimentos!$D$4:$D$9996,B2438,Movimentos!$C$4:$C$9996,"Saída"),""),"")</f>
        <v/>
      </c>
      <c r="F2438" s="10" t="str">
        <f t="shared" si="78"/>
        <v/>
      </c>
    </row>
    <row r="2439" spans="1:6" x14ac:dyDescent="0.3">
      <c r="A2439" s="15" t="str">
        <f t="shared" si="79"/>
        <v>.</v>
      </c>
      <c r="E2439" s="13" t="str">
        <f>IFERROR(IF(AND(B2439&lt;&gt;"",C2439&lt;&gt;""),SUMIFS(Movimentos!$F$4:$F$9996,Movimentos!$D$4:$D$9996,B2439,Movimentos!$C$4:$C$9996,"Entrada")-SUMIFS(Movimentos!$F$4:$F$9996,Movimentos!$D$4:$D$9996,B2439,Movimentos!$C$4:$C$9996,"Saída"),""),"")</f>
        <v/>
      </c>
      <c r="F2439" s="10" t="str">
        <f t="shared" si="78"/>
        <v/>
      </c>
    </row>
    <row r="2440" spans="1:6" x14ac:dyDescent="0.3">
      <c r="A2440" s="15" t="str">
        <f t="shared" si="79"/>
        <v>.</v>
      </c>
      <c r="E2440" s="13" t="str">
        <f>IFERROR(IF(AND(B2440&lt;&gt;"",C2440&lt;&gt;""),SUMIFS(Movimentos!$F$4:$F$9996,Movimentos!$D$4:$D$9996,B2440,Movimentos!$C$4:$C$9996,"Entrada")-SUMIFS(Movimentos!$F$4:$F$9996,Movimentos!$D$4:$D$9996,B2440,Movimentos!$C$4:$C$9996,"Saída"),""),"")</f>
        <v/>
      </c>
      <c r="F2440" s="10" t="str">
        <f t="shared" si="78"/>
        <v/>
      </c>
    </row>
    <row r="2441" spans="1:6" x14ac:dyDescent="0.3">
      <c r="A2441" s="15" t="str">
        <f t="shared" si="79"/>
        <v>.</v>
      </c>
      <c r="E2441" s="13" t="str">
        <f>IFERROR(IF(AND(B2441&lt;&gt;"",C2441&lt;&gt;""),SUMIFS(Movimentos!$F$4:$F$9996,Movimentos!$D$4:$D$9996,B2441,Movimentos!$C$4:$C$9996,"Entrada")-SUMIFS(Movimentos!$F$4:$F$9996,Movimentos!$D$4:$D$9996,B2441,Movimentos!$C$4:$C$9996,"Saída"),""),"")</f>
        <v/>
      </c>
      <c r="F2441" s="10" t="str">
        <f t="shared" si="78"/>
        <v/>
      </c>
    </row>
    <row r="2442" spans="1:6" x14ac:dyDescent="0.3">
      <c r="A2442" s="15" t="str">
        <f t="shared" si="79"/>
        <v>.</v>
      </c>
      <c r="E2442" s="13" t="str">
        <f>IFERROR(IF(AND(B2442&lt;&gt;"",C2442&lt;&gt;""),SUMIFS(Movimentos!$F$4:$F$9996,Movimentos!$D$4:$D$9996,B2442,Movimentos!$C$4:$C$9996,"Entrada")-SUMIFS(Movimentos!$F$4:$F$9996,Movimentos!$D$4:$D$9996,B2442,Movimentos!$C$4:$C$9996,"Saída"),""),"")</f>
        <v/>
      </c>
      <c r="F2442" s="10" t="str">
        <f t="shared" si="78"/>
        <v/>
      </c>
    </row>
    <row r="2443" spans="1:6" x14ac:dyDescent="0.3">
      <c r="A2443" s="15" t="str">
        <f t="shared" si="79"/>
        <v>.</v>
      </c>
      <c r="E2443" s="13" t="str">
        <f>IFERROR(IF(AND(B2443&lt;&gt;"",C2443&lt;&gt;""),SUMIFS(Movimentos!$F$4:$F$9996,Movimentos!$D$4:$D$9996,B2443,Movimentos!$C$4:$C$9996,"Entrada")-SUMIFS(Movimentos!$F$4:$F$9996,Movimentos!$D$4:$D$9996,B2443,Movimentos!$C$4:$C$9996,"Saída"),""),"")</f>
        <v/>
      </c>
      <c r="F2443" s="10" t="str">
        <f t="shared" si="78"/>
        <v/>
      </c>
    </row>
    <row r="2444" spans="1:6" x14ac:dyDescent="0.3">
      <c r="A2444" s="15" t="str">
        <f t="shared" si="79"/>
        <v>.</v>
      </c>
      <c r="E2444" s="13" t="str">
        <f>IFERROR(IF(AND(B2444&lt;&gt;"",C2444&lt;&gt;""),SUMIFS(Movimentos!$F$4:$F$9996,Movimentos!$D$4:$D$9996,B2444,Movimentos!$C$4:$C$9996,"Entrada")-SUMIFS(Movimentos!$F$4:$F$9996,Movimentos!$D$4:$D$9996,B2444,Movimentos!$C$4:$C$9996,"Saída"),""),"")</f>
        <v/>
      </c>
      <c r="F2444" s="10" t="str">
        <f t="shared" si="78"/>
        <v/>
      </c>
    </row>
    <row r="2445" spans="1:6" x14ac:dyDescent="0.3">
      <c r="A2445" s="15" t="str">
        <f t="shared" si="79"/>
        <v>.</v>
      </c>
      <c r="E2445" s="13" t="str">
        <f>IFERROR(IF(AND(B2445&lt;&gt;"",C2445&lt;&gt;""),SUMIFS(Movimentos!$F$4:$F$9996,Movimentos!$D$4:$D$9996,B2445,Movimentos!$C$4:$C$9996,"Entrada")-SUMIFS(Movimentos!$F$4:$F$9996,Movimentos!$D$4:$D$9996,B2445,Movimentos!$C$4:$C$9996,"Saída"),""),"")</f>
        <v/>
      </c>
      <c r="F2445" s="10" t="str">
        <f t="shared" si="78"/>
        <v/>
      </c>
    </row>
    <row r="2446" spans="1:6" x14ac:dyDescent="0.3">
      <c r="A2446" s="15" t="str">
        <f t="shared" si="79"/>
        <v>.</v>
      </c>
      <c r="E2446" s="13" t="str">
        <f>IFERROR(IF(AND(B2446&lt;&gt;"",C2446&lt;&gt;""),SUMIFS(Movimentos!$F$4:$F$9996,Movimentos!$D$4:$D$9996,B2446,Movimentos!$C$4:$C$9996,"Entrada")-SUMIFS(Movimentos!$F$4:$F$9996,Movimentos!$D$4:$D$9996,B2446,Movimentos!$C$4:$C$9996,"Saída"),""),"")</f>
        <v/>
      </c>
      <c r="F2446" s="10" t="str">
        <f t="shared" si="78"/>
        <v/>
      </c>
    </row>
    <row r="2447" spans="1:6" x14ac:dyDescent="0.3">
      <c r="A2447" s="15" t="str">
        <f t="shared" si="79"/>
        <v>.</v>
      </c>
      <c r="E2447" s="13" t="str">
        <f>IFERROR(IF(AND(B2447&lt;&gt;"",C2447&lt;&gt;""),SUMIFS(Movimentos!$F$4:$F$9996,Movimentos!$D$4:$D$9996,B2447,Movimentos!$C$4:$C$9996,"Entrada")-SUMIFS(Movimentos!$F$4:$F$9996,Movimentos!$D$4:$D$9996,B2447,Movimentos!$C$4:$C$9996,"Saída"),""),"")</f>
        <v/>
      </c>
      <c r="F2447" s="10" t="str">
        <f t="shared" si="78"/>
        <v/>
      </c>
    </row>
    <row r="2448" spans="1:6" x14ac:dyDescent="0.3">
      <c r="A2448" s="15" t="str">
        <f t="shared" si="79"/>
        <v>.</v>
      </c>
      <c r="E2448" s="13" t="str">
        <f>IFERROR(IF(AND(B2448&lt;&gt;"",C2448&lt;&gt;""),SUMIFS(Movimentos!$F$4:$F$9996,Movimentos!$D$4:$D$9996,B2448,Movimentos!$C$4:$C$9996,"Entrada")-SUMIFS(Movimentos!$F$4:$F$9996,Movimentos!$D$4:$D$9996,B2448,Movimentos!$C$4:$C$9996,"Saída"),""),"")</f>
        <v/>
      </c>
      <c r="F2448" s="10" t="str">
        <f t="shared" si="78"/>
        <v/>
      </c>
    </row>
    <row r="2449" spans="1:6" x14ac:dyDescent="0.3">
      <c r="A2449" s="15" t="str">
        <f t="shared" si="79"/>
        <v>.</v>
      </c>
      <c r="E2449" s="13" t="str">
        <f>IFERROR(IF(AND(B2449&lt;&gt;"",C2449&lt;&gt;""),SUMIFS(Movimentos!$F$4:$F$9996,Movimentos!$D$4:$D$9996,B2449,Movimentos!$C$4:$C$9996,"Entrada")-SUMIFS(Movimentos!$F$4:$F$9996,Movimentos!$D$4:$D$9996,B2449,Movimentos!$C$4:$C$9996,"Saída"),""),"")</f>
        <v/>
      </c>
      <c r="F2449" s="10" t="str">
        <f t="shared" si="78"/>
        <v/>
      </c>
    </row>
    <row r="2450" spans="1:6" x14ac:dyDescent="0.3">
      <c r="A2450" s="15" t="str">
        <f t="shared" si="79"/>
        <v>.</v>
      </c>
      <c r="E2450" s="13" t="str">
        <f>IFERROR(IF(AND(B2450&lt;&gt;"",C2450&lt;&gt;""),SUMIFS(Movimentos!$F$4:$F$9996,Movimentos!$D$4:$D$9996,B2450,Movimentos!$C$4:$C$9996,"Entrada")-SUMIFS(Movimentos!$F$4:$F$9996,Movimentos!$D$4:$D$9996,B2450,Movimentos!$C$4:$C$9996,"Saída"),""),"")</f>
        <v/>
      </c>
      <c r="F2450" s="10" t="str">
        <f t="shared" si="78"/>
        <v/>
      </c>
    </row>
    <row r="2451" spans="1:6" x14ac:dyDescent="0.3">
      <c r="A2451" s="15" t="str">
        <f t="shared" si="79"/>
        <v>.</v>
      </c>
      <c r="E2451" s="13" t="str">
        <f>IFERROR(IF(AND(B2451&lt;&gt;"",C2451&lt;&gt;""),SUMIFS(Movimentos!$F$4:$F$9996,Movimentos!$D$4:$D$9996,B2451,Movimentos!$C$4:$C$9996,"Entrada")-SUMIFS(Movimentos!$F$4:$F$9996,Movimentos!$D$4:$D$9996,B2451,Movimentos!$C$4:$C$9996,"Saída"),""),"")</f>
        <v/>
      </c>
      <c r="F2451" s="10" t="str">
        <f t="shared" si="78"/>
        <v/>
      </c>
    </row>
    <row r="2452" spans="1:6" x14ac:dyDescent="0.3">
      <c r="A2452" s="15" t="str">
        <f t="shared" si="79"/>
        <v>.</v>
      </c>
      <c r="E2452" s="13" t="str">
        <f>IFERROR(IF(AND(B2452&lt;&gt;"",C2452&lt;&gt;""),SUMIFS(Movimentos!$F$4:$F$9996,Movimentos!$D$4:$D$9996,B2452,Movimentos!$C$4:$C$9996,"Entrada")-SUMIFS(Movimentos!$F$4:$F$9996,Movimentos!$D$4:$D$9996,B2452,Movimentos!$C$4:$C$9996,"Saída"),""),"")</f>
        <v/>
      </c>
      <c r="F2452" s="10" t="str">
        <f t="shared" si="78"/>
        <v/>
      </c>
    </row>
    <row r="2453" spans="1:6" x14ac:dyDescent="0.3">
      <c r="A2453" s="15" t="str">
        <f t="shared" si="79"/>
        <v>.</v>
      </c>
      <c r="E2453" s="13" t="str">
        <f>IFERROR(IF(AND(B2453&lt;&gt;"",C2453&lt;&gt;""),SUMIFS(Movimentos!$F$4:$F$9996,Movimentos!$D$4:$D$9996,B2453,Movimentos!$C$4:$C$9996,"Entrada")-SUMIFS(Movimentos!$F$4:$F$9996,Movimentos!$D$4:$D$9996,B2453,Movimentos!$C$4:$C$9996,"Saída"),""),"")</f>
        <v/>
      </c>
      <c r="F2453" s="10" t="str">
        <f t="shared" si="78"/>
        <v/>
      </c>
    </row>
    <row r="2454" spans="1:6" x14ac:dyDescent="0.3">
      <c r="A2454" s="15" t="str">
        <f t="shared" si="79"/>
        <v>.</v>
      </c>
      <c r="E2454" s="13" t="str">
        <f>IFERROR(IF(AND(B2454&lt;&gt;"",C2454&lt;&gt;""),SUMIFS(Movimentos!$F$4:$F$9996,Movimentos!$D$4:$D$9996,B2454,Movimentos!$C$4:$C$9996,"Entrada")-SUMIFS(Movimentos!$F$4:$F$9996,Movimentos!$D$4:$D$9996,B2454,Movimentos!$C$4:$C$9996,"Saída"),""),"")</f>
        <v/>
      </c>
      <c r="F2454" s="10" t="str">
        <f t="shared" si="78"/>
        <v/>
      </c>
    </row>
    <row r="2455" spans="1:6" x14ac:dyDescent="0.3">
      <c r="A2455" s="15" t="str">
        <f t="shared" si="79"/>
        <v>.</v>
      </c>
      <c r="E2455" s="13" t="str">
        <f>IFERROR(IF(AND(B2455&lt;&gt;"",C2455&lt;&gt;""),SUMIFS(Movimentos!$F$4:$F$9996,Movimentos!$D$4:$D$9996,B2455,Movimentos!$C$4:$C$9996,"Entrada")-SUMIFS(Movimentos!$F$4:$F$9996,Movimentos!$D$4:$D$9996,B2455,Movimentos!$C$4:$C$9996,"Saída"),""),"")</f>
        <v/>
      </c>
      <c r="F2455" s="10" t="str">
        <f t="shared" ref="F2455:F2518" si="80">IF(AND(B2455&lt;&gt;"",C2455&lt;&gt;""),IF(E2455=0,"Saldo zerado",IF(E2455&lt;D2455,"Saldo abaixo do mínimo","Saldo disponível")),"")</f>
        <v/>
      </c>
    </row>
    <row r="2456" spans="1:6" x14ac:dyDescent="0.3">
      <c r="A2456" s="15" t="str">
        <f t="shared" si="79"/>
        <v>.</v>
      </c>
      <c r="E2456" s="13" t="str">
        <f>IFERROR(IF(AND(B2456&lt;&gt;"",C2456&lt;&gt;""),SUMIFS(Movimentos!$F$4:$F$9996,Movimentos!$D$4:$D$9996,B2456,Movimentos!$C$4:$C$9996,"Entrada")-SUMIFS(Movimentos!$F$4:$F$9996,Movimentos!$D$4:$D$9996,B2456,Movimentos!$C$4:$C$9996,"Saída"),""),"")</f>
        <v/>
      </c>
      <c r="F2456" s="10" t="str">
        <f t="shared" si="80"/>
        <v/>
      </c>
    </row>
    <row r="2457" spans="1:6" x14ac:dyDescent="0.3">
      <c r="A2457" s="15" t="str">
        <f t="shared" si="79"/>
        <v>.</v>
      </c>
      <c r="E2457" s="13" t="str">
        <f>IFERROR(IF(AND(B2457&lt;&gt;"",C2457&lt;&gt;""),SUMIFS(Movimentos!$F$4:$F$9996,Movimentos!$D$4:$D$9996,B2457,Movimentos!$C$4:$C$9996,"Entrada")-SUMIFS(Movimentos!$F$4:$F$9996,Movimentos!$D$4:$D$9996,B2457,Movimentos!$C$4:$C$9996,"Saída"),""),"")</f>
        <v/>
      </c>
      <c r="F2457" s="10" t="str">
        <f t="shared" si="80"/>
        <v/>
      </c>
    </row>
    <row r="2458" spans="1:6" x14ac:dyDescent="0.3">
      <c r="A2458" s="15" t="str">
        <f t="shared" si="79"/>
        <v>.</v>
      </c>
      <c r="E2458" s="13" t="str">
        <f>IFERROR(IF(AND(B2458&lt;&gt;"",C2458&lt;&gt;""),SUMIFS(Movimentos!$F$4:$F$9996,Movimentos!$D$4:$D$9996,B2458,Movimentos!$C$4:$C$9996,"Entrada")-SUMIFS(Movimentos!$F$4:$F$9996,Movimentos!$D$4:$D$9996,B2458,Movimentos!$C$4:$C$9996,"Saída"),""),"")</f>
        <v/>
      </c>
      <c r="F2458" s="10" t="str">
        <f t="shared" si="80"/>
        <v/>
      </c>
    </row>
    <row r="2459" spans="1:6" x14ac:dyDescent="0.3">
      <c r="A2459" s="15" t="str">
        <f t="shared" si="79"/>
        <v>.</v>
      </c>
      <c r="E2459" s="13" t="str">
        <f>IFERROR(IF(AND(B2459&lt;&gt;"",C2459&lt;&gt;""),SUMIFS(Movimentos!$F$4:$F$9996,Movimentos!$D$4:$D$9996,B2459,Movimentos!$C$4:$C$9996,"Entrada")-SUMIFS(Movimentos!$F$4:$F$9996,Movimentos!$D$4:$D$9996,B2459,Movimentos!$C$4:$C$9996,"Saída"),""),"")</f>
        <v/>
      </c>
      <c r="F2459" s="10" t="str">
        <f t="shared" si="80"/>
        <v/>
      </c>
    </row>
    <row r="2460" spans="1:6" x14ac:dyDescent="0.3">
      <c r="A2460" s="15" t="str">
        <f t="shared" si="79"/>
        <v>.</v>
      </c>
      <c r="E2460" s="13" t="str">
        <f>IFERROR(IF(AND(B2460&lt;&gt;"",C2460&lt;&gt;""),SUMIFS(Movimentos!$F$4:$F$9996,Movimentos!$D$4:$D$9996,B2460,Movimentos!$C$4:$C$9996,"Entrada")-SUMIFS(Movimentos!$F$4:$F$9996,Movimentos!$D$4:$D$9996,B2460,Movimentos!$C$4:$C$9996,"Saída"),""),"")</f>
        <v/>
      </c>
      <c r="F2460" s="10" t="str">
        <f t="shared" si="80"/>
        <v/>
      </c>
    </row>
    <row r="2461" spans="1:6" x14ac:dyDescent="0.3">
      <c r="A2461" s="15" t="str">
        <f t="shared" si="79"/>
        <v>.</v>
      </c>
      <c r="E2461" s="13" t="str">
        <f>IFERROR(IF(AND(B2461&lt;&gt;"",C2461&lt;&gt;""),SUMIFS(Movimentos!$F$4:$F$9996,Movimentos!$D$4:$D$9996,B2461,Movimentos!$C$4:$C$9996,"Entrada")-SUMIFS(Movimentos!$F$4:$F$9996,Movimentos!$D$4:$D$9996,B2461,Movimentos!$C$4:$C$9996,"Saída"),""),"")</f>
        <v/>
      </c>
      <c r="F2461" s="10" t="str">
        <f t="shared" si="80"/>
        <v/>
      </c>
    </row>
    <row r="2462" spans="1:6" x14ac:dyDescent="0.3">
      <c r="A2462" s="15" t="str">
        <f t="shared" si="79"/>
        <v>.</v>
      </c>
      <c r="E2462" s="13" t="str">
        <f>IFERROR(IF(AND(B2462&lt;&gt;"",C2462&lt;&gt;""),SUMIFS(Movimentos!$F$4:$F$9996,Movimentos!$D$4:$D$9996,B2462,Movimentos!$C$4:$C$9996,"Entrada")-SUMIFS(Movimentos!$F$4:$F$9996,Movimentos!$D$4:$D$9996,B2462,Movimentos!$C$4:$C$9996,"Saída"),""),"")</f>
        <v/>
      </c>
      <c r="F2462" s="10" t="str">
        <f t="shared" si="80"/>
        <v/>
      </c>
    </row>
    <row r="2463" spans="1:6" x14ac:dyDescent="0.3">
      <c r="A2463" s="15" t="str">
        <f t="shared" si="79"/>
        <v>.</v>
      </c>
      <c r="E2463" s="13" t="str">
        <f>IFERROR(IF(AND(B2463&lt;&gt;"",C2463&lt;&gt;""),SUMIFS(Movimentos!$F$4:$F$9996,Movimentos!$D$4:$D$9996,B2463,Movimentos!$C$4:$C$9996,"Entrada")-SUMIFS(Movimentos!$F$4:$F$9996,Movimentos!$D$4:$D$9996,B2463,Movimentos!$C$4:$C$9996,"Saída"),""),"")</f>
        <v/>
      </c>
      <c r="F2463" s="10" t="str">
        <f t="shared" si="80"/>
        <v/>
      </c>
    </row>
    <row r="2464" spans="1:6" x14ac:dyDescent="0.3">
      <c r="A2464" s="15" t="str">
        <f t="shared" si="79"/>
        <v>.</v>
      </c>
      <c r="E2464" s="13" t="str">
        <f>IFERROR(IF(AND(B2464&lt;&gt;"",C2464&lt;&gt;""),SUMIFS(Movimentos!$F$4:$F$9996,Movimentos!$D$4:$D$9996,B2464,Movimentos!$C$4:$C$9996,"Entrada")-SUMIFS(Movimentos!$F$4:$F$9996,Movimentos!$D$4:$D$9996,B2464,Movimentos!$C$4:$C$9996,"Saída"),""),"")</f>
        <v/>
      </c>
      <c r="F2464" s="10" t="str">
        <f t="shared" si="80"/>
        <v/>
      </c>
    </row>
    <row r="2465" spans="1:6" x14ac:dyDescent="0.3">
      <c r="A2465" s="15" t="str">
        <f t="shared" si="79"/>
        <v>.</v>
      </c>
      <c r="E2465" s="13" t="str">
        <f>IFERROR(IF(AND(B2465&lt;&gt;"",C2465&lt;&gt;""),SUMIFS(Movimentos!$F$4:$F$9996,Movimentos!$D$4:$D$9996,B2465,Movimentos!$C$4:$C$9996,"Entrada")-SUMIFS(Movimentos!$F$4:$F$9996,Movimentos!$D$4:$D$9996,B2465,Movimentos!$C$4:$C$9996,"Saída"),""),"")</f>
        <v/>
      </c>
      <c r="F2465" s="10" t="str">
        <f t="shared" si="80"/>
        <v/>
      </c>
    </row>
    <row r="2466" spans="1:6" x14ac:dyDescent="0.3">
      <c r="A2466" s="15" t="str">
        <f t="shared" si="79"/>
        <v>.</v>
      </c>
      <c r="E2466" s="13" t="str">
        <f>IFERROR(IF(AND(B2466&lt;&gt;"",C2466&lt;&gt;""),SUMIFS(Movimentos!$F$4:$F$9996,Movimentos!$D$4:$D$9996,B2466,Movimentos!$C$4:$C$9996,"Entrada")-SUMIFS(Movimentos!$F$4:$F$9996,Movimentos!$D$4:$D$9996,B2466,Movimentos!$C$4:$C$9996,"Saída"),""),"")</f>
        <v/>
      </c>
      <c r="F2466" s="10" t="str">
        <f t="shared" si="80"/>
        <v/>
      </c>
    </row>
    <row r="2467" spans="1:6" x14ac:dyDescent="0.3">
      <c r="A2467" s="15" t="str">
        <f t="shared" si="79"/>
        <v>.</v>
      </c>
      <c r="E2467" s="13" t="str">
        <f>IFERROR(IF(AND(B2467&lt;&gt;"",C2467&lt;&gt;""),SUMIFS(Movimentos!$F$4:$F$9996,Movimentos!$D$4:$D$9996,B2467,Movimentos!$C$4:$C$9996,"Entrada")-SUMIFS(Movimentos!$F$4:$F$9996,Movimentos!$D$4:$D$9996,B2467,Movimentos!$C$4:$C$9996,"Saída"),""),"")</f>
        <v/>
      </c>
      <c r="F2467" s="10" t="str">
        <f t="shared" si="80"/>
        <v/>
      </c>
    </row>
    <row r="2468" spans="1:6" x14ac:dyDescent="0.3">
      <c r="A2468" s="15" t="str">
        <f t="shared" si="79"/>
        <v>.</v>
      </c>
      <c r="E2468" s="13" t="str">
        <f>IFERROR(IF(AND(B2468&lt;&gt;"",C2468&lt;&gt;""),SUMIFS(Movimentos!$F$4:$F$9996,Movimentos!$D$4:$D$9996,B2468,Movimentos!$C$4:$C$9996,"Entrada")-SUMIFS(Movimentos!$F$4:$F$9996,Movimentos!$D$4:$D$9996,B2468,Movimentos!$C$4:$C$9996,"Saída"),""),"")</f>
        <v/>
      </c>
      <c r="F2468" s="10" t="str">
        <f t="shared" si="80"/>
        <v/>
      </c>
    </row>
    <row r="2469" spans="1:6" x14ac:dyDescent="0.3">
      <c r="A2469" s="15" t="str">
        <f t="shared" si="79"/>
        <v>.</v>
      </c>
      <c r="E2469" s="13" t="str">
        <f>IFERROR(IF(AND(B2469&lt;&gt;"",C2469&lt;&gt;""),SUMIFS(Movimentos!$F$4:$F$9996,Movimentos!$D$4:$D$9996,B2469,Movimentos!$C$4:$C$9996,"Entrada")-SUMIFS(Movimentos!$F$4:$F$9996,Movimentos!$D$4:$D$9996,B2469,Movimentos!$C$4:$C$9996,"Saída"),""),"")</f>
        <v/>
      </c>
      <c r="F2469" s="10" t="str">
        <f t="shared" si="80"/>
        <v/>
      </c>
    </row>
    <row r="2470" spans="1:6" x14ac:dyDescent="0.3">
      <c r="A2470" s="15" t="str">
        <f t="shared" si="79"/>
        <v>.</v>
      </c>
      <c r="E2470" s="13" t="str">
        <f>IFERROR(IF(AND(B2470&lt;&gt;"",C2470&lt;&gt;""),SUMIFS(Movimentos!$F$4:$F$9996,Movimentos!$D$4:$D$9996,B2470,Movimentos!$C$4:$C$9996,"Entrada")-SUMIFS(Movimentos!$F$4:$F$9996,Movimentos!$D$4:$D$9996,B2470,Movimentos!$C$4:$C$9996,"Saída"),""),"")</f>
        <v/>
      </c>
      <c r="F2470" s="10" t="str">
        <f t="shared" si="80"/>
        <v/>
      </c>
    </row>
    <row r="2471" spans="1:6" x14ac:dyDescent="0.3">
      <c r="A2471" s="15" t="str">
        <f t="shared" si="79"/>
        <v>.</v>
      </c>
      <c r="E2471" s="13" t="str">
        <f>IFERROR(IF(AND(B2471&lt;&gt;"",C2471&lt;&gt;""),SUMIFS(Movimentos!$F$4:$F$9996,Movimentos!$D$4:$D$9996,B2471,Movimentos!$C$4:$C$9996,"Entrada")-SUMIFS(Movimentos!$F$4:$F$9996,Movimentos!$D$4:$D$9996,B2471,Movimentos!$C$4:$C$9996,"Saída"),""),"")</f>
        <v/>
      </c>
      <c r="F2471" s="10" t="str">
        <f t="shared" si="80"/>
        <v/>
      </c>
    </row>
    <row r="2472" spans="1:6" x14ac:dyDescent="0.3">
      <c r="A2472" s="15" t="str">
        <f t="shared" si="79"/>
        <v>.</v>
      </c>
      <c r="E2472" s="13" t="str">
        <f>IFERROR(IF(AND(B2472&lt;&gt;"",C2472&lt;&gt;""),SUMIFS(Movimentos!$F$4:$F$9996,Movimentos!$D$4:$D$9996,B2472,Movimentos!$C$4:$C$9996,"Entrada")-SUMIFS(Movimentos!$F$4:$F$9996,Movimentos!$D$4:$D$9996,B2472,Movimentos!$C$4:$C$9996,"Saída"),""),"")</f>
        <v/>
      </c>
      <c r="F2472" s="10" t="str">
        <f t="shared" si="80"/>
        <v/>
      </c>
    </row>
    <row r="2473" spans="1:6" x14ac:dyDescent="0.3">
      <c r="A2473" s="15" t="str">
        <f t="shared" si="79"/>
        <v>.</v>
      </c>
      <c r="E2473" s="13" t="str">
        <f>IFERROR(IF(AND(B2473&lt;&gt;"",C2473&lt;&gt;""),SUMIFS(Movimentos!$F$4:$F$9996,Movimentos!$D$4:$D$9996,B2473,Movimentos!$C$4:$C$9996,"Entrada")-SUMIFS(Movimentos!$F$4:$F$9996,Movimentos!$D$4:$D$9996,B2473,Movimentos!$C$4:$C$9996,"Saída"),""),"")</f>
        <v/>
      </c>
      <c r="F2473" s="10" t="str">
        <f t="shared" si="80"/>
        <v/>
      </c>
    </row>
    <row r="2474" spans="1:6" x14ac:dyDescent="0.3">
      <c r="A2474" s="15" t="str">
        <f t="shared" si="79"/>
        <v>.</v>
      </c>
      <c r="E2474" s="13" t="str">
        <f>IFERROR(IF(AND(B2474&lt;&gt;"",C2474&lt;&gt;""),SUMIFS(Movimentos!$F$4:$F$9996,Movimentos!$D$4:$D$9996,B2474,Movimentos!$C$4:$C$9996,"Entrada")-SUMIFS(Movimentos!$F$4:$F$9996,Movimentos!$D$4:$D$9996,B2474,Movimentos!$C$4:$C$9996,"Saída"),""),"")</f>
        <v/>
      </c>
      <c r="F2474" s="10" t="str">
        <f t="shared" si="80"/>
        <v/>
      </c>
    </row>
    <row r="2475" spans="1:6" x14ac:dyDescent="0.3">
      <c r="A2475" s="15" t="str">
        <f t="shared" si="79"/>
        <v>.</v>
      </c>
      <c r="E2475" s="13" t="str">
        <f>IFERROR(IF(AND(B2475&lt;&gt;"",C2475&lt;&gt;""),SUMIFS(Movimentos!$F$4:$F$9996,Movimentos!$D$4:$D$9996,B2475,Movimentos!$C$4:$C$9996,"Entrada")-SUMIFS(Movimentos!$F$4:$F$9996,Movimentos!$D$4:$D$9996,B2475,Movimentos!$C$4:$C$9996,"Saída"),""),"")</f>
        <v/>
      </c>
      <c r="F2475" s="10" t="str">
        <f t="shared" si="80"/>
        <v/>
      </c>
    </row>
    <row r="2476" spans="1:6" x14ac:dyDescent="0.3">
      <c r="A2476" s="15" t="str">
        <f t="shared" si="79"/>
        <v>.</v>
      </c>
      <c r="E2476" s="13" t="str">
        <f>IFERROR(IF(AND(B2476&lt;&gt;"",C2476&lt;&gt;""),SUMIFS(Movimentos!$F$4:$F$9996,Movimentos!$D$4:$D$9996,B2476,Movimentos!$C$4:$C$9996,"Entrada")-SUMIFS(Movimentos!$F$4:$F$9996,Movimentos!$D$4:$D$9996,B2476,Movimentos!$C$4:$C$9996,"Saída"),""),"")</f>
        <v/>
      </c>
      <c r="F2476" s="10" t="str">
        <f t="shared" si="80"/>
        <v/>
      </c>
    </row>
    <row r="2477" spans="1:6" x14ac:dyDescent="0.3">
      <c r="A2477" s="15" t="str">
        <f t="shared" si="79"/>
        <v>.</v>
      </c>
      <c r="E2477" s="13" t="str">
        <f>IFERROR(IF(AND(B2477&lt;&gt;"",C2477&lt;&gt;""),SUMIFS(Movimentos!$F$4:$F$9996,Movimentos!$D$4:$D$9996,B2477,Movimentos!$C$4:$C$9996,"Entrada")-SUMIFS(Movimentos!$F$4:$F$9996,Movimentos!$D$4:$D$9996,B2477,Movimentos!$C$4:$C$9996,"Saída"),""),"")</f>
        <v/>
      </c>
      <c r="F2477" s="10" t="str">
        <f t="shared" si="80"/>
        <v/>
      </c>
    </row>
    <row r="2478" spans="1:6" x14ac:dyDescent="0.3">
      <c r="A2478" s="15" t="str">
        <f t="shared" si="79"/>
        <v>.</v>
      </c>
      <c r="E2478" s="13" t="str">
        <f>IFERROR(IF(AND(B2478&lt;&gt;"",C2478&lt;&gt;""),SUMIFS(Movimentos!$F$4:$F$9996,Movimentos!$D$4:$D$9996,B2478,Movimentos!$C$4:$C$9996,"Entrada")-SUMIFS(Movimentos!$F$4:$F$9996,Movimentos!$D$4:$D$9996,B2478,Movimentos!$C$4:$C$9996,"Saída"),""),"")</f>
        <v/>
      </c>
      <c r="F2478" s="10" t="str">
        <f t="shared" si="80"/>
        <v/>
      </c>
    </row>
    <row r="2479" spans="1:6" x14ac:dyDescent="0.3">
      <c r="A2479" s="15" t="str">
        <f t="shared" si="79"/>
        <v>.</v>
      </c>
      <c r="E2479" s="13" t="str">
        <f>IFERROR(IF(AND(B2479&lt;&gt;"",C2479&lt;&gt;""),SUMIFS(Movimentos!$F$4:$F$9996,Movimentos!$D$4:$D$9996,B2479,Movimentos!$C$4:$C$9996,"Entrada")-SUMIFS(Movimentos!$F$4:$F$9996,Movimentos!$D$4:$D$9996,B2479,Movimentos!$C$4:$C$9996,"Saída"),""),"")</f>
        <v/>
      </c>
      <c r="F2479" s="10" t="str">
        <f t="shared" si="80"/>
        <v/>
      </c>
    </row>
    <row r="2480" spans="1:6" x14ac:dyDescent="0.3">
      <c r="A2480" s="15" t="str">
        <f t="shared" si="79"/>
        <v>.</v>
      </c>
      <c r="E2480" s="13" t="str">
        <f>IFERROR(IF(AND(B2480&lt;&gt;"",C2480&lt;&gt;""),SUMIFS(Movimentos!$F$4:$F$9996,Movimentos!$D$4:$D$9996,B2480,Movimentos!$C$4:$C$9996,"Entrada")-SUMIFS(Movimentos!$F$4:$F$9996,Movimentos!$D$4:$D$9996,B2480,Movimentos!$C$4:$C$9996,"Saída"),""),"")</f>
        <v/>
      </c>
      <c r="F2480" s="10" t="str">
        <f t="shared" si="80"/>
        <v/>
      </c>
    </row>
    <row r="2481" spans="1:6" x14ac:dyDescent="0.3">
      <c r="A2481" s="15" t="str">
        <f t="shared" si="79"/>
        <v>.</v>
      </c>
      <c r="E2481" s="13" t="str">
        <f>IFERROR(IF(AND(B2481&lt;&gt;"",C2481&lt;&gt;""),SUMIFS(Movimentos!$F$4:$F$9996,Movimentos!$D$4:$D$9996,B2481,Movimentos!$C$4:$C$9996,"Entrada")-SUMIFS(Movimentos!$F$4:$F$9996,Movimentos!$D$4:$D$9996,B2481,Movimentos!$C$4:$C$9996,"Saída"),""),"")</f>
        <v/>
      </c>
      <c r="F2481" s="10" t="str">
        <f t="shared" si="80"/>
        <v/>
      </c>
    </row>
    <row r="2482" spans="1:6" x14ac:dyDescent="0.3">
      <c r="A2482" s="15" t="str">
        <f t="shared" si="79"/>
        <v>.</v>
      </c>
      <c r="E2482" s="13" t="str">
        <f>IFERROR(IF(AND(B2482&lt;&gt;"",C2482&lt;&gt;""),SUMIFS(Movimentos!$F$4:$F$9996,Movimentos!$D$4:$D$9996,B2482,Movimentos!$C$4:$C$9996,"Entrada")-SUMIFS(Movimentos!$F$4:$F$9996,Movimentos!$D$4:$D$9996,B2482,Movimentos!$C$4:$C$9996,"Saída"),""),"")</f>
        <v/>
      </c>
      <c r="F2482" s="10" t="str">
        <f t="shared" si="80"/>
        <v/>
      </c>
    </row>
    <row r="2483" spans="1:6" x14ac:dyDescent="0.3">
      <c r="A2483" s="15" t="str">
        <f t="shared" si="79"/>
        <v>.</v>
      </c>
      <c r="E2483" s="13" t="str">
        <f>IFERROR(IF(AND(B2483&lt;&gt;"",C2483&lt;&gt;""),SUMIFS(Movimentos!$F$4:$F$9996,Movimentos!$D$4:$D$9996,B2483,Movimentos!$C$4:$C$9996,"Entrada")-SUMIFS(Movimentos!$F$4:$F$9996,Movimentos!$D$4:$D$9996,B2483,Movimentos!$C$4:$C$9996,"Saída"),""),"")</f>
        <v/>
      </c>
      <c r="F2483" s="10" t="str">
        <f t="shared" si="80"/>
        <v/>
      </c>
    </row>
    <row r="2484" spans="1:6" x14ac:dyDescent="0.3">
      <c r="A2484" s="15" t="str">
        <f t="shared" si="79"/>
        <v>.</v>
      </c>
      <c r="E2484" s="13" t="str">
        <f>IFERROR(IF(AND(B2484&lt;&gt;"",C2484&lt;&gt;""),SUMIFS(Movimentos!$F$4:$F$9996,Movimentos!$D$4:$D$9996,B2484,Movimentos!$C$4:$C$9996,"Entrada")-SUMIFS(Movimentos!$F$4:$F$9996,Movimentos!$D$4:$D$9996,B2484,Movimentos!$C$4:$C$9996,"Saída"),""),"")</f>
        <v/>
      </c>
      <c r="F2484" s="10" t="str">
        <f t="shared" si="80"/>
        <v/>
      </c>
    </row>
    <row r="2485" spans="1:6" x14ac:dyDescent="0.3">
      <c r="A2485" s="15" t="str">
        <f t="shared" si="79"/>
        <v>.</v>
      </c>
      <c r="E2485" s="13" t="str">
        <f>IFERROR(IF(AND(B2485&lt;&gt;"",C2485&lt;&gt;""),SUMIFS(Movimentos!$F$4:$F$9996,Movimentos!$D$4:$D$9996,B2485,Movimentos!$C$4:$C$9996,"Entrada")-SUMIFS(Movimentos!$F$4:$F$9996,Movimentos!$D$4:$D$9996,B2485,Movimentos!$C$4:$C$9996,"Saída"),""),"")</f>
        <v/>
      </c>
      <c r="F2485" s="10" t="str">
        <f t="shared" si="80"/>
        <v/>
      </c>
    </row>
    <row r="2486" spans="1:6" x14ac:dyDescent="0.3">
      <c r="A2486" s="15" t="str">
        <f t="shared" si="79"/>
        <v>.</v>
      </c>
      <c r="E2486" s="13" t="str">
        <f>IFERROR(IF(AND(B2486&lt;&gt;"",C2486&lt;&gt;""),SUMIFS(Movimentos!$F$4:$F$9996,Movimentos!$D$4:$D$9996,B2486,Movimentos!$C$4:$C$9996,"Entrada")-SUMIFS(Movimentos!$F$4:$F$9996,Movimentos!$D$4:$D$9996,B2486,Movimentos!$C$4:$C$9996,"Saída"),""),"")</f>
        <v/>
      </c>
      <c r="F2486" s="10" t="str">
        <f t="shared" si="80"/>
        <v/>
      </c>
    </row>
    <row r="2487" spans="1:6" x14ac:dyDescent="0.3">
      <c r="A2487" s="15" t="str">
        <f t="shared" si="79"/>
        <v>.</v>
      </c>
      <c r="E2487" s="13" t="str">
        <f>IFERROR(IF(AND(B2487&lt;&gt;"",C2487&lt;&gt;""),SUMIFS(Movimentos!$F$4:$F$9996,Movimentos!$D$4:$D$9996,B2487,Movimentos!$C$4:$C$9996,"Entrada")-SUMIFS(Movimentos!$F$4:$F$9996,Movimentos!$D$4:$D$9996,B2487,Movimentos!$C$4:$C$9996,"Saída"),""),"")</f>
        <v/>
      </c>
      <c r="F2487" s="10" t="str">
        <f t="shared" si="80"/>
        <v/>
      </c>
    </row>
    <row r="2488" spans="1:6" x14ac:dyDescent="0.3">
      <c r="A2488" s="15" t="str">
        <f t="shared" si="79"/>
        <v>.</v>
      </c>
      <c r="E2488" s="13" t="str">
        <f>IFERROR(IF(AND(B2488&lt;&gt;"",C2488&lt;&gt;""),SUMIFS(Movimentos!$F$4:$F$9996,Movimentos!$D$4:$D$9996,B2488,Movimentos!$C$4:$C$9996,"Entrada")-SUMIFS(Movimentos!$F$4:$F$9996,Movimentos!$D$4:$D$9996,B2488,Movimentos!$C$4:$C$9996,"Saída"),""),"")</f>
        <v/>
      </c>
      <c r="F2488" s="10" t="str">
        <f t="shared" si="80"/>
        <v/>
      </c>
    </row>
    <row r="2489" spans="1:6" x14ac:dyDescent="0.3">
      <c r="A2489" s="15" t="str">
        <f t="shared" si="79"/>
        <v>.</v>
      </c>
      <c r="E2489" s="13" t="str">
        <f>IFERROR(IF(AND(B2489&lt;&gt;"",C2489&lt;&gt;""),SUMIFS(Movimentos!$F$4:$F$9996,Movimentos!$D$4:$D$9996,B2489,Movimentos!$C$4:$C$9996,"Entrada")-SUMIFS(Movimentos!$F$4:$F$9996,Movimentos!$D$4:$D$9996,B2489,Movimentos!$C$4:$C$9996,"Saída"),""),"")</f>
        <v/>
      </c>
      <c r="F2489" s="10" t="str">
        <f t="shared" si="80"/>
        <v/>
      </c>
    </row>
    <row r="2490" spans="1:6" x14ac:dyDescent="0.3">
      <c r="A2490" s="15" t="str">
        <f t="shared" si="79"/>
        <v>.</v>
      </c>
      <c r="E2490" s="13" t="str">
        <f>IFERROR(IF(AND(B2490&lt;&gt;"",C2490&lt;&gt;""),SUMIFS(Movimentos!$F$4:$F$9996,Movimentos!$D$4:$D$9996,B2490,Movimentos!$C$4:$C$9996,"Entrada")-SUMIFS(Movimentos!$F$4:$F$9996,Movimentos!$D$4:$D$9996,B2490,Movimentos!$C$4:$C$9996,"Saída"),""),"")</f>
        <v/>
      </c>
      <c r="F2490" s="10" t="str">
        <f t="shared" si="80"/>
        <v/>
      </c>
    </row>
    <row r="2491" spans="1:6" x14ac:dyDescent="0.3">
      <c r="A2491" s="15" t="str">
        <f t="shared" si="79"/>
        <v>.</v>
      </c>
      <c r="E2491" s="13" t="str">
        <f>IFERROR(IF(AND(B2491&lt;&gt;"",C2491&lt;&gt;""),SUMIFS(Movimentos!$F$4:$F$9996,Movimentos!$D$4:$D$9996,B2491,Movimentos!$C$4:$C$9996,"Entrada")-SUMIFS(Movimentos!$F$4:$F$9996,Movimentos!$D$4:$D$9996,B2491,Movimentos!$C$4:$C$9996,"Saída"),""),"")</f>
        <v/>
      </c>
      <c r="F2491" s="10" t="str">
        <f t="shared" si="80"/>
        <v/>
      </c>
    </row>
    <row r="2492" spans="1:6" x14ac:dyDescent="0.3">
      <c r="A2492" s="15" t="str">
        <f t="shared" si="79"/>
        <v>.</v>
      </c>
      <c r="E2492" s="13" t="str">
        <f>IFERROR(IF(AND(B2492&lt;&gt;"",C2492&lt;&gt;""),SUMIFS(Movimentos!$F$4:$F$9996,Movimentos!$D$4:$D$9996,B2492,Movimentos!$C$4:$C$9996,"Entrada")-SUMIFS(Movimentos!$F$4:$F$9996,Movimentos!$D$4:$D$9996,B2492,Movimentos!$C$4:$C$9996,"Saída"),""),"")</f>
        <v/>
      </c>
      <c r="F2492" s="10" t="str">
        <f t="shared" si="80"/>
        <v/>
      </c>
    </row>
    <row r="2493" spans="1:6" x14ac:dyDescent="0.3">
      <c r="A2493" s="15" t="str">
        <f t="shared" si="79"/>
        <v>.</v>
      </c>
      <c r="E2493" s="13" t="str">
        <f>IFERROR(IF(AND(B2493&lt;&gt;"",C2493&lt;&gt;""),SUMIFS(Movimentos!$F$4:$F$9996,Movimentos!$D$4:$D$9996,B2493,Movimentos!$C$4:$C$9996,"Entrada")-SUMIFS(Movimentos!$F$4:$F$9996,Movimentos!$D$4:$D$9996,B2493,Movimentos!$C$4:$C$9996,"Saída"),""),"")</f>
        <v/>
      </c>
      <c r="F2493" s="10" t="str">
        <f t="shared" si="80"/>
        <v/>
      </c>
    </row>
    <row r="2494" spans="1:6" x14ac:dyDescent="0.3">
      <c r="A2494" s="15" t="str">
        <f t="shared" si="79"/>
        <v>.</v>
      </c>
      <c r="E2494" s="13" t="str">
        <f>IFERROR(IF(AND(B2494&lt;&gt;"",C2494&lt;&gt;""),SUMIFS(Movimentos!$F$4:$F$9996,Movimentos!$D$4:$D$9996,B2494,Movimentos!$C$4:$C$9996,"Entrada")-SUMIFS(Movimentos!$F$4:$F$9996,Movimentos!$D$4:$D$9996,B2494,Movimentos!$C$4:$C$9996,"Saída"),""),"")</f>
        <v/>
      </c>
      <c r="F2494" s="10" t="str">
        <f t="shared" si="80"/>
        <v/>
      </c>
    </row>
    <row r="2495" spans="1:6" x14ac:dyDescent="0.3">
      <c r="A2495" s="15" t="str">
        <f t="shared" si="79"/>
        <v>.</v>
      </c>
      <c r="E2495" s="13" t="str">
        <f>IFERROR(IF(AND(B2495&lt;&gt;"",C2495&lt;&gt;""),SUMIFS(Movimentos!$F$4:$F$9996,Movimentos!$D$4:$D$9996,B2495,Movimentos!$C$4:$C$9996,"Entrada")-SUMIFS(Movimentos!$F$4:$F$9996,Movimentos!$D$4:$D$9996,B2495,Movimentos!$C$4:$C$9996,"Saída"),""),"")</f>
        <v/>
      </c>
      <c r="F2495" s="10" t="str">
        <f t="shared" si="80"/>
        <v/>
      </c>
    </row>
    <row r="2496" spans="1:6" x14ac:dyDescent="0.3">
      <c r="A2496" s="15" t="str">
        <f t="shared" ref="A2496:A2559" si="81">IF(F2496="Saldo zerado",0,IF(F2496="Saldo abaixo do mínimo",1,IF(F2496="Saldo disponível",2,".")))</f>
        <v>.</v>
      </c>
      <c r="E2496" s="13" t="str">
        <f>IFERROR(IF(AND(B2496&lt;&gt;"",C2496&lt;&gt;""),SUMIFS(Movimentos!$F$4:$F$9996,Movimentos!$D$4:$D$9996,B2496,Movimentos!$C$4:$C$9996,"Entrada")-SUMIFS(Movimentos!$F$4:$F$9996,Movimentos!$D$4:$D$9996,B2496,Movimentos!$C$4:$C$9996,"Saída"),""),"")</f>
        <v/>
      </c>
      <c r="F2496" s="10" t="str">
        <f t="shared" si="80"/>
        <v/>
      </c>
    </row>
    <row r="2497" spans="1:6" x14ac:dyDescent="0.3">
      <c r="A2497" s="15" t="str">
        <f t="shared" si="81"/>
        <v>.</v>
      </c>
      <c r="E2497" s="13" t="str">
        <f>IFERROR(IF(AND(B2497&lt;&gt;"",C2497&lt;&gt;""),SUMIFS(Movimentos!$F$4:$F$9996,Movimentos!$D$4:$D$9996,B2497,Movimentos!$C$4:$C$9996,"Entrada")-SUMIFS(Movimentos!$F$4:$F$9996,Movimentos!$D$4:$D$9996,B2497,Movimentos!$C$4:$C$9996,"Saída"),""),"")</f>
        <v/>
      </c>
      <c r="F2497" s="10" t="str">
        <f t="shared" si="80"/>
        <v/>
      </c>
    </row>
    <row r="2498" spans="1:6" x14ac:dyDescent="0.3">
      <c r="A2498" s="15" t="str">
        <f t="shared" si="81"/>
        <v>.</v>
      </c>
      <c r="E2498" s="13" t="str">
        <f>IFERROR(IF(AND(B2498&lt;&gt;"",C2498&lt;&gt;""),SUMIFS(Movimentos!$F$4:$F$9996,Movimentos!$D$4:$D$9996,B2498,Movimentos!$C$4:$C$9996,"Entrada")-SUMIFS(Movimentos!$F$4:$F$9996,Movimentos!$D$4:$D$9996,B2498,Movimentos!$C$4:$C$9996,"Saída"),""),"")</f>
        <v/>
      </c>
      <c r="F2498" s="10" t="str">
        <f t="shared" si="80"/>
        <v/>
      </c>
    </row>
    <row r="2499" spans="1:6" x14ac:dyDescent="0.3">
      <c r="A2499" s="15" t="str">
        <f t="shared" si="81"/>
        <v>.</v>
      </c>
      <c r="E2499" s="13" t="str">
        <f>IFERROR(IF(AND(B2499&lt;&gt;"",C2499&lt;&gt;""),SUMIFS(Movimentos!$F$4:$F$9996,Movimentos!$D$4:$D$9996,B2499,Movimentos!$C$4:$C$9996,"Entrada")-SUMIFS(Movimentos!$F$4:$F$9996,Movimentos!$D$4:$D$9996,B2499,Movimentos!$C$4:$C$9996,"Saída"),""),"")</f>
        <v/>
      </c>
      <c r="F2499" s="10" t="str">
        <f t="shared" si="80"/>
        <v/>
      </c>
    </row>
    <row r="2500" spans="1:6" x14ac:dyDescent="0.3">
      <c r="A2500" s="15" t="str">
        <f t="shared" si="81"/>
        <v>.</v>
      </c>
      <c r="E2500" s="13" t="str">
        <f>IFERROR(IF(AND(B2500&lt;&gt;"",C2500&lt;&gt;""),SUMIFS(Movimentos!$F$4:$F$9996,Movimentos!$D$4:$D$9996,B2500,Movimentos!$C$4:$C$9996,"Entrada")-SUMIFS(Movimentos!$F$4:$F$9996,Movimentos!$D$4:$D$9996,B2500,Movimentos!$C$4:$C$9996,"Saída"),""),"")</f>
        <v/>
      </c>
      <c r="F2500" s="10" t="str">
        <f t="shared" si="80"/>
        <v/>
      </c>
    </row>
    <row r="2501" spans="1:6" x14ac:dyDescent="0.3">
      <c r="A2501" s="15" t="str">
        <f t="shared" si="81"/>
        <v>.</v>
      </c>
      <c r="E2501" s="13" t="str">
        <f>IFERROR(IF(AND(B2501&lt;&gt;"",C2501&lt;&gt;""),SUMIFS(Movimentos!$F$4:$F$9996,Movimentos!$D$4:$D$9996,B2501,Movimentos!$C$4:$C$9996,"Entrada")-SUMIFS(Movimentos!$F$4:$F$9996,Movimentos!$D$4:$D$9996,B2501,Movimentos!$C$4:$C$9996,"Saída"),""),"")</f>
        <v/>
      </c>
      <c r="F2501" s="10" t="str">
        <f t="shared" si="80"/>
        <v/>
      </c>
    </row>
    <row r="2502" spans="1:6" x14ac:dyDescent="0.3">
      <c r="A2502" s="15" t="str">
        <f t="shared" si="81"/>
        <v>.</v>
      </c>
      <c r="E2502" s="13" t="str">
        <f>IFERROR(IF(AND(B2502&lt;&gt;"",C2502&lt;&gt;""),SUMIFS(Movimentos!$F$4:$F$9996,Movimentos!$D$4:$D$9996,B2502,Movimentos!$C$4:$C$9996,"Entrada")-SUMIFS(Movimentos!$F$4:$F$9996,Movimentos!$D$4:$D$9996,B2502,Movimentos!$C$4:$C$9996,"Saída"),""),"")</f>
        <v/>
      </c>
      <c r="F2502" s="10" t="str">
        <f t="shared" si="80"/>
        <v/>
      </c>
    </row>
    <row r="2503" spans="1:6" x14ac:dyDescent="0.3">
      <c r="A2503" s="15" t="str">
        <f t="shared" si="81"/>
        <v>.</v>
      </c>
      <c r="E2503" s="13" t="str">
        <f>IFERROR(IF(AND(B2503&lt;&gt;"",C2503&lt;&gt;""),SUMIFS(Movimentos!$F$4:$F$9996,Movimentos!$D$4:$D$9996,B2503,Movimentos!$C$4:$C$9996,"Entrada")-SUMIFS(Movimentos!$F$4:$F$9996,Movimentos!$D$4:$D$9996,B2503,Movimentos!$C$4:$C$9996,"Saída"),""),"")</f>
        <v/>
      </c>
      <c r="F2503" s="10" t="str">
        <f t="shared" si="80"/>
        <v/>
      </c>
    </row>
    <row r="2504" spans="1:6" x14ac:dyDescent="0.3">
      <c r="A2504" s="15" t="str">
        <f t="shared" si="81"/>
        <v>.</v>
      </c>
      <c r="E2504" s="13" t="str">
        <f>IFERROR(IF(AND(B2504&lt;&gt;"",C2504&lt;&gt;""),SUMIFS(Movimentos!$F$4:$F$9996,Movimentos!$D$4:$D$9996,B2504,Movimentos!$C$4:$C$9996,"Entrada")-SUMIFS(Movimentos!$F$4:$F$9996,Movimentos!$D$4:$D$9996,B2504,Movimentos!$C$4:$C$9996,"Saída"),""),"")</f>
        <v/>
      </c>
      <c r="F2504" s="10" t="str">
        <f t="shared" si="80"/>
        <v/>
      </c>
    </row>
    <row r="2505" spans="1:6" x14ac:dyDescent="0.3">
      <c r="A2505" s="15" t="str">
        <f t="shared" si="81"/>
        <v>.</v>
      </c>
      <c r="E2505" s="13" t="str">
        <f>IFERROR(IF(AND(B2505&lt;&gt;"",C2505&lt;&gt;""),SUMIFS(Movimentos!$F$4:$F$9996,Movimentos!$D$4:$D$9996,B2505,Movimentos!$C$4:$C$9996,"Entrada")-SUMIFS(Movimentos!$F$4:$F$9996,Movimentos!$D$4:$D$9996,B2505,Movimentos!$C$4:$C$9996,"Saída"),""),"")</f>
        <v/>
      </c>
      <c r="F2505" s="10" t="str">
        <f t="shared" si="80"/>
        <v/>
      </c>
    </row>
    <row r="2506" spans="1:6" x14ac:dyDescent="0.3">
      <c r="A2506" s="15" t="str">
        <f t="shared" si="81"/>
        <v>.</v>
      </c>
      <c r="E2506" s="13" t="str">
        <f>IFERROR(IF(AND(B2506&lt;&gt;"",C2506&lt;&gt;""),SUMIFS(Movimentos!$F$4:$F$9996,Movimentos!$D$4:$D$9996,B2506,Movimentos!$C$4:$C$9996,"Entrada")-SUMIFS(Movimentos!$F$4:$F$9996,Movimentos!$D$4:$D$9996,B2506,Movimentos!$C$4:$C$9996,"Saída"),""),"")</f>
        <v/>
      </c>
      <c r="F2506" s="10" t="str">
        <f t="shared" si="80"/>
        <v/>
      </c>
    </row>
    <row r="2507" spans="1:6" x14ac:dyDescent="0.3">
      <c r="A2507" s="15" t="str">
        <f t="shared" si="81"/>
        <v>.</v>
      </c>
      <c r="E2507" s="13" t="str">
        <f>IFERROR(IF(AND(B2507&lt;&gt;"",C2507&lt;&gt;""),SUMIFS(Movimentos!$F$4:$F$9996,Movimentos!$D$4:$D$9996,B2507,Movimentos!$C$4:$C$9996,"Entrada")-SUMIFS(Movimentos!$F$4:$F$9996,Movimentos!$D$4:$D$9996,B2507,Movimentos!$C$4:$C$9996,"Saída"),""),"")</f>
        <v/>
      </c>
      <c r="F2507" s="10" t="str">
        <f t="shared" si="80"/>
        <v/>
      </c>
    </row>
    <row r="2508" spans="1:6" x14ac:dyDescent="0.3">
      <c r="A2508" s="15" t="str">
        <f t="shared" si="81"/>
        <v>.</v>
      </c>
      <c r="E2508" s="13" t="str">
        <f>IFERROR(IF(AND(B2508&lt;&gt;"",C2508&lt;&gt;""),SUMIFS(Movimentos!$F$4:$F$9996,Movimentos!$D$4:$D$9996,B2508,Movimentos!$C$4:$C$9996,"Entrada")-SUMIFS(Movimentos!$F$4:$F$9996,Movimentos!$D$4:$D$9996,B2508,Movimentos!$C$4:$C$9996,"Saída"),""),"")</f>
        <v/>
      </c>
      <c r="F2508" s="10" t="str">
        <f t="shared" si="80"/>
        <v/>
      </c>
    </row>
    <row r="2509" spans="1:6" x14ac:dyDescent="0.3">
      <c r="A2509" s="15" t="str">
        <f t="shared" si="81"/>
        <v>.</v>
      </c>
      <c r="E2509" s="13" t="str">
        <f>IFERROR(IF(AND(B2509&lt;&gt;"",C2509&lt;&gt;""),SUMIFS(Movimentos!$F$4:$F$9996,Movimentos!$D$4:$D$9996,B2509,Movimentos!$C$4:$C$9996,"Entrada")-SUMIFS(Movimentos!$F$4:$F$9996,Movimentos!$D$4:$D$9996,B2509,Movimentos!$C$4:$C$9996,"Saída"),""),"")</f>
        <v/>
      </c>
      <c r="F2509" s="10" t="str">
        <f t="shared" si="80"/>
        <v/>
      </c>
    </row>
    <row r="2510" spans="1:6" x14ac:dyDescent="0.3">
      <c r="A2510" s="15" t="str">
        <f t="shared" si="81"/>
        <v>.</v>
      </c>
      <c r="E2510" s="13" t="str">
        <f>IFERROR(IF(AND(B2510&lt;&gt;"",C2510&lt;&gt;""),SUMIFS(Movimentos!$F$4:$F$9996,Movimentos!$D$4:$D$9996,B2510,Movimentos!$C$4:$C$9996,"Entrada")-SUMIFS(Movimentos!$F$4:$F$9996,Movimentos!$D$4:$D$9996,B2510,Movimentos!$C$4:$C$9996,"Saída"),""),"")</f>
        <v/>
      </c>
      <c r="F2510" s="10" t="str">
        <f t="shared" si="80"/>
        <v/>
      </c>
    </row>
    <row r="2511" spans="1:6" x14ac:dyDescent="0.3">
      <c r="A2511" s="15" t="str">
        <f t="shared" si="81"/>
        <v>.</v>
      </c>
      <c r="E2511" s="13" t="str">
        <f>IFERROR(IF(AND(B2511&lt;&gt;"",C2511&lt;&gt;""),SUMIFS(Movimentos!$F$4:$F$9996,Movimentos!$D$4:$D$9996,B2511,Movimentos!$C$4:$C$9996,"Entrada")-SUMIFS(Movimentos!$F$4:$F$9996,Movimentos!$D$4:$D$9996,B2511,Movimentos!$C$4:$C$9996,"Saída"),""),"")</f>
        <v/>
      </c>
      <c r="F2511" s="10" t="str">
        <f t="shared" si="80"/>
        <v/>
      </c>
    </row>
    <row r="2512" spans="1:6" x14ac:dyDescent="0.3">
      <c r="A2512" s="15" t="str">
        <f t="shared" si="81"/>
        <v>.</v>
      </c>
      <c r="E2512" s="13" t="str">
        <f>IFERROR(IF(AND(B2512&lt;&gt;"",C2512&lt;&gt;""),SUMIFS(Movimentos!$F$4:$F$9996,Movimentos!$D$4:$D$9996,B2512,Movimentos!$C$4:$C$9996,"Entrada")-SUMIFS(Movimentos!$F$4:$F$9996,Movimentos!$D$4:$D$9996,B2512,Movimentos!$C$4:$C$9996,"Saída"),""),"")</f>
        <v/>
      </c>
      <c r="F2512" s="10" t="str">
        <f t="shared" si="80"/>
        <v/>
      </c>
    </row>
    <row r="2513" spans="1:6" x14ac:dyDescent="0.3">
      <c r="A2513" s="15" t="str">
        <f t="shared" si="81"/>
        <v>.</v>
      </c>
      <c r="E2513" s="13" t="str">
        <f>IFERROR(IF(AND(B2513&lt;&gt;"",C2513&lt;&gt;""),SUMIFS(Movimentos!$F$4:$F$9996,Movimentos!$D$4:$D$9996,B2513,Movimentos!$C$4:$C$9996,"Entrada")-SUMIFS(Movimentos!$F$4:$F$9996,Movimentos!$D$4:$D$9996,B2513,Movimentos!$C$4:$C$9996,"Saída"),""),"")</f>
        <v/>
      </c>
      <c r="F2513" s="10" t="str">
        <f t="shared" si="80"/>
        <v/>
      </c>
    </row>
    <row r="2514" spans="1:6" x14ac:dyDescent="0.3">
      <c r="A2514" s="15" t="str">
        <f t="shared" si="81"/>
        <v>.</v>
      </c>
      <c r="E2514" s="13" t="str">
        <f>IFERROR(IF(AND(B2514&lt;&gt;"",C2514&lt;&gt;""),SUMIFS(Movimentos!$F$4:$F$9996,Movimentos!$D$4:$D$9996,B2514,Movimentos!$C$4:$C$9996,"Entrada")-SUMIFS(Movimentos!$F$4:$F$9996,Movimentos!$D$4:$D$9996,B2514,Movimentos!$C$4:$C$9996,"Saída"),""),"")</f>
        <v/>
      </c>
      <c r="F2514" s="10" t="str">
        <f t="shared" si="80"/>
        <v/>
      </c>
    </row>
    <row r="2515" spans="1:6" x14ac:dyDescent="0.3">
      <c r="A2515" s="15" t="str">
        <f t="shared" si="81"/>
        <v>.</v>
      </c>
      <c r="E2515" s="13" t="str">
        <f>IFERROR(IF(AND(B2515&lt;&gt;"",C2515&lt;&gt;""),SUMIFS(Movimentos!$F$4:$F$9996,Movimentos!$D$4:$D$9996,B2515,Movimentos!$C$4:$C$9996,"Entrada")-SUMIFS(Movimentos!$F$4:$F$9996,Movimentos!$D$4:$D$9996,B2515,Movimentos!$C$4:$C$9996,"Saída"),""),"")</f>
        <v/>
      </c>
      <c r="F2515" s="10" t="str">
        <f t="shared" si="80"/>
        <v/>
      </c>
    </row>
    <row r="2516" spans="1:6" x14ac:dyDescent="0.3">
      <c r="A2516" s="15" t="str">
        <f t="shared" si="81"/>
        <v>.</v>
      </c>
      <c r="E2516" s="13" t="str">
        <f>IFERROR(IF(AND(B2516&lt;&gt;"",C2516&lt;&gt;""),SUMIFS(Movimentos!$F$4:$F$9996,Movimentos!$D$4:$D$9996,B2516,Movimentos!$C$4:$C$9996,"Entrada")-SUMIFS(Movimentos!$F$4:$F$9996,Movimentos!$D$4:$D$9996,B2516,Movimentos!$C$4:$C$9996,"Saída"),""),"")</f>
        <v/>
      </c>
      <c r="F2516" s="10" t="str">
        <f t="shared" si="80"/>
        <v/>
      </c>
    </row>
    <row r="2517" spans="1:6" x14ac:dyDescent="0.3">
      <c r="A2517" s="15" t="str">
        <f t="shared" si="81"/>
        <v>.</v>
      </c>
      <c r="E2517" s="13" t="str">
        <f>IFERROR(IF(AND(B2517&lt;&gt;"",C2517&lt;&gt;""),SUMIFS(Movimentos!$F$4:$F$9996,Movimentos!$D$4:$D$9996,B2517,Movimentos!$C$4:$C$9996,"Entrada")-SUMIFS(Movimentos!$F$4:$F$9996,Movimentos!$D$4:$D$9996,B2517,Movimentos!$C$4:$C$9996,"Saída"),""),"")</f>
        <v/>
      </c>
      <c r="F2517" s="10" t="str">
        <f t="shared" si="80"/>
        <v/>
      </c>
    </row>
    <row r="2518" spans="1:6" x14ac:dyDescent="0.3">
      <c r="A2518" s="15" t="str">
        <f t="shared" si="81"/>
        <v>.</v>
      </c>
      <c r="E2518" s="13" t="str">
        <f>IFERROR(IF(AND(B2518&lt;&gt;"",C2518&lt;&gt;""),SUMIFS(Movimentos!$F$4:$F$9996,Movimentos!$D$4:$D$9996,B2518,Movimentos!$C$4:$C$9996,"Entrada")-SUMIFS(Movimentos!$F$4:$F$9996,Movimentos!$D$4:$D$9996,B2518,Movimentos!$C$4:$C$9996,"Saída"),""),"")</f>
        <v/>
      </c>
      <c r="F2518" s="10" t="str">
        <f t="shared" si="80"/>
        <v/>
      </c>
    </row>
    <row r="2519" spans="1:6" x14ac:dyDescent="0.3">
      <c r="A2519" s="15" t="str">
        <f t="shared" si="81"/>
        <v>.</v>
      </c>
      <c r="E2519" s="13" t="str">
        <f>IFERROR(IF(AND(B2519&lt;&gt;"",C2519&lt;&gt;""),SUMIFS(Movimentos!$F$4:$F$9996,Movimentos!$D$4:$D$9996,B2519,Movimentos!$C$4:$C$9996,"Entrada")-SUMIFS(Movimentos!$F$4:$F$9996,Movimentos!$D$4:$D$9996,B2519,Movimentos!$C$4:$C$9996,"Saída"),""),"")</f>
        <v/>
      </c>
      <c r="F2519" s="10" t="str">
        <f t="shared" ref="F2519:F2582" si="82">IF(AND(B2519&lt;&gt;"",C2519&lt;&gt;""),IF(E2519=0,"Saldo zerado",IF(E2519&lt;D2519,"Saldo abaixo do mínimo","Saldo disponível")),"")</f>
        <v/>
      </c>
    </row>
    <row r="2520" spans="1:6" x14ac:dyDescent="0.3">
      <c r="A2520" s="15" t="str">
        <f t="shared" si="81"/>
        <v>.</v>
      </c>
      <c r="E2520" s="13" t="str">
        <f>IFERROR(IF(AND(B2520&lt;&gt;"",C2520&lt;&gt;""),SUMIFS(Movimentos!$F$4:$F$9996,Movimentos!$D$4:$D$9996,B2520,Movimentos!$C$4:$C$9996,"Entrada")-SUMIFS(Movimentos!$F$4:$F$9996,Movimentos!$D$4:$D$9996,B2520,Movimentos!$C$4:$C$9996,"Saída"),""),"")</f>
        <v/>
      </c>
      <c r="F2520" s="10" t="str">
        <f t="shared" si="82"/>
        <v/>
      </c>
    </row>
    <row r="2521" spans="1:6" x14ac:dyDescent="0.3">
      <c r="A2521" s="15" t="str">
        <f t="shared" si="81"/>
        <v>.</v>
      </c>
      <c r="E2521" s="13" t="str">
        <f>IFERROR(IF(AND(B2521&lt;&gt;"",C2521&lt;&gt;""),SUMIFS(Movimentos!$F$4:$F$9996,Movimentos!$D$4:$D$9996,B2521,Movimentos!$C$4:$C$9996,"Entrada")-SUMIFS(Movimentos!$F$4:$F$9996,Movimentos!$D$4:$D$9996,B2521,Movimentos!$C$4:$C$9996,"Saída"),""),"")</f>
        <v/>
      </c>
      <c r="F2521" s="10" t="str">
        <f t="shared" si="82"/>
        <v/>
      </c>
    </row>
    <row r="2522" spans="1:6" x14ac:dyDescent="0.3">
      <c r="A2522" s="15" t="str">
        <f t="shared" si="81"/>
        <v>.</v>
      </c>
      <c r="E2522" s="13" t="str">
        <f>IFERROR(IF(AND(B2522&lt;&gt;"",C2522&lt;&gt;""),SUMIFS(Movimentos!$F$4:$F$9996,Movimentos!$D$4:$D$9996,B2522,Movimentos!$C$4:$C$9996,"Entrada")-SUMIFS(Movimentos!$F$4:$F$9996,Movimentos!$D$4:$D$9996,B2522,Movimentos!$C$4:$C$9996,"Saída"),""),"")</f>
        <v/>
      </c>
      <c r="F2522" s="10" t="str">
        <f t="shared" si="82"/>
        <v/>
      </c>
    </row>
    <row r="2523" spans="1:6" x14ac:dyDescent="0.3">
      <c r="A2523" s="15" t="str">
        <f t="shared" si="81"/>
        <v>.</v>
      </c>
      <c r="E2523" s="13" t="str">
        <f>IFERROR(IF(AND(B2523&lt;&gt;"",C2523&lt;&gt;""),SUMIFS(Movimentos!$F$4:$F$9996,Movimentos!$D$4:$D$9996,B2523,Movimentos!$C$4:$C$9996,"Entrada")-SUMIFS(Movimentos!$F$4:$F$9996,Movimentos!$D$4:$D$9996,B2523,Movimentos!$C$4:$C$9996,"Saída"),""),"")</f>
        <v/>
      </c>
      <c r="F2523" s="10" t="str">
        <f t="shared" si="82"/>
        <v/>
      </c>
    </row>
    <row r="2524" spans="1:6" x14ac:dyDescent="0.3">
      <c r="A2524" s="15" t="str">
        <f t="shared" si="81"/>
        <v>.</v>
      </c>
      <c r="E2524" s="13" t="str">
        <f>IFERROR(IF(AND(B2524&lt;&gt;"",C2524&lt;&gt;""),SUMIFS(Movimentos!$F$4:$F$9996,Movimentos!$D$4:$D$9996,B2524,Movimentos!$C$4:$C$9996,"Entrada")-SUMIFS(Movimentos!$F$4:$F$9996,Movimentos!$D$4:$D$9996,B2524,Movimentos!$C$4:$C$9996,"Saída"),""),"")</f>
        <v/>
      </c>
      <c r="F2524" s="10" t="str">
        <f t="shared" si="82"/>
        <v/>
      </c>
    </row>
    <row r="2525" spans="1:6" x14ac:dyDescent="0.3">
      <c r="A2525" s="15" t="str">
        <f t="shared" si="81"/>
        <v>.</v>
      </c>
      <c r="E2525" s="13" t="str">
        <f>IFERROR(IF(AND(B2525&lt;&gt;"",C2525&lt;&gt;""),SUMIFS(Movimentos!$F$4:$F$9996,Movimentos!$D$4:$D$9996,B2525,Movimentos!$C$4:$C$9996,"Entrada")-SUMIFS(Movimentos!$F$4:$F$9996,Movimentos!$D$4:$D$9996,B2525,Movimentos!$C$4:$C$9996,"Saída"),""),"")</f>
        <v/>
      </c>
      <c r="F2525" s="10" t="str">
        <f t="shared" si="82"/>
        <v/>
      </c>
    </row>
    <row r="2526" spans="1:6" x14ac:dyDescent="0.3">
      <c r="A2526" s="15" t="str">
        <f t="shared" si="81"/>
        <v>.</v>
      </c>
      <c r="E2526" s="13" t="str">
        <f>IFERROR(IF(AND(B2526&lt;&gt;"",C2526&lt;&gt;""),SUMIFS(Movimentos!$F$4:$F$9996,Movimentos!$D$4:$D$9996,B2526,Movimentos!$C$4:$C$9996,"Entrada")-SUMIFS(Movimentos!$F$4:$F$9996,Movimentos!$D$4:$D$9996,B2526,Movimentos!$C$4:$C$9996,"Saída"),""),"")</f>
        <v/>
      </c>
      <c r="F2526" s="10" t="str">
        <f t="shared" si="82"/>
        <v/>
      </c>
    </row>
    <row r="2527" spans="1:6" x14ac:dyDescent="0.3">
      <c r="A2527" s="15" t="str">
        <f t="shared" si="81"/>
        <v>.</v>
      </c>
      <c r="E2527" s="13" t="str">
        <f>IFERROR(IF(AND(B2527&lt;&gt;"",C2527&lt;&gt;""),SUMIFS(Movimentos!$F$4:$F$9996,Movimentos!$D$4:$D$9996,B2527,Movimentos!$C$4:$C$9996,"Entrada")-SUMIFS(Movimentos!$F$4:$F$9996,Movimentos!$D$4:$D$9996,B2527,Movimentos!$C$4:$C$9996,"Saída"),""),"")</f>
        <v/>
      </c>
      <c r="F2527" s="10" t="str">
        <f t="shared" si="82"/>
        <v/>
      </c>
    </row>
    <row r="2528" spans="1:6" x14ac:dyDescent="0.3">
      <c r="A2528" s="15" t="str">
        <f t="shared" si="81"/>
        <v>.</v>
      </c>
      <c r="E2528" s="13" t="str">
        <f>IFERROR(IF(AND(B2528&lt;&gt;"",C2528&lt;&gt;""),SUMIFS(Movimentos!$F$4:$F$9996,Movimentos!$D$4:$D$9996,B2528,Movimentos!$C$4:$C$9996,"Entrada")-SUMIFS(Movimentos!$F$4:$F$9996,Movimentos!$D$4:$D$9996,B2528,Movimentos!$C$4:$C$9996,"Saída"),""),"")</f>
        <v/>
      </c>
      <c r="F2528" s="10" t="str">
        <f t="shared" si="82"/>
        <v/>
      </c>
    </row>
    <row r="2529" spans="1:6" x14ac:dyDescent="0.3">
      <c r="A2529" s="15" t="str">
        <f t="shared" si="81"/>
        <v>.</v>
      </c>
      <c r="E2529" s="13" t="str">
        <f>IFERROR(IF(AND(B2529&lt;&gt;"",C2529&lt;&gt;""),SUMIFS(Movimentos!$F$4:$F$9996,Movimentos!$D$4:$D$9996,B2529,Movimentos!$C$4:$C$9996,"Entrada")-SUMIFS(Movimentos!$F$4:$F$9996,Movimentos!$D$4:$D$9996,B2529,Movimentos!$C$4:$C$9996,"Saída"),""),"")</f>
        <v/>
      </c>
      <c r="F2529" s="10" t="str">
        <f t="shared" si="82"/>
        <v/>
      </c>
    </row>
    <row r="2530" spans="1:6" x14ac:dyDescent="0.3">
      <c r="A2530" s="15" t="str">
        <f t="shared" si="81"/>
        <v>.</v>
      </c>
      <c r="E2530" s="13" t="str">
        <f>IFERROR(IF(AND(B2530&lt;&gt;"",C2530&lt;&gt;""),SUMIFS(Movimentos!$F$4:$F$9996,Movimentos!$D$4:$D$9996,B2530,Movimentos!$C$4:$C$9996,"Entrada")-SUMIFS(Movimentos!$F$4:$F$9996,Movimentos!$D$4:$D$9996,B2530,Movimentos!$C$4:$C$9996,"Saída"),""),"")</f>
        <v/>
      </c>
      <c r="F2530" s="10" t="str">
        <f t="shared" si="82"/>
        <v/>
      </c>
    </row>
    <row r="2531" spans="1:6" x14ac:dyDescent="0.3">
      <c r="A2531" s="15" t="str">
        <f t="shared" si="81"/>
        <v>.</v>
      </c>
      <c r="E2531" s="13" t="str">
        <f>IFERROR(IF(AND(B2531&lt;&gt;"",C2531&lt;&gt;""),SUMIFS(Movimentos!$F$4:$F$9996,Movimentos!$D$4:$D$9996,B2531,Movimentos!$C$4:$C$9996,"Entrada")-SUMIFS(Movimentos!$F$4:$F$9996,Movimentos!$D$4:$D$9996,B2531,Movimentos!$C$4:$C$9996,"Saída"),""),"")</f>
        <v/>
      </c>
      <c r="F2531" s="10" t="str">
        <f t="shared" si="82"/>
        <v/>
      </c>
    </row>
    <row r="2532" spans="1:6" x14ac:dyDescent="0.3">
      <c r="A2532" s="15" t="str">
        <f t="shared" si="81"/>
        <v>.</v>
      </c>
      <c r="E2532" s="13" t="str">
        <f>IFERROR(IF(AND(B2532&lt;&gt;"",C2532&lt;&gt;""),SUMIFS(Movimentos!$F$4:$F$9996,Movimentos!$D$4:$D$9996,B2532,Movimentos!$C$4:$C$9996,"Entrada")-SUMIFS(Movimentos!$F$4:$F$9996,Movimentos!$D$4:$D$9996,B2532,Movimentos!$C$4:$C$9996,"Saída"),""),"")</f>
        <v/>
      </c>
      <c r="F2532" s="10" t="str">
        <f t="shared" si="82"/>
        <v/>
      </c>
    </row>
    <row r="2533" spans="1:6" x14ac:dyDescent="0.3">
      <c r="A2533" s="15" t="str">
        <f t="shared" si="81"/>
        <v>.</v>
      </c>
      <c r="E2533" s="13" t="str">
        <f>IFERROR(IF(AND(B2533&lt;&gt;"",C2533&lt;&gt;""),SUMIFS(Movimentos!$F$4:$F$9996,Movimentos!$D$4:$D$9996,B2533,Movimentos!$C$4:$C$9996,"Entrada")-SUMIFS(Movimentos!$F$4:$F$9996,Movimentos!$D$4:$D$9996,B2533,Movimentos!$C$4:$C$9996,"Saída"),""),"")</f>
        <v/>
      </c>
      <c r="F2533" s="10" t="str">
        <f t="shared" si="82"/>
        <v/>
      </c>
    </row>
    <row r="2534" spans="1:6" x14ac:dyDescent="0.3">
      <c r="A2534" s="15" t="str">
        <f t="shared" si="81"/>
        <v>.</v>
      </c>
      <c r="E2534" s="13" t="str">
        <f>IFERROR(IF(AND(B2534&lt;&gt;"",C2534&lt;&gt;""),SUMIFS(Movimentos!$F$4:$F$9996,Movimentos!$D$4:$D$9996,B2534,Movimentos!$C$4:$C$9996,"Entrada")-SUMIFS(Movimentos!$F$4:$F$9996,Movimentos!$D$4:$D$9996,B2534,Movimentos!$C$4:$C$9996,"Saída"),""),"")</f>
        <v/>
      </c>
      <c r="F2534" s="10" t="str">
        <f t="shared" si="82"/>
        <v/>
      </c>
    </row>
    <row r="2535" spans="1:6" x14ac:dyDescent="0.3">
      <c r="A2535" s="15" t="str">
        <f t="shared" si="81"/>
        <v>.</v>
      </c>
      <c r="E2535" s="13" t="str">
        <f>IFERROR(IF(AND(B2535&lt;&gt;"",C2535&lt;&gt;""),SUMIFS(Movimentos!$F$4:$F$9996,Movimentos!$D$4:$D$9996,B2535,Movimentos!$C$4:$C$9996,"Entrada")-SUMIFS(Movimentos!$F$4:$F$9996,Movimentos!$D$4:$D$9996,B2535,Movimentos!$C$4:$C$9996,"Saída"),""),"")</f>
        <v/>
      </c>
      <c r="F2535" s="10" t="str">
        <f t="shared" si="82"/>
        <v/>
      </c>
    </row>
    <row r="2536" spans="1:6" x14ac:dyDescent="0.3">
      <c r="A2536" s="15" t="str">
        <f t="shared" si="81"/>
        <v>.</v>
      </c>
      <c r="E2536" s="13" t="str">
        <f>IFERROR(IF(AND(B2536&lt;&gt;"",C2536&lt;&gt;""),SUMIFS(Movimentos!$F$4:$F$9996,Movimentos!$D$4:$D$9996,B2536,Movimentos!$C$4:$C$9996,"Entrada")-SUMIFS(Movimentos!$F$4:$F$9996,Movimentos!$D$4:$D$9996,B2536,Movimentos!$C$4:$C$9996,"Saída"),""),"")</f>
        <v/>
      </c>
      <c r="F2536" s="10" t="str">
        <f t="shared" si="82"/>
        <v/>
      </c>
    </row>
    <row r="2537" spans="1:6" x14ac:dyDescent="0.3">
      <c r="A2537" s="15" t="str">
        <f t="shared" si="81"/>
        <v>.</v>
      </c>
      <c r="E2537" s="13" t="str">
        <f>IFERROR(IF(AND(B2537&lt;&gt;"",C2537&lt;&gt;""),SUMIFS(Movimentos!$F$4:$F$9996,Movimentos!$D$4:$D$9996,B2537,Movimentos!$C$4:$C$9996,"Entrada")-SUMIFS(Movimentos!$F$4:$F$9996,Movimentos!$D$4:$D$9996,B2537,Movimentos!$C$4:$C$9996,"Saída"),""),"")</f>
        <v/>
      </c>
      <c r="F2537" s="10" t="str">
        <f t="shared" si="82"/>
        <v/>
      </c>
    </row>
    <row r="2538" spans="1:6" x14ac:dyDescent="0.3">
      <c r="A2538" s="15" t="str">
        <f t="shared" si="81"/>
        <v>.</v>
      </c>
      <c r="E2538" s="13" t="str">
        <f>IFERROR(IF(AND(B2538&lt;&gt;"",C2538&lt;&gt;""),SUMIFS(Movimentos!$F$4:$F$9996,Movimentos!$D$4:$D$9996,B2538,Movimentos!$C$4:$C$9996,"Entrada")-SUMIFS(Movimentos!$F$4:$F$9996,Movimentos!$D$4:$D$9996,B2538,Movimentos!$C$4:$C$9996,"Saída"),""),"")</f>
        <v/>
      </c>
      <c r="F2538" s="10" t="str">
        <f t="shared" si="82"/>
        <v/>
      </c>
    </row>
    <row r="2539" spans="1:6" x14ac:dyDescent="0.3">
      <c r="A2539" s="15" t="str">
        <f t="shared" si="81"/>
        <v>.</v>
      </c>
      <c r="E2539" s="13" t="str">
        <f>IFERROR(IF(AND(B2539&lt;&gt;"",C2539&lt;&gt;""),SUMIFS(Movimentos!$F$4:$F$9996,Movimentos!$D$4:$D$9996,B2539,Movimentos!$C$4:$C$9996,"Entrada")-SUMIFS(Movimentos!$F$4:$F$9996,Movimentos!$D$4:$D$9996,B2539,Movimentos!$C$4:$C$9996,"Saída"),""),"")</f>
        <v/>
      </c>
      <c r="F2539" s="10" t="str">
        <f t="shared" si="82"/>
        <v/>
      </c>
    </row>
    <row r="2540" spans="1:6" x14ac:dyDescent="0.3">
      <c r="A2540" s="15" t="str">
        <f t="shared" si="81"/>
        <v>.</v>
      </c>
      <c r="E2540" s="13" t="str">
        <f>IFERROR(IF(AND(B2540&lt;&gt;"",C2540&lt;&gt;""),SUMIFS(Movimentos!$F$4:$F$9996,Movimentos!$D$4:$D$9996,B2540,Movimentos!$C$4:$C$9996,"Entrada")-SUMIFS(Movimentos!$F$4:$F$9996,Movimentos!$D$4:$D$9996,B2540,Movimentos!$C$4:$C$9996,"Saída"),""),"")</f>
        <v/>
      </c>
      <c r="F2540" s="10" t="str">
        <f t="shared" si="82"/>
        <v/>
      </c>
    </row>
    <row r="2541" spans="1:6" x14ac:dyDescent="0.3">
      <c r="A2541" s="15" t="str">
        <f t="shared" si="81"/>
        <v>.</v>
      </c>
      <c r="E2541" s="13" t="str">
        <f>IFERROR(IF(AND(B2541&lt;&gt;"",C2541&lt;&gt;""),SUMIFS(Movimentos!$F$4:$F$9996,Movimentos!$D$4:$D$9996,B2541,Movimentos!$C$4:$C$9996,"Entrada")-SUMIFS(Movimentos!$F$4:$F$9996,Movimentos!$D$4:$D$9996,B2541,Movimentos!$C$4:$C$9996,"Saída"),""),"")</f>
        <v/>
      </c>
      <c r="F2541" s="10" t="str">
        <f t="shared" si="82"/>
        <v/>
      </c>
    </row>
    <row r="2542" spans="1:6" x14ac:dyDescent="0.3">
      <c r="A2542" s="15" t="str">
        <f t="shared" si="81"/>
        <v>.</v>
      </c>
      <c r="E2542" s="13" t="str">
        <f>IFERROR(IF(AND(B2542&lt;&gt;"",C2542&lt;&gt;""),SUMIFS(Movimentos!$F$4:$F$9996,Movimentos!$D$4:$D$9996,B2542,Movimentos!$C$4:$C$9996,"Entrada")-SUMIFS(Movimentos!$F$4:$F$9996,Movimentos!$D$4:$D$9996,B2542,Movimentos!$C$4:$C$9996,"Saída"),""),"")</f>
        <v/>
      </c>
      <c r="F2542" s="10" t="str">
        <f t="shared" si="82"/>
        <v/>
      </c>
    </row>
    <row r="2543" spans="1:6" x14ac:dyDescent="0.3">
      <c r="A2543" s="15" t="str">
        <f t="shared" si="81"/>
        <v>.</v>
      </c>
      <c r="E2543" s="13" t="str">
        <f>IFERROR(IF(AND(B2543&lt;&gt;"",C2543&lt;&gt;""),SUMIFS(Movimentos!$F$4:$F$9996,Movimentos!$D$4:$D$9996,B2543,Movimentos!$C$4:$C$9996,"Entrada")-SUMIFS(Movimentos!$F$4:$F$9996,Movimentos!$D$4:$D$9996,B2543,Movimentos!$C$4:$C$9996,"Saída"),""),"")</f>
        <v/>
      </c>
      <c r="F2543" s="10" t="str">
        <f t="shared" si="82"/>
        <v/>
      </c>
    </row>
    <row r="2544" spans="1:6" x14ac:dyDescent="0.3">
      <c r="A2544" s="15" t="str">
        <f t="shared" si="81"/>
        <v>.</v>
      </c>
      <c r="E2544" s="13" t="str">
        <f>IFERROR(IF(AND(B2544&lt;&gt;"",C2544&lt;&gt;""),SUMIFS(Movimentos!$F$4:$F$9996,Movimentos!$D$4:$D$9996,B2544,Movimentos!$C$4:$C$9996,"Entrada")-SUMIFS(Movimentos!$F$4:$F$9996,Movimentos!$D$4:$D$9996,B2544,Movimentos!$C$4:$C$9996,"Saída"),""),"")</f>
        <v/>
      </c>
      <c r="F2544" s="10" t="str">
        <f t="shared" si="82"/>
        <v/>
      </c>
    </row>
    <row r="2545" spans="1:6" x14ac:dyDescent="0.3">
      <c r="A2545" s="15" t="str">
        <f t="shared" si="81"/>
        <v>.</v>
      </c>
      <c r="E2545" s="13" t="str">
        <f>IFERROR(IF(AND(B2545&lt;&gt;"",C2545&lt;&gt;""),SUMIFS(Movimentos!$F$4:$F$9996,Movimentos!$D$4:$D$9996,B2545,Movimentos!$C$4:$C$9996,"Entrada")-SUMIFS(Movimentos!$F$4:$F$9996,Movimentos!$D$4:$D$9996,B2545,Movimentos!$C$4:$C$9996,"Saída"),""),"")</f>
        <v/>
      </c>
      <c r="F2545" s="10" t="str">
        <f t="shared" si="82"/>
        <v/>
      </c>
    </row>
    <row r="2546" spans="1:6" x14ac:dyDescent="0.3">
      <c r="A2546" s="15" t="str">
        <f t="shared" si="81"/>
        <v>.</v>
      </c>
      <c r="E2546" s="13" t="str">
        <f>IFERROR(IF(AND(B2546&lt;&gt;"",C2546&lt;&gt;""),SUMIFS(Movimentos!$F$4:$F$9996,Movimentos!$D$4:$D$9996,B2546,Movimentos!$C$4:$C$9996,"Entrada")-SUMIFS(Movimentos!$F$4:$F$9996,Movimentos!$D$4:$D$9996,B2546,Movimentos!$C$4:$C$9996,"Saída"),""),"")</f>
        <v/>
      </c>
      <c r="F2546" s="10" t="str">
        <f t="shared" si="82"/>
        <v/>
      </c>
    </row>
    <row r="2547" spans="1:6" x14ac:dyDescent="0.3">
      <c r="A2547" s="15" t="str">
        <f t="shared" si="81"/>
        <v>.</v>
      </c>
      <c r="E2547" s="13" t="str">
        <f>IFERROR(IF(AND(B2547&lt;&gt;"",C2547&lt;&gt;""),SUMIFS(Movimentos!$F$4:$F$9996,Movimentos!$D$4:$D$9996,B2547,Movimentos!$C$4:$C$9996,"Entrada")-SUMIFS(Movimentos!$F$4:$F$9996,Movimentos!$D$4:$D$9996,B2547,Movimentos!$C$4:$C$9996,"Saída"),""),"")</f>
        <v/>
      </c>
      <c r="F2547" s="10" t="str">
        <f t="shared" si="82"/>
        <v/>
      </c>
    </row>
    <row r="2548" spans="1:6" x14ac:dyDescent="0.3">
      <c r="A2548" s="15" t="str">
        <f t="shared" si="81"/>
        <v>.</v>
      </c>
      <c r="E2548" s="13" t="str">
        <f>IFERROR(IF(AND(B2548&lt;&gt;"",C2548&lt;&gt;""),SUMIFS(Movimentos!$F$4:$F$9996,Movimentos!$D$4:$D$9996,B2548,Movimentos!$C$4:$C$9996,"Entrada")-SUMIFS(Movimentos!$F$4:$F$9996,Movimentos!$D$4:$D$9996,B2548,Movimentos!$C$4:$C$9996,"Saída"),""),"")</f>
        <v/>
      </c>
      <c r="F2548" s="10" t="str">
        <f t="shared" si="82"/>
        <v/>
      </c>
    </row>
    <row r="2549" spans="1:6" x14ac:dyDescent="0.3">
      <c r="A2549" s="15" t="str">
        <f t="shared" si="81"/>
        <v>.</v>
      </c>
      <c r="E2549" s="13" t="str">
        <f>IFERROR(IF(AND(B2549&lt;&gt;"",C2549&lt;&gt;""),SUMIFS(Movimentos!$F$4:$F$9996,Movimentos!$D$4:$D$9996,B2549,Movimentos!$C$4:$C$9996,"Entrada")-SUMIFS(Movimentos!$F$4:$F$9996,Movimentos!$D$4:$D$9996,B2549,Movimentos!$C$4:$C$9996,"Saída"),""),"")</f>
        <v/>
      </c>
      <c r="F2549" s="10" t="str">
        <f t="shared" si="82"/>
        <v/>
      </c>
    </row>
    <row r="2550" spans="1:6" x14ac:dyDescent="0.3">
      <c r="A2550" s="15" t="str">
        <f t="shared" si="81"/>
        <v>.</v>
      </c>
      <c r="E2550" s="13" t="str">
        <f>IFERROR(IF(AND(B2550&lt;&gt;"",C2550&lt;&gt;""),SUMIFS(Movimentos!$F$4:$F$9996,Movimentos!$D$4:$D$9996,B2550,Movimentos!$C$4:$C$9996,"Entrada")-SUMIFS(Movimentos!$F$4:$F$9996,Movimentos!$D$4:$D$9996,B2550,Movimentos!$C$4:$C$9996,"Saída"),""),"")</f>
        <v/>
      </c>
      <c r="F2550" s="10" t="str">
        <f t="shared" si="82"/>
        <v/>
      </c>
    </row>
    <row r="2551" spans="1:6" x14ac:dyDescent="0.3">
      <c r="A2551" s="15" t="str">
        <f t="shared" si="81"/>
        <v>.</v>
      </c>
      <c r="E2551" s="13" t="str">
        <f>IFERROR(IF(AND(B2551&lt;&gt;"",C2551&lt;&gt;""),SUMIFS(Movimentos!$F$4:$F$9996,Movimentos!$D$4:$D$9996,B2551,Movimentos!$C$4:$C$9996,"Entrada")-SUMIFS(Movimentos!$F$4:$F$9996,Movimentos!$D$4:$D$9996,B2551,Movimentos!$C$4:$C$9996,"Saída"),""),"")</f>
        <v/>
      </c>
      <c r="F2551" s="10" t="str">
        <f t="shared" si="82"/>
        <v/>
      </c>
    </row>
    <row r="2552" spans="1:6" x14ac:dyDescent="0.3">
      <c r="A2552" s="15" t="str">
        <f t="shared" si="81"/>
        <v>.</v>
      </c>
      <c r="E2552" s="13" t="str">
        <f>IFERROR(IF(AND(B2552&lt;&gt;"",C2552&lt;&gt;""),SUMIFS(Movimentos!$F$4:$F$9996,Movimentos!$D$4:$D$9996,B2552,Movimentos!$C$4:$C$9996,"Entrada")-SUMIFS(Movimentos!$F$4:$F$9996,Movimentos!$D$4:$D$9996,B2552,Movimentos!$C$4:$C$9996,"Saída"),""),"")</f>
        <v/>
      </c>
      <c r="F2552" s="10" t="str">
        <f t="shared" si="82"/>
        <v/>
      </c>
    </row>
    <row r="2553" spans="1:6" x14ac:dyDescent="0.3">
      <c r="A2553" s="15" t="str">
        <f t="shared" si="81"/>
        <v>.</v>
      </c>
      <c r="E2553" s="13" t="str">
        <f>IFERROR(IF(AND(B2553&lt;&gt;"",C2553&lt;&gt;""),SUMIFS(Movimentos!$F$4:$F$9996,Movimentos!$D$4:$D$9996,B2553,Movimentos!$C$4:$C$9996,"Entrada")-SUMIFS(Movimentos!$F$4:$F$9996,Movimentos!$D$4:$D$9996,B2553,Movimentos!$C$4:$C$9996,"Saída"),""),"")</f>
        <v/>
      </c>
      <c r="F2553" s="10" t="str">
        <f t="shared" si="82"/>
        <v/>
      </c>
    </row>
    <row r="2554" spans="1:6" x14ac:dyDescent="0.3">
      <c r="A2554" s="15" t="str">
        <f t="shared" si="81"/>
        <v>.</v>
      </c>
      <c r="E2554" s="13" t="str">
        <f>IFERROR(IF(AND(B2554&lt;&gt;"",C2554&lt;&gt;""),SUMIFS(Movimentos!$F$4:$F$9996,Movimentos!$D$4:$D$9996,B2554,Movimentos!$C$4:$C$9996,"Entrada")-SUMIFS(Movimentos!$F$4:$F$9996,Movimentos!$D$4:$D$9996,B2554,Movimentos!$C$4:$C$9996,"Saída"),""),"")</f>
        <v/>
      </c>
      <c r="F2554" s="10" t="str">
        <f t="shared" si="82"/>
        <v/>
      </c>
    </row>
    <row r="2555" spans="1:6" x14ac:dyDescent="0.3">
      <c r="A2555" s="15" t="str">
        <f t="shared" si="81"/>
        <v>.</v>
      </c>
      <c r="E2555" s="13" t="str">
        <f>IFERROR(IF(AND(B2555&lt;&gt;"",C2555&lt;&gt;""),SUMIFS(Movimentos!$F$4:$F$9996,Movimentos!$D$4:$D$9996,B2555,Movimentos!$C$4:$C$9996,"Entrada")-SUMIFS(Movimentos!$F$4:$F$9996,Movimentos!$D$4:$D$9996,B2555,Movimentos!$C$4:$C$9996,"Saída"),""),"")</f>
        <v/>
      </c>
      <c r="F2555" s="10" t="str">
        <f t="shared" si="82"/>
        <v/>
      </c>
    </row>
    <row r="2556" spans="1:6" x14ac:dyDescent="0.3">
      <c r="A2556" s="15" t="str">
        <f t="shared" si="81"/>
        <v>.</v>
      </c>
      <c r="E2556" s="13" t="str">
        <f>IFERROR(IF(AND(B2556&lt;&gt;"",C2556&lt;&gt;""),SUMIFS(Movimentos!$F$4:$F$9996,Movimentos!$D$4:$D$9996,B2556,Movimentos!$C$4:$C$9996,"Entrada")-SUMIFS(Movimentos!$F$4:$F$9996,Movimentos!$D$4:$D$9996,B2556,Movimentos!$C$4:$C$9996,"Saída"),""),"")</f>
        <v/>
      </c>
      <c r="F2556" s="10" t="str">
        <f t="shared" si="82"/>
        <v/>
      </c>
    </row>
    <row r="2557" spans="1:6" x14ac:dyDescent="0.3">
      <c r="A2557" s="15" t="str">
        <f t="shared" si="81"/>
        <v>.</v>
      </c>
      <c r="E2557" s="13" t="str">
        <f>IFERROR(IF(AND(B2557&lt;&gt;"",C2557&lt;&gt;""),SUMIFS(Movimentos!$F$4:$F$9996,Movimentos!$D$4:$D$9996,B2557,Movimentos!$C$4:$C$9996,"Entrada")-SUMIFS(Movimentos!$F$4:$F$9996,Movimentos!$D$4:$D$9996,B2557,Movimentos!$C$4:$C$9996,"Saída"),""),"")</f>
        <v/>
      </c>
      <c r="F2557" s="10" t="str">
        <f t="shared" si="82"/>
        <v/>
      </c>
    </row>
    <row r="2558" spans="1:6" x14ac:dyDescent="0.3">
      <c r="A2558" s="15" t="str">
        <f t="shared" si="81"/>
        <v>.</v>
      </c>
      <c r="E2558" s="13" t="str">
        <f>IFERROR(IF(AND(B2558&lt;&gt;"",C2558&lt;&gt;""),SUMIFS(Movimentos!$F$4:$F$9996,Movimentos!$D$4:$D$9996,B2558,Movimentos!$C$4:$C$9996,"Entrada")-SUMIFS(Movimentos!$F$4:$F$9996,Movimentos!$D$4:$D$9996,B2558,Movimentos!$C$4:$C$9996,"Saída"),""),"")</f>
        <v/>
      </c>
      <c r="F2558" s="10" t="str">
        <f t="shared" si="82"/>
        <v/>
      </c>
    </row>
    <row r="2559" spans="1:6" x14ac:dyDescent="0.3">
      <c r="A2559" s="15" t="str">
        <f t="shared" si="81"/>
        <v>.</v>
      </c>
      <c r="E2559" s="13" t="str">
        <f>IFERROR(IF(AND(B2559&lt;&gt;"",C2559&lt;&gt;""),SUMIFS(Movimentos!$F$4:$F$9996,Movimentos!$D$4:$D$9996,B2559,Movimentos!$C$4:$C$9996,"Entrada")-SUMIFS(Movimentos!$F$4:$F$9996,Movimentos!$D$4:$D$9996,B2559,Movimentos!$C$4:$C$9996,"Saída"),""),"")</f>
        <v/>
      </c>
      <c r="F2559" s="10" t="str">
        <f t="shared" si="82"/>
        <v/>
      </c>
    </row>
    <row r="2560" spans="1:6" x14ac:dyDescent="0.3">
      <c r="A2560" s="15" t="str">
        <f t="shared" ref="A2560:A2623" si="83">IF(F2560="Saldo zerado",0,IF(F2560="Saldo abaixo do mínimo",1,IF(F2560="Saldo disponível",2,".")))</f>
        <v>.</v>
      </c>
      <c r="E2560" s="13" t="str">
        <f>IFERROR(IF(AND(B2560&lt;&gt;"",C2560&lt;&gt;""),SUMIFS(Movimentos!$F$4:$F$9996,Movimentos!$D$4:$D$9996,B2560,Movimentos!$C$4:$C$9996,"Entrada")-SUMIFS(Movimentos!$F$4:$F$9996,Movimentos!$D$4:$D$9996,B2560,Movimentos!$C$4:$C$9996,"Saída"),""),"")</f>
        <v/>
      </c>
      <c r="F2560" s="10" t="str">
        <f t="shared" si="82"/>
        <v/>
      </c>
    </row>
    <row r="2561" spans="1:6" x14ac:dyDescent="0.3">
      <c r="A2561" s="15" t="str">
        <f t="shared" si="83"/>
        <v>.</v>
      </c>
      <c r="E2561" s="13" t="str">
        <f>IFERROR(IF(AND(B2561&lt;&gt;"",C2561&lt;&gt;""),SUMIFS(Movimentos!$F$4:$F$9996,Movimentos!$D$4:$D$9996,B2561,Movimentos!$C$4:$C$9996,"Entrada")-SUMIFS(Movimentos!$F$4:$F$9996,Movimentos!$D$4:$D$9996,B2561,Movimentos!$C$4:$C$9996,"Saída"),""),"")</f>
        <v/>
      </c>
      <c r="F2561" s="10" t="str">
        <f t="shared" si="82"/>
        <v/>
      </c>
    </row>
    <row r="2562" spans="1:6" x14ac:dyDescent="0.3">
      <c r="A2562" s="15" t="str">
        <f t="shared" si="83"/>
        <v>.</v>
      </c>
      <c r="E2562" s="13" t="str">
        <f>IFERROR(IF(AND(B2562&lt;&gt;"",C2562&lt;&gt;""),SUMIFS(Movimentos!$F$4:$F$9996,Movimentos!$D$4:$D$9996,B2562,Movimentos!$C$4:$C$9996,"Entrada")-SUMIFS(Movimentos!$F$4:$F$9996,Movimentos!$D$4:$D$9996,B2562,Movimentos!$C$4:$C$9996,"Saída"),""),"")</f>
        <v/>
      </c>
      <c r="F2562" s="10" t="str">
        <f t="shared" si="82"/>
        <v/>
      </c>
    </row>
    <row r="2563" spans="1:6" x14ac:dyDescent="0.3">
      <c r="A2563" s="15" t="str">
        <f t="shared" si="83"/>
        <v>.</v>
      </c>
      <c r="E2563" s="13" t="str">
        <f>IFERROR(IF(AND(B2563&lt;&gt;"",C2563&lt;&gt;""),SUMIFS(Movimentos!$F$4:$F$9996,Movimentos!$D$4:$D$9996,B2563,Movimentos!$C$4:$C$9996,"Entrada")-SUMIFS(Movimentos!$F$4:$F$9996,Movimentos!$D$4:$D$9996,B2563,Movimentos!$C$4:$C$9996,"Saída"),""),"")</f>
        <v/>
      </c>
      <c r="F2563" s="10" t="str">
        <f t="shared" si="82"/>
        <v/>
      </c>
    </row>
    <row r="2564" spans="1:6" x14ac:dyDescent="0.3">
      <c r="A2564" s="15" t="str">
        <f t="shared" si="83"/>
        <v>.</v>
      </c>
      <c r="E2564" s="13" t="str">
        <f>IFERROR(IF(AND(B2564&lt;&gt;"",C2564&lt;&gt;""),SUMIFS(Movimentos!$F$4:$F$9996,Movimentos!$D$4:$D$9996,B2564,Movimentos!$C$4:$C$9996,"Entrada")-SUMIFS(Movimentos!$F$4:$F$9996,Movimentos!$D$4:$D$9996,B2564,Movimentos!$C$4:$C$9996,"Saída"),""),"")</f>
        <v/>
      </c>
      <c r="F2564" s="10" t="str">
        <f t="shared" si="82"/>
        <v/>
      </c>
    </row>
    <row r="2565" spans="1:6" x14ac:dyDescent="0.3">
      <c r="A2565" s="15" t="str">
        <f t="shared" si="83"/>
        <v>.</v>
      </c>
      <c r="E2565" s="13" t="str">
        <f>IFERROR(IF(AND(B2565&lt;&gt;"",C2565&lt;&gt;""),SUMIFS(Movimentos!$F$4:$F$9996,Movimentos!$D$4:$D$9996,B2565,Movimentos!$C$4:$C$9996,"Entrada")-SUMIFS(Movimentos!$F$4:$F$9996,Movimentos!$D$4:$D$9996,B2565,Movimentos!$C$4:$C$9996,"Saída"),""),"")</f>
        <v/>
      </c>
      <c r="F2565" s="10" t="str">
        <f t="shared" si="82"/>
        <v/>
      </c>
    </row>
    <row r="2566" spans="1:6" x14ac:dyDescent="0.3">
      <c r="A2566" s="15" t="str">
        <f t="shared" si="83"/>
        <v>.</v>
      </c>
      <c r="E2566" s="13" t="str">
        <f>IFERROR(IF(AND(B2566&lt;&gt;"",C2566&lt;&gt;""),SUMIFS(Movimentos!$F$4:$F$9996,Movimentos!$D$4:$D$9996,B2566,Movimentos!$C$4:$C$9996,"Entrada")-SUMIFS(Movimentos!$F$4:$F$9996,Movimentos!$D$4:$D$9996,B2566,Movimentos!$C$4:$C$9996,"Saída"),""),"")</f>
        <v/>
      </c>
      <c r="F2566" s="10" t="str">
        <f t="shared" si="82"/>
        <v/>
      </c>
    </row>
    <row r="2567" spans="1:6" x14ac:dyDescent="0.3">
      <c r="A2567" s="15" t="str">
        <f t="shared" si="83"/>
        <v>.</v>
      </c>
      <c r="E2567" s="13" t="str">
        <f>IFERROR(IF(AND(B2567&lt;&gt;"",C2567&lt;&gt;""),SUMIFS(Movimentos!$F$4:$F$9996,Movimentos!$D$4:$D$9996,B2567,Movimentos!$C$4:$C$9996,"Entrada")-SUMIFS(Movimentos!$F$4:$F$9996,Movimentos!$D$4:$D$9996,B2567,Movimentos!$C$4:$C$9996,"Saída"),""),"")</f>
        <v/>
      </c>
      <c r="F2567" s="10" t="str">
        <f t="shared" si="82"/>
        <v/>
      </c>
    </row>
    <row r="2568" spans="1:6" x14ac:dyDescent="0.3">
      <c r="A2568" s="15" t="str">
        <f t="shared" si="83"/>
        <v>.</v>
      </c>
      <c r="E2568" s="13" t="str">
        <f>IFERROR(IF(AND(B2568&lt;&gt;"",C2568&lt;&gt;""),SUMIFS(Movimentos!$F$4:$F$9996,Movimentos!$D$4:$D$9996,B2568,Movimentos!$C$4:$C$9996,"Entrada")-SUMIFS(Movimentos!$F$4:$F$9996,Movimentos!$D$4:$D$9996,B2568,Movimentos!$C$4:$C$9996,"Saída"),""),"")</f>
        <v/>
      </c>
      <c r="F2568" s="10" t="str">
        <f t="shared" si="82"/>
        <v/>
      </c>
    </row>
    <row r="2569" spans="1:6" x14ac:dyDescent="0.3">
      <c r="A2569" s="15" t="str">
        <f t="shared" si="83"/>
        <v>.</v>
      </c>
      <c r="E2569" s="13" t="str">
        <f>IFERROR(IF(AND(B2569&lt;&gt;"",C2569&lt;&gt;""),SUMIFS(Movimentos!$F$4:$F$9996,Movimentos!$D$4:$D$9996,B2569,Movimentos!$C$4:$C$9996,"Entrada")-SUMIFS(Movimentos!$F$4:$F$9996,Movimentos!$D$4:$D$9996,B2569,Movimentos!$C$4:$C$9996,"Saída"),""),"")</f>
        <v/>
      </c>
      <c r="F2569" s="10" t="str">
        <f t="shared" si="82"/>
        <v/>
      </c>
    </row>
    <row r="2570" spans="1:6" x14ac:dyDescent="0.3">
      <c r="A2570" s="15" t="str">
        <f t="shared" si="83"/>
        <v>.</v>
      </c>
      <c r="E2570" s="13" t="str">
        <f>IFERROR(IF(AND(B2570&lt;&gt;"",C2570&lt;&gt;""),SUMIFS(Movimentos!$F$4:$F$9996,Movimentos!$D$4:$D$9996,B2570,Movimentos!$C$4:$C$9996,"Entrada")-SUMIFS(Movimentos!$F$4:$F$9996,Movimentos!$D$4:$D$9996,B2570,Movimentos!$C$4:$C$9996,"Saída"),""),"")</f>
        <v/>
      </c>
      <c r="F2570" s="10" t="str">
        <f t="shared" si="82"/>
        <v/>
      </c>
    </row>
    <row r="2571" spans="1:6" x14ac:dyDescent="0.3">
      <c r="A2571" s="15" t="str">
        <f t="shared" si="83"/>
        <v>.</v>
      </c>
      <c r="E2571" s="13" t="str">
        <f>IFERROR(IF(AND(B2571&lt;&gt;"",C2571&lt;&gt;""),SUMIFS(Movimentos!$F$4:$F$9996,Movimentos!$D$4:$D$9996,B2571,Movimentos!$C$4:$C$9996,"Entrada")-SUMIFS(Movimentos!$F$4:$F$9996,Movimentos!$D$4:$D$9996,B2571,Movimentos!$C$4:$C$9996,"Saída"),""),"")</f>
        <v/>
      </c>
      <c r="F2571" s="10" t="str">
        <f t="shared" si="82"/>
        <v/>
      </c>
    </row>
    <row r="2572" spans="1:6" x14ac:dyDescent="0.3">
      <c r="A2572" s="15" t="str">
        <f t="shared" si="83"/>
        <v>.</v>
      </c>
      <c r="E2572" s="13" t="str">
        <f>IFERROR(IF(AND(B2572&lt;&gt;"",C2572&lt;&gt;""),SUMIFS(Movimentos!$F$4:$F$9996,Movimentos!$D$4:$D$9996,B2572,Movimentos!$C$4:$C$9996,"Entrada")-SUMIFS(Movimentos!$F$4:$F$9996,Movimentos!$D$4:$D$9996,B2572,Movimentos!$C$4:$C$9996,"Saída"),""),"")</f>
        <v/>
      </c>
      <c r="F2572" s="10" t="str">
        <f t="shared" si="82"/>
        <v/>
      </c>
    </row>
    <row r="2573" spans="1:6" x14ac:dyDescent="0.3">
      <c r="A2573" s="15" t="str">
        <f t="shared" si="83"/>
        <v>.</v>
      </c>
      <c r="E2573" s="13" t="str">
        <f>IFERROR(IF(AND(B2573&lt;&gt;"",C2573&lt;&gt;""),SUMIFS(Movimentos!$F$4:$F$9996,Movimentos!$D$4:$D$9996,B2573,Movimentos!$C$4:$C$9996,"Entrada")-SUMIFS(Movimentos!$F$4:$F$9996,Movimentos!$D$4:$D$9996,B2573,Movimentos!$C$4:$C$9996,"Saída"),""),"")</f>
        <v/>
      </c>
      <c r="F2573" s="10" t="str">
        <f t="shared" si="82"/>
        <v/>
      </c>
    </row>
    <row r="2574" spans="1:6" x14ac:dyDescent="0.3">
      <c r="A2574" s="15" t="str">
        <f t="shared" si="83"/>
        <v>.</v>
      </c>
      <c r="E2574" s="13" t="str">
        <f>IFERROR(IF(AND(B2574&lt;&gt;"",C2574&lt;&gt;""),SUMIFS(Movimentos!$F$4:$F$9996,Movimentos!$D$4:$D$9996,B2574,Movimentos!$C$4:$C$9996,"Entrada")-SUMIFS(Movimentos!$F$4:$F$9996,Movimentos!$D$4:$D$9996,B2574,Movimentos!$C$4:$C$9996,"Saída"),""),"")</f>
        <v/>
      </c>
      <c r="F2574" s="10" t="str">
        <f t="shared" si="82"/>
        <v/>
      </c>
    </row>
    <row r="2575" spans="1:6" x14ac:dyDescent="0.3">
      <c r="A2575" s="15" t="str">
        <f t="shared" si="83"/>
        <v>.</v>
      </c>
      <c r="E2575" s="13" t="str">
        <f>IFERROR(IF(AND(B2575&lt;&gt;"",C2575&lt;&gt;""),SUMIFS(Movimentos!$F$4:$F$9996,Movimentos!$D$4:$D$9996,B2575,Movimentos!$C$4:$C$9996,"Entrada")-SUMIFS(Movimentos!$F$4:$F$9996,Movimentos!$D$4:$D$9996,B2575,Movimentos!$C$4:$C$9996,"Saída"),""),"")</f>
        <v/>
      </c>
      <c r="F2575" s="10" t="str">
        <f t="shared" si="82"/>
        <v/>
      </c>
    </row>
    <row r="2576" spans="1:6" x14ac:dyDescent="0.3">
      <c r="A2576" s="15" t="str">
        <f t="shared" si="83"/>
        <v>.</v>
      </c>
      <c r="E2576" s="13" t="str">
        <f>IFERROR(IF(AND(B2576&lt;&gt;"",C2576&lt;&gt;""),SUMIFS(Movimentos!$F$4:$F$9996,Movimentos!$D$4:$D$9996,B2576,Movimentos!$C$4:$C$9996,"Entrada")-SUMIFS(Movimentos!$F$4:$F$9996,Movimentos!$D$4:$D$9996,B2576,Movimentos!$C$4:$C$9996,"Saída"),""),"")</f>
        <v/>
      </c>
      <c r="F2576" s="10" t="str">
        <f t="shared" si="82"/>
        <v/>
      </c>
    </row>
    <row r="2577" spans="1:6" x14ac:dyDescent="0.3">
      <c r="A2577" s="15" t="str">
        <f t="shared" si="83"/>
        <v>.</v>
      </c>
      <c r="E2577" s="13" t="str">
        <f>IFERROR(IF(AND(B2577&lt;&gt;"",C2577&lt;&gt;""),SUMIFS(Movimentos!$F$4:$F$9996,Movimentos!$D$4:$D$9996,B2577,Movimentos!$C$4:$C$9996,"Entrada")-SUMIFS(Movimentos!$F$4:$F$9996,Movimentos!$D$4:$D$9996,B2577,Movimentos!$C$4:$C$9996,"Saída"),""),"")</f>
        <v/>
      </c>
      <c r="F2577" s="10" t="str">
        <f t="shared" si="82"/>
        <v/>
      </c>
    </row>
    <row r="2578" spans="1:6" x14ac:dyDescent="0.3">
      <c r="A2578" s="15" t="str">
        <f t="shared" si="83"/>
        <v>.</v>
      </c>
      <c r="E2578" s="13" t="str">
        <f>IFERROR(IF(AND(B2578&lt;&gt;"",C2578&lt;&gt;""),SUMIFS(Movimentos!$F$4:$F$9996,Movimentos!$D$4:$D$9996,B2578,Movimentos!$C$4:$C$9996,"Entrada")-SUMIFS(Movimentos!$F$4:$F$9996,Movimentos!$D$4:$D$9996,B2578,Movimentos!$C$4:$C$9996,"Saída"),""),"")</f>
        <v/>
      </c>
      <c r="F2578" s="10" t="str">
        <f t="shared" si="82"/>
        <v/>
      </c>
    </row>
    <row r="2579" spans="1:6" x14ac:dyDescent="0.3">
      <c r="A2579" s="15" t="str">
        <f t="shared" si="83"/>
        <v>.</v>
      </c>
      <c r="E2579" s="13" t="str">
        <f>IFERROR(IF(AND(B2579&lt;&gt;"",C2579&lt;&gt;""),SUMIFS(Movimentos!$F$4:$F$9996,Movimentos!$D$4:$D$9996,B2579,Movimentos!$C$4:$C$9996,"Entrada")-SUMIFS(Movimentos!$F$4:$F$9996,Movimentos!$D$4:$D$9996,B2579,Movimentos!$C$4:$C$9996,"Saída"),""),"")</f>
        <v/>
      </c>
      <c r="F2579" s="10" t="str">
        <f t="shared" si="82"/>
        <v/>
      </c>
    </row>
    <row r="2580" spans="1:6" x14ac:dyDescent="0.3">
      <c r="A2580" s="15" t="str">
        <f t="shared" si="83"/>
        <v>.</v>
      </c>
      <c r="E2580" s="13" t="str">
        <f>IFERROR(IF(AND(B2580&lt;&gt;"",C2580&lt;&gt;""),SUMIFS(Movimentos!$F$4:$F$9996,Movimentos!$D$4:$D$9996,B2580,Movimentos!$C$4:$C$9996,"Entrada")-SUMIFS(Movimentos!$F$4:$F$9996,Movimentos!$D$4:$D$9996,B2580,Movimentos!$C$4:$C$9996,"Saída"),""),"")</f>
        <v/>
      </c>
      <c r="F2580" s="10" t="str">
        <f t="shared" si="82"/>
        <v/>
      </c>
    </row>
    <row r="2581" spans="1:6" x14ac:dyDescent="0.3">
      <c r="A2581" s="15" t="str">
        <f t="shared" si="83"/>
        <v>.</v>
      </c>
      <c r="E2581" s="13" t="str">
        <f>IFERROR(IF(AND(B2581&lt;&gt;"",C2581&lt;&gt;""),SUMIFS(Movimentos!$F$4:$F$9996,Movimentos!$D$4:$D$9996,B2581,Movimentos!$C$4:$C$9996,"Entrada")-SUMIFS(Movimentos!$F$4:$F$9996,Movimentos!$D$4:$D$9996,B2581,Movimentos!$C$4:$C$9996,"Saída"),""),"")</f>
        <v/>
      </c>
      <c r="F2581" s="10" t="str">
        <f t="shared" si="82"/>
        <v/>
      </c>
    </row>
    <row r="2582" spans="1:6" x14ac:dyDescent="0.3">
      <c r="A2582" s="15" t="str">
        <f t="shared" si="83"/>
        <v>.</v>
      </c>
      <c r="E2582" s="13" t="str">
        <f>IFERROR(IF(AND(B2582&lt;&gt;"",C2582&lt;&gt;""),SUMIFS(Movimentos!$F$4:$F$9996,Movimentos!$D$4:$D$9996,B2582,Movimentos!$C$4:$C$9996,"Entrada")-SUMIFS(Movimentos!$F$4:$F$9996,Movimentos!$D$4:$D$9996,B2582,Movimentos!$C$4:$C$9996,"Saída"),""),"")</f>
        <v/>
      </c>
      <c r="F2582" s="10" t="str">
        <f t="shared" si="82"/>
        <v/>
      </c>
    </row>
    <row r="2583" spans="1:6" x14ac:dyDescent="0.3">
      <c r="A2583" s="15" t="str">
        <f t="shared" si="83"/>
        <v>.</v>
      </c>
      <c r="E2583" s="13" t="str">
        <f>IFERROR(IF(AND(B2583&lt;&gt;"",C2583&lt;&gt;""),SUMIFS(Movimentos!$F$4:$F$9996,Movimentos!$D$4:$D$9996,B2583,Movimentos!$C$4:$C$9996,"Entrada")-SUMIFS(Movimentos!$F$4:$F$9996,Movimentos!$D$4:$D$9996,B2583,Movimentos!$C$4:$C$9996,"Saída"),""),"")</f>
        <v/>
      </c>
      <c r="F2583" s="10" t="str">
        <f t="shared" ref="F2583:F2646" si="84">IF(AND(B2583&lt;&gt;"",C2583&lt;&gt;""),IF(E2583=0,"Saldo zerado",IF(E2583&lt;D2583,"Saldo abaixo do mínimo","Saldo disponível")),"")</f>
        <v/>
      </c>
    </row>
    <row r="2584" spans="1:6" x14ac:dyDescent="0.3">
      <c r="A2584" s="15" t="str">
        <f t="shared" si="83"/>
        <v>.</v>
      </c>
      <c r="E2584" s="13" t="str">
        <f>IFERROR(IF(AND(B2584&lt;&gt;"",C2584&lt;&gt;""),SUMIFS(Movimentos!$F$4:$F$9996,Movimentos!$D$4:$D$9996,B2584,Movimentos!$C$4:$C$9996,"Entrada")-SUMIFS(Movimentos!$F$4:$F$9996,Movimentos!$D$4:$D$9996,B2584,Movimentos!$C$4:$C$9996,"Saída"),""),"")</f>
        <v/>
      </c>
      <c r="F2584" s="10" t="str">
        <f t="shared" si="84"/>
        <v/>
      </c>
    </row>
    <row r="2585" spans="1:6" x14ac:dyDescent="0.3">
      <c r="A2585" s="15" t="str">
        <f t="shared" si="83"/>
        <v>.</v>
      </c>
      <c r="E2585" s="13" t="str">
        <f>IFERROR(IF(AND(B2585&lt;&gt;"",C2585&lt;&gt;""),SUMIFS(Movimentos!$F$4:$F$9996,Movimentos!$D$4:$D$9996,B2585,Movimentos!$C$4:$C$9996,"Entrada")-SUMIFS(Movimentos!$F$4:$F$9996,Movimentos!$D$4:$D$9996,B2585,Movimentos!$C$4:$C$9996,"Saída"),""),"")</f>
        <v/>
      </c>
      <c r="F2585" s="10" t="str">
        <f t="shared" si="84"/>
        <v/>
      </c>
    </row>
    <row r="2586" spans="1:6" x14ac:dyDescent="0.3">
      <c r="A2586" s="15" t="str">
        <f t="shared" si="83"/>
        <v>.</v>
      </c>
      <c r="E2586" s="13" t="str">
        <f>IFERROR(IF(AND(B2586&lt;&gt;"",C2586&lt;&gt;""),SUMIFS(Movimentos!$F$4:$F$9996,Movimentos!$D$4:$D$9996,B2586,Movimentos!$C$4:$C$9996,"Entrada")-SUMIFS(Movimentos!$F$4:$F$9996,Movimentos!$D$4:$D$9996,B2586,Movimentos!$C$4:$C$9996,"Saída"),""),"")</f>
        <v/>
      </c>
      <c r="F2586" s="10" t="str">
        <f t="shared" si="84"/>
        <v/>
      </c>
    </row>
    <row r="2587" spans="1:6" x14ac:dyDescent="0.3">
      <c r="A2587" s="15" t="str">
        <f t="shared" si="83"/>
        <v>.</v>
      </c>
      <c r="E2587" s="13" t="str">
        <f>IFERROR(IF(AND(B2587&lt;&gt;"",C2587&lt;&gt;""),SUMIFS(Movimentos!$F$4:$F$9996,Movimentos!$D$4:$D$9996,B2587,Movimentos!$C$4:$C$9996,"Entrada")-SUMIFS(Movimentos!$F$4:$F$9996,Movimentos!$D$4:$D$9996,B2587,Movimentos!$C$4:$C$9996,"Saída"),""),"")</f>
        <v/>
      </c>
      <c r="F2587" s="10" t="str">
        <f t="shared" si="84"/>
        <v/>
      </c>
    </row>
    <row r="2588" spans="1:6" x14ac:dyDescent="0.3">
      <c r="A2588" s="15" t="str">
        <f t="shared" si="83"/>
        <v>.</v>
      </c>
      <c r="E2588" s="13" t="str">
        <f>IFERROR(IF(AND(B2588&lt;&gt;"",C2588&lt;&gt;""),SUMIFS(Movimentos!$F$4:$F$9996,Movimentos!$D$4:$D$9996,B2588,Movimentos!$C$4:$C$9996,"Entrada")-SUMIFS(Movimentos!$F$4:$F$9996,Movimentos!$D$4:$D$9996,B2588,Movimentos!$C$4:$C$9996,"Saída"),""),"")</f>
        <v/>
      </c>
      <c r="F2588" s="10" t="str">
        <f t="shared" si="84"/>
        <v/>
      </c>
    </row>
    <row r="2589" spans="1:6" x14ac:dyDescent="0.3">
      <c r="A2589" s="15" t="str">
        <f t="shared" si="83"/>
        <v>.</v>
      </c>
      <c r="E2589" s="13" t="str">
        <f>IFERROR(IF(AND(B2589&lt;&gt;"",C2589&lt;&gt;""),SUMIFS(Movimentos!$F$4:$F$9996,Movimentos!$D$4:$D$9996,B2589,Movimentos!$C$4:$C$9996,"Entrada")-SUMIFS(Movimentos!$F$4:$F$9996,Movimentos!$D$4:$D$9996,B2589,Movimentos!$C$4:$C$9996,"Saída"),""),"")</f>
        <v/>
      </c>
      <c r="F2589" s="10" t="str">
        <f t="shared" si="84"/>
        <v/>
      </c>
    </row>
    <row r="2590" spans="1:6" x14ac:dyDescent="0.3">
      <c r="A2590" s="15" t="str">
        <f t="shared" si="83"/>
        <v>.</v>
      </c>
      <c r="E2590" s="13" t="str">
        <f>IFERROR(IF(AND(B2590&lt;&gt;"",C2590&lt;&gt;""),SUMIFS(Movimentos!$F$4:$F$9996,Movimentos!$D$4:$D$9996,B2590,Movimentos!$C$4:$C$9996,"Entrada")-SUMIFS(Movimentos!$F$4:$F$9996,Movimentos!$D$4:$D$9996,B2590,Movimentos!$C$4:$C$9996,"Saída"),""),"")</f>
        <v/>
      </c>
      <c r="F2590" s="10" t="str">
        <f t="shared" si="84"/>
        <v/>
      </c>
    </row>
    <row r="2591" spans="1:6" x14ac:dyDescent="0.3">
      <c r="A2591" s="15" t="str">
        <f t="shared" si="83"/>
        <v>.</v>
      </c>
      <c r="E2591" s="13" t="str">
        <f>IFERROR(IF(AND(B2591&lt;&gt;"",C2591&lt;&gt;""),SUMIFS(Movimentos!$F$4:$F$9996,Movimentos!$D$4:$D$9996,B2591,Movimentos!$C$4:$C$9996,"Entrada")-SUMIFS(Movimentos!$F$4:$F$9996,Movimentos!$D$4:$D$9996,B2591,Movimentos!$C$4:$C$9996,"Saída"),""),"")</f>
        <v/>
      </c>
      <c r="F2591" s="10" t="str">
        <f t="shared" si="84"/>
        <v/>
      </c>
    </row>
    <row r="2592" spans="1:6" x14ac:dyDescent="0.3">
      <c r="A2592" s="15" t="str">
        <f t="shared" si="83"/>
        <v>.</v>
      </c>
      <c r="E2592" s="13" t="str">
        <f>IFERROR(IF(AND(B2592&lt;&gt;"",C2592&lt;&gt;""),SUMIFS(Movimentos!$F$4:$F$9996,Movimentos!$D$4:$D$9996,B2592,Movimentos!$C$4:$C$9996,"Entrada")-SUMIFS(Movimentos!$F$4:$F$9996,Movimentos!$D$4:$D$9996,B2592,Movimentos!$C$4:$C$9996,"Saída"),""),"")</f>
        <v/>
      </c>
      <c r="F2592" s="10" t="str">
        <f t="shared" si="84"/>
        <v/>
      </c>
    </row>
    <row r="2593" spans="1:6" x14ac:dyDescent="0.3">
      <c r="A2593" s="15" t="str">
        <f t="shared" si="83"/>
        <v>.</v>
      </c>
      <c r="E2593" s="13" t="str">
        <f>IFERROR(IF(AND(B2593&lt;&gt;"",C2593&lt;&gt;""),SUMIFS(Movimentos!$F$4:$F$9996,Movimentos!$D$4:$D$9996,B2593,Movimentos!$C$4:$C$9996,"Entrada")-SUMIFS(Movimentos!$F$4:$F$9996,Movimentos!$D$4:$D$9996,B2593,Movimentos!$C$4:$C$9996,"Saída"),""),"")</f>
        <v/>
      </c>
      <c r="F2593" s="10" t="str">
        <f t="shared" si="84"/>
        <v/>
      </c>
    </row>
    <row r="2594" spans="1:6" x14ac:dyDescent="0.3">
      <c r="A2594" s="15" t="str">
        <f t="shared" si="83"/>
        <v>.</v>
      </c>
      <c r="E2594" s="13" t="str">
        <f>IFERROR(IF(AND(B2594&lt;&gt;"",C2594&lt;&gt;""),SUMIFS(Movimentos!$F$4:$F$9996,Movimentos!$D$4:$D$9996,B2594,Movimentos!$C$4:$C$9996,"Entrada")-SUMIFS(Movimentos!$F$4:$F$9996,Movimentos!$D$4:$D$9996,B2594,Movimentos!$C$4:$C$9996,"Saída"),""),"")</f>
        <v/>
      </c>
      <c r="F2594" s="10" t="str">
        <f t="shared" si="84"/>
        <v/>
      </c>
    </row>
    <row r="2595" spans="1:6" x14ac:dyDescent="0.3">
      <c r="A2595" s="15" t="str">
        <f t="shared" si="83"/>
        <v>.</v>
      </c>
      <c r="E2595" s="13" t="str">
        <f>IFERROR(IF(AND(B2595&lt;&gt;"",C2595&lt;&gt;""),SUMIFS(Movimentos!$F$4:$F$9996,Movimentos!$D$4:$D$9996,B2595,Movimentos!$C$4:$C$9996,"Entrada")-SUMIFS(Movimentos!$F$4:$F$9996,Movimentos!$D$4:$D$9996,B2595,Movimentos!$C$4:$C$9996,"Saída"),""),"")</f>
        <v/>
      </c>
      <c r="F2595" s="10" t="str">
        <f t="shared" si="84"/>
        <v/>
      </c>
    </row>
    <row r="2596" spans="1:6" x14ac:dyDescent="0.3">
      <c r="A2596" s="15" t="str">
        <f t="shared" si="83"/>
        <v>.</v>
      </c>
      <c r="E2596" s="13" t="str">
        <f>IFERROR(IF(AND(B2596&lt;&gt;"",C2596&lt;&gt;""),SUMIFS(Movimentos!$F$4:$F$9996,Movimentos!$D$4:$D$9996,B2596,Movimentos!$C$4:$C$9996,"Entrada")-SUMIFS(Movimentos!$F$4:$F$9996,Movimentos!$D$4:$D$9996,B2596,Movimentos!$C$4:$C$9996,"Saída"),""),"")</f>
        <v/>
      </c>
      <c r="F2596" s="10" t="str">
        <f t="shared" si="84"/>
        <v/>
      </c>
    </row>
    <row r="2597" spans="1:6" x14ac:dyDescent="0.3">
      <c r="A2597" s="15" t="str">
        <f t="shared" si="83"/>
        <v>.</v>
      </c>
      <c r="E2597" s="13" t="str">
        <f>IFERROR(IF(AND(B2597&lt;&gt;"",C2597&lt;&gt;""),SUMIFS(Movimentos!$F$4:$F$9996,Movimentos!$D$4:$D$9996,B2597,Movimentos!$C$4:$C$9996,"Entrada")-SUMIFS(Movimentos!$F$4:$F$9996,Movimentos!$D$4:$D$9996,B2597,Movimentos!$C$4:$C$9996,"Saída"),""),"")</f>
        <v/>
      </c>
      <c r="F2597" s="10" t="str">
        <f t="shared" si="84"/>
        <v/>
      </c>
    </row>
    <row r="2598" spans="1:6" x14ac:dyDescent="0.3">
      <c r="A2598" s="15" t="str">
        <f t="shared" si="83"/>
        <v>.</v>
      </c>
      <c r="E2598" s="13" t="str">
        <f>IFERROR(IF(AND(B2598&lt;&gt;"",C2598&lt;&gt;""),SUMIFS(Movimentos!$F$4:$F$9996,Movimentos!$D$4:$D$9996,B2598,Movimentos!$C$4:$C$9996,"Entrada")-SUMIFS(Movimentos!$F$4:$F$9996,Movimentos!$D$4:$D$9996,B2598,Movimentos!$C$4:$C$9996,"Saída"),""),"")</f>
        <v/>
      </c>
      <c r="F2598" s="10" t="str">
        <f t="shared" si="84"/>
        <v/>
      </c>
    </row>
    <row r="2599" spans="1:6" x14ac:dyDescent="0.3">
      <c r="A2599" s="15" t="str">
        <f t="shared" si="83"/>
        <v>.</v>
      </c>
      <c r="E2599" s="13" t="str">
        <f>IFERROR(IF(AND(B2599&lt;&gt;"",C2599&lt;&gt;""),SUMIFS(Movimentos!$F$4:$F$9996,Movimentos!$D$4:$D$9996,B2599,Movimentos!$C$4:$C$9996,"Entrada")-SUMIFS(Movimentos!$F$4:$F$9996,Movimentos!$D$4:$D$9996,B2599,Movimentos!$C$4:$C$9996,"Saída"),""),"")</f>
        <v/>
      </c>
      <c r="F2599" s="10" t="str">
        <f t="shared" si="84"/>
        <v/>
      </c>
    </row>
    <row r="2600" spans="1:6" x14ac:dyDescent="0.3">
      <c r="A2600" s="15" t="str">
        <f t="shared" si="83"/>
        <v>.</v>
      </c>
      <c r="E2600" s="13" t="str">
        <f>IFERROR(IF(AND(B2600&lt;&gt;"",C2600&lt;&gt;""),SUMIFS(Movimentos!$F$4:$F$9996,Movimentos!$D$4:$D$9996,B2600,Movimentos!$C$4:$C$9996,"Entrada")-SUMIFS(Movimentos!$F$4:$F$9996,Movimentos!$D$4:$D$9996,B2600,Movimentos!$C$4:$C$9996,"Saída"),""),"")</f>
        <v/>
      </c>
      <c r="F2600" s="10" t="str">
        <f t="shared" si="84"/>
        <v/>
      </c>
    </row>
    <row r="2601" spans="1:6" x14ac:dyDescent="0.3">
      <c r="A2601" s="15" t="str">
        <f t="shared" si="83"/>
        <v>.</v>
      </c>
      <c r="E2601" s="13" t="str">
        <f>IFERROR(IF(AND(B2601&lt;&gt;"",C2601&lt;&gt;""),SUMIFS(Movimentos!$F$4:$F$9996,Movimentos!$D$4:$D$9996,B2601,Movimentos!$C$4:$C$9996,"Entrada")-SUMIFS(Movimentos!$F$4:$F$9996,Movimentos!$D$4:$D$9996,B2601,Movimentos!$C$4:$C$9996,"Saída"),""),"")</f>
        <v/>
      </c>
      <c r="F2601" s="10" t="str">
        <f t="shared" si="84"/>
        <v/>
      </c>
    </row>
    <row r="2602" spans="1:6" x14ac:dyDescent="0.3">
      <c r="A2602" s="15" t="str">
        <f t="shared" si="83"/>
        <v>.</v>
      </c>
      <c r="E2602" s="13" t="str">
        <f>IFERROR(IF(AND(B2602&lt;&gt;"",C2602&lt;&gt;""),SUMIFS(Movimentos!$F$4:$F$9996,Movimentos!$D$4:$D$9996,B2602,Movimentos!$C$4:$C$9996,"Entrada")-SUMIFS(Movimentos!$F$4:$F$9996,Movimentos!$D$4:$D$9996,B2602,Movimentos!$C$4:$C$9996,"Saída"),""),"")</f>
        <v/>
      </c>
      <c r="F2602" s="10" t="str">
        <f t="shared" si="84"/>
        <v/>
      </c>
    </row>
    <row r="2603" spans="1:6" x14ac:dyDescent="0.3">
      <c r="A2603" s="15" t="str">
        <f t="shared" si="83"/>
        <v>.</v>
      </c>
      <c r="E2603" s="13" t="str">
        <f>IFERROR(IF(AND(B2603&lt;&gt;"",C2603&lt;&gt;""),SUMIFS(Movimentos!$F$4:$F$9996,Movimentos!$D$4:$D$9996,B2603,Movimentos!$C$4:$C$9996,"Entrada")-SUMIFS(Movimentos!$F$4:$F$9996,Movimentos!$D$4:$D$9996,B2603,Movimentos!$C$4:$C$9996,"Saída"),""),"")</f>
        <v/>
      </c>
      <c r="F2603" s="10" t="str">
        <f t="shared" si="84"/>
        <v/>
      </c>
    </row>
    <row r="2604" spans="1:6" x14ac:dyDescent="0.3">
      <c r="A2604" s="15" t="str">
        <f t="shared" si="83"/>
        <v>.</v>
      </c>
      <c r="E2604" s="13" t="str">
        <f>IFERROR(IF(AND(B2604&lt;&gt;"",C2604&lt;&gt;""),SUMIFS(Movimentos!$F$4:$F$9996,Movimentos!$D$4:$D$9996,B2604,Movimentos!$C$4:$C$9996,"Entrada")-SUMIFS(Movimentos!$F$4:$F$9996,Movimentos!$D$4:$D$9996,B2604,Movimentos!$C$4:$C$9996,"Saída"),""),"")</f>
        <v/>
      </c>
      <c r="F2604" s="10" t="str">
        <f t="shared" si="84"/>
        <v/>
      </c>
    </row>
    <row r="2605" spans="1:6" x14ac:dyDescent="0.3">
      <c r="A2605" s="15" t="str">
        <f t="shared" si="83"/>
        <v>.</v>
      </c>
      <c r="E2605" s="13" t="str">
        <f>IFERROR(IF(AND(B2605&lt;&gt;"",C2605&lt;&gt;""),SUMIFS(Movimentos!$F$4:$F$9996,Movimentos!$D$4:$D$9996,B2605,Movimentos!$C$4:$C$9996,"Entrada")-SUMIFS(Movimentos!$F$4:$F$9996,Movimentos!$D$4:$D$9996,B2605,Movimentos!$C$4:$C$9996,"Saída"),""),"")</f>
        <v/>
      </c>
      <c r="F2605" s="10" t="str">
        <f t="shared" si="84"/>
        <v/>
      </c>
    </row>
    <row r="2606" spans="1:6" x14ac:dyDescent="0.3">
      <c r="A2606" s="15" t="str">
        <f t="shared" si="83"/>
        <v>.</v>
      </c>
      <c r="E2606" s="13" t="str">
        <f>IFERROR(IF(AND(B2606&lt;&gt;"",C2606&lt;&gt;""),SUMIFS(Movimentos!$F$4:$F$9996,Movimentos!$D$4:$D$9996,B2606,Movimentos!$C$4:$C$9996,"Entrada")-SUMIFS(Movimentos!$F$4:$F$9996,Movimentos!$D$4:$D$9996,B2606,Movimentos!$C$4:$C$9996,"Saída"),""),"")</f>
        <v/>
      </c>
      <c r="F2606" s="10" t="str">
        <f t="shared" si="84"/>
        <v/>
      </c>
    </row>
    <row r="2607" spans="1:6" x14ac:dyDescent="0.3">
      <c r="A2607" s="15" t="str">
        <f t="shared" si="83"/>
        <v>.</v>
      </c>
      <c r="E2607" s="13" t="str">
        <f>IFERROR(IF(AND(B2607&lt;&gt;"",C2607&lt;&gt;""),SUMIFS(Movimentos!$F$4:$F$9996,Movimentos!$D$4:$D$9996,B2607,Movimentos!$C$4:$C$9996,"Entrada")-SUMIFS(Movimentos!$F$4:$F$9996,Movimentos!$D$4:$D$9996,B2607,Movimentos!$C$4:$C$9996,"Saída"),""),"")</f>
        <v/>
      </c>
      <c r="F2607" s="10" t="str">
        <f t="shared" si="84"/>
        <v/>
      </c>
    </row>
    <row r="2608" spans="1:6" x14ac:dyDescent="0.3">
      <c r="A2608" s="15" t="str">
        <f t="shared" si="83"/>
        <v>.</v>
      </c>
      <c r="E2608" s="13" t="str">
        <f>IFERROR(IF(AND(B2608&lt;&gt;"",C2608&lt;&gt;""),SUMIFS(Movimentos!$F$4:$F$9996,Movimentos!$D$4:$D$9996,B2608,Movimentos!$C$4:$C$9996,"Entrada")-SUMIFS(Movimentos!$F$4:$F$9996,Movimentos!$D$4:$D$9996,B2608,Movimentos!$C$4:$C$9996,"Saída"),""),"")</f>
        <v/>
      </c>
      <c r="F2608" s="10" t="str">
        <f t="shared" si="84"/>
        <v/>
      </c>
    </row>
    <row r="2609" spans="1:6" x14ac:dyDescent="0.3">
      <c r="A2609" s="15" t="str">
        <f t="shared" si="83"/>
        <v>.</v>
      </c>
      <c r="E2609" s="13" t="str">
        <f>IFERROR(IF(AND(B2609&lt;&gt;"",C2609&lt;&gt;""),SUMIFS(Movimentos!$F$4:$F$9996,Movimentos!$D$4:$D$9996,B2609,Movimentos!$C$4:$C$9996,"Entrada")-SUMIFS(Movimentos!$F$4:$F$9996,Movimentos!$D$4:$D$9996,B2609,Movimentos!$C$4:$C$9996,"Saída"),""),"")</f>
        <v/>
      </c>
      <c r="F2609" s="10" t="str">
        <f t="shared" si="84"/>
        <v/>
      </c>
    </row>
    <row r="2610" spans="1:6" x14ac:dyDescent="0.3">
      <c r="A2610" s="15" t="str">
        <f t="shared" si="83"/>
        <v>.</v>
      </c>
      <c r="E2610" s="13" t="str">
        <f>IFERROR(IF(AND(B2610&lt;&gt;"",C2610&lt;&gt;""),SUMIFS(Movimentos!$F$4:$F$9996,Movimentos!$D$4:$D$9996,B2610,Movimentos!$C$4:$C$9996,"Entrada")-SUMIFS(Movimentos!$F$4:$F$9996,Movimentos!$D$4:$D$9996,B2610,Movimentos!$C$4:$C$9996,"Saída"),""),"")</f>
        <v/>
      </c>
      <c r="F2610" s="10" t="str">
        <f t="shared" si="84"/>
        <v/>
      </c>
    </row>
    <row r="2611" spans="1:6" x14ac:dyDescent="0.3">
      <c r="A2611" s="15" t="str">
        <f t="shared" si="83"/>
        <v>.</v>
      </c>
      <c r="E2611" s="13" t="str">
        <f>IFERROR(IF(AND(B2611&lt;&gt;"",C2611&lt;&gt;""),SUMIFS(Movimentos!$F$4:$F$9996,Movimentos!$D$4:$D$9996,B2611,Movimentos!$C$4:$C$9996,"Entrada")-SUMIFS(Movimentos!$F$4:$F$9996,Movimentos!$D$4:$D$9996,B2611,Movimentos!$C$4:$C$9996,"Saída"),""),"")</f>
        <v/>
      </c>
      <c r="F2611" s="10" t="str">
        <f t="shared" si="84"/>
        <v/>
      </c>
    </row>
    <row r="2612" spans="1:6" x14ac:dyDescent="0.3">
      <c r="A2612" s="15" t="str">
        <f t="shared" si="83"/>
        <v>.</v>
      </c>
      <c r="E2612" s="13" t="str">
        <f>IFERROR(IF(AND(B2612&lt;&gt;"",C2612&lt;&gt;""),SUMIFS(Movimentos!$F$4:$F$9996,Movimentos!$D$4:$D$9996,B2612,Movimentos!$C$4:$C$9996,"Entrada")-SUMIFS(Movimentos!$F$4:$F$9996,Movimentos!$D$4:$D$9996,B2612,Movimentos!$C$4:$C$9996,"Saída"),""),"")</f>
        <v/>
      </c>
      <c r="F2612" s="10" t="str">
        <f t="shared" si="84"/>
        <v/>
      </c>
    </row>
    <row r="2613" spans="1:6" x14ac:dyDescent="0.3">
      <c r="A2613" s="15" t="str">
        <f t="shared" si="83"/>
        <v>.</v>
      </c>
      <c r="E2613" s="13" t="str">
        <f>IFERROR(IF(AND(B2613&lt;&gt;"",C2613&lt;&gt;""),SUMIFS(Movimentos!$F$4:$F$9996,Movimentos!$D$4:$D$9996,B2613,Movimentos!$C$4:$C$9996,"Entrada")-SUMIFS(Movimentos!$F$4:$F$9996,Movimentos!$D$4:$D$9996,B2613,Movimentos!$C$4:$C$9996,"Saída"),""),"")</f>
        <v/>
      </c>
      <c r="F2613" s="10" t="str">
        <f t="shared" si="84"/>
        <v/>
      </c>
    </row>
    <row r="2614" spans="1:6" x14ac:dyDescent="0.3">
      <c r="A2614" s="15" t="str">
        <f t="shared" si="83"/>
        <v>.</v>
      </c>
      <c r="E2614" s="13" t="str">
        <f>IFERROR(IF(AND(B2614&lt;&gt;"",C2614&lt;&gt;""),SUMIFS(Movimentos!$F$4:$F$9996,Movimentos!$D$4:$D$9996,B2614,Movimentos!$C$4:$C$9996,"Entrada")-SUMIFS(Movimentos!$F$4:$F$9996,Movimentos!$D$4:$D$9996,B2614,Movimentos!$C$4:$C$9996,"Saída"),""),"")</f>
        <v/>
      </c>
      <c r="F2614" s="10" t="str">
        <f t="shared" si="84"/>
        <v/>
      </c>
    </row>
    <row r="2615" spans="1:6" x14ac:dyDescent="0.3">
      <c r="A2615" s="15" t="str">
        <f t="shared" si="83"/>
        <v>.</v>
      </c>
      <c r="E2615" s="13" t="str">
        <f>IFERROR(IF(AND(B2615&lt;&gt;"",C2615&lt;&gt;""),SUMIFS(Movimentos!$F$4:$F$9996,Movimentos!$D$4:$D$9996,B2615,Movimentos!$C$4:$C$9996,"Entrada")-SUMIFS(Movimentos!$F$4:$F$9996,Movimentos!$D$4:$D$9996,B2615,Movimentos!$C$4:$C$9996,"Saída"),""),"")</f>
        <v/>
      </c>
      <c r="F2615" s="10" t="str">
        <f t="shared" si="84"/>
        <v/>
      </c>
    </row>
    <row r="2616" spans="1:6" x14ac:dyDescent="0.3">
      <c r="A2616" s="15" t="str">
        <f t="shared" si="83"/>
        <v>.</v>
      </c>
      <c r="E2616" s="13" t="str">
        <f>IFERROR(IF(AND(B2616&lt;&gt;"",C2616&lt;&gt;""),SUMIFS(Movimentos!$F$4:$F$9996,Movimentos!$D$4:$D$9996,B2616,Movimentos!$C$4:$C$9996,"Entrada")-SUMIFS(Movimentos!$F$4:$F$9996,Movimentos!$D$4:$D$9996,B2616,Movimentos!$C$4:$C$9996,"Saída"),""),"")</f>
        <v/>
      </c>
      <c r="F2616" s="10" t="str">
        <f t="shared" si="84"/>
        <v/>
      </c>
    </row>
    <row r="2617" spans="1:6" x14ac:dyDescent="0.3">
      <c r="A2617" s="15" t="str">
        <f t="shared" si="83"/>
        <v>.</v>
      </c>
      <c r="E2617" s="13" t="str">
        <f>IFERROR(IF(AND(B2617&lt;&gt;"",C2617&lt;&gt;""),SUMIFS(Movimentos!$F$4:$F$9996,Movimentos!$D$4:$D$9996,B2617,Movimentos!$C$4:$C$9996,"Entrada")-SUMIFS(Movimentos!$F$4:$F$9996,Movimentos!$D$4:$D$9996,B2617,Movimentos!$C$4:$C$9996,"Saída"),""),"")</f>
        <v/>
      </c>
      <c r="F2617" s="10" t="str">
        <f t="shared" si="84"/>
        <v/>
      </c>
    </row>
    <row r="2618" spans="1:6" x14ac:dyDescent="0.3">
      <c r="A2618" s="15" t="str">
        <f t="shared" si="83"/>
        <v>.</v>
      </c>
      <c r="E2618" s="13" t="str">
        <f>IFERROR(IF(AND(B2618&lt;&gt;"",C2618&lt;&gt;""),SUMIFS(Movimentos!$F$4:$F$9996,Movimentos!$D$4:$D$9996,B2618,Movimentos!$C$4:$C$9996,"Entrada")-SUMIFS(Movimentos!$F$4:$F$9996,Movimentos!$D$4:$D$9996,B2618,Movimentos!$C$4:$C$9996,"Saída"),""),"")</f>
        <v/>
      </c>
      <c r="F2618" s="10" t="str">
        <f t="shared" si="84"/>
        <v/>
      </c>
    </row>
    <row r="2619" spans="1:6" x14ac:dyDescent="0.3">
      <c r="A2619" s="15" t="str">
        <f t="shared" si="83"/>
        <v>.</v>
      </c>
      <c r="E2619" s="13" t="str">
        <f>IFERROR(IF(AND(B2619&lt;&gt;"",C2619&lt;&gt;""),SUMIFS(Movimentos!$F$4:$F$9996,Movimentos!$D$4:$D$9996,B2619,Movimentos!$C$4:$C$9996,"Entrada")-SUMIFS(Movimentos!$F$4:$F$9996,Movimentos!$D$4:$D$9996,B2619,Movimentos!$C$4:$C$9996,"Saída"),""),"")</f>
        <v/>
      </c>
      <c r="F2619" s="10" t="str">
        <f t="shared" si="84"/>
        <v/>
      </c>
    </row>
    <row r="2620" spans="1:6" x14ac:dyDescent="0.3">
      <c r="A2620" s="15" t="str">
        <f t="shared" si="83"/>
        <v>.</v>
      </c>
      <c r="E2620" s="13" t="str">
        <f>IFERROR(IF(AND(B2620&lt;&gt;"",C2620&lt;&gt;""),SUMIFS(Movimentos!$F$4:$F$9996,Movimentos!$D$4:$D$9996,B2620,Movimentos!$C$4:$C$9996,"Entrada")-SUMIFS(Movimentos!$F$4:$F$9996,Movimentos!$D$4:$D$9996,B2620,Movimentos!$C$4:$C$9996,"Saída"),""),"")</f>
        <v/>
      </c>
      <c r="F2620" s="10" t="str">
        <f t="shared" si="84"/>
        <v/>
      </c>
    </row>
    <row r="2621" spans="1:6" x14ac:dyDescent="0.3">
      <c r="A2621" s="15" t="str">
        <f t="shared" si="83"/>
        <v>.</v>
      </c>
      <c r="E2621" s="13" t="str">
        <f>IFERROR(IF(AND(B2621&lt;&gt;"",C2621&lt;&gt;""),SUMIFS(Movimentos!$F$4:$F$9996,Movimentos!$D$4:$D$9996,B2621,Movimentos!$C$4:$C$9996,"Entrada")-SUMIFS(Movimentos!$F$4:$F$9996,Movimentos!$D$4:$D$9996,B2621,Movimentos!$C$4:$C$9996,"Saída"),""),"")</f>
        <v/>
      </c>
      <c r="F2621" s="10" t="str">
        <f t="shared" si="84"/>
        <v/>
      </c>
    </row>
    <row r="2622" spans="1:6" x14ac:dyDescent="0.3">
      <c r="A2622" s="15" t="str">
        <f t="shared" si="83"/>
        <v>.</v>
      </c>
      <c r="E2622" s="13" t="str">
        <f>IFERROR(IF(AND(B2622&lt;&gt;"",C2622&lt;&gt;""),SUMIFS(Movimentos!$F$4:$F$9996,Movimentos!$D$4:$D$9996,B2622,Movimentos!$C$4:$C$9996,"Entrada")-SUMIFS(Movimentos!$F$4:$F$9996,Movimentos!$D$4:$D$9996,B2622,Movimentos!$C$4:$C$9996,"Saída"),""),"")</f>
        <v/>
      </c>
      <c r="F2622" s="10" t="str">
        <f t="shared" si="84"/>
        <v/>
      </c>
    </row>
    <row r="2623" spans="1:6" x14ac:dyDescent="0.3">
      <c r="A2623" s="15" t="str">
        <f t="shared" si="83"/>
        <v>.</v>
      </c>
      <c r="E2623" s="13" t="str">
        <f>IFERROR(IF(AND(B2623&lt;&gt;"",C2623&lt;&gt;""),SUMIFS(Movimentos!$F$4:$F$9996,Movimentos!$D$4:$D$9996,B2623,Movimentos!$C$4:$C$9996,"Entrada")-SUMIFS(Movimentos!$F$4:$F$9996,Movimentos!$D$4:$D$9996,B2623,Movimentos!$C$4:$C$9996,"Saída"),""),"")</f>
        <v/>
      </c>
      <c r="F2623" s="10" t="str">
        <f t="shared" si="84"/>
        <v/>
      </c>
    </row>
    <row r="2624" spans="1:6" x14ac:dyDescent="0.3">
      <c r="A2624" s="15" t="str">
        <f t="shared" ref="A2624:A2687" si="85">IF(F2624="Saldo zerado",0,IF(F2624="Saldo abaixo do mínimo",1,IF(F2624="Saldo disponível",2,".")))</f>
        <v>.</v>
      </c>
      <c r="E2624" s="13" t="str">
        <f>IFERROR(IF(AND(B2624&lt;&gt;"",C2624&lt;&gt;""),SUMIFS(Movimentos!$F$4:$F$9996,Movimentos!$D$4:$D$9996,B2624,Movimentos!$C$4:$C$9996,"Entrada")-SUMIFS(Movimentos!$F$4:$F$9996,Movimentos!$D$4:$D$9996,B2624,Movimentos!$C$4:$C$9996,"Saída"),""),"")</f>
        <v/>
      </c>
      <c r="F2624" s="10" t="str">
        <f t="shared" si="84"/>
        <v/>
      </c>
    </row>
    <row r="2625" spans="1:6" x14ac:dyDescent="0.3">
      <c r="A2625" s="15" t="str">
        <f t="shared" si="85"/>
        <v>.</v>
      </c>
      <c r="E2625" s="13" t="str">
        <f>IFERROR(IF(AND(B2625&lt;&gt;"",C2625&lt;&gt;""),SUMIFS(Movimentos!$F$4:$F$9996,Movimentos!$D$4:$D$9996,B2625,Movimentos!$C$4:$C$9996,"Entrada")-SUMIFS(Movimentos!$F$4:$F$9996,Movimentos!$D$4:$D$9996,B2625,Movimentos!$C$4:$C$9996,"Saída"),""),"")</f>
        <v/>
      </c>
      <c r="F2625" s="10" t="str">
        <f t="shared" si="84"/>
        <v/>
      </c>
    </row>
    <row r="2626" spans="1:6" x14ac:dyDescent="0.3">
      <c r="A2626" s="15" t="str">
        <f t="shared" si="85"/>
        <v>.</v>
      </c>
      <c r="E2626" s="13" t="str">
        <f>IFERROR(IF(AND(B2626&lt;&gt;"",C2626&lt;&gt;""),SUMIFS(Movimentos!$F$4:$F$9996,Movimentos!$D$4:$D$9996,B2626,Movimentos!$C$4:$C$9996,"Entrada")-SUMIFS(Movimentos!$F$4:$F$9996,Movimentos!$D$4:$D$9996,B2626,Movimentos!$C$4:$C$9996,"Saída"),""),"")</f>
        <v/>
      </c>
      <c r="F2626" s="10" t="str">
        <f t="shared" si="84"/>
        <v/>
      </c>
    </row>
    <row r="2627" spans="1:6" x14ac:dyDescent="0.3">
      <c r="A2627" s="15" t="str">
        <f t="shared" si="85"/>
        <v>.</v>
      </c>
      <c r="E2627" s="13" t="str">
        <f>IFERROR(IF(AND(B2627&lt;&gt;"",C2627&lt;&gt;""),SUMIFS(Movimentos!$F$4:$F$9996,Movimentos!$D$4:$D$9996,B2627,Movimentos!$C$4:$C$9996,"Entrada")-SUMIFS(Movimentos!$F$4:$F$9996,Movimentos!$D$4:$D$9996,B2627,Movimentos!$C$4:$C$9996,"Saída"),""),"")</f>
        <v/>
      </c>
      <c r="F2627" s="10" t="str">
        <f t="shared" si="84"/>
        <v/>
      </c>
    </row>
    <row r="2628" spans="1:6" x14ac:dyDescent="0.3">
      <c r="A2628" s="15" t="str">
        <f t="shared" si="85"/>
        <v>.</v>
      </c>
      <c r="E2628" s="13" t="str">
        <f>IFERROR(IF(AND(B2628&lt;&gt;"",C2628&lt;&gt;""),SUMIFS(Movimentos!$F$4:$F$9996,Movimentos!$D$4:$D$9996,B2628,Movimentos!$C$4:$C$9996,"Entrada")-SUMIFS(Movimentos!$F$4:$F$9996,Movimentos!$D$4:$D$9996,B2628,Movimentos!$C$4:$C$9996,"Saída"),""),"")</f>
        <v/>
      </c>
      <c r="F2628" s="10" t="str">
        <f t="shared" si="84"/>
        <v/>
      </c>
    </row>
    <row r="2629" spans="1:6" x14ac:dyDescent="0.3">
      <c r="A2629" s="15" t="str">
        <f t="shared" si="85"/>
        <v>.</v>
      </c>
      <c r="E2629" s="13" t="str">
        <f>IFERROR(IF(AND(B2629&lt;&gt;"",C2629&lt;&gt;""),SUMIFS(Movimentos!$F$4:$F$9996,Movimentos!$D$4:$D$9996,B2629,Movimentos!$C$4:$C$9996,"Entrada")-SUMIFS(Movimentos!$F$4:$F$9996,Movimentos!$D$4:$D$9996,B2629,Movimentos!$C$4:$C$9996,"Saída"),""),"")</f>
        <v/>
      </c>
      <c r="F2629" s="10" t="str">
        <f t="shared" si="84"/>
        <v/>
      </c>
    </row>
    <row r="2630" spans="1:6" x14ac:dyDescent="0.3">
      <c r="A2630" s="15" t="str">
        <f t="shared" si="85"/>
        <v>.</v>
      </c>
      <c r="E2630" s="13" t="str">
        <f>IFERROR(IF(AND(B2630&lt;&gt;"",C2630&lt;&gt;""),SUMIFS(Movimentos!$F$4:$F$9996,Movimentos!$D$4:$D$9996,B2630,Movimentos!$C$4:$C$9996,"Entrada")-SUMIFS(Movimentos!$F$4:$F$9996,Movimentos!$D$4:$D$9996,B2630,Movimentos!$C$4:$C$9996,"Saída"),""),"")</f>
        <v/>
      </c>
      <c r="F2630" s="10" t="str">
        <f t="shared" si="84"/>
        <v/>
      </c>
    </row>
    <row r="2631" spans="1:6" x14ac:dyDescent="0.3">
      <c r="A2631" s="15" t="str">
        <f t="shared" si="85"/>
        <v>.</v>
      </c>
      <c r="E2631" s="13" t="str">
        <f>IFERROR(IF(AND(B2631&lt;&gt;"",C2631&lt;&gt;""),SUMIFS(Movimentos!$F$4:$F$9996,Movimentos!$D$4:$D$9996,B2631,Movimentos!$C$4:$C$9996,"Entrada")-SUMIFS(Movimentos!$F$4:$F$9996,Movimentos!$D$4:$D$9996,B2631,Movimentos!$C$4:$C$9996,"Saída"),""),"")</f>
        <v/>
      </c>
      <c r="F2631" s="10" t="str">
        <f t="shared" si="84"/>
        <v/>
      </c>
    </row>
    <row r="2632" spans="1:6" x14ac:dyDescent="0.3">
      <c r="A2632" s="15" t="str">
        <f t="shared" si="85"/>
        <v>.</v>
      </c>
      <c r="E2632" s="13" t="str">
        <f>IFERROR(IF(AND(B2632&lt;&gt;"",C2632&lt;&gt;""),SUMIFS(Movimentos!$F$4:$F$9996,Movimentos!$D$4:$D$9996,B2632,Movimentos!$C$4:$C$9996,"Entrada")-SUMIFS(Movimentos!$F$4:$F$9996,Movimentos!$D$4:$D$9996,B2632,Movimentos!$C$4:$C$9996,"Saída"),""),"")</f>
        <v/>
      </c>
      <c r="F2632" s="10" t="str">
        <f t="shared" si="84"/>
        <v/>
      </c>
    </row>
    <row r="2633" spans="1:6" x14ac:dyDescent="0.3">
      <c r="A2633" s="15" t="str">
        <f t="shared" si="85"/>
        <v>.</v>
      </c>
      <c r="E2633" s="13" t="str">
        <f>IFERROR(IF(AND(B2633&lt;&gt;"",C2633&lt;&gt;""),SUMIFS(Movimentos!$F$4:$F$9996,Movimentos!$D$4:$D$9996,B2633,Movimentos!$C$4:$C$9996,"Entrada")-SUMIFS(Movimentos!$F$4:$F$9996,Movimentos!$D$4:$D$9996,B2633,Movimentos!$C$4:$C$9996,"Saída"),""),"")</f>
        <v/>
      </c>
      <c r="F2633" s="10" t="str">
        <f t="shared" si="84"/>
        <v/>
      </c>
    </row>
    <row r="2634" spans="1:6" x14ac:dyDescent="0.3">
      <c r="A2634" s="15" t="str">
        <f t="shared" si="85"/>
        <v>.</v>
      </c>
      <c r="E2634" s="13" t="str">
        <f>IFERROR(IF(AND(B2634&lt;&gt;"",C2634&lt;&gt;""),SUMIFS(Movimentos!$F$4:$F$9996,Movimentos!$D$4:$D$9996,B2634,Movimentos!$C$4:$C$9996,"Entrada")-SUMIFS(Movimentos!$F$4:$F$9996,Movimentos!$D$4:$D$9996,B2634,Movimentos!$C$4:$C$9996,"Saída"),""),"")</f>
        <v/>
      </c>
      <c r="F2634" s="10" t="str">
        <f t="shared" si="84"/>
        <v/>
      </c>
    </row>
    <row r="2635" spans="1:6" x14ac:dyDescent="0.3">
      <c r="A2635" s="15" t="str">
        <f t="shared" si="85"/>
        <v>.</v>
      </c>
      <c r="E2635" s="13" t="str">
        <f>IFERROR(IF(AND(B2635&lt;&gt;"",C2635&lt;&gt;""),SUMIFS(Movimentos!$F$4:$F$9996,Movimentos!$D$4:$D$9996,B2635,Movimentos!$C$4:$C$9996,"Entrada")-SUMIFS(Movimentos!$F$4:$F$9996,Movimentos!$D$4:$D$9996,B2635,Movimentos!$C$4:$C$9996,"Saída"),""),"")</f>
        <v/>
      </c>
      <c r="F2635" s="10" t="str">
        <f t="shared" si="84"/>
        <v/>
      </c>
    </row>
    <row r="2636" spans="1:6" x14ac:dyDescent="0.3">
      <c r="A2636" s="15" t="str">
        <f t="shared" si="85"/>
        <v>.</v>
      </c>
      <c r="E2636" s="13" t="str">
        <f>IFERROR(IF(AND(B2636&lt;&gt;"",C2636&lt;&gt;""),SUMIFS(Movimentos!$F$4:$F$9996,Movimentos!$D$4:$D$9996,B2636,Movimentos!$C$4:$C$9996,"Entrada")-SUMIFS(Movimentos!$F$4:$F$9996,Movimentos!$D$4:$D$9996,B2636,Movimentos!$C$4:$C$9996,"Saída"),""),"")</f>
        <v/>
      </c>
      <c r="F2636" s="10" t="str">
        <f t="shared" si="84"/>
        <v/>
      </c>
    </row>
    <row r="2637" spans="1:6" x14ac:dyDescent="0.3">
      <c r="A2637" s="15" t="str">
        <f t="shared" si="85"/>
        <v>.</v>
      </c>
      <c r="E2637" s="13" t="str">
        <f>IFERROR(IF(AND(B2637&lt;&gt;"",C2637&lt;&gt;""),SUMIFS(Movimentos!$F$4:$F$9996,Movimentos!$D$4:$D$9996,B2637,Movimentos!$C$4:$C$9996,"Entrada")-SUMIFS(Movimentos!$F$4:$F$9996,Movimentos!$D$4:$D$9996,B2637,Movimentos!$C$4:$C$9996,"Saída"),""),"")</f>
        <v/>
      </c>
      <c r="F2637" s="10" t="str">
        <f t="shared" si="84"/>
        <v/>
      </c>
    </row>
    <row r="2638" spans="1:6" x14ac:dyDescent="0.3">
      <c r="A2638" s="15" t="str">
        <f t="shared" si="85"/>
        <v>.</v>
      </c>
      <c r="E2638" s="13" t="str">
        <f>IFERROR(IF(AND(B2638&lt;&gt;"",C2638&lt;&gt;""),SUMIFS(Movimentos!$F$4:$F$9996,Movimentos!$D$4:$D$9996,B2638,Movimentos!$C$4:$C$9996,"Entrada")-SUMIFS(Movimentos!$F$4:$F$9996,Movimentos!$D$4:$D$9996,B2638,Movimentos!$C$4:$C$9996,"Saída"),""),"")</f>
        <v/>
      </c>
      <c r="F2638" s="10" t="str">
        <f t="shared" si="84"/>
        <v/>
      </c>
    </row>
    <row r="2639" spans="1:6" x14ac:dyDescent="0.3">
      <c r="A2639" s="15" t="str">
        <f t="shared" si="85"/>
        <v>.</v>
      </c>
      <c r="E2639" s="13" t="str">
        <f>IFERROR(IF(AND(B2639&lt;&gt;"",C2639&lt;&gt;""),SUMIFS(Movimentos!$F$4:$F$9996,Movimentos!$D$4:$D$9996,B2639,Movimentos!$C$4:$C$9996,"Entrada")-SUMIFS(Movimentos!$F$4:$F$9996,Movimentos!$D$4:$D$9996,B2639,Movimentos!$C$4:$C$9996,"Saída"),""),"")</f>
        <v/>
      </c>
      <c r="F2639" s="10" t="str">
        <f t="shared" si="84"/>
        <v/>
      </c>
    </row>
    <row r="2640" spans="1:6" x14ac:dyDescent="0.3">
      <c r="A2640" s="15" t="str">
        <f t="shared" si="85"/>
        <v>.</v>
      </c>
      <c r="E2640" s="13" t="str">
        <f>IFERROR(IF(AND(B2640&lt;&gt;"",C2640&lt;&gt;""),SUMIFS(Movimentos!$F$4:$F$9996,Movimentos!$D$4:$D$9996,B2640,Movimentos!$C$4:$C$9996,"Entrada")-SUMIFS(Movimentos!$F$4:$F$9996,Movimentos!$D$4:$D$9996,B2640,Movimentos!$C$4:$C$9996,"Saída"),""),"")</f>
        <v/>
      </c>
      <c r="F2640" s="10" t="str">
        <f t="shared" si="84"/>
        <v/>
      </c>
    </row>
    <row r="2641" spans="1:6" x14ac:dyDescent="0.3">
      <c r="A2641" s="15" t="str">
        <f t="shared" si="85"/>
        <v>.</v>
      </c>
      <c r="E2641" s="13" t="str">
        <f>IFERROR(IF(AND(B2641&lt;&gt;"",C2641&lt;&gt;""),SUMIFS(Movimentos!$F$4:$F$9996,Movimentos!$D$4:$D$9996,B2641,Movimentos!$C$4:$C$9996,"Entrada")-SUMIFS(Movimentos!$F$4:$F$9996,Movimentos!$D$4:$D$9996,B2641,Movimentos!$C$4:$C$9996,"Saída"),""),"")</f>
        <v/>
      </c>
      <c r="F2641" s="10" t="str">
        <f t="shared" si="84"/>
        <v/>
      </c>
    </row>
    <row r="2642" spans="1:6" x14ac:dyDescent="0.3">
      <c r="A2642" s="15" t="str">
        <f t="shared" si="85"/>
        <v>.</v>
      </c>
      <c r="E2642" s="13" t="str">
        <f>IFERROR(IF(AND(B2642&lt;&gt;"",C2642&lt;&gt;""),SUMIFS(Movimentos!$F$4:$F$9996,Movimentos!$D$4:$D$9996,B2642,Movimentos!$C$4:$C$9996,"Entrada")-SUMIFS(Movimentos!$F$4:$F$9996,Movimentos!$D$4:$D$9996,B2642,Movimentos!$C$4:$C$9996,"Saída"),""),"")</f>
        <v/>
      </c>
      <c r="F2642" s="10" t="str">
        <f t="shared" si="84"/>
        <v/>
      </c>
    </row>
    <row r="2643" spans="1:6" x14ac:dyDescent="0.3">
      <c r="A2643" s="15" t="str">
        <f t="shared" si="85"/>
        <v>.</v>
      </c>
      <c r="E2643" s="13" t="str">
        <f>IFERROR(IF(AND(B2643&lt;&gt;"",C2643&lt;&gt;""),SUMIFS(Movimentos!$F$4:$F$9996,Movimentos!$D$4:$D$9996,B2643,Movimentos!$C$4:$C$9996,"Entrada")-SUMIFS(Movimentos!$F$4:$F$9996,Movimentos!$D$4:$D$9996,B2643,Movimentos!$C$4:$C$9996,"Saída"),""),"")</f>
        <v/>
      </c>
      <c r="F2643" s="10" t="str">
        <f t="shared" si="84"/>
        <v/>
      </c>
    </row>
    <row r="2644" spans="1:6" x14ac:dyDescent="0.3">
      <c r="A2644" s="15" t="str">
        <f t="shared" si="85"/>
        <v>.</v>
      </c>
      <c r="E2644" s="13" t="str">
        <f>IFERROR(IF(AND(B2644&lt;&gt;"",C2644&lt;&gt;""),SUMIFS(Movimentos!$F$4:$F$9996,Movimentos!$D$4:$D$9996,B2644,Movimentos!$C$4:$C$9996,"Entrada")-SUMIFS(Movimentos!$F$4:$F$9996,Movimentos!$D$4:$D$9996,B2644,Movimentos!$C$4:$C$9996,"Saída"),""),"")</f>
        <v/>
      </c>
      <c r="F2644" s="10" t="str">
        <f t="shared" si="84"/>
        <v/>
      </c>
    </row>
    <row r="2645" spans="1:6" x14ac:dyDescent="0.3">
      <c r="A2645" s="15" t="str">
        <f t="shared" si="85"/>
        <v>.</v>
      </c>
      <c r="E2645" s="13" t="str">
        <f>IFERROR(IF(AND(B2645&lt;&gt;"",C2645&lt;&gt;""),SUMIFS(Movimentos!$F$4:$F$9996,Movimentos!$D$4:$D$9996,B2645,Movimentos!$C$4:$C$9996,"Entrada")-SUMIFS(Movimentos!$F$4:$F$9996,Movimentos!$D$4:$D$9996,B2645,Movimentos!$C$4:$C$9996,"Saída"),""),"")</f>
        <v/>
      </c>
      <c r="F2645" s="10" t="str">
        <f t="shared" si="84"/>
        <v/>
      </c>
    </row>
    <row r="2646" spans="1:6" x14ac:dyDescent="0.3">
      <c r="A2646" s="15" t="str">
        <f t="shared" si="85"/>
        <v>.</v>
      </c>
      <c r="E2646" s="13" t="str">
        <f>IFERROR(IF(AND(B2646&lt;&gt;"",C2646&lt;&gt;""),SUMIFS(Movimentos!$F$4:$F$9996,Movimentos!$D$4:$D$9996,B2646,Movimentos!$C$4:$C$9996,"Entrada")-SUMIFS(Movimentos!$F$4:$F$9996,Movimentos!$D$4:$D$9996,B2646,Movimentos!$C$4:$C$9996,"Saída"),""),"")</f>
        <v/>
      </c>
      <c r="F2646" s="10" t="str">
        <f t="shared" si="84"/>
        <v/>
      </c>
    </row>
    <row r="2647" spans="1:6" x14ac:dyDescent="0.3">
      <c r="A2647" s="15" t="str">
        <f t="shared" si="85"/>
        <v>.</v>
      </c>
      <c r="E2647" s="13" t="str">
        <f>IFERROR(IF(AND(B2647&lt;&gt;"",C2647&lt;&gt;""),SUMIFS(Movimentos!$F$4:$F$9996,Movimentos!$D$4:$D$9996,B2647,Movimentos!$C$4:$C$9996,"Entrada")-SUMIFS(Movimentos!$F$4:$F$9996,Movimentos!$D$4:$D$9996,B2647,Movimentos!$C$4:$C$9996,"Saída"),""),"")</f>
        <v/>
      </c>
      <c r="F2647" s="10" t="str">
        <f t="shared" ref="F2647:F2710" si="86">IF(AND(B2647&lt;&gt;"",C2647&lt;&gt;""),IF(E2647=0,"Saldo zerado",IF(E2647&lt;D2647,"Saldo abaixo do mínimo","Saldo disponível")),"")</f>
        <v/>
      </c>
    </row>
    <row r="2648" spans="1:6" x14ac:dyDescent="0.3">
      <c r="A2648" s="15" t="str">
        <f t="shared" si="85"/>
        <v>.</v>
      </c>
      <c r="E2648" s="13" t="str">
        <f>IFERROR(IF(AND(B2648&lt;&gt;"",C2648&lt;&gt;""),SUMIFS(Movimentos!$F$4:$F$9996,Movimentos!$D$4:$D$9996,B2648,Movimentos!$C$4:$C$9996,"Entrada")-SUMIFS(Movimentos!$F$4:$F$9996,Movimentos!$D$4:$D$9996,B2648,Movimentos!$C$4:$C$9996,"Saída"),""),"")</f>
        <v/>
      </c>
      <c r="F2648" s="10" t="str">
        <f t="shared" si="86"/>
        <v/>
      </c>
    </row>
    <row r="2649" spans="1:6" x14ac:dyDescent="0.3">
      <c r="A2649" s="15" t="str">
        <f t="shared" si="85"/>
        <v>.</v>
      </c>
      <c r="E2649" s="13" t="str">
        <f>IFERROR(IF(AND(B2649&lt;&gt;"",C2649&lt;&gt;""),SUMIFS(Movimentos!$F$4:$F$9996,Movimentos!$D$4:$D$9996,B2649,Movimentos!$C$4:$C$9996,"Entrada")-SUMIFS(Movimentos!$F$4:$F$9996,Movimentos!$D$4:$D$9996,B2649,Movimentos!$C$4:$C$9996,"Saída"),""),"")</f>
        <v/>
      </c>
      <c r="F2649" s="10" t="str">
        <f t="shared" si="86"/>
        <v/>
      </c>
    </row>
    <row r="2650" spans="1:6" x14ac:dyDescent="0.3">
      <c r="A2650" s="15" t="str">
        <f t="shared" si="85"/>
        <v>.</v>
      </c>
      <c r="E2650" s="13" t="str">
        <f>IFERROR(IF(AND(B2650&lt;&gt;"",C2650&lt;&gt;""),SUMIFS(Movimentos!$F$4:$F$9996,Movimentos!$D$4:$D$9996,B2650,Movimentos!$C$4:$C$9996,"Entrada")-SUMIFS(Movimentos!$F$4:$F$9996,Movimentos!$D$4:$D$9996,B2650,Movimentos!$C$4:$C$9996,"Saída"),""),"")</f>
        <v/>
      </c>
      <c r="F2650" s="10" t="str">
        <f t="shared" si="86"/>
        <v/>
      </c>
    </row>
    <row r="2651" spans="1:6" x14ac:dyDescent="0.3">
      <c r="A2651" s="15" t="str">
        <f t="shared" si="85"/>
        <v>.</v>
      </c>
      <c r="E2651" s="13" t="str">
        <f>IFERROR(IF(AND(B2651&lt;&gt;"",C2651&lt;&gt;""),SUMIFS(Movimentos!$F$4:$F$9996,Movimentos!$D$4:$D$9996,B2651,Movimentos!$C$4:$C$9996,"Entrada")-SUMIFS(Movimentos!$F$4:$F$9996,Movimentos!$D$4:$D$9996,B2651,Movimentos!$C$4:$C$9996,"Saída"),""),"")</f>
        <v/>
      </c>
      <c r="F2651" s="10" t="str">
        <f t="shared" si="86"/>
        <v/>
      </c>
    </row>
    <row r="2652" spans="1:6" x14ac:dyDescent="0.3">
      <c r="A2652" s="15" t="str">
        <f t="shared" si="85"/>
        <v>.</v>
      </c>
      <c r="E2652" s="13" t="str">
        <f>IFERROR(IF(AND(B2652&lt;&gt;"",C2652&lt;&gt;""),SUMIFS(Movimentos!$F$4:$F$9996,Movimentos!$D$4:$D$9996,B2652,Movimentos!$C$4:$C$9996,"Entrada")-SUMIFS(Movimentos!$F$4:$F$9996,Movimentos!$D$4:$D$9996,B2652,Movimentos!$C$4:$C$9996,"Saída"),""),"")</f>
        <v/>
      </c>
      <c r="F2652" s="10" t="str">
        <f t="shared" si="86"/>
        <v/>
      </c>
    </row>
    <row r="2653" spans="1:6" x14ac:dyDescent="0.3">
      <c r="A2653" s="15" t="str">
        <f t="shared" si="85"/>
        <v>.</v>
      </c>
      <c r="E2653" s="13" t="str">
        <f>IFERROR(IF(AND(B2653&lt;&gt;"",C2653&lt;&gt;""),SUMIFS(Movimentos!$F$4:$F$9996,Movimentos!$D$4:$D$9996,B2653,Movimentos!$C$4:$C$9996,"Entrada")-SUMIFS(Movimentos!$F$4:$F$9996,Movimentos!$D$4:$D$9996,B2653,Movimentos!$C$4:$C$9996,"Saída"),""),"")</f>
        <v/>
      </c>
      <c r="F2653" s="10" t="str">
        <f t="shared" si="86"/>
        <v/>
      </c>
    </row>
    <row r="2654" spans="1:6" x14ac:dyDescent="0.3">
      <c r="A2654" s="15" t="str">
        <f t="shared" si="85"/>
        <v>.</v>
      </c>
      <c r="E2654" s="13" t="str">
        <f>IFERROR(IF(AND(B2654&lt;&gt;"",C2654&lt;&gt;""),SUMIFS(Movimentos!$F$4:$F$9996,Movimentos!$D$4:$D$9996,B2654,Movimentos!$C$4:$C$9996,"Entrada")-SUMIFS(Movimentos!$F$4:$F$9996,Movimentos!$D$4:$D$9996,B2654,Movimentos!$C$4:$C$9996,"Saída"),""),"")</f>
        <v/>
      </c>
      <c r="F2654" s="10" t="str">
        <f t="shared" si="86"/>
        <v/>
      </c>
    </row>
    <row r="2655" spans="1:6" x14ac:dyDescent="0.3">
      <c r="A2655" s="15" t="str">
        <f t="shared" si="85"/>
        <v>.</v>
      </c>
      <c r="E2655" s="13" t="str">
        <f>IFERROR(IF(AND(B2655&lt;&gt;"",C2655&lt;&gt;""),SUMIFS(Movimentos!$F$4:$F$9996,Movimentos!$D$4:$D$9996,B2655,Movimentos!$C$4:$C$9996,"Entrada")-SUMIFS(Movimentos!$F$4:$F$9996,Movimentos!$D$4:$D$9996,B2655,Movimentos!$C$4:$C$9996,"Saída"),""),"")</f>
        <v/>
      </c>
      <c r="F2655" s="10" t="str">
        <f t="shared" si="86"/>
        <v/>
      </c>
    </row>
    <row r="2656" spans="1:6" x14ac:dyDescent="0.3">
      <c r="A2656" s="15" t="str">
        <f t="shared" si="85"/>
        <v>.</v>
      </c>
      <c r="E2656" s="13" t="str">
        <f>IFERROR(IF(AND(B2656&lt;&gt;"",C2656&lt;&gt;""),SUMIFS(Movimentos!$F$4:$F$9996,Movimentos!$D$4:$D$9996,B2656,Movimentos!$C$4:$C$9996,"Entrada")-SUMIFS(Movimentos!$F$4:$F$9996,Movimentos!$D$4:$D$9996,B2656,Movimentos!$C$4:$C$9996,"Saída"),""),"")</f>
        <v/>
      </c>
      <c r="F2656" s="10" t="str">
        <f t="shared" si="86"/>
        <v/>
      </c>
    </row>
    <row r="2657" spans="1:6" x14ac:dyDescent="0.3">
      <c r="A2657" s="15" t="str">
        <f t="shared" si="85"/>
        <v>.</v>
      </c>
      <c r="E2657" s="13" t="str">
        <f>IFERROR(IF(AND(B2657&lt;&gt;"",C2657&lt;&gt;""),SUMIFS(Movimentos!$F$4:$F$9996,Movimentos!$D$4:$D$9996,B2657,Movimentos!$C$4:$C$9996,"Entrada")-SUMIFS(Movimentos!$F$4:$F$9996,Movimentos!$D$4:$D$9996,B2657,Movimentos!$C$4:$C$9996,"Saída"),""),"")</f>
        <v/>
      </c>
      <c r="F2657" s="10" t="str">
        <f t="shared" si="86"/>
        <v/>
      </c>
    </row>
    <row r="2658" spans="1:6" x14ac:dyDescent="0.3">
      <c r="A2658" s="15" t="str">
        <f t="shared" si="85"/>
        <v>.</v>
      </c>
      <c r="E2658" s="13" t="str">
        <f>IFERROR(IF(AND(B2658&lt;&gt;"",C2658&lt;&gt;""),SUMIFS(Movimentos!$F$4:$F$9996,Movimentos!$D$4:$D$9996,B2658,Movimentos!$C$4:$C$9996,"Entrada")-SUMIFS(Movimentos!$F$4:$F$9996,Movimentos!$D$4:$D$9996,B2658,Movimentos!$C$4:$C$9996,"Saída"),""),"")</f>
        <v/>
      </c>
      <c r="F2658" s="10" t="str">
        <f t="shared" si="86"/>
        <v/>
      </c>
    </row>
    <row r="2659" spans="1:6" x14ac:dyDescent="0.3">
      <c r="A2659" s="15" t="str">
        <f t="shared" si="85"/>
        <v>.</v>
      </c>
      <c r="E2659" s="13" t="str">
        <f>IFERROR(IF(AND(B2659&lt;&gt;"",C2659&lt;&gt;""),SUMIFS(Movimentos!$F$4:$F$9996,Movimentos!$D$4:$D$9996,B2659,Movimentos!$C$4:$C$9996,"Entrada")-SUMIFS(Movimentos!$F$4:$F$9996,Movimentos!$D$4:$D$9996,B2659,Movimentos!$C$4:$C$9996,"Saída"),""),"")</f>
        <v/>
      </c>
      <c r="F2659" s="10" t="str">
        <f t="shared" si="86"/>
        <v/>
      </c>
    </row>
    <row r="2660" spans="1:6" x14ac:dyDescent="0.3">
      <c r="A2660" s="15" t="str">
        <f t="shared" si="85"/>
        <v>.</v>
      </c>
      <c r="E2660" s="13" t="str">
        <f>IFERROR(IF(AND(B2660&lt;&gt;"",C2660&lt;&gt;""),SUMIFS(Movimentos!$F$4:$F$9996,Movimentos!$D$4:$D$9996,B2660,Movimentos!$C$4:$C$9996,"Entrada")-SUMIFS(Movimentos!$F$4:$F$9996,Movimentos!$D$4:$D$9996,B2660,Movimentos!$C$4:$C$9996,"Saída"),""),"")</f>
        <v/>
      </c>
      <c r="F2660" s="10" t="str">
        <f t="shared" si="86"/>
        <v/>
      </c>
    </row>
    <row r="2661" spans="1:6" x14ac:dyDescent="0.3">
      <c r="A2661" s="15" t="str">
        <f t="shared" si="85"/>
        <v>.</v>
      </c>
      <c r="E2661" s="13" t="str">
        <f>IFERROR(IF(AND(B2661&lt;&gt;"",C2661&lt;&gt;""),SUMIFS(Movimentos!$F$4:$F$9996,Movimentos!$D$4:$D$9996,B2661,Movimentos!$C$4:$C$9996,"Entrada")-SUMIFS(Movimentos!$F$4:$F$9996,Movimentos!$D$4:$D$9996,B2661,Movimentos!$C$4:$C$9996,"Saída"),""),"")</f>
        <v/>
      </c>
      <c r="F2661" s="10" t="str">
        <f t="shared" si="86"/>
        <v/>
      </c>
    </row>
    <row r="2662" spans="1:6" x14ac:dyDescent="0.3">
      <c r="A2662" s="15" t="str">
        <f t="shared" si="85"/>
        <v>.</v>
      </c>
      <c r="E2662" s="13" t="str">
        <f>IFERROR(IF(AND(B2662&lt;&gt;"",C2662&lt;&gt;""),SUMIFS(Movimentos!$F$4:$F$9996,Movimentos!$D$4:$D$9996,B2662,Movimentos!$C$4:$C$9996,"Entrada")-SUMIFS(Movimentos!$F$4:$F$9996,Movimentos!$D$4:$D$9996,B2662,Movimentos!$C$4:$C$9996,"Saída"),""),"")</f>
        <v/>
      </c>
      <c r="F2662" s="10" t="str">
        <f t="shared" si="86"/>
        <v/>
      </c>
    </row>
    <row r="2663" spans="1:6" x14ac:dyDescent="0.3">
      <c r="A2663" s="15" t="str">
        <f t="shared" si="85"/>
        <v>.</v>
      </c>
      <c r="E2663" s="13" t="str">
        <f>IFERROR(IF(AND(B2663&lt;&gt;"",C2663&lt;&gt;""),SUMIFS(Movimentos!$F$4:$F$9996,Movimentos!$D$4:$D$9996,B2663,Movimentos!$C$4:$C$9996,"Entrada")-SUMIFS(Movimentos!$F$4:$F$9996,Movimentos!$D$4:$D$9996,B2663,Movimentos!$C$4:$C$9996,"Saída"),""),"")</f>
        <v/>
      </c>
      <c r="F2663" s="10" t="str">
        <f t="shared" si="86"/>
        <v/>
      </c>
    </row>
    <row r="2664" spans="1:6" x14ac:dyDescent="0.3">
      <c r="A2664" s="15" t="str">
        <f t="shared" si="85"/>
        <v>.</v>
      </c>
      <c r="E2664" s="13" t="str">
        <f>IFERROR(IF(AND(B2664&lt;&gt;"",C2664&lt;&gt;""),SUMIFS(Movimentos!$F$4:$F$9996,Movimentos!$D$4:$D$9996,B2664,Movimentos!$C$4:$C$9996,"Entrada")-SUMIFS(Movimentos!$F$4:$F$9996,Movimentos!$D$4:$D$9996,B2664,Movimentos!$C$4:$C$9996,"Saída"),""),"")</f>
        <v/>
      </c>
      <c r="F2664" s="10" t="str">
        <f t="shared" si="86"/>
        <v/>
      </c>
    </row>
    <row r="2665" spans="1:6" x14ac:dyDescent="0.3">
      <c r="A2665" s="15" t="str">
        <f t="shared" si="85"/>
        <v>.</v>
      </c>
      <c r="E2665" s="13" t="str">
        <f>IFERROR(IF(AND(B2665&lt;&gt;"",C2665&lt;&gt;""),SUMIFS(Movimentos!$F$4:$F$9996,Movimentos!$D$4:$D$9996,B2665,Movimentos!$C$4:$C$9996,"Entrada")-SUMIFS(Movimentos!$F$4:$F$9996,Movimentos!$D$4:$D$9996,B2665,Movimentos!$C$4:$C$9996,"Saída"),""),"")</f>
        <v/>
      </c>
      <c r="F2665" s="10" t="str">
        <f t="shared" si="86"/>
        <v/>
      </c>
    </row>
    <row r="2666" spans="1:6" x14ac:dyDescent="0.3">
      <c r="A2666" s="15" t="str">
        <f t="shared" si="85"/>
        <v>.</v>
      </c>
      <c r="E2666" s="13" t="str">
        <f>IFERROR(IF(AND(B2666&lt;&gt;"",C2666&lt;&gt;""),SUMIFS(Movimentos!$F$4:$F$9996,Movimentos!$D$4:$D$9996,B2666,Movimentos!$C$4:$C$9996,"Entrada")-SUMIFS(Movimentos!$F$4:$F$9996,Movimentos!$D$4:$D$9996,B2666,Movimentos!$C$4:$C$9996,"Saída"),""),"")</f>
        <v/>
      </c>
      <c r="F2666" s="10" t="str">
        <f t="shared" si="86"/>
        <v/>
      </c>
    </row>
    <row r="2667" spans="1:6" x14ac:dyDescent="0.3">
      <c r="A2667" s="15" t="str">
        <f t="shared" si="85"/>
        <v>.</v>
      </c>
      <c r="E2667" s="13" t="str">
        <f>IFERROR(IF(AND(B2667&lt;&gt;"",C2667&lt;&gt;""),SUMIFS(Movimentos!$F$4:$F$9996,Movimentos!$D$4:$D$9996,B2667,Movimentos!$C$4:$C$9996,"Entrada")-SUMIFS(Movimentos!$F$4:$F$9996,Movimentos!$D$4:$D$9996,B2667,Movimentos!$C$4:$C$9996,"Saída"),""),"")</f>
        <v/>
      </c>
      <c r="F2667" s="10" t="str">
        <f t="shared" si="86"/>
        <v/>
      </c>
    </row>
    <row r="2668" spans="1:6" x14ac:dyDescent="0.3">
      <c r="A2668" s="15" t="str">
        <f t="shared" si="85"/>
        <v>.</v>
      </c>
      <c r="E2668" s="13" t="str">
        <f>IFERROR(IF(AND(B2668&lt;&gt;"",C2668&lt;&gt;""),SUMIFS(Movimentos!$F$4:$F$9996,Movimentos!$D$4:$D$9996,B2668,Movimentos!$C$4:$C$9996,"Entrada")-SUMIFS(Movimentos!$F$4:$F$9996,Movimentos!$D$4:$D$9996,B2668,Movimentos!$C$4:$C$9996,"Saída"),""),"")</f>
        <v/>
      </c>
      <c r="F2668" s="10" t="str">
        <f t="shared" si="86"/>
        <v/>
      </c>
    </row>
    <row r="2669" spans="1:6" x14ac:dyDescent="0.3">
      <c r="A2669" s="15" t="str">
        <f t="shared" si="85"/>
        <v>.</v>
      </c>
      <c r="E2669" s="13" t="str">
        <f>IFERROR(IF(AND(B2669&lt;&gt;"",C2669&lt;&gt;""),SUMIFS(Movimentos!$F$4:$F$9996,Movimentos!$D$4:$D$9996,B2669,Movimentos!$C$4:$C$9996,"Entrada")-SUMIFS(Movimentos!$F$4:$F$9996,Movimentos!$D$4:$D$9996,B2669,Movimentos!$C$4:$C$9996,"Saída"),""),"")</f>
        <v/>
      </c>
      <c r="F2669" s="10" t="str">
        <f t="shared" si="86"/>
        <v/>
      </c>
    </row>
    <row r="2670" spans="1:6" x14ac:dyDescent="0.3">
      <c r="A2670" s="15" t="str">
        <f t="shared" si="85"/>
        <v>.</v>
      </c>
      <c r="E2670" s="13" t="str">
        <f>IFERROR(IF(AND(B2670&lt;&gt;"",C2670&lt;&gt;""),SUMIFS(Movimentos!$F$4:$F$9996,Movimentos!$D$4:$D$9996,B2670,Movimentos!$C$4:$C$9996,"Entrada")-SUMIFS(Movimentos!$F$4:$F$9996,Movimentos!$D$4:$D$9996,B2670,Movimentos!$C$4:$C$9996,"Saída"),""),"")</f>
        <v/>
      </c>
      <c r="F2670" s="10" t="str">
        <f t="shared" si="86"/>
        <v/>
      </c>
    </row>
    <row r="2671" spans="1:6" x14ac:dyDescent="0.3">
      <c r="A2671" s="15" t="str">
        <f t="shared" si="85"/>
        <v>.</v>
      </c>
      <c r="E2671" s="13" t="str">
        <f>IFERROR(IF(AND(B2671&lt;&gt;"",C2671&lt;&gt;""),SUMIFS(Movimentos!$F$4:$F$9996,Movimentos!$D$4:$D$9996,B2671,Movimentos!$C$4:$C$9996,"Entrada")-SUMIFS(Movimentos!$F$4:$F$9996,Movimentos!$D$4:$D$9996,B2671,Movimentos!$C$4:$C$9996,"Saída"),""),"")</f>
        <v/>
      </c>
      <c r="F2671" s="10" t="str">
        <f t="shared" si="86"/>
        <v/>
      </c>
    </row>
    <row r="2672" spans="1:6" x14ac:dyDescent="0.3">
      <c r="A2672" s="15" t="str">
        <f t="shared" si="85"/>
        <v>.</v>
      </c>
      <c r="E2672" s="13" t="str">
        <f>IFERROR(IF(AND(B2672&lt;&gt;"",C2672&lt;&gt;""),SUMIFS(Movimentos!$F$4:$F$9996,Movimentos!$D$4:$D$9996,B2672,Movimentos!$C$4:$C$9996,"Entrada")-SUMIFS(Movimentos!$F$4:$F$9996,Movimentos!$D$4:$D$9996,B2672,Movimentos!$C$4:$C$9996,"Saída"),""),"")</f>
        <v/>
      </c>
      <c r="F2672" s="10" t="str">
        <f t="shared" si="86"/>
        <v/>
      </c>
    </row>
    <row r="2673" spans="1:6" x14ac:dyDescent="0.3">
      <c r="A2673" s="15" t="str">
        <f t="shared" si="85"/>
        <v>.</v>
      </c>
      <c r="E2673" s="13" t="str">
        <f>IFERROR(IF(AND(B2673&lt;&gt;"",C2673&lt;&gt;""),SUMIFS(Movimentos!$F$4:$F$9996,Movimentos!$D$4:$D$9996,B2673,Movimentos!$C$4:$C$9996,"Entrada")-SUMIFS(Movimentos!$F$4:$F$9996,Movimentos!$D$4:$D$9996,B2673,Movimentos!$C$4:$C$9996,"Saída"),""),"")</f>
        <v/>
      </c>
      <c r="F2673" s="10" t="str">
        <f t="shared" si="86"/>
        <v/>
      </c>
    </row>
    <row r="2674" spans="1:6" x14ac:dyDescent="0.3">
      <c r="A2674" s="15" t="str">
        <f t="shared" si="85"/>
        <v>.</v>
      </c>
      <c r="E2674" s="13" t="str">
        <f>IFERROR(IF(AND(B2674&lt;&gt;"",C2674&lt;&gt;""),SUMIFS(Movimentos!$F$4:$F$9996,Movimentos!$D$4:$D$9996,B2674,Movimentos!$C$4:$C$9996,"Entrada")-SUMIFS(Movimentos!$F$4:$F$9996,Movimentos!$D$4:$D$9996,B2674,Movimentos!$C$4:$C$9996,"Saída"),""),"")</f>
        <v/>
      </c>
      <c r="F2674" s="10" t="str">
        <f t="shared" si="86"/>
        <v/>
      </c>
    </row>
    <row r="2675" spans="1:6" x14ac:dyDescent="0.3">
      <c r="A2675" s="15" t="str">
        <f t="shared" si="85"/>
        <v>.</v>
      </c>
      <c r="E2675" s="13" t="str">
        <f>IFERROR(IF(AND(B2675&lt;&gt;"",C2675&lt;&gt;""),SUMIFS(Movimentos!$F$4:$F$9996,Movimentos!$D$4:$D$9996,B2675,Movimentos!$C$4:$C$9996,"Entrada")-SUMIFS(Movimentos!$F$4:$F$9996,Movimentos!$D$4:$D$9996,B2675,Movimentos!$C$4:$C$9996,"Saída"),""),"")</f>
        <v/>
      </c>
      <c r="F2675" s="10" t="str">
        <f t="shared" si="86"/>
        <v/>
      </c>
    </row>
    <row r="2676" spans="1:6" x14ac:dyDescent="0.3">
      <c r="A2676" s="15" t="str">
        <f t="shared" si="85"/>
        <v>.</v>
      </c>
      <c r="E2676" s="13" t="str">
        <f>IFERROR(IF(AND(B2676&lt;&gt;"",C2676&lt;&gt;""),SUMIFS(Movimentos!$F$4:$F$9996,Movimentos!$D$4:$D$9996,B2676,Movimentos!$C$4:$C$9996,"Entrada")-SUMIFS(Movimentos!$F$4:$F$9996,Movimentos!$D$4:$D$9996,B2676,Movimentos!$C$4:$C$9996,"Saída"),""),"")</f>
        <v/>
      </c>
      <c r="F2676" s="10" t="str">
        <f t="shared" si="86"/>
        <v/>
      </c>
    </row>
    <row r="2677" spans="1:6" x14ac:dyDescent="0.3">
      <c r="A2677" s="15" t="str">
        <f t="shared" si="85"/>
        <v>.</v>
      </c>
      <c r="E2677" s="13" t="str">
        <f>IFERROR(IF(AND(B2677&lt;&gt;"",C2677&lt;&gt;""),SUMIFS(Movimentos!$F$4:$F$9996,Movimentos!$D$4:$D$9996,B2677,Movimentos!$C$4:$C$9996,"Entrada")-SUMIFS(Movimentos!$F$4:$F$9996,Movimentos!$D$4:$D$9996,B2677,Movimentos!$C$4:$C$9996,"Saída"),""),"")</f>
        <v/>
      </c>
      <c r="F2677" s="10" t="str">
        <f t="shared" si="86"/>
        <v/>
      </c>
    </row>
    <row r="2678" spans="1:6" x14ac:dyDescent="0.3">
      <c r="A2678" s="15" t="str">
        <f t="shared" si="85"/>
        <v>.</v>
      </c>
      <c r="E2678" s="13" t="str">
        <f>IFERROR(IF(AND(B2678&lt;&gt;"",C2678&lt;&gt;""),SUMIFS(Movimentos!$F$4:$F$9996,Movimentos!$D$4:$D$9996,B2678,Movimentos!$C$4:$C$9996,"Entrada")-SUMIFS(Movimentos!$F$4:$F$9996,Movimentos!$D$4:$D$9996,B2678,Movimentos!$C$4:$C$9996,"Saída"),""),"")</f>
        <v/>
      </c>
      <c r="F2678" s="10" t="str">
        <f t="shared" si="86"/>
        <v/>
      </c>
    </row>
    <row r="2679" spans="1:6" x14ac:dyDescent="0.3">
      <c r="A2679" s="15" t="str">
        <f t="shared" si="85"/>
        <v>.</v>
      </c>
      <c r="E2679" s="13" t="str">
        <f>IFERROR(IF(AND(B2679&lt;&gt;"",C2679&lt;&gt;""),SUMIFS(Movimentos!$F$4:$F$9996,Movimentos!$D$4:$D$9996,B2679,Movimentos!$C$4:$C$9996,"Entrada")-SUMIFS(Movimentos!$F$4:$F$9996,Movimentos!$D$4:$D$9996,B2679,Movimentos!$C$4:$C$9996,"Saída"),""),"")</f>
        <v/>
      </c>
      <c r="F2679" s="10" t="str">
        <f t="shared" si="86"/>
        <v/>
      </c>
    </row>
    <row r="2680" spans="1:6" x14ac:dyDescent="0.3">
      <c r="A2680" s="15" t="str">
        <f t="shared" si="85"/>
        <v>.</v>
      </c>
      <c r="E2680" s="13" t="str">
        <f>IFERROR(IF(AND(B2680&lt;&gt;"",C2680&lt;&gt;""),SUMIFS(Movimentos!$F$4:$F$9996,Movimentos!$D$4:$D$9996,B2680,Movimentos!$C$4:$C$9996,"Entrada")-SUMIFS(Movimentos!$F$4:$F$9996,Movimentos!$D$4:$D$9996,B2680,Movimentos!$C$4:$C$9996,"Saída"),""),"")</f>
        <v/>
      </c>
      <c r="F2680" s="10" t="str">
        <f t="shared" si="86"/>
        <v/>
      </c>
    </row>
    <row r="2681" spans="1:6" x14ac:dyDescent="0.3">
      <c r="A2681" s="15" t="str">
        <f t="shared" si="85"/>
        <v>.</v>
      </c>
      <c r="E2681" s="13" t="str">
        <f>IFERROR(IF(AND(B2681&lt;&gt;"",C2681&lt;&gt;""),SUMIFS(Movimentos!$F$4:$F$9996,Movimentos!$D$4:$D$9996,B2681,Movimentos!$C$4:$C$9996,"Entrada")-SUMIFS(Movimentos!$F$4:$F$9996,Movimentos!$D$4:$D$9996,B2681,Movimentos!$C$4:$C$9996,"Saída"),""),"")</f>
        <v/>
      </c>
      <c r="F2681" s="10" t="str">
        <f t="shared" si="86"/>
        <v/>
      </c>
    </row>
    <row r="2682" spans="1:6" x14ac:dyDescent="0.3">
      <c r="A2682" s="15" t="str">
        <f t="shared" si="85"/>
        <v>.</v>
      </c>
      <c r="E2682" s="13" t="str">
        <f>IFERROR(IF(AND(B2682&lt;&gt;"",C2682&lt;&gt;""),SUMIFS(Movimentos!$F$4:$F$9996,Movimentos!$D$4:$D$9996,B2682,Movimentos!$C$4:$C$9996,"Entrada")-SUMIFS(Movimentos!$F$4:$F$9996,Movimentos!$D$4:$D$9996,B2682,Movimentos!$C$4:$C$9996,"Saída"),""),"")</f>
        <v/>
      </c>
      <c r="F2682" s="10" t="str">
        <f t="shared" si="86"/>
        <v/>
      </c>
    </row>
    <row r="2683" spans="1:6" x14ac:dyDescent="0.3">
      <c r="A2683" s="15" t="str">
        <f t="shared" si="85"/>
        <v>.</v>
      </c>
      <c r="E2683" s="13" t="str">
        <f>IFERROR(IF(AND(B2683&lt;&gt;"",C2683&lt;&gt;""),SUMIFS(Movimentos!$F$4:$F$9996,Movimentos!$D$4:$D$9996,B2683,Movimentos!$C$4:$C$9996,"Entrada")-SUMIFS(Movimentos!$F$4:$F$9996,Movimentos!$D$4:$D$9996,B2683,Movimentos!$C$4:$C$9996,"Saída"),""),"")</f>
        <v/>
      </c>
      <c r="F2683" s="10" t="str">
        <f t="shared" si="86"/>
        <v/>
      </c>
    </row>
    <row r="2684" spans="1:6" x14ac:dyDescent="0.3">
      <c r="A2684" s="15" t="str">
        <f t="shared" si="85"/>
        <v>.</v>
      </c>
      <c r="E2684" s="13" t="str">
        <f>IFERROR(IF(AND(B2684&lt;&gt;"",C2684&lt;&gt;""),SUMIFS(Movimentos!$F$4:$F$9996,Movimentos!$D$4:$D$9996,B2684,Movimentos!$C$4:$C$9996,"Entrada")-SUMIFS(Movimentos!$F$4:$F$9996,Movimentos!$D$4:$D$9996,B2684,Movimentos!$C$4:$C$9996,"Saída"),""),"")</f>
        <v/>
      </c>
      <c r="F2684" s="10" t="str">
        <f t="shared" si="86"/>
        <v/>
      </c>
    </row>
    <row r="2685" spans="1:6" x14ac:dyDescent="0.3">
      <c r="A2685" s="15" t="str">
        <f t="shared" si="85"/>
        <v>.</v>
      </c>
      <c r="E2685" s="13" t="str">
        <f>IFERROR(IF(AND(B2685&lt;&gt;"",C2685&lt;&gt;""),SUMIFS(Movimentos!$F$4:$F$9996,Movimentos!$D$4:$D$9996,B2685,Movimentos!$C$4:$C$9996,"Entrada")-SUMIFS(Movimentos!$F$4:$F$9996,Movimentos!$D$4:$D$9996,B2685,Movimentos!$C$4:$C$9996,"Saída"),""),"")</f>
        <v/>
      </c>
      <c r="F2685" s="10" t="str">
        <f t="shared" si="86"/>
        <v/>
      </c>
    </row>
    <row r="2686" spans="1:6" x14ac:dyDescent="0.3">
      <c r="A2686" s="15" t="str">
        <f t="shared" si="85"/>
        <v>.</v>
      </c>
      <c r="E2686" s="13" t="str">
        <f>IFERROR(IF(AND(B2686&lt;&gt;"",C2686&lt;&gt;""),SUMIFS(Movimentos!$F$4:$F$9996,Movimentos!$D$4:$D$9996,B2686,Movimentos!$C$4:$C$9996,"Entrada")-SUMIFS(Movimentos!$F$4:$F$9996,Movimentos!$D$4:$D$9996,B2686,Movimentos!$C$4:$C$9996,"Saída"),""),"")</f>
        <v/>
      </c>
      <c r="F2686" s="10" t="str">
        <f t="shared" si="86"/>
        <v/>
      </c>
    </row>
    <row r="2687" spans="1:6" x14ac:dyDescent="0.3">
      <c r="A2687" s="15" t="str">
        <f t="shared" si="85"/>
        <v>.</v>
      </c>
      <c r="E2687" s="13" t="str">
        <f>IFERROR(IF(AND(B2687&lt;&gt;"",C2687&lt;&gt;""),SUMIFS(Movimentos!$F$4:$F$9996,Movimentos!$D$4:$D$9996,B2687,Movimentos!$C$4:$C$9996,"Entrada")-SUMIFS(Movimentos!$F$4:$F$9996,Movimentos!$D$4:$D$9996,B2687,Movimentos!$C$4:$C$9996,"Saída"),""),"")</f>
        <v/>
      </c>
      <c r="F2687" s="10" t="str">
        <f t="shared" si="86"/>
        <v/>
      </c>
    </row>
    <row r="2688" spans="1:6" x14ac:dyDescent="0.3">
      <c r="A2688" s="15" t="str">
        <f t="shared" ref="A2688:A2751" si="87">IF(F2688="Saldo zerado",0,IF(F2688="Saldo abaixo do mínimo",1,IF(F2688="Saldo disponível",2,".")))</f>
        <v>.</v>
      </c>
      <c r="E2688" s="13" t="str">
        <f>IFERROR(IF(AND(B2688&lt;&gt;"",C2688&lt;&gt;""),SUMIFS(Movimentos!$F$4:$F$9996,Movimentos!$D$4:$D$9996,B2688,Movimentos!$C$4:$C$9996,"Entrada")-SUMIFS(Movimentos!$F$4:$F$9996,Movimentos!$D$4:$D$9996,B2688,Movimentos!$C$4:$C$9996,"Saída"),""),"")</f>
        <v/>
      </c>
      <c r="F2688" s="10" t="str">
        <f t="shared" si="86"/>
        <v/>
      </c>
    </row>
    <row r="2689" spans="1:6" x14ac:dyDescent="0.3">
      <c r="A2689" s="15" t="str">
        <f t="shared" si="87"/>
        <v>.</v>
      </c>
      <c r="E2689" s="13" t="str">
        <f>IFERROR(IF(AND(B2689&lt;&gt;"",C2689&lt;&gt;""),SUMIFS(Movimentos!$F$4:$F$9996,Movimentos!$D$4:$D$9996,B2689,Movimentos!$C$4:$C$9996,"Entrada")-SUMIFS(Movimentos!$F$4:$F$9996,Movimentos!$D$4:$D$9996,B2689,Movimentos!$C$4:$C$9996,"Saída"),""),"")</f>
        <v/>
      </c>
      <c r="F2689" s="10" t="str">
        <f t="shared" si="86"/>
        <v/>
      </c>
    </row>
    <row r="2690" spans="1:6" x14ac:dyDescent="0.3">
      <c r="A2690" s="15" t="str">
        <f t="shared" si="87"/>
        <v>.</v>
      </c>
      <c r="E2690" s="13" t="str">
        <f>IFERROR(IF(AND(B2690&lt;&gt;"",C2690&lt;&gt;""),SUMIFS(Movimentos!$F$4:$F$9996,Movimentos!$D$4:$D$9996,B2690,Movimentos!$C$4:$C$9996,"Entrada")-SUMIFS(Movimentos!$F$4:$F$9996,Movimentos!$D$4:$D$9996,B2690,Movimentos!$C$4:$C$9996,"Saída"),""),"")</f>
        <v/>
      </c>
      <c r="F2690" s="10" t="str">
        <f t="shared" si="86"/>
        <v/>
      </c>
    </row>
    <row r="2691" spans="1:6" x14ac:dyDescent="0.3">
      <c r="A2691" s="15" t="str">
        <f t="shared" si="87"/>
        <v>.</v>
      </c>
      <c r="E2691" s="13" t="str">
        <f>IFERROR(IF(AND(B2691&lt;&gt;"",C2691&lt;&gt;""),SUMIFS(Movimentos!$F$4:$F$9996,Movimentos!$D$4:$D$9996,B2691,Movimentos!$C$4:$C$9996,"Entrada")-SUMIFS(Movimentos!$F$4:$F$9996,Movimentos!$D$4:$D$9996,B2691,Movimentos!$C$4:$C$9996,"Saída"),""),"")</f>
        <v/>
      </c>
      <c r="F2691" s="10" t="str">
        <f t="shared" si="86"/>
        <v/>
      </c>
    </row>
    <row r="2692" spans="1:6" x14ac:dyDescent="0.3">
      <c r="A2692" s="15" t="str">
        <f t="shared" si="87"/>
        <v>.</v>
      </c>
      <c r="E2692" s="13" t="str">
        <f>IFERROR(IF(AND(B2692&lt;&gt;"",C2692&lt;&gt;""),SUMIFS(Movimentos!$F$4:$F$9996,Movimentos!$D$4:$D$9996,B2692,Movimentos!$C$4:$C$9996,"Entrada")-SUMIFS(Movimentos!$F$4:$F$9996,Movimentos!$D$4:$D$9996,B2692,Movimentos!$C$4:$C$9996,"Saída"),""),"")</f>
        <v/>
      </c>
      <c r="F2692" s="10" t="str">
        <f t="shared" si="86"/>
        <v/>
      </c>
    </row>
    <row r="2693" spans="1:6" x14ac:dyDescent="0.3">
      <c r="A2693" s="15" t="str">
        <f t="shared" si="87"/>
        <v>.</v>
      </c>
      <c r="E2693" s="13" t="str">
        <f>IFERROR(IF(AND(B2693&lt;&gt;"",C2693&lt;&gt;""),SUMIFS(Movimentos!$F$4:$F$9996,Movimentos!$D$4:$D$9996,B2693,Movimentos!$C$4:$C$9996,"Entrada")-SUMIFS(Movimentos!$F$4:$F$9996,Movimentos!$D$4:$D$9996,B2693,Movimentos!$C$4:$C$9996,"Saída"),""),"")</f>
        <v/>
      </c>
      <c r="F2693" s="10" t="str">
        <f t="shared" si="86"/>
        <v/>
      </c>
    </row>
    <row r="2694" spans="1:6" x14ac:dyDescent="0.3">
      <c r="A2694" s="15" t="str">
        <f t="shared" si="87"/>
        <v>.</v>
      </c>
      <c r="E2694" s="13" t="str">
        <f>IFERROR(IF(AND(B2694&lt;&gt;"",C2694&lt;&gt;""),SUMIFS(Movimentos!$F$4:$F$9996,Movimentos!$D$4:$D$9996,B2694,Movimentos!$C$4:$C$9996,"Entrada")-SUMIFS(Movimentos!$F$4:$F$9996,Movimentos!$D$4:$D$9996,B2694,Movimentos!$C$4:$C$9996,"Saída"),""),"")</f>
        <v/>
      </c>
      <c r="F2694" s="10" t="str">
        <f t="shared" si="86"/>
        <v/>
      </c>
    </row>
    <row r="2695" spans="1:6" x14ac:dyDescent="0.3">
      <c r="A2695" s="15" t="str">
        <f t="shared" si="87"/>
        <v>.</v>
      </c>
      <c r="E2695" s="13" t="str">
        <f>IFERROR(IF(AND(B2695&lt;&gt;"",C2695&lt;&gt;""),SUMIFS(Movimentos!$F$4:$F$9996,Movimentos!$D$4:$D$9996,B2695,Movimentos!$C$4:$C$9996,"Entrada")-SUMIFS(Movimentos!$F$4:$F$9996,Movimentos!$D$4:$D$9996,B2695,Movimentos!$C$4:$C$9996,"Saída"),""),"")</f>
        <v/>
      </c>
      <c r="F2695" s="10" t="str">
        <f t="shared" si="86"/>
        <v/>
      </c>
    </row>
    <row r="2696" spans="1:6" x14ac:dyDescent="0.3">
      <c r="A2696" s="15" t="str">
        <f t="shared" si="87"/>
        <v>.</v>
      </c>
      <c r="E2696" s="13" t="str">
        <f>IFERROR(IF(AND(B2696&lt;&gt;"",C2696&lt;&gt;""),SUMIFS(Movimentos!$F$4:$F$9996,Movimentos!$D$4:$D$9996,B2696,Movimentos!$C$4:$C$9996,"Entrada")-SUMIFS(Movimentos!$F$4:$F$9996,Movimentos!$D$4:$D$9996,B2696,Movimentos!$C$4:$C$9996,"Saída"),""),"")</f>
        <v/>
      </c>
      <c r="F2696" s="10" t="str">
        <f t="shared" si="86"/>
        <v/>
      </c>
    </row>
    <row r="2697" spans="1:6" x14ac:dyDescent="0.3">
      <c r="A2697" s="15" t="str">
        <f t="shared" si="87"/>
        <v>.</v>
      </c>
      <c r="E2697" s="13" t="str">
        <f>IFERROR(IF(AND(B2697&lt;&gt;"",C2697&lt;&gt;""),SUMIFS(Movimentos!$F$4:$F$9996,Movimentos!$D$4:$D$9996,B2697,Movimentos!$C$4:$C$9996,"Entrada")-SUMIFS(Movimentos!$F$4:$F$9996,Movimentos!$D$4:$D$9996,B2697,Movimentos!$C$4:$C$9996,"Saída"),""),"")</f>
        <v/>
      </c>
      <c r="F2697" s="10" t="str">
        <f t="shared" si="86"/>
        <v/>
      </c>
    </row>
    <row r="2698" spans="1:6" x14ac:dyDescent="0.3">
      <c r="A2698" s="15" t="str">
        <f t="shared" si="87"/>
        <v>.</v>
      </c>
      <c r="E2698" s="13" t="str">
        <f>IFERROR(IF(AND(B2698&lt;&gt;"",C2698&lt;&gt;""),SUMIFS(Movimentos!$F$4:$F$9996,Movimentos!$D$4:$D$9996,B2698,Movimentos!$C$4:$C$9996,"Entrada")-SUMIFS(Movimentos!$F$4:$F$9996,Movimentos!$D$4:$D$9996,B2698,Movimentos!$C$4:$C$9996,"Saída"),""),"")</f>
        <v/>
      </c>
      <c r="F2698" s="10" t="str">
        <f t="shared" si="86"/>
        <v/>
      </c>
    </row>
    <row r="2699" spans="1:6" x14ac:dyDescent="0.3">
      <c r="A2699" s="15" t="str">
        <f t="shared" si="87"/>
        <v>.</v>
      </c>
      <c r="E2699" s="13" t="str">
        <f>IFERROR(IF(AND(B2699&lt;&gt;"",C2699&lt;&gt;""),SUMIFS(Movimentos!$F$4:$F$9996,Movimentos!$D$4:$D$9996,B2699,Movimentos!$C$4:$C$9996,"Entrada")-SUMIFS(Movimentos!$F$4:$F$9996,Movimentos!$D$4:$D$9996,B2699,Movimentos!$C$4:$C$9996,"Saída"),""),"")</f>
        <v/>
      </c>
      <c r="F2699" s="10" t="str">
        <f t="shared" si="86"/>
        <v/>
      </c>
    </row>
    <row r="2700" spans="1:6" x14ac:dyDescent="0.3">
      <c r="A2700" s="15" t="str">
        <f t="shared" si="87"/>
        <v>.</v>
      </c>
      <c r="E2700" s="13" t="str">
        <f>IFERROR(IF(AND(B2700&lt;&gt;"",C2700&lt;&gt;""),SUMIFS(Movimentos!$F$4:$F$9996,Movimentos!$D$4:$D$9996,B2700,Movimentos!$C$4:$C$9996,"Entrada")-SUMIFS(Movimentos!$F$4:$F$9996,Movimentos!$D$4:$D$9996,B2700,Movimentos!$C$4:$C$9996,"Saída"),""),"")</f>
        <v/>
      </c>
      <c r="F2700" s="10" t="str">
        <f t="shared" si="86"/>
        <v/>
      </c>
    </row>
    <row r="2701" spans="1:6" x14ac:dyDescent="0.3">
      <c r="A2701" s="15" t="str">
        <f t="shared" si="87"/>
        <v>.</v>
      </c>
      <c r="E2701" s="13" t="str">
        <f>IFERROR(IF(AND(B2701&lt;&gt;"",C2701&lt;&gt;""),SUMIFS(Movimentos!$F$4:$F$9996,Movimentos!$D$4:$D$9996,B2701,Movimentos!$C$4:$C$9996,"Entrada")-SUMIFS(Movimentos!$F$4:$F$9996,Movimentos!$D$4:$D$9996,B2701,Movimentos!$C$4:$C$9996,"Saída"),""),"")</f>
        <v/>
      </c>
      <c r="F2701" s="10" t="str">
        <f t="shared" si="86"/>
        <v/>
      </c>
    </row>
    <row r="2702" spans="1:6" x14ac:dyDescent="0.3">
      <c r="A2702" s="15" t="str">
        <f t="shared" si="87"/>
        <v>.</v>
      </c>
      <c r="E2702" s="13" t="str">
        <f>IFERROR(IF(AND(B2702&lt;&gt;"",C2702&lt;&gt;""),SUMIFS(Movimentos!$F$4:$F$9996,Movimentos!$D$4:$D$9996,B2702,Movimentos!$C$4:$C$9996,"Entrada")-SUMIFS(Movimentos!$F$4:$F$9996,Movimentos!$D$4:$D$9996,B2702,Movimentos!$C$4:$C$9996,"Saída"),""),"")</f>
        <v/>
      </c>
      <c r="F2702" s="10" t="str">
        <f t="shared" si="86"/>
        <v/>
      </c>
    </row>
    <row r="2703" spans="1:6" x14ac:dyDescent="0.3">
      <c r="A2703" s="15" t="str">
        <f t="shared" si="87"/>
        <v>.</v>
      </c>
      <c r="E2703" s="13" t="str">
        <f>IFERROR(IF(AND(B2703&lt;&gt;"",C2703&lt;&gt;""),SUMIFS(Movimentos!$F$4:$F$9996,Movimentos!$D$4:$D$9996,B2703,Movimentos!$C$4:$C$9996,"Entrada")-SUMIFS(Movimentos!$F$4:$F$9996,Movimentos!$D$4:$D$9996,B2703,Movimentos!$C$4:$C$9996,"Saída"),""),"")</f>
        <v/>
      </c>
      <c r="F2703" s="10" t="str">
        <f t="shared" si="86"/>
        <v/>
      </c>
    </row>
    <row r="2704" spans="1:6" x14ac:dyDescent="0.3">
      <c r="A2704" s="15" t="str">
        <f t="shared" si="87"/>
        <v>.</v>
      </c>
      <c r="E2704" s="13" t="str">
        <f>IFERROR(IF(AND(B2704&lt;&gt;"",C2704&lt;&gt;""),SUMIFS(Movimentos!$F$4:$F$9996,Movimentos!$D$4:$D$9996,B2704,Movimentos!$C$4:$C$9996,"Entrada")-SUMIFS(Movimentos!$F$4:$F$9996,Movimentos!$D$4:$D$9996,B2704,Movimentos!$C$4:$C$9996,"Saída"),""),"")</f>
        <v/>
      </c>
      <c r="F2704" s="10" t="str">
        <f t="shared" si="86"/>
        <v/>
      </c>
    </row>
    <row r="2705" spans="1:6" x14ac:dyDescent="0.3">
      <c r="A2705" s="15" t="str">
        <f t="shared" si="87"/>
        <v>.</v>
      </c>
      <c r="E2705" s="13" t="str">
        <f>IFERROR(IF(AND(B2705&lt;&gt;"",C2705&lt;&gt;""),SUMIFS(Movimentos!$F$4:$F$9996,Movimentos!$D$4:$D$9996,B2705,Movimentos!$C$4:$C$9996,"Entrada")-SUMIFS(Movimentos!$F$4:$F$9996,Movimentos!$D$4:$D$9996,B2705,Movimentos!$C$4:$C$9996,"Saída"),""),"")</f>
        <v/>
      </c>
      <c r="F2705" s="10" t="str">
        <f t="shared" si="86"/>
        <v/>
      </c>
    </row>
    <row r="2706" spans="1:6" x14ac:dyDescent="0.3">
      <c r="A2706" s="15" t="str">
        <f t="shared" si="87"/>
        <v>.</v>
      </c>
      <c r="E2706" s="13" t="str">
        <f>IFERROR(IF(AND(B2706&lt;&gt;"",C2706&lt;&gt;""),SUMIFS(Movimentos!$F$4:$F$9996,Movimentos!$D$4:$D$9996,B2706,Movimentos!$C$4:$C$9996,"Entrada")-SUMIFS(Movimentos!$F$4:$F$9996,Movimentos!$D$4:$D$9996,B2706,Movimentos!$C$4:$C$9996,"Saída"),""),"")</f>
        <v/>
      </c>
      <c r="F2706" s="10" t="str">
        <f t="shared" si="86"/>
        <v/>
      </c>
    </row>
    <row r="2707" spans="1:6" x14ac:dyDescent="0.3">
      <c r="A2707" s="15" t="str">
        <f t="shared" si="87"/>
        <v>.</v>
      </c>
      <c r="E2707" s="13" t="str">
        <f>IFERROR(IF(AND(B2707&lt;&gt;"",C2707&lt;&gt;""),SUMIFS(Movimentos!$F$4:$F$9996,Movimentos!$D$4:$D$9996,B2707,Movimentos!$C$4:$C$9996,"Entrada")-SUMIFS(Movimentos!$F$4:$F$9996,Movimentos!$D$4:$D$9996,B2707,Movimentos!$C$4:$C$9996,"Saída"),""),"")</f>
        <v/>
      </c>
      <c r="F2707" s="10" t="str">
        <f t="shared" si="86"/>
        <v/>
      </c>
    </row>
    <row r="2708" spans="1:6" x14ac:dyDescent="0.3">
      <c r="A2708" s="15" t="str">
        <f t="shared" si="87"/>
        <v>.</v>
      </c>
      <c r="E2708" s="13" t="str">
        <f>IFERROR(IF(AND(B2708&lt;&gt;"",C2708&lt;&gt;""),SUMIFS(Movimentos!$F$4:$F$9996,Movimentos!$D$4:$D$9996,B2708,Movimentos!$C$4:$C$9996,"Entrada")-SUMIFS(Movimentos!$F$4:$F$9996,Movimentos!$D$4:$D$9996,B2708,Movimentos!$C$4:$C$9996,"Saída"),""),"")</f>
        <v/>
      </c>
      <c r="F2708" s="10" t="str">
        <f t="shared" si="86"/>
        <v/>
      </c>
    </row>
    <row r="2709" spans="1:6" x14ac:dyDescent="0.3">
      <c r="A2709" s="15" t="str">
        <f t="shared" si="87"/>
        <v>.</v>
      </c>
      <c r="E2709" s="13" t="str">
        <f>IFERROR(IF(AND(B2709&lt;&gt;"",C2709&lt;&gt;""),SUMIFS(Movimentos!$F$4:$F$9996,Movimentos!$D$4:$D$9996,B2709,Movimentos!$C$4:$C$9996,"Entrada")-SUMIFS(Movimentos!$F$4:$F$9996,Movimentos!$D$4:$D$9996,B2709,Movimentos!$C$4:$C$9996,"Saída"),""),"")</f>
        <v/>
      </c>
      <c r="F2709" s="10" t="str">
        <f t="shared" si="86"/>
        <v/>
      </c>
    </row>
    <row r="2710" spans="1:6" x14ac:dyDescent="0.3">
      <c r="A2710" s="15" t="str">
        <f t="shared" si="87"/>
        <v>.</v>
      </c>
      <c r="E2710" s="13" t="str">
        <f>IFERROR(IF(AND(B2710&lt;&gt;"",C2710&lt;&gt;""),SUMIFS(Movimentos!$F$4:$F$9996,Movimentos!$D$4:$D$9996,B2710,Movimentos!$C$4:$C$9996,"Entrada")-SUMIFS(Movimentos!$F$4:$F$9996,Movimentos!$D$4:$D$9996,B2710,Movimentos!$C$4:$C$9996,"Saída"),""),"")</f>
        <v/>
      </c>
      <c r="F2710" s="10" t="str">
        <f t="shared" si="86"/>
        <v/>
      </c>
    </row>
    <row r="2711" spans="1:6" x14ac:dyDescent="0.3">
      <c r="A2711" s="15" t="str">
        <f t="shared" si="87"/>
        <v>.</v>
      </c>
      <c r="E2711" s="13" t="str">
        <f>IFERROR(IF(AND(B2711&lt;&gt;"",C2711&lt;&gt;""),SUMIFS(Movimentos!$F$4:$F$9996,Movimentos!$D$4:$D$9996,B2711,Movimentos!$C$4:$C$9996,"Entrada")-SUMIFS(Movimentos!$F$4:$F$9996,Movimentos!$D$4:$D$9996,B2711,Movimentos!$C$4:$C$9996,"Saída"),""),"")</f>
        <v/>
      </c>
      <c r="F2711" s="10" t="str">
        <f t="shared" ref="F2711:F2774" si="88">IF(AND(B2711&lt;&gt;"",C2711&lt;&gt;""),IF(E2711=0,"Saldo zerado",IF(E2711&lt;D2711,"Saldo abaixo do mínimo","Saldo disponível")),"")</f>
        <v/>
      </c>
    </row>
    <row r="2712" spans="1:6" x14ac:dyDescent="0.3">
      <c r="A2712" s="15" t="str">
        <f t="shared" si="87"/>
        <v>.</v>
      </c>
      <c r="E2712" s="13" t="str">
        <f>IFERROR(IF(AND(B2712&lt;&gt;"",C2712&lt;&gt;""),SUMIFS(Movimentos!$F$4:$F$9996,Movimentos!$D$4:$D$9996,B2712,Movimentos!$C$4:$C$9996,"Entrada")-SUMIFS(Movimentos!$F$4:$F$9996,Movimentos!$D$4:$D$9996,B2712,Movimentos!$C$4:$C$9996,"Saída"),""),"")</f>
        <v/>
      </c>
      <c r="F2712" s="10" t="str">
        <f t="shared" si="88"/>
        <v/>
      </c>
    </row>
    <row r="2713" spans="1:6" x14ac:dyDescent="0.3">
      <c r="A2713" s="15" t="str">
        <f t="shared" si="87"/>
        <v>.</v>
      </c>
      <c r="E2713" s="13" t="str">
        <f>IFERROR(IF(AND(B2713&lt;&gt;"",C2713&lt;&gt;""),SUMIFS(Movimentos!$F$4:$F$9996,Movimentos!$D$4:$D$9996,B2713,Movimentos!$C$4:$C$9996,"Entrada")-SUMIFS(Movimentos!$F$4:$F$9996,Movimentos!$D$4:$D$9996,B2713,Movimentos!$C$4:$C$9996,"Saída"),""),"")</f>
        <v/>
      </c>
      <c r="F2713" s="10" t="str">
        <f t="shared" si="88"/>
        <v/>
      </c>
    </row>
    <row r="2714" spans="1:6" x14ac:dyDescent="0.3">
      <c r="A2714" s="15" t="str">
        <f t="shared" si="87"/>
        <v>.</v>
      </c>
      <c r="E2714" s="13" t="str">
        <f>IFERROR(IF(AND(B2714&lt;&gt;"",C2714&lt;&gt;""),SUMIFS(Movimentos!$F$4:$F$9996,Movimentos!$D$4:$D$9996,B2714,Movimentos!$C$4:$C$9996,"Entrada")-SUMIFS(Movimentos!$F$4:$F$9996,Movimentos!$D$4:$D$9996,B2714,Movimentos!$C$4:$C$9996,"Saída"),""),"")</f>
        <v/>
      </c>
      <c r="F2714" s="10" t="str">
        <f t="shared" si="88"/>
        <v/>
      </c>
    </row>
    <row r="2715" spans="1:6" x14ac:dyDescent="0.3">
      <c r="A2715" s="15" t="str">
        <f t="shared" si="87"/>
        <v>.</v>
      </c>
      <c r="E2715" s="13" t="str">
        <f>IFERROR(IF(AND(B2715&lt;&gt;"",C2715&lt;&gt;""),SUMIFS(Movimentos!$F$4:$F$9996,Movimentos!$D$4:$D$9996,B2715,Movimentos!$C$4:$C$9996,"Entrada")-SUMIFS(Movimentos!$F$4:$F$9996,Movimentos!$D$4:$D$9996,B2715,Movimentos!$C$4:$C$9996,"Saída"),""),"")</f>
        <v/>
      </c>
      <c r="F2715" s="10" t="str">
        <f t="shared" si="88"/>
        <v/>
      </c>
    </row>
    <row r="2716" spans="1:6" x14ac:dyDescent="0.3">
      <c r="A2716" s="15" t="str">
        <f t="shared" si="87"/>
        <v>.</v>
      </c>
      <c r="E2716" s="13" t="str">
        <f>IFERROR(IF(AND(B2716&lt;&gt;"",C2716&lt;&gt;""),SUMIFS(Movimentos!$F$4:$F$9996,Movimentos!$D$4:$D$9996,B2716,Movimentos!$C$4:$C$9996,"Entrada")-SUMIFS(Movimentos!$F$4:$F$9996,Movimentos!$D$4:$D$9996,B2716,Movimentos!$C$4:$C$9996,"Saída"),""),"")</f>
        <v/>
      </c>
      <c r="F2716" s="10" t="str">
        <f t="shared" si="88"/>
        <v/>
      </c>
    </row>
    <row r="2717" spans="1:6" x14ac:dyDescent="0.3">
      <c r="A2717" s="15" t="str">
        <f t="shared" si="87"/>
        <v>.</v>
      </c>
      <c r="E2717" s="13" t="str">
        <f>IFERROR(IF(AND(B2717&lt;&gt;"",C2717&lt;&gt;""),SUMIFS(Movimentos!$F$4:$F$9996,Movimentos!$D$4:$D$9996,B2717,Movimentos!$C$4:$C$9996,"Entrada")-SUMIFS(Movimentos!$F$4:$F$9996,Movimentos!$D$4:$D$9996,B2717,Movimentos!$C$4:$C$9996,"Saída"),""),"")</f>
        <v/>
      </c>
      <c r="F2717" s="10" t="str">
        <f t="shared" si="88"/>
        <v/>
      </c>
    </row>
    <row r="2718" spans="1:6" x14ac:dyDescent="0.3">
      <c r="A2718" s="15" t="str">
        <f t="shared" si="87"/>
        <v>.</v>
      </c>
      <c r="E2718" s="13" t="str">
        <f>IFERROR(IF(AND(B2718&lt;&gt;"",C2718&lt;&gt;""),SUMIFS(Movimentos!$F$4:$F$9996,Movimentos!$D$4:$D$9996,B2718,Movimentos!$C$4:$C$9996,"Entrada")-SUMIFS(Movimentos!$F$4:$F$9996,Movimentos!$D$4:$D$9996,B2718,Movimentos!$C$4:$C$9996,"Saída"),""),"")</f>
        <v/>
      </c>
      <c r="F2718" s="10" t="str">
        <f t="shared" si="88"/>
        <v/>
      </c>
    </row>
    <row r="2719" spans="1:6" x14ac:dyDescent="0.3">
      <c r="A2719" s="15" t="str">
        <f t="shared" si="87"/>
        <v>.</v>
      </c>
      <c r="E2719" s="13" t="str">
        <f>IFERROR(IF(AND(B2719&lt;&gt;"",C2719&lt;&gt;""),SUMIFS(Movimentos!$F$4:$F$9996,Movimentos!$D$4:$D$9996,B2719,Movimentos!$C$4:$C$9996,"Entrada")-SUMIFS(Movimentos!$F$4:$F$9996,Movimentos!$D$4:$D$9996,B2719,Movimentos!$C$4:$C$9996,"Saída"),""),"")</f>
        <v/>
      </c>
      <c r="F2719" s="10" t="str">
        <f t="shared" si="88"/>
        <v/>
      </c>
    </row>
    <row r="2720" spans="1:6" x14ac:dyDescent="0.3">
      <c r="A2720" s="15" t="str">
        <f t="shared" si="87"/>
        <v>.</v>
      </c>
      <c r="E2720" s="13" t="str">
        <f>IFERROR(IF(AND(B2720&lt;&gt;"",C2720&lt;&gt;""),SUMIFS(Movimentos!$F$4:$F$9996,Movimentos!$D$4:$D$9996,B2720,Movimentos!$C$4:$C$9996,"Entrada")-SUMIFS(Movimentos!$F$4:$F$9996,Movimentos!$D$4:$D$9996,B2720,Movimentos!$C$4:$C$9996,"Saída"),""),"")</f>
        <v/>
      </c>
      <c r="F2720" s="10" t="str">
        <f t="shared" si="88"/>
        <v/>
      </c>
    </row>
    <row r="2721" spans="1:6" x14ac:dyDescent="0.3">
      <c r="A2721" s="15" t="str">
        <f t="shared" si="87"/>
        <v>.</v>
      </c>
      <c r="E2721" s="13" t="str">
        <f>IFERROR(IF(AND(B2721&lt;&gt;"",C2721&lt;&gt;""),SUMIFS(Movimentos!$F$4:$F$9996,Movimentos!$D$4:$D$9996,B2721,Movimentos!$C$4:$C$9996,"Entrada")-SUMIFS(Movimentos!$F$4:$F$9996,Movimentos!$D$4:$D$9996,B2721,Movimentos!$C$4:$C$9996,"Saída"),""),"")</f>
        <v/>
      </c>
      <c r="F2721" s="10" t="str">
        <f t="shared" si="88"/>
        <v/>
      </c>
    </row>
    <row r="2722" spans="1:6" x14ac:dyDescent="0.3">
      <c r="A2722" s="15" t="str">
        <f t="shared" si="87"/>
        <v>.</v>
      </c>
      <c r="E2722" s="13" t="str">
        <f>IFERROR(IF(AND(B2722&lt;&gt;"",C2722&lt;&gt;""),SUMIFS(Movimentos!$F$4:$F$9996,Movimentos!$D$4:$D$9996,B2722,Movimentos!$C$4:$C$9996,"Entrada")-SUMIFS(Movimentos!$F$4:$F$9996,Movimentos!$D$4:$D$9996,B2722,Movimentos!$C$4:$C$9996,"Saída"),""),"")</f>
        <v/>
      </c>
      <c r="F2722" s="10" t="str">
        <f t="shared" si="88"/>
        <v/>
      </c>
    </row>
    <row r="2723" spans="1:6" x14ac:dyDescent="0.3">
      <c r="A2723" s="15" t="str">
        <f t="shared" si="87"/>
        <v>.</v>
      </c>
      <c r="E2723" s="13" t="str">
        <f>IFERROR(IF(AND(B2723&lt;&gt;"",C2723&lt;&gt;""),SUMIFS(Movimentos!$F$4:$F$9996,Movimentos!$D$4:$D$9996,B2723,Movimentos!$C$4:$C$9996,"Entrada")-SUMIFS(Movimentos!$F$4:$F$9996,Movimentos!$D$4:$D$9996,B2723,Movimentos!$C$4:$C$9996,"Saída"),""),"")</f>
        <v/>
      </c>
      <c r="F2723" s="10" t="str">
        <f t="shared" si="88"/>
        <v/>
      </c>
    </row>
    <row r="2724" spans="1:6" x14ac:dyDescent="0.3">
      <c r="A2724" s="15" t="str">
        <f t="shared" si="87"/>
        <v>.</v>
      </c>
      <c r="E2724" s="13" t="str">
        <f>IFERROR(IF(AND(B2724&lt;&gt;"",C2724&lt;&gt;""),SUMIFS(Movimentos!$F$4:$F$9996,Movimentos!$D$4:$D$9996,B2724,Movimentos!$C$4:$C$9996,"Entrada")-SUMIFS(Movimentos!$F$4:$F$9996,Movimentos!$D$4:$D$9996,B2724,Movimentos!$C$4:$C$9996,"Saída"),""),"")</f>
        <v/>
      </c>
      <c r="F2724" s="10" t="str">
        <f t="shared" si="88"/>
        <v/>
      </c>
    </row>
    <row r="2725" spans="1:6" x14ac:dyDescent="0.3">
      <c r="A2725" s="15" t="str">
        <f t="shared" si="87"/>
        <v>.</v>
      </c>
      <c r="E2725" s="13" t="str">
        <f>IFERROR(IF(AND(B2725&lt;&gt;"",C2725&lt;&gt;""),SUMIFS(Movimentos!$F$4:$F$9996,Movimentos!$D$4:$D$9996,B2725,Movimentos!$C$4:$C$9996,"Entrada")-SUMIFS(Movimentos!$F$4:$F$9996,Movimentos!$D$4:$D$9996,B2725,Movimentos!$C$4:$C$9996,"Saída"),""),"")</f>
        <v/>
      </c>
      <c r="F2725" s="10" t="str">
        <f t="shared" si="88"/>
        <v/>
      </c>
    </row>
    <row r="2726" spans="1:6" x14ac:dyDescent="0.3">
      <c r="A2726" s="15" t="str">
        <f t="shared" si="87"/>
        <v>.</v>
      </c>
      <c r="E2726" s="13" t="str">
        <f>IFERROR(IF(AND(B2726&lt;&gt;"",C2726&lt;&gt;""),SUMIFS(Movimentos!$F$4:$F$9996,Movimentos!$D$4:$D$9996,B2726,Movimentos!$C$4:$C$9996,"Entrada")-SUMIFS(Movimentos!$F$4:$F$9996,Movimentos!$D$4:$D$9996,B2726,Movimentos!$C$4:$C$9996,"Saída"),""),"")</f>
        <v/>
      </c>
      <c r="F2726" s="10" t="str">
        <f t="shared" si="88"/>
        <v/>
      </c>
    </row>
    <row r="2727" spans="1:6" x14ac:dyDescent="0.3">
      <c r="A2727" s="15" t="str">
        <f t="shared" si="87"/>
        <v>.</v>
      </c>
      <c r="E2727" s="13" t="str">
        <f>IFERROR(IF(AND(B2727&lt;&gt;"",C2727&lt;&gt;""),SUMIFS(Movimentos!$F$4:$F$9996,Movimentos!$D$4:$D$9996,B2727,Movimentos!$C$4:$C$9996,"Entrada")-SUMIFS(Movimentos!$F$4:$F$9996,Movimentos!$D$4:$D$9996,B2727,Movimentos!$C$4:$C$9996,"Saída"),""),"")</f>
        <v/>
      </c>
      <c r="F2727" s="10" t="str">
        <f t="shared" si="88"/>
        <v/>
      </c>
    </row>
    <row r="2728" spans="1:6" x14ac:dyDescent="0.3">
      <c r="A2728" s="15" t="str">
        <f t="shared" si="87"/>
        <v>.</v>
      </c>
      <c r="E2728" s="13" t="str">
        <f>IFERROR(IF(AND(B2728&lt;&gt;"",C2728&lt;&gt;""),SUMIFS(Movimentos!$F$4:$F$9996,Movimentos!$D$4:$D$9996,B2728,Movimentos!$C$4:$C$9996,"Entrada")-SUMIFS(Movimentos!$F$4:$F$9996,Movimentos!$D$4:$D$9996,B2728,Movimentos!$C$4:$C$9996,"Saída"),""),"")</f>
        <v/>
      </c>
      <c r="F2728" s="10" t="str">
        <f t="shared" si="88"/>
        <v/>
      </c>
    </row>
    <row r="2729" spans="1:6" x14ac:dyDescent="0.3">
      <c r="A2729" s="15" t="str">
        <f t="shared" si="87"/>
        <v>.</v>
      </c>
      <c r="E2729" s="13" t="str">
        <f>IFERROR(IF(AND(B2729&lt;&gt;"",C2729&lt;&gt;""),SUMIFS(Movimentos!$F$4:$F$9996,Movimentos!$D$4:$D$9996,B2729,Movimentos!$C$4:$C$9996,"Entrada")-SUMIFS(Movimentos!$F$4:$F$9996,Movimentos!$D$4:$D$9996,B2729,Movimentos!$C$4:$C$9996,"Saída"),""),"")</f>
        <v/>
      </c>
      <c r="F2729" s="10" t="str">
        <f t="shared" si="88"/>
        <v/>
      </c>
    </row>
    <row r="2730" spans="1:6" x14ac:dyDescent="0.3">
      <c r="A2730" s="15" t="str">
        <f t="shared" si="87"/>
        <v>.</v>
      </c>
      <c r="E2730" s="13" t="str">
        <f>IFERROR(IF(AND(B2730&lt;&gt;"",C2730&lt;&gt;""),SUMIFS(Movimentos!$F$4:$F$9996,Movimentos!$D$4:$D$9996,B2730,Movimentos!$C$4:$C$9996,"Entrada")-SUMIFS(Movimentos!$F$4:$F$9996,Movimentos!$D$4:$D$9996,B2730,Movimentos!$C$4:$C$9996,"Saída"),""),"")</f>
        <v/>
      </c>
      <c r="F2730" s="10" t="str">
        <f t="shared" si="88"/>
        <v/>
      </c>
    </row>
    <row r="2731" spans="1:6" x14ac:dyDescent="0.3">
      <c r="A2731" s="15" t="str">
        <f t="shared" si="87"/>
        <v>.</v>
      </c>
      <c r="E2731" s="13" t="str">
        <f>IFERROR(IF(AND(B2731&lt;&gt;"",C2731&lt;&gt;""),SUMIFS(Movimentos!$F$4:$F$9996,Movimentos!$D$4:$D$9996,B2731,Movimentos!$C$4:$C$9996,"Entrada")-SUMIFS(Movimentos!$F$4:$F$9996,Movimentos!$D$4:$D$9996,B2731,Movimentos!$C$4:$C$9996,"Saída"),""),"")</f>
        <v/>
      </c>
      <c r="F2731" s="10" t="str">
        <f t="shared" si="88"/>
        <v/>
      </c>
    </row>
    <row r="2732" spans="1:6" x14ac:dyDescent="0.3">
      <c r="A2732" s="15" t="str">
        <f t="shared" si="87"/>
        <v>.</v>
      </c>
      <c r="E2732" s="13" t="str">
        <f>IFERROR(IF(AND(B2732&lt;&gt;"",C2732&lt;&gt;""),SUMIFS(Movimentos!$F$4:$F$9996,Movimentos!$D$4:$D$9996,B2732,Movimentos!$C$4:$C$9996,"Entrada")-SUMIFS(Movimentos!$F$4:$F$9996,Movimentos!$D$4:$D$9996,B2732,Movimentos!$C$4:$C$9996,"Saída"),""),"")</f>
        <v/>
      </c>
      <c r="F2732" s="10" t="str">
        <f t="shared" si="88"/>
        <v/>
      </c>
    </row>
    <row r="2733" spans="1:6" x14ac:dyDescent="0.3">
      <c r="A2733" s="15" t="str">
        <f t="shared" si="87"/>
        <v>.</v>
      </c>
      <c r="E2733" s="13" t="str">
        <f>IFERROR(IF(AND(B2733&lt;&gt;"",C2733&lt;&gt;""),SUMIFS(Movimentos!$F$4:$F$9996,Movimentos!$D$4:$D$9996,B2733,Movimentos!$C$4:$C$9996,"Entrada")-SUMIFS(Movimentos!$F$4:$F$9996,Movimentos!$D$4:$D$9996,B2733,Movimentos!$C$4:$C$9996,"Saída"),""),"")</f>
        <v/>
      </c>
      <c r="F2733" s="10" t="str">
        <f t="shared" si="88"/>
        <v/>
      </c>
    </row>
    <row r="2734" spans="1:6" x14ac:dyDescent="0.3">
      <c r="A2734" s="15" t="str">
        <f t="shared" si="87"/>
        <v>.</v>
      </c>
      <c r="E2734" s="13" t="str">
        <f>IFERROR(IF(AND(B2734&lt;&gt;"",C2734&lt;&gt;""),SUMIFS(Movimentos!$F$4:$F$9996,Movimentos!$D$4:$D$9996,B2734,Movimentos!$C$4:$C$9996,"Entrada")-SUMIFS(Movimentos!$F$4:$F$9996,Movimentos!$D$4:$D$9996,B2734,Movimentos!$C$4:$C$9996,"Saída"),""),"")</f>
        <v/>
      </c>
      <c r="F2734" s="10" t="str">
        <f t="shared" si="88"/>
        <v/>
      </c>
    </row>
    <row r="2735" spans="1:6" x14ac:dyDescent="0.3">
      <c r="A2735" s="15" t="str">
        <f t="shared" si="87"/>
        <v>.</v>
      </c>
      <c r="E2735" s="13" t="str">
        <f>IFERROR(IF(AND(B2735&lt;&gt;"",C2735&lt;&gt;""),SUMIFS(Movimentos!$F$4:$F$9996,Movimentos!$D$4:$D$9996,B2735,Movimentos!$C$4:$C$9996,"Entrada")-SUMIFS(Movimentos!$F$4:$F$9996,Movimentos!$D$4:$D$9996,B2735,Movimentos!$C$4:$C$9996,"Saída"),""),"")</f>
        <v/>
      </c>
      <c r="F2735" s="10" t="str">
        <f t="shared" si="88"/>
        <v/>
      </c>
    </row>
    <row r="2736" spans="1:6" x14ac:dyDescent="0.3">
      <c r="A2736" s="15" t="str">
        <f t="shared" si="87"/>
        <v>.</v>
      </c>
      <c r="E2736" s="13" t="str">
        <f>IFERROR(IF(AND(B2736&lt;&gt;"",C2736&lt;&gt;""),SUMIFS(Movimentos!$F$4:$F$9996,Movimentos!$D$4:$D$9996,B2736,Movimentos!$C$4:$C$9996,"Entrada")-SUMIFS(Movimentos!$F$4:$F$9996,Movimentos!$D$4:$D$9996,B2736,Movimentos!$C$4:$C$9996,"Saída"),""),"")</f>
        <v/>
      </c>
      <c r="F2736" s="10" t="str">
        <f t="shared" si="88"/>
        <v/>
      </c>
    </row>
    <row r="2737" spans="1:6" x14ac:dyDescent="0.3">
      <c r="A2737" s="15" t="str">
        <f t="shared" si="87"/>
        <v>.</v>
      </c>
      <c r="E2737" s="13" t="str">
        <f>IFERROR(IF(AND(B2737&lt;&gt;"",C2737&lt;&gt;""),SUMIFS(Movimentos!$F$4:$F$9996,Movimentos!$D$4:$D$9996,B2737,Movimentos!$C$4:$C$9996,"Entrada")-SUMIFS(Movimentos!$F$4:$F$9996,Movimentos!$D$4:$D$9996,B2737,Movimentos!$C$4:$C$9996,"Saída"),""),"")</f>
        <v/>
      </c>
      <c r="F2737" s="10" t="str">
        <f t="shared" si="88"/>
        <v/>
      </c>
    </row>
    <row r="2738" spans="1:6" x14ac:dyDescent="0.3">
      <c r="A2738" s="15" t="str">
        <f t="shared" si="87"/>
        <v>.</v>
      </c>
      <c r="E2738" s="13" t="str">
        <f>IFERROR(IF(AND(B2738&lt;&gt;"",C2738&lt;&gt;""),SUMIFS(Movimentos!$F$4:$F$9996,Movimentos!$D$4:$D$9996,B2738,Movimentos!$C$4:$C$9996,"Entrada")-SUMIFS(Movimentos!$F$4:$F$9996,Movimentos!$D$4:$D$9996,B2738,Movimentos!$C$4:$C$9996,"Saída"),""),"")</f>
        <v/>
      </c>
      <c r="F2738" s="10" t="str">
        <f t="shared" si="88"/>
        <v/>
      </c>
    </row>
    <row r="2739" spans="1:6" x14ac:dyDescent="0.3">
      <c r="A2739" s="15" t="str">
        <f t="shared" si="87"/>
        <v>.</v>
      </c>
      <c r="E2739" s="13" t="str">
        <f>IFERROR(IF(AND(B2739&lt;&gt;"",C2739&lt;&gt;""),SUMIFS(Movimentos!$F$4:$F$9996,Movimentos!$D$4:$D$9996,B2739,Movimentos!$C$4:$C$9996,"Entrada")-SUMIFS(Movimentos!$F$4:$F$9996,Movimentos!$D$4:$D$9996,B2739,Movimentos!$C$4:$C$9996,"Saída"),""),"")</f>
        <v/>
      </c>
      <c r="F2739" s="10" t="str">
        <f t="shared" si="88"/>
        <v/>
      </c>
    </row>
    <row r="2740" spans="1:6" x14ac:dyDescent="0.3">
      <c r="A2740" s="15" t="str">
        <f t="shared" si="87"/>
        <v>.</v>
      </c>
      <c r="E2740" s="13" t="str">
        <f>IFERROR(IF(AND(B2740&lt;&gt;"",C2740&lt;&gt;""),SUMIFS(Movimentos!$F$4:$F$9996,Movimentos!$D$4:$D$9996,B2740,Movimentos!$C$4:$C$9996,"Entrada")-SUMIFS(Movimentos!$F$4:$F$9996,Movimentos!$D$4:$D$9996,B2740,Movimentos!$C$4:$C$9996,"Saída"),""),"")</f>
        <v/>
      </c>
      <c r="F2740" s="10" t="str">
        <f t="shared" si="88"/>
        <v/>
      </c>
    </row>
    <row r="2741" spans="1:6" x14ac:dyDescent="0.3">
      <c r="A2741" s="15" t="str">
        <f t="shared" si="87"/>
        <v>.</v>
      </c>
      <c r="E2741" s="13" t="str">
        <f>IFERROR(IF(AND(B2741&lt;&gt;"",C2741&lt;&gt;""),SUMIFS(Movimentos!$F$4:$F$9996,Movimentos!$D$4:$D$9996,B2741,Movimentos!$C$4:$C$9996,"Entrada")-SUMIFS(Movimentos!$F$4:$F$9996,Movimentos!$D$4:$D$9996,B2741,Movimentos!$C$4:$C$9996,"Saída"),""),"")</f>
        <v/>
      </c>
      <c r="F2741" s="10" t="str">
        <f t="shared" si="88"/>
        <v/>
      </c>
    </row>
    <row r="2742" spans="1:6" x14ac:dyDescent="0.3">
      <c r="A2742" s="15" t="str">
        <f t="shared" si="87"/>
        <v>.</v>
      </c>
      <c r="E2742" s="13" t="str">
        <f>IFERROR(IF(AND(B2742&lt;&gt;"",C2742&lt;&gt;""),SUMIFS(Movimentos!$F$4:$F$9996,Movimentos!$D$4:$D$9996,B2742,Movimentos!$C$4:$C$9996,"Entrada")-SUMIFS(Movimentos!$F$4:$F$9996,Movimentos!$D$4:$D$9996,B2742,Movimentos!$C$4:$C$9996,"Saída"),""),"")</f>
        <v/>
      </c>
      <c r="F2742" s="10" t="str">
        <f t="shared" si="88"/>
        <v/>
      </c>
    </row>
    <row r="2743" spans="1:6" x14ac:dyDescent="0.3">
      <c r="A2743" s="15" t="str">
        <f t="shared" si="87"/>
        <v>.</v>
      </c>
      <c r="E2743" s="13" t="str">
        <f>IFERROR(IF(AND(B2743&lt;&gt;"",C2743&lt;&gt;""),SUMIFS(Movimentos!$F$4:$F$9996,Movimentos!$D$4:$D$9996,B2743,Movimentos!$C$4:$C$9996,"Entrada")-SUMIFS(Movimentos!$F$4:$F$9996,Movimentos!$D$4:$D$9996,B2743,Movimentos!$C$4:$C$9996,"Saída"),""),"")</f>
        <v/>
      </c>
      <c r="F2743" s="10" t="str">
        <f t="shared" si="88"/>
        <v/>
      </c>
    </row>
    <row r="2744" spans="1:6" x14ac:dyDescent="0.3">
      <c r="A2744" s="15" t="str">
        <f t="shared" si="87"/>
        <v>.</v>
      </c>
      <c r="E2744" s="13" t="str">
        <f>IFERROR(IF(AND(B2744&lt;&gt;"",C2744&lt;&gt;""),SUMIFS(Movimentos!$F$4:$F$9996,Movimentos!$D$4:$D$9996,B2744,Movimentos!$C$4:$C$9996,"Entrada")-SUMIFS(Movimentos!$F$4:$F$9996,Movimentos!$D$4:$D$9996,B2744,Movimentos!$C$4:$C$9996,"Saída"),""),"")</f>
        <v/>
      </c>
      <c r="F2744" s="10" t="str">
        <f t="shared" si="88"/>
        <v/>
      </c>
    </row>
    <row r="2745" spans="1:6" x14ac:dyDescent="0.3">
      <c r="A2745" s="15" t="str">
        <f t="shared" si="87"/>
        <v>.</v>
      </c>
      <c r="E2745" s="13" t="str">
        <f>IFERROR(IF(AND(B2745&lt;&gt;"",C2745&lt;&gt;""),SUMIFS(Movimentos!$F$4:$F$9996,Movimentos!$D$4:$D$9996,B2745,Movimentos!$C$4:$C$9996,"Entrada")-SUMIFS(Movimentos!$F$4:$F$9996,Movimentos!$D$4:$D$9996,B2745,Movimentos!$C$4:$C$9996,"Saída"),""),"")</f>
        <v/>
      </c>
      <c r="F2745" s="10" t="str">
        <f t="shared" si="88"/>
        <v/>
      </c>
    </row>
    <row r="2746" spans="1:6" x14ac:dyDescent="0.3">
      <c r="A2746" s="15" t="str">
        <f t="shared" si="87"/>
        <v>.</v>
      </c>
      <c r="E2746" s="13" t="str">
        <f>IFERROR(IF(AND(B2746&lt;&gt;"",C2746&lt;&gt;""),SUMIFS(Movimentos!$F$4:$F$9996,Movimentos!$D$4:$D$9996,B2746,Movimentos!$C$4:$C$9996,"Entrada")-SUMIFS(Movimentos!$F$4:$F$9996,Movimentos!$D$4:$D$9996,B2746,Movimentos!$C$4:$C$9996,"Saída"),""),"")</f>
        <v/>
      </c>
      <c r="F2746" s="10" t="str">
        <f t="shared" si="88"/>
        <v/>
      </c>
    </row>
    <row r="2747" spans="1:6" x14ac:dyDescent="0.3">
      <c r="A2747" s="15" t="str">
        <f t="shared" si="87"/>
        <v>.</v>
      </c>
      <c r="E2747" s="13" t="str">
        <f>IFERROR(IF(AND(B2747&lt;&gt;"",C2747&lt;&gt;""),SUMIFS(Movimentos!$F$4:$F$9996,Movimentos!$D$4:$D$9996,B2747,Movimentos!$C$4:$C$9996,"Entrada")-SUMIFS(Movimentos!$F$4:$F$9996,Movimentos!$D$4:$D$9996,B2747,Movimentos!$C$4:$C$9996,"Saída"),""),"")</f>
        <v/>
      </c>
      <c r="F2747" s="10" t="str">
        <f t="shared" si="88"/>
        <v/>
      </c>
    </row>
    <row r="2748" spans="1:6" x14ac:dyDescent="0.3">
      <c r="A2748" s="15" t="str">
        <f t="shared" si="87"/>
        <v>.</v>
      </c>
      <c r="E2748" s="13" t="str">
        <f>IFERROR(IF(AND(B2748&lt;&gt;"",C2748&lt;&gt;""),SUMIFS(Movimentos!$F$4:$F$9996,Movimentos!$D$4:$D$9996,B2748,Movimentos!$C$4:$C$9996,"Entrada")-SUMIFS(Movimentos!$F$4:$F$9996,Movimentos!$D$4:$D$9996,B2748,Movimentos!$C$4:$C$9996,"Saída"),""),"")</f>
        <v/>
      </c>
      <c r="F2748" s="10" t="str">
        <f t="shared" si="88"/>
        <v/>
      </c>
    </row>
    <row r="2749" spans="1:6" x14ac:dyDescent="0.3">
      <c r="A2749" s="15" t="str">
        <f t="shared" si="87"/>
        <v>.</v>
      </c>
      <c r="E2749" s="13" t="str">
        <f>IFERROR(IF(AND(B2749&lt;&gt;"",C2749&lt;&gt;""),SUMIFS(Movimentos!$F$4:$F$9996,Movimentos!$D$4:$D$9996,B2749,Movimentos!$C$4:$C$9996,"Entrada")-SUMIFS(Movimentos!$F$4:$F$9996,Movimentos!$D$4:$D$9996,B2749,Movimentos!$C$4:$C$9996,"Saída"),""),"")</f>
        <v/>
      </c>
      <c r="F2749" s="10" t="str">
        <f t="shared" si="88"/>
        <v/>
      </c>
    </row>
    <row r="2750" spans="1:6" x14ac:dyDescent="0.3">
      <c r="A2750" s="15" t="str">
        <f t="shared" si="87"/>
        <v>.</v>
      </c>
      <c r="E2750" s="13" t="str">
        <f>IFERROR(IF(AND(B2750&lt;&gt;"",C2750&lt;&gt;""),SUMIFS(Movimentos!$F$4:$F$9996,Movimentos!$D$4:$D$9996,B2750,Movimentos!$C$4:$C$9996,"Entrada")-SUMIFS(Movimentos!$F$4:$F$9996,Movimentos!$D$4:$D$9996,B2750,Movimentos!$C$4:$C$9996,"Saída"),""),"")</f>
        <v/>
      </c>
      <c r="F2750" s="10" t="str">
        <f t="shared" si="88"/>
        <v/>
      </c>
    </row>
    <row r="2751" spans="1:6" x14ac:dyDescent="0.3">
      <c r="A2751" s="15" t="str">
        <f t="shared" si="87"/>
        <v>.</v>
      </c>
      <c r="E2751" s="13" t="str">
        <f>IFERROR(IF(AND(B2751&lt;&gt;"",C2751&lt;&gt;""),SUMIFS(Movimentos!$F$4:$F$9996,Movimentos!$D$4:$D$9996,B2751,Movimentos!$C$4:$C$9996,"Entrada")-SUMIFS(Movimentos!$F$4:$F$9996,Movimentos!$D$4:$D$9996,B2751,Movimentos!$C$4:$C$9996,"Saída"),""),"")</f>
        <v/>
      </c>
      <c r="F2751" s="10" t="str">
        <f t="shared" si="88"/>
        <v/>
      </c>
    </row>
    <row r="2752" spans="1:6" x14ac:dyDescent="0.3">
      <c r="A2752" s="15" t="str">
        <f t="shared" ref="A2752:A2815" si="89">IF(F2752="Saldo zerado",0,IF(F2752="Saldo abaixo do mínimo",1,IF(F2752="Saldo disponível",2,".")))</f>
        <v>.</v>
      </c>
      <c r="E2752" s="13" t="str">
        <f>IFERROR(IF(AND(B2752&lt;&gt;"",C2752&lt;&gt;""),SUMIFS(Movimentos!$F$4:$F$9996,Movimentos!$D$4:$D$9996,B2752,Movimentos!$C$4:$C$9996,"Entrada")-SUMIFS(Movimentos!$F$4:$F$9996,Movimentos!$D$4:$D$9996,B2752,Movimentos!$C$4:$C$9996,"Saída"),""),"")</f>
        <v/>
      </c>
      <c r="F2752" s="10" t="str">
        <f t="shared" si="88"/>
        <v/>
      </c>
    </row>
    <row r="2753" spans="1:6" x14ac:dyDescent="0.3">
      <c r="A2753" s="15" t="str">
        <f t="shared" si="89"/>
        <v>.</v>
      </c>
      <c r="E2753" s="13" t="str">
        <f>IFERROR(IF(AND(B2753&lt;&gt;"",C2753&lt;&gt;""),SUMIFS(Movimentos!$F$4:$F$9996,Movimentos!$D$4:$D$9996,B2753,Movimentos!$C$4:$C$9996,"Entrada")-SUMIFS(Movimentos!$F$4:$F$9996,Movimentos!$D$4:$D$9996,B2753,Movimentos!$C$4:$C$9996,"Saída"),""),"")</f>
        <v/>
      </c>
      <c r="F2753" s="10" t="str">
        <f t="shared" si="88"/>
        <v/>
      </c>
    </row>
    <row r="2754" spans="1:6" x14ac:dyDescent="0.3">
      <c r="A2754" s="15" t="str">
        <f t="shared" si="89"/>
        <v>.</v>
      </c>
      <c r="E2754" s="13" t="str">
        <f>IFERROR(IF(AND(B2754&lt;&gt;"",C2754&lt;&gt;""),SUMIFS(Movimentos!$F$4:$F$9996,Movimentos!$D$4:$D$9996,B2754,Movimentos!$C$4:$C$9996,"Entrada")-SUMIFS(Movimentos!$F$4:$F$9996,Movimentos!$D$4:$D$9996,B2754,Movimentos!$C$4:$C$9996,"Saída"),""),"")</f>
        <v/>
      </c>
      <c r="F2754" s="10" t="str">
        <f t="shared" si="88"/>
        <v/>
      </c>
    </row>
    <row r="2755" spans="1:6" x14ac:dyDescent="0.3">
      <c r="A2755" s="15" t="str">
        <f t="shared" si="89"/>
        <v>.</v>
      </c>
      <c r="E2755" s="13" t="str">
        <f>IFERROR(IF(AND(B2755&lt;&gt;"",C2755&lt;&gt;""),SUMIFS(Movimentos!$F$4:$F$9996,Movimentos!$D$4:$D$9996,B2755,Movimentos!$C$4:$C$9996,"Entrada")-SUMIFS(Movimentos!$F$4:$F$9996,Movimentos!$D$4:$D$9996,B2755,Movimentos!$C$4:$C$9996,"Saída"),""),"")</f>
        <v/>
      </c>
      <c r="F2755" s="10" t="str">
        <f t="shared" si="88"/>
        <v/>
      </c>
    </row>
    <row r="2756" spans="1:6" x14ac:dyDescent="0.3">
      <c r="A2756" s="15" t="str">
        <f t="shared" si="89"/>
        <v>.</v>
      </c>
      <c r="E2756" s="13" t="str">
        <f>IFERROR(IF(AND(B2756&lt;&gt;"",C2756&lt;&gt;""),SUMIFS(Movimentos!$F$4:$F$9996,Movimentos!$D$4:$D$9996,B2756,Movimentos!$C$4:$C$9996,"Entrada")-SUMIFS(Movimentos!$F$4:$F$9996,Movimentos!$D$4:$D$9996,B2756,Movimentos!$C$4:$C$9996,"Saída"),""),"")</f>
        <v/>
      </c>
      <c r="F2756" s="10" t="str">
        <f t="shared" si="88"/>
        <v/>
      </c>
    </row>
    <row r="2757" spans="1:6" x14ac:dyDescent="0.3">
      <c r="A2757" s="15" t="str">
        <f t="shared" si="89"/>
        <v>.</v>
      </c>
      <c r="E2757" s="13" t="str">
        <f>IFERROR(IF(AND(B2757&lt;&gt;"",C2757&lt;&gt;""),SUMIFS(Movimentos!$F$4:$F$9996,Movimentos!$D$4:$D$9996,B2757,Movimentos!$C$4:$C$9996,"Entrada")-SUMIFS(Movimentos!$F$4:$F$9996,Movimentos!$D$4:$D$9996,B2757,Movimentos!$C$4:$C$9996,"Saída"),""),"")</f>
        <v/>
      </c>
      <c r="F2757" s="10" t="str">
        <f t="shared" si="88"/>
        <v/>
      </c>
    </row>
    <row r="2758" spans="1:6" x14ac:dyDescent="0.3">
      <c r="A2758" s="15" t="str">
        <f t="shared" si="89"/>
        <v>.</v>
      </c>
      <c r="E2758" s="13" t="str">
        <f>IFERROR(IF(AND(B2758&lt;&gt;"",C2758&lt;&gt;""),SUMIFS(Movimentos!$F$4:$F$9996,Movimentos!$D$4:$D$9996,B2758,Movimentos!$C$4:$C$9996,"Entrada")-SUMIFS(Movimentos!$F$4:$F$9996,Movimentos!$D$4:$D$9996,B2758,Movimentos!$C$4:$C$9996,"Saída"),""),"")</f>
        <v/>
      </c>
      <c r="F2758" s="10" t="str">
        <f t="shared" si="88"/>
        <v/>
      </c>
    </row>
    <row r="2759" spans="1:6" x14ac:dyDescent="0.3">
      <c r="A2759" s="15" t="str">
        <f t="shared" si="89"/>
        <v>.</v>
      </c>
      <c r="E2759" s="13" t="str">
        <f>IFERROR(IF(AND(B2759&lt;&gt;"",C2759&lt;&gt;""),SUMIFS(Movimentos!$F$4:$F$9996,Movimentos!$D$4:$D$9996,B2759,Movimentos!$C$4:$C$9996,"Entrada")-SUMIFS(Movimentos!$F$4:$F$9996,Movimentos!$D$4:$D$9996,B2759,Movimentos!$C$4:$C$9996,"Saída"),""),"")</f>
        <v/>
      </c>
      <c r="F2759" s="10" t="str">
        <f t="shared" si="88"/>
        <v/>
      </c>
    </row>
    <row r="2760" spans="1:6" x14ac:dyDescent="0.3">
      <c r="A2760" s="15" t="str">
        <f t="shared" si="89"/>
        <v>.</v>
      </c>
      <c r="E2760" s="13" t="str">
        <f>IFERROR(IF(AND(B2760&lt;&gt;"",C2760&lt;&gt;""),SUMIFS(Movimentos!$F$4:$F$9996,Movimentos!$D$4:$D$9996,B2760,Movimentos!$C$4:$C$9996,"Entrada")-SUMIFS(Movimentos!$F$4:$F$9996,Movimentos!$D$4:$D$9996,B2760,Movimentos!$C$4:$C$9996,"Saída"),""),"")</f>
        <v/>
      </c>
      <c r="F2760" s="10" t="str">
        <f t="shared" si="88"/>
        <v/>
      </c>
    </row>
    <row r="2761" spans="1:6" x14ac:dyDescent="0.3">
      <c r="A2761" s="15" t="str">
        <f t="shared" si="89"/>
        <v>.</v>
      </c>
      <c r="E2761" s="13" t="str">
        <f>IFERROR(IF(AND(B2761&lt;&gt;"",C2761&lt;&gt;""),SUMIFS(Movimentos!$F$4:$F$9996,Movimentos!$D$4:$D$9996,B2761,Movimentos!$C$4:$C$9996,"Entrada")-SUMIFS(Movimentos!$F$4:$F$9996,Movimentos!$D$4:$D$9996,B2761,Movimentos!$C$4:$C$9996,"Saída"),""),"")</f>
        <v/>
      </c>
      <c r="F2761" s="10" t="str">
        <f t="shared" si="88"/>
        <v/>
      </c>
    </row>
    <row r="2762" spans="1:6" x14ac:dyDescent="0.3">
      <c r="A2762" s="15" t="str">
        <f t="shared" si="89"/>
        <v>.</v>
      </c>
      <c r="E2762" s="13" t="str">
        <f>IFERROR(IF(AND(B2762&lt;&gt;"",C2762&lt;&gt;""),SUMIFS(Movimentos!$F$4:$F$9996,Movimentos!$D$4:$D$9996,B2762,Movimentos!$C$4:$C$9996,"Entrada")-SUMIFS(Movimentos!$F$4:$F$9996,Movimentos!$D$4:$D$9996,B2762,Movimentos!$C$4:$C$9996,"Saída"),""),"")</f>
        <v/>
      </c>
      <c r="F2762" s="10" t="str">
        <f t="shared" si="88"/>
        <v/>
      </c>
    </row>
    <row r="2763" spans="1:6" x14ac:dyDescent="0.3">
      <c r="A2763" s="15" t="str">
        <f t="shared" si="89"/>
        <v>.</v>
      </c>
      <c r="E2763" s="13" t="str">
        <f>IFERROR(IF(AND(B2763&lt;&gt;"",C2763&lt;&gt;""),SUMIFS(Movimentos!$F$4:$F$9996,Movimentos!$D$4:$D$9996,B2763,Movimentos!$C$4:$C$9996,"Entrada")-SUMIFS(Movimentos!$F$4:$F$9996,Movimentos!$D$4:$D$9996,B2763,Movimentos!$C$4:$C$9996,"Saída"),""),"")</f>
        <v/>
      </c>
      <c r="F2763" s="10" t="str">
        <f t="shared" si="88"/>
        <v/>
      </c>
    </row>
    <row r="2764" spans="1:6" x14ac:dyDescent="0.3">
      <c r="A2764" s="15" t="str">
        <f t="shared" si="89"/>
        <v>.</v>
      </c>
      <c r="E2764" s="13" t="str">
        <f>IFERROR(IF(AND(B2764&lt;&gt;"",C2764&lt;&gt;""),SUMIFS(Movimentos!$F$4:$F$9996,Movimentos!$D$4:$D$9996,B2764,Movimentos!$C$4:$C$9996,"Entrada")-SUMIFS(Movimentos!$F$4:$F$9996,Movimentos!$D$4:$D$9996,B2764,Movimentos!$C$4:$C$9996,"Saída"),""),"")</f>
        <v/>
      </c>
      <c r="F2764" s="10" t="str">
        <f t="shared" si="88"/>
        <v/>
      </c>
    </row>
    <row r="2765" spans="1:6" x14ac:dyDescent="0.3">
      <c r="A2765" s="15" t="str">
        <f t="shared" si="89"/>
        <v>.</v>
      </c>
      <c r="E2765" s="13" t="str">
        <f>IFERROR(IF(AND(B2765&lt;&gt;"",C2765&lt;&gt;""),SUMIFS(Movimentos!$F$4:$F$9996,Movimentos!$D$4:$D$9996,B2765,Movimentos!$C$4:$C$9996,"Entrada")-SUMIFS(Movimentos!$F$4:$F$9996,Movimentos!$D$4:$D$9996,B2765,Movimentos!$C$4:$C$9996,"Saída"),""),"")</f>
        <v/>
      </c>
      <c r="F2765" s="10" t="str">
        <f t="shared" si="88"/>
        <v/>
      </c>
    </row>
    <row r="2766" spans="1:6" x14ac:dyDescent="0.3">
      <c r="A2766" s="15" t="str">
        <f t="shared" si="89"/>
        <v>.</v>
      </c>
      <c r="E2766" s="13" t="str">
        <f>IFERROR(IF(AND(B2766&lt;&gt;"",C2766&lt;&gt;""),SUMIFS(Movimentos!$F$4:$F$9996,Movimentos!$D$4:$D$9996,B2766,Movimentos!$C$4:$C$9996,"Entrada")-SUMIFS(Movimentos!$F$4:$F$9996,Movimentos!$D$4:$D$9996,B2766,Movimentos!$C$4:$C$9996,"Saída"),""),"")</f>
        <v/>
      </c>
      <c r="F2766" s="10" t="str">
        <f t="shared" si="88"/>
        <v/>
      </c>
    </row>
    <row r="2767" spans="1:6" x14ac:dyDescent="0.3">
      <c r="A2767" s="15" t="str">
        <f t="shared" si="89"/>
        <v>.</v>
      </c>
      <c r="E2767" s="13" t="str">
        <f>IFERROR(IF(AND(B2767&lt;&gt;"",C2767&lt;&gt;""),SUMIFS(Movimentos!$F$4:$F$9996,Movimentos!$D$4:$D$9996,B2767,Movimentos!$C$4:$C$9996,"Entrada")-SUMIFS(Movimentos!$F$4:$F$9996,Movimentos!$D$4:$D$9996,B2767,Movimentos!$C$4:$C$9996,"Saída"),""),"")</f>
        <v/>
      </c>
      <c r="F2767" s="10" t="str">
        <f t="shared" si="88"/>
        <v/>
      </c>
    </row>
    <row r="2768" spans="1:6" x14ac:dyDescent="0.3">
      <c r="A2768" s="15" t="str">
        <f t="shared" si="89"/>
        <v>.</v>
      </c>
      <c r="E2768" s="13" t="str">
        <f>IFERROR(IF(AND(B2768&lt;&gt;"",C2768&lt;&gt;""),SUMIFS(Movimentos!$F$4:$F$9996,Movimentos!$D$4:$D$9996,B2768,Movimentos!$C$4:$C$9996,"Entrada")-SUMIFS(Movimentos!$F$4:$F$9996,Movimentos!$D$4:$D$9996,B2768,Movimentos!$C$4:$C$9996,"Saída"),""),"")</f>
        <v/>
      </c>
      <c r="F2768" s="10" t="str">
        <f t="shared" si="88"/>
        <v/>
      </c>
    </row>
    <row r="2769" spans="1:6" x14ac:dyDescent="0.3">
      <c r="A2769" s="15" t="str">
        <f t="shared" si="89"/>
        <v>.</v>
      </c>
      <c r="E2769" s="13" t="str">
        <f>IFERROR(IF(AND(B2769&lt;&gt;"",C2769&lt;&gt;""),SUMIFS(Movimentos!$F$4:$F$9996,Movimentos!$D$4:$D$9996,B2769,Movimentos!$C$4:$C$9996,"Entrada")-SUMIFS(Movimentos!$F$4:$F$9996,Movimentos!$D$4:$D$9996,B2769,Movimentos!$C$4:$C$9996,"Saída"),""),"")</f>
        <v/>
      </c>
      <c r="F2769" s="10" t="str">
        <f t="shared" si="88"/>
        <v/>
      </c>
    </row>
    <row r="2770" spans="1:6" x14ac:dyDescent="0.3">
      <c r="A2770" s="15" t="str">
        <f t="shared" si="89"/>
        <v>.</v>
      </c>
      <c r="E2770" s="13" t="str">
        <f>IFERROR(IF(AND(B2770&lt;&gt;"",C2770&lt;&gt;""),SUMIFS(Movimentos!$F$4:$F$9996,Movimentos!$D$4:$D$9996,B2770,Movimentos!$C$4:$C$9996,"Entrada")-SUMIFS(Movimentos!$F$4:$F$9996,Movimentos!$D$4:$D$9996,B2770,Movimentos!$C$4:$C$9996,"Saída"),""),"")</f>
        <v/>
      </c>
      <c r="F2770" s="10" t="str">
        <f t="shared" si="88"/>
        <v/>
      </c>
    </row>
    <row r="2771" spans="1:6" x14ac:dyDescent="0.3">
      <c r="A2771" s="15" t="str">
        <f t="shared" si="89"/>
        <v>.</v>
      </c>
      <c r="E2771" s="13" t="str">
        <f>IFERROR(IF(AND(B2771&lt;&gt;"",C2771&lt;&gt;""),SUMIFS(Movimentos!$F$4:$F$9996,Movimentos!$D$4:$D$9996,B2771,Movimentos!$C$4:$C$9996,"Entrada")-SUMIFS(Movimentos!$F$4:$F$9996,Movimentos!$D$4:$D$9996,B2771,Movimentos!$C$4:$C$9996,"Saída"),""),"")</f>
        <v/>
      </c>
      <c r="F2771" s="10" t="str">
        <f t="shared" si="88"/>
        <v/>
      </c>
    </row>
    <row r="2772" spans="1:6" x14ac:dyDescent="0.3">
      <c r="A2772" s="15" t="str">
        <f t="shared" si="89"/>
        <v>.</v>
      </c>
      <c r="E2772" s="13" t="str">
        <f>IFERROR(IF(AND(B2772&lt;&gt;"",C2772&lt;&gt;""),SUMIFS(Movimentos!$F$4:$F$9996,Movimentos!$D$4:$D$9996,B2772,Movimentos!$C$4:$C$9996,"Entrada")-SUMIFS(Movimentos!$F$4:$F$9996,Movimentos!$D$4:$D$9996,B2772,Movimentos!$C$4:$C$9996,"Saída"),""),"")</f>
        <v/>
      </c>
      <c r="F2772" s="10" t="str">
        <f t="shared" si="88"/>
        <v/>
      </c>
    </row>
    <row r="2773" spans="1:6" x14ac:dyDescent="0.3">
      <c r="A2773" s="15" t="str">
        <f t="shared" si="89"/>
        <v>.</v>
      </c>
      <c r="E2773" s="13" t="str">
        <f>IFERROR(IF(AND(B2773&lt;&gt;"",C2773&lt;&gt;""),SUMIFS(Movimentos!$F$4:$F$9996,Movimentos!$D$4:$D$9996,B2773,Movimentos!$C$4:$C$9996,"Entrada")-SUMIFS(Movimentos!$F$4:$F$9996,Movimentos!$D$4:$D$9996,B2773,Movimentos!$C$4:$C$9996,"Saída"),""),"")</f>
        <v/>
      </c>
      <c r="F2773" s="10" t="str">
        <f t="shared" si="88"/>
        <v/>
      </c>
    </row>
    <row r="2774" spans="1:6" x14ac:dyDescent="0.3">
      <c r="A2774" s="15" t="str">
        <f t="shared" si="89"/>
        <v>.</v>
      </c>
      <c r="E2774" s="13" t="str">
        <f>IFERROR(IF(AND(B2774&lt;&gt;"",C2774&lt;&gt;""),SUMIFS(Movimentos!$F$4:$F$9996,Movimentos!$D$4:$D$9996,B2774,Movimentos!$C$4:$C$9996,"Entrada")-SUMIFS(Movimentos!$F$4:$F$9996,Movimentos!$D$4:$D$9996,B2774,Movimentos!$C$4:$C$9996,"Saída"),""),"")</f>
        <v/>
      </c>
      <c r="F2774" s="10" t="str">
        <f t="shared" si="88"/>
        <v/>
      </c>
    </row>
    <row r="2775" spans="1:6" x14ac:dyDescent="0.3">
      <c r="A2775" s="15" t="str">
        <f t="shared" si="89"/>
        <v>.</v>
      </c>
      <c r="E2775" s="13" t="str">
        <f>IFERROR(IF(AND(B2775&lt;&gt;"",C2775&lt;&gt;""),SUMIFS(Movimentos!$F$4:$F$9996,Movimentos!$D$4:$D$9996,B2775,Movimentos!$C$4:$C$9996,"Entrada")-SUMIFS(Movimentos!$F$4:$F$9996,Movimentos!$D$4:$D$9996,B2775,Movimentos!$C$4:$C$9996,"Saída"),""),"")</f>
        <v/>
      </c>
      <c r="F2775" s="10" t="str">
        <f t="shared" ref="F2775:F2838" si="90">IF(AND(B2775&lt;&gt;"",C2775&lt;&gt;""),IF(E2775=0,"Saldo zerado",IF(E2775&lt;D2775,"Saldo abaixo do mínimo","Saldo disponível")),"")</f>
        <v/>
      </c>
    </row>
    <row r="2776" spans="1:6" x14ac:dyDescent="0.3">
      <c r="A2776" s="15" t="str">
        <f t="shared" si="89"/>
        <v>.</v>
      </c>
      <c r="E2776" s="13" t="str">
        <f>IFERROR(IF(AND(B2776&lt;&gt;"",C2776&lt;&gt;""),SUMIFS(Movimentos!$F$4:$F$9996,Movimentos!$D$4:$D$9996,B2776,Movimentos!$C$4:$C$9996,"Entrada")-SUMIFS(Movimentos!$F$4:$F$9996,Movimentos!$D$4:$D$9996,B2776,Movimentos!$C$4:$C$9996,"Saída"),""),"")</f>
        <v/>
      </c>
      <c r="F2776" s="10" t="str">
        <f t="shared" si="90"/>
        <v/>
      </c>
    </row>
    <row r="2777" spans="1:6" x14ac:dyDescent="0.3">
      <c r="A2777" s="15" t="str">
        <f t="shared" si="89"/>
        <v>.</v>
      </c>
      <c r="E2777" s="13" t="str">
        <f>IFERROR(IF(AND(B2777&lt;&gt;"",C2777&lt;&gt;""),SUMIFS(Movimentos!$F$4:$F$9996,Movimentos!$D$4:$D$9996,B2777,Movimentos!$C$4:$C$9996,"Entrada")-SUMIFS(Movimentos!$F$4:$F$9996,Movimentos!$D$4:$D$9996,B2777,Movimentos!$C$4:$C$9996,"Saída"),""),"")</f>
        <v/>
      </c>
      <c r="F2777" s="10" t="str">
        <f t="shared" si="90"/>
        <v/>
      </c>
    </row>
    <row r="2778" spans="1:6" x14ac:dyDescent="0.3">
      <c r="A2778" s="15" t="str">
        <f t="shared" si="89"/>
        <v>.</v>
      </c>
      <c r="E2778" s="13" t="str">
        <f>IFERROR(IF(AND(B2778&lt;&gt;"",C2778&lt;&gt;""),SUMIFS(Movimentos!$F$4:$F$9996,Movimentos!$D$4:$D$9996,B2778,Movimentos!$C$4:$C$9996,"Entrada")-SUMIFS(Movimentos!$F$4:$F$9996,Movimentos!$D$4:$D$9996,B2778,Movimentos!$C$4:$C$9996,"Saída"),""),"")</f>
        <v/>
      </c>
      <c r="F2778" s="10" t="str">
        <f t="shared" si="90"/>
        <v/>
      </c>
    </row>
    <row r="2779" spans="1:6" x14ac:dyDescent="0.3">
      <c r="A2779" s="15" t="str">
        <f t="shared" si="89"/>
        <v>.</v>
      </c>
      <c r="E2779" s="13" t="str">
        <f>IFERROR(IF(AND(B2779&lt;&gt;"",C2779&lt;&gt;""),SUMIFS(Movimentos!$F$4:$F$9996,Movimentos!$D$4:$D$9996,B2779,Movimentos!$C$4:$C$9996,"Entrada")-SUMIFS(Movimentos!$F$4:$F$9996,Movimentos!$D$4:$D$9996,B2779,Movimentos!$C$4:$C$9996,"Saída"),""),"")</f>
        <v/>
      </c>
      <c r="F2779" s="10" t="str">
        <f t="shared" si="90"/>
        <v/>
      </c>
    </row>
    <row r="2780" spans="1:6" x14ac:dyDescent="0.3">
      <c r="A2780" s="15" t="str">
        <f t="shared" si="89"/>
        <v>.</v>
      </c>
      <c r="E2780" s="13" t="str">
        <f>IFERROR(IF(AND(B2780&lt;&gt;"",C2780&lt;&gt;""),SUMIFS(Movimentos!$F$4:$F$9996,Movimentos!$D$4:$D$9996,B2780,Movimentos!$C$4:$C$9996,"Entrada")-SUMIFS(Movimentos!$F$4:$F$9996,Movimentos!$D$4:$D$9996,B2780,Movimentos!$C$4:$C$9996,"Saída"),""),"")</f>
        <v/>
      </c>
      <c r="F2780" s="10" t="str">
        <f t="shared" si="90"/>
        <v/>
      </c>
    </row>
    <row r="2781" spans="1:6" x14ac:dyDescent="0.3">
      <c r="A2781" s="15" t="str">
        <f t="shared" si="89"/>
        <v>.</v>
      </c>
      <c r="E2781" s="13" t="str">
        <f>IFERROR(IF(AND(B2781&lt;&gt;"",C2781&lt;&gt;""),SUMIFS(Movimentos!$F$4:$F$9996,Movimentos!$D$4:$D$9996,B2781,Movimentos!$C$4:$C$9996,"Entrada")-SUMIFS(Movimentos!$F$4:$F$9996,Movimentos!$D$4:$D$9996,B2781,Movimentos!$C$4:$C$9996,"Saída"),""),"")</f>
        <v/>
      </c>
      <c r="F2781" s="10" t="str">
        <f t="shared" si="90"/>
        <v/>
      </c>
    </row>
    <row r="2782" spans="1:6" x14ac:dyDescent="0.3">
      <c r="A2782" s="15" t="str">
        <f t="shared" si="89"/>
        <v>.</v>
      </c>
      <c r="E2782" s="13" t="str">
        <f>IFERROR(IF(AND(B2782&lt;&gt;"",C2782&lt;&gt;""),SUMIFS(Movimentos!$F$4:$F$9996,Movimentos!$D$4:$D$9996,B2782,Movimentos!$C$4:$C$9996,"Entrada")-SUMIFS(Movimentos!$F$4:$F$9996,Movimentos!$D$4:$D$9996,B2782,Movimentos!$C$4:$C$9996,"Saída"),""),"")</f>
        <v/>
      </c>
      <c r="F2782" s="10" t="str">
        <f t="shared" si="90"/>
        <v/>
      </c>
    </row>
    <row r="2783" spans="1:6" x14ac:dyDescent="0.3">
      <c r="A2783" s="15" t="str">
        <f t="shared" si="89"/>
        <v>.</v>
      </c>
      <c r="E2783" s="13" t="str">
        <f>IFERROR(IF(AND(B2783&lt;&gt;"",C2783&lt;&gt;""),SUMIFS(Movimentos!$F$4:$F$9996,Movimentos!$D$4:$D$9996,B2783,Movimentos!$C$4:$C$9996,"Entrada")-SUMIFS(Movimentos!$F$4:$F$9996,Movimentos!$D$4:$D$9996,B2783,Movimentos!$C$4:$C$9996,"Saída"),""),"")</f>
        <v/>
      </c>
      <c r="F2783" s="10" t="str">
        <f t="shared" si="90"/>
        <v/>
      </c>
    </row>
    <row r="2784" spans="1:6" x14ac:dyDescent="0.3">
      <c r="A2784" s="15" t="str">
        <f t="shared" si="89"/>
        <v>.</v>
      </c>
      <c r="E2784" s="13" t="str">
        <f>IFERROR(IF(AND(B2784&lt;&gt;"",C2784&lt;&gt;""),SUMIFS(Movimentos!$F$4:$F$9996,Movimentos!$D$4:$D$9996,B2784,Movimentos!$C$4:$C$9996,"Entrada")-SUMIFS(Movimentos!$F$4:$F$9996,Movimentos!$D$4:$D$9996,B2784,Movimentos!$C$4:$C$9996,"Saída"),""),"")</f>
        <v/>
      </c>
      <c r="F2784" s="10" t="str">
        <f t="shared" si="90"/>
        <v/>
      </c>
    </row>
    <row r="2785" spans="1:6" x14ac:dyDescent="0.3">
      <c r="A2785" s="15" t="str">
        <f t="shared" si="89"/>
        <v>.</v>
      </c>
      <c r="E2785" s="13" t="str">
        <f>IFERROR(IF(AND(B2785&lt;&gt;"",C2785&lt;&gt;""),SUMIFS(Movimentos!$F$4:$F$9996,Movimentos!$D$4:$D$9996,B2785,Movimentos!$C$4:$C$9996,"Entrada")-SUMIFS(Movimentos!$F$4:$F$9996,Movimentos!$D$4:$D$9996,B2785,Movimentos!$C$4:$C$9996,"Saída"),""),"")</f>
        <v/>
      </c>
      <c r="F2785" s="10" t="str">
        <f t="shared" si="90"/>
        <v/>
      </c>
    </row>
    <row r="2786" spans="1:6" x14ac:dyDescent="0.3">
      <c r="A2786" s="15" t="str">
        <f t="shared" si="89"/>
        <v>.</v>
      </c>
      <c r="E2786" s="13" t="str">
        <f>IFERROR(IF(AND(B2786&lt;&gt;"",C2786&lt;&gt;""),SUMIFS(Movimentos!$F$4:$F$9996,Movimentos!$D$4:$D$9996,B2786,Movimentos!$C$4:$C$9996,"Entrada")-SUMIFS(Movimentos!$F$4:$F$9996,Movimentos!$D$4:$D$9996,B2786,Movimentos!$C$4:$C$9996,"Saída"),""),"")</f>
        <v/>
      </c>
      <c r="F2786" s="10" t="str">
        <f t="shared" si="90"/>
        <v/>
      </c>
    </row>
    <row r="2787" spans="1:6" x14ac:dyDescent="0.3">
      <c r="A2787" s="15" t="str">
        <f t="shared" si="89"/>
        <v>.</v>
      </c>
      <c r="E2787" s="13" t="str">
        <f>IFERROR(IF(AND(B2787&lt;&gt;"",C2787&lt;&gt;""),SUMIFS(Movimentos!$F$4:$F$9996,Movimentos!$D$4:$D$9996,B2787,Movimentos!$C$4:$C$9996,"Entrada")-SUMIFS(Movimentos!$F$4:$F$9996,Movimentos!$D$4:$D$9996,B2787,Movimentos!$C$4:$C$9996,"Saída"),""),"")</f>
        <v/>
      </c>
      <c r="F2787" s="10" t="str">
        <f t="shared" si="90"/>
        <v/>
      </c>
    </row>
    <row r="2788" spans="1:6" x14ac:dyDescent="0.3">
      <c r="A2788" s="15" t="str">
        <f t="shared" si="89"/>
        <v>.</v>
      </c>
      <c r="E2788" s="13" t="str">
        <f>IFERROR(IF(AND(B2788&lt;&gt;"",C2788&lt;&gt;""),SUMIFS(Movimentos!$F$4:$F$9996,Movimentos!$D$4:$D$9996,B2788,Movimentos!$C$4:$C$9996,"Entrada")-SUMIFS(Movimentos!$F$4:$F$9996,Movimentos!$D$4:$D$9996,B2788,Movimentos!$C$4:$C$9996,"Saída"),""),"")</f>
        <v/>
      </c>
      <c r="F2788" s="10" t="str">
        <f t="shared" si="90"/>
        <v/>
      </c>
    </row>
    <row r="2789" spans="1:6" x14ac:dyDescent="0.3">
      <c r="A2789" s="15" t="str">
        <f t="shared" si="89"/>
        <v>.</v>
      </c>
      <c r="E2789" s="13" t="str">
        <f>IFERROR(IF(AND(B2789&lt;&gt;"",C2789&lt;&gt;""),SUMIFS(Movimentos!$F$4:$F$9996,Movimentos!$D$4:$D$9996,B2789,Movimentos!$C$4:$C$9996,"Entrada")-SUMIFS(Movimentos!$F$4:$F$9996,Movimentos!$D$4:$D$9996,B2789,Movimentos!$C$4:$C$9996,"Saída"),""),"")</f>
        <v/>
      </c>
      <c r="F2789" s="10" t="str">
        <f t="shared" si="90"/>
        <v/>
      </c>
    </row>
    <row r="2790" spans="1:6" x14ac:dyDescent="0.3">
      <c r="A2790" s="15" t="str">
        <f t="shared" si="89"/>
        <v>.</v>
      </c>
      <c r="E2790" s="13" t="str">
        <f>IFERROR(IF(AND(B2790&lt;&gt;"",C2790&lt;&gt;""),SUMIFS(Movimentos!$F$4:$F$9996,Movimentos!$D$4:$D$9996,B2790,Movimentos!$C$4:$C$9996,"Entrada")-SUMIFS(Movimentos!$F$4:$F$9996,Movimentos!$D$4:$D$9996,B2790,Movimentos!$C$4:$C$9996,"Saída"),""),"")</f>
        <v/>
      </c>
      <c r="F2790" s="10" t="str">
        <f t="shared" si="90"/>
        <v/>
      </c>
    </row>
    <row r="2791" spans="1:6" x14ac:dyDescent="0.3">
      <c r="A2791" s="15" t="str">
        <f t="shared" si="89"/>
        <v>.</v>
      </c>
      <c r="E2791" s="13" t="str">
        <f>IFERROR(IF(AND(B2791&lt;&gt;"",C2791&lt;&gt;""),SUMIFS(Movimentos!$F$4:$F$9996,Movimentos!$D$4:$D$9996,B2791,Movimentos!$C$4:$C$9996,"Entrada")-SUMIFS(Movimentos!$F$4:$F$9996,Movimentos!$D$4:$D$9996,B2791,Movimentos!$C$4:$C$9996,"Saída"),""),"")</f>
        <v/>
      </c>
      <c r="F2791" s="10" t="str">
        <f t="shared" si="90"/>
        <v/>
      </c>
    </row>
    <row r="2792" spans="1:6" x14ac:dyDescent="0.3">
      <c r="A2792" s="15" t="str">
        <f t="shared" si="89"/>
        <v>.</v>
      </c>
      <c r="E2792" s="13" t="str">
        <f>IFERROR(IF(AND(B2792&lt;&gt;"",C2792&lt;&gt;""),SUMIFS(Movimentos!$F$4:$F$9996,Movimentos!$D$4:$D$9996,B2792,Movimentos!$C$4:$C$9996,"Entrada")-SUMIFS(Movimentos!$F$4:$F$9996,Movimentos!$D$4:$D$9996,B2792,Movimentos!$C$4:$C$9996,"Saída"),""),"")</f>
        <v/>
      </c>
      <c r="F2792" s="10" t="str">
        <f t="shared" si="90"/>
        <v/>
      </c>
    </row>
    <row r="2793" spans="1:6" x14ac:dyDescent="0.3">
      <c r="A2793" s="15" t="str">
        <f t="shared" si="89"/>
        <v>.</v>
      </c>
      <c r="E2793" s="13" t="str">
        <f>IFERROR(IF(AND(B2793&lt;&gt;"",C2793&lt;&gt;""),SUMIFS(Movimentos!$F$4:$F$9996,Movimentos!$D$4:$D$9996,B2793,Movimentos!$C$4:$C$9996,"Entrada")-SUMIFS(Movimentos!$F$4:$F$9996,Movimentos!$D$4:$D$9996,B2793,Movimentos!$C$4:$C$9996,"Saída"),""),"")</f>
        <v/>
      </c>
      <c r="F2793" s="10" t="str">
        <f t="shared" si="90"/>
        <v/>
      </c>
    </row>
    <row r="2794" spans="1:6" x14ac:dyDescent="0.3">
      <c r="A2794" s="15" t="str">
        <f t="shared" si="89"/>
        <v>.</v>
      </c>
      <c r="E2794" s="13" t="str">
        <f>IFERROR(IF(AND(B2794&lt;&gt;"",C2794&lt;&gt;""),SUMIFS(Movimentos!$F$4:$F$9996,Movimentos!$D$4:$D$9996,B2794,Movimentos!$C$4:$C$9996,"Entrada")-SUMIFS(Movimentos!$F$4:$F$9996,Movimentos!$D$4:$D$9996,B2794,Movimentos!$C$4:$C$9996,"Saída"),""),"")</f>
        <v/>
      </c>
      <c r="F2794" s="10" t="str">
        <f t="shared" si="90"/>
        <v/>
      </c>
    </row>
    <row r="2795" spans="1:6" x14ac:dyDescent="0.3">
      <c r="A2795" s="15" t="str">
        <f t="shared" si="89"/>
        <v>.</v>
      </c>
      <c r="E2795" s="13" t="str">
        <f>IFERROR(IF(AND(B2795&lt;&gt;"",C2795&lt;&gt;""),SUMIFS(Movimentos!$F$4:$F$9996,Movimentos!$D$4:$D$9996,B2795,Movimentos!$C$4:$C$9996,"Entrada")-SUMIFS(Movimentos!$F$4:$F$9996,Movimentos!$D$4:$D$9996,B2795,Movimentos!$C$4:$C$9996,"Saída"),""),"")</f>
        <v/>
      </c>
      <c r="F2795" s="10" t="str">
        <f t="shared" si="90"/>
        <v/>
      </c>
    </row>
    <row r="2796" spans="1:6" x14ac:dyDescent="0.3">
      <c r="A2796" s="15" t="str">
        <f t="shared" si="89"/>
        <v>.</v>
      </c>
      <c r="E2796" s="13" t="str">
        <f>IFERROR(IF(AND(B2796&lt;&gt;"",C2796&lt;&gt;""),SUMIFS(Movimentos!$F$4:$F$9996,Movimentos!$D$4:$D$9996,B2796,Movimentos!$C$4:$C$9996,"Entrada")-SUMIFS(Movimentos!$F$4:$F$9996,Movimentos!$D$4:$D$9996,B2796,Movimentos!$C$4:$C$9996,"Saída"),""),"")</f>
        <v/>
      </c>
      <c r="F2796" s="10" t="str">
        <f t="shared" si="90"/>
        <v/>
      </c>
    </row>
    <row r="2797" spans="1:6" x14ac:dyDescent="0.3">
      <c r="A2797" s="15" t="str">
        <f t="shared" si="89"/>
        <v>.</v>
      </c>
      <c r="E2797" s="13" t="str">
        <f>IFERROR(IF(AND(B2797&lt;&gt;"",C2797&lt;&gt;""),SUMIFS(Movimentos!$F$4:$F$9996,Movimentos!$D$4:$D$9996,B2797,Movimentos!$C$4:$C$9996,"Entrada")-SUMIFS(Movimentos!$F$4:$F$9996,Movimentos!$D$4:$D$9996,B2797,Movimentos!$C$4:$C$9996,"Saída"),""),"")</f>
        <v/>
      </c>
      <c r="F2797" s="10" t="str">
        <f t="shared" si="90"/>
        <v/>
      </c>
    </row>
    <row r="2798" spans="1:6" x14ac:dyDescent="0.3">
      <c r="A2798" s="15" t="str">
        <f t="shared" si="89"/>
        <v>.</v>
      </c>
      <c r="E2798" s="13" t="str">
        <f>IFERROR(IF(AND(B2798&lt;&gt;"",C2798&lt;&gt;""),SUMIFS(Movimentos!$F$4:$F$9996,Movimentos!$D$4:$D$9996,B2798,Movimentos!$C$4:$C$9996,"Entrada")-SUMIFS(Movimentos!$F$4:$F$9996,Movimentos!$D$4:$D$9996,B2798,Movimentos!$C$4:$C$9996,"Saída"),""),"")</f>
        <v/>
      </c>
      <c r="F2798" s="10" t="str">
        <f t="shared" si="90"/>
        <v/>
      </c>
    </row>
    <row r="2799" spans="1:6" x14ac:dyDescent="0.3">
      <c r="A2799" s="15" t="str">
        <f t="shared" si="89"/>
        <v>.</v>
      </c>
      <c r="E2799" s="13" t="str">
        <f>IFERROR(IF(AND(B2799&lt;&gt;"",C2799&lt;&gt;""),SUMIFS(Movimentos!$F$4:$F$9996,Movimentos!$D$4:$D$9996,B2799,Movimentos!$C$4:$C$9996,"Entrada")-SUMIFS(Movimentos!$F$4:$F$9996,Movimentos!$D$4:$D$9996,B2799,Movimentos!$C$4:$C$9996,"Saída"),""),"")</f>
        <v/>
      </c>
      <c r="F2799" s="10" t="str">
        <f t="shared" si="90"/>
        <v/>
      </c>
    </row>
    <row r="2800" spans="1:6" x14ac:dyDescent="0.3">
      <c r="A2800" s="15" t="str">
        <f t="shared" si="89"/>
        <v>.</v>
      </c>
      <c r="E2800" s="13" t="str">
        <f>IFERROR(IF(AND(B2800&lt;&gt;"",C2800&lt;&gt;""),SUMIFS(Movimentos!$F$4:$F$9996,Movimentos!$D$4:$D$9996,B2800,Movimentos!$C$4:$C$9996,"Entrada")-SUMIFS(Movimentos!$F$4:$F$9996,Movimentos!$D$4:$D$9996,B2800,Movimentos!$C$4:$C$9996,"Saída"),""),"")</f>
        <v/>
      </c>
      <c r="F2800" s="10" t="str">
        <f t="shared" si="90"/>
        <v/>
      </c>
    </row>
    <row r="2801" spans="1:6" x14ac:dyDescent="0.3">
      <c r="A2801" s="15" t="str">
        <f t="shared" si="89"/>
        <v>.</v>
      </c>
      <c r="E2801" s="13" t="str">
        <f>IFERROR(IF(AND(B2801&lt;&gt;"",C2801&lt;&gt;""),SUMIFS(Movimentos!$F$4:$F$9996,Movimentos!$D$4:$D$9996,B2801,Movimentos!$C$4:$C$9996,"Entrada")-SUMIFS(Movimentos!$F$4:$F$9996,Movimentos!$D$4:$D$9996,B2801,Movimentos!$C$4:$C$9996,"Saída"),""),"")</f>
        <v/>
      </c>
      <c r="F2801" s="10" t="str">
        <f t="shared" si="90"/>
        <v/>
      </c>
    </row>
    <row r="2802" spans="1:6" x14ac:dyDescent="0.3">
      <c r="A2802" s="15" t="str">
        <f t="shared" si="89"/>
        <v>.</v>
      </c>
      <c r="E2802" s="13" t="str">
        <f>IFERROR(IF(AND(B2802&lt;&gt;"",C2802&lt;&gt;""),SUMIFS(Movimentos!$F$4:$F$9996,Movimentos!$D$4:$D$9996,B2802,Movimentos!$C$4:$C$9996,"Entrada")-SUMIFS(Movimentos!$F$4:$F$9996,Movimentos!$D$4:$D$9996,B2802,Movimentos!$C$4:$C$9996,"Saída"),""),"")</f>
        <v/>
      </c>
      <c r="F2802" s="10" t="str">
        <f t="shared" si="90"/>
        <v/>
      </c>
    </row>
    <row r="2803" spans="1:6" x14ac:dyDescent="0.3">
      <c r="A2803" s="15" t="str">
        <f t="shared" si="89"/>
        <v>.</v>
      </c>
      <c r="E2803" s="13" t="str">
        <f>IFERROR(IF(AND(B2803&lt;&gt;"",C2803&lt;&gt;""),SUMIFS(Movimentos!$F$4:$F$9996,Movimentos!$D$4:$D$9996,B2803,Movimentos!$C$4:$C$9996,"Entrada")-SUMIFS(Movimentos!$F$4:$F$9996,Movimentos!$D$4:$D$9996,B2803,Movimentos!$C$4:$C$9996,"Saída"),""),"")</f>
        <v/>
      </c>
      <c r="F2803" s="10" t="str">
        <f t="shared" si="90"/>
        <v/>
      </c>
    </row>
    <row r="2804" spans="1:6" x14ac:dyDescent="0.3">
      <c r="A2804" s="15" t="str">
        <f t="shared" si="89"/>
        <v>.</v>
      </c>
      <c r="E2804" s="13" t="str">
        <f>IFERROR(IF(AND(B2804&lt;&gt;"",C2804&lt;&gt;""),SUMIFS(Movimentos!$F$4:$F$9996,Movimentos!$D$4:$D$9996,B2804,Movimentos!$C$4:$C$9996,"Entrada")-SUMIFS(Movimentos!$F$4:$F$9996,Movimentos!$D$4:$D$9996,B2804,Movimentos!$C$4:$C$9996,"Saída"),""),"")</f>
        <v/>
      </c>
      <c r="F2804" s="10" t="str">
        <f t="shared" si="90"/>
        <v/>
      </c>
    </row>
    <row r="2805" spans="1:6" x14ac:dyDescent="0.3">
      <c r="A2805" s="15" t="str">
        <f t="shared" si="89"/>
        <v>.</v>
      </c>
      <c r="E2805" s="13" t="str">
        <f>IFERROR(IF(AND(B2805&lt;&gt;"",C2805&lt;&gt;""),SUMIFS(Movimentos!$F$4:$F$9996,Movimentos!$D$4:$D$9996,B2805,Movimentos!$C$4:$C$9996,"Entrada")-SUMIFS(Movimentos!$F$4:$F$9996,Movimentos!$D$4:$D$9996,B2805,Movimentos!$C$4:$C$9996,"Saída"),""),"")</f>
        <v/>
      </c>
      <c r="F2805" s="10" t="str">
        <f t="shared" si="90"/>
        <v/>
      </c>
    </row>
    <row r="2806" spans="1:6" x14ac:dyDescent="0.3">
      <c r="A2806" s="15" t="str">
        <f t="shared" si="89"/>
        <v>.</v>
      </c>
      <c r="E2806" s="13" t="str">
        <f>IFERROR(IF(AND(B2806&lt;&gt;"",C2806&lt;&gt;""),SUMIFS(Movimentos!$F$4:$F$9996,Movimentos!$D$4:$D$9996,B2806,Movimentos!$C$4:$C$9996,"Entrada")-SUMIFS(Movimentos!$F$4:$F$9996,Movimentos!$D$4:$D$9996,B2806,Movimentos!$C$4:$C$9996,"Saída"),""),"")</f>
        <v/>
      </c>
      <c r="F2806" s="10" t="str">
        <f t="shared" si="90"/>
        <v/>
      </c>
    </row>
    <row r="2807" spans="1:6" x14ac:dyDescent="0.3">
      <c r="A2807" s="15" t="str">
        <f t="shared" si="89"/>
        <v>.</v>
      </c>
      <c r="E2807" s="13" t="str">
        <f>IFERROR(IF(AND(B2807&lt;&gt;"",C2807&lt;&gt;""),SUMIFS(Movimentos!$F$4:$F$9996,Movimentos!$D$4:$D$9996,B2807,Movimentos!$C$4:$C$9996,"Entrada")-SUMIFS(Movimentos!$F$4:$F$9996,Movimentos!$D$4:$D$9996,B2807,Movimentos!$C$4:$C$9996,"Saída"),""),"")</f>
        <v/>
      </c>
      <c r="F2807" s="10" t="str">
        <f t="shared" si="90"/>
        <v/>
      </c>
    </row>
    <row r="2808" spans="1:6" x14ac:dyDescent="0.3">
      <c r="A2808" s="15" t="str">
        <f t="shared" si="89"/>
        <v>.</v>
      </c>
      <c r="E2808" s="13" t="str">
        <f>IFERROR(IF(AND(B2808&lt;&gt;"",C2808&lt;&gt;""),SUMIFS(Movimentos!$F$4:$F$9996,Movimentos!$D$4:$D$9996,B2808,Movimentos!$C$4:$C$9996,"Entrada")-SUMIFS(Movimentos!$F$4:$F$9996,Movimentos!$D$4:$D$9996,B2808,Movimentos!$C$4:$C$9996,"Saída"),""),"")</f>
        <v/>
      </c>
      <c r="F2808" s="10" t="str">
        <f t="shared" si="90"/>
        <v/>
      </c>
    </row>
    <row r="2809" spans="1:6" x14ac:dyDescent="0.3">
      <c r="A2809" s="15" t="str">
        <f t="shared" si="89"/>
        <v>.</v>
      </c>
      <c r="E2809" s="13" t="str">
        <f>IFERROR(IF(AND(B2809&lt;&gt;"",C2809&lt;&gt;""),SUMIFS(Movimentos!$F$4:$F$9996,Movimentos!$D$4:$D$9996,B2809,Movimentos!$C$4:$C$9996,"Entrada")-SUMIFS(Movimentos!$F$4:$F$9996,Movimentos!$D$4:$D$9996,B2809,Movimentos!$C$4:$C$9996,"Saída"),""),"")</f>
        <v/>
      </c>
      <c r="F2809" s="10" t="str">
        <f t="shared" si="90"/>
        <v/>
      </c>
    </row>
    <row r="2810" spans="1:6" x14ac:dyDescent="0.3">
      <c r="A2810" s="15" t="str">
        <f t="shared" si="89"/>
        <v>.</v>
      </c>
      <c r="E2810" s="13" t="str">
        <f>IFERROR(IF(AND(B2810&lt;&gt;"",C2810&lt;&gt;""),SUMIFS(Movimentos!$F$4:$F$9996,Movimentos!$D$4:$D$9996,B2810,Movimentos!$C$4:$C$9996,"Entrada")-SUMIFS(Movimentos!$F$4:$F$9996,Movimentos!$D$4:$D$9996,B2810,Movimentos!$C$4:$C$9996,"Saída"),""),"")</f>
        <v/>
      </c>
      <c r="F2810" s="10" t="str">
        <f t="shared" si="90"/>
        <v/>
      </c>
    </row>
    <row r="2811" spans="1:6" x14ac:dyDescent="0.3">
      <c r="A2811" s="15" t="str">
        <f t="shared" si="89"/>
        <v>.</v>
      </c>
      <c r="E2811" s="13" t="str">
        <f>IFERROR(IF(AND(B2811&lt;&gt;"",C2811&lt;&gt;""),SUMIFS(Movimentos!$F$4:$F$9996,Movimentos!$D$4:$D$9996,B2811,Movimentos!$C$4:$C$9996,"Entrada")-SUMIFS(Movimentos!$F$4:$F$9996,Movimentos!$D$4:$D$9996,B2811,Movimentos!$C$4:$C$9996,"Saída"),""),"")</f>
        <v/>
      </c>
      <c r="F2811" s="10" t="str">
        <f t="shared" si="90"/>
        <v/>
      </c>
    </row>
    <row r="2812" spans="1:6" x14ac:dyDescent="0.3">
      <c r="A2812" s="15" t="str">
        <f t="shared" si="89"/>
        <v>.</v>
      </c>
      <c r="E2812" s="13" t="str">
        <f>IFERROR(IF(AND(B2812&lt;&gt;"",C2812&lt;&gt;""),SUMIFS(Movimentos!$F$4:$F$9996,Movimentos!$D$4:$D$9996,B2812,Movimentos!$C$4:$C$9996,"Entrada")-SUMIFS(Movimentos!$F$4:$F$9996,Movimentos!$D$4:$D$9996,B2812,Movimentos!$C$4:$C$9996,"Saída"),""),"")</f>
        <v/>
      </c>
      <c r="F2812" s="10" t="str">
        <f t="shared" si="90"/>
        <v/>
      </c>
    </row>
    <row r="2813" spans="1:6" x14ac:dyDescent="0.3">
      <c r="A2813" s="15" t="str">
        <f t="shared" si="89"/>
        <v>.</v>
      </c>
      <c r="E2813" s="13" t="str">
        <f>IFERROR(IF(AND(B2813&lt;&gt;"",C2813&lt;&gt;""),SUMIFS(Movimentos!$F$4:$F$9996,Movimentos!$D$4:$D$9996,B2813,Movimentos!$C$4:$C$9996,"Entrada")-SUMIFS(Movimentos!$F$4:$F$9996,Movimentos!$D$4:$D$9996,B2813,Movimentos!$C$4:$C$9996,"Saída"),""),"")</f>
        <v/>
      </c>
      <c r="F2813" s="10" t="str">
        <f t="shared" si="90"/>
        <v/>
      </c>
    </row>
    <row r="2814" spans="1:6" x14ac:dyDescent="0.3">
      <c r="A2814" s="15" t="str">
        <f t="shared" si="89"/>
        <v>.</v>
      </c>
      <c r="E2814" s="13" t="str">
        <f>IFERROR(IF(AND(B2814&lt;&gt;"",C2814&lt;&gt;""),SUMIFS(Movimentos!$F$4:$F$9996,Movimentos!$D$4:$D$9996,B2814,Movimentos!$C$4:$C$9996,"Entrada")-SUMIFS(Movimentos!$F$4:$F$9996,Movimentos!$D$4:$D$9996,B2814,Movimentos!$C$4:$C$9996,"Saída"),""),"")</f>
        <v/>
      </c>
      <c r="F2814" s="10" t="str">
        <f t="shared" si="90"/>
        <v/>
      </c>
    </row>
    <row r="2815" spans="1:6" x14ac:dyDescent="0.3">
      <c r="A2815" s="15" t="str">
        <f t="shared" si="89"/>
        <v>.</v>
      </c>
      <c r="E2815" s="13" t="str">
        <f>IFERROR(IF(AND(B2815&lt;&gt;"",C2815&lt;&gt;""),SUMIFS(Movimentos!$F$4:$F$9996,Movimentos!$D$4:$D$9996,B2815,Movimentos!$C$4:$C$9996,"Entrada")-SUMIFS(Movimentos!$F$4:$F$9996,Movimentos!$D$4:$D$9996,B2815,Movimentos!$C$4:$C$9996,"Saída"),""),"")</f>
        <v/>
      </c>
      <c r="F2815" s="10" t="str">
        <f t="shared" si="90"/>
        <v/>
      </c>
    </row>
    <row r="2816" spans="1:6" x14ac:dyDescent="0.3">
      <c r="A2816" s="15" t="str">
        <f t="shared" ref="A2816:A2879" si="91">IF(F2816="Saldo zerado",0,IF(F2816="Saldo abaixo do mínimo",1,IF(F2816="Saldo disponível",2,".")))</f>
        <v>.</v>
      </c>
      <c r="E2816" s="13" t="str">
        <f>IFERROR(IF(AND(B2816&lt;&gt;"",C2816&lt;&gt;""),SUMIFS(Movimentos!$F$4:$F$9996,Movimentos!$D$4:$D$9996,B2816,Movimentos!$C$4:$C$9996,"Entrada")-SUMIFS(Movimentos!$F$4:$F$9996,Movimentos!$D$4:$D$9996,B2816,Movimentos!$C$4:$C$9996,"Saída"),""),"")</f>
        <v/>
      </c>
      <c r="F2816" s="10" t="str">
        <f t="shared" si="90"/>
        <v/>
      </c>
    </row>
    <row r="2817" spans="1:6" x14ac:dyDescent="0.3">
      <c r="A2817" s="15" t="str">
        <f t="shared" si="91"/>
        <v>.</v>
      </c>
      <c r="E2817" s="13" t="str">
        <f>IFERROR(IF(AND(B2817&lt;&gt;"",C2817&lt;&gt;""),SUMIFS(Movimentos!$F$4:$F$9996,Movimentos!$D$4:$D$9996,B2817,Movimentos!$C$4:$C$9996,"Entrada")-SUMIFS(Movimentos!$F$4:$F$9996,Movimentos!$D$4:$D$9996,B2817,Movimentos!$C$4:$C$9996,"Saída"),""),"")</f>
        <v/>
      </c>
      <c r="F2817" s="10" t="str">
        <f t="shared" si="90"/>
        <v/>
      </c>
    </row>
    <row r="2818" spans="1:6" x14ac:dyDescent="0.3">
      <c r="A2818" s="15" t="str">
        <f t="shared" si="91"/>
        <v>.</v>
      </c>
      <c r="E2818" s="13" t="str">
        <f>IFERROR(IF(AND(B2818&lt;&gt;"",C2818&lt;&gt;""),SUMIFS(Movimentos!$F$4:$F$9996,Movimentos!$D$4:$D$9996,B2818,Movimentos!$C$4:$C$9996,"Entrada")-SUMIFS(Movimentos!$F$4:$F$9996,Movimentos!$D$4:$D$9996,B2818,Movimentos!$C$4:$C$9996,"Saída"),""),"")</f>
        <v/>
      </c>
      <c r="F2818" s="10" t="str">
        <f t="shared" si="90"/>
        <v/>
      </c>
    </row>
    <row r="2819" spans="1:6" x14ac:dyDescent="0.3">
      <c r="A2819" s="15" t="str">
        <f t="shared" si="91"/>
        <v>.</v>
      </c>
      <c r="E2819" s="13" t="str">
        <f>IFERROR(IF(AND(B2819&lt;&gt;"",C2819&lt;&gt;""),SUMIFS(Movimentos!$F$4:$F$9996,Movimentos!$D$4:$D$9996,B2819,Movimentos!$C$4:$C$9996,"Entrada")-SUMIFS(Movimentos!$F$4:$F$9996,Movimentos!$D$4:$D$9996,B2819,Movimentos!$C$4:$C$9996,"Saída"),""),"")</f>
        <v/>
      </c>
      <c r="F2819" s="10" t="str">
        <f t="shared" si="90"/>
        <v/>
      </c>
    </row>
    <row r="2820" spans="1:6" x14ac:dyDescent="0.3">
      <c r="A2820" s="15" t="str">
        <f t="shared" si="91"/>
        <v>.</v>
      </c>
      <c r="E2820" s="13" t="str">
        <f>IFERROR(IF(AND(B2820&lt;&gt;"",C2820&lt;&gt;""),SUMIFS(Movimentos!$F$4:$F$9996,Movimentos!$D$4:$D$9996,B2820,Movimentos!$C$4:$C$9996,"Entrada")-SUMIFS(Movimentos!$F$4:$F$9996,Movimentos!$D$4:$D$9996,B2820,Movimentos!$C$4:$C$9996,"Saída"),""),"")</f>
        <v/>
      </c>
      <c r="F2820" s="10" t="str">
        <f t="shared" si="90"/>
        <v/>
      </c>
    </row>
    <row r="2821" spans="1:6" x14ac:dyDescent="0.3">
      <c r="A2821" s="15" t="str">
        <f t="shared" si="91"/>
        <v>.</v>
      </c>
      <c r="E2821" s="13" t="str">
        <f>IFERROR(IF(AND(B2821&lt;&gt;"",C2821&lt;&gt;""),SUMIFS(Movimentos!$F$4:$F$9996,Movimentos!$D$4:$D$9996,B2821,Movimentos!$C$4:$C$9996,"Entrada")-SUMIFS(Movimentos!$F$4:$F$9996,Movimentos!$D$4:$D$9996,B2821,Movimentos!$C$4:$C$9996,"Saída"),""),"")</f>
        <v/>
      </c>
      <c r="F2821" s="10" t="str">
        <f t="shared" si="90"/>
        <v/>
      </c>
    </row>
    <row r="2822" spans="1:6" x14ac:dyDescent="0.3">
      <c r="A2822" s="15" t="str">
        <f t="shared" si="91"/>
        <v>.</v>
      </c>
      <c r="E2822" s="13" t="str">
        <f>IFERROR(IF(AND(B2822&lt;&gt;"",C2822&lt;&gt;""),SUMIFS(Movimentos!$F$4:$F$9996,Movimentos!$D$4:$D$9996,B2822,Movimentos!$C$4:$C$9996,"Entrada")-SUMIFS(Movimentos!$F$4:$F$9996,Movimentos!$D$4:$D$9996,B2822,Movimentos!$C$4:$C$9996,"Saída"),""),"")</f>
        <v/>
      </c>
      <c r="F2822" s="10" t="str">
        <f t="shared" si="90"/>
        <v/>
      </c>
    </row>
    <row r="2823" spans="1:6" x14ac:dyDescent="0.3">
      <c r="A2823" s="15" t="str">
        <f t="shared" si="91"/>
        <v>.</v>
      </c>
      <c r="E2823" s="13" t="str">
        <f>IFERROR(IF(AND(B2823&lt;&gt;"",C2823&lt;&gt;""),SUMIFS(Movimentos!$F$4:$F$9996,Movimentos!$D$4:$D$9996,B2823,Movimentos!$C$4:$C$9996,"Entrada")-SUMIFS(Movimentos!$F$4:$F$9996,Movimentos!$D$4:$D$9996,B2823,Movimentos!$C$4:$C$9996,"Saída"),""),"")</f>
        <v/>
      </c>
      <c r="F2823" s="10" t="str">
        <f t="shared" si="90"/>
        <v/>
      </c>
    </row>
    <row r="2824" spans="1:6" x14ac:dyDescent="0.3">
      <c r="A2824" s="15" t="str">
        <f t="shared" si="91"/>
        <v>.</v>
      </c>
      <c r="E2824" s="13" t="str">
        <f>IFERROR(IF(AND(B2824&lt;&gt;"",C2824&lt;&gt;""),SUMIFS(Movimentos!$F$4:$F$9996,Movimentos!$D$4:$D$9996,B2824,Movimentos!$C$4:$C$9996,"Entrada")-SUMIFS(Movimentos!$F$4:$F$9996,Movimentos!$D$4:$D$9996,B2824,Movimentos!$C$4:$C$9996,"Saída"),""),"")</f>
        <v/>
      </c>
      <c r="F2824" s="10" t="str">
        <f t="shared" si="90"/>
        <v/>
      </c>
    </row>
    <row r="2825" spans="1:6" x14ac:dyDescent="0.3">
      <c r="A2825" s="15" t="str">
        <f t="shared" si="91"/>
        <v>.</v>
      </c>
      <c r="E2825" s="13" t="str">
        <f>IFERROR(IF(AND(B2825&lt;&gt;"",C2825&lt;&gt;""),SUMIFS(Movimentos!$F$4:$F$9996,Movimentos!$D$4:$D$9996,B2825,Movimentos!$C$4:$C$9996,"Entrada")-SUMIFS(Movimentos!$F$4:$F$9996,Movimentos!$D$4:$D$9996,B2825,Movimentos!$C$4:$C$9996,"Saída"),""),"")</f>
        <v/>
      </c>
      <c r="F2825" s="10" t="str">
        <f t="shared" si="90"/>
        <v/>
      </c>
    </row>
    <row r="2826" spans="1:6" x14ac:dyDescent="0.3">
      <c r="A2826" s="15" t="str">
        <f t="shared" si="91"/>
        <v>.</v>
      </c>
      <c r="E2826" s="13" t="str">
        <f>IFERROR(IF(AND(B2826&lt;&gt;"",C2826&lt;&gt;""),SUMIFS(Movimentos!$F$4:$F$9996,Movimentos!$D$4:$D$9996,B2826,Movimentos!$C$4:$C$9996,"Entrada")-SUMIFS(Movimentos!$F$4:$F$9996,Movimentos!$D$4:$D$9996,B2826,Movimentos!$C$4:$C$9996,"Saída"),""),"")</f>
        <v/>
      </c>
      <c r="F2826" s="10" t="str">
        <f t="shared" si="90"/>
        <v/>
      </c>
    </row>
    <row r="2827" spans="1:6" x14ac:dyDescent="0.3">
      <c r="A2827" s="15" t="str">
        <f t="shared" si="91"/>
        <v>.</v>
      </c>
      <c r="E2827" s="13" t="str">
        <f>IFERROR(IF(AND(B2827&lt;&gt;"",C2827&lt;&gt;""),SUMIFS(Movimentos!$F$4:$F$9996,Movimentos!$D$4:$D$9996,B2827,Movimentos!$C$4:$C$9996,"Entrada")-SUMIFS(Movimentos!$F$4:$F$9996,Movimentos!$D$4:$D$9996,B2827,Movimentos!$C$4:$C$9996,"Saída"),""),"")</f>
        <v/>
      </c>
      <c r="F2827" s="10" t="str">
        <f t="shared" si="90"/>
        <v/>
      </c>
    </row>
    <row r="2828" spans="1:6" x14ac:dyDescent="0.3">
      <c r="A2828" s="15" t="str">
        <f t="shared" si="91"/>
        <v>.</v>
      </c>
      <c r="E2828" s="13" t="str">
        <f>IFERROR(IF(AND(B2828&lt;&gt;"",C2828&lt;&gt;""),SUMIFS(Movimentos!$F$4:$F$9996,Movimentos!$D$4:$D$9996,B2828,Movimentos!$C$4:$C$9996,"Entrada")-SUMIFS(Movimentos!$F$4:$F$9996,Movimentos!$D$4:$D$9996,B2828,Movimentos!$C$4:$C$9996,"Saída"),""),"")</f>
        <v/>
      </c>
      <c r="F2828" s="10" t="str">
        <f t="shared" si="90"/>
        <v/>
      </c>
    </row>
    <row r="2829" spans="1:6" x14ac:dyDescent="0.3">
      <c r="A2829" s="15" t="str">
        <f t="shared" si="91"/>
        <v>.</v>
      </c>
      <c r="E2829" s="13" t="str">
        <f>IFERROR(IF(AND(B2829&lt;&gt;"",C2829&lt;&gt;""),SUMIFS(Movimentos!$F$4:$F$9996,Movimentos!$D$4:$D$9996,B2829,Movimentos!$C$4:$C$9996,"Entrada")-SUMIFS(Movimentos!$F$4:$F$9996,Movimentos!$D$4:$D$9996,B2829,Movimentos!$C$4:$C$9996,"Saída"),""),"")</f>
        <v/>
      </c>
      <c r="F2829" s="10" t="str">
        <f t="shared" si="90"/>
        <v/>
      </c>
    </row>
    <row r="2830" spans="1:6" x14ac:dyDescent="0.3">
      <c r="A2830" s="15" t="str">
        <f t="shared" si="91"/>
        <v>.</v>
      </c>
      <c r="E2830" s="13" t="str">
        <f>IFERROR(IF(AND(B2830&lt;&gt;"",C2830&lt;&gt;""),SUMIFS(Movimentos!$F$4:$F$9996,Movimentos!$D$4:$D$9996,B2830,Movimentos!$C$4:$C$9996,"Entrada")-SUMIFS(Movimentos!$F$4:$F$9996,Movimentos!$D$4:$D$9996,B2830,Movimentos!$C$4:$C$9996,"Saída"),""),"")</f>
        <v/>
      </c>
      <c r="F2830" s="10" t="str">
        <f t="shared" si="90"/>
        <v/>
      </c>
    </row>
    <row r="2831" spans="1:6" x14ac:dyDescent="0.3">
      <c r="A2831" s="15" t="str">
        <f t="shared" si="91"/>
        <v>.</v>
      </c>
      <c r="E2831" s="13" t="str">
        <f>IFERROR(IF(AND(B2831&lt;&gt;"",C2831&lt;&gt;""),SUMIFS(Movimentos!$F$4:$F$9996,Movimentos!$D$4:$D$9996,B2831,Movimentos!$C$4:$C$9996,"Entrada")-SUMIFS(Movimentos!$F$4:$F$9996,Movimentos!$D$4:$D$9996,B2831,Movimentos!$C$4:$C$9996,"Saída"),""),"")</f>
        <v/>
      </c>
      <c r="F2831" s="10" t="str">
        <f t="shared" si="90"/>
        <v/>
      </c>
    </row>
    <row r="2832" spans="1:6" x14ac:dyDescent="0.3">
      <c r="A2832" s="15" t="str">
        <f t="shared" si="91"/>
        <v>.</v>
      </c>
      <c r="E2832" s="13" t="str">
        <f>IFERROR(IF(AND(B2832&lt;&gt;"",C2832&lt;&gt;""),SUMIFS(Movimentos!$F$4:$F$9996,Movimentos!$D$4:$D$9996,B2832,Movimentos!$C$4:$C$9996,"Entrada")-SUMIFS(Movimentos!$F$4:$F$9996,Movimentos!$D$4:$D$9996,B2832,Movimentos!$C$4:$C$9996,"Saída"),""),"")</f>
        <v/>
      </c>
      <c r="F2832" s="10" t="str">
        <f t="shared" si="90"/>
        <v/>
      </c>
    </row>
    <row r="2833" spans="1:6" x14ac:dyDescent="0.3">
      <c r="A2833" s="15" t="str">
        <f t="shared" si="91"/>
        <v>.</v>
      </c>
      <c r="E2833" s="13" t="str">
        <f>IFERROR(IF(AND(B2833&lt;&gt;"",C2833&lt;&gt;""),SUMIFS(Movimentos!$F$4:$F$9996,Movimentos!$D$4:$D$9996,B2833,Movimentos!$C$4:$C$9996,"Entrada")-SUMIFS(Movimentos!$F$4:$F$9996,Movimentos!$D$4:$D$9996,B2833,Movimentos!$C$4:$C$9996,"Saída"),""),"")</f>
        <v/>
      </c>
      <c r="F2833" s="10" t="str">
        <f t="shared" si="90"/>
        <v/>
      </c>
    </row>
    <row r="2834" spans="1:6" x14ac:dyDescent="0.3">
      <c r="A2834" s="15" t="str">
        <f t="shared" si="91"/>
        <v>.</v>
      </c>
      <c r="E2834" s="13" t="str">
        <f>IFERROR(IF(AND(B2834&lt;&gt;"",C2834&lt;&gt;""),SUMIFS(Movimentos!$F$4:$F$9996,Movimentos!$D$4:$D$9996,B2834,Movimentos!$C$4:$C$9996,"Entrada")-SUMIFS(Movimentos!$F$4:$F$9996,Movimentos!$D$4:$D$9996,B2834,Movimentos!$C$4:$C$9996,"Saída"),""),"")</f>
        <v/>
      </c>
      <c r="F2834" s="10" t="str">
        <f t="shared" si="90"/>
        <v/>
      </c>
    </row>
    <row r="2835" spans="1:6" x14ac:dyDescent="0.3">
      <c r="A2835" s="15" t="str">
        <f t="shared" si="91"/>
        <v>.</v>
      </c>
      <c r="E2835" s="13" t="str">
        <f>IFERROR(IF(AND(B2835&lt;&gt;"",C2835&lt;&gt;""),SUMIFS(Movimentos!$F$4:$F$9996,Movimentos!$D$4:$D$9996,B2835,Movimentos!$C$4:$C$9996,"Entrada")-SUMIFS(Movimentos!$F$4:$F$9996,Movimentos!$D$4:$D$9996,B2835,Movimentos!$C$4:$C$9996,"Saída"),""),"")</f>
        <v/>
      </c>
      <c r="F2835" s="10" t="str">
        <f t="shared" si="90"/>
        <v/>
      </c>
    </row>
    <row r="2836" spans="1:6" x14ac:dyDescent="0.3">
      <c r="A2836" s="15" t="str">
        <f t="shared" si="91"/>
        <v>.</v>
      </c>
      <c r="E2836" s="13" t="str">
        <f>IFERROR(IF(AND(B2836&lt;&gt;"",C2836&lt;&gt;""),SUMIFS(Movimentos!$F$4:$F$9996,Movimentos!$D$4:$D$9996,B2836,Movimentos!$C$4:$C$9996,"Entrada")-SUMIFS(Movimentos!$F$4:$F$9996,Movimentos!$D$4:$D$9996,B2836,Movimentos!$C$4:$C$9996,"Saída"),""),"")</f>
        <v/>
      </c>
      <c r="F2836" s="10" t="str">
        <f t="shared" si="90"/>
        <v/>
      </c>
    </row>
    <row r="2837" spans="1:6" x14ac:dyDescent="0.3">
      <c r="A2837" s="15" t="str">
        <f t="shared" si="91"/>
        <v>.</v>
      </c>
      <c r="E2837" s="13" t="str">
        <f>IFERROR(IF(AND(B2837&lt;&gt;"",C2837&lt;&gt;""),SUMIFS(Movimentos!$F$4:$F$9996,Movimentos!$D$4:$D$9996,B2837,Movimentos!$C$4:$C$9996,"Entrada")-SUMIFS(Movimentos!$F$4:$F$9996,Movimentos!$D$4:$D$9996,B2837,Movimentos!$C$4:$C$9996,"Saída"),""),"")</f>
        <v/>
      </c>
      <c r="F2837" s="10" t="str">
        <f t="shared" si="90"/>
        <v/>
      </c>
    </row>
    <row r="2838" spans="1:6" x14ac:dyDescent="0.3">
      <c r="A2838" s="15" t="str">
        <f t="shared" si="91"/>
        <v>.</v>
      </c>
      <c r="E2838" s="13" t="str">
        <f>IFERROR(IF(AND(B2838&lt;&gt;"",C2838&lt;&gt;""),SUMIFS(Movimentos!$F$4:$F$9996,Movimentos!$D$4:$D$9996,B2838,Movimentos!$C$4:$C$9996,"Entrada")-SUMIFS(Movimentos!$F$4:$F$9996,Movimentos!$D$4:$D$9996,B2838,Movimentos!$C$4:$C$9996,"Saída"),""),"")</f>
        <v/>
      </c>
      <c r="F2838" s="10" t="str">
        <f t="shared" si="90"/>
        <v/>
      </c>
    </row>
    <row r="2839" spans="1:6" x14ac:dyDescent="0.3">
      <c r="A2839" s="15" t="str">
        <f t="shared" si="91"/>
        <v>.</v>
      </c>
      <c r="E2839" s="13" t="str">
        <f>IFERROR(IF(AND(B2839&lt;&gt;"",C2839&lt;&gt;""),SUMIFS(Movimentos!$F$4:$F$9996,Movimentos!$D$4:$D$9996,B2839,Movimentos!$C$4:$C$9996,"Entrada")-SUMIFS(Movimentos!$F$4:$F$9996,Movimentos!$D$4:$D$9996,B2839,Movimentos!$C$4:$C$9996,"Saída"),""),"")</f>
        <v/>
      </c>
      <c r="F2839" s="10" t="str">
        <f t="shared" ref="F2839:F2902" si="92">IF(AND(B2839&lt;&gt;"",C2839&lt;&gt;""),IF(E2839=0,"Saldo zerado",IF(E2839&lt;D2839,"Saldo abaixo do mínimo","Saldo disponível")),"")</f>
        <v/>
      </c>
    </row>
    <row r="2840" spans="1:6" x14ac:dyDescent="0.3">
      <c r="A2840" s="15" t="str">
        <f t="shared" si="91"/>
        <v>.</v>
      </c>
      <c r="E2840" s="13" t="str">
        <f>IFERROR(IF(AND(B2840&lt;&gt;"",C2840&lt;&gt;""),SUMIFS(Movimentos!$F$4:$F$9996,Movimentos!$D$4:$D$9996,B2840,Movimentos!$C$4:$C$9996,"Entrada")-SUMIFS(Movimentos!$F$4:$F$9996,Movimentos!$D$4:$D$9996,B2840,Movimentos!$C$4:$C$9996,"Saída"),""),"")</f>
        <v/>
      </c>
      <c r="F2840" s="10" t="str">
        <f t="shared" si="92"/>
        <v/>
      </c>
    </row>
    <row r="2841" spans="1:6" x14ac:dyDescent="0.3">
      <c r="A2841" s="15" t="str">
        <f t="shared" si="91"/>
        <v>.</v>
      </c>
      <c r="E2841" s="13" t="str">
        <f>IFERROR(IF(AND(B2841&lt;&gt;"",C2841&lt;&gt;""),SUMIFS(Movimentos!$F$4:$F$9996,Movimentos!$D$4:$D$9996,B2841,Movimentos!$C$4:$C$9996,"Entrada")-SUMIFS(Movimentos!$F$4:$F$9996,Movimentos!$D$4:$D$9996,B2841,Movimentos!$C$4:$C$9996,"Saída"),""),"")</f>
        <v/>
      </c>
      <c r="F2841" s="10" t="str">
        <f t="shared" si="92"/>
        <v/>
      </c>
    </row>
    <row r="2842" spans="1:6" x14ac:dyDescent="0.3">
      <c r="A2842" s="15" t="str">
        <f t="shared" si="91"/>
        <v>.</v>
      </c>
      <c r="E2842" s="13" t="str">
        <f>IFERROR(IF(AND(B2842&lt;&gt;"",C2842&lt;&gt;""),SUMIFS(Movimentos!$F$4:$F$9996,Movimentos!$D$4:$D$9996,B2842,Movimentos!$C$4:$C$9996,"Entrada")-SUMIFS(Movimentos!$F$4:$F$9996,Movimentos!$D$4:$D$9996,B2842,Movimentos!$C$4:$C$9996,"Saída"),""),"")</f>
        <v/>
      </c>
      <c r="F2842" s="10" t="str">
        <f t="shared" si="92"/>
        <v/>
      </c>
    </row>
    <row r="2843" spans="1:6" x14ac:dyDescent="0.3">
      <c r="A2843" s="15" t="str">
        <f t="shared" si="91"/>
        <v>.</v>
      </c>
      <c r="E2843" s="13" t="str">
        <f>IFERROR(IF(AND(B2843&lt;&gt;"",C2843&lt;&gt;""),SUMIFS(Movimentos!$F$4:$F$9996,Movimentos!$D$4:$D$9996,B2843,Movimentos!$C$4:$C$9996,"Entrada")-SUMIFS(Movimentos!$F$4:$F$9996,Movimentos!$D$4:$D$9996,B2843,Movimentos!$C$4:$C$9996,"Saída"),""),"")</f>
        <v/>
      </c>
      <c r="F2843" s="10" t="str">
        <f t="shared" si="92"/>
        <v/>
      </c>
    </row>
    <row r="2844" spans="1:6" x14ac:dyDescent="0.3">
      <c r="A2844" s="15" t="str">
        <f t="shared" si="91"/>
        <v>.</v>
      </c>
      <c r="E2844" s="13" t="str">
        <f>IFERROR(IF(AND(B2844&lt;&gt;"",C2844&lt;&gt;""),SUMIFS(Movimentos!$F$4:$F$9996,Movimentos!$D$4:$D$9996,B2844,Movimentos!$C$4:$C$9996,"Entrada")-SUMIFS(Movimentos!$F$4:$F$9996,Movimentos!$D$4:$D$9996,B2844,Movimentos!$C$4:$C$9996,"Saída"),""),"")</f>
        <v/>
      </c>
      <c r="F2844" s="10" t="str">
        <f t="shared" si="92"/>
        <v/>
      </c>
    </row>
    <row r="2845" spans="1:6" x14ac:dyDescent="0.3">
      <c r="A2845" s="15" t="str">
        <f t="shared" si="91"/>
        <v>.</v>
      </c>
      <c r="E2845" s="13" t="str">
        <f>IFERROR(IF(AND(B2845&lt;&gt;"",C2845&lt;&gt;""),SUMIFS(Movimentos!$F$4:$F$9996,Movimentos!$D$4:$D$9996,B2845,Movimentos!$C$4:$C$9996,"Entrada")-SUMIFS(Movimentos!$F$4:$F$9996,Movimentos!$D$4:$D$9996,B2845,Movimentos!$C$4:$C$9996,"Saída"),""),"")</f>
        <v/>
      </c>
      <c r="F2845" s="10" t="str">
        <f t="shared" si="92"/>
        <v/>
      </c>
    </row>
    <row r="2846" spans="1:6" x14ac:dyDescent="0.3">
      <c r="A2846" s="15" t="str">
        <f t="shared" si="91"/>
        <v>.</v>
      </c>
      <c r="E2846" s="13" t="str">
        <f>IFERROR(IF(AND(B2846&lt;&gt;"",C2846&lt;&gt;""),SUMIFS(Movimentos!$F$4:$F$9996,Movimentos!$D$4:$D$9996,B2846,Movimentos!$C$4:$C$9996,"Entrada")-SUMIFS(Movimentos!$F$4:$F$9996,Movimentos!$D$4:$D$9996,B2846,Movimentos!$C$4:$C$9996,"Saída"),""),"")</f>
        <v/>
      </c>
      <c r="F2846" s="10" t="str">
        <f t="shared" si="92"/>
        <v/>
      </c>
    </row>
    <row r="2847" spans="1:6" x14ac:dyDescent="0.3">
      <c r="A2847" s="15" t="str">
        <f t="shared" si="91"/>
        <v>.</v>
      </c>
      <c r="E2847" s="13" t="str">
        <f>IFERROR(IF(AND(B2847&lt;&gt;"",C2847&lt;&gt;""),SUMIFS(Movimentos!$F$4:$F$9996,Movimentos!$D$4:$D$9996,B2847,Movimentos!$C$4:$C$9996,"Entrada")-SUMIFS(Movimentos!$F$4:$F$9996,Movimentos!$D$4:$D$9996,B2847,Movimentos!$C$4:$C$9996,"Saída"),""),"")</f>
        <v/>
      </c>
      <c r="F2847" s="10" t="str">
        <f t="shared" si="92"/>
        <v/>
      </c>
    </row>
    <row r="2848" spans="1:6" x14ac:dyDescent="0.3">
      <c r="A2848" s="15" t="str">
        <f t="shared" si="91"/>
        <v>.</v>
      </c>
      <c r="E2848" s="13" t="str">
        <f>IFERROR(IF(AND(B2848&lt;&gt;"",C2848&lt;&gt;""),SUMIFS(Movimentos!$F$4:$F$9996,Movimentos!$D$4:$D$9996,B2848,Movimentos!$C$4:$C$9996,"Entrada")-SUMIFS(Movimentos!$F$4:$F$9996,Movimentos!$D$4:$D$9996,B2848,Movimentos!$C$4:$C$9996,"Saída"),""),"")</f>
        <v/>
      </c>
      <c r="F2848" s="10" t="str">
        <f t="shared" si="92"/>
        <v/>
      </c>
    </row>
    <row r="2849" spans="1:6" x14ac:dyDescent="0.3">
      <c r="A2849" s="15" t="str">
        <f t="shared" si="91"/>
        <v>.</v>
      </c>
      <c r="E2849" s="13" t="str">
        <f>IFERROR(IF(AND(B2849&lt;&gt;"",C2849&lt;&gt;""),SUMIFS(Movimentos!$F$4:$F$9996,Movimentos!$D$4:$D$9996,B2849,Movimentos!$C$4:$C$9996,"Entrada")-SUMIFS(Movimentos!$F$4:$F$9996,Movimentos!$D$4:$D$9996,B2849,Movimentos!$C$4:$C$9996,"Saída"),""),"")</f>
        <v/>
      </c>
      <c r="F2849" s="10" t="str">
        <f t="shared" si="92"/>
        <v/>
      </c>
    </row>
    <row r="2850" spans="1:6" x14ac:dyDescent="0.3">
      <c r="A2850" s="15" t="str">
        <f t="shared" si="91"/>
        <v>.</v>
      </c>
      <c r="E2850" s="13" t="str">
        <f>IFERROR(IF(AND(B2850&lt;&gt;"",C2850&lt;&gt;""),SUMIFS(Movimentos!$F$4:$F$9996,Movimentos!$D$4:$D$9996,B2850,Movimentos!$C$4:$C$9996,"Entrada")-SUMIFS(Movimentos!$F$4:$F$9996,Movimentos!$D$4:$D$9996,B2850,Movimentos!$C$4:$C$9996,"Saída"),""),"")</f>
        <v/>
      </c>
      <c r="F2850" s="10" t="str">
        <f t="shared" si="92"/>
        <v/>
      </c>
    </row>
    <row r="2851" spans="1:6" x14ac:dyDescent="0.3">
      <c r="A2851" s="15" t="str">
        <f t="shared" si="91"/>
        <v>.</v>
      </c>
      <c r="E2851" s="13" t="str">
        <f>IFERROR(IF(AND(B2851&lt;&gt;"",C2851&lt;&gt;""),SUMIFS(Movimentos!$F$4:$F$9996,Movimentos!$D$4:$D$9996,B2851,Movimentos!$C$4:$C$9996,"Entrada")-SUMIFS(Movimentos!$F$4:$F$9996,Movimentos!$D$4:$D$9996,B2851,Movimentos!$C$4:$C$9996,"Saída"),""),"")</f>
        <v/>
      </c>
      <c r="F2851" s="10" t="str">
        <f t="shared" si="92"/>
        <v/>
      </c>
    </row>
    <row r="2852" spans="1:6" x14ac:dyDescent="0.3">
      <c r="A2852" s="15" t="str">
        <f t="shared" si="91"/>
        <v>.</v>
      </c>
      <c r="E2852" s="13" t="str">
        <f>IFERROR(IF(AND(B2852&lt;&gt;"",C2852&lt;&gt;""),SUMIFS(Movimentos!$F$4:$F$9996,Movimentos!$D$4:$D$9996,B2852,Movimentos!$C$4:$C$9996,"Entrada")-SUMIFS(Movimentos!$F$4:$F$9996,Movimentos!$D$4:$D$9996,B2852,Movimentos!$C$4:$C$9996,"Saída"),""),"")</f>
        <v/>
      </c>
      <c r="F2852" s="10" t="str">
        <f t="shared" si="92"/>
        <v/>
      </c>
    </row>
    <row r="2853" spans="1:6" x14ac:dyDescent="0.3">
      <c r="A2853" s="15" t="str">
        <f t="shared" si="91"/>
        <v>.</v>
      </c>
      <c r="E2853" s="13" t="str">
        <f>IFERROR(IF(AND(B2853&lt;&gt;"",C2853&lt;&gt;""),SUMIFS(Movimentos!$F$4:$F$9996,Movimentos!$D$4:$D$9996,B2853,Movimentos!$C$4:$C$9996,"Entrada")-SUMIFS(Movimentos!$F$4:$F$9996,Movimentos!$D$4:$D$9996,B2853,Movimentos!$C$4:$C$9996,"Saída"),""),"")</f>
        <v/>
      </c>
      <c r="F2853" s="10" t="str">
        <f t="shared" si="92"/>
        <v/>
      </c>
    </row>
    <row r="2854" spans="1:6" x14ac:dyDescent="0.3">
      <c r="A2854" s="15" t="str">
        <f t="shared" si="91"/>
        <v>.</v>
      </c>
      <c r="E2854" s="13" t="str">
        <f>IFERROR(IF(AND(B2854&lt;&gt;"",C2854&lt;&gt;""),SUMIFS(Movimentos!$F$4:$F$9996,Movimentos!$D$4:$D$9996,B2854,Movimentos!$C$4:$C$9996,"Entrada")-SUMIFS(Movimentos!$F$4:$F$9996,Movimentos!$D$4:$D$9996,B2854,Movimentos!$C$4:$C$9996,"Saída"),""),"")</f>
        <v/>
      </c>
      <c r="F2854" s="10" t="str">
        <f t="shared" si="92"/>
        <v/>
      </c>
    </row>
    <row r="2855" spans="1:6" x14ac:dyDescent="0.3">
      <c r="A2855" s="15" t="str">
        <f t="shared" si="91"/>
        <v>.</v>
      </c>
      <c r="E2855" s="13" t="str">
        <f>IFERROR(IF(AND(B2855&lt;&gt;"",C2855&lt;&gt;""),SUMIFS(Movimentos!$F$4:$F$9996,Movimentos!$D$4:$D$9996,B2855,Movimentos!$C$4:$C$9996,"Entrada")-SUMIFS(Movimentos!$F$4:$F$9996,Movimentos!$D$4:$D$9996,B2855,Movimentos!$C$4:$C$9996,"Saída"),""),"")</f>
        <v/>
      </c>
      <c r="F2855" s="10" t="str">
        <f t="shared" si="92"/>
        <v/>
      </c>
    </row>
    <row r="2856" spans="1:6" x14ac:dyDescent="0.3">
      <c r="A2856" s="15" t="str">
        <f t="shared" si="91"/>
        <v>.</v>
      </c>
      <c r="E2856" s="13" t="str">
        <f>IFERROR(IF(AND(B2856&lt;&gt;"",C2856&lt;&gt;""),SUMIFS(Movimentos!$F$4:$F$9996,Movimentos!$D$4:$D$9996,B2856,Movimentos!$C$4:$C$9996,"Entrada")-SUMIFS(Movimentos!$F$4:$F$9996,Movimentos!$D$4:$D$9996,B2856,Movimentos!$C$4:$C$9996,"Saída"),""),"")</f>
        <v/>
      </c>
      <c r="F2856" s="10" t="str">
        <f t="shared" si="92"/>
        <v/>
      </c>
    </row>
    <row r="2857" spans="1:6" x14ac:dyDescent="0.3">
      <c r="A2857" s="15" t="str">
        <f t="shared" si="91"/>
        <v>.</v>
      </c>
      <c r="E2857" s="13" t="str">
        <f>IFERROR(IF(AND(B2857&lt;&gt;"",C2857&lt;&gt;""),SUMIFS(Movimentos!$F$4:$F$9996,Movimentos!$D$4:$D$9996,B2857,Movimentos!$C$4:$C$9996,"Entrada")-SUMIFS(Movimentos!$F$4:$F$9996,Movimentos!$D$4:$D$9996,B2857,Movimentos!$C$4:$C$9996,"Saída"),""),"")</f>
        <v/>
      </c>
      <c r="F2857" s="10" t="str">
        <f t="shared" si="92"/>
        <v/>
      </c>
    </row>
    <row r="2858" spans="1:6" x14ac:dyDescent="0.3">
      <c r="A2858" s="15" t="str">
        <f t="shared" si="91"/>
        <v>.</v>
      </c>
      <c r="E2858" s="13" t="str">
        <f>IFERROR(IF(AND(B2858&lt;&gt;"",C2858&lt;&gt;""),SUMIFS(Movimentos!$F$4:$F$9996,Movimentos!$D$4:$D$9996,B2858,Movimentos!$C$4:$C$9996,"Entrada")-SUMIFS(Movimentos!$F$4:$F$9996,Movimentos!$D$4:$D$9996,B2858,Movimentos!$C$4:$C$9996,"Saída"),""),"")</f>
        <v/>
      </c>
      <c r="F2858" s="10" t="str">
        <f t="shared" si="92"/>
        <v/>
      </c>
    </row>
    <row r="2859" spans="1:6" x14ac:dyDescent="0.3">
      <c r="A2859" s="15" t="str">
        <f t="shared" si="91"/>
        <v>.</v>
      </c>
      <c r="E2859" s="13" t="str">
        <f>IFERROR(IF(AND(B2859&lt;&gt;"",C2859&lt;&gt;""),SUMIFS(Movimentos!$F$4:$F$9996,Movimentos!$D$4:$D$9996,B2859,Movimentos!$C$4:$C$9996,"Entrada")-SUMIFS(Movimentos!$F$4:$F$9996,Movimentos!$D$4:$D$9996,B2859,Movimentos!$C$4:$C$9996,"Saída"),""),"")</f>
        <v/>
      </c>
      <c r="F2859" s="10" t="str">
        <f t="shared" si="92"/>
        <v/>
      </c>
    </row>
    <row r="2860" spans="1:6" x14ac:dyDescent="0.3">
      <c r="A2860" s="15" t="str">
        <f t="shared" si="91"/>
        <v>.</v>
      </c>
      <c r="E2860" s="13" t="str">
        <f>IFERROR(IF(AND(B2860&lt;&gt;"",C2860&lt;&gt;""),SUMIFS(Movimentos!$F$4:$F$9996,Movimentos!$D$4:$D$9996,B2860,Movimentos!$C$4:$C$9996,"Entrada")-SUMIFS(Movimentos!$F$4:$F$9996,Movimentos!$D$4:$D$9996,B2860,Movimentos!$C$4:$C$9996,"Saída"),""),"")</f>
        <v/>
      </c>
      <c r="F2860" s="10" t="str">
        <f t="shared" si="92"/>
        <v/>
      </c>
    </row>
    <row r="2861" spans="1:6" x14ac:dyDescent="0.3">
      <c r="A2861" s="15" t="str">
        <f t="shared" si="91"/>
        <v>.</v>
      </c>
      <c r="E2861" s="13" t="str">
        <f>IFERROR(IF(AND(B2861&lt;&gt;"",C2861&lt;&gt;""),SUMIFS(Movimentos!$F$4:$F$9996,Movimentos!$D$4:$D$9996,B2861,Movimentos!$C$4:$C$9996,"Entrada")-SUMIFS(Movimentos!$F$4:$F$9996,Movimentos!$D$4:$D$9996,B2861,Movimentos!$C$4:$C$9996,"Saída"),""),"")</f>
        <v/>
      </c>
      <c r="F2861" s="10" t="str">
        <f t="shared" si="92"/>
        <v/>
      </c>
    </row>
    <row r="2862" spans="1:6" x14ac:dyDescent="0.3">
      <c r="A2862" s="15" t="str">
        <f t="shared" si="91"/>
        <v>.</v>
      </c>
      <c r="E2862" s="13" t="str">
        <f>IFERROR(IF(AND(B2862&lt;&gt;"",C2862&lt;&gt;""),SUMIFS(Movimentos!$F$4:$F$9996,Movimentos!$D$4:$D$9996,B2862,Movimentos!$C$4:$C$9996,"Entrada")-SUMIFS(Movimentos!$F$4:$F$9996,Movimentos!$D$4:$D$9996,B2862,Movimentos!$C$4:$C$9996,"Saída"),""),"")</f>
        <v/>
      </c>
      <c r="F2862" s="10" t="str">
        <f t="shared" si="92"/>
        <v/>
      </c>
    </row>
    <row r="2863" spans="1:6" x14ac:dyDescent="0.3">
      <c r="A2863" s="15" t="str">
        <f t="shared" si="91"/>
        <v>.</v>
      </c>
      <c r="E2863" s="13" t="str">
        <f>IFERROR(IF(AND(B2863&lt;&gt;"",C2863&lt;&gt;""),SUMIFS(Movimentos!$F$4:$F$9996,Movimentos!$D$4:$D$9996,B2863,Movimentos!$C$4:$C$9996,"Entrada")-SUMIFS(Movimentos!$F$4:$F$9996,Movimentos!$D$4:$D$9996,B2863,Movimentos!$C$4:$C$9996,"Saída"),""),"")</f>
        <v/>
      </c>
      <c r="F2863" s="10" t="str">
        <f t="shared" si="92"/>
        <v/>
      </c>
    </row>
    <row r="2864" spans="1:6" x14ac:dyDescent="0.3">
      <c r="A2864" s="15" t="str">
        <f t="shared" si="91"/>
        <v>.</v>
      </c>
      <c r="E2864" s="13" t="str">
        <f>IFERROR(IF(AND(B2864&lt;&gt;"",C2864&lt;&gt;""),SUMIFS(Movimentos!$F$4:$F$9996,Movimentos!$D$4:$D$9996,B2864,Movimentos!$C$4:$C$9996,"Entrada")-SUMIFS(Movimentos!$F$4:$F$9996,Movimentos!$D$4:$D$9996,B2864,Movimentos!$C$4:$C$9996,"Saída"),""),"")</f>
        <v/>
      </c>
      <c r="F2864" s="10" t="str">
        <f t="shared" si="92"/>
        <v/>
      </c>
    </row>
    <row r="2865" spans="1:6" x14ac:dyDescent="0.3">
      <c r="A2865" s="15" t="str">
        <f t="shared" si="91"/>
        <v>.</v>
      </c>
      <c r="E2865" s="13" t="str">
        <f>IFERROR(IF(AND(B2865&lt;&gt;"",C2865&lt;&gt;""),SUMIFS(Movimentos!$F$4:$F$9996,Movimentos!$D$4:$D$9996,B2865,Movimentos!$C$4:$C$9996,"Entrada")-SUMIFS(Movimentos!$F$4:$F$9996,Movimentos!$D$4:$D$9996,B2865,Movimentos!$C$4:$C$9996,"Saída"),""),"")</f>
        <v/>
      </c>
      <c r="F2865" s="10" t="str">
        <f t="shared" si="92"/>
        <v/>
      </c>
    </row>
    <row r="2866" spans="1:6" x14ac:dyDescent="0.3">
      <c r="A2866" s="15" t="str">
        <f t="shared" si="91"/>
        <v>.</v>
      </c>
      <c r="E2866" s="13" t="str">
        <f>IFERROR(IF(AND(B2866&lt;&gt;"",C2866&lt;&gt;""),SUMIFS(Movimentos!$F$4:$F$9996,Movimentos!$D$4:$D$9996,B2866,Movimentos!$C$4:$C$9996,"Entrada")-SUMIFS(Movimentos!$F$4:$F$9996,Movimentos!$D$4:$D$9996,B2866,Movimentos!$C$4:$C$9996,"Saída"),""),"")</f>
        <v/>
      </c>
      <c r="F2866" s="10" t="str">
        <f t="shared" si="92"/>
        <v/>
      </c>
    </row>
    <row r="2867" spans="1:6" x14ac:dyDescent="0.3">
      <c r="A2867" s="15" t="str">
        <f t="shared" si="91"/>
        <v>.</v>
      </c>
      <c r="E2867" s="13" t="str">
        <f>IFERROR(IF(AND(B2867&lt;&gt;"",C2867&lt;&gt;""),SUMIFS(Movimentos!$F$4:$F$9996,Movimentos!$D$4:$D$9996,B2867,Movimentos!$C$4:$C$9996,"Entrada")-SUMIFS(Movimentos!$F$4:$F$9996,Movimentos!$D$4:$D$9996,B2867,Movimentos!$C$4:$C$9996,"Saída"),""),"")</f>
        <v/>
      </c>
      <c r="F2867" s="10" t="str">
        <f t="shared" si="92"/>
        <v/>
      </c>
    </row>
    <row r="2868" spans="1:6" x14ac:dyDescent="0.3">
      <c r="A2868" s="15" t="str">
        <f t="shared" si="91"/>
        <v>.</v>
      </c>
      <c r="E2868" s="13" t="str">
        <f>IFERROR(IF(AND(B2868&lt;&gt;"",C2868&lt;&gt;""),SUMIFS(Movimentos!$F$4:$F$9996,Movimentos!$D$4:$D$9996,B2868,Movimentos!$C$4:$C$9996,"Entrada")-SUMIFS(Movimentos!$F$4:$F$9996,Movimentos!$D$4:$D$9996,B2868,Movimentos!$C$4:$C$9996,"Saída"),""),"")</f>
        <v/>
      </c>
      <c r="F2868" s="10" t="str">
        <f t="shared" si="92"/>
        <v/>
      </c>
    </row>
    <row r="2869" spans="1:6" x14ac:dyDescent="0.3">
      <c r="A2869" s="15" t="str">
        <f t="shared" si="91"/>
        <v>.</v>
      </c>
      <c r="E2869" s="13" t="str">
        <f>IFERROR(IF(AND(B2869&lt;&gt;"",C2869&lt;&gt;""),SUMIFS(Movimentos!$F$4:$F$9996,Movimentos!$D$4:$D$9996,B2869,Movimentos!$C$4:$C$9996,"Entrada")-SUMIFS(Movimentos!$F$4:$F$9996,Movimentos!$D$4:$D$9996,B2869,Movimentos!$C$4:$C$9996,"Saída"),""),"")</f>
        <v/>
      </c>
      <c r="F2869" s="10" t="str">
        <f t="shared" si="92"/>
        <v/>
      </c>
    </row>
    <row r="2870" spans="1:6" x14ac:dyDescent="0.3">
      <c r="A2870" s="15" t="str">
        <f t="shared" si="91"/>
        <v>.</v>
      </c>
      <c r="E2870" s="13" t="str">
        <f>IFERROR(IF(AND(B2870&lt;&gt;"",C2870&lt;&gt;""),SUMIFS(Movimentos!$F$4:$F$9996,Movimentos!$D$4:$D$9996,B2870,Movimentos!$C$4:$C$9996,"Entrada")-SUMIFS(Movimentos!$F$4:$F$9996,Movimentos!$D$4:$D$9996,B2870,Movimentos!$C$4:$C$9996,"Saída"),""),"")</f>
        <v/>
      </c>
      <c r="F2870" s="10" t="str">
        <f t="shared" si="92"/>
        <v/>
      </c>
    </row>
    <row r="2871" spans="1:6" x14ac:dyDescent="0.3">
      <c r="A2871" s="15" t="str">
        <f t="shared" si="91"/>
        <v>.</v>
      </c>
      <c r="E2871" s="13" t="str">
        <f>IFERROR(IF(AND(B2871&lt;&gt;"",C2871&lt;&gt;""),SUMIFS(Movimentos!$F$4:$F$9996,Movimentos!$D$4:$D$9996,B2871,Movimentos!$C$4:$C$9996,"Entrada")-SUMIFS(Movimentos!$F$4:$F$9996,Movimentos!$D$4:$D$9996,B2871,Movimentos!$C$4:$C$9996,"Saída"),""),"")</f>
        <v/>
      </c>
      <c r="F2871" s="10" t="str">
        <f t="shared" si="92"/>
        <v/>
      </c>
    </row>
    <row r="2872" spans="1:6" x14ac:dyDescent="0.3">
      <c r="A2872" s="15" t="str">
        <f t="shared" si="91"/>
        <v>.</v>
      </c>
      <c r="E2872" s="13" t="str">
        <f>IFERROR(IF(AND(B2872&lt;&gt;"",C2872&lt;&gt;""),SUMIFS(Movimentos!$F$4:$F$9996,Movimentos!$D$4:$D$9996,B2872,Movimentos!$C$4:$C$9996,"Entrada")-SUMIFS(Movimentos!$F$4:$F$9996,Movimentos!$D$4:$D$9996,B2872,Movimentos!$C$4:$C$9996,"Saída"),""),"")</f>
        <v/>
      </c>
      <c r="F2872" s="10" t="str">
        <f t="shared" si="92"/>
        <v/>
      </c>
    </row>
    <row r="2873" spans="1:6" x14ac:dyDescent="0.3">
      <c r="A2873" s="15" t="str">
        <f t="shared" si="91"/>
        <v>.</v>
      </c>
      <c r="E2873" s="13" t="str">
        <f>IFERROR(IF(AND(B2873&lt;&gt;"",C2873&lt;&gt;""),SUMIFS(Movimentos!$F$4:$F$9996,Movimentos!$D$4:$D$9996,B2873,Movimentos!$C$4:$C$9996,"Entrada")-SUMIFS(Movimentos!$F$4:$F$9996,Movimentos!$D$4:$D$9996,B2873,Movimentos!$C$4:$C$9996,"Saída"),""),"")</f>
        <v/>
      </c>
      <c r="F2873" s="10" t="str">
        <f t="shared" si="92"/>
        <v/>
      </c>
    </row>
    <row r="2874" spans="1:6" x14ac:dyDescent="0.3">
      <c r="A2874" s="15" t="str">
        <f t="shared" si="91"/>
        <v>.</v>
      </c>
      <c r="E2874" s="13" t="str">
        <f>IFERROR(IF(AND(B2874&lt;&gt;"",C2874&lt;&gt;""),SUMIFS(Movimentos!$F$4:$F$9996,Movimentos!$D$4:$D$9996,B2874,Movimentos!$C$4:$C$9996,"Entrada")-SUMIFS(Movimentos!$F$4:$F$9996,Movimentos!$D$4:$D$9996,B2874,Movimentos!$C$4:$C$9996,"Saída"),""),"")</f>
        <v/>
      </c>
      <c r="F2874" s="10" t="str">
        <f t="shared" si="92"/>
        <v/>
      </c>
    </row>
    <row r="2875" spans="1:6" x14ac:dyDescent="0.3">
      <c r="A2875" s="15" t="str">
        <f t="shared" si="91"/>
        <v>.</v>
      </c>
      <c r="E2875" s="13" t="str">
        <f>IFERROR(IF(AND(B2875&lt;&gt;"",C2875&lt;&gt;""),SUMIFS(Movimentos!$F$4:$F$9996,Movimentos!$D$4:$D$9996,B2875,Movimentos!$C$4:$C$9996,"Entrada")-SUMIFS(Movimentos!$F$4:$F$9996,Movimentos!$D$4:$D$9996,B2875,Movimentos!$C$4:$C$9996,"Saída"),""),"")</f>
        <v/>
      </c>
      <c r="F2875" s="10" t="str">
        <f t="shared" si="92"/>
        <v/>
      </c>
    </row>
    <row r="2876" spans="1:6" x14ac:dyDescent="0.3">
      <c r="A2876" s="15" t="str">
        <f t="shared" si="91"/>
        <v>.</v>
      </c>
      <c r="E2876" s="13" t="str">
        <f>IFERROR(IF(AND(B2876&lt;&gt;"",C2876&lt;&gt;""),SUMIFS(Movimentos!$F$4:$F$9996,Movimentos!$D$4:$D$9996,B2876,Movimentos!$C$4:$C$9996,"Entrada")-SUMIFS(Movimentos!$F$4:$F$9996,Movimentos!$D$4:$D$9996,B2876,Movimentos!$C$4:$C$9996,"Saída"),""),"")</f>
        <v/>
      </c>
      <c r="F2876" s="10" t="str">
        <f t="shared" si="92"/>
        <v/>
      </c>
    </row>
    <row r="2877" spans="1:6" x14ac:dyDescent="0.3">
      <c r="A2877" s="15" t="str">
        <f t="shared" si="91"/>
        <v>.</v>
      </c>
      <c r="E2877" s="13" t="str">
        <f>IFERROR(IF(AND(B2877&lt;&gt;"",C2877&lt;&gt;""),SUMIFS(Movimentos!$F$4:$F$9996,Movimentos!$D$4:$D$9996,B2877,Movimentos!$C$4:$C$9996,"Entrada")-SUMIFS(Movimentos!$F$4:$F$9996,Movimentos!$D$4:$D$9996,B2877,Movimentos!$C$4:$C$9996,"Saída"),""),"")</f>
        <v/>
      </c>
      <c r="F2877" s="10" t="str">
        <f t="shared" si="92"/>
        <v/>
      </c>
    </row>
    <row r="2878" spans="1:6" x14ac:dyDescent="0.3">
      <c r="A2878" s="15" t="str">
        <f t="shared" si="91"/>
        <v>.</v>
      </c>
      <c r="E2878" s="13" t="str">
        <f>IFERROR(IF(AND(B2878&lt;&gt;"",C2878&lt;&gt;""),SUMIFS(Movimentos!$F$4:$F$9996,Movimentos!$D$4:$D$9996,B2878,Movimentos!$C$4:$C$9996,"Entrada")-SUMIFS(Movimentos!$F$4:$F$9996,Movimentos!$D$4:$D$9996,B2878,Movimentos!$C$4:$C$9996,"Saída"),""),"")</f>
        <v/>
      </c>
      <c r="F2878" s="10" t="str">
        <f t="shared" si="92"/>
        <v/>
      </c>
    </row>
    <row r="2879" spans="1:6" x14ac:dyDescent="0.3">
      <c r="A2879" s="15" t="str">
        <f t="shared" si="91"/>
        <v>.</v>
      </c>
      <c r="E2879" s="13" t="str">
        <f>IFERROR(IF(AND(B2879&lt;&gt;"",C2879&lt;&gt;""),SUMIFS(Movimentos!$F$4:$F$9996,Movimentos!$D$4:$D$9996,B2879,Movimentos!$C$4:$C$9996,"Entrada")-SUMIFS(Movimentos!$F$4:$F$9996,Movimentos!$D$4:$D$9996,B2879,Movimentos!$C$4:$C$9996,"Saída"),""),"")</f>
        <v/>
      </c>
      <c r="F2879" s="10" t="str">
        <f t="shared" si="92"/>
        <v/>
      </c>
    </row>
    <row r="2880" spans="1:6" x14ac:dyDescent="0.3">
      <c r="A2880" s="15" t="str">
        <f t="shared" ref="A2880:A2943" si="93">IF(F2880="Saldo zerado",0,IF(F2880="Saldo abaixo do mínimo",1,IF(F2880="Saldo disponível",2,".")))</f>
        <v>.</v>
      </c>
      <c r="E2880" s="13" t="str">
        <f>IFERROR(IF(AND(B2880&lt;&gt;"",C2880&lt;&gt;""),SUMIFS(Movimentos!$F$4:$F$9996,Movimentos!$D$4:$D$9996,B2880,Movimentos!$C$4:$C$9996,"Entrada")-SUMIFS(Movimentos!$F$4:$F$9996,Movimentos!$D$4:$D$9996,B2880,Movimentos!$C$4:$C$9996,"Saída"),""),"")</f>
        <v/>
      </c>
      <c r="F2880" s="10" t="str">
        <f t="shared" si="92"/>
        <v/>
      </c>
    </row>
    <row r="2881" spans="1:6" x14ac:dyDescent="0.3">
      <c r="A2881" s="15" t="str">
        <f t="shared" si="93"/>
        <v>.</v>
      </c>
      <c r="E2881" s="13" t="str">
        <f>IFERROR(IF(AND(B2881&lt;&gt;"",C2881&lt;&gt;""),SUMIFS(Movimentos!$F$4:$F$9996,Movimentos!$D$4:$D$9996,B2881,Movimentos!$C$4:$C$9996,"Entrada")-SUMIFS(Movimentos!$F$4:$F$9996,Movimentos!$D$4:$D$9996,B2881,Movimentos!$C$4:$C$9996,"Saída"),""),"")</f>
        <v/>
      </c>
      <c r="F2881" s="10" t="str">
        <f t="shared" si="92"/>
        <v/>
      </c>
    </row>
    <row r="2882" spans="1:6" x14ac:dyDescent="0.3">
      <c r="A2882" s="15" t="str">
        <f t="shared" si="93"/>
        <v>.</v>
      </c>
      <c r="E2882" s="13" t="str">
        <f>IFERROR(IF(AND(B2882&lt;&gt;"",C2882&lt;&gt;""),SUMIFS(Movimentos!$F$4:$F$9996,Movimentos!$D$4:$D$9996,B2882,Movimentos!$C$4:$C$9996,"Entrada")-SUMIFS(Movimentos!$F$4:$F$9996,Movimentos!$D$4:$D$9996,B2882,Movimentos!$C$4:$C$9996,"Saída"),""),"")</f>
        <v/>
      </c>
      <c r="F2882" s="10" t="str">
        <f t="shared" si="92"/>
        <v/>
      </c>
    </row>
    <row r="2883" spans="1:6" x14ac:dyDescent="0.3">
      <c r="A2883" s="15" t="str">
        <f t="shared" si="93"/>
        <v>.</v>
      </c>
      <c r="E2883" s="13" t="str">
        <f>IFERROR(IF(AND(B2883&lt;&gt;"",C2883&lt;&gt;""),SUMIFS(Movimentos!$F$4:$F$9996,Movimentos!$D$4:$D$9996,B2883,Movimentos!$C$4:$C$9996,"Entrada")-SUMIFS(Movimentos!$F$4:$F$9996,Movimentos!$D$4:$D$9996,B2883,Movimentos!$C$4:$C$9996,"Saída"),""),"")</f>
        <v/>
      </c>
      <c r="F2883" s="10" t="str">
        <f t="shared" si="92"/>
        <v/>
      </c>
    </row>
    <row r="2884" spans="1:6" x14ac:dyDescent="0.3">
      <c r="A2884" s="15" t="str">
        <f t="shared" si="93"/>
        <v>.</v>
      </c>
      <c r="E2884" s="13" t="str">
        <f>IFERROR(IF(AND(B2884&lt;&gt;"",C2884&lt;&gt;""),SUMIFS(Movimentos!$F$4:$F$9996,Movimentos!$D$4:$D$9996,B2884,Movimentos!$C$4:$C$9996,"Entrada")-SUMIFS(Movimentos!$F$4:$F$9996,Movimentos!$D$4:$D$9996,B2884,Movimentos!$C$4:$C$9996,"Saída"),""),"")</f>
        <v/>
      </c>
      <c r="F2884" s="10" t="str">
        <f t="shared" si="92"/>
        <v/>
      </c>
    </row>
    <row r="2885" spans="1:6" x14ac:dyDescent="0.3">
      <c r="A2885" s="15" t="str">
        <f t="shared" si="93"/>
        <v>.</v>
      </c>
      <c r="E2885" s="13" t="str">
        <f>IFERROR(IF(AND(B2885&lt;&gt;"",C2885&lt;&gt;""),SUMIFS(Movimentos!$F$4:$F$9996,Movimentos!$D$4:$D$9996,B2885,Movimentos!$C$4:$C$9996,"Entrada")-SUMIFS(Movimentos!$F$4:$F$9996,Movimentos!$D$4:$D$9996,B2885,Movimentos!$C$4:$C$9996,"Saída"),""),"")</f>
        <v/>
      </c>
      <c r="F2885" s="10" t="str">
        <f t="shared" si="92"/>
        <v/>
      </c>
    </row>
    <row r="2886" spans="1:6" x14ac:dyDescent="0.3">
      <c r="A2886" s="15" t="str">
        <f t="shared" si="93"/>
        <v>.</v>
      </c>
      <c r="E2886" s="13" t="str">
        <f>IFERROR(IF(AND(B2886&lt;&gt;"",C2886&lt;&gt;""),SUMIFS(Movimentos!$F$4:$F$9996,Movimentos!$D$4:$D$9996,B2886,Movimentos!$C$4:$C$9996,"Entrada")-SUMIFS(Movimentos!$F$4:$F$9996,Movimentos!$D$4:$D$9996,B2886,Movimentos!$C$4:$C$9996,"Saída"),""),"")</f>
        <v/>
      </c>
      <c r="F2886" s="10" t="str">
        <f t="shared" si="92"/>
        <v/>
      </c>
    </row>
    <row r="2887" spans="1:6" x14ac:dyDescent="0.3">
      <c r="A2887" s="15" t="str">
        <f t="shared" si="93"/>
        <v>.</v>
      </c>
      <c r="E2887" s="13" t="str">
        <f>IFERROR(IF(AND(B2887&lt;&gt;"",C2887&lt;&gt;""),SUMIFS(Movimentos!$F$4:$F$9996,Movimentos!$D$4:$D$9996,B2887,Movimentos!$C$4:$C$9996,"Entrada")-SUMIFS(Movimentos!$F$4:$F$9996,Movimentos!$D$4:$D$9996,B2887,Movimentos!$C$4:$C$9996,"Saída"),""),"")</f>
        <v/>
      </c>
      <c r="F2887" s="10" t="str">
        <f t="shared" si="92"/>
        <v/>
      </c>
    </row>
    <row r="2888" spans="1:6" x14ac:dyDescent="0.3">
      <c r="A2888" s="15" t="str">
        <f t="shared" si="93"/>
        <v>.</v>
      </c>
      <c r="E2888" s="13" t="str">
        <f>IFERROR(IF(AND(B2888&lt;&gt;"",C2888&lt;&gt;""),SUMIFS(Movimentos!$F$4:$F$9996,Movimentos!$D$4:$D$9996,B2888,Movimentos!$C$4:$C$9996,"Entrada")-SUMIFS(Movimentos!$F$4:$F$9996,Movimentos!$D$4:$D$9996,B2888,Movimentos!$C$4:$C$9996,"Saída"),""),"")</f>
        <v/>
      </c>
      <c r="F2888" s="10" t="str">
        <f t="shared" si="92"/>
        <v/>
      </c>
    </row>
    <row r="2889" spans="1:6" x14ac:dyDescent="0.3">
      <c r="A2889" s="15" t="str">
        <f t="shared" si="93"/>
        <v>.</v>
      </c>
      <c r="E2889" s="13" t="str">
        <f>IFERROR(IF(AND(B2889&lt;&gt;"",C2889&lt;&gt;""),SUMIFS(Movimentos!$F$4:$F$9996,Movimentos!$D$4:$D$9996,B2889,Movimentos!$C$4:$C$9996,"Entrada")-SUMIFS(Movimentos!$F$4:$F$9996,Movimentos!$D$4:$D$9996,B2889,Movimentos!$C$4:$C$9996,"Saída"),""),"")</f>
        <v/>
      </c>
      <c r="F2889" s="10" t="str">
        <f t="shared" si="92"/>
        <v/>
      </c>
    </row>
    <row r="2890" spans="1:6" x14ac:dyDescent="0.3">
      <c r="A2890" s="15" t="str">
        <f t="shared" si="93"/>
        <v>.</v>
      </c>
      <c r="E2890" s="13" t="str">
        <f>IFERROR(IF(AND(B2890&lt;&gt;"",C2890&lt;&gt;""),SUMIFS(Movimentos!$F$4:$F$9996,Movimentos!$D$4:$D$9996,B2890,Movimentos!$C$4:$C$9996,"Entrada")-SUMIFS(Movimentos!$F$4:$F$9996,Movimentos!$D$4:$D$9996,B2890,Movimentos!$C$4:$C$9996,"Saída"),""),"")</f>
        <v/>
      </c>
      <c r="F2890" s="10" t="str">
        <f t="shared" si="92"/>
        <v/>
      </c>
    </row>
    <row r="2891" spans="1:6" x14ac:dyDescent="0.3">
      <c r="A2891" s="15" t="str">
        <f t="shared" si="93"/>
        <v>.</v>
      </c>
      <c r="E2891" s="13" t="str">
        <f>IFERROR(IF(AND(B2891&lt;&gt;"",C2891&lt;&gt;""),SUMIFS(Movimentos!$F$4:$F$9996,Movimentos!$D$4:$D$9996,B2891,Movimentos!$C$4:$C$9996,"Entrada")-SUMIFS(Movimentos!$F$4:$F$9996,Movimentos!$D$4:$D$9996,B2891,Movimentos!$C$4:$C$9996,"Saída"),""),"")</f>
        <v/>
      </c>
      <c r="F2891" s="10" t="str">
        <f t="shared" si="92"/>
        <v/>
      </c>
    </row>
    <row r="2892" spans="1:6" x14ac:dyDescent="0.3">
      <c r="A2892" s="15" t="str">
        <f t="shared" si="93"/>
        <v>.</v>
      </c>
      <c r="E2892" s="13" t="str">
        <f>IFERROR(IF(AND(B2892&lt;&gt;"",C2892&lt;&gt;""),SUMIFS(Movimentos!$F$4:$F$9996,Movimentos!$D$4:$D$9996,B2892,Movimentos!$C$4:$C$9996,"Entrada")-SUMIFS(Movimentos!$F$4:$F$9996,Movimentos!$D$4:$D$9996,B2892,Movimentos!$C$4:$C$9996,"Saída"),""),"")</f>
        <v/>
      </c>
      <c r="F2892" s="10" t="str">
        <f t="shared" si="92"/>
        <v/>
      </c>
    </row>
    <row r="2893" spans="1:6" x14ac:dyDescent="0.3">
      <c r="A2893" s="15" t="str">
        <f t="shared" si="93"/>
        <v>.</v>
      </c>
      <c r="E2893" s="13" t="str">
        <f>IFERROR(IF(AND(B2893&lt;&gt;"",C2893&lt;&gt;""),SUMIFS(Movimentos!$F$4:$F$9996,Movimentos!$D$4:$D$9996,B2893,Movimentos!$C$4:$C$9996,"Entrada")-SUMIFS(Movimentos!$F$4:$F$9996,Movimentos!$D$4:$D$9996,B2893,Movimentos!$C$4:$C$9996,"Saída"),""),"")</f>
        <v/>
      </c>
      <c r="F2893" s="10" t="str">
        <f t="shared" si="92"/>
        <v/>
      </c>
    </row>
    <row r="2894" spans="1:6" x14ac:dyDescent="0.3">
      <c r="A2894" s="15" t="str">
        <f t="shared" si="93"/>
        <v>.</v>
      </c>
      <c r="E2894" s="13" t="str">
        <f>IFERROR(IF(AND(B2894&lt;&gt;"",C2894&lt;&gt;""),SUMIFS(Movimentos!$F$4:$F$9996,Movimentos!$D$4:$D$9996,B2894,Movimentos!$C$4:$C$9996,"Entrada")-SUMIFS(Movimentos!$F$4:$F$9996,Movimentos!$D$4:$D$9996,B2894,Movimentos!$C$4:$C$9996,"Saída"),""),"")</f>
        <v/>
      </c>
      <c r="F2894" s="10" t="str">
        <f t="shared" si="92"/>
        <v/>
      </c>
    </row>
    <row r="2895" spans="1:6" x14ac:dyDescent="0.3">
      <c r="A2895" s="15" t="str">
        <f t="shared" si="93"/>
        <v>.</v>
      </c>
      <c r="E2895" s="13" t="str">
        <f>IFERROR(IF(AND(B2895&lt;&gt;"",C2895&lt;&gt;""),SUMIFS(Movimentos!$F$4:$F$9996,Movimentos!$D$4:$D$9996,B2895,Movimentos!$C$4:$C$9996,"Entrada")-SUMIFS(Movimentos!$F$4:$F$9996,Movimentos!$D$4:$D$9996,B2895,Movimentos!$C$4:$C$9996,"Saída"),""),"")</f>
        <v/>
      </c>
      <c r="F2895" s="10" t="str">
        <f t="shared" si="92"/>
        <v/>
      </c>
    </row>
    <row r="2896" spans="1:6" x14ac:dyDescent="0.3">
      <c r="A2896" s="15" t="str">
        <f t="shared" si="93"/>
        <v>.</v>
      </c>
      <c r="E2896" s="13" t="str">
        <f>IFERROR(IF(AND(B2896&lt;&gt;"",C2896&lt;&gt;""),SUMIFS(Movimentos!$F$4:$F$9996,Movimentos!$D$4:$D$9996,B2896,Movimentos!$C$4:$C$9996,"Entrada")-SUMIFS(Movimentos!$F$4:$F$9996,Movimentos!$D$4:$D$9996,B2896,Movimentos!$C$4:$C$9996,"Saída"),""),"")</f>
        <v/>
      </c>
      <c r="F2896" s="10" t="str">
        <f t="shared" si="92"/>
        <v/>
      </c>
    </row>
    <row r="2897" spans="1:6" x14ac:dyDescent="0.3">
      <c r="A2897" s="15" t="str">
        <f t="shared" si="93"/>
        <v>.</v>
      </c>
      <c r="E2897" s="13" t="str">
        <f>IFERROR(IF(AND(B2897&lt;&gt;"",C2897&lt;&gt;""),SUMIFS(Movimentos!$F$4:$F$9996,Movimentos!$D$4:$D$9996,B2897,Movimentos!$C$4:$C$9996,"Entrada")-SUMIFS(Movimentos!$F$4:$F$9996,Movimentos!$D$4:$D$9996,B2897,Movimentos!$C$4:$C$9996,"Saída"),""),"")</f>
        <v/>
      </c>
      <c r="F2897" s="10" t="str">
        <f t="shared" si="92"/>
        <v/>
      </c>
    </row>
    <row r="2898" spans="1:6" x14ac:dyDescent="0.3">
      <c r="A2898" s="15" t="str">
        <f t="shared" si="93"/>
        <v>.</v>
      </c>
      <c r="E2898" s="13" t="str">
        <f>IFERROR(IF(AND(B2898&lt;&gt;"",C2898&lt;&gt;""),SUMIFS(Movimentos!$F$4:$F$9996,Movimentos!$D$4:$D$9996,B2898,Movimentos!$C$4:$C$9996,"Entrada")-SUMIFS(Movimentos!$F$4:$F$9996,Movimentos!$D$4:$D$9996,B2898,Movimentos!$C$4:$C$9996,"Saída"),""),"")</f>
        <v/>
      </c>
      <c r="F2898" s="10" t="str">
        <f t="shared" si="92"/>
        <v/>
      </c>
    </row>
    <row r="2899" spans="1:6" x14ac:dyDescent="0.3">
      <c r="A2899" s="15" t="str">
        <f t="shared" si="93"/>
        <v>.</v>
      </c>
      <c r="E2899" s="13" t="str">
        <f>IFERROR(IF(AND(B2899&lt;&gt;"",C2899&lt;&gt;""),SUMIFS(Movimentos!$F$4:$F$9996,Movimentos!$D$4:$D$9996,B2899,Movimentos!$C$4:$C$9996,"Entrada")-SUMIFS(Movimentos!$F$4:$F$9996,Movimentos!$D$4:$D$9996,B2899,Movimentos!$C$4:$C$9996,"Saída"),""),"")</f>
        <v/>
      </c>
      <c r="F2899" s="10" t="str">
        <f t="shared" si="92"/>
        <v/>
      </c>
    </row>
    <row r="2900" spans="1:6" x14ac:dyDescent="0.3">
      <c r="A2900" s="15" t="str">
        <f t="shared" si="93"/>
        <v>.</v>
      </c>
      <c r="E2900" s="13" t="str">
        <f>IFERROR(IF(AND(B2900&lt;&gt;"",C2900&lt;&gt;""),SUMIFS(Movimentos!$F$4:$F$9996,Movimentos!$D$4:$D$9996,B2900,Movimentos!$C$4:$C$9996,"Entrada")-SUMIFS(Movimentos!$F$4:$F$9996,Movimentos!$D$4:$D$9996,B2900,Movimentos!$C$4:$C$9996,"Saída"),""),"")</f>
        <v/>
      </c>
      <c r="F2900" s="10" t="str">
        <f t="shared" si="92"/>
        <v/>
      </c>
    </row>
    <row r="2901" spans="1:6" x14ac:dyDescent="0.3">
      <c r="A2901" s="15" t="str">
        <f t="shared" si="93"/>
        <v>.</v>
      </c>
      <c r="E2901" s="13" t="str">
        <f>IFERROR(IF(AND(B2901&lt;&gt;"",C2901&lt;&gt;""),SUMIFS(Movimentos!$F$4:$F$9996,Movimentos!$D$4:$D$9996,B2901,Movimentos!$C$4:$C$9996,"Entrada")-SUMIFS(Movimentos!$F$4:$F$9996,Movimentos!$D$4:$D$9996,B2901,Movimentos!$C$4:$C$9996,"Saída"),""),"")</f>
        <v/>
      </c>
      <c r="F2901" s="10" t="str">
        <f t="shared" si="92"/>
        <v/>
      </c>
    </row>
    <row r="2902" spans="1:6" x14ac:dyDescent="0.3">
      <c r="A2902" s="15" t="str">
        <f t="shared" si="93"/>
        <v>.</v>
      </c>
      <c r="E2902" s="13" t="str">
        <f>IFERROR(IF(AND(B2902&lt;&gt;"",C2902&lt;&gt;""),SUMIFS(Movimentos!$F$4:$F$9996,Movimentos!$D$4:$D$9996,B2902,Movimentos!$C$4:$C$9996,"Entrada")-SUMIFS(Movimentos!$F$4:$F$9996,Movimentos!$D$4:$D$9996,B2902,Movimentos!$C$4:$C$9996,"Saída"),""),"")</f>
        <v/>
      </c>
      <c r="F2902" s="10" t="str">
        <f t="shared" si="92"/>
        <v/>
      </c>
    </row>
    <row r="2903" spans="1:6" x14ac:dyDescent="0.3">
      <c r="A2903" s="15" t="str">
        <f t="shared" si="93"/>
        <v>.</v>
      </c>
      <c r="E2903" s="13" t="str">
        <f>IFERROR(IF(AND(B2903&lt;&gt;"",C2903&lt;&gt;""),SUMIFS(Movimentos!$F$4:$F$9996,Movimentos!$D$4:$D$9996,B2903,Movimentos!$C$4:$C$9996,"Entrada")-SUMIFS(Movimentos!$F$4:$F$9996,Movimentos!$D$4:$D$9996,B2903,Movimentos!$C$4:$C$9996,"Saída"),""),"")</f>
        <v/>
      </c>
      <c r="F2903" s="10" t="str">
        <f t="shared" ref="F2903:F2966" si="94">IF(AND(B2903&lt;&gt;"",C2903&lt;&gt;""),IF(E2903=0,"Saldo zerado",IF(E2903&lt;D2903,"Saldo abaixo do mínimo","Saldo disponível")),"")</f>
        <v/>
      </c>
    </row>
    <row r="2904" spans="1:6" x14ac:dyDescent="0.3">
      <c r="A2904" s="15" t="str">
        <f t="shared" si="93"/>
        <v>.</v>
      </c>
      <c r="E2904" s="13" t="str">
        <f>IFERROR(IF(AND(B2904&lt;&gt;"",C2904&lt;&gt;""),SUMIFS(Movimentos!$F$4:$F$9996,Movimentos!$D$4:$D$9996,B2904,Movimentos!$C$4:$C$9996,"Entrada")-SUMIFS(Movimentos!$F$4:$F$9996,Movimentos!$D$4:$D$9996,B2904,Movimentos!$C$4:$C$9996,"Saída"),""),"")</f>
        <v/>
      </c>
      <c r="F2904" s="10" t="str">
        <f t="shared" si="94"/>
        <v/>
      </c>
    </row>
    <row r="2905" spans="1:6" x14ac:dyDescent="0.3">
      <c r="A2905" s="15" t="str">
        <f t="shared" si="93"/>
        <v>.</v>
      </c>
      <c r="E2905" s="13" t="str">
        <f>IFERROR(IF(AND(B2905&lt;&gt;"",C2905&lt;&gt;""),SUMIFS(Movimentos!$F$4:$F$9996,Movimentos!$D$4:$D$9996,B2905,Movimentos!$C$4:$C$9996,"Entrada")-SUMIFS(Movimentos!$F$4:$F$9996,Movimentos!$D$4:$D$9996,B2905,Movimentos!$C$4:$C$9996,"Saída"),""),"")</f>
        <v/>
      </c>
      <c r="F2905" s="10" t="str">
        <f t="shared" si="94"/>
        <v/>
      </c>
    </row>
    <row r="2906" spans="1:6" x14ac:dyDescent="0.3">
      <c r="A2906" s="15" t="str">
        <f t="shared" si="93"/>
        <v>.</v>
      </c>
      <c r="E2906" s="13" t="str">
        <f>IFERROR(IF(AND(B2906&lt;&gt;"",C2906&lt;&gt;""),SUMIFS(Movimentos!$F$4:$F$9996,Movimentos!$D$4:$D$9996,B2906,Movimentos!$C$4:$C$9996,"Entrada")-SUMIFS(Movimentos!$F$4:$F$9996,Movimentos!$D$4:$D$9996,B2906,Movimentos!$C$4:$C$9996,"Saída"),""),"")</f>
        <v/>
      </c>
      <c r="F2906" s="10" t="str">
        <f t="shared" si="94"/>
        <v/>
      </c>
    </row>
    <row r="2907" spans="1:6" x14ac:dyDescent="0.3">
      <c r="A2907" s="15" t="str">
        <f t="shared" si="93"/>
        <v>.</v>
      </c>
      <c r="E2907" s="13" t="str">
        <f>IFERROR(IF(AND(B2907&lt;&gt;"",C2907&lt;&gt;""),SUMIFS(Movimentos!$F$4:$F$9996,Movimentos!$D$4:$D$9996,B2907,Movimentos!$C$4:$C$9996,"Entrada")-SUMIFS(Movimentos!$F$4:$F$9996,Movimentos!$D$4:$D$9996,B2907,Movimentos!$C$4:$C$9996,"Saída"),""),"")</f>
        <v/>
      </c>
      <c r="F2907" s="10" t="str">
        <f t="shared" si="94"/>
        <v/>
      </c>
    </row>
    <row r="2908" spans="1:6" x14ac:dyDescent="0.3">
      <c r="A2908" s="15" t="str">
        <f t="shared" si="93"/>
        <v>.</v>
      </c>
      <c r="E2908" s="13" t="str">
        <f>IFERROR(IF(AND(B2908&lt;&gt;"",C2908&lt;&gt;""),SUMIFS(Movimentos!$F$4:$F$9996,Movimentos!$D$4:$D$9996,B2908,Movimentos!$C$4:$C$9996,"Entrada")-SUMIFS(Movimentos!$F$4:$F$9996,Movimentos!$D$4:$D$9996,B2908,Movimentos!$C$4:$C$9996,"Saída"),""),"")</f>
        <v/>
      </c>
      <c r="F2908" s="10" t="str">
        <f t="shared" si="94"/>
        <v/>
      </c>
    </row>
    <row r="2909" spans="1:6" x14ac:dyDescent="0.3">
      <c r="A2909" s="15" t="str">
        <f t="shared" si="93"/>
        <v>.</v>
      </c>
      <c r="E2909" s="13" t="str">
        <f>IFERROR(IF(AND(B2909&lt;&gt;"",C2909&lt;&gt;""),SUMIFS(Movimentos!$F$4:$F$9996,Movimentos!$D$4:$D$9996,B2909,Movimentos!$C$4:$C$9996,"Entrada")-SUMIFS(Movimentos!$F$4:$F$9996,Movimentos!$D$4:$D$9996,B2909,Movimentos!$C$4:$C$9996,"Saída"),""),"")</f>
        <v/>
      </c>
      <c r="F2909" s="10" t="str">
        <f t="shared" si="94"/>
        <v/>
      </c>
    </row>
    <row r="2910" spans="1:6" x14ac:dyDescent="0.3">
      <c r="A2910" s="15" t="str">
        <f t="shared" si="93"/>
        <v>.</v>
      </c>
      <c r="E2910" s="13" t="str">
        <f>IFERROR(IF(AND(B2910&lt;&gt;"",C2910&lt;&gt;""),SUMIFS(Movimentos!$F$4:$F$9996,Movimentos!$D$4:$D$9996,B2910,Movimentos!$C$4:$C$9996,"Entrada")-SUMIFS(Movimentos!$F$4:$F$9996,Movimentos!$D$4:$D$9996,B2910,Movimentos!$C$4:$C$9996,"Saída"),""),"")</f>
        <v/>
      </c>
      <c r="F2910" s="10" t="str">
        <f t="shared" si="94"/>
        <v/>
      </c>
    </row>
    <row r="2911" spans="1:6" x14ac:dyDescent="0.3">
      <c r="A2911" s="15" t="str">
        <f t="shared" si="93"/>
        <v>.</v>
      </c>
      <c r="E2911" s="13" t="str">
        <f>IFERROR(IF(AND(B2911&lt;&gt;"",C2911&lt;&gt;""),SUMIFS(Movimentos!$F$4:$F$9996,Movimentos!$D$4:$D$9996,B2911,Movimentos!$C$4:$C$9996,"Entrada")-SUMIFS(Movimentos!$F$4:$F$9996,Movimentos!$D$4:$D$9996,B2911,Movimentos!$C$4:$C$9996,"Saída"),""),"")</f>
        <v/>
      </c>
      <c r="F2911" s="10" t="str">
        <f t="shared" si="94"/>
        <v/>
      </c>
    </row>
    <row r="2912" spans="1:6" x14ac:dyDescent="0.3">
      <c r="A2912" s="15" t="str">
        <f t="shared" si="93"/>
        <v>.</v>
      </c>
      <c r="E2912" s="13" t="str">
        <f>IFERROR(IF(AND(B2912&lt;&gt;"",C2912&lt;&gt;""),SUMIFS(Movimentos!$F$4:$F$9996,Movimentos!$D$4:$D$9996,B2912,Movimentos!$C$4:$C$9996,"Entrada")-SUMIFS(Movimentos!$F$4:$F$9996,Movimentos!$D$4:$D$9996,B2912,Movimentos!$C$4:$C$9996,"Saída"),""),"")</f>
        <v/>
      </c>
      <c r="F2912" s="10" t="str">
        <f t="shared" si="94"/>
        <v/>
      </c>
    </row>
    <row r="2913" spans="1:6" x14ac:dyDescent="0.3">
      <c r="A2913" s="15" t="str">
        <f t="shared" si="93"/>
        <v>.</v>
      </c>
      <c r="E2913" s="13" t="str">
        <f>IFERROR(IF(AND(B2913&lt;&gt;"",C2913&lt;&gt;""),SUMIFS(Movimentos!$F$4:$F$9996,Movimentos!$D$4:$D$9996,B2913,Movimentos!$C$4:$C$9996,"Entrada")-SUMIFS(Movimentos!$F$4:$F$9996,Movimentos!$D$4:$D$9996,B2913,Movimentos!$C$4:$C$9996,"Saída"),""),"")</f>
        <v/>
      </c>
      <c r="F2913" s="10" t="str">
        <f t="shared" si="94"/>
        <v/>
      </c>
    </row>
    <row r="2914" spans="1:6" x14ac:dyDescent="0.3">
      <c r="A2914" s="15" t="str">
        <f t="shared" si="93"/>
        <v>.</v>
      </c>
      <c r="E2914" s="13" t="str">
        <f>IFERROR(IF(AND(B2914&lt;&gt;"",C2914&lt;&gt;""),SUMIFS(Movimentos!$F$4:$F$9996,Movimentos!$D$4:$D$9996,B2914,Movimentos!$C$4:$C$9996,"Entrada")-SUMIFS(Movimentos!$F$4:$F$9996,Movimentos!$D$4:$D$9996,B2914,Movimentos!$C$4:$C$9996,"Saída"),""),"")</f>
        <v/>
      </c>
      <c r="F2914" s="10" t="str">
        <f t="shared" si="94"/>
        <v/>
      </c>
    </row>
    <row r="2915" spans="1:6" x14ac:dyDescent="0.3">
      <c r="A2915" s="15" t="str">
        <f t="shared" si="93"/>
        <v>.</v>
      </c>
      <c r="E2915" s="13" t="str">
        <f>IFERROR(IF(AND(B2915&lt;&gt;"",C2915&lt;&gt;""),SUMIFS(Movimentos!$F$4:$F$9996,Movimentos!$D$4:$D$9996,B2915,Movimentos!$C$4:$C$9996,"Entrada")-SUMIFS(Movimentos!$F$4:$F$9996,Movimentos!$D$4:$D$9996,B2915,Movimentos!$C$4:$C$9996,"Saída"),""),"")</f>
        <v/>
      </c>
      <c r="F2915" s="10" t="str">
        <f t="shared" si="94"/>
        <v/>
      </c>
    </row>
    <row r="2916" spans="1:6" x14ac:dyDescent="0.3">
      <c r="A2916" s="15" t="str">
        <f t="shared" si="93"/>
        <v>.</v>
      </c>
      <c r="E2916" s="13" t="str">
        <f>IFERROR(IF(AND(B2916&lt;&gt;"",C2916&lt;&gt;""),SUMIFS(Movimentos!$F$4:$F$9996,Movimentos!$D$4:$D$9996,B2916,Movimentos!$C$4:$C$9996,"Entrada")-SUMIFS(Movimentos!$F$4:$F$9996,Movimentos!$D$4:$D$9996,B2916,Movimentos!$C$4:$C$9996,"Saída"),""),"")</f>
        <v/>
      </c>
      <c r="F2916" s="10" t="str">
        <f t="shared" si="94"/>
        <v/>
      </c>
    </row>
    <row r="2917" spans="1:6" x14ac:dyDescent="0.3">
      <c r="A2917" s="15" t="str">
        <f t="shared" si="93"/>
        <v>.</v>
      </c>
      <c r="E2917" s="13" t="str">
        <f>IFERROR(IF(AND(B2917&lt;&gt;"",C2917&lt;&gt;""),SUMIFS(Movimentos!$F$4:$F$9996,Movimentos!$D$4:$D$9996,B2917,Movimentos!$C$4:$C$9996,"Entrada")-SUMIFS(Movimentos!$F$4:$F$9996,Movimentos!$D$4:$D$9996,B2917,Movimentos!$C$4:$C$9996,"Saída"),""),"")</f>
        <v/>
      </c>
      <c r="F2917" s="10" t="str">
        <f t="shared" si="94"/>
        <v/>
      </c>
    </row>
    <row r="2918" spans="1:6" x14ac:dyDescent="0.3">
      <c r="A2918" s="15" t="str">
        <f t="shared" si="93"/>
        <v>.</v>
      </c>
      <c r="E2918" s="13" t="str">
        <f>IFERROR(IF(AND(B2918&lt;&gt;"",C2918&lt;&gt;""),SUMIFS(Movimentos!$F$4:$F$9996,Movimentos!$D$4:$D$9996,B2918,Movimentos!$C$4:$C$9996,"Entrada")-SUMIFS(Movimentos!$F$4:$F$9996,Movimentos!$D$4:$D$9996,B2918,Movimentos!$C$4:$C$9996,"Saída"),""),"")</f>
        <v/>
      </c>
      <c r="F2918" s="10" t="str">
        <f t="shared" si="94"/>
        <v/>
      </c>
    </row>
    <row r="2919" spans="1:6" x14ac:dyDescent="0.3">
      <c r="A2919" s="15" t="str">
        <f t="shared" si="93"/>
        <v>.</v>
      </c>
      <c r="E2919" s="13" t="str">
        <f>IFERROR(IF(AND(B2919&lt;&gt;"",C2919&lt;&gt;""),SUMIFS(Movimentos!$F$4:$F$9996,Movimentos!$D$4:$D$9996,B2919,Movimentos!$C$4:$C$9996,"Entrada")-SUMIFS(Movimentos!$F$4:$F$9996,Movimentos!$D$4:$D$9996,B2919,Movimentos!$C$4:$C$9996,"Saída"),""),"")</f>
        <v/>
      </c>
      <c r="F2919" s="10" t="str">
        <f t="shared" si="94"/>
        <v/>
      </c>
    </row>
    <row r="2920" spans="1:6" x14ac:dyDescent="0.3">
      <c r="A2920" s="15" t="str">
        <f t="shared" si="93"/>
        <v>.</v>
      </c>
      <c r="E2920" s="13" t="str">
        <f>IFERROR(IF(AND(B2920&lt;&gt;"",C2920&lt;&gt;""),SUMIFS(Movimentos!$F$4:$F$9996,Movimentos!$D$4:$D$9996,B2920,Movimentos!$C$4:$C$9996,"Entrada")-SUMIFS(Movimentos!$F$4:$F$9996,Movimentos!$D$4:$D$9996,B2920,Movimentos!$C$4:$C$9996,"Saída"),""),"")</f>
        <v/>
      </c>
      <c r="F2920" s="10" t="str">
        <f t="shared" si="94"/>
        <v/>
      </c>
    </row>
    <row r="2921" spans="1:6" x14ac:dyDescent="0.3">
      <c r="A2921" s="15" t="str">
        <f t="shared" si="93"/>
        <v>.</v>
      </c>
      <c r="E2921" s="13" t="str">
        <f>IFERROR(IF(AND(B2921&lt;&gt;"",C2921&lt;&gt;""),SUMIFS(Movimentos!$F$4:$F$9996,Movimentos!$D$4:$D$9996,B2921,Movimentos!$C$4:$C$9996,"Entrada")-SUMIFS(Movimentos!$F$4:$F$9996,Movimentos!$D$4:$D$9996,B2921,Movimentos!$C$4:$C$9996,"Saída"),""),"")</f>
        <v/>
      </c>
      <c r="F2921" s="10" t="str">
        <f t="shared" si="94"/>
        <v/>
      </c>
    </row>
    <row r="2922" spans="1:6" x14ac:dyDescent="0.3">
      <c r="A2922" s="15" t="str">
        <f t="shared" si="93"/>
        <v>.</v>
      </c>
      <c r="E2922" s="13" t="str">
        <f>IFERROR(IF(AND(B2922&lt;&gt;"",C2922&lt;&gt;""),SUMIFS(Movimentos!$F$4:$F$9996,Movimentos!$D$4:$D$9996,B2922,Movimentos!$C$4:$C$9996,"Entrada")-SUMIFS(Movimentos!$F$4:$F$9996,Movimentos!$D$4:$D$9996,B2922,Movimentos!$C$4:$C$9996,"Saída"),""),"")</f>
        <v/>
      </c>
      <c r="F2922" s="10" t="str">
        <f t="shared" si="94"/>
        <v/>
      </c>
    </row>
    <row r="2923" spans="1:6" x14ac:dyDescent="0.3">
      <c r="A2923" s="15" t="str">
        <f t="shared" si="93"/>
        <v>.</v>
      </c>
      <c r="E2923" s="13" t="str">
        <f>IFERROR(IF(AND(B2923&lt;&gt;"",C2923&lt;&gt;""),SUMIFS(Movimentos!$F$4:$F$9996,Movimentos!$D$4:$D$9996,B2923,Movimentos!$C$4:$C$9996,"Entrada")-SUMIFS(Movimentos!$F$4:$F$9996,Movimentos!$D$4:$D$9996,B2923,Movimentos!$C$4:$C$9996,"Saída"),""),"")</f>
        <v/>
      </c>
      <c r="F2923" s="10" t="str">
        <f t="shared" si="94"/>
        <v/>
      </c>
    </row>
    <row r="2924" spans="1:6" x14ac:dyDescent="0.3">
      <c r="A2924" s="15" t="str">
        <f t="shared" si="93"/>
        <v>.</v>
      </c>
      <c r="E2924" s="13" t="str">
        <f>IFERROR(IF(AND(B2924&lt;&gt;"",C2924&lt;&gt;""),SUMIFS(Movimentos!$F$4:$F$9996,Movimentos!$D$4:$D$9996,B2924,Movimentos!$C$4:$C$9996,"Entrada")-SUMIFS(Movimentos!$F$4:$F$9996,Movimentos!$D$4:$D$9996,B2924,Movimentos!$C$4:$C$9996,"Saída"),""),"")</f>
        <v/>
      </c>
      <c r="F2924" s="10" t="str">
        <f t="shared" si="94"/>
        <v/>
      </c>
    </row>
    <row r="2925" spans="1:6" x14ac:dyDescent="0.3">
      <c r="A2925" s="15" t="str">
        <f t="shared" si="93"/>
        <v>.</v>
      </c>
      <c r="E2925" s="13" t="str">
        <f>IFERROR(IF(AND(B2925&lt;&gt;"",C2925&lt;&gt;""),SUMIFS(Movimentos!$F$4:$F$9996,Movimentos!$D$4:$D$9996,B2925,Movimentos!$C$4:$C$9996,"Entrada")-SUMIFS(Movimentos!$F$4:$F$9996,Movimentos!$D$4:$D$9996,B2925,Movimentos!$C$4:$C$9996,"Saída"),""),"")</f>
        <v/>
      </c>
      <c r="F2925" s="10" t="str">
        <f t="shared" si="94"/>
        <v/>
      </c>
    </row>
    <row r="2926" spans="1:6" x14ac:dyDescent="0.3">
      <c r="A2926" s="15" t="str">
        <f t="shared" si="93"/>
        <v>.</v>
      </c>
      <c r="E2926" s="13" t="str">
        <f>IFERROR(IF(AND(B2926&lt;&gt;"",C2926&lt;&gt;""),SUMIFS(Movimentos!$F$4:$F$9996,Movimentos!$D$4:$D$9996,B2926,Movimentos!$C$4:$C$9996,"Entrada")-SUMIFS(Movimentos!$F$4:$F$9996,Movimentos!$D$4:$D$9996,B2926,Movimentos!$C$4:$C$9996,"Saída"),""),"")</f>
        <v/>
      </c>
      <c r="F2926" s="10" t="str">
        <f t="shared" si="94"/>
        <v/>
      </c>
    </row>
    <row r="2927" spans="1:6" x14ac:dyDescent="0.3">
      <c r="A2927" s="15" t="str">
        <f t="shared" si="93"/>
        <v>.</v>
      </c>
      <c r="E2927" s="13" t="str">
        <f>IFERROR(IF(AND(B2927&lt;&gt;"",C2927&lt;&gt;""),SUMIFS(Movimentos!$F$4:$F$9996,Movimentos!$D$4:$D$9996,B2927,Movimentos!$C$4:$C$9996,"Entrada")-SUMIFS(Movimentos!$F$4:$F$9996,Movimentos!$D$4:$D$9996,B2927,Movimentos!$C$4:$C$9996,"Saída"),""),"")</f>
        <v/>
      </c>
      <c r="F2927" s="10" t="str">
        <f t="shared" si="94"/>
        <v/>
      </c>
    </row>
    <row r="2928" spans="1:6" x14ac:dyDescent="0.3">
      <c r="A2928" s="15" t="str">
        <f t="shared" si="93"/>
        <v>.</v>
      </c>
      <c r="E2928" s="13" t="str">
        <f>IFERROR(IF(AND(B2928&lt;&gt;"",C2928&lt;&gt;""),SUMIFS(Movimentos!$F$4:$F$9996,Movimentos!$D$4:$D$9996,B2928,Movimentos!$C$4:$C$9996,"Entrada")-SUMIFS(Movimentos!$F$4:$F$9996,Movimentos!$D$4:$D$9996,B2928,Movimentos!$C$4:$C$9996,"Saída"),""),"")</f>
        <v/>
      </c>
      <c r="F2928" s="10" t="str">
        <f t="shared" si="94"/>
        <v/>
      </c>
    </row>
    <row r="2929" spans="1:6" x14ac:dyDescent="0.3">
      <c r="A2929" s="15" t="str">
        <f t="shared" si="93"/>
        <v>.</v>
      </c>
      <c r="E2929" s="13" t="str">
        <f>IFERROR(IF(AND(B2929&lt;&gt;"",C2929&lt;&gt;""),SUMIFS(Movimentos!$F$4:$F$9996,Movimentos!$D$4:$D$9996,B2929,Movimentos!$C$4:$C$9996,"Entrada")-SUMIFS(Movimentos!$F$4:$F$9996,Movimentos!$D$4:$D$9996,B2929,Movimentos!$C$4:$C$9996,"Saída"),""),"")</f>
        <v/>
      </c>
      <c r="F2929" s="10" t="str">
        <f t="shared" si="94"/>
        <v/>
      </c>
    </row>
    <row r="2930" spans="1:6" x14ac:dyDescent="0.3">
      <c r="A2930" s="15" t="str">
        <f t="shared" si="93"/>
        <v>.</v>
      </c>
      <c r="E2930" s="13" t="str">
        <f>IFERROR(IF(AND(B2930&lt;&gt;"",C2930&lt;&gt;""),SUMIFS(Movimentos!$F$4:$F$9996,Movimentos!$D$4:$D$9996,B2930,Movimentos!$C$4:$C$9996,"Entrada")-SUMIFS(Movimentos!$F$4:$F$9996,Movimentos!$D$4:$D$9996,B2930,Movimentos!$C$4:$C$9996,"Saída"),""),"")</f>
        <v/>
      </c>
      <c r="F2930" s="10" t="str">
        <f t="shared" si="94"/>
        <v/>
      </c>
    </row>
    <row r="2931" spans="1:6" x14ac:dyDescent="0.3">
      <c r="A2931" s="15" t="str">
        <f t="shared" si="93"/>
        <v>.</v>
      </c>
      <c r="E2931" s="13" t="str">
        <f>IFERROR(IF(AND(B2931&lt;&gt;"",C2931&lt;&gt;""),SUMIFS(Movimentos!$F$4:$F$9996,Movimentos!$D$4:$D$9996,B2931,Movimentos!$C$4:$C$9996,"Entrada")-SUMIFS(Movimentos!$F$4:$F$9996,Movimentos!$D$4:$D$9996,B2931,Movimentos!$C$4:$C$9996,"Saída"),""),"")</f>
        <v/>
      </c>
      <c r="F2931" s="10" t="str">
        <f t="shared" si="94"/>
        <v/>
      </c>
    </row>
    <row r="2932" spans="1:6" x14ac:dyDescent="0.3">
      <c r="A2932" s="15" t="str">
        <f t="shared" si="93"/>
        <v>.</v>
      </c>
      <c r="E2932" s="13" t="str">
        <f>IFERROR(IF(AND(B2932&lt;&gt;"",C2932&lt;&gt;""),SUMIFS(Movimentos!$F$4:$F$9996,Movimentos!$D$4:$D$9996,B2932,Movimentos!$C$4:$C$9996,"Entrada")-SUMIFS(Movimentos!$F$4:$F$9996,Movimentos!$D$4:$D$9996,B2932,Movimentos!$C$4:$C$9996,"Saída"),""),"")</f>
        <v/>
      </c>
      <c r="F2932" s="10" t="str">
        <f t="shared" si="94"/>
        <v/>
      </c>
    </row>
    <row r="2933" spans="1:6" x14ac:dyDescent="0.3">
      <c r="A2933" s="15" t="str">
        <f t="shared" si="93"/>
        <v>.</v>
      </c>
      <c r="E2933" s="13" t="str">
        <f>IFERROR(IF(AND(B2933&lt;&gt;"",C2933&lt;&gt;""),SUMIFS(Movimentos!$F$4:$F$9996,Movimentos!$D$4:$D$9996,B2933,Movimentos!$C$4:$C$9996,"Entrada")-SUMIFS(Movimentos!$F$4:$F$9996,Movimentos!$D$4:$D$9996,B2933,Movimentos!$C$4:$C$9996,"Saída"),""),"")</f>
        <v/>
      </c>
      <c r="F2933" s="10" t="str">
        <f t="shared" si="94"/>
        <v/>
      </c>
    </row>
    <row r="2934" spans="1:6" x14ac:dyDescent="0.3">
      <c r="A2934" s="15" t="str">
        <f t="shared" si="93"/>
        <v>.</v>
      </c>
      <c r="E2934" s="13" t="str">
        <f>IFERROR(IF(AND(B2934&lt;&gt;"",C2934&lt;&gt;""),SUMIFS(Movimentos!$F$4:$F$9996,Movimentos!$D$4:$D$9996,B2934,Movimentos!$C$4:$C$9996,"Entrada")-SUMIFS(Movimentos!$F$4:$F$9996,Movimentos!$D$4:$D$9996,B2934,Movimentos!$C$4:$C$9996,"Saída"),""),"")</f>
        <v/>
      </c>
      <c r="F2934" s="10" t="str">
        <f t="shared" si="94"/>
        <v/>
      </c>
    </row>
    <row r="2935" spans="1:6" x14ac:dyDescent="0.3">
      <c r="A2935" s="15" t="str">
        <f t="shared" si="93"/>
        <v>.</v>
      </c>
      <c r="E2935" s="13" t="str">
        <f>IFERROR(IF(AND(B2935&lt;&gt;"",C2935&lt;&gt;""),SUMIFS(Movimentos!$F$4:$F$9996,Movimentos!$D$4:$D$9996,B2935,Movimentos!$C$4:$C$9996,"Entrada")-SUMIFS(Movimentos!$F$4:$F$9996,Movimentos!$D$4:$D$9996,B2935,Movimentos!$C$4:$C$9996,"Saída"),""),"")</f>
        <v/>
      </c>
      <c r="F2935" s="10" t="str">
        <f t="shared" si="94"/>
        <v/>
      </c>
    </row>
    <row r="2936" spans="1:6" x14ac:dyDescent="0.3">
      <c r="A2936" s="15" t="str">
        <f t="shared" si="93"/>
        <v>.</v>
      </c>
      <c r="E2936" s="13" t="str">
        <f>IFERROR(IF(AND(B2936&lt;&gt;"",C2936&lt;&gt;""),SUMIFS(Movimentos!$F$4:$F$9996,Movimentos!$D$4:$D$9996,B2936,Movimentos!$C$4:$C$9996,"Entrada")-SUMIFS(Movimentos!$F$4:$F$9996,Movimentos!$D$4:$D$9996,B2936,Movimentos!$C$4:$C$9996,"Saída"),""),"")</f>
        <v/>
      </c>
      <c r="F2936" s="10" t="str">
        <f t="shared" si="94"/>
        <v/>
      </c>
    </row>
    <row r="2937" spans="1:6" x14ac:dyDescent="0.3">
      <c r="A2937" s="15" t="str">
        <f t="shared" si="93"/>
        <v>.</v>
      </c>
      <c r="E2937" s="13" t="str">
        <f>IFERROR(IF(AND(B2937&lt;&gt;"",C2937&lt;&gt;""),SUMIFS(Movimentos!$F$4:$F$9996,Movimentos!$D$4:$D$9996,B2937,Movimentos!$C$4:$C$9996,"Entrada")-SUMIFS(Movimentos!$F$4:$F$9996,Movimentos!$D$4:$D$9996,B2937,Movimentos!$C$4:$C$9996,"Saída"),""),"")</f>
        <v/>
      </c>
      <c r="F2937" s="10" t="str">
        <f t="shared" si="94"/>
        <v/>
      </c>
    </row>
    <row r="2938" spans="1:6" x14ac:dyDescent="0.3">
      <c r="A2938" s="15" t="str">
        <f t="shared" si="93"/>
        <v>.</v>
      </c>
      <c r="E2938" s="13" t="str">
        <f>IFERROR(IF(AND(B2938&lt;&gt;"",C2938&lt;&gt;""),SUMIFS(Movimentos!$F$4:$F$9996,Movimentos!$D$4:$D$9996,B2938,Movimentos!$C$4:$C$9996,"Entrada")-SUMIFS(Movimentos!$F$4:$F$9996,Movimentos!$D$4:$D$9996,B2938,Movimentos!$C$4:$C$9996,"Saída"),""),"")</f>
        <v/>
      </c>
      <c r="F2938" s="10" t="str">
        <f t="shared" si="94"/>
        <v/>
      </c>
    </row>
    <row r="2939" spans="1:6" x14ac:dyDescent="0.3">
      <c r="A2939" s="15" t="str">
        <f t="shared" si="93"/>
        <v>.</v>
      </c>
      <c r="E2939" s="13" t="str">
        <f>IFERROR(IF(AND(B2939&lt;&gt;"",C2939&lt;&gt;""),SUMIFS(Movimentos!$F$4:$F$9996,Movimentos!$D$4:$D$9996,B2939,Movimentos!$C$4:$C$9996,"Entrada")-SUMIFS(Movimentos!$F$4:$F$9996,Movimentos!$D$4:$D$9996,B2939,Movimentos!$C$4:$C$9996,"Saída"),""),"")</f>
        <v/>
      </c>
      <c r="F2939" s="10" t="str">
        <f t="shared" si="94"/>
        <v/>
      </c>
    </row>
    <row r="2940" spans="1:6" x14ac:dyDescent="0.3">
      <c r="A2940" s="15" t="str">
        <f t="shared" si="93"/>
        <v>.</v>
      </c>
      <c r="E2940" s="13" t="str">
        <f>IFERROR(IF(AND(B2940&lt;&gt;"",C2940&lt;&gt;""),SUMIFS(Movimentos!$F$4:$F$9996,Movimentos!$D$4:$D$9996,B2940,Movimentos!$C$4:$C$9996,"Entrada")-SUMIFS(Movimentos!$F$4:$F$9996,Movimentos!$D$4:$D$9996,B2940,Movimentos!$C$4:$C$9996,"Saída"),""),"")</f>
        <v/>
      </c>
      <c r="F2940" s="10" t="str">
        <f t="shared" si="94"/>
        <v/>
      </c>
    </row>
    <row r="2941" spans="1:6" x14ac:dyDescent="0.3">
      <c r="A2941" s="15" t="str">
        <f t="shared" si="93"/>
        <v>.</v>
      </c>
      <c r="E2941" s="13" t="str">
        <f>IFERROR(IF(AND(B2941&lt;&gt;"",C2941&lt;&gt;""),SUMIFS(Movimentos!$F$4:$F$9996,Movimentos!$D$4:$D$9996,B2941,Movimentos!$C$4:$C$9996,"Entrada")-SUMIFS(Movimentos!$F$4:$F$9996,Movimentos!$D$4:$D$9996,B2941,Movimentos!$C$4:$C$9996,"Saída"),""),"")</f>
        <v/>
      </c>
      <c r="F2941" s="10" t="str">
        <f t="shared" si="94"/>
        <v/>
      </c>
    </row>
    <row r="2942" spans="1:6" x14ac:dyDescent="0.3">
      <c r="A2942" s="15" t="str">
        <f t="shared" si="93"/>
        <v>.</v>
      </c>
      <c r="E2942" s="13" t="str">
        <f>IFERROR(IF(AND(B2942&lt;&gt;"",C2942&lt;&gt;""),SUMIFS(Movimentos!$F$4:$F$9996,Movimentos!$D$4:$D$9996,B2942,Movimentos!$C$4:$C$9996,"Entrada")-SUMIFS(Movimentos!$F$4:$F$9996,Movimentos!$D$4:$D$9996,B2942,Movimentos!$C$4:$C$9996,"Saída"),""),"")</f>
        <v/>
      </c>
      <c r="F2942" s="10" t="str">
        <f t="shared" si="94"/>
        <v/>
      </c>
    </row>
    <row r="2943" spans="1:6" x14ac:dyDescent="0.3">
      <c r="A2943" s="15" t="str">
        <f t="shared" si="93"/>
        <v>.</v>
      </c>
      <c r="E2943" s="13" t="str">
        <f>IFERROR(IF(AND(B2943&lt;&gt;"",C2943&lt;&gt;""),SUMIFS(Movimentos!$F$4:$F$9996,Movimentos!$D$4:$D$9996,B2943,Movimentos!$C$4:$C$9996,"Entrada")-SUMIFS(Movimentos!$F$4:$F$9996,Movimentos!$D$4:$D$9996,B2943,Movimentos!$C$4:$C$9996,"Saída"),""),"")</f>
        <v/>
      </c>
      <c r="F2943" s="10" t="str">
        <f t="shared" si="94"/>
        <v/>
      </c>
    </row>
    <row r="2944" spans="1:6" x14ac:dyDescent="0.3">
      <c r="A2944" s="15" t="str">
        <f t="shared" ref="A2944:A3007" si="95">IF(F2944="Saldo zerado",0,IF(F2944="Saldo abaixo do mínimo",1,IF(F2944="Saldo disponível",2,".")))</f>
        <v>.</v>
      </c>
      <c r="E2944" s="13" t="str">
        <f>IFERROR(IF(AND(B2944&lt;&gt;"",C2944&lt;&gt;""),SUMIFS(Movimentos!$F$4:$F$9996,Movimentos!$D$4:$D$9996,B2944,Movimentos!$C$4:$C$9996,"Entrada")-SUMIFS(Movimentos!$F$4:$F$9996,Movimentos!$D$4:$D$9996,B2944,Movimentos!$C$4:$C$9996,"Saída"),""),"")</f>
        <v/>
      </c>
      <c r="F2944" s="10" t="str">
        <f t="shared" si="94"/>
        <v/>
      </c>
    </row>
    <row r="2945" spans="1:6" x14ac:dyDescent="0.3">
      <c r="A2945" s="15" t="str">
        <f t="shared" si="95"/>
        <v>.</v>
      </c>
      <c r="E2945" s="13" t="str">
        <f>IFERROR(IF(AND(B2945&lt;&gt;"",C2945&lt;&gt;""),SUMIFS(Movimentos!$F$4:$F$9996,Movimentos!$D$4:$D$9996,B2945,Movimentos!$C$4:$C$9996,"Entrada")-SUMIFS(Movimentos!$F$4:$F$9996,Movimentos!$D$4:$D$9996,B2945,Movimentos!$C$4:$C$9996,"Saída"),""),"")</f>
        <v/>
      </c>
      <c r="F2945" s="10" t="str">
        <f t="shared" si="94"/>
        <v/>
      </c>
    </row>
    <row r="2946" spans="1:6" x14ac:dyDescent="0.3">
      <c r="A2946" s="15" t="str">
        <f t="shared" si="95"/>
        <v>.</v>
      </c>
      <c r="E2946" s="13" t="str">
        <f>IFERROR(IF(AND(B2946&lt;&gt;"",C2946&lt;&gt;""),SUMIFS(Movimentos!$F$4:$F$9996,Movimentos!$D$4:$D$9996,B2946,Movimentos!$C$4:$C$9996,"Entrada")-SUMIFS(Movimentos!$F$4:$F$9996,Movimentos!$D$4:$D$9996,B2946,Movimentos!$C$4:$C$9996,"Saída"),""),"")</f>
        <v/>
      </c>
      <c r="F2946" s="10" t="str">
        <f t="shared" si="94"/>
        <v/>
      </c>
    </row>
    <row r="2947" spans="1:6" x14ac:dyDescent="0.3">
      <c r="A2947" s="15" t="str">
        <f t="shared" si="95"/>
        <v>.</v>
      </c>
      <c r="E2947" s="13" t="str">
        <f>IFERROR(IF(AND(B2947&lt;&gt;"",C2947&lt;&gt;""),SUMIFS(Movimentos!$F$4:$F$9996,Movimentos!$D$4:$D$9996,B2947,Movimentos!$C$4:$C$9996,"Entrada")-SUMIFS(Movimentos!$F$4:$F$9996,Movimentos!$D$4:$D$9996,B2947,Movimentos!$C$4:$C$9996,"Saída"),""),"")</f>
        <v/>
      </c>
      <c r="F2947" s="10" t="str">
        <f t="shared" si="94"/>
        <v/>
      </c>
    </row>
    <row r="2948" spans="1:6" x14ac:dyDescent="0.3">
      <c r="A2948" s="15" t="str">
        <f t="shared" si="95"/>
        <v>.</v>
      </c>
      <c r="E2948" s="13" t="str">
        <f>IFERROR(IF(AND(B2948&lt;&gt;"",C2948&lt;&gt;""),SUMIFS(Movimentos!$F$4:$F$9996,Movimentos!$D$4:$D$9996,B2948,Movimentos!$C$4:$C$9996,"Entrada")-SUMIFS(Movimentos!$F$4:$F$9996,Movimentos!$D$4:$D$9996,B2948,Movimentos!$C$4:$C$9996,"Saída"),""),"")</f>
        <v/>
      </c>
      <c r="F2948" s="10" t="str">
        <f t="shared" si="94"/>
        <v/>
      </c>
    </row>
    <row r="2949" spans="1:6" x14ac:dyDescent="0.3">
      <c r="A2949" s="15" t="str">
        <f t="shared" si="95"/>
        <v>.</v>
      </c>
      <c r="E2949" s="13" t="str">
        <f>IFERROR(IF(AND(B2949&lt;&gt;"",C2949&lt;&gt;""),SUMIFS(Movimentos!$F$4:$F$9996,Movimentos!$D$4:$D$9996,B2949,Movimentos!$C$4:$C$9996,"Entrada")-SUMIFS(Movimentos!$F$4:$F$9996,Movimentos!$D$4:$D$9996,B2949,Movimentos!$C$4:$C$9996,"Saída"),""),"")</f>
        <v/>
      </c>
      <c r="F2949" s="10" t="str">
        <f t="shared" si="94"/>
        <v/>
      </c>
    </row>
    <row r="2950" spans="1:6" x14ac:dyDescent="0.3">
      <c r="A2950" s="15" t="str">
        <f t="shared" si="95"/>
        <v>.</v>
      </c>
      <c r="E2950" s="13" t="str">
        <f>IFERROR(IF(AND(B2950&lt;&gt;"",C2950&lt;&gt;""),SUMIFS(Movimentos!$F$4:$F$9996,Movimentos!$D$4:$D$9996,B2950,Movimentos!$C$4:$C$9996,"Entrada")-SUMIFS(Movimentos!$F$4:$F$9996,Movimentos!$D$4:$D$9996,B2950,Movimentos!$C$4:$C$9996,"Saída"),""),"")</f>
        <v/>
      </c>
      <c r="F2950" s="10" t="str">
        <f t="shared" si="94"/>
        <v/>
      </c>
    </row>
    <row r="2951" spans="1:6" x14ac:dyDescent="0.3">
      <c r="A2951" s="15" t="str">
        <f t="shared" si="95"/>
        <v>.</v>
      </c>
      <c r="E2951" s="13" t="str">
        <f>IFERROR(IF(AND(B2951&lt;&gt;"",C2951&lt;&gt;""),SUMIFS(Movimentos!$F$4:$F$9996,Movimentos!$D$4:$D$9996,B2951,Movimentos!$C$4:$C$9996,"Entrada")-SUMIFS(Movimentos!$F$4:$F$9996,Movimentos!$D$4:$D$9996,B2951,Movimentos!$C$4:$C$9996,"Saída"),""),"")</f>
        <v/>
      </c>
      <c r="F2951" s="10" t="str">
        <f t="shared" si="94"/>
        <v/>
      </c>
    </row>
    <row r="2952" spans="1:6" x14ac:dyDescent="0.3">
      <c r="A2952" s="15" t="str">
        <f t="shared" si="95"/>
        <v>.</v>
      </c>
      <c r="E2952" s="13" t="str">
        <f>IFERROR(IF(AND(B2952&lt;&gt;"",C2952&lt;&gt;""),SUMIFS(Movimentos!$F$4:$F$9996,Movimentos!$D$4:$D$9996,B2952,Movimentos!$C$4:$C$9996,"Entrada")-SUMIFS(Movimentos!$F$4:$F$9996,Movimentos!$D$4:$D$9996,B2952,Movimentos!$C$4:$C$9996,"Saída"),""),"")</f>
        <v/>
      </c>
      <c r="F2952" s="10" t="str">
        <f t="shared" si="94"/>
        <v/>
      </c>
    </row>
    <row r="2953" spans="1:6" x14ac:dyDescent="0.3">
      <c r="A2953" s="15" t="str">
        <f t="shared" si="95"/>
        <v>.</v>
      </c>
      <c r="E2953" s="13" t="str">
        <f>IFERROR(IF(AND(B2953&lt;&gt;"",C2953&lt;&gt;""),SUMIFS(Movimentos!$F$4:$F$9996,Movimentos!$D$4:$D$9996,B2953,Movimentos!$C$4:$C$9996,"Entrada")-SUMIFS(Movimentos!$F$4:$F$9996,Movimentos!$D$4:$D$9996,B2953,Movimentos!$C$4:$C$9996,"Saída"),""),"")</f>
        <v/>
      </c>
      <c r="F2953" s="10" t="str">
        <f t="shared" si="94"/>
        <v/>
      </c>
    </row>
    <row r="2954" spans="1:6" x14ac:dyDescent="0.3">
      <c r="A2954" s="15" t="str">
        <f t="shared" si="95"/>
        <v>.</v>
      </c>
      <c r="E2954" s="13" t="str">
        <f>IFERROR(IF(AND(B2954&lt;&gt;"",C2954&lt;&gt;""),SUMIFS(Movimentos!$F$4:$F$9996,Movimentos!$D$4:$D$9996,B2954,Movimentos!$C$4:$C$9996,"Entrada")-SUMIFS(Movimentos!$F$4:$F$9996,Movimentos!$D$4:$D$9996,B2954,Movimentos!$C$4:$C$9996,"Saída"),""),"")</f>
        <v/>
      </c>
      <c r="F2954" s="10" t="str">
        <f t="shared" si="94"/>
        <v/>
      </c>
    </row>
    <row r="2955" spans="1:6" x14ac:dyDescent="0.3">
      <c r="A2955" s="15" t="str">
        <f t="shared" si="95"/>
        <v>.</v>
      </c>
      <c r="E2955" s="13" t="str">
        <f>IFERROR(IF(AND(B2955&lt;&gt;"",C2955&lt;&gt;""),SUMIFS(Movimentos!$F$4:$F$9996,Movimentos!$D$4:$D$9996,B2955,Movimentos!$C$4:$C$9996,"Entrada")-SUMIFS(Movimentos!$F$4:$F$9996,Movimentos!$D$4:$D$9996,B2955,Movimentos!$C$4:$C$9996,"Saída"),""),"")</f>
        <v/>
      </c>
      <c r="F2955" s="10" t="str">
        <f t="shared" si="94"/>
        <v/>
      </c>
    </row>
    <row r="2956" spans="1:6" x14ac:dyDescent="0.3">
      <c r="A2956" s="15" t="str">
        <f t="shared" si="95"/>
        <v>.</v>
      </c>
      <c r="E2956" s="13" t="str">
        <f>IFERROR(IF(AND(B2956&lt;&gt;"",C2956&lt;&gt;""),SUMIFS(Movimentos!$F$4:$F$9996,Movimentos!$D$4:$D$9996,B2956,Movimentos!$C$4:$C$9996,"Entrada")-SUMIFS(Movimentos!$F$4:$F$9996,Movimentos!$D$4:$D$9996,B2956,Movimentos!$C$4:$C$9996,"Saída"),""),"")</f>
        <v/>
      </c>
      <c r="F2956" s="10" t="str">
        <f t="shared" si="94"/>
        <v/>
      </c>
    </row>
    <row r="2957" spans="1:6" x14ac:dyDescent="0.3">
      <c r="A2957" s="15" t="str">
        <f t="shared" si="95"/>
        <v>.</v>
      </c>
      <c r="E2957" s="13" t="str">
        <f>IFERROR(IF(AND(B2957&lt;&gt;"",C2957&lt;&gt;""),SUMIFS(Movimentos!$F$4:$F$9996,Movimentos!$D$4:$D$9996,B2957,Movimentos!$C$4:$C$9996,"Entrada")-SUMIFS(Movimentos!$F$4:$F$9996,Movimentos!$D$4:$D$9996,B2957,Movimentos!$C$4:$C$9996,"Saída"),""),"")</f>
        <v/>
      </c>
      <c r="F2957" s="10" t="str">
        <f t="shared" si="94"/>
        <v/>
      </c>
    </row>
    <row r="2958" spans="1:6" x14ac:dyDescent="0.3">
      <c r="A2958" s="15" t="str">
        <f t="shared" si="95"/>
        <v>.</v>
      </c>
      <c r="E2958" s="13" t="str">
        <f>IFERROR(IF(AND(B2958&lt;&gt;"",C2958&lt;&gt;""),SUMIFS(Movimentos!$F$4:$F$9996,Movimentos!$D$4:$D$9996,B2958,Movimentos!$C$4:$C$9996,"Entrada")-SUMIFS(Movimentos!$F$4:$F$9996,Movimentos!$D$4:$D$9996,B2958,Movimentos!$C$4:$C$9996,"Saída"),""),"")</f>
        <v/>
      </c>
      <c r="F2958" s="10" t="str">
        <f t="shared" si="94"/>
        <v/>
      </c>
    </row>
    <row r="2959" spans="1:6" x14ac:dyDescent="0.3">
      <c r="A2959" s="15" t="str">
        <f t="shared" si="95"/>
        <v>.</v>
      </c>
      <c r="E2959" s="13" t="str">
        <f>IFERROR(IF(AND(B2959&lt;&gt;"",C2959&lt;&gt;""),SUMIFS(Movimentos!$F$4:$F$9996,Movimentos!$D$4:$D$9996,B2959,Movimentos!$C$4:$C$9996,"Entrada")-SUMIFS(Movimentos!$F$4:$F$9996,Movimentos!$D$4:$D$9996,B2959,Movimentos!$C$4:$C$9996,"Saída"),""),"")</f>
        <v/>
      </c>
      <c r="F2959" s="10" t="str">
        <f t="shared" si="94"/>
        <v/>
      </c>
    </row>
    <row r="2960" spans="1:6" x14ac:dyDescent="0.3">
      <c r="A2960" s="15" t="str">
        <f t="shared" si="95"/>
        <v>.</v>
      </c>
      <c r="E2960" s="13" t="str">
        <f>IFERROR(IF(AND(B2960&lt;&gt;"",C2960&lt;&gt;""),SUMIFS(Movimentos!$F$4:$F$9996,Movimentos!$D$4:$D$9996,B2960,Movimentos!$C$4:$C$9996,"Entrada")-SUMIFS(Movimentos!$F$4:$F$9996,Movimentos!$D$4:$D$9996,B2960,Movimentos!$C$4:$C$9996,"Saída"),""),"")</f>
        <v/>
      </c>
      <c r="F2960" s="10" t="str">
        <f t="shared" si="94"/>
        <v/>
      </c>
    </row>
    <row r="2961" spans="1:6" x14ac:dyDescent="0.3">
      <c r="A2961" s="15" t="str">
        <f t="shared" si="95"/>
        <v>.</v>
      </c>
      <c r="E2961" s="13" t="str">
        <f>IFERROR(IF(AND(B2961&lt;&gt;"",C2961&lt;&gt;""),SUMIFS(Movimentos!$F$4:$F$9996,Movimentos!$D$4:$D$9996,B2961,Movimentos!$C$4:$C$9996,"Entrada")-SUMIFS(Movimentos!$F$4:$F$9996,Movimentos!$D$4:$D$9996,B2961,Movimentos!$C$4:$C$9996,"Saída"),""),"")</f>
        <v/>
      </c>
      <c r="F2961" s="10" t="str">
        <f t="shared" si="94"/>
        <v/>
      </c>
    </row>
    <row r="2962" spans="1:6" x14ac:dyDescent="0.3">
      <c r="A2962" s="15" t="str">
        <f t="shared" si="95"/>
        <v>.</v>
      </c>
      <c r="E2962" s="13" t="str">
        <f>IFERROR(IF(AND(B2962&lt;&gt;"",C2962&lt;&gt;""),SUMIFS(Movimentos!$F$4:$F$9996,Movimentos!$D$4:$D$9996,B2962,Movimentos!$C$4:$C$9996,"Entrada")-SUMIFS(Movimentos!$F$4:$F$9996,Movimentos!$D$4:$D$9996,B2962,Movimentos!$C$4:$C$9996,"Saída"),""),"")</f>
        <v/>
      </c>
      <c r="F2962" s="10" t="str">
        <f t="shared" si="94"/>
        <v/>
      </c>
    </row>
    <row r="2963" spans="1:6" x14ac:dyDescent="0.3">
      <c r="A2963" s="15" t="str">
        <f t="shared" si="95"/>
        <v>.</v>
      </c>
      <c r="E2963" s="13" t="str">
        <f>IFERROR(IF(AND(B2963&lt;&gt;"",C2963&lt;&gt;""),SUMIFS(Movimentos!$F$4:$F$9996,Movimentos!$D$4:$D$9996,B2963,Movimentos!$C$4:$C$9996,"Entrada")-SUMIFS(Movimentos!$F$4:$F$9996,Movimentos!$D$4:$D$9996,B2963,Movimentos!$C$4:$C$9996,"Saída"),""),"")</f>
        <v/>
      </c>
      <c r="F2963" s="10" t="str">
        <f t="shared" si="94"/>
        <v/>
      </c>
    </row>
    <row r="2964" spans="1:6" x14ac:dyDescent="0.3">
      <c r="A2964" s="15" t="str">
        <f t="shared" si="95"/>
        <v>.</v>
      </c>
      <c r="E2964" s="13" t="str">
        <f>IFERROR(IF(AND(B2964&lt;&gt;"",C2964&lt;&gt;""),SUMIFS(Movimentos!$F$4:$F$9996,Movimentos!$D$4:$D$9996,B2964,Movimentos!$C$4:$C$9996,"Entrada")-SUMIFS(Movimentos!$F$4:$F$9996,Movimentos!$D$4:$D$9996,B2964,Movimentos!$C$4:$C$9996,"Saída"),""),"")</f>
        <v/>
      </c>
      <c r="F2964" s="10" t="str">
        <f t="shared" si="94"/>
        <v/>
      </c>
    </row>
    <row r="2965" spans="1:6" x14ac:dyDescent="0.3">
      <c r="A2965" s="15" t="str">
        <f t="shared" si="95"/>
        <v>.</v>
      </c>
      <c r="E2965" s="13" t="str">
        <f>IFERROR(IF(AND(B2965&lt;&gt;"",C2965&lt;&gt;""),SUMIFS(Movimentos!$F$4:$F$9996,Movimentos!$D$4:$D$9996,B2965,Movimentos!$C$4:$C$9996,"Entrada")-SUMIFS(Movimentos!$F$4:$F$9996,Movimentos!$D$4:$D$9996,B2965,Movimentos!$C$4:$C$9996,"Saída"),""),"")</f>
        <v/>
      </c>
      <c r="F2965" s="10" t="str">
        <f t="shared" si="94"/>
        <v/>
      </c>
    </row>
    <row r="2966" spans="1:6" x14ac:dyDescent="0.3">
      <c r="A2966" s="15" t="str">
        <f t="shared" si="95"/>
        <v>.</v>
      </c>
      <c r="E2966" s="13" t="str">
        <f>IFERROR(IF(AND(B2966&lt;&gt;"",C2966&lt;&gt;""),SUMIFS(Movimentos!$F$4:$F$9996,Movimentos!$D$4:$D$9996,B2966,Movimentos!$C$4:$C$9996,"Entrada")-SUMIFS(Movimentos!$F$4:$F$9996,Movimentos!$D$4:$D$9996,B2966,Movimentos!$C$4:$C$9996,"Saída"),""),"")</f>
        <v/>
      </c>
      <c r="F2966" s="10" t="str">
        <f t="shared" si="94"/>
        <v/>
      </c>
    </row>
    <row r="2967" spans="1:6" x14ac:dyDescent="0.3">
      <c r="A2967" s="15" t="str">
        <f t="shared" si="95"/>
        <v>.</v>
      </c>
      <c r="E2967" s="13" t="str">
        <f>IFERROR(IF(AND(B2967&lt;&gt;"",C2967&lt;&gt;""),SUMIFS(Movimentos!$F$4:$F$9996,Movimentos!$D$4:$D$9996,B2967,Movimentos!$C$4:$C$9996,"Entrada")-SUMIFS(Movimentos!$F$4:$F$9996,Movimentos!$D$4:$D$9996,B2967,Movimentos!$C$4:$C$9996,"Saída"),""),"")</f>
        <v/>
      </c>
      <c r="F2967" s="10" t="str">
        <f t="shared" ref="F2967:F3030" si="96">IF(AND(B2967&lt;&gt;"",C2967&lt;&gt;""),IF(E2967=0,"Saldo zerado",IF(E2967&lt;D2967,"Saldo abaixo do mínimo","Saldo disponível")),"")</f>
        <v/>
      </c>
    </row>
    <row r="2968" spans="1:6" x14ac:dyDescent="0.3">
      <c r="A2968" s="15" t="str">
        <f t="shared" si="95"/>
        <v>.</v>
      </c>
      <c r="E2968" s="13" t="str">
        <f>IFERROR(IF(AND(B2968&lt;&gt;"",C2968&lt;&gt;""),SUMIFS(Movimentos!$F$4:$F$9996,Movimentos!$D$4:$D$9996,B2968,Movimentos!$C$4:$C$9996,"Entrada")-SUMIFS(Movimentos!$F$4:$F$9996,Movimentos!$D$4:$D$9996,B2968,Movimentos!$C$4:$C$9996,"Saída"),""),"")</f>
        <v/>
      </c>
      <c r="F2968" s="10" t="str">
        <f t="shared" si="96"/>
        <v/>
      </c>
    </row>
    <row r="2969" spans="1:6" x14ac:dyDescent="0.3">
      <c r="A2969" s="15" t="str">
        <f t="shared" si="95"/>
        <v>.</v>
      </c>
      <c r="E2969" s="13" t="str">
        <f>IFERROR(IF(AND(B2969&lt;&gt;"",C2969&lt;&gt;""),SUMIFS(Movimentos!$F$4:$F$9996,Movimentos!$D$4:$D$9996,B2969,Movimentos!$C$4:$C$9996,"Entrada")-SUMIFS(Movimentos!$F$4:$F$9996,Movimentos!$D$4:$D$9996,B2969,Movimentos!$C$4:$C$9996,"Saída"),""),"")</f>
        <v/>
      </c>
      <c r="F2969" s="10" t="str">
        <f t="shared" si="96"/>
        <v/>
      </c>
    </row>
    <row r="2970" spans="1:6" x14ac:dyDescent="0.3">
      <c r="A2970" s="15" t="str">
        <f t="shared" si="95"/>
        <v>.</v>
      </c>
      <c r="E2970" s="13" t="str">
        <f>IFERROR(IF(AND(B2970&lt;&gt;"",C2970&lt;&gt;""),SUMIFS(Movimentos!$F$4:$F$9996,Movimentos!$D$4:$D$9996,B2970,Movimentos!$C$4:$C$9996,"Entrada")-SUMIFS(Movimentos!$F$4:$F$9996,Movimentos!$D$4:$D$9996,B2970,Movimentos!$C$4:$C$9996,"Saída"),""),"")</f>
        <v/>
      </c>
      <c r="F2970" s="10" t="str">
        <f t="shared" si="96"/>
        <v/>
      </c>
    </row>
    <row r="2971" spans="1:6" x14ac:dyDescent="0.3">
      <c r="A2971" s="15" t="str">
        <f t="shared" si="95"/>
        <v>.</v>
      </c>
      <c r="E2971" s="13" t="str">
        <f>IFERROR(IF(AND(B2971&lt;&gt;"",C2971&lt;&gt;""),SUMIFS(Movimentos!$F$4:$F$9996,Movimentos!$D$4:$D$9996,B2971,Movimentos!$C$4:$C$9996,"Entrada")-SUMIFS(Movimentos!$F$4:$F$9996,Movimentos!$D$4:$D$9996,B2971,Movimentos!$C$4:$C$9996,"Saída"),""),"")</f>
        <v/>
      </c>
      <c r="F2971" s="10" t="str">
        <f t="shared" si="96"/>
        <v/>
      </c>
    </row>
    <row r="2972" spans="1:6" x14ac:dyDescent="0.3">
      <c r="A2972" s="15" t="str">
        <f t="shared" si="95"/>
        <v>.</v>
      </c>
      <c r="E2972" s="13" t="str">
        <f>IFERROR(IF(AND(B2972&lt;&gt;"",C2972&lt;&gt;""),SUMIFS(Movimentos!$F$4:$F$9996,Movimentos!$D$4:$D$9996,B2972,Movimentos!$C$4:$C$9996,"Entrada")-SUMIFS(Movimentos!$F$4:$F$9996,Movimentos!$D$4:$D$9996,B2972,Movimentos!$C$4:$C$9996,"Saída"),""),"")</f>
        <v/>
      </c>
      <c r="F2972" s="10" t="str">
        <f t="shared" si="96"/>
        <v/>
      </c>
    </row>
    <row r="2973" spans="1:6" x14ac:dyDescent="0.3">
      <c r="A2973" s="15" t="str">
        <f t="shared" si="95"/>
        <v>.</v>
      </c>
      <c r="E2973" s="13" t="str">
        <f>IFERROR(IF(AND(B2973&lt;&gt;"",C2973&lt;&gt;""),SUMIFS(Movimentos!$F$4:$F$9996,Movimentos!$D$4:$D$9996,B2973,Movimentos!$C$4:$C$9996,"Entrada")-SUMIFS(Movimentos!$F$4:$F$9996,Movimentos!$D$4:$D$9996,B2973,Movimentos!$C$4:$C$9996,"Saída"),""),"")</f>
        <v/>
      </c>
      <c r="F2973" s="10" t="str">
        <f t="shared" si="96"/>
        <v/>
      </c>
    </row>
    <row r="2974" spans="1:6" x14ac:dyDescent="0.3">
      <c r="A2974" s="15" t="str">
        <f t="shared" si="95"/>
        <v>.</v>
      </c>
      <c r="E2974" s="13" t="str">
        <f>IFERROR(IF(AND(B2974&lt;&gt;"",C2974&lt;&gt;""),SUMIFS(Movimentos!$F$4:$F$9996,Movimentos!$D$4:$D$9996,B2974,Movimentos!$C$4:$C$9996,"Entrada")-SUMIFS(Movimentos!$F$4:$F$9996,Movimentos!$D$4:$D$9996,B2974,Movimentos!$C$4:$C$9996,"Saída"),""),"")</f>
        <v/>
      </c>
      <c r="F2974" s="10" t="str">
        <f t="shared" si="96"/>
        <v/>
      </c>
    </row>
    <row r="2975" spans="1:6" x14ac:dyDescent="0.3">
      <c r="A2975" s="15" t="str">
        <f t="shared" si="95"/>
        <v>.</v>
      </c>
      <c r="E2975" s="13" t="str">
        <f>IFERROR(IF(AND(B2975&lt;&gt;"",C2975&lt;&gt;""),SUMIFS(Movimentos!$F$4:$F$9996,Movimentos!$D$4:$D$9996,B2975,Movimentos!$C$4:$C$9996,"Entrada")-SUMIFS(Movimentos!$F$4:$F$9996,Movimentos!$D$4:$D$9996,B2975,Movimentos!$C$4:$C$9996,"Saída"),""),"")</f>
        <v/>
      </c>
      <c r="F2975" s="10" t="str">
        <f t="shared" si="96"/>
        <v/>
      </c>
    </row>
    <row r="2976" spans="1:6" x14ac:dyDescent="0.3">
      <c r="A2976" s="15" t="str">
        <f t="shared" si="95"/>
        <v>.</v>
      </c>
      <c r="E2976" s="13" t="str">
        <f>IFERROR(IF(AND(B2976&lt;&gt;"",C2976&lt;&gt;""),SUMIFS(Movimentos!$F$4:$F$9996,Movimentos!$D$4:$D$9996,B2976,Movimentos!$C$4:$C$9996,"Entrada")-SUMIFS(Movimentos!$F$4:$F$9996,Movimentos!$D$4:$D$9996,B2976,Movimentos!$C$4:$C$9996,"Saída"),""),"")</f>
        <v/>
      </c>
      <c r="F2976" s="10" t="str">
        <f t="shared" si="96"/>
        <v/>
      </c>
    </row>
    <row r="2977" spans="1:6" x14ac:dyDescent="0.3">
      <c r="A2977" s="15" t="str">
        <f t="shared" si="95"/>
        <v>.</v>
      </c>
      <c r="E2977" s="13" t="str">
        <f>IFERROR(IF(AND(B2977&lt;&gt;"",C2977&lt;&gt;""),SUMIFS(Movimentos!$F$4:$F$9996,Movimentos!$D$4:$D$9996,B2977,Movimentos!$C$4:$C$9996,"Entrada")-SUMIFS(Movimentos!$F$4:$F$9996,Movimentos!$D$4:$D$9996,B2977,Movimentos!$C$4:$C$9996,"Saída"),""),"")</f>
        <v/>
      </c>
      <c r="F2977" s="10" t="str">
        <f t="shared" si="96"/>
        <v/>
      </c>
    </row>
    <row r="2978" spans="1:6" x14ac:dyDescent="0.3">
      <c r="A2978" s="15" t="str">
        <f t="shared" si="95"/>
        <v>.</v>
      </c>
      <c r="E2978" s="13" t="str">
        <f>IFERROR(IF(AND(B2978&lt;&gt;"",C2978&lt;&gt;""),SUMIFS(Movimentos!$F$4:$F$9996,Movimentos!$D$4:$D$9996,B2978,Movimentos!$C$4:$C$9996,"Entrada")-SUMIFS(Movimentos!$F$4:$F$9996,Movimentos!$D$4:$D$9996,B2978,Movimentos!$C$4:$C$9996,"Saída"),""),"")</f>
        <v/>
      </c>
      <c r="F2978" s="10" t="str">
        <f t="shared" si="96"/>
        <v/>
      </c>
    </row>
    <row r="2979" spans="1:6" x14ac:dyDescent="0.3">
      <c r="A2979" s="15" t="str">
        <f t="shared" si="95"/>
        <v>.</v>
      </c>
      <c r="E2979" s="13" t="str">
        <f>IFERROR(IF(AND(B2979&lt;&gt;"",C2979&lt;&gt;""),SUMIFS(Movimentos!$F$4:$F$9996,Movimentos!$D$4:$D$9996,B2979,Movimentos!$C$4:$C$9996,"Entrada")-SUMIFS(Movimentos!$F$4:$F$9996,Movimentos!$D$4:$D$9996,B2979,Movimentos!$C$4:$C$9996,"Saída"),""),"")</f>
        <v/>
      </c>
      <c r="F2979" s="10" t="str">
        <f t="shared" si="96"/>
        <v/>
      </c>
    </row>
    <row r="2980" spans="1:6" x14ac:dyDescent="0.3">
      <c r="A2980" s="15" t="str">
        <f t="shared" si="95"/>
        <v>.</v>
      </c>
      <c r="E2980" s="13" t="str">
        <f>IFERROR(IF(AND(B2980&lt;&gt;"",C2980&lt;&gt;""),SUMIFS(Movimentos!$F$4:$F$9996,Movimentos!$D$4:$D$9996,B2980,Movimentos!$C$4:$C$9996,"Entrada")-SUMIFS(Movimentos!$F$4:$F$9996,Movimentos!$D$4:$D$9996,B2980,Movimentos!$C$4:$C$9996,"Saída"),""),"")</f>
        <v/>
      </c>
      <c r="F2980" s="10" t="str">
        <f t="shared" si="96"/>
        <v/>
      </c>
    </row>
    <row r="2981" spans="1:6" x14ac:dyDescent="0.3">
      <c r="A2981" s="15" t="str">
        <f t="shared" si="95"/>
        <v>.</v>
      </c>
      <c r="E2981" s="13" t="str">
        <f>IFERROR(IF(AND(B2981&lt;&gt;"",C2981&lt;&gt;""),SUMIFS(Movimentos!$F$4:$F$9996,Movimentos!$D$4:$D$9996,B2981,Movimentos!$C$4:$C$9996,"Entrada")-SUMIFS(Movimentos!$F$4:$F$9996,Movimentos!$D$4:$D$9996,B2981,Movimentos!$C$4:$C$9996,"Saída"),""),"")</f>
        <v/>
      </c>
      <c r="F2981" s="10" t="str">
        <f t="shared" si="96"/>
        <v/>
      </c>
    </row>
    <row r="2982" spans="1:6" x14ac:dyDescent="0.3">
      <c r="A2982" s="15" t="str">
        <f t="shared" si="95"/>
        <v>.</v>
      </c>
      <c r="E2982" s="13" t="str">
        <f>IFERROR(IF(AND(B2982&lt;&gt;"",C2982&lt;&gt;""),SUMIFS(Movimentos!$F$4:$F$9996,Movimentos!$D$4:$D$9996,B2982,Movimentos!$C$4:$C$9996,"Entrada")-SUMIFS(Movimentos!$F$4:$F$9996,Movimentos!$D$4:$D$9996,B2982,Movimentos!$C$4:$C$9996,"Saída"),""),"")</f>
        <v/>
      </c>
      <c r="F2982" s="10" t="str">
        <f t="shared" si="96"/>
        <v/>
      </c>
    </row>
    <row r="2983" spans="1:6" x14ac:dyDescent="0.3">
      <c r="A2983" s="15" t="str">
        <f t="shared" si="95"/>
        <v>.</v>
      </c>
      <c r="E2983" s="13" t="str">
        <f>IFERROR(IF(AND(B2983&lt;&gt;"",C2983&lt;&gt;""),SUMIFS(Movimentos!$F$4:$F$9996,Movimentos!$D$4:$D$9996,B2983,Movimentos!$C$4:$C$9996,"Entrada")-SUMIFS(Movimentos!$F$4:$F$9996,Movimentos!$D$4:$D$9996,B2983,Movimentos!$C$4:$C$9996,"Saída"),""),"")</f>
        <v/>
      </c>
      <c r="F2983" s="10" t="str">
        <f t="shared" si="96"/>
        <v/>
      </c>
    </row>
    <row r="2984" spans="1:6" x14ac:dyDescent="0.3">
      <c r="A2984" s="15" t="str">
        <f t="shared" si="95"/>
        <v>.</v>
      </c>
      <c r="E2984" s="13" t="str">
        <f>IFERROR(IF(AND(B2984&lt;&gt;"",C2984&lt;&gt;""),SUMIFS(Movimentos!$F$4:$F$9996,Movimentos!$D$4:$D$9996,B2984,Movimentos!$C$4:$C$9996,"Entrada")-SUMIFS(Movimentos!$F$4:$F$9996,Movimentos!$D$4:$D$9996,B2984,Movimentos!$C$4:$C$9996,"Saída"),""),"")</f>
        <v/>
      </c>
      <c r="F2984" s="10" t="str">
        <f t="shared" si="96"/>
        <v/>
      </c>
    </row>
    <row r="2985" spans="1:6" x14ac:dyDescent="0.3">
      <c r="A2985" s="15" t="str">
        <f t="shared" si="95"/>
        <v>.</v>
      </c>
      <c r="E2985" s="13" t="str">
        <f>IFERROR(IF(AND(B2985&lt;&gt;"",C2985&lt;&gt;""),SUMIFS(Movimentos!$F$4:$F$9996,Movimentos!$D$4:$D$9996,B2985,Movimentos!$C$4:$C$9996,"Entrada")-SUMIFS(Movimentos!$F$4:$F$9996,Movimentos!$D$4:$D$9996,B2985,Movimentos!$C$4:$C$9996,"Saída"),""),"")</f>
        <v/>
      </c>
      <c r="F2985" s="10" t="str">
        <f t="shared" si="96"/>
        <v/>
      </c>
    </row>
    <row r="2986" spans="1:6" x14ac:dyDescent="0.3">
      <c r="A2986" s="15" t="str">
        <f t="shared" si="95"/>
        <v>.</v>
      </c>
      <c r="E2986" s="13" t="str">
        <f>IFERROR(IF(AND(B2986&lt;&gt;"",C2986&lt;&gt;""),SUMIFS(Movimentos!$F$4:$F$9996,Movimentos!$D$4:$D$9996,B2986,Movimentos!$C$4:$C$9996,"Entrada")-SUMIFS(Movimentos!$F$4:$F$9996,Movimentos!$D$4:$D$9996,B2986,Movimentos!$C$4:$C$9996,"Saída"),""),"")</f>
        <v/>
      </c>
      <c r="F2986" s="10" t="str">
        <f t="shared" si="96"/>
        <v/>
      </c>
    </row>
    <row r="2987" spans="1:6" x14ac:dyDescent="0.3">
      <c r="A2987" s="15" t="str">
        <f t="shared" si="95"/>
        <v>.</v>
      </c>
      <c r="E2987" s="13" t="str">
        <f>IFERROR(IF(AND(B2987&lt;&gt;"",C2987&lt;&gt;""),SUMIFS(Movimentos!$F$4:$F$9996,Movimentos!$D$4:$D$9996,B2987,Movimentos!$C$4:$C$9996,"Entrada")-SUMIFS(Movimentos!$F$4:$F$9996,Movimentos!$D$4:$D$9996,B2987,Movimentos!$C$4:$C$9996,"Saída"),""),"")</f>
        <v/>
      </c>
      <c r="F2987" s="10" t="str">
        <f t="shared" si="96"/>
        <v/>
      </c>
    </row>
    <row r="2988" spans="1:6" x14ac:dyDescent="0.3">
      <c r="A2988" s="15" t="str">
        <f t="shared" si="95"/>
        <v>.</v>
      </c>
      <c r="E2988" s="13" t="str">
        <f>IFERROR(IF(AND(B2988&lt;&gt;"",C2988&lt;&gt;""),SUMIFS(Movimentos!$F$4:$F$9996,Movimentos!$D$4:$D$9996,B2988,Movimentos!$C$4:$C$9996,"Entrada")-SUMIFS(Movimentos!$F$4:$F$9996,Movimentos!$D$4:$D$9996,B2988,Movimentos!$C$4:$C$9996,"Saída"),""),"")</f>
        <v/>
      </c>
      <c r="F2988" s="10" t="str">
        <f t="shared" si="96"/>
        <v/>
      </c>
    </row>
    <row r="2989" spans="1:6" x14ac:dyDescent="0.3">
      <c r="A2989" s="15" t="str">
        <f t="shared" si="95"/>
        <v>.</v>
      </c>
      <c r="E2989" s="13" t="str">
        <f>IFERROR(IF(AND(B2989&lt;&gt;"",C2989&lt;&gt;""),SUMIFS(Movimentos!$F$4:$F$9996,Movimentos!$D$4:$D$9996,B2989,Movimentos!$C$4:$C$9996,"Entrada")-SUMIFS(Movimentos!$F$4:$F$9996,Movimentos!$D$4:$D$9996,B2989,Movimentos!$C$4:$C$9996,"Saída"),""),"")</f>
        <v/>
      </c>
      <c r="F2989" s="10" t="str">
        <f t="shared" si="96"/>
        <v/>
      </c>
    </row>
    <row r="2990" spans="1:6" x14ac:dyDescent="0.3">
      <c r="A2990" s="15" t="str">
        <f t="shared" si="95"/>
        <v>.</v>
      </c>
      <c r="E2990" s="13" t="str">
        <f>IFERROR(IF(AND(B2990&lt;&gt;"",C2990&lt;&gt;""),SUMIFS(Movimentos!$F$4:$F$9996,Movimentos!$D$4:$D$9996,B2990,Movimentos!$C$4:$C$9996,"Entrada")-SUMIFS(Movimentos!$F$4:$F$9996,Movimentos!$D$4:$D$9996,B2990,Movimentos!$C$4:$C$9996,"Saída"),""),"")</f>
        <v/>
      </c>
      <c r="F2990" s="10" t="str">
        <f t="shared" si="96"/>
        <v/>
      </c>
    </row>
    <row r="2991" spans="1:6" x14ac:dyDescent="0.3">
      <c r="A2991" s="15" t="str">
        <f t="shared" si="95"/>
        <v>.</v>
      </c>
      <c r="E2991" s="13" t="str">
        <f>IFERROR(IF(AND(B2991&lt;&gt;"",C2991&lt;&gt;""),SUMIFS(Movimentos!$F$4:$F$9996,Movimentos!$D$4:$D$9996,B2991,Movimentos!$C$4:$C$9996,"Entrada")-SUMIFS(Movimentos!$F$4:$F$9996,Movimentos!$D$4:$D$9996,B2991,Movimentos!$C$4:$C$9996,"Saída"),""),"")</f>
        <v/>
      </c>
      <c r="F2991" s="10" t="str">
        <f t="shared" si="96"/>
        <v/>
      </c>
    </row>
    <row r="2992" spans="1:6" x14ac:dyDescent="0.3">
      <c r="A2992" s="15" t="str">
        <f t="shared" si="95"/>
        <v>.</v>
      </c>
      <c r="E2992" s="13" t="str">
        <f>IFERROR(IF(AND(B2992&lt;&gt;"",C2992&lt;&gt;""),SUMIFS(Movimentos!$F$4:$F$9996,Movimentos!$D$4:$D$9996,B2992,Movimentos!$C$4:$C$9996,"Entrada")-SUMIFS(Movimentos!$F$4:$F$9996,Movimentos!$D$4:$D$9996,B2992,Movimentos!$C$4:$C$9996,"Saída"),""),"")</f>
        <v/>
      </c>
      <c r="F2992" s="10" t="str">
        <f t="shared" si="96"/>
        <v/>
      </c>
    </row>
    <row r="2993" spans="1:6" x14ac:dyDescent="0.3">
      <c r="A2993" s="15" t="str">
        <f t="shared" si="95"/>
        <v>.</v>
      </c>
      <c r="E2993" s="13" t="str">
        <f>IFERROR(IF(AND(B2993&lt;&gt;"",C2993&lt;&gt;""),SUMIFS(Movimentos!$F$4:$F$9996,Movimentos!$D$4:$D$9996,B2993,Movimentos!$C$4:$C$9996,"Entrada")-SUMIFS(Movimentos!$F$4:$F$9996,Movimentos!$D$4:$D$9996,B2993,Movimentos!$C$4:$C$9996,"Saída"),""),"")</f>
        <v/>
      </c>
      <c r="F2993" s="10" t="str">
        <f t="shared" si="96"/>
        <v/>
      </c>
    </row>
    <row r="2994" spans="1:6" x14ac:dyDescent="0.3">
      <c r="A2994" s="15" t="str">
        <f t="shared" si="95"/>
        <v>.</v>
      </c>
      <c r="E2994" s="13" t="str">
        <f>IFERROR(IF(AND(B2994&lt;&gt;"",C2994&lt;&gt;""),SUMIFS(Movimentos!$F$4:$F$9996,Movimentos!$D$4:$D$9996,B2994,Movimentos!$C$4:$C$9996,"Entrada")-SUMIFS(Movimentos!$F$4:$F$9996,Movimentos!$D$4:$D$9996,B2994,Movimentos!$C$4:$C$9996,"Saída"),""),"")</f>
        <v/>
      </c>
      <c r="F2994" s="10" t="str">
        <f t="shared" si="96"/>
        <v/>
      </c>
    </row>
    <row r="2995" spans="1:6" x14ac:dyDescent="0.3">
      <c r="A2995" s="15" t="str">
        <f t="shared" si="95"/>
        <v>.</v>
      </c>
      <c r="E2995" s="13" t="str">
        <f>IFERROR(IF(AND(B2995&lt;&gt;"",C2995&lt;&gt;""),SUMIFS(Movimentos!$F$4:$F$9996,Movimentos!$D$4:$D$9996,B2995,Movimentos!$C$4:$C$9996,"Entrada")-SUMIFS(Movimentos!$F$4:$F$9996,Movimentos!$D$4:$D$9996,B2995,Movimentos!$C$4:$C$9996,"Saída"),""),"")</f>
        <v/>
      </c>
      <c r="F2995" s="10" t="str">
        <f t="shared" si="96"/>
        <v/>
      </c>
    </row>
    <row r="2996" spans="1:6" x14ac:dyDescent="0.3">
      <c r="A2996" s="15" t="str">
        <f t="shared" si="95"/>
        <v>.</v>
      </c>
      <c r="E2996" s="13" t="str">
        <f>IFERROR(IF(AND(B2996&lt;&gt;"",C2996&lt;&gt;""),SUMIFS(Movimentos!$F$4:$F$9996,Movimentos!$D$4:$D$9996,B2996,Movimentos!$C$4:$C$9996,"Entrada")-SUMIFS(Movimentos!$F$4:$F$9996,Movimentos!$D$4:$D$9996,B2996,Movimentos!$C$4:$C$9996,"Saída"),""),"")</f>
        <v/>
      </c>
      <c r="F2996" s="10" t="str">
        <f t="shared" si="96"/>
        <v/>
      </c>
    </row>
    <row r="2997" spans="1:6" x14ac:dyDescent="0.3">
      <c r="A2997" s="15" t="str">
        <f t="shared" si="95"/>
        <v>.</v>
      </c>
      <c r="E2997" s="13" t="str">
        <f>IFERROR(IF(AND(B2997&lt;&gt;"",C2997&lt;&gt;""),SUMIFS(Movimentos!$F$4:$F$9996,Movimentos!$D$4:$D$9996,B2997,Movimentos!$C$4:$C$9996,"Entrada")-SUMIFS(Movimentos!$F$4:$F$9996,Movimentos!$D$4:$D$9996,B2997,Movimentos!$C$4:$C$9996,"Saída"),""),"")</f>
        <v/>
      </c>
      <c r="F2997" s="10" t="str">
        <f t="shared" si="96"/>
        <v/>
      </c>
    </row>
    <row r="2998" spans="1:6" x14ac:dyDescent="0.3">
      <c r="A2998" s="15" t="str">
        <f t="shared" si="95"/>
        <v>.</v>
      </c>
      <c r="E2998" s="13" t="str">
        <f>IFERROR(IF(AND(B2998&lt;&gt;"",C2998&lt;&gt;""),SUMIFS(Movimentos!$F$4:$F$9996,Movimentos!$D$4:$D$9996,B2998,Movimentos!$C$4:$C$9996,"Entrada")-SUMIFS(Movimentos!$F$4:$F$9996,Movimentos!$D$4:$D$9996,B2998,Movimentos!$C$4:$C$9996,"Saída"),""),"")</f>
        <v/>
      </c>
      <c r="F2998" s="10" t="str">
        <f t="shared" si="96"/>
        <v/>
      </c>
    </row>
    <row r="2999" spans="1:6" x14ac:dyDescent="0.3">
      <c r="A2999" s="15" t="str">
        <f t="shared" si="95"/>
        <v>.</v>
      </c>
      <c r="E2999" s="13" t="str">
        <f>IFERROR(IF(AND(B2999&lt;&gt;"",C2999&lt;&gt;""),SUMIFS(Movimentos!$F$4:$F$9996,Movimentos!$D$4:$D$9996,B2999,Movimentos!$C$4:$C$9996,"Entrada")-SUMIFS(Movimentos!$F$4:$F$9996,Movimentos!$D$4:$D$9996,B2999,Movimentos!$C$4:$C$9996,"Saída"),""),"")</f>
        <v/>
      </c>
      <c r="F2999" s="10" t="str">
        <f t="shared" si="96"/>
        <v/>
      </c>
    </row>
    <row r="3000" spans="1:6" x14ac:dyDescent="0.3">
      <c r="A3000" s="15" t="str">
        <f t="shared" si="95"/>
        <v>.</v>
      </c>
      <c r="E3000" s="13" t="str">
        <f>IFERROR(IF(AND(B3000&lt;&gt;"",C3000&lt;&gt;""),SUMIFS(Movimentos!$F$4:$F$9996,Movimentos!$D$4:$D$9996,B3000,Movimentos!$C$4:$C$9996,"Entrada")-SUMIFS(Movimentos!$F$4:$F$9996,Movimentos!$D$4:$D$9996,B3000,Movimentos!$C$4:$C$9996,"Saída"),""),"")</f>
        <v/>
      </c>
      <c r="F3000" s="10" t="str">
        <f t="shared" si="96"/>
        <v/>
      </c>
    </row>
    <row r="3001" spans="1:6" x14ac:dyDescent="0.3">
      <c r="A3001" s="15" t="str">
        <f t="shared" si="95"/>
        <v>.</v>
      </c>
      <c r="E3001" s="13" t="str">
        <f>IFERROR(IF(AND(B3001&lt;&gt;"",C3001&lt;&gt;""),SUMIFS(Movimentos!$F$4:$F$9996,Movimentos!$D$4:$D$9996,B3001,Movimentos!$C$4:$C$9996,"Entrada")-SUMIFS(Movimentos!$F$4:$F$9996,Movimentos!$D$4:$D$9996,B3001,Movimentos!$C$4:$C$9996,"Saída"),""),"")</f>
        <v/>
      </c>
      <c r="F3001" s="10" t="str">
        <f t="shared" si="96"/>
        <v/>
      </c>
    </row>
    <row r="3002" spans="1:6" x14ac:dyDescent="0.3">
      <c r="A3002" s="15" t="str">
        <f t="shared" si="95"/>
        <v>.</v>
      </c>
      <c r="E3002" s="13" t="str">
        <f>IFERROR(IF(AND(B3002&lt;&gt;"",C3002&lt;&gt;""),SUMIFS(Movimentos!$F$4:$F$9996,Movimentos!$D$4:$D$9996,B3002,Movimentos!$C$4:$C$9996,"Entrada")-SUMIFS(Movimentos!$F$4:$F$9996,Movimentos!$D$4:$D$9996,B3002,Movimentos!$C$4:$C$9996,"Saída"),""),"")</f>
        <v/>
      </c>
      <c r="F3002" s="10" t="str">
        <f t="shared" si="96"/>
        <v/>
      </c>
    </row>
    <row r="3003" spans="1:6" x14ac:dyDescent="0.3">
      <c r="A3003" s="15" t="str">
        <f t="shared" si="95"/>
        <v>.</v>
      </c>
      <c r="E3003" s="13" t="str">
        <f>IFERROR(IF(AND(B3003&lt;&gt;"",C3003&lt;&gt;""),SUMIFS(Movimentos!$F$4:$F$9996,Movimentos!$D$4:$D$9996,B3003,Movimentos!$C$4:$C$9996,"Entrada")-SUMIFS(Movimentos!$F$4:$F$9996,Movimentos!$D$4:$D$9996,B3003,Movimentos!$C$4:$C$9996,"Saída"),""),"")</f>
        <v/>
      </c>
      <c r="F3003" s="10" t="str">
        <f t="shared" si="96"/>
        <v/>
      </c>
    </row>
    <row r="3004" spans="1:6" x14ac:dyDescent="0.3">
      <c r="A3004" s="15" t="str">
        <f t="shared" si="95"/>
        <v>.</v>
      </c>
      <c r="E3004" s="13" t="str">
        <f>IFERROR(IF(AND(B3004&lt;&gt;"",C3004&lt;&gt;""),SUMIFS(Movimentos!$F$4:$F$9996,Movimentos!$D$4:$D$9996,B3004,Movimentos!$C$4:$C$9996,"Entrada")-SUMIFS(Movimentos!$F$4:$F$9996,Movimentos!$D$4:$D$9996,B3004,Movimentos!$C$4:$C$9996,"Saída"),""),"")</f>
        <v/>
      </c>
      <c r="F3004" s="10" t="str">
        <f t="shared" si="96"/>
        <v/>
      </c>
    </row>
    <row r="3005" spans="1:6" x14ac:dyDescent="0.3">
      <c r="A3005" s="15" t="str">
        <f t="shared" si="95"/>
        <v>.</v>
      </c>
      <c r="E3005" s="13" t="str">
        <f>IFERROR(IF(AND(B3005&lt;&gt;"",C3005&lt;&gt;""),SUMIFS(Movimentos!$F$4:$F$9996,Movimentos!$D$4:$D$9996,B3005,Movimentos!$C$4:$C$9996,"Entrada")-SUMIFS(Movimentos!$F$4:$F$9996,Movimentos!$D$4:$D$9996,B3005,Movimentos!$C$4:$C$9996,"Saída"),""),"")</f>
        <v/>
      </c>
      <c r="F3005" s="10" t="str">
        <f t="shared" si="96"/>
        <v/>
      </c>
    </row>
    <row r="3006" spans="1:6" x14ac:dyDescent="0.3">
      <c r="A3006" s="15" t="str">
        <f t="shared" si="95"/>
        <v>.</v>
      </c>
      <c r="E3006" s="13" t="str">
        <f>IFERROR(IF(AND(B3006&lt;&gt;"",C3006&lt;&gt;""),SUMIFS(Movimentos!$F$4:$F$9996,Movimentos!$D$4:$D$9996,B3006,Movimentos!$C$4:$C$9996,"Entrada")-SUMIFS(Movimentos!$F$4:$F$9996,Movimentos!$D$4:$D$9996,B3006,Movimentos!$C$4:$C$9996,"Saída"),""),"")</f>
        <v/>
      </c>
      <c r="F3006" s="10" t="str">
        <f t="shared" si="96"/>
        <v/>
      </c>
    </row>
    <row r="3007" spans="1:6" x14ac:dyDescent="0.3">
      <c r="A3007" s="15" t="str">
        <f t="shared" si="95"/>
        <v>.</v>
      </c>
      <c r="E3007" s="13" t="str">
        <f>IFERROR(IF(AND(B3007&lt;&gt;"",C3007&lt;&gt;""),SUMIFS(Movimentos!$F$4:$F$9996,Movimentos!$D$4:$D$9996,B3007,Movimentos!$C$4:$C$9996,"Entrada")-SUMIFS(Movimentos!$F$4:$F$9996,Movimentos!$D$4:$D$9996,B3007,Movimentos!$C$4:$C$9996,"Saída"),""),"")</f>
        <v/>
      </c>
      <c r="F3007" s="10" t="str">
        <f t="shared" si="96"/>
        <v/>
      </c>
    </row>
    <row r="3008" spans="1:6" x14ac:dyDescent="0.3">
      <c r="A3008" s="15" t="str">
        <f t="shared" ref="A3008:A3071" si="97">IF(F3008="Saldo zerado",0,IF(F3008="Saldo abaixo do mínimo",1,IF(F3008="Saldo disponível",2,".")))</f>
        <v>.</v>
      </c>
      <c r="E3008" s="13" t="str">
        <f>IFERROR(IF(AND(B3008&lt;&gt;"",C3008&lt;&gt;""),SUMIFS(Movimentos!$F$4:$F$9996,Movimentos!$D$4:$D$9996,B3008,Movimentos!$C$4:$C$9996,"Entrada")-SUMIFS(Movimentos!$F$4:$F$9996,Movimentos!$D$4:$D$9996,B3008,Movimentos!$C$4:$C$9996,"Saída"),""),"")</f>
        <v/>
      </c>
      <c r="F3008" s="10" t="str">
        <f t="shared" si="96"/>
        <v/>
      </c>
    </row>
    <row r="3009" spans="1:6" x14ac:dyDescent="0.3">
      <c r="A3009" s="15" t="str">
        <f t="shared" si="97"/>
        <v>.</v>
      </c>
      <c r="E3009" s="13" t="str">
        <f>IFERROR(IF(AND(B3009&lt;&gt;"",C3009&lt;&gt;""),SUMIFS(Movimentos!$F$4:$F$9996,Movimentos!$D$4:$D$9996,B3009,Movimentos!$C$4:$C$9996,"Entrada")-SUMIFS(Movimentos!$F$4:$F$9996,Movimentos!$D$4:$D$9996,B3009,Movimentos!$C$4:$C$9996,"Saída"),""),"")</f>
        <v/>
      </c>
      <c r="F3009" s="10" t="str">
        <f t="shared" si="96"/>
        <v/>
      </c>
    </row>
    <row r="3010" spans="1:6" x14ac:dyDescent="0.3">
      <c r="A3010" s="15" t="str">
        <f t="shared" si="97"/>
        <v>.</v>
      </c>
      <c r="E3010" s="13" t="str">
        <f>IFERROR(IF(AND(B3010&lt;&gt;"",C3010&lt;&gt;""),SUMIFS(Movimentos!$F$4:$F$9996,Movimentos!$D$4:$D$9996,B3010,Movimentos!$C$4:$C$9996,"Entrada")-SUMIFS(Movimentos!$F$4:$F$9996,Movimentos!$D$4:$D$9996,B3010,Movimentos!$C$4:$C$9996,"Saída"),""),"")</f>
        <v/>
      </c>
      <c r="F3010" s="10" t="str">
        <f t="shared" si="96"/>
        <v/>
      </c>
    </row>
    <row r="3011" spans="1:6" x14ac:dyDescent="0.3">
      <c r="A3011" s="15" t="str">
        <f t="shared" si="97"/>
        <v>.</v>
      </c>
      <c r="E3011" s="13" t="str">
        <f>IFERROR(IF(AND(B3011&lt;&gt;"",C3011&lt;&gt;""),SUMIFS(Movimentos!$F$4:$F$9996,Movimentos!$D$4:$D$9996,B3011,Movimentos!$C$4:$C$9996,"Entrada")-SUMIFS(Movimentos!$F$4:$F$9996,Movimentos!$D$4:$D$9996,B3011,Movimentos!$C$4:$C$9996,"Saída"),""),"")</f>
        <v/>
      </c>
      <c r="F3011" s="10" t="str">
        <f t="shared" si="96"/>
        <v/>
      </c>
    </row>
    <row r="3012" spans="1:6" x14ac:dyDescent="0.3">
      <c r="A3012" s="15" t="str">
        <f t="shared" si="97"/>
        <v>.</v>
      </c>
      <c r="E3012" s="13" t="str">
        <f>IFERROR(IF(AND(B3012&lt;&gt;"",C3012&lt;&gt;""),SUMIFS(Movimentos!$F$4:$F$9996,Movimentos!$D$4:$D$9996,B3012,Movimentos!$C$4:$C$9996,"Entrada")-SUMIFS(Movimentos!$F$4:$F$9996,Movimentos!$D$4:$D$9996,B3012,Movimentos!$C$4:$C$9996,"Saída"),""),"")</f>
        <v/>
      </c>
      <c r="F3012" s="10" t="str">
        <f t="shared" si="96"/>
        <v/>
      </c>
    </row>
    <row r="3013" spans="1:6" x14ac:dyDescent="0.3">
      <c r="A3013" s="15" t="str">
        <f t="shared" si="97"/>
        <v>.</v>
      </c>
      <c r="E3013" s="13" t="str">
        <f>IFERROR(IF(AND(B3013&lt;&gt;"",C3013&lt;&gt;""),SUMIFS(Movimentos!$F$4:$F$9996,Movimentos!$D$4:$D$9996,B3013,Movimentos!$C$4:$C$9996,"Entrada")-SUMIFS(Movimentos!$F$4:$F$9996,Movimentos!$D$4:$D$9996,B3013,Movimentos!$C$4:$C$9996,"Saída"),""),"")</f>
        <v/>
      </c>
      <c r="F3013" s="10" t="str">
        <f t="shared" si="96"/>
        <v/>
      </c>
    </row>
    <row r="3014" spans="1:6" x14ac:dyDescent="0.3">
      <c r="A3014" s="15" t="str">
        <f t="shared" si="97"/>
        <v>.</v>
      </c>
      <c r="E3014" s="13" t="str">
        <f>IFERROR(IF(AND(B3014&lt;&gt;"",C3014&lt;&gt;""),SUMIFS(Movimentos!$F$4:$F$9996,Movimentos!$D$4:$D$9996,B3014,Movimentos!$C$4:$C$9996,"Entrada")-SUMIFS(Movimentos!$F$4:$F$9996,Movimentos!$D$4:$D$9996,B3014,Movimentos!$C$4:$C$9996,"Saída"),""),"")</f>
        <v/>
      </c>
      <c r="F3014" s="10" t="str">
        <f t="shared" si="96"/>
        <v/>
      </c>
    </row>
    <row r="3015" spans="1:6" x14ac:dyDescent="0.3">
      <c r="A3015" s="15" t="str">
        <f t="shared" si="97"/>
        <v>.</v>
      </c>
      <c r="E3015" s="13" t="str">
        <f>IFERROR(IF(AND(B3015&lt;&gt;"",C3015&lt;&gt;""),SUMIFS(Movimentos!$F$4:$F$9996,Movimentos!$D$4:$D$9996,B3015,Movimentos!$C$4:$C$9996,"Entrada")-SUMIFS(Movimentos!$F$4:$F$9996,Movimentos!$D$4:$D$9996,B3015,Movimentos!$C$4:$C$9996,"Saída"),""),"")</f>
        <v/>
      </c>
      <c r="F3015" s="10" t="str">
        <f t="shared" si="96"/>
        <v/>
      </c>
    </row>
    <row r="3016" spans="1:6" x14ac:dyDescent="0.3">
      <c r="A3016" s="15" t="str">
        <f t="shared" si="97"/>
        <v>.</v>
      </c>
      <c r="E3016" s="13" t="str">
        <f>IFERROR(IF(AND(B3016&lt;&gt;"",C3016&lt;&gt;""),SUMIFS(Movimentos!$F$4:$F$9996,Movimentos!$D$4:$D$9996,B3016,Movimentos!$C$4:$C$9996,"Entrada")-SUMIFS(Movimentos!$F$4:$F$9996,Movimentos!$D$4:$D$9996,B3016,Movimentos!$C$4:$C$9996,"Saída"),""),"")</f>
        <v/>
      </c>
      <c r="F3016" s="10" t="str">
        <f t="shared" si="96"/>
        <v/>
      </c>
    </row>
    <row r="3017" spans="1:6" x14ac:dyDescent="0.3">
      <c r="A3017" s="15" t="str">
        <f t="shared" si="97"/>
        <v>.</v>
      </c>
      <c r="E3017" s="13" t="str">
        <f>IFERROR(IF(AND(B3017&lt;&gt;"",C3017&lt;&gt;""),SUMIFS(Movimentos!$F$4:$F$9996,Movimentos!$D$4:$D$9996,B3017,Movimentos!$C$4:$C$9996,"Entrada")-SUMIFS(Movimentos!$F$4:$F$9996,Movimentos!$D$4:$D$9996,B3017,Movimentos!$C$4:$C$9996,"Saída"),""),"")</f>
        <v/>
      </c>
      <c r="F3017" s="10" t="str">
        <f t="shared" si="96"/>
        <v/>
      </c>
    </row>
    <row r="3018" spans="1:6" x14ac:dyDescent="0.3">
      <c r="A3018" s="15" t="str">
        <f t="shared" si="97"/>
        <v>.</v>
      </c>
      <c r="E3018" s="13" t="str">
        <f>IFERROR(IF(AND(B3018&lt;&gt;"",C3018&lt;&gt;""),SUMIFS(Movimentos!$F$4:$F$9996,Movimentos!$D$4:$D$9996,B3018,Movimentos!$C$4:$C$9996,"Entrada")-SUMIFS(Movimentos!$F$4:$F$9996,Movimentos!$D$4:$D$9996,B3018,Movimentos!$C$4:$C$9996,"Saída"),""),"")</f>
        <v/>
      </c>
      <c r="F3018" s="10" t="str">
        <f t="shared" si="96"/>
        <v/>
      </c>
    </row>
    <row r="3019" spans="1:6" x14ac:dyDescent="0.3">
      <c r="A3019" s="15" t="str">
        <f t="shared" si="97"/>
        <v>.</v>
      </c>
      <c r="E3019" s="13" t="str">
        <f>IFERROR(IF(AND(B3019&lt;&gt;"",C3019&lt;&gt;""),SUMIFS(Movimentos!$F$4:$F$9996,Movimentos!$D$4:$D$9996,B3019,Movimentos!$C$4:$C$9996,"Entrada")-SUMIFS(Movimentos!$F$4:$F$9996,Movimentos!$D$4:$D$9996,B3019,Movimentos!$C$4:$C$9996,"Saída"),""),"")</f>
        <v/>
      </c>
      <c r="F3019" s="10" t="str">
        <f t="shared" si="96"/>
        <v/>
      </c>
    </row>
    <row r="3020" spans="1:6" x14ac:dyDescent="0.3">
      <c r="A3020" s="15" t="str">
        <f t="shared" si="97"/>
        <v>.</v>
      </c>
      <c r="E3020" s="13" t="str">
        <f>IFERROR(IF(AND(B3020&lt;&gt;"",C3020&lt;&gt;""),SUMIFS(Movimentos!$F$4:$F$9996,Movimentos!$D$4:$D$9996,B3020,Movimentos!$C$4:$C$9996,"Entrada")-SUMIFS(Movimentos!$F$4:$F$9996,Movimentos!$D$4:$D$9996,B3020,Movimentos!$C$4:$C$9996,"Saída"),""),"")</f>
        <v/>
      </c>
      <c r="F3020" s="10" t="str">
        <f t="shared" si="96"/>
        <v/>
      </c>
    </row>
    <row r="3021" spans="1:6" x14ac:dyDescent="0.3">
      <c r="A3021" s="15" t="str">
        <f t="shared" si="97"/>
        <v>.</v>
      </c>
      <c r="E3021" s="13" t="str">
        <f>IFERROR(IF(AND(B3021&lt;&gt;"",C3021&lt;&gt;""),SUMIFS(Movimentos!$F$4:$F$9996,Movimentos!$D$4:$D$9996,B3021,Movimentos!$C$4:$C$9996,"Entrada")-SUMIFS(Movimentos!$F$4:$F$9996,Movimentos!$D$4:$D$9996,B3021,Movimentos!$C$4:$C$9996,"Saída"),""),"")</f>
        <v/>
      </c>
      <c r="F3021" s="10" t="str">
        <f t="shared" si="96"/>
        <v/>
      </c>
    </row>
    <row r="3022" spans="1:6" x14ac:dyDescent="0.3">
      <c r="A3022" s="15" t="str">
        <f t="shared" si="97"/>
        <v>.</v>
      </c>
      <c r="E3022" s="13" t="str">
        <f>IFERROR(IF(AND(B3022&lt;&gt;"",C3022&lt;&gt;""),SUMIFS(Movimentos!$F$4:$F$9996,Movimentos!$D$4:$D$9996,B3022,Movimentos!$C$4:$C$9996,"Entrada")-SUMIFS(Movimentos!$F$4:$F$9996,Movimentos!$D$4:$D$9996,B3022,Movimentos!$C$4:$C$9996,"Saída"),""),"")</f>
        <v/>
      </c>
      <c r="F3022" s="10" t="str">
        <f t="shared" si="96"/>
        <v/>
      </c>
    </row>
    <row r="3023" spans="1:6" x14ac:dyDescent="0.3">
      <c r="A3023" s="15" t="str">
        <f t="shared" si="97"/>
        <v>.</v>
      </c>
      <c r="E3023" s="13" t="str">
        <f>IFERROR(IF(AND(B3023&lt;&gt;"",C3023&lt;&gt;""),SUMIFS(Movimentos!$F$4:$F$9996,Movimentos!$D$4:$D$9996,B3023,Movimentos!$C$4:$C$9996,"Entrada")-SUMIFS(Movimentos!$F$4:$F$9996,Movimentos!$D$4:$D$9996,B3023,Movimentos!$C$4:$C$9996,"Saída"),""),"")</f>
        <v/>
      </c>
      <c r="F3023" s="10" t="str">
        <f t="shared" si="96"/>
        <v/>
      </c>
    </row>
    <row r="3024" spans="1:6" x14ac:dyDescent="0.3">
      <c r="A3024" s="15" t="str">
        <f t="shared" si="97"/>
        <v>.</v>
      </c>
      <c r="E3024" s="13" t="str">
        <f>IFERROR(IF(AND(B3024&lt;&gt;"",C3024&lt;&gt;""),SUMIFS(Movimentos!$F$4:$F$9996,Movimentos!$D$4:$D$9996,B3024,Movimentos!$C$4:$C$9996,"Entrada")-SUMIFS(Movimentos!$F$4:$F$9996,Movimentos!$D$4:$D$9996,B3024,Movimentos!$C$4:$C$9996,"Saída"),""),"")</f>
        <v/>
      </c>
      <c r="F3024" s="10" t="str">
        <f t="shared" si="96"/>
        <v/>
      </c>
    </row>
    <row r="3025" spans="1:6" x14ac:dyDescent="0.3">
      <c r="A3025" s="15" t="str">
        <f t="shared" si="97"/>
        <v>.</v>
      </c>
      <c r="E3025" s="13" t="str">
        <f>IFERROR(IF(AND(B3025&lt;&gt;"",C3025&lt;&gt;""),SUMIFS(Movimentos!$F$4:$F$9996,Movimentos!$D$4:$D$9996,B3025,Movimentos!$C$4:$C$9996,"Entrada")-SUMIFS(Movimentos!$F$4:$F$9996,Movimentos!$D$4:$D$9996,B3025,Movimentos!$C$4:$C$9996,"Saída"),""),"")</f>
        <v/>
      </c>
      <c r="F3025" s="10" t="str">
        <f t="shared" si="96"/>
        <v/>
      </c>
    </row>
    <row r="3026" spans="1:6" x14ac:dyDescent="0.3">
      <c r="A3026" s="15" t="str">
        <f t="shared" si="97"/>
        <v>.</v>
      </c>
      <c r="E3026" s="13" t="str">
        <f>IFERROR(IF(AND(B3026&lt;&gt;"",C3026&lt;&gt;""),SUMIFS(Movimentos!$F$4:$F$9996,Movimentos!$D$4:$D$9996,B3026,Movimentos!$C$4:$C$9996,"Entrada")-SUMIFS(Movimentos!$F$4:$F$9996,Movimentos!$D$4:$D$9996,B3026,Movimentos!$C$4:$C$9996,"Saída"),""),"")</f>
        <v/>
      </c>
      <c r="F3026" s="10" t="str">
        <f t="shared" si="96"/>
        <v/>
      </c>
    </row>
    <row r="3027" spans="1:6" x14ac:dyDescent="0.3">
      <c r="A3027" s="15" t="str">
        <f t="shared" si="97"/>
        <v>.</v>
      </c>
      <c r="E3027" s="13" t="str">
        <f>IFERROR(IF(AND(B3027&lt;&gt;"",C3027&lt;&gt;""),SUMIFS(Movimentos!$F$4:$F$9996,Movimentos!$D$4:$D$9996,B3027,Movimentos!$C$4:$C$9996,"Entrada")-SUMIFS(Movimentos!$F$4:$F$9996,Movimentos!$D$4:$D$9996,B3027,Movimentos!$C$4:$C$9996,"Saída"),""),"")</f>
        <v/>
      </c>
      <c r="F3027" s="10" t="str">
        <f t="shared" si="96"/>
        <v/>
      </c>
    </row>
    <row r="3028" spans="1:6" x14ac:dyDescent="0.3">
      <c r="A3028" s="15" t="str">
        <f t="shared" si="97"/>
        <v>.</v>
      </c>
      <c r="E3028" s="13" t="str">
        <f>IFERROR(IF(AND(B3028&lt;&gt;"",C3028&lt;&gt;""),SUMIFS(Movimentos!$F$4:$F$9996,Movimentos!$D$4:$D$9996,B3028,Movimentos!$C$4:$C$9996,"Entrada")-SUMIFS(Movimentos!$F$4:$F$9996,Movimentos!$D$4:$D$9996,B3028,Movimentos!$C$4:$C$9996,"Saída"),""),"")</f>
        <v/>
      </c>
      <c r="F3028" s="10" t="str">
        <f t="shared" si="96"/>
        <v/>
      </c>
    </row>
    <row r="3029" spans="1:6" x14ac:dyDescent="0.3">
      <c r="A3029" s="15" t="str">
        <f t="shared" si="97"/>
        <v>.</v>
      </c>
      <c r="E3029" s="13" t="str">
        <f>IFERROR(IF(AND(B3029&lt;&gt;"",C3029&lt;&gt;""),SUMIFS(Movimentos!$F$4:$F$9996,Movimentos!$D$4:$D$9996,B3029,Movimentos!$C$4:$C$9996,"Entrada")-SUMIFS(Movimentos!$F$4:$F$9996,Movimentos!$D$4:$D$9996,B3029,Movimentos!$C$4:$C$9996,"Saída"),""),"")</f>
        <v/>
      </c>
      <c r="F3029" s="10" t="str">
        <f t="shared" si="96"/>
        <v/>
      </c>
    </row>
    <row r="3030" spans="1:6" x14ac:dyDescent="0.3">
      <c r="A3030" s="15" t="str">
        <f t="shared" si="97"/>
        <v>.</v>
      </c>
      <c r="E3030" s="13" t="str">
        <f>IFERROR(IF(AND(B3030&lt;&gt;"",C3030&lt;&gt;""),SUMIFS(Movimentos!$F$4:$F$9996,Movimentos!$D$4:$D$9996,B3030,Movimentos!$C$4:$C$9996,"Entrada")-SUMIFS(Movimentos!$F$4:$F$9996,Movimentos!$D$4:$D$9996,B3030,Movimentos!$C$4:$C$9996,"Saída"),""),"")</f>
        <v/>
      </c>
      <c r="F3030" s="10" t="str">
        <f t="shared" si="96"/>
        <v/>
      </c>
    </row>
    <row r="3031" spans="1:6" x14ac:dyDescent="0.3">
      <c r="A3031" s="15" t="str">
        <f t="shared" si="97"/>
        <v>.</v>
      </c>
      <c r="E3031" s="13" t="str">
        <f>IFERROR(IF(AND(B3031&lt;&gt;"",C3031&lt;&gt;""),SUMIFS(Movimentos!$F$4:$F$9996,Movimentos!$D$4:$D$9996,B3031,Movimentos!$C$4:$C$9996,"Entrada")-SUMIFS(Movimentos!$F$4:$F$9996,Movimentos!$D$4:$D$9996,B3031,Movimentos!$C$4:$C$9996,"Saída"),""),"")</f>
        <v/>
      </c>
      <c r="F3031" s="10" t="str">
        <f t="shared" ref="F3031:F3094" si="98">IF(AND(B3031&lt;&gt;"",C3031&lt;&gt;""),IF(E3031=0,"Saldo zerado",IF(E3031&lt;D3031,"Saldo abaixo do mínimo","Saldo disponível")),"")</f>
        <v/>
      </c>
    </row>
    <row r="3032" spans="1:6" x14ac:dyDescent="0.3">
      <c r="A3032" s="15" t="str">
        <f t="shared" si="97"/>
        <v>.</v>
      </c>
      <c r="E3032" s="13" t="str">
        <f>IFERROR(IF(AND(B3032&lt;&gt;"",C3032&lt;&gt;""),SUMIFS(Movimentos!$F$4:$F$9996,Movimentos!$D$4:$D$9996,B3032,Movimentos!$C$4:$C$9996,"Entrada")-SUMIFS(Movimentos!$F$4:$F$9996,Movimentos!$D$4:$D$9996,B3032,Movimentos!$C$4:$C$9996,"Saída"),""),"")</f>
        <v/>
      </c>
      <c r="F3032" s="10" t="str">
        <f t="shared" si="98"/>
        <v/>
      </c>
    </row>
    <row r="3033" spans="1:6" x14ac:dyDescent="0.3">
      <c r="A3033" s="15" t="str">
        <f t="shared" si="97"/>
        <v>.</v>
      </c>
      <c r="E3033" s="13" t="str">
        <f>IFERROR(IF(AND(B3033&lt;&gt;"",C3033&lt;&gt;""),SUMIFS(Movimentos!$F$4:$F$9996,Movimentos!$D$4:$D$9996,B3033,Movimentos!$C$4:$C$9996,"Entrada")-SUMIFS(Movimentos!$F$4:$F$9996,Movimentos!$D$4:$D$9996,B3033,Movimentos!$C$4:$C$9996,"Saída"),""),"")</f>
        <v/>
      </c>
      <c r="F3033" s="10" t="str">
        <f t="shared" si="98"/>
        <v/>
      </c>
    </row>
    <row r="3034" spans="1:6" x14ac:dyDescent="0.3">
      <c r="A3034" s="15" t="str">
        <f t="shared" si="97"/>
        <v>.</v>
      </c>
      <c r="E3034" s="13" t="str">
        <f>IFERROR(IF(AND(B3034&lt;&gt;"",C3034&lt;&gt;""),SUMIFS(Movimentos!$F$4:$F$9996,Movimentos!$D$4:$D$9996,B3034,Movimentos!$C$4:$C$9996,"Entrada")-SUMIFS(Movimentos!$F$4:$F$9996,Movimentos!$D$4:$D$9996,B3034,Movimentos!$C$4:$C$9996,"Saída"),""),"")</f>
        <v/>
      </c>
      <c r="F3034" s="10" t="str">
        <f t="shared" si="98"/>
        <v/>
      </c>
    </row>
    <row r="3035" spans="1:6" x14ac:dyDescent="0.3">
      <c r="A3035" s="15" t="str">
        <f t="shared" si="97"/>
        <v>.</v>
      </c>
      <c r="E3035" s="13" t="str">
        <f>IFERROR(IF(AND(B3035&lt;&gt;"",C3035&lt;&gt;""),SUMIFS(Movimentos!$F$4:$F$9996,Movimentos!$D$4:$D$9996,B3035,Movimentos!$C$4:$C$9996,"Entrada")-SUMIFS(Movimentos!$F$4:$F$9996,Movimentos!$D$4:$D$9996,B3035,Movimentos!$C$4:$C$9996,"Saída"),""),"")</f>
        <v/>
      </c>
      <c r="F3035" s="10" t="str">
        <f t="shared" si="98"/>
        <v/>
      </c>
    </row>
    <row r="3036" spans="1:6" x14ac:dyDescent="0.3">
      <c r="A3036" s="15" t="str">
        <f t="shared" si="97"/>
        <v>.</v>
      </c>
      <c r="E3036" s="13" t="str">
        <f>IFERROR(IF(AND(B3036&lt;&gt;"",C3036&lt;&gt;""),SUMIFS(Movimentos!$F$4:$F$9996,Movimentos!$D$4:$D$9996,B3036,Movimentos!$C$4:$C$9996,"Entrada")-SUMIFS(Movimentos!$F$4:$F$9996,Movimentos!$D$4:$D$9996,B3036,Movimentos!$C$4:$C$9996,"Saída"),""),"")</f>
        <v/>
      </c>
      <c r="F3036" s="10" t="str">
        <f t="shared" si="98"/>
        <v/>
      </c>
    </row>
    <row r="3037" spans="1:6" x14ac:dyDescent="0.3">
      <c r="A3037" s="15" t="str">
        <f t="shared" si="97"/>
        <v>.</v>
      </c>
      <c r="E3037" s="13" t="str">
        <f>IFERROR(IF(AND(B3037&lt;&gt;"",C3037&lt;&gt;""),SUMIFS(Movimentos!$F$4:$F$9996,Movimentos!$D$4:$D$9996,B3037,Movimentos!$C$4:$C$9996,"Entrada")-SUMIFS(Movimentos!$F$4:$F$9996,Movimentos!$D$4:$D$9996,B3037,Movimentos!$C$4:$C$9996,"Saída"),""),"")</f>
        <v/>
      </c>
      <c r="F3037" s="10" t="str">
        <f t="shared" si="98"/>
        <v/>
      </c>
    </row>
    <row r="3038" spans="1:6" x14ac:dyDescent="0.3">
      <c r="A3038" s="15" t="str">
        <f t="shared" si="97"/>
        <v>.</v>
      </c>
      <c r="E3038" s="13" t="str">
        <f>IFERROR(IF(AND(B3038&lt;&gt;"",C3038&lt;&gt;""),SUMIFS(Movimentos!$F$4:$F$9996,Movimentos!$D$4:$D$9996,B3038,Movimentos!$C$4:$C$9996,"Entrada")-SUMIFS(Movimentos!$F$4:$F$9996,Movimentos!$D$4:$D$9996,B3038,Movimentos!$C$4:$C$9996,"Saída"),""),"")</f>
        <v/>
      </c>
      <c r="F3038" s="10" t="str">
        <f t="shared" si="98"/>
        <v/>
      </c>
    </row>
    <row r="3039" spans="1:6" x14ac:dyDescent="0.3">
      <c r="A3039" s="15" t="str">
        <f t="shared" si="97"/>
        <v>.</v>
      </c>
      <c r="E3039" s="13" t="str">
        <f>IFERROR(IF(AND(B3039&lt;&gt;"",C3039&lt;&gt;""),SUMIFS(Movimentos!$F$4:$F$9996,Movimentos!$D$4:$D$9996,B3039,Movimentos!$C$4:$C$9996,"Entrada")-SUMIFS(Movimentos!$F$4:$F$9996,Movimentos!$D$4:$D$9996,B3039,Movimentos!$C$4:$C$9996,"Saída"),""),"")</f>
        <v/>
      </c>
      <c r="F3039" s="10" t="str">
        <f t="shared" si="98"/>
        <v/>
      </c>
    </row>
    <row r="3040" spans="1:6" x14ac:dyDescent="0.3">
      <c r="A3040" s="15" t="str">
        <f t="shared" si="97"/>
        <v>.</v>
      </c>
      <c r="E3040" s="13" t="str">
        <f>IFERROR(IF(AND(B3040&lt;&gt;"",C3040&lt;&gt;""),SUMIFS(Movimentos!$F$4:$F$9996,Movimentos!$D$4:$D$9996,B3040,Movimentos!$C$4:$C$9996,"Entrada")-SUMIFS(Movimentos!$F$4:$F$9996,Movimentos!$D$4:$D$9996,B3040,Movimentos!$C$4:$C$9996,"Saída"),""),"")</f>
        <v/>
      </c>
      <c r="F3040" s="10" t="str">
        <f t="shared" si="98"/>
        <v/>
      </c>
    </row>
    <row r="3041" spans="1:6" x14ac:dyDescent="0.3">
      <c r="A3041" s="15" t="str">
        <f t="shared" si="97"/>
        <v>.</v>
      </c>
      <c r="E3041" s="13" t="str">
        <f>IFERROR(IF(AND(B3041&lt;&gt;"",C3041&lt;&gt;""),SUMIFS(Movimentos!$F$4:$F$9996,Movimentos!$D$4:$D$9996,B3041,Movimentos!$C$4:$C$9996,"Entrada")-SUMIFS(Movimentos!$F$4:$F$9996,Movimentos!$D$4:$D$9996,B3041,Movimentos!$C$4:$C$9996,"Saída"),""),"")</f>
        <v/>
      </c>
      <c r="F3041" s="10" t="str">
        <f t="shared" si="98"/>
        <v/>
      </c>
    </row>
    <row r="3042" spans="1:6" x14ac:dyDescent="0.3">
      <c r="A3042" s="15" t="str">
        <f t="shared" si="97"/>
        <v>.</v>
      </c>
      <c r="E3042" s="13" t="str">
        <f>IFERROR(IF(AND(B3042&lt;&gt;"",C3042&lt;&gt;""),SUMIFS(Movimentos!$F$4:$F$9996,Movimentos!$D$4:$D$9996,B3042,Movimentos!$C$4:$C$9996,"Entrada")-SUMIFS(Movimentos!$F$4:$F$9996,Movimentos!$D$4:$D$9996,B3042,Movimentos!$C$4:$C$9996,"Saída"),""),"")</f>
        <v/>
      </c>
      <c r="F3042" s="10" t="str">
        <f t="shared" si="98"/>
        <v/>
      </c>
    </row>
    <row r="3043" spans="1:6" x14ac:dyDescent="0.3">
      <c r="A3043" s="15" t="str">
        <f t="shared" si="97"/>
        <v>.</v>
      </c>
      <c r="E3043" s="13" t="str">
        <f>IFERROR(IF(AND(B3043&lt;&gt;"",C3043&lt;&gt;""),SUMIFS(Movimentos!$F$4:$F$9996,Movimentos!$D$4:$D$9996,B3043,Movimentos!$C$4:$C$9996,"Entrada")-SUMIFS(Movimentos!$F$4:$F$9996,Movimentos!$D$4:$D$9996,B3043,Movimentos!$C$4:$C$9996,"Saída"),""),"")</f>
        <v/>
      </c>
      <c r="F3043" s="10" t="str">
        <f t="shared" si="98"/>
        <v/>
      </c>
    </row>
    <row r="3044" spans="1:6" x14ac:dyDescent="0.3">
      <c r="A3044" s="15" t="str">
        <f t="shared" si="97"/>
        <v>.</v>
      </c>
      <c r="E3044" s="13" t="str">
        <f>IFERROR(IF(AND(B3044&lt;&gt;"",C3044&lt;&gt;""),SUMIFS(Movimentos!$F$4:$F$9996,Movimentos!$D$4:$D$9996,B3044,Movimentos!$C$4:$C$9996,"Entrada")-SUMIFS(Movimentos!$F$4:$F$9996,Movimentos!$D$4:$D$9996,B3044,Movimentos!$C$4:$C$9996,"Saída"),""),"")</f>
        <v/>
      </c>
      <c r="F3044" s="10" t="str">
        <f t="shared" si="98"/>
        <v/>
      </c>
    </row>
    <row r="3045" spans="1:6" x14ac:dyDescent="0.3">
      <c r="A3045" s="15" t="str">
        <f t="shared" si="97"/>
        <v>.</v>
      </c>
      <c r="E3045" s="13" t="str">
        <f>IFERROR(IF(AND(B3045&lt;&gt;"",C3045&lt;&gt;""),SUMIFS(Movimentos!$F$4:$F$9996,Movimentos!$D$4:$D$9996,B3045,Movimentos!$C$4:$C$9996,"Entrada")-SUMIFS(Movimentos!$F$4:$F$9996,Movimentos!$D$4:$D$9996,B3045,Movimentos!$C$4:$C$9996,"Saída"),""),"")</f>
        <v/>
      </c>
      <c r="F3045" s="10" t="str">
        <f t="shared" si="98"/>
        <v/>
      </c>
    </row>
    <row r="3046" spans="1:6" x14ac:dyDescent="0.3">
      <c r="A3046" s="15" t="str">
        <f t="shared" si="97"/>
        <v>.</v>
      </c>
      <c r="E3046" s="13" t="str">
        <f>IFERROR(IF(AND(B3046&lt;&gt;"",C3046&lt;&gt;""),SUMIFS(Movimentos!$F$4:$F$9996,Movimentos!$D$4:$D$9996,B3046,Movimentos!$C$4:$C$9996,"Entrada")-SUMIFS(Movimentos!$F$4:$F$9996,Movimentos!$D$4:$D$9996,B3046,Movimentos!$C$4:$C$9996,"Saída"),""),"")</f>
        <v/>
      </c>
      <c r="F3046" s="10" t="str">
        <f t="shared" si="98"/>
        <v/>
      </c>
    </row>
    <row r="3047" spans="1:6" x14ac:dyDescent="0.3">
      <c r="A3047" s="15" t="str">
        <f t="shared" si="97"/>
        <v>.</v>
      </c>
      <c r="E3047" s="13" t="str">
        <f>IFERROR(IF(AND(B3047&lt;&gt;"",C3047&lt;&gt;""),SUMIFS(Movimentos!$F$4:$F$9996,Movimentos!$D$4:$D$9996,B3047,Movimentos!$C$4:$C$9996,"Entrada")-SUMIFS(Movimentos!$F$4:$F$9996,Movimentos!$D$4:$D$9996,B3047,Movimentos!$C$4:$C$9996,"Saída"),""),"")</f>
        <v/>
      </c>
      <c r="F3047" s="10" t="str">
        <f t="shared" si="98"/>
        <v/>
      </c>
    </row>
    <row r="3048" spans="1:6" x14ac:dyDescent="0.3">
      <c r="A3048" s="15" t="str">
        <f t="shared" si="97"/>
        <v>.</v>
      </c>
      <c r="E3048" s="13" t="str">
        <f>IFERROR(IF(AND(B3048&lt;&gt;"",C3048&lt;&gt;""),SUMIFS(Movimentos!$F$4:$F$9996,Movimentos!$D$4:$D$9996,B3048,Movimentos!$C$4:$C$9996,"Entrada")-SUMIFS(Movimentos!$F$4:$F$9996,Movimentos!$D$4:$D$9996,B3048,Movimentos!$C$4:$C$9996,"Saída"),""),"")</f>
        <v/>
      </c>
      <c r="F3048" s="10" t="str">
        <f t="shared" si="98"/>
        <v/>
      </c>
    </row>
    <row r="3049" spans="1:6" x14ac:dyDescent="0.3">
      <c r="A3049" s="15" t="str">
        <f t="shared" si="97"/>
        <v>.</v>
      </c>
      <c r="E3049" s="13" t="str">
        <f>IFERROR(IF(AND(B3049&lt;&gt;"",C3049&lt;&gt;""),SUMIFS(Movimentos!$F$4:$F$9996,Movimentos!$D$4:$D$9996,B3049,Movimentos!$C$4:$C$9996,"Entrada")-SUMIFS(Movimentos!$F$4:$F$9996,Movimentos!$D$4:$D$9996,B3049,Movimentos!$C$4:$C$9996,"Saída"),""),"")</f>
        <v/>
      </c>
      <c r="F3049" s="10" t="str">
        <f t="shared" si="98"/>
        <v/>
      </c>
    </row>
    <row r="3050" spans="1:6" x14ac:dyDescent="0.3">
      <c r="A3050" s="15" t="str">
        <f t="shared" si="97"/>
        <v>.</v>
      </c>
      <c r="E3050" s="13" t="str">
        <f>IFERROR(IF(AND(B3050&lt;&gt;"",C3050&lt;&gt;""),SUMIFS(Movimentos!$F$4:$F$9996,Movimentos!$D$4:$D$9996,B3050,Movimentos!$C$4:$C$9996,"Entrada")-SUMIFS(Movimentos!$F$4:$F$9996,Movimentos!$D$4:$D$9996,B3050,Movimentos!$C$4:$C$9996,"Saída"),""),"")</f>
        <v/>
      </c>
      <c r="F3050" s="10" t="str">
        <f t="shared" si="98"/>
        <v/>
      </c>
    </row>
    <row r="3051" spans="1:6" x14ac:dyDescent="0.3">
      <c r="A3051" s="15" t="str">
        <f t="shared" si="97"/>
        <v>.</v>
      </c>
      <c r="E3051" s="13" t="str">
        <f>IFERROR(IF(AND(B3051&lt;&gt;"",C3051&lt;&gt;""),SUMIFS(Movimentos!$F$4:$F$9996,Movimentos!$D$4:$D$9996,B3051,Movimentos!$C$4:$C$9996,"Entrada")-SUMIFS(Movimentos!$F$4:$F$9996,Movimentos!$D$4:$D$9996,B3051,Movimentos!$C$4:$C$9996,"Saída"),""),"")</f>
        <v/>
      </c>
      <c r="F3051" s="10" t="str">
        <f t="shared" si="98"/>
        <v/>
      </c>
    </row>
    <row r="3052" spans="1:6" x14ac:dyDescent="0.3">
      <c r="A3052" s="15" t="str">
        <f t="shared" si="97"/>
        <v>.</v>
      </c>
      <c r="E3052" s="13" t="str">
        <f>IFERROR(IF(AND(B3052&lt;&gt;"",C3052&lt;&gt;""),SUMIFS(Movimentos!$F$4:$F$9996,Movimentos!$D$4:$D$9996,B3052,Movimentos!$C$4:$C$9996,"Entrada")-SUMIFS(Movimentos!$F$4:$F$9996,Movimentos!$D$4:$D$9996,B3052,Movimentos!$C$4:$C$9996,"Saída"),""),"")</f>
        <v/>
      </c>
      <c r="F3052" s="10" t="str">
        <f t="shared" si="98"/>
        <v/>
      </c>
    </row>
    <row r="3053" spans="1:6" x14ac:dyDescent="0.3">
      <c r="A3053" s="15" t="str">
        <f t="shared" si="97"/>
        <v>.</v>
      </c>
      <c r="E3053" s="13" t="str">
        <f>IFERROR(IF(AND(B3053&lt;&gt;"",C3053&lt;&gt;""),SUMIFS(Movimentos!$F$4:$F$9996,Movimentos!$D$4:$D$9996,B3053,Movimentos!$C$4:$C$9996,"Entrada")-SUMIFS(Movimentos!$F$4:$F$9996,Movimentos!$D$4:$D$9996,B3053,Movimentos!$C$4:$C$9996,"Saída"),""),"")</f>
        <v/>
      </c>
      <c r="F3053" s="10" t="str">
        <f t="shared" si="98"/>
        <v/>
      </c>
    </row>
    <row r="3054" spans="1:6" x14ac:dyDescent="0.3">
      <c r="A3054" s="15" t="str">
        <f t="shared" si="97"/>
        <v>.</v>
      </c>
      <c r="E3054" s="13" t="str">
        <f>IFERROR(IF(AND(B3054&lt;&gt;"",C3054&lt;&gt;""),SUMIFS(Movimentos!$F$4:$F$9996,Movimentos!$D$4:$D$9996,B3054,Movimentos!$C$4:$C$9996,"Entrada")-SUMIFS(Movimentos!$F$4:$F$9996,Movimentos!$D$4:$D$9996,B3054,Movimentos!$C$4:$C$9996,"Saída"),""),"")</f>
        <v/>
      </c>
      <c r="F3054" s="10" t="str">
        <f t="shared" si="98"/>
        <v/>
      </c>
    </row>
    <row r="3055" spans="1:6" x14ac:dyDescent="0.3">
      <c r="A3055" s="15" t="str">
        <f t="shared" si="97"/>
        <v>.</v>
      </c>
      <c r="E3055" s="13" t="str">
        <f>IFERROR(IF(AND(B3055&lt;&gt;"",C3055&lt;&gt;""),SUMIFS(Movimentos!$F$4:$F$9996,Movimentos!$D$4:$D$9996,B3055,Movimentos!$C$4:$C$9996,"Entrada")-SUMIFS(Movimentos!$F$4:$F$9996,Movimentos!$D$4:$D$9996,B3055,Movimentos!$C$4:$C$9996,"Saída"),""),"")</f>
        <v/>
      </c>
      <c r="F3055" s="10" t="str">
        <f t="shared" si="98"/>
        <v/>
      </c>
    </row>
    <row r="3056" spans="1:6" x14ac:dyDescent="0.3">
      <c r="A3056" s="15" t="str">
        <f t="shared" si="97"/>
        <v>.</v>
      </c>
      <c r="E3056" s="13" t="str">
        <f>IFERROR(IF(AND(B3056&lt;&gt;"",C3056&lt;&gt;""),SUMIFS(Movimentos!$F$4:$F$9996,Movimentos!$D$4:$D$9996,B3056,Movimentos!$C$4:$C$9996,"Entrada")-SUMIFS(Movimentos!$F$4:$F$9996,Movimentos!$D$4:$D$9996,B3056,Movimentos!$C$4:$C$9996,"Saída"),""),"")</f>
        <v/>
      </c>
      <c r="F3056" s="10" t="str">
        <f t="shared" si="98"/>
        <v/>
      </c>
    </row>
    <row r="3057" spans="1:6" x14ac:dyDescent="0.3">
      <c r="A3057" s="15" t="str">
        <f t="shared" si="97"/>
        <v>.</v>
      </c>
      <c r="E3057" s="13" t="str">
        <f>IFERROR(IF(AND(B3057&lt;&gt;"",C3057&lt;&gt;""),SUMIFS(Movimentos!$F$4:$F$9996,Movimentos!$D$4:$D$9996,B3057,Movimentos!$C$4:$C$9996,"Entrada")-SUMIFS(Movimentos!$F$4:$F$9996,Movimentos!$D$4:$D$9996,B3057,Movimentos!$C$4:$C$9996,"Saída"),""),"")</f>
        <v/>
      </c>
      <c r="F3057" s="10" t="str">
        <f t="shared" si="98"/>
        <v/>
      </c>
    </row>
    <row r="3058" spans="1:6" x14ac:dyDescent="0.3">
      <c r="A3058" s="15" t="str">
        <f t="shared" si="97"/>
        <v>.</v>
      </c>
      <c r="E3058" s="13" t="str">
        <f>IFERROR(IF(AND(B3058&lt;&gt;"",C3058&lt;&gt;""),SUMIFS(Movimentos!$F$4:$F$9996,Movimentos!$D$4:$D$9996,B3058,Movimentos!$C$4:$C$9996,"Entrada")-SUMIFS(Movimentos!$F$4:$F$9996,Movimentos!$D$4:$D$9996,B3058,Movimentos!$C$4:$C$9996,"Saída"),""),"")</f>
        <v/>
      </c>
      <c r="F3058" s="10" t="str">
        <f t="shared" si="98"/>
        <v/>
      </c>
    </row>
    <row r="3059" spans="1:6" x14ac:dyDescent="0.3">
      <c r="A3059" s="15" t="str">
        <f t="shared" si="97"/>
        <v>.</v>
      </c>
      <c r="E3059" s="13" t="str">
        <f>IFERROR(IF(AND(B3059&lt;&gt;"",C3059&lt;&gt;""),SUMIFS(Movimentos!$F$4:$F$9996,Movimentos!$D$4:$D$9996,B3059,Movimentos!$C$4:$C$9996,"Entrada")-SUMIFS(Movimentos!$F$4:$F$9996,Movimentos!$D$4:$D$9996,B3059,Movimentos!$C$4:$C$9996,"Saída"),""),"")</f>
        <v/>
      </c>
      <c r="F3059" s="10" t="str">
        <f t="shared" si="98"/>
        <v/>
      </c>
    </row>
    <row r="3060" spans="1:6" x14ac:dyDescent="0.3">
      <c r="A3060" s="15" t="str">
        <f t="shared" si="97"/>
        <v>.</v>
      </c>
      <c r="E3060" s="13" t="str">
        <f>IFERROR(IF(AND(B3060&lt;&gt;"",C3060&lt;&gt;""),SUMIFS(Movimentos!$F$4:$F$9996,Movimentos!$D$4:$D$9996,B3060,Movimentos!$C$4:$C$9996,"Entrada")-SUMIFS(Movimentos!$F$4:$F$9996,Movimentos!$D$4:$D$9996,B3060,Movimentos!$C$4:$C$9996,"Saída"),""),"")</f>
        <v/>
      </c>
      <c r="F3060" s="10" t="str">
        <f t="shared" si="98"/>
        <v/>
      </c>
    </row>
    <row r="3061" spans="1:6" x14ac:dyDescent="0.3">
      <c r="A3061" s="15" t="str">
        <f t="shared" si="97"/>
        <v>.</v>
      </c>
      <c r="E3061" s="13" t="str">
        <f>IFERROR(IF(AND(B3061&lt;&gt;"",C3061&lt;&gt;""),SUMIFS(Movimentos!$F$4:$F$9996,Movimentos!$D$4:$D$9996,B3061,Movimentos!$C$4:$C$9996,"Entrada")-SUMIFS(Movimentos!$F$4:$F$9996,Movimentos!$D$4:$D$9996,B3061,Movimentos!$C$4:$C$9996,"Saída"),""),"")</f>
        <v/>
      </c>
      <c r="F3061" s="10" t="str">
        <f t="shared" si="98"/>
        <v/>
      </c>
    </row>
    <row r="3062" spans="1:6" x14ac:dyDescent="0.3">
      <c r="A3062" s="15" t="str">
        <f t="shared" si="97"/>
        <v>.</v>
      </c>
      <c r="E3062" s="13" t="str">
        <f>IFERROR(IF(AND(B3062&lt;&gt;"",C3062&lt;&gt;""),SUMIFS(Movimentos!$F$4:$F$9996,Movimentos!$D$4:$D$9996,B3062,Movimentos!$C$4:$C$9996,"Entrada")-SUMIFS(Movimentos!$F$4:$F$9996,Movimentos!$D$4:$D$9996,B3062,Movimentos!$C$4:$C$9996,"Saída"),""),"")</f>
        <v/>
      </c>
      <c r="F3062" s="10" t="str">
        <f t="shared" si="98"/>
        <v/>
      </c>
    </row>
    <row r="3063" spans="1:6" x14ac:dyDescent="0.3">
      <c r="A3063" s="15" t="str">
        <f t="shared" si="97"/>
        <v>.</v>
      </c>
      <c r="E3063" s="13" t="str">
        <f>IFERROR(IF(AND(B3063&lt;&gt;"",C3063&lt;&gt;""),SUMIFS(Movimentos!$F$4:$F$9996,Movimentos!$D$4:$D$9996,B3063,Movimentos!$C$4:$C$9996,"Entrada")-SUMIFS(Movimentos!$F$4:$F$9996,Movimentos!$D$4:$D$9996,B3063,Movimentos!$C$4:$C$9996,"Saída"),""),"")</f>
        <v/>
      </c>
      <c r="F3063" s="10" t="str">
        <f t="shared" si="98"/>
        <v/>
      </c>
    </row>
    <row r="3064" spans="1:6" x14ac:dyDescent="0.3">
      <c r="A3064" s="15" t="str">
        <f t="shared" si="97"/>
        <v>.</v>
      </c>
      <c r="E3064" s="13" t="str">
        <f>IFERROR(IF(AND(B3064&lt;&gt;"",C3064&lt;&gt;""),SUMIFS(Movimentos!$F$4:$F$9996,Movimentos!$D$4:$D$9996,B3064,Movimentos!$C$4:$C$9996,"Entrada")-SUMIFS(Movimentos!$F$4:$F$9996,Movimentos!$D$4:$D$9996,B3064,Movimentos!$C$4:$C$9996,"Saída"),""),"")</f>
        <v/>
      </c>
      <c r="F3064" s="10" t="str">
        <f t="shared" si="98"/>
        <v/>
      </c>
    </row>
    <row r="3065" spans="1:6" x14ac:dyDescent="0.3">
      <c r="A3065" s="15" t="str">
        <f t="shared" si="97"/>
        <v>.</v>
      </c>
      <c r="E3065" s="13" t="str">
        <f>IFERROR(IF(AND(B3065&lt;&gt;"",C3065&lt;&gt;""),SUMIFS(Movimentos!$F$4:$F$9996,Movimentos!$D$4:$D$9996,B3065,Movimentos!$C$4:$C$9996,"Entrada")-SUMIFS(Movimentos!$F$4:$F$9996,Movimentos!$D$4:$D$9996,B3065,Movimentos!$C$4:$C$9996,"Saída"),""),"")</f>
        <v/>
      </c>
      <c r="F3065" s="10" t="str">
        <f t="shared" si="98"/>
        <v/>
      </c>
    </row>
    <row r="3066" spans="1:6" x14ac:dyDescent="0.3">
      <c r="A3066" s="15" t="str">
        <f t="shared" si="97"/>
        <v>.</v>
      </c>
      <c r="E3066" s="13" t="str">
        <f>IFERROR(IF(AND(B3066&lt;&gt;"",C3066&lt;&gt;""),SUMIFS(Movimentos!$F$4:$F$9996,Movimentos!$D$4:$D$9996,B3066,Movimentos!$C$4:$C$9996,"Entrada")-SUMIFS(Movimentos!$F$4:$F$9996,Movimentos!$D$4:$D$9996,B3066,Movimentos!$C$4:$C$9996,"Saída"),""),"")</f>
        <v/>
      </c>
      <c r="F3066" s="10" t="str">
        <f t="shared" si="98"/>
        <v/>
      </c>
    </row>
    <row r="3067" spans="1:6" x14ac:dyDescent="0.3">
      <c r="A3067" s="15" t="str">
        <f t="shared" si="97"/>
        <v>.</v>
      </c>
      <c r="E3067" s="13" t="str">
        <f>IFERROR(IF(AND(B3067&lt;&gt;"",C3067&lt;&gt;""),SUMIFS(Movimentos!$F$4:$F$9996,Movimentos!$D$4:$D$9996,B3067,Movimentos!$C$4:$C$9996,"Entrada")-SUMIFS(Movimentos!$F$4:$F$9996,Movimentos!$D$4:$D$9996,B3067,Movimentos!$C$4:$C$9996,"Saída"),""),"")</f>
        <v/>
      </c>
      <c r="F3067" s="10" t="str">
        <f t="shared" si="98"/>
        <v/>
      </c>
    </row>
    <row r="3068" spans="1:6" x14ac:dyDescent="0.3">
      <c r="A3068" s="15" t="str">
        <f t="shared" si="97"/>
        <v>.</v>
      </c>
      <c r="E3068" s="13" t="str">
        <f>IFERROR(IF(AND(B3068&lt;&gt;"",C3068&lt;&gt;""),SUMIFS(Movimentos!$F$4:$F$9996,Movimentos!$D$4:$D$9996,B3068,Movimentos!$C$4:$C$9996,"Entrada")-SUMIFS(Movimentos!$F$4:$F$9996,Movimentos!$D$4:$D$9996,B3068,Movimentos!$C$4:$C$9996,"Saída"),""),"")</f>
        <v/>
      </c>
      <c r="F3068" s="10" t="str">
        <f t="shared" si="98"/>
        <v/>
      </c>
    </row>
    <row r="3069" spans="1:6" x14ac:dyDescent="0.3">
      <c r="A3069" s="15" t="str">
        <f t="shared" si="97"/>
        <v>.</v>
      </c>
      <c r="E3069" s="13" t="str">
        <f>IFERROR(IF(AND(B3069&lt;&gt;"",C3069&lt;&gt;""),SUMIFS(Movimentos!$F$4:$F$9996,Movimentos!$D$4:$D$9996,B3069,Movimentos!$C$4:$C$9996,"Entrada")-SUMIFS(Movimentos!$F$4:$F$9996,Movimentos!$D$4:$D$9996,B3069,Movimentos!$C$4:$C$9996,"Saída"),""),"")</f>
        <v/>
      </c>
      <c r="F3069" s="10" t="str">
        <f t="shared" si="98"/>
        <v/>
      </c>
    </row>
    <row r="3070" spans="1:6" x14ac:dyDescent="0.3">
      <c r="A3070" s="15" t="str">
        <f t="shared" si="97"/>
        <v>.</v>
      </c>
      <c r="E3070" s="13" t="str">
        <f>IFERROR(IF(AND(B3070&lt;&gt;"",C3070&lt;&gt;""),SUMIFS(Movimentos!$F$4:$F$9996,Movimentos!$D$4:$D$9996,B3070,Movimentos!$C$4:$C$9996,"Entrada")-SUMIFS(Movimentos!$F$4:$F$9996,Movimentos!$D$4:$D$9996,B3070,Movimentos!$C$4:$C$9996,"Saída"),""),"")</f>
        <v/>
      </c>
      <c r="F3070" s="10" t="str">
        <f t="shared" si="98"/>
        <v/>
      </c>
    </row>
    <row r="3071" spans="1:6" x14ac:dyDescent="0.3">
      <c r="A3071" s="15" t="str">
        <f t="shared" si="97"/>
        <v>.</v>
      </c>
      <c r="E3071" s="13" t="str">
        <f>IFERROR(IF(AND(B3071&lt;&gt;"",C3071&lt;&gt;""),SUMIFS(Movimentos!$F$4:$F$9996,Movimentos!$D$4:$D$9996,B3071,Movimentos!$C$4:$C$9996,"Entrada")-SUMIFS(Movimentos!$F$4:$F$9996,Movimentos!$D$4:$D$9996,B3071,Movimentos!$C$4:$C$9996,"Saída"),""),"")</f>
        <v/>
      </c>
      <c r="F3071" s="10" t="str">
        <f t="shared" si="98"/>
        <v/>
      </c>
    </row>
    <row r="3072" spans="1:6" x14ac:dyDescent="0.3">
      <c r="A3072" s="15" t="str">
        <f t="shared" ref="A3072:A3135" si="99">IF(F3072="Saldo zerado",0,IF(F3072="Saldo abaixo do mínimo",1,IF(F3072="Saldo disponível",2,".")))</f>
        <v>.</v>
      </c>
      <c r="E3072" s="13" t="str">
        <f>IFERROR(IF(AND(B3072&lt;&gt;"",C3072&lt;&gt;""),SUMIFS(Movimentos!$F$4:$F$9996,Movimentos!$D$4:$D$9996,B3072,Movimentos!$C$4:$C$9996,"Entrada")-SUMIFS(Movimentos!$F$4:$F$9996,Movimentos!$D$4:$D$9996,B3072,Movimentos!$C$4:$C$9996,"Saída"),""),"")</f>
        <v/>
      </c>
      <c r="F3072" s="10" t="str">
        <f t="shared" si="98"/>
        <v/>
      </c>
    </row>
    <row r="3073" spans="1:6" x14ac:dyDescent="0.3">
      <c r="A3073" s="15" t="str">
        <f t="shared" si="99"/>
        <v>.</v>
      </c>
      <c r="E3073" s="13" t="str">
        <f>IFERROR(IF(AND(B3073&lt;&gt;"",C3073&lt;&gt;""),SUMIFS(Movimentos!$F$4:$F$9996,Movimentos!$D$4:$D$9996,B3073,Movimentos!$C$4:$C$9996,"Entrada")-SUMIFS(Movimentos!$F$4:$F$9996,Movimentos!$D$4:$D$9996,B3073,Movimentos!$C$4:$C$9996,"Saída"),""),"")</f>
        <v/>
      </c>
      <c r="F3073" s="10" t="str">
        <f t="shared" si="98"/>
        <v/>
      </c>
    </row>
    <row r="3074" spans="1:6" x14ac:dyDescent="0.3">
      <c r="A3074" s="15" t="str">
        <f t="shared" si="99"/>
        <v>.</v>
      </c>
      <c r="E3074" s="13" t="str">
        <f>IFERROR(IF(AND(B3074&lt;&gt;"",C3074&lt;&gt;""),SUMIFS(Movimentos!$F$4:$F$9996,Movimentos!$D$4:$D$9996,B3074,Movimentos!$C$4:$C$9996,"Entrada")-SUMIFS(Movimentos!$F$4:$F$9996,Movimentos!$D$4:$D$9996,B3074,Movimentos!$C$4:$C$9996,"Saída"),""),"")</f>
        <v/>
      </c>
      <c r="F3074" s="10" t="str">
        <f t="shared" si="98"/>
        <v/>
      </c>
    </row>
    <row r="3075" spans="1:6" x14ac:dyDescent="0.3">
      <c r="A3075" s="15" t="str">
        <f t="shared" si="99"/>
        <v>.</v>
      </c>
      <c r="E3075" s="13" t="str">
        <f>IFERROR(IF(AND(B3075&lt;&gt;"",C3075&lt;&gt;""),SUMIFS(Movimentos!$F$4:$F$9996,Movimentos!$D$4:$D$9996,B3075,Movimentos!$C$4:$C$9996,"Entrada")-SUMIFS(Movimentos!$F$4:$F$9996,Movimentos!$D$4:$D$9996,B3075,Movimentos!$C$4:$C$9996,"Saída"),""),"")</f>
        <v/>
      </c>
      <c r="F3075" s="10" t="str">
        <f t="shared" si="98"/>
        <v/>
      </c>
    </row>
    <row r="3076" spans="1:6" x14ac:dyDescent="0.3">
      <c r="A3076" s="15" t="str">
        <f t="shared" si="99"/>
        <v>.</v>
      </c>
      <c r="E3076" s="13" t="str">
        <f>IFERROR(IF(AND(B3076&lt;&gt;"",C3076&lt;&gt;""),SUMIFS(Movimentos!$F$4:$F$9996,Movimentos!$D$4:$D$9996,B3076,Movimentos!$C$4:$C$9996,"Entrada")-SUMIFS(Movimentos!$F$4:$F$9996,Movimentos!$D$4:$D$9996,B3076,Movimentos!$C$4:$C$9996,"Saída"),""),"")</f>
        <v/>
      </c>
      <c r="F3076" s="10" t="str">
        <f t="shared" si="98"/>
        <v/>
      </c>
    </row>
    <row r="3077" spans="1:6" x14ac:dyDescent="0.3">
      <c r="A3077" s="15" t="str">
        <f t="shared" si="99"/>
        <v>.</v>
      </c>
      <c r="E3077" s="13" t="str">
        <f>IFERROR(IF(AND(B3077&lt;&gt;"",C3077&lt;&gt;""),SUMIFS(Movimentos!$F$4:$F$9996,Movimentos!$D$4:$D$9996,B3077,Movimentos!$C$4:$C$9996,"Entrada")-SUMIFS(Movimentos!$F$4:$F$9996,Movimentos!$D$4:$D$9996,B3077,Movimentos!$C$4:$C$9996,"Saída"),""),"")</f>
        <v/>
      </c>
      <c r="F3077" s="10" t="str">
        <f t="shared" si="98"/>
        <v/>
      </c>
    </row>
    <row r="3078" spans="1:6" x14ac:dyDescent="0.3">
      <c r="A3078" s="15" t="str">
        <f t="shared" si="99"/>
        <v>.</v>
      </c>
      <c r="E3078" s="13" t="str">
        <f>IFERROR(IF(AND(B3078&lt;&gt;"",C3078&lt;&gt;""),SUMIFS(Movimentos!$F$4:$F$9996,Movimentos!$D$4:$D$9996,B3078,Movimentos!$C$4:$C$9996,"Entrada")-SUMIFS(Movimentos!$F$4:$F$9996,Movimentos!$D$4:$D$9996,B3078,Movimentos!$C$4:$C$9996,"Saída"),""),"")</f>
        <v/>
      </c>
      <c r="F3078" s="10" t="str">
        <f t="shared" si="98"/>
        <v/>
      </c>
    </row>
    <row r="3079" spans="1:6" x14ac:dyDescent="0.3">
      <c r="A3079" s="15" t="str">
        <f t="shared" si="99"/>
        <v>.</v>
      </c>
      <c r="E3079" s="13" t="str">
        <f>IFERROR(IF(AND(B3079&lt;&gt;"",C3079&lt;&gt;""),SUMIFS(Movimentos!$F$4:$F$9996,Movimentos!$D$4:$D$9996,B3079,Movimentos!$C$4:$C$9996,"Entrada")-SUMIFS(Movimentos!$F$4:$F$9996,Movimentos!$D$4:$D$9996,B3079,Movimentos!$C$4:$C$9996,"Saída"),""),"")</f>
        <v/>
      </c>
      <c r="F3079" s="10" t="str">
        <f t="shared" si="98"/>
        <v/>
      </c>
    </row>
    <row r="3080" spans="1:6" x14ac:dyDescent="0.3">
      <c r="A3080" s="15" t="str">
        <f t="shared" si="99"/>
        <v>.</v>
      </c>
      <c r="E3080" s="13" t="str">
        <f>IFERROR(IF(AND(B3080&lt;&gt;"",C3080&lt;&gt;""),SUMIFS(Movimentos!$F$4:$F$9996,Movimentos!$D$4:$D$9996,B3080,Movimentos!$C$4:$C$9996,"Entrada")-SUMIFS(Movimentos!$F$4:$F$9996,Movimentos!$D$4:$D$9996,B3080,Movimentos!$C$4:$C$9996,"Saída"),""),"")</f>
        <v/>
      </c>
      <c r="F3080" s="10" t="str">
        <f t="shared" si="98"/>
        <v/>
      </c>
    </row>
    <row r="3081" spans="1:6" x14ac:dyDescent="0.3">
      <c r="A3081" s="15" t="str">
        <f t="shared" si="99"/>
        <v>.</v>
      </c>
      <c r="E3081" s="13" t="str">
        <f>IFERROR(IF(AND(B3081&lt;&gt;"",C3081&lt;&gt;""),SUMIFS(Movimentos!$F$4:$F$9996,Movimentos!$D$4:$D$9996,B3081,Movimentos!$C$4:$C$9996,"Entrada")-SUMIFS(Movimentos!$F$4:$F$9996,Movimentos!$D$4:$D$9996,B3081,Movimentos!$C$4:$C$9996,"Saída"),""),"")</f>
        <v/>
      </c>
      <c r="F3081" s="10" t="str">
        <f t="shared" si="98"/>
        <v/>
      </c>
    </row>
    <row r="3082" spans="1:6" x14ac:dyDescent="0.3">
      <c r="A3082" s="15" t="str">
        <f t="shared" si="99"/>
        <v>.</v>
      </c>
      <c r="E3082" s="13" t="str">
        <f>IFERROR(IF(AND(B3082&lt;&gt;"",C3082&lt;&gt;""),SUMIFS(Movimentos!$F$4:$F$9996,Movimentos!$D$4:$D$9996,B3082,Movimentos!$C$4:$C$9996,"Entrada")-SUMIFS(Movimentos!$F$4:$F$9996,Movimentos!$D$4:$D$9996,B3082,Movimentos!$C$4:$C$9996,"Saída"),""),"")</f>
        <v/>
      </c>
      <c r="F3082" s="10" t="str">
        <f t="shared" si="98"/>
        <v/>
      </c>
    </row>
    <row r="3083" spans="1:6" x14ac:dyDescent="0.3">
      <c r="A3083" s="15" t="str">
        <f t="shared" si="99"/>
        <v>.</v>
      </c>
      <c r="E3083" s="13" t="str">
        <f>IFERROR(IF(AND(B3083&lt;&gt;"",C3083&lt;&gt;""),SUMIFS(Movimentos!$F$4:$F$9996,Movimentos!$D$4:$D$9996,B3083,Movimentos!$C$4:$C$9996,"Entrada")-SUMIFS(Movimentos!$F$4:$F$9996,Movimentos!$D$4:$D$9996,B3083,Movimentos!$C$4:$C$9996,"Saída"),""),"")</f>
        <v/>
      </c>
      <c r="F3083" s="10" t="str">
        <f t="shared" si="98"/>
        <v/>
      </c>
    </row>
    <row r="3084" spans="1:6" x14ac:dyDescent="0.3">
      <c r="A3084" s="15" t="str">
        <f t="shared" si="99"/>
        <v>.</v>
      </c>
      <c r="E3084" s="13" t="str">
        <f>IFERROR(IF(AND(B3084&lt;&gt;"",C3084&lt;&gt;""),SUMIFS(Movimentos!$F$4:$F$9996,Movimentos!$D$4:$D$9996,B3084,Movimentos!$C$4:$C$9996,"Entrada")-SUMIFS(Movimentos!$F$4:$F$9996,Movimentos!$D$4:$D$9996,B3084,Movimentos!$C$4:$C$9996,"Saída"),""),"")</f>
        <v/>
      </c>
      <c r="F3084" s="10" t="str">
        <f t="shared" si="98"/>
        <v/>
      </c>
    </row>
    <row r="3085" spans="1:6" x14ac:dyDescent="0.3">
      <c r="A3085" s="15" t="str">
        <f t="shared" si="99"/>
        <v>.</v>
      </c>
      <c r="E3085" s="13" t="str">
        <f>IFERROR(IF(AND(B3085&lt;&gt;"",C3085&lt;&gt;""),SUMIFS(Movimentos!$F$4:$F$9996,Movimentos!$D$4:$D$9996,B3085,Movimentos!$C$4:$C$9996,"Entrada")-SUMIFS(Movimentos!$F$4:$F$9996,Movimentos!$D$4:$D$9996,B3085,Movimentos!$C$4:$C$9996,"Saída"),""),"")</f>
        <v/>
      </c>
      <c r="F3085" s="10" t="str">
        <f t="shared" si="98"/>
        <v/>
      </c>
    </row>
    <row r="3086" spans="1:6" x14ac:dyDescent="0.3">
      <c r="A3086" s="15" t="str">
        <f t="shared" si="99"/>
        <v>.</v>
      </c>
      <c r="E3086" s="13" t="str">
        <f>IFERROR(IF(AND(B3086&lt;&gt;"",C3086&lt;&gt;""),SUMIFS(Movimentos!$F$4:$F$9996,Movimentos!$D$4:$D$9996,B3086,Movimentos!$C$4:$C$9996,"Entrada")-SUMIFS(Movimentos!$F$4:$F$9996,Movimentos!$D$4:$D$9996,B3086,Movimentos!$C$4:$C$9996,"Saída"),""),"")</f>
        <v/>
      </c>
      <c r="F3086" s="10" t="str">
        <f t="shared" si="98"/>
        <v/>
      </c>
    </row>
    <row r="3087" spans="1:6" x14ac:dyDescent="0.3">
      <c r="A3087" s="15" t="str">
        <f t="shared" si="99"/>
        <v>.</v>
      </c>
      <c r="E3087" s="13" t="str">
        <f>IFERROR(IF(AND(B3087&lt;&gt;"",C3087&lt;&gt;""),SUMIFS(Movimentos!$F$4:$F$9996,Movimentos!$D$4:$D$9996,B3087,Movimentos!$C$4:$C$9996,"Entrada")-SUMIFS(Movimentos!$F$4:$F$9996,Movimentos!$D$4:$D$9996,B3087,Movimentos!$C$4:$C$9996,"Saída"),""),"")</f>
        <v/>
      </c>
      <c r="F3087" s="10" t="str">
        <f t="shared" si="98"/>
        <v/>
      </c>
    </row>
    <row r="3088" spans="1:6" x14ac:dyDescent="0.3">
      <c r="A3088" s="15" t="str">
        <f t="shared" si="99"/>
        <v>.</v>
      </c>
      <c r="E3088" s="13" t="str">
        <f>IFERROR(IF(AND(B3088&lt;&gt;"",C3088&lt;&gt;""),SUMIFS(Movimentos!$F$4:$F$9996,Movimentos!$D$4:$D$9996,B3088,Movimentos!$C$4:$C$9996,"Entrada")-SUMIFS(Movimentos!$F$4:$F$9996,Movimentos!$D$4:$D$9996,B3088,Movimentos!$C$4:$C$9996,"Saída"),""),"")</f>
        <v/>
      </c>
      <c r="F3088" s="10" t="str">
        <f t="shared" si="98"/>
        <v/>
      </c>
    </row>
    <row r="3089" spans="1:6" x14ac:dyDescent="0.3">
      <c r="A3089" s="15" t="str">
        <f t="shared" si="99"/>
        <v>.</v>
      </c>
      <c r="E3089" s="13" t="str">
        <f>IFERROR(IF(AND(B3089&lt;&gt;"",C3089&lt;&gt;""),SUMIFS(Movimentos!$F$4:$F$9996,Movimentos!$D$4:$D$9996,B3089,Movimentos!$C$4:$C$9996,"Entrada")-SUMIFS(Movimentos!$F$4:$F$9996,Movimentos!$D$4:$D$9996,B3089,Movimentos!$C$4:$C$9996,"Saída"),""),"")</f>
        <v/>
      </c>
      <c r="F3089" s="10" t="str">
        <f t="shared" si="98"/>
        <v/>
      </c>
    </row>
    <row r="3090" spans="1:6" x14ac:dyDescent="0.3">
      <c r="A3090" s="15" t="str">
        <f t="shared" si="99"/>
        <v>.</v>
      </c>
      <c r="E3090" s="13" t="str">
        <f>IFERROR(IF(AND(B3090&lt;&gt;"",C3090&lt;&gt;""),SUMIFS(Movimentos!$F$4:$F$9996,Movimentos!$D$4:$D$9996,B3090,Movimentos!$C$4:$C$9996,"Entrada")-SUMIFS(Movimentos!$F$4:$F$9996,Movimentos!$D$4:$D$9996,B3090,Movimentos!$C$4:$C$9996,"Saída"),""),"")</f>
        <v/>
      </c>
      <c r="F3090" s="10" t="str">
        <f t="shared" si="98"/>
        <v/>
      </c>
    </row>
    <row r="3091" spans="1:6" x14ac:dyDescent="0.3">
      <c r="A3091" s="15" t="str">
        <f t="shared" si="99"/>
        <v>.</v>
      </c>
      <c r="E3091" s="13" t="str">
        <f>IFERROR(IF(AND(B3091&lt;&gt;"",C3091&lt;&gt;""),SUMIFS(Movimentos!$F$4:$F$9996,Movimentos!$D$4:$D$9996,B3091,Movimentos!$C$4:$C$9996,"Entrada")-SUMIFS(Movimentos!$F$4:$F$9996,Movimentos!$D$4:$D$9996,B3091,Movimentos!$C$4:$C$9996,"Saída"),""),"")</f>
        <v/>
      </c>
      <c r="F3091" s="10" t="str">
        <f t="shared" si="98"/>
        <v/>
      </c>
    </row>
    <row r="3092" spans="1:6" x14ac:dyDescent="0.3">
      <c r="A3092" s="15" t="str">
        <f t="shared" si="99"/>
        <v>.</v>
      </c>
      <c r="E3092" s="13" t="str">
        <f>IFERROR(IF(AND(B3092&lt;&gt;"",C3092&lt;&gt;""),SUMIFS(Movimentos!$F$4:$F$9996,Movimentos!$D$4:$D$9996,B3092,Movimentos!$C$4:$C$9996,"Entrada")-SUMIFS(Movimentos!$F$4:$F$9996,Movimentos!$D$4:$D$9996,B3092,Movimentos!$C$4:$C$9996,"Saída"),""),"")</f>
        <v/>
      </c>
      <c r="F3092" s="10" t="str">
        <f t="shared" si="98"/>
        <v/>
      </c>
    </row>
    <row r="3093" spans="1:6" x14ac:dyDescent="0.3">
      <c r="A3093" s="15" t="str">
        <f t="shared" si="99"/>
        <v>.</v>
      </c>
      <c r="E3093" s="13" t="str">
        <f>IFERROR(IF(AND(B3093&lt;&gt;"",C3093&lt;&gt;""),SUMIFS(Movimentos!$F$4:$F$9996,Movimentos!$D$4:$D$9996,B3093,Movimentos!$C$4:$C$9996,"Entrada")-SUMIFS(Movimentos!$F$4:$F$9996,Movimentos!$D$4:$D$9996,B3093,Movimentos!$C$4:$C$9996,"Saída"),""),"")</f>
        <v/>
      </c>
      <c r="F3093" s="10" t="str">
        <f t="shared" si="98"/>
        <v/>
      </c>
    </row>
    <row r="3094" spans="1:6" x14ac:dyDescent="0.3">
      <c r="A3094" s="15" t="str">
        <f t="shared" si="99"/>
        <v>.</v>
      </c>
      <c r="E3094" s="13" t="str">
        <f>IFERROR(IF(AND(B3094&lt;&gt;"",C3094&lt;&gt;""),SUMIFS(Movimentos!$F$4:$F$9996,Movimentos!$D$4:$D$9996,B3094,Movimentos!$C$4:$C$9996,"Entrada")-SUMIFS(Movimentos!$F$4:$F$9996,Movimentos!$D$4:$D$9996,B3094,Movimentos!$C$4:$C$9996,"Saída"),""),"")</f>
        <v/>
      </c>
      <c r="F3094" s="10" t="str">
        <f t="shared" si="98"/>
        <v/>
      </c>
    </row>
    <row r="3095" spans="1:6" x14ac:dyDescent="0.3">
      <c r="A3095" s="15" t="str">
        <f t="shared" si="99"/>
        <v>.</v>
      </c>
      <c r="E3095" s="13" t="str">
        <f>IFERROR(IF(AND(B3095&lt;&gt;"",C3095&lt;&gt;""),SUMIFS(Movimentos!$F$4:$F$9996,Movimentos!$D$4:$D$9996,B3095,Movimentos!$C$4:$C$9996,"Entrada")-SUMIFS(Movimentos!$F$4:$F$9996,Movimentos!$D$4:$D$9996,B3095,Movimentos!$C$4:$C$9996,"Saída"),""),"")</f>
        <v/>
      </c>
      <c r="F3095" s="10" t="str">
        <f t="shared" ref="F3095:F3158" si="100">IF(AND(B3095&lt;&gt;"",C3095&lt;&gt;""),IF(E3095=0,"Saldo zerado",IF(E3095&lt;D3095,"Saldo abaixo do mínimo","Saldo disponível")),"")</f>
        <v/>
      </c>
    </row>
    <row r="3096" spans="1:6" x14ac:dyDescent="0.3">
      <c r="A3096" s="15" t="str">
        <f t="shared" si="99"/>
        <v>.</v>
      </c>
      <c r="E3096" s="13" t="str">
        <f>IFERROR(IF(AND(B3096&lt;&gt;"",C3096&lt;&gt;""),SUMIFS(Movimentos!$F$4:$F$9996,Movimentos!$D$4:$D$9996,B3096,Movimentos!$C$4:$C$9996,"Entrada")-SUMIFS(Movimentos!$F$4:$F$9996,Movimentos!$D$4:$D$9996,B3096,Movimentos!$C$4:$C$9996,"Saída"),""),"")</f>
        <v/>
      </c>
      <c r="F3096" s="10" t="str">
        <f t="shared" si="100"/>
        <v/>
      </c>
    </row>
    <row r="3097" spans="1:6" x14ac:dyDescent="0.3">
      <c r="A3097" s="15" t="str">
        <f t="shared" si="99"/>
        <v>.</v>
      </c>
      <c r="E3097" s="13" t="str">
        <f>IFERROR(IF(AND(B3097&lt;&gt;"",C3097&lt;&gt;""),SUMIFS(Movimentos!$F$4:$F$9996,Movimentos!$D$4:$D$9996,B3097,Movimentos!$C$4:$C$9996,"Entrada")-SUMIFS(Movimentos!$F$4:$F$9996,Movimentos!$D$4:$D$9996,B3097,Movimentos!$C$4:$C$9996,"Saída"),""),"")</f>
        <v/>
      </c>
      <c r="F3097" s="10" t="str">
        <f t="shared" si="100"/>
        <v/>
      </c>
    </row>
    <row r="3098" spans="1:6" x14ac:dyDescent="0.3">
      <c r="A3098" s="15" t="str">
        <f t="shared" si="99"/>
        <v>.</v>
      </c>
      <c r="E3098" s="13" t="str">
        <f>IFERROR(IF(AND(B3098&lt;&gt;"",C3098&lt;&gt;""),SUMIFS(Movimentos!$F$4:$F$9996,Movimentos!$D$4:$D$9996,B3098,Movimentos!$C$4:$C$9996,"Entrada")-SUMIFS(Movimentos!$F$4:$F$9996,Movimentos!$D$4:$D$9996,B3098,Movimentos!$C$4:$C$9996,"Saída"),""),"")</f>
        <v/>
      </c>
      <c r="F3098" s="10" t="str">
        <f t="shared" si="100"/>
        <v/>
      </c>
    </row>
    <row r="3099" spans="1:6" x14ac:dyDescent="0.3">
      <c r="A3099" s="15" t="str">
        <f t="shared" si="99"/>
        <v>.</v>
      </c>
      <c r="E3099" s="13" t="str">
        <f>IFERROR(IF(AND(B3099&lt;&gt;"",C3099&lt;&gt;""),SUMIFS(Movimentos!$F$4:$F$9996,Movimentos!$D$4:$D$9996,B3099,Movimentos!$C$4:$C$9996,"Entrada")-SUMIFS(Movimentos!$F$4:$F$9996,Movimentos!$D$4:$D$9996,B3099,Movimentos!$C$4:$C$9996,"Saída"),""),"")</f>
        <v/>
      </c>
      <c r="F3099" s="10" t="str">
        <f t="shared" si="100"/>
        <v/>
      </c>
    </row>
    <row r="3100" spans="1:6" x14ac:dyDescent="0.3">
      <c r="A3100" s="15" t="str">
        <f t="shared" si="99"/>
        <v>.</v>
      </c>
      <c r="E3100" s="13" t="str">
        <f>IFERROR(IF(AND(B3100&lt;&gt;"",C3100&lt;&gt;""),SUMIFS(Movimentos!$F$4:$F$9996,Movimentos!$D$4:$D$9996,B3100,Movimentos!$C$4:$C$9996,"Entrada")-SUMIFS(Movimentos!$F$4:$F$9996,Movimentos!$D$4:$D$9996,B3100,Movimentos!$C$4:$C$9996,"Saída"),""),"")</f>
        <v/>
      </c>
      <c r="F3100" s="10" t="str">
        <f t="shared" si="100"/>
        <v/>
      </c>
    </row>
    <row r="3101" spans="1:6" x14ac:dyDescent="0.3">
      <c r="A3101" s="15" t="str">
        <f t="shared" si="99"/>
        <v>.</v>
      </c>
      <c r="E3101" s="13" t="str">
        <f>IFERROR(IF(AND(B3101&lt;&gt;"",C3101&lt;&gt;""),SUMIFS(Movimentos!$F$4:$F$9996,Movimentos!$D$4:$D$9996,B3101,Movimentos!$C$4:$C$9996,"Entrada")-SUMIFS(Movimentos!$F$4:$F$9996,Movimentos!$D$4:$D$9996,B3101,Movimentos!$C$4:$C$9996,"Saída"),""),"")</f>
        <v/>
      </c>
      <c r="F3101" s="10" t="str">
        <f t="shared" si="100"/>
        <v/>
      </c>
    </row>
    <row r="3102" spans="1:6" x14ac:dyDescent="0.3">
      <c r="A3102" s="15" t="str">
        <f t="shared" si="99"/>
        <v>.</v>
      </c>
      <c r="E3102" s="13" t="str">
        <f>IFERROR(IF(AND(B3102&lt;&gt;"",C3102&lt;&gt;""),SUMIFS(Movimentos!$F$4:$F$9996,Movimentos!$D$4:$D$9996,B3102,Movimentos!$C$4:$C$9996,"Entrada")-SUMIFS(Movimentos!$F$4:$F$9996,Movimentos!$D$4:$D$9996,B3102,Movimentos!$C$4:$C$9996,"Saída"),""),"")</f>
        <v/>
      </c>
      <c r="F3102" s="10" t="str">
        <f t="shared" si="100"/>
        <v/>
      </c>
    </row>
    <row r="3103" spans="1:6" x14ac:dyDescent="0.3">
      <c r="A3103" s="15" t="str">
        <f t="shared" si="99"/>
        <v>.</v>
      </c>
      <c r="E3103" s="13" t="str">
        <f>IFERROR(IF(AND(B3103&lt;&gt;"",C3103&lt;&gt;""),SUMIFS(Movimentos!$F$4:$F$9996,Movimentos!$D$4:$D$9996,B3103,Movimentos!$C$4:$C$9996,"Entrada")-SUMIFS(Movimentos!$F$4:$F$9996,Movimentos!$D$4:$D$9996,B3103,Movimentos!$C$4:$C$9996,"Saída"),""),"")</f>
        <v/>
      </c>
      <c r="F3103" s="10" t="str">
        <f t="shared" si="100"/>
        <v/>
      </c>
    </row>
    <row r="3104" spans="1:6" x14ac:dyDescent="0.3">
      <c r="A3104" s="15" t="str">
        <f t="shared" si="99"/>
        <v>.</v>
      </c>
      <c r="E3104" s="13" t="str">
        <f>IFERROR(IF(AND(B3104&lt;&gt;"",C3104&lt;&gt;""),SUMIFS(Movimentos!$F$4:$F$9996,Movimentos!$D$4:$D$9996,B3104,Movimentos!$C$4:$C$9996,"Entrada")-SUMIFS(Movimentos!$F$4:$F$9996,Movimentos!$D$4:$D$9996,B3104,Movimentos!$C$4:$C$9996,"Saída"),""),"")</f>
        <v/>
      </c>
      <c r="F3104" s="10" t="str">
        <f t="shared" si="100"/>
        <v/>
      </c>
    </row>
    <row r="3105" spans="1:6" x14ac:dyDescent="0.3">
      <c r="A3105" s="15" t="str">
        <f t="shared" si="99"/>
        <v>.</v>
      </c>
      <c r="E3105" s="13" t="str">
        <f>IFERROR(IF(AND(B3105&lt;&gt;"",C3105&lt;&gt;""),SUMIFS(Movimentos!$F$4:$F$9996,Movimentos!$D$4:$D$9996,B3105,Movimentos!$C$4:$C$9996,"Entrada")-SUMIFS(Movimentos!$F$4:$F$9996,Movimentos!$D$4:$D$9996,B3105,Movimentos!$C$4:$C$9996,"Saída"),""),"")</f>
        <v/>
      </c>
      <c r="F3105" s="10" t="str">
        <f t="shared" si="100"/>
        <v/>
      </c>
    </row>
    <row r="3106" spans="1:6" x14ac:dyDescent="0.3">
      <c r="A3106" s="15" t="str">
        <f t="shared" si="99"/>
        <v>.</v>
      </c>
      <c r="E3106" s="13" t="str">
        <f>IFERROR(IF(AND(B3106&lt;&gt;"",C3106&lt;&gt;""),SUMIFS(Movimentos!$F$4:$F$9996,Movimentos!$D$4:$D$9996,B3106,Movimentos!$C$4:$C$9996,"Entrada")-SUMIFS(Movimentos!$F$4:$F$9996,Movimentos!$D$4:$D$9996,B3106,Movimentos!$C$4:$C$9996,"Saída"),""),"")</f>
        <v/>
      </c>
      <c r="F3106" s="10" t="str">
        <f t="shared" si="100"/>
        <v/>
      </c>
    </row>
    <row r="3107" spans="1:6" x14ac:dyDescent="0.3">
      <c r="A3107" s="15" t="str">
        <f t="shared" si="99"/>
        <v>.</v>
      </c>
      <c r="E3107" s="13" t="str">
        <f>IFERROR(IF(AND(B3107&lt;&gt;"",C3107&lt;&gt;""),SUMIFS(Movimentos!$F$4:$F$9996,Movimentos!$D$4:$D$9996,B3107,Movimentos!$C$4:$C$9996,"Entrada")-SUMIFS(Movimentos!$F$4:$F$9996,Movimentos!$D$4:$D$9996,B3107,Movimentos!$C$4:$C$9996,"Saída"),""),"")</f>
        <v/>
      </c>
      <c r="F3107" s="10" t="str">
        <f t="shared" si="100"/>
        <v/>
      </c>
    </row>
    <row r="3108" spans="1:6" x14ac:dyDescent="0.3">
      <c r="A3108" s="15" t="str">
        <f t="shared" si="99"/>
        <v>.</v>
      </c>
      <c r="E3108" s="13" t="str">
        <f>IFERROR(IF(AND(B3108&lt;&gt;"",C3108&lt;&gt;""),SUMIFS(Movimentos!$F$4:$F$9996,Movimentos!$D$4:$D$9996,B3108,Movimentos!$C$4:$C$9996,"Entrada")-SUMIFS(Movimentos!$F$4:$F$9996,Movimentos!$D$4:$D$9996,B3108,Movimentos!$C$4:$C$9996,"Saída"),""),"")</f>
        <v/>
      </c>
      <c r="F3108" s="10" t="str">
        <f t="shared" si="100"/>
        <v/>
      </c>
    </row>
    <row r="3109" spans="1:6" x14ac:dyDescent="0.3">
      <c r="A3109" s="15" t="str">
        <f t="shared" si="99"/>
        <v>.</v>
      </c>
      <c r="E3109" s="13" t="str">
        <f>IFERROR(IF(AND(B3109&lt;&gt;"",C3109&lt;&gt;""),SUMIFS(Movimentos!$F$4:$F$9996,Movimentos!$D$4:$D$9996,B3109,Movimentos!$C$4:$C$9996,"Entrada")-SUMIFS(Movimentos!$F$4:$F$9996,Movimentos!$D$4:$D$9996,B3109,Movimentos!$C$4:$C$9996,"Saída"),""),"")</f>
        <v/>
      </c>
      <c r="F3109" s="10" t="str">
        <f t="shared" si="100"/>
        <v/>
      </c>
    </row>
    <row r="3110" spans="1:6" x14ac:dyDescent="0.3">
      <c r="A3110" s="15" t="str">
        <f t="shared" si="99"/>
        <v>.</v>
      </c>
      <c r="E3110" s="13" t="str">
        <f>IFERROR(IF(AND(B3110&lt;&gt;"",C3110&lt;&gt;""),SUMIFS(Movimentos!$F$4:$F$9996,Movimentos!$D$4:$D$9996,B3110,Movimentos!$C$4:$C$9996,"Entrada")-SUMIFS(Movimentos!$F$4:$F$9996,Movimentos!$D$4:$D$9996,B3110,Movimentos!$C$4:$C$9996,"Saída"),""),"")</f>
        <v/>
      </c>
      <c r="F3110" s="10" t="str">
        <f t="shared" si="100"/>
        <v/>
      </c>
    </row>
    <row r="3111" spans="1:6" x14ac:dyDescent="0.3">
      <c r="A3111" s="15" t="str">
        <f t="shared" si="99"/>
        <v>.</v>
      </c>
      <c r="E3111" s="13" t="str">
        <f>IFERROR(IF(AND(B3111&lt;&gt;"",C3111&lt;&gt;""),SUMIFS(Movimentos!$F$4:$F$9996,Movimentos!$D$4:$D$9996,B3111,Movimentos!$C$4:$C$9996,"Entrada")-SUMIFS(Movimentos!$F$4:$F$9996,Movimentos!$D$4:$D$9996,B3111,Movimentos!$C$4:$C$9996,"Saída"),""),"")</f>
        <v/>
      </c>
      <c r="F3111" s="10" t="str">
        <f t="shared" si="100"/>
        <v/>
      </c>
    </row>
    <row r="3112" spans="1:6" x14ac:dyDescent="0.3">
      <c r="A3112" s="15" t="str">
        <f t="shared" si="99"/>
        <v>.</v>
      </c>
      <c r="E3112" s="13" t="str">
        <f>IFERROR(IF(AND(B3112&lt;&gt;"",C3112&lt;&gt;""),SUMIFS(Movimentos!$F$4:$F$9996,Movimentos!$D$4:$D$9996,B3112,Movimentos!$C$4:$C$9996,"Entrada")-SUMIFS(Movimentos!$F$4:$F$9996,Movimentos!$D$4:$D$9996,B3112,Movimentos!$C$4:$C$9996,"Saída"),""),"")</f>
        <v/>
      </c>
      <c r="F3112" s="10" t="str">
        <f t="shared" si="100"/>
        <v/>
      </c>
    </row>
    <row r="3113" spans="1:6" x14ac:dyDescent="0.3">
      <c r="A3113" s="15" t="str">
        <f t="shared" si="99"/>
        <v>.</v>
      </c>
      <c r="E3113" s="13" t="str">
        <f>IFERROR(IF(AND(B3113&lt;&gt;"",C3113&lt;&gt;""),SUMIFS(Movimentos!$F$4:$F$9996,Movimentos!$D$4:$D$9996,B3113,Movimentos!$C$4:$C$9996,"Entrada")-SUMIFS(Movimentos!$F$4:$F$9996,Movimentos!$D$4:$D$9996,B3113,Movimentos!$C$4:$C$9996,"Saída"),""),"")</f>
        <v/>
      </c>
      <c r="F3113" s="10" t="str">
        <f t="shared" si="100"/>
        <v/>
      </c>
    </row>
    <row r="3114" spans="1:6" x14ac:dyDescent="0.3">
      <c r="A3114" s="15" t="str">
        <f t="shared" si="99"/>
        <v>.</v>
      </c>
      <c r="E3114" s="13" t="str">
        <f>IFERROR(IF(AND(B3114&lt;&gt;"",C3114&lt;&gt;""),SUMIFS(Movimentos!$F$4:$F$9996,Movimentos!$D$4:$D$9996,B3114,Movimentos!$C$4:$C$9996,"Entrada")-SUMIFS(Movimentos!$F$4:$F$9996,Movimentos!$D$4:$D$9996,B3114,Movimentos!$C$4:$C$9996,"Saída"),""),"")</f>
        <v/>
      </c>
      <c r="F3114" s="10" t="str">
        <f t="shared" si="100"/>
        <v/>
      </c>
    </row>
    <row r="3115" spans="1:6" x14ac:dyDescent="0.3">
      <c r="A3115" s="15" t="str">
        <f t="shared" si="99"/>
        <v>.</v>
      </c>
      <c r="E3115" s="13" t="str">
        <f>IFERROR(IF(AND(B3115&lt;&gt;"",C3115&lt;&gt;""),SUMIFS(Movimentos!$F$4:$F$9996,Movimentos!$D$4:$D$9996,B3115,Movimentos!$C$4:$C$9996,"Entrada")-SUMIFS(Movimentos!$F$4:$F$9996,Movimentos!$D$4:$D$9996,B3115,Movimentos!$C$4:$C$9996,"Saída"),""),"")</f>
        <v/>
      </c>
      <c r="F3115" s="10" t="str">
        <f t="shared" si="100"/>
        <v/>
      </c>
    </row>
    <row r="3116" spans="1:6" x14ac:dyDescent="0.3">
      <c r="A3116" s="15" t="str">
        <f t="shared" si="99"/>
        <v>.</v>
      </c>
      <c r="E3116" s="13" t="str">
        <f>IFERROR(IF(AND(B3116&lt;&gt;"",C3116&lt;&gt;""),SUMIFS(Movimentos!$F$4:$F$9996,Movimentos!$D$4:$D$9996,B3116,Movimentos!$C$4:$C$9996,"Entrada")-SUMIFS(Movimentos!$F$4:$F$9996,Movimentos!$D$4:$D$9996,B3116,Movimentos!$C$4:$C$9996,"Saída"),""),"")</f>
        <v/>
      </c>
      <c r="F3116" s="10" t="str">
        <f t="shared" si="100"/>
        <v/>
      </c>
    </row>
    <row r="3117" spans="1:6" x14ac:dyDescent="0.3">
      <c r="A3117" s="15" t="str">
        <f t="shared" si="99"/>
        <v>.</v>
      </c>
      <c r="E3117" s="13" t="str">
        <f>IFERROR(IF(AND(B3117&lt;&gt;"",C3117&lt;&gt;""),SUMIFS(Movimentos!$F$4:$F$9996,Movimentos!$D$4:$D$9996,B3117,Movimentos!$C$4:$C$9996,"Entrada")-SUMIFS(Movimentos!$F$4:$F$9996,Movimentos!$D$4:$D$9996,B3117,Movimentos!$C$4:$C$9996,"Saída"),""),"")</f>
        <v/>
      </c>
      <c r="F3117" s="10" t="str">
        <f t="shared" si="100"/>
        <v/>
      </c>
    </row>
    <row r="3118" spans="1:6" x14ac:dyDescent="0.3">
      <c r="A3118" s="15" t="str">
        <f t="shared" si="99"/>
        <v>.</v>
      </c>
      <c r="E3118" s="13" t="str">
        <f>IFERROR(IF(AND(B3118&lt;&gt;"",C3118&lt;&gt;""),SUMIFS(Movimentos!$F$4:$F$9996,Movimentos!$D$4:$D$9996,B3118,Movimentos!$C$4:$C$9996,"Entrada")-SUMIFS(Movimentos!$F$4:$F$9996,Movimentos!$D$4:$D$9996,B3118,Movimentos!$C$4:$C$9996,"Saída"),""),"")</f>
        <v/>
      </c>
      <c r="F3118" s="10" t="str">
        <f t="shared" si="100"/>
        <v/>
      </c>
    </row>
    <row r="3119" spans="1:6" x14ac:dyDescent="0.3">
      <c r="A3119" s="15" t="str">
        <f t="shared" si="99"/>
        <v>.</v>
      </c>
      <c r="E3119" s="13" t="str">
        <f>IFERROR(IF(AND(B3119&lt;&gt;"",C3119&lt;&gt;""),SUMIFS(Movimentos!$F$4:$F$9996,Movimentos!$D$4:$D$9996,B3119,Movimentos!$C$4:$C$9996,"Entrada")-SUMIFS(Movimentos!$F$4:$F$9996,Movimentos!$D$4:$D$9996,B3119,Movimentos!$C$4:$C$9996,"Saída"),""),"")</f>
        <v/>
      </c>
      <c r="F3119" s="10" t="str">
        <f t="shared" si="100"/>
        <v/>
      </c>
    </row>
    <row r="3120" spans="1:6" x14ac:dyDescent="0.3">
      <c r="A3120" s="15" t="str">
        <f t="shared" si="99"/>
        <v>.</v>
      </c>
      <c r="E3120" s="13" t="str">
        <f>IFERROR(IF(AND(B3120&lt;&gt;"",C3120&lt;&gt;""),SUMIFS(Movimentos!$F$4:$F$9996,Movimentos!$D$4:$D$9996,B3120,Movimentos!$C$4:$C$9996,"Entrada")-SUMIFS(Movimentos!$F$4:$F$9996,Movimentos!$D$4:$D$9996,B3120,Movimentos!$C$4:$C$9996,"Saída"),""),"")</f>
        <v/>
      </c>
      <c r="F3120" s="10" t="str">
        <f t="shared" si="100"/>
        <v/>
      </c>
    </row>
    <row r="3121" spans="1:6" x14ac:dyDescent="0.3">
      <c r="A3121" s="15" t="str">
        <f t="shared" si="99"/>
        <v>.</v>
      </c>
      <c r="E3121" s="13" t="str">
        <f>IFERROR(IF(AND(B3121&lt;&gt;"",C3121&lt;&gt;""),SUMIFS(Movimentos!$F$4:$F$9996,Movimentos!$D$4:$D$9996,B3121,Movimentos!$C$4:$C$9996,"Entrada")-SUMIFS(Movimentos!$F$4:$F$9996,Movimentos!$D$4:$D$9996,B3121,Movimentos!$C$4:$C$9996,"Saída"),""),"")</f>
        <v/>
      </c>
      <c r="F3121" s="10" t="str">
        <f t="shared" si="100"/>
        <v/>
      </c>
    </row>
    <row r="3122" spans="1:6" x14ac:dyDescent="0.3">
      <c r="A3122" s="15" t="str">
        <f t="shared" si="99"/>
        <v>.</v>
      </c>
      <c r="E3122" s="13" t="str">
        <f>IFERROR(IF(AND(B3122&lt;&gt;"",C3122&lt;&gt;""),SUMIFS(Movimentos!$F$4:$F$9996,Movimentos!$D$4:$D$9996,B3122,Movimentos!$C$4:$C$9996,"Entrada")-SUMIFS(Movimentos!$F$4:$F$9996,Movimentos!$D$4:$D$9996,B3122,Movimentos!$C$4:$C$9996,"Saída"),""),"")</f>
        <v/>
      </c>
      <c r="F3122" s="10" t="str">
        <f t="shared" si="100"/>
        <v/>
      </c>
    </row>
    <row r="3123" spans="1:6" x14ac:dyDescent="0.3">
      <c r="A3123" s="15" t="str">
        <f t="shared" si="99"/>
        <v>.</v>
      </c>
      <c r="E3123" s="13" t="str">
        <f>IFERROR(IF(AND(B3123&lt;&gt;"",C3123&lt;&gt;""),SUMIFS(Movimentos!$F$4:$F$9996,Movimentos!$D$4:$D$9996,B3123,Movimentos!$C$4:$C$9996,"Entrada")-SUMIFS(Movimentos!$F$4:$F$9996,Movimentos!$D$4:$D$9996,B3123,Movimentos!$C$4:$C$9996,"Saída"),""),"")</f>
        <v/>
      </c>
      <c r="F3123" s="10" t="str">
        <f t="shared" si="100"/>
        <v/>
      </c>
    </row>
    <row r="3124" spans="1:6" x14ac:dyDescent="0.3">
      <c r="A3124" s="15" t="str">
        <f t="shared" si="99"/>
        <v>.</v>
      </c>
      <c r="E3124" s="13" t="str">
        <f>IFERROR(IF(AND(B3124&lt;&gt;"",C3124&lt;&gt;""),SUMIFS(Movimentos!$F$4:$F$9996,Movimentos!$D$4:$D$9996,B3124,Movimentos!$C$4:$C$9996,"Entrada")-SUMIFS(Movimentos!$F$4:$F$9996,Movimentos!$D$4:$D$9996,B3124,Movimentos!$C$4:$C$9996,"Saída"),""),"")</f>
        <v/>
      </c>
      <c r="F3124" s="10" t="str">
        <f t="shared" si="100"/>
        <v/>
      </c>
    </row>
    <row r="3125" spans="1:6" x14ac:dyDescent="0.3">
      <c r="A3125" s="15" t="str">
        <f t="shared" si="99"/>
        <v>.</v>
      </c>
      <c r="E3125" s="13" t="str">
        <f>IFERROR(IF(AND(B3125&lt;&gt;"",C3125&lt;&gt;""),SUMIFS(Movimentos!$F$4:$F$9996,Movimentos!$D$4:$D$9996,B3125,Movimentos!$C$4:$C$9996,"Entrada")-SUMIFS(Movimentos!$F$4:$F$9996,Movimentos!$D$4:$D$9996,B3125,Movimentos!$C$4:$C$9996,"Saída"),""),"")</f>
        <v/>
      </c>
      <c r="F3125" s="10" t="str">
        <f t="shared" si="100"/>
        <v/>
      </c>
    </row>
    <row r="3126" spans="1:6" x14ac:dyDescent="0.3">
      <c r="A3126" s="15" t="str">
        <f t="shared" si="99"/>
        <v>.</v>
      </c>
      <c r="E3126" s="13" t="str">
        <f>IFERROR(IF(AND(B3126&lt;&gt;"",C3126&lt;&gt;""),SUMIFS(Movimentos!$F$4:$F$9996,Movimentos!$D$4:$D$9996,B3126,Movimentos!$C$4:$C$9996,"Entrada")-SUMIFS(Movimentos!$F$4:$F$9996,Movimentos!$D$4:$D$9996,B3126,Movimentos!$C$4:$C$9996,"Saída"),""),"")</f>
        <v/>
      </c>
      <c r="F3126" s="10" t="str">
        <f t="shared" si="100"/>
        <v/>
      </c>
    </row>
    <row r="3127" spans="1:6" x14ac:dyDescent="0.3">
      <c r="A3127" s="15" t="str">
        <f t="shared" si="99"/>
        <v>.</v>
      </c>
      <c r="E3127" s="13" t="str">
        <f>IFERROR(IF(AND(B3127&lt;&gt;"",C3127&lt;&gt;""),SUMIFS(Movimentos!$F$4:$F$9996,Movimentos!$D$4:$D$9996,B3127,Movimentos!$C$4:$C$9996,"Entrada")-SUMIFS(Movimentos!$F$4:$F$9996,Movimentos!$D$4:$D$9996,B3127,Movimentos!$C$4:$C$9996,"Saída"),""),"")</f>
        <v/>
      </c>
      <c r="F3127" s="10" t="str">
        <f t="shared" si="100"/>
        <v/>
      </c>
    </row>
    <row r="3128" spans="1:6" x14ac:dyDescent="0.3">
      <c r="A3128" s="15" t="str">
        <f t="shared" si="99"/>
        <v>.</v>
      </c>
      <c r="E3128" s="13" t="str">
        <f>IFERROR(IF(AND(B3128&lt;&gt;"",C3128&lt;&gt;""),SUMIFS(Movimentos!$F$4:$F$9996,Movimentos!$D$4:$D$9996,B3128,Movimentos!$C$4:$C$9996,"Entrada")-SUMIFS(Movimentos!$F$4:$F$9996,Movimentos!$D$4:$D$9996,B3128,Movimentos!$C$4:$C$9996,"Saída"),""),"")</f>
        <v/>
      </c>
      <c r="F3128" s="10" t="str">
        <f t="shared" si="100"/>
        <v/>
      </c>
    </row>
    <row r="3129" spans="1:6" x14ac:dyDescent="0.3">
      <c r="A3129" s="15" t="str">
        <f t="shared" si="99"/>
        <v>.</v>
      </c>
      <c r="E3129" s="13" t="str">
        <f>IFERROR(IF(AND(B3129&lt;&gt;"",C3129&lt;&gt;""),SUMIFS(Movimentos!$F$4:$F$9996,Movimentos!$D$4:$D$9996,B3129,Movimentos!$C$4:$C$9996,"Entrada")-SUMIFS(Movimentos!$F$4:$F$9996,Movimentos!$D$4:$D$9996,B3129,Movimentos!$C$4:$C$9996,"Saída"),""),"")</f>
        <v/>
      </c>
      <c r="F3129" s="10" t="str">
        <f t="shared" si="100"/>
        <v/>
      </c>
    </row>
    <row r="3130" spans="1:6" x14ac:dyDescent="0.3">
      <c r="A3130" s="15" t="str">
        <f t="shared" si="99"/>
        <v>.</v>
      </c>
      <c r="E3130" s="13" t="str">
        <f>IFERROR(IF(AND(B3130&lt;&gt;"",C3130&lt;&gt;""),SUMIFS(Movimentos!$F$4:$F$9996,Movimentos!$D$4:$D$9996,B3130,Movimentos!$C$4:$C$9996,"Entrada")-SUMIFS(Movimentos!$F$4:$F$9996,Movimentos!$D$4:$D$9996,B3130,Movimentos!$C$4:$C$9996,"Saída"),""),"")</f>
        <v/>
      </c>
      <c r="F3130" s="10" t="str">
        <f t="shared" si="100"/>
        <v/>
      </c>
    </row>
    <row r="3131" spans="1:6" x14ac:dyDescent="0.3">
      <c r="A3131" s="15" t="str">
        <f t="shared" si="99"/>
        <v>.</v>
      </c>
      <c r="E3131" s="13" t="str">
        <f>IFERROR(IF(AND(B3131&lt;&gt;"",C3131&lt;&gt;""),SUMIFS(Movimentos!$F$4:$F$9996,Movimentos!$D$4:$D$9996,B3131,Movimentos!$C$4:$C$9996,"Entrada")-SUMIFS(Movimentos!$F$4:$F$9996,Movimentos!$D$4:$D$9996,B3131,Movimentos!$C$4:$C$9996,"Saída"),""),"")</f>
        <v/>
      </c>
      <c r="F3131" s="10" t="str">
        <f t="shared" si="100"/>
        <v/>
      </c>
    </row>
    <row r="3132" spans="1:6" x14ac:dyDescent="0.3">
      <c r="A3132" s="15" t="str">
        <f t="shared" si="99"/>
        <v>.</v>
      </c>
      <c r="E3132" s="13" t="str">
        <f>IFERROR(IF(AND(B3132&lt;&gt;"",C3132&lt;&gt;""),SUMIFS(Movimentos!$F$4:$F$9996,Movimentos!$D$4:$D$9996,B3132,Movimentos!$C$4:$C$9996,"Entrada")-SUMIFS(Movimentos!$F$4:$F$9996,Movimentos!$D$4:$D$9996,B3132,Movimentos!$C$4:$C$9996,"Saída"),""),"")</f>
        <v/>
      </c>
      <c r="F3132" s="10" t="str">
        <f t="shared" si="100"/>
        <v/>
      </c>
    </row>
    <row r="3133" spans="1:6" x14ac:dyDescent="0.3">
      <c r="A3133" s="15" t="str">
        <f t="shared" si="99"/>
        <v>.</v>
      </c>
      <c r="E3133" s="13" t="str">
        <f>IFERROR(IF(AND(B3133&lt;&gt;"",C3133&lt;&gt;""),SUMIFS(Movimentos!$F$4:$F$9996,Movimentos!$D$4:$D$9996,B3133,Movimentos!$C$4:$C$9996,"Entrada")-SUMIFS(Movimentos!$F$4:$F$9996,Movimentos!$D$4:$D$9996,B3133,Movimentos!$C$4:$C$9996,"Saída"),""),"")</f>
        <v/>
      </c>
      <c r="F3133" s="10" t="str">
        <f t="shared" si="100"/>
        <v/>
      </c>
    </row>
    <row r="3134" spans="1:6" x14ac:dyDescent="0.3">
      <c r="A3134" s="15" t="str">
        <f t="shared" si="99"/>
        <v>.</v>
      </c>
      <c r="E3134" s="13" t="str">
        <f>IFERROR(IF(AND(B3134&lt;&gt;"",C3134&lt;&gt;""),SUMIFS(Movimentos!$F$4:$F$9996,Movimentos!$D$4:$D$9996,B3134,Movimentos!$C$4:$C$9996,"Entrada")-SUMIFS(Movimentos!$F$4:$F$9996,Movimentos!$D$4:$D$9996,B3134,Movimentos!$C$4:$C$9996,"Saída"),""),"")</f>
        <v/>
      </c>
      <c r="F3134" s="10" t="str">
        <f t="shared" si="100"/>
        <v/>
      </c>
    </row>
    <row r="3135" spans="1:6" x14ac:dyDescent="0.3">
      <c r="A3135" s="15" t="str">
        <f t="shared" si="99"/>
        <v>.</v>
      </c>
      <c r="E3135" s="13" t="str">
        <f>IFERROR(IF(AND(B3135&lt;&gt;"",C3135&lt;&gt;""),SUMIFS(Movimentos!$F$4:$F$9996,Movimentos!$D$4:$D$9996,B3135,Movimentos!$C$4:$C$9996,"Entrada")-SUMIFS(Movimentos!$F$4:$F$9996,Movimentos!$D$4:$D$9996,B3135,Movimentos!$C$4:$C$9996,"Saída"),""),"")</f>
        <v/>
      </c>
      <c r="F3135" s="10" t="str">
        <f t="shared" si="100"/>
        <v/>
      </c>
    </row>
    <row r="3136" spans="1:6" x14ac:dyDescent="0.3">
      <c r="A3136" s="15" t="str">
        <f t="shared" ref="A3136:A3199" si="101">IF(F3136="Saldo zerado",0,IF(F3136="Saldo abaixo do mínimo",1,IF(F3136="Saldo disponível",2,".")))</f>
        <v>.</v>
      </c>
      <c r="E3136" s="13" t="str">
        <f>IFERROR(IF(AND(B3136&lt;&gt;"",C3136&lt;&gt;""),SUMIFS(Movimentos!$F$4:$F$9996,Movimentos!$D$4:$D$9996,B3136,Movimentos!$C$4:$C$9996,"Entrada")-SUMIFS(Movimentos!$F$4:$F$9996,Movimentos!$D$4:$D$9996,B3136,Movimentos!$C$4:$C$9996,"Saída"),""),"")</f>
        <v/>
      </c>
      <c r="F3136" s="10" t="str">
        <f t="shared" si="100"/>
        <v/>
      </c>
    </row>
    <row r="3137" spans="1:6" x14ac:dyDescent="0.3">
      <c r="A3137" s="15" t="str">
        <f t="shared" si="101"/>
        <v>.</v>
      </c>
      <c r="E3137" s="13" t="str">
        <f>IFERROR(IF(AND(B3137&lt;&gt;"",C3137&lt;&gt;""),SUMIFS(Movimentos!$F$4:$F$9996,Movimentos!$D$4:$D$9996,B3137,Movimentos!$C$4:$C$9996,"Entrada")-SUMIFS(Movimentos!$F$4:$F$9996,Movimentos!$D$4:$D$9996,B3137,Movimentos!$C$4:$C$9996,"Saída"),""),"")</f>
        <v/>
      </c>
      <c r="F3137" s="10" t="str">
        <f t="shared" si="100"/>
        <v/>
      </c>
    </row>
    <row r="3138" spans="1:6" x14ac:dyDescent="0.3">
      <c r="A3138" s="15" t="str">
        <f t="shared" si="101"/>
        <v>.</v>
      </c>
      <c r="E3138" s="13" t="str">
        <f>IFERROR(IF(AND(B3138&lt;&gt;"",C3138&lt;&gt;""),SUMIFS(Movimentos!$F$4:$F$9996,Movimentos!$D$4:$D$9996,B3138,Movimentos!$C$4:$C$9996,"Entrada")-SUMIFS(Movimentos!$F$4:$F$9996,Movimentos!$D$4:$D$9996,B3138,Movimentos!$C$4:$C$9996,"Saída"),""),"")</f>
        <v/>
      </c>
      <c r="F3138" s="10" t="str">
        <f t="shared" si="100"/>
        <v/>
      </c>
    </row>
    <row r="3139" spans="1:6" x14ac:dyDescent="0.3">
      <c r="A3139" s="15" t="str">
        <f t="shared" si="101"/>
        <v>.</v>
      </c>
      <c r="E3139" s="13" t="str">
        <f>IFERROR(IF(AND(B3139&lt;&gt;"",C3139&lt;&gt;""),SUMIFS(Movimentos!$F$4:$F$9996,Movimentos!$D$4:$D$9996,B3139,Movimentos!$C$4:$C$9996,"Entrada")-SUMIFS(Movimentos!$F$4:$F$9996,Movimentos!$D$4:$D$9996,B3139,Movimentos!$C$4:$C$9996,"Saída"),""),"")</f>
        <v/>
      </c>
      <c r="F3139" s="10" t="str">
        <f t="shared" si="100"/>
        <v/>
      </c>
    </row>
    <row r="3140" spans="1:6" x14ac:dyDescent="0.3">
      <c r="A3140" s="15" t="str">
        <f t="shared" si="101"/>
        <v>.</v>
      </c>
      <c r="E3140" s="13" t="str">
        <f>IFERROR(IF(AND(B3140&lt;&gt;"",C3140&lt;&gt;""),SUMIFS(Movimentos!$F$4:$F$9996,Movimentos!$D$4:$D$9996,B3140,Movimentos!$C$4:$C$9996,"Entrada")-SUMIFS(Movimentos!$F$4:$F$9996,Movimentos!$D$4:$D$9996,B3140,Movimentos!$C$4:$C$9996,"Saída"),""),"")</f>
        <v/>
      </c>
      <c r="F3140" s="10" t="str">
        <f t="shared" si="100"/>
        <v/>
      </c>
    </row>
    <row r="3141" spans="1:6" x14ac:dyDescent="0.3">
      <c r="A3141" s="15" t="str">
        <f t="shared" si="101"/>
        <v>.</v>
      </c>
      <c r="E3141" s="13" t="str">
        <f>IFERROR(IF(AND(B3141&lt;&gt;"",C3141&lt;&gt;""),SUMIFS(Movimentos!$F$4:$F$9996,Movimentos!$D$4:$D$9996,B3141,Movimentos!$C$4:$C$9996,"Entrada")-SUMIFS(Movimentos!$F$4:$F$9996,Movimentos!$D$4:$D$9996,B3141,Movimentos!$C$4:$C$9996,"Saída"),""),"")</f>
        <v/>
      </c>
      <c r="F3141" s="10" t="str">
        <f t="shared" si="100"/>
        <v/>
      </c>
    </row>
    <row r="3142" spans="1:6" x14ac:dyDescent="0.3">
      <c r="A3142" s="15" t="str">
        <f t="shared" si="101"/>
        <v>.</v>
      </c>
      <c r="E3142" s="13" t="str">
        <f>IFERROR(IF(AND(B3142&lt;&gt;"",C3142&lt;&gt;""),SUMIFS(Movimentos!$F$4:$F$9996,Movimentos!$D$4:$D$9996,B3142,Movimentos!$C$4:$C$9996,"Entrada")-SUMIFS(Movimentos!$F$4:$F$9996,Movimentos!$D$4:$D$9996,B3142,Movimentos!$C$4:$C$9996,"Saída"),""),"")</f>
        <v/>
      </c>
      <c r="F3142" s="10" t="str">
        <f t="shared" si="100"/>
        <v/>
      </c>
    </row>
    <row r="3143" spans="1:6" x14ac:dyDescent="0.3">
      <c r="A3143" s="15" t="str">
        <f t="shared" si="101"/>
        <v>.</v>
      </c>
      <c r="E3143" s="13" t="str">
        <f>IFERROR(IF(AND(B3143&lt;&gt;"",C3143&lt;&gt;""),SUMIFS(Movimentos!$F$4:$F$9996,Movimentos!$D$4:$D$9996,B3143,Movimentos!$C$4:$C$9996,"Entrada")-SUMIFS(Movimentos!$F$4:$F$9996,Movimentos!$D$4:$D$9996,B3143,Movimentos!$C$4:$C$9996,"Saída"),""),"")</f>
        <v/>
      </c>
      <c r="F3143" s="10" t="str">
        <f t="shared" si="100"/>
        <v/>
      </c>
    </row>
    <row r="3144" spans="1:6" x14ac:dyDescent="0.3">
      <c r="A3144" s="15" t="str">
        <f t="shared" si="101"/>
        <v>.</v>
      </c>
      <c r="E3144" s="13" t="str">
        <f>IFERROR(IF(AND(B3144&lt;&gt;"",C3144&lt;&gt;""),SUMIFS(Movimentos!$F$4:$F$9996,Movimentos!$D$4:$D$9996,B3144,Movimentos!$C$4:$C$9996,"Entrada")-SUMIFS(Movimentos!$F$4:$F$9996,Movimentos!$D$4:$D$9996,B3144,Movimentos!$C$4:$C$9996,"Saída"),""),"")</f>
        <v/>
      </c>
      <c r="F3144" s="10" t="str">
        <f t="shared" si="100"/>
        <v/>
      </c>
    </row>
    <row r="3145" spans="1:6" x14ac:dyDescent="0.3">
      <c r="A3145" s="15" t="str">
        <f t="shared" si="101"/>
        <v>.</v>
      </c>
      <c r="E3145" s="13" t="str">
        <f>IFERROR(IF(AND(B3145&lt;&gt;"",C3145&lt;&gt;""),SUMIFS(Movimentos!$F$4:$F$9996,Movimentos!$D$4:$D$9996,B3145,Movimentos!$C$4:$C$9996,"Entrada")-SUMIFS(Movimentos!$F$4:$F$9996,Movimentos!$D$4:$D$9996,B3145,Movimentos!$C$4:$C$9996,"Saída"),""),"")</f>
        <v/>
      </c>
      <c r="F3145" s="10" t="str">
        <f t="shared" si="100"/>
        <v/>
      </c>
    </row>
    <row r="3146" spans="1:6" x14ac:dyDescent="0.3">
      <c r="A3146" s="15" t="str">
        <f t="shared" si="101"/>
        <v>.</v>
      </c>
      <c r="E3146" s="13" t="str">
        <f>IFERROR(IF(AND(B3146&lt;&gt;"",C3146&lt;&gt;""),SUMIFS(Movimentos!$F$4:$F$9996,Movimentos!$D$4:$D$9996,B3146,Movimentos!$C$4:$C$9996,"Entrada")-SUMIFS(Movimentos!$F$4:$F$9996,Movimentos!$D$4:$D$9996,B3146,Movimentos!$C$4:$C$9996,"Saída"),""),"")</f>
        <v/>
      </c>
      <c r="F3146" s="10" t="str">
        <f t="shared" si="100"/>
        <v/>
      </c>
    </row>
    <row r="3147" spans="1:6" x14ac:dyDescent="0.3">
      <c r="A3147" s="15" t="str">
        <f t="shared" si="101"/>
        <v>.</v>
      </c>
      <c r="E3147" s="13" t="str">
        <f>IFERROR(IF(AND(B3147&lt;&gt;"",C3147&lt;&gt;""),SUMIFS(Movimentos!$F$4:$F$9996,Movimentos!$D$4:$D$9996,B3147,Movimentos!$C$4:$C$9996,"Entrada")-SUMIFS(Movimentos!$F$4:$F$9996,Movimentos!$D$4:$D$9996,B3147,Movimentos!$C$4:$C$9996,"Saída"),""),"")</f>
        <v/>
      </c>
      <c r="F3147" s="10" t="str">
        <f t="shared" si="100"/>
        <v/>
      </c>
    </row>
    <row r="3148" spans="1:6" x14ac:dyDescent="0.3">
      <c r="A3148" s="15" t="str">
        <f t="shared" si="101"/>
        <v>.</v>
      </c>
      <c r="E3148" s="13" t="str">
        <f>IFERROR(IF(AND(B3148&lt;&gt;"",C3148&lt;&gt;""),SUMIFS(Movimentos!$F$4:$F$9996,Movimentos!$D$4:$D$9996,B3148,Movimentos!$C$4:$C$9996,"Entrada")-SUMIFS(Movimentos!$F$4:$F$9996,Movimentos!$D$4:$D$9996,B3148,Movimentos!$C$4:$C$9996,"Saída"),""),"")</f>
        <v/>
      </c>
      <c r="F3148" s="10" t="str">
        <f t="shared" si="100"/>
        <v/>
      </c>
    </row>
    <row r="3149" spans="1:6" x14ac:dyDescent="0.3">
      <c r="A3149" s="15" t="str">
        <f t="shared" si="101"/>
        <v>.</v>
      </c>
      <c r="E3149" s="13" t="str">
        <f>IFERROR(IF(AND(B3149&lt;&gt;"",C3149&lt;&gt;""),SUMIFS(Movimentos!$F$4:$F$9996,Movimentos!$D$4:$D$9996,B3149,Movimentos!$C$4:$C$9996,"Entrada")-SUMIFS(Movimentos!$F$4:$F$9996,Movimentos!$D$4:$D$9996,B3149,Movimentos!$C$4:$C$9996,"Saída"),""),"")</f>
        <v/>
      </c>
      <c r="F3149" s="10" t="str">
        <f t="shared" si="100"/>
        <v/>
      </c>
    </row>
    <row r="3150" spans="1:6" x14ac:dyDescent="0.3">
      <c r="A3150" s="15" t="str">
        <f t="shared" si="101"/>
        <v>.</v>
      </c>
      <c r="E3150" s="13" t="str">
        <f>IFERROR(IF(AND(B3150&lt;&gt;"",C3150&lt;&gt;""),SUMIFS(Movimentos!$F$4:$F$9996,Movimentos!$D$4:$D$9996,B3150,Movimentos!$C$4:$C$9996,"Entrada")-SUMIFS(Movimentos!$F$4:$F$9996,Movimentos!$D$4:$D$9996,B3150,Movimentos!$C$4:$C$9996,"Saída"),""),"")</f>
        <v/>
      </c>
      <c r="F3150" s="10" t="str">
        <f t="shared" si="100"/>
        <v/>
      </c>
    </row>
    <row r="3151" spans="1:6" x14ac:dyDescent="0.3">
      <c r="A3151" s="15" t="str">
        <f t="shared" si="101"/>
        <v>.</v>
      </c>
      <c r="E3151" s="13" t="str">
        <f>IFERROR(IF(AND(B3151&lt;&gt;"",C3151&lt;&gt;""),SUMIFS(Movimentos!$F$4:$F$9996,Movimentos!$D$4:$D$9996,B3151,Movimentos!$C$4:$C$9996,"Entrada")-SUMIFS(Movimentos!$F$4:$F$9996,Movimentos!$D$4:$D$9996,B3151,Movimentos!$C$4:$C$9996,"Saída"),""),"")</f>
        <v/>
      </c>
      <c r="F3151" s="10" t="str">
        <f t="shared" si="100"/>
        <v/>
      </c>
    </row>
    <row r="3152" spans="1:6" x14ac:dyDescent="0.3">
      <c r="A3152" s="15" t="str">
        <f t="shared" si="101"/>
        <v>.</v>
      </c>
      <c r="E3152" s="13" t="str">
        <f>IFERROR(IF(AND(B3152&lt;&gt;"",C3152&lt;&gt;""),SUMIFS(Movimentos!$F$4:$F$9996,Movimentos!$D$4:$D$9996,B3152,Movimentos!$C$4:$C$9996,"Entrada")-SUMIFS(Movimentos!$F$4:$F$9996,Movimentos!$D$4:$D$9996,B3152,Movimentos!$C$4:$C$9996,"Saída"),""),"")</f>
        <v/>
      </c>
      <c r="F3152" s="10" t="str">
        <f t="shared" si="100"/>
        <v/>
      </c>
    </row>
    <row r="3153" spans="1:6" x14ac:dyDescent="0.3">
      <c r="A3153" s="15" t="str">
        <f t="shared" si="101"/>
        <v>.</v>
      </c>
      <c r="E3153" s="13" t="str">
        <f>IFERROR(IF(AND(B3153&lt;&gt;"",C3153&lt;&gt;""),SUMIFS(Movimentos!$F$4:$F$9996,Movimentos!$D$4:$D$9996,B3153,Movimentos!$C$4:$C$9996,"Entrada")-SUMIFS(Movimentos!$F$4:$F$9996,Movimentos!$D$4:$D$9996,B3153,Movimentos!$C$4:$C$9996,"Saída"),""),"")</f>
        <v/>
      </c>
      <c r="F3153" s="10" t="str">
        <f t="shared" si="100"/>
        <v/>
      </c>
    </row>
    <row r="3154" spans="1:6" x14ac:dyDescent="0.3">
      <c r="A3154" s="15" t="str">
        <f t="shared" si="101"/>
        <v>.</v>
      </c>
      <c r="E3154" s="13" t="str">
        <f>IFERROR(IF(AND(B3154&lt;&gt;"",C3154&lt;&gt;""),SUMIFS(Movimentos!$F$4:$F$9996,Movimentos!$D$4:$D$9996,B3154,Movimentos!$C$4:$C$9996,"Entrada")-SUMIFS(Movimentos!$F$4:$F$9996,Movimentos!$D$4:$D$9996,B3154,Movimentos!$C$4:$C$9996,"Saída"),""),"")</f>
        <v/>
      </c>
      <c r="F3154" s="10" t="str">
        <f t="shared" si="100"/>
        <v/>
      </c>
    </row>
    <row r="3155" spans="1:6" x14ac:dyDescent="0.3">
      <c r="A3155" s="15" t="str">
        <f t="shared" si="101"/>
        <v>.</v>
      </c>
      <c r="E3155" s="13" t="str">
        <f>IFERROR(IF(AND(B3155&lt;&gt;"",C3155&lt;&gt;""),SUMIFS(Movimentos!$F$4:$F$9996,Movimentos!$D$4:$D$9996,B3155,Movimentos!$C$4:$C$9996,"Entrada")-SUMIFS(Movimentos!$F$4:$F$9996,Movimentos!$D$4:$D$9996,B3155,Movimentos!$C$4:$C$9996,"Saída"),""),"")</f>
        <v/>
      </c>
      <c r="F3155" s="10" t="str">
        <f t="shared" si="100"/>
        <v/>
      </c>
    </row>
    <row r="3156" spans="1:6" x14ac:dyDescent="0.3">
      <c r="A3156" s="15" t="str">
        <f t="shared" si="101"/>
        <v>.</v>
      </c>
      <c r="E3156" s="13" t="str">
        <f>IFERROR(IF(AND(B3156&lt;&gt;"",C3156&lt;&gt;""),SUMIFS(Movimentos!$F$4:$F$9996,Movimentos!$D$4:$D$9996,B3156,Movimentos!$C$4:$C$9996,"Entrada")-SUMIFS(Movimentos!$F$4:$F$9996,Movimentos!$D$4:$D$9996,B3156,Movimentos!$C$4:$C$9996,"Saída"),""),"")</f>
        <v/>
      </c>
      <c r="F3156" s="10" t="str">
        <f t="shared" si="100"/>
        <v/>
      </c>
    </row>
    <row r="3157" spans="1:6" x14ac:dyDescent="0.3">
      <c r="A3157" s="15" t="str">
        <f t="shared" si="101"/>
        <v>.</v>
      </c>
      <c r="E3157" s="13" t="str">
        <f>IFERROR(IF(AND(B3157&lt;&gt;"",C3157&lt;&gt;""),SUMIFS(Movimentos!$F$4:$F$9996,Movimentos!$D$4:$D$9996,B3157,Movimentos!$C$4:$C$9996,"Entrada")-SUMIFS(Movimentos!$F$4:$F$9996,Movimentos!$D$4:$D$9996,B3157,Movimentos!$C$4:$C$9996,"Saída"),""),"")</f>
        <v/>
      </c>
      <c r="F3157" s="10" t="str">
        <f t="shared" si="100"/>
        <v/>
      </c>
    </row>
    <row r="3158" spans="1:6" x14ac:dyDescent="0.3">
      <c r="A3158" s="15" t="str">
        <f t="shared" si="101"/>
        <v>.</v>
      </c>
      <c r="E3158" s="13" t="str">
        <f>IFERROR(IF(AND(B3158&lt;&gt;"",C3158&lt;&gt;""),SUMIFS(Movimentos!$F$4:$F$9996,Movimentos!$D$4:$D$9996,B3158,Movimentos!$C$4:$C$9996,"Entrada")-SUMIFS(Movimentos!$F$4:$F$9996,Movimentos!$D$4:$D$9996,B3158,Movimentos!$C$4:$C$9996,"Saída"),""),"")</f>
        <v/>
      </c>
      <c r="F3158" s="10" t="str">
        <f t="shared" si="100"/>
        <v/>
      </c>
    </row>
    <row r="3159" spans="1:6" x14ac:dyDescent="0.3">
      <c r="A3159" s="15" t="str">
        <f t="shared" si="101"/>
        <v>.</v>
      </c>
      <c r="E3159" s="13" t="str">
        <f>IFERROR(IF(AND(B3159&lt;&gt;"",C3159&lt;&gt;""),SUMIFS(Movimentos!$F$4:$F$9996,Movimentos!$D$4:$D$9996,B3159,Movimentos!$C$4:$C$9996,"Entrada")-SUMIFS(Movimentos!$F$4:$F$9996,Movimentos!$D$4:$D$9996,B3159,Movimentos!$C$4:$C$9996,"Saída"),""),"")</f>
        <v/>
      </c>
      <c r="F3159" s="10" t="str">
        <f t="shared" ref="F3159:F3222" si="102">IF(AND(B3159&lt;&gt;"",C3159&lt;&gt;""),IF(E3159=0,"Saldo zerado",IF(E3159&lt;D3159,"Saldo abaixo do mínimo","Saldo disponível")),"")</f>
        <v/>
      </c>
    </row>
    <row r="3160" spans="1:6" x14ac:dyDescent="0.3">
      <c r="A3160" s="15" t="str">
        <f t="shared" si="101"/>
        <v>.</v>
      </c>
      <c r="E3160" s="13" t="str">
        <f>IFERROR(IF(AND(B3160&lt;&gt;"",C3160&lt;&gt;""),SUMIFS(Movimentos!$F$4:$F$9996,Movimentos!$D$4:$D$9996,B3160,Movimentos!$C$4:$C$9996,"Entrada")-SUMIFS(Movimentos!$F$4:$F$9996,Movimentos!$D$4:$D$9996,B3160,Movimentos!$C$4:$C$9996,"Saída"),""),"")</f>
        <v/>
      </c>
      <c r="F3160" s="10" t="str">
        <f t="shared" si="102"/>
        <v/>
      </c>
    </row>
    <row r="3161" spans="1:6" x14ac:dyDescent="0.3">
      <c r="A3161" s="15" t="str">
        <f t="shared" si="101"/>
        <v>.</v>
      </c>
      <c r="E3161" s="13" t="str">
        <f>IFERROR(IF(AND(B3161&lt;&gt;"",C3161&lt;&gt;""),SUMIFS(Movimentos!$F$4:$F$9996,Movimentos!$D$4:$D$9996,B3161,Movimentos!$C$4:$C$9996,"Entrada")-SUMIFS(Movimentos!$F$4:$F$9996,Movimentos!$D$4:$D$9996,B3161,Movimentos!$C$4:$C$9996,"Saída"),""),"")</f>
        <v/>
      </c>
      <c r="F3161" s="10" t="str">
        <f t="shared" si="102"/>
        <v/>
      </c>
    </row>
    <row r="3162" spans="1:6" x14ac:dyDescent="0.3">
      <c r="A3162" s="15" t="str">
        <f t="shared" si="101"/>
        <v>.</v>
      </c>
      <c r="E3162" s="13" t="str">
        <f>IFERROR(IF(AND(B3162&lt;&gt;"",C3162&lt;&gt;""),SUMIFS(Movimentos!$F$4:$F$9996,Movimentos!$D$4:$D$9996,B3162,Movimentos!$C$4:$C$9996,"Entrada")-SUMIFS(Movimentos!$F$4:$F$9996,Movimentos!$D$4:$D$9996,B3162,Movimentos!$C$4:$C$9996,"Saída"),""),"")</f>
        <v/>
      </c>
      <c r="F3162" s="10" t="str">
        <f t="shared" si="102"/>
        <v/>
      </c>
    </row>
    <row r="3163" spans="1:6" x14ac:dyDescent="0.3">
      <c r="A3163" s="15" t="str">
        <f t="shared" si="101"/>
        <v>.</v>
      </c>
      <c r="E3163" s="13" t="str">
        <f>IFERROR(IF(AND(B3163&lt;&gt;"",C3163&lt;&gt;""),SUMIFS(Movimentos!$F$4:$F$9996,Movimentos!$D$4:$D$9996,B3163,Movimentos!$C$4:$C$9996,"Entrada")-SUMIFS(Movimentos!$F$4:$F$9996,Movimentos!$D$4:$D$9996,B3163,Movimentos!$C$4:$C$9996,"Saída"),""),"")</f>
        <v/>
      </c>
      <c r="F3163" s="10" t="str">
        <f t="shared" si="102"/>
        <v/>
      </c>
    </row>
    <row r="3164" spans="1:6" x14ac:dyDescent="0.3">
      <c r="A3164" s="15" t="str">
        <f t="shared" si="101"/>
        <v>.</v>
      </c>
      <c r="E3164" s="13" t="str">
        <f>IFERROR(IF(AND(B3164&lt;&gt;"",C3164&lt;&gt;""),SUMIFS(Movimentos!$F$4:$F$9996,Movimentos!$D$4:$D$9996,B3164,Movimentos!$C$4:$C$9996,"Entrada")-SUMIFS(Movimentos!$F$4:$F$9996,Movimentos!$D$4:$D$9996,B3164,Movimentos!$C$4:$C$9996,"Saída"),""),"")</f>
        <v/>
      </c>
      <c r="F3164" s="10" t="str">
        <f t="shared" si="102"/>
        <v/>
      </c>
    </row>
    <row r="3165" spans="1:6" x14ac:dyDescent="0.3">
      <c r="A3165" s="15" t="str">
        <f t="shared" si="101"/>
        <v>.</v>
      </c>
      <c r="E3165" s="13" t="str">
        <f>IFERROR(IF(AND(B3165&lt;&gt;"",C3165&lt;&gt;""),SUMIFS(Movimentos!$F$4:$F$9996,Movimentos!$D$4:$D$9996,B3165,Movimentos!$C$4:$C$9996,"Entrada")-SUMIFS(Movimentos!$F$4:$F$9996,Movimentos!$D$4:$D$9996,B3165,Movimentos!$C$4:$C$9996,"Saída"),""),"")</f>
        <v/>
      </c>
      <c r="F3165" s="10" t="str">
        <f t="shared" si="102"/>
        <v/>
      </c>
    </row>
    <row r="3166" spans="1:6" x14ac:dyDescent="0.3">
      <c r="A3166" s="15" t="str">
        <f t="shared" si="101"/>
        <v>.</v>
      </c>
      <c r="E3166" s="13" t="str">
        <f>IFERROR(IF(AND(B3166&lt;&gt;"",C3166&lt;&gt;""),SUMIFS(Movimentos!$F$4:$F$9996,Movimentos!$D$4:$D$9996,B3166,Movimentos!$C$4:$C$9996,"Entrada")-SUMIFS(Movimentos!$F$4:$F$9996,Movimentos!$D$4:$D$9996,B3166,Movimentos!$C$4:$C$9996,"Saída"),""),"")</f>
        <v/>
      </c>
      <c r="F3166" s="10" t="str">
        <f t="shared" si="102"/>
        <v/>
      </c>
    </row>
    <row r="3167" spans="1:6" x14ac:dyDescent="0.3">
      <c r="A3167" s="15" t="str">
        <f t="shared" si="101"/>
        <v>.</v>
      </c>
      <c r="E3167" s="13" t="str">
        <f>IFERROR(IF(AND(B3167&lt;&gt;"",C3167&lt;&gt;""),SUMIFS(Movimentos!$F$4:$F$9996,Movimentos!$D$4:$D$9996,B3167,Movimentos!$C$4:$C$9996,"Entrada")-SUMIFS(Movimentos!$F$4:$F$9996,Movimentos!$D$4:$D$9996,B3167,Movimentos!$C$4:$C$9996,"Saída"),""),"")</f>
        <v/>
      </c>
      <c r="F3167" s="10" t="str">
        <f t="shared" si="102"/>
        <v/>
      </c>
    </row>
    <row r="3168" spans="1:6" x14ac:dyDescent="0.3">
      <c r="A3168" s="15" t="str">
        <f t="shared" si="101"/>
        <v>.</v>
      </c>
      <c r="E3168" s="13" t="str">
        <f>IFERROR(IF(AND(B3168&lt;&gt;"",C3168&lt;&gt;""),SUMIFS(Movimentos!$F$4:$F$9996,Movimentos!$D$4:$D$9996,B3168,Movimentos!$C$4:$C$9996,"Entrada")-SUMIFS(Movimentos!$F$4:$F$9996,Movimentos!$D$4:$D$9996,B3168,Movimentos!$C$4:$C$9996,"Saída"),""),"")</f>
        <v/>
      </c>
      <c r="F3168" s="10" t="str">
        <f t="shared" si="102"/>
        <v/>
      </c>
    </row>
    <row r="3169" spans="1:6" x14ac:dyDescent="0.3">
      <c r="A3169" s="15" t="str">
        <f t="shared" si="101"/>
        <v>.</v>
      </c>
      <c r="E3169" s="13" t="str">
        <f>IFERROR(IF(AND(B3169&lt;&gt;"",C3169&lt;&gt;""),SUMIFS(Movimentos!$F$4:$F$9996,Movimentos!$D$4:$D$9996,B3169,Movimentos!$C$4:$C$9996,"Entrada")-SUMIFS(Movimentos!$F$4:$F$9996,Movimentos!$D$4:$D$9996,B3169,Movimentos!$C$4:$C$9996,"Saída"),""),"")</f>
        <v/>
      </c>
      <c r="F3169" s="10" t="str">
        <f t="shared" si="102"/>
        <v/>
      </c>
    </row>
    <row r="3170" spans="1:6" x14ac:dyDescent="0.3">
      <c r="A3170" s="15" t="str">
        <f t="shared" si="101"/>
        <v>.</v>
      </c>
      <c r="E3170" s="13" t="str">
        <f>IFERROR(IF(AND(B3170&lt;&gt;"",C3170&lt;&gt;""),SUMIFS(Movimentos!$F$4:$F$9996,Movimentos!$D$4:$D$9996,B3170,Movimentos!$C$4:$C$9996,"Entrada")-SUMIFS(Movimentos!$F$4:$F$9996,Movimentos!$D$4:$D$9996,B3170,Movimentos!$C$4:$C$9996,"Saída"),""),"")</f>
        <v/>
      </c>
      <c r="F3170" s="10" t="str">
        <f t="shared" si="102"/>
        <v/>
      </c>
    </row>
    <row r="3171" spans="1:6" x14ac:dyDescent="0.3">
      <c r="A3171" s="15" t="str">
        <f t="shared" si="101"/>
        <v>.</v>
      </c>
      <c r="E3171" s="13" t="str">
        <f>IFERROR(IF(AND(B3171&lt;&gt;"",C3171&lt;&gt;""),SUMIFS(Movimentos!$F$4:$F$9996,Movimentos!$D$4:$D$9996,B3171,Movimentos!$C$4:$C$9996,"Entrada")-SUMIFS(Movimentos!$F$4:$F$9996,Movimentos!$D$4:$D$9996,B3171,Movimentos!$C$4:$C$9996,"Saída"),""),"")</f>
        <v/>
      </c>
      <c r="F3171" s="10" t="str">
        <f t="shared" si="102"/>
        <v/>
      </c>
    </row>
    <row r="3172" spans="1:6" x14ac:dyDescent="0.3">
      <c r="A3172" s="15" t="str">
        <f t="shared" si="101"/>
        <v>.</v>
      </c>
      <c r="E3172" s="13" t="str">
        <f>IFERROR(IF(AND(B3172&lt;&gt;"",C3172&lt;&gt;""),SUMIFS(Movimentos!$F$4:$F$9996,Movimentos!$D$4:$D$9996,B3172,Movimentos!$C$4:$C$9996,"Entrada")-SUMIFS(Movimentos!$F$4:$F$9996,Movimentos!$D$4:$D$9996,B3172,Movimentos!$C$4:$C$9996,"Saída"),""),"")</f>
        <v/>
      </c>
      <c r="F3172" s="10" t="str">
        <f t="shared" si="102"/>
        <v/>
      </c>
    </row>
    <row r="3173" spans="1:6" x14ac:dyDescent="0.3">
      <c r="A3173" s="15" t="str">
        <f t="shared" si="101"/>
        <v>.</v>
      </c>
      <c r="E3173" s="13" t="str">
        <f>IFERROR(IF(AND(B3173&lt;&gt;"",C3173&lt;&gt;""),SUMIFS(Movimentos!$F$4:$F$9996,Movimentos!$D$4:$D$9996,B3173,Movimentos!$C$4:$C$9996,"Entrada")-SUMIFS(Movimentos!$F$4:$F$9996,Movimentos!$D$4:$D$9996,B3173,Movimentos!$C$4:$C$9996,"Saída"),""),"")</f>
        <v/>
      </c>
      <c r="F3173" s="10" t="str">
        <f t="shared" si="102"/>
        <v/>
      </c>
    </row>
    <row r="3174" spans="1:6" x14ac:dyDescent="0.3">
      <c r="A3174" s="15" t="str">
        <f t="shared" si="101"/>
        <v>.</v>
      </c>
      <c r="E3174" s="13" t="str">
        <f>IFERROR(IF(AND(B3174&lt;&gt;"",C3174&lt;&gt;""),SUMIFS(Movimentos!$F$4:$F$9996,Movimentos!$D$4:$D$9996,B3174,Movimentos!$C$4:$C$9996,"Entrada")-SUMIFS(Movimentos!$F$4:$F$9996,Movimentos!$D$4:$D$9996,B3174,Movimentos!$C$4:$C$9996,"Saída"),""),"")</f>
        <v/>
      </c>
      <c r="F3174" s="10" t="str">
        <f t="shared" si="102"/>
        <v/>
      </c>
    </row>
    <row r="3175" spans="1:6" x14ac:dyDescent="0.3">
      <c r="A3175" s="15" t="str">
        <f t="shared" si="101"/>
        <v>.</v>
      </c>
      <c r="E3175" s="13" t="str">
        <f>IFERROR(IF(AND(B3175&lt;&gt;"",C3175&lt;&gt;""),SUMIFS(Movimentos!$F$4:$F$9996,Movimentos!$D$4:$D$9996,B3175,Movimentos!$C$4:$C$9996,"Entrada")-SUMIFS(Movimentos!$F$4:$F$9996,Movimentos!$D$4:$D$9996,B3175,Movimentos!$C$4:$C$9996,"Saída"),""),"")</f>
        <v/>
      </c>
      <c r="F3175" s="10" t="str">
        <f t="shared" si="102"/>
        <v/>
      </c>
    </row>
    <row r="3176" spans="1:6" x14ac:dyDescent="0.3">
      <c r="A3176" s="15" t="str">
        <f t="shared" si="101"/>
        <v>.</v>
      </c>
      <c r="E3176" s="13" t="str">
        <f>IFERROR(IF(AND(B3176&lt;&gt;"",C3176&lt;&gt;""),SUMIFS(Movimentos!$F$4:$F$9996,Movimentos!$D$4:$D$9996,B3176,Movimentos!$C$4:$C$9996,"Entrada")-SUMIFS(Movimentos!$F$4:$F$9996,Movimentos!$D$4:$D$9996,B3176,Movimentos!$C$4:$C$9996,"Saída"),""),"")</f>
        <v/>
      </c>
      <c r="F3176" s="10" t="str">
        <f t="shared" si="102"/>
        <v/>
      </c>
    </row>
    <row r="3177" spans="1:6" x14ac:dyDescent="0.3">
      <c r="A3177" s="15" t="str">
        <f t="shared" si="101"/>
        <v>.</v>
      </c>
      <c r="E3177" s="13" t="str">
        <f>IFERROR(IF(AND(B3177&lt;&gt;"",C3177&lt;&gt;""),SUMIFS(Movimentos!$F$4:$F$9996,Movimentos!$D$4:$D$9996,B3177,Movimentos!$C$4:$C$9996,"Entrada")-SUMIFS(Movimentos!$F$4:$F$9996,Movimentos!$D$4:$D$9996,B3177,Movimentos!$C$4:$C$9996,"Saída"),""),"")</f>
        <v/>
      </c>
      <c r="F3177" s="10" t="str">
        <f t="shared" si="102"/>
        <v/>
      </c>
    </row>
    <row r="3178" spans="1:6" x14ac:dyDescent="0.3">
      <c r="A3178" s="15" t="str">
        <f t="shared" si="101"/>
        <v>.</v>
      </c>
      <c r="E3178" s="13" t="str">
        <f>IFERROR(IF(AND(B3178&lt;&gt;"",C3178&lt;&gt;""),SUMIFS(Movimentos!$F$4:$F$9996,Movimentos!$D$4:$D$9996,B3178,Movimentos!$C$4:$C$9996,"Entrada")-SUMIFS(Movimentos!$F$4:$F$9996,Movimentos!$D$4:$D$9996,B3178,Movimentos!$C$4:$C$9996,"Saída"),""),"")</f>
        <v/>
      </c>
      <c r="F3178" s="10" t="str">
        <f t="shared" si="102"/>
        <v/>
      </c>
    </row>
    <row r="3179" spans="1:6" x14ac:dyDescent="0.3">
      <c r="A3179" s="15" t="str">
        <f t="shared" si="101"/>
        <v>.</v>
      </c>
      <c r="E3179" s="13" t="str">
        <f>IFERROR(IF(AND(B3179&lt;&gt;"",C3179&lt;&gt;""),SUMIFS(Movimentos!$F$4:$F$9996,Movimentos!$D$4:$D$9996,B3179,Movimentos!$C$4:$C$9996,"Entrada")-SUMIFS(Movimentos!$F$4:$F$9996,Movimentos!$D$4:$D$9996,B3179,Movimentos!$C$4:$C$9996,"Saída"),""),"")</f>
        <v/>
      </c>
      <c r="F3179" s="10" t="str">
        <f t="shared" si="102"/>
        <v/>
      </c>
    </row>
    <row r="3180" spans="1:6" x14ac:dyDescent="0.3">
      <c r="A3180" s="15" t="str">
        <f t="shared" si="101"/>
        <v>.</v>
      </c>
      <c r="E3180" s="13" t="str">
        <f>IFERROR(IF(AND(B3180&lt;&gt;"",C3180&lt;&gt;""),SUMIFS(Movimentos!$F$4:$F$9996,Movimentos!$D$4:$D$9996,B3180,Movimentos!$C$4:$C$9996,"Entrada")-SUMIFS(Movimentos!$F$4:$F$9996,Movimentos!$D$4:$D$9996,B3180,Movimentos!$C$4:$C$9996,"Saída"),""),"")</f>
        <v/>
      </c>
      <c r="F3180" s="10" t="str">
        <f t="shared" si="102"/>
        <v/>
      </c>
    </row>
    <row r="3181" spans="1:6" x14ac:dyDescent="0.3">
      <c r="A3181" s="15" t="str">
        <f t="shared" si="101"/>
        <v>.</v>
      </c>
      <c r="E3181" s="13" t="str">
        <f>IFERROR(IF(AND(B3181&lt;&gt;"",C3181&lt;&gt;""),SUMIFS(Movimentos!$F$4:$F$9996,Movimentos!$D$4:$D$9996,B3181,Movimentos!$C$4:$C$9996,"Entrada")-SUMIFS(Movimentos!$F$4:$F$9996,Movimentos!$D$4:$D$9996,B3181,Movimentos!$C$4:$C$9996,"Saída"),""),"")</f>
        <v/>
      </c>
      <c r="F3181" s="10" t="str">
        <f t="shared" si="102"/>
        <v/>
      </c>
    </row>
    <row r="3182" spans="1:6" x14ac:dyDescent="0.3">
      <c r="A3182" s="15" t="str">
        <f t="shared" si="101"/>
        <v>.</v>
      </c>
      <c r="E3182" s="13" t="str">
        <f>IFERROR(IF(AND(B3182&lt;&gt;"",C3182&lt;&gt;""),SUMIFS(Movimentos!$F$4:$F$9996,Movimentos!$D$4:$D$9996,B3182,Movimentos!$C$4:$C$9996,"Entrada")-SUMIFS(Movimentos!$F$4:$F$9996,Movimentos!$D$4:$D$9996,B3182,Movimentos!$C$4:$C$9996,"Saída"),""),"")</f>
        <v/>
      </c>
      <c r="F3182" s="10" t="str">
        <f t="shared" si="102"/>
        <v/>
      </c>
    </row>
    <row r="3183" spans="1:6" x14ac:dyDescent="0.3">
      <c r="A3183" s="15" t="str">
        <f t="shared" si="101"/>
        <v>.</v>
      </c>
      <c r="E3183" s="13" t="str">
        <f>IFERROR(IF(AND(B3183&lt;&gt;"",C3183&lt;&gt;""),SUMIFS(Movimentos!$F$4:$F$9996,Movimentos!$D$4:$D$9996,B3183,Movimentos!$C$4:$C$9996,"Entrada")-SUMIFS(Movimentos!$F$4:$F$9996,Movimentos!$D$4:$D$9996,B3183,Movimentos!$C$4:$C$9996,"Saída"),""),"")</f>
        <v/>
      </c>
      <c r="F3183" s="10" t="str">
        <f t="shared" si="102"/>
        <v/>
      </c>
    </row>
    <row r="3184" spans="1:6" x14ac:dyDescent="0.3">
      <c r="A3184" s="15" t="str">
        <f t="shared" si="101"/>
        <v>.</v>
      </c>
      <c r="E3184" s="13" t="str">
        <f>IFERROR(IF(AND(B3184&lt;&gt;"",C3184&lt;&gt;""),SUMIFS(Movimentos!$F$4:$F$9996,Movimentos!$D$4:$D$9996,B3184,Movimentos!$C$4:$C$9996,"Entrada")-SUMIFS(Movimentos!$F$4:$F$9996,Movimentos!$D$4:$D$9996,B3184,Movimentos!$C$4:$C$9996,"Saída"),""),"")</f>
        <v/>
      </c>
      <c r="F3184" s="10" t="str">
        <f t="shared" si="102"/>
        <v/>
      </c>
    </row>
    <row r="3185" spans="1:6" x14ac:dyDescent="0.3">
      <c r="A3185" s="15" t="str">
        <f t="shared" si="101"/>
        <v>.</v>
      </c>
      <c r="E3185" s="13" t="str">
        <f>IFERROR(IF(AND(B3185&lt;&gt;"",C3185&lt;&gt;""),SUMIFS(Movimentos!$F$4:$F$9996,Movimentos!$D$4:$D$9996,B3185,Movimentos!$C$4:$C$9996,"Entrada")-SUMIFS(Movimentos!$F$4:$F$9996,Movimentos!$D$4:$D$9996,B3185,Movimentos!$C$4:$C$9996,"Saída"),""),"")</f>
        <v/>
      </c>
      <c r="F3185" s="10" t="str">
        <f t="shared" si="102"/>
        <v/>
      </c>
    </row>
    <row r="3186" spans="1:6" x14ac:dyDescent="0.3">
      <c r="A3186" s="15" t="str">
        <f t="shared" si="101"/>
        <v>.</v>
      </c>
      <c r="E3186" s="13" t="str">
        <f>IFERROR(IF(AND(B3186&lt;&gt;"",C3186&lt;&gt;""),SUMIFS(Movimentos!$F$4:$F$9996,Movimentos!$D$4:$D$9996,B3186,Movimentos!$C$4:$C$9996,"Entrada")-SUMIFS(Movimentos!$F$4:$F$9996,Movimentos!$D$4:$D$9996,B3186,Movimentos!$C$4:$C$9996,"Saída"),""),"")</f>
        <v/>
      </c>
      <c r="F3186" s="10" t="str">
        <f t="shared" si="102"/>
        <v/>
      </c>
    </row>
    <row r="3187" spans="1:6" x14ac:dyDescent="0.3">
      <c r="A3187" s="15" t="str">
        <f t="shared" si="101"/>
        <v>.</v>
      </c>
      <c r="E3187" s="13" t="str">
        <f>IFERROR(IF(AND(B3187&lt;&gt;"",C3187&lt;&gt;""),SUMIFS(Movimentos!$F$4:$F$9996,Movimentos!$D$4:$D$9996,B3187,Movimentos!$C$4:$C$9996,"Entrada")-SUMIFS(Movimentos!$F$4:$F$9996,Movimentos!$D$4:$D$9996,B3187,Movimentos!$C$4:$C$9996,"Saída"),""),"")</f>
        <v/>
      </c>
      <c r="F3187" s="10" t="str">
        <f t="shared" si="102"/>
        <v/>
      </c>
    </row>
    <row r="3188" spans="1:6" x14ac:dyDescent="0.3">
      <c r="A3188" s="15" t="str">
        <f t="shared" si="101"/>
        <v>.</v>
      </c>
      <c r="E3188" s="13" t="str">
        <f>IFERROR(IF(AND(B3188&lt;&gt;"",C3188&lt;&gt;""),SUMIFS(Movimentos!$F$4:$F$9996,Movimentos!$D$4:$D$9996,B3188,Movimentos!$C$4:$C$9996,"Entrada")-SUMIFS(Movimentos!$F$4:$F$9996,Movimentos!$D$4:$D$9996,B3188,Movimentos!$C$4:$C$9996,"Saída"),""),"")</f>
        <v/>
      </c>
      <c r="F3188" s="10" t="str">
        <f t="shared" si="102"/>
        <v/>
      </c>
    </row>
    <row r="3189" spans="1:6" x14ac:dyDescent="0.3">
      <c r="A3189" s="15" t="str">
        <f t="shared" si="101"/>
        <v>.</v>
      </c>
      <c r="E3189" s="13" t="str">
        <f>IFERROR(IF(AND(B3189&lt;&gt;"",C3189&lt;&gt;""),SUMIFS(Movimentos!$F$4:$F$9996,Movimentos!$D$4:$D$9996,B3189,Movimentos!$C$4:$C$9996,"Entrada")-SUMIFS(Movimentos!$F$4:$F$9996,Movimentos!$D$4:$D$9996,B3189,Movimentos!$C$4:$C$9996,"Saída"),""),"")</f>
        <v/>
      </c>
      <c r="F3189" s="10" t="str">
        <f t="shared" si="102"/>
        <v/>
      </c>
    </row>
    <row r="3190" spans="1:6" x14ac:dyDescent="0.3">
      <c r="A3190" s="15" t="str">
        <f t="shared" si="101"/>
        <v>.</v>
      </c>
      <c r="E3190" s="13" t="str">
        <f>IFERROR(IF(AND(B3190&lt;&gt;"",C3190&lt;&gt;""),SUMIFS(Movimentos!$F$4:$F$9996,Movimentos!$D$4:$D$9996,B3190,Movimentos!$C$4:$C$9996,"Entrada")-SUMIFS(Movimentos!$F$4:$F$9996,Movimentos!$D$4:$D$9996,B3190,Movimentos!$C$4:$C$9996,"Saída"),""),"")</f>
        <v/>
      </c>
      <c r="F3190" s="10" t="str">
        <f t="shared" si="102"/>
        <v/>
      </c>
    </row>
    <row r="3191" spans="1:6" x14ac:dyDescent="0.3">
      <c r="A3191" s="15" t="str">
        <f t="shared" si="101"/>
        <v>.</v>
      </c>
      <c r="E3191" s="13" t="str">
        <f>IFERROR(IF(AND(B3191&lt;&gt;"",C3191&lt;&gt;""),SUMIFS(Movimentos!$F$4:$F$9996,Movimentos!$D$4:$D$9996,B3191,Movimentos!$C$4:$C$9996,"Entrada")-SUMIFS(Movimentos!$F$4:$F$9996,Movimentos!$D$4:$D$9996,B3191,Movimentos!$C$4:$C$9996,"Saída"),""),"")</f>
        <v/>
      </c>
      <c r="F3191" s="10" t="str">
        <f t="shared" si="102"/>
        <v/>
      </c>
    </row>
    <row r="3192" spans="1:6" x14ac:dyDescent="0.3">
      <c r="A3192" s="15" t="str">
        <f t="shared" si="101"/>
        <v>.</v>
      </c>
      <c r="E3192" s="13" t="str">
        <f>IFERROR(IF(AND(B3192&lt;&gt;"",C3192&lt;&gt;""),SUMIFS(Movimentos!$F$4:$F$9996,Movimentos!$D$4:$D$9996,B3192,Movimentos!$C$4:$C$9996,"Entrada")-SUMIFS(Movimentos!$F$4:$F$9996,Movimentos!$D$4:$D$9996,B3192,Movimentos!$C$4:$C$9996,"Saída"),""),"")</f>
        <v/>
      </c>
      <c r="F3192" s="10" t="str">
        <f t="shared" si="102"/>
        <v/>
      </c>
    </row>
    <row r="3193" spans="1:6" x14ac:dyDescent="0.3">
      <c r="A3193" s="15" t="str">
        <f t="shared" si="101"/>
        <v>.</v>
      </c>
      <c r="E3193" s="13" t="str">
        <f>IFERROR(IF(AND(B3193&lt;&gt;"",C3193&lt;&gt;""),SUMIFS(Movimentos!$F$4:$F$9996,Movimentos!$D$4:$D$9996,B3193,Movimentos!$C$4:$C$9996,"Entrada")-SUMIFS(Movimentos!$F$4:$F$9996,Movimentos!$D$4:$D$9996,B3193,Movimentos!$C$4:$C$9996,"Saída"),""),"")</f>
        <v/>
      </c>
      <c r="F3193" s="10" t="str">
        <f t="shared" si="102"/>
        <v/>
      </c>
    </row>
    <row r="3194" spans="1:6" x14ac:dyDescent="0.3">
      <c r="A3194" s="15" t="str">
        <f t="shared" si="101"/>
        <v>.</v>
      </c>
      <c r="E3194" s="13" t="str">
        <f>IFERROR(IF(AND(B3194&lt;&gt;"",C3194&lt;&gt;""),SUMIFS(Movimentos!$F$4:$F$9996,Movimentos!$D$4:$D$9996,B3194,Movimentos!$C$4:$C$9996,"Entrada")-SUMIFS(Movimentos!$F$4:$F$9996,Movimentos!$D$4:$D$9996,B3194,Movimentos!$C$4:$C$9996,"Saída"),""),"")</f>
        <v/>
      </c>
      <c r="F3194" s="10" t="str">
        <f t="shared" si="102"/>
        <v/>
      </c>
    </row>
    <row r="3195" spans="1:6" x14ac:dyDescent="0.3">
      <c r="A3195" s="15" t="str">
        <f t="shared" si="101"/>
        <v>.</v>
      </c>
      <c r="E3195" s="13" t="str">
        <f>IFERROR(IF(AND(B3195&lt;&gt;"",C3195&lt;&gt;""),SUMIFS(Movimentos!$F$4:$F$9996,Movimentos!$D$4:$D$9996,B3195,Movimentos!$C$4:$C$9996,"Entrada")-SUMIFS(Movimentos!$F$4:$F$9996,Movimentos!$D$4:$D$9996,B3195,Movimentos!$C$4:$C$9996,"Saída"),""),"")</f>
        <v/>
      </c>
      <c r="F3195" s="10" t="str">
        <f t="shared" si="102"/>
        <v/>
      </c>
    </row>
    <row r="3196" spans="1:6" x14ac:dyDescent="0.3">
      <c r="A3196" s="15" t="str">
        <f t="shared" si="101"/>
        <v>.</v>
      </c>
      <c r="E3196" s="13" t="str">
        <f>IFERROR(IF(AND(B3196&lt;&gt;"",C3196&lt;&gt;""),SUMIFS(Movimentos!$F$4:$F$9996,Movimentos!$D$4:$D$9996,B3196,Movimentos!$C$4:$C$9996,"Entrada")-SUMIFS(Movimentos!$F$4:$F$9996,Movimentos!$D$4:$D$9996,B3196,Movimentos!$C$4:$C$9996,"Saída"),""),"")</f>
        <v/>
      </c>
      <c r="F3196" s="10" t="str">
        <f t="shared" si="102"/>
        <v/>
      </c>
    </row>
    <row r="3197" spans="1:6" x14ac:dyDescent="0.3">
      <c r="A3197" s="15" t="str">
        <f t="shared" si="101"/>
        <v>.</v>
      </c>
      <c r="E3197" s="13" t="str">
        <f>IFERROR(IF(AND(B3197&lt;&gt;"",C3197&lt;&gt;""),SUMIFS(Movimentos!$F$4:$F$9996,Movimentos!$D$4:$D$9996,B3197,Movimentos!$C$4:$C$9996,"Entrada")-SUMIFS(Movimentos!$F$4:$F$9996,Movimentos!$D$4:$D$9996,B3197,Movimentos!$C$4:$C$9996,"Saída"),""),"")</f>
        <v/>
      </c>
      <c r="F3197" s="10" t="str">
        <f t="shared" si="102"/>
        <v/>
      </c>
    </row>
    <row r="3198" spans="1:6" x14ac:dyDescent="0.3">
      <c r="A3198" s="15" t="str">
        <f t="shared" si="101"/>
        <v>.</v>
      </c>
      <c r="E3198" s="13" t="str">
        <f>IFERROR(IF(AND(B3198&lt;&gt;"",C3198&lt;&gt;""),SUMIFS(Movimentos!$F$4:$F$9996,Movimentos!$D$4:$D$9996,B3198,Movimentos!$C$4:$C$9996,"Entrada")-SUMIFS(Movimentos!$F$4:$F$9996,Movimentos!$D$4:$D$9996,B3198,Movimentos!$C$4:$C$9996,"Saída"),""),"")</f>
        <v/>
      </c>
      <c r="F3198" s="10" t="str">
        <f t="shared" si="102"/>
        <v/>
      </c>
    </row>
    <row r="3199" spans="1:6" x14ac:dyDescent="0.3">
      <c r="A3199" s="15" t="str">
        <f t="shared" si="101"/>
        <v>.</v>
      </c>
      <c r="E3199" s="13" t="str">
        <f>IFERROR(IF(AND(B3199&lt;&gt;"",C3199&lt;&gt;""),SUMIFS(Movimentos!$F$4:$F$9996,Movimentos!$D$4:$D$9996,B3199,Movimentos!$C$4:$C$9996,"Entrada")-SUMIFS(Movimentos!$F$4:$F$9996,Movimentos!$D$4:$D$9996,B3199,Movimentos!$C$4:$C$9996,"Saída"),""),"")</f>
        <v/>
      </c>
      <c r="F3199" s="10" t="str">
        <f t="shared" si="102"/>
        <v/>
      </c>
    </row>
    <row r="3200" spans="1:6" x14ac:dyDescent="0.3">
      <c r="A3200" s="15" t="str">
        <f t="shared" ref="A3200:A3263" si="103">IF(F3200="Saldo zerado",0,IF(F3200="Saldo abaixo do mínimo",1,IF(F3200="Saldo disponível",2,".")))</f>
        <v>.</v>
      </c>
      <c r="E3200" s="13" t="str">
        <f>IFERROR(IF(AND(B3200&lt;&gt;"",C3200&lt;&gt;""),SUMIFS(Movimentos!$F$4:$F$9996,Movimentos!$D$4:$D$9996,B3200,Movimentos!$C$4:$C$9996,"Entrada")-SUMIFS(Movimentos!$F$4:$F$9996,Movimentos!$D$4:$D$9996,B3200,Movimentos!$C$4:$C$9996,"Saída"),""),"")</f>
        <v/>
      </c>
      <c r="F3200" s="10" t="str">
        <f t="shared" si="102"/>
        <v/>
      </c>
    </row>
    <row r="3201" spans="1:6" x14ac:dyDescent="0.3">
      <c r="A3201" s="15" t="str">
        <f t="shared" si="103"/>
        <v>.</v>
      </c>
      <c r="E3201" s="13" t="str">
        <f>IFERROR(IF(AND(B3201&lt;&gt;"",C3201&lt;&gt;""),SUMIFS(Movimentos!$F$4:$F$9996,Movimentos!$D$4:$D$9996,B3201,Movimentos!$C$4:$C$9996,"Entrada")-SUMIFS(Movimentos!$F$4:$F$9996,Movimentos!$D$4:$D$9996,B3201,Movimentos!$C$4:$C$9996,"Saída"),""),"")</f>
        <v/>
      </c>
      <c r="F3201" s="10" t="str">
        <f t="shared" si="102"/>
        <v/>
      </c>
    </row>
    <row r="3202" spans="1:6" x14ac:dyDescent="0.3">
      <c r="A3202" s="15" t="str">
        <f t="shared" si="103"/>
        <v>.</v>
      </c>
      <c r="E3202" s="13" t="str">
        <f>IFERROR(IF(AND(B3202&lt;&gt;"",C3202&lt;&gt;""),SUMIFS(Movimentos!$F$4:$F$9996,Movimentos!$D$4:$D$9996,B3202,Movimentos!$C$4:$C$9996,"Entrada")-SUMIFS(Movimentos!$F$4:$F$9996,Movimentos!$D$4:$D$9996,B3202,Movimentos!$C$4:$C$9996,"Saída"),""),"")</f>
        <v/>
      </c>
      <c r="F3202" s="10" t="str">
        <f t="shared" si="102"/>
        <v/>
      </c>
    </row>
    <row r="3203" spans="1:6" x14ac:dyDescent="0.3">
      <c r="A3203" s="15" t="str">
        <f t="shared" si="103"/>
        <v>.</v>
      </c>
      <c r="E3203" s="13" t="str">
        <f>IFERROR(IF(AND(B3203&lt;&gt;"",C3203&lt;&gt;""),SUMIFS(Movimentos!$F$4:$F$9996,Movimentos!$D$4:$D$9996,B3203,Movimentos!$C$4:$C$9996,"Entrada")-SUMIFS(Movimentos!$F$4:$F$9996,Movimentos!$D$4:$D$9996,B3203,Movimentos!$C$4:$C$9996,"Saída"),""),"")</f>
        <v/>
      </c>
      <c r="F3203" s="10" t="str">
        <f t="shared" si="102"/>
        <v/>
      </c>
    </row>
    <row r="3204" spans="1:6" x14ac:dyDescent="0.3">
      <c r="A3204" s="15" t="str">
        <f t="shared" si="103"/>
        <v>.</v>
      </c>
      <c r="E3204" s="13" t="str">
        <f>IFERROR(IF(AND(B3204&lt;&gt;"",C3204&lt;&gt;""),SUMIFS(Movimentos!$F$4:$F$9996,Movimentos!$D$4:$D$9996,B3204,Movimentos!$C$4:$C$9996,"Entrada")-SUMIFS(Movimentos!$F$4:$F$9996,Movimentos!$D$4:$D$9996,B3204,Movimentos!$C$4:$C$9996,"Saída"),""),"")</f>
        <v/>
      </c>
      <c r="F3204" s="10" t="str">
        <f t="shared" si="102"/>
        <v/>
      </c>
    </row>
    <row r="3205" spans="1:6" x14ac:dyDescent="0.3">
      <c r="A3205" s="15" t="str">
        <f t="shared" si="103"/>
        <v>.</v>
      </c>
      <c r="E3205" s="13" t="str">
        <f>IFERROR(IF(AND(B3205&lt;&gt;"",C3205&lt;&gt;""),SUMIFS(Movimentos!$F$4:$F$9996,Movimentos!$D$4:$D$9996,B3205,Movimentos!$C$4:$C$9996,"Entrada")-SUMIFS(Movimentos!$F$4:$F$9996,Movimentos!$D$4:$D$9996,B3205,Movimentos!$C$4:$C$9996,"Saída"),""),"")</f>
        <v/>
      </c>
      <c r="F3205" s="10" t="str">
        <f t="shared" si="102"/>
        <v/>
      </c>
    </row>
    <row r="3206" spans="1:6" x14ac:dyDescent="0.3">
      <c r="A3206" s="15" t="str">
        <f t="shared" si="103"/>
        <v>.</v>
      </c>
      <c r="E3206" s="13" t="str">
        <f>IFERROR(IF(AND(B3206&lt;&gt;"",C3206&lt;&gt;""),SUMIFS(Movimentos!$F$4:$F$9996,Movimentos!$D$4:$D$9996,B3206,Movimentos!$C$4:$C$9996,"Entrada")-SUMIFS(Movimentos!$F$4:$F$9996,Movimentos!$D$4:$D$9996,B3206,Movimentos!$C$4:$C$9996,"Saída"),""),"")</f>
        <v/>
      </c>
      <c r="F3206" s="10" t="str">
        <f t="shared" si="102"/>
        <v/>
      </c>
    </row>
    <row r="3207" spans="1:6" x14ac:dyDescent="0.3">
      <c r="A3207" s="15" t="str">
        <f t="shared" si="103"/>
        <v>.</v>
      </c>
      <c r="E3207" s="13" t="str">
        <f>IFERROR(IF(AND(B3207&lt;&gt;"",C3207&lt;&gt;""),SUMIFS(Movimentos!$F$4:$F$9996,Movimentos!$D$4:$D$9996,B3207,Movimentos!$C$4:$C$9996,"Entrada")-SUMIFS(Movimentos!$F$4:$F$9996,Movimentos!$D$4:$D$9996,B3207,Movimentos!$C$4:$C$9996,"Saída"),""),"")</f>
        <v/>
      </c>
      <c r="F3207" s="10" t="str">
        <f t="shared" si="102"/>
        <v/>
      </c>
    </row>
    <row r="3208" spans="1:6" x14ac:dyDescent="0.3">
      <c r="A3208" s="15" t="str">
        <f t="shared" si="103"/>
        <v>.</v>
      </c>
      <c r="E3208" s="13" t="str">
        <f>IFERROR(IF(AND(B3208&lt;&gt;"",C3208&lt;&gt;""),SUMIFS(Movimentos!$F$4:$F$9996,Movimentos!$D$4:$D$9996,B3208,Movimentos!$C$4:$C$9996,"Entrada")-SUMIFS(Movimentos!$F$4:$F$9996,Movimentos!$D$4:$D$9996,B3208,Movimentos!$C$4:$C$9996,"Saída"),""),"")</f>
        <v/>
      </c>
      <c r="F3208" s="10" t="str">
        <f t="shared" si="102"/>
        <v/>
      </c>
    </row>
    <row r="3209" spans="1:6" x14ac:dyDescent="0.3">
      <c r="A3209" s="15" t="str">
        <f t="shared" si="103"/>
        <v>.</v>
      </c>
      <c r="E3209" s="13" t="str">
        <f>IFERROR(IF(AND(B3209&lt;&gt;"",C3209&lt;&gt;""),SUMIFS(Movimentos!$F$4:$F$9996,Movimentos!$D$4:$D$9996,B3209,Movimentos!$C$4:$C$9996,"Entrada")-SUMIFS(Movimentos!$F$4:$F$9996,Movimentos!$D$4:$D$9996,B3209,Movimentos!$C$4:$C$9996,"Saída"),""),"")</f>
        <v/>
      </c>
      <c r="F3209" s="10" t="str">
        <f t="shared" si="102"/>
        <v/>
      </c>
    </row>
    <row r="3210" spans="1:6" x14ac:dyDescent="0.3">
      <c r="A3210" s="15" t="str">
        <f t="shared" si="103"/>
        <v>.</v>
      </c>
      <c r="E3210" s="13" t="str">
        <f>IFERROR(IF(AND(B3210&lt;&gt;"",C3210&lt;&gt;""),SUMIFS(Movimentos!$F$4:$F$9996,Movimentos!$D$4:$D$9996,B3210,Movimentos!$C$4:$C$9996,"Entrada")-SUMIFS(Movimentos!$F$4:$F$9996,Movimentos!$D$4:$D$9996,B3210,Movimentos!$C$4:$C$9996,"Saída"),""),"")</f>
        <v/>
      </c>
      <c r="F3210" s="10" t="str">
        <f t="shared" si="102"/>
        <v/>
      </c>
    </row>
    <row r="3211" spans="1:6" x14ac:dyDescent="0.3">
      <c r="A3211" s="15" t="str">
        <f t="shared" si="103"/>
        <v>.</v>
      </c>
      <c r="E3211" s="13" t="str">
        <f>IFERROR(IF(AND(B3211&lt;&gt;"",C3211&lt;&gt;""),SUMIFS(Movimentos!$F$4:$F$9996,Movimentos!$D$4:$D$9996,B3211,Movimentos!$C$4:$C$9996,"Entrada")-SUMIFS(Movimentos!$F$4:$F$9996,Movimentos!$D$4:$D$9996,B3211,Movimentos!$C$4:$C$9996,"Saída"),""),"")</f>
        <v/>
      </c>
      <c r="F3211" s="10" t="str">
        <f t="shared" si="102"/>
        <v/>
      </c>
    </row>
    <row r="3212" spans="1:6" x14ac:dyDescent="0.3">
      <c r="A3212" s="15" t="str">
        <f t="shared" si="103"/>
        <v>.</v>
      </c>
      <c r="E3212" s="13" t="str">
        <f>IFERROR(IF(AND(B3212&lt;&gt;"",C3212&lt;&gt;""),SUMIFS(Movimentos!$F$4:$F$9996,Movimentos!$D$4:$D$9996,B3212,Movimentos!$C$4:$C$9996,"Entrada")-SUMIFS(Movimentos!$F$4:$F$9996,Movimentos!$D$4:$D$9996,B3212,Movimentos!$C$4:$C$9996,"Saída"),""),"")</f>
        <v/>
      </c>
      <c r="F3212" s="10" t="str">
        <f t="shared" si="102"/>
        <v/>
      </c>
    </row>
    <row r="3213" spans="1:6" x14ac:dyDescent="0.3">
      <c r="A3213" s="15" t="str">
        <f t="shared" si="103"/>
        <v>.</v>
      </c>
      <c r="E3213" s="13" t="str">
        <f>IFERROR(IF(AND(B3213&lt;&gt;"",C3213&lt;&gt;""),SUMIFS(Movimentos!$F$4:$F$9996,Movimentos!$D$4:$D$9996,B3213,Movimentos!$C$4:$C$9996,"Entrada")-SUMIFS(Movimentos!$F$4:$F$9996,Movimentos!$D$4:$D$9996,B3213,Movimentos!$C$4:$C$9996,"Saída"),""),"")</f>
        <v/>
      </c>
      <c r="F3213" s="10" t="str">
        <f t="shared" si="102"/>
        <v/>
      </c>
    </row>
    <row r="3214" spans="1:6" x14ac:dyDescent="0.3">
      <c r="A3214" s="15" t="str">
        <f t="shared" si="103"/>
        <v>.</v>
      </c>
      <c r="E3214" s="13" t="str">
        <f>IFERROR(IF(AND(B3214&lt;&gt;"",C3214&lt;&gt;""),SUMIFS(Movimentos!$F$4:$F$9996,Movimentos!$D$4:$D$9996,B3214,Movimentos!$C$4:$C$9996,"Entrada")-SUMIFS(Movimentos!$F$4:$F$9996,Movimentos!$D$4:$D$9996,B3214,Movimentos!$C$4:$C$9996,"Saída"),""),"")</f>
        <v/>
      </c>
      <c r="F3214" s="10" t="str">
        <f t="shared" si="102"/>
        <v/>
      </c>
    </row>
    <row r="3215" spans="1:6" x14ac:dyDescent="0.3">
      <c r="A3215" s="15" t="str">
        <f t="shared" si="103"/>
        <v>.</v>
      </c>
      <c r="E3215" s="13" t="str">
        <f>IFERROR(IF(AND(B3215&lt;&gt;"",C3215&lt;&gt;""),SUMIFS(Movimentos!$F$4:$F$9996,Movimentos!$D$4:$D$9996,B3215,Movimentos!$C$4:$C$9996,"Entrada")-SUMIFS(Movimentos!$F$4:$F$9996,Movimentos!$D$4:$D$9996,B3215,Movimentos!$C$4:$C$9996,"Saída"),""),"")</f>
        <v/>
      </c>
      <c r="F3215" s="10" t="str">
        <f t="shared" si="102"/>
        <v/>
      </c>
    </row>
    <row r="3216" spans="1:6" x14ac:dyDescent="0.3">
      <c r="A3216" s="15" t="str">
        <f t="shared" si="103"/>
        <v>.</v>
      </c>
      <c r="E3216" s="13" t="str">
        <f>IFERROR(IF(AND(B3216&lt;&gt;"",C3216&lt;&gt;""),SUMIFS(Movimentos!$F$4:$F$9996,Movimentos!$D$4:$D$9996,B3216,Movimentos!$C$4:$C$9996,"Entrada")-SUMIFS(Movimentos!$F$4:$F$9996,Movimentos!$D$4:$D$9996,B3216,Movimentos!$C$4:$C$9996,"Saída"),""),"")</f>
        <v/>
      </c>
      <c r="F3216" s="10" t="str">
        <f t="shared" si="102"/>
        <v/>
      </c>
    </row>
    <row r="3217" spans="1:6" x14ac:dyDescent="0.3">
      <c r="A3217" s="15" t="str">
        <f t="shared" si="103"/>
        <v>.</v>
      </c>
      <c r="E3217" s="13" t="str">
        <f>IFERROR(IF(AND(B3217&lt;&gt;"",C3217&lt;&gt;""),SUMIFS(Movimentos!$F$4:$F$9996,Movimentos!$D$4:$D$9996,B3217,Movimentos!$C$4:$C$9996,"Entrada")-SUMIFS(Movimentos!$F$4:$F$9996,Movimentos!$D$4:$D$9996,B3217,Movimentos!$C$4:$C$9996,"Saída"),""),"")</f>
        <v/>
      </c>
      <c r="F3217" s="10" t="str">
        <f t="shared" si="102"/>
        <v/>
      </c>
    </row>
    <row r="3218" spans="1:6" x14ac:dyDescent="0.3">
      <c r="A3218" s="15" t="str">
        <f t="shared" si="103"/>
        <v>.</v>
      </c>
      <c r="E3218" s="13" t="str">
        <f>IFERROR(IF(AND(B3218&lt;&gt;"",C3218&lt;&gt;""),SUMIFS(Movimentos!$F$4:$F$9996,Movimentos!$D$4:$D$9996,B3218,Movimentos!$C$4:$C$9996,"Entrada")-SUMIFS(Movimentos!$F$4:$F$9996,Movimentos!$D$4:$D$9996,B3218,Movimentos!$C$4:$C$9996,"Saída"),""),"")</f>
        <v/>
      </c>
      <c r="F3218" s="10" t="str">
        <f t="shared" si="102"/>
        <v/>
      </c>
    </row>
    <row r="3219" spans="1:6" x14ac:dyDescent="0.3">
      <c r="A3219" s="15" t="str">
        <f t="shared" si="103"/>
        <v>.</v>
      </c>
      <c r="E3219" s="13" t="str">
        <f>IFERROR(IF(AND(B3219&lt;&gt;"",C3219&lt;&gt;""),SUMIFS(Movimentos!$F$4:$F$9996,Movimentos!$D$4:$D$9996,B3219,Movimentos!$C$4:$C$9996,"Entrada")-SUMIFS(Movimentos!$F$4:$F$9996,Movimentos!$D$4:$D$9996,B3219,Movimentos!$C$4:$C$9996,"Saída"),""),"")</f>
        <v/>
      </c>
      <c r="F3219" s="10" t="str">
        <f t="shared" si="102"/>
        <v/>
      </c>
    </row>
    <row r="3220" spans="1:6" x14ac:dyDescent="0.3">
      <c r="A3220" s="15" t="str">
        <f t="shared" si="103"/>
        <v>.</v>
      </c>
      <c r="E3220" s="13" t="str">
        <f>IFERROR(IF(AND(B3220&lt;&gt;"",C3220&lt;&gt;""),SUMIFS(Movimentos!$F$4:$F$9996,Movimentos!$D$4:$D$9996,B3220,Movimentos!$C$4:$C$9996,"Entrada")-SUMIFS(Movimentos!$F$4:$F$9996,Movimentos!$D$4:$D$9996,B3220,Movimentos!$C$4:$C$9996,"Saída"),""),"")</f>
        <v/>
      </c>
      <c r="F3220" s="10" t="str">
        <f t="shared" si="102"/>
        <v/>
      </c>
    </row>
    <row r="3221" spans="1:6" x14ac:dyDescent="0.3">
      <c r="A3221" s="15" t="str">
        <f t="shared" si="103"/>
        <v>.</v>
      </c>
      <c r="E3221" s="13" t="str">
        <f>IFERROR(IF(AND(B3221&lt;&gt;"",C3221&lt;&gt;""),SUMIFS(Movimentos!$F$4:$F$9996,Movimentos!$D$4:$D$9996,B3221,Movimentos!$C$4:$C$9996,"Entrada")-SUMIFS(Movimentos!$F$4:$F$9996,Movimentos!$D$4:$D$9996,B3221,Movimentos!$C$4:$C$9996,"Saída"),""),"")</f>
        <v/>
      </c>
      <c r="F3221" s="10" t="str">
        <f t="shared" si="102"/>
        <v/>
      </c>
    </row>
    <row r="3222" spans="1:6" x14ac:dyDescent="0.3">
      <c r="A3222" s="15" t="str">
        <f t="shared" si="103"/>
        <v>.</v>
      </c>
      <c r="E3222" s="13" t="str">
        <f>IFERROR(IF(AND(B3222&lt;&gt;"",C3222&lt;&gt;""),SUMIFS(Movimentos!$F$4:$F$9996,Movimentos!$D$4:$D$9996,B3222,Movimentos!$C$4:$C$9996,"Entrada")-SUMIFS(Movimentos!$F$4:$F$9996,Movimentos!$D$4:$D$9996,B3222,Movimentos!$C$4:$C$9996,"Saída"),""),"")</f>
        <v/>
      </c>
      <c r="F3222" s="10" t="str">
        <f t="shared" si="102"/>
        <v/>
      </c>
    </row>
    <row r="3223" spans="1:6" x14ac:dyDescent="0.3">
      <c r="A3223" s="15" t="str">
        <f t="shared" si="103"/>
        <v>.</v>
      </c>
      <c r="E3223" s="13" t="str">
        <f>IFERROR(IF(AND(B3223&lt;&gt;"",C3223&lt;&gt;""),SUMIFS(Movimentos!$F$4:$F$9996,Movimentos!$D$4:$D$9996,B3223,Movimentos!$C$4:$C$9996,"Entrada")-SUMIFS(Movimentos!$F$4:$F$9996,Movimentos!$D$4:$D$9996,B3223,Movimentos!$C$4:$C$9996,"Saída"),""),"")</f>
        <v/>
      </c>
      <c r="F3223" s="10" t="str">
        <f t="shared" ref="F3223:F3286" si="104">IF(AND(B3223&lt;&gt;"",C3223&lt;&gt;""),IF(E3223=0,"Saldo zerado",IF(E3223&lt;D3223,"Saldo abaixo do mínimo","Saldo disponível")),"")</f>
        <v/>
      </c>
    </row>
    <row r="3224" spans="1:6" x14ac:dyDescent="0.3">
      <c r="A3224" s="15" t="str">
        <f t="shared" si="103"/>
        <v>.</v>
      </c>
      <c r="E3224" s="13" t="str">
        <f>IFERROR(IF(AND(B3224&lt;&gt;"",C3224&lt;&gt;""),SUMIFS(Movimentos!$F$4:$F$9996,Movimentos!$D$4:$D$9996,B3224,Movimentos!$C$4:$C$9996,"Entrada")-SUMIFS(Movimentos!$F$4:$F$9996,Movimentos!$D$4:$D$9996,B3224,Movimentos!$C$4:$C$9996,"Saída"),""),"")</f>
        <v/>
      </c>
      <c r="F3224" s="10" t="str">
        <f t="shared" si="104"/>
        <v/>
      </c>
    </row>
    <row r="3225" spans="1:6" x14ac:dyDescent="0.3">
      <c r="A3225" s="15" t="str">
        <f t="shared" si="103"/>
        <v>.</v>
      </c>
      <c r="E3225" s="13" t="str">
        <f>IFERROR(IF(AND(B3225&lt;&gt;"",C3225&lt;&gt;""),SUMIFS(Movimentos!$F$4:$F$9996,Movimentos!$D$4:$D$9996,B3225,Movimentos!$C$4:$C$9996,"Entrada")-SUMIFS(Movimentos!$F$4:$F$9996,Movimentos!$D$4:$D$9996,B3225,Movimentos!$C$4:$C$9996,"Saída"),""),"")</f>
        <v/>
      </c>
      <c r="F3225" s="10" t="str">
        <f t="shared" si="104"/>
        <v/>
      </c>
    </row>
    <row r="3226" spans="1:6" x14ac:dyDescent="0.3">
      <c r="A3226" s="15" t="str">
        <f t="shared" si="103"/>
        <v>.</v>
      </c>
      <c r="E3226" s="13" t="str">
        <f>IFERROR(IF(AND(B3226&lt;&gt;"",C3226&lt;&gt;""),SUMIFS(Movimentos!$F$4:$F$9996,Movimentos!$D$4:$D$9996,B3226,Movimentos!$C$4:$C$9996,"Entrada")-SUMIFS(Movimentos!$F$4:$F$9996,Movimentos!$D$4:$D$9996,B3226,Movimentos!$C$4:$C$9996,"Saída"),""),"")</f>
        <v/>
      </c>
      <c r="F3226" s="10" t="str">
        <f t="shared" si="104"/>
        <v/>
      </c>
    </row>
    <row r="3227" spans="1:6" x14ac:dyDescent="0.3">
      <c r="A3227" s="15" t="str">
        <f t="shared" si="103"/>
        <v>.</v>
      </c>
      <c r="E3227" s="13" t="str">
        <f>IFERROR(IF(AND(B3227&lt;&gt;"",C3227&lt;&gt;""),SUMIFS(Movimentos!$F$4:$F$9996,Movimentos!$D$4:$D$9996,B3227,Movimentos!$C$4:$C$9996,"Entrada")-SUMIFS(Movimentos!$F$4:$F$9996,Movimentos!$D$4:$D$9996,B3227,Movimentos!$C$4:$C$9996,"Saída"),""),"")</f>
        <v/>
      </c>
      <c r="F3227" s="10" t="str">
        <f t="shared" si="104"/>
        <v/>
      </c>
    </row>
    <row r="3228" spans="1:6" x14ac:dyDescent="0.3">
      <c r="A3228" s="15" t="str">
        <f t="shared" si="103"/>
        <v>.</v>
      </c>
      <c r="E3228" s="13" t="str">
        <f>IFERROR(IF(AND(B3228&lt;&gt;"",C3228&lt;&gt;""),SUMIFS(Movimentos!$F$4:$F$9996,Movimentos!$D$4:$D$9996,B3228,Movimentos!$C$4:$C$9996,"Entrada")-SUMIFS(Movimentos!$F$4:$F$9996,Movimentos!$D$4:$D$9996,B3228,Movimentos!$C$4:$C$9996,"Saída"),""),"")</f>
        <v/>
      </c>
      <c r="F3228" s="10" t="str">
        <f t="shared" si="104"/>
        <v/>
      </c>
    </row>
    <row r="3229" spans="1:6" x14ac:dyDescent="0.3">
      <c r="A3229" s="15" t="str">
        <f t="shared" si="103"/>
        <v>.</v>
      </c>
      <c r="E3229" s="13" t="str">
        <f>IFERROR(IF(AND(B3229&lt;&gt;"",C3229&lt;&gt;""),SUMIFS(Movimentos!$F$4:$F$9996,Movimentos!$D$4:$D$9996,B3229,Movimentos!$C$4:$C$9996,"Entrada")-SUMIFS(Movimentos!$F$4:$F$9996,Movimentos!$D$4:$D$9996,B3229,Movimentos!$C$4:$C$9996,"Saída"),""),"")</f>
        <v/>
      </c>
      <c r="F3229" s="10" t="str">
        <f t="shared" si="104"/>
        <v/>
      </c>
    </row>
    <row r="3230" spans="1:6" x14ac:dyDescent="0.3">
      <c r="A3230" s="15" t="str">
        <f t="shared" si="103"/>
        <v>.</v>
      </c>
      <c r="E3230" s="13" t="str">
        <f>IFERROR(IF(AND(B3230&lt;&gt;"",C3230&lt;&gt;""),SUMIFS(Movimentos!$F$4:$F$9996,Movimentos!$D$4:$D$9996,B3230,Movimentos!$C$4:$C$9996,"Entrada")-SUMIFS(Movimentos!$F$4:$F$9996,Movimentos!$D$4:$D$9996,B3230,Movimentos!$C$4:$C$9996,"Saída"),""),"")</f>
        <v/>
      </c>
      <c r="F3230" s="10" t="str">
        <f t="shared" si="104"/>
        <v/>
      </c>
    </row>
    <row r="3231" spans="1:6" x14ac:dyDescent="0.3">
      <c r="A3231" s="15" t="str">
        <f t="shared" si="103"/>
        <v>.</v>
      </c>
      <c r="E3231" s="13" t="str">
        <f>IFERROR(IF(AND(B3231&lt;&gt;"",C3231&lt;&gt;""),SUMIFS(Movimentos!$F$4:$F$9996,Movimentos!$D$4:$D$9996,B3231,Movimentos!$C$4:$C$9996,"Entrada")-SUMIFS(Movimentos!$F$4:$F$9996,Movimentos!$D$4:$D$9996,B3231,Movimentos!$C$4:$C$9996,"Saída"),""),"")</f>
        <v/>
      </c>
      <c r="F3231" s="10" t="str">
        <f t="shared" si="104"/>
        <v/>
      </c>
    </row>
    <row r="3232" spans="1:6" x14ac:dyDescent="0.3">
      <c r="A3232" s="15" t="str">
        <f t="shared" si="103"/>
        <v>.</v>
      </c>
      <c r="E3232" s="13" t="str">
        <f>IFERROR(IF(AND(B3232&lt;&gt;"",C3232&lt;&gt;""),SUMIFS(Movimentos!$F$4:$F$9996,Movimentos!$D$4:$D$9996,B3232,Movimentos!$C$4:$C$9996,"Entrada")-SUMIFS(Movimentos!$F$4:$F$9996,Movimentos!$D$4:$D$9996,B3232,Movimentos!$C$4:$C$9996,"Saída"),""),"")</f>
        <v/>
      </c>
      <c r="F3232" s="10" t="str">
        <f t="shared" si="104"/>
        <v/>
      </c>
    </row>
    <row r="3233" spans="1:6" x14ac:dyDescent="0.3">
      <c r="A3233" s="15" t="str">
        <f t="shared" si="103"/>
        <v>.</v>
      </c>
      <c r="E3233" s="13" t="str">
        <f>IFERROR(IF(AND(B3233&lt;&gt;"",C3233&lt;&gt;""),SUMIFS(Movimentos!$F$4:$F$9996,Movimentos!$D$4:$D$9996,B3233,Movimentos!$C$4:$C$9996,"Entrada")-SUMIFS(Movimentos!$F$4:$F$9996,Movimentos!$D$4:$D$9996,B3233,Movimentos!$C$4:$C$9996,"Saída"),""),"")</f>
        <v/>
      </c>
      <c r="F3233" s="10" t="str">
        <f t="shared" si="104"/>
        <v/>
      </c>
    </row>
    <row r="3234" spans="1:6" x14ac:dyDescent="0.3">
      <c r="A3234" s="15" t="str">
        <f t="shared" si="103"/>
        <v>.</v>
      </c>
      <c r="E3234" s="13" t="str">
        <f>IFERROR(IF(AND(B3234&lt;&gt;"",C3234&lt;&gt;""),SUMIFS(Movimentos!$F$4:$F$9996,Movimentos!$D$4:$D$9996,B3234,Movimentos!$C$4:$C$9996,"Entrada")-SUMIFS(Movimentos!$F$4:$F$9996,Movimentos!$D$4:$D$9996,B3234,Movimentos!$C$4:$C$9996,"Saída"),""),"")</f>
        <v/>
      </c>
      <c r="F3234" s="10" t="str">
        <f t="shared" si="104"/>
        <v/>
      </c>
    </row>
    <row r="3235" spans="1:6" x14ac:dyDescent="0.3">
      <c r="A3235" s="15" t="str">
        <f t="shared" si="103"/>
        <v>.</v>
      </c>
      <c r="E3235" s="13" t="str">
        <f>IFERROR(IF(AND(B3235&lt;&gt;"",C3235&lt;&gt;""),SUMIFS(Movimentos!$F$4:$F$9996,Movimentos!$D$4:$D$9996,B3235,Movimentos!$C$4:$C$9996,"Entrada")-SUMIFS(Movimentos!$F$4:$F$9996,Movimentos!$D$4:$D$9996,B3235,Movimentos!$C$4:$C$9996,"Saída"),""),"")</f>
        <v/>
      </c>
      <c r="F3235" s="10" t="str">
        <f t="shared" si="104"/>
        <v/>
      </c>
    </row>
    <row r="3236" spans="1:6" x14ac:dyDescent="0.3">
      <c r="A3236" s="15" t="str">
        <f t="shared" si="103"/>
        <v>.</v>
      </c>
      <c r="E3236" s="13" t="str">
        <f>IFERROR(IF(AND(B3236&lt;&gt;"",C3236&lt;&gt;""),SUMIFS(Movimentos!$F$4:$F$9996,Movimentos!$D$4:$D$9996,B3236,Movimentos!$C$4:$C$9996,"Entrada")-SUMIFS(Movimentos!$F$4:$F$9996,Movimentos!$D$4:$D$9996,B3236,Movimentos!$C$4:$C$9996,"Saída"),""),"")</f>
        <v/>
      </c>
      <c r="F3236" s="10" t="str">
        <f t="shared" si="104"/>
        <v/>
      </c>
    </row>
    <row r="3237" spans="1:6" x14ac:dyDescent="0.3">
      <c r="A3237" s="15" t="str">
        <f t="shared" si="103"/>
        <v>.</v>
      </c>
      <c r="E3237" s="13" t="str">
        <f>IFERROR(IF(AND(B3237&lt;&gt;"",C3237&lt;&gt;""),SUMIFS(Movimentos!$F$4:$F$9996,Movimentos!$D$4:$D$9996,B3237,Movimentos!$C$4:$C$9996,"Entrada")-SUMIFS(Movimentos!$F$4:$F$9996,Movimentos!$D$4:$D$9996,B3237,Movimentos!$C$4:$C$9996,"Saída"),""),"")</f>
        <v/>
      </c>
      <c r="F3237" s="10" t="str">
        <f t="shared" si="104"/>
        <v/>
      </c>
    </row>
    <row r="3238" spans="1:6" x14ac:dyDescent="0.3">
      <c r="A3238" s="15" t="str">
        <f t="shared" si="103"/>
        <v>.</v>
      </c>
      <c r="E3238" s="13" t="str">
        <f>IFERROR(IF(AND(B3238&lt;&gt;"",C3238&lt;&gt;""),SUMIFS(Movimentos!$F$4:$F$9996,Movimentos!$D$4:$D$9996,B3238,Movimentos!$C$4:$C$9996,"Entrada")-SUMIFS(Movimentos!$F$4:$F$9996,Movimentos!$D$4:$D$9996,B3238,Movimentos!$C$4:$C$9996,"Saída"),""),"")</f>
        <v/>
      </c>
      <c r="F3238" s="10" t="str">
        <f t="shared" si="104"/>
        <v/>
      </c>
    </row>
    <row r="3239" spans="1:6" x14ac:dyDescent="0.3">
      <c r="A3239" s="15" t="str">
        <f t="shared" si="103"/>
        <v>.</v>
      </c>
      <c r="E3239" s="13" t="str">
        <f>IFERROR(IF(AND(B3239&lt;&gt;"",C3239&lt;&gt;""),SUMIFS(Movimentos!$F$4:$F$9996,Movimentos!$D$4:$D$9996,B3239,Movimentos!$C$4:$C$9996,"Entrada")-SUMIFS(Movimentos!$F$4:$F$9996,Movimentos!$D$4:$D$9996,B3239,Movimentos!$C$4:$C$9996,"Saída"),""),"")</f>
        <v/>
      </c>
      <c r="F3239" s="10" t="str">
        <f t="shared" si="104"/>
        <v/>
      </c>
    </row>
    <row r="3240" spans="1:6" x14ac:dyDescent="0.3">
      <c r="A3240" s="15" t="str">
        <f t="shared" si="103"/>
        <v>.</v>
      </c>
      <c r="E3240" s="13" t="str">
        <f>IFERROR(IF(AND(B3240&lt;&gt;"",C3240&lt;&gt;""),SUMIFS(Movimentos!$F$4:$F$9996,Movimentos!$D$4:$D$9996,B3240,Movimentos!$C$4:$C$9996,"Entrada")-SUMIFS(Movimentos!$F$4:$F$9996,Movimentos!$D$4:$D$9996,B3240,Movimentos!$C$4:$C$9996,"Saída"),""),"")</f>
        <v/>
      </c>
      <c r="F3240" s="10" t="str">
        <f t="shared" si="104"/>
        <v/>
      </c>
    </row>
    <row r="3241" spans="1:6" x14ac:dyDescent="0.3">
      <c r="A3241" s="15" t="str">
        <f t="shared" si="103"/>
        <v>.</v>
      </c>
      <c r="E3241" s="13" t="str">
        <f>IFERROR(IF(AND(B3241&lt;&gt;"",C3241&lt;&gt;""),SUMIFS(Movimentos!$F$4:$F$9996,Movimentos!$D$4:$D$9996,B3241,Movimentos!$C$4:$C$9996,"Entrada")-SUMIFS(Movimentos!$F$4:$F$9996,Movimentos!$D$4:$D$9996,B3241,Movimentos!$C$4:$C$9996,"Saída"),""),"")</f>
        <v/>
      </c>
      <c r="F3241" s="10" t="str">
        <f t="shared" si="104"/>
        <v/>
      </c>
    </row>
    <row r="3242" spans="1:6" x14ac:dyDescent="0.3">
      <c r="A3242" s="15" t="str">
        <f t="shared" si="103"/>
        <v>.</v>
      </c>
      <c r="E3242" s="13" t="str">
        <f>IFERROR(IF(AND(B3242&lt;&gt;"",C3242&lt;&gt;""),SUMIFS(Movimentos!$F$4:$F$9996,Movimentos!$D$4:$D$9996,B3242,Movimentos!$C$4:$C$9996,"Entrada")-SUMIFS(Movimentos!$F$4:$F$9996,Movimentos!$D$4:$D$9996,B3242,Movimentos!$C$4:$C$9996,"Saída"),""),"")</f>
        <v/>
      </c>
      <c r="F3242" s="10" t="str">
        <f t="shared" si="104"/>
        <v/>
      </c>
    </row>
    <row r="3243" spans="1:6" x14ac:dyDescent="0.3">
      <c r="A3243" s="15" t="str">
        <f t="shared" si="103"/>
        <v>.</v>
      </c>
      <c r="E3243" s="13" t="str">
        <f>IFERROR(IF(AND(B3243&lt;&gt;"",C3243&lt;&gt;""),SUMIFS(Movimentos!$F$4:$F$9996,Movimentos!$D$4:$D$9996,B3243,Movimentos!$C$4:$C$9996,"Entrada")-SUMIFS(Movimentos!$F$4:$F$9996,Movimentos!$D$4:$D$9996,B3243,Movimentos!$C$4:$C$9996,"Saída"),""),"")</f>
        <v/>
      </c>
      <c r="F3243" s="10" t="str">
        <f t="shared" si="104"/>
        <v/>
      </c>
    </row>
    <row r="3244" spans="1:6" x14ac:dyDescent="0.3">
      <c r="A3244" s="15" t="str">
        <f t="shared" si="103"/>
        <v>.</v>
      </c>
      <c r="E3244" s="13" t="str">
        <f>IFERROR(IF(AND(B3244&lt;&gt;"",C3244&lt;&gt;""),SUMIFS(Movimentos!$F$4:$F$9996,Movimentos!$D$4:$D$9996,B3244,Movimentos!$C$4:$C$9996,"Entrada")-SUMIFS(Movimentos!$F$4:$F$9996,Movimentos!$D$4:$D$9996,B3244,Movimentos!$C$4:$C$9996,"Saída"),""),"")</f>
        <v/>
      </c>
      <c r="F3244" s="10" t="str">
        <f t="shared" si="104"/>
        <v/>
      </c>
    </row>
    <row r="3245" spans="1:6" x14ac:dyDescent="0.3">
      <c r="A3245" s="15" t="str">
        <f t="shared" si="103"/>
        <v>.</v>
      </c>
      <c r="E3245" s="13" t="str">
        <f>IFERROR(IF(AND(B3245&lt;&gt;"",C3245&lt;&gt;""),SUMIFS(Movimentos!$F$4:$F$9996,Movimentos!$D$4:$D$9996,B3245,Movimentos!$C$4:$C$9996,"Entrada")-SUMIFS(Movimentos!$F$4:$F$9996,Movimentos!$D$4:$D$9996,B3245,Movimentos!$C$4:$C$9996,"Saída"),""),"")</f>
        <v/>
      </c>
      <c r="F3245" s="10" t="str">
        <f t="shared" si="104"/>
        <v/>
      </c>
    </row>
    <row r="3246" spans="1:6" x14ac:dyDescent="0.3">
      <c r="A3246" s="15" t="str">
        <f t="shared" si="103"/>
        <v>.</v>
      </c>
      <c r="E3246" s="13" t="str">
        <f>IFERROR(IF(AND(B3246&lt;&gt;"",C3246&lt;&gt;""),SUMIFS(Movimentos!$F$4:$F$9996,Movimentos!$D$4:$D$9996,B3246,Movimentos!$C$4:$C$9996,"Entrada")-SUMIFS(Movimentos!$F$4:$F$9996,Movimentos!$D$4:$D$9996,B3246,Movimentos!$C$4:$C$9996,"Saída"),""),"")</f>
        <v/>
      </c>
      <c r="F3246" s="10" t="str">
        <f t="shared" si="104"/>
        <v/>
      </c>
    </row>
    <row r="3247" spans="1:6" x14ac:dyDescent="0.3">
      <c r="A3247" s="15" t="str">
        <f t="shared" si="103"/>
        <v>.</v>
      </c>
      <c r="E3247" s="13" t="str">
        <f>IFERROR(IF(AND(B3247&lt;&gt;"",C3247&lt;&gt;""),SUMIFS(Movimentos!$F$4:$F$9996,Movimentos!$D$4:$D$9996,B3247,Movimentos!$C$4:$C$9996,"Entrada")-SUMIFS(Movimentos!$F$4:$F$9996,Movimentos!$D$4:$D$9996,B3247,Movimentos!$C$4:$C$9996,"Saída"),""),"")</f>
        <v/>
      </c>
      <c r="F3247" s="10" t="str">
        <f t="shared" si="104"/>
        <v/>
      </c>
    </row>
    <row r="3248" spans="1:6" x14ac:dyDescent="0.3">
      <c r="A3248" s="15" t="str">
        <f t="shared" si="103"/>
        <v>.</v>
      </c>
      <c r="E3248" s="13" t="str">
        <f>IFERROR(IF(AND(B3248&lt;&gt;"",C3248&lt;&gt;""),SUMIFS(Movimentos!$F$4:$F$9996,Movimentos!$D$4:$D$9996,B3248,Movimentos!$C$4:$C$9996,"Entrada")-SUMIFS(Movimentos!$F$4:$F$9996,Movimentos!$D$4:$D$9996,B3248,Movimentos!$C$4:$C$9996,"Saída"),""),"")</f>
        <v/>
      </c>
      <c r="F3248" s="10" t="str">
        <f t="shared" si="104"/>
        <v/>
      </c>
    </row>
    <row r="3249" spans="1:6" x14ac:dyDescent="0.3">
      <c r="A3249" s="15" t="str">
        <f t="shared" si="103"/>
        <v>.</v>
      </c>
      <c r="E3249" s="13" t="str">
        <f>IFERROR(IF(AND(B3249&lt;&gt;"",C3249&lt;&gt;""),SUMIFS(Movimentos!$F$4:$F$9996,Movimentos!$D$4:$D$9996,B3249,Movimentos!$C$4:$C$9996,"Entrada")-SUMIFS(Movimentos!$F$4:$F$9996,Movimentos!$D$4:$D$9996,B3249,Movimentos!$C$4:$C$9996,"Saída"),""),"")</f>
        <v/>
      </c>
      <c r="F3249" s="10" t="str">
        <f t="shared" si="104"/>
        <v/>
      </c>
    </row>
    <row r="3250" spans="1:6" x14ac:dyDescent="0.3">
      <c r="A3250" s="15" t="str">
        <f t="shared" si="103"/>
        <v>.</v>
      </c>
      <c r="E3250" s="13" t="str">
        <f>IFERROR(IF(AND(B3250&lt;&gt;"",C3250&lt;&gt;""),SUMIFS(Movimentos!$F$4:$F$9996,Movimentos!$D$4:$D$9996,B3250,Movimentos!$C$4:$C$9996,"Entrada")-SUMIFS(Movimentos!$F$4:$F$9996,Movimentos!$D$4:$D$9996,B3250,Movimentos!$C$4:$C$9996,"Saída"),""),"")</f>
        <v/>
      </c>
      <c r="F3250" s="10" t="str">
        <f t="shared" si="104"/>
        <v/>
      </c>
    </row>
    <row r="3251" spans="1:6" x14ac:dyDescent="0.3">
      <c r="A3251" s="15" t="str">
        <f t="shared" si="103"/>
        <v>.</v>
      </c>
      <c r="E3251" s="13" t="str">
        <f>IFERROR(IF(AND(B3251&lt;&gt;"",C3251&lt;&gt;""),SUMIFS(Movimentos!$F$4:$F$9996,Movimentos!$D$4:$D$9996,B3251,Movimentos!$C$4:$C$9996,"Entrada")-SUMIFS(Movimentos!$F$4:$F$9996,Movimentos!$D$4:$D$9996,B3251,Movimentos!$C$4:$C$9996,"Saída"),""),"")</f>
        <v/>
      </c>
      <c r="F3251" s="10" t="str">
        <f t="shared" si="104"/>
        <v/>
      </c>
    </row>
    <row r="3252" spans="1:6" x14ac:dyDescent="0.3">
      <c r="A3252" s="15" t="str">
        <f t="shared" si="103"/>
        <v>.</v>
      </c>
      <c r="E3252" s="13" t="str">
        <f>IFERROR(IF(AND(B3252&lt;&gt;"",C3252&lt;&gt;""),SUMIFS(Movimentos!$F$4:$F$9996,Movimentos!$D$4:$D$9996,B3252,Movimentos!$C$4:$C$9996,"Entrada")-SUMIFS(Movimentos!$F$4:$F$9996,Movimentos!$D$4:$D$9996,B3252,Movimentos!$C$4:$C$9996,"Saída"),""),"")</f>
        <v/>
      </c>
      <c r="F3252" s="10" t="str">
        <f t="shared" si="104"/>
        <v/>
      </c>
    </row>
    <row r="3253" spans="1:6" x14ac:dyDescent="0.3">
      <c r="A3253" s="15" t="str">
        <f t="shared" si="103"/>
        <v>.</v>
      </c>
      <c r="E3253" s="13" t="str">
        <f>IFERROR(IF(AND(B3253&lt;&gt;"",C3253&lt;&gt;""),SUMIFS(Movimentos!$F$4:$F$9996,Movimentos!$D$4:$D$9996,B3253,Movimentos!$C$4:$C$9996,"Entrada")-SUMIFS(Movimentos!$F$4:$F$9996,Movimentos!$D$4:$D$9996,B3253,Movimentos!$C$4:$C$9996,"Saída"),""),"")</f>
        <v/>
      </c>
      <c r="F3253" s="10" t="str">
        <f t="shared" si="104"/>
        <v/>
      </c>
    </row>
    <row r="3254" spans="1:6" x14ac:dyDescent="0.3">
      <c r="A3254" s="15" t="str">
        <f t="shared" si="103"/>
        <v>.</v>
      </c>
      <c r="E3254" s="13" t="str">
        <f>IFERROR(IF(AND(B3254&lt;&gt;"",C3254&lt;&gt;""),SUMIFS(Movimentos!$F$4:$F$9996,Movimentos!$D$4:$D$9996,B3254,Movimentos!$C$4:$C$9996,"Entrada")-SUMIFS(Movimentos!$F$4:$F$9996,Movimentos!$D$4:$D$9996,B3254,Movimentos!$C$4:$C$9996,"Saída"),""),"")</f>
        <v/>
      </c>
      <c r="F3254" s="10" t="str">
        <f t="shared" si="104"/>
        <v/>
      </c>
    </row>
    <row r="3255" spans="1:6" x14ac:dyDescent="0.3">
      <c r="A3255" s="15" t="str">
        <f t="shared" si="103"/>
        <v>.</v>
      </c>
      <c r="E3255" s="13" t="str">
        <f>IFERROR(IF(AND(B3255&lt;&gt;"",C3255&lt;&gt;""),SUMIFS(Movimentos!$F$4:$F$9996,Movimentos!$D$4:$D$9996,B3255,Movimentos!$C$4:$C$9996,"Entrada")-SUMIFS(Movimentos!$F$4:$F$9996,Movimentos!$D$4:$D$9996,B3255,Movimentos!$C$4:$C$9996,"Saída"),""),"")</f>
        <v/>
      </c>
      <c r="F3255" s="10" t="str">
        <f t="shared" si="104"/>
        <v/>
      </c>
    </row>
    <row r="3256" spans="1:6" x14ac:dyDescent="0.3">
      <c r="A3256" s="15" t="str">
        <f t="shared" si="103"/>
        <v>.</v>
      </c>
      <c r="E3256" s="13" t="str">
        <f>IFERROR(IF(AND(B3256&lt;&gt;"",C3256&lt;&gt;""),SUMIFS(Movimentos!$F$4:$F$9996,Movimentos!$D$4:$D$9996,B3256,Movimentos!$C$4:$C$9996,"Entrada")-SUMIFS(Movimentos!$F$4:$F$9996,Movimentos!$D$4:$D$9996,B3256,Movimentos!$C$4:$C$9996,"Saída"),""),"")</f>
        <v/>
      </c>
      <c r="F3256" s="10" t="str">
        <f t="shared" si="104"/>
        <v/>
      </c>
    </row>
    <row r="3257" spans="1:6" x14ac:dyDescent="0.3">
      <c r="A3257" s="15" t="str">
        <f t="shared" si="103"/>
        <v>.</v>
      </c>
      <c r="E3257" s="13" t="str">
        <f>IFERROR(IF(AND(B3257&lt;&gt;"",C3257&lt;&gt;""),SUMIFS(Movimentos!$F$4:$F$9996,Movimentos!$D$4:$D$9996,B3257,Movimentos!$C$4:$C$9996,"Entrada")-SUMIFS(Movimentos!$F$4:$F$9996,Movimentos!$D$4:$D$9996,B3257,Movimentos!$C$4:$C$9996,"Saída"),""),"")</f>
        <v/>
      </c>
      <c r="F3257" s="10" t="str">
        <f t="shared" si="104"/>
        <v/>
      </c>
    </row>
    <row r="3258" spans="1:6" x14ac:dyDescent="0.3">
      <c r="A3258" s="15" t="str">
        <f t="shared" si="103"/>
        <v>.</v>
      </c>
      <c r="E3258" s="13" t="str">
        <f>IFERROR(IF(AND(B3258&lt;&gt;"",C3258&lt;&gt;""),SUMIFS(Movimentos!$F$4:$F$9996,Movimentos!$D$4:$D$9996,B3258,Movimentos!$C$4:$C$9996,"Entrada")-SUMIFS(Movimentos!$F$4:$F$9996,Movimentos!$D$4:$D$9996,B3258,Movimentos!$C$4:$C$9996,"Saída"),""),"")</f>
        <v/>
      </c>
      <c r="F3258" s="10" t="str">
        <f t="shared" si="104"/>
        <v/>
      </c>
    </row>
    <row r="3259" spans="1:6" x14ac:dyDescent="0.3">
      <c r="A3259" s="15" t="str">
        <f t="shared" si="103"/>
        <v>.</v>
      </c>
      <c r="E3259" s="13" t="str">
        <f>IFERROR(IF(AND(B3259&lt;&gt;"",C3259&lt;&gt;""),SUMIFS(Movimentos!$F$4:$F$9996,Movimentos!$D$4:$D$9996,B3259,Movimentos!$C$4:$C$9996,"Entrada")-SUMIFS(Movimentos!$F$4:$F$9996,Movimentos!$D$4:$D$9996,B3259,Movimentos!$C$4:$C$9996,"Saída"),""),"")</f>
        <v/>
      </c>
      <c r="F3259" s="10" t="str">
        <f t="shared" si="104"/>
        <v/>
      </c>
    </row>
    <row r="3260" spans="1:6" x14ac:dyDescent="0.3">
      <c r="A3260" s="15" t="str">
        <f t="shared" si="103"/>
        <v>.</v>
      </c>
      <c r="E3260" s="13" t="str">
        <f>IFERROR(IF(AND(B3260&lt;&gt;"",C3260&lt;&gt;""),SUMIFS(Movimentos!$F$4:$F$9996,Movimentos!$D$4:$D$9996,B3260,Movimentos!$C$4:$C$9996,"Entrada")-SUMIFS(Movimentos!$F$4:$F$9996,Movimentos!$D$4:$D$9996,B3260,Movimentos!$C$4:$C$9996,"Saída"),""),"")</f>
        <v/>
      </c>
      <c r="F3260" s="10" t="str">
        <f t="shared" si="104"/>
        <v/>
      </c>
    </row>
    <row r="3261" spans="1:6" x14ac:dyDescent="0.3">
      <c r="A3261" s="15" t="str">
        <f t="shared" si="103"/>
        <v>.</v>
      </c>
      <c r="E3261" s="13" t="str">
        <f>IFERROR(IF(AND(B3261&lt;&gt;"",C3261&lt;&gt;""),SUMIFS(Movimentos!$F$4:$F$9996,Movimentos!$D$4:$D$9996,B3261,Movimentos!$C$4:$C$9996,"Entrada")-SUMIFS(Movimentos!$F$4:$F$9996,Movimentos!$D$4:$D$9996,B3261,Movimentos!$C$4:$C$9996,"Saída"),""),"")</f>
        <v/>
      </c>
      <c r="F3261" s="10" t="str">
        <f t="shared" si="104"/>
        <v/>
      </c>
    </row>
    <row r="3262" spans="1:6" x14ac:dyDescent="0.3">
      <c r="A3262" s="15" t="str">
        <f t="shared" si="103"/>
        <v>.</v>
      </c>
      <c r="E3262" s="13" t="str">
        <f>IFERROR(IF(AND(B3262&lt;&gt;"",C3262&lt;&gt;""),SUMIFS(Movimentos!$F$4:$F$9996,Movimentos!$D$4:$D$9996,B3262,Movimentos!$C$4:$C$9996,"Entrada")-SUMIFS(Movimentos!$F$4:$F$9996,Movimentos!$D$4:$D$9996,B3262,Movimentos!$C$4:$C$9996,"Saída"),""),"")</f>
        <v/>
      </c>
      <c r="F3262" s="10" t="str">
        <f t="shared" si="104"/>
        <v/>
      </c>
    </row>
    <row r="3263" spans="1:6" x14ac:dyDescent="0.3">
      <c r="A3263" s="15" t="str">
        <f t="shared" si="103"/>
        <v>.</v>
      </c>
      <c r="E3263" s="13" t="str">
        <f>IFERROR(IF(AND(B3263&lt;&gt;"",C3263&lt;&gt;""),SUMIFS(Movimentos!$F$4:$F$9996,Movimentos!$D$4:$D$9996,B3263,Movimentos!$C$4:$C$9996,"Entrada")-SUMIFS(Movimentos!$F$4:$F$9996,Movimentos!$D$4:$D$9996,B3263,Movimentos!$C$4:$C$9996,"Saída"),""),"")</f>
        <v/>
      </c>
      <c r="F3263" s="10" t="str">
        <f t="shared" si="104"/>
        <v/>
      </c>
    </row>
    <row r="3264" spans="1:6" x14ac:dyDescent="0.3">
      <c r="A3264" s="15" t="str">
        <f t="shared" ref="A3264:A3327" si="105">IF(F3264="Saldo zerado",0,IF(F3264="Saldo abaixo do mínimo",1,IF(F3264="Saldo disponível",2,".")))</f>
        <v>.</v>
      </c>
      <c r="E3264" s="13" t="str">
        <f>IFERROR(IF(AND(B3264&lt;&gt;"",C3264&lt;&gt;""),SUMIFS(Movimentos!$F$4:$F$9996,Movimentos!$D$4:$D$9996,B3264,Movimentos!$C$4:$C$9996,"Entrada")-SUMIFS(Movimentos!$F$4:$F$9996,Movimentos!$D$4:$D$9996,B3264,Movimentos!$C$4:$C$9996,"Saída"),""),"")</f>
        <v/>
      </c>
      <c r="F3264" s="10" t="str">
        <f t="shared" si="104"/>
        <v/>
      </c>
    </row>
    <row r="3265" spans="1:6" x14ac:dyDescent="0.3">
      <c r="A3265" s="15" t="str">
        <f t="shared" si="105"/>
        <v>.</v>
      </c>
      <c r="E3265" s="13" t="str">
        <f>IFERROR(IF(AND(B3265&lt;&gt;"",C3265&lt;&gt;""),SUMIFS(Movimentos!$F$4:$F$9996,Movimentos!$D$4:$D$9996,B3265,Movimentos!$C$4:$C$9996,"Entrada")-SUMIFS(Movimentos!$F$4:$F$9996,Movimentos!$D$4:$D$9996,B3265,Movimentos!$C$4:$C$9996,"Saída"),""),"")</f>
        <v/>
      </c>
      <c r="F3265" s="10" t="str">
        <f t="shared" si="104"/>
        <v/>
      </c>
    </row>
    <row r="3266" spans="1:6" x14ac:dyDescent="0.3">
      <c r="A3266" s="15" t="str">
        <f t="shared" si="105"/>
        <v>.</v>
      </c>
      <c r="E3266" s="13" t="str">
        <f>IFERROR(IF(AND(B3266&lt;&gt;"",C3266&lt;&gt;""),SUMIFS(Movimentos!$F$4:$F$9996,Movimentos!$D$4:$D$9996,B3266,Movimentos!$C$4:$C$9996,"Entrada")-SUMIFS(Movimentos!$F$4:$F$9996,Movimentos!$D$4:$D$9996,B3266,Movimentos!$C$4:$C$9996,"Saída"),""),"")</f>
        <v/>
      </c>
      <c r="F3266" s="10" t="str">
        <f t="shared" si="104"/>
        <v/>
      </c>
    </row>
    <row r="3267" spans="1:6" x14ac:dyDescent="0.3">
      <c r="A3267" s="15" t="str">
        <f t="shared" si="105"/>
        <v>.</v>
      </c>
      <c r="E3267" s="13" t="str">
        <f>IFERROR(IF(AND(B3267&lt;&gt;"",C3267&lt;&gt;""),SUMIFS(Movimentos!$F$4:$F$9996,Movimentos!$D$4:$D$9996,B3267,Movimentos!$C$4:$C$9996,"Entrada")-SUMIFS(Movimentos!$F$4:$F$9996,Movimentos!$D$4:$D$9996,B3267,Movimentos!$C$4:$C$9996,"Saída"),""),"")</f>
        <v/>
      </c>
      <c r="F3267" s="10" t="str">
        <f t="shared" si="104"/>
        <v/>
      </c>
    </row>
    <row r="3268" spans="1:6" x14ac:dyDescent="0.3">
      <c r="A3268" s="15" t="str">
        <f t="shared" si="105"/>
        <v>.</v>
      </c>
      <c r="E3268" s="13" t="str">
        <f>IFERROR(IF(AND(B3268&lt;&gt;"",C3268&lt;&gt;""),SUMIFS(Movimentos!$F$4:$F$9996,Movimentos!$D$4:$D$9996,B3268,Movimentos!$C$4:$C$9996,"Entrada")-SUMIFS(Movimentos!$F$4:$F$9996,Movimentos!$D$4:$D$9996,B3268,Movimentos!$C$4:$C$9996,"Saída"),""),"")</f>
        <v/>
      </c>
      <c r="F3268" s="10" t="str">
        <f t="shared" si="104"/>
        <v/>
      </c>
    </row>
    <row r="3269" spans="1:6" x14ac:dyDescent="0.3">
      <c r="A3269" s="15" t="str">
        <f t="shared" si="105"/>
        <v>.</v>
      </c>
      <c r="E3269" s="13" t="str">
        <f>IFERROR(IF(AND(B3269&lt;&gt;"",C3269&lt;&gt;""),SUMIFS(Movimentos!$F$4:$F$9996,Movimentos!$D$4:$D$9996,B3269,Movimentos!$C$4:$C$9996,"Entrada")-SUMIFS(Movimentos!$F$4:$F$9996,Movimentos!$D$4:$D$9996,B3269,Movimentos!$C$4:$C$9996,"Saída"),""),"")</f>
        <v/>
      </c>
      <c r="F3269" s="10" t="str">
        <f t="shared" si="104"/>
        <v/>
      </c>
    </row>
    <row r="3270" spans="1:6" x14ac:dyDescent="0.3">
      <c r="A3270" s="15" t="str">
        <f t="shared" si="105"/>
        <v>.</v>
      </c>
      <c r="E3270" s="13" t="str">
        <f>IFERROR(IF(AND(B3270&lt;&gt;"",C3270&lt;&gt;""),SUMIFS(Movimentos!$F$4:$F$9996,Movimentos!$D$4:$D$9996,B3270,Movimentos!$C$4:$C$9996,"Entrada")-SUMIFS(Movimentos!$F$4:$F$9996,Movimentos!$D$4:$D$9996,B3270,Movimentos!$C$4:$C$9996,"Saída"),""),"")</f>
        <v/>
      </c>
      <c r="F3270" s="10" t="str">
        <f t="shared" si="104"/>
        <v/>
      </c>
    </row>
    <row r="3271" spans="1:6" x14ac:dyDescent="0.3">
      <c r="A3271" s="15" t="str">
        <f t="shared" si="105"/>
        <v>.</v>
      </c>
      <c r="E3271" s="13" t="str">
        <f>IFERROR(IF(AND(B3271&lt;&gt;"",C3271&lt;&gt;""),SUMIFS(Movimentos!$F$4:$F$9996,Movimentos!$D$4:$D$9996,B3271,Movimentos!$C$4:$C$9996,"Entrada")-SUMIFS(Movimentos!$F$4:$F$9996,Movimentos!$D$4:$D$9996,B3271,Movimentos!$C$4:$C$9996,"Saída"),""),"")</f>
        <v/>
      </c>
      <c r="F3271" s="10" t="str">
        <f t="shared" si="104"/>
        <v/>
      </c>
    </row>
    <row r="3272" spans="1:6" x14ac:dyDescent="0.3">
      <c r="A3272" s="15" t="str">
        <f t="shared" si="105"/>
        <v>.</v>
      </c>
      <c r="E3272" s="13" t="str">
        <f>IFERROR(IF(AND(B3272&lt;&gt;"",C3272&lt;&gt;""),SUMIFS(Movimentos!$F$4:$F$9996,Movimentos!$D$4:$D$9996,B3272,Movimentos!$C$4:$C$9996,"Entrada")-SUMIFS(Movimentos!$F$4:$F$9996,Movimentos!$D$4:$D$9996,B3272,Movimentos!$C$4:$C$9996,"Saída"),""),"")</f>
        <v/>
      </c>
      <c r="F3272" s="10" t="str">
        <f t="shared" si="104"/>
        <v/>
      </c>
    </row>
    <row r="3273" spans="1:6" x14ac:dyDescent="0.3">
      <c r="A3273" s="15" t="str">
        <f t="shared" si="105"/>
        <v>.</v>
      </c>
      <c r="E3273" s="13" t="str">
        <f>IFERROR(IF(AND(B3273&lt;&gt;"",C3273&lt;&gt;""),SUMIFS(Movimentos!$F$4:$F$9996,Movimentos!$D$4:$D$9996,B3273,Movimentos!$C$4:$C$9996,"Entrada")-SUMIFS(Movimentos!$F$4:$F$9996,Movimentos!$D$4:$D$9996,B3273,Movimentos!$C$4:$C$9996,"Saída"),""),"")</f>
        <v/>
      </c>
      <c r="F3273" s="10" t="str">
        <f t="shared" si="104"/>
        <v/>
      </c>
    </row>
    <row r="3274" spans="1:6" x14ac:dyDescent="0.3">
      <c r="A3274" s="15" t="str">
        <f t="shared" si="105"/>
        <v>.</v>
      </c>
      <c r="E3274" s="13" t="str">
        <f>IFERROR(IF(AND(B3274&lt;&gt;"",C3274&lt;&gt;""),SUMIFS(Movimentos!$F$4:$F$9996,Movimentos!$D$4:$D$9996,B3274,Movimentos!$C$4:$C$9996,"Entrada")-SUMIFS(Movimentos!$F$4:$F$9996,Movimentos!$D$4:$D$9996,B3274,Movimentos!$C$4:$C$9996,"Saída"),""),"")</f>
        <v/>
      </c>
      <c r="F3274" s="10" t="str">
        <f t="shared" si="104"/>
        <v/>
      </c>
    </row>
    <row r="3275" spans="1:6" x14ac:dyDescent="0.3">
      <c r="A3275" s="15" t="str">
        <f t="shared" si="105"/>
        <v>.</v>
      </c>
      <c r="E3275" s="13" t="str">
        <f>IFERROR(IF(AND(B3275&lt;&gt;"",C3275&lt;&gt;""),SUMIFS(Movimentos!$F$4:$F$9996,Movimentos!$D$4:$D$9996,B3275,Movimentos!$C$4:$C$9996,"Entrada")-SUMIFS(Movimentos!$F$4:$F$9996,Movimentos!$D$4:$D$9996,B3275,Movimentos!$C$4:$C$9996,"Saída"),""),"")</f>
        <v/>
      </c>
      <c r="F3275" s="10" t="str">
        <f t="shared" si="104"/>
        <v/>
      </c>
    </row>
    <row r="3276" spans="1:6" x14ac:dyDescent="0.3">
      <c r="A3276" s="15" t="str">
        <f t="shared" si="105"/>
        <v>.</v>
      </c>
      <c r="E3276" s="13" t="str">
        <f>IFERROR(IF(AND(B3276&lt;&gt;"",C3276&lt;&gt;""),SUMIFS(Movimentos!$F$4:$F$9996,Movimentos!$D$4:$D$9996,B3276,Movimentos!$C$4:$C$9996,"Entrada")-SUMIFS(Movimentos!$F$4:$F$9996,Movimentos!$D$4:$D$9996,B3276,Movimentos!$C$4:$C$9996,"Saída"),""),"")</f>
        <v/>
      </c>
      <c r="F3276" s="10" t="str">
        <f t="shared" si="104"/>
        <v/>
      </c>
    </row>
    <row r="3277" spans="1:6" x14ac:dyDescent="0.3">
      <c r="A3277" s="15" t="str">
        <f t="shared" si="105"/>
        <v>.</v>
      </c>
      <c r="E3277" s="13" t="str">
        <f>IFERROR(IF(AND(B3277&lt;&gt;"",C3277&lt;&gt;""),SUMIFS(Movimentos!$F$4:$F$9996,Movimentos!$D$4:$D$9996,B3277,Movimentos!$C$4:$C$9996,"Entrada")-SUMIFS(Movimentos!$F$4:$F$9996,Movimentos!$D$4:$D$9996,B3277,Movimentos!$C$4:$C$9996,"Saída"),""),"")</f>
        <v/>
      </c>
      <c r="F3277" s="10" t="str">
        <f t="shared" si="104"/>
        <v/>
      </c>
    </row>
    <row r="3278" spans="1:6" x14ac:dyDescent="0.3">
      <c r="A3278" s="15" t="str">
        <f t="shared" si="105"/>
        <v>.</v>
      </c>
      <c r="E3278" s="13" t="str">
        <f>IFERROR(IF(AND(B3278&lt;&gt;"",C3278&lt;&gt;""),SUMIFS(Movimentos!$F$4:$F$9996,Movimentos!$D$4:$D$9996,B3278,Movimentos!$C$4:$C$9996,"Entrada")-SUMIFS(Movimentos!$F$4:$F$9996,Movimentos!$D$4:$D$9996,B3278,Movimentos!$C$4:$C$9996,"Saída"),""),"")</f>
        <v/>
      </c>
      <c r="F3278" s="10" t="str">
        <f t="shared" si="104"/>
        <v/>
      </c>
    </row>
    <row r="3279" spans="1:6" x14ac:dyDescent="0.3">
      <c r="A3279" s="15" t="str">
        <f t="shared" si="105"/>
        <v>.</v>
      </c>
      <c r="E3279" s="13" t="str">
        <f>IFERROR(IF(AND(B3279&lt;&gt;"",C3279&lt;&gt;""),SUMIFS(Movimentos!$F$4:$F$9996,Movimentos!$D$4:$D$9996,B3279,Movimentos!$C$4:$C$9996,"Entrada")-SUMIFS(Movimentos!$F$4:$F$9996,Movimentos!$D$4:$D$9996,B3279,Movimentos!$C$4:$C$9996,"Saída"),""),"")</f>
        <v/>
      </c>
      <c r="F3279" s="10" t="str">
        <f t="shared" si="104"/>
        <v/>
      </c>
    </row>
    <row r="3280" spans="1:6" x14ac:dyDescent="0.3">
      <c r="A3280" s="15" t="str">
        <f t="shared" si="105"/>
        <v>.</v>
      </c>
      <c r="E3280" s="13" t="str">
        <f>IFERROR(IF(AND(B3280&lt;&gt;"",C3280&lt;&gt;""),SUMIFS(Movimentos!$F$4:$F$9996,Movimentos!$D$4:$D$9996,B3280,Movimentos!$C$4:$C$9996,"Entrada")-SUMIFS(Movimentos!$F$4:$F$9996,Movimentos!$D$4:$D$9996,B3280,Movimentos!$C$4:$C$9996,"Saída"),""),"")</f>
        <v/>
      </c>
      <c r="F3280" s="10" t="str">
        <f t="shared" si="104"/>
        <v/>
      </c>
    </row>
    <row r="3281" spans="1:6" x14ac:dyDescent="0.3">
      <c r="A3281" s="15" t="str">
        <f t="shared" si="105"/>
        <v>.</v>
      </c>
      <c r="E3281" s="13" t="str">
        <f>IFERROR(IF(AND(B3281&lt;&gt;"",C3281&lt;&gt;""),SUMIFS(Movimentos!$F$4:$F$9996,Movimentos!$D$4:$D$9996,B3281,Movimentos!$C$4:$C$9996,"Entrada")-SUMIFS(Movimentos!$F$4:$F$9996,Movimentos!$D$4:$D$9996,B3281,Movimentos!$C$4:$C$9996,"Saída"),""),"")</f>
        <v/>
      </c>
      <c r="F3281" s="10" t="str">
        <f t="shared" si="104"/>
        <v/>
      </c>
    </row>
    <row r="3282" spans="1:6" x14ac:dyDescent="0.3">
      <c r="A3282" s="15" t="str">
        <f t="shared" si="105"/>
        <v>.</v>
      </c>
      <c r="E3282" s="13" t="str">
        <f>IFERROR(IF(AND(B3282&lt;&gt;"",C3282&lt;&gt;""),SUMIFS(Movimentos!$F$4:$F$9996,Movimentos!$D$4:$D$9996,B3282,Movimentos!$C$4:$C$9996,"Entrada")-SUMIFS(Movimentos!$F$4:$F$9996,Movimentos!$D$4:$D$9996,B3282,Movimentos!$C$4:$C$9996,"Saída"),""),"")</f>
        <v/>
      </c>
      <c r="F3282" s="10" t="str">
        <f t="shared" si="104"/>
        <v/>
      </c>
    </row>
    <row r="3283" spans="1:6" x14ac:dyDescent="0.3">
      <c r="A3283" s="15" t="str">
        <f t="shared" si="105"/>
        <v>.</v>
      </c>
      <c r="E3283" s="13" t="str">
        <f>IFERROR(IF(AND(B3283&lt;&gt;"",C3283&lt;&gt;""),SUMIFS(Movimentos!$F$4:$F$9996,Movimentos!$D$4:$D$9996,B3283,Movimentos!$C$4:$C$9996,"Entrada")-SUMIFS(Movimentos!$F$4:$F$9996,Movimentos!$D$4:$D$9996,B3283,Movimentos!$C$4:$C$9996,"Saída"),""),"")</f>
        <v/>
      </c>
      <c r="F3283" s="10" t="str">
        <f t="shared" si="104"/>
        <v/>
      </c>
    </row>
    <row r="3284" spans="1:6" x14ac:dyDescent="0.3">
      <c r="A3284" s="15" t="str">
        <f t="shared" si="105"/>
        <v>.</v>
      </c>
      <c r="E3284" s="13" t="str">
        <f>IFERROR(IF(AND(B3284&lt;&gt;"",C3284&lt;&gt;""),SUMIFS(Movimentos!$F$4:$F$9996,Movimentos!$D$4:$D$9996,B3284,Movimentos!$C$4:$C$9996,"Entrada")-SUMIFS(Movimentos!$F$4:$F$9996,Movimentos!$D$4:$D$9996,B3284,Movimentos!$C$4:$C$9996,"Saída"),""),"")</f>
        <v/>
      </c>
      <c r="F3284" s="10" t="str">
        <f t="shared" si="104"/>
        <v/>
      </c>
    </row>
    <row r="3285" spans="1:6" x14ac:dyDescent="0.3">
      <c r="A3285" s="15" t="str">
        <f t="shared" si="105"/>
        <v>.</v>
      </c>
      <c r="E3285" s="13" t="str">
        <f>IFERROR(IF(AND(B3285&lt;&gt;"",C3285&lt;&gt;""),SUMIFS(Movimentos!$F$4:$F$9996,Movimentos!$D$4:$D$9996,B3285,Movimentos!$C$4:$C$9996,"Entrada")-SUMIFS(Movimentos!$F$4:$F$9996,Movimentos!$D$4:$D$9996,B3285,Movimentos!$C$4:$C$9996,"Saída"),""),"")</f>
        <v/>
      </c>
      <c r="F3285" s="10" t="str">
        <f t="shared" si="104"/>
        <v/>
      </c>
    </row>
    <row r="3286" spans="1:6" x14ac:dyDescent="0.3">
      <c r="A3286" s="15" t="str">
        <f t="shared" si="105"/>
        <v>.</v>
      </c>
      <c r="E3286" s="13" t="str">
        <f>IFERROR(IF(AND(B3286&lt;&gt;"",C3286&lt;&gt;""),SUMIFS(Movimentos!$F$4:$F$9996,Movimentos!$D$4:$D$9996,B3286,Movimentos!$C$4:$C$9996,"Entrada")-SUMIFS(Movimentos!$F$4:$F$9996,Movimentos!$D$4:$D$9996,B3286,Movimentos!$C$4:$C$9996,"Saída"),""),"")</f>
        <v/>
      </c>
      <c r="F3286" s="10" t="str">
        <f t="shared" si="104"/>
        <v/>
      </c>
    </row>
    <row r="3287" spans="1:6" x14ac:dyDescent="0.3">
      <c r="A3287" s="15" t="str">
        <f t="shared" si="105"/>
        <v>.</v>
      </c>
      <c r="E3287" s="13" t="str">
        <f>IFERROR(IF(AND(B3287&lt;&gt;"",C3287&lt;&gt;""),SUMIFS(Movimentos!$F$4:$F$9996,Movimentos!$D$4:$D$9996,B3287,Movimentos!$C$4:$C$9996,"Entrada")-SUMIFS(Movimentos!$F$4:$F$9996,Movimentos!$D$4:$D$9996,B3287,Movimentos!$C$4:$C$9996,"Saída"),""),"")</f>
        <v/>
      </c>
      <c r="F3287" s="10" t="str">
        <f t="shared" ref="F3287:F3350" si="106">IF(AND(B3287&lt;&gt;"",C3287&lt;&gt;""),IF(E3287=0,"Saldo zerado",IF(E3287&lt;D3287,"Saldo abaixo do mínimo","Saldo disponível")),"")</f>
        <v/>
      </c>
    </row>
    <row r="3288" spans="1:6" x14ac:dyDescent="0.3">
      <c r="A3288" s="15" t="str">
        <f t="shared" si="105"/>
        <v>.</v>
      </c>
      <c r="E3288" s="13" t="str">
        <f>IFERROR(IF(AND(B3288&lt;&gt;"",C3288&lt;&gt;""),SUMIFS(Movimentos!$F$4:$F$9996,Movimentos!$D$4:$D$9996,B3288,Movimentos!$C$4:$C$9996,"Entrada")-SUMIFS(Movimentos!$F$4:$F$9996,Movimentos!$D$4:$D$9996,B3288,Movimentos!$C$4:$C$9996,"Saída"),""),"")</f>
        <v/>
      </c>
      <c r="F3288" s="10" t="str">
        <f t="shared" si="106"/>
        <v/>
      </c>
    </row>
    <row r="3289" spans="1:6" x14ac:dyDescent="0.3">
      <c r="A3289" s="15" t="str">
        <f t="shared" si="105"/>
        <v>.</v>
      </c>
      <c r="E3289" s="13" t="str">
        <f>IFERROR(IF(AND(B3289&lt;&gt;"",C3289&lt;&gt;""),SUMIFS(Movimentos!$F$4:$F$9996,Movimentos!$D$4:$D$9996,B3289,Movimentos!$C$4:$C$9996,"Entrada")-SUMIFS(Movimentos!$F$4:$F$9996,Movimentos!$D$4:$D$9996,B3289,Movimentos!$C$4:$C$9996,"Saída"),""),"")</f>
        <v/>
      </c>
      <c r="F3289" s="10" t="str">
        <f t="shared" si="106"/>
        <v/>
      </c>
    </row>
    <row r="3290" spans="1:6" x14ac:dyDescent="0.3">
      <c r="A3290" s="15" t="str">
        <f t="shared" si="105"/>
        <v>.</v>
      </c>
      <c r="E3290" s="13" t="str">
        <f>IFERROR(IF(AND(B3290&lt;&gt;"",C3290&lt;&gt;""),SUMIFS(Movimentos!$F$4:$F$9996,Movimentos!$D$4:$D$9996,B3290,Movimentos!$C$4:$C$9996,"Entrada")-SUMIFS(Movimentos!$F$4:$F$9996,Movimentos!$D$4:$D$9996,B3290,Movimentos!$C$4:$C$9996,"Saída"),""),"")</f>
        <v/>
      </c>
      <c r="F3290" s="10" t="str">
        <f t="shared" si="106"/>
        <v/>
      </c>
    </row>
    <row r="3291" spans="1:6" x14ac:dyDescent="0.3">
      <c r="A3291" s="15" t="str">
        <f t="shared" si="105"/>
        <v>.</v>
      </c>
      <c r="E3291" s="13" t="str">
        <f>IFERROR(IF(AND(B3291&lt;&gt;"",C3291&lt;&gt;""),SUMIFS(Movimentos!$F$4:$F$9996,Movimentos!$D$4:$D$9996,B3291,Movimentos!$C$4:$C$9996,"Entrada")-SUMIFS(Movimentos!$F$4:$F$9996,Movimentos!$D$4:$D$9996,B3291,Movimentos!$C$4:$C$9996,"Saída"),""),"")</f>
        <v/>
      </c>
      <c r="F3291" s="10" t="str">
        <f t="shared" si="106"/>
        <v/>
      </c>
    </row>
    <row r="3292" spans="1:6" x14ac:dyDescent="0.3">
      <c r="A3292" s="15" t="str">
        <f t="shared" si="105"/>
        <v>.</v>
      </c>
      <c r="E3292" s="13" t="str">
        <f>IFERROR(IF(AND(B3292&lt;&gt;"",C3292&lt;&gt;""),SUMIFS(Movimentos!$F$4:$F$9996,Movimentos!$D$4:$D$9996,B3292,Movimentos!$C$4:$C$9996,"Entrada")-SUMIFS(Movimentos!$F$4:$F$9996,Movimentos!$D$4:$D$9996,B3292,Movimentos!$C$4:$C$9996,"Saída"),""),"")</f>
        <v/>
      </c>
      <c r="F3292" s="10" t="str">
        <f t="shared" si="106"/>
        <v/>
      </c>
    </row>
    <row r="3293" spans="1:6" x14ac:dyDescent="0.3">
      <c r="A3293" s="15" t="str">
        <f t="shared" si="105"/>
        <v>.</v>
      </c>
      <c r="E3293" s="13" t="str">
        <f>IFERROR(IF(AND(B3293&lt;&gt;"",C3293&lt;&gt;""),SUMIFS(Movimentos!$F$4:$F$9996,Movimentos!$D$4:$D$9996,B3293,Movimentos!$C$4:$C$9996,"Entrada")-SUMIFS(Movimentos!$F$4:$F$9996,Movimentos!$D$4:$D$9996,B3293,Movimentos!$C$4:$C$9996,"Saída"),""),"")</f>
        <v/>
      </c>
      <c r="F3293" s="10" t="str">
        <f t="shared" si="106"/>
        <v/>
      </c>
    </row>
    <row r="3294" spans="1:6" x14ac:dyDescent="0.3">
      <c r="A3294" s="15" t="str">
        <f t="shared" si="105"/>
        <v>.</v>
      </c>
      <c r="E3294" s="13" t="str">
        <f>IFERROR(IF(AND(B3294&lt;&gt;"",C3294&lt;&gt;""),SUMIFS(Movimentos!$F$4:$F$9996,Movimentos!$D$4:$D$9996,B3294,Movimentos!$C$4:$C$9996,"Entrada")-SUMIFS(Movimentos!$F$4:$F$9996,Movimentos!$D$4:$D$9996,B3294,Movimentos!$C$4:$C$9996,"Saída"),""),"")</f>
        <v/>
      </c>
      <c r="F3294" s="10" t="str">
        <f t="shared" si="106"/>
        <v/>
      </c>
    </row>
    <row r="3295" spans="1:6" x14ac:dyDescent="0.3">
      <c r="A3295" s="15" t="str">
        <f t="shared" si="105"/>
        <v>.</v>
      </c>
      <c r="E3295" s="13" t="str">
        <f>IFERROR(IF(AND(B3295&lt;&gt;"",C3295&lt;&gt;""),SUMIFS(Movimentos!$F$4:$F$9996,Movimentos!$D$4:$D$9996,B3295,Movimentos!$C$4:$C$9996,"Entrada")-SUMIFS(Movimentos!$F$4:$F$9996,Movimentos!$D$4:$D$9996,B3295,Movimentos!$C$4:$C$9996,"Saída"),""),"")</f>
        <v/>
      </c>
      <c r="F3295" s="10" t="str">
        <f t="shared" si="106"/>
        <v/>
      </c>
    </row>
    <row r="3296" spans="1:6" x14ac:dyDescent="0.3">
      <c r="A3296" s="15" t="str">
        <f t="shared" si="105"/>
        <v>.</v>
      </c>
      <c r="E3296" s="13" t="str">
        <f>IFERROR(IF(AND(B3296&lt;&gt;"",C3296&lt;&gt;""),SUMIFS(Movimentos!$F$4:$F$9996,Movimentos!$D$4:$D$9996,B3296,Movimentos!$C$4:$C$9996,"Entrada")-SUMIFS(Movimentos!$F$4:$F$9996,Movimentos!$D$4:$D$9996,B3296,Movimentos!$C$4:$C$9996,"Saída"),""),"")</f>
        <v/>
      </c>
      <c r="F3296" s="10" t="str">
        <f t="shared" si="106"/>
        <v/>
      </c>
    </row>
    <row r="3297" spans="1:6" x14ac:dyDescent="0.3">
      <c r="A3297" s="15" t="str">
        <f t="shared" si="105"/>
        <v>.</v>
      </c>
      <c r="E3297" s="13" t="str">
        <f>IFERROR(IF(AND(B3297&lt;&gt;"",C3297&lt;&gt;""),SUMIFS(Movimentos!$F$4:$F$9996,Movimentos!$D$4:$D$9996,B3297,Movimentos!$C$4:$C$9996,"Entrada")-SUMIFS(Movimentos!$F$4:$F$9996,Movimentos!$D$4:$D$9996,B3297,Movimentos!$C$4:$C$9996,"Saída"),""),"")</f>
        <v/>
      </c>
      <c r="F3297" s="10" t="str">
        <f t="shared" si="106"/>
        <v/>
      </c>
    </row>
    <row r="3298" spans="1:6" x14ac:dyDescent="0.3">
      <c r="A3298" s="15" t="str">
        <f t="shared" si="105"/>
        <v>.</v>
      </c>
      <c r="E3298" s="13" t="str">
        <f>IFERROR(IF(AND(B3298&lt;&gt;"",C3298&lt;&gt;""),SUMIFS(Movimentos!$F$4:$F$9996,Movimentos!$D$4:$D$9996,B3298,Movimentos!$C$4:$C$9996,"Entrada")-SUMIFS(Movimentos!$F$4:$F$9996,Movimentos!$D$4:$D$9996,B3298,Movimentos!$C$4:$C$9996,"Saída"),""),"")</f>
        <v/>
      </c>
      <c r="F3298" s="10" t="str">
        <f t="shared" si="106"/>
        <v/>
      </c>
    </row>
    <row r="3299" spans="1:6" x14ac:dyDescent="0.3">
      <c r="A3299" s="15" t="str">
        <f t="shared" si="105"/>
        <v>.</v>
      </c>
      <c r="E3299" s="13" t="str">
        <f>IFERROR(IF(AND(B3299&lt;&gt;"",C3299&lt;&gt;""),SUMIFS(Movimentos!$F$4:$F$9996,Movimentos!$D$4:$D$9996,B3299,Movimentos!$C$4:$C$9996,"Entrada")-SUMIFS(Movimentos!$F$4:$F$9996,Movimentos!$D$4:$D$9996,B3299,Movimentos!$C$4:$C$9996,"Saída"),""),"")</f>
        <v/>
      </c>
      <c r="F3299" s="10" t="str">
        <f t="shared" si="106"/>
        <v/>
      </c>
    </row>
    <row r="3300" spans="1:6" x14ac:dyDescent="0.3">
      <c r="A3300" s="15" t="str">
        <f t="shared" si="105"/>
        <v>.</v>
      </c>
      <c r="E3300" s="13" t="str">
        <f>IFERROR(IF(AND(B3300&lt;&gt;"",C3300&lt;&gt;""),SUMIFS(Movimentos!$F$4:$F$9996,Movimentos!$D$4:$D$9996,B3300,Movimentos!$C$4:$C$9996,"Entrada")-SUMIFS(Movimentos!$F$4:$F$9996,Movimentos!$D$4:$D$9996,B3300,Movimentos!$C$4:$C$9996,"Saída"),""),"")</f>
        <v/>
      </c>
      <c r="F3300" s="10" t="str">
        <f t="shared" si="106"/>
        <v/>
      </c>
    </row>
    <row r="3301" spans="1:6" x14ac:dyDescent="0.3">
      <c r="A3301" s="15" t="str">
        <f t="shared" si="105"/>
        <v>.</v>
      </c>
      <c r="E3301" s="13" t="str">
        <f>IFERROR(IF(AND(B3301&lt;&gt;"",C3301&lt;&gt;""),SUMIFS(Movimentos!$F$4:$F$9996,Movimentos!$D$4:$D$9996,B3301,Movimentos!$C$4:$C$9996,"Entrada")-SUMIFS(Movimentos!$F$4:$F$9996,Movimentos!$D$4:$D$9996,B3301,Movimentos!$C$4:$C$9996,"Saída"),""),"")</f>
        <v/>
      </c>
      <c r="F3301" s="10" t="str">
        <f t="shared" si="106"/>
        <v/>
      </c>
    </row>
    <row r="3302" spans="1:6" x14ac:dyDescent="0.3">
      <c r="A3302" s="15" t="str">
        <f t="shared" si="105"/>
        <v>.</v>
      </c>
      <c r="E3302" s="13" t="str">
        <f>IFERROR(IF(AND(B3302&lt;&gt;"",C3302&lt;&gt;""),SUMIFS(Movimentos!$F$4:$F$9996,Movimentos!$D$4:$D$9996,B3302,Movimentos!$C$4:$C$9996,"Entrada")-SUMIFS(Movimentos!$F$4:$F$9996,Movimentos!$D$4:$D$9996,B3302,Movimentos!$C$4:$C$9996,"Saída"),""),"")</f>
        <v/>
      </c>
      <c r="F3302" s="10" t="str">
        <f t="shared" si="106"/>
        <v/>
      </c>
    </row>
    <row r="3303" spans="1:6" x14ac:dyDescent="0.3">
      <c r="A3303" s="15" t="str">
        <f t="shared" si="105"/>
        <v>.</v>
      </c>
      <c r="E3303" s="13" t="str">
        <f>IFERROR(IF(AND(B3303&lt;&gt;"",C3303&lt;&gt;""),SUMIFS(Movimentos!$F$4:$F$9996,Movimentos!$D$4:$D$9996,B3303,Movimentos!$C$4:$C$9996,"Entrada")-SUMIFS(Movimentos!$F$4:$F$9996,Movimentos!$D$4:$D$9996,B3303,Movimentos!$C$4:$C$9996,"Saída"),""),"")</f>
        <v/>
      </c>
      <c r="F3303" s="10" t="str">
        <f t="shared" si="106"/>
        <v/>
      </c>
    </row>
    <row r="3304" spans="1:6" x14ac:dyDescent="0.3">
      <c r="A3304" s="15" t="str">
        <f t="shared" si="105"/>
        <v>.</v>
      </c>
      <c r="E3304" s="13" t="str">
        <f>IFERROR(IF(AND(B3304&lt;&gt;"",C3304&lt;&gt;""),SUMIFS(Movimentos!$F$4:$F$9996,Movimentos!$D$4:$D$9996,B3304,Movimentos!$C$4:$C$9996,"Entrada")-SUMIFS(Movimentos!$F$4:$F$9996,Movimentos!$D$4:$D$9996,B3304,Movimentos!$C$4:$C$9996,"Saída"),""),"")</f>
        <v/>
      </c>
      <c r="F3304" s="10" t="str">
        <f t="shared" si="106"/>
        <v/>
      </c>
    </row>
    <row r="3305" spans="1:6" x14ac:dyDescent="0.3">
      <c r="A3305" s="15" t="str">
        <f t="shared" si="105"/>
        <v>.</v>
      </c>
      <c r="E3305" s="13" t="str">
        <f>IFERROR(IF(AND(B3305&lt;&gt;"",C3305&lt;&gt;""),SUMIFS(Movimentos!$F$4:$F$9996,Movimentos!$D$4:$D$9996,B3305,Movimentos!$C$4:$C$9996,"Entrada")-SUMIFS(Movimentos!$F$4:$F$9996,Movimentos!$D$4:$D$9996,B3305,Movimentos!$C$4:$C$9996,"Saída"),""),"")</f>
        <v/>
      </c>
      <c r="F3305" s="10" t="str">
        <f t="shared" si="106"/>
        <v/>
      </c>
    </row>
    <row r="3306" spans="1:6" x14ac:dyDescent="0.3">
      <c r="A3306" s="15" t="str">
        <f t="shared" si="105"/>
        <v>.</v>
      </c>
      <c r="E3306" s="13" t="str">
        <f>IFERROR(IF(AND(B3306&lt;&gt;"",C3306&lt;&gt;""),SUMIFS(Movimentos!$F$4:$F$9996,Movimentos!$D$4:$D$9996,B3306,Movimentos!$C$4:$C$9996,"Entrada")-SUMIFS(Movimentos!$F$4:$F$9996,Movimentos!$D$4:$D$9996,B3306,Movimentos!$C$4:$C$9996,"Saída"),""),"")</f>
        <v/>
      </c>
      <c r="F3306" s="10" t="str">
        <f t="shared" si="106"/>
        <v/>
      </c>
    </row>
    <row r="3307" spans="1:6" x14ac:dyDescent="0.3">
      <c r="A3307" s="15" t="str">
        <f t="shared" si="105"/>
        <v>.</v>
      </c>
      <c r="E3307" s="13" t="str">
        <f>IFERROR(IF(AND(B3307&lt;&gt;"",C3307&lt;&gt;""),SUMIFS(Movimentos!$F$4:$F$9996,Movimentos!$D$4:$D$9996,B3307,Movimentos!$C$4:$C$9996,"Entrada")-SUMIFS(Movimentos!$F$4:$F$9996,Movimentos!$D$4:$D$9996,B3307,Movimentos!$C$4:$C$9996,"Saída"),""),"")</f>
        <v/>
      </c>
      <c r="F3307" s="10" t="str">
        <f t="shared" si="106"/>
        <v/>
      </c>
    </row>
    <row r="3308" spans="1:6" x14ac:dyDescent="0.3">
      <c r="A3308" s="15" t="str">
        <f t="shared" si="105"/>
        <v>.</v>
      </c>
      <c r="E3308" s="13" t="str">
        <f>IFERROR(IF(AND(B3308&lt;&gt;"",C3308&lt;&gt;""),SUMIFS(Movimentos!$F$4:$F$9996,Movimentos!$D$4:$D$9996,B3308,Movimentos!$C$4:$C$9996,"Entrada")-SUMIFS(Movimentos!$F$4:$F$9996,Movimentos!$D$4:$D$9996,B3308,Movimentos!$C$4:$C$9996,"Saída"),""),"")</f>
        <v/>
      </c>
      <c r="F3308" s="10" t="str">
        <f t="shared" si="106"/>
        <v/>
      </c>
    </row>
    <row r="3309" spans="1:6" x14ac:dyDescent="0.3">
      <c r="A3309" s="15" t="str">
        <f t="shared" si="105"/>
        <v>.</v>
      </c>
      <c r="E3309" s="13" t="str">
        <f>IFERROR(IF(AND(B3309&lt;&gt;"",C3309&lt;&gt;""),SUMIFS(Movimentos!$F$4:$F$9996,Movimentos!$D$4:$D$9996,B3309,Movimentos!$C$4:$C$9996,"Entrada")-SUMIFS(Movimentos!$F$4:$F$9996,Movimentos!$D$4:$D$9996,B3309,Movimentos!$C$4:$C$9996,"Saída"),""),"")</f>
        <v/>
      </c>
      <c r="F3309" s="10" t="str">
        <f t="shared" si="106"/>
        <v/>
      </c>
    </row>
    <row r="3310" spans="1:6" x14ac:dyDescent="0.3">
      <c r="A3310" s="15" t="str">
        <f t="shared" si="105"/>
        <v>.</v>
      </c>
      <c r="E3310" s="13" t="str">
        <f>IFERROR(IF(AND(B3310&lt;&gt;"",C3310&lt;&gt;""),SUMIFS(Movimentos!$F$4:$F$9996,Movimentos!$D$4:$D$9996,B3310,Movimentos!$C$4:$C$9996,"Entrada")-SUMIFS(Movimentos!$F$4:$F$9996,Movimentos!$D$4:$D$9996,B3310,Movimentos!$C$4:$C$9996,"Saída"),""),"")</f>
        <v/>
      </c>
      <c r="F3310" s="10" t="str">
        <f t="shared" si="106"/>
        <v/>
      </c>
    </row>
    <row r="3311" spans="1:6" x14ac:dyDescent="0.3">
      <c r="A3311" s="15" t="str">
        <f t="shared" si="105"/>
        <v>.</v>
      </c>
      <c r="E3311" s="13" t="str">
        <f>IFERROR(IF(AND(B3311&lt;&gt;"",C3311&lt;&gt;""),SUMIFS(Movimentos!$F$4:$F$9996,Movimentos!$D$4:$D$9996,B3311,Movimentos!$C$4:$C$9996,"Entrada")-SUMIFS(Movimentos!$F$4:$F$9996,Movimentos!$D$4:$D$9996,B3311,Movimentos!$C$4:$C$9996,"Saída"),""),"")</f>
        <v/>
      </c>
      <c r="F3311" s="10" t="str">
        <f t="shared" si="106"/>
        <v/>
      </c>
    </row>
    <row r="3312" spans="1:6" x14ac:dyDescent="0.3">
      <c r="A3312" s="15" t="str">
        <f t="shared" si="105"/>
        <v>.</v>
      </c>
      <c r="E3312" s="13" t="str">
        <f>IFERROR(IF(AND(B3312&lt;&gt;"",C3312&lt;&gt;""),SUMIFS(Movimentos!$F$4:$F$9996,Movimentos!$D$4:$D$9996,B3312,Movimentos!$C$4:$C$9996,"Entrada")-SUMIFS(Movimentos!$F$4:$F$9996,Movimentos!$D$4:$D$9996,B3312,Movimentos!$C$4:$C$9996,"Saída"),""),"")</f>
        <v/>
      </c>
      <c r="F3312" s="10" t="str">
        <f t="shared" si="106"/>
        <v/>
      </c>
    </row>
    <row r="3313" spans="1:6" x14ac:dyDescent="0.3">
      <c r="A3313" s="15" t="str">
        <f t="shared" si="105"/>
        <v>.</v>
      </c>
      <c r="E3313" s="13" t="str">
        <f>IFERROR(IF(AND(B3313&lt;&gt;"",C3313&lt;&gt;""),SUMIFS(Movimentos!$F$4:$F$9996,Movimentos!$D$4:$D$9996,B3313,Movimentos!$C$4:$C$9996,"Entrada")-SUMIFS(Movimentos!$F$4:$F$9996,Movimentos!$D$4:$D$9996,B3313,Movimentos!$C$4:$C$9996,"Saída"),""),"")</f>
        <v/>
      </c>
      <c r="F3313" s="10" t="str">
        <f t="shared" si="106"/>
        <v/>
      </c>
    </row>
    <row r="3314" spans="1:6" x14ac:dyDescent="0.3">
      <c r="A3314" s="15" t="str">
        <f t="shared" si="105"/>
        <v>.</v>
      </c>
      <c r="E3314" s="13" t="str">
        <f>IFERROR(IF(AND(B3314&lt;&gt;"",C3314&lt;&gt;""),SUMIFS(Movimentos!$F$4:$F$9996,Movimentos!$D$4:$D$9996,B3314,Movimentos!$C$4:$C$9996,"Entrada")-SUMIFS(Movimentos!$F$4:$F$9996,Movimentos!$D$4:$D$9996,B3314,Movimentos!$C$4:$C$9996,"Saída"),""),"")</f>
        <v/>
      </c>
      <c r="F3314" s="10" t="str">
        <f t="shared" si="106"/>
        <v/>
      </c>
    </row>
    <row r="3315" spans="1:6" x14ac:dyDescent="0.3">
      <c r="A3315" s="15" t="str">
        <f t="shared" si="105"/>
        <v>.</v>
      </c>
      <c r="E3315" s="13" t="str">
        <f>IFERROR(IF(AND(B3315&lt;&gt;"",C3315&lt;&gt;""),SUMIFS(Movimentos!$F$4:$F$9996,Movimentos!$D$4:$D$9996,B3315,Movimentos!$C$4:$C$9996,"Entrada")-SUMIFS(Movimentos!$F$4:$F$9996,Movimentos!$D$4:$D$9996,B3315,Movimentos!$C$4:$C$9996,"Saída"),""),"")</f>
        <v/>
      </c>
      <c r="F3315" s="10" t="str">
        <f t="shared" si="106"/>
        <v/>
      </c>
    </row>
    <row r="3316" spans="1:6" x14ac:dyDescent="0.3">
      <c r="A3316" s="15" t="str">
        <f t="shared" si="105"/>
        <v>.</v>
      </c>
      <c r="E3316" s="13" t="str">
        <f>IFERROR(IF(AND(B3316&lt;&gt;"",C3316&lt;&gt;""),SUMIFS(Movimentos!$F$4:$F$9996,Movimentos!$D$4:$D$9996,B3316,Movimentos!$C$4:$C$9996,"Entrada")-SUMIFS(Movimentos!$F$4:$F$9996,Movimentos!$D$4:$D$9996,B3316,Movimentos!$C$4:$C$9996,"Saída"),""),"")</f>
        <v/>
      </c>
      <c r="F3316" s="10" t="str">
        <f t="shared" si="106"/>
        <v/>
      </c>
    </row>
    <row r="3317" spans="1:6" x14ac:dyDescent="0.3">
      <c r="A3317" s="15" t="str">
        <f t="shared" si="105"/>
        <v>.</v>
      </c>
      <c r="E3317" s="13" t="str">
        <f>IFERROR(IF(AND(B3317&lt;&gt;"",C3317&lt;&gt;""),SUMIFS(Movimentos!$F$4:$F$9996,Movimentos!$D$4:$D$9996,B3317,Movimentos!$C$4:$C$9996,"Entrada")-SUMIFS(Movimentos!$F$4:$F$9996,Movimentos!$D$4:$D$9996,B3317,Movimentos!$C$4:$C$9996,"Saída"),""),"")</f>
        <v/>
      </c>
      <c r="F3317" s="10" t="str">
        <f t="shared" si="106"/>
        <v/>
      </c>
    </row>
    <row r="3318" spans="1:6" x14ac:dyDescent="0.3">
      <c r="A3318" s="15" t="str">
        <f t="shared" si="105"/>
        <v>.</v>
      </c>
      <c r="E3318" s="13" t="str">
        <f>IFERROR(IF(AND(B3318&lt;&gt;"",C3318&lt;&gt;""),SUMIFS(Movimentos!$F$4:$F$9996,Movimentos!$D$4:$D$9996,B3318,Movimentos!$C$4:$C$9996,"Entrada")-SUMIFS(Movimentos!$F$4:$F$9996,Movimentos!$D$4:$D$9996,B3318,Movimentos!$C$4:$C$9996,"Saída"),""),"")</f>
        <v/>
      </c>
      <c r="F3318" s="10" t="str">
        <f t="shared" si="106"/>
        <v/>
      </c>
    </row>
    <row r="3319" spans="1:6" x14ac:dyDescent="0.3">
      <c r="A3319" s="15" t="str">
        <f t="shared" si="105"/>
        <v>.</v>
      </c>
      <c r="E3319" s="13" t="str">
        <f>IFERROR(IF(AND(B3319&lt;&gt;"",C3319&lt;&gt;""),SUMIFS(Movimentos!$F$4:$F$9996,Movimentos!$D$4:$D$9996,B3319,Movimentos!$C$4:$C$9996,"Entrada")-SUMIFS(Movimentos!$F$4:$F$9996,Movimentos!$D$4:$D$9996,B3319,Movimentos!$C$4:$C$9996,"Saída"),""),"")</f>
        <v/>
      </c>
      <c r="F3319" s="10" t="str">
        <f t="shared" si="106"/>
        <v/>
      </c>
    </row>
    <row r="3320" spans="1:6" x14ac:dyDescent="0.3">
      <c r="A3320" s="15" t="str">
        <f t="shared" si="105"/>
        <v>.</v>
      </c>
      <c r="E3320" s="13" t="str">
        <f>IFERROR(IF(AND(B3320&lt;&gt;"",C3320&lt;&gt;""),SUMIFS(Movimentos!$F$4:$F$9996,Movimentos!$D$4:$D$9996,B3320,Movimentos!$C$4:$C$9996,"Entrada")-SUMIFS(Movimentos!$F$4:$F$9996,Movimentos!$D$4:$D$9996,B3320,Movimentos!$C$4:$C$9996,"Saída"),""),"")</f>
        <v/>
      </c>
      <c r="F3320" s="10" t="str">
        <f t="shared" si="106"/>
        <v/>
      </c>
    </row>
    <row r="3321" spans="1:6" x14ac:dyDescent="0.3">
      <c r="A3321" s="15" t="str">
        <f t="shared" si="105"/>
        <v>.</v>
      </c>
      <c r="E3321" s="13" t="str">
        <f>IFERROR(IF(AND(B3321&lt;&gt;"",C3321&lt;&gt;""),SUMIFS(Movimentos!$F$4:$F$9996,Movimentos!$D$4:$D$9996,B3321,Movimentos!$C$4:$C$9996,"Entrada")-SUMIFS(Movimentos!$F$4:$F$9996,Movimentos!$D$4:$D$9996,B3321,Movimentos!$C$4:$C$9996,"Saída"),""),"")</f>
        <v/>
      </c>
      <c r="F3321" s="10" t="str">
        <f t="shared" si="106"/>
        <v/>
      </c>
    </row>
    <row r="3322" spans="1:6" x14ac:dyDescent="0.3">
      <c r="A3322" s="15" t="str">
        <f t="shared" si="105"/>
        <v>.</v>
      </c>
      <c r="E3322" s="13" t="str">
        <f>IFERROR(IF(AND(B3322&lt;&gt;"",C3322&lt;&gt;""),SUMIFS(Movimentos!$F$4:$F$9996,Movimentos!$D$4:$D$9996,B3322,Movimentos!$C$4:$C$9996,"Entrada")-SUMIFS(Movimentos!$F$4:$F$9996,Movimentos!$D$4:$D$9996,B3322,Movimentos!$C$4:$C$9996,"Saída"),""),"")</f>
        <v/>
      </c>
      <c r="F3322" s="10" t="str">
        <f t="shared" si="106"/>
        <v/>
      </c>
    </row>
    <row r="3323" spans="1:6" x14ac:dyDescent="0.3">
      <c r="A3323" s="15" t="str">
        <f t="shared" si="105"/>
        <v>.</v>
      </c>
      <c r="E3323" s="13" t="str">
        <f>IFERROR(IF(AND(B3323&lt;&gt;"",C3323&lt;&gt;""),SUMIFS(Movimentos!$F$4:$F$9996,Movimentos!$D$4:$D$9996,B3323,Movimentos!$C$4:$C$9996,"Entrada")-SUMIFS(Movimentos!$F$4:$F$9996,Movimentos!$D$4:$D$9996,B3323,Movimentos!$C$4:$C$9996,"Saída"),""),"")</f>
        <v/>
      </c>
      <c r="F3323" s="10" t="str">
        <f t="shared" si="106"/>
        <v/>
      </c>
    </row>
    <row r="3324" spans="1:6" x14ac:dyDescent="0.3">
      <c r="A3324" s="15" t="str">
        <f t="shared" si="105"/>
        <v>.</v>
      </c>
      <c r="E3324" s="13" t="str">
        <f>IFERROR(IF(AND(B3324&lt;&gt;"",C3324&lt;&gt;""),SUMIFS(Movimentos!$F$4:$F$9996,Movimentos!$D$4:$D$9996,B3324,Movimentos!$C$4:$C$9996,"Entrada")-SUMIFS(Movimentos!$F$4:$F$9996,Movimentos!$D$4:$D$9996,B3324,Movimentos!$C$4:$C$9996,"Saída"),""),"")</f>
        <v/>
      </c>
      <c r="F3324" s="10" t="str">
        <f t="shared" si="106"/>
        <v/>
      </c>
    </row>
    <row r="3325" spans="1:6" x14ac:dyDescent="0.3">
      <c r="A3325" s="15" t="str">
        <f t="shared" si="105"/>
        <v>.</v>
      </c>
      <c r="E3325" s="13" t="str">
        <f>IFERROR(IF(AND(B3325&lt;&gt;"",C3325&lt;&gt;""),SUMIFS(Movimentos!$F$4:$F$9996,Movimentos!$D$4:$D$9996,B3325,Movimentos!$C$4:$C$9996,"Entrada")-SUMIFS(Movimentos!$F$4:$F$9996,Movimentos!$D$4:$D$9996,B3325,Movimentos!$C$4:$C$9996,"Saída"),""),"")</f>
        <v/>
      </c>
      <c r="F3325" s="10" t="str">
        <f t="shared" si="106"/>
        <v/>
      </c>
    </row>
    <row r="3326" spans="1:6" x14ac:dyDescent="0.3">
      <c r="A3326" s="15" t="str">
        <f t="shared" si="105"/>
        <v>.</v>
      </c>
      <c r="E3326" s="13" t="str">
        <f>IFERROR(IF(AND(B3326&lt;&gt;"",C3326&lt;&gt;""),SUMIFS(Movimentos!$F$4:$F$9996,Movimentos!$D$4:$D$9996,B3326,Movimentos!$C$4:$C$9996,"Entrada")-SUMIFS(Movimentos!$F$4:$F$9996,Movimentos!$D$4:$D$9996,B3326,Movimentos!$C$4:$C$9996,"Saída"),""),"")</f>
        <v/>
      </c>
      <c r="F3326" s="10" t="str">
        <f t="shared" si="106"/>
        <v/>
      </c>
    </row>
    <row r="3327" spans="1:6" x14ac:dyDescent="0.3">
      <c r="A3327" s="15" t="str">
        <f t="shared" si="105"/>
        <v>.</v>
      </c>
      <c r="E3327" s="13" t="str">
        <f>IFERROR(IF(AND(B3327&lt;&gt;"",C3327&lt;&gt;""),SUMIFS(Movimentos!$F$4:$F$9996,Movimentos!$D$4:$D$9996,B3327,Movimentos!$C$4:$C$9996,"Entrada")-SUMIFS(Movimentos!$F$4:$F$9996,Movimentos!$D$4:$D$9996,B3327,Movimentos!$C$4:$C$9996,"Saída"),""),"")</f>
        <v/>
      </c>
      <c r="F3327" s="10" t="str">
        <f t="shared" si="106"/>
        <v/>
      </c>
    </row>
    <row r="3328" spans="1:6" x14ac:dyDescent="0.3">
      <c r="A3328" s="15" t="str">
        <f t="shared" ref="A3328:A3391" si="107">IF(F3328="Saldo zerado",0,IF(F3328="Saldo abaixo do mínimo",1,IF(F3328="Saldo disponível",2,".")))</f>
        <v>.</v>
      </c>
      <c r="E3328" s="13" t="str">
        <f>IFERROR(IF(AND(B3328&lt;&gt;"",C3328&lt;&gt;""),SUMIFS(Movimentos!$F$4:$F$9996,Movimentos!$D$4:$D$9996,B3328,Movimentos!$C$4:$C$9996,"Entrada")-SUMIFS(Movimentos!$F$4:$F$9996,Movimentos!$D$4:$D$9996,B3328,Movimentos!$C$4:$C$9996,"Saída"),""),"")</f>
        <v/>
      </c>
      <c r="F3328" s="10" t="str">
        <f t="shared" si="106"/>
        <v/>
      </c>
    </row>
    <row r="3329" spans="1:6" x14ac:dyDescent="0.3">
      <c r="A3329" s="15" t="str">
        <f t="shared" si="107"/>
        <v>.</v>
      </c>
      <c r="E3329" s="13" t="str">
        <f>IFERROR(IF(AND(B3329&lt;&gt;"",C3329&lt;&gt;""),SUMIFS(Movimentos!$F$4:$F$9996,Movimentos!$D$4:$D$9996,B3329,Movimentos!$C$4:$C$9996,"Entrada")-SUMIFS(Movimentos!$F$4:$F$9996,Movimentos!$D$4:$D$9996,B3329,Movimentos!$C$4:$C$9996,"Saída"),""),"")</f>
        <v/>
      </c>
      <c r="F3329" s="10" t="str">
        <f t="shared" si="106"/>
        <v/>
      </c>
    </row>
    <row r="3330" spans="1:6" x14ac:dyDescent="0.3">
      <c r="A3330" s="15" t="str">
        <f t="shared" si="107"/>
        <v>.</v>
      </c>
      <c r="E3330" s="13" t="str">
        <f>IFERROR(IF(AND(B3330&lt;&gt;"",C3330&lt;&gt;""),SUMIFS(Movimentos!$F$4:$F$9996,Movimentos!$D$4:$D$9996,B3330,Movimentos!$C$4:$C$9996,"Entrada")-SUMIFS(Movimentos!$F$4:$F$9996,Movimentos!$D$4:$D$9996,B3330,Movimentos!$C$4:$C$9996,"Saída"),""),"")</f>
        <v/>
      </c>
      <c r="F3330" s="10" t="str">
        <f t="shared" si="106"/>
        <v/>
      </c>
    </row>
    <row r="3331" spans="1:6" x14ac:dyDescent="0.3">
      <c r="A3331" s="15" t="str">
        <f t="shared" si="107"/>
        <v>.</v>
      </c>
      <c r="E3331" s="13" t="str">
        <f>IFERROR(IF(AND(B3331&lt;&gt;"",C3331&lt;&gt;""),SUMIFS(Movimentos!$F$4:$F$9996,Movimentos!$D$4:$D$9996,B3331,Movimentos!$C$4:$C$9996,"Entrada")-SUMIFS(Movimentos!$F$4:$F$9996,Movimentos!$D$4:$D$9996,B3331,Movimentos!$C$4:$C$9996,"Saída"),""),"")</f>
        <v/>
      </c>
      <c r="F3331" s="10" t="str">
        <f t="shared" si="106"/>
        <v/>
      </c>
    </row>
    <row r="3332" spans="1:6" x14ac:dyDescent="0.3">
      <c r="A3332" s="15" t="str">
        <f t="shared" si="107"/>
        <v>.</v>
      </c>
      <c r="E3332" s="13" t="str">
        <f>IFERROR(IF(AND(B3332&lt;&gt;"",C3332&lt;&gt;""),SUMIFS(Movimentos!$F$4:$F$9996,Movimentos!$D$4:$D$9996,B3332,Movimentos!$C$4:$C$9996,"Entrada")-SUMIFS(Movimentos!$F$4:$F$9996,Movimentos!$D$4:$D$9996,B3332,Movimentos!$C$4:$C$9996,"Saída"),""),"")</f>
        <v/>
      </c>
      <c r="F3332" s="10" t="str">
        <f t="shared" si="106"/>
        <v/>
      </c>
    </row>
    <row r="3333" spans="1:6" x14ac:dyDescent="0.3">
      <c r="A3333" s="15" t="str">
        <f t="shared" si="107"/>
        <v>.</v>
      </c>
      <c r="E3333" s="13" t="str">
        <f>IFERROR(IF(AND(B3333&lt;&gt;"",C3333&lt;&gt;""),SUMIFS(Movimentos!$F$4:$F$9996,Movimentos!$D$4:$D$9996,B3333,Movimentos!$C$4:$C$9996,"Entrada")-SUMIFS(Movimentos!$F$4:$F$9996,Movimentos!$D$4:$D$9996,B3333,Movimentos!$C$4:$C$9996,"Saída"),""),"")</f>
        <v/>
      </c>
      <c r="F3333" s="10" t="str">
        <f t="shared" si="106"/>
        <v/>
      </c>
    </row>
    <row r="3334" spans="1:6" x14ac:dyDescent="0.3">
      <c r="A3334" s="15" t="str">
        <f t="shared" si="107"/>
        <v>.</v>
      </c>
      <c r="E3334" s="13" t="str">
        <f>IFERROR(IF(AND(B3334&lt;&gt;"",C3334&lt;&gt;""),SUMIFS(Movimentos!$F$4:$F$9996,Movimentos!$D$4:$D$9996,B3334,Movimentos!$C$4:$C$9996,"Entrada")-SUMIFS(Movimentos!$F$4:$F$9996,Movimentos!$D$4:$D$9996,B3334,Movimentos!$C$4:$C$9996,"Saída"),""),"")</f>
        <v/>
      </c>
      <c r="F3334" s="10" t="str">
        <f t="shared" si="106"/>
        <v/>
      </c>
    </row>
    <row r="3335" spans="1:6" x14ac:dyDescent="0.3">
      <c r="A3335" s="15" t="str">
        <f t="shared" si="107"/>
        <v>.</v>
      </c>
      <c r="E3335" s="13" t="str">
        <f>IFERROR(IF(AND(B3335&lt;&gt;"",C3335&lt;&gt;""),SUMIFS(Movimentos!$F$4:$F$9996,Movimentos!$D$4:$D$9996,B3335,Movimentos!$C$4:$C$9996,"Entrada")-SUMIFS(Movimentos!$F$4:$F$9996,Movimentos!$D$4:$D$9996,B3335,Movimentos!$C$4:$C$9996,"Saída"),""),"")</f>
        <v/>
      </c>
      <c r="F3335" s="10" t="str">
        <f t="shared" si="106"/>
        <v/>
      </c>
    </row>
    <row r="3336" spans="1:6" x14ac:dyDescent="0.3">
      <c r="A3336" s="15" t="str">
        <f t="shared" si="107"/>
        <v>.</v>
      </c>
      <c r="E3336" s="13" t="str">
        <f>IFERROR(IF(AND(B3336&lt;&gt;"",C3336&lt;&gt;""),SUMIFS(Movimentos!$F$4:$F$9996,Movimentos!$D$4:$D$9996,B3336,Movimentos!$C$4:$C$9996,"Entrada")-SUMIFS(Movimentos!$F$4:$F$9996,Movimentos!$D$4:$D$9996,B3336,Movimentos!$C$4:$C$9996,"Saída"),""),"")</f>
        <v/>
      </c>
      <c r="F3336" s="10" t="str">
        <f t="shared" si="106"/>
        <v/>
      </c>
    </row>
    <row r="3337" spans="1:6" x14ac:dyDescent="0.3">
      <c r="A3337" s="15" t="str">
        <f t="shared" si="107"/>
        <v>.</v>
      </c>
      <c r="E3337" s="13" t="str">
        <f>IFERROR(IF(AND(B3337&lt;&gt;"",C3337&lt;&gt;""),SUMIFS(Movimentos!$F$4:$F$9996,Movimentos!$D$4:$D$9996,B3337,Movimentos!$C$4:$C$9996,"Entrada")-SUMIFS(Movimentos!$F$4:$F$9996,Movimentos!$D$4:$D$9996,B3337,Movimentos!$C$4:$C$9996,"Saída"),""),"")</f>
        <v/>
      </c>
      <c r="F3337" s="10" t="str">
        <f t="shared" si="106"/>
        <v/>
      </c>
    </row>
    <row r="3338" spans="1:6" x14ac:dyDescent="0.3">
      <c r="A3338" s="15" t="str">
        <f t="shared" si="107"/>
        <v>.</v>
      </c>
      <c r="E3338" s="13" t="str">
        <f>IFERROR(IF(AND(B3338&lt;&gt;"",C3338&lt;&gt;""),SUMIFS(Movimentos!$F$4:$F$9996,Movimentos!$D$4:$D$9996,B3338,Movimentos!$C$4:$C$9996,"Entrada")-SUMIFS(Movimentos!$F$4:$F$9996,Movimentos!$D$4:$D$9996,B3338,Movimentos!$C$4:$C$9996,"Saída"),""),"")</f>
        <v/>
      </c>
      <c r="F3338" s="10" t="str">
        <f t="shared" si="106"/>
        <v/>
      </c>
    </row>
    <row r="3339" spans="1:6" x14ac:dyDescent="0.3">
      <c r="A3339" s="15" t="str">
        <f t="shared" si="107"/>
        <v>.</v>
      </c>
      <c r="E3339" s="13" t="str">
        <f>IFERROR(IF(AND(B3339&lt;&gt;"",C3339&lt;&gt;""),SUMIFS(Movimentos!$F$4:$F$9996,Movimentos!$D$4:$D$9996,B3339,Movimentos!$C$4:$C$9996,"Entrada")-SUMIFS(Movimentos!$F$4:$F$9996,Movimentos!$D$4:$D$9996,B3339,Movimentos!$C$4:$C$9996,"Saída"),""),"")</f>
        <v/>
      </c>
      <c r="F3339" s="10" t="str">
        <f t="shared" si="106"/>
        <v/>
      </c>
    </row>
    <row r="3340" spans="1:6" x14ac:dyDescent="0.3">
      <c r="A3340" s="15" t="str">
        <f t="shared" si="107"/>
        <v>.</v>
      </c>
      <c r="E3340" s="13" t="str">
        <f>IFERROR(IF(AND(B3340&lt;&gt;"",C3340&lt;&gt;""),SUMIFS(Movimentos!$F$4:$F$9996,Movimentos!$D$4:$D$9996,B3340,Movimentos!$C$4:$C$9996,"Entrada")-SUMIFS(Movimentos!$F$4:$F$9996,Movimentos!$D$4:$D$9996,B3340,Movimentos!$C$4:$C$9996,"Saída"),""),"")</f>
        <v/>
      </c>
      <c r="F3340" s="10" t="str">
        <f t="shared" si="106"/>
        <v/>
      </c>
    </row>
    <row r="3341" spans="1:6" x14ac:dyDescent="0.3">
      <c r="A3341" s="15" t="str">
        <f t="shared" si="107"/>
        <v>.</v>
      </c>
      <c r="E3341" s="13" t="str">
        <f>IFERROR(IF(AND(B3341&lt;&gt;"",C3341&lt;&gt;""),SUMIFS(Movimentos!$F$4:$F$9996,Movimentos!$D$4:$D$9996,B3341,Movimentos!$C$4:$C$9996,"Entrada")-SUMIFS(Movimentos!$F$4:$F$9996,Movimentos!$D$4:$D$9996,B3341,Movimentos!$C$4:$C$9996,"Saída"),""),"")</f>
        <v/>
      </c>
      <c r="F3341" s="10" t="str">
        <f t="shared" si="106"/>
        <v/>
      </c>
    </row>
    <row r="3342" spans="1:6" x14ac:dyDescent="0.3">
      <c r="A3342" s="15" t="str">
        <f t="shared" si="107"/>
        <v>.</v>
      </c>
      <c r="E3342" s="13" t="str">
        <f>IFERROR(IF(AND(B3342&lt;&gt;"",C3342&lt;&gt;""),SUMIFS(Movimentos!$F$4:$F$9996,Movimentos!$D$4:$D$9996,B3342,Movimentos!$C$4:$C$9996,"Entrada")-SUMIFS(Movimentos!$F$4:$F$9996,Movimentos!$D$4:$D$9996,B3342,Movimentos!$C$4:$C$9996,"Saída"),""),"")</f>
        <v/>
      </c>
      <c r="F3342" s="10" t="str">
        <f t="shared" si="106"/>
        <v/>
      </c>
    </row>
    <row r="3343" spans="1:6" x14ac:dyDescent="0.3">
      <c r="A3343" s="15" t="str">
        <f t="shared" si="107"/>
        <v>.</v>
      </c>
      <c r="E3343" s="13" t="str">
        <f>IFERROR(IF(AND(B3343&lt;&gt;"",C3343&lt;&gt;""),SUMIFS(Movimentos!$F$4:$F$9996,Movimentos!$D$4:$D$9996,B3343,Movimentos!$C$4:$C$9996,"Entrada")-SUMIFS(Movimentos!$F$4:$F$9996,Movimentos!$D$4:$D$9996,B3343,Movimentos!$C$4:$C$9996,"Saída"),""),"")</f>
        <v/>
      </c>
      <c r="F3343" s="10" t="str">
        <f t="shared" si="106"/>
        <v/>
      </c>
    </row>
    <row r="3344" spans="1:6" x14ac:dyDescent="0.3">
      <c r="A3344" s="15" t="str">
        <f t="shared" si="107"/>
        <v>.</v>
      </c>
      <c r="E3344" s="13" t="str">
        <f>IFERROR(IF(AND(B3344&lt;&gt;"",C3344&lt;&gt;""),SUMIFS(Movimentos!$F$4:$F$9996,Movimentos!$D$4:$D$9996,B3344,Movimentos!$C$4:$C$9996,"Entrada")-SUMIFS(Movimentos!$F$4:$F$9996,Movimentos!$D$4:$D$9996,B3344,Movimentos!$C$4:$C$9996,"Saída"),""),"")</f>
        <v/>
      </c>
      <c r="F3344" s="10" t="str">
        <f t="shared" si="106"/>
        <v/>
      </c>
    </row>
    <row r="3345" spans="1:6" x14ac:dyDescent="0.3">
      <c r="A3345" s="15" t="str">
        <f t="shared" si="107"/>
        <v>.</v>
      </c>
      <c r="E3345" s="13" t="str">
        <f>IFERROR(IF(AND(B3345&lt;&gt;"",C3345&lt;&gt;""),SUMIFS(Movimentos!$F$4:$F$9996,Movimentos!$D$4:$D$9996,B3345,Movimentos!$C$4:$C$9996,"Entrada")-SUMIFS(Movimentos!$F$4:$F$9996,Movimentos!$D$4:$D$9996,B3345,Movimentos!$C$4:$C$9996,"Saída"),""),"")</f>
        <v/>
      </c>
      <c r="F3345" s="10" t="str">
        <f t="shared" si="106"/>
        <v/>
      </c>
    </row>
    <row r="3346" spans="1:6" x14ac:dyDescent="0.3">
      <c r="A3346" s="15" t="str">
        <f t="shared" si="107"/>
        <v>.</v>
      </c>
      <c r="E3346" s="13" t="str">
        <f>IFERROR(IF(AND(B3346&lt;&gt;"",C3346&lt;&gt;""),SUMIFS(Movimentos!$F$4:$F$9996,Movimentos!$D$4:$D$9996,B3346,Movimentos!$C$4:$C$9996,"Entrada")-SUMIFS(Movimentos!$F$4:$F$9996,Movimentos!$D$4:$D$9996,B3346,Movimentos!$C$4:$C$9996,"Saída"),""),"")</f>
        <v/>
      </c>
      <c r="F3346" s="10" t="str">
        <f t="shared" si="106"/>
        <v/>
      </c>
    </row>
    <row r="3347" spans="1:6" x14ac:dyDescent="0.3">
      <c r="A3347" s="15" t="str">
        <f t="shared" si="107"/>
        <v>.</v>
      </c>
      <c r="E3347" s="13" t="str">
        <f>IFERROR(IF(AND(B3347&lt;&gt;"",C3347&lt;&gt;""),SUMIFS(Movimentos!$F$4:$F$9996,Movimentos!$D$4:$D$9996,B3347,Movimentos!$C$4:$C$9996,"Entrada")-SUMIFS(Movimentos!$F$4:$F$9996,Movimentos!$D$4:$D$9996,B3347,Movimentos!$C$4:$C$9996,"Saída"),""),"")</f>
        <v/>
      </c>
      <c r="F3347" s="10" t="str">
        <f t="shared" si="106"/>
        <v/>
      </c>
    </row>
    <row r="3348" spans="1:6" x14ac:dyDescent="0.3">
      <c r="A3348" s="15" t="str">
        <f t="shared" si="107"/>
        <v>.</v>
      </c>
      <c r="E3348" s="13" t="str">
        <f>IFERROR(IF(AND(B3348&lt;&gt;"",C3348&lt;&gt;""),SUMIFS(Movimentos!$F$4:$F$9996,Movimentos!$D$4:$D$9996,B3348,Movimentos!$C$4:$C$9996,"Entrada")-SUMIFS(Movimentos!$F$4:$F$9996,Movimentos!$D$4:$D$9996,B3348,Movimentos!$C$4:$C$9996,"Saída"),""),"")</f>
        <v/>
      </c>
      <c r="F3348" s="10" t="str">
        <f t="shared" si="106"/>
        <v/>
      </c>
    </row>
    <row r="3349" spans="1:6" x14ac:dyDescent="0.3">
      <c r="A3349" s="15" t="str">
        <f t="shared" si="107"/>
        <v>.</v>
      </c>
      <c r="E3349" s="13" t="str">
        <f>IFERROR(IF(AND(B3349&lt;&gt;"",C3349&lt;&gt;""),SUMIFS(Movimentos!$F$4:$F$9996,Movimentos!$D$4:$D$9996,B3349,Movimentos!$C$4:$C$9996,"Entrada")-SUMIFS(Movimentos!$F$4:$F$9996,Movimentos!$D$4:$D$9996,B3349,Movimentos!$C$4:$C$9996,"Saída"),""),"")</f>
        <v/>
      </c>
      <c r="F3349" s="10" t="str">
        <f t="shared" si="106"/>
        <v/>
      </c>
    </row>
    <row r="3350" spans="1:6" x14ac:dyDescent="0.3">
      <c r="A3350" s="15" t="str">
        <f t="shared" si="107"/>
        <v>.</v>
      </c>
      <c r="E3350" s="13" t="str">
        <f>IFERROR(IF(AND(B3350&lt;&gt;"",C3350&lt;&gt;""),SUMIFS(Movimentos!$F$4:$F$9996,Movimentos!$D$4:$D$9996,B3350,Movimentos!$C$4:$C$9996,"Entrada")-SUMIFS(Movimentos!$F$4:$F$9996,Movimentos!$D$4:$D$9996,B3350,Movimentos!$C$4:$C$9996,"Saída"),""),"")</f>
        <v/>
      </c>
      <c r="F3350" s="10" t="str">
        <f t="shared" si="106"/>
        <v/>
      </c>
    </row>
    <row r="3351" spans="1:6" x14ac:dyDescent="0.3">
      <c r="A3351" s="15" t="str">
        <f t="shared" si="107"/>
        <v>.</v>
      </c>
      <c r="E3351" s="13" t="str">
        <f>IFERROR(IF(AND(B3351&lt;&gt;"",C3351&lt;&gt;""),SUMIFS(Movimentos!$F$4:$F$9996,Movimentos!$D$4:$D$9996,B3351,Movimentos!$C$4:$C$9996,"Entrada")-SUMIFS(Movimentos!$F$4:$F$9996,Movimentos!$D$4:$D$9996,B3351,Movimentos!$C$4:$C$9996,"Saída"),""),"")</f>
        <v/>
      </c>
      <c r="F3351" s="10" t="str">
        <f t="shared" ref="F3351:F3414" si="108">IF(AND(B3351&lt;&gt;"",C3351&lt;&gt;""),IF(E3351=0,"Saldo zerado",IF(E3351&lt;D3351,"Saldo abaixo do mínimo","Saldo disponível")),"")</f>
        <v/>
      </c>
    </row>
    <row r="3352" spans="1:6" x14ac:dyDescent="0.3">
      <c r="A3352" s="15" t="str">
        <f t="shared" si="107"/>
        <v>.</v>
      </c>
      <c r="E3352" s="13" t="str">
        <f>IFERROR(IF(AND(B3352&lt;&gt;"",C3352&lt;&gt;""),SUMIFS(Movimentos!$F$4:$F$9996,Movimentos!$D$4:$D$9996,B3352,Movimentos!$C$4:$C$9996,"Entrada")-SUMIFS(Movimentos!$F$4:$F$9996,Movimentos!$D$4:$D$9996,B3352,Movimentos!$C$4:$C$9996,"Saída"),""),"")</f>
        <v/>
      </c>
      <c r="F3352" s="10" t="str">
        <f t="shared" si="108"/>
        <v/>
      </c>
    </row>
    <row r="3353" spans="1:6" x14ac:dyDescent="0.3">
      <c r="A3353" s="15" t="str">
        <f t="shared" si="107"/>
        <v>.</v>
      </c>
      <c r="E3353" s="13" t="str">
        <f>IFERROR(IF(AND(B3353&lt;&gt;"",C3353&lt;&gt;""),SUMIFS(Movimentos!$F$4:$F$9996,Movimentos!$D$4:$D$9996,B3353,Movimentos!$C$4:$C$9996,"Entrada")-SUMIFS(Movimentos!$F$4:$F$9996,Movimentos!$D$4:$D$9996,B3353,Movimentos!$C$4:$C$9996,"Saída"),""),"")</f>
        <v/>
      </c>
      <c r="F3353" s="10" t="str">
        <f t="shared" si="108"/>
        <v/>
      </c>
    </row>
    <row r="3354" spans="1:6" x14ac:dyDescent="0.3">
      <c r="A3354" s="15" t="str">
        <f t="shared" si="107"/>
        <v>.</v>
      </c>
      <c r="E3354" s="13" t="str">
        <f>IFERROR(IF(AND(B3354&lt;&gt;"",C3354&lt;&gt;""),SUMIFS(Movimentos!$F$4:$F$9996,Movimentos!$D$4:$D$9996,B3354,Movimentos!$C$4:$C$9996,"Entrada")-SUMIFS(Movimentos!$F$4:$F$9996,Movimentos!$D$4:$D$9996,B3354,Movimentos!$C$4:$C$9996,"Saída"),""),"")</f>
        <v/>
      </c>
      <c r="F3354" s="10" t="str">
        <f t="shared" si="108"/>
        <v/>
      </c>
    </row>
    <row r="3355" spans="1:6" x14ac:dyDescent="0.3">
      <c r="A3355" s="15" t="str">
        <f t="shared" si="107"/>
        <v>.</v>
      </c>
      <c r="E3355" s="13" t="str">
        <f>IFERROR(IF(AND(B3355&lt;&gt;"",C3355&lt;&gt;""),SUMIFS(Movimentos!$F$4:$F$9996,Movimentos!$D$4:$D$9996,B3355,Movimentos!$C$4:$C$9996,"Entrada")-SUMIFS(Movimentos!$F$4:$F$9996,Movimentos!$D$4:$D$9996,B3355,Movimentos!$C$4:$C$9996,"Saída"),""),"")</f>
        <v/>
      </c>
      <c r="F3355" s="10" t="str">
        <f t="shared" si="108"/>
        <v/>
      </c>
    </row>
    <row r="3356" spans="1:6" x14ac:dyDescent="0.3">
      <c r="A3356" s="15" t="str">
        <f t="shared" si="107"/>
        <v>.</v>
      </c>
      <c r="E3356" s="13" t="str">
        <f>IFERROR(IF(AND(B3356&lt;&gt;"",C3356&lt;&gt;""),SUMIFS(Movimentos!$F$4:$F$9996,Movimentos!$D$4:$D$9996,B3356,Movimentos!$C$4:$C$9996,"Entrada")-SUMIFS(Movimentos!$F$4:$F$9996,Movimentos!$D$4:$D$9996,B3356,Movimentos!$C$4:$C$9996,"Saída"),""),"")</f>
        <v/>
      </c>
      <c r="F3356" s="10" t="str">
        <f t="shared" si="108"/>
        <v/>
      </c>
    </row>
    <row r="3357" spans="1:6" x14ac:dyDescent="0.3">
      <c r="A3357" s="15" t="str">
        <f t="shared" si="107"/>
        <v>.</v>
      </c>
      <c r="E3357" s="13" t="str">
        <f>IFERROR(IF(AND(B3357&lt;&gt;"",C3357&lt;&gt;""),SUMIFS(Movimentos!$F$4:$F$9996,Movimentos!$D$4:$D$9996,B3357,Movimentos!$C$4:$C$9996,"Entrada")-SUMIFS(Movimentos!$F$4:$F$9996,Movimentos!$D$4:$D$9996,B3357,Movimentos!$C$4:$C$9996,"Saída"),""),"")</f>
        <v/>
      </c>
      <c r="F3357" s="10" t="str">
        <f t="shared" si="108"/>
        <v/>
      </c>
    </row>
    <row r="3358" spans="1:6" x14ac:dyDescent="0.3">
      <c r="A3358" s="15" t="str">
        <f t="shared" si="107"/>
        <v>.</v>
      </c>
      <c r="E3358" s="13" t="str">
        <f>IFERROR(IF(AND(B3358&lt;&gt;"",C3358&lt;&gt;""),SUMIFS(Movimentos!$F$4:$F$9996,Movimentos!$D$4:$D$9996,B3358,Movimentos!$C$4:$C$9996,"Entrada")-SUMIFS(Movimentos!$F$4:$F$9996,Movimentos!$D$4:$D$9996,B3358,Movimentos!$C$4:$C$9996,"Saída"),""),"")</f>
        <v/>
      </c>
      <c r="F3358" s="10" t="str">
        <f t="shared" si="108"/>
        <v/>
      </c>
    </row>
    <row r="3359" spans="1:6" x14ac:dyDescent="0.3">
      <c r="A3359" s="15" t="str">
        <f t="shared" si="107"/>
        <v>.</v>
      </c>
      <c r="E3359" s="13" t="str">
        <f>IFERROR(IF(AND(B3359&lt;&gt;"",C3359&lt;&gt;""),SUMIFS(Movimentos!$F$4:$F$9996,Movimentos!$D$4:$D$9996,B3359,Movimentos!$C$4:$C$9996,"Entrada")-SUMIFS(Movimentos!$F$4:$F$9996,Movimentos!$D$4:$D$9996,B3359,Movimentos!$C$4:$C$9996,"Saída"),""),"")</f>
        <v/>
      </c>
      <c r="F3359" s="10" t="str">
        <f t="shared" si="108"/>
        <v/>
      </c>
    </row>
    <row r="3360" spans="1:6" x14ac:dyDescent="0.3">
      <c r="A3360" s="15" t="str">
        <f t="shared" si="107"/>
        <v>.</v>
      </c>
      <c r="E3360" s="13" t="str">
        <f>IFERROR(IF(AND(B3360&lt;&gt;"",C3360&lt;&gt;""),SUMIFS(Movimentos!$F$4:$F$9996,Movimentos!$D$4:$D$9996,B3360,Movimentos!$C$4:$C$9996,"Entrada")-SUMIFS(Movimentos!$F$4:$F$9996,Movimentos!$D$4:$D$9996,B3360,Movimentos!$C$4:$C$9996,"Saída"),""),"")</f>
        <v/>
      </c>
      <c r="F3360" s="10" t="str">
        <f t="shared" si="108"/>
        <v/>
      </c>
    </row>
    <row r="3361" spans="1:6" x14ac:dyDescent="0.3">
      <c r="A3361" s="15" t="str">
        <f t="shared" si="107"/>
        <v>.</v>
      </c>
      <c r="E3361" s="13" t="str">
        <f>IFERROR(IF(AND(B3361&lt;&gt;"",C3361&lt;&gt;""),SUMIFS(Movimentos!$F$4:$F$9996,Movimentos!$D$4:$D$9996,B3361,Movimentos!$C$4:$C$9996,"Entrada")-SUMIFS(Movimentos!$F$4:$F$9996,Movimentos!$D$4:$D$9996,B3361,Movimentos!$C$4:$C$9996,"Saída"),""),"")</f>
        <v/>
      </c>
      <c r="F3361" s="10" t="str">
        <f t="shared" si="108"/>
        <v/>
      </c>
    </row>
    <row r="3362" spans="1:6" x14ac:dyDescent="0.3">
      <c r="A3362" s="15" t="str">
        <f t="shared" si="107"/>
        <v>.</v>
      </c>
      <c r="E3362" s="13" t="str">
        <f>IFERROR(IF(AND(B3362&lt;&gt;"",C3362&lt;&gt;""),SUMIFS(Movimentos!$F$4:$F$9996,Movimentos!$D$4:$D$9996,B3362,Movimentos!$C$4:$C$9996,"Entrada")-SUMIFS(Movimentos!$F$4:$F$9996,Movimentos!$D$4:$D$9996,B3362,Movimentos!$C$4:$C$9996,"Saída"),""),"")</f>
        <v/>
      </c>
      <c r="F3362" s="10" t="str">
        <f t="shared" si="108"/>
        <v/>
      </c>
    </row>
    <row r="3363" spans="1:6" x14ac:dyDescent="0.3">
      <c r="A3363" s="15" t="str">
        <f t="shared" si="107"/>
        <v>.</v>
      </c>
      <c r="E3363" s="13" t="str">
        <f>IFERROR(IF(AND(B3363&lt;&gt;"",C3363&lt;&gt;""),SUMIFS(Movimentos!$F$4:$F$9996,Movimentos!$D$4:$D$9996,B3363,Movimentos!$C$4:$C$9996,"Entrada")-SUMIFS(Movimentos!$F$4:$F$9996,Movimentos!$D$4:$D$9996,B3363,Movimentos!$C$4:$C$9996,"Saída"),""),"")</f>
        <v/>
      </c>
      <c r="F3363" s="10" t="str">
        <f t="shared" si="108"/>
        <v/>
      </c>
    </row>
    <row r="3364" spans="1:6" x14ac:dyDescent="0.3">
      <c r="A3364" s="15" t="str">
        <f t="shared" si="107"/>
        <v>.</v>
      </c>
      <c r="E3364" s="13" t="str">
        <f>IFERROR(IF(AND(B3364&lt;&gt;"",C3364&lt;&gt;""),SUMIFS(Movimentos!$F$4:$F$9996,Movimentos!$D$4:$D$9996,B3364,Movimentos!$C$4:$C$9996,"Entrada")-SUMIFS(Movimentos!$F$4:$F$9996,Movimentos!$D$4:$D$9996,B3364,Movimentos!$C$4:$C$9996,"Saída"),""),"")</f>
        <v/>
      </c>
      <c r="F3364" s="10" t="str">
        <f t="shared" si="108"/>
        <v/>
      </c>
    </row>
    <row r="3365" spans="1:6" x14ac:dyDescent="0.3">
      <c r="A3365" s="15" t="str">
        <f t="shared" si="107"/>
        <v>.</v>
      </c>
      <c r="E3365" s="13" t="str">
        <f>IFERROR(IF(AND(B3365&lt;&gt;"",C3365&lt;&gt;""),SUMIFS(Movimentos!$F$4:$F$9996,Movimentos!$D$4:$D$9996,B3365,Movimentos!$C$4:$C$9996,"Entrada")-SUMIFS(Movimentos!$F$4:$F$9996,Movimentos!$D$4:$D$9996,B3365,Movimentos!$C$4:$C$9996,"Saída"),""),"")</f>
        <v/>
      </c>
      <c r="F3365" s="10" t="str">
        <f t="shared" si="108"/>
        <v/>
      </c>
    </row>
    <row r="3366" spans="1:6" x14ac:dyDescent="0.3">
      <c r="A3366" s="15" t="str">
        <f t="shared" si="107"/>
        <v>.</v>
      </c>
      <c r="E3366" s="13" t="str">
        <f>IFERROR(IF(AND(B3366&lt;&gt;"",C3366&lt;&gt;""),SUMIFS(Movimentos!$F$4:$F$9996,Movimentos!$D$4:$D$9996,B3366,Movimentos!$C$4:$C$9996,"Entrada")-SUMIFS(Movimentos!$F$4:$F$9996,Movimentos!$D$4:$D$9996,B3366,Movimentos!$C$4:$C$9996,"Saída"),""),"")</f>
        <v/>
      </c>
      <c r="F3366" s="10" t="str">
        <f t="shared" si="108"/>
        <v/>
      </c>
    </row>
    <row r="3367" spans="1:6" x14ac:dyDescent="0.3">
      <c r="A3367" s="15" t="str">
        <f t="shared" si="107"/>
        <v>.</v>
      </c>
      <c r="E3367" s="13" t="str">
        <f>IFERROR(IF(AND(B3367&lt;&gt;"",C3367&lt;&gt;""),SUMIFS(Movimentos!$F$4:$F$9996,Movimentos!$D$4:$D$9996,B3367,Movimentos!$C$4:$C$9996,"Entrada")-SUMIFS(Movimentos!$F$4:$F$9996,Movimentos!$D$4:$D$9996,B3367,Movimentos!$C$4:$C$9996,"Saída"),""),"")</f>
        <v/>
      </c>
      <c r="F3367" s="10" t="str">
        <f t="shared" si="108"/>
        <v/>
      </c>
    </row>
    <row r="3368" spans="1:6" x14ac:dyDescent="0.3">
      <c r="A3368" s="15" t="str">
        <f t="shared" si="107"/>
        <v>.</v>
      </c>
      <c r="E3368" s="13" t="str">
        <f>IFERROR(IF(AND(B3368&lt;&gt;"",C3368&lt;&gt;""),SUMIFS(Movimentos!$F$4:$F$9996,Movimentos!$D$4:$D$9996,B3368,Movimentos!$C$4:$C$9996,"Entrada")-SUMIFS(Movimentos!$F$4:$F$9996,Movimentos!$D$4:$D$9996,B3368,Movimentos!$C$4:$C$9996,"Saída"),""),"")</f>
        <v/>
      </c>
      <c r="F3368" s="10" t="str">
        <f t="shared" si="108"/>
        <v/>
      </c>
    </row>
    <row r="3369" spans="1:6" x14ac:dyDescent="0.3">
      <c r="A3369" s="15" t="str">
        <f t="shared" si="107"/>
        <v>.</v>
      </c>
      <c r="E3369" s="13" t="str">
        <f>IFERROR(IF(AND(B3369&lt;&gt;"",C3369&lt;&gt;""),SUMIFS(Movimentos!$F$4:$F$9996,Movimentos!$D$4:$D$9996,B3369,Movimentos!$C$4:$C$9996,"Entrada")-SUMIFS(Movimentos!$F$4:$F$9996,Movimentos!$D$4:$D$9996,B3369,Movimentos!$C$4:$C$9996,"Saída"),""),"")</f>
        <v/>
      </c>
      <c r="F3369" s="10" t="str">
        <f t="shared" si="108"/>
        <v/>
      </c>
    </row>
    <row r="3370" spans="1:6" x14ac:dyDescent="0.3">
      <c r="A3370" s="15" t="str">
        <f t="shared" si="107"/>
        <v>.</v>
      </c>
      <c r="E3370" s="13" t="str">
        <f>IFERROR(IF(AND(B3370&lt;&gt;"",C3370&lt;&gt;""),SUMIFS(Movimentos!$F$4:$F$9996,Movimentos!$D$4:$D$9996,B3370,Movimentos!$C$4:$C$9996,"Entrada")-SUMIFS(Movimentos!$F$4:$F$9996,Movimentos!$D$4:$D$9996,B3370,Movimentos!$C$4:$C$9996,"Saída"),""),"")</f>
        <v/>
      </c>
      <c r="F3370" s="10" t="str">
        <f t="shared" si="108"/>
        <v/>
      </c>
    </row>
    <row r="3371" spans="1:6" x14ac:dyDescent="0.3">
      <c r="A3371" s="15" t="str">
        <f t="shared" si="107"/>
        <v>.</v>
      </c>
      <c r="E3371" s="13" t="str">
        <f>IFERROR(IF(AND(B3371&lt;&gt;"",C3371&lt;&gt;""),SUMIFS(Movimentos!$F$4:$F$9996,Movimentos!$D$4:$D$9996,B3371,Movimentos!$C$4:$C$9996,"Entrada")-SUMIFS(Movimentos!$F$4:$F$9996,Movimentos!$D$4:$D$9996,B3371,Movimentos!$C$4:$C$9996,"Saída"),""),"")</f>
        <v/>
      </c>
      <c r="F3371" s="10" t="str">
        <f t="shared" si="108"/>
        <v/>
      </c>
    </row>
    <row r="3372" spans="1:6" x14ac:dyDescent="0.3">
      <c r="A3372" s="15" t="str">
        <f t="shared" si="107"/>
        <v>.</v>
      </c>
      <c r="E3372" s="13" t="str">
        <f>IFERROR(IF(AND(B3372&lt;&gt;"",C3372&lt;&gt;""),SUMIFS(Movimentos!$F$4:$F$9996,Movimentos!$D$4:$D$9996,B3372,Movimentos!$C$4:$C$9996,"Entrada")-SUMIFS(Movimentos!$F$4:$F$9996,Movimentos!$D$4:$D$9996,B3372,Movimentos!$C$4:$C$9996,"Saída"),""),"")</f>
        <v/>
      </c>
      <c r="F3372" s="10" t="str">
        <f t="shared" si="108"/>
        <v/>
      </c>
    </row>
    <row r="3373" spans="1:6" x14ac:dyDescent="0.3">
      <c r="A3373" s="15" t="str">
        <f t="shared" si="107"/>
        <v>.</v>
      </c>
      <c r="E3373" s="13" t="str">
        <f>IFERROR(IF(AND(B3373&lt;&gt;"",C3373&lt;&gt;""),SUMIFS(Movimentos!$F$4:$F$9996,Movimentos!$D$4:$D$9996,B3373,Movimentos!$C$4:$C$9996,"Entrada")-SUMIFS(Movimentos!$F$4:$F$9996,Movimentos!$D$4:$D$9996,B3373,Movimentos!$C$4:$C$9996,"Saída"),""),"")</f>
        <v/>
      </c>
      <c r="F3373" s="10" t="str">
        <f t="shared" si="108"/>
        <v/>
      </c>
    </row>
    <row r="3374" spans="1:6" x14ac:dyDescent="0.3">
      <c r="A3374" s="15" t="str">
        <f t="shared" si="107"/>
        <v>.</v>
      </c>
      <c r="E3374" s="13" t="str">
        <f>IFERROR(IF(AND(B3374&lt;&gt;"",C3374&lt;&gt;""),SUMIFS(Movimentos!$F$4:$F$9996,Movimentos!$D$4:$D$9996,B3374,Movimentos!$C$4:$C$9996,"Entrada")-SUMIFS(Movimentos!$F$4:$F$9996,Movimentos!$D$4:$D$9996,B3374,Movimentos!$C$4:$C$9996,"Saída"),""),"")</f>
        <v/>
      </c>
      <c r="F3374" s="10" t="str">
        <f t="shared" si="108"/>
        <v/>
      </c>
    </row>
    <row r="3375" spans="1:6" x14ac:dyDescent="0.3">
      <c r="A3375" s="15" t="str">
        <f t="shared" si="107"/>
        <v>.</v>
      </c>
      <c r="E3375" s="13" t="str">
        <f>IFERROR(IF(AND(B3375&lt;&gt;"",C3375&lt;&gt;""),SUMIFS(Movimentos!$F$4:$F$9996,Movimentos!$D$4:$D$9996,B3375,Movimentos!$C$4:$C$9996,"Entrada")-SUMIFS(Movimentos!$F$4:$F$9996,Movimentos!$D$4:$D$9996,B3375,Movimentos!$C$4:$C$9996,"Saída"),""),"")</f>
        <v/>
      </c>
      <c r="F3375" s="10" t="str">
        <f t="shared" si="108"/>
        <v/>
      </c>
    </row>
    <row r="3376" spans="1:6" x14ac:dyDescent="0.3">
      <c r="A3376" s="15" t="str">
        <f t="shared" si="107"/>
        <v>.</v>
      </c>
      <c r="E3376" s="13" t="str">
        <f>IFERROR(IF(AND(B3376&lt;&gt;"",C3376&lt;&gt;""),SUMIFS(Movimentos!$F$4:$F$9996,Movimentos!$D$4:$D$9996,B3376,Movimentos!$C$4:$C$9996,"Entrada")-SUMIFS(Movimentos!$F$4:$F$9996,Movimentos!$D$4:$D$9996,B3376,Movimentos!$C$4:$C$9996,"Saída"),""),"")</f>
        <v/>
      </c>
      <c r="F3376" s="10" t="str">
        <f t="shared" si="108"/>
        <v/>
      </c>
    </row>
    <row r="3377" spans="1:6" x14ac:dyDescent="0.3">
      <c r="A3377" s="15" t="str">
        <f t="shared" si="107"/>
        <v>.</v>
      </c>
      <c r="E3377" s="13" t="str">
        <f>IFERROR(IF(AND(B3377&lt;&gt;"",C3377&lt;&gt;""),SUMIFS(Movimentos!$F$4:$F$9996,Movimentos!$D$4:$D$9996,B3377,Movimentos!$C$4:$C$9996,"Entrada")-SUMIFS(Movimentos!$F$4:$F$9996,Movimentos!$D$4:$D$9996,B3377,Movimentos!$C$4:$C$9996,"Saída"),""),"")</f>
        <v/>
      </c>
      <c r="F3377" s="10" t="str">
        <f t="shared" si="108"/>
        <v/>
      </c>
    </row>
    <row r="3378" spans="1:6" x14ac:dyDescent="0.3">
      <c r="A3378" s="15" t="str">
        <f t="shared" si="107"/>
        <v>.</v>
      </c>
      <c r="E3378" s="13" t="str">
        <f>IFERROR(IF(AND(B3378&lt;&gt;"",C3378&lt;&gt;""),SUMIFS(Movimentos!$F$4:$F$9996,Movimentos!$D$4:$D$9996,B3378,Movimentos!$C$4:$C$9996,"Entrada")-SUMIFS(Movimentos!$F$4:$F$9996,Movimentos!$D$4:$D$9996,B3378,Movimentos!$C$4:$C$9996,"Saída"),""),"")</f>
        <v/>
      </c>
      <c r="F3378" s="10" t="str">
        <f t="shared" si="108"/>
        <v/>
      </c>
    </row>
    <row r="3379" spans="1:6" x14ac:dyDescent="0.3">
      <c r="A3379" s="15" t="str">
        <f t="shared" si="107"/>
        <v>.</v>
      </c>
      <c r="E3379" s="13" t="str">
        <f>IFERROR(IF(AND(B3379&lt;&gt;"",C3379&lt;&gt;""),SUMIFS(Movimentos!$F$4:$F$9996,Movimentos!$D$4:$D$9996,B3379,Movimentos!$C$4:$C$9996,"Entrada")-SUMIFS(Movimentos!$F$4:$F$9996,Movimentos!$D$4:$D$9996,B3379,Movimentos!$C$4:$C$9996,"Saída"),""),"")</f>
        <v/>
      </c>
      <c r="F3379" s="10" t="str">
        <f t="shared" si="108"/>
        <v/>
      </c>
    </row>
    <row r="3380" spans="1:6" x14ac:dyDescent="0.3">
      <c r="A3380" s="15" t="str">
        <f t="shared" si="107"/>
        <v>.</v>
      </c>
      <c r="E3380" s="13" t="str">
        <f>IFERROR(IF(AND(B3380&lt;&gt;"",C3380&lt;&gt;""),SUMIFS(Movimentos!$F$4:$F$9996,Movimentos!$D$4:$D$9996,B3380,Movimentos!$C$4:$C$9996,"Entrada")-SUMIFS(Movimentos!$F$4:$F$9996,Movimentos!$D$4:$D$9996,B3380,Movimentos!$C$4:$C$9996,"Saída"),""),"")</f>
        <v/>
      </c>
      <c r="F3380" s="10" t="str">
        <f t="shared" si="108"/>
        <v/>
      </c>
    </row>
    <row r="3381" spans="1:6" x14ac:dyDescent="0.3">
      <c r="A3381" s="15" t="str">
        <f t="shared" si="107"/>
        <v>.</v>
      </c>
      <c r="E3381" s="13" t="str">
        <f>IFERROR(IF(AND(B3381&lt;&gt;"",C3381&lt;&gt;""),SUMIFS(Movimentos!$F$4:$F$9996,Movimentos!$D$4:$D$9996,B3381,Movimentos!$C$4:$C$9996,"Entrada")-SUMIFS(Movimentos!$F$4:$F$9996,Movimentos!$D$4:$D$9996,B3381,Movimentos!$C$4:$C$9996,"Saída"),""),"")</f>
        <v/>
      </c>
      <c r="F3381" s="10" t="str">
        <f t="shared" si="108"/>
        <v/>
      </c>
    </row>
    <row r="3382" spans="1:6" x14ac:dyDescent="0.3">
      <c r="A3382" s="15" t="str">
        <f t="shared" si="107"/>
        <v>.</v>
      </c>
      <c r="E3382" s="13" t="str">
        <f>IFERROR(IF(AND(B3382&lt;&gt;"",C3382&lt;&gt;""),SUMIFS(Movimentos!$F$4:$F$9996,Movimentos!$D$4:$D$9996,B3382,Movimentos!$C$4:$C$9996,"Entrada")-SUMIFS(Movimentos!$F$4:$F$9996,Movimentos!$D$4:$D$9996,B3382,Movimentos!$C$4:$C$9996,"Saída"),""),"")</f>
        <v/>
      </c>
      <c r="F3382" s="10" t="str">
        <f t="shared" si="108"/>
        <v/>
      </c>
    </row>
    <row r="3383" spans="1:6" x14ac:dyDescent="0.3">
      <c r="A3383" s="15" t="str">
        <f t="shared" si="107"/>
        <v>.</v>
      </c>
      <c r="E3383" s="13" t="str">
        <f>IFERROR(IF(AND(B3383&lt;&gt;"",C3383&lt;&gt;""),SUMIFS(Movimentos!$F$4:$F$9996,Movimentos!$D$4:$D$9996,B3383,Movimentos!$C$4:$C$9996,"Entrada")-SUMIFS(Movimentos!$F$4:$F$9996,Movimentos!$D$4:$D$9996,B3383,Movimentos!$C$4:$C$9996,"Saída"),""),"")</f>
        <v/>
      </c>
      <c r="F3383" s="10" t="str">
        <f t="shared" si="108"/>
        <v/>
      </c>
    </row>
    <row r="3384" spans="1:6" x14ac:dyDescent="0.3">
      <c r="A3384" s="15" t="str">
        <f t="shared" si="107"/>
        <v>.</v>
      </c>
      <c r="E3384" s="13" t="str">
        <f>IFERROR(IF(AND(B3384&lt;&gt;"",C3384&lt;&gt;""),SUMIFS(Movimentos!$F$4:$F$9996,Movimentos!$D$4:$D$9996,B3384,Movimentos!$C$4:$C$9996,"Entrada")-SUMIFS(Movimentos!$F$4:$F$9996,Movimentos!$D$4:$D$9996,B3384,Movimentos!$C$4:$C$9996,"Saída"),""),"")</f>
        <v/>
      </c>
      <c r="F3384" s="10" t="str">
        <f t="shared" si="108"/>
        <v/>
      </c>
    </row>
    <row r="3385" spans="1:6" x14ac:dyDescent="0.3">
      <c r="A3385" s="15" t="str">
        <f t="shared" si="107"/>
        <v>.</v>
      </c>
      <c r="E3385" s="13" t="str">
        <f>IFERROR(IF(AND(B3385&lt;&gt;"",C3385&lt;&gt;""),SUMIFS(Movimentos!$F$4:$F$9996,Movimentos!$D$4:$D$9996,B3385,Movimentos!$C$4:$C$9996,"Entrada")-SUMIFS(Movimentos!$F$4:$F$9996,Movimentos!$D$4:$D$9996,B3385,Movimentos!$C$4:$C$9996,"Saída"),""),"")</f>
        <v/>
      </c>
      <c r="F3385" s="10" t="str">
        <f t="shared" si="108"/>
        <v/>
      </c>
    </row>
    <row r="3386" spans="1:6" x14ac:dyDescent="0.3">
      <c r="A3386" s="15" t="str">
        <f t="shared" si="107"/>
        <v>.</v>
      </c>
      <c r="E3386" s="13" t="str">
        <f>IFERROR(IF(AND(B3386&lt;&gt;"",C3386&lt;&gt;""),SUMIFS(Movimentos!$F$4:$F$9996,Movimentos!$D$4:$D$9996,B3386,Movimentos!$C$4:$C$9996,"Entrada")-SUMIFS(Movimentos!$F$4:$F$9996,Movimentos!$D$4:$D$9996,B3386,Movimentos!$C$4:$C$9996,"Saída"),""),"")</f>
        <v/>
      </c>
      <c r="F3386" s="10" t="str">
        <f t="shared" si="108"/>
        <v/>
      </c>
    </row>
    <row r="3387" spans="1:6" x14ac:dyDescent="0.3">
      <c r="A3387" s="15" t="str">
        <f t="shared" si="107"/>
        <v>.</v>
      </c>
      <c r="E3387" s="13" t="str">
        <f>IFERROR(IF(AND(B3387&lt;&gt;"",C3387&lt;&gt;""),SUMIFS(Movimentos!$F$4:$F$9996,Movimentos!$D$4:$D$9996,B3387,Movimentos!$C$4:$C$9996,"Entrada")-SUMIFS(Movimentos!$F$4:$F$9996,Movimentos!$D$4:$D$9996,B3387,Movimentos!$C$4:$C$9996,"Saída"),""),"")</f>
        <v/>
      </c>
      <c r="F3387" s="10" t="str">
        <f t="shared" si="108"/>
        <v/>
      </c>
    </row>
    <row r="3388" spans="1:6" x14ac:dyDescent="0.3">
      <c r="A3388" s="15" t="str">
        <f t="shared" si="107"/>
        <v>.</v>
      </c>
      <c r="E3388" s="13" t="str">
        <f>IFERROR(IF(AND(B3388&lt;&gt;"",C3388&lt;&gt;""),SUMIFS(Movimentos!$F$4:$F$9996,Movimentos!$D$4:$D$9996,B3388,Movimentos!$C$4:$C$9996,"Entrada")-SUMIFS(Movimentos!$F$4:$F$9996,Movimentos!$D$4:$D$9996,B3388,Movimentos!$C$4:$C$9996,"Saída"),""),"")</f>
        <v/>
      </c>
      <c r="F3388" s="10" t="str">
        <f t="shared" si="108"/>
        <v/>
      </c>
    </row>
    <row r="3389" spans="1:6" x14ac:dyDescent="0.3">
      <c r="A3389" s="15" t="str">
        <f t="shared" si="107"/>
        <v>.</v>
      </c>
      <c r="E3389" s="13" t="str">
        <f>IFERROR(IF(AND(B3389&lt;&gt;"",C3389&lt;&gt;""),SUMIFS(Movimentos!$F$4:$F$9996,Movimentos!$D$4:$D$9996,B3389,Movimentos!$C$4:$C$9996,"Entrada")-SUMIFS(Movimentos!$F$4:$F$9996,Movimentos!$D$4:$D$9996,B3389,Movimentos!$C$4:$C$9996,"Saída"),""),"")</f>
        <v/>
      </c>
      <c r="F3389" s="10" t="str">
        <f t="shared" si="108"/>
        <v/>
      </c>
    </row>
    <row r="3390" spans="1:6" x14ac:dyDescent="0.3">
      <c r="A3390" s="15" t="str">
        <f t="shared" si="107"/>
        <v>.</v>
      </c>
      <c r="E3390" s="13" t="str">
        <f>IFERROR(IF(AND(B3390&lt;&gt;"",C3390&lt;&gt;""),SUMIFS(Movimentos!$F$4:$F$9996,Movimentos!$D$4:$D$9996,B3390,Movimentos!$C$4:$C$9996,"Entrada")-SUMIFS(Movimentos!$F$4:$F$9996,Movimentos!$D$4:$D$9996,B3390,Movimentos!$C$4:$C$9996,"Saída"),""),"")</f>
        <v/>
      </c>
      <c r="F3390" s="10" t="str">
        <f t="shared" si="108"/>
        <v/>
      </c>
    </row>
    <row r="3391" spans="1:6" x14ac:dyDescent="0.3">
      <c r="A3391" s="15" t="str">
        <f t="shared" si="107"/>
        <v>.</v>
      </c>
      <c r="E3391" s="13" t="str">
        <f>IFERROR(IF(AND(B3391&lt;&gt;"",C3391&lt;&gt;""),SUMIFS(Movimentos!$F$4:$F$9996,Movimentos!$D$4:$D$9996,B3391,Movimentos!$C$4:$C$9996,"Entrada")-SUMIFS(Movimentos!$F$4:$F$9996,Movimentos!$D$4:$D$9996,B3391,Movimentos!$C$4:$C$9996,"Saída"),""),"")</f>
        <v/>
      </c>
      <c r="F3391" s="10" t="str">
        <f t="shared" si="108"/>
        <v/>
      </c>
    </row>
    <row r="3392" spans="1:6" x14ac:dyDescent="0.3">
      <c r="A3392" s="15" t="str">
        <f t="shared" ref="A3392:A3455" si="109">IF(F3392="Saldo zerado",0,IF(F3392="Saldo abaixo do mínimo",1,IF(F3392="Saldo disponível",2,".")))</f>
        <v>.</v>
      </c>
      <c r="E3392" s="13" t="str">
        <f>IFERROR(IF(AND(B3392&lt;&gt;"",C3392&lt;&gt;""),SUMIFS(Movimentos!$F$4:$F$9996,Movimentos!$D$4:$D$9996,B3392,Movimentos!$C$4:$C$9996,"Entrada")-SUMIFS(Movimentos!$F$4:$F$9996,Movimentos!$D$4:$D$9996,B3392,Movimentos!$C$4:$C$9996,"Saída"),""),"")</f>
        <v/>
      </c>
      <c r="F3392" s="10" t="str">
        <f t="shared" si="108"/>
        <v/>
      </c>
    </row>
    <row r="3393" spans="1:6" x14ac:dyDescent="0.3">
      <c r="A3393" s="15" t="str">
        <f t="shared" si="109"/>
        <v>.</v>
      </c>
      <c r="E3393" s="13" t="str">
        <f>IFERROR(IF(AND(B3393&lt;&gt;"",C3393&lt;&gt;""),SUMIFS(Movimentos!$F$4:$F$9996,Movimentos!$D$4:$D$9996,B3393,Movimentos!$C$4:$C$9996,"Entrada")-SUMIFS(Movimentos!$F$4:$F$9996,Movimentos!$D$4:$D$9996,B3393,Movimentos!$C$4:$C$9996,"Saída"),""),"")</f>
        <v/>
      </c>
      <c r="F3393" s="10" t="str">
        <f t="shared" si="108"/>
        <v/>
      </c>
    </row>
    <row r="3394" spans="1:6" x14ac:dyDescent="0.3">
      <c r="A3394" s="15" t="str">
        <f t="shared" si="109"/>
        <v>.</v>
      </c>
      <c r="E3394" s="13" t="str">
        <f>IFERROR(IF(AND(B3394&lt;&gt;"",C3394&lt;&gt;""),SUMIFS(Movimentos!$F$4:$F$9996,Movimentos!$D$4:$D$9996,B3394,Movimentos!$C$4:$C$9996,"Entrada")-SUMIFS(Movimentos!$F$4:$F$9996,Movimentos!$D$4:$D$9996,B3394,Movimentos!$C$4:$C$9996,"Saída"),""),"")</f>
        <v/>
      </c>
      <c r="F3394" s="10" t="str">
        <f t="shared" si="108"/>
        <v/>
      </c>
    </row>
    <row r="3395" spans="1:6" x14ac:dyDescent="0.3">
      <c r="A3395" s="15" t="str">
        <f t="shared" si="109"/>
        <v>.</v>
      </c>
      <c r="E3395" s="13" t="str">
        <f>IFERROR(IF(AND(B3395&lt;&gt;"",C3395&lt;&gt;""),SUMIFS(Movimentos!$F$4:$F$9996,Movimentos!$D$4:$D$9996,B3395,Movimentos!$C$4:$C$9996,"Entrada")-SUMIFS(Movimentos!$F$4:$F$9996,Movimentos!$D$4:$D$9996,B3395,Movimentos!$C$4:$C$9996,"Saída"),""),"")</f>
        <v/>
      </c>
      <c r="F3395" s="10" t="str">
        <f t="shared" si="108"/>
        <v/>
      </c>
    </row>
    <row r="3396" spans="1:6" x14ac:dyDescent="0.3">
      <c r="A3396" s="15" t="str">
        <f t="shared" si="109"/>
        <v>.</v>
      </c>
      <c r="E3396" s="13" t="str">
        <f>IFERROR(IF(AND(B3396&lt;&gt;"",C3396&lt;&gt;""),SUMIFS(Movimentos!$F$4:$F$9996,Movimentos!$D$4:$D$9996,B3396,Movimentos!$C$4:$C$9996,"Entrada")-SUMIFS(Movimentos!$F$4:$F$9996,Movimentos!$D$4:$D$9996,B3396,Movimentos!$C$4:$C$9996,"Saída"),""),"")</f>
        <v/>
      </c>
      <c r="F3396" s="10" t="str">
        <f t="shared" si="108"/>
        <v/>
      </c>
    </row>
    <row r="3397" spans="1:6" x14ac:dyDescent="0.3">
      <c r="A3397" s="15" t="str">
        <f t="shared" si="109"/>
        <v>.</v>
      </c>
      <c r="E3397" s="13" t="str">
        <f>IFERROR(IF(AND(B3397&lt;&gt;"",C3397&lt;&gt;""),SUMIFS(Movimentos!$F$4:$F$9996,Movimentos!$D$4:$D$9996,B3397,Movimentos!$C$4:$C$9996,"Entrada")-SUMIFS(Movimentos!$F$4:$F$9996,Movimentos!$D$4:$D$9996,B3397,Movimentos!$C$4:$C$9996,"Saída"),""),"")</f>
        <v/>
      </c>
      <c r="F3397" s="10" t="str">
        <f t="shared" si="108"/>
        <v/>
      </c>
    </row>
    <row r="3398" spans="1:6" x14ac:dyDescent="0.3">
      <c r="A3398" s="15" t="str">
        <f t="shared" si="109"/>
        <v>.</v>
      </c>
      <c r="E3398" s="13" t="str">
        <f>IFERROR(IF(AND(B3398&lt;&gt;"",C3398&lt;&gt;""),SUMIFS(Movimentos!$F$4:$F$9996,Movimentos!$D$4:$D$9996,B3398,Movimentos!$C$4:$C$9996,"Entrada")-SUMIFS(Movimentos!$F$4:$F$9996,Movimentos!$D$4:$D$9996,B3398,Movimentos!$C$4:$C$9996,"Saída"),""),"")</f>
        <v/>
      </c>
      <c r="F3398" s="10" t="str">
        <f t="shared" si="108"/>
        <v/>
      </c>
    </row>
    <row r="3399" spans="1:6" x14ac:dyDescent="0.3">
      <c r="A3399" s="15" t="str">
        <f t="shared" si="109"/>
        <v>.</v>
      </c>
      <c r="E3399" s="13" t="str">
        <f>IFERROR(IF(AND(B3399&lt;&gt;"",C3399&lt;&gt;""),SUMIFS(Movimentos!$F$4:$F$9996,Movimentos!$D$4:$D$9996,B3399,Movimentos!$C$4:$C$9996,"Entrada")-SUMIFS(Movimentos!$F$4:$F$9996,Movimentos!$D$4:$D$9996,B3399,Movimentos!$C$4:$C$9996,"Saída"),""),"")</f>
        <v/>
      </c>
      <c r="F3399" s="10" t="str">
        <f t="shared" si="108"/>
        <v/>
      </c>
    </row>
    <row r="3400" spans="1:6" x14ac:dyDescent="0.3">
      <c r="A3400" s="15" t="str">
        <f t="shared" si="109"/>
        <v>.</v>
      </c>
      <c r="E3400" s="13" t="str">
        <f>IFERROR(IF(AND(B3400&lt;&gt;"",C3400&lt;&gt;""),SUMIFS(Movimentos!$F$4:$F$9996,Movimentos!$D$4:$D$9996,B3400,Movimentos!$C$4:$C$9996,"Entrada")-SUMIFS(Movimentos!$F$4:$F$9996,Movimentos!$D$4:$D$9996,B3400,Movimentos!$C$4:$C$9996,"Saída"),""),"")</f>
        <v/>
      </c>
      <c r="F3400" s="10" t="str">
        <f t="shared" si="108"/>
        <v/>
      </c>
    </row>
    <row r="3401" spans="1:6" x14ac:dyDescent="0.3">
      <c r="A3401" s="15" t="str">
        <f t="shared" si="109"/>
        <v>.</v>
      </c>
      <c r="E3401" s="13" t="str">
        <f>IFERROR(IF(AND(B3401&lt;&gt;"",C3401&lt;&gt;""),SUMIFS(Movimentos!$F$4:$F$9996,Movimentos!$D$4:$D$9996,B3401,Movimentos!$C$4:$C$9996,"Entrada")-SUMIFS(Movimentos!$F$4:$F$9996,Movimentos!$D$4:$D$9996,B3401,Movimentos!$C$4:$C$9996,"Saída"),""),"")</f>
        <v/>
      </c>
      <c r="F3401" s="10" t="str">
        <f t="shared" si="108"/>
        <v/>
      </c>
    </row>
    <row r="3402" spans="1:6" x14ac:dyDescent="0.3">
      <c r="A3402" s="15" t="str">
        <f t="shared" si="109"/>
        <v>.</v>
      </c>
      <c r="E3402" s="13" t="str">
        <f>IFERROR(IF(AND(B3402&lt;&gt;"",C3402&lt;&gt;""),SUMIFS(Movimentos!$F$4:$F$9996,Movimentos!$D$4:$D$9996,B3402,Movimentos!$C$4:$C$9996,"Entrada")-SUMIFS(Movimentos!$F$4:$F$9996,Movimentos!$D$4:$D$9996,B3402,Movimentos!$C$4:$C$9996,"Saída"),""),"")</f>
        <v/>
      </c>
      <c r="F3402" s="10" t="str">
        <f t="shared" si="108"/>
        <v/>
      </c>
    </row>
    <row r="3403" spans="1:6" x14ac:dyDescent="0.3">
      <c r="A3403" s="15" t="str">
        <f t="shared" si="109"/>
        <v>.</v>
      </c>
      <c r="E3403" s="13" t="str">
        <f>IFERROR(IF(AND(B3403&lt;&gt;"",C3403&lt;&gt;""),SUMIFS(Movimentos!$F$4:$F$9996,Movimentos!$D$4:$D$9996,B3403,Movimentos!$C$4:$C$9996,"Entrada")-SUMIFS(Movimentos!$F$4:$F$9996,Movimentos!$D$4:$D$9996,B3403,Movimentos!$C$4:$C$9996,"Saída"),""),"")</f>
        <v/>
      </c>
      <c r="F3403" s="10" t="str">
        <f t="shared" si="108"/>
        <v/>
      </c>
    </row>
    <row r="3404" spans="1:6" x14ac:dyDescent="0.3">
      <c r="A3404" s="15" t="str">
        <f t="shared" si="109"/>
        <v>.</v>
      </c>
      <c r="E3404" s="13" t="str">
        <f>IFERROR(IF(AND(B3404&lt;&gt;"",C3404&lt;&gt;""),SUMIFS(Movimentos!$F$4:$F$9996,Movimentos!$D$4:$D$9996,B3404,Movimentos!$C$4:$C$9996,"Entrada")-SUMIFS(Movimentos!$F$4:$F$9996,Movimentos!$D$4:$D$9996,B3404,Movimentos!$C$4:$C$9996,"Saída"),""),"")</f>
        <v/>
      </c>
      <c r="F3404" s="10" t="str">
        <f t="shared" si="108"/>
        <v/>
      </c>
    </row>
    <row r="3405" spans="1:6" x14ac:dyDescent="0.3">
      <c r="A3405" s="15" t="str">
        <f t="shared" si="109"/>
        <v>.</v>
      </c>
      <c r="E3405" s="13" t="str">
        <f>IFERROR(IF(AND(B3405&lt;&gt;"",C3405&lt;&gt;""),SUMIFS(Movimentos!$F$4:$F$9996,Movimentos!$D$4:$D$9996,B3405,Movimentos!$C$4:$C$9996,"Entrada")-SUMIFS(Movimentos!$F$4:$F$9996,Movimentos!$D$4:$D$9996,B3405,Movimentos!$C$4:$C$9996,"Saída"),""),"")</f>
        <v/>
      </c>
      <c r="F3405" s="10" t="str">
        <f t="shared" si="108"/>
        <v/>
      </c>
    </row>
    <row r="3406" spans="1:6" x14ac:dyDescent="0.3">
      <c r="A3406" s="15" t="str">
        <f t="shared" si="109"/>
        <v>.</v>
      </c>
      <c r="E3406" s="13" t="str">
        <f>IFERROR(IF(AND(B3406&lt;&gt;"",C3406&lt;&gt;""),SUMIFS(Movimentos!$F$4:$F$9996,Movimentos!$D$4:$D$9996,B3406,Movimentos!$C$4:$C$9996,"Entrada")-SUMIFS(Movimentos!$F$4:$F$9996,Movimentos!$D$4:$D$9996,B3406,Movimentos!$C$4:$C$9996,"Saída"),""),"")</f>
        <v/>
      </c>
      <c r="F3406" s="10" t="str">
        <f t="shared" si="108"/>
        <v/>
      </c>
    </row>
    <row r="3407" spans="1:6" x14ac:dyDescent="0.3">
      <c r="A3407" s="15" t="str">
        <f t="shared" si="109"/>
        <v>.</v>
      </c>
      <c r="E3407" s="13" t="str">
        <f>IFERROR(IF(AND(B3407&lt;&gt;"",C3407&lt;&gt;""),SUMIFS(Movimentos!$F$4:$F$9996,Movimentos!$D$4:$D$9996,B3407,Movimentos!$C$4:$C$9996,"Entrada")-SUMIFS(Movimentos!$F$4:$F$9996,Movimentos!$D$4:$D$9996,B3407,Movimentos!$C$4:$C$9996,"Saída"),""),"")</f>
        <v/>
      </c>
      <c r="F3407" s="10" t="str">
        <f t="shared" si="108"/>
        <v/>
      </c>
    </row>
    <row r="3408" spans="1:6" x14ac:dyDescent="0.3">
      <c r="A3408" s="15" t="str">
        <f t="shared" si="109"/>
        <v>.</v>
      </c>
      <c r="E3408" s="13" t="str">
        <f>IFERROR(IF(AND(B3408&lt;&gt;"",C3408&lt;&gt;""),SUMIFS(Movimentos!$F$4:$F$9996,Movimentos!$D$4:$D$9996,B3408,Movimentos!$C$4:$C$9996,"Entrada")-SUMIFS(Movimentos!$F$4:$F$9996,Movimentos!$D$4:$D$9996,B3408,Movimentos!$C$4:$C$9996,"Saída"),""),"")</f>
        <v/>
      </c>
      <c r="F3408" s="10" t="str">
        <f t="shared" si="108"/>
        <v/>
      </c>
    </row>
    <row r="3409" spans="1:6" x14ac:dyDescent="0.3">
      <c r="A3409" s="15" t="str">
        <f t="shared" si="109"/>
        <v>.</v>
      </c>
      <c r="E3409" s="13" t="str">
        <f>IFERROR(IF(AND(B3409&lt;&gt;"",C3409&lt;&gt;""),SUMIFS(Movimentos!$F$4:$F$9996,Movimentos!$D$4:$D$9996,B3409,Movimentos!$C$4:$C$9996,"Entrada")-SUMIFS(Movimentos!$F$4:$F$9996,Movimentos!$D$4:$D$9996,B3409,Movimentos!$C$4:$C$9996,"Saída"),""),"")</f>
        <v/>
      </c>
      <c r="F3409" s="10" t="str">
        <f t="shared" si="108"/>
        <v/>
      </c>
    </row>
    <row r="3410" spans="1:6" x14ac:dyDescent="0.3">
      <c r="A3410" s="15" t="str">
        <f t="shared" si="109"/>
        <v>.</v>
      </c>
      <c r="E3410" s="13" t="str">
        <f>IFERROR(IF(AND(B3410&lt;&gt;"",C3410&lt;&gt;""),SUMIFS(Movimentos!$F$4:$F$9996,Movimentos!$D$4:$D$9996,B3410,Movimentos!$C$4:$C$9996,"Entrada")-SUMIFS(Movimentos!$F$4:$F$9996,Movimentos!$D$4:$D$9996,B3410,Movimentos!$C$4:$C$9996,"Saída"),""),"")</f>
        <v/>
      </c>
      <c r="F3410" s="10" t="str">
        <f t="shared" si="108"/>
        <v/>
      </c>
    </row>
    <row r="3411" spans="1:6" x14ac:dyDescent="0.3">
      <c r="A3411" s="15" t="str">
        <f t="shared" si="109"/>
        <v>.</v>
      </c>
      <c r="E3411" s="13" t="str">
        <f>IFERROR(IF(AND(B3411&lt;&gt;"",C3411&lt;&gt;""),SUMIFS(Movimentos!$F$4:$F$9996,Movimentos!$D$4:$D$9996,B3411,Movimentos!$C$4:$C$9996,"Entrada")-SUMIFS(Movimentos!$F$4:$F$9996,Movimentos!$D$4:$D$9996,B3411,Movimentos!$C$4:$C$9996,"Saída"),""),"")</f>
        <v/>
      </c>
      <c r="F3411" s="10" t="str">
        <f t="shared" si="108"/>
        <v/>
      </c>
    </row>
    <row r="3412" spans="1:6" x14ac:dyDescent="0.3">
      <c r="A3412" s="15" t="str">
        <f t="shared" si="109"/>
        <v>.</v>
      </c>
      <c r="E3412" s="13" t="str">
        <f>IFERROR(IF(AND(B3412&lt;&gt;"",C3412&lt;&gt;""),SUMIFS(Movimentos!$F$4:$F$9996,Movimentos!$D$4:$D$9996,B3412,Movimentos!$C$4:$C$9996,"Entrada")-SUMIFS(Movimentos!$F$4:$F$9996,Movimentos!$D$4:$D$9996,B3412,Movimentos!$C$4:$C$9996,"Saída"),""),"")</f>
        <v/>
      </c>
      <c r="F3412" s="10" t="str">
        <f t="shared" si="108"/>
        <v/>
      </c>
    </row>
    <row r="3413" spans="1:6" x14ac:dyDescent="0.3">
      <c r="A3413" s="15" t="str">
        <f t="shared" si="109"/>
        <v>.</v>
      </c>
      <c r="E3413" s="13" t="str">
        <f>IFERROR(IF(AND(B3413&lt;&gt;"",C3413&lt;&gt;""),SUMIFS(Movimentos!$F$4:$F$9996,Movimentos!$D$4:$D$9996,B3413,Movimentos!$C$4:$C$9996,"Entrada")-SUMIFS(Movimentos!$F$4:$F$9996,Movimentos!$D$4:$D$9996,B3413,Movimentos!$C$4:$C$9996,"Saída"),""),"")</f>
        <v/>
      </c>
      <c r="F3413" s="10" t="str">
        <f t="shared" si="108"/>
        <v/>
      </c>
    </row>
    <row r="3414" spans="1:6" x14ac:dyDescent="0.3">
      <c r="A3414" s="15" t="str">
        <f t="shared" si="109"/>
        <v>.</v>
      </c>
      <c r="E3414" s="13" t="str">
        <f>IFERROR(IF(AND(B3414&lt;&gt;"",C3414&lt;&gt;""),SUMIFS(Movimentos!$F$4:$F$9996,Movimentos!$D$4:$D$9996,B3414,Movimentos!$C$4:$C$9996,"Entrada")-SUMIFS(Movimentos!$F$4:$F$9996,Movimentos!$D$4:$D$9996,B3414,Movimentos!$C$4:$C$9996,"Saída"),""),"")</f>
        <v/>
      </c>
      <c r="F3414" s="10" t="str">
        <f t="shared" si="108"/>
        <v/>
      </c>
    </row>
    <row r="3415" spans="1:6" x14ac:dyDescent="0.3">
      <c r="A3415" s="15" t="str">
        <f t="shared" si="109"/>
        <v>.</v>
      </c>
      <c r="E3415" s="13" t="str">
        <f>IFERROR(IF(AND(B3415&lt;&gt;"",C3415&lt;&gt;""),SUMIFS(Movimentos!$F$4:$F$9996,Movimentos!$D$4:$D$9996,B3415,Movimentos!$C$4:$C$9996,"Entrada")-SUMIFS(Movimentos!$F$4:$F$9996,Movimentos!$D$4:$D$9996,B3415,Movimentos!$C$4:$C$9996,"Saída"),""),"")</f>
        <v/>
      </c>
      <c r="F3415" s="10" t="str">
        <f t="shared" ref="F3415:F3478" si="110">IF(AND(B3415&lt;&gt;"",C3415&lt;&gt;""),IF(E3415=0,"Saldo zerado",IF(E3415&lt;D3415,"Saldo abaixo do mínimo","Saldo disponível")),"")</f>
        <v/>
      </c>
    </row>
    <row r="3416" spans="1:6" x14ac:dyDescent="0.3">
      <c r="A3416" s="15" t="str">
        <f t="shared" si="109"/>
        <v>.</v>
      </c>
      <c r="E3416" s="13" t="str">
        <f>IFERROR(IF(AND(B3416&lt;&gt;"",C3416&lt;&gt;""),SUMIFS(Movimentos!$F$4:$F$9996,Movimentos!$D$4:$D$9996,B3416,Movimentos!$C$4:$C$9996,"Entrada")-SUMIFS(Movimentos!$F$4:$F$9996,Movimentos!$D$4:$D$9996,B3416,Movimentos!$C$4:$C$9996,"Saída"),""),"")</f>
        <v/>
      </c>
      <c r="F3416" s="10" t="str">
        <f t="shared" si="110"/>
        <v/>
      </c>
    </row>
    <row r="3417" spans="1:6" x14ac:dyDescent="0.3">
      <c r="A3417" s="15" t="str">
        <f t="shared" si="109"/>
        <v>.</v>
      </c>
      <c r="E3417" s="13" t="str">
        <f>IFERROR(IF(AND(B3417&lt;&gt;"",C3417&lt;&gt;""),SUMIFS(Movimentos!$F$4:$F$9996,Movimentos!$D$4:$D$9996,B3417,Movimentos!$C$4:$C$9996,"Entrada")-SUMIFS(Movimentos!$F$4:$F$9996,Movimentos!$D$4:$D$9996,B3417,Movimentos!$C$4:$C$9996,"Saída"),""),"")</f>
        <v/>
      </c>
      <c r="F3417" s="10" t="str">
        <f t="shared" si="110"/>
        <v/>
      </c>
    </row>
    <row r="3418" spans="1:6" x14ac:dyDescent="0.3">
      <c r="A3418" s="15" t="str">
        <f t="shared" si="109"/>
        <v>.</v>
      </c>
      <c r="E3418" s="13" t="str">
        <f>IFERROR(IF(AND(B3418&lt;&gt;"",C3418&lt;&gt;""),SUMIFS(Movimentos!$F$4:$F$9996,Movimentos!$D$4:$D$9996,B3418,Movimentos!$C$4:$C$9996,"Entrada")-SUMIFS(Movimentos!$F$4:$F$9996,Movimentos!$D$4:$D$9996,B3418,Movimentos!$C$4:$C$9996,"Saída"),""),"")</f>
        <v/>
      </c>
      <c r="F3418" s="10" t="str">
        <f t="shared" si="110"/>
        <v/>
      </c>
    </row>
    <row r="3419" spans="1:6" x14ac:dyDescent="0.3">
      <c r="A3419" s="15" t="str">
        <f t="shared" si="109"/>
        <v>.</v>
      </c>
      <c r="E3419" s="13" t="str">
        <f>IFERROR(IF(AND(B3419&lt;&gt;"",C3419&lt;&gt;""),SUMIFS(Movimentos!$F$4:$F$9996,Movimentos!$D$4:$D$9996,B3419,Movimentos!$C$4:$C$9996,"Entrada")-SUMIFS(Movimentos!$F$4:$F$9996,Movimentos!$D$4:$D$9996,B3419,Movimentos!$C$4:$C$9996,"Saída"),""),"")</f>
        <v/>
      </c>
      <c r="F3419" s="10" t="str">
        <f t="shared" si="110"/>
        <v/>
      </c>
    </row>
    <row r="3420" spans="1:6" x14ac:dyDescent="0.3">
      <c r="A3420" s="15" t="str">
        <f t="shared" si="109"/>
        <v>.</v>
      </c>
      <c r="E3420" s="13" t="str">
        <f>IFERROR(IF(AND(B3420&lt;&gt;"",C3420&lt;&gt;""),SUMIFS(Movimentos!$F$4:$F$9996,Movimentos!$D$4:$D$9996,B3420,Movimentos!$C$4:$C$9996,"Entrada")-SUMIFS(Movimentos!$F$4:$F$9996,Movimentos!$D$4:$D$9996,B3420,Movimentos!$C$4:$C$9996,"Saída"),""),"")</f>
        <v/>
      </c>
      <c r="F3420" s="10" t="str">
        <f t="shared" si="110"/>
        <v/>
      </c>
    </row>
    <row r="3421" spans="1:6" x14ac:dyDescent="0.3">
      <c r="A3421" s="15" t="str">
        <f t="shared" si="109"/>
        <v>.</v>
      </c>
      <c r="E3421" s="13" t="str">
        <f>IFERROR(IF(AND(B3421&lt;&gt;"",C3421&lt;&gt;""),SUMIFS(Movimentos!$F$4:$F$9996,Movimentos!$D$4:$D$9996,B3421,Movimentos!$C$4:$C$9996,"Entrada")-SUMIFS(Movimentos!$F$4:$F$9996,Movimentos!$D$4:$D$9996,B3421,Movimentos!$C$4:$C$9996,"Saída"),""),"")</f>
        <v/>
      </c>
      <c r="F3421" s="10" t="str">
        <f t="shared" si="110"/>
        <v/>
      </c>
    </row>
    <row r="3422" spans="1:6" x14ac:dyDescent="0.3">
      <c r="A3422" s="15" t="str">
        <f t="shared" si="109"/>
        <v>.</v>
      </c>
      <c r="E3422" s="13" t="str">
        <f>IFERROR(IF(AND(B3422&lt;&gt;"",C3422&lt;&gt;""),SUMIFS(Movimentos!$F$4:$F$9996,Movimentos!$D$4:$D$9996,B3422,Movimentos!$C$4:$C$9996,"Entrada")-SUMIFS(Movimentos!$F$4:$F$9996,Movimentos!$D$4:$D$9996,B3422,Movimentos!$C$4:$C$9996,"Saída"),""),"")</f>
        <v/>
      </c>
      <c r="F3422" s="10" t="str">
        <f t="shared" si="110"/>
        <v/>
      </c>
    </row>
    <row r="3423" spans="1:6" x14ac:dyDescent="0.3">
      <c r="A3423" s="15" t="str">
        <f t="shared" si="109"/>
        <v>.</v>
      </c>
      <c r="E3423" s="13" t="str">
        <f>IFERROR(IF(AND(B3423&lt;&gt;"",C3423&lt;&gt;""),SUMIFS(Movimentos!$F$4:$F$9996,Movimentos!$D$4:$D$9996,B3423,Movimentos!$C$4:$C$9996,"Entrada")-SUMIFS(Movimentos!$F$4:$F$9996,Movimentos!$D$4:$D$9996,B3423,Movimentos!$C$4:$C$9996,"Saída"),""),"")</f>
        <v/>
      </c>
      <c r="F3423" s="10" t="str">
        <f t="shared" si="110"/>
        <v/>
      </c>
    </row>
    <row r="3424" spans="1:6" x14ac:dyDescent="0.3">
      <c r="A3424" s="15" t="str">
        <f t="shared" si="109"/>
        <v>.</v>
      </c>
      <c r="E3424" s="13" t="str">
        <f>IFERROR(IF(AND(B3424&lt;&gt;"",C3424&lt;&gt;""),SUMIFS(Movimentos!$F$4:$F$9996,Movimentos!$D$4:$D$9996,B3424,Movimentos!$C$4:$C$9996,"Entrada")-SUMIFS(Movimentos!$F$4:$F$9996,Movimentos!$D$4:$D$9996,B3424,Movimentos!$C$4:$C$9996,"Saída"),""),"")</f>
        <v/>
      </c>
      <c r="F3424" s="10" t="str">
        <f t="shared" si="110"/>
        <v/>
      </c>
    </row>
    <row r="3425" spans="1:6" x14ac:dyDescent="0.3">
      <c r="A3425" s="15" t="str">
        <f t="shared" si="109"/>
        <v>.</v>
      </c>
      <c r="E3425" s="13" t="str">
        <f>IFERROR(IF(AND(B3425&lt;&gt;"",C3425&lt;&gt;""),SUMIFS(Movimentos!$F$4:$F$9996,Movimentos!$D$4:$D$9996,B3425,Movimentos!$C$4:$C$9996,"Entrada")-SUMIFS(Movimentos!$F$4:$F$9996,Movimentos!$D$4:$D$9996,B3425,Movimentos!$C$4:$C$9996,"Saída"),""),"")</f>
        <v/>
      </c>
      <c r="F3425" s="10" t="str">
        <f t="shared" si="110"/>
        <v/>
      </c>
    </row>
    <row r="3426" spans="1:6" x14ac:dyDescent="0.3">
      <c r="A3426" s="15" t="str">
        <f t="shared" si="109"/>
        <v>.</v>
      </c>
      <c r="E3426" s="13" t="str">
        <f>IFERROR(IF(AND(B3426&lt;&gt;"",C3426&lt;&gt;""),SUMIFS(Movimentos!$F$4:$F$9996,Movimentos!$D$4:$D$9996,B3426,Movimentos!$C$4:$C$9996,"Entrada")-SUMIFS(Movimentos!$F$4:$F$9996,Movimentos!$D$4:$D$9996,B3426,Movimentos!$C$4:$C$9996,"Saída"),""),"")</f>
        <v/>
      </c>
      <c r="F3426" s="10" t="str">
        <f t="shared" si="110"/>
        <v/>
      </c>
    </row>
    <row r="3427" spans="1:6" x14ac:dyDescent="0.3">
      <c r="A3427" s="15" t="str">
        <f t="shared" si="109"/>
        <v>.</v>
      </c>
      <c r="E3427" s="13" t="str">
        <f>IFERROR(IF(AND(B3427&lt;&gt;"",C3427&lt;&gt;""),SUMIFS(Movimentos!$F$4:$F$9996,Movimentos!$D$4:$D$9996,B3427,Movimentos!$C$4:$C$9996,"Entrada")-SUMIFS(Movimentos!$F$4:$F$9996,Movimentos!$D$4:$D$9996,B3427,Movimentos!$C$4:$C$9996,"Saída"),""),"")</f>
        <v/>
      </c>
      <c r="F3427" s="10" t="str">
        <f t="shared" si="110"/>
        <v/>
      </c>
    </row>
    <row r="3428" spans="1:6" x14ac:dyDescent="0.3">
      <c r="A3428" s="15" t="str">
        <f t="shared" si="109"/>
        <v>.</v>
      </c>
      <c r="E3428" s="13" t="str">
        <f>IFERROR(IF(AND(B3428&lt;&gt;"",C3428&lt;&gt;""),SUMIFS(Movimentos!$F$4:$F$9996,Movimentos!$D$4:$D$9996,B3428,Movimentos!$C$4:$C$9996,"Entrada")-SUMIFS(Movimentos!$F$4:$F$9996,Movimentos!$D$4:$D$9996,B3428,Movimentos!$C$4:$C$9996,"Saída"),""),"")</f>
        <v/>
      </c>
      <c r="F3428" s="10" t="str">
        <f t="shared" si="110"/>
        <v/>
      </c>
    </row>
    <row r="3429" spans="1:6" x14ac:dyDescent="0.3">
      <c r="A3429" s="15" t="str">
        <f t="shared" si="109"/>
        <v>.</v>
      </c>
      <c r="E3429" s="13" t="str">
        <f>IFERROR(IF(AND(B3429&lt;&gt;"",C3429&lt;&gt;""),SUMIFS(Movimentos!$F$4:$F$9996,Movimentos!$D$4:$D$9996,B3429,Movimentos!$C$4:$C$9996,"Entrada")-SUMIFS(Movimentos!$F$4:$F$9996,Movimentos!$D$4:$D$9996,B3429,Movimentos!$C$4:$C$9996,"Saída"),""),"")</f>
        <v/>
      </c>
      <c r="F3429" s="10" t="str">
        <f t="shared" si="110"/>
        <v/>
      </c>
    </row>
    <row r="3430" spans="1:6" x14ac:dyDescent="0.3">
      <c r="A3430" s="15" t="str">
        <f t="shared" si="109"/>
        <v>.</v>
      </c>
      <c r="E3430" s="13" t="str">
        <f>IFERROR(IF(AND(B3430&lt;&gt;"",C3430&lt;&gt;""),SUMIFS(Movimentos!$F$4:$F$9996,Movimentos!$D$4:$D$9996,B3430,Movimentos!$C$4:$C$9996,"Entrada")-SUMIFS(Movimentos!$F$4:$F$9996,Movimentos!$D$4:$D$9996,B3430,Movimentos!$C$4:$C$9996,"Saída"),""),"")</f>
        <v/>
      </c>
      <c r="F3430" s="10" t="str">
        <f t="shared" si="110"/>
        <v/>
      </c>
    </row>
    <row r="3431" spans="1:6" x14ac:dyDescent="0.3">
      <c r="A3431" s="15" t="str">
        <f t="shared" si="109"/>
        <v>.</v>
      </c>
      <c r="E3431" s="13" t="str">
        <f>IFERROR(IF(AND(B3431&lt;&gt;"",C3431&lt;&gt;""),SUMIFS(Movimentos!$F$4:$F$9996,Movimentos!$D$4:$D$9996,B3431,Movimentos!$C$4:$C$9996,"Entrada")-SUMIFS(Movimentos!$F$4:$F$9996,Movimentos!$D$4:$D$9996,B3431,Movimentos!$C$4:$C$9996,"Saída"),""),"")</f>
        <v/>
      </c>
      <c r="F3431" s="10" t="str">
        <f t="shared" si="110"/>
        <v/>
      </c>
    </row>
    <row r="3432" spans="1:6" x14ac:dyDescent="0.3">
      <c r="A3432" s="15" t="str">
        <f t="shared" si="109"/>
        <v>.</v>
      </c>
      <c r="E3432" s="13" t="str">
        <f>IFERROR(IF(AND(B3432&lt;&gt;"",C3432&lt;&gt;""),SUMIFS(Movimentos!$F$4:$F$9996,Movimentos!$D$4:$D$9996,B3432,Movimentos!$C$4:$C$9996,"Entrada")-SUMIFS(Movimentos!$F$4:$F$9996,Movimentos!$D$4:$D$9996,B3432,Movimentos!$C$4:$C$9996,"Saída"),""),"")</f>
        <v/>
      </c>
      <c r="F3432" s="10" t="str">
        <f t="shared" si="110"/>
        <v/>
      </c>
    </row>
    <row r="3433" spans="1:6" x14ac:dyDescent="0.3">
      <c r="A3433" s="15" t="str">
        <f t="shared" si="109"/>
        <v>.</v>
      </c>
      <c r="E3433" s="13" t="str">
        <f>IFERROR(IF(AND(B3433&lt;&gt;"",C3433&lt;&gt;""),SUMIFS(Movimentos!$F$4:$F$9996,Movimentos!$D$4:$D$9996,B3433,Movimentos!$C$4:$C$9996,"Entrada")-SUMIFS(Movimentos!$F$4:$F$9996,Movimentos!$D$4:$D$9996,B3433,Movimentos!$C$4:$C$9996,"Saída"),""),"")</f>
        <v/>
      </c>
      <c r="F3433" s="10" t="str">
        <f t="shared" si="110"/>
        <v/>
      </c>
    </row>
    <row r="3434" spans="1:6" x14ac:dyDescent="0.3">
      <c r="A3434" s="15" t="str">
        <f t="shared" si="109"/>
        <v>.</v>
      </c>
      <c r="E3434" s="13" t="str">
        <f>IFERROR(IF(AND(B3434&lt;&gt;"",C3434&lt;&gt;""),SUMIFS(Movimentos!$F$4:$F$9996,Movimentos!$D$4:$D$9996,B3434,Movimentos!$C$4:$C$9996,"Entrada")-SUMIFS(Movimentos!$F$4:$F$9996,Movimentos!$D$4:$D$9996,B3434,Movimentos!$C$4:$C$9996,"Saída"),""),"")</f>
        <v/>
      </c>
      <c r="F3434" s="10" t="str">
        <f t="shared" si="110"/>
        <v/>
      </c>
    </row>
    <row r="3435" spans="1:6" x14ac:dyDescent="0.3">
      <c r="A3435" s="15" t="str">
        <f t="shared" si="109"/>
        <v>.</v>
      </c>
      <c r="E3435" s="13" t="str">
        <f>IFERROR(IF(AND(B3435&lt;&gt;"",C3435&lt;&gt;""),SUMIFS(Movimentos!$F$4:$F$9996,Movimentos!$D$4:$D$9996,B3435,Movimentos!$C$4:$C$9996,"Entrada")-SUMIFS(Movimentos!$F$4:$F$9996,Movimentos!$D$4:$D$9996,B3435,Movimentos!$C$4:$C$9996,"Saída"),""),"")</f>
        <v/>
      </c>
      <c r="F3435" s="10" t="str">
        <f t="shared" si="110"/>
        <v/>
      </c>
    </row>
    <row r="3436" spans="1:6" x14ac:dyDescent="0.3">
      <c r="A3436" s="15" t="str">
        <f t="shared" si="109"/>
        <v>.</v>
      </c>
      <c r="E3436" s="13" t="str">
        <f>IFERROR(IF(AND(B3436&lt;&gt;"",C3436&lt;&gt;""),SUMIFS(Movimentos!$F$4:$F$9996,Movimentos!$D$4:$D$9996,B3436,Movimentos!$C$4:$C$9996,"Entrada")-SUMIFS(Movimentos!$F$4:$F$9996,Movimentos!$D$4:$D$9996,B3436,Movimentos!$C$4:$C$9996,"Saída"),""),"")</f>
        <v/>
      </c>
      <c r="F3436" s="10" t="str">
        <f t="shared" si="110"/>
        <v/>
      </c>
    </row>
    <row r="3437" spans="1:6" x14ac:dyDescent="0.3">
      <c r="A3437" s="15" t="str">
        <f t="shared" si="109"/>
        <v>.</v>
      </c>
      <c r="E3437" s="13" t="str">
        <f>IFERROR(IF(AND(B3437&lt;&gt;"",C3437&lt;&gt;""),SUMIFS(Movimentos!$F$4:$F$9996,Movimentos!$D$4:$D$9996,B3437,Movimentos!$C$4:$C$9996,"Entrada")-SUMIFS(Movimentos!$F$4:$F$9996,Movimentos!$D$4:$D$9996,B3437,Movimentos!$C$4:$C$9996,"Saída"),""),"")</f>
        <v/>
      </c>
      <c r="F3437" s="10" t="str">
        <f t="shared" si="110"/>
        <v/>
      </c>
    </row>
    <row r="3438" spans="1:6" x14ac:dyDescent="0.3">
      <c r="A3438" s="15" t="str">
        <f t="shared" si="109"/>
        <v>.</v>
      </c>
      <c r="E3438" s="13" t="str">
        <f>IFERROR(IF(AND(B3438&lt;&gt;"",C3438&lt;&gt;""),SUMIFS(Movimentos!$F$4:$F$9996,Movimentos!$D$4:$D$9996,B3438,Movimentos!$C$4:$C$9996,"Entrada")-SUMIFS(Movimentos!$F$4:$F$9996,Movimentos!$D$4:$D$9996,B3438,Movimentos!$C$4:$C$9996,"Saída"),""),"")</f>
        <v/>
      </c>
      <c r="F3438" s="10" t="str">
        <f t="shared" si="110"/>
        <v/>
      </c>
    </row>
    <row r="3439" spans="1:6" x14ac:dyDescent="0.3">
      <c r="A3439" s="15" t="str">
        <f t="shared" si="109"/>
        <v>.</v>
      </c>
      <c r="E3439" s="13" t="str">
        <f>IFERROR(IF(AND(B3439&lt;&gt;"",C3439&lt;&gt;""),SUMIFS(Movimentos!$F$4:$F$9996,Movimentos!$D$4:$D$9996,B3439,Movimentos!$C$4:$C$9996,"Entrada")-SUMIFS(Movimentos!$F$4:$F$9996,Movimentos!$D$4:$D$9996,B3439,Movimentos!$C$4:$C$9996,"Saída"),""),"")</f>
        <v/>
      </c>
      <c r="F3439" s="10" t="str">
        <f t="shared" si="110"/>
        <v/>
      </c>
    </row>
    <row r="3440" spans="1:6" x14ac:dyDescent="0.3">
      <c r="A3440" s="15" t="str">
        <f t="shared" si="109"/>
        <v>.</v>
      </c>
      <c r="E3440" s="13" t="str">
        <f>IFERROR(IF(AND(B3440&lt;&gt;"",C3440&lt;&gt;""),SUMIFS(Movimentos!$F$4:$F$9996,Movimentos!$D$4:$D$9996,B3440,Movimentos!$C$4:$C$9996,"Entrada")-SUMIFS(Movimentos!$F$4:$F$9996,Movimentos!$D$4:$D$9996,B3440,Movimentos!$C$4:$C$9996,"Saída"),""),"")</f>
        <v/>
      </c>
      <c r="F3440" s="10" t="str">
        <f t="shared" si="110"/>
        <v/>
      </c>
    </row>
    <row r="3441" spans="1:6" x14ac:dyDescent="0.3">
      <c r="A3441" s="15" t="str">
        <f t="shared" si="109"/>
        <v>.</v>
      </c>
      <c r="E3441" s="13" t="str">
        <f>IFERROR(IF(AND(B3441&lt;&gt;"",C3441&lt;&gt;""),SUMIFS(Movimentos!$F$4:$F$9996,Movimentos!$D$4:$D$9996,B3441,Movimentos!$C$4:$C$9996,"Entrada")-SUMIFS(Movimentos!$F$4:$F$9996,Movimentos!$D$4:$D$9996,B3441,Movimentos!$C$4:$C$9996,"Saída"),""),"")</f>
        <v/>
      </c>
      <c r="F3441" s="10" t="str">
        <f t="shared" si="110"/>
        <v/>
      </c>
    </row>
    <row r="3442" spans="1:6" x14ac:dyDescent="0.3">
      <c r="A3442" s="15" t="str">
        <f t="shared" si="109"/>
        <v>.</v>
      </c>
      <c r="E3442" s="13" t="str">
        <f>IFERROR(IF(AND(B3442&lt;&gt;"",C3442&lt;&gt;""),SUMIFS(Movimentos!$F$4:$F$9996,Movimentos!$D$4:$D$9996,B3442,Movimentos!$C$4:$C$9996,"Entrada")-SUMIFS(Movimentos!$F$4:$F$9996,Movimentos!$D$4:$D$9996,B3442,Movimentos!$C$4:$C$9996,"Saída"),""),"")</f>
        <v/>
      </c>
      <c r="F3442" s="10" t="str">
        <f t="shared" si="110"/>
        <v/>
      </c>
    </row>
    <row r="3443" spans="1:6" x14ac:dyDescent="0.3">
      <c r="A3443" s="15" t="str">
        <f t="shared" si="109"/>
        <v>.</v>
      </c>
      <c r="E3443" s="13" t="str">
        <f>IFERROR(IF(AND(B3443&lt;&gt;"",C3443&lt;&gt;""),SUMIFS(Movimentos!$F$4:$F$9996,Movimentos!$D$4:$D$9996,B3443,Movimentos!$C$4:$C$9996,"Entrada")-SUMIFS(Movimentos!$F$4:$F$9996,Movimentos!$D$4:$D$9996,B3443,Movimentos!$C$4:$C$9996,"Saída"),""),"")</f>
        <v/>
      </c>
      <c r="F3443" s="10" t="str">
        <f t="shared" si="110"/>
        <v/>
      </c>
    </row>
    <row r="3444" spans="1:6" x14ac:dyDescent="0.3">
      <c r="A3444" s="15" t="str">
        <f t="shared" si="109"/>
        <v>.</v>
      </c>
      <c r="E3444" s="13" t="str">
        <f>IFERROR(IF(AND(B3444&lt;&gt;"",C3444&lt;&gt;""),SUMIFS(Movimentos!$F$4:$F$9996,Movimentos!$D$4:$D$9996,B3444,Movimentos!$C$4:$C$9996,"Entrada")-SUMIFS(Movimentos!$F$4:$F$9996,Movimentos!$D$4:$D$9996,B3444,Movimentos!$C$4:$C$9996,"Saída"),""),"")</f>
        <v/>
      </c>
      <c r="F3444" s="10" t="str">
        <f t="shared" si="110"/>
        <v/>
      </c>
    </row>
    <row r="3445" spans="1:6" x14ac:dyDescent="0.3">
      <c r="A3445" s="15" t="str">
        <f t="shared" si="109"/>
        <v>.</v>
      </c>
      <c r="E3445" s="13" t="str">
        <f>IFERROR(IF(AND(B3445&lt;&gt;"",C3445&lt;&gt;""),SUMIFS(Movimentos!$F$4:$F$9996,Movimentos!$D$4:$D$9996,B3445,Movimentos!$C$4:$C$9996,"Entrada")-SUMIFS(Movimentos!$F$4:$F$9996,Movimentos!$D$4:$D$9996,B3445,Movimentos!$C$4:$C$9996,"Saída"),""),"")</f>
        <v/>
      </c>
      <c r="F3445" s="10" t="str">
        <f t="shared" si="110"/>
        <v/>
      </c>
    </row>
    <row r="3446" spans="1:6" x14ac:dyDescent="0.3">
      <c r="A3446" s="15" t="str">
        <f t="shared" si="109"/>
        <v>.</v>
      </c>
      <c r="E3446" s="13" t="str">
        <f>IFERROR(IF(AND(B3446&lt;&gt;"",C3446&lt;&gt;""),SUMIFS(Movimentos!$F$4:$F$9996,Movimentos!$D$4:$D$9996,B3446,Movimentos!$C$4:$C$9996,"Entrada")-SUMIFS(Movimentos!$F$4:$F$9996,Movimentos!$D$4:$D$9996,B3446,Movimentos!$C$4:$C$9996,"Saída"),""),"")</f>
        <v/>
      </c>
      <c r="F3446" s="10" t="str">
        <f t="shared" si="110"/>
        <v/>
      </c>
    </row>
    <row r="3447" spans="1:6" x14ac:dyDescent="0.3">
      <c r="A3447" s="15" t="str">
        <f t="shared" si="109"/>
        <v>.</v>
      </c>
      <c r="E3447" s="13" t="str">
        <f>IFERROR(IF(AND(B3447&lt;&gt;"",C3447&lt;&gt;""),SUMIFS(Movimentos!$F$4:$F$9996,Movimentos!$D$4:$D$9996,B3447,Movimentos!$C$4:$C$9996,"Entrada")-SUMIFS(Movimentos!$F$4:$F$9996,Movimentos!$D$4:$D$9996,B3447,Movimentos!$C$4:$C$9996,"Saída"),""),"")</f>
        <v/>
      </c>
      <c r="F3447" s="10" t="str">
        <f t="shared" si="110"/>
        <v/>
      </c>
    </row>
    <row r="3448" spans="1:6" x14ac:dyDescent="0.3">
      <c r="A3448" s="15" t="str">
        <f t="shared" si="109"/>
        <v>.</v>
      </c>
      <c r="E3448" s="13" t="str">
        <f>IFERROR(IF(AND(B3448&lt;&gt;"",C3448&lt;&gt;""),SUMIFS(Movimentos!$F$4:$F$9996,Movimentos!$D$4:$D$9996,B3448,Movimentos!$C$4:$C$9996,"Entrada")-SUMIFS(Movimentos!$F$4:$F$9996,Movimentos!$D$4:$D$9996,B3448,Movimentos!$C$4:$C$9996,"Saída"),""),"")</f>
        <v/>
      </c>
      <c r="F3448" s="10" t="str">
        <f t="shared" si="110"/>
        <v/>
      </c>
    </row>
    <row r="3449" spans="1:6" x14ac:dyDescent="0.3">
      <c r="A3449" s="15" t="str">
        <f t="shared" si="109"/>
        <v>.</v>
      </c>
      <c r="E3449" s="13" t="str">
        <f>IFERROR(IF(AND(B3449&lt;&gt;"",C3449&lt;&gt;""),SUMIFS(Movimentos!$F$4:$F$9996,Movimentos!$D$4:$D$9996,B3449,Movimentos!$C$4:$C$9996,"Entrada")-SUMIFS(Movimentos!$F$4:$F$9996,Movimentos!$D$4:$D$9996,B3449,Movimentos!$C$4:$C$9996,"Saída"),""),"")</f>
        <v/>
      </c>
      <c r="F3449" s="10" t="str">
        <f t="shared" si="110"/>
        <v/>
      </c>
    </row>
    <row r="3450" spans="1:6" x14ac:dyDescent="0.3">
      <c r="A3450" s="15" t="str">
        <f t="shared" si="109"/>
        <v>.</v>
      </c>
      <c r="E3450" s="13" t="str">
        <f>IFERROR(IF(AND(B3450&lt;&gt;"",C3450&lt;&gt;""),SUMIFS(Movimentos!$F$4:$F$9996,Movimentos!$D$4:$D$9996,B3450,Movimentos!$C$4:$C$9996,"Entrada")-SUMIFS(Movimentos!$F$4:$F$9996,Movimentos!$D$4:$D$9996,B3450,Movimentos!$C$4:$C$9996,"Saída"),""),"")</f>
        <v/>
      </c>
      <c r="F3450" s="10" t="str">
        <f t="shared" si="110"/>
        <v/>
      </c>
    </row>
    <row r="3451" spans="1:6" x14ac:dyDescent="0.3">
      <c r="A3451" s="15" t="str">
        <f t="shared" si="109"/>
        <v>.</v>
      </c>
      <c r="E3451" s="13" t="str">
        <f>IFERROR(IF(AND(B3451&lt;&gt;"",C3451&lt;&gt;""),SUMIFS(Movimentos!$F$4:$F$9996,Movimentos!$D$4:$D$9996,B3451,Movimentos!$C$4:$C$9996,"Entrada")-SUMIFS(Movimentos!$F$4:$F$9996,Movimentos!$D$4:$D$9996,B3451,Movimentos!$C$4:$C$9996,"Saída"),""),"")</f>
        <v/>
      </c>
      <c r="F3451" s="10" t="str">
        <f t="shared" si="110"/>
        <v/>
      </c>
    </row>
    <row r="3452" spans="1:6" x14ac:dyDescent="0.3">
      <c r="A3452" s="15" t="str">
        <f t="shared" si="109"/>
        <v>.</v>
      </c>
      <c r="E3452" s="13" t="str">
        <f>IFERROR(IF(AND(B3452&lt;&gt;"",C3452&lt;&gt;""),SUMIFS(Movimentos!$F$4:$F$9996,Movimentos!$D$4:$D$9996,B3452,Movimentos!$C$4:$C$9996,"Entrada")-SUMIFS(Movimentos!$F$4:$F$9996,Movimentos!$D$4:$D$9996,B3452,Movimentos!$C$4:$C$9996,"Saída"),""),"")</f>
        <v/>
      </c>
      <c r="F3452" s="10" t="str">
        <f t="shared" si="110"/>
        <v/>
      </c>
    </row>
    <row r="3453" spans="1:6" x14ac:dyDescent="0.3">
      <c r="A3453" s="15" t="str">
        <f t="shared" si="109"/>
        <v>.</v>
      </c>
      <c r="E3453" s="13" t="str">
        <f>IFERROR(IF(AND(B3453&lt;&gt;"",C3453&lt;&gt;""),SUMIFS(Movimentos!$F$4:$F$9996,Movimentos!$D$4:$D$9996,B3453,Movimentos!$C$4:$C$9996,"Entrada")-SUMIFS(Movimentos!$F$4:$F$9996,Movimentos!$D$4:$D$9996,B3453,Movimentos!$C$4:$C$9996,"Saída"),""),"")</f>
        <v/>
      </c>
      <c r="F3453" s="10" t="str">
        <f t="shared" si="110"/>
        <v/>
      </c>
    </row>
    <row r="3454" spans="1:6" x14ac:dyDescent="0.3">
      <c r="A3454" s="15" t="str">
        <f t="shared" si="109"/>
        <v>.</v>
      </c>
      <c r="E3454" s="13" t="str">
        <f>IFERROR(IF(AND(B3454&lt;&gt;"",C3454&lt;&gt;""),SUMIFS(Movimentos!$F$4:$F$9996,Movimentos!$D$4:$D$9996,B3454,Movimentos!$C$4:$C$9996,"Entrada")-SUMIFS(Movimentos!$F$4:$F$9996,Movimentos!$D$4:$D$9996,B3454,Movimentos!$C$4:$C$9996,"Saída"),""),"")</f>
        <v/>
      </c>
      <c r="F3454" s="10" t="str">
        <f t="shared" si="110"/>
        <v/>
      </c>
    </row>
    <row r="3455" spans="1:6" x14ac:dyDescent="0.3">
      <c r="A3455" s="15" t="str">
        <f t="shared" si="109"/>
        <v>.</v>
      </c>
      <c r="E3455" s="13" t="str">
        <f>IFERROR(IF(AND(B3455&lt;&gt;"",C3455&lt;&gt;""),SUMIFS(Movimentos!$F$4:$F$9996,Movimentos!$D$4:$D$9996,B3455,Movimentos!$C$4:$C$9996,"Entrada")-SUMIFS(Movimentos!$F$4:$F$9996,Movimentos!$D$4:$D$9996,B3455,Movimentos!$C$4:$C$9996,"Saída"),""),"")</f>
        <v/>
      </c>
      <c r="F3455" s="10" t="str">
        <f t="shared" si="110"/>
        <v/>
      </c>
    </row>
    <row r="3456" spans="1:6" x14ac:dyDescent="0.3">
      <c r="A3456" s="15" t="str">
        <f t="shared" ref="A3456:A3519" si="111">IF(F3456="Saldo zerado",0,IF(F3456="Saldo abaixo do mínimo",1,IF(F3456="Saldo disponível",2,".")))</f>
        <v>.</v>
      </c>
      <c r="E3456" s="13" t="str">
        <f>IFERROR(IF(AND(B3456&lt;&gt;"",C3456&lt;&gt;""),SUMIFS(Movimentos!$F$4:$F$9996,Movimentos!$D$4:$D$9996,B3456,Movimentos!$C$4:$C$9996,"Entrada")-SUMIFS(Movimentos!$F$4:$F$9996,Movimentos!$D$4:$D$9996,B3456,Movimentos!$C$4:$C$9996,"Saída"),""),"")</f>
        <v/>
      </c>
      <c r="F3456" s="10" t="str">
        <f t="shared" si="110"/>
        <v/>
      </c>
    </row>
    <row r="3457" spans="1:6" x14ac:dyDescent="0.3">
      <c r="A3457" s="15" t="str">
        <f t="shared" si="111"/>
        <v>.</v>
      </c>
      <c r="E3457" s="13" t="str">
        <f>IFERROR(IF(AND(B3457&lt;&gt;"",C3457&lt;&gt;""),SUMIFS(Movimentos!$F$4:$F$9996,Movimentos!$D$4:$D$9996,B3457,Movimentos!$C$4:$C$9996,"Entrada")-SUMIFS(Movimentos!$F$4:$F$9996,Movimentos!$D$4:$D$9996,B3457,Movimentos!$C$4:$C$9996,"Saída"),""),"")</f>
        <v/>
      </c>
      <c r="F3457" s="10" t="str">
        <f t="shared" si="110"/>
        <v/>
      </c>
    </row>
    <row r="3458" spans="1:6" x14ac:dyDescent="0.3">
      <c r="A3458" s="15" t="str">
        <f t="shared" si="111"/>
        <v>.</v>
      </c>
      <c r="E3458" s="13" t="str">
        <f>IFERROR(IF(AND(B3458&lt;&gt;"",C3458&lt;&gt;""),SUMIFS(Movimentos!$F$4:$F$9996,Movimentos!$D$4:$D$9996,B3458,Movimentos!$C$4:$C$9996,"Entrada")-SUMIFS(Movimentos!$F$4:$F$9996,Movimentos!$D$4:$D$9996,B3458,Movimentos!$C$4:$C$9996,"Saída"),""),"")</f>
        <v/>
      </c>
      <c r="F3458" s="10" t="str">
        <f t="shared" si="110"/>
        <v/>
      </c>
    </row>
    <row r="3459" spans="1:6" x14ac:dyDescent="0.3">
      <c r="A3459" s="15" t="str">
        <f t="shared" si="111"/>
        <v>.</v>
      </c>
      <c r="E3459" s="13" t="str">
        <f>IFERROR(IF(AND(B3459&lt;&gt;"",C3459&lt;&gt;""),SUMIFS(Movimentos!$F$4:$F$9996,Movimentos!$D$4:$D$9996,B3459,Movimentos!$C$4:$C$9996,"Entrada")-SUMIFS(Movimentos!$F$4:$F$9996,Movimentos!$D$4:$D$9996,B3459,Movimentos!$C$4:$C$9996,"Saída"),""),"")</f>
        <v/>
      </c>
      <c r="F3459" s="10" t="str">
        <f t="shared" si="110"/>
        <v/>
      </c>
    </row>
    <row r="3460" spans="1:6" x14ac:dyDescent="0.3">
      <c r="A3460" s="15" t="str">
        <f t="shared" si="111"/>
        <v>.</v>
      </c>
      <c r="E3460" s="13" t="str">
        <f>IFERROR(IF(AND(B3460&lt;&gt;"",C3460&lt;&gt;""),SUMIFS(Movimentos!$F$4:$F$9996,Movimentos!$D$4:$D$9996,B3460,Movimentos!$C$4:$C$9996,"Entrada")-SUMIFS(Movimentos!$F$4:$F$9996,Movimentos!$D$4:$D$9996,B3460,Movimentos!$C$4:$C$9996,"Saída"),""),"")</f>
        <v/>
      </c>
      <c r="F3460" s="10" t="str">
        <f t="shared" si="110"/>
        <v/>
      </c>
    </row>
    <row r="3461" spans="1:6" x14ac:dyDescent="0.3">
      <c r="A3461" s="15" t="str">
        <f t="shared" si="111"/>
        <v>.</v>
      </c>
      <c r="E3461" s="13" t="str">
        <f>IFERROR(IF(AND(B3461&lt;&gt;"",C3461&lt;&gt;""),SUMIFS(Movimentos!$F$4:$F$9996,Movimentos!$D$4:$D$9996,B3461,Movimentos!$C$4:$C$9996,"Entrada")-SUMIFS(Movimentos!$F$4:$F$9996,Movimentos!$D$4:$D$9996,B3461,Movimentos!$C$4:$C$9996,"Saída"),""),"")</f>
        <v/>
      </c>
      <c r="F3461" s="10" t="str">
        <f t="shared" si="110"/>
        <v/>
      </c>
    </row>
    <row r="3462" spans="1:6" x14ac:dyDescent="0.3">
      <c r="A3462" s="15" t="str">
        <f t="shared" si="111"/>
        <v>.</v>
      </c>
      <c r="E3462" s="13" t="str">
        <f>IFERROR(IF(AND(B3462&lt;&gt;"",C3462&lt;&gt;""),SUMIFS(Movimentos!$F$4:$F$9996,Movimentos!$D$4:$D$9996,B3462,Movimentos!$C$4:$C$9996,"Entrada")-SUMIFS(Movimentos!$F$4:$F$9996,Movimentos!$D$4:$D$9996,B3462,Movimentos!$C$4:$C$9996,"Saída"),""),"")</f>
        <v/>
      </c>
      <c r="F3462" s="10" t="str">
        <f t="shared" si="110"/>
        <v/>
      </c>
    </row>
    <row r="3463" spans="1:6" x14ac:dyDescent="0.3">
      <c r="A3463" s="15" t="str">
        <f t="shared" si="111"/>
        <v>.</v>
      </c>
      <c r="E3463" s="13" t="str">
        <f>IFERROR(IF(AND(B3463&lt;&gt;"",C3463&lt;&gt;""),SUMIFS(Movimentos!$F$4:$F$9996,Movimentos!$D$4:$D$9996,B3463,Movimentos!$C$4:$C$9996,"Entrada")-SUMIFS(Movimentos!$F$4:$F$9996,Movimentos!$D$4:$D$9996,B3463,Movimentos!$C$4:$C$9996,"Saída"),""),"")</f>
        <v/>
      </c>
      <c r="F3463" s="10" t="str">
        <f t="shared" si="110"/>
        <v/>
      </c>
    </row>
    <row r="3464" spans="1:6" x14ac:dyDescent="0.3">
      <c r="A3464" s="15" t="str">
        <f t="shared" si="111"/>
        <v>.</v>
      </c>
      <c r="E3464" s="13" t="str">
        <f>IFERROR(IF(AND(B3464&lt;&gt;"",C3464&lt;&gt;""),SUMIFS(Movimentos!$F$4:$F$9996,Movimentos!$D$4:$D$9996,B3464,Movimentos!$C$4:$C$9996,"Entrada")-SUMIFS(Movimentos!$F$4:$F$9996,Movimentos!$D$4:$D$9996,B3464,Movimentos!$C$4:$C$9996,"Saída"),""),"")</f>
        <v/>
      </c>
      <c r="F3464" s="10" t="str">
        <f t="shared" si="110"/>
        <v/>
      </c>
    </row>
    <row r="3465" spans="1:6" x14ac:dyDescent="0.3">
      <c r="A3465" s="15" t="str">
        <f t="shared" si="111"/>
        <v>.</v>
      </c>
      <c r="E3465" s="13" t="str">
        <f>IFERROR(IF(AND(B3465&lt;&gt;"",C3465&lt;&gt;""),SUMIFS(Movimentos!$F$4:$F$9996,Movimentos!$D$4:$D$9996,B3465,Movimentos!$C$4:$C$9996,"Entrada")-SUMIFS(Movimentos!$F$4:$F$9996,Movimentos!$D$4:$D$9996,B3465,Movimentos!$C$4:$C$9996,"Saída"),""),"")</f>
        <v/>
      </c>
      <c r="F3465" s="10" t="str">
        <f t="shared" si="110"/>
        <v/>
      </c>
    </row>
    <row r="3466" spans="1:6" x14ac:dyDescent="0.3">
      <c r="A3466" s="15" t="str">
        <f t="shared" si="111"/>
        <v>.</v>
      </c>
      <c r="E3466" s="13" t="str">
        <f>IFERROR(IF(AND(B3466&lt;&gt;"",C3466&lt;&gt;""),SUMIFS(Movimentos!$F$4:$F$9996,Movimentos!$D$4:$D$9996,B3466,Movimentos!$C$4:$C$9996,"Entrada")-SUMIFS(Movimentos!$F$4:$F$9996,Movimentos!$D$4:$D$9996,B3466,Movimentos!$C$4:$C$9996,"Saída"),""),"")</f>
        <v/>
      </c>
      <c r="F3466" s="10" t="str">
        <f t="shared" si="110"/>
        <v/>
      </c>
    </row>
    <row r="3467" spans="1:6" x14ac:dyDescent="0.3">
      <c r="A3467" s="15" t="str">
        <f t="shared" si="111"/>
        <v>.</v>
      </c>
      <c r="E3467" s="13" t="str">
        <f>IFERROR(IF(AND(B3467&lt;&gt;"",C3467&lt;&gt;""),SUMIFS(Movimentos!$F$4:$F$9996,Movimentos!$D$4:$D$9996,B3467,Movimentos!$C$4:$C$9996,"Entrada")-SUMIFS(Movimentos!$F$4:$F$9996,Movimentos!$D$4:$D$9996,B3467,Movimentos!$C$4:$C$9996,"Saída"),""),"")</f>
        <v/>
      </c>
      <c r="F3467" s="10" t="str">
        <f t="shared" si="110"/>
        <v/>
      </c>
    </row>
    <row r="3468" spans="1:6" x14ac:dyDescent="0.3">
      <c r="A3468" s="15" t="str">
        <f t="shared" si="111"/>
        <v>.</v>
      </c>
      <c r="E3468" s="13" t="str">
        <f>IFERROR(IF(AND(B3468&lt;&gt;"",C3468&lt;&gt;""),SUMIFS(Movimentos!$F$4:$F$9996,Movimentos!$D$4:$D$9996,B3468,Movimentos!$C$4:$C$9996,"Entrada")-SUMIFS(Movimentos!$F$4:$F$9996,Movimentos!$D$4:$D$9996,B3468,Movimentos!$C$4:$C$9996,"Saída"),""),"")</f>
        <v/>
      </c>
      <c r="F3468" s="10" t="str">
        <f t="shared" si="110"/>
        <v/>
      </c>
    </row>
    <row r="3469" spans="1:6" x14ac:dyDescent="0.3">
      <c r="A3469" s="15" t="str">
        <f t="shared" si="111"/>
        <v>.</v>
      </c>
      <c r="E3469" s="13" t="str">
        <f>IFERROR(IF(AND(B3469&lt;&gt;"",C3469&lt;&gt;""),SUMIFS(Movimentos!$F$4:$F$9996,Movimentos!$D$4:$D$9996,B3469,Movimentos!$C$4:$C$9996,"Entrada")-SUMIFS(Movimentos!$F$4:$F$9996,Movimentos!$D$4:$D$9996,B3469,Movimentos!$C$4:$C$9996,"Saída"),""),"")</f>
        <v/>
      </c>
      <c r="F3469" s="10" t="str">
        <f t="shared" si="110"/>
        <v/>
      </c>
    </row>
    <row r="3470" spans="1:6" x14ac:dyDescent="0.3">
      <c r="A3470" s="15" t="str">
        <f t="shared" si="111"/>
        <v>.</v>
      </c>
      <c r="E3470" s="13" t="str">
        <f>IFERROR(IF(AND(B3470&lt;&gt;"",C3470&lt;&gt;""),SUMIFS(Movimentos!$F$4:$F$9996,Movimentos!$D$4:$D$9996,B3470,Movimentos!$C$4:$C$9996,"Entrada")-SUMIFS(Movimentos!$F$4:$F$9996,Movimentos!$D$4:$D$9996,B3470,Movimentos!$C$4:$C$9996,"Saída"),""),"")</f>
        <v/>
      </c>
      <c r="F3470" s="10" t="str">
        <f t="shared" si="110"/>
        <v/>
      </c>
    </row>
    <row r="3471" spans="1:6" x14ac:dyDescent="0.3">
      <c r="A3471" s="15" t="str">
        <f t="shared" si="111"/>
        <v>.</v>
      </c>
      <c r="E3471" s="13" t="str">
        <f>IFERROR(IF(AND(B3471&lt;&gt;"",C3471&lt;&gt;""),SUMIFS(Movimentos!$F$4:$F$9996,Movimentos!$D$4:$D$9996,B3471,Movimentos!$C$4:$C$9996,"Entrada")-SUMIFS(Movimentos!$F$4:$F$9996,Movimentos!$D$4:$D$9996,B3471,Movimentos!$C$4:$C$9996,"Saída"),""),"")</f>
        <v/>
      </c>
      <c r="F3471" s="10" t="str">
        <f t="shared" si="110"/>
        <v/>
      </c>
    </row>
    <row r="3472" spans="1:6" x14ac:dyDescent="0.3">
      <c r="A3472" s="15" t="str">
        <f t="shared" si="111"/>
        <v>.</v>
      </c>
      <c r="E3472" s="13" t="str">
        <f>IFERROR(IF(AND(B3472&lt;&gt;"",C3472&lt;&gt;""),SUMIFS(Movimentos!$F$4:$F$9996,Movimentos!$D$4:$D$9996,B3472,Movimentos!$C$4:$C$9996,"Entrada")-SUMIFS(Movimentos!$F$4:$F$9996,Movimentos!$D$4:$D$9996,B3472,Movimentos!$C$4:$C$9996,"Saída"),""),"")</f>
        <v/>
      </c>
      <c r="F3472" s="10" t="str">
        <f t="shared" si="110"/>
        <v/>
      </c>
    </row>
    <row r="3473" spans="1:6" x14ac:dyDescent="0.3">
      <c r="A3473" s="15" t="str">
        <f t="shared" si="111"/>
        <v>.</v>
      </c>
      <c r="E3473" s="13" t="str">
        <f>IFERROR(IF(AND(B3473&lt;&gt;"",C3473&lt;&gt;""),SUMIFS(Movimentos!$F$4:$F$9996,Movimentos!$D$4:$D$9996,B3473,Movimentos!$C$4:$C$9996,"Entrada")-SUMIFS(Movimentos!$F$4:$F$9996,Movimentos!$D$4:$D$9996,B3473,Movimentos!$C$4:$C$9996,"Saída"),""),"")</f>
        <v/>
      </c>
      <c r="F3473" s="10" t="str">
        <f t="shared" si="110"/>
        <v/>
      </c>
    </row>
    <row r="3474" spans="1:6" x14ac:dyDescent="0.3">
      <c r="A3474" s="15" t="str">
        <f t="shared" si="111"/>
        <v>.</v>
      </c>
      <c r="E3474" s="13" t="str">
        <f>IFERROR(IF(AND(B3474&lt;&gt;"",C3474&lt;&gt;""),SUMIFS(Movimentos!$F$4:$F$9996,Movimentos!$D$4:$D$9996,B3474,Movimentos!$C$4:$C$9996,"Entrada")-SUMIFS(Movimentos!$F$4:$F$9996,Movimentos!$D$4:$D$9996,B3474,Movimentos!$C$4:$C$9996,"Saída"),""),"")</f>
        <v/>
      </c>
      <c r="F3474" s="10" t="str">
        <f t="shared" si="110"/>
        <v/>
      </c>
    </row>
    <row r="3475" spans="1:6" x14ac:dyDescent="0.3">
      <c r="A3475" s="15" t="str">
        <f t="shared" si="111"/>
        <v>.</v>
      </c>
      <c r="E3475" s="13" t="str">
        <f>IFERROR(IF(AND(B3475&lt;&gt;"",C3475&lt;&gt;""),SUMIFS(Movimentos!$F$4:$F$9996,Movimentos!$D$4:$D$9996,B3475,Movimentos!$C$4:$C$9996,"Entrada")-SUMIFS(Movimentos!$F$4:$F$9996,Movimentos!$D$4:$D$9996,B3475,Movimentos!$C$4:$C$9996,"Saída"),""),"")</f>
        <v/>
      </c>
      <c r="F3475" s="10" t="str">
        <f t="shared" si="110"/>
        <v/>
      </c>
    </row>
    <row r="3476" spans="1:6" x14ac:dyDescent="0.3">
      <c r="A3476" s="15" t="str">
        <f t="shared" si="111"/>
        <v>.</v>
      </c>
      <c r="E3476" s="13" t="str">
        <f>IFERROR(IF(AND(B3476&lt;&gt;"",C3476&lt;&gt;""),SUMIFS(Movimentos!$F$4:$F$9996,Movimentos!$D$4:$D$9996,B3476,Movimentos!$C$4:$C$9996,"Entrada")-SUMIFS(Movimentos!$F$4:$F$9996,Movimentos!$D$4:$D$9996,B3476,Movimentos!$C$4:$C$9996,"Saída"),""),"")</f>
        <v/>
      </c>
      <c r="F3476" s="10" t="str">
        <f t="shared" si="110"/>
        <v/>
      </c>
    </row>
    <row r="3477" spans="1:6" x14ac:dyDescent="0.3">
      <c r="A3477" s="15" t="str">
        <f t="shared" si="111"/>
        <v>.</v>
      </c>
      <c r="E3477" s="13" t="str">
        <f>IFERROR(IF(AND(B3477&lt;&gt;"",C3477&lt;&gt;""),SUMIFS(Movimentos!$F$4:$F$9996,Movimentos!$D$4:$D$9996,B3477,Movimentos!$C$4:$C$9996,"Entrada")-SUMIFS(Movimentos!$F$4:$F$9996,Movimentos!$D$4:$D$9996,B3477,Movimentos!$C$4:$C$9996,"Saída"),""),"")</f>
        <v/>
      </c>
      <c r="F3477" s="10" t="str">
        <f t="shared" si="110"/>
        <v/>
      </c>
    </row>
    <row r="3478" spans="1:6" x14ac:dyDescent="0.3">
      <c r="A3478" s="15" t="str">
        <f t="shared" si="111"/>
        <v>.</v>
      </c>
      <c r="E3478" s="13" t="str">
        <f>IFERROR(IF(AND(B3478&lt;&gt;"",C3478&lt;&gt;""),SUMIFS(Movimentos!$F$4:$F$9996,Movimentos!$D$4:$D$9996,B3478,Movimentos!$C$4:$C$9996,"Entrada")-SUMIFS(Movimentos!$F$4:$F$9996,Movimentos!$D$4:$D$9996,B3478,Movimentos!$C$4:$C$9996,"Saída"),""),"")</f>
        <v/>
      </c>
      <c r="F3478" s="10" t="str">
        <f t="shared" si="110"/>
        <v/>
      </c>
    </row>
    <row r="3479" spans="1:6" x14ac:dyDescent="0.3">
      <c r="A3479" s="15" t="str">
        <f t="shared" si="111"/>
        <v>.</v>
      </c>
      <c r="E3479" s="13" t="str">
        <f>IFERROR(IF(AND(B3479&lt;&gt;"",C3479&lt;&gt;""),SUMIFS(Movimentos!$F$4:$F$9996,Movimentos!$D$4:$D$9996,B3479,Movimentos!$C$4:$C$9996,"Entrada")-SUMIFS(Movimentos!$F$4:$F$9996,Movimentos!$D$4:$D$9996,B3479,Movimentos!$C$4:$C$9996,"Saída"),""),"")</f>
        <v/>
      </c>
      <c r="F3479" s="10" t="str">
        <f t="shared" ref="F3479:F3542" si="112">IF(AND(B3479&lt;&gt;"",C3479&lt;&gt;""),IF(E3479=0,"Saldo zerado",IF(E3479&lt;D3479,"Saldo abaixo do mínimo","Saldo disponível")),"")</f>
        <v/>
      </c>
    </row>
    <row r="3480" spans="1:6" x14ac:dyDescent="0.3">
      <c r="A3480" s="15" t="str">
        <f t="shared" si="111"/>
        <v>.</v>
      </c>
      <c r="E3480" s="13" t="str">
        <f>IFERROR(IF(AND(B3480&lt;&gt;"",C3480&lt;&gt;""),SUMIFS(Movimentos!$F$4:$F$9996,Movimentos!$D$4:$D$9996,B3480,Movimentos!$C$4:$C$9996,"Entrada")-SUMIFS(Movimentos!$F$4:$F$9996,Movimentos!$D$4:$D$9996,B3480,Movimentos!$C$4:$C$9996,"Saída"),""),"")</f>
        <v/>
      </c>
      <c r="F3480" s="10" t="str">
        <f t="shared" si="112"/>
        <v/>
      </c>
    </row>
    <row r="3481" spans="1:6" x14ac:dyDescent="0.3">
      <c r="A3481" s="15" t="str">
        <f t="shared" si="111"/>
        <v>.</v>
      </c>
      <c r="E3481" s="13" t="str">
        <f>IFERROR(IF(AND(B3481&lt;&gt;"",C3481&lt;&gt;""),SUMIFS(Movimentos!$F$4:$F$9996,Movimentos!$D$4:$D$9996,B3481,Movimentos!$C$4:$C$9996,"Entrada")-SUMIFS(Movimentos!$F$4:$F$9996,Movimentos!$D$4:$D$9996,B3481,Movimentos!$C$4:$C$9996,"Saída"),""),"")</f>
        <v/>
      </c>
      <c r="F3481" s="10" t="str">
        <f t="shared" si="112"/>
        <v/>
      </c>
    </row>
    <row r="3482" spans="1:6" x14ac:dyDescent="0.3">
      <c r="A3482" s="15" t="str">
        <f t="shared" si="111"/>
        <v>.</v>
      </c>
      <c r="E3482" s="13" t="str">
        <f>IFERROR(IF(AND(B3482&lt;&gt;"",C3482&lt;&gt;""),SUMIFS(Movimentos!$F$4:$F$9996,Movimentos!$D$4:$D$9996,B3482,Movimentos!$C$4:$C$9996,"Entrada")-SUMIFS(Movimentos!$F$4:$F$9996,Movimentos!$D$4:$D$9996,B3482,Movimentos!$C$4:$C$9996,"Saída"),""),"")</f>
        <v/>
      </c>
      <c r="F3482" s="10" t="str">
        <f t="shared" si="112"/>
        <v/>
      </c>
    </row>
    <row r="3483" spans="1:6" x14ac:dyDescent="0.3">
      <c r="A3483" s="15" t="str">
        <f t="shared" si="111"/>
        <v>.</v>
      </c>
      <c r="E3483" s="13" t="str">
        <f>IFERROR(IF(AND(B3483&lt;&gt;"",C3483&lt;&gt;""),SUMIFS(Movimentos!$F$4:$F$9996,Movimentos!$D$4:$D$9996,B3483,Movimentos!$C$4:$C$9996,"Entrada")-SUMIFS(Movimentos!$F$4:$F$9996,Movimentos!$D$4:$D$9996,B3483,Movimentos!$C$4:$C$9996,"Saída"),""),"")</f>
        <v/>
      </c>
      <c r="F3483" s="10" t="str">
        <f t="shared" si="112"/>
        <v/>
      </c>
    </row>
    <row r="3484" spans="1:6" x14ac:dyDescent="0.3">
      <c r="A3484" s="15" t="str">
        <f t="shared" si="111"/>
        <v>.</v>
      </c>
      <c r="E3484" s="13" t="str">
        <f>IFERROR(IF(AND(B3484&lt;&gt;"",C3484&lt;&gt;""),SUMIFS(Movimentos!$F$4:$F$9996,Movimentos!$D$4:$D$9996,B3484,Movimentos!$C$4:$C$9996,"Entrada")-SUMIFS(Movimentos!$F$4:$F$9996,Movimentos!$D$4:$D$9996,B3484,Movimentos!$C$4:$C$9996,"Saída"),""),"")</f>
        <v/>
      </c>
      <c r="F3484" s="10" t="str">
        <f t="shared" si="112"/>
        <v/>
      </c>
    </row>
    <row r="3485" spans="1:6" x14ac:dyDescent="0.3">
      <c r="A3485" s="15" t="str">
        <f t="shared" si="111"/>
        <v>.</v>
      </c>
      <c r="E3485" s="13" t="str">
        <f>IFERROR(IF(AND(B3485&lt;&gt;"",C3485&lt;&gt;""),SUMIFS(Movimentos!$F$4:$F$9996,Movimentos!$D$4:$D$9996,B3485,Movimentos!$C$4:$C$9996,"Entrada")-SUMIFS(Movimentos!$F$4:$F$9996,Movimentos!$D$4:$D$9996,B3485,Movimentos!$C$4:$C$9996,"Saída"),""),"")</f>
        <v/>
      </c>
      <c r="F3485" s="10" t="str">
        <f t="shared" si="112"/>
        <v/>
      </c>
    </row>
    <row r="3486" spans="1:6" x14ac:dyDescent="0.3">
      <c r="A3486" s="15" t="str">
        <f t="shared" si="111"/>
        <v>.</v>
      </c>
      <c r="E3486" s="13" t="str">
        <f>IFERROR(IF(AND(B3486&lt;&gt;"",C3486&lt;&gt;""),SUMIFS(Movimentos!$F$4:$F$9996,Movimentos!$D$4:$D$9996,B3486,Movimentos!$C$4:$C$9996,"Entrada")-SUMIFS(Movimentos!$F$4:$F$9996,Movimentos!$D$4:$D$9996,B3486,Movimentos!$C$4:$C$9996,"Saída"),""),"")</f>
        <v/>
      </c>
      <c r="F3486" s="10" t="str">
        <f t="shared" si="112"/>
        <v/>
      </c>
    </row>
    <row r="3487" spans="1:6" x14ac:dyDescent="0.3">
      <c r="A3487" s="15" t="str">
        <f t="shared" si="111"/>
        <v>.</v>
      </c>
      <c r="E3487" s="13" t="str">
        <f>IFERROR(IF(AND(B3487&lt;&gt;"",C3487&lt;&gt;""),SUMIFS(Movimentos!$F$4:$F$9996,Movimentos!$D$4:$D$9996,B3487,Movimentos!$C$4:$C$9996,"Entrada")-SUMIFS(Movimentos!$F$4:$F$9996,Movimentos!$D$4:$D$9996,B3487,Movimentos!$C$4:$C$9996,"Saída"),""),"")</f>
        <v/>
      </c>
      <c r="F3487" s="10" t="str">
        <f t="shared" si="112"/>
        <v/>
      </c>
    </row>
    <row r="3488" spans="1:6" x14ac:dyDescent="0.3">
      <c r="A3488" s="15" t="str">
        <f t="shared" si="111"/>
        <v>.</v>
      </c>
      <c r="E3488" s="13" t="str">
        <f>IFERROR(IF(AND(B3488&lt;&gt;"",C3488&lt;&gt;""),SUMIFS(Movimentos!$F$4:$F$9996,Movimentos!$D$4:$D$9996,B3488,Movimentos!$C$4:$C$9996,"Entrada")-SUMIFS(Movimentos!$F$4:$F$9996,Movimentos!$D$4:$D$9996,B3488,Movimentos!$C$4:$C$9996,"Saída"),""),"")</f>
        <v/>
      </c>
      <c r="F3488" s="10" t="str">
        <f t="shared" si="112"/>
        <v/>
      </c>
    </row>
    <row r="3489" spans="1:6" x14ac:dyDescent="0.3">
      <c r="A3489" s="15" t="str">
        <f t="shared" si="111"/>
        <v>.</v>
      </c>
      <c r="E3489" s="13" t="str">
        <f>IFERROR(IF(AND(B3489&lt;&gt;"",C3489&lt;&gt;""),SUMIFS(Movimentos!$F$4:$F$9996,Movimentos!$D$4:$D$9996,B3489,Movimentos!$C$4:$C$9996,"Entrada")-SUMIFS(Movimentos!$F$4:$F$9996,Movimentos!$D$4:$D$9996,B3489,Movimentos!$C$4:$C$9996,"Saída"),""),"")</f>
        <v/>
      </c>
      <c r="F3489" s="10" t="str">
        <f t="shared" si="112"/>
        <v/>
      </c>
    </row>
    <row r="3490" spans="1:6" x14ac:dyDescent="0.3">
      <c r="A3490" s="15" t="str">
        <f t="shared" si="111"/>
        <v>.</v>
      </c>
      <c r="E3490" s="13" t="str">
        <f>IFERROR(IF(AND(B3490&lt;&gt;"",C3490&lt;&gt;""),SUMIFS(Movimentos!$F$4:$F$9996,Movimentos!$D$4:$D$9996,B3490,Movimentos!$C$4:$C$9996,"Entrada")-SUMIFS(Movimentos!$F$4:$F$9996,Movimentos!$D$4:$D$9996,B3490,Movimentos!$C$4:$C$9996,"Saída"),""),"")</f>
        <v/>
      </c>
      <c r="F3490" s="10" t="str">
        <f t="shared" si="112"/>
        <v/>
      </c>
    </row>
    <row r="3491" spans="1:6" x14ac:dyDescent="0.3">
      <c r="A3491" s="15" t="str">
        <f t="shared" si="111"/>
        <v>.</v>
      </c>
      <c r="E3491" s="13" t="str">
        <f>IFERROR(IF(AND(B3491&lt;&gt;"",C3491&lt;&gt;""),SUMIFS(Movimentos!$F$4:$F$9996,Movimentos!$D$4:$D$9996,B3491,Movimentos!$C$4:$C$9996,"Entrada")-SUMIFS(Movimentos!$F$4:$F$9996,Movimentos!$D$4:$D$9996,B3491,Movimentos!$C$4:$C$9996,"Saída"),""),"")</f>
        <v/>
      </c>
      <c r="F3491" s="10" t="str">
        <f t="shared" si="112"/>
        <v/>
      </c>
    </row>
    <row r="3492" spans="1:6" x14ac:dyDescent="0.3">
      <c r="A3492" s="15" t="str">
        <f t="shared" si="111"/>
        <v>.</v>
      </c>
      <c r="E3492" s="13" t="str">
        <f>IFERROR(IF(AND(B3492&lt;&gt;"",C3492&lt;&gt;""),SUMIFS(Movimentos!$F$4:$F$9996,Movimentos!$D$4:$D$9996,B3492,Movimentos!$C$4:$C$9996,"Entrada")-SUMIFS(Movimentos!$F$4:$F$9996,Movimentos!$D$4:$D$9996,B3492,Movimentos!$C$4:$C$9996,"Saída"),""),"")</f>
        <v/>
      </c>
      <c r="F3492" s="10" t="str">
        <f t="shared" si="112"/>
        <v/>
      </c>
    </row>
    <row r="3493" spans="1:6" x14ac:dyDescent="0.3">
      <c r="A3493" s="15" t="str">
        <f t="shared" si="111"/>
        <v>.</v>
      </c>
      <c r="E3493" s="13" t="str">
        <f>IFERROR(IF(AND(B3493&lt;&gt;"",C3493&lt;&gt;""),SUMIFS(Movimentos!$F$4:$F$9996,Movimentos!$D$4:$D$9996,B3493,Movimentos!$C$4:$C$9996,"Entrada")-SUMIFS(Movimentos!$F$4:$F$9996,Movimentos!$D$4:$D$9996,B3493,Movimentos!$C$4:$C$9996,"Saída"),""),"")</f>
        <v/>
      </c>
      <c r="F3493" s="10" t="str">
        <f t="shared" si="112"/>
        <v/>
      </c>
    </row>
    <row r="3494" spans="1:6" x14ac:dyDescent="0.3">
      <c r="A3494" s="15" t="str">
        <f t="shared" si="111"/>
        <v>.</v>
      </c>
      <c r="E3494" s="13" t="str">
        <f>IFERROR(IF(AND(B3494&lt;&gt;"",C3494&lt;&gt;""),SUMIFS(Movimentos!$F$4:$F$9996,Movimentos!$D$4:$D$9996,B3494,Movimentos!$C$4:$C$9996,"Entrada")-SUMIFS(Movimentos!$F$4:$F$9996,Movimentos!$D$4:$D$9996,B3494,Movimentos!$C$4:$C$9996,"Saída"),""),"")</f>
        <v/>
      </c>
      <c r="F3494" s="10" t="str">
        <f t="shared" si="112"/>
        <v/>
      </c>
    </row>
    <row r="3495" spans="1:6" x14ac:dyDescent="0.3">
      <c r="A3495" s="15" t="str">
        <f t="shared" si="111"/>
        <v>.</v>
      </c>
      <c r="E3495" s="13" t="str">
        <f>IFERROR(IF(AND(B3495&lt;&gt;"",C3495&lt;&gt;""),SUMIFS(Movimentos!$F$4:$F$9996,Movimentos!$D$4:$D$9996,B3495,Movimentos!$C$4:$C$9996,"Entrada")-SUMIFS(Movimentos!$F$4:$F$9996,Movimentos!$D$4:$D$9996,B3495,Movimentos!$C$4:$C$9996,"Saída"),""),"")</f>
        <v/>
      </c>
      <c r="F3495" s="10" t="str">
        <f t="shared" si="112"/>
        <v/>
      </c>
    </row>
    <row r="3496" spans="1:6" x14ac:dyDescent="0.3">
      <c r="A3496" s="15" t="str">
        <f t="shared" si="111"/>
        <v>.</v>
      </c>
      <c r="E3496" s="13" t="str">
        <f>IFERROR(IF(AND(B3496&lt;&gt;"",C3496&lt;&gt;""),SUMIFS(Movimentos!$F$4:$F$9996,Movimentos!$D$4:$D$9996,B3496,Movimentos!$C$4:$C$9996,"Entrada")-SUMIFS(Movimentos!$F$4:$F$9996,Movimentos!$D$4:$D$9996,B3496,Movimentos!$C$4:$C$9996,"Saída"),""),"")</f>
        <v/>
      </c>
      <c r="F3496" s="10" t="str">
        <f t="shared" si="112"/>
        <v/>
      </c>
    </row>
    <row r="3497" spans="1:6" x14ac:dyDescent="0.3">
      <c r="A3497" s="15" t="str">
        <f t="shared" si="111"/>
        <v>.</v>
      </c>
      <c r="E3497" s="13" t="str">
        <f>IFERROR(IF(AND(B3497&lt;&gt;"",C3497&lt;&gt;""),SUMIFS(Movimentos!$F$4:$F$9996,Movimentos!$D$4:$D$9996,B3497,Movimentos!$C$4:$C$9996,"Entrada")-SUMIFS(Movimentos!$F$4:$F$9996,Movimentos!$D$4:$D$9996,B3497,Movimentos!$C$4:$C$9996,"Saída"),""),"")</f>
        <v/>
      </c>
      <c r="F3497" s="10" t="str">
        <f t="shared" si="112"/>
        <v/>
      </c>
    </row>
    <row r="3498" spans="1:6" x14ac:dyDescent="0.3">
      <c r="A3498" s="15" t="str">
        <f t="shared" si="111"/>
        <v>.</v>
      </c>
      <c r="E3498" s="13" t="str">
        <f>IFERROR(IF(AND(B3498&lt;&gt;"",C3498&lt;&gt;""),SUMIFS(Movimentos!$F$4:$F$9996,Movimentos!$D$4:$D$9996,B3498,Movimentos!$C$4:$C$9996,"Entrada")-SUMIFS(Movimentos!$F$4:$F$9996,Movimentos!$D$4:$D$9996,B3498,Movimentos!$C$4:$C$9996,"Saída"),""),"")</f>
        <v/>
      </c>
      <c r="F3498" s="10" t="str">
        <f t="shared" si="112"/>
        <v/>
      </c>
    </row>
    <row r="3499" spans="1:6" x14ac:dyDescent="0.3">
      <c r="A3499" s="15" t="str">
        <f t="shared" si="111"/>
        <v>.</v>
      </c>
      <c r="E3499" s="13" t="str">
        <f>IFERROR(IF(AND(B3499&lt;&gt;"",C3499&lt;&gt;""),SUMIFS(Movimentos!$F$4:$F$9996,Movimentos!$D$4:$D$9996,B3499,Movimentos!$C$4:$C$9996,"Entrada")-SUMIFS(Movimentos!$F$4:$F$9996,Movimentos!$D$4:$D$9996,B3499,Movimentos!$C$4:$C$9996,"Saída"),""),"")</f>
        <v/>
      </c>
      <c r="F3499" s="10" t="str">
        <f t="shared" si="112"/>
        <v/>
      </c>
    </row>
    <row r="3500" spans="1:6" x14ac:dyDescent="0.3">
      <c r="A3500" s="15" t="str">
        <f t="shared" si="111"/>
        <v>.</v>
      </c>
      <c r="E3500" s="13" t="str">
        <f>IFERROR(IF(AND(B3500&lt;&gt;"",C3500&lt;&gt;""),SUMIFS(Movimentos!$F$4:$F$9996,Movimentos!$D$4:$D$9996,B3500,Movimentos!$C$4:$C$9996,"Entrada")-SUMIFS(Movimentos!$F$4:$F$9996,Movimentos!$D$4:$D$9996,B3500,Movimentos!$C$4:$C$9996,"Saída"),""),"")</f>
        <v/>
      </c>
      <c r="F3500" s="10" t="str">
        <f t="shared" si="112"/>
        <v/>
      </c>
    </row>
    <row r="3501" spans="1:6" x14ac:dyDescent="0.3">
      <c r="A3501" s="15" t="str">
        <f t="shared" si="111"/>
        <v>.</v>
      </c>
      <c r="E3501" s="13" t="str">
        <f>IFERROR(IF(AND(B3501&lt;&gt;"",C3501&lt;&gt;""),SUMIFS(Movimentos!$F$4:$F$9996,Movimentos!$D$4:$D$9996,B3501,Movimentos!$C$4:$C$9996,"Entrada")-SUMIFS(Movimentos!$F$4:$F$9996,Movimentos!$D$4:$D$9996,B3501,Movimentos!$C$4:$C$9996,"Saída"),""),"")</f>
        <v/>
      </c>
      <c r="F3501" s="10" t="str">
        <f t="shared" si="112"/>
        <v/>
      </c>
    </row>
    <row r="3502" spans="1:6" x14ac:dyDescent="0.3">
      <c r="A3502" s="15" t="str">
        <f t="shared" si="111"/>
        <v>.</v>
      </c>
      <c r="E3502" s="13" t="str">
        <f>IFERROR(IF(AND(B3502&lt;&gt;"",C3502&lt;&gt;""),SUMIFS(Movimentos!$F$4:$F$9996,Movimentos!$D$4:$D$9996,B3502,Movimentos!$C$4:$C$9996,"Entrada")-SUMIFS(Movimentos!$F$4:$F$9996,Movimentos!$D$4:$D$9996,B3502,Movimentos!$C$4:$C$9996,"Saída"),""),"")</f>
        <v/>
      </c>
      <c r="F3502" s="10" t="str">
        <f t="shared" si="112"/>
        <v/>
      </c>
    </row>
    <row r="3503" spans="1:6" x14ac:dyDescent="0.3">
      <c r="A3503" s="15" t="str">
        <f t="shared" si="111"/>
        <v>.</v>
      </c>
      <c r="E3503" s="13" t="str">
        <f>IFERROR(IF(AND(B3503&lt;&gt;"",C3503&lt;&gt;""),SUMIFS(Movimentos!$F$4:$F$9996,Movimentos!$D$4:$D$9996,B3503,Movimentos!$C$4:$C$9996,"Entrada")-SUMIFS(Movimentos!$F$4:$F$9996,Movimentos!$D$4:$D$9996,B3503,Movimentos!$C$4:$C$9996,"Saída"),""),"")</f>
        <v/>
      </c>
      <c r="F3503" s="10" t="str">
        <f t="shared" si="112"/>
        <v/>
      </c>
    </row>
    <row r="3504" spans="1:6" x14ac:dyDescent="0.3">
      <c r="A3504" s="15" t="str">
        <f t="shared" si="111"/>
        <v>.</v>
      </c>
      <c r="E3504" s="13" t="str">
        <f>IFERROR(IF(AND(B3504&lt;&gt;"",C3504&lt;&gt;""),SUMIFS(Movimentos!$F$4:$F$9996,Movimentos!$D$4:$D$9996,B3504,Movimentos!$C$4:$C$9996,"Entrada")-SUMIFS(Movimentos!$F$4:$F$9996,Movimentos!$D$4:$D$9996,B3504,Movimentos!$C$4:$C$9996,"Saída"),""),"")</f>
        <v/>
      </c>
      <c r="F3504" s="10" t="str">
        <f t="shared" si="112"/>
        <v/>
      </c>
    </row>
    <row r="3505" spans="1:6" x14ac:dyDescent="0.3">
      <c r="A3505" s="15" t="str">
        <f t="shared" si="111"/>
        <v>.</v>
      </c>
      <c r="E3505" s="13" t="str">
        <f>IFERROR(IF(AND(B3505&lt;&gt;"",C3505&lt;&gt;""),SUMIFS(Movimentos!$F$4:$F$9996,Movimentos!$D$4:$D$9996,B3505,Movimentos!$C$4:$C$9996,"Entrada")-SUMIFS(Movimentos!$F$4:$F$9996,Movimentos!$D$4:$D$9996,B3505,Movimentos!$C$4:$C$9996,"Saída"),""),"")</f>
        <v/>
      </c>
      <c r="F3505" s="10" t="str">
        <f t="shared" si="112"/>
        <v/>
      </c>
    </row>
    <row r="3506" spans="1:6" x14ac:dyDescent="0.3">
      <c r="A3506" s="15" t="str">
        <f t="shared" si="111"/>
        <v>.</v>
      </c>
      <c r="E3506" s="13" t="str">
        <f>IFERROR(IF(AND(B3506&lt;&gt;"",C3506&lt;&gt;""),SUMIFS(Movimentos!$F$4:$F$9996,Movimentos!$D$4:$D$9996,B3506,Movimentos!$C$4:$C$9996,"Entrada")-SUMIFS(Movimentos!$F$4:$F$9996,Movimentos!$D$4:$D$9996,B3506,Movimentos!$C$4:$C$9996,"Saída"),""),"")</f>
        <v/>
      </c>
      <c r="F3506" s="10" t="str">
        <f t="shared" si="112"/>
        <v/>
      </c>
    </row>
    <row r="3507" spans="1:6" x14ac:dyDescent="0.3">
      <c r="A3507" s="15" t="str">
        <f t="shared" si="111"/>
        <v>.</v>
      </c>
      <c r="E3507" s="13" t="str">
        <f>IFERROR(IF(AND(B3507&lt;&gt;"",C3507&lt;&gt;""),SUMIFS(Movimentos!$F$4:$F$9996,Movimentos!$D$4:$D$9996,B3507,Movimentos!$C$4:$C$9996,"Entrada")-SUMIFS(Movimentos!$F$4:$F$9996,Movimentos!$D$4:$D$9996,B3507,Movimentos!$C$4:$C$9996,"Saída"),""),"")</f>
        <v/>
      </c>
      <c r="F3507" s="10" t="str">
        <f t="shared" si="112"/>
        <v/>
      </c>
    </row>
    <row r="3508" spans="1:6" x14ac:dyDescent="0.3">
      <c r="A3508" s="15" t="str">
        <f t="shared" si="111"/>
        <v>.</v>
      </c>
      <c r="E3508" s="13" t="str">
        <f>IFERROR(IF(AND(B3508&lt;&gt;"",C3508&lt;&gt;""),SUMIFS(Movimentos!$F$4:$F$9996,Movimentos!$D$4:$D$9996,B3508,Movimentos!$C$4:$C$9996,"Entrada")-SUMIFS(Movimentos!$F$4:$F$9996,Movimentos!$D$4:$D$9996,B3508,Movimentos!$C$4:$C$9996,"Saída"),""),"")</f>
        <v/>
      </c>
      <c r="F3508" s="10" t="str">
        <f t="shared" si="112"/>
        <v/>
      </c>
    </row>
    <row r="3509" spans="1:6" x14ac:dyDescent="0.3">
      <c r="A3509" s="15" t="str">
        <f t="shared" si="111"/>
        <v>.</v>
      </c>
      <c r="E3509" s="13" t="str">
        <f>IFERROR(IF(AND(B3509&lt;&gt;"",C3509&lt;&gt;""),SUMIFS(Movimentos!$F$4:$F$9996,Movimentos!$D$4:$D$9996,B3509,Movimentos!$C$4:$C$9996,"Entrada")-SUMIFS(Movimentos!$F$4:$F$9996,Movimentos!$D$4:$D$9996,B3509,Movimentos!$C$4:$C$9996,"Saída"),""),"")</f>
        <v/>
      </c>
      <c r="F3509" s="10" t="str">
        <f t="shared" si="112"/>
        <v/>
      </c>
    </row>
    <row r="3510" spans="1:6" x14ac:dyDescent="0.3">
      <c r="A3510" s="15" t="str">
        <f t="shared" si="111"/>
        <v>.</v>
      </c>
      <c r="E3510" s="13" t="str">
        <f>IFERROR(IF(AND(B3510&lt;&gt;"",C3510&lt;&gt;""),SUMIFS(Movimentos!$F$4:$F$9996,Movimentos!$D$4:$D$9996,B3510,Movimentos!$C$4:$C$9996,"Entrada")-SUMIFS(Movimentos!$F$4:$F$9996,Movimentos!$D$4:$D$9996,B3510,Movimentos!$C$4:$C$9996,"Saída"),""),"")</f>
        <v/>
      </c>
      <c r="F3510" s="10" t="str">
        <f t="shared" si="112"/>
        <v/>
      </c>
    </row>
    <row r="3511" spans="1:6" x14ac:dyDescent="0.3">
      <c r="A3511" s="15" t="str">
        <f t="shared" si="111"/>
        <v>.</v>
      </c>
      <c r="E3511" s="13" t="str">
        <f>IFERROR(IF(AND(B3511&lt;&gt;"",C3511&lt;&gt;""),SUMIFS(Movimentos!$F$4:$F$9996,Movimentos!$D$4:$D$9996,B3511,Movimentos!$C$4:$C$9996,"Entrada")-SUMIFS(Movimentos!$F$4:$F$9996,Movimentos!$D$4:$D$9996,B3511,Movimentos!$C$4:$C$9996,"Saída"),""),"")</f>
        <v/>
      </c>
      <c r="F3511" s="10" t="str">
        <f t="shared" si="112"/>
        <v/>
      </c>
    </row>
    <row r="3512" spans="1:6" x14ac:dyDescent="0.3">
      <c r="A3512" s="15" t="str">
        <f t="shared" si="111"/>
        <v>.</v>
      </c>
      <c r="E3512" s="13" t="str">
        <f>IFERROR(IF(AND(B3512&lt;&gt;"",C3512&lt;&gt;""),SUMIFS(Movimentos!$F$4:$F$9996,Movimentos!$D$4:$D$9996,B3512,Movimentos!$C$4:$C$9996,"Entrada")-SUMIFS(Movimentos!$F$4:$F$9996,Movimentos!$D$4:$D$9996,B3512,Movimentos!$C$4:$C$9996,"Saída"),""),"")</f>
        <v/>
      </c>
      <c r="F3512" s="10" t="str">
        <f t="shared" si="112"/>
        <v/>
      </c>
    </row>
    <row r="3513" spans="1:6" x14ac:dyDescent="0.3">
      <c r="A3513" s="15" t="str">
        <f t="shared" si="111"/>
        <v>.</v>
      </c>
      <c r="E3513" s="13" t="str">
        <f>IFERROR(IF(AND(B3513&lt;&gt;"",C3513&lt;&gt;""),SUMIFS(Movimentos!$F$4:$F$9996,Movimentos!$D$4:$D$9996,B3513,Movimentos!$C$4:$C$9996,"Entrada")-SUMIFS(Movimentos!$F$4:$F$9996,Movimentos!$D$4:$D$9996,B3513,Movimentos!$C$4:$C$9996,"Saída"),""),"")</f>
        <v/>
      </c>
      <c r="F3513" s="10" t="str">
        <f t="shared" si="112"/>
        <v/>
      </c>
    </row>
    <row r="3514" spans="1:6" x14ac:dyDescent="0.3">
      <c r="A3514" s="15" t="str">
        <f t="shared" si="111"/>
        <v>.</v>
      </c>
      <c r="E3514" s="13" t="str">
        <f>IFERROR(IF(AND(B3514&lt;&gt;"",C3514&lt;&gt;""),SUMIFS(Movimentos!$F$4:$F$9996,Movimentos!$D$4:$D$9996,B3514,Movimentos!$C$4:$C$9996,"Entrada")-SUMIFS(Movimentos!$F$4:$F$9996,Movimentos!$D$4:$D$9996,B3514,Movimentos!$C$4:$C$9996,"Saída"),""),"")</f>
        <v/>
      </c>
      <c r="F3514" s="10" t="str">
        <f t="shared" si="112"/>
        <v/>
      </c>
    </row>
    <row r="3515" spans="1:6" x14ac:dyDescent="0.3">
      <c r="A3515" s="15" t="str">
        <f t="shared" si="111"/>
        <v>.</v>
      </c>
      <c r="E3515" s="13" t="str">
        <f>IFERROR(IF(AND(B3515&lt;&gt;"",C3515&lt;&gt;""),SUMIFS(Movimentos!$F$4:$F$9996,Movimentos!$D$4:$D$9996,B3515,Movimentos!$C$4:$C$9996,"Entrada")-SUMIFS(Movimentos!$F$4:$F$9996,Movimentos!$D$4:$D$9996,B3515,Movimentos!$C$4:$C$9996,"Saída"),""),"")</f>
        <v/>
      </c>
      <c r="F3515" s="10" t="str">
        <f t="shared" si="112"/>
        <v/>
      </c>
    </row>
    <row r="3516" spans="1:6" x14ac:dyDescent="0.3">
      <c r="A3516" s="15" t="str">
        <f t="shared" si="111"/>
        <v>.</v>
      </c>
      <c r="E3516" s="13" t="str">
        <f>IFERROR(IF(AND(B3516&lt;&gt;"",C3516&lt;&gt;""),SUMIFS(Movimentos!$F$4:$F$9996,Movimentos!$D$4:$D$9996,B3516,Movimentos!$C$4:$C$9996,"Entrada")-SUMIFS(Movimentos!$F$4:$F$9996,Movimentos!$D$4:$D$9996,B3516,Movimentos!$C$4:$C$9996,"Saída"),""),"")</f>
        <v/>
      </c>
      <c r="F3516" s="10" t="str">
        <f t="shared" si="112"/>
        <v/>
      </c>
    </row>
    <row r="3517" spans="1:6" x14ac:dyDescent="0.3">
      <c r="A3517" s="15" t="str">
        <f t="shared" si="111"/>
        <v>.</v>
      </c>
      <c r="E3517" s="13" t="str">
        <f>IFERROR(IF(AND(B3517&lt;&gt;"",C3517&lt;&gt;""),SUMIFS(Movimentos!$F$4:$F$9996,Movimentos!$D$4:$D$9996,B3517,Movimentos!$C$4:$C$9996,"Entrada")-SUMIFS(Movimentos!$F$4:$F$9996,Movimentos!$D$4:$D$9996,B3517,Movimentos!$C$4:$C$9996,"Saída"),""),"")</f>
        <v/>
      </c>
      <c r="F3517" s="10" t="str">
        <f t="shared" si="112"/>
        <v/>
      </c>
    </row>
    <row r="3518" spans="1:6" x14ac:dyDescent="0.3">
      <c r="A3518" s="15" t="str">
        <f t="shared" si="111"/>
        <v>.</v>
      </c>
      <c r="E3518" s="13" t="str">
        <f>IFERROR(IF(AND(B3518&lt;&gt;"",C3518&lt;&gt;""),SUMIFS(Movimentos!$F$4:$F$9996,Movimentos!$D$4:$D$9996,B3518,Movimentos!$C$4:$C$9996,"Entrada")-SUMIFS(Movimentos!$F$4:$F$9996,Movimentos!$D$4:$D$9996,B3518,Movimentos!$C$4:$C$9996,"Saída"),""),"")</f>
        <v/>
      </c>
      <c r="F3518" s="10" t="str">
        <f t="shared" si="112"/>
        <v/>
      </c>
    </row>
    <row r="3519" spans="1:6" x14ac:dyDescent="0.3">
      <c r="A3519" s="15" t="str">
        <f t="shared" si="111"/>
        <v>.</v>
      </c>
      <c r="E3519" s="13" t="str">
        <f>IFERROR(IF(AND(B3519&lt;&gt;"",C3519&lt;&gt;""),SUMIFS(Movimentos!$F$4:$F$9996,Movimentos!$D$4:$D$9996,B3519,Movimentos!$C$4:$C$9996,"Entrada")-SUMIFS(Movimentos!$F$4:$F$9996,Movimentos!$D$4:$D$9996,B3519,Movimentos!$C$4:$C$9996,"Saída"),""),"")</f>
        <v/>
      </c>
      <c r="F3519" s="10" t="str">
        <f t="shared" si="112"/>
        <v/>
      </c>
    </row>
    <row r="3520" spans="1:6" x14ac:dyDescent="0.3">
      <c r="A3520" s="15" t="str">
        <f t="shared" ref="A3520:A3583" si="113">IF(F3520="Saldo zerado",0,IF(F3520="Saldo abaixo do mínimo",1,IF(F3520="Saldo disponível",2,".")))</f>
        <v>.</v>
      </c>
      <c r="E3520" s="13" t="str">
        <f>IFERROR(IF(AND(B3520&lt;&gt;"",C3520&lt;&gt;""),SUMIFS(Movimentos!$F$4:$F$9996,Movimentos!$D$4:$D$9996,B3520,Movimentos!$C$4:$C$9996,"Entrada")-SUMIFS(Movimentos!$F$4:$F$9996,Movimentos!$D$4:$D$9996,B3520,Movimentos!$C$4:$C$9996,"Saída"),""),"")</f>
        <v/>
      </c>
      <c r="F3520" s="10" t="str">
        <f t="shared" si="112"/>
        <v/>
      </c>
    </row>
    <row r="3521" spans="1:6" x14ac:dyDescent="0.3">
      <c r="A3521" s="15" t="str">
        <f t="shared" si="113"/>
        <v>.</v>
      </c>
      <c r="E3521" s="13" t="str">
        <f>IFERROR(IF(AND(B3521&lt;&gt;"",C3521&lt;&gt;""),SUMIFS(Movimentos!$F$4:$F$9996,Movimentos!$D$4:$D$9996,B3521,Movimentos!$C$4:$C$9996,"Entrada")-SUMIFS(Movimentos!$F$4:$F$9996,Movimentos!$D$4:$D$9996,B3521,Movimentos!$C$4:$C$9996,"Saída"),""),"")</f>
        <v/>
      </c>
      <c r="F3521" s="10" t="str">
        <f t="shared" si="112"/>
        <v/>
      </c>
    </row>
    <row r="3522" spans="1:6" x14ac:dyDescent="0.3">
      <c r="A3522" s="15" t="str">
        <f t="shared" si="113"/>
        <v>.</v>
      </c>
      <c r="E3522" s="13" t="str">
        <f>IFERROR(IF(AND(B3522&lt;&gt;"",C3522&lt;&gt;""),SUMIFS(Movimentos!$F$4:$F$9996,Movimentos!$D$4:$D$9996,B3522,Movimentos!$C$4:$C$9996,"Entrada")-SUMIFS(Movimentos!$F$4:$F$9996,Movimentos!$D$4:$D$9996,B3522,Movimentos!$C$4:$C$9996,"Saída"),""),"")</f>
        <v/>
      </c>
      <c r="F3522" s="10" t="str">
        <f t="shared" si="112"/>
        <v/>
      </c>
    </row>
    <row r="3523" spans="1:6" x14ac:dyDescent="0.3">
      <c r="A3523" s="15" t="str">
        <f t="shared" si="113"/>
        <v>.</v>
      </c>
      <c r="E3523" s="13" t="str">
        <f>IFERROR(IF(AND(B3523&lt;&gt;"",C3523&lt;&gt;""),SUMIFS(Movimentos!$F$4:$F$9996,Movimentos!$D$4:$D$9996,B3523,Movimentos!$C$4:$C$9996,"Entrada")-SUMIFS(Movimentos!$F$4:$F$9996,Movimentos!$D$4:$D$9996,B3523,Movimentos!$C$4:$C$9996,"Saída"),""),"")</f>
        <v/>
      </c>
      <c r="F3523" s="10" t="str">
        <f t="shared" si="112"/>
        <v/>
      </c>
    </row>
    <row r="3524" spans="1:6" x14ac:dyDescent="0.3">
      <c r="A3524" s="15" t="str">
        <f t="shared" si="113"/>
        <v>.</v>
      </c>
      <c r="E3524" s="13" t="str">
        <f>IFERROR(IF(AND(B3524&lt;&gt;"",C3524&lt;&gt;""),SUMIFS(Movimentos!$F$4:$F$9996,Movimentos!$D$4:$D$9996,B3524,Movimentos!$C$4:$C$9996,"Entrada")-SUMIFS(Movimentos!$F$4:$F$9996,Movimentos!$D$4:$D$9996,B3524,Movimentos!$C$4:$C$9996,"Saída"),""),"")</f>
        <v/>
      </c>
      <c r="F3524" s="10" t="str">
        <f t="shared" si="112"/>
        <v/>
      </c>
    </row>
    <row r="3525" spans="1:6" x14ac:dyDescent="0.3">
      <c r="A3525" s="15" t="str">
        <f t="shared" si="113"/>
        <v>.</v>
      </c>
      <c r="E3525" s="13" t="str">
        <f>IFERROR(IF(AND(B3525&lt;&gt;"",C3525&lt;&gt;""),SUMIFS(Movimentos!$F$4:$F$9996,Movimentos!$D$4:$D$9996,B3525,Movimentos!$C$4:$C$9996,"Entrada")-SUMIFS(Movimentos!$F$4:$F$9996,Movimentos!$D$4:$D$9996,B3525,Movimentos!$C$4:$C$9996,"Saída"),""),"")</f>
        <v/>
      </c>
      <c r="F3525" s="10" t="str">
        <f t="shared" si="112"/>
        <v/>
      </c>
    </row>
    <row r="3526" spans="1:6" x14ac:dyDescent="0.3">
      <c r="A3526" s="15" t="str">
        <f t="shared" si="113"/>
        <v>.</v>
      </c>
      <c r="E3526" s="13" t="str">
        <f>IFERROR(IF(AND(B3526&lt;&gt;"",C3526&lt;&gt;""),SUMIFS(Movimentos!$F$4:$F$9996,Movimentos!$D$4:$D$9996,B3526,Movimentos!$C$4:$C$9996,"Entrada")-SUMIFS(Movimentos!$F$4:$F$9996,Movimentos!$D$4:$D$9996,B3526,Movimentos!$C$4:$C$9996,"Saída"),""),"")</f>
        <v/>
      </c>
      <c r="F3526" s="10" t="str">
        <f t="shared" si="112"/>
        <v/>
      </c>
    </row>
    <row r="3527" spans="1:6" x14ac:dyDescent="0.3">
      <c r="A3527" s="15" t="str">
        <f t="shared" si="113"/>
        <v>.</v>
      </c>
      <c r="E3527" s="13" t="str">
        <f>IFERROR(IF(AND(B3527&lt;&gt;"",C3527&lt;&gt;""),SUMIFS(Movimentos!$F$4:$F$9996,Movimentos!$D$4:$D$9996,B3527,Movimentos!$C$4:$C$9996,"Entrada")-SUMIFS(Movimentos!$F$4:$F$9996,Movimentos!$D$4:$D$9996,B3527,Movimentos!$C$4:$C$9996,"Saída"),""),"")</f>
        <v/>
      </c>
      <c r="F3527" s="10" t="str">
        <f t="shared" si="112"/>
        <v/>
      </c>
    </row>
    <row r="3528" spans="1:6" x14ac:dyDescent="0.3">
      <c r="A3528" s="15" t="str">
        <f t="shared" si="113"/>
        <v>.</v>
      </c>
      <c r="E3528" s="13" t="str">
        <f>IFERROR(IF(AND(B3528&lt;&gt;"",C3528&lt;&gt;""),SUMIFS(Movimentos!$F$4:$F$9996,Movimentos!$D$4:$D$9996,B3528,Movimentos!$C$4:$C$9996,"Entrada")-SUMIFS(Movimentos!$F$4:$F$9996,Movimentos!$D$4:$D$9996,B3528,Movimentos!$C$4:$C$9996,"Saída"),""),"")</f>
        <v/>
      </c>
      <c r="F3528" s="10" t="str">
        <f t="shared" si="112"/>
        <v/>
      </c>
    </row>
    <row r="3529" spans="1:6" x14ac:dyDescent="0.3">
      <c r="A3529" s="15" t="str">
        <f t="shared" si="113"/>
        <v>.</v>
      </c>
      <c r="E3529" s="13" t="str">
        <f>IFERROR(IF(AND(B3529&lt;&gt;"",C3529&lt;&gt;""),SUMIFS(Movimentos!$F$4:$F$9996,Movimentos!$D$4:$D$9996,B3529,Movimentos!$C$4:$C$9996,"Entrada")-SUMIFS(Movimentos!$F$4:$F$9996,Movimentos!$D$4:$D$9996,B3529,Movimentos!$C$4:$C$9996,"Saída"),""),"")</f>
        <v/>
      </c>
      <c r="F3529" s="10" t="str">
        <f t="shared" si="112"/>
        <v/>
      </c>
    </row>
    <row r="3530" spans="1:6" x14ac:dyDescent="0.3">
      <c r="A3530" s="15" t="str">
        <f t="shared" si="113"/>
        <v>.</v>
      </c>
      <c r="E3530" s="13" t="str">
        <f>IFERROR(IF(AND(B3530&lt;&gt;"",C3530&lt;&gt;""),SUMIFS(Movimentos!$F$4:$F$9996,Movimentos!$D$4:$D$9996,B3530,Movimentos!$C$4:$C$9996,"Entrada")-SUMIFS(Movimentos!$F$4:$F$9996,Movimentos!$D$4:$D$9996,B3530,Movimentos!$C$4:$C$9996,"Saída"),""),"")</f>
        <v/>
      </c>
      <c r="F3530" s="10" t="str">
        <f t="shared" si="112"/>
        <v/>
      </c>
    </row>
    <row r="3531" spans="1:6" x14ac:dyDescent="0.3">
      <c r="A3531" s="15" t="str">
        <f t="shared" si="113"/>
        <v>.</v>
      </c>
      <c r="E3531" s="13" t="str">
        <f>IFERROR(IF(AND(B3531&lt;&gt;"",C3531&lt;&gt;""),SUMIFS(Movimentos!$F$4:$F$9996,Movimentos!$D$4:$D$9996,B3531,Movimentos!$C$4:$C$9996,"Entrada")-SUMIFS(Movimentos!$F$4:$F$9996,Movimentos!$D$4:$D$9996,B3531,Movimentos!$C$4:$C$9996,"Saída"),""),"")</f>
        <v/>
      </c>
      <c r="F3531" s="10" t="str">
        <f t="shared" si="112"/>
        <v/>
      </c>
    </row>
    <row r="3532" spans="1:6" x14ac:dyDescent="0.3">
      <c r="A3532" s="15" t="str">
        <f t="shared" si="113"/>
        <v>.</v>
      </c>
      <c r="E3532" s="13" t="str">
        <f>IFERROR(IF(AND(B3532&lt;&gt;"",C3532&lt;&gt;""),SUMIFS(Movimentos!$F$4:$F$9996,Movimentos!$D$4:$D$9996,B3532,Movimentos!$C$4:$C$9996,"Entrada")-SUMIFS(Movimentos!$F$4:$F$9996,Movimentos!$D$4:$D$9996,B3532,Movimentos!$C$4:$C$9996,"Saída"),""),"")</f>
        <v/>
      </c>
      <c r="F3532" s="10" t="str">
        <f t="shared" si="112"/>
        <v/>
      </c>
    </row>
    <row r="3533" spans="1:6" x14ac:dyDescent="0.3">
      <c r="A3533" s="15" t="str">
        <f t="shared" si="113"/>
        <v>.</v>
      </c>
      <c r="E3533" s="13" t="str">
        <f>IFERROR(IF(AND(B3533&lt;&gt;"",C3533&lt;&gt;""),SUMIFS(Movimentos!$F$4:$F$9996,Movimentos!$D$4:$D$9996,B3533,Movimentos!$C$4:$C$9996,"Entrada")-SUMIFS(Movimentos!$F$4:$F$9996,Movimentos!$D$4:$D$9996,B3533,Movimentos!$C$4:$C$9996,"Saída"),""),"")</f>
        <v/>
      </c>
      <c r="F3533" s="10" t="str">
        <f t="shared" si="112"/>
        <v/>
      </c>
    </row>
    <row r="3534" spans="1:6" x14ac:dyDescent="0.3">
      <c r="A3534" s="15" t="str">
        <f t="shared" si="113"/>
        <v>.</v>
      </c>
      <c r="E3534" s="13" t="str">
        <f>IFERROR(IF(AND(B3534&lt;&gt;"",C3534&lt;&gt;""),SUMIFS(Movimentos!$F$4:$F$9996,Movimentos!$D$4:$D$9996,B3534,Movimentos!$C$4:$C$9996,"Entrada")-SUMIFS(Movimentos!$F$4:$F$9996,Movimentos!$D$4:$D$9996,B3534,Movimentos!$C$4:$C$9996,"Saída"),""),"")</f>
        <v/>
      </c>
      <c r="F3534" s="10" t="str">
        <f t="shared" si="112"/>
        <v/>
      </c>
    </row>
    <row r="3535" spans="1:6" x14ac:dyDescent="0.3">
      <c r="A3535" s="15" t="str">
        <f t="shared" si="113"/>
        <v>.</v>
      </c>
      <c r="E3535" s="13" t="str">
        <f>IFERROR(IF(AND(B3535&lt;&gt;"",C3535&lt;&gt;""),SUMIFS(Movimentos!$F$4:$F$9996,Movimentos!$D$4:$D$9996,B3535,Movimentos!$C$4:$C$9996,"Entrada")-SUMIFS(Movimentos!$F$4:$F$9996,Movimentos!$D$4:$D$9996,B3535,Movimentos!$C$4:$C$9996,"Saída"),""),"")</f>
        <v/>
      </c>
      <c r="F3535" s="10" t="str">
        <f t="shared" si="112"/>
        <v/>
      </c>
    </row>
    <row r="3536" spans="1:6" x14ac:dyDescent="0.3">
      <c r="A3536" s="15" t="str">
        <f t="shared" si="113"/>
        <v>.</v>
      </c>
      <c r="E3536" s="13" t="str">
        <f>IFERROR(IF(AND(B3536&lt;&gt;"",C3536&lt;&gt;""),SUMIFS(Movimentos!$F$4:$F$9996,Movimentos!$D$4:$D$9996,B3536,Movimentos!$C$4:$C$9996,"Entrada")-SUMIFS(Movimentos!$F$4:$F$9996,Movimentos!$D$4:$D$9996,B3536,Movimentos!$C$4:$C$9996,"Saída"),""),"")</f>
        <v/>
      </c>
      <c r="F3536" s="10" t="str">
        <f t="shared" si="112"/>
        <v/>
      </c>
    </row>
    <row r="3537" spans="1:6" x14ac:dyDescent="0.3">
      <c r="A3537" s="15" t="str">
        <f t="shared" si="113"/>
        <v>.</v>
      </c>
      <c r="E3537" s="13" t="str">
        <f>IFERROR(IF(AND(B3537&lt;&gt;"",C3537&lt;&gt;""),SUMIFS(Movimentos!$F$4:$F$9996,Movimentos!$D$4:$D$9996,B3537,Movimentos!$C$4:$C$9996,"Entrada")-SUMIFS(Movimentos!$F$4:$F$9996,Movimentos!$D$4:$D$9996,B3537,Movimentos!$C$4:$C$9996,"Saída"),""),"")</f>
        <v/>
      </c>
      <c r="F3537" s="10" t="str">
        <f t="shared" si="112"/>
        <v/>
      </c>
    </row>
    <row r="3538" spans="1:6" x14ac:dyDescent="0.3">
      <c r="A3538" s="15" t="str">
        <f t="shared" si="113"/>
        <v>.</v>
      </c>
      <c r="E3538" s="13" t="str">
        <f>IFERROR(IF(AND(B3538&lt;&gt;"",C3538&lt;&gt;""),SUMIFS(Movimentos!$F$4:$F$9996,Movimentos!$D$4:$D$9996,B3538,Movimentos!$C$4:$C$9996,"Entrada")-SUMIFS(Movimentos!$F$4:$F$9996,Movimentos!$D$4:$D$9996,B3538,Movimentos!$C$4:$C$9996,"Saída"),""),"")</f>
        <v/>
      </c>
      <c r="F3538" s="10" t="str">
        <f t="shared" si="112"/>
        <v/>
      </c>
    </row>
    <row r="3539" spans="1:6" x14ac:dyDescent="0.3">
      <c r="A3539" s="15" t="str">
        <f t="shared" si="113"/>
        <v>.</v>
      </c>
      <c r="E3539" s="13" t="str">
        <f>IFERROR(IF(AND(B3539&lt;&gt;"",C3539&lt;&gt;""),SUMIFS(Movimentos!$F$4:$F$9996,Movimentos!$D$4:$D$9996,B3539,Movimentos!$C$4:$C$9996,"Entrada")-SUMIFS(Movimentos!$F$4:$F$9996,Movimentos!$D$4:$D$9996,B3539,Movimentos!$C$4:$C$9996,"Saída"),""),"")</f>
        <v/>
      </c>
      <c r="F3539" s="10" t="str">
        <f t="shared" si="112"/>
        <v/>
      </c>
    </row>
    <row r="3540" spans="1:6" x14ac:dyDescent="0.3">
      <c r="A3540" s="15" t="str">
        <f t="shared" si="113"/>
        <v>.</v>
      </c>
      <c r="E3540" s="13" t="str">
        <f>IFERROR(IF(AND(B3540&lt;&gt;"",C3540&lt;&gt;""),SUMIFS(Movimentos!$F$4:$F$9996,Movimentos!$D$4:$D$9996,B3540,Movimentos!$C$4:$C$9996,"Entrada")-SUMIFS(Movimentos!$F$4:$F$9996,Movimentos!$D$4:$D$9996,B3540,Movimentos!$C$4:$C$9996,"Saída"),""),"")</f>
        <v/>
      </c>
      <c r="F3540" s="10" t="str">
        <f t="shared" si="112"/>
        <v/>
      </c>
    </row>
    <row r="3541" spans="1:6" x14ac:dyDescent="0.3">
      <c r="A3541" s="15" t="str">
        <f t="shared" si="113"/>
        <v>.</v>
      </c>
      <c r="E3541" s="13" t="str">
        <f>IFERROR(IF(AND(B3541&lt;&gt;"",C3541&lt;&gt;""),SUMIFS(Movimentos!$F$4:$F$9996,Movimentos!$D$4:$D$9996,B3541,Movimentos!$C$4:$C$9996,"Entrada")-SUMIFS(Movimentos!$F$4:$F$9996,Movimentos!$D$4:$D$9996,B3541,Movimentos!$C$4:$C$9996,"Saída"),""),"")</f>
        <v/>
      </c>
      <c r="F3541" s="10" t="str">
        <f t="shared" si="112"/>
        <v/>
      </c>
    </row>
    <row r="3542" spans="1:6" x14ac:dyDescent="0.3">
      <c r="A3542" s="15" t="str">
        <f t="shared" si="113"/>
        <v>.</v>
      </c>
      <c r="E3542" s="13" t="str">
        <f>IFERROR(IF(AND(B3542&lt;&gt;"",C3542&lt;&gt;""),SUMIFS(Movimentos!$F$4:$F$9996,Movimentos!$D$4:$D$9996,B3542,Movimentos!$C$4:$C$9996,"Entrada")-SUMIFS(Movimentos!$F$4:$F$9996,Movimentos!$D$4:$D$9996,B3542,Movimentos!$C$4:$C$9996,"Saída"),""),"")</f>
        <v/>
      </c>
      <c r="F3542" s="10" t="str">
        <f t="shared" si="112"/>
        <v/>
      </c>
    </row>
    <row r="3543" spans="1:6" x14ac:dyDescent="0.3">
      <c r="A3543" s="15" t="str">
        <f t="shared" si="113"/>
        <v>.</v>
      </c>
      <c r="E3543" s="13" t="str">
        <f>IFERROR(IF(AND(B3543&lt;&gt;"",C3543&lt;&gt;""),SUMIFS(Movimentos!$F$4:$F$9996,Movimentos!$D$4:$D$9996,B3543,Movimentos!$C$4:$C$9996,"Entrada")-SUMIFS(Movimentos!$F$4:$F$9996,Movimentos!$D$4:$D$9996,B3543,Movimentos!$C$4:$C$9996,"Saída"),""),"")</f>
        <v/>
      </c>
      <c r="F3543" s="10" t="str">
        <f t="shared" ref="F3543:F3606" si="114">IF(AND(B3543&lt;&gt;"",C3543&lt;&gt;""),IF(E3543=0,"Saldo zerado",IF(E3543&lt;D3543,"Saldo abaixo do mínimo","Saldo disponível")),"")</f>
        <v/>
      </c>
    </row>
    <row r="3544" spans="1:6" x14ac:dyDescent="0.3">
      <c r="A3544" s="15" t="str">
        <f t="shared" si="113"/>
        <v>.</v>
      </c>
      <c r="E3544" s="13" t="str">
        <f>IFERROR(IF(AND(B3544&lt;&gt;"",C3544&lt;&gt;""),SUMIFS(Movimentos!$F$4:$F$9996,Movimentos!$D$4:$D$9996,B3544,Movimentos!$C$4:$C$9996,"Entrada")-SUMIFS(Movimentos!$F$4:$F$9996,Movimentos!$D$4:$D$9996,B3544,Movimentos!$C$4:$C$9996,"Saída"),""),"")</f>
        <v/>
      </c>
      <c r="F3544" s="10" t="str">
        <f t="shared" si="114"/>
        <v/>
      </c>
    </row>
    <row r="3545" spans="1:6" x14ac:dyDescent="0.3">
      <c r="A3545" s="15" t="str">
        <f t="shared" si="113"/>
        <v>.</v>
      </c>
      <c r="E3545" s="13" t="str">
        <f>IFERROR(IF(AND(B3545&lt;&gt;"",C3545&lt;&gt;""),SUMIFS(Movimentos!$F$4:$F$9996,Movimentos!$D$4:$D$9996,B3545,Movimentos!$C$4:$C$9996,"Entrada")-SUMIFS(Movimentos!$F$4:$F$9996,Movimentos!$D$4:$D$9996,B3545,Movimentos!$C$4:$C$9996,"Saída"),""),"")</f>
        <v/>
      </c>
      <c r="F3545" s="10" t="str">
        <f t="shared" si="114"/>
        <v/>
      </c>
    </row>
    <row r="3546" spans="1:6" x14ac:dyDescent="0.3">
      <c r="A3546" s="15" t="str">
        <f t="shared" si="113"/>
        <v>.</v>
      </c>
      <c r="E3546" s="13" t="str">
        <f>IFERROR(IF(AND(B3546&lt;&gt;"",C3546&lt;&gt;""),SUMIFS(Movimentos!$F$4:$F$9996,Movimentos!$D$4:$D$9996,B3546,Movimentos!$C$4:$C$9996,"Entrada")-SUMIFS(Movimentos!$F$4:$F$9996,Movimentos!$D$4:$D$9996,B3546,Movimentos!$C$4:$C$9996,"Saída"),""),"")</f>
        <v/>
      </c>
      <c r="F3546" s="10" t="str">
        <f t="shared" si="114"/>
        <v/>
      </c>
    </row>
    <row r="3547" spans="1:6" x14ac:dyDescent="0.3">
      <c r="A3547" s="15" t="str">
        <f t="shared" si="113"/>
        <v>.</v>
      </c>
      <c r="E3547" s="13" t="str">
        <f>IFERROR(IF(AND(B3547&lt;&gt;"",C3547&lt;&gt;""),SUMIFS(Movimentos!$F$4:$F$9996,Movimentos!$D$4:$D$9996,B3547,Movimentos!$C$4:$C$9996,"Entrada")-SUMIFS(Movimentos!$F$4:$F$9996,Movimentos!$D$4:$D$9996,B3547,Movimentos!$C$4:$C$9996,"Saída"),""),"")</f>
        <v/>
      </c>
      <c r="F3547" s="10" t="str">
        <f t="shared" si="114"/>
        <v/>
      </c>
    </row>
    <row r="3548" spans="1:6" x14ac:dyDescent="0.3">
      <c r="A3548" s="15" t="str">
        <f t="shared" si="113"/>
        <v>.</v>
      </c>
      <c r="E3548" s="13" t="str">
        <f>IFERROR(IF(AND(B3548&lt;&gt;"",C3548&lt;&gt;""),SUMIFS(Movimentos!$F$4:$F$9996,Movimentos!$D$4:$D$9996,B3548,Movimentos!$C$4:$C$9996,"Entrada")-SUMIFS(Movimentos!$F$4:$F$9996,Movimentos!$D$4:$D$9996,B3548,Movimentos!$C$4:$C$9996,"Saída"),""),"")</f>
        <v/>
      </c>
      <c r="F3548" s="10" t="str">
        <f t="shared" si="114"/>
        <v/>
      </c>
    </row>
    <row r="3549" spans="1:6" x14ac:dyDescent="0.3">
      <c r="A3549" s="15" t="str">
        <f t="shared" si="113"/>
        <v>.</v>
      </c>
      <c r="E3549" s="13" t="str">
        <f>IFERROR(IF(AND(B3549&lt;&gt;"",C3549&lt;&gt;""),SUMIFS(Movimentos!$F$4:$F$9996,Movimentos!$D$4:$D$9996,B3549,Movimentos!$C$4:$C$9996,"Entrada")-SUMIFS(Movimentos!$F$4:$F$9996,Movimentos!$D$4:$D$9996,B3549,Movimentos!$C$4:$C$9996,"Saída"),""),"")</f>
        <v/>
      </c>
      <c r="F3549" s="10" t="str">
        <f t="shared" si="114"/>
        <v/>
      </c>
    </row>
    <row r="3550" spans="1:6" x14ac:dyDescent="0.3">
      <c r="A3550" s="15" t="str">
        <f t="shared" si="113"/>
        <v>.</v>
      </c>
      <c r="E3550" s="13" t="str">
        <f>IFERROR(IF(AND(B3550&lt;&gt;"",C3550&lt;&gt;""),SUMIFS(Movimentos!$F$4:$F$9996,Movimentos!$D$4:$D$9996,B3550,Movimentos!$C$4:$C$9996,"Entrada")-SUMIFS(Movimentos!$F$4:$F$9996,Movimentos!$D$4:$D$9996,B3550,Movimentos!$C$4:$C$9996,"Saída"),""),"")</f>
        <v/>
      </c>
      <c r="F3550" s="10" t="str">
        <f t="shared" si="114"/>
        <v/>
      </c>
    </row>
    <row r="3551" spans="1:6" x14ac:dyDescent="0.3">
      <c r="A3551" s="15" t="str">
        <f t="shared" si="113"/>
        <v>.</v>
      </c>
      <c r="E3551" s="13" t="str">
        <f>IFERROR(IF(AND(B3551&lt;&gt;"",C3551&lt;&gt;""),SUMIFS(Movimentos!$F$4:$F$9996,Movimentos!$D$4:$D$9996,B3551,Movimentos!$C$4:$C$9996,"Entrada")-SUMIFS(Movimentos!$F$4:$F$9996,Movimentos!$D$4:$D$9996,B3551,Movimentos!$C$4:$C$9996,"Saída"),""),"")</f>
        <v/>
      </c>
      <c r="F3551" s="10" t="str">
        <f t="shared" si="114"/>
        <v/>
      </c>
    </row>
    <row r="3552" spans="1:6" x14ac:dyDescent="0.3">
      <c r="A3552" s="15" t="str">
        <f t="shared" si="113"/>
        <v>.</v>
      </c>
      <c r="E3552" s="13" t="str">
        <f>IFERROR(IF(AND(B3552&lt;&gt;"",C3552&lt;&gt;""),SUMIFS(Movimentos!$F$4:$F$9996,Movimentos!$D$4:$D$9996,B3552,Movimentos!$C$4:$C$9996,"Entrada")-SUMIFS(Movimentos!$F$4:$F$9996,Movimentos!$D$4:$D$9996,B3552,Movimentos!$C$4:$C$9996,"Saída"),""),"")</f>
        <v/>
      </c>
      <c r="F3552" s="10" t="str">
        <f t="shared" si="114"/>
        <v/>
      </c>
    </row>
    <row r="3553" spans="1:6" x14ac:dyDescent="0.3">
      <c r="A3553" s="15" t="str">
        <f t="shared" si="113"/>
        <v>.</v>
      </c>
      <c r="E3553" s="13" t="str">
        <f>IFERROR(IF(AND(B3553&lt;&gt;"",C3553&lt;&gt;""),SUMIFS(Movimentos!$F$4:$F$9996,Movimentos!$D$4:$D$9996,B3553,Movimentos!$C$4:$C$9996,"Entrada")-SUMIFS(Movimentos!$F$4:$F$9996,Movimentos!$D$4:$D$9996,B3553,Movimentos!$C$4:$C$9996,"Saída"),""),"")</f>
        <v/>
      </c>
      <c r="F3553" s="10" t="str">
        <f t="shared" si="114"/>
        <v/>
      </c>
    </row>
    <row r="3554" spans="1:6" x14ac:dyDescent="0.3">
      <c r="A3554" s="15" t="str">
        <f t="shared" si="113"/>
        <v>.</v>
      </c>
      <c r="E3554" s="13" t="str">
        <f>IFERROR(IF(AND(B3554&lt;&gt;"",C3554&lt;&gt;""),SUMIFS(Movimentos!$F$4:$F$9996,Movimentos!$D$4:$D$9996,B3554,Movimentos!$C$4:$C$9996,"Entrada")-SUMIFS(Movimentos!$F$4:$F$9996,Movimentos!$D$4:$D$9996,B3554,Movimentos!$C$4:$C$9996,"Saída"),""),"")</f>
        <v/>
      </c>
      <c r="F3554" s="10" t="str">
        <f t="shared" si="114"/>
        <v/>
      </c>
    </row>
    <row r="3555" spans="1:6" x14ac:dyDescent="0.3">
      <c r="A3555" s="15" t="str">
        <f t="shared" si="113"/>
        <v>.</v>
      </c>
      <c r="E3555" s="13" t="str">
        <f>IFERROR(IF(AND(B3555&lt;&gt;"",C3555&lt;&gt;""),SUMIFS(Movimentos!$F$4:$F$9996,Movimentos!$D$4:$D$9996,B3555,Movimentos!$C$4:$C$9996,"Entrada")-SUMIFS(Movimentos!$F$4:$F$9996,Movimentos!$D$4:$D$9996,B3555,Movimentos!$C$4:$C$9996,"Saída"),""),"")</f>
        <v/>
      </c>
      <c r="F3555" s="10" t="str">
        <f t="shared" si="114"/>
        <v/>
      </c>
    </row>
    <row r="3556" spans="1:6" x14ac:dyDescent="0.3">
      <c r="A3556" s="15" t="str">
        <f t="shared" si="113"/>
        <v>.</v>
      </c>
      <c r="E3556" s="13" t="str">
        <f>IFERROR(IF(AND(B3556&lt;&gt;"",C3556&lt;&gt;""),SUMIFS(Movimentos!$F$4:$F$9996,Movimentos!$D$4:$D$9996,B3556,Movimentos!$C$4:$C$9996,"Entrada")-SUMIFS(Movimentos!$F$4:$F$9996,Movimentos!$D$4:$D$9996,B3556,Movimentos!$C$4:$C$9996,"Saída"),""),"")</f>
        <v/>
      </c>
      <c r="F3556" s="10" t="str">
        <f t="shared" si="114"/>
        <v/>
      </c>
    </row>
    <row r="3557" spans="1:6" x14ac:dyDescent="0.3">
      <c r="A3557" s="15" t="str">
        <f t="shared" si="113"/>
        <v>.</v>
      </c>
      <c r="E3557" s="13" t="str">
        <f>IFERROR(IF(AND(B3557&lt;&gt;"",C3557&lt;&gt;""),SUMIFS(Movimentos!$F$4:$F$9996,Movimentos!$D$4:$D$9996,B3557,Movimentos!$C$4:$C$9996,"Entrada")-SUMIFS(Movimentos!$F$4:$F$9996,Movimentos!$D$4:$D$9996,B3557,Movimentos!$C$4:$C$9996,"Saída"),""),"")</f>
        <v/>
      </c>
      <c r="F3557" s="10" t="str">
        <f t="shared" si="114"/>
        <v/>
      </c>
    </row>
    <row r="3558" spans="1:6" x14ac:dyDescent="0.3">
      <c r="A3558" s="15" t="str">
        <f t="shared" si="113"/>
        <v>.</v>
      </c>
      <c r="E3558" s="13" t="str">
        <f>IFERROR(IF(AND(B3558&lt;&gt;"",C3558&lt;&gt;""),SUMIFS(Movimentos!$F$4:$F$9996,Movimentos!$D$4:$D$9996,B3558,Movimentos!$C$4:$C$9996,"Entrada")-SUMIFS(Movimentos!$F$4:$F$9996,Movimentos!$D$4:$D$9996,B3558,Movimentos!$C$4:$C$9996,"Saída"),""),"")</f>
        <v/>
      </c>
      <c r="F3558" s="10" t="str">
        <f t="shared" si="114"/>
        <v/>
      </c>
    </row>
    <row r="3559" spans="1:6" x14ac:dyDescent="0.3">
      <c r="A3559" s="15" t="str">
        <f t="shared" si="113"/>
        <v>.</v>
      </c>
      <c r="E3559" s="13" t="str">
        <f>IFERROR(IF(AND(B3559&lt;&gt;"",C3559&lt;&gt;""),SUMIFS(Movimentos!$F$4:$F$9996,Movimentos!$D$4:$D$9996,B3559,Movimentos!$C$4:$C$9996,"Entrada")-SUMIFS(Movimentos!$F$4:$F$9996,Movimentos!$D$4:$D$9996,B3559,Movimentos!$C$4:$C$9996,"Saída"),""),"")</f>
        <v/>
      </c>
      <c r="F3559" s="10" t="str">
        <f t="shared" si="114"/>
        <v/>
      </c>
    </row>
    <row r="3560" spans="1:6" x14ac:dyDescent="0.3">
      <c r="A3560" s="15" t="str">
        <f t="shared" si="113"/>
        <v>.</v>
      </c>
      <c r="E3560" s="13" t="str">
        <f>IFERROR(IF(AND(B3560&lt;&gt;"",C3560&lt;&gt;""),SUMIFS(Movimentos!$F$4:$F$9996,Movimentos!$D$4:$D$9996,B3560,Movimentos!$C$4:$C$9996,"Entrada")-SUMIFS(Movimentos!$F$4:$F$9996,Movimentos!$D$4:$D$9996,B3560,Movimentos!$C$4:$C$9996,"Saída"),""),"")</f>
        <v/>
      </c>
      <c r="F3560" s="10" t="str">
        <f t="shared" si="114"/>
        <v/>
      </c>
    </row>
    <row r="3561" spans="1:6" x14ac:dyDescent="0.3">
      <c r="A3561" s="15" t="str">
        <f t="shared" si="113"/>
        <v>.</v>
      </c>
      <c r="E3561" s="13" t="str">
        <f>IFERROR(IF(AND(B3561&lt;&gt;"",C3561&lt;&gt;""),SUMIFS(Movimentos!$F$4:$F$9996,Movimentos!$D$4:$D$9996,B3561,Movimentos!$C$4:$C$9996,"Entrada")-SUMIFS(Movimentos!$F$4:$F$9996,Movimentos!$D$4:$D$9996,B3561,Movimentos!$C$4:$C$9996,"Saída"),""),"")</f>
        <v/>
      </c>
      <c r="F3561" s="10" t="str">
        <f t="shared" si="114"/>
        <v/>
      </c>
    </row>
    <row r="3562" spans="1:6" x14ac:dyDescent="0.3">
      <c r="A3562" s="15" t="str">
        <f t="shared" si="113"/>
        <v>.</v>
      </c>
      <c r="E3562" s="13" t="str">
        <f>IFERROR(IF(AND(B3562&lt;&gt;"",C3562&lt;&gt;""),SUMIFS(Movimentos!$F$4:$F$9996,Movimentos!$D$4:$D$9996,B3562,Movimentos!$C$4:$C$9996,"Entrada")-SUMIFS(Movimentos!$F$4:$F$9996,Movimentos!$D$4:$D$9996,B3562,Movimentos!$C$4:$C$9996,"Saída"),""),"")</f>
        <v/>
      </c>
      <c r="F3562" s="10" t="str">
        <f t="shared" si="114"/>
        <v/>
      </c>
    </row>
    <row r="3563" spans="1:6" x14ac:dyDescent="0.3">
      <c r="A3563" s="15" t="str">
        <f t="shared" si="113"/>
        <v>.</v>
      </c>
      <c r="E3563" s="13" t="str">
        <f>IFERROR(IF(AND(B3563&lt;&gt;"",C3563&lt;&gt;""),SUMIFS(Movimentos!$F$4:$F$9996,Movimentos!$D$4:$D$9996,B3563,Movimentos!$C$4:$C$9996,"Entrada")-SUMIFS(Movimentos!$F$4:$F$9996,Movimentos!$D$4:$D$9996,B3563,Movimentos!$C$4:$C$9996,"Saída"),""),"")</f>
        <v/>
      </c>
      <c r="F3563" s="10" t="str">
        <f t="shared" si="114"/>
        <v/>
      </c>
    </row>
    <row r="3564" spans="1:6" x14ac:dyDescent="0.3">
      <c r="A3564" s="15" t="str">
        <f t="shared" si="113"/>
        <v>.</v>
      </c>
      <c r="E3564" s="13" t="str">
        <f>IFERROR(IF(AND(B3564&lt;&gt;"",C3564&lt;&gt;""),SUMIFS(Movimentos!$F$4:$F$9996,Movimentos!$D$4:$D$9996,B3564,Movimentos!$C$4:$C$9996,"Entrada")-SUMIFS(Movimentos!$F$4:$F$9996,Movimentos!$D$4:$D$9996,B3564,Movimentos!$C$4:$C$9996,"Saída"),""),"")</f>
        <v/>
      </c>
      <c r="F3564" s="10" t="str">
        <f t="shared" si="114"/>
        <v/>
      </c>
    </row>
    <row r="3565" spans="1:6" x14ac:dyDescent="0.3">
      <c r="A3565" s="15" t="str">
        <f t="shared" si="113"/>
        <v>.</v>
      </c>
      <c r="E3565" s="13" t="str">
        <f>IFERROR(IF(AND(B3565&lt;&gt;"",C3565&lt;&gt;""),SUMIFS(Movimentos!$F$4:$F$9996,Movimentos!$D$4:$D$9996,B3565,Movimentos!$C$4:$C$9996,"Entrada")-SUMIFS(Movimentos!$F$4:$F$9996,Movimentos!$D$4:$D$9996,B3565,Movimentos!$C$4:$C$9996,"Saída"),""),"")</f>
        <v/>
      </c>
      <c r="F3565" s="10" t="str">
        <f t="shared" si="114"/>
        <v/>
      </c>
    </row>
    <row r="3566" spans="1:6" x14ac:dyDescent="0.3">
      <c r="A3566" s="15" t="str">
        <f t="shared" si="113"/>
        <v>.</v>
      </c>
      <c r="E3566" s="13" t="str">
        <f>IFERROR(IF(AND(B3566&lt;&gt;"",C3566&lt;&gt;""),SUMIFS(Movimentos!$F$4:$F$9996,Movimentos!$D$4:$D$9996,B3566,Movimentos!$C$4:$C$9996,"Entrada")-SUMIFS(Movimentos!$F$4:$F$9996,Movimentos!$D$4:$D$9996,B3566,Movimentos!$C$4:$C$9996,"Saída"),""),"")</f>
        <v/>
      </c>
      <c r="F3566" s="10" t="str">
        <f t="shared" si="114"/>
        <v/>
      </c>
    </row>
    <row r="3567" spans="1:6" x14ac:dyDescent="0.3">
      <c r="A3567" s="15" t="str">
        <f t="shared" si="113"/>
        <v>.</v>
      </c>
      <c r="E3567" s="13" t="str">
        <f>IFERROR(IF(AND(B3567&lt;&gt;"",C3567&lt;&gt;""),SUMIFS(Movimentos!$F$4:$F$9996,Movimentos!$D$4:$D$9996,B3567,Movimentos!$C$4:$C$9996,"Entrada")-SUMIFS(Movimentos!$F$4:$F$9996,Movimentos!$D$4:$D$9996,B3567,Movimentos!$C$4:$C$9996,"Saída"),""),"")</f>
        <v/>
      </c>
      <c r="F3567" s="10" t="str">
        <f t="shared" si="114"/>
        <v/>
      </c>
    </row>
    <row r="3568" spans="1:6" x14ac:dyDescent="0.3">
      <c r="A3568" s="15" t="str">
        <f t="shared" si="113"/>
        <v>.</v>
      </c>
      <c r="E3568" s="13" t="str">
        <f>IFERROR(IF(AND(B3568&lt;&gt;"",C3568&lt;&gt;""),SUMIFS(Movimentos!$F$4:$F$9996,Movimentos!$D$4:$D$9996,B3568,Movimentos!$C$4:$C$9996,"Entrada")-SUMIFS(Movimentos!$F$4:$F$9996,Movimentos!$D$4:$D$9996,B3568,Movimentos!$C$4:$C$9996,"Saída"),""),"")</f>
        <v/>
      </c>
      <c r="F3568" s="10" t="str">
        <f t="shared" si="114"/>
        <v/>
      </c>
    </row>
    <row r="3569" spans="1:6" x14ac:dyDescent="0.3">
      <c r="A3569" s="15" t="str">
        <f t="shared" si="113"/>
        <v>.</v>
      </c>
      <c r="E3569" s="13" t="str">
        <f>IFERROR(IF(AND(B3569&lt;&gt;"",C3569&lt;&gt;""),SUMIFS(Movimentos!$F$4:$F$9996,Movimentos!$D$4:$D$9996,B3569,Movimentos!$C$4:$C$9996,"Entrada")-SUMIFS(Movimentos!$F$4:$F$9996,Movimentos!$D$4:$D$9996,B3569,Movimentos!$C$4:$C$9996,"Saída"),""),"")</f>
        <v/>
      </c>
      <c r="F3569" s="10" t="str">
        <f t="shared" si="114"/>
        <v/>
      </c>
    </row>
    <row r="3570" spans="1:6" x14ac:dyDescent="0.3">
      <c r="A3570" s="15" t="str">
        <f t="shared" si="113"/>
        <v>.</v>
      </c>
      <c r="E3570" s="13" t="str">
        <f>IFERROR(IF(AND(B3570&lt;&gt;"",C3570&lt;&gt;""),SUMIFS(Movimentos!$F$4:$F$9996,Movimentos!$D$4:$D$9996,B3570,Movimentos!$C$4:$C$9996,"Entrada")-SUMIFS(Movimentos!$F$4:$F$9996,Movimentos!$D$4:$D$9996,B3570,Movimentos!$C$4:$C$9996,"Saída"),""),"")</f>
        <v/>
      </c>
      <c r="F3570" s="10" t="str">
        <f t="shared" si="114"/>
        <v/>
      </c>
    </row>
    <row r="3571" spans="1:6" x14ac:dyDescent="0.3">
      <c r="A3571" s="15" t="str">
        <f t="shared" si="113"/>
        <v>.</v>
      </c>
      <c r="E3571" s="13" t="str">
        <f>IFERROR(IF(AND(B3571&lt;&gt;"",C3571&lt;&gt;""),SUMIFS(Movimentos!$F$4:$F$9996,Movimentos!$D$4:$D$9996,B3571,Movimentos!$C$4:$C$9996,"Entrada")-SUMIFS(Movimentos!$F$4:$F$9996,Movimentos!$D$4:$D$9996,B3571,Movimentos!$C$4:$C$9996,"Saída"),""),"")</f>
        <v/>
      </c>
      <c r="F3571" s="10" t="str">
        <f t="shared" si="114"/>
        <v/>
      </c>
    </row>
    <row r="3572" spans="1:6" x14ac:dyDescent="0.3">
      <c r="A3572" s="15" t="str">
        <f t="shared" si="113"/>
        <v>.</v>
      </c>
      <c r="E3572" s="13" t="str">
        <f>IFERROR(IF(AND(B3572&lt;&gt;"",C3572&lt;&gt;""),SUMIFS(Movimentos!$F$4:$F$9996,Movimentos!$D$4:$D$9996,B3572,Movimentos!$C$4:$C$9996,"Entrada")-SUMIFS(Movimentos!$F$4:$F$9996,Movimentos!$D$4:$D$9996,B3572,Movimentos!$C$4:$C$9996,"Saída"),""),"")</f>
        <v/>
      </c>
      <c r="F3572" s="10" t="str">
        <f t="shared" si="114"/>
        <v/>
      </c>
    </row>
    <row r="3573" spans="1:6" x14ac:dyDescent="0.3">
      <c r="A3573" s="15" t="str">
        <f t="shared" si="113"/>
        <v>.</v>
      </c>
      <c r="E3573" s="13" t="str">
        <f>IFERROR(IF(AND(B3573&lt;&gt;"",C3573&lt;&gt;""),SUMIFS(Movimentos!$F$4:$F$9996,Movimentos!$D$4:$D$9996,B3573,Movimentos!$C$4:$C$9996,"Entrada")-SUMIFS(Movimentos!$F$4:$F$9996,Movimentos!$D$4:$D$9996,B3573,Movimentos!$C$4:$C$9996,"Saída"),""),"")</f>
        <v/>
      </c>
      <c r="F3573" s="10" t="str">
        <f t="shared" si="114"/>
        <v/>
      </c>
    </row>
    <row r="3574" spans="1:6" x14ac:dyDescent="0.3">
      <c r="A3574" s="15" t="str">
        <f t="shared" si="113"/>
        <v>.</v>
      </c>
      <c r="E3574" s="13" t="str">
        <f>IFERROR(IF(AND(B3574&lt;&gt;"",C3574&lt;&gt;""),SUMIFS(Movimentos!$F$4:$F$9996,Movimentos!$D$4:$D$9996,B3574,Movimentos!$C$4:$C$9996,"Entrada")-SUMIFS(Movimentos!$F$4:$F$9996,Movimentos!$D$4:$D$9996,B3574,Movimentos!$C$4:$C$9996,"Saída"),""),"")</f>
        <v/>
      </c>
      <c r="F3574" s="10" t="str">
        <f t="shared" si="114"/>
        <v/>
      </c>
    </row>
    <row r="3575" spans="1:6" x14ac:dyDescent="0.3">
      <c r="A3575" s="15" t="str">
        <f t="shared" si="113"/>
        <v>.</v>
      </c>
      <c r="E3575" s="13" t="str">
        <f>IFERROR(IF(AND(B3575&lt;&gt;"",C3575&lt;&gt;""),SUMIFS(Movimentos!$F$4:$F$9996,Movimentos!$D$4:$D$9996,B3575,Movimentos!$C$4:$C$9996,"Entrada")-SUMIFS(Movimentos!$F$4:$F$9996,Movimentos!$D$4:$D$9996,B3575,Movimentos!$C$4:$C$9996,"Saída"),""),"")</f>
        <v/>
      </c>
      <c r="F3575" s="10" t="str">
        <f t="shared" si="114"/>
        <v/>
      </c>
    </row>
    <row r="3576" spans="1:6" x14ac:dyDescent="0.3">
      <c r="A3576" s="15" t="str">
        <f t="shared" si="113"/>
        <v>.</v>
      </c>
      <c r="E3576" s="13" t="str">
        <f>IFERROR(IF(AND(B3576&lt;&gt;"",C3576&lt;&gt;""),SUMIFS(Movimentos!$F$4:$F$9996,Movimentos!$D$4:$D$9996,B3576,Movimentos!$C$4:$C$9996,"Entrada")-SUMIFS(Movimentos!$F$4:$F$9996,Movimentos!$D$4:$D$9996,B3576,Movimentos!$C$4:$C$9996,"Saída"),""),"")</f>
        <v/>
      </c>
      <c r="F3576" s="10" t="str">
        <f t="shared" si="114"/>
        <v/>
      </c>
    </row>
    <row r="3577" spans="1:6" x14ac:dyDescent="0.3">
      <c r="A3577" s="15" t="str">
        <f t="shared" si="113"/>
        <v>.</v>
      </c>
      <c r="E3577" s="13" t="str">
        <f>IFERROR(IF(AND(B3577&lt;&gt;"",C3577&lt;&gt;""),SUMIFS(Movimentos!$F$4:$F$9996,Movimentos!$D$4:$D$9996,B3577,Movimentos!$C$4:$C$9996,"Entrada")-SUMIFS(Movimentos!$F$4:$F$9996,Movimentos!$D$4:$D$9996,B3577,Movimentos!$C$4:$C$9996,"Saída"),""),"")</f>
        <v/>
      </c>
      <c r="F3577" s="10" t="str">
        <f t="shared" si="114"/>
        <v/>
      </c>
    </row>
    <row r="3578" spans="1:6" x14ac:dyDescent="0.3">
      <c r="A3578" s="15" t="str">
        <f t="shared" si="113"/>
        <v>.</v>
      </c>
      <c r="E3578" s="13" t="str">
        <f>IFERROR(IF(AND(B3578&lt;&gt;"",C3578&lt;&gt;""),SUMIFS(Movimentos!$F$4:$F$9996,Movimentos!$D$4:$D$9996,B3578,Movimentos!$C$4:$C$9996,"Entrada")-SUMIFS(Movimentos!$F$4:$F$9996,Movimentos!$D$4:$D$9996,B3578,Movimentos!$C$4:$C$9996,"Saída"),""),"")</f>
        <v/>
      </c>
      <c r="F3578" s="10" t="str">
        <f t="shared" si="114"/>
        <v/>
      </c>
    </row>
    <row r="3579" spans="1:6" x14ac:dyDescent="0.3">
      <c r="A3579" s="15" t="str">
        <f t="shared" si="113"/>
        <v>.</v>
      </c>
      <c r="E3579" s="13" t="str">
        <f>IFERROR(IF(AND(B3579&lt;&gt;"",C3579&lt;&gt;""),SUMIFS(Movimentos!$F$4:$F$9996,Movimentos!$D$4:$D$9996,B3579,Movimentos!$C$4:$C$9996,"Entrada")-SUMIFS(Movimentos!$F$4:$F$9996,Movimentos!$D$4:$D$9996,B3579,Movimentos!$C$4:$C$9996,"Saída"),""),"")</f>
        <v/>
      </c>
      <c r="F3579" s="10" t="str">
        <f t="shared" si="114"/>
        <v/>
      </c>
    </row>
    <row r="3580" spans="1:6" x14ac:dyDescent="0.3">
      <c r="A3580" s="15" t="str">
        <f t="shared" si="113"/>
        <v>.</v>
      </c>
      <c r="E3580" s="13" t="str">
        <f>IFERROR(IF(AND(B3580&lt;&gt;"",C3580&lt;&gt;""),SUMIFS(Movimentos!$F$4:$F$9996,Movimentos!$D$4:$D$9996,B3580,Movimentos!$C$4:$C$9996,"Entrada")-SUMIFS(Movimentos!$F$4:$F$9996,Movimentos!$D$4:$D$9996,B3580,Movimentos!$C$4:$C$9996,"Saída"),""),"")</f>
        <v/>
      </c>
      <c r="F3580" s="10" t="str">
        <f t="shared" si="114"/>
        <v/>
      </c>
    </row>
    <row r="3581" spans="1:6" x14ac:dyDescent="0.3">
      <c r="A3581" s="15" t="str">
        <f t="shared" si="113"/>
        <v>.</v>
      </c>
      <c r="E3581" s="13" t="str">
        <f>IFERROR(IF(AND(B3581&lt;&gt;"",C3581&lt;&gt;""),SUMIFS(Movimentos!$F$4:$F$9996,Movimentos!$D$4:$D$9996,B3581,Movimentos!$C$4:$C$9996,"Entrada")-SUMIFS(Movimentos!$F$4:$F$9996,Movimentos!$D$4:$D$9996,B3581,Movimentos!$C$4:$C$9996,"Saída"),""),"")</f>
        <v/>
      </c>
      <c r="F3581" s="10" t="str">
        <f t="shared" si="114"/>
        <v/>
      </c>
    </row>
    <row r="3582" spans="1:6" x14ac:dyDescent="0.3">
      <c r="A3582" s="15" t="str">
        <f t="shared" si="113"/>
        <v>.</v>
      </c>
      <c r="E3582" s="13" t="str">
        <f>IFERROR(IF(AND(B3582&lt;&gt;"",C3582&lt;&gt;""),SUMIFS(Movimentos!$F$4:$F$9996,Movimentos!$D$4:$D$9996,B3582,Movimentos!$C$4:$C$9996,"Entrada")-SUMIFS(Movimentos!$F$4:$F$9996,Movimentos!$D$4:$D$9996,B3582,Movimentos!$C$4:$C$9996,"Saída"),""),"")</f>
        <v/>
      </c>
      <c r="F3582" s="10" t="str">
        <f t="shared" si="114"/>
        <v/>
      </c>
    </row>
    <row r="3583" spans="1:6" x14ac:dyDescent="0.3">
      <c r="A3583" s="15" t="str">
        <f t="shared" si="113"/>
        <v>.</v>
      </c>
      <c r="E3583" s="13" t="str">
        <f>IFERROR(IF(AND(B3583&lt;&gt;"",C3583&lt;&gt;""),SUMIFS(Movimentos!$F$4:$F$9996,Movimentos!$D$4:$D$9996,B3583,Movimentos!$C$4:$C$9996,"Entrada")-SUMIFS(Movimentos!$F$4:$F$9996,Movimentos!$D$4:$D$9996,B3583,Movimentos!$C$4:$C$9996,"Saída"),""),"")</f>
        <v/>
      </c>
      <c r="F3583" s="10" t="str">
        <f t="shared" si="114"/>
        <v/>
      </c>
    </row>
    <row r="3584" spans="1:6" x14ac:dyDescent="0.3">
      <c r="A3584" s="15" t="str">
        <f t="shared" ref="A3584:A3647" si="115">IF(F3584="Saldo zerado",0,IF(F3584="Saldo abaixo do mínimo",1,IF(F3584="Saldo disponível",2,".")))</f>
        <v>.</v>
      </c>
      <c r="E3584" s="13" t="str">
        <f>IFERROR(IF(AND(B3584&lt;&gt;"",C3584&lt;&gt;""),SUMIFS(Movimentos!$F$4:$F$9996,Movimentos!$D$4:$D$9996,B3584,Movimentos!$C$4:$C$9996,"Entrada")-SUMIFS(Movimentos!$F$4:$F$9996,Movimentos!$D$4:$D$9996,B3584,Movimentos!$C$4:$C$9996,"Saída"),""),"")</f>
        <v/>
      </c>
      <c r="F3584" s="10" t="str">
        <f t="shared" si="114"/>
        <v/>
      </c>
    </row>
    <row r="3585" spans="1:6" x14ac:dyDescent="0.3">
      <c r="A3585" s="15" t="str">
        <f t="shared" si="115"/>
        <v>.</v>
      </c>
      <c r="E3585" s="13" t="str">
        <f>IFERROR(IF(AND(B3585&lt;&gt;"",C3585&lt;&gt;""),SUMIFS(Movimentos!$F$4:$F$9996,Movimentos!$D$4:$D$9996,B3585,Movimentos!$C$4:$C$9996,"Entrada")-SUMIFS(Movimentos!$F$4:$F$9996,Movimentos!$D$4:$D$9996,B3585,Movimentos!$C$4:$C$9996,"Saída"),""),"")</f>
        <v/>
      </c>
      <c r="F3585" s="10" t="str">
        <f t="shared" si="114"/>
        <v/>
      </c>
    </row>
    <row r="3586" spans="1:6" x14ac:dyDescent="0.3">
      <c r="A3586" s="15" t="str">
        <f t="shared" si="115"/>
        <v>.</v>
      </c>
      <c r="E3586" s="13" t="str">
        <f>IFERROR(IF(AND(B3586&lt;&gt;"",C3586&lt;&gt;""),SUMIFS(Movimentos!$F$4:$F$9996,Movimentos!$D$4:$D$9996,B3586,Movimentos!$C$4:$C$9996,"Entrada")-SUMIFS(Movimentos!$F$4:$F$9996,Movimentos!$D$4:$D$9996,B3586,Movimentos!$C$4:$C$9996,"Saída"),""),"")</f>
        <v/>
      </c>
      <c r="F3586" s="10" t="str">
        <f t="shared" si="114"/>
        <v/>
      </c>
    </row>
    <row r="3587" spans="1:6" x14ac:dyDescent="0.3">
      <c r="A3587" s="15" t="str">
        <f t="shared" si="115"/>
        <v>.</v>
      </c>
      <c r="E3587" s="13" t="str">
        <f>IFERROR(IF(AND(B3587&lt;&gt;"",C3587&lt;&gt;""),SUMIFS(Movimentos!$F$4:$F$9996,Movimentos!$D$4:$D$9996,B3587,Movimentos!$C$4:$C$9996,"Entrada")-SUMIFS(Movimentos!$F$4:$F$9996,Movimentos!$D$4:$D$9996,B3587,Movimentos!$C$4:$C$9996,"Saída"),""),"")</f>
        <v/>
      </c>
      <c r="F3587" s="10" t="str">
        <f t="shared" si="114"/>
        <v/>
      </c>
    </row>
    <row r="3588" spans="1:6" x14ac:dyDescent="0.3">
      <c r="A3588" s="15" t="str">
        <f t="shared" si="115"/>
        <v>.</v>
      </c>
      <c r="E3588" s="13" t="str">
        <f>IFERROR(IF(AND(B3588&lt;&gt;"",C3588&lt;&gt;""),SUMIFS(Movimentos!$F$4:$F$9996,Movimentos!$D$4:$D$9996,B3588,Movimentos!$C$4:$C$9996,"Entrada")-SUMIFS(Movimentos!$F$4:$F$9996,Movimentos!$D$4:$D$9996,B3588,Movimentos!$C$4:$C$9996,"Saída"),""),"")</f>
        <v/>
      </c>
      <c r="F3588" s="10" t="str">
        <f t="shared" si="114"/>
        <v/>
      </c>
    </row>
    <row r="3589" spans="1:6" x14ac:dyDescent="0.3">
      <c r="A3589" s="15" t="str">
        <f t="shared" si="115"/>
        <v>.</v>
      </c>
      <c r="E3589" s="13" t="str">
        <f>IFERROR(IF(AND(B3589&lt;&gt;"",C3589&lt;&gt;""),SUMIFS(Movimentos!$F$4:$F$9996,Movimentos!$D$4:$D$9996,B3589,Movimentos!$C$4:$C$9996,"Entrada")-SUMIFS(Movimentos!$F$4:$F$9996,Movimentos!$D$4:$D$9996,B3589,Movimentos!$C$4:$C$9996,"Saída"),""),"")</f>
        <v/>
      </c>
      <c r="F3589" s="10" t="str">
        <f t="shared" si="114"/>
        <v/>
      </c>
    </row>
    <row r="3590" spans="1:6" x14ac:dyDescent="0.3">
      <c r="A3590" s="15" t="str">
        <f t="shared" si="115"/>
        <v>.</v>
      </c>
      <c r="E3590" s="13" t="str">
        <f>IFERROR(IF(AND(B3590&lt;&gt;"",C3590&lt;&gt;""),SUMIFS(Movimentos!$F$4:$F$9996,Movimentos!$D$4:$D$9996,B3590,Movimentos!$C$4:$C$9996,"Entrada")-SUMIFS(Movimentos!$F$4:$F$9996,Movimentos!$D$4:$D$9996,B3590,Movimentos!$C$4:$C$9996,"Saída"),""),"")</f>
        <v/>
      </c>
      <c r="F3590" s="10" t="str">
        <f t="shared" si="114"/>
        <v/>
      </c>
    </row>
    <row r="3591" spans="1:6" x14ac:dyDescent="0.3">
      <c r="A3591" s="15" t="str">
        <f t="shared" si="115"/>
        <v>.</v>
      </c>
      <c r="E3591" s="13" t="str">
        <f>IFERROR(IF(AND(B3591&lt;&gt;"",C3591&lt;&gt;""),SUMIFS(Movimentos!$F$4:$F$9996,Movimentos!$D$4:$D$9996,B3591,Movimentos!$C$4:$C$9996,"Entrada")-SUMIFS(Movimentos!$F$4:$F$9996,Movimentos!$D$4:$D$9996,B3591,Movimentos!$C$4:$C$9996,"Saída"),""),"")</f>
        <v/>
      </c>
      <c r="F3591" s="10" t="str">
        <f t="shared" si="114"/>
        <v/>
      </c>
    </row>
    <row r="3592" spans="1:6" x14ac:dyDescent="0.3">
      <c r="A3592" s="15" t="str">
        <f t="shared" si="115"/>
        <v>.</v>
      </c>
      <c r="E3592" s="13" t="str">
        <f>IFERROR(IF(AND(B3592&lt;&gt;"",C3592&lt;&gt;""),SUMIFS(Movimentos!$F$4:$F$9996,Movimentos!$D$4:$D$9996,B3592,Movimentos!$C$4:$C$9996,"Entrada")-SUMIFS(Movimentos!$F$4:$F$9996,Movimentos!$D$4:$D$9996,B3592,Movimentos!$C$4:$C$9996,"Saída"),""),"")</f>
        <v/>
      </c>
      <c r="F3592" s="10" t="str">
        <f t="shared" si="114"/>
        <v/>
      </c>
    </row>
    <row r="3593" spans="1:6" x14ac:dyDescent="0.3">
      <c r="A3593" s="15" t="str">
        <f t="shared" si="115"/>
        <v>.</v>
      </c>
      <c r="E3593" s="13" t="str">
        <f>IFERROR(IF(AND(B3593&lt;&gt;"",C3593&lt;&gt;""),SUMIFS(Movimentos!$F$4:$F$9996,Movimentos!$D$4:$D$9996,B3593,Movimentos!$C$4:$C$9996,"Entrada")-SUMIFS(Movimentos!$F$4:$F$9996,Movimentos!$D$4:$D$9996,B3593,Movimentos!$C$4:$C$9996,"Saída"),""),"")</f>
        <v/>
      </c>
      <c r="F3593" s="10" t="str">
        <f t="shared" si="114"/>
        <v/>
      </c>
    </row>
    <row r="3594" spans="1:6" x14ac:dyDescent="0.3">
      <c r="A3594" s="15" t="str">
        <f t="shared" si="115"/>
        <v>.</v>
      </c>
      <c r="E3594" s="13" t="str">
        <f>IFERROR(IF(AND(B3594&lt;&gt;"",C3594&lt;&gt;""),SUMIFS(Movimentos!$F$4:$F$9996,Movimentos!$D$4:$D$9996,B3594,Movimentos!$C$4:$C$9996,"Entrada")-SUMIFS(Movimentos!$F$4:$F$9996,Movimentos!$D$4:$D$9996,B3594,Movimentos!$C$4:$C$9996,"Saída"),""),"")</f>
        <v/>
      </c>
      <c r="F3594" s="10" t="str">
        <f t="shared" si="114"/>
        <v/>
      </c>
    </row>
    <row r="3595" spans="1:6" x14ac:dyDescent="0.3">
      <c r="A3595" s="15" t="str">
        <f t="shared" si="115"/>
        <v>.</v>
      </c>
      <c r="E3595" s="13" t="str">
        <f>IFERROR(IF(AND(B3595&lt;&gt;"",C3595&lt;&gt;""),SUMIFS(Movimentos!$F$4:$F$9996,Movimentos!$D$4:$D$9996,B3595,Movimentos!$C$4:$C$9996,"Entrada")-SUMIFS(Movimentos!$F$4:$F$9996,Movimentos!$D$4:$D$9996,B3595,Movimentos!$C$4:$C$9996,"Saída"),""),"")</f>
        <v/>
      </c>
      <c r="F3595" s="10" t="str">
        <f t="shared" si="114"/>
        <v/>
      </c>
    </row>
    <row r="3596" spans="1:6" x14ac:dyDescent="0.3">
      <c r="A3596" s="15" t="str">
        <f t="shared" si="115"/>
        <v>.</v>
      </c>
      <c r="E3596" s="13" t="str">
        <f>IFERROR(IF(AND(B3596&lt;&gt;"",C3596&lt;&gt;""),SUMIFS(Movimentos!$F$4:$F$9996,Movimentos!$D$4:$D$9996,B3596,Movimentos!$C$4:$C$9996,"Entrada")-SUMIFS(Movimentos!$F$4:$F$9996,Movimentos!$D$4:$D$9996,B3596,Movimentos!$C$4:$C$9996,"Saída"),""),"")</f>
        <v/>
      </c>
      <c r="F3596" s="10" t="str">
        <f t="shared" si="114"/>
        <v/>
      </c>
    </row>
    <row r="3597" spans="1:6" x14ac:dyDescent="0.3">
      <c r="A3597" s="15" t="str">
        <f t="shared" si="115"/>
        <v>.</v>
      </c>
      <c r="E3597" s="13" t="str">
        <f>IFERROR(IF(AND(B3597&lt;&gt;"",C3597&lt;&gt;""),SUMIFS(Movimentos!$F$4:$F$9996,Movimentos!$D$4:$D$9996,B3597,Movimentos!$C$4:$C$9996,"Entrada")-SUMIFS(Movimentos!$F$4:$F$9996,Movimentos!$D$4:$D$9996,B3597,Movimentos!$C$4:$C$9996,"Saída"),""),"")</f>
        <v/>
      </c>
      <c r="F3597" s="10" t="str">
        <f t="shared" si="114"/>
        <v/>
      </c>
    </row>
    <row r="3598" spans="1:6" x14ac:dyDescent="0.3">
      <c r="A3598" s="15" t="str">
        <f t="shared" si="115"/>
        <v>.</v>
      </c>
      <c r="E3598" s="13" t="str">
        <f>IFERROR(IF(AND(B3598&lt;&gt;"",C3598&lt;&gt;""),SUMIFS(Movimentos!$F$4:$F$9996,Movimentos!$D$4:$D$9996,B3598,Movimentos!$C$4:$C$9996,"Entrada")-SUMIFS(Movimentos!$F$4:$F$9996,Movimentos!$D$4:$D$9996,B3598,Movimentos!$C$4:$C$9996,"Saída"),""),"")</f>
        <v/>
      </c>
      <c r="F3598" s="10" t="str">
        <f t="shared" si="114"/>
        <v/>
      </c>
    </row>
    <row r="3599" spans="1:6" x14ac:dyDescent="0.3">
      <c r="A3599" s="15" t="str">
        <f t="shared" si="115"/>
        <v>.</v>
      </c>
      <c r="E3599" s="13" t="str">
        <f>IFERROR(IF(AND(B3599&lt;&gt;"",C3599&lt;&gt;""),SUMIFS(Movimentos!$F$4:$F$9996,Movimentos!$D$4:$D$9996,B3599,Movimentos!$C$4:$C$9996,"Entrada")-SUMIFS(Movimentos!$F$4:$F$9996,Movimentos!$D$4:$D$9996,B3599,Movimentos!$C$4:$C$9996,"Saída"),""),"")</f>
        <v/>
      </c>
      <c r="F3599" s="10" t="str">
        <f t="shared" si="114"/>
        <v/>
      </c>
    </row>
    <row r="3600" spans="1:6" x14ac:dyDescent="0.3">
      <c r="A3600" s="15" t="str">
        <f t="shared" si="115"/>
        <v>.</v>
      </c>
      <c r="E3600" s="13" t="str">
        <f>IFERROR(IF(AND(B3600&lt;&gt;"",C3600&lt;&gt;""),SUMIFS(Movimentos!$F$4:$F$9996,Movimentos!$D$4:$D$9996,B3600,Movimentos!$C$4:$C$9996,"Entrada")-SUMIFS(Movimentos!$F$4:$F$9996,Movimentos!$D$4:$D$9996,B3600,Movimentos!$C$4:$C$9996,"Saída"),""),"")</f>
        <v/>
      </c>
      <c r="F3600" s="10" t="str">
        <f t="shared" si="114"/>
        <v/>
      </c>
    </row>
    <row r="3601" spans="1:6" x14ac:dyDescent="0.3">
      <c r="A3601" s="15" t="str">
        <f t="shared" si="115"/>
        <v>.</v>
      </c>
      <c r="E3601" s="13" t="str">
        <f>IFERROR(IF(AND(B3601&lt;&gt;"",C3601&lt;&gt;""),SUMIFS(Movimentos!$F$4:$F$9996,Movimentos!$D$4:$D$9996,B3601,Movimentos!$C$4:$C$9996,"Entrada")-SUMIFS(Movimentos!$F$4:$F$9996,Movimentos!$D$4:$D$9996,B3601,Movimentos!$C$4:$C$9996,"Saída"),""),"")</f>
        <v/>
      </c>
      <c r="F3601" s="10" t="str">
        <f t="shared" si="114"/>
        <v/>
      </c>
    </row>
    <row r="3602" spans="1:6" x14ac:dyDescent="0.3">
      <c r="A3602" s="15" t="str">
        <f t="shared" si="115"/>
        <v>.</v>
      </c>
      <c r="E3602" s="13" t="str">
        <f>IFERROR(IF(AND(B3602&lt;&gt;"",C3602&lt;&gt;""),SUMIFS(Movimentos!$F$4:$F$9996,Movimentos!$D$4:$D$9996,B3602,Movimentos!$C$4:$C$9996,"Entrada")-SUMIFS(Movimentos!$F$4:$F$9996,Movimentos!$D$4:$D$9996,B3602,Movimentos!$C$4:$C$9996,"Saída"),""),"")</f>
        <v/>
      </c>
      <c r="F3602" s="10" t="str">
        <f t="shared" si="114"/>
        <v/>
      </c>
    </row>
    <row r="3603" spans="1:6" x14ac:dyDescent="0.3">
      <c r="A3603" s="15" t="str">
        <f t="shared" si="115"/>
        <v>.</v>
      </c>
      <c r="E3603" s="13" t="str">
        <f>IFERROR(IF(AND(B3603&lt;&gt;"",C3603&lt;&gt;""),SUMIFS(Movimentos!$F$4:$F$9996,Movimentos!$D$4:$D$9996,B3603,Movimentos!$C$4:$C$9996,"Entrada")-SUMIFS(Movimentos!$F$4:$F$9996,Movimentos!$D$4:$D$9996,B3603,Movimentos!$C$4:$C$9996,"Saída"),""),"")</f>
        <v/>
      </c>
      <c r="F3603" s="10" t="str">
        <f t="shared" si="114"/>
        <v/>
      </c>
    </row>
    <row r="3604" spans="1:6" x14ac:dyDescent="0.3">
      <c r="A3604" s="15" t="str">
        <f t="shared" si="115"/>
        <v>.</v>
      </c>
      <c r="E3604" s="13" t="str">
        <f>IFERROR(IF(AND(B3604&lt;&gt;"",C3604&lt;&gt;""),SUMIFS(Movimentos!$F$4:$F$9996,Movimentos!$D$4:$D$9996,B3604,Movimentos!$C$4:$C$9996,"Entrada")-SUMIFS(Movimentos!$F$4:$F$9996,Movimentos!$D$4:$D$9996,B3604,Movimentos!$C$4:$C$9996,"Saída"),""),"")</f>
        <v/>
      </c>
      <c r="F3604" s="10" t="str">
        <f t="shared" si="114"/>
        <v/>
      </c>
    </row>
    <row r="3605" spans="1:6" x14ac:dyDescent="0.3">
      <c r="A3605" s="15" t="str">
        <f t="shared" si="115"/>
        <v>.</v>
      </c>
      <c r="E3605" s="13" t="str">
        <f>IFERROR(IF(AND(B3605&lt;&gt;"",C3605&lt;&gt;""),SUMIFS(Movimentos!$F$4:$F$9996,Movimentos!$D$4:$D$9996,B3605,Movimentos!$C$4:$C$9996,"Entrada")-SUMIFS(Movimentos!$F$4:$F$9996,Movimentos!$D$4:$D$9996,B3605,Movimentos!$C$4:$C$9996,"Saída"),""),"")</f>
        <v/>
      </c>
      <c r="F3605" s="10" t="str">
        <f t="shared" si="114"/>
        <v/>
      </c>
    </row>
    <row r="3606" spans="1:6" x14ac:dyDescent="0.3">
      <c r="A3606" s="15" t="str">
        <f t="shared" si="115"/>
        <v>.</v>
      </c>
      <c r="E3606" s="13" t="str">
        <f>IFERROR(IF(AND(B3606&lt;&gt;"",C3606&lt;&gt;""),SUMIFS(Movimentos!$F$4:$F$9996,Movimentos!$D$4:$D$9996,B3606,Movimentos!$C$4:$C$9996,"Entrada")-SUMIFS(Movimentos!$F$4:$F$9996,Movimentos!$D$4:$D$9996,B3606,Movimentos!$C$4:$C$9996,"Saída"),""),"")</f>
        <v/>
      </c>
      <c r="F3606" s="10" t="str">
        <f t="shared" si="114"/>
        <v/>
      </c>
    </row>
    <row r="3607" spans="1:6" x14ac:dyDescent="0.3">
      <c r="A3607" s="15" t="str">
        <f t="shared" si="115"/>
        <v>.</v>
      </c>
      <c r="E3607" s="13" t="str">
        <f>IFERROR(IF(AND(B3607&lt;&gt;"",C3607&lt;&gt;""),SUMIFS(Movimentos!$F$4:$F$9996,Movimentos!$D$4:$D$9996,B3607,Movimentos!$C$4:$C$9996,"Entrada")-SUMIFS(Movimentos!$F$4:$F$9996,Movimentos!$D$4:$D$9996,B3607,Movimentos!$C$4:$C$9996,"Saída"),""),"")</f>
        <v/>
      </c>
      <c r="F3607" s="10" t="str">
        <f t="shared" ref="F3607:F3670" si="116">IF(AND(B3607&lt;&gt;"",C3607&lt;&gt;""),IF(E3607=0,"Saldo zerado",IF(E3607&lt;D3607,"Saldo abaixo do mínimo","Saldo disponível")),"")</f>
        <v/>
      </c>
    </row>
    <row r="3608" spans="1:6" x14ac:dyDescent="0.3">
      <c r="A3608" s="15" t="str">
        <f t="shared" si="115"/>
        <v>.</v>
      </c>
      <c r="E3608" s="13" t="str">
        <f>IFERROR(IF(AND(B3608&lt;&gt;"",C3608&lt;&gt;""),SUMIFS(Movimentos!$F$4:$F$9996,Movimentos!$D$4:$D$9996,B3608,Movimentos!$C$4:$C$9996,"Entrada")-SUMIFS(Movimentos!$F$4:$F$9996,Movimentos!$D$4:$D$9996,B3608,Movimentos!$C$4:$C$9996,"Saída"),""),"")</f>
        <v/>
      </c>
      <c r="F3608" s="10" t="str">
        <f t="shared" si="116"/>
        <v/>
      </c>
    </row>
    <row r="3609" spans="1:6" x14ac:dyDescent="0.3">
      <c r="A3609" s="15" t="str">
        <f t="shared" si="115"/>
        <v>.</v>
      </c>
      <c r="E3609" s="13" t="str">
        <f>IFERROR(IF(AND(B3609&lt;&gt;"",C3609&lt;&gt;""),SUMIFS(Movimentos!$F$4:$F$9996,Movimentos!$D$4:$D$9996,B3609,Movimentos!$C$4:$C$9996,"Entrada")-SUMIFS(Movimentos!$F$4:$F$9996,Movimentos!$D$4:$D$9996,B3609,Movimentos!$C$4:$C$9996,"Saída"),""),"")</f>
        <v/>
      </c>
      <c r="F3609" s="10" t="str">
        <f t="shared" si="116"/>
        <v/>
      </c>
    </row>
    <row r="3610" spans="1:6" x14ac:dyDescent="0.3">
      <c r="A3610" s="15" t="str">
        <f t="shared" si="115"/>
        <v>.</v>
      </c>
      <c r="E3610" s="13" t="str">
        <f>IFERROR(IF(AND(B3610&lt;&gt;"",C3610&lt;&gt;""),SUMIFS(Movimentos!$F$4:$F$9996,Movimentos!$D$4:$D$9996,B3610,Movimentos!$C$4:$C$9996,"Entrada")-SUMIFS(Movimentos!$F$4:$F$9996,Movimentos!$D$4:$D$9996,B3610,Movimentos!$C$4:$C$9996,"Saída"),""),"")</f>
        <v/>
      </c>
      <c r="F3610" s="10" t="str">
        <f t="shared" si="116"/>
        <v/>
      </c>
    </row>
    <row r="3611" spans="1:6" x14ac:dyDescent="0.3">
      <c r="A3611" s="15" t="str">
        <f t="shared" si="115"/>
        <v>.</v>
      </c>
      <c r="E3611" s="13" t="str">
        <f>IFERROR(IF(AND(B3611&lt;&gt;"",C3611&lt;&gt;""),SUMIFS(Movimentos!$F$4:$F$9996,Movimentos!$D$4:$D$9996,B3611,Movimentos!$C$4:$C$9996,"Entrada")-SUMIFS(Movimentos!$F$4:$F$9996,Movimentos!$D$4:$D$9996,B3611,Movimentos!$C$4:$C$9996,"Saída"),""),"")</f>
        <v/>
      </c>
      <c r="F3611" s="10" t="str">
        <f t="shared" si="116"/>
        <v/>
      </c>
    </row>
    <row r="3612" spans="1:6" x14ac:dyDescent="0.3">
      <c r="A3612" s="15" t="str">
        <f t="shared" si="115"/>
        <v>.</v>
      </c>
      <c r="E3612" s="13" t="str">
        <f>IFERROR(IF(AND(B3612&lt;&gt;"",C3612&lt;&gt;""),SUMIFS(Movimentos!$F$4:$F$9996,Movimentos!$D$4:$D$9996,B3612,Movimentos!$C$4:$C$9996,"Entrada")-SUMIFS(Movimentos!$F$4:$F$9996,Movimentos!$D$4:$D$9996,B3612,Movimentos!$C$4:$C$9996,"Saída"),""),"")</f>
        <v/>
      </c>
      <c r="F3612" s="10" t="str">
        <f t="shared" si="116"/>
        <v/>
      </c>
    </row>
    <row r="3613" spans="1:6" x14ac:dyDescent="0.3">
      <c r="A3613" s="15" t="str">
        <f t="shared" si="115"/>
        <v>.</v>
      </c>
      <c r="E3613" s="13" t="str">
        <f>IFERROR(IF(AND(B3613&lt;&gt;"",C3613&lt;&gt;""),SUMIFS(Movimentos!$F$4:$F$9996,Movimentos!$D$4:$D$9996,B3613,Movimentos!$C$4:$C$9996,"Entrada")-SUMIFS(Movimentos!$F$4:$F$9996,Movimentos!$D$4:$D$9996,B3613,Movimentos!$C$4:$C$9996,"Saída"),""),"")</f>
        <v/>
      </c>
      <c r="F3613" s="10" t="str">
        <f t="shared" si="116"/>
        <v/>
      </c>
    </row>
    <row r="3614" spans="1:6" x14ac:dyDescent="0.3">
      <c r="A3614" s="15" t="str">
        <f t="shared" si="115"/>
        <v>.</v>
      </c>
      <c r="E3614" s="13" t="str">
        <f>IFERROR(IF(AND(B3614&lt;&gt;"",C3614&lt;&gt;""),SUMIFS(Movimentos!$F$4:$F$9996,Movimentos!$D$4:$D$9996,B3614,Movimentos!$C$4:$C$9996,"Entrada")-SUMIFS(Movimentos!$F$4:$F$9996,Movimentos!$D$4:$D$9996,B3614,Movimentos!$C$4:$C$9996,"Saída"),""),"")</f>
        <v/>
      </c>
      <c r="F3614" s="10" t="str">
        <f t="shared" si="116"/>
        <v/>
      </c>
    </row>
    <row r="3615" spans="1:6" x14ac:dyDescent="0.3">
      <c r="A3615" s="15" t="str">
        <f t="shared" si="115"/>
        <v>.</v>
      </c>
      <c r="E3615" s="13" t="str">
        <f>IFERROR(IF(AND(B3615&lt;&gt;"",C3615&lt;&gt;""),SUMIFS(Movimentos!$F$4:$F$9996,Movimentos!$D$4:$D$9996,B3615,Movimentos!$C$4:$C$9996,"Entrada")-SUMIFS(Movimentos!$F$4:$F$9996,Movimentos!$D$4:$D$9996,B3615,Movimentos!$C$4:$C$9996,"Saída"),""),"")</f>
        <v/>
      </c>
      <c r="F3615" s="10" t="str">
        <f t="shared" si="116"/>
        <v/>
      </c>
    </row>
    <row r="3616" spans="1:6" x14ac:dyDescent="0.3">
      <c r="A3616" s="15" t="str">
        <f t="shared" si="115"/>
        <v>.</v>
      </c>
      <c r="E3616" s="13" t="str">
        <f>IFERROR(IF(AND(B3616&lt;&gt;"",C3616&lt;&gt;""),SUMIFS(Movimentos!$F$4:$F$9996,Movimentos!$D$4:$D$9996,B3616,Movimentos!$C$4:$C$9996,"Entrada")-SUMIFS(Movimentos!$F$4:$F$9996,Movimentos!$D$4:$D$9996,B3616,Movimentos!$C$4:$C$9996,"Saída"),""),"")</f>
        <v/>
      </c>
      <c r="F3616" s="10" t="str">
        <f t="shared" si="116"/>
        <v/>
      </c>
    </row>
    <row r="3617" spans="1:6" x14ac:dyDescent="0.3">
      <c r="A3617" s="15" t="str">
        <f t="shared" si="115"/>
        <v>.</v>
      </c>
      <c r="E3617" s="13" t="str">
        <f>IFERROR(IF(AND(B3617&lt;&gt;"",C3617&lt;&gt;""),SUMIFS(Movimentos!$F$4:$F$9996,Movimentos!$D$4:$D$9996,B3617,Movimentos!$C$4:$C$9996,"Entrada")-SUMIFS(Movimentos!$F$4:$F$9996,Movimentos!$D$4:$D$9996,B3617,Movimentos!$C$4:$C$9996,"Saída"),""),"")</f>
        <v/>
      </c>
      <c r="F3617" s="10" t="str">
        <f t="shared" si="116"/>
        <v/>
      </c>
    </row>
    <row r="3618" spans="1:6" x14ac:dyDescent="0.3">
      <c r="A3618" s="15" t="str">
        <f t="shared" si="115"/>
        <v>.</v>
      </c>
      <c r="E3618" s="13" t="str">
        <f>IFERROR(IF(AND(B3618&lt;&gt;"",C3618&lt;&gt;""),SUMIFS(Movimentos!$F$4:$F$9996,Movimentos!$D$4:$D$9996,B3618,Movimentos!$C$4:$C$9996,"Entrada")-SUMIFS(Movimentos!$F$4:$F$9996,Movimentos!$D$4:$D$9996,B3618,Movimentos!$C$4:$C$9996,"Saída"),""),"")</f>
        <v/>
      </c>
      <c r="F3618" s="10" t="str">
        <f t="shared" si="116"/>
        <v/>
      </c>
    </row>
    <row r="3619" spans="1:6" x14ac:dyDescent="0.3">
      <c r="A3619" s="15" t="str">
        <f t="shared" si="115"/>
        <v>.</v>
      </c>
      <c r="E3619" s="13" t="str">
        <f>IFERROR(IF(AND(B3619&lt;&gt;"",C3619&lt;&gt;""),SUMIFS(Movimentos!$F$4:$F$9996,Movimentos!$D$4:$D$9996,B3619,Movimentos!$C$4:$C$9996,"Entrada")-SUMIFS(Movimentos!$F$4:$F$9996,Movimentos!$D$4:$D$9996,B3619,Movimentos!$C$4:$C$9996,"Saída"),""),"")</f>
        <v/>
      </c>
      <c r="F3619" s="10" t="str">
        <f t="shared" si="116"/>
        <v/>
      </c>
    </row>
    <row r="3620" spans="1:6" x14ac:dyDescent="0.3">
      <c r="A3620" s="15" t="str">
        <f t="shared" si="115"/>
        <v>.</v>
      </c>
      <c r="E3620" s="13" t="str">
        <f>IFERROR(IF(AND(B3620&lt;&gt;"",C3620&lt;&gt;""),SUMIFS(Movimentos!$F$4:$F$9996,Movimentos!$D$4:$D$9996,B3620,Movimentos!$C$4:$C$9996,"Entrada")-SUMIFS(Movimentos!$F$4:$F$9996,Movimentos!$D$4:$D$9996,B3620,Movimentos!$C$4:$C$9996,"Saída"),""),"")</f>
        <v/>
      </c>
      <c r="F3620" s="10" t="str">
        <f t="shared" si="116"/>
        <v/>
      </c>
    </row>
    <row r="3621" spans="1:6" x14ac:dyDescent="0.3">
      <c r="A3621" s="15" t="str">
        <f t="shared" si="115"/>
        <v>.</v>
      </c>
      <c r="E3621" s="13" t="str">
        <f>IFERROR(IF(AND(B3621&lt;&gt;"",C3621&lt;&gt;""),SUMIFS(Movimentos!$F$4:$F$9996,Movimentos!$D$4:$D$9996,B3621,Movimentos!$C$4:$C$9996,"Entrada")-SUMIFS(Movimentos!$F$4:$F$9996,Movimentos!$D$4:$D$9996,B3621,Movimentos!$C$4:$C$9996,"Saída"),""),"")</f>
        <v/>
      </c>
      <c r="F3621" s="10" t="str">
        <f t="shared" si="116"/>
        <v/>
      </c>
    </row>
    <row r="3622" spans="1:6" x14ac:dyDescent="0.3">
      <c r="A3622" s="15" t="str">
        <f t="shared" si="115"/>
        <v>.</v>
      </c>
      <c r="E3622" s="13" t="str">
        <f>IFERROR(IF(AND(B3622&lt;&gt;"",C3622&lt;&gt;""),SUMIFS(Movimentos!$F$4:$F$9996,Movimentos!$D$4:$D$9996,B3622,Movimentos!$C$4:$C$9996,"Entrada")-SUMIFS(Movimentos!$F$4:$F$9996,Movimentos!$D$4:$D$9996,B3622,Movimentos!$C$4:$C$9996,"Saída"),""),"")</f>
        <v/>
      </c>
      <c r="F3622" s="10" t="str">
        <f t="shared" si="116"/>
        <v/>
      </c>
    </row>
    <row r="3623" spans="1:6" x14ac:dyDescent="0.3">
      <c r="A3623" s="15" t="str">
        <f t="shared" si="115"/>
        <v>.</v>
      </c>
      <c r="E3623" s="13" t="str">
        <f>IFERROR(IF(AND(B3623&lt;&gt;"",C3623&lt;&gt;""),SUMIFS(Movimentos!$F$4:$F$9996,Movimentos!$D$4:$D$9996,B3623,Movimentos!$C$4:$C$9996,"Entrada")-SUMIFS(Movimentos!$F$4:$F$9996,Movimentos!$D$4:$D$9996,B3623,Movimentos!$C$4:$C$9996,"Saída"),""),"")</f>
        <v/>
      </c>
      <c r="F3623" s="10" t="str">
        <f t="shared" si="116"/>
        <v/>
      </c>
    </row>
    <row r="3624" spans="1:6" x14ac:dyDescent="0.3">
      <c r="A3624" s="15" t="str">
        <f t="shared" si="115"/>
        <v>.</v>
      </c>
      <c r="E3624" s="13" t="str">
        <f>IFERROR(IF(AND(B3624&lt;&gt;"",C3624&lt;&gt;""),SUMIFS(Movimentos!$F$4:$F$9996,Movimentos!$D$4:$D$9996,B3624,Movimentos!$C$4:$C$9996,"Entrada")-SUMIFS(Movimentos!$F$4:$F$9996,Movimentos!$D$4:$D$9996,B3624,Movimentos!$C$4:$C$9996,"Saída"),""),"")</f>
        <v/>
      </c>
      <c r="F3624" s="10" t="str">
        <f t="shared" si="116"/>
        <v/>
      </c>
    </row>
    <row r="3625" spans="1:6" x14ac:dyDescent="0.3">
      <c r="A3625" s="15" t="str">
        <f t="shared" si="115"/>
        <v>.</v>
      </c>
      <c r="E3625" s="13" t="str">
        <f>IFERROR(IF(AND(B3625&lt;&gt;"",C3625&lt;&gt;""),SUMIFS(Movimentos!$F$4:$F$9996,Movimentos!$D$4:$D$9996,B3625,Movimentos!$C$4:$C$9996,"Entrada")-SUMIFS(Movimentos!$F$4:$F$9996,Movimentos!$D$4:$D$9996,B3625,Movimentos!$C$4:$C$9996,"Saída"),""),"")</f>
        <v/>
      </c>
      <c r="F3625" s="10" t="str">
        <f t="shared" si="116"/>
        <v/>
      </c>
    </row>
    <row r="3626" spans="1:6" x14ac:dyDescent="0.3">
      <c r="A3626" s="15" t="str">
        <f t="shared" si="115"/>
        <v>.</v>
      </c>
      <c r="E3626" s="13" t="str">
        <f>IFERROR(IF(AND(B3626&lt;&gt;"",C3626&lt;&gt;""),SUMIFS(Movimentos!$F$4:$F$9996,Movimentos!$D$4:$D$9996,B3626,Movimentos!$C$4:$C$9996,"Entrada")-SUMIFS(Movimentos!$F$4:$F$9996,Movimentos!$D$4:$D$9996,B3626,Movimentos!$C$4:$C$9996,"Saída"),""),"")</f>
        <v/>
      </c>
      <c r="F3626" s="10" t="str">
        <f t="shared" si="116"/>
        <v/>
      </c>
    </row>
    <row r="3627" spans="1:6" x14ac:dyDescent="0.3">
      <c r="A3627" s="15" t="str">
        <f t="shared" si="115"/>
        <v>.</v>
      </c>
      <c r="E3627" s="13" t="str">
        <f>IFERROR(IF(AND(B3627&lt;&gt;"",C3627&lt;&gt;""),SUMIFS(Movimentos!$F$4:$F$9996,Movimentos!$D$4:$D$9996,B3627,Movimentos!$C$4:$C$9996,"Entrada")-SUMIFS(Movimentos!$F$4:$F$9996,Movimentos!$D$4:$D$9996,B3627,Movimentos!$C$4:$C$9996,"Saída"),""),"")</f>
        <v/>
      </c>
      <c r="F3627" s="10" t="str">
        <f t="shared" si="116"/>
        <v/>
      </c>
    </row>
    <row r="3628" spans="1:6" x14ac:dyDescent="0.3">
      <c r="A3628" s="15" t="str">
        <f t="shared" si="115"/>
        <v>.</v>
      </c>
      <c r="E3628" s="13" t="str">
        <f>IFERROR(IF(AND(B3628&lt;&gt;"",C3628&lt;&gt;""),SUMIFS(Movimentos!$F$4:$F$9996,Movimentos!$D$4:$D$9996,B3628,Movimentos!$C$4:$C$9996,"Entrada")-SUMIFS(Movimentos!$F$4:$F$9996,Movimentos!$D$4:$D$9996,B3628,Movimentos!$C$4:$C$9996,"Saída"),""),"")</f>
        <v/>
      </c>
      <c r="F3628" s="10" t="str">
        <f t="shared" si="116"/>
        <v/>
      </c>
    </row>
    <row r="3629" spans="1:6" x14ac:dyDescent="0.3">
      <c r="A3629" s="15" t="str">
        <f t="shared" si="115"/>
        <v>.</v>
      </c>
      <c r="E3629" s="13" t="str">
        <f>IFERROR(IF(AND(B3629&lt;&gt;"",C3629&lt;&gt;""),SUMIFS(Movimentos!$F$4:$F$9996,Movimentos!$D$4:$D$9996,B3629,Movimentos!$C$4:$C$9996,"Entrada")-SUMIFS(Movimentos!$F$4:$F$9996,Movimentos!$D$4:$D$9996,B3629,Movimentos!$C$4:$C$9996,"Saída"),""),"")</f>
        <v/>
      </c>
      <c r="F3629" s="10" t="str">
        <f t="shared" si="116"/>
        <v/>
      </c>
    </row>
    <row r="3630" spans="1:6" x14ac:dyDescent="0.3">
      <c r="A3630" s="15" t="str">
        <f t="shared" si="115"/>
        <v>.</v>
      </c>
      <c r="E3630" s="13" t="str">
        <f>IFERROR(IF(AND(B3630&lt;&gt;"",C3630&lt;&gt;""),SUMIFS(Movimentos!$F$4:$F$9996,Movimentos!$D$4:$D$9996,B3630,Movimentos!$C$4:$C$9996,"Entrada")-SUMIFS(Movimentos!$F$4:$F$9996,Movimentos!$D$4:$D$9996,B3630,Movimentos!$C$4:$C$9996,"Saída"),""),"")</f>
        <v/>
      </c>
      <c r="F3630" s="10" t="str">
        <f t="shared" si="116"/>
        <v/>
      </c>
    </row>
    <row r="3631" spans="1:6" x14ac:dyDescent="0.3">
      <c r="A3631" s="15" t="str">
        <f t="shared" si="115"/>
        <v>.</v>
      </c>
      <c r="E3631" s="13" t="str">
        <f>IFERROR(IF(AND(B3631&lt;&gt;"",C3631&lt;&gt;""),SUMIFS(Movimentos!$F$4:$F$9996,Movimentos!$D$4:$D$9996,B3631,Movimentos!$C$4:$C$9996,"Entrada")-SUMIFS(Movimentos!$F$4:$F$9996,Movimentos!$D$4:$D$9996,B3631,Movimentos!$C$4:$C$9996,"Saída"),""),"")</f>
        <v/>
      </c>
      <c r="F3631" s="10" t="str">
        <f t="shared" si="116"/>
        <v/>
      </c>
    </row>
    <row r="3632" spans="1:6" x14ac:dyDescent="0.3">
      <c r="A3632" s="15" t="str">
        <f t="shared" si="115"/>
        <v>.</v>
      </c>
      <c r="E3632" s="13" t="str">
        <f>IFERROR(IF(AND(B3632&lt;&gt;"",C3632&lt;&gt;""),SUMIFS(Movimentos!$F$4:$F$9996,Movimentos!$D$4:$D$9996,B3632,Movimentos!$C$4:$C$9996,"Entrada")-SUMIFS(Movimentos!$F$4:$F$9996,Movimentos!$D$4:$D$9996,B3632,Movimentos!$C$4:$C$9996,"Saída"),""),"")</f>
        <v/>
      </c>
      <c r="F3632" s="10" t="str">
        <f t="shared" si="116"/>
        <v/>
      </c>
    </row>
    <row r="3633" spans="1:6" x14ac:dyDescent="0.3">
      <c r="A3633" s="15" t="str">
        <f t="shared" si="115"/>
        <v>.</v>
      </c>
      <c r="E3633" s="13" t="str">
        <f>IFERROR(IF(AND(B3633&lt;&gt;"",C3633&lt;&gt;""),SUMIFS(Movimentos!$F$4:$F$9996,Movimentos!$D$4:$D$9996,B3633,Movimentos!$C$4:$C$9996,"Entrada")-SUMIFS(Movimentos!$F$4:$F$9996,Movimentos!$D$4:$D$9996,B3633,Movimentos!$C$4:$C$9996,"Saída"),""),"")</f>
        <v/>
      </c>
      <c r="F3633" s="10" t="str">
        <f t="shared" si="116"/>
        <v/>
      </c>
    </row>
    <row r="3634" spans="1:6" x14ac:dyDescent="0.3">
      <c r="A3634" s="15" t="str">
        <f t="shared" si="115"/>
        <v>.</v>
      </c>
      <c r="E3634" s="13" t="str">
        <f>IFERROR(IF(AND(B3634&lt;&gt;"",C3634&lt;&gt;""),SUMIFS(Movimentos!$F$4:$F$9996,Movimentos!$D$4:$D$9996,B3634,Movimentos!$C$4:$C$9996,"Entrada")-SUMIFS(Movimentos!$F$4:$F$9996,Movimentos!$D$4:$D$9996,B3634,Movimentos!$C$4:$C$9996,"Saída"),""),"")</f>
        <v/>
      </c>
      <c r="F3634" s="10" t="str">
        <f t="shared" si="116"/>
        <v/>
      </c>
    </row>
    <row r="3635" spans="1:6" x14ac:dyDescent="0.3">
      <c r="A3635" s="15" t="str">
        <f t="shared" si="115"/>
        <v>.</v>
      </c>
      <c r="E3635" s="13" t="str">
        <f>IFERROR(IF(AND(B3635&lt;&gt;"",C3635&lt;&gt;""),SUMIFS(Movimentos!$F$4:$F$9996,Movimentos!$D$4:$D$9996,B3635,Movimentos!$C$4:$C$9996,"Entrada")-SUMIFS(Movimentos!$F$4:$F$9996,Movimentos!$D$4:$D$9996,B3635,Movimentos!$C$4:$C$9996,"Saída"),""),"")</f>
        <v/>
      </c>
      <c r="F3635" s="10" t="str">
        <f t="shared" si="116"/>
        <v/>
      </c>
    </row>
    <row r="3636" spans="1:6" x14ac:dyDescent="0.3">
      <c r="A3636" s="15" t="str">
        <f t="shared" si="115"/>
        <v>.</v>
      </c>
      <c r="E3636" s="13" t="str">
        <f>IFERROR(IF(AND(B3636&lt;&gt;"",C3636&lt;&gt;""),SUMIFS(Movimentos!$F$4:$F$9996,Movimentos!$D$4:$D$9996,B3636,Movimentos!$C$4:$C$9996,"Entrada")-SUMIFS(Movimentos!$F$4:$F$9996,Movimentos!$D$4:$D$9996,B3636,Movimentos!$C$4:$C$9996,"Saída"),""),"")</f>
        <v/>
      </c>
      <c r="F3636" s="10" t="str">
        <f t="shared" si="116"/>
        <v/>
      </c>
    </row>
    <row r="3637" spans="1:6" x14ac:dyDescent="0.3">
      <c r="A3637" s="15" t="str">
        <f t="shared" si="115"/>
        <v>.</v>
      </c>
      <c r="E3637" s="13" t="str">
        <f>IFERROR(IF(AND(B3637&lt;&gt;"",C3637&lt;&gt;""),SUMIFS(Movimentos!$F$4:$F$9996,Movimentos!$D$4:$D$9996,B3637,Movimentos!$C$4:$C$9996,"Entrada")-SUMIFS(Movimentos!$F$4:$F$9996,Movimentos!$D$4:$D$9996,B3637,Movimentos!$C$4:$C$9996,"Saída"),""),"")</f>
        <v/>
      </c>
      <c r="F3637" s="10" t="str">
        <f t="shared" si="116"/>
        <v/>
      </c>
    </row>
    <row r="3638" spans="1:6" x14ac:dyDescent="0.3">
      <c r="A3638" s="15" t="str">
        <f t="shared" si="115"/>
        <v>.</v>
      </c>
      <c r="E3638" s="13" t="str">
        <f>IFERROR(IF(AND(B3638&lt;&gt;"",C3638&lt;&gt;""),SUMIFS(Movimentos!$F$4:$F$9996,Movimentos!$D$4:$D$9996,B3638,Movimentos!$C$4:$C$9996,"Entrada")-SUMIFS(Movimentos!$F$4:$F$9996,Movimentos!$D$4:$D$9996,B3638,Movimentos!$C$4:$C$9996,"Saída"),""),"")</f>
        <v/>
      </c>
      <c r="F3638" s="10" t="str">
        <f t="shared" si="116"/>
        <v/>
      </c>
    </row>
    <row r="3639" spans="1:6" x14ac:dyDescent="0.3">
      <c r="A3639" s="15" t="str">
        <f t="shared" si="115"/>
        <v>.</v>
      </c>
      <c r="E3639" s="13" t="str">
        <f>IFERROR(IF(AND(B3639&lt;&gt;"",C3639&lt;&gt;""),SUMIFS(Movimentos!$F$4:$F$9996,Movimentos!$D$4:$D$9996,B3639,Movimentos!$C$4:$C$9996,"Entrada")-SUMIFS(Movimentos!$F$4:$F$9996,Movimentos!$D$4:$D$9996,B3639,Movimentos!$C$4:$C$9996,"Saída"),""),"")</f>
        <v/>
      </c>
      <c r="F3639" s="10" t="str">
        <f t="shared" si="116"/>
        <v/>
      </c>
    </row>
    <row r="3640" spans="1:6" x14ac:dyDescent="0.3">
      <c r="A3640" s="15" t="str">
        <f t="shared" si="115"/>
        <v>.</v>
      </c>
      <c r="E3640" s="13" t="str">
        <f>IFERROR(IF(AND(B3640&lt;&gt;"",C3640&lt;&gt;""),SUMIFS(Movimentos!$F$4:$F$9996,Movimentos!$D$4:$D$9996,B3640,Movimentos!$C$4:$C$9996,"Entrada")-SUMIFS(Movimentos!$F$4:$F$9996,Movimentos!$D$4:$D$9996,B3640,Movimentos!$C$4:$C$9996,"Saída"),""),"")</f>
        <v/>
      </c>
      <c r="F3640" s="10" t="str">
        <f t="shared" si="116"/>
        <v/>
      </c>
    </row>
    <row r="3641" spans="1:6" x14ac:dyDescent="0.3">
      <c r="A3641" s="15" t="str">
        <f t="shared" si="115"/>
        <v>.</v>
      </c>
      <c r="E3641" s="13" t="str">
        <f>IFERROR(IF(AND(B3641&lt;&gt;"",C3641&lt;&gt;""),SUMIFS(Movimentos!$F$4:$F$9996,Movimentos!$D$4:$D$9996,B3641,Movimentos!$C$4:$C$9996,"Entrada")-SUMIFS(Movimentos!$F$4:$F$9996,Movimentos!$D$4:$D$9996,B3641,Movimentos!$C$4:$C$9996,"Saída"),""),"")</f>
        <v/>
      </c>
      <c r="F3641" s="10" t="str">
        <f t="shared" si="116"/>
        <v/>
      </c>
    </row>
    <row r="3642" spans="1:6" x14ac:dyDescent="0.3">
      <c r="A3642" s="15" t="str">
        <f t="shared" si="115"/>
        <v>.</v>
      </c>
      <c r="E3642" s="13" t="str">
        <f>IFERROR(IF(AND(B3642&lt;&gt;"",C3642&lt;&gt;""),SUMIFS(Movimentos!$F$4:$F$9996,Movimentos!$D$4:$D$9996,B3642,Movimentos!$C$4:$C$9996,"Entrada")-SUMIFS(Movimentos!$F$4:$F$9996,Movimentos!$D$4:$D$9996,B3642,Movimentos!$C$4:$C$9996,"Saída"),""),"")</f>
        <v/>
      </c>
      <c r="F3642" s="10" t="str">
        <f t="shared" si="116"/>
        <v/>
      </c>
    </row>
    <row r="3643" spans="1:6" x14ac:dyDescent="0.3">
      <c r="A3643" s="15" t="str">
        <f t="shared" si="115"/>
        <v>.</v>
      </c>
      <c r="E3643" s="13" t="str">
        <f>IFERROR(IF(AND(B3643&lt;&gt;"",C3643&lt;&gt;""),SUMIFS(Movimentos!$F$4:$F$9996,Movimentos!$D$4:$D$9996,B3643,Movimentos!$C$4:$C$9996,"Entrada")-SUMIFS(Movimentos!$F$4:$F$9996,Movimentos!$D$4:$D$9996,B3643,Movimentos!$C$4:$C$9996,"Saída"),""),"")</f>
        <v/>
      </c>
      <c r="F3643" s="10" t="str">
        <f t="shared" si="116"/>
        <v/>
      </c>
    </row>
    <row r="3644" spans="1:6" x14ac:dyDescent="0.3">
      <c r="A3644" s="15" t="str">
        <f t="shared" si="115"/>
        <v>.</v>
      </c>
      <c r="E3644" s="13" t="str">
        <f>IFERROR(IF(AND(B3644&lt;&gt;"",C3644&lt;&gt;""),SUMIFS(Movimentos!$F$4:$F$9996,Movimentos!$D$4:$D$9996,B3644,Movimentos!$C$4:$C$9996,"Entrada")-SUMIFS(Movimentos!$F$4:$F$9996,Movimentos!$D$4:$D$9996,B3644,Movimentos!$C$4:$C$9996,"Saída"),""),"")</f>
        <v/>
      </c>
      <c r="F3644" s="10" t="str">
        <f t="shared" si="116"/>
        <v/>
      </c>
    </row>
    <row r="3645" spans="1:6" x14ac:dyDescent="0.3">
      <c r="A3645" s="15" t="str">
        <f t="shared" si="115"/>
        <v>.</v>
      </c>
      <c r="E3645" s="13" t="str">
        <f>IFERROR(IF(AND(B3645&lt;&gt;"",C3645&lt;&gt;""),SUMIFS(Movimentos!$F$4:$F$9996,Movimentos!$D$4:$D$9996,B3645,Movimentos!$C$4:$C$9996,"Entrada")-SUMIFS(Movimentos!$F$4:$F$9996,Movimentos!$D$4:$D$9996,B3645,Movimentos!$C$4:$C$9996,"Saída"),""),"")</f>
        <v/>
      </c>
      <c r="F3645" s="10" t="str">
        <f t="shared" si="116"/>
        <v/>
      </c>
    </row>
    <row r="3646" spans="1:6" x14ac:dyDescent="0.3">
      <c r="A3646" s="15" t="str">
        <f t="shared" si="115"/>
        <v>.</v>
      </c>
      <c r="E3646" s="13" t="str">
        <f>IFERROR(IF(AND(B3646&lt;&gt;"",C3646&lt;&gt;""),SUMIFS(Movimentos!$F$4:$F$9996,Movimentos!$D$4:$D$9996,B3646,Movimentos!$C$4:$C$9996,"Entrada")-SUMIFS(Movimentos!$F$4:$F$9996,Movimentos!$D$4:$D$9996,B3646,Movimentos!$C$4:$C$9996,"Saída"),""),"")</f>
        <v/>
      </c>
      <c r="F3646" s="10" t="str">
        <f t="shared" si="116"/>
        <v/>
      </c>
    </row>
    <row r="3647" spans="1:6" x14ac:dyDescent="0.3">
      <c r="A3647" s="15" t="str">
        <f t="shared" si="115"/>
        <v>.</v>
      </c>
      <c r="E3647" s="13" t="str">
        <f>IFERROR(IF(AND(B3647&lt;&gt;"",C3647&lt;&gt;""),SUMIFS(Movimentos!$F$4:$F$9996,Movimentos!$D$4:$D$9996,B3647,Movimentos!$C$4:$C$9996,"Entrada")-SUMIFS(Movimentos!$F$4:$F$9996,Movimentos!$D$4:$D$9996,B3647,Movimentos!$C$4:$C$9996,"Saída"),""),"")</f>
        <v/>
      </c>
      <c r="F3647" s="10" t="str">
        <f t="shared" si="116"/>
        <v/>
      </c>
    </row>
    <row r="3648" spans="1:6" x14ac:dyDescent="0.3">
      <c r="A3648" s="15" t="str">
        <f t="shared" ref="A3648:A3711" si="117">IF(F3648="Saldo zerado",0,IF(F3648="Saldo abaixo do mínimo",1,IF(F3648="Saldo disponível",2,".")))</f>
        <v>.</v>
      </c>
      <c r="E3648" s="13" t="str">
        <f>IFERROR(IF(AND(B3648&lt;&gt;"",C3648&lt;&gt;""),SUMIFS(Movimentos!$F$4:$F$9996,Movimentos!$D$4:$D$9996,B3648,Movimentos!$C$4:$C$9996,"Entrada")-SUMIFS(Movimentos!$F$4:$F$9996,Movimentos!$D$4:$D$9996,B3648,Movimentos!$C$4:$C$9996,"Saída"),""),"")</f>
        <v/>
      </c>
      <c r="F3648" s="10" t="str">
        <f t="shared" si="116"/>
        <v/>
      </c>
    </row>
    <row r="3649" spans="1:6" x14ac:dyDescent="0.3">
      <c r="A3649" s="15" t="str">
        <f t="shared" si="117"/>
        <v>.</v>
      </c>
      <c r="E3649" s="13" t="str">
        <f>IFERROR(IF(AND(B3649&lt;&gt;"",C3649&lt;&gt;""),SUMIFS(Movimentos!$F$4:$F$9996,Movimentos!$D$4:$D$9996,B3649,Movimentos!$C$4:$C$9996,"Entrada")-SUMIFS(Movimentos!$F$4:$F$9996,Movimentos!$D$4:$D$9996,B3649,Movimentos!$C$4:$C$9996,"Saída"),""),"")</f>
        <v/>
      </c>
      <c r="F3649" s="10" t="str">
        <f t="shared" si="116"/>
        <v/>
      </c>
    </row>
    <row r="3650" spans="1:6" x14ac:dyDescent="0.3">
      <c r="A3650" s="15" t="str">
        <f t="shared" si="117"/>
        <v>.</v>
      </c>
      <c r="E3650" s="13" t="str">
        <f>IFERROR(IF(AND(B3650&lt;&gt;"",C3650&lt;&gt;""),SUMIFS(Movimentos!$F$4:$F$9996,Movimentos!$D$4:$D$9996,B3650,Movimentos!$C$4:$C$9996,"Entrada")-SUMIFS(Movimentos!$F$4:$F$9996,Movimentos!$D$4:$D$9996,B3650,Movimentos!$C$4:$C$9996,"Saída"),""),"")</f>
        <v/>
      </c>
      <c r="F3650" s="10" t="str">
        <f t="shared" si="116"/>
        <v/>
      </c>
    </row>
    <row r="3651" spans="1:6" x14ac:dyDescent="0.3">
      <c r="A3651" s="15" t="str">
        <f t="shared" si="117"/>
        <v>.</v>
      </c>
      <c r="E3651" s="13" t="str">
        <f>IFERROR(IF(AND(B3651&lt;&gt;"",C3651&lt;&gt;""),SUMIFS(Movimentos!$F$4:$F$9996,Movimentos!$D$4:$D$9996,B3651,Movimentos!$C$4:$C$9996,"Entrada")-SUMIFS(Movimentos!$F$4:$F$9996,Movimentos!$D$4:$D$9996,B3651,Movimentos!$C$4:$C$9996,"Saída"),""),"")</f>
        <v/>
      </c>
      <c r="F3651" s="10" t="str">
        <f t="shared" si="116"/>
        <v/>
      </c>
    </row>
    <row r="3652" spans="1:6" x14ac:dyDescent="0.3">
      <c r="A3652" s="15" t="str">
        <f t="shared" si="117"/>
        <v>.</v>
      </c>
      <c r="E3652" s="13" t="str">
        <f>IFERROR(IF(AND(B3652&lt;&gt;"",C3652&lt;&gt;""),SUMIFS(Movimentos!$F$4:$F$9996,Movimentos!$D$4:$D$9996,B3652,Movimentos!$C$4:$C$9996,"Entrada")-SUMIFS(Movimentos!$F$4:$F$9996,Movimentos!$D$4:$D$9996,B3652,Movimentos!$C$4:$C$9996,"Saída"),""),"")</f>
        <v/>
      </c>
      <c r="F3652" s="10" t="str">
        <f t="shared" si="116"/>
        <v/>
      </c>
    </row>
    <row r="3653" spans="1:6" x14ac:dyDescent="0.3">
      <c r="A3653" s="15" t="str">
        <f t="shared" si="117"/>
        <v>.</v>
      </c>
      <c r="E3653" s="13" t="str">
        <f>IFERROR(IF(AND(B3653&lt;&gt;"",C3653&lt;&gt;""),SUMIFS(Movimentos!$F$4:$F$9996,Movimentos!$D$4:$D$9996,B3653,Movimentos!$C$4:$C$9996,"Entrada")-SUMIFS(Movimentos!$F$4:$F$9996,Movimentos!$D$4:$D$9996,B3653,Movimentos!$C$4:$C$9996,"Saída"),""),"")</f>
        <v/>
      </c>
      <c r="F3653" s="10" t="str">
        <f t="shared" si="116"/>
        <v/>
      </c>
    </row>
    <row r="3654" spans="1:6" x14ac:dyDescent="0.3">
      <c r="A3654" s="15" t="str">
        <f t="shared" si="117"/>
        <v>.</v>
      </c>
      <c r="E3654" s="13" t="str">
        <f>IFERROR(IF(AND(B3654&lt;&gt;"",C3654&lt;&gt;""),SUMIFS(Movimentos!$F$4:$F$9996,Movimentos!$D$4:$D$9996,B3654,Movimentos!$C$4:$C$9996,"Entrada")-SUMIFS(Movimentos!$F$4:$F$9996,Movimentos!$D$4:$D$9996,B3654,Movimentos!$C$4:$C$9996,"Saída"),""),"")</f>
        <v/>
      </c>
      <c r="F3654" s="10" t="str">
        <f t="shared" si="116"/>
        <v/>
      </c>
    </row>
    <row r="3655" spans="1:6" x14ac:dyDescent="0.3">
      <c r="A3655" s="15" t="str">
        <f t="shared" si="117"/>
        <v>.</v>
      </c>
      <c r="E3655" s="13" t="str">
        <f>IFERROR(IF(AND(B3655&lt;&gt;"",C3655&lt;&gt;""),SUMIFS(Movimentos!$F$4:$F$9996,Movimentos!$D$4:$D$9996,B3655,Movimentos!$C$4:$C$9996,"Entrada")-SUMIFS(Movimentos!$F$4:$F$9996,Movimentos!$D$4:$D$9996,B3655,Movimentos!$C$4:$C$9996,"Saída"),""),"")</f>
        <v/>
      </c>
      <c r="F3655" s="10" t="str">
        <f t="shared" si="116"/>
        <v/>
      </c>
    </row>
    <row r="3656" spans="1:6" x14ac:dyDescent="0.3">
      <c r="A3656" s="15" t="str">
        <f t="shared" si="117"/>
        <v>.</v>
      </c>
      <c r="E3656" s="13" t="str">
        <f>IFERROR(IF(AND(B3656&lt;&gt;"",C3656&lt;&gt;""),SUMIFS(Movimentos!$F$4:$F$9996,Movimentos!$D$4:$D$9996,B3656,Movimentos!$C$4:$C$9996,"Entrada")-SUMIFS(Movimentos!$F$4:$F$9996,Movimentos!$D$4:$D$9996,B3656,Movimentos!$C$4:$C$9996,"Saída"),""),"")</f>
        <v/>
      </c>
      <c r="F3656" s="10" t="str">
        <f t="shared" si="116"/>
        <v/>
      </c>
    </row>
    <row r="3657" spans="1:6" x14ac:dyDescent="0.3">
      <c r="A3657" s="15" t="str">
        <f t="shared" si="117"/>
        <v>.</v>
      </c>
      <c r="E3657" s="13" t="str">
        <f>IFERROR(IF(AND(B3657&lt;&gt;"",C3657&lt;&gt;""),SUMIFS(Movimentos!$F$4:$F$9996,Movimentos!$D$4:$D$9996,B3657,Movimentos!$C$4:$C$9996,"Entrada")-SUMIFS(Movimentos!$F$4:$F$9996,Movimentos!$D$4:$D$9996,B3657,Movimentos!$C$4:$C$9996,"Saída"),""),"")</f>
        <v/>
      </c>
      <c r="F3657" s="10" t="str">
        <f t="shared" si="116"/>
        <v/>
      </c>
    </row>
    <row r="3658" spans="1:6" x14ac:dyDescent="0.3">
      <c r="A3658" s="15" t="str">
        <f t="shared" si="117"/>
        <v>.</v>
      </c>
      <c r="E3658" s="13" t="str">
        <f>IFERROR(IF(AND(B3658&lt;&gt;"",C3658&lt;&gt;""),SUMIFS(Movimentos!$F$4:$F$9996,Movimentos!$D$4:$D$9996,B3658,Movimentos!$C$4:$C$9996,"Entrada")-SUMIFS(Movimentos!$F$4:$F$9996,Movimentos!$D$4:$D$9996,B3658,Movimentos!$C$4:$C$9996,"Saída"),""),"")</f>
        <v/>
      </c>
      <c r="F3658" s="10" t="str">
        <f t="shared" si="116"/>
        <v/>
      </c>
    </row>
    <row r="3659" spans="1:6" x14ac:dyDescent="0.3">
      <c r="A3659" s="15" t="str">
        <f t="shared" si="117"/>
        <v>.</v>
      </c>
      <c r="E3659" s="13" t="str">
        <f>IFERROR(IF(AND(B3659&lt;&gt;"",C3659&lt;&gt;""),SUMIFS(Movimentos!$F$4:$F$9996,Movimentos!$D$4:$D$9996,B3659,Movimentos!$C$4:$C$9996,"Entrada")-SUMIFS(Movimentos!$F$4:$F$9996,Movimentos!$D$4:$D$9996,B3659,Movimentos!$C$4:$C$9996,"Saída"),""),"")</f>
        <v/>
      </c>
      <c r="F3659" s="10" t="str">
        <f t="shared" si="116"/>
        <v/>
      </c>
    </row>
    <row r="3660" spans="1:6" x14ac:dyDescent="0.3">
      <c r="A3660" s="15" t="str">
        <f t="shared" si="117"/>
        <v>.</v>
      </c>
      <c r="E3660" s="13" t="str">
        <f>IFERROR(IF(AND(B3660&lt;&gt;"",C3660&lt;&gt;""),SUMIFS(Movimentos!$F$4:$F$9996,Movimentos!$D$4:$D$9996,B3660,Movimentos!$C$4:$C$9996,"Entrada")-SUMIFS(Movimentos!$F$4:$F$9996,Movimentos!$D$4:$D$9996,B3660,Movimentos!$C$4:$C$9996,"Saída"),""),"")</f>
        <v/>
      </c>
      <c r="F3660" s="10" t="str">
        <f t="shared" si="116"/>
        <v/>
      </c>
    </row>
    <row r="3661" spans="1:6" x14ac:dyDescent="0.3">
      <c r="A3661" s="15" t="str">
        <f t="shared" si="117"/>
        <v>.</v>
      </c>
      <c r="E3661" s="13" t="str">
        <f>IFERROR(IF(AND(B3661&lt;&gt;"",C3661&lt;&gt;""),SUMIFS(Movimentos!$F$4:$F$9996,Movimentos!$D$4:$D$9996,B3661,Movimentos!$C$4:$C$9996,"Entrada")-SUMIFS(Movimentos!$F$4:$F$9996,Movimentos!$D$4:$D$9996,B3661,Movimentos!$C$4:$C$9996,"Saída"),""),"")</f>
        <v/>
      </c>
      <c r="F3661" s="10" t="str">
        <f t="shared" si="116"/>
        <v/>
      </c>
    </row>
    <row r="3662" spans="1:6" x14ac:dyDescent="0.3">
      <c r="A3662" s="15" t="str">
        <f t="shared" si="117"/>
        <v>.</v>
      </c>
      <c r="E3662" s="13" t="str">
        <f>IFERROR(IF(AND(B3662&lt;&gt;"",C3662&lt;&gt;""),SUMIFS(Movimentos!$F$4:$F$9996,Movimentos!$D$4:$D$9996,B3662,Movimentos!$C$4:$C$9996,"Entrada")-SUMIFS(Movimentos!$F$4:$F$9996,Movimentos!$D$4:$D$9996,B3662,Movimentos!$C$4:$C$9996,"Saída"),""),"")</f>
        <v/>
      </c>
      <c r="F3662" s="10" t="str">
        <f t="shared" si="116"/>
        <v/>
      </c>
    </row>
    <row r="3663" spans="1:6" x14ac:dyDescent="0.3">
      <c r="A3663" s="15" t="str">
        <f t="shared" si="117"/>
        <v>.</v>
      </c>
      <c r="E3663" s="13" t="str">
        <f>IFERROR(IF(AND(B3663&lt;&gt;"",C3663&lt;&gt;""),SUMIFS(Movimentos!$F$4:$F$9996,Movimentos!$D$4:$D$9996,B3663,Movimentos!$C$4:$C$9996,"Entrada")-SUMIFS(Movimentos!$F$4:$F$9996,Movimentos!$D$4:$D$9996,B3663,Movimentos!$C$4:$C$9996,"Saída"),""),"")</f>
        <v/>
      </c>
      <c r="F3663" s="10" t="str">
        <f t="shared" si="116"/>
        <v/>
      </c>
    </row>
    <row r="3664" spans="1:6" x14ac:dyDescent="0.3">
      <c r="A3664" s="15" t="str">
        <f t="shared" si="117"/>
        <v>.</v>
      </c>
      <c r="E3664" s="13" t="str">
        <f>IFERROR(IF(AND(B3664&lt;&gt;"",C3664&lt;&gt;""),SUMIFS(Movimentos!$F$4:$F$9996,Movimentos!$D$4:$D$9996,B3664,Movimentos!$C$4:$C$9996,"Entrada")-SUMIFS(Movimentos!$F$4:$F$9996,Movimentos!$D$4:$D$9996,B3664,Movimentos!$C$4:$C$9996,"Saída"),""),"")</f>
        <v/>
      </c>
      <c r="F3664" s="10" t="str">
        <f t="shared" si="116"/>
        <v/>
      </c>
    </row>
    <row r="3665" spans="1:6" x14ac:dyDescent="0.3">
      <c r="A3665" s="15" t="str">
        <f t="shared" si="117"/>
        <v>.</v>
      </c>
      <c r="E3665" s="13" t="str">
        <f>IFERROR(IF(AND(B3665&lt;&gt;"",C3665&lt;&gt;""),SUMIFS(Movimentos!$F$4:$F$9996,Movimentos!$D$4:$D$9996,B3665,Movimentos!$C$4:$C$9996,"Entrada")-SUMIFS(Movimentos!$F$4:$F$9996,Movimentos!$D$4:$D$9996,B3665,Movimentos!$C$4:$C$9996,"Saída"),""),"")</f>
        <v/>
      </c>
      <c r="F3665" s="10" t="str">
        <f t="shared" si="116"/>
        <v/>
      </c>
    </row>
    <row r="3666" spans="1:6" x14ac:dyDescent="0.3">
      <c r="A3666" s="15" t="str">
        <f t="shared" si="117"/>
        <v>.</v>
      </c>
      <c r="E3666" s="13" t="str">
        <f>IFERROR(IF(AND(B3666&lt;&gt;"",C3666&lt;&gt;""),SUMIFS(Movimentos!$F$4:$F$9996,Movimentos!$D$4:$D$9996,B3666,Movimentos!$C$4:$C$9996,"Entrada")-SUMIFS(Movimentos!$F$4:$F$9996,Movimentos!$D$4:$D$9996,B3666,Movimentos!$C$4:$C$9996,"Saída"),""),"")</f>
        <v/>
      </c>
      <c r="F3666" s="10" t="str">
        <f t="shared" si="116"/>
        <v/>
      </c>
    </row>
    <row r="3667" spans="1:6" x14ac:dyDescent="0.3">
      <c r="A3667" s="15" t="str">
        <f t="shared" si="117"/>
        <v>.</v>
      </c>
      <c r="E3667" s="13" t="str">
        <f>IFERROR(IF(AND(B3667&lt;&gt;"",C3667&lt;&gt;""),SUMIFS(Movimentos!$F$4:$F$9996,Movimentos!$D$4:$D$9996,B3667,Movimentos!$C$4:$C$9996,"Entrada")-SUMIFS(Movimentos!$F$4:$F$9996,Movimentos!$D$4:$D$9996,B3667,Movimentos!$C$4:$C$9996,"Saída"),""),"")</f>
        <v/>
      </c>
      <c r="F3667" s="10" t="str">
        <f t="shared" si="116"/>
        <v/>
      </c>
    </row>
    <row r="3668" spans="1:6" x14ac:dyDescent="0.3">
      <c r="A3668" s="15" t="str">
        <f t="shared" si="117"/>
        <v>.</v>
      </c>
      <c r="E3668" s="13" t="str">
        <f>IFERROR(IF(AND(B3668&lt;&gt;"",C3668&lt;&gt;""),SUMIFS(Movimentos!$F$4:$F$9996,Movimentos!$D$4:$D$9996,B3668,Movimentos!$C$4:$C$9996,"Entrada")-SUMIFS(Movimentos!$F$4:$F$9996,Movimentos!$D$4:$D$9996,B3668,Movimentos!$C$4:$C$9996,"Saída"),""),"")</f>
        <v/>
      </c>
      <c r="F3668" s="10" t="str">
        <f t="shared" si="116"/>
        <v/>
      </c>
    </row>
    <row r="3669" spans="1:6" x14ac:dyDescent="0.3">
      <c r="A3669" s="15" t="str">
        <f t="shared" si="117"/>
        <v>.</v>
      </c>
      <c r="E3669" s="13" t="str">
        <f>IFERROR(IF(AND(B3669&lt;&gt;"",C3669&lt;&gt;""),SUMIFS(Movimentos!$F$4:$F$9996,Movimentos!$D$4:$D$9996,B3669,Movimentos!$C$4:$C$9996,"Entrada")-SUMIFS(Movimentos!$F$4:$F$9996,Movimentos!$D$4:$D$9996,B3669,Movimentos!$C$4:$C$9996,"Saída"),""),"")</f>
        <v/>
      </c>
      <c r="F3669" s="10" t="str">
        <f t="shared" si="116"/>
        <v/>
      </c>
    </row>
    <row r="3670" spans="1:6" x14ac:dyDescent="0.3">
      <c r="A3670" s="15" t="str">
        <f t="shared" si="117"/>
        <v>.</v>
      </c>
      <c r="E3670" s="13" t="str">
        <f>IFERROR(IF(AND(B3670&lt;&gt;"",C3670&lt;&gt;""),SUMIFS(Movimentos!$F$4:$F$9996,Movimentos!$D$4:$D$9996,B3670,Movimentos!$C$4:$C$9996,"Entrada")-SUMIFS(Movimentos!$F$4:$F$9996,Movimentos!$D$4:$D$9996,B3670,Movimentos!$C$4:$C$9996,"Saída"),""),"")</f>
        <v/>
      </c>
      <c r="F3670" s="10" t="str">
        <f t="shared" si="116"/>
        <v/>
      </c>
    </row>
    <row r="3671" spans="1:6" x14ac:dyDescent="0.3">
      <c r="A3671" s="15" t="str">
        <f t="shared" si="117"/>
        <v>.</v>
      </c>
      <c r="E3671" s="13" t="str">
        <f>IFERROR(IF(AND(B3671&lt;&gt;"",C3671&lt;&gt;""),SUMIFS(Movimentos!$F$4:$F$9996,Movimentos!$D$4:$D$9996,B3671,Movimentos!$C$4:$C$9996,"Entrada")-SUMIFS(Movimentos!$F$4:$F$9996,Movimentos!$D$4:$D$9996,B3671,Movimentos!$C$4:$C$9996,"Saída"),""),"")</f>
        <v/>
      </c>
      <c r="F3671" s="10" t="str">
        <f t="shared" ref="F3671:F3734" si="118">IF(AND(B3671&lt;&gt;"",C3671&lt;&gt;""),IF(E3671=0,"Saldo zerado",IF(E3671&lt;D3671,"Saldo abaixo do mínimo","Saldo disponível")),"")</f>
        <v/>
      </c>
    </row>
    <row r="3672" spans="1:6" x14ac:dyDescent="0.3">
      <c r="A3672" s="15" t="str">
        <f t="shared" si="117"/>
        <v>.</v>
      </c>
      <c r="E3672" s="13" t="str">
        <f>IFERROR(IF(AND(B3672&lt;&gt;"",C3672&lt;&gt;""),SUMIFS(Movimentos!$F$4:$F$9996,Movimentos!$D$4:$D$9996,B3672,Movimentos!$C$4:$C$9996,"Entrada")-SUMIFS(Movimentos!$F$4:$F$9996,Movimentos!$D$4:$D$9996,B3672,Movimentos!$C$4:$C$9996,"Saída"),""),"")</f>
        <v/>
      </c>
      <c r="F3672" s="10" t="str">
        <f t="shared" si="118"/>
        <v/>
      </c>
    </row>
    <row r="3673" spans="1:6" x14ac:dyDescent="0.3">
      <c r="A3673" s="15" t="str">
        <f t="shared" si="117"/>
        <v>.</v>
      </c>
      <c r="E3673" s="13" t="str">
        <f>IFERROR(IF(AND(B3673&lt;&gt;"",C3673&lt;&gt;""),SUMIFS(Movimentos!$F$4:$F$9996,Movimentos!$D$4:$D$9996,B3673,Movimentos!$C$4:$C$9996,"Entrada")-SUMIFS(Movimentos!$F$4:$F$9996,Movimentos!$D$4:$D$9996,B3673,Movimentos!$C$4:$C$9996,"Saída"),""),"")</f>
        <v/>
      </c>
      <c r="F3673" s="10" t="str">
        <f t="shared" si="118"/>
        <v/>
      </c>
    </row>
    <row r="3674" spans="1:6" x14ac:dyDescent="0.3">
      <c r="A3674" s="15" t="str">
        <f t="shared" si="117"/>
        <v>.</v>
      </c>
      <c r="E3674" s="13" t="str">
        <f>IFERROR(IF(AND(B3674&lt;&gt;"",C3674&lt;&gt;""),SUMIFS(Movimentos!$F$4:$F$9996,Movimentos!$D$4:$D$9996,B3674,Movimentos!$C$4:$C$9996,"Entrada")-SUMIFS(Movimentos!$F$4:$F$9996,Movimentos!$D$4:$D$9996,B3674,Movimentos!$C$4:$C$9996,"Saída"),""),"")</f>
        <v/>
      </c>
      <c r="F3674" s="10" t="str">
        <f t="shared" si="118"/>
        <v/>
      </c>
    </row>
    <row r="3675" spans="1:6" x14ac:dyDescent="0.3">
      <c r="A3675" s="15" t="str">
        <f t="shared" si="117"/>
        <v>.</v>
      </c>
      <c r="E3675" s="13" t="str">
        <f>IFERROR(IF(AND(B3675&lt;&gt;"",C3675&lt;&gt;""),SUMIFS(Movimentos!$F$4:$F$9996,Movimentos!$D$4:$D$9996,B3675,Movimentos!$C$4:$C$9996,"Entrada")-SUMIFS(Movimentos!$F$4:$F$9996,Movimentos!$D$4:$D$9996,B3675,Movimentos!$C$4:$C$9996,"Saída"),""),"")</f>
        <v/>
      </c>
      <c r="F3675" s="10" t="str">
        <f t="shared" si="118"/>
        <v/>
      </c>
    </row>
    <row r="3676" spans="1:6" x14ac:dyDescent="0.3">
      <c r="A3676" s="15" t="str">
        <f t="shared" si="117"/>
        <v>.</v>
      </c>
      <c r="E3676" s="13" t="str">
        <f>IFERROR(IF(AND(B3676&lt;&gt;"",C3676&lt;&gt;""),SUMIFS(Movimentos!$F$4:$F$9996,Movimentos!$D$4:$D$9996,B3676,Movimentos!$C$4:$C$9996,"Entrada")-SUMIFS(Movimentos!$F$4:$F$9996,Movimentos!$D$4:$D$9996,B3676,Movimentos!$C$4:$C$9996,"Saída"),""),"")</f>
        <v/>
      </c>
      <c r="F3676" s="10" t="str">
        <f t="shared" si="118"/>
        <v/>
      </c>
    </row>
    <row r="3677" spans="1:6" x14ac:dyDescent="0.3">
      <c r="A3677" s="15" t="str">
        <f t="shared" si="117"/>
        <v>.</v>
      </c>
      <c r="E3677" s="13" t="str">
        <f>IFERROR(IF(AND(B3677&lt;&gt;"",C3677&lt;&gt;""),SUMIFS(Movimentos!$F$4:$F$9996,Movimentos!$D$4:$D$9996,B3677,Movimentos!$C$4:$C$9996,"Entrada")-SUMIFS(Movimentos!$F$4:$F$9996,Movimentos!$D$4:$D$9996,B3677,Movimentos!$C$4:$C$9996,"Saída"),""),"")</f>
        <v/>
      </c>
      <c r="F3677" s="10" t="str">
        <f t="shared" si="118"/>
        <v/>
      </c>
    </row>
    <row r="3678" spans="1:6" x14ac:dyDescent="0.3">
      <c r="A3678" s="15" t="str">
        <f t="shared" si="117"/>
        <v>.</v>
      </c>
      <c r="E3678" s="13" t="str">
        <f>IFERROR(IF(AND(B3678&lt;&gt;"",C3678&lt;&gt;""),SUMIFS(Movimentos!$F$4:$F$9996,Movimentos!$D$4:$D$9996,B3678,Movimentos!$C$4:$C$9996,"Entrada")-SUMIFS(Movimentos!$F$4:$F$9996,Movimentos!$D$4:$D$9996,B3678,Movimentos!$C$4:$C$9996,"Saída"),""),"")</f>
        <v/>
      </c>
      <c r="F3678" s="10" t="str">
        <f t="shared" si="118"/>
        <v/>
      </c>
    </row>
    <row r="3679" spans="1:6" x14ac:dyDescent="0.3">
      <c r="A3679" s="15" t="str">
        <f t="shared" si="117"/>
        <v>.</v>
      </c>
      <c r="E3679" s="13" t="str">
        <f>IFERROR(IF(AND(B3679&lt;&gt;"",C3679&lt;&gt;""),SUMIFS(Movimentos!$F$4:$F$9996,Movimentos!$D$4:$D$9996,B3679,Movimentos!$C$4:$C$9996,"Entrada")-SUMIFS(Movimentos!$F$4:$F$9996,Movimentos!$D$4:$D$9996,B3679,Movimentos!$C$4:$C$9996,"Saída"),""),"")</f>
        <v/>
      </c>
      <c r="F3679" s="10" t="str">
        <f t="shared" si="118"/>
        <v/>
      </c>
    </row>
    <row r="3680" spans="1:6" x14ac:dyDescent="0.3">
      <c r="A3680" s="15" t="str">
        <f t="shared" si="117"/>
        <v>.</v>
      </c>
      <c r="E3680" s="13" t="str">
        <f>IFERROR(IF(AND(B3680&lt;&gt;"",C3680&lt;&gt;""),SUMIFS(Movimentos!$F$4:$F$9996,Movimentos!$D$4:$D$9996,B3680,Movimentos!$C$4:$C$9996,"Entrada")-SUMIFS(Movimentos!$F$4:$F$9996,Movimentos!$D$4:$D$9996,B3680,Movimentos!$C$4:$C$9996,"Saída"),""),"")</f>
        <v/>
      </c>
      <c r="F3680" s="10" t="str">
        <f t="shared" si="118"/>
        <v/>
      </c>
    </row>
    <row r="3681" spans="1:6" x14ac:dyDescent="0.3">
      <c r="A3681" s="15" t="str">
        <f t="shared" si="117"/>
        <v>.</v>
      </c>
      <c r="E3681" s="13" t="str">
        <f>IFERROR(IF(AND(B3681&lt;&gt;"",C3681&lt;&gt;""),SUMIFS(Movimentos!$F$4:$F$9996,Movimentos!$D$4:$D$9996,B3681,Movimentos!$C$4:$C$9996,"Entrada")-SUMIFS(Movimentos!$F$4:$F$9996,Movimentos!$D$4:$D$9996,B3681,Movimentos!$C$4:$C$9996,"Saída"),""),"")</f>
        <v/>
      </c>
      <c r="F3681" s="10" t="str">
        <f t="shared" si="118"/>
        <v/>
      </c>
    </row>
    <row r="3682" spans="1:6" x14ac:dyDescent="0.3">
      <c r="A3682" s="15" t="str">
        <f t="shared" si="117"/>
        <v>.</v>
      </c>
      <c r="E3682" s="13" t="str">
        <f>IFERROR(IF(AND(B3682&lt;&gt;"",C3682&lt;&gt;""),SUMIFS(Movimentos!$F$4:$F$9996,Movimentos!$D$4:$D$9996,B3682,Movimentos!$C$4:$C$9996,"Entrada")-SUMIFS(Movimentos!$F$4:$F$9996,Movimentos!$D$4:$D$9996,B3682,Movimentos!$C$4:$C$9996,"Saída"),""),"")</f>
        <v/>
      </c>
      <c r="F3682" s="10" t="str">
        <f t="shared" si="118"/>
        <v/>
      </c>
    </row>
    <row r="3683" spans="1:6" x14ac:dyDescent="0.3">
      <c r="A3683" s="15" t="str">
        <f t="shared" si="117"/>
        <v>.</v>
      </c>
      <c r="E3683" s="13" t="str">
        <f>IFERROR(IF(AND(B3683&lt;&gt;"",C3683&lt;&gt;""),SUMIFS(Movimentos!$F$4:$F$9996,Movimentos!$D$4:$D$9996,B3683,Movimentos!$C$4:$C$9996,"Entrada")-SUMIFS(Movimentos!$F$4:$F$9996,Movimentos!$D$4:$D$9996,B3683,Movimentos!$C$4:$C$9996,"Saída"),""),"")</f>
        <v/>
      </c>
      <c r="F3683" s="10" t="str">
        <f t="shared" si="118"/>
        <v/>
      </c>
    </row>
    <row r="3684" spans="1:6" x14ac:dyDescent="0.3">
      <c r="A3684" s="15" t="str">
        <f t="shared" si="117"/>
        <v>.</v>
      </c>
      <c r="E3684" s="13" t="str">
        <f>IFERROR(IF(AND(B3684&lt;&gt;"",C3684&lt;&gt;""),SUMIFS(Movimentos!$F$4:$F$9996,Movimentos!$D$4:$D$9996,B3684,Movimentos!$C$4:$C$9996,"Entrada")-SUMIFS(Movimentos!$F$4:$F$9996,Movimentos!$D$4:$D$9996,B3684,Movimentos!$C$4:$C$9996,"Saída"),""),"")</f>
        <v/>
      </c>
      <c r="F3684" s="10" t="str">
        <f t="shared" si="118"/>
        <v/>
      </c>
    </row>
    <row r="3685" spans="1:6" x14ac:dyDescent="0.3">
      <c r="A3685" s="15" t="str">
        <f t="shared" si="117"/>
        <v>.</v>
      </c>
      <c r="E3685" s="13" t="str">
        <f>IFERROR(IF(AND(B3685&lt;&gt;"",C3685&lt;&gt;""),SUMIFS(Movimentos!$F$4:$F$9996,Movimentos!$D$4:$D$9996,B3685,Movimentos!$C$4:$C$9996,"Entrada")-SUMIFS(Movimentos!$F$4:$F$9996,Movimentos!$D$4:$D$9996,B3685,Movimentos!$C$4:$C$9996,"Saída"),""),"")</f>
        <v/>
      </c>
      <c r="F3685" s="10" t="str">
        <f t="shared" si="118"/>
        <v/>
      </c>
    </row>
    <row r="3686" spans="1:6" x14ac:dyDescent="0.3">
      <c r="A3686" s="15" t="str">
        <f t="shared" si="117"/>
        <v>.</v>
      </c>
      <c r="E3686" s="13" t="str">
        <f>IFERROR(IF(AND(B3686&lt;&gt;"",C3686&lt;&gt;""),SUMIFS(Movimentos!$F$4:$F$9996,Movimentos!$D$4:$D$9996,B3686,Movimentos!$C$4:$C$9996,"Entrada")-SUMIFS(Movimentos!$F$4:$F$9996,Movimentos!$D$4:$D$9996,B3686,Movimentos!$C$4:$C$9996,"Saída"),""),"")</f>
        <v/>
      </c>
      <c r="F3686" s="10" t="str">
        <f t="shared" si="118"/>
        <v/>
      </c>
    </row>
    <row r="3687" spans="1:6" x14ac:dyDescent="0.3">
      <c r="A3687" s="15" t="str">
        <f t="shared" si="117"/>
        <v>.</v>
      </c>
      <c r="E3687" s="13" t="str">
        <f>IFERROR(IF(AND(B3687&lt;&gt;"",C3687&lt;&gt;""),SUMIFS(Movimentos!$F$4:$F$9996,Movimentos!$D$4:$D$9996,B3687,Movimentos!$C$4:$C$9996,"Entrada")-SUMIFS(Movimentos!$F$4:$F$9996,Movimentos!$D$4:$D$9996,B3687,Movimentos!$C$4:$C$9996,"Saída"),""),"")</f>
        <v/>
      </c>
      <c r="F3687" s="10" t="str">
        <f t="shared" si="118"/>
        <v/>
      </c>
    </row>
    <row r="3688" spans="1:6" x14ac:dyDescent="0.3">
      <c r="A3688" s="15" t="str">
        <f t="shared" si="117"/>
        <v>.</v>
      </c>
      <c r="E3688" s="13" t="str">
        <f>IFERROR(IF(AND(B3688&lt;&gt;"",C3688&lt;&gt;""),SUMIFS(Movimentos!$F$4:$F$9996,Movimentos!$D$4:$D$9996,B3688,Movimentos!$C$4:$C$9996,"Entrada")-SUMIFS(Movimentos!$F$4:$F$9996,Movimentos!$D$4:$D$9996,B3688,Movimentos!$C$4:$C$9996,"Saída"),""),"")</f>
        <v/>
      </c>
      <c r="F3688" s="10" t="str">
        <f t="shared" si="118"/>
        <v/>
      </c>
    </row>
    <row r="3689" spans="1:6" x14ac:dyDescent="0.3">
      <c r="A3689" s="15" t="str">
        <f t="shared" si="117"/>
        <v>.</v>
      </c>
      <c r="E3689" s="13" t="str">
        <f>IFERROR(IF(AND(B3689&lt;&gt;"",C3689&lt;&gt;""),SUMIFS(Movimentos!$F$4:$F$9996,Movimentos!$D$4:$D$9996,B3689,Movimentos!$C$4:$C$9996,"Entrada")-SUMIFS(Movimentos!$F$4:$F$9996,Movimentos!$D$4:$D$9996,B3689,Movimentos!$C$4:$C$9996,"Saída"),""),"")</f>
        <v/>
      </c>
      <c r="F3689" s="10" t="str">
        <f t="shared" si="118"/>
        <v/>
      </c>
    </row>
    <row r="3690" spans="1:6" x14ac:dyDescent="0.3">
      <c r="A3690" s="15" t="str">
        <f t="shared" si="117"/>
        <v>.</v>
      </c>
      <c r="E3690" s="13" t="str">
        <f>IFERROR(IF(AND(B3690&lt;&gt;"",C3690&lt;&gt;""),SUMIFS(Movimentos!$F$4:$F$9996,Movimentos!$D$4:$D$9996,B3690,Movimentos!$C$4:$C$9996,"Entrada")-SUMIFS(Movimentos!$F$4:$F$9996,Movimentos!$D$4:$D$9996,B3690,Movimentos!$C$4:$C$9996,"Saída"),""),"")</f>
        <v/>
      </c>
      <c r="F3690" s="10" t="str">
        <f t="shared" si="118"/>
        <v/>
      </c>
    </row>
    <row r="3691" spans="1:6" x14ac:dyDescent="0.3">
      <c r="A3691" s="15" t="str">
        <f t="shared" si="117"/>
        <v>.</v>
      </c>
      <c r="E3691" s="13" t="str">
        <f>IFERROR(IF(AND(B3691&lt;&gt;"",C3691&lt;&gt;""),SUMIFS(Movimentos!$F$4:$F$9996,Movimentos!$D$4:$D$9996,B3691,Movimentos!$C$4:$C$9996,"Entrada")-SUMIFS(Movimentos!$F$4:$F$9996,Movimentos!$D$4:$D$9996,B3691,Movimentos!$C$4:$C$9996,"Saída"),""),"")</f>
        <v/>
      </c>
      <c r="F3691" s="10" t="str">
        <f t="shared" si="118"/>
        <v/>
      </c>
    </row>
    <row r="3692" spans="1:6" x14ac:dyDescent="0.3">
      <c r="A3692" s="15" t="str">
        <f t="shared" si="117"/>
        <v>.</v>
      </c>
      <c r="E3692" s="13" t="str">
        <f>IFERROR(IF(AND(B3692&lt;&gt;"",C3692&lt;&gt;""),SUMIFS(Movimentos!$F$4:$F$9996,Movimentos!$D$4:$D$9996,B3692,Movimentos!$C$4:$C$9996,"Entrada")-SUMIFS(Movimentos!$F$4:$F$9996,Movimentos!$D$4:$D$9996,B3692,Movimentos!$C$4:$C$9996,"Saída"),""),"")</f>
        <v/>
      </c>
      <c r="F3692" s="10" t="str">
        <f t="shared" si="118"/>
        <v/>
      </c>
    </row>
    <row r="3693" spans="1:6" x14ac:dyDescent="0.3">
      <c r="A3693" s="15" t="str">
        <f t="shared" si="117"/>
        <v>.</v>
      </c>
      <c r="E3693" s="13" t="str">
        <f>IFERROR(IF(AND(B3693&lt;&gt;"",C3693&lt;&gt;""),SUMIFS(Movimentos!$F$4:$F$9996,Movimentos!$D$4:$D$9996,B3693,Movimentos!$C$4:$C$9996,"Entrada")-SUMIFS(Movimentos!$F$4:$F$9996,Movimentos!$D$4:$D$9996,B3693,Movimentos!$C$4:$C$9996,"Saída"),""),"")</f>
        <v/>
      </c>
      <c r="F3693" s="10" t="str">
        <f t="shared" si="118"/>
        <v/>
      </c>
    </row>
    <row r="3694" spans="1:6" x14ac:dyDescent="0.3">
      <c r="A3694" s="15" t="str">
        <f t="shared" si="117"/>
        <v>.</v>
      </c>
      <c r="E3694" s="13" t="str">
        <f>IFERROR(IF(AND(B3694&lt;&gt;"",C3694&lt;&gt;""),SUMIFS(Movimentos!$F$4:$F$9996,Movimentos!$D$4:$D$9996,B3694,Movimentos!$C$4:$C$9996,"Entrada")-SUMIFS(Movimentos!$F$4:$F$9996,Movimentos!$D$4:$D$9996,B3694,Movimentos!$C$4:$C$9996,"Saída"),""),"")</f>
        <v/>
      </c>
      <c r="F3694" s="10" t="str">
        <f t="shared" si="118"/>
        <v/>
      </c>
    </row>
    <row r="3695" spans="1:6" x14ac:dyDescent="0.3">
      <c r="A3695" s="15" t="str">
        <f t="shared" si="117"/>
        <v>.</v>
      </c>
      <c r="E3695" s="13" t="str">
        <f>IFERROR(IF(AND(B3695&lt;&gt;"",C3695&lt;&gt;""),SUMIFS(Movimentos!$F$4:$F$9996,Movimentos!$D$4:$D$9996,B3695,Movimentos!$C$4:$C$9996,"Entrada")-SUMIFS(Movimentos!$F$4:$F$9996,Movimentos!$D$4:$D$9996,B3695,Movimentos!$C$4:$C$9996,"Saída"),""),"")</f>
        <v/>
      </c>
      <c r="F3695" s="10" t="str">
        <f t="shared" si="118"/>
        <v/>
      </c>
    </row>
    <row r="3696" spans="1:6" x14ac:dyDescent="0.3">
      <c r="A3696" s="15" t="str">
        <f t="shared" si="117"/>
        <v>.</v>
      </c>
      <c r="E3696" s="13" t="str">
        <f>IFERROR(IF(AND(B3696&lt;&gt;"",C3696&lt;&gt;""),SUMIFS(Movimentos!$F$4:$F$9996,Movimentos!$D$4:$D$9996,B3696,Movimentos!$C$4:$C$9996,"Entrada")-SUMIFS(Movimentos!$F$4:$F$9996,Movimentos!$D$4:$D$9996,B3696,Movimentos!$C$4:$C$9996,"Saída"),""),"")</f>
        <v/>
      </c>
      <c r="F3696" s="10" t="str">
        <f t="shared" si="118"/>
        <v/>
      </c>
    </row>
    <row r="3697" spans="1:6" x14ac:dyDescent="0.3">
      <c r="A3697" s="15" t="str">
        <f t="shared" si="117"/>
        <v>.</v>
      </c>
      <c r="E3697" s="13" t="str">
        <f>IFERROR(IF(AND(B3697&lt;&gt;"",C3697&lt;&gt;""),SUMIFS(Movimentos!$F$4:$F$9996,Movimentos!$D$4:$D$9996,B3697,Movimentos!$C$4:$C$9996,"Entrada")-SUMIFS(Movimentos!$F$4:$F$9996,Movimentos!$D$4:$D$9996,B3697,Movimentos!$C$4:$C$9996,"Saída"),""),"")</f>
        <v/>
      </c>
      <c r="F3697" s="10" t="str">
        <f t="shared" si="118"/>
        <v/>
      </c>
    </row>
    <row r="3698" spans="1:6" x14ac:dyDescent="0.3">
      <c r="A3698" s="15" t="str">
        <f t="shared" si="117"/>
        <v>.</v>
      </c>
      <c r="E3698" s="13" t="str">
        <f>IFERROR(IF(AND(B3698&lt;&gt;"",C3698&lt;&gt;""),SUMIFS(Movimentos!$F$4:$F$9996,Movimentos!$D$4:$D$9996,B3698,Movimentos!$C$4:$C$9996,"Entrada")-SUMIFS(Movimentos!$F$4:$F$9996,Movimentos!$D$4:$D$9996,B3698,Movimentos!$C$4:$C$9996,"Saída"),""),"")</f>
        <v/>
      </c>
      <c r="F3698" s="10" t="str">
        <f t="shared" si="118"/>
        <v/>
      </c>
    </row>
    <row r="3699" spans="1:6" x14ac:dyDescent="0.3">
      <c r="A3699" s="15" t="str">
        <f t="shared" si="117"/>
        <v>.</v>
      </c>
      <c r="E3699" s="13" t="str">
        <f>IFERROR(IF(AND(B3699&lt;&gt;"",C3699&lt;&gt;""),SUMIFS(Movimentos!$F$4:$F$9996,Movimentos!$D$4:$D$9996,B3699,Movimentos!$C$4:$C$9996,"Entrada")-SUMIFS(Movimentos!$F$4:$F$9996,Movimentos!$D$4:$D$9996,B3699,Movimentos!$C$4:$C$9996,"Saída"),""),"")</f>
        <v/>
      </c>
      <c r="F3699" s="10" t="str">
        <f t="shared" si="118"/>
        <v/>
      </c>
    </row>
    <row r="3700" spans="1:6" x14ac:dyDescent="0.3">
      <c r="A3700" s="15" t="str">
        <f t="shared" si="117"/>
        <v>.</v>
      </c>
      <c r="E3700" s="13" t="str">
        <f>IFERROR(IF(AND(B3700&lt;&gt;"",C3700&lt;&gt;""),SUMIFS(Movimentos!$F$4:$F$9996,Movimentos!$D$4:$D$9996,B3700,Movimentos!$C$4:$C$9996,"Entrada")-SUMIFS(Movimentos!$F$4:$F$9996,Movimentos!$D$4:$D$9996,B3700,Movimentos!$C$4:$C$9996,"Saída"),""),"")</f>
        <v/>
      </c>
      <c r="F3700" s="10" t="str">
        <f t="shared" si="118"/>
        <v/>
      </c>
    </row>
    <row r="3701" spans="1:6" x14ac:dyDescent="0.3">
      <c r="A3701" s="15" t="str">
        <f t="shared" si="117"/>
        <v>.</v>
      </c>
      <c r="E3701" s="13" t="str">
        <f>IFERROR(IF(AND(B3701&lt;&gt;"",C3701&lt;&gt;""),SUMIFS(Movimentos!$F$4:$F$9996,Movimentos!$D$4:$D$9996,B3701,Movimentos!$C$4:$C$9996,"Entrada")-SUMIFS(Movimentos!$F$4:$F$9996,Movimentos!$D$4:$D$9996,B3701,Movimentos!$C$4:$C$9996,"Saída"),""),"")</f>
        <v/>
      </c>
      <c r="F3701" s="10" t="str">
        <f t="shared" si="118"/>
        <v/>
      </c>
    </row>
    <row r="3702" spans="1:6" x14ac:dyDescent="0.3">
      <c r="A3702" s="15" t="str">
        <f t="shared" si="117"/>
        <v>.</v>
      </c>
      <c r="E3702" s="13" t="str">
        <f>IFERROR(IF(AND(B3702&lt;&gt;"",C3702&lt;&gt;""),SUMIFS(Movimentos!$F$4:$F$9996,Movimentos!$D$4:$D$9996,B3702,Movimentos!$C$4:$C$9996,"Entrada")-SUMIFS(Movimentos!$F$4:$F$9996,Movimentos!$D$4:$D$9996,B3702,Movimentos!$C$4:$C$9996,"Saída"),""),"")</f>
        <v/>
      </c>
      <c r="F3702" s="10" t="str">
        <f t="shared" si="118"/>
        <v/>
      </c>
    </row>
    <row r="3703" spans="1:6" x14ac:dyDescent="0.3">
      <c r="A3703" s="15" t="str">
        <f t="shared" si="117"/>
        <v>.</v>
      </c>
      <c r="E3703" s="13" t="str">
        <f>IFERROR(IF(AND(B3703&lt;&gt;"",C3703&lt;&gt;""),SUMIFS(Movimentos!$F$4:$F$9996,Movimentos!$D$4:$D$9996,B3703,Movimentos!$C$4:$C$9996,"Entrada")-SUMIFS(Movimentos!$F$4:$F$9996,Movimentos!$D$4:$D$9996,B3703,Movimentos!$C$4:$C$9996,"Saída"),""),"")</f>
        <v/>
      </c>
      <c r="F3703" s="10" t="str">
        <f t="shared" si="118"/>
        <v/>
      </c>
    </row>
    <row r="3704" spans="1:6" x14ac:dyDescent="0.3">
      <c r="A3704" s="15" t="str">
        <f t="shared" si="117"/>
        <v>.</v>
      </c>
      <c r="E3704" s="13" t="str">
        <f>IFERROR(IF(AND(B3704&lt;&gt;"",C3704&lt;&gt;""),SUMIFS(Movimentos!$F$4:$F$9996,Movimentos!$D$4:$D$9996,B3704,Movimentos!$C$4:$C$9996,"Entrada")-SUMIFS(Movimentos!$F$4:$F$9996,Movimentos!$D$4:$D$9996,B3704,Movimentos!$C$4:$C$9996,"Saída"),""),"")</f>
        <v/>
      </c>
      <c r="F3704" s="10" t="str">
        <f t="shared" si="118"/>
        <v/>
      </c>
    </row>
    <row r="3705" spans="1:6" x14ac:dyDescent="0.3">
      <c r="A3705" s="15" t="str">
        <f t="shared" si="117"/>
        <v>.</v>
      </c>
      <c r="E3705" s="13" t="str">
        <f>IFERROR(IF(AND(B3705&lt;&gt;"",C3705&lt;&gt;""),SUMIFS(Movimentos!$F$4:$F$9996,Movimentos!$D$4:$D$9996,B3705,Movimentos!$C$4:$C$9996,"Entrada")-SUMIFS(Movimentos!$F$4:$F$9996,Movimentos!$D$4:$D$9996,B3705,Movimentos!$C$4:$C$9996,"Saída"),""),"")</f>
        <v/>
      </c>
      <c r="F3705" s="10" t="str">
        <f t="shared" si="118"/>
        <v/>
      </c>
    </row>
    <row r="3706" spans="1:6" x14ac:dyDescent="0.3">
      <c r="A3706" s="15" t="str">
        <f t="shared" si="117"/>
        <v>.</v>
      </c>
      <c r="E3706" s="13" t="str">
        <f>IFERROR(IF(AND(B3706&lt;&gt;"",C3706&lt;&gt;""),SUMIFS(Movimentos!$F$4:$F$9996,Movimentos!$D$4:$D$9996,B3706,Movimentos!$C$4:$C$9996,"Entrada")-SUMIFS(Movimentos!$F$4:$F$9996,Movimentos!$D$4:$D$9996,B3706,Movimentos!$C$4:$C$9996,"Saída"),""),"")</f>
        <v/>
      </c>
      <c r="F3706" s="10" t="str">
        <f t="shared" si="118"/>
        <v/>
      </c>
    </row>
    <row r="3707" spans="1:6" x14ac:dyDescent="0.3">
      <c r="A3707" s="15" t="str">
        <f t="shared" si="117"/>
        <v>.</v>
      </c>
      <c r="E3707" s="13" t="str">
        <f>IFERROR(IF(AND(B3707&lt;&gt;"",C3707&lt;&gt;""),SUMIFS(Movimentos!$F$4:$F$9996,Movimentos!$D$4:$D$9996,B3707,Movimentos!$C$4:$C$9996,"Entrada")-SUMIFS(Movimentos!$F$4:$F$9996,Movimentos!$D$4:$D$9996,B3707,Movimentos!$C$4:$C$9996,"Saída"),""),"")</f>
        <v/>
      </c>
      <c r="F3707" s="10" t="str">
        <f t="shared" si="118"/>
        <v/>
      </c>
    </row>
    <row r="3708" spans="1:6" x14ac:dyDescent="0.3">
      <c r="A3708" s="15" t="str">
        <f t="shared" si="117"/>
        <v>.</v>
      </c>
      <c r="E3708" s="13" t="str">
        <f>IFERROR(IF(AND(B3708&lt;&gt;"",C3708&lt;&gt;""),SUMIFS(Movimentos!$F$4:$F$9996,Movimentos!$D$4:$D$9996,B3708,Movimentos!$C$4:$C$9996,"Entrada")-SUMIFS(Movimentos!$F$4:$F$9996,Movimentos!$D$4:$D$9996,B3708,Movimentos!$C$4:$C$9996,"Saída"),""),"")</f>
        <v/>
      </c>
      <c r="F3708" s="10" t="str">
        <f t="shared" si="118"/>
        <v/>
      </c>
    </row>
    <row r="3709" spans="1:6" x14ac:dyDescent="0.3">
      <c r="A3709" s="15" t="str">
        <f t="shared" si="117"/>
        <v>.</v>
      </c>
      <c r="E3709" s="13" t="str">
        <f>IFERROR(IF(AND(B3709&lt;&gt;"",C3709&lt;&gt;""),SUMIFS(Movimentos!$F$4:$F$9996,Movimentos!$D$4:$D$9996,B3709,Movimentos!$C$4:$C$9996,"Entrada")-SUMIFS(Movimentos!$F$4:$F$9996,Movimentos!$D$4:$D$9996,B3709,Movimentos!$C$4:$C$9996,"Saída"),""),"")</f>
        <v/>
      </c>
      <c r="F3709" s="10" t="str">
        <f t="shared" si="118"/>
        <v/>
      </c>
    </row>
    <row r="3710" spans="1:6" x14ac:dyDescent="0.3">
      <c r="A3710" s="15" t="str">
        <f t="shared" si="117"/>
        <v>.</v>
      </c>
      <c r="E3710" s="13" t="str">
        <f>IFERROR(IF(AND(B3710&lt;&gt;"",C3710&lt;&gt;""),SUMIFS(Movimentos!$F$4:$F$9996,Movimentos!$D$4:$D$9996,B3710,Movimentos!$C$4:$C$9996,"Entrada")-SUMIFS(Movimentos!$F$4:$F$9996,Movimentos!$D$4:$D$9996,B3710,Movimentos!$C$4:$C$9996,"Saída"),""),"")</f>
        <v/>
      </c>
      <c r="F3710" s="10" t="str">
        <f t="shared" si="118"/>
        <v/>
      </c>
    </row>
    <row r="3711" spans="1:6" x14ac:dyDescent="0.3">
      <c r="A3711" s="15" t="str">
        <f t="shared" si="117"/>
        <v>.</v>
      </c>
      <c r="E3711" s="13" t="str">
        <f>IFERROR(IF(AND(B3711&lt;&gt;"",C3711&lt;&gt;""),SUMIFS(Movimentos!$F$4:$F$9996,Movimentos!$D$4:$D$9996,B3711,Movimentos!$C$4:$C$9996,"Entrada")-SUMIFS(Movimentos!$F$4:$F$9996,Movimentos!$D$4:$D$9996,B3711,Movimentos!$C$4:$C$9996,"Saída"),""),"")</f>
        <v/>
      </c>
      <c r="F3711" s="10" t="str">
        <f t="shared" si="118"/>
        <v/>
      </c>
    </row>
    <row r="3712" spans="1:6" x14ac:dyDescent="0.3">
      <c r="A3712" s="15" t="str">
        <f t="shared" ref="A3712:A3775" si="119">IF(F3712="Saldo zerado",0,IF(F3712="Saldo abaixo do mínimo",1,IF(F3712="Saldo disponível",2,".")))</f>
        <v>.</v>
      </c>
      <c r="E3712" s="13" t="str">
        <f>IFERROR(IF(AND(B3712&lt;&gt;"",C3712&lt;&gt;""),SUMIFS(Movimentos!$F$4:$F$9996,Movimentos!$D$4:$D$9996,B3712,Movimentos!$C$4:$C$9996,"Entrada")-SUMIFS(Movimentos!$F$4:$F$9996,Movimentos!$D$4:$D$9996,B3712,Movimentos!$C$4:$C$9996,"Saída"),""),"")</f>
        <v/>
      </c>
      <c r="F3712" s="10" t="str">
        <f t="shared" si="118"/>
        <v/>
      </c>
    </row>
    <row r="3713" spans="1:6" x14ac:dyDescent="0.3">
      <c r="A3713" s="15" t="str">
        <f t="shared" si="119"/>
        <v>.</v>
      </c>
      <c r="E3713" s="13" t="str">
        <f>IFERROR(IF(AND(B3713&lt;&gt;"",C3713&lt;&gt;""),SUMIFS(Movimentos!$F$4:$F$9996,Movimentos!$D$4:$D$9996,B3713,Movimentos!$C$4:$C$9996,"Entrada")-SUMIFS(Movimentos!$F$4:$F$9996,Movimentos!$D$4:$D$9996,B3713,Movimentos!$C$4:$C$9996,"Saída"),""),"")</f>
        <v/>
      </c>
      <c r="F3713" s="10" t="str">
        <f t="shared" si="118"/>
        <v/>
      </c>
    </row>
    <row r="3714" spans="1:6" x14ac:dyDescent="0.3">
      <c r="A3714" s="15" t="str">
        <f t="shared" si="119"/>
        <v>.</v>
      </c>
      <c r="E3714" s="13" t="str">
        <f>IFERROR(IF(AND(B3714&lt;&gt;"",C3714&lt;&gt;""),SUMIFS(Movimentos!$F$4:$F$9996,Movimentos!$D$4:$D$9996,B3714,Movimentos!$C$4:$C$9996,"Entrada")-SUMIFS(Movimentos!$F$4:$F$9996,Movimentos!$D$4:$D$9996,B3714,Movimentos!$C$4:$C$9996,"Saída"),""),"")</f>
        <v/>
      </c>
      <c r="F3714" s="10" t="str">
        <f t="shared" si="118"/>
        <v/>
      </c>
    </row>
    <row r="3715" spans="1:6" x14ac:dyDescent="0.3">
      <c r="A3715" s="15" t="str">
        <f t="shared" si="119"/>
        <v>.</v>
      </c>
      <c r="E3715" s="13" t="str">
        <f>IFERROR(IF(AND(B3715&lt;&gt;"",C3715&lt;&gt;""),SUMIFS(Movimentos!$F$4:$F$9996,Movimentos!$D$4:$D$9996,B3715,Movimentos!$C$4:$C$9996,"Entrada")-SUMIFS(Movimentos!$F$4:$F$9996,Movimentos!$D$4:$D$9996,B3715,Movimentos!$C$4:$C$9996,"Saída"),""),"")</f>
        <v/>
      </c>
      <c r="F3715" s="10" t="str">
        <f t="shared" si="118"/>
        <v/>
      </c>
    </row>
    <row r="3716" spans="1:6" x14ac:dyDescent="0.3">
      <c r="A3716" s="15" t="str">
        <f t="shared" si="119"/>
        <v>.</v>
      </c>
      <c r="E3716" s="13" t="str">
        <f>IFERROR(IF(AND(B3716&lt;&gt;"",C3716&lt;&gt;""),SUMIFS(Movimentos!$F$4:$F$9996,Movimentos!$D$4:$D$9996,B3716,Movimentos!$C$4:$C$9996,"Entrada")-SUMIFS(Movimentos!$F$4:$F$9996,Movimentos!$D$4:$D$9996,B3716,Movimentos!$C$4:$C$9996,"Saída"),""),"")</f>
        <v/>
      </c>
      <c r="F3716" s="10" t="str">
        <f t="shared" si="118"/>
        <v/>
      </c>
    </row>
    <row r="3717" spans="1:6" x14ac:dyDescent="0.3">
      <c r="A3717" s="15" t="str">
        <f t="shared" si="119"/>
        <v>.</v>
      </c>
      <c r="E3717" s="13" t="str">
        <f>IFERROR(IF(AND(B3717&lt;&gt;"",C3717&lt;&gt;""),SUMIFS(Movimentos!$F$4:$F$9996,Movimentos!$D$4:$D$9996,B3717,Movimentos!$C$4:$C$9996,"Entrada")-SUMIFS(Movimentos!$F$4:$F$9996,Movimentos!$D$4:$D$9996,B3717,Movimentos!$C$4:$C$9996,"Saída"),""),"")</f>
        <v/>
      </c>
      <c r="F3717" s="10" t="str">
        <f t="shared" si="118"/>
        <v/>
      </c>
    </row>
    <row r="3718" spans="1:6" x14ac:dyDescent="0.3">
      <c r="A3718" s="15" t="str">
        <f t="shared" si="119"/>
        <v>.</v>
      </c>
      <c r="E3718" s="13" t="str">
        <f>IFERROR(IF(AND(B3718&lt;&gt;"",C3718&lt;&gt;""),SUMIFS(Movimentos!$F$4:$F$9996,Movimentos!$D$4:$D$9996,B3718,Movimentos!$C$4:$C$9996,"Entrada")-SUMIFS(Movimentos!$F$4:$F$9996,Movimentos!$D$4:$D$9996,B3718,Movimentos!$C$4:$C$9996,"Saída"),""),"")</f>
        <v/>
      </c>
      <c r="F3718" s="10" t="str">
        <f t="shared" si="118"/>
        <v/>
      </c>
    </row>
    <row r="3719" spans="1:6" x14ac:dyDescent="0.3">
      <c r="A3719" s="15" t="str">
        <f t="shared" si="119"/>
        <v>.</v>
      </c>
      <c r="E3719" s="13" t="str">
        <f>IFERROR(IF(AND(B3719&lt;&gt;"",C3719&lt;&gt;""),SUMIFS(Movimentos!$F$4:$F$9996,Movimentos!$D$4:$D$9996,B3719,Movimentos!$C$4:$C$9996,"Entrada")-SUMIFS(Movimentos!$F$4:$F$9996,Movimentos!$D$4:$D$9996,B3719,Movimentos!$C$4:$C$9996,"Saída"),""),"")</f>
        <v/>
      </c>
      <c r="F3719" s="10" t="str">
        <f t="shared" si="118"/>
        <v/>
      </c>
    </row>
    <row r="3720" spans="1:6" x14ac:dyDescent="0.3">
      <c r="A3720" s="15" t="str">
        <f t="shared" si="119"/>
        <v>.</v>
      </c>
      <c r="E3720" s="13" t="str">
        <f>IFERROR(IF(AND(B3720&lt;&gt;"",C3720&lt;&gt;""),SUMIFS(Movimentos!$F$4:$F$9996,Movimentos!$D$4:$D$9996,B3720,Movimentos!$C$4:$C$9996,"Entrada")-SUMIFS(Movimentos!$F$4:$F$9996,Movimentos!$D$4:$D$9996,B3720,Movimentos!$C$4:$C$9996,"Saída"),""),"")</f>
        <v/>
      </c>
      <c r="F3720" s="10" t="str">
        <f t="shared" si="118"/>
        <v/>
      </c>
    </row>
    <row r="3721" spans="1:6" x14ac:dyDescent="0.3">
      <c r="A3721" s="15" t="str">
        <f t="shared" si="119"/>
        <v>.</v>
      </c>
      <c r="E3721" s="13" t="str">
        <f>IFERROR(IF(AND(B3721&lt;&gt;"",C3721&lt;&gt;""),SUMIFS(Movimentos!$F$4:$F$9996,Movimentos!$D$4:$D$9996,B3721,Movimentos!$C$4:$C$9996,"Entrada")-SUMIFS(Movimentos!$F$4:$F$9996,Movimentos!$D$4:$D$9996,B3721,Movimentos!$C$4:$C$9996,"Saída"),""),"")</f>
        <v/>
      </c>
      <c r="F3721" s="10" t="str">
        <f t="shared" si="118"/>
        <v/>
      </c>
    </row>
    <row r="3722" spans="1:6" x14ac:dyDescent="0.3">
      <c r="A3722" s="15" t="str">
        <f t="shared" si="119"/>
        <v>.</v>
      </c>
      <c r="E3722" s="13" t="str">
        <f>IFERROR(IF(AND(B3722&lt;&gt;"",C3722&lt;&gt;""),SUMIFS(Movimentos!$F$4:$F$9996,Movimentos!$D$4:$D$9996,B3722,Movimentos!$C$4:$C$9996,"Entrada")-SUMIFS(Movimentos!$F$4:$F$9996,Movimentos!$D$4:$D$9996,B3722,Movimentos!$C$4:$C$9996,"Saída"),""),"")</f>
        <v/>
      </c>
      <c r="F3722" s="10" t="str">
        <f t="shared" si="118"/>
        <v/>
      </c>
    </row>
    <row r="3723" spans="1:6" x14ac:dyDescent="0.3">
      <c r="A3723" s="15" t="str">
        <f t="shared" si="119"/>
        <v>.</v>
      </c>
      <c r="E3723" s="13" t="str">
        <f>IFERROR(IF(AND(B3723&lt;&gt;"",C3723&lt;&gt;""),SUMIFS(Movimentos!$F$4:$F$9996,Movimentos!$D$4:$D$9996,B3723,Movimentos!$C$4:$C$9996,"Entrada")-SUMIFS(Movimentos!$F$4:$F$9996,Movimentos!$D$4:$D$9996,B3723,Movimentos!$C$4:$C$9996,"Saída"),""),"")</f>
        <v/>
      </c>
      <c r="F3723" s="10" t="str">
        <f t="shared" si="118"/>
        <v/>
      </c>
    </row>
    <row r="3724" spans="1:6" x14ac:dyDescent="0.3">
      <c r="A3724" s="15" t="str">
        <f t="shared" si="119"/>
        <v>.</v>
      </c>
      <c r="E3724" s="13" t="str">
        <f>IFERROR(IF(AND(B3724&lt;&gt;"",C3724&lt;&gt;""),SUMIFS(Movimentos!$F$4:$F$9996,Movimentos!$D$4:$D$9996,B3724,Movimentos!$C$4:$C$9996,"Entrada")-SUMIFS(Movimentos!$F$4:$F$9996,Movimentos!$D$4:$D$9996,B3724,Movimentos!$C$4:$C$9996,"Saída"),""),"")</f>
        <v/>
      </c>
      <c r="F3724" s="10" t="str">
        <f t="shared" si="118"/>
        <v/>
      </c>
    </row>
    <row r="3725" spans="1:6" x14ac:dyDescent="0.3">
      <c r="A3725" s="15" t="str">
        <f t="shared" si="119"/>
        <v>.</v>
      </c>
      <c r="E3725" s="13" t="str">
        <f>IFERROR(IF(AND(B3725&lt;&gt;"",C3725&lt;&gt;""),SUMIFS(Movimentos!$F$4:$F$9996,Movimentos!$D$4:$D$9996,B3725,Movimentos!$C$4:$C$9996,"Entrada")-SUMIFS(Movimentos!$F$4:$F$9996,Movimentos!$D$4:$D$9996,B3725,Movimentos!$C$4:$C$9996,"Saída"),""),"")</f>
        <v/>
      </c>
      <c r="F3725" s="10" t="str">
        <f t="shared" si="118"/>
        <v/>
      </c>
    </row>
    <row r="3726" spans="1:6" x14ac:dyDescent="0.3">
      <c r="A3726" s="15" t="str">
        <f t="shared" si="119"/>
        <v>.</v>
      </c>
      <c r="E3726" s="13" t="str">
        <f>IFERROR(IF(AND(B3726&lt;&gt;"",C3726&lt;&gt;""),SUMIFS(Movimentos!$F$4:$F$9996,Movimentos!$D$4:$D$9996,B3726,Movimentos!$C$4:$C$9996,"Entrada")-SUMIFS(Movimentos!$F$4:$F$9996,Movimentos!$D$4:$D$9996,B3726,Movimentos!$C$4:$C$9996,"Saída"),""),"")</f>
        <v/>
      </c>
      <c r="F3726" s="10" t="str">
        <f t="shared" si="118"/>
        <v/>
      </c>
    </row>
    <row r="3727" spans="1:6" x14ac:dyDescent="0.3">
      <c r="A3727" s="15" t="str">
        <f t="shared" si="119"/>
        <v>.</v>
      </c>
      <c r="E3727" s="13" t="str">
        <f>IFERROR(IF(AND(B3727&lt;&gt;"",C3727&lt;&gt;""),SUMIFS(Movimentos!$F$4:$F$9996,Movimentos!$D$4:$D$9996,B3727,Movimentos!$C$4:$C$9996,"Entrada")-SUMIFS(Movimentos!$F$4:$F$9996,Movimentos!$D$4:$D$9996,B3727,Movimentos!$C$4:$C$9996,"Saída"),""),"")</f>
        <v/>
      </c>
      <c r="F3727" s="10" t="str">
        <f t="shared" si="118"/>
        <v/>
      </c>
    </row>
    <row r="3728" spans="1:6" x14ac:dyDescent="0.3">
      <c r="A3728" s="15" t="str">
        <f t="shared" si="119"/>
        <v>.</v>
      </c>
      <c r="E3728" s="13" t="str">
        <f>IFERROR(IF(AND(B3728&lt;&gt;"",C3728&lt;&gt;""),SUMIFS(Movimentos!$F$4:$F$9996,Movimentos!$D$4:$D$9996,B3728,Movimentos!$C$4:$C$9996,"Entrada")-SUMIFS(Movimentos!$F$4:$F$9996,Movimentos!$D$4:$D$9996,B3728,Movimentos!$C$4:$C$9996,"Saída"),""),"")</f>
        <v/>
      </c>
      <c r="F3728" s="10" t="str">
        <f t="shared" si="118"/>
        <v/>
      </c>
    </row>
    <row r="3729" spans="1:6" x14ac:dyDescent="0.3">
      <c r="A3729" s="15" t="str">
        <f t="shared" si="119"/>
        <v>.</v>
      </c>
      <c r="E3729" s="13" t="str">
        <f>IFERROR(IF(AND(B3729&lt;&gt;"",C3729&lt;&gt;""),SUMIFS(Movimentos!$F$4:$F$9996,Movimentos!$D$4:$D$9996,B3729,Movimentos!$C$4:$C$9996,"Entrada")-SUMIFS(Movimentos!$F$4:$F$9996,Movimentos!$D$4:$D$9996,B3729,Movimentos!$C$4:$C$9996,"Saída"),""),"")</f>
        <v/>
      </c>
      <c r="F3729" s="10" t="str">
        <f t="shared" si="118"/>
        <v/>
      </c>
    </row>
    <row r="3730" spans="1:6" x14ac:dyDescent="0.3">
      <c r="A3730" s="15" t="str">
        <f t="shared" si="119"/>
        <v>.</v>
      </c>
      <c r="E3730" s="13" t="str">
        <f>IFERROR(IF(AND(B3730&lt;&gt;"",C3730&lt;&gt;""),SUMIFS(Movimentos!$F$4:$F$9996,Movimentos!$D$4:$D$9996,B3730,Movimentos!$C$4:$C$9996,"Entrada")-SUMIFS(Movimentos!$F$4:$F$9996,Movimentos!$D$4:$D$9996,B3730,Movimentos!$C$4:$C$9996,"Saída"),""),"")</f>
        <v/>
      </c>
      <c r="F3730" s="10" t="str">
        <f t="shared" si="118"/>
        <v/>
      </c>
    </row>
    <row r="3731" spans="1:6" x14ac:dyDescent="0.3">
      <c r="A3731" s="15" t="str">
        <f t="shared" si="119"/>
        <v>.</v>
      </c>
      <c r="E3731" s="13" t="str">
        <f>IFERROR(IF(AND(B3731&lt;&gt;"",C3731&lt;&gt;""),SUMIFS(Movimentos!$F$4:$F$9996,Movimentos!$D$4:$D$9996,B3731,Movimentos!$C$4:$C$9996,"Entrada")-SUMIFS(Movimentos!$F$4:$F$9996,Movimentos!$D$4:$D$9996,B3731,Movimentos!$C$4:$C$9996,"Saída"),""),"")</f>
        <v/>
      </c>
      <c r="F3731" s="10" t="str">
        <f t="shared" si="118"/>
        <v/>
      </c>
    </row>
    <row r="3732" spans="1:6" x14ac:dyDescent="0.3">
      <c r="A3732" s="15" t="str">
        <f t="shared" si="119"/>
        <v>.</v>
      </c>
      <c r="E3732" s="13" t="str">
        <f>IFERROR(IF(AND(B3732&lt;&gt;"",C3732&lt;&gt;""),SUMIFS(Movimentos!$F$4:$F$9996,Movimentos!$D$4:$D$9996,B3732,Movimentos!$C$4:$C$9996,"Entrada")-SUMIFS(Movimentos!$F$4:$F$9996,Movimentos!$D$4:$D$9996,B3732,Movimentos!$C$4:$C$9996,"Saída"),""),"")</f>
        <v/>
      </c>
      <c r="F3732" s="10" t="str">
        <f t="shared" si="118"/>
        <v/>
      </c>
    </row>
    <row r="3733" spans="1:6" x14ac:dyDescent="0.3">
      <c r="A3733" s="15" t="str">
        <f t="shared" si="119"/>
        <v>.</v>
      </c>
      <c r="E3733" s="13" t="str">
        <f>IFERROR(IF(AND(B3733&lt;&gt;"",C3733&lt;&gt;""),SUMIFS(Movimentos!$F$4:$F$9996,Movimentos!$D$4:$D$9996,B3733,Movimentos!$C$4:$C$9996,"Entrada")-SUMIFS(Movimentos!$F$4:$F$9996,Movimentos!$D$4:$D$9996,B3733,Movimentos!$C$4:$C$9996,"Saída"),""),"")</f>
        <v/>
      </c>
      <c r="F3733" s="10" t="str">
        <f t="shared" si="118"/>
        <v/>
      </c>
    </row>
    <row r="3734" spans="1:6" x14ac:dyDescent="0.3">
      <c r="A3734" s="15" t="str">
        <f t="shared" si="119"/>
        <v>.</v>
      </c>
      <c r="E3734" s="13" t="str">
        <f>IFERROR(IF(AND(B3734&lt;&gt;"",C3734&lt;&gt;""),SUMIFS(Movimentos!$F$4:$F$9996,Movimentos!$D$4:$D$9996,B3734,Movimentos!$C$4:$C$9996,"Entrada")-SUMIFS(Movimentos!$F$4:$F$9996,Movimentos!$D$4:$D$9996,B3734,Movimentos!$C$4:$C$9996,"Saída"),""),"")</f>
        <v/>
      </c>
      <c r="F3734" s="10" t="str">
        <f t="shared" si="118"/>
        <v/>
      </c>
    </row>
    <row r="3735" spans="1:6" x14ac:dyDescent="0.3">
      <c r="A3735" s="15" t="str">
        <f t="shared" si="119"/>
        <v>.</v>
      </c>
      <c r="E3735" s="13" t="str">
        <f>IFERROR(IF(AND(B3735&lt;&gt;"",C3735&lt;&gt;""),SUMIFS(Movimentos!$F$4:$F$9996,Movimentos!$D$4:$D$9996,B3735,Movimentos!$C$4:$C$9996,"Entrada")-SUMIFS(Movimentos!$F$4:$F$9996,Movimentos!$D$4:$D$9996,B3735,Movimentos!$C$4:$C$9996,"Saída"),""),"")</f>
        <v/>
      </c>
      <c r="F3735" s="10" t="str">
        <f t="shared" ref="F3735:F3798" si="120">IF(AND(B3735&lt;&gt;"",C3735&lt;&gt;""),IF(E3735=0,"Saldo zerado",IF(E3735&lt;D3735,"Saldo abaixo do mínimo","Saldo disponível")),"")</f>
        <v/>
      </c>
    </row>
    <row r="3736" spans="1:6" x14ac:dyDescent="0.3">
      <c r="A3736" s="15" t="str">
        <f t="shared" si="119"/>
        <v>.</v>
      </c>
      <c r="E3736" s="13" t="str">
        <f>IFERROR(IF(AND(B3736&lt;&gt;"",C3736&lt;&gt;""),SUMIFS(Movimentos!$F$4:$F$9996,Movimentos!$D$4:$D$9996,B3736,Movimentos!$C$4:$C$9996,"Entrada")-SUMIFS(Movimentos!$F$4:$F$9996,Movimentos!$D$4:$D$9996,B3736,Movimentos!$C$4:$C$9996,"Saída"),""),"")</f>
        <v/>
      </c>
      <c r="F3736" s="10" t="str">
        <f t="shared" si="120"/>
        <v/>
      </c>
    </row>
    <row r="3737" spans="1:6" x14ac:dyDescent="0.3">
      <c r="A3737" s="15" t="str">
        <f t="shared" si="119"/>
        <v>.</v>
      </c>
      <c r="E3737" s="13" t="str">
        <f>IFERROR(IF(AND(B3737&lt;&gt;"",C3737&lt;&gt;""),SUMIFS(Movimentos!$F$4:$F$9996,Movimentos!$D$4:$D$9996,B3737,Movimentos!$C$4:$C$9996,"Entrada")-SUMIFS(Movimentos!$F$4:$F$9996,Movimentos!$D$4:$D$9996,B3737,Movimentos!$C$4:$C$9996,"Saída"),""),"")</f>
        <v/>
      </c>
      <c r="F3737" s="10" t="str">
        <f t="shared" si="120"/>
        <v/>
      </c>
    </row>
    <row r="3738" spans="1:6" x14ac:dyDescent="0.3">
      <c r="A3738" s="15" t="str">
        <f t="shared" si="119"/>
        <v>.</v>
      </c>
      <c r="E3738" s="13" t="str">
        <f>IFERROR(IF(AND(B3738&lt;&gt;"",C3738&lt;&gt;""),SUMIFS(Movimentos!$F$4:$F$9996,Movimentos!$D$4:$D$9996,B3738,Movimentos!$C$4:$C$9996,"Entrada")-SUMIFS(Movimentos!$F$4:$F$9996,Movimentos!$D$4:$D$9996,B3738,Movimentos!$C$4:$C$9996,"Saída"),""),"")</f>
        <v/>
      </c>
      <c r="F3738" s="10" t="str">
        <f t="shared" si="120"/>
        <v/>
      </c>
    </row>
    <row r="3739" spans="1:6" x14ac:dyDescent="0.3">
      <c r="A3739" s="15" t="str">
        <f t="shared" si="119"/>
        <v>.</v>
      </c>
      <c r="E3739" s="13" t="str">
        <f>IFERROR(IF(AND(B3739&lt;&gt;"",C3739&lt;&gt;""),SUMIFS(Movimentos!$F$4:$F$9996,Movimentos!$D$4:$D$9996,B3739,Movimentos!$C$4:$C$9996,"Entrada")-SUMIFS(Movimentos!$F$4:$F$9996,Movimentos!$D$4:$D$9996,B3739,Movimentos!$C$4:$C$9996,"Saída"),""),"")</f>
        <v/>
      </c>
      <c r="F3739" s="10" t="str">
        <f t="shared" si="120"/>
        <v/>
      </c>
    </row>
    <row r="3740" spans="1:6" x14ac:dyDescent="0.3">
      <c r="A3740" s="15" t="str">
        <f t="shared" si="119"/>
        <v>.</v>
      </c>
      <c r="E3740" s="13" t="str">
        <f>IFERROR(IF(AND(B3740&lt;&gt;"",C3740&lt;&gt;""),SUMIFS(Movimentos!$F$4:$F$9996,Movimentos!$D$4:$D$9996,B3740,Movimentos!$C$4:$C$9996,"Entrada")-SUMIFS(Movimentos!$F$4:$F$9996,Movimentos!$D$4:$D$9996,B3740,Movimentos!$C$4:$C$9996,"Saída"),""),"")</f>
        <v/>
      </c>
      <c r="F3740" s="10" t="str">
        <f t="shared" si="120"/>
        <v/>
      </c>
    </row>
    <row r="3741" spans="1:6" x14ac:dyDescent="0.3">
      <c r="A3741" s="15" t="str">
        <f t="shared" si="119"/>
        <v>.</v>
      </c>
      <c r="E3741" s="13" t="str">
        <f>IFERROR(IF(AND(B3741&lt;&gt;"",C3741&lt;&gt;""),SUMIFS(Movimentos!$F$4:$F$9996,Movimentos!$D$4:$D$9996,B3741,Movimentos!$C$4:$C$9996,"Entrada")-SUMIFS(Movimentos!$F$4:$F$9996,Movimentos!$D$4:$D$9996,B3741,Movimentos!$C$4:$C$9996,"Saída"),""),"")</f>
        <v/>
      </c>
      <c r="F3741" s="10" t="str">
        <f t="shared" si="120"/>
        <v/>
      </c>
    </row>
    <row r="3742" spans="1:6" x14ac:dyDescent="0.3">
      <c r="A3742" s="15" t="str">
        <f t="shared" si="119"/>
        <v>.</v>
      </c>
      <c r="E3742" s="13" t="str">
        <f>IFERROR(IF(AND(B3742&lt;&gt;"",C3742&lt;&gt;""),SUMIFS(Movimentos!$F$4:$F$9996,Movimentos!$D$4:$D$9996,B3742,Movimentos!$C$4:$C$9996,"Entrada")-SUMIFS(Movimentos!$F$4:$F$9996,Movimentos!$D$4:$D$9996,B3742,Movimentos!$C$4:$C$9996,"Saída"),""),"")</f>
        <v/>
      </c>
      <c r="F3742" s="10" t="str">
        <f t="shared" si="120"/>
        <v/>
      </c>
    </row>
    <row r="3743" spans="1:6" x14ac:dyDescent="0.3">
      <c r="A3743" s="15" t="str">
        <f t="shared" si="119"/>
        <v>.</v>
      </c>
      <c r="E3743" s="13" t="str">
        <f>IFERROR(IF(AND(B3743&lt;&gt;"",C3743&lt;&gt;""),SUMIFS(Movimentos!$F$4:$F$9996,Movimentos!$D$4:$D$9996,B3743,Movimentos!$C$4:$C$9996,"Entrada")-SUMIFS(Movimentos!$F$4:$F$9996,Movimentos!$D$4:$D$9996,B3743,Movimentos!$C$4:$C$9996,"Saída"),""),"")</f>
        <v/>
      </c>
      <c r="F3743" s="10" t="str">
        <f t="shared" si="120"/>
        <v/>
      </c>
    </row>
    <row r="3744" spans="1:6" x14ac:dyDescent="0.3">
      <c r="A3744" s="15" t="str">
        <f t="shared" si="119"/>
        <v>.</v>
      </c>
      <c r="E3744" s="13" t="str">
        <f>IFERROR(IF(AND(B3744&lt;&gt;"",C3744&lt;&gt;""),SUMIFS(Movimentos!$F$4:$F$9996,Movimentos!$D$4:$D$9996,B3744,Movimentos!$C$4:$C$9996,"Entrada")-SUMIFS(Movimentos!$F$4:$F$9996,Movimentos!$D$4:$D$9996,B3744,Movimentos!$C$4:$C$9996,"Saída"),""),"")</f>
        <v/>
      </c>
      <c r="F3744" s="10" t="str">
        <f t="shared" si="120"/>
        <v/>
      </c>
    </row>
    <row r="3745" spans="1:6" x14ac:dyDescent="0.3">
      <c r="A3745" s="15" t="str">
        <f t="shared" si="119"/>
        <v>.</v>
      </c>
      <c r="E3745" s="13" t="str">
        <f>IFERROR(IF(AND(B3745&lt;&gt;"",C3745&lt;&gt;""),SUMIFS(Movimentos!$F$4:$F$9996,Movimentos!$D$4:$D$9996,B3745,Movimentos!$C$4:$C$9996,"Entrada")-SUMIFS(Movimentos!$F$4:$F$9996,Movimentos!$D$4:$D$9996,B3745,Movimentos!$C$4:$C$9996,"Saída"),""),"")</f>
        <v/>
      </c>
      <c r="F3745" s="10" t="str">
        <f t="shared" si="120"/>
        <v/>
      </c>
    </row>
    <row r="3746" spans="1:6" x14ac:dyDescent="0.3">
      <c r="A3746" s="15" t="str">
        <f t="shared" si="119"/>
        <v>.</v>
      </c>
      <c r="E3746" s="13" t="str">
        <f>IFERROR(IF(AND(B3746&lt;&gt;"",C3746&lt;&gt;""),SUMIFS(Movimentos!$F$4:$F$9996,Movimentos!$D$4:$D$9996,B3746,Movimentos!$C$4:$C$9996,"Entrada")-SUMIFS(Movimentos!$F$4:$F$9996,Movimentos!$D$4:$D$9996,B3746,Movimentos!$C$4:$C$9996,"Saída"),""),"")</f>
        <v/>
      </c>
      <c r="F3746" s="10" t="str">
        <f t="shared" si="120"/>
        <v/>
      </c>
    </row>
    <row r="3747" spans="1:6" x14ac:dyDescent="0.3">
      <c r="A3747" s="15" t="str">
        <f t="shared" si="119"/>
        <v>.</v>
      </c>
      <c r="E3747" s="13" t="str">
        <f>IFERROR(IF(AND(B3747&lt;&gt;"",C3747&lt;&gt;""),SUMIFS(Movimentos!$F$4:$F$9996,Movimentos!$D$4:$D$9996,B3747,Movimentos!$C$4:$C$9996,"Entrada")-SUMIFS(Movimentos!$F$4:$F$9996,Movimentos!$D$4:$D$9996,B3747,Movimentos!$C$4:$C$9996,"Saída"),""),"")</f>
        <v/>
      </c>
      <c r="F3747" s="10" t="str">
        <f t="shared" si="120"/>
        <v/>
      </c>
    </row>
    <row r="3748" spans="1:6" x14ac:dyDescent="0.3">
      <c r="A3748" s="15" t="str">
        <f t="shared" si="119"/>
        <v>.</v>
      </c>
      <c r="E3748" s="13" t="str">
        <f>IFERROR(IF(AND(B3748&lt;&gt;"",C3748&lt;&gt;""),SUMIFS(Movimentos!$F$4:$F$9996,Movimentos!$D$4:$D$9996,B3748,Movimentos!$C$4:$C$9996,"Entrada")-SUMIFS(Movimentos!$F$4:$F$9996,Movimentos!$D$4:$D$9996,B3748,Movimentos!$C$4:$C$9996,"Saída"),""),"")</f>
        <v/>
      </c>
      <c r="F3748" s="10" t="str">
        <f t="shared" si="120"/>
        <v/>
      </c>
    </row>
    <row r="3749" spans="1:6" x14ac:dyDescent="0.3">
      <c r="A3749" s="15" t="str">
        <f t="shared" si="119"/>
        <v>.</v>
      </c>
      <c r="E3749" s="13" t="str">
        <f>IFERROR(IF(AND(B3749&lt;&gt;"",C3749&lt;&gt;""),SUMIFS(Movimentos!$F$4:$F$9996,Movimentos!$D$4:$D$9996,B3749,Movimentos!$C$4:$C$9996,"Entrada")-SUMIFS(Movimentos!$F$4:$F$9996,Movimentos!$D$4:$D$9996,B3749,Movimentos!$C$4:$C$9996,"Saída"),""),"")</f>
        <v/>
      </c>
      <c r="F3749" s="10" t="str">
        <f t="shared" si="120"/>
        <v/>
      </c>
    </row>
    <row r="3750" spans="1:6" x14ac:dyDescent="0.3">
      <c r="A3750" s="15" t="str">
        <f t="shared" si="119"/>
        <v>.</v>
      </c>
      <c r="E3750" s="13" t="str">
        <f>IFERROR(IF(AND(B3750&lt;&gt;"",C3750&lt;&gt;""),SUMIFS(Movimentos!$F$4:$F$9996,Movimentos!$D$4:$D$9996,B3750,Movimentos!$C$4:$C$9996,"Entrada")-SUMIFS(Movimentos!$F$4:$F$9996,Movimentos!$D$4:$D$9996,B3750,Movimentos!$C$4:$C$9996,"Saída"),""),"")</f>
        <v/>
      </c>
      <c r="F3750" s="10" t="str">
        <f t="shared" si="120"/>
        <v/>
      </c>
    </row>
    <row r="3751" spans="1:6" x14ac:dyDescent="0.3">
      <c r="A3751" s="15" t="str">
        <f t="shared" si="119"/>
        <v>.</v>
      </c>
      <c r="E3751" s="13" t="str">
        <f>IFERROR(IF(AND(B3751&lt;&gt;"",C3751&lt;&gt;""),SUMIFS(Movimentos!$F$4:$F$9996,Movimentos!$D$4:$D$9996,B3751,Movimentos!$C$4:$C$9996,"Entrada")-SUMIFS(Movimentos!$F$4:$F$9996,Movimentos!$D$4:$D$9996,B3751,Movimentos!$C$4:$C$9996,"Saída"),""),"")</f>
        <v/>
      </c>
      <c r="F3751" s="10" t="str">
        <f t="shared" si="120"/>
        <v/>
      </c>
    </row>
    <row r="3752" spans="1:6" x14ac:dyDescent="0.3">
      <c r="A3752" s="15" t="str">
        <f t="shared" si="119"/>
        <v>.</v>
      </c>
      <c r="E3752" s="13" t="str">
        <f>IFERROR(IF(AND(B3752&lt;&gt;"",C3752&lt;&gt;""),SUMIFS(Movimentos!$F$4:$F$9996,Movimentos!$D$4:$D$9996,B3752,Movimentos!$C$4:$C$9996,"Entrada")-SUMIFS(Movimentos!$F$4:$F$9996,Movimentos!$D$4:$D$9996,B3752,Movimentos!$C$4:$C$9996,"Saída"),""),"")</f>
        <v/>
      </c>
      <c r="F3752" s="10" t="str">
        <f t="shared" si="120"/>
        <v/>
      </c>
    </row>
    <row r="3753" spans="1:6" x14ac:dyDescent="0.3">
      <c r="A3753" s="15" t="str">
        <f t="shared" si="119"/>
        <v>.</v>
      </c>
      <c r="E3753" s="13" t="str">
        <f>IFERROR(IF(AND(B3753&lt;&gt;"",C3753&lt;&gt;""),SUMIFS(Movimentos!$F$4:$F$9996,Movimentos!$D$4:$D$9996,B3753,Movimentos!$C$4:$C$9996,"Entrada")-SUMIFS(Movimentos!$F$4:$F$9996,Movimentos!$D$4:$D$9996,B3753,Movimentos!$C$4:$C$9996,"Saída"),""),"")</f>
        <v/>
      </c>
      <c r="F3753" s="10" t="str">
        <f t="shared" si="120"/>
        <v/>
      </c>
    </row>
    <row r="3754" spans="1:6" x14ac:dyDescent="0.3">
      <c r="A3754" s="15" t="str">
        <f t="shared" si="119"/>
        <v>.</v>
      </c>
      <c r="E3754" s="13" t="str">
        <f>IFERROR(IF(AND(B3754&lt;&gt;"",C3754&lt;&gt;""),SUMIFS(Movimentos!$F$4:$F$9996,Movimentos!$D$4:$D$9996,B3754,Movimentos!$C$4:$C$9996,"Entrada")-SUMIFS(Movimentos!$F$4:$F$9996,Movimentos!$D$4:$D$9996,B3754,Movimentos!$C$4:$C$9996,"Saída"),""),"")</f>
        <v/>
      </c>
      <c r="F3754" s="10" t="str">
        <f t="shared" si="120"/>
        <v/>
      </c>
    </row>
    <row r="3755" spans="1:6" x14ac:dyDescent="0.3">
      <c r="A3755" s="15" t="str">
        <f t="shared" si="119"/>
        <v>.</v>
      </c>
      <c r="E3755" s="13" t="str">
        <f>IFERROR(IF(AND(B3755&lt;&gt;"",C3755&lt;&gt;""),SUMIFS(Movimentos!$F$4:$F$9996,Movimentos!$D$4:$D$9996,B3755,Movimentos!$C$4:$C$9996,"Entrada")-SUMIFS(Movimentos!$F$4:$F$9996,Movimentos!$D$4:$D$9996,B3755,Movimentos!$C$4:$C$9996,"Saída"),""),"")</f>
        <v/>
      </c>
      <c r="F3755" s="10" t="str">
        <f t="shared" si="120"/>
        <v/>
      </c>
    </row>
    <row r="3756" spans="1:6" x14ac:dyDescent="0.3">
      <c r="A3756" s="15" t="str">
        <f t="shared" si="119"/>
        <v>.</v>
      </c>
      <c r="E3756" s="13" t="str">
        <f>IFERROR(IF(AND(B3756&lt;&gt;"",C3756&lt;&gt;""),SUMIFS(Movimentos!$F$4:$F$9996,Movimentos!$D$4:$D$9996,B3756,Movimentos!$C$4:$C$9996,"Entrada")-SUMIFS(Movimentos!$F$4:$F$9996,Movimentos!$D$4:$D$9996,B3756,Movimentos!$C$4:$C$9996,"Saída"),""),"")</f>
        <v/>
      </c>
      <c r="F3756" s="10" t="str">
        <f t="shared" si="120"/>
        <v/>
      </c>
    </row>
    <row r="3757" spans="1:6" x14ac:dyDescent="0.3">
      <c r="A3757" s="15" t="str">
        <f t="shared" si="119"/>
        <v>.</v>
      </c>
      <c r="E3757" s="13" t="str">
        <f>IFERROR(IF(AND(B3757&lt;&gt;"",C3757&lt;&gt;""),SUMIFS(Movimentos!$F$4:$F$9996,Movimentos!$D$4:$D$9996,B3757,Movimentos!$C$4:$C$9996,"Entrada")-SUMIFS(Movimentos!$F$4:$F$9996,Movimentos!$D$4:$D$9996,B3757,Movimentos!$C$4:$C$9996,"Saída"),""),"")</f>
        <v/>
      </c>
      <c r="F3757" s="10" t="str">
        <f t="shared" si="120"/>
        <v/>
      </c>
    </row>
    <row r="3758" spans="1:6" x14ac:dyDescent="0.3">
      <c r="A3758" s="15" t="str">
        <f t="shared" si="119"/>
        <v>.</v>
      </c>
      <c r="E3758" s="13" t="str">
        <f>IFERROR(IF(AND(B3758&lt;&gt;"",C3758&lt;&gt;""),SUMIFS(Movimentos!$F$4:$F$9996,Movimentos!$D$4:$D$9996,B3758,Movimentos!$C$4:$C$9996,"Entrada")-SUMIFS(Movimentos!$F$4:$F$9996,Movimentos!$D$4:$D$9996,B3758,Movimentos!$C$4:$C$9996,"Saída"),""),"")</f>
        <v/>
      </c>
      <c r="F3758" s="10" t="str">
        <f t="shared" si="120"/>
        <v/>
      </c>
    </row>
    <row r="3759" spans="1:6" x14ac:dyDescent="0.3">
      <c r="A3759" s="15" t="str">
        <f t="shared" si="119"/>
        <v>.</v>
      </c>
      <c r="E3759" s="13" t="str">
        <f>IFERROR(IF(AND(B3759&lt;&gt;"",C3759&lt;&gt;""),SUMIFS(Movimentos!$F$4:$F$9996,Movimentos!$D$4:$D$9996,B3759,Movimentos!$C$4:$C$9996,"Entrada")-SUMIFS(Movimentos!$F$4:$F$9996,Movimentos!$D$4:$D$9996,B3759,Movimentos!$C$4:$C$9996,"Saída"),""),"")</f>
        <v/>
      </c>
      <c r="F3759" s="10" t="str">
        <f t="shared" si="120"/>
        <v/>
      </c>
    </row>
    <row r="3760" spans="1:6" x14ac:dyDescent="0.3">
      <c r="A3760" s="15" t="str">
        <f t="shared" si="119"/>
        <v>.</v>
      </c>
      <c r="E3760" s="13" t="str">
        <f>IFERROR(IF(AND(B3760&lt;&gt;"",C3760&lt;&gt;""),SUMIFS(Movimentos!$F$4:$F$9996,Movimentos!$D$4:$D$9996,B3760,Movimentos!$C$4:$C$9996,"Entrada")-SUMIFS(Movimentos!$F$4:$F$9996,Movimentos!$D$4:$D$9996,B3760,Movimentos!$C$4:$C$9996,"Saída"),""),"")</f>
        <v/>
      </c>
      <c r="F3760" s="10" t="str">
        <f t="shared" si="120"/>
        <v/>
      </c>
    </row>
    <row r="3761" spans="1:6" x14ac:dyDescent="0.3">
      <c r="A3761" s="15" t="str">
        <f t="shared" si="119"/>
        <v>.</v>
      </c>
      <c r="E3761" s="13" t="str">
        <f>IFERROR(IF(AND(B3761&lt;&gt;"",C3761&lt;&gt;""),SUMIFS(Movimentos!$F$4:$F$9996,Movimentos!$D$4:$D$9996,B3761,Movimentos!$C$4:$C$9996,"Entrada")-SUMIFS(Movimentos!$F$4:$F$9996,Movimentos!$D$4:$D$9996,B3761,Movimentos!$C$4:$C$9996,"Saída"),""),"")</f>
        <v/>
      </c>
      <c r="F3761" s="10" t="str">
        <f t="shared" si="120"/>
        <v/>
      </c>
    </row>
    <row r="3762" spans="1:6" x14ac:dyDescent="0.3">
      <c r="A3762" s="15" t="str">
        <f t="shared" si="119"/>
        <v>.</v>
      </c>
      <c r="E3762" s="13" t="str">
        <f>IFERROR(IF(AND(B3762&lt;&gt;"",C3762&lt;&gt;""),SUMIFS(Movimentos!$F$4:$F$9996,Movimentos!$D$4:$D$9996,B3762,Movimentos!$C$4:$C$9996,"Entrada")-SUMIFS(Movimentos!$F$4:$F$9996,Movimentos!$D$4:$D$9996,B3762,Movimentos!$C$4:$C$9996,"Saída"),""),"")</f>
        <v/>
      </c>
      <c r="F3762" s="10" t="str">
        <f t="shared" si="120"/>
        <v/>
      </c>
    </row>
    <row r="3763" spans="1:6" x14ac:dyDescent="0.3">
      <c r="A3763" s="15" t="str">
        <f t="shared" si="119"/>
        <v>.</v>
      </c>
      <c r="E3763" s="13" t="str">
        <f>IFERROR(IF(AND(B3763&lt;&gt;"",C3763&lt;&gt;""),SUMIFS(Movimentos!$F$4:$F$9996,Movimentos!$D$4:$D$9996,B3763,Movimentos!$C$4:$C$9996,"Entrada")-SUMIFS(Movimentos!$F$4:$F$9996,Movimentos!$D$4:$D$9996,B3763,Movimentos!$C$4:$C$9996,"Saída"),""),"")</f>
        <v/>
      </c>
      <c r="F3763" s="10" t="str">
        <f t="shared" si="120"/>
        <v/>
      </c>
    </row>
    <row r="3764" spans="1:6" x14ac:dyDescent="0.3">
      <c r="A3764" s="15" t="str">
        <f t="shared" si="119"/>
        <v>.</v>
      </c>
      <c r="E3764" s="13" t="str">
        <f>IFERROR(IF(AND(B3764&lt;&gt;"",C3764&lt;&gt;""),SUMIFS(Movimentos!$F$4:$F$9996,Movimentos!$D$4:$D$9996,B3764,Movimentos!$C$4:$C$9996,"Entrada")-SUMIFS(Movimentos!$F$4:$F$9996,Movimentos!$D$4:$D$9996,B3764,Movimentos!$C$4:$C$9996,"Saída"),""),"")</f>
        <v/>
      </c>
      <c r="F3764" s="10" t="str">
        <f t="shared" si="120"/>
        <v/>
      </c>
    </row>
    <row r="3765" spans="1:6" x14ac:dyDescent="0.3">
      <c r="A3765" s="15" t="str">
        <f t="shared" si="119"/>
        <v>.</v>
      </c>
      <c r="E3765" s="13" t="str">
        <f>IFERROR(IF(AND(B3765&lt;&gt;"",C3765&lt;&gt;""),SUMIFS(Movimentos!$F$4:$F$9996,Movimentos!$D$4:$D$9996,B3765,Movimentos!$C$4:$C$9996,"Entrada")-SUMIFS(Movimentos!$F$4:$F$9996,Movimentos!$D$4:$D$9996,B3765,Movimentos!$C$4:$C$9996,"Saída"),""),"")</f>
        <v/>
      </c>
      <c r="F3765" s="10" t="str">
        <f t="shared" si="120"/>
        <v/>
      </c>
    </row>
    <row r="3766" spans="1:6" x14ac:dyDescent="0.3">
      <c r="A3766" s="15" t="str">
        <f t="shared" si="119"/>
        <v>.</v>
      </c>
      <c r="E3766" s="13" t="str">
        <f>IFERROR(IF(AND(B3766&lt;&gt;"",C3766&lt;&gt;""),SUMIFS(Movimentos!$F$4:$F$9996,Movimentos!$D$4:$D$9996,B3766,Movimentos!$C$4:$C$9996,"Entrada")-SUMIFS(Movimentos!$F$4:$F$9996,Movimentos!$D$4:$D$9996,B3766,Movimentos!$C$4:$C$9996,"Saída"),""),"")</f>
        <v/>
      </c>
      <c r="F3766" s="10" t="str">
        <f t="shared" si="120"/>
        <v/>
      </c>
    </row>
    <row r="3767" spans="1:6" x14ac:dyDescent="0.3">
      <c r="A3767" s="15" t="str">
        <f t="shared" si="119"/>
        <v>.</v>
      </c>
      <c r="E3767" s="13" t="str">
        <f>IFERROR(IF(AND(B3767&lt;&gt;"",C3767&lt;&gt;""),SUMIFS(Movimentos!$F$4:$F$9996,Movimentos!$D$4:$D$9996,B3767,Movimentos!$C$4:$C$9996,"Entrada")-SUMIFS(Movimentos!$F$4:$F$9996,Movimentos!$D$4:$D$9996,B3767,Movimentos!$C$4:$C$9996,"Saída"),""),"")</f>
        <v/>
      </c>
      <c r="F3767" s="10" t="str">
        <f t="shared" si="120"/>
        <v/>
      </c>
    </row>
    <row r="3768" spans="1:6" x14ac:dyDescent="0.3">
      <c r="A3768" s="15" t="str">
        <f t="shared" si="119"/>
        <v>.</v>
      </c>
      <c r="E3768" s="13" t="str">
        <f>IFERROR(IF(AND(B3768&lt;&gt;"",C3768&lt;&gt;""),SUMIFS(Movimentos!$F$4:$F$9996,Movimentos!$D$4:$D$9996,B3768,Movimentos!$C$4:$C$9996,"Entrada")-SUMIFS(Movimentos!$F$4:$F$9996,Movimentos!$D$4:$D$9996,B3768,Movimentos!$C$4:$C$9996,"Saída"),""),"")</f>
        <v/>
      </c>
      <c r="F3768" s="10" t="str">
        <f t="shared" si="120"/>
        <v/>
      </c>
    </row>
    <row r="3769" spans="1:6" x14ac:dyDescent="0.3">
      <c r="A3769" s="15" t="str">
        <f t="shared" si="119"/>
        <v>.</v>
      </c>
      <c r="E3769" s="13" t="str">
        <f>IFERROR(IF(AND(B3769&lt;&gt;"",C3769&lt;&gt;""),SUMIFS(Movimentos!$F$4:$F$9996,Movimentos!$D$4:$D$9996,B3769,Movimentos!$C$4:$C$9996,"Entrada")-SUMIFS(Movimentos!$F$4:$F$9996,Movimentos!$D$4:$D$9996,B3769,Movimentos!$C$4:$C$9996,"Saída"),""),"")</f>
        <v/>
      </c>
      <c r="F3769" s="10" t="str">
        <f t="shared" si="120"/>
        <v/>
      </c>
    </row>
    <row r="3770" spans="1:6" x14ac:dyDescent="0.3">
      <c r="A3770" s="15" t="str">
        <f t="shared" si="119"/>
        <v>.</v>
      </c>
      <c r="E3770" s="13" t="str">
        <f>IFERROR(IF(AND(B3770&lt;&gt;"",C3770&lt;&gt;""),SUMIFS(Movimentos!$F$4:$F$9996,Movimentos!$D$4:$D$9996,B3770,Movimentos!$C$4:$C$9996,"Entrada")-SUMIFS(Movimentos!$F$4:$F$9996,Movimentos!$D$4:$D$9996,B3770,Movimentos!$C$4:$C$9996,"Saída"),""),"")</f>
        <v/>
      </c>
      <c r="F3770" s="10" t="str">
        <f t="shared" si="120"/>
        <v/>
      </c>
    </row>
    <row r="3771" spans="1:6" x14ac:dyDescent="0.3">
      <c r="A3771" s="15" t="str">
        <f t="shared" si="119"/>
        <v>.</v>
      </c>
      <c r="E3771" s="13" t="str">
        <f>IFERROR(IF(AND(B3771&lt;&gt;"",C3771&lt;&gt;""),SUMIFS(Movimentos!$F$4:$F$9996,Movimentos!$D$4:$D$9996,B3771,Movimentos!$C$4:$C$9996,"Entrada")-SUMIFS(Movimentos!$F$4:$F$9996,Movimentos!$D$4:$D$9996,B3771,Movimentos!$C$4:$C$9996,"Saída"),""),"")</f>
        <v/>
      </c>
      <c r="F3771" s="10" t="str">
        <f t="shared" si="120"/>
        <v/>
      </c>
    </row>
    <row r="3772" spans="1:6" x14ac:dyDescent="0.3">
      <c r="A3772" s="15" t="str">
        <f t="shared" si="119"/>
        <v>.</v>
      </c>
      <c r="E3772" s="13" t="str">
        <f>IFERROR(IF(AND(B3772&lt;&gt;"",C3772&lt;&gt;""),SUMIFS(Movimentos!$F$4:$F$9996,Movimentos!$D$4:$D$9996,B3772,Movimentos!$C$4:$C$9996,"Entrada")-SUMIFS(Movimentos!$F$4:$F$9996,Movimentos!$D$4:$D$9996,B3772,Movimentos!$C$4:$C$9996,"Saída"),""),"")</f>
        <v/>
      </c>
      <c r="F3772" s="10" t="str">
        <f t="shared" si="120"/>
        <v/>
      </c>
    </row>
    <row r="3773" spans="1:6" x14ac:dyDescent="0.3">
      <c r="A3773" s="15" t="str">
        <f t="shared" si="119"/>
        <v>.</v>
      </c>
      <c r="E3773" s="13" t="str">
        <f>IFERROR(IF(AND(B3773&lt;&gt;"",C3773&lt;&gt;""),SUMIFS(Movimentos!$F$4:$F$9996,Movimentos!$D$4:$D$9996,B3773,Movimentos!$C$4:$C$9996,"Entrada")-SUMIFS(Movimentos!$F$4:$F$9996,Movimentos!$D$4:$D$9996,B3773,Movimentos!$C$4:$C$9996,"Saída"),""),"")</f>
        <v/>
      </c>
      <c r="F3773" s="10" t="str">
        <f t="shared" si="120"/>
        <v/>
      </c>
    </row>
    <row r="3774" spans="1:6" x14ac:dyDescent="0.3">
      <c r="A3774" s="15" t="str">
        <f t="shared" si="119"/>
        <v>.</v>
      </c>
      <c r="E3774" s="13" t="str">
        <f>IFERROR(IF(AND(B3774&lt;&gt;"",C3774&lt;&gt;""),SUMIFS(Movimentos!$F$4:$F$9996,Movimentos!$D$4:$D$9996,B3774,Movimentos!$C$4:$C$9996,"Entrada")-SUMIFS(Movimentos!$F$4:$F$9996,Movimentos!$D$4:$D$9996,B3774,Movimentos!$C$4:$C$9996,"Saída"),""),"")</f>
        <v/>
      </c>
      <c r="F3774" s="10" t="str">
        <f t="shared" si="120"/>
        <v/>
      </c>
    </row>
    <row r="3775" spans="1:6" x14ac:dyDescent="0.3">
      <c r="A3775" s="15" t="str">
        <f t="shared" si="119"/>
        <v>.</v>
      </c>
      <c r="E3775" s="13" t="str">
        <f>IFERROR(IF(AND(B3775&lt;&gt;"",C3775&lt;&gt;""),SUMIFS(Movimentos!$F$4:$F$9996,Movimentos!$D$4:$D$9996,B3775,Movimentos!$C$4:$C$9996,"Entrada")-SUMIFS(Movimentos!$F$4:$F$9996,Movimentos!$D$4:$D$9996,B3775,Movimentos!$C$4:$C$9996,"Saída"),""),"")</f>
        <v/>
      </c>
      <c r="F3775" s="10" t="str">
        <f t="shared" si="120"/>
        <v/>
      </c>
    </row>
    <row r="3776" spans="1:6" x14ac:dyDescent="0.3">
      <c r="A3776" s="15" t="str">
        <f t="shared" ref="A3776:A3839" si="121">IF(F3776="Saldo zerado",0,IF(F3776="Saldo abaixo do mínimo",1,IF(F3776="Saldo disponível",2,".")))</f>
        <v>.</v>
      </c>
      <c r="E3776" s="13" t="str">
        <f>IFERROR(IF(AND(B3776&lt;&gt;"",C3776&lt;&gt;""),SUMIFS(Movimentos!$F$4:$F$9996,Movimentos!$D$4:$D$9996,B3776,Movimentos!$C$4:$C$9996,"Entrada")-SUMIFS(Movimentos!$F$4:$F$9996,Movimentos!$D$4:$D$9996,B3776,Movimentos!$C$4:$C$9996,"Saída"),""),"")</f>
        <v/>
      </c>
      <c r="F3776" s="10" t="str">
        <f t="shared" si="120"/>
        <v/>
      </c>
    </row>
    <row r="3777" spans="1:6" x14ac:dyDescent="0.3">
      <c r="A3777" s="15" t="str">
        <f t="shared" si="121"/>
        <v>.</v>
      </c>
      <c r="E3777" s="13" t="str">
        <f>IFERROR(IF(AND(B3777&lt;&gt;"",C3777&lt;&gt;""),SUMIFS(Movimentos!$F$4:$F$9996,Movimentos!$D$4:$D$9996,B3777,Movimentos!$C$4:$C$9996,"Entrada")-SUMIFS(Movimentos!$F$4:$F$9996,Movimentos!$D$4:$D$9996,B3777,Movimentos!$C$4:$C$9996,"Saída"),""),"")</f>
        <v/>
      </c>
      <c r="F3777" s="10" t="str">
        <f t="shared" si="120"/>
        <v/>
      </c>
    </row>
    <row r="3778" spans="1:6" x14ac:dyDescent="0.3">
      <c r="A3778" s="15" t="str">
        <f t="shared" si="121"/>
        <v>.</v>
      </c>
      <c r="E3778" s="13" t="str">
        <f>IFERROR(IF(AND(B3778&lt;&gt;"",C3778&lt;&gt;""),SUMIFS(Movimentos!$F$4:$F$9996,Movimentos!$D$4:$D$9996,B3778,Movimentos!$C$4:$C$9996,"Entrada")-SUMIFS(Movimentos!$F$4:$F$9996,Movimentos!$D$4:$D$9996,B3778,Movimentos!$C$4:$C$9996,"Saída"),""),"")</f>
        <v/>
      </c>
      <c r="F3778" s="10" t="str">
        <f t="shared" si="120"/>
        <v/>
      </c>
    </row>
    <row r="3779" spans="1:6" x14ac:dyDescent="0.3">
      <c r="A3779" s="15" t="str">
        <f t="shared" si="121"/>
        <v>.</v>
      </c>
      <c r="E3779" s="13" t="str">
        <f>IFERROR(IF(AND(B3779&lt;&gt;"",C3779&lt;&gt;""),SUMIFS(Movimentos!$F$4:$F$9996,Movimentos!$D$4:$D$9996,B3779,Movimentos!$C$4:$C$9996,"Entrada")-SUMIFS(Movimentos!$F$4:$F$9996,Movimentos!$D$4:$D$9996,B3779,Movimentos!$C$4:$C$9996,"Saída"),""),"")</f>
        <v/>
      </c>
      <c r="F3779" s="10" t="str">
        <f t="shared" si="120"/>
        <v/>
      </c>
    </row>
    <row r="3780" spans="1:6" x14ac:dyDescent="0.3">
      <c r="A3780" s="15" t="str">
        <f t="shared" si="121"/>
        <v>.</v>
      </c>
      <c r="E3780" s="13" t="str">
        <f>IFERROR(IF(AND(B3780&lt;&gt;"",C3780&lt;&gt;""),SUMIFS(Movimentos!$F$4:$F$9996,Movimentos!$D$4:$D$9996,B3780,Movimentos!$C$4:$C$9996,"Entrada")-SUMIFS(Movimentos!$F$4:$F$9996,Movimentos!$D$4:$D$9996,B3780,Movimentos!$C$4:$C$9996,"Saída"),""),"")</f>
        <v/>
      </c>
      <c r="F3780" s="10" t="str">
        <f t="shared" si="120"/>
        <v/>
      </c>
    </row>
    <row r="3781" spans="1:6" x14ac:dyDescent="0.3">
      <c r="A3781" s="15" t="str">
        <f t="shared" si="121"/>
        <v>.</v>
      </c>
      <c r="E3781" s="13" t="str">
        <f>IFERROR(IF(AND(B3781&lt;&gt;"",C3781&lt;&gt;""),SUMIFS(Movimentos!$F$4:$F$9996,Movimentos!$D$4:$D$9996,B3781,Movimentos!$C$4:$C$9996,"Entrada")-SUMIFS(Movimentos!$F$4:$F$9996,Movimentos!$D$4:$D$9996,B3781,Movimentos!$C$4:$C$9996,"Saída"),""),"")</f>
        <v/>
      </c>
      <c r="F3781" s="10" t="str">
        <f t="shared" si="120"/>
        <v/>
      </c>
    </row>
    <row r="3782" spans="1:6" x14ac:dyDescent="0.3">
      <c r="A3782" s="15" t="str">
        <f t="shared" si="121"/>
        <v>.</v>
      </c>
      <c r="E3782" s="13" t="str">
        <f>IFERROR(IF(AND(B3782&lt;&gt;"",C3782&lt;&gt;""),SUMIFS(Movimentos!$F$4:$F$9996,Movimentos!$D$4:$D$9996,B3782,Movimentos!$C$4:$C$9996,"Entrada")-SUMIFS(Movimentos!$F$4:$F$9996,Movimentos!$D$4:$D$9996,B3782,Movimentos!$C$4:$C$9996,"Saída"),""),"")</f>
        <v/>
      </c>
      <c r="F3782" s="10" t="str">
        <f t="shared" si="120"/>
        <v/>
      </c>
    </row>
    <row r="3783" spans="1:6" x14ac:dyDescent="0.3">
      <c r="A3783" s="15" t="str">
        <f t="shared" si="121"/>
        <v>.</v>
      </c>
      <c r="E3783" s="13" t="str">
        <f>IFERROR(IF(AND(B3783&lt;&gt;"",C3783&lt;&gt;""),SUMIFS(Movimentos!$F$4:$F$9996,Movimentos!$D$4:$D$9996,B3783,Movimentos!$C$4:$C$9996,"Entrada")-SUMIFS(Movimentos!$F$4:$F$9996,Movimentos!$D$4:$D$9996,B3783,Movimentos!$C$4:$C$9996,"Saída"),""),"")</f>
        <v/>
      </c>
      <c r="F3783" s="10" t="str">
        <f t="shared" si="120"/>
        <v/>
      </c>
    </row>
    <row r="3784" spans="1:6" x14ac:dyDescent="0.3">
      <c r="A3784" s="15" t="str">
        <f t="shared" si="121"/>
        <v>.</v>
      </c>
      <c r="E3784" s="13" t="str">
        <f>IFERROR(IF(AND(B3784&lt;&gt;"",C3784&lt;&gt;""),SUMIFS(Movimentos!$F$4:$F$9996,Movimentos!$D$4:$D$9996,B3784,Movimentos!$C$4:$C$9996,"Entrada")-SUMIFS(Movimentos!$F$4:$F$9996,Movimentos!$D$4:$D$9996,B3784,Movimentos!$C$4:$C$9996,"Saída"),""),"")</f>
        <v/>
      </c>
      <c r="F3784" s="10" t="str">
        <f t="shared" si="120"/>
        <v/>
      </c>
    </row>
    <row r="3785" spans="1:6" x14ac:dyDescent="0.3">
      <c r="A3785" s="15" t="str">
        <f t="shared" si="121"/>
        <v>.</v>
      </c>
      <c r="E3785" s="13" t="str">
        <f>IFERROR(IF(AND(B3785&lt;&gt;"",C3785&lt;&gt;""),SUMIFS(Movimentos!$F$4:$F$9996,Movimentos!$D$4:$D$9996,B3785,Movimentos!$C$4:$C$9996,"Entrada")-SUMIFS(Movimentos!$F$4:$F$9996,Movimentos!$D$4:$D$9996,B3785,Movimentos!$C$4:$C$9996,"Saída"),""),"")</f>
        <v/>
      </c>
      <c r="F3785" s="10" t="str">
        <f t="shared" si="120"/>
        <v/>
      </c>
    </row>
    <row r="3786" spans="1:6" x14ac:dyDescent="0.3">
      <c r="A3786" s="15" t="str">
        <f t="shared" si="121"/>
        <v>.</v>
      </c>
      <c r="E3786" s="13" t="str">
        <f>IFERROR(IF(AND(B3786&lt;&gt;"",C3786&lt;&gt;""),SUMIFS(Movimentos!$F$4:$F$9996,Movimentos!$D$4:$D$9996,B3786,Movimentos!$C$4:$C$9996,"Entrada")-SUMIFS(Movimentos!$F$4:$F$9996,Movimentos!$D$4:$D$9996,B3786,Movimentos!$C$4:$C$9996,"Saída"),""),"")</f>
        <v/>
      </c>
      <c r="F3786" s="10" t="str">
        <f t="shared" si="120"/>
        <v/>
      </c>
    </row>
    <row r="3787" spans="1:6" x14ac:dyDescent="0.3">
      <c r="A3787" s="15" t="str">
        <f t="shared" si="121"/>
        <v>.</v>
      </c>
      <c r="E3787" s="13" t="str">
        <f>IFERROR(IF(AND(B3787&lt;&gt;"",C3787&lt;&gt;""),SUMIFS(Movimentos!$F$4:$F$9996,Movimentos!$D$4:$D$9996,B3787,Movimentos!$C$4:$C$9996,"Entrada")-SUMIFS(Movimentos!$F$4:$F$9996,Movimentos!$D$4:$D$9996,B3787,Movimentos!$C$4:$C$9996,"Saída"),""),"")</f>
        <v/>
      </c>
      <c r="F3787" s="10" t="str">
        <f t="shared" si="120"/>
        <v/>
      </c>
    </row>
    <row r="3788" spans="1:6" x14ac:dyDescent="0.3">
      <c r="A3788" s="15" t="str">
        <f t="shared" si="121"/>
        <v>.</v>
      </c>
      <c r="E3788" s="13" t="str">
        <f>IFERROR(IF(AND(B3788&lt;&gt;"",C3788&lt;&gt;""),SUMIFS(Movimentos!$F$4:$F$9996,Movimentos!$D$4:$D$9996,B3788,Movimentos!$C$4:$C$9996,"Entrada")-SUMIFS(Movimentos!$F$4:$F$9996,Movimentos!$D$4:$D$9996,B3788,Movimentos!$C$4:$C$9996,"Saída"),""),"")</f>
        <v/>
      </c>
      <c r="F3788" s="10" t="str">
        <f t="shared" si="120"/>
        <v/>
      </c>
    </row>
    <row r="3789" spans="1:6" x14ac:dyDescent="0.3">
      <c r="A3789" s="15" t="str">
        <f t="shared" si="121"/>
        <v>.</v>
      </c>
      <c r="E3789" s="13" t="str">
        <f>IFERROR(IF(AND(B3789&lt;&gt;"",C3789&lt;&gt;""),SUMIFS(Movimentos!$F$4:$F$9996,Movimentos!$D$4:$D$9996,B3789,Movimentos!$C$4:$C$9996,"Entrada")-SUMIFS(Movimentos!$F$4:$F$9996,Movimentos!$D$4:$D$9996,B3789,Movimentos!$C$4:$C$9996,"Saída"),""),"")</f>
        <v/>
      </c>
      <c r="F3789" s="10" t="str">
        <f t="shared" si="120"/>
        <v/>
      </c>
    </row>
    <row r="3790" spans="1:6" x14ac:dyDescent="0.3">
      <c r="A3790" s="15" t="str">
        <f t="shared" si="121"/>
        <v>.</v>
      </c>
      <c r="E3790" s="13" t="str">
        <f>IFERROR(IF(AND(B3790&lt;&gt;"",C3790&lt;&gt;""),SUMIFS(Movimentos!$F$4:$F$9996,Movimentos!$D$4:$D$9996,B3790,Movimentos!$C$4:$C$9996,"Entrada")-SUMIFS(Movimentos!$F$4:$F$9996,Movimentos!$D$4:$D$9996,B3790,Movimentos!$C$4:$C$9996,"Saída"),""),"")</f>
        <v/>
      </c>
      <c r="F3790" s="10" t="str">
        <f t="shared" si="120"/>
        <v/>
      </c>
    </row>
    <row r="3791" spans="1:6" x14ac:dyDescent="0.3">
      <c r="A3791" s="15" t="str">
        <f t="shared" si="121"/>
        <v>.</v>
      </c>
      <c r="E3791" s="13" t="str">
        <f>IFERROR(IF(AND(B3791&lt;&gt;"",C3791&lt;&gt;""),SUMIFS(Movimentos!$F$4:$F$9996,Movimentos!$D$4:$D$9996,B3791,Movimentos!$C$4:$C$9996,"Entrada")-SUMIFS(Movimentos!$F$4:$F$9996,Movimentos!$D$4:$D$9996,B3791,Movimentos!$C$4:$C$9996,"Saída"),""),"")</f>
        <v/>
      </c>
      <c r="F3791" s="10" t="str">
        <f t="shared" si="120"/>
        <v/>
      </c>
    </row>
    <row r="3792" spans="1:6" x14ac:dyDescent="0.3">
      <c r="A3792" s="15" t="str">
        <f t="shared" si="121"/>
        <v>.</v>
      </c>
      <c r="E3792" s="13" t="str">
        <f>IFERROR(IF(AND(B3792&lt;&gt;"",C3792&lt;&gt;""),SUMIFS(Movimentos!$F$4:$F$9996,Movimentos!$D$4:$D$9996,B3792,Movimentos!$C$4:$C$9996,"Entrada")-SUMIFS(Movimentos!$F$4:$F$9996,Movimentos!$D$4:$D$9996,B3792,Movimentos!$C$4:$C$9996,"Saída"),""),"")</f>
        <v/>
      </c>
      <c r="F3792" s="10" t="str">
        <f t="shared" si="120"/>
        <v/>
      </c>
    </row>
    <row r="3793" spans="1:6" x14ac:dyDescent="0.3">
      <c r="A3793" s="15" t="str">
        <f t="shared" si="121"/>
        <v>.</v>
      </c>
      <c r="E3793" s="13" t="str">
        <f>IFERROR(IF(AND(B3793&lt;&gt;"",C3793&lt;&gt;""),SUMIFS(Movimentos!$F$4:$F$9996,Movimentos!$D$4:$D$9996,B3793,Movimentos!$C$4:$C$9996,"Entrada")-SUMIFS(Movimentos!$F$4:$F$9996,Movimentos!$D$4:$D$9996,B3793,Movimentos!$C$4:$C$9996,"Saída"),""),"")</f>
        <v/>
      </c>
      <c r="F3793" s="10" t="str">
        <f t="shared" si="120"/>
        <v/>
      </c>
    </row>
    <row r="3794" spans="1:6" x14ac:dyDescent="0.3">
      <c r="A3794" s="15" t="str">
        <f t="shared" si="121"/>
        <v>.</v>
      </c>
      <c r="E3794" s="13" t="str">
        <f>IFERROR(IF(AND(B3794&lt;&gt;"",C3794&lt;&gt;""),SUMIFS(Movimentos!$F$4:$F$9996,Movimentos!$D$4:$D$9996,B3794,Movimentos!$C$4:$C$9996,"Entrada")-SUMIFS(Movimentos!$F$4:$F$9996,Movimentos!$D$4:$D$9996,B3794,Movimentos!$C$4:$C$9996,"Saída"),""),"")</f>
        <v/>
      </c>
      <c r="F3794" s="10" t="str">
        <f t="shared" si="120"/>
        <v/>
      </c>
    </row>
    <row r="3795" spans="1:6" x14ac:dyDescent="0.3">
      <c r="A3795" s="15" t="str">
        <f t="shared" si="121"/>
        <v>.</v>
      </c>
      <c r="E3795" s="13" t="str">
        <f>IFERROR(IF(AND(B3795&lt;&gt;"",C3795&lt;&gt;""),SUMIFS(Movimentos!$F$4:$F$9996,Movimentos!$D$4:$D$9996,B3795,Movimentos!$C$4:$C$9996,"Entrada")-SUMIFS(Movimentos!$F$4:$F$9996,Movimentos!$D$4:$D$9996,B3795,Movimentos!$C$4:$C$9996,"Saída"),""),"")</f>
        <v/>
      </c>
      <c r="F3795" s="10" t="str">
        <f t="shared" si="120"/>
        <v/>
      </c>
    </row>
    <row r="3796" spans="1:6" x14ac:dyDescent="0.3">
      <c r="A3796" s="15" t="str">
        <f t="shared" si="121"/>
        <v>.</v>
      </c>
      <c r="E3796" s="13" t="str">
        <f>IFERROR(IF(AND(B3796&lt;&gt;"",C3796&lt;&gt;""),SUMIFS(Movimentos!$F$4:$F$9996,Movimentos!$D$4:$D$9996,B3796,Movimentos!$C$4:$C$9996,"Entrada")-SUMIFS(Movimentos!$F$4:$F$9996,Movimentos!$D$4:$D$9996,B3796,Movimentos!$C$4:$C$9996,"Saída"),""),"")</f>
        <v/>
      </c>
      <c r="F3796" s="10" t="str">
        <f t="shared" si="120"/>
        <v/>
      </c>
    </row>
    <row r="3797" spans="1:6" x14ac:dyDescent="0.3">
      <c r="A3797" s="15" t="str">
        <f t="shared" si="121"/>
        <v>.</v>
      </c>
      <c r="E3797" s="13" t="str">
        <f>IFERROR(IF(AND(B3797&lt;&gt;"",C3797&lt;&gt;""),SUMIFS(Movimentos!$F$4:$F$9996,Movimentos!$D$4:$D$9996,B3797,Movimentos!$C$4:$C$9996,"Entrada")-SUMIFS(Movimentos!$F$4:$F$9996,Movimentos!$D$4:$D$9996,B3797,Movimentos!$C$4:$C$9996,"Saída"),""),"")</f>
        <v/>
      </c>
      <c r="F3797" s="10" t="str">
        <f t="shared" si="120"/>
        <v/>
      </c>
    </row>
    <row r="3798" spans="1:6" x14ac:dyDescent="0.3">
      <c r="A3798" s="15" t="str">
        <f t="shared" si="121"/>
        <v>.</v>
      </c>
      <c r="E3798" s="13" t="str">
        <f>IFERROR(IF(AND(B3798&lt;&gt;"",C3798&lt;&gt;""),SUMIFS(Movimentos!$F$4:$F$9996,Movimentos!$D$4:$D$9996,B3798,Movimentos!$C$4:$C$9996,"Entrada")-SUMIFS(Movimentos!$F$4:$F$9996,Movimentos!$D$4:$D$9996,B3798,Movimentos!$C$4:$C$9996,"Saída"),""),"")</f>
        <v/>
      </c>
      <c r="F3798" s="10" t="str">
        <f t="shared" si="120"/>
        <v/>
      </c>
    </row>
    <row r="3799" spans="1:6" x14ac:dyDescent="0.3">
      <c r="A3799" s="15" t="str">
        <f t="shared" si="121"/>
        <v>.</v>
      </c>
      <c r="E3799" s="13" t="str">
        <f>IFERROR(IF(AND(B3799&lt;&gt;"",C3799&lt;&gt;""),SUMIFS(Movimentos!$F$4:$F$9996,Movimentos!$D$4:$D$9996,B3799,Movimentos!$C$4:$C$9996,"Entrada")-SUMIFS(Movimentos!$F$4:$F$9996,Movimentos!$D$4:$D$9996,B3799,Movimentos!$C$4:$C$9996,"Saída"),""),"")</f>
        <v/>
      </c>
      <c r="F3799" s="10" t="str">
        <f t="shared" ref="F3799:F3862" si="122">IF(AND(B3799&lt;&gt;"",C3799&lt;&gt;""),IF(E3799=0,"Saldo zerado",IF(E3799&lt;D3799,"Saldo abaixo do mínimo","Saldo disponível")),"")</f>
        <v/>
      </c>
    </row>
    <row r="3800" spans="1:6" x14ac:dyDescent="0.3">
      <c r="A3800" s="15" t="str">
        <f t="shared" si="121"/>
        <v>.</v>
      </c>
      <c r="E3800" s="13" t="str">
        <f>IFERROR(IF(AND(B3800&lt;&gt;"",C3800&lt;&gt;""),SUMIFS(Movimentos!$F$4:$F$9996,Movimentos!$D$4:$D$9996,B3800,Movimentos!$C$4:$C$9996,"Entrada")-SUMIFS(Movimentos!$F$4:$F$9996,Movimentos!$D$4:$D$9996,B3800,Movimentos!$C$4:$C$9996,"Saída"),""),"")</f>
        <v/>
      </c>
      <c r="F3800" s="10" t="str">
        <f t="shared" si="122"/>
        <v/>
      </c>
    </row>
    <row r="3801" spans="1:6" x14ac:dyDescent="0.3">
      <c r="A3801" s="15" t="str">
        <f t="shared" si="121"/>
        <v>.</v>
      </c>
      <c r="E3801" s="13" t="str">
        <f>IFERROR(IF(AND(B3801&lt;&gt;"",C3801&lt;&gt;""),SUMIFS(Movimentos!$F$4:$F$9996,Movimentos!$D$4:$D$9996,B3801,Movimentos!$C$4:$C$9996,"Entrada")-SUMIFS(Movimentos!$F$4:$F$9996,Movimentos!$D$4:$D$9996,B3801,Movimentos!$C$4:$C$9996,"Saída"),""),"")</f>
        <v/>
      </c>
      <c r="F3801" s="10" t="str">
        <f t="shared" si="122"/>
        <v/>
      </c>
    </row>
    <row r="3802" spans="1:6" x14ac:dyDescent="0.3">
      <c r="A3802" s="15" t="str">
        <f t="shared" si="121"/>
        <v>.</v>
      </c>
      <c r="E3802" s="13" t="str">
        <f>IFERROR(IF(AND(B3802&lt;&gt;"",C3802&lt;&gt;""),SUMIFS(Movimentos!$F$4:$F$9996,Movimentos!$D$4:$D$9996,B3802,Movimentos!$C$4:$C$9996,"Entrada")-SUMIFS(Movimentos!$F$4:$F$9996,Movimentos!$D$4:$D$9996,B3802,Movimentos!$C$4:$C$9996,"Saída"),""),"")</f>
        <v/>
      </c>
      <c r="F3802" s="10" t="str">
        <f t="shared" si="122"/>
        <v/>
      </c>
    </row>
    <row r="3803" spans="1:6" x14ac:dyDescent="0.3">
      <c r="A3803" s="15" t="str">
        <f t="shared" si="121"/>
        <v>.</v>
      </c>
      <c r="E3803" s="13" t="str">
        <f>IFERROR(IF(AND(B3803&lt;&gt;"",C3803&lt;&gt;""),SUMIFS(Movimentos!$F$4:$F$9996,Movimentos!$D$4:$D$9996,B3803,Movimentos!$C$4:$C$9996,"Entrada")-SUMIFS(Movimentos!$F$4:$F$9996,Movimentos!$D$4:$D$9996,B3803,Movimentos!$C$4:$C$9996,"Saída"),""),"")</f>
        <v/>
      </c>
      <c r="F3803" s="10" t="str">
        <f t="shared" si="122"/>
        <v/>
      </c>
    </row>
    <row r="3804" spans="1:6" x14ac:dyDescent="0.3">
      <c r="A3804" s="15" t="str">
        <f t="shared" si="121"/>
        <v>.</v>
      </c>
      <c r="E3804" s="13" t="str">
        <f>IFERROR(IF(AND(B3804&lt;&gt;"",C3804&lt;&gt;""),SUMIFS(Movimentos!$F$4:$F$9996,Movimentos!$D$4:$D$9996,B3804,Movimentos!$C$4:$C$9996,"Entrada")-SUMIFS(Movimentos!$F$4:$F$9996,Movimentos!$D$4:$D$9996,B3804,Movimentos!$C$4:$C$9996,"Saída"),""),"")</f>
        <v/>
      </c>
      <c r="F3804" s="10" t="str">
        <f t="shared" si="122"/>
        <v/>
      </c>
    </row>
    <row r="3805" spans="1:6" x14ac:dyDescent="0.3">
      <c r="A3805" s="15" t="str">
        <f t="shared" si="121"/>
        <v>.</v>
      </c>
      <c r="E3805" s="13" t="str">
        <f>IFERROR(IF(AND(B3805&lt;&gt;"",C3805&lt;&gt;""),SUMIFS(Movimentos!$F$4:$F$9996,Movimentos!$D$4:$D$9996,B3805,Movimentos!$C$4:$C$9996,"Entrada")-SUMIFS(Movimentos!$F$4:$F$9996,Movimentos!$D$4:$D$9996,B3805,Movimentos!$C$4:$C$9996,"Saída"),""),"")</f>
        <v/>
      </c>
      <c r="F3805" s="10" t="str">
        <f t="shared" si="122"/>
        <v/>
      </c>
    </row>
    <row r="3806" spans="1:6" x14ac:dyDescent="0.3">
      <c r="A3806" s="15" t="str">
        <f t="shared" si="121"/>
        <v>.</v>
      </c>
      <c r="E3806" s="13" t="str">
        <f>IFERROR(IF(AND(B3806&lt;&gt;"",C3806&lt;&gt;""),SUMIFS(Movimentos!$F$4:$F$9996,Movimentos!$D$4:$D$9996,B3806,Movimentos!$C$4:$C$9996,"Entrada")-SUMIFS(Movimentos!$F$4:$F$9996,Movimentos!$D$4:$D$9996,B3806,Movimentos!$C$4:$C$9996,"Saída"),""),"")</f>
        <v/>
      </c>
      <c r="F3806" s="10" t="str">
        <f t="shared" si="122"/>
        <v/>
      </c>
    </row>
    <row r="3807" spans="1:6" x14ac:dyDescent="0.3">
      <c r="A3807" s="15" t="str">
        <f t="shared" si="121"/>
        <v>.</v>
      </c>
      <c r="E3807" s="13" t="str">
        <f>IFERROR(IF(AND(B3807&lt;&gt;"",C3807&lt;&gt;""),SUMIFS(Movimentos!$F$4:$F$9996,Movimentos!$D$4:$D$9996,B3807,Movimentos!$C$4:$C$9996,"Entrada")-SUMIFS(Movimentos!$F$4:$F$9996,Movimentos!$D$4:$D$9996,B3807,Movimentos!$C$4:$C$9996,"Saída"),""),"")</f>
        <v/>
      </c>
      <c r="F3807" s="10" t="str">
        <f t="shared" si="122"/>
        <v/>
      </c>
    </row>
    <row r="3808" spans="1:6" x14ac:dyDescent="0.3">
      <c r="A3808" s="15" t="str">
        <f t="shared" si="121"/>
        <v>.</v>
      </c>
      <c r="E3808" s="13" t="str">
        <f>IFERROR(IF(AND(B3808&lt;&gt;"",C3808&lt;&gt;""),SUMIFS(Movimentos!$F$4:$F$9996,Movimentos!$D$4:$D$9996,B3808,Movimentos!$C$4:$C$9996,"Entrada")-SUMIFS(Movimentos!$F$4:$F$9996,Movimentos!$D$4:$D$9996,B3808,Movimentos!$C$4:$C$9996,"Saída"),""),"")</f>
        <v/>
      </c>
      <c r="F3808" s="10" t="str">
        <f t="shared" si="122"/>
        <v/>
      </c>
    </row>
    <row r="3809" spans="1:6" x14ac:dyDescent="0.3">
      <c r="A3809" s="15" t="str">
        <f t="shared" si="121"/>
        <v>.</v>
      </c>
      <c r="E3809" s="13" t="str">
        <f>IFERROR(IF(AND(B3809&lt;&gt;"",C3809&lt;&gt;""),SUMIFS(Movimentos!$F$4:$F$9996,Movimentos!$D$4:$D$9996,B3809,Movimentos!$C$4:$C$9996,"Entrada")-SUMIFS(Movimentos!$F$4:$F$9996,Movimentos!$D$4:$D$9996,B3809,Movimentos!$C$4:$C$9996,"Saída"),""),"")</f>
        <v/>
      </c>
      <c r="F3809" s="10" t="str">
        <f t="shared" si="122"/>
        <v/>
      </c>
    </row>
    <row r="3810" spans="1:6" x14ac:dyDescent="0.3">
      <c r="A3810" s="15" t="str">
        <f t="shared" si="121"/>
        <v>.</v>
      </c>
      <c r="E3810" s="13" t="str">
        <f>IFERROR(IF(AND(B3810&lt;&gt;"",C3810&lt;&gt;""),SUMIFS(Movimentos!$F$4:$F$9996,Movimentos!$D$4:$D$9996,B3810,Movimentos!$C$4:$C$9996,"Entrada")-SUMIFS(Movimentos!$F$4:$F$9996,Movimentos!$D$4:$D$9996,B3810,Movimentos!$C$4:$C$9996,"Saída"),""),"")</f>
        <v/>
      </c>
      <c r="F3810" s="10" t="str">
        <f t="shared" si="122"/>
        <v/>
      </c>
    </row>
    <row r="3811" spans="1:6" x14ac:dyDescent="0.3">
      <c r="A3811" s="15" t="str">
        <f t="shared" si="121"/>
        <v>.</v>
      </c>
      <c r="E3811" s="13" t="str">
        <f>IFERROR(IF(AND(B3811&lt;&gt;"",C3811&lt;&gt;""),SUMIFS(Movimentos!$F$4:$F$9996,Movimentos!$D$4:$D$9996,B3811,Movimentos!$C$4:$C$9996,"Entrada")-SUMIFS(Movimentos!$F$4:$F$9996,Movimentos!$D$4:$D$9996,B3811,Movimentos!$C$4:$C$9996,"Saída"),""),"")</f>
        <v/>
      </c>
      <c r="F3811" s="10" t="str">
        <f t="shared" si="122"/>
        <v/>
      </c>
    </row>
    <row r="3812" spans="1:6" x14ac:dyDescent="0.3">
      <c r="A3812" s="15" t="str">
        <f t="shared" si="121"/>
        <v>.</v>
      </c>
      <c r="E3812" s="13" t="str">
        <f>IFERROR(IF(AND(B3812&lt;&gt;"",C3812&lt;&gt;""),SUMIFS(Movimentos!$F$4:$F$9996,Movimentos!$D$4:$D$9996,B3812,Movimentos!$C$4:$C$9996,"Entrada")-SUMIFS(Movimentos!$F$4:$F$9996,Movimentos!$D$4:$D$9996,B3812,Movimentos!$C$4:$C$9996,"Saída"),""),"")</f>
        <v/>
      </c>
      <c r="F3812" s="10" t="str">
        <f t="shared" si="122"/>
        <v/>
      </c>
    </row>
    <row r="3813" spans="1:6" x14ac:dyDescent="0.3">
      <c r="A3813" s="15" t="str">
        <f t="shared" si="121"/>
        <v>.</v>
      </c>
      <c r="E3813" s="13" t="str">
        <f>IFERROR(IF(AND(B3813&lt;&gt;"",C3813&lt;&gt;""),SUMIFS(Movimentos!$F$4:$F$9996,Movimentos!$D$4:$D$9996,B3813,Movimentos!$C$4:$C$9996,"Entrada")-SUMIFS(Movimentos!$F$4:$F$9996,Movimentos!$D$4:$D$9996,B3813,Movimentos!$C$4:$C$9996,"Saída"),""),"")</f>
        <v/>
      </c>
      <c r="F3813" s="10" t="str">
        <f t="shared" si="122"/>
        <v/>
      </c>
    </row>
    <row r="3814" spans="1:6" x14ac:dyDescent="0.3">
      <c r="A3814" s="15" t="str">
        <f t="shared" si="121"/>
        <v>.</v>
      </c>
      <c r="E3814" s="13" t="str">
        <f>IFERROR(IF(AND(B3814&lt;&gt;"",C3814&lt;&gt;""),SUMIFS(Movimentos!$F$4:$F$9996,Movimentos!$D$4:$D$9996,B3814,Movimentos!$C$4:$C$9996,"Entrada")-SUMIFS(Movimentos!$F$4:$F$9996,Movimentos!$D$4:$D$9996,B3814,Movimentos!$C$4:$C$9996,"Saída"),""),"")</f>
        <v/>
      </c>
      <c r="F3814" s="10" t="str">
        <f t="shared" si="122"/>
        <v/>
      </c>
    </row>
    <row r="3815" spans="1:6" x14ac:dyDescent="0.3">
      <c r="A3815" s="15" t="str">
        <f t="shared" si="121"/>
        <v>.</v>
      </c>
      <c r="E3815" s="13" t="str">
        <f>IFERROR(IF(AND(B3815&lt;&gt;"",C3815&lt;&gt;""),SUMIFS(Movimentos!$F$4:$F$9996,Movimentos!$D$4:$D$9996,B3815,Movimentos!$C$4:$C$9996,"Entrada")-SUMIFS(Movimentos!$F$4:$F$9996,Movimentos!$D$4:$D$9996,B3815,Movimentos!$C$4:$C$9996,"Saída"),""),"")</f>
        <v/>
      </c>
      <c r="F3815" s="10" t="str">
        <f t="shared" si="122"/>
        <v/>
      </c>
    </row>
    <row r="3816" spans="1:6" x14ac:dyDescent="0.3">
      <c r="A3816" s="15" t="str">
        <f t="shared" si="121"/>
        <v>.</v>
      </c>
      <c r="E3816" s="13" t="str">
        <f>IFERROR(IF(AND(B3816&lt;&gt;"",C3816&lt;&gt;""),SUMIFS(Movimentos!$F$4:$F$9996,Movimentos!$D$4:$D$9996,B3816,Movimentos!$C$4:$C$9996,"Entrada")-SUMIFS(Movimentos!$F$4:$F$9996,Movimentos!$D$4:$D$9996,B3816,Movimentos!$C$4:$C$9996,"Saída"),""),"")</f>
        <v/>
      </c>
      <c r="F3816" s="10" t="str">
        <f t="shared" si="122"/>
        <v/>
      </c>
    </row>
    <row r="3817" spans="1:6" x14ac:dyDescent="0.3">
      <c r="A3817" s="15" t="str">
        <f t="shared" si="121"/>
        <v>.</v>
      </c>
      <c r="E3817" s="13" t="str">
        <f>IFERROR(IF(AND(B3817&lt;&gt;"",C3817&lt;&gt;""),SUMIFS(Movimentos!$F$4:$F$9996,Movimentos!$D$4:$D$9996,B3817,Movimentos!$C$4:$C$9996,"Entrada")-SUMIFS(Movimentos!$F$4:$F$9996,Movimentos!$D$4:$D$9996,B3817,Movimentos!$C$4:$C$9996,"Saída"),""),"")</f>
        <v/>
      </c>
      <c r="F3817" s="10" t="str">
        <f t="shared" si="122"/>
        <v/>
      </c>
    </row>
    <row r="3818" spans="1:6" x14ac:dyDescent="0.3">
      <c r="A3818" s="15" t="str">
        <f t="shared" si="121"/>
        <v>.</v>
      </c>
      <c r="E3818" s="13" t="str">
        <f>IFERROR(IF(AND(B3818&lt;&gt;"",C3818&lt;&gt;""),SUMIFS(Movimentos!$F$4:$F$9996,Movimentos!$D$4:$D$9996,B3818,Movimentos!$C$4:$C$9996,"Entrada")-SUMIFS(Movimentos!$F$4:$F$9996,Movimentos!$D$4:$D$9996,B3818,Movimentos!$C$4:$C$9996,"Saída"),""),"")</f>
        <v/>
      </c>
      <c r="F3818" s="10" t="str">
        <f t="shared" si="122"/>
        <v/>
      </c>
    </row>
    <row r="3819" spans="1:6" x14ac:dyDescent="0.3">
      <c r="A3819" s="15" t="str">
        <f t="shared" si="121"/>
        <v>.</v>
      </c>
      <c r="E3819" s="13" t="str">
        <f>IFERROR(IF(AND(B3819&lt;&gt;"",C3819&lt;&gt;""),SUMIFS(Movimentos!$F$4:$F$9996,Movimentos!$D$4:$D$9996,B3819,Movimentos!$C$4:$C$9996,"Entrada")-SUMIFS(Movimentos!$F$4:$F$9996,Movimentos!$D$4:$D$9996,B3819,Movimentos!$C$4:$C$9996,"Saída"),""),"")</f>
        <v/>
      </c>
      <c r="F3819" s="10" t="str">
        <f t="shared" si="122"/>
        <v/>
      </c>
    </row>
    <row r="3820" spans="1:6" x14ac:dyDescent="0.3">
      <c r="A3820" s="15" t="str">
        <f t="shared" si="121"/>
        <v>.</v>
      </c>
      <c r="E3820" s="13" t="str">
        <f>IFERROR(IF(AND(B3820&lt;&gt;"",C3820&lt;&gt;""),SUMIFS(Movimentos!$F$4:$F$9996,Movimentos!$D$4:$D$9996,B3820,Movimentos!$C$4:$C$9996,"Entrada")-SUMIFS(Movimentos!$F$4:$F$9996,Movimentos!$D$4:$D$9996,B3820,Movimentos!$C$4:$C$9996,"Saída"),""),"")</f>
        <v/>
      </c>
      <c r="F3820" s="10" t="str">
        <f t="shared" si="122"/>
        <v/>
      </c>
    </row>
    <row r="3821" spans="1:6" x14ac:dyDescent="0.3">
      <c r="A3821" s="15" t="str">
        <f t="shared" si="121"/>
        <v>.</v>
      </c>
      <c r="E3821" s="13" t="str">
        <f>IFERROR(IF(AND(B3821&lt;&gt;"",C3821&lt;&gt;""),SUMIFS(Movimentos!$F$4:$F$9996,Movimentos!$D$4:$D$9996,B3821,Movimentos!$C$4:$C$9996,"Entrada")-SUMIFS(Movimentos!$F$4:$F$9996,Movimentos!$D$4:$D$9996,B3821,Movimentos!$C$4:$C$9996,"Saída"),""),"")</f>
        <v/>
      </c>
      <c r="F3821" s="10" t="str">
        <f t="shared" si="122"/>
        <v/>
      </c>
    </row>
    <row r="3822" spans="1:6" x14ac:dyDescent="0.3">
      <c r="A3822" s="15" t="str">
        <f t="shared" si="121"/>
        <v>.</v>
      </c>
      <c r="E3822" s="13" t="str">
        <f>IFERROR(IF(AND(B3822&lt;&gt;"",C3822&lt;&gt;""),SUMIFS(Movimentos!$F$4:$F$9996,Movimentos!$D$4:$D$9996,B3822,Movimentos!$C$4:$C$9996,"Entrada")-SUMIFS(Movimentos!$F$4:$F$9996,Movimentos!$D$4:$D$9996,B3822,Movimentos!$C$4:$C$9996,"Saída"),""),"")</f>
        <v/>
      </c>
      <c r="F3822" s="10" t="str">
        <f t="shared" si="122"/>
        <v/>
      </c>
    </row>
    <row r="3823" spans="1:6" x14ac:dyDescent="0.3">
      <c r="A3823" s="15" t="str">
        <f t="shared" si="121"/>
        <v>.</v>
      </c>
      <c r="E3823" s="13" t="str">
        <f>IFERROR(IF(AND(B3823&lt;&gt;"",C3823&lt;&gt;""),SUMIFS(Movimentos!$F$4:$F$9996,Movimentos!$D$4:$D$9996,B3823,Movimentos!$C$4:$C$9996,"Entrada")-SUMIFS(Movimentos!$F$4:$F$9996,Movimentos!$D$4:$D$9996,B3823,Movimentos!$C$4:$C$9996,"Saída"),""),"")</f>
        <v/>
      </c>
      <c r="F3823" s="10" t="str">
        <f t="shared" si="122"/>
        <v/>
      </c>
    </row>
    <row r="3824" spans="1:6" x14ac:dyDescent="0.3">
      <c r="A3824" s="15" t="str">
        <f t="shared" si="121"/>
        <v>.</v>
      </c>
      <c r="E3824" s="13" t="str">
        <f>IFERROR(IF(AND(B3824&lt;&gt;"",C3824&lt;&gt;""),SUMIFS(Movimentos!$F$4:$F$9996,Movimentos!$D$4:$D$9996,B3824,Movimentos!$C$4:$C$9996,"Entrada")-SUMIFS(Movimentos!$F$4:$F$9996,Movimentos!$D$4:$D$9996,B3824,Movimentos!$C$4:$C$9996,"Saída"),""),"")</f>
        <v/>
      </c>
      <c r="F3824" s="10" t="str">
        <f t="shared" si="122"/>
        <v/>
      </c>
    </row>
    <row r="3825" spans="1:6" x14ac:dyDescent="0.3">
      <c r="A3825" s="15" t="str">
        <f t="shared" si="121"/>
        <v>.</v>
      </c>
      <c r="E3825" s="13" t="str">
        <f>IFERROR(IF(AND(B3825&lt;&gt;"",C3825&lt;&gt;""),SUMIFS(Movimentos!$F$4:$F$9996,Movimentos!$D$4:$D$9996,B3825,Movimentos!$C$4:$C$9996,"Entrada")-SUMIFS(Movimentos!$F$4:$F$9996,Movimentos!$D$4:$D$9996,B3825,Movimentos!$C$4:$C$9996,"Saída"),""),"")</f>
        <v/>
      </c>
      <c r="F3825" s="10" t="str">
        <f t="shared" si="122"/>
        <v/>
      </c>
    </row>
    <row r="3826" spans="1:6" x14ac:dyDescent="0.3">
      <c r="A3826" s="15" t="str">
        <f t="shared" si="121"/>
        <v>.</v>
      </c>
      <c r="E3826" s="13" t="str">
        <f>IFERROR(IF(AND(B3826&lt;&gt;"",C3826&lt;&gt;""),SUMIFS(Movimentos!$F$4:$F$9996,Movimentos!$D$4:$D$9996,B3826,Movimentos!$C$4:$C$9996,"Entrada")-SUMIFS(Movimentos!$F$4:$F$9996,Movimentos!$D$4:$D$9996,B3826,Movimentos!$C$4:$C$9996,"Saída"),""),"")</f>
        <v/>
      </c>
      <c r="F3826" s="10" t="str">
        <f t="shared" si="122"/>
        <v/>
      </c>
    </row>
    <row r="3827" spans="1:6" x14ac:dyDescent="0.3">
      <c r="A3827" s="15" t="str">
        <f t="shared" si="121"/>
        <v>.</v>
      </c>
      <c r="E3827" s="13" t="str">
        <f>IFERROR(IF(AND(B3827&lt;&gt;"",C3827&lt;&gt;""),SUMIFS(Movimentos!$F$4:$F$9996,Movimentos!$D$4:$D$9996,B3827,Movimentos!$C$4:$C$9996,"Entrada")-SUMIFS(Movimentos!$F$4:$F$9996,Movimentos!$D$4:$D$9996,B3827,Movimentos!$C$4:$C$9996,"Saída"),""),"")</f>
        <v/>
      </c>
      <c r="F3827" s="10" t="str">
        <f t="shared" si="122"/>
        <v/>
      </c>
    </row>
    <row r="3828" spans="1:6" x14ac:dyDescent="0.3">
      <c r="A3828" s="15" t="str">
        <f t="shared" si="121"/>
        <v>.</v>
      </c>
      <c r="E3828" s="13" t="str">
        <f>IFERROR(IF(AND(B3828&lt;&gt;"",C3828&lt;&gt;""),SUMIFS(Movimentos!$F$4:$F$9996,Movimentos!$D$4:$D$9996,B3828,Movimentos!$C$4:$C$9996,"Entrada")-SUMIFS(Movimentos!$F$4:$F$9996,Movimentos!$D$4:$D$9996,B3828,Movimentos!$C$4:$C$9996,"Saída"),""),"")</f>
        <v/>
      </c>
      <c r="F3828" s="10" t="str">
        <f t="shared" si="122"/>
        <v/>
      </c>
    </row>
    <row r="3829" spans="1:6" x14ac:dyDescent="0.3">
      <c r="A3829" s="15" t="str">
        <f t="shared" si="121"/>
        <v>.</v>
      </c>
      <c r="E3829" s="13" t="str">
        <f>IFERROR(IF(AND(B3829&lt;&gt;"",C3829&lt;&gt;""),SUMIFS(Movimentos!$F$4:$F$9996,Movimentos!$D$4:$D$9996,B3829,Movimentos!$C$4:$C$9996,"Entrada")-SUMIFS(Movimentos!$F$4:$F$9996,Movimentos!$D$4:$D$9996,B3829,Movimentos!$C$4:$C$9996,"Saída"),""),"")</f>
        <v/>
      </c>
      <c r="F3829" s="10" t="str">
        <f t="shared" si="122"/>
        <v/>
      </c>
    </row>
    <row r="3830" spans="1:6" x14ac:dyDescent="0.3">
      <c r="A3830" s="15" t="str">
        <f t="shared" si="121"/>
        <v>.</v>
      </c>
      <c r="E3830" s="13" t="str">
        <f>IFERROR(IF(AND(B3830&lt;&gt;"",C3830&lt;&gt;""),SUMIFS(Movimentos!$F$4:$F$9996,Movimentos!$D$4:$D$9996,B3830,Movimentos!$C$4:$C$9996,"Entrada")-SUMIFS(Movimentos!$F$4:$F$9996,Movimentos!$D$4:$D$9996,B3830,Movimentos!$C$4:$C$9996,"Saída"),""),"")</f>
        <v/>
      </c>
      <c r="F3830" s="10" t="str">
        <f t="shared" si="122"/>
        <v/>
      </c>
    </row>
    <row r="3831" spans="1:6" x14ac:dyDescent="0.3">
      <c r="A3831" s="15" t="str">
        <f t="shared" si="121"/>
        <v>.</v>
      </c>
      <c r="E3831" s="13" t="str">
        <f>IFERROR(IF(AND(B3831&lt;&gt;"",C3831&lt;&gt;""),SUMIFS(Movimentos!$F$4:$F$9996,Movimentos!$D$4:$D$9996,B3831,Movimentos!$C$4:$C$9996,"Entrada")-SUMIFS(Movimentos!$F$4:$F$9996,Movimentos!$D$4:$D$9996,B3831,Movimentos!$C$4:$C$9996,"Saída"),""),"")</f>
        <v/>
      </c>
      <c r="F3831" s="10" t="str">
        <f t="shared" si="122"/>
        <v/>
      </c>
    </row>
    <row r="3832" spans="1:6" x14ac:dyDescent="0.3">
      <c r="A3832" s="15" t="str">
        <f t="shared" si="121"/>
        <v>.</v>
      </c>
      <c r="E3832" s="13" t="str">
        <f>IFERROR(IF(AND(B3832&lt;&gt;"",C3832&lt;&gt;""),SUMIFS(Movimentos!$F$4:$F$9996,Movimentos!$D$4:$D$9996,B3832,Movimentos!$C$4:$C$9996,"Entrada")-SUMIFS(Movimentos!$F$4:$F$9996,Movimentos!$D$4:$D$9996,B3832,Movimentos!$C$4:$C$9996,"Saída"),""),"")</f>
        <v/>
      </c>
      <c r="F3832" s="10" t="str">
        <f t="shared" si="122"/>
        <v/>
      </c>
    </row>
    <row r="3833" spans="1:6" x14ac:dyDescent="0.3">
      <c r="A3833" s="15" t="str">
        <f t="shared" si="121"/>
        <v>.</v>
      </c>
      <c r="E3833" s="13" t="str">
        <f>IFERROR(IF(AND(B3833&lt;&gt;"",C3833&lt;&gt;""),SUMIFS(Movimentos!$F$4:$F$9996,Movimentos!$D$4:$D$9996,B3833,Movimentos!$C$4:$C$9996,"Entrada")-SUMIFS(Movimentos!$F$4:$F$9996,Movimentos!$D$4:$D$9996,B3833,Movimentos!$C$4:$C$9996,"Saída"),""),"")</f>
        <v/>
      </c>
      <c r="F3833" s="10" t="str">
        <f t="shared" si="122"/>
        <v/>
      </c>
    </row>
    <row r="3834" spans="1:6" x14ac:dyDescent="0.3">
      <c r="A3834" s="15" t="str">
        <f t="shared" si="121"/>
        <v>.</v>
      </c>
      <c r="E3834" s="13" t="str">
        <f>IFERROR(IF(AND(B3834&lt;&gt;"",C3834&lt;&gt;""),SUMIFS(Movimentos!$F$4:$F$9996,Movimentos!$D$4:$D$9996,B3834,Movimentos!$C$4:$C$9996,"Entrada")-SUMIFS(Movimentos!$F$4:$F$9996,Movimentos!$D$4:$D$9996,B3834,Movimentos!$C$4:$C$9996,"Saída"),""),"")</f>
        <v/>
      </c>
      <c r="F3834" s="10" t="str">
        <f t="shared" si="122"/>
        <v/>
      </c>
    </row>
    <row r="3835" spans="1:6" x14ac:dyDescent="0.3">
      <c r="A3835" s="15" t="str">
        <f t="shared" si="121"/>
        <v>.</v>
      </c>
      <c r="E3835" s="13" t="str">
        <f>IFERROR(IF(AND(B3835&lt;&gt;"",C3835&lt;&gt;""),SUMIFS(Movimentos!$F$4:$F$9996,Movimentos!$D$4:$D$9996,B3835,Movimentos!$C$4:$C$9996,"Entrada")-SUMIFS(Movimentos!$F$4:$F$9996,Movimentos!$D$4:$D$9996,B3835,Movimentos!$C$4:$C$9996,"Saída"),""),"")</f>
        <v/>
      </c>
      <c r="F3835" s="10" t="str">
        <f t="shared" si="122"/>
        <v/>
      </c>
    </row>
    <row r="3836" spans="1:6" x14ac:dyDescent="0.3">
      <c r="A3836" s="15" t="str">
        <f t="shared" si="121"/>
        <v>.</v>
      </c>
      <c r="E3836" s="13" t="str">
        <f>IFERROR(IF(AND(B3836&lt;&gt;"",C3836&lt;&gt;""),SUMIFS(Movimentos!$F$4:$F$9996,Movimentos!$D$4:$D$9996,B3836,Movimentos!$C$4:$C$9996,"Entrada")-SUMIFS(Movimentos!$F$4:$F$9996,Movimentos!$D$4:$D$9996,B3836,Movimentos!$C$4:$C$9996,"Saída"),""),"")</f>
        <v/>
      </c>
      <c r="F3836" s="10" t="str">
        <f t="shared" si="122"/>
        <v/>
      </c>
    </row>
    <row r="3837" spans="1:6" x14ac:dyDescent="0.3">
      <c r="A3837" s="15" t="str">
        <f t="shared" si="121"/>
        <v>.</v>
      </c>
      <c r="E3837" s="13" t="str">
        <f>IFERROR(IF(AND(B3837&lt;&gt;"",C3837&lt;&gt;""),SUMIFS(Movimentos!$F$4:$F$9996,Movimentos!$D$4:$D$9996,B3837,Movimentos!$C$4:$C$9996,"Entrada")-SUMIFS(Movimentos!$F$4:$F$9996,Movimentos!$D$4:$D$9996,B3837,Movimentos!$C$4:$C$9996,"Saída"),""),"")</f>
        <v/>
      </c>
      <c r="F3837" s="10" t="str">
        <f t="shared" si="122"/>
        <v/>
      </c>
    </row>
    <row r="3838" spans="1:6" x14ac:dyDescent="0.3">
      <c r="A3838" s="15" t="str">
        <f t="shared" si="121"/>
        <v>.</v>
      </c>
      <c r="E3838" s="13" t="str">
        <f>IFERROR(IF(AND(B3838&lt;&gt;"",C3838&lt;&gt;""),SUMIFS(Movimentos!$F$4:$F$9996,Movimentos!$D$4:$D$9996,B3838,Movimentos!$C$4:$C$9996,"Entrada")-SUMIFS(Movimentos!$F$4:$F$9996,Movimentos!$D$4:$D$9996,B3838,Movimentos!$C$4:$C$9996,"Saída"),""),"")</f>
        <v/>
      </c>
      <c r="F3838" s="10" t="str">
        <f t="shared" si="122"/>
        <v/>
      </c>
    </row>
    <row r="3839" spans="1:6" x14ac:dyDescent="0.3">
      <c r="A3839" s="15" t="str">
        <f t="shared" si="121"/>
        <v>.</v>
      </c>
      <c r="E3839" s="13" t="str">
        <f>IFERROR(IF(AND(B3839&lt;&gt;"",C3839&lt;&gt;""),SUMIFS(Movimentos!$F$4:$F$9996,Movimentos!$D$4:$D$9996,B3839,Movimentos!$C$4:$C$9996,"Entrada")-SUMIFS(Movimentos!$F$4:$F$9996,Movimentos!$D$4:$D$9996,B3839,Movimentos!$C$4:$C$9996,"Saída"),""),"")</f>
        <v/>
      </c>
      <c r="F3839" s="10" t="str">
        <f t="shared" si="122"/>
        <v/>
      </c>
    </row>
    <row r="3840" spans="1:6" x14ac:dyDescent="0.3">
      <c r="A3840" s="15" t="str">
        <f t="shared" ref="A3840:A3903" si="123">IF(F3840="Saldo zerado",0,IF(F3840="Saldo abaixo do mínimo",1,IF(F3840="Saldo disponível",2,".")))</f>
        <v>.</v>
      </c>
      <c r="E3840" s="13" t="str">
        <f>IFERROR(IF(AND(B3840&lt;&gt;"",C3840&lt;&gt;""),SUMIFS(Movimentos!$F$4:$F$9996,Movimentos!$D$4:$D$9996,B3840,Movimentos!$C$4:$C$9996,"Entrada")-SUMIFS(Movimentos!$F$4:$F$9996,Movimentos!$D$4:$D$9996,B3840,Movimentos!$C$4:$C$9996,"Saída"),""),"")</f>
        <v/>
      </c>
      <c r="F3840" s="10" t="str">
        <f t="shared" si="122"/>
        <v/>
      </c>
    </row>
    <row r="3841" spans="1:6" x14ac:dyDescent="0.3">
      <c r="A3841" s="15" t="str">
        <f t="shared" si="123"/>
        <v>.</v>
      </c>
      <c r="E3841" s="13" t="str">
        <f>IFERROR(IF(AND(B3841&lt;&gt;"",C3841&lt;&gt;""),SUMIFS(Movimentos!$F$4:$F$9996,Movimentos!$D$4:$D$9996,B3841,Movimentos!$C$4:$C$9996,"Entrada")-SUMIFS(Movimentos!$F$4:$F$9996,Movimentos!$D$4:$D$9996,B3841,Movimentos!$C$4:$C$9996,"Saída"),""),"")</f>
        <v/>
      </c>
      <c r="F3841" s="10" t="str">
        <f t="shared" si="122"/>
        <v/>
      </c>
    </row>
    <row r="3842" spans="1:6" x14ac:dyDescent="0.3">
      <c r="A3842" s="15" t="str">
        <f t="shared" si="123"/>
        <v>.</v>
      </c>
      <c r="E3842" s="13" t="str">
        <f>IFERROR(IF(AND(B3842&lt;&gt;"",C3842&lt;&gt;""),SUMIFS(Movimentos!$F$4:$F$9996,Movimentos!$D$4:$D$9996,B3842,Movimentos!$C$4:$C$9996,"Entrada")-SUMIFS(Movimentos!$F$4:$F$9996,Movimentos!$D$4:$D$9996,B3842,Movimentos!$C$4:$C$9996,"Saída"),""),"")</f>
        <v/>
      </c>
      <c r="F3842" s="10" t="str">
        <f t="shared" si="122"/>
        <v/>
      </c>
    </row>
    <row r="3843" spans="1:6" x14ac:dyDescent="0.3">
      <c r="A3843" s="15" t="str">
        <f t="shared" si="123"/>
        <v>.</v>
      </c>
      <c r="E3843" s="13" t="str">
        <f>IFERROR(IF(AND(B3843&lt;&gt;"",C3843&lt;&gt;""),SUMIFS(Movimentos!$F$4:$F$9996,Movimentos!$D$4:$D$9996,B3843,Movimentos!$C$4:$C$9996,"Entrada")-SUMIFS(Movimentos!$F$4:$F$9996,Movimentos!$D$4:$D$9996,B3843,Movimentos!$C$4:$C$9996,"Saída"),""),"")</f>
        <v/>
      </c>
      <c r="F3843" s="10" t="str">
        <f t="shared" si="122"/>
        <v/>
      </c>
    </row>
    <row r="3844" spans="1:6" x14ac:dyDescent="0.3">
      <c r="A3844" s="15" t="str">
        <f t="shared" si="123"/>
        <v>.</v>
      </c>
      <c r="E3844" s="13" t="str">
        <f>IFERROR(IF(AND(B3844&lt;&gt;"",C3844&lt;&gt;""),SUMIFS(Movimentos!$F$4:$F$9996,Movimentos!$D$4:$D$9996,B3844,Movimentos!$C$4:$C$9996,"Entrada")-SUMIFS(Movimentos!$F$4:$F$9996,Movimentos!$D$4:$D$9996,B3844,Movimentos!$C$4:$C$9996,"Saída"),""),"")</f>
        <v/>
      </c>
      <c r="F3844" s="10" t="str">
        <f t="shared" si="122"/>
        <v/>
      </c>
    </row>
    <row r="3845" spans="1:6" x14ac:dyDescent="0.3">
      <c r="A3845" s="15" t="str">
        <f t="shared" si="123"/>
        <v>.</v>
      </c>
      <c r="E3845" s="13" t="str">
        <f>IFERROR(IF(AND(B3845&lt;&gt;"",C3845&lt;&gt;""),SUMIFS(Movimentos!$F$4:$F$9996,Movimentos!$D$4:$D$9996,B3845,Movimentos!$C$4:$C$9996,"Entrada")-SUMIFS(Movimentos!$F$4:$F$9996,Movimentos!$D$4:$D$9996,B3845,Movimentos!$C$4:$C$9996,"Saída"),""),"")</f>
        <v/>
      </c>
      <c r="F3845" s="10" t="str">
        <f t="shared" si="122"/>
        <v/>
      </c>
    </row>
    <row r="3846" spans="1:6" x14ac:dyDescent="0.3">
      <c r="A3846" s="15" t="str">
        <f t="shared" si="123"/>
        <v>.</v>
      </c>
      <c r="E3846" s="13" t="str">
        <f>IFERROR(IF(AND(B3846&lt;&gt;"",C3846&lt;&gt;""),SUMIFS(Movimentos!$F$4:$F$9996,Movimentos!$D$4:$D$9996,B3846,Movimentos!$C$4:$C$9996,"Entrada")-SUMIFS(Movimentos!$F$4:$F$9996,Movimentos!$D$4:$D$9996,B3846,Movimentos!$C$4:$C$9996,"Saída"),""),"")</f>
        <v/>
      </c>
      <c r="F3846" s="10" t="str">
        <f t="shared" si="122"/>
        <v/>
      </c>
    </row>
    <row r="3847" spans="1:6" x14ac:dyDescent="0.3">
      <c r="A3847" s="15" t="str">
        <f t="shared" si="123"/>
        <v>.</v>
      </c>
      <c r="E3847" s="13" t="str">
        <f>IFERROR(IF(AND(B3847&lt;&gt;"",C3847&lt;&gt;""),SUMIFS(Movimentos!$F$4:$F$9996,Movimentos!$D$4:$D$9996,B3847,Movimentos!$C$4:$C$9996,"Entrada")-SUMIFS(Movimentos!$F$4:$F$9996,Movimentos!$D$4:$D$9996,B3847,Movimentos!$C$4:$C$9996,"Saída"),""),"")</f>
        <v/>
      </c>
      <c r="F3847" s="10" t="str">
        <f t="shared" si="122"/>
        <v/>
      </c>
    </row>
    <row r="3848" spans="1:6" x14ac:dyDescent="0.3">
      <c r="A3848" s="15" t="str">
        <f t="shared" si="123"/>
        <v>.</v>
      </c>
      <c r="E3848" s="13" t="str">
        <f>IFERROR(IF(AND(B3848&lt;&gt;"",C3848&lt;&gt;""),SUMIFS(Movimentos!$F$4:$F$9996,Movimentos!$D$4:$D$9996,B3848,Movimentos!$C$4:$C$9996,"Entrada")-SUMIFS(Movimentos!$F$4:$F$9996,Movimentos!$D$4:$D$9996,B3848,Movimentos!$C$4:$C$9996,"Saída"),""),"")</f>
        <v/>
      </c>
      <c r="F3848" s="10" t="str">
        <f t="shared" si="122"/>
        <v/>
      </c>
    </row>
    <row r="3849" spans="1:6" x14ac:dyDescent="0.3">
      <c r="A3849" s="15" t="str">
        <f t="shared" si="123"/>
        <v>.</v>
      </c>
      <c r="E3849" s="13" t="str">
        <f>IFERROR(IF(AND(B3849&lt;&gt;"",C3849&lt;&gt;""),SUMIFS(Movimentos!$F$4:$F$9996,Movimentos!$D$4:$D$9996,B3849,Movimentos!$C$4:$C$9996,"Entrada")-SUMIFS(Movimentos!$F$4:$F$9996,Movimentos!$D$4:$D$9996,B3849,Movimentos!$C$4:$C$9996,"Saída"),""),"")</f>
        <v/>
      </c>
      <c r="F3849" s="10" t="str">
        <f t="shared" si="122"/>
        <v/>
      </c>
    </row>
    <row r="3850" spans="1:6" x14ac:dyDescent="0.3">
      <c r="A3850" s="15" t="str">
        <f t="shared" si="123"/>
        <v>.</v>
      </c>
      <c r="E3850" s="13" t="str">
        <f>IFERROR(IF(AND(B3850&lt;&gt;"",C3850&lt;&gt;""),SUMIFS(Movimentos!$F$4:$F$9996,Movimentos!$D$4:$D$9996,B3850,Movimentos!$C$4:$C$9996,"Entrada")-SUMIFS(Movimentos!$F$4:$F$9996,Movimentos!$D$4:$D$9996,B3850,Movimentos!$C$4:$C$9996,"Saída"),""),"")</f>
        <v/>
      </c>
      <c r="F3850" s="10" t="str">
        <f t="shared" si="122"/>
        <v/>
      </c>
    </row>
    <row r="3851" spans="1:6" x14ac:dyDescent="0.3">
      <c r="A3851" s="15" t="str">
        <f t="shared" si="123"/>
        <v>.</v>
      </c>
      <c r="E3851" s="13" t="str">
        <f>IFERROR(IF(AND(B3851&lt;&gt;"",C3851&lt;&gt;""),SUMIFS(Movimentos!$F$4:$F$9996,Movimentos!$D$4:$D$9996,B3851,Movimentos!$C$4:$C$9996,"Entrada")-SUMIFS(Movimentos!$F$4:$F$9996,Movimentos!$D$4:$D$9996,B3851,Movimentos!$C$4:$C$9996,"Saída"),""),"")</f>
        <v/>
      </c>
      <c r="F3851" s="10" t="str">
        <f t="shared" si="122"/>
        <v/>
      </c>
    </row>
    <row r="3852" spans="1:6" x14ac:dyDescent="0.3">
      <c r="A3852" s="15" t="str">
        <f t="shared" si="123"/>
        <v>.</v>
      </c>
      <c r="E3852" s="13" t="str">
        <f>IFERROR(IF(AND(B3852&lt;&gt;"",C3852&lt;&gt;""),SUMIFS(Movimentos!$F$4:$F$9996,Movimentos!$D$4:$D$9996,B3852,Movimentos!$C$4:$C$9996,"Entrada")-SUMIFS(Movimentos!$F$4:$F$9996,Movimentos!$D$4:$D$9996,B3852,Movimentos!$C$4:$C$9996,"Saída"),""),"")</f>
        <v/>
      </c>
      <c r="F3852" s="10" t="str">
        <f t="shared" si="122"/>
        <v/>
      </c>
    </row>
    <row r="3853" spans="1:6" x14ac:dyDescent="0.3">
      <c r="A3853" s="15" t="str">
        <f t="shared" si="123"/>
        <v>.</v>
      </c>
      <c r="E3853" s="13" t="str">
        <f>IFERROR(IF(AND(B3853&lt;&gt;"",C3853&lt;&gt;""),SUMIFS(Movimentos!$F$4:$F$9996,Movimentos!$D$4:$D$9996,B3853,Movimentos!$C$4:$C$9996,"Entrada")-SUMIFS(Movimentos!$F$4:$F$9996,Movimentos!$D$4:$D$9996,B3853,Movimentos!$C$4:$C$9996,"Saída"),""),"")</f>
        <v/>
      </c>
      <c r="F3853" s="10" t="str">
        <f t="shared" si="122"/>
        <v/>
      </c>
    </row>
    <row r="3854" spans="1:6" x14ac:dyDescent="0.3">
      <c r="A3854" s="15" t="str">
        <f t="shared" si="123"/>
        <v>.</v>
      </c>
      <c r="E3854" s="13" t="str">
        <f>IFERROR(IF(AND(B3854&lt;&gt;"",C3854&lt;&gt;""),SUMIFS(Movimentos!$F$4:$F$9996,Movimentos!$D$4:$D$9996,B3854,Movimentos!$C$4:$C$9996,"Entrada")-SUMIFS(Movimentos!$F$4:$F$9996,Movimentos!$D$4:$D$9996,B3854,Movimentos!$C$4:$C$9996,"Saída"),""),"")</f>
        <v/>
      </c>
      <c r="F3854" s="10" t="str">
        <f t="shared" si="122"/>
        <v/>
      </c>
    </row>
    <row r="3855" spans="1:6" x14ac:dyDescent="0.3">
      <c r="A3855" s="15" t="str">
        <f t="shared" si="123"/>
        <v>.</v>
      </c>
      <c r="E3855" s="13" t="str">
        <f>IFERROR(IF(AND(B3855&lt;&gt;"",C3855&lt;&gt;""),SUMIFS(Movimentos!$F$4:$F$9996,Movimentos!$D$4:$D$9996,B3855,Movimentos!$C$4:$C$9996,"Entrada")-SUMIFS(Movimentos!$F$4:$F$9996,Movimentos!$D$4:$D$9996,B3855,Movimentos!$C$4:$C$9996,"Saída"),""),"")</f>
        <v/>
      </c>
      <c r="F3855" s="10" t="str">
        <f t="shared" si="122"/>
        <v/>
      </c>
    </row>
    <row r="3856" spans="1:6" x14ac:dyDescent="0.3">
      <c r="A3856" s="15" t="str">
        <f t="shared" si="123"/>
        <v>.</v>
      </c>
      <c r="E3856" s="13" t="str">
        <f>IFERROR(IF(AND(B3856&lt;&gt;"",C3856&lt;&gt;""),SUMIFS(Movimentos!$F$4:$F$9996,Movimentos!$D$4:$D$9996,B3856,Movimentos!$C$4:$C$9996,"Entrada")-SUMIFS(Movimentos!$F$4:$F$9996,Movimentos!$D$4:$D$9996,B3856,Movimentos!$C$4:$C$9996,"Saída"),""),"")</f>
        <v/>
      </c>
      <c r="F3856" s="10" t="str">
        <f t="shared" si="122"/>
        <v/>
      </c>
    </row>
    <row r="3857" spans="1:6" x14ac:dyDescent="0.3">
      <c r="A3857" s="15" t="str">
        <f t="shared" si="123"/>
        <v>.</v>
      </c>
      <c r="E3857" s="13" t="str">
        <f>IFERROR(IF(AND(B3857&lt;&gt;"",C3857&lt;&gt;""),SUMIFS(Movimentos!$F$4:$F$9996,Movimentos!$D$4:$D$9996,B3857,Movimentos!$C$4:$C$9996,"Entrada")-SUMIFS(Movimentos!$F$4:$F$9996,Movimentos!$D$4:$D$9996,B3857,Movimentos!$C$4:$C$9996,"Saída"),""),"")</f>
        <v/>
      </c>
      <c r="F3857" s="10" t="str">
        <f t="shared" si="122"/>
        <v/>
      </c>
    </row>
    <row r="3858" spans="1:6" x14ac:dyDescent="0.3">
      <c r="A3858" s="15" t="str">
        <f t="shared" si="123"/>
        <v>.</v>
      </c>
      <c r="E3858" s="13" t="str">
        <f>IFERROR(IF(AND(B3858&lt;&gt;"",C3858&lt;&gt;""),SUMIFS(Movimentos!$F$4:$F$9996,Movimentos!$D$4:$D$9996,B3858,Movimentos!$C$4:$C$9996,"Entrada")-SUMIFS(Movimentos!$F$4:$F$9996,Movimentos!$D$4:$D$9996,B3858,Movimentos!$C$4:$C$9996,"Saída"),""),"")</f>
        <v/>
      </c>
      <c r="F3858" s="10" t="str">
        <f t="shared" si="122"/>
        <v/>
      </c>
    </row>
    <row r="3859" spans="1:6" x14ac:dyDescent="0.3">
      <c r="A3859" s="15" t="str">
        <f t="shared" si="123"/>
        <v>.</v>
      </c>
      <c r="E3859" s="13" t="str">
        <f>IFERROR(IF(AND(B3859&lt;&gt;"",C3859&lt;&gt;""),SUMIFS(Movimentos!$F$4:$F$9996,Movimentos!$D$4:$D$9996,B3859,Movimentos!$C$4:$C$9996,"Entrada")-SUMIFS(Movimentos!$F$4:$F$9996,Movimentos!$D$4:$D$9996,B3859,Movimentos!$C$4:$C$9996,"Saída"),""),"")</f>
        <v/>
      </c>
      <c r="F3859" s="10" t="str">
        <f t="shared" si="122"/>
        <v/>
      </c>
    </row>
    <row r="3860" spans="1:6" x14ac:dyDescent="0.3">
      <c r="A3860" s="15" t="str">
        <f t="shared" si="123"/>
        <v>.</v>
      </c>
      <c r="E3860" s="13" t="str">
        <f>IFERROR(IF(AND(B3860&lt;&gt;"",C3860&lt;&gt;""),SUMIFS(Movimentos!$F$4:$F$9996,Movimentos!$D$4:$D$9996,B3860,Movimentos!$C$4:$C$9996,"Entrada")-SUMIFS(Movimentos!$F$4:$F$9996,Movimentos!$D$4:$D$9996,B3860,Movimentos!$C$4:$C$9996,"Saída"),""),"")</f>
        <v/>
      </c>
      <c r="F3860" s="10" t="str">
        <f t="shared" si="122"/>
        <v/>
      </c>
    </row>
    <row r="3861" spans="1:6" x14ac:dyDescent="0.3">
      <c r="A3861" s="15" t="str">
        <f t="shared" si="123"/>
        <v>.</v>
      </c>
      <c r="E3861" s="13" t="str">
        <f>IFERROR(IF(AND(B3861&lt;&gt;"",C3861&lt;&gt;""),SUMIFS(Movimentos!$F$4:$F$9996,Movimentos!$D$4:$D$9996,B3861,Movimentos!$C$4:$C$9996,"Entrada")-SUMIFS(Movimentos!$F$4:$F$9996,Movimentos!$D$4:$D$9996,B3861,Movimentos!$C$4:$C$9996,"Saída"),""),"")</f>
        <v/>
      </c>
      <c r="F3861" s="10" t="str">
        <f t="shared" si="122"/>
        <v/>
      </c>
    </row>
    <row r="3862" spans="1:6" x14ac:dyDescent="0.3">
      <c r="A3862" s="15" t="str">
        <f t="shared" si="123"/>
        <v>.</v>
      </c>
      <c r="E3862" s="13" t="str">
        <f>IFERROR(IF(AND(B3862&lt;&gt;"",C3862&lt;&gt;""),SUMIFS(Movimentos!$F$4:$F$9996,Movimentos!$D$4:$D$9996,B3862,Movimentos!$C$4:$C$9996,"Entrada")-SUMIFS(Movimentos!$F$4:$F$9996,Movimentos!$D$4:$D$9996,B3862,Movimentos!$C$4:$C$9996,"Saída"),""),"")</f>
        <v/>
      </c>
      <c r="F3862" s="10" t="str">
        <f t="shared" si="122"/>
        <v/>
      </c>
    </row>
    <row r="3863" spans="1:6" x14ac:dyDescent="0.3">
      <c r="A3863" s="15" t="str">
        <f t="shared" si="123"/>
        <v>.</v>
      </c>
      <c r="E3863" s="13" t="str">
        <f>IFERROR(IF(AND(B3863&lt;&gt;"",C3863&lt;&gt;""),SUMIFS(Movimentos!$F$4:$F$9996,Movimentos!$D$4:$D$9996,B3863,Movimentos!$C$4:$C$9996,"Entrada")-SUMIFS(Movimentos!$F$4:$F$9996,Movimentos!$D$4:$D$9996,B3863,Movimentos!$C$4:$C$9996,"Saída"),""),"")</f>
        <v/>
      </c>
      <c r="F3863" s="10" t="str">
        <f t="shared" ref="F3863:F3926" si="124">IF(AND(B3863&lt;&gt;"",C3863&lt;&gt;""),IF(E3863=0,"Saldo zerado",IF(E3863&lt;D3863,"Saldo abaixo do mínimo","Saldo disponível")),"")</f>
        <v/>
      </c>
    </row>
    <row r="3864" spans="1:6" x14ac:dyDescent="0.3">
      <c r="A3864" s="15" t="str">
        <f t="shared" si="123"/>
        <v>.</v>
      </c>
      <c r="E3864" s="13" t="str">
        <f>IFERROR(IF(AND(B3864&lt;&gt;"",C3864&lt;&gt;""),SUMIFS(Movimentos!$F$4:$F$9996,Movimentos!$D$4:$D$9996,B3864,Movimentos!$C$4:$C$9996,"Entrada")-SUMIFS(Movimentos!$F$4:$F$9996,Movimentos!$D$4:$D$9996,B3864,Movimentos!$C$4:$C$9996,"Saída"),""),"")</f>
        <v/>
      </c>
      <c r="F3864" s="10" t="str">
        <f t="shared" si="124"/>
        <v/>
      </c>
    </row>
    <row r="3865" spans="1:6" x14ac:dyDescent="0.3">
      <c r="A3865" s="15" t="str">
        <f t="shared" si="123"/>
        <v>.</v>
      </c>
      <c r="E3865" s="13" t="str">
        <f>IFERROR(IF(AND(B3865&lt;&gt;"",C3865&lt;&gt;""),SUMIFS(Movimentos!$F$4:$F$9996,Movimentos!$D$4:$D$9996,B3865,Movimentos!$C$4:$C$9996,"Entrada")-SUMIFS(Movimentos!$F$4:$F$9996,Movimentos!$D$4:$D$9996,B3865,Movimentos!$C$4:$C$9996,"Saída"),""),"")</f>
        <v/>
      </c>
      <c r="F3865" s="10" t="str">
        <f t="shared" si="124"/>
        <v/>
      </c>
    </row>
    <row r="3866" spans="1:6" x14ac:dyDescent="0.3">
      <c r="A3866" s="15" t="str">
        <f t="shared" si="123"/>
        <v>.</v>
      </c>
      <c r="E3866" s="13" t="str">
        <f>IFERROR(IF(AND(B3866&lt;&gt;"",C3866&lt;&gt;""),SUMIFS(Movimentos!$F$4:$F$9996,Movimentos!$D$4:$D$9996,B3866,Movimentos!$C$4:$C$9996,"Entrada")-SUMIFS(Movimentos!$F$4:$F$9996,Movimentos!$D$4:$D$9996,B3866,Movimentos!$C$4:$C$9996,"Saída"),""),"")</f>
        <v/>
      </c>
      <c r="F3866" s="10" t="str">
        <f t="shared" si="124"/>
        <v/>
      </c>
    </row>
    <row r="3867" spans="1:6" x14ac:dyDescent="0.3">
      <c r="A3867" s="15" t="str">
        <f t="shared" si="123"/>
        <v>.</v>
      </c>
      <c r="E3867" s="13" t="str">
        <f>IFERROR(IF(AND(B3867&lt;&gt;"",C3867&lt;&gt;""),SUMIFS(Movimentos!$F$4:$F$9996,Movimentos!$D$4:$D$9996,B3867,Movimentos!$C$4:$C$9996,"Entrada")-SUMIFS(Movimentos!$F$4:$F$9996,Movimentos!$D$4:$D$9996,B3867,Movimentos!$C$4:$C$9996,"Saída"),""),"")</f>
        <v/>
      </c>
      <c r="F3867" s="10" t="str">
        <f t="shared" si="124"/>
        <v/>
      </c>
    </row>
    <row r="3868" spans="1:6" x14ac:dyDescent="0.3">
      <c r="A3868" s="15" t="str">
        <f t="shared" si="123"/>
        <v>.</v>
      </c>
      <c r="E3868" s="13" t="str">
        <f>IFERROR(IF(AND(B3868&lt;&gt;"",C3868&lt;&gt;""),SUMIFS(Movimentos!$F$4:$F$9996,Movimentos!$D$4:$D$9996,B3868,Movimentos!$C$4:$C$9996,"Entrada")-SUMIFS(Movimentos!$F$4:$F$9996,Movimentos!$D$4:$D$9996,B3868,Movimentos!$C$4:$C$9996,"Saída"),""),"")</f>
        <v/>
      </c>
      <c r="F3868" s="10" t="str">
        <f t="shared" si="124"/>
        <v/>
      </c>
    </row>
    <row r="3869" spans="1:6" x14ac:dyDescent="0.3">
      <c r="A3869" s="15" t="str">
        <f t="shared" si="123"/>
        <v>.</v>
      </c>
      <c r="E3869" s="13" t="str">
        <f>IFERROR(IF(AND(B3869&lt;&gt;"",C3869&lt;&gt;""),SUMIFS(Movimentos!$F$4:$F$9996,Movimentos!$D$4:$D$9996,B3869,Movimentos!$C$4:$C$9996,"Entrada")-SUMIFS(Movimentos!$F$4:$F$9996,Movimentos!$D$4:$D$9996,B3869,Movimentos!$C$4:$C$9996,"Saída"),""),"")</f>
        <v/>
      </c>
      <c r="F3869" s="10" t="str">
        <f t="shared" si="124"/>
        <v/>
      </c>
    </row>
    <row r="3870" spans="1:6" x14ac:dyDescent="0.3">
      <c r="A3870" s="15" t="str">
        <f t="shared" si="123"/>
        <v>.</v>
      </c>
      <c r="E3870" s="13" t="str">
        <f>IFERROR(IF(AND(B3870&lt;&gt;"",C3870&lt;&gt;""),SUMIFS(Movimentos!$F$4:$F$9996,Movimentos!$D$4:$D$9996,B3870,Movimentos!$C$4:$C$9996,"Entrada")-SUMIFS(Movimentos!$F$4:$F$9996,Movimentos!$D$4:$D$9996,B3870,Movimentos!$C$4:$C$9996,"Saída"),""),"")</f>
        <v/>
      </c>
      <c r="F3870" s="10" t="str">
        <f t="shared" si="124"/>
        <v/>
      </c>
    </row>
    <row r="3871" spans="1:6" x14ac:dyDescent="0.3">
      <c r="A3871" s="15" t="str">
        <f t="shared" si="123"/>
        <v>.</v>
      </c>
      <c r="E3871" s="13" t="str">
        <f>IFERROR(IF(AND(B3871&lt;&gt;"",C3871&lt;&gt;""),SUMIFS(Movimentos!$F$4:$F$9996,Movimentos!$D$4:$D$9996,B3871,Movimentos!$C$4:$C$9996,"Entrada")-SUMIFS(Movimentos!$F$4:$F$9996,Movimentos!$D$4:$D$9996,B3871,Movimentos!$C$4:$C$9996,"Saída"),""),"")</f>
        <v/>
      </c>
      <c r="F3871" s="10" t="str">
        <f t="shared" si="124"/>
        <v/>
      </c>
    </row>
    <row r="3872" spans="1:6" x14ac:dyDescent="0.3">
      <c r="A3872" s="15" t="str">
        <f t="shared" si="123"/>
        <v>.</v>
      </c>
      <c r="E3872" s="13" t="str">
        <f>IFERROR(IF(AND(B3872&lt;&gt;"",C3872&lt;&gt;""),SUMIFS(Movimentos!$F$4:$F$9996,Movimentos!$D$4:$D$9996,B3872,Movimentos!$C$4:$C$9996,"Entrada")-SUMIFS(Movimentos!$F$4:$F$9996,Movimentos!$D$4:$D$9996,B3872,Movimentos!$C$4:$C$9996,"Saída"),""),"")</f>
        <v/>
      </c>
      <c r="F3872" s="10" t="str">
        <f t="shared" si="124"/>
        <v/>
      </c>
    </row>
    <row r="3873" spans="1:6" x14ac:dyDescent="0.3">
      <c r="A3873" s="15" t="str">
        <f t="shared" si="123"/>
        <v>.</v>
      </c>
      <c r="E3873" s="13" t="str">
        <f>IFERROR(IF(AND(B3873&lt;&gt;"",C3873&lt;&gt;""),SUMIFS(Movimentos!$F$4:$F$9996,Movimentos!$D$4:$D$9996,B3873,Movimentos!$C$4:$C$9996,"Entrada")-SUMIFS(Movimentos!$F$4:$F$9996,Movimentos!$D$4:$D$9996,B3873,Movimentos!$C$4:$C$9996,"Saída"),""),"")</f>
        <v/>
      </c>
      <c r="F3873" s="10" t="str">
        <f t="shared" si="124"/>
        <v/>
      </c>
    </row>
    <row r="3874" spans="1:6" x14ac:dyDescent="0.3">
      <c r="A3874" s="15" t="str">
        <f t="shared" si="123"/>
        <v>.</v>
      </c>
      <c r="E3874" s="13" t="str">
        <f>IFERROR(IF(AND(B3874&lt;&gt;"",C3874&lt;&gt;""),SUMIFS(Movimentos!$F$4:$F$9996,Movimentos!$D$4:$D$9996,B3874,Movimentos!$C$4:$C$9996,"Entrada")-SUMIFS(Movimentos!$F$4:$F$9996,Movimentos!$D$4:$D$9996,B3874,Movimentos!$C$4:$C$9996,"Saída"),""),"")</f>
        <v/>
      </c>
      <c r="F3874" s="10" t="str">
        <f t="shared" si="124"/>
        <v/>
      </c>
    </row>
    <row r="3875" spans="1:6" x14ac:dyDescent="0.3">
      <c r="A3875" s="15" t="str">
        <f t="shared" si="123"/>
        <v>.</v>
      </c>
      <c r="E3875" s="13" t="str">
        <f>IFERROR(IF(AND(B3875&lt;&gt;"",C3875&lt;&gt;""),SUMIFS(Movimentos!$F$4:$F$9996,Movimentos!$D$4:$D$9996,B3875,Movimentos!$C$4:$C$9996,"Entrada")-SUMIFS(Movimentos!$F$4:$F$9996,Movimentos!$D$4:$D$9996,B3875,Movimentos!$C$4:$C$9996,"Saída"),""),"")</f>
        <v/>
      </c>
      <c r="F3875" s="10" t="str">
        <f t="shared" si="124"/>
        <v/>
      </c>
    </row>
    <row r="3876" spans="1:6" x14ac:dyDescent="0.3">
      <c r="A3876" s="15" t="str">
        <f t="shared" si="123"/>
        <v>.</v>
      </c>
      <c r="E3876" s="13" t="str">
        <f>IFERROR(IF(AND(B3876&lt;&gt;"",C3876&lt;&gt;""),SUMIFS(Movimentos!$F$4:$F$9996,Movimentos!$D$4:$D$9996,B3876,Movimentos!$C$4:$C$9996,"Entrada")-SUMIFS(Movimentos!$F$4:$F$9996,Movimentos!$D$4:$D$9996,B3876,Movimentos!$C$4:$C$9996,"Saída"),""),"")</f>
        <v/>
      </c>
      <c r="F3876" s="10" t="str">
        <f t="shared" si="124"/>
        <v/>
      </c>
    </row>
    <row r="3877" spans="1:6" x14ac:dyDescent="0.3">
      <c r="A3877" s="15" t="str">
        <f t="shared" si="123"/>
        <v>.</v>
      </c>
      <c r="E3877" s="13" t="str">
        <f>IFERROR(IF(AND(B3877&lt;&gt;"",C3877&lt;&gt;""),SUMIFS(Movimentos!$F$4:$F$9996,Movimentos!$D$4:$D$9996,B3877,Movimentos!$C$4:$C$9996,"Entrada")-SUMIFS(Movimentos!$F$4:$F$9996,Movimentos!$D$4:$D$9996,B3877,Movimentos!$C$4:$C$9996,"Saída"),""),"")</f>
        <v/>
      </c>
      <c r="F3877" s="10" t="str">
        <f t="shared" si="124"/>
        <v/>
      </c>
    </row>
    <row r="3878" spans="1:6" x14ac:dyDescent="0.3">
      <c r="A3878" s="15" t="str">
        <f t="shared" si="123"/>
        <v>.</v>
      </c>
      <c r="E3878" s="13" t="str">
        <f>IFERROR(IF(AND(B3878&lt;&gt;"",C3878&lt;&gt;""),SUMIFS(Movimentos!$F$4:$F$9996,Movimentos!$D$4:$D$9996,B3878,Movimentos!$C$4:$C$9996,"Entrada")-SUMIFS(Movimentos!$F$4:$F$9996,Movimentos!$D$4:$D$9996,B3878,Movimentos!$C$4:$C$9996,"Saída"),""),"")</f>
        <v/>
      </c>
      <c r="F3878" s="10" t="str">
        <f t="shared" si="124"/>
        <v/>
      </c>
    </row>
    <row r="3879" spans="1:6" x14ac:dyDescent="0.3">
      <c r="A3879" s="15" t="str">
        <f t="shared" si="123"/>
        <v>.</v>
      </c>
      <c r="E3879" s="13" t="str">
        <f>IFERROR(IF(AND(B3879&lt;&gt;"",C3879&lt;&gt;""),SUMIFS(Movimentos!$F$4:$F$9996,Movimentos!$D$4:$D$9996,B3879,Movimentos!$C$4:$C$9996,"Entrada")-SUMIFS(Movimentos!$F$4:$F$9996,Movimentos!$D$4:$D$9996,B3879,Movimentos!$C$4:$C$9996,"Saída"),""),"")</f>
        <v/>
      </c>
      <c r="F3879" s="10" t="str">
        <f t="shared" si="124"/>
        <v/>
      </c>
    </row>
    <row r="3880" spans="1:6" x14ac:dyDescent="0.3">
      <c r="A3880" s="15" t="str">
        <f t="shared" si="123"/>
        <v>.</v>
      </c>
      <c r="E3880" s="13" t="str">
        <f>IFERROR(IF(AND(B3880&lt;&gt;"",C3880&lt;&gt;""),SUMIFS(Movimentos!$F$4:$F$9996,Movimentos!$D$4:$D$9996,B3880,Movimentos!$C$4:$C$9996,"Entrada")-SUMIFS(Movimentos!$F$4:$F$9996,Movimentos!$D$4:$D$9996,B3880,Movimentos!$C$4:$C$9996,"Saída"),""),"")</f>
        <v/>
      </c>
      <c r="F3880" s="10" t="str">
        <f t="shared" si="124"/>
        <v/>
      </c>
    </row>
    <row r="3881" spans="1:6" x14ac:dyDescent="0.3">
      <c r="A3881" s="15" t="str">
        <f t="shared" si="123"/>
        <v>.</v>
      </c>
      <c r="E3881" s="13" t="str">
        <f>IFERROR(IF(AND(B3881&lt;&gt;"",C3881&lt;&gt;""),SUMIFS(Movimentos!$F$4:$F$9996,Movimentos!$D$4:$D$9996,B3881,Movimentos!$C$4:$C$9996,"Entrada")-SUMIFS(Movimentos!$F$4:$F$9996,Movimentos!$D$4:$D$9996,B3881,Movimentos!$C$4:$C$9996,"Saída"),""),"")</f>
        <v/>
      </c>
      <c r="F3881" s="10" t="str">
        <f t="shared" si="124"/>
        <v/>
      </c>
    </row>
    <row r="3882" spans="1:6" x14ac:dyDescent="0.3">
      <c r="A3882" s="15" t="str">
        <f t="shared" si="123"/>
        <v>.</v>
      </c>
      <c r="E3882" s="13" t="str">
        <f>IFERROR(IF(AND(B3882&lt;&gt;"",C3882&lt;&gt;""),SUMIFS(Movimentos!$F$4:$F$9996,Movimentos!$D$4:$D$9996,B3882,Movimentos!$C$4:$C$9996,"Entrada")-SUMIFS(Movimentos!$F$4:$F$9996,Movimentos!$D$4:$D$9996,B3882,Movimentos!$C$4:$C$9996,"Saída"),""),"")</f>
        <v/>
      </c>
      <c r="F3882" s="10" t="str">
        <f t="shared" si="124"/>
        <v/>
      </c>
    </row>
    <row r="3883" spans="1:6" x14ac:dyDescent="0.3">
      <c r="A3883" s="15" t="str">
        <f t="shared" si="123"/>
        <v>.</v>
      </c>
      <c r="E3883" s="13" t="str">
        <f>IFERROR(IF(AND(B3883&lt;&gt;"",C3883&lt;&gt;""),SUMIFS(Movimentos!$F$4:$F$9996,Movimentos!$D$4:$D$9996,B3883,Movimentos!$C$4:$C$9996,"Entrada")-SUMIFS(Movimentos!$F$4:$F$9996,Movimentos!$D$4:$D$9996,B3883,Movimentos!$C$4:$C$9996,"Saída"),""),"")</f>
        <v/>
      </c>
      <c r="F3883" s="10" t="str">
        <f t="shared" si="124"/>
        <v/>
      </c>
    </row>
    <row r="3884" spans="1:6" x14ac:dyDescent="0.3">
      <c r="A3884" s="15" t="str">
        <f t="shared" si="123"/>
        <v>.</v>
      </c>
      <c r="E3884" s="13" t="str">
        <f>IFERROR(IF(AND(B3884&lt;&gt;"",C3884&lt;&gt;""),SUMIFS(Movimentos!$F$4:$F$9996,Movimentos!$D$4:$D$9996,B3884,Movimentos!$C$4:$C$9996,"Entrada")-SUMIFS(Movimentos!$F$4:$F$9996,Movimentos!$D$4:$D$9996,B3884,Movimentos!$C$4:$C$9996,"Saída"),""),"")</f>
        <v/>
      </c>
      <c r="F3884" s="10" t="str">
        <f t="shared" si="124"/>
        <v/>
      </c>
    </row>
    <row r="3885" spans="1:6" x14ac:dyDescent="0.3">
      <c r="A3885" s="15" t="str">
        <f t="shared" si="123"/>
        <v>.</v>
      </c>
      <c r="E3885" s="13" t="str">
        <f>IFERROR(IF(AND(B3885&lt;&gt;"",C3885&lt;&gt;""),SUMIFS(Movimentos!$F$4:$F$9996,Movimentos!$D$4:$D$9996,B3885,Movimentos!$C$4:$C$9996,"Entrada")-SUMIFS(Movimentos!$F$4:$F$9996,Movimentos!$D$4:$D$9996,B3885,Movimentos!$C$4:$C$9996,"Saída"),""),"")</f>
        <v/>
      </c>
      <c r="F3885" s="10" t="str">
        <f t="shared" si="124"/>
        <v/>
      </c>
    </row>
    <row r="3886" spans="1:6" x14ac:dyDescent="0.3">
      <c r="A3886" s="15" t="str">
        <f t="shared" si="123"/>
        <v>.</v>
      </c>
      <c r="E3886" s="13" t="str">
        <f>IFERROR(IF(AND(B3886&lt;&gt;"",C3886&lt;&gt;""),SUMIFS(Movimentos!$F$4:$F$9996,Movimentos!$D$4:$D$9996,B3886,Movimentos!$C$4:$C$9996,"Entrada")-SUMIFS(Movimentos!$F$4:$F$9996,Movimentos!$D$4:$D$9996,B3886,Movimentos!$C$4:$C$9996,"Saída"),""),"")</f>
        <v/>
      </c>
      <c r="F3886" s="10" t="str">
        <f t="shared" si="124"/>
        <v/>
      </c>
    </row>
    <row r="3887" spans="1:6" x14ac:dyDescent="0.3">
      <c r="A3887" s="15" t="str">
        <f t="shared" si="123"/>
        <v>.</v>
      </c>
      <c r="E3887" s="13" t="str">
        <f>IFERROR(IF(AND(B3887&lt;&gt;"",C3887&lt;&gt;""),SUMIFS(Movimentos!$F$4:$F$9996,Movimentos!$D$4:$D$9996,B3887,Movimentos!$C$4:$C$9996,"Entrada")-SUMIFS(Movimentos!$F$4:$F$9996,Movimentos!$D$4:$D$9996,B3887,Movimentos!$C$4:$C$9996,"Saída"),""),"")</f>
        <v/>
      </c>
      <c r="F3887" s="10" t="str">
        <f t="shared" si="124"/>
        <v/>
      </c>
    </row>
    <row r="3888" spans="1:6" x14ac:dyDescent="0.3">
      <c r="A3888" s="15" t="str">
        <f t="shared" si="123"/>
        <v>.</v>
      </c>
      <c r="E3888" s="13" t="str">
        <f>IFERROR(IF(AND(B3888&lt;&gt;"",C3888&lt;&gt;""),SUMIFS(Movimentos!$F$4:$F$9996,Movimentos!$D$4:$D$9996,B3888,Movimentos!$C$4:$C$9996,"Entrada")-SUMIFS(Movimentos!$F$4:$F$9996,Movimentos!$D$4:$D$9996,B3888,Movimentos!$C$4:$C$9996,"Saída"),""),"")</f>
        <v/>
      </c>
      <c r="F3888" s="10" t="str">
        <f t="shared" si="124"/>
        <v/>
      </c>
    </row>
    <row r="3889" spans="1:6" x14ac:dyDescent="0.3">
      <c r="A3889" s="15" t="str">
        <f t="shared" si="123"/>
        <v>.</v>
      </c>
      <c r="E3889" s="13" t="str">
        <f>IFERROR(IF(AND(B3889&lt;&gt;"",C3889&lt;&gt;""),SUMIFS(Movimentos!$F$4:$F$9996,Movimentos!$D$4:$D$9996,B3889,Movimentos!$C$4:$C$9996,"Entrada")-SUMIFS(Movimentos!$F$4:$F$9996,Movimentos!$D$4:$D$9996,B3889,Movimentos!$C$4:$C$9996,"Saída"),""),"")</f>
        <v/>
      </c>
      <c r="F3889" s="10" t="str">
        <f t="shared" si="124"/>
        <v/>
      </c>
    </row>
    <row r="3890" spans="1:6" x14ac:dyDescent="0.3">
      <c r="A3890" s="15" t="str">
        <f t="shared" si="123"/>
        <v>.</v>
      </c>
      <c r="E3890" s="13" t="str">
        <f>IFERROR(IF(AND(B3890&lt;&gt;"",C3890&lt;&gt;""),SUMIFS(Movimentos!$F$4:$F$9996,Movimentos!$D$4:$D$9996,B3890,Movimentos!$C$4:$C$9996,"Entrada")-SUMIFS(Movimentos!$F$4:$F$9996,Movimentos!$D$4:$D$9996,B3890,Movimentos!$C$4:$C$9996,"Saída"),""),"")</f>
        <v/>
      </c>
      <c r="F3890" s="10" t="str">
        <f t="shared" si="124"/>
        <v/>
      </c>
    </row>
    <row r="3891" spans="1:6" x14ac:dyDescent="0.3">
      <c r="A3891" s="15" t="str">
        <f t="shared" si="123"/>
        <v>.</v>
      </c>
      <c r="E3891" s="13" t="str">
        <f>IFERROR(IF(AND(B3891&lt;&gt;"",C3891&lt;&gt;""),SUMIFS(Movimentos!$F$4:$F$9996,Movimentos!$D$4:$D$9996,B3891,Movimentos!$C$4:$C$9996,"Entrada")-SUMIFS(Movimentos!$F$4:$F$9996,Movimentos!$D$4:$D$9996,B3891,Movimentos!$C$4:$C$9996,"Saída"),""),"")</f>
        <v/>
      </c>
      <c r="F3891" s="10" t="str">
        <f t="shared" si="124"/>
        <v/>
      </c>
    </row>
    <row r="3892" spans="1:6" x14ac:dyDescent="0.3">
      <c r="A3892" s="15" t="str">
        <f t="shared" si="123"/>
        <v>.</v>
      </c>
      <c r="E3892" s="13" t="str">
        <f>IFERROR(IF(AND(B3892&lt;&gt;"",C3892&lt;&gt;""),SUMIFS(Movimentos!$F$4:$F$9996,Movimentos!$D$4:$D$9996,B3892,Movimentos!$C$4:$C$9996,"Entrada")-SUMIFS(Movimentos!$F$4:$F$9996,Movimentos!$D$4:$D$9996,B3892,Movimentos!$C$4:$C$9996,"Saída"),""),"")</f>
        <v/>
      </c>
      <c r="F3892" s="10" t="str">
        <f t="shared" si="124"/>
        <v/>
      </c>
    </row>
    <row r="3893" spans="1:6" x14ac:dyDescent="0.3">
      <c r="A3893" s="15" t="str">
        <f t="shared" si="123"/>
        <v>.</v>
      </c>
      <c r="E3893" s="13" t="str">
        <f>IFERROR(IF(AND(B3893&lt;&gt;"",C3893&lt;&gt;""),SUMIFS(Movimentos!$F$4:$F$9996,Movimentos!$D$4:$D$9996,B3893,Movimentos!$C$4:$C$9996,"Entrada")-SUMIFS(Movimentos!$F$4:$F$9996,Movimentos!$D$4:$D$9996,B3893,Movimentos!$C$4:$C$9996,"Saída"),""),"")</f>
        <v/>
      </c>
      <c r="F3893" s="10" t="str">
        <f t="shared" si="124"/>
        <v/>
      </c>
    </row>
    <row r="3894" spans="1:6" x14ac:dyDescent="0.3">
      <c r="A3894" s="15" t="str">
        <f t="shared" si="123"/>
        <v>.</v>
      </c>
      <c r="E3894" s="13" t="str">
        <f>IFERROR(IF(AND(B3894&lt;&gt;"",C3894&lt;&gt;""),SUMIFS(Movimentos!$F$4:$F$9996,Movimentos!$D$4:$D$9996,B3894,Movimentos!$C$4:$C$9996,"Entrada")-SUMIFS(Movimentos!$F$4:$F$9996,Movimentos!$D$4:$D$9996,B3894,Movimentos!$C$4:$C$9996,"Saída"),""),"")</f>
        <v/>
      </c>
      <c r="F3894" s="10" t="str">
        <f t="shared" si="124"/>
        <v/>
      </c>
    </row>
    <row r="3895" spans="1:6" x14ac:dyDescent="0.3">
      <c r="A3895" s="15" t="str">
        <f t="shared" si="123"/>
        <v>.</v>
      </c>
      <c r="E3895" s="13" t="str">
        <f>IFERROR(IF(AND(B3895&lt;&gt;"",C3895&lt;&gt;""),SUMIFS(Movimentos!$F$4:$F$9996,Movimentos!$D$4:$D$9996,B3895,Movimentos!$C$4:$C$9996,"Entrada")-SUMIFS(Movimentos!$F$4:$F$9996,Movimentos!$D$4:$D$9996,B3895,Movimentos!$C$4:$C$9996,"Saída"),""),"")</f>
        <v/>
      </c>
      <c r="F3895" s="10" t="str">
        <f t="shared" si="124"/>
        <v/>
      </c>
    </row>
    <row r="3896" spans="1:6" x14ac:dyDescent="0.3">
      <c r="A3896" s="15" t="str">
        <f t="shared" si="123"/>
        <v>.</v>
      </c>
      <c r="E3896" s="13" t="str">
        <f>IFERROR(IF(AND(B3896&lt;&gt;"",C3896&lt;&gt;""),SUMIFS(Movimentos!$F$4:$F$9996,Movimentos!$D$4:$D$9996,B3896,Movimentos!$C$4:$C$9996,"Entrada")-SUMIFS(Movimentos!$F$4:$F$9996,Movimentos!$D$4:$D$9996,B3896,Movimentos!$C$4:$C$9996,"Saída"),""),"")</f>
        <v/>
      </c>
      <c r="F3896" s="10" t="str">
        <f t="shared" si="124"/>
        <v/>
      </c>
    </row>
    <row r="3897" spans="1:6" x14ac:dyDescent="0.3">
      <c r="A3897" s="15" t="str">
        <f t="shared" si="123"/>
        <v>.</v>
      </c>
      <c r="E3897" s="13" t="str">
        <f>IFERROR(IF(AND(B3897&lt;&gt;"",C3897&lt;&gt;""),SUMIFS(Movimentos!$F$4:$F$9996,Movimentos!$D$4:$D$9996,B3897,Movimentos!$C$4:$C$9996,"Entrada")-SUMIFS(Movimentos!$F$4:$F$9996,Movimentos!$D$4:$D$9996,B3897,Movimentos!$C$4:$C$9996,"Saída"),""),"")</f>
        <v/>
      </c>
      <c r="F3897" s="10" t="str">
        <f t="shared" si="124"/>
        <v/>
      </c>
    </row>
    <row r="3898" spans="1:6" x14ac:dyDescent="0.3">
      <c r="A3898" s="15" t="str">
        <f t="shared" si="123"/>
        <v>.</v>
      </c>
      <c r="E3898" s="13" t="str">
        <f>IFERROR(IF(AND(B3898&lt;&gt;"",C3898&lt;&gt;""),SUMIFS(Movimentos!$F$4:$F$9996,Movimentos!$D$4:$D$9996,B3898,Movimentos!$C$4:$C$9996,"Entrada")-SUMIFS(Movimentos!$F$4:$F$9996,Movimentos!$D$4:$D$9996,B3898,Movimentos!$C$4:$C$9996,"Saída"),""),"")</f>
        <v/>
      </c>
      <c r="F3898" s="10" t="str">
        <f t="shared" si="124"/>
        <v/>
      </c>
    </row>
    <row r="3899" spans="1:6" x14ac:dyDescent="0.3">
      <c r="A3899" s="15" t="str">
        <f t="shared" si="123"/>
        <v>.</v>
      </c>
      <c r="E3899" s="13" t="str">
        <f>IFERROR(IF(AND(B3899&lt;&gt;"",C3899&lt;&gt;""),SUMIFS(Movimentos!$F$4:$F$9996,Movimentos!$D$4:$D$9996,B3899,Movimentos!$C$4:$C$9996,"Entrada")-SUMIFS(Movimentos!$F$4:$F$9996,Movimentos!$D$4:$D$9996,B3899,Movimentos!$C$4:$C$9996,"Saída"),""),"")</f>
        <v/>
      </c>
      <c r="F3899" s="10" t="str">
        <f t="shared" si="124"/>
        <v/>
      </c>
    </row>
    <row r="3900" spans="1:6" x14ac:dyDescent="0.3">
      <c r="A3900" s="15" t="str">
        <f t="shared" si="123"/>
        <v>.</v>
      </c>
      <c r="E3900" s="13" t="str">
        <f>IFERROR(IF(AND(B3900&lt;&gt;"",C3900&lt;&gt;""),SUMIFS(Movimentos!$F$4:$F$9996,Movimentos!$D$4:$D$9996,B3900,Movimentos!$C$4:$C$9996,"Entrada")-SUMIFS(Movimentos!$F$4:$F$9996,Movimentos!$D$4:$D$9996,B3900,Movimentos!$C$4:$C$9996,"Saída"),""),"")</f>
        <v/>
      </c>
      <c r="F3900" s="10" t="str">
        <f t="shared" si="124"/>
        <v/>
      </c>
    </row>
    <row r="3901" spans="1:6" x14ac:dyDescent="0.3">
      <c r="A3901" s="15" t="str">
        <f t="shared" si="123"/>
        <v>.</v>
      </c>
      <c r="E3901" s="13" t="str">
        <f>IFERROR(IF(AND(B3901&lt;&gt;"",C3901&lt;&gt;""),SUMIFS(Movimentos!$F$4:$F$9996,Movimentos!$D$4:$D$9996,B3901,Movimentos!$C$4:$C$9996,"Entrada")-SUMIFS(Movimentos!$F$4:$F$9996,Movimentos!$D$4:$D$9996,B3901,Movimentos!$C$4:$C$9996,"Saída"),""),"")</f>
        <v/>
      </c>
      <c r="F3901" s="10" t="str">
        <f t="shared" si="124"/>
        <v/>
      </c>
    </row>
    <row r="3902" spans="1:6" x14ac:dyDescent="0.3">
      <c r="A3902" s="15" t="str">
        <f t="shared" si="123"/>
        <v>.</v>
      </c>
      <c r="E3902" s="13" t="str">
        <f>IFERROR(IF(AND(B3902&lt;&gt;"",C3902&lt;&gt;""),SUMIFS(Movimentos!$F$4:$F$9996,Movimentos!$D$4:$D$9996,B3902,Movimentos!$C$4:$C$9996,"Entrada")-SUMIFS(Movimentos!$F$4:$F$9996,Movimentos!$D$4:$D$9996,B3902,Movimentos!$C$4:$C$9996,"Saída"),""),"")</f>
        <v/>
      </c>
      <c r="F3902" s="10" t="str">
        <f t="shared" si="124"/>
        <v/>
      </c>
    </row>
    <row r="3903" spans="1:6" x14ac:dyDescent="0.3">
      <c r="A3903" s="15" t="str">
        <f t="shared" si="123"/>
        <v>.</v>
      </c>
      <c r="E3903" s="13" t="str">
        <f>IFERROR(IF(AND(B3903&lt;&gt;"",C3903&lt;&gt;""),SUMIFS(Movimentos!$F$4:$F$9996,Movimentos!$D$4:$D$9996,B3903,Movimentos!$C$4:$C$9996,"Entrada")-SUMIFS(Movimentos!$F$4:$F$9996,Movimentos!$D$4:$D$9996,B3903,Movimentos!$C$4:$C$9996,"Saída"),""),"")</f>
        <v/>
      </c>
      <c r="F3903" s="10" t="str">
        <f t="shared" si="124"/>
        <v/>
      </c>
    </row>
    <row r="3904" spans="1:6" x14ac:dyDescent="0.3">
      <c r="A3904" s="15" t="str">
        <f t="shared" ref="A3904:A3967" si="125">IF(F3904="Saldo zerado",0,IF(F3904="Saldo abaixo do mínimo",1,IF(F3904="Saldo disponível",2,".")))</f>
        <v>.</v>
      </c>
      <c r="E3904" s="13" t="str">
        <f>IFERROR(IF(AND(B3904&lt;&gt;"",C3904&lt;&gt;""),SUMIFS(Movimentos!$F$4:$F$9996,Movimentos!$D$4:$D$9996,B3904,Movimentos!$C$4:$C$9996,"Entrada")-SUMIFS(Movimentos!$F$4:$F$9996,Movimentos!$D$4:$D$9996,B3904,Movimentos!$C$4:$C$9996,"Saída"),""),"")</f>
        <v/>
      </c>
      <c r="F3904" s="10" t="str">
        <f t="shared" si="124"/>
        <v/>
      </c>
    </row>
    <row r="3905" spans="1:6" x14ac:dyDescent="0.3">
      <c r="A3905" s="15" t="str">
        <f t="shared" si="125"/>
        <v>.</v>
      </c>
      <c r="E3905" s="13" t="str">
        <f>IFERROR(IF(AND(B3905&lt;&gt;"",C3905&lt;&gt;""),SUMIFS(Movimentos!$F$4:$F$9996,Movimentos!$D$4:$D$9996,B3905,Movimentos!$C$4:$C$9996,"Entrada")-SUMIFS(Movimentos!$F$4:$F$9996,Movimentos!$D$4:$D$9996,B3905,Movimentos!$C$4:$C$9996,"Saída"),""),"")</f>
        <v/>
      </c>
      <c r="F3905" s="10" t="str">
        <f t="shared" si="124"/>
        <v/>
      </c>
    </row>
    <row r="3906" spans="1:6" x14ac:dyDescent="0.3">
      <c r="A3906" s="15" t="str">
        <f t="shared" si="125"/>
        <v>.</v>
      </c>
      <c r="E3906" s="13" t="str">
        <f>IFERROR(IF(AND(B3906&lt;&gt;"",C3906&lt;&gt;""),SUMIFS(Movimentos!$F$4:$F$9996,Movimentos!$D$4:$D$9996,B3906,Movimentos!$C$4:$C$9996,"Entrada")-SUMIFS(Movimentos!$F$4:$F$9996,Movimentos!$D$4:$D$9996,B3906,Movimentos!$C$4:$C$9996,"Saída"),""),"")</f>
        <v/>
      </c>
      <c r="F3906" s="10" t="str">
        <f t="shared" si="124"/>
        <v/>
      </c>
    </row>
    <row r="3907" spans="1:6" x14ac:dyDescent="0.3">
      <c r="A3907" s="15" t="str">
        <f t="shared" si="125"/>
        <v>.</v>
      </c>
      <c r="E3907" s="13" t="str">
        <f>IFERROR(IF(AND(B3907&lt;&gt;"",C3907&lt;&gt;""),SUMIFS(Movimentos!$F$4:$F$9996,Movimentos!$D$4:$D$9996,B3907,Movimentos!$C$4:$C$9996,"Entrada")-SUMIFS(Movimentos!$F$4:$F$9996,Movimentos!$D$4:$D$9996,B3907,Movimentos!$C$4:$C$9996,"Saída"),""),"")</f>
        <v/>
      </c>
      <c r="F3907" s="10" t="str">
        <f t="shared" si="124"/>
        <v/>
      </c>
    </row>
    <row r="3908" spans="1:6" x14ac:dyDescent="0.3">
      <c r="A3908" s="15" t="str">
        <f t="shared" si="125"/>
        <v>.</v>
      </c>
      <c r="E3908" s="13" t="str">
        <f>IFERROR(IF(AND(B3908&lt;&gt;"",C3908&lt;&gt;""),SUMIFS(Movimentos!$F$4:$F$9996,Movimentos!$D$4:$D$9996,B3908,Movimentos!$C$4:$C$9996,"Entrada")-SUMIFS(Movimentos!$F$4:$F$9996,Movimentos!$D$4:$D$9996,B3908,Movimentos!$C$4:$C$9996,"Saída"),""),"")</f>
        <v/>
      </c>
      <c r="F3908" s="10" t="str">
        <f t="shared" si="124"/>
        <v/>
      </c>
    </row>
    <row r="3909" spans="1:6" x14ac:dyDescent="0.3">
      <c r="A3909" s="15" t="str">
        <f t="shared" si="125"/>
        <v>.</v>
      </c>
      <c r="E3909" s="13" t="str">
        <f>IFERROR(IF(AND(B3909&lt;&gt;"",C3909&lt;&gt;""),SUMIFS(Movimentos!$F$4:$F$9996,Movimentos!$D$4:$D$9996,B3909,Movimentos!$C$4:$C$9996,"Entrada")-SUMIFS(Movimentos!$F$4:$F$9996,Movimentos!$D$4:$D$9996,B3909,Movimentos!$C$4:$C$9996,"Saída"),""),"")</f>
        <v/>
      </c>
      <c r="F3909" s="10" t="str">
        <f t="shared" si="124"/>
        <v/>
      </c>
    </row>
    <row r="3910" spans="1:6" x14ac:dyDescent="0.3">
      <c r="A3910" s="15" t="str">
        <f t="shared" si="125"/>
        <v>.</v>
      </c>
      <c r="E3910" s="13" t="str">
        <f>IFERROR(IF(AND(B3910&lt;&gt;"",C3910&lt;&gt;""),SUMIFS(Movimentos!$F$4:$F$9996,Movimentos!$D$4:$D$9996,B3910,Movimentos!$C$4:$C$9996,"Entrada")-SUMIFS(Movimentos!$F$4:$F$9996,Movimentos!$D$4:$D$9996,B3910,Movimentos!$C$4:$C$9996,"Saída"),""),"")</f>
        <v/>
      </c>
      <c r="F3910" s="10" t="str">
        <f t="shared" si="124"/>
        <v/>
      </c>
    </row>
    <row r="3911" spans="1:6" x14ac:dyDescent="0.3">
      <c r="A3911" s="15" t="str">
        <f t="shared" si="125"/>
        <v>.</v>
      </c>
      <c r="E3911" s="13" t="str">
        <f>IFERROR(IF(AND(B3911&lt;&gt;"",C3911&lt;&gt;""),SUMIFS(Movimentos!$F$4:$F$9996,Movimentos!$D$4:$D$9996,B3911,Movimentos!$C$4:$C$9996,"Entrada")-SUMIFS(Movimentos!$F$4:$F$9996,Movimentos!$D$4:$D$9996,B3911,Movimentos!$C$4:$C$9996,"Saída"),""),"")</f>
        <v/>
      </c>
      <c r="F3911" s="10" t="str">
        <f t="shared" si="124"/>
        <v/>
      </c>
    </row>
    <row r="3912" spans="1:6" x14ac:dyDescent="0.3">
      <c r="A3912" s="15" t="str">
        <f t="shared" si="125"/>
        <v>.</v>
      </c>
      <c r="E3912" s="13" t="str">
        <f>IFERROR(IF(AND(B3912&lt;&gt;"",C3912&lt;&gt;""),SUMIFS(Movimentos!$F$4:$F$9996,Movimentos!$D$4:$D$9996,B3912,Movimentos!$C$4:$C$9996,"Entrada")-SUMIFS(Movimentos!$F$4:$F$9996,Movimentos!$D$4:$D$9996,B3912,Movimentos!$C$4:$C$9996,"Saída"),""),"")</f>
        <v/>
      </c>
      <c r="F3912" s="10" t="str">
        <f t="shared" si="124"/>
        <v/>
      </c>
    </row>
    <row r="3913" spans="1:6" x14ac:dyDescent="0.3">
      <c r="A3913" s="15" t="str">
        <f t="shared" si="125"/>
        <v>.</v>
      </c>
      <c r="E3913" s="13" t="str">
        <f>IFERROR(IF(AND(B3913&lt;&gt;"",C3913&lt;&gt;""),SUMIFS(Movimentos!$F$4:$F$9996,Movimentos!$D$4:$D$9996,B3913,Movimentos!$C$4:$C$9996,"Entrada")-SUMIFS(Movimentos!$F$4:$F$9996,Movimentos!$D$4:$D$9996,B3913,Movimentos!$C$4:$C$9996,"Saída"),""),"")</f>
        <v/>
      </c>
      <c r="F3913" s="10" t="str">
        <f t="shared" si="124"/>
        <v/>
      </c>
    </row>
    <row r="3914" spans="1:6" x14ac:dyDescent="0.3">
      <c r="A3914" s="15" t="str">
        <f t="shared" si="125"/>
        <v>.</v>
      </c>
      <c r="E3914" s="13" t="str">
        <f>IFERROR(IF(AND(B3914&lt;&gt;"",C3914&lt;&gt;""),SUMIFS(Movimentos!$F$4:$F$9996,Movimentos!$D$4:$D$9996,B3914,Movimentos!$C$4:$C$9996,"Entrada")-SUMIFS(Movimentos!$F$4:$F$9996,Movimentos!$D$4:$D$9996,B3914,Movimentos!$C$4:$C$9996,"Saída"),""),"")</f>
        <v/>
      </c>
      <c r="F3914" s="10" t="str">
        <f t="shared" si="124"/>
        <v/>
      </c>
    </row>
    <row r="3915" spans="1:6" x14ac:dyDescent="0.3">
      <c r="A3915" s="15" t="str">
        <f t="shared" si="125"/>
        <v>.</v>
      </c>
      <c r="E3915" s="13" t="str">
        <f>IFERROR(IF(AND(B3915&lt;&gt;"",C3915&lt;&gt;""),SUMIFS(Movimentos!$F$4:$F$9996,Movimentos!$D$4:$D$9996,B3915,Movimentos!$C$4:$C$9996,"Entrada")-SUMIFS(Movimentos!$F$4:$F$9996,Movimentos!$D$4:$D$9996,B3915,Movimentos!$C$4:$C$9996,"Saída"),""),"")</f>
        <v/>
      </c>
      <c r="F3915" s="10" t="str">
        <f t="shared" si="124"/>
        <v/>
      </c>
    </row>
    <row r="3916" spans="1:6" x14ac:dyDescent="0.3">
      <c r="A3916" s="15" t="str">
        <f t="shared" si="125"/>
        <v>.</v>
      </c>
      <c r="E3916" s="13" t="str">
        <f>IFERROR(IF(AND(B3916&lt;&gt;"",C3916&lt;&gt;""),SUMIFS(Movimentos!$F$4:$F$9996,Movimentos!$D$4:$D$9996,B3916,Movimentos!$C$4:$C$9996,"Entrada")-SUMIFS(Movimentos!$F$4:$F$9996,Movimentos!$D$4:$D$9996,B3916,Movimentos!$C$4:$C$9996,"Saída"),""),"")</f>
        <v/>
      </c>
      <c r="F3916" s="10" t="str">
        <f t="shared" si="124"/>
        <v/>
      </c>
    </row>
    <row r="3917" spans="1:6" x14ac:dyDescent="0.3">
      <c r="A3917" s="15" t="str">
        <f t="shared" si="125"/>
        <v>.</v>
      </c>
      <c r="E3917" s="13" t="str">
        <f>IFERROR(IF(AND(B3917&lt;&gt;"",C3917&lt;&gt;""),SUMIFS(Movimentos!$F$4:$F$9996,Movimentos!$D$4:$D$9996,B3917,Movimentos!$C$4:$C$9996,"Entrada")-SUMIFS(Movimentos!$F$4:$F$9996,Movimentos!$D$4:$D$9996,B3917,Movimentos!$C$4:$C$9996,"Saída"),""),"")</f>
        <v/>
      </c>
      <c r="F3917" s="10" t="str">
        <f t="shared" si="124"/>
        <v/>
      </c>
    </row>
    <row r="3918" spans="1:6" x14ac:dyDescent="0.3">
      <c r="A3918" s="15" t="str">
        <f t="shared" si="125"/>
        <v>.</v>
      </c>
      <c r="E3918" s="13" t="str">
        <f>IFERROR(IF(AND(B3918&lt;&gt;"",C3918&lt;&gt;""),SUMIFS(Movimentos!$F$4:$F$9996,Movimentos!$D$4:$D$9996,B3918,Movimentos!$C$4:$C$9996,"Entrada")-SUMIFS(Movimentos!$F$4:$F$9996,Movimentos!$D$4:$D$9996,B3918,Movimentos!$C$4:$C$9996,"Saída"),""),"")</f>
        <v/>
      </c>
      <c r="F3918" s="10" t="str">
        <f t="shared" si="124"/>
        <v/>
      </c>
    </row>
    <row r="3919" spans="1:6" x14ac:dyDescent="0.3">
      <c r="A3919" s="15" t="str">
        <f t="shared" si="125"/>
        <v>.</v>
      </c>
      <c r="E3919" s="13" t="str">
        <f>IFERROR(IF(AND(B3919&lt;&gt;"",C3919&lt;&gt;""),SUMIFS(Movimentos!$F$4:$F$9996,Movimentos!$D$4:$D$9996,B3919,Movimentos!$C$4:$C$9996,"Entrada")-SUMIFS(Movimentos!$F$4:$F$9996,Movimentos!$D$4:$D$9996,B3919,Movimentos!$C$4:$C$9996,"Saída"),""),"")</f>
        <v/>
      </c>
      <c r="F3919" s="10" t="str">
        <f t="shared" si="124"/>
        <v/>
      </c>
    </row>
    <row r="3920" spans="1:6" x14ac:dyDescent="0.3">
      <c r="A3920" s="15" t="str">
        <f t="shared" si="125"/>
        <v>.</v>
      </c>
      <c r="E3920" s="13" t="str">
        <f>IFERROR(IF(AND(B3920&lt;&gt;"",C3920&lt;&gt;""),SUMIFS(Movimentos!$F$4:$F$9996,Movimentos!$D$4:$D$9996,B3920,Movimentos!$C$4:$C$9996,"Entrada")-SUMIFS(Movimentos!$F$4:$F$9996,Movimentos!$D$4:$D$9996,B3920,Movimentos!$C$4:$C$9996,"Saída"),""),"")</f>
        <v/>
      </c>
      <c r="F3920" s="10" t="str">
        <f t="shared" si="124"/>
        <v/>
      </c>
    </row>
    <row r="3921" spans="1:6" x14ac:dyDescent="0.3">
      <c r="A3921" s="15" t="str">
        <f t="shared" si="125"/>
        <v>.</v>
      </c>
      <c r="E3921" s="13" t="str">
        <f>IFERROR(IF(AND(B3921&lt;&gt;"",C3921&lt;&gt;""),SUMIFS(Movimentos!$F$4:$F$9996,Movimentos!$D$4:$D$9996,B3921,Movimentos!$C$4:$C$9996,"Entrada")-SUMIFS(Movimentos!$F$4:$F$9996,Movimentos!$D$4:$D$9996,B3921,Movimentos!$C$4:$C$9996,"Saída"),""),"")</f>
        <v/>
      </c>
      <c r="F3921" s="10" t="str">
        <f t="shared" si="124"/>
        <v/>
      </c>
    </row>
    <row r="3922" spans="1:6" x14ac:dyDescent="0.3">
      <c r="A3922" s="15" t="str">
        <f t="shared" si="125"/>
        <v>.</v>
      </c>
      <c r="E3922" s="13" t="str">
        <f>IFERROR(IF(AND(B3922&lt;&gt;"",C3922&lt;&gt;""),SUMIFS(Movimentos!$F$4:$F$9996,Movimentos!$D$4:$D$9996,B3922,Movimentos!$C$4:$C$9996,"Entrada")-SUMIFS(Movimentos!$F$4:$F$9996,Movimentos!$D$4:$D$9996,B3922,Movimentos!$C$4:$C$9996,"Saída"),""),"")</f>
        <v/>
      </c>
      <c r="F3922" s="10" t="str">
        <f t="shared" si="124"/>
        <v/>
      </c>
    </row>
    <row r="3923" spans="1:6" x14ac:dyDescent="0.3">
      <c r="A3923" s="15" t="str">
        <f t="shared" si="125"/>
        <v>.</v>
      </c>
      <c r="E3923" s="13" t="str">
        <f>IFERROR(IF(AND(B3923&lt;&gt;"",C3923&lt;&gt;""),SUMIFS(Movimentos!$F$4:$F$9996,Movimentos!$D$4:$D$9996,B3923,Movimentos!$C$4:$C$9996,"Entrada")-SUMIFS(Movimentos!$F$4:$F$9996,Movimentos!$D$4:$D$9996,B3923,Movimentos!$C$4:$C$9996,"Saída"),""),"")</f>
        <v/>
      </c>
      <c r="F3923" s="10" t="str">
        <f t="shared" si="124"/>
        <v/>
      </c>
    </row>
    <row r="3924" spans="1:6" x14ac:dyDescent="0.3">
      <c r="A3924" s="15" t="str">
        <f t="shared" si="125"/>
        <v>.</v>
      </c>
      <c r="E3924" s="13" t="str">
        <f>IFERROR(IF(AND(B3924&lt;&gt;"",C3924&lt;&gt;""),SUMIFS(Movimentos!$F$4:$F$9996,Movimentos!$D$4:$D$9996,B3924,Movimentos!$C$4:$C$9996,"Entrada")-SUMIFS(Movimentos!$F$4:$F$9996,Movimentos!$D$4:$D$9996,B3924,Movimentos!$C$4:$C$9996,"Saída"),""),"")</f>
        <v/>
      </c>
      <c r="F3924" s="10" t="str">
        <f t="shared" si="124"/>
        <v/>
      </c>
    </row>
    <row r="3925" spans="1:6" x14ac:dyDescent="0.3">
      <c r="A3925" s="15" t="str">
        <f t="shared" si="125"/>
        <v>.</v>
      </c>
      <c r="E3925" s="13" t="str">
        <f>IFERROR(IF(AND(B3925&lt;&gt;"",C3925&lt;&gt;""),SUMIFS(Movimentos!$F$4:$F$9996,Movimentos!$D$4:$D$9996,B3925,Movimentos!$C$4:$C$9996,"Entrada")-SUMIFS(Movimentos!$F$4:$F$9996,Movimentos!$D$4:$D$9996,B3925,Movimentos!$C$4:$C$9996,"Saída"),""),"")</f>
        <v/>
      </c>
      <c r="F3925" s="10" t="str">
        <f t="shared" si="124"/>
        <v/>
      </c>
    </row>
    <row r="3926" spans="1:6" x14ac:dyDescent="0.3">
      <c r="A3926" s="15" t="str">
        <f t="shared" si="125"/>
        <v>.</v>
      </c>
      <c r="E3926" s="13" t="str">
        <f>IFERROR(IF(AND(B3926&lt;&gt;"",C3926&lt;&gt;""),SUMIFS(Movimentos!$F$4:$F$9996,Movimentos!$D$4:$D$9996,B3926,Movimentos!$C$4:$C$9996,"Entrada")-SUMIFS(Movimentos!$F$4:$F$9996,Movimentos!$D$4:$D$9996,B3926,Movimentos!$C$4:$C$9996,"Saída"),""),"")</f>
        <v/>
      </c>
      <c r="F3926" s="10" t="str">
        <f t="shared" si="124"/>
        <v/>
      </c>
    </row>
    <row r="3927" spans="1:6" x14ac:dyDescent="0.3">
      <c r="A3927" s="15" t="str">
        <f t="shared" si="125"/>
        <v>.</v>
      </c>
      <c r="E3927" s="13" t="str">
        <f>IFERROR(IF(AND(B3927&lt;&gt;"",C3927&lt;&gt;""),SUMIFS(Movimentos!$F$4:$F$9996,Movimentos!$D$4:$D$9996,B3927,Movimentos!$C$4:$C$9996,"Entrada")-SUMIFS(Movimentos!$F$4:$F$9996,Movimentos!$D$4:$D$9996,B3927,Movimentos!$C$4:$C$9996,"Saída"),""),"")</f>
        <v/>
      </c>
      <c r="F3927" s="10" t="str">
        <f t="shared" ref="F3927:F3990" si="126">IF(AND(B3927&lt;&gt;"",C3927&lt;&gt;""),IF(E3927=0,"Saldo zerado",IF(E3927&lt;D3927,"Saldo abaixo do mínimo","Saldo disponível")),"")</f>
        <v/>
      </c>
    </row>
    <row r="3928" spans="1:6" x14ac:dyDescent="0.3">
      <c r="A3928" s="15" t="str">
        <f t="shared" si="125"/>
        <v>.</v>
      </c>
      <c r="E3928" s="13" t="str">
        <f>IFERROR(IF(AND(B3928&lt;&gt;"",C3928&lt;&gt;""),SUMIFS(Movimentos!$F$4:$F$9996,Movimentos!$D$4:$D$9996,B3928,Movimentos!$C$4:$C$9996,"Entrada")-SUMIFS(Movimentos!$F$4:$F$9996,Movimentos!$D$4:$D$9996,B3928,Movimentos!$C$4:$C$9996,"Saída"),""),"")</f>
        <v/>
      </c>
      <c r="F3928" s="10" t="str">
        <f t="shared" si="126"/>
        <v/>
      </c>
    </row>
    <row r="3929" spans="1:6" x14ac:dyDescent="0.3">
      <c r="A3929" s="15" t="str">
        <f t="shared" si="125"/>
        <v>.</v>
      </c>
      <c r="E3929" s="13" t="str">
        <f>IFERROR(IF(AND(B3929&lt;&gt;"",C3929&lt;&gt;""),SUMIFS(Movimentos!$F$4:$F$9996,Movimentos!$D$4:$D$9996,B3929,Movimentos!$C$4:$C$9996,"Entrada")-SUMIFS(Movimentos!$F$4:$F$9996,Movimentos!$D$4:$D$9996,B3929,Movimentos!$C$4:$C$9996,"Saída"),""),"")</f>
        <v/>
      </c>
      <c r="F3929" s="10" t="str">
        <f t="shared" si="126"/>
        <v/>
      </c>
    </row>
    <row r="3930" spans="1:6" x14ac:dyDescent="0.3">
      <c r="A3930" s="15" t="str">
        <f t="shared" si="125"/>
        <v>.</v>
      </c>
      <c r="E3930" s="13" t="str">
        <f>IFERROR(IF(AND(B3930&lt;&gt;"",C3930&lt;&gt;""),SUMIFS(Movimentos!$F$4:$F$9996,Movimentos!$D$4:$D$9996,B3930,Movimentos!$C$4:$C$9996,"Entrada")-SUMIFS(Movimentos!$F$4:$F$9996,Movimentos!$D$4:$D$9996,B3930,Movimentos!$C$4:$C$9996,"Saída"),""),"")</f>
        <v/>
      </c>
      <c r="F3930" s="10" t="str">
        <f t="shared" si="126"/>
        <v/>
      </c>
    </row>
    <row r="3931" spans="1:6" x14ac:dyDescent="0.3">
      <c r="A3931" s="15" t="str">
        <f t="shared" si="125"/>
        <v>.</v>
      </c>
      <c r="E3931" s="13" t="str">
        <f>IFERROR(IF(AND(B3931&lt;&gt;"",C3931&lt;&gt;""),SUMIFS(Movimentos!$F$4:$F$9996,Movimentos!$D$4:$D$9996,B3931,Movimentos!$C$4:$C$9996,"Entrada")-SUMIFS(Movimentos!$F$4:$F$9996,Movimentos!$D$4:$D$9996,B3931,Movimentos!$C$4:$C$9996,"Saída"),""),"")</f>
        <v/>
      </c>
      <c r="F3931" s="10" t="str">
        <f t="shared" si="126"/>
        <v/>
      </c>
    </row>
    <row r="3932" spans="1:6" x14ac:dyDescent="0.3">
      <c r="A3932" s="15" t="str">
        <f t="shared" si="125"/>
        <v>.</v>
      </c>
      <c r="E3932" s="13" t="str">
        <f>IFERROR(IF(AND(B3932&lt;&gt;"",C3932&lt;&gt;""),SUMIFS(Movimentos!$F$4:$F$9996,Movimentos!$D$4:$D$9996,B3932,Movimentos!$C$4:$C$9996,"Entrada")-SUMIFS(Movimentos!$F$4:$F$9996,Movimentos!$D$4:$D$9996,B3932,Movimentos!$C$4:$C$9996,"Saída"),""),"")</f>
        <v/>
      </c>
      <c r="F3932" s="10" t="str">
        <f t="shared" si="126"/>
        <v/>
      </c>
    </row>
    <row r="3933" spans="1:6" x14ac:dyDescent="0.3">
      <c r="A3933" s="15" t="str">
        <f t="shared" si="125"/>
        <v>.</v>
      </c>
      <c r="E3933" s="13" t="str">
        <f>IFERROR(IF(AND(B3933&lt;&gt;"",C3933&lt;&gt;""),SUMIFS(Movimentos!$F$4:$F$9996,Movimentos!$D$4:$D$9996,B3933,Movimentos!$C$4:$C$9996,"Entrada")-SUMIFS(Movimentos!$F$4:$F$9996,Movimentos!$D$4:$D$9996,B3933,Movimentos!$C$4:$C$9996,"Saída"),""),"")</f>
        <v/>
      </c>
      <c r="F3933" s="10" t="str">
        <f t="shared" si="126"/>
        <v/>
      </c>
    </row>
    <row r="3934" spans="1:6" x14ac:dyDescent="0.3">
      <c r="A3934" s="15" t="str">
        <f t="shared" si="125"/>
        <v>.</v>
      </c>
      <c r="E3934" s="13" t="str">
        <f>IFERROR(IF(AND(B3934&lt;&gt;"",C3934&lt;&gt;""),SUMIFS(Movimentos!$F$4:$F$9996,Movimentos!$D$4:$D$9996,B3934,Movimentos!$C$4:$C$9996,"Entrada")-SUMIFS(Movimentos!$F$4:$F$9996,Movimentos!$D$4:$D$9996,B3934,Movimentos!$C$4:$C$9996,"Saída"),""),"")</f>
        <v/>
      </c>
      <c r="F3934" s="10" t="str">
        <f t="shared" si="126"/>
        <v/>
      </c>
    </row>
    <row r="3935" spans="1:6" x14ac:dyDescent="0.3">
      <c r="A3935" s="15" t="str">
        <f t="shared" si="125"/>
        <v>.</v>
      </c>
      <c r="E3935" s="13" t="str">
        <f>IFERROR(IF(AND(B3935&lt;&gt;"",C3935&lt;&gt;""),SUMIFS(Movimentos!$F$4:$F$9996,Movimentos!$D$4:$D$9996,B3935,Movimentos!$C$4:$C$9996,"Entrada")-SUMIFS(Movimentos!$F$4:$F$9996,Movimentos!$D$4:$D$9996,B3935,Movimentos!$C$4:$C$9996,"Saída"),""),"")</f>
        <v/>
      </c>
      <c r="F3935" s="10" t="str">
        <f t="shared" si="126"/>
        <v/>
      </c>
    </row>
    <row r="3936" spans="1:6" x14ac:dyDescent="0.3">
      <c r="A3936" s="15" t="str">
        <f t="shared" si="125"/>
        <v>.</v>
      </c>
      <c r="E3936" s="13" t="str">
        <f>IFERROR(IF(AND(B3936&lt;&gt;"",C3936&lt;&gt;""),SUMIFS(Movimentos!$F$4:$F$9996,Movimentos!$D$4:$D$9996,B3936,Movimentos!$C$4:$C$9996,"Entrada")-SUMIFS(Movimentos!$F$4:$F$9996,Movimentos!$D$4:$D$9996,B3936,Movimentos!$C$4:$C$9996,"Saída"),""),"")</f>
        <v/>
      </c>
      <c r="F3936" s="10" t="str">
        <f t="shared" si="126"/>
        <v/>
      </c>
    </row>
    <row r="3937" spans="1:6" x14ac:dyDescent="0.3">
      <c r="A3937" s="15" t="str">
        <f t="shared" si="125"/>
        <v>.</v>
      </c>
      <c r="E3937" s="13" t="str">
        <f>IFERROR(IF(AND(B3937&lt;&gt;"",C3937&lt;&gt;""),SUMIFS(Movimentos!$F$4:$F$9996,Movimentos!$D$4:$D$9996,B3937,Movimentos!$C$4:$C$9996,"Entrada")-SUMIFS(Movimentos!$F$4:$F$9996,Movimentos!$D$4:$D$9996,B3937,Movimentos!$C$4:$C$9996,"Saída"),""),"")</f>
        <v/>
      </c>
      <c r="F3937" s="10" t="str">
        <f t="shared" si="126"/>
        <v/>
      </c>
    </row>
    <row r="3938" spans="1:6" x14ac:dyDescent="0.3">
      <c r="A3938" s="15" t="str">
        <f t="shared" si="125"/>
        <v>.</v>
      </c>
      <c r="E3938" s="13" t="str">
        <f>IFERROR(IF(AND(B3938&lt;&gt;"",C3938&lt;&gt;""),SUMIFS(Movimentos!$F$4:$F$9996,Movimentos!$D$4:$D$9996,B3938,Movimentos!$C$4:$C$9996,"Entrada")-SUMIFS(Movimentos!$F$4:$F$9996,Movimentos!$D$4:$D$9996,B3938,Movimentos!$C$4:$C$9996,"Saída"),""),"")</f>
        <v/>
      </c>
      <c r="F3938" s="10" t="str">
        <f t="shared" si="126"/>
        <v/>
      </c>
    </row>
    <row r="3939" spans="1:6" x14ac:dyDescent="0.3">
      <c r="A3939" s="15" t="str">
        <f t="shared" si="125"/>
        <v>.</v>
      </c>
      <c r="E3939" s="13" t="str">
        <f>IFERROR(IF(AND(B3939&lt;&gt;"",C3939&lt;&gt;""),SUMIFS(Movimentos!$F$4:$F$9996,Movimentos!$D$4:$D$9996,B3939,Movimentos!$C$4:$C$9996,"Entrada")-SUMIFS(Movimentos!$F$4:$F$9996,Movimentos!$D$4:$D$9996,B3939,Movimentos!$C$4:$C$9996,"Saída"),""),"")</f>
        <v/>
      </c>
      <c r="F3939" s="10" t="str">
        <f t="shared" si="126"/>
        <v/>
      </c>
    </row>
    <row r="3940" spans="1:6" x14ac:dyDescent="0.3">
      <c r="A3940" s="15" t="str">
        <f t="shared" si="125"/>
        <v>.</v>
      </c>
      <c r="E3940" s="13" t="str">
        <f>IFERROR(IF(AND(B3940&lt;&gt;"",C3940&lt;&gt;""),SUMIFS(Movimentos!$F$4:$F$9996,Movimentos!$D$4:$D$9996,B3940,Movimentos!$C$4:$C$9996,"Entrada")-SUMIFS(Movimentos!$F$4:$F$9996,Movimentos!$D$4:$D$9996,B3940,Movimentos!$C$4:$C$9996,"Saída"),""),"")</f>
        <v/>
      </c>
      <c r="F3940" s="10" t="str">
        <f t="shared" si="126"/>
        <v/>
      </c>
    </row>
    <row r="3941" spans="1:6" x14ac:dyDescent="0.3">
      <c r="A3941" s="15" t="str">
        <f t="shared" si="125"/>
        <v>.</v>
      </c>
      <c r="E3941" s="13" t="str">
        <f>IFERROR(IF(AND(B3941&lt;&gt;"",C3941&lt;&gt;""),SUMIFS(Movimentos!$F$4:$F$9996,Movimentos!$D$4:$D$9996,B3941,Movimentos!$C$4:$C$9996,"Entrada")-SUMIFS(Movimentos!$F$4:$F$9996,Movimentos!$D$4:$D$9996,B3941,Movimentos!$C$4:$C$9996,"Saída"),""),"")</f>
        <v/>
      </c>
      <c r="F3941" s="10" t="str">
        <f t="shared" si="126"/>
        <v/>
      </c>
    </row>
    <row r="3942" spans="1:6" x14ac:dyDescent="0.3">
      <c r="A3942" s="15" t="str">
        <f t="shared" si="125"/>
        <v>.</v>
      </c>
      <c r="E3942" s="13" t="str">
        <f>IFERROR(IF(AND(B3942&lt;&gt;"",C3942&lt;&gt;""),SUMIFS(Movimentos!$F$4:$F$9996,Movimentos!$D$4:$D$9996,B3942,Movimentos!$C$4:$C$9996,"Entrada")-SUMIFS(Movimentos!$F$4:$F$9996,Movimentos!$D$4:$D$9996,B3942,Movimentos!$C$4:$C$9996,"Saída"),""),"")</f>
        <v/>
      </c>
      <c r="F3942" s="10" t="str">
        <f t="shared" si="126"/>
        <v/>
      </c>
    </row>
    <row r="3943" spans="1:6" x14ac:dyDescent="0.3">
      <c r="A3943" s="15" t="str">
        <f t="shared" si="125"/>
        <v>.</v>
      </c>
      <c r="E3943" s="13" t="str">
        <f>IFERROR(IF(AND(B3943&lt;&gt;"",C3943&lt;&gt;""),SUMIFS(Movimentos!$F$4:$F$9996,Movimentos!$D$4:$D$9996,B3943,Movimentos!$C$4:$C$9996,"Entrada")-SUMIFS(Movimentos!$F$4:$F$9996,Movimentos!$D$4:$D$9996,B3943,Movimentos!$C$4:$C$9996,"Saída"),""),"")</f>
        <v/>
      </c>
      <c r="F3943" s="10" t="str">
        <f t="shared" si="126"/>
        <v/>
      </c>
    </row>
    <row r="3944" spans="1:6" x14ac:dyDescent="0.3">
      <c r="A3944" s="15" t="str">
        <f t="shared" si="125"/>
        <v>.</v>
      </c>
      <c r="E3944" s="13" t="str">
        <f>IFERROR(IF(AND(B3944&lt;&gt;"",C3944&lt;&gt;""),SUMIFS(Movimentos!$F$4:$F$9996,Movimentos!$D$4:$D$9996,B3944,Movimentos!$C$4:$C$9996,"Entrada")-SUMIFS(Movimentos!$F$4:$F$9996,Movimentos!$D$4:$D$9996,B3944,Movimentos!$C$4:$C$9996,"Saída"),""),"")</f>
        <v/>
      </c>
      <c r="F3944" s="10" t="str">
        <f t="shared" si="126"/>
        <v/>
      </c>
    </row>
    <row r="3945" spans="1:6" x14ac:dyDescent="0.3">
      <c r="A3945" s="15" t="str">
        <f t="shared" si="125"/>
        <v>.</v>
      </c>
      <c r="E3945" s="13" t="str">
        <f>IFERROR(IF(AND(B3945&lt;&gt;"",C3945&lt;&gt;""),SUMIFS(Movimentos!$F$4:$F$9996,Movimentos!$D$4:$D$9996,B3945,Movimentos!$C$4:$C$9996,"Entrada")-SUMIFS(Movimentos!$F$4:$F$9996,Movimentos!$D$4:$D$9996,B3945,Movimentos!$C$4:$C$9996,"Saída"),""),"")</f>
        <v/>
      </c>
      <c r="F3945" s="10" t="str">
        <f t="shared" si="126"/>
        <v/>
      </c>
    </row>
    <row r="3946" spans="1:6" x14ac:dyDescent="0.3">
      <c r="A3946" s="15" t="str">
        <f t="shared" si="125"/>
        <v>.</v>
      </c>
      <c r="E3946" s="13" t="str">
        <f>IFERROR(IF(AND(B3946&lt;&gt;"",C3946&lt;&gt;""),SUMIFS(Movimentos!$F$4:$F$9996,Movimentos!$D$4:$D$9996,B3946,Movimentos!$C$4:$C$9996,"Entrada")-SUMIFS(Movimentos!$F$4:$F$9996,Movimentos!$D$4:$D$9996,B3946,Movimentos!$C$4:$C$9996,"Saída"),""),"")</f>
        <v/>
      </c>
      <c r="F3946" s="10" t="str">
        <f t="shared" si="126"/>
        <v/>
      </c>
    </row>
    <row r="3947" spans="1:6" x14ac:dyDescent="0.3">
      <c r="A3947" s="15" t="str">
        <f t="shared" si="125"/>
        <v>.</v>
      </c>
      <c r="E3947" s="13" t="str">
        <f>IFERROR(IF(AND(B3947&lt;&gt;"",C3947&lt;&gt;""),SUMIFS(Movimentos!$F$4:$F$9996,Movimentos!$D$4:$D$9996,B3947,Movimentos!$C$4:$C$9996,"Entrada")-SUMIFS(Movimentos!$F$4:$F$9996,Movimentos!$D$4:$D$9996,B3947,Movimentos!$C$4:$C$9996,"Saída"),""),"")</f>
        <v/>
      </c>
      <c r="F3947" s="10" t="str">
        <f t="shared" si="126"/>
        <v/>
      </c>
    </row>
    <row r="3948" spans="1:6" x14ac:dyDescent="0.3">
      <c r="A3948" s="15" t="str">
        <f t="shared" si="125"/>
        <v>.</v>
      </c>
      <c r="E3948" s="13" t="str">
        <f>IFERROR(IF(AND(B3948&lt;&gt;"",C3948&lt;&gt;""),SUMIFS(Movimentos!$F$4:$F$9996,Movimentos!$D$4:$D$9996,B3948,Movimentos!$C$4:$C$9996,"Entrada")-SUMIFS(Movimentos!$F$4:$F$9996,Movimentos!$D$4:$D$9996,B3948,Movimentos!$C$4:$C$9996,"Saída"),""),"")</f>
        <v/>
      </c>
      <c r="F3948" s="10" t="str">
        <f t="shared" si="126"/>
        <v/>
      </c>
    </row>
    <row r="3949" spans="1:6" x14ac:dyDescent="0.3">
      <c r="A3949" s="15" t="str">
        <f t="shared" si="125"/>
        <v>.</v>
      </c>
      <c r="E3949" s="13" t="str">
        <f>IFERROR(IF(AND(B3949&lt;&gt;"",C3949&lt;&gt;""),SUMIFS(Movimentos!$F$4:$F$9996,Movimentos!$D$4:$D$9996,B3949,Movimentos!$C$4:$C$9996,"Entrada")-SUMIFS(Movimentos!$F$4:$F$9996,Movimentos!$D$4:$D$9996,B3949,Movimentos!$C$4:$C$9996,"Saída"),""),"")</f>
        <v/>
      </c>
      <c r="F3949" s="10" t="str">
        <f t="shared" si="126"/>
        <v/>
      </c>
    </row>
    <row r="3950" spans="1:6" x14ac:dyDescent="0.3">
      <c r="A3950" s="15" t="str">
        <f t="shared" si="125"/>
        <v>.</v>
      </c>
      <c r="E3950" s="13" t="str">
        <f>IFERROR(IF(AND(B3950&lt;&gt;"",C3950&lt;&gt;""),SUMIFS(Movimentos!$F$4:$F$9996,Movimentos!$D$4:$D$9996,B3950,Movimentos!$C$4:$C$9996,"Entrada")-SUMIFS(Movimentos!$F$4:$F$9996,Movimentos!$D$4:$D$9996,B3950,Movimentos!$C$4:$C$9996,"Saída"),""),"")</f>
        <v/>
      </c>
      <c r="F3950" s="10" t="str">
        <f t="shared" si="126"/>
        <v/>
      </c>
    </row>
    <row r="3951" spans="1:6" x14ac:dyDescent="0.3">
      <c r="A3951" s="15" t="str">
        <f t="shared" si="125"/>
        <v>.</v>
      </c>
      <c r="E3951" s="13" t="str">
        <f>IFERROR(IF(AND(B3951&lt;&gt;"",C3951&lt;&gt;""),SUMIFS(Movimentos!$F$4:$F$9996,Movimentos!$D$4:$D$9996,B3951,Movimentos!$C$4:$C$9996,"Entrada")-SUMIFS(Movimentos!$F$4:$F$9996,Movimentos!$D$4:$D$9996,B3951,Movimentos!$C$4:$C$9996,"Saída"),""),"")</f>
        <v/>
      </c>
      <c r="F3951" s="10" t="str">
        <f t="shared" si="126"/>
        <v/>
      </c>
    </row>
    <row r="3952" spans="1:6" x14ac:dyDescent="0.3">
      <c r="A3952" s="15" t="str">
        <f t="shared" si="125"/>
        <v>.</v>
      </c>
      <c r="E3952" s="13" t="str">
        <f>IFERROR(IF(AND(B3952&lt;&gt;"",C3952&lt;&gt;""),SUMIFS(Movimentos!$F$4:$F$9996,Movimentos!$D$4:$D$9996,B3952,Movimentos!$C$4:$C$9996,"Entrada")-SUMIFS(Movimentos!$F$4:$F$9996,Movimentos!$D$4:$D$9996,B3952,Movimentos!$C$4:$C$9996,"Saída"),""),"")</f>
        <v/>
      </c>
      <c r="F3952" s="10" t="str">
        <f t="shared" si="126"/>
        <v/>
      </c>
    </row>
    <row r="3953" spans="1:6" x14ac:dyDescent="0.3">
      <c r="A3953" s="15" t="str">
        <f t="shared" si="125"/>
        <v>.</v>
      </c>
      <c r="E3953" s="13" t="str">
        <f>IFERROR(IF(AND(B3953&lt;&gt;"",C3953&lt;&gt;""),SUMIFS(Movimentos!$F$4:$F$9996,Movimentos!$D$4:$D$9996,B3953,Movimentos!$C$4:$C$9996,"Entrada")-SUMIFS(Movimentos!$F$4:$F$9996,Movimentos!$D$4:$D$9996,B3953,Movimentos!$C$4:$C$9996,"Saída"),""),"")</f>
        <v/>
      </c>
      <c r="F3953" s="10" t="str">
        <f t="shared" si="126"/>
        <v/>
      </c>
    </row>
    <row r="3954" spans="1:6" x14ac:dyDescent="0.3">
      <c r="A3954" s="15" t="str">
        <f t="shared" si="125"/>
        <v>.</v>
      </c>
      <c r="E3954" s="13" t="str">
        <f>IFERROR(IF(AND(B3954&lt;&gt;"",C3954&lt;&gt;""),SUMIFS(Movimentos!$F$4:$F$9996,Movimentos!$D$4:$D$9996,B3954,Movimentos!$C$4:$C$9996,"Entrada")-SUMIFS(Movimentos!$F$4:$F$9996,Movimentos!$D$4:$D$9996,B3954,Movimentos!$C$4:$C$9996,"Saída"),""),"")</f>
        <v/>
      </c>
      <c r="F3954" s="10" t="str">
        <f t="shared" si="126"/>
        <v/>
      </c>
    </row>
    <row r="3955" spans="1:6" x14ac:dyDescent="0.3">
      <c r="A3955" s="15" t="str">
        <f t="shared" si="125"/>
        <v>.</v>
      </c>
      <c r="E3955" s="13" t="str">
        <f>IFERROR(IF(AND(B3955&lt;&gt;"",C3955&lt;&gt;""),SUMIFS(Movimentos!$F$4:$F$9996,Movimentos!$D$4:$D$9996,B3955,Movimentos!$C$4:$C$9996,"Entrada")-SUMIFS(Movimentos!$F$4:$F$9996,Movimentos!$D$4:$D$9996,B3955,Movimentos!$C$4:$C$9996,"Saída"),""),"")</f>
        <v/>
      </c>
      <c r="F3955" s="10" t="str">
        <f t="shared" si="126"/>
        <v/>
      </c>
    </row>
    <row r="3956" spans="1:6" x14ac:dyDescent="0.3">
      <c r="A3956" s="15" t="str">
        <f t="shared" si="125"/>
        <v>.</v>
      </c>
      <c r="E3956" s="13" t="str">
        <f>IFERROR(IF(AND(B3956&lt;&gt;"",C3956&lt;&gt;""),SUMIFS(Movimentos!$F$4:$F$9996,Movimentos!$D$4:$D$9996,B3956,Movimentos!$C$4:$C$9996,"Entrada")-SUMIFS(Movimentos!$F$4:$F$9996,Movimentos!$D$4:$D$9996,B3956,Movimentos!$C$4:$C$9996,"Saída"),""),"")</f>
        <v/>
      </c>
      <c r="F3956" s="10" t="str">
        <f t="shared" si="126"/>
        <v/>
      </c>
    </row>
    <row r="3957" spans="1:6" x14ac:dyDescent="0.3">
      <c r="A3957" s="15" t="str">
        <f t="shared" si="125"/>
        <v>.</v>
      </c>
      <c r="E3957" s="13" t="str">
        <f>IFERROR(IF(AND(B3957&lt;&gt;"",C3957&lt;&gt;""),SUMIFS(Movimentos!$F$4:$F$9996,Movimentos!$D$4:$D$9996,B3957,Movimentos!$C$4:$C$9996,"Entrada")-SUMIFS(Movimentos!$F$4:$F$9996,Movimentos!$D$4:$D$9996,B3957,Movimentos!$C$4:$C$9996,"Saída"),""),"")</f>
        <v/>
      </c>
      <c r="F3957" s="10" t="str">
        <f t="shared" si="126"/>
        <v/>
      </c>
    </row>
    <row r="3958" spans="1:6" x14ac:dyDescent="0.3">
      <c r="A3958" s="15" t="str">
        <f t="shared" si="125"/>
        <v>.</v>
      </c>
      <c r="E3958" s="13" t="str">
        <f>IFERROR(IF(AND(B3958&lt;&gt;"",C3958&lt;&gt;""),SUMIFS(Movimentos!$F$4:$F$9996,Movimentos!$D$4:$D$9996,B3958,Movimentos!$C$4:$C$9996,"Entrada")-SUMIFS(Movimentos!$F$4:$F$9996,Movimentos!$D$4:$D$9996,B3958,Movimentos!$C$4:$C$9996,"Saída"),""),"")</f>
        <v/>
      </c>
      <c r="F3958" s="10" t="str">
        <f t="shared" si="126"/>
        <v/>
      </c>
    </row>
    <row r="3959" spans="1:6" x14ac:dyDescent="0.3">
      <c r="A3959" s="15" t="str">
        <f t="shared" si="125"/>
        <v>.</v>
      </c>
      <c r="E3959" s="13" t="str">
        <f>IFERROR(IF(AND(B3959&lt;&gt;"",C3959&lt;&gt;""),SUMIFS(Movimentos!$F$4:$F$9996,Movimentos!$D$4:$D$9996,B3959,Movimentos!$C$4:$C$9996,"Entrada")-SUMIFS(Movimentos!$F$4:$F$9996,Movimentos!$D$4:$D$9996,B3959,Movimentos!$C$4:$C$9996,"Saída"),""),"")</f>
        <v/>
      </c>
      <c r="F3959" s="10" t="str">
        <f t="shared" si="126"/>
        <v/>
      </c>
    </row>
    <row r="3960" spans="1:6" x14ac:dyDescent="0.3">
      <c r="A3960" s="15" t="str">
        <f t="shared" si="125"/>
        <v>.</v>
      </c>
      <c r="E3960" s="13" t="str">
        <f>IFERROR(IF(AND(B3960&lt;&gt;"",C3960&lt;&gt;""),SUMIFS(Movimentos!$F$4:$F$9996,Movimentos!$D$4:$D$9996,B3960,Movimentos!$C$4:$C$9996,"Entrada")-SUMIFS(Movimentos!$F$4:$F$9996,Movimentos!$D$4:$D$9996,B3960,Movimentos!$C$4:$C$9996,"Saída"),""),"")</f>
        <v/>
      </c>
      <c r="F3960" s="10" t="str">
        <f t="shared" si="126"/>
        <v/>
      </c>
    </row>
    <row r="3961" spans="1:6" x14ac:dyDescent="0.3">
      <c r="A3961" s="15" t="str">
        <f t="shared" si="125"/>
        <v>.</v>
      </c>
      <c r="E3961" s="13" t="str">
        <f>IFERROR(IF(AND(B3961&lt;&gt;"",C3961&lt;&gt;""),SUMIFS(Movimentos!$F$4:$F$9996,Movimentos!$D$4:$D$9996,B3961,Movimentos!$C$4:$C$9996,"Entrada")-SUMIFS(Movimentos!$F$4:$F$9996,Movimentos!$D$4:$D$9996,B3961,Movimentos!$C$4:$C$9996,"Saída"),""),"")</f>
        <v/>
      </c>
      <c r="F3961" s="10" t="str">
        <f t="shared" si="126"/>
        <v/>
      </c>
    </row>
    <row r="3962" spans="1:6" x14ac:dyDescent="0.3">
      <c r="A3962" s="15" t="str">
        <f t="shared" si="125"/>
        <v>.</v>
      </c>
      <c r="E3962" s="13" t="str">
        <f>IFERROR(IF(AND(B3962&lt;&gt;"",C3962&lt;&gt;""),SUMIFS(Movimentos!$F$4:$F$9996,Movimentos!$D$4:$D$9996,B3962,Movimentos!$C$4:$C$9996,"Entrada")-SUMIFS(Movimentos!$F$4:$F$9996,Movimentos!$D$4:$D$9996,B3962,Movimentos!$C$4:$C$9996,"Saída"),""),"")</f>
        <v/>
      </c>
      <c r="F3962" s="10" t="str">
        <f t="shared" si="126"/>
        <v/>
      </c>
    </row>
    <row r="3963" spans="1:6" x14ac:dyDescent="0.3">
      <c r="A3963" s="15" t="str">
        <f t="shared" si="125"/>
        <v>.</v>
      </c>
      <c r="E3963" s="13" t="str">
        <f>IFERROR(IF(AND(B3963&lt;&gt;"",C3963&lt;&gt;""),SUMIFS(Movimentos!$F$4:$F$9996,Movimentos!$D$4:$D$9996,B3963,Movimentos!$C$4:$C$9996,"Entrada")-SUMIFS(Movimentos!$F$4:$F$9996,Movimentos!$D$4:$D$9996,B3963,Movimentos!$C$4:$C$9996,"Saída"),""),"")</f>
        <v/>
      </c>
      <c r="F3963" s="10" t="str">
        <f t="shared" si="126"/>
        <v/>
      </c>
    </row>
    <row r="3964" spans="1:6" x14ac:dyDescent="0.3">
      <c r="A3964" s="15" t="str">
        <f t="shared" si="125"/>
        <v>.</v>
      </c>
      <c r="E3964" s="13" t="str">
        <f>IFERROR(IF(AND(B3964&lt;&gt;"",C3964&lt;&gt;""),SUMIFS(Movimentos!$F$4:$F$9996,Movimentos!$D$4:$D$9996,B3964,Movimentos!$C$4:$C$9996,"Entrada")-SUMIFS(Movimentos!$F$4:$F$9996,Movimentos!$D$4:$D$9996,B3964,Movimentos!$C$4:$C$9996,"Saída"),""),"")</f>
        <v/>
      </c>
      <c r="F3964" s="10" t="str">
        <f t="shared" si="126"/>
        <v/>
      </c>
    </row>
    <row r="3965" spans="1:6" x14ac:dyDescent="0.3">
      <c r="A3965" s="15" t="str">
        <f t="shared" si="125"/>
        <v>.</v>
      </c>
      <c r="E3965" s="13" t="str">
        <f>IFERROR(IF(AND(B3965&lt;&gt;"",C3965&lt;&gt;""),SUMIFS(Movimentos!$F$4:$F$9996,Movimentos!$D$4:$D$9996,B3965,Movimentos!$C$4:$C$9996,"Entrada")-SUMIFS(Movimentos!$F$4:$F$9996,Movimentos!$D$4:$D$9996,B3965,Movimentos!$C$4:$C$9996,"Saída"),""),"")</f>
        <v/>
      </c>
      <c r="F3965" s="10" t="str">
        <f t="shared" si="126"/>
        <v/>
      </c>
    </row>
    <row r="3966" spans="1:6" x14ac:dyDescent="0.3">
      <c r="A3966" s="15" t="str">
        <f t="shared" si="125"/>
        <v>.</v>
      </c>
      <c r="E3966" s="13" t="str">
        <f>IFERROR(IF(AND(B3966&lt;&gt;"",C3966&lt;&gt;""),SUMIFS(Movimentos!$F$4:$F$9996,Movimentos!$D$4:$D$9996,B3966,Movimentos!$C$4:$C$9996,"Entrada")-SUMIFS(Movimentos!$F$4:$F$9996,Movimentos!$D$4:$D$9996,B3966,Movimentos!$C$4:$C$9996,"Saída"),""),"")</f>
        <v/>
      </c>
      <c r="F3966" s="10" t="str">
        <f t="shared" si="126"/>
        <v/>
      </c>
    </row>
    <row r="3967" spans="1:6" x14ac:dyDescent="0.3">
      <c r="A3967" s="15" t="str">
        <f t="shared" si="125"/>
        <v>.</v>
      </c>
      <c r="E3967" s="13" t="str">
        <f>IFERROR(IF(AND(B3967&lt;&gt;"",C3967&lt;&gt;""),SUMIFS(Movimentos!$F$4:$F$9996,Movimentos!$D$4:$D$9996,B3967,Movimentos!$C$4:$C$9996,"Entrada")-SUMIFS(Movimentos!$F$4:$F$9996,Movimentos!$D$4:$D$9996,B3967,Movimentos!$C$4:$C$9996,"Saída"),""),"")</f>
        <v/>
      </c>
      <c r="F3967" s="10" t="str">
        <f t="shared" si="126"/>
        <v/>
      </c>
    </row>
    <row r="3968" spans="1:6" x14ac:dyDescent="0.3">
      <c r="A3968" s="15" t="str">
        <f t="shared" ref="A3968:A4031" si="127">IF(F3968="Saldo zerado",0,IF(F3968="Saldo abaixo do mínimo",1,IF(F3968="Saldo disponível",2,".")))</f>
        <v>.</v>
      </c>
      <c r="E3968" s="13" t="str">
        <f>IFERROR(IF(AND(B3968&lt;&gt;"",C3968&lt;&gt;""),SUMIFS(Movimentos!$F$4:$F$9996,Movimentos!$D$4:$D$9996,B3968,Movimentos!$C$4:$C$9996,"Entrada")-SUMIFS(Movimentos!$F$4:$F$9996,Movimentos!$D$4:$D$9996,B3968,Movimentos!$C$4:$C$9996,"Saída"),""),"")</f>
        <v/>
      </c>
      <c r="F3968" s="10" t="str">
        <f t="shared" si="126"/>
        <v/>
      </c>
    </row>
    <row r="3969" spans="1:6" x14ac:dyDescent="0.3">
      <c r="A3969" s="15" t="str">
        <f t="shared" si="127"/>
        <v>.</v>
      </c>
      <c r="E3969" s="13" t="str">
        <f>IFERROR(IF(AND(B3969&lt;&gt;"",C3969&lt;&gt;""),SUMIFS(Movimentos!$F$4:$F$9996,Movimentos!$D$4:$D$9996,B3969,Movimentos!$C$4:$C$9996,"Entrada")-SUMIFS(Movimentos!$F$4:$F$9996,Movimentos!$D$4:$D$9996,B3969,Movimentos!$C$4:$C$9996,"Saída"),""),"")</f>
        <v/>
      </c>
      <c r="F3969" s="10" t="str">
        <f t="shared" si="126"/>
        <v/>
      </c>
    </row>
    <row r="3970" spans="1:6" x14ac:dyDescent="0.3">
      <c r="A3970" s="15" t="str">
        <f t="shared" si="127"/>
        <v>.</v>
      </c>
      <c r="E3970" s="13" t="str">
        <f>IFERROR(IF(AND(B3970&lt;&gt;"",C3970&lt;&gt;""),SUMIFS(Movimentos!$F$4:$F$9996,Movimentos!$D$4:$D$9996,B3970,Movimentos!$C$4:$C$9996,"Entrada")-SUMIFS(Movimentos!$F$4:$F$9996,Movimentos!$D$4:$D$9996,B3970,Movimentos!$C$4:$C$9996,"Saída"),""),"")</f>
        <v/>
      </c>
      <c r="F3970" s="10" t="str">
        <f t="shared" si="126"/>
        <v/>
      </c>
    </row>
    <row r="3971" spans="1:6" x14ac:dyDescent="0.3">
      <c r="A3971" s="15" t="str">
        <f t="shared" si="127"/>
        <v>.</v>
      </c>
      <c r="E3971" s="13" t="str">
        <f>IFERROR(IF(AND(B3971&lt;&gt;"",C3971&lt;&gt;""),SUMIFS(Movimentos!$F$4:$F$9996,Movimentos!$D$4:$D$9996,B3971,Movimentos!$C$4:$C$9996,"Entrada")-SUMIFS(Movimentos!$F$4:$F$9996,Movimentos!$D$4:$D$9996,B3971,Movimentos!$C$4:$C$9996,"Saída"),""),"")</f>
        <v/>
      </c>
      <c r="F3971" s="10" t="str">
        <f t="shared" si="126"/>
        <v/>
      </c>
    </row>
    <row r="3972" spans="1:6" x14ac:dyDescent="0.3">
      <c r="A3972" s="15" t="str">
        <f t="shared" si="127"/>
        <v>.</v>
      </c>
      <c r="E3972" s="13" t="str">
        <f>IFERROR(IF(AND(B3972&lt;&gt;"",C3972&lt;&gt;""),SUMIFS(Movimentos!$F$4:$F$9996,Movimentos!$D$4:$D$9996,B3972,Movimentos!$C$4:$C$9996,"Entrada")-SUMIFS(Movimentos!$F$4:$F$9996,Movimentos!$D$4:$D$9996,B3972,Movimentos!$C$4:$C$9996,"Saída"),""),"")</f>
        <v/>
      </c>
      <c r="F3972" s="10" t="str">
        <f t="shared" si="126"/>
        <v/>
      </c>
    </row>
    <row r="3973" spans="1:6" x14ac:dyDescent="0.3">
      <c r="A3973" s="15" t="str">
        <f t="shared" si="127"/>
        <v>.</v>
      </c>
      <c r="E3973" s="13" t="str">
        <f>IFERROR(IF(AND(B3973&lt;&gt;"",C3973&lt;&gt;""),SUMIFS(Movimentos!$F$4:$F$9996,Movimentos!$D$4:$D$9996,B3973,Movimentos!$C$4:$C$9996,"Entrada")-SUMIFS(Movimentos!$F$4:$F$9996,Movimentos!$D$4:$D$9996,B3973,Movimentos!$C$4:$C$9996,"Saída"),""),"")</f>
        <v/>
      </c>
      <c r="F3973" s="10" t="str">
        <f t="shared" si="126"/>
        <v/>
      </c>
    </row>
    <row r="3974" spans="1:6" x14ac:dyDescent="0.3">
      <c r="A3974" s="15" t="str">
        <f t="shared" si="127"/>
        <v>.</v>
      </c>
      <c r="E3974" s="13" t="str">
        <f>IFERROR(IF(AND(B3974&lt;&gt;"",C3974&lt;&gt;""),SUMIFS(Movimentos!$F$4:$F$9996,Movimentos!$D$4:$D$9996,B3974,Movimentos!$C$4:$C$9996,"Entrada")-SUMIFS(Movimentos!$F$4:$F$9996,Movimentos!$D$4:$D$9996,B3974,Movimentos!$C$4:$C$9996,"Saída"),""),"")</f>
        <v/>
      </c>
      <c r="F3974" s="10" t="str">
        <f t="shared" si="126"/>
        <v/>
      </c>
    </row>
    <row r="3975" spans="1:6" x14ac:dyDescent="0.3">
      <c r="A3975" s="15" t="str">
        <f t="shared" si="127"/>
        <v>.</v>
      </c>
      <c r="E3975" s="13" t="str">
        <f>IFERROR(IF(AND(B3975&lt;&gt;"",C3975&lt;&gt;""),SUMIFS(Movimentos!$F$4:$F$9996,Movimentos!$D$4:$D$9996,B3975,Movimentos!$C$4:$C$9996,"Entrada")-SUMIFS(Movimentos!$F$4:$F$9996,Movimentos!$D$4:$D$9996,B3975,Movimentos!$C$4:$C$9996,"Saída"),""),"")</f>
        <v/>
      </c>
      <c r="F3975" s="10" t="str">
        <f t="shared" si="126"/>
        <v/>
      </c>
    </row>
    <row r="3976" spans="1:6" x14ac:dyDescent="0.3">
      <c r="A3976" s="15" t="str">
        <f t="shared" si="127"/>
        <v>.</v>
      </c>
      <c r="E3976" s="13" t="str">
        <f>IFERROR(IF(AND(B3976&lt;&gt;"",C3976&lt;&gt;""),SUMIFS(Movimentos!$F$4:$F$9996,Movimentos!$D$4:$D$9996,B3976,Movimentos!$C$4:$C$9996,"Entrada")-SUMIFS(Movimentos!$F$4:$F$9996,Movimentos!$D$4:$D$9996,B3976,Movimentos!$C$4:$C$9996,"Saída"),""),"")</f>
        <v/>
      </c>
      <c r="F3976" s="10" t="str">
        <f t="shared" si="126"/>
        <v/>
      </c>
    </row>
    <row r="3977" spans="1:6" x14ac:dyDescent="0.3">
      <c r="A3977" s="15" t="str">
        <f t="shared" si="127"/>
        <v>.</v>
      </c>
      <c r="E3977" s="13" t="str">
        <f>IFERROR(IF(AND(B3977&lt;&gt;"",C3977&lt;&gt;""),SUMIFS(Movimentos!$F$4:$F$9996,Movimentos!$D$4:$D$9996,B3977,Movimentos!$C$4:$C$9996,"Entrada")-SUMIFS(Movimentos!$F$4:$F$9996,Movimentos!$D$4:$D$9996,B3977,Movimentos!$C$4:$C$9996,"Saída"),""),"")</f>
        <v/>
      </c>
      <c r="F3977" s="10" t="str">
        <f t="shared" si="126"/>
        <v/>
      </c>
    </row>
    <row r="3978" spans="1:6" x14ac:dyDescent="0.3">
      <c r="A3978" s="15" t="str">
        <f t="shared" si="127"/>
        <v>.</v>
      </c>
      <c r="E3978" s="13" t="str">
        <f>IFERROR(IF(AND(B3978&lt;&gt;"",C3978&lt;&gt;""),SUMIFS(Movimentos!$F$4:$F$9996,Movimentos!$D$4:$D$9996,B3978,Movimentos!$C$4:$C$9996,"Entrada")-SUMIFS(Movimentos!$F$4:$F$9996,Movimentos!$D$4:$D$9996,B3978,Movimentos!$C$4:$C$9996,"Saída"),""),"")</f>
        <v/>
      </c>
      <c r="F3978" s="10" t="str">
        <f t="shared" si="126"/>
        <v/>
      </c>
    </row>
    <row r="3979" spans="1:6" x14ac:dyDescent="0.3">
      <c r="A3979" s="15" t="str">
        <f t="shared" si="127"/>
        <v>.</v>
      </c>
      <c r="E3979" s="13" t="str">
        <f>IFERROR(IF(AND(B3979&lt;&gt;"",C3979&lt;&gt;""),SUMIFS(Movimentos!$F$4:$F$9996,Movimentos!$D$4:$D$9996,B3979,Movimentos!$C$4:$C$9996,"Entrada")-SUMIFS(Movimentos!$F$4:$F$9996,Movimentos!$D$4:$D$9996,B3979,Movimentos!$C$4:$C$9996,"Saída"),""),"")</f>
        <v/>
      </c>
      <c r="F3979" s="10" t="str">
        <f t="shared" si="126"/>
        <v/>
      </c>
    </row>
    <row r="3980" spans="1:6" x14ac:dyDescent="0.3">
      <c r="A3980" s="15" t="str">
        <f t="shared" si="127"/>
        <v>.</v>
      </c>
      <c r="E3980" s="13" t="str">
        <f>IFERROR(IF(AND(B3980&lt;&gt;"",C3980&lt;&gt;""),SUMIFS(Movimentos!$F$4:$F$9996,Movimentos!$D$4:$D$9996,B3980,Movimentos!$C$4:$C$9996,"Entrada")-SUMIFS(Movimentos!$F$4:$F$9996,Movimentos!$D$4:$D$9996,B3980,Movimentos!$C$4:$C$9996,"Saída"),""),"")</f>
        <v/>
      </c>
      <c r="F3980" s="10" t="str">
        <f t="shared" si="126"/>
        <v/>
      </c>
    </row>
    <row r="3981" spans="1:6" x14ac:dyDescent="0.3">
      <c r="A3981" s="15" t="str">
        <f t="shared" si="127"/>
        <v>.</v>
      </c>
      <c r="E3981" s="13" t="str">
        <f>IFERROR(IF(AND(B3981&lt;&gt;"",C3981&lt;&gt;""),SUMIFS(Movimentos!$F$4:$F$9996,Movimentos!$D$4:$D$9996,B3981,Movimentos!$C$4:$C$9996,"Entrada")-SUMIFS(Movimentos!$F$4:$F$9996,Movimentos!$D$4:$D$9996,B3981,Movimentos!$C$4:$C$9996,"Saída"),""),"")</f>
        <v/>
      </c>
      <c r="F3981" s="10" t="str">
        <f t="shared" si="126"/>
        <v/>
      </c>
    </row>
    <row r="3982" spans="1:6" x14ac:dyDescent="0.3">
      <c r="A3982" s="15" t="str">
        <f t="shared" si="127"/>
        <v>.</v>
      </c>
      <c r="E3982" s="13" t="str">
        <f>IFERROR(IF(AND(B3982&lt;&gt;"",C3982&lt;&gt;""),SUMIFS(Movimentos!$F$4:$F$9996,Movimentos!$D$4:$D$9996,B3982,Movimentos!$C$4:$C$9996,"Entrada")-SUMIFS(Movimentos!$F$4:$F$9996,Movimentos!$D$4:$D$9996,B3982,Movimentos!$C$4:$C$9996,"Saída"),""),"")</f>
        <v/>
      </c>
      <c r="F3982" s="10" t="str">
        <f t="shared" si="126"/>
        <v/>
      </c>
    </row>
    <row r="3983" spans="1:6" x14ac:dyDescent="0.3">
      <c r="A3983" s="15" t="str">
        <f t="shared" si="127"/>
        <v>.</v>
      </c>
      <c r="E3983" s="13" t="str">
        <f>IFERROR(IF(AND(B3983&lt;&gt;"",C3983&lt;&gt;""),SUMIFS(Movimentos!$F$4:$F$9996,Movimentos!$D$4:$D$9996,B3983,Movimentos!$C$4:$C$9996,"Entrada")-SUMIFS(Movimentos!$F$4:$F$9996,Movimentos!$D$4:$D$9996,B3983,Movimentos!$C$4:$C$9996,"Saída"),""),"")</f>
        <v/>
      </c>
      <c r="F3983" s="10" t="str">
        <f t="shared" si="126"/>
        <v/>
      </c>
    </row>
    <row r="3984" spans="1:6" x14ac:dyDescent="0.3">
      <c r="A3984" s="15" t="str">
        <f t="shared" si="127"/>
        <v>.</v>
      </c>
      <c r="E3984" s="13" t="str">
        <f>IFERROR(IF(AND(B3984&lt;&gt;"",C3984&lt;&gt;""),SUMIFS(Movimentos!$F$4:$F$9996,Movimentos!$D$4:$D$9996,B3984,Movimentos!$C$4:$C$9996,"Entrada")-SUMIFS(Movimentos!$F$4:$F$9996,Movimentos!$D$4:$D$9996,B3984,Movimentos!$C$4:$C$9996,"Saída"),""),"")</f>
        <v/>
      </c>
      <c r="F3984" s="10" t="str">
        <f t="shared" si="126"/>
        <v/>
      </c>
    </row>
    <row r="3985" spans="1:6" x14ac:dyDescent="0.3">
      <c r="A3985" s="15" t="str">
        <f t="shared" si="127"/>
        <v>.</v>
      </c>
      <c r="E3985" s="13" t="str">
        <f>IFERROR(IF(AND(B3985&lt;&gt;"",C3985&lt;&gt;""),SUMIFS(Movimentos!$F$4:$F$9996,Movimentos!$D$4:$D$9996,B3985,Movimentos!$C$4:$C$9996,"Entrada")-SUMIFS(Movimentos!$F$4:$F$9996,Movimentos!$D$4:$D$9996,B3985,Movimentos!$C$4:$C$9996,"Saída"),""),"")</f>
        <v/>
      </c>
      <c r="F3985" s="10" t="str">
        <f t="shared" si="126"/>
        <v/>
      </c>
    </row>
    <row r="3986" spans="1:6" x14ac:dyDescent="0.3">
      <c r="A3986" s="15" t="str">
        <f t="shared" si="127"/>
        <v>.</v>
      </c>
      <c r="E3986" s="13" t="str">
        <f>IFERROR(IF(AND(B3986&lt;&gt;"",C3986&lt;&gt;""),SUMIFS(Movimentos!$F$4:$F$9996,Movimentos!$D$4:$D$9996,B3986,Movimentos!$C$4:$C$9996,"Entrada")-SUMIFS(Movimentos!$F$4:$F$9996,Movimentos!$D$4:$D$9996,B3986,Movimentos!$C$4:$C$9996,"Saída"),""),"")</f>
        <v/>
      </c>
      <c r="F3986" s="10" t="str">
        <f t="shared" si="126"/>
        <v/>
      </c>
    </row>
    <row r="3987" spans="1:6" x14ac:dyDescent="0.3">
      <c r="A3987" s="15" t="str">
        <f t="shared" si="127"/>
        <v>.</v>
      </c>
      <c r="E3987" s="13" t="str">
        <f>IFERROR(IF(AND(B3987&lt;&gt;"",C3987&lt;&gt;""),SUMIFS(Movimentos!$F$4:$F$9996,Movimentos!$D$4:$D$9996,B3987,Movimentos!$C$4:$C$9996,"Entrada")-SUMIFS(Movimentos!$F$4:$F$9996,Movimentos!$D$4:$D$9996,B3987,Movimentos!$C$4:$C$9996,"Saída"),""),"")</f>
        <v/>
      </c>
      <c r="F3987" s="10" t="str">
        <f t="shared" si="126"/>
        <v/>
      </c>
    </row>
    <row r="3988" spans="1:6" x14ac:dyDescent="0.3">
      <c r="A3988" s="15" t="str">
        <f t="shared" si="127"/>
        <v>.</v>
      </c>
      <c r="E3988" s="13" t="str">
        <f>IFERROR(IF(AND(B3988&lt;&gt;"",C3988&lt;&gt;""),SUMIFS(Movimentos!$F$4:$F$9996,Movimentos!$D$4:$D$9996,B3988,Movimentos!$C$4:$C$9996,"Entrada")-SUMIFS(Movimentos!$F$4:$F$9996,Movimentos!$D$4:$D$9996,B3988,Movimentos!$C$4:$C$9996,"Saída"),""),"")</f>
        <v/>
      </c>
      <c r="F3988" s="10" t="str">
        <f t="shared" si="126"/>
        <v/>
      </c>
    </row>
    <row r="3989" spans="1:6" x14ac:dyDescent="0.3">
      <c r="A3989" s="15" t="str">
        <f t="shared" si="127"/>
        <v>.</v>
      </c>
      <c r="E3989" s="13" t="str">
        <f>IFERROR(IF(AND(B3989&lt;&gt;"",C3989&lt;&gt;""),SUMIFS(Movimentos!$F$4:$F$9996,Movimentos!$D$4:$D$9996,B3989,Movimentos!$C$4:$C$9996,"Entrada")-SUMIFS(Movimentos!$F$4:$F$9996,Movimentos!$D$4:$D$9996,B3989,Movimentos!$C$4:$C$9996,"Saída"),""),"")</f>
        <v/>
      </c>
      <c r="F3989" s="10" t="str">
        <f t="shared" si="126"/>
        <v/>
      </c>
    </row>
    <row r="3990" spans="1:6" x14ac:dyDescent="0.3">
      <c r="A3990" s="15" t="str">
        <f t="shared" si="127"/>
        <v>.</v>
      </c>
      <c r="E3990" s="13" t="str">
        <f>IFERROR(IF(AND(B3990&lt;&gt;"",C3990&lt;&gt;""),SUMIFS(Movimentos!$F$4:$F$9996,Movimentos!$D$4:$D$9996,B3990,Movimentos!$C$4:$C$9996,"Entrada")-SUMIFS(Movimentos!$F$4:$F$9996,Movimentos!$D$4:$D$9996,B3990,Movimentos!$C$4:$C$9996,"Saída"),""),"")</f>
        <v/>
      </c>
      <c r="F3990" s="10" t="str">
        <f t="shared" si="126"/>
        <v/>
      </c>
    </row>
    <row r="3991" spans="1:6" x14ac:dyDescent="0.3">
      <c r="A3991" s="15" t="str">
        <f t="shared" si="127"/>
        <v>.</v>
      </c>
      <c r="E3991" s="13" t="str">
        <f>IFERROR(IF(AND(B3991&lt;&gt;"",C3991&lt;&gt;""),SUMIFS(Movimentos!$F$4:$F$9996,Movimentos!$D$4:$D$9996,B3991,Movimentos!$C$4:$C$9996,"Entrada")-SUMIFS(Movimentos!$F$4:$F$9996,Movimentos!$D$4:$D$9996,B3991,Movimentos!$C$4:$C$9996,"Saída"),""),"")</f>
        <v/>
      </c>
      <c r="F3991" s="10" t="str">
        <f t="shared" ref="F3991:F4054" si="128">IF(AND(B3991&lt;&gt;"",C3991&lt;&gt;""),IF(E3991=0,"Saldo zerado",IF(E3991&lt;D3991,"Saldo abaixo do mínimo","Saldo disponível")),"")</f>
        <v/>
      </c>
    </row>
    <row r="3992" spans="1:6" x14ac:dyDescent="0.3">
      <c r="A3992" s="15" t="str">
        <f t="shared" si="127"/>
        <v>.</v>
      </c>
      <c r="E3992" s="13" t="str">
        <f>IFERROR(IF(AND(B3992&lt;&gt;"",C3992&lt;&gt;""),SUMIFS(Movimentos!$F$4:$F$9996,Movimentos!$D$4:$D$9996,B3992,Movimentos!$C$4:$C$9996,"Entrada")-SUMIFS(Movimentos!$F$4:$F$9996,Movimentos!$D$4:$D$9996,B3992,Movimentos!$C$4:$C$9996,"Saída"),""),"")</f>
        <v/>
      </c>
      <c r="F3992" s="10" t="str">
        <f t="shared" si="128"/>
        <v/>
      </c>
    </row>
    <row r="3993" spans="1:6" x14ac:dyDescent="0.3">
      <c r="A3993" s="15" t="str">
        <f t="shared" si="127"/>
        <v>.</v>
      </c>
      <c r="E3993" s="13" t="str">
        <f>IFERROR(IF(AND(B3993&lt;&gt;"",C3993&lt;&gt;""),SUMIFS(Movimentos!$F$4:$F$9996,Movimentos!$D$4:$D$9996,B3993,Movimentos!$C$4:$C$9996,"Entrada")-SUMIFS(Movimentos!$F$4:$F$9996,Movimentos!$D$4:$D$9996,B3993,Movimentos!$C$4:$C$9996,"Saída"),""),"")</f>
        <v/>
      </c>
      <c r="F3993" s="10" t="str">
        <f t="shared" si="128"/>
        <v/>
      </c>
    </row>
    <row r="3994" spans="1:6" x14ac:dyDescent="0.3">
      <c r="A3994" s="15" t="str">
        <f t="shared" si="127"/>
        <v>.</v>
      </c>
      <c r="E3994" s="13" t="str">
        <f>IFERROR(IF(AND(B3994&lt;&gt;"",C3994&lt;&gt;""),SUMIFS(Movimentos!$F$4:$F$9996,Movimentos!$D$4:$D$9996,B3994,Movimentos!$C$4:$C$9996,"Entrada")-SUMIFS(Movimentos!$F$4:$F$9996,Movimentos!$D$4:$D$9996,B3994,Movimentos!$C$4:$C$9996,"Saída"),""),"")</f>
        <v/>
      </c>
      <c r="F3994" s="10" t="str">
        <f t="shared" si="128"/>
        <v/>
      </c>
    </row>
    <row r="3995" spans="1:6" x14ac:dyDescent="0.3">
      <c r="A3995" s="15" t="str">
        <f t="shared" si="127"/>
        <v>.</v>
      </c>
      <c r="E3995" s="13" t="str">
        <f>IFERROR(IF(AND(B3995&lt;&gt;"",C3995&lt;&gt;""),SUMIFS(Movimentos!$F$4:$F$9996,Movimentos!$D$4:$D$9996,B3995,Movimentos!$C$4:$C$9996,"Entrada")-SUMIFS(Movimentos!$F$4:$F$9996,Movimentos!$D$4:$D$9996,B3995,Movimentos!$C$4:$C$9996,"Saída"),""),"")</f>
        <v/>
      </c>
      <c r="F3995" s="10" t="str">
        <f t="shared" si="128"/>
        <v/>
      </c>
    </row>
    <row r="3996" spans="1:6" x14ac:dyDescent="0.3">
      <c r="A3996" s="15" t="str">
        <f t="shared" si="127"/>
        <v>.</v>
      </c>
      <c r="E3996" s="13" t="str">
        <f>IFERROR(IF(AND(B3996&lt;&gt;"",C3996&lt;&gt;""),SUMIFS(Movimentos!$F$4:$F$9996,Movimentos!$D$4:$D$9996,B3996,Movimentos!$C$4:$C$9996,"Entrada")-SUMIFS(Movimentos!$F$4:$F$9996,Movimentos!$D$4:$D$9996,B3996,Movimentos!$C$4:$C$9996,"Saída"),""),"")</f>
        <v/>
      </c>
      <c r="F3996" s="10" t="str">
        <f t="shared" si="128"/>
        <v/>
      </c>
    </row>
    <row r="3997" spans="1:6" x14ac:dyDescent="0.3">
      <c r="A3997" s="15" t="str">
        <f t="shared" si="127"/>
        <v>.</v>
      </c>
      <c r="E3997" s="13" t="str">
        <f>IFERROR(IF(AND(B3997&lt;&gt;"",C3997&lt;&gt;""),SUMIFS(Movimentos!$F$4:$F$9996,Movimentos!$D$4:$D$9996,B3997,Movimentos!$C$4:$C$9996,"Entrada")-SUMIFS(Movimentos!$F$4:$F$9996,Movimentos!$D$4:$D$9996,B3997,Movimentos!$C$4:$C$9996,"Saída"),""),"")</f>
        <v/>
      </c>
      <c r="F3997" s="10" t="str">
        <f t="shared" si="128"/>
        <v/>
      </c>
    </row>
    <row r="3998" spans="1:6" x14ac:dyDescent="0.3">
      <c r="A3998" s="15" t="str">
        <f t="shared" si="127"/>
        <v>.</v>
      </c>
      <c r="E3998" s="13" t="str">
        <f>IFERROR(IF(AND(B3998&lt;&gt;"",C3998&lt;&gt;""),SUMIFS(Movimentos!$F$4:$F$9996,Movimentos!$D$4:$D$9996,B3998,Movimentos!$C$4:$C$9996,"Entrada")-SUMIFS(Movimentos!$F$4:$F$9996,Movimentos!$D$4:$D$9996,B3998,Movimentos!$C$4:$C$9996,"Saída"),""),"")</f>
        <v/>
      </c>
      <c r="F3998" s="10" t="str">
        <f t="shared" si="128"/>
        <v/>
      </c>
    </row>
    <row r="3999" spans="1:6" x14ac:dyDescent="0.3">
      <c r="A3999" s="15" t="str">
        <f t="shared" si="127"/>
        <v>.</v>
      </c>
      <c r="E3999" s="13" t="str">
        <f>IFERROR(IF(AND(B3999&lt;&gt;"",C3999&lt;&gt;""),SUMIFS(Movimentos!$F$4:$F$9996,Movimentos!$D$4:$D$9996,B3999,Movimentos!$C$4:$C$9996,"Entrada")-SUMIFS(Movimentos!$F$4:$F$9996,Movimentos!$D$4:$D$9996,B3999,Movimentos!$C$4:$C$9996,"Saída"),""),"")</f>
        <v/>
      </c>
      <c r="F3999" s="10" t="str">
        <f t="shared" si="128"/>
        <v/>
      </c>
    </row>
    <row r="4000" spans="1:6" x14ac:dyDescent="0.3">
      <c r="A4000" s="15" t="str">
        <f t="shared" si="127"/>
        <v>.</v>
      </c>
      <c r="E4000" s="13" t="str">
        <f>IFERROR(IF(AND(B4000&lt;&gt;"",C4000&lt;&gt;""),SUMIFS(Movimentos!$F$4:$F$9996,Movimentos!$D$4:$D$9996,B4000,Movimentos!$C$4:$C$9996,"Entrada")-SUMIFS(Movimentos!$F$4:$F$9996,Movimentos!$D$4:$D$9996,B4000,Movimentos!$C$4:$C$9996,"Saída"),""),"")</f>
        <v/>
      </c>
      <c r="F4000" s="10" t="str">
        <f t="shared" si="128"/>
        <v/>
      </c>
    </row>
    <row r="4001" spans="1:6" x14ac:dyDescent="0.3">
      <c r="A4001" s="15" t="str">
        <f t="shared" si="127"/>
        <v>.</v>
      </c>
      <c r="E4001" s="13" t="str">
        <f>IFERROR(IF(AND(B4001&lt;&gt;"",C4001&lt;&gt;""),SUMIFS(Movimentos!$F$4:$F$9996,Movimentos!$D$4:$D$9996,B4001,Movimentos!$C$4:$C$9996,"Entrada")-SUMIFS(Movimentos!$F$4:$F$9996,Movimentos!$D$4:$D$9996,B4001,Movimentos!$C$4:$C$9996,"Saída"),""),"")</f>
        <v/>
      </c>
      <c r="F4001" s="10" t="str">
        <f t="shared" si="128"/>
        <v/>
      </c>
    </row>
    <row r="4002" spans="1:6" x14ac:dyDescent="0.3">
      <c r="A4002" s="15" t="str">
        <f t="shared" si="127"/>
        <v>.</v>
      </c>
      <c r="E4002" s="13" t="str">
        <f>IFERROR(IF(AND(B4002&lt;&gt;"",C4002&lt;&gt;""),SUMIFS(Movimentos!$F$4:$F$9996,Movimentos!$D$4:$D$9996,B4002,Movimentos!$C$4:$C$9996,"Entrada")-SUMIFS(Movimentos!$F$4:$F$9996,Movimentos!$D$4:$D$9996,B4002,Movimentos!$C$4:$C$9996,"Saída"),""),"")</f>
        <v/>
      </c>
      <c r="F4002" s="10" t="str">
        <f t="shared" si="128"/>
        <v/>
      </c>
    </row>
    <row r="4003" spans="1:6" x14ac:dyDescent="0.3">
      <c r="A4003" s="15" t="str">
        <f t="shared" si="127"/>
        <v>.</v>
      </c>
      <c r="E4003" s="13" t="str">
        <f>IFERROR(IF(AND(B4003&lt;&gt;"",C4003&lt;&gt;""),SUMIFS(Movimentos!$F$4:$F$9996,Movimentos!$D$4:$D$9996,B4003,Movimentos!$C$4:$C$9996,"Entrada")-SUMIFS(Movimentos!$F$4:$F$9996,Movimentos!$D$4:$D$9996,B4003,Movimentos!$C$4:$C$9996,"Saída"),""),"")</f>
        <v/>
      </c>
      <c r="F4003" s="10" t="str">
        <f t="shared" si="128"/>
        <v/>
      </c>
    </row>
    <row r="4004" spans="1:6" x14ac:dyDescent="0.3">
      <c r="A4004" s="15" t="str">
        <f t="shared" si="127"/>
        <v>.</v>
      </c>
      <c r="E4004" s="13" t="str">
        <f>IFERROR(IF(AND(B4004&lt;&gt;"",C4004&lt;&gt;""),SUMIFS(Movimentos!$F$4:$F$9996,Movimentos!$D$4:$D$9996,B4004,Movimentos!$C$4:$C$9996,"Entrada")-SUMIFS(Movimentos!$F$4:$F$9996,Movimentos!$D$4:$D$9996,B4004,Movimentos!$C$4:$C$9996,"Saída"),""),"")</f>
        <v/>
      </c>
      <c r="F4004" s="10" t="str">
        <f t="shared" si="128"/>
        <v/>
      </c>
    </row>
    <row r="4005" spans="1:6" x14ac:dyDescent="0.3">
      <c r="A4005" s="15" t="str">
        <f t="shared" si="127"/>
        <v>.</v>
      </c>
      <c r="E4005" s="13" t="str">
        <f>IFERROR(IF(AND(B4005&lt;&gt;"",C4005&lt;&gt;""),SUMIFS(Movimentos!$F$4:$F$9996,Movimentos!$D$4:$D$9996,B4005,Movimentos!$C$4:$C$9996,"Entrada")-SUMIFS(Movimentos!$F$4:$F$9996,Movimentos!$D$4:$D$9996,B4005,Movimentos!$C$4:$C$9996,"Saída"),""),"")</f>
        <v/>
      </c>
      <c r="F4005" s="10" t="str">
        <f t="shared" si="128"/>
        <v/>
      </c>
    </row>
    <row r="4006" spans="1:6" x14ac:dyDescent="0.3">
      <c r="A4006" s="15" t="str">
        <f t="shared" si="127"/>
        <v>.</v>
      </c>
      <c r="E4006" s="13" t="str">
        <f>IFERROR(IF(AND(B4006&lt;&gt;"",C4006&lt;&gt;""),SUMIFS(Movimentos!$F$4:$F$9996,Movimentos!$D$4:$D$9996,B4006,Movimentos!$C$4:$C$9996,"Entrada")-SUMIFS(Movimentos!$F$4:$F$9996,Movimentos!$D$4:$D$9996,B4006,Movimentos!$C$4:$C$9996,"Saída"),""),"")</f>
        <v/>
      </c>
      <c r="F4006" s="10" t="str">
        <f t="shared" si="128"/>
        <v/>
      </c>
    </row>
    <row r="4007" spans="1:6" x14ac:dyDescent="0.3">
      <c r="A4007" s="15" t="str">
        <f t="shared" si="127"/>
        <v>.</v>
      </c>
      <c r="E4007" s="13" t="str">
        <f>IFERROR(IF(AND(B4007&lt;&gt;"",C4007&lt;&gt;""),SUMIFS(Movimentos!$F$4:$F$9996,Movimentos!$D$4:$D$9996,B4007,Movimentos!$C$4:$C$9996,"Entrada")-SUMIFS(Movimentos!$F$4:$F$9996,Movimentos!$D$4:$D$9996,B4007,Movimentos!$C$4:$C$9996,"Saída"),""),"")</f>
        <v/>
      </c>
      <c r="F4007" s="10" t="str">
        <f t="shared" si="128"/>
        <v/>
      </c>
    </row>
    <row r="4008" spans="1:6" x14ac:dyDescent="0.3">
      <c r="A4008" s="15" t="str">
        <f t="shared" si="127"/>
        <v>.</v>
      </c>
      <c r="E4008" s="13" t="str">
        <f>IFERROR(IF(AND(B4008&lt;&gt;"",C4008&lt;&gt;""),SUMIFS(Movimentos!$F$4:$F$9996,Movimentos!$D$4:$D$9996,B4008,Movimentos!$C$4:$C$9996,"Entrada")-SUMIFS(Movimentos!$F$4:$F$9996,Movimentos!$D$4:$D$9996,B4008,Movimentos!$C$4:$C$9996,"Saída"),""),"")</f>
        <v/>
      </c>
      <c r="F4008" s="10" t="str">
        <f t="shared" si="128"/>
        <v/>
      </c>
    </row>
    <row r="4009" spans="1:6" x14ac:dyDescent="0.3">
      <c r="A4009" s="15" t="str">
        <f t="shared" si="127"/>
        <v>.</v>
      </c>
      <c r="E4009" s="13" t="str">
        <f>IFERROR(IF(AND(B4009&lt;&gt;"",C4009&lt;&gt;""),SUMIFS(Movimentos!$F$4:$F$9996,Movimentos!$D$4:$D$9996,B4009,Movimentos!$C$4:$C$9996,"Entrada")-SUMIFS(Movimentos!$F$4:$F$9996,Movimentos!$D$4:$D$9996,B4009,Movimentos!$C$4:$C$9996,"Saída"),""),"")</f>
        <v/>
      </c>
      <c r="F4009" s="10" t="str">
        <f t="shared" si="128"/>
        <v/>
      </c>
    </row>
    <row r="4010" spans="1:6" x14ac:dyDescent="0.3">
      <c r="A4010" s="15" t="str">
        <f t="shared" si="127"/>
        <v>.</v>
      </c>
      <c r="E4010" s="13" t="str">
        <f>IFERROR(IF(AND(B4010&lt;&gt;"",C4010&lt;&gt;""),SUMIFS(Movimentos!$F$4:$F$9996,Movimentos!$D$4:$D$9996,B4010,Movimentos!$C$4:$C$9996,"Entrada")-SUMIFS(Movimentos!$F$4:$F$9996,Movimentos!$D$4:$D$9996,B4010,Movimentos!$C$4:$C$9996,"Saída"),""),"")</f>
        <v/>
      </c>
      <c r="F4010" s="10" t="str">
        <f t="shared" si="128"/>
        <v/>
      </c>
    </row>
    <row r="4011" spans="1:6" x14ac:dyDescent="0.3">
      <c r="A4011" s="15" t="str">
        <f t="shared" si="127"/>
        <v>.</v>
      </c>
      <c r="E4011" s="13" t="str">
        <f>IFERROR(IF(AND(B4011&lt;&gt;"",C4011&lt;&gt;""),SUMIFS(Movimentos!$F$4:$F$9996,Movimentos!$D$4:$D$9996,B4011,Movimentos!$C$4:$C$9996,"Entrada")-SUMIFS(Movimentos!$F$4:$F$9996,Movimentos!$D$4:$D$9996,B4011,Movimentos!$C$4:$C$9996,"Saída"),""),"")</f>
        <v/>
      </c>
      <c r="F4011" s="10" t="str">
        <f t="shared" si="128"/>
        <v/>
      </c>
    </row>
    <row r="4012" spans="1:6" x14ac:dyDescent="0.3">
      <c r="A4012" s="15" t="str">
        <f t="shared" si="127"/>
        <v>.</v>
      </c>
      <c r="E4012" s="13" t="str">
        <f>IFERROR(IF(AND(B4012&lt;&gt;"",C4012&lt;&gt;""),SUMIFS(Movimentos!$F$4:$F$9996,Movimentos!$D$4:$D$9996,B4012,Movimentos!$C$4:$C$9996,"Entrada")-SUMIFS(Movimentos!$F$4:$F$9996,Movimentos!$D$4:$D$9996,B4012,Movimentos!$C$4:$C$9996,"Saída"),""),"")</f>
        <v/>
      </c>
      <c r="F4012" s="10" t="str">
        <f t="shared" si="128"/>
        <v/>
      </c>
    </row>
    <row r="4013" spans="1:6" x14ac:dyDescent="0.3">
      <c r="A4013" s="15" t="str">
        <f t="shared" si="127"/>
        <v>.</v>
      </c>
      <c r="E4013" s="13" t="str">
        <f>IFERROR(IF(AND(B4013&lt;&gt;"",C4013&lt;&gt;""),SUMIFS(Movimentos!$F$4:$F$9996,Movimentos!$D$4:$D$9996,B4013,Movimentos!$C$4:$C$9996,"Entrada")-SUMIFS(Movimentos!$F$4:$F$9996,Movimentos!$D$4:$D$9996,B4013,Movimentos!$C$4:$C$9996,"Saída"),""),"")</f>
        <v/>
      </c>
      <c r="F4013" s="10" t="str">
        <f t="shared" si="128"/>
        <v/>
      </c>
    </row>
    <row r="4014" spans="1:6" x14ac:dyDescent="0.3">
      <c r="A4014" s="15" t="str">
        <f t="shared" si="127"/>
        <v>.</v>
      </c>
      <c r="E4014" s="13" t="str">
        <f>IFERROR(IF(AND(B4014&lt;&gt;"",C4014&lt;&gt;""),SUMIFS(Movimentos!$F$4:$F$9996,Movimentos!$D$4:$D$9996,B4014,Movimentos!$C$4:$C$9996,"Entrada")-SUMIFS(Movimentos!$F$4:$F$9996,Movimentos!$D$4:$D$9996,B4014,Movimentos!$C$4:$C$9996,"Saída"),""),"")</f>
        <v/>
      </c>
      <c r="F4014" s="10" t="str">
        <f t="shared" si="128"/>
        <v/>
      </c>
    </row>
    <row r="4015" spans="1:6" x14ac:dyDescent="0.3">
      <c r="A4015" s="15" t="str">
        <f t="shared" si="127"/>
        <v>.</v>
      </c>
      <c r="E4015" s="13" t="str">
        <f>IFERROR(IF(AND(B4015&lt;&gt;"",C4015&lt;&gt;""),SUMIFS(Movimentos!$F$4:$F$9996,Movimentos!$D$4:$D$9996,B4015,Movimentos!$C$4:$C$9996,"Entrada")-SUMIFS(Movimentos!$F$4:$F$9996,Movimentos!$D$4:$D$9996,B4015,Movimentos!$C$4:$C$9996,"Saída"),""),"")</f>
        <v/>
      </c>
      <c r="F4015" s="10" t="str">
        <f t="shared" si="128"/>
        <v/>
      </c>
    </row>
    <row r="4016" spans="1:6" x14ac:dyDescent="0.3">
      <c r="A4016" s="15" t="str">
        <f t="shared" si="127"/>
        <v>.</v>
      </c>
      <c r="E4016" s="13" t="str">
        <f>IFERROR(IF(AND(B4016&lt;&gt;"",C4016&lt;&gt;""),SUMIFS(Movimentos!$F$4:$F$9996,Movimentos!$D$4:$D$9996,B4016,Movimentos!$C$4:$C$9996,"Entrada")-SUMIFS(Movimentos!$F$4:$F$9996,Movimentos!$D$4:$D$9996,B4016,Movimentos!$C$4:$C$9996,"Saída"),""),"")</f>
        <v/>
      </c>
      <c r="F4016" s="10" t="str">
        <f t="shared" si="128"/>
        <v/>
      </c>
    </row>
    <row r="4017" spans="1:6" x14ac:dyDescent="0.3">
      <c r="A4017" s="15" t="str">
        <f t="shared" si="127"/>
        <v>.</v>
      </c>
      <c r="E4017" s="13" t="str">
        <f>IFERROR(IF(AND(B4017&lt;&gt;"",C4017&lt;&gt;""),SUMIFS(Movimentos!$F$4:$F$9996,Movimentos!$D$4:$D$9996,B4017,Movimentos!$C$4:$C$9996,"Entrada")-SUMIFS(Movimentos!$F$4:$F$9996,Movimentos!$D$4:$D$9996,B4017,Movimentos!$C$4:$C$9996,"Saída"),""),"")</f>
        <v/>
      </c>
      <c r="F4017" s="10" t="str">
        <f t="shared" si="128"/>
        <v/>
      </c>
    </row>
    <row r="4018" spans="1:6" x14ac:dyDescent="0.3">
      <c r="A4018" s="15" t="str">
        <f t="shared" si="127"/>
        <v>.</v>
      </c>
      <c r="E4018" s="13" t="str">
        <f>IFERROR(IF(AND(B4018&lt;&gt;"",C4018&lt;&gt;""),SUMIFS(Movimentos!$F$4:$F$9996,Movimentos!$D$4:$D$9996,B4018,Movimentos!$C$4:$C$9996,"Entrada")-SUMIFS(Movimentos!$F$4:$F$9996,Movimentos!$D$4:$D$9996,B4018,Movimentos!$C$4:$C$9996,"Saída"),""),"")</f>
        <v/>
      </c>
      <c r="F4018" s="10" t="str">
        <f t="shared" si="128"/>
        <v/>
      </c>
    </row>
    <row r="4019" spans="1:6" x14ac:dyDescent="0.3">
      <c r="A4019" s="15" t="str">
        <f t="shared" si="127"/>
        <v>.</v>
      </c>
      <c r="E4019" s="13" t="str">
        <f>IFERROR(IF(AND(B4019&lt;&gt;"",C4019&lt;&gt;""),SUMIFS(Movimentos!$F$4:$F$9996,Movimentos!$D$4:$D$9996,B4019,Movimentos!$C$4:$C$9996,"Entrada")-SUMIFS(Movimentos!$F$4:$F$9996,Movimentos!$D$4:$D$9996,B4019,Movimentos!$C$4:$C$9996,"Saída"),""),"")</f>
        <v/>
      </c>
      <c r="F4019" s="10" t="str">
        <f t="shared" si="128"/>
        <v/>
      </c>
    </row>
    <row r="4020" spans="1:6" x14ac:dyDescent="0.3">
      <c r="A4020" s="15" t="str">
        <f t="shared" si="127"/>
        <v>.</v>
      </c>
      <c r="E4020" s="13" t="str">
        <f>IFERROR(IF(AND(B4020&lt;&gt;"",C4020&lt;&gt;""),SUMIFS(Movimentos!$F$4:$F$9996,Movimentos!$D$4:$D$9996,B4020,Movimentos!$C$4:$C$9996,"Entrada")-SUMIFS(Movimentos!$F$4:$F$9996,Movimentos!$D$4:$D$9996,B4020,Movimentos!$C$4:$C$9996,"Saída"),""),"")</f>
        <v/>
      </c>
      <c r="F4020" s="10" t="str">
        <f t="shared" si="128"/>
        <v/>
      </c>
    </row>
    <row r="4021" spans="1:6" x14ac:dyDescent="0.3">
      <c r="A4021" s="15" t="str">
        <f t="shared" si="127"/>
        <v>.</v>
      </c>
      <c r="E4021" s="13" t="str">
        <f>IFERROR(IF(AND(B4021&lt;&gt;"",C4021&lt;&gt;""),SUMIFS(Movimentos!$F$4:$F$9996,Movimentos!$D$4:$D$9996,B4021,Movimentos!$C$4:$C$9996,"Entrada")-SUMIFS(Movimentos!$F$4:$F$9996,Movimentos!$D$4:$D$9996,B4021,Movimentos!$C$4:$C$9996,"Saída"),""),"")</f>
        <v/>
      </c>
      <c r="F4021" s="10" t="str">
        <f t="shared" si="128"/>
        <v/>
      </c>
    </row>
    <row r="4022" spans="1:6" x14ac:dyDescent="0.3">
      <c r="A4022" s="15" t="str">
        <f t="shared" si="127"/>
        <v>.</v>
      </c>
      <c r="E4022" s="13" t="str">
        <f>IFERROR(IF(AND(B4022&lt;&gt;"",C4022&lt;&gt;""),SUMIFS(Movimentos!$F$4:$F$9996,Movimentos!$D$4:$D$9996,B4022,Movimentos!$C$4:$C$9996,"Entrada")-SUMIFS(Movimentos!$F$4:$F$9996,Movimentos!$D$4:$D$9996,B4022,Movimentos!$C$4:$C$9996,"Saída"),""),"")</f>
        <v/>
      </c>
      <c r="F4022" s="10" t="str">
        <f t="shared" si="128"/>
        <v/>
      </c>
    </row>
    <row r="4023" spans="1:6" x14ac:dyDescent="0.3">
      <c r="A4023" s="15" t="str">
        <f t="shared" si="127"/>
        <v>.</v>
      </c>
      <c r="E4023" s="13" t="str">
        <f>IFERROR(IF(AND(B4023&lt;&gt;"",C4023&lt;&gt;""),SUMIFS(Movimentos!$F$4:$F$9996,Movimentos!$D$4:$D$9996,B4023,Movimentos!$C$4:$C$9996,"Entrada")-SUMIFS(Movimentos!$F$4:$F$9996,Movimentos!$D$4:$D$9996,B4023,Movimentos!$C$4:$C$9996,"Saída"),""),"")</f>
        <v/>
      </c>
      <c r="F4023" s="10" t="str">
        <f t="shared" si="128"/>
        <v/>
      </c>
    </row>
    <row r="4024" spans="1:6" x14ac:dyDescent="0.3">
      <c r="A4024" s="15" t="str">
        <f t="shared" si="127"/>
        <v>.</v>
      </c>
      <c r="E4024" s="13" t="str">
        <f>IFERROR(IF(AND(B4024&lt;&gt;"",C4024&lt;&gt;""),SUMIFS(Movimentos!$F$4:$F$9996,Movimentos!$D$4:$D$9996,B4024,Movimentos!$C$4:$C$9996,"Entrada")-SUMIFS(Movimentos!$F$4:$F$9996,Movimentos!$D$4:$D$9996,B4024,Movimentos!$C$4:$C$9996,"Saída"),""),"")</f>
        <v/>
      </c>
      <c r="F4024" s="10" t="str">
        <f t="shared" si="128"/>
        <v/>
      </c>
    </row>
    <row r="4025" spans="1:6" x14ac:dyDescent="0.3">
      <c r="A4025" s="15" t="str">
        <f t="shared" si="127"/>
        <v>.</v>
      </c>
      <c r="E4025" s="13" t="str">
        <f>IFERROR(IF(AND(B4025&lt;&gt;"",C4025&lt;&gt;""),SUMIFS(Movimentos!$F$4:$F$9996,Movimentos!$D$4:$D$9996,B4025,Movimentos!$C$4:$C$9996,"Entrada")-SUMIFS(Movimentos!$F$4:$F$9996,Movimentos!$D$4:$D$9996,B4025,Movimentos!$C$4:$C$9996,"Saída"),""),"")</f>
        <v/>
      </c>
      <c r="F4025" s="10" t="str">
        <f t="shared" si="128"/>
        <v/>
      </c>
    </row>
    <row r="4026" spans="1:6" x14ac:dyDescent="0.3">
      <c r="A4026" s="15" t="str">
        <f t="shared" si="127"/>
        <v>.</v>
      </c>
      <c r="E4026" s="13" t="str">
        <f>IFERROR(IF(AND(B4026&lt;&gt;"",C4026&lt;&gt;""),SUMIFS(Movimentos!$F$4:$F$9996,Movimentos!$D$4:$D$9996,B4026,Movimentos!$C$4:$C$9996,"Entrada")-SUMIFS(Movimentos!$F$4:$F$9996,Movimentos!$D$4:$D$9996,B4026,Movimentos!$C$4:$C$9996,"Saída"),""),"")</f>
        <v/>
      </c>
      <c r="F4026" s="10" t="str">
        <f t="shared" si="128"/>
        <v/>
      </c>
    </row>
    <row r="4027" spans="1:6" x14ac:dyDescent="0.3">
      <c r="A4027" s="15" t="str">
        <f t="shared" si="127"/>
        <v>.</v>
      </c>
      <c r="E4027" s="13" t="str">
        <f>IFERROR(IF(AND(B4027&lt;&gt;"",C4027&lt;&gt;""),SUMIFS(Movimentos!$F$4:$F$9996,Movimentos!$D$4:$D$9996,B4027,Movimentos!$C$4:$C$9996,"Entrada")-SUMIFS(Movimentos!$F$4:$F$9996,Movimentos!$D$4:$D$9996,B4027,Movimentos!$C$4:$C$9996,"Saída"),""),"")</f>
        <v/>
      </c>
      <c r="F4027" s="10" t="str">
        <f t="shared" si="128"/>
        <v/>
      </c>
    </row>
    <row r="4028" spans="1:6" x14ac:dyDescent="0.3">
      <c r="A4028" s="15" t="str">
        <f t="shared" si="127"/>
        <v>.</v>
      </c>
      <c r="E4028" s="13" t="str">
        <f>IFERROR(IF(AND(B4028&lt;&gt;"",C4028&lt;&gt;""),SUMIFS(Movimentos!$F$4:$F$9996,Movimentos!$D$4:$D$9996,B4028,Movimentos!$C$4:$C$9996,"Entrada")-SUMIFS(Movimentos!$F$4:$F$9996,Movimentos!$D$4:$D$9996,B4028,Movimentos!$C$4:$C$9996,"Saída"),""),"")</f>
        <v/>
      </c>
      <c r="F4028" s="10" t="str">
        <f t="shared" si="128"/>
        <v/>
      </c>
    </row>
    <row r="4029" spans="1:6" x14ac:dyDescent="0.3">
      <c r="A4029" s="15" t="str">
        <f t="shared" si="127"/>
        <v>.</v>
      </c>
      <c r="E4029" s="13" t="str">
        <f>IFERROR(IF(AND(B4029&lt;&gt;"",C4029&lt;&gt;""),SUMIFS(Movimentos!$F$4:$F$9996,Movimentos!$D$4:$D$9996,B4029,Movimentos!$C$4:$C$9996,"Entrada")-SUMIFS(Movimentos!$F$4:$F$9996,Movimentos!$D$4:$D$9996,B4029,Movimentos!$C$4:$C$9996,"Saída"),""),"")</f>
        <v/>
      </c>
      <c r="F4029" s="10" t="str">
        <f t="shared" si="128"/>
        <v/>
      </c>
    </row>
    <row r="4030" spans="1:6" x14ac:dyDescent="0.3">
      <c r="A4030" s="15" t="str">
        <f t="shared" si="127"/>
        <v>.</v>
      </c>
      <c r="E4030" s="13" t="str">
        <f>IFERROR(IF(AND(B4030&lt;&gt;"",C4030&lt;&gt;""),SUMIFS(Movimentos!$F$4:$F$9996,Movimentos!$D$4:$D$9996,B4030,Movimentos!$C$4:$C$9996,"Entrada")-SUMIFS(Movimentos!$F$4:$F$9996,Movimentos!$D$4:$D$9996,B4030,Movimentos!$C$4:$C$9996,"Saída"),""),"")</f>
        <v/>
      </c>
      <c r="F4030" s="10" t="str">
        <f t="shared" si="128"/>
        <v/>
      </c>
    </row>
    <row r="4031" spans="1:6" x14ac:dyDescent="0.3">
      <c r="A4031" s="15" t="str">
        <f t="shared" si="127"/>
        <v>.</v>
      </c>
      <c r="E4031" s="13" t="str">
        <f>IFERROR(IF(AND(B4031&lt;&gt;"",C4031&lt;&gt;""),SUMIFS(Movimentos!$F$4:$F$9996,Movimentos!$D$4:$D$9996,B4031,Movimentos!$C$4:$C$9996,"Entrada")-SUMIFS(Movimentos!$F$4:$F$9996,Movimentos!$D$4:$D$9996,B4031,Movimentos!$C$4:$C$9996,"Saída"),""),"")</f>
        <v/>
      </c>
      <c r="F4031" s="10" t="str">
        <f t="shared" si="128"/>
        <v/>
      </c>
    </row>
    <row r="4032" spans="1:6" x14ac:dyDescent="0.3">
      <c r="A4032" s="15" t="str">
        <f t="shared" ref="A4032:A4095" si="129">IF(F4032="Saldo zerado",0,IF(F4032="Saldo abaixo do mínimo",1,IF(F4032="Saldo disponível",2,".")))</f>
        <v>.</v>
      </c>
      <c r="E4032" s="13" t="str">
        <f>IFERROR(IF(AND(B4032&lt;&gt;"",C4032&lt;&gt;""),SUMIFS(Movimentos!$F$4:$F$9996,Movimentos!$D$4:$D$9996,B4032,Movimentos!$C$4:$C$9996,"Entrada")-SUMIFS(Movimentos!$F$4:$F$9996,Movimentos!$D$4:$D$9996,B4032,Movimentos!$C$4:$C$9996,"Saída"),""),"")</f>
        <v/>
      </c>
      <c r="F4032" s="10" t="str">
        <f t="shared" si="128"/>
        <v/>
      </c>
    </row>
    <row r="4033" spans="1:6" x14ac:dyDescent="0.3">
      <c r="A4033" s="15" t="str">
        <f t="shared" si="129"/>
        <v>.</v>
      </c>
      <c r="E4033" s="13" t="str">
        <f>IFERROR(IF(AND(B4033&lt;&gt;"",C4033&lt;&gt;""),SUMIFS(Movimentos!$F$4:$F$9996,Movimentos!$D$4:$D$9996,B4033,Movimentos!$C$4:$C$9996,"Entrada")-SUMIFS(Movimentos!$F$4:$F$9996,Movimentos!$D$4:$D$9996,B4033,Movimentos!$C$4:$C$9996,"Saída"),""),"")</f>
        <v/>
      </c>
      <c r="F4033" s="10" t="str">
        <f t="shared" si="128"/>
        <v/>
      </c>
    </row>
    <row r="4034" spans="1:6" x14ac:dyDescent="0.3">
      <c r="A4034" s="15" t="str">
        <f t="shared" si="129"/>
        <v>.</v>
      </c>
      <c r="E4034" s="13" t="str">
        <f>IFERROR(IF(AND(B4034&lt;&gt;"",C4034&lt;&gt;""),SUMIFS(Movimentos!$F$4:$F$9996,Movimentos!$D$4:$D$9996,B4034,Movimentos!$C$4:$C$9996,"Entrada")-SUMIFS(Movimentos!$F$4:$F$9996,Movimentos!$D$4:$D$9996,B4034,Movimentos!$C$4:$C$9996,"Saída"),""),"")</f>
        <v/>
      </c>
      <c r="F4034" s="10" t="str">
        <f t="shared" si="128"/>
        <v/>
      </c>
    </row>
    <row r="4035" spans="1:6" x14ac:dyDescent="0.3">
      <c r="A4035" s="15" t="str">
        <f t="shared" si="129"/>
        <v>.</v>
      </c>
      <c r="E4035" s="13" t="str">
        <f>IFERROR(IF(AND(B4035&lt;&gt;"",C4035&lt;&gt;""),SUMIFS(Movimentos!$F$4:$F$9996,Movimentos!$D$4:$D$9996,B4035,Movimentos!$C$4:$C$9996,"Entrada")-SUMIFS(Movimentos!$F$4:$F$9996,Movimentos!$D$4:$D$9996,B4035,Movimentos!$C$4:$C$9996,"Saída"),""),"")</f>
        <v/>
      </c>
      <c r="F4035" s="10" t="str">
        <f t="shared" si="128"/>
        <v/>
      </c>
    </row>
    <row r="4036" spans="1:6" x14ac:dyDescent="0.3">
      <c r="A4036" s="15" t="str">
        <f t="shared" si="129"/>
        <v>.</v>
      </c>
      <c r="E4036" s="13" t="str">
        <f>IFERROR(IF(AND(B4036&lt;&gt;"",C4036&lt;&gt;""),SUMIFS(Movimentos!$F$4:$F$9996,Movimentos!$D$4:$D$9996,B4036,Movimentos!$C$4:$C$9996,"Entrada")-SUMIFS(Movimentos!$F$4:$F$9996,Movimentos!$D$4:$D$9996,B4036,Movimentos!$C$4:$C$9996,"Saída"),""),"")</f>
        <v/>
      </c>
      <c r="F4036" s="10" t="str">
        <f t="shared" si="128"/>
        <v/>
      </c>
    </row>
    <row r="4037" spans="1:6" x14ac:dyDescent="0.3">
      <c r="A4037" s="15" t="str">
        <f t="shared" si="129"/>
        <v>.</v>
      </c>
      <c r="E4037" s="13" t="str">
        <f>IFERROR(IF(AND(B4037&lt;&gt;"",C4037&lt;&gt;""),SUMIFS(Movimentos!$F$4:$F$9996,Movimentos!$D$4:$D$9996,B4037,Movimentos!$C$4:$C$9996,"Entrada")-SUMIFS(Movimentos!$F$4:$F$9996,Movimentos!$D$4:$D$9996,B4037,Movimentos!$C$4:$C$9996,"Saída"),""),"")</f>
        <v/>
      </c>
      <c r="F4037" s="10" t="str">
        <f t="shared" si="128"/>
        <v/>
      </c>
    </row>
    <row r="4038" spans="1:6" x14ac:dyDescent="0.3">
      <c r="A4038" s="15" t="str">
        <f t="shared" si="129"/>
        <v>.</v>
      </c>
      <c r="E4038" s="13" t="str">
        <f>IFERROR(IF(AND(B4038&lt;&gt;"",C4038&lt;&gt;""),SUMIFS(Movimentos!$F$4:$F$9996,Movimentos!$D$4:$D$9996,B4038,Movimentos!$C$4:$C$9996,"Entrada")-SUMIFS(Movimentos!$F$4:$F$9996,Movimentos!$D$4:$D$9996,B4038,Movimentos!$C$4:$C$9996,"Saída"),""),"")</f>
        <v/>
      </c>
      <c r="F4038" s="10" t="str">
        <f t="shared" si="128"/>
        <v/>
      </c>
    </row>
    <row r="4039" spans="1:6" x14ac:dyDescent="0.3">
      <c r="A4039" s="15" t="str">
        <f t="shared" si="129"/>
        <v>.</v>
      </c>
      <c r="E4039" s="13" t="str">
        <f>IFERROR(IF(AND(B4039&lt;&gt;"",C4039&lt;&gt;""),SUMIFS(Movimentos!$F$4:$F$9996,Movimentos!$D$4:$D$9996,B4039,Movimentos!$C$4:$C$9996,"Entrada")-SUMIFS(Movimentos!$F$4:$F$9996,Movimentos!$D$4:$D$9996,B4039,Movimentos!$C$4:$C$9996,"Saída"),""),"")</f>
        <v/>
      </c>
      <c r="F4039" s="10" t="str">
        <f t="shared" si="128"/>
        <v/>
      </c>
    </row>
    <row r="4040" spans="1:6" x14ac:dyDescent="0.3">
      <c r="A4040" s="15" t="str">
        <f t="shared" si="129"/>
        <v>.</v>
      </c>
      <c r="E4040" s="13" t="str">
        <f>IFERROR(IF(AND(B4040&lt;&gt;"",C4040&lt;&gt;""),SUMIFS(Movimentos!$F$4:$F$9996,Movimentos!$D$4:$D$9996,B4040,Movimentos!$C$4:$C$9996,"Entrada")-SUMIFS(Movimentos!$F$4:$F$9996,Movimentos!$D$4:$D$9996,B4040,Movimentos!$C$4:$C$9996,"Saída"),""),"")</f>
        <v/>
      </c>
      <c r="F4040" s="10" t="str">
        <f t="shared" si="128"/>
        <v/>
      </c>
    </row>
    <row r="4041" spans="1:6" x14ac:dyDescent="0.3">
      <c r="A4041" s="15" t="str">
        <f t="shared" si="129"/>
        <v>.</v>
      </c>
      <c r="E4041" s="13" t="str">
        <f>IFERROR(IF(AND(B4041&lt;&gt;"",C4041&lt;&gt;""),SUMIFS(Movimentos!$F$4:$F$9996,Movimentos!$D$4:$D$9996,B4041,Movimentos!$C$4:$C$9996,"Entrada")-SUMIFS(Movimentos!$F$4:$F$9996,Movimentos!$D$4:$D$9996,B4041,Movimentos!$C$4:$C$9996,"Saída"),""),"")</f>
        <v/>
      </c>
      <c r="F4041" s="10" t="str">
        <f t="shared" si="128"/>
        <v/>
      </c>
    </row>
    <row r="4042" spans="1:6" x14ac:dyDescent="0.3">
      <c r="A4042" s="15" t="str">
        <f t="shared" si="129"/>
        <v>.</v>
      </c>
      <c r="E4042" s="13" t="str">
        <f>IFERROR(IF(AND(B4042&lt;&gt;"",C4042&lt;&gt;""),SUMIFS(Movimentos!$F$4:$F$9996,Movimentos!$D$4:$D$9996,B4042,Movimentos!$C$4:$C$9996,"Entrada")-SUMIFS(Movimentos!$F$4:$F$9996,Movimentos!$D$4:$D$9996,B4042,Movimentos!$C$4:$C$9996,"Saída"),""),"")</f>
        <v/>
      </c>
      <c r="F4042" s="10" t="str">
        <f t="shared" si="128"/>
        <v/>
      </c>
    </row>
    <row r="4043" spans="1:6" x14ac:dyDescent="0.3">
      <c r="A4043" s="15" t="str">
        <f t="shared" si="129"/>
        <v>.</v>
      </c>
      <c r="E4043" s="13" t="str">
        <f>IFERROR(IF(AND(B4043&lt;&gt;"",C4043&lt;&gt;""),SUMIFS(Movimentos!$F$4:$F$9996,Movimentos!$D$4:$D$9996,B4043,Movimentos!$C$4:$C$9996,"Entrada")-SUMIFS(Movimentos!$F$4:$F$9996,Movimentos!$D$4:$D$9996,B4043,Movimentos!$C$4:$C$9996,"Saída"),""),"")</f>
        <v/>
      </c>
      <c r="F4043" s="10" t="str">
        <f t="shared" si="128"/>
        <v/>
      </c>
    </row>
    <row r="4044" spans="1:6" x14ac:dyDescent="0.3">
      <c r="A4044" s="15" t="str">
        <f t="shared" si="129"/>
        <v>.</v>
      </c>
      <c r="E4044" s="13" t="str">
        <f>IFERROR(IF(AND(B4044&lt;&gt;"",C4044&lt;&gt;""),SUMIFS(Movimentos!$F$4:$F$9996,Movimentos!$D$4:$D$9996,B4044,Movimentos!$C$4:$C$9996,"Entrada")-SUMIFS(Movimentos!$F$4:$F$9996,Movimentos!$D$4:$D$9996,B4044,Movimentos!$C$4:$C$9996,"Saída"),""),"")</f>
        <v/>
      </c>
      <c r="F4044" s="10" t="str">
        <f t="shared" si="128"/>
        <v/>
      </c>
    </row>
    <row r="4045" spans="1:6" x14ac:dyDescent="0.3">
      <c r="A4045" s="15" t="str">
        <f t="shared" si="129"/>
        <v>.</v>
      </c>
      <c r="E4045" s="13" t="str">
        <f>IFERROR(IF(AND(B4045&lt;&gt;"",C4045&lt;&gt;""),SUMIFS(Movimentos!$F$4:$F$9996,Movimentos!$D$4:$D$9996,B4045,Movimentos!$C$4:$C$9996,"Entrada")-SUMIFS(Movimentos!$F$4:$F$9996,Movimentos!$D$4:$D$9996,B4045,Movimentos!$C$4:$C$9996,"Saída"),""),"")</f>
        <v/>
      </c>
      <c r="F4045" s="10" t="str">
        <f t="shared" si="128"/>
        <v/>
      </c>
    </row>
    <row r="4046" spans="1:6" x14ac:dyDescent="0.3">
      <c r="A4046" s="15" t="str">
        <f t="shared" si="129"/>
        <v>.</v>
      </c>
      <c r="E4046" s="13" t="str">
        <f>IFERROR(IF(AND(B4046&lt;&gt;"",C4046&lt;&gt;""),SUMIFS(Movimentos!$F$4:$F$9996,Movimentos!$D$4:$D$9996,B4046,Movimentos!$C$4:$C$9996,"Entrada")-SUMIFS(Movimentos!$F$4:$F$9996,Movimentos!$D$4:$D$9996,B4046,Movimentos!$C$4:$C$9996,"Saída"),""),"")</f>
        <v/>
      </c>
      <c r="F4046" s="10" t="str">
        <f t="shared" si="128"/>
        <v/>
      </c>
    </row>
    <row r="4047" spans="1:6" x14ac:dyDescent="0.3">
      <c r="A4047" s="15" t="str">
        <f t="shared" si="129"/>
        <v>.</v>
      </c>
      <c r="E4047" s="13" t="str">
        <f>IFERROR(IF(AND(B4047&lt;&gt;"",C4047&lt;&gt;""),SUMIFS(Movimentos!$F$4:$F$9996,Movimentos!$D$4:$D$9996,B4047,Movimentos!$C$4:$C$9996,"Entrada")-SUMIFS(Movimentos!$F$4:$F$9996,Movimentos!$D$4:$D$9996,B4047,Movimentos!$C$4:$C$9996,"Saída"),""),"")</f>
        <v/>
      </c>
      <c r="F4047" s="10" t="str">
        <f t="shared" si="128"/>
        <v/>
      </c>
    </row>
    <row r="4048" spans="1:6" x14ac:dyDescent="0.3">
      <c r="A4048" s="15" t="str">
        <f t="shared" si="129"/>
        <v>.</v>
      </c>
      <c r="E4048" s="13" t="str">
        <f>IFERROR(IF(AND(B4048&lt;&gt;"",C4048&lt;&gt;""),SUMIFS(Movimentos!$F$4:$F$9996,Movimentos!$D$4:$D$9996,B4048,Movimentos!$C$4:$C$9996,"Entrada")-SUMIFS(Movimentos!$F$4:$F$9996,Movimentos!$D$4:$D$9996,B4048,Movimentos!$C$4:$C$9996,"Saída"),""),"")</f>
        <v/>
      </c>
      <c r="F4048" s="10" t="str">
        <f t="shared" si="128"/>
        <v/>
      </c>
    </row>
    <row r="4049" spans="1:6" x14ac:dyDescent="0.3">
      <c r="A4049" s="15" t="str">
        <f t="shared" si="129"/>
        <v>.</v>
      </c>
      <c r="E4049" s="13" t="str">
        <f>IFERROR(IF(AND(B4049&lt;&gt;"",C4049&lt;&gt;""),SUMIFS(Movimentos!$F$4:$F$9996,Movimentos!$D$4:$D$9996,B4049,Movimentos!$C$4:$C$9996,"Entrada")-SUMIFS(Movimentos!$F$4:$F$9996,Movimentos!$D$4:$D$9996,B4049,Movimentos!$C$4:$C$9996,"Saída"),""),"")</f>
        <v/>
      </c>
      <c r="F4049" s="10" t="str">
        <f t="shared" si="128"/>
        <v/>
      </c>
    </row>
    <row r="4050" spans="1:6" x14ac:dyDescent="0.3">
      <c r="A4050" s="15" t="str">
        <f t="shared" si="129"/>
        <v>.</v>
      </c>
      <c r="E4050" s="13" t="str">
        <f>IFERROR(IF(AND(B4050&lt;&gt;"",C4050&lt;&gt;""),SUMIFS(Movimentos!$F$4:$F$9996,Movimentos!$D$4:$D$9996,B4050,Movimentos!$C$4:$C$9996,"Entrada")-SUMIFS(Movimentos!$F$4:$F$9996,Movimentos!$D$4:$D$9996,B4050,Movimentos!$C$4:$C$9996,"Saída"),""),"")</f>
        <v/>
      </c>
      <c r="F4050" s="10" t="str">
        <f t="shared" si="128"/>
        <v/>
      </c>
    </row>
    <row r="4051" spans="1:6" x14ac:dyDescent="0.3">
      <c r="A4051" s="15" t="str">
        <f t="shared" si="129"/>
        <v>.</v>
      </c>
      <c r="E4051" s="13" t="str">
        <f>IFERROR(IF(AND(B4051&lt;&gt;"",C4051&lt;&gt;""),SUMIFS(Movimentos!$F$4:$F$9996,Movimentos!$D$4:$D$9996,B4051,Movimentos!$C$4:$C$9996,"Entrada")-SUMIFS(Movimentos!$F$4:$F$9996,Movimentos!$D$4:$D$9996,B4051,Movimentos!$C$4:$C$9996,"Saída"),""),"")</f>
        <v/>
      </c>
      <c r="F4051" s="10" t="str">
        <f t="shared" si="128"/>
        <v/>
      </c>
    </row>
    <row r="4052" spans="1:6" x14ac:dyDescent="0.3">
      <c r="A4052" s="15" t="str">
        <f t="shared" si="129"/>
        <v>.</v>
      </c>
      <c r="E4052" s="13" t="str">
        <f>IFERROR(IF(AND(B4052&lt;&gt;"",C4052&lt;&gt;""),SUMIFS(Movimentos!$F$4:$F$9996,Movimentos!$D$4:$D$9996,B4052,Movimentos!$C$4:$C$9996,"Entrada")-SUMIFS(Movimentos!$F$4:$F$9996,Movimentos!$D$4:$D$9996,B4052,Movimentos!$C$4:$C$9996,"Saída"),""),"")</f>
        <v/>
      </c>
      <c r="F4052" s="10" t="str">
        <f t="shared" si="128"/>
        <v/>
      </c>
    </row>
    <row r="4053" spans="1:6" x14ac:dyDescent="0.3">
      <c r="A4053" s="15" t="str">
        <f t="shared" si="129"/>
        <v>.</v>
      </c>
      <c r="E4053" s="13" t="str">
        <f>IFERROR(IF(AND(B4053&lt;&gt;"",C4053&lt;&gt;""),SUMIFS(Movimentos!$F$4:$F$9996,Movimentos!$D$4:$D$9996,B4053,Movimentos!$C$4:$C$9996,"Entrada")-SUMIFS(Movimentos!$F$4:$F$9996,Movimentos!$D$4:$D$9996,B4053,Movimentos!$C$4:$C$9996,"Saída"),""),"")</f>
        <v/>
      </c>
      <c r="F4053" s="10" t="str">
        <f t="shared" si="128"/>
        <v/>
      </c>
    </row>
    <row r="4054" spans="1:6" x14ac:dyDescent="0.3">
      <c r="A4054" s="15" t="str">
        <f t="shared" si="129"/>
        <v>.</v>
      </c>
      <c r="E4054" s="13" t="str">
        <f>IFERROR(IF(AND(B4054&lt;&gt;"",C4054&lt;&gt;""),SUMIFS(Movimentos!$F$4:$F$9996,Movimentos!$D$4:$D$9996,B4054,Movimentos!$C$4:$C$9996,"Entrada")-SUMIFS(Movimentos!$F$4:$F$9996,Movimentos!$D$4:$D$9996,B4054,Movimentos!$C$4:$C$9996,"Saída"),""),"")</f>
        <v/>
      </c>
      <c r="F4054" s="10" t="str">
        <f t="shared" si="128"/>
        <v/>
      </c>
    </row>
    <row r="4055" spans="1:6" x14ac:dyDescent="0.3">
      <c r="A4055" s="15" t="str">
        <f t="shared" si="129"/>
        <v>.</v>
      </c>
      <c r="E4055" s="13" t="str">
        <f>IFERROR(IF(AND(B4055&lt;&gt;"",C4055&lt;&gt;""),SUMIFS(Movimentos!$F$4:$F$9996,Movimentos!$D$4:$D$9996,B4055,Movimentos!$C$4:$C$9996,"Entrada")-SUMIFS(Movimentos!$F$4:$F$9996,Movimentos!$D$4:$D$9996,B4055,Movimentos!$C$4:$C$9996,"Saída"),""),"")</f>
        <v/>
      </c>
      <c r="F4055" s="10" t="str">
        <f t="shared" ref="F4055:F4118" si="130">IF(AND(B4055&lt;&gt;"",C4055&lt;&gt;""),IF(E4055=0,"Saldo zerado",IF(E4055&lt;D4055,"Saldo abaixo do mínimo","Saldo disponível")),"")</f>
        <v/>
      </c>
    </row>
    <row r="4056" spans="1:6" x14ac:dyDescent="0.3">
      <c r="A4056" s="15" t="str">
        <f t="shared" si="129"/>
        <v>.</v>
      </c>
      <c r="E4056" s="13" t="str">
        <f>IFERROR(IF(AND(B4056&lt;&gt;"",C4056&lt;&gt;""),SUMIFS(Movimentos!$F$4:$F$9996,Movimentos!$D$4:$D$9996,B4056,Movimentos!$C$4:$C$9996,"Entrada")-SUMIFS(Movimentos!$F$4:$F$9996,Movimentos!$D$4:$D$9996,B4056,Movimentos!$C$4:$C$9996,"Saída"),""),"")</f>
        <v/>
      </c>
      <c r="F4056" s="10" t="str">
        <f t="shared" si="130"/>
        <v/>
      </c>
    </row>
    <row r="4057" spans="1:6" x14ac:dyDescent="0.3">
      <c r="A4057" s="15" t="str">
        <f t="shared" si="129"/>
        <v>.</v>
      </c>
      <c r="E4057" s="13" t="str">
        <f>IFERROR(IF(AND(B4057&lt;&gt;"",C4057&lt;&gt;""),SUMIFS(Movimentos!$F$4:$F$9996,Movimentos!$D$4:$D$9996,B4057,Movimentos!$C$4:$C$9996,"Entrada")-SUMIFS(Movimentos!$F$4:$F$9996,Movimentos!$D$4:$D$9996,B4057,Movimentos!$C$4:$C$9996,"Saída"),""),"")</f>
        <v/>
      </c>
      <c r="F4057" s="10" t="str">
        <f t="shared" si="130"/>
        <v/>
      </c>
    </row>
    <row r="4058" spans="1:6" x14ac:dyDescent="0.3">
      <c r="A4058" s="15" t="str">
        <f t="shared" si="129"/>
        <v>.</v>
      </c>
      <c r="E4058" s="13" t="str">
        <f>IFERROR(IF(AND(B4058&lt;&gt;"",C4058&lt;&gt;""),SUMIFS(Movimentos!$F$4:$F$9996,Movimentos!$D$4:$D$9996,B4058,Movimentos!$C$4:$C$9996,"Entrada")-SUMIFS(Movimentos!$F$4:$F$9996,Movimentos!$D$4:$D$9996,B4058,Movimentos!$C$4:$C$9996,"Saída"),""),"")</f>
        <v/>
      </c>
      <c r="F4058" s="10" t="str">
        <f t="shared" si="130"/>
        <v/>
      </c>
    </row>
    <row r="4059" spans="1:6" x14ac:dyDescent="0.3">
      <c r="A4059" s="15" t="str">
        <f t="shared" si="129"/>
        <v>.</v>
      </c>
      <c r="E4059" s="13" t="str">
        <f>IFERROR(IF(AND(B4059&lt;&gt;"",C4059&lt;&gt;""),SUMIFS(Movimentos!$F$4:$F$9996,Movimentos!$D$4:$D$9996,B4059,Movimentos!$C$4:$C$9996,"Entrada")-SUMIFS(Movimentos!$F$4:$F$9996,Movimentos!$D$4:$D$9996,B4059,Movimentos!$C$4:$C$9996,"Saída"),""),"")</f>
        <v/>
      </c>
      <c r="F4059" s="10" t="str">
        <f t="shared" si="130"/>
        <v/>
      </c>
    </row>
    <row r="4060" spans="1:6" x14ac:dyDescent="0.3">
      <c r="A4060" s="15" t="str">
        <f t="shared" si="129"/>
        <v>.</v>
      </c>
      <c r="E4060" s="13" t="str">
        <f>IFERROR(IF(AND(B4060&lt;&gt;"",C4060&lt;&gt;""),SUMIFS(Movimentos!$F$4:$F$9996,Movimentos!$D$4:$D$9996,B4060,Movimentos!$C$4:$C$9996,"Entrada")-SUMIFS(Movimentos!$F$4:$F$9996,Movimentos!$D$4:$D$9996,B4060,Movimentos!$C$4:$C$9996,"Saída"),""),"")</f>
        <v/>
      </c>
      <c r="F4060" s="10" t="str">
        <f t="shared" si="130"/>
        <v/>
      </c>
    </row>
    <row r="4061" spans="1:6" x14ac:dyDescent="0.3">
      <c r="A4061" s="15" t="str">
        <f t="shared" si="129"/>
        <v>.</v>
      </c>
      <c r="E4061" s="13" t="str">
        <f>IFERROR(IF(AND(B4061&lt;&gt;"",C4061&lt;&gt;""),SUMIFS(Movimentos!$F$4:$F$9996,Movimentos!$D$4:$D$9996,B4061,Movimentos!$C$4:$C$9996,"Entrada")-SUMIFS(Movimentos!$F$4:$F$9996,Movimentos!$D$4:$D$9996,B4061,Movimentos!$C$4:$C$9996,"Saída"),""),"")</f>
        <v/>
      </c>
      <c r="F4061" s="10" t="str">
        <f t="shared" si="130"/>
        <v/>
      </c>
    </row>
    <row r="4062" spans="1:6" x14ac:dyDescent="0.3">
      <c r="A4062" s="15" t="str">
        <f t="shared" si="129"/>
        <v>.</v>
      </c>
      <c r="E4062" s="13" t="str">
        <f>IFERROR(IF(AND(B4062&lt;&gt;"",C4062&lt;&gt;""),SUMIFS(Movimentos!$F$4:$F$9996,Movimentos!$D$4:$D$9996,B4062,Movimentos!$C$4:$C$9996,"Entrada")-SUMIFS(Movimentos!$F$4:$F$9996,Movimentos!$D$4:$D$9996,B4062,Movimentos!$C$4:$C$9996,"Saída"),""),"")</f>
        <v/>
      </c>
      <c r="F4062" s="10" t="str">
        <f t="shared" si="130"/>
        <v/>
      </c>
    </row>
    <row r="4063" spans="1:6" x14ac:dyDescent="0.3">
      <c r="A4063" s="15" t="str">
        <f t="shared" si="129"/>
        <v>.</v>
      </c>
      <c r="E4063" s="13" t="str">
        <f>IFERROR(IF(AND(B4063&lt;&gt;"",C4063&lt;&gt;""),SUMIFS(Movimentos!$F$4:$F$9996,Movimentos!$D$4:$D$9996,B4063,Movimentos!$C$4:$C$9996,"Entrada")-SUMIFS(Movimentos!$F$4:$F$9996,Movimentos!$D$4:$D$9996,B4063,Movimentos!$C$4:$C$9996,"Saída"),""),"")</f>
        <v/>
      </c>
      <c r="F4063" s="10" t="str">
        <f t="shared" si="130"/>
        <v/>
      </c>
    </row>
    <row r="4064" spans="1:6" x14ac:dyDescent="0.3">
      <c r="A4064" s="15" t="str">
        <f t="shared" si="129"/>
        <v>.</v>
      </c>
      <c r="E4064" s="13" t="str">
        <f>IFERROR(IF(AND(B4064&lt;&gt;"",C4064&lt;&gt;""),SUMIFS(Movimentos!$F$4:$F$9996,Movimentos!$D$4:$D$9996,B4064,Movimentos!$C$4:$C$9996,"Entrada")-SUMIFS(Movimentos!$F$4:$F$9996,Movimentos!$D$4:$D$9996,B4064,Movimentos!$C$4:$C$9996,"Saída"),""),"")</f>
        <v/>
      </c>
      <c r="F4064" s="10" t="str">
        <f t="shared" si="130"/>
        <v/>
      </c>
    </row>
    <row r="4065" spans="1:6" x14ac:dyDescent="0.3">
      <c r="A4065" s="15" t="str">
        <f t="shared" si="129"/>
        <v>.</v>
      </c>
      <c r="E4065" s="13" t="str">
        <f>IFERROR(IF(AND(B4065&lt;&gt;"",C4065&lt;&gt;""),SUMIFS(Movimentos!$F$4:$F$9996,Movimentos!$D$4:$D$9996,B4065,Movimentos!$C$4:$C$9996,"Entrada")-SUMIFS(Movimentos!$F$4:$F$9996,Movimentos!$D$4:$D$9996,B4065,Movimentos!$C$4:$C$9996,"Saída"),""),"")</f>
        <v/>
      </c>
      <c r="F4065" s="10" t="str">
        <f t="shared" si="130"/>
        <v/>
      </c>
    </row>
    <row r="4066" spans="1:6" x14ac:dyDescent="0.3">
      <c r="A4066" s="15" t="str">
        <f t="shared" si="129"/>
        <v>.</v>
      </c>
      <c r="E4066" s="13" t="str">
        <f>IFERROR(IF(AND(B4066&lt;&gt;"",C4066&lt;&gt;""),SUMIFS(Movimentos!$F$4:$F$9996,Movimentos!$D$4:$D$9996,B4066,Movimentos!$C$4:$C$9996,"Entrada")-SUMIFS(Movimentos!$F$4:$F$9996,Movimentos!$D$4:$D$9996,B4066,Movimentos!$C$4:$C$9996,"Saída"),""),"")</f>
        <v/>
      </c>
      <c r="F4066" s="10" t="str">
        <f t="shared" si="130"/>
        <v/>
      </c>
    </row>
    <row r="4067" spans="1:6" x14ac:dyDescent="0.3">
      <c r="A4067" s="15" t="str">
        <f t="shared" si="129"/>
        <v>.</v>
      </c>
      <c r="E4067" s="13" t="str">
        <f>IFERROR(IF(AND(B4067&lt;&gt;"",C4067&lt;&gt;""),SUMIFS(Movimentos!$F$4:$F$9996,Movimentos!$D$4:$D$9996,B4067,Movimentos!$C$4:$C$9996,"Entrada")-SUMIFS(Movimentos!$F$4:$F$9996,Movimentos!$D$4:$D$9996,B4067,Movimentos!$C$4:$C$9996,"Saída"),""),"")</f>
        <v/>
      </c>
      <c r="F4067" s="10" t="str">
        <f t="shared" si="130"/>
        <v/>
      </c>
    </row>
    <row r="4068" spans="1:6" x14ac:dyDescent="0.3">
      <c r="A4068" s="15" t="str">
        <f t="shared" si="129"/>
        <v>.</v>
      </c>
      <c r="E4068" s="13" t="str">
        <f>IFERROR(IF(AND(B4068&lt;&gt;"",C4068&lt;&gt;""),SUMIFS(Movimentos!$F$4:$F$9996,Movimentos!$D$4:$D$9996,B4068,Movimentos!$C$4:$C$9996,"Entrada")-SUMIFS(Movimentos!$F$4:$F$9996,Movimentos!$D$4:$D$9996,B4068,Movimentos!$C$4:$C$9996,"Saída"),""),"")</f>
        <v/>
      </c>
      <c r="F4068" s="10" t="str">
        <f t="shared" si="130"/>
        <v/>
      </c>
    </row>
    <row r="4069" spans="1:6" x14ac:dyDescent="0.3">
      <c r="A4069" s="15" t="str">
        <f t="shared" si="129"/>
        <v>.</v>
      </c>
      <c r="E4069" s="13" t="str">
        <f>IFERROR(IF(AND(B4069&lt;&gt;"",C4069&lt;&gt;""),SUMIFS(Movimentos!$F$4:$F$9996,Movimentos!$D$4:$D$9996,B4069,Movimentos!$C$4:$C$9996,"Entrada")-SUMIFS(Movimentos!$F$4:$F$9996,Movimentos!$D$4:$D$9996,B4069,Movimentos!$C$4:$C$9996,"Saída"),""),"")</f>
        <v/>
      </c>
      <c r="F4069" s="10" t="str">
        <f t="shared" si="130"/>
        <v/>
      </c>
    </row>
    <row r="4070" spans="1:6" x14ac:dyDescent="0.3">
      <c r="A4070" s="15" t="str">
        <f t="shared" si="129"/>
        <v>.</v>
      </c>
      <c r="E4070" s="13" t="str">
        <f>IFERROR(IF(AND(B4070&lt;&gt;"",C4070&lt;&gt;""),SUMIFS(Movimentos!$F$4:$F$9996,Movimentos!$D$4:$D$9996,B4070,Movimentos!$C$4:$C$9996,"Entrada")-SUMIFS(Movimentos!$F$4:$F$9996,Movimentos!$D$4:$D$9996,B4070,Movimentos!$C$4:$C$9996,"Saída"),""),"")</f>
        <v/>
      </c>
      <c r="F4070" s="10" t="str">
        <f t="shared" si="130"/>
        <v/>
      </c>
    </row>
    <row r="4071" spans="1:6" x14ac:dyDescent="0.3">
      <c r="A4071" s="15" t="str">
        <f t="shared" si="129"/>
        <v>.</v>
      </c>
      <c r="E4071" s="13" t="str">
        <f>IFERROR(IF(AND(B4071&lt;&gt;"",C4071&lt;&gt;""),SUMIFS(Movimentos!$F$4:$F$9996,Movimentos!$D$4:$D$9996,B4071,Movimentos!$C$4:$C$9996,"Entrada")-SUMIFS(Movimentos!$F$4:$F$9996,Movimentos!$D$4:$D$9996,B4071,Movimentos!$C$4:$C$9996,"Saída"),""),"")</f>
        <v/>
      </c>
      <c r="F4071" s="10" t="str">
        <f t="shared" si="130"/>
        <v/>
      </c>
    </row>
    <row r="4072" spans="1:6" x14ac:dyDescent="0.3">
      <c r="A4072" s="15" t="str">
        <f t="shared" si="129"/>
        <v>.</v>
      </c>
      <c r="E4072" s="13" t="str">
        <f>IFERROR(IF(AND(B4072&lt;&gt;"",C4072&lt;&gt;""),SUMIFS(Movimentos!$F$4:$F$9996,Movimentos!$D$4:$D$9996,B4072,Movimentos!$C$4:$C$9996,"Entrada")-SUMIFS(Movimentos!$F$4:$F$9996,Movimentos!$D$4:$D$9996,B4072,Movimentos!$C$4:$C$9996,"Saída"),""),"")</f>
        <v/>
      </c>
      <c r="F4072" s="10" t="str">
        <f t="shared" si="130"/>
        <v/>
      </c>
    </row>
    <row r="4073" spans="1:6" x14ac:dyDescent="0.3">
      <c r="A4073" s="15" t="str">
        <f t="shared" si="129"/>
        <v>.</v>
      </c>
      <c r="E4073" s="13" t="str">
        <f>IFERROR(IF(AND(B4073&lt;&gt;"",C4073&lt;&gt;""),SUMIFS(Movimentos!$F$4:$F$9996,Movimentos!$D$4:$D$9996,B4073,Movimentos!$C$4:$C$9996,"Entrada")-SUMIFS(Movimentos!$F$4:$F$9996,Movimentos!$D$4:$D$9996,B4073,Movimentos!$C$4:$C$9996,"Saída"),""),"")</f>
        <v/>
      </c>
      <c r="F4073" s="10" t="str">
        <f t="shared" si="130"/>
        <v/>
      </c>
    </row>
    <row r="4074" spans="1:6" x14ac:dyDescent="0.3">
      <c r="A4074" s="15" t="str">
        <f t="shared" si="129"/>
        <v>.</v>
      </c>
      <c r="E4074" s="13" t="str">
        <f>IFERROR(IF(AND(B4074&lt;&gt;"",C4074&lt;&gt;""),SUMIFS(Movimentos!$F$4:$F$9996,Movimentos!$D$4:$D$9996,B4074,Movimentos!$C$4:$C$9996,"Entrada")-SUMIFS(Movimentos!$F$4:$F$9996,Movimentos!$D$4:$D$9996,B4074,Movimentos!$C$4:$C$9996,"Saída"),""),"")</f>
        <v/>
      </c>
      <c r="F4074" s="10" t="str">
        <f t="shared" si="130"/>
        <v/>
      </c>
    </row>
    <row r="4075" spans="1:6" x14ac:dyDescent="0.3">
      <c r="A4075" s="15" t="str">
        <f t="shared" si="129"/>
        <v>.</v>
      </c>
      <c r="E4075" s="13" t="str">
        <f>IFERROR(IF(AND(B4075&lt;&gt;"",C4075&lt;&gt;""),SUMIFS(Movimentos!$F$4:$F$9996,Movimentos!$D$4:$D$9996,B4075,Movimentos!$C$4:$C$9996,"Entrada")-SUMIFS(Movimentos!$F$4:$F$9996,Movimentos!$D$4:$D$9996,B4075,Movimentos!$C$4:$C$9996,"Saída"),""),"")</f>
        <v/>
      </c>
      <c r="F4075" s="10" t="str">
        <f t="shared" si="130"/>
        <v/>
      </c>
    </row>
    <row r="4076" spans="1:6" x14ac:dyDescent="0.3">
      <c r="A4076" s="15" t="str">
        <f t="shared" si="129"/>
        <v>.</v>
      </c>
      <c r="E4076" s="13" t="str">
        <f>IFERROR(IF(AND(B4076&lt;&gt;"",C4076&lt;&gt;""),SUMIFS(Movimentos!$F$4:$F$9996,Movimentos!$D$4:$D$9996,B4076,Movimentos!$C$4:$C$9996,"Entrada")-SUMIFS(Movimentos!$F$4:$F$9996,Movimentos!$D$4:$D$9996,B4076,Movimentos!$C$4:$C$9996,"Saída"),""),"")</f>
        <v/>
      </c>
      <c r="F4076" s="10" t="str">
        <f t="shared" si="130"/>
        <v/>
      </c>
    </row>
    <row r="4077" spans="1:6" x14ac:dyDescent="0.3">
      <c r="A4077" s="15" t="str">
        <f t="shared" si="129"/>
        <v>.</v>
      </c>
      <c r="E4077" s="13" t="str">
        <f>IFERROR(IF(AND(B4077&lt;&gt;"",C4077&lt;&gt;""),SUMIFS(Movimentos!$F$4:$F$9996,Movimentos!$D$4:$D$9996,B4077,Movimentos!$C$4:$C$9996,"Entrada")-SUMIFS(Movimentos!$F$4:$F$9996,Movimentos!$D$4:$D$9996,B4077,Movimentos!$C$4:$C$9996,"Saída"),""),"")</f>
        <v/>
      </c>
      <c r="F4077" s="10" t="str">
        <f t="shared" si="130"/>
        <v/>
      </c>
    </row>
    <row r="4078" spans="1:6" x14ac:dyDescent="0.3">
      <c r="A4078" s="15" t="str">
        <f t="shared" si="129"/>
        <v>.</v>
      </c>
      <c r="E4078" s="13" t="str">
        <f>IFERROR(IF(AND(B4078&lt;&gt;"",C4078&lt;&gt;""),SUMIFS(Movimentos!$F$4:$F$9996,Movimentos!$D$4:$D$9996,B4078,Movimentos!$C$4:$C$9996,"Entrada")-SUMIFS(Movimentos!$F$4:$F$9996,Movimentos!$D$4:$D$9996,B4078,Movimentos!$C$4:$C$9996,"Saída"),""),"")</f>
        <v/>
      </c>
      <c r="F4078" s="10" t="str">
        <f t="shared" si="130"/>
        <v/>
      </c>
    </row>
    <row r="4079" spans="1:6" x14ac:dyDescent="0.3">
      <c r="A4079" s="15" t="str">
        <f t="shared" si="129"/>
        <v>.</v>
      </c>
      <c r="E4079" s="13" t="str">
        <f>IFERROR(IF(AND(B4079&lt;&gt;"",C4079&lt;&gt;""),SUMIFS(Movimentos!$F$4:$F$9996,Movimentos!$D$4:$D$9996,B4079,Movimentos!$C$4:$C$9996,"Entrada")-SUMIFS(Movimentos!$F$4:$F$9996,Movimentos!$D$4:$D$9996,B4079,Movimentos!$C$4:$C$9996,"Saída"),""),"")</f>
        <v/>
      </c>
      <c r="F4079" s="10" t="str">
        <f t="shared" si="130"/>
        <v/>
      </c>
    </row>
    <row r="4080" spans="1:6" x14ac:dyDescent="0.3">
      <c r="A4080" s="15" t="str">
        <f t="shared" si="129"/>
        <v>.</v>
      </c>
      <c r="E4080" s="13" t="str">
        <f>IFERROR(IF(AND(B4080&lt;&gt;"",C4080&lt;&gt;""),SUMIFS(Movimentos!$F$4:$F$9996,Movimentos!$D$4:$D$9996,B4080,Movimentos!$C$4:$C$9996,"Entrada")-SUMIFS(Movimentos!$F$4:$F$9996,Movimentos!$D$4:$D$9996,B4080,Movimentos!$C$4:$C$9996,"Saída"),""),"")</f>
        <v/>
      </c>
      <c r="F4080" s="10" t="str">
        <f t="shared" si="130"/>
        <v/>
      </c>
    </row>
    <row r="4081" spans="1:6" x14ac:dyDescent="0.3">
      <c r="A4081" s="15" t="str">
        <f t="shared" si="129"/>
        <v>.</v>
      </c>
      <c r="E4081" s="13" t="str">
        <f>IFERROR(IF(AND(B4081&lt;&gt;"",C4081&lt;&gt;""),SUMIFS(Movimentos!$F$4:$F$9996,Movimentos!$D$4:$D$9996,B4081,Movimentos!$C$4:$C$9996,"Entrada")-SUMIFS(Movimentos!$F$4:$F$9996,Movimentos!$D$4:$D$9996,B4081,Movimentos!$C$4:$C$9996,"Saída"),""),"")</f>
        <v/>
      </c>
      <c r="F4081" s="10" t="str">
        <f t="shared" si="130"/>
        <v/>
      </c>
    </row>
    <row r="4082" spans="1:6" x14ac:dyDescent="0.3">
      <c r="A4082" s="15" t="str">
        <f t="shared" si="129"/>
        <v>.</v>
      </c>
      <c r="E4082" s="13" t="str">
        <f>IFERROR(IF(AND(B4082&lt;&gt;"",C4082&lt;&gt;""),SUMIFS(Movimentos!$F$4:$F$9996,Movimentos!$D$4:$D$9996,B4082,Movimentos!$C$4:$C$9996,"Entrada")-SUMIFS(Movimentos!$F$4:$F$9996,Movimentos!$D$4:$D$9996,B4082,Movimentos!$C$4:$C$9996,"Saída"),""),"")</f>
        <v/>
      </c>
      <c r="F4082" s="10" t="str">
        <f t="shared" si="130"/>
        <v/>
      </c>
    </row>
    <row r="4083" spans="1:6" x14ac:dyDescent="0.3">
      <c r="A4083" s="15" t="str">
        <f t="shared" si="129"/>
        <v>.</v>
      </c>
      <c r="E4083" s="13" t="str">
        <f>IFERROR(IF(AND(B4083&lt;&gt;"",C4083&lt;&gt;""),SUMIFS(Movimentos!$F$4:$F$9996,Movimentos!$D$4:$D$9996,B4083,Movimentos!$C$4:$C$9996,"Entrada")-SUMIFS(Movimentos!$F$4:$F$9996,Movimentos!$D$4:$D$9996,B4083,Movimentos!$C$4:$C$9996,"Saída"),""),"")</f>
        <v/>
      </c>
      <c r="F4083" s="10" t="str">
        <f t="shared" si="130"/>
        <v/>
      </c>
    </row>
    <row r="4084" spans="1:6" x14ac:dyDescent="0.3">
      <c r="A4084" s="15" t="str">
        <f t="shared" si="129"/>
        <v>.</v>
      </c>
      <c r="E4084" s="13" t="str">
        <f>IFERROR(IF(AND(B4084&lt;&gt;"",C4084&lt;&gt;""),SUMIFS(Movimentos!$F$4:$F$9996,Movimentos!$D$4:$D$9996,B4084,Movimentos!$C$4:$C$9996,"Entrada")-SUMIFS(Movimentos!$F$4:$F$9996,Movimentos!$D$4:$D$9996,B4084,Movimentos!$C$4:$C$9996,"Saída"),""),"")</f>
        <v/>
      </c>
      <c r="F4084" s="10" t="str">
        <f t="shared" si="130"/>
        <v/>
      </c>
    </row>
    <row r="4085" spans="1:6" x14ac:dyDescent="0.3">
      <c r="A4085" s="15" t="str">
        <f t="shared" si="129"/>
        <v>.</v>
      </c>
      <c r="E4085" s="13" t="str">
        <f>IFERROR(IF(AND(B4085&lt;&gt;"",C4085&lt;&gt;""),SUMIFS(Movimentos!$F$4:$F$9996,Movimentos!$D$4:$D$9996,B4085,Movimentos!$C$4:$C$9996,"Entrada")-SUMIFS(Movimentos!$F$4:$F$9996,Movimentos!$D$4:$D$9996,B4085,Movimentos!$C$4:$C$9996,"Saída"),""),"")</f>
        <v/>
      </c>
      <c r="F4085" s="10" t="str">
        <f t="shared" si="130"/>
        <v/>
      </c>
    </row>
    <row r="4086" spans="1:6" x14ac:dyDescent="0.3">
      <c r="A4086" s="15" t="str">
        <f t="shared" si="129"/>
        <v>.</v>
      </c>
      <c r="E4086" s="13" t="str">
        <f>IFERROR(IF(AND(B4086&lt;&gt;"",C4086&lt;&gt;""),SUMIFS(Movimentos!$F$4:$F$9996,Movimentos!$D$4:$D$9996,B4086,Movimentos!$C$4:$C$9996,"Entrada")-SUMIFS(Movimentos!$F$4:$F$9996,Movimentos!$D$4:$D$9996,B4086,Movimentos!$C$4:$C$9996,"Saída"),""),"")</f>
        <v/>
      </c>
      <c r="F4086" s="10" t="str">
        <f t="shared" si="130"/>
        <v/>
      </c>
    </row>
    <row r="4087" spans="1:6" x14ac:dyDescent="0.3">
      <c r="A4087" s="15" t="str">
        <f t="shared" si="129"/>
        <v>.</v>
      </c>
      <c r="E4087" s="13" t="str">
        <f>IFERROR(IF(AND(B4087&lt;&gt;"",C4087&lt;&gt;""),SUMIFS(Movimentos!$F$4:$F$9996,Movimentos!$D$4:$D$9996,B4087,Movimentos!$C$4:$C$9996,"Entrada")-SUMIFS(Movimentos!$F$4:$F$9996,Movimentos!$D$4:$D$9996,B4087,Movimentos!$C$4:$C$9996,"Saída"),""),"")</f>
        <v/>
      </c>
      <c r="F4087" s="10" t="str">
        <f t="shared" si="130"/>
        <v/>
      </c>
    </row>
    <row r="4088" spans="1:6" x14ac:dyDescent="0.3">
      <c r="A4088" s="15" t="str">
        <f t="shared" si="129"/>
        <v>.</v>
      </c>
      <c r="E4088" s="13" t="str">
        <f>IFERROR(IF(AND(B4088&lt;&gt;"",C4088&lt;&gt;""),SUMIFS(Movimentos!$F$4:$F$9996,Movimentos!$D$4:$D$9996,B4088,Movimentos!$C$4:$C$9996,"Entrada")-SUMIFS(Movimentos!$F$4:$F$9996,Movimentos!$D$4:$D$9996,B4088,Movimentos!$C$4:$C$9996,"Saída"),""),"")</f>
        <v/>
      </c>
      <c r="F4088" s="10" t="str">
        <f t="shared" si="130"/>
        <v/>
      </c>
    </row>
    <row r="4089" spans="1:6" x14ac:dyDescent="0.3">
      <c r="A4089" s="15" t="str">
        <f t="shared" si="129"/>
        <v>.</v>
      </c>
      <c r="E4089" s="13" t="str">
        <f>IFERROR(IF(AND(B4089&lt;&gt;"",C4089&lt;&gt;""),SUMIFS(Movimentos!$F$4:$F$9996,Movimentos!$D$4:$D$9996,B4089,Movimentos!$C$4:$C$9996,"Entrada")-SUMIFS(Movimentos!$F$4:$F$9996,Movimentos!$D$4:$D$9996,B4089,Movimentos!$C$4:$C$9996,"Saída"),""),"")</f>
        <v/>
      </c>
      <c r="F4089" s="10" t="str">
        <f t="shared" si="130"/>
        <v/>
      </c>
    </row>
    <row r="4090" spans="1:6" x14ac:dyDescent="0.3">
      <c r="A4090" s="15" t="str">
        <f t="shared" si="129"/>
        <v>.</v>
      </c>
      <c r="E4090" s="13" t="str">
        <f>IFERROR(IF(AND(B4090&lt;&gt;"",C4090&lt;&gt;""),SUMIFS(Movimentos!$F$4:$F$9996,Movimentos!$D$4:$D$9996,B4090,Movimentos!$C$4:$C$9996,"Entrada")-SUMIFS(Movimentos!$F$4:$F$9996,Movimentos!$D$4:$D$9996,B4090,Movimentos!$C$4:$C$9996,"Saída"),""),"")</f>
        <v/>
      </c>
      <c r="F4090" s="10" t="str">
        <f t="shared" si="130"/>
        <v/>
      </c>
    </row>
    <row r="4091" spans="1:6" x14ac:dyDescent="0.3">
      <c r="A4091" s="15" t="str">
        <f t="shared" si="129"/>
        <v>.</v>
      </c>
      <c r="E4091" s="13" t="str">
        <f>IFERROR(IF(AND(B4091&lt;&gt;"",C4091&lt;&gt;""),SUMIFS(Movimentos!$F$4:$F$9996,Movimentos!$D$4:$D$9996,B4091,Movimentos!$C$4:$C$9996,"Entrada")-SUMIFS(Movimentos!$F$4:$F$9996,Movimentos!$D$4:$D$9996,B4091,Movimentos!$C$4:$C$9996,"Saída"),""),"")</f>
        <v/>
      </c>
      <c r="F4091" s="10" t="str">
        <f t="shared" si="130"/>
        <v/>
      </c>
    </row>
    <row r="4092" spans="1:6" x14ac:dyDescent="0.3">
      <c r="A4092" s="15" t="str">
        <f t="shared" si="129"/>
        <v>.</v>
      </c>
      <c r="E4092" s="13" t="str">
        <f>IFERROR(IF(AND(B4092&lt;&gt;"",C4092&lt;&gt;""),SUMIFS(Movimentos!$F$4:$F$9996,Movimentos!$D$4:$D$9996,B4092,Movimentos!$C$4:$C$9996,"Entrada")-SUMIFS(Movimentos!$F$4:$F$9996,Movimentos!$D$4:$D$9996,B4092,Movimentos!$C$4:$C$9996,"Saída"),""),"")</f>
        <v/>
      </c>
      <c r="F4092" s="10" t="str">
        <f t="shared" si="130"/>
        <v/>
      </c>
    </row>
    <row r="4093" spans="1:6" x14ac:dyDescent="0.3">
      <c r="A4093" s="15" t="str">
        <f t="shared" si="129"/>
        <v>.</v>
      </c>
      <c r="E4093" s="13" t="str">
        <f>IFERROR(IF(AND(B4093&lt;&gt;"",C4093&lt;&gt;""),SUMIFS(Movimentos!$F$4:$F$9996,Movimentos!$D$4:$D$9996,B4093,Movimentos!$C$4:$C$9996,"Entrada")-SUMIFS(Movimentos!$F$4:$F$9996,Movimentos!$D$4:$D$9996,B4093,Movimentos!$C$4:$C$9996,"Saída"),""),"")</f>
        <v/>
      </c>
      <c r="F4093" s="10" t="str">
        <f t="shared" si="130"/>
        <v/>
      </c>
    </row>
    <row r="4094" spans="1:6" x14ac:dyDescent="0.3">
      <c r="A4094" s="15" t="str">
        <f t="shared" si="129"/>
        <v>.</v>
      </c>
      <c r="E4094" s="13" t="str">
        <f>IFERROR(IF(AND(B4094&lt;&gt;"",C4094&lt;&gt;""),SUMIFS(Movimentos!$F$4:$F$9996,Movimentos!$D$4:$D$9996,B4094,Movimentos!$C$4:$C$9996,"Entrada")-SUMIFS(Movimentos!$F$4:$F$9996,Movimentos!$D$4:$D$9996,B4094,Movimentos!$C$4:$C$9996,"Saída"),""),"")</f>
        <v/>
      </c>
      <c r="F4094" s="10" t="str">
        <f t="shared" si="130"/>
        <v/>
      </c>
    </row>
    <row r="4095" spans="1:6" x14ac:dyDescent="0.3">
      <c r="A4095" s="15" t="str">
        <f t="shared" si="129"/>
        <v>.</v>
      </c>
      <c r="E4095" s="13" t="str">
        <f>IFERROR(IF(AND(B4095&lt;&gt;"",C4095&lt;&gt;""),SUMIFS(Movimentos!$F$4:$F$9996,Movimentos!$D$4:$D$9996,B4095,Movimentos!$C$4:$C$9996,"Entrada")-SUMIFS(Movimentos!$F$4:$F$9996,Movimentos!$D$4:$D$9996,B4095,Movimentos!$C$4:$C$9996,"Saída"),""),"")</f>
        <v/>
      </c>
      <c r="F4095" s="10" t="str">
        <f t="shared" si="130"/>
        <v/>
      </c>
    </row>
    <row r="4096" spans="1:6" x14ac:dyDescent="0.3">
      <c r="A4096" s="15" t="str">
        <f t="shared" ref="A4096:A4159" si="131">IF(F4096="Saldo zerado",0,IF(F4096="Saldo abaixo do mínimo",1,IF(F4096="Saldo disponível",2,".")))</f>
        <v>.</v>
      </c>
      <c r="E4096" s="13" t="str">
        <f>IFERROR(IF(AND(B4096&lt;&gt;"",C4096&lt;&gt;""),SUMIFS(Movimentos!$F$4:$F$9996,Movimentos!$D$4:$D$9996,B4096,Movimentos!$C$4:$C$9996,"Entrada")-SUMIFS(Movimentos!$F$4:$F$9996,Movimentos!$D$4:$D$9996,B4096,Movimentos!$C$4:$C$9996,"Saída"),""),"")</f>
        <v/>
      </c>
      <c r="F4096" s="10" t="str">
        <f t="shared" si="130"/>
        <v/>
      </c>
    </row>
    <row r="4097" spans="1:6" x14ac:dyDescent="0.3">
      <c r="A4097" s="15" t="str">
        <f t="shared" si="131"/>
        <v>.</v>
      </c>
      <c r="E4097" s="13" t="str">
        <f>IFERROR(IF(AND(B4097&lt;&gt;"",C4097&lt;&gt;""),SUMIFS(Movimentos!$F$4:$F$9996,Movimentos!$D$4:$D$9996,B4097,Movimentos!$C$4:$C$9996,"Entrada")-SUMIFS(Movimentos!$F$4:$F$9996,Movimentos!$D$4:$D$9996,B4097,Movimentos!$C$4:$C$9996,"Saída"),""),"")</f>
        <v/>
      </c>
      <c r="F4097" s="10" t="str">
        <f t="shared" si="130"/>
        <v/>
      </c>
    </row>
    <row r="4098" spans="1:6" x14ac:dyDescent="0.3">
      <c r="A4098" s="15" t="str">
        <f t="shared" si="131"/>
        <v>.</v>
      </c>
      <c r="E4098" s="13" t="str">
        <f>IFERROR(IF(AND(B4098&lt;&gt;"",C4098&lt;&gt;""),SUMIFS(Movimentos!$F$4:$F$9996,Movimentos!$D$4:$D$9996,B4098,Movimentos!$C$4:$C$9996,"Entrada")-SUMIFS(Movimentos!$F$4:$F$9996,Movimentos!$D$4:$D$9996,B4098,Movimentos!$C$4:$C$9996,"Saída"),""),"")</f>
        <v/>
      </c>
      <c r="F4098" s="10" t="str">
        <f t="shared" si="130"/>
        <v/>
      </c>
    </row>
    <row r="4099" spans="1:6" x14ac:dyDescent="0.3">
      <c r="A4099" s="15" t="str">
        <f t="shared" si="131"/>
        <v>.</v>
      </c>
      <c r="E4099" s="13" t="str">
        <f>IFERROR(IF(AND(B4099&lt;&gt;"",C4099&lt;&gt;""),SUMIFS(Movimentos!$F$4:$F$9996,Movimentos!$D$4:$D$9996,B4099,Movimentos!$C$4:$C$9996,"Entrada")-SUMIFS(Movimentos!$F$4:$F$9996,Movimentos!$D$4:$D$9996,B4099,Movimentos!$C$4:$C$9996,"Saída"),""),"")</f>
        <v/>
      </c>
      <c r="F4099" s="10" t="str">
        <f t="shared" si="130"/>
        <v/>
      </c>
    </row>
    <row r="4100" spans="1:6" x14ac:dyDescent="0.3">
      <c r="A4100" s="15" t="str">
        <f t="shared" si="131"/>
        <v>.</v>
      </c>
      <c r="E4100" s="13" t="str">
        <f>IFERROR(IF(AND(B4100&lt;&gt;"",C4100&lt;&gt;""),SUMIFS(Movimentos!$F$4:$F$9996,Movimentos!$D$4:$D$9996,B4100,Movimentos!$C$4:$C$9996,"Entrada")-SUMIFS(Movimentos!$F$4:$F$9996,Movimentos!$D$4:$D$9996,B4100,Movimentos!$C$4:$C$9996,"Saída"),""),"")</f>
        <v/>
      </c>
      <c r="F4100" s="10" t="str">
        <f t="shared" si="130"/>
        <v/>
      </c>
    </row>
    <row r="4101" spans="1:6" x14ac:dyDescent="0.3">
      <c r="A4101" s="15" t="str">
        <f t="shared" si="131"/>
        <v>.</v>
      </c>
      <c r="E4101" s="13" t="str">
        <f>IFERROR(IF(AND(B4101&lt;&gt;"",C4101&lt;&gt;""),SUMIFS(Movimentos!$F$4:$F$9996,Movimentos!$D$4:$D$9996,B4101,Movimentos!$C$4:$C$9996,"Entrada")-SUMIFS(Movimentos!$F$4:$F$9996,Movimentos!$D$4:$D$9996,B4101,Movimentos!$C$4:$C$9996,"Saída"),""),"")</f>
        <v/>
      </c>
      <c r="F4101" s="10" t="str">
        <f t="shared" si="130"/>
        <v/>
      </c>
    </row>
    <row r="4102" spans="1:6" x14ac:dyDescent="0.3">
      <c r="A4102" s="15" t="str">
        <f t="shared" si="131"/>
        <v>.</v>
      </c>
      <c r="E4102" s="13" t="str">
        <f>IFERROR(IF(AND(B4102&lt;&gt;"",C4102&lt;&gt;""),SUMIFS(Movimentos!$F$4:$F$9996,Movimentos!$D$4:$D$9996,B4102,Movimentos!$C$4:$C$9996,"Entrada")-SUMIFS(Movimentos!$F$4:$F$9996,Movimentos!$D$4:$D$9996,B4102,Movimentos!$C$4:$C$9996,"Saída"),""),"")</f>
        <v/>
      </c>
      <c r="F4102" s="10" t="str">
        <f t="shared" si="130"/>
        <v/>
      </c>
    </row>
    <row r="4103" spans="1:6" x14ac:dyDescent="0.3">
      <c r="A4103" s="15" t="str">
        <f t="shared" si="131"/>
        <v>.</v>
      </c>
      <c r="E4103" s="13" t="str">
        <f>IFERROR(IF(AND(B4103&lt;&gt;"",C4103&lt;&gt;""),SUMIFS(Movimentos!$F$4:$F$9996,Movimentos!$D$4:$D$9996,B4103,Movimentos!$C$4:$C$9996,"Entrada")-SUMIFS(Movimentos!$F$4:$F$9996,Movimentos!$D$4:$D$9996,B4103,Movimentos!$C$4:$C$9996,"Saída"),""),"")</f>
        <v/>
      </c>
      <c r="F4103" s="10" t="str">
        <f t="shared" si="130"/>
        <v/>
      </c>
    </row>
    <row r="4104" spans="1:6" x14ac:dyDescent="0.3">
      <c r="A4104" s="15" t="str">
        <f t="shared" si="131"/>
        <v>.</v>
      </c>
      <c r="E4104" s="13" t="str">
        <f>IFERROR(IF(AND(B4104&lt;&gt;"",C4104&lt;&gt;""),SUMIFS(Movimentos!$F$4:$F$9996,Movimentos!$D$4:$D$9996,B4104,Movimentos!$C$4:$C$9996,"Entrada")-SUMIFS(Movimentos!$F$4:$F$9996,Movimentos!$D$4:$D$9996,B4104,Movimentos!$C$4:$C$9996,"Saída"),""),"")</f>
        <v/>
      </c>
      <c r="F4104" s="10" t="str">
        <f t="shared" si="130"/>
        <v/>
      </c>
    </row>
    <row r="4105" spans="1:6" x14ac:dyDescent="0.3">
      <c r="A4105" s="15" t="str">
        <f t="shared" si="131"/>
        <v>.</v>
      </c>
      <c r="E4105" s="13" t="str">
        <f>IFERROR(IF(AND(B4105&lt;&gt;"",C4105&lt;&gt;""),SUMIFS(Movimentos!$F$4:$F$9996,Movimentos!$D$4:$D$9996,B4105,Movimentos!$C$4:$C$9996,"Entrada")-SUMIFS(Movimentos!$F$4:$F$9996,Movimentos!$D$4:$D$9996,B4105,Movimentos!$C$4:$C$9996,"Saída"),""),"")</f>
        <v/>
      </c>
      <c r="F4105" s="10" t="str">
        <f t="shared" si="130"/>
        <v/>
      </c>
    </row>
    <row r="4106" spans="1:6" x14ac:dyDescent="0.3">
      <c r="A4106" s="15" t="str">
        <f t="shared" si="131"/>
        <v>.</v>
      </c>
      <c r="E4106" s="13" t="str">
        <f>IFERROR(IF(AND(B4106&lt;&gt;"",C4106&lt;&gt;""),SUMIFS(Movimentos!$F$4:$F$9996,Movimentos!$D$4:$D$9996,B4106,Movimentos!$C$4:$C$9996,"Entrada")-SUMIFS(Movimentos!$F$4:$F$9996,Movimentos!$D$4:$D$9996,B4106,Movimentos!$C$4:$C$9996,"Saída"),""),"")</f>
        <v/>
      </c>
      <c r="F4106" s="10" t="str">
        <f t="shared" si="130"/>
        <v/>
      </c>
    </row>
    <row r="4107" spans="1:6" x14ac:dyDescent="0.3">
      <c r="A4107" s="15" t="str">
        <f t="shared" si="131"/>
        <v>.</v>
      </c>
      <c r="E4107" s="13" t="str">
        <f>IFERROR(IF(AND(B4107&lt;&gt;"",C4107&lt;&gt;""),SUMIFS(Movimentos!$F$4:$F$9996,Movimentos!$D$4:$D$9996,B4107,Movimentos!$C$4:$C$9996,"Entrada")-SUMIFS(Movimentos!$F$4:$F$9996,Movimentos!$D$4:$D$9996,B4107,Movimentos!$C$4:$C$9996,"Saída"),""),"")</f>
        <v/>
      </c>
      <c r="F4107" s="10" t="str">
        <f t="shared" si="130"/>
        <v/>
      </c>
    </row>
    <row r="4108" spans="1:6" x14ac:dyDescent="0.3">
      <c r="A4108" s="15" t="str">
        <f t="shared" si="131"/>
        <v>.</v>
      </c>
      <c r="E4108" s="13" t="str">
        <f>IFERROR(IF(AND(B4108&lt;&gt;"",C4108&lt;&gt;""),SUMIFS(Movimentos!$F$4:$F$9996,Movimentos!$D$4:$D$9996,B4108,Movimentos!$C$4:$C$9996,"Entrada")-SUMIFS(Movimentos!$F$4:$F$9996,Movimentos!$D$4:$D$9996,B4108,Movimentos!$C$4:$C$9996,"Saída"),""),"")</f>
        <v/>
      </c>
      <c r="F4108" s="10" t="str">
        <f t="shared" si="130"/>
        <v/>
      </c>
    </row>
    <row r="4109" spans="1:6" x14ac:dyDescent="0.3">
      <c r="A4109" s="15" t="str">
        <f t="shared" si="131"/>
        <v>.</v>
      </c>
      <c r="E4109" s="13" t="str">
        <f>IFERROR(IF(AND(B4109&lt;&gt;"",C4109&lt;&gt;""),SUMIFS(Movimentos!$F$4:$F$9996,Movimentos!$D$4:$D$9996,B4109,Movimentos!$C$4:$C$9996,"Entrada")-SUMIFS(Movimentos!$F$4:$F$9996,Movimentos!$D$4:$D$9996,B4109,Movimentos!$C$4:$C$9996,"Saída"),""),"")</f>
        <v/>
      </c>
      <c r="F4109" s="10" t="str">
        <f t="shared" si="130"/>
        <v/>
      </c>
    </row>
    <row r="4110" spans="1:6" x14ac:dyDescent="0.3">
      <c r="A4110" s="15" t="str">
        <f t="shared" si="131"/>
        <v>.</v>
      </c>
      <c r="E4110" s="13" t="str">
        <f>IFERROR(IF(AND(B4110&lt;&gt;"",C4110&lt;&gt;""),SUMIFS(Movimentos!$F$4:$F$9996,Movimentos!$D$4:$D$9996,B4110,Movimentos!$C$4:$C$9996,"Entrada")-SUMIFS(Movimentos!$F$4:$F$9996,Movimentos!$D$4:$D$9996,B4110,Movimentos!$C$4:$C$9996,"Saída"),""),"")</f>
        <v/>
      </c>
      <c r="F4110" s="10" t="str">
        <f t="shared" si="130"/>
        <v/>
      </c>
    </row>
    <row r="4111" spans="1:6" x14ac:dyDescent="0.3">
      <c r="A4111" s="15" t="str">
        <f t="shared" si="131"/>
        <v>.</v>
      </c>
      <c r="E4111" s="13" t="str">
        <f>IFERROR(IF(AND(B4111&lt;&gt;"",C4111&lt;&gt;""),SUMIFS(Movimentos!$F$4:$F$9996,Movimentos!$D$4:$D$9996,B4111,Movimentos!$C$4:$C$9996,"Entrada")-SUMIFS(Movimentos!$F$4:$F$9996,Movimentos!$D$4:$D$9996,B4111,Movimentos!$C$4:$C$9996,"Saída"),""),"")</f>
        <v/>
      </c>
      <c r="F4111" s="10" t="str">
        <f t="shared" si="130"/>
        <v/>
      </c>
    </row>
    <row r="4112" spans="1:6" x14ac:dyDescent="0.3">
      <c r="A4112" s="15" t="str">
        <f t="shared" si="131"/>
        <v>.</v>
      </c>
      <c r="E4112" s="13" t="str">
        <f>IFERROR(IF(AND(B4112&lt;&gt;"",C4112&lt;&gt;""),SUMIFS(Movimentos!$F$4:$F$9996,Movimentos!$D$4:$D$9996,B4112,Movimentos!$C$4:$C$9996,"Entrada")-SUMIFS(Movimentos!$F$4:$F$9996,Movimentos!$D$4:$D$9996,B4112,Movimentos!$C$4:$C$9996,"Saída"),""),"")</f>
        <v/>
      </c>
      <c r="F4112" s="10" t="str">
        <f t="shared" si="130"/>
        <v/>
      </c>
    </row>
    <row r="4113" spans="1:6" x14ac:dyDescent="0.3">
      <c r="A4113" s="15" t="str">
        <f t="shared" si="131"/>
        <v>.</v>
      </c>
      <c r="E4113" s="13" t="str">
        <f>IFERROR(IF(AND(B4113&lt;&gt;"",C4113&lt;&gt;""),SUMIFS(Movimentos!$F$4:$F$9996,Movimentos!$D$4:$D$9996,B4113,Movimentos!$C$4:$C$9996,"Entrada")-SUMIFS(Movimentos!$F$4:$F$9996,Movimentos!$D$4:$D$9996,B4113,Movimentos!$C$4:$C$9996,"Saída"),""),"")</f>
        <v/>
      </c>
      <c r="F4113" s="10" t="str">
        <f t="shared" si="130"/>
        <v/>
      </c>
    </row>
    <row r="4114" spans="1:6" x14ac:dyDescent="0.3">
      <c r="A4114" s="15" t="str">
        <f t="shared" si="131"/>
        <v>.</v>
      </c>
      <c r="E4114" s="13" t="str">
        <f>IFERROR(IF(AND(B4114&lt;&gt;"",C4114&lt;&gt;""),SUMIFS(Movimentos!$F$4:$F$9996,Movimentos!$D$4:$D$9996,B4114,Movimentos!$C$4:$C$9996,"Entrada")-SUMIFS(Movimentos!$F$4:$F$9996,Movimentos!$D$4:$D$9996,B4114,Movimentos!$C$4:$C$9996,"Saída"),""),"")</f>
        <v/>
      </c>
      <c r="F4114" s="10" t="str">
        <f t="shared" si="130"/>
        <v/>
      </c>
    </row>
    <row r="4115" spans="1:6" x14ac:dyDescent="0.3">
      <c r="A4115" s="15" t="str">
        <f t="shared" si="131"/>
        <v>.</v>
      </c>
      <c r="E4115" s="13" t="str">
        <f>IFERROR(IF(AND(B4115&lt;&gt;"",C4115&lt;&gt;""),SUMIFS(Movimentos!$F$4:$F$9996,Movimentos!$D$4:$D$9996,B4115,Movimentos!$C$4:$C$9996,"Entrada")-SUMIFS(Movimentos!$F$4:$F$9996,Movimentos!$D$4:$D$9996,B4115,Movimentos!$C$4:$C$9996,"Saída"),""),"")</f>
        <v/>
      </c>
      <c r="F4115" s="10" t="str">
        <f t="shared" si="130"/>
        <v/>
      </c>
    </row>
    <row r="4116" spans="1:6" x14ac:dyDescent="0.3">
      <c r="A4116" s="15" t="str">
        <f t="shared" si="131"/>
        <v>.</v>
      </c>
      <c r="E4116" s="13" t="str">
        <f>IFERROR(IF(AND(B4116&lt;&gt;"",C4116&lt;&gt;""),SUMIFS(Movimentos!$F$4:$F$9996,Movimentos!$D$4:$D$9996,B4116,Movimentos!$C$4:$C$9996,"Entrada")-SUMIFS(Movimentos!$F$4:$F$9996,Movimentos!$D$4:$D$9996,B4116,Movimentos!$C$4:$C$9996,"Saída"),""),"")</f>
        <v/>
      </c>
      <c r="F4116" s="10" t="str">
        <f t="shared" si="130"/>
        <v/>
      </c>
    </row>
    <row r="4117" spans="1:6" x14ac:dyDescent="0.3">
      <c r="A4117" s="15" t="str">
        <f t="shared" si="131"/>
        <v>.</v>
      </c>
      <c r="E4117" s="13" t="str">
        <f>IFERROR(IF(AND(B4117&lt;&gt;"",C4117&lt;&gt;""),SUMIFS(Movimentos!$F$4:$F$9996,Movimentos!$D$4:$D$9996,B4117,Movimentos!$C$4:$C$9996,"Entrada")-SUMIFS(Movimentos!$F$4:$F$9996,Movimentos!$D$4:$D$9996,B4117,Movimentos!$C$4:$C$9996,"Saída"),""),"")</f>
        <v/>
      </c>
      <c r="F4117" s="10" t="str">
        <f t="shared" si="130"/>
        <v/>
      </c>
    </row>
    <row r="4118" spans="1:6" x14ac:dyDescent="0.3">
      <c r="A4118" s="15" t="str">
        <f t="shared" si="131"/>
        <v>.</v>
      </c>
      <c r="E4118" s="13" t="str">
        <f>IFERROR(IF(AND(B4118&lt;&gt;"",C4118&lt;&gt;""),SUMIFS(Movimentos!$F$4:$F$9996,Movimentos!$D$4:$D$9996,B4118,Movimentos!$C$4:$C$9996,"Entrada")-SUMIFS(Movimentos!$F$4:$F$9996,Movimentos!$D$4:$D$9996,B4118,Movimentos!$C$4:$C$9996,"Saída"),""),"")</f>
        <v/>
      </c>
      <c r="F4118" s="10" t="str">
        <f t="shared" si="130"/>
        <v/>
      </c>
    </row>
    <row r="4119" spans="1:6" x14ac:dyDescent="0.3">
      <c r="A4119" s="15" t="str">
        <f t="shared" si="131"/>
        <v>.</v>
      </c>
      <c r="E4119" s="13" t="str">
        <f>IFERROR(IF(AND(B4119&lt;&gt;"",C4119&lt;&gt;""),SUMIFS(Movimentos!$F$4:$F$9996,Movimentos!$D$4:$D$9996,B4119,Movimentos!$C$4:$C$9996,"Entrada")-SUMIFS(Movimentos!$F$4:$F$9996,Movimentos!$D$4:$D$9996,B4119,Movimentos!$C$4:$C$9996,"Saída"),""),"")</f>
        <v/>
      </c>
      <c r="F4119" s="10" t="str">
        <f t="shared" ref="F4119:F4182" si="132">IF(AND(B4119&lt;&gt;"",C4119&lt;&gt;""),IF(E4119=0,"Saldo zerado",IF(E4119&lt;D4119,"Saldo abaixo do mínimo","Saldo disponível")),"")</f>
        <v/>
      </c>
    </row>
    <row r="4120" spans="1:6" x14ac:dyDescent="0.3">
      <c r="A4120" s="15" t="str">
        <f t="shared" si="131"/>
        <v>.</v>
      </c>
      <c r="E4120" s="13" t="str">
        <f>IFERROR(IF(AND(B4120&lt;&gt;"",C4120&lt;&gt;""),SUMIFS(Movimentos!$F$4:$F$9996,Movimentos!$D$4:$D$9996,B4120,Movimentos!$C$4:$C$9996,"Entrada")-SUMIFS(Movimentos!$F$4:$F$9996,Movimentos!$D$4:$D$9996,B4120,Movimentos!$C$4:$C$9996,"Saída"),""),"")</f>
        <v/>
      </c>
      <c r="F4120" s="10" t="str">
        <f t="shared" si="132"/>
        <v/>
      </c>
    </row>
    <row r="4121" spans="1:6" x14ac:dyDescent="0.3">
      <c r="A4121" s="15" t="str">
        <f t="shared" si="131"/>
        <v>.</v>
      </c>
      <c r="E4121" s="13" t="str">
        <f>IFERROR(IF(AND(B4121&lt;&gt;"",C4121&lt;&gt;""),SUMIFS(Movimentos!$F$4:$F$9996,Movimentos!$D$4:$D$9996,B4121,Movimentos!$C$4:$C$9996,"Entrada")-SUMIFS(Movimentos!$F$4:$F$9996,Movimentos!$D$4:$D$9996,B4121,Movimentos!$C$4:$C$9996,"Saída"),""),"")</f>
        <v/>
      </c>
      <c r="F4121" s="10" t="str">
        <f t="shared" si="132"/>
        <v/>
      </c>
    </row>
    <row r="4122" spans="1:6" x14ac:dyDescent="0.3">
      <c r="A4122" s="15" t="str">
        <f t="shared" si="131"/>
        <v>.</v>
      </c>
      <c r="E4122" s="13" t="str">
        <f>IFERROR(IF(AND(B4122&lt;&gt;"",C4122&lt;&gt;""),SUMIFS(Movimentos!$F$4:$F$9996,Movimentos!$D$4:$D$9996,B4122,Movimentos!$C$4:$C$9996,"Entrada")-SUMIFS(Movimentos!$F$4:$F$9996,Movimentos!$D$4:$D$9996,B4122,Movimentos!$C$4:$C$9996,"Saída"),""),"")</f>
        <v/>
      </c>
      <c r="F4122" s="10" t="str">
        <f t="shared" si="132"/>
        <v/>
      </c>
    </row>
    <row r="4123" spans="1:6" x14ac:dyDescent="0.3">
      <c r="A4123" s="15" t="str">
        <f t="shared" si="131"/>
        <v>.</v>
      </c>
      <c r="E4123" s="13" t="str">
        <f>IFERROR(IF(AND(B4123&lt;&gt;"",C4123&lt;&gt;""),SUMIFS(Movimentos!$F$4:$F$9996,Movimentos!$D$4:$D$9996,B4123,Movimentos!$C$4:$C$9996,"Entrada")-SUMIFS(Movimentos!$F$4:$F$9996,Movimentos!$D$4:$D$9996,B4123,Movimentos!$C$4:$C$9996,"Saída"),""),"")</f>
        <v/>
      </c>
      <c r="F4123" s="10" t="str">
        <f t="shared" si="132"/>
        <v/>
      </c>
    </row>
    <row r="4124" spans="1:6" x14ac:dyDescent="0.3">
      <c r="A4124" s="15" t="str">
        <f t="shared" si="131"/>
        <v>.</v>
      </c>
      <c r="E4124" s="13" t="str">
        <f>IFERROR(IF(AND(B4124&lt;&gt;"",C4124&lt;&gt;""),SUMIFS(Movimentos!$F$4:$F$9996,Movimentos!$D$4:$D$9996,B4124,Movimentos!$C$4:$C$9996,"Entrada")-SUMIFS(Movimentos!$F$4:$F$9996,Movimentos!$D$4:$D$9996,B4124,Movimentos!$C$4:$C$9996,"Saída"),""),"")</f>
        <v/>
      </c>
      <c r="F4124" s="10" t="str">
        <f t="shared" si="132"/>
        <v/>
      </c>
    </row>
    <row r="4125" spans="1:6" x14ac:dyDescent="0.3">
      <c r="A4125" s="15" t="str">
        <f t="shared" si="131"/>
        <v>.</v>
      </c>
      <c r="E4125" s="13" t="str">
        <f>IFERROR(IF(AND(B4125&lt;&gt;"",C4125&lt;&gt;""),SUMIFS(Movimentos!$F$4:$F$9996,Movimentos!$D$4:$D$9996,B4125,Movimentos!$C$4:$C$9996,"Entrada")-SUMIFS(Movimentos!$F$4:$F$9996,Movimentos!$D$4:$D$9996,B4125,Movimentos!$C$4:$C$9996,"Saída"),""),"")</f>
        <v/>
      </c>
      <c r="F4125" s="10" t="str">
        <f t="shared" si="132"/>
        <v/>
      </c>
    </row>
    <row r="4126" spans="1:6" x14ac:dyDescent="0.3">
      <c r="A4126" s="15" t="str">
        <f t="shared" si="131"/>
        <v>.</v>
      </c>
      <c r="E4126" s="13" t="str">
        <f>IFERROR(IF(AND(B4126&lt;&gt;"",C4126&lt;&gt;""),SUMIFS(Movimentos!$F$4:$F$9996,Movimentos!$D$4:$D$9996,B4126,Movimentos!$C$4:$C$9996,"Entrada")-SUMIFS(Movimentos!$F$4:$F$9996,Movimentos!$D$4:$D$9996,B4126,Movimentos!$C$4:$C$9996,"Saída"),""),"")</f>
        <v/>
      </c>
      <c r="F4126" s="10" t="str">
        <f t="shared" si="132"/>
        <v/>
      </c>
    </row>
    <row r="4127" spans="1:6" x14ac:dyDescent="0.3">
      <c r="A4127" s="15" t="str">
        <f t="shared" si="131"/>
        <v>.</v>
      </c>
      <c r="E4127" s="13" t="str">
        <f>IFERROR(IF(AND(B4127&lt;&gt;"",C4127&lt;&gt;""),SUMIFS(Movimentos!$F$4:$F$9996,Movimentos!$D$4:$D$9996,B4127,Movimentos!$C$4:$C$9996,"Entrada")-SUMIFS(Movimentos!$F$4:$F$9996,Movimentos!$D$4:$D$9996,B4127,Movimentos!$C$4:$C$9996,"Saída"),""),"")</f>
        <v/>
      </c>
      <c r="F4127" s="10" t="str">
        <f t="shared" si="132"/>
        <v/>
      </c>
    </row>
    <row r="4128" spans="1:6" x14ac:dyDescent="0.3">
      <c r="A4128" s="15" t="str">
        <f t="shared" si="131"/>
        <v>.</v>
      </c>
      <c r="E4128" s="13" t="str">
        <f>IFERROR(IF(AND(B4128&lt;&gt;"",C4128&lt;&gt;""),SUMIFS(Movimentos!$F$4:$F$9996,Movimentos!$D$4:$D$9996,B4128,Movimentos!$C$4:$C$9996,"Entrada")-SUMIFS(Movimentos!$F$4:$F$9996,Movimentos!$D$4:$D$9996,B4128,Movimentos!$C$4:$C$9996,"Saída"),""),"")</f>
        <v/>
      </c>
      <c r="F4128" s="10" t="str">
        <f t="shared" si="132"/>
        <v/>
      </c>
    </row>
    <row r="4129" spans="1:6" x14ac:dyDescent="0.3">
      <c r="A4129" s="15" t="str">
        <f t="shared" si="131"/>
        <v>.</v>
      </c>
      <c r="E4129" s="13" t="str">
        <f>IFERROR(IF(AND(B4129&lt;&gt;"",C4129&lt;&gt;""),SUMIFS(Movimentos!$F$4:$F$9996,Movimentos!$D$4:$D$9996,B4129,Movimentos!$C$4:$C$9996,"Entrada")-SUMIFS(Movimentos!$F$4:$F$9996,Movimentos!$D$4:$D$9996,B4129,Movimentos!$C$4:$C$9996,"Saída"),""),"")</f>
        <v/>
      </c>
      <c r="F4129" s="10" t="str">
        <f t="shared" si="132"/>
        <v/>
      </c>
    </row>
    <row r="4130" spans="1:6" x14ac:dyDescent="0.3">
      <c r="A4130" s="15" t="str">
        <f t="shared" si="131"/>
        <v>.</v>
      </c>
      <c r="E4130" s="13" t="str">
        <f>IFERROR(IF(AND(B4130&lt;&gt;"",C4130&lt;&gt;""),SUMIFS(Movimentos!$F$4:$F$9996,Movimentos!$D$4:$D$9996,B4130,Movimentos!$C$4:$C$9996,"Entrada")-SUMIFS(Movimentos!$F$4:$F$9996,Movimentos!$D$4:$D$9996,B4130,Movimentos!$C$4:$C$9996,"Saída"),""),"")</f>
        <v/>
      </c>
      <c r="F4130" s="10" t="str">
        <f t="shared" si="132"/>
        <v/>
      </c>
    </row>
    <row r="4131" spans="1:6" x14ac:dyDescent="0.3">
      <c r="A4131" s="15" t="str">
        <f t="shared" si="131"/>
        <v>.</v>
      </c>
      <c r="E4131" s="13" t="str">
        <f>IFERROR(IF(AND(B4131&lt;&gt;"",C4131&lt;&gt;""),SUMIFS(Movimentos!$F$4:$F$9996,Movimentos!$D$4:$D$9996,B4131,Movimentos!$C$4:$C$9996,"Entrada")-SUMIFS(Movimentos!$F$4:$F$9996,Movimentos!$D$4:$D$9996,B4131,Movimentos!$C$4:$C$9996,"Saída"),""),"")</f>
        <v/>
      </c>
      <c r="F4131" s="10" t="str">
        <f t="shared" si="132"/>
        <v/>
      </c>
    </row>
    <row r="4132" spans="1:6" x14ac:dyDescent="0.3">
      <c r="A4132" s="15" t="str">
        <f t="shared" si="131"/>
        <v>.</v>
      </c>
      <c r="E4132" s="13" t="str">
        <f>IFERROR(IF(AND(B4132&lt;&gt;"",C4132&lt;&gt;""),SUMIFS(Movimentos!$F$4:$F$9996,Movimentos!$D$4:$D$9996,B4132,Movimentos!$C$4:$C$9996,"Entrada")-SUMIFS(Movimentos!$F$4:$F$9996,Movimentos!$D$4:$D$9996,B4132,Movimentos!$C$4:$C$9996,"Saída"),""),"")</f>
        <v/>
      </c>
      <c r="F4132" s="10" t="str">
        <f t="shared" si="132"/>
        <v/>
      </c>
    </row>
    <row r="4133" spans="1:6" x14ac:dyDescent="0.3">
      <c r="A4133" s="15" t="str">
        <f t="shared" si="131"/>
        <v>.</v>
      </c>
      <c r="E4133" s="13" t="str">
        <f>IFERROR(IF(AND(B4133&lt;&gt;"",C4133&lt;&gt;""),SUMIFS(Movimentos!$F$4:$F$9996,Movimentos!$D$4:$D$9996,B4133,Movimentos!$C$4:$C$9996,"Entrada")-SUMIFS(Movimentos!$F$4:$F$9996,Movimentos!$D$4:$D$9996,B4133,Movimentos!$C$4:$C$9996,"Saída"),""),"")</f>
        <v/>
      </c>
      <c r="F4133" s="10" t="str">
        <f t="shared" si="132"/>
        <v/>
      </c>
    </row>
    <row r="4134" spans="1:6" x14ac:dyDescent="0.3">
      <c r="A4134" s="15" t="str">
        <f t="shared" si="131"/>
        <v>.</v>
      </c>
      <c r="E4134" s="13" t="str">
        <f>IFERROR(IF(AND(B4134&lt;&gt;"",C4134&lt;&gt;""),SUMIFS(Movimentos!$F$4:$F$9996,Movimentos!$D$4:$D$9996,B4134,Movimentos!$C$4:$C$9996,"Entrada")-SUMIFS(Movimentos!$F$4:$F$9996,Movimentos!$D$4:$D$9996,B4134,Movimentos!$C$4:$C$9996,"Saída"),""),"")</f>
        <v/>
      </c>
      <c r="F4134" s="10" t="str">
        <f t="shared" si="132"/>
        <v/>
      </c>
    </row>
    <row r="4135" spans="1:6" x14ac:dyDescent="0.3">
      <c r="A4135" s="15" t="str">
        <f t="shared" si="131"/>
        <v>.</v>
      </c>
      <c r="E4135" s="13" t="str">
        <f>IFERROR(IF(AND(B4135&lt;&gt;"",C4135&lt;&gt;""),SUMIFS(Movimentos!$F$4:$F$9996,Movimentos!$D$4:$D$9996,B4135,Movimentos!$C$4:$C$9996,"Entrada")-SUMIFS(Movimentos!$F$4:$F$9996,Movimentos!$D$4:$D$9996,B4135,Movimentos!$C$4:$C$9996,"Saída"),""),"")</f>
        <v/>
      </c>
      <c r="F4135" s="10" t="str">
        <f t="shared" si="132"/>
        <v/>
      </c>
    </row>
    <row r="4136" spans="1:6" x14ac:dyDescent="0.3">
      <c r="A4136" s="15" t="str">
        <f t="shared" si="131"/>
        <v>.</v>
      </c>
      <c r="E4136" s="13" t="str">
        <f>IFERROR(IF(AND(B4136&lt;&gt;"",C4136&lt;&gt;""),SUMIFS(Movimentos!$F$4:$F$9996,Movimentos!$D$4:$D$9996,B4136,Movimentos!$C$4:$C$9996,"Entrada")-SUMIFS(Movimentos!$F$4:$F$9996,Movimentos!$D$4:$D$9996,B4136,Movimentos!$C$4:$C$9996,"Saída"),""),"")</f>
        <v/>
      </c>
      <c r="F4136" s="10" t="str">
        <f t="shared" si="132"/>
        <v/>
      </c>
    </row>
    <row r="4137" spans="1:6" x14ac:dyDescent="0.3">
      <c r="A4137" s="15" t="str">
        <f t="shared" si="131"/>
        <v>.</v>
      </c>
      <c r="E4137" s="13" t="str">
        <f>IFERROR(IF(AND(B4137&lt;&gt;"",C4137&lt;&gt;""),SUMIFS(Movimentos!$F$4:$F$9996,Movimentos!$D$4:$D$9996,B4137,Movimentos!$C$4:$C$9996,"Entrada")-SUMIFS(Movimentos!$F$4:$F$9996,Movimentos!$D$4:$D$9996,B4137,Movimentos!$C$4:$C$9996,"Saída"),""),"")</f>
        <v/>
      </c>
      <c r="F4137" s="10" t="str">
        <f t="shared" si="132"/>
        <v/>
      </c>
    </row>
    <row r="4138" spans="1:6" x14ac:dyDescent="0.3">
      <c r="A4138" s="15" t="str">
        <f t="shared" si="131"/>
        <v>.</v>
      </c>
      <c r="E4138" s="13" t="str">
        <f>IFERROR(IF(AND(B4138&lt;&gt;"",C4138&lt;&gt;""),SUMIFS(Movimentos!$F$4:$F$9996,Movimentos!$D$4:$D$9996,B4138,Movimentos!$C$4:$C$9996,"Entrada")-SUMIFS(Movimentos!$F$4:$F$9996,Movimentos!$D$4:$D$9996,B4138,Movimentos!$C$4:$C$9996,"Saída"),""),"")</f>
        <v/>
      </c>
      <c r="F4138" s="10" t="str">
        <f t="shared" si="132"/>
        <v/>
      </c>
    </row>
    <row r="4139" spans="1:6" x14ac:dyDescent="0.3">
      <c r="A4139" s="15" t="str">
        <f t="shared" si="131"/>
        <v>.</v>
      </c>
      <c r="E4139" s="13" t="str">
        <f>IFERROR(IF(AND(B4139&lt;&gt;"",C4139&lt;&gt;""),SUMIFS(Movimentos!$F$4:$F$9996,Movimentos!$D$4:$D$9996,B4139,Movimentos!$C$4:$C$9996,"Entrada")-SUMIFS(Movimentos!$F$4:$F$9996,Movimentos!$D$4:$D$9996,B4139,Movimentos!$C$4:$C$9996,"Saída"),""),"")</f>
        <v/>
      </c>
      <c r="F4139" s="10" t="str">
        <f t="shared" si="132"/>
        <v/>
      </c>
    </row>
    <row r="4140" spans="1:6" x14ac:dyDescent="0.3">
      <c r="A4140" s="15" t="str">
        <f t="shared" si="131"/>
        <v>.</v>
      </c>
      <c r="E4140" s="13" t="str">
        <f>IFERROR(IF(AND(B4140&lt;&gt;"",C4140&lt;&gt;""),SUMIFS(Movimentos!$F$4:$F$9996,Movimentos!$D$4:$D$9996,B4140,Movimentos!$C$4:$C$9996,"Entrada")-SUMIFS(Movimentos!$F$4:$F$9996,Movimentos!$D$4:$D$9996,B4140,Movimentos!$C$4:$C$9996,"Saída"),""),"")</f>
        <v/>
      </c>
      <c r="F4140" s="10" t="str">
        <f t="shared" si="132"/>
        <v/>
      </c>
    </row>
    <row r="4141" spans="1:6" x14ac:dyDescent="0.3">
      <c r="A4141" s="15" t="str">
        <f t="shared" si="131"/>
        <v>.</v>
      </c>
      <c r="E4141" s="13" t="str">
        <f>IFERROR(IF(AND(B4141&lt;&gt;"",C4141&lt;&gt;""),SUMIFS(Movimentos!$F$4:$F$9996,Movimentos!$D$4:$D$9996,B4141,Movimentos!$C$4:$C$9996,"Entrada")-SUMIFS(Movimentos!$F$4:$F$9996,Movimentos!$D$4:$D$9996,B4141,Movimentos!$C$4:$C$9996,"Saída"),""),"")</f>
        <v/>
      </c>
      <c r="F4141" s="10" t="str">
        <f t="shared" si="132"/>
        <v/>
      </c>
    </row>
    <row r="4142" spans="1:6" x14ac:dyDescent="0.3">
      <c r="A4142" s="15" t="str">
        <f t="shared" si="131"/>
        <v>.</v>
      </c>
      <c r="E4142" s="13" t="str">
        <f>IFERROR(IF(AND(B4142&lt;&gt;"",C4142&lt;&gt;""),SUMIFS(Movimentos!$F$4:$F$9996,Movimentos!$D$4:$D$9996,B4142,Movimentos!$C$4:$C$9996,"Entrada")-SUMIFS(Movimentos!$F$4:$F$9996,Movimentos!$D$4:$D$9996,B4142,Movimentos!$C$4:$C$9996,"Saída"),""),"")</f>
        <v/>
      </c>
      <c r="F4142" s="10" t="str">
        <f t="shared" si="132"/>
        <v/>
      </c>
    </row>
    <row r="4143" spans="1:6" x14ac:dyDescent="0.3">
      <c r="A4143" s="15" t="str">
        <f t="shared" si="131"/>
        <v>.</v>
      </c>
      <c r="E4143" s="13" t="str">
        <f>IFERROR(IF(AND(B4143&lt;&gt;"",C4143&lt;&gt;""),SUMIFS(Movimentos!$F$4:$F$9996,Movimentos!$D$4:$D$9996,B4143,Movimentos!$C$4:$C$9996,"Entrada")-SUMIFS(Movimentos!$F$4:$F$9996,Movimentos!$D$4:$D$9996,B4143,Movimentos!$C$4:$C$9996,"Saída"),""),"")</f>
        <v/>
      </c>
      <c r="F4143" s="10" t="str">
        <f t="shared" si="132"/>
        <v/>
      </c>
    </row>
    <row r="4144" spans="1:6" x14ac:dyDescent="0.3">
      <c r="A4144" s="15" t="str">
        <f t="shared" si="131"/>
        <v>.</v>
      </c>
      <c r="E4144" s="13" t="str">
        <f>IFERROR(IF(AND(B4144&lt;&gt;"",C4144&lt;&gt;""),SUMIFS(Movimentos!$F$4:$F$9996,Movimentos!$D$4:$D$9996,B4144,Movimentos!$C$4:$C$9996,"Entrada")-SUMIFS(Movimentos!$F$4:$F$9996,Movimentos!$D$4:$D$9996,B4144,Movimentos!$C$4:$C$9996,"Saída"),""),"")</f>
        <v/>
      </c>
      <c r="F4144" s="10" t="str">
        <f t="shared" si="132"/>
        <v/>
      </c>
    </row>
    <row r="4145" spans="1:6" x14ac:dyDescent="0.3">
      <c r="A4145" s="15" t="str">
        <f t="shared" si="131"/>
        <v>.</v>
      </c>
      <c r="E4145" s="13" t="str">
        <f>IFERROR(IF(AND(B4145&lt;&gt;"",C4145&lt;&gt;""),SUMIFS(Movimentos!$F$4:$F$9996,Movimentos!$D$4:$D$9996,B4145,Movimentos!$C$4:$C$9996,"Entrada")-SUMIFS(Movimentos!$F$4:$F$9996,Movimentos!$D$4:$D$9996,B4145,Movimentos!$C$4:$C$9996,"Saída"),""),"")</f>
        <v/>
      </c>
      <c r="F4145" s="10" t="str">
        <f t="shared" si="132"/>
        <v/>
      </c>
    </row>
    <row r="4146" spans="1:6" x14ac:dyDescent="0.3">
      <c r="A4146" s="15" t="str">
        <f t="shared" si="131"/>
        <v>.</v>
      </c>
      <c r="E4146" s="13" t="str">
        <f>IFERROR(IF(AND(B4146&lt;&gt;"",C4146&lt;&gt;""),SUMIFS(Movimentos!$F$4:$F$9996,Movimentos!$D$4:$D$9996,B4146,Movimentos!$C$4:$C$9996,"Entrada")-SUMIFS(Movimentos!$F$4:$F$9996,Movimentos!$D$4:$D$9996,B4146,Movimentos!$C$4:$C$9996,"Saída"),""),"")</f>
        <v/>
      </c>
      <c r="F4146" s="10" t="str">
        <f t="shared" si="132"/>
        <v/>
      </c>
    </row>
    <row r="4147" spans="1:6" x14ac:dyDescent="0.3">
      <c r="A4147" s="15" t="str">
        <f t="shared" si="131"/>
        <v>.</v>
      </c>
      <c r="E4147" s="13" t="str">
        <f>IFERROR(IF(AND(B4147&lt;&gt;"",C4147&lt;&gt;""),SUMIFS(Movimentos!$F$4:$F$9996,Movimentos!$D$4:$D$9996,B4147,Movimentos!$C$4:$C$9996,"Entrada")-SUMIFS(Movimentos!$F$4:$F$9996,Movimentos!$D$4:$D$9996,B4147,Movimentos!$C$4:$C$9996,"Saída"),""),"")</f>
        <v/>
      </c>
      <c r="F4147" s="10" t="str">
        <f t="shared" si="132"/>
        <v/>
      </c>
    </row>
    <row r="4148" spans="1:6" x14ac:dyDescent="0.3">
      <c r="A4148" s="15" t="str">
        <f t="shared" si="131"/>
        <v>.</v>
      </c>
      <c r="E4148" s="13" t="str">
        <f>IFERROR(IF(AND(B4148&lt;&gt;"",C4148&lt;&gt;""),SUMIFS(Movimentos!$F$4:$F$9996,Movimentos!$D$4:$D$9996,B4148,Movimentos!$C$4:$C$9996,"Entrada")-SUMIFS(Movimentos!$F$4:$F$9996,Movimentos!$D$4:$D$9996,B4148,Movimentos!$C$4:$C$9996,"Saída"),""),"")</f>
        <v/>
      </c>
      <c r="F4148" s="10" t="str">
        <f t="shared" si="132"/>
        <v/>
      </c>
    </row>
    <row r="4149" spans="1:6" x14ac:dyDescent="0.3">
      <c r="A4149" s="15" t="str">
        <f t="shared" si="131"/>
        <v>.</v>
      </c>
      <c r="E4149" s="13" t="str">
        <f>IFERROR(IF(AND(B4149&lt;&gt;"",C4149&lt;&gt;""),SUMIFS(Movimentos!$F$4:$F$9996,Movimentos!$D$4:$D$9996,B4149,Movimentos!$C$4:$C$9996,"Entrada")-SUMIFS(Movimentos!$F$4:$F$9996,Movimentos!$D$4:$D$9996,B4149,Movimentos!$C$4:$C$9996,"Saída"),""),"")</f>
        <v/>
      </c>
      <c r="F4149" s="10" t="str">
        <f t="shared" si="132"/>
        <v/>
      </c>
    </row>
    <row r="4150" spans="1:6" x14ac:dyDescent="0.3">
      <c r="A4150" s="15" t="str">
        <f t="shared" si="131"/>
        <v>.</v>
      </c>
      <c r="E4150" s="13" t="str">
        <f>IFERROR(IF(AND(B4150&lt;&gt;"",C4150&lt;&gt;""),SUMIFS(Movimentos!$F$4:$F$9996,Movimentos!$D$4:$D$9996,B4150,Movimentos!$C$4:$C$9996,"Entrada")-SUMIFS(Movimentos!$F$4:$F$9996,Movimentos!$D$4:$D$9996,B4150,Movimentos!$C$4:$C$9996,"Saída"),""),"")</f>
        <v/>
      </c>
      <c r="F4150" s="10" t="str">
        <f t="shared" si="132"/>
        <v/>
      </c>
    </row>
    <row r="4151" spans="1:6" x14ac:dyDescent="0.3">
      <c r="A4151" s="15" t="str">
        <f t="shared" si="131"/>
        <v>.</v>
      </c>
      <c r="E4151" s="13" t="str">
        <f>IFERROR(IF(AND(B4151&lt;&gt;"",C4151&lt;&gt;""),SUMIFS(Movimentos!$F$4:$F$9996,Movimentos!$D$4:$D$9996,B4151,Movimentos!$C$4:$C$9996,"Entrada")-SUMIFS(Movimentos!$F$4:$F$9996,Movimentos!$D$4:$D$9996,B4151,Movimentos!$C$4:$C$9996,"Saída"),""),"")</f>
        <v/>
      </c>
      <c r="F4151" s="10" t="str">
        <f t="shared" si="132"/>
        <v/>
      </c>
    </row>
    <row r="4152" spans="1:6" x14ac:dyDescent="0.3">
      <c r="A4152" s="15" t="str">
        <f t="shared" si="131"/>
        <v>.</v>
      </c>
      <c r="E4152" s="13" t="str">
        <f>IFERROR(IF(AND(B4152&lt;&gt;"",C4152&lt;&gt;""),SUMIFS(Movimentos!$F$4:$F$9996,Movimentos!$D$4:$D$9996,B4152,Movimentos!$C$4:$C$9996,"Entrada")-SUMIFS(Movimentos!$F$4:$F$9996,Movimentos!$D$4:$D$9996,B4152,Movimentos!$C$4:$C$9996,"Saída"),""),"")</f>
        <v/>
      </c>
      <c r="F4152" s="10" t="str">
        <f t="shared" si="132"/>
        <v/>
      </c>
    </row>
    <row r="4153" spans="1:6" x14ac:dyDescent="0.3">
      <c r="A4153" s="15" t="str">
        <f t="shared" si="131"/>
        <v>.</v>
      </c>
      <c r="E4153" s="13" t="str">
        <f>IFERROR(IF(AND(B4153&lt;&gt;"",C4153&lt;&gt;""),SUMIFS(Movimentos!$F$4:$F$9996,Movimentos!$D$4:$D$9996,B4153,Movimentos!$C$4:$C$9996,"Entrada")-SUMIFS(Movimentos!$F$4:$F$9996,Movimentos!$D$4:$D$9996,B4153,Movimentos!$C$4:$C$9996,"Saída"),""),"")</f>
        <v/>
      </c>
      <c r="F4153" s="10" t="str">
        <f t="shared" si="132"/>
        <v/>
      </c>
    </row>
    <row r="4154" spans="1:6" x14ac:dyDescent="0.3">
      <c r="A4154" s="15" t="str">
        <f t="shared" si="131"/>
        <v>.</v>
      </c>
      <c r="E4154" s="13" t="str">
        <f>IFERROR(IF(AND(B4154&lt;&gt;"",C4154&lt;&gt;""),SUMIFS(Movimentos!$F$4:$F$9996,Movimentos!$D$4:$D$9996,B4154,Movimentos!$C$4:$C$9996,"Entrada")-SUMIFS(Movimentos!$F$4:$F$9996,Movimentos!$D$4:$D$9996,B4154,Movimentos!$C$4:$C$9996,"Saída"),""),"")</f>
        <v/>
      </c>
      <c r="F4154" s="10" t="str">
        <f t="shared" si="132"/>
        <v/>
      </c>
    </row>
    <row r="4155" spans="1:6" x14ac:dyDescent="0.3">
      <c r="A4155" s="15" t="str">
        <f t="shared" si="131"/>
        <v>.</v>
      </c>
      <c r="E4155" s="13" t="str">
        <f>IFERROR(IF(AND(B4155&lt;&gt;"",C4155&lt;&gt;""),SUMIFS(Movimentos!$F$4:$F$9996,Movimentos!$D$4:$D$9996,B4155,Movimentos!$C$4:$C$9996,"Entrada")-SUMIFS(Movimentos!$F$4:$F$9996,Movimentos!$D$4:$D$9996,B4155,Movimentos!$C$4:$C$9996,"Saída"),""),"")</f>
        <v/>
      </c>
      <c r="F4155" s="10" t="str">
        <f t="shared" si="132"/>
        <v/>
      </c>
    </row>
    <row r="4156" spans="1:6" x14ac:dyDescent="0.3">
      <c r="A4156" s="15" t="str">
        <f t="shared" si="131"/>
        <v>.</v>
      </c>
      <c r="E4156" s="13" t="str">
        <f>IFERROR(IF(AND(B4156&lt;&gt;"",C4156&lt;&gt;""),SUMIFS(Movimentos!$F$4:$F$9996,Movimentos!$D$4:$D$9996,B4156,Movimentos!$C$4:$C$9996,"Entrada")-SUMIFS(Movimentos!$F$4:$F$9996,Movimentos!$D$4:$D$9996,B4156,Movimentos!$C$4:$C$9996,"Saída"),""),"")</f>
        <v/>
      </c>
      <c r="F4156" s="10" t="str">
        <f t="shared" si="132"/>
        <v/>
      </c>
    </row>
    <row r="4157" spans="1:6" x14ac:dyDescent="0.3">
      <c r="A4157" s="15" t="str">
        <f t="shared" si="131"/>
        <v>.</v>
      </c>
      <c r="E4157" s="13" t="str">
        <f>IFERROR(IF(AND(B4157&lt;&gt;"",C4157&lt;&gt;""),SUMIFS(Movimentos!$F$4:$F$9996,Movimentos!$D$4:$D$9996,B4157,Movimentos!$C$4:$C$9996,"Entrada")-SUMIFS(Movimentos!$F$4:$F$9996,Movimentos!$D$4:$D$9996,B4157,Movimentos!$C$4:$C$9996,"Saída"),""),"")</f>
        <v/>
      </c>
      <c r="F4157" s="10" t="str">
        <f t="shared" si="132"/>
        <v/>
      </c>
    </row>
    <row r="4158" spans="1:6" x14ac:dyDescent="0.3">
      <c r="A4158" s="15" t="str">
        <f t="shared" si="131"/>
        <v>.</v>
      </c>
      <c r="E4158" s="13" t="str">
        <f>IFERROR(IF(AND(B4158&lt;&gt;"",C4158&lt;&gt;""),SUMIFS(Movimentos!$F$4:$F$9996,Movimentos!$D$4:$D$9996,B4158,Movimentos!$C$4:$C$9996,"Entrada")-SUMIFS(Movimentos!$F$4:$F$9996,Movimentos!$D$4:$D$9996,B4158,Movimentos!$C$4:$C$9996,"Saída"),""),"")</f>
        <v/>
      </c>
      <c r="F4158" s="10" t="str">
        <f t="shared" si="132"/>
        <v/>
      </c>
    </row>
    <row r="4159" spans="1:6" x14ac:dyDescent="0.3">
      <c r="A4159" s="15" t="str">
        <f t="shared" si="131"/>
        <v>.</v>
      </c>
      <c r="E4159" s="13" t="str">
        <f>IFERROR(IF(AND(B4159&lt;&gt;"",C4159&lt;&gt;""),SUMIFS(Movimentos!$F$4:$F$9996,Movimentos!$D$4:$D$9996,B4159,Movimentos!$C$4:$C$9996,"Entrada")-SUMIFS(Movimentos!$F$4:$F$9996,Movimentos!$D$4:$D$9996,B4159,Movimentos!$C$4:$C$9996,"Saída"),""),"")</f>
        <v/>
      </c>
      <c r="F4159" s="10" t="str">
        <f t="shared" si="132"/>
        <v/>
      </c>
    </row>
    <row r="4160" spans="1:6" x14ac:dyDescent="0.3">
      <c r="A4160" s="15" t="str">
        <f t="shared" ref="A4160:A4223" si="133">IF(F4160="Saldo zerado",0,IF(F4160="Saldo abaixo do mínimo",1,IF(F4160="Saldo disponível",2,".")))</f>
        <v>.</v>
      </c>
      <c r="E4160" s="13" t="str">
        <f>IFERROR(IF(AND(B4160&lt;&gt;"",C4160&lt;&gt;""),SUMIFS(Movimentos!$F$4:$F$9996,Movimentos!$D$4:$D$9996,B4160,Movimentos!$C$4:$C$9996,"Entrada")-SUMIFS(Movimentos!$F$4:$F$9996,Movimentos!$D$4:$D$9996,B4160,Movimentos!$C$4:$C$9996,"Saída"),""),"")</f>
        <v/>
      </c>
      <c r="F4160" s="10" t="str">
        <f t="shared" si="132"/>
        <v/>
      </c>
    </row>
    <row r="4161" spans="1:6" x14ac:dyDescent="0.3">
      <c r="A4161" s="15" t="str">
        <f t="shared" si="133"/>
        <v>.</v>
      </c>
      <c r="E4161" s="13" t="str">
        <f>IFERROR(IF(AND(B4161&lt;&gt;"",C4161&lt;&gt;""),SUMIFS(Movimentos!$F$4:$F$9996,Movimentos!$D$4:$D$9996,B4161,Movimentos!$C$4:$C$9996,"Entrada")-SUMIFS(Movimentos!$F$4:$F$9996,Movimentos!$D$4:$D$9996,B4161,Movimentos!$C$4:$C$9996,"Saída"),""),"")</f>
        <v/>
      </c>
      <c r="F4161" s="10" t="str">
        <f t="shared" si="132"/>
        <v/>
      </c>
    </row>
    <row r="4162" spans="1:6" x14ac:dyDescent="0.3">
      <c r="A4162" s="15" t="str">
        <f t="shared" si="133"/>
        <v>.</v>
      </c>
      <c r="E4162" s="13" t="str">
        <f>IFERROR(IF(AND(B4162&lt;&gt;"",C4162&lt;&gt;""),SUMIFS(Movimentos!$F$4:$F$9996,Movimentos!$D$4:$D$9996,B4162,Movimentos!$C$4:$C$9996,"Entrada")-SUMIFS(Movimentos!$F$4:$F$9996,Movimentos!$D$4:$D$9996,B4162,Movimentos!$C$4:$C$9996,"Saída"),""),"")</f>
        <v/>
      </c>
      <c r="F4162" s="10" t="str">
        <f t="shared" si="132"/>
        <v/>
      </c>
    </row>
    <row r="4163" spans="1:6" x14ac:dyDescent="0.3">
      <c r="A4163" s="15" t="str">
        <f t="shared" si="133"/>
        <v>.</v>
      </c>
      <c r="E4163" s="13" t="str">
        <f>IFERROR(IF(AND(B4163&lt;&gt;"",C4163&lt;&gt;""),SUMIFS(Movimentos!$F$4:$F$9996,Movimentos!$D$4:$D$9996,B4163,Movimentos!$C$4:$C$9996,"Entrada")-SUMIFS(Movimentos!$F$4:$F$9996,Movimentos!$D$4:$D$9996,B4163,Movimentos!$C$4:$C$9996,"Saída"),""),"")</f>
        <v/>
      </c>
      <c r="F4163" s="10" t="str">
        <f t="shared" si="132"/>
        <v/>
      </c>
    </row>
    <row r="4164" spans="1:6" x14ac:dyDescent="0.3">
      <c r="A4164" s="15" t="str">
        <f t="shared" si="133"/>
        <v>.</v>
      </c>
      <c r="E4164" s="13" t="str">
        <f>IFERROR(IF(AND(B4164&lt;&gt;"",C4164&lt;&gt;""),SUMIFS(Movimentos!$F$4:$F$9996,Movimentos!$D$4:$D$9996,B4164,Movimentos!$C$4:$C$9996,"Entrada")-SUMIFS(Movimentos!$F$4:$F$9996,Movimentos!$D$4:$D$9996,B4164,Movimentos!$C$4:$C$9996,"Saída"),""),"")</f>
        <v/>
      </c>
      <c r="F4164" s="10" t="str">
        <f t="shared" si="132"/>
        <v/>
      </c>
    </row>
    <row r="4165" spans="1:6" x14ac:dyDescent="0.3">
      <c r="A4165" s="15" t="str">
        <f t="shared" si="133"/>
        <v>.</v>
      </c>
      <c r="E4165" s="13" t="str">
        <f>IFERROR(IF(AND(B4165&lt;&gt;"",C4165&lt;&gt;""),SUMIFS(Movimentos!$F$4:$F$9996,Movimentos!$D$4:$D$9996,B4165,Movimentos!$C$4:$C$9996,"Entrada")-SUMIFS(Movimentos!$F$4:$F$9996,Movimentos!$D$4:$D$9996,B4165,Movimentos!$C$4:$C$9996,"Saída"),""),"")</f>
        <v/>
      </c>
      <c r="F4165" s="10" t="str">
        <f t="shared" si="132"/>
        <v/>
      </c>
    </row>
    <row r="4166" spans="1:6" x14ac:dyDescent="0.3">
      <c r="A4166" s="15" t="str">
        <f t="shared" si="133"/>
        <v>.</v>
      </c>
      <c r="E4166" s="13" t="str">
        <f>IFERROR(IF(AND(B4166&lt;&gt;"",C4166&lt;&gt;""),SUMIFS(Movimentos!$F$4:$F$9996,Movimentos!$D$4:$D$9996,B4166,Movimentos!$C$4:$C$9996,"Entrada")-SUMIFS(Movimentos!$F$4:$F$9996,Movimentos!$D$4:$D$9996,B4166,Movimentos!$C$4:$C$9996,"Saída"),""),"")</f>
        <v/>
      </c>
      <c r="F4166" s="10" t="str">
        <f t="shared" si="132"/>
        <v/>
      </c>
    </row>
    <row r="4167" spans="1:6" x14ac:dyDescent="0.3">
      <c r="A4167" s="15" t="str">
        <f t="shared" si="133"/>
        <v>.</v>
      </c>
      <c r="E4167" s="13" t="str">
        <f>IFERROR(IF(AND(B4167&lt;&gt;"",C4167&lt;&gt;""),SUMIFS(Movimentos!$F$4:$F$9996,Movimentos!$D$4:$D$9996,B4167,Movimentos!$C$4:$C$9996,"Entrada")-SUMIFS(Movimentos!$F$4:$F$9996,Movimentos!$D$4:$D$9996,B4167,Movimentos!$C$4:$C$9996,"Saída"),""),"")</f>
        <v/>
      </c>
      <c r="F4167" s="10" t="str">
        <f t="shared" si="132"/>
        <v/>
      </c>
    </row>
    <row r="4168" spans="1:6" x14ac:dyDescent="0.3">
      <c r="A4168" s="15" t="str">
        <f t="shared" si="133"/>
        <v>.</v>
      </c>
      <c r="E4168" s="13" t="str">
        <f>IFERROR(IF(AND(B4168&lt;&gt;"",C4168&lt;&gt;""),SUMIFS(Movimentos!$F$4:$F$9996,Movimentos!$D$4:$D$9996,B4168,Movimentos!$C$4:$C$9996,"Entrada")-SUMIFS(Movimentos!$F$4:$F$9996,Movimentos!$D$4:$D$9996,B4168,Movimentos!$C$4:$C$9996,"Saída"),""),"")</f>
        <v/>
      </c>
      <c r="F4168" s="10" t="str">
        <f t="shared" si="132"/>
        <v/>
      </c>
    </row>
    <row r="4169" spans="1:6" x14ac:dyDescent="0.3">
      <c r="A4169" s="15" t="str">
        <f t="shared" si="133"/>
        <v>.</v>
      </c>
      <c r="E4169" s="13" t="str">
        <f>IFERROR(IF(AND(B4169&lt;&gt;"",C4169&lt;&gt;""),SUMIFS(Movimentos!$F$4:$F$9996,Movimentos!$D$4:$D$9996,B4169,Movimentos!$C$4:$C$9996,"Entrada")-SUMIFS(Movimentos!$F$4:$F$9996,Movimentos!$D$4:$D$9996,B4169,Movimentos!$C$4:$C$9996,"Saída"),""),"")</f>
        <v/>
      </c>
      <c r="F4169" s="10" t="str">
        <f t="shared" si="132"/>
        <v/>
      </c>
    </row>
    <row r="4170" spans="1:6" x14ac:dyDescent="0.3">
      <c r="A4170" s="15" t="str">
        <f t="shared" si="133"/>
        <v>.</v>
      </c>
      <c r="E4170" s="13" t="str">
        <f>IFERROR(IF(AND(B4170&lt;&gt;"",C4170&lt;&gt;""),SUMIFS(Movimentos!$F$4:$F$9996,Movimentos!$D$4:$D$9996,B4170,Movimentos!$C$4:$C$9996,"Entrada")-SUMIFS(Movimentos!$F$4:$F$9996,Movimentos!$D$4:$D$9996,B4170,Movimentos!$C$4:$C$9996,"Saída"),""),"")</f>
        <v/>
      </c>
      <c r="F4170" s="10" t="str">
        <f t="shared" si="132"/>
        <v/>
      </c>
    </row>
    <row r="4171" spans="1:6" x14ac:dyDescent="0.3">
      <c r="A4171" s="15" t="str">
        <f t="shared" si="133"/>
        <v>.</v>
      </c>
      <c r="E4171" s="13" t="str">
        <f>IFERROR(IF(AND(B4171&lt;&gt;"",C4171&lt;&gt;""),SUMIFS(Movimentos!$F$4:$F$9996,Movimentos!$D$4:$D$9996,B4171,Movimentos!$C$4:$C$9996,"Entrada")-SUMIFS(Movimentos!$F$4:$F$9996,Movimentos!$D$4:$D$9996,B4171,Movimentos!$C$4:$C$9996,"Saída"),""),"")</f>
        <v/>
      </c>
      <c r="F4171" s="10" t="str">
        <f t="shared" si="132"/>
        <v/>
      </c>
    </row>
    <row r="4172" spans="1:6" x14ac:dyDescent="0.3">
      <c r="A4172" s="15" t="str">
        <f t="shared" si="133"/>
        <v>.</v>
      </c>
      <c r="E4172" s="13" t="str">
        <f>IFERROR(IF(AND(B4172&lt;&gt;"",C4172&lt;&gt;""),SUMIFS(Movimentos!$F$4:$F$9996,Movimentos!$D$4:$D$9996,B4172,Movimentos!$C$4:$C$9996,"Entrada")-SUMIFS(Movimentos!$F$4:$F$9996,Movimentos!$D$4:$D$9996,B4172,Movimentos!$C$4:$C$9996,"Saída"),""),"")</f>
        <v/>
      </c>
      <c r="F4172" s="10" t="str">
        <f t="shared" si="132"/>
        <v/>
      </c>
    </row>
    <row r="4173" spans="1:6" x14ac:dyDescent="0.3">
      <c r="A4173" s="15" t="str">
        <f t="shared" si="133"/>
        <v>.</v>
      </c>
      <c r="E4173" s="13" t="str">
        <f>IFERROR(IF(AND(B4173&lt;&gt;"",C4173&lt;&gt;""),SUMIFS(Movimentos!$F$4:$F$9996,Movimentos!$D$4:$D$9996,B4173,Movimentos!$C$4:$C$9996,"Entrada")-SUMIFS(Movimentos!$F$4:$F$9996,Movimentos!$D$4:$D$9996,B4173,Movimentos!$C$4:$C$9996,"Saída"),""),"")</f>
        <v/>
      </c>
      <c r="F4173" s="10" t="str">
        <f t="shared" si="132"/>
        <v/>
      </c>
    </row>
    <row r="4174" spans="1:6" x14ac:dyDescent="0.3">
      <c r="A4174" s="15" t="str">
        <f t="shared" si="133"/>
        <v>.</v>
      </c>
      <c r="E4174" s="13" t="str">
        <f>IFERROR(IF(AND(B4174&lt;&gt;"",C4174&lt;&gt;""),SUMIFS(Movimentos!$F$4:$F$9996,Movimentos!$D$4:$D$9996,B4174,Movimentos!$C$4:$C$9996,"Entrada")-SUMIFS(Movimentos!$F$4:$F$9996,Movimentos!$D$4:$D$9996,B4174,Movimentos!$C$4:$C$9996,"Saída"),""),"")</f>
        <v/>
      </c>
      <c r="F4174" s="10" t="str">
        <f t="shared" si="132"/>
        <v/>
      </c>
    </row>
    <row r="4175" spans="1:6" x14ac:dyDescent="0.3">
      <c r="A4175" s="15" t="str">
        <f t="shared" si="133"/>
        <v>.</v>
      </c>
      <c r="E4175" s="13" t="str">
        <f>IFERROR(IF(AND(B4175&lt;&gt;"",C4175&lt;&gt;""),SUMIFS(Movimentos!$F$4:$F$9996,Movimentos!$D$4:$D$9996,B4175,Movimentos!$C$4:$C$9996,"Entrada")-SUMIFS(Movimentos!$F$4:$F$9996,Movimentos!$D$4:$D$9996,B4175,Movimentos!$C$4:$C$9996,"Saída"),""),"")</f>
        <v/>
      </c>
      <c r="F4175" s="10" t="str">
        <f t="shared" si="132"/>
        <v/>
      </c>
    </row>
    <row r="4176" spans="1:6" x14ac:dyDescent="0.3">
      <c r="A4176" s="15" t="str">
        <f t="shared" si="133"/>
        <v>.</v>
      </c>
      <c r="E4176" s="13" t="str">
        <f>IFERROR(IF(AND(B4176&lt;&gt;"",C4176&lt;&gt;""),SUMIFS(Movimentos!$F$4:$F$9996,Movimentos!$D$4:$D$9996,B4176,Movimentos!$C$4:$C$9996,"Entrada")-SUMIFS(Movimentos!$F$4:$F$9996,Movimentos!$D$4:$D$9996,B4176,Movimentos!$C$4:$C$9996,"Saída"),""),"")</f>
        <v/>
      </c>
      <c r="F4176" s="10" t="str">
        <f t="shared" si="132"/>
        <v/>
      </c>
    </row>
    <row r="4177" spans="1:6" x14ac:dyDescent="0.3">
      <c r="A4177" s="15" t="str">
        <f t="shared" si="133"/>
        <v>.</v>
      </c>
      <c r="E4177" s="13" t="str">
        <f>IFERROR(IF(AND(B4177&lt;&gt;"",C4177&lt;&gt;""),SUMIFS(Movimentos!$F$4:$F$9996,Movimentos!$D$4:$D$9996,B4177,Movimentos!$C$4:$C$9996,"Entrada")-SUMIFS(Movimentos!$F$4:$F$9996,Movimentos!$D$4:$D$9996,B4177,Movimentos!$C$4:$C$9996,"Saída"),""),"")</f>
        <v/>
      </c>
      <c r="F4177" s="10" t="str">
        <f t="shared" si="132"/>
        <v/>
      </c>
    </row>
    <row r="4178" spans="1:6" x14ac:dyDescent="0.3">
      <c r="A4178" s="15" t="str">
        <f t="shared" si="133"/>
        <v>.</v>
      </c>
      <c r="E4178" s="13" t="str">
        <f>IFERROR(IF(AND(B4178&lt;&gt;"",C4178&lt;&gt;""),SUMIFS(Movimentos!$F$4:$F$9996,Movimentos!$D$4:$D$9996,B4178,Movimentos!$C$4:$C$9996,"Entrada")-SUMIFS(Movimentos!$F$4:$F$9996,Movimentos!$D$4:$D$9996,B4178,Movimentos!$C$4:$C$9996,"Saída"),""),"")</f>
        <v/>
      </c>
      <c r="F4178" s="10" t="str">
        <f t="shared" si="132"/>
        <v/>
      </c>
    </row>
    <row r="4179" spans="1:6" x14ac:dyDescent="0.3">
      <c r="A4179" s="15" t="str">
        <f t="shared" si="133"/>
        <v>.</v>
      </c>
      <c r="E4179" s="13" t="str">
        <f>IFERROR(IF(AND(B4179&lt;&gt;"",C4179&lt;&gt;""),SUMIFS(Movimentos!$F$4:$F$9996,Movimentos!$D$4:$D$9996,B4179,Movimentos!$C$4:$C$9996,"Entrada")-SUMIFS(Movimentos!$F$4:$F$9996,Movimentos!$D$4:$D$9996,B4179,Movimentos!$C$4:$C$9996,"Saída"),""),"")</f>
        <v/>
      </c>
      <c r="F4179" s="10" t="str">
        <f t="shared" si="132"/>
        <v/>
      </c>
    </row>
    <row r="4180" spans="1:6" x14ac:dyDescent="0.3">
      <c r="A4180" s="15" t="str">
        <f t="shared" si="133"/>
        <v>.</v>
      </c>
      <c r="E4180" s="13" t="str">
        <f>IFERROR(IF(AND(B4180&lt;&gt;"",C4180&lt;&gt;""),SUMIFS(Movimentos!$F$4:$F$9996,Movimentos!$D$4:$D$9996,B4180,Movimentos!$C$4:$C$9996,"Entrada")-SUMIFS(Movimentos!$F$4:$F$9996,Movimentos!$D$4:$D$9996,B4180,Movimentos!$C$4:$C$9996,"Saída"),""),"")</f>
        <v/>
      </c>
      <c r="F4180" s="10" t="str">
        <f t="shared" si="132"/>
        <v/>
      </c>
    </row>
    <row r="4181" spans="1:6" x14ac:dyDescent="0.3">
      <c r="A4181" s="15" t="str">
        <f t="shared" si="133"/>
        <v>.</v>
      </c>
      <c r="E4181" s="13" t="str">
        <f>IFERROR(IF(AND(B4181&lt;&gt;"",C4181&lt;&gt;""),SUMIFS(Movimentos!$F$4:$F$9996,Movimentos!$D$4:$D$9996,B4181,Movimentos!$C$4:$C$9996,"Entrada")-SUMIFS(Movimentos!$F$4:$F$9996,Movimentos!$D$4:$D$9996,B4181,Movimentos!$C$4:$C$9996,"Saída"),""),"")</f>
        <v/>
      </c>
      <c r="F4181" s="10" t="str">
        <f t="shared" si="132"/>
        <v/>
      </c>
    </row>
    <row r="4182" spans="1:6" x14ac:dyDescent="0.3">
      <c r="A4182" s="15" t="str">
        <f t="shared" si="133"/>
        <v>.</v>
      </c>
      <c r="E4182" s="13" t="str">
        <f>IFERROR(IF(AND(B4182&lt;&gt;"",C4182&lt;&gt;""),SUMIFS(Movimentos!$F$4:$F$9996,Movimentos!$D$4:$D$9996,B4182,Movimentos!$C$4:$C$9996,"Entrada")-SUMIFS(Movimentos!$F$4:$F$9996,Movimentos!$D$4:$D$9996,B4182,Movimentos!$C$4:$C$9996,"Saída"),""),"")</f>
        <v/>
      </c>
      <c r="F4182" s="10" t="str">
        <f t="shared" si="132"/>
        <v/>
      </c>
    </row>
    <row r="4183" spans="1:6" x14ac:dyDescent="0.3">
      <c r="A4183" s="15" t="str">
        <f t="shared" si="133"/>
        <v>.</v>
      </c>
      <c r="E4183" s="13" t="str">
        <f>IFERROR(IF(AND(B4183&lt;&gt;"",C4183&lt;&gt;""),SUMIFS(Movimentos!$F$4:$F$9996,Movimentos!$D$4:$D$9996,B4183,Movimentos!$C$4:$C$9996,"Entrada")-SUMIFS(Movimentos!$F$4:$F$9996,Movimentos!$D$4:$D$9996,B4183,Movimentos!$C$4:$C$9996,"Saída"),""),"")</f>
        <v/>
      </c>
      <c r="F4183" s="10" t="str">
        <f t="shared" ref="F4183:F4246" si="134">IF(AND(B4183&lt;&gt;"",C4183&lt;&gt;""),IF(E4183=0,"Saldo zerado",IF(E4183&lt;D4183,"Saldo abaixo do mínimo","Saldo disponível")),"")</f>
        <v/>
      </c>
    </row>
    <row r="4184" spans="1:6" x14ac:dyDescent="0.3">
      <c r="A4184" s="15" t="str">
        <f t="shared" si="133"/>
        <v>.</v>
      </c>
      <c r="E4184" s="13" t="str">
        <f>IFERROR(IF(AND(B4184&lt;&gt;"",C4184&lt;&gt;""),SUMIFS(Movimentos!$F$4:$F$9996,Movimentos!$D$4:$D$9996,B4184,Movimentos!$C$4:$C$9996,"Entrada")-SUMIFS(Movimentos!$F$4:$F$9996,Movimentos!$D$4:$D$9996,B4184,Movimentos!$C$4:$C$9996,"Saída"),""),"")</f>
        <v/>
      </c>
      <c r="F4184" s="10" t="str">
        <f t="shared" si="134"/>
        <v/>
      </c>
    </row>
    <row r="4185" spans="1:6" x14ac:dyDescent="0.3">
      <c r="A4185" s="15" t="str">
        <f t="shared" si="133"/>
        <v>.</v>
      </c>
      <c r="E4185" s="13" t="str">
        <f>IFERROR(IF(AND(B4185&lt;&gt;"",C4185&lt;&gt;""),SUMIFS(Movimentos!$F$4:$F$9996,Movimentos!$D$4:$D$9996,B4185,Movimentos!$C$4:$C$9996,"Entrada")-SUMIFS(Movimentos!$F$4:$F$9996,Movimentos!$D$4:$D$9996,B4185,Movimentos!$C$4:$C$9996,"Saída"),""),"")</f>
        <v/>
      </c>
      <c r="F4185" s="10" t="str">
        <f t="shared" si="134"/>
        <v/>
      </c>
    </row>
    <row r="4186" spans="1:6" x14ac:dyDescent="0.3">
      <c r="A4186" s="15" t="str">
        <f t="shared" si="133"/>
        <v>.</v>
      </c>
      <c r="E4186" s="13" t="str">
        <f>IFERROR(IF(AND(B4186&lt;&gt;"",C4186&lt;&gt;""),SUMIFS(Movimentos!$F$4:$F$9996,Movimentos!$D$4:$D$9996,B4186,Movimentos!$C$4:$C$9996,"Entrada")-SUMIFS(Movimentos!$F$4:$F$9996,Movimentos!$D$4:$D$9996,B4186,Movimentos!$C$4:$C$9996,"Saída"),""),"")</f>
        <v/>
      </c>
      <c r="F4186" s="10" t="str">
        <f t="shared" si="134"/>
        <v/>
      </c>
    </row>
    <row r="4187" spans="1:6" x14ac:dyDescent="0.3">
      <c r="A4187" s="15" t="str">
        <f t="shared" si="133"/>
        <v>.</v>
      </c>
      <c r="E4187" s="13" t="str">
        <f>IFERROR(IF(AND(B4187&lt;&gt;"",C4187&lt;&gt;""),SUMIFS(Movimentos!$F$4:$F$9996,Movimentos!$D$4:$D$9996,B4187,Movimentos!$C$4:$C$9996,"Entrada")-SUMIFS(Movimentos!$F$4:$F$9996,Movimentos!$D$4:$D$9996,B4187,Movimentos!$C$4:$C$9996,"Saída"),""),"")</f>
        <v/>
      </c>
      <c r="F4187" s="10" t="str">
        <f t="shared" si="134"/>
        <v/>
      </c>
    </row>
    <row r="4188" spans="1:6" x14ac:dyDescent="0.3">
      <c r="A4188" s="15" t="str">
        <f t="shared" si="133"/>
        <v>.</v>
      </c>
      <c r="E4188" s="13" t="str">
        <f>IFERROR(IF(AND(B4188&lt;&gt;"",C4188&lt;&gt;""),SUMIFS(Movimentos!$F$4:$F$9996,Movimentos!$D$4:$D$9996,B4188,Movimentos!$C$4:$C$9996,"Entrada")-SUMIFS(Movimentos!$F$4:$F$9996,Movimentos!$D$4:$D$9996,B4188,Movimentos!$C$4:$C$9996,"Saída"),""),"")</f>
        <v/>
      </c>
      <c r="F4188" s="10" t="str">
        <f t="shared" si="134"/>
        <v/>
      </c>
    </row>
    <row r="4189" spans="1:6" x14ac:dyDescent="0.3">
      <c r="A4189" s="15" t="str">
        <f t="shared" si="133"/>
        <v>.</v>
      </c>
      <c r="E4189" s="13" t="str">
        <f>IFERROR(IF(AND(B4189&lt;&gt;"",C4189&lt;&gt;""),SUMIFS(Movimentos!$F$4:$F$9996,Movimentos!$D$4:$D$9996,B4189,Movimentos!$C$4:$C$9996,"Entrada")-SUMIFS(Movimentos!$F$4:$F$9996,Movimentos!$D$4:$D$9996,B4189,Movimentos!$C$4:$C$9996,"Saída"),""),"")</f>
        <v/>
      </c>
      <c r="F4189" s="10" t="str">
        <f t="shared" si="134"/>
        <v/>
      </c>
    </row>
    <row r="4190" spans="1:6" x14ac:dyDescent="0.3">
      <c r="A4190" s="15" t="str">
        <f t="shared" si="133"/>
        <v>.</v>
      </c>
      <c r="E4190" s="13" t="str">
        <f>IFERROR(IF(AND(B4190&lt;&gt;"",C4190&lt;&gt;""),SUMIFS(Movimentos!$F$4:$F$9996,Movimentos!$D$4:$D$9996,B4190,Movimentos!$C$4:$C$9996,"Entrada")-SUMIFS(Movimentos!$F$4:$F$9996,Movimentos!$D$4:$D$9996,B4190,Movimentos!$C$4:$C$9996,"Saída"),""),"")</f>
        <v/>
      </c>
      <c r="F4190" s="10" t="str">
        <f t="shared" si="134"/>
        <v/>
      </c>
    </row>
    <row r="4191" spans="1:6" x14ac:dyDescent="0.3">
      <c r="A4191" s="15" t="str">
        <f t="shared" si="133"/>
        <v>.</v>
      </c>
      <c r="E4191" s="13" t="str">
        <f>IFERROR(IF(AND(B4191&lt;&gt;"",C4191&lt;&gt;""),SUMIFS(Movimentos!$F$4:$F$9996,Movimentos!$D$4:$D$9996,B4191,Movimentos!$C$4:$C$9996,"Entrada")-SUMIFS(Movimentos!$F$4:$F$9996,Movimentos!$D$4:$D$9996,B4191,Movimentos!$C$4:$C$9996,"Saída"),""),"")</f>
        <v/>
      </c>
      <c r="F4191" s="10" t="str">
        <f t="shared" si="134"/>
        <v/>
      </c>
    </row>
    <row r="4192" spans="1:6" x14ac:dyDescent="0.3">
      <c r="A4192" s="15" t="str">
        <f t="shared" si="133"/>
        <v>.</v>
      </c>
      <c r="E4192" s="13" t="str">
        <f>IFERROR(IF(AND(B4192&lt;&gt;"",C4192&lt;&gt;""),SUMIFS(Movimentos!$F$4:$F$9996,Movimentos!$D$4:$D$9996,B4192,Movimentos!$C$4:$C$9996,"Entrada")-SUMIFS(Movimentos!$F$4:$F$9996,Movimentos!$D$4:$D$9996,B4192,Movimentos!$C$4:$C$9996,"Saída"),""),"")</f>
        <v/>
      </c>
      <c r="F4192" s="10" t="str">
        <f t="shared" si="134"/>
        <v/>
      </c>
    </row>
    <row r="4193" spans="1:6" x14ac:dyDescent="0.3">
      <c r="A4193" s="15" t="str">
        <f t="shared" si="133"/>
        <v>.</v>
      </c>
      <c r="E4193" s="13" t="str">
        <f>IFERROR(IF(AND(B4193&lt;&gt;"",C4193&lt;&gt;""),SUMIFS(Movimentos!$F$4:$F$9996,Movimentos!$D$4:$D$9996,B4193,Movimentos!$C$4:$C$9996,"Entrada")-SUMIFS(Movimentos!$F$4:$F$9996,Movimentos!$D$4:$D$9996,B4193,Movimentos!$C$4:$C$9996,"Saída"),""),"")</f>
        <v/>
      </c>
      <c r="F4193" s="10" t="str">
        <f t="shared" si="134"/>
        <v/>
      </c>
    </row>
    <row r="4194" spans="1:6" x14ac:dyDescent="0.3">
      <c r="A4194" s="15" t="str">
        <f t="shared" si="133"/>
        <v>.</v>
      </c>
      <c r="E4194" s="13" t="str">
        <f>IFERROR(IF(AND(B4194&lt;&gt;"",C4194&lt;&gt;""),SUMIFS(Movimentos!$F$4:$F$9996,Movimentos!$D$4:$D$9996,B4194,Movimentos!$C$4:$C$9996,"Entrada")-SUMIFS(Movimentos!$F$4:$F$9996,Movimentos!$D$4:$D$9996,B4194,Movimentos!$C$4:$C$9996,"Saída"),""),"")</f>
        <v/>
      </c>
      <c r="F4194" s="10" t="str">
        <f t="shared" si="134"/>
        <v/>
      </c>
    </row>
    <row r="4195" spans="1:6" x14ac:dyDescent="0.3">
      <c r="A4195" s="15" t="str">
        <f t="shared" si="133"/>
        <v>.</v>
      </c>
      <c r="E4195" s="13" t="str">
        <f>IFERROR(IF(AND(B4195&lt;&gt;"",C4195&lt;&gt;""),SUMIFS(Movimentos!$F$4:$F$9996,Movimentos!$D$4:$D$9996,B4195,Movimentos!$C$4:$C$9996,"Entrada")-SUMIFS(Movimentos!$F$4:$F$9996,Movimentos!$D$4:$D$9996,B4195,Movimentos!$C$4:$C$9996,"Saída"),""),"")</f>
        <v/>
      </c>
      <c r="F4195" s="10" t="str">
        <f t="shared" si="134"/>
        <v/>
      </c>
    </row>
    <row r="4196" spans="1:6" x14ac:dyDescent="0.3">
      <c r="A4196" s="15" t="str">
        <f t="shared" si="133"/>
        <v>.</v>
      </c>
      <c r="E4196" s="13" t="str">
        <f>IFERROR(IF(AND(B4196&lt;&gt;"",C4196&lt;&gt;""),SUMIFS(Movimentos!$F$4:$F$9996,Movimentos!$D$4:$D$9996,B4196,Movimentos!$C$4:$C$9996,"Entrada")-SUMIFS(Movimentos!$F$4:$F$9996,Movimentos!$D$4:$D$9996,B4196,Movimentos!$C$4:$C$9996,"Saída"),""),"")</f>
        <v/>
      </c>
      <c r="F4196" s="10" t="str">
        <f t="shared" si="134"/>
        <v/>
      </c>
    </row>
    <row r="4197" spans="1:6" x14ac:dyDescent="0.3">
      <c r="A4197" s="15" t="str">
        <f t="shared" si="133"/>
        <v>.</v>
      </c>
      <c r="E4197" s="13" t="str">
        <f>IFERROR(IF(AND(B4197&lt;&gt;"",C4197&lt;&gt;""),SUMIFS(Movimentos!$F$4:$F$9996,Movimentos!$D$4:$D$9996,B4197,Movimentos!$C$4:$C$9996,"Entrada")-SUMIFS(Movimentos!$F$4:$F$9996,Movimentos!$D$4:$D$9996,B4197,Movimentos!$C$4:$C$9996,"Saída"),""),"")</f>
        <v/>
      </c>
      <c r="F4197" s="10" t="str">
        <f t="shared" si="134"/>
        <v/>
      </c>
    </row>
    <row r="4198" spans="1:6" x14ac:dyDescent="0.3">
      <c r="A4198" s="15" t="str">
        <f t="shared" si="133"/>
        <v>.</v>
      </c>
      <c r="E4198" s="13" t="str">
        <f>IFERROR(IF(AND(B4198&lt;&gt;"",C4198&lt;&gt;""),SUMIFS(Movimentos!$F$4:$F$9996,Movimentos!$D$4:$D$9996,B4198,Movimentos!$C$4:$C$9996,"Entrada")-SUMIFS(Movimentos!$F$4:$F$9996,Movimentos!$D$4:$D$9996,B4198,Movimentos!$C$4:$C$9996,"Saída"),""),"")</f>
        <v/>
      </c>
      <c r="F4198" s="10" t="str">
        <f t="shared" si="134"/>
        <v/>
      </c>
    </row>
    <row r="4199" spans="1:6" x14ac:dyDescent="0.3">
      <c r="A4199" s="15" t="str">
        <f t="shared" si="133"/>
        <v>.</v>
      </c>
      <c r="E4199" s="13" t="str">
        <f>IFERROR(IF(AND(B4199&lt;&gt;"",C4199&lt;&gt;""),SUMIFS(Movimentos!$F$4:$F$9996,Movimentos!$D$4:$D$9996,B4199,Movimentos!$C$4:$C$9996,"Entrada")-SUMIFS(Movimentos!$F$4:$F$9996,Movimentos!$D$4:$D$9996,B4199,Movimentos!$C$4:$C$9996,"Saída"),""),"")</f>
        <v/>
      </c>
      <c r="F4199" s="10" t="str">
        <f t="shared" si="134"/>
        <v/>
      </c>
    </row>
    <row r="4200" spans="1:6" x14ac:dyDescent="0.3">
      <c r="A4200" s="15" t="str">
        <f t="shared" si="133"/>
        <v>.</v>
      </c>
      <c r="E4200" s="13" t="str">
        <f>IFERROR(IF(AND(B4200&lt;&gt;"",C4200&lt;&gt;""),SUMIFS(Movimentos!$F$4:$F$9996,Movimentos!$D$4:$D$9996,B4200,Movimentos!$C$4:$C$9996,"Entrada")-SUMIFS(Movimentos!$F$4:$F$9996,Movimentos!$D$4:$D$9996,B4200,Movimentos!$C$4:$C$9996,"Saída"),""),"")</f>
        <v/>
      </c>
      <c r="F4200" s="10" t="str">
        <f t="shared" si="134"/>
        <v/>
      </c>
    </row>
    <row r="4201" spans="1:6" x14ac:dyDescent="0.3">
      <c r="A4201" s="15" t="str">
        <f t="shared" si="133"/>
        <v>.</v>
      </c>
      <c r="E4201" s="13" t="str">
        <f>IFERROR(IF(AND(B4201&lt;&gt;"",C4201&lt;&gt;""),SUMIFS(Movimentos!$F$4:$F$9996,Movimentos!$D$4:$D$9996,B4201,Movimentos!$C$4:$C$9996,"Entrada")-SUMIFS(Movimentos!$F$4:$F$9996,Movimentos!$D$4:$D$9996,B4201,Movimentos!$C$4:$C$9996,"Saída"),""),"")</f>
        <v/>
      </c>
      <c r="F4201" s="10" t="str">
        <f t="shared" si="134"/>
        <v/>
      </c>
    </row>
    <row r="4202" spans="1:6" x14ac:dyDescent="0.3">
      <c r="A4202" s="15" t="str">
        <f t="shared" si="133"/>
        <v>.</v>
      </c>
      <c r="E4202" s="13" t="str">
        <f>IFERROR(IF(AND(B4202&lt;&gt;"",C4202&lt;&gt;""),SUMIFS(Movimentos!$F$4:$F$9996,Movimentos!$D$4:$D$9996,B4202,Movimentos!$C$4:$C$9996,"Entrada")-SUMIFS(Movimentos!$F$4:$F$9996,Movimentos!$D$4:$D$9996,B4202,Movimentos!$C$4:$C$9996,"Saída"),""),"")</f>
        <v/>
      </c>
      <c r="F4202" s="10" t="str">
        <f t="shared" si="134"/>
        <v/>
      </c>
    </row>
    <row r="4203" spans="1:6" x14ac:dyDescent="0.3">
      <c r="A4203" s="15" t="str">
        <f t="shared" si="133"/>
        <v>.</v>
      </c>
      <c r="E4203" s="13" t="str">
        <f>IFERROR(IF(AND(B4203&lt;&gt;"",C4203&lt;&gt;""),SUMIFS(Movimentos!$F$4:$F$9996,Movimentos!$D$4:$D$9996,B4203,Movimentos!$C$4:$C$9996,"Entrada")-SUMIFS(Movimentos!$F$4:$F$9996,Movimentos!$D$4:$D$9996,B4203,Movimentos!$C$4:$C$9996,"Saída"),""),"")</f>
        <v/>
      </c>
      <c r="F4203" s="10" t="str">
        <f t="shared" si="134"/>
        <v/>
      </c>
    </row>
    <row r="4204" spans="1:6" x14ac:dyDescent="0.3">
      <c r="A4204" s="15" t="str">
        <f t="shared" si="133"/>
        <v>.</v>
      </c>
      <c r="E4204" s="13" t="str">
        <f>IFERROR(IF(AND(B4204&lt;&gt;"",C4204&lt;&gt;""),SUMIFS(Movimentos!$F$4:$F$9996,Movimentos!$D$4:$D$9996,B4204,Movimentos!$C$4:$C$9996,"Entrada")-SUMIFS(Movimentos!$F$4:$F$9996,Movimentos!$D$4:$D$9996,B4204,Movimentos!$C$4:$C$9996,"Saída"),""),"")</f>
        <v/>
      </c>
      <c r="F4204" s="10" t="str">
        <f t="shared" si="134"/>
        <v/>
      </c>
    </row>
    <row r="4205" spans="1:6" x14ac:dyDescent="0.3">
      <c r="A4205" s="15" t="str">
        <f t="shared" si="133"/>
        <v>.</v>
      </c>
      <c r="E4205" s="13" t="str">
        <f>IFERROR(IF(AND(B4205&lt;&gt;"",C4205&lt;&gt;""),SUMIFS(Movimentos!$F$4:$F$9996,Movimentos!$D$4:$D$9996,B4205,Movimentos!$C$4:$C$9996,"Entrada")-SUMIFS(Movimentos!$F$4:$F$9996,Movimentos!$D$4:$D$9996,B4205,Movimentos!$C$4:$C$9996,"Saída"),""),"")</f>
        <v/>
      </c>
      <c r="F4205" s="10" t="str">
        <f t="shared" si="134"/>
        <v/>
      </c>
    </row>
    <row r="4206" spans="1:6" x14ac:dyDescent="0.3">
      <c r="A4206" s="15" t="str">
        <f t="shared" si="133"/>
        <v>.</v>
      </c>
      <c r="E4206" s="13" t="str">
        <f>IFERROR(IF(AND(B4206&lt;&gt;"",C4206&lt;&gt;""),SUMIFS(Movimentos!$F$4:$F$9996,Movimentos!$D$4:$D$9996,B4206,Movimentos!$C$4:$C$9996,"Entrada")-SUMIFS(Movimentos!$F$4:$F$9996,Movimentos!$D$4:$D$9996,B4206,Movimentos!$C$4:$C$9996,"Saída"),""),"")</f>
        <v/>
      </c>
      <c r="F4206" s="10" t="str">
        <f t="shared" si="134"/>
        <v/>
      </c>
    </row>
    <row r="4207" spans="1:6" x14ac:dyDescent="0.3">
      <c r="A4207" s="15" t="str">
        <f t="shared" si="133"/>
        <v>.</v>
      </c>
      <c r="E4207" s="13" t="str">
        <f>IFERROR(IF(AND(B4207&lt;&gt;"",C4207&lt;&gt;""),SUMIFS(Movimentos!$F$4:$F$9996,Movimentos!$D$4:$D$9996,B4207,Movimentos!$C$4:$C$9996,"Entrada")-SUMIFS(Movimentos!$F$4:$F$9996,Movimentos!$D$4:$D$9996,B4207,Movimentos!$C$4:$C$9996,"Saída"),""),"")</f>
        <v/>
      </c>
      <c r="F4207" s="10" t="str">
        <f t="shared" si="134"/>
        <v/>
      </c>
    </row>
    <row r="4208" spans="1:6" x14ac:dyDescent="0.3">
      <c r="A4208" s="15" t="str">
        <f t="shared" si="133"/>
        <v>.</v>
      </c>
      <c r="E4208" s="13" t="str">
        <f>IFERROR(IF(AND(B4208&lt;&gt;"",C4208&lt;&gt;""),SUMIFS(Movimentos!$F$4:$F$9996,Movimentos!$D$4:$D$9996,B4208,Movimentos!$C$4:$C$9996,"Entrada")-SUMIFS(Movimentos!$F$4:$F$9996,Movimentos!$D$4:$D$9996,B4208,Movimentos!$C$4:$C$9996,"Saída"),""),"")</f>
        <v/>
      </c>
      <c r="F4208" s="10" t="str">
        <f t="shared" si="134"/>
        <v/>
      </c>
    </row>
    <row r="4209" spans="1:6" x14ac:dyDescent="0.3">
      <c r="A4209" s="15" t="str">
        <f t="shared" si="133"/>
        <v>.</v>
      </c>
      <c r="E4209" s="13" t="str">
        <f>IFERROR(IF(AND(B4209&lt;&gt;"",C4209&lt;&gt;""),SUMIFS(Movimentos!$F$4:$F$9996,Movimentos!$D$4:$D$9996,B4209,Movimentos!$C$4:$C$9996,"Entrada")-SUMIFS(Movimentos!$F$4:$F$9996,Movimentos!$D$4:$D$9996,B4209,Movimentos!$C$4:$C$9996,"Saída"),""),"")</f>
        <v/>
      </c>
      <c r="F4209" s="10" t="str">
        <f t="shared" si="134"/>
        <v/>
      </c>
    </row>
    <row r="4210" spans="1:6" x14ac:dyDescent="0.3">
      <c r="A4210" s="15" t="str">
        <f t="shared" si="133"/>
        <v>.</v>
      </c>
      <c r="E4210" s="13" t="str">
        <f>IFERROR(IF(AND(B4210&lt;&gt;"",C4210&lt;&gt;""),SUMIFS(Movimentos!$F$4:$F$9996,Movimentos!$D$4:$D$9996,B4210,Movimentos!$C$4:$C$9996,"Entrada")-SUMIFS(Movimentos!$F$4:$F$9996,Movimentos!$D$4:$D$9996,B4210,Movimentos!$C$4:$C$9996,"Saída"),""),"")</f>
        <v/>
      </c>
      <c r="F4210" s="10" t="str">
        <f t="shared" si="134"/>
        <v/>
      </c>
    </row>
    <row r="4211" spans="1:6" x14ac:dyDescent="0.3">
      <c r="A4211" s="15" t="str">
        <f t="shared" si="133"/>
        <v>.</v>
      </c>
      <c r="E4211" s="13" t="str">
        <f>IFERROR(IF(AND(B4211&lt;&gt;"",C4211&lt;&gt;""),SUMIFS(Movimentos!$F$4:$F$9996,Movimentos!$D$4:$D$9996,B4211,Movimentos!$C$4:$C$9996,"Entrada")-SUMIFS(Movimentos!$F$4:$F$9996,Movimentos!$D$4:$D$9996,B4211,Movimentos!$C$4:$C$9996,"Saída"),""),"")</f>
        <v/>
      </c>
      <c r="F4211" s="10" t="str">
        <f t="shared" si="134"/>
        <v/>
      </c>
    </row>
    <row r="4212" spans="1:6" x14ac:dyDescent="0.3">
      <c r="A4212" s="15" t="str">
        <f t="shared" si="133"/>
        <v>.</v>
      </c>
      <c r="E4212" s="13" t="str">
        <f>IFERROR(IF(AND(B4212&lt;&gt;"",C4212&lt;&gt;""),SUMIFS(Movimentos!$F$4:$F$9996,Movimentos!$D$4:$D$9996,B4212,Movimentos!$C$4:$C$9996,"Entrada")-SUMIFS(Movimentos!$F$4:$F$9996,Movimentos!$D$4:$D$9996,B4212,Movimentos!$C$4:$C$9996,"Saída"),""),"")</f>
        <v/>
      </c>
      <c r="F4212" s="10" t="str">
        <f t="shared" si="134"/>
        <v/>
      </c>
    </row>
    <row r="4213" spans="1:6" x14ac:dyDescent="0.3">
      <c r="A4213" s="15" t="str">
        <f t="shared" si="133"/>
        <v>.</v>
      </c>
      <c r="E4213" s="13" t="str">
        <f>IFERROR(IF(AND(B4213&lt;&gt;"",C4213&lt;&gt;""),SUMIFS(Movimentos!$F$4:$F$9996,Movimentos!$D$4:$D$9996,B4213,Movimentos!$C$4:$C$9996,"Entrada")-SUMIFS(Movimentos!$F$4:$F$9996,Movimentos!$D$4:$D$9996,B4213,Movimentos!$C$4:$C$9996,"Saída"),""),"")</f>
        <v/>
      </c>
      <c r="F4213" s="10" t="str">
        <f t="shared" si="134"/>
        <v/>
      </c>
    </row>
    <row r="4214" spans="1:6" x14ac:dyDescent="0.3">
      <c r="A4214" s="15" t="str">
        <f t="shared" si="133"/>
        <v>.</v>
      </c>
      <c r="E4214" s="13" t="str">
        <f>IFERROR(IF(AND(B4214&lt;&gt;"",C4214&lt;&gt;""),SUMIFS(Movimentos!$F$4:$F$9996,Movimentos!$D$4:$D$9996,B4214,Movimentos!$C$4:$C$9996,"Entrada")-SUMIFS(Movimentos!$F$4:$F$9996,Movimentos!$D$4:$D$9996,B4214,Movimentos!$C$4:$C$9996,"Saída"),""),"")</f>
        <v/>
      </c>
      <c r="F4214" s="10" t="str">
        <f t="shared" si="134"/>
        <v/>
      </c>
    </row>
    <row r="4215" spans="1:6" x14ac:dyDescent="0.3">
      <c r="A4215" s="15" t="str">
        <f t="shared" si="133"/>
        <v>.</v>
      </c>
      <c r="E4215" s="13" t="str">
        <f>IFERROR(IF(AND(B4215&lt;&gt;"",C4215&lt;&gt;""),SUMIFS(Movimentos!$F$4:$F$9996,Movimentos!$D$4:$D$9996,B4215,Movimentos!$C$4:$C$9996,"Entrada")-SUMIFS(Movimentos!$F$4:$F$9996,Movimentos!$D$4:$D$9996,B4215,Movimentos!$C$4:$C$9996,"Saída"),""),"")</f>
        <v/>
      </c>
      <c r="F4215" s="10" t="str">
        <f t="shared" si="134"/>
        <v/>
      </c>
    </row>
    <row r="4216" spans="1:6" x14ac:dyDescent="0.3">
      <c r="A4216" s="15" t="str">
        <f t="shared" si="133"/>
        <v>.</v>
      </c>
      <c r="E4216" s="13" t="str">
        <f>IFERROR(IF(AND(B4216&lt;&gt;"",C4216&lt;&gt;""),SUMIFS(Movimentos!$F$4:$F$9996,Movimentos!$D$4:$D$9996,B4216,Movimentos!$C$4:$C$9996,"Entrada")-SUMIFS(Movimentos!$F$4:$F$9996,Movimentos!$D$4:$D$9996,B4216,Movimentos!$C$4:$C$9996,"Saída"),""),"")</f>
        <v/>
      </c>
      <c r="F4216" s="10" t="str">
        <f t="shared" si="134"/>
        <v/>
      </c>
    </row>
    <row r="4217" spans="1:6" x14ac:dyDescent="0.3">
      <c r="A4217" s="15" t="str">
        <f t="shared" si="133"/>
        <v>.</v>
      </c>
      <c r="E4217" s="13" t="str">
        <f>IFERROR(IF(AND(B4217&lt;&gt;"",C4217&lt;&gt;""),SUMIFS(Movimentos!$F$4:$F$9996,Movimentos!$D$4:$D$9996,B4217,Movimentos!$C$4:$C$9996,"Entrada")-SUMIFS(Movimentos!$F$4:$F$9996,Movimentos!$D$4:$D$9996,B4217,Movimentos!$C$4:$C$9996,"Saída"),""),"")</f>
        <v/>
      </c>
      <c r="F4217" s="10" t="str">
        <f t="shared" si="134"/>
        <v/>
      </c>
    </row>
    <row r="4218" spans="1:6" x14ac:dyDescent="0.3">
      <c r="A4218" s="15" t="str">
        <f t="shared" si="133"/>
        <v>.</v>
      </c>
      <c r="E4218" s="13" t="str">
        <f>IFERROR(IF(AND(B4218&lt;&gt;"",C4218&lt;&gt;""),SUMIFS(Movimentos!$F$4:$F$9996,Movimentos!$D$4:$D$9996,B4218,Movimentos!$C$4:$C$9996,"Entrada")-SUMIFS(Movimentos!$F$4:$F$9996,Movimentos!$D$4:$D$9996,B4218,Movimentos!$C$4:$C$9996,"Saída"),""),"")</f>
        <v/>
      </c>
      <c r="F4218" s="10" t="str">
        <f t="shared" si="134"/>
        <v/>
      </c>
    </row>
    <row r="4219" spans="1:6" x14ac:dyDescent="0.3">
      <c r="A4219" s="15" t="str">
        <f t="shared" si="133"/>
        <v>.</v>
      </c>
      <c r="E4219" s="13" t="str">
        <f>IFERROR(IF(AND(B4219&lt;&gt;"",C4219&lt;&gt;""),SUMIFS(Movimentos!$F$4:$F$9996,Movimentos!$D$4:$D$9996,B4219,Movimentos!$C$4:$C$9996,"Entrada")-SUMIFS(Movimentos!$F$4:$F$9996,Movimentos!$D$4:$D$9996,B4219,Movimentos!$C$4:$C$9996,"Saída"),""),"")</f>
        <v/>
      </c>
      <c r="F4219" s="10" t="str">
        <f t="shared" si="134"/>
        <v/>
      </c>
    </row>
    <row r="4220" spans="1:6" x14ac:dyDescent="0.3">
      <c r="A4220" s="15" t="str">
        <f t="shared" si="133"/>
        <v>.</v>
      </c>
      <c r="E4220" s="13" t="str">
        <f>IFERROR(IF(AND(B4220&lt;&gt;"",C4220&lt;&gt;""),SUMIFS(Movimentos!$F$4:$F$9996,Movimentos!$D$4:$D$9996,B4220,Movimentos!$C$4:$C$9996,"Entrada")-SUMIFS(Movimentos!$F$4:$F$9996,Movimentos!$D$4:$D$9996,B4220,Movimentos!$C$4:$C$9996,"Saída"),""),"")</f>
        <v/>
      </c>
      <c r="F4220" s="10" t="str">
        <f t="shared" si="134"/>
        <v/>
      </c>
    </row>
    <row r="4221" spans="1:6" x14ac:dyDescent="0.3">
      <c r="A4221" s="15" t="str">
        <f t="shared" si="133"/>
        <v>.</v>
      </c>
      <c r="E4221" s="13" t="str">
        <f>IFERROR(IF(AND(B4221&lt;&gt;"",C4221&lt;&gt;""),SUMIFS(Movimentos!$F$4:$F$9996,Movimentos!$D$4:$D$9996,B4221,Movimentos!$C$4:$C$9996,"Entrada")-SUMIFS(Movimentos!$F$4:$F$9996,Movimentos!$D$4:$D$9996,B4221,Movimentos!$C$4:$C$9996,"Saída"),""),"")</f>
        <v/>
      </c>
      <c r="F4221" s="10" t="str">
        <f t="shared" si="134"/>
        <v/>
      </c>
    </row>
    <row r="4222" spans="1:6" x14ac:dyDescent="0.3">
      <c r="A4222" s="15" t="str">
        <f t="shared" si="133"/>
        <v>.</v>
      </c>
      <c r="E4222" s="13" t="str">
        <f>IFERROR(IF(AND(B4222&lt;&gt;"",C4222&lt;&gt;""),SUMIFS(Movimentos!$F$4:$F$9996,Movimentos!$D$4:$D$9996,B4222,Movimentos!$C$4:$C$9996,"Entrada")-SUMIFS(Movimentos!$F$4:$F$9996,Movimentos!$D$4:$D$9996,B4222,Movimentos!$C$4:$C$9996,"Saída"),""),"")</f>
        <v/>
      </c>
      <c r="F4222" s="10" t="str">
        <f t="shared" si="134"/>
        <v/>
      </c>
    </row>
    <row r="4223" spans="1:6" x14ac:dyDescent="0.3">
      <c r="A4223" s="15" t="str">
        <f t="shared" si="133"/>
        <v>.</v>
      </c>
      <c r="E4223" s="13" t="str">
        <f>IFERROR(IF(AND(B4223&lt;&gt;"",C4223&lt;&gt;""),SUMIFS(Movimentos!$F$4:$F$9996,Movimentos!$D$4:$D$9996,B4223,Movimentos!$C$4:$C$9996,"Entrada")-SUMIFS(Movimentos!$F$4:$F$9996,Movimentos!$D$4:$D$9996,B4223,Movimentos!$C$4:$C$9996,"Saída"),""),"")</f>
        <v/>
      </c>
      <c r="F4223" s="10" t="str">
        <f t="shared" si="134"/>
        <v/>
      </c>
    </row>
    <row r="4224" spans="1:6" x14ac:dyDescent="0.3">
      <c r="A4224" s="15" t="str">
        <f t="shared" ref="A4224:A4287" si="135">IF(F4224="Saldo zerado",0,IF(F4224="Saldo abaixo do mínimo",1,IF(F4224="Saldo disponível",2,".")))</f>
        <v>.</v>
      </c>
      <c r="E4224" s="13" t="str">
        <f>IFERROR(IF(AND(B4224&lt;&gt;"",C4224&lt;&gt;""),SUMIFS(Movimentos!$F$4:$F$9996,Movimentos!$D$4:$D$9996,B4224,Movimentos!$C$4:$C$9996,"Entrada")-SUMIFS(Movimentos!$F$4:$F$9996,Movimentos!$D$4:$D$9996,B4224,Movimentos!$C$4:$C$9996,"Saída"),""),"")</f>
        <v/>
      </c>
      <c r="F4224" s="10" t="str">
        <f t="shared" si="134"/>
        <v/>
      </c>
    </row>
    <row r="4225" spans="1:6" x14ac:dyDescent="0.3">
      <c r="A4225" s="15" t="str">
        <f t="shared" si="135"/>
        <v>.</v>
      </c>
      <c r="E4225" s="13" t="str">
        <f>IFERROR(IF(AND(B4225&lt;&gt;"",C4225&lt;&gt;""),SUMIFS(Movimentos!$F$4:$F$9996,Movimentos!$D$4:$D$9996,B4225,Movimentos!$C$4:$C$9996,"Entrada")-SUMIFS(Movimentos!$F$4:$F$9996,Movimentos!$D$4:$D$9996,B4225,Movimentos!$C$4:$C$9996,"Saída"),""),"")</f>
        <v/>
      </c>
      <c r="F4225" s="10" t="str">
        <f t="shared" si="134"/>
        <v/>
      </c>
    </row>
    <row r="4226" spans="1:6" x14ac:dyDescent="0.3">
      <c r="A4226" s="15" t="str">
        <f t="shared" si="135"/>
        <v>.</v>
      </c>
      <c r="E4226" s="13" t="str">
        <f>IFERROR(IF(AND(B4226&lt;&gt;"",C4226&lt;&gt;""),SUMIFS(Movimentos!$F$4:$F$9996,Movimentos!$D$4:$D$9996,B4226,Movimentos!$C$4:$C$9996,"Entrada")-SUMIFS(Movimentos!$F$4:$F$9996,Movimentos!$D$4:$D$9996,B4226,Movimentos!$C$4:$C$9996,"Saída"),""),"")</f>
        <v/>
      </c>
      <c r="F4226" s="10" t="str">
        <f t="shared" si="134"/>
        <v/>
      </c>
    </row>
    <row r="4227" spans="1:6" x14ac:dyDescent="0.3">
      <c r="A4227" s="15" t="str">
        <f t="shared" si="135"/>
        <v>.</v>
      </c>
      <c r="E4227" s="13" t="str">
        <f>IFERROR(IF(AND(B4227&lt;&gt;"",C4227&lt;&gt;""),SUMIFS(Movimentos!$F$4:$F$9996,Movimentos!$D$4:$D$9996,B4227,Movimentos!$C$4:$C$9996,"Entrada")-SUMIFS(Movimentos!$F$4:$F$9996,Movimentos!$D$4:$D$9996,B4227,Movimentos!$C$4:$C$9996,"Saída"),""),"")</f>
        <v/>
      </c>
      <c r="F4227" s="10" t="str">
        <f t="shared" si="134"/>
        <v/>
      </c>
    </row>
    <row r="4228" spans="1:6" x14ac:dyDescent="0.3">
      <c r="A4228" s="15" t="str">
        <f t="shared" si="135"/>
        <v>.</v>
      </c>
      <c r="E4228" s="13" t="str">
        <f>IFERROR(IF(AND(B4228&lt;&gt;"",C4228&lt;&gt;""),SUMIFS(Movimentos!$F$4:$F$9996,Movimentos!$D$4:$D$9996,B4228,Movimentos!$C$4:$C$9996,"Entrada")-SUMIFS(Movimentos!$F$4:$F$9996,Movimentos!$D$4:$D$9996,B4228,Movimentos!$C$4:$C$9996,"Saída"),""),"")</f>
        <v/>
      </c>
      <c r="F4228" s="10" t="str">
        <f t="shared" si="134"/>
        <v/>
      </c>
    </row>
    <row r="4229" spans="1:6" x14ac:dyDescent="0.3">
      <c r="A4229" s="15" t="str">
        <f t="shared" si="135"/>
        <v>.</v>
      </c>
      <c r="E4229" s="13" t="str">
        <f>IFERROR(IF(AND(B4229&lt;&gt;"",C4229&lt;&gt;""),SUMIFS(Movimentos!$F$4:$F$9996,Movimentos!$D$4:$D$9996,B4229,Movimentos!$C$4:$C$9996,"Entrada")-SUMIFS(Movimentos!$F$4:$F$9996,Movimentos!$D$4:$D$9996,B4229,Movimentos!$C$4:$C$9996,"Saída"),""),"")</f>
        <v/>
      </c>
      <c r="F4229" s="10" t="str">
        <f t="shared" si="134"/>
        <v/>
      </c>
    </row>
    <row r="4230" spans="1:6" x14ac:dyDescent="0.3">
      <c r="A4230" s="15" t="str">
        <f t="shared" si="135"/>
        <v>.</v>
      </c>
      <c r="E4230" s="13" t="str">
        <f>IFERROR(IF(AND(B4230&lt;&gt;"",C4230&lt;&gt;""),SUMIFS(Movimentos!$F$4:$F$9996,Movimentos!$D$4:$D$9996,B4230,Movimentos!$C$4:$C$9996,"Entrada")-SUMIFS(Movimentos!$F$4:$F$9996,Movimentos!$D$4:$D$9996,B4230,Movimentos!$C$4:$C$9996,"Saída"),""),"")</f>
        <v/>
      </c>
      <c r="F4230" s="10" t="str">
        <f t="shared" si="134"/>
        <v/>
      </c>
    </row>
    <row r="4231" spans="1:6" x14ac:dyDescent="0.3">
      <c r="A4231" s="15" t="str">
        <f t="shared" si="135"/>
        <v>.</v>
      </c>
      <c r="E4231" s="13" t="str">
        <f>IFERROR(IF(AND(B4231&lt;&gt;"",C4231&lt;&gt;""),SUMIFS(Movimentos!$F$4:$F$9996,Movimentos!$D$4:$D$9996,B4231,Movimentos!$C$4:$C$9996,"Entrada")-SUMIFS(Movimentos!$F$4:$F$9996,Movimentos!$D$4:$D$9996,B4231,Movimentos!$C$4:$C$9996,"Saída"),""),"")</f>
        <v/>
      </c>
      <c r="F4231" s="10" t="str">
        <f t="shared" si="134"/>
        <v/>
      </c>
    </row>
    <row r="4232" spans="1:6" x14ac:dyDescent="0.3">
      <c r="A4232" s="15" t="str">
        <f t="shared" si="135"/>
        <v>.</v>
      </c>
      <c r="E4232" s="13" t="str">
        <f>IFERROR(IF(AND(B4232&lt;&gt;"",C4232&lt;&gt;""),SUMIFS(Movimentos!$F$4:$F$9996,Movimentos!$D$4:$D$9996,B4232,Movimentos!$C$4:$C$9996,"Entrada")-SUMIFS(Movimentos!$F$4:$F$9996,Movimentos!$D$4:$D$9996,B4232,Movimentos!$C$4:$C$9996,"Saída"),""),"")</f>
        <v/>
      </c>
      <c r="F4232" s="10" t="str">
        <f t="shared" si="134"/>
        <v/>
      </c>
    </row>
    <row r="4233" spans="1:6" x14ac:dyDescent="0.3">
      <c r="A4233" s="15" t="str">
        <f t="shared" si="135"/>
        <v>.</v>
      </c>
      <c r="E4233" s="13" t="str">
        <f>IFERROR(IF(AND(B4233&lt;&gt;"",C4233&lt;&gt;""),SUMIFS(Movimentos!$F$4:$F$9996,Movimentos!$D$4:$D$9996,B4233,Movimentos!$C$4:$C$9996,"Entrada")-SUMIFS(Movimentos!$F$4:$F$9996,Movimentos!$D$4:$D$9996,B4233,Movimentos!$C$4:$C$9996,"Saída"),""),"")</f>
        <v/>
      </c>
      <c r="F4233" s="10" t="str">
        <f t="shared" si="134"/>
        <v/>
      </c>
    </row>
    <row r="4234" spans="1:6" x14ac:dyDescent="0.3">
      <c r="A4234" s="15" t="str">
        <f t="shared" si="135"/>
        <v>.</v>
      </c>
      <c r="E4234" s="13" t="str">
        <f>IFERROR(IF(AND(B4234&lt;&gt;"",C4234&lt;&gt;""),SUMIFS(Movimentos!$F$4:$F$9996,Movimentos!$D$4:$D$9996,B4234,Movimentos!$C$4:$C$9996,"Entrada")-SUMIFS(Movimentos!$F$4:$F$9996,Movimentos!$D$4:$D$9996,B4234,Movimentos!$C$4:$C$9996,"Saída"),""),"")</f>
        <v/>
      </c>
      <c r="F4234" s="10" t="str">
        <f t="shared" si="134"/>
        <v/>
      </c>
    </row>
    <row r="4235" spans="1:6" x14ac:dyDescent="0.3">
      <c r="A4235" s="15" t="str">
        <f t="shared" si="135"/>
        <v>.</v>
      </c>
      <c r="E4235" s="13" t="str">
        <f>IFERROR(IF(AND(B4235&lt;&gt;"",C4235&lt;&gt;""),SUMIFS(Movimentos!$F$4:$F$9996,Movimentos!$D$4:$D$9996,B4235,Movimentos!$C$4:$C$9996,"Entrada")-SUMIFS(Movimentos!$F$4:$F$9996,Movimentos!$D$4:$D$9996,B4235,Movimentos!$C$4:$C$9996,"Saída"),""),"")</f>
        <v/>
      </c>
      <c r="F4235" s="10" t="str">
        <f t="shared" si="134"/>
        <v/>
      </c>
    </row>
    <row r="4236" spans="1:6" x14ac:dyDescent="0.3">
      <c r="A4236" s="15" t="str">
        <f t="shared" si="135"/>
        <v>.</v>
      </c>
      <c r="E4236" s="13" t="str">
        <f>IFERROR(IF(AND(B4236&lt;&gt;"",C4236&lt;&gt;""),SUMIFS(Movimentos!$F$4:$F$9996,Movimentos!$D$4:$D$9996,B4236,Movimentos!$C$4:$C$9996,"Entrada")-SUMIFS(Movimentos!$F$4:$F$9996,Movimentos!$D$4:$D$9996,B4236,Movimentos!$C$4:$C$9996,"Saída"),""),"")</f>
        <v/>
      </c>
      <c r="F4236" s="10" t="str">
        <f t="shared" si="134"/>
        <v/>
      </c>
    </row>
    <row r="4237" spans="1:6" x14ac:dyDescent="0.3">
      <c r="A4237" s="15" t="str">
        <f t="shared" si="135"/>
        <v>.</v>
      </c>
      <c r="E4237" s="13" t="str">
        <f>IFERROR(IF(AND(B4237&lt;&gt;"",C4237&lt;&gt;""),SUMIFS(Movimentos!$F$4:$F$9996,Movimentos!$D$4:$D$9996,B4237,Movimentos!$C$4:$C$9996,"Entrada")-SUMIFS(Movimentos!$F$4:$F$9996,Movimentos!$D$4:$D$9996,B4237,Movimentos!$C$4:$C$9996,"Saída"),""),"")</f>
        <v/>
      </c>
      <c r="F4237" s="10" t="str">
        <f t="shared" si="134"/>
        <v/>
      </c>
    </row>
    <row r="4238" spans="1:6" x14ac:dyDescent="0.3">
      <c r="A4238" s="15" t="str">
        <f t="shared" si="135"/>
        <v>.</v>
      </c>
      <c r="E4238" s="13" t="str">
        <f>IFERROR(IF(AND(B4238&lt;&gt;"",C4238&lt;&gt;""),SUMIFS(Movimentos!$F$4:$F$9996,Movimentos!$D$4:$D$9996,B4238,Movimentos!$C$4:$C$9996,"Entrada")-SUMIFS(Movimentos!$F$4:$F$9996,Movimentos!$D$4:$D$9996,B4238,Movimentos!$C$4:$C$9996,"Saída"),""),"")</f>
        <v/>
      </c>
      <c r="F4238" s="10" t="str">
        <f t="shared" si="134"/>
        <v/>
      </c>
    </row>
    <row r="4239" spans="1:6" x14ac:dyDescent="0.3">
      <c r="A4239" s="15" t="str">
        <f t="shared" si="135"/>
        <v>.</v>
      </c>
      <c r="E4239" s="13" t="str">
        <f>IFERROR(IF(AND(B4239&lt;&gt;"",C4239&lt;&gt;""),SUMIFS(Movimentos!$F$4:$F$9996,Movimentos!$D$4:$D$9996,B4239,Movimentos!$C$4:$C$9996,"Entrada")-SUMIFS(Movimentos!$F$4:$F$9996,Movimentos!$D$4:$D$9996,B4239,Movimentos!$C$4:$C$9996,"Saída"),""),"")</f>
        <v/>
      </c>
      <c r="F4239" s="10" t="str">
        <f t="shared" si="134"/>
        <v/>
      </c>
    </row>
    <row r="4240" spans="1:6" x14ac:dyDescent="0.3">
      <c r="A4240" s="15" t="str">
        <f t="shared" si="135"/>
        <v>.</v>
      </c>
      <c r="E4240" s="13" t="str">
        <f>IFERROR(IF(AND(B4240&lt;&gt;"",C4240&lt;&gt;""),SUMIFS(Movimentos!$F$4:$F$9996,Movimentos!$D$4:$D$9996,B4240,Movimentos!$C$4:$C$9996,"Entrada")-SUMIFS(Movimentos!$F$4:$F$9996,Movimentos!$D$4:$D$9996,B4240,Movimentos!$C$4:$C$9996,"Saída"),""),"")</f>
        <v/>
      </c>
      <c r="F4240" s="10" t="str">
        <f t="shared" si="134"/>
        <v/>
      </c>
    </row>
    <row r="4241" spans="1:6" x14ac:dyDescent="0.3">
      <c r="A4241" s="15" t="str">
        <f t="shared" si="135"/>
        <v>.</v>
      </c>
      <c r="E4241" s="13" t="str">
        <f>IFERROR(IF(AND(B4241&lt;&gt;"",C4241&lt;&gt;""),SUMIFS(Movimentos!$F$4:$F$9996,Movimentos!$D$4:$D$9996,B4241,Movimentos!$C$4:$C$9996,"Entrada")-SUMIFS(Movimentos!$F$4:$F$9996,Movimentos!$D$4:$D$9996,B4241,Movimentos!$C$4:$C$9996,"Saída"),""),"")</f>
        <v/>
      </c>
      <c r="F4241" s="10" t="str">
        <f t="shared" si="134"/>
        <v/>
      </c>
    </row>
    <row r="4242" spans="1:6" x14ac:dyDescent="0.3">
      <c r="A4242" s="15" t="str">
        <f t="shared" si="135"/>
        <v>.</v>
      </c>
      <c r="E4242" s="13" t="str">
        <f>IFERROR(IF(AND(B4242&lt;&gt;"",C4242&lt;&gt;""),SUMIFS(Movimentos!$F$4:$F$9996,Movimentos!$D$4:$D$9996,B4242,Movimentos!$C$4:$C$9996,"Entrada")-SUMIFS(Movimentos!$F$4:$F$9996,Movimentos!$D$4:$D$9996,B4242,Movimentos!$C$4:$C$9996,"Saída"),""),"")</f>
        <v/>
      </c>
      <c r="F4242" s="10" t="str">
        <f t="shared" si="134"/>
        <v/>
      </c>
    </row>
    <row r="4243" spans="1:6" x14ac:dyDescent="0.3">
      <c r="A4243" s="15" t="str">
        <f t="shared" si="135"/>
        <v>.</v>
      </c>
      <c r="E4243" s="13" t="str">
        <f>IFERROR(IF(AND(B4243&lt;&gt;"",C4243&lt;&gt;""),SUMIFS(Movimentos!$F$4:$F$9996,Movimentos!$D$4:$D$9996,B4243,Movimentos!$C$4:$C$9996,"Entrada")-SUMIFS(Movimentos!$F$4:$F$9996,Movimentos!$D$4:$D$9996,B4243,Movimentos!$C$4:$C$9996,"Saída"),""),"")</f>
        <v/>
      </c>
      <c r="F4243" s="10" t="str">
        <f t="shared" si="134"/>
        <v/>
      </c>
    </row>
    <row r="4244" spans="1:6" x14ac:dyDescent="0.3">
      <c r="A4244" s="15" t="str">
        <f t="shared" si="135"/>
        <v>.</v>
      </c>
      <c r="E4244" s="13" t="str">
        <f>IFERROR(IF(AND(B4244&lt;&gt;"",C4244&lt;&gt;""),SUMIFS(Movimentos!$F$4:$F$9996,Movimentos!$D$4:$D$9996,B4244,Movimentos!$C$4:$C$9996,"Entrada")-SUMIFS(Movimentos!$F$4:$F$9996,Movimentos!$D$4:$D$9996,B4244,Movimentos!$C$4:$C$9996,"Saída"),""),"")</f>
        <v/>
      </c>
      <c r="F4244" s="10" t="str">
        <f t="shared" si="134"/>
        <v/>
      </c>
    </row>
    <row r="4245" spans="1:6" x14ac:dyDescent="0.3">
      <c r="A4245" s="15" t="str">
        <f t="shared" si="135"/>
        <v>.</v>
      </c>
      <c r="E4245" s="13" t="str">
        <f>IFERROR(IF(AND(B4245&lt;&gt;"",C4245&lt;&gt;""),SUMIFS(Movimentos!$F$4:$F$9996,Movimentos!$D$4:$D$9996,B4245,Movimentos!$C$4:$C$9996,"Entrada")-SUMIFS(Movimentos!$F$4:$F$9996,Movimentos!$D$4:$D$9996,B4245,Movimentos!$C$4:$C$9996,"Saída"),""),"")</f>
        <v/>
      </c>
      <c r="F4245" s="10" t="str">
        <f t="shared" si="134"/>
        <v/>
      </c>
    </row>
    <row r="4246" spans="1:6" x14ac:dyDescent="0.3">
      <c r="A4246" s="15" t="str">
        <f t="shared" si="135"/>
        <v>.</v>
      </c>
      <c r="E4246" s="13" t="str">
        <f>IFERROR(IF(AND(B4246&lt;&gt;"",C4246&lt;&gt;""),SUMIFS(Movimentos!$F$4:$F$9996,Movimentos!$D$4:$D$9996,B4246,Movimentos!$C$4:$C$9996,"Entrada")-SUMIFS(Movimentos!$F$4:$F$9996,Movimentos!$D$4:$D$9996,B4246,Movimentos!$C$4:$C$9996,"Saída"),""),"")</f>
        <v/>
      </c>
      <c r="F4246" s="10" t="str">
        <f t="shared" si="134"/>
        <v/>
      </c>
    </row>
    <row r="4247" spans="1:6" x14ac:dyDescent="0.3">
      <c r="A4247" s="15" t="str">
        <f t="shared" si="135"/>
        <v>.</v>
      </c>
      <c r="E4247" s="13" t="str">
        <f>IFERROR(IF(AND(B4247&lt;&gt;"",C4247&lt;&gt;""),SUMIFS(Movimentos!$F$4:$F$9996,Movimentos!$D$4:$D$9996,B4247,Movimentos!$C$4:$C$9996,"Entrada")-SUMIFS(Movimentos!$F$4:$F$9996,Movimentos!$D$4:$D$9996,B4247,Movimentos!$C$4:$C$9996,"Saída"),""),"")</f>
        <v/>
      </c>
      <c r="F4247" s="10" t="str">
        <f t="shared" ref="F4247:F4310" si="136">IF(AND(B4247&lt;&gt;"",C4247&lt;&gt;""),IF(E4247=0,"Saldo zerado",IF(E4247&lt;D4247,"Saldo abaixo do mínimo","Saldo disponível")),"")</f>
        <v/>
      </c>
    </row>
    <row r="4248" spans="1:6" x14ac:dyDescent="0.3">
      <c r="A4248" s="15" t="str">
        <f t="shared" si="135"/>
        <v>.</v>
      </c>
      <c r="E4248" s="13" t="str">
        <f>IFERROR(IF(AND(B4248&lt;&gt;"",C4248&lt;&gt;""),SUMIFS(Movimentos!$F$4:$F$9996,Movimentos!$D$4:$D$9996,B4248,Movimentos!$C$4:$C$9996,"Entrada")-SUMIFS(Movimentos!$F$4:$F$9996,Movimentos!$D$4:$D$9996,B4248,Movimentos!$C$4:$C$9996,"Saída"),""),"")</f>
        <v/>
      </c>
      <c r="F4248" s="10" t="str">
        <f t="shared" si="136"/>
        <v/>
      </c>
    </row>
    <row r="4249" spans="1:6" x14ac:dyDescent="0.3">
      <c r="A4249" s="15" t="str">
        <f t="shared" si="135"/>
        <v>.</v>
      </c>
      <c r="E4249" s="13" t="str">
        <f>IFERROR(IF(AND(B4249&lt;&gt;"",C4249&lt;&gt;""),SUMIFS(Movimentos!$F$4:$F$9996,Movimentos!$D$4:$D$9996,B4249,Movimentos!$C$4:$C$9996,"Entrada")-SUMIFS(Movimentos!$F$4:$F$9996,Movimentos!$D$4:$D$9996,B4249,Movimentos!$C$4:$C$9996,"Saída"),""),"")</f>
        <v/>
      </c>
      <c r="F4249" s="10" t="str">
        <f t="shared" si="136"/>
        <v/>
      </c>
    </row>
    <row r="4250" spans="1:6" x14ac:dyDescent="0.3">
      <c r="A4250" s="15" t="str">
        <f t="shared" si="135"/>
        <v>.</v>
      </c>
      <c r="E4250" s="13" t="str">
        <f>IFERROR(IF(AND(B4250&lt;&gt;"",C4250&lt;&gt;""),SUMIFS(Movimentos!$F$4:$F$9996,Movimentos!$D$4:$D$9996,B4250,Movimentos!$C$4:$C$9996,"Entrada")-SUMIFS(Movimentos!$F$4:$F$9996,Movimentos!$D$4:$D$9996,B4250,Movimentos!$C$4:$C$9996,"Saída"),""),"")</f>
        <v/>
      </c>
      <c r="F4250" s="10" t="str">
        <f t="shared" si="136"/>
        <v/>
      </c>
    </row>
    <row r="4251" spans="1:6" x14ac:dyDescent="0.3">
      <c r="A4251" s="15" t="str">
        <f t="shared" si="135"/>
        <v>.</v>
      </c>
      <c r="E4251" s="13" t="str">
        <f>IFERROR(IF(AND(B4251&lt;&gt;"",C4251&lt;&gt;""),SUMIFS(Movimentos!$F$4:$F$9996,Movimentos!$D$4:$D$9996,B4251,Movimentos!$C$4:$C$9996,"Entrada")-SUMIFS(Movimentos!$F$4:$F$9996,Movimentos!$D$4:$D$9996,B4251,Movimentos!$C$4:$C$9996,"Saída"),""),"")</f>
        <v/>
      </c>
      <c r="F4251" s="10" t="str">
        <f t="shared" si="136"/>
        <v/>
      </c>
    </row>
    <row r="4252" spans="1:6" x14ac:dyDescent="0.3">
      <c r="A4252" s="15" t="str">
        <f t="shared" si="135"/>
        <v>.</v>
      </c>
      <c r="E4252" s="13" t="str">
        <f>IFERROR(IF(AND(B4252&lt;&gt;"",C4252&lt;&gt;""),SUMIFS(Movimentos!$F$4:$F$9996,Movimentos!$D$4:$D$9996,B4252,Movimentos!$C$4:$C$9996,"Entrada")-SUMIFS(Movimentos!$F$4:$F$9996,Movimentos!$D$4:$D$9996,B4252,Movimentos!$C$4:$C$9996,"Saída"),""),"")</f>
        <v/>
      </c>
      <c r="F4252" s="10" t="str">
        <f t="shared" si="136"/>
        <v/>
      </c>
    </row>
    <row r="4253" spans="1:6" x14ac:dyDescent="0.3">
      <c r="A4253" s="15" t="str">
        <f t="shared" si="135"/>
        <v>.</v>
      </c>
      <c r="E4253" s="13" t="str">
        <f>IFERROR(IF(AND(B4253&lt;&gt;"",C4253&lt;&gt;""),SUMIFS(Movimentos!$F$4:$F$9996,Movimentos!$D$4:$D$9996,B4253,Movimentos!$C$4:$C$9996,"Entrada")-SUMIFS(Movimentos!$F$4:$F$9996,Movimentos!$D$4:$D$9996,B4253,Movimentos!$C$4:$C$9996,"Saída"),""),"")</f>
        <v/>
      </c>
      <c r="F4253" s="10" t="str">
        <f t="shared" si="136"/>
        <v/>
      </c>
    </row>
    <row r="4254" spans="1:6" x14ac:dyDescent="0.3">
      <c r="A4254" s="15" t="str">
        <f t="shared" si="135"/>
        <v>.</v>
      </c>
      <c r="E4254" s="13" t="str">
        <f>IFERROR(IF(AND(B4254&lt;&gt;"",C4254&lt;&gt;""),SUMIFS(Movimentos!$F$4:$F$9996,Movimentos!$D$4:$D$9996,B4254,Movimentos!$C$4:$C$9996,"Entrada")-SUMIFS(Movimentos!$F$4:$F$9996,Movimentos!$D$4:$D$9996,B4254,Movimentos!$C$4:$C$9996,"Saída"),""),"")</f>
        <v/>
      </c>
      <c r="F4254" s="10" t="str">
        <f t="shared" si="136"/>
        <v/>
      </c>
    </row>
    <row r="4255" spans="1:6" x14ac:dyDescent="0.3">
      <c r="A4255" s="15" t="str">
        <f t="shared" si="135"/>
        <v>.</v>
      </c>
      <c r="E4255" s="13" t="str">
        <f>IFERROR(IF(AND(B4255&lt;&gt;"",C4255&lt;&gt;""),SUMIFS(Movimentos!$F$4:$F$9996,Movimentos!$D$4:$D$9996,B4255,Movimentos!$C$4:$C$9996,"Entrada")-SUMIFS(Movimentos!$F$4:$F$9996,Movimentos!$D$4:$D$9996,B4255,Movimentos!$C$4:$C$9996,"Saída"),""),"")</f>
        <v/>
      </c>
      <c r="F4255" s="10" t="str">
        <f t="shared" si="136"/>
        <v/>
      </c>
    </row>
    <row r="4256" spans="1:6" x14ac:dyDescent="0.3">
      <c r="A4256" s="15" t="str">
        <f t="shared" si="135"/>
        <v>.</v>
      </c>
      <c r="E4256" s="13" t="str">
        <f>IFERROR(IF(AND(B4256&lt;&gt;"",C4256&lt;&gt;""),SUMIFS(Movimentos!$F$4:$F$9996,Movimentos!$D$4:$D$9996,B4256,Movimentos!$C$4:$C$9996,"Entrada")-SUMIFS(Movimentos!$F$4:$F$9996,Movimentos!$D$4:$D$9996,B4256,Movimentos!$C$4:$C$9996,"Saída"),""),"")</f>
        <v/>
      </c>
      <c r="F4256" s="10" t="str">
        <f t="shared" si="136"/>
        <v/>
      </c>
    </row>
    <row r="4257" spans="1:6" x14ac:dyDescent="0.3">
      <c r="A4257" s="15" t="str">
        <f t="shared" si="135"/>
        <v>.</v>
      </c>
      <c r="E4257" s="13" t="str">
        <f>IFERROR(IF(AND(B4257&lt;&gt;"",C4257&lt;&gt;""),SUMIFS(Movimentos!$F$4:$F$9996,Movimentos!$D$4:$D$9996,B4257,Movimentos!$C$4:$C$9996,"Entrada")-SUMIFS(Movimentos!$F$4:$F$9996,Movimentos!$D$4:$D$9996,B4257,Movimentos!$C$4:$C$9996,"Saída"),""),"")</f>
        <v/>
      </c>
      <c r="F4257" s="10" t="str">
        <f t="shared" si="136"/>
        <v/>
      </c>
    </row>
    <row r="4258" spans="1:6" x14ac:dyDescent="0.3">
      <c r="A4258" s="15" t="str">
        <f t="shared" si="135"/>
        <v>.</v>
      </c>
      <c r="E4258" s="13" t="str">
        <f>IFERROR(IF(AND(B4258&lt;&gt;"",C4258&lt;&gt;""),SUMIFS(Movimentos!$F$4:$F$9996,Movimentos!$D$4:$D$9996,B4258,Movimentos!$C$4:$C$9996,"Entrada")-SUMIFS(Movimentos!$F$4:$F$9996,Movimentos!$D$4:$D$9996,B4258,Movimentos!$C$4:$C$9996,"Saída"),""),"")</f>
        <v/>
      </c>
      <c r="F4258" s="10" t="str">
        <f t="shared" si="136"/>
        <v/>
      </c>
    </row>
    <row r="4259" spans="1:6" x14ac:dyDescent="0.3">
      <c r="A4259" s="15" t="str">
        <f t="shared" si="135"/>
        <v>.</v>
      </c>
      <c r="E4259" s="13" t="str">
        <f>IFERROR(IF(AND(B4259&lt;&gt;"",C4259&lt;&gt;""),SUMIFS(Movimentos!$F$4:$F$9996,Movimentos!$D$4:$D$9996,B4259,Movimentos!$C$4:$C$9996,"Entrada")-SUMIFS(Movimentos!$F$4:$F$9996,Movimentos!$D$4:$D$9996,B4259,Movimentos!$C$4:$C$9996,"Saída"),""),"")</f>
        <v/>
      </c>
      <c r="F4259" s="10" t="str">
        <f t="shared" si="136"/>
        <v/>
      </c>
    </row>
    <row r="4260" spans="1:6" x14ac:dyDescent="0.3">
      <c r="A4260" s="15" t="str">
        <f t="shared" si="135"/>
        <v>.</v>
      </c>
      <c r="E4260" s="13" t="str">
        <f>IFERROR(IF(AND(B4260&lt;&gt;"",C4260&lt;&gt;""),SUMIFS(Movimentos!$F$4:$F$9996,Movimentos!$D$4:$D$9996,B4260,Movimentos!$C$4:$C$9996,"Entrada")-SUMIFS(Movimentos!$F$4:$F$9996,Movimentos!$D$4:$D$9996,B4260,Movimentos!$C$4:$C$9996,"Saída"),""),"")</f>
        <v/>
      </c>
      <c r="F4260" s="10" t="str">
        <f t="shared" si="136"/>
        <v/>
      </c>
    </row>
    <row r="4261" spans="1:6" x14ac:dyDescent="0.3">
      <c r="A4261" s="15" t="str">
        <f t="shared" si="135"/>
        <v>.</v>
      </c>
      <c r="E4261" s="13" t="str">
        <f>IFERROR(IF(AND(B4261&lt;&gt;"",C4261&lt;&gt;""),SUMIFS(Movimentos!$F$4:$F$9996,Movimentos!$D$4:$D$9996,B4261,Movimentos!$C$4:$C$9996,"Entrada")-SUMIFS(Movimentos!$F$4:$F$9996,Movimentos!$D$4:$D$9996,B4261,Movimentos!$C$4:$C$9996,"Saída"),""),"")</f>
        <v/>
      </c>
      <c r="F4261" s="10" t="str">
        <f t="shared" si="136"/>
        <v/>
      </c>
    </row>
    <row r="4262" spans="1:6" x14ac:dyDescent="0.3">
      <c r="A4262" s="15" t="str">
        <f t="shared" si="135"/>
        <v>.</v>
      </c>
      <c r="E4262" s="13" t="str">
        <f>IFERROR(IF(AND(B4262&lt;&gt;"",C4262&lt;&gt;""),SUMIFS(Movimentos!$F$4:$F$9996,Movimentos!$D$4:$D$9996,B4262,Movimentos!$C$4:$C$9996,"Entrada")-SUMIFS(Movimentos!$F$4:$F$9996,Movimentos!$D$4:$D$9996,B4262,Movimentos!$C$4:$C$9996,"Saída"),""),"")</f>
        <v/>
      </c>
      <c r="F4262" s="10" t="str">
        <f t="shared" si="136"/>
        <v/>
      </c>
    </row>
    <row r="4263" spans="1:6" x14ac:dyDescent="0.3">
      <c r="A4263" s="15" t="str">
        <f t="shared" si="135"/>
        <v>.</v>
      </c>
      <c r="E4263" s="13" t="str">
        <f>IFERROR(IF(AND(B4263&lt;&gt;"",C4263&lt;&gt;""),SUMIFS(Movimentos!$F$4:$F$9996,Movimentos!$D$4:$D$9996,B4263,Movimentos!$C$4:$C$9996,"Entrada")-SUMIFS(Movimentos!$F$4:$F$9996,Movimentos!$D$4:$D$9996,B4263,Movimentos!$C$4:$C$9996,"Saída"),""),"")</f>
        <v/>
      </c>
      <c r="F4263" s="10" t="str">
        <f t="shared" si="136"/>
        <v/>
      </c>
    </row>
    <row r="4264" spans="1:6" x14ac:dyDescent="0.3">
      <c r="A4264" s="15" t="str">
        <f t="shared" si="135"/>
        <v>.</v>
      </c>
      <c r="E4264" s="13" t="str">
        <f>IFERROR(IF(AND(B4264&lt;&gt;"",C4264&lt;&gt;""),SUMIFS(Movimentos!$F$4:$F$9996,Movimentos!$D$4:$D$9996,B4264,Movimentos!$C$4:$C$9996,"Entrada")-SUMIFS(Movimentos!$F$4:$F$9996,Movimentos!$D$4:$D$9996,B4264,Movimentos!$C$4:$C$9996,"Saída"),""),"")</f>
        <v/>
      </c>
      <c r="F4264" s="10" t="str">
        <f t="shared" si="136"/>
        <v/>
      </c>
    </row>
    <row r="4265" spans="1:6" x14ac:dyDescent="0.3">
      <c r="A4265" s="15" t="str">
        <f t="shared" si="135"/>
        <v>.</v>
      </c>
      <c r="E4265" s="13" t="str">
        <f>IFERROR(IF(AND(B4265&lt;&gt;"",C4265&lt;&gt;""),SUMIFS(Movimentos!$F$4:$F$9996,Movimentos!$D$4:$D$9996,B4265,Movimentos!$C$4:$C$9996,"Entrada")-SUMIFS(Movimentos!$F$4:$F$9996,Movimentos!$D$4:$D$9996,B4265,Movimentos!$C$4:$C$9996,"Saída"),""),"")</f>
        <v/>
      </c>
      <c r="F4265" s="10" t="str">
        <f t="shared" si="136"/>
        <v/>
      </c>
    </row>
    <row r="4266" spans="1:6" x14ac:dyDescent="0.3">
      <c r="A4266" s="15" t="str">
        <f t="shared" si="135"/>
        <v>.</v>
      </c>
      <c r="E4266" s="13" t="str">
        <f>IFERROR(IF(AND(B4266&lt;&gt;"",C4266&lt;&gt;""),SUMIFS(Movimentos!$F$4:$F$9996,Movimentos!$D$4:$D$9996,B4266,Movimentos!$C$4:$C$9996,"Entrada")-SUMIFS(Movimentos!$F$4:$F$9996,Movimentos!$D$4:$D$9996,B4266,Movimentos!$C$4:$C$9996,"Saída"),""),"")</f>
        <v/>
      </c>
      <c r="F4266" s="10" t="str">
        <f t="shared" si="136"/>
        <v/>
      </c>
    </row>
    <row r="4267" spans="1:6" x14ac:dyDescent="0.3">
      <c r="A4267" s="15" t="str">
        <f t="shared" si="135"/>
        <v>.</v>
      </c>
      <c r="E4267" s="13" t="str">
        <f>IFERROR(IF(AND(B4267&lt;&gt;"",C4267&lt;&gt;""),SUMIFS(Movimentos!$F$4:$F$9996,Movimentos!$D$4:$D$9996,B4267,Movimentos!$C$4:$C$9996,"Entrada")-SUMIFS(Movimentos!$F$4:$F$9996,Movimentos!$D$4:$D$9996,B4267,Movimentos!$C$4:$C$9996,"Saída"),""),"")</f>
        <v/>
      </c>
      <c r="F4267" s="10" t="str">
        <f t="shared" si="136"/>
        <v/>
      </c>
    </row>
    <row r="4268" spans="1:6" x14ac:dyDescent="0.3">
      <c r="A4268" s="15" t="str">
        <f t="shared" si="135"/>
        <v>.</v>
      </c>
      <c r="E4268" s="13" t="str">
        <f>IFERROR(IF(AND(B4268&lt;&gt;"",C4268&lt;&gt;""),SUMIFS(Movimentos!$F$4:$F$9996,Movimentos!$D$4:$D$9996,B4268,Movimentos!$C$4:$C$9996,"Entrada")-SUMIFS(Movimentos!$F$4:$F$9996,Movimentos!$D$4:$D$9996,B4268,Movimentos!$C$4:$C$9996,"Saída"),""),"")</f>
        <v/>
      </c>
      <c r="F4268" s="10" t="str">
        <f t="shared" si="136"/>
        <v/>
      </c>
    </row>
    <row r="4269" spans="1:6" x14ac:dyDescent="0.3">
      <c r="A4269" s="15" t="str">
        <f t="shared" si="135"/>
        <v>.</v>
      </c>
      <c r="E4269" s="13" t="str">
        <f>IFERROR(IF(AND(B4269&lt;&gt;"",C4269&lt;&gt;""),SUMIFS(Movimentos!$F$4:$F$9996,Movimentos!$D$4:$D$9996,B4269,Movimentos!$C$4:$C$9996,"Entrada")-SUMIFS(Movimentos!$F$4:$F$9996,Movimentos!$D$4:$D$9996,B4269,Movimentos!$C$4:$C$9996,"Saída"),""),"")</f>
        <v/>
      </c>
      <c r="F4269" s="10" t="str">
        <f t="shared" si="136"/>
        <v/>
      </c>
    </row>
    <row r="4270" spans="1:6" x14ac:dyDescent="0.3">
      <c r="A4270" s="15" t="str">
        <f t="shared" si="135"/>
        <v>.</v>
      </c>
      <c r="E4270" s="13" t="str">
        <f>IFERROR(IF(AND(B4270&lt;&gt;"",C4270&lt;&gt;""),SUMIFS(Movimentos!$F$4:$F$9996,Movimentos!$D$4:$D$9996,B4270,Movimentos!$C$4:$C$9996,"Entrada")-SUMIFS(Movimentos!$F$4:$F$9996,Movimentos!$D$4:$D$9996,B4270,Movimentos!$C$4:$C$9996,"Saída"),""),"")</f>
        <v/>
      </c>
      <c r="F4270" s="10" t="str">
        <f t="shared" si="136"/>
        <v/>
      </c>
    </row>
    <row r="4271" spans="1:6" x14ac:dyDescent="0.3">
      <c r="A4271" s="15" t="str">
        <f t="shared" si="135"/>
        <v>.</v>
      </c>
      <c r="E4271" s="13" t="str">
        <f>IFERROR(IF(AND(B4271&lt;&gt;"",C4271&lt;&gt;""),SUMIFS(Movimentos!$F$4:$F$9996,Movimentos!$D$4:$D$9996,B4271,Movimentos!$C$4:$C$9996,"Entrada")-SUMIFS(Movimentos!$F$4:$F$9996,Movimentos!$D$4:$D$9996,B4271,Movimentos!$C$4:$C$9996,"Saída"),""),"")</f>
        <v/>
      </c>
      <c r="F4271" s="10" t="str">
        <f t="shared" si="136"/>
        <v/>
      </c>
    </row>
    <row r="4272" spans="1:6" x14ac:dyDescent="0.3">
      <c r="A4272" s="15" t="str">
        <f t="shared" si="135"/>
        <v>.</v>
      </c>
      <c r="E4272" s="13" t="str">
        <f>IFERROR(IF(AND(B4272&lt;&gt;"",C4272&lt;&gt;""),SUMIFS(Movimentos!$F$4:$F$9996,Movimentos!$D$4:$D$9996,B4272,Movimentos!$C$4:$C$9996,"Entrada")-SUMIFS(Movimentos!$F$4:$F$9996,Movimentos!$D$4:$D$9996,B4272,Movimentos!$C$4:$C$9996,"Saída"),""),"")</f>
        <v/>
      </c>
      <c r="F4272" s="10" t="str">
        <f t="shared" si="136"/>
        <v/>
      </c>
    </row>
    <row r="4273" spans="1:6" x14ac:dyDescent="0.3">
      <c r="A4273" s="15" t="str">
        <f t="shared" si="135"/>
        <v>.</v>
      </c>
      <c r="E4273" s="13" t="str">
        <f>IFERROR(IF(AND(B4273&lt;&gt;"",C4273&lt;&gt;""),SUMIFS(Movimentos!$F$4:$F$9996,Movimentos!$D$4:$D$9996,B4273,Movimentos!$C$4:$C$9996,"Entrada")-SUMIFS(Movimentos!$F$4:$F$9996,Movimentos!$D$4:$D$9996,B4273,Movimentos!$C$4:$C$9996,"Saída"),""),"")</f>
        <v/>
      </c>
      <c r="F4273" s="10" t="str">
        <f t="shared" si="136"/>
        <v/>
      </c>
    </row>
    <row r="4274" spans="1:6" x14ac:dyDescent="0.3">
      <c r="A4274" s="15" t="str">
        <f t="shared" si="135"/>
        <v>.</v>
      </c>
      <c r="E4274" s="13" t="str">
        <f>IFERROR(IF(AND(B4274&lt;&gt;"",C4274&lt;&gt;""),SUMIFS(Movimentos!$F$4:$F$9996,Movimentos!$D$4:$D$9996,B4274,Movimentos!$C$4:$C$9996,"Entrada")-SUMIFS(Movimentos!$F$4:$F$9996,Movimentos!$D$4:$D$9996,B4274,Movimentos!$C$4:$C$9996,"Saída"),""),"")</f>
        <v/>
      </c>
      <c r="F4274" s="10" t="str">
        <f t="shared" si="136"/>
        <v/>
      </c>
    </row>
    <row r="4275" spans="1:6" x14ac:dyDescent="0.3">
      <c r="A4275" s="15" t="str">
        <f t="shared" si="135"/>
        <v>.</v>
      </c>
      <c r="E4275" s="13" t="str">
        <f>IFERROR(IF(AND(B4275&lt;&gt;"",C4275&lt;&gt;""),SUMIFS(Movimentos!$F$4:$F$9996,Movimentos!$D$4:$D$9996,B4275,Movimentos!$C$4:$C$9996,"Entrada")-SUMIFS(Movimentos!$F$4:$F$9996,Movimentos!$D$4:$D$9996,B4275,Movimentos!$C$4:$C$9996,"Saída"),""),"")</f>
        <v/>
      </c>
      <c r="F4275" s="10" t="str">
        <f t="shared" si="136"/>
        <v/>
      </c>
    </row>
    <row r="4276" spans="1:6" x14ac:dyDescent="0.3">
      <c r="A4276" s="15" t="str">
        <f t="shared" si="135"/>
        <v>.</v>
      </c>
      <c r="E4276" s="13" t="str">
        <f>IFERROR(IF(AND(B4276&lt;&gt;"",C4276&lt;&gt;""),SUMIFS(Movimentos!$F$4:$F$9996,Movimentos!$D$4:$D$9996,B4276,Movimentos!$C$4:$C$9996,"Entrada")-SUMIFS(Movimentos!$F$4:$F$9996,Movimentos!$D$4:$D$9996,B4276,Movimentos!$C$4:$C$9996,"Saída"),""),"")</f>
        <v/>
      </c>
      <c r="F4276" s="10" t="str">
        <f t="shared" si="136"/>
        <v/>
      </c>
    </row>
    <row r="4277" spans="1:6" x14ac:dyDescent="0.3">
      <c r="A4277" s="15" t="str">
        <f t="shared" si="135"/>
        <v>.</v>
      </c>
      <c r="E4277" s="13" t="str">
        <f>IFERROR(IF(AND(B4277&lt;&gt;"",C4277&lt;&gt;""),SUMIFS(Movimentos!$F$4:$F$9996,Movimentos!$D$4:$D$9996,B4277,Movimentos!$C$4:$C$9996,"Entrada")-SUMIFS(Movimentos!$F$4:$F$9996,Movimentos!$D$4:$D$9996,B4277,Movimentos!$C$4:$C$9996,"Saída"),""),"")</f>
        <v/>
      </c>
      <c r="F4277" s="10" t="str">
        <f t="shared" si="136"/>
        <v/>
      </c>
    </row>
    <row r="4278" spans="1:6" x14ac:dyDescent="0.3">
      <c r="A4278" s="15" t="str">
        <f t="shared" si="135"/>
        <v>.</v>
      </c>
      <c r="E4278" s="13" t="str">
        <f>IFERROR(IF(AND(B4278&lt;&gt;"",C4278&lt;&gt;""),SUMIFS(Movimentos!$F$4:$F$9996,Movimentos!$D$4:$D$9996,B4278,Movimentos!$C$4:$C$9996,"Entrada")-SUMIFS(Movimentos!$F$4:$F$9996,Movimentos!$D$4:$D$9996,B4278,Movimentos!$C$4:$C$9996,"Saída"),""),"")</f>
        <v/>
      </c>
      <c r="F4278" s="10" t="str">
        <f t="shared" si="136"/>
        <v/>
      </c>
    </row>
    <row r="4279" spans="1:6" x14ac:dyDescent="0.3">
      <c r="A4279" s="15" t="str">
        <f t="shared" si="135"/>
        <v>.</v>
      </c>
      <c r="E4279" s="13" t="str">
        <f>IFERROR(IF(AND(B4279&lt;&gt;"",C4279&lt;&gt;""),SUMIFS(Movimentos!$F$4:$F$9996,Movimentos!$D$4:$D$9996,B4279,Movimentos!$C$4:$C$9996,"Entrada")-SUMIFS(Movimentos!$F$4:$F$9996,Movimentos!$D$4:$D$9996,B4279,Movimentos!$C$4:$C$9996,"Saída"),""),"")</f>
        <v/>
      </c>
      <c r="F4279" s="10" t="str">
        <f t="shared" si="136"/>
        <v/>
      </c>
    </row>
    <row r="4280" spans="1:6" x14ac:dyDescent="0.3">
      <c r="A4280" s="15" t="str">
        <f t="shared" si="135"/>
        <v>.</v>
      </c>
      <c r="E4280" s="13" t="str">
        <f>IFERROR(IF(AND(B4280&lt;&gt;"",C4280&lt;&gt;""),SUMIFS(Movimentos!$F$4:$F$9996,Movimentos!$D$4:$D$9996,B4280,Movimentos!$C$4:$C$9996,"Entrada")-SUMIFS(Movimentos!$F$4:$F$9996,Movimentos!$D$4:$D$9996,B4280,Movimentos!$C$4:$C$9996,"Saída"),""),"")</f>
        <v/>
      </c>
      <c r="F4280" s="10" t="str">
        <f t="shared" si="136"/>
        <v/>
      </c>
    </row>
    <row r="4281" spans="1:6" x14ac:dyDescent="0.3">
      <c r="A4281" s="15" t="str">
        <f t="shared" si="135"/>
        <v>.</v>
      </c>
      <c r="E4281" s="13" t="str">
        <f>IFERROR(IF(AND(B4281&lt;&gt;"",C4281&lt;&gt;""),SUMIFS(Movimentos!$F$4:$F$9996,Movimentos!$D$4:$D$9996,B4281,Movimentos!$C$4:$C$9996,"Entrada")-SUMIFS(Movimentos!$F$4:$F$9996,Movimentos!$D$4:$D$9996,B4281,Movimentos!$C$4:$C$9996,"Saída"),""),"")</f>
        <v/>
      </c>
      <c r="F4281" s="10" t="str">
        <f t="shared" si="136"/>
        <v/>
      </c>
    </row>
    <row r="4282" spans="1:6" x14ac:dyDescent="0.3">
      <c r="A4282" s="15" t="str">
        <f t="shared" si="135"/>
        <v>.</v>
      </c>
      <c r="E4282" s="13" t="str">
        <f>IFERROR(IF(AND(B4282&lt;&gt;"",C4282&lt;&gt;""),SUMIFS(Movimentos!$F$4:$F$9996,Movimentos!$D$4:$D$9996,B4282,Movimentos!$C$4:$C$9996,"Entrada")-SUMIFS(Movimentos!$F$4:$F$9996,Movimentos!$D$4:$D$9996,B4282,Movimentos!$C$4:$C$9996,"Saída"),""),"")</f>
        <v/>
      </c>
      <c r="F4282" s="10" t="str">
        <f t="shared" si="136"/>
        <v/>
      </c>
    </row>
    <row r="4283" spans="1:6" x14ac:dyDescent="0.3">
      <c r="A4283" s="15" t="str">
        <f t="shared" si="135"/>
        <v>.</v>
      </c>
      <c r="E4283" s="13" t="str">
        <f>IFERROR(IF(AND(B4283&lt;&gt;"",C4283&lt;&gt;""),SUMIFS(Movimentos!$F$4:$F$9996,Movimentos!$D$4:$D$9996,B4283,Movimentos!$C$4:$C$9996,"Entrada")-SUMIFS(Movimentos!$F$4:$F$9996,Movimentos!$D$4:$D$9996,B4283,Movimentos!$C$4:$C$9996,"Saída"),""),"")</f>
        <v/>
      </c>
      <c r="F4283" s="10" t="str">
        <f t="shared" si="136"/>
        <v/>
      </c>
    </row>
    <row r="4284" spans="1:6" x14ac:dyDescent="0.3">
      <c r="A4284" s="15" t="str">
        <f t="shared" si="135"/>
        <v>.</v>
      </c>
      <c r="E4284" s="13" t="str">
        <f>IFERROR(IF(AND(B4284&lt;&gt;"",C4284&lt;&gt;""),SUMIFS(Movimentos!$F$4:$F$9996,Movimentos!$D$4:$D$9996,B4284,Movimentos!$C$4:$C$9996,"Entrada")-SUMIFS(Movimentos!$F$4:$F$9996,Movimentos!$D$4:$D$9996,B4284,Movimentos!$C$4:$C$9996,"Saída"),""),"")</f>
        <v/>
      </c>
      <c r="F4284" s="10" t="str">
        <f t="shared" si="136"/>
        <v/>
      </c>
    </row>
    <row r="4285" spans="1:6" x14ac:dyDescent="0.3">
      <c r="A4285" s="15" t="str">
        <f t="shared" si="135"/>
        <v>.</v>
      </c>
      <c r="E4285" s="13" t="str">
        <f>IFERROR(IF(AND(B4285&lt;&gt;"",C4285&lt;&gt;""),SUMIFS(Movimentos!$F$4:$F$9996,Movimentos!$D$4:$D$9996,B4285,Movimentos!$C$4:$C$9996,"Entrada")-SUMIFS(Movimentos!$F$4:$F$9996,Movimentos!$D$4:$D$9996,B4285,Movimentos!$C$4:$C$9996,"Saída"),""),"")</f>
        <v/>
      </c>
      <c r="F4285" s="10" t="str">
        <f t="shared" si="136"/>
        <v/>
      </c>
    </row>
    <row r="4286" spans="1:6" x14ac:dyDescent="0.3">
      <c r="A4286" s="15" t="str">
        <f t="shared" si="135"/>
        <v>.</v>
      </c>
      <c r="E4286" s="13" t="str">
        <f>IFERROR(IF(AND(B4286&lt;&gt;"",C4286&lt;&gt;""),SUMIFS(Movimentos!$F$4:$F$9996,Movimentos!$D$4:$D$9996,B4286,Movimentos!$C$4:$C$9996,"Entrada")-SUMIFS(Movimentos!$F$4:$F$9996,Movimentos!$D$4:$D$9996,B4286,Movimentos!$C$4:$C$9996,"Saída"),""),"")</f>
        <v/>
      </c>
      <c r="F4286" s="10" t="str">
        <f t="shared" si="136"/>
        <v/>
      </c>
    </row>
    <row r="4287" spans="1:6" x14ac:dyDescent="0.3">
      <c r="A4287" s="15" t="str">
        <f t="shared" si="135"/>
        <v>.</v>
      </c>
      <c r="E4287" s="13" t="str">
        <f>IFERROR(IF(AND(B4287&lt;&gt;"",C4287&lt;&gt;""),SUMIFS(Movimentos!$F$4:$F$9996,Movimentos!$D$4:$D$9996,B4287,Movimentos!$C$4:$C$9996,"Entrada")-SUMIFS(Movimentos!$F$4:$F$9996,Movimentos!$D$4:$D$9996,B4287,Movimentos!$C$4:$C$9996,"Saída"),""),"")</f>
        <v/>
      </c>
      <c r="F4287" s="10" t="str">
        <f t="shared" si="136"/>
        <v/>
      </c>
    </row>
    <row r="4288" spans="1:6" x14ac:dyDescent="0.3">
      <c r="A4288" s="15" t="str">
        <f t="shared" ref="A4288:A4351" si="137">IF(F4288="Saldo zerado",0,IF(F4288="Saldo abaixo do mínimo",1,IF(F4288="Saldo disponível",2,".")))</f>
        <v>.</v>
      </c>
      <c r="E4288" s="13" t="str">
        <f>IFERROR(IF(AND(B4288&lt;&gt;"",C4288&lt;&gt;""),SUMIFS(Movimentos!$F$4:$F$9996,Movimentos!$D$4:$D$9996,B4288,Movimentos!$C$4:$C$9996,"Entrada")-SUMIFS(Movimentos!$F$4:$F$9996,Movimentos!$D$4:$D$9996,B4288,Movimentos!$C$4:$C$9996,"Saída"),""),"")</f>
        <v/>
      </c>
      <c r="F4288" s="10" t="str">
        <f t="shared" si="136"/>
        <v/>
      </c>
    </row>
    <row r="4289" spans="1:6" x14ac:dyDescent="0.3">
      <c r="A4289" s="15" t="str">
        <f t="shared" si="137"/>
        <v>.</v>
      </c>
      <c r="E4289" s="13" t="str">
        <f>IFERROR(IF(AND(B4289&lt;&gt;"",C4289&lt;&gt;""),SUMIFS(Movimentos!$F$4:$F$9996,Movimentos!$D$4:$D$9996,B4289,Movimentos!$C$4:$C$9996,"Entrada")-SUMIFS(Movimentos!$F$4:$F$9996,Movimentos!$D$4:$D$9996,B4289,Movimentos!$C$4:$C$9996,"Saída"),""),"")</f>
        <v/>
      </c>
      <c r="F4289" s="10" t="str">
        <f t="shared" si="136"/>
        <v/>
      </c>
    </row>
    <row r="4290" spans="1:6" x14ac:dyDescent="0.3">
      <c r="A4290" s="15" t="str">
        <f t="shared" si="137"/>
        <v>.</v>
      </c>
      <c r="E4290" s="13" t="str">
        <f>IFERROR(IF(AND(B4290&lt;&gt;"",C4290&lt;&gt;""),SUMIFS(Movimentos!$F$4:$F$9996,Movimentos!$D$4:$D$9996,B4290,Movimentos!$C$4:$C$9996,"Entrada")-SUMIFS(Movimentos!$F$4:$F$9996,Movimentos!$D$4:$D$9996,B4290,Movimentos!$C$4:$C$9996,"Saída"),""),"")</f>
        <v/>
      </c>
      <c r="F4290" s="10" t="str">
        <f t="shared" si="136"/>
        <v/>
      </c>
    </row>
    <row r="4291" spans="1:6" x14ac:dyDescent="0.3">
      <c r="A4291" s="15" t="str">
        <f t="shared" si="137"/>
        <v>.</v>
      </c>
      <c r="E4291" s="13" t="str">
        <f>IFERROR(IF(AND(B4291&lt;&gt;"",C4291&lt;&gt;""),SUMIFS(Movimentos!$F$4:$F$9996,Movimentos!$D$4:$D$9996,B4291,Movimentos!$C$4:$C$9996,"Entrada")-SUMIFS(Movimentos!$F$4:$F$9996,Movimentos!$D$4:$D$9996,B4291,Movimentos!$C$4:$C$9996,"Saída"),""),"")</f>
        <v/>
      </c>
      <c r="F4291" s="10" t="str">
        <f t="shared" si="136"/>
        <v/>
      </c>
    </row>
    <row r="4292" spans="1:6" x14ac:dyDescent="0.3">
      <c r="A4292" s="15" t="str">
        <f t="shared" si="137"/>
        <v>.</v>
      </c>
      <c r="E4292" s="13" t="str">
        <f>IFERROR(IF(AND(B4292&lt;&gt;"",C4292&lt;&gt;""),SUMIFS(Movimentos!$F$4:$F$9996,Movimentos!$D$4:$D$9996,B4292,Movimentos!$C$4:$C$9996,"Entrada")-SUMIFS(Movimentos!$F$4:$F$9996,Movimentos!$D$4:$D$9996,B4292,Movimentos!$C$4:$C$9996,"Saída"),""),"")</f>
        <v/>
      </c>
      <c r="F4292" s="10" t="str">
        <f t="shared" si="136"/>
        <v/>
      </c>
    </row>
    <row r="4293" spans="1:6" x14ac:dyDescent="0.3">
      <c r="A4293" s="15" t="str">
        <f t="shared" si="137"/>
        <v>.</v>
      </c>
      <c r="E4293" s="13" t="str">
        <f>IFERROR(IF(AND(B4293&lt;&gt;"",C4293&lt;&gt;""),SUMIFS(Movimentos!$F$4:$F$9996,Movimentos!$D$4:$D$9996,B4293,Movimentos!$C$4:$C$9996,"Entrada")-SUMIFS(Movimentos!$F$4:$F$9996,Movimentos!$D$4:$D$9996,B4293,Movimentos!$C$4:$C$9996,"Saída"),""),"")</f>
        <v/>
      </c>
      <c r="F4293" s="10" t="str">
        <f t="shared" si="136"/>
        <v/>
      </c>
    </row>
    <row r="4294" spans="1:6" x14ac:dyDescent="0.3">
      <c r="A4294" s="15" t="str">
        <f t="shared" si="137"/>
        <v>.</v>
      </c>
      <c r="E4294" s="13" t="str">
        <f>IFERROR(IF(AND(B4294&lt;&gt;"",C4294&lt;&gt;""),SUMIFS(Movimentos!$F$4:$F$9996,Movimentos!$D$4:$D$9996,B4294,Movimentos!$C$4:$C$9996,"Entrada")-SUMIFS(Movimentos!$F$4:$F$9996,Movimentos!$D$4:$D$9996,B4294,Movimentos!$C$4:$C$9996,"Saída"),""),"")</f>
        <v/>
      </c>
      <c r="F4294" s="10" t="str">
        <f t="shared" si="136"/>
        <v/>
      </c>
    </row>
    <row r="4295" spans="1:6" x14ac:dyDescent="0.3">
      <c r="A4295" s="15" t="str">
        <f t="shared" si="137"/>
        <v>.</v>
      </c>
      <c r="E4295" s="13" t="str">
        <f>IFERROR(IF(AND(B4295&lt;&gt;"",C4295&lt;&gt;""),SUMIFS(Movimentos!$F$4:$F$9996,Movimentos!$D$4:$D$9996,B4295,Movimentos!$C$4:$C$9996,"Entrada")-SUMIFS(Movimentos!$F$4:$F$9996,Movimentos!$D$4:$D$9996,B4295,Movimentos!$C$4:$C$9996,"Saída"),""),"")</f>
        <v/>
      </c>
      <c r="F4295" s="10" t="str">
        <f t="shared" si="136"/>
        <v/>
      </c>
    </row>
    <row r="4296" spans="1:6" x14ac:dyDescent="0.3">
      <c r="A4296" s="15" t="str">
        <f t="shared" si="137"/>
        <v>.</v>
      </c>
      <c r="E4296" s="13" t="str">
        <f>IFERROR(IF(AND(B4296&lt;&gt;"",C4296&lt;&gt;""),SUMIFS(Movimentos!$F$4:$F$9996,Movimentos!$D$4:$D$9996,B4296,Movimentos!$C$4:$C$9996,"Entrada")-SUMIFS(Movimentos!$F$4:$F$9996,Movimentos!$D$4:$D$9996,B4296,Movimentos!$C$4:$C$9996,"Saída"),""),"")</f>
        <v/>
      </c>
      <c r="F4296" s="10" t="str">
        <f t="shared" si="136"/>
        <v/>
      </c>
    </row>
    <row r="4297" spans="1:6" x14ac:dyDescent="0.3">
      <c r="A4297" s="15" t="str">
        <f t="shared" si="137"/>
        <v>.</v>
      </c>
      <c r="E4297" s="13" t="str">
        <f>IFERROR(IF(AND(B4297&lt;&gt;"",C4297&lt;&gt;""),SUMIFS(Movimentos!$F$4:$F$9996,Movimentos!$D$4:$D$9996,B4297,Movimentos!$C$4:$C$9996,"Entrada")-SUMIFS(Movimentos!$F$4:$F$9996,Movimentos!$D$4:$D$9996,B4297,Movimentos!$C$4:$C$9996,"Saída"),""),"")</f>
        <v/>
      </c>
      <c r="F4297" s="10" t="str">
        <f t="shared" si="136"/>
        <v/>
      </c>
    </row>
    <row r="4298" spans="1:6" x14ac:dyDescent="0.3">
      <c r="A4298" s="15" t="str">
        <f t="shared" si="137"/>
        <v>.</v>
      </c>
      <c r="E4298" s="13" t="str">
        <f>IFERROR(IF(AND(B4298&lt;&gt;"",C4298&lt;&gt;""),SUMIFS(Movimentos!$F$4:$F$9996,Movimentos!$D$4:$D$9996,B4298,Movimentos!$C$4:$C$9996,"Entrada")-SUMIFS(Movimentos!$F$4:$F$9996,Movimentos!$D$4:$D$9996,B4298,Movimentos!$C$4:$C$9996,"Saída"),""),"")</f>
        <v/>
      </c>
      <c r="F4298" s="10" t="str">
        <f t="shared" si="136"/>
        <v/>
      </c>
    </row>
    <row r="4299" spans="1:6" x14ac:dyDescent="0.3">
      <c r="A4299" s="15" t="str">
        <f t="shared" si="137"/>
        <v>.</v>
      </c>
      <c r="E4299" s="13" t="str">
        <f>IFERROR(IF(AND(B4299&lt;&gt;"",C4299&lt;&gt;""),SUMIFS(Movimentos!$F$4:$F$9996,Movimentos!$D$4:$D$9996,B4299,Movimentos!$C$4:$C$9996,"Entrada")-SUMIFS(Movimentos!$F$4:$F$9996,Movimentos!$D$4:$D$9996,B4299,Movimentos!$C$4:$C$9996,"Saída"),""),"")</f>
        <v/>
      </c>
      <c r="F4299" s="10" t="str">
        <f t="shared" si="136"/>
        <v/>
      </c>
    </row>
    <row r="4300" spans="1:6" x14ac:dyDescent="0.3">
      <c r="A4300" s="15" t="str">
        <f t="shared" si="137"/>
        <v>.</v>
      </c>
      <c r="E4300" s="13" t="str">
        <f>IFERROR(IF(AND(B4300&lt;&gt;"",C4300&lt;&gt;""),SUMIFS(Movimentos!$F$4:$F$9996,Movimentos!$D$4:$D$9996,B4300,Movimentos!$C$4:$C$9996,"Entrada")-SUMIFS(Movimentos!$F$4:$F$9996,Movimentos!$D$4:$D$9996,B4300,Movimentos!$C$4:$C$9996,"Saída"),""),"")</f>
        <v/>
      </c>
      <c r="F4300" s="10" t="str">
        <f t="shared" si="136"/>
        <v/>
      </c>
    </row>
    <row r="4301" spans="1:6" x14ac:dyDescent="0.3">
      <c r="A4301" s="15" t="str">
        <f t="shared" si="137"/>
        <v>.</v>
      </c>
      <c r="E4301" s="13" t="str">
        <f>IFERROR(IF(AND(B4301&lt;&gt;"",C4301&lt;&gt;""),SUMIFS(Movimentos!$F$4:$F$9996,Movimentos!$D$4:$D$9996,B4301,Movimentos!$C$4:$C$9996,"Entrada")-SUMIFS(Movimentos!$F$4:$F$9996,Movimentos!$D$4:$D$9996,B4301,Movimentos!$C$4:$C$9996,"Saída"),""),"")</f>
        <v/>
      </c>
      <c r="F4301" s="10" t="str">
        <f t="shared" si="136"/>
        <v/>
      </c>
    </row>
    <row r="4302" spans="1:6" x14ac:dyDescent="0.3">
      <c r="A4302" s="15" t="str">
        <f t="shared" si="137"/>
        <v>.</v>
      </c>
      <c r="E4302" s="13" t="str">
        <f>IFERROR(IF(AND(B4302&lt;&gt;"",C4302&lt;&gt;""),SUMIFS(Movimentos!$F$4:$F$9996,Movimentos!$D$4:$D$9996,B4302,Movimentos!$C$4:$C$9996,"Entrada")-SUMIFS(Movimentos!$F$4:$F$9996,Movimentos!$D$4:$D$9996,B4302,Movimentos!$C$4:$C$9996,"Saída"),""),"")</f>
        <v/>
      </c>
      <c r="F4302" s="10" t="str">
        <f t="shared" si="136"/>
        <v/>
      </c>
    </row>
    <row r="4303" spans="1:6" x14ac:dyDescent="0.3">
      <c r="A4303" s="15" t="str">
        <f t="shared" si="137"/>
        <v>.</v>
      </c>
      <c r="E4303" s="13" t="str">
        <f>IFERROR(IF(AND(B4303&lt;&gt;"",C4303&lt;&gt;""),SUMIFS(Movimentos!$F$4:$F$9996,Movimentos!$D$4:$D$9996,B4303,Movimentos!$C$4:$C$9996,"Entrada")-SUMIFS(Movimentos!$F$4:$F$9996,Movimentos!$D$4:$D$9996,B4303,Movimentos!$C$4:$C$9996,"Saída"),""),"")</f>
        <v/>
      </c>
      <c r="F4303" s="10" t="str">
        <f t="shared" si="136"/>
        <v/>
      </c>
    </row>
    <row r="4304" spans="1:6" x14ac:dyDescent="0.3">
      <c r="A4304" s="15" t="str">
        <f t="shared" si="137"/>
        <v>.</v>
      </c>
      <c r="E4304" s="13" t="str">
        <f>IFERROR(IF(AND(B4304&lt;&gt;"",C4304&lt;&gt;""),SUMIFS(Movimentos!$F$4:$F$9996,Movimentos!$D$4:$D$9996,B4304,Movimentos!$C$4:$C$9996,"Entrada")-SUMIFS(Movimentos!$F$4:$F$9996,Movimentos!$D$4:$D$9996,B4304,Movimentos!$C$4:$C$9996,"Saída"),""),"")</f>
        <v/>
      </c>
      <c r="F4304" s="10" t="str">
        <f t="shared" si="136"/>
        <v/>
      </c>
    </row>
    <row r="4305" spans="1:6" x14ac:dyDescent="0.3">
      <c r="A4305" s="15" t="str">
        <f t="shared" si="137"/>
        <v>.</v>
      </c>
      <c r="E4305" s="13" t="str">
        <f>IFERROR(IF(AND(B4305&lt;&gt;"",C4305&lt;&gt;""),SUMIFS(Movimentos!$F$4:$F$9996,Movimentos!$D$4:$D$9996,B4305,Movimentos!$C$4:$C$9996,"Entrada")-SUMIFS(Movimentos!$F$4:$F$9996,Movimentos!$D$4:$D$9996,B4305,Movimentos!$C$4:$C$9996,"Saída"),""),"")</f>
        <v/>
      </c>
      <c r="F4305" s="10" t="str">
        <f t="shared" si="136"/>
        <v/>
      </c>
    </row>
    <row r="4306" spans="1:6" x14ac:dyDescent="0.3">
      <c r="A4306" s="15" t="str">
        <f t="shared" si="137"/>
        <v>.</v>
      </c>
      <c r="E4306" s="13" t="str">
        <f>IFERROR(IF(AND(B4306&lt;&gt;"",C4306&lt;&gt;""),SUMIFS(Movimentos!$F$4:$F$9996,Movimentos!$D$4:$D$9996,B4306,Movimentos!$C$4:$C$9996,"Entrada")-SUMIFS(Movimentos!$F$4:$F$9996,Movimentos!$D$4:$D$9996,B4306,Movimentos!$C$4:$C$9996,"Saída"),""),"")</f>
        <v/>
      </c>
      <c r="F4306" s="10" t="str">
        <f t="shared" si="136"/>
        <v/>
      </c>
    </row>
    <row r="4307" spans="1:6" x14ac:dyDescent="0.3">
      <c r="A4307" s="15" t="str">
        <f t="shared" si="137"/>
        <v>.</v>
      </c>
      <c r="E4307" s="13" t="str">
        <f>IFERROR(IF(AND(B4307&lt;&gt;"",C4307&lt;&gt;""),SUMIFS(Movimentos!$F$4:$F$9996,Movimentos!$D$4:$D$9996,B4307,Movimentos!$C$4:$C$9996,"Entrada")-SUMIFS(Movimentos!$F$4:$F$9996,Movimentos!$D$4:$D$9996,B4307,Movimentos!$C$4:$C$9996,"Saída"),""),"")</f>
        <v/>
      </c>
      <c r="F4307" s="10" t="str">
        <f t="shared" si="136"/>
        <v/>
      </c>
    </row>
    <row r="4308" spans="1:6" x14ac:dyDescent="0.3">
      <c r="A4308" s="15" t="str">
        <f t="shared" si="137"/>
        <v>.</v>
      </c>
      <c r="E4308" s="13" t="str">
        <f>IFERROR(IF(AND(B4308&lt;&gt;"",C4308&lt;&gt;""),SUMIFS(Movimentos!$F$4:$F$9996,Movimentos!$D$4:$D$9996,B4308,Movimentos!$C$4:$C$9996,"Entrada")-SUMIFS(Movimentos!$F$4:$F$9996,Movimentos!$D$4:$D$9996,B4308,Movimentos!$C$4:$C$9996,"Saída"),""),"")</f>
        <v/>
      </c>
      <c r="F4308" s="10" t="str">
        <f t="shared" si="136"/>
        <v/>
      </c>
    </row>
    <row r="4309" spans="1:6" x14ac:dyDescent="0.3">
      <c r="A4309" s="15" t="str">
        <f t="shared" si="137"/>
        <v>.</v>
      </c>
      <c r="E4309" s="13" t="str">
        <f>IFERROR(IF(AND(B4309&lt;&gt;"",C4309&lt;&gt;""),SUMIFS(Movimentos!$F$4:$F$9996,Movimentos!$D$4:$D$9996,B4309,Movimentos!$C$4:$C$9996,"Entrada")-SUMIFS(Movimentos!$F$4:$F$9996,Movimentos!$D$4:$D$9996,B4309,Movimentos!$C$4:$C$9996,"Saída"),""),"")</f>
        <v/>
      </c>
      <c r="F4309" s="10" t="str">
        <f t="shared" si="136"/>
        <v/>
      </c>
    </row>
    <row r="4310" spans="1:6" x14ac:dyDescent="0.3">
      <c r="A4310" s="15" t="str">
        <f t="shared" si="137"/>
        <v>.</v>
      </c>
      <c r="E4310" s="13" t="str">
        <f>IFERROR(IF(AND(B4310&lt;&gt;"",C4310&lt;&gt;""),SUMIFS(Movimentos!$F$4:$F$9996,Movimentos!$D$4:$D$9996,B4310,Movimentos!$C$4:$C$9996,"Entrada")-SUMIFS(Movimentos!$F$4:$F$9996,Movimentos!$D$4:$D$9996,B4310,Movimentos!$C$4:$C$9996,"Saída"),""),"")</f>
        <v/>
      </c>
      <c r="F4310" s="10" t="str">
        <f t="shared" si="136"/>
        <v/>
      </c>
    </row>
    <row r="4311" spans="1:6" x14ac:dyDescent="0.3">
      <c r="A4311" s="15" t="str">
        <f t="shared" si="137"/>
        <v>.</v>
      </c>
      <c r="E4311" s="13" t="str">
        <f>IFERROR(IF(AND(B4311&lt;&gt;"",C4311&lt;&gt;""),SUMIFS(Movimentos!$F$4:$F$9996,Movimentos!$D$4:$D$9996,B4311,Movimentos!$C$4:$C$9996,"Entrada")-SUMIFS(Movimentos!$F$4:$F$9996,Movimentos!$D$4:$D$9996,B4311,Movimentos!$C$4:$C$9996,"Saída"),""),"")</f>
        <v/>
      </c>
      <c r="F4311" s="10" t="str">
        <f t="shared" ref="F4311:F4374" si="138">IF(AND(B4311&lt;&gt;"",C4311&lt;&gt;""),IF(E4311=0,"Saldo zerado",IF(E4311&lt;D4311,"Saldo abaixo do mínimo","Saldo disponível")),"")</f>
        <v/>
      </c>
    </row>
    <row r="4312" spans="1:6" x14ac:dyDescent="0.3">
      <c r="A4312" s="15" t="str">
        <f t="shared" si="137"/>
        <v>.</v>
      </c>
      <c r="E4312" s="13" t="str">
        <f>IFERROR(IF(AND(B4312&lt;&gt;"",C4312&lt;&gt;""),SUMIFS(Movimentos!$F$4:$F$9996,Movimentos!$D$4:$D$9996,B4312,Movimentos!$C$4:$C$9996,"Entrada")-SUMIFS(Movimentos!$F$4:$F$9996,Movimentos!$D$4:$D$9996,B4312,Movimentos!$C$4:$C$9996,"Saída"),""),"")</f>
        <v/>
      </c>
      <c r="F4312" s="10" t="str">
        <f t="shared" si="138"/>
        <v/>
      </c>
    </row>
    <row r="4313" spans="1:6" x14ac:dyDescent="0.3">
      <c r="A4313" s="15" t="str">
        <f t="shared" si="137"/>
        <v>.</v>
      </c>
      <c r="E4313" s="13" t="str">
        <f>IFERROR(IF(AND(B4313&lt;&gt;"",C4313&lt;&gt;""),SUMIFS(Movimentos!$F$4:$F$9996,Movimentos!$D$4:$D$9996,B4313,Movimentos!$C$4:$C$9996,"Entrada")-SUMIFS(Movimentos!$F$4:$F$9996,Movimentos!$D$4:$D$9996,B4313,Movimentos!$C$4:$C$9996,"Saída"),""),"")</f>
        <v/>
      </c>
      <c r="F4313" s="10" t="str">
        <f t="shared" si="138"/>
        <v/>
      </c>
    </row>
    <row r="4314" spans="1:6" x14ac:dyDescent="0.3">
      <c r="A4314" s="15" t="str">
        <f t="shared" si="137"/>
        <v>.</v>
      </c>
      <c r="E4314" s="13" t="str">
        <f>IFERROR(IF(AND(B4314&lt;&gt;"",C4314&lt;&gt;""),SUMIFS(Movimentos!$F$4:$F$9996,Movimentos!$D$4:$D$9996,B4314,Movimentos!$C$4:$C$9996,"Entrada")-SUMIFS(Movimentos!$F$4:$F$9996,Movimentos!$D$4:$D$9996,B4314,Movimentos!$C$4:$C$9996,"Saída"),""),"")</f>
        <v/>
      </c>
      <c r="F4314" s="10" t="str">
        <f t="shared" si="138"/>
        <v/>
      </c>
    </row>
    <row r="4315" spans="1:6" x14ac:dyDescent="0.3">
      <c r="A4315" s="15" t="str">
        <f t="shared" si="137"/>
        <v>.</v>
      </c>
      <c r="E4315" s="13" t="str">
        <f>IFERROR(IF(AND(B4315&lt;&gt;"",C4315&lt;&gt;""),SUMIFS(Movimentos!$F$4:$F$9996,Movimentos!$D$4:$D$9996,B4315,Movimentos!$C$4:$C$9996,"Entrada")-SUMIFS(Movimentos!$F$4:$F$9996,Movimentos!$D$4:$D$9996,B4315,Movimentos!$C$4:$C$9996,"Saída"),""),"")</f>
        <v/>
      </c>
      <c r="F4315" s="10" t="str">
        <f t="shared" si="138"/>
        <v/>
      </c>
    </row>
    <row r="4316" spans="1:6" x14ac:dyDescent="0.3">
      <c r="A4316" s="15" t="str">
        <f t="shared" si="137"/>
        <v>.</v>
      </c>
      <c r="E4316" s="13" t="str">
        <f>IFERROR(IF(AND(B4316&lt;&gt;"",C4316&lt;&gt;""),SUMIFS(Movimentos!$F$4:$F$9996,Movimentos!$D$4:$D$9996,B4316,Movimentos!$C$4:$C$9996,"Entrada")-SUMIFS(Movimentos!$F$4:$F$9996,Movimentos!$D$4:$D$9996,B4316,Movimentos!$C$4:$C$9996,"Saída"),""),"")</f>
        <v/>
      </c>
      <c r="F4316" s="10" t="str">
        <f t="shared" si="138"/>
        <v/>
      </c>
    </row>
    <row r="4317" spans="1:6" x14ac:dyDescent="0.3">
      <c r="A4317" s="15" t="str">
        <f t="shared" si="137"/>
        <v>.</v>
      </c>
      <c r="E4317" s="13" t="str">
        <f>IFERROR(IF(AND(B4317&lt;&gt;"",C4317&lt;&gt;""),SUMIFS(Movimentos!$F$4:$F$9996,Movimentos!$D$4:$D$9996,B4317,Movimentos!$C$4:$C$9996,"Entrada")-SUMIFS(Movimentos!$F$4:$F$9996,Movimentos!$D$4:$D$9996,B4317,Movimentos!$C$4:$C$9996,"Saída"),""),"")</f>
        <v/>
      </c>
      <c r="F4317" s="10" t="str">
        <f t="shared" si="138"/>
        <v/>
      </c>
    </row>
    <row r="4318" spans="1:6" x14ac:dyDescent="0.3">
      <c r="A4318" s="15" t="str">
        <f t="shared" si="137"/>
        <v>.</v>
      </c>
      <c r="E4318" s="13" t="str">
        <f>IFERROR(IF(AND(B4318&lt;&gt;"",C4318&lt;&gt;""),SUMIFS(Movimentos!$F$4:$F$9996,Movimentos!$D$4:$D$9996,B4318,Movimentos!$C$4:$C$9996,"Entrada")-SUMIFS(Movimentos!$F$4:$F$9996,Movimentos!$D$4:$D$9996,B4318,Movimentos!$C$4:$C$9996,"Saída"),""),"")</f>
        <v/>
      </c>
      <c r="F4318" s="10" t="str">
        <f t="shared" si="138"/>
        <v/>
      </c>
    </row>
    <row r="4319" spans="1:6" x14ac:dyDescent="0.3">
      <c r="A4319" s="15" t="str">
        <f t="shared" si="137"/>
        <v>.</v>
      </c>
      <c r="E4319" s="13" t="str">
        <f>IFERROR(IF(AND(B4319&lt;&gt;"",C4319&lt;&gt;""),SUMIFS(Movimentos!$F$4:$F$9996,Movimentos!$D$4:$D$9996,B4319,Movimentos!$C$4:$C$9996,"Entrada")-SUMIFS(Movimentos!$F$4:$F$9996,Movimentos!$D$4:$D$9996,B4319,Movimentos!$C$4:$C$9996,"Saída"),""),"")</f>
        <v/>
      </c>
      <c r="F4319" s="10" t="str">
        <f t="shared" si="138"/>
        <v/>
      </c>
    </row>
    <row r="4320" spans="1:6" x14ac:dyDescent="0.3">
      <c r="A4320" s="15" t="str">
        <f t="shared" si="137"/>
        <v>.</v>
      </c>
      <c r="E4320" s="13" t="str">
        <f>IFERROR(IF(AND(B4320&lt;&gt;"",C4320&lt;&gt;""),SUMIFS(Movimentos!$F$4:$F$9996,Movimentos!$D$4:$D$9996,B4320,Movimentos!$C$4:$C$9996,"Entrada")-SUMIFS(Movimentos!$F$4:$F$9996,Movimentos!$D$4:$D$9996,B4320,Movimentos!$C$4:$C$9996,"Saída"),""),"")</f>
        <v/>
      </c>
      <c r="F4320" s="10" t="str">
        <f t="shared" si="138"/>
        <v/>
      </c>
    </row>
    <row r="4321" spans="1:6" x14ac:dyDescent="0.3">
      <c r="A4321" s="15" t="str">
        <f t="shared" si="137"/>
        <v>.</v>
      </c>
      <c r="E4321" s="13" t="str">
        <f>IFERROR(IF(AND(B4321&lt;&gt;"",C4321&lt;&gt;""),SUMIFS(Movimentos!$F$4:$F$9996,Movimentos!$D$4:$D$9996,B4321,Movimentos!$C$4:$C$9996,"Entrada")-SUMIFS(Movimentos!$F$4:$F$9996,Movimentos!$D$4:$D$9996,B4321,Movimentos!$C$4:$C$9996,"Saída"),""),"")</f>
        <v/>
      </c>
      <c r="F4321" s="10" t="str">
        <f t="shared" si="138"/>
        <v/>
      </c>
    </row>
    <row r="4322" spans="1:6" x14ac:dyDescent="0.3">
      <c r="A4322" s="15" t="str">
        <f t="shared" si="137"/>
        <v>.</v>
      </c>
      <c r="E4322" s="13" t="str">
        <f>IFERROR(IF(AND(B4322&lt;&gt;"",C4322&lt;&gt;""),SUMIFS(Movimentos!$F$4:$F$9996,Movimentos!$D$4:$D$9996,B4322,Movimentos!$C$4:$C$9996,"Entrada")-SUMIFS(Movimentos!$F$4:$F$9996,Movimentos!$D$4:$D$9996,B4322,Movimentos!$C$4:$C$9996,"Saída"),""),"")</f>
        <v/>
      </c>
      <c r="F4322" s="10" t="str">
        <f t="shared" si="138"/>
        <v/>
      </c>
    </row>
    <row r="4323" spans="1:6" x14ac:dyDescent="0.3">
      <c r="A4323" s="15" t="str">
        <f t="shared" si="137"/>
        <v>.</v>
      </c>
      <c r="E4323" s="13" t="str">
        <f>IFERROR(IF(AND(B4323&lt;&gt;"",C4323&lt;&gt;""),SUMIFS(Movimentos!$F$4:$F$9996,Movimentos!$D$4:$D$9996,B4323,Movimentos!$C$4:$C$9996,"Entrada")-SUMIFS(Movimentos!$F$4:$F$9996,Movimentos!$D$4:$D$9996,B4323,Movimentos!$C$4:$C$9996,"Saída"),""),"")</f>
        <v/>
      </c>
      <c r="F4323" s="10" t="str">
        <f t="shared" si="138"/>
        <v/>
      </c>
    </row>
    <row r="4324" spans="1:6" x14ac:dyDescent="0.3">
      <c r="A4324" s="15" t="str">
        <f t="shared" si="137"/>
        <v>.</v>
      </c>
      <c r="E4324" s="13" t="str">
        <f>IFERROR(IF(AND(B4324&lt;&gt;"",C4324&lt;&gt;""),SUMIFS(Movimentos!$F$4:$F$9996,Movimentos!$D$4:$D$9996,B4324,Movimentos!$C$4:$C$9996,"Entrada")-SUMIFS(Movimentos!$F$4:$F$9996,Movimentos!$D$4:$D$9996,B4324,Movimentos!$C$4:$C$9996,"Saída"),""),"")</f>
        <v/>
      </c>
      <c r="F4324" s="10" t="str">
        <f t="shared" si="138"/>
        <v/>
      </c>
    </row>
    <row r="4325" spans="1:6" x14ac:dyDescent="0.3">
      <c r="A4325" s="15" t="str">
        <f t="shared" si="137"/>
        <v>.</v>
      </c>
      <c r="E4325" s="13" t="str">
        <f>IFERROR(IF(AND(B4325&lt;&gt;"",C4325&lt;&gt;""),SUMIFS(Movimentos!$F$4:$F$9996,Movimentos!$D$4:$D$9996,B4325,Movimentos!$C$4:$C$9996,"Entrada")-SUMIFS(Movimentos!$F$4:$F$9996,Movimentos!$D$4:$D$9996,B4325,Movimentos!$C$4:$C$9996,"Saída"),""),"")</f>
        <v/>
      </c>
      <c r="F4325" s="10" t="str">
        <f t="shared" si="138"/>
        <v/>
      </c>
    </row>
    <row r="4326" spans="1:6" x14ac:dyDescent="0.3">
      <c r="A4326" s="15" t="str">
        <f t="shared" si="137"/>
        <v>.</v>
      </c>
      <c r="E4326" s="13" t="str">
        <f>IFERROR(IF(AND(B4326&lt;&gt;"",C4326&lt;&gt;""),SUMIFS(Movimentos!$F$4:$F$9996,Movimentos!$D$4:$D$9996,B4326,Movimentos!$C$4:$C$9996,"Entrada")-SUMIFS(Movimentos!$F$4:$F$9996,Movimentos!$D$4:$D$9996,B4326,Movimentos!$C$4:$C$9996,"Saída"),""),"")</f>
        <v/>
      </c>
      <c r="F4326" s="10" t="str">
        <f t="shared" si="138"/>
        <v/>
      </c>
    </row>
    <row r="4327" spans="1:6" x14ac:dyDescent="0.3">
      <c r="A4327" s="15" t="str">
        <f t="shared" si="137"/>
        <v>.</v>
      </c>
      <c r="E4327" s="13" t="str">
        <f>IFERROR(IF(AND(B4327&lt;&gt;"",C4327&lt;&gt;""),SUMIFS(Movimentos!$F$4:$F$9996,Movimentos!$D$4:$D$9996,B4327,Movimentos!$C$4:$C$9996,"Entrada")-SUMIFS(Movimentos!$F$4:$F$9996,Movimentos!$D$4:$D$9996,B4327,Movimentos!$C$4:$C$9996,"Saída"),""),"")</f>
        <v/>
      </c>
      <c r="F4327" s="10" t="str">
        <f t="shared" si="138"/>
        <v/>
      </c>
    </row>
    <row r="4328" spans="1:6" x14ac:dyDescent="0.3">
      <c r="A4328" s="15" t="str">
        <f t="shared" si="137"/>
        <v>.</v>
      </c>
      <c r="E4328" s="13" t="str">
        <f>IFERROR(IF(AND(B4328&lt;&gt;"",C4328&lt;&gt;""),SUMIFS(Movimentos!$F$4:$F$9996,Movimentos!$D$4:$D$9996,B4328,Movimentos!$C$4:$C$9996,"Entrada")-SUMIFS(Movimentos!$F$4:$F$9996,Movimentos!$D$4:$D$9996,B4328,Movimentos!$C$4:$C$9996,"Saída"),""),"")</f>
        <v/>
      </c>
      <c r="F4328" s="10" t="str">
        <f t="shared" si="138"/>
        <v/>
      </c>
    </row>
    <row r="4329" spans="1:6" x14ac:dyDescent="0.3">
      <c r="A4329" s="15" t="str">
        <f t="shared" si="137"/>
        <v>.</v>
      </c>
      <c r="E4329" s="13" t="str">
        <f>IFERROR(IF(AND(B4329&lt;&gt;"",C4329&lt;&gt;""),SUMIFS(Movimentos!$F$4:$F$9996,Movimentos!$D$4:$D$9996,B4329,Movimentos!$C$4:$C$9996,"Entrada")-SUMIFS(Movimentos!$F$4:$F$9996,Movimentos!$D$4:$D$9996,B4329,Movimentos!$C$4:$C$9996,"Saída"),""),"")</f>
        <v/>
      </c>
      <c r="F4329" s="10" t="str">
        <f t="shared" si="138"/>
        <v/>
      </c>
    </row>
    <row r="4330" spans="1:6" x14ac:dyDescent="0.3">
      <c r="A4330" s="15" t="str">
        <f t="shared" si="137"/>
        <v>.</v>
      </c>
      <c r="E4330" s="13" t="str">
        <f>IFERROR(IF(AND(B4330&lt;&gt;"",C4330&lt;&gt;""),SUMIFS(Movimentos!$F$4:$F$9996,Movimentos!$D$4:$D$9996,B4330,Movimentos!$C$4:$C$9996,"Entrada")-SUMIFS(Movimentos!$F$4:$F$9996,Movimentos!$D$4:$D$9996,B4330,Movimentos!$C$4:$C$9996,"Saída"),""),"")</f>
        <v/>
      </c>
      <c r="F4330" s="10" t="str">
        <f t="shared" si="138"/>
        <v/>
      </c>
    </row>
    <row r="4331" spans="1:6" x14ac:dyDescent="0.3">
      <c r="A4331" s="15" t="str">
        <f t="shared" si="137"/>
        <v>.</v>
      </c>
      <c r="E4331" s="13" t="str">
        <f>IFERROR(IF(AND(B4331&lt;&gt;"",C4331&lt;&gt;""),SUMIFS(Movimentos!$F$4:$F$9996,Movimentos!$D$4:$D$9996,B4331,Movimentos!$C$4:$C$9996,"Entrada")-SUMIFS(Movimentos!$F$4:$F$9996,Movimentos!$D$4:$D$9996,B4331,Movimentos!$C$4:$C$9996,"Saída"),""),"")</f>
        <v/>
      </c>
      <c r="F4331" s="10" t="str">
        <f t="shared" si="138"/>
        <v/>
      </c>
    </row>
    <row r="4332" spans="1:6" x14ac:dyDescent="0.3">
      <c r="A4332" s="15" t="str">
        <f t="shared" si="137"/>
        <v>.</v>
      </c>
      <c r="E4332" s="13" t="str">
        <f>IFERROR(IF(AND(B4332&lt;&gt;"",C4332&lt;&gt;""),SUMIFS(Movimentos!$F$4:$F$9996,Movimentos!$D$4:$D$9996,B4332,Movimentos!$C$4:$C$9996,"Entrada")-SUMIFS(Movimentos!$F$4:$F$9996,Movimentos!$D$4:$D$9996,B4332,Movimentos!$C$4:$C$9996,"Saída"),""),"")</f>
        <v/>
      </c>
      <c r="F4332" s="10" t="str">
        <f t="shared" si="138"/>
        <v/>
      </c>
    </row>
    <row r="4333" spans="1:6" x14ac:dyDescent="0.3">
      <c r="A4333" s="15" t="str">
        <f t="shared" si="137"/>
        <v>.</v>
      </c>
      <c r="E4333" s="13" t="str">
        <f>IFERROR(IF(AND(B4333&lt;&gt;"",C4333&lt;&gt;""),SUMIFS(Movimentos!$F$4:$F$9996,Movimentos!$D$4:$D$9996,B4333,Movimentos!$C$4:$C$9996,"Entrada")-SUMIFS(Movimentos!$F$4:$F$9996,Movimentos!$D$4:$D$9996,B4333,Movimentos!$C$4:$C$9996,"Saída"),""),"")</f>
        <v/>
      </c>
      <c r="F4333" s="10" t="str">
        <f t="shared" si="138"/>
        <v/>
      </c>
    </row>
    <row r="4334" spans="1:6" x14ac:dyDescent="0.3">
      <c r="A4334" s="15" t="str">
        <f t="shared" si="137"/>
        <v>.</v>
      </c>
      <c r="E4334" s="13" t="str">
        <f>IFERROR(IF(AND(B4334&lt;&gt;"",C4334&lt;&gt;""),SUMIFS(Movimentos!$F$4:$F$9996,Movimentos!$D$4:$D$9996,B4334,Movimentos!$C$4:$C$9996,"Entrada")-SUMIFS(Movimentos!$F$4:$F$9996,Movimentos!$D$4:$D$9996,B4334,Movimentos!$C$4:$C$9996,"Saída"),""),"")</f>
        <v/>
      </c>
      <c r="F4334" s="10" t="str">
        <f t="shared" si="138"/>
        <v/>
      </c>
    </row>
    <row r="4335" spans="1:6" x14ac:dyDescent="0.3">
      <c r="A4335" s="15" t="str">
        <f t="shared" si="137"/>
        <v>.</v>
      </c>
      <c r="E4335" s="13" t="str">
        <f>IFERROR(IF(AND(B4335&lt;&gt;"",C4335&lt;&gt;""),SUMIFS(Movimentos!$F$4:$F$9996,Movimentos!$D$4:$D$9996,B4335,Movimentos!$C$4:$C$9996,"Entrada")-SUMIFS(Movimentos!$F$4:$F$9996,Movimentos!$D$4:$D$9996,B4335,Movimentos!$C$4:$C$9996,"Saída"),""),"")</f>
        <v/>
      </c>
      <c r="F4335" s="10" t="str">
        <f t="shared" si="138"/>
        <v/>
      </c>
    </row>
    <row r="4336" spans="1:6" x14ac:dyDescent="0.3">
      <c r="A4336" s="15" t="str">
        <f t="shared" si="137"/>
        <v>.</v>
      </c>
      <c r="E4336" s="13" t="str">
        <f>IFERROR(IF(AND(B4336&lt;&gt;"",C4336&lt;&gt;""),SUMIFS(Movimentos!$F$4:$F$9996,Movimentos!$D$4:$D$9996,B4336,Movimentos!$C$4:$C$9996,"Entrada")-SUMIFS(Movimentos!$F$4:$F$9996,Movimentos!$D$4:$D$9996,B4336,Movimentos!$C$4:$C$9996,"Saída"),""),"")</f>
        <v/>
      </c>
      <c r="F4336" s="10" t="str">
        <f t="shared" si="138"/>
        <v/>
      </c>
    </row>
    <row r="4337" spans="1:6" x14ac:dyDescent="0.3">
      <c r="A4337" s="15" t="str">
        <f t="shared" si="137"/>
        <v>.</v>
      </c>
      <c r="E4337" s="13" t="str">
        <f>IFERROR(IF(AND(B4337&lt;&gt;"",C4337&lt;&gt;""),SUMIFS(Movimentos!$F$4:$F$9996,Movimentos!$D$4:$D$9996,B4337,Movimentos!$C$4:$C$9996,"Entrada")-SUMIFS(Movimentos!$F$4:$F$9996,Movimentos!$D$4:$D$9996,B4337,Movimentos!$C$4:$C$9996,"Saída"),""),"")</f>
        <v/>
      </c>
      <c r="F4337" s="10" t="str">
        <f t="shared" si="138"/>
        <v/>
      </c>
    </row>
    <row r="4338" spans="1:6" x14ac:dyDescent="0.3">
      <c r="A4338" s="15" t="str">
        <f t="shared" si="137"/>
        <v>.</v>
      </c>
      <c r="E4338" s="13" t="str">
        <f>IFERROR(IF(AND(B4338&lt;&gt;"",C4338&lt;&gt;""),SUMIFS(Movimentos!$F$4:$F$9996,Movimentos!$D$4:$D$9996,B4338,Movimentos!$C$4:$C$9996,"Entrada")-SUMIFS(Movimentos!$F$4:$F$9996,Movimentos!$D$4:$D$9996,B4338,Movimentos!$C$4:$C$9996,"Saída"),""),"")</f>
        <v/>
      </c>
      <c r="F4338" s="10" t="str">
        <f t="shared" si="138"/>
        <v/>
      </c>
    </row>
    <row r="4339" spans="1:6" x14ac:dyDescent="0.3">
      <c r="A4339" s="15" t="str">
        <f t="shared" si="137"/>
        <v>.</v>
      </c>
      <c r="E4339" s="13" t="str">
        <f>IFERROR(IF(AND(B4339&lt;&gt;"",C4339&lt;&gt;""),SUMIFS(Movimentos!$F$4:$F$9996,Movimentos!$D$4:$D$9996,B4339,Movimentos!$C$4:$C$9996,"Entrada")-SUMIFS(Movimentos!$F$4:$F$9996,Movimentos!$D$4:$D$9996,B4339,Movimentos!$C$4:$C$9996,"Saída"),""),"")</f>
        <v/>
      </c>
      <c r="F4339" s="10" t="str">
        <f t="shared" si="138"/>
        <v/>
      </c>
    </row>
    <row r="4340" spans="1:6" x14ac:dyDescent="0.3">
      <c r="A4340" s="15" t="str">
        <f t="shared" si="137"/>
        <v>.</v>
      </c>
      <c r="E4340" s="13" t="str">
        <f>IFERROR(IF(AND(B4340&lt;&gt;"",C4340&lt;&gt;""),SUMIFS(Movimentos!$F$4:$F$9996,Movimentos!$D$4:$D$9996,B4340,Movimentos!$C$4:$C$9996,"Entrada")-SUMIFS(Movimentos!$F$4:$F$9996,Movimentos!$D$4:$D$9996,B4340,Movimentos!$C$4:$C$9996,"Saída"),""),"")</f>
        <v/>
      </c>
      <c r="F4340" s="10" t="str">
        <f t="shared" si="138"/>
        <v/>
      </c>
    </row>
    <row r="4341" spans="1:6" x14ac:dyDescent="0.3">
      <c r="A4341" s="15" t="str">
        <f t="shared" si="137"/>
        <v>.</v>
      </c>
      <c r="E4341" s="13" t="str">
        <f>IFERROR(IF(AND(B4341&lt;&gt;"",C4341&lt;&gt;""),SUMIFS(Movimentos!$F$4:$F$9996,Movimentos!$D$4:$D$9996,B4341,Movimentos!$C$4:$C$9996,"Entrada")-SUMIFS(Movimentos!$F$4:$F$9996,Movimentos!$D$4:$D$9996,B4341,Movimentos!$C$4:$C$9996,"Saída"),""),"")</f>
        <v/>
      </c>
      <c r="F4341" s="10" t="str">
        <f t="shared" si="138"/>
        <v/>
      </c>
    </row>
    <row r="4342" spans="1:6" x14ac:dyDescent="0.3">
      <c r="A4342" s="15" t="str">
        <f t="shared" si="137"/>
        <v>.</v>
      </c>
      <c r="E4342" s="13" t="str">
        <f>IFERROR(IF(AND(B4342&lt;&gt;"",C4342&lt;&gt;""),SUMIFS(Movimentos!$F$4:$F$9996,Movimentos!$D$4:$D$9996,B4342,Movimentos!$C$4:$C$9996,"Entrada")-SUMIFS(Movimentos!$F$4:$F$9996,Movimentos!$D$4:$D$9996,B4342,Movimentos!$C$4:$C$9996,"Saída"),""),"")</f>
        <v/>
      </c>
      <c r="F4342" s="10" t="str">
        <f t="shared" si="138"/>
        <v/>
      </c>
    </row>
    <row r="4343" spans="1:6" x14ac:dyDescent="0.3">
      <c r="A4343" s="15" t="str">
        <f t="shared" si="137"/>
        <v>.</v>
      </c>
      <c r="E4343" s="13" t="str">
        <f>IFERROR(IF(AND(B4343&lt;&gt;"",C4343&lt;&gt;""),SUMIFS(Movimentos!$F$4:$F$9996,Movimentos!$D$4:$D$9996,B4343,Movimentos!$C$4:$C$9996,"Entrada")-SUMIFS(Movimentos!$F$4:$F$9996,Movimentos!$D$4:$D$9996,B4343,Movimentos!$C$4:$C$9996,"Saída"),""),"")</f>
        <v/>
      </c>
      <c r="F4343" s="10" t="str">
        <f t="shared" si="138"/>
        <v/>
      </c>
    </row>
    <row r="4344" spans="1:6" x14ac:dyDescent="0.3">
      <c r="A4344" s="15" t="str">
        <f t="shared" si="137"/>
        <v>.</v>
      </c>
      <c r="E4344" s="13" t="str">
        <f>IFERROR(IF(AND(B4344&lt;&gt;"",C4344&lt;&gt;""),SUMIFS(Movimentos!$F$4:$F$9996,Movimentos!$D$4:$D$9996,B4344,Movimentos!$C$4:$C$9996,"Entrada")-SUMIFS(Movimentos!$F$4:$F$9996,Movimentos!$D$4:$D$9996,B4344,Movimentos!$C$4:$C$9996,"Saída"),""),"")</f>
        <v/>
      </c>
      <c r="F4344" s="10" t="str">
        <f t="shared" si="138"/>
        <v/>
      </c>
    </row>
    <row r="4345" spans="1:6" x14ac:dyDescent="0.3">
      <c r="A4345" s="15" t="str">
        <f t="shared" si="137"/>
        <v>.</v>
      </c>
      <c r="E4345" s="13" t="str">
        <f>IFERROR(IF(AND(B4345&lt;&gt;"",C4345&lt;&gt;""),SUMIFS(Movimentos!$F$4:$F$9996,Movimentos!$D$4:$D$9996,B4345,Movimentos!$C$4:$C$9996,"Entrada")-SUMIFS(Movimentos!$F$4:$F$9996,Movimentos!$D$4:$D$9996,B4345,Movimentos!$C$4:$C$9996,"Saída"),""),"")</f>
        <v/>
      </c>
      <c r="F4345" s="10" t="str">
        <f t="shared" si="138"/>
        <v/>
      </c>
    </row>
    <row r="4346" spans="1:6" x14ac:dyDescent="0.3">
      <c r="A4346" s="15" t="str">
        <f t="shared" si="137"/>
        <v>.</v>
      </c>
      <c r="E4346" s="13" t="str">
        <f>IFERROR(IF(AND(B4346&lt;&gt;"",C4346&lt;&gt;""),SUMIFS(Movimentos!$F$4:$F$9996,Movimentos!$D$4:$D$9996,B4346,Movimentos!$C$4:$C$9996,"Entrada")-SUMIFS(Movimentos!$F$4:$F$9996,Movimentos!$D$4:$D$9996,B4346,Movimentos!$C$4:$C$9996,"Saída"),""),"")</f>
        <v/>
      </c>
      <c r="F4346" s="10" t="str">
        <f t="shared" si="138"/>
        <v/>
      </c>
    </row>
    <row r="4347" spans="1:6" x14ac:dyDescent="0.3">
      <c r="A4347" s="15" t="str">
        <f t="shared" si="137"/>
        <v>.</v>
      </c>
      <c r="E4347" s="13" t="str">
        <f>IFERROR(IF(AND(B4347&lt;&gt;"",C4347&lt;&gt;""),SUMIFS(Movimentos!$F$4:$F$9996,Movimentos!$D$4:$D$9996,B4347,Movimentos!$C$4:$C$9996,"Entrada")-SUMIFS(Movimentos!$F$4:$F$9996,Movimentos!$D$4:$D$9996,B4347,Movimentos!$C$4:$C$9996,"Saída"),""),"")</f>
        <v/>
      </c>
      <c r="F4347" s="10" t="str">
        <f t="shared" si="138"/>
        <v/>
      </c>
    </row>
    <row r="4348" spans="1:6" x14ac:dyDescent="0.3">
      <c r="A4348" s="15" t="str">
        <f t="shared" si="137"/>
        <v>.</v>
      </c>
      <c r="E4348" s="13" t="str">
        <f>IFERROR(IF(AND(B4348&lt;&gt;"",C4348&lt;&gt;""),SUMIFS(Movimentos!$F$4:$F$9996,Movimentos!$D$4:$D$9996,B4348,Movimentos!$C$4:$C$9996,"Entrada")-SUMIFS(Movimentos!$F$4:$F$9996,Movimentos!$D$4:$D$9996,B4348,Movimentos!$C$4:$C$9996,"Saída"),""),"")</f>
        <v/>
      </c>
      <c r="F4348" s="10" t="str">
        <f t="shared" si="138"/>
        <v/>
      </c>
    </row>
    <row r="4349" spans="1:6" x14ac:dyDescent="0.3">
      <c r="A4349" s="15" t="str">
        <f t="shared" si="137"/>
        <v>.</v>
      </c>
      <c r="E4349" s="13" t="str">
        <f>IFERROR(IF(AND(B4349&lt;&gt;"",C4349&lt;&gt;""),SUMIFS(Movimentos!$F$4:$F$9996,Movimentos!$D$4:$D$9996,B4349,Movimentos!$C$4:$C$9996,"Entrada")-SUMIFS(Movimentos!$F$4:$F$9996,Movimentos!$D$4:$D$9996,B4349,Movimentos!$C$4:$C$9996,"Saída"),""),"")</f>
        <v/>
      </c>
      <c r="F4349" s="10" t="str">
        <f t="shared" si="138"/>
        <v/>
      </c>
    </row>
    <row r="4350" spans="1:6" x14ac:dyDescent="0.3">
      <c r="A4350" s="15" t="str">
        <f t="shared" si="137"/>
        <v>.</v>
      </c>
      <c r="E4350" s="13" t="str">
        <f>IFERROR(IF(AND(B4350&lt;&gt;"",C4350&lt;&gt;""),SUMIFS(Movimentos!$F$4:$F$9996,Movimentos!$D$4:$D$9996,B4350,Movimentos!$C$4:$C$9996,"Entrada")-SUMIFS(Movimentos!$F$4:$F$9996,Movimentos!$D$4:$D$9996,B4350,Movimentos!$C$4:$C$9996,"Saída"),""),"")</f>
        <v/>
      </c>
      <c r="F4350" s="10" t="str">
        <f t="shared" si="138"/>
        <v/>
      </c>
    </row>
    <row r="4351" spans="1:6" x14ac:dyDescent="0.3">
      <c r="A4351" s="15" t="str">
        <f t="shared" si="137"/>
        <v>.</v>
      </c>
      <c r="E4351" s="13" t="str">
        <f>IFERROR(IF(AND(B4351&lt;&gt;"",C4351&lt;&gt;""),SUMIFS(Movimentos!$F$4:$F$9996,Movimentos!$D$4:$D$9996,B4351,Movimentos!$C$4:$C$9996,"Entrada")-SUMIFS(Movimentos!$F$4:$F$9996,Movimentos!$D$4:$D$9996,B4351,Movimentos!$C$4:$C$9996,"Saída"),""),"")</f>
        <v/>
      </c>
      <c r="F4351" s="10" t="str">
        <f t="shared" si="138"/>
        <v/>
      </c>
    </row>
    <row r="4352" spans="1:6" x14ac:dyDescent="0.3">
      <c r="A4352" s="15" t="str">
        <f t="shared" ref="A4352:A4415" si="139">IF(F4352="Saldo zerado",0,IF(F4352="Saldo abaixo do mínimo",1,IF(F4352="Saldo disponível",2,".")))</f>
        <v>.</v>
      </c>
      <c r="E4352" s="13" t="str">
        <f>IFERROR(IF(AND(B4352&lt;&gt;"",C4352&lt;&gt;""),SUMIFS(Movimentos!$F$4:$F$9996,Movimentos!$D$4:$D$9996,B4352,Movimentos!$C$4:$C$9996,"Entrada")-SUMIFS(Movimentos!$F$4:$F$9996,Movimentos!$D$4:$D$9996,B4352,Movimentos!$C$4:$C$9996,"Saída"),""),"")</f>
        <v/>
      </c>
      <c r="F4352" s="10" t="str">
        <f t="shared" si="138"/>
        <v/>
      </c>
    </row>
    <row r="4353" spans="1:6" x14ac:dyDescent="0.3">
      <c r="A4353" s="15" t="str">
        <f t="shared" si="139"/>
        <v>.</v>
      </c>
      <c r="E4353" s="13" t="str">
        <f>IFERROR(IF(AND(B4353&lt;&gt;"",C4353&lt;&gt;""),SUMIFS(Movimentos!$F$4:$F$9996,Movimentos!$D$4:$D$9996,B4353,Movimentos!$C$4:$C$9996,"Entrada")-SUMIFS(Movimentos!$F$4:$F$9996,Movimentos!$D$4:$D$9996,B4353,Movimentos!$C$4:$C$9996,"Saída"),""),"")</f>
        <v/>
      </c>
      <c r="F4353" s="10" t="str">
        <f t="shared" si="138"/>
        <v/>
      </c>
    </row>
    <row r="4354" spans="1:6" x14ac:dyDescent="0.3">
      <c r="A4354" s="15" t="str">
        <f t="shared" si="139"/>
        <v>.</v>
      </c>
      <c r="E4354" s="13" t="str">
        <f>IFERROR(IF(AND(B4354&lt;&gt;"",C4354&lt;&gt;""),SUMIFS(Movimentos!$F$4:$F$9996,Movimentos!$D$4:$D$9996,B4354,Movimentos!$C$4:$C$9996,"Entrada")-SUMIFS(Movimentos!$F$4:$F$9996,Movimentos!$D$4:$D$9996,B4354,Movimentos!$C$4:$C$9996,"Saída"),""),"")</f>
        <v/>
      </c>
      <c r="F4354" s="10" t="str">
        <f t="shared" si="138"/>
        <v/>
      </c>
    </row>
    <row r="4355" spans="1:6" x14ac:dyDescent="0.3">
      <c r="A4355" s="15" t="str">
        <f t="shared" si="139"/>
        <v>.</v>
      </c>
      <c r="E4355" s="13" t="str">
        <f>IFERROR(IF(AND(B4355&lt;&gt;"",C4355&lt;&gt;""),SUMIFS(Movimentos!$F$4:$F$9996,Movimentos!$D$4:$D$9996,B4355,Movimentos!$C$4:$C$9996,"Entrada")-SUMIFS(Movimentos!$F$4:$F$9996,Movimentos!$D$4:$D$9996,B4355,Movimentos!$C$4:$C$9996,"Saída"),""),"")</f>
        <v/>
      </c>
      <c r="F4355" s="10" t="str">
        <f t="shared" si="138"/>
        <v/>
      </c>
    </row>
    <row r="4356" spans="1:6" x14ac:dyDescent="0.3">
      <c r="A4356" s="15" t="str">
        <f t="shared" si="139"/>
        <v>.</v>
      </c>
      <c r="E4356" s="13" t="str">
        <f>IFERROR(IF(AND(B4356&lt;&gt;"",C4356&lt;&gt;""),SUMIFS(Movimentos!$F$4:$F$9996,Movimentos!$D$4:$D$9996,B4356,Movimentos!$C$4:$C$9996,"Entrada")-SUMIFS(Movimentos!$F$4:$F$9996,Movimentos!$D$4:$D$9996,B4356,Movimentos!$C$4:$C$9996,"Saída"),""),"")</f>
        <v/>
      </c>
      <c r="F4356" s="10" t="str">
        <f t="shared" si="138"/>
        <v/>
      </c>
    </row>
    <row r="4357" spans="1:6" x14ac:dyDescent="0.3">
      <c r="A4357" s="15" t="str">
        <f t="shared" si="139"/>
        <v>.</v>
      </c>
      <c r="E4357" s="13" t="str">
        <f>IFERROR(IF(AND(B4357&lt;&gt;"",C4357&lt;&gt;""),SUMIFS(Movimentos!$F$4:$F$9996,Movimentos!$D$4:$D$9996,B4357,Movimentos!$C$4:$C$9996,"Entrada")-SUMIFS(Movimentos!$F$4:$F$9996,Movimentos!$D$4:$D$9996,B4357,Movimentos!$C$4:$C$9996,"Saída"),""),"")</f>
        <v/>
      </c>
      <c r="F4357" s="10" t="str">
        <f t="shared" si="138"/>
        <v/>
      </c>
    </row>
    <row r="4358" spans="1:6" x14ac:dyDescent="0.3">
      <c r="A4358" s="15" t="str">
        <f t="shared" si="139"/>
        <v>.</v>
      </c>
      <c r="E4358" s="13" t="str">
        <f>IFERROR(IF(AND(B4358&lt;&gt;"",C4358&lt;&gt;""),SUMIFS(Movimentos!$F$4:$F$9996,Movimentos!$D$4:$D$9996,B4358,Movimentos!$C$4:$C$9996,"Entrada")-SUMIFS(Movimentos!$F$4:$F$9996,Movimentos!$D$4:$D$9996,B4358,Movimentos!$C$4:$C$9996,"Saída"),""),"")</f>
        <v/>
      </c>
      <c r="F4358" s="10" t="str">
        <f t="shared" si="138"/>
        <v/>
      </c>
    </row>
    <row r="4359" spans="1:6" x14ac:dyDescent="0.3">
      <c r="A4359" s="15" t="str">
        <f t="shared" si="139"/>
        <v>.</v>
      </c>
      <c r="E4359" s="13" t="str">
        <f>IFERROR(IF(AND(B4359&lt;&gt;"",C4359&lt;&gt;""),SUMIFS(Movimentos!$F$4:$F$9996,Movimentos!$D$4:$D$9996,B4359,Movimentos!$C$4:$C$9996,"Entrada")-SUMIFS(Movimentos!$F$4:$F$9996,Movimentos!$D$4:$D$9996,B4359,Movimentos!$C$4:$C$9996,"Saída"),""),"")</f>
        <v/>
      </c>
      <c r="F4359" s="10" t="str">
        <f t="shared" si="138"/>
        <v/>
      </c>
    </row>
    <row r="4360" spans="1:6" x14ac:dyDescent="0.3">
      <c r="A4360" s="15" t="str">
        <f t="shared" si="139"/>
        <v>.</v>
      </c>
      <c r="E4360" s="13" t="str">
        <f>IFERROR(IF(AND(B4360&lt;&gt;"",C4360&lt;&gt;""),SUMIFS(Movimentos!$F$4:$F$9996,Movimentos!$D$4:$D$9996,B4360,Movimentos!$C$4:$C$9996,"Entrada")-SUMIFS(Movimentos!$F$4:$F$9996,Movimentos!$D$4:$D$9996,B4360,Movimentos!$C$4:$C$9996,"Saída"),""),"")</f>
        <v/>
      </c>
      <c r="F4360" s="10" t="str">
        <f t="shared" si="138"/>
        <v/>
      </c>
    </row>
    <row r="4361" spans="1:6" x14ac:dyDescent="0.3">
      <c r="A4361" s="15" t="str">
        <f t="shared" si="139"/>
        <v>.</v>
      </c>
      <c r="E4361" s="13" t="str">
        <f>IFERROR(IF(AND(B4361&lt;&gt;"",C4361&lt;&gt;""),SUMIFS(Movimentos!$F$4:$F$9996,Movimentos!$D$4:$D$9996,B4361,Movimentos!$C$4:$C$9996,"Entrada")-SUMIFS(Movimentos!$F$4:$F$9996,Movimentos!$D$4:$D$9996,B4361,Movimentos!$C$4:$C$9996,"Saída"),""),"")</f>
        <v/>
      </c>
      <c r="F4361" s="10" t="str">
        <f t="shared" si="138"/>
        <v/>
      </c>
    </row>
    <row r="4362" spans="1:6" x14ac:dyDescent="0.3">
      <c r="A4362" s="15" t="str">
        <f t="shared" si="139"/>
        <v>.</v>
      </c>
      <c r="E4362" s="13" t="str">
        <f>IFERROR(IF(AND(B4362&lt;&gt;"",C4362&lt;&gt;""),SUMIFS(Movimentos!$F$4:$F$9996,Movimentos!$D$4:$D$9996,B4362,Movimentos!$C$4:$C$9996,"Entrada")-SUMIFS(Movimentos!$F$4:$F$9996,Movimentos!$D$4:$D$9996,B4362,Movimentos!$C$4:$C$9996,"Saída"),""),"")</f>
        <v/>
      </c>
      <c r="F4362" s="10" t="str">
        <f t="shared" si="138"/>
        <v/>
      </c>
    </row>
    <row r="4363" spans="1:6" x14ac:dyDescent="0.3">
      <c r="A4363" s="15" t="str">
        <f t="shared" si="139"/>
        <v>.</v>
      </c>
      <c r="E4363" s="13" t="str">
        <f>IFERROR(IF(AND(B4363&lt;&gt;"",C4363&lt;&gt;""),SUMIFS(Movimentos!$F$4:$F$9996,Movimentos!$D$4:$D$9996,B4363,Movimentos!$C$4:$C$9996,"Entrada")-SUMIFS(Movimentos!$F$4:$F$9996,Movimentos!$D$4:$D$9996,B4363,Movimentos!$C$4:$C$9996,"Saída"),""),"")</f>
        <v/>
      </c>
      <c r="F4363" s="10" t="str">
        <f t="shared" si="138"/>
        <v/>
      </c>
    </row>
    <row r="4364" spans="1:6" x14ac:dyDescent="0.3">
      <c r="A4364" s="15" t="str">
        <f t="shared" si="139"/>
        <v>.</v>
      </c>
      <c r="E4364" s="13" t="str">
        <f>IFERROR(IF(AND(B4364&lt;&gt;"",C4364&lt;&gt;""),SUMIFS(Movimentos!$F$4:$F$9996,Movimentos!$D$4:$D$9996,B4364,Movimentos!$C$4:$C$9996,"Entrada")-SUMIFS(Movimentos!$F$4:$F$9996,Movimentos!$D$4:$D$9996,B4364,Movimentos!$C$4:$C$9996,"Saída"),""),"")</f>
        <v/>
      </c>
      <c r="F4364" s="10" t="str">
        <f t="shared" si="138"/>
        <v/>
      </c>
    </row>
    <row r="4365" spans="1:6" x14ac:dyDescent="0.3">
      <c r="A4365" s="15" t="str">
        <f t="shared" si="139"/>
        <v>.</v>
      </c>
      <c r="E4365" s="13" t="str">
        <f>IFERROR(IF(AND(B4365&lt;&gt;"",C4365&lt;&gt;""),SUMIFS(Movimentos!$F$4:$F$9996,Movimentos!$D$4:$D$9996,B4365,Movimentos!$C$4:$C$9996,"Entrada")-SUMIFS(Movimentos!$F$4:$F$9996,Movimentos!$D$4:$D$9996,B4365,Movimentos!$C$4:$C$9996,"Saída"),""),"")</f>
        <v/>
      </c>
      <c r="F4365" s="10" t="str">
        <f t="shared" si="138"/>
        <v/>
      </c>
    </row>
    <row r="4366" spans="1:6" x14ac:dyDescent="0.3">
      <c r="A4366" s="15" t="str">
        <f t="shared" si="139"/>
        <v>.</v>
      </c>
      <c r="E4366" s="13" t="str">
        <f>IFERROR(IF(AND(B4366&lt;&gt;"",C4366&lt;&gt;""),SUMIFS(Movimentos!$F$4:$F$9996,Movimentos!$D$4:$D$9996,B4366,Movimentos!$C$4:$C$9996,"Entrada")-SUMIFS(Movimentos!$F$4:$F$9996,Movimentos!$D$4:$D$9996,B4366,Movimentos!$C$4:$C$9996,"Saída"),""),"")</f>
        <v/>
      </c>
      <c r="F4366" s="10" t="str">
        <f t="shared" si="138"/>
        <v/>
      </c>
    </row>
    <row r="4367" spans="1:6" x14ac:dyDescent="0.3">
      <c r="A4367" s="15" t="str">
        <f t="shared" si="139"/>
        <v>.</v>
      </c>
      <c r="E4367" s="13" t="str">
        <f>IFERROR(IF(AND(B4367&lt;&gt;"",C4367&lt;&gt;""),SUMIFS(Movimentos!$F$4:$F$9996,Movimentos!$D$4:$D$9996,B4367,Movimentos!$C$4:$C$9996,"Entrada")-SUMIFS(Movimentos!$F$4:$F$9996,Movimentos!$D$4:$D$9996,B4367,Movimentos!$C$4:$C$9996,"Saída"),""),"")</f>
        <v/>
      </c>
      <c r="F4367" s="10" t="str">
        <f t="shared" si="138"/>
        <v/>
      </c>
    </row>
    <row r="4368" spans="1:6" x14ac:dyDescent="0.3">
      <c r="A4368" s="15" t="str">
        <f t="shared" si="139"/>
        <v>.</v>
      </c>
      <c r="E4368" s="13" t="str">
        <f>IFERROR(IF(AND(B4368&lt;&gt;"",C4368&lt;&gt;""),SUMIFS(Movimentos!$F$4:$F$9996,Movimentos!$D$4:$D$9996,B4368,Movimentos!$C$4:$C$9996,"Entrada")-SUMIFS(Movimentos!$F$4:$F$9996,Movimentos!$D$4:$D$9996,B4368,Movimentos!$C$4:$C$9996,"Saída"),""),"")</f>
        <v/>
      </c>
      <c r="F4368" s="10" t="str">
        <f t="shared" si="138"/>
        <v/>
      </c>
    </row>
    <row r="4369" spans="1:6" x14ac:dyDescent="0.3">
      <c r="A4369" s="15" t="str">
        <f t="shared" si="139"/>
        <v>.</v>
      </c>
      <c r="E4369" s="13" t="str">
        <f>IFERROR(IF(AND(B4369&lt;&gt;"",C4369&lt;&gt;""),SUMIFS(Movimentos!$F$4:$F$9996,Movimentos!$D$4:$D$9996,B4369,Movimentos!$C$4:$C$9996,"Entrada")-SUMIFS(Movimentos!$F$4:$F$9996,Movimentos!$D$4:$D$9996,B4369,Movimentos!$C$4:$C$9996,"Saída"),""),"")</f>
        <v/>
      </c>
      <c r="F4369" s="10" t="str">
        <f t="shared" si="138"/>
        <v/>
      </c>
    </row>
    <row r="4370" spans="1:6" x14ac:dyDescent="0.3">
      <c r="A4370" s="15" t="str">
        <f t="shared" si="139"/>
        <v>.</v>
      </c>
      <c r="E4370" s="13" t="str">
        <f>IFERROR(IF(AND(B4370&lt;&gt;"",C4370&lt;&gt;""),SUMIFS(Movimentos!$F$4:$F$9996,Movimentos!$D$4:$D$9996,B4370,Movimentos!$C$4:$C$9996,"Entrada")-SUMIFS(Movimentos!$F$4:$F$9996,Movimentos!$D$4:$D$9996,B4370,Movimentos!$C$4:$C$9996,"Saída"),""),"")</f>
        <v/>
      </c>
      <c r="F4370" s="10" t="str">
        <f t="shared" si="138"/>
        <v/>
      </c>
    </row>
    <row r="4371" spans="1:6" x14ac:dyDescent="0.3">
      <c r="A4371" s="15" t="str">
        <f t="shared" si="139"/>
        <v>.</v>
      </c>
      <c r="E4371" s="13" t="str">
        <f>IFERROR(IF(AND(B4371&lt;&gt;"",C4371&lt;&gt;""),SUMIFS(Movimentos!$F$4:$F$9996,Movimentos!$D$4:$D$9996,B4371,Movimentos!$C$4:$C$9996,"Entrada")-SUMIFS(Movimentos!$F$4:$F$9996,Movimentos!$D$4:$D$9996,B4371,Movimentos!$C$4:$C$9996,"Saída"),""),"")</f>
        <v/>
      </c>
      <c r="F4371" s="10" t="str">
        <f t="shared" si="138"/>
        <v/>
      </c>
    </row>
    <row r="4372" spans="1:6" x14ac:dyDescent="0.3">
      <c r="A4372" s="15" t="str">
        <f t="shared" si="139"/>
        <v>.</v>
      </c>
      <c r="E4372" s="13" t="str">
        <f>IFERROR(IF(AND(B4372&lt;&gt;"",C4372&lt;&gt;""),SUMIFS(Movimentos!$F$4:$F$9996,Movimentos!$D$4:$D$9996,B4372,Movimentos!$C$4:$C$9996,"Entrada")-SUMIFS(Movimentos!$F$4:$F$9996,Movimentos!$D$4:$D$9996,B4372,Movimentos!$C$4:$C$9996,"Saída"),""),"")</f>
        <v/>
      </c>
      <c r="F4372" s="10" t="str">
        <f t="shared" si="138"/>
        <v/>
      </c>
    </row>
    <row r="4373" spans="1:6" x14ac:dyDescent="0.3">
      <c r="A4373" s="15" t="str">
        <f t="shared" si="139"/>
        <v>.</v>
      </c>
      <c r="E4373" s="13" t="str">
        <f>IFERROR(IF(AND(B4373&lt;&gt;"",C4373&lt;&gt;""),SUMIFS(Movimentos!$F$4:$F$9996,Movimentos!$D$4:$D$9996,B4373,Movimentos!$C$4:$C$9996,"Entrada")-SUMIFS(Movimentos!$F$4:$F$9996,Movimentos!$D$4:$D$9996,B4373,Movimentos!$C$4:$C$9996,"Saída"),""),"")</f>
        <v/>
      </c>
      <c r="F4373" s="10" t="str">
        <f t="shared" si="138"/>
        <v/>
      </c>
    </row>
    <row r="4374" spans="1:6" x14ac:dyDescent="0.3">
      <c r="A4374" s="15" t="str">
        <f t="shared" si="139"/>
        <v>.</v>
      </c>
      <c r="E4374" s="13" t="str">
        <f>IFERROR(IF(AND(B4374&lt;&gt;"",C4374&lt;&gt;""),SUMIFS(Movimentos!$F$4:$F$9996,Movimentos!$D$4:$D$9996,B4374,Movimentos!$C$4:$C$9996,"Entrada")-SUMIFS(Movimentos!$F$4:$F$9996,Movimentos!$D$4:$D$9996,B4374,Movimentos!$C$4:$C$9996,"Saída"),""),"")</f>
        <v/>
      </c>
      <c r="F4374" s="10" t="str">
        <f t="shared" si="138"/>
        <v/>
      </c>
    </row>
    <row r="4375" spans="1:6" x14ac:dyDescent="0.3">
      <c r="A4375" s="15" t="str">
        <f t="shared" si="139"/>
        <v>.</v>
      </c>
      <c r="E4375" s="13" t="str">
        <f>IFERROR(IF(AND(B4375&lt;&gt;"",C4375&lt;&gt;""),SUMIFS(Movimentos!$F$4:$F$9996,Movimentos!$D$4:$D$9996,B4375,Movimentos!$C$4:$C$9996,"Entrada")-SUMIFS(Movimentos!$F$4:$F$9996,Movimentos!$D$4:$D$9996,B4375,Movimentos!$C$4:$C$9996,"Saída"),""),"")</f>
        <v/>
      </c>
      <c r="F4375" s="10" t="str">
        <f t="shared" ref="F4375:F4438" si="140">IF(AND(B4375&lt;&gt;"",C4375&lt;&gt;""),IF(E4375=0,"Saldo zerado",IF(E4375&lt;D4375,"Saldo abaixo do mínimo","Saldo disponível")),"")</f>
        <v/>
      </c>
    </row>
    <row r="4376" spans="1:6" x14ac:dyDescent="0.3">
      <c r="A4376" s="15" t="str">
        <f t="shared" si="139"/>
        <v>.</v>
      </c>
      <c r="E4376" s="13" t="str">
        <f>IFERROR(IF(AND(B4376&lt;&gt;"",C4376&lt;&gt;""),SUMIFS(Movimentos!$F$4:$F$9996,Movimentos!$D$4:$D$9996,B4376,Movimentos!$C$4:$C$9996,"Entrada")-SUMIFS(Movimentos!$F$4:$F$9996,Movimentos!$D$4:$D$9996,B4376,Movimentos!$C$4:$C$9996,"Saída"),""),"")</f>
        <v/>
      </c>
      <c r="F4376" s="10" t="str">
        <f t="shared" si="140"/>
        <v/>
      </c>
    </row>
    <row r="4377" spans="1:6" x14ac:dyDescent="0.3">
      <c r="A4377" s="15" t="str">
        <f t="shared" si="139"/>
        <v>.</v>
      </c>
      <c r="E4377" s="13" t="str">
        <f>IFERROR(IF(AND(B4377&lt;&gt;"",C4377&lt;&gt;""),SUMIFS(Movimentos!$F$4:$F$9996,Movimentos!$D$4:$D$9996,B4377,Movimentos!$C$4:$C$9996,"Entrada")-SUMIFS(Movimentos!$F$4:$F$9996,Movimentos!$D$4:$D$9996,B4377,Movimentos!$C$4:$C$9996,"Saída"),""),"")</f>
        <v/>
      </c>
      <c r="F4377" s="10" t="str">
        <f t="shared" si="140"/>
        <v/>
      </c>
    </row>
    <row r="4378" spans="1:6" x14ac:dyDescent="0.3">
      <c r="A4378" s="15" t="str">
        <f t="shared" si="139"/>
        <v>.</v>
      </c>
      <c r="E4378" s="13" t="str">
        <f>IFERROR(IF(AND(B4378&lt;&gt;"",C4378&lt;&gt;""),SUMIFS(Movimentos!$F$4:$F$9996,Movimentos!$D$4:$D$9996,B4378,Movimentos!$C$4:$C$9996,"Entrada")-SUMIFS(Movimentos!$F$4:$F$9996,Movimentos!$D$4:$D$9996,B4378,Movimentos!$C$4:$C$9996,"Saída"),""),"")</f>
        <v/>
      </c>
      <c r="F4378" s="10" t="str">
        <f t="shared" si="140"/>
        <v/>
      </c>
    </row>
    <row r="4379" spans="1:6" x14ac:dyDescent="0.3">
      <c r="A4379" s="15" t="str">
        <f t="shared" si="139"/>
        <v>.</v>
      </c>
      <c r="E4379" s="13" t="str">
        <f>IFERROR(IF(AND(B4379&lt;&gt;"",C4379&lt;&gt;""),SUMIFS(Movimentos!$F$4:$F$9996,Movimentos!$D$4:$D$9996,B4379,Movimentos!$C$4:$C$9996,"Entrada")-SUMIFS(Movimentos!$F$4:$F$9996,Movimentos!$D$4:$D$9996,B4379,Movimentos!$C$4:$C$9996,"Saída"),""),"")</f>
        <v/>
      </c>
      <c r="F4379" s="10" t="str">
        <f t="shared" si="140"/>
        <v/>
      </c>
    </row>
    <row r="4380" spans="1:6" x14ac:dyDescent="0.3">
      <c r="A4380" s="15" t="str">
        <f t="shared" si="139"/>
        <v>.</v>
      </c>
      <c r="E4380" s="13" t="str">
        <f>IFERROR(IF(AND(B4380&lt;&gt;"",C4380&lt;&gt;""),SUMIFS(Movimentos!$F$4:$F$9996,Movimentos!$D$4:$D$9996,B4380,Movimentos!$C$4:$C$9996,"Entrada")-SUMIFS(Movimentos!$F$4:$F$9996,Movimentos!$D$4:$D$9996,B4380,Movimentos!$C$4:$C$9996,"Saída"),""),"")</f>
        <v/>
      </c>
      <c r="F4380" s="10" t="str">
        <f t="shared" si="140"/>
        <v/>
      </c>
    </row>
    <row r="4381" spans="1:6" x14ac:dyDescent="0.3">
      <c r="A4381" s="15" t="str">
        <f t="shared" si="139"/>
        <v>.</v>
      </c>
      <c r="E4381" s="13" t="str">
        <f>IFERROR(IF(AND(B4381&lt;&gt;"",C4381&lt;&gt;""),SUMIFS(Movimentos!$F$4:$F$9996,Movimentos!$D$4:$D$9996,B4381,Movimentos!$C$4:$C$9996,"Entrada")-SUMIFS(Movimentos!$F$4:$F$9996,Movimentos!$D$4:$D$9996,B4381,Movimentos!$C$4:$C$9996,"Saída"),""),"")</f>
        <v/>
      </c>
      <c r="F4381" s="10" t="str">
        <f t="shared" si="140"/>
        <v/>
      </c>
    </row>
    <row r="4382" spans="1:6" x14ac:dyDescent="0.3">
      <c r="A4382" s="15" t="str">
        <f t="shared" si="139"/>
        <v>.</v>
      </c>
      <c r="E4382" s="13" t="str">
        <f>IFERROR(IF(AND(B4382&lt;&gt;"",C4382&lt;&gt;""),SUMIFS(Movimentos!$F$4:$F$9996,Movimentos!$D$4:$D$9996,B4382,Movimentos!$C$4:$C$9996,"Entrada")-SUMIFS(Movimentos!$F$4:$F$9996,Movimentos!$D$4:$D$9996,B4382,Movimentos!$C$4:$C$9996,"Saída"),""),"")</f>
        <v/>
      </c>
      <c r="F4382" s="10" t="str">
        <f t="shared" si="140"/>
        <v/>
      </c>
    </row>
    <row r="4383" spans="1:6" x14ac:dyDescent="0.3">
      <c r="A4383" s="15" t="str">
        <f t="shared" si="139"/>
        <v>.</v>
      </c>
      <c r="E4383" s="13" t="str">
        <f>IFERROR(IF(AND(B4383&lt;&gt;"",C4383&lt;&gt;""),SUMIFS(Movimentos!$F$4:$F$9996,Movimentos!$D$4:$D$9996,B4383,Movimentos!$C$4:$C$9996,"Entrada")-SUMIFS(Movimentos!$F$4:$F$9996,Movimentos!$D$4:$D$9996,B4383,Movimentos!$C$4:$C$9996,"Saída"),""),"")</f>
        <v/>
      </c>
      <c r="F4383" s="10" t="str">
        <f t="shared" si="140"/>
        <v/>
      </c>
    </row>
    <row r="4384" spans="1:6" x14ac:dyDescent="0.3">
      <c r="A4384" s="15" t="str">
        <f t="shared" si="139"/>
        <v>.</v>
      </c>
      <c r="E4384" s="13" t="str">
        <f>IFERROR(IF(AND(B4384&lt;&gt;"",C4384&lt;&gt;""),SUMIFS(Movimentos!$F$4:$F$9996,Movimentos!$D$4:$D$9996,B4384,Movimentos!$C$4:$C$9996,"Entrada")-SUMIFS(Movimentos!$F$4:$F$9996,Movimentos!$D$4:$D$9996,B4384,Movimentos!$C$4:$C$9996,"Saída"),""),"")</f>
        <v/>
      </c>
      <c r="F4384" s="10" t="str">
        <f t="shared" si="140"/>
        <v/>
      </c>
    </row>
    <row r="4385" spans="1:6" x14ac:dyDescent="0.3">
      <c r="A4385" s="15" t="str">
        <f t="shared" si="139"/>
        <v>.</v>
      </c>
      <c r="E4385" s="13" t="str">
        <f>IFERROR(IF(AND(B4385&lt;&gt;"",C4385&lt;&gt;""),SUMIFS(Movimentos!$F$4:$F$9996,Movimentos!$D$4:$D$9996,B4385,Movimentos!$C$4:$C$9996,"Entrada")-SUMIFS(Movimentos!$F$4:$F$9996,Movimentos!$D$4:$D$9996,B4385,Movimentos!$C$4:$C$9996,"Saída"),""),"")</f>
        <v/>
      </c>
      <c r="F4385" s="10" t="str">
        <f t="shared" si="140"/>
        <v/>
      </c>
    </row>
    <row r="4386" spans="1:6" x14ac:dyDescent="0.3">
      <c r="A4386" s="15" t="str">
        <f t="shared" si="139"/>
        <v>.</v>
      </c>
      <c r="E4386" s="13" t="str">
        <f>IFERROR(IF(AND(B4386&lt;&gt;"",C4386&lt;&gt;""),SUMIFS(Movimentos!$F$4:$F$9996,Movimentos!$D$4:$D$9996,B4386,Movimentos!$C$4:$C$9996,"Entrada")-SUMIFS(Movimentos!$F$4:$F$9996,Movimentos!$D$4:$D$9996,B4386,Movimentos!$C$4:$C$9996,"Saída"),""),"")</f>
        <v/>
      </c>
      <c r="F4386" s="10" t="str">
        <f t="shared" si="140"/>
        <v/>
      </c>
    </row>
    <row r="4387" spans="1:6" x14ac:dyDescent="0.3">
      <c r="A4387" s="15" t="str">
        <f t="shared" si="139"/>
        <v>.</v>
      </c>
      <c r="E4387" s="13" t="str">
        <f>IFERROR(IF(AND(B4387&lt;&gt;"",C4387&lt;&gt;""),SUMIFS(Movimentos!$F$4:$F$9996,Movimentos!$D$4:$D$9996,B4387,Movimentos!$C$4:$C$9996,"Entrada")-SUMIFS(Movimentos!$F$4:$F$9996,Movimentos!$D$4:$D$9996,B4387,Movimentos!$C$4:$C$9996,"Saída"),""),"")</f>
        <v/>
      </c>
      <c r="F4387" s="10" t="str">
        <f t="shared" si="140"/>
        <v/>
      </c>
    </row>
    <row r="4388" spans="1:6" x14ac:dyDescent="0.3">
      <c r="A4388" s="15" t="str">
        <f t="shared" si="139"/>
        <v>.</v>
      </c>
      <c r="E4388" s="13" t="str">
        <f>IFERROR(IF(AND(B4388&lt;&gt;"",C4388&lt;&gt;""),SUMIFS(Movimentos!$F$4:$F$9996,Movimentos!$D$4:$D$9996,B4388,Movimentos!$C$4:$C$9996,"Entrada")-SUMIFS(Movimentos!$F$4:$F$9996,Movimentos!$D$4:$D$9996,B4388,Movimentos!$C$4:$C$9996,"Saída"),""),"")</f>
        <v/>
      </c>
      <c r="F4388" s="10" t="str">
        <f t="shared" si="140"/>
        <v/>
      </c>
    </row>
    <row r="4389" spans="1:6" x14ac:dyDescent="0.3">
      <c r="A4389" s="15" t="str">
        <f t="shared" si="139"/>
        <v>.</v>
      </c>
      <c r="E4389" s="13" t="str">
        <f>IFERROR(IF(AND(B4389&lt;&gt;"",C4389&lt;&gt;""),SUMIFS(Movimentos!$F$4:$F$9996,Movimentos!$D$4:$D$9996,B4389,Movimentos!$C$4:$C$9996,"Entrada")-SUMIFS(Movimentos!$F$4:$F$9996,Movimentos!$D$4:$D$9996,B4389,Movimentos!$C$4:$C$9996,"Saída"),""),"")</f>
        <v/>
      </c>
      <c r="F4389" s="10" t="str">
        <f t="shared" si="140"/>
        <v/>
      </c>
    </row>
    <row r="4390" spans="1:6" x14ac:dyDescent="0.3">
      <c r="A4390" s="15" t="str">
        <f t="shared" si="139"/>
        <v>.</v>
      </c>
      <c r="E4390" s="13" t="str">
        <f>IFERROR(IF(AND(B4390&lt;&gt;"",C4390&lt;&gt;""),SUMIFS(Movimentos!$F$4:$F$9996,Movimentos!$D$4:$D$9996,B4390,Movimentos!$C$4:$C$9996,"Entrada")-SUMIFS(Movimentos!$F$4:$F$9996,Movimentos!$D$4:$D$9996,B4390,Movimentos!$C$4:$C$9996,"Saída"),""),"")</f>
        <v/>
      </c>
      <c r="F4390" s="10" t="str">
        <f t="shared" si="140"/>
        <v/>
      </c>
    </row>
    <row r="4391" spans="1:6" x14ac:dyDescent="0.3">
      <c r="A4391" s="15" t="str">
        <f t="shared" si="139"/>
        <v>.</v>
      </c>
      <c r="E4391" s="13" t="str">
        <f>IFERROR(IF(AND(B4391&lt;&gt;"",C4391&lt;&gt;""),SUMIFS(Movimentos!$F$4:$F$9996,Movimentos!$D$4:$D$9996,B4391,Movimentos!$C$4:$C$9996,"Entrada")-SUMIFS(Movimentos!$F$4:$F$9996,Movimentos!$D$4:$D$9996,B4391,Movimentos!$C$4:$C$9996,"Saída"),""),"")</f>
        <v/>
      </c>
      <c r="F4391" s="10" t="str">
        <f t="shared" si="140"/>
        <v/>
      </c>
    </row>
    <row r="4392" spans="1:6" x14ac:dyDescent="0.3">
      <c r="A4392" s="15" t="str">
        <f t="shared" si="139"/>
        <v>.</v>
      </c>
      <c r="E4392" s="13" t="str">
        <f>IFERROR(IF(AND(B4392&lt;&gt;"",C4392&lt;&gt;""),SUMIFS(Movimentos!$F$4:$F$9996,Movimentos!$D$4:$D$9996,B4392,Movimentos!$C$4:$C$9996,"Entrada")-SUMIFS(Movimentos!$F$4:$F$9996,Movimentos!$D$4:$D$9996,B4392,Movimentos!$C$4:$C$9996,"Saída"),""),"")</f>
        <v/>
      </c>
      <c r="F4392" s="10" t="str">
        <f t="shared" si="140"/>
        <v/>
      </c>
    </row>
    <row r="4393" spans="1:6" x14ac:dyDescent="0.3">
      <c r="A4393" s="15" t="str">
        <f t="shared" si="139"/>
        <v>.</v>
      </c>
      <c r="E4393" s="13" t="str">
        <f>IFERROR(IF(AND(B4393&lt;&gt;"",C4393&lt;&gt;""),SUMIFS(Movimentos!$F$4:$F$9996,Movimentos!$D$4:$D$9996,B4393,Movimentos!$C$4:$C$9996,"Entrada")-SUMIFS(Movimentos!$F$4:$F$9996,Movimentos!$D$4:$D$9996,B4393,Movimentos!$C$4:$C$9996,"Saída"),""),"")</f>
        <v/>
      </c>
      <c r="F4393" s="10" t="str">
        <f t="shared" si="140"/>
        <v/>
      </c>
    </row>
    <row r="4394" spans="1:6" x14ac:dyDescent="0.3">
      <c r="A4394" s="15" t="str">
        <f t="shared" si="139"/>
        <v>.</v>
      </c>
      <c r="E4394" s="13" t="str">
        <f>IFERROR(IF(AND(B4394&lt;&gt;"",C4394&lt;&gt;""),SUMIFS(Movimentos!$F$4:$F$9996,Movimentos!$D$4:$D$9996,B4394,Movimentos!$C$4:$C$9996,"Entrada")-SUMIFS(Movimentos!$F$4:$F$9996,Movimentos!$D$4:$D$9996,B4394,Movimentos!$C$4:$C$9996,"Saída"),""),"")</f>
        <v/>
      </c>
      <c r="F4394" s="10" t="str">
        <f t="shared" si="140"/>
        <v/>
      </c>
    </row>
    <row r="4395" spans="1:6" x14ac:dyDescent="0.3">
      <c r="A4395" s="15" t="str">
        <f t="shared" si="139"/>
        <v>.</v>
      </c>
      <c r="E4395" s="13" t="str">
        <f>IFERROR(IF(AND(B4395&lt;&gt;"",C4395&lt;&gt;""),SUMIFS(Movimentos!$F$4:$F$9996,Movimentos!$D$4:$D$9996,B4395,Movimentos!$C$4:$C$9996,"Entrada")-SUMIFS(Movimentos!$F$4:$F$9996,Movimentos!$D$4:$D$9996,B4395,Movimentos!$C$4:$C$9996,"Saída"),""),"")</f>
        <v/>
      </c>
      <c r="F4395" s="10" t="str">
        <f t="shared" si="140"/>
        <v/>
      </c>
    </row>
    <row r="4396" spans="1:6" x14ac:dyDescent="0.3">
      <c r="A4396" s="15" t="str">
        <f t="shared" si="139"/>
        <v>.</v>
      </c>
      <c r="E4396" s="13" t="str">
        <f>IFERROR(IF(AND(B4396&lt;&gt;"",C4396&lt;&gt;""),SUMIFS(Movimentos!$F$4:$F$9996,Movimentos!$D$4:$D$9996,B4396,Movimentos!$C$4:$C$9996,"Entrada")-SUMIFS(Movimentos!$F$4:$F$9996,Movimentos!$D$4:$D$9996,B4396,Movimentos!$C$4:$C$9996,"Saída"),""),"")</f>
        <v/>
      </c>
      <c r="F4396" s="10" t="str">
        <f t="shared" si="140"/>
        <v/>
      </c>
    </row>
    <row r="4397" spans="1:6" x14ac:dyDescent="0.3">
      <c r="A4397" s="15" t="str">
        <f t="shared" si="139"/>
        <v>.</v>
      </c>
      <c r="E4397" s="13" t="str">
        <f>IFERROR(IF(AND(B4397&lt;&gt;"",C4397&lt;&gt;""),SUMIFS(Movimentos!$F$4:$F$9996,Movimentos!$D$4:$D$9996,B4397,Movimentos!$C$4:$C$9996,"Entrada")-SUMIFS(Movimentos!$F$4:$F$9996,Movimentos!$D$4:$D$9996,B4397,Movimentos!$C$4:$C$9996,"Saída"),""),"")</f>
        <v/>
      </c>
      <c r="F4397" s="10" t="str">
        <f t="shared" si="140"/>
        <v/>
      </c>
    </row>
    <row r="4398" spans="1:6" x14ac:dyDescent="0.3">
      <c r="A4398" s="15" t="str">
        <f t="shared" si="139"/>
        <v>.</v>
      </c>
      <c r="E4398" s="13" t="str">
        <f>IFERROR(IF(AND(B4398&lt;&gt;"",C4398&lt;&gt;""),SUMIFS(Movimentos!$F$4:$F$9996,Movimentos!$D$4:$D$9996,B4398,Movimentos!$C$4:$C$9996,"Entrada")-SUMIFS(Movimentos!$F$4:$F$9996,Movimentos!$D$4:$D$9996,B4398,Movimentos!$C$4:$C$9996,"Saída"),""),"")</f>
        <v/>
      </c>
      <c r="F4398" s="10" t="str">
        <f t="shared" si="140"/>
        <v/>
      </c>
    </row>
    <row r="4399" spans="1:6" x14ac:dyDescent="0.3">
      <c r="A4399" s="15" t="str">
        <f t="shared" si="139"/>
        <v>.</v>
      </c>
      <c r="E4399" s="13" t="str">
        <f>IFERROR(IF(AND(B4399&lt;&gt;"",C4399&lt;&gt;""),SUMIFS(Movimentos!$F$4:$F$9996,Movimentos!$D$4:$D$9996,B4399,Movimentos!$C$4:$C$9996,"Entrada")-SUMIFS(Movimentos!$F$4:$F$9996,Movimentos!$D$4:$D$9996,B4399,Movimentos!$C$4:$C$9996,"Saída"),""),"")</f>
        <v/>
      </c>
      <c r="F4399" s="10" t="str">
        <f t="shared" si="140"/>
        <v/>
      </c>
    </row>
    <row r="4400" spans="1:6" x14ac:dyDescent="0.3">
      <c r="A4400" s="15" t="str">
        <f t="shared" si="139"/>
        <v>.</v>
      </c>
      <c r="E4400" s="13" t="str">
        <f>IFERROR(IF(AND(B4400&lt;&gt;"",C4400&lt;&gt;""),SUMIFS(Movimentos!$F$4:$F$9996,Movimentos!$D$4:$D$9996,B4400,Movimentos!$C$4:$C$9996,"Entrada")-SUMIFS(Movimentos!$F$4:$F$9996,Movimentos!$D$4:$D$9996,B4400,Movimentos!$C$4:$C$9996,"Saída"),""),"")</f>
        <v/>
      </c>
      <c r="F4400" s="10" t="str">
        <f t="shared" si="140"/>
        <v/>
      </c>
    </row>
    <row r="4401" spans="1:6" x14ac:dyDescent="0.3">
      <c r="A4401" s="15" t="str">
        <f t="shared" si="139"/>
        <v>.</v>
      </c>
      <c r="E4401" s="13" t="str">
        <f>IFERROR(IF(AND(B4401&lt;&gt;"",C4401&lt;&gt;""),SUMIFS(Movimentos!$F$4:$F$9996,Movimentos!$D$4:$D$9996,B4401,Movimentos!$C$4:$C$9996,"Entrada")-SUMIFS(Movimentos!$F$4:$F$9996,Movimentos!$D$4:$D$9996,B4401,Movimentos!$C$4:$C$9996,"Saída"),""),"")</f>
        <v/>
      </c>
      <c r="F4401" s="10" t="str">
        <f t="shared" si="140"/>
        <v/>
      </c>
    </row>
    <row r="4402" spans="1:6" x14ac:dyDescent="0.3">
      <c r="A4402" s="15" t="str">
        <f t="shared" si="139"/>
        <v>.</v>
      </c>
      <c r="E4402" s="13" t="str">
        <f>IFERROR(IF(AND(B4402&lt;&gt;"",C4402&lt;&gt;""),SUMIFS(Movimentos!$F$4:$F$9996,Movimentos!$D$4:$D$9996,B4402,Movimentos!$C$4:$C$9996,"Entrada")-SUMIFS(Movimentos!$F$4:$F$9996,Movimentos!$D$4:$D$9996,B4402,Movimentos!$C$4:$C$9996,"Saída"),""),"")</f>
        <v/>
      </c>
      <c r="F4402" s="10" t="str">
        <f t="shared" si="140"/>
        <v/>
      </c>
    </row>
    <row r="4403" spans="1:6" x14ac:dyDescent="0.3">
      <c r="A4403" s="15" t="str">
        <f t="shared" si="139"/>
        <v>.</v>
      </c>
      <c r="E4403" s="13" t="str">
        <f>IFERROR(IF(AND(B4403&lt;&gt;"",C4403&lt;&gt;""),SUMIFS(Movimentos!$F$4:$F$9996,Movimentos!$D$4:$D$9996,B4403,Movimentos!$C$4:$C$9996,"Entrada")-SUMIFS(Movimentos!$F$4:$F$9996,Movimentos!$D$4:$D$9996,B4403,Movimentos!$C$4:$C$9996,"Saída"),""),"")</f>
        <v/>
      </c>
      <c r="F4403" s="10" t="str">
        <f t="shared" si="140"/>
        <v/>
      </c>
    </row>
    <row r="4404" spans="1:6" x14ac:dyDescent="0.3">
      <c r="A4404" s="15" t="str">
        <f t="shared" si="139"/>
        <v>.</v>
      </c>
      <c r="E4404" s="13" t="str">
        <f>IFERROR(IF(AND(B4404&lt;&gt;"",C4404&lt;&gt;""),SUMIFS(Movimentos!$F$4:$F$9996,Movimentos!$D$4:$D$9996,B4404,Movimentos!$C$4:$C$9996,"Entrada")-SUMIFS(Movimentos!$F$4:$F$9996,Movimentos!$D$4:$D$9996,B4404,Movimentos!$C$4:$C$9996,"Saída"),""),"")</f>
        <v/>
      </c>
      <c r="F4404" s="10" t="str">
        <f t="shared" si="140"/>
        <v/>
      </c>
    </row>
    <row r="4405" spans="1:6" x14ac:dyDescent="0.3">
      <c r="A4405" s="15" t="str">
        <f t="shared" si="139"/>
        <v>.</v>
      </c>
      <c r="E4405" s="13" t="str">
        <f>IFERROR(IF(AND(B4405&lt;&gt;"",C4405&lt;&gt;""),SUMIFS(Movimentos!$F$4:$F$9996,Movimentos!$D$4:$D$9996,B4405,Movimentos!$C$4:$C$9996,"Entrada")-SUMIFS(Movimentos!$F$4:$F$9996,Movimentos!$D$4:$D$9996,B4405,Movimentos!$C$4:$C$9996,"Saída"),""),"")</f>
        <v/>
      </c>
      <c r="F4405" s="10" t="str">
        <f t="shared" si="140"/>
        <v/>
      </c>
    </row>
    <row r="4406" spans="1:6" x14ac:dyDescent="0.3">
      <c r="A4406" s="15" t="str">
        <f t="shared" si="139"/>
        <v>.</v>
      </c>
      <c r="E4406" s="13" t="str">
        <f>IFERROR(IF(AND(B4406&lt;&gt;"",C4406&lt;&gt;""),SUMIFS(Movimentos!$F$4:$F$9996,Movimentos!$D$4:$D$9996,B4406,Movimentos!$C$4:$C$9996,"Entrada")-SUMIFS(Movimentos!$F$4:$F$9996,Movimentos!$D$4:$D$9996,B4406,Movimentos!$C$4:$C$9996,"Saída"),""),"")</f>
        <v/>
      </c>
      <c r="F4406" s="10" t="str">
        <f t="shared" si="140"/>
        <v/>
      </c>
    </row>
    <row r="4407" spans="1:6" x14ac:dyDescent="0.3">
      <c r="A4407" s="15" t="str">
        <f t="shared" si="139"/>
        <v>.</v>
      </c>
      <c r="E4407" s="13" t="str">
        <f>IFERROR(IF(AND(B4407&lt;&gt;"",C4407&lt;&gt;""),SUMIFS(Movimentos!$F$4:$F$9996,Movimentos!$D$4:$D$9996,B4407,Movimentos!$C$4:$C$9996,"Entrada")-SUMIFS(Movimentos!$F$4:$F$9996,Movimentos!$D$4:$D$9996,B4407,Movimentos!$C$4:$C$9996,"Saída"),""),"")</f>
        <v/>
      </c>
      <c r="F4407" s="10" t="str">
        <f t="shared" si="140"/>
        <v/>
      </c>
    </row>
    <row r="4408" spans="1:6" x14ac:dyDescent="0.3">
      <c r="A4408" s="15" t="str">
        <f t="shared" si="139"/>
        <v>.</v>
      </c>
      <c r="E4408" s="13" t="str">
        <f>IFERROR(IF(AND(B4408&lt;&gt;"",C4408&lt;&gt;""),SUMIFS(Movimentos!$F$4:$F$9996,Movimentos!$D$4:$D$9996,B4408,Movimentos!$C$4:$C$9996,"Entrada")-SUMIFS(Movimentos!$F$4:$F$9996,Movimentos!$D$4:$D$9996,B4408,Movimentos!$C$4:$C$9996,"Saída"),""),"")</f>
        <v/>
      </c>
      <c r="F4408" s="10" t="str">
        <f t="shared" si="140"/>
        <v/>
      </c>
    </row>
    <row r="4409" spans="1:6" x14ac:dyDescent="0.3">
      <c r="A4409" s="15" t="str">
        <f t="shared" si="139"/>
        <v>.</v>
      </c>
      <c r="E4409" s="13" t="str">
        <f>IFERROR(IF(AND(B4409&lt;&gt;"",C4409&lt;&gt;""),SUMIFS(Movimentos!$F$4:$F$9996,Movimentos!$D$4:$D$9996,B4409,Movimentos!$C$4:$C$9996,"Entrada")-SUMIFS(Movimentos!$F$4:$F$9996,Movimentos!$D$4:$D$9996,B4409,Movimentos!$C$4:$C$9996,"Saída"),""),"")</f>
        <v/>
      </c>
      <c r="F4409" s="10" t="str">
        <f t="shared" si="140"/>
        <v/>
      </c>
    </row>
    <row r="4410" spans="1:6" x14ac:dyDescent="0.3">
      <c r="A4410" s="15" t="str">
        <f t="shared" si="139"/>
        <v>.</v>
      </c>
      <c r="E4410" s="13" t="str">
        <f>IFERROR(IF(AND(B4410&lt;&gt;"",C4410&lt;&gt;""),SUMIFS(Movimentos!$F$4:$F$9996,Movimentos!$D$4:$D$9996,B4410,Movimentos!$C$4:$C$9996,"Entrada")-SUMIFS(Movimentos!$F$4:$F$9996,Movimentos!$D$4:$D$9996,B4410,Movimentos!$C$4:$C$9996,"Saída"),""),"")</f>
        <v/>
      </c>
      <c r="F4410" s="10" t="str">
        <f t="shared" si="140"/>
        <v/>
      </c>
    </row>
    <row r="4411" spans="1:6" x14ac:dyDescent="0.3">
      <c r="A4411" s="15" t="str">
        <f t="shared" si="139"/>
        <v>.</v>
      </c>
      <c r="E4411" s="13" t="str">
        <f>IFERROR(IF(AND(B4411&lt;&gt;"",C4411&lt;&gt;""),SUMIFS(Movimentos!$F$4:$F$9996,Movimentos!$D$4:$D$9996,B4411,Movimentos!$C$4:$C$9996,"Entrada")-SUMIFS(Movimentos!$F$4:$F$9996,Movimentos!$D$4:$D$9996,B4411,Movimentos!$C$4:$C$9996,"Saída"),""),"")</f>
        <v/>
      </c>
      <c r="F4411" s="10" t="str">
        <f t="shared" si="140"/>
        <v/>
      </c>
    </row>
    <row r="4412" spans="1:6" x14ac:dyDescent="0.3">
      <c r="A4412" s="15" t="str">
        <f t="shared" si="139"/>
        <v>.</v>
      </c>
      <c r="E4412" s="13" t="str">
        <f>IFERROR(IF(AND(B4412&lt;&gt;"",C4412&lt;&gt;""),SUMIFS(Movimentos!$F$4:$F$9996,Movimentos!$D$4:$D$9996,B4412,Movimentos!$C$4:$C$9996,"Entrada")-SUMIFS(Movimentos!$F$4:$F$9996,Movimentos!$D$4:$D$9996,B4412,Movimentos!$C$4:$C$9996,"Saída"),""),"")</f>
        <v/>
      </c>
      <c r="F4412" s="10" t="str">
        <f t="shared" si="140"/>
        <v/>
      </c>
    </row>
    <row r="4413" spans="1:6" x14ac:dyDescent="0.3">
      <c r="A4413" s="15" t="str">
        <f t="shared" si="139"/>
        <v>.</v>
      </c>
      <c r="E4413" s="13" t="str">
        <f>IFERROR(IF(AND(B4413&lt;&gt;"",C4413&lt;&gt;""),SUMIFS(Movimentos!$F$4:$F$9996,Movimentos!$D$4:$D$9996,B4413,Movimentos!$C$4:$C$9996,"Entrada")-SUMIFS(Movimentos!$F$4:$F$9996,Movimentos!$D$4:$D$9996,B4413,Movimentos!$C$4:$C$9996,"Saída"),""),"")</f>
        <v/>
      </c>
      <c r="F4413" s="10" t="str">
        <f t="shared" si="140"/>
        <v/>
      </c>
    </row>
    <row r="4414" spans="1:6" x14ac:dyDescent="0.3">
      <c r="A4414" s="15" t="str">
        <f t="shared" si="139"/>
        <v>.</v>
      </c>
      <c r="E4414" s="13" t="str">
        <f>IFERROR(IF(AND(B4414&lt;&gt;"",C4414&lt;&gt;""),SUMIFS(Movimentos!$F$4:$F$9996,Movimentos!$D$4:$D$9996,B4414,Movimentos!$C$4:$C$9996,"Entrada")-SUMIFS(Movimentos!$F$4:$F$9996,Movimentos!$D$4:$D$9996,B4414,Movimentos!$C$4:$C$9996,"Saída"),""),"")</f>
        <v/>
      </c>
      <c r="F4414" s="10" t="str">
        <f t="shared" si="140"/>
        <v/>
      </c>
    </row>
    <row r="4415" spans="1:6" x14ac:dyDescent="0.3">
      <c r="A4415" s="15" t="str">
        <f t="shared" si="139"/>
        <v>.</v>
      </c>
      <c r="E4415" s="13" t="str">
        <f>IFERROR(IF(AND(B4415&lt;&gt;"",C4415&lt;&gt;""),SUMIFS(Movimentos!$F$4:$F$9996,Movimentos!$D$4:$D$9996,B4415,Movimentos!$C$4:$C$9996,"Entrada")-SUMIFS(Movimentos!$F$4:$F$9996,Movimentos!$D$4:$D$9996,B4415,Movimentos!$C$4:$C$9996,"Saída"),""),"")</f>
        <v/>
      </c>
      <c r="F4415" s="10" t="str">
        <f t="shared" si="140"/>
        <v/>
      </c>
    </row>
    <row r="4416" spans="1:6" x14ac:dyDescent="0.3">
      <c r="A4416" s="15" t="str">
        <f t="shared" ref="A4416:A4479" si="141">IF(F4416="Saldo zerado",0,IF(F4416="Saldo abaixo do mínimo",1,IF(F4416="Saldo disponível",2,".")))</f>
        <v>.</v>
      </c>
      <c r="E4416" s="13" t="str">
        <f>IFERROR(IF(AND(B4416&lt;&gt;"",C4416&lt;&gt;""),SUMIFS(Movimentos!$F$4:$F$9996,Movimentos!$D$4:$D$9996,B4416,Movimentos!$C$4:$C$9996,"Entrada")-SUMIFS(Movimentos!$F$4:$F$9996,Movimentos!$D$4:$D$9996,B4416,Movimentos!$C$4:$C$9996,"Saída"),""),"")</f>
        <v/>
      </c>
      <c r="F4416" s="10" t="str">
        <f t="shared" si="140"/>
        <v/>
      </c>
    </row>
    <row r="4417" spans="1:6" x14ac:dyDescent="0.3">
      <c r="A4417" s="15" t="str">
        <f t="shared" si="141"/>
        <v>.</v>
      </c>
      <c r="E4417" s="13" t="str">
        <f>IFERROR(IF(AND(B4417&lt;&gt;"",C4417&lt;&gt;""),SUMIFS(Movimentos!$F$4:$F$9996,Movimentos!$D$4:$D$9996,B4417,Movimentos!$C$4:$C$9996,"Entrada")-SUMIFS(Movimentos!$F$4:$F$9996,Movimentos!$D$4:$D$9996,B4417,Movimentos!$C$4:$C$9996,"Saída"),""),"")</f>
        <v/>
      </c>
      <c r="F4417" s="10" t="str">
        <f t="shared" si="140"/>
        <v/>
      </c>
    </row>
    <row r="4418" spans="1:6" x14ac:dyDescent="0.3">
      <c r="A4418" s="15" t="str">
        <f t="shared" si="141"/>
        <v>.</v>
      </c>
      <c r="E4418" s="13" t="str">
        <f>IFERROR(IF(AND(B4418&lt;&gt;"",C4418&lt;&gt;""),SUMIFS(Movimentos!$F$4:$F$9996,Movimentos!$D$4:$D$9996,B4418,Movimentos!$C$4:$C$9996,"Entrada")-SUMIFS(Movimentos!$F$4:$F$9996,Movimentos!$D$4:$D$9996,B4418,Movimentos!$C$4:$C$9996,"Saída"),""),"")</f>
        <v/>
      </c>
      <c r="F4418" s="10" t="str">
        <f t="shared" si="140"/>
        <v/>
      </c>
    </row>
    <row r="4419" spans="1:6" x14ac:dyDescent="0.3">
      <c r="A4419" s="15" t="str">
        <f t="shared" si="141"/>
        <v>.</v>
      </c>
      <c r="E4419" s="13" t="str">
        <f>IFERROR(IF(AND(B4419&lt;&gt;"",C4419&lt;&gt;""),SUMIFS(Movimentos!$F$4:$F$9996,Movimentos!$D$4:$D$9996,B4419,Movimentos!$C$4:$C$9996,"Entrada")-SUMIFS(Movimentos!$F$4:$F$9996,Movimentos!$D$4:$D$9996,B4419,Movimentos!$C$4:$C$9996,"Saída"),""),"")</f>
        <v/>
      </c>
      <c r="F4419" s="10" t="str">
        <f t="shared" si="140"/>
        <v/>
      </c>
    </row>
    <row r="4420" spans="1:6" x14ac:dyDescent="0.3">
      <c r="A4420" s="15" t="str">
        <f t="shared" si="141"/>
        <v>.</v>
      </c>
      <c r="E4420" s="13" t="str">
        <f>IFERROR(IF(AND(B4420&lt;&gt;"",C4420&lt;&gt;""),SUMIFS(Movimentos!$F$4:$F$9996,Movimentos!$D$4:$D$9996,B4420,Movimentos!$C$4:$C$9996,"Entrada")-SUMIFS(Movimentos!$F$4:$F$9996,Movimentos!$D$4:$D$9996,B4420,Movimentos!$C$4:$C$9996,"Saída"),""),"")</f>
        <v/>
      </c>
      <c r="F4420" s="10" t="str">
        <f t="shared" si="140"/>
        <v/>
      </c>
    </row>
    <row r="4421" spans="1:6" x14ac:dyDescent="0.3">
      <c r="A4421" s="15" t="str">
        <f t="shared" si="141"/>
        <v>.</v>
      </c>
      <c r="E4421" s="13" t="str">
        <f>IFERROR(IF(AND(B4421&lt;&gt;"",C4421&lt;&gt;""),SUMIFS(Movimentos!$F$4:$F$9996,Movimentos!$D$4:$D$9996,B4421,Movimentos!$C$4:$C$9996,"Entrada")-SUMIFS(Movimentos!$F$4:$F$9996,Movimentos!$D$4:$D$9996,B4421,Movimentos!$C$4:$C$9996,"Saída"),""),"")</f>
        <v/>
      </c>
      <c r="F4421" s="10" t="str">
        <f t="shared" si="140"/>
        <v/>
      </c>
    </row>
    <row r="4422" spans="1:6" x14ac:dyDescent="0.3">
      <c r="A4422" s="15" t="str">
        <f t="shared" si="141"/>
        <v>.</v>
      </c>
      <c r="E4422" s="13" t="str">
        <f>IFERROR(IF(AND(B4422&lt;&gt;"",C4422&lt;&gt;""),SUMIFS(Movimentos!$F$4:$F$9996,Movimentos!$D$4:$D$9996,B4422,Movimentos!$C$4:$C$9996,"Entrada")-SUMIFS(Movimentos!$F$4:$F$9996,Movimentos!$D$4:$D$9996,B4422,Movimentos!$C$4:$C$9996,"Saída"),""),"")</f>
        <v/>
      </c>
      <c r="F4422" s="10" t="str">
        <f t="shared" si="140"/>
        <v/>
      </c>
    </row>
    <row r="4423" spans="1:6" x14ac:dyDescent="0.3">
      <c r="A4423" s="15" t="str">
        <f t="shared" si="141"/>
        <v>.</v>
      </c>
      <c r="E4423" s="13" t="str">
        <f>IFERROR(IF(AND(B4423&lt;&gt;"",C4423&lt;&gt;""),SUMIFS(Movimentos!$F$4:$F$9996,Movimentos!$D$4:$D$9996,B4423,Movimentos!$C$4:$C$9996,"Entrada")-SUMIFS(Movimentos!$F$4:$F$9996,Movimentos!$D$4:$D$9996,B4423,Movimentos!$C$4:$C$9996,"Saída"),""),"")</f>
        <v/>
      </c>
      <c r="F4423" s="10" t="str">
        <f t="shared" si="140"/>
        <v/>
      </c>
    </row>
    <row r="4424" spans="1:6" x14ac:dyDescent="0.3">
      <c r="A4424" s="15" t="str">
        <f t="shared" si="141"/>
        <v>.</v>
      </c>
      <c r="E4424" s="13" t="str">
        <f>IFERROR(IF(AND(B4424&lt;&gt;"",C4424&lt;&gt;""),SUMIFS(Movimentos!$F$4:$F$9996,Movimentos!$D$4:$D$9996,B4424,Movimentos!$C$4:$C$9996,"Entrada")-SUMIFS(Movimentos!$F$4:$F$9996,Movimentos!$D$4:$D$9996,B4424,Movimentos!$C$4:$C$9996,"Saída"),""),"")</f>
        <v/>
      </c>
      <c r="F4424" s="10" t="str">
        <f t="shared" si="140"/>
        <v/>
      </c>
    </row>
    <row r="4425" spans="1:6" x14ac:dyDescent="0.3">
      <c r="A4425" s="15" t="str">
        <f t="shared" si="141"/>
        <v>.</v>
      </c>
      <c r="E4425" s="13" t="str">
        <f>IFERROR(IF(AND(B4425&lt;&gt;"",C4425&lt;&gt;""),SUMIFS(Movimentos!$F$4:$F$9996,Movimentos!$D$4:$D$9996,B4425,Movimentos!$C$4:$C$9996,"Entrada")-SUMIFS(Movimentos!$F$4:$F$9996,Movimentos!$D$4:$D$9996,B4425,Movimentos!$C$4:$C$9996,"Saída"),""),"")</f>
        <v/>
      </c>
      <c r="F4425" s="10" t="str">
        <f t="shared" si="140"/>
        <v/>
      </c>
    </row>
    <row r="4426" spans="1:6" x14ac:dyDescent="0.3">
      <c r="A4426" s="15" t="str">
        <f t="shared" si="141"/>
        <v>.</v>
      </c>
      <c r="E4426" s="13" t="str">
        <f>IFERROR(IF(AND(B4426&lt;&gt;"",C4426&lt;&gt;""),SUMIFS(Movimentos!$F$4:$F$9996,Movimentos!$D$4:$D$9996,B4426,Movimentos!$C$4:$C$9996,"Entrada")-SUMIFS(Movimentos!$F$4:$F$9996,Movimentos!$D$4:$D$9996,B4426,Movimentos!$C$4:$C$9996,"Saída"),""),"")</f>
        <v/>
      </c>
      <c r="F4426" s="10" t="str">
        <f t="shared" si="140"/>
        <v/>
      </c>
    </row>
    <row r="4427" spans="1:6" x14ac:dyDescent="0.3">
      <c r="A4427" s="15" t="str">
        <f t="shared" si="141"/>
        <v>.</v>
      </c>
      <c r="E4427" s="13" t="str">
        <f>IFERROR(IF(AND(B4427&lt;&gt;"",C4427&lt;&gt;""),SUMIFS(Movimentos!$F$4:$F$9996,Movimentos!$D$4:$D$9996,B4427,Movimentos!$C$4:$C$9996,"Entrada")-SUMIFS(Movimentos!$F$4:$F$9996,Movimentos!$D$4:$D$9996,B4427,Movimentos!$C$4:$C$9996,"Saída"),""),"")</f>
        <v/>
      </c>
      <c r="F4427" s="10" t="str">
        <f t="shared" si="140"/>
        <v/>
      </c>
    </row>
    <row r="4428" spans="1:6" x14ac:dyDescent="0.3">
      <c r="A4428" s="15" t="str">
        <f t="shared" si="141"/>
        <v>.</v>
      </c>
      <c r="E4428" s="13" t="str">
        <f>IFERROR(IF(AND(B4428&lt;&gt;"",C4428&lt;&gt;""),SUMIFS(Movimentos!$F$4:$F$9996,Movimentos!$D$4:$D$9996,B4428,Movimentos!$C$4:$C$9996,"Entrada")-SUMIFS(Movimentos!$F$4:$F$9996,Movimentos!$D$4:$D$9996,B4428,Movimentos!$C$4:$C$9996,"Saída"),""),"")</f>
        <v/>
      </c>
      <c r="F4428" s="10" t="str">
        <f t="shared" si="140"/>
        <v/>
      </c>
    </row>
    <row r="4429" spans="1:6" x14ac:dyDescent="0.3">
      <c r="A4429" s="15" t="str">
        <f t="shared" si="141"/>
        <v>.</v>
      </c>
      <c r="E4429" s="13" t="str">
        <f>IFERROR(IF(AND(B4429&lt;&gt;"",C4429&lt;&gt;""),SUMIFS(Movimentos!$F$4:$F$9996,Movimentos!$D$4:$D$9996,B4429,Movimentos!$C$4:$C$9996,"Entrada")-SUMIFS(Movimentos!$F$4:$F$9996,Movimentos!$D$4:$D$9996,B4429,Movimentos!$C$4:$C$9996,"Saída"),""),"")</f>
        <v/>
      </c>
      <c r="F4429" s="10" t="str">
        <f t="shared" si="140"/>
        <v/>
      </c>
    </row>
    <row r="4430" spans="1:6" x14ac:dyDescent="0.3">
      <c r="A4430" s="15" t="str">
        <f t="shared" si="141"/>
        <v>.</v>
      </c>
      <c r="E4430" s="13" t="str">
        <f>IFERROR(IF(AND(B4430&lt;&gt;"",C4430&lt;&gt;""),SUMIFS(Movimentos!$F$4:$F$9996,Movimentos!$D$4:$D$9996,B4430,Movimentos!$C$4:$C$9996,"Entrada")-SUMIFS(Movimentos!$F$4:$F$9996,Movimentos!$D$4:$D$9996,B4430,Movimentos!$C$4:$C$9996,"Saída"),""),"")</f>
        <v/>
      </c>
      <c r="F4430" s="10" t="str">
        <f t="shared" si="140"/>
        <v/>
      </c>
    </row>
    <row r="4431" spans="1:6" x14ac:dyDescent="0.3">
      <c r="A4431" s="15" t="str">
        <f t="shared" si="141"/>
        <v>.</v>
      </c>
      <c r="E4431" s="13" t="str">
        <f>IFERROR(IF(AND(B4431&lt;&gt;"",C4431&lt;&gt;""),SUMIFS(Movimentos!$F$4:$F$9996,Movimentos!$D$4:$D$9996,B4431,Movimentos!$C$4:$C$9996,"Entrada")-SUMIFS(Movimentos!$F$4:$F$9996,Movimentos!$D$4:$D$9996,B4431,Movimentos!$C$4:$C$9996,"Saída"),""),"")</f>
        <v/>
      </c>
      <c r="F4431" s="10" t="str">
        <f t="shared" si="140"/>
        <v/>
      </c>
    </row>
    <row r="4432" spans="1:6" x14ac:dyDescent="0.3">
      <c r="A4432" s="15" t="str">
        <f t="shared" si="141"/>
        <v>.</v>
      </c>
      <c r="E4432" s="13" t="str">
        <f>IFERROR(IF(AND(B4432&lt;&gt;"",C4432&lt;&gt;""),SUMIFS(Movimentos!$F$4:$F$9996,Movimentos!$D$4:$D$9996,B4432,Movimentos!$C$4:$C$9996,"Entrada")-SUMIFS(Movimentos!$F$4:$F$9996,Movimentos!$D$4:$D$9996,B4432,Movimentos!$C$4:$C$9996,"Saída"),""),"")</f>
        <v/>
      </c>
      <c r="F4432" s="10" t="str">
        <f t="shared" si="140"/>
        <v/>
      </c>
    </row>
    <row r="4433" spans="1:6" x14ac:dyDescent="0.3">
      <c r="A4433" s="15" t="str">
        <f t="shared" si="141"/>
        <v>.</v>
      </c>
      <c r="E4433" s="13" t="str">
        <f>IFERROR(IF(AND(B4433&lt;&gt;"",C4433&lt;&gt;""),SUMIFS(Movimentos!$F$4:$F$9996,Movimentos!$D$4:$D$9996,B4433,Movimentos!$C$4:$C$9996,"Entrada")-SUMIFS(Movimentos!$F$4:$F$9996,Movimentos!$D$4:$D$9996,B4433,Movimentos!$C$4:$C$9996,"Saída"),""),"")</f>
        <v/>
      </c>
      <c r="F4433" s="10" t="str">
        <f t="shared" si="140"/>
        <v/>
      </c>
    </row>
    <row r="4434" spans="1:6" x14ac:dyDescent="0.3">
      <c r="A4434" s="15" t="str">
        <f t="shared" si="141"/>
        <v>.</v>
      </c>
      <c r="E4434" s="13" t="str">
        <f>IFERROR(IF(AND(B4434&lt;&gt;"",C4434&lt;&gt;""),SUMIFS(Movimentos!$F$4:$F$9996,Movimentos!$D$4:$D$9996,B4434,Movimentos!$C$4:$C$9996,"Entrada")-SUMIFS(Movimentos!$F$4:$F$9996,Movimentos!$D$4:$D$9996,B4434,Movimentos!$C$4:$C$9996,"Saída"),""),"")</f>
        <v/>
      </c>
      <c r="F4434" s="10" t="str">
        <f t="shared" si="140"/>
        <v/>
      </c>
    </row>
    <row r="4435" spans="1:6" x14ac:dyDescent="0.3">
      <c r="A4435" s="15" t="str">
        <f t="shared" si="141"/>
        <v>.</v>
      </c>
      <c r="E4435" s="13" t="str">
        <f>IFERROR(IF(AND(B4435&lt;&gt;"",C4435&lt;&gt;""),SUMIFS(Movimentos!$F$4:$F$9996,Movimentos!$D$4:$D$9996,B4435,Movimentos!$C$4:$C$9996,"Entrada")-SUMIFS(Movimentos!$F$4:$F$9996,Movimentos!$D$4:$D$9996,B4435,Movimentos!$C$4:$C$9996,"Saída"),""),"")</f>
        <v/>
      </c>
      <c r="F4435" s="10" t="str">
        <f t="shared" si="140"/>
        <v/>
      </c>
    </row>
    <row r="4436" spans="1:6" x14ac:dyDescent="0.3">
      <c r="A4436" s="15" t="str">
        <f t="shared" si="141"/>
        <v>.</v>
      </c>
      <c r="E4436" s="13" t="str">
        <f>IFERROR(IF(AND(B4436&lt;&gt;"",C4436&lt;&gt;""),SUMIFS(Movimentos!$F$4:$F$9996,Movimentos!$D$4:$D$9996,B4436,Movimentos!$C$4:$C$9996,"Entrada")-SUMIFS(Movimentos!$F$4:$F$9996,Movimentos!$D$4:$D$9996,B4436,Movimentos!$C$4:$C$9996,"Saída"),""),"")</f>
        <v/>
      </c>
      <c r="F4436" s="10" t="str">
        <f t="shared" si="140"/>
        <v/>
      </c>
    </row>
    <row r="4437" spans="1:6" x14ac:dyDescent="0.3">
      <c r="A4437" s="15" t="str">
        <f t="shared" si="141"/>
        <v>.</v>
      </c>
      <c r="E4437" s="13" t="str">
        <f>IFERROR(IF(AND(B4437&lt;&gt;"",C4437&lt;&gt;""),SUMIFS(Movimentos!$F$4:$F$9996,Movimentos!$D$4:$D$9996,B4437,Movimentos!$C$4:$C$9996,"Entrada")-SUMIFS(Movimentos!$F$4:$F$9996,Movimentos!$D$4:$D$9996,B4437,Movimentos!$C$4:$C$9996,"Saída"),""),"")</f>
        <v/>
      </c>
      <c r="F4437" s="10" t="str">
        <f t="shared" si="140"/>
        <v/>
      </c>
    </row>
    <row r="4438" spans="1:6" x14ac:dyDescent="0.3">
      <c r="A4438" s="15" t="str">
        <f t="shared" si="141"/>
        <v>.</v>
      </c>
      <c r="E4438" s="13" t="str">
        <f>IFERROR(IF(AND(B4438&lt;&gt;"",C4438&lt;&gt;""),SUMIFS(Movimentos!$F$4:$F$9996,Movimentos!$D$4:$D$9996,B4438,Movimentos!$C$4:$C$9996,"Entrada")-SUMIFS(Movimentos!$F$4:$F$9996,Movimentos!$D$4:$D$9996,B4438,Movimentos!$C$4:$C$9996,"Saída"),""),"")</f>
        <v/>
      </c>
      <c r="F4438" s="10" t="str">
        <f t="shared" si="140"/>
        <v/>
      </c>
    </row>
    <row r="4439" spans="1:6" x14ac:dyDescent="0.3">
      <c r="A4439" s="15" t="str">
        <f t="shared" si="141"/>
        <v>.</v>
      </c>
      <c r="E4439" s="13" t="str">
        <f>IFERROR(IF(AND(B4439&lt;&gt;"",C4439&lt;&gt;""),SUMIFS(Movimentos!$F$4:$F$9996,Movimentos!$D$4:$D$9996,B4439,Movimentos!$C$4:$C$9996,"Entrada")-SUMIFS(Movimentos!$F$4:$F$9996,Movimentos!$D$4:$D$9996,B4439,Movimentos!$C$4:$C$9996,"Saída"),""),"")</f>
        <v/>
      </c>
      <c r="F4439" s="10" t="str">
        <f t="shared" ref="F4439:F4502" si="142">IF(AND(B4439&lt;&gt;"",C4439&lt;&gt;""),IF(E4439=0,"Saldo zerado",IF(E4439&lt;D4439,"Saldo abaixo do mínimo","Saldo disponível")),"")</f>
        <v/>
      </c>
    </row>
    <row r="4440" spans="1:6" x14ac:dyDescent="0.3">
      <c r="A4440" s="15" t="str">
        <f t="shared" si="141"/>
        <v>.</v>
      </c>
      <c r="E4440" s="13" t="str">
        <f>IFERROR(IF(AND(B4440&lt;&gt;"",C4440&lt;&gt;""),SUMIFS(Movimentos!$F$4:$F$9996,Movimentos!$D$4:$D$9996,B4440,Movimentos!$C$4:$C$9996,"Entrada")-SUMIFS(Movimentos!$F$4:$F$9996,Movimentos!$D$4:$D$9996,B4440,Movimentos!$C$4:$C$9996,"Saída"),""),"")</f>
        <v/>
      </c>
      <c r="F4440" s="10" t="str">
        <f t="shared" si="142"/>
        <v/>
      </c>
    </row>
    <row r="4441" spans="1:6" x14ac:dyDescent="0.3">
      <c r="A4441" s="15" t="str">
        <f t="shared" si="141"/>
        <v>.</v>
      </c>
      <c r="E4441" s="13" t="str">
        <f>IFERROR(IF(AND(B4441&lt;&gt;"",C4441&lt;&gt;""),SUMIFS(Movimentos!$F$4:$F$9996,Movimentos!$D$4:$D$9996,B4441,Movimentos!$C$4:$C$9996,"Entrada")-SUMIFS(Movimentos!$F$4:$F$9996,Movimentos!$D$4:$D$9996,B4441,Movimentos!$C$4:$C$9996,"Saída"),""),"")</f>
        <v/>
      </c>
      <c r="F4441" s="10" t="str">
        <f t="shared" si="142"/>
        <v/>
      </c>
    </row>
    <row r="4442" spans="1:6" x14ac:dyDescent="0.3">
      <c r="A4442" s="15" t="str">
        <f t="shared" si="141"/>
        <v>.</v>
      </c>
      <c r="E4442" s="13" t="str">
        <f>IFERROR(IF(AND(B4442&lt;&gt;"",C4442&lt;&gt;""),SUMIFS(Movimentos!$F$4:$F$9996,Movimentos!$D$4:$D$9996,B4442,Movimentos!$C$4:$C$9996,"Entrada")-SUMIFS(Movimentos!$F$4:$F$9996,Movimentos!$D$4:$D$9996,B4442,Movimentos!$C$4:$C$9996,"Saída"),""),"")</f>
        <v/>
      </c>
      <c r="F4442" s="10" t="str">
        <f t="shared" si="142"/>
        <v/>
      </c>
    </row>
    <row r="4443" spans="1:6" x14ac:dyDescent="0.3">
      <c r="A4443" s="15" t="str">
        <f t="shared" si="141"/>
        <v>.</v>
      </c>
      <c r="E4443" s="13" t="str">
        <f>IFERROR(IF(AND(B4443&lt;&gt;"",C4443&lt;&gt;""),SUMIFS(Movimentos!$F$4:$F$9996,Movimentos!$D$4:$D$9996,B4443,Movimentos!$C$4:$C$9996,"Entrada")-SUMIFS(Movimentos!$F$4:$F$9996,Movimentos!$D$4:$D$9996,B4443,Movimentos!$C$4:$C$9996,"Saída"),""),"")</f>
        <v/>
      </c>
      <c r="F4443" s="10" t="str">
        <f t="shared" si="142"/>
        <v/>
      </c>
    </row>
    <row r="4444" spans="1:6" x14ac:dyDescent="0.3">
      <c r="A4444" s="15" t="str">
        <f t="shared" si="141"/>
        <v>.</v>
      </c>
      <c r="E4444" s="13" t="str">
        <f>IFERROR(IF(AND(B4444&lt;&gt;"",C4444&lt;&gt;""),SUMIFS(Movimentos!$F$4:$F$9996,Movimentos!$D$4:$D$9996,B4444,Movimentos!$C$4:$C$9996,"Entrada")-SUMIFS(Movimentos!$F$4:$F$9996,Movimentos!$D$4:$D$9996,B4444,Movimentos!$C$4:$C$9996,"Saída"),""),"")</f>
        <v/>
      </c>
      <c r="F4444" s="10" t="str">
        <f t="shared" si="142"/>
        <v/>
      </c>
    </row>
    <row r="4445" spans="1:6" x14ac:dyDescent="0.3">
      <c r="A4445" s="15" t="str">
        <f t="shared" si="141"/>
        <v>.</v>
      </c>
      <c r="E4445" s="13" t="str">
        <f>IFERROR(IF(AND(B4445&lt;&gt;"",C4445&lt;&gt;""),SUMIFS(Movimentos!$F$4:$F$9996,Movimentos!$D$4:$D$9996,B4445,Movimentos!$C$4:$C$9996,"Entrada")-SUMIFS(Movimentos!$F$4:$F$9996,Movimentos!$D$4:$D$9996,B4445,Movimentos!$C$4:$C$9996,"Saída"),""),"")</f>
        <v/>
      </c>
      <c r="F4445" s="10" t="str">
        <f t="shared" si="142"/>
        <v/>
      </c>
    </row>
    <row r="4446" spans="1:6" x14ac:dyDescent="0.3">
      <c r="A4446" s="15" t="str">
        <f t="shared" si="141"/>
        <v>.</v>
      </c>
      <c r="E4446" s="13" t="str">
        <f>IFERROR(IF(AND(B4446&lt;&gt;"",C4446&lt;&gt;""),SUMIFS(Movimentos!$F$4:$F$9996,Movimentos!$D$4:$D$9996,B4446,Movimentos!$C$4:$C$9996,"Entrada")-SUMIFS(Movimentos!$F$4:$F$9996,Movimentos!$D$4:$D$9996,B4446,Movimentos!$C$4:$C$9996,"Saída"),""),"")</f>
        <v/>
      </c>
      <c r="F4446" s="10" t="str">
        <f t="shared" si="142"/>
        <v/>
      </c>
    </row>
    <row r="4447" spans="1:6" x14ac:dyDescent="0.3">
      <c r="A4447" s="15" t="str">
        <f t="shared" si="141"/>
        <v>.</v>
      </c>
      <c r="E4447" s="13" t="str">
        <f>IFERROR(IF(AND(B4447&lt;&gt;"",C4447&lt;&gt;""),SUMIFS(Movimentos!$F$4:$F$9996,Movimentos!$D$4:$D$9996,B4447,Movimentos!$C$4:$C$9996,"Entrada")-SUMIFS(Movimentos!$F$4:$F$9996,Movimentos!$D$4:$D$9996,B4447,Movimentos!$C$4:$C$9996,"Saída"),""),"")</f>
        <v/>
      </c>
      <c r="F4447" s="10" t="str">
        <f t="shared" si="142"/>
        <v/>
      </c>
    </row>
    <row r="4448" spans="1:6" x14ac:dyDescent="0.3">
      <c r="A4448" s="15" t="str">
        <f t="shared" si="141"/>
        <v>.</v>
      </c>
      <c r="E4448" s="13" t="str">
        <f>IFERROR(IF(AND(B4448&lt;&gt;"",C4448&lt;&gt;""),SUMIFS(Movimentos!$F$4:$F$9996,Movimentos!$D$4:$D$9996,B4448,Movimentos!$C$4:$C$9996,"Entrada")-SUMIFS(Movimentos!$F$4:$F$9996,Movimentos!$D$4:$D$9996,B4448,Movimentos!$C$4:$C$9996,"Saída"),""),"")</f>
        <v/>
      </c>
      <c r="F4448" s="10" t="str">
        <f t="shared" si="142"/>
        <v/>
      </c>
    </row>
    <row r="4449" spans="1:6" x14ac:dyDescent="0.3">
      <c r="A4449" s="15" t="str">
        <f t="shared" si="141"/>
        <v>.</v>
      </c>
      <c r="E4449" s="13" t="str">
        <f>IFERROR(IF(AND(B4449&lt;&gt;"",C4449&lt;&gt;""),SUMIFS(Movimentos!$F$4:$F$9996,Movimentos!$D$4:$D$9996,B4449,Movimentos!$C$4:$C$9996,"Entrada")-SUMIFS(Movimentos!$F$4:$F$9996,Movimentos!$D$4:$D$9996,B4449,Movimentos!$C$4:$C$9996,"Saída"),""),"")</f>
        <v/>
      </c>
      <c r="F4449" s="10" t="str">
        <f t="shared" si="142"/>
        <v/>
      </c>
    </row>
    <row r="4450" spans="1:6" x14ac:dyDescent="0.3">
      <c r="A4450" s="15" t="str">
        <f t="shared" si="141"/>
        <v>.</v>
      </c>
      <c r="E4450" s="13" t="str">
        <f>IFERROR(IF(AND(B4450&lt;&gt;"",C4450&lt;&gt;""),SUMIFS(Movimentos!$F$4:$F$9996,Movimentos!$D$4:$D$9996,B4450,Movimentos!$C$4:$C$9996,"Entrada")-SUMIFS(Movimentos!$F$4:$F$9996,Movimentos!$D$4:$D$9996,B4450,Movimentos!$C$4:$C$9996,"Saída"),""),"")</f>
        <v/>
      </c>
      <c r="F4450" s="10" t="str">
        <f t="shared" si="142"/>
        <v/>
      </c>
    </row>
    <row r="4451" spans="1:6" x14ac:dyDescent="0.3">
      <c r="A4451" s="15" t="str">
        <f t="shared" si="141"/>
        <v>.</v>
      </c>
      <c r="E4451" s="13" t="str">
        <f>IFERROR(IF(AND(B4451&lt;&gt;"",C4451&lt;&gt;""),SUMIFS(Movimentos!$F$4:$F$9996,Movimentos!$D$4:$D$9996,B4451,Movimentos!$C$4:$C$9996,"Entrada")-SUMIFS(Movimentos!$F$4:$F$9996,Movimentos!$D$4:$D$9996,B4451,Movimentos!$C$4:$C$9996,"Saída"),""),"")</f>
        <v/>
      </c>
      <c r="F4451" s="10" t="str">
        <f t="shared" si="142"/>
        <v/>
      </c>
    </row>
    <row r="4452" spans="1:6" x14ac:dyDescent="0.3">
      <c r="A4452" s="15" t="str">
        <f t="shared" si="141"/>
        <v>.</v>
      </c>
      <c r="E4452" s="13" t="str">
        <f>IFERROR(IF(AND(B4452&lt;&gt;"",C4452&lt;&gt;""),SUMIFS(Movimentos!$F$4:$F$9996,Movimentos!$D$4:$D$9996,B4452,Movimentos!$C$4:$C$9996,"Entrada")-SUMIFS(Movimentos!$F$4:$F$9996,Movimentos!$D$4:$D$9996,B4452,Movimentos!$C$4:$C$9996,"Saída"),""),"")</f>
        <v/>
      </c>
      <c r="F4452" s="10" t="str">
        <f t="shared" si="142"/>
        <v/>
      </c>
    </row>
    <row r="4453" spans="1:6" x14ac:dyDescent="0.3">
      <c r="A4453" s="15" t="str">
        <f t="shared" si="141"/>
        <v>.</v>
      </c>
      <c r="E4453" s="13" t="str">
        <f>IFERROR(IF(AND(B4453&lt;&gt;"",C4453&lt;&gt;""),SUMIFS(Movimentos!$F$4:$F$9996,Movimentos!$D$4:$D$9996,B4453,Movimentos!$C$4:$C$9996,"Entrada")-SUMIFS(Movimentos!$F$4:$F$9996,Movimentos!$D$4:$D$9996,B4453,Movimentos!$C$4:$C$9996,"Saída"),""),"")</f>
        <v/>
      </c>
      <c r="F4453" s="10" t="str">
        <f t="shared" si="142"/>
        <v/>
      </c>
    </row>
    <row r="4454" spans="1:6" x14ac:dyDescent="0.3">
      <c r="A4454" s="15" t="str">
        <f t="shared" si="141"/>
        <v>.</v>
      </c>
      <c r="E4454" s="13" t="str">
        <f>IFERROR(IF(AND(B4454&lt;&gt;"",C4454&lt;&gt;""),SUMIFS(Movimentos!$F$4:$F$9996,Movimentos!$D$4:$D$9996,B4454,Movimentos!$C$4:$C$9996,"Entrada")-SUMIFS(Movimentos!$F$4:$F$9996,Movimentos!$D$4:$D$9996,B4454,Movimentos!$C$4:$C$9996,"Saída"),""),"")</f>
        <v/>
      </c>
      <c r="F4454" s="10" t="str">
        <f t="shared" si="142"/>
        <v/>
      </c>
    </row>
    <row r="4455" spans="1:6" x14ac:dyDescent="0.3">
      <c r="A4455" s="15" t="str">
        <f t="shared" si="141"/>
        <v>.</v>
      </c>
      <c r="E4455" s="13" t="str">
        <f>IFERROR(IF(AND(B4455&lt;&gt;"",C4455&lt;&gt;""),SUMIFS(Movimentos!$F$4:$F$9996,Movimentos!$D$4:$D$9996,B4455,Movimentos!$C$4:$C$9996,"Entrada")-SUMIFS(Movimentos!$F$4:$F$9996,Movimentos!$D$4:$D$9996,B4455,Movimentos!$C$4:$C$9996,"Saída"),""),"")</f>
        <v/>
      </c>
      <c r="F4455" s="10" t="str">
        <f t="shared" si="142"/>
        <v/>
      </c>
    </row>
    <row r="4456" spans="1:6" x14ac:dyDescent="0.3">
      <c r="A4456" s="15" t="str">
        <f t="shared" si="141"/>
        <v>.</v>
      </c>
      <c r="E4456" s="13" t="str">
        <f>IFERROR(IF(AND(B4456&lt;&gt;"",C4456&lt;&gt;""),SUMIFS(Movimentos!$F$4:$F$9996,Movimentos!$D$4:$D$9996,B4456,Movimentos!$C$4:$C$9996,"Entrada")-SUMIFS(Movimentos!$F$4:$F$9996,Movimentos!$D$4:$D$9996,B4456,Movimentos!$C$4:$C$9996,"Saída"),""),"")</f>
        <v/>
      </c>
      <c r="F4456" s="10" t="str">
        <f t="shared" si="142"/>
        <v/>
      </c>
    </row>
    <row r="4457" spans="1:6" x14ac:dyDescent="0.3">
      <c r="A4457" s="15" t="str">
        <f t="shared" si="141"/>
        <v>.</v>
      </c>
      <c r="E4457" s="13" t="str">
        <f>IFERROR(IF(AND(B4457&lt;&gt;"",C4457&lt;&gt;""),SUMIFS(Movimentos!$F$4:$F$9996,Movimentos!$D$4:$D$9996,B4457,Movimentos!$C$4:$C$9996,"Entrada")-SUMIFS(Movimentos!$F$4:$F$9996,Movimentos!$D$4:$D$9996,B4457,Movimentos!$C$4:$C$9996,"Saída"),""),"")</f>
        <v/>
      </c>
      <c r="F4457" s="10" t="str">
        <f t="shared" si="142"/>
        <v/>
      </c>
    </row>
    <row r="4458" spans="1:6" x14ac:dyDescent="0.3">
      <c r="A4458" s="15" t="str">
        <f t="shared" si="141"/>
        <v>.</v>
      </c>
      <c r="E4458" s="13" t="str">
        <f>IFERROR(IF(AND(B4458&lt;&gt;"",C4458&lt;&gt;""),SUMIFS(Movimentos!$F$4:$F$9996,Movimentos!$D$4:$D$9996,B4458,Movimentos!$C$4:$C$9996,"Entrada")-SUMIFS(Movimentos!$F$4:$F$9996,Movimentos!$D$4:$D$9996,B4458,Movimentos!$C$4:$C$9996,"Saída"),""),"")</f>
        <v/>
      </c>
      <c r="F4458" s="10" t="str">
        <f t="shared" si="142"/>
        <v/>
      </c>
    </row>
    <row r="4459" spans="1:6" x14ac:dyDescent="0.3">
      <c r="A4459" s="15" t="str">
        <f t="shared" si="141"/>
        <v>.</v>
      </c>
      <c r="E4459" s="13" t="str">
        <f>IFERROR(IF(AND(B4459&lt;&gt;"",C4459&lt;&gt;""),SUMIFS(Movimentos!$F$4:$F$9996,Movimentos!$D$4:$D$9996,B4459,Movimentos!$C$4:$C$9996,"Entrada")-SUMIFS(Movimentos!$F$4:$F$9996,Movimentos!$D$4:$D$9996,B4459,Movimentos!$C$4:$C$9996,"Saída"),""),"")</f>
        <v/>
      </c>
      <c r="F4459" s="10" t="str">
        <f t="shared" si="142"/>
        <v/>
      </c>
    </row>
    <row r="4460" spans="1:6" x14ac:dyDescent="0.3">
      <c r="A4460" s="15" t="str">
        <f t="shared" si="141"/>
        <v>.</v>
      </c>
      <c r="E4460" s="13" t="str">
        <f>IFERROR(IF(AND(B4460&lt;&gt;"",C4460&lt;&gt;""),SUMIFS(Movimentos!$F$4:$F$9996,Movimentos!$D$4:$D$9996,B4460,Movimentos!$C$4:$C$9996,"Entrada")-SUMIFS(Movimentos!$F$4:$F$9996,Movimentos!$D$4:$D$9996,B4460,Movimentos!$C$4:$C$9996,"Saída"),""),"")</f>
        <v/>
      </c>
      <c r="F4460" s="10" t="str">
        <f t="shared" si="142"/>
        <v/>
      </c>
    </row>
    <row r="4461" spans="1:6" x14ac:dyDescent="0.3">
      <c r="A4461" s="15" t="str">
        <f t="shared" si="141"/>
        <v>.</v>
      </c>
      <c r="E4461" s="13" t="str">
        <f>IFERROR(IF(AND(B4461&lt;&gt;"",C4461&lt;&gt;""),SUMIFS(Movimentos!$F$4:$F$9996,Movimentos!$D$4:$D$9996,B4461,Movimentos!$C$4:$C$9996,"Entrada")-SUMIFS(Movimentos!$F$4:$F$9996,Movimentos!$D$4:$D$9996,B4461,Movimentos!$C$4:$C$9996,"Saída"),""),"")</f>
        <v/>
      </c>
      <c r="F4461" s="10" t="str">
        <f t="shared" si="142"/>
        <v/>
      </c>
    </row>
    <row r="4462" spans="1:6" x14ac:dyDescent="0.3">
      <c r="A4462" s="15" t="str">
        <f t="shared" si="141"/>
        <v>.</v>
      </c>
      <c r="E4462" s="13" t="str">
        <f>IFERROR(IF(AND(B4462&lt;&gt;"",C4462&lt;&gt;""),SUMIFS(Movimentos!$F$4:$F$9996,Movimentos!$D$4:$D$9996,B4462,Movimentos!$C$4:$C$9996,"Entrada")-SUMIFS(Movimentos!$F$4:$F$9996,Movimentos!$D$4:$D$9996,B4462,Movimentos!$C$4:$C$9996,"Saída"),""),"")</f>
        <v/>
      </c>
      <c r="F4462" s="10" t="str">
        <f t="shared" si="142"/>
        <v/>
      </c>
    </row>
    <row r="4463" spans="1:6" x14ac:dyDescent="0.3">
      <c r="A4463" s="15" t="str">
        <f t="shared" si="141"/>
        <v>.</v>
      </c>
      <c r="E4463" s="13" t="str">
        <f>IFERROR(IF(AND(B4463&lt;&gt;"",C4463&lt;&gt;""),SUMIFS(Movimentos!$F$4:$F$9996,Movimentos!$D$4:$D$9996,B4463,Movimentos!$C$4:$C$9996,"Entrada")-SUMIFS(Movimentos!$F$4:$F$9996,Movimentos!$D$4:$D$9996,B4463,Movimentos!$C$4:$C$9996,"Saída"),""),"")</f>
        <v/>
      </c>
      <c r="F4463" s="10" t="str">
        <f t="shared" si="142"/>
        <v/>
      </c>
    </row>
    <row r="4464" spans="1:6" x14ac:dyDescent="0.3">
      <c r="A4464" s="15" t="str">
        <f t="shared" si="141"/>
        <v>.</v>
      </c>
      <c r="E4464" s="13" t="str">
        <f>IFERROR(IF(AND(B4464&lt;&gt;"",C4464&lt;&gt;""),SUMIFS(Movimentos!$F$4:$F$9996,Movimentos!$D$4:$D$9996,B4464,Movimentos!$C$4:$C$9996,"Entrada")-SUMIFS(Movimentos!$F$4:$F$9996,Movimentos!$D$4:$D$9996,B4464,Movimentos!$C$4:$C$9996,"Saída"),""),"")</f>
        <v/>
      </c>
      <c r="F4464" s="10" t="str">
        <f t="shared" si="142"/>
        <v/>
      </c>
    </row>
    <row r="4465" spans="1:6" x14ac:dyDescent="0.3">
      <c r="A4465" s="15" t="str">
        <f t="shared" si="141"/>
        <v>.</v>
      </c>
      <c r="E4465" s="13" t="str">
        <f>IFERROR(IF(AND(B4465&lt;&gt;"",C4465&lt;&gt;""),SUMIFS(Movimentos!$F$4:$F$9996,Movimentos!$D$4:$D$9996,B4465,Movimentos!$C$4:$C$9996,"Entrada")-SUMIFS(Movimentos!$F$4:$F$9996,Movimentos!$D$4:$D$9996,B4465,Movimentos!$C$4:$C$9996,"Saída"),""),"")</f>
        <v/>
      </c>
      <c r="F4465" s="10" t="str">
        <f t="shared" si="142"/>
        <v/>
      </c>
    </row>
    <row r="4466" spans="1:6" x14ac:dyDescent="0.3">
      <c r="A4466" s="15" t="str">
        <f t="shared" si="141"/>
        <v>.</v>
      </c>
      <c r="E4466" s="13" t="str">
        <f>IFERROR(IF(AND(B4466&lt;&gt;"",C4466&lt;&gt;""),SUMIFS(Movimentos!$F$4:$F$9996,Movimentos!$D$4:$D$9996,B4466,Movimentos!$C$4:$C$9996,"Entrada")-SUMIFS(Movimentos!$F$4:$F$9996,Movimentos!$D$4:$D$9996,B4466,Movimentos!$C$4:$C$9996,"Saída"),""),"")</f>
        <v/>
      </c>
      <c r="F4466" s="10" t="str">
        <f t="shared" si="142"/>
        <v/>
      </c>
    </row>
    <row r="4467" spans="1:6" x14ac:dyDescent="0.3">
      <c r="A4467" s="15" t="str">
        <f t="shared" si="141"/>
        <v>.</v>
      </c>
      <c r="E4467" s="13" t="str">
        <f>IFERROR(IF(AND(B4467&lt;&gt;"",C4467&lt;&gt;""),SUMIFS(Movimentos!$F$4:$F$9996,Movimentos!$D$4:$D$9996,B4467,Movimentos!$C$4:$C$9996,"Entrada")-SUMIFS(Movimentos!$F$4:$F$9996,Movimentos!$D$4:$D$9996,B4467,Movimentos!$C$4:$C$9996,"Saída"),""),"")</f>
        <v/>
      </c>
      <c r="F4467" s="10" t="str">
        <f t="shared" si="142"/>
        <v/>
      </c>
    </row>
    <row r="4468" spans="1:6" x14ac:dyDescent="0.3">
      <c r="A4468" s="15" t="str">
        <f t="shared" si="141"/>
        <v>.</v>
      </c>
      <c r="E4468" s="13" t="str">
        <f>IFERROR(IF(AND(B4468&lt;&gt;"",C4468&lt;&gt;""),SUMIFS(Movimentos!$F$4:$F$9996,Movimentos!$D$4:$D$9996,B4468,Movimentos!$C$4:$C$9996,"Entrada")-SUMIFS(Movimentos!$F$4:$F$9996,Movimentos!$D$4:$D$9996,B4468,Movimentos!$C$4:$C$9996,"Saída"),""),"")</f>
        <v/>
      </c>
      <c r="F4468" s="10" t="str">
        <f t="shared" si="142"/>
        <v/>
      </c>
    </row>
    <row r="4469" spans="1:6" x14ac:dyDescent="0.3">
      <c r="A4469" s="15" t="str">
        <f t="shared" si="141"/>
        <v>.</v>
      </c>
      <c r="E4469" s="13" t="str">
        <f>IFERROR(IF(AND(B4469&lt;&gt;"",C4469&lt;&gt;""),SUMIFS(Movimentos!$F$4:$F$9996,Movimentos!$D$4:$D$9996,B4469,Movimentos!$C$4:$C$9996,"Entrada")-SUMIFS(Movimentos!$F$4:$F$9996,Movimentos!$D$4:$D$9996,B4469,Movimentos!$C$4:$C$9996,"Saída"),""),"")</f>
        <v/>
      </c>
      <c r="F4469" s="10" t="str">
        <f t="shared" si="142"/>
        <v/>
      </c>
    </row>
    <row r="4470" spans="1:6" x14ac:dyDescent="0.3">
      <c r="A4470" s="15" t="str">
        <f t="shared" si="141"/>
        <v>.</v>
      </c>
      <c r="E4470" s="13" t="str">
        <f>IFERROR(IF(AND(B4470&lt;&gt;"",C4470&lt;&gt;""),SUMIFS(Movimentos!$F$4:$F$9996,Movimentos!$D$4:$D$9996,B4470,Movimentos!$C$4:$C$9996,"Entrada")-SUMIFS(Movimentos!$F$4:$F$9996,Movimentos!$D$4:$D$9996,B4470,Movimentos!$C$4:$C$9996,"Saída"),""),"")</f>
        <v/>
      </c>
      <c r="F4470" s="10" t="str">
        <f t="shared" si="142"/>
        <v/>
      </c>
    </row>
    <row r="4471" spans="1:6" x14ac:dyDescent="0.3">
      <c r="A4471" s="15" t="str">
        <f t="shared" si="141"/>
        <v>.</v>
      </c>
      <c r="E4471" s="13" t="str">
        <f>IFERROR(IF(AND(B4471&lt;&gt;"",C4471&lt;&gt;""),SUMIFS(Movimentos!$F$4:$F$9996,Movimentos!$D$4:$D$9996,B4471,Movimentos!$C$4:$C$9996,"Entrada")-SUMIFS(Movimentos!$F$4:$F$9996,Movimentos!$D$4:$D$9996,B4471,Movimentos!$C$4:$C$9996,"Saída"),""),"")</f>
        <v/>
      </c>
      <c r="F4471" s="10" t="str">
        <f t="shared" si="142"/>
        <v/>
      </c>
    </row>
    <row r="4472" spans="1:6" x14ac:dyDescent="0.3">
      <c r="A4472" s="15" t="str">
        <f t="shared" si="141"/>
        <v>.</v>
      </c>
      <c r="E4472" s="13" t="str">
        <f>IFERROR(IF(AND(B4472&lt;&gt;"",C4472&lt;&gt;""),SUMIFS(Movimentos!$F$4:$F$9996,Movimentos!$D$4:$D$9996,B4472,Movimentos!$C$4:$C$9996,"Entrada")-SUMIFS(Movimentos!$F$4:$F$9996,Movimentos!$D$4:$D$9996,B4472,Movimentos!$C$4:$C$9996,"Saída"),""),"")</f>
        <v/>
      </c>
      <c r="F4472" s="10" t="str">
        <f t="shared" si="142"/>
        <v/>
      </c>
    </row>
    <row r="4473" spans="1:6" x14ac:dyDescent="0.3">
      <c r="A4473" s="15" t="str">
        <f t="shared" si="141"/>
        <v>.</v>
      </c>
      <c r="E4473" s="13" t="str">
        <f>IFERROR(IF(AND(B4473&lt;&gt;"",C4473&lt;&gt;""),SUMIFS(Movimentos!$F$4:$F$9996,Movimentos!$D$4:$D$9996,B4473,Movimentos!$C$4:$C$9996,"Entrada")-SUMIFS(Movimentos!$F$4:$F$9996,Movimentos!$D$4:$D$9996,B4473,Movimentos!$C$4:$C$9996,"Saída"),""),"")</f>
        <v/>
      </c>
      <c r="F4473" s="10" t="str">
        <f t="shared" si="142"/>
        <v/>
      </c>
    </row>
    <row r="4474" spans="1:6" x14ac:dyDescent="0.3">
      <c r="A4474" s="15" t="str">
        <f t="shared" si="141"/>
        <v>.</v>
      </c>
      <c r="E4474" s="13" t="str">
        <f>IFERROR(IF(AND(B4474&lt;&gt;"",C4474&lt;&gt;""),SUMIFS(Movimentos!$F$4:$F$9996,Movimentos!$D$4:$D$9996,B4474,Movimentos!$C$4:$C$9996,"Entrada")-SUMIFS(Movimentos!$F$4:$F$9996,Movimentos!$D$4:$D$9996,B4474,Movimentos!$C$4:$C$9996,"Saída"),""),"")</f>
        <v/>
      </c>
      <c r="F4474" s="10" t="str">
        <f t="shared" si="142"/>
        <v/>
      </c>
    </row>
    <row r="4475" spans="1:6" x14ac:dyDescent="0.3">
      <c r="A4475" s="15" t="str">
        <f t="shared" si="141"/>
        <v>.</v>
      </c>
      <c r="E4475" s="13" t="str">
        <f>IFERROR(IF(AND(B4475&lt;&gt;"",C4475&lt;&gt;""),SUMIFS(Movimentos!$F$4:$F$9996,Movimentos!$D$4:$D$9996,B4475,Movimentos!$C$4:$C$9996,"Entrada")-SUMIFS(Movimentos!$F$4:$F$9996,Movimentos!$D$4:$D$9996,B4475,Movimentos!$C$4:$C$9996,"Saída"),""),"")</f>
        <v/>
      </c>
      <c r="F4475" s="10" t="str">
        <f t="shared" si="142"/>
        <v/>
      </c>
    </row>
    <row r="4476" spans="1:6" x14ac:dyDescent="0.3">
      <c r="A4476" s="15" t="str">
        <f t="shared" si="141"/>
        <v>.</v>
      </c>
      <c r="E4476" s="13" t="str">
        <f>IFERROR(IF(AND(B4476&lt;&gt;"",C4476&lt;&gt;""),SUMIFS(Movimentos!$F$4:$F$9996,Movimentos!$D$4:$D$9996,B4476,Movimentos!$C$4:$C$9996,"Entrada")-SUMIFS(Movimentos!$F$4:$F$9996,Movimentos!$D$4:$D$9996,B4476,Movimentos!$C$4:$C$9996,"Saída"),""),"")</f>
        <v/>
      </c>
      <c r="F4476" s="10" t="str">
        <f t="shared" si="142"/>
        <v/>
      </c>
    </row>
    <row r="4477" spans="1:6" x14ac:dyDescent="0.3">
      <c r="A4477" s="15" t="str">
        <f t="shared" si="141"/>
        <v>.</v>
      </c>
      <c r="E4477" s="13" t="str">
        <f>IFERROR(IF(AND(B4477&lt;&gt;"",C4477&lt;&gt;""),SUMIFS(Movimentos!$F$4:$F$9996,Movimentos!$D$4:$D$9996,B4477,Movimentos!$C$4:$C$9996,"Entrada")-SUMIFS(Movimentos!$F$4:$F$9996,Movimentos!$D$4:$D$9996,B4477,Movimentos!$C$4:$C$9996,"Saída"),""),"")</f>
        <v/>
      </c>
      <c r="F4477" s="10" t="str">
        <f t="shared" si="142"/>
        <v/>
      </c>
    </row>
    <row r="4478" spans="1:6" x14ac:dyDescent="0.3">
      <c r="A4478" s="15" t="str">
        <f t="shared" si="141"/>
        <v>.</v>
      </c>
      <c r="E4478" s="13" t="str">
        <f>IFERROR(IF(AND(B4478&lt;&gt;"",C4478&lt;&gt;""),SUMIFS(Movimentos!$F$4:$F$9996,Movimentos!$D$4:$D$9996,B4478,Movimentos!$C$4:$C$9996,"Entrada")-SUMIFS(Movimentos!$F$4:$F$9996,Movimentos!$D$4:$D$9996,B4478,Movimentos!$C$4:$C$9996,"Saída"),""),"")</f>
        <v/>
      </c>
      <c r="F4478" s="10" t="str">
        <f t="shared" si="142"/>
        <v/>
      </c>
    </row>
    <row r="4479" spans="1:6" x14ac:dyDescent="0.3">
      <c r="A4479" s="15" t="str">
        <f t="shared" si="141"/>
        <v>.</v>
      </c>
      <c r="E4479" s="13" t="str">
        <f>IFERROR(IF(AND(B4479&lt;&gt;"",C4479&lt;&gt;""),SUMIFS(Movimentos!$F$4:$F$9996,Movimentos!$D$4:$D$9996,B4479,Movimentos!$C$4:$C$9996,"Entrada")-SUMIFS(Movimentos!$F$4:$F$9996,Movimentos!$D$4:$D$9996,B4479,Movimentos!$C$4:$C$9996,"Saída"),""),"")</f>
        <v/>
      </c>
      <c r="F4479" s="10" t="str">
        <f t="shared" si="142"/>
        <v/>
      </c>
    </row>
    <row r="4480" spans="1:6" x14ac:dyDescent="0.3">
      <c r="A4480" s="15" t="str">
        <f t="shared" ref="A4480:A4543" si="143">IF(F4480="Saldo zerado",0,IF(F4480="Saldo abaixo do mínimo",1,IF(F4480="Saldo disponível",2,".")))</f>
        <v>.</v>
      </c>
      <c r="E4480" s="13" t="str">
        <f>IFERROR(IF(AND(B4480&lt;&gt;"",C4480&lt;&gt;""),SUMIFS(Movimentos!$F$4:$F$9996,Movimentos!$D$4:$D$9996,B4480,Movimentos!$C$4:$C$9996,"Entrada")-SUMIFS(Movimentos!$F$4:$F$9996,Movimentos!$D$4:$D$9996,B4480,Movimentos!$C$4:$C$9996,"Saída"),""),"")</f>
        <v/>
      </c>
      <c r="F4480" s="10" t="str">
        <f t="shared" si="142"/>
        <v/>
      </c>
    </row>
    <row r="4481" spans="1:6" x14ac:dyDescent="0.3">
      <c r="A4481" s="15" t="str">
        <f t="shared" si="143"/>
        <v>.</v>
      </c>
      <c r="E4481" s="13" t="str">
        <f>IFERROR(IF(AND(B4481&lt;&gt;"",C4481&lt;&gt;""),SUMIFS(Movimentos!$F$4:$F$9996,Movimentos!$D$4:$D$9996,B4481,Movimentos!$C$4:$C$9996,"Entrada")-SUMIFS(Movimentos!$F$4:$F$9996,Movimentos!$D$4:$D$9996,B4481,Movimentos!$C$4:$C$9996,"Saída"),""),"")</f>
        <v/>
      </c>
      <c r="F4481" s="10" t="str">
        <f t="shared" si="142"/>
        <v/>
      </c>
    </row>
    <row r="4482" spans="1:6" x14ac:dyDescent="0.3">
      <c r="A4482" s="15" t="str">
        <f t="shared" si="143"/>
        <v>.</v>
      </c>
      <c r="E4482" s="13" t="str">
        <f>IFERROR(IF(AND(B4482&lt;&gt;"",C4482&lt;&gt;""),SUMIFS(Movimentos!$F$4:$F$9996,Movimentos!$D$4:$D$9996,B4482,Movimentos!$C$4:$C$9996,"Entrada")-SUMIFS(Movimentos!$F$4:$F$9996,Movimentos!$D$4:$D$9996,B4482,Movimentos!$C$4:$C$9996,"Saída"),""),"")</f>
        <v/>
      </c>
      <c r="F4482" s="10" t="str">
        <f t="shared" si="142"/>
        <v/>
      </c>
    </row>
    <row r="4483" spans="1:6" x14ac:dyDescent="0.3">
      <c r="A4483" s="15" t="str">
        <f t="shared" si="143"/>
        <v>.</v>
      </c>
      <c r="E4483" s="13" t="str">
        <f>IFERROR(IF(AND(B4483&lt;&gt;"",C4483&lt;&gt;""),SUMIFS(Movimentos!$F$4:$F$9996,Movimentos!$D$4:$D$9996,B4483,Movimentos!$C$4:$C$9996,"Entrada")-SUMIFS(Movimentos!$F$4:$F$9996,Movimentos!$D$4:$D$9996,B4483,Movimentos!$C$4:$C$9996,"Saída"),""),"")</f>
        <v/>
      </c>
      <c r="F4483" s="10" t="str">
        <f t="shared" si="142"/>
        <v/>
      </c>
    </row>
    <row r="4484" spans="1:6" x14ac:dyDescent="0.3">
      <c r="A4484" s="15" t="str">
        <f t="shared" si="143"/>
        <v>.</v>
      </c>
      <c r="E4484" s="13" t="str">
        <f>IFERROR(IF(AND(B4484&lt;&gt;"",C4484&lt;&gt;""),SUMIFS(Movimentos!$F$4:$F$9996,Movimentos!$D$4:$D$9996,B4484,Movimentos!$C$4:$C$9996,"Entrada")-SUMIFS(Movimentos!$F$4:$F$9996,Movimentos!$D$4:$D$9996,B4484,Movimentos!$C$4:$C$9996,"Saída"),""),"")</f>
        <v/>
      </c>
      <c r="F4484" s="10" t="str">
        <f t="shared" si="142"/>
        <v/>
      </c>
    </row>
    <row r="4485" spans="1:6" x14ac:dyDescent="0.3">
      <c r="A4485" s="15" t="str">
        <f t="shared" si="143"/>
        <v>.</v>
      </c>
      <c r="E4485" s="13" t="str">
        <f>IFERROR(IF(AND(B4485&lt;&gt;"",C4485&lt;&gt;""),SUMIFS(Movimentos!$F$4:$F$9996,Movimentos!$D$4:$D$9996,B4485,Movimentos!$C$4:$C$9996,"Entrada")-SUMIFS(Movimentos!$F$4:$F$9996,Movimentos!$D$4:$D$9996,B4485,Movimentos!$C$4:$C$9996,"Saída"),""),"")</f>
        <v/>
      </c>
      <c r="F4485" s="10" t="str">
        <f t="shared" si="142"/>
        <v/>
      </c>
    </row>
    <row r="4486" spans="1:6" x14ac:dyDescent="0.3">
      <c r="A4486" s="15" t="str">
        <f t="shared" si="143"/>
        <v>.</v>
      </c>
      <c r="E4486" s="13" t="str">
        <f>IFERROR(IF(AND(B4486&lt;&gt;"",C4486&lt;&gt;""),SUMIFS(Movimentos!$F$4:$F$9996,Movimentos!$D$4:$D$9996,B4486,Movimentos!$C$4:$C$9996,"Entrada")-SUMIFS(Movimentos!$F$4:$F$9996,Movimentos!$D$4:$D$9996,B4486,Movimentos!$C$4:$C$9996,"Saída"),""),"")</f>
        <v/>
      </c>
      <c r="F4486" s="10" t="str">
        <f t="shared" si="142"/>
        <v/>
      </c>
    </row>
    <row r="4487" spans="1:6" x14ac:dyDescent="0.3">
      <c r="A4487" s="15" t="str">
        <f t="shared" si="143"/>
        <v>.</v>
      </c>
      <c r="E4487" s="13" t="str">
        <f>IFERROR(IF(AND(B4487&lt;&gt;"",C4487&lt;&gt;""),SUMIFS(Movimentos!$F$4:$F$9996,Movimentos!$D$4:$D$9996,B4487,Movimentos!$C$4:$C$9996,"Entrada")-SUMIFS(Movimentos!$F$4:$F$9996,Movimentos!$D$4:$D$9996,B4487,Movimentos!$C$4:$C$9996,"Saída"),""),"")</f>
        <v/>
      </c>
      <c r="F4487" s="10" t="str">
        <f t="shared" si="142"/>
        <v/>
      </c>
    </row>
    <row r="4488" spans="1:6" x14ac:dyDescent="0.3">
      <c r="A4488" s="15" t="str">
        <f t="shared" si="143"/>
        <v>.</v>
      </c>
      <c r="E4488" s="13" t="str">
        <f>IFERROR(IF(AND(B4488&lt;&gt;"",C4488&lt;&gt;""),SUMIFS(Movimentos!$F$4:$F$9996,Movimentos!$D$4:$D$9996,B4488,Movimentos!$C$4:$C$9996,"Entrada")-SUMIFS(Movimentos!$F$4:$F$9996,Movimentos!$D$4:$D$9996,B4488,Movimentos!$C$4:$C$9996,"Saída"),""),"")</f>
        <v/>
      </c>
      <c r="F4488" s="10" t="str">
        <f t="shared" si="142"/>
        <v/>
      </c>
    </row>
    <row r="4489" spans="1:6" x14ac:dyDescent="0.3">
      <c r="A4489" s="15" t="str">
        <f t="shared" si="143"/>
        <v>.</v>
      </c>
      <c r="E4489" s="13" t="str">
        <f>IFERROR(IF(AND(B4489&lt;&gt;"",C4489&lt;&gt;""),SUMIFS(Movimentos!$F$4:$F$9996,Movimentos!$D$4:$D$9996,B4489,Movimentos!$C$4:$C$9996,"Entrada")-SUMIFS(Movimentos!$F$4:$F$9996,Movimentos!$D$4:$D$9996,B4489,Movimentos!$C$4:$C$9996,"Saída"),""),"")</f>
        <v/>
      </c>
      <c r="F4489" s="10" t="str">
        <f t="shared" si="142"/>
        <v/>
      </c>
    </row>
    <row r="4490" spans="1:6" x14ac:dyDescent="0.3">
      <c r="A4490" s="15" t="str">
        <f t="shared" si="143"/>
        <v>.</v>
      </c>
      <c r="E4490" s="13" t="str">
        <f>IFERROR(IF(AND(B4490&lt;&gt;"",C4490&lt;&gt;""),SUMIFS(Movimentos!$F$4:$F$9996,Movimentos!$D$4:$D$9996,B4490,Movimentos!$C$4:$C$9996,"Entrada")-SUMIFS(Movimentos!$F$4:$F$9996,Movimentos!$D$4:$D$9996,B4490,Movimentos!$C$4:$C$9996,"Saída"),""),"")</f>
        <v/>
      </c>
      <c r="F4490" s="10" t="str">
        <f t="shared" si="142"/>
        <v/>
      </c>
    </row>
    <row r="4491" spans="1:6" x14ac:dyDescent="0.3">
      <c r="A4491" s="15" t="str">
        <f t="shared" si="143"/>
        <v>.</v>
      </c>
      <c r="E4491" s="13" t="str">
        <f>IFERROR(IF(AND(B4491&lt;&gt;"",C4491&lt;&gt;""),SUMIFS(Movimentos!$F$4:$F$9996,Movimentos!$D$4:$D$9996,B4491,Movimentos!$C$4:$C$9996,"Entrada")-SUMIFS(Movimentos!$F$4:$F$9996,Movimentos!$D$4:$D$9996,B4491,Movimentos!$C$4:$C$9996,"Saída"),""),"")</f>
        <v/>
      </c>
      <c r="F4491" s="10" t="str">
        <f t="shared" si="142"/>
        <v/>
      </c>
    </row>
    <row r="4492" spans="1:6" x14ac:dyDescent="0.3">
      <c r="A4492" s="15" t="str">
        <f t="shared" si="143"/>
        <v>.</v>
      </c>
      <c r="E4492" s="13" t="str">
        <f>IFERROR(IF(AND(B4492&lt;&gt;"",C4492&lt;&gt;""),SUMIFS(Movimentos!$F$4:$F$9996,Movimentos!$D$4:$D$9996,B4492,Movimentos!$C$4:$C$9996,"Entrada")-SUMIFS(Movimentos!$F$4:$F$9996,Movimentos!$D$4:$D$9996,B4492,Movimentos!$C$4:$C$9996,"Saída"),""),"")</f>
        <v/>
      </c>
      <c r="F4492" s="10" t="str">
        <f t="shared" si="142"/>
        <v/>
      </c>
    </row>
    <row r="4493" spans="1:6" x14ac:dyDescent="0.3">
      <c r="A4493" s="15" t="str">
        <f t="shared" si="143"/>
        <v>.</v>
      </c>
      <c r="E4493" s="13" t="str">
        <f>IFERROR(IF(AND(B4493&lt;&gt;"",C4493&lt;&gt;""),SUMIFS(Movimentos!$F$4:$F$9996,Movimentos!$D$4:$D$9996,B4493,Movimentos!$C$4:$C$9996,"Entrada")-SUMIFS(Movimentos!$F$4:$F$9996,Movimentos!$D$4:$D$9996,B4493,Movimentos!$C$4:$C$9996,"Saída"),""),"")</f>
        <v/>
      </c>
      <c r="F4493" s="10" t="str">
        <f t="shared" si="142"/>
        <v/>
      </c>
    </row>
    <row r="4494" spans="1:6" x14ac:dyDescent="0.3">
      <c r="A4494" s="15" t="str">
        <f t="shared" si="143"/>
        <v>.</v>
      </c>
      <c r="E4494" s="13" t="str">
        <f>IFERROR(IF(AND(B4494&lt;&gt;"",C4494&lt;&gt;""),SUMIFS(Movimentos!$F$4:$F$9996,Movimentos!$D$4:$D$9996,B4494,Movimentos!$C$4:$C$9996,"Entrada")-SUMIFS(Movimentos!$F$4:$F$9996,Movimentos!$D$4:$D$9996,B4494,Movimentos!$C$4:$C$9996,"Saída"),""),"")</f>
        <v/>
      </c>
      <c r="F4494" s="10" t="str">
        <f t="shared" si="142"/>
        <v/>
      </c>
    </row>
    <row r="4495" spans="1:6" x14ac:dyDescent="0.3">
      <c r="A4495" s="15" t="str">
        <f t="shared" si="143"/>
        <v>.</v>
      </c>
      <c r="E4495" s="13" t="str">
        <f>IFERROR(IF(AND(B4495&lt;&gt;"",C4495&lt;&gt;""),SUMIFS(Movimentos!$F$4:$F$9996,Movimentos!$D$4:$D$9996,B4495,Movimentos!$C$4:$C$9996,"Entrada")-SUMIFS(Movimentos!$F$4:$F$9996,Movimentos!$D$4:$D$9996,B4495,Movimentos!$C$4:$C$9996,"Saída"),""),"")</f>
        <v/>
      </c>
      <c r="F4495" s="10" t="str">
        <f t="shared" si="142"/>
        <v/>
      </c>
    </row>
    <row r="4496" spans="1:6" x14ac:dyDescent="0.3">
      <c r="A4496" s="15" t="str">
        <f t="shared" si="143"/>
        <v>.</v>
      </c>
      <c r="E4496" s="13" t="str">
        <f>IFERROR(IF(AND(B4496&lt;&gt;"",C4496&lt;&gt;""),SUMIFS(Movimentos!$F$4:$F$9996,Movimentos!$D$4:$D$9996,B4496,Movimentos!$C$4:$C$9996,"Entrada")-SUMIFS(Movimentos!$F$4:$F$9996,Movimentos!$D$4:$D$9996,B4496,Movimentos!$C$4:$C$9996,"Saída"),""),"")</f>
        <v/>
      </c>
      <c r="F4496" s="10" t="str">
        <f t="shared" si="142"/>
        <v/>
      </c>
    </row>
    <row r="4497" spans="1:6" x14ac:dyDescent="0.3">
      <c r="A4497" s="15" t="str">
        <f t="shared" si="143"/>
        <v>.</v>
      </c>
      <c r="E4497" s="13" t="str">
        <f>IFERROR(IF(AND(B4497&lt;&gt;"",C4497&lt;&gt;""),SUMIFS(Movimentos!$F$4:$F$9996,Movimentos!$D$4:$D$9996,B4497,Movimentos!$C$4:$C$9996,"Entrada")-SUMIFS(Movimentos!$F$4:$F$9996,Movimentos!$D$4:$D$9996,B4497,Movimentos!$C$4:$C$9996,"Saída"),""),"")</f>
        <v/>
      </c>
      <c r="F4497" s="10" t="str">
        <f t="shared" si="142"/>
        <v/>
      </c>
    </row>
    <row r="4498" spans="1:6" x14ac:dyDescent="0.3">
      <c r="A4498" s="15" t="str">
        <f t="shared" si="143"/>
        <v>.</v>
      </c>
      <c r="E4498" s="13" t="str">
        <f>IFERROR(IF(AND(B4498&lt;&gt;"",C4498&lt;&gt;""),SUMIFS(Movimentos!$F$4:$F$9996,Movimentos!$D$4:$D$9996,B4498,Movimentos!$C$4:$C$9996,"Entrada")-SUMIFS(Movimentos!$F$4:$F$9996,Movimentos!$D$4:$D$9996,B4498,Movimentos!$C$4:$C$9996,"Saída"),""),"")</f>
        <v/>
      </c>
      <c r="F4498" s="10" t="str">
        <f t="shared" si="142"/>
        <v/>
      </c>
    </row>
    <row r="4499" spans="1:6" x14ac:dyDescent="0.3">
      <c r="A4499" s="15" t="str">
        <f t="shared" si="143"/>
        <v>.</v>
      </c>
      <c r="E4499" s="13" t="str">
        <f>IFERROR(IF(AND(B4499&lt;&gt;"",C4499&lt;&gt;""),SUMIFS(Movimentos!$F$4:$F$9996,Movimentos!$D$4:$D$9996,B4499,Movimentos!$C$4:$C$9996,"Entrada")-SUMIFS(Movimentos!$F$4:$F$9996,Movimentos!$D$4:$D$9996,B4499,Movimentos!$C$4:$C$9996,"Saída"),""),"")</f>
        <v/>
      </c>
      <c r="F4499" s="10" t="str">
        <f t="shared" si="142"/>
        <v/>
      </c>
    </row>
    <row r="4500" spans="1:6" x14ac:dyDescent="0.3">
      <c r="A4500" s="15" t="str">
        <f t="shared" si="143"/>
        <v>.</v>
      </c>
      <c r="E4500" s="13" t="str">
        <f>IFERROR(IF(AND(B4500&lt;&gt;"",C4500&lt;&gt;""),SUMIFS(Movimentos!$F$4:$F$9996,Movimentos!$D$4:$D$9996,B4500,Movimentos!$C$4:$C$9996,"Entrada")-SUMIFS(Movimentos!$F$4:$F$9996,Movimentos!$D$4:$D$9996,B4500,Movimentos!$C$4:$C$9996,"Saída"),""),"")</f>
        <v/>
      </c>
      <c r="F4500" s="10" t="str">
        <f t="shared" si="142"/>
        <v/>
      </c>
    </row>
    <row r="4501" spans="1:6" x14ac:dyDescent="0.3">
      <c r="A4501" s="15" t="str">
        <f t="shared" si="143"/>
        <v>.</v>
      </c>
      <c r="E4501" s="13" t="str">
        <f>IFERROR(IF(AND(B4501&lt;&gt;"",C4501&lt;&gt;""),SUMIFS(Movimentos!$F$4:$F$9996,Movimentos!$D$4:$D$9996,B4501,Movimentos!$C$4:$C$9996,"Entrada")-SUMIFS(Movimentos!$F$4:$F$9996,Movimentos!$D$4:$D$9996,B4501,Movimentos!$C$4:$C$9996,"Saída"),""),"")</f>
        <v/>
      </c>
      <c r="F4501" s="10" t="str">
        <f t="shared" si="142"/>
        <v/>
      </c>
    </row>
    <row r="4502" spans="1:6" x14ac:dyDescent="0.3">
      <c r="A4502" s="15" t="str">
        <f t="shared" si="143"/>
        <v>.</v>
      </c>
      <c r="E4502" s="13" t="str">
        <f>IFERROR(IF(AND(B4502&lt;&gt;"",C4502&lt;&gt;""),SUMIFS(Movimentos!$F$4:$F$9996,Movimentos!$D$4:$D$9996,B4502,Movimentos!$C$4:$C$9996,"Entrada")-SUMIFS(Movimentos!$F$4:$F$9996,Movimentos!$D$4:$D$9996,B4502,Movimentos!$C$4:$C$9996,"Saída"),""),"")</f>
        <v/>
      </c>
      <c r="F4502" s="10" t="str">
        <f t="shared" si="142"/>
        <v/>
      </c>
    </row>
    <row r="4503" spans="1:6" x14ac:dyDescent="0.3">
      <c r="A4503" s="15" t="str">
        <f t="shared" si="143"/>
        <v>.</v>
      </c>
      <c r="E4503" s="13" t="str">
        <f>IFERROR(IF(AND(B4503&lt;&gt;"",C4503&lt;&gt;""),SUMIFS(Movimentos!$F$4:$F$9996,Movimentos!$D$4:$D$9996,B4503,Movimentos!$C$4:$C$9996,"Entrada")-SUMIFS(Movimentos!$F$4:$F$9996,Movimentos!$D$4:$D$9996,B4503,Movimentos!$C$4:$C$9996,"Saída"),""),"")</f>
        <v/>
      </c>
      <c r="F4503" s="10" t="str">
        <f t="shared" ref="F4503:F4566" si="144">IF(AND(B4503&lt;&gt;"",C4503&lt;&gt;""),IF(E4503=0,"Saldo zerado",IF(E4503&lt;D4503,"Saldo abaixo do mínimo","Saldo disponível")),"")</f>
        <v/>
      </c>
    </row>
    <row r="4504" spans="1:6" x14ac:dyDescent="0.3">
      <c r="A4504" s="15" t="str">
        <f t="shared" si="143"/>
        <v>.</v>
      </c>
      <c r="E4504" s="13" t="str">
        <f>IFERROR(IF(AND(B4504&lt;&gt;"",C4504&lt;&gt;""),SUMIFS(Movimentos!$F$4:$F$9996,Movimentos!$D$4:$D$9996,B4504,Movimentos!$C$4:$C$9996,"Entrada")-SUMIFS(Movimentos!$F$4:$F$9996,Movimentos!$D$4:$D$9996,B4504,Movimentos!$C$4:$C$9996,"Saída"),""),"")</f>
        <v/>
      </c>
      <c r="F4504" s="10" t="str">
        <f t="shared" si="144"/>
        <v/>
      </c>
    </row>
    <row r="4505" spans="1:6" x14ac:dyDescent="0.3">
      <c r="A4505" s="15" t="str">
        <f t="shared" si="143"/>
        <v>.</v>
      </c>
      <c r="E4505" s="13" t="str">
        <f>IFERROR(IF(AND(B4505&lt;&gt;"",C4505&lt;&gt;""),SUMIFS(Movimentos!$F$4:$F$9996,Movimentos!$D$4:$D$9996,B4505,Movimentos!$C$4:$C$9996,"Entrada")-SUMIFS(Movimentos!$F$4:$F$9996,Movimentos!$D$4:$D$9996,B4505,Movimentos!$C$4:$C$9996,"Saída"),""),"")</f>
        <v/>
      </c>
      <c r="F4505" s="10" t="str">
        <f t="shared" si="144"/>
        <v/>
      </c>
    </row>
    <row r="4506" spans="1:6" x14ac:dyDescent="0.3">
      <c r="A4506" s="15" t="str">
        <f t="shared" si="143"/>
        <v>.</v>
      </c>
      <c r="E4506" s="13" t="str">
        <f>IFERROR(IF(AND(B4506&lt;&gt;"",C4506&lt;&gt;""),SUMIFS(Movimentos!$F$4:$F$9996,Movimentos!$D$4:$D$9996,B4506,Movimentos!$C$4:$C$9996,"Entrada")-SUMIFS(Movimentos!$F$4:$F$9996,Movimentos!$D$4:$D$9996,B4506,Movimentos!$C$4:$C$9996,"Saída"),""),"")</f>
        <v/>
      </c>
      <c r="F4506" s="10" t="str">
        <f t="shared" si="144"/>
        <v/>
      </c>
    </row>
    <row r="4507" spans="1:6" x14ac:dyDescent="0.3">
      <c r="A4507" s="15" t="str">
        <f t="shared" si="143"/>
        <v>.</v>
      </c>
      <c r="E4507" s="13" t="str">
        <f>IFERROR(IF(AND(B4507&lt;&gt;"",C4507&lt;&gt;""),SUMIFS(Movimentos!$F$4:$F$9996,Movimentos!$D$4:$D$9996,B4507,Movimentos!$C$4:$C$9996,"Entrada")-SUMIFS(Movimentos!$F$4:$F$9996,Movimentos!$D$4:$D$9996,B4507,Movimentos!$C$4:$C$9996,"Saída"),""),"")</f>
        <v/>
      </c>
      <c r="F4507" s="10" t="str">
        <f t="shared" si="144"/>
        <v/>
      </c>
    </row>
    <row r="4508" spans="1:6" x14ac:dyDescent="0.3">
      <c r="A4508" s="15" t="str">
        <f t="shared" si="143"/>
        <v>.</v>
      </c>
      <c r="E4508" s="13" t="str">
        <f>IFERROR(IF(AND(B4508&lt;&gt;"",C4508&lt;&gt;""),SUMIFS(Movimentos!$F$4:$F$9996,Movimentos!$D$4:$D$9996,B4508,Movimentos!$C$4:$C$9996,"Entrada")-SUMIFS(Movimentos!$F$4:$F$9996,Movimentos!$D$4:$D$9996,B4508,Movimentos!$C$4:$C$9996,"Saída"),""),"")</f>
        <v/>
      </c>
      <c r="F4508" s="10" t="str">
        <f t="shared" si="144"/>
        <v/>
      </c>
    </row>
    <row r="4509" spans="1:6" x14ac:dyDescent="0.3">
      <c r="A4509" s="15" t="str">
        <f t="shared" si="143"/>
        <v>.</v>
      </c>
      <c r="E4509" s="13" t="str">
        <f>IFERROR(IF(AND(B4509&lt;&gt;"",C4509&lt;&gt;""),SUMIFS(Movimentos!$F$4:$F$9996,Movimentos!$D$4:$D$9996,B4509,Movimentos!$C$4:$C$9996,"Entrada")-SUMIFS(Movimentos!$F$4:$F$9996,Movimentos!$D$4:$D$9996,B4509,Movimentos!$C$4:$C$9996,"Saída"),""),"")</f>
        <v/>
      </c>
      <c r="F4509" s="10" t="str">
        <f t="shared" si="144"/>
        <v/>
      </c>
    </row>
    <row r="4510" spans="1:6" x14ac:dyDescent="0.3">
      <c r="A4510" s="15" t="str">
        <f t="shared" si="143"/>
        <v>.</v>
      </c>
      <c r="E4510" s="13" t="str">
        <f>IFERROR(IF(AND(B4510&lt;&gt;"",C4510&lt;&gt;""),SUMIFS(Movimentos!$F$4:$F$9996,Movimentos!$D$4:$D$9996,B4510,Movimentos!$C$4:$C$9996,"Entrada")-SUMIFS(Movimentos!$F$4:$F$9996,Movimentos!$D$4:$D$9996,B4510,Movimentos!$C$4:$C$9996,"Saída"),""),"")</f>
        <v/>
      </c>
      <c r="F4510" s="10" t="str">
        <f t="shared" si="144"/>
        <v/>
      </c>
    </row>
    <row r="4511" spans="1:6" x14ac:dyDescent="0.3">
      <c r="A4511" s="15" t="str">
        <f t="shared" si="143"/>
        <v>.</v>
      </c>
      <c r="E4511" s="13" t="str">
        <f>IFERROR(IF(AND(B4511&lt;&gt;"",C4511&lt;&gt;""),SUMIFS(Movimentos!$F$4:$F$9996,Movimentos!$D$4:$D$9996,B4511,Movimentos!$C$4:$C$9996,"Entrada")-SUMIFS(Movimentos!$F$4:$F$9996,Movimentos!$D$4:$D$9996,B4511,Movimentos!$C$4:$C$9996,"Saída"),""),"")</f>
        <v/>
      </c>
      <c r="F4511" s="10" t="str">
        <f t="shared" si="144"/>
        <v/>
      </c>
    </row>
    <row r="4512" spans="1:6" x14ac:dyDescent="0.3">
      <c r="A4512" s="15" t="str">
        <f t="shared" si="143"/>
        <v>.</v>
      </c>
      <c r="E4512" s="13" t="str">
        <f>IFERROR(IF(AND(B4512&lt;&gt;"",C4512&lt;&gt;""),SUMIFS(Movimentos!$F$4:$F$9996,Movimentos!$D$4:$D$9996,B4512,Movimentos!$C$4:$C$9996,"Entrada")-SUMIFS(Movimentos!$F$4:$F$9996,Movimentos!$D$4:$D$9996,B4512,Movimentos!$C$4:$C$9996,"Saída"),""),"")</f>
        <v/>
      </c>
      <c r="F4512" s="10" t="str">
        <f t="shared" si="144"/>
        <v/>
      </c>
    </row>
    <row r="4513" spans="1:6" x14ac:dyDescent="0.3">
      <c r="A4513" s="15" t="str">
        <f t="shared" si="143"/>
        <v>.</v>
      </c>
      <c r="E4513" s="13" t="str">
        <f>IFERROR(IF(AND(B4513&lt;&gt;"",C4513&lt;&gt;""),SUMIFS(Movimentos!$F$4:$F$9996,Movimentos!$D$4:$D$9996,B4513,Movimentos!$C$4:$C$9996,"Entrada")-SUMIFS(Movimentos!$F$4:$F$9996,Movimentos!$D$4:$D$9996,B4513,Movimentos!$C$4:$C$9996,"Saída"),""),"")</f>
        <v/>
      </c>
      <c r="F4513" s="10" t="str">
        <f t="shared" si="144"/>
        <v/>
      </c>
    </row>
    <row r="4514" spans="1:6" x14ac:dyDescent="0.3">
      <c r="A4514" s="15" t="str">
        <f t="shared" si="143"/>
        <v>.</v>
      </c>
      <c r="E4514" s="13" t="str">
        <f>IFERROR(IF(AND(B4514&lt;&gt;"",C4514&lt;&gt;""),SUMIFS(Movimentos!$F$4:$F$9996,Movimentos!$D$4:$D$9996,B4514,Movimentos!$C$4:$C$9996,"Entrada")-SUMIFS(Movimentos!$F$4:$F$9996,Movimentos!$D$4:$D$9996,B4514,Movimentos!$C$4:$C$9996,"Saída"),""),"")</f>
        <v/>
      </c>
      <c r="F4514" s="10" t="str">
        <f t="shared" si="144"/>
        <v/>
      </c>
    </row>
    <row r="4515" spans="1:6" x14ac:dyDescent="0.3">
      <c r="A4515" s="15" t="str">
        <f t="shared" si="143"/>
        <v>.</v>
      </c>
      <c r="E4515" s="13" t="str">
        <f>IFERROR(IF(AND(B4515&lt;&gt;"",C4515&lt;&gt;""),SUMIFS(Movimentos!$F$4:$F$9996,Movimentos!$D$4:$D$9996,B4515,Movimentos!$C$4:$C$9996,"Entrada")-SUMIFS(Movimentos!$F$4:$F$9996,Movimentos!$D$4:$D$9996,B4515,Movimentos!$C$4:$C$9996,"Saída"),""),"")</f>
        <v/>
      </c>
      <c r="F4515" s="10" t="str">
        <f t="shared" si="144"/>
        <v/>
      </c>
    </row>
    <row r="4516" spans="1:6" x14ac:dyDescent="0.3">
      <c r="A4516" s="15" t="str">
        <f t="shared" si="143"/>
        <v>.</v>
      </c>
      <c r="E4516" s="13" t="str">
        <f>IFERROR(IF(AND(B4516&lt;&gt;"",C4516&lt;&gt;""),SUMIFS(Movimentos!$F$4:$F$9996,Movimentos!$D$4:$D$9996,B4516,Movimentos!$C$4:$C$9996,"Entrada")-SUMIFS(Movimentos!$F$4:$F$9996,Movimentos!$D$4:$D$9996,B4516,Movimentos!$C$4:$C$9996,"Saída"),""),"")</f>
        <v/>
      </c>
      <c r="F4516" s="10" t="str">
        <f t="shared" si="144"/>
        <v/>
      </c>
    </row>
    <row r="4517" spans="1:6" x14ac:dyDescent="0.3">
      <c r="A4517" s="15" t="str">
        <f t="shared" si="143"/>
        <v>.</v>
      </c>
      <c r="E4517" s="13" t="str">
        <f>IFERROR(IF(AND(B4517&lt;&gt;"",C4517&lt;&gt;""),SUMIFS(Movimentos!$F$4:$F$9996,Movimentos!$D$4:$D$9996,B4517,Movimentos!$C$4:$C$9996,"Entrada")-SUMIFS(Movimentos!$F$4:$F$9996,Movimentos!$D$4:$D$9996,B4517,Movimentos!$C$4:$C$9996,"Saída"),""),"")</f>
        <v/>
      </c>
      <c r="F4517" s="10" t="str">
        <f t="shared" si="144"/>
        <v/>
      </c>
    </row>
    <row r="4518" spans="1:6" x14ac:dyDescent="0.3">
      <c r="A4518" s="15" t="str">
        <f t="shared" si="143"/>
        <v>.</v>
      </c>
      <c r="E4518" s="13" t="str">
        <f>IFERROR(IF(AND(B4518&lt;&gt;"",C4518&lt;&gt;""),SUMIFS(Movimentos!$F$4:$F$9996,Movimentos!$D$4:$D$9996,B4518,Movimentos!$C$4:$C$9996,"Entrada")-SUMIFS(Movimentos!$F$4:$F$9996,Movimentos!$D$4:$D$9996,B4518,Movimentos!$C$4:$C$9996,"Saída"),""),"")</f>
        <v/>
      </c>
      <c r="F4518" s="10" t="str">
        <f t="shared" si="144"/>
        <v/>
      </c>
    </row>
    <row r="4519" spans="1:6" x14ac:dyDescent="0.3">
      <c r="A4519" s="15" t="str">
        <f t="shared" si="143"/>
        <v>.</v>
      </c>
      <c r="E4519" s="13" t="str">
        <f>IFERROR(IF(AND(B4519&lt;&gt;"",C4519&lt;&gt;""),SUMIFS(Movimentos!$F$4:$F$9996,Movimentos!$D$4:$D$9996,B4519,Movimentos!$C$4:$C$9996,"Entrada")-SUMIFS(Movimentos!$F$4:$F$9996,Movimentos!$D$4:$D$9996,B4519,Movimentos!$C$4:$C$9996,"Saída"),""),"")</f>
        <v/>
      </c>
      <c r="F4519" s="10" t="str">
        <f t="shared" si="144"/>
        <v/>
      </c>
    </row>
    <row r="4520" spans="1:6" x14ac:dyDescent="0.3">
      <c r="A4520" s="15" t="str">
        <f t="shared" si="143"/>
        <v>.</v>
      </c>
      <c r="E4520" s="13" t="str">
        <f>IFERROR(IF(AND(B4520&lt;&gt;"",C4520&lt;&gt;""),SUMIFS(Movimentos!$F$4:$F$9996,Movimentos!$D$4:$D$9996,B4520,Movimentos!$C$4:$C$9996,"Entrada")-SUMIFS(Movimentos!$F$4:$F$9996,Movimentos!$D$4:$D$9996,B4520,Movimentos!$C$4:$C$9996,"Saída"),""),"")</f>
        <v/>
      </c>
      <c r="F4520" s="10" t="str">
        <f t="shared" si="144"/>
        <v/>
      </c>
    </row>
    <row r="4521" spans="1:6" x14ac:dyDescent="0.3">
      <c r="A4521" s="15" t="str">
        <f t="shared" si="143"/>
        <v>.</v>
      </c>
      <c r="E4521" s="13" t="str">
        <f>IFERROR(IF(AND(B4521&lt;&gt;"",C4521&lt;&gt;""),SUMIFS(Movimentos!$F$4:$F$9996,Movimentos!$D$4:$D$9996,B4521,Movimentos!$C$4:$C$9996,"Entrada")-SUMIFS(Movimentos!$F$4:$F$9996,Movimentos!$D$4:$D$9996,B4521,Movimentos!$C$4:$C$9996,"Saída"),""),"")</f>
        <v/>
      </c>
      <c r="F4521" s="10" t="str">
        <f t="shared" si="144"/>
        <v/>
      </c>
    </row>
    <row r="4522" spans="1:6" x14ac:dyDescent="0.3">
      <c r="A4522" s="15" t="str">
        <f t="shared" si="143"/>
        <v>.</v>
      </c>
      <c r="E4522" s="13" t="str">
        <f>IFERROR(IF(AND(B4522&lt;&gt;"",C4522&lt;&gt;""),SUMIFS(Movimentos!$F$4:$F$9996,Movimentos!$D$4:$D$9996,B4522,Movimentos!$C$4:$C$9996,"Entrada")-SUMIFS(Movimentos!$F$4:$F$9996,Movimentos!$D$4:$D$9996,B4522,Movimentos!$C$4:$C$9996,"Saída"),""),"")</f>
        <v/>
      </c>
      <c r="F4522" s="10" t="str">
        <f t="shared" si="144"/>
        <v/>
      </c>
    </row>
    <row r="4523" spans="1:6" x14ac:dyDescent="0.3">
      <c r="A4523" s="15" t="str">
        <f t="shared" si="143"/>
        <v>.</v>
      </c>
      <c r="E4523" s="13" t="str">
        <f>IFERROR(IF(AND(B4523&lt;&gt;"",C4523&lt;&gt;""),SUMIFS(Movimentos!$F$4:$F$9996,Movimentos!$D$4:$D$9996,B4523,Movimentos!$C$4:$C$9996,"Entrada")-SUMIFS(Movimentos!$F$4:$F$9996,Movimentos!$D$4:$D$9996,B4523,Movimentos!$C$4:$C$9996,"Saída"),""),"")</f>
        <v/>
      </c>
      <c r="F4523" s="10" t="str">
        <f t="shared" si="144"/>
        <v/>
      </c>
    </row>
    <row r="4524" spans="1:6" x14ac:dyDescent="0.3">
      <c r="A4524" s="15" t="str">
        <f t="shared" si="143"/>
        <v>.</v>
      </c>
      <c r="E4524" s="13" t="str">
        <f>IFERROR(IF(AND(B4524&lt;&gt;"",C4524&lt;&gt;""),SUMIFS(Movimentos!$F$4:$F$9996,Movimentos!$D$4:$D$9996,B4524,Movimentos!$C$4:$C$9996,"Entrada")-SUMIFS(Movimentos!$F$4:$F$9996,Movimentos!$D$4:$D$9996,B4524,Movimentos!$C$4:$C$9996,"Saída"),""),"")</f>
        <v/>
      </c>
      <c r="F4524" s="10" t="str">
        <f t="shared" si="144"/>
        <v/>
      </c>
    </row>
    <row r="4525" spans="1:6" x14ac:dyDescent="0.3">
      <c r="A4525" s="15" t="str">
        <f t="shared" si="143"/>
        <v>.</v>
      </c>
      <c r="E4525" s="13" t="str">
        <f>IFERROR(IF(AND(B4525&lt;&gt;"",C4525&lt;&gt;""),SUMIFS(Movimentos!$F$4:$F$9996,Movimentos!$D$4:$D$9996,B4525,Movimentos!$C$4:$C$9996,"Entrada")-SUMIFS(Movimentos!$F$4:$F$9996,Movimentos!$D$4:$D$9996,B4525,Movimentos!$C$4:$C$9996,"Saída"),""),"")</f>
        <v/>
      </c>
      <c r="F4525" s="10" t="str">
        <f t="shared" si="144"/>
        <v/>
      </c>
    </row>
    <row r="4526" spans="1:6" x14ac:dyDescent="0.3">
      <c r="A4526" s="15" t="str">
        <f t="shared" si="143"/>
        <v>.</v>
      </c>
      <c r="E4526" s="13" t="str">
        <f>IFERROR(IF(AND(B4526&lt;&gt;"",C4526&lt;&gt;""),SUMIFS(Movimentos!$F$4:$F$9996,Movimentos!$D$4:$D$9996,B4526,Movimentos!$C$4:$C$9996,"Entrada")-SUMIFS(Movimentos!$F$4:$F$9996,Movimentos!$D$4:$D$9996,B4526,Movimentos!$C$4:$C$9996,"Saída"),""),"")</f>
        <v/>
      </c>
      <c r="F4526" s="10" t="str">
        <f t="shared" si="144"/>
        <v/>
      </c>
    </row>
    <row r="4527" spans="1:6" x14ac:dyDescent="0.3">
      <c r="A4527" s="15" t="str">
        <f t="shared" si="143"/>
        <v>.</v>
      </c>
      <c r="E4527" s="13" t="str">
        <f>IFERROR(IF(AND(B4527&lt;&gt;"",C4527&lt;&gt;""),SUMIFS(Movimentos!$F$4:$F$9996,Movimentos!$D$4:$D$9996,B4527,Movimentos!$C$4:$C$9996,"Entrada")-SUMIFS(Movimentos!$F$4:$F$9996,Movimentos!$D$4:$D$9996,B4527,Movimentos!$C$4:$C$9996,"Saída"),""),"")</f>
        <v/>
      </c>
      <c r="F4527" s="10" t="str">
        <f t="shared" si="144"/>
        <v/>
      </c>
    </row>
    <row r="4528" spans="1:6" x14ac:dyDescent="0.3">
      <c r="A4528" s="15" t="str">
        <f t="shared" si="143"/>
        <v>.</v>
      </c>
      <c r="E4528" s="13" t="str">
        <f>IFERROR(IF(AND(B4528&lt;&gt;"",C4528&lt;&gt;""),SUMIFS(Movimentos!$F$4:$F$9996,Movimentos!$D$4:$D$9996,B4528,Movimentos!$C$4:$C$9996,"Entrada")-SUMIFS(Movimentos!$F$4:$F$9996,Movimentos!$D$4:$D$9996,B4528,Movimentos!$C$4:$C$9996,"Saída"),""),"")</f>
        <v/>
      </c>
      <c r="F4528" s="10" t="str">
        <f t="shared" si="144"/>
        <v/>
      </c>
    </row>
    <row r="4529" spans="1:6" x14ac:dyDescent="0.3">
      <c r="A4529" s="15" t="str">
        <f t="shared" si="143"/>
        <v>.</v>
      </c>
      <c r="E4529" s="13" t="str">
        <f>IFERROR(IF(AND(B4529&lt;&gt;"",C4529&lt;&gt;""),SUMIFS(Movimentos!$F$4:$F$9996,Movimentos!$D$4:$D$9996,B4529,Movimentos!$C$4:$C$9996,"Entrada")-SUMIFS(Movimentos!$F$4:$F$9996,Movimentos!$D$4:$D$9996,B4529,Movimentos!$C$4:$C$9996,"Saída"),""),"")</f>
        <v/>
      </c>
      <c r="F4529" s="10" t="str">
        <f t="shared" si="144"/>
        <v/>
      </c>
    </row>
    <row r="4530" spans="1:6" x14ac:dyDescent="0.3">
      <c r="A4530" s="15" t="str">
        <f t="shared" si="143"/>
        <v>.</v>
      </c>
      <c r="E4530" s="13" t="str">
        <f>IFERROR(IF(AND(B4530&lt;&gt;"",C4530&lt;&gt;""),SUMIFS(Movimentos!$F$4:$F$9996,Movimentos!$D$4:$D$9996,B4530,Movimentos!$C$4:$C$9996,"Entrada")-SUMIFS(Movimentos!$F$4:$F$9996,Movimentos!$D$4:$D$9996,B4530,Movimentos!$C$4:$C$9996,"Saída"),""),"")</f>
        <v/>
      </c>
      <c r="F4530" s="10" t="str">
        <f t="shared" si="144"/>
        <v/>
      </c>
    </row>
    <row r="4531" spans="1:6" x14ac:dyDescent="0.3">
      <c r="A4531" s="15" t="str">
        <f t="shared" si="143"/>
        <v>.</v>
      </c>
      <c r="E4531" s="13" t="str">
        <f>IFERROR(IF(AND(B4531&lt;&gt;"",C4531&lt;&gt;""),SUMIFS(Movimentos!$F$4:$F$9996,Movimentos!$D$4:$D$9996,B4531,Movimentos!$C$4:$C$9996,"Entrada")-SUMIFS(Movimentos!$F$4:$F$9996,Movimentos!$D$4:$D$9996,B4531,Movimentos!$C$4:$C$9996,"Saída"),""),"")</f>
        <v/>
      </c>
      <c r="F4531" s="10" t="str">
        <f t="shared" si="144"/>
        <v/>
      </c>
    </row>
    <row r="4532" spans="1:6" x14ac:dyDescent="0.3">
      <c r="A4532" s="15" t="str">
        <f t="shared" si="143"/>
        <v>.</v>
      </c>
      <c r="E4532" s="13" t="str">
        <f>IFERROR(IF(AND(B4532&lt;&gt;"",C4532&lt;&gt;""),SUMIFS(Movimentos!$F$4:$F$9996,Movimentos!$D$4:$D$9996,B4532,Movimentos!$C$4:$C$9996,"Entrada")-SUMIFS(Movimentos!$F$4:$F$9996,Movimentos!$D$4:$D$9996,B4532,Movimentos!$C$4:$C$9996,"Saída"),""),"")</f>
        <v/>
      </c>
      <c r="F4532" s="10" t="str">
        <f t="shared" si="144"/>
        <v/>
      </c>
    </row>
    <row r="4533" spans="1:6" x14ac:dyDescent="0.3">
      <c r="A4533" s="15" t="str">
        <f t="shared" si="143"/>
        <v>.</v>
      </c>
      <c r="E4533" s="13" t="str">
        <f>IFERROR(IF(AND(B4533&lt;&gt;"",C4533&lt;&gt;""),SUMIFS(Movimentos!$F$4:$F$9996,Movimentos!$D$4:$D$9996,B4533,Movimentos!$C$4:$C$9996,"Entrada")-SUMIFS(Movimentos!$F$4:$F$9996,Movimentos!$D$4:$D$9996,B4533,Movimentos!$C$4:$C$9996,"Saída"),""),"")</f>
        <v/>
      </c>
      <c r="F4533" s="10" t="str">
        <f t="shared" si="144"/>
        <v/>
      </c>
    </row>
    <row r="4534" spans="1:6" x14ac:dyDescent="0.3">
      <c r="A4534" s="15" t="str">
        <f t="shared" si="143"/>
        <v>.</v>
      </c>
      <c r="E4534" s="13" t="str">
        <f>IFERROR(IF(AND(B4534&lt;&gt;"",C4534&lt;&gt;""),SUMIFS(Movimentos!$F$4:$F$9996,Movimentos!$D$4:$D$9996,B4534,Movimentos!$C$4:$C$9996,"Entrada")-SUMIFS(Movimentos!$F$4:$F$9996,Movimentos!$D$4:$D$9996,B4534,Movimentos!$C$4:$C$9996,"Saída"),""),"")</f>
        <v/>
      </c>
      <c r="F4534" s="10" t="str">
        <f t="shared" si="144"/>
        <v/>
      </c>
    </row>
    <row r="4535" spans="1:6" x14ac:dyDescent="0.3">
      <c r="A4535" s="15" t="str">
        <f t="shared" si="143"/>
        <v>.</v>
      </c>
      <c r="E4535" s="13" t="str">
        <f>IFERROR(IF(AND(B4535&lt;&gt;"",C4535&lt;&gt;""),SUMIFS(Movimentos!$F$4:$F$9996,Movimentos!$D$4:$D$9996,B4535,Movimentos!$C$4:$C$9996,"Entrada")-SUMIFS(Movimentos!$F$4:$F$9996,Movimentos!$D$4:$D$9996,B4535,Movimentos!$C$4:$C$9996,"Saída"),""),"")</f>
        <v/>
      </c>
      <c r="F4535" s="10" t="str">
        <f t="shared" si="144"/>
        <v/>
      </c>
    </row>
    <row r="4536" spans="1:6" x14ac:dyDescent="0.3">
      <c r="A4536" s="15" t="str">
        <f t="shared" si="143"/>
        <v>.</v>
      </c>
      <c r="E4536" s="13" t="str">
        <f>IFERROR(IF(AND(B4536&lt;&gt;"",C4536&lt;&gt;""),SUMIFS(Movimentos!$F$4:$F$9996,Movimentos!$D$4:$D$9996,B4536,Movimentos!$C$4:$C$9996,"Entrada")-SUMIFS(Movimentos!$F$4:$F$9996,Movimentos!$D$4:$D$9996,B4536,Movimentos!$C$4:$C$9996,"Saída"),""),"")</f>
        <v/>
      </c>
      <c r="F4536" s="10" t="str">
        <f t="shared" si="144"/>
        <v/>
      </c>
    </row>
    <row r="4537" spans="1:6" x14ac:dyDescent="0.3">
      <c r="A4537" s="15" t="str">
        <f t="shared" si="143"/>
        <v>.</v>
      </c>
      <c r="E4537" s="13" t="str">
        <f>IFERROR(IF(AND(B4537&lt;&gt;"",C4537&lt;&gt;""),SUMIFS(Movimentos!$F$4:$F$9996,Movimentos!$D$4:$D$9996,B4537,Movimentos!$C$4:$C$9996,"Entrada")-SUMIFS(Movimentos!$F$4:$F$9996,Movimentos!$D$4:$D$9996,B4537,Movimentos!$C$4:$C$9996,"Saída"),""),"")</f>
        <v/>
      </c>
      <c r="F4537" s="10" t="str">
        <f t="shared" si="144"/>
        <v/>
      </c>
    </row>
    <row r="4538" spans="1:6" x14ac:dyDescent="0.3">
      <c r="A4538" s="15" t="str">
        <f t="shared" si="143"/>
        <v>.</v>
      </c>
      <c r="E4538" s="13" t="str">
        <f>IFERROR(IF(AND(B4538&lt;&gt;"",C4538&lt;&gt;""),SUMIFS(Movimentos!$F$4:$F$9996,Movimentos!$D$4:$D$9996,B4538,Movimentos!$C$4:$C$9996,"Entrada")-SUMIFS(Movimentos!$F$4:$F$9996,Movimentos!$D$4:$D$9996,B4538,Movimentos!$C$4:$C$9996,"Saída"),""),"")</f>
        <v/>
      </c>
      <c r="F4538" s="10" t="str">
        <f t="shared" si="144"/>
        <v/>
      </c>
    </row>
    <row r="4539" spans="1:6" x14ac:dyDescent="0.3">
      <c r="A4539" s="15" t="str">
        <f t="shared" si="143"/>
        <v>.</v>
      </c>
      <c r="E4539" s="13" t="str">
        <f>IFERROR(IF(AND(B4539&lt;&gt;"",C4539&lt;&gt;""),SUMIFS(Movimentos!$F$4:$F$9996,Movimentos!$D$4:$D$9996,B4539,Movimentos!$C$4:$C$9996,"Entrada")-SUMIFS(Movimentos!$F$4:$F$9996,Movimentos!$D$4:$D$9996,B4539,Movimentos!$C$4:$C$9996,"Saída"),""),"")</f>
        <v/>
      </c>
      <c r="F4539" s="10" t="str">
        <f t="shared" si="144"/>
        <v/>
      </c>
    </row>
    <row r="4540" spans="1:6" x14ac:dyDescent="0.3">
      <c r="A4540" s="15" t="str">
        <f t="shared" si="143"/>
        <v>.</v>
      </c>
      <c r="E4540" s="13" t="str">
        <f>IFERROR(IF(AND(B4540&lt;&gt;"",C4540&lt;&gt;""),SUMIFS(Movimentos!$F$4:$F$9996,Movimentos!$D$4:$D$9996,B4540,Movimentos!$C$4:$C$9996,"Entrada")-SUMIFS(Movimentos!$F$4:$F$9996,Movimentos!$D$4:$D$9996,B4540,Movimentos!$C$4:$C$9996,"Saída"),""),"")</f>
        <v/>
      </c>
      <c r="F4540" s="10" t="str">
        <f t="shared" si="144"/>
        <v/>
      </c>
    </row>
    <row r="4541" spans="1:6" x14ac:dyDescent="0.3">
      <c r="A4541" s="15" t="str">
        <f t="shared" si="143"/>
        <v>.</v>
      </c>
      <c r="E4541" s="13" t="str">
        <f>IFERROR(IF(AND(B4541&lt;&gt;"",C4541&lt;&gt;""),SUMIFS(Movimentos!$F$4:$F$9996,Movimentos!$D$4:$D$9996,B4541,Movimentos!$C$4:$C$9996,"Entrada")-SUMIFS(Movimentos!$F$4:$F$9996,Movimentos!$D$4:$D$9996,B4541,Movimentos!$C$4:$C$9996,"Saída"),""),"")</f>
        <v/>
      </c>
      <c r="F4541" s="10" t="str">
        <f t="shared" si="144"/>
        <v/>
      </c>
    </row>
    <row r="4542" spans="1:6" x14ac:dyDescent="0.3">
      <c r="A4542" s="15" t="str">
        <f t="shared" si="143"/>
        <v>.</v>
      </c>
      <c r="E4542" s="13" t="str">
        <f>IFERROR(IF(AND(B4542&lt;&gt;"",C4542&lt;&gt;""),SUMIFS(Movimentos!$F$4:$F$9996,Movimentos!$D$4:$D$9996,B4542,Movimentos!$C$4:$C$9996,"Entrada")-SUMIFS(Movimentos!$F$4:$F$9996,Movimentos!$D$4:$D$9996,B4542,Movimentos!$C$4:$C$9996,"Saída"),""),"")</f>
        <v/>
      </c>
      <c r="F4542" s="10" t="str">
        <f t="shared" si="144"/>
        <v/>
      </c>
    </row>
    <row r="4543" spans="1:6" x14ac:dyDescent="0.3">
      <c r="A4543" s="15" t="str">
        <f t="shared" si="143"/>
        <v>.</v>
      </c>
      <c r="E4543" s="13" t="str">
        <f>IFERROR(IF(AND(B4543&lt;&gt;"",C4543&lt;&gt;""),SUMIFS(Movimentos!$F$4:$F$9996,Movimentos!$D$4:$D$9996,B4543,Movimentos!$C$4:$C$9996,"Entrada")-SUMIFS(Movimentos!$F$4:$F$9996,Movimentos!$D$4:$D$9996,B4543,Movimentos!$C$4:$C$9996,"Saída"),""),"")</f>
        <v/>
      </c>
      <c r="F4543" s="10" t="str">
        <f t="shared" si="144"/>
        <v/>
      </c>
    </row>
    <row r="4544" spans="1:6" x14ac:dyDescent="0.3">
      <c r="A4544" s="15" t="str">
        <f t="shared" ref="A4544:A4607" si="145">IF(F4544="Saldo zerado",0,IF(F4544="Saldo abaixo do mínimo",1,IF(F4544="Saldo disponível",2,".")))</f>
        <v>.</v>
      </c>
      <c r="E4544" s="13" t="str">
        <f>IFERROR(IF(AND(B4544&lt;&gt;"",C4544&lt;&gt;""),SUMIFS(Movimentos!$F$4:$F$9996,Movimentos!$D$4:$D$9996,B4544,Movimentos!$C$4:$C$9996,"Entrada")-SUMIFS(Movimentos!$F$4:$F$9996,Movimentos!$D$4:$D$9996,B4544,Movimentos!$C$4:$C$9996,"Saída"),""),"")</f>
        <v/>
      </c>
      <c r="F4544" s="10" t="str">
        <f t="shared" si="144"/>
        <v/>
      </c>
    </row>
    <row r="4545" spans="1:6" x14ac:dyDescent="0.3">
      <c r="A4545" s="15" t="str">
        <f t="shared" si="145"/>
        <v>.</v>
      </c>
      <c r="E4545" s="13" t="str">
        <f>IFERROR(IF(AND(B4545&lt;&gt;"",C4545&lt;&gt;""),SUMIFS(Movimentos!$F$4:$F$9996,Movimentos!$D$4:$D$9996,B4545,Movimentos!$C$4:$C$9996,"Entrada")-SUMIFS(Movimentos!$F$4:$F$9996,Movimentos!$D$4:$D$9996,B4545,Movimentos!$C$4:$C$9996,"Saída"),""),"")</f>
        <v/>
      </c>
      <c r="F4545" s="10" t="str">
        <f t="shared" si="144"/>
        <v/>
      </c>
    </row>
    <row r="4546" spans="1:6" x14ac:dyDescent="0.3">
      <c r="A4546" s="15" t="str">
        <f t="shared" si="145"/>
        <v>.</v>
      </c>
      <c r="E4546" s="13" t="str">
        <f>IFERROR(IF(AND(B4546&lt;&gt;"",C4546&lt;&gt;""),SUMIFS(Movimentos!$F$4:$F$9996,Movimentos!$D$4:$D$9996,B4546,Movimentos!$C$4:$C$9996,"Entrada")-SUMIFS(Movimentos!$F$4:$F$9996,Movimentos!$D$4:$D$9996,B4546,Movimentos!$C$4:$C$9996,"Saída"),""),"")</f>
        <v/>
      </c>
      <c r="F4546" s="10" t="str">
        <f t="shared" si="144"/>
        <v/>
      </c>
    </row>
    <row r="4547" spans="1:6" x14ac:dyDescent="0.3">
      <c r="A4547" s="15" t="str">
        <f t="shared" si="145"/>
        <v>.</v>
      </c>
      <c r="E4547" s="13" t="str">
        <f>IFERROR(IF(AND(B4547&lt;&gt;"",C4547&lt;&gt;""),SUMIFS(Movimentos!$F$4:$F$9996,Movimentos!$D$4:$D$9996,B4547,Movimentos!$C$4:$C$9996,"Entrada")-SUMIFS(Movimentos!$F$4:$F$9996,Movimentos!$D$4:$D$9996,B4547,Movimentos!$C$4:$C$9996,"Saída"),""),"")</f>
        <v/>
      </c>
      <c r="F4547" s="10" t="str">
        <f t="shared" si="144"/>
        <v/>
      </c>
    </row>
    <row r="4548" spans="1:6" x14ac:dyDescent="0.3">
      <c r="A4548" s="15" t="str">
        <f t="shared" si="145"/>
        <v>.</v>
      </c>
      <c r="E4548" s="13" t="str">
        <f>IFERROR(IF(AND(B4548&lt;&gt;"",C4548&lt;&gt;""),SUMIFS(Movimentos!$F$4:$F$9996,Movimentos!$D$4:$D$9996,B4548,Movimentos!$C$4:$C$9996,"Entrada")-SUMIFS(Movimentos!$F$4:$F$9996,Movimentos!$D$4:$D$9996,B4548,Movimentos!$C$4:$C$9996,"Saída"),""),"")</f>
        <v/>
      </c>
      <c r="F4548" s="10" t="str">
        <f t="shared" si="144"/>
        <v/>
      </c>
    </row>
    <row r="4549" spans="1:6" x14ac:dyDescent="0.3">
      <c r="A4549" s="15" t="str">
        <f t="shared" si="145"/>
        <v>.</v>
      </c>
      <c r="E4549" s="13" t="str">
        <f>IFERROR(IF(AND(B4549&lt;&gt;"",C4549&lt;&gt;""),SUMIFS(Movimentos!$F$4:$F$9996,Movimentos!$D$4:$D$9996,B4549,Movimentos!$C$4:$C$9996,"Entrada")-SUMIFS(Movimentos!$F$4:$F$9996,Movimentos!$D$4:$D$9996,B4549,Movimentos!$C$4:$C$9996,"Saída"),""),"")</f>
        <v/>
      </c>
      <c r="F4549" s="10" t="str">
        <f t="shared" si="144"/>
        <v/>
      </c>
    </row>
    <row r="4550" spans="1:6" x14ac:dyDescent="0.3">
      <c r="A4550" s="15" t="str">
        <f t="shared" si="145"/>
        <v>.</v>
      </c>
      <c r="E4550" s="13" t="str">
        <f>IFERROR(IF(AND(B4550&lt;&gt;"",C4550&lt;&gt;""),SUMIFS(Movimentos!$F$4:$F$9996,Movimentos!$D$4:$D$9996,B4550,Movimentos!$C$4:$C$9996,"Entrada")-SUMIFS(Movimentos!$F$4:$F$9996,Movimentos!$D$4:$D$9996,B4550,Movimentos!$C$4:$C$9996,"Saída"),""),"")</f>
        <v/>
      </c>
      <c r="F4550" s="10" t="str">
        <f t="shared" si="144"/>
        <v/>
      </c>
    </row>
    <row r="4551" spans="1:6" x14ac:dyDescent="0.3">
      <c r="A4551" s="15" t="str">
        <f t="shared" si="145"/>
        <v>.</v>
      </c>
      <c r="E4551" s="13" t="str">
        <f>IFERROR(IF(AND(B4551&lt;&gt;"",C4551&lt;&gt;""),SUMIFS(Movimentos!$F$4:$F$9996,Movimentos!$D$4:$D$9996,B4551,Movimentos!$C$4:$C$9996,"Entrada")-SUMIFS(Movimentos!$F$4:$F$9996,Movimentos!$D$4:$D$9996,B4551,Movimentos!$C$4:$C$9996,"Saída"),""),"")</f>
        <v/>
      </c>
      <c r="F4551" s="10" t="str">
        <f t="shared" si="144"/>
        <v/>
      </c>
    </row>
    <row r="4552" spans="1:6" x14ac:dyDescent="0.3">
      <c r="A4552" s="15" t="str">
        <f t="shared" si="145"/>
        <v>.</v>
      </c>
      <c r="E4552" s="13" t="str">
        <f>IFERROR(IF(AND(B4552&lt;&gt;"",C4552&lt;&gt;""),SUMIFS(Movimentos!$F$4:$F$9996,Movimentos!$D$4:$D$9996,B4552,Movimentos!$C$4:$C$9996,"Entrada")-SUMIFS(Movimentos!$F$4:$F$9996,Movimentos!$D$4:$D$9996,B4552,Movimentos!$C$4:$C$9996,"Saída"),""),"")</f>
        <v/>
      </c>
      <c r="F4552" s="10" t="str">
        <f t="shared" si="144"/>
        <v/>
      </c>
    </row>
    <row r="4553" spans="1:6" x14ac:dyDescent="0.3">
      <c r="A4553" s="15" t="str">
        <f t="shared" si="145"/>
        <v>.</v>
      </c>
      <c r="E4553" s="13" t="str">
        <f>IFERROR(IF(AND(B4553&lt;&gt;"",C4553&lt;&gt;""),SUMIFS(Movimentos!$F$4:$F$9996,Movimentos!$D$4:$D$9996,B4553,Movimentos!$C$4:$C$9996,"Entrada")-SUMIFS(Movimentos!$F$4:$F$9996,Movimentos!$D$4:$D$9996,B4553,Movimentos!$C$4:$C$9996,"Saída"),""),"")</f>
        <v/>
      </c>
      <c r="F4553" s="10" t="str">
        <f t="shared" si="144"/>
        <v/>
      </c>
    </row>
    <row r="4554" spans="1:6" x14ac:dyDescent="0.3">
      <c r="A4554" s="15" t="str">
        <f t="shared" si="145"/>
        <v>.</v>
      </c>
      <c r="E4554" s="13" t="str">
        <f>IFERROR(IF(AND(B4554&lt;&gt;"",C4554&lt;&gt;""),SUMIFS(Movimentos!$F$4:$F$9996,Movimentos!$D$4:$D$9996,B4554,Movimentos!$C$4:$C$9996,"Entrada")-SUMIFS(Movimentos!$F$4:$F$9996,Movimentos!$D$4:$D$9996,B4554,Movimentos!$C$4:$C$9996,"Saída"),""),"")</f>
        <v/>
      </c>
      <c r="F4554" s="10" t="str">
        <f t="shared" si="144"/>
        <v/>
      </c>
    </row>
    <row r="4555" spans="1:6" x14ac:dyDescent="0.3">
      <c r="A4555" s="15" t="str">
        <f t="shared" si="145"/>
        <v>.</v>
      </c>
      <c r="E4555" s="13" t="str">
        <f>IFERROR(IF(AND(B4555&lt;&gt;"",C4555&lt;&gt;""),SUMIFS(Movimentos!$F$4:$F$9996,Movimentos!$D$4:$D$9996,B4555,Movimentos!$C$4:$C$9996,"Entrada")-SUMIFS(Movimentos!$F$4:$F$9996,Movimentos!$D$4:$D$9996,B4555,Movimentos!$C$4:$C$9996,"Saída"),""),"")</f>
        <v/>
      </c>
      <c r="F4555" s="10" t="str">
        <f t="shared" si="144"/>
        <v/>
      </c>
    </row>
    <row r="4556" spans="1:6" x14ac:dyDescent="0.3">
      <c r="A4556" s="15" t="str">
        <f t="shared" si="145"/>
        <v>.</v>
      </c>
      <c r="E4556" s="13" t="str">
        <f>IFERROR(IF(AND(B4556&lt;&gt;"",C4556&lt;&gt;""),SUMIFS(Movimentos!$F$4:$F$9996,Movimentos!$D$4:$D$9996,B4556,Movimentos!$C$4:$C$9996,"Entrada")-SUMIFS(Movimentos!$F$4:$F$9996,Movimentos!$D$4:$D$9996,B4556,Movimentos!$C$4:$C$9996,"Saída"),""),"")</f>
        <v/>
      </c>
      <c r="F4556" s="10" t="str">
        <f t="shared" si="144"/>
        <v/>
      </c>
    </row>
    <row r="4557" spans="1:6" x14ac:dyDescent="0.3">
      <c r="A4557" s="15" t="str">
        <f t="shared" si="145"/>
        <v>.</v>
      </c>
      <c r="E4557" s="13" t="str">
        <f>IFERROR(IF(AND(B4557&lt;&gt;"",C4557&lt;&gt;""),SUMIFS(Movimentos!$F$4:$F$9996,Movimentos!$D$4:$D$9996,B4557,Movimentos!$C$4:$C$9996,"Entrada")-SUMIFS(Movimentos!$F$4:$F$9996,Movimentos!$D$4:$D$9996,B4557,Movimentos!$C$4:$C$9996,"Saída"),""),"")</f>
        <v/>
      </c>
      <c r="F4557" s="10" t="str">
        <f t="shared" si="144"/>
        <v/>
      </c>
    </row>
    <row r="4558" spans="1:6" x14ac:dyDescent="0.3">
      <c r="A4558" s="15" t="str">
        <f t="shared" si="145"/>
        <v>.</v>
      </c>
      <c r="E4558" s="13" t="str">
        <f>IFERROR(IF(AND(B4558&lt;&gt;"",C4558&lt;&gt;""),SUMIFS(Movimentos!$F$4:$F$9996,Movimentos!$D$4:$D$9996,B4558,Movimentos!$C$4:$C$9996,"Entrada")-SUMIFS(Movimentos!$F$4:$F$9996,Movimentos!$D$4:$D$9996,B4558,Movimentos!$C$4:$C$9996,"Saída"),""),"")</f>
        <v/>
      </c>
      <c r="F4558" s="10" t="str">
        <f t="shared" si="144"/>
        <v/>
      </c>
    </row>
    <row r="4559" spans="1:6" x14ac:dyDescent="0.3">
      <c r="A4559" s="15" t="str">
        <f t="shared" si="145"/>
        <v>.</v>
      </c>
      <c r="E4559" s="13" t="str">
        <f>IFERROR(IF(AND(B4559&lt;&gt;"",C4559&lt;&gt;""),SUMIFS(Movimentos!$F$4:$F$9996,Movimentos!$D$4:$D$9996,B4559,Movimentos!$C$4:$C$9996,"Entrada")-SUMIFS(Movimentos!$F$4:$F$9996,Movimentos!$D$4:$D$9996,B4559,Movimentos!$C$4:$C$9996,"Saída"),""),"")</f>
        <v/>
      </c>
      <c r="F4559" s="10" t="str">
        <f t="shared" si="144"/>
        <v/>
      </c>
    </row>
    <row r="4560" spans="1:6" x14ac:dyDescent="0.3">
      <c r="A4560" s="15" t="str">
        <f t="shared" si="145"/>
        <v>.</v>
      </c>
      <c r="E4560" s="13" t="str">
        <f>IFERROR(IF(AND(B4560&lt;&gt;"",C4560&lt;&gt;""),SUMIFS(Movimentos!$F$4:$F$9996,Movimentos!$D$4:$D$9996,B4560,Movimentos!$C$4:$C$9996,"Entrada")-SUMIFS(Movimentos!$F$4:$F$9996,Movimentos!$D$4:$D$9996,B4560,Movimentos!$C$4:$C$9996,"Saída"),""),"")</f>
        <v/>
      </c>
      <c r="F4560" s="10" t="str">
        <f t="shared" si="144"/>
        <v/>
      </c>
    </row>
    <row r="4561" spans="1:6" x14ac:dyDescent="0.3">
      <c r="A4561" s="15" t="str">
        <f t="shared" si="145"/>
        <v>.</v>
      </c>
      <c r="E4561" s="13" t="str">
        <f>IFERROR(IF(AND(B4561&lt;&gt;"",C4561&lt;&gt;""),SUMIFS(Movimentos!$F$4:$F$9996,Movimentos!$D$4:$D$9996,B4561,Movimentos!$C$4:$C$9996,"Entrada")-SUMIFS(Movimentos!$F$4:$F$9996,Movimentos!$D$4:$D$9996,B4561,Movimentos!$C$4:$C$9996,"Saída"),""),"")</f>
        <v/>
      </c>
      <c r="F4561" s="10" t="str">
        <f t="shared" si="144"/>
        <v/>
      </c>
    </row>
    <row r="4562" spans="1:6" x14ac:dyDescent="0.3">
      <c r="A4562" s="15" t="str">
        <f t="shared" si="145"/>
        <v>.</v>
      </c>
      <c r="E4562" s="13" t="str">
        <f>IFERROR(IF(AND(B4562&lt;&gt;"",C4562&lt;&gt;""),SUMIFS(Movimentos!$F$4:$F$9996,Movimentos!$D$4:$D$9996,B4562,Movimentos!$C$4:$C$9996,"Entrada")-SUMIFS(Movimentos!$F$4:$F$9996,Movimentos!$D$4:$D$9996,B4562,Movimentos!$C$4:$C$9996,"Saída"),""),"")</f>
        <v/>
      </c>
      <c r="F4562" s="10" t="str">
        <f t="shared" si="144"/>
        <v/>
      </c>
    </row>
    <row r="4563" spans="1:6" x14ac:dyDescent="0.3">
      <c r="A4563" s="15" t="str">
        <f t="shared" si="145"/>
        <v>.</v>
      </c>
      <c r="E4563" s="13" t="str">
        <f>IFERROR(IF(AND(B4563&lt;&gt;"",C4563&lt;&gt;""),SUMIFS(Movimentos!$F$4:$F$9996,Movimentos!$D$4:$D$9996,B4563,Movimentos!$C$4:$C$9996,"Entrada")-SUMIFS(Movimentos!$F$4:$F$9996,Movimentos!$D$4:$D$9996,B4563,Movimentos!$C$4:$C$9996,"Saída"),""),"")</f>
        <v/>
      </c>
      <c r="F4563" s="10" t="str">
        <f t="shared" si="144"/>
        <v/>
      </c>
    </row>
    <row r="4564" spans="1:6" x14ac:dyDescent="0.3">
      <c r="A4564" s="15" t="str">
        <f t="shared" si="145"/>
        <v>.</v>
      </c>
      <c r="E4564" s="13" t="str">
        <f>IFERROR(IF(AND(B4564&lt;&gt;"",C4564&lt;&gt;""),SUMIFS(Movimentos!$F$4:$F$9996,Movimentos!$D$4:$D$9996,B4564,Movimentos!$C$4:$C$9996,"Entrada")-SUMIFS(Movimentos!$F$4:$F$9996,Movimentos!$D$4:$D$9996,B4564,Movimentos!$C$4:$C$9996,"Saída"),""),"")</f>
        <v/>
      </c>
      <c r="F4564" s="10" t="str">
        <f t="shared" si="144"/>
        <v/>
      </c>
    </row>
    <row r="4565" spans="1:6" x14ac:dyDescent="0.3">
      <c r="A4565" s="15" t="str">
        <f t="shared" si="145"/>
        <v>.</v>
      </c>
      <c r="E4565" s="13" t="str">
        <f>IFERROR(IF(AND(B4565&lt;&gt;"",C4565&lt;&gt;""),SUMIFS(Movimentos!$F$4:$F$9996,Movimentos!$D$4:$D$9996,B4565,Movimentos!$C$4:$C$9996,"Entrada")-SUMIFS(Movimentos!$F$4:$F$9996,Movimentos!$D$4:$D$9996,B4565,Movimentos!$C$4:$C$9996,"Saída"),""),"")</f>
        <v/>
      </c>
      <c r="F4565" s="10" t="str">
        <f t="shared" si="144"/>
        <v/>
      </c>
    </row>
    <row r="4566" spans="1:6" x14ac:dyDescent="0.3">
      <c r="A4566" s="15" t="str">
        <f t="shared" si="145"/>
        <v>.</v>
      </c>
      <c r="E4566" s="13" t="str">
        <f>IFERROR(IF(AND(B4566&lt;&gt;"",C4566&lt;&gt;""),SUMIFS(Movimentos!$F$4:$F$9996,Movimentos!$D$4:$D$9996,B4566,Movimentos!$C$4:$C$9996,"Entrada")-SUMIFS(Movimentos!$F$4:$F$9996,Movimentos!$D$4:$D$9996,B4566,Movimentos!$C$4:$C$9996,"Saída"),""),"")</f>
        <v/>
      </c>
      <c r="F4566" s="10" t="str">
        <f t="shared" si="144"/>
        <v/>
      </c>
    </row>
    <row r="4567" spans="1:6" x14ac:dyDescent="0.3">
      <c r="A4567" s="15" t="str">
        <f t="shared" si="145"/>
        <v>.</v>
      </c>
      <c r="E4567" s="13" t="str">
        <f>IFERROR(IF(AND(B4567&lt;&gt;"",C4567&lt;&gt;""),SUMIFS(Movimentos!$F$4:$F$9996,Movimentos!$D$4:$D$9996,B4567,Movimentos!$C$4:$C$9996,"Entrada")-SUMIFS(Movimentos!$F$4:$F$9996,Movimentos!$D$4:$D$9996,B4567,Movimentos!$C$4:$C$9996,"Saída"),""),"")</f>
        <v/>
      </c>
      <c r="F4567" s="10" t="str">
        <f t="shared" ref="F4567:F4630" si="146">IF(AND(B4567&lt;&gt;"",C4567&lt;&gt;""),IF(E4567=0,"Saldo zerado",IF(E4567&lt;D4567,"Saldo abaixo do mínimo","Saldo disponível")),"")</f>
        <v/>
      </c>
    </row>
    <row r="4568" spans="1:6" x14ac:dyDescent="0.3">
      <c r="A4568" s="15" t="str">
        <f t="shared" si="145"/>
        <v>.</v>
      </c>
      <c r="E4568" s="13" t="str">
        <f>IFERROR(IF(AND(B4568&lt;&gt;"",C4568&lt;&gt;""),SUMIFS(Movimentos!$F$4:$F$9996,Movimentos!$D$4:$D$9996,B4568,Movimentos!$C$4:$C$9996,"Entrada")-SUMIFS(Movimentos!$F$4:$F$9996,Movimentos!$D$4:$D$9996,B4568,Movimentos!$C$4:$C$9996,"Saída"),""),"")</f>
        <v/>
      </c>
      <c r="F4568" s="10" t="str">
        <f t="shared" si="146"/>
        <v/>
      </c>
    </row>
    <row r="4569" spans="1:6" x14ac:dyDescent="0.3">
      <c r="A4569" s="15" t="str">
        <f t="shared" si="145"/>
        <v>.</v>
      </c>
      <c r="E4569" s="13" t="str">
        <f>IFERROR(IF(AND(B4569&lt;&gt;"",C4569&lt;&gt;""),SUMIFS(Movimentos!$F$4:$F$9996,Movimentos!$D$4:$D$9996,B4569,Movimentos!$C$4:$C$9996,"Entrada")-SUMIFS(Movimentos!$F$4:$F$9996,Movimentos!$D$4:$D$9996,B4569,Movimentos!$C$4:$C$9996,"Saída"),""),"")</f>
        <v/>
      </c>
      <c r="F4569" s="10" t="str">
        <f t="shared" si="146"/>
        <v/>
      </c>
    </row>
    <row r="4570" spans="1:6" x14ac:dyDescent="0.3">
      <c r="A4570" s="15" t="str">
        <f t="shared" si="145"/>
        <v>.</v>
      </c>
      <c r="E4570" s="13" t="str">
        <f>IFERROR(IF(AND(B4570&lt;&gt;"",C4570&lt;&gt;""),SUMIFS(Movimentos!$F$4:$F$9996,Movimentos!$D$4:$D$9996,B4570,Movimentos!$C$4:$C$9996,"Entrada")-SUMIFS(Movimentos!$F$4:$F$9996,Movimentos!$D$4:$D$9996,B4570,Movimentos!$C$4:$C$9996,"Saída"),""),"")</f>
        <v/>
      </c>
      <c r="F4570" s="10" t="str">
        <f t="shared" si="146"/>
        <v/>
      </c>
    </row>
    <row r="4571" spans="1:6" x14ac:dyDescent="0.3">
      <c r="A4571" s="15" t="str">
        <f t="shared" si="145"/>
        <v>.</v>
      </c>
      <c r="E4571" s="13" t="str">
        <f>IFERROR(IF(AND(B4571&lt;&gt;"",C4571&lt;&gt;""),SUMIFS(Movimentos!$F$4:$F$9996,Movimentos!$D$4:$D$9996,B4571,Movimentos!$C$4:$C$9996,"Entrada")-SUMIFS(Movimentos!$F$4:$F$9996,Movimentos!$D$4:$D$9996,B4571,Movimentos!$C$4:$C$9996,"Saída"),""),"")</f>
        <v/>
      </c>
      <c r="F4571" s="10" t="str">
        <f t="shared" si="146"/>
        <v/>
      </c>
    </row>
    <row r="4572" spans="1:6" x14ac:dyDescent="0.3">
      <c r="A4572" s="15" t="str">
        <f t="shared" si="145"/>
        <v>.</v>
      </c>
      <c r="E4572" s="13" t="str">
        <f>IFERROR(IF(AND(B4572&lt;&gt;"",C4572&lt;&gt;""),SUMIFS(Movimentos!$F$4:$F$9996,Movimentos!$D$4:$D$9996,B4572,Movimentos!$C$4:$C$9996,"Entrada")-SUMIFS(Movimentos!$F$4:$F$9996,Movimentos!$D$4:$D$9996,B4572,Movimentos!$C$4:$C$9996,"Saída"),""),"")</f>
        <v/>
      </c>
      <c r="F4572" s="10" t="str">
        <f t="shared" si="146"/>
        <v/>
      </c>
    </row>
    <row r="4573" spans="1:6" x14ac:dyDescent="0.3">
      <c r="A4573" s="15" t="str">
        <f t="shared" si="145"/>
        <v>.</v>
      </c>
      <c r="E4573" s="13" t="str">
        <f>IFERROR(IF(AND(B4573&lt;&gt;"",C4573&lt;&gt;""),SUMIFS(Movimentos!$F$4:$F$9996,Movimentos!$D$4:$D$9996,B4573,Movimentos!$C$4:$C$9996,"Entrada")-SUMIFS(Movimentos!$F$4:$F$9996,Movimentos!$D$4:$D$9996,B4573,Movimentos!$C$4:$C$9996,"Saída"),""),"")</f>
        <v/>
      </c>
      <c r="F4573" s="10" t="str">
        <f t="shared" si="146"/>
        <v/>
      </c>
    </row>
    <row r="4574" spans="1:6" x14ac:dyDescent="0.3">
      <c r="A4574" s="15" t="str">
        <f t="shared" si="145"/>
        <v>.</v>
      </c>
      <c r="E4574" s="13" t="str">
        <f>IFERROR(IF(AND(B4574&lt;&gt;"",C4574&lt;&gt;""),SUMIFS(Movimentos!$F$4:$F$9996,Movimentos!$D$4:$D$9996,B4574,Movimentos!$C$4:$C$9996,"Entrada")-SUMIFS(Movimentos!$F$4:$F$9996,Movimentos!$D$4:$D$9996,B4574,Movimentos!$C$4:$C$9996,"Saída"),""),"")</f>
        <v/>
      </c>
      <c r="F4574" s="10" t="str">
        <f t="shared" si="146"/>
        <v/>
      </c>
    </row>
    <row r="4575" spans="1:6" x14ac:dyDescent="0.3">
      <c r="A4575" s="15" t="str">
        <f t="shared" si="145"/>
        <v>.</v>
      </c>
      <c r="E4575" s="13" t="str">
        <f>IFERROR(IF(AND(B4575&lt;&gt;"",C4575&lt;&gt;""),SUMIFS(Movimentos!$F$4:$F$9996,Movimentos!$D$4:$D$9996,B4575,Movimentos!$C$4:$C$9996,"Entrada")-SUMIFS(Movimentos!$F$4:$F$9996,Movimentos!$D$4:$D$9996,B4575,Movimentos!$C$4:$C$9996,"Saída"),""),"")</f>
        <v/>
      </c>
      <c r="F4575" s="10" t="str">
        <f t="shared" si="146"/>
        <v/>
      </c>
    </row>
    <row r="4576" spans="1:6" x14ac:dyDescent="0.3">
      <c r="A4576" s="15" t="str">
        <f t="shared" si="145"/>
        <v>.</v>
      </c>
      <c r="E4576" s="13" t="str">
        <f>IFERROR(IF(AND(B4576&lt;&gt;"",C4576&lt;&gt;""),SUMIFS(Movimentos!$F$4:$F$9996,Movimentos!$D$4:$D$9996,B4576,Movimentos!$C$4:$C$9996,"Entrada")-SUMIFS(Movimentos!$F$4:$F$9996,Movimentos!$D$4:$D$9996,B4576,Movimentos!$C$4:$C$9996,"Saída"),""),"")</f>
        <v/>
      </c>
      <c r="F4576" s="10" t="str">
        <f t="shared" si="146"/>
        <v/>
      </c>
    </row>
    <row r="4577" spans="1:6" x14ac:dyDescent="0.3">
      <c r="A4577" s="15" t="str">
        <f t="shared" si="145"/>
        <v>.</v>
      </c>
      <c r="E4577" s="13" t="str">
        <f>IFERROR(IF(AND(B4577&lt;&gt;"",C4577&lt;&gt;""),SUMIFS(Movimentos!$F$4:$F$9996,Movimentos!$D$4:$D$9996,B4577,Movimentos!$C$4:$C$9996,"Entrada")-SUMIFS(Movimentos!$F$4:$F$9996,Movimentos!$D$4:$D$9996,B4577,Movimentos!$C$4:$C$9996,"Saída"),""),"")</f>
        <v/>
      </c>
      <c r="F4577" s="10" t="str">
        <f t="shared" si="146"/>
        <v/>
      </c>
    </row>
    <row r="4578" spans="1:6" x14ac:dyDescent="0.3">
      <c r="A4578" s="15" t="str">
        <f t="shared" si="145"/>
        <v>.</v>
      </c>
      <c r="E4578" s="13" t="str">
        <f>IFERROR(IF(AND(B4578&lt;&gt;"",C4578&lt;&gt;""),SUMIFS(Movimentos!$F$4:$F$9996,Movimentos!$D$4:$D$9996,B4578,Movimentos!$C$4:$C$9996,"Entrada")-SUMIFS(Movimentos!$F$4:$F$9996,Movimentos!$D$4:$D$9996,B4578,Movimentos!$C$4:$C$9996,"Saída"),""),"")</f>
        <v/>
      </c>
      <c r="F4578" s="10" t="str">
        <f t="shared" si="146"/>
        <v/>
      </c>
    </row>
    <row r="4579" spans="1:6" x14ac:dyDescent="0.3">
      <c r="A4579" s="15" t="str">
        <f t="shared" si="145"/>
        <v>.</v>
      </c>
      <c r="E4579" s="13" t="str">
        <f>IFERROR(IF(AND(B4579&lt;&gt;"",C4579&lt;&gt;""),SUMIFS(Movimentos!$F$4:$F$9996,Movimentos!$D$4:$D$9996,B4579,Movimentos!$C$4:$C$9996,"Entrada")-SUMIFS(Movimentos!$F$4:$F$9996,Movimentos!$D$4:$D$9996,B4579,Movimentos!$C$4:$C$9996,"Saída"),""),"")</f>
        <v/>
      </c>
      <c r="F4579" s="10" t="str">
        <f t="shared" si="146"/>
        <v/>
      </c>
    </row>
    <row r="4580" spans="1:6" x14ac:dyDescent="0.3">
      <c r="A4580" s="15" t="str">
        <f t="shared" si="145"/>
        <v>.</v>
      </c>
      <c r="E4580" s="13" t="str">
        <f>IFERROR(IF(AND(B4580&lt;&gt;"",C4580&lt;&gt;""),SUMIFS(Movimentos!$F$4:$F$9996,Movimentos!$D$4:$D$9996,B4580,Movimentos!$C$4:$C$9996,"Entrada")-SUMIFS(Movimentos!$F$4:$F$9996,Movimentos!$D$4:$D$9996,B4580,Movimentos!$C$4:$C$9996,"Saída"),""),"")</f>
        <v/>
      </c>
      <c r="F4580" s="10" t="str">
        <f t="shared" si="146"/>
        <v/>
      </c>
    </row>
    <row r="4581" spans="1:6" x14ac:dyDescent="0.3">
      <c r="A4581" s="15" t="str">
        <f t="shared" si="145"/>
        <v>.</v>
      </c>
      <c r="E4581" s="13" t="str">
        <f>IFERROR(IF(AND(B4581&lt;&gt;"",C4581&lt;&gt;""),SUMIFS(Movimentos!$F$4:$F$9996,Movimentos!$D$4:$D$9996,B4581,Movimentos!$C$4:$C$9996,"Entrada")-SUMIFS(Movimentos!$F$4:$F$9996,Movimentos!$D$4:$D$9996,B4581,Movimentos!$C$4:$C$9996,"Saída"),""),"")</f>
        <v/>
      </c>
      <c r="F4581" s="10" t="str">
        <f t="shared" si="146"/>
        <v/>
      </c>
    </row>
    <row r="4582" spans="1:6" x14ac:dyDescent="0.3">
      <c r="A4582" s="15" t="str">
        <f t="shared" si="145"/>
        <v>.</v>
      </c>
      <c r="E4582" s="13" t="str">
        <f>IFERROR(IF(AND(B4582&lt;&gt;"",C4582&lt;&gt;""),SUMIFS(Movimentos!$F$4:$F$9996,Movimentos!$D$4:$D$9996,B4582,Movimentos!$C$4:$C$9996,"Entrada")-SUMIFS(Movimentos!$F$4:$F$9996,Movimentos!$D$4:$D$9996,B4582,Movimentos!$C$4:$C$9996,"Saída"),""),"")</f>
        <v/>
      </c>
      <c r="F4582" s="10" t="str">
        <f t="shared" si="146"/>
        <v/>
      </c>
    </row>
    <row r="4583" spans="1:6" x14ac:dyDescent="0.3">
      <c r="A4583" s="15" t="str">
        <f t="shared" si="145"/>
        <v>.</v>
      </c>
      <c r="E4583" s="13" t="str">
        <f>IFERROR(IF(AND(B4583&lt;&gt;"",C4583&lt;&gt;""),SUMIFS(Movimentos!$F$4:$F$9996,Movimentos!$D$4:$D$9996,B4583,Movimentos!$C$4:$C$9996,"Entrada")-SUMIFS(Movimentos!$F$4:$F$9996,Movimentos!$D$4:$D$9996,B4583,Movimentos!$C$4:$C$9996,"Saída"),""),"")</f>
        <v/>
      </c>
      <c r="F4583" s="10" t="str">
        <f t="shared" si="146"/>
        <v/>
      </c>
    </row>
    <row r="4584" spans="1:6" x14ac:dyDescent="0.3">
      <c r="A4584" s="15" t="str">
        <f t="shared" si="145"/>
        <v>.</v>
      </c>
      <c r="E4584" s="13" t="str">
        <f>IFERROR(IF(AND(B4584&lt;&gt;"",C4584&lt;&gt;""),SUMIFS(Movimentos!$F$4:$F$9996,Movimentos!$D$4:$D$9996,B4584,Movimentos!$C$4:$C$9996,"Entrada")-SUMIFS(Movimentos!$F$4:$F$9996,Movimentos!$D$4:$D$9996,B4584,Movimentos!$C$4:$C$9996,"Saída"),""),"")</f>
        <v/>
      </c>
      <c r="F4584" s="10" t="str">
        <f t="shared" si="146"/>
        <v/>
      </c>
    </row>
    <row r="4585" spans="1:6" x14ac:dyDescent="0.3">
      <c r="A4585" s="15" t="str">
        <f t="shared" si="145"/>
        <v>.</v>
      </c>
      <c r="E4585" s="13" t="str">
        <f>IFERROR(IF(AND(B4585&lt;&gt;"",C4585&lt;&gt;""),SUMIFS(Movimentos!$F$4:$F$9996,Movimentos!$D$4:$D$9996,B4585,Movimentos!$C$4:$C$9996,"Entrada")-SUMIFS(Movimentos!$F$4:$F$9996,Movimentos!$D$4:$D$9996,B4585,Movimentos!$C$4:$C$9996,"Saída"),""),"")</f>
        <v/>
      </c>
      <c r="F4585" s="10" t="str">
        <f t="shared" si="146"/>
        <v/>
      </c>
    </row>
    <row r="4586" spans="1:6" x14ac:dyDescent="0.3">
      <c r="A4586" s="15" t="str">
        <f t="shared" si="145"/>
        <v>.</v>
      </c>
      <c r="E4586" s="13" t="str">
        <f>IFERROR(IF(AND(B4586&lt;&gt;"",C4586&lt;&gt;""),SUMIFS(Movimentos!$F$4:$F$9996,Movimentos!$D$4:$D$9996,B4586,Movimentos!$C$4:$C$9996,"Entrada")-SUMIFS(Movimentos!$F$4:$F$9996,Movimentos!$D$4:$D$9996,B4586,Movimentos!$C$4:$C$9996,"Saída"),""),"")</f>
        <v/>
      </c>
      <c r="F4586" s="10" t="str">
        <f t="shared" si="146"/>
        <v/>
      </c>
    </row>
    <row r="4587" spans="1:6" x14ac:dyDescent="0.3">
      <c r="A4587" s="15" t="str">
        <f t="shared" si="145"/>
        <v>.</v>
      </c>
      <c r="E4587" s="13" t="str">
        <f>IFERROR(IF(AND(B4587&lt;&gt;"",C4587&lt;&gt;""),SUMIFS(Movimentos!$F$4:$F$9996,Movimentos!$D$4:$D$9996,B4587,Movimentos!$C$4:$C$9996,"Entrada")-SUMIFS(Movimentos!$F$4:$F$9996,Movimentos!$D$4:$D$9996,B4587,Movimentos!$C$4:$C$9996,"Saída"),""),"")</f>
        <v/>
      </c>
      <c r="F4587" s="10" t="str">
        <f t="shared" si="146"/>
        <v/>
      </c>
    </row>
    <row r="4588" spans="1:6" x14ac:dyDescent="0.3">
      <c r="A4588" s="15" t="str">
        <f t="shared" si="145"/>
        <v>.</v>
      </c>
      <c r="E4588" s="13" t="str">
        <f>IFERROR(IF(AND(B4588&lt;&gt;"",C4588&lt;&gt;""),SUMIFS(Movimentos!$F$4:$F$9996,Movimentos!$D$4:$D$9996,B4588,Movimentos!$C$4:$C$9996,"Entrada")-SUMIFS(Movimentos!$F$4:$F$9996,Movimentos!$D$4:$D$9996,B4588,Movimentos!$C$4:$C$9996,"Saída"),""),"")</f>
        <v/>
      </c>
      <c r="F4588" s="10" t="str">
        <f t="shared" si="146"/>
        <v/>
      </c>
    </row>
    <row r="4589" spans="1:6" x14ac:dyDescent="0.3">
      <c r="A4589" s="15" t="str">
        <f t="shared" si="145"/>
        <v>.</v>
      </c>
      <c r="E4589" s="13" t="str">
        <f>IFERROR(IF(AND(B4589&lt;&gt;"",C4589&lt;&gt;""),SUMIFS(Movimentos!$F$4:$F$9996,Movimentos!$D$4:$D$9996,B4589,Movimentos!$C$4:$C$9996,"Entrada")-SUMIFS(Movimentos!$F$4:$F$9996,Movimentos!$D$4:$D$9996,B4589,Movimentos!$C$4:$C$9996,"Saída"),""),"")</f>
        <v/>
      </c>
      <c r="F4589" s="10" t="str">
        <f t="shared" si="146"/>
        <v/>
      </c>
    </row>
    <row r="4590" spans="1:6" x14ac:dyDescent="0.3">
      <c r="A4590" s="15" t="str">
        <f t="shared" si="145"/>
        <v>.</v>
      </c>
      <c r="E4590" s="13" t="str">
        <f>IFERROR(IF(AND(B4590&lt;&gt;"",C4590&lt;&gt;""),SUMIFS(Movimentos!$F$4:$F$9996,Movimentos!$D$4:$D$9996,B4590,Movimentos!$C$4:$C$9996,"Entrada")-SUMIFS(Movimentos!$F$4:$F$9996,Movimentos!$D$4:$D$9996,B4590,Movimentos!$C$4:$C$9996,"Saída"),""),"")</f>
        <v/>
      </c>
      <c r="F4590" s="10" t="str">
        <f t="shared" si="146"/>
        <v/>
      </c>
    </row>
    <row r="4591" spans="1:6" x14ac:dyDescent="0.3">
      <c r="A4591" s="15" t="str">
        <f t="shared" si="145"/>
        <v>.</v>
      </c>
      <c r="E4591" s="13" t="str">
        <f>IFERROR(IF(AND(B4591&lt;&gt;"",C4591&lt;&gt;""),SUMIFS(Movimentos!$F$4:$F$9996,Movimentos!$D$4:$D$9996,B4591,Movimentos!$C$4:$C$9996,"Entrada")-SUMIFS(Movimentos!$F$4:$F$9996,Movimentos!$D$4:$D$9996,B4591,Movimentos!$C$4:$C$9996,"Saída"),""),"")</f>
        <v/>
      </c>
      <c r="F4591" s="10" t="str">
        <f t="shared" si="146"/>
        <v/>
      </c>
    </row>
    <row r="4592" spans="1:6" x14ac:dyDescent="0.3">
      <c r="A4592" s="15" t="str">
        <f t="shared" si="145"/>
        <v>.</v>
      </c>
      <c r="E4592" s="13" t="str">
        <f>IFERROR(IF(AND(B4592&lt;&gt;"",C4592&lt;&gt;""),SUMIFS(Movimentos!$F$4:$F$9996,Movimentos!$D$4:$D$9996,B4592,Movimentos!$C$4:$C$9996,"Entrada")-SUMIFS(Movimentos!$F$4:$F$9996,Movimentos!$D$4:$D$9996,B4592,Movimentos!$C$4:$C$9996,"Saída"),""),"")</f>
        <v/>
      </c>
      <c r="F4592" s="10" t="str">
        <f t="shared" si="146"/>
        <v/>
      </c>
    </row>
    <row r="4593" spans="1:6" x14ac:dyDescent="0.3">
      <c r="A4593" s="15" t="str">
        <f t="shared" si="145"/>
        <v>.</v>
      </c>
      <c r="E4593" s="13" t="str">
        <f>IFERROR(IF(AND(B4593&lt;&gt;"",C4593&lt;&gt;""),SUMIFS(Movimentos!$F$4:$F$9996,Movimentos!$D$4:$D$9996,B4593,Movimentos!$C$4:$C$9996,"Entrada")-SUMIFS(Movimentos!$F$4:$F$9996,Movimentos!$D$4:$D$9996,B4593,Movimentos!$C$4:$C$9996,"Saída"),""),"")</f>
        <v/>
      </c>
      <c r="F4593" s="10" t="str">
        <f t="shared" si="146"/>
        <v/>
      </c>
    </row>
    <row r="4594" spans="1:6" x14ac:dyDescent="0.3">
      <c r="A4594" s="15" t="str">
        <f t="shared" si="145"/>
        <v>.</v>
      </c>
      <c r="E4594" s="13" t="str">
        <f>IFERROR(IF(AND(B4594&lt;&gt;"",C4594&lt;&gt;""),SUMIFS(Movimentos!$F$4:$F$9996,Movimentos!$D$4:$D$9996,B4594,Movimentos!$C$4:$C$9996,"Entrada")-SUMIFS(Movimentos!$F$4:$F$9996,Movimentos!$D$4:$D$9996,B4594,Movimentos!$C$4:$C$9996,"Saída"),""),"")</f>
        <v/>
      </c>
      <c r="F4594" s="10" t="str">
        <f t="shared" si="146"/>
        <v/>
      </c>
    </row>
    <row r="4595" spans="1:6" x14ac:dyDescent="0.3">
      <c r="A4595" s="15" t="str">
        <f t="shared" si="145"/>
        <v>.</v>
      </c>
      <c r="E4595" s="13" t="str">
        <f>IFERROR(IF(AND(B4595&lt;&gt;"",C4595&lt;&gt;""),SUMIFS(Movimentos!$F$4:$F$9996,Movimentos!$D$4:$D$9996,B4595,Movimentos!$C$4:$C$9996,"Entrada")-SUMIFS(Movimentos!$F$4:$F$9996,Movimentos!$D$4:$D$9996,B4595,Movimentos!$C$4:$C$9996,"Saída"),""),"")</f>
        <v/>
      </c>
      <c r="F4595" s="10" t="str">
        <f t="shared" si="146"/>
        <v/>
      </c>
    </row>
    <row r="4596" spans="1:6" x14ac:dyDescent="0.3">
      <c r="A4596" s="15" t="str">
        <f t="shared" si="145"/>
        <v>.</v>
      </c>
      <c r="E4596" s="13" t="str">
        <f>IFERROR(IF(AND(B4596&lt;&gt;"",C4596&lt;&gt;""),SUMIFS(Movimentos!$F$4:$F$9996,Movimentos!$D$4:$D$9996,B4596,Movimentos!$C$4:$C$9996,"Entrada")-SUMIFS(Movimentos!$F$4:$F$9996,Movimentos!$D$4:$D$9996,B4596,Movimentos!$C$4:$C$9996,"Saída"),""),"")</f>
        <v/>
      </c>
      <c r="F4596" s="10" t="str">
        <f t="shared" si="146"/>
        <v/>
      </c>
    </row>
    <row r="4597" spans="1:6" x14ac:dyDescent="0.3">
      <c r="A4597" s="15" t="str">
        <f t="shared" si="145"/>
        <v>.</v>
      </c>
      <c r="E4597" s="13" t="str">
        <f>IFERROR(IF(AND(B4597&lt;&gt;"",C4597&lt;&gt;""),SUMIFS(Movimentos!$F$4:$F$9996,Movimentos!$D$4:$D$9996,B4597,Movimentos!$C$4:$C$9996,"Entrada")-SUMIFS(Movimentos!$F$4:$F$9996,Movimentos!$D$4:$D$9996,B4597,Movimentos!$C$4:$C$9996,"Saída"),""),"")</f>
        <v/>
      </c>
      <c r="F4597" s="10" t="str">
        <f t="shared" si="146"/>
        <v/>
      </c>
    </row>
    <row r="4598" spans="1:6" x14ac:dyDescent="0.3">
      <c r="A4598" s="15" t="str">
        <f t="shared" si="145"/>
        <v>.</v>
      </c>
      <c r="E4598" s="13" t="str">
        <f>IFERROR(IF(AND(B4598&lt;&gt;"",C4598&lt;&gt;""),SUMIFS(Movimentos!$F$4:$F$9996,Movimentos!$D$4:$D$9996,B4598,Movimentos!$C$4:$C$9996,"Entrada")-SUMIFS(Movimentos!$F$4:$F$9996,Movimentos!$D$4:$D$9996,B4598,Movimentos!$C$4:$C$9996,"Saída"),""),"")</f>
        <v/>
      </c>
      <c r="F4598" s="10" t="str">
        <f t="shared" si="146"/>
        <v/>
      </c>
    </row>
    <row r="4599" spans="1:6" x14ac:dyDescent="0.3">
      <c r="A4599" s="15" t="str">
        <f t="shared" si="145"/>
        <v>.</v>
      </c>
      <c r="E4599" s="13" t="str">
        <f>IFERROR(IF(AND(B4599&lt;&gt;"",C4599&lt;&gt;""),SUMIFS(Movimentos!$F$4:$F$9996,Movimentos!$D$4:$D$9996,B4599,Movimentos!$C$4:$C$9996,"Entrada")-SUMIFS(Movimentos!$F$4:$F$9996,Movimentos!$D$4:$D$9996,B4599,Movimentos!$C$4:$C$9996,"Saída"),""),"")</f>
        <v/>
      </c>
      <c r="F4599" s="10" t="str">
        <f t="shared" si="146"/>
        <v/>
      </c>
    </row>
    <row r="4600" spans="1:6" x14ac:dyDescent="0.3">
      <c r="A4600" s="15" t="str">
        <f t="shared" si="145"/>
        <v>.</v>
      </c>
      <c r="E4600" s="13" t="str">
        <f>IFERROR(IF(AND(B4600&lt;&gt;"",C4600&lt;&gt;""),SUMIFS(Movimentos!$F$4:$F$9996,Movimentos!$D$4:$D$9996,B4600,Movimentos!$C$4:$C$9996,"Entrada")-SUMIFS(Movimentos!$F$4:$F$9996,Movimentos!$D$4:$D$9996,B4600,Movimentos!$C$4:$C$9996,"Saída"),""),"")</f>
        <v/>
      </c>
      <c r="F4600" s="10" t="str">
        <f t="shared" si="146"/>
        <v/>
      </c>
    </row>
    <row r="4601" spans="1:6" x14ac:dyDescent="0.3">
      <c r="A4601" s="15" t="str">
        <f t="shared" si="145"/>
        <v>.</v>
      </c>
      <c r="E4601" s="13" t="str">
        <f>IFERROR(IF(AND(B4601&lt;&gt;"",C4601&lt;&gt;""),SUMIFS(Movimentos!$F$4:$F$9996,Movimentos!$D$4:$D$9996,B4601,Movimentos!$C$4:$C$9996,"Entrada")-SUMIFS(Movimentos!$F$4:$F$9996,Movimentos!$D$4:$D$9996,B4601,Movimentos!$C$4:$C$9996,"Saída"),""),"")</f>
        <v/>
      </c>
      <c r="F4601" s="10" t="str">
        <f t="shared" si="146"/>
        <v/>
      </c>
    </row>
    <row r="4602" spans="1:6" x14ac:dyDescent="0.3">
      <c r="A4602" s="15" t="str">
        <f t="shared" si="145"/>
        <v>.</v>
      </c>
      <c r="E4602" s="13" t="str">
        <f>IFERROR(IF(AND(B4602&lt;&gt;"",C4602&lt;&gt;""),SUMIFS(Movimentos!$F$4:$F$9996,Movimentos!$D$4:$D$9996,B4602,Movimentos!$C$4:$C$9996,"Entrada")-SUMIFS(Movimentos!$F$4:$F$9996,Movimentos!$D$4:$D$9996,B4602,Movimentos!$C$4:$C$9996,"Saída"),""),"")</f>
        <v/>
      </c>
      <c r="F4602" s="10" t="str">
        <f t="shared" si="146"/>
        <v/>
      </c>
    </row>
    <row r="4603" spans="1:6" x14ac:dyDescent="0.3">
      <c r="A4603" s="15" t="str">
        <f t="shared" si="145"/>
        <v>.</v>
      </c>
      <c r="E4603" s="13" t="str">
        <f>IFERROR(IF(AND(B4603&lt;&gt;"",C4603&lt;&gt;""),SUMIFS(Movimentos!$F$4:$F$9996,Movimentos!$D$4:$D$9996,B4603,Movimentos!$C$4:$C$9996,"Entrada")-SUMIFS(Movimentos!$F$4:$F$9996,Movimentos!$D$4:$D$9996,B4603,Movimentos!$C$4:$C$9996,"Saída"),""),"")</f>
        <v/>
      </c>
      <c r="F4603" s="10" t="str">
        <f t="shared" si="146"/>
        <v/>
      </c>
    </row>
    <row r="4604" spans="1:6" x14ac:dyDescent="0.3">
      <c r="A4604" s="15" t="str">
        <f t="shared" si="145"/>
        <v>.</v>
      </c>
      <c r="E4604" s="13" t="str">
        <f>IFERROR(IF(AND(B4604&lt;&gt;"",C4604&lt;&gt;""),SUMIFS(Movimentos!$F$4:$F$9996,Movimentos!$D$4:$D$9996,B4604,Movimentos!$C$4:$C$9996,"Entrada")-SUMIFS(Movimentos!$F$4:$F$9996,Movimentos!$D$4:$D$9996,B4604,Movimentos!$C$4:$C$9996,"Saída"),""),"")</f>
        <v/>
      </c>
      <c r="F4604" s="10" t="str">
        <f t="shared" si="146"/>
        <v/>
      </c>
    </row>
    <row r="4605" spans="1:6" x14ac:dyDescent="0.3">
      <c r="A4605" s="15" t="str">
        <f t="shared" si="145"/>
        <v>.</v>
      </c>
      <c r="E4605" s="13" t="str">
        <f>IFERROR(IF(AND(B4605&lt;&gt;"",C4605&lt;&gt;""),SUMIFS(Movimentos!$F$4:$F$9996,Movimentos!$D$4:$D$9996,B4605,Movimentos!$C$4:$C$9996,"Entrada")-SUMIFS(Movimentos!$F$4:$F$9996,Movimentos!$D$4:$D$9996,B4605,Movimentos!$C$4:$C$9996,"Saída"),""),"")</f>
        <v/>
      </c>
      <c r="F4605" s="10" t="str">
        <f t="shared" si="146"/>
        <v/>
      </c>
    </row>
    <row r="4606" spans="1:6" x14ac:dyDescent="0.3">
      <c r="A4606" s="15" t="str">
        <f t="shared" si="145"/>
        <v>.</v>
      </c>
      <c r="E4606" s="13" t="str">
        <f>IFERROR(IF(AND(B4606&lt;&gt;"",C4606&lt;&gt;""),SUMIFS(Movimentos!$F$4:$F$9996,Movimentos!$D$4:$D$9996,B4606,Movimentos!$C$4:$C$9996,"Entrada")-SUMIFS(Movimentos!$F$4:$F$9996,Movimentos!$D$4:$D$9996,B4606,Movimentos!$C$4:$C$9996,"Saída"),""),"")</f>
        <v/>
      </c>
      <c r="F4606" s="10" t="str">
        <f t="shared" si="146"/>
        <v/>
      </c>
    </row>
    <row r="4607" spans="1:6" x14ac:dyDescent="0.3">
      <c r="A4607" s="15" t="str">
        <f t="shared" si="145"/>
        <v>.</v>
      </c>
      <c r="E4607" s="13" t="str">
        <f>IFERROR(IF(AND(B4607&lt;&gt;"",C4607&lt;&gt;""),SUMIFS(Movimentos!$F$4:$F$9996,Movimentos!$D$4:$D$9996,B4607,Movimentos!$C$4:$C$9996,"Entrada")-SUMIFS(Movimentos!$F$4:$F$9996,Movimentos!$D$4:$D$9996,B4607,Movimentos!$C$4:$C$9996,"Saída"),""),"")</f>
        <v/>
      </c>
      <c r="F4607" s="10" t="str">
        <f t="shared" si="146"/>
        <v/>
      </c>
    </row>
    <row r="4608" spans="1:6" x14ac:dyDescent="0.3">
      <c r="A4608" s="15" t="str">
        <f t="shared" ref="A4608:A4671" si="147">IF(F4608="Saldo zerado",0,IF(F4608="Saldo abaixo do mínimo",1,IF(F4608="Saldo disponível",2,".")))</f>
        <v>.</v>
      </c>
      <c r="E4608" s="13" t="str">
        <f>IFERROR(IF(AND(B4608&lt;&gt;"",C4608&lt;&gt;""),SUMIFS(Movimentos!$F$4:$F$9996,Movimentos!$D$4:$D$9996,B4608,Movimentos!$C$4:$C$9996,"Entrada")-SUMIFS(Movimentos!$F$4:$F$9996,Movimentos!$D$4:$D$9996,B4608,Movimentos!$C$4:$C$9996,"Saída"),""),"")</f>
        <v/>
      </c>
      <c r="F4608" s="10" t="str">
        <f t="shared" si="146"/>
        <v/>
      </c>
    </row>
    <row r="4609" spans="1:6" x14ac:dyDescent="0.3">
      <c r="A4609" s="15" t="str">
        <f t="shared" si="147"/>
        <v>.</v>
      </c>
      <c r="E4609" s="13" t="str">
        <f>IFERROR(IF(AND(B4609&lt;&gt;"",C4609&lt;&gt;""),SUMIFS(Movimentos!$F$4:$F$9996,Movimentos!$D$4:$D$9996,B4609,Movimentos!$C$4:$C$9996,"Entrada")-SUMIFS(Movimentos!$F$4:$F$9996,Movimentos!$D$4:$D$9996,B4609,Movimentos!$C$4:$C$9996,"Saída"),""),"")</f>
        <v/>
      </c>
      <c r="F4609" s="10" t="str">
        <f t="shared" si="146"/>
        <v/>
      </c>
    </row>
    <row r="4610" spans="1:6" x14ac:dyDescent="0.3">
      <c r="A4610" s="15" t="str">
        <f t="shared" si="147"/>
        <v>.</v>
      </c>
      <c r="E4610" s="13" t="str">
        <f>IFERROR(IF(AND(B4610&lt;&gt;"",C4610&lt;&gt;""),SUMIFS(Movimentos!$F$4:$F$9996,Movimentos!$D$4:$D$9996,B4610,Movimentos!$C$4:$C$9996,"Entrada")-SUMIFS(Movimentos!$F$4:$F$9996,Movimentos!$D$4:$D$9996,B4610,Movimentos!$C$4:$C$9996,"Saída"),""),"")</f>
        <v/>
      </c>
      <c r="F4610" s="10" t="str">
        <f t="shared" si="146"/>
        <v/>
      </c>
    </row>
    <row r="4611" spans="1:6" x14ac:dyDescent="0.3">
      <c r="A4611" s="15" t="str">
        <f t="shared" si="147"/>
        <v>.</v>
      </c>
      <c r="E4611" s="13" t="str">
        <f>IFERROR(IF(AND(B4611&lt;&gt;"",C4611&lt;&gt;""),SUMIFS(Movimentos!$F$4:$F$9996,Movimentos!$D$4:$D$9996,B4611,Movimentos!$C$4:$C$9996,"Entrada")-SUMIFS(Movimentos!$F$4:$F$9996,Movimentos!$D$4:$D$9996,B4611,Movimentos!$C$4:$C$9996,"Saída"),""),"")</f>
        <v/>
      </c>
      <c r="F4611" s="10" t="str">
        <f t="shared" si="146"/>
        <v/>
      </c>
    </row>
    <row r="4612" spans="1:6" x14ac:dyDescent="0.3">
      <c r="A4612" s="15" t="str">
        <f t="shared" si="147"/>
        <v>.</v>
      </c>
      <c r="E4612" s="13" t="str">
        <f>IFERROR(IF(AND(B4612&lt;&gt;"",C4612&lt;&gt;""),SUMIFS(Movimentos!$F$4:$F$9996,Movimentos!$D$4:$D$9996,B4612,Movimentos!$C$4:$C$9996,"Entrada")-SUMIFS(Movimentos!$F$4:$F$9996,Movimentos!$D$4:$D$9996,B4612,Movimentos!$C$4:$C$9996,"Saída"),""),"")</f>
        <v/>
      </c>
      <c r="F4612" s="10" t="str">
        <f t="shared" si="146"/>
        <v/>
      </c>
    </row>
    <row r="4613" spans="1:6" x14ac:dyDescent="0.3">
      <c r="A4613" s="15" t="str">
        <f t="shared" si="147"/>
        <v>.</v>
      </c>
      <c r="E4613" s="13" t="str">
        <f>IFERROR(IF(AND(B4613&lt;&gt;"",C4613&lt;&gt;""),SUMIFS(Movimentos!$F$4:$F$9996,Movimentos!$D$4:$D$9996,B4613,Movimentos!$C$4:$C$9996,"Entrada")-SUMIFS(Movimentos!$F$4:$F$9996,Movimentos!$D$4:$D$9996,B4613,Movimentos!$C$4:$C$9996,"Saída"),""),"")</f>
        <v/>
      </c>
      <c r="F4613" s="10" t="str">
        <f t="shared" si="146"/>
        <v/>
      </c>
    </row>
    <row r="4614" spans="1:6" x14ac:dyDescent="0.3">
      <c r="A4614" s="15" t="str">
        <f t="shared" si="147"/>
        <v>.</v>
      </c>
      <c r="E4614" s="13" t="str">
        <f>IFERROR(IF(AND(B4614&lt;&gt;"",C4614&lt;&gt;""),SUMIFS(Movimentos!$F$4:$F$9996,Movimentos!$D$4:$D$9996,B4614,Movimentos!$C$4:$C$9996,"Entrada")-SUMIFS(Movimentos!$F$4:$F$9996,Movimentos!$D$4:$D$9996,B4614,Movimentos!$C$4:$C$9996,"Saída"),""),"")</f>
        <v/>
      </c>
      <c r="F4614" s="10" t="str">
        <f t="shared" si="146"/>
        <v/>
      </c>
    </row>
    <row r="4615" spans="1:6" x14ac:dyDescent="0.3">
      <c r="A4615" s="15" t="str">
        <f t="shared" si="147"/>
        <v>.</v>
      </c>
      <c r="E4615" s="13" t="str">
        <f>IFERROR(IF(AND(B4615&lt;&gt;"",C4615&lt;&gt;""),SUMIFS(Movimentos!$F$4:$F$9996,Movimentos!$D$4:$D$9996,B4615,Movimentos!$C$4:$C$9996,"Entrada")-SUMIFS(Movimentos!$F$4:$F$9996,Movimentos!$D$4:$D$9996,B4615,Movimentos!$C$4:$C$9996,"Saída"),""),"")</f>
        <v/>
      </c>
      <c r="F4615" s="10" t="str">
        <f t="shared" si="146"/>
        <v/>
      </c>
    </row>
    <row r="4616" spans="1:6" x14ac:dyDescent="0.3">
      <c r="A4616" s="15" t="str">
        <f t="shared" si="147"/>
        <v>.</v>
      </c>
      <c r="E4616" s="13" t="str">
        <f>IFERROR(IF(AND(B4616&lt;&gt;"",C4616&lt;&gt;""),SUMIFS(Movimentos!$F$4:$F$9996,Movimentos!$D$4:$D$9996,B4616,Movimentos!$C$4:$C$9996,"Entrada")-SUMIFS(Movimentos!$F$4:$F$9996,Movimentos!$D$4:$D$9996,B4616,Movimentos!$C$4:$C$9996,"Saída"),""),"")</f>
        <v/>
      </c>
      <c r="F4616" s="10" t="str">
        <f t="shared" si="146"/>
        <v/>
      </c>
    </row>
    <row r="4617" spans="1:6" x14ac:dyDescent="0.3">
      <c r="A4617" s="15" t="str">
        <f t="shared" si="147"/>
        <v>.</v>
      </c>
      <c r="E4617" s="13" t="str">
        <f>IFERROR(IF(AND(B4617&lt;&gt;"",C4617&lt;&gt;""),SUMIFS(Movimentos!$F$4:$F$9996,Movimentos!$D$4:$D$9996,B4617,Movimentos!$C$4:$C$9996,"Entrada")-SUMIFS(Movimentos!$F$4:$F$9996,Movimentos!$D$4:$D$9996,B4617,Movimentos!$C$4:$C$9996,"Saída"),""),"")</f>
        <v/>
      </c>
      <c r="F4617" s="10" t="str">
        <f t="shared" si="146"/>
        <v/>
      </c>
    </row>
    <row r="4618" spans="1:6" x14ac:dyDescent="0.3">
      <c r="A4618" s="15" t="str">
        <f t="shared" si="147"/>
        <v>.</v>
      </c>
      <c r="E4618" s="13" t="str">
        <f>IFERROR(IF(AND(B4618&lt;&gt;"",C4618&lt;&gt;""),SUMIFS(Movimentos!$F$4:$F$9996,Movimentos!$D$4:$D$9996,B4618,Movimentos!$C$4:$C$9996,"Entrada")-SUMIFS(Movimentos!$F$4:$F$9996,Movimentos!$D$4:$D$9996,B4618,Movimentos!$C$4:$C$9996,"Saída"),""),"")</f>
        <v/>
      </c>
      <c r="F4618" s="10" t="str">
        <f t="shared" si="146"/>
        <v/>
      </c>
    </row>
    <row r="4619" spans="1:6" x14ac:dyDescent="0.3">
      <c r="A4619" s="15" t="str">
        <f t="shared" si="147"/>
        <v>.</v>
      </c>
      <c r="E4619" s="13" t="str">
        <f>IFERROR(IF(AND(B4619&lt;&gt;"",C4619&lt;&gt;""),SUMIFS(Movimentos!$F$4:$F$9996,Movimentos!$D$4:$D$9996,B4619,Movimentos!$C$4:$C$9996,"Entrada")-SUMIFS(Movimentos!$F$4:$F$9996,Movimentos!$D$4:$D$9996,B4619,Movimentos!$C$4:$C$9996,"Saída"),""),"")</f>
        <v/>
      </c>
      <c r="F4619" s="10" t="str">
        <f t="shared" si="146"/>
        <v/>
      </c>
    </row>
    <row r="4620" spans="1:6" x14ac:dyDescent="0.3">
      <c r="A4620" s="15" t="str">
        <f t="shared" si="147"/>
        <v>.</v>
      </c>
      <c r="E4620" s="13" t="str">
        <f>IFERROR(IF(AND(B4620&lt;&gt;"",C4620&lt;&gt;""),SUMIFS(Movimentos!$F$4:$F$9996,Movimentos!$D$4:$D$9996,B4620,Movimentos!$C$4:$C$9996,"Entrada")-SUMIFS(Movimentos!$F$4:$F$9996,Movimentos!$D$4:$D$9996,B4620,Movimentos!$C$4:$C$9996,"Saída"),""),"")</f>
        <v/>
      </c>
      <c r="F4620" s="10" t="str">
        <f t="shared" si="146"/>
        <v/>
      </c>
    </row>
    <row r="4621" spans="1:6" x14ac:dyDescent="0.3">
      <c r="A4621" s="15" t="str">
        <f t="shared" si="147"/>
        <v>.</v>
      </c>
      <c r="E4621" s="13" t="str">
        <f>IFERROR(IF(AND(B4621&lt;&gt;"",C4621&lt;&gt;""),SUMIFS(Movimentos!$F$4:$F$9996,Movimentos!$D$4:$D$9996,B4621,Movimentos!$C$4:$C$9996,"Entrada")-SUMIFS(Movimentos!$F$4:$F$9996,Movimentos!$D$4:$D$9996,B4621,Movimentos!$C$4:$C$9996,"Saída"),""),"")</f>
        <v/>
      </c>
      <c r="F4621" s="10" t="str">
        <f t="shared" si="146"/>
        <v/>
      </c>
    </row>
    <row r="4622" spans="1:6" x14ac:dyDescent="0.3">
      <c r="A4622" s="15" t="str">
        <f t="shared" si="147"/>
        <v>.</v>
      </c>
      <c r="E4622" s="13" t="str">
        <f>IFERROR(IF(AND(B4622&lt;&gt;"",C4622&lt;&gt;""),SUMIFS(Movimentos!$F$4:$F$9996,Movimentos!$D$4:$D$9996,B4622,Movimentos!$C$4:$C$9996,"Entrada")-SUMIFS(Movimentos!$F$4:$F$9996,Movimentos!$D$4:$D$9996,B4622,Movimentos!$C$4:$C$9996,"Saída"),""),"")</f>
        <v/>
      </c>
      <c r="F4622" s="10" t="str">
        <f t="shared" si="146"/>
        <v/>
      </c>
    </row>
    <row r="4623" spans="1:6" x14ac:dyDescent="0.3">
      <c r="A4623" s="15" t="str">
        <f t="shared" si="147"/>
        <v>.</v>
      </c>
      <c r="E4623" s="13" t="str">
        <f>IFERROR(IF(AND(B4623&lt;&gt;"",C4623&lt;&gt;""),SUMIFS(Movimentos!$F$4:$F$9996,Movimentos!$D$4:$D$9996,B4623,Movimentos!$C$4:$C$9996,"Entrada")-SUMIFS(Movimentos!$F$4:$F$9996,Movimentos!$D$4:$D$9996,B4623,Movimentos!$C$4:$C$9996,"Saída"),""),"")</f>
        <v/>
      </c>
      <c r="F4623" s="10" t="str">
        <f t="shared" si="146"/>
        <v/>
      </c>
    </row>
    <row r="4624" spans="1:6" x14ac:dyDescent="0.3">
      <c r="A4624" s="15" t="str">
        <f t="shared" si="147"/>
        <v>.</v>
      </c>
      <c r="E4624" s="13" t="str">
        <f>IFERROR(IF(AND(B4624&lt;&gt;"",C4624&lt;&gt;""),SUMIFS(Movimentos!$F$4:$F$9996,Movimentos!$D$4:$D$9996,B4624,Movimentos!$C$4:$C$9996,"Entrada")-SUMIFS(Movimentos!$F$4:$F$9996,Movimentos!$D$4:$D$9996,B4624,Movimentos!$C$4:$C$9996,"Saída"),""),"")</f>
        <v/>
      </c>
      <c r="F4624" s="10" t="str">
        <f t="shared" si="146"/>
        <v/>
      </c>
    </row>
    <row r="4625" spans="1:6" x14ac:dyDescent="0.3">
      <c r="A4625" s="15" t="str">
        <f t="shared" si="147"/>
        <v>.</v>
      </c>
      <c r="E4625" s="13" t="str">
        <f>IFERROR(IF(AND(B4625&lt;&gt;"",C4625&lt;&gt;""),SUMIFS(Movimentos!$F$4:$F$9996,Movimentos!$D$4:$D$9996,B4625,Movimentos!$C$4:$C$9996,"Entrada")-SUMIFS(Movimentos!$F$4:$F$9996,Movimentos!$D$4:$D$9996,B4625,Movimentos!$C$4:$C$9996,"Saída"),""),"")</f>
        <v/>
      </c>
      <c r="F4625" s="10" t="str">
        <f t="shared" si="146"/>
        <v/>
      </c>
    </row>
    <row r="4626" spans="1:6" x14ac:dyDescent="0.3">
      <c r="A4626" s="15" t="str">
        <f t="shared" si="147"/>
        <v>.</v>
      </c>
      <c r="E4626" s="13" t="str">
        <f>IFERROR(IF(AND(B4626&lt;&gt;"",C4626&lt;&gt;""),SUMIFS(Movimentos!$F$4:$F$9996,Movimentos!$D$4:$D$9996,B4626,Movimentos!$C$4:$C$9996,"Entrada")-SUMIFS(Movimentos!$F$4:$F$9996,Movimentos!$D$4:$D$9996,B4626,Movimentos!$C$4:$C$9996,"Saída"),""),"")</f>
        <v/>
      </c>
      <c r="F4626" s="10" t="str">
        <f t="shared" si="146"/>
        <v/>
      </c>
    </row>
    <row r="4627" spans="1:6" x14ac:dyDescent="0.3">
      <c r="A4627" s="15" t="str">
        <f t="shared" si="147"/>
        <v>.</v>
      </c>
      <c r="E4627" s="13" t="str">
        <f>IFERROR(IF(AND(B4627&lt;&gt;"",C4627&lt;&gt;""),SUMIFS(Movimentos!$F$4:$F$9996,Movimentos!$D$4:$D$9996,B4627,Movimentos!$C$4:$C$9996,"Entrada")-SUMIFS(Movimentos!$F$4:$F$9996,Movimentos!$D$4:$D$9996,B4627,Movimentos!$C$4:$C$9996,"Saída"),""),"")</f>
        <v/>
      </c>
      <c r="F4627" s="10" t="str">
        <f t="shared" si="146"/>
        <v/>
      </c>
    </row>
    <row r="4628" spans="1:6" x14ac:dyDescent="0.3">
      <c r="A4628" s="15" t="str">
        <f t="shared" si="147"/>
        <v>.</v>
      </c>
      <c r="E4628" s="13" t="str">
        <f>IFERROR(IF(AND(B4628&lt;&gt;"",C4628&lt;&gt;""),SUMIFS(Movimentos!$F$4:$F$9996,Movimentos!$D$4:$D$9996,B4628,Movimentos!$C$4:$C$9996,"Entrada")-SUMIFS(Movimentos!$F$4:$F$9996,Movimentos!$D$4:$D$9996,B4628,Movimentos!$C$4:$C$9996,"Saída"),""),"")</f>
        <v/>
      </c>
      <c r="F4628" s="10" t="str">
        <f t="shared" si="146"/>
        <v/>
      </c>
    </row>
    <row r="4629" spans="1:6" x14ac:dyDescent="0.3">
      <c r="A4629" s="15" t="str">
        <f t="shared" si="147"/>
        <v>.</v>
      </c>
      <c r="E4629" s="13" t="str">
        <f>IFERROR(IF(AND(B4629&lt;&gt;"",C4629&lt;&gt;""),SUMIFS(Movimentos!$F$4:$F$9996,Movimentos!$D$4:$D$9996,B4629,Movimentos!$C$4:$C$9996,"Entrada")-SUMIFS(Movimentos!$F$4:$F$9996,Movimentos!$D$4:$D$9996,B4629,Movimentos!$C$4:$C$9996,"Saída"),""),"")</f>
        <v/>
      </c>
      <c r="F4629" s="10" t="str">
        <f t="shared" si="146"/>
        <v/>
      </c>
    </row>
    <row r="4630" spans="1:6" x14ac:dyDescent="0.3">
      <c r="A4630" s="15" t="str">
        <f t="shared" si="147"/>
        <v>.</v>
      </c>
      <c r="E4630" s="13" t="str">
        <f>IFERROR(IF(AND(B4630&lt;&gt;"",C4630&lt;&gt;""),SUMIFS(Movimentos!$F$4:$F$9996,Movimentos!$D$4:$D$9996,B4630,Movimentos!$C$4:$C$9996,"Entrada")-SUMIFS(Movimentos!$F$4:$F$9996,Movimentos!$D$4:$D$9996,B4630,Movimentos!$C$4:$C$9996,"Saída"),""),"")</f>
        <v/>
      </c>
      <c r="F4630" s="10" t="str">
        <f t="shared" si="146"/>
        <v/>
      </c>
    </row>
    <row r="4631" spans="1:6" x14ac:dyDescent="0.3">
      <c r="A4631" s="15" t="str">
        <f t="shared" si="147"/>
        <v>.</v>
      </c>
      <c r="E4631" s="13" t="str">
        <f>IFERROR(IF(AND(B4631&lt;&gt;"",C4631&lt;&gt;""),SUMIFS(Movimentos!$F$4:$F$9996,Movimentos!$D$4:$D$9996,B4631,Movimentos!$C$4:$C$9996,"Entrada")-SUMIFS(Movimentos!$F$4:$F$9996,Movimentos!$D$4:$D$9996,B4631,Movimentos!$C$4:$C$9996,"Saída"),""),"")</f>
        <v/>
      </c>
      <c r="F4631" s="10" t="str">
        <f t="shared" ref="F4631:F4694" si="148">IF(AND(B4631&lt;&gt;"",C4631&lt;&gt;""),IF(E4631=0,"Saldo zerado",IF(E4631&lt;D4631,"Saldo abaixo do mínimo","Saldo disponível")),"")</f>
        <v/>
      </c>
    </row>
    <row r="4632" spans="1:6" x14ac:dyDescent="0.3">
      <c r="A4632" s="15" t="str">
        <f t="shared" si="147"/>
        <v>.</v>
      </c>
      <c r="E4632" s="13" t="str">
        <f>IFERROR(IF(AND(B4632&lt;&gt;"",C4632&lt;&gt;""),SUMIFS(Movimentos!$F$4:$F$9996,Movimentos!$D$4:$D$9996,B4632,Movimentos!$C$4:$C$9996,"Entrada")-SUMIFS(Movimentos!$F$4:$F$9996,Movimentos!$D$4:$D$9996,B4632,Movimentos!$C$4:$C$9996,"Saída"),""),"")</f>
        <v/>
      </c>
      <c r="F4632" s="10" t="str">
        <f t="shared" si="148"/>
        <v/>
      </c>
    </row>
    <row r="4633" spans="1:6" x14ac:dyDescent="0.3">
      <c r="A4633" s="15" t="str">
        <f t="shared" si="147"/>
        <v>.</v>
      </c>
      <c r="E4633" s="13" t="str">
        <f>IFERROR(IF(AND(B4633&lt;&gt;"",C4633&lt;&gt;""),SUMIFS(Movimentos!$F$4:$F$9996,Movimentos!$D$4:$D$9996,B4633,Movimentos!$C$4:$C$9996,"Entrada")-SUMIFS(Movimentos!$F$4:$F$9996,Movimentos!$D$4:$D$9996,B4633,Movimentos!$C$4:$C$9996,"Saída"),""),"")</f>
        <v/>
      </c>
      <c r="F4633" s="10" t="str">
        <f t="shared" si="148"/>
        <v/>
      </c>
    </row>
    <row r="4634" spans="1:6" x14ac:dyDescent="0.3">
      <c r="A4634" s="15" t="str">
        <f t="shared" si="147"/>
        <v>.</v>
      </c>
      <c r="E4634" s="13" t="str">
        <f>IFERROR(IF(AND(B4634&lt;&gt;"",C4634&lt;&gt;""),SUMIFS(Movimentos!$F$4:$F$9996,Movimentos!$D$4:$D$9996,B4634,Movimentos!$C$4:$C$9996,"Entrada")-SUMIFS(Movimentos!$F$4:$F$9996,Movimentos!$D$4:$D$9996,B4634,Movimentos!$C$4:$C$9996,"Saída"),""),"")</f>
        <v/>
      </c>
      <c r="F4634" s="10" t="str">
        <f t="shared" si="148"/>
        <v/>
      </c>
    </row>
    <row r="4635" spans="1:6" x14ac:dyDescent="0.3">
      <c r="A4635" s="15" t="str">
        <f t="shared" si="147"/>
        <v>.</v>
      </c>
      <c r="E4635" s="13" t="str">
        <f>IFERROR(IF(AND(B4635&lt;&gt;"",C4635&lt;&gt;""),SUMIFS(Movimentos!$F$4:$F$9996,Movimentos!$D$4:$D$9996,B4635,Movimentos!$C$4:$C$9996,"Entrada")-SUMIFS(Movimentos!$F$4:$F$9996,Movimentos!$D$4:$D$9996,B4635,Movimentos!$C$4:$C$9996,"Saída"),""),"")</f>
        <v/>
      </c>
      <c r="F4635" s="10" t="str">
        <f t="shared" si="148"/>
        <v/>
      </c>
    </row>
    <row r="4636" spans="1:6" x14ac:dyDescent="0.3">
      <c r="A4636" s="15" t="str">
        <f t="shared" si="147"/>
        <v>.</v>
      </c>
      <c r="E4636" s="13" t="str">
        <f>IFERROR(IF(AND(B4636&lt;&gt;"",C4636&lt;&gt;""),SUMIFS(Movimentos!$F$4:$F$9996,Movimentos!$D$4:$D$9996,B4636,Movimentos!$C$4:$C$9996,"Entrada")-SUMIFS(Movimentos!$F$4:$F$9996,Movimentos!$D$4:$D$9996,B4636,Movimentos!$C$4:$C$9996,"Saída"),""),"")</f>
        <v/>
      </c>
      <c r="F4636" s="10" t="str">
        <f t="shared" si="148"/>
        <v/>
      </c>
    </row>
    <row r="4637" spans="1:6" x14ac:dyDescent="0.3">
      <c r="A4637" s="15" t="str">
        <f t="shared" si="147"/>
        <v>.</v>
      </c>
      <c r="E4637" s="13" t="str">
        <f>IFERROR(IF(AND(B4637&lt;&gt;"",C4637&lt;&gt;""),SUMIFS(Movimentos!$F$4:$F$9996,Movimentos!$D$4:$D$9996,B4637,Movimentos!$C$4:$C$9996,"Entrada")-SUMIFS(Movimentos!$F$4:$F$9996,Movimentos!$D$4:$D$9996,B4637,Movimentos!$C$4:$C$9996,"Saída"),""),"")</f>
        <v/>
      </c>
      <c r="F4637" s="10" t="str">
        <f t="shared" si="148"/>
        <v/>
      </c>
    </row>
    <row r="4638" spans="1:6" x14ac:dyDescent="0.3">
      <c r="A4638" s="15" t="str">
        <f t="shared" si="147"/>
        <v>.</v>
      </c>
      <c r="E4638" s="13" t="str">
        <f>IFERROR(IF(AND(B4638&lt;&gt;"",C4638&lt;&gt;""),SUMIFS(Movimentos!$F$4:$F$9996,Movimentos!$D$4:$D$9996,B4638,Movimentos!$C$4:$C$9996,"Entrada")-SUMIFS(Movimentos!$F$4:$F$9996,Movimentos!$D$4:$D$9996,B4638,Movimentos!$C$4:$C$9996,"Saída"),""),"")</f>
        <v/>
      </c>
      <c r="F4638" s="10" t="str">
        <f t="shared" si="148"/>
        <v/>
      </c>
    </row>
    <row r="4639" spans="1:6" x14ac:dyDescent="0.3">
      <c r="A4639" s="15" t="str">
        <f t="shared" si="147"/>
        <v>.</v>
      </c>
      <c r="E4639" s="13" t="str">
        <f>IFERROR(IF(AND(B4639&lt;&gt;"",C4639&lt;&gt;""),SUMIFS(Movimentos!$F$4:$F$9996,Movimentos!$D$4:$D$9996,B4639,Movimentos!$C$4:$C$9996,"Entrada")-SUMIFS(Movimentos!$F$4:$F$9996,Movimentos!$D$4:$D$9996,B4639,Movimentos!$C$4:$C$9996,"Saída"),""),"")</f>
        <v/>
      </c>
      <c r="F4639" s="10" t="str">
        <f t="shared" si="148"/>
        <v/>
      </c>
    </row>
    <row r="4640" spans="1:6" x14ac:dyDescent="0.3">
      <c r="A4640" s="15" t="str">
        <f t="shared" si="147"/>
        <v>.</v>
      </c>
      <c r="E4640" s="13" t="str">
        <f>IFERROR(IF(AND(B4640&lt;&gt;"",C4640&lt;&gt;""),SUMIFS(Movimentos!$F$4:$F$9996,Movimentos!$D$4:$D$9996,B4640,Movimentos!$C$4:$C$9996,"Entrada")-SUMIFS(Movimentos!$F$4:$F$9996,Movimentos!$D$4:$D$9996,B4640,Movimentos!$C$4:$C$9996,"Saída"),""),"")</f>
        <v/>
      </c>
      <c r="F4640" s="10" t="str">
        <f t="shared" si="148"/>
        <v/>
      </c>
    </row>
    <row r="4641" spans="1:6" x14ac:dyDescent="0.3">
      <c r="A4641" s="15" t="str">
        <f t="shared" si="147"/>
        <v>.</v>
      </c>
      <c r="E4641" s="13" t="str">
        <f>IFERROR(IF(AND(B4641&lt;&gt;"",C4641&lt;&gt;""),SUMIFS(Movimentos!$F$4:$F$9996,Movimentos!$D$4:$D$9996,B4641,Movimentos!$C$4:$C$9996,"Entrada")-SUMIFS(Movimentos!$F$4:$F$9996,Movimentos!$D$4:$D$9996,B4641,Movimentos!$C$4:$C$9996,"Saída"),""),"")</f>
        <v/>
      </c>
      <c r="F4641" s="10" t="str">
        <f t="shared" si="148"/>
        <v/>
      </c>
    </row>
    <row r="4642" spans="1:6" x14ac:dyDescent="0.3">
      <c r="A4642" s="15" t="str">
        <f t="shared" si="147"/>
        <v>.</v>
      </c>
      <c r="E4642" s="13" t="str">
        <f>IFERROR(IF(AND(B4642&lt;&gt;"",C4642&lt;&gt;""),SUMIFS(Movimentos!$F$4:$F$9996,Movimentos!$D$4:$D$9996,B4642,Movimentos!$C$4:$C$9996,"Entrada")-SUMIFS(Movimentos!$F$4:$F$9996,Movimentos!$D$4:$D$9996,B4642,Movimentos!$C$4:$C$9996,"Saída"),""),"")</f>
        <v/>
      </c>
      <c r="F4642" s="10" t="str">
        <f t="shared" si="148"/>
        <v/>
      </c>
    </row>
    <row r="4643" spans="1:6" x14ac:dyDescent="0.3">
      <c r="A4643" s="15" t="str">
        <f t="shared" si="147"/>
        <v>.</v>
      </c>
      <c r="E4643" s="13" t="str">
        <f>IFERROR(IF(AND(B4643&lt;&gt;"",C4643&lt;&gt;""),SUMIFS(Movimentos!$F$4:$F$9996,Movimentos!$D$4:$D$9996,B4643,Movimentos!$C$4:$C$9996,"Entrada")-SUMIFS(Movimentos!$F$4:$F$9996,Movimentos!$D$4:$D$9996,B4643,Movimentos!$C$4:$C$9996,"Saída"),""),"")</f>
        <v/>
      </c>
      <c r="F4643" s="10" t="str">
        <f t="shared" si="148"/>
        <v/>
      </c>
    </row>
    <row r="4644" spans="1:6" x14ac:dyDescent="0.3">
      <c r="A4644" s="15" t="str">
        <f t="shared" si="147"/>
        <v>.</v>
      </c>
      <c r="E4644" s="13" t="str">
        <f>IFERROR(IF(AND(B4644&lt;&gt;"",C4644&lt;&gt;""),SUMIFS(Movimentos!$F$4:$F$9996,Movimentos!$D$4:$D$9996,B4644,Movimentos!$C$4:$C$9996,"Entrada")-SUMIFS(Movimentos!$F$4:$F$9996,Movimentos!$D$4:$D$9996,B4644,Movimentos!$C$4:$C$9996,"Saída"),""),"")</f>
        <v/>
      </c>
      <c r="F4644" s="10" t="str">
        <f t="shared" si="148"/>
        <v/>
      </c>
    </row>
    <row r="4645" spans="1:6" x14ac:dyDescent="0.3">
      <c r="A4645" s="15" t="str">
        <f t="shared" si="147"/>
        <v>.</v>
      </c>
      <c r="E4645" s="13" t="str">
        <f>IFERROR(IF(AND(B4645&lt;&gt;"",C4645&lt;&gt;""),SUMIFS(Movimentos!$F$4:$F$9996,Movimentos!$D$4:$D$9996,B4645,Movimentos!$C$4:$C$9996,"Entrada")-SUMIFS(Movimentos!$F$4:$F$9996,Movimentos!$D$4:$D$9996,B4645,Movimentos!$C$4:$C$9996,"Saída"),""),"")</f>
        <v/>
      </c>
      <c r="F4645" s="10" t="str">
        <f t="shared" si="148"/>
        <v/>
      </c>
    </row>
    <row r="4646" spans="1:6" x14ac:dyDescent="0.3">
      <c r="A4646" s="15" t="str">
        <f t="shared" si="147"/>
        <v>.</v>
      </c>
      <c r="E4646" s="13" t="str">
        <f>IFERROR(IF(AND(B4646&lt;&gt;"",C4646&lt;&gt;""),SUMIFS(Movimentos!$F$4:$F$9996,Movimentos!$D$4:$D$9996,B4646,Movimentos!$C$4:$C$9996,"Entrada")-SUMIFS(Movimentos!$F$4:$F$9996,Movimentos!$D$4:$D$9996,B4646,Movimentos!$C$4:$C$9996,"Saída"),""),"")</f>
        <v/>
      </c>
      <c r="F4646" s="10" t="str">
        <f t="shared" si="148"/>
        <v/>
      </c>
    </row>
    <row r="4647" spans="1:6" x14ac:dyDescent="0.3">
      <c r="A4647" s="15" t="str">
        <f t="shared" si="147"/>
        <v>.</v>
      </c>
      <c r="E4647" s="13" t="str">
        <f>IFERROR(IF(AND(B4647&lt;&gt;"",C4647&lt;&gt;""),SUMIFS(Movimentos!$F$4:$F$9996,Movimentos!$D$4:$D$9996,B4647,Movimentos!$C$4:$C$9996,"Entrada")-SUMIFS(Movimentos!$F$4:$F$9996,Movimentos!$D$4:$D$9996,B4647,Movimentos!$C$4:$C$9996,"Saída"),""),"")</f>
        <v/>
      </c>
      <c r="F4647" s="10" t="str">
        <f t="shared" si="148"/>
        <v/>
      </c>
    </row>
    <row r="4648" spans="1:6" x14ac:dyDescent="0.3">
      <c r="A4648" s="15" t="str">
        <f t="shared" si="147"/>
        <v>.</v>
      </c>
      <c r="E4648" s="13" t="str">
        <f>IFERROR(IF(AND(B4648&lt;&gt;"",C4648&lt;&gt;""),SUMIFS(Movimentos!$F$4:$F$9996,Movimentos!$D$4:$D$9996,B4648,Movimentos!$C$4:$C$9996,"Entrada")-SUMIFS(Movimentos!$F$4:$F$9996,Movimentos!$D$4:$D$9996,B4648,Movimentos!$C$4:$C$9996,"Saída"),""),"")</f>
        <v/>
      </c>
      <c r="F4648" s="10" t="str">
        <f t="shared" si="148"/>
        <v/>
      </c>
    </row>
    <row r="4649" spans="1:6" x14ac:dyDescent="0.3">
      <c r="A4649" s="15" t="str">
        <f t="shared" si="147"/>
        <v>.</v>
      </c>
      <c r="E4649" s="13" t="str">
        <f>IFERROR(IF(AND(B4649&lt;&gt;"",C4649&lt;&gt;""),SUMIFS(Movimentos!$F$4:$F$9996,Movimentos!$D$4:$D$9996,B4649,Movimentos!$C$4:$C$9996,"Entrada")-SUMIFS(Movimentos!$F$4:$F$9996,Movimentos!$D$4:$D$9996,B4649,Movimentos!$C$4:$C$9996,"Saída"),""),"")</f>
        <v/>
      </c>
      <c r="F4649" s="10" t="str">
        <f t="shared" si="148"/>
        <v/>
      </c>
    </row>
    <row r="4650" spans="1:6" x14ac:dyDescent="0.3">
      <c r="A4650" s="15" t="str">
        <f t="shared" si="147"/>
        <v>.</v>
      </c>
      <c r="E4650" s="13" t="str">
        <f>IFERROR(IF(AND(B4650&lt;&gt;"",C4650&lt;&gt;""),SUMIFS(Movimentos!$F$4:$F$9996,Movimentos!$D$4:$D$9996,B4650,Movimentos!$C$4:$C$9996,"Entrada")-SUMIFS(Movimentos!$F$4:$F$9996,Movimentos!$D$4:$D$9996,B4650,Movimentos!$C$4:$C$9996,"Saída"),""),"")</f>
        <v/>
      </c>
      <c r="F4650" s="10" t="str">
        <f t="shared" si="148"/>
        <v/>
      </c>
    </row>
    <row r="4651" spans="1:6" x14ac:dyDescent="0.3">
      <c r="A4651" s="15" t="str">
        <f t="shared" si="147"/>
        <v>.</v>
      </c>
      <c r="E4651" s="13" t="str">
        <f>IFERROR(IF(AND(B4651&lt;&gt;"",C4651&lt;&gt;""),SUMIFS(Movimentos!$F$4:$F$9996,Movimentos!$D$4:$D$9996,B4651,Movimentos!$C$4:$C$9996,"Entrada")-SUMIFS(Movimentos!$F$4:$F$9996,Movimentos!$D$4:$D$9996,B4651,Movimentos!$C$4:$C$9996,"Saída"),""),"")</f>
        <v/>
      </c>
      <c r="F4651" s="10" t="str">
        <f t="shared" si="148"/>
        <v/>
      </c>
    </row>
    <row r="4652" spans="1:6" x14ac:dyDescent="0.3">
      <c r="A4652" s="15" t="str">
        <f t="shared" si="147"/>
        <v>.</v>
      </c>
      <c r="E4652" s="13" t="str">
        <f>IFERROR(IF(AND(B4652&lt;&gt;"",C4652&lt;&gt;""),SUMIFS(Movimentos!$F$4:$F$9996,Movimentos!$D$4:$D$9996,B4652,Movimentos!$C$4:$C$9996,"Entrada")-SUMIFS(Movimentos!$F$4:$F$9996,Movimentos!$D$4:$D$9996,B4652,Movimentos!$C$4:$C$9996,"Saída"),""),"")</f>
        <v/>
      </c>
      <c r="F4652" s="10" t="str">
        <f t="shared" si="148"/>
        <v/>
      </c>
    </row>
    <row r="4653" spans="1:6" x14ac:dyDescent="0.3">
      <c r="A4653" s="15" t="str">
        <f t="shared" si="147"/>
        <v>.</v>
      </c>
      <c r="E4653" s="13" t="str">
        <f>IFERROR(IF(AND(B4653&lt;&gt;"",C4653&lt;&gt;""),SUMIFS(Movimentos!$F$4:$F$9996,Movimentos!$D$4:$D$9996,B4653,Movimentos!$C$4:$C$9996,"Entrada")-SUMIFS(Movimentos!$F$4:$F$9996,Movimentos!$D$4:$D$9996,B4653,Movimentos!$C$4:$C$9996,"Saída"),""),"")</f>
        <v/>
      </c>
      <c r="F4653" s="10" t="str">
        <f t="shared" si="148"/>
        <v/>
      </c>
    </row>
    <row r="4654" spans="1:6" x14ac:dyDescent="0.3">
      <c r="A4654" s="15" t="str">
        <f t="shared" si="147"/>
        <v>.</v>
      </c>
      <c r="E4654" s="13" t="str">
        <f>IFERROR(IF(AND(B4654&lt;&gt;"",C4654&lt;&gt;""),SUMIFS(Movimentos!$F$4:$F$9996,Movimentos!$D$4:$D$9996,B4654,Movimentos!$C$4:$C$9996,"Entrada")-SUMIFS(Movimentos!$F$4:$F$9996,Movimentos!$D$4:$D$9996,B4654,Movimentos!$C$4:$C$9996,"Saída"),""),"")</f>
        <v/>
      </c>
      <c r="F4654" s="10" t="str">
        <f t="shared" si="148"/>
        <v/>
      </c>
    </row>
    <row r="4655" spans="1:6" x14ac:dyDescent="0.3">
      <c r="A4655" s="15" t="str">
        <f t="shared" si="147"/>
        <v>.</v>
      </c>
      <c r="E4655" s="13" t="str">
        <f>IFERROR(IF(AND(B4655&lt;&gt;"",C4655&lt;&gt;""),SUMIFS(Movimentos!$F$4:$F$9996,Movimentos!$D$4:$D$9996,B4655,Movimentos!$C$4:$C$9996,"Entrada")-SUMIFS(Movimentos!$F$4:$F$9996,Movimentos!$D$4:$D$9996,B4655,Movimentos!$C$4:$C$9996,"Saída"),""),"")</f>
        <v/>
      </c>
      <c r="F4655" s="10" t="str">
        <f t="shared" si="148"/>
        <v/>
      </c>
    </row>
    <row r="4656" spans="1:6" x14ac:dyDescent="0.3">
      <c r="A4656" s="15" t="str">
        <f t="shared" si="147"/>
        <v>.</v>
      </c>
      <c r="E4656" s="13" t="str">
        <f>IFERROR(IF(AND(B4656&lt;&gt;"",C4656&lt;&gt;""),SUMIFS(Movimentos!$F$4:$F$9996,Movimentos!$D$4:$D$9996,B4656,Movimentos!$C$4:$C$9996,"Entrada")-SUMIFS(Movimentos!$F$4:$F$9996,Movimentos!$D$4:$D$9996,B4656,Movimentos!$C$4:$C$9996,"Saída"),""),"")</f>
        <v/>
      </c>
      <c r="F4656" s="10" t="str">
        <f t="shared" si="148"/>
        <v/>
      </c>
    </row>
    <row r="4657" spans="1:6" x14ac:dyDescent="0.3">
      <c r="A4657" s="15" t="str">
        <f t="shared" si="147"/>
        <v>.</v>
      </c>
      <c r="E4657" s="13" t="str">
        <f>IFERROR(IF(AND(B4657&lt;&gt;"",C4657&lt;&gt;""),SUMIFS(Movimentos!$F$4:$F$9996,Movimentos!$D$4:$D$9996,B4657,Movimentos!$C$4:$C$9996,"Entrada")-SUMIFS(Movimentos!$F$4:$F$9996,Movimentos!$D$4:$D$9996,B4657,Movimentos!$C$4:$C$9996,"Saída"),""),"")</f>
        <v/>
      </c>
      <c r="F4657" s="10" t="str">
        <f t="shared" si="148"/>
        <v/>
      </c>
    </row>
    <row r="4658" spans="1:6" x14ac:dyDescent="0.3">
      <c r="A4658" s="15" t="str">
        <f t="shared" si="147"/>
        <v>.</v>
      </c>
      <c r="E4658" s="13" t="str">
        <f>IFERROR(IF(AND(B4658&lt;&gt;"",C4658&lt;&gt;""),SUMIFS(Movimentos!$F$4:$F$9996,Movimentos!$D$4:$D$9996,B4658,Movimentos!$C$4:$C$9996,"Entrada")-SUMIFS(Movimentos!$F$4:$F$9996,Movimentos!$D$4:$D$9996,B4658,Movimentos!$C$4:$C$9996,"Saída"),""),"")</f>
        <v/>
      </c>
      <c r="F4658" s="10" t="str">
        <f t="shared" si="148"/>
        <v/>
      </c>
    </row>
    <row r="4659" spans="1:6" x14ac:dyDescent="0.3">
      <c r="A4659" s="15" t="str">
        <f t="shared" si="147"/>
        <v>.</v>
      </c>
      <c r="E4659" s="13" t="str">
        <f>IFERROR(IF(AND(B4659&lt;&gt;"",C4659&lt;&gt;""),SUMIFS(Movimentos!$F$4:$F$9996,Movimentos!$D$4:$D$9996,B4659,Movimentos!$C$4:$C$9996,"Entrada")-SUMIFS(Movimentos!$F$4:$F$9996,Movimentos!$D$4:$D$9996,B4659,Movimentos!$C$4:$C$9996,"Saída"),""),"")</f>
        <v/>
      </c>
      <c r="F4659" s="10" t="str">
        <f t="shared" si="148"/>
        <v/>
      </c>
    </row>
    <row r="4660" spans="1:6" x14ac:dyDescent="0.3">
      <c r="A4660" s="15" t="str">
        <f t="shared" si="147"/>
        <v>.</v>
      </c>
      <c r="E4660" s="13" t="str">
        <f>IFERROR(IF(AND(B4660&lt;&gt;"",C4660&lt;&gt;""),SUMIFS(Movimentos!$F$4:$F$9996,Movimentos!$D$4:$D$9996,B4660,Movimentos!$C$4:$C$9996,"Entrada")-SUMIFS(Movimentos!$F$4:$F$9996,Movimentos!$D$4:$D$9996,B4660,Movimentos!$C$4:$C$9996,"Saída"),""),"")</f>
        <v/>
      </c>
      <c r="F4660" s="10" t="str">
        <f t="shared" si="148"/>
        <v/>
      </c>
    </row>
    <row r="4661" spans="1:6" x14ac:dyDescent="0.3">
      <c r="A4661" s="15" t="str">
        <f t="shared" si="147"/>
        <v>.</v>
      </c>
      <c r="E4661" s="13" t="str">
        <f>IFERROR(IF(AND(B4661&lt;&gt;"",C4661&lt;&gt;""),SUMIFS(Movimentos!$F$4:$F$9996,Movimentos!$D$4:$D$9996,B4661,Movimentos!$C$4:$C$9996,"Entrada")-SUMIFS(Movimentos!$F$4:$F$9996,Movimentos!$D$4:$D$9996,B4661,Movimentos!$C$4:$C$9996,"Saída"),""),"")</f>
        <v/>
      </c>
      <c r="F4661" s="10" t="str">
        <f t="shared" si="148"/>
        <v/>
      </c>
    </row>
    <row r="4662" spans="1:6" x14ac:dyDescent="0.3">
      <c r="A4662" s="15" t="str">
        <f t="shared" si="147"/>
        <v>.</v>
      </c>
      <c r="E4662" s="13" t="str">
        <f>IFERROR(IF(AND(B4662&lt;&gt;"",C4662&lt;&gt;""),SUMIFS(Movimentos!$F$4:$F$9996,Movimentos!$D$4:$D$9996,B4662,Movimentos!$C$4:$C$9996,"Entrada")-SUMIFS(Movimentos!$F$4:$F$9996,Movimentos!$D$4:$D$9996,B4662,Movimentos!$C$4:$C$9996,"Saída"),""),"")</f>
        <v/>
      </c>
      <c r="F4662" s="10" t="str">
        <f t="shared" si="148"/>
        <v/>
      </c>
    </row>
    <row r="4663" spans="1:6" x14ac:dyDescent="0.3">
      <c r="A4663" s="15" t="str">
        <f t="shared" si="147"/>
        <v>.</v>
      </c>
      <c r="E4663" s="13" t="str">
        <f>IFERROR(IF(AND(B4663&lt;&gt;"",C4663&lt;&gt;""),SUMIFS(Movimentos!$F$4:$F$9996,Movimentos!$D$4:$D$9996,B4663,Movimentos!$C$4:$C$9996,"Entrada")-SUMIFS(Movimentos!$F$4:$F$9996,Movimentos!$D$4:$D$9996,B4663,Movimentos!$C$4:$C$9996,"Saída"),""),"")</f>
        <v/>
      </c>
      <c r="F4663" s="10" t="str">
        <f t="shared" si="148"/>
        <v/>
      </c>
    </row>
    <row r="4664" spans="1:6" x14ac:dyDescent="0.3">
      <c r="A4664" s="15" t="str">
        <f t="shared" si="147"/>
        <v>.</v>
      </c>
      <c r="E4664" s="13" t="str">
        <f>IFERROR(IF(AND(B4664&lt;&gt;"",C4664&lt;&gt;""),SUMIFS(Movimentos!$F$4:$F$9996,Movimentos!$D$4:$D$9996,B4664,Movimentos!$C$4:$C$9996,"Entrada")-SUMIFS(Movimentos!$F$4:$F$9996,Movimentos!$D$4:$D$9996,B4664,Movimentos!$C$4:$C$9996,"Saída"),""),"")</f>
        <v/>
      </c>
      <c r="F4664" s="10" t="str">
        <f t="shared" si="148"/>
        <v/>
      </c>
    </row>
    <row r="4665" spans="1:6" x14ac:dyDescent="0.3">
      <c r="A4665" s="15" t="str">
        <f t="shared" si="147"/>
        <v>.</v>
      </c>
      <c r="E4665" s="13" t="str">
        <f>IFERROR(IF(AND(B4665&lt;&gt;"",C4665&lt;&gt;""),SUMIFS(Movimentos!$F$4:$F$9996,Movimentos!$D$4:$D$9996,B4665,Movimentos!$C$4:$C$9996,"Entrada")-SUMIFS(Movimentos!$F$4:$F$9996,Movimentos!$D$4:$D$9996,B4665,Movimentos!$C$4:$C$9996,"Saída"),""),"")</f>
        <v/>
      </c>
      <c r="F4665" s="10" t="str">
        <f t="shared" si="148"/>
        <v/>
      </c>
    </row>
    <row r="4666" spans="1:6" x14ac:dyDescent="0.3">
      <c r="A4666" s="15" t="str">
        <f t="shared" si="147"/>
        <v>.</v>
      </c>
      <c r="E4666" s="13" t="str">
        <f>IFERROR(IF(AND(B4666&lt;&gt;"",C4666&lt;&gt;""),SUMIFS(Movimentos!$F$4:$F$9996,Movimentos!$D$4:$D$9996,B4666,Movimentos!$C$4:$C$9996,"Entrada")-SUMIFS(Movimentos!$F$4:$F$9996,Movimentos!$D$4:$D$9996,B4666,Movimentos!$C$4:$C$9996,"Saída"),""),"")</f>
        <v/>
      </c>
      <c r="F4666" s="10" t="str">
        <f t="shared" si="148"/>
        <v/>
      </c>
    </row>
    <row r="4667" spans="1:6" x14ac:dyDescent="0.3">
      <c r="A4667" s="15" t="str">
        <f t="shared" si="147"/>
        <v>.</v>
      </c>
      <c r="E4667" s="13" t="str">
        <f>IFERROR(IF(AND(B4667&lt;&gt;"",C4667&lt;&gt;""),SUMIFS(Movimentos!$F$4:$F$9996,Movimentos!$D$4:$D$9996,B4667,Movimentos!$C$4:$C$9996,"Entrada")-SUMIFS(Movimentos!$F$4:$F$9996,Movimentos!$D$4:$D$9996,B4667,Movimentos!$C$4:$C$9996,"Saída"),""),"")</f>
        <v/>
      </c>
      <c r="F4667" s="10" t="str">
        <f t="shared" si="148"/>
        <v/>
      </c>
    </row>
    <row r="4668" spans="1:6" x14ac:dyDescent="0.3">
      <c r="A4668" s="15" t="str">
        <f t="shared" si="147"/>
        <v>.</v>
      </c>
      <c r="E4668" s="13" t="str">
        <f>IFERROR(IF(AND(B4668&lt;&gt;"",C4668&lt;&gt;""),SUMIFS(Movimentos!$F$4:$F$9996,Movimentos!$D$4:$D$9996,B4668,Movimentos!$C$4:$C$9996,"Entrada")-SUMIFS(Movimentos!$F$4:$F$9996,Movimentos!$D$4:$D$9996,B4668,Movimentos!$C$4:$C$9996,"Saída"),""),"")</f>
        <v/>
      </c>
      <c r="F4668" s="10" t="str">
        <f t="shared" si="148"/>
        <v/>
      </c>
    </row>
    <row r="4669" spans="1:6" x14ac:dyDescent="0.3">
      <c r="A4669" s="15" t="str">
        <f t="shared" si="147"/>
        <v>.</v>
      </c>
      <c r="E4669" s="13" t="str">
        <f>IFERROR(IF(AND(B4669&lt;&gt;"",C4669&lt;&gt;""),SUMIFS(Movimentos!$F$4:$F$9996,Movimentos!$D$4:$D$9996,B4669,Movimentos!$C$4:$C$9996,"Entrada")-SUMIFS(Movimentos!$F$4:$F$9996,Movimentos!$D$4:$D$9996,B4669,Movimentos!$C$4:$C$9996,"Saída"),""),"")</f>
        <v/>
      </c>
      <c r="F4669" s="10" t="str">
        <f t="shared" si="148"/>
        <v/>
      </c>
    </row>
    <row r="4670" spans="1:6" x14ac:dyDescent="0.3">
      <c r="A4670" s="15" t="str">
        <f t="shared" si="147"/>
        <v>.</v>
      </c>
      <c r="E4670" s="13" t="str">
        <f>IFERROR(IF(AND(B4670&lt;&gt;"",C4670&lt;&gt;""),SUMIFS(Movimentos!$F$4:$F$9996,Movimentos!$D$4:$D$9996,B4670,Movimentos!$C$4:$C$9996,"Entrada")-SUMIFS(Movimentos!$F$4:$F$9996,Movimentos!$D$4:$D$9996,B4670,Movimentos!$C$4:$C$9996,"Saída"),""),"")</f>
        <v/>
      </c>
      <c r="F4670" s="10" t="str">
        <f t="shared" si="148"/>
        <v/>
      </c>
    </row>
    <row r="4671" spans="1:6" x14ac:dyDescent="0.3">
      <c r="A4671" s="15" t="str">
        <f t="shared" si="147"/>
        <v>.</v>
      </c>
      <c r="E4671" s="13" t="str">
        <f>IFERROR(IF(AND(B4671&lt;&gt;"",C4671&lt;&gt;""),SUMIFS(Movimentos!$F$4:$F$9996,Movimentos!$D$4:$D$9996,B4671,Movimentos!$C$4:$C$9996,"Entrada")-SUMIFS(Movimentos!$F$4:$F$9996,Movimentos!$D$4:$D$9996,B4671,Movimentos!$C$4:$C$9996,"Saída"),""),"")</f>
        <v/>
      </c>
      <c r="F4671" s="10" t="str">
        <f t="shared" si="148"/>
        <v/>
      </c>
    </row>
    <row r="4672" spans="1:6" x14ac:dyDescent="0.3">
      <c r="A4672" s="15" t="str">
        <f t="shared" ref="A4672:A4735" si="149">IF(F4672="Saldo zerado",0,IF(F4672="Saldo abaixo do mínimo",1,IF(F4672="Saldo disponível",2,".")))</f>
        <v>.</v>
      </c>
      <c r="E4672" s="13" t="str">
        <f>IFERROR(IF(AND(B4672&lt;&gt;"",C4672&lt;&gt;""),SUMIFS(Movimentos!$F$4:$F$9996,Movimentos!$D$4:$D$9996,B4672,Movimentos!$C$4:$C$9996,"Entrada")-SUMIFS(Movimentos!$F$4:$F$9996,Movimentos!$D$4:$D$9996,B4672,Movimentos!$C$4:$C$9996,"Saída"),""),"")</f>
        <v/>
      </c>
      <c r="F4672" s="10" t="str">
        <f t="shared" si="148"/>
        <v/>
      </c>
    </row>
    <row r="4673" spans="1:6" x14ac:dyDescent="0.3">
      <c r="A4673" s="15" t="str">
        <f t="shared" si="149"/>
        <v>.</v>
      </c>
      <c r="E4673" s="13" t="str">
        <f>IFERROR(IF(AND(B4673&lt;&gt;"",C4673&lt;&gt;""),SUMIFS(Movimentos!$F$4:$F$9996,Movimentos!$D$4:$D$9996,B4673,Movimentos!$C$4:$C$9996,"Entrada")-SUMIFS(Movimentos!$F$4:$F$9996,Movimentos!$D$4:$D$9996,B4673,Movimentos!$C$4:$C$9996,"Saída"),""),"")</f>
        <v/>
      </c>
      <c r="F4673" s="10" t="str">
        <f t="shared" si="148"/>
        <v/>
      </c>
    </row>
    <row r="4674" spans="1:6" x14ac:dyDescent="0.3">
      <c r="A4674" s="15" t="str">
        <f t="shared" si="149"/>
        <v>.</v>
      </c>
      <c r="E4674" s="13" t="str">
        <f>IFERROR(IF(AND(B4674&lt;&gt;"",C4674&lt;&gt;""),SUMIFS(Movimentos!$F$4:$F$9996,Movimentos!$D$4:$D$9996,B4674,Movimentos!$C$4:$C$9996,"Entrada")-SUMIFS(Movimentos!$F$4:$F$9996,Movimentos!$D$4:$D$9996,B4674,Movimentos!$C$4:$C$9996,"Saída"),""),"")</f>
        <v/>
      </c>
      <c r="F4674" s="10" t="str">
        <f t="shared" si="148"/>
        <v/>
      </c>
    </row>
    <row r="4675" spans="1:6" x14ac:dyDescent="0.3">
      <c r="A4675" s="15" t="str">
        <f t="shared" si="149"/>
        <v>.</v>
      </c>
      <c r="E4675" s="13" t="str">
        <f>IFERROR(IF(AND(B4675&lt;&gt;"",C4675&lt;&gt;""),SUMIFS(Movimentos!$F$4:$F$9996,Movimentos!$D$4:$D$9996,B4675,Movimentos!$C$4:$C$9996,"Entrada")-SUMIFS(Movimentos!$F$4:$F$9996,Movimentos!$D$4:$D$9996,B4675,Movimentos!$C$4:$C$9996,"Saída"),""),"")</f>
        <v/>
      </c>
      <c r="F4675" s="10" t="str">
        <f t="shared" si="148"/>
        <v/>
      </c>
    </row>
    <row r="4676" spans="1:6" x14ac:dyDescent="0.3">
      <c r="A4676" s="15" t="str">
        <f t="shared" si="149"/>
        <v>.</v>
      </c>
      <c r="E4676" s="13" t="str">
        <f>IFERROR(IF(AND(B4676&lt;&gt;"",C4676&lt;&gt;""),SUMIFS(Movimentos!$F$4:$F$9996,Movimentos!$D$4:$D$9996,B4676,Movimentos!$C$4:$C$9996,"Entrada")-SUMIFS(Movimentos!$F$4:$F$9996,Movimentos!$D$4:$D$9996,B4676,Movimentos!$C$4:$C$9996,"Saída"),""),"")</f>
        <v/>
      </c>
      <c r="F4676" s="10" t="str">
        <f t="shared" si="148"/>
        <v/>
      </c>
    </row>
    <row r="4677" spans="1:6" x14ac:dyDescent="0.3">
      <c r="A4677" s="15" t="str">
        <f t="shared" si="149"/>
        <v>.</v>
      </c>
      <c r="E4677" s="13" t="str">
        <f>IFERROR(IF(AND(B4677&lt;&gt;"",C4677&lt;&gt;""),SUMIFS(Movimentos!$F$4:$F$9996,Movimentos!$D$4:$D$9996,B4677,Movimentos!$C$4:$C$9996,"Entrada")-SUMIFS(Movimentos!$F$4:$F$9996,Movimentos!$D$4:$D$9996,B4677,Movimentos!$C$4:$C$9996,"Saída"),""),"")</f>
        <v/>
      </c>
      <c r="F4677" s="10" t="str">
        <f t="shared" si="148"/>
        <v/>
      </c>
    </row>
    <row r="4678" spans="1:6" x14ac:dyDescent="0.3">
      <c r="A4678" s="15" t="str">
        <f t="shared" si="149"/>
        <v>.</v>
      </c>
      <c r="E4678" s="13" t="str">
        <f>IFERROR(IF(AND(B4678&lt;&gt;"",C4678&lt;&gt;""),SUMIFS(Movimentos!$F$4:$F$9996,Movimentos!$D$4:$D$9996,B4678,Movimentos!$C$4:$C$9996,"Entrada")-SUMIFS(Movimentos!$F$4:$F$9996,Movimentos!$D$4:$D$9996,B4678,Movimentos!$C$4:$C$9996,"Saída"),""),"")</f>
        <v/>
      </c>
      <c r="F4678" s="10" t="str">
        <f t="shared" si="148"/>
        <v/>
      </c>
    </row>
    <row r="4679" spans="1:6" x14ac:dyDescent="0.3">
      <c r="A4679" s="15" t="str">
        <f t="shared" si="149"/>
        <v>.</v>
      </c>
      <c r="E4679" s="13" t="str">
        <f>IFERROR(IF(AND(B4679&lt;&gt;"",C4679&lt;&gt;""),SUMIFS(Movimentos!$F$4:$F$9996,Movimentos!$D$4:$D$9996,B4679,Movimentos!$C$4:$C$9996,"Entrada")-SUMIFS(Movimentos!$F$4:$F$9996,Movimentos!$D$4:$D$9996,B4679,Movimentos!$C$4:$C$9996,"Saída"),""),"")</f>
        <v/>
      </c>
      <c r="F4679" s="10" t="str">
        <f t="shared" si="148"/>
        <v/>
      </c>
    </row>
    <row r="4680" spans="1:6" x14ac:dyDescent="0.3">
      <c r="A4680" s="15" t="str">
        <f t="shared" si="149"/>
        <v>.</v>
      </c>
      <c r="E4680" s="13" t="str">
        <f>IFERROR(IF(AND(B4680&lt;&gt;"",C4680&lt;&gt;""),SUMIFS(Movimentos!$F$4:$F$9996,Movimentos!$D$4:$D$9996,B4680,Movimentos!$C$4:$C$9996,"Entrada")-SUMIFS(Movimentos!$F$4:$F$9996,Movimentos!$D$4:$D$9996,B4680,Movimentos!$C$4:$C$9996,"Saída"),""),"")</f>
        <v/>
      </c>
      <c r="F4680" s="10" t="str">
        <f t="shared" si="148"/>
        <v/>
      </c>
    </row>
    <row r="4681" spans="1:6" x14ac:dyDescent="0.3">
      <c r="A4681" s="15" t="str">
        <f t="shared" si="149"/>
        <v>.</v>
      </c>
      <c r="E4681" s="13" t="str">
        <f>IFERROR(IF(AND(B4681&lt;&gt;"",C4681&lt;&gt;""),SUMIFS(Movimentos!$F$4:$F$9996,Movimentos!$D$4:$D$9996,B4681,Movimentos!$C$4:$C$9996,"Entrada")-SUMIFS(Movimentos!$F$4:$F$9996,Movimentos!$D$4:$D$9996,B4681,Movimentos!$C$4:$C$9996,"Saída"),""),"")</f>
        <v/>
      </c>
      <c r="F4681" s="10" t="str">
        <f t="shared" si="148"/>
        <v/>
      </c>
    </row>
    <row r="4682" spans="1:6" x14ac:dyDescent="0.3">
      <c r="A4682" s="15" t="str">
        <f t="shared" si="149"/>
        <v>.</v>
      </c>
      <c r="E4682" s="13" t="str">
        <f>IFERROR(IF(AND(B4682&lt;&gt;"",C4682&lt;&gt;""),SUMIFS(Movimentos!$F$4:$F$9996,Movimentos!$D$4:$D$9996,B4682,Movimentos!$C$4:$C$9996,"Entrada")-SUMIFS(Movimentos!$F$4:$F$9996,Movimentos!$D$4:$D$9996,B4682,Movimentos!$C$4:$C$9996,"Saída"),""),"")</f>
        <v/>
      </c>
      <c r="F4682" s="10" t="str">
        <f t="shared" si="148"/>
        <v/>
      </c>
    </row>
    <row r="4683" spans="1:6" x14ac:dyDescent="0.3">
      <c r="A4683" s="15" t="str">
        <f t="shared" si="149"/>
        <v>.</v>
      </c>
      <c r="E4683" s="13" t="str">
        <f>IFERROR(IF(AND(B4683&lt;&gt;"",C4683&lt;&gt;""),SUMIFS(Movimentos!$F$4:$F$9996,Movimentos!$D$4:$D$9996,B4683,Movimentos!$C$4:$C$9996,"Entrada")-SUMIFS(Movimentos!$F$4:$F$9996,Movimentos!$D$4:$D$9996,B4683,Movimentos!$C$4:$C$9996,"Saída"),""),"")</f>
        <v/>
      </c>
      <c r="F4683" s="10" t="str">
        <f t="shared" si="148"/>
        <v/>
      </c>
    </row>
    <row r="4684" spans="1:6" x14ac:dyDescent="0.3">
      <c r="A4684" s="15" t="str">
        <f t="shared" si="149"/>
        <v>.</v>
      </c>
      <c r="E4684" s="13" t="str">
        <f>IFERROR(IF(AND(B4684&lt;&gt;"",C4684&lt;&gt;""),SUMIFS(Movimentos!$F$4:$F$9996,Movimentos!$D$4:$D$9996,B4684,Movimentos!$C$4:$C$9996,"Entrada")-SUMIFS(Movimentos!$F$4:$F$9996,Movimentos!$D$4:$D$9996,B4684,Movimentos!$C$4:$C$9996,"Saída"),""),"")</f>
        <v/>
      </c>
      <c r="F4684" s="10" t="str">
        <f t="shared" si="148"/>
        <v/>
      </c>
    </row>
    <row r="4685" spans="1:6" x14ac:dyDescent="0.3">
      <c r="A4685" s="15" t="str">
        <f t="shared" si="149"/>
        <v>.</v>
      </c>
      <c r="E4685" s="13" t="str">
        <f>IFERROR(IF(AND(B4685&lt;&gt;"",C4685&lt;&gt;""),SUMIFS(Movimentos!$F$4:$F$9996,Movimentos!$D$4:$D$9996,B4685,Movimentos!$C$4:$C$9996,"Entrada")-SUMIFS(Movimentos!$F$4:$F$9996,Movimentos!$D$4:$D$9996,B4685,Movimentos!$C$4:$C$9996,"Saída"),""),"")</f>
        <v/>
      </c>
      <c r="F4685" s="10" t="str">
        <f t="shared" si="148"/>
        <v/>
      </c>
    </row>
    <row r="4686" spans="1:6" x14ac:dyDescent="0.3">
      <c r="A4686" s="15" t="str">
        <f t="shared" si="149"/>
        <v>.</v>
      </c>
      <c r="E4686" s="13" t="str">
        <f>IFERROR(IF(AND(B4686&lt;&gt;"",C4686&lt;&gt;""),SUMIFS(Movimentos!$F$4:$F$9996,Movimentos!$D$4:$D$9996,B4686,Movimentos!$C$4:$C$9996,"Entrada")-SUMIFS(Movimentos!$F$4:$F$9996,Movimentos!$D$4:$D$9996,B4686,Movimentos!$C$4:$C$9996,"Saída"),""),"")</f>
        <v/>
      </c>
      <c r="F4686" s="10" t="str">
        <f t="shared" si="148"/>
        <v/>
      </c>
    </row>
    <row r="4687" spans="1:6" x14ac:dyDescent="0.3">
      <c r="A4687" s="15" t="str">
        <f t="shared" si="149"/>
        <v>.</v>
      </c>
      <c r="E4687" s="13" t="str">
        <f>IFERROR(IF(AND(B4687&lt;&gt;"",C4687&lt;&gt;""),SUMIFS(Movimentos!$F$4:$F$9996,Movimentos!$D$4:$D$9996,B4687,Movimentos!$C$4:$C$9996,"Entrada")-SUMIFS(Movimentos!$F$4:$F$9996,Movimentos!$D$4:$D$9996,B4687,Movimentos!$C$4:$C$9996,"Saída"),""),"")</f>
        <v/>
      </c>
      <c r="F4687" s="10" t="str">
        <f t="shared" si="148"/>
        <v/>
      </c>
    </row>
    <row r="4688" spans="1:6" x14ac:dyDescent="0.3">
      <c r="A4688" s="15" t="str">
        <f t="shared" si="149"/>
        <v>.</v>
      </c>
      <c r="E4688" s="13" t="str">
        <f>IFERROR(IF(AND(B4688&lt;&gt;"",C4688&lt;&gt;""),SUMIFS(Movimentos!$F$4:$F$9996,Movimentos!$D$4:$D$9996,B4688,Movimentos!$C$4:$C$9996,"Entrada")-SUMIFS(Movimentos!$F$4:$F$9996,Movimentos!$D$4:$D$9996,B4688,Movimentos!$C$4:$C$9996,"Saída"),""),"")</f>
        <v/>
      </c>
      <c r="F4688" s="10" t="str">
        <f t="shared" si="148"/>
        <v/>
      </c>
    </row>
    <row r="4689" spans="1:6" x14ac:dyDescent="0.3">
      <c r="A4689" s="15" t="str">
        <f t="shared" si="149"/>
        <v>.</v>
      </c>
      <c r="E4689" s="13" t="str">
        <f>IFERROR(IF(AND(B4689&lt;&gt;"",C4689&lt;&gt;""),SUMIFS(Movimentos!$F$4:$F$9996,Movimentos!$D$4:$D$9996,B4689,Movimentos!$C$4:$C$9996,"Entrada")-SUMIFS(Movimentos!$F$4:$F$9996,Movimentos!$D$4:$D$9996,B4689,Movimentos!$C$4:$C$9996,"Saída"),""),"")</f>
        <v/>
      </c>
      <c r="F4689" s="10" t="str">
        <f t="shared" si="148"/>
        <v/>
      </c>
    </row>
    <row r="4690" spans="1:6" x14ac:dyDescent="0.3">
      <c r="A4690" s="15" t="str">
        <f t="shared" si="149"/>
        <v>.</v>
      </c>
      <c r="E4690" s="13" t="str">
        <f>IFERROR(IF(AND(B4690&lt;&gt;"",C4690&lt;&gt;""),SUMIFS(Movimentos!$F$4:$F$9996,Movimentos!$D$4:$D$9996,B4690,Movimentos!$C$4:$C$9996,"Entrada")-SUMIFS(Movimentos!$F$4:$F$9996,Movimentos!$D$4:$D$9996,B4690,Movimentos!$C$4:$C$9996,"Saída"),""),"")</f>
        <v/>
      </c>
      <c r="F4690" s="10" t="str">
        <f t="shared" si="148"/>
        <v/>
      </c>
    </row>
    <row r="4691" spans="1:6" x14ac:dyDescent="0.3">
      <c r="A4691" s="15" t="str">
        <f t="shared" si="149"/>
        <v>.</v>
      </c>
      <c r="E4691" s="13" t="str">
        <f>IFERROR(IF(AND(B4691&lt;&gt;"",C4691&lt;&gt;""),SUMIFS(Movimentos!$F$4:$F$9996,Movimentos!$D$4:$D$9996,B4691,Movimentos!$C$4:$C$9996,"Entrada")-SUMIFS(Movimentos!$F$4:$F$9996,Movimentos!$D$4:$D$9996,B4691,Movimentos!$C$4:$C$9996,"Saída"),""),"")</f>
        <v/>
      </c>
      <c r="F4691" s="10" t="str">
        <f t="shared" si="148"/>
        <v/>
      </c>
    </row>
    <row r="4692" spans="1:6" x14ac:dyDescent="0.3">
      <c r="A4692" s="15" t="str">
        <f t="shared" si="149"/>
        <v>.</v>
      </c>
      <c r="E4692" s="13" t="str">
        <f>IFERROR(IF(AND(B4692&lt;&gt;"",C4692&lt;&gt;""),SUMIFS(Movimentos!$F$4:$F$9996,Movimentos!$D$4:$D$9996,B4692,Movimentos!$C$4:$C$9996,"Entrada")-SUMIFS(Movimentos!$F$4:$F$9996,Movimentos!$D$4:$D$9996,B4692,Movimentos!$C$4:$C$9996,"Saída"),""),"")</f>
        <v/>
      </c>
      <c r="F4692" s="10" t="str">
        <f t="shared" si="148"/>
        <v/>
      </c>
    </row>
    <row r="4693" spans="1:6" x14ac:dyDescent="0.3">
      <c r="A4693" s="15" t="str">
        <f t="shared" si="149"/>
        <v>.</v>
      </c>
      <c r="E4693" s="13" t="str">
        <f>IFERROR(IF(AND(B4693&lt;&gt;"",C4693&lt;&gt;""),SUMIFS(Movimentos!$F$4:$F$9996,Movimentos!$D$4:$D$9996,B4693,Movimentos!$C$4:$C$9996,"Entrada")-SUMIFS(Movimentos!$F$4:$F$9996,Movimentos!$D$4:$D$9996,B4693,Movimentos!$C$4:$C$9996,"Saída"),""),"")</f>
        <v/>
      </c>
      <c r="F4693" s="10" t="str">
        <f t="shared" si="148"/>
        <v/>
      </c>
    </row>
    <row r="4694" spans="1:6" x14ac:dyDescent="0.3">
      <c r="A4694" s="15" t="str">
        <f t="shared" si="149"/>
        <v>.</v>
      </c>
      <c r="E4694" s="13" t="str">
        <f>IFERROR(IF(AND(B4694&lt;&gt;"",C4694&lt;&gt;""),SUMIFS(Movimentos!$F$4:$F$9996,Movimentos!$D$4:$D$9996,B4694,Movimentos!$C$4:$C$9996,"Entrada")-SUMIFS(Movimentos!$F$4:$F$9996,Movimentos!$D$4:$D$9996,B4694,Movimentos!$C$4:$C$9996,"Saída"),""),"")</f>
        <v/>
      </c>
      <c r="F4694" s="10" t="str">
        <f t="shared" si="148"/>
        <v/>
      </c>
    </row>
    <row r="4695" spans="1:6" x14ac:dyDescent="0.3">
      <c r="A4695" s="15" t="str">
        <f t="shared" si="149"/>
        <v>.</v>
      </c>
      <c r="E4695" s="13" t="str">
        <f>IFERROR(IF(AND(B4695&lt;&gt;"",C4695&lt;&gt;""),SUMIFS(Movimentos!$F$4:$F$9996,Movimentos!$D$4:$D$9996,B4695,Movimentos!$C$4:$C$9996,"Entrada")-SUMIFS(Movimentos!$F$4:$F$9996,Movimentos!$D$4:$D$9996,B4695,Movimentos!$C$4:$C$9996,"Saída"),""),"")</f>
        <v/>
      </c>
      <c r="F4695" s="10" t="str">
        <f t="shared" ref="F4695:F4758" si="150">IF(AND(B4695&lt;&gt;"",C4695&lt;&gt;""),IF(E4695=0,"Saldo zerado",IF(E4695&lt;D4695,"Saldo abaixo do mínimo","Saldo disponível")),"")</f>
        <v/>
      </c>
    </row>
    <row r="4696" spans="1:6" x14ac:dyDescent="0.3">
      <c r="A4696" s="15" t="str">
        <f t="shared" si="149"/>
        <v>.</v>
      </c>
      <c r="E4696" s="13" t="str">
        <f>IFERROR(IF(AND(B4696&lt;&gt;"",C4696&lt;&gt;""),SUMIFS(Movimentos!$F$4:$F$9996,Movimentos!$D$4:$D$9996,B4696,Movimentos!$C$4:$C$9996,"Entrada")-SUMIFS(Movimentos!$F$4:$F$9996,Movimentos!$D$4:$D$9996,B4696,Movimentos!$C$4:$C$9996,"Saída"),""),"")</f>
        <v/>
      </c>
      <c r="F4696" s="10" t="str">
        <f t="shared" si="150"/>
        <v/>
      </c>
    </row>
    <row r="4697" spans="1:6" x14ac:dyDescent="0.3">
      <c r="A4697" s="15" t="str">
        <f t="shared" si="149"/>
        <v>.</v>
      </c>
      <c r="E4697" s="13" t="str">
        <f>IFERROR(IF(AND(B4697&lt;&gt;"",C4697&lt;&gt;""),SUMIFS(Movimentos!$F$4:$F$9996,Movimentos!$D$4:$D$9996,B4697,Movimentos!$C$4:$C$9996,"Entrada")-SUMIFS(Movimentos!$F$4:$F$9996,Movimentos!$D$4:$D$9996,B4697,Movimentos!$C$4:$C$9996,"Saída"),""),"")</f>
        <v/>
      </c>
      <c r="F4697" s="10" t="str">
        <f t="shared" si="150"/>
        <v/>
      </c>
    </row>
    <row r="4698" spans="1:6" x14ac:dyDescent="0.3">
      <c r="A4698" s="15" t="str">
        <f t="shared" si="149"/>
        <v>.</v>
      </c>
      <c r="E4698" s="13" t="str">
        <f>IFERROR(IF(AND(B4698&lt;&gt;"",C4698&lt;&gt;""),SUMIFS(Movimentos!$F$4:$F$9996,Movimentos!$D$4:$D$9996,B4698,Movimentos!$C$4:$C$9996,"Entrada")-SUMIFS(Movimentos!$F$4:$F$9996,Movimentos!$D$4:$D$9996,B4698,Movimentos!$C$4:$C$9996,"Saída"),""),"")</f>
        <v/>
      </c>
      <c r="F4698" s="10" t="str">
        <f t="shared" si="150"/>
        <v/>
      </c>
    </row>
    <row r="4699" spans="1:6" x14ac:dyDescent="0.3">
      <c r="A4699" s="15" t="str">
        <f t="shared" si="149"/>
        <v>.</v>
      </c>
      <c r="E4699" s="13" t="str">
        <f>IFERROR(IF(AND(B4699&lt;&gt;"",C4699&lt;&gt;""),SUMIFS(Movimentos!$F$4:$F$9996,Movimentos!$D$4:$D$9996,B4699,Movimentos!$C$4:$C$9996,"Entrada")-SUMIFS(Movimentos!$F$4:$F$9996,Movimentos!$D$4:$D$9996,B4699,Movimentos!$C$4:$C$9996,"Saída"),""),"")</f>
        <v/>
      </c>
      <c r="F4699" s="10" t="str">
        <f t="shared" si="150"/>
        <v/>
      </c>
    </row>
    <row r="4700" spans="1:6" x14ac:dyDescent="0.3">
      <c r="A4700" s="15" t="str">
        <f t="shared" si="149"/>
        <v>.</v>
      </c>
      <c r="E4700" s="13" t="str">
        <f>IFERROR(IF(AND(B4700&lt;&gt;"",C4700&lt;&gt;""),SUMIFS(Movimentos!$F$4:$F$9996,Movimentos!$D$4:$D$9996,B4700,Movimentos!$C$4:$C$9996,"Entrada")-SUMIFS(Movimentos!$F$4:$F$9996,Movimentos!$D$4:$D$9996,B4700,Movimentos!$C$4:$C$9996,"Saída"),""),"")</f>
        <v/>
      </c>
      <c r="F4700" s="10" t="str">
        <f t="shared" si="150"/>
        <v/>
      </c>
    </row>
    <row r="4701" spans="1:6" x14ac:dyDescent="0.3">
      <c r="A4701" s="15" t="str">
        <f t="shared" si="149"/>
        <v>.</v>
      </c>
      <c r="E4701" s="13" t="str">
        <f>IFERROR(IF(AND(B4701&lt;&gt;"",C4701&lt;&gt;""),SUMIFS(Movimentos!$F$4:$F$9996,Movimentos!$D$4:$D$9996,B4701,Movimentos!$C$4:$C$9996,"Entrada")-SUMIFS(Movimentos!$F$4:$F$9996,Movimentos!$D$4:$D$9996,B4701,Movimentos!$C$4:$C$9996,"Saída"),""),"")</f>
        <v/>
      </c>
      <c r="F4701" s="10" t="str">
        <f t="shared" si="150"/>
        <v/>
      </c>
    </row>
    <row r="4702" spans="1:6" x14ac:dyDescent="0.3">
      <c r="A4702" s="15" t="str">
        <f t="shared" si="149"/>
        <v>.</v>
      </c>
      <c r="E4702" s="13" t="str">
        <f>IFERROR(IF(AND(B4702&lt;&gt;"",C4702&lt;&gt;""),SUMIFS(Movimentos!$F$4:$F$9996,Movimentos!$D$4:$D$9996,B4702,Movimentos!$C$4:$C$9996,"Entrada")-SUMIFS(Movimentos!$F$4:$F$9996,Movimentos!$D$4:$D$9996,B4702,Movimentos!$C$4:$C$9996,"Saída"),""),"")</f>
        <v/>
      </c>
      <c r="F4702" s="10" t="str">
        <f t="shared" si="150"/>
        <v/>
      </c>
    </row>
    <row r="4703" spans="1:6" x14ac:dyDescent="0.3">
      <c r="A4703" s="15" t="str">
        <f t="shared" si="149"/>
        <v>.</v>
      </c>
      <c r="E4703" s="13" t="str">
        <f>IFERROR(IF(AND(B4703&lt;&gt;"",C4703&lt;&gt;""),SUMIFS(Movimentos!$F$4:$F$9996,Movimentos!$D$4:$D$9996,B4703,Movimentos!$C$4:$C$9996,"Entrada")-SUMIFS(Movimentos!$F$4:$F$9996,Movimentos!$D$4:$D$9996,B4703,Movimentos!$C$4:$C$9996,"Saída"),""),"")</f>
        <v/>
      </c>
      <c r="F4703" s="10" t="str">
        <f t="shared" si="150"/>
        <v/>
      </c>
    </row>
    <row r="4704" spans="1:6" x14ac:dyDescent="0.3">
      <c r="A4704" s="15" t="str">
        <f t="shared" si="149"/>
        <v>.</v>
      </c>
      <c r="E4704" s="13" t="str">
        <f>IFERROR(IF(AND(B4704&lt;&gt;"",C4704&lt;&gt;""),SUMIFS(Movimentos!$F$4:$F$9996,Movimentos!$D$4:$D$9996,B4704,Movimentos!$C$4:$C$9996,"Entrada")-SUMIFS(Movimentos!$F$4:$F$9996,Movimentos!$D$4:$D$9996,B4704,Movimentos!$C$4:$C$9996,"Saída"),""),"")</f>
        <v/>
      </c>
      <c r="F4704" s="10" t="str">
        <f t="shared" si="150"/>
        <v/>
      </c>
    </row>
    <row r="4705" spans="1:6" x14ac:dyDescent="0.3">
      <c r="A4705" s="15" t="str">
        <f t="shared" si="149"/>
        <v>.</v>
      </c>
      <c r="E4705" s="13" t="str">
        <f>IFERROR(IF(AND(B4705&lt;&gt;"",C4705&lt;&gt;""),SUMIFS(Movimentos!$F$4:$F$9996,Movimentos!$D$4:$D$9996,B4705,Movimentos!$C$4:$C$9996,"Entrada")-SUMIFS(Movimentos!$F$4:$F$9996,Movimentos!$D$4:$D$9996,B4705,Movimentos!$C$4:$C$9996,"Saída"),""),"")</f>
        <v/>
      </c>
      <c r="F4705" s="10" t="str">
        <f t="shared" si="150"/>
        <v/>
      </c>
    </row>
    <row r="4706" spans="1:6" x14ac:dyDescent="0.3">
      <c r="A4706" s="15" t="str">
        <f t="shared" si="149"/>
        <v>.</v>
      </c>
      <c r="E4706" s="13" t="str">
        <f>IFERROR(IF(AND(B4706&lt;&gt;"",C4706&lt;&gt;""),SUMIFS(Movimentos!$F$4:$F$9996,Movimentos!$D$4:$D$9996,B4706,Movimentos!$C$4:$C$9996,"Entrada")-SUMIFS(Movimentos!$F$4:$F$9996,Movimentos!$D$4:$D$9996,B4706,Movimentos!$C$4:$C$9996,"Saída"),""),"")</f>
        <v/>
      </c>
      <c r="F4706" s="10" t="str">
        <f t="shared" si="150"/>
        <v/>
      </c>
    </row>
    <row r="4707" spans="1:6" x14ac:dyDescent="0.3">
      <c r="A4707" s="15" t="str">
        <f t="shared" si="149"/>
        <v>.</v>
      </c>
      <c r="E4707" s="13" t="str">
        <f>IFERROR(IF(AND(B4707&lt;&gt;"",C4707&lt;&gt;""),SUMIFS(Movimentos!$F$4:$F$9996,Movimentos!$D$4:$D$9996,B4707,Movimentos!$C$4:$C$9996,"Entrada")-SUMIFS(Movimentos!$F$4:$F$9996,Movimentos!$D$4:$D$9996,B4707,Movimentos!$C$4:$C$9996,"Saída"),""),"")</f>
        <v/>
      </c>
      <c r="F4707" s="10" t="str">
        <f t="shared" si="150"/>
        <v/>
      </c>
    </row>
    <row r="4708" spans="1:6" x14ac:dyDescent="0.3">
      <c r="A4708" s="15" t="str">
        <f t="shared" si="149"/>
        <v>.</v>
      </c>
      <c r="E4708" s="13" t="str">
        <f>IFERROR(IF(AND(B4708&lt;&gt;"",C4708&lt;&gt;""),SUMIFS(Movimentos!$F$4:$F$9996,Movimentos!$D$4:$D$9996,B4708,Movimentos!$C$4:$C$9996,"Entrada")-SUMIFS(Movimentos!$F$4:$F$9996,Movimentos!$D$4:$D$9996,B4708,Movimentos!$C$4:$C$9996,"Saída"),""),"")</f>
        <v/>
      </c>
      <c r="F4708" s="10" t="str">
        <f t="shared" si="150"/>
        <v/>
      </c>
    </row>
    <row r="4709" spans="1:6" x14ac:dyDescent="0.3">
      <c r="A4709" s="15" t="str">
        <f t="shared" si="149"/>
        <v>.</v>
      </c>
      <c r="E4709" s="13" t="str">
        <f>IFERROR(IF(AND(B4709&lt;&gt;"",C4709&lt;&gt;""),SUMIFS(Movimentos!$F$4:$F$9996,Movimentos!$D$4:$D$9996,B4709,Movimentos!$C$4:$C$9996,"Entrada")-SUMIFS(Movimentos!$F$4:$F$9996,Movimentos!$D$4:$D$9996,B4709,Movimentos!$C$4:$C$9996,"Saída"),""),"")</f>
        <v/>
      </c>
      <c r="F4709" s="10" t="str">
        <f t="shared" si="150"/>
        <v/>
      </c>
    </row>
    <row r="4710" spans="1:6" x14ac:dyDescent="0.3">
      <c r="A4710" s="15" t="str">
        <f t="shared" si="149"/>
        <v>.</v>
      </c>
      <c r="E4710" s="13" t="str">
        <f>IFERROR(IF(AND(B4710&lt;&gt;"",C4710&lt;&gt;""),SUMIFS(Movimentos!$F$4:$F$9996,Movimentos!$D$4:$D$9996,B4710,Movimentos!$C$4:$C$9996,"Entrada")-SUMIFS(Movimentos!$F$4:$F$9996,Movimentos!$D$4:$D$9996,B4710,Movimentos!$C$4:$C$9996,"Saída"),""),"")</f>
        <v/>
      </c>
      <c r="F4710" s="10" t="str">
        <f t="shared" si="150"/>
        <v/>
      </c>
    </row>
    <row r="4711" spans="1:6" x14ac:dyDescent="0.3">
      <c r="A4711" s="15" t="str">
        <f t="shared" si="149"/>
        <v>.</v>
      </c>
      <c r="E4711" s="13" t="str">
        <f>IFERROR(IF(AND(B4711&lt;&gt;"",C4711&lt;&gt;""),SUMIFS(Movimentos!$F$4:$F$9996,Movimentos!$D$4:$D$9996,B4711,Movimentos!$C$4:$C$9996,"Entrada")-SUMIFS(Movimentos!$F$4:$F$9996,Movimentos!$D$4:$D$9996,B4711,Movimentos!$C$4:$C$9996,"Saída"),""),"")</f>
        <v/>
      </c>
      <c r="F4711" s="10" t="str">
        <f t="shared" si="150"/>
        <v/>
      </c>
    </row>
    <row r="4712" spans="1:6" x14ac:dyDescent="0.3">
      <c r="A4712" s="15" t="str">
        <f t="shared" si="149"/>
        <v>.</v>
      </c>
      <c r="E4712" s="13" t="str">
        <f>IFERROR(IF(AND(B4712&lt;&gt;"",C4712&lt;&gt;""),SUMIFS(Movimentos!$F$4:$F$9996,Movimentos!$D$4:$D$9996,B4712,Movimentos!$C$4:$C$9996,"Entrada")-SUMIFS(Movimentos!$F$4:$F$9996,Movimentos!$D$4:$D$9996,B4712,Movimentos!$C$4:$C$9996,"Saída"),""),"")</f>
        <v/>
      </c>
      <c r="F4712" s="10" t="str">
        <f t="shared" si="150"/>
        <v/>
      </c>
    </row>
    <row r="4713" spans="1:6" x14ac:dyDescent="0.3">
      <c r="A4713" s="15" t="str">
        <f t="shared" si="149"/>
        <v>.</v>
      </c>
      <c r="E4713" s="13" t="str">
        <f>IFERROR(IF(AND(B4713&lt;&gt;"",C4713&lt;&gt;""),SUMIFS(Movimentos!$F$4:$F$9996,Movimentos!$D$4:$D$9996,B4713,Movimentos!$C$4:$C$9996,"Entrada")-SUMIFS(Movimentos!$F$4:$F$9996,Movimentos!$D$4:$D$9996,B4713,Movimentos!$C$4:$C$9996,"Saída"),""),"")</f>
        <v/>
      </c>
      <c r="F4713" s="10" t="str">
        <f t="shared" si="150"/>
        <v/>
      </c>
    </row>
    <row r="4714" spans="1:6" x14ac:dyDescent="0.3">
      <c r="A4714" s="15" t="str">
        <f t="shared" si="149"/>
        <v>.</v>
      </c>
      <c r="E4714" s="13" t="str">
        <f>IFERROR(IF(AND(B4714&lt;&gt;"",C4714&lt;&gt;""),SUMIFS(Movimentos!$F$4:$F$9996,Movimentos!$D$4:$D$9996,B4714,Movimentos!$C$4:$C$9996,"Entrada")-SUMIFS(Movimentos!$F$4:$F$9996,Movimentos!$D$4:$D$9996,B4714,Movimentos!$C$4:$C$9996,"Saída"),""),"")</f>
        <v/>
      </c>
      <c r="F4714" s="10" t="str">
        <f t="shared" si="150"/>
        <v/>
      </c>
    </row>
    <row r="4715" spans="1:6" x14ac:dyDescent="0.3">
      <c r="A4715" s="15" t="str">
        <f t="shared" si="149"/>
        <v>.</v>
      </c>
      <c r="E4715" s="13" t="str">
        <f>IFERROR(IF(AND(B4715&lt;&gt;"",C4715&lt;&gt;""),SUMIFS(Movimentos!$F$4:$F$9996,Movimentos!$D$4:$D$9996,B4715,Movimentos!$C$4:$C$9996,"Entrada")-SUMIFS(Movimentos!$F$4:$F$9996,Movimentos!$D$4:$D$9996,B4715,Movimentos!$C$4:$C$9996,"Saída"),""),"")</f>
        <v/>
      </c>
      <c r="F4715" s="10" t="str">
        <f t="shared" si="150"/>
        <v/>
      </c>
    </row>
    <row r="4716" spans="1:6" x14ac:dyDescent="0.3">
      <c r="A4716" s="15" t="str">
        <f t="shared" si="149"/>
        <v>.</v>
      </c>
      <c r="E4716" s="13" t="str">
        <f>IFERROR(IF(AND(B4716&lt;&gt;"",C4716&lt;&gt;""),SUMIFS(Movimentos!$F$4:$F$9996,Movimentos!$D$4:$D$9996,B4716,Movimentos!$C$4:$C$9996,"Entrada")-SUMIFS(Movimentos!$F$4:$F$9996,Movimentos!$D$4:$D$9996,B4716,Movimentos!$C$4:$C$9996,"Saída"),""),"")</f>
        <v/>
      </c>
      <c r="F4716" s="10" t="str">
        <f t="shared" si="150"/>
        <v/>
      </c>
    </row>
    <row r="4717" spans="1:6" x14ac:dyDescent="0.3">
      <c r="A4717" s="15" t="str">
        <f t="shared" si="149"/>
        <v>.</v>
      </c>
      <c r="E4717" s="13" t="str">
        <f>IFERROR(IF(AND(B4717&lt;&gt;"",C4717&lt;&gt;""),SUMIFS(Movimentos!$F$4:$F$9996,Movimentos!$D$4:$D$9996,B4717,Movimentos!$C$4:$C$9996,"Entrada")-SUMIFS(Movimentos!$F$4:$F$9996,Movimentos!$D$4:$D$9996,B4717,Movimentos!$C$4:$C$9996,"Saída"),""),"")</f>
        <v/>
      </c>
      <c r="F4717" s="10" t="str">
        <f t="shared" si="150"/>
        <v/>
      </c>
    </row>
    <row r="4718" spans="1:6" x14ac:dyDescent="0.3">
      <c r="A4718" s="15" t="str">
        <f t="shared" si="149"/>
        <v>.</v>
      </c>
      <c r="E4718" s="13" t="str">
        <f>IFERROR(IF(AND(B4718&lt;&gt;"",C4718&lt;&gt;""),SUMIFS(Movimentos!$F$4:$F$9996,Movimentos!$D$4:$D$9996,B4718,Movimentos!$C$4:$C$9996,"Entrada")-SUMIFS(Movimentos!$F$4:$F$9996,Movimentos!$D$4:$D$9996,B4718,Movimentos!$C$4:$C$9996,"Saída"),""),"")</f>
        <v/>
      </c>
      <c r="F4718" s="10" t="str">
        <f t="shared" si="150"/>
        <v/>
      </c>
    </row>
    <row r="4719" spans="1:6" x14ac:dyDescent="0.3">
      <c r="A4719" s="15" t="str">
        <f t="shared" si="149"/>
        <v>.</v>
      </c>
      <c r="E4719" s="13" t="str">
        <f>IFERROR(IF(AND(B4719&lt;&gt;"",C4719&lt;&gt;""),SUMIFS(Movimentos!$F$4:$F$9996,Movimentos!$D$4:$D$9996,B4719,Movimentos!$C$4:$C$9996,"Entrada")-SUMIFS(Movimentos!$F$4:$F$9996,Movimentos!$D$4:$D$9996,B4719,Movimentos!$C$4:$C$9996,"Saída"),""),"")</f>
        <v/>
      </c>
      <c r="F4719" s="10" t="str">
        <f t="shared" si="150"/>
        <v/>
      </c>
    </row>
    <row r="4720" spans="1:6" x14ac:dyDescent="0.3">
      <c r="A4720" s="15" t="str">
        <f t="shared" si="149"/>
        <v>.</v>
      </c>
      <c r="E4720" s="13" t="str">
        <f>IFERROR(IF(AND(B4720&lt;&gt;"",C4720&lt;&gt;""),SUMIFS(Movimentos!$F$4:$F$9996,Movimentos!$D$4:$D$9996,B4720,Movimentos!$C$4:$C$9996,"Entrada")-SUMIFS(Movimentos!$F$4:$F$9996,Movimentos!$D$4:$D$9996,B4720,Movimentos!$C$4:$C$9996,"Saída"),""),"")</f>
        <v/>
      </c>
      <c r="F4720" s="10" t="str">
        <f t="shared" si="150"/>
        <v/>
      </c>
    </row>
    <row r="4721" spans="1:6" x14ac:dyDescent="0.3">
      <c r="A4721" s="15" t="str">
        <f t="shared" si="149"/>
        <v>.</v>
      </c>
      <c r="E4721" s="13" t="str">
        <f>IFERROR(IF(AND(B4721&lt;&gt;"",C4721&lt;&gt;""),SUMIFS(Movimentos!$F$4:$F$9996,Movimentos!$D$4:$D$9996,B4721,Movimentos!$C$4:$C$9996,"Entrada")-SUMIFS(Movimentos!$F$4:$F$9996,Movimentos!$D$4:$D$9996,B4721,Movimentos!$C$4:$C$9996,"Saída"),""),"")</f>
        <v/>
      </c>
      <c r="F4721" s="10" t="str">
        <f t="shared" si="150"/>
        <v/>
      </c>
    </row>
    <row r="4722" spans="1:6" x14ac:dyDescent="0.3">
      <c r="A4722" s="15" t="str">
        <f t="shared" si="149"/>
        <v>.</v>
      </c>
      <c r="E4722" s="13" t="str">
        <f>IFERROR(IF(AND(B4722&lt;&gt;"",C4722&lt;&gt;""),SUMIFS(Movimentos!$F$4:$F$9996,Movimentos!$D$4:$D$9996,B4722,Movimentos!$C$4:$C$9996,"Entrada")-SUMIFS(Movimentos!$F$4:$F$9996,Movimentos!$D$4:$D$9996,B4722,Movimentos!$C$4:$C$9996,"Saída"),""),"")</f>
        <v/>
      </c>
      <c r="F4722" s="10" t="str">
        <f t="shared" si="150"/>
        <v/>
      </c>
    </row>
    <row r="4723" spans="1:6" x14ac:dyDescent="0.3">
      <c r="A4723" s="15" t="str">
        <f t="shared" si="149"/>
        <v>.</v>
      </c>
      <c r="E4723" s="13" t="str">
        <f>IFERROR(IF(AND(B4723&lt;&gt;"",C4723&lt;&gt;""),SUMIFS(Movimentos!$F$4:$F$9996,Movimentos!$D$4:$D$9996,B4723,Movimentos!$C$4:$C$9996,"Entrada")-SUMIFS(Movimentos!$F$4:$F$9996,Movimentos!$D$4:$D$9996,B4723,Movimentos!$C$4:$C$9996,"Saída"),""),"")</f>
        <v/>
      </c>
      <c r="F4723" s="10" t="str">
        <f t="shared" si="150"/>
        <v/>
      </c>
    </row>
    <row r="4724" spans="1:6" x14ac:dyDescent="0.3">
      <c r="A4724" s="15" t="str">
        <f t="shared" si="149"/>
        <v>.</v>
      </c>
      <c r="E4724" s="13" t="str">
        <f>IFERROR(IF(AND(B4724&lt;&gt;"",C4724&lt;&gt;""),SUMIFS(Movimentos!$F$4:$F$9996,Movimentos!$D$4:$D$9996,B4724,Movimentos!$C$4:$C$9996,"Entrada")-SUMIFS(Movimentos!$F$4:$F$9996,Movimentos!$D$4:$D$9996,B4724,Movimentos!$C$4:$C$9996,"Saída"),""),"")</f>
        <v/>
      </c>
      <c r="F4724" s="10" t="str">
        <f t="shared" si="150"/>
        <v/>
      </c>
    </row>
    <row r="4725" spans="1:6" x14ac:dyDescent="0.3">
      <c r="A4725" s="15" t="str">
        <f t="shared" si="149"/>
        <v>.</v>
      </c>
      <c r="E4725" s="13" t="str">
        <f>IFERROR(IF(AND(B4725&lt;&gt;"",C4725&lt;&gt;""),SUMIFS(Movimentos!$F$4:$F$9996,Movimentos!$D$4:$D$9996,B4725,Movimentos!$C$4:$C$9996,"Entrada")-SUMIFS(Movimentos!$F$4:$F$9996,Movimentos!$D$4:$D$9996,B4725,Movimentos!$C$4:$C$9996,"Saída"),""),"")</f>
        <v/>
      </c>
      <c r="F4725" s="10" t="str">
        <f t="shared" si="150"/>
        <v/>
      </c>
    </row>
    <row r="4726" spans="1:6" x14ac:dyDescent="0.3">
      <c r="A4726" s="15" t="str">
        <f t="shared" si="149"/>
        <v>.</v>
      </c>
      <c r="E4726" s="13" t="str">
        <f>IFERROR(IF(AND(B4726&lt;&gt;"",C4726&lt;&gt;""),SUMIFS(Movimentos!$F$4:$F$9996,Movimentos!$D$4:$D$9996,B4726,Movimentos!$C$4:$C$9996,"Entrada")-SUMIFS(Movimentos!$F$4:$F$9996,Movimentos!$D$4:$D$9996,B4726,Movimentos!$C$4:$C$9996,"Saída"),""),"")</f>
        <v/>
      </c>
      <c r="F4726" s="10" t="str">
        <f t="shared" si="150"/>
        <v/>
      </c>
    </row>
    <row r="4727" spans="1:6" x14ac:dyDescent="0.3">
      <c r="A4727" s="15" t="str">
        <f t="shared" si="149"/>
        <v>.</v>
      </c>
      <c r="E4727" s="13" t="str">
        <f>IFERROR(IF(AND(B4727&lt;&gt;"",C4727&lt;&gt;""),SUMIFS(Movimentos!$F$4:$F$9996,Movimentos!$D$4:$D$9996,B4727,Movimentos!$C$4:$C$9996,"Entrada")-SUMIFS(Movimentos!$F$4:$F$9996,Movimentos!$D$4:$D$9996,B4727,Movimentos!$C$4:$C$9996,"Saída"),""),"")</f>
        <v/>
      </c>
      <c r="F4727" s="10" t="str">
        <f t="shared" si="150"/>
        <v/>
      </c>
    </row>
    <row r="4728" spans="1:6" x14ac:dyDescent="0.3">
      <c r="A4728" s="15" t="str">
        <f t="shared" si="149"/>
        <v>.</v>
      </c>
      <c r="E4728" s="13" t="str">
        <f>IFERROR(IF(AND(B4728&lt;&gt;"",C4728&lt;&gt;""),SUMIFS(Movimentos!$F$4:$F$9996,Movimentos!$D$4:$D$9996,B4728,Movimentos!$C$4:$C$9996,"Entrada")-SUMIFS(Movimentos!$F$4:$F$9996,Movimentos!$D$4:$D$9996,B4728,Movimentos!$C$4:$C$9996,"Saída"),""),"")</f>
        <v/>
      </c>
      <c r="F4728" s="10" t="str">
        <f t="shared" si="150"/>
        <v/>
      </c>
    </row>
    <row r="4729" spans="1:6" x14ac:dyDescent="0.3">
      <c r="A4729" s="15" t="str">
        <f t="shared" si="149"/>
        <v>.</v>
      </c>
      <c r="E4729" s="13" t="str">
        <f>IFERROR(IF(AND(B4729&lt;&gt;"",C4729&lt;&gt;""),SUMIFS(Movimentos!$F$4:$F$9996,Movimentos!$D$4:$D$9996,B4729,Movimentos!$C$4:$C$9996,"Entrada")-SUMIFS(Movimentos!$F$4:$F$9996,Movimentos!$D$4:$D$9996,B4729,Movimentos!$C$4:$C$9996,"Saída"),""),"")</f>
        <v/>
      </c>
      <c r="F4729" s="10" t="str">
        <f t="shared" si="150"/>
        <v/>
      </c>
    </row>
    <row r="4730" spans="1:6" x14ac:dyDescent="0.3">
      <c r="A4730" s="15" t="str">
        <f t="shared" si="149"/>
        <v>.</v>
      </c>
      <c r="E4730" s="13" t="str">
        <f>IFERROR(IF(AND(B4730&lt;&gt;"",C4730&lt;&gt;""),SUMIFS(Movimentos!$F$4:$F$9996,Movimentos!$D$4:$D$9996,B4730,Movimentos!$C$4:$C$9996,"Entrada")-SUMIFS(Movimentos!$F$4:$F$9996,Movimentos!$D$4:$D$9996,B4730,Movimentos!$C$4:$C$9996,"Saída"),""),"")</f>
        <v/>
      </c>
      <c r="F4730" s="10" t="str">
        <f t="shared" si="150"/>
        <v/>
      </c>
    </row>
    <row r="4731" spans="1:6" x14ac:dyDescent="0.3">
      <c r="A4731" s="15" t="str">
        <f t="shared" si="149"/>
        <v>.</v>
      </c>
      <c r="E4731" s="13" t="str">
        <f>IFERROR(IF(AND(B4731&lt;&gt;"",C4731&lt;&gt;""),SUMIFS(Movimentos!$F$4:$F$9996,Movimentos!$D$4:$D$9996,B4731,Movimentos!$C$4:$C$9996,"Entrada")-SUMIFS(Movimentos!$F$4:$F$9996,Movimentos!$D$4:$D$9996,B4731,Movimentos!$C$4:$C$9996,"Saída"),""),"")</f>
        <v/>
      </c>
      <c r="F4731" s="10" t="str">
        <f t="shared" si="150"/>
        <v/>
      </c>
    </row>
    <row r="4732" spans="1:6" x14ac:dyDescent="0.3">
      <c r="A4732" s="15" t="str">
        <f t="shared" si="149"/>
        <v>.</v>
      </c>
      <c r="E4732" s="13" t="str">
        <f>IFERROR(IF(AND(B4732&lt;&gt;"",C4732&lt;&gt;""),SUMIFS(Movimentos!$F$4:$F$9996,Movimentos!$D$4:$D$9996,B4732,Movimentos!$C$4:$C$9996,"Entrada")-SUMIFS(Movimentos!$F$4:$F$9996,Movimentos!$D$4:$D$9996,B4732,Movimentos!$C$4:$C$9996,"Saída"),""),"")</f>
        <v/>
      </c>
      <c r="F4732" s="10" t="str">
        <f t="shared" si="150"/>
        <v/>
      </c>
    </row>
    <row r="4733" spans="1:6" x14ac:dyDescent="0.3">
      <c r="A4733" s="15" t="str">
        <f t="shared" si="149"/>
        <v>.</v>
      </c>
      <c r="E4733" s="13" t="str">
        <f>IFERROR(IF(AND(B4733&lt;&gt;"",C4733&lt;&gt;""),SUMIFS(Movimentos!$F$4:$F$9996,Movimentos!$D$4:$D$9996,B4733,Movimentos!$C$4:$C$9996,"Entrada")-SUMIFS(Movimentos!$F$4:$F$9996,Movimentos!$D$4:$D$9996,B4733,Movimentos!$C$4:$C$9996,"Saída"),""),"")</f>
        <v/>
      </c>
      <c r="F4733" s="10" t="str">
        <f t="shared" si="150"/>
        <v/>
      </c>
    </row>
    <row r="4734" spans="1:6" x14ac:dyDescent="0.3">
      <c r="A4734" s="15" t="str">
        <f t="shared" si="149"/>
        <v>.</v>
      </c>
      <c r="E4734" s="13" t="str">
        <f>IFERROR(IF(AND(B4734&lt;&gt;"",C4734&lt;&gt;""),SUMIFS(Movimentos!$F$4:$F$9996,Movimentos!$D$4:$D$9996,B4734,Movimentos!$C$4:$C$9996,"Entrada")-SUMIFS(Movimentos!$F$4:$F$9996,Movimentos!$D$4:$D$9996,B4734,Movimentos!$C$4:$C$9996,"Saída"),""),"")</f>
        <v/>
      </c>
      <c r="F4734" s="10" t="str">
        <f t="shared" si="150"/>
        <v/>
      </c>
    </row>
    <row r="4735" spans="1:6" x14ac:dyDescent="0.3">
      <c r="A4735" s="15" t="str">
        <f t="shared" si="149"/>
        <v>.</v>
      </c>
      <c r="E4735" s="13" t="str">
        <f>IFERROR(IF(AND(B4735&lt;&gt;"",C4735&lt;&gt;""),SUMIFS(Movimentos!$F$4:$F$9996,Movimentos!$D$4:$D$9996,B4735,Movimentos!$C$4:$C$9996,"Entrada")-SUMIFS(Movimentos!$F$4:$F$9996,Movimentos!$D$4:$D$9996,B4735,Movimentos!$C$4:$C$9996,"Saída"),""),"")</f>
        <v/>
      </c>
      <c r="F4735" s="10" t="str">
        <f t="shared" si="150"/>
        <v/>
      </c>
    </row>
    <row r="4736" spans="1:6" x14ac:dyDescent="0.3">
      <c r="A4736" s="15" t="str">
        <f t="shared" ref="A4736:A4799" si="151">IF(F4736="Saldo zerado",0,IF(F4736="Saldo abaixo do mínimo",1,IF(F4736="Saldo disponível",2,".")))</f>
        <v>.</v>
      </c>
      <c r="E4736" s="13" t="str">
        <f>IFERROR(IF(AND(B4736&lt;&gt;"",C4736&lt;&gt;""),SUMIFS(Movimentos!$F$4:$F$9996,Movimentos!$D$4:$D$9996,B4736,Movimentos!$C$4:$C$9996,"Entrada")-SUMIFS(Movimentos!$F$4:$F$9996,Movimentos!$D$4:$D$9996,B4736,Movimentos!$C$4:$C$9996,"Saída"),""),"")</f>
        <v/>
      </c>
      <c r="F4736" s="10" t="str">
        <f t="shared" si="150"/>
        <v/>
      </c>
    </row>
    <row r="4737" spans="1:6" x14ac:dyDescent="0.3">
      <c r="A4737" s="15" t="str">
        <f t="shared" si="151"/>
        <v>.</v>
      </c>
      <c r="E4737" s="13" t="str">
        <f>IFERROR(IF(AND(B4737&lt;&gt;"",C4737&lt;&gt;""),SUMIFS(Movimentos!$F$4:$F$9996,Movimentos!$D$4:$D$9996,B4737,Movimentos!$C$4:$C$9996,"Entrada")-SUMIFS(Movimentos!$F$4:$F$9996,Movimentos!$D$4:$D$9996,B4737,Movimentos!$C$4:$C$9996,"Saída"),""),"")</f>
        <v/>
      </c>
      <c r="F4737" s="10" t="str">
        <f t="shared" si="150"/>
        <v/>
      </c>
    </row>
    <row r="4738" spans="1:6" x14ac:dyDescent="0.3">
      <c r="A4738" s="15" t="str">
        <f t="shared" si="151"/>
        <v>.</v>
      </c>
      <c r="E4738" s="13" t="str">
        <f>IFERROR(IF(AND(B4738&lt;&gt;"",C4738&lt;&gt;""),SUMIFS(Movimentos!$F$4:$F$9996,Movimentos!$D$4:$D$9996,B4738,Movimentos!$C$4:$C$9996,"Entrada")-SUMIFS(Movimentos!$F$4:$F$9996,Movimentos!$D$4:$D$9996,B4738,Movimentos!$C$4:$C$9996,"Saída"),""),"")</f>
        <v/>
      </c>
      <c r="F4738" s="10" t="str">
        <f t="shared" si="150"/>
        <v/>
      </c>
    </row>
    <row r="4739" spans="1:6" x14ac:dyDescent="0.3">
      <c r="A4739" s="15" t="str">
        <f t="shared" si="151"/>
        <v>.</v>
      </c>
      <c r="E4739" s="13" t="str">
        <f>IFERROR(IF(AND(B4739&lt;&gt;"",C4739&lt;&gt;""),SUMIFS(Movimentos!$F$4:$F$9996,Movimentos!$D$4:$D$9996,B4739,Movimentos!$C$4:$C$9996,"Entrada")-SUMIFS(Movimentos!$F$4:$F$9996,Movimentos!$D$4:$D$9996,B4739,Movimentos!$C$4:$C$9996,"Saída"),""),"")</f>
        <v/>
      </c>
      <c r="F4739" s="10" t="str">
        <f t="shared" si="150"/>
        <v/>
      </c>
    </row>
    <row r="4740" spans="1:6" x14ac:dyDescent="0.3">
      <c r="A4740" s="15" t="str">
        <f t="shared" si="151"/>
        <v>.</v>
      </c>
      <c r="E4740" s="13" t="str">
        <f>IFERROR(IF(AND(B4740&lt;&gt;"",C4740&lt;&gt;""),SUMIFS(Movimentos!$F$4:$F$9996,Movimentos!$D$4:$D$9996,B4740,Movimentos!$C$4:$C$9996,"Entrada")-SUMIFS(Movimentos!$F$4:$F$9996,Movimentos!$D$4:$D$9996,B4740,Movimentos!$C$4:$C$9996,"Saída"),""),"")</f>
        <v/>
      </c>
      <c r="F4740" s="10" t="str">
        <f t="shared" si="150"/>
        <v/>
      </c>
    </row>
    <row r="4741" spans="1:6" x14ac:dyDescent="0.3">
      <c r="A4741" s="15" t="str">
        <f t="shared" si="151"/>
        <v>.</v>
      </c>
      <c r="E4741" s="13" t="str">
        <f>IFERROR(IF(AND(B4741&lt;&gt;"",C4741&lt;&gt;""),SUMIFS(Movimentos!$F$4:$F$9996,Movimentos!$D$4:$D$9996,B4741,Movimentos!$C$4:$C$9996,"Entrada")-SUMIFS(Movimentos!$F$4:$F$9996,Movimentos!$D$4:$D$9996,B4741,Movimentos!$C$4:$C$9996,"Saída"),""),"")</f>
        <v/>
      </c>
      <c r="F4741" s="10" t="str">
        <f t="shared" si="150"/>
        <v/>
      </c>
    </row>
    <row r="4742" spans="1:6" x14ac:dyDescent="0.3">
      <c r="A4742" s="15" t="str">
        <f t="shared" si="151"/>
        <v>.</v>
      </c>
      <c r="E4742" s="13" t="str">
        <f>IFERROR(IF(AND(B4742&lt;&gt;"",C4742&lt;&gt;""),SUMIFS(Movimentos!$F$4:$F$9996,Movimentos!$D$4:$D$9996,B4742,Movimentos!$C$4:$C$9996,"Entrada")-SUMIFS(Movimentos!$F$4:$F$9996,Movimentos!$D$4:$D$9996,B4742,Movimentos!$C$4:$C$9996,"Saída"),""),"")</f>
        <v/>
      </c>
      <c r="F4742" s="10" t="str">
        <f t="shared" si="150"/>
        <v/>
      </c>
    </row>
    <row r="4743" spans="1:6" x14ac:dyDescent="0.3">
      <c r="A4743" s="15" t="str">
        <f t="shared" si="151"/>
        <v>.</v>
      </c>
      <c r="E4743" s="13" t="str">
        <f>IFERROR(IF(AND(B4743&lt;&gt;"",C4743&lt;&gt;""),SUMIFS(Movimentos!$F$4:$F$9996,Movimentos!$D$4:$D$9996,B4743,Movimentos!$C$4:$C$9996,"Entrada")-SUMIFS(Movimentos!$F$4:$F$9996,Movimentos!$D$4:$D$9996,B4743,Movimentos!$C$4:$C$9996,"Saída"),""),"")</f>
        <v/>
      </c>
      <c r="F4743" s="10" t="str">
        <f t="shared" si="150"/>
        <v/>
      </c>
    </row>
    <row r="4744" spans="1:6" x14ac:dyDescent="0.3">
      <c r="A4744" s="15" t="str">
        <f t="shared" si="151"/>
        <v>.</v>
      </c>
      <c r="E4744" s="13" t="str">
        <f>IFERROR(IF(AND(B4744&lt;&gt;"",C4744&lt;&gt;""),SUMIFS(Movimentos!$F$4:$F$9996,Movimentos!$D$4:$D$9996,B4744,Movimentos!$C$4:$C$9996,"Entrada")-SUMIFS(Movimentos!$F$4:$F$9996,Movimentos!$D$4:$D$9996,B4744,Movimentos!$C$4:$C$9996,"Saída"),""),"")</f>
        <v/>
      </c>
      <c r="F4744" s="10" t="str">
        <f t="shared" si="150"/>
        <v/>
      </c>
    </row>
    <row r="4745" spans="1:6" x14ac:dyDescent="0.3">
      <c r="A4745" s="15" t="str">
        <f t="shared" si="151"/>
        <v>.</v>
      </c>
      <c r="E4745" s="13" t="str">
        <f>IFERROR(IF(AND(B4745&lt;&gt;"",C4745&lt;&gt;""),SUMIFS(Movimentos!$F$4:$F$9996,Movimentos!$D$4:$D$9996,B4745,Movimentos!$C$4:$C$9996,"Entrada")-SUMIFS(Movimentos!$F$4:$F$9996,Movimentos!$D$4:$D$9996,B4745,Movimentos!$C$4:$C$9996,"Saída"),""),"")</f>
        <v/>
      </c>
      <c r="F4745" s="10" t="str">
        <f t="shared" si="150"/>
        <v/>
      </c>
    </row>
    <row r="4746" spans="1:6" x14ac:dyDescent="0.3">
      <c r="A4746" s="15" t="str">
        <f t="shared" si="151"/>
        <v>.</v>
      </c>
      <c r="E4746" s="13" t="str">
        <f>IFERROR(IF(AND(B4746&lt;&gt;"",C4746&lt;&gt;""),SUMIFS(Movimentos!$F$4:$F$9996,Movimentos!$D$4:$D$9996,B4746,Movimentos!$C$4:$C$9996,"Entrada")-SUMIFS(Movimentos!$F$4:$F$9996,Movimentos!$D$4:$D$9996,B4746,Movimentos!$C$4:$C$9996,"Saída"),""),"")</f>
        <v/>
      </c>
      <c r="F4746" s="10" t="str">
        <f t="shared" si="150"/>
        <v/>
      </c>
    </row>
    <row r="4747" spans="1:6" x14ac:dyDescent="0.3">
      <c r="A4747" s="15" t="str">
        <f t="shared" si="151"/>
        <v>.</v>
      </c>
      <c r="E4747" s="13" t="str">
        <f>IFERROR(IF(AND(B4747&lt;&gt;"",C4747&lt;&gt;""),SUMIFS(Movimentos!$F$4:$F$9996,Movimentos!$D$4:$D$9996,B4747,Movimentos!$C$4:$C$9996,"Entrada")-SUMIFS(Movimentos!$F$4:$F$9996,Movimentos!$D$4:$D$9996,B4747,Movimentos!$C$4:$C$9996,"Saída"),""),"")</f>
        <v/>
      </c>
      <c r="F4747" s="10" t="str">
        <f t="shared" si="150"/>
        <v/>
      </c>
    </row>
    <row r="4748" spans="1:6" x14ac:dyDescent="0.3">
      <c r="A4748" s="15" t="str">
        <f t="shared" si="151"/>
        <v>.</v>
      </c>
      <c r="E4748" s="13" t="str">
        <f>IFERROR(IF(AND(B4748&lt;&gt;"",C4748&lt;&gt;""),SUMIFS(Movimentos!$F$4:$F$9996,Movimentos!$D$4:$D$9996,B4748,Movimentos!$C$4:$C$9996,"Entrada")-SUMIFS(Movimentos!$F$4:$F$9996,Movimentos!$D$4:$D$9996,B4748,Movimentos!$C$4:$C$9996,"Saída"),""),"")</f>
        <v/>
      </c>
      <c r="F4748" s="10" t="str">
        <f t="shared" si="150"/>
        <v/>
      </c>
    </row>
    <row r="4749" spans="1:6" x14ac:dyDescent="0.3">
      <c r="A4749" s="15" t="str">
        <f t="shared" si="151"/>
        <v>.</v>
      </c>
      <c r="E4749" s="13" t="str">
        <f>IFERROR(IF(AND(B4749&lt;&gt;"",C4749&lt;&gt;""),SUMIFS(Movimentos!$F$4:$F$9996,Movimentos!$D$4:$D$9996,B4749,Movimentos!$C$4:$C$9996,"Entrada")-SUMIFS(Movimentos!$F$4:$F$9996,Movimentos!$D$4:$D$9996,B4749,Movimentos!$C$4:$C$9996,"Saída"),""),"")</f>
        <v/>
      </c>
      <c r="F4749" s="10" t="str">
        <f t="shared" si="150"/>
        <v/>
      </c>
    </row>
    <row r="4750" spans="1:6" x14ac:dyDescent="0.3">
      <c r="A4750" s="15" t="str">
        <f t="shared" si="151"/>
        <v>.</v>
      </c>
      <c r="E4750" s="13" t="str">
        <f>IFERROR(IF(AND(B4750&lt;&gt;"",C4750&lt;&gt;""),SUMIFS(Movimentos!$F$4:$F$9996,Movimentos!$D$4:$D$9996,B4750,Movimentos!$C$4:$C$9996,"Entrada")-SUMIFS(Movimentos!$F$4:$F$9996,Movimentos!$D$4:$D$9996,B4750,Movimentos!$C$4:$C$9996,"Saída"),""),"")</f>
        <v/>
      </c>
      <c r="F4750" s="10" t="str">
        <f t="shared" si="150"/>
        <v/>
      </c>
    </row>
    <row r="4751" spans="1:6" x14ac:dyDescent="0.3">
      <c r="A4751" s="15" t="str">
        <f t="shared" si="151"/>
        <v>.</v>
      </c>
      <c r="E4751" s="13" t="str">
        <f>IFERROR(IF(AND(B4751&lt;&gt;"",C4751&lt;&gt;""),SUMIFS(Movimentos!$F$4:$F$9996,Movimentos!$D$4:$D$9996,B4751,Movimentos!$C$4:$C$9996,"Entrada")-SUMIFS(Movimentos!$F$4:$F$9996,Movimentos!$D$4:$D$9996,B4751,Movimentos!$C$4:$C$9996,"Saída"),""),"")</f>
        <v/>
      </c>
      <c r="F4751" s="10" t="str">
        <f t="shared" si="150"/>
        <v/>
      </c>
    </row>
    <row r="4752" spans="1:6" x14ac:dyDescent="0.3">
      <c r="A4752" s="15" t="str">
        <f t="shared" si="151"/>
        <v>.</v>
      </c>
      <c r="E4752" s="13" t="str">
        <f>IFERROR(IF(AND(B4752&lt;&gt;"",C4752&lt;&gt;""),SUMIFS(Movimentos!$F$4:$F$9996,Movimentos!$D$4:$D$9996,B4752,Movimentos!$C$4:$C$9996,"Entrada")-SUMIFS(Movimentos!$F$4:$F$9996,Movimentos!$D$4:$D$9996,B4752,Movimentos!$C$4:$C$9996,"Saída"),""),"")</f>
        <v/>
      </c>
      <c r="F4752" s="10" t="str">
        <f t="shared" si="150"/>
        <v/>
      </c>
    </row>
    <row r="4753" spans="1:6" x14ac:dyDescent="0.3">
      <c r="A4753" s="15" t="str">
        <f t="shared" si="151"/>
        <v>.</v>
      </c>
      <c r="E4753" s="13" t="str">
        <f>IFERROR(IF(AND(B4753&lt;&gt;"",C4753&lt;&gt;""),SUMIFS(Movimentos!$F$4:$F$9996,Movimentos!$D$4:$D$9996,B4753,Movimentos!$C$4:$C$9996,"Entrada")-SUMIFS(Movimentos!$F$4:$F$9996,Movimentos!$D$4:$D$9996,B4753,Movimentos!$C$4:$C$9996,"Saída"),""),"")</f>
        <v/>
      </c>
      <c r="F4753" s="10" t="str">
        <f t="shared" si="150"/>
        <v/>
      </c>
    </row>
    <row r="4754" spans="1:6" x14ac:dyDescent="0.3">
      <c r="A4754" s="15" t="str">
        <f t="shared" si="151"/>
        <v>.</v>
      </c>
      <c r="E4754" s="13" t="str">
        <f>IFERROR(IF(AND(B4754&lt;&gt;"",C4754&lt;&gt;""),SUMIFS(Movimentos!$F$4:$F$9996,Movimentos!$D$4:$D$9996,B4754,Movimentos!$C$4:$C$9996,"Entrada")-SUMIFS(Movimentos!$F$4:$F$9996,Movimentos!$D$4:$D$9996,B4754,Movimentos!$C$4:$C$9996,"Saída"),""),"")</f>
        <v/>
      </c>
      <c r="F4754" s="10" t="str">
        <f t="shared" si="150"/>
        <v/>
      </c>
    </row>
    <row r="4755" spans="1:6" x14ac:dyDescent="0.3">
      <c r="A4755" s="15" t="str">
        <f t="shared" si="151"/>
        <v>.</v>
      </c>
      <c r="E4755" s="13" t="str">
        <f>IFERROR(IF(AND(B4755&lt;&gt;"",C4755&lt;&gt;""),SUMIFS(Movimentos!$F$4:$F$9996,Movimentos!$D$4:$D$9996,B4755,Movimentos!$C$4:$C$9996,"Entrada")-SUMIFS(Movimentos!$F$4:$F$9996,Movimentos!$D$4:$D$9996,B4755,Movimentos!$C$4:$C$9996,"Saída"),""),"")</f>
        <v/>
      </c>
      <c r="F4755" s="10" t="str">
        <f t="shared" si="150"/>
        <v/>
      </c>
    </row>
    <row r="4756" spans="1:6" x14ac:dyDescent="0.3">
      <c r="A4756" s="15" t="str">
        <f t="shared" si="151"/>
        <v>.</v>
      </c>
      <c r="E4756" s="13" t="str">
        <f>IFERROR(IF(AND(B4756&lt;&gt;"",C4756&lt;&gt;""),SUMIFS(Movimentos!$F$4:$F$9996,Movimentos!$D$4:$D$9996,B4756,Movimentos!$C$4:$C$9996,"Entrada")-SUMIFS(Movimentos!$F$4:$F$9996,Movimentos!$D$4:$D$9996,B4756,Movimentos!$C$4:$C$9996,"Saída"),""),"")</f>
        <v/>
      </c>
      <c r="F4756" s="10" t="str">
        <f t="shared" si="150"/>
        <v/>
      </c>
    </row>
    <row r="4757" spans="1:6" x14ac:dyDescent="0.3">
      <c r="A4757" s="15" t="str">
        <f t="shared" si="151"/>
        <v>.</v>
      </c>
      <c r="E4757" s="13" t="str">
        <f>IFERROR(IF(AND(B4757&lt;&gt;"",C4757&lt;&gt;""),SUMIFS(Movimentos!$F$4:$F$9996,Movimentos!$D$4:$D$9996,B4757,Movimentos!$C$4:$C$9996,"Entrada")-SUMIFS(Movimentos!$F$4:$F$9996,Movimentos!$D$4:$D$9996,B4757,Movimentos!$C$4:$C$9996,"Saída"),""),"")</f>
        <v/>
      </c>
      <c r="F4757" s="10" t="str">
        <f t="shared" si="150"/>
        <v/>
      </c>
    </row>
    <row r="4758" spans="1:6" x14ac:dyDescent="0.3">
      <c r="A4758" s="15" t="str">
        <f t="shared" si="151"/>
        <v>.</v>
      </c>
      <c r="E4758" s="13" t="str">
        <f>IFERROR(IF(AND(B4758&lt;&gt;"",C4758&lt;&gt;""),SUMIFS(Movimentos!$F$4:$F$9996,Movimentos!$D$4:$D$9996,B4758,Movimentos!$C$4:$C$9996,"Entrada")-SUMIFS(Movimentos!$F$4:$F$9996,Movimentos!$D$4:$D$9996,B4758,Movimentos!$C$4:$C$9996,"Saída"),""),"")</f>
        <v/>
      </c>
      <c r="F4758" s="10" t="str">
        <f t="shared" si="150"/>
        <v/>
      </c>
    </row>
    <row r="4759" spans="1:6" x14ac:dyDescent="0.3">
      <c r="A4759" s="15" t="str">
        <f t="shared" si="151"/>
        <v>.</v>
      </c>
      <c r="E4759" s="13" t="str">
        <f>IFERROR(IF(AND(B4759&lt;&gt;"",C4759&lt;&gt;""),SUMIFS(Movimentos!$F$4:$F$9996,Movimentos!$D$4:$D$9996,B4759,Movimentos!$C$4:$C$9996,"Entrada")-SUMIFS(Movimentos!$F$4:$F$9996,Movimentos!$D$4:$D$9996,B4759,Movimentos!$C$4:$C$9996,"Saída"),""),"")</f>
        <v/>
      </c>
      <c r="F4759" s="10" t="str">
        <f t="shared" ref="F4759:F4822" si="152">IF(AND(B4759&lt;&gt;"",C4759&lt;&gt;""),IF(E4759=0,"Saldo zerado",IF(E4759&lt;D4759,"Saldo abaixo do mínimo","Saldo disponível")),"")</f>
        <v/>
      </c>
    </row>
    <row r="4760" spans="1:6" x14ac:dyDescent="0.3">
      <c r="A4760" s="15" t="str">
        <f t="shared" si="151"/>
        <v>.</v>
      </c>
      <c r="E4760" s="13" t="str">
        <f>IFERROR(IF(AND(B4760&lt;&gt;"",C4760&lt;&gt;""),SUMIFS(Movimentos!$F$4:$F$9996,Movimentos!$D$4:$D$9996,B4760,Movimentos!$C$4:$C$9996,"Entrada")-SUMIFS(Movimentos!$F$4:$F$9996,Movimentos!$D$4:$D$9996,B4760,Movimentos!$C$4:$C$9996,"Saída"),""),"")</f>
        <v/>
      </c>
      <c r="F4760" s="10" t="str">
        <f t="shared" si="152"/>
        <v/>
      </c>
    </row>
    <row r="4761" spans="1:6" x14ac:dyDescent="0.3">
      <c r="A4761" s="15" t="str">
        <f t="shared" si="151"/>
        <v>.</v>
      </c>
      <c r="E4761" s="13" t="str">
        <f>IFERROR(IF(AND(B4761&lt;&gt;"",C4761&lt;&gt;""),SUMIFS(Movimentos!$F$4:$F$9996,Movimentos!$D$4:$D$9996,B4761,Movimentos!$C$4:$C$9996,"Entrada")-SUMIFS(Movimentos!$F$4:$F$9996,Movimentos!$D$4:$D$9996,B4761,Movimentos!$C$4:$C$9996,"Saída"),""),"")</f>
        <v/>
      </c>
      <c r="F4761" s="10" t="str">
        <f t="shared" si="152"/>
        <v/>
      </c>
    </row>
    <row r="4762" spans="1:6" x14ac:dyDescent="0.3">
      <c r="A4762" s="15" t="str">
        <f t="shared" si="151"/>
        <v>.</v>
      </c>
      <c r="E4762" s="13" t="str">
        <f>IFERROR(IF(AND(B4762&lt;&gt;"",C4762&lt;&gt;""),SUMIFS(Movimentos!$F$4:$F$9996,Movimentos!$D$4:$D$9996,B4762,Movimentos!$C$4:$C$9996,"Entrada")-SUMIFS(Movimentos!$F$4:$F$9996,Movimentos!$D$4:$D$9996,B4762,Movimentos!$C$4:$C$9996,"Saída"),""),"")</f>
        <v/>
      </c>
      <c r="F4762" s="10" t="str">
        <f t="shared" si="152"/>
        <v/>
      </c>
    </row>
    <row r="4763" spans="1:6" x14ac:dyDescent="0.3">
      <c r="A4763" s="15" t="str">
        <f t="shared" si="151"/>
        <v>.</v>
      </c>
      <c r="E4763" s="13" t="str">
        <f>IFERROR(IF(AND(B4763&lt;&gt;"",C4763&lt;&gt;""),SUMIFS(Movimentos!$F$4:$F$9996,Movimentos!$D$4:$D$9996,B4763,Movimentos!$C$4:$C$9996,"Entrada")-SUMIFS(Movimentos!$F$4:$F$9996,Movimentos!$D$4:$D$9996,B4763,Movimentos!$C$4:$C$9996,"Saída"),""),"")</f>
        <v/>
      </c>
      <c r="F4763" s="10" t="str">
        <f t="shared" si="152"/>
        <v/>
      </c>
    </row>
    <row r="4764" spans="1:6" x14ac:dyDescent="0.3">
      <c r="A4764" s="15" t="str">
        <f t="shared" si="151"/>
        <v>.</v>
      </c>
      <c r="E4764" s="13" t="str">
        <f>IFERROR(IF(AND(B4764&lt;&gt;"",C4764&lt;&gt;""),SUMIFS(Movimentos!$F$4:$F$9996,Movimentos!$D$4:$D$9996,B4764,Movimentos!$C$4:$C$9996,"Entrada")-SUMIFS(Movimentos!$F$4:$F$9996,Movimentos!$D$4:$D$9996,B4764,Movimentos!$C$4:$C$9996,"Saída"),""),"")</f>
        <v/>
      </c>
      <c r="F4764" s="10" t="str">
        <f t="shared" si="152"/>
        <v/>
      </c>
    </row>
    <row r="4765" spans="1:6" x14ac:dyDescent="0.3">
      <c r="A4765" s="15" t="str">
        <f t="shared" si="151"/>
        <v>.</v>
      </c>
      <c r="E4765" s="13" t="str">
        <f>IFERROR(IF(AND(B4765&lt;&gt;"",C4765&lt;&gt;""),SUMIFS(Movimentos!$F$4:$F$9996,Movimentos!$D$4:$D$9996,B4765,Movimentos!$C$4:$C$9996,"Entrada")-SUMIFS(Movimentos!$F$4:$F$9996,Movimentos!$D$4:$D$9996,B4765,Movimentos!$C$4:$C$9996,"Saída"),""),"")</f>
        <v/>
      </c>
      <c r="F4765" s="10" t="str">
        <f t="shared" si="152"/>
        <v/>
      </c>
    </row>
    <row r="4766" spans="1:6" x14ac:dyDescent="0.3">
      <c r="A4766" s="15" t="str">
        <f t="shared" si="151"/>
        <v>.</v>
      </c>
      <c r="E4766" s="13" t="str">
        <f>IFERROR(IF(AND(B4766&lt;&gt;"",C4766&lt;&gt;""),SUMIFS(Movimentos!$F$4:$F$9996,Movimentos!$D$4:$D$9996,B4766,Movimentos!$C$4:$C$9996,"Entrada")-SUMIFS(Movimentos!$F$4:$F$9996,Movimentos!$D$4:$D$9996,B4766,Movimentos!$C$4:$C$9996,"Saída"),""),"")</f>
        <v/>
      </c>
      <c r="F4766" s="10" t="str">
        <f t="shared" si="152"/>
        <v/>
      </c>
    </row>
    <row r="4767" spans="1:6" x14ac:dyDescent="0.3">
      <c r="A4767" s="15" t="str">
        <f t="shared" si="151"/>
        <v>.</v>
      </c>
      <c r="E4767" s="13" t="str">
        <f>IFERROR(IF(AND(B4767&lt;&gt;"",C4767&lt;&gt;""),SUMIFS(Movimentos!$F$4:$F$9996,Movimentos!$D$4:$D$9996,B4767,Movimentos!$C$4:$C$9996,"Entrada")-SUMIFS(Movimentos!$F$4:$F$9996,Movimentos!$D$4:$D$9996,B4767,Movimentos!$C$4:$C$9996,"Saída"),""),"")</f>
        <v/>
      </c>
      <c r="F4767" s="10" t="str">
        <f t="shared" si="152"/>
        <v/>
      </c>
    </row>
    <row r="4768" spans="1:6" x14ac:dyDescent="0.3">
      <c r="A4768" s="15" t="str">
        <f t="shared" si="151"/>
        <v>.</v>
      </c>
      <c r="E4768" s="13" t="str">
        <f>IFERROR(IF(AND(B4768&lt;&gt;"",C4768&lt;&gt;""),SUMIFS(Movimentos!$F$4:$F$9996,Movimentos!$D$4:$D$9996,B4768,Movimentos!$C$4:$C$9996,"Entrada")-SUMIFS(Movimentos!$F$4:$F$9996,Movimentos!$D$4:$D$9996,B4768,Movimentos!$C$4:$C$9996,"Saída"),""),"")</f>
        <v/>
      </c>
      <c r="F4768" s="10" t="str">
        <f t="shared" si="152"/>
        <v/>
      </c>
    </row>
    <row r="4769" spans="1:6" x14ac:dyDescent="0.3">
      <c r="A4769" s="15" t="str">
        <f t="shared" si="151"/>
        <v>.</v>
      </c>
      <c r="E4769" s="13" t="str">
        <f>IFERROR(IF(AND(B4769&lt;&gt;"",C4769&lt;&gt;""),SUMIFS(Movimentos!$F$4:$F$9996,Movimentos!$D$4:$D$9996,B4769,Movimentos!$C$4:$C$9996,"Entrada")-SUMIFS(Movimentos!$F$4:$F$9996,Movimentos!$D$4:$D$9996,B4769,Movimentos!$C$4:$C$9996,"Saída"),""),"")</f>
        <v/>
      </c>
      <c r="F4769" s="10" t="str">
        <f t="shared" si="152"/>
        <v/>
      </c>
    </row>
    <row r="4770" spans="1:6" x14ac:dyDescent="0.3">
      <c r="A4770" s="15" t="str">
        <f t="shared" si="151"/>
        <v>.</v>
      </c>
      <c r="E4770" s="13" t="str">
        <f>IFERROR(IF(AND(B4770&lt;&gt;"",C4770&lt;&gt;""),SUMIFS(Movimentos!$F$4:$F$9996,Movimentos!$D$4:$D$9996,B4770,Movimentos!$C$4:$C$9996,"Entrada")-SUMIFS(Movimentos!$F$4:$F$9996,Movimentos!$D$4:$D$9996,B4770,Movimentos!$C$4:$C$9996,"Saída"),""),"")</f>
        <v/>
      </c>
      <c r="F4770" s="10" t="str">
        <f t="shared" si="152"/>
        <v/>
      </c>
    </row>
    <row r="4771" spans="1:6" x14ac:dyDescent="0.3">
      <c r="A4771" s="15" t="str">
        <f t="shared" si="151"/>
        <v>.</v>
      </c>
      <c r="E4771" s="13" t="str">
        <f>IFERROR(IF(AND(B4771&lt;&gt;"",C4771&lt;&gt;""),SUMIFS(Movimentos!$F$4:$F$9996,Movimentos!$D$4:$D$9996,B4771,Movimentos!$C$4:$C$9996,"Entrada")-SUMIFS(Movimentos!$F$4:$F$9996,Movimentos!$D$4:$D$9996,B4771,Movimentos!$C$4:$C$9996,"Saída"),""),"")</f>
        <v/>
      </c>
      <c r="F4771" s="10" t="str">
        <f t="shared" si="152"/>
        <v/>
      </c>
    </row>
    <row r="4772" spans="1:6" x14ac:dyDescent="0.3">
      <c r="A4772" s="15" t="str">
        <f t="shared" si="151"/>
        <v>.</v>
      </c>
      <c r="E4772" s="13" t="str">
        <f>IFERROR(IF(AND(B4772&lt;&gt;"",C4772&lt;&gt;""),SUMIFS(Movimentos!$F$4:$F$9996,Movimentos!$D$4:$D$9996,B4772,Movimentos!$C$4:$C$9996,"Entrada")-SUMIFS(Movimentos!$F$4:$F$9996,Movimentos!$D$4:$D$9996,B4772,Movimentos!$C$4:$C$9996,"Saída"),""),"")</f>
        <v/>
      </c>
      <c r="F4772" s="10" t="str">
        <f t="shared" si="152"/>
        <v/>
      </c>
    </row>
    <row r="4773" spans="1:6" x14ac:dyDescent="0.3">
      <c r="A4773" s="15" t="str">
        <f t="shared" si="151"/>
        <v>.</v>
      </c>
      <c r="E4773" s="13" t="str">
        <f>IFERROR(IF(AND(B4773&lt;&gt;"",C4773&lt;&gt;""),SUMIFS(Movimentos!$F$4:$F$9996,Movimentos!$D$4:$D$9996,B4773,Movimentos!$C$4:$C$9996,"Entrada")-SUMIFS(Movimentos!$F$4:$F$9996,Movimentos!$D$4:$D$9996,B4773,Movimentos!$C$4:$C$9996,"Saída"),""),"")</f>
        <v/>
      </c>
      <c r="F4773" s="10" t="str">
        <f t="shared" si="152"/>
        <v/>
      </c>
    </row>
    <row r="4774" spans="1:6" x14ac:dyDescent="0.3">
      <c r="A4774" s="15" t="str">
        <f t="shared" si="151"/>
        <v>.</v>
      </c>
      <c r="E4774" s="13" t="str">
        <f>IFERROR(IF(AND(B4774&lt;&gt;"",C4774&lt;&gt;""),SUMIFS(Movimentos!$F$4:$F$9996,Movimentos!$D$4:$D$9996,B4774,Movimentos!$C$4:$C$9996,"Entrada")-SUMIFS(Movimentos!$F$4:$F$9996,Movimentos!$D$4:$D$9996,B4774,Movimentos!$C$4:$C$9996,"Saída"),""),"")</f>
        <v/>
      </c>
      <c r="F4774" s="10" t="str">
        <f t="shared" si="152"/>
        <v/>
      </c>
    </row>
    <row r="4775" spans="1:6" x14ac:dyDescent="0.3">
      <c r="A4775" s="15" t="str">
        <f t="shared" si="151"/>
        <v>.</v>
      </c>
      <c r="E4775" s="13" t="str">
        <f>IFERROR(IF(AND(B4775&lt;&gt;"",C4775&lt;&gt;""),SUMIFS(Movimentos!$F$4:$F$9996,Movimentos!$D$4:$D$9996,B4775,Movimentos!$C$4:$C$9996,"Entrada")-SUMIFS(Movimentos!$F$4:$F$9996,Movimentos!$D$4:$D$9996,B4775,Movimentos!$C$4:$C$9996,"Saída"),""),"")</f>
        <v/>
      </c>
      <c r="F4775" s="10" t="str">
        <f t="shared" si="152"/>
        <v/>
      </c>
    </row>
    <row r="4776" spans="1:6" x14ac:dyDescent="0.3">
      <c r="A4776" s="15" t="str">
        <f t="shared" si="151"/>
        <v>.</v>
      </c>
      <c r="E4776" s="13" t="str">
        <f>IFERROR(IF(AND(B4776&lt;&gt;"",C4776&lt;&gt;""),SUMIFS(Movimentos!$F$4:$F$9996,Movimentos!$D$4:$D$9996,B4776,Movimentos!$C$4:$C$9996,"Entrada")-SUMIFS(Movimentos!$F$4:$F$9996,Movimentos!$D$4:$D$9996,B4776,Movimentos!$C$4:$C$9996,"Saída"),""),"")</f>
        <v/>
      </c>
      <c r="F4776" s="10" t="str">
        <f t="shared" si="152"/>
        <v/>
      </c>
    </row>
    <row r="4777" spans="1:6" x14ac:dyDescent="0.3">
      <c r="A4777" s="15" t="str">
        <f t="shared" si="151"/>
        <v>.</v>
      </c>
      <c r="E4777" s="13" t="str">
        <f>IFERROR(IF(AND(B4777&lt;&gt;"",C4777&lt;&gt;""),SUMIFS(Movimentos!$F$4:$F$9996,Movimentos!$D$4:$D$9996,B4777,Movimentos!$C$4:$C$9996,"Entrada")-SUMIFS(Movimentos!$F$4:$F$9996,Movimentos!$D$4:$D$9996,B4777,Movimentos!$C$4:$C$9996,"Saída"),""),"")</f>
        <v/>
      </c>
      <c r="F4777" s="10" t="str">
        <f t="shared" si="152"/>
        <v/>
      </c>
    </row>
    <row r="4778" spans="1:6" x14ac:dyDescent="0.3">
      <c r="A4778" s="15" t="str">
        <f t="shared" si="151"/>
        <v>.</v>
      </c>
      <c r="E4778" s="13" t="str">
        <f>IFERROR(IF(AND(B4778&lt;&gt;"",C4778&lt;&gt;""),SUMIFS(Movimentos!$F$4:$F$9996,Movimentos!$D$4:$D$9996,B4778,Movimentos!$C$4:$C$9996,"Entrada")-SUMIFS(Movimentos!$F$4:$F$9996,Movimentos!$D$4:$D$9996,B4778,Movimentos!$C$4:$C$9996,"Saída"),""),"")</f>
        <v/>
      </c>
      <c r="F4778" s="10" t="str">
        <f t="shared" si="152"/>
        <v/>
      </c>
    </row>
    <row r="4779" spans="1:6" x14ac:dyDescent="0.3">
      <c r="A4779" s="15" t="str">
        <f t="shared" si="151"/>
        <v>.</v>
      </c>
      <c r="E4779" s="13" t="str">
        <f>IFERROR(IF(AND(B4779&lt;&gt;"",C4779&lt;&gt;""),SUMIFS(Movimentos!$F$4:$F$9996,Movimentos!$D$4:$D$9996,B4779,Movimentos!$C$4:$C$9996,"Entrada")-SUMIFS(Movimentos!$F$4:$F$9996,Movimentos!$D$4:$D$9996,B4779,Movimentos!$C$4:$C$9996,"Saída"),""),"")</f>
        <v/>
      </c>
      <c r="F4779" s="10" t="str">
        <f t="shared" si="152"/>
        <v/>
      </c>
    </row>
    <row r="4780" spans="1:6" x14ac:dyDescent="0.3">
      <c r="A4780" s="15" t="str">
        <f t="shared" si="151"/>
        <v>.</v>
      </c>
      <c r="E4780" s="13" t="str">
        <f>IFERROR(IF(AND(B4780&lt;&gt;"",C4780&lt;&gt;""),SUMIFS(Movimentos!$F$4:$F$9996,Movimentos!$D$4:$D$9996,B4780,Movimentos!$C$4:$C$9996,"Entrada")-SUMIFS(Movimentos!$F$4:$F$9996,Movimentos!$D$4:$D$9996,B4780,Movimentos!$C$4:$C$9996,"Saída"),""),"")</f>
        <v/>
      </c>
      <c r="F4780" s="10" t="str">
        <f t="shared" si="152"/>
        <v/>
      </c>
    </row>
    <row r="4781" spans="1:6" x14ac:dyDescent="0.3">
      <c r="A4781" s="15" t="str">
        <f t="shared" si="151"/>
        <v>.</v>
      </c>
      <c r="E4781" s="13" t="str">
        <f>IFERROR(IF(AND(B4781&lt;&gt;"",C4781&lt;&gt;""),SUMIFS(Movimentos!$F$4:$F$9996,Movimentos!$D$4:$D$9996,B4781,Movimentos!$C$4:$C$9996,"Entrada")-SUMIFS(Movimentos!$F$4:$F$9996,Movimentos!$D$4:$D$9996,B4781,Movimentos!$C$4:$C$9996,"Saída"),""),"")</f>
        <v/>
      </c>
      <c r="F4781" s="10" t="str">
        <f t="shared" si="152"/>
        <v/>
      </c>
    </row>
    <row r="4782" spans="1:6" x14ac:dyDescent="0.3">
      <c r="A4782" s="15" t="str">
        <f t="shared" si="151"/>
        <v>.</v>
      </c>
      <c r="E4782" s="13" t="str">
        <f>IFERROR(IF(AND(B4782&lt;&gt;"",C4782&lt;&gt;""),SUMIFS(Movimentos!$F$4:$F$9996,Movimentos!$D$4:$D$9996,B4782,Movimentos!$C$4:$C$9996,"Entrada")-SUMIFS(Movimentos!$F$4:$F$9996,Movimentos!$D$4:$D$9996,B4782,Movimentos!$C$4:$C$9996,"Saída"),""),"")</f>
        <v/>
      </c>
      <c r="F4782" s="10" t="str">
        <f t="shared" si="152"/>
        <v/>
      </c>
    </row>
    <row r="4783" spans="1:6" x14ac:dyDescent="0.3">
      <c r="A4783" s="15" t="str">
        <f t="shared" si="151"/>
        <v>.</v>
      </c>
      <c r="E4783" s="13" t="str">
        <f>IFERROR(IF(AND(B4783&lt;&gt;"",C4783&lt;&gt;""),SUMIFS(Movimentos!$F$4:$F$9996,Movimentos!$D$4:$D$9996,B4783,Movimentos!$C$4:$C$9996,"Entrada")-SUMIFS(Movimentos!$F$4:$F$9996,Movimentos!$D$4:$D$9996,B4783,Movimentos!$C$4:$C$9996,"Saída"),""),"")</f>
        <v/>
      </c>
      <c r="F4783" s="10" t="str">
        <f t="shared" si="152"/>
        <v/>
      </c>
    </row>
    <row r="4784" spans="1:6" x14ac:dyDescent="0.3">
      <c r="A4784" s="15" t="str">
        <f t="shared" si="151"/>
        <v>.</v>
      </c>
      <c r="E4784" s="13" t="str">
        <f>IFERROR(IF(AND(B4784&lt;&gt;"",C4784&lt;&gt;""),SUMIFS(Movimentos!$F$4:$F$9996,Movimentos!$D$4:$D$9996,B4784,Movimentos!$C$4:$C$9996,"Entrada")-SUMIFS(Movimentos!$F$4:$F$9996,Movimentos!$D$4:$D$9996,B4784,Movimentos!$C$4:$C$9996,"Saída"),""),"")</f>
        <v/>
      </c>
      <c r="F4784" s="10" t="str">
        <f t="shared" si="152"/>
        <v/>
      </c>
    </row>
    <row r="4785" spans="1:6" x14ac:dyDescent="0.3">
      <c r="A4785" s="15" t="str">
        <f t="shared" si="151"/>
        <v>.</v>
      </c>
      <c r="E4785" s="13" t="str">
        <f>IFERROR(IF(AND(B4785&lt;&gt;"",C4785&lt;&gt;""),SUMIFS(Movimentos!$F$4:$F$9996,Movimentos!$D$4:$D$9996,B4785,Movimentos!$C$4:$C$9996,"Entrada")-SUMIFS(Movimentos!$F$4:$F$9996,Movimentos!$D$4:$D$9996,B4785,Movimentos!$C$4:$C$9996,"Saída"),""),"")</f>
        <v/>
      </c>
      <c r="F4785" s="10" t="str">
        <f t="shared" si="152"/>
        <v/>
      </c>
    </row>
    <row r="4786" spans="1:6" x14ac:dyDescent="0.3">
      <c r="A4786" s="15" t="str">
        <f t="shared" si="151"/>
        <v>.</v>
      </c>
      <c r="E4786" s="13" t="str">
        <f>IFERROR(IF(AND(B4786&lt;&gt;"",C4786&lt;&gt;""),SUMIFS(Movimentos!$F$4:$F$9996,Movimentos!$D$4:$D$9996,B4786,Movimentos!$C$4:$C$9996,"Entrada")-SUMIFS(Movimentos!$F$4:$F$9996,Movimentos!$D$4:$D$9996,B4786,Movimentos!$C$4:$C$9996,"Saída"),""),"")</f>
        <v/>
      </c>
      <c r="F4786" s="10" t="str">
        <f t="shared" si="152"/>
        <v/>
      </c>
    </row>
    <row r="4787" spans="1:6" x14ac:dyDescent="0.3">
      <c r="A4787" s="15" t="str">
        <f t="shared" si="151"/>
        <v>.</v>
      </c>
      <c r="E4787" s="13" t="str">
        <f>IFERROR(IF(AND(B4787&lt;&gt;"",C4787&lt;&gt;""),SUMIFS(Movimentos!$F$4:$F$9996,Movimentos!$D$4:$D$9996,B4787,Movimentos!$C$4:$C$9996,"Entrada")-SUMIFS(Movimentos!$F$4:$F$9996,Movimentos!$D$4:$D$9996,B4787,Movimentos!$C$4:$C$9996,"Saída"),""),"")</f>
        <v/>
      </c>
      <c r="F4787" s="10" t="str">
        <f t="shared" si="152"/>
        <v/>
      </c>
    </row>
    <row r="4788" spans="1:6" x14ac:dyDescent="0.3">
      <c r="A4788" s="15" t="str">
        <f t="shared" si="151"/>
        <v>.</v>
      </c>
      <c r="E4788" s="13" t="str">
        <f>IFERROR(IF(AND(B4788&lt;&gt;"",C4788&lt;&gt;""),SUMIFS(Movimentos!$F$4:$F$9996,Movimentos!$D$4:$D$9996,B4788,Movimentos!$C$4:$C$9996,"Entrada")-SUMIFS(Movimentos!$F$4:$F$9996,Movimentos!$D$4:$D$9996,B4788,Movimentos!$C$4:$C$9996,"Saída"),""),"")</f>
        <v/>
      </c>
      <c r="F4788" s="10" t="str">
        <f t="shared" si="152"/>
        <v/>
      </c>
    </row>
    <row r="4789" spans="1:6" x14ac:dyDescent="0.3">
      <c r="A4789" s="15" t="str">
        <f t="shared" si="151"/>
        <v>.</v>
      </c>
      <c r="E4789" s="13" t="str">
        <f>IFERROR(IF(AND(B4789&lt;&gt;"",C4789&lt;&gt;""),SUMIFS(Movimentos!$F$4:$F$9996,Movimentos!$D$4:$D$9996,B4789,Movimentos!$C$4:$C$9996,"Entrada")-SUMIFS(Movimentos!$F$4:$F$9996,Movimentos!$D$4:$D$9996,B4789,Movimentos!$C$4:$C$9996,"Saída"),""),"")</f>
        <v/>
      </c>
      <c r="F4789" s="10" t="str">
        <f t="shared" si="152"/>
        <v/>
      </c>
    </row>
    <row r="4790" spans="1:6" x14ac:dyDescent="0.3">
      <c r="A4790" s="15" t="str">
        <f t="shared" si="151"/>
        <v>.</v>
      </c>
      <c r="E4790" s="13" t="str">
        <f>IFERROR(IF(AND(B4790&lt;&gt;"",C4790&lt;&gt;""),SUMIFS(Movimentos!$F$4:$F$9996,Movimentos!$D$4:$D$9996,B4790,Movimentos!$C$4:$C$9996,"Entrada")-SUMIFS(Movimentos!$F$4:$F$9996,Movimentos!$D$4:$D$9996,B4790,Movimentos!$C$4:$C$9996,"Saída"),""),"")</f>
        <v/>
      </c>
      <c r="F4790" s="10" t="str">
        <f t="shared" si="152"/>
        <v/>
      </c>
    </row>
    <row r="4791" spans="1:6" x14ac:dyDescent="0.3">
      <c r="A4791" s="15" t="str">
        <f t="shared" si="151"/>
        <v>.</v>
      </c>
      <c r="E4791" s="13" t="str">
        <f>IFERROR(IF(AND(B4791&lt;&gt;"",C4791&lt;&gt;""),SUMIFS(Movimentos!$F$4:$F$9996,Movimentos!$D$4:$D$9996,B4791,Movimentos!$C$4:$C$9996,"Entrada")-SUMIFS(Movimentos!$F$4:$F$9996,Movimentos!$D$4:$D$9996,B4791,Movimentos!$C$4:$C$9996,"Saída"),""),"")</f>
        <v/>
      </c>
      <c r="F4791" s="10" t="str">
        <f t="shared" si="152"/>
        <v/>
      </c>
    </row>
    <row r="4792" spans="1:6" x14ac:dyDescent="0.3">
      <c r="A4792" s="15" t="str">
        <f t="shared" si="151"/>
        <v>.</v>
      </c>
      <c r="E4792" s="13" t="str">
        <f>IFERROR(IF(AND(B4792&lt;&gt;"",C4792&lt;&gt;""),SUMIFS(Movimentos!$F$4:$F$9996,Movimentos!$D$4:$D$9996,B4792,Movimentos!$C$4:$C$9996,"Entrada")-SUMIFS(Movimentos!$F$4:$F$9996,Movimentos!$D$4:$D$9996,B4792,Movimentos!$C$4:$C$9996,"Saída"),""),"")</f>
        <v/>
      </c>
      <c r="F4792" s="10" t="str">
        <f t="shared" si="152"/>
        <v/>
      </c>
    </row>
    <row r="4793" spans="1:6" x14ac:dyDescent="0.3">
      <c r="A4793" s="15" t="str">
        <f t="shared" si="151"/>
        <v>.</v>
      </c>
      <c r="E4793" s="13" t="str">
        <f>IFERROR(IF(AND(B4793&lt;&gt;"",C4793&lt;&gt;""),SUMIFS(Movimentos!$F$4:$F$9996,Movimentos!$D$4:$D$9996,B4793,Movimentos!$C$4:$C$9996,"Entrada")-SUMIFS(Movimentos!$F$4:$F$9996,Movimentos!$D$4:$D$9996,B4793,Movimentos!$C$4:$C$9996,"Saída"),""),"")</f>
        <v/>
      </c>
      <c r="F4793" s="10" t="str">
        <f t="shared" si="152"/>
        <v/>
      </c>
    </row>
    <row r="4794" spans="1:6" x14ac:dyDescent="0.3">
      <c r="A4794" s="15" t="str">
        <f t="shared" si="151"/>
        <v>.</v>
      </c>
      <c r="E4794" s="13" t="str">
        <f>IFERROR(IF(AND(B4794&lt;&gt;"",C4794&lt;&gt;""),SUMIFS(Movimentos!$F$4:$F$9996,Movimentos!$D$4:$D$9996,B4794,Movimentos!$C$4:$C$9996,"Entrada")-SUMIFS(Movimentos!$F$4:$F$9996,Movimentos!$D$4:$D$9996,B4794,Movimentos!$C$4:$C$9996,"Saída"),""),"")</f>
        <v/>
      </c>
      <c r="F4794" s="10" t="str">
        <f t="shared" si="152"/>
        <v/>
      </c>
    </row>
    <row r="4795" spans="1:6" x14ac:dyDescent="0.3">
      <c r="A4795" s="15" t="str">
        <f t="shared" si="151"/>
        <v>.</v>
      </c>
      <c r="E4795" s="13" t="str">
        <f>IFERROR(IF(AND(B4795&lt;&gt;"",C4795&lt;&gt;""),SUMIFS(Movimentos!$F$4:$F$9996,Movimentos!$D$4:$D$9996,B4795,Movimentos!$C$4:$C$9996,"Entrada")-SUMIFS(Movimentos!$F$4:$F$9996,Movimentos!$D$4:$D$9996,B4795,Movimentos!$C$4:$C$9996,"Saída"),""),"")</f>
        <v/>
      </c>
      <c r="F4795" s="10" t="str">
        <f t="shared" si="152"/>
        <v/>
      </c>
    </row>
    <row r="4796" spans="1:6" x14ac:dyDescent="0.3">
      <c r="A4796" s="15" t="str">
        <f t="shared" si="151"/>
        <v>.</v>
      </c>
      <c r="E4796" s="13" t="str">
        <f>IFERROR(IF(AND(B4796&lt;&gt;"",C4796&lt;&gt;""),SUMIFS(Movimentos!$F$4:$F$9996,Movimentos!$D$4:$D$9996,B4796,Movimentos!$C$4:$C$9996,"Entrada")-SUMIFS(Movimentos!$F$4:$F$9996,Movimentos!$D$4:$D$9996,B4796,Movimentos!$C$4:$C$9996,"Saída"),""),"")</f>
        <v/>
      </c>
      <c r="F4796" s="10" t="str">
        <f t="shared" si="152"/>
        <v/>
      </c>
    </row>
    <row r="4797" spans="1:6" x14ac:dyDescent="0.3">
      <c r="A4797" s="15" t="str">
        <f t="shared" si="151"/>
        <v>.</v>
      </c>
      <c r="E4797" s="13" t="str">
        <f>IFERROR(IF(AND(B4797&lt;&gt;"",C4797&lt;&gt;""),SUMIFS(Movimentos!$F$4:$F$9996,Movimentos!$D$4:$D$9996,B4797,Movimentos!$C$4:$C$9996,"Entrada")-SUMIFS(Movimentos!$F$4:$F$9996,Movimentos!$D$4:$D$9996,B4797,Movimentos!$C$4:$C$9996,"Saída"),""),"")</f>
        <v/>
      </c>
      <c r="F4797" s="10" t="str">
        <f t="shared" si="152"/>
        <v/>
      </c>
    </row>
    <row r="4798" spans="1:6" x14ac:dyDescent="0.3">
      <c r="A4798" s="15" t="str">
        <f t="shared" si="151"/>
        <v>.</v>
      </c>
      <c r="E4798" s="13" t="str">
        <f>IFERROR(IF(AND(B4798&lt;&gt;"",C4798&lt;&gt;""),SUMIFS(Movimentos!$F$4:$F$9996,Movimentos!$D$4:$D$9996,B4798,Movimentos!$C$4:$C$9996,"Entrada")-SUMIFS(Movimentos!$F$4:$F$9996,Movimentos!$D$4:$D$9996,B4798,Movimentos!$C$4:$C$9996,"Saída"),""),"")</f>
        <v/>
      </c>
      <c r="F4798" s="10" t="str">
        <f t="shared" si="152"/>
        <v/>
      </c>
    </row>
    <row r="4799" spans="1:6" x14ac:dyDescent="0.3">
      <c r="A4799" s="15" t="str">
        <f t="shared" si="151"/>
        <v>.</v>
      </c>
      <c r="E4799" s="13" t="str">
        <f>IFERROR(IF(AND(B4799&lt;&gt;"",C4799&lt;&gt;""),SUMIFS(Movimentos!$F$4:$F$9996,Movimentos!$D$4:$D$9996,B4799,Movimentos!$C$4:$C$9996,"Entrada")-SUMIFS(Movimentos!$F$4:$F$9996,Movimentos!$D$4:$D$9996,B4799,Movimentos!$C$4:$C$9996,"Saída"),""),"")</f>
        <v/>
      </c>
      <c r="F4799" s="10" t="str">
        <f t="shared" si="152"/>
        <v/>
      </c>
    </row>
    <row r="4800" spans="1:6" x14ac:dyDescent="0.3">
      <c r="A4800" s="15" t="str">
        <f t="shared" ref="A4800:A4863" si="153">IF(F4800="Saldo zerado",0,IF(F4800="Saldo abaixo do mínimo",1,IF(F4800="Saldo disponível",2,".")))</f>
        <v>.</v>
      </c>
      <c r="E4800" s="13" t="str">
        <f>IFERROR(IF(AND(B4800&lt;&gt;"",C4800&lt;&gt;""),SUMIFS(Movimentos!$F$4:$F$9996,Movimentos!$D$4:$D$9996,B4800,Movimentos!$C$4:$C$9996,"Entrada")-SUMIFS(Movimentos!$F$4:$F$9996,Movimentos!$D$4:$D$9996,B4800,Movimentos!$C$4:$C$9996,"Saída"),""),"")</f>
        <v/>
      </c>
      <c r="F4800" s="10" t="str">
        <f t="shared" si="152"/>
        <v/>
      </c>
    </row>
    <row r="4801" spans="1:6" x14ac:dyDescent="0.3">
      <c r="A4801" s="15" t="str">
        <f t="shared" si="153"/>
        <v>.</v>
      </c>
      <c r="E4801" s="13" t="str">
        <f>IFERROR(IF(AND(B4801&lt;&gt;"",C4801&lt;&gt;""),SUMIFS(Movimentos!$F$4:$F$9996,Movimentos!$D$4:$D$9996,B4801,Movimentos!$C$4:$C$9996,"Entrada")-SUMIFS(Movimentos!$F$4:$F$9996,Movimentos!$D$4:$D$9996,B4801,Movimentos!$C$4:$C$9996,"Saída"),""),"")</f>
        <v/>
      </c>
      <c r="F4801" s="10" t="str">
        <f t="shared" si="152"/>
        <v/>
      </c>
    </row>
    <row r="4802" spans="1:6" x14ac:dyDescent="0.3">
      <c r="A4802" s="15" t="str">
        <f t="shared" si="153"/>
        <v>.</v>
      </c>
      <c r="E4802" s="13" t="str">
        <f>IFERROR(IF(AND(B4802&lt;&gt;"",C4802&lt;&gt;""),SUMIFS(Movimentos!$F$4:$F$9996,Movimentos!$D$4:$D$9996,B4802,Movimentos!$C$4:$C$9996,"Entrada")-SUMIFS(Movimentos!$F$4:$F$9996,Movimentos!$D$4:$D$9996,B4802,Movimentos!$C$4:$C$9996,"Saída"),""),"")</f>
        <v/>
      </c>
      <c r="F4802" s="10" t="str">
        <f t="shared" si="152"/>
        <v/>
      </c>
    </row>
    <row r="4803" spans="1:6" x14ac:dyDescent="0.3">
      <c r="A4803" s="15" t="str">
        <f t="shared" si="153"/>
        <v>.</v>
      </c>
      <c r="E4803" s="13" t="str">
        <f>IFERROR(IF(AND(B4803&lt;&gt;"",C4803&lt;&gt;""),SUMIFS(Movimentos!$F$4:$F$9996,Movimentos!$D$4:$D$9996,B4803,Movimentos!$C$4:$C$9996,"Entrada")-SUMIFS(Movimentos!$F$4:$F$9996,Movimentos!$D$4:$D$9996,B4803,Movimentos!$C$4:$C$9996,"Saída"),""),"")</f>
        <v/>
      </c>
      <c r="F4803" s="10" t="str">
        <f t="shared" si="152"/>
        <v/>
      </c>
    </row>
    <row r="4804" spans="1:6" x14ac:dyDescent="0.3">
      <c r="A4804" s="15" t="str">
        <f t="shared" si="153"/>
        <v>.</v>
      </c>
      <c r="E4804" s="13" t="str">
        <f>IFERROR(IF(AND(B4804&lt;&gt;"",C4804&lt;&gt;""),SUMIFS(Movimentos!$F$4:$F$9996,Movimentos!$D$4:$D$9996,B4804,Movimentos!$C$4:$C$9996,"Entrada")-SUMIFS(Movimentos!$F$4:$F$9996,Movimentos!$D$4:$D$9996,B4804,Movimentos!$C$4:$C$9996,"Saída"),""),"")</f>
        <v/>
      </c>
      <c r="F4804" s="10" t="str">
        <f t="shared" si="152"/>
        <v/>
      </c>
    </row>
    <row r="4805" spans="1:6" x14ac:dyDescent="0.3">
      <c r="A4805" s="15" t="str">
        <f t="shared" si="153"/>
        <v>.</v>
      </c>
      <c r="E4805" s="13" t="str">
        <f>IFERROR(IF(AND(B4805&lt;&gt;"",C4805&lt;&gt;""),SUMIFS(Movimentos!$F$4:$F$9996,Movimentos!$D$4:$D$9996,B4805,Movimentos!$C$4:$C$9996,"Entrada")-SUMIFS(Movimentos!$F$4:$F$9996,Movimentos!$D$4:$D$9996,B4805,Movimentos!$C$4:$C$9996,"Saída"),""),"")</f>
        <v/>
      </c>
      <c r="F4805" s="10" t="str">
        <f t="shared" si="152"/>
        <v/>
      </c>
    </row>
    <row r="4806" spans="1:6" x14ac:dyDescent="0.3">
      <c r="A4806" s="15" t="str">
        <f t="shared" si="153"/>
        <v>.</v>
      </c>
      <c r="E4806" s="13" t="str">
        <f>IFERROR(IF(AND(B4806&lt;&gt;"",C4806&lt;&gt;""),SUMIFS(Movimentos!$F$4:$F$9996,Movimentos!$D$4:$D$9996,B4806,Movimentos!$C$4:$C$9996,"Entrada")-SUMIFS(Movimentos!$F$4:$F$9996,Movimentos!$D$4:$D$9996,B4806,Movimentos!$C$4:$C$9996,"Saída"),""),"")</f>
        <v/>
      </c>
      <c r="F4806" s="10" t="str">
        <f t="shared" si="152"/>
        <v/>
      </c>
    </row>
    <row r="4807" spans="1:6" x14ac:dyDescent="0.3">
      <c r="A4807" s="15" t="str">
        <f t="shared" si="153"/>
        <v>.</v>
      </c>
      <c r="E4807" s="13" t="str">
        <f>IFERROR(IF(AND(B4807&lt;&gt;"",C4807&lt;&gt;""),SUMIFS(Movimentos!$F$4:$F$9996,Movimentos!$D$4:$D$9996,B4807,Movimentos!$C$4:$C$9996,"Entrada")-SUMIFS(Movimentos!$F$4:$F$9996,Movimentos!$D$4:$D$9996,B4807,Movimentos!$C$4:$C$9996,"Saída"),""),"")</f>
        <v/>
      </c>
      <c r="F4807" s="10" t="str">
        <f t="shared" si="152"/>
        <v/>
      </c>
    </row>
    <row r="4808" spans="1:6" x14ac:dyDescent="0.3">
      <c r="A4808" s="15" t="str">
        <f t="shared" si="153"/>
        <v>.</v>
      </c>
      <c r="E4808" s="13" t="str">
        <f>IFERROR(IF(AND(B4808&lt;&gt;"",C4808&lt;&gt;""),SUMIFS(Movimentos!$F$4:$F$9996,Movimentos!$D$4:$D$9996,B4808,Movimentos!$C$4:$C$9996,"Entrada")-SUMIFS(Movimentos!$F$4:$F$9996,Movimentos!$D$4:$D$9996,B4808,Movimentos!$C$4:$C$9996,"Saída"),""),"")</f>
        <v/>
      </c>
      <c r="F4808" s="10" t="str">
        <f t="shared" si="152"/>
        <v/>
      </c>
    </row>
    <row r="4809" spans="1:6" x14ac:dyDescent="0.3">
      <c r="A4809" s="15" t="str">
        <f t="shared" si="153"/>
        <v>.</v>
      </c>
      <c r="E4809" s="13" t="str">
        <f>IFERROR(IF(AND(B4809&lt;&gt;"",C4809&lt;&gt;""),SUMIFS(Movimentos!$F$4:$F$9996,Movimentos!$D$4:$D$9996,B4809,Movimentos!$C$4:$C$9996,"Entrada")-SUMIFS(Movimentos!$F$4:$F$9996,Movimentos!$D$4:$D$9996,B4809,Movimentos!$C$4:$C$9996,"Saída"),""),"")</f>
        <v/>
      </c>
      <c r="F4809" s="10" t="str">
        <f t="shared" si="152"/>
        <v/>
      </c>
    </row>
    <row r="4810" spans="1:6" x14ac:dyDescent="0.3">
      <c r="A4810" s="15" t="str">
        <f t="shared" si="153"/>
        <v>.</v>
      </c>
      <c r="E4810" s="13" t="str">
        <f>IFERROR(IF(AND(B4810&lt;&gt;"",C4810&lt;&gt;""),SUMIFS(Movimentos!$F$4:$F$9996,Movimentos!$D$4:$D$9996,B4810,Movimentos!$C$4:$C$9996,"Entrada")-SUMIFS(Movimentos!$F$4:$F$9996,Movimentos!$D$4:$D$9996,B4810,Movimentos!$C$4:$C$9996,"Saída"),""),"")</f>
        <v/>
      </c>
      <c r="F4810" s="10" t="str">
        <f t="shared" si="152"/>
        <v/>
      </c>
    </row>
    <row r="4811" spans="1:6" x14ac:dyDescent="0.3">
      <c r="A4811" s="15" t="str">
        <f t="shared" si="153"/>
        <v>.</v>
      </c>
      <c r="E4811" s="13" t="str">
        <f>IFERROR(IF(AND(B4811&lt;&gt;"",C4811&lt;&gt;""),SUMIFS(Movimentos!$F$4:$F$9996,Movimentos!$D$4:$D$9996,B4811,Movimentos!$C$4:$C$9996,"Entrada")-SUMIFS(Movimentos!$F$4:$F$9996,Movimentos!$D$4:$D$9996,B4811,Movimentos!$C$4:$C$9996,"Saída"),""),"")</f>
        <v/>
      </c>
      <c r="F4811" s="10" t="str">
        <f t="shared" si="152"/>
        <v/>
      </c>
    </row>
    <row r="4812" spans="1:6" x14ac:dyDescent="0.3">
      <c r="A4812" s="15" t="str">
        <f t="shared" si="153"/>
        <v>.</v>
      </c>
      <c r="E4812" s="13" t="str">
        <f>IFERROR(IF(AND(B4812&lt;&gt;"",C4812&lt;&gt;""),SUMIFS(Movimentos!$F$4:$F$9996,Movimentos!$D$4:$D$9996,B4812,Movimentos!$C$4:$C$9996,"Entrada")-SUMIFS(Movimentos!$F$4:$F$9996,Movimentos!$D$4:$D$9996,B4812,Movimentos!$C$4:$C$9996,"Saída"),""),"")</f>
        <v/>
      </c>
      <c r="F4812" s="10" t="str">
        <f t="shared" si="152"/>
        <v/>
      </c>
    </row>
    <row r="4813" spans="1:6" x14ac:dyDescent="0.3">
      <c r="A4813" s="15" t="str">
        <f t="shared" si="153"/>
        <v>.</v>
      </c>
      <c r="E4813" s="13" t="str">
        <f>IFERROR(IF(AND(B4813&lt;&gt;"",C4813&lt;&gt;""),SUMIFS(Movimentos!$F$4:$F$9996,Movimentos!$D$4:$D$9996,B4813,Movimentos!$C$4:$C$9996,"Entrada")-SUMIFS(Movimentos!$F$4:$F$9996,Movimentos!$D$4:$D$9996,B4813,Movimentos!$C$4:$C$9996,"Saída"),""),"")</f>
        <v/>
      </c>
      <c r="F4813" s="10" t="str">
        <f t="shared" si="152"/>
        <v/>
      </c>
    </row>
    <row r="4814" spans="1:6" x14ac:dyDescent="0.3">
      <c r="A4814" s="15" t="str">
        <f t="shared" si="153"/>
        <v>.</v>
      </c>
      <c r="E4814" s="13" t="str">
        <f>IFERROR(IF(AND(B4814&lt;&gt;"",C4814&lt;&gt;""),SUMIFS(Movimentos!$F$4:$F$9996,Movimentos!$D$4:$D$9996,B4814,Movimentos!$C$4:$C$9996,"Entrada")-SUMIFS(Movimentos!$F$4:$F$9996,Movimentos!$D$4:$D$9996,B4814,Movimentos!$C$4:$C$9996,"Saída"),""),"")</f>
        <v/>
      </c>
      <c r="F4814" s="10" t="str">
        <f t="shared" si="152"/>
        <v/>
      </c>
    </row>
    <row r="4815" spans="1:6" x14ac:dyDescent="0.3">
      <c r="A4815" s="15" t="str">
        <f t="shared" si="153"/>
        <v>.</v>
      </c>
      <c r="E4815" s="13" t="str">
        <f>IFERROR(IF(AND(B4815&lt;&gt;"",C4815&lt;&gt;""),SUMIFS(Movimentos!$F$4:$F$9996,Movimentos!$D$4:$D$9996,B4815,Movimentos!$C$4:$C$9996,"Entrada")-SUMIFS(Movimentos!$F$4:$F$9996,Movimentos!$D$4:$D$9996,B4815,Movimentos!$C$4:$C$9996,"Saída"),""),"")</f>
        <v/>
      </c>
      <c r="F4815" s="10" t="str">
        <f t="shared" si="152"/>
        <v/>
      </c>
    </row>
    <row r="4816" spans="1:6" x14ac:dyDescent="0.3">
      <c r="A4816" s="15" t="str">
        <f t="shared" si="153"/>
        <v>.</v>
      </c>
      <c r="E4816" s="13" t="str">
        <f>IFERROR(IF(AND(B4816&lt;&gt;"",C4816&lt;&gt;""),SUMIFS(Movimentos!$F$4:$F$9996,Movimentos!$D$4:$D$9996,B4816,Movimentos!$C$4:$C$9996,"Entrada")-SUMIFS(Movimentos!$F$4:$F$9996,Movimentos!$D$4:$D$9996,B4816,Movimentos!$C$4:$C$9996,"Saída"),""),"")</f>
        <v/>
      </c>
      <c r="F4816" s="10" t="str">
        <f t="shared" si="152"/>
        <v/>
      </c>
    </row>
    <row r="4817" spans="1:6" x14ac:dyDescent="0.3">
      <c r="A4817" s="15" t="str">
        <f t="shared" si="153"/>
        <v>.</v>
      </c>
      <c r="E4817" s="13" t="str">
        <f>IFERROR(IF(AND(B4817&lt;&gt;"",C4817&lt;&gt;""),SUMIFS(Movimentos!$F$4:$F$9996,Movimentos!$D$4:$D$9996,B4817,Movimentos!$C$4:$C$9996,"Entrada")-SUMIFS(Movimentos!$F$4:$F$9996,Movimentos!$D$4:$D$9996,B4817,Movimentos!$C$4:$C$9996,"Saída"),""),"")</f>
        <v/>
      </c>
      <c r="F4817" s="10" t="str">
        <f t="shared" si="152"/>
        <v/>
      </c>
    </row>
    <row r="4818" spans="1:6" x14ac:dyDescent="0.3">
      <c r="A4818" s="15" t="str">
        <f t="shared" si="153"/>
        <v>.</v>
      </c>
      <c r="E4818" s="13" t="str">
        <f>IFERROR(IF(AND(B4818&lt;&gt;"",C4818&lt;&gt;""),SUMIFS(Movimentos!$F$4:$F$9996,Movimentos!$D$4:$D$9996,B4818,Movimentos!$C$4:$C$9996,"Entrada")-SUMIFS(Movimentos!$F$4:$F$9996,Movimentos!$D$4:$D$9996,B4818,Movimentos!$C$4:$C$9996,"Saída"),""),"")</f>
        <v/>
      </c>
      <c r="F4818" s="10" t="str">
        <f t="shared" si="152"/>
        <v/>
      </c>
    </row>
    <row r="4819" spans="1:6" x14ac:dyDescent="0.3">
      <c r="A4819" s="15" t="str">
        <f t="shared" si="153"/>
        <v>.</v>
      </c>
      <c r="E4819" s="13" t="str">
        <f>IFERROR(IF(AND(B4819&lt;&gt;"",C4819&lt;&gt;""),SUMIFS(Movimentos!$F$4:$F$9996,Movimentos!$D$4:$D$9996,B4819,Movimentos!$C$4:$C$9996,"Entrada")-SUMIFS(Movimentos!$F$4:$F$9996,Movimentos!$D$4:$D$9996,B4819,Movimentos!$C$4:$C$9996,"Saída"),""),"")</f>
        <v/>
      </c>
      <c r="F4819" s="10" t="str">
        <f t="shared" si="152"/>
        <v/>
      </c>
    </row>
    <row r="4820" spans="1:6" x14ac:dyDescent="0.3">
      <c r="A4820" s="15" t="str">
        <f t="shared" si="153"/>
        <v>.</v>
      </c>
      <c r="E4820" s="13" t="str">
        <f>IFERROR(IF(AND(B4820&lt;&gt;"",C4820&lt;&gt;""),SUMIFS(Movimentos!$F$4:$F$9996,Movimentos!$D$4:$D$9996,B4820,Movimentos!$C$4:$C$9996,"Entrada")-SUMIFS(Movimentos!$F$4:$F$9996,Movimentos!$D$4:$D$9996,B4820,Movimentos!$C$4:$C$9996,"Saída"),""),"")</f>
        <v/>
      </c>
      <c r="F4820" s="10" t="str">
        <f t="shared" si="152"/>
        <v/>
      </c>
    </row>
    <row r="4821" spans="1:6" x14ac:dyDescent="0.3">
      <c r="A4821" s="15" t="str">
        <f t="shared" si="153"/>
        <v>.</v>
      </c>
      <c r="E4821" s="13" t="str">
        <f>IFERROR(IF(AND(B4821&lt;&gt;"",C4821&lt;&gt;""),SUMIFS(Movimentos!$F$4:$F$9996,Movimentos!$D$4:$D$9996,B4821,Movimentos!$C$4:$C$9996,"Entrada")-SUMIFS(Movimentos!$F$4:$F$9996,Movimentos!$D$4:$D$9996,B4821,Movimentos!$C$4:$C$9996,"Saída"),""),"")</f>
        <v/>
      </c>
      <c r="F4821" s="10" t="str">
        <f t="shared" si="152"/>
        <v/>
      </c>
    </row>
    <row r="4822" spans="1:6" x14ac:dyDescent="0.3">
      <c r="A4822" s="15" t="str">
        <f t="shared" si="153"/>
        <v>.</v>
      </c>
      <c r="E4822" s="13" t="str">
        <f>IFERROR(IF(AND(B4822&lt;&gt;"",C4822&lt;&gt;""),SUMIFS(Movimentos!$F$4:$F$9996,Movimentos!$D$4:$D$9996,B4822,Movimentos!$C$4:$C$9996,"Entrada")-SUMIFS(Movimentos!$F$4:$F$9996,Movimentos!$D$4:$D$9996,B4822,Movimentos!$C$4:$C$9996,"Saída"),""),"")</f>
        <v/>
      </c>
      <c r="F4822" s="10" t="str">
        <f t="shared" si="152"/>
        <v/>
      </c>
    </row>
    <row r="4823" spans="1:6" x14ac:dyDescent="0.3">
      <c r="A4823" s="15" t="str">
        <f t="shared" si="153"/>
        <v>.</v>
      </c>
      <c r="E4823" s="13" t="str">
        <f>IFERROR(IF(AND(B4823&lt;&gt;"",C4823&lt;&gt;""),SUMIFS(Movimentos!$F$4:$F$9996,Movimentos!$D$4:$D$9996,B4823,Movimentos!$C$4:$C$9996,"Entrada")-SUMIFS(Movimentos!$F$4:$F$9996,Movimentos!$D$4:$D$9996,B4823,Movimentos!$C$4:$C$9996,"Saída"),""),"")</f>
        <v/>
      </c>
      <c r="F4823" s="10" t="str">
        <f t="shared" ref="F4823:F4886" si="154">IF(AND(B4823&lt;&gt;"",C4823&lt;&gt;""),IF(E4823=0,"Saldo zerado",IF(E4823&lt;D4823,"Saldo abaixo do mínimo","Saldo disponível")),"")</f>
        <v/>
      </c>
    </row>
    <row r="4824" spans="1:6" x14ac:dyDescent="0.3">
      <c r="A4824" s="15" t="str">
        <f t="shared" si="153"/>
        <v>.</v>
      </c>
      <c r="E4824" s="13" t="str">
        <f>IFERROR(IF(AND(B4824&lt;&gt;"",C4824&lt;&gt;""),SUMIFS(Movimentos!$F$4:$F$9996,Movimentos!$D$4:$D$9996,B4824,Movimentos!$C$4:$C$9996,"Entrada")-SUMIFS(Movimentos!$F$4:$F$9996,Movimentos!$D$4:$D$9996,B4824,Movimentos!$C$4:$C$9996,"Saída"),""),"")</f>
        <v/>
      </c>
      <c r="F4824" s="10" t="str">
        <f t="shared" si="154"/>
        <v/>
      </c>
    </row>
    <row r="4825" spans="1:6" x14ac:dyDescent="0.3">
      <c r="A4825" s="15" t="str">
        <f t="shared" si="153"/>
        <v>.</v>
      </c>
      <c r="E4825" s="13" t="str">
        <f>IFERROR(IF(AND(B4825&lt;&gt;"",C4825&lt;&gt;""),SUMIFS(Movimentos!$F$4:$F$9996,Movimentos!$D$4:$D$9996,B4825,Movimentos!$C$4:$C$9996,"Entrada")-SUMIFS(Movimentos!$F$4:$F$9996,Movimentos!$D$4:$D$9996,B4825,Movimentos!$C$4:$C$9996,"Saída"),""),"")</f>
        <v/>
      </c>
      <c r="F4825" s="10" t="str">
        <f t="shared" si="154"/>
        <v/>
      </c>
    </row>
    <row r="4826" spans="1:6" x14ac:dyDescent="0.3">
      <c r="A4826" s="15" t="str">
        <f t="shared" si="153"/>
        <v>.</v>
      </c>
      <c r="E4826" s="13" t="str">
        <f>IFERROR(IF(AND(B4826&lt;&gt;"",C4826&lt;&gt;""),SUMIFS(Movimentos!$F$4:$F$9996,Movimentos!$D$4:$D$9996,B4826,Movimentos!$C$4:$C$9996,"Entrada")-SUMIFS(Movimentos!$F$4:$F$9996,Movimentos!$D$4:$D$9996,B4826,Movimentos!$C$4:$C$9996,"Saída"),""),"")</f>
        <v/>
      </c>
      <c r="F4826" s="10" t="str">
        <f t="shared" si="154"/>
        <v/>
      </c>
    </row>
    <row r="4827" spans="1:6" x14ac:dyDescent="0.3">
      <c r="A4827" s="15" t="str">
        <f t="shared" si="153"/>
        <v>.</v>
      </c>
      <c r="E4827" s="13" t="str">
        <f>IFERROR(IF(AND(B4827&lt;&gt;"",C4827&lt;&gt;""),SUMIFS(Movimentos!$F$4:$F$9996,Movimentos!$D$4:$D$9996,B4827,Movimentos!$C$4:$C$9996,"Entrada")-SUMIFS(Movimentos!$F$4:$F$9996,Movimentos!$D$4:$D$9996,B4827,Movimentos!$C$4:$C$9996,"Saída"),""),"")</f>
        <v/>
      </c>
      <c r="F4827" s="10" t="str">
        <f t="shared" si="154"/>
        <v/>
      </c>
    </row>
    <row r="4828" spans="1:6" x14ac:dyDescent="0.3">
      <c r="A4828" s="15" t="str">
        <f t="shared" si="153"/>
        <v>.</v>
      </c>
      <c r="E4828" s="13" t="str">
        <f>IFERROR(IF(AND(B4828&lt;&gt;"",C4828&lt;&gt;""),SUMIFS(Movimentos!$F$4:$F$9996,Movimentos!$D$4:$D$9996,B4828,Movimentos!$C$4:$C$9996,"Entrada")-SUMIFS(Movimentos!$F$4:$F$9996,Movimentos!$D$4:$D$9996,B4828,Movimentos!$C$4:$C$9996,"Saída"),""),"")</f>
        <v/>
      </c>
      <c r="F4828" s="10" t="str">
        <f t="shared" si="154"/>
        <v/>
      </c>
    </row>
    <row r="4829" spans="1:6" x14ac:dyDescent="0.3">
      <c r="A4829" s="15" t="str">
        <f t="shared" si="153"/>
        <v>.</v>
      </c>
      <c r="E4829" s="13" t="str">
        <f>IFERROR(IF(AND(B4829&lt;&gt;"",C4829&lt;&gt;""),SUMIFS(Movimentos!$F$4:$F$9996,Movimentos!$D$4:$D$9996,B4829,Movimentos!$C$4:$C$9996,"Entrada")-SUMIFS(Movimentos!$F$4:$F$9996,Movimentos!$D$4:$D$9996,B4829,Movimentos!$C$4:$C$9996,"Saída"),""),"")</f>
        <v/>
      </c>
      <c r="F4829" s="10" t="str">
        <f t="shared" si="154"/>
        <v/>
      </c>
    </row>
    <row r="4830" spans="1:6" x14ac:dyDescent="0.3">
      <c r="A4830" s="15" t="str">
        <f t="shared" si="153"/>
        <v>.</v>
      </c>
      <c r="E4830" s="13" t="str">
        <f>IFERROR(IF(AND(B4830&lt;&gt;"",C4830&lt;&gt;""),SUMIFS(Movimentos!$F$4:$F$9996,Movimentos!$D$4:$D$9996,B4830,Movimentos!$C$4:$C$9996,"Entrada")-SUMIFS(Movimentos!$F$4:$F$9996,Movimentos!$D$4:$D$9996,B4830,Movimentos!$C$4:$C$9996,"Saída"),""),"")</f>
        <v/>
      </c>
      <c r="F4830" s="10" t="str">
        <f t="shared" si="154"/>
        <v/>
      </c>
    </row>
    <row r="4831" spans="1:6" x14ac:dyDescent="0.3">
      <c r="A4831" s="15" t="str">
        <f t="shared" si="153"/>
        <v>.</v>
      </c>
      <c r="E4831" s="13" t="str">
        <f>IFERROR(IF(AND(B4831&lt;&gt;"",C4831&lt;&gt;""),SUMIFS(Movimentos!$F$4:$F$9996,Movimentos!$D$4:$D$9996,B4831,Movimentos!$C$4:$C$9996,"Entrada")-SUMIFS(Movimentos!$F$4:$F$9996,Movimentos!$D$4:$D$9996,B4831,Movimentos!$C$4:$C$9996,"Saída"),""),"")</f>
        <v/>
      </c>
      <c r="F4831" s="10" t="str">
        <f t="shared" si="154"/>
        <v/>
      </c>
    </row>
    <row r="4832" spans="1:6" x14ac:dyDescent="0.3">
      <c r="A4832" s="15" t="str">
        <f t="shared" si="153"/>
        <v>.</v>
      </c>
      <c r="E4832" s="13" t="str">
        <f>IFERROR(IF(AND(B4832&lt;&gt;"",C4832&lt;&gt;""),SUMIFS(Movimentos!$F$4:$F$9996,Movimentos!$D$4:$D$9996,B4832,Movimentos!$C$4:$C$9996,"Entrada")-SUMIFS(Movimentos!$F$4:$F$9996,Movimentos!$D$4:$D$9996,B4832,Movimentos!$C$4:$C$9996,"Saída"),""),"")</f>
        <v/>
      </c>
      <c r="F4832" s="10" t="str">
        <f t="shared" si="154"/>
        <v/>
      </c>
    </row>
    <row r="4833" spans="1:6" x14ac:dyDescent="0.3">
      <c r="A4833" s="15" t="str">
        <f t="shared" si="153"/>
        <v>.</v>
      </c>
      <c r="E4833" s="13" t="str">
        <f>IFERROR(IF(AND(B4833&lt;&gt;"",C4833&lt;&gt;""),SUMIFS(Movimentos!$F$4:$F$9996,Movimentos!$D$4:$D$9996,B4833,Movimentos!$C$4:$C$9996,"Entrada")-SUMIFS(Movimentos!$F$4:$F$9996,Movimentos!$D$4:$D$9996,B4833,Movimentos!$C$4:$C$9996,"Saída"),""),"")</f>
        <v/>
      </c>
      <c r="F4833" s="10" t="str">
        <f t="shared" si="154"/>
        <v/>
      </c>
    </row>
    <row r="4834" spans="1:6" x14ac:dyDescent="0.3">
      <c r="A4834" s="15" t="str">
        <f t="shared" si="153"/>
        <v>.</v>
      </c>
      <c r="E4834" s="13" t="str">
        <f>IFERROR(IF(AND(B4834&lt;&gt;"",C4834&lt;&gt;""),SUMIFS(Movimentos!$F$4:$F$9996,Movimentos!$D$4:$D$9996,B4834,Movimentos!$C$4:$C$9996,"Entrada")-SUMIFS(Movimentos!$F$4:$F$9996,Movimentos!$D$4:$D$9996,B4834,Movimentos!$C$4:$C$9996,"Saída"),""),"")</f>
        <v/>
      </c>
      <c r="F4834" s="10" t="str">
        <f t="shared" si="154"/>
        <v/>
      </c>
    </row>
    <row r="4835" spans="1:6" x14ac:dyDescent="0.3">
      <c r="A4835" s="15" t="str">
        <f t="shared" si="153"/>
        <v>.</v>
      </c>
      <c r="E4835" s="13" t="str">
        <f>IFERROR(IF(AND(B4835&lt;&gt;"",C4835&lt;&gt;""),SUMIFS(Movimentos!$F$4:$F$9996,Movimentos!$D$4:$D$9996,B4835,Movimentos!$C$4:$C$9996,"Entrada")-SUMIFS(Movimentos!$F$4:$F$9996,Movimentos!$D$4:$D$9996,B4835,Movimentos!$C$4:$C$9996,"Saída"),""),"")</f>
        <v/>
      </c>
      <c r="F4835" s="10" t="str">
        <f t="shared" si="154"/>
        <v/>
      </c>
    </row>
    <row r="4836" spans="1:6" x14ac:dyDescent="0.3">
      <c r="A4836" s="15" t="str">
        <f t="shared" si="153"/>
        <v>.</v>
      </c>
      <c r="E4836" s="13" t="str">
        <f>IFERROR(IF(AND(B4836&lt;&gt;"",C4836&lt;&gt;""),SUMIFS(Movimentos!$F$4:$F$9996,Movimentos!$D$4:$D$9996,B4836,Movimentos!$C$4:$C$9996,"Entrada")-SUMIFS(Movimentos!$F$4:$F$9996,Movimentos!$D$4:$D$9996,B4836,Movimentos!$C$4:$C$9996,"Saída"),""),"")</f>
        <v/>
      </c>
      <c r="F4836" s="10" t="str">
        <f t="shared" si="154"/>
        <v/>
      </c>
    </row>
    <row r="4837" spans="1:6" x14ac:dyDescent="0.3">
      <c r="A4837" s="15" t="str">
        <f t="shared" si="153"/>
        <v>.</v>
      </c>
      <c r="E4837" s="13" t="str">
        <f>IFERROR(IF(AND(B4837&lt;&gt;"",C4837&lt;&gt;""),SUMIFS(Movimentos!$F$4:$F$9996,Movimentos!$D$4:$D$9996,B4837,Movimentos!$C$4:$C$9996,"Entrada")-SUMIFS(Movimentos!$F$4:$F$9996,Movimentos!$D$4:$D$9996,B4837,Movimentos!$C$4:$C$9996,"Saída"),""),"")</f>
        <v/>
      </c>
      <c r="F4837" s="10" t="str">
        <f t="shared" si="154"/>
        <v/>
      </c>
    </row>
    <row r="4838" spans="1:6" x14ac:dyDescent="0.3">
      <c r="A4838" s="15" t="str">
        <f t="shared" si="153"/>
        <v>.</v>
      </c>
      <c r="E4838" s="13" t="str">
        <f>IFERROR(IF(AND(B4838&lt;&gt;"",C4838&lt;&gt;""),SUMIFS(Movimentos!$F$4:$F$9996,Movimentos!$D$4:$D$9996,B4838,Movimentos!$C$4:$C$9996,"Entrada")-SUMIFS(Movimentos!$F$4:$F$9996,Movimentos!$D$4:$D$9996,B4838,Movimentos!$C$4:$C$9996,"Saída"),""),"")</f>
        <v/>
      </c>
      <c r="F4838" s="10" t="str">
        <f t="shared" si="154"/>
        <v/>
      </c>
    </row>
    <row r="4839" spans="1:6" x14ac:dyDescent="0.3">
      <c r="A4839" s="15" t="str">
        <f t="shared" si="153"/>
        <v>.</v>
      </c>
      <c r="E4839" s="13" t="str">
        <f>IFERROR(IF(AND(B4839&lt;&gt;"",C4839&lt;&gt;""),SUMIFS(Movimentos!$F$4:$F$9996,Movimentos!$D$4:$D$9996,B4839,Movimentos!$C$4:$C$9996,"Entrada")-SUMIFS(Movimentos!$F$4:$F$9996,Movimentos!$D$4:$D$9996,B4839,Movimentos!$C$4:$C$9996,"Saída"),""),"")</f>
        <v/>
      </c>
      <c r="F4839" s="10" t="str">
        <f t="shared" si="154"/>
        <v/>
      </c>
    </row>
    <row r="4840" spans="1:6" x14ac:dyDescent="0.3">
      <c r="A4840" s="15" t="str">
        <f t="shared" si="153"/>
        <v>.</v>
      </c>
      <c r="E4840" s="13" t="str">
        <f>IFERROR(IF(AND(B4840&lt;&gt;"",C4840&lt;&gt;""),SUMIFS(Movimentos!$F$4:$F$9996,Movimentos!$D$4:$D$9996,B4840,Movimentos!$C$4:$C$9996,"Entrada")-SUMIFS(Movimentos!$F$4:$F$9996,Movimentos!$D$4:$D$9996,B4840,Movimentos!$C$4:$C$9996,"Saída"),""),"")</f>
        <v/>
      </c>
      <c r="F4840" s="10" t="str">
        <f t="shared" si="154"/>
        <v/>
      </c>
    </row>
    <row r="4841" spans="1:6" x14ac:dyDescent="0.3">
      <c r="A4841" s="15" t="str">
        <f t="shared" si="153"/>
        <v>.</v>
      </c>
      <c r="E4841" s="13" t="str">
        <f>IFERROR(IF(AND(B4841&lt;&gt;"",C4841&lt;&gt;""),SUMIFS(Movimentos!$F$4:$F$9996,Movimentos!$D$4:$D$9996,B4841,Movimentos!$C$4:$C$9996,"Entrada")-SUMIFS(Movimentos!$F$4:$F$9996,Movimentos!$D$4:$D$9996,B4841,Movimentos!$C$4:$C$9996,"Saída"),""),"")</f>
        <v/>
      </c>
      <c r="F4841" s="10" t="str">
        <f t="shared" si="154"/>
        <v/>
      </c>
    </row>
    <row r="4842" spans="1:6" x14ac:dyDescent="0.3">
      <c r="A4842" s="15" t="str">
        <f t="shared" si="153"/>
        <v>.</v>
      </c>
      <c r="E4842" s="13" t="str">
        <f>IFERROR(IF(AND(B4842&lt;&gt;"",C4842&lt;&gt;""),SUMIFS(Movimentos!$F$4:$F$9996,Movimentos!$D$4:$D$9996,B4842,Movimentos!$C$4:$C$9996,"Entrada")-SUMIFS(Movimentos!$F$4:$F$9996,Movimentos!$D$4:$D$9996,B4842,Movimentos!$C$4:$C$9996,"Saída"),""),"")</f>
        <v/>
      </c>
      <c r="F4842" s="10" t="str">
        <f t="shared" si="154"/>
        <v/>
      </c>
    </row>
    <row r="4843" spans="1:6" x14ac:dyDescent="0.3">
      <c r="A4843" s="15" t="str">
        <f t="shared" si="153"/>
        <v>.</v>
      </c>
      <c r="E4843" s="13" t="str">
        <f>IFERROR(IF(AND(B4843&lt;&gt;"",C4843&lt;&gt;""),SUMIFS(Movimentos!$F$4:$F$9996,Movimentos!$D$4:$D$9996,B4843,Movimentos!$C$4:$C$9996,"Entrada")-SUMIFS(Movimentos!$F$4:$F$9996,Movimentos!$D$4:$D$9996,B4843,Movimentos!$C$4:$C$9996,"Saída"),""),"")</f>
        <v/>
      </c>
      <c r="F4843" s="10" t="str">
        <f t="shared" si="154"/>
        <v/>
      </c>
    </row>
    <row r="4844" spans="1:6" x14ac:dyDescent="0.3">
      <c r="A4844" s="15" t="str">
        <f t="shared" si="153"/>
        <v>.</v>
      </c>
      <c r="E4844" s="13" t="str">
        <f>IFERROR(IF(AND(B4844&lt;&gt;"",C4844&lt;&gt;""),SUMIFS(Movimentos!$F$4:$F$9996,Movimentos!$D$4:$D$9996,B4844,Movimentos!$C$4:$C$9996,"Entrada")-SUMIFS(Movimentos!$F$4:$F$9996,Movimentos!$D$4:$D$9996,B4844,Movimentos!$C$4:$C$9996,"Saída"),""),"")</f>
        <v/>
      </c>
      <c r="F4844" s="10" t="str">
        <f t="shared" si="154"/>
        <v/>
      </c>
    </row>
    <row r="4845" spans="1:6" x14ac:dyDescent="0.3">
      <c r="A4845" s="15" t="str">
        <f t="shared" si="153"/>
        <v>.</v>
      </c>
      <c r="E4845" s="13" t="str">
        <f>IFERROR(IF(AND(B4845&lt;&gt;"",C4845&lt;&gt;""),SUMIFS(Movimentos!$F$4:$F$9996,Movimentos!$D$4:$D$9996,B4845,Movimentos!$C$4:$C$9996,"Entrada")-SUMIFS(Movimentos!$F$4:$F$9996,Movimentos!$D$4:$D$9996,B4845,Movimentos!$C$4:$C$9996,"Saída"),""),"")</f>
        <v/>
      </c>
      <c r="F4845" s="10" t="str">
        <f t="shared" si="154"/>
        <v/>
      </c>
    </row>
    <row r="4846" spans="1:6" x14ac:dyDescent="0.3">
      <c r="A4846" s="15" t="str">
        <f t="shared" si="153"/>
        <v>.</v>
      </c>
      <c r="E4846" s="13" t="str">
        <f>IFERROR(IF(AND(B4846&lt;&gt;"",C4846&lt;&gt;""),SUMIFS(Movimentos!$F$4:$F$9996,Movimentos!$D$4:$D$9996,B4846,Movimentos!$C$4:$C$9996,"Entrada")-SUMIFS(Movimentos!$F$4:$F$9996,Movimentos!$D$4:$D$9996,B4846,Movimentos!$C$4:$C$9996,"Saída"),""),"")</f>
        <v/>
      </c>
      <c r="F4846" s="10" t="str">
        <f t="shared" si="154"/>
        <v/>
      </c>
    </row>
    <row r="4847" spans="1:6" x14ac:dyDescent="0.3">
      <c r="A4847" s="15" t="str">
        <f t="shared" si="153"/>
        <v>.</v>
      </c>
      <c r="E4847" s="13" t="str">
        <f>IFERROR(IF(AND(B4847&lt;&gt;"",C4847&lt;&gt;""),SUMIFS(Movimentos!$F$4:$F$9996,Movimentos!$D$4:$D$9996,B4847,Movimentos!$C$4:$C$9996,"Entrada")-SUMIFS(Movimentos!$F$4:$F$9996,Movimentos!$D$4:$D$9996,B4847,Movimentos!$C$4:$C$9996,"Saída"),""),"")</f>
        <v/>
      </c>
      <c r="F4847" s="10" t="str">
        <f t="shared" si="154"/>
        <v/>
      </c>
    </row>
    <row r="4848" spans="1:6" x14ac:dyDescent="0.3">
      <c r="A4848" s="15" t="str">
        <f t="shared" si="153"/>
        <v>.</v>
      </c>
      <c r="E4848" s="13" t="str">
        <f>IFERROR(IF(AND(B4848&lt;&gt;"",C4848&lt;&gt;""),SUMIFS(Movimentos!$F$4:$F$9996,Movimentos!$D$4:$D$9996,B4848,Movimentos!$C$4:$C$9996,"Entrada")-SUMIFS(Movimentos!$F$4:$F$9996,Movimentos!$D$4:$D$9996,B4848,Movimentos!$C$4:$C$9996,"Saída"),""),"")</f>
        <v/>
      </c>
      <c r="F4848" s="10" t="str">
        <f t="shared" si="154"/>
        <v/>
      </c>
    </row>
    <row r="4849" spans="1:6" x14ac:dyDescent="0.3">
      <c r="A4849" s="15" t="str">
        <f t="shared" si="153"/>
        <v>.</v>
      </c>
      <c r="E4849" s="13" t="str">
        <f>IFERROR(IF(AND(B4849&lt;&gt;"",C4849&lt;&gt;""),SUMIFS(Movimentos!$F$4:$F$9996,Movimentos!$D$4:$D$9996,B4849,Movimentos!$C$4:$C$9996,"Entrada")-SUMIFS(Movimentos!$F$4:$F$9996,Movimentos!$D$4:$D$9996,B4849,Movimentos!$C$4:$C$9996,"Saída"),""),"")</f>
        <v/>
      </c>
      <c r="F4849" s="10" t="str">
        <f t="shared" si="154"/>
        <v/>
      </c>
    </row>
    <row r="4850" spans="1:6" x14ac:dyDescent="0.3">
      <c r="A4850" s="15" t="str">
        <f t="shared" si="153"/>
        <v>.</v>
      </c>
      <c r="E4850" s="13" t="str">
        <f>IFERROR(IF(AND(B4850&lt;&gt;"",C4850&lt;&gt;""),SUMIFS(Movimentos!$F$4:$F$9996,Movimentos!$D$4:$D$9996,B4850,Movimentos!$C$4:$C$9996,"Entrada")-SUMIFS(Movimentos!$F$4:$F$9996,Movimentos!$D$4:$D$9996,B4850,Movimentos!$C$4:$C$9996,"Saída"),""),"")</f>
        <v/>
      </c>
      <c r="F4850" s="10" t="str">
        <f t="shared" si="154"/>
        <v/>
      </c>
    </row>
    <row r="4851" spans="1:6" x14ac:dyDescent="0.3">
      <c r="A4851" s="15" t="str">
        <f t="shared" si="153"/>
        <v>.</v>
      </c>
      <c r="E4851" s="13" t="str">
        <f>IFERROR(IF(AND(B4851&lt;&gt;"",C4851&lt;&gt;""),SUMIFS(Movimentos!$F$4:$F$9996,Movimentos!$D$4:$D$9996,B4851,Movimentos!$C$4:$C$9996,"Entrada")-SUMIFS(Movimentos!$F$4:$F$9996,Movimentos!$D$4:$D$9996,B4851,Movimentos!$C$4:$C$9996,"Saída"),""),"")</f>
        <v/>
      </c>
      <c r="F4851" s="10" t="str">
        <f t="shared" si="154"/>
        <v/>
      </c>
    </row>
    <row r="4852" spans="1:6" x14ac:dyDescent="0.3">
      <c r="A4852" s="15" t="str">
        <f t="shared" si="153"/>
        <v>.</v>
      </c>
      <c r="E4852" s="13" t="str">
        <f>IFERROR(IF(AND(B4852&lt;&gt;"",C4852&lt;&gt;""),SUMIFS(Movimentos!$F$4:$F$9996,Movimentos!$D$4:$D$9996,B4852,Movimentos!$C$4:$C$9996,"Entrada")-SUMIFS(Movimentos!$F$4:$F$9996,Movimentos!$D$4:$D$9996,B4852,Movimentos!$C$4:$C$9996,"Saída"),""),"")</f>
        <v/>
      </c>
      <c r="F4852" s="10" t="str">
        <f t="shared" si="154"/>
        <v/>
      </c>
    </row>
    <row r="4853" spans="1:6" x14ac:dyDescent="0.3">
      <c r="A4853" s="15" t="str">
        <f t="shared" si="153"/>
        <v>.</v>
      </c>
      <c r="E4853" s="13" t="str">
        <f>IFERROR(IF(AND(B4853&lt;&gt;"",C4853&lt;&gt;""),SUMIFS(Movimentos!$F$4:$F$9996,Movimentos!$D$4:$D$9996,B4853,Movimentos!$C$4:$C$9996,"Entrada")-SUMIFS(Movimentos!$F$4:$F$9996,Movimentos!$D$4:$D$9996,B4853,Movimentos!$C$4:$C$9996,"Saída"),""),"")</f>
        <v/>
      </c>
      <c r="F4853" s="10" t="str">
        <f t="shared" si="154"/>
        <v/>
      </c>
    </row>
    <row r="4854" spans="1:6" x14ac:dyDescent="0.3">
      <c r="A4854" s="15" t="str">
        <f t="shared" si="153"/>
        <v>.</v>
      </c>
      <c r="E4854" s="13" t="str">
        <f>IFERROR(IF(AND(B4854&lt;&gt;"",C4854&lt;&gt;""),SUMIFS(Movimentos!$F$4:$F$9996,Movimentos!$D$4:$D$9996,B4854,Movimentos!$C$4:$C$9996,"Entrada")-SUMIFS(Movimentos!$F$4:$F$9996,Movimentos!$D$4:$D$9996,B4854,Movimentos!$C$4:$C$9996,"Saída"),""),"")</f>
        <v/>
      </c>
      <c r="F4854" s="10" t="str">
        <f t="shared" si="154"/>
        <v/>
      </c>
    </row>
    <row r="4855" spans="1:6" x14ac:dyDescent="0.3">
      <c r="A4855" s="15" t="str">
        <f t="shared" si="153"/>
        <v>.</v>
      </c>
      <c r="E4855" s="13" t="str">
        <f>IFERROR(IF(AND(B4855&lt;&gt;"",C4855&lt;&gt;""),SUMIFS(Movimentos!$F$4:$F$9996,Movimentos!$D$4:$D$9996,B4855,Movimentos!$C$4:$C$9996,"Entrada")-SUMIFS(Movimentos!$F$4:$F$9996,Movimentos!$D$4:$D$9996,B4855,Movimentos!$C$4:$C$9996,"Saída"),""),"")</f>
        <v/>
      </c>
      <c r="F4855" s="10" t="str">
        <f t="shared" si="154"/>
        <v/>
      </c>
    </row>
    <row r="4856" spans="1:6" x14ac:dyDescent="0.3">
      <c r="A4856" s="15" t="str">
        <f t="shared" si="153"/>
        <v>.</v>
      </c>
      <c r="E4856" s="13" t="str">
        <f>IFERROR(IF(AND(B4856&lt;&gt;"",C4856&lt;&gt;""),SUMIFS(Movimentos!$F$4:$F$9996,Movimentos!$D$4:$D$9996,B4856,Movimentos!$C$4:$C$9996,"Entrada")-SUMIFS(Movimentos!$F$4:$F$9996,Movimentos!$D$4:$D$9996,B4856,Movimentos!$C$4:$C$9996,"Saída"),""),"")</f>
        <v/>
      </c>
      <c r="F4856" s="10" t="str">
        <f t="shared" si="154"/>
        <v/>
      </c>
    </row>
    <row r="4857" spans="1:6" x14ac:dyDescent="0.3">
      <c r="A4857" s="15" t="str">
        <f t="shared" si="153"/>
        <v>.</v>
      </c>
      <c r="E4857" s="13" t="str">
        <f>IFERROR(IF(AND(B4857&lt;&gt;"",C4857&lt;&gt;""),SUMIFS(Movimentos!$F$4:$F$9996,Movimentos!$D$4:$D$9996,B4857,Movimentos!$C$4:$C$9996,"Entrada")-SUMIFS(Movimentos!$F$4:$F$9996,Movimentos!$D$4:$D$9996,B4857,Movimentos!$C$4:$C$9996,"Saída"),""),"")</f>
        <v/>
      </c>
      <c r="F4857" s="10" t="str">
        <f t="shared" si="154"/>
        <v/>
      </c>
    </row>
    <row r="4858" spans="1:6" x14ac:dyDescent="0.3">
      <c r="A4858" s="15" t="str">
        <f t="shared" si="153"/>
        <v>.</v>
      </c>
      <c r="E4858" s="13" t="str">
        <f>IFERROR(IF(AND(B4858&lt;&gt;"",C4858&lt;&gt;""),SUMIFS(Movimentos!$F$4:$F$9996,Movimentos!$D$4:$D$9996,B4858,Movimentos!$C$4:$C$9996,"Entrada")-SUMIFS(Movimentos!$F$4:$F$9996,Movimentos!$D$4:$D$9996,B4858,Movimentos!$C$4:$C$9996,"Saída"),""),"")</f>
        <v/>
      </c>
      <c r="F4858" s="10" t="str">
        <f t="shared" si="154"/>
        <v/>
      </c>
    </row>
    <row r="4859" spans="1:6" x14ac:dyDescent="0.3">
      <c r="A4859" s="15" t="str">
        <f t="shared" si="153"/>
        <v>.</v>
      </c>
      <c r="E4859" s="13" t="str">
        <f>IFERROR(IF(AND(B4859&lt;&gt;"",C4859&lt;&gt;""),SUMIFS(Movimentos!$F$4:$F$9996,Movimentos!$D$4:$D$9996,B4859,Movimentos!$C$4:$C$9996,"Entrada")-SUMIFS(Movimentos!$F$4:$F$9996,Movimentos!$D$4:$D$9996,B4859,Movimentos!$C$4:$C$9996,"Saída"),""),"")</f>
        <v/>
      </c>
      <c r="F4859" s="10" t="str">
        <f t="shared" si="154"/>
        <v/>
      </c>
    </row>
    <row r="4860" spans="1:6" x14ac:dyDescent="0.3">
      <c r="A4860" s="15" t="str">
        <f t="shared" si="153"/>
        <v>.</v>
      </c>
      <c r="E4860" s="13" t="str">
        <f>IFERROR(IF(AND(B4860&lt;&gt;"",C4860&lt;&gt;""),SUMIFS(Movimentos!$F$4:$F$9996,Movimentos!$D$4:$D$9996,B4860,Movimentos!$C$4:$C$9996,"Entrada")-SUMIFS(Movimentos!$F$4:$F$9996,Movimentos!$D$4:$D$9996,B4860,Movimentos!$C$4:$C$9996,"Saída"),""),"")</f>
        <v/>
      </c>
      <c r="F4860" s="10" t="str">
        <f t="shared" si="154"/>
        <v/>
      </c>
    </row>
    <row r="4861" spans="1:6" x14ac:dyDescent="0.3">
      <c r="A4861" s="15" t="str">
        <f t="shared" si="153"/>
        <v>.</v>
      </c>
      <c r="E4861" s="13" t="str">
        <f>IFERROR(IF(AND(B4861&lt;&gt;"",C4861&lt;&gt;""),SUMIFS(Movimentos!$F$4:$F$9996,Movimentos!$D$4:$D$9996,B4861,Movimentos!$C$4:$C$9996,"Entrada")-SUMIFS(Movimentos!$F$4:$F$9996,Movimentos!$D$4:$D$9996,B4861,Movimentos!$C$4:$C$9996,"Saída"),""),"")</f>
        <v/>
      </c>
      <c r="F4861" s="10" t="str">
        <f t="shared" si="154"/>
        <v/>
      </c>
    </row>
    <row r="4862" spans="1:6" x14ac:dyDescent="0.3">
      <c r="A4862" s="15" t="str">
        <f t="shared" si="153"/>
        <v>.</v>
      </c>
      <c r="E4862" s="13" t="str">
        <f>IFERROR(IF(AND(B4862&lt;&gt;"",C4862&lt;&gt;""),SUMIFS(Movimentos!$F$4:$F$9996,Movimentos!$D$4:$D$9996,B4862,Movimentos!$C$4:$C$9996,"Entrada")-SUMIFS(Movimentos!$F$4:$F$9996,Movimentos!$D$4:$D$9996,B4862,Movimentos!$C$4:$C$9996,"Saída"),""),"")</f>
        <v/>
      </c>
      <c r="F4862" s="10" t="str">
        <f t="shared" si="154"/>
        <v/>
      </c>
    </row>
    <row r="4863" spans="1:6" x14ac:dyDescent="0.3">
      <c r="A4863" s="15" t="str">
        <f t="shared" si="153"/>
        <v>.</v>
      </c>
      <c r="E4863" s="13" t="str">
        <f>IFERROR(IF(AND(B4863&lt;&gt;"",C4863&lt;&gt;""),SUMIFS(Movimentos!$F$4:$F$9996,Movimentos!$D$4:$D$9996,B4863,Movimentos!$C$4:$C$9996,"Entrada")-SUMIFS(Movimentos!$F$4:$F$9996,Movimentos!$D$4:$D$9996,B4863,Movimentos!$C$4:$C$9996,"Saída"),""),"")</f>
        <v/>
      </c>
      <c r="F4863" s="10" t="str">
        <f t="shared" si="154"/>
        <v/>
      </c>
    </row>
    <row r="4864" spans="1:6" x14ac:dyDescent="0.3">
      <c r="A4864" s="15" t="str">
        <f t="shared" ref="A4864:A4927" si="155">IF(F4864="Saldo zerado",0,IF(F4864="Saldo abaixo do mínimo",1,IF(F4864="Saldo disponível",2,".")))</f>
        <v>.</v>
      </c>
      <c r="E4864" s="13" t="str">
        <f>IFERROR(IF(AND(B4864&lt;&gt;"",C4864&lt;&gt;""),SUMIFS(Movimentos!$F$4:$F$9996,Movimentos!$D$4:$D$9996,B4864,Movimentos!$C$4:$C$9996,"Entrada")-SUMIFS(Movimentos!$F$4:$F$9996,Movimentos!$D$4:$D$9996,B4864,Movimentos!$C$4:$C$9996,"Saída"),""),"")</f>
        <v/>
      </c>
      <c r="F4864" s="10" t="str">
        <f t="shared" si="154"/>
        <v/>
      </c>
    </row>
    <row r="4865" spans="1:6" x14ac:dyDescent="0.3">
      <c r="A4865" s="15" t="str">
        <f t="shared" si="155"/>
        <v>.</v>
      </c>
      <c r="E4865" s="13" t="str">
        <f>IFERROR(IF(AND(B4865&lt;&gt;"",C4865&lt;&gt;""),SUMIFS(Movimentos!$F$4:$F$9996,Movimentos!$D$4:$D$9996,B4865,Movimentos!$C$4:$C$9996,"Entrada")-SUMIFS(Movimentos!$F$4:$F$9996,Movimentos!$D$4:$D$9996,B4865,Movimentos!$C$4:$C$9996,"Saída"),""),"")</f>
        <v/>
      </c>
      <c r="F4865" s="10" t="str">
        <f t="shared" si="154"/>
        <v/>
      </c>
    </row>
    <row r="4866" spans="1:6" x14ac:dyDescent="0.3">
      <c r="A4866" s="15" t="str">
        <f t="shared" si="155"/>
        <v>.</v>
      </c>
      <c r="E4866" s="13" t="str">
        <f>IFERROR(IF(AND(B4866&lt;&gt;"",C4866&lt;&gt;""),SUMIFS(Movimentos!$F$4:$F$9996,Movimentos!$D$4:$D$9996,B4866,Movimentos!$C$4:$C$9996,"Entrada")-SUMIFS(Movimentos!$F$4:$F$9996,Movimentos!$D$4:$D$9996,B4866,Movimentos!$C$4:$C$9996,"Saída"),""),"")</f>
        <v/>
      </c>
      <c r="F4866" s="10" t="str">
        <f t="shared" si="154"/>
        <v/>
      </c>
    </row>
    <row r="4867" spans="1:6" x14ac:dyDescent="0.3">
      <c r="A4867" s="15" t="str">
        <f t="shared" si="155"/>
        <v>.</v>
      </c>
      <c r="E4867" s="13" t="str">
        <f>IFERROR(IF(AND(B4867&lt;&gt;"",C4867&lt;&gt;""),SUMIFS(Movimentos!$F$4:$F$9996,Movimentos!$D$4:$D$9996,B4867,Movimentos!$C$4:$C$9996,"Entrada")-SUMIFS(Movimentos!$F$4:$F$9996,Movimentos!$D$4:$D$9996,B4867,Movimentos!$C$4:$C$9996,"Saída"),""),"")</f>
        <v/>
      </c>
      <c r="F4867" s="10" t="str">
        <f t="shared" si="154"/>
        <v/>
      </c>
    </row>
    <row r="4868" spans="1:6" x14ac:dyDescent="0.3">
      <c r="A4868" s="15" t="str">
        <f t="shared" si="155"/>
        <v>.</v>
      </c>
      <c r="E4868" s="13" t="str">
        <f>IFERROR(IF(AND(B4868&lt;&gt;"",C4868&lt;&gt;""),SUMIFS(Movimentos!$F$4:$F$9996,Movimentos!$D$4:$D$9996,B4868,Movimentos!$C$4:$C$9996,"Entrada")-SUMIFS(Movimentos!$F$4:$F$9996,Movimentos!$D$4:$D$9996,B4868,Movimentos!$C$4:$C$9996,"Saída"),""),"")</f>
        <v/>
      </c>
      <c r="F4868" s="10" t="str">
        <f t="shared" si="154"/>
        <v/>
      </c>
    </row>
    <row r="4869" spans="1:6" x14ac:dyDescent="0.3">
      <c r="A4869" s="15" t="str">
        <f t="shared" si="155"/>
        <v>.</v>
      </c>
      <c r="E4869" s="13" t="str">
        <f>IFERROR(IF(AND(B4869&lt;&gt;"",C4869&lt;&gt;""),SUMIFS(Movimentos!$F$4:$F$9996,Movimentos!$D$4:$D$9996,B4869,Movimentos!$C$4:$C$9996,"Entrada")-SUMIFS(Movimentos!$F$4:$F$9996,Movimentos!$D$4:$D$9996,B4869,Movimentos!$C$4:$C$9996,"Saída"),""),"")</f>
        <v/>
      </c>
      <c r="F4869" s="10" t="str">
        <f t="shared" si="154"/>
        <v/>
      </c>
    </row>
    <row r="4870" spans="1:6" x14ac:dyDescent="0.3">
      <c r="A4870" s="15" t="str">
        <f t="shared" si="155"/>
        <v>.</v>
      </c>
      <c r="E4870" s="13" t="str">
        <f>IFERROR(IF(AND(B4870&lt;&gt;"",C4870&lt;&gt;""),SUMIFS(Movimentos!$F$4:$F$9996,Movimentos!$D$4:$D$9996,B4870,Movimentos!$C$4:$C$9996,"Entrada")-SUMIFS(Movimentos!$F$4:$F$9996,Movimentos!$D$4:$D$9996,B4870,Movimentos!$C$4:$C$9996,"Saída"),""),"")</f>
        <v/>
      </c>
      <c r="F4870" s="10" t="str">
        <f t="shared" si="154"/>
        <v/>
      </c>
    </row>
    <row r="4871" spans="1:6" x14ac:dyDescent="0.3">
      <c r="A4871" s="15" t="str">
        <f t="shared" si="155"/>
        <v>.</v>
      </c>
      <c r="E4871" s="13" t="str">
        <f>IFERROR(IF(AND(B4871&lt;&gt;"",C4871&lt;&gt;""),SUMIFS(Movimentos!$F$4:$F$9996,Movimentos!$D$4:$D$9996,B4871,Movimentos!$C$4:$C$9996,"Entrada")-SUMIFS(Movimentos!$F$4:$F$9996,Movimentos!$D$4:$D$9996,B4871,Movimentos!$C$4:$C$9996,"Saída"),""),"")</f>
        <v/>
      </c>
      <c r="F4871" s="10" t="str">
        <f t="shared" si="154"/>
        <v/>
      </c>
    </row>
    <row r="4872" spans="1:6" x14ac:dyDescent="0.3">
      <c r="A4872" s="15" t="str">
        <f t="shared" si="155"/>
        <v>.</v>
      </c>
      <c r="E4872" s="13" t="str">
        <f>IFERROR(IF(AND(B4872&lt;&gt;"",C4872&lt;&gt;""),SUMIFS(Movimentos!$F$4:$F$9996,Movimentos!$D$4:$D$9996,B4872,Movimentos!$C$4:$C$9996,"Entrada")-SUMIFS(Movimentos!$F$4:$F$9996,Movimentos!$D$4:$D$9996,B4872,Movimentos!$C$4:$C$9996,"Saída"),""),"")</f>
        <v/>
      </c>
      <c r="F4872" s="10" t="str">
        <f t="shared" si="154"/>
        <v/>
      </c>
    </row>
    <row r="4873" spans="1:6" x14ac:dyDescent="0.3">
      <c r="A4873" s="15" t="str">
        <f t="shared" si="155"/>
        <v>.</v>
      </c>
      <c r="E4873" s="13" t="str">
        <f>IFERROR(IF(AND(B4873&lt;&gt;"",C4873&lt;&gt;""),SUMIFS(Movimentos!$F$4:$F$9996,Movimentos!$D$4:$D$9996,B4873,Movimentos!$C$4:$C$9996,"Entrada")-SUMIFS(Movimentos!$F$4:$F$9996,Movimentos!$D$4:$D$9996,B4873,Movimentos!$C$4:$C$9996,"Saída"),""),"")</f>
        <v/>
      </c>
      <c r="F4873" s="10" t="str">
        <f t="shared" si="154"/>
        <v/>
      </c>
    </row>
    <row r="4874" spans="1:6" x14ac:dyDescent="0.3">
      <c r="A4874" s="15" t="str">
        <f t="shared" si="155"/>
        <v>.</v>
      </c>
      <c r="E4874" s="13" t="str">
        <f>IFERROR(IF(AND(B4874&lt;&gt;"",C4874&lt;&gt;""),SUMIFS(Movimentos!$F$4:$F$9996,Movimentos!$D$4:$D$9996,B4874,Movimentos!$C$4:$C$9996,"Entrada")-SUMIFS(Movimentos!$F$4:$F$9996,Movimentos!$D$4:$D$9996,B4874,Movimentos!$C$4:$C$9996,"Saída"),""),"")</f>
        <v/>
      </c>
      <c r="F4874" s="10" t="str">
        <f t="shared" si="154"/>
        <v/>
      </c>
    </row>
    <row r="4875" spans="1:6" x14ac:dyDescent="0.3">
      <c r="A4875" s="15" t="str">
        <f t="shared" si="155"/>
        <v>.</v>
      </c>
      <c r="E4875" s="13" t="str">
        <f>IFERROR(IF(AND(B4875&lt;&gt;"",C4875&lt;&gt;""),SUMIFS(Movimentos!$F$4:$F$9996,Movimentos!$D$4:$D$9996,B4875,Movimentos!$C$4:$C$9996,"Entrada")-SUMIFS(Movimentos!$F$4:$F$9996,Movimentos!$D$4:$D$9996,B4875,Movimentos!$C$4:$C$9996,"Saída"),""),"")</f>
        <v/>
      </c>
      <c r="F4875" s="10" t="str">
        <f t="shared" si="154"/>
        <v/>
      </c>
    </row>
    <row r="4876" spans="1:6" x14ac:dyDescent="0.3">
      <c r="A4876" s="15" t="str">
        <f t="shared" si="155"/>
        <v>.</v>
      </c>
      <c r="E4876" s="13" t="str">
        <f>IFERROR(IF(AND(B4876&lt;&gt;"",C4876&lt;&gt;""),SUMIFS(Movimentos!$F$4:$F$9996,Movimentos!$D$4:$D$9996,B4876,Movimentos!$C$4:$C$9996,"Entrada")-SUMIFS(Movimentos!$F$4:$F$9996,Movimentos!$D$4:$D$9996,B4876,Movimentos!$C$4:$C$9996,"Saída"),""),"")</f>
        <v/>
      </c>
      <c r="F4876" s="10" t="str">
        <f t="shared" si="154"/>
        <v/>
      </c>
    </row>
    <row r="4877" spans="1:6" x14ac:dyDescent="0.3">
      <c r="A4877" s="15" t="str">
        <f t="shared" si="155"/>
        <v>.</v>
      </c>
      <c r="E4877" s="13" t="str">
        <f>IFERROR(IF(AND(B4877&lt;&gt;"",C4877&lt;&gt;""),SUMIFS(Movimentos!$F$4:$F$9996,Movimentos!$D$4:$D$9996,B4877,Movimentos!$C$4:$C$9996,"Entrada")-SUMIFS(Movimentos!$F$4:$F$9996,Movimentos!$D$4:$D$9996,B4877,Movimentos!$C$4:$C$9996,"Saída"),""),"")</f>
        <v/>
      </c>
      <c r="F4877" s="10" t="str">
        <f t="shared" si="154"/>
        <v/>
      </c>
    </row>
    <row r="4878" spans="1:6" x14ac:dyDescent="0.3">
      <c r="A4878" s="15" t="str">
        <f t="shared" si="155"/>
        <v>.</v>
      </c>
      <c r="E4878" s="13" t="str">
        <f>IFERROR(IF(AND(B4878&lt;&gt;"",C4878&lt;&gt;""),SUMIFS(Movimentos!$F$4:$F$9996,Movimentos!$D$4:$D$9996,B4878,Movimentos!$C$4:$C$9996,"Entrada")-SUMIFS(Movimentos!$F$4:$F$9996,Movimentos!$D$4:$D$9996,B4878,Movimentos!$C$4:$C$9996,"Saída"),""),"")</f>
        <v/>
      </c>
      <c r="F4878" s="10" t="str">
        <f t="shared" si="154"/>
        <v/>
      </c>
    </row>
    <row r="4879" spans="1:6" x14ac:dyDescent="0.3">
      <c r="A4879" s="15" t="str">
        <f t="shared" si="155"/>
        <v>.</v>
      </c>
      <c r="E4879" s="13" t="str">
        <f>IFERROR(IF(AND(B4879&lt;&gt;"",C4879&lt;&gt;""),SUMIFS(Movimentos!$F$4:$F$9996,Movimentos!$D$4:$D$9996,B4879,Movimentos!$C$4:$C$9996,"Entrada")-SUMIFS(Movimentos!$F$4:$F$9996,Movimentos!$D$4:$D$9996,B4879,Movimentos!$C$4:$C$9996,"Saída"),""),"")</f>
        <v/>
      </c>
      <c r="F4879" s="10" t="str">
        <f t="shared" si="154"/>
        <v/>
      </c>
    </row>
    <row r="4880" spans="1:6" x14ac:dyDescent="0.3">
      <c r="A4880" s="15" t="str">
        <f t="shared" si="155"/>
        <v>.</v>
      </c>
      <c r="E4880" s="13" t="str">
        <f>IFERROR(IF(AND(B4880&lt;&gt;"",C4880&lt;&gt;""),SUMIFS(Movimentos!$F$4:$F$9996,Movimentos!$D$4:$D$9996,B4880,Movimentos!$C$4:$C$9996,"Entrada")-SUMIFS(Movimentos!$F$4:$F$9996,Movimentos!$D$4:$D$9996,B4880,Movimentos!$C$4:$C$9996,"Saída"),""),"")</f>
        <v/>
      </c>
      <c r="F4880" s="10" t="str">
        <f t="shared" si="154"/>
        <v/>
      </c>
    </row>
    <row r="4881" spans="1:6" x14ac:dyDescent="0.3">
      <c r="A4881" s="15" t="str">
        <f t="shared" si="155"/>
        <v>.</v>
      </c>
      <c r="E4881" s="13" t="str">
        <f>IFERROR(IF(AND(B4881&lt;&gt;"",C4881&lt;&gt;""),SUMIFS(Movimentos!$F$4:$F$9996,Movimentos!$D$4:$D$9996,B4881,Movimentos!$C$4:$C$9996,"Entrada")-SUMIFS(Movimentos!$F$4:$F$9996,Movimentos!$D$4:$D$9996,B4881,Movimentos!$C$4:$C$9996,"Saída"),""),"")</f>
        <v/>
      </c>
      <c r="F4881" s="10" t="str">
        <f t="shared" si="154"/>
        <v/>
      </c>
    </row>
    <row r="4882" spans="1:6" x14ac:dyDescent="0.3">
      <c r="A4882" s="15" t="str">
        <f t="shared" si="155"/>
        <v>.</v>
      </c>
      <c r="E4882" s="13" t="str">
        <f>IFERROR(IF(AND(B4882&lt;&gt;"",C4882&lt;&gt;""),SUMIFS(Movimentos!$F$4:$F$9996,Movimentos!$D$4:$D$9996,B4882,Movimentos!$C$4:$C$9996,"Entrada")-SUMIFS(Movimentos!$F$4:$F$9996,Movimentos!$D$4:$D$9996,B4882,Movimentos!$C$4:$C$9996,"Saída"),""),"")</f>
        <v/>
      </c>
      <c r="F4882" s="10" t="str">
        <f t="shared" si="154"/>
        <v/>
      </c>
    </row>
    <row r="4883" spans="1:6" x14ac:dyDescent="0.3">
      <c r="A4883" s="15" t="str">
        <f t="shared" si="155"/>
        <v>.</v>
      </c>
      <c r="E4883" s="13" t="str">
        <f>IFERROR(IF(AND(B4883&lt;&gt;"",C4883&lt;&gt;""),SUMIFS(Movimentos!$F$4:$F$9996,Movimentos!$D$4:$D$9996,B4883,Movimentos!$C$4:$C$9996,"Entrada")-SUMIFS(Movimentos!$F$4:$F$9996,Movimentos!$D$4:$D$9996,B4883,Movimentos!$C$4:$C$9996,"Saída"),""),"")</f>
        <v/>
      </c>
      <c r="F4883" s="10" t="str">
        <f t="shared" si="154"/>
        <v/>
      </c>
    </row>
    <row r="4884" spans="1:6" x14ac:dyDescent="0.3">
      <c r="A4884" s="15" t="str">
        <f t="shared" si="155"/>
        <v>.</v>
      </c>
      <c r="E4884" s="13" t="str">
        <f>IFERROR(IF(AND(B4884&lt;&gt;"",C4884&lt;&gt;""),SUMIFS(Movimentos!$F$4:$F$9996,Movimentos!$D$4:$D$9996,B4884,Movimentos!$C$4:$C$9996,"Entrada")-SUMIFS(Movimentos!$F$4:$F$9996,Movimentos!$D$4:$D$9996,B4884,Movimentos!$C$4:$C$9996,"Saída"),""),"")</f>
        <v/>
      </c>
      <c r="F4884" s="10" t="str">
        <f t="shared" si="154"/>
        <v/>
      </c>
    </row>
    <row r="4885" spans="1:6" x14ac:dyDescent="0.3">
      <c r="A4885" s="15" t="str">
        <f t="shared" si="155"/>
        <v>.</v>
      </c>
      <c r="E4885" s="13" t="str">
        <f>IFERROR(IF(AND(B4885&lt;&gt;"",C4885&lt;&gt;""),SUMIFS(Movimentos!$F$4:$F$9996,Movimentos!$D$4:$D$9996,B4885,Movimentos!$C$4:$C$9996,"Entrada")-SUMIFS(Movimentos!$F$4:$F$9996,Movimentos!$D$4:$D$9996,B4885,Movimentos!$C$4:$C$9996,"Saída"),""),"")</f>
        <v/>
      </c>
      <c r="F4885" s="10" t="str">
        <f t="shared" si="154"/>
        <v/>
      </c>
    </row>
    <row r="4886" spans="1:6" x14ac:dyDescent="0.3">
      <c r="A4886" s="15" t="str">
        <f t="shared" si="155"/>
        <v>.</v>
      </c>
      <c r="E4886" s="13" t="str">
        <f>IFERROR(IF(AND(B4886&lt;&gt;"",C4886&lt;&gt;""),SUMIFS(Movimentos!$F$4:$F$9996,Movimentos!$D$4:$D$9996,B4886,Movimentos!$C$4:$C$9996,"Entrada")-SUMIFS(Movimentos!$F$4:$F$9996,Movimentos!$D$4:$D$9996,B4886,Movimentos!$C$4:$C$9996,"Saída"),""),"")</f>
        <v/>
      </c>
      <c r="F4886" s="10" t="str">
        <f t="shared" si="154"/>
        <v/>
      </c>
    </row>
    <row r="4887" spans="1:6" x14ac:dyDescent="0.3">
      <c r="A4887" s="15" t="str">
        <f t="shared" si="155"/>
        <v>.</v>
      </c>
      <c r="E4887" s="13" t="str">
        <f>IFERROR(IF(AND(B4887&lt;&gt;"",C4887&lt;&gt;""),SUMIFS(Movimentos!$F$4:$F$9996,Movimentos!$D$4:$D$9996,B4887,Movimentos!$C$4:$C$9996,"Entrada")-SUMIFS(Movimentos!$F$4:$F$9996,Movimentos!$D$4:$D$9996,B4887,Movimentos!$C$4:$C$9996,"Saída"),""),"")</f>
        <v/>
      </c>
      <c r="F4887" s="10" t="str">
        <f t="shared" ref="F4887:F4950" si="156">IF(AND(B4887&lt;&gt;"",C4887&lt;&gt;""),IF(E4887=0,"Saldo zerado",IF(E4887&lt;D4887,"Saldo abaixo do mínimo","Saldo disponível")),"")</f>
        <v/>
      </c>
    </row>
    <row r="4888" spans="1:6" x14ac:dyDescent="0.3">
      <c r="A4888" s="15" t="str">
        <f t="shared" si="155"/>
        <v>.</v>
      </c>
      <c r="E4888" s="13" t="str">
        <f>IFERROR(IF(AND(B4888&lt;&gt;"",C4888&lt;&gt;""),SUMIFS(Movimentos!$F$4:$F$9996,Movimentos!$D$4:$D$9996,B4888,Movimentos!$C$4:$C$9996,"Entrada")-SUMIFS(Movimentos!$F$4:$F$9996,Movimentos!$D$4:$D$9996,B4888,Movimentos!$C$4:$C$9996,"Saída"),""),"")</f>
        <v/>
      </c>
      <c r="F4888" s="10" t="str">
        <f t="shared" si="156"/>
        <v/>
      </c>
    </row>
    <row r="4889" spans="1:6" x14ac:dyDescent="0.3">
      <c r="A4889" s="15" t="str">
        <f t="shared" si="155"/>
        <v>.</v>
      </c>
      <c r="E4889" s="13" t="str">
        <f>IFERROR(IF(AND(B4889&lt;&gt;"",C4889&lt;&gt;""),SUMIFS(Movimentos!$F$4:$F$9996,Movimentos!$D$4:$D$9996,B4889,Movimentos!$C$4:$C$9996,"Entrada")-SUMIFS(Movimentos!$F$4:$F$9996,Movimentos!$D$4:$D$9996,B4889,Movimentos!$C$4:$C$9996,"Saída"),""),"")</f>
        <v/>
      </c>
      <c r="F4889" s="10" t="str">
        <f t="shared" si="156"/>
        <v/>
      </c>
    </row>
    <row r="4890" spans="1:6" x14ac:dyDescent="0.3">
      <c r="A4890" s="15" t="str">
        <f t="shared" si="155"/>
        <v>.</v>
      </c>
      <c r="E4890" s="13" t="str">
        <f>IFERROR(IF(AND(B4890&lt;&gt;"",C4890&lt;&gt;""),SUMIFS(Movimentos!$F$4:$F$9996,Movimentos!$D$4:$D$9996,B4890,Movimentos!$C$4:$C$9996,"Entrada")-SUMIFS(Movimentos!$F$4:$F$9996,Movimentos!$D$4:$D$9996,B4890,Movimentos!$C$4:$C$9996,"Saída"),""),"")</f>
        <v/>
      </c>
      <c r="F4890" s="10" t="str">
        <f t="shared" si="156"/>
        <v/>
      </c>
    </row>
    <row r="4891" spans="1:6" x14ac:dyDescent="0.3">
      <c r="A4891" s="15" t="str">
        <f t="shared" si="155"/>
        <v>.</v>
      </c>
      <c r="E4891" s="13" t="str">
        <f>IFERROR(IF(AND(B4891&lt;&gt;"",C4891&lt;&gt;""),SUMIFS(Movimentos!$F$4:$F$9996,Movimentos!$D$4:$D$9996,B4891,Movimentos!$C$4:$C$9996,"Entrada")-SUMIFS(Movimentos!$F$4:$F$9996,Movimentos!$D$4:$D$9996,B4891,Movimentos!$C$4:$C$9996,"Saída"),""),"")</f>
        <v/>
      </c>
      <c r="F4891" s="10" t="str">
        <f t="shared" si="156"/>
        <v/>
      </c>
    </row>
    <row r="4892" spans="1:6" x14ac:dyDescent="0.3">
      <c r="A4892" s="15" t="str">
        <f t="shared" si="155"/>
        <v>.</v>
      </c>
      <c r="E4892" s="13" t="str">
        <f>IFERROR(IF(AND(B4892&lt;&gt;"",C4892&lt;&gt;""),SUMIFS(Movimentos!$F$4:$F$9996,Movimentos!$D$4:$D$9996,B4892,Movimentos!$C$4:$C$9996,"Entrada")-SUMIFS(Movimentos!$F$4:$F$9996,Movimentos!$D$4:$D$9996,B4892,Movimentos!$C$4:$C$9996,"Saída"),""),"")</f>
        <v/>
      </c>
      <c r="F4892" s="10" t="str">
        <f t="shared" si="156"/>
        <v/>
      </c>
    </row>
    <row r="4893" spans="1:6" x14ac:dyDescent="0.3">
      <c r="A4893" s="15" t="str">
        <f t="shared" si="155"/>
        <v>.</v>
      </c>
      <c r="E4893" s="13" t="str">
        <f>IFERROR(IF(AND(B4893&lt;&gt;"",C4893&lt;&gt;""),SUMIFS(Movimentos!$F$4:$F$9996,Movimentos!$D$4:$D$9996,B4893,Movimentos!$C$4:$C$9996,"Entrada")-SUMIFS(Movimentos!$F$4:$F$9996,Movimentos!$D$4:$D$9996,B4893,Movimentos!$C$4:$C$9996,"Saída"),""),"")</f>
        <v/>
      </c>
      <c r="F4893" s="10" t="str">
        <f t="shared" si="156"/>
        <v/>
      </c>
    </row>
    <row r="4894" spans="1:6" x14ac:dyDescent="0.3">
      <c r="A4894" s="15" t="str">
        <f t="shared" si="155"/>
        <v>.</v>
      </c>
      <c r="E4894" s="13" t="str">
        <f>IFERROR(IF(AND(B4894&lt;&gt;"",C4894&lt;&gt;""),SUMIFS(Movimentos!$F$4:$F$9996,Movimentos!$D$4:$D$9996,B4894,Movimentos!$C$4:$C$9996,"Entrada")-SUMIFS(Movimentos!$F$4:$F$9996,Movimentos!$D$4:$D$9996,B4894,Movimentos!$C$4:$C$9996,"Saída"),""),"")</f>
        <v/>
      </c>
      <c r="F4894" s="10" t="str">
        <f t="shared" si="156"/>
        <v/>
      </c>
    </row>
    <row r="4895" spans="1:6" x14ac:dyDescent="0.3">
      <c r="A4895" s="15" t="str">
        <f t="shared" si="155"/>
        <v>.</v>
      </c>
      <c r="E4895" s="13" t="str">
        <f>IFERROR(IF(AND(B4895&lt;&gt;"",C4895&lt;&gt;""),SUMIFS(Movimentos!$F$4:$F$9996,Movimentos!$D$4:$D$9996,B4895,Movimentos!$C$4:$C$9996,"Entrada")-SUMIFS(Movimentos!$F$4:$F$9996,Movimentos!$D$4:$D$9996,B4895,Movimentos!$C$4:$C$9996,"Saída"),""),"")</f>
        <v/>
      </c>
      <c r="F4895" s="10" t="str">
        <f t="shared" si="156"/>
        <v/>
      </c>
    </row>
    <row r="4896" spans="1:6" x14ac:dyDescent="0.3">
      <c r="A4896" s="15" t="str">
        <f t="shared" si="155"/>
        <v>.</v>
      </c>
      <c r="E4896" s="13" t="str">
        <f>IFERROR(IF(AND(B4896&lt;&gt;"",C4896&lt;&gt;""),SUMIFS(Movimentos!$F$4:$F$9996,Movimentos!$D$4:$D$9996,B4896,Movimentos!$C$4:$C$9996,"Entrada")-SUMIFS(Movimentos!$F$4:$F$9996,Movimentos!$D$4:$D$9996,B4896,Movimentos!$C$4:$C$9996,"Saída"),""),"")</f>
        <v/>
      </c>
      <c r="F4896" s="10" t="str">
        <f t="shared" si="156"/>
        <v/>
      </c>
    </row>
    <row r="4897" spans="1:6" x14ac:dyDescent="0.3">
      <c r="A4897" s="15" t="str">
        <f t="shared" si="155"/>
        <v>.</v>
      </c>
      <c r="E4897" s="13" t="str">
        <f>IFERROR(IF(AND(B4897&lt;&gt;"",C4897&lt;&gt;""),SUMIFS(Movimentos!$F$4:$F$9996,Movimentos!$D$4:$D$9996,B4897,Movimentos!$C$4:$C$9996,"Entrada")-SUMIFS(Movimentos!$F$4:$F$9996,Movimentos!$D$4:$D$9996,B4897,Movimentos!$C$4:$C$9996,"Saída"),""),"")</f>
        <v/>
      </c>
      <c r="F4897" s="10" t="str">
        <f t="shared" si="156"/>
        <v/>
      </c>
    </row>
    <row r="4898" spans="1:6" x14ac:dyDescent="0.3">
      <c r="A4898" s="15" t="str">
        <f t="shared" si="155"/>
        <v>.</v>
      </c>
      <c r="E4898" s="13" t="str">
        <f>IFERROR(IF(AND(B4898&lt;&gt;"",C4898&lt;&gt;""),SUMIFS(Movimentos!$F$4:$F$9996,Movimentos!$D$4:$D$9996,B4898,Movimentos!$C$4:$C$9996,"Entrada")-SUMIFS(Movimentos!$F$4:$F$9996,Movimentos!$D$4:$D$9996,B4898,Movimentos!$C$4:$C$9996,"Saída"),""),"")</f>
        <v/>
      </c>
      <c r="F4898" s="10" t="str">
        <f t="shared" si="156"/>
        <v/>
      </c>
    </row>
    <row r="4899" spans="1:6" x14ac:dyDescent="0.3">
      <c r="A4899" s="15" t="str">
        <f t="shared" si="155"/>
        <v>.</v>
      </c>
      <c r="E4899" s="13" t="str">
        <f>IFERROR(IF(AND(B4899&lt;&gt;"",C4899&lt;&gt;""),SUMIFS(Movimentos!$F$4:$F$9996,Movimentos!$D$4:$D$9996,B4899,Movimentos!$C$4:$C$9996,"Entrada")-SUMIFS(Movimentos!$F$4:$F$9996,Movimentos!$D$4:$D$9996,B4899,Movimentos!$C$4:$C$9996,"Saída"),""),"")</f>
        <v/>
      </c>
      <c r="F4899" s="10" t="str">
        <f t="shared" si="156"/>
        <v/>
      </c>
    </row>
    <row r="4900" spans="1:6" x14ac:dyDescent="0.3">
      <c r="A4900" s="15" t="str">
        <f t="shared" si="155"/>
        <v>.</v>
      </c>
      <c r="E4900" s="13" t="str">
        <f>IFERROR(IF(AND(B4900&lt;&gt;"",C4900&lt;&gt;""),SUMIFS(Movimentos!$F$4:$F$9996,Movimentos!$D$4:$D$9996,B4900,Movimentos!$C$4:$C$9996,"Entrada")-SUMIFS(Movimentos!$F$4:$F$9996,Movimentos!$D$4:$D$9996,B4900,Movimentos!$C$4:$C$9996,"Saída"),""),"")</f>
        <v/>
      </c>
      <c r="F4900" s="10" t="str">
        <f t="shared" si="156"/>
        <v/>
      </c>
    </row>
    <row r="4901" spans="1:6" x14ac:dyDescent="0.3">
      <c r="A4901" s="15" t="str">
        <f t="shared" si="155"/>
        <v>.</v>
      </c>
      <c r="E4901" s="13" t="str">
        <f>IFERROR(IF(AND(B4901&lt;&gt;"",C4901&lt;&gt;""),SUMIFS(Movimentos!$F$4:$F$9996,Movimentos!$D$4:$D$9996,B4901,Movimentos!$C$4:$C$9996,"Entrada")-SUMIFS(Movimentos!$F$4:$F$9996,Movimentos!$D$4:$D$9996,B4901,Movimentos!$C$4:$C$9996,"Saída"),""),"")</f>
        <v/>
      </c>
      <c r="F4901" s="10" t="str">
        <f t="shared" si="156"/>
        <v/>
      </c>
    </row>
    <row r="4902" spans="1:6" x14ac:dyDescent="0.3">
      <c r="A4902" s="15" t="str">
        <f t="shared" si="155"/>
        <v>.</v>
      </c>
      <c r="E4902" s="13" t="str">
        <f>IFERROR(IF(AND(B4902&lt;&gt;"",C4902&lt;&gt;""),SUMIFS(Movimentos!$F$4:$F$9996,Movimentos!$D$4:$D$9996,B4902,Movimentos!$C$4:$C$9996,"Entrada")-SUMIFS(Movimentos!$F$4:$F$9996,Movimentos!$D$4:$D$9996,B4902,Movimentos!$C$4:$C$9996,"Saída"),""),"")</f>
        <v/>
      </c>
      <c r="F4902" s="10" t="str">
        <f t="shared" si="156"/>
        <v/>
      </c>
    </row>
    <row r="4903" spans="1:6" x14ac:dyDescent="0.3">
      <c r="A4903" s="15" t="str">
        <f t="shared" si="155"/>
        <v>.</v>
      </c>
      <c r="E4903" s="13" t="str">
        <f>IFERROR(IF(AND(B4903&lt;&gt;"",C4903&lt;&gt;""),SUMIFS(Movimentos!$F$4:$F$9996,Movimentos!$D$4:$D$9996,B4903,Movimentos!$C$4:$C$9996,"Entrada")-SUMIFS(Movimentos!$F$4:$F$9996,Movimentos!$D$4:$D$9996,B4903,Movimentos!$C$4:$C$9996,"Saída"),""),"")</f>
        <v/>
      </c>
      <c r="F4903" s="10" t="str">
        <f t="shared" si="156"/>
        <v/>
      </c>
    </row>
    <row r="4904" spans="1:6" x14ac:dyDescent="0.3">
      <c r="A4904" s="15" t="str">
        <f t="shared" si="155"/>
        <v>.</v>
      </c>
      <c r="E4904" s="13" t="str">
        <f>IFERROR(IF(AND(B4904&lt;&gt;"",C4904&lt;&gt;""),SUMIFS(Movimentos!$F$4:$F$9996,Movimentos!$D$4:$D$9996,B4904,Movimentos!$C$4:$C$9996,"Entrada")-SUMIFS(Movimentos!$F$4:$F$9996,Movimentos!$D$4:$D$9996,B4904,Movimentos!$C$4:$C$9996,"Saída"),""),"")</f>
        <v/>
      </c>
      <c r="F4904" s="10" t="str">
        <f t="shared" si="156"/>
        <v/>
      </c>
    </row>
    <row r="4905" spans="1:6" x14ac:dyDescent="0.3">
      <c r="A4905" s="15" t="str">
        <f t="shared" si="155"/>
        <v>.</v>
      </c>
      <c r="E4905" s="13" t="str">
        <f>IFERROR(IF(AND(B4905&lt;&gt;"",C4905&lt;&gt;""),SUMIFS(Movimentos!$F$4:$F$9996,Movimentos!$D$4:$D$9996,B4905,Movimentos!$C$4:$C$9996,"Entrada")-SUMIFS(Movimentos!$F$4:$F$9996,Movimentos!$D$4:$D$9996,B4905,Movimentos!$C$4:$C$9996,"Saída"),""),"")</f>
        <v/>
      </c>
      <c r="F4905" s="10" t="str">
        <f t="shared" si="156"/>
        <v/>
      </c>
    </row>
    <row r="4906" spans="1:6" x14ac:dyDescent="0.3">
      <c r="A4906" s="15" t="str">
        <f t="shared" si="155"/>
        <v>.</v>
      </c>
      <c r="E4906" s="13" t="str">
        <f>IFERROR(IF(AND(B4906&lt;&gt;"",C4906&lt;&gt;""),SUMIFS(Movimentos!$F$4:$F$9996,Movimentos!$D$4:$D$9996,B4906,Movimentos!$C$4:$C$9996,"Entrada")-SUMIFS(Movimentos!$F$4:$F$9996,Movimentos!$D$4:$D$9996,B4906,Movimentos!$C$4:$C$9996,"Saída"),""),"")</f>
        <v/>
      </c>
      <c r="F4906" s="10" t="str">
        <f t="shared" si="156"/>
        <v/>
      </c>
    </row>
    <row r="4907" spans="1:6" x14ac:dyDescent="0.3">
      <c r="A4907" s="15" t="str">
        <f t="shared" si="155"/>
        <v>.</v>
      </c>
      <c r="E4907" s="13" t="str">
        <f>IFERROR(IF(AND(B4907&lt;&gt;"",C4907&lt;&gt;""),SUMIFS(Movimentos!$F$4:$F$9996,Movimentos!$D$4:$D$9996,B4907,Movimentos!$C$4:$C$9996,"Entrada")-SUMIFS(Movimentos!$F$4:$F$9996,Movimentos!$D$4:$D$9996,B4907,Movimentos!$C$4:$C$9996,"Saída"),""),"")</f>
        <v/>
      </c>
      <c r="F4907" s="10" t="str">
        <f t="shared" si="156"/>
        <v/>
      </c>
    </row>
    <row r="4908" spans="1:6" x14ac:dyDescent="0.3">
      <c r="A4908" s="15" t="str">
        <f t="shared" si="155"/>
        <v>.</v>
      </c>
      <c r="E4908" s="13" t="str">
        <f>IFERROR(IF(AND(B4908&lt;&gt;"",C4908&lt;&gt;""),SUMIFS(Movimentos!$F$4:$F$9996,Movimentos!$D$4:$D$9996,B4908,Movimentos!$C$4:$C$9996,"Entrada")-SUMIFS(Movimentos!$F$4:$F$9996,Movimentos!$D$4:$D$9996,B4908,Movimentos!$C$4:$C$9996,"Saída"),""),"")</f>
        <v/>
      </c>
      <c r="F4908" s="10" t="str">
        <f t="shared" si="156"/>
        <v/>
      </c>
    </row>
    <row r="4909" spans="1:6" x14ac:dyDescent="0.3">
      <c r="A4909" s="15" t="str">
        <f t="shared" si="155"/>
        <v>.</v>
      </c>
      <c r="E4909" s="13" t="str">
        <f>IFERROR(IF(AND(B4909&lt;&gt;"",C4909&lt;&gt;""),SUMIFS(Movimentos!$F$4:$F$9996,Movimentos!$D$4:$D$9996,B4909,Movimentos!$C$4:$C$9996,"Entrada")-SUMIFS(Movimentos!$F$4:$F$9996,Movimentos!$D$4:$D$9996,B4909,Movimentos!$C$4:$C$9996,"Saída"),""),"")</f>
        <v/>
      </c>
      <c r="F4909" s="10" t="str">
        <f t="shared" si="156"/>
        <v/>
      </c>
    </row>
    <row r="4910" spans="1:6" x14ac:dyDescent="0.3">
      <c r="A4910" s="15" t="str">
        <f t="shared" si="155"/>
        <v>.</v>
      </c>
      <c r="E4910" s="13" t="str">
        <f>IFERROR(IF(AND(B4910&lt;&gt;"",C4910&lt;&gt;""),SUMIFS(Movimentos!$F$4:$F$9996,Movimentos!$D$4:$D$9996,B4910,Movimentos!$C$4:$C$9996,"Entrada")-SUMIFS(Movimentos!$F$4:$F$9996,Movimentos!$D$4:$D$9996,B4910,Movimentos!$C$4:$C$9996,"Saída"),""),"")</f>
        <v/>
      </c>
      <c r="F4910" s="10" t="str">
        <f t="shared" si="156"/>
        <v/>
      </c>
    </row>
    <row r="4911" spans="1:6" x14ac:dyDescent="0.3">
      <c r="A4911" s="15" t="str">
        <f t="shared" si="155"/>
        <v>.</v>
      </c>
      <c r="E4911" s="13" t="str">
        <f>IFERROR(IF(AND(B4911&lt;&gt;"",C4911&lt;&gt;""),SUMIFS(Movimentos!$F$4:$F$9996,Movimentos!$D$4:$D$9996,B4911,Movimentos!$C$4:$C$9996,"Entrada")-SUMIFS(Movimentos!$F$4:$F$9996,Movimentos!$D$4:$D$9996,B4911,Movimentos!$C$4:$C$9996,"Saída"),""),"")</f>
        <v/>
      </c>
      <c r="F4911" s="10" t="str">
        <f t="shared" si="156"/>
        <v/>
      </c>
    </row>
    <row r="4912" spans="1:6" x14ac:dyDescent="0.3">
      <c r="A4912" s="15" t="str">
        <f t="shared" si="155"/>
        <v>.</v>
      </c>
      <c r="E4912" s="13" t="str">
        <f>IFERROR(IF(AND(B4912&lt;&gt;"",C4912&lt;&gt;""),SUMIFS(Movimentos!$F$4:$F$9996,Movimentos!$D$4:$D$9996,B4912,Movimentos!$C$4:$C$9996,"Entrada")-SUMIFS(Movimentos!$F$4:$F$9996,Movimentos!$D$4:$D$9996,B4912,Movimentos!$C$4:$C$9996,"Saída"),""),"")</f>
        <v/>
      </c>
      <c r="F4912" s="10" t="str">
        <f t="shared" si="156"/>
        <v/>
      </c>
    </row>
    <row r="4913" spans="1:6" x14ac:dyDescent="0.3">
      <c r="A4913" s="15" t="str">
        <f t="shared" si="155"/>
        <v>.</v>
      </c>
      <c r="E4913" s="13" t="str">
        <f>IFERROR(IF(AND(B4913&lt;&gt;"",C4913&lt;&gt;""),SUMIFS(Movimentos!$F$4:$F$9996,Movimentos!$D$4:$D$9996,B4913,Movimentos!$C$4:$C$9996,"Entrada")-SUMIFS(Movimentos!$F$4:$F$9996,Movimentos!$D$4:$D$9996,B4913,Movimentos!$C$4:$C$9996,"Saída"),""),"")</f>
        <v/>
      </c>
      <c r="F4913" s="10" t="str">
        <f t="shared" si="156"/>
        <v/>
      </c>
    </row>
    <row r="4914" spans="1:6" x14ac:dyDescent="0.3">
      <c r="A4914" s="15" t="str">
        <f t="shared" si="155"/>
        <v>.</v>
      </c>
      <c r="E4914" s="13" t="str">
        <f>IFERROR(IF(AND(B4914&lt;&gt;"",C4914&lt;&gt;""),SUMIFS(Movimentos!$F$4:$F$9996,Movimentos!$D$4:$D$9996,B4914,Movimentos!$C$4:$C$9996,"Entrada")-SUMIFS(Movimentos!$F$4:$F$9996,Movimentos!$D$4:$D$9996,B4914,Movimentos!$C$4:$C$9996,"Saída"),""),"")</f>
        <v/>
      </c>
      <c r="F4914" s="10" t="str">
        <f t="shared" si="156"/>
        <v/>
      </c>
    </row>
    <row r="4915" spans="1:6" x14ac:dyDescent="0.3">
      <c r="A4915" s="15" t="str">
        <f t="shared" si="155"/>
        <v>.</v>
      </c>
      <c r="E4915" s="13" t="str">
        <f>IFERROR(IF(AND(B4915&lt;&gt;"",C4915&lt;&gt;""),SUMIFS(Movimentos!$F$4:$F$9996,Movimentos!$D$4:$D$9996,B4915,Movimentos!$C$4:$C$9996,"Entrada")-SUMIFS(Movimentos!$F$4:$F$9996,Movimentos!$D$4:$D$9996,B4915,Movimentos!$C$4:$C$9996,"Saída"),""),"")</f>
        <v/>
      </c>
      <c r="F4915" s="10" t="str">
        <f t="shared" si="156"/>
        <v/>
      </c>
    </row>
    <row r="4916" spans="1:6" x14ac:dyDescent="0.3">
      <c r="A4916" s="15" t="str">
        <f t="shared" si="155"/>
        <v>.</v>
      </c>
      <c r="E4916" s="13" t="str">
        <f>IFERROR(IF(AND(B4916&lt;&gt;"",C4916&lt;&gt;""),SUMIFS(Movimentos!$F$4:$F$9996,Movimentos!$D$4:$D$9996,B4916,Movimentos!$C$4:$C$9996,"Entrada")-SUMIFS(Movimentos!$F$4:$F$9996,Movimentos!$D$4:$D$9996,B4916,Movimentos!$C$4:$C$9996,"Saída"),""),"")</f>
        <v/>
      </c>
      <c r="F4916" s="10" t="str">
        <f t="shared" si="156"/>
        <v/>
      </c>
    </row>
    <row r="4917" spans="1:6" x14ac:dyDescent="0.3">
      <c r="A4917" s="15" t="str">
        <f t="shared" si="155"/>
        <v>.</v>
      </c>
      <c r="E4917" s="13" t="str">
        <f>IFERROR(IF(AND(B4917&lt;&gt;"",C4917&lt;&gt;""),SUMIFS(Movimentos!$F$4:$F$9996,Movimentos!$D$4:$D$9996,B4917,Movimentos!$C$4:$C$9996,"Entrada")-SUMIFS(Movimentos!$F$4:$F$9996,Movimentos!$D$4:$D$9996,B4917,Movimentos!$C$4:$C$9996,"Saída"),""),"")</f>
        <v/>
      </c>
      <c r="F4917" s="10" t="str">
        <f t="shared" si="156"/>
        <v/>
      </c>
    </row>
    <row r="4918" spans="1:6" x14ac:dyDescent="0.3">
      <c r="A4918" s="15" t="str">
        <f t="shared" si="155"/>
        <v>.</v>
      </c>
      <c r="E4918" s="13" t="str">
        <f>IFERROR(IF(AND(B4918&lt;&gt;"",C4918&lt;&gt;""),SUMIFS(Movimentos!$F$4:$F$9996,Movimentos!$D$4:$D$9996,B4918,Movimentos!$C$4:$C$9996,"Entrada")-SUMIFS(Movimentos!$F$4:$F$9996,Movimentos!$D$4:$D$9996,B4918,Movimentos!$C$4:$C$9996,"Saída"),""),"")</f>
        <v/>
      </c>
      <c r="F4918" s="10" t="str">
        <f t="shared" si="156"/>
        <v/>
      </c>
    </row>
    <row r="4919" spans="1:6" x14ac:dyDescent="0.3">
      <c r="A4919" s="15" t="str">
        <f t="shared" si="155"/>
        <v>.</v>
      </c>
      <c r="E4919" s="13" t="str">
        <f>IFERROR(IF(AND(B4919&lt;&gt;"",C4919&lt;&gt;""),SUMIFS(Movimentos!$F$4:$F$9996,Movimentos!$D$4:$D$9996,B4919,Movimentos!$C$4:$C$9996,"Entrada")-SUMIFS(Movimentos!$F$4:$F$9996,Movimentos!$D$4:$D$9996,B4919,Movimentos!$C$4:$C$9996,"Saída"),""),"")</f>
        <v/>
      </c>
      <c r="F4919" s="10" t="str">
        <f t="shared" si="156"/>
        <v/>
      </c>
    </row>
    <row r="4920" spans="1:6" x14ac:dyDescent="0.3">
      <c r="A4920" s="15" t="str">
        <f t="shared" si="155"/>
        <v>.</v>
      </c>
      <c r="E4920" s="13" t="str">
        <f>IFERROR(IF(AND(B4920&lt;&gt;"",C4920&lt;&gt;""),SUMIFS(Movimentos!$F$4:$F$9996,Movimentos!$D$4:$D$9996,B4920,Movimentos!$C$4:$C$9996,"Entrada")-SUMIFS(Movimentos!$F$4:$F$9996,Movimentos!$D$4:$D$9996,B4920,Movimentos!$C$4:$C$9996,"Saída"),""),"")</f>
        <v/>
      </c>
      <c r="F4920" s="10" t="str">
        <f t="shared" si="156"/>
        <v/>
      </c>
    </row>
    <row r="4921" spans="1:6" x14ac:dyDescent="0.3">
      <c r="A4921" s="15" t="str">
        <f t="shared" si="155"/>
        <v>.</v>
      </c>
      <c r="E4921" s="13" t="str">
        <f>IFERROR(IF(AND(B4921&lt;&gt;"",C4921&lt;&gt;""),SUMIFS(Movimentos!$F$4:$F$9996,Movimentos!$D$4:$D$9996,B4921,Movimentos!$C$4:$C$9996,"Entrada")-SUMIFS(Movimentos!$F$4:$F$9996,Movimentos!$D$4:$D$9996,B4921,Movimentos!$C$4:$C$9996,"Saída"),""),"")</f>
        <v/>
      </c>
      <c r="F4921" s="10" t="str">
        <f t="shared" si="156"/>
        <v/>
      </c>
    </row>
    <row r="4922" spans="1:6" x14ac:dyDescent="0.3">
      <c r="A4922" s="15" t="str">
        <f t="shared" si="155"/>
        <v>.</v>
      </c>
      <c r="E4922" s="13" t="str">
        <f>IFERROR(IF(AND(B4922&lt;&gt;"",C4922&lt;&gt;""),SUMIFS(Movimentos!$F$4:$F$9996,Movimentos!$D$4:$D$9996,B4922,Movimentos!$C$4:$C$9996,"Entrada")-SUMIFS(Movimentos!$F$4:$F$9996,Movimentos!$D$4:$D$9996,B4922,Movimentos!$C$4:$C$9996,"Saída"),""),"")</f>
        <v/>
      </c>
      <c r="F4922" s="10" t="str">
        <f t="shared" si="156"/>
        <v/>
      </c>
    </row>
    <row r="4923" spans="1:6" x14ac:dyDescent="0.3">
      <c r="A4923" s="15" t="str">
        <f t="shared" si="155"/>
        <v>.</v>
      </c>
      <c r="E4923" s="13" t="str">
        <f>IFERROR(IF(AND(B4923&lt;&gt;"",C4923&lt;&gt;""),SUMIFS(Movimentos!$F$4:$F$9996,Movimentos!$D$4:$D$9996,B4923,Movimentos!$C$4:$C$9996,"Entrada")-SUMIFS(Movimentos!$F$4:$F$9996,Movimentos!$D$4:$D$9996,B4923,Movimentos!$C$4:$C$9996,"Saída"),""),"")</f>
        <v/>
      </c>
      <c r="F4923" s="10" t="str">
        <f t="shared" si="156"/>
        <v/>
      </c>
    </row>
    <row r="4924" spans="1:6" x14ac:dyDescent="0.3">
      <c r="A4924" s="15" t="str">
        <f t="shared" si="155"/>
        <v>.</v>
      </c>
      <c r="E4924" s="13" t="str">
        <f>IFERROR(IF(AND(B4924&lt;&gt;"",C4924&lt;&gt;""),SUMIFS(Movimentos!$F$4:$F$9996,Movimentos!$D$4:$D$9996,B4924,Movimentos!$C$4:$C$9996,"Entrada")-SUMIFS(Movimentos!$F$4:$F$9996,Movimentos!$D$4:$D$9996,B4924,Movimentos!$C$4:$C$9996,"Saída"),""),"")</f>
        <v/>
      </c>
      <c r="F4924" s="10" t="str">
        <f t="shared" si="156"/>
        <v/>
      </c>
    </row>
    <row r="4925" spans="1:6" x14ac:dyDescent="0.3">
      <c r="A4925" s="15" t="str">
        <f t="shared" si="155"/>
        <v>.</v>
      </c>
      <c r="E4925" s="13" t="str">
        <f>IFERROR(IF(AND(B4925&lt;&gt;"",C4925&lt;&gt;""),SUMIFS(Movimentos!$F$4:$F$9996,Movimentos!$D$4:$D$9996,B4925,Movimentos!$C$4:$C$9996,"Entrada")-SUMIFS(Movimentos!$F$4:$F$9996,Movimentos!$D$4:$D$9996,B4925,Movimentos!$C$4:$C$9996,"Saída"),""),"")</f>
        <v/>
      </c>
      <c r="F4925" s="10" t="str">
        <f t="shared" si="156"/>
        <v/>
      </c>
    </row>
    <row r="4926" spans="1:6" x14ac:dyDescent="0.3">
      <c r="A4926" s="15" t="str">
        <f t="shared" si="155"/>
        <v>.</v>
      </c>
      <c r="E4926" s="13" t="str">
        <f>IFERROR(IF(AND(B4926&lt;&gt;"",C4926&lt;&gt;""),SUMIFS(Movimentos!$F$4:$F$9996,Movimentos!$D$4:$D$9996,B4926,Movimentos!$C$4:$C$9996,"Entrada")-SUMIFS(Movimentos!$F$4:$F$9996,Movimentos!$D$4:$D$9996,B4926,Movimentos!$C$4:$C$9996,"Saída"),""),"")</f>
        <v/>
      </c>
      <c r="F4926" s="10" t="str">
        <f t="shared" si="156"/>
        <v/>
      </c>
    </row>
    <row r="4927" spans="1:6" x14ac:dyDescent="0.3">
      <c r="A4927" s="15" t="str">
        <f t="shared" si="155"/>
        <v>.</v>
      </c>
      <c r="E4927" s="13" t="str">
        <f>IFERROR(IF(AND(B4927&lt;&gt;"",C4927&lt;&gt;""),SUMIFS(Movimentos!$F$4:$F$9996,Movimentos!$D$4:$D$9996,B4927,Movimentos!$C$4:$C$9996,"Entrada")-SUMIFS(Movimentos!$F$4:$F$9996,Movimentos!$D$4:$D$9996,B4927,Movimentos!$C$4:$C$9996,"Saída"),""),"")</f>
        <v/>
      </c>
      <c r="F4927" s="10" t="str">
        <f t="shared" si="156"/>
        <v/>
      </c>
    </row>
    <row r="4928" spans="1:6" x14ac:dyDescent="0.3">
      <c r="A4928" s="15" t="str">
        <f t="shared" ref="A4928:A4991" si="157">IF(F4928="Saldo zerado",0,IF(F4928="Saldo abaixo do mínimo",1,IF(F4928="Saldo disponível",2,".")))</f>
        <v>.</v>
      </c>
      <c r="E4928" s="13" t="str">
        <f>IFERROR(IF(AND(B4928&lt;&gt;"",C4928&lt;&gt;""),SUMIFS(Movimentos!$F$4:$F$9996,Movimentos!$D$4:$D$9996,B4928,Movimentos!$C$4:$C$9996,"Entrada")-SUMIFS(Movimentos!$F$4:$F$9996,Movimentos!$D$4:$D$9996,B4928,Movimentos!$C$4:$C$9996,"Saída"),""),"")</f>
        <v/>
      </c>
      <c r="F4928" s="10" t="str">
        <f t="shared" si="156"/>
        <v/>
      </c>
    </row>
    <row r="4929" spans="1:6" x14ac:dyDescent="0.3">
      <c r="A4929" s="15" t="str">
        <f t="shared" si="157"/>
        <v>.</v>
      </c>
      <c r="E4929" s="13" t="str">
        <f>IFERROR(IF(AND(B4929&lt;&gt;"",C4929&lt;&gt;""),SUMIFS(Movimentos!$F$4:$F$9996,Movimentos!$D$4:$D$9996,B4929,Movimentos!$C$4:$C$9996,"Entrada")-SUMIFS(Movimentos!$F$4:$F$9996,Movimentos!$D$4:$D$9996,B4929,Movimentos!$C$4:$C$9996,"Saída"),""),"")</f>
        <v/>
      </c>
      <c r="F4929" s="10" t="str">
        <f t="shared" si="156"/>
        <v/>
      </c>
    </row>
    <row r="4930" spans="1:6" x14ac:dyDescent="0.3">
      <c r="A4930" s="15" t="str">
        <f t="shared" si="157"/>
        <v>.</v>
      </c>
      <c r="E4930" s="13" t="str">
        <f>IFERROR(IF(AND(B4930&lt;&gt;"",C4930&lt;&gt;""),SUMIFS(Movimentos!$F$4:$F$9996,Movimentos!$D$4:$D$9996,B4930,Movimentos!$C$4:$C$9996,"Entrada")-SUMIFS(Movimentos!$F$4:$F$9996,Movimentos!$D$4:$D$9996,B4930,Movimentos!$C$4:$C$9996,"Saída"),""),"")</f>
        <v/>
      </c>
      <c r="F4930" s="10" t="str">
        <f t="shared" si="156"/>
        <v/>
      </c>
    </row>
    <row r="4931" spans="1:6" x14ac:dyDescent="0.3">
      <c r="A4931" s="15" t="str">
        <f t="shared" si="157"/>
        <v>.</v>
      </c>
      <c r="E4931" s="13" t="str">
        <f>IFERROR(IF(AND(B4931&lt;&gt;"",C4931&lt;&gt;""),SUMIFS(Movimentos!$F$4:$F$9996,Movimentos!$D$4:$D$9996,B4931,Movimentos!$C$4:$C$9996,"Entrada")-SUMIFS(Movimentos!$F$4:$F$9996,Movimentos!$D$4:$D$9996,B4931,Movimentos!$C$4:$C$9996,"Saída"),""),"")</f>
        <v/>
      </c>
      <c r="F4931" s="10" t="str">
        <f t="shared" si="156"/>
        <v/>
      </c>
    </row>
    <row r="4932" spans="1:6" x14ac:dyDescent="0.3">
      <c r="A4932" s="15" t="str">
        <f t="shared" si="157"/>
        <v>.</v>
      </c>
      <c r="E4932" s="13" t="str">
        <f>IFERROR(IF(AND(B4932&lt;&gt;"",C4932&lt;&gt;""),SUMIFS(Movimentos!$F$4:$F$9996,Movimentos!$D$4:$D$9996,B4932,Movimentos!$C$4:$C$9996,"Entrada")-SUMIFS(Movimentos!$F$4:$F$9996,Movimentos!$D$4:$D$9996,B4932,Movimentos!$C$4:$C$9996,"Saída"),""),"")</f>
        <v/>
      </c>
      <c r="F4932" s="10" t="str">
        <f t="shared" si="156"/>
        <v/>
      </c>
    </row>
    <row r="4933" spans="1:6" x14ac:dyDescent="0.3">
      <c r="A4933" s="15" t="str">
        <f t="shared" si="157"/>
        <v>.</v>
      </c>
      <c r="E4933" s="13" t="str">
        <f>IFERROR(IF(AND(B4933&lt;&gt;"",C4933&lt;&gt;""),SUMIFS(Movimentos!$F$4:$F$9996,Movimentos!$D$4:$D$9996,B4933,Movimentos!$C$4:$C$9996,"Entrada")-SUMIFS(Movimentos!$F$4:$F$9996,Movimentos!$D$4:$D$9996,B4933,Movimentos!$C$4:$C$9996,"Saída"),""),"")</f>
        <v/>
      </c>
      <c r="F4933" s="10" t="str">
        <f t="shared" si="156"/>
        <v/>
      </c>
    </row>
    <row r="4934" spans="1:6" x14ac:dyDescent="0.3">
      <c r="A4934" s="15" t="str">
        <f t="shared" si="157"/>
        <v>.</v>
      </c>
      <c r="E4934" s="13" t="str">
        <f>IFERROR(IF(AND(B4934&lt;&gt;"",C4934&lt;&gt;""),SUMIFS(Movimentos!$F$4:$F$9996,Movimentos!$D$4:$D$9996,B4934,Movimentos!$C$4:$C$9996,"Entrada")-SUMIFS(Movimentos!$F$4:$F$9996,Movimentos!$D$4:$D$9996,B4934,Movimentos!$C$4:$C$9996,"Saída"),""),"")</f>
        <v/>
      </c>
      <c r="F4934" s="10" t="str">
        <f t="shared" si="156"/>
        <v/>
      </c>
    </row>
    <row r="4935" spans="1:6" x14ac:dyDescent="0.3">
      <c r="A4935" s="15" t="str">
        <f t="shared" si="157"/>
        <v>.</v>
      </c>
      <c r="E4935" s="13" t="str">
        <f>IFERROR(IF(AND(B4935&lt;&gt;"",C4935&lt;&gt;""),SUMIFS(Movimentos!$F$4:$F$9996,Movimentos!$D$4:$D$9996,B4935,Movimentos!$C$4:$C$9996,"Entrada")-SUMIFS(Movimentos!$F$4:$F$9996,Movimentos!$D$4:$D$9996,B4935,Movimentos!$C$4:$C$9996,"Saída"),""),"")</f>
        <v/>
      </c>
      <c r="F4935" s="10" t="str">
        <f t="shared" si="156"/>
        <v/>
      </c>
    </row>
    <row r="4936" spans="1:6" x14ac:dyDescent="0.3">
      <c r="A4936" s="15" t="str">
        <f t="shared" si="157"/>
        <v>.</v>
      </c>
      <c r="E4936" s="13" t="str">
        <f>IFERROR(IF(AND(B4936&lt;&gt;"",C4936&lt;&gt;""),SUMIFS(Movimentos!$F$4:$F$9996,Movimentos!$D$4:$D$9996,B4936,Movimentos!$C$4:$C$9996,"Entrada")-SUMIFS(Movimentos!$F$4:$F$9996,Movimentos!$D$4:$D$9996,B4936,Movimentos!$C$4:$C$9996,"Saída"),""),"")</f>
        <v/>
      </c>
      <c r="F4936" s="10" t="str">
        <f t="shared" si="156"/>
        <v/>
      </c>
    </row>
    <row r="4937" spans="1:6" x14ac:dyDescent="0.3">
      <c r="A4937" s="15" t="str">
        <f t="shared" si="157"/>
        <v>.</v>
      </c>
      <c r="E4937" s="13" t="str">
        <f>IFERROR(IF(AND(B4937&lt;&gt;"",C4937&lt;&gt;""),SUMIFS(Movimentos!$F$4:$F$9996,Movimentos!$D$4:$D$9996,B4937,Movimentos!$C$4:$C$9996,"Entrada")-SUMIFS(Movimentos!$F$4:$F$9996,Movimentos!$D$4:$D$9996,B4937,Movimentos!$C$4:$C$9996,"Saída"),""),"")</f>
        <v/>
      </c>
      <c r="F4937" s="10" t="str">
        <f t="shared" si="156"/>
        <v/>
      </c>
    </row>
    <row r="4938" spans="1:6" x14ac:dyDescent="0.3">
      <c r="A4938" s="15" t="str">
        <f t="shared" si="157"/>
        <v>.</v>
      </c>
      <c r="E4938" s="13" t="str">
        <f>IFERROR(IF(AND(B4938&lt;&gt;"",C4938&lt;&gt;""),SUMIFS(Movimentos!$F$4:$F$9996,Movimentos!$D$4:$D$9996,B4938,Movimentos!$C$4:$C$9996,"Entrada")-SUMIFS(Movimentos!$F$4:$F$9996,Movimentos!$D$4:$D$9996,B4938,Movimentos!$C$4:$C$9996,"Saída"),""),"")</f>
        <v/>
      </c>
      <c r="F4938" s="10" t="str">
        <f t="shared" si="156"/>
        <v/>
      </c>
    </row>
    <row r="4939" spans="1:6" x14ac:dyDescent="0.3">
      <c r="A4939" s="15" t="str">
        <f t="shared" si="157"/>
        <v>.</v>
      </c>
      <c r="E4939" s="13" t="str">
        <f>IFERROR(IF(AND(B4939&lt;&gt;"",C4939&lt;&gt;""),SUMIFS(Movimentos!$F$4:$F$9996,Movimentos!$D$4:$D$9996,B4939,Movimentos!$C$4:$C$9996,"Entrada")-SUMIFS(Movimentos!$F$4:$F$9996,Movimentos!$D$4:$D$9996,B4939,Movimentos!$C$4:$C$9996,"Saída"),""),"")</f>
        <v/>
      </c>
      <c r="F4939" s="10" t="str">
        <f t="shared" si="156"/>
        <v/>
      </c>
    </row>
    <row r="4940" spans="1:6" x14ac:dyDescent="0.3">
      <c r="A4940" s="15" t="str">
        <f t="shared" si="157"/>
        <v>.</v>
      </c>
      <c r="E4940" s="13" t="str">
        <f>IFERROR(IF(AND(B4940&lt;&gt;"",C4940&lt;&gt;""),SUMIFS(Movimentos!$F$4:$F$9996,Movimentos!$D$4:$D$9996,B4940,Movimentos!$C$4:$C$9996,"Entrada")-SUMIFS(Movimentos!$F$4:$F$9996,Movimentos!$D$4:$D$9996,B4940,Movimentos!$C$4:$C$9996,"Saída"),""),"")</f>
        <v/>
      </c>
      <c r="F4940" s="10" t="str">
        <f t="shared" si="156"/>
        <v/>
      </c>
    </row>
    <row r="4941" spans="1:6" x14ac:dyDescent="0.3">
      <c r="A4941" s="15" t="str">
        <f t="shared" si="157"/>
        <v>.</v>
      </c>
      <c r="E4941" s="13" t="str">
        <f>IFERROR(IF(AND(B4941&lt;&gt;"",C4941&lt;&gt;""),SUMIFS(Movimentos!$F$4:$F$9996,Movimentos!$D$4:$D$9996,B4941,Movimentos!$C$4:$C$9996,"Entrada")-SUMIFS(Movimentos!$F$4:$F$9996,Movimentos!$D$4:$D$9996,B4941,Movimentos!$C$4:$C$9996,"Saída"),""),"")</f>
        <v/>
      </c>
      <c r="F4941" s="10" t="str">
        <f t="shared" si="156"/>
        <v/>
      </c>
    </row>
    <row r="4942" spans="1:6" x14ac:dyDescent="0.3">
      <c r="A4942" s="15" t="str">
        <f t="shared" si="157"/>
        <v>.</v>
      </c>
      <c r="E4942" s="13" t="str">
        <f>IFERROR(IF(AND(B4942&lt;&gt;"",C4942&lt;&gt;""),SUMIFS(Movimentos!$F$4:$F$9996,Movimentos!$D$4:$D$9996,B4942,Movimentos!$C$4:$C$9996,"Entrada")-SUMIFS(Movimentos!$F$4:$F$9996,Movimentos!$D$4:$D$9996,B4942,Movimentos!$C$4:$C$9996,"Saída"),""),"")</f>
        <v/>
      </c>
      <c r="F4942" s="10" t="str">
        <f t="shared" si="156"/>
        <v/>
      </c>
    </row>
    <row r="4943" spans="1:6" x14ac:dyDescent="0.3">
      <c r="A4943" s="15" t="str">
        <f t="shared" si="157"/>
        <v>.</v>
      </c>
      <c r="E4943" s="13" t="str">
        <f>IFERROR(IF(AND(B4943&lt;&gt;"",C4943&lt;&gt;""),SUMIFS(Movimentos!$F$4:$F$9996,Movimentos!$D$4:$D$9996,B4943,Movimentos!$C$4:$C$9996,"Entrada")-SUMIFS(Movimentos!$F$4:$F$9996,Movimentos!$D$4:$D$9996,B4943,Movimentos!$C$4:$C$9996,"Saída"),""),"")</f>
        <v/>
      </c>
      <c r="F4943" s="10" t="str">
        <f t="shared" si="156"/>
        <v/>
      </c>
    </row>
    <row r="4944" spans="1:6" x14ac:dyDescent="0.3">
      <c r="A4944" s="15" t="str">
        <f t="shared" si="157"/>
        <v>.</v>
      </c>
      <c r="E4944" s="13" t="str">
        <f>IFERROR(IF(AND(B4944&lt;&gt;"",C4944&lt;&gt;""),SUMIFS(Movimentos!$F$4:$F$9996,Movimentos!$D$4:$D$9996,B4944,Movimentos!$C$4:$C$9996,"Entrada")-SUMIFS(Movimentos!$F$4:$F$9996,Movimentos!$D$4:$D$9996,B4944,Movimentos!$C$4:$C$9996,"Saída"),""),"")</f>
        <v/>
      </c>
      <c r="F4944" s="10" t="str">
        <f t="shared" si="156"/>
        <v/>
      </c>
    </row>
    <row r="4945" spans="1:6" x14ac:dyDescent="0.3">
      <c r="A4945" s="15" t="str">
        <f t="shared" si="157"/>
        <v>.</v>
      </c>
      <c r="E4945" s="13" t="str">
        <f>IFERROR(IF(AND(B4945&lt;&gt;"",C4945&lt;&gt;""),SUMIFS(Movimentos!$F$4:$F$9996,Movimentos!$D$4:$D$9996,B4945,Movimentos!$C$4:$C$9996,"Entrada")-SUMIFS(Movimentos!$F$4:$F$9996,Movimentos!$D$4:$D$9996,B4945,Movimentos!$C$4:$C$9996,"Saída"),""),"")</f>
        <v/>
      </c>
      <c r="F4945" s="10" t="str">
        <f t="shared" si="156"/>
        <v/>
      </c>
    </row>
    <row r="4946" spans="1:6" x14ac:dyDescent="0.3">
      <c r="A4946" s="15" t="str">
        <f t="shared" si="157"/>
        <v>.</v>
      </c>
      <c r="E4946" s="13" t="str">
        <f>IFERROR(IF(AND(B4946&lt;&gt;"",C4946&lt;&gt;""),SUMIFS(Movimentos!$F$4:$F$9996,Movimentos!$D$4:$D$9996,B4946,Movimentos!$C$4:$C$9996,"Entrada")-SUMIFS(Movimentos!$F$4:$F$9996,Movimentos!$D$4:$D$9996,B4946,Movimentos!$C$4:$C$9996,"Saída"),""),"")</f>
        <v/>
      </c>
      <c r="F4946" s="10" t="str">
        <f t="shared" si="156"/>
        <v/>
      </c>
    </row>
    <row r="4947" spans="1:6" x14ac:dyDescent="0.3">
      <c r="A4947" s="15" t="str">
        <f t="shared" si="157"/>
        <v>.</v>
      </c>
      <c r="E4947" s="13" t="str">
        <f>IFERROR(IF(AND(B4947&lt;&gt;"",C4947&lt;&gt;""),SUMIFS(Movimentos!$F$4:$F$9996,Movimentos!$D$4:$D$9996,B4947,Movimentos!$C$4:$C$9996,"Entrada")-SUMIFS(Movimentos!$F$4:$F$9996,Movimentos!$D$4:$D$9996,B4947,Movimentos!$C$4:$C$9996,"Saída"),""),"")</f>
        <v/>
      </c>
      <c r="F4947" s="10" t="str">
        <f t="shared" si="156"/>
        <v/>
      </c>
    </row>
    <row r="4948" spans="1:6" x14ac:dyDescent="0.3">
      <c r="A4948" s="15" t="str">
        <f t="shared" si="157"/>
        <v>.</v>
      </c>
      <c r="E4948" s="13" t="str">
        <f>IFERROR(IF(AND(B4948&lt;&gt;"",C4948&lt;&gt;""),SUMIFS(Movimentos!$F$4:$F$9996,Movimentos!$D$4:$D$9996,B4948,Movimentos!$C$4:$C$9996,"Entrada")-SUMIFS(Movimentos!$F$4:$F$9996,Movimentos!$D$4:$D$9996,B4948,Movimentos!$C$4:$C$9996,"Saída"),""),"")</f>
        <v/>
      </c>
      <c r="F4948" s="10" t="str">
        <f t="shared" si="156"/>
        <v/>
      </c>
    </row>
    <row r="4949" spans="1:6" x14ac:dyDescent="0.3">
      <c r="A4949" s="15" t="str">
        <f t="shared" si="157"/>
        <v>.</v>
      </c>
      <c r="E4949" s="13" t="str">
        <f>IFERROR(IF(AND(B4949&lt;&gt;"",C4949&lt;&gt;""),SUMIFS(Movimentos!$F$4:$F$9996,Movimentos!$D$4:$D$9996,B4949,Movimentos!$C$4:$C$9996,"Entrada")-SUMIFS(Movimentos!$F$4:$F$9996,Movimentos!$D$4:$D$9996,B4949,Movimentos!$C$4:$C$9996,"Saída"),""),"")</f>
        <v/>
      </c>
      <c r="F4949" s="10" t="str">
        <f t="shared" si="156"/>
        <v/>
      </c>
    </row>
    <row r="4950" spans="1:6" x14ac:dyDescent="0.3">
      <c r="A4950" s="15" t="str">
        <f t="shared" si="157"/>
        <v>.</v>
      </c>
      <c r="E4950" s="13" t="str">
        <f>IFERROR(IF(AND(B4950&lt;&gt;"",C4950&lt;&gt;""),SUMIFS(Movimentos!$F$4:$F$9996,Movimentos!$D$4:$D$9996,B4950,Movimentos!$C$4:$C$9996,"Entrada")-SUMIFS(Movimentos!$F$4:$F$9996,Movimentos!$D$4:$D$9996,B4950,Movimentos!$C$4:$C$9996,"Saída"),""),"")</f>
        <v/>
      </c>
      <c r="F4950" s="10" t="str">
        <f t="shared" si="156"/>
        <v/>
      </c>
    </row>
    <row r="4951" spans="1:6" x14ac:dyDescent="0.3">
      <c r="A4951" s="15" t="str">
        <f t="shared" si="157"/>
        <v>.</v>
      </c>
      <c r="E4951" s="13" t="str">
        <f>IFERROR(IF(AND(B4951&lt;&gt;"",C4951&lt;&gt;""),SUMIFS(Movimentos!$F$4:$F$9996,Movimentos!$D$4:$D$9996,B4951,Movimentos!$C$4:$C$9996,"Entrada")-SUMIFS(Movimentos!$F$4:$F$9996,Movimentos!$D$4:$D$9996,B4951,Movimentos!$C$4:$C$9996,"Saída"),""),"")</f>
        <v/>
      </c>
      <c r="F4951" s="10" t="str">
        <f t="shared" ref="F4951:F4996" si="158">IF(AND(B4951&lt;&gt;"",C4951&lt;&gt;""),IF(E4951=0,"Saldo zerado",IF(E4951&lt;D4951,"Saldo abaixo do mínimo","Saldo disponível")),"")</f>
        <v/>
      </c>
    </row>
    <row r="4952" spans="1:6" x14ac:dyDescent="0.3">
      <c r="A4952" s="15" t="str">
        <f t="shared" si="157"/>
        <v>.</v>
      </c>
      <c r="E4952" s="13" t="str">
        <f>IFERROR(IF(AND(B4952&lt;&gt;"",C4952&lt;&gt;""),SUMIFS(Movimentos!$F$4:$F$9996,Movimentos!$D$4:$D$9996,B4952,Movimentos!$C$4:$C$9996,"Entrada")-SUMIFS(Movimentos!$F$4:$F$9996,Movimentos!$D$4:$D$9996,B4952,Movimentos!$C$4:$C$9996,"Saída"),""),"")</f>
        <v/>
      </c>
      <c r="F4952" s="10" t="str">
        <f t="shared" si="158"/>
        <v/>
      </c>
    </row>
    <row r="4953" spans="1:6" x14ac:dyDescent="0.3">
      <c r="A4953" s="15" t="str">
        <f t="shared" si="157"/>
        <v>.</v>
      </c>
      <c r="E4953" s="13" t="str">
        <f>IFERROR(IF(AND(B4953&lt;&gt;"",C4953&lt;&gt;""),SUMIFS(Movimentos!$F$4:$F$9996,Movimentos!$D$4:$D$9996,B4953,Movimentos!$C$4:$C$9996,"Entrada")-SUMIFS(Movimentos!$F$4:$F$9996,Movimentos!$D$4:$D$9996,B4953,Movimentos!$C$4:$C$9996,"Saída"),""),"")</f>
        <v/>
      </c>
      <c r="F4953" s="10" t="str">
        <f t="shared" si="158"/>
        <v/>
      </c>
    </row>
    <row r="4954" spans="1:6" x14ac:dyDescent="0.3">
      <c r="A4954" s="15" t="str">
        <f t="shared" si="157"/>
        <v>.</v>
      </c>
      <c r="E4954" s="13" t="str">
        <f>IFERROR(IF(AND(B4954&lt;&gt;"",C4954&lt;&gt;""),SUMIFS(Movimentos!$F$4:$F$9996,Movimentos!$D$4:$D$9996,B4954,Movimentos!$C$4:$C$9996,"Entrada")-SUMIFS(Movimentos!$F$4:$F$9996,Movimentos!$D$4:$D$9996,B4954,Movimentos!$C$4:$C$9996,"Saída"),""),"")</f>
        <v/>
      </c>
      <c r="F4954" s="10" t="str">
        <f t="shared" si="158"/>
        <v/>
      </c>
    </row>
    <row r="4955" spans="1:6" x14ac:dyDescent="0.3">
      <c r="A4955" s="15" t="str">
        <f t="shared" si="157"/>
        <v>.</v>
      </c>
      <c r="E4955" s="13" t="str">
        <f>IFERROR(IF(AND(B4955&lt;&gt;"",C4955&lt;&gt;""),SUMIFS(Movimentos!$F$4:$F$9996,Movimentos!$D$4:$D$9996,B4955,Movimentos!$C$4:$C$9996,"Entrada")-SUMIFS(Movimentos!$F$4:$F$9996,Movimentos!$D$4:$D$9996,B4955,Movimentos!$C$4:$C$9996,"Saída"),""),"")</f>
        <v/>
      </c>
      <c r="F4955" s="10" t="str">
        <f t="shared" si="158"/>
        <v/>
      </c>
    </row>
    <row r="4956" spans="1:6" x14ac:dyDescent="0.3">
      <c r="A4956" s="15" t="str">
        <f t="shared" si="157"/>
        <v>.</v>
      </c>
      <c r="E4956" s="13" t="str">
        <f>IFERROR(IF(AND(B4956&lt;&gt;"",C4956&lt;&gt;""),SUMIFS(Movimentos!$F$4:$F$9996,Movimentos!$D$4:$D$9996,B4956,Movimentos!$C$4:$C$9996,"Entrada")-SUMIFS(Movimentos!$F$4:$F$9996,Movimentos!$D$4:$D$9996,B4956,Movimentos!$C$4:$C$9996,"Saída"),""),"")</f>
        <v/>
      </c>
      <c r="F4956" s="10" t="str">
        <f t="shared" si="158"/>
        <v/>
      </c>
    </row>
    <row r="4957" spans="1:6" x14ac:dyDescent="0.3">
      <c r="A4957" s="15" t="str">
        <f t="shared" si="157"/>
        <v>.</v>
      </c>
      <c r="E4957" s="13" t="str">
        <f>IFERROR(IF(AND(B4957&lt;&gt;"",C4957&lt;&gt;""),SUMIFS(Movimentos!$F$4:$F$9996,Movimentos!$D$4:$D$9996,B4957,Movimentos!$C$4:$C$9996,"Entrada")-SUMIFS(Movimentos!$F$4:$F$9996,Movimentos!$D$4:$D$9996,B4957,Movimentos!$C$4:$C$9996,"Saída"),""),"")</f>
        <v/>
      </c>
      <c r="F4957" s="10" t="str">
        <f t="shared" si="158"/>
        <v/>
      </c>
    </row>
    <row r="4958" spans="1:6" x14ac:dyDescent="0.3">
      <c r="A4958" s="15" t="str">
        <f t="shared" si="157"/>
        <v>.</v>
      </c>
      <c r="E4958" s="13" t="str">
        <f>IFERROR(IF(AND(B4958&lt;&gt;"",C4958&lt;&gt;""),SUMIFS(Movimentos!$F$4:$F$9996,Movimentos!$D$4:$D$9996,B4958,Movimentos!$C$4:$C$9996,"Entrada")-SUMIFS(Movimentos!$F$4:$F$9996,Movimentos!$D$4:$D$9996,B4958,Movimentos!$C$4:$C$9996,"Saída"),""),"")</f>
        <v/>
      </c>
      <c r="F4958" s="10" t="str">
        <f t="shared" si="158"/>
        <v/>
      </c>
    </row>
    <row r="4959" spans="1:6" x14ac:dyDescent="0.3">
      <c r="A4959" s="15" t="str">
        <f t="shared" si="157"/>
        <v>.</v>
      </c>
      <c r="E4959" s="13" t="str">
        <f>IFERROR(IF(AND(B4959&lt;&gt;"",C4959&lt;&gt;""),SUMIFS(Movimentos!$F$4:$F$9996,Movimentos!$D$4:$D$9996,B4959,Movimentos!$C$4:$C$9996,"Entrada")-SUMIFS(Movimentos!$F$4:$F$9996,Movimentos!$D$4:$D$9996,B4959,Movimentos!$C$4:$C$9996,"Saída"),""),"")</f>
        <v/>
      </c>
      <c r="F4959" s="10" t="str">
        <f t="shared" si="158"/>
        <v/>
      </c>
    </row>
    <row r="4960" spans="1:6" x14ac:dyDescent="0.3">
      <c r="A4960" s="15" t="str">
        <f t="shared" si="157"/>
        <v>.</v>
      </c>
      <c r="E4960" s="13" t="str">
        <f>IFERROR(IF(AND(B4960&lt;&gt;"",C4960&lt;&gt;""),SUMIFS(Movimentos!$F$4:$F$9996,Movimentos!$D$4:$D$9996,B4960,Movimentos!$C$4:$C$9996,"Entrada")-SUMIFS(Movimentos!$F$4:$F$9996,Movimentos!$D$4:$D$9996,B4960,Movimentos!$C$4:$C$9996,"Saída"),""),"")</f>
        <v/>
      </c>
      <c r="F4960" s="10" t="str">
        <f t="shared" si="158"/>
        <v/>
      </c>
    </row>
    <row r="4961" spans="1:6" x14ac:dyDescent="0.3">
      <c r="A4961" s="15" t="str">
        <f t="shared" si="157"/>
        <v>.</v>
      </c>
      <c r="E4961" s="13" t="str">
        <f>IFERROR(IF(AND(B4961&lt;&gt;"",C4961&lt;&gt;""),SUMIFS(Movimentos!$F$4:$F$9996,Movimentos!$D$4:$D$9996,B4961,Movimentos!$C$4:$C$9996,"Entrada")-SUMIFS(Movimentos!$F$4:$F$9996,Movimentos!$D$4:$D$9996,B4961,Movimentos!$C$4:$C$9996,"Saída"),""),"")</f>
        <v/>
      </c>
      <c r="F4961" s="10" t="str">
        <f t="shared" si="158"/>
        <v/>
      </c>
    </row>
    <row r="4962" spans="1:6" x14ac:dyDescent="0.3">
      <c r="A4962" s="15" t="str">
        <f t="shared" si="157"/>
        <v>.</v>
      </c>
      <c r="E4962" s="13" t="str">
        <f>IFERROR(IF(AND(B4962&lt;&gt;"",C4962&lt;&gt;""),SUMIFS(Movimentos!$F$4:$F$9996,Movimentos!$D$4:$D$9996,B4962,Movimentos!$C$4:$C$9996,"Entrada")-SUMIFS(Movimentos!$F$4:$F$9996,Movimentos!$D$4:$D$9996,B4962,Movimentos!$C$4:$C$9996,"Saída"),""),"")</f>
        <v/>
      </c>
      <c r="F4962" s="10" t="str">
        <f t="shared" si="158"/>
        <v/>
      </c>
    </row>
    <row r="4963" spans="1:6" x14ac:dyDescent="0.3">
      <c r="A4963" s="15" t="str">
        <f t="shared" si="157"/>
        <v>.</v>
      </c>
      <c r="E4963" s="13" t="str">
        <f>IFERROR(IF(AND(B4963&lt;&gt;"",C4963&lt;&gt;""),SUMIFS(Movimentos!$F$4:$F$9996,Movimentos!$D$4:$D$9996,B4963,Movimentos!$C$4:$C$9996,"Entrada")-SUMIFS(Movimentos!$F$4:$F$9996,Movimentos!$D$4:$D$9996,B4963,Movimentos!$C$4:$C$9996,"Saída"),""),"")</f>
        <v/>
      </c>
      <c r="F4963" s="10" t="str">
        <f t="shared" si="158"/>
        <v/>
      </c>
    </row>
    <row r="4964" spans="1:6" x14ac:dyDescent="0.3">
      <c r="A4964" s="15" t="str">
        <f t="shared" si="157"/>
        <v>.</v>
      </c>
      <c r="E4964" s="13" t="str">
        <f>IFERROR(IF(AND(B4964&lt;&gt;"",C4964&lt;&gt;""),SUMIFS(Movimentos!$F$4:$F$9996,Movimentos!$D$4:$D$9996,B4964,Movimentos!$C$4:$C$9996,"Entrada")-SUMIFS(Movimentos!$F$4:$F$9996,Movimentos!$D$4:$D$9996,B4964,Movimentos!$C$4:$C$9996,"Saída"),""),"")</f>
        <v/>
      </c>
      <c r="F4964" s="10" t="str">
        <f t="shared" si="158"/>
        <v/>
      </c>
    </row>
    <row r="4965" spans="1:6" x14ac:dyDescent="0.3">
      <c r="A4965" s="15" t="str">
        <f t="shared" si="157"/>
        <v>.</v>
      </c>
      <c r="E4965" s="13" t="str">
        <f>IFERROR(IF(AND(B4965&lt;&gt;"",C4965&lt;&gt;""),SUMIFS(Movimentos!$F$4:$F$9996,Movimentos!$D$4:$D$9996,B4965,Movimentos!$C$4:$C$9996,"Entrada")-SUMIFS(Movimentos!$F$4:$F$9996,Movimentos!$D$4:$D$9996,B4965,Movimentos!$C$4:$C$9996,"Saída"),""),"")</f>
        <v/>
      </c>
      <c r="F4965" s="10" t="str">
        <f t="shared" si="158"/>
        <v/>
      </c>
    </row>
    <row r="4966" spans="1:6" x14ac:dyDescent="0.3">
      <c r="A4966" s="15" t="str">
        <f t="shared" si="157"/>
        <v>.</v>
      </c>
      <c r="E4966" s="13" t="str">
        <f>IFERROR(IF(AND(B4966&lt;&gt;"",C4966&lt;&gt;""),SUMIFS(Movimentos!$F$4:$F$9996,Movimentos!$D$4:$D$9996,B4966,Movimentos!$C$4:$C$9996,"Entrada")-SUMIFS(Movimentos!$F$4:$F$9996,Movimentos!$D$4:$D$9996,B4966,Movimentos!$C$4:$C$9996,"Saída"),""),"")</f>
        <v/>
      </c>
      <c r="F4966" s="10" t="str">
        <f t="shared" si="158"/>
        <v/>
      </c>
    </row>
    <row r="4967" spans="1:6" x14ac:dyDescent="0.3">
      <c r="A4967" s="15" t="str">
        <f t="shared" si="157"/>
        <v>.</v>
      </c>
      <c r="E4967" s="13" t="str">
        <f>IFERROR(IF(AND(B4967&lt;&gt;"",C4967&lt;&gt;""),SUMIFS(Movimentos!$F$4:$F$9996,Movimentos!$D$4:$D$9996,B4967,Movimentos!$C$4:$C$9996,"Entrada")-SUMIFS(Movimentos!$F$4:$F$9996,Movimentos!$D$4:$D$9996,B4967,Movimentos!$C$4:$C$9996,"Saída"),""),"")</f>
        <v/>
      </c>
      <c r="F4967" s="10" t="str">
        <f t="shared" si="158"/>
        <v/>
      </c>
    </row>
    <row r="4968" spans="1:6" x14ac:dyDescent="0.3">
      <c r="A4968" s="15" t="str">
        <f t="shared" si="157"/>
        <v>.</v>
      </c>
      <c r="E4968" s="13" t="str">
        <f>IFERROR(IF(AND(B4968&lt;&gt;"",C4968&lt;&gt;""),SUMIFS(Movimentos!$F$4:$F$9996,Movimentos!$D$4:$D$9996,B4968,Movimentos!$C$4:$C$9996,"Entrada")-SUMIFS(Movimentos!$F$4:$F$9996,Movimentos!$D$4:$D$9996,B4968,Movimentos!$C$4:$C$9996,"Saída"),""),"")</f>
        <v/>
      </c>
      <c r="F4968" s="10" t="str">
        <f t="shared" si="158"/>
        <v/>
      </c>
    </row>
    <row r="4969" spans="1:6" x14ac:dyDescent="0.3">
      <c r="A4969" s="15" t="str">
        <f t="shared" si="157"/>
        <v>.</v>
      </c>
      <c r="E4969" s="13" t="str">
        <f>IFERROR(IF(AND(B4969&lt;&gt;"",C4969&lt;&gt;""),SUMIFS(Movimentos!$F$4:$F$9996,Movimentos!$D$4:$D$9996,B4969,Movimentos!$C$4:$C$9996,"Entrada")-SUMIFS(Movimentos!$F$4:$F$9996,Movimentos!$D$4:$D$9996,B4969,Movimentos!$C$4:$C$9996,"Saída"),""),"")</f>
        <v/>
      </c>
      <c r="F4969" s="10" t="str">
        <f t="shared" si="158"/>
        <v/>
      </c>
    </row>
    <row r="4970" spans="1:6" x14ac:dyDescent="0.3">
      <c r="A4970" s="15" t="str">
        <f t="shared" si="157"/>
        <v>.</v>
      </c>
      <c r="E4970" s="13" t="str">
        <f>IFERROR(IF(AND(B4970&lt;&gt;"",C4970&lt;&gt;""),SUMIFS(Movimentos!$F$4:$F$9996,Movimentos!$D$4:$D$9996,B4970,Movimentos!$C$4:$C$9996,"Entrada")-SUMIFS(Movimentos!$F$4:$F$9996,Movimentos!$D$4:$D$9996,B4970,Movimentos!$C$4:$C$9996,"Saída"),""),"")</f>
        <v/>
      </c>
      <c r="F4970" s="10" t="str">
        <f t="shared" si="158"/>
        <v/>
      </c>
    </row>
    <row r="4971" spans="1:6" x14ac:dyDescent="0.3">
      <c r="A4971" s="15" t="str">
        <f t="shared" si="157"/>
        <v>.</v>
      </c>
      <c r="E4971" s="13" t="str">
        <f>IFERROR(IF(AND(B4971&lt;&gt;"",C4971&lt;&gt;""),SUMIFS(Movimentos!$F$4:$F$9996,Movimentos!$D$4:$D$9996,B4971,Movimentos!$C$4:$C$9996,"Entrada")-SUMIFS(Movimentos!$F$4:$F$9996,Movimentos!$D$4:$D$9996,B4971,Movimentos!$C$4:$C$9996,"Saída"),""),"")</f>
        <v/>
      </c>
      <c r="F4971" s="10" t="str">
        <f t="shared" si="158"/>
        <v/>
      </c>
    </row>
    <row r="4972" spans="1:6" x14ac:dyDescent="0.3">
      <c r="A4972" s="15" t="str">
        <f t="shared" si="157"/>
        <v>.</v>
      </c>
      <c r="E4972" s="13" t="str">
        <f>IFERROR(IF(AND(B4972&lt;&gt;"",C4972&lt;&gt;""),SUMIFS(Movimentos!$F$4:$F$9996,Movimentos!$D$4:$D$9996,B4972,Movimentos!$C$4:$C$9996,"Entrada")-SUMIFS(Movimentos!$F$4:$F$9996,Movimentos!$D$4:$D$9996,B4972,Movimentos!$C$4:$C$9996,"Saída"),""),"")</f>
        <v/>
      </c>
      <c r="F4972" s="10" t="str">
        <f t="shared" si="158"/>
        <v/>
      </c>
    </row>
    <row r="4973" spans="1:6" x14ac:dyDescent="0.3">
      <c r="A4973" s="15" t="str">
        <f t="shared" si="157"/>
        <v>.</v>
      </c>
      <c r="E4973" s="13" t="str">
        <f>IFERROR(IF(AND(B4973&lt;&gt;"",C4973&lt;&gt;""),SUMIFS(Movimentos!$F$4:$F$9996,Movimentos!$D$4:$D$9996,B4973,Movimentos!$C$4:$C$9996,"Entrada")-SUMIFS(Movimentos!$F$4:$F$9996,Movimentos!$D$4:$D$9996,B4973,Movimentos!$C$4:$C$9996,"Saída"),""),"")</f>
        <v/>
      </c>
      <c r="F4973" s="10" t="str">
        <f t="shared" si="158"/>
        <v/>
      </c>
    </row>
    <row r="4974" spans="1:6" x14ac:dyDescent="0.3">
      <c r="A4974" s="15" t="str">
        <f t="shared" si="157"/>
        <v>.</v>
      </c>
      <c r="E4974" s="13" t="str">
        <f>IFERROR(IF(AND(B4974&lt;&gt;"",C4974&lt;&gt;""),SUMIFS(Movimentos!$F$4:$F$9996,Movimentos!$D$4:$D$9996,B4974,Movimentos!$C$4:$C$9996,"Entrada")-SUMIFS(Movimentos!$F$4:$F$9996,Movimentos!$D$4:$D$9996,B4974,Movimentos!$C$4:$C$9996,"Saída"),""),"")</f>
        <v/>
      </c>
      <c r="F4974" s="10" t="str">
        <f t="shared" si="158"/>
        <v/>
      </c>
    </row>
    <row r="4975" spans="1:6" x14ac:dyDescent="0.3">
      <c r="A4975" s="15" t="str">
        <f t="shared" si="157"/>
        <v>.</v>
      </c>
      <c r="E4975" s="13" t="str">
        <f>IFERROR(IF(AND(B4975&lt;&gt;"",C4975&lt;&gt;""),SUMIFS(Movimentos!$F$4:$F$9996,Movimentos!$D$4:$D$9996,B4975,Movimentos!$C$4:$C$9996,"Entrada")-SUMIFS(Movimentos!$F$4:$F$9996,Movimentos!$D$4:$D$9996,B4975,Movimentos!$C$4:$C$9996,"Saída"),""),"")</f>
        <v/>
      </c>
      <c r="F4975" s="10" t="str">
        <f t="shared" si="158"/>
        <v/>
      </c>
    </row>
    <row r="4976" spans="1:6" x14ac:dyDescent="0.3">
      <c r="A4976" s="15" t="str">
        <f t="shared" si="157"/>
        <v>.</v>
      </c>
      <c r="E4976" s="13" t="str">
        <f>IFERROR(IF(AND(B4976&lt;&gt;"",C4976&lt;&gt;""),SUMIFS(Movimentos!$F$4:$F$9996,Movimentos!$D$4:$D$9996,B4976,Movimentos!$C$4:$C$9996,"Entrada")-SUMIFS(Movimentos!$F$4:$F$9996,Movimentos!$D$4:$D$9996,B4976,Movimentos!$C$4:$C$9996,"Saída"),""),"")</f>
        <v/>
      </c>
      <c r="F4976" s="10" t="str">
        <f t="shared" si="158"/>
        <v/>
      </c>
    </row>
    <row r="4977" spans="1:6" x14ac:dyDescent="0.3">
      <c r="A4977" s="15" t="str">
        <f t="shared" si="157"/>
        <v>.</v>
      </c>
      <c r="E4977" s="13" t="str">
        <f>IFERROR(IF(AND(B4977&lt;&gt;"",C4977&lt;&gt;""),SUMIFS(Movimentos!$F$4:$F$9996,Movimentos!$D$4:$D$9996,B4977,Movimentos!$C$4:$C$9996,"Entrada")-SUMIFS(Movimentos!$F$4:$F$9996,Movimentos!$D$4:$D$9996,B4977,Movimentos!$C$4:$C$9996,"Saída"),""),"")</f>
        <v/>
      </c>
      <c r="F4977" s="10" t="str">
        <f t="shared" si="158"/>
        <v/>
      </c>
    </row>
    <row r="4978" spans="1:6" x14ac:dyDescent="0.3">
      <c r="A4978" s="15" t="str">
        <f t="shared" si="157"/>
        <v>.</v>
      </c>
      <c r="E4978" s="13" t="str">
        <f>IFERROR(IF(AND(B4978&lt;&gt;"",C4978&lt;&gt;""),SUMIFS(Movimentos!$F$4:$F$9996,Movimentos!$D$4:$D$9996,B4978,Movimentos!$C$4:$C$9996,"Entrada")-SUMIFS(Movimentos!$F$4:$F$9996,Movimentos!$D$4:$D$9996,B4978,Movimentos!$C$4:$C$9996,"Saída"),""),"")</f>
        <v/>
      </c>
      <c r="F4978" s="10" t="str">
        <f t="shared" si="158"/>
        <v/>
      </c>
    </row>
    <row r="4979" spans="1:6" x14ac:dyDescent="0.3">
      <c r="A4979" s="15" t="str">
        <f t="shared" si="157"/>
        <v>.</v>
      </c>
      <c r="E4979" s="13" t="str">
        <f>IFERROR(IF(AND(B4979&lt;&gt;"",C4979&lt;&gt;""),SUMIFS(Movimentos!$F$4:$F$9996,Movimentos!$D$4:$D$9996,B4979,Movimentos!$C$4:$C$9996,"Entrada")-SUMIFS(Movimentos!$F$4:$F$9996,Movimentos!$D$4:$D$9996,B4979,Movimentos!$C$4:$C$9996,"Saída"),""),"")</f>
        <v/>
      </c>
      <c r="F4979" s="10" t="str">
        <f t="shared" si="158"/>
        <v/>
      </c>
    </row>
    <row r="4980" spans="1:6" x14ac:dyDescent="0.3">
      <c r="A4980" s="15" t="str">
        <f t="shared" si="157"/>
        <v>.</v>
      </c>
      <c r="E4980" s="13" t="str">
        <f>IFERROR(IF(AND(B4980&lt;&gt;"",C4980&lt;&gt;""),SUMIFS(Movimentos!$F$4:$F$9996,Movimentos!$D$4:$D$9996,B4980,Movimentos!$C$4:$C$9996,"Entrada")-SUMIFS(Movimentos!$F$4:$F$9996,Movimentos!$D$4:$D$9996,B4980,Movimentos!$C$4:$C$9996,"Saída"),""),"")</f>
        <v/>
      </c>
      <c r="F4980" s="10" t="str">
        <f t="shared" si="158"/>
        <v/>
      </c>
    </row>
    <row r="4981" spans="1:6" x14ac:dyDescent="0.3">
      <c r="A4981" s="15" t="str">
        <f t="shared" si="157"/>
        <v>.</v>
      </c>
      <c r="E4981" s="13" t="str">
        <f>IFERROR(IF(AND(B4981&lt;&gt;"",C4981&lt;&gt;""),SUMIFS(Movimentos!$F$4:$F$9996,Movimentos!$D$4:$D$9996,B4981,Movimentos!$C$4:$C$9996,"Entrada")-SUMIFS(Movimentos!$F$4:$F$9996,Movimentos!$D$4:$D$9996,B4981,Movimentos!$C$4:$C$9996,"Saída"),""),"")</f>
        <v/>
      </c>
      <c r="F4981" s="10" t="str">
        <f t="shared" si="158"/>
        <v/>
      </c>
    </row>
    <row r="4982" spans="1:6" x14ac:dyDescent="0.3">
      <c r="A4982" s="15" t="str">
        <f t="shared" si="157"/>
        <v>.</v>
      </c>
      <c r="E4982" s="13" t="str">
        <f>IFERROR(IF(AND(B4982&lt;&gt;"",C4982&lt;&gt;""),SUMIFS(Movimentos!$F$4:$F$9996,Movimentos!$D$4:$D$9996,B4982,Movimentos!$C$4:$C$9996,"Entrada")-SUMIFS(Movimentos!$F$4:$F$9996,Movimentos!$D$4:$D$9996,B4982,Movimentos!$C$4:$C$9996,"Saída"),""),"")</f>
        <v/>
      </c>
      <c r="F4982" s="10" t="str">
        <f t="shared" si="158"/>
        <v/>
      </c>
    </row>
    <row r="4983" spans="1:6" x14ac:dyDescent="0.3">
      <c r="A4983" s="15" t="str">
        <f t="shared" si="157"/>
        <v>.</v>
      </c>
      <c r="E4983" s="13" t="str">
        <f>IFERROR(IF(AND(B4983&lt;&gt;"",C4983&lt;&gt;""),SUMIFS(Movimentos!$F$4:$F$9996,Movimentos!$D$4:$D$9996,B4983,Movimentos!$C$4:$C$9996,"Entrada")-SUMIFS(Movimentos!$F$4:$F$9996,Movimentos!$D$4:$D$9996,B4983,Movimentos!$C$4:$C$9996,"Saída"),""),"")</f>
        <v/>
      </c>
      <c r="F4983" s="10" t="str">
        <f t="shared" si="158"/>
        <v/>
      </c>
    </row>
    <row r="4984" spans="1:6" x14ac:dyDescent="0.3">
      <c r="A4984" s="15" t="str">
        <f t="shared" si="157"/>
        <v>.</v>
      </c>
      <c r="E4984" s="13" t="str">
        <f>IFERROR(IF(AND(B4984&lt;&gt;"",C4984&lt;&gt;""),SUMIFS(Movimentos!$F$4:$F$9996,Movimentos!$D$4:$D$9996,B4984,Movimentos!$C$4:$C$9996,"Entrada")-SUMIFS(Movimentos!$F$4:$F$9996,Movimentos!$D$4:$D$9996,B4984,Movimentos!$C$4:$C$9996,"Saída"),""),"")</f>
        <v/>
      </c>
      <c r="F4984" s="10" t="str">
        <f t="shared" si="158"/>
        <v/>
      </c>
    </row>
    <row r="4985" spans="1:6" x14ac:dyDescent="0.3">
      <c r="A4985" s="15" t="str">
        <f t="shared" si="157"/>
        <v>.</v>
      </c>
      <c r="E4985" s="13" t="str">
        <f>IFERROR(IF(AND(B4985&lt;&gt;"",C4985&lt;&gt;""),SUMIFS(Movimentos!$F$4:$F$9996,Movimentos!$D$4:$D$9996,B4985,Movimentos!$C$4:$C$9996,"Entrada")-SUMIFS(Movimentos!$F$4:$F$9996,Movimentos!$D$4:$D$9996,B4985,Movimentos!$C$4:$C$9996,"Saída"),""),"")</f>
        <v/>
      </c>
      <c r="F4985" s="10" t="str">
        <f t="shared" si="158"/>
        <v/>
      </c>
    </row>
    <row r="4986" spans="1:6" x14ac:dyDescent="0.3">
      <c r="A4986" s="15" t="str">
        <f t="shared" si="157"/>
        <v>.</v>
      </c>
      <c r="E4986" s="13" t="str">
        <f>IFERROR(IF(AND(B4986&lt;&gt;"",C4986&lt;&gt;""),SUMIFS(Movimentos!$F$4:$F$9996,Movimentos!$D$4:$D$9996,B4986,Movimentos!$C$4:$C$9996,"Entrada")-SUMIFS(Movimentos!$F$4:$F$9996,Movimentos!$D$4:$D$9996,B4986,Movimentos!$C$4:$C$9996,"Saída"),""),"")</f>
        <v/>
      </c>
      <c r="F4986" s="10" t="str">
        <f t="shared" si="158"/>
        <v/>
      </c>
    </row>
    <row r="4987" spans="1:6" x14ac:dyDescent="0.3">
      <c r="A4987" s="15" t="str">
        <f t="shared" si="157"/>
        <v>.</v>
      </c>
      <c r="E4987" s="13" t="str">
        <f>IFERROR(IF(AND(B4987&lt;&gt;"",C4987&lt;&gt;""),SUMIFS(Movimentos!$F$4:$F$9996,Movimentos!$D$4:$D$9996,B4987,Movimentos!$C$4:$C$9996,"Entrada")-SUMIFS(Movimentos!$F$4:$F$9996,Movimentos!$D$4:$D$9996,B4987,Movimentos!$C$4:$C$9996,"Saída"),""),"")</f>
        <v/>
      </c>
      <c r="F4987" s="10" t="str">
        <f t="shared" si="158"/>
        <v/>
      </c>
    </row>
    <row r="4988" spans="1:6" x14ac:dyDescent="0.3">
      <c r="A4988" s="15" t="str">
        <f t="shared" si="157"/>
        <v>.</v>
      </c>
      <c r="E4988" s="13" t="str">
        <f>IFERROR(IF(AND(B4988&lt;&gt;"",C4988&lt;&gt;""),SUMIFS(Movimentos!$F$4:$F$9996,Movimentos!$D$4:$D$9996,B4988,Movimentos!$C$4:$C$9996,"Entrada")-SUMIFS(Movimentos!$F$4:$F$9996,Movimentos!$D$4:$D$9996,B4988,Movimentos!$C$4:$C$9996,"Saída"),""),"")</f>
        <v/>
      </c>
      <c r="F4988" s="10" t="str">
        <f t="shared" si="158"/>
        <v/>
      </c>
    </row>
    <row r="4989" spans="1:6" x14ac:dyDescent="0.3">
      <c r="A4989" s="15" t="str">
        <f t="shared" si="157"/>
        <v>.</v>
      </c>
      <c r="E4989" s="13" t="str">
        <f>IFERROR(IF(AND(B4989&lt;&gt;"",C4989&lt;&gt;""),SUMIFS(Movimentos!$F$4:$F$9996,Movimentos!$D$4:$D$9996,B4989,Movimentos!$C$4:$C$9996,"Entrada")-SUMIFS(Movimentos!$F$4:$F$9996,Movimentos!$D$4:$D$9996,B4989,Movimentos!$C$4:$C$9996,"Saída"),""),"")</f>
        <v/>
      </c>
      <c r="F4989" s="10" t="str">
        <f t="shared" si="158"/>
        <v/>
      </c>
    </row>
    <row r="4990" spans="1:6" x14ac:dyDescent="0.3">
      <c r="A4990" s="15" t="str">
        <f t="shared" si="157"/>
        <v>.</v>
      </c>
      <c r="E4990" s="13" t="str">
        <f>IFERROR(IF(AND(B4990&lt;&gt;"",C4990&lt;&gt;""),SUMIFS(Movimentos!$F$4:$F$9996,Movimentos!$D$4:$D$9996,B4990,Movimentos!$C$4:$C$9996,"Entrada")-SUMIFS(Movimentos!$F$4:$F$9996,Movimentos!$D$4:$D$9996,B4990,Movimentos!$C$4:$C$9996,"Saída"),""),"")</f>
        <v/>
      </c>
      <c r="F4990" s="10" t="str">
        <f t="shared" si="158"/>
        <v/>
      </c>
    </row>
    <row r="4991" spans="1:6" x14ac:dyDescent="0.3">
      <c r="A4991" s="15" t="str">
        <f t="shared" si="157"/>
        <v>.</v>
      </c>
      <c r="E4991" s="13" t="str">
        <f>IFERROR(IF(AND(B4991&lt;&gt;"",C4991&lt;&gt;""),SUMIFS(Movimentos!$F$4:$F$9996,Movimentos!$D$4:$D$9996,B4991,Movimentos!$C$4:$C$9996,"Entrada")-SUMIFS(Movimentos!$F$4:$F$9996,Movimentos!$D$4:$D$9996,B4991,Movimentos!$C$4:$C$9996,"Saída"),""),"")</f>
        <v/>
      </c>
      <c r="F4991" s="10" t="str">
        <f t="shared" si="158"/>
        <v/>
      </c>
    </row>
    <row r="4992" spans="1:6" x14ac:dyDescent="0.3">
      <c r="A4992" s="15" t="str">
        <f t="shared" ref="A4992:A4996" si="159">IF(F4992="Saldo zerado",0,IF(F4992="Saldo abaixo do mínimo",1,IF(F4992="Saldo disponível",2,".")))</f>
        <v>.</v>
      </c>
      <c r="E4992" s="13" t="str">
        <f>IFERROR(IF(AND(B4992&lt;&gt;"",C4992&lt;&gt;""),SUMIFS(Movimentos!$F$4:$F$9996,Movimentos!$D$4:$D$9996,B4992,Movimentos!$C$4:$C$9996,"Entrada")-SUMIFS(Movimentos!$F$4:$F$9996,Movimentos!$D$4:$D$9996,B4992,Movimentos!$C$4:$C$9996,"Saída"),""),"")</f>
        <v/>
      </c>
      <c r="F4992" s="10" t="str">
        <f t="shared" si="158"/>
        <v/>
      </c>
    </row>
    <row r="4993" spans="1:6" x14ac:dyDescent="0.3">
      <c r="A4993" s="15" t="str">
        <f t="shared" si="159"/>
        <v>.</v>
      </c>
      <c r="E4993" s="13" t="str">
        <f>IFERROR(IF(AND(B4993&lt;&gt;"",C4993&lt;&gt;""),SUMIFS(Movimentos!$F$4:$F$9996,Movimentos!$D$4:$D$9996,B4993,Movimentos!$C$4:$C$9996,"Entrada")-SUMIFS(Movimentos!$F$4:$F$9996,Movimentos!$D$4:$D$9996,B4993,Movimentos!$C$4:$C$9996,"Saída"),""),"")</f>
        <v/>
      </c>
      <c r="F4993" s="10" t="str">
        <f t="shared" si="158"/>
        <v/>
      </c>
    </row>
    <row r="4994" spans="1:6" x14ac:dyDescent="0.3">
      <c r="A4994" s="15" t="str">
        <f t="shared" si="159"/>
        <v>.</v>
      </c>
      <c r="E4994" s="13" t="str">
        <f>IFERROR(IF(AND(B4994&lt;&gt;"",C4994&lt;&gt;""),SUMIFS(Movimentos!$F$4:$F$9996,Movimentos!$D$4:$D$9996,B4994,Movimentos!$C$4:$C$9996,"Entrada")-SUMIFS(Movimentos!$F$4:$F$9996,Movimentos!$D$4:$D$9996,B4994,Movimentos!$C$4:$C$9996,"Saída"),""),"")</f>
        <v/>
      </c>
      <c r="F4994" s="10" t="str">
        <f t="shared" si="158"/>
        <v/>
      </c>
    </row>
    <row r="4995" spans="1:6" x14ac:dyDescent="0.3">
      <c r="A4995" s="15" t="str">
        <f t="shared" si="159"/>
        <v>.</v>
      </c>
      <c r="E4995" s="13" t="str">
        <f>IFERROR(IF(AND(B4995&lt;&gt;"",C4995&lt;&gt;""),SUMIFS(Movimentos!$F$4:$F$9996,Movimentos!$D$4:$D$9996,B4995,Movimentos!$C$4:$C$9996,"Entrada")-SUMIFS(Movimentos!$F$4:$F$9996,Movimentos!$D$4:$D$9996,B4995,Movimentos!$C$4:$C$9996,"Saída"),""),"")</f>
        <v/>
      </c>
      <c r="F4995" s="10" t="str">
        <f t="shared" si="158"/>
        <v/>
      </c>
    </row>
    <row r="4996" spans="1:6" x14ac:dyDescent="0.3">
      <c r="A4996" s="15" t="str">
        <f t="shared" si="159"/>
        <v>.</v>
      </c>
      <c r="E4996" s="13" t="str">
        <f>IFERROR(IF(AND(B4996&lt;&gt;"",C4996&lt;&gt;""),SUMIFS(Movimentos!$F$4:$F$9996,Movimentos!$D$4:$D$9996,B4996,Movimentos!$C$4:$C$9996,"Entrada")-SUMIFS(Movimentos!$F$4:$F$9996,Movimentos!$D$4:$D$9996,B4996,Movimentos!$C$4:$C$9996,"Saída"),""),"")</f>
        <v/>
      </c>
      <c r="F4996" s="10" t="str">
        <f t="shared" si="158"/>
        <v/>
      </c>
    </row>
  </sheetData>
  <mergeCells count="2">
    <mergeCell ref="A1:F1"/>
    <mergeCell ref="A2:F2"/>
  </mergeCells>
  <phoneticPr fontId="11" type="noConversion"/>
  <conditionalFormatting sqref="E4:E4996">
    <cfRule type="cellIs" dxfId="15" priority="3" operator="equal">
      <formula>0</formula>
    </cfRule>
    <cfRule type="cellIs" dxfId="14" priority="4" operator="lessThan">
      <formula>$D4</formula>
    </cfRule>
    <cfRule type="cellIs" dxfId="13" priority="5" operator="greaterThan">
      <formula>0</formula>
    </cfRule>
  </conditionalFormatting>
  <conditionalFormatting sqref="F4:F4996">
    <cfRule type="cellIs" dxfId="12" priority="6" operator="equal">
      <formula>"Saldo disponível"</formula>
    </cfRule>
    <cfRule type="cellIs" dxfId="11" priority="8" operator="equal">
      <formula>"Saldo abaixo do mínimo"</formula>
    </cfRule>
    <cfRule type="cellIs" dxfId="10" priority="9" operator="equal">
      <formula>"Saldo zerado"</formula>
    </cfRule>
  </conditionalFormatting>
  <dataValidations count="1">
    <dataValidation type="list" allowBlank="1" showDropDown="1" showErrorMessage="1" errorTitle="Informação Inválida" error="Essa coluna não deve ser alterada manualmente" sqref="A4:A4996" xr:uid="{18013F61-B523-4D09-8E6F-8DF980010A30}">
      <formula1>".,0,1,2"</formula1>
    </dataValidation>
  </dataValidations>
  <pageMargins left="0.511811024" right="0.511811024" top="0.78740157499999996" bottom="0.78740157499999996" header="0.31496062000000002" footer="0.31496062000000002"/>
  <pageSetup paperSize="9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32740EE4-F41D-46B5-8D4F-41DF2FD35216}">
            <x14:iconSet iconSet="3Triangles" showValue="0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</x14:iconSet>
          </x14:cfRule>
          <xm:sqref>A4:A4996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EEA7-33E6-4CBD-A8EA-F46D18D292EF}">
  <dimension ref="A1:H9996"/>
  <sheetViews>
    <sheetView showGridLines="0" topLeftCell="A742" workbookViewId="0">
      <selection activeCell="E948" sqref="E948"/>
    </sheetView>
  </sheetViews>
  <sheetFormatPr defaultColWidth="9.109375" defaultRowHeight="14.4" x14ac:dyDescent="0.3"/>
  <cols>
    <col min="1" max="1" width="4.6640625" style="21" customWidth="1"/>
    <col min="2" max="3" width="12.6640625" style="2" customWidth="1"/>
    <col min="4" max="4" width="10.77734375" style="38" customWidth="1"/>
    <col min="5" max="5" width="50.6640625" style="1" customWidth="1"/>
    <col min="6" max="6" width="14.6640625" style="3" customWidth="1"/>
    <col min="7" max="7" width="23.5546875" style="1" customWidth="1"/>
    <col min="8" max="8" width="24.77734375" style="1" customWidth="1"/>
    <col min="9" max="16384" width="9.109375" style="1"/>
  </cols>
  <sheetData>
    <row r="1" spans="1:8" ht="18" x14ac:dyDescent="0.3">
      <c r="A1" s="73" t="s">
        <v>20</v>
      </c>
      <c r="B1" s="73"/>
      <c r="C1" s="73"/>
      <c r="D1" s="73"/>
      <c r="E1" s="73"/>
      <c r="F1" s="74"/>
    </row>
    <row r="2" spans="1:8" x14ac:dyDescent="0.3">
      <c r="A2" s="76"/>
      <c r="B2" s="76"/>
      <c r="C2" s="76"/>
      <c r="D2" s="76"/>
      <c r="E2" s="76"/>
      <c r="F2" s="76"/>
    </row>
    <row r="3" spans="1:8" s="19" customFormat="1" ht="31.2" x14ac:dyDescent="0.3">
      <c r="A3" s="20" t="s">
        <v>29</v>
      </c>
      <c r="B3" s="17" t="s">
        <v>5</v>
      </c>
      <c r="C3" s="17" t="s">
        <v>27</v>
      </c>
      <c r="D3" s="11" t="s">
        <v>3</v>
      </c>
      <c r="E3" s="40" t="s">
        <v>6</v>
      </c>
      <c r="F3" s="18" t="s">
        <v>4</v>
      </c>
      <c r="G3" s="45" t="s">
        <v>79</v>
      </c>
      <c r="H3" s="45" t="s">
        <v>187</v>
      </c>
    </row>
    <row r="4" spans="1:8" x14ac:dyDescent="0.3">
      <c r="A4" s="21">
        <f t="shared" ref="A4:A66" si="0">IF(C4="Entrada",2,IF(C4="Saída",1,"."))</f>
        <v>2</v>
      </c>
      <c r="B4" s="2">
        <v>46063</v>
      </c>
      <c r="C4" s="2" t="s">
        <v>28</v>
      </c>
      <c r="D4" s="44" t="s">
        <v>21</v>
      </c>
      <c r="E4" s="22" t="str">
        <f>IF(D4&lt;&gt;"",IFERROR(INDEX(Produtos!$C$4:$C$4996,MATCH(D4,Produtos!$B$4:$B$4996,0)),"Produto não encontrado"),"")</f>
        <v>ADUELA DE 1000</v>
      </c>
      <c r="F4" s="3">
        <v>98</v>
      </c>
    </row>
    <row r="5" spans="1:8" x14ac:dyDescent="0.3">
      <c r="A5" s="21">
        <f t="shared" si="0"/>
        <v>2</v>
      </c>
      <c r="B5" s="2">
        <v>46063</v>
      </c>
      <c r="C5" s="2" t="s">
        <v>28</v>
      </c>
      <c r="D5" s="44" t="s">
        <v>22</v>
      </c>
      <c r="E5" s="22" t="str">
        <f>IF(D5&lt;&gt;"",IFERROR(INDEX(Produtos!$C$4:$C$4996,MATCH(D5,Produtos!$B$4:$B$4996,0)),"Produto não encontrado"),"")</f>
        <v>ADUELA DE 600</v>
      </c>
      <c r="F5" s="3">
        <v>212</v>
      </c>
    </row>
    <row r="6" spans="1:8" x14ac:dyDescent="0.3">
      <c r="A6" s="21">
        <f>IF(C6="Entrada",2,IF(C6="Saída",1,"."))</f>
        <v>2</v>
      </c>
      <c r="B6" s="2">
        <v>46063</v>
      </c>
      <c r="C6" s="2" t="s">
        <v>28</v>
      </c>
      <c r="D6" s="44" t="s">
        <v>23</v>
      </c>
      <c r="E6" s="22" t="str">
        <f>IF(D6&lt;&gt;"",IFERROR(INDEX(Produtos!$C$4:$C$4996,MATCH(D6,Produtos!$B$4:$B$4996,0)),"Produto não encontrado"),"")</f>
        <v>LAJE INFERIOR DE 1000</v>
      </c>
      <c r="F6" s="3">
        <v>42</v>
      </c>
    </row>
    <row r="7" spans="1:8" x14ac:dyDescent="0.3">
      <c r="A7" s="21">
        <f t="shared" si="0"/>
        <v>2</v>
      </c>
      <c r="B7" s="2">
        <v>46063</v>
      </c>
      <c r="C7" s="2" t="s">
        <v>28</v>
      </c>
      <c r="D7" s="44" t="s">
        <v>55</v>
      </c>
      <c r="E7" s="22" t="str">
        <f>IF(D7&lt;&gt;"",IFERROR(INDEX(Produtos!$C$4:$C$4996,MATCH(D7,Produtos!$B$4:$B$4996,0)),"Produto não encontrado"),"")</f>
        <v>LAJE INFERIOR DE 600</v>
      </c>
      <c r="F7" s="3">
        <v>121</v>
      </c>
    </row>
    <row r="8" spans="1:8" x14ac:dyDescent="0.3">
      <c r="A8" s="21">
        <f t="shared" si="0"/>
        <v>2</v>
      </c>
      <c r="B8" s="2">
        <v>46063</v>
      </c>
      <c r="C8" s="2" t="s">
        <v>28</v>
      </c>
      <c r="D8" s="44" t="s">
        <v>56</v>
      </c>
      <c r="E8" s="22" t="str">
        <f>IF(D8&lt;&gt;"",IFERROR(INDEX(Produtos!$C$4:$C$4996,MATCH(D8,Produtos!$B$4:$B$4996,0)),"Produto não encontrado"),"")</f>
        <v>LAJE SURPERIOR DE 1000</v>
      </c>
      <c r="F8" s="3">
        <v>18</v>
      </c>
    </row>
    <row r="9" spans="1:8" x14ac:dyDescent="0.3">
      <c r="A9" s="21">
        <f>IF(C9="Entrada",2,IF(C9="Saída",1,"."))</f>
        <v>2</v>
      </c>
      <c r="B9" s="2">
        <v>46063</v>
      </c>
      <c r="C9" s="2" t="s">
        <v>28</v>
      </c>
      <c r="D9" s="44" t="s">
        <v>57</v>
      </c>
      <c r="E9" s="22" t="str">
        <f>IF(D9&lt;&gt;"",IFERROR(INDEX(Produtos!$C$4:$C$4996,MATCH(D9,Produtos!$B$4:$B$4996,0)),"Produto não encontrado"),"")</f>
        <v>TUBO PEAD ESGOTO D 355</v>
      </c>
      <c r="F9" s="3">
        <v>1084</v>
      </c>
    </row>
    <row r="10" spans="1:8" x14ac:dyDescent="0.3">
      <c r="A10" s="21">
        <f t="shared" si="0"/>
        <v>2</v>
      </c>
      <c r="B10" s="2">
        <v>46063</v>
      </c>
      <c r="C10" s="2" t="s">
        <v>28</v>
      </c>
      <c r="D10" s="44" t="s">
        <v>58</v>
      </c>
      <c r="E10" s="22" t="str">
        <f>IF(D10&lt;&gt;"",IFERROR(INDEX(Produtos!$C$4:$C$4996,MATCH(D10,Produtos!$B$4:$B$4996,0)),"Produto não encontrado"),"")</f>
        <v>TUBO PEAD ESGOTO D 315</v>
      </c>
      <c r="F10" s="3">
        <v>30</v>
      </c>
    </row>
    <row r="11" spans="1:8" x14ac:dyDescent="0.3">
      <c r="A11" s="21">
        <f t="shared" si="0"/>
        <v>2</v>
      </c>
      <c r="B11" s="2">
        <v>46063</v>
      </c>
      <c r="C11" s="2" t="s">
        <v>28</v>
      </c>
      <c r="D11" s="44" t="s">
        <v>59</v>
      </c>
      <c r="E11" s="22" t="str">
        <f>IF(D11&lt;&gt;"",IFERROR(INDEX(Produtos!$C$4:$C$4996,MATCH(D11,Produtos!$B$4:$B$4996,0)),"Produto não encontrado"),"")</f>
        <v>TUBO PEAD ESGOTO D 225</v>
      </c>
      <c r="F11" s="3">
        <v>60</v>
      </c>
    </row>
    <row r="12" spans="1:8" x14ac:dyDescent="0.3">
      <c r="A12" s="21">
        <f t="shared" si="0"/>
        <v>2</v>
      </c>
      <c r="B12" s="2">
        <v>46063</v>
      </c>
      <c r="C12" s="2" t="s">
        <v>28</v>
      </c>
      <c r="D12" s="44" t="s">
        <v>60</v>
      </c>
      <c r="E12" s="22" t="str">
        <f>IF(D12&lt;&gt;"",IFERROR(INDEX(Produtos!$C$4:$C$4996,MATCH(D12,Produtos!$B$4:$B$4996,0)),"Produto não encontrado"),"")</f>
        <v>TUBO PEAD ESGOTO D 450</v>
      </c>
      <c r="F12" s="3">
        <v>30</v>
      </c>
    </row>
    <row r="13" spans="1:8" x14ac:dyDescent="0.3">
      <c r="A13" s="21">
        <f t="shared" si="0"/>
        <v>2</v>
      </c>
      <c r="B13" s="2">
        <v>46063</v>
      </c>
      <c r="C13" s="2" t="s">
        <v>28</v>
      </c>
      <c r="D13" s="44" t="s">
        <v>61</v>
      </c>
      <c r="E13" s="22" t="str">
        <f>IF(D13&lt;&gt;"",IFERROR(INDEX(Produtos!$C$4:$C$4996,MATCH(D13,Produtos!$B$4:$B$4996,0)),"Produto não encontrado"),"")</f>
        <v>TUBO CURRUGADO ESGOTO DN 300</v>
      </c>
      <c r="F13" s="3">
        <v>193</v>
      </c>
    </row>
    <row r="14" spans="1:8" x14ac:dyDescent="0.3">
      <c r="A14" s="21">
        <f t="shared" si="0"/>
        <v>2</v>
      </c>
      <c r="B14" s="2">
        <v>46063</v>
      </c>
      <c r="C14" s="2" t="s">
        <v>28</v>
      </c>
      <c r="D14" s="44" t="s">
        <v>62</v>
      </c>
      <c r="E14" s="22" t="str">
        <f>IF(D14&lt;&gt;"",IFERROR(INDEX(Produtos!$C$4:$C$4996,MATCH(D14,Produtos!$B$4:$B$4996,0)),"Produto não encontrado"),"")</f>
        <v>TUBO ESGOTO PVC DN 300</v>
      </c>
      <c r="F14" s="3">
        <v>321</v>
      </c>
    </row>
    <row r="15" spans="1:8" x14ac:dyDescent="0.3">
      <c r="A15" s="21">
        <f t="shared" si="0"/>
        <v>2</v>
      </c>
      <c r="B15" s="2">
        <v>46063</v>
      </c>
      <c r="C15" s="2" t="s">
        <v>28</v>
      </c>
      <c r="D15" s="44" t="s">
        <v>63</v>
      </c>
      <c r="E15" s="22" t="str">
        <f>IF(D15&lt;&gt;"",IFERROR(INDEX(Produtos!$C$4:$C$4996,MATCH(D15,Produtos!$B$4:$B$4996,0)),"Produto não encontrado"),"")</f>
        <v>TUBO ESGOTO PVC DN 200</v>
      </c>
      <c r="F15" s="3">
        <v>348</v>
      </c>
    </row>
    <row r="16" spans="1:8" x14ac:dyDescent="0.3">
      <c r="A16" s="21">
        <f t="shared" si="0"/>
        <v>2</v>
      </c>
      <c r="B16" s="2">
        <v>46063</v>
      </c>
      <c r="C16" s="2" t="s">
        <v>28</v>
      </c>
      <c r="D16" s="44" t="s">
        <v>64</v>
      </c>
      <c r="E16" s="22" t="str">
        <f>IF(D16&lt;&gt;"",IFERROR(INDEX(Produtos!$C$4:$C$4996,MATCH(D16,Produtos!$B$4:$B$4996,0)),"Produto não encontrado"),"")</f>
        <v>TUBO ESGOTO PVC DN 150</v>
      </c>
      <c r="F16" s="3">
        <v>0</v>
      </c>
    </row>
    <row r="17" spans="1:7" x14ac:dyDescent="0.3">
      <c r="A17" s="21">
        <f t="shared" si="0"/>
        <v>2</v>
      </c>
      <c r="B17" s="2">
        <v>46063</v>
      </c>
      <c r="C17" s="2" t="s">
        <v>28</v>
      </c>
      <c r="D17" s="44" t="s">
        <v>65</v>
      </c>
      <c r="E17" s="22" t="str">
        <f>IF(D17&lt;&gt;"",IFERROR(INDEX(Produtos!$C$4:$C$4996,MATCH(D17,Produtos!$B$4:$B$4996,0)),"Produto não encontrado"),"")</f>
        <v>TUBO ESGOTO PVC DN 100</v>
      </c>
      <c r="F17" s="3">
        <v>640</v>
      </c>
    </row>
    <row r="18" spans="1:7" x14ac:dyDescent="0.3">
      <c r="A18" s="21">
        <f t="shared" si="0"/>
        <v>2</v>
      </c>
      <c r="B18" s="2">
        <v>46063</v>
      </c>
      <c r="C18" s="2" t="s">
        <v>28</v>
      </c>
      <c r="D18" s="44" t="s">
        <v>66</v>
      </c>
      <c r="E18" s="22" t="str">
        <f>IF(D18&lt;&gt;"",IFERROR(INDEX(Produtos!$C$4:$C$4996,MATCH(D18,Produtos!$B$4:$B$4996,0)),"Produto não encontrado"),"")</f>
        <v>CHAPA ARMICO</v>
      </c>
      <c r="F18" s="3">
        <v>766</v>
      </c>
    </row>
    <row r="19" spans="1:7" x14ac:dyDescent="0.3">
      <c r="A19" s="21">
        <f t="shared" si="0"/>
        <v>2</v>
      </c>
      <c r="B19" s="2">
        <v>46063</v>
      </c>
      <c r="C19" s="2" t="s">
        <v>28</v>
      </c>
      <c r="D19" s="44" t="s">
        <v>67</v>
      </c>
      <c r="E19" s="22" t="str">
        <f>IF(D19&lt;&gt;"",IFERROR(INDEX(Produtos!$C$4:$C$4996,MATCH(D19,Produtos!$B$4:$B$4996,0)),"Produto não encontrado"),"")</f>
        <v>BLOCO DE PV</v>
      </c>
      <c r="F19" s="3">
        <v>800</v>
      </c>
    </row>
    <row r="20" spans="1:7" x14ac:dyDescent="0.3">
      <c r="A20" s="21">
        <f t="shared" si="0"/>
        <v>2</v>
      </c>
      <c r="B20" s="2">
        <v>46063</v>
      </c>
      <c r="C20" s="2" t="s">
        <v>28</v>
      </c>
      <c r="D20" s="44" t="s">
        <v>21</v>
      </c>
      <c r="E20" s="22" t="str">
        <f>IF(D20&lt;&gt;"",IFERROR(INDEX(Produtos!$C$4:$C$4996,MATCH(D20,Produtos!$B$4:$B$4996,0)),"Produto não encontrado"),"")</f>
        <v>ADUELA DE 1000</v>
      </c>
      <c r="F20" s="3">
        <v>40</v>
      </c>
      <c r="G20" s="1" t="s">
        <v>185</v>
      </c>
    </row>
    <row r="21" spans="1:7" x14ac:dyDescent="0.3">
      <c r="A21" s="21">
        <f t="shared" si="0"/>
        <v>2</v>
      </c>
      <c r="B21" s="2">
        <v>46063</v>
      </c>
      <c r="C21" s="2" t="s">
        <v>28</v>
      </c>
      <c r="D21" s="44" t="s">
        <v>56</v>
      </c>
      <c r="E21" s="22" t="str">
        <f>IF(D21&lt;&gt;"",IFERROR(INDEX(Produtos!$C$4:$C$4996,MATCH(D21,Produtos!$B$4:$B$4996,0)),"Produto não encontrado"),"")</f>
        <v>LAJE SURPERIOR DE 1000</v>
      </c>
      <c r="F21" s="3">
        <v>90</v>
      </c>
    </row>
    <row r="22" spans="1:7" x14ac:dyDescent="0.3">
      <c r="A22" s="21">
        <f t="shared" si="0"/>
        <v>2</v>
      </c>
      <c r="B22" s="2">
        <v>46063</v>
      </c>
      <c r="C22" s="2" t="s">
        <v>28</v>
      </c>
      <c r="D22" s="44" t="s">
        <v>23</v>
      </c>
      <c r="E22" s="22" t="str">
        <f>IF(D22&lt;&gt;"",IFERROR(INDEX(Produtos!$C$4:$C$4996,MATCH(D22,Produtos!$B$4:$B$4996,0)),"Produto não encontrado"),"")</f>
        <v>LAJE INFERIOR DE 1000</v>
      </c>
      <c r="F22" s="3">
        <v>30</v>
      </c>
    </row>
    <row r="23" spans="1:7" x14ac:dyDescent="0.3">
      <c r="A23" s="21">
        <f t="shared" si="0"/>
        <v>1</v>
      </c>
      <c r="B23" s="2">
        <v>46048</v>
      </c>
      <c r="C23" s="2" t="s">
        <v>54</v>
      </c>
      <c r="D23" s="44" t="s">
        <v>21</v>
      </c>
      <c r="E23" s="22" t="str">
        <f>IF(D23&lt;&gt;"",IFERROR(INDEX(Produtos!$C$4:$C$4996,MATCH(D23,Produtos!$B$4:$B$4996,0)),"Produto não encontrado"),"")</f>
        <v>ADUELA DE 1000</v>
      </c>
      <c r="F23" s="3">
        <v>6</v>
      </c>
      <c r="G23" s="1" t="s">
        <v>160</v>
      </c>
    </row>
    <row r="24" spans="1:7" x14ac:dyDescent="0.3">
      <c r="A24" s="21">
        <f t="shared" si="0"/>
        <v>1</v>
      </c>
      <c r="B24" s="2">
        <v>46049</v>
      </c>
      <c r="C24" s="2" t="s">
        <v>54</v>
      </c>
      <c r="D24" s="44" t="s">
        <v>23</v>
      </c>
      <c r="E24" s="22" t="str">
        <f>IF(D24&lt;&gt;"",IFERROR(INDEX(Produtos!$C$4:$C$4996,MATCH(D24,Produtos!$B$4:$B$4996,0)),"Produto não encontrado"),"")</f>
        <v>LAJE INFERIOR DE 1000</v>
      </c>
      <c r="F24" s="3">
        <v>4</v>
      </c>
      <c r="G24" s="1" t="s">
        <v>160</v>
      </c>
    </row>
    <row r="25" spans="1:7" x14ac:dyDescent="0.3">
      <c r="A25" s="21">
        <f t="shared" si="0"/>
        <v>1</v>
      </c>
      <c r="B25" s="2">
        <v>46049</v>
      </c>
      <c r="C25" s="2" t="s">
        <v>54</v>
      </c>
      <c r="D25" s="44" t="s">
        <v>23</v>
      </c>
      <c r="E25" s="22" t="str">
        <f>IF(D25&lt;&gt;"",IFERROR(INDEX(Produtos!$C$4:$C$4996,MATCH(D25,Produtos!$B$4:$B$4996,0)),"Produto não encontrado"),"")</f>
        <v>LAJE INFERIOR DE 1000</v>
      </c>
      <c r="F25" s="3">
        <v>1</v>
      </c>
      <c r="G25" s="1" t="s">
        <v>161</v>
      </c>
    </row>
    <row r="26" spans="1:7" x14ac:dyDescent="0.3">
      <c r="A26" s="21">
        <f t="shared" si="0"/>
        <v>1</v>
      </c>
      <c r="B26" s="2">
        <v>46049</v>
      </c>
      <c r="C26" s="2" t="s">
        <v>54</v>
      </c>
      <c r="D26" s="44" t="s">
        <v>23</v>
      </c>
      <c r="E26" s="22" t="str">
        <f>IF(D26&lt;&gt;"",IFERROR(INDEX(Produtos!$C$4:$C$4996,MATCH(D26,Produtos!$B$4:$B$4996,0)),"Produto não encontrado"),"")</f>
        <v>LAJE INFERIOR DE 1000</v>
      </c>
      <c r="F26" s="3">
        <v>1</v>
      </c>
      <c r="G26" s="1" t="s">
        <v>162</v>
      </c>
    </row>
    <row r="27" spans="1:7" x14ac:dyDescent="0.3">
      <c r="A27" s="21">
        <f t="shared" si="0"/>
        <v>1</v>
      </c>
      <c r="B27" s="2">
        <v>46049</v>
      </c>
      <c r="C27" s="2" t="s">
        <v>54</v>
      </c>
      <c r="D27" s="44" t="s">
        <v>67</v>
      </c>
      <c r="E27" s="22" t="str">
        <f>IF(D27&lt;&gt;"",IFERROR(INDEX(Produtos!$C$4:$C$4996,MATCH(D27,Produtos!$B$4:$B$4996,0)),"Produto não encontrado"),"")</f>
        <v>BLOCO DE PV</v>
      </c>
      <c r="F27" s="3">
        <v>30</v>
      </c>
      <c r="G27" s="1" t="s">
        <v>160</v>
      </c>
    </row>
    <row r="28" spans="1:7" x14ac:dyDescent="0.3">
      <c r="A28" s="21">
        <f t="shared" si="0"/>
        <v>1</v>
      </c>
      <c r="B28" s="2">
        <v>46049</v>
      </c>
      <c r="C28" s="2" t="s">
        <v>54</v>
      </c>
      <c r="D28" s="44" t="s">
        <v>67</v>
      </c>
      <c r="E28" s="22" t="str">
        <f>IF(D28&lt;&gt;"",IFERROR(INDEX(Produtos!$C$4:$C$4996,MATCH(D28,Produtos!$B$4:$B$4996,0)),"Produto não encontrado"),"")</f>
        <v>BLOCO DE PV</v>
      </c>
      <c r="F28" s="3">
        <v>24</v>
      </c>
      <c r="G28" s="1" t="s">
        <v>173</v>
      </c>
    </row>
    <row r="29" spans="1:7" x14ac:dyDescent="0.3">
      <c r="A29" s="21">
        <f t="shared" si="0"/>
        <v>1</v>
      </c>
      <c r="B29" s="2">
        <v>46049</v>
      </c>
      <c r="C29" s="2" t="s">
        <v>54</v>
      </c>
      <c r="D29" s="44" t="s">
        <v>57</v>
      </c>
      <c r="E29" s="22" t="str">
        <f>IF(D29&lt;&gt;"",IFERROR(INDEX(Produtos!$C$4:$C$4996,MATCH(D29,Produtos!$B$4:$B$4996,0)),"Produto não encontrado"),"")</f>
        <v>TUBO PEAD ESGOTO D 355</v>
      </c>
      <c r="F29" s="3">
        <v>14</v>
      </c>
      <c r="G29" s="1" t="s">
        <v>163</v>
      </c>
    </row>
    <row r="30" spans="1:7" x14ac:dyDescent="0.3">
      <c r="A30" s="21">
        <f t="shared" si="0"/>
        <v>1</v>
      </c>
      <c r="B30" s="2">
        <v>46049</v>
      </c>
      <c r="C30" s="2" t="s">
        <v>54</v>
      </c>
      <c r="D30" s="44" t="s">
        <v>23</v>
      </c>
      <c r="E30" s="22" t="str">
        <f>IF(D30&lt;&gt;"",IFERROR(INDEX(Produtos!$C$4:$C$4996,MATCH(D30,Produtos!$B$4:$B$4996,0)),"Produto não encontrado"),"")</f>
        <v>LAJE INFERIOR DE 1000</v>
      </c>
      <c r="F30" s="3">
        <v>1</v>
      </c>
      <c r="G30" s="1" t="s">
        <v>164</v>
      </c>
    </row>
    <row r="31" spans="1:7" x14ac:dyDescent="0.3">
      <c r="A31" s="21">
        <f t="shared" si="0"/>
        <v>1</v>
      </c>
      <c r="B31" s="2">
        <v>46049</v>
      </c>
      <c r="C31" s="2" t="s">
        <v>54</v>
      </c>
      <c r="D31" s="44" t="s">
        <v>56</v>
      </c>
      <c r="E31" s="22" t="str">
        <f>IF(D31&lt;&gt;"",IFERROR(INDEX(Produtos!$C$4:$C$4996,MATCH(D31,Produtos!$B$4:$B$4996,0)),"Produto não encontrado"),"")</f>
        <v>LAJE SURPERIOR DE 1000</v>
      </c>
      <c r="F31" s="3">
        <v>2</v>
      </c>
      <c r="G31" s="1" t="s">
        <v>164</v>
      </c>
    </row>
    <row r="32" spans="1:7" x14ac:dyDescent="0.3">
      <c r="A32" s="21">
        <f t="shared" si="0"/>
        <v>1</v>
      </c>
      <c r="B32" s="2">
        <v>46049</v>
      </c>
      <c r="C32" s="2" t="s">
        <v>54</v>
      </c>
      <c r="D32" s="44" t="s">
        <v>67</v>
      </c>
      <c r="E32" s="22" t="str">
        <f>IF(D32&lt;&gt;"",IFERROR(INDEX(Produtos!$C$4:$C$4996,MATCH(D32,Produtos!$B$4:$B$4996,0)),"Produto não encontrado"),"")</f>
        <v>BLOCO DE PV</v>
      </c>
      <c r="F32" s="3">
        <v>22</v>
      </c>
      <c r="G32" s="1" t="s">
        <v>164</v>
      </c>
    </row>
    <row r="33" spans="1:7" x14ac:dyDescent="0.3">
      <c r="A33" s="21">
        <f t="shared" si="0"/>
        <v>1</v>
      </c>
      <c r="B33" s="2">
        <v>46049</v>
      </c>
      <c r="C33" s="2" t="s">
        <v>54</v>
      </c>
      <c r="D33" s="44" t="s">
        <v>63</v>
      </c>
      <c r="E33" s="22" t="str">
        <f>IF(D33&lt;&gt;"",IFERROR(INDEX(Produtos!$C$4:$C$4996,MATCH(D33,Produtos!$B$4:$B$4996,0)),"Produto não encontrado"),"")</f>
        <v>TUBO ESGOTO PVC DN 200</v>
      </c>
      <c r="F33" s="3">
        <v>1</v>
      </c>
      <c r="G33" s="1" t="s">
        <v>164</v>
      </c>
    </row>
    <row r="34" spans="1:7" x14ac:dyDescent="0.3">
      <c r="A34" s="21">
        <f t="shared" si="0"/>
        <v>1</v>
      </c>
      <c r="B34" s="2">
        <v>46050</v>
      </c>
      <c r="C34" s="2" t="s">
        <v>54</v>
      </c>
      <c r="D34" s="44" t="s">
        <v>21</v>
      </c>
      <c r="E34" s="22" t="str">
        <f>IF(D34&lt;&gt;"",IFERROR(INDEX(Produtos!$C$4:$C$4996,MATCH(D34,Produtos!$B$4:$B$4996,0)),"Produto não encontrado"),"")</f>
        <v>ADUELA DE 1000</v>
      </c>
      <c r="F34" s="3">
        <v>2</v>
      </c>
      <c r="G34" s="1" t="s">
        <v>166</v>
      </c>
    </row>
    <row r="35" spans="1:7" x14ac:dyDescent="0.3">
      <c r="A35" s="21">
        <f t="shared" si="0"/>
        <v>1</v>
      </c>
      <c r="B35" s="2">
        <v>46050</v>
      </c>
      <c r="C35" s="2" t="s">
        <v>54</v>
      </c>
      <c r="D35" s="44" t="s">
        <v>56</v>
      </c>
      <c r="E35" s="22" t="str">
        <f>IF(D35&lt;&gt;"",IFERROR(INDEX(Produtos!$C$4:$C$4996,MATCH(D35,Produtos!$B$4:$B$4996,0)),"Produto não encontrado"),"")</f>
        <v>LAJE SURPERIOR DE 1000</v>
      </c>
      <c r="F35" s="3">
        <v>2</v>
      </c>
      <c r="G35" s="1" t="s">
        <v>166</v>
      </c>
    </row>
    <row r="36" spans="1:7" x14ac:dyDescent="0.3">
      <c r="A36" s="21">
        <f t="shared" si="0"/>
        <v>1</v>
      </c>
      <c r="B36" s="2">
        <v>46050</v>
      </c>
      <c r="C36" s="2" t="s">
        <v>54</v>
      </c>
      <c r="D36" s="44" t="s">
        <v>57</v>
      </c>
      <c r="E36" s="22" t="str">
        <f>IF(D36&lt;&gt;"",IFERROR(INDEX(Produtos!$C$4:$C$4996,MATCH(D36,Produtos!$B$4:$B$4996,0)),"Produto não encontrado"),"")</f>
        <v>TUBO PEAD ESGOTO D 355</v>
      </c>
      <c r="F36" s="3">
        <v>24</v>
      </c>
      <c r="G36" s="1" t="s">
        <v>163</v>
      </c>
    </row>
    <row r="37" spans="1:7" x14ac:dyDescent="0.3">
      <c r="A37" s="21">
        <f t="shared" si="0"/>
        <v>1</v>
      </c>
      <c r="B37" s="2">
        <v>46081</v>
      </c>
      <c r="C37" s="2" t="s">
        <v>54</v>
      </c>
      <c r="D37" s="44" t="s">
        <v>22</v>
      </c>
      <c r="E37" s="22" t="str">
        <f>IF(D37&lt;&gt;"",IFERROR(INDEX(Produtos!$C$4:$C$4996,MATCH(D37,Produtos!$B$4:$B$4996,0)),"Produto não encontrado"),"")</f>
        <v>ADUELA DE 600</v>
      </c>
      <c r="F37" s="3">
        <v>1</v>
      </c>
      <c r="G37" s="1" t="s">
        <v>167</v>
      </c>
    </row>
    <row r="38" spans="1:7" x14ac:dyDescent="0.3">
      <c r="A38" s="21">
        <f t="shared" si="0"/>
        <v>1</v>
      </c>
      <c r="B38" s="2">
        <v>46081</v>
      </c>
      <c r="C38" s="2" t="s">
        <v>54</v>
      </c>
      <c r="D38" s="44" t="s">
        <v>22</v>
      </c>
      <c r="E38" s="22" t="str">
        <f>IF(D38&lt;&gt;"",IFERROR(INDEX(Produtos!$C$4:$C$4996,MATCH(D38,Produtos!$B$4:$B$4996,0)),"Produto não encontrado"),"")</f>
        <v>ADUELA DE 600</v>
      </c>
      <c r="F38" s="3">
        <v>1</v>
      </c>
      <c r="G38" s="1" t="s">
        <v>167</v>
      </c>
    </row>
    <row r="39" spans="1:7" x14ac:dyDescent="0.3">
      <c r="A39" s="21">
        <f t="shared" si="0"/>
        <v>2</v>
      </c>
      <c r="B39" s="2">
        <v>46119</v>
      </c>
      <c r="C39" s="2" t="s">
        <v>28</v>
      </c>
      <c r="D39" s="44" t="s">
        <v>68</v>
      </c>
      <c r="E39" s="22" t="str">
        <f>IF(D39&lt;&gt;"",IFERROR(INDEX(Produtos!$C$4:$C$4996,MATCH(D39,Produtos!$B$4:$B$4996,0)),"Produto não encontrado"),"")</f>
        <v>BLOCO VEDAÇÃO 14 x 39</v>
      </c>
      <c r="F39" s="3">
        <v>720</v>
      </c>
      <c r="G39" s="1" t="s">
        <v>168</v>
      </c>
    </row>
    <row r="40" spans="1:7" x14ac:dyDescent="0.3">
      <c r="A40" s="21">
        <f t="shared" si="0"/>
        <v>1</v>
      </c>
      <c r="B40" s="2">
        <v>46050</v>
      </c>
      <c r="C40" s="2" t="s">
        <v>54</v>
      </c>
      <c r="D40" s="44" t="s">
        <v>56</v>
      </c>
      <c r="E40" s="22" t="str">
        <f>IF(D40&lt;&gt;"",IFERROR(INDEX(Produtos!$C$4:$C$4996,MATCH(D40,Produtos!$B$4:$B$4996,0)),"Produto não encontrado"),"")</f>
        <v>LAJE SURPERIOR DE 1000</v>
      </c>
      <c r="F40" s="3">
        <v>1</v>
      </c>
      <c r="G40" s="1" t="s">
        <v>169</v>
      </c>
    </row>
    <row r="41" spans="1:7" x14ac:dyDescent="0.3">
      <c r="A41" s="21">
        <f t="shared" si="0"/>
        <v>1</v>
      </c>
      <c r="B41" s="2">
        <v>46050</v>
      </c>
      <c r="C41" s="2" t="s">
        <v>54</v>
      </c>
      <c r="D41" s="44" t="s">
        <v>56</v>
      </c>
      <c r="E41" s="22" t="str">
        <f>IF(D41&lt;&gt;"",IFERROR(INDEX(Produtos!$C$4:$C$4996,MATCH(D41,Produtos!$B$4:$B$4996,0)),"Produto não encontrado"),"")</f>
        <v>LAJE SURPERIOR DE 1000</v>
      </c>
      <c r="F41" s="3">
        <v>1</v>
      </c>
      <c r="G41" s="1" t="s">
        <v>167</v>
      </c>
    </row>
    <row r="42" spans="1:7" x14ac:dyDescent="0.3">
      <c r="A42" s="21">
        <f t="shared" si="0"/>
        <v>1</v>
      </c>
      <c r="B42" s="2">
        <v>46050</v>
      </c>
      <c r="C42" s="2" t="s">
        <v>54</v>
      </c>
      <c r="D42" s="44" t="s">
        <v>63</v>
      </c>
      <c r="E42" s="22" t="str">
        <f>IF(D42&lt;&gt;"",IFERROR(INDEX(Produtos!$C$4:$C$4996,MATCH(D42,Produtos!$B$4:$B$4996,0)),"Produto não encontrado"),"")</f>
        <v>TUBO ESGOTO PVC DN 200</v>
      </c>
      <c r="F42" s="3">
        <v>1</v>
      </c>
      <c r="G42" s="1" t="s">
        <v>173</v>
      </c>
    </row>
    <row r="43" spans="1:7" x14ac:dyDescent="0.3">
      <c r="A43" s="21">
        <f t="shared" si="0"/>
        <v>1</v>
      </c>
      <c r="B43" s="2">
        <v>46050</v>
      </c>
      <c r="C43" s="2" t="s">
        <v>54</v>
      </c>
      <c r="D43" s="44" t="s">
        <v>21</v>
      </c>
      <c r="E43" s="22" t="str">
        <f>IF(D43&lt;&gt;"",IFERROR(INDEX(Produtos!$C$4:$C$4996,MATCH(D43,Produtos!$B$4:$B$4996,0)),"Produto não encontrado"),"")</f>
        <v>ADUELA DE 1000</v>
      </c>
      <c r="F43" s="3">
        <v>2</v>
      </c>
      <c r="G43" s="1" t="s">
        <v>160</v>
      </c>
    </row>
    <row r="44" spans="1:7" x14ac:dyDescent="0.3">
      <c r="A44" s="21">
        <f t="shared" si="0"/>
        <v>1</v>
      </c>
      <c r="B44" s="2">
        <v>46050</v>
      </c>
      <c r="C44" s="2" t="s">
        <v>54</v>
      </c>
      <c r="D44" s="44" t="s">
        <v>56</v>
      </c>
      <c r="E44" s="22" t="str">
        <f>IF(D44&lt;&gt;"",IFERROR(INDEX(Produtos!$C$4:$C$4996,MATCH(D44,Produtos!$B$4:$B$4996,0)),"Produto não encontrado"),"")</f>
        <v>LAJE SURPERIOR DE 1000</v>
      </c>
      <c r="F44" s="3">
        <v>2</v>
      </c>
      <c r="G44" s="1" t="s">
        <v>160</v>
      </c>
    </row>
    <row r="45" spans="1:7" x14ac:dyDescent="0.3">
      <c r="A45" s="21">
        <f t="shared" si="0"/>
        <v>1</v>
      </c>
      <c r="B45" s="2">
        <v>46050</v>
      </c>
      <c r="C45" s="2" t="s">
        <v>54</v>
      </c>
      <c r="D45" s="44" t="s">
        <v>57</v>
      </c>
      <c r="E45" s="22" t="str">
        <f>IF(D45&lt;&gt;"",IFERROR(INDEX(Produtos!$C$4:$C$4996,MATCH(D45,Produtos!$B$4:$B$4996,0)),"Produto não encontrado"),"")</f>
        <v>TUBO PEAD ESGOTO D 355</v>
      </c>
      <c r="F45" s="3">
        <v>12</v>
      </c>
      <c r="G45" s="1" t="s">
        <v>170</v>
      </c>
    </row>
    <row r="46" spans="1:7" x14ac:dyDescent="0.3">
      <c r="A46" s="21">
        <f t="shared" si="0"/>
        <v>1</v>
      </c>
      <c r="B46" s="2">
        <v>46051</v>
      </c>
      <c r="C46" s="2" t="s">
        <v>54</v>
      </c>
      <c r="D46" s="44" t="s">
        <v>56</v>
      </c>
      <c r="E46" s="22" t="str">
        <f>IF(D46&lt;&gt;"",IFERROR(INDEX(Produtos!$C$4:$C$4996,MATCH(D46,Produtos!$B$4:$B$4996,0)),"Produto não encontrado"),"")</f>
        <v>LAJE SURPERIOR DE 1000</v>
      </c>
      <c r="F46" s="3">
        <v>1</v>
      </c>
      <c r="G46" s="1" t="s">
        <v>171</v>
      </c>
    </row>
    <row r="47" spans="1:7" x14ac:dyDescent="0.3">
      <c r="A47" s="21">
        <f t="shared" si="0"/>
        <v>1</v>
      </c>
      <c r="B47" s="2">
        <v>46051</v>
      </c>
      <c r="C47" s="2" t="s">
        <v>54</v>
      </c>
      <c r="D47" s="44" t="s">
        <v>21</v>
      </c>
      <c r="E47" s="22" t="str">
        <f>IF(D47&lt;&gt;"",IFERROR(INDEX(Produtos!$C$4:$C$4996,MATCH(D47,Produtos!$B$4:$B$4996,0)),"Produto não encontrado"),"")</f>
        <v>ADUELA DE 1000</v>
      </c>
      <c r="F47" s="3">
        <v>1</v>
      </c>
      <c r="G47" s="1" t="s">
        <v>171</v>
      </c>
    </row>
    <row r="48" spans="1:7" x14ac:dyDescent="0.3">
      <c r="A48" s="21">
        <f t="shared" si="0"/>
        <v>1</v>
      </c>
      <c r="B48" s="2">
        <v>46051</v>
      </c>
      <c r="C48" s="2" t="s">
        <v>54</v>
      </c>
      <c r="D48" s="44" t="s">
        <v>63</v>
      </c>
      <c r="E48" s="22" t="str">
        <f>IF(D48&lt;&gt;"",IFERROR(INDEX(Produtos!$C$4:$C$4996,MATCH(D48,Produtos!$B$4:$B$4996,0)),"Produto não encontrado"),"")</f>
        <v>TUBO ESGOTO PVC DN 200</v>
      </c>
      <c r="F48" s="3">
        <v>1</v>
      </c>
      <c r="G48" s="1" t="s">
        <v>167</v>
      </c>
    </row>
    <row r="49" spans="1:7" x14ac:dyDescent="0.3">
      <c r="A49" s="21">
        <f t="shared" si="0"/>
        <v>1</v>
      </c>
      <c r="B49" s="2">
        <v>46051</v>
      </c>
      <c r="C49" s="2" t="s">
        <v>54</v>
      </c>
      <c r="D49" s="44" t="s">
        <v>57</v>
      </c>
      <c r="E49" s="22" t="str">
        <f>IF(D49&lt;&gt;"",IFERROR(INDEX(Produtos!$C$4:$C$4996,MATCH(D49,Produtos!$B$4:$B$4996,0)),"Produto não encontrado"),"")</f>
        <v>TUBO PEAD ESGOTO D 355</v>
      </c>
      <c r="F49" s="3">
        <v>25</v>
      </c>
      <c r="G49" s="1" t="s">
        <v>172</v>
      </c>
    </row>
    <row r="50" spans="1:7" x14ac:dyDescent="0.3">
      <c r="A50" s="21">
        <f t="shared" si="0"/>
        <v>1</v>
      </c>
      <c r="B50" s="2">
        <v>46051</v>
      </c>
      <c r="C50" s="2" t="s">
        <v>54</v>
      </c>
      <c r="D50" s="44" t="s">
        <v>56</v>
      </c>
      <c r="E50" s="22" t="str">
        <f>IF(D50&lt;&gt;"",IFERROR(INDEX(Produtos!$C$4:$C$4996,MATCH(D50,Produtos!$B$4:$B$4996,0)),"Produto não encontrado"),"")</f>
        <v>LAJE SURPERIOR DE 1000</v>
      </c>
      <c r="F50" s="3">
        <v>1</v>
      </c>
      <c r="G50" s="1" t="s">
        <v>173</v>
      </c>
    </row>
    <row r="51" spans="1:7" x14ac:dyDescent="0.3">
      <c r="A51" s="21">
        <f t="shared" si="0"/>
        <v>1</v>
      </c>
      <c r="B51" s="2">
        <v>46051</v>
      </c>
      <c r="C51" s="2" t="s">
        <v>54</v>
      </c>
      <c r="D51" s="44" t="s">
        <v>67</v>
      </c>
      <c r="E51" s="22" t="str">
        <f>IF(D51&lt;&gt;"",IFERROR(INDEX(Produtos!$C$4:$C$4996,MATCH(D51,Produtos!$B$4:$B$4996,0)),"Produto não encontrado"),"")</f>
        <v>BLOCO DE PV</v>
      </c>
      <c r="F51" s="3">
        <v>24</v>
      </c>
      <c r="G51" s="1" t="s">
        <v>173</v>
      </c>
    </row>
    <row r="52" spans="1:7" x14ac:dyDescent="0.3">
      <c r="A52" s="21">
        <f t="shared" si="0"/>
        <v>1</v>
      </c>
      <c r="B52" s="2">
        <v>46052</v>
      </c>
      <c r="C52" s="2" t="s">
        <v>54</v>
      </c>
      <c r="D52" s="44" t="s">
        <v>57</v>
      </c>
      <c r="E52" s="22" t="str">
        <f>IF(D52&lt;&gt;"",IFERROR(INDEX(Produtos!$C$4:$C$4996,MATCH(D52,Produtos!$B$4:$B$4996,0)),"Produto não encontrado"),"")</f>
        <v>TUBO PEAD ESGOTO D 355</v>
      </c>
      <c r="F52" s="3">
        <v>7</v>
      </c>
      <c r="G52" s="1" t="s">
        <v>163</v>
      </c>
    </row>
    <row r="53" spans="1:7" x14ac:dyDescent="0.3">
      <c r="A53" s="21">
        <f t="shared" si="0"/>
        <v>1</v>
      </c>
      <c r="B53" s="2">
        <v>46052</v>
      </c>
      <c r="C53" s="2" t="s">
        <v>54</v>
      </c>
      <c r="D53" s="44" t="s">
        <v>63</v>
      </c>
      <c r="E53" s="22" t="str">
        <f>IF(D53&lt;&gt;"",IFERROR(INDEX(Produtos!$C$4:$C$4996,MATCH(D53,Produtos!$B$4:$B$4996,0)),"Produto não encontrado"),"")</f>
        <v>TUBO ESGOTO PVC DN 200</v>
      </c>
      <c r="F53" s="3">
        <v>2</v>
      </c>
      <c r="G53" s="1" t="s">
        <v>173</v>
      </c>
    </row>
    <row r="54" spans="1:7" x14ac:dyDescent="0.3">
      <c r="A54" s="21">
        <f>IF(C54="Entrada",2,IF(C54="Saída",1,"."))</f>
        <v>1</v>
      </c>
      <c r="B54" s="2">
        <v>46052</v>
      </c>
      <c r="C54" s="2" t="s">
        <v>54</v>
      </c>
      <c r="D54" s="44" t="s">
        <v>63</v>
      </c>
      <c r="E54" s="22" t="str">
        <f>IF(D54&lt;&gt;"",IFERROR(INDEX(Produtos!$C$4:$C$4996,MATCH(D54,Produtos!$B$4:$B$4996,0)),"Produto não encontrado"),"")</f>
        <v>TUBO ESGOTO PVC DN 200</v>
      </c>
      <c r="F54" s="3">
        <v>2</v>
      </c>
      <c r="G54" s="1" t="s">
        <v>164</v>
      </c>
    </row>
    <row r="55" spans="1:7" x14ac:dyDescent="0.3">
      <c r="A55" s="21">
        <f t="shared" si="0"/>
        <v>1</v>
      </c>
      <c r="B55" s="2">
        <v>46052</v>
      </c>
      <c r="C55" s="2" t="s">
        <v>54</v>
      </c>
      <c r="D55" s="44" t="s">
        <v>63</v>
      </c>
      <c r="E55" s="22" t="str">
        <f>IF(D55&lt;&gt;"",IFERROR(INDEX(Produtos!$C$4:$C$4996,MATCH(D55,Produtos!$B$4:$B$4996,0)),"Produto não encontrado"),"")</f>
        <v>TUBO ESGOTO PVC DN 200</v>
      </c>
      <c r="F55" s="3">
        <v>1</v>
      </c>
      <c r="G55" s="1" t="s">
        <v>173</v>
      </c>
    </row>
    <row r="56" spans="1:7" x14ac:dyDescent="0.3">
      <c r="A56" s="21">
        <f t="shared" si="0"/>
        <v>1</v>
      </c>
      <c r="B56" s="2">
        <v>46052</v>
      </c>
      <c r="C56" s="2" t="s">
        <v>54</v>
      </c>
      <c r="D56" s="44" t="s">
        <v>23</v>
      </c>
      <c r="E56" s="22" t="str">
        <f>IF(D56&lt;&gt;"",IFERROR(INDEX(Produtos!$C$4:$C$4996,MATCH(D56,Produtos!$B$4:$B$4996,0)),"Produto não encontrado"),"")</f>
        <v>LAJE INFERIOR DE 1000</v>
      </c>
      <c r="F56" s="3">
        <v>1</v>
      </c>
      <c r="G56" s="1" t="s">
        <v>171</v>
      </c>
    </row>
    <row r="57" spans="1:7" x14ac:dyDescent="0.3">
      <c r="A57" s="21">
        <f t="shared" si="0"/>
        <v>1</v>
      </c>
      <c r="B57" s="2">
        <v>46052</v>
      </c>
      <c r="C57" s="2" t="s">
        <v>54</v>
      </c>
      <c r="D57" s="44" t="s">
        <v>67</v>
      </c>
      <c r="E57" s="22" t="str">
        <f>IF(D57&lt;&gt;"",IFERROR(INDEX(Produtos!$C$4:$C$4996,MATCH(D57,Produtos!$B$4:$B$4996,0)),"Produto não encontrado"),"")</f>
        <v>BLOCO DE PV</v>
      </c>
      <c r="F57" s="3">
        <v>24</v>
      </c>
      <c r="G57" s="1" t="s">
        <v>171</v>
      </c>
    </row>
    <row r="58" spans="1:7" x14ac:dyDescent="0.3">
      <c r="A58" s="21">
        <f t="shared" si="0"/>
        <v>1</v>
      </c>
      <c r="B58" s="2">
        <v>46052</v>
      </c>
      <c r="C58" s="2" t="s">
        <v>54</v>
      </c>
      <c r="D58" s="44" t="s">
        <v>21</v>
      </c>
      <c r="E58" s="22" t="str">
        <f>IF(D58&lt;&gt;"",IFERROR(INDEX(Produtos!$C$4:$C$4996,MATCH(D58,Produtos!$B$4:$B$4996,0)),"Produto não encontrado"),"")</f>
        <v>ADUELA DE 1000</v>
      </c>
      <c r="F58" s="3">
        <v>2</v>
      </c>
      <c r="G58" s="1" t="s">
        <v>163</v>
      </c>
    </row>
    <row r="59" spans="1:7" x14ac:dyDescent="0.3">
      <c r="A59" s="21">
        <f t="shared" si="0"/>
        <v>1</v>
      </c>
      <c r="B59" s="2">
        <v>46052</v>
      </c>
      <c r="C59" s="2" t="s">
        <v>54</v>
      </c>
      <c r="D59" s="44" t="s">
        <v>21</v>
      </c>
      <c r="E59" s="22" t="str">
        <f>IF(D59&lt;&gt;"",IFERROR(INDEX(Produtos!$C$4:$C$4996,MATCH(D59,Produtos!$B$4:$B$4996,0)),"Produto não encontrado"),"")</f>
        <v>ADUELA DE 1000</v>
      </c>
      <c r="F59" s="3">
        <v>5</v>
      </c>
      <c r="G59" s="1" t="s">
        <v>161</v>
      </c>
    </row>
    <row r="60" spans="1:7" x14ac:dyDescent="0.3">
      <c r="A60" s="21">
        <f t="shared" si="0"/>
        <v>1</v>
      </c>
      <c r="B60" s="2">
        <v>46055</v>
      </c>
      <c r="C60" s="2" t="s">
        <v>54</v>
      </c>
      <c r="D60" s="44" t="s">
        <v>67</v>
      </c>
      <c r="E60" s="22" t="str">
        <f>IF(D60&lt;&gt;"",IFERROR(INDEX(Produtos!$C$4:$C$4996,MATCH(D60,Produtos!$B$4:$B$4996,0)),"Produto não encontrado"),"")</f>
        <v>BLOCO DE PV</v>
      </c>
      <c r="F60" s="3">
        <v>20</v>
      </c>
      <c r="G60" s="1" t="s">
        <v>174</v>
      </c>
    </row>
    <row r="61" spans="1:7" x14ac:dyDescent="0.3">
      <c r="A61" s="21">
        <f t="shared" si="0"/>
        <v>1</v>
      </c>
      <c r="B61" s="2">
        <v>46055</v>
      </c>
      <c r="C61" s="2" t="s">
        <v>54</v>
      </c>
      <c r="D61" s="44" t="s">
        <v>56</v>
      </c>
      <c r="E61" s="22" t="str">
        <f>IF(D61&lt;&gt;"",IFERROR(INDEX(Produtos!$C$4:$C$4996,MATCH(D61,Produtos!$B$4:$B$4996,0)),"Produto não encontrado"),"")</f>
        <v>LAJE SURPERIOR DE 1000</v>
      </c>
      <c r="F61" s="3">
        <v>1</v>
      </c>
      <c r="G61" s="1" t="s">
        <v>161</v>
      </c>
    </row>
    <row r="62" spans="1:7" x14ac:dyDescent="0.3">
      <c r="A62" s="21">
        <f t="shared" si="0"/>
        <v>1</v>
      </c>
      <c r="B62" s="2">
        <v>46055</v>
      </c>
      <c r="C62" s="2" t="s">
        <v>54</v>
      </c>
      <c r="D62" s="44" t="s">
        <v>23</v>
      </c>
      <c r="E62" s="22" t="str">
        <f>IF(D62&lt;&gt;"",IFERROR(INDEX(Produtos!$C$4:$C$4996,MATCH(D62,Produtos!$B$4:$B$4996,0)),"Produto não encontrado"),"")</f>
        <v>LAJE INFERIOR DE 1000</v>
      </c>
      <c r="F62" s="3">
        <v>1</v>
      </c>
      <c r="G62" s="1" t="s">
        <v>161</v>
      </c>
    </row>
    <row r="63" spans="1:7" x14ac:dyDescent="0.3">
      <c r="A63" s="21">
        <f t="shared" si="0"/>
        <v>1</v>
      </c>
      <c r="B63" s="2">
        <v>46055</v>
      </c>
      <c r="C63" s="2" t="s">
        <v>54</v>
      </c>
      <c r="D63" s="44" t="s">
        <v>23</v>
      </c>
      <c r="E63" s="22" t="str">
        <f>IF(D63&lt;&gt;"",IFERROR(INDEX(Produtos!$C$4:$C$4996,MATCH(D63,Produtos!$B$4:$B$4996,0)),"Produto não encontrado"),"")</f>
        <v>LAJE INFERIOR DE 1000</v>
      </c>
      <c r="F63" s="3">
        <v>1</v>
      </c>
      <c r="G63" s="1" t="s">
        <v>174</v>
      </c>
    </row>
    <row r="64" spans="1:7" x14ac:dyDescent="0.3">
      <c r="A64" s="21">
        <f t="shared" si="0"/>
        <v>1</v>
      </c>
      <c r="B64" s="2">
        <v>46055</v>
      </c>
      <c r="C64" s="2" t="s">
        <v>54</v>
      </c>
      <c r="D64" s="44" t="s">
        <v>23</v>
      </c>
      <c r="E64" s="22" t="str">
        <f>IF(D64&lt;&gt;"",IFERROR(INDEX(Produtos!$C$4:$C$4996,MATCH(D64,Produtos!$B$4:$B$4996,0)),"Produto não encontrado"),"")</f>
        <v>LAJE INFERIOR DE 1000</v>
      </c>
      <c r="F64" s="3">
        <v>1</v>
      </c>
      <c r="G64" s="1" t="s">
        <v>174</v>
      </c>
    </row>
    <row r="65" spans="1:7" x14ac:dyDescent="0.3">
      <c r="A65" s="21">
        <f t="shared" si="0"/>
        <v>1</v>
      </c>
      <c r="B65" s="2">
        <v>46055</v>
      </c>
      <c r="C65" s="2" t="s">
        <v>54</v>
      </c>
      <c r="D65" s="44" t="s">
        <v>56</v>
      </c>
      <c r="E65" s="22" t="str">
        <f>IF(D65&lt;&gt;"",IFERROR(INDEX(Produtos!$C$4:$C$4996,MATCH(D65,Produtos!$B$4:$B$4996,0)),"Produto não encontrado"),"")</f>
        <v>LAJE SURPERIOR DE 1000</v>
      </c>
      <c r="F65" s="3">
        <v>1</v>
      </c>
      <c r="G65" s="1" t="s">
        <v>166</v>
      </c>
    </row>
    <row r="66" spans="1:7" x14ac:dyDescent="0.3">
      <c r="A66" s="21">
        <f t="shared" si="0"/>
        <v>1</v>
      </c>
      <c r="B66" s="2">
        <v>46055</v>
      </c>
      <c r="C66" s="2" t="s">
        <v>54</v>
      </c>
      <c r="D66" s="44" t="s">
        <v>23</v>
      </c>
      <c r="E66" s="22" t="str">
        <f>IF(D66&lt;&gt;"",IFERROR(INDEX(Produtos!$C$4:$C$4996,MATCH(D66,Produtos!$B$4:$B$4996,0)),"Produto não encontrado"),"")</f>
        <v>LAJE INFERIOR DE 1000</v>
      </c>
      <c r="F66" s="3">
        <v>1</v>
      </c>
      <c r="G66" s="1" t="s">
        <v>166</v>
      </c>
    </row>
    <row r="67" spans="1:7" x14ac:dyDescent="0.3">
      <c r="A67" s="21">
        <f t="shared" ref="A67:A128" si="1">IF(C67="Entrada",2,IF(C67="Saída",1,"."))</f>
        <v>1</v>
      </c>
      <c r="B67" s="2">
        <v>46055</v>
      </c>
      <c r="C67" s="2" t="s">
        <v>54</v>
      </c>
      <c r="D67" s="44" t="s">
        <v>21</v>
      </c>
      <c r="E67" s="22" t="str">
        <f>IF(D67&lt;&gt;"",IFERROR(INDEX(Produtos!$C$4:$C$4996,MATCH(D67,Produtos!$B$4:$B$4996,0)),"Produto não encontrado"),"")</f>
        <v>ADUELA DE 1000</v>
      </c>
      <c r="F67" s="3">
        <v>2</v>
      </c>
      <c r="G67" s="1" t="s">
        <v>166</v>
      </c>
    </row>
    <row r="68" spans="1:7" x14ac:dyDescent="0.3">
      <c r="A68" s="21">
        <f t="shared" si="1"/>
        <v>1</v>
      </c>
      <c r="B68" s="2">
        <v>46055</v>
      </c>
      <c r="C68" s="2" t="s">
        <v>54</v>
      </c>
      <c r="D68" s="44" t="s">
        <v>21</v>
      </c>
      <c r="E68" s="22" t="str">
        <f>IF(D68&lt;&gt;"",IFERROR(INDEX(Produtos!$C$4:$C$4996,MATCH(D68,Produtos!$B$4:$B$4996,0)),"Produto não encontrado"),"")</f>
        <v>ADUELA DE 1000</v>
      </c>
      <c r="F68" s="3">
        <v>2</v>
      </c>
      <c r="G68" s="1" t="s">
        <v>175</v>
      </c>
    </row>
    <row r="69" spans="1:7" x14ac:dyDescent="0.3">
      <c r="A69" s="21">
        <f t="shared" si="1"/>
        <v>1</v>
      </c>
      <c r="B69" s="2">
        <v>46055</v>
      </c>
      <c r="C69" s="2" t="s">
        <v>54</v>
      </c>
      <c r="D69" s="44" t="s">
        <v>23</v>
      </c>
      <c r="E69" s="22" t="str">
        <f>IF(D69&lt;&gt;"",IFERROR(INDEX(Produtos!$C$4:$C$4996,MATCH(D69,Produtos!$B$4:$B$4996,0)),"Produto não encontrado"),"")</f>
        <v>LAJE INFERIOR DE 1000</v>
      </c>
      <c r="F69" s="3">
        <v>1</v>
      </c>
      <c r="G69" s="1" t="s">
        <v>175</v>
      </c>
    </row>
    <row r="70" spans="1:7" x14ac:dyDescent="0.3">
      <c r="A70" s="21">
        <f t="shared" si="1"/>
        <v>1</v>
      </c>
      <c r="B70" s="2">
        <v>46055</v>
      </c>
      <c r="C70" s="2" t="s">
        <v>54</v>
      </c>
      <c r="D70" s="44" t="s">
        <v>21</v>
      </c>
      <c r="E70" s="22" t="str">
        <f>IF(D70&lt;&gt;"",IFERROR(INDEX(Produtos!$C$4:$C$4996,MATCH(D70,Produtos!$B$4:$B$4996,0)),"Produto não encontrado"),"")</f>
        <v>ADUELA DE 1000</v>
      </c>
      <c r="F70" s="3">
        <v>2</v>
      </c>
      <c r="G70" s="1" t="s">
        <v>174</v>
      </c>
    </row>
    <row r="71" spans="1:7" x14ac:dyDescent="0.3">
      <c r="A71" s="21">
        <f t="shared" si="1"/>
        <v>1</v>
      </c>
      <c r="B71" s="2">
        <v>46055</v>
      </c>
      <c r="C71" s="2" t="s">
        <v>54</v>
      </c>
      <c r="D71" s="44" t="s">
        <v>23</v>
      </c>
      <c r="E71" s="22" t="str">
        <f>IF(D71&lt;&gt;"",IFERROR(INDEX(Produtos!$C$4:$C$4996,MATCH(D71,Produtos!$B$4:$B$4996,0)),"Produto não encontrado"),"")</f>
        <v>LAJE INFERIOR DE 1000</v>
      </c>
      <c r="F71" s="3">
        <v>1</v>
      </c>
      <c r="G71" s="1" t="s">
        <v>174</v>
      </c>
    </row>
    <row r="72" spans="1:7" x14ac:dyDescent="0.3">
      <c r="A72" s="21">
        <f t="shared" si="1"/>
        <v>1</v>
      </c>
      <c r="B72" s="2">
        <v>46055</v>
      </c>
      <c r="C72" s="2" t="s">
        <v>54</v>
      </c>
      <c r="D72" s="44" t="s">
        <v>21</v>
      </c>
      <c r="E72" s="22" t="str">
        <f>IF(D72&lt;&gt;"",IFERROR(INDEX(Produtos!$C$4:$C$4996,MATCH(D72,Produtos!$B$4:$B$4996,0)),"Produto não encontrado"),"")</f>
        <v>ADUELA DE 1000</v>
      </c>
      <c r="F72" s="3">
        <v>1</v>
      </c>
      <c r="G72" s="1" t="s">
        <v>163</v>
      </c>
    </row>
    <row r="73" spans="1:7" x14ac:dyDescent="0.3">
      <c r="A73" s="21">
        <f t="shared" si="1"/>
        <v>1</v>
      </c>
      <c r="B73" s="2">
        <v>46055</v>
      </c>
      <c r="C73" s="2" t="s">
        <v>54</v>
      </c>
      <c r="D73" s="44" t="s">
        <v>56</v>
      </c>
      <c r="E73" s="22" t="str">
        <f>IF(D73&lt;&gt;"",IFERROR(INDEX(Produtos!$C$4:$C$4996,MATCH(D73,Produtos!$B$4:$B$4996,0)),"Produto não encontrado"),"")</f>
        <v>LAJE SURPERIOR DE 1000</v>
      </c>
      <c r="F73" s="3">
        <v>1</v>
      </c>
      <c r="G73" s="1" t="s">
        <v>163</v>
      </c>
    </row>
    <row r="74" spans="1:7" x14ac:dyDescent="0.3">
      <c r="A74" s="21">
        <f t="shared" si="1"/>
        <v>1</v>
      </c>
      <c r="B74" s="2">
        <v>46056</v>
      </c>
      <c r="C74" s="2" t="s">
        <v>54</v>
      </c>
      <c r="D74" s="44" t="s">
        <v>57</v>
      </c>
      <c r="E74" s="22" t="str">
        <f>IF(D74&lt;&gt;"",IFERROR(INDEX(Produtos!$C$4:$C$4996,MATCH(D74,Produtos!$B$4:$B$4996,0)),"Produto não encontrado"),"")</f>
        <v>TUBO PEAD ESGOTO D 355</v>
      </c>
      <c r="F74" s="3">
        <v>12</v>
      </c>
      <c r="G74" s="1" t="s">
        <v>176</v>
      </c>
    </row>
    <row r="75" spans="1:7" x14ac:dyDescent="0.3">
      <c r="A75" s="21">
        <f t="shared" si="1"/>
        <v>1</v>
      </c>
      <c r="B75" s="2">
        <v>46056</v>
      </c>
      <c r="C75" s="2" t="s">
        <v>54</v>
      </c>
      <c r="D75" s="44" t="s">
        <v>59</v>
      </c>
      <c r="E75" s="22" t="str">
        <f>IF(D75&lt;&gt;"",IFERROR(INDEX(Produtos!$C$4:$C$4996,MATCH(D75,Produtos!$B$4:$B$4996,0)),"Produto não encontrado"),"")</f>
        <v>TUBO PEAD ESGOTO D 225</v>
      </c>
      <c r="F75" s="3">
        <v>7</v>
      </c>
      <c r="G75" s="1" t="s">
        <v>176</v>
      </c>
    </row>
    <row r="76" spans="1:7" x14ac:dyDescent="0.3">
      <c r="A76" s="21">
        <f t="shared" si="1"/>
        <v>1</v>
      </c>
      <c r="B76" s="2">
        <v>46056</v>
      </c>
      <c r="C76" s="2" t="s">
        <v>54</v>
      </c>
      <c r="D76" s="44" t="s">
        <v>60</v>
      </c>
      <c r="E76" s="22" t="str">
        <f>IF(D76&lt;&gt;"",IFERROR(INDEX(Produtos!$C$4:$C$4996,MATCH(D76,Produtos!$B$4:$B$4996,0)),"Produto não encontrado"),"")</f>
        <v>TUBO PEAD ESGOTO D 450</v>
      </c>
      <c r="F76" s="3">
        <v>24</v>
      </c>
      <c r="G76" s="1" t="s">
        <v>160</v>
      </c>
    </row>
    <row r="77" spans="1:7" x14ac:dyDescent="0.3">
      <c r="A77" s="21">
        <f t="shared" si="1"/>
        <v>1</v>
      </c>
      <c r="B77" s="2">
        <v>46056</v>
      </c>
      <c r="C77" s="2" t="s">
        <v>54</v>
      </c>
      <c r="D77" s="44" t="s">
        <v>58</v>
      </c>
      <c r="E77" s="22" t="str">
        <f>IF(D77&lt;&gt;"",IFERROR(INDEX(Produtos!$C$4:$C$4996,MATCH(D77,Produtos!$B$4:$B$4996,0)),"Produto não encontrado"),"")</f>
        <v>TUBO PEAD ESGOTO D 315</v>
      </c>
      <c r="F77" s="3">
        <v>5</v>
      </c>
      <c r="G77" s="1" t="s">
        <v>176</v>
      </c>
    </row>
    <row r="78" spans="1:7" x14ac:dyDescent="0.3">
      <c r="A78" s="21">
        <f t="shared" si="1"/>
        <v>1</v>
      </c>
      <c r="B78" s="2">
        <v>46057</v>
      </c>
      <c r="C78" s="2" t="s">
        <v>54</v>
      </c>
      <c r="D78" s="44" t="s">
        <v>63</v>
      </c>
      <c r="E78" s="22" t="str">
        <f>IF(D78&lt;&gt;"",IFERROR(INDEX(Produtos!$C$4:$C$4996,MATCH(D78,Produtos!$B$4:$B$4996,0)),"Produto não encontrado"),"")</f>
        <v>TUBO ESGOTO PVC DN 200</v>
      </c>
      <c r="F78" s="3">
        <v>1</v>
      </c>
      <c r="G78" s="1" t="s">
        <v>171</v>
      </c>
    </row>
    <row r="79" spans="1:7" x14ac:dyDescent="0.3">
      <c r="A79" s="21">
        <f t="shared" si="1"/>
        <v>1</v>
      </c>
      <c r="B79" s="2">
        <v>46057</v>
      </c>
      <c r="C79" s="2" t="s">
        <v>54</v>
      </c>
      <c r="D79" s="44" t="s">
        <v>21</v>
      </c>
      <c r="E79" s="22" t="str">
        <f>IF(D79&lt;&gt;"",IFERROR(INDEX(Produtos!$C$4:$C$4996,MATCH(D79,Produtos!$B$4:$B$4996,0)),"Produto não encontrado"),"")</f>
        <v>ADUELA DE 1000</v>
      </c>
      <c r="F79" s="3">
        <v>1</v>
      </c>
      <c r="G79" s="1" t="s">
        <v>171</v>
      </c>
    </row>
    <row r="80" spans="1:7" x14ac:dyDescent="0.3">
      <c r="A80" s="21">
        <f t="shared" si="1"/>
        <v>1</v>
      </c>
      <c r="B80" s="2">
        <v>46057</v>
      </c>
      <c r="C80" s="2" t="s">
        <v>54</v>
      </c>
      <c r="D80" s="44" t="s">
        <v>22</v>
      </c>
      <c r="E80" s="22" t="str">
        <f>IF(D80&lt;&gt;"",IFERROR(INDEX(Produtos!$C$4:$C$4996,MATCH(D80,Produtos!$B$4:$B$4996,0)),"Produto não encontrado"),"")</f>
        <v>ADUELA DE 600</v>
      </c>
      <c r="F80" s="3">
        <v>1</v>
      </c>
      <c r="G80" s="1" t="s">
        <v>171</v>
      </c>
    </row>
    <row r="81" spans="1:8" x14ac:dyDescent="0.3">
      <c r="A81" s="21">
        <f t="shared" si="1"/>
        <v>1</v>
      </c>
      <c r="B81" s="2">
        <v>46057</v>
      </c>
      <c r="C81" s="2" t="s">
        <v>54</v>
      </c>
      <c r="D81" s="44" t="s">
        <v>56</v>
      </c>
      <c r="E81" s="22" t="str">
        <f>IF(D81&lt;&gt;"",IFERROR(INDEX(Produtos!$C$4:$C$4996,MATCH(D81,Produtos!$B$4:$B$4996,0)),"Produto não encontrado"),"")</f>
        <v>LAJE SURPERIOR DE 1000</v>
      </c>
      <c r="F81" s="3">
        <v>1</v>
      </c>
      <c r="G81" s="1" t="s">
        <v>171</v>
      </c>
    </row>
    <row r="82" spans="1:8" x14ac:dyDescent="0.3">
      <c r="A82" s="21">
        <f t="shared" si="1"/>
        <v>1</v>
      </c>
      <c r="B82" s="2">
        <v>46057</v>
      </c>
      <c r="C82" s="2" t="s">
        <v>54</v>
      </c>
      <c r="D82" s="44" t="s">
        <v>21</v>
      </c>
      <c r="E82" s="22" t="str">
        <f>IF(D82&lt;&gt;"",IFERROR(INDEX(Produtos!$C$4:$C$4996,MATCH(D82,Produtos!$B$4:$B$4996,0)),"Produto não encontrado"),"")</f>
        <v>ADUELA DE 1000</v>
      </c>
      <c r="F82" s="3">
        <v>1</v>
      </c>
      <c r="G82" s="1" t="s">
        <v>174</v>
      </c>
    </row>
    <row r="83" spans="1:8" x14ac:dyDescent="0.3">
      <c r="A83" s="21">
        <f t="shared" si="1"/>
        <v>1</v>
      </c>
      <c r="B83" s="2">
        <v>46057</v>
      </c>
      <c r="C83" s="2" t="s">
        <v>54</v>
      </c>
      <c r="D83" s="44" t="s">
        <v>56</v>
      </c>
      <c r="E83" s="22" t="str">
        <f>IF(D83&lt;&gt;"",IFERROR(INDEX(Produtos!$C$4:$C$4996,MATCH(D83,Produtos!$B$4:$B$4996,0)),"Produto não encontrado"),"")</f>
        <v>LAJE SURPERIOR DE 1000</v>
      </c>
      <c r="F83" s="3">
        <v>1</v>
      </c>
      <c r="G83" s="1" t="s">
        <v>174</v>
      </c>
    </row>
    <row r="84" spans="1:8" x14ac:dyDescent="0.3">
      <c r="A84" s="21">
        <f t="shared" si="1"/>
        <v>1</v>
      </c>
      <c r="B84" s="2">
        <v>46057</v>
      </c>
      <c r="C84" s="2" t="s">
        <v>54</v>
      </c>
      <c r="D84" s="44" t="s">
        <v>23</v>
      </c>
      <c r="E84" s="22" t="str">
        <f>IF(D84&lt;&gt;"",IFERROR(INDEX(Produtos!$C$4:$C$4996,MATCH(D84,Produtos!$B$4:$B$4996,0)),"Produto não encontrado"),"")</f>
        <v>LAJE INFERIOR DE 1000</v>
      </c>
      <c r="F84" s="3">
        <v>1</v>
      </c>
      <c r="G84" s="1" t="s">
        <v>174</v>
      </c>
    </row>
    <row r="85" spans="1:8" x14ac:dyDescent="0.3">
      <c r="A85" s="21">
        <f t="shared" si="1"/>
        <v>1</v>
      </c>
      <c r="B85" s="2">
        <v>46057</v>
      </c>
      <c r="C85" s="2" t="s">
        <v>54</v>
      </c>
      <c r="D85" s="44" t="s">
        <v>67</v>
      </c>
      <c r="E85" s="22" t="str">
        <f>IF(D85&lt;&gt;"",IFERROR(INDEX(Produtos!$C$4:$C$4996,MATCH(D85,Produtos!$B$4:$B$4996,0)),"Produto não encontrado"),"")</f>
        <v>BLOCO DE PV</v>
      </c>
      <c r="F85" s="3">
        <v>10</v>
      </c>
      <c r="G85" s="1" t="s">
        <v>174</v>
      </c>
    </row>
    <row r="86" spans="1:8" x14ac:dyDescent="0.3">
      <c r="A86" s="21">
        <f t="shared" si="1"/>
        <v>1</v>
      </c>
      <c r="B86" s="2">
        <v>46057</v>
      </c>
      <c r="C86" s="2" t="s">
        <v>54</v>
      </c>
      <c r="D86" s="44" t="s">
        <v>21</v>
      </c>
      <c r="E86" s="22" t="str">
        <f>IF(D86&lt;&gt;"",IFERROR(INDEX(Produtos!$C$4:$C$4996,MATCH(D86,Produtos!$B$4:$B$4996,0)),"Produto não encontrado"),"")</f>
        <v>ADUELA DE 1000</v>
      </c>
      <c r="F86" s="3">
        <v>4</v>
      </c>
      <c r="G86" s="1" t="s">
        <v>176</v>
      </c>
    </row>
    <row r="87" spans="1:8" x14ac:dyDescent="0.3">
      <c r="A87" s="21">
        <f t="shared" si="1"/>
        <v>1</v>
      </c>
      <c r="B87" s="2">
        <v>46057</v>
      </c>
      <c r="C87" s="2" t="s">
        <v>54</v>
      </c>
      <c r="D87" s="44" t="s">
        <v>56</v>
      </c>
      <c r="E87" s="22" t="str">
        <f>IF(D87&lt;&gt;"",IFERROR(INDEX(Produtos!$C$4:$C$4996,MATCH(D87,Produtos!$B$4:$B$4996,0)),"Produto não encontrado"),"")</f>
        <v>LAJE SURPERIOR DE 1000</v>
      </c>
      <c r="F87" s="3">
        <v>1</v>
      </c>
      <c r="G87" s="1" t="s">
        <v>176</v>
      </c>
    </row>
    <row r="88" spans="1:8" x14ac:dyDescent="0.3">
      <c r="A88" s="21">
        <f t="shared" si="1"/>
        <v>1</v>
      </c>
      <c r="B88" s="2">
        <v>46057</v>
      </c>
      <c r="C88" s="2" t="s">
        <v>54</v>
      </c>
      <c r="D88" s="44" t="s">
        <v>22</v>
      </c>
      <c r="E88" s="22" t="str">
        <f>IF(D88&lt;&gt;"",IFERROR(INDEX(Produtos!$C$4:$C$4996,MATCH(D88,Produtos!$B$4:$B$4996,0)),"Produto não encontrado"),"")</f>
        <v>ADUELA DE 600</v>
      </c>
      <c r="F88" s="3">
        <v>1</v>
      </c>
      <c r="G88" s="1" t="s">
        <v>174</v>
      </c>
    </row>
    <row r="89" spans="1:8" x14ac:dyDescent="0.3">
      <c r="A89" s="21">
        <f t="shared" si="1"/>
        <v>1</v>
      </c>
      <c r="B89" s="2">
        <v>46057</v>
      </c>
      <c r="C89" s="2" t="s">
        <v>54</v>
      </c>
      <c r="D89" s="44" t="s">
        <v>22</v>
      </c>
      <c r="E89" s="22" t="str">
        <f>IF(D89&lt;&gt;"",IFERROR(INDEX(Produtos!$C$4:$C$4996,MATCH(D89,Produtos!$B$4:$B$4996,0)),"Produto não encontrado"),"")</f>
        <v>ADUELA DE 600</v>
      </c>
      <c r="F89" s="3">
        <v>60</v>
      </c>
      <c r="G89" s="1" t="s">
        <v>165</v>
      </c>
      <c r="H89" s="1" t="s">
        <v>177</v>
      </c>
    </row>
    <row r="90" spans="1:8" x14ac:dyDescent="0.3">
      <c r="A90" s="21">
        <f t="shared" si="1"/>
        <v>1</v>
      </c>
      <c r="B90" s="2">
        <v>46057</v>
      </c>
      <c r="C90" s="2" t="s">
        <v>54</v>
      </c>
      <c r="D90" s="44" t="s">
        <v>21</v>
      </c>
      <c r="E90" s="22" t="str">
        <f>IF(D90&lt;&gt;"",IFERROR(INDEX(Produtos!$C$4:$C$4996,MATCH(D90,Produtos!$B$4:$B$4996,0)),"Produto não encontrado"),"")</f>
        <v>ADUELA DE 1000</v>
      </c>
      <c r="F90" s="3">
        <v>1</v>
      </c>
      <c r="G90" s="1" t="s">
        <v>164</v>
      </c>
    </row>
    <row r="91" spans="1:8" x14ac:dyDescent="0.3">
      <c r="A91" s="21">
        <f t="shared" si="1"/>
        <v>1</v>
      </c>
      <c r="B91" s="2">
        <v>46057</v>
      </c>
      <c r="C91" s="2" t="s">
        <v>54</v>
      </c>
      <c r="D91" s="44" t="s">
        <v>21</v>
      </c>
      <c r="E91" s="22" t="str">
        <f>IF(D91&lt;&gt;"",IFERROR(INDEX(Produtos!$C$4:$C$4996,MATCH(D91,Produtos!$B$4:$B$4996,0)),"Produto não encontrado"),"")</f>
        <v>ADUELA DE 1000</v>
      </c>
      <c r="F91" s="3">
        <v>2</v>
      </c>
      <c r="G91" s="1" t="s">
        <v>175</v>
      </c>
    </row>
    <row r="92" spans="1:8" x14ac:dyDescent="0.3">
      <c r="A92" s="21">
        <f t="shared" si="1"/>
        <v>1</v>
      </c>
      <c r="B92" s="2">
        <v>46057</v>
      </c>
      <c r="C92" s="2" t="s">
        <v>54</v>
      </c>
      <c r="D92" s="44" t="s">
        <v>23</v>
      </c>
      <c r="E92" s="22" t="str">
        <f>IF(D92&lt;&gt;"",IFERROR(INDEX(Produtos!$C$4:$C$4996,MATCH(D92,Produtos!$B$4:$B$4996,0)),"Produto não encontrado"),"")</f>
        <v>LAJE INFERIOR DE 1000</v>
      </c>
      <c r="F92" s="3">
        <v>2</v>
      </c>
      <c r="G92" s="1" t="s">
        <v>175</v>
      </c>
    </row>
    <row r="93" spans="1:8" x14ac:dyDescent="0.3">
      <c r="A93" s="21">
        <f t="shared" si="1"/>
        <v>1</v>
      </c>
      <c r="B93" s="2">
        <v>46057</v>
      </c>
      <c r="C93" s="2" t="s">
        <v>54</v>
      </c>
      <c r="D93" s="44" t="s">
        <v>56</v>
      </c>
      <c r="E93" s="22" t="str">
        <f>IF(D93&lt;&gt;"",IFERROR(INDEX(Produtos!$C$4:$C$4996,MATCH(D93,Produtos!$B$4:$B$4996,0)),"Produto não encontrado"),"")</f>
        <v>LAJE SURPERIOR DE 1000</v>
      </c>
      <c r="F93" s="3">
        <v>1</v>
      </c>
      <c r="G93" s="1" t="s">
        <v>175</v>
      </c>
    </row>
    <row r="94" spans="1:8" x14ac:dyDescent="0.3">
      <c r="A94" s="21">
        <f t="shared" si="1"/>
        <v>1</v>
      </c>
      <c r="B94" s="2">
        <v>46057</v>
      </c>
      <c r="C94" s="2" t="s">
        <v>54</v>
      </c>
      <c r="D94" s="44" t="s">
        <v>21</v>
      </c>
      <c r="E94" s="22" t="str">
        <f>IF(D94&lt;&gt;"",IFERROR(INDEX(Produtos!$C$4:$C$4996,MATCH(D94,Produtos!$B$4:$B$4996,0)),"Produto não encontrado"),"")</f>
        <v>ADUELA DE 1000</v>
      </c>
      <c r="F94" s="3">
        <v>1</v>
      </c>
      <c r="G94" s="1" t="s">
        <v>175</v>
      </c>
    </row>
    <row r="95" spans="1:8" x14ac:dyDescent="0.3">
      <c r="A95" s="21">
        <f t="shared" si="1"/>
        <v>1</v>
      </c>
      <c r="B95" s="2">
        <v>46057</v>
      </c>
      <c r="C95" s="2" t="s">
        <v>54</v>
      </c>
      <c r="D95" s="44" t="s">
        <v>21</v>
      </c>
      <c r="E95" s="22" t="str">
        <f>IF(D95&lt;&gt;"",IFERROR(INDEX(Produtos!$C$4:$C$4996,MATCH(D95,Produtos!$B$4:$B$4996,0)),"Produto não encontrado"),"")</f>
        <v>ADUELA DE 1000</v>
      </c>
      <c r="F95" s="3">
        <v>1</v>
      </c>
      <c r="G95" s="1" t="s">
        <v>169</v>
      </c>
    </row>
    <row r="96" spans="1:8" x14ac:dyDescent="0.3">
      <c r="A96" s="21">
        <f t="shared" si="1"/>
        <v>1</v>
      </c>
      <c r="B96" s="2">
        <v>46058</v>
      </c>
      <c r="C96" s="2" t="s">
        <v>54</v>
      </c>
      <c r="D96" s="44" t="s">
        <v>21</v>
      </c>
      <c r="E96" s="22" t="str">
        <f>IF(D96&lt;&gt;"",IFERROR(INDEX(Produtos!$C$4:$C$4996,MATCH(D96,Produtos!$B$4:$B$4996,0)),"Produto não encontrado"),"")</f>
        <v>ADUELA DE 1000</v>
      </c>
      <c r="F96" s="3">
        <v>1</v>
      </c>
      <c r="G96" s="1" t="s">
        <v>175</v>
      </c>
    </row>
    <row r="97" spans="1:7" x14ac:dyDescent="0.3">
      <c r="A97" s="21">
        <f t="shared" si="1"/>
        <v>1</v>
      </c>
      <c r="B97" s="2">
        <v>46058</v>
      </c>
      <c r="C97" s="2" t="s">
        <v>54</v>
      </c>
      <c r="D97" s="44" t="s">
        <v>22</v>
      </c>
      <c r="E97" s="22" t="str">
        <f>IF(D97&lt;&gt;"",IFERROR(INDEX(Produtos!$C$4:$C$4996,MATCH(D97,Produtos!$B$4:$B$4996,0)),"Produto não encontrado"),"")</f>
        <v>ADUELA DE 600</v>
      </c>
      <c r="F97" s="3">
        <v>1</v>
      </c>
      <c r="G97" s="1" t="s">
        <v>175</v>
      </c>
    </row>
    <row r="98" spans="1:7" x14ac:dyDescent="0.3">
      <c r="A98" s="21">
        <f t="shared" si="1"/>
        <v>1</v>
      </c>
      <c r="B98" s="2">
        <v>46058</v>
      </c>
      <c r="C98" s="2" t="s">
        <v>54</v>
      </c>
      <c r="D98" s="44" t="s">
        <v>55</v>
      </c>
      <c r="E98" s="22" t="str">
        <f>IF(D98&lt;&gt;"",IFERROR(INDEX(Produtos!$C$4:$C$4996,MATCH(D98,Produtos!$B$4:$B$4996,0)),"Produto não encontrado"),"")</f>
        <v>LAJE INFERIOR DE 600</v>
      </c>
      <c r="F98" s="3">
        <v>1</v>
      </c>
      <c r="G98" s="1" t="s">
        <v>175</v>
      </c>
    </row>
    <row r="99" spans="1:7" x14ac:dyDescent="0.3">
      <c r="A99" s="21">
        <f t="shared" si="1"/>
        <v>1</v>
      </c>
      <c r="B99" s="2">
        <v>46058</v>
      </c>
      <c r="C99" s="2" t="s">
        <v>54</v>
      </c>
      <c r="D99" s="44" t="s">
        <v>22</v>
      </c>
      <c r="E99" s="22" t="str">
        <f>IF(D99&lt;&gt;"",IFERROR(INDEX(Produtos!$C$4:$C$4996,MATCH(D99,Produtos!$B$4:$B$4996,0)),"Produto não encontrado"),"")</f>
        <v>ADUELA DE 600</v>
      </c>
      <c r="F99" s="3">
        <v>1</v>
      </c>
      <c r="G99" s="1" t="s">
        <v>169</v>
      </c>
    </row>
    <row r="100" spans="1:7" x14ac:dyDescent="0.3">
      <c r="A100" s="21">
        <f t="shared" si="1"/>
        <v>1</v>
      </c>
      <c r="B100" s="2">
        <v>46058</v>
      </c>
      <c r="C100" s="2" t="s">
        <v>54</v>
      </c>
      <c r="D100" s="44" t="s">
        <v>23</v>
      </c>
      <c r="E100" s="22" t="str">
        <f>IF(D100&lt;&gt;"",IFERROR(INDEX(Produtos!$C$4:$C$4996,MATCH(D100,Produtos!$B$4:$B$4996,0)),"Produto não encontrado"),"")</f>
        <v>LAJE INFERIOR DE 1000</v>
      </c>
      <c r="F100" s="3">
        <v>1</v>
      </c>
      <c r="G100" s="1" t="s">
        <v>171</v>
      </c>
    </row>
    <row r="101" spans="1:7" x14ac:dyDescent="0.3">
      <c r="A101" s="21">
        <f t="shared" si="1"/>
        <v>1</v>
      </c>
      <c r="B101" s="2">
        <v>46058</v>
      </c>
      <c r="C101" s="2" t="s">
        <v>54</v>
      </c>
      <c r="D101" s="44" t="s">
        <v>56</v>
      </c>
      <c r="E101" s="22" t="str">
        <f>IF(D101&lt;&gt;"",IFERROR(INDEX(Produtos!$C$4:$C$4996,MATCH(D101,Produtos!$B$4:$B$4996,0)),"Produto não encontrado"),"")</f>
        <v>LAJE SURPERIOR DE 1000</v>
      </c>
      <c r="F101" s="3">
        <v>1</v>
      </c>
      <c r="G101" s="1" t="s">
        <v>171</v>
      </c>
    </row>
    <row r="102" spans="1:7" x14ac:dyDescent="0.3">
      <c r="A102" s="21">
        <f t="shared" si="1"/>
        <v>1</v>
      </c>
      <c r="B102" s="2">
        <v>46058</v>
      </c>
      <c r="C102" s="2" t="s">
        <v>54</v>
      </c>
      <c r="D102" s="44" t="s">
        <v>21</v>
      </c>
      <c r="E102" s="22" t="str">
        <f>IF(D102&lt;&gt;"",IFERROR(INDEX(Produtos!$C$4:$C$4996,MATCH(D102,Produtos!$B$4:$B$4996,0)),"Produto não encontrado"),"")</f>
        <v>ADUELA DE 1000</v>
      </c>
      <c r="F102" s="3">
        <v>2</v>
      </c>
      <c r="G102" s="1" t="s">
        <v>171</v>
      </c>
    </row>
    <row r="103" spans="1:7" x14ac:dyDescent="0.3">
      <c r="A103" s="21">
        <f t="shared" si="1"/>
        <v>1</v>
      </c>
      <c r="B103" s="2">
        <v>46059</v>
      </c>
      <c r="C103" s="2" t="s">
        <v>54</v>
      </c>
      <c r="D103" s="44" t="s">
        <v>21</v>
      </c>
      <c r="E103" s="22" t="str">
        <f>IF(D103&lt;&gt;"",IFERROR(INDEX(Produtos!$C$4:$C$4996,MATCH(D103,Produtos!$B$4:$B$4996,0)),"Produto não encontrado"),"")</f>
        <v>ADUELA DE 1000</v>
      </c>
      <c r="F103" s="3">
        <v>2</v>
      </c>
      <c r="G103" s="1" t="s">
        <v>166</v>
      </c>
    </row>
    <row r="104" spans="1:7" x14ac:dyDescent="0.3">
      <c r="A104" s="21">
        <f t="shared" si="1"/>
        <v>1</v>
      </c>
      <c r="B104" s="2">
        <v>46059</v>
      </c>
      <c r="C104" s="2" t="s">
        <v>54</v>
      </c>
      <c r="D104" s="44" t="s">
        <v>57</v>
      </c>
      <c r="E104" s="22" t="str">
        <f>IF(D104&lt;&gt;"",IFERROR(INDEX(Produtos!$C$4:$C$4996,MATCH(D104,Produtos!$B$4:$B$4996,0)),"Produto não encontrado"),"")</f>
        <v>TUBO PEAD ESGOTO D 355</v>
      </c>
      <c r="F104" s="3">
        <v>9</v>
      </c>
      <c r="G104" s="1" t="s">
        <v>166</v>
      </c>
    </row>
    <row r="105" spans="1:7" x14ac:dyDescent="0.3">
      <c r="A105" s="21">
        <f t="shared" si="1"/>
        <v>1</v>
      </c>
      <c r="B105" s="2">
        <v>46059</v>
      </c>
      <c r="C105" s="2" t="s">
        <v>54</v>
      </c>
      <c r="D105" s="44" t="s">
        <v>66</v>
      </c>
      <c r="E105" s="22" t="str">
        <f>IF(D105&lt;&gt;"",IFERROR(INDEX(Produtos!$C$4:$C$4996,MATCH(D105,Produtos!$B$4:$B$4996,0)),"Produto não encontrado"),"")</f>
        <v>CHAPA ARMICO</v>
      </c>
      <c r="F105" s="3">
        <v>60</v>
      </c>
      <c r="G105" s="1" t="s">
        <v>167</v>
      </c>
    </row>
    <row r="106" spans="1:7" x14ac:dyDescent="0.3">
      <c r="A106" s="21">
        <f t="shared" si="1"/>
        <v>1</v>
      </c>
      <c r="B106" s="2">
        <v>46059</v>
      </c>
      <c r="C106" s="2" t="s">
        <v>54</v>
      </c>
      <c r="D106" s="44" t="s">
        <v>66</v>
      </c>
      <c r="E106" s="22" t="str">
        <f>IF(D106&lt;&gt;"",IFERROR(INDEX(Produtos!$C$4:$C$4996,MATCH(D106,Produtos!$B$4:$B$4996,0)),"Produto não encontrado"),"")</f>
        <v>CHAPA ARMICO</v>
      </c>
      <c r="F106" s="3">
        <v>50</v>
      </c>
      <c r="G106" s="1" t="s">
        <v>173</v>
      </c>
    </row>
    <row r="107" spans="1:7" x14ac:dyDescent="0.3">
      <c r="A107" s="21">
        <f t="shared" si="1"/>
        <v>1</v>
      </c>
      <c r="B107" s="2">
        <v>46059</v>
      </c>
      <c r="C107" s="2" t="s">
        <v>54</v>
      </c>
      <c r="D107" s="44" t="s">
        <v>66</v>
      </c>
      <c r="E107" s="22" t="str">
        <f>IF(D107&lt;&gt;"",IFERROR(INDEX(Produtos!$C$4:$C$4996,MATCH(D107,Produtos!$B$4:$B$4996,0)),"Produto não encontrado"),"")</f>
        <v>CHAPA ARMICO</v>
      </c>
      <c r="F107" s="3">
        <v>32</v>
      </c>
      <c r="G107" s="1" t="s">
        <v>160</v>
      </c>
    </row>
    <row r="108" spans="1:7" x14ac:dyDescent="0.3">
      <c r="A108" s="21">
        <f t="shared" si="1"/>
        <v>1</v>
      </c>
      <c r="B108" s="2">
        <v>46060</v>
      </c>
      <c r="C108" s="2" t="s">
        <v>54</v>
      </c>
      <c r="D108" s="44" t="s">
        <v>63</v>
      </c>
      <c r="E108" s="22" t="str">
        <f>IF(D108&lt;&gt;"",IFERROR(INDEX(Produtos!$C$4:$C$4996,MATCH(D108,Produtos!$B$4:$B$4996,0)),"Produto não encontrado"),"")</f>
        <v>TUBO ESGOTO PVC DN 200</v>
      </c>
      <c r="F108" s="3">
        <v>2</v>
      </c>
      <c r="G108" s="1" t="s">
        <v>175</v>
      </c>
    </row>
    <row r="109" spans="1:7" x14ac:dyDescent="0.3">
      <c r="A109" s="21">
        <f t="shared" si="1"/>
        <v>1</v>
      </c>
      <c r="B109" s="2">
        <v>46062</v>
      </c>
      <c r="C109" s="2" t="s">
        <v>54</v>
      </c>
      <c r="D109" s="44" t="s">
        <v>58</v>
      </c>
      <c r="E109" s="22" t="str">
        <f>IF(D109&lt;&gt;"",IFERROR(INDEX(Produtos!$C$4:$C$4996,MATCH(D109,Produtos!$B$4:$B$4996,0)),"Produto não encontrado"),"")</f>
        <v>TUBO PEAD ESGOTO D 315</v>
      </c>
      <c r="F109" s="3">
        <v>7</v>
      </c>
      <c r="G109" s="1" t="s">
        <v>178</v>
      </c>
    </row>
    <row r="110" spans="1:7" x14ac:dyDescent="0.3">
      <c r="A110" s="21">
        <f t="shared" si="1"/>
        <v>2</v>
      </c>
      <c r="B110" s="2">
        <v>46062</v>
      </c>
      <c r="C110" s="2" t="s">
        <v>28</v>
      </c>
      <c r="D110" s="44" t="s">
        <v>69</v>
      </c>
      <c r="E110" s="22" t="str">
        <f>IF(D110&lt;&gt;"",IFERROR(INDEX(Produtos!$C$4:$C$4996,MATCH(D110,Produtos!$B$4:$B$4996,0)),"Produto não encontrado"),"")</f>
        <v>GUIA</v>
      </c>
      <c r="F110" s="3">
        <v>60</v>
      </c>
    </row>
    <row r="111" spans="1:7" x14ac:dyDescent="0.3">
      <c r="A111" s="21">
        <f t="shared" si="1"/>
        <v>1</v>
      </c>
      <c r="B111" s="2">
        <v>46062</v>
      </c>
      <c r="C111" s="2" t="s">
        <v>54</v>
      </c>
      <c r="D111" s="44" t="s">
        <v>69</v>
      </c>
      <c r="E111" s="22" t="str">
        <f>IF(D111&lt;&gt;"",IFERROR(INDEX(Produtos!$C$4:$C$4996,MATCH(D111,Produtos!$B$4:$B$4996,0)),"Produto não encontrado"),"")</f>
        <v>GUIA</v>
      </c>
      <c r="F111" s="3">
        <v>9</v>
      </c>
      <c r="G111" s="1" t="s">
        <v>171</v>
      </c>
    </row>
    <row r="112" spans="1:7" x14ac:dyDescent="0.3">
      <c r="A112" s="21">
        <f t="shared" si="1"/>
        <v>1</v>
      </c>
      <c r="B112" s="2">
        <v>46062</v>
      </c>
      <c r="C112" s="2" t="s">
        <v>54</v>
      </c>
      <c r="D112" s="44" t="s">
        <v>60</v>
      </c>
      <c r="E112" s="22" t="str">
        <f>IF(D112&lt;&gt;"",IFERROR(INDEX(Produtos!$C$4:$C$4996,MATCH(D112,Produtos!$B$4:$B$4996,0)),"Produto não encontrado"),"")</f>
        <v>TUBO PEAD ESGOTO D 450</v>
      </c>
      <c r="F112" s="3">
        <v>2</v>
      </c>
      <c r="G112" s="1" t="s">
        <v>160</v>
      </c>
    </row>
    <row r="113" spans="1:8" x14ac:dyDescent="0.3">
      <c r="A113" s="21">
        <f t="shared" si="1"/>
        <v>1</v>
      </c>
      <c r="B113" s="2">
        <v>46062</v>
      </c>
      <c r="C113" s="2" t="s">
        <v>54</v>
      </c>
      <c r="D113" s="44" t="s">
        <v>21</v>
      </c>
      <c r="E113" s="22" t="str">
        <f>IF(D113&lt;&gt;"",IFERROR(INDEX(Produtos!$C$4:$C$4996,MATCH(D113,Produtos!$B$4:$B$4996,0)),"Produto não encontrado"),"")</f>
        <v>ADUELA DE 1000</v>
      </c>
      <c r="F113" s="3">
        <v>1</v>
      </c>
      <c r="G113" s="1" t="s">
        <v>166</v>
      </c>
    </row>
    <row r="114" spans="1:8" x14ac:dyDescent="0.3">
      <c r="A114" s="21">
        <f t="shared" si="1"/>
        <v>1</v>
      </c>
      <c r="B114" s="2">
        <v>46062</v>
      </c>
      <c r="C114" s="2" t="s">
        <v>54</v>
      </c>
      <c r="D114" s="44" t="s">
        <v>58</v>
      </c>
      <c r="E114" s="22" t="str">
        <f>IF(D114&lt;&gt;"",IFERROR(INDEX(Produtos!$C$4:$C$4996,MATCH(D114,Produtos!$B$4:$B$4996,0)),"Produto não encontrado"),"")</f>
        <v>TUBO PEAD ESGOTO D 315</v>
      </c>
      <c r="F114" s="3">
        <v>16</v>
      </c>
      <c r="G114" s="1" t="s">
        <v>181</v>
      </c>
      <c r="H114" s="1" t="s">
        <v>182</v>
      </c>
    </row>
    <row r="115" spans="1:8" x14ac:dyDescent="0.3">
      <c r="A115" s="21">
        <f t="shared" si="1"/>
        <v>1</v>
      </c>
      <c r="B115" s="2">
        <v>46062</v>
      </c>
      <c r="C115" s="2" t="s">
        <v>54</v>
      </c>
      <c r="D115" s="44" t="s">
        <v>66</v>
      </c>
      <c r="E115" s="22" t="str">
        <f>IF(D115&lt;&gt;"",IFERROR(INDEX(Produtos!$C$4:$C$4996,MATCH(D115,Produtos!$B$4:$B$4996,0)),"Produto não encontrado"),"")</f>
        <v>CHAPA ARMICO</v>
      </c>
      <c r="F115" s="3">
        <v>50</v>
      </c>
      <c r="G115" s="1" t="s">
        <v>174</v>
      </c>
    </row>
    <row r="116" spans="1:8" x14ac:dyDescent="0.3">
      <c r="A116" s="21">
        <f t="shared" si="1"/>
        <v>1</v>
      </c>
      <c r="B116" s="2">
        <v>46062</v>
      </c>
      <c r="C116" s="2" t="s">
        <v>54</v>
      </c>
      <c r="D116" s="44" t="s">
        <v>66</v>
      </c>
      <c r="E116" s="22" t="str">
        <f>IF(D116&lt;&gt;"",IFERROR(INDEX(Produtos!$C$4:$C$4996,MATCH(D116,Produtos!$B$4:$B$4996,0)),"Produto não encontrado"),"")</f>
        <v>CHAPA ARMICO</v>
      </c>
      <c r="F116" s="3">
        <v>50</v>
      </c>
      <c r="G116" s="1" t="s">
        <v>169</v>
      </c>
    </row>
    <row r="117" spans="1:8" x14ac:dyDescent="0.3">
      <c r="A117" s="21">
        <f t="shared" si="1"/>
        <v>1</v>
      </c>
      <c r="B117" s="2">
        <v>46062</v>
      </c>
      <c r="C117" s="2" t="s">
        <v>54</v>
      </c>
      <c r="D117" s="44" t="s">
        <v>56</v>
      </c>
      <c r="E117" s="22" t="str">
        <f>IF(D117&lt;&gt;"",IFERROR(INDEX(Produtos!$C$4:$C$4996,MATCH(D117,Produtos!$B$4:$B$4996,0)),"Produto não encontrado"),"")</f>
        <v>LAJE SURPERIOR DE 1000</v>
      </c>
      <c r="F117" s="3">
        <v>1</v>
      </c>
      <c r="G117" s="1" t="s">
        <v>166</v>
      </c>
    </row>
    <row r="118" spans="1:8" x14ac:dyDescent="0.3">
      <c r="A118" s="21">
        <f t="shared" si="1"/>
        <v>1</v>
      </c>
      <c r="B118" s="2">
        <v>46062</v>
      </c>
      <c r="C118" s="2" t="s">
        <v>54</v>
      </c>
      <c r="D118" s="44" t="s">
        <v>67</v>
      </c>
      <c r="E118" s="22" t="str">
        <f>IF(D118&lt;&gt;"",IFERROR(INDEX(Produtos!$C$4:$C$4996,MATCH(D118,Produtos!$B$4:$B$4996,0)),"Produto não encontrado"),"")</f>
        <v>BLOCO DE PV</v>
      </c>
      <c r="F118" s="3">
        <v>8</v>
      </c>
      <c r="G118" s="1" t="s">
        <v>160</v>
      </c>
    </row>
    <row r="119" spans="1:8" x14ac:dyDescent="0.3">
      <c r="A119" s="21">
        <f t="shared" si="1"/>
        <v>2</v>
      </c>
      <c r="B119" s="2">
        <v>46064</v>
      </c>
      <c r="C119" s="2" t="s">
        <v>28</v>
      </c>
      <c r="D119" s="44" t="s">
        <v>60</v>
      </c>
      <c r="E119" s="22" t="str">
        <f>IF(D119&lt;&gt;"",IFERROR(INDEX(Produtos!$C$4:$C$4996,MATCH(D119,Produtos!$B$4:$B$4996,0)),"Produto não encontrado"),"")</f>
        <v>TUBO PEAD ESGOTO D 450</v>
      </c>
      <c r="F119" s="3">
        <v>50</v>
      </c>
      <c r="G119" s="1" t="s">
        <v>183</v>
      </c>
    </row>
    <row r="120" spans="1:8" x14ac:dyDescent="0.3">
      <c r="A120" s="21">
        <f t="shared" si="1"/>
        <v>1</v>
      </c>
      <c r="B120" s="2">
        <v>46063</v>
      </c>
      <c r="C120" s="2" t="s">
        <v>54</v>
      </c>
      <c r="D120" s="44" t="s">
        <v>66</v>
      </c>
      <c r="E120" s="22" t="str">
        <f>IF(D120&lt;&gt;"",IFERROR(INDEX(Produtos!$C$4:$C$4996,MATCH(D120,Produtos!$B$4:$B$4996,0)),"Produto não encontrado"),"")</f>
        <v>CHAPA ARMICO</v>
      </c>
      <c r="F120" s="3">
        <v>17</v>
      </c>
      <c r="G120" s="1" t="s">
        <v>167</v>
      </c>
    </row>
    <row r="121" spans="1:8" x14ac:dyDescent="0.3">
      <c r="A121" s="21">
        <f t="shared" si="1"/>
        <v>1</v>
      </c>
      <c r="B121" s="2">
        <v>46063</v>
      </c>
      <c r="C121" s="2" t="s">
        <v>54</v>
      </c>
      <c r="D121" s="44" t="s">
        <v>66</v>
      </c>
      <c r="E121" s="22" t="str">
        <f>IF(D121&lt;&gt;"",IFERROR(INDEX(Produtos!$C$4:$C$4996,MATCH(D121,Produtos!$B$4:$B$4996,0)),"Produto não encontrado"),"")</f>
        <v>CHAPA ARMICO</v>
      </c>
      <c r="F121" s="3">
        <v>17</v>
      </c>
      <c r="G121" s="1" t="s">
        <v>169</v>
      </c>
    </row>
    <row r="122" spans="1:8" x14ac:dyDescent="0.3">
      <c r="A122" s="21">
        <f t="shared" si="1"/>
        <v>1</v>
      </c>
      <c r="B122" s="2">
        <v>46063</v>
      </c>
      <c r="C122" s="2" t="s">
        <v>54</v>
      </c>
      <c r="D122" s="44" t="s">
        <v>57</v>
      </c>
      <c r="E122" s="22" t="str">
        <f>IF(D122&lt;&gt;"",IFERROR(INDEX(Produtos!$C$4:$C$4996,MATCH(D122,Produtos!$B$4:$B$4996,0)),"Produto não encontrado"),"")</f>
        <v>TUBO PEAD ESGOTO D 355</v>
      </c>
      <c r="F122" s="3">
        <v>10</v>
      </c>
      <c r="G122" s="1" t="s">
        <v>170</v>
      </c>
    </row>
    <row r="123" spans="1:8" x14ac:dyDescent="0.3">
      <c r="A123" s="21">
        <f t="shared" si="1"/>
        <v>1</v>
      </c>
      <c r="B123" s="2">
        <v>46063</v>
      </c>
      <c r="C123" s="2" t="s">
        <v>54</v>
      </c>
      <c r="D123" s="44" t="s">
        <v>21</v>
      </c>
      <c r="E123" s="22" t="str">
        <f>IF(D123&lt;&gt;"",IFERROR(INDEX(Produtos!$C$4:$C$4996,MATCH(D123,Produtos!$B$4:$B$4996,0)),"Produto não encontrado"),"")</f>
        <v>ADUELA DE 1000</v>
      </c>
      <c r="F123" s="3">
        <v>2</v>
      </c>
      <c r="G123" s="1" t="s">
        <v>164</v>
      </c>
    </row>
    <row r="124" spans="1:8" x14ac:dyDescent="0.3">
      <c r="A124" s="21">
        <f t="shared" si="1"/>
        <v>1</v>
      </c>
      <c r="B124" s="2">
        <v>46063</v>
      </c>
      <c r="C124" s="2" t="s">
        <v>54</v>
      </c>
      <c r="D124" s="44" t="s">
        <v>23</v>
      </c>
      <c r="E124" s="22" t="str">
        <f>IF(D124&lt;&gt;"",IFERROR(INDEX(Produtos!$C$4:$C$4996,MATCH(D124,Produtos!$B$4:$B$4996,0)),"Produto não encontrado"),"")</f>
        <v>LAJE INFERIOR DE 1000</v>
      </c>
      <c r="F124" s="3">
        <v>2</v>
      </c>
      <c r="G124" s="1" t="s">
        <v>164</v>
      </c>
    </row>
    <row r="125" spans="1:8" x14ac:dyDescent="0.3">
      <c r="A125" s="21">
        <f t="shared" si="1"/>
        <v>1</v>
      </c>
      <c r="B125" s="2">
        <v>46063</v>
      </c>
      <c r="C125" s="2" t="s">
        <v>54</v>
      </c>
      <c r="D125" s="44" t="s">
        <v>56</v>
      </c>
      <c r="E125" s="22" t="str">
        <f>IF(D125&lt;&gt;"",IFERROR(INDEX(Produtos!$C$4:$C$4996,MATCH(D125,Produtos!$B$4:$B$4996,0)),"Produto não encontrado"),"")</f>
        <v>LAJE SURPERIOR DE 1000</v>
      </c>
      <c r="F125" s="3">
        <v>2</v>
      </c>
      <c r="G125" s="1" t="s">
        <v>164</v>
      </c>
    </row>
    <row r="126" spans="1:8" x14ac:dyDescent="0.3">
      <c r="A126" s="21">
        <f t="shared" si="1"/>
        <v>1</v>
      </c>
      <c r="B126" s="2">
        <v>46063</v>
      </c>
      <c r="C126" s="2" t="s">
        <v>54</v>
      </c>
      <c r="D126" s="44" t="s">
        <v>63</v>
      </c>
      <c r="E126" s="22" t="str">
        <f>IF(D126&lt;&gt;"",IFERROR(INDEX(Produtos!$C$4:$C$4996,MATCH(D126,Produtos!$B$4:$B$4996,0)),"Produto não encontrado"),"")</f>
        <v>TUBO ESGOTO PVC DN 200</v>
      </c>
      <c r="F126" s="3">
        <v>40</v>
      </c>
      <c r="G126" s="1" t="s">
        <v>184</v>
      </c>
    </row>
    <row r="127" spans="1:8" x14ac:dyDescent="0.3">
      <c r="A127" s="21">
        <f t="shared" si="1"/>
        <v>1</v>
      </c>
      <c r="B127" s="2">
        <v>46063</v>
      </c>
      <c r="C127" s="2" t="s">
        <v>54</v>
      </c>
      <c r="D127" s="44" t="s">
        <v>66</v>
      </c>
      <c r="E127" s="22" t="str">
        <f>IF(D127&lt;&gt;"",IFERROR(INDEX(Produtos!$C$4:$C$4996,MATCH(D127,Produtos!$B$4:$B$4996,0)),"Produto não encontrado"),"")</f>
        <v>CHAPA ARMICO</v>
      </c>
      <c r="F127" s="3">
        <v>30</v>
      </c>
      <c r="G127" s="1" t="s">
        <v>173</v>
      </c>
    </row>
    <row r="128" spans="1:8" x14ac:dyDescent="0.3">
      <c r="A128" s="21">
        <f t="shared" si="1"/>
        <v>1</v>
      </c>
      <c r="B128" s="2">
        <v>46063</v>
      </c>
      <c r="C128" s="2" t="s">
        <v>54</v>
      </c>
      <c r="D128" s="44" t="s">
        <v>22</v>
      </c>
      <c r="E128" s="22" t="str">
        <f>IF(D128&lt;&gt;"",IFERROR(INDEX(Produtos!$C$4:$C$4996,MATCH(D128,Produtos!$B$4:$B$4996,0)),"Produto não encontrado"),"")</f>
        <v>ADUELA DE 600</v>
      </c>
      <c r="F128" s="3">
        <v>1</v>
      </c>
      <c r="G128" s="1" t="s">
        <v>176</v>
      </c>
    </row>
    <row r="129" spans="1:7" x14ac:dyDescent="0.3">
      <c r="A129" s="21">
        <f t="shared" ref="A129:A191" si="2">IF(C129="Entrada",2,IF(C129="Saída",1,"."))</f>
        <v>1</v>
      </c>
      <c r="B129" s="2">
        <v>46063</v>
      </c>
      <c r="C129" s="2" t="s">
        <v>54</v>
      </c>
      <c r="D129" s="44" t="s">
        <v>21</v>
      </c>
      <c r="E129" s="22" t="str">
        <f>IF(D129&lt;&gt;"",IFERROR(INDEX(Produtos!$C$4:$C$4996,MATCH(D129,Produtos!$B$4:$B$4996,0)),"Produto não encontrado"),"")</f>
        <v>ADUELA DE 1000</v>
      </c>
      <c r="F129" s="3">
        <v>1</v>
      </c>
      <c r="G129" s="1" t="s">
        <v>176</v>
      </c>
    </row>
    <row r="130" spans="1:7" x14ac:dyDescent="0.3">
      <c r="A130" s="21">
        <f t="shared" si="2"/>
        <v>1</v>
      </c>
      <c r="B130" s="2">
        <v>46063</v>
      </c>
      <c r="C130" s="2" t="s">
        <v>54</v>
      </c>
      <c r="D130" s="44" t="s">
        <v>21</v>
      </c>
      <c r="E130" s="22" t="str">
        <f>IF(D130&lt;&gt;"",IFERROR(INDEX(Produtos!$C$4:$C$4996,MATCH(D130,Produtos!$B$4:$B$4996,0)),"Produto não encontrado"),"")</f>
        <v>ADUELA DE 1000</v>
      </c>
      <c r="F130" s="3">
        <v>2</v>
      </c>
      <c r="G130" s="1" t="s">
        <v>166</v>
      </c>
    </row>
    <row r="131" spans="1:7" x14ac:dyDescent="0.3">
      <c r="A131" s="21">
        <f t="shared" si="2"/>
        <v>1</v>
      </c>
      <c r="B131" s="2">
        <v>46063</v>
      </c>
      <c r="C131" s="2" t="s">
        <v>54</v>
      </c>
      <c r="D131" s="44" t="s">
        <v>23</v>
      </c>
      <c r="E131" s="22" t="str">
        <f>IF(D131&lt;&gt;"",IFERROR(INDEX(Produtos!$C$4:$C$4996,MATCH(D131,Produtos!$B$4:$B$4996,0)),"Produto não encontrado"),"")</f>
        <v>LAJE INFERIOR DE 1000</v>
      </c>
      <c r="F131" s="3">
        <v>1</v>
      </c>
      <c r="G131" s="1" t="s">
        <v>166</v>
      </c>
    </row>
    <row r="132" spans="1:7" x14ac:dyDescent="0.3">
      <c r="A132" s="21">
        <f t="shared" si="2"/>
        <v>1</v>
      </c>
      <c r="B132" s="2">
        <v>46063</v>
      </c>
      <c r="C132" s="2" t="s">
        <v>54</v>
      </c>
      <c r="D132" s="44" t="s">
        <v>56</v>
      </c>
      <c r="E132" s="22" t="str">
        <f>IF(D132&lt;&gt;"",IFERROR(INDEX(Produtos!$C$4:$C$4996,MATCH(D132,Produtos!$B$4:$B$4996,0)),"Produto não encontrado"),"")</f>
        <v>LAJE SURPERIOR DE 1000</v>
      </c>
      <c r="F132" s="3">
        <v>1</v>
      </c>
      <c r="G132" s="1" t="s">
        <v>166</v>
      </c>
    </row>
    <row r="133" spans="1:7" x14ac:dyDescent="0.3">
      <c r="A133" s="21">
        <f t="shared" si="2"/>
        <v>1</v>
      </c>
      <c r="B133" s="2">
        <v>46064</v>
      </c>
      <c r="C133" s="2" t="s">
        <v>54</v>
      </c>
      <c r="D133" s="44" t="s">
        <v>57</v>
      </c>
      <c r="E133" s="22" t="str">
        <f>IF(D133&lt;&gt;"",IFERROR(INDEX(Produtos!$C$4:$C$4996,MATCH(D133,Produtos!$B$4:$B$4996,0)),"Produto não encontrado"),"")</f>
        <v>TUBO PEAD ESGOTO D 355</v>
      </c>
      <c r="F133" s="3">
        <v>11</v>
      </c>
      <c r="G133" s="1" t="s">
        <v>170</v>
      </c>
    </row>
    <row r="134" spans="1:7" x14ac:dyDescent="0.3">
      <c r="A134" s="21">
        <f t="shared" si="2"/>
        <v>1</v>
      </c>
      <c r="B134" s="2">
        <v>46064</v>
      </c>
      <c r="C134" s="2" t="s">
        <v>54</v>
      </c>
      <c r="D134" s="44" t="s">
        <v>60</v>
      </c>
      <c r="E134" s="22" t="str">
        <f>IF(D134&lt;&gt;"",IFERROR(INDEX(Produtos!$C$4:$C$4996,MATCH(D134,Produtos!$B$4:$B$4996,0)),"Produto não encontrado"),"")</f>
        <v>TUBO PEAD ESGOTO D 450</v>
      </c>
      <c r="F134" s="3">
        <v>20</v>
      </c>
      <c r="G134" s="1" t="s">
        <v>160</v>
      </c>
    </row>
    <row r="135" spans="1:7" x14ac:dyDescent="0.3">
      <c r="A135" s="21">
        <f t="shared" si="2"/>
        <v>1</v>
      </c>
      <c r="B135" s="2">
        <v>46064</v>
      </c>
      <c r="C135" s="2" t="s">
        <v>54</v>
      </c>
      <c r="D135" s="44" t="s">
        <v>66</v>
      </c>
      <c r="E135" s="22" t="str">
        <f>IF(D135&lt;&gt;"",IFERROR(INDEX(Produtos!$C$4:$C$4996,MATCH(D135,Produtos!$B$4:$B$4996,0)),"Produto não encontrado"),"")</f>
        <v>CHAPA ARMICO</v>
      </c>
      <c r="F135" s="3">
        <v>60</v>
      </c>
      <c r="G135" s="1" t="s">
        <v>169</v>
      </c>
    </row>
    <row r="136" spans="1:7" x14ac:dyDescent="0.3">
      <c r="A136" s="21">
        <f t="shared" si="2"/>
        <v>1</v>
      </c>
      <c r="B136" s="2">
        <v>46027</v>
      </c>
      <c r="C136" s="2" t="s">
        <v>54</v>
      </c>
      <c r="D136" s="44" t="s">
        <v>57</v>
      </c>
      <c r="E136" s="22" t="str">
        <f>IF(D136&lt;&gt;"",IFERROR(INDEX(Produtos!$C$4:$C$4996,MATCH(D136,Produtos!$B$4:$B$4996,0)),"Produto não encontrado"),"")</f>
        <v>TUBO PEAD ESGOTO D 355</v>
      </c>
      <c r="F136" s="3">
        <v>13</v>
      </c>
      <c r="G136" s="1" t="s">
        <v>176</v>
      </c>
    </row>
    <row r="137" spans="1:7" x14ac:dyDescent="0.3">
      <c r="A137" s="21">
        <f t="shared" si="2"/>
        <v>1</v>
      </c>
      <c r="B137" s="2">
        <v>46064</v>
      </c>
      <c r="C137" s="2" t="s">
        <v>54</v>
      </c>
      <c r="D137" s="44" t="s">
        <v>69</v>
      </c>
      <c r="E137" s="22" t="str">
        <f>IF(D137&lt;&gt;"",IFERROR(INDEX(Produtos!$C$4:$C$4996,MATCH(D137,Produtos!$B$4:$B$4996,0)),"Produto não encontrado"),"")</f>
        <v>GUIA</v>
      </c>
      <c r="F137" s="3">
        <v>3</v>
      </c>
      <c r="G137" s="1" t="s">
        <v>180</v>
      </c>
    </row>
    <row r="138" spans="1:7" x14ac:dyDescent="0.3">
      <c r="A138" s="21">
        <f t="shared" si="2"/>
        <v>2</v>
      </c>
      <c r="B138" s="2">
        <v>46064</v>
      </c>
      <c r="C138" s="2" t="s">
        <v>28</v>
      </c>
      <c r="D138" s="44" t="s">
        <v>55</v>
      </c>
      <c r="E138" s="22" t="str">
        <f>IF(D138&lt;&gt;"",IFERROR(INDEX(Produtos!$C$4:$C$4996,MATCH(D138,Produtos!$B$4:$B$4996,0)),"Produto não encontrado"),"")</f>
        <v>LAJE INFERIOR DE 600</v>
      </c>
      <c r="F138" s="3">
        <v>53</v>
      </c>
      <c r="G138" s="1" t="s">
        <v>185</v>
      </c>
    </row>
    <row r="139" spans="1:7" x14ac:dyDescent="0.3">
      <c r="A139" s="21">
        <f t="shared" si="2"/>
        <v>1</v>
      </c>
      <c r="B139" s="2">
        <v>46064</v>
      </c>
      <c r="C139" s="2" t="s">
        <v>54</v>
      </c>
      <c r="D139" s="44" t="s">
        <v>57</v>
      </c>
      <c r="E139" s="22" t="str">
        <f>IF(D139&lt;&gt;"",IFERROR(INDEX(Produtos!$C$4:$C$4996,MATCH(D139,Produtos!$B$4:$B$4996,0)),"Produto não encontrado"),"")</f>
        <v>TUBO PEAD ESGOTO D 355</v>
      </c>
      <c r="F139" s="3">
        <v>11</v>
      </c>
      <c r="G139" s="1" t="s">
        <v>170</v>
      </c>
    </row>
    <row r="140" spans="1:7" x14ac:dyDescent="0.3">
      <c r="A140" s="21">
        <f t="shared" si="2"/>
        <v>1</v>
      </c>
      <c r="B140" s="2">
        <v>46064</v>
      </c>
      <c r="C140" s="2" t="s">
        <v>54</v>
      </c>
      <c r="D140" s="44" t="s">
        <v>23</v>
      </c>
      <c r="E140" s="22" t="str">
        <f>IF(D140&lt;&gt;"",IFERROR(INDEX(Produtos!$C$4:$C$4996,MATCH(D140,Produtos!$B$4:$B$4996,0)),"Produto não encontrado"),"")</f>
        <v>LAJE INFERIOR DE 1000</v>
      </c>
      <c r="F140" s="3">
        <v>1</v>
      </c>
      <c r="G140" s="1" t="s">
        <v>171</v>
      </c>
    </row>
    <row r="141" spans="1:7" x14ac:dyDescent="0.3">
      <c r="A141" s="21">
        <f t="shared" si="2"/>
        <v>1</v>
      </c>
      <c r="B141" s="2">
        <v>46064</v>
      </c>
      <c r="C141" s="2" t="s">
        <v>54</v>
      </c>
      <c r="D141" s="44" t="s">
        <v>56</v>
      </c>
      <c r="E141" s="22" t="str">
        <f>IF(D141&lt;&gt;"",IFERROR(INDEX(Produtos!$C$4:$C$4996,MATCH(D141,Produtos!$B$4:$B$4996,0)),"Produto não encontrado"),"")</f>
        <v>LAJE SURPERIOR DE 1000</v>
      </c>
      <c r="F141" s="3">
        <v>1</v>
      </c>
      <c r="G141" s="1" t="s">
        <v>171</v>
      </c>
    </row>
    <row r="142" spans="1:7" x14ac:dyDescent="0.3">
      <c r="A142" s="21">
        <f t="shared" si="2"/>
        <v>1</v>
      </c>
      <c r="B142" s="2">
        <v>46064</v>
      </c>
      <c r="C142" s="2" t="s">
        <v>54</v>
      </c>
      <c r="D142" s="44" t="s">
        <v>21</v>
      </c>
      <c r="E142" s="22" t="str">
        <f>IF(D142&lt;&gt;"",IFERROR(INDEX(Produtos!$C$4:$C$4996,MATCH(D142,Produtos!$B$4:$B$4996,0)),"Produto não encontrado"),"")</f>
        <v>ADUELA DE 1000</v>
      </c>
      <c r="F142" s="3">
        <v>1</v>
      </c>
      <c r="G142" s="1" t="s">
        <v>171</v>
      </c>
    </row>
    <row r="143" spans="1:7" x14ac:dyDescent="0.3">
      <c r="A143" s="21">
        <f t="shared" si="2"/>
        <v>1</v>
      </c>
      <c r="B143" s="2">
        <v>46064</v>
      </c>
      <c r="C143" s="2" t="s">
        <v>54</v>
      </c>
      <c r="D143" s="44" t="s">
        <v>21</v>
      </c>
      <c r="E143" s="22" t="str">
        <f>IF(D143&lt;&gt;"",IFERROR(INDEX(Produtos!$C$4:$C$4996,MATCH(D143,Produtos!$B$4:$B$4996,0)),"Produto não encontrado"),"")</f>
        <v>ADUELA DE 1000</v>
      </c>
      <c r="F143" s="3">
        <v>2</v>
      </c>
      <c r="G143" s="1" t="s">
        <v>164</v>
      </c>
    </row>
    <row r="144" spans="1:7" x14ac:dyDescent="0.3">
      <c r="A144" s="21">
        <f t="shared" si="2"/>
        <v>1</v>
      </c>
      <c r="B144" s="2">
        <v>46065</v>
      </c>
      <c r="C144" s="2" t="s">
        <v>54</v>
      </c>
      <c r="D144" s="44" t="s">
        <v>66</v>
      </c>
      <c r="E144" s="22" t="str">
        <f>IF(D144&lt;&gt;"",IFERROR(INDEX(Produtos!$C$4:$C$4996,MATCH(D144,Produtos!$B$4:$B$4996,0)),"Produto não encontrado"),"")</f>
        <v>CHAPA ARMICO</v>
      </c>
      <c r="F144" s="3">
        <v>60</v>
      </c>
      <c r="G144" s="1" t="s">
        <v>170</v>
      </c>
    </row>
    <row r="145" spans="1:7" x14ac:dyDescent="0.3">
      <c r="A145" s="21">
        <f t="shared" si="2"/>
        <v>1</v>
      </c>
      <c r="B145" s="2">
        <v>46065</v>
      </c>
      <c r="C145" s="2" t="s">
        <v>54</v>
      </c>
      <c r="D145" s="44" t="s">
        <v>69</v>
      </c>
      <c r="E145" s="22" t="str">
        <f>IF(D145&lt;&gt;"",IFERROR(INDEX(Produtos!$C$4:$C$4996,MATCH(D145,Produtos!$B$4:$B$4996,0)),"Produto não encontrado"),"")</f>
        <v>GUIA</v>
      </c>
      <c r="F145" s="3">
        <v>12</v>
      </c>
      <c r="G145" s="1" t="s">
        <v>186</v>
      </c>
    </row>
    <row r="146" spans="1:7" x14ac:dyDescent="0.3">
      <c r="A146" s="21">
        <f t="shared" si="2"/>
        <v>1</v>
      </c>
      <c r="B146" s="2">
        <v>46065</v>
      </c>
      <c r="C146" s="2" t="s">
        <v>54</v>
      </c>
      <c r="D146" s="44" t="s">
        <v>67</v>
      </c>
      <c r="E146" s="22" t="str">
        <f>IF(D146&lt;&gt;"",IFERROR(INDEX(Produtos!$C$4:$C$4996,MATCH(D146,Produtos!$B$4:$B$4996,0)),"Produto não encontrado"),"")</f>
        <v>BLOCO DE PV</v>
      </c>
      <c r="F146" s="3">
        <v>20</v>
      </c>
      <c r="G146" s="1" t="s">
        <v>161</v>
      </c>
    </row>
    <row r="147" spans="1:7" x14ac:dyDescent="0.3">
      <c r="A147" s="21">
        <f t="shared" si="2"/>
        <v>1</v>
      </c>
      <c r="B147" s="2">
        <v>46065</v>
      </c>
      <c r="C147" s="2" t="s">
        <v>54</v>
      </c>
      <c r="D147" s="44" t="s">
        <v>23</v>
      </c>
      <c r="E147" s="22" t="str">
        <f>IF(D147&lt;&gt;"",IFERROR(INDEX(Produtos!$C$4:$C$4996,MATCH(D147,Produtos!$B$4:$B$4996,0)),"Produto não encontrado"),"")</f>
        <v>LAJE INFERIOR DE 1000</v>
      </c>
      <c r="F147" s="3">
        <v>1</v>
      </c>
      <c r="G147" s="1" t="s">
        <v>161</v>
      </c>
    </row>
    <row r="148" spans="1:7" x14ac:dyDescent="0.3">
      <c r="A148" s="21">
        <f t="shared" si="2"/>
        <v>1</v>
      </c>
      <c r="B148" s="2">
        <v>46065</v>
      </c>
      <c r="C148" s="2" t="s">
        <v>54</v>
      </c>
      <c r="D148" s="44" t="s">
        <v>62</v>
      </c>
      <c r="E148" s="22" t="str">
        <f>IF(D148&lt;&gt;"",IFERROR(INDEX(Produtos!$C$4:$C$4996,MATCH(D148,Produtos!$B$4:$B$4996,0)),"Produto não encontrado"),"")</f>
        <v>TUBO ESGOTO PVC DN 300</v>
      </c>
      <c r="F148" s="3">
        <v>1</v>
      </c>
      <c r="G148" s="1" t="s">
        <v>161</v>
      </c>
    </row>
    <row r="149" spans="1:7" x14ac:dyDescent="0.3">
      <c r="A149" s="21">
        <f t="shared" si="2"/>
        <v>1</v>
      </c>
      <c r="B149" s="2">
        <v>46065</v>
      </c>
      <c r="C149" s="2" t="s">
        <v>54</v>
      </c>
      <c r="D149" s="44" t="s">
        <v>63</v>
      </c>
      <c r="E149" s="22" t="str">
        <f>IF(D149&lt;&gt;"",IFERROR(INDEX(Produtos!$C$4:$C$4996,MATCH(D149,Produtos!$B$4:$B$4996,0)),"Produto não encontrado"),"")</f>
        <v>TUBO ESGOTO PVC DN 200</v>
      </c>
      <c r="F149" s="3">
        <v>2</v>
      </c>
      <c r="G149" s="1" t="s">
        <v>166</v>
      </c>
    </row>
    <row r="150" spans="1:7" x14ac:dyDescent="0.3">
      <c r="A150" s="21">
        <f t="shared" si="2"/>
        <v>1</v>
      </c>
      <c r="B150" s="2">
        <v>46065</v>
      </c>
      <c r="C150" s="2" t="s">
        <v>54</v>
      </c>
      <c r="D150" s="44" t="s">
        <v>65</v>
      </c>
      <c r="E150" s="22" t="str">
        <f>IF(D150&lt;&gt;"",IFERROR(INDEX(Produtos!$C$4:$C$4996,MATCH(D150,Produtos!$B$4:$B$4996,0)),"Produto não encontrado"),"")</f>
        <v>TUBO ESGOTO PVC DN 100</v>
      </c>
      <c r="F150" s="3">
        <v>1</v>
      </c>
      <c r="G150" s="1" t="s">
        <v>166</v>
      </c>
    </row>
    <row r="151" spans="1:7" x14ac:dyDescent="0.3">
      <c r="A151" s="21">
        <f t="shared" si="2"/>
        <v>1</v>
      </c>
      <c r="B151" s="2">
        <v>46065</v>
      </c>
      <c r="C151" s="2" t="s">
        <v>54</v>
      </c>
      <c r="D151" s="44" t="s">
        <v>21</v>
      </c>
      <c r="E151" s="22" t="str">
        <f>IF(D151&lt;&gt;"",IFERROR(INDEX(Produtos!$C$4:$C$4996,MATCH(D151,Produtos!$B$4:$B$4996,0)),"Produto não encontrado"),"")</f>
        <v>ADUELA DE 1000</v>
      </c>
      <c r="F151" s="3">
        <v>2</v>
      </c>
      <c r="G151" s="1" t="s">
        <v>178</v>
      </c>
    </row>
    <row r="152" spans="1:7" x14ac:dyDescent="0.3">
      <c r="A152" s="21">
        <f t="shared" si="2"/>
        <v>1</v>
      </c>
      <c r="B152" s="2">
        <v>46065</v>
      </c>
      <c r="C152" s="2" t="s">
        <v>54</v>
      </c>
      <c r="D152" s="44" t="s">
        <v>22</v>
      </c>
      <c r="E152" s="22" t="str">
        <f>IF(D152&lt;&gt;"",IFERROR(INDEX(Produtos!$C$4:$C$4996,MATCH(D152,Produtos!$B$4:$B$4996,0)),"Produto não encontrado"),"")</f>
        <v>ADUELA DE 600</v>
      </c>
      <c r="F152" s="3">
        <v>2</v>
      </c>
      <c r="G152" s="1" t="s">
        <v>178</v>
      </c>
    </row>
    <row r="153" spans="1:7" x14ac:dyDescent="0.3">
      <c r="A153" s="21">
        <f t="shared" si="2"/>
        <v>1</v>
      </c>
      <c r="B153" s="2">
        <v>46065</v>
      </c>
      <c r="C153" s="2" t="s">
        <v>54</v>
      </c>
      <c r="D153" s="44" t="s">
        <v>23</v>
      </c>
      <c r="E153" s="22" t="str">
        <f>IF(D153&lt;&gt;"",IFERROR(INDEX(Produtos!$C$4:$C$4996,MATCH(D153,Produtos!$B$4:$B$4996,0)),"Produto não encontrado"),"")</f>
        <v>LAJE INFERIOR DE 1000</v>
      </c>
      <c r="F153" s="3">
        <v>1</v>
      </c>
      <c r="G153" s="1" t="s">
        <v>178</v>
      </c>
    </row>
    <row r="154" spans="1:7" x14ac:dyDescent="0.3">
      <c r="A154" s="21">
        <f t="shared" si="2"/>
        <v>1</v>
      </c>
      <c r="B154" s="2">
        <v>46065</v>
      </c>
      <c r="C154" s="2" t="s">
        <v>54</v>
      </c>
      <c r="D154" s="44" t="s">
        <v>56</v>
      </c>
      <c r="E154" s="22" t="str">
        <f>IF(D154&lt;&gt;"",IFERROR(INDEX(Produtos!$C$4:$C$4996,MATCH(D154,Produtos!$B$4:$B$4996,0)),"Produto não encontrado"),"")</f>
        <v>LAJE SURPERIOR DE 1000</v>
      </c>
      <c r="F154" s="3">
        <v>1</v>
      </c>
      <c r="G154" s="1" t="s">
        <v>178</v>
      </c>
    </row>
    <row r="155" spans="1:7" x14ac:dyDescent="0.3">
      <c r="A155" s="21">
        <f t="shared" si="2"/>
        <v>1</v>
      </c>
      <c r="B155" s="2">
        <v>46067</v>
      </c>
      <c r="C155" s="2" t="s">
        <v>54</v>
      </c>
      <c r="D155" s="44" t="s">
        <v>60</v>
      </c>
      <c r="E155" s="22" t="str">
        <f>IF(D155&lt;&gt;"",IFERROR(INDEX(Produtos!$C$4:$C$4996,MATCH(D155,Produtos!$B$4:$B$4996,0)),"Produto não encontrado"),"")</f>
        <v>TUBO PEAD ESGOTO D 450</v>
      </c>
      <c r="F155" s="3">
        <v>11</v>
      </c>
      <c r="G155" s="1" t="s">
        <v>160</v>
      </c>
    </row>
    <row r="156" spans="1:7" x14ac:dyDescent="0.3">
      <c r="A156" s="21">
        <f t="shared" si="2"/>
        <v>1</v>
      </c>
      <c r="B156" s="2">
        <v>46067</v>
      </c>
      <c r="C156" s="2" t="s">
        <v>54</v>
      </c>
      <c r="D156" s="44" t="s">
        <v>63</v>
      </c>
      <c r="E156" s="22" t="str">
        <f>IF(D156&lt;&gt;"",IFERROR(INDEX(Produtos!$C$4:$C$4996,MATCH(D156,Produtos!$B$4:$B$4996,0)),"Produto não encontrado"),"")</f>
        <v>TUBO ESGOTO PVC DN 200</v>
      </c>
      <c r="F156" s="3">
        <v>3</v>
      </c>
      <c r="G156" s="1" t="s">
        <v>166</v>
      </c>
    </row>
    <row r="157" spans="1:7" x14ac:dyDescent="0.3">
      <c r="A157" s="21">
        <f t="shared" si="2"/>
        <v>1</v>
      </c>
      <c r="B157" s="2">
        <v>46067</v>
      </c>
      <c r="C157" s="2" t="s">
        <v>54</v>
      </c>
      <c r="D157" s="44" t="s">
        <v>65</v>
      </c>
      <c r="E157" s="22" t="str">
        <f>IF(D157&lt;&gt;"",IFERROR(INDEX(Produtos!$C$4:$C$4996,MATCH(D157,Produtos!$B$4:$B$4996,0)),"Produto não encontrado"),"")</f>
        <v>TUBO ESGOTO PVC DN 100</v>
      </c>
      <c r="F157" s="3">
        <v>1</v>
      </c>
      <c r="G157" s="1" t="s">
        <v>166</v>
      </c>
    </row>
    <row r="158" spans="1:7" x14ac:dyDescent="0.3">
      <c r="A158" s="21">
        <f t="shared" si="2"/>
        <v>1</v>
      </c>
      <c r="B158" s="2">
        <v>46067</v>
      </c>
      <c r="C158" s="2" t="s">
        <v>54</v>
      </c>
      <c r="D158" s="44" t="s">
        <v>69</v>
      </c>
      <c r="E158" s="22" t="str">
        <f>IF(D158&lt;&gt;"",IFERROR(INDEX(Produtos!$C$4:$C$4996,MATCH(D158,Produtos!$B$4:$B$4996,0)),"Produto não encontrado"),"")</f>
        <v>GUIA</v>
      </c>
      <c r="F158" s="3">
        <v>1</v>
      </c>
      <c r="G158" s="1" t="s">
        <v>163</v>
      </c>
    </row>
    <row r="159" spans="1:7" x14ac:dyDescent="0.3">
      <c r="A159" s="21">
        <f t="shared" si="2"/>
        <v>1</v>
      </c>
      <c r="B159" s="2">
        <v>46067</v>
      </c>
      <c r="C159" s="2" t="s">
        <v>54</v>
      </c>
      <c r="D159" s="44" t="s">
        <v>67</v>
      </c>
      <c r="E159" s="22" t="str">
        <f>IF(D159&lt;&gt;"",IFERROR(INDEX(Produtos!$C$4:$C$4996,MATCH(D159,Produtos!$B$4:$B$4996,0)),"Produto não encontrado"),"")</f>
        <v>BLOCO DE PV</v>
      </c>
      <c r="F159" s="3">
        <v>7</v>
      </c>
      <c r="G159" s="1" t="s">
        <v>166</v>
      </c>
    </row>
    <row r="160" spans="1:7" x14ac:dyDescent="0.3">
      <c r="A160" s="21">
        <f t="shared" si="2"/>
        <v>1</v>
      </c>
      <c r="B160" s="2">
        <v>46067</v>
      </c>
      <c r="C160" s="2" t="s">
        <v>54</v>
      </c>
      <c r="D160" s="44" t="s">
        <v>56</v>
      </c>
      <c r="E160" s="22" t="str">
        <f>IF(D160&lt;&gt;"",IFERROR(INDEX(Produtos!$C$4:$C$4996,MATCH(D160,Produtos!$B$4:$B$4996,0)),"Produto não encontrado"),"")</f>
        <v>LAJE SURPERIOR DE 1000</v>
      </c>
      <c r="F160" s="3">
        <v>1</v>
      </c>
      <c r="G160" s="1" t="s">
        <v>171</v>
      </c>
    </row>
    <row r="161" spans="1:8" x14ac:dyDescent="0.3">
      <c r="A161" s="21">
        <f t="shared" si="2"/>
        <v>1</v>
      </c>
      <c r="B161" s="2">
        <v>46067</v>
      </c>
      <c r="C161" s="2" t="s">
        <v>54</v>
      </c>
      <c r="D161" s="44" t="s">
        <v>23</v>
      </c>
      <c r="E161" s="22" t="str">
        <f>IF(D161&lt;&gt;"",IFERROR(INDEX(Produtos!$C$4:$C$4996,MATCH(D161,Produtos!$B$4:$B$4996,0)),"Produto não encontrado"),"")</f>
        <v>LAJE INFERIOR DE 1000</v>
      </c>
      <c r="F161" s="3">
        <v>1</v>
      </c>
      <c r="G161" s="1" t="s">
        <v>171</v>
      </c>
    </row>
    <row r="162" spans="1:8" x14ac:dyDescent="0.3">
      <c r="A162" s="21">
        <f>IF(C162="Entrada",2,IF(C162="Saída",1,"."))</f>
        <v>1</v>
      </c>
      <c r="B162" s="2">
        <v>46067</v>
      </c>
      <c r="C162" s="2" t="s">
        <v>54</v>
      </c>
      <c r="D162" s="44" t="s">
        <v>21</v>
      </c>
      <c r="E162" s="22" t="str">
        <f>IF(D162&lt;&gt;"",IFERROR(INDEX(Produtos!$C$4:$C$4996,MATCH(D162,Produtos!$B$4:$B$4996,0)),"Produto não encontrado"),"")</f>
        <v>ADUELA DE 1000</v>
      </c>
      <c r="F162" s="3">
        <v>1</v>
      </c>
      <c r="G162" s="1" t="s">
        <v>171</v>
      </c>
    </row>
    <row r="163" spans="1:8" x14ac:dyDescent="0.3">
      <c r="A163" s="21">
        <f t="shared" si="2"/>
        <v>1</v>
      </c>
      <c r="B163" s="2">
        <v>46067</v>
      </c>
      <c r="C163" s="2" t="s">
        <v>54</v>
      </c>
      <c r="D163" s="44" t="s">
        <v>22</v>
      </c>
      <c r="E163" s="22" t="str">
        <f>IF(D163&lt;&gt;"",IFERROR(INDEX(Produtos!$C$4:$C$4996,MATCH(D163,Produtos!$B$4:$B$4996,0)),"Produto não encontrado"),"")</f>
        <v>ADUELA DE 600</v>
      </c>
      <c r="F163" s="3">
        <v>1</v>
      </c>
      <c r="G163" s="1" t="s">
        <v>176</v>
      </c>
    </row>
    <row r="164" spans="1:8" x14ac:dyDescent="0.3">
      <c r="A164" s="21">
        <f t="shared" si="2"/>
        <v>1</v>
      </c>
      <c r="B164" s="2">
        <v>46067</v>
      </c>
      <c r="C164" s="2" t="s">
        <v>54</v>
      </c>
      <c r="D164" s="44" t="s">
        <v>63</v>
      </c>
      <c r="E164" s="22" t="str">
        <f>IF(D164&lt;&gt;"",IFERROR(INDEX(Produtos!$C$4:$C$4996,MATCH(D164,Produtos!$B$4:$B$4996,0)),"Produto não encontrado"),"")</f>
        <v>TUBO ESGOTO PVC DN 200</v>
      </c>
      <c r="F164" s="3">
        <v>1</v>
      </c>
      <c r="G164" s="1" t="s">
        <v>176</v>
      </c>
    </row>
    <row r="165" spans="1:8" x14ac:dyDescent="0.3">
      <c r="A165" s="21">
        <f t="shared" si="2"/>
        <v>1</v>
      </c>
      <c r="B165" s="2">
        <v>46067</v>
      </c>
      <c r="C165" s="2" t="s">
        <v>54</v>
      </c>
      <c r="D165" s="44" t="s">
        <v>56</v>
      </c>
      <c r="E165" s="22" t="str">
        <f>IF(D165&lt;&gt;"",IFERROR(INDEX(Produtos!$C$4:$C$4996,MATCH(D165,Produtos!$B$4:$B$4996,0)),"Produto não encontrado"),"")</f>
        <v>LAJE SURPERIOR DE 1000</v>
      </c>
      <c r="F165" s="3">
        <v>1</v>
      </c>
      <c r="G165" s="1" t="s">
        <v>163</v>
      </c>
    </row>
    <row r="166" spans="1:8" x14ac:dyDescent="0.3">
      <c r="A166" s="21">
        <f t="shared" si="2"/>
        <v>1</v>
      </c>
      <c r="B166" s="2">
        <v>46067</v>
      </c>
      <c r="C166" s="2" t="s">
        <v>54</v>
      </c>
      <c r="D166" s="44" t="s">
        <v>23</v>
      </c>
      <c r="E166" s="22" t="str">
        <f>IF(D166&lt;&gt;"",IFERROR(INDEX(Produtos!$C$4:$C$4996,MATCH(D166,Produtos!$B$4:$B$4996,0)),"Produto não encontrado"),"")</f>
        <v>LAJE INFERIOR DE 1000</v>
      </c>
      <c r="F166" s="3">
        <v>1</v>
      </c>
      <c r="G166" s="1" t="s">
        <v>163</v>
      </c>
    </row>
    <row r="167" spans="1:8" x14ac:dyDescent="0.3">
      <c r="A167" s="21">
        <f t="shared" si="2"/>
        <v>1</v>
      </c>
      <c r="B167" s="2">
        <v>46067</v>
      </c>
      <c r="C167" s="2" t="s">
        <v>54</v>
      </c>
      <c r="D167" s="44" t="s">
        <v>21</v>
      </c>
      <c r="E167" s="22" t="str">
        <f>IF(D167&lt;&gt;"",IFERROR(INDEX(Produtos!$C$4:$C$4996,MATCH(D167,Produtos!$B$4:$B$4996,0)),"Produto não encontrado"),"")</f>
        <v>ADUELA DE 1000</v>
      </c>
      <c r="F167" s="3">
        <v>1</v>
      </c>
      <c r="G167" s="1" t="s">
        <v>163</v>
      </c>
    </row>
    <row r="168" spans="1:8" x14ac:dyDescent="0.3">
      <c r="A168" s="21">
        <f t="shared" si="2"/>
        <v>2</v>
      </c>
      <c r="B168" s="2">
        <v>46069</v>
      </c>
      <c r="C168" s="2" t="s">
        <v>28</v>
      </c>
      <c r="D168" s="44" t="s">
        <v>70</v>
      </c>
      <c r="E168" s="22" t="str">
        <f>IF(D168&lt;&gt;"",IFERROR(INDEX(Produtos!$C$4:$C$4996,MATCH(D168,Produtos!$B$4:$B$4996,0)),"Produto não encontrado"),"")</f>
        <v>TUBO ESGOTO PVC DN 400</v>
      </c>
      <c r="F168" s="3">
        <v>10</v>
      </c>
    </row>
    <row r="169" spans="1:8" x14ac:dyDescent="0.3">
      <c r="A169" s="21">
        <f t="shared" si="2"/>
        <v>1</v>
      </c>
      <c r="B169" s="2">
        <v>46065</v>
      </c>
      <c r="C169" s="2" t="s">
        <v>54</v>
      </c>
      <c r="D169" s="44" t="s">
        <v>21</v>
      </c>
      <c r="E169" s="22" t="str">
        <f>IF(D169&lt;&gt;"",IFERROR(INDEX(Produtos!$C$4:$C$4996,MATCH(D169,Produtos!$B$4:$B$4996,0)),"Produto não encontrado"),"")</f>
        <v>ADUELA DE 1000</v>
      </c>
      <c r="F169" s="3">
        <v>1</v>
      </c>
      <c r="G169" s="1" t="s">
        <v>178</v>
      </c>
    </row>
    <row r="170" spans="1:8" x14ac:dyDescent="0.3">
      <c r="A170" s="21">
        <f t="shared" si="2"/>
        <v>1</v>
      </c>
      <c r="B170" s="2">
        <v>46065</v>
      </c>
      <c r="C170" s="2" t="s">
        <v>54</v>
      </c>
      <c r="D170" s="44" t="s">
        <v>62</v>
      </c>
      <c r="E170" s="22" t="str">
        <f>IF(D170&lt;&gt;"",IFERROR(INDEX(Produtos!$C$4:$C$4996,MATCH(D170,Produtos!$B$4:$B$4996,0)),"Produto não encontrado"),"")</f>
        <v>TUBO ESGOTO PVC DN 300</v>
      </c>
      <c r="F170" s="3">
        <v>1</v>
      </c>
      <c r="G170" s="1" t="s">
        <v>162</v>
      </c>
    </row>
    <row r="171" spans="1:8" x14ac:dyDescent="0.3">
      <c r="A171" s="21">
        <f t="shared" si="2"/>
        <v>1</v>
      </c>
      <c r="B171" s="2">
        <v>46065</v>
      </c>
      <c r="C171" s="2" t="s">
        <v>54</v>
      </c>
      <c r="D171" s="44" t="s">
        <v>63</v>
      </c>
      <c r="E171" s="22" t="str">
        <f>IF(D171&lt;&gt;"",IFERROR(INDEX(Produtos!$C$4:$C$4996,MATCH(D171,Produtos!$B$4:$B$4996,0)),"Produto não encontrado"),"")</f>
        <v>TUBO ESGOTO PVC DN 200</v>
      </c>
      <c r="F171" s="3">
        <v>20</v>
      </c>
      <c r="G171" s="1" t="s">
        <v>160</v>
      </c>
      <c r="H171" s="1" t="s">
        <v>189</v>
      </c>
    </row>
    <row r="172" spans="1:8" x14ac:dyDescent="0.3">
      <c r="A172" s="21">
        <f t="shared" si="2"/>
        <v>1</v>
      </c>
      <c r="B172" s="2">
        <v>46066</v>
      </c>
      <c r="C172" s="2" t="s">
        <v>54</v>
      </c>
      <c r="D172" s="44" t="s">
        <v>21</v>
      </c>
      <c r="E172" s="22" t="str">
        <f>IF(D172&lt;&gt;"",IFERROR(INDEX(Produtos!$C$4:$C$4996,MATCH(D172,Produtos!$B$4:$B$4996,0)),"Produto não encontrado"),"")</f>
        <v>ADUELA DE 1000</v>
      </c>
      <c r="F172" s="3">
        <v>4</v>
      </c>
      <c r="G172" s="1" t="s">
        <v>160</v>
      </c>
    </row>
    <row r="173" spans="1:8" x14ac:dyDescent="0.3">
      <c r="A173" s="21">
        <f t="shared" si="2"/>
        <v>1</v>
      </c>
      <c r="B173" s="2">
        <v>46066</v>
      </c>
      <c r="C173" s="2" t="s">
        <v>54</v>
      </c>
      <c r="D173" s="44" t="s">
        <v>23</v>
      </c>
      <c r="E173" s="22" t="str">
        <f>IF(D173&lt;&gt;"",IFERROR(INDEX(Produtos!$C$4:$C$4996,MATCH(D173,Produtos!$B$4:$B$4996,0)),"Produto não encontrado"),"")</f>
        <v>LAJE INFERIOR DE 1000</v>
      </c>
      <c r="F173" s="3">
        <v>1</v>
      </c>
      <c r="G173" s="1" t="s">
        <v>160</v>
      </c>
    </row>
    <row r="174" spans="1:8" x14ac:dyDescent="0.3">
      <c r="A174" s="21">
        <f t="shared" si="2"/>
        <v>1</v>
      </c>
      <c r="B174" s="2">
        <v>46066</v>
      </c>
      <c r="C174" s="2" t="s">
        <v>54</v>
      </c>
      <c r="D174" s="44" t="s">
        <v>56</v>
      </c>
      <c r="E174" s="22" t="str">
        <f>IF(D174&lt;&gt;"",IFERROR(INDEX(Produtos!$C$4:$C$4996,MATCH(D174,Produtos!$B$4:$B$4996,0)),"Produto não encontrado"),"")</f>
        <v>LAJE SURPERIOR DE 1000</v>
      </c>
      <c r="F174" s="3">
        <v>1</v>
      </c>
      <c r="G174" s="1" t="s">
        <v>160</v>
      </c>
    </row>
    <row r="175" spans="1:8" x14ac:dyDescent="0.3">
      <c r="A175" s="21">
        <f t="shared" si="2"/>
        <v>1</v>
      </c>
      <c r="B175" s="2">
        <v>46066</v>
      </c>
      <c r="C175" s="2" t="s">
        <v>54</v>
      </c>
      <c r="D175" s="44" t="s">
        <v>70</v>
      </c>
      <c r="E175" s="22" t="str">
        <f>IF(D175&lt;&gt;"",IFERROR(INDEX(Produtos!$C$4:$C$4996,MATCH(D175,Produtos!$B$4:$B$4996,0)),"Produto não encontrado"),"")</f>
        <v>TUBO ESGOTO PVC DN 400</v>
      </c>
      <c r="F175" s="3">
        <v>1</v>
      </c>
      <c r="G175" s="1" t="s">
        <v>160</v>
      </c>
    </row>
    <row r="176" spans="1:8" x14ac:dyDescent="0.3">
      <c r="A176" s="21">
        <f t="shared" si="2"/>
        <v>1</v>
      </c>
      <c r="B176" s="2">
        <v>46066</v>
      </c>
      <c r="C176" s="2" t="s">
        <v>54</v>
      </c>
      <c r="D176" s="44" t="s">
        <v>60</v>
      </c>
      <c r="E176" s="22" t="str">
        <f>IF(D176&lt;&gt;"",IFERROR(INDEX(Produtos!$C$4:$C$4996,MATCH(D176,Produtos!$B$4:$B$4996,0)),"Produto não encontrado"),"")</f>
        <v>TUBO PEAD ESGOTO D 450</v>
      </c>
      <c r="F176" s="3">
        <v>8</v>
      </c>
      <c r="G176" s="1" t="s">
        <v>160</v>
      </c>
    </row>
    <row r="177" spans="1:7" x14ac:dyDescent="0.3">
      <c r="A177" s="21">
        <f t="shared" si="2"/>
        <v>1</v>
      </c>
      <c r="B177" s="2">
        <v>46066</v>
      </c>
      <c r="C177" s="2" t="s">
        <v>54</v>
      </c>
      <c r="D177" s="44" t="s">
        <v>57</v>
      </c>
      <c r="E177" s="22" t="str">
        <f>IF(D177&lt;&gt;"",IFERROR(INDEX(Produtos!$C$4:$C$4996,MATCH(D177,Produtos!$B$4:$B$4996,0)),"Produto não encontrado"),"")</f>
        <v>TUBO PEAD ESGOTO D 355</v>
      </c>
      <c r="F177" s="3">
        <v>4</v>
      </c>
      <c r="G177" s="1" t="s">
        <v>160</v>
      </c>
    </row>
    <row r="178" spans="1:7" x14ac:dyDescent="0.3">
      <c r="A178" s="21">
        <f t="shared" si="2"/>
        <v>1</v>
      </c>
      <c r="B178" s="2">
        <v>46066</v>
      </c>
      <c r="C178" s="2" t="s">
        <v>54</v>
      </c>
      <c r="D178" s="44" t="s">
        <v>66</v>
      </c>
      <c r="E178" s="22" t="str">
        <f>IF(D178&lt;&gt;"",IFERROR(INDEX(Produtos!$C$4:$C$4996,MATCH(D178,Produtos!$B$4:$B$4996,0)),"Produto não encontrado"),"")</f>
        <v>CHAPA ARMICO</v>
      </c>
      <c r="F178" s="3">
        <v>40</v>
      </c>
      <c r="G178" s="1" t="s">
        <v>173</v>
      </c>
    </row>
    <row r="179" spans="1:7" x14ac:dyDescent="0.3">
      <c r="A179" s="21">
        <f t="shared" si="2"/>
        <v>1</v>
      </c>
      <c r="B179" s="2">
        <v>46066</v>
      </c>
      <c r="C179" s="2" t="s">
        <v>54</v>
      </c>
      <c r="D179" s="44" t="s">
        <v>22</v>
      </c>
      <c r="E179" s="22" t="str">
        <f>IF(D179&lt;&gt;"",IFERROR(INDEX(Produtos!$C$4:$C$4996,MATCH(D179,Produtos!$B$4:$B$4996,0)),"Produto não encontrado"),"")</f>
        <v>ADUELA DE 600</v>
      </c>
      <c r="F179" s="3">
        <v>2</v>
      </c>
      <c r="G179" s="1" t="s">
        <v>162</v>
      </c>
    </row>
    <row r="180" spans="1:7" x14ac:dyDescent="0.3">
      <c r="A180" s="21">
        <f t="shared" si="2"/>
        <v>1</v>
      </c>
      <c r="B180" s="2">
        <v>46066</v>
      </c>
      <c r="C180" s="2" t="s">
        <v>54</v>
      </c>
      <c r="D180" s="44" t="s">
        <v>55</v>
      </c>
      <c r="E180" s="22" t="str">
        <f>IF(D180&lt;&gt;"",IFERROR(INDEX(Produtos!$C$4:$C$4996,MATCH(D180,Produtos!$B$4:$B$4996,0)),"Produto não encontrado"),"")</f>
        <v>LAJE INFERIOR DE 600</v>
      </c>
      <c r="F180" s="3">
        <v>1</v>
      </c>
      <c r="G180" s="1" t="s">
        <v>162</v>
      </c>
    </row>
    <row r="181" spans="1:7" x14ac:dyDescent="0.3">
      <c r="A181" s="21">
        <f t="shared" si="2"/>
        <v>1</v>
      </c>
      <c r="B181" s="2">
        <v>46066</v>
      </c>
      <c r="C181" s="2" t="s">
        <v>54</v>
      </c>
      <c r="D181" s="44" t="s">
        <v>57</v>
      </c>
      <c r="E181" s="22" t="str">
        <f>IF(D181&lt;&gt;"",IFERROR(INDEX(Produtos!$C$4:$C$4996,MATCH(D181,Produtos!$B$4:$B$4996,0)),"Produto não encontrado"),"")</f>
        <v>TUBO PEAD ESGOTO D 355</v>
      </c>
      <c r="F181" s="3">
        <v>12</v>
      </c>
      <c r="G181" s="1" t="s">
        <v>170</v>
      </c>
    </row>
    <row r="182" spans="1:7" x14ac:dyDescent="0.3">
      <c r="A182" s="21">
        <f t="shared" si="2"/>
        <v>2</v>
      </c>
      <c r="B182" s="2">
        <v>46069</v>
      </c>
      <c r="C182" s="2" t="s">
        <v>28</v>
      </c>
      <c r="D182" s="44" t="s">
        <v>71</v>
      </c>
      <c r="E182" s="22" t="str">
        <f>IF(D182&lt;&gt;"",IFERROR(INDEX(Produtos!$C$4:$C$4996,MATCH(D182,Produtos!$B$4:$B$4996,0)),"Produto não encontrado"),"")</f>
        <v>LAJE PRE MONTADA / TAMPÃO DN 600</v>
      </c>
      <c r="F182" s="3">
        <v>6</v>
      </c>
    </row>
    <row r="183" spans="1:7" x14ac:dyDescent="0.3">
      <c r="A183" s="21">
        <f t="shared" si="2"/>
        <v>1</v>
      </c>
      <c r="B183" s="2">
        <v>46066</v>
      </c>
      <c r="C183" s="2" t="s">
        <v>54</v>
      </c>
      <c r="D183" s="44" t="s">
        <v>71</v>
      </c>
      <c r="E183" s="22" t="str">
        <f>IF(D183&lt;&gt;"",IFERROR(INDEX(Produtos!$C$4:$C$4996,MATCH(D183,Produtos!$B$4:$B$4996,0)),"Produto não encontrado"),"")</f>
        <v>LAJE PRE MONTADA / TAMPÃO DN 600</v>
      </c>
      <c r="F183" s="3">
        <v>1</v>
      </c>
      <c r="G183" s="1" t="s">
        <v>161</v>
      </c>
    </row>
    <row r="184" spans="1:7" x14ac:dyDescent="0.3">
      <c r="A184" s="21">
        <f t="shared" si="2"/>
        <v>1</v>
      </c>
      <c r="B184" s="2">
        <v>46066</v>
      </c>
      <c r="C184" s="2" t="s">
        <v>54</v>
      </c>
      <c r="D184" s="44" t="s">
        <v>63</v>
      </c>
      <c r="E184" s="22" t="str">
        <f>IF(D184&lt;&gt;"",IFERROR(INDEX(Produtos!$C$4:$C$4996,MATCH(D184,Produtos!$B$4:$B$4996,0)),"Produto não encontrado"),"")</f>
        <v>TUBO ESGOTO PVC DN 200</v>
      </c>
      <c r="F184" s="3">
        <v>1</v>
      </c>
      <c r="G184" s="1" t="s">
        <v>162</v>
      </c>
    </row>
    <row r="185" spans="1:7" x14ac:dyDescent="0.3">
      <c r="A185" s="21">
        <f t="shared" si="2"/>
        <v>1</v>
      </c>
      <c r="B185" s="2">
        <v>46066</v>
      </c>
      <c r="C185" s="2" t="s">
        <v>54</v>
      </c>
      <c r="D185" s="44" t="s">
        <v>65</v>
      </c>
      <c r="E185" s="22" t="str">
        <f>IF(D185&lt;&gt;"",IFERROR(INDEX(Produtos!$C$4:$C$4996,MATCH(D185,Produtos!$B$4:$B$4996,0)),"Produto não encontrado"),"")</f>
        <v>TUBO ESGOTO PVC DN 100</v>
      </c>
      <c r="F185" s="3">
        <v>1</v>
      </c>
      <c r="G185" s="1" t="s">
        <v>162</v>
      </c>
    </row>
    <row r="186" spans="1:7" x14ac:dyDescent="0.3">
      <c r="A186" s="21">
        <f t="shared" si="2"/>
        <v>1</v>
      </c>
      <c r="B186" s="2">
        <v>46066</v>
      </c>
      <c r="C186" s="2" t="s">
        <v>54</v>
      </c>
      <c r="D186" s="44" t="s">
        <v>57</v>
      </c>
      <c r="E186" s="22" t="str">
        <f>IF(D186&lt;&gt;"",IFERROR(INDEX(Produtos!$C$4:$C$4996,MATCH(D186,Produtos!$B$4:$B$4996,0)),"Produto não encontrado"),"")</f>
        <v>TUBO PEAD ESGOTO D 355</v>
      </c>
      <c r="F186" s="3">
        <v>8</v>
      </c>
      <c r="G186" s="1" t="s">
        <v>160</v>
      </c>
    </row>
    <row r="187" spans="1:7" x14ac:dyDescent="0.3">
      <c r="A187" s="21">
        <f t="shared" si="2"/>
        <v>1</v>
      </c>
      <c r="B187" s="2">
        <v>46068</v>
      </c>
      <c r="C187" s="2" t="s">
        <v>54</v>
      </c>
      <c r="D187" s="44" t="s">
        <v>21</v>
      </c>
      <c r="E187" s="22" t="str">
        <f>IF(D187&lt;&gt;"",IFERROR(INDEX(Produtos!$C$4:$C$4996,MATCH(D187,Produtos!$B$4:$B$4996,0)),"Produto não encontrado"),"")</f>
        <v>ADUELA DE 1000</v>
      </c>
      <c r="F187" s="3">
        <v>1</v>
      </c>
      <c r="G187" s="1" t="s">
        <v>171</v>
      </c>
    </row>
    <row r="188" spans="1:7" x14ac:dyDescent="0.3">
      <c r="A188" s="21">
        <f t="shared" si="2"/>
        <v>1</v>
      </c>
      <c r="B188" s="2">
        <v>46068</v>
      </c>
      <c r="C188" s="2" t="s">
        <v>54</v>
      </c>
      <c r="D188" s="44" t="s">
        <v>70</v>
      </c>
      <c r="E188" s="22" t="str">
        <f>IF(D188&lt;&gt;"",IFERROR(INDEX(Produtos!$C$4:$C$4996,MATCH(D188,Produtos!$B$4:$B$4996,0)),"Produto não encontrado"),"")</f>
        <v>TUBO ESGOTO PVC DN 400</v>
      </c>
      <c r="F188" s="3">
        <v>1</v>
      </c>
      <c r="G188" s="1" t="s">
        <v>162</v>
      </c>
    </row>
    <row r="189" spans="1:7" x14ac:dyDescent="0.3">
      <c r="A189" s="21">
        <f t="shared" si="2"/>
        <v>1</v>
      </c>
      <c r="B189" s="2">
        <v>46069</v>
      </c>
      <c r="C189" s="2" t="s">
        <v>54</v>
      </c>
      <c r="D189" s="44" t="s">
        <v>57</v>
      </c>
      <c r="E189" s="22" t="str">
        <f>IF(D189&lt;&gt;"",IFERROR(INDEX(Produtos!$C$4:$C$4996,MATCH(D189,Produtos!$B$4:$B$4996,0)),"Produto não encontrado"),"")</f>
        <v>TUBO PEAD ESGOTO D 355</v>
      </c>
      <c r="F189" s="3">
        <v>20</v>
      </c>
      <c r="G189" s="1" t="s">
        <v>191</v>
      </c>
    </row>
    <row r="190" spans="1:7" x14ac:dyDescent="0.3">
      <c r="A190" s="21">
        <f t="shared" si="2"/>
        <v>1</v>
      </c>
      <c r="B190" s="2">
        <v>46069</v>
      </c>
      <c r="C190" s="2" t="s">
        <v>54</v>
      </c>
      <c r="D190" s="44" t="s">
        <v>21</v>
      </c>
      <c r="E190" s="22" t="str">
        <f>IF(D190&lt;&gt;"",IFERROR(INDEX(Produtos!$C$4:$C$4996,MATCH(D190,Produtos!$B$4:$B$4996,0)),"Produto não encontrado"),"")</f>
        <v>ADUELA DE 1000</v>
      </c>
      <c r="F190" s="3">
        <v>1</v>
      </c>
      <c r="G190" s="1" t="s">
        <v>175</v>
      </c>
    </row>
    <row r="191" spans="1:7" x14ac:dyDescent="0.3">
      <c r="A191" s="21">
        <f t="shared" si="2"/>
        <v>1</v>
      </c>
      <c r="B191" s="2">
        <v>46069</v>
      </c>
      <c r="C191" s="2" t="s">
        <v>54</v>
      </c>
      <c r="D191" s="44" t="s">
        <v>71</v>
      </c>
      <c r="E191" s="22" t="str">
        <f>IF(D191&lt;&gt;"",IFERROR(INDEX(Produtos!$C$4:$C$4996,MATCH(D191,Produtos!$B$4:$B$4996,0)),"Produto não encontrado"),"")</f>
        <v>LAJE PRE MONTADA / TAMPÃO DN 600</v>
      </c>
      <c r="F191" s="3">
        <v>1</v>
      </c>
      <c r="G191" s="1" t="s">
        <v>175</v>
      </c>
    </row>
    <row r="192" spans="1:7" x14ac:dyDescent="0.3">
      <c r="A192" s="21">
        <f t="shared" ref="A192:A255" si="3">IF(C192="Entrada",2,IF(C192="Saída",1,"."))</f>
        <v>1</v>
      </c>
      <c r="B192" s="2">
        <v>46069</v>
      </c>
      <c r="C192" s="2" t="s">
        <v>54</v>
      </c>
      <c r="D192" s="44" t="s">
        <v>21</v>
      </c>
      <c r="E192" s="22" t="str">
        <f>IF(D192&lt;&gt;"",IFERROR(INDEX(Produtos!$C$4:$C$4996,MATCH(D192,Produtos!$B$4:$B$4996,0)),"Produto não encontrado"),"")</f>
        <v>ADUELA DE 1000</v>
      </c>
      <c r="F192" s="3">
        <v>2</v>
      </c>
      <c r="G192" s="1" t="s">
        <v>170</v>
      </c>
    </row>
    <row r="193" spans="1:7" x14ac:dyDescent="0.3">
      <c r="A193" s="21">
        <f t="shared" si="3"/>
        <v>1</v>
      </c>
      <c r="B193" s="2">
        <v>46069</v>
      </c>
      <c r="C193" s="2" t="s">
        <v>54</v>
      </c>
      <c r="D193" s="44" t="s">
        <v>23</v>
      </c>
      <c r="E193" s="22" t="str">
        <f>IF(D193&lt;&gt;"",IFERROR(INDEX(Produtos!$C$4:$C$4996,MATCH(D193,Produtos!$B$4:$B$4996,0)),"Produto não encontrado"),"")</f>
        <v>LAJE INFERIOR DE 1000</v>
      </c>
      <c r="F193" s="3">
        <v>2</v>
      </c>
      <c r="G193" s="1" t="s">
        <v>170</v>
      </c>
    </row>
    <row r="194" spans="1:7" x14ac:dyDescent="0.3">
      <c r="A194" s="21">
        <f t="shared" si="3"/>
        <v>1</v>
      </c>
      <c r="B194" s="2">
        <v>46069</v>
      </c>
      <c r="C194" s="2" t="s">
        <v>54</v>
      </c>
      <c r="D194" s="44" t="s">
        <v>67</v>
      </c>
      <c r="E194" s="22" t="str">
        <f>IF(D194&lt;&gt;"",IFERROR(INDEX(Produtos!$C$4:$C$4996,MATCH(D194,Produtos!$B$4:$B$4996,0)),"Produto não encontrado"),"")</f>
        <v>BLOCO DE PV</v>
      </c>
      <c r="F194" s="3">
        <v>60</v>
      </c>
      <c r="G194" s="1" t="s">
        <v>170</v>
      </c>
    </row>
    <row r="195" spans="1:7" x14ac:dyDescent="0.3">
      <c r="A195" s="21">
        <f t="shared" si="3"/>
        <v>1</v>
      </c>
      <c r="B195" s="2">
        <v>46069</v>
      </c>
      <c r="C195" s="2" t="s">
        <v>54</v>
      </c>
      <c r="D195" s="44" t="s">
        <v>67</v>
      </c>
      <c r="E195" s="22" t="str">
        <f>IF(D195&lt;&gt;"",IFERROR(INDEX(Produtos!$C$4:$C$4996,MATCH(D195,Produtos!$B$4:$B$4996,0)),"Produto não encontrado"),"")</f>
        <v>BLOCO DE PV</v>
      </c>
      <c r="F195" s="3">
        <v>20</v>
      </c>
      <c r="G195" s="1" t="s">
        <v>162</v>
      </c>
    </row>
    <row r="196" spans="1:7" x14ac:dyDescent="0.3">
      <c r="A196" s="21">
        <f t="shared" si="3"/>
        <v>1</v>
      </c>
      <c r="B196" s="2">
        <v>46069</v>
      </c>
      <c r="C196" s="2" t="s">
        <v>54</v>
      </c>
      <c r="D196" s="44" t="s">
        <v>21</v>
      </c>
      <c r="E196" s="22" t="str">
        <f>IF(D196&lt;&gt;"",IFERROR(INDEX(Produtos!$C$4:$C$4996,MATCH(D196,Produtos!$B$4:$B$4996,0)),"Produto não encontrado"),"")</f>
        <v>ADUELA DE 1000</v>
      </c>
      <c r="F196" s="3">
        <v>1</v>
      </c>
      <c r="G196" s="1" t="s">
        <v>162</v>
      </c>
    </row>
    <row r="197" spans="1:7" x14ac:dyDescent="0.3">
      <c r="A197" s="21">
        <f t="shared" si="3"/>
        <v>1</v>
      </c>
      <c r="B197" s="2">
        <v>46069</v>
      </c>
      <c r="C197" s="2" t="s">
        <v>54</v>
      </c>
      <c r="D197" s="44" t="s">
        <v>63</v>
      </c>
      <c r="E197" s="22" t="str">
        <f>IF(D197&lt;&gt;"",IFERROR(INDEX(Produtos!$C$4:$C$4996,MATCH(D197,Produtos!$B$4:$B$4996,0)),"Produto não encontrado"),"")</f>
        <v>TUBO ESGOTO PVC DN 200</v>
      </c>
      <c r="F197" s="3">
        <v>2</v>
      </c>
      <c r="G197" s="1" t="s">
        <v>192</v>
      </c>
    </row>
    <row r="198" spans="1:7" x14ac:dyDescent="0.3">
      <c r="A198" s="21">
        <f t="shared" si="3"/>
        <v>1</v>
      </c>
      <c r="B198" s="2">
        <v>46069</v>
      </c>
      <c r="C198" s="2" t="s">
        <v>54</v>
      </c>
      <c r="D198" s="44" t="s">
        <v>22</v>
      </c>
      <c r="E198" s="22" t="str">
        <f>IF(D198&lt;&gt;"",IFERROR(INDEX(Produtos!$C$4:$C$4996,MATCH(D198,Produtos!$B$4:$B$4996,0)),"Produto não encontrado"),"")</f>
        <v>ADUELA DE 600</v>
      </c>
      <c r="F198" s="3">
        <v>1</v>
      </c>
      <c r="G198" s="1" t="s">
        <v>164</v>
      </c>
    </row>
    <row r="199" spans="1:7" x14ac:dyDescent="0.3">
      <c r="A199" s="21">
        <f t="shared" si="3"/>
        <v>1</v>
      </c>
      <c r="B199" s="2">
        <v>46069</v>
      </c>
      <c r="C199" s="2" t="s">
        <v>54</v>
      </c>
      <c r="D199" s="44" t="s">
        <v>55</v>
      </c>
      <c r="E199" s="22" t="str">
        <f>IF(D199&lt;&gt;"",IFERROR(INDEX(Produtos!$C$4:$C$4996,MATCH(D199,Produtos!$B$4:$B$4996,0)),"Produto não encontrado"),"")</f>
        <v>LAJE INFERIOR DE 600</v>
      </c>
      <c r="F199" s="3">
        <v>1</v>
      </c>
      <c r="G199" s="1" t="s">
        <v>164</v>
      </c>
    </row>
    <row r="200" spans="1:7" x14ac:dyDescent="0.3">
      <c r="A200" s="21">
        <f t="shared" si="3"/>
        <v>1</v>
      </c>
      <c r="B200" s="2">
        <v>46069</v>
      </c>
      <c r="C200" s="2" t="s">
        <v>54</v>
      </c>
      <c r="D200" s="44" t="s">
        <v>21</v>
      </c>
      <c r="E200" s="22" t="str">
        <f>IF(D200&lt;&gt;"",IFERROR(INDEX(Produtos!$C$4:$C$4996,MATCH(D200,Produtos!$B$4:$B$4996,0)),"Produto não encontrado"),"")</f>
        <v>ADUELA DE 1000</v>
      </c>
      <c r="F200" s="3">
        <v>2</v>
      </c>
      <c r="G200" s="1" t="s">
        <v>175</v>
      </c>
    </row>
    <row r="201" spans="1:7" x14ac:dyDescent="0.3">
      <c r="A201" s="21">
        <f t="shared" si="3"/>
        <v>1</v>
      </c>
      <c r="B201" s="2">
        <v>46069</v>
      </c>
      <c r="C201" s="2" t="s">
        <v>54</v>
      </c>
      <c r="D201" s="44" t="s">
        <v>21</v>
      </c>
      <c r="E201" s="22" t="str">
        <f>IF(D201&lt;&gt;"",IFERROR(INDEX(Produtos!$C$4:$C$4996,MATCH(D201,Produtos!$B$4:$B$4996,0)),"Produto não encontrado"),"")</f>
        <v>ADUELA DE 1000</v>
      </c>
      <c r="F201" s="3">
        <v>4</v>
      </c>
      <c r="G201" s="1" t="s">
        <v>170</v>
      </c>
    </row>
    <row r="202" spans="1:7" x14ac:dyDescent="0.3">
      <c r="A202" s="21">
        <f t="shared" si="3"/>
        <v>1</v>
      </c>
      <c r="B202" s="2">
        <v>46069</v>
      </c>
      <c r="C202" s="2" t="s">
        <v>54</v>
      </c>
      <c r="D202" s="44" t="s">
        <v>21</v>
      </c>
      <c r="E202" s="22" t="str">
        <f>IF(D202&lt;&gt;"",IFERROR(INDEX(Produtos!$C$4:$C$4996,MATCH(D202,Produtos!$B$4:$B$4996,0)),"Produto não encontrado"),"")</f>
        <v>ADUELA DE 1000</v>
      </c>
      <c r="F202" s="3">
        <v>4</v>
      </c>
      <c r="G202" s="1" t="s">
        <v>160</v>
      </c>
    </row>
    <row r="203" spans="1:7" x14ac:dyDescent="0.3">
      <c r="A203" s="21">
        <f t="shared" si="3"/>
        <v>1</v>
      </c>
      <c r="B203" s="2">
        <v>46069</v>
      </c>
      <c r="C203" s="2" t="s">
        <v>54</v>
      </c>
      <c r="D203" s="44" t="s">
        <v>56</v>
      </c>
      <c r="E203" s="22" t="str">
        <f>IF(D203&lt;&gt;"",IFERROR(INDEX(Produtos!$C$4:$C$4996,MATCH(D203,Produtos!$B$4:$B$4996,0)),"Produto não encontrado"),"")</f>
        <v>LAJE SURPERIOR DE 1000</v>
      </c>
      <c r="F203" s="3">
        <v>1</v>
      </c>
      <c r="G203" s="1" t="s">
        <v>160</v>
      </c>
    </row>
    <row r="204" spans="1:7" x14ac:dyDescent="0.3">
      <c r="A204" s="21">
        <f t="shared" si="3"/>
        <v>1</v>
      </c>
      <c r="B204" s="2">
        <v>46069</v>
      </c>
      <c r="C204" s="2" t="s">
        <v>54</v>
      </c>
      <c r="D204" s="44" t="s">
        <v>23</v>
      </c>
      <c r="E204" s="22" t="str">
        <f>IF(D204&lt;&gt;"",IFERROR(INDEX(Produtos!$C$4:$C$4996,MATCH(D204,Produtos!$B$4:$B$4996,0)),"Produto não encontrado"),"")</f>
        <v>LAJE INFERIOR DE 1000</v>
      </c>
      <c r="F204" s="3">
        <v>1</v>
      </c>
      <c r="G204" s="1" t="s">
        <v>160</v>
      </c>
    </row>
    <row r="205" spans="1:7" x14ac:dyDescent="0.3">
      <c r="A205" s="21">
        <f t="shared" si="3"/>
        <v>1</v>
      </c>
      <c r="B205" s="2">
        <v>46069</v>
      </c>
      <c r="C205" s="2" t="s">
        <v>54</v>
      </c>
      <c r="D205" s="44" t="s">
        <v>60</v>
      </c>
      <c r="E205" s="22" t="str">
        <f>IF(D205&lt;&gt;"",IFERROR(INDEX(Produtos!$C$4:$C$4996,MATCH(D205,Produtos!$B$4:$B$4996,0)),"Produto não encontrado"),"")</f>
        <v>TUBO PEAD ESGOTO D 450</v>
      </c>
      <c r="F205" s="3">
        <v>15</v>
      </c>
      <c r="G205" s="1" t="s">
        <v>160</v>
      </c>
    </row>
    <row r="206" spans="1:7" x14ac:dyDescent="0.3">
      <c r="A206" s="21">
        <f t="shared" si="3"/>
        <v>1</v>
      </c>
      <c r="B206" s="2">
        <v>46069</v>
      </c>
      <c r="C206" s="2" t="s">
        <v>54</v>
      </c>
      <c r="D206" s="44" t="s">
        <v>56</v>
      </c>
      <c r="E206" s="22" t="str">
        <f>IF(D206&lt;&gt;"",IFERROR(INDEX(Produtos!$C$4:$C$4996,MATCH(D206,Produtos!$B$4:$B$4996,0)),"Produto não encontrado"),"")</f>
        <v>LAJE SURPERIOR DE 1000</v>
      </c>
      <c r="F206" s="3">
        <v>2</v>
      </c>
      <c r="G206" s="1" t="s">
        <v>170</v>
      </c>
    </row>
    <row r="207" spans="1:7" x14ac:dyDescent="0.3">
      <c r="A207" s="21">
        <f t="shared" si="3"/>
        <v>2</v>
      </c>
      <c r="B207" s="2">
        <v>46069</v>
      </c>
      <c r="C207" s="2" t="s">
        <v>28</v>
      </c>
      <c r="D207" s="44" t="s">
        <v>60</v>
      </c>
      <c r="E207" s="22" t="str">
        <f>IF(D207&lt;&gt;"",IFERROR(INDEX(Produtos!$C$4:$C$4996,MATCH(D207,Produtos!$B$4:$B$4996,0)),"Produto não encontrado"),"")</f>
        <v>TUBO PEAD ESGOTO D 450</v>
      </c>
      <c r="F207" s="3">
        <v>9</v>
      </c>
    </row>
    <row r="208" spans="1:7" x14ac:dyDescent="0.3">
      <c r="A208" s="21">
        <f t="shared" si="3"/>
        <v>1</v>
      </c>
      <c r="B208" s="2">
        <v>46069</v>
      </c>
      <c r="C208" s="2" t="s">
        <v>54</v>
      </c>
      <c r="D208" s="44" t="s">
        <v>21</v>
      </c>
      <c r="E208" s="22" t="str">
        <f>IF(D208&lt;&gt;"",IFERROR(INDEX(Produtos!$C$4:$C$4996,MATCH(D208,Produtos!$B$4:$B$4996,0)),"Produto não encontrado"),"")</f>
        <v>ADUELA DE 1000</v>
      </c>
      <c r="F208" s="3">
        <v>2</v>
      </c>
      <c r="G208" s="1" t="s">
        <v>166</v>
      </c>
    </row>
    <row r="209" spans="1:7" x14ac:dyDescent="0.3">
      <c r="A209" s="21">
        <f t="shared" si="3"/>
        <v>1</v>
      </c>
      <c r="B209" s="2">
        <v>46069</v>
      </c>
      <c r="C209" s="2" t="s">
        <v>54</v>
      </c>
      <c r="D209" s="44" t="s">
        <v>56</v>
      </c>
      <c r="E209" s="22" t="str">
        <f>IF(D209&lt;&gt;"",IFERROR(INDEX(Produtos!$C$4:$C$4996,MATCH(D209,Produtos!$B$4:$B$4996,0)),"Produto não encontrado"),"")</f>
        <v>LAJE SURPERIOR DE 1000</v>
      </c>
      <c r="F209" s="3">
        <v>1</v>
      </c>
      <c r="G209" s="1" t="s">
        <v>166</v>
      </c>
    </row>
    <row r="210" spans="1:7" x14ac:dyDescent="0.3">
      <c r="A210" s="21">
        <f t="shared" si="3"/>
        <v>1</v>
      </c>
      <c r="B210" s="2">
        <v>46069</v>
      </c>
      <c r="C210" s="2" t="s">
        <v>54</v>
      </c>
      <c r="D210" s="44" t="s">
        <v>23</v>
      </c>
      <c r="E210" s="22" t="str">
        <f>IF(D210&lt;&gt;"",IFERROR(INDEX(Produtos!$C$4:$C$4996,MATCH(D210,Produtos!$B$4:$B$4996,0)),"Produto não encontrado"),"")</f>
        <v>LAJE INFERIOR DE 1000</v>
      </c>
      <c r="F210" s="3">
        <v>1</v>
      </c>
      <c r="G210" s="1" t="s">
        <v>166</v>
      </c>
    </row>
    <row r="211" spans="1:7" x14ac:dyDescent="0.3">
      <c r="A211" s="21">
        <f t="shared" si="3"/>
        <v>1</v>
      </c>
      <c r="B211" s="2">
        <v>46069</v>
      </c>
      <c r="C211" s="2" t="s">
        <v>54</v>
      </c>
      <c r="D211" s="44" t="s">
        <v>57</v>
      </c>
      <c r="E211" s="22" t="str">
        <f>IF(D211&lt;&gt;"",IFERROR(INDEX(Produtos!$C$4:$C$4996,MATCH(D211,Produtos!$B$4:$B$4996,0)),"Produto não encontrado"),"")</f>
        <v>TUBO PEAD ESGOTO D 355</v>
      </c>
      <c r="F211" s="3">
        <v>20</v>
      </c>
      <c r="G211" s="1" t="s">
        <v>170</v>
      </c>
    </row>
    <row r="212" spans="1:7" x14ac:dyDescent="0.3">
      <c r="A212" s="21">
        <f t="shared" si="3"/>
        <v>1</v>
      </c>
      <c r="B212" s="2">
        <v>46070</v>
      </c>
      <c r="C212" s="2" t="s">
        <v>54</v>
      </c>
      <c r="D212" s="44" t="s">
        <v>22</v>
      </c>
      <c r="E212" s="22" t="str">
        <f>IF(D212&lt;&gt;"",IFERROR(INDEX(Produtos!$C$4:$C$4996,MATCH(D212,Produtos!$B$4:$B$4996,0)),"Produto não encontrado"),"")</f>
        <v>ADUELA DE 600</v>
      </c>
      <c r="F212" s="3">
        <v>1</v>
      </c>
      <c r="G212" s="1" t="s">
        <v>163</v>
      </c>
    </row>
    <row r="213" spans="1:7" x14ac:dyDescent="0.3">
      <c r="A213" s="21">
        <f t="shared" si="3"/>
        <v>1</v>
      </c>
      <c r="B213" s="2">
        <v>46070</v>
      </c>
      <c r="C213" s="2" t="s">
        <v>54</v>
      </c>
      <c r="D213" s="44" t="s">
        <v>21</v>
      </c>
      <c r="E213" s="22" t="str">
        <f>IF(D213&lt;&gt;"",IFERROR(INDEX(Produtos!$C$4:$C$4996,MATCH(D213,Produtos!$B$4:$B$4996,0)),"Produto não encontrado"),"")</f>
        <v>ADUELA DE 1000</v>
      </c>
      <c r="F213" s="3">
        <v>3</v>
      </c>
      <c r="G213" s="1" t="s">
        <v>193</v>
      </c>
    </row>
    <row r="214" spans="1:7" x14ac:dyDescent="0.3">
      <c r="A214" s="21">
        <f t="shared" si="3"/>
        <v>1</v>
      </c>
      <c r="B214" s="2">
        <v>46070</v>
      </c>
      <c r="C214" s="2" t="s">
        <v>54</v>
      </c>
      <c r="D214" s="44" t="s">
        <v>63</v>
      </c>
      <c r="E214" s="22" t="str">
        <f>IF(D214&lt;&gt;"",IFERROR(INDEX(Produtos!$C$4:$C$4996,MATCH(D214,Produtos!$B$4:$B$4996,0)),"Produto não encontrado"),"")</f>
        <v>TUBO ESGOTO PVC DN 200</v>
      </c>
      <c r="F214" s="3">
        <v>1</v>
      </c>
      <c r="G214" s="1" t="s">
        <v>175</v>
      </c>
    </row>
    <row r="215" spans="1:7" x14ac:dyDescent="0.3">
      <c r="A215" s="21">
        <f t="shared" si="3"/>
        <v>1</v>
      </c>
      <c r="B215" s="2">
        <v>46070</v>
      </c>
      <c r="C215" s="2" t="s">
        <v>54</v>
      </c>
      <c r="D215" s="44" t="s">
        <v>67</v>
      </c>
      <c r="E215" s="22" t="str">
        <f>IF(D215&lt;&gt;"",IFERROR(INDEX(Produtos!$C$4:$C$4996,MATCH(D215,Produtos!$B$4:$B$4996,0)),"Produto não encontrado"),"")</f>
        <v>BLOCO DE PV</v>
      </c>
      <c r="F215" s="3">
        <v>20</v>
      </c>
      <c r="G215" s="1" t="s">
        <v>175</v>
      </c>
    </row>
    <row r="216" spans="1:7" x14ac:dyDescent="0.3">
      <c r="A216" s="21">
        <f t="shared" si="3"/>
        <v>1</v>
      </c>
      <c r="B216" s="2">
        <v>46071</v>
      </c>
      <c r="C216" s="2" t="s">
        <v>54</v>
      </c>
      <c r="D216" s="44" t="s">
        <v>66</v>
      </c>
      <c r="E216" s="22" t="str">
        <f>IF(D216&lt;&gt;"",IFERROR(INDEX(Produtos!$C$4:$C$4996,MATCH(D216,Produtos!$B$4:$B$4996,0)),"Produto não encontrado"),"")</f>
        <v>CHAPA ARMICO</v>
      </c>
      <c r="F216" s="3">
        <v>60</v>
      </c>
      <c r="G216" s="1" t="s">
        <v>167</v>
      </c>
    </row>
    <row r="217" spans="1:7" x14ac:dyDescent="0.3">
      <c r="A217" s="21">
        <f t="shared" si="3"/>
        <v>1</v>
      </c>
      <c r="B217" s="2">
        <v>46071</v>
      </c>
      <c r="C217" s="2" t="s">
        <v>54</v>
      </c>
      <c r="D217" s="44" t="s">
        <v>71</v>
      </c>
      <c r="E217" s="22" t="str">
        <f>IF(D217&lt;&gt;"",IFERROR(INDEX(Produtos!$C$4:$C$4996,MATCH(D217,Produtos!$B$4:$B$4996,0)),"Produto não encontrado"),"")</f>
        <v>LAJE PRE MONTADA / TAMPÃO DN 600</v>
      </c>
      <c r="F217" s="3">
        <v>1</v>
      </c>
      <c r="G217" s="1" t="s">
        <v>166</v>
      </c>
    </row>
    <row r="218" spans="1:7" x14ac:dyDescent="0.3">
      <c r="A218" s="21">
        <f t="shared" si="3"/>
        <v>1</v>
      </c>
      <c r="B218" s="2">
        <v>46070</v>
      </c>
      <c r="C218" s="2" t="s">
        <v>54</v>
      </c>
      <c r="D218" s="44" t="s">
        <v>22</v>
      </c>
      <c r="E218" s="22" t="str">
        <f>IF(D218&lt;&gt;"",IFERROR(INDEX(Produtos!$C$4:$C$4996,MATCH(D218,Produtos!$B$4:$B$4996,0)),"Produto não encontrado"),"")</f>
        <v>ADUELA DE 600</v>
      </c>
      <c r="F218" s="3">
        <v>1</v>
      </c>
      <c r="G218" s="1" t="s">
        <v>194</v>
      </c>
    </row>
    <row r="219" spans="1:7" x14ac:dyDescent="0.3">
      <c r="A219" s="21">
        <f t="shared" si="3"/>
        <v>1</v>
      </c>
      <c r="B219" s="2">
        <v>46070</v>
      </c>
      <c r="C219" s="2" t="s">
        <v>54</v>
      </c>
      <c r="D219" s="44" t="s">
        <v>63</v>
      </c>
      <c r="E219" s="22" t="str">
        <f>IF(D219&lt;&gt;"",IFERROR(INDEX(Produtos!$C$4:$C$4996,MATCH(D219,Produtos!$B$4:$B$4996,0)),"Produto não encontrado"),"")</f>
        <v>TUBO ESGOTO PVC DN 200</v>
      </c>
      <c r="F219" s="3">
        <v>1</v>
      </c>
      <c r="G219" s="1" t="s">
        <v>195</v>
      </c>
    </row>
    <row r="220" spans="1:7" x14ac:dyDescent="0.3">
      <c r="A220" s="21">
        <f t="shared" si="3"/>
        <v>1</v>
      </c>
      <c r="B220" s="2">
        <v>46071</v>
      </c>
      <c r="C220" s="2" t="s">
        <v>54</v>
      </c>
      <c r="D220" s="44" t="s">
        <v>60</v>
      </c>
      <c r="E220" s="22" t="str">
        <f>IF(D220&lt;&gt;"",IFERROR(INDEX(Produtos!$C$4:$C$4996,MATCH(D220,Produtos!$B$4:$B$4996,0)),"Produto não encontrado"),"")</f>
        <v>TUBO PEAD ESGOTO D 450</v>
      </c>
      <c r="F220" s="3">
        <v>9</v>
      </c>
      <c r="G220" s="1" t="s">
        <v>160</v>
      </c>
    </row>
    <row r="221" spans="1:7" x14ac:dyDescent="0.3">
      <c r="A221" s="21">
        <f t="shared" si="3"/>
        <v>1</v>
      </c>
      <c r="B221" s="2">
        <v>46071</v>
      </c>
      <c r="C221" s="2" t="s">
        <v>54</v>
      </c>
      <c r="D221" s="44" t="s">
        <v>21</v>
      </c>
      <c r="E221" s="22" t="str">
        <f>IF(D221&lt;&gt;"",IFERROR(INDEX(Produtos!$C$4:$C$4996,MATCH(D221,Produtos!$B$4:$B$4996,0)),"Produto não encontrado"),"")</f>
        <v>ADUELA DE 1000</v>
      </c>
      <c r="F221" s="3">
        <v>1</v>
      </c>
      <c r="G221" s="1" t="s">
        <v>164</v>
      </c>
    </row>
    <row r="222" spans="1:7" x14ac:dyDescent="0.3">
      <c r="A222" s="21">
        <f t="shared" si="3"/>
        <v>1</v>
      </c>
      <c r="B222" s="2">
        <v>46071</v>
      </c>
      <c r="C222" s="2" t="s">
        <v>54</v>
      </c>
      <c r="D222" s="44" t="s">
        <v>71</v>
      </c>
      <c r="E222" s="22" t="str">
        <f>IF(D222&lt;&gt;"",IFERROR(INDEX(Produtos!$C$4:$C$4996,MATCH(D222,Produtos!$B$4:$B$4996,0)),"Produto não encontrado"),"")</f>
        <v>LAJE PRE MONTADA / TAMPÃO DN 600</v>
      </c>
      <c r="F222" s="3">
        <v>1</v>
      </c>
      <c r="G222" s="1" t="s">
        <v>164</v>
      </c>
    </row>
    <row r="223" spans="1:7" x14ac:dyDescent="0.3">
      <c r="A223" s="21">
        <f t="shared" si="3"/>
        <v>1</v>
      </c>
      <c r="B223" s="2">
        <v>46071</v>
      </c>
      <c r="C223" s="2" t="s">
        <v>54</v>
      </c>
      <c r="D223" s="44" t="s">
        <v>21</v>
      </c>
      <c r="E223" s="22" t="str">
        <f>IF(D223&lt;&gt;"",IFERROR(INDEX(Produtos!$C$4:$C$4996,MATCH(D223,Produtos!$B$4:$B$4996,0)),"Produto não encontrado"),"")</f>
        <v>ADUELA DE 1000</v>
      </c>
      <c r="F223" s="3">
        <v>2</v>
      </c>
      <c r="G223" s="1" t="s">
        <v>175</v>
      </c>
    </row>
    <row r="224" spans="1:7" x14ac:dyDescent="0.3">
      <c r="A224" s="21">
        <f t="shared" si="3"/>
        <v>1</v>
      </c>
      <c r="B224" s="2">
        <v>46071</v>
      </c>
      <c r="C224" s="2" t="s">
        <v>54</v>
      </c>
      <c r="D224" s="44" t="s">
        <v>23</v>
      </c>
      <c r="E224" s="22" t="str">
        <f>IF(D224&lt;&gt;"",IFERROR(INDEX(Produtos!$C$4:$C$4996,MATCH(D224,Produtos!$B$4:$B$4996,0)),"Produto não encontrado"),"")</f>
        <v>LAJE INFERIOR DE 1000</v>
      </c>
      <c r="F224" s="3">
        <v>2</v>
      </c>
      <c r="G224" s="1" t="s">
        <v>175</v>
      </c>
    </row>
    <row r="225" spans="1:8" x14ac:dyDescent="0.3">
      <c r="A225" s="21">
        <f t="shared" si="3"/>
        <v>1</v>
      </c>
      <c r="B225" s="2">
        <v>46072</v>
      </c>
      <c r="C225" s="2" t="s">
        <v>54</v>
      </c>
      <c r="D225" s="44" t="s">
        <v>66</v>
      </c>
      <c r="E225" s="22" t="str">
        <f>IF(D225&lt;&gt;"",IFERROR(INDEX(Produtos!$C$4:$C$4996,MATCH(D225,Produtos!$B$4:$B$4996,0)),"Produto não encontrado"),"")</f>
        <v>CHAPA ARMICO</v>
      </c>
      <c r="F225" s="3">
        <v>40</v>
      </c>
      <c r="G225" s="1" t="s">
        <v>167</v>
      </c>
    </row>
    <row r="226" spans="1:8" x14ac:dyDescent="0.3">
      <c r="A226" s="21">
        <f t="shared" si="3"/>
        <v>1</v>
      </c>
      <c r="B226" s="2">
        <v>46072</v>
      </c>
      <c r="C226" s="2" t="s">
        <v>54</v>
      </c>
      <c r="D226" s="44" t="s">
        <v>21</v>
      </c>
      <c r="E226" s="22" t="str">
        <f>IF(D226&lt;&gt;"",IFERROR(INDEX(Produtos!$C$4:$C$4996,MATCH(D226,Produtos!$B$4:$B$4996,0)),"Produto não encontrado"),"")</f>
        <v>ADUELA DE 1000</v>
      </c>
      <c r="F226" s="3">
        <v>1</v>
      </c>
      <c r="G226" s="1" t="s">
        <v>167</v>
      </c>
    </row>
    <row r="227" spans="1:8" x14ac:dyDescent="0.3">
      <c r="A227" s="21">
        <f t="shared" si="3"/>
        <v>1</v>
      </c>
      <c r="B227" s="2">
        <v>46072</v>
      </c>
      <c r="C227" s="2" t="s">
        <v>54</v>
      </c>
      <c r="D227" s="44" t="s">
        <v>23</v>
      </c>
      <c r="E227" s="22" t="str">
        <f>IF(D227&lt;&gt;"",IFERROR(INDEX(Produtos!$C$4:$C$4996,MATCH(D227,Produtos!$B$4:$B$4996,0)),"Produto não encontrado"),"")</f>
        <v>LAJE INFERIOR DE 1000</v>
      </c>
      <c r="F227" s="3">
        <v>1</v>
      </c>
      <c r="G227" s="1" t="s">
        <v>167</v>
      </c>
    </row>
    <row r="228" spans="1:8" x14ac:dyDescent="0.3">
      <c r="A228" s="21">
        <f t="shared" si="3"/>
        <v>2</v>
      </c>
      <c r="B228" s="2">
        <v>46072</v>
      </c>
      <c r="C228" s="2" t="s">
        <v>28</v>
      </c>
      <c r="D228" s="44" t="s">
        <v>23</v>
      </c>
      <c r="E228" s="22" t="str">
        <f>IF(D228&lt;&gt;"",IFERROR(INDEX(Produtos!$C$4:$C$4996,MATCH(D228,Produtos!$B$4:$B$4996,0)),"Produto não encontrado"),"")</f>
        <v>LAJE INFERIOR DE 1000</v>
      </c>
      <c r="F228" s="3">
        <v>1</v>
      </c>
      <c r="G228" s="1" t="s">
        <v>162</v>
      </c>
      <c r="H228" s="1" t="s">
        <v>196</v>
      </c>
    </row>
    <row r="229" spans="1:8" x14ac:dyDescent="0.3">
      <c r="A229" s="21">
        <f t="shared" si="3"/>
        <v>2</v>
      </c>
      <c r="B229" s="2">
        <v>46072</v>
      </c>
      <c r="C229" s="2" t="s">
        <v>28</v>
      </c>
      <c r="D229" s="44" t="s">
        <v>71</v>
      </c>
      <c r="E229" s="22" t="str">
        <f>IF(D229&lt;&gt;"",IFERROR(INDEX(Produtos!$C$4:$C$4996,MATCH(D229,Produtos!$B$4:$B$4996,0)),"Produto não encontrado"),"")</f>
        <v>LAJE PRE MONTADA / TAMPÃO DN 600</v>
      </c>
      <c r="F229" s="3">
        <v>18</v>
      </c>
      <c r="G229" s="1" t="s">
        <v>197</v>
      </c>
      <c r="H229" s="1" t="s">
        <v>198</v>
      </c>
    </row>
    <row r="230" spans="1:8" x14ac:dyDescent="0.3">
      <c r="A230" s="21">
        <f t="shared" si="3"/>
        <v>1</v>
      </c>
      <c r="B230" s="2">
        <v>46072</v>
      </c>
      <c r="C230" s="2" t="s">
        <v>54</v>
      </c>
      <c r="D230" s="44" t="s">
        <v>56</v>
      </c>
      <c r="E230" s="22" t="str">
        <f>IF(D230&lt;&gt;"",IFERROR(INDEX(Produtos!$C$4:$C$4996,MATCH(D230,Produtos!$B$4:$B$4996,0)),"Produto não encontrado"),"")</f>
        <v>LAJE SURPERIOR DE 1000</v>
      </c>
      <c r="F230" s="3">
        <v>1</v>
      </c>
      <c r="G230" s="1" t="s">
        <v>162</v>
      </c>
    </row>
    <row r="231" spans="1:8" x14ac:dyDescent="0.3">
      <c r="A231" s="21">
        <f t="shared" si="3"/>
        <v>1</v>
      </c>
      <c r="B231" s="2">
        <v>46072</v>
      </c>
      <c r="C231" s="2" t="s">
        <v>54</v>
      </c>
      <c r="D231" s="44" t="s">
        <v>21</v>
      </c>
      <c r="E231" s="22" t="str">
        <f>IF(D231&lt;&gt;"",IFERROR(INDEX(Produtos!$C$4:$C$4996,MATCH(D231,Produtos!$B$4:$B$4996,0)),"Produto não encontrado"),"")</f>
        <v>ADUELA DE 1000</v>
      </c>
      <c r="F231" s="3">
        <v>1</v>
      </c>
      <c r="G231" s="1" t="s">
        <v>162</v>
      </c>
    </row>
    <row r="232" spans="1:8" x14ac:dyDescent="0.3">
      <c r="A232" s="21">
        <f t="shared" si="3"/>
        <v>1</v>
      </c>
      <c r="B232" s="2">
        <v>46072</v>
      </c>
      <c r="C232" s="2" t="s">
        <v>54</v>
      </c>
      <c r="D232" s="44" t="s">
        <v>21</v>
      </c>
      <c r="E232" s="22" t="str">
        <f>IF(D232&lt;&gt;"",IFERROR(INDEX(Produtos!$C$4:$C$4996,MATCH(D232,Produtos!$B$4:$B$4996,0)),"Produto não encontrado"),"")</f>
        <v>ADUELA DE 1000</v>
      </c>
      <c r="F232" s="3">
        <v>2</v>
      </c>
      <c r="G232" s="1" t="s">
        <v>163</v>
      </c>
    </row>
    <row r="233" spans="1:8" x14ac:dyDescent="0.3">
      <c r="A233" s="21">
        <f t="shared" si="3"/>
        <v>1</v>
      </c>
      <c r="B233" s="2">
        <v>46072</v>
      </c>
      <c r="C233" s="2" t="s">
        <v>54</v>
      </c>
      <c r="D233" s="44" t="s">
        <v>69</v>
      </c>
      <c r="E233" s="22" t="str">
        <f>IF(D233&lt;&gt;"",IFERROR(INDEX(Produtos!$C$4:$C$4996,MATCH(D233,Produtos!$B$4:$B$4996,0)),"Produto não encontrado"),"")</f>
        <v>GUIA</v>
      </c>
      <c r="F233" s="3">
        <v>4</v>
      </c>
      <c r="G233" s="1" t="s">
        <v>162</v>
      </c>
    </row>
    <row r="234" spans="1:8" x14ac:dyDescent="0.3">
      <c r="A234" s="21">
        <f t="shared" si="3"/>
        <v>1</v>
      </c>
      <c r="B234" s="2">
        <v>46072</v>
      </c>
      <c r="C234" s="2" t="s">
        <v>54</v>
      </c>
      <c r="D234" s="44" t="s">
        <v>57</v>
      </c>
      <c r="E234" s="22" t="str">
        <f>IF(D234&lt;&gt;"",IFERROR(INDEX(Produtos!$C$4:$C$4996,MATCH(D234,Produtos!$B$4:$B$4996,0)),"Produto não encontrado"),"")</f>
        <v>TUBO PEAD ESGOTO D 355</v>
      </c>
      <c r="F234" s="3">
        <v>21</v>
      </c>
      <c r="G234" s="1" t="s">
        <v>176</v>
      </c>
    </row>
    <row r="235" spans="1:8" x14ac:dyDescent="0.3">
      <c r="A235" s="21">
        <f t="shared" si="3"/>
        <v>1</v>
      </c>
      <c r="B235" s="2">
        <v>46072</v>
      </c>
      <c r="C235" s="2" t="s">
        <v>54</v>
      </c>
      <c r="D235" s="44" t="s">
        <v>57</v>
      </c>
      <c r="E235" s="22" t="str">
        <f>IF(D235&lt;&gt;"",IFERROR(INDEX(Produtos!$C$4:$C$4996,MATCH(D235,Produtos!$B$4:$B$4996,0)),"Produto não encontrado"),"")</f>
        <v>TUBO PEAD ESGOTO D 355</v>
      </c>
      <c r="F235" s="3">
        <v>12</v>
      </c>
      <c r="G235" s="1" t="s">
        <v>170</v>
      </c>
    </row>
    <row r="236" spans="1:8" x14ac:dyDescent="0.3">
      <c r="A236" s="21">
        <f t="shared" si="3"/>
        <v>1</v>
      </c>
      <c r="B236" s="2">
        <v>46072</v>
      </c>
      <c r="C236" s="2" t="s">
        <v>54</v>
      </c>
      <c r="D236" s="44" t="s">
        <v>71</v>
      </c>
      <c r="E236" s="22" t="str">
        <f>IF(D236&lt;&gt;"",IFERROR(INDEX(Produtos!$C$4:$C$4996,MATCH(D236,Produtos!$B$4:$B$4996,0)),"Produto não encontrado"),"")</f>
        <v>LAJE PRE MONTADA / TAMPÃO DN 600</v>
      </c>
      <c r="F236" s="3">
        <v>1</v>
      </c>
      <c r="G236" s="1" t="s">
        <v>175</v>
      </c>
    </row>
    <row r="237" spans="1:8" x14ac:dyDescent="0.3">
      <c r="A237" s="21">
        <f t="shared" si="3"/>
        <v>1</v>
      </c>
      <c r="B237" s="2">
        <v>46073</v>
      </c>
      <c r="C237" s="2" t="s">
        <v>54</v>
      </c>
      <c r="D237" s="44" t="s">
        <v>57</v>
      </c>
      <c r="E237" s="22" t="str">
        <f>IF(D237&lt;&gt;"",IFERROR(INDEX(Produtos!$C$4:$C$4996,MATCH(D237,Produtos!$B$4:$B$4996,0)),"Produto não encontrado"),"")</f>
        <v>TUBO PEAD ESGOTO D 355</v>
      </c>
      <c r="F237" s="3">
        <v>15</v>
      </c>
      <c r="G237" s="1" t="s">
        <v>170</v>
      </c>
    </row>
    <row r="238" spans="1:8" x14ac:dyDescent="0.3">
      <c r="A238" s="21">
        <f t="shared" si="3"/>
        <v>1</v>
      </c>
      <c r="B238" s="2">
        <v>46073</v>
      </c>
      <c r="C238" s="2" t="s">
        <v>54</v>
      </c>
      <c r="D238" s="44" t="s">
        <v>56</v>
      </c>
      <c r="E238" s="22" t="str">
        <f>IF(D238&lt;&gt;"",IFERROR(INDEX(Produtos!$C$4:$C$4996,MATCH(D238,Produtos!$B$4:$B$4996,0)),"Produto não encontrado"),"")</f>
        <v>LAJE SURPERIOR DE 1000</v>
      </c>
      <c r="F238" s="3">
        <v>1</v>
      </c>
      <c r="G238" s="1" t="s">
        <v>169</v>
      </c>
    </row>
    <row r="239" spans="1:8" x14ac:dyDescent="0.3">
      <c r="A239" s="21">
        <f t="shared" si="3"/>
        <v>2</v>
      </c>
      <c r="B239" s="2">
        <v>46073</v>
      </c>
      <c r="C239" s="2" t="s">
        <v>28</v>
      </c>
      <c r="D239" s="44" t="s">
        <v>23</v>
      </c>
      <c r="E239" s="22" t="str">
        <f>IF(D239&lt;&gt;"",IFERROR(INDEX(Produtos!$C$4:$C$4996,MATCH(D239,Produtos!$B$4:$B$4996,0)),"Produto não encontrado"),"")</f>
        <v>LAJE INFERIOR DE 1000</v>
      </c>
      <c r="F239" s="3">
        <v>1</v>
      </c>
      <c r="G239" s="1" t="s">
        <v>199</v>
      </c>
    </row>
    <row r="240" spans="1:8" x14ac:dyDescent="0.3">
      <c r="A240" s="21">
        <f t="shared" si="3"/>
        <v>1</v>
      </c>
      <c r="B240" s="2">
        <v>46073</v>
      </c>
      <c r="C240" s="2" t="s">
        <v>54</v>
      </c>
      <c r="D240" s="44" t="s">
        <v>69</v>
      </c>
      <c r="E240" s="22" t="str">
        <f>IF(D240&lt;&gt;"",IFERROR(INDEX(Produtos!$C$4:$C$4996,MATCH(D240,Produtos!$B$4:$B$4996,0)),"Produto não encontrado"),"")</f>
        <v>GUIA</v>
      </c>
      <c r="F240" s="3">
        <v>3</v>
      </c>
      <c r="G240" s="1" t="s">
        <v>163</v>
      </c>
    </row>
    <row r="241" spans="1:7" x14ac:dyDescent="0.3">
      <c r="A241" s="21">
        <f t="shared" si="3"/>
        <v>1</v>
      </c>
      <c r="B241" s="2">
        <v>46073</v>
      </c>
      <c r="C241" s="2" t="s">
        <v>54</v>
      </c>
      <c r="D241" s="44" t="s">
        <v>21</v>
      </c>
      <c r="E241" s="22" t="str">
        <f>IF(D241&lt;&gt;"",IFERROR(INDEX(Produtos!$C$4:$C$4996,MATCH(D241,Produtos!$B$4:$B$4996,0)),"Produto não encontrado"),"")</f>
        <v>ADUELA DE 1000</v>
      </c>
      <c r="F241" s="3">
        <v>2</v>
      </c>
      <c r="G241" s="1" t="s">
        <v>167</v>
      </c>
    </row>
    <row r="242" spans="1:7" x14ac:dyDescent="0.3">
      <c r="A242" s="21">
        <f t="shared" si="3"/>
        <v>1</v>
      </c>
      <c r="B242" s="2">
        <v>46073</v>
      </c>
      <c r="C242" s="2" t="s">
        <v>54</v>
      </c>
      <c r="D242" s="44" t="s">
        <v>67</v>
      </c>
      <c r="E242" s="22" t="str">
        <f>IF(D242&lt;&gt;"",IFERROR(INDEX(Produtos!$C$4:$C$4996,MATCH(D242,Produtos!$B$4:$B$4996,0)),"Produto não encontrado"),"")</f>
        <v>BLOCO DE PV</v>
      </c>
      <c r="F242" s="3">
        <v>22</v>
      </c>
      <c r="G242" s="1" t="s">
        <v>167</v>
      </c>
    </row>
    <row r="243" spans="1:7" x14ac:dyDescent="0.3">
      <c r="A243" s="21">
        <f t="shared" si="3"/>
        <v>1</v>
      </c>
      <c r="B243" s="2">
        <v>46073</v>
      </c>
      <c r="C243" s="2" t="s">
        <v>54</v>
      </c>
      <c r="D243" s="44" t="s">
        <v>23</v>
      </c>
      <c r="E243" s="22" t="str">
        <f>IF(D243&lt;&gt;"",IFERROR(INDEX(Produtos!$C$4:$C$4996,MATCH(D243,Produtos!$B$4:$B$4996,0)),"Produto não encontrado"),"")</f>
        <v>LAJE INFERIOR DE 1000</v>
      </c>
      <c r="F243" s="3">
        <v>1</v>
      </c>
      <c r="G243" s="1" t="s">
        <v>167</v>
      </c>
    </row>
    <row r="244" spans="1:7" x14ac:dyDescent="0.3">
      <c r="A244" s="21">
        <f t="shared" si="3"/>
        <v>1</v>
      </c>
      <c r="B244" s="2">
        <v>46073</v>
      </c>
      <c r="C244" s="2" t="s">
        <v>54</v>
      </c>
      <c r="D244" s="44" t="s">
        <v>57</v>
      </c>
      <c r="E244" s="22" t="str">
        <f>IF(D244&lt;&gt;"",IFERROR(INDEX(Produtos!$C$4:$C$4996,MATCH(D244,Produtos!$B$4:$B$4996,0)),"Produto não encontrado"),"")</f>
        <v>TUBO PEAD ESGOTO D 355</v>
      </c>
      <c r="F244" s="3">
        <v>9</v>
      </c>
      <c r="G244" s="1" t="s">
        <v>176</v>
      </c>
    </row>
    <row r="245" spans="1:7" x14ac:dyDescent="0.3">
      <c r="A245" s="21">
        <f t="shared" si="3"/>
        <v>1</v>
      </c>
      <c r="B245" s="2">
        <v>46073</v>
      </c>
      <c r="C245" s="2" t="s">
        <v>54</v>
      </c>
      <c r="D245" s="44" t="s">
        <v>57</v>
      </c>
      <c r="E245" s="22" t="str">
        <f>IF(D245&lt;&gt;"",IFERROR(INDEX(Produtos!$C$4:$C$4996,MATCH(D245,Produtos!$B$4:$B$4996,0)),"Produto não encontrado"),"")</f>
        <v>TUBO PEAD ESGOTO D 355</v>
      </c>
      <c r="F245" s="3">
        <v>12</v>
      </c>
      <c r="G245" s="1" t="s">
        <v>170</v>
      </c>
    </row>
    <row r="246" spans="1:7" x14ac:dyDescent="0.3">
      <c r="A246" s="21">
        <f t="shared" si="3"/>
        <v>1</v>
      </c>
      <c r="B246" s="2">
        <v>46073</v>
      </c>
      <c r="C246" s="2" t="s">
        <v>54</v>
      </c>
      <c r="D246" s="44" t="s">
        <v>23</v>
      </c>
      <c r="E246" s="22" t="str">
        <f>IF(D246&lt;&gt;"",IFERROR(INDEX(Produtos!$C$4:$C$4996,MATCH(D246,Produtos!$B$4:$B$4996,0)),"Produto não encontrado"),"")</f>
        <v>LAJE INFERIOR DE 1000</v>
      </c>
      <c r="F246" s="3">
        <v>1</v>
      </c>
      <c r="G246" s="1" t="s">
        <v>173</v>
      </c>
    </row>
    <row r="247" spans="1:7" x14ac:dyDescent="0.3">
      <c r="A247" s="21">
        <f t="shared" si="3"/>
        <v>2</v>
      </c>
      <c r="B247" s="2">
        <v>46074</v>
      </c>
      <c r="C247" s="2" t="s">
        <v>28</v>
      </c>
      <c r="D247" s="44" t="s">
        <v>60</v>
      </c>
      <c r="E247" s="22" t="str">
        <f>IF(D247&lt;&gt;"",IFERROR(INDEX(Produtos!$C$4:$C$4996,MATCH(D247,Produtos!$B$4:$B$4996,0)),"Produto não encontrado"),"")</f>
        <v>TUBO PEAD ESGOTO D 450</v>
      </c>
      <c r="F247" s="3">
        <v>50</v>
      </c>
      <c r="G247" s="1" t="s">
        <v>183</v>
      </c>
    </row>
    <row r="248" spans="1:7" x14ac:dyDescent="0.3">
      <c r="A248" s="21">
        <f t="shared" si="3"/>
        <v>1</v>
      </c>
      <c r="B248" s="2">
        <v>46073</v>
      </c>
      <c r="C248" s="2" t="s">
        <v>54</v>
      </c>
      <c r="D248" s="44" t="s">
        <v>23</v>
      </c>
      <c r="E248" s="22" t="str">
        <f>IF(D248&lt;&gt;"",IFERROR(INDEX(Produtos!$C$4:$C$4996,MATCH(D248,Produtos!$B$4:$B$4996,0)),"Produto não encontrado"),"")</f>
        <v>LAJE INFERIOR DE 1000</v>
      </c>
      <c r="F248" s="3">
        <v>1</v>
      </c>
      <c r="G248" s="1" t="s">
        <v>173</v>
      </c>
    </row>
    <row r="249" spans="1:7" x14ac:dyDescent="0.3">
      <c r="A249" s="21">
        <f t="shared" si="3"/>
        <v>1</v>
      </c>
      <c r="B249" s="2">
        <v>46074</v>
      </c>
      <c r="C249" s="2" t="s">
        <v>54</v>
      </c>
      <c r="D249" s="44" t="s">
        <v>57</v>
      </c>
      <c r="E249" s="22" t="str">
        <f>IF(D249&lt;&gt;"",IFERROR(INDEX(Produtos!$C$4:$C$4996,MATCH(D249,Produtos!$B$4:$B$4996,0)),"Produto não encontrado"),"")</f>
        <v>TUBO PEAD ESGOTO D 355</v>
      </c>
      <c r="F249" s="3">
        <v>7</v>
      </c>
      <c r="G249" s="1" t="s">
        <v>176</v>
      </c>
    </row>
    <row r="250" spans="1:7" x14ac:dyDescent="0.3">
      <c r="A250" s="21">
        <f t="shared" si="3"/>
        <v>1</v>
      </c>
      <c r="B250" s="2">
        <v>46073</v>
      </c>
      <c r="C250" s="2" t="s">
        <v>54</v>
      </c>
      <c r="D250" s="44" t="s">
        <v>59</v>
      </c>
      <c r="E250" s="22" t="str">
        <f>IF(D250&lt;&gt;"",IFERROR(INDEX(Produtos!$C$4:$C$4996,MATCH(D250,Produtos!$B$4:$B$4996,0)),"Produto não encontrado"),"")</f>
        <v>TUBO PEAD ESGOTO D 225</v>
      </c>
      <c r="F250" s="3">
        <v>2</v>
      </c>
      <c r="G250" s="1" t="s">
        <v>160</v>
      </c>
    </row>
    <row r="251" spans="1:7" x14ac:dyDescent="0.3">
      <c r="A251" s="21">
        <f t="shared" si="3"/>
        <v>1</v>
      </c>
      <c r="B251" s="2">
        <v>46074</v>
      </c>
      <c r="C251" s="2" t="s">
        <v>54</v>
      </c>
      <c r="D251" s="44" t="s">
        <v>21</v>
      </c>
      <c r="E251" s="22" t="str">
        <f>IF(D251&lt;&gt;"",IFERROR(INDEX(Produtos!$C$4:$C$4996,MATCH(D251,Produtos!$B$4:$B$4996,0)),"Produto não encontrado"),"")</f>
        <v>ADUELA DE 1000</v>
      </c>
      <c r="F251" s="3">
        <v>2</v>
      </c>
      <c r="G251" s="1" t="s">
        <v>173</v>
      </c>
    </row>
    <row r="252" spans="1:7" x14ac:dyDescent="0.3">
      <c r="A252" s="21">
        <f t="shared" si="3"/>
        <v>1</v>
      </c>
      <c r="B252" s="2">
        <v>46074</v>
      </c>
      <c r="C252" s="2" t="s">
        <v>54</v>
      </c>
      <c r="D252" s="44" t="s">
        <v>23</v>
      </c>
      <c r="E252" s="22" t="str">
        <f>IF(D252&lt;&gt;"",IFERROR(INDEX(Produtos!$C$4:$C$4996,MATCH(D252,Produtos!$B$4:$B$4996,0)),"Produto não encontrado"),"")</f>
        <v>LAJE INFERIOR DE 1000</v>
      </c>
      <c r="F252" s="3">
        <v>1</v>
      </c>
      <c r="G252" s="1" t="s">
        <v>173</v>
      </c>
    </row>
    <row r="253" spans="1:7" x14ac:dyDescent="0.3">
      <c r="A253" s="21">
        <f t="shared" si="3"/>
        <v>1</v>
      </c>
      <c r="B253" s="2">
        <v>46074</v>
      </c>
      <c r="C253" s="2" t="s">
        <v>54</v>
      </c>
      <c r="D253" s="44" t="s">
        <v>63</v>
      </c>
      <c r="E253" s="22" t="str">
        <f>IF(D253&lt;&gt;"",IFERROR(INDEX(Produtos!$C$4:$C$4996,MATCH(D253,Produtos!$B$4:$B$4996,0)),"Produto não encontrado"),"")</f>
        <v>TUBO ESGOTO PVC DN 200</v>
      </c>
      <c r="F253" s="3">
        <v>2</v>
      </c>
      <c r="G253" s="1" t="s">
        <v>178</v>
      </c>
    </row>
    <row r="254" spans="1:7" x14ac:dyDescent="0.3">
      <c r="A254" s="21">
        <f t="shared" si="3"/>
        <v>1</v>
      </c>
      <c r="B254" s="2">
        <v>46074</v>
      </c>
      <c r="C254" s="2" t="s">
        <v>54</v>
      </c>
      <c r="D254" s="44" t="s">
        <v>21</v>
      </c>
      <c r="E254" s="22" t="str">
        <f>IF(D254&lt;&gt;"",IFERROR(INDEX(Produtos!$C$4:$C$4996,MATCH(D254,Produtos!$B$4:$B$4996,0)),"Produto não encontrado"),"")</f>
        <v>ADUELA DE 1000</v>
      </c>
      <c r="F254" s="3">
        <v>1</v>
      </c>
      <c r="G254" s="1" t="s">
        <v>161</v>
      </c>
    </row>
    <row r="255" spans="1:7" x14ac:dyDescent="0.3">
      <c r="A255" s="21">
        <f t="shared" si="3"/>
        <v>1</v>
      </c>
      <c r="B255" s="2">
        <v>46074</v>
      </c>
      <c r="C255" s="2" t="s">
        <v>54</v>
      </c>
      <c r="D255" s="44" t="s">
        <v>57</v>
      </c>
      <c r="E255" s="22" t="str">
        <f>IF(D255&lt;&gt;"",IFERROR(INDEX(Produtos!$C$4:$C$4996,MATCH(D255,Produtos!$B$4:$B$4996,0)),"Produto não encontrado"),"")</f>
        <v>TUBO PEAD ESGOTO D 355</v>
      </c>
      <c r="F255" s="3">
        <v>4</v>
      </c>
      <c r="G255" s="1" t="s">
        <v>176</v>
      </c>
    </row>
    <row r="256" spans="1:7" x14ac:dyDescent="0.3">
      <c r="A256" s="21">
        <f t="shared" ref="A256:A319" si="4">IF(C256="Entrada",2,IF(C256="Saída",1,"."))</f>
        <v>1</v>
      </c>
      <c r="B256" s="2">
        <v>46074</v>
      </c>
      <c r="C256" s="2" t="s">
        <v>54</v>
      </c>
      <c r="D256" s="44" t="s">
        <v>71</v>
      </c>
      <c r="E256" s="22" t="str">
        <f>IF(D256&lt;&gt;"",IFERROR(INDEX(Produtos!$C$4:$C$4996,MATCH(D256,Produtos!$B$4:$B$4996,0)),"Produto não encontrado"),"")</f>
        <v>LAJE PRE MONTADA / TAMPÃO DN 600</v>
      </c>
      <c r="F256" s="3">
        <v>1</v>
      </c>
      <c r="G256" s="1" t="s">
        <v>167</v>
      </c>
    </row>
    <row r="257" spans="1:8" x14ac:dyDescent="0.3">
      <c r="A257" s="21">
        <f t="shared" si="4"/>
        <v>1</v>
      </c>
      <c r="B257" s="2" t="s">
        <v>200</v>
      </c>
      <c r="C257" s="2" t="s">
        <v>54</v>
      </c>
      <c r="D257" s="44" t="s">
        <v>21</v>
      </c>
      <c r="E257" s="22" t="str">
        <f>IF(D257&lt;&gt;"",IFERROR(INDEX(Produtos!$C$4:$C$4996,MATCH(D257,Produtos!$B$4:$B$4996,0)),"Produto não encontrado"),"")</f>
        <v>ADUELA DE 1000</v>
      </c>
      <c r="F257" s="3">
        <v>1</v>
      </c>
      <c r="G257" s="1" t="s">
        <v>173</v>
      </c>
    </row>
    <row r="258" spans="1:8" x14ac:dyDescent="0.3">
      <c r="A258" s="21">
        <f t="shared" si="4"/>
        <v>1</v>
      </c>
      <c r="B258" s="2">
        <v>46075</v>
      </c>
      <c r="C258" s="2" t="s">
        <v>54</v>
      </c>
      <c r="D258" s="44" t="s">
        <v>57</v>
      </c>
      <c r="E258" s="22" t="str">
        <f>IF(D258&lt;&gt;"",IFERROR(INDEX(Produtos!$C$4:$C$4996,MATCH(D258,Produtos!$B$4:$B$4996,0)),"Produto não encontrado"),"")</f>
        <v>TUBO PEAD ESGOTO D 355</v>
      </c>
      <c r="F258" s="3">
        <v>10</v>
      </c>
      <c r="G258" s="1" t="s">
        <v>160</v>
      </c>
    </row>
    <row r="259" spans="1:8" x14ac:dyDescent="0.3">
      <c r="A259" s="21">
        <f t="shared" si="4"/>
        <v>1</v>
      </c>
      <c r="B259" s="2">
        <v>46075</v>
      </c>
      <c r="C259" s="2" t="s">
        <v>54</v>
      </c>
      <c r="D259" s="44" t="s">
        <v>21</v>
      </c>
      <c r="E259" s="22" t="str">
        <f>IF(D259&lt;&gt;"",IFERROR(INDEX(Produtos!$C$4:$C$4996,MATCH(D259,Produtos!$B$4:$B$4996,0)),"Produto não encontrado"),"")</f>
        <v>ADUELA DE 1000</v>
      </c>
      <c r="F259" s="3">
        <v>1</v>
      </c>
      <c r="G259" s="1" t="s">
        <v>173</v>
      </c>
    </row>
    <row r="260" spans="1:8" x14ac:dyDescent="0.3">
      <c r="A260" s="21">
        <f t="shared" si="4"/>
        <v>1</v>
      </c>
      <c r="B260" s="2">
        <v>46076</v>
      </c>
      <c r="C260" s="2" t="s">
        <v>54</v>
      </c>
      <c r="D260" s="44" t="s">
        <v>60</v>
      </c>
      <c r="E260" s="22" t="str">
        <f>IF(D260&lt;&gt;"",IFERROR(INDEX(Produtos!$C$4:$C$4996,MATCH(D260,Produtos!$B$4:$B$4996,0)),"Produto não encontrado"),"")</f>
        <v>TUBO PEAD ESGOTO D 450</v>
      </c>
      <c r="F260" s="3">
        <v>10</v>
      </c>
      <c r="G260" s="1" t="s">
        <v>160</v>
      </c>
    </row>
    <row r="261" spans="1:8" x14ac:dyDescent="0.3">
      <c r="A261" s="21">
        <f t="shared" si="4"/>
        <v>1</v>
      </c>
      <c r="B261" s="2">
        <v>46076</v>
      </c>
      <c r="C261" s="2" t="s">
        <v>54</v>
      </c>
      <c r="D261" s="44" t="s">
        <v>21</v>
      </c>
      <c r="E261" s="22" t="str">
        <f>IF(D261&lt;&gt;"",IFERROR(INDEX(Produtos!$C$4:$C$4996,MATCH(D261,Produtos!$B$4:$B$4996,0)),"Produto não encontrado"),"")</f>
        <v>ADUELA DE 1000</v>
      </c>
      <c r="F261" s="3">
        <v>2</v>
      </c>
      <c r="G261" s="1" t="s">
        <v>167</v>
      </c>
    </row>
    <row r="262" spans="1:8" x14ac:dyDescent="0.3">
      <c r="A262" s="21">
        <f t="shared" si="4"/>
        <v>1</v>
      </c>
      <c r="B262" s="2">
        <v>46076</v>
      </c>
      <c r="C262" s="2" t="s">
        <v>54</v>
      </c>
      <c r="D262" s="44" t="s">
        <v>63</v>
      </c>
      <c r="E262" s="22" t="str">
        <f>IF(D262&lt;&gt;"",IFERROR(INDEX(Produtos!$C$4:$C$4996,MATCH(D262,Produtos!$B$4:$B$4996,0)),"Produto não encontrado"),"")</f>
        <v>TUBO ESGOTO PVC DN 200</v>
      </c>
      <c r="F262" s="3">
        <v>1</v>
      </c>
      <c r="G262" s="1" t="s">
        <v>175</v>
      </c>
    </row>
    <row r="263" spans="1:8" x14ac:dyDescent="0.3">
      <c r="A263" s="21">
        <f t="shared" si="4"/>
        <v>1</v>
      </c>
      <c r="B263" s="2">
        <v>46076</v>
      </c>
      <c r="C263" s="2" t="s">
        <v>54</v>
      </c>
      <c r="D263" s="44" t="s">
        <v>57</v>
      </c>
      <c r="E263" s="22" t="str">
        <f>IF(D263&lt;&gt;"",IFERROR(INDEX(Produtos!$C$4:$C$4996,MATCH(D263,Produtos!$B$4:$B$4996,0)),"Produto não encontrado"),"")</f>
        <v>TUBO PEAD ESGOTO D 355</v>
      </c>
      <c r="F263" s="3">
        <v>12</v>
      </c>
      <c r="G263" s="1" t="s">
        <v>170</v>
      </c>
    </row>
    <row r="264" spans="1:8" x14ac:dyDescent="0.3">
      <c r="A264" s="21">
        <f t="shared" si="4"/>
        <v>1</v>
      </c>
      <c r="B264" s="2">
        <v>46076</v>
      </c>
      <c r="C264" s="2" t="s">
        <v>54</v>
      </c>
      <c r="D264" s="44" t="s">
        <v>60</v>
      </c>
      <c r="E264" s="22" t="str">
        <f>IF(D264&lt;&gt;"",IFERROR(INDEX(Produtos!$C$4:$C$4996,MATCH(D264,Produtos!$B$4:$B$4996,0)),"Produto não encontrado"),"")</f>
        <v>TUBO PEAD ESGOTO D 450</v>
      </c>
      <c r="F264" s="3">
        <v>15</v>
      </c>
      <c r="G264" s="1" t="s">
        <v>160</v>
      </c>
    </row>
    <row r="265" spans="1:8" x14ac:dyDescent="0.3">
      <c r="A265" s="21">
        <f t="shared" si="4"/>
        <v>2</v>
      </c>
      <c r="B265" s="2">
        <v>46076</v>
      </c>
      <c r="C265" s="2" t="s">
        <v>28</v>
      </c>
      <c r="D265" s="44" t="s">
        <v>57</v>
      </c>
      <c r="E265" s="22" t="str">
        <f>IF(D265&lt;&gt;"",IFERROR(INDEX(Produtos!$C$4:$C$4996,MATCH(D265,Produtos!$B$4:$B$4996,0)),"Produto não encontrado"),"")</f>
        <v>TUBO PEAD ESGOTO D 355</v>
      </c>
      <c r="F265" s="3">
        <v>12</v>
      </c>
      <c r="G265" s="1" t="s">
        <v>170</v>
      </c>
      <c r="H265" s="1" t="s">
        <v>196</v>
      </c>
    </row>
    <row r="266" spans="1:8" x14ac:dyDescent="0.3">
      <c r="A266" s="21">
        <f t="shared" si="4"/>
        <v>2</v>
      </c>
      <c r="B266" s="2">
        <v>46077</v>
      </c>
      <c r="C266" s="2" t="s">
        <v>28</v>
      </c>
      <c r="D266" s="44" t="s">
        <v>21</v>
      </c>
      <c r="E266" s="22" t="str">
        <f>IF(D266&lt;&gt;"",IFERROR(INDEX(Produtos!$C$4:$C$4996,MATCH(D266,Produtos!$B$4:$B$4996,0)),"Produto não encontrado"),"")</f>
        <v>ADUELA DE 1000</v>
      </c>
      <c r="F266" s="3">
        <v>20</v>
      </c>
      <c r="G266" s="1" t="s">
        <v>185</v>
      </c>
    </row>
    <row r="267" spans="1:8" x14ac:dyDescent="0.3">
      <c r="A267" s="21">
        <f t="shared" si="4"/>
        <v>1</v>
      </c>
      <c r="B267" s="2">
        <v>46077</v>
      </c>
      <c r="C267" s="2" t="s">
        <v>54</v>
      </c>
      <c r="D267" s="44" t="s">
        <v>57</v>
      </c>
      <c r="E267" s="22" t="str">
        <f>IF(D267&lt;&gt;"",IFERROR(INDEX(Produtos!$C$4:$C$4996,MATCH(D267,Produtos!$B$4:$B$4996,0)),"Produto não encontrado"),"")</f>
        <v>TUBO PEAD ESGOTO D 355</v>
      </c>
      <c r="F267" s="3">
        <v>12</v>
      </c>
      <c r="G267" s="1" t="s">
        <v>170</v>
      </c>
    </row>
    <row r="268" spans="1:8" x14ac:dyDescent="0.3">
      <c r="A268" s="21">
        <f t="shared" si="4"/>
        <v>1</v>
      </c>
      <c r="B268" s="2">
        <v>46077</v>
      </c>
      <c r="C268" s="2" t="s">
        <v>54</v>
      </c>
      <c r="D268" s="44" t="s">
        <v>57</v>
      </c>
      <c r="E268" s="22" t="str">
        <f>IF(D268&lt;&gt;"",IFERROR(INDEX(Produtos!$C$4:$C$4996,MATCH(D268,Produtos!$B$4:$B$4996,0)),"Produto não encontrado"),"")</f>
        <v>TUBO PEAD ESGOTO D 355</v>
      </c>
      <c r="F268" s="3">
        <v>12</v>
      </c>
      <c r="G268" s="1" t="s">
        <v>170</v>
      </c>
    </row>
    <row r="269" spans="1:8" x14ac:dyDescent="0.3">
      <c r="A269" s="21">
        <f t="shared" si="4"/>
        <v>1</v>
      </c>
      <c r="B269" s="2">
        <v>46077</v>
      </c>
      <c r="C269" s="2" t="s">
        <v>54</v>
      </c>
      <c r="D269" s="44" t="s">
        <v>21</v>
      </c>
      <c r="E269" s="22" t="str">
        <f>IF(D269&lt;&gt;"",IFERROR(INDEX(Produtos!$C$4:$C$4996,MATCH(D269,Produtos!$B$4:$B$4996,0)),"Produto não encontrado"),"")</f>
        <v>ADUELA DE 1000</v>
      </c>
      <c r="F269" s="3">
        <v>2</v>
      </c>
      <c r="G269" s="1" t="s">
        <v>175</v>
      </c>
    </row>
    <row r="270" spans="1:8" x14ac:dyDescent="0.3">
      <c r="A270" s="21">
        <f t="shared" si="4"/>
        <v>1</v>
      </c>
      <c r="B270" s="2">
        <v>46077</v>
      </c>
      <c r="C270" s="2" t="s">
        <v>54</v>
      </c>
      <c r="D270" s="44" t="s">
        <v>23</v>
      </c>
      <c r="E270" s="22" t="str">
        <f>IF(D270&lt;&gt;"",IFERROR(INDEX(Produtos!$C$4:$C$4996,MATCH(D270,Produtos!$B$4:$B$4996,0)),"Produto não encontrado"),"")</f>
        <v>LAJE INFERIOR DE 1000</v>
      </c>
      <c r="F270" s="3">
        <v>1</v>
      </c>
      <c r="G270" s="1" t="s">
        <v>175</v>
      </c>
    </row>
    <row r="271" spans="1:8" x14ac:dyDescent="0.3">
      <c r="A271" s="21">
        <f t="shared" si="4"/>
        <v>2</v>
      </c>
      <c r="B271" s="2">
        <v>46077</v>
      </c>
      <c r="C271" s="2" t="s">
        <v>28</v>
      </c>
      <c r="D271" s="44" t="s">
        <v>66</v>
      </c>
      <c r="E271" s="22" t="str">
        <f>IF(D271&lt;&gt;"",IFERROR(INDEX(Produtos!$C$4:$C$4996,MATCH(D271,Produtos!$B$4:$B$4996,0)),"Produto não encontrado"),"")</f>
        <v>CHAPA ARMICO</v>
      </c>
      <c r="F271" s="3">
        <v>24</v>
      </c>
      <c r="G271" s="1" t="s">
        <v>170</v>
      </c>
      <c r="H271" s="1" t="s">
        <v>201</v>
      </c>
    </row>
    <row r="272" spans="1:8" x14ac:dyDescent="0.3">
      <c r="A272" s="21">
        <f t="shared" si="4"/>
        <v>1</v>
      </c>
      <c r="B272" s="2">
        <v>46077</v>
      </c>
      <c r="C272" s="2" t="s">
        <v>54</v>
      </c>
      <c r="D272" s="44" t="s">
        <v>66</v>
      </c>
      <c r="E272" s="22" t="str">
        <f>IF(D272&lt;&gt;"",IFERROR(INDEX(Produtos!$C$4:$C$4996,MATCH(D272,Produtos!$B$4:$B$4996,0)),"Produto não encontrado"),"")</f>
        <v>CHAPA ARMICO</v>
      </c>
      <c r="F272" s="3">
        <v>24</v>
      </c>
      <c r="G272" s="1" t="s">
        <v>169</v>
      </c>
      <c r="H272" s="1" t="s">
        <v>201</v>
      </c>
    </row>
    <row r="273" spans="1:8" x14ac:dyDescent="0.3">
      <c r="A273" s="21">
        <f t="shared" si="4"/>
        <v>1</v>
      </c>
      <c r="B273" s="2">
        <v>46077</v>
      </c>
      <c r="C273" s="2" t="s">
        <v>54</v>
      </c>
      <c r="D273" s="44" t="s">
        <v>67</v>
      </c>
      <c r="E273" s="22" t="str">
        <f>IF(D273&lt;&gt;"",IFERROR(INDEX(Produtos!$C$4:$C$4996,MATCH(D273,Produtos!$B$4:$B$4996,0)),"Produto não encontrado"),"")</f>
        <v>BLOCO DE PV</v>
      </c>
      <c r="F273" s="3">
        <v>20</v>
      </c>
      <c r="G273" s="1" t="s">
        <v>169</v>
      </c>
    </row>
    <row r="274" spans="1:8" x14ac:dyDescent="0.3">
      <c r="A274" s="21">
        <f t="shared" si="4"/>
        <v>1</v>
      </c>
      <c r="B274" s="2">
        <v>46077</v>
      </c>
      <c r="C274" s="2" t="s">
        <v>54</v>
      </c>
      <c r="D274" s="44" t="s">
        <v>66</v>
      </c>
      <c r="E274" s="22" t="str">
        <f>IF(D274&lt;&gt;"",IFERROR(INDEX(Produtos!$C$4:$C$4996,MATCH(D274,Produtos!$B$4:$B$4996,0)),"Produto não encontrado"),"")</f>
        <v>CHAPA ARMICO</v>
      </c>
      <c r="F274" s="3">
        <v>60</v>
      </c>
      <c r="G274" s="1" t="s">
        <v>170</v>
      </c>
    </row>
    <row r="275" spans="1:8" x14ac:dyDescent="0.3">
      <c r="A275" s="21">
        <f t="shared" si="4"/>
        <v>2</v>
      </c>
      <c r="B275" s="2">
        <v>46078</v>
      </c>
      <c r="C275" s="2" t="s">
        <v>28</v>
      </c>
      <c r="D275" s="44" t="s">
        <v>66</v>
      </c>
      <c r="E275" s="22" t="str">
        <f>IF(D275&lt;&gt;"",IFERROR(INDEX(Produtos!$C$4:$C$4996,MATCH(D275,Produtos!$B$4:$B$4996,0)),"Produto não encontrado"),"")</f>
        <v>CHAPA ARMICO</v>
      </c>
      <c r="F275" s="3">
        <v>16</v>
      </c>
      <c r="G275" s="1" t="s">
        <v>170</v>
      </c>
      <c r="H275" s="1" t="s">
        <v>196</v>
      </c>
    </row>
    <row r="276" spans="1:8" x14ac:dyDescent="0.3">
      <c r="A276" s="21">
        <f t="shared" si="4"/>
        <v>1</v>
      </c>
      <c r="B276" s="2">
        <v>46077</v>
      </c>
      <c r="C276" s="2" t="s">
        <v>54</v>
      </c>
      <c r="D276" s="44" t="s">
        <v>21</v>
      </c>
      <c r="E276" s="22" t="str">
        <f>IF(D276&lt;&gt;"",IFERROR(INDEX(Produtos!$C$4:$C$4996,MATCH(D276,Produtos!$B$4:$B$4996,0)),"Produto não encontrado"),"")</f>
        <v>ADUELA DE 1000</v>
      </c>
      <c r="F276" s="3">
        <v>3</v>
      </c>
      <c r="G276" s="1" t="s">
        <v>162</v>
      </c>
    </row>
    <row r="277" spans="1:8" x14ac:dyDescent="0.3">
      <c r="A277" s="21">
        <f t="shared" si="4"/>
        <v>1</v>
      </c>
      <c r="B277" s="2">
        <v>46077</v>
      </c>
      <c r="C277" s="2" t="s">
        <v>54</v>
      </c>
      <c r="D277" s="44" t="s">
        <v>71</v>
      </c>
      <c r="E277" s="22" t="str">
        <f>IF(D277&lt;&gt;"",IFERROR(INDEX(Produtos!$C$4:$C$4996,MATCH(D277,Produtos!$B$4:$B$4996,0)),"Produto não encontrado"),"")</f>
        <v>LAJE PRE MONTADA / TAMPÃO DN 600</v>
      </c>
      <c r="F277" s="3">
        <v>1</v>
      </c>
      <c r="G277" s="1" t="s">
        <v>162</v>
      </c>
    </row>
    <row r="278" spans="1:8" x14ac:dyDescent="0.3">
      <c r="A278" s="21">
        <f t="shared" si="4"/>
        <v>1</v>
      </c>
      <c r="B278" s="2">
        <v>46078</v>
      </c>
      <c r="C278" s="2" t="s">
        <v>54</v>
      </c>
      <c r="D278" s="44" t="s">
        <v>60</v>
      </c>
      <c r="E278" s="22" t="str">
        <f>IF(D278&lt;&gt;"",IFERROR(INDEX(Produtos!$C$4:$C$4996,MATCH(D278,Produtos!$B$4:$B$4996,0)),"Produto não encontrado"),"")</f>
        <v>TUBO PEAD ESGOTO D 450</v>
      </c>
      <c r="F278" s="3">
        <v>8</v>
      </c>
      <c r="G278" s="1" t="s">
        <v>160</v>
      </c>
    </row>
    <row r="279" spans="1:8" x14ac:dyDescent="0.3">
      <c r="A279" s="21">
        <f t="shared" si="4"/>
        <v>1</v>
      </c>
      <c r="B279" s="2">
        <v>46078</v>
      </c>
      <c r="C279" s="2" t="s">
        <v>54</v>
      </c>
      <c r="D279" s="44" t="s">
        <v>66</v>
      </c>
      <c r="E279" s="22" t="str">
        <f>IF(D279&lt;&gt;"",IFERROR(INDEX(Produtos!$C$4:$C$4996,MATCH(D279,Produtos!$B$4:$B$4996,0)),"Produto não encontrado"),"")</f>
        <v>CHAPA ARMICO</v>
      </c>
      <c r="F279" s="3">
        <v>60</v>
      </c>
      <c r="G279" s="1" t="s">
        <v>170</v>
      </c>
    </row>
    <row r="280" spans="1:8" x14ac:dyDescent="0.3">
      <c r="A280" s="21">
        <f t="shared" si="4"/>
        <v>1</v>
      </c>
      <c r="B280" s="2">
        <v>46078</v>
      </c>
      <c r="C280" s="2" t="s">
        <v>54</v>
      </c>
      <c r="D280" s="44" t="s">
        <v>22</v>
      </c>
      <c r="E280" s="22" t="str">
        <f>IF(D280&lt;&gt;"",IFERROR(INDEX(Produtos!$C$4:$C$4996,MATCH(D280,Produtos!$B$4:$B$4996,0)),"Produto não encontrado"),"")</f>
        <v>ADUELA DE 600</v>
      </c>
      <c r="F280" s="3">
        <v>1</v>
      </c>
      <c r="G280" s="1" t="s">
        <v>169</v>
      </c>
    </row>
    <row r="281" spans="1:8" x14ac:dyDescent="0.3">
      <c r="A281" s="21">
        <f t="shared" si="4"/>
        <v>1</v>
      </c>
      <c r="B281" s="2">
        <v>46078</v>
      </c>
      <c r="C281" s="2" t="s">
        <v>54</v>
      </c>
      <c r="D281" s="44" t="s">
        <v>65</v>
      </c>
      <c r="E281" s="22" t="str">
        <f>IF(D281&lt;&gt;"",IFERROR(INDEX(Produtos!$C$4:$C$4996,MATCH(D281,Produtos!$B$4:$B$4996,0)),"Produto não encontrado"),"")</f>
        <v>TUBO ESGOTO PVC DN 100</v>
      </c>
      <c r="F281" s="3">
        <v>1</v>
      </c>
      <c r="G281" s="1" t="s">
        <v>202</v>
      </c>
    </row>
    <row r="282" spans="1:8" x14ac:dyDescent="0.3">
      <c r="A282" s="21">
        <f t="shared" si="4"/>
        <v>1</v>
      </c>
      <c r="B282" s="2">
        <v>46078</v>
      </c>
      <c r="C282" s="2" t="s">
        <v>54</v>
      </c>
      <c r="D282" s="44" t="s">
        <v>66</v>
      </c>
      <c r="E282" s="22" t="str">
        <f>IF(D282&lt;&gt;"",IFERROR(INDEX(Produtos!$C$4:$C$4996,MATCH(D282,Produtos!$B$4:$B$4996,0)),"Produto não encontrado"),"")</f>
        <v>CHAPA ARMICO</v>
      </c>
      <c r="F282" s="3">
        <v>30</v>
      </c>
      <c r="G282" s="1" t="s">
        <v>161</v>
      </c>
    </row>
    <row r="283" spans="1:8" x14ac:dyDescent="0.3">
      <c r="A283" s="21">
        <f t="shared" si="4"/>
        <v>1</v>
      </c>
      <c r="B283" s="2">
        <v>46078</v>
      </c>
      <c r="C283" s="2" t="s">
        <v>54</v>
      </c>
      <c r="D283" s="44" t="s">
        <v>60</v>
      </c>
      <c r="E283" s="22" t="str">
        <f>IF(D283&lt;&gt;"",IFERROR(INDEX(Produtos!$C$4:$C$4996,MATCH(D283,Produtos!$B$4:$B$4996,0)),"Produto não encontrado"),"")</f>
        <v>TUBO PEAD ESGOTO D 450</v>
      </c>
      <c r="F283" s="3">
        <v>11</v>
      </c>
      <c r="G283" s="1" t="s">
        <v>160</v>
      </c>
    </row>
    <row r="284" spans="1:8" x14ac:dyDescent="0.3">
      <c r="A284" s="21">
        <f t="shared" si="4"/>
        <v>2</v>
      </c>
      <c r="B284" s="2">
        <v>46079</v>
      </c>
      <c r="C284" s="2" t="s">
        <v>28</v>
      </c>
      <c r="D284" s="44" t="s">
        <v>21</v>
      </c>
      <c r="E284" s="22" t="str">
        <f>IF(D284&lt;&gt;"",IFERROR(INDEX(Produtos!$C$4:$C$4996,MATCH(D284,Produtos!$B$4:$B$4996,0)),"Produto não encontrado"),"")</f>
        <v>ADUELA DE 1000</v>
      </c>
      <c r="F284" s="3">
        <v>30</v>
      </c>
      <c r="G284" s="1" t="s">
        <v>185</v>
      </c>
    </row>
    <row r="285" spans="1:8" x14ac:dyDescent="0.3">
      <c r="A285" s="21">
        <f t="shared" si="4"/>
        <v>1</v>
      </c>
      <c r="B285" s="2">
        <v>46078</v>
      </c>
      <c r="C285" s="2" t="s">
        <v>54</v>
      </c>
      <c r="D285" s="44" t="s">
        <v>21</v>
      </c>
      <c r="E285" s="22" t="str">
        <f>IF(D285&lt;&gt;"",IFERROR(INDEX(Produtos!$C$4:$C$4996,MATCH(D285,Produtos!$B$4:$B$4996,0)),"Produto não encontrado"),"")</f>
        <v>ADUELA DE 1000</v>
      </c>
      <c r="F285" s="3">
        <v>1</v>
      </c>
      <c r="G285" s="1" t="s">
        <v>171</v>
      </c>
    </row>
    <row r="286" spans="1:8" x14ac:dyDescent="0.3">
      <c r="A286" s="21">
        <f t="shared" si="4"/>
        <v>1</v>
      </c>
      <c r="B286" s="2">
        <v>46078</v>
      </c>
      <c r="C286" s="2" t="s">
        <v>54</v>
      </c>
      <c r="D286" s="44" t="s">
        <v>23</v>
      </c>
      <c r="E286" s="22" t="str">
        <f>IF(D286&lt;&gt;"",IFERROR(INDEX(Produtos!$C$4:$C$4996,MATCH(D286,Produtos!$B$4:$B$4996,0)),"Produto não encontrado"),"")</f>
        <v>LAJE INFERIOR DE 1000</v>
      </c>
      <c r="F286" s="3">
        <v>2</v>
      </c>
      <c r="G286" s="1" t="s">
        <v>171</v>
      </c>
    </row>
    <row r="287" spans="1:8" x14ac:dyDescent="0.3">
      <c r="A287" s="21">
        <f t="shared" si="4"/>
        <v>1</v>
      </c>
      <c r="B287" s="2">
        <v>46079</v>
      </c>
      <c r="C287" s="2" t="s">
        <v>54</v>
      </c>
      <c r="D287" s="44" t="s">
        <v>63</v>
      </c>
      <c r="E287" s="22" t="str">
        <f>IF(D287&lt;&gt;"",IFERROR(INDEX(Produtos!$C$4:$C$4996,MATCH(D287,Produtos!$B$4:$B$4996,0)),"Produto não encontrado"),"")</f>
        <v>TUBO ESGOTO PVC DN 200</v>
      </c>
      <c r="F287" s="3">
        <v>2</v>
      </c>
      <c r="G287" s="1" t="s">
        <v>162</v>
      </c>
    </row>
    <row r="288" spans="1:8" x14ac:dyDescent="0.3">
      <c r="A288" s="21">
        <f t="shared" si="4"/>
        <v>2</v>
      </c>
      <c r="B288" s="2">
        <v>46079</v>
      </c>
      <c r="C288" s="2" t="s">
        <v>28</v>
      </c>
      <c r="D288" s="44" t="s">
        <v>66</v>
      </c>
      <c r="E288" s="22" t="str">
        <f>IF(D288&lt;&gt;"",IFERROR(INDEX(Produtos!$C$4:$C$4996,MATCH(D288,Produtos!$B$4:$B$4996,0)),"Produto não encontrado"),"")</f>
        <v>CHAPA ARMICO</v>
      </c>
      <c r="F288" s="3">
        <v>30</v>
      </c>
      <c r="G288" s="1" t="s">
        <v>169</v>
      </c>
      <c r="H288" s="1" t="s">
        <v>196</v>
      </c>
    </row>
    <row r="289" spans="1:7" x14ac:dyDescent="0.3">
      <c r="A289" s="21">
        <f t="shared" si="4"/>
        <v>1</v>
      </c>
      <c r="B289" s="2">
        <v>46079</v>
      </c>
      <c r="C289" s="2" t="s">
        <v>54</v>
      </c>
      <c r="D289" s="44" t="s">
        <v>67</v>
      </c>
      <c r="E289" s="22" t="str">
        <f>IF(D289&lt;&gt;"",IFERROR(INDEX(Produtos!$C$4:$C$4996,MATCH(D289,Produtos!$B$4:$B$4996,0)),"Produto não encontrado"),"")</f>
        <v>BLOCO DE PV</v>
      </c>
      <c r="F289" s="3">
        <v>8</v>
      </c>
      <c r="G289" s="1" t="s">
        <v>169</v>
      </c>
    </row>
    <row r="290" spans="1:7" x14ac:dyDescent="0.3">
      <c r="A290" s="21">
        <f t="shared" si="4"/>
        <v>1</v>
      </c>
      <c r="B290" s="2">
        <v>46079</v>
      </c>
      <c r="C290" s="2" t="s">
        <v>54</v>
      </c>
      <c r="D290" s="44" t="s">
        <v>57</v>
      </c>
      <c r="E290" s="22" t="str">
        <f>IF(D290&lt;&gt;"",IFERROR(INDEX(Produtos!$C$4:$C$4996,MATCH(D290,Produtos!$B$4:$B$4996,0)),"Produto não encontrado"),"")</f>
        <v>TUBO PEAD ESGOTO D 355</v>
      </c>
      <c r="F290" s="3">
        <v>20</v>
      </c>
      <c r="G290" s="1" t="s">
        <v>170</v>
      </c>
    </row>
    <row r="291" spans="1:7" x14ac:dyDescent="0.3">
      <c r="A291" s="21">
        <f t="shared" si="4"/>
        <v>1</v>
      </c>
      <c r="B291" s="2">
        <v>46079</v>
      </c>
      <c r="C291" s="2" t="s">
        <v>54</v>
      </c>
      <c r="D291" s="44" t="s">
        <v>66</v>
      </c>
      <c r="E291" s="22" t="str">
        <f>IF(D291&lt;&gt;"",IFERROR(INDEX(Produtos!$C$4:$C$4996,MATCH(D291,Produtos!$B$4:$B$4996,0)),"Produto não encontrado"),"")</f>
        <v>CHAPA ARMICO</v>
      </c>
      <c r="F291" s="3">
        <v>4</v>
      </c>
      <c r="G291" s="1" t="s">
        <v>192</v>
      </c>
    </row>
    <row r="292" spans="1:7" x14ac:dyDescent="0.3">
      <c r="A292" s="21">
        <f t="shared" si="4"/>
        <v>1</v>
      </c>
      <c r="B292" s="2">
        <v>46079</v>
      </c>
      <c r="C292" s="2" t="s">
        <v>54</v>
      </c>
      <c r="D292" s="44" t="s">
        <v>22</v>
      </c>
      <c r="E292" s="22" t="str">
        <f>IF(D292&lt;&gt;"",IFERROR(INDEX(Produtos!$C$4:$C$4996,MATCH(D292,Produtos!$B$4:$B$4996,0)),"Produto não encontrado"),"")</f>
        <v>ADUELA DE 600</v>
      </c>
      <c r="F292" s="3">
        <v>1</v>
      </c>
      <c r="G292" s="1" t="s">
        <v>204</v>
      </c>
    </row>
    <row r="293" spans="1:7" x14ac:dyDescent="0.3">
      <c r="A293" s="21">
        <f t="shared" si="4"/>
        <v>1</v>
      </c>
      <c r="B293" s="2">
        <v>46079</v>
      </c>
      <c r="C293" s="2" t="s">
        <v>54</v>
      </c>
      <c r="D293" s="44" t="s">
        <v>21</v>
      </c>
      <c r="E293" s="22" t="str">
        <f>IF(D293&lt;&gt;"",IFERROR(INDEX(Produtos!$C$4:$C$4996,MATCH(D293,Produtos!$B$4:$B$4996,0)),"Produto não encontrado"),"")</f>
        <v>ADUELA DE 1000</v>
      </c>
      <c r="F293" s="3">
        <v>1</v>
      </c>
      <c r="G293" s="1" t="s">
        <v>175</v>
      </c>
    </row>
    <row r="294" spans="1:7" x14ac:dyDescent="0.3">
      <c r="A294" s="21">
        <f t="shared" si="4"/>
        <v>1</v>
      </c>
      <c r="B294" s="2">
        <v>46079</v>
      </c>
      <c r="C294" s="2" t="s">
        <v>54</v>
      </c>
      <c r="D294" s="44" t="s">
        <v>56</v>
      </c>
      <c r="E294" s="22" t="str">
        <f>IF(D294&lt;&gt;"",IFERROR(INDEX(Produtos!$C$4:$C$4996,MATCH(D294,Produtos!$B$4:$B$4996,0)),"Produto não encontrado"),"")</f>
        <v>LAJE SURPERIOR DE 1000</v>
      </c>
      <c r="F294" s="3">
        <v>1</v>
      </c>
      <c r="G294" s="1" t="s">
        <v>175</v>
      </c>
    </row>
    <row r="295" spans="1:7" x14ac:dyDescent="0.3">
      <c r="A295" s="21">
        <f t="shared" si="4"/>
        <v>1</v>
      </c>
      <c r="B295" s="2">
        <v>46079</v>
      </c>
      <c r="C295" s="2" t="s">
        <v>54</v>
      </c>
      <c r="D295" s="44" t="s">
        <v>21</v>
      </c>
      <c r="E295" s="22" t="str">
        <f>IF(D295&lt;&gt;"",IFERROR(INDEX(Produtos!$C$4:$C$4996,MATCH(D295,Produtos!$B$4:$B$4996,0)),"Produto não encontrado"),"")</f>
        <v>ADUELA DE 1000</v>
      </c>
      <c r="F295" s="3">
        <v>2</v>
      </c>
      <c r="G295" s="1" t="s">
        <v>171</v>
      </c>
    </row>
    <row r="296" spans="1:7" x14ac:dyDescent="0.3">
      <c r="A296" s="21">
        <f t="shared" si="4"/>
        <v>1</v>
      </c>
      <c r="B296" s="2">
        <v>46079</v>
      </c>
      <c r="C296" s="2" t="s">
        <v>54</v>
      </c>
      <c r="D296" s="44" t="s">
        <v>59</v>
      </c>
      <c r="E296" s="22" t="str">
        <f>IF(D296&lt;&gt;"",IFERROR(INDEX(Produtos!$C$4:$C$4996,MATCH(D296,Produtos!$B$4:$B$4996,0)),"Produto não encontrado"),"")</f>
        <v>TUBO PEAD ESGOTO D 225</v>
      </c>
      <c r="F296" s="3">
        <v>30</v>
      </c>
      <c r="G296" s="1" t="s">
        <v>170</v>
      </c>
    </row>
    <row r="297" spans="1:7" x14ac:dyDescent="0.3">
      <c r="A297" s="21">
        <f t="shared" si="4"/>
        <v>2</v>
      </c>
      <c r="B297" s="2">
        <v>46079</v>
      </c>
      <c r="C297" s="2" t="s">
        <v>28</v>
      </c>
      <c r="D297" s="44" t="s">
        <v>72</v>
      </c>
      <c r="E297" s="22" t="str">
        <f>IF(D297&lt;&gt;"",IFERROR(INDEX(Produtos!$C$4:$C$4996,MATCH(D297,Produtos!$B$4:$B$4996,0)),"Produto não encontrado"),"")</f>
        <v xml:space="preserve">MADEIRITE </v>
      </c>
      <c r="F297" s="3">
        <v>16</v>
      </c>
    </row>
    <row r="298" spans="1:7" x14ac:dyDescent="0.3">
      <c r="A298" s="21">
        <f t="shared" si="4"/>
        <v>1</v>
      </c>
      <c r="B298" s="2">
        <v>46079</v>
      </c>
      <c r="C298" s="2" t="s">
        <v>54</v>
      </c>
      <c r="D298" s="44" t="s">
        <v>72</v>
      </c>
      <c r="E298" s="22" t="str">
        <f>IF(D298&lt;&gt;"",IFERROR(INDEX(Produtos!$C$4:$C$4996,MATCH(D298,Produtos!$B$4:$B$4996,0)),"Produto não encontrado"),"")</f>
        <v xml:space="preserve">MADEIRITE </v>
      </c>
      <c r="F298" s="3">
        <v>11</v>
      </c>
      <c r="G298" s="1" t="s">
        <v>206</v>
      </c>
    </row>
    <row r="299" spans="1:7" x14ac:dyDescent="0.3">
      <c r="A299" s="21">
        <f t="shared" si="4"/>
        <v>2</v>
      </c>
      <c r="B299" s="2">
        <v>46080</v>
      </c>
      <c r="C299" s="2" t="s">
        <v>28</v>
      </c>
      <c r="D299" s="44" t="s">
        <v>21</v>
      </c>
      <c r="E299" s="22" t="str">
        <f>IF(D299&lt;&gt;"",IFERROR(INDEX(Produtos!$C$4:$C$4996,MATCH(D299,Produtos!$B$4:$B$4996,0)),"Produto não encontrado"),"")</f>
        <v>ADUELA DE 1000</v>
      </c>
      <c r="F299" s="3">
        <v>48</v>
      </c>
      <c r="G299" s="1" t="s">
        <v>185</v>
      </c>
    </row>
    <row r="300" spans="1:7" x14ac:dyDescent="0.3">
      <c r="A300" s="21">
        <f t="shared" si="4"/>
        <v>2</v>
      </c>
      <c r="B300" s="2">
        <v>46080</v>
      </c>
      <c r="C300" s="2" t="s">
        <v>28</v>
      </c>
      <c r="D300" s="44" t="s">
        <v>60</v>
      </c>
      <c r="E300" s="22" t="str">
        <f>IF(D300&lt;&gt;"",IFERROR(INDEX(Produtos!$C$4:$C$4996,MATCH(D300,Produtos!$B$4:$B$4996,0)),"Produto não encontrado"),"")</f>
        <v>TUBO PEAD ESGOTO D 450</v>
      </c>
      <c r="F300" s="3">
        <v>100</v>
      </c>
      <c r="G300" s="1" t="s">
        <v>183</v>
      </c>
    </row>
    <row r="301" spans="1:7" x14ac:dyDescent="0.3">
      <c r="A301" s="21">
        <f t="shared" si="4"/>
        <v>1</v>
      </c>
      <c r="B301" s="2">
        <v>46079</v>
      </c>
      <c r="C301" s="2" t="s">
        <v>54</v>
      </c>
      <c r="D301" s="44" t="s">
        <v>72</v>
      </c>
      <c r="E301" s="22" t="str">
        <f>IF(D301&lt;&gt;"",IFERROR(INDEX(Produtos!$C$4:$C$4996,MATCH(D301,Produtos!$B$4:$B$4996,0)),"Produto não encontrado"),"")</f>
        <v xml:space="preserve">MADEIRITE </v>
      </c>
      <c r="F301" s="3">
        <v>3</v>
      </c>
      <c r="G301" s="1" t="s">
        <v>207</v>
      </c>
    </row>
    <row r="302" spans="1:7" x14ac:dyDescent="0.3">
      <c r="A302" s="21">
        <f t="shared" si="4"/>
        <v>1</v>
      </c>
      <c r="B302" s="2">
        <v>46079</v>
      </c>
      <c r="C302" s="2" t="s">
        <v>54</v>
      </c>
      <c r="D302" s="44" t="s">
        <v>69</v>
      </c>
      <c r="E302" s="22" t="str">
        <f>IF(D302&lt;&gt;"",IFERROR(INDEX(Produtos!$C$4:$C$4996,MATCH(D302,Produtos!$B$4:$B$4996,0)),"Produto não encontrado"),"")</f>
        <v>GUIA</v>
      </c>
      <c r="F302" s="3">
        <v>3</v>
      </c>
      <c r="G302" s="1" t="s">
        <v>204</v>
      </c>
    </row>
    <row r="303" spans="1:7" x14ac:dyDescent="0.3">
      <c r="A303" s="21">
        <f t="shared" si="4"/>
        <v>1</v>
      </c>
      <c r="B303" s="2">
        <v>46079</v>
      </c>
      <c r="C303" s="2" t="s">
        <v>54</v>
      </c>
      <c r="D303" s="44" t="s">
        <v>71</v>
      </c>
      <c r="E303" s="22" t="str">
        <f>IF(D303&lt;&gt;"",IFERROR(INDEX(Produtos!$C$4:$C$4996,MATCH(D303,Produtos!$B$4:$B$4996,0)),"Produto não encontrado"),"")</f>
        <v>LAJE PRE MONTADA / TAMPÃO DN 600</v>
      </c>
      <c r="F303" s="3">
        <v>1</v>
      </c>
      <c r="G303" s="1" t="s">
        <v>175</v>
      </c>
    </row>
    <row r="304" spans="1:7" x14ac:dyDescent="0.3">
      <c r="A304" s="21">
        <f t="shared" si="4"/>
        <v>1</v>
      </c>
      <c r="B304" s="2">
        <v>46079</v>
      </c>
      <c r="C304" s="2" t="s">
        <v>54</v>
      </c>
      <c r="D304" s="44" t="s">
        <v>22</v>
      </c>
      <c r="E304" s="22" t="str">
        <f>IF(D304&lt;&gt;"",IFERROR(INDEX(Produtos!$C$4:$C$4996,MATCH(D304,Produtos!$B$4:$B$4996,0)),"Produto não encontrado"),"")</f>
        <v>ADUELA DE 600</v>
      </c>
      <c r="F304" s="3">
        <v>1</v>
      </c>
      <c r="G304" s="1" t="s">
        <v>175</v>
      </c>
    </row>
    <row r="305" spans="1:8" x14ac:dyDescent="0.3">
      <c r="A305" s="21">
        <f t="shared" si="4"/>
        <v>1</v>
      </c>
      <c r="B305" s="2">
        <v>46079</v>
      </c>
      <c r="C305" s="2" t="s">
        <v>54</v>
      </c>
      <c r="D305" s="44" t="s">
        <v>69</v>
      </c>
      <c r="E305" s="22" t="str">
        <f>IF(D305&lt;&gt;"",IFERROR(INDEX(Produtos!$C$4:$C$4996,MATCH(D305,Produtos!$B$4:$B$4996,0)),"Produto não encontrado"),"")</f>
        <v>GUIA</v>
      </c>
      <c r="F305" s="3">
        <v>4</v>
      </c>
      <c r="G305" s="1" t="s">
        <v>162</v>
      </c>
    </row>
    <row r="306" spans="1:8" x14ac:dyDescent="0.3">
      <c r="A306" s="21">
        <f t="shared" si="4"/>
        <v>1</v>
      </c>
      <c r="B306" s="2">
        <v>46107</v>
      </c>
      <c r="C306" s="2" t="s">
        <v>54</v>
      </c>
      <c r="D306" s="44" t="s">
        <v>60</v>
      </c>
      <c r="E306" s="22" t="str">
        <f>IF(D306&lt;&gt;"",IFERROR(INDEX(Produtos!$C$4:$C$4996,MATCH(D306,Produtos!$B$4:$B$4996,0)),"Produto não encontrado"),"")</f>
        <v>TUBO PEAD ESGOTO D 450</v>
      </c>
      <c r="F306" s="3">
        <v>6</v>
      </c>
      <c r="G306" s="1" t="s">
        <v>160</v>
      </c>
    </row>
    <row r="307" spans="1:8" x14ac:dyDescent="0.3">
      <c r="A307" s="21">
        <f t="shared" si="4"/>
        <v>1</v>
      </c>
      <c r="B307" s="2">
        <v>46080</v>
      </c>
      <c r="C307" s="2" t="s">
        <v>54</v>
      </c>
      <c r="D307" s="44" t="s">
        <v>66</v>
      </c>
      <c r="E307" s="22" t="str">
        <f>IF(D307&lt;&gt;"",IFERROR(INDEX(Produtos!$C$4:$C$4996,MATCH(D307,Produtos!$B$4:$B$4996,0)),"Produto não encontrado"),"")</f>
        <v>CHAPA ARMICO</v>
      </c>
      <c r="F307" s="3">
        <v>60</v>
      </c>
      <c r="G307" s="1" t="s">
        <v>167</v>
      </c>
    </row>
    <row r="308" spans="1:8" x14ac:dyDescent="0.3">
      <c r="A308" s="21">
        <f t="shared" si="4"/>
        <v>1</v>
      </c>
      <c r="B308" s="2">
        <v>46080</v>
      </c>
      <c r="C308" s="2" t="s">
        <v>54</v>
      </c>
      <c r="D308" s="44" t="s">
        <v>56</v>
      </c>
      <c r="E308" s="22" t="str">
        <f>IF(D308&lt;&gt;"",IFERROR(INDEX(Produtos!$C$4:$C$4996,MATCH(D308,Produtos!$B$4:$B$4996,0)),"Produto não encontrado"),"")</f>
        <v>LAJE SURPERIOR DE 1000</v>
      </c>
      <c r="F308" s="3">
        <v>1</v>
      </c>
      <c r="G308" s="1" t="s">
        <v>173</v>
      </c>
    </row>
    <row r="309" spans="1:8" x14ac:dyDescent="0.3">
      <c r="A309" s="21">
        <f t="shared" si="4"/>
        <v>1</v>
      </c>
      <c r="B309" s="2">
        <v>46080</v>
      </c>
      <c r="C309" s="2" t="s">
        <v>54</v>
      </c>
      <c r="D309" s="44" t="s">
        <v>21</v>
      </c>
      <c r="E309" s="22" t="str">
        <f>IF(D309&lt;&gt;"",IFERROR(INDEX(Produtos!$C$4:$C$4996,MATCH(D309,Produtos!$B$4:$B$4996,0)),"Produto não encontrado"),"")</f>
        <v>ADUELA DE 1000</v>
      </c>
      <c r="F309" s="3">
        <v>2</v>
      </c>
      <c r="G309" s="1" t="s">
        <v>204</v>
      </c>
    </row>
    <row r="310" spans="1:8" x14ac:dyDescent="0.3">
      <c r="A310" s="21">
        <f t="shared" si="4"/>
        <v>1</v>
      </c>
      <c r="B310" s="2">
        <v>46080</v>
      </c>
      <c r="C310" s="2" t="s">
        <v>54</v>
      </c>
      <c r="D310" s="44" t="s">
        <v>22</v>
      </c>
      <c r="E310" s="22" t="str">
        <f>IF(D310&lt;&gt;"",IFERROR(INDEX(Produtos!$C$4:$C$4996,MATCH(D310,Produtos!$B$4:$B$4996,0)),"Produto não encontrado"),"")</f>
        <v>ADUELA DE 600</v>
      </c>
      <c r="F310" s="3">
        <v>1</v>
      </c>
      <c r="G310" s="1" t="s">
        <v>204</v>
      </c>
    </row>
    <row r="311" spans="1:8" x14ac:dyDescent="0.3">
      <c r="A311" s="21">
        <f t="shared" si="4"/>
        <v>1</v>
      </c>
      <c r="B311" s="2">
        <v>46080</v>
      </c>
      <c r="C311" s="2" t="s">
        <v>54</v>
      </c>
      <c r="D311" s="44" t="s">
        <v>69</v>
      </c>
      <c r="E311" s="22" t="str">
        <f>IF(D311&lt;&gt;"",IFERROR(INDEX(Produtos!$C$4:$C$4996,MATCH(D311,Produtos!$B$4:$B$4996,0)),"Produto não encontrado"),"")</f>
        <v>GUIA</v>
      </c>
      <c r="F311" s="3">
        <v>5</v>
      </c>
      <c r="G311" s="1" t="s">
        <v>180</v>
      </c>
    </row>
    <row r="312" spans="1:8" x14ac:dyDescent="0.3">
      <c r="A312" s="21">
        <f t="shared" si="4"/>
        <v>1</v>
      </c>
      <c r="B312" s="2">
        <v>46080</v>
      </c>
      <c r="C312" s="2" t="s">
        <v>54</v>
      </c>
      <c r="D312" s="44" t="s">
        <v>23</v>
      </c>
      <c r="E312" s="22" t="str">
        <f>IF(D312&lt;&gt;"",IFERROR(INDEX(Produtos!$C$4:$C$4996,MATCH(D312,Produtos!$B$4:$B$4996,0)),"Produto não encontrado"),"")</f>
        <v>LAJE INFERIOR DE 1000</v>
      </c>
      <c r="F312" s="3">
        <v>1</v>
      </c>
      <c r="G312" s="1" t="s">
        <v>204</v>
      </c>
    </row>
    <row r="313" spans="1:8" x14ac:dyDescent="0.3">
      <c r="A313" s="21">
        <f t="shared" si="4"/>
        <v>1</v>
      </c>
      <c r="B313" s="2">
        <v>46080</v>
      </c>
      <c r="C313" s="2" t="s">
        <v>54</v>
      </c>
      <c r="D313" s="44" t="s">
        <v>60</v>
      </c>
      <c r="E313" s="22" t="str">
        <f>IF(D313&lt;&gt;"",IFERROR(INDEX(Produtos!$C$4:$C$4996,MATCH(D313,Produtos!$B$4:$B$4996,0)),"Produto não encontrado"),"")</f>
        <v>TUBO PEAD ESGOTO D 450</v>
      </c>
      <c r="F313" s="3">
        <v>6</v>
      </c>
      <c r="G313" s="1" t="s">
        <v>160</v>
      </c>
    </row>
    <row r="314" spans="1:8" x14ac:dyDescent="0.3">
      <c r="A314" s="21">
        <f t="shared" si="4"/>
        <v>1</v>
      </c>
      <c r="B314" s="2">
        <v>46080</v>
      </c>
      <c r="C314" s="2" t="s">
        <v>54</v>
      </c>
      <c r="D314" s="44" t="s">
        <v>56</v>
      </c>
      <c r="E314" s="22" t="str">
        <f>IF(D314&lt;&gt;"",IFERROR(INDEX(Produtos!$C$4:$C$4996,MATCH(D314,Produtos!$B$4:$B$4996,0)),"Produto não encontrado"),"")</f>
        <v>LAJE SURPERIOR DE 1000</v>
      </c>
      <c r="F314" s="3">
        <v>1</v>
      </c>
      <c r="G314" s="1" t="s">
        <v>164</v>
      </c>
    </row>
    <row r="315" spans="1:8" x14ac:dyDescent="0.3">
      <c r="A315" s="21">
        <f t="shared" si="4"/>
        <v>1</v>
      </c>
      <c r="B315" s="2">
        <v>46080</v>
      </c>
      <c r="C315" s="2" t="s">
        <v>54</v>
      </c>
      <c r="D315" s="44" t="s">
        <v>21</v>
      </c>
      <c r="E315" s="22" t="str">
        <f>IF(D315&lt;&gt;"",IFERROR(INDEX(Produtos!$C$4:$C$4996,MATCH(D315,Produtos!$B$4:$B$4996,0)),"Produto não encontrado"),"")</f>
        <v>ADUELA DE 1000</v>
      </c>
      <c r="F315" s="3">
        <v>3</v>
      </c>
      <c r="G315" s="1" t="s">
        <v>164</v>
      </c>
    </row>
    <row r="316" spans="1:8" x14ac:dyDescent="0.3">
      <c r="A316" s="21">
        <f t="shared" si="4"/>
        <v>1</v>
      </c>
      <c r="B316" s="2">
        <v>46080</v>
      </c>
      <c r="C316" s="2" t="s">
        <v>54</v>
      </c>
      <c r="D316" s="44" t="s">
        <v>22</v>
      </c>
      <c r="E316" s="22" t="str">
        <f>IF(D316&lt;&gt;"",IFERROR(INDEX(Produtos!$C$4:$C$4996,MATCH(D316,Produtos!$B$4:$B$4996,0)),"Produto não encontrado"),"")</f>
        <v>ADUELA DE 600</v>
      </c>
      <c r="F316" s="3">
        <v>1</v>
      </c>
      <c r="G316" s="1" t="s">
        <v>164</v>
      </c>
    </row>
    <row r="317" spans="1:8" x14ac:dyDescent="0.3">
      <c r="A317" s="21">
        <f t="shared" si="4"/>
        <v>1</v>
      </c>
      <c r="B317" s="2">
        <v>46080</v>
      </c>
      <c r="C317" s="2" t="s">
        <v>54</v>
      </c>
      <c r="D317" s="44" t="s">
        <v>67</v>
      </c>
      <c r="E317" s="22" t="str">
        <f>IF(D317&lt;&gt;"",IFERROR(INDEX(Produtos!$C$4:$C$4996,MATCH(D317,Produtos!$B$4:$B$4996,0)),"Produto não encontrado"),"")</f>
        <v>BLOCO DE PV</v>
      </c>
      <c r="F317" s="3">
        <v>22</v>
      </c>
      <c r="G317" s="1" t="s">
        <v>164</v>
      </c>
    </row>
    <row r="318" spans="1:8" x14ac:dyDescent="0.3">
      <c r="A318" s="21">
        <f t="shared" si="4"/>
        <v>1</v>
      </c>
      <c r="B318" s="2">
        <v>46080</v>
      </c>
      <c r="C318" s="2" t="s">
        <v>54</v>
      </c>
      <c r="D318" s="44" t="s">
        <v>72</v>
      </c>
      <c r="E318" s="22" t="str">
        <f>IF(D318&lt;&gt;"",IFERROR(INDEX(Produtos!$C$4:$C$4996,MATCH(D318,Produtos!$B$4:$B$4996,0)),"Produto não encontrado"),"")</f>
        <v xml:space="preserve">MADEIRITE </v>
      </c>
      <c r="F318" s="3">
        <v>1</v>
      </c>
      <c r="G318" s="1" t="s">
        <v>180</v>
      </c>
    </row>
    <row r="319" spans="1:8" x14ac:dyDescent="0.3">
      <c r="A319" s="21">
        <f t="shared" si="4"/>
        <v>1</v>
      </c>
      <c r="B319" s="2">
        <v>46080</v>
      </c>
      <c r="C319" s="2" t="s">
        <v>54</v>
      </c>
      <c r="D319" s="44" t="s">
        <v>56</v>
      </c>
      <c r="E319" s="22" t="str">
        <f>IF(D319&lt;&gt;"",IFERROR(INDEX(Produtos!$C$4:$C$4996,MATCH(D319,Produtos!$B$4:$B$4996,0)),"Produto não encontrado"),"")</f>
        <v>LAJE SURPERIOR DE 1000</v>
      </c>
      <c r="F319" s="3">
        <v>1</v>
      </c>
      <c r="G319" s="1" t="s">
        <v>204</v>
      </c>
    </row>
    <row r="320" spans="1:8" x14ac:dyDescent="0.3">
      <c r="A320" s="21">
        <f t="shared" ref="A320:A383" si="5">IF(C320="Entrada",2,IF(C320="Saída",1,"."))</f>
        <v>2</v>
      </c>
      <c r="B320" s="2">
        <v>46080</v>
      </c>
      <c r="C320" s="2" t="s">
        <v>28</v>
      </c>
      <c r="D320" s="44" t="s">
        <v>23</v>
      </c>
      <c r="E320" s="22" t="str">
        <f>IF(D320&lt;&gt;"",IFERROR(INDEX(Produtos!$C$4:$C$4996,MATCH(D320,Produtos!$B$4:$B$4996,0)),"Produto não encontrado"),"")</f>
        <v>LAJE INFERIOR DE 1000</v>
      </c>
      <c r="F320" s="3">
        <v>1</v>
      </c>
      <c r="G320" s="1" t="s">
        <v>204</v>
      </c>
      <c r="H320" s="1" t="s">
        <v>196</v>
      </c>
    </row>
    <row r="321" spans="1:8" x14ac:dyDescent="0.3">
      <c r="A321" s="21">
        <f t="shared" si="5"/>
        <v>1</v>
      </c>
      <c r="B321" s="2">
        <v>46080</v>
      </c>
      <c r="C321" s="2" t="s">
        <v>54</v>
      </c>
      <c r="D321" s="44" t="s">
        <v>57</v>
      </c>
      <c r="E321" s="22" t="str">
        <f>IF(D321&lt;&gt;"",IFERROR(INDEX(Produtos!$C$4:$C$4996,MATCH(D321,Produtos!$B$4:$B$4996,0)),"Produto não encontrado"),"")</f>
        <v>TUBO PEAD ESGOTO D 355</v>
      </c>
      <c r="F321" s="3">
        <v>10</v>
      </c>
      <c r="G321" s="1" t="s">
        <v>163</v>
      </c>
    </row>
    <row r="322" spans="1:8" x14ac:dyDescent="0.3">
      <c r="A322" s="21">
        <f t="shared" si="5"/>
        <v>1</v>
      </c>
      <c r="B322" s="2">
        <v>46080</v>
      </c>
      <c r="C322" s="2" t="s">
        <v>54</v>
      </c>
      <c r="D322" s="44" t="s">
        <v>66</v>
      </c>
      <c r="E322" s="22" t="str">
        <f>IF(D322&lt;&gt;"",IFERROR(INDEX(Produtos!$C$4:$C$4996,MATCH(D322,Produtos!$B$4:$B$4996,0)),"Produto não encontrado"),"")</f>
        <v>CHAPA ARMICO</v>
      </c>
      <c r="F322" s="3">
        <v>32</v>
      </c>
      <c r="G322" s="1" t="s">
        <v>161</v>
      </c>
    </row>
    <row r="323" spans="1:8" x14ac:dyDescent="0.3">
      <c r="A323" s="21">
        <f t="shared" si="5"/>
        <v>1</v>
      </c>
      <c r="B323" s="2">
        <v>46080</v>
      </c>
      <c r="C323" s="2" t="s">
        <v>54</v>
      </c>
      <c r="D323" s="44" t="s">
        <v>22</v>
      </c>
      <c r="E323" s="22" t="str">
        <f>IF(D323&lt;&gt;"",IFERROR(INDEX(Produtos!$C$4:$C$4996,MATCH(D323,Produtos!$B$4:$B$4996,0)),"Produto não encontrado"),"")</f>
        <v>ADUELA DE 600</v>
      </c>
      <c r="F323" s="3">
        <v>1</v>
      </c>
      <c r="G323" s="1" t="s">
        <v>171</v>
      </c>
    </row>
    <row r="324" spans="1:8" x14ac:dyDescent="0.3">
      <c r="A324" s="21">
        <f t="shared" si="5"/>
        <v>1</v>
      </c>
      <c r="B324" s="2">
        <v>46080</v>
      </c>
      <c r="C324" s="2" t="s">
        <v>54</v>
      </c>
      <c r="D324" s="44" t="s">
        <v>56</v>
      </c>
      <c r="E324" s="22" t="str">
        <f>IF(D324&lt;&gt;"",IFERROR(INDEX(Produtos!$C$4:$C$4996,MATCH(D324,Produtos!$B$4:$B$4996,0)),"Produto não encontrado"),"")</f>
        <v>LAJE SURPERIOR DE 1000</v>
      </c>
      <c r="F324" s="3">
        <v>1</v>
      </c>
      <c r="G324" s="1" t="s">
        <v>171</v>
      </c>
    </row>
    <row r="325" spans="1:8" x14ac:dyDescent="0.3">
      <c r="A325" s="21">
        <f t="shared" si="5"/>
        <v>1</v>
      </c>
      <c r="B325" s="2">
        <v>46080</v>
      </c>
      <c r="C325" s="2" t="s">
        <v>54</v>
      </c>
      <c r="D325" s="44" t="s">
        <v>21</v>
      </c>
      <c r="E325" s="22" t="str">
        <f>IF(D325&lt;&gt;"",IFERROR(INDEX(Produtos!$C$4:$C$4996,MATCH(D325,Produtos!$B$4:$B$4996,0)),"Produto não encontrado"),"")</f>
        <v>ADUELA DE 1000</v>
      </c>
      <c r="F325" s="3">
        <v>3</v>
      </c>
      <c r="G325" s="1" t="s">
        <v>163</v>
      </c>
    </row>
    <row r="326" spans="1:8" x14ac:dyDescent="0.3">
      <c r="A326" s="21">
        <f t="shared" si="5"/>
        <v>1</v>
      </c>
      <c r="B326" s="2">
        <v>46080</v>
      </c>
      <c r="C326" s="2" t="s">
        <v>54</v>
      </c>
      <c r="D326" s="44" t="s">
        <v>23</v>
      </c>
      <c r="E326" s="22" t="str">
        <f>IF(D326&lt;&gt;"",IFERROR(INDEX(Produtos!$C$4:$C$4996,MATCH(D326,Produtos!$B$4:$B$4996,0)),"Produto não encontrado"),"")</f>
        <v>LAJE INFERIOR DE 1000</v>
      </c>
      <c r="F326" s="3">
        <v>1</v>
      </c>
      <c r="G326" s="1" t="s">
        <v>163</v>
      </c>
    </row>
    <row r="327" spans="1:8" x14ac:dyDescent="0.3">
      <c r="A327" s="21">
        <f t="shared" si="5"/>
        <v>1</v>
      </c>
      <c r="B327" s="2">
        <v>46080</v>
      </c>
      <c r="C327" s="2" t="s">
        <v>54</v>
      </c>
      <c r="D327" s="44" t="s">
        <v>56</v>
      </c>
      <c r="E327" s="22" t="str">
        <f>IF(D327&lt;&gt;"",IFERROR(INDEX(Produtos!$C$4:$C$4996,MATCH(D327,Produtos!$B$4:$B$4996,0)),"Produto não encontrado"),"")</f>
        <v>LAJE SURPERIOR DE 1000</v>
      </c>
      <c r="F327" s="3">
        <v>1</v>
      </c>
      <c r="G327" s="1" t="s">
        <v>163</v>
      </c>
    </row>
    <row r="328" spans="1:8" x14ac:dyDescent="0.3">
      <c r="A328" s="21">
        <f t="shared" si="5"/>
        <v>1</v>
      </c>
      <c r="B328" s="2">
        <v>46080</v>
      </c>
      <c r="C328" s="2" t="s">
        <v>54</v>
      </c>
      <c r="D328" s="44" t="s">
        <v>22</v>
      </c>
      <c r="E328" s="22" t="str">
        <f>IF(D328&lt;&gt;"",IFERROR(INDEX(Produtos!$C$4:$C$4996,MATCH(D328,Produtos!$B$4:$B$4996,0)),"Produto não encontrado"),"")</f>
        <v>ADUELA DE 600</v>
      </c>
      <c r="F328" s="3">
        <v>1</v>
      </c>
      <c r="G328" s="1" t="s">
        <v>171</v>
      </c>
    </row>
    <row r="329" spans="1:8" x14ac:dyDescent="0.3">
      <c r="A329" s="21">
        <f t="shared" si="5"/>
        <v>1</v>
      </c>
      <c r="B329" s="2">
        <v>46081</v>
      </c>
      <c r="C329" s="2" t="s">
        <v>54</v>
      </c>
      <c r="D329" s="44" t="s">
        <v>69</v>
      </c>
      <c r="E329" s="22" t="str">
        <f>IF(D329&lt;&gt;"",IFERROR(INDEX(Produtos!$C$4:$C$4996,MATCH(D329,Produtos!$B$4:$B$4996,0)),"Produto não encontrado"),"")</f>
        <v>GUIA</v>
      </c>
      <c r="F329" s="3">
        <v>9</v>
      </c>
      <c r="G329" s="1" t="s">
        <v>180</v>
      </c>
    </row>
    <row r="330" spans="1:8" x14ac:dyDescent="0.3">
      <c r="A330" s="21">
        <f t="shared" si="5"/>
        <v>1</v>
      </c>
      <c r="B330" s="2">
        <v>46081</v>
      </c>
      <c r="C330" s="2" t="s">
        <v>54</v>
      </c>
      <c r="D330" s="44" t="s">
        <v>57</v>
      </c>
      <c r="E330" s="22" t="str">
        <f>IF(D330&lt;&gt;"",IFERROR(INDEX(Produtos!$C$4:$C$4996,MATCH(D330,Produtos!$B$4:$B$4996,0)),"Produto não encontrado"),"")</f>
        <v>TUBO PEAD ESGOTO D 355</v>
      </c>
      <c r="F330" s="3">
        <v>2</v>
      </c>
      <c r="G330" s="1" t="s">
        <v>163</v>
      </c>
    </row>
    <row r="331" spans="1:8" x14ac:dyDescent="0.3">
      <c r="A331" s="21">
        <f t="shared" si="5"/>
        <v>1</v>
      </c>
      <c r="B331" s="2">
        <v>46081</v>
      </c>
      <c r="C331" s="2" t="s">
        <v>54</v>
      </c>
      <c r="D331" s="44" t="s">
        <v>21</v>
      </c>
      <c r="E331" s="22" t="str">
        <f>IF(D331&lt;&gt;"",IFERROR(INDEX(Produtos!$C$4:$C$4996,MATCH(D331,Produtos!$B$4:$B$4996,0)),"Produto não encontrado"),"")</f>
        <v>ADUELA DE 1000</v>
      </c>
      <c r="F331" s="3">
        <v>1</v>
      </c>
      <c r="G331" s="1" t="s">
        <v>163</v>
      </c>
    </row>
    <row r="332" spans="1:8" x14ac:dyDescent="0.3">
      <c r="A332" s="21">
        <f t="shared" si="5"/>
        <v>1</v>
      </c>
      <c r="B332" s="2">
        <v>46081</v>
      </c>
      <c r="C332" s="2" t="s">
        <v>54</v>
      </c>
      <c r="D332" s="44" t="s">
        <v>22</v>
      </c>
      <c r="E332" s="22" t="str">
        <f>IF(D332&lt;&gt;"",IFERROR(INDEX(Produtos!$C$4:$C$4996,MATCH(D332,Produtos!$B$4:$B$4996,0)),"Produto não encontrado"),"")</f>
        <v>ADUELA DE 600</v>
      </c>
      <c r="F332" s="3">
        <v>1</v>
      </c>
      <c r="G332" s="1" t="s">
        <v>163</v>
      </c>
    </row>
    <row r="333" spans="1:8" x14ac:dyDescent="0.3">
      <c r="A333" s="21">
        <f t="shared" si="5"/>
        <v>1</v>
      </c>
      <c r="B333" s="2">
        <v>46081</v>
      </c>
      <c r="C333" s="2" t="s">
        <v>54</v>
      </c>
      <c r="D333" s="44" t="s">
        <v>56</v>
      </c>
      <c r="E333" s="22" t="str">
        <f>IF(D333&lt;&gt;"",IFERROR(INDEX(Produtos!$C$4:$C$4996,MATCH(D333,Produtos!$B$4:$B$4996,0)),"Produto não encontrado"),"")</f>
        <v>LAJE SURPERIOR DE 1000</v>
      </c>
      <c r="F333" s="3">
        <v>1</v>
      </c>
      <c r="G333" s="1" t="s">
        <v>164</v>
      </c>
    </row>
    <row r="334" spans="1:8" x14ac:dyDescent="0.3">
      <c r="A334" s="21">
        <f t="shared" si="5"/>
        <v>1</v>
      </c>
      <c r="B334" s="2">
        <v>46081</v>
      </c>
      <c r="C334" s="2" t="s">
        <v>54</v>
      </c>
      <c r="D334" s="44" t="s">
        <v>63</v>
      </c>
      <c r="E334" s="22" t="str">
        <f>IF(D334&lt;&gt;"",IFERROR(INDEX(Produtos!$C$4:$C$4996,MATCH(D334,Produtos!$B$4:$B$4996,0)),"Produto não encontrado"),"")</f>
        <v>TUBO ESGOTO PVC DN 200</v>
      </c>
      <c r="F334" s="3">
        <v>10</v>
      </c>
      <c r="G334" s="1" t="s">
        <v>208</v>
      </c>
      <c r="H334" s="1" t="s">
        <v>209</v>
      </c>
    </row>
    <row r="335" spans="1:8" x14ac:dyDescent="0.3">
      <c r="A335" s="21">
        <f t="shared" si="5"/>
        <v>2</v>
      </c>
      <c r="B335" s="2">
        <v>46083</v>
      </c>
      <c r="C335" s="2" t="s">
        <v>28</v>
      </c>
      <c r="D335" s="44" t="s">
        <v>59</v>
      </c>
      <c r="E335" s="22" t="str">
        <f>IF(D335&lt;&gt;"",IFERROR(INDEX(Produtos!$C$4:$C$4996,MATCH(D335,Produtos!$B$4:$B$4996,0)),"Produto não encontrado"),"")</f>
        <v>TUBO PEAD ESGOTO D 225</v>
      </c>
      <c r="F335" s="3">
        <v>7</v>
      </c>
    </row>
    <row r="336" spans="1:8" x14ac:dyDescent="0.3">
      <c r="A336" s="21">
        <f t="shared" si="5"/>
        <v>1</v>
      </c>
      <c r="B336" s="2">
        <v>46083</v>
      </c>
      <c r="C336" s="2" t="s">
        <v>54</v>
      </c>
      <c r="D336" s="44" t="s">
        <v>59</v>
      </c>
      <c r="E336" s="22" t="str">
        <f>IF(D336&lt;&gt;"",IFERROR(INDEX(Produtos!$C$4:$C$4996,MATCH(D336,Produtos!$B$4:$B$4996,0)),"Produto não encontrado"),"")</f>
        <v>TUBO PEAD ESGOTO D 225</v>
      </c>
      <c r="F336" s="3">
        <v>28</v>
      </c>
      <c r="G336" s="1" t="s">
        <v>170</v>
      </c>
    </row>
    <row r="337" spans="1:8" x14ac:dyDescent="0.3">
      <c r="A337" s="21">
        <f t="shared" si="5"/>
        <v>2</v>
      </c>
      <c r="B337" s="2">
        <v>46083</v>
      </c>
      <c r="C337" s="2" t="s">
        <v>28</v>
      </c>
      <c r="D337" s="44" t="s">
        <v>66</v>
      </c>
      <c r="E337" s="22" t="str">
        <f>IF(D337&lt;&gt;"",IFERROR(INDEX(Produtos!$C$4:$C$4996,MATCH(D337,Produtos!$B$4:$B$4996,0)),"Produto não encontrado"),"")</f>
        <v>CHAPA ARMICO</v>
      </c>
      <c r="F337" s="3">
        <v>360</v>
      </c>
      <c r="G337" s="1" t="s">
        <v>210</v>
      </c>
    </row>
    <row r="338" spans="1:8" x14ac:dyDescent="0.3">
      <c r="A338" s="21">
        <f t="shared" si="5"/>
        <v>2</v>
      </c>
      <c r="B338" s="2">
        <v>46083</v>
      </c>
      <c r="C338" s="2" t="s">
        <v>28</v>
      </c>
      <c r="D338" s="44" t="s">
        <v>66</v>
      </c>
      <c r="E338" s="22" t="str">
        <f>IF(D338&lt;&gt;"",IFERROR(INDEX(Produtos!$C$4:$C$4996,MATCH(D338,Produtos!$B$4:$B$4996,0)),"Produto não encontrado"),"")</f>
        <v>CHAPA ARMICO</v>
      </c>
      <c r="F338" s="3">
        <v>45</v>
      </c>
      <c r="G338" s="1" t="s">
        <v>211</v>
      </c>
    </row>
    <row r="339" spans="1:8" x14ac:dyDescent="0.3">
      <c r="A339" s="21">
        <f t="shared" si="5"/>
        <v>2</v>
      </c>
      <c r="B339" s="2">
        <v>46083</v>
      </c>
      <c r="C339" s="2" t="s">
        <v>28</v>
      </c>
      <c r="D339" s="44" t="s">
        <v>72</v>
      </c>
      <c r="E339" s="22" t="str">
        <f>IF(D339&lt;&gt;"",IFERROR(INDEX(Produtos!$C$4:$C$4996,MATCH(D339,Produtos!$B$4:$B$4996,0)),"Produto não encontrado"),"")</f>
        <v xml:space="preserve">MADEIRITE </v>
      </c>
      <c r="F339" s="3">
        <v>3</v>
      </c>
    </row>
    <row r="340" spans="1:8" x14ac:dyDescent="0.3">
      <c r="A340" s="21">
        <f t="shared" si="5"/>
        <v>1</v>
      </c>
      <c r="B340" s="2">
        <v>46083</v>
      </c>
      <c r="C340" s="2" t="s">
        <v>54</v>
      </c>
      <c r="D340" s="44" t="s">
        <v>63</v>
      </c>
      <c r="E340" s="22" t="str">
        <f>IF(D340&lt;&gt;"",IFERROR(INDEX(Produtos!$C$4:$C$4996,MATCH(D340,Produtos!$B$4:$B$4996,0)),"Produto não encontrado"),"")</f>
        <v>TUBO ESGOTO PVC DN 200</v>
      </c>
      <c r="F340" s="3">
        <v>6</v>
      </c>
      <c r="G340" s="1" t="s">
        <v>164</v>
      </c>
    </row>
    <row r="341" spans="1:8" x14ac:dyDescent="0.3">
      <c r="A341" s="21">
        <f t="shared" si="5"/>
        <v>1</v>
      </c>
      <c r="B341" s="2">
        <v>46083</v>
      </c>
      <c r="C341" s="2" t="s">
        <v>54</v>
      </c>
      <c r="D341" s="44" t="s">
        <v>63</v>
      </c>
      <c r="E341" s="22" t="str">
        <f>IF(D341&lt;&gt;"",IFERROR(INDEX(Produtos!$C$4:$C$4996,MATCH(D341,Produtos!$B$4:$B$4996,0)),"Produto não encontrado"),"")</f>
        <v>TUBO ESGOTO PVC DN 200</v>
      </c>
      <c r="F341" s="3">
        <v>1</v>
      </c>
      <c r="G341" s="1" t="s">
        <v>175</v>
      </c>
    </row>
    <row r="342" spans="1:8" x14ac:dyDescent="0.3">
      <c r="A342" s="21">
        <f t="shared" si="5"/>
        <v>1</v>
      </c>
      <c r="B342" s="2">
        <v>46083</v>
      </c>
      <c r="C342" s="2" t="s">
        <v>54</v>
      </c>
      <c r="D342" s="44" t="s">
        <v>63</v>
      </c>
      <c r="E342" s="22" t="str">
        <f>IF(D342&lt;&gt;"",IFERROR(INDEX(Produtos!$C$4:$C$4996,MATCH(D342,Produtos!$B$4:$B$4996,0)),"Produto não encontrado"),"")</f>
        <v>TUBO ESGOTO PVC DN 200</v>
      </c>
      <c r="F342" s="3">
        <v>1</v>
      </c>
      <c r="G342" s="1" t="s">
        <v>171</v>
      </c>
    </row>
    <row r="343" spans="1:8" x14ac:dyDescent="0.3">
      <c r="A343" s="21">
        <f t="shared" si="5"/>
        <v>1</v>
      </c>
      <c r="B343" s="2">
        <v>46083</v>
      </c>
      <c r="C343" s="2" t="s">
        <v>54</v>
      </c>
      <c r="D343" s="44" t="s">
        <v>69</v>
      </c>
      <c r="E343" s="22" t="str">
        <f>IF(D343&lt;&gt;"",IFERROR(INDEX(Produtos!$C$4:$C$4996,MATCH(D343,Produtos!$B$4:$B$4996,0)),"Produto não encontrado"),"")</f>
        <v>GUIA</v>
      </c>
      <c r="F343" s="3">
        <v>6</v>
      </c>
      <c r="G343" s="1" t="s">
        <v>180</v>
      </c>
    </row>
    <row r="344" spans="1:8" x14ac:dyDescent="0.3">
      <c r="A344" s="21">
        <f t="shared" si="5"/>
        <v>1</v>
      </c>
      <c r="B344" s="2">
        <v>46083</v>
      </c>
      <c r="C344" s="2" t="s">
        <v>54</v>
      </c>
      <c r="D344" s="44" t="s">
        <v>70</v>
      </c>
      <c r="E344" s="22" t="str">
        <f>IF(D344&lt;&gt;"",IFERROR(INDEX(Produtos!$C$4:$C$4996,MATCH(D344,Produtos!$B$4:$B$4996,0)),"Produto não encontrado"),"")</f>
        <v>TUBO ESGOTO PVC DN 400</v>
      </c>
      <c r="F344" s="3">
        <v>2</v>
      </c>
      <c r="G344" s="1" t="s">
        <v>163</v>
      </c>
    </row>
    <row r="345" spans="1:8" x14ac:dyDescent="0.3">
      <c r="A345" s="21">
        <f t="shared" si="5"/>
        <v>2</v>
      </c>
      <c r="B345" s="2">
        <v>46083</v>
      </c>
      <c r="C345" s="2" t="s">
        <v>28</v>
      </c>
      <c r="D345" s="44" t="s">
        <v>66</v>
      </c>
      <c r="E345" s="22" t="str">
        <f>IF(D345&lt;&gt;"",IFERROR(INDEX(Produtos!$C$4:$C$4996,MATCH(D345,Produtos!$B$4:$B$4996,0)),"Produto não encontrado"),"")</f>
        <v>CHAPA ARMICO</v>
      </c>
      <c r="F345" s="3">
        <v>15</v>
      </c>
      <c r="G345" s="1" t="s">
        <v>167</v>
      </c>
      <c r="H345" s="1" t="s">
        <v>196</v>
      </c>
    </row>
    <row r="346" spans="1:8" x14ac:dyDescent="0.3">
      <c r="A346" s="21">
        <f t="shared" si="5"/>
        <v>1</v>
      </c>
      <c r="B346" s="2">
        <v>46083</v>
      </c>
      <c r="C346" s="2" t="s">
        <v>54</v>
      </c>
      <c r="D346" s="44" t="s">
        <v>67</v>
      </c>
      <c r="E346" s="22" t="str">
        <f>IF(D346&lt;&gt;"",IFERROR(INDEX(Produtos!$C$4:$C$4996,MATCH(D346,Produtos!$B$4:$B$4996,0)),"Produto não encontrado"),"")</f>
        <v>BLOCO DE PV</v>
      </c>
      <c r="F346" s="3">
        <v>20</v>
      </c>
      <c r="G346" s="1" t="s">
        <v>167</v>
      </c>
    </row>
    <row r="347" spans="1:8" x14ac:dyDescent="0.3">
      <c r="A347" s="21">
        <f t="shared" si="5"/>
        <v>1</v>
      </c>
      <c r="B347" s="2">
        <v>46083</v>
      </c>
      <c r="C347" s="2" t="s">
        <v>54</v>
      </c>
      <c r="D347" s="44" t="s">
        <v>21</v>
      </c>
      <c r="E347" s="22" t="str">
        <f>IF(D347&lt;&gt;"",IFERROR(INDEX(Produtos!$C$4:$C$4996,MATCH(D347,Produtos!$B$4:$B$4996,0)),"Produto não encontrado"),"")</f>
        <v>ADUELA DE 1000</v>
      </c>
      <c r="F347" s="3">
        <v>1</v>
      </c>
      <c r="G347" s="1" t="s">
        <v>167</v>
      </c>
    </row>
    <row r="348" spans="1:8" x14ac:dyDescent="0.3">
      <c r="A348" s="21">
        <f t="shared" si="5"/>
        <v>1</v>
      </c>
      <c r="B348" s="2">
        <v>46083</v>
      </c>
      <c r="C348" s="2" t="s">
        <v>54</v>
      </c>
      <c r="D348" s="44" t="s">
        <v>23</v>
      </c>
      <c r="E348" s="22" t="str">
        <f>IF(D348&lt;&gt;"",IFERROR(INDEX(Produtos!$C$4:$C$4996,MATCH(D348,Produtos!$B$4:$B$4996,0)),"Produto não encontrado"),"")</f>
        <v>LAJE INFERIOR DE 1000</v>
      </c>
      <c r="F348" s="3">
        <v>1</v>
      </c>
      <c r="G348" s="1" t="s">
        <v>167</v>
      </c>
    </row>
    <row r="349" spans="1:8" x14ac:dyDescent="0.3">
      <c r="A349" s="21">
        <f t="shared" si="5"/>
        <v>1</v>
      </c>
      <c r="B349" s="2">
        <v>46083</v>
      </c>
      <c r="C349" s="2" t="s">
        <v>54</v>
      </c>
      <c r="D349" s="44" t="s">
        <v>21</v>
      </c>
      <c r="E349" s="22" t="str">
        <f>IF(D349&lt;&gt;"",IFERROR(INDEX(Produtos!$C$4:$C$4996,MATCH(D349,Produtos!$B$4:$B$4996,0)),"Produto não encontrado"),"")</f>
        <v>ADUELA DE 1000</v>
      </c>
      <c r="F349" s="3">
        <v>2</v>
      </c>
      <c r="G349" s="1" t="s">
        <v>169</v>
      </c>
    </row>
    <row r="350" spans="1:8" x14ac:dyDescent="0.3">
      <c r="A350" s="21">
        <f t="shared" si="5"/>
        <v>1</v>
      </c>
      <c r="B350" s="2">
        <v>46083</v>
      </c>
      <c r="C350" s="2" t="s">
        <v>54</v>
      </c>
      <c r="D350" s="44" t="s">
        <v>67</v>
      </c>
      <c r="E350" s="22" t="str">
        <f>IF(D350&lt;&gt;"",IFERROR(INDEX(Produtos!$C$4:$C$4996,MATCH(D350,Produtos!$B$4:$B$4996,0)),"Produto não encontrado"),"")</f>
        <v>BLOCO DE PV</v>
      </c>
      <c r="F350" s="3">
        <v>20</v>
      </c>
      <c r="G350" s="1" t="s">
        <v>169</v>
      </c>
    </row>
    <row r="351" spans="1:8" x14ac:dyDescent="0.3">
      <c r="A351" s="21">
        <f t="shared" si="5"/>
        <v>1</v>
      </c>
      <c r="B351" s="2">
        <v>46083</v>
      </c>
      <c r="C351" s="2" t="s">
        <v>54</v>
      </c>
      <c r="D351" s="44" t="s">
        <v>23</v>
      </c>
      <c r="E351" s="22" t="str">
        <f>IF(D351&lt;&gt;"",IFERROR(INDEX(Produtos!$C$4:$C$4996,MATCH(D351,Produtos!$B$4:$B$4996,0)),"Produto não encontrado"),"")</f>
        <v>LAJE INFERIOR DE 1000</v>
      </c>
      <c r="F351" s="3">
        <v>1</v>
      </c>
      <c r="G351" s="1" t="s">
        <v>169</v>
      </c>
    </row>
    <row r="352" spans="1:8" x14ac:dyDescent="0.3">
      <c r="A352" s="21">
        <f t="shared" si="5"/>
        <v>1</v>
      </c>
      <c r="B352" s="2">
        <v>46083</v>
      </c>
      <c r="C352" s="2" t="s">
        <v>54</v>
      </c>
      <c r="D352" s="44" t="s">
        <v>56</v>
      </c>
      <c r="E352" s="22" t="str">
        <f>IF(D352&lt;&gt;"",IFERROR(INDEX(Produtos!$C$4:$C$4996,MATCH(D352,Produtos!$B$4:$B$4996,0)),"Produto não encontrado"),"")</f>
        <v>LAJE SURPERIOR DE 1000</v>
      </c>
      <c r="F352" s="3">
        <v>1</v>
      </c>
      <c r="G352" s="1" t="s">
        <v>169</v>
      </c>
    </row>
    <row r="353" spans="1:7" x14ac:dyDescent="0.3">
      <c r="A353" s="21">
        <f t="shared" si="5"/>
        <v>2</v>
      </c>
      <c r="B353" s="2">
        <v>46084</v>
      </c>
      <c r="C353" s="2" t="s">
        <v>28</v>
      </c>
      <c r="D353" s="44" t="s">
        <v>66</v>
      </c>
      <c r="E353" s="22" t="str">
        <f>IF(D353&lt;&gt;"",IFERROR(INDEX(Produtos!$C$4:$C$4996,MATCH(D353,Produtos!$B$4:$B$4996,0)),"Produto não encontrado"),"")</f>
        <v>CHAPA ARMICO</v>
      </c>
      <c r="F353" s="3">
        <v>423</v>
      </c>
      <c r="G353" s="1" t="s">
        <v>210</v>
      </c>
    </row>
    <row r="354" spans="1:7" x14ac:dyDescent="0.3">
      <c r="A354" s="21">
        <f t="shared" si="5"/>
        <v>1</v>
      </c>
      <c r="B354" s="2">
        <v>46084</v>
      </c>
      <c r="C354" s="2" t="s">
        <v>54</v>
      </c>
      <c r="D354" s="44" t="s">
        <v>66</v>
      </c>
      <c r="E354" s="22" t="str">
        <f>IF(D354&lt;&gt;"",IFERROR(INDEX(Produtos!$C$4:$C$4996,MATCH(D354,Produtos!$B$4:$B$4996,0)),"Produto não encontrado"),"")</f>
        <v>CHAPA ARMICO</v>
      </c>
      <c r="F354" s="3">
        <v>49</v>
      </c>
      <c r="G354" s="1" t="s">
        <v>166</v>
      </c>
    </row>
    <row r="355" spans="1:7" x14ac:dyDescent="0.3">
      <c r="A355" s="21">
        <f t="shared" si="5"/>
        <v>1</v>
      </c>
      <c r="B355" s="2">
        <v>46084</v>
      </c>
      <c r="C355" s="2" t="s">
        <v>54</v>
      </c>
      <c r="D355" s="44" t="s">
        <v>65</v>
      </c>
      <c r="E355" s="22" t="str">
        <f>IF(D355&lt;&gt;"",IFERROR(INDEX(Produtos!$C$4:$C$4996,MATCH(D355,Produtos!$B$4:$B$4996,0)),"Produto não encontrado"),"")</f>
        <v>TUBO ESGOTO PVC DN 100</v>
      </c>
      <c r="F355" s="3">
        <v>4</v>
      </c>
      <c r="G355" s="1" t="s">
        <v>186</v>
      </c>
    </row>
    <row r="356" spans="1:7" x14ac:dyDescent="0.3">
      <c r="A356" s="21">
        <f t="shared" si="5"/>
        <v>1</v>
      </c>
      <c r="B356" s="2">
        <v>46084</v>
      </c>
      <c r="C356" s="2" t="s">
        <v>54</v>
      </c>
      <c r="D356" s="44" t="s">
        <v>63</v>
      </c>
      <c r="E356" s="22" t="str">
        <f>IF(D356&lt;&gt;"",IFERROR(INDEX(Produtos!$C$4:$C$4996,MATCH(D356,Produtos!$B$4:$B$4996,0)),"Produto não encontrado"),"")</f>
        <v>TUBO ESGOTO PVC DN 200</v>
      </c>
      <c r="F356" s="3">
        <v>1</v>
      </c>
      <c r="G356" s="1" t="s">
        <v>163</v>
      </c>
    </row>
    <row r="357" spans="1:7" x14ac:dyDescent="0.3">
      <c r="A357" s="21">
        <f t="shared" si="5"/>
        <v>1</v>
      </c>
      <c r="B357" s="2">
        <v>46084</v>
      </c>
      <c r="C357" s="2" t="s">
        <v>54</v>
      </c>
      <c r="D357" s="44" t="s">
        <v>21</v>
      </c>
      <c r="E357" s="22" t="str">
        <f>IF(D357&lt;&gt;"",IFERROR(INDEX(Produtos!$C$4:$C$4996,MATCH(D357,Produtos!$B$4:$B$4996,0)),"Produto não encontrado"),"")</f>
        <v>ADUELA DE 1000</v>
      </c>
      <c r="F357" s="3">
        <v>2</v>
      </c>
      <c r="G357" s="1" t="s">
        <v>160</v>
      </c>
    </row>
    <row r="358" spans="1:7" x14ac:dyDescent="0.3">
      <c r="A358" s="21">
        <f t="shared" si="5"/>
        <v>1</v>
      </c>
      <c r="B358" s="2">
        <v>46084</v>
      </c>
      <c r="C358" s="2" t="s">
        <v>54</v>
      </c>
      <c r="D358" s="44" t="s">
        <v>23</v>
      </c>
      <c r="E358" s="22" t="str">
        <f>IF(D358&lt;&gt;"",IFERROR(INDEX(Produtos!$C$4:$C$4996,MATCH(D358,Produtos!$B$4:$B$4996,0)),"Produto não encontrado"),"")</f>
        <v>LAJE INFERIOR DE 1000</v>
      </c>
      <c r="F358" s="3">
        <v>1</v>
      </c>
      <c r="G358" s="1" t="s">
        <v>160</v>
      </c>
    </row>
    <row r="359" spans="1:7" x14ac:dyDescent="0.3">
      <c r="A359" s="21">
        <f t="shared" si="5"/>
        <v>1</v>
      </c>
      <c r="B359" s="2">
        <v>46084</v>
      </c>
      <c r="C359" s="2" t="s">
        <v>54</v>
      </c>
      <c r="D359" s="44" t="s">
        <v>56</v>
      </c>
      <c r="E359" s="22" t="str">
        <f>IF(D359&lt;&gt;"",IFERROR(INDEX(Produtos!$C$4:$C$4996,MATCH(D359,Produtos!$B$4:$B$4996,0)),"Produto não encontrado"),"")</f>
        <v>LAJE SURPERIOR DE 1000</v>
      </c>
      <c r="F359" s="3">
        <v>1</v>
      </c>
      <c r="G359" s="1" t="s">
        <v>160</v>
      </c>
    </row>
    <row r="360" spans="1:7" x14ac:dyDescent="0.3">
      <c r="A360" s="21">
        <f t="shared" si="5"/>
        <v>1</v>
      </c>
      <c r="B360" s="2">
        <v>46085</v>
      </c>
      <c r="C360" s="2" t="s">
        <v>54</v>
      </c>
      <c r="D360" s="44" t="s">
        <v>22</v>
      </c>
      <c r="E360" s="22" t="str">
        <f>IF(D360&lt;&gt;"",IFERROR(INDEX(Produtos!$C$4:$C$4996,MATCH(D360,Produtos!$B$4:$B$4996,0)),"Produto não encontrado"),"")</f>
        <v>ADUELA DE 600</v>
      </c>
      <c r="F360" s="3">
        <v>1</v>
      </c>
      <c r="G360" s="1" t="s">
        <v>163</v>
      </c>
    </row>
    <row r="361" spans="1:7" x14ac:dyDescent="0.3">
      <c r="A361" s="21">
        <f t="shared" si="5"/>
        <v>1</v>
      </c>
      <c r="B361" s="2">
        <v>46085</v>
      </c>
      <c r="C361" s="2" t="s">
        <v>54</v>
      </c>
      <c r="D361" s="44" t="s">
        <v>66</v>
      </c>
      <c r="E361" s="22" t="str">
        <f>IF(D361&lt;&gt;"",IFERROR(INDEX(Produtos!$C$4:$C$4996,MATCH(D361,Produtos!$B$4:$B$4996,0)),"Produto não encontrado"),"")</f>
        <v>CHAPA ARMICO</v>
      </c>
      <c r="F361" s="3">
        <v>48</v>
      </c>
      <c r="G361" s="1" t="s">
        <v>166</v>
      </c>
    </row>
    <row r="362" spans="1:7" x14ac:dyDescent="0.3">
      <c r="A362" s="21">
        <f t="shared" si="5"/>
        <v>1</v>
      </c>
      <c r="B362" s="2">
        <v>46085</v>
      </c>
      <c r="C362" s="2" t="s">
        <v>54</v>
      </c>
      <c r="D362" s="44" t="s">
        <v>21</v>
      </c>
      <c r="E362" s="22" t="str">
        <f>IF(D362&lt;&gt;"",IFERROR(INDEX(Produtos!$C$4:$C$4996,MATCH(D362,Produtos!$B$4:$B$4996,0)),"Produto não encontrado"),"")</f>
        <v>ADUELA DE 1000</v>
      </c>
      <c r="F362" s="3">
        <v>4</v>
      </c>
      <c r="G362" s="1" t="s">
        <v>160</v>
      </c>
    </row>
    <row r="363" spans="1:7" x14ac:dyDescent="0.3">
      <c r="A363" s="21">
        <f t="shared" si="5"/>
        <v>1</v>
      </c>
      <c r="B363" s="2">
        <v>46085</v>
      </c>
      <c r="C363" s="2" t="s">
        <v>54</v>
      </c>
      <c r="D363" s="44" t="s">
        <v>23</v>
      </c>
      <c r="E363" s="22" t="str">
        <f>IF(D363&lt;&gt;"",IFERROR(INDEX(Produtos!$C$4:$C$4996,MATCH(D363,Produtos!$B$4:$B$4996,0)),"Produto não encontrado"),"")</f>
        <v>LAJE INFERIOR DE 1000</v>
      </c>
      <c r="F363" s="3">
        <v>2</v>
      </c>
      <c r="G363" s="1" t="s">
        <v>160</v>
      </c>
    </row>
    <row r="364" spans="1:7" x14ac:dyDescent="0.3">
      <c r="A364" s="21">
        <f t="shared" si="5"/>
        <v>1</v>
      </c>
      <c r="B364" s="2">
        <v>46085</v>
      </c>
      <c r="C364" s="2" t="s">
        <v>54</v>
      </c>
      <c r="D364" s="44" t="s">
        <v>57</v>
      </c>
      <c r="E364" s="22" t="str">
        <f>IF(D364&lt;&gt;"",IFERROR(INDEX(Produtos!$C$4:$C$4996,MATCH(D364,Produtos!$B$4:$B$4996,0)),"Produto não encontrado"),"")</f>
        <v>TUBO PEAD ESGOTO D 355</v>
      </c>
      <c r="F364" s="3">
        <v>15</v>
      </c>
      <c r="G364" s="1" t="s">
        <v>170</v>
      </c>
    </row>
    <row r="365" spans="1:7" x14ac:dyDescent="0.3">
      <c r="A365" s="21">
        <f t="shared" si="5"/>
        <v>1</v>
      </c>
      <c r="B365" s="2">
        <v>46085</v>
      </c>
      <c r="C365" s="2" t="s">
        <v>54</v>
      </c>
      <c r="D365" s="44" t="s">
        <v>21</v>
      </c>
      <c r="E365" s="22" t="str">
        <f>IF(D365&lt;&gt;"",IFERROR(INDEX(Produtos!$C$4:$C$4996,MATCH(D365,Produtos!$B$4:$B$4996,0)),"Produto não encontrado"),"")</f>
        <v>ADUELA DE 1000</v>
      </c>
      <c r="F365" s="3">
        <v>1</v>
      </c>
      <c r="G365" s="1" t="s">
        <v>167</v>
      </c>
    </row>
    <row r="366" spans="1:7" x14ac:dyDescent="0.3">
      <c r="A366" s="21">
        <f t="shared" si="5"/>
        <v>1</v>
      </c>
      <c r="B366" s="2">
        <v>46085</v>
      </c>
      <c r="C366" s="2" t="s">
        <v>54</v>
      </c>
      <c r="D366" s="44" t="s">
        <v>63</v>
      </c>
      <c r="E366" s="22" t="str">
        <f>IF(D366&lt;&gt;"",IFERROR(INDEX(Produtos!$C$4:$C$4996,MATCH(D366,Produtos!$B$4:$B$4996,0)),"Produto não encontrado"),"")</f>
        <v>TUBO ESGOTO PVC DN 200</v>
      </c>
      <c r="F366" s="3">
        <v>2</v>
      </c>
      <c r="G366" s="1" t="s">
        <v>207</v>
      </c>
    </row>
    <row r="367" spans="1:7" x14ac:dyDescent="0.3">
      <c r="A367" s="21">
        <f t="shared" si="5"/>
        <v>1</v>
      </c>
      <c r="B367" s="2">
        <v>46086</v>
      </c>
      <c r="C367" s="2" t="s">
        <v>54</v>
      </c>
      <c r="D367" s="44" t="s">
        <v>22</v>
      </c>
      <c r="E367" s="22" t="str">
        <f>IF(D367&lt;&gt;"",IFERROR(INDEX(Produtos!$C$4:$C$4996,MATCH(D367,Produtos!$B$4:$B$4996,0)),"Produto não encontrado"),"")</f>
        <v>ADUELA DE 600</v>
      </c>
      <c r="F367" s="3">
        <v>5</v>
      </c>
      <c r="G367" s="1" t="s">
        <v>176</v>
      </c>
    </row>
    <row r="368" spans="1:7" x14ac:dyDescent="0.3">
      <c r="A368" s="21">
        <f t="shared" si="5"/>
        <v>1</v>
      </c>
      <c r="B368" s="2">
        <v>46086</v>
      </c>
      <c r="C368" s="2" t="s">
        <v>54</v>
      </c>
      <c r="D368" s="44" t="s">
        <v>21</v>
      </c>
      <c r="E368" s="22" t="str">
        <f>IF(D368&lt;&gt;"",IFERROR(INDEX(Produtos!$C$4:$C$4996,MATCH(D368,Produtos!$B$4:$B$4996,0)),"Produto não encontrado"),"")</f>
        <v>ADUELA DE 1000</v>
      </c>
      <c r="F368" s="3">
        <v>1</v>
      </c>
      <c r="G368" s="1" t="s">
        <v>176</v>
      </c>
    </row>
    <row r="369" spans="1:8" x14ac:dyDescent="0.3">
      <c r="A369" s="21">
        <f t="shared" si="5"/>
        <v>1</v>
      </c>
      <c r="B369" s="2">
        <v>46086</v>
      </c>
      <c r="C369" s="2" t="s">
        <v>54</v>
      </c>
      <c r="D369" s="44" t="s">
        <v>23</v>
      </c>
      <c r="E369" s="22" t="str">
        <f>IF(D369&lt;&gt;"",IFERROR(INDEX(Produtos!$C$4:$C$4996,MATCH(D369,Produtos!$B$4:$B$4996,0)),"Produto não encontrado"),"")</f>
        <v>LAJE INFERIOR DE 1000</v>
      </c>
      <c r="F369" s="3">
        <v>1</v>
      </c>
      <c r="G369" s="1" t="s">
        <v>176</v>
      </c>
    </row>
    <row r="370" spans="1:8" x14ac:dyDescent="0.3">
      <c r="A370" s="21">
        <f t="shared" si="5"/>
        <v>1</v>
      </c>
      <c r="B370" s="2">
        <v>46086</v>
      </c>
      <c r="C370" s="2" t="s">
        <v>54</v>
      </c>
      <c r="D370" s="44" t="s">
        <v>56</v>
      </c>
      <c r="E370" s="22" t="str">
        <f>IF(D370&lt;&gt;"",IFERROR(INDEX(Produtos!$C$4:$C$4996,MATCH(D370,Produtos!$B$4:$B$4996,0)),"Produto não encontrado"),"")</f>
        <v>LAJE SURPERIOR DE 1000</v>
      </c>
      <c r="F370" s="3">
        <v>1</v>
      </c>
      <c r="G370" s="1" t="s">
        <v>176</v>
      </c>
    </row>
    <row r="371" spans="1:8" x14ac:dyDescent="0.3">
      <c r="A371" s="21">
        <f t="shared" si="5"/>
        <v>1</v>
      </c>
      <c r="B371" s="2">
        <v>46086</v>
      </c>
      <c r="C371" s="2" t="s">
        <v>54</v>
      </c>
      <c r="D371" s="44" t="s">
        <v>63</v>
      </c>
      <c r="E371" s="22" t="str">
        <f>IF(D371&lt;&gt;"",IFERROR(INDEX(Produtos!$C$4:$C$4996,MATCH(D371,Produtos!$B$4:$B$4996,0)),"Produto não encontrado"),"")</f>
        <v>TUBO ESGOTO PVC DN 200</v>
      </c>
      <c r="F371" s="3">
        <v>1</v>
      </c>
      <c r="G371" s="1" t="s">
        <v>170</v>
      </c>
    </row>
    <row r="372" spans="1:8" x14ac:dyDescent="0.3">
      <c r="A372" s="21">
        <f t="shared" si="5"/>
        <v>1</v>
      </c>
      <c r="B372" s="2">
        <v>46086</v>
      </c>
      <c r="C372" s="2" t="s">
        <v>54</v>
      </c>
      <c r="D372" s="44" t="s">
        <v>65</v>
      </c>
      <c r="E372" s="22" t="str">
        <f>IF(D372&lt;&gt;"",IFERROR(INDEX(Produtos!$C$4:$C$4996,MATCH(D372,Produtos!$B$4:$B$4996,0)),"Produto não encontrado"),"")</f>
        <v>TUBO ESGOTO PVC DN 100</v>
      </c>
      <c r="F372" s="3">
        <v>2</v>
      </c>
      <c r="G372" s="1" t="s">
        <v>207</v>
      </c>
    </row>
    <row r="373" spans="1:8" x14ac:dyDescent="0.3">
      <c r="A373" s="21">
        <f t="shared" si="5"/>
        <v>1</v>
      </c>
      <c r="B373" s="2">
        <v>46086</v>
      </c>
      <c r="C373" s="2" t="s">
        <v>54</v>
      </c>
      <c r="D373" s="44" t="s">
        <v>66</v>
      </c>
      <c r="E373" s="22" t="str">
        <f>IF(D373&lt;&gt;"",IFERROR(INDEX(Produtos!$C$4:$C$4996,MATCH(D373,Produtos!$B$4:$B$4996,0)),"Produto não encontrado"),"")</f>
        <v>CHAPA ARMICO</v>
      </c>
      <c r="F373" s="3">
        <v>18</v>
      </c>
      <c r="G373" s="1" t="s">
        <v>166</v>
      </c>
    </row>
    <row r="374" spans="1:8" x14ac:dyDescent="0.3">
      <c r="A374" s="21">
        <f t="shared" si="5"/>
        <v>1</v>
      </c>
      <c r="B374" s="2">
        <v>46086</v>
      </c>
      <c r="C374" s="2" t="s">
        <v>54</v>
      </c>
      <c r="D374" s="44" t="s">
        <v>57</v>
      </c>
      <c r="E374" s="22" t="str">
        <f>IF(D374&lt;&gt;"",IFERROR(INDEX(Produtos!$C$4:$C$4996,MATCH(D374,Produtos!$B$4:$B$4996,0)),"Produto não encontrado"),"")</f>
        <v>TUBO PEAD ESGOTO D 355</v>
      </c>
      <c r="F374" s="3">
        <v>12</v>
      </c>
      <c r="G374" s="1" t="s">
        <v>176</v>
      </c>
    </row>
    <row r="375" spans="1:8" x14ac:dyDescent="0.3">
      <c r="A375" s="21">
        <f t="shared" si="5"/>
        <v>1</v>
      </c>
      <c r="B375" s="2">
        <v>46086</v>
      </c>
      <c r="C375" s="2" t="s">
        <v>54</v>
      </c>
      <c r="D375" s="44" t="s">
        <v>21</v>
      </c>
      <c r="E375" s="22" t="str">
        <f>IF(D375&lt;&gt;"",IFERROR(INDEX(Produtos!$C$4:$C$4996,MATCH(D375,Produtos!$B$4:$B$4996,0)),"Produto não encontrado"),"")</f>
        <v>ADUELA DE 1000</v>
      </c>
      <c r="F375" s="3">
        <v>1</v>
      </c>
      <c r="G375" s="1" t="s">
        <v>162</v>
      </c>
    </row>
    <row r="376" spans="1:8" x14ac:dyDescent="0.3">
      <c r="A376" s="21">
        <f t="shared" si="5"/>
        <v>1</v>
      </c>
      <c r="B376" s="2">
        <v>46086</v>
      </c>
      <c r="C376" s="2" t="s">
        <v>54</v>
      </c>
      <c r="D376" s="44" t="s">
        <v>56</v>
      </c>
      <c r="E376" s="22" t="str">
        <f>IF(D376&lt;&gt;"",IFERROR(INDEX(Produtos!$C$4:$C$4996,MATCH(D376,Produtos!$B$4:$B$4996,0)),"Produto não encontrado"),"")</f>
        <v>LAJE SURPERIOR DE 1000</v>
      </c>
      <c r="F376" s="3">
        <v>1</v>
      </c>
      <c r="G376" s="1" t="s">
        <v>162</v>
      </c>
    </row>
    <row r="377" spans="1:8" x14ac:dyDescent="0.3">
      <c r="A377" s="21">
        <f t="shared" si="5"/>
        <v>1</v>
      </c>
      <c r="B377" s="2">
        <v>46086</v>
      </c>
      <c r="C377" s="2" t="s">
        <v>54</v>
      </c>
      <c r="D377" s="44" t="s">
        <v>23</v>
      </c>
      <c r="E377" s="22" t="str">
        <f>IF(D377&lt;&gt;"",IFERROR(INDEX(Produtos!$C$4:$C$4996,MATCH(D377,Produtos!$B$4:$B$4996,0)),"Produto não encontrado"),"")</f>
        <v>LAJE INFERIOR DE 1000</v>
      </c>
      <c r="F377" s="3">
        <v>1</v>
      </c>
      <c r="G377" s="1" t="s">
        <v>162</v>
      </c>
    </row>
    <row r="378" spans="1:8" x14ac:dyDescent="0.3">
      <c r="A378" s="21">
        <f t="shared" si="5"/>
        <v>1</v>
      </c>
      <c r="B378" s="2">
        <v>46086</v>
      </c>
      <c r="C378" s="2" t="s">
        <v>54</v>
      </c>
      <c r="D378" s="44" t="s">
        <v>71</v>
      </c>
      <c r="E378" s="22" t="str">
        <f>IF(D378&lt;&gt;"",IFERROR(INDEX(Produtos!$C$4:$C$4996,MATCH(D378,Produtos!$B$4:$B$4996,0)),"Produto não encontrado"),"")</f>
        <v>LAJE PRE MONTADA / TAMPÃO DN 600</v>
      </c>
      <c r="F378" s="3">
        <v>2</v>
      </c>
      <c r="G378" s="1" t="s">
        <v>162</v>
      </c>
    </row>
    <row r="379" spans="1:8" x14ac:dyDescent="0.3">
      <c r="A379" s="21">
        <f t="shared" si="5"/>
        <v>2</v>
      </c>
      <c r="B379" s="2">
        <v>46086</v>
      </c>
      <c r="C379" s="2" t="s">
        <v>28</v>
      </c>
      <c r="D379" s="44" t="s">
        <v>66</v>
      </c>
      <c r="E379" s="22" t="str">
        <f>IF(D379&lt;&gt;"",IFERROR(INDEX(Produtos!$C$4:$C$4996,MATCH(D379,Produtos!$B$4:$B$4996,0)),"Produto não encontrado"),"")</f>
        <v>CHAPA ARMICO</v>
      </c>
      <c r="F379" s="3">
        <v>36</v>
      </c>
      <c r="H379" s="1" t="s">
        <v>201</v>
      </c>
    </row>
    <row r="380" spans="1:8" x14ac:dyDescent="0.3">
      <c r="A380" s="21">
        <f t="shared" si="5"/>
        <v>1</v>
      </c>
      <c r="B380" s="2">
        <v>46086</v>
      </c>
      <c r="C380" s="2" t="s">
        <v>54</v>
      </c>
      <c r="D380" s="44" t="s">
        <v>66</v>
      </c>
      <c r="E380" s="22" t="str">
        <f>IF(D380&lt;&gt;"",IFERROR(INDEX(Produtos!$C$4:$C$4996,MATCH(D380,Produtos!$B$4:$B$4996,0)),"Produto não encontrado"),"")</f>
        <v>CHAPA ARMICO</v>
      </c>
      <c r="F380" s="3">
        <v>36</v>
      </c>
      <c r="G380" s="1" t="s">
        <v>204</v>
      </c>
      <c r="H380" s="1" t="s">
        <v>201</v>
      </c>
    </row>
    <row r="381" spans="1:8" x14ac:dyDescent="0.3">
      <c r="A381" s="21">
        <f t="shared" si="5"/>
        <v>1</v>
      </c>
      <c r="B381" s="2">
        <v>46086</v>
      </c>
      <c r="C381" s="2" t="s">
        <v>54</v>
      </c>
      <c r="D381" s="44" t="s">
        <v>21</v>
      </c>
      <c r="E381" s="22" t="str">
        <f>IF(D381&lt;&gt;"",IFERROR(INDEX(Produtos!$C$4:$C$4996,MATCH(D381,Produtos!$B$4:$B$4996,0)),"Produto não encontrado"),"")</f>
        <v>ADUELA DE 1000</v>
      </c>
      <c r="F381" s="3">
        <v>1</v>
      </c>
      <c r="G381" s="1" t="s">
        <v>160</v>
      </c>
    </row>
    <row r="382" spans="1:8" x14ac:dyDescent="0.3">
      <c r="A382" s="21">
        <f t="shared" si="5"/>
        <v>1</v>
      </c>
      <c r="B382" s="2">
        <v>46086</v>
      </c>
      <c r="C382" s="2" t="s">
        <v>54</v>
      </c>
      <c r="D382" s="44" t="s">
        <v>22</v>
      </c>
      <c r="E382" s="22" t="str">
        <f>IF(D382&lt;&gt;"",IFERROR(INDEX(Produtos!$C$4:$C$4996,MATCH(D382,Produtos!$B$4:$B$4996,0)),"Produto não encontrado"),"")</f>
        <v>ADUELA DE 600</v>
      </c>
      <c r="F382" s="3">
        <v>1</v>
      </c>
      <c r="G382" s="1" t="s">
        <v>160</v>
      </c>
    </row>
    <row r="383" spans="1:8" x14ac:dyDescent="0.3">
      <c r="A383" s="21">
        <f t="shared" si="5"/>
        <v>1</v>
      </c>
      <c r="B383" s="2">
        <v>46086</v>
      </c>
      <c r="C383" s="2" t="s">
        <v>54</v>
      </c>
      <c r="D383" s="44" t="s">
        <v>71</v>
      </c>
      <c r="E383" s="22" t="str">
        <f>IF(D383&lt;&gt;"",IFERROR(INDEX(Produtos!$C$4:$C$4996,MATCH(D383,Produtos!$B$4:$B$4996,0)),"Produto não encontrado"),"")</f>
        <v>LAJE PRE MONTADA / TAMPÃO DN 600</v>
      </c>
      <c r="F383" s="3">
        <v>1</v>
      </c>
      <c r="G383" s="1" t="s">
        <v>160</v>
      </c>
    </row>
    <row r="384" spans="1:8" x14ac:dyDescent="0.3">
      <c r="A384" s="21">
        <f t="shared" ref="A384:A447" si="6">IF(C384="Entrada",2,IF(C384="Saída",1,"."))</f>
        <v>1</v>
      </c>
      <c r="B384" s="2">
        <v>46086</v>
      </c>
      <c r="C384" s="2" t="s">
        <v>54</v>
      </c>
      <c r="D384" s="44" t="s">
        <v>65</v>
      </c>
      <c r="E384" s="22" t="str">
        <f>IF(D384&lt;&gt;"",IFERROR(INDEX(Produtos!$C$4:$C$4996,MATCH(D384,Produtos!$B$4:$B$4996,0)),"Produto não encontrado"),"")</f>
        <v>TUBO ESGOTO PVC DN 100</v>
      </c>
      <c r="F384" s="3">
        <v>1</v>
      </c>
      <c r="G384" s="1" t="s">
        <v>207</v>
      </c>
    </row>
    <row r="385" spans="1:8" x14ac:dyDescent="0.3">
      <c r="A385" s="21">
        <f t="shared" si="6"/>
        <v>1</v>
      </c>
      <c r="B385" s="2">
        <v>46086</v>
      </c>
      <c r="C385" s="2" t="s">
        <v>54</v>
      </c>
      <c r="D385" s="44" t="s">
        <v>57</v>
      </c>
      <c r="E385" s="22" t="str">
        <f>IF(D385&lt;&gt;"",IFERROR(INDEX(Produtos!$C$4:$C$4996,MATCH(D385,Produtos!$B$4:$B$4996,0)),"Produto não encontrado"),"")</f>
        <v>TUBO PEAD ESGOTO D 355</v>
      </c>
      <c r="F385" s="3">
        <v>9</v>
      </c>
      <c r="G385" s="1" t="s">
        <v>163</v>
      </c>
    </row>
    <row r="386" spans="1:8" x14ac:dyDescent="0.3">
      <c r="A386" s="21">
        <f t="shared" si="6"/>
        <v>1</v>
      </c>
      <c r="B386" s="2">
        <v>46087</v>
      </c>
      <c r="C386" s="2" t="s">
        <v>54</v>
      </c>
      <c r="D386" s="44" t="s">
        <v>63</v>
      </c>
      <c r="E386" s="22" t="str">
        <f>IF(D386&lt;&gt;"",IFERROR(INDEX(Produtos!$C$4:$C$4996,MATCH(D386,Produtos!$B$4:$B$4996,0)),"Produto não encontrado"),"")</f>
        <v>TUBO ESGOTO PVC DN 200</v>
      </c>
      <c r="F386" s="3">
        <v>83</v>
      </c>
      <c r="G386" s="1" t="s">
        <v>212</v>
      </c>
      <c r="H386" s="1" t="s">
        <v>213</v>
      </c>
    </row>
    <row r="387" spans="1:8" x14ac:dyDescent="0.3">
      <c r="A387" s="21">
        <f t="shared" si="6"/>
        <v>1</v>
      </c>
      <c r="B387" s="2">
        <v>46087</v>
      </c>
      <c r="C387" s="2" t="s">
        <v>54</v>
      </c>
      <c r="D387" s="44" t="s">
        <v>57</v>
      </c>
      <c r="E387" s="22" t="str">
        <f>IF(D387&lt;&gt;"",IFERROR(INDEX(Produtos!$C$4:$C$4996,MATCH(D387,Produtos!$B$4:$B$4996,0)),"Produto não encontrado"),"")</f>
        <v>TUBO PEAD ESGOTO D 355</v>
      </c>
      <c r="F387" s="3">
        <v>1</v>
      </c>
      <c r="G387" s="1" t="s">
        <v>202</v>
      </c>
    </row>
    <row r="388" spans="1:8" x14ac:dyDescent="0.3">
      <c r="A388" s="21">
        <f t="shared" si="6"/>
        <v>2</v>
      </c>
      <c r="B388" s="2">
        <v>46087</v>
      </c>
      <c r="C388" s="2" t="s">
        <v>28</v>
      </c>
      <c r="D388" s="44" t="s">
        <v>69</v>
      </c>
      <c r="E388" s="22" t="str">
        <f>IF(D388&lt;&gt;"",IFERROR(INDEX(Produtos!$C$4:$C$4996,MATCH(D388,Produtos!$B$4:$B$4996,0)),"Produto não encontrado"),"")</f>
        <v>GUIA</v>
      </c>
      <c r="F388" s="3">
        <v>6</v>
      </c>
    </row>
    <row r="389" spans="1:8" x14ac:dyDescent="0.3">
      <c r="A389" s="21">
        <f t="shared" si="6"/>
        <v>1</v>
      </c>
      <c r="B389" s="2">
        <v>46087</v>
      </c>
      <c r="C389" s="2" t="s">
        <v>54</v>
      </c>
      <c r="D389" s="44" t="s">
        <v>69</v>
      </c>
      <c r="E389" s="22" t="str">
        <f>IF(D389&lt;&gt;"",IFERROR(INDEX(Produtos!$C$4:$C$4996,MATCH(D389,Produtos!$B$4:$B$4996,0)),"Produto não encontrado"),"")</f>
        <v>GUIA</v>
      </c>
      <c r="F389" s="3">
        <v>5</v>
      </c>
      <c r="G389" s="1" t="s">
        <v>180</v>
      </c>
    </row>
    <row r="390" spans="1:8" x14ac:dyDescent="0.3">
      <c r="A390" s="21">
        <f t="shared" si="6"/>
        <v>2</v>
      </c>
      <c r="B390" s="2">
        <v>46087</v>
      </c>
      <c r="C390" s="2" t="s">
        <v>28</v>
      </c>
      <c r="D390" s="44" t="s">
        <v>73</v>
      </c>
      <c r="E390" s="22" t="str">
        <f>IF(D390&lt;&gt;"",IFERROR(INDEX(Produtos!$C$4:$C$4996,MATCH(D390,Produtos!$B$4:$B$4996,0)),"Produto não encontrado"),"")</f>
        <v>PARAFUSO SEXTAVADA 5/8</v>
      </c>
      <c r="F390" s="3">
        <v>10000</v>
      </c>
      <c r="G390" s="1" t="s">
        <v>214</v>
      </c>
    </row>
    <row r="391" spans="1:8" x14ac:dyDescent="0.3">
      <c r="A391" s="21">
        <f t="shared" si="6"/>
        <v>2</v>
      </c>
      <c r="B391" s="2">
        <v>46087</v>
      </c>
      <c r="C391" s="2" t="s">
        <v>28</v>
      </c>
      <c r="D391" s="44" t="s">
        <v>74</v>
      </c>
      <c r="E391" s="22" t="str">
        <f>IF(D391&lt;&gt;"",IFERROR(INDEX(Produtos!$C$4:$C$4996,MATCH(D391,Produtos!$B$4:$B$4996,0)),"Produto não encontrado"),"")</f>
        <v xml:space="preserve">PARAFUSO QUADRADO 5/8 </v>
      </c>
      <c r="F391" s="3">
        <v>78000</v>
      </c>
      <c r="G391" s="1" t="s">
        <v>214</v>
      </c>
    </row>
    <row r="392" spans="1:8" x14ac:dyDescent="0.3">
      <c r="A392" s="21">
        <f t="shared" si="6"/>
        <v>2</v>
      </c>
      <c r="B392" s="2">
        <v>46087</v>
      </c>
      <c r="C392" s="2" t="s">
        <v>28</v>
      </c>
      <c r="D392" s="44" t="s">
        <v>75</v>
      </c>
      <c r="E392" s="22" t="str">
        <f>IF(D392&lt;&gt;"",IFERROR(INDEX(Produtos!$C$4:$C$4996,MATCH(D392,Produtos!$B$4:$B$4996,0)),"Produto não encontrado"),"")</f>
        <v>PORCA SEXTAVADA 5/8</v>
      </c>
      <c r="F392" s="3">
        <v>19400</v>
      </c>
      <c r="G392" s="1" t="s">
        <v>214</v>
      </c>
    </row>
    <row r="393" spans="1:8" x14ac:dyDescent="0.3">
      <c r="A393" s="21">
        <f t="shared" si="6"/>
        <v>1</v>
      </c>
      <c r="B393" s="2">
        <v>46087</v>
      </c>
      <c r="C393" s="2" t="s">
        <v>54</v>
      </c>
      <c r="D393" s="44" t="s">
        <v>69</v>
      </c>
      <c r="E393" s="22" t="str">
        <f>IF(D393&lt;&gt;"",IFERROR(INDEX(Produtos!$C$4:$C$4996,MATCH(D393,Produtos!$B$4:$B$4996,0)),"Produto não encontrado"),"")</f>
        <v>GUIA</v>
      </c>
      <c r="F393" s="3">
        <v>2</v>
      </c>
      <c r="G393" s="1" t="s">
        <v>173</v>
      </c>
    </row>
    <row r="394" spans="1:8" x14ac:dyDescent="0.3">
      <c r="A394" s="21">
        <f t="shared" si="6"/>
        <v>1</v>
      </c>
      <c r="B394" s="2">
        <v>46087</v>
      </c>
      <c r="C394" s="2" t="s">
        <v>54</v>
      </c>
      <c r="D394" s="44" t="s">
        <v>21</v>
      </c>
      <c r="E394" s="22" t="str">
        <f>IF(D394&lt;&gt;"",IFERROR(INDEX(Produtos!$C$4:$C$4996,MATCH(D394,Produtos!$B$4:$B$4996,0)),"Produto não encontrado"),"")</f>
        <v>ADUELA DE 1000</v>
      </c>
      <c r="F394" s="3">
        <v>2</v>
      </c>
      <c r="G394" s="1" t="s">
        <v>173</v>
      </c>
    </row>
    <row r="395" spans="1:8" x14ac:dyDescent="0.3">
      <c r="A395" s="21">
        <f t="shared" si="6"/>
        <v>2</v>
      </c>
      <c r="B395" s="2">
        <v>46087</v>
      </c>
      <c r="C395" s="2" t="s">
        <v>28</v>
      </c>
      <c r="D395" s="44" t="s">
        <v>76</v>
      </c>
      <c r="E395" s="22" t="str">
        <f>IF(D395&lt;&gt;"",IFERROR(INDEX(Produtos!$C$4:$C$4996,MATCH(D395,Produtos!$B$4:$B$4996,0)),"Produto não encontrado"),"")</f>
        <v>GUIA CHAPÉU</v>
      </c>
      <c r="F395" s="3">
        <v>28</v>
      </c>
      <c r="G395" s="1" t="s">
        <v>218</v>
      </c>
    </row>
    <row r="396" spans="1:8" x14ac:dyDescent="0.3">
      <c r="A396" s="21">
        <f t="shared" si="6"/>
        <v>2</v>
      </c>
      <c r="B396" s="2">
        <v>46090</v>
      </c>
      <c r="C396" s="2" t="s">
        <v>28</v>
      </c>
      <c r="D396" s="44" t="s">
        <v>66</v>
      </c>
      <c r="E396" s="22" t="str">
        <f>IF(D396&lt;&gt;"",IFERROR(INDEX(Produtos!$C$4:$C$4996,MATCH(D396,Produtos!$B$4:$B$4996,0)),"Produto não encontrado"),"")</f>
        <v>CHAPA ARMICO</v>
      </c>
      <c r="F396" s="3">
        <v>334</v>
      </c>
      <c r="G396" s="1" t="s">
        <v>220</v>
      </c>
    </row>
    <row r="397" spans="1:8" x14ac:dyDescent="0.3">
      <c r="A397" s="21">
        <f t="shared" si="6"/>
        <v>1</v>
      </c>
      <c r="B397" s="2">
        <v>46087</v>
      </c>
      <c r="C397" s="2" t="s">
        <v>54</v>
      </c>
      <c r="D397" s="44" t="s">
        <v>57</v>
      </c>
      <c r="E397" s="22" t="str">
        <f>IF(D397&lt;&gt;"",IFERROR(INDEX(Produtos!$C$4:$C$4996,MATCH(D397,Produtos!$B$4:$B$4996,0)),"Produto não encontrado"),"")</f>
        <v>TUBO PEAD ESGOTO D 355</v>
      </c>
      <c r="F397" s="3">
        <v>1</v>
      </c>
      <c r="G397" s="1" t="s">
        <v>170</v>
      </c>
    </row>
    <row r="398" spans="1:8" x14ac:dyDescent="0.3">
      <c r="A398" s="21">
        <f t="shared" si="6"/>
        <v>2</v>
      </c>
      <c r="B398" s="2">
        <v>46090</v>
      </c>
      <c r="C398" s="2" t="s">
        <v>28</v>
      </c>
      <c r="D398" s="44" t="s">
        <v>66</v>
      </c>
      <c r="E398" s="22" t="str">
        <f>IF(D398&lt;&gt;"",IFERROR(INDEX(Produtos!$C$4:$C$4996,MATCH(D398,Produtos!$B$4:$B$4996,0)),"Produto não encontrado"),"")</f>
        <v>CHAPA ARMICO</v>
      </c>
      <c r="F398" s="3">
        <v>21</v>
      </c>
      <c r="H398" s="1" t="s">
        <v>196</v>
      </c>
    </row>
    <row r="399" spans="1:8" x14ac:dyDescent="0.3">
      <c r="A399" s="21">
        <f t="shared" si="6"/>
        <v>1</v>
      </c>
      <c r="B399" s="2">
        <v>46090</v>
      </c>
      <c r="C399" s="2" t="s">
        <v>54</v>
      </c>
      <c r="D399" s="44" t="s">
        <v>66</v>
      </c>
      <c r="E399" s="22" t="str">
        <f>IF(D399&lt;&gt;"",IFERROR(INDEX(Produtos!$C$4:$C$4996,MATCH(D399,Produtos!$B$4:$B$4996,0)),"Produto não encontrado"),"")</f>
        <v>CHAPA ARMICO</v>
      </c>
      <c r="F399" s="3">
        <v>21</v>
      </c>
      <c r="G399" s="1" t="s">
        <v>166</v>
      </c>
    </row>
    <row r="400" spans="1:8" x14ac:dyDescent="0.3">
      <c r="A400" s="21">
        <f t="shared" si="6"/>
        <v>1</v>
      </c>
      <c r="B400" s="2">
        <v>46090</v>
      </c>
      <c r="C400" s="2" t="s">
        <v>54</v>
      </c>
      <c r="D400" s="44" t="s">
        <v>73</v>
      </c>
      <c r="E400" s="22" t="str">
        <f>IF(D400&lt;&gt;"",IFERROR(INDEX(Produtos!$C$4:$C$4996,MATCH(D400,Produtos!$B$4:$B$4996,0)),"Produto não encontrado"),"")</f>
        <v>PARAFUSO SEXTAVADA 5/8</v>
      </c>
      <c r="F400" s="3">
        <v>200</v>
      </c>
      <c r="G400" s="1" t="s">
        <v>166</v>
      </c>
    </row>
    <row r="401" spans="1:7" x14ac:dyDescent="0.3">
      <c r="A401" s="21">
        <f t="shared" si="6"/>
        <v>1</v>
      </c>
      <c r="B401" s="2">
        <v>46090</v>
      </c>
      <c r="C401" s="2" t="s">
        <v>54</v>
      </c>
      <c r="D401" s="44" t="s">
        <v>74</v>
      </c>
      <c r="E401" s="22" t="str">
        <f>IF(D401&lt;&gt;"",IFERROR(INDEX(Produtos!$C$4:$C$4996,MATCH(D401,Produtos!$B$4:$B$4996,0)),"Produto não encontrado"),"")</f>
        <v xml:space="preserve">PARAFUSO QUADRADO 5/8 </v>
      </c>
      <c r="F401" s="3">
        <v>200</v>
      </c>
      <c r="G401" s="1" t="s">
        <v>166</v>
      </c>
    </row>
    <row r="402" spans="1:7" x14ac:dyDescent="0.3">
      <c r="A402" s="21">
        <f t="shared" si="6"/>
        <v>1</v>
      </c>
      <c r="B402" s="2">
        <v>46090</v>
      </c>
      <c r="C402" s="2" t="s">
        <v>54</v>
      </c>
      <c r="D402" s="44" t="s">
        <v>75</v>
      </c>
      <c r="E402" s="22" t="str">
        <f>IF(D402&lt;&gt;"",IFERROR(INDEX(Produtos!$C$4:$C$4996,MATCH(D402,Produtos!$B$4:$B$4996,0)),"Produto não encontrado"),"")</f>
        <v>PORCA SEXTAVADA 5/8</v>
      </c>
      <c r="F402" s="3">
        <v>400</v>
      </c>
      <c r="G402" s="1" t="s">
        <v>166</v>
      </c>
    </row>
    <row r="403" spans="1:7" x14ac:dyDescent="0.3">
      <c r="A403" s="21">
        <f t="shared" si="6"/>
        <v>1</v>
      </c>
      <c r="B403" s="2">
        <v>46090</v>
      </c>
      <c r="C403" s="2" t="s">
        <v>54</v>
      </c>
      <c r="D403" s="44" t="s">
        <v>67</v>
      </c>
      <c r="E403" s="22" t="str">
        <f>IF(D403&lt;&gt;"",IFERROR(INDEX(Produtos!$C$4:$C$4996,MATCH(D403,Produtos!$B$4:$B$4996,0)),"Produto não encontrado"),"")</f>
        <v>BLOCO DE PV</v>
      </c>
      <c r="F403" s="3">
        <v>15</v>
      </c>
      <c r="G403" s="1" t="s">
        <v>221</v>
      </c>
    </row>
    <row r="404" spans="1:7" x14ac:dyDescent="0.3">
      <c r="A404" s="21">
        <f t="shared" si="6"/>
        <v>1</v>
      </c>
      <c r="B404" s="2">
        <v>46090</v>
      </c>
      <c r="C404" s="2" t="s">
        <v>54</v>
      </c>
      <c r="D404" s="44" t="s">
        <v>23</v>
      </c>
      <c r="E404" s="22" t="str">
        <f>IF(D404&lt;&gt;"",IFERROR(INDEX(Produtos!$C$4:$C$4996,MATCH(D404,Produtos!$B$4:$B$4996,0)),"Produto não encontrado"),"")</f>
        <v>LAJE INFERIOR DE 1000</v>
      </c>
      <c r="F404" s="3">
        <v>1</v>
      </c>
      <c r="G404" s="1" t="s">
        <v>221</v>
      </c>
    </row>
    <row r="405" spans="1:7" x14ac:dyDescent="0.3">
      <c r="A405" s="21">
        <f t="shared" si="6"/>
        <v>1</v>
      </c>
      <c r="B405" s="2">
        <v>46090</v>
      </c>
      <c r="C405" s="2" t="s">
        <v>54</v>
      </c>
      <c r="D405" s="44" t="s">
        <v>56</v>
      </c>
      <c r="E405" s="22" t="str">
        <f>IF(D405&lt;&gt;"",IFERROR(INDEX(Produtos!$C$4:$C$4996,MATCH(D405,Produtos!$B$4:$B$4996,0)),"Produto não encontrado"),"")</f>
        <v>LAJE SURPERIOR DE 1000</v>
      </c>
      <c r="F405" s="3">
        <v>1</v>
      </c>
      <c r="G405" s="1" t="s">
        <v>221</v>
      </c>
    </row>
    <row r="406" spans="1:7" x14ac:dyDescent="0.3">
      <c r="A406" s="21">
        <f t="shared" si="6"/>
        <v>1</v>
      </c>
      <c r="B406" s="2">
        <v>46090</v>
      </c>
      <c r="C406" s="2" t="s">
        <v>54</v>
      </c>
      <c r="D406" s="44" t="s">
        <v>57</v>
      </c>
      <c r="E406" s="22" t="str">
        <f>IF(D406&lt;&gt;"",IFERROR(INDEX(Produtos!$C$4:$C$4996,MATCH(D406,Produtos!$B$4:$B$4996,0)),"Produto não encontrado"),"")</f>
        <v>TUBO PEAD ESGOTO D 355</v>
      </c>
      <c r="F406" s="3">
        <v>9</v>
      </c>
      <c r="G406" s="1" t="s">
        <v>163</v>
      </c>
    </row>
    <row r="407" spans="1:7" x14ac:dyDescent="0.3">
      <c r="A407" s="21">
        <f t="shared" si="6"/>
        <v>1</v>
      </c>
      <c r="B407" s="2">
        <v>46090</v>
      </c>
      <c r="C407" s="2" t="s">
        <v>54</v>
      </c>
      <c r="D407" s="44" t="s">
        <v>65</v>
      </c>
      <c r="E407" s="22" t="str">
        <f>IF(D407&lt;&gt;"",IFERROR(INDEX(Produtos!$C$4:$C$4996,MATCH(D407,Produtos!$B$4:$B$4996,0)),"Produto não encontrado"),"")</f>
        <v>TUBO ESGOTO PVC DN 100</v>
      </c>
      <c r="F407" s="3">
        <v>3</v>
      </c>
      <c r="G407" s="1" t="s">
        <v>199</v>
      </c>
    </row>
    <row r="408" spans="1:7" x14ac:dyDescent="0.3">
      <c r="A408" s="21">
        <f t="shared" si="6"/>
        <v>1</v>
      </c>
      <c r="B408" s="2">
        <v>46090</v>
      </c>
      <c r="C408" s="2" t="s">
        <v>54</v>
      </c>
      <c r="D408" s="44" t="s">
        <v>57</v>
      </c>
      <c r="E408" s="22" t="str">
        <f>IF(D408&lt;&gt;"",IFERROR(INDEX(Produtos!$C$4:$C$4996,MATCH(D408,Produtos!$B$4:$B$4996,0)),"Produto não encontrado"),"")</f>
        <v>TUBO PEAD ESGOTO D 355</v>
      </c>
      <c r="F408" s="3">
        <v>15</v>
      </c>
      <c r="G408" s="1" t="s">
        <v>172</v>
      </c>
    </row>
    <row r="409" spans="1:7" x14ac:dyDescent="0.3">
      <c r="A409" s="21">
        <f t="shared" si="6"/>
        <v>2</v>
      </c>
      <c r="B409" s="2">
        <v>46091</v>
      </c>
      <c r="C409" s="2" t="s">
        <v>28</v>
      </c>
      <c r="D409" s="44" t="s">
        <v>69</v>
      </c>
      <c r="E409" s="22" t="str">
        <f>IF(D409&lt;&gt;"",IFERROR(INDEX(Produtos!$C$4:$C$4996,MATCH(D409,Produtos!$B$4:$B$4996,0)),"Produto não encontrado"),"")</f>
        <v>GUIA</v>
      </c>
      <c r="F409" s="3">
        <v>150</v>
      </c>
      <c r="G409" s="1" t="s">
        <v>222</v>
      </c>
    </row>
    <row r="410" spans="1:7" x14ac:dyDescent="0.3">
      <c r="A410" s="21">
        <f t="shared" si="6"/>
        <v>1</v>
      </c>
      <c r="B410" s="2">
        <v>46090</v>
      </c>
      <c r="C410" s="2" t="s">
        <v>54</v>
      </c>
      <c r="D410" s="44" t="s">
        <v>66</v>
      </c>
      <c r="E410" s="22" t="str">
        <f>IF(D410&lt;&gt;"",IFERROR(INDEX(Produtos!$C$4:$C$4996,MATCH(D410,Produtos!$B$4:$B$4996,0)),"Produto não encontrado"),"")</f>
        <v>CHAPA ARMICO</v>
      </c>
      <c r="F410" s="3">
        <v>30</v>
      </c>
      <c r="G410" s="1" t="s">
        <v>162</v>
      </c>
    </row>
    <row r="411" spans="1:7" x14ac:dyDescent="0.3">
      <c r="A411" s="21">
        <f t="shared" si="6"/>
        <v>1</v>
      </c>
      <c r="B411" s="2">
        <v>46090</v>
      </c>
      <c r="C411" s="2" t="s">
        <v>54</v>
      </c>
      <c r="D411" s="44" t="s">
        <v>57</v>
      </c>
      <c r="E411" s="22" t="str">
        <f>IF(D411&lt;&gt;"",IFERROR(INDEX(Produtos!$C$4:$C$4996,MATCH(D411,Produtos!$B$4:$B$4996,0)),"Produto não encontrado"),"")</f>
        <v>TUBO PEAD ESGOTO D 355</v>
      </c>
      <c r="F411" s="3">
        <v>7</v>
      </c>
      <c r="G411" s="1" t="s">
        <v>170</v>
      </c>
    </row>
    <row r="412" spans="1:7" x14ac:dyDescent="0.3">
      <c r="A412" s="21">
        <f t="shared" si="6"/>
        <v>1</v>
      </c>
      <c r="B412" s="2">
        <v>46090</v>
      </c>
      <c r="C412" s="2" t="s">
        <v>54</v>
      </c>
      <c r="D412" s="44" t="s">
        <v>21</v>
      </c>
      <c r="E412" s="22" t="str">
        <f>IF(D412&lt;&gt;"",IFERROR(INDEX(Produtos!$C$4:$C$4996,MATCH(D412,Produtos!$B$4:$B$4996,0)),"Produto não encontrado"),"")</f>
        <v>ADUELA DE 1000</v>
      </c>
      <c r="F412" s="3">
        <v>2</v>
      </c>
      <c r="G412" s="1" t="s">
        <v>166</v>
      </c>
    </row>
    <row r="413" spans="1:7" x14ac:dyDescent="0.3">
      <c r="A413" s="21">
        <f t="shared" si="6"/>
        <v>1</v>
      </c>
      <c r="B413" s="2">
        <v>46090</v>
      </c>
      <c r="C413" s="2" t="s">
        <v>54</v>
      </c>
      <c r="D413" s="44" t="s">
        <v>23</v>
      </c>
      <c r="E413" s="22" t="str">
        <f>IF(D413&lt;&gt;"",IFERROR(INDEX(Produtos!$C$4:$C$4996,MATCH(D413,Produtos!$B$4:$B$4996,0)),"Produto não encontrado"),"")</f>
        <v>LAJE INFERIOR DE 1000</v>
      </c>
      <c r="F413" s="3">
        <v>1</v>
      </c>
      <c r="G413" s="1" t="s">
        <v>166</v>
      </c>
    </row>
    <row r="414" spans="1:7" x14ac:dyDescent="0.3">
      <c r="A414" s="21">
        <f t="shared" si="6"/>
        <v>1</v>
      </c>
      <c r="B414" s="2">
        <v>46090</v>
      </c>
      <c r="C414" s="2" t="s">
        <v>54</v>
      </c>
      <c r="D414" s="44" t="s">
        <v>56</v>
      </c>
      <c r="E414" s="22" t="str">
        <f>IF(D414&lt;&gt;"",IFERROR(INDEX(Produtos!$C$4:$C$4996,MATCH(D414,Produtos!$B$4:$B$4996,0)),"Produto não encontrado"),"")</f>
        <v>LAJE SURPERIOR DE 1000</v>
      </c>
      <c r="F414" s="3">
        <v>1</v>
      </c>
      <c r="G414" s="1" t="s">
        <v>166</v>
      </c>
    </row>
    <row r="415" spans="1:7" x14ac:dyDescent="0.3">
      <c r="A415" s="21">
        <f t="shared" si="6"/>
        <v>1</v>
      </c>
      <c r="B415" s="2">
        <v>46090</v>
      </c>
      <c r="C415" s="2" t="s">
        <v>54</v>
      </c>
      <c r="D415" s="44" t="s">
        <v>66</v>
      </c>
      <c r="E415" s="22" t="str">
        <f>IF(D415&lt;&gt;"",IFERROR(INDEX(Produtos!$C$4:$C$4996,MATCH(D415,Produtos!$B$4:$B$4996,0)),"Produto não encontrado"),"")</f>
        <v>CHAPA ARMICO</v>
      </c>
      <c r="F415" s="3">
        <v>25</v>
      </c>
      <c r="G415" s="1" t="s">
        <v>161</v>
      </c>
    </row>
    <row r="416" spans="1:7" x14ac:dyDescent="0.3">
      <c r="A416" s="21">
        <f t="shared" si="6"/>
        <v>1</v>
      </c>
      <c r="B416" s="2">
        <v>46090</v>
      </c>
      <c r="C416" s="2" t="s">
        <v>54</v>
      </c>
      <c r="D416" s="44" t="s">
        <v>73</v>
      </c>
      <c r="E416" s="22" t="str">
        <f>IF(D416&lt;&gt;"",IFERROR(INDEX(Produtos!$C$4:$C$4996,MATCH(D416,Produtos!$B$4:$B$4996,0)),"Produto não encontrado"),"")</f>
        <v>PARAFUSO SEXTAVADA 5/8</v>
      </c>
      <c r="F416" s="3">
        <v>400</v>
      </c>
      <c r="G416" s="1" t="s">
        <v>161</v>
      </c>
    </row>
    <row r="417" spans="1:8" x14ac:dyDescent="0.3">
      <c r="A417" s="21">
        <f t="shared" si="6"/>
        <v>1</v>
      </c>
      <c r="B417" s="2">
        <v>46090</v>
      </c>
      <c r="C417" s="2" t="s">
        <v>54</v>
      </c>
      <c r="D417" s="44" t="s">
        <v>74</v>
      </c>
      <c r="E417" s="22" t="str">
        <f>IF(D417&lt;&gt;"",IFERROR(INDEX(Produtos!$C$4:$C$4996,MATCH(D417,Produtos!$B$4:$B$4996,0)),"Produto não encontrado"),"")</f>
        <v xml:space="preserve">PARAFUSO QUADRADO 5/8 </v>
      </c>
      <c r="F417" s="3">
        <v>200</v>
      </c>
      <c r="G417" s="1" t="s">
        <v>161</v>
      </c>
    </row>
    <row r="418" spans="1:8" x14ac:dyDescent="0.3">
      <c r="A418" s="21">
        <f t="shared" si="6"/>
        <v>1</v>
      </c>
      <c r="B418" s="2">
        <v>46090</v>
      </c>
      <c r="C418" s="2" t="s">
        <v>54</v>
      </c>
      <c r="D418" s="44" t="s">
        <v>75</v>
      </c>
      <c r="E418" s="22" t="str">
        <f>IF(D418&lt;&gt;"",IFERROR(INDEX(Produtos!$C$4:$C$4996,MATCH(D418,Produtos!$B$4:$B$4996,0)),"Produto não encontrado"),"")</f>
        <v>PORCA SEXTAVADA 5/8</v>
      </c>
      <c r="F418" s="3">
        <v>200</v>
      </c>
      <c r="G418" s="1" t="s">
        <v>161</v>
      </c>
    </row>
    <row r="419" spans="1:8" x14ac:dyDescent="0.3">
      <c r="A419" s="21">
        <f t="shared" si="6"/>
        <v>1</v>
      </c>
      <c r="B419" s="2">
        <v>46091</v>
      </c>
      <c r="C419" s="2" t="s">
        <v>54</v>
      </c>
      <c r="D419" s="44" t="s">
        <v>66</v>
      </c>
      <c r="E419" s="22" t="str">
        <f>IF(D419&lt;&gt;"",IFERROR(INDEX(Produtos!$C$4:$C$4996,MATCH(D419,Produtos!$B$4:$B$4996,0)),"Produto não encontrado"),"")</f>
        <v>CHAPA ARMICO</v>
      </c>
      <c r="F419" s="3">
        <v>23</v>
      </c>
      <c r="G419" s="1" t="s">
        <v>161</v>
      </c>
    </row>
    <row r="420" spans="1:8" x14ac:dyDescent="0.3">
      <c r="A420" s="21">
        <f t="shared" si="6"/>
        <v>1</v>
      </c>
      <c r="B420" s="2">
        <v>46091</v>
      </c>
      <c r="C420" s="2" t="s">
        <v>54</v>
      </c>
      <c r="D420" s="44" t="s">
        <v>23</v>
      </c>
      <c r="E420" s="22" t="str">
        <f>IF(D420&lt;&gt;"",IFERROR(INDEX(Produtos!$C$4:$C$4996,MATCH(D420,Produtos!$B$4:$B$4996,0)),"Produto não encontrado"),"")</f>
        <v>LAJE INFERIOR DE 1000</v>
      </c>
      <c r="F420" s="3">
        <v>1</v>
      </c>
      <c r="G420" s="1" t="s">
        <v>162</v>
      </c>
    </row>
    <row r="421" spans="1:8" x14ac:dyDescent="0.3">
      <c r="A421" s="21">
        <f t="shared" si="6"/>
        <v>1</v>
      </c>
      <c r="B421" s="2">
        <v>46091</v>
      </c>
      <c r="C421" s="2" t="s">
        <v>54</v>
      </c>
      <c r="D421" s="44" t="s">
        <v>67</v>
      </c>
      <c r="E421" s="22" t="str">
        <f>IF(D421&lt;&gt;"",IFERROR(INDEX(Produtos!$C$4:$C$4996,MATCH(D421,Produtos!$B$4:$B$4996,0)),"Produto não encontrado"),"")</f>
        <v>BLOCO DE PV</v>
      </c>
      <c r="F421" s="3">
        <v>20</v>
      </c>
      <c r="G421" s="1" t="s">
        <v>162</v>
      </c>
    </row>
    <row r="422" spans="1:8" x14ac:dyDescent="0.3">
      <c r="A422" s="21">
        <f t="shared" si="6"/>
        <v>2</v>
      </c>
      <c r="B422" s="2">
        <v>46091</v>
      </c>
      <c r="C422" s="2" t="s">
        <v>28</v>
      </c>
      <c r="D422" s="44" t="s">
        <v>59</v>
      </c>
      <c r="E422" s="22" t="str">
        <f>IF(D422&lt;&gt;"",IFERROR(INDEX(Produtos!$C$4:$C$4996,MATCH(D422,Produtos!$B$4:$B$4996,0)),"Produto não encontrado"),"")</f>
        <v>TUBO PEAD ESGOTO D 225</v>
      </c>
      <c r="F422" s="3">
        <v>23</v>
      </c>
      <c r="G422" s="1" t="s">
        <v>223</v>
      </c>
    </row>
    <row r="423" spans="1:8" x14ac:dyDescent="0.3">
      <c r="A423" s="21">
        <f t="shared" si="6"/>
        <v>1</v>
      </c>
      <c r="B423" s="2">
        <v>46092</v>
      </c>
      <c r="C423" s="2" t="s">
        <v>54</v>
      </c>
      <c r="D423" s="44" t="s">
        <v>57</v>
      </c>
      <c r="E423" s="22" t="str">
        <f>IF(D423&lt;&gt;"",IFERROR(INDEX(Produtos!$C$4:$C$4996,MATCH(D423,Produtos!$B$4:$B$4996,0)),"Produto não encontrado"),"")</f>
        <v>TUBO PEAD ESGOTO D 355</v>
      </c>
      <c r="F423" s="3">
        <v>15</v>
      </c>
      <c r="G423" s="1" t="s">
        <v>163</v>
      </c>
    </row>
    <row r="424" spans="1:8" x14ac:dyDescent="0.3">
      <c r="A424" s="21">
        <f t="shared" si="6"/>
        <v>1</v>
      </c>
      <c r="B424" s="2">
        <v>46092</v>
      </c>
      <c r="C424" s="2" t="s">
        <v>54</v>
      </c>
      <c r="D424" s="44" t="s">
        <v>66</v>
      </c>
      <c r="E424" s="22" t="str">
        <f>IF(D424&lt;&gt;"",IFERROR(INDEX(Produtos!$C$4:$C$4996,MATCH(D424,Produtos!$B$4:$B$4996,0)),"Produto não encontrado"),"")</f>
        <v>CHAPA ARMICO</v>
      </c>
      <c r="F424" s="3">
        <v>18</v>
      </c>
      <c r="G424" s="1" t="s">
        <v>164</v>
      </c>
    </row>
    <row r="425" spans="1:8" x14ac:dyDescent="0.3">
      <c r="A425" s="21">
        <f t="shared" si="6"/>
        <v>1</v>
      </c>
      <c r="B425" s="2">
        <v>46092</v>
      </c>
      <c r="C425" s="2" t="s">
        <v>54</v>
      </c>
      <c r="D425" s="44" t="s">
        <v>66</v>
      </c>
      <c r="E425" s="22" t="str">
        <f>IF(D425&lt;&gt;"",IFERROR(INDEX(Produtos!$C$4:$C$4996,MATCH(D425,Produtos!$B$4:$B$4996,0)),"Produto não encontrado"),"")</f>
        <v>CHAPA ARMICO</v>
      </c>
      <c r="F425" s="3">
        <v>50</v>
      </c>
      <c r="G425" s="1" t="s">
        <v>221</v>
      </c>
    </row>
    <row r="426" spans="1:8" x14ac:dyDescent="0.3">
      <c r="A426" s="21">
        <f t="shared" si="6"/>
        <v>1</v>
      </c>
      <c r="B426" s="2">
        <v>46092</v>
      </c>
      <c r="C426" s="2" t="s">
        <v>54</v>
      </c>
      <c r="D426" s="44" t="s">
        <v>69</v>
      </c>
      <c r="E426" s="22" t="str">
        <f>IF(D426&lt;&gt;"",IFERROR(INDEX(Produtos!$C$4:$C$4996,MATCH(D426,Produtos!$B$4:$B$4996,0)),"Produto não encontrado"),"")</f>
        <v>GUIA</v>
      </c>
      <c r="F426" s="3">
        <v>6</v>
      </c>
      <c r="G426" s="1" t="s">
        <v>194</v>
      </c>
    </row>
    <row r="427" spans="1:8" x14ac:dyDescent="0.3">
      <c r="A427" s="21">
        <f t="shared" si="6"/>
        <v>2</v>
      </c>
      <c r="B427" s="2">
        <v>46092</v>
      </c>
      <c r="C427" s="2" t="s">
        <v>28</v>
      </c>
      <c r="D427" s="44" t="s">
        <v>22</v>
      </c>
      <c r="E427" s="22" t="str">
        <f>IF(D427&lt;&gt;"",IFERROR(INDEX(Produtos!$C$4:$C$4996,MATCH(D427,Produtos!$B$4:$B$4996,0)),"Produto não encontrado"),"")</f>
        <v>ADUELA DE 600</v>
      </c>
      <c r="F427" s="3">
        <v>4</v>
      </c>
      <c r="G427" s="1" t="s">
        <v>176</v>
      </c>
    </row>
    <row r="428" spans="1:8" x14ac:dyDescent="0.3">
      <c r="A428" s="21">
        <f t="shared" si="6"/>
        <v>1</v>
      </c>
      <c r="B428" s="2">
        <v>46092</v>
      </c>
      <c r="C428" s="2" t="s">
        <v>54</v>
      </c>
      <c r="D428" s="44" t="s">
        <v>73</v>
      </c>
      <c r="E428" s="22" t="str">
        <f>IF(D428&lt;&gt;"",IFERROR(INDEX(Produtos!$C$4:$C$4996,MATCH(D428,Produtos!$B$4:$B$4996,0)),"Produto não encontrado"),"")</f>
        <v>PARAFUSO SEXTAVADA 5/8</v>
      </c>
      <c r="F428" s="3">
        <v>200</v>
      </c>
      <c r="G428" s="1" t="s">
        <v>175</v>
      </c>
    </row>
    <row r="429" spans="1:8" x14ac:dyDescent="0.3">
      <c r="A429" s="21">
        <f t="shared" si="6"/>
        <v>1</v>
      </c>
      <c r="B429" s="2">
        <v>46092</v>
      </c>
      <c r="C429" s="2" t="s">
        <v>54</v>
      </c>
      <c r="D429" s="44" t="s">
        <v>74</v>
      </c>
      <c r="E429" s="22" t="str">
        <f>IF(D429&lt;&gt;"",IFERROR(INDEX(Produtos!$C$4:$C$4996,MATCH(D429,Produtos!$B$4:$B$4996,0)),"Produto não encontrado"),"")</f>
        <v xml:space="preserve">PARAFUSO QUADRADO 5/8 </v>
      </c>
      <c r="F429" s="3">
        <v>200</v>
      </c>
      <c r="G429" s="1" t="s">
        <v>175</v>
      </c>
    </row>
    <row r="430" spans="1:8" x14ac:dyDescent="0.3">
      <c r="A430" s="21">
        <f t="shared" si="6"/>
        <v>1</v>
      </c>
      <c r="B430" s="2">
        <v>46092</v>
      </c>
      <c r="C430" s="2" t="s">
        <v>54</v>
      </c>
      <c r="D430" s="44" t="s">
        <v>75</v>
      </c>
      <c r="E430" s="22" t="str">
        <f>IF(D430&lt;&gt;"",IFERROR(INDEX(Produtos!$C$4:$C$4996,MATCH(D430,Produtos!$B$4:$B$4996,0)),"Produto não encontrado"),"")</f>
        <v>PORCA SEXTAVADA 5/8</v>
      </c>
      <c r="F430" s="3">
        <v>400</v>
      </c>
      <c r="G430" s="1" t="s">
        <v>175</v>
      </c>
    </row>
    <row r="431" spans="1:8" x14ac:dyDescent="0.3">
      <c r="A431" s="21">
        <f t="shared" si="6"/>
        <v>1</v>
      </c>
      <c r="B431" s="2">
        <v>46092</v>
      </c>
      <c r="C431" s="2" t="s">
        <v>54</v>
      </c>
      <c r="D431" s="44" t="s">
        <v>66</v>
      </c>
      <c r="E431" s="22" t="str">
        <f>IF(D431&lt;&gt;"",IFERROR(INDEX(Produtos!$C$4:$C$4996,MATCH(D431,Produtos!$B$4:$B$4996,0)),"Produto não encontrado"),"")</f>
        <v>CHAPA ARMICO</v>
      </c>
      <c r="F431" s="3">
        <v>48</v>
      </c>
      <c r="G431" s="1" t="s">
        <v>166</v>
      </c>
    </row>
    <row r="432" spans="1:8" x14ac:dyDescent="0.3">
      <c r="A432" s="21">
        <f t="shared" si="6"/>
        <v>2</v>
      </c>
      <c r="B432" s="2">
        <v>46093</v>
      </c>
      <c r="C432" s="2" t="s">
        <v>28</v>
      </c>
      <c r="D432" s="44" t="s">
        <v>66</v>
      </c>
      <c r="E432" s="22" t="str">
        <f>IF(D432&lt;&gt;"",IFERROR(INDEX(Produtos!$C$4:$C$4996,MATCH(D432,Produtos!$B$4:$B$4996,0)),"Produto não encontrado"),"")</f>
        <v>CHAPA ARMICO</v>
      </c>
      <c r="F432" s="3">
        <v>8</v>
      </c>
      <c r="G432" s="1" t="s">
        <v>224</v>
      </c>
      <c r="H432" s="1" t="s">
        <v>196</v>
      </c>
    </row>
    <row r="433" spans="1:7" x14ac:dyDescent="0.3">
      <c r="A433" s="21">
        <f t="shared" si="6"/>
        <v>1</v>
      </c>
      <c r="B433" s="2">
        <v>46092</v>
      </c>
      <c r="C433" s="2" t="s">
        <v>54</v>
      </c>
      <c r="D433" s="44" t="s">
        <v>21</v>
      </c>
      <c r="E433" s="22" t="str">
        <f>IF(D433&lt;&gt;"",IFERROR(INDEX(Produtos!$C$4:$C$4996,MATCH(D433,Produtos!$B$4:$B$4996,0)),"Produto não encontrado"),"")</f>
        <v>ADUELA DE 1000</v>
      </c>
      <c r="F433" s="3">
        <v>1</v>
      </c>
      <c r="G433" s="1" t="s">
        <v>162</v>
      </c>
    </row>
    <row r="434" spans="1:7" x14ac:dyDescent="0.3">
      <c r="A434" s="21">
        <f t="shared" si="6"/>
        <v>1</v>
      </c>
      <c r="B434" s="2">
        <v>46092</v>
      </c>
      <c r="C434" s="2" t="s">
        <v>54</v>
      </c>
      <c r="D434" s="44" t="s">
        <v>67</v>
      </c>
      <c r="E434" s="22" t="str">
        <f>IF(D434&lt;&gt;"",IFERROR(INDEX(Produtos!$C$4:$C$4996,MATCH(D434,Produtos!$B$4:$B$4996,0)),"Produto não encontrado"),"")</f>
        <v>BLOCO DE PV</v>
      </c>
      <c r="F434" s="3">
        <v>20</v>
      </c>
      <c r="G434" s="1" t="s">
        <v>162</v>
      </c>
    </row>
    <row r="435" spans="1:7" x14ac:dyDescent="0.3">
      <c r="A435" s="21">
        <f t="shared" si="6"/>
        <v>1</v>
      </c>
      <c r="B435" s="2">
        <v>46093</v>
      </c>
      <c r="C435" s="2" t="s">
        <v>54</v>
      </c>
      <c r="D435" s="44" t="s">
        <v>71</v>
      </c>
      <c r="E435" s="22" t="str">
        <f>IF(D435&lt;&gt;"",IFERROR(INDEX(Produtos!$C$4:$C$4996,MATCH(D435,Produtos!$B$4:$B$4996,0)),"Produto não encontrado"),"")</f>
        <v>LAJE PRE MONTADA / TAMPÃO DN 600</v>
      </c>
      <c r="F435" s="3">
        <v>1</v>
      </c>
      <c r="G435" s="1" t="s">
        <v>162</v>
      </c>
    </row>
    <row r="436" spans="1:7" x14ac:dyDescent="0.3">
      <c r="A436" s="21">
        <f t="shared" si="6"/>
        <v>1</v>
      </c>
      <c r="B436" s="2">
        <v>46093</v>
      </c>
      <c r="C436" s="2" t="s">
        <v>54</v>
      </c>
      <c r="D436" s="44" t="s">
        <v>67</v>
      </c>
      <c r="E436" s="22" t="str">
        <f>IF(D436&lt;&gt;"",IFERROR(INDEX(Produtos!$C$4:$C$4996,MATCH(D436,Produtos!$B$4:$B$4996,0)),"Produto não encontrado"),"")</f>
        <v>BLOCO DE PV</v>
      </c>
      <c r="F436" s="3">
        <v>14</v>
      </c>
      <c r="G436" s="1" t="s">
        <v>193</v>
      </c>
    </row>
    <row r="437" spans="1:7" x14ac:dyDescent="0.3">
      <c r="A437" s="21">
        <f t="shared" si="6"/>
        <v>1</v>
      </c>
      <c r="B437" s="2">
        <v>46093</v>
      </c>
      <c r="C437" s="2" t="s">
        <v>54</v>
      </c>
      <c r="D437" s="44" t="s">
        <v>57</v>
      </c>
      <c r="E437" s="22" t="str">
        <f>IF(D437&lt;&gt;"",IFERROR(INDEX(Produtos!$C$4:$C$4996,MATCH(D437,Produtos!$B$4:$B$4996,0)),"Produto não encontrado"),"")</f>
        <v>TUBO PEAD ESGOTO D 355</v>
      </c>
      <c r="F437" s="3">
        <v>15</v>
      </c>
      <c r="G437" s="1" t="s">
        <v>176</v>
      </c>
    </row>
    <row r="438" spans="1:7" x14ac:dyDescent="0.3">
      <c r="A438" s="21">
        <f t="shared" si="6"/>
        <v>1</v>
      </c>
      <c r="B438" s="2">
        <v>46093</v>
      </c>
      <c r="C438" s="2" t="s">
        <v>54</v>
      </c>
      <c r="D438" s="44" t="s">
        <v>66</v>
      </c>
      <c r="E438" s="22" t="str">
        <f>IF(D438&lt;&gt;"",IFERROR(INDEX(Produtos!$C$4:$C$4996,MATCH(D438,Produtos!$B$4:$B$4996,0)),"Produto não encontrado"),"")</f>
        <v>CHAPA ARMICO</v>
      </c>
      <c r="F438" s="3">
        <v>12</v>
      </c>
      <c r="G438" s="1" t="s">
        <v>207</v>
      </c>
    </row>
    <row r="439" spans="1:7" x14ac:dyDescent="0.3">
      <c r="A439" s="21">
        <f t="shared" si="6"/>
        <v>1</v>
      </c>
      <c r="B439" s="2">
        <v>46093</v>
      </c>
      <c r="C439" s="2" t="s">
        <v>54</v>
      </c>
      <c r="D439" s="44" t="s">
        <v>73</v>
      </c>
      <c r="E439" s="22" t="str">
        <f>IF(D439&lt;&gt;"",IFERROR(INDEX(Produtos!$C$4:$C$4996,MATCH(D439,Produtos!$B$4:$B$4996,0)),"Produto não encontrado"),"")</f>
        <v>PARAFUSO SEXTAVADA 5/8</v>
      </c>
      <c r="F439" s="3">
        <v>200</v>
      </c>
      <c r="G439" s="1" t="s">
        <v>207</v>
      </c>
    </row>
    <row r="440" spans="1:7" x14ac:dyDescent="0.3">
      <c r="A440" s="21">
        <f t="shared" si="6"/>
        <v>1</v>
      </c>
      <c r="B440" s="2">
        <v>46093</v>
      </c>
      <c r="C440" s="2" t="s">
        <v>54</v>
      </c>
      <c r="D440" s="44" t="s">
        <v>74</v>
      </c>
      <c r="E440" s="22" t="str">
        <f>IF(D440&lt;&gt;"",IFERROR(INDEX(Produtos!$C$4:$C$4996,MATCH(D440,Produtos!$B$4:$B$4996,0)),"Produto não encontrado"),"")</f>
        <v xml:space="preserve">PARAFUSO QUADRADO 5/8 </v>
      </c>
      <c r="F440" s="3">
        <v>200</v>
      </c>
      <c r="G440" s="1" t="s">
        <v>207</v>
      </c>
    </row>
    <row r="441" spans="1:7" x14ac:dyDescent="0.3">
      <c r="A441" s="21">
        <f t="shared" si="6"/>
        <v>1</v>
      </c>
      <c r="B441" s="2">
        <v>46093</v>
      </c>
      <c r="C441" s="2" t="s">
        <v>54</v>
      </c>
      <c r="D441" s="44" t="s">
        <v>75</v>
      </c>
      <c r="E441" s="22" t="str">
        <f>IF(D441&lt;&gt;"",IFERROR(INDEX(Produtos!$C$4:$C$4996,MATCH(D441,Produtos!$B$4:$B$4996,0)),"Produto não encontrado"),"")</f>
        <v>PORCA SEXTAVADA 5/8</v>
      </c>
      <c r="F441" s="3">
        <v>400</v>
      </c>
      <c r="G441" s="1" t="s">
        <v>207</v>
      </c>
    </row>
    <row r="442" spans="1:7" x14ac:dyDescent="0.3">
      <c r="A442" s="21">
        <f t="shared" si="6"/>
        <v>1</v>
      </c>
      <c r="B442" s="2">
        <v>46094</v>
      </c>
      <c r="C442" s="2" t="s">
        <v>54</v>
      </c>
      <c r="D442" s="44" t="s">
        <v>23</v>
      </c>
      <c r="E442" s="22" t="str">
        <f>IF(D442&lt;&gt;"",IFERROR(INDEX(Produtos!$C$4:$C$4996,MATCH(D442,Produtos!$B$4:$B$4996,0)),"Produto não encontrado"),"")</f>
        <v>LAJE INFERIOR DE 1000</v>
      </c>
      <c r="F442" s="3">
        <v>1</v>
      </c>
      <c r="G442" s="1" t="s">
        <v>204</v>
      </c>
    </row>
    <row r="443" spans="1:7" x14ac:dyDescent="0.3">
      <c r="A443" s="21">
        <f t="shared" si="6"/>
        <v>1</v>
      </c>
      <c r="B443" s="2">
        <v>46094</v>
      </c>
      <c r="C443" s="2" t="s">
        <v>54</v>
      </c>
      <c r="D443" s="44" t="s">
        <v>21</v>
      </c>
      <c r="E443" s="22" t="str">
        <f>IF(D443&lt;&gt;"",IFERROR(INDEX(Produtos!$C$4:$C$4996,MATCH(D443,Produtos!$B$4:$B$4996,0)),"Produto não encontrado"),"")</f>
        <v>ADUELA DE 1000</v>
      </c>
      <c r="F443" s="3">
        <v>3</v>
      </c>
      <c r="G443" s="1" t="s">
        <v>167</v>
      </c>
    </row>
    <row r="444" spans="1:7" x14ac:dyDescent="0.3">
      <c r="A444" s="21">
        <f t="shared" si="6"/>
        <v>1</v>
      </c>
      <c r="B444" s="2">
        <v>46094</v>
      </c>
      <c r="C444" s="2" t="s">
        <v>54</v>
      </c>
      <c r="D444" s="44" t="s">
        <v>71</v>
      </c>
      <c r="E444" s="22" t="str">
        <f>IF(D444&lt;&gt;"",IFERROR(INDEX(Produtos!$C$4:$C$4996,MATCH(D444,Produtos!$B$4:$B$4996,0)),"Produto não encontrado"),"")</f>
        <v>LAJE PRE MONTADA / TAMPÃO DN 600</v>
      </c>
      <c r="F444" s="3">
        <v>1</v>
      </c>
      <c r="G444" s="1" t="s">
        <v>167</v>
      </c>
    </row>
    <row r="445" spans="1:7" x14ac:dyDescent="0.3">
      <c r="A445" s="21">
        <f t="shared" si="6"/>
        <v>1</v>
      </c>
      <c r="B445" s="2">
        <v>46094</v>
      </c>
      <c r="C445" s="2" t="s">
        <v>54</v>
      </c>
      <c r="D445" s="44" t="s">
        <v>67</v>
      </c>
      <c r="E445" s="22" t="str">
        <f>IF(D445&lt;&gt;"",IFERROR(INDEX(Produtos!$C$4:$C$4996,MATCH(D445,Produtos!$B$4:$B$4996,0)),"Produto não encontrado"),"")</f>
        <v>BLOCO DE PV</v>
      </c>
      <c r="F445" s="3">
        <v>19</v>
      </c>
      <c r="G445" s="1" t="s">
        <v>204</v>
      </c>
    </row>
    <row r="446" spans="1:7" x14ac:dyDescent="0.3">
      <c r="A446" s="21">
        <f t="shared" si="6"/>
        <v>1</v>
      </c>
      <c r="B446" s="2">
        <v>46094</v>
      </c>
      <c r="C446" s="2" t="s">
        <v>54</v>
      </c>
      <c r="D446" s="44" t="s">
        <v>66</v>
      </c>
      <c r="E446" s="22" t="str">
        <f>IF(D446&lt;&gt;"",IFERROR(INDEX(Produtos!$C$4:$C$4996,MATCH(D446,Produtos!$B$4:$B$4996,0)),"Produto não encontrado"),"")</f>
        <v>CHAPA ARMICO</v>
      </c>
      <c r="F446" s="3">
        <v>14</v>
      </c>
      <c r="G446" s="1" t="s">
        <v>166</v>
      </c>
    </row>
    <row r="447" spans="1:7" x14ac:dyDescent="0.3">
      <c r="A447" s="21">
        <f t="shared" si="6"/>
        <v>1</v>
      </c>
      <c r="B447" s="2">
        <v>46094</v>
      </c>
      <c r="C447" s="2" t="s">
        <v>54</v>
      </c>
      <c r="D447" s="44" t="s">
        <v>57</v>
      </c>
      <c r="E447" s="22" t="str">
        <f>IF(D447&lt;&gt;"",IFERROR(INDEX(Produtos!$C$4:$C$4996,MATCH(D447,Produtos!$B$4:$B$4996,0)),"Produto não encontrado"),"")</f>
        <v>TUBO PEAD ESGOTO D 355</v>
      </c>
      <c r="F447" s="3">
        <v>20</v>
      </c>
      <c r="G447" s="1" t="s">
        <v>163</v>
      </c>
    </row>
    <row r="448" spans="1:7" x14ac:dyDescent="0.3">
      <c r="A448" s="21">
        <f t="shared" ref="A448:A511" si="7">IF(C448="Entrada",2,IF(C448="Saída",1,"."))</f>
        <v>2</v>
      </c>
      <c r="B448" s="2">
        <v>46097</v>
      </c>
      <c r="C448" s="2" t="s">
        <v>28</v>
      </c>
      <c r="D448" s="44" t="s">
        <v>77</v>
      </c>
      <c r="E448" s="22" t="str">
        <f>IF(D448&lt;&gt;"",IFERROR(INDEX(Produtos!$C$4:$C$4996,MATCH(D448,Produtos!$B$4:$B$4996,0)),"Produto não encontrado"),"")</f>
        <v>ADUELA  DE 1500</v>
      </c>
      <c r="F448" s="3">
        <v>6</v>
      </c>
      <c r="G448" s="1" t="s">
        <v>225</v>
      </c>
    </row>
    <row r="449" spans="1:7" x14ac:dyDescent="0.3">
      <c r="A449" s="21">
        <f t="shared" si="7"/>
        <v>2</v>
      </c>
      <c r="B449" s="2">
        <v>46097</v>
      </c>
      <c r="C449" s="2" t="s">
        <v>28</v>
      </c>
      <c r="D449" s="44" t="s">
        <v>66</v>
      </c>
      <c r="E449" s="22" t="str">
        <f>IF(D449&lt;&gt;"",IFERROR(INDEX(Produtos!$C$4:$C$4996,MATCH(D449,Produtos!$B$4:$B$4996,0)),"Produto não encontrado"),"")</f>
        <v>CHAPA ARMICO</v>
      </c>
      <c r="F449" s="3">
        <v>500</v>
      </c>
      <c r="G449" s="1" t="s">
        <v>226</v>
      </c>
    </row>
    <row r="450" spans="1:7" x14ac:dyDescent="0.3">
      <c r="A450" s="21">
        <f t="shared" si="7"/>
        <v>1</v>
      </c>
      <c r="B450" s="2">
        <v>46095</v>
      </c>
      <c r="C450" s="2" t="s">
        <v>54</v>
      </c>
      <c r="D450" s="44" t="s">
        <v>66</v>
      </c>
      <c r="E450" s="22" t="str">
        <f>IF(D450&lt;&gt;"",IFERROR(INDEX(Produtos!$C$4:$C$4996,MATCH(D450,Produtos!$B$4:$B$4996,0)),"Produto não encontrado"),"")</f>
        <v>CHAPA ARMICO</v>
      </c>
      <c r="F450" s="3">
        <v>15</v>
      </c>
      <c r="G450" s="1" t="s">
        <v>166</v>
      </c>
    </row>
    <row r="451" spans="1:7" x14ac:dyDescent="0.3">
      <c r="A451" s="21">
        <f t="shared" si="7"/>
        <v>1</v>
      </c>
      <c r="B451" s="2">
        <v>46095</v>
      </c>
      <c r="C451" s="2" t="s">
        <v>54</v>
      </c>
      <c r="D451" s="44" t="s">
        <v>21</v>
      </c>
      <c r="E451" s="22" t="str">
        <f>IF(D451&lt;&gt;"",IFERROR(INDEX(Produtos!$C$4:$C$4996,MATCH(D451,Produtos!$B$4:$B$4996,0)),"Produto não encontrado"),"")</f>
        <v>ADUELA DE 1000</v>
      </c>
      <c r="F451" s="3">
        <v>2</v>
      </c>
      <c r="G451" s="1" t="s">
        <v>192</v>
      </c>
    </row>
    <row r="452" spans="1:7" x14ac:dyDescent="0.3">
      <c r="A452" s="21">
        <f t="shared" si="7"/>
        <v>1</v>
      </c>
      <c r="B452" s="2">
        <v>46095</v>
      </c>
      <c r="C452" s="2" t="s">
        <v>54</v>
      </c>
      <c r="D452" s="44" t="s">
        <v>23</v>
      </c>
      <c r="E452" s="22" t="str">
        <f>IF(D452&lt;&gt;"",IFERROR(INDEX(Produtos!$C$4:$C$4996,MATCH(D452,Produtos!$B$4:$B$4996,0)),"Produto não encontrado"),"")</f>
        <v>LAJE INFERIOR DE 1000</v>
      </c>
      <c r="F452" s="3">
        <v>1</v>
      </c>
      <c r="G452" s="1" t="s">
        <v>192</v>
      </c>
    </row>
    <row r="453" spans="1:7" x14ac:dyDescent="0.3">
      <c r="A453" s="21">
        <f t="shared" si="7"/>
        <v>1</v>
      </c>
      <c r="B453" s="2">
        <v>46095</v>
      </c>
      <c r="C453" s="2" t="s">
        <v>54</v>
      </c>
      <c r="D453" s="44" t="s">
        <v>21</v>
      </c>
      <c r="E453" s="22" t="str">
        <f>IF(D453&lt;&gt;"",IFERROR(INDEX(Produtos!$C$4:$C$4996,MATCH(D453,Produtos!$B$4:$B$4996,0)),"Produto não encontrado"),"")</f>
        <v>ADUELA DE 1000</v>
      </c>
      <c r="F453" s="3">
        <v>1</v>
      </c>
      <c r="G453" s="1" t="s">
        <v>204</v>
      </c>
    </row>
    <row r="454" spans="1:7" x14ac:dyDescent="0.3">
      <c r="A454" s="21">
        <f t="shared" si="7"/>
        <v>1</v>
      </c>
      <c r="B454" s="2">
        <v>46097</v>
      </c>
      <c r="C454" s="2" t="s">
        <v>54</v>
      </c>
      <c r="D454" s="44" t="s">
        <v>21</v>
      </c>
      <c r="E454" s="22" t="str">
        <f>IF(D454&lt;&gt;"",IFERROR(INDEX(Produtos!$C$4:$C$4996,MATCH(D454,Produtos!$B$4:$B$4996,0)),"Produto não encontrado"),"")</f>
        <v>ADUELA DE 1000</v>
      </c>
      <c r="F454" s="3">
        <v>2</v>
      </c>
      <c r="G454" s="1" t="s">
        <v>161</v>
      </c>
    </row>
    <row r="455" spans="1:7" x14ac:dyDescent="0.3">
      <c r="A455" s="21">
        <f t="shared" si="7"/>
        <v>1</v>
      </c>
      <c r="B455" s="2">
        <v>46097</v>
      </c>
      <c r="C455" s="2" t="s">
        <v>54</v>
      </c>
      <c r="D455" s="44" t="s">
        <v>56</v>
      </c>
      <c r="E455" s="22" t="str">
        <f>IF(D455&lt;&gt;"",IFERROR(INDEX(Produtos!$C$4:$C$4996,MATCH(D455,Produtos!$B$4:$B$4996,0)),"Produto não encontrado"),"")</f>
        <v>LAJE SURPERIOR DE 1000</v>
      </c>
      <c r="F455" s="3">
        <v>1</v>
      </c>
      <c r="G455" s="1" t="s">
        <v>161</v>
      </c>
    </row>
    <row r="456" spans="1:7" x14ac:dyDescent="0.3">
      <c r="A456" s="21">
        <f t="shared" si="7"/>
        <v>1</v>
      </c>
      <c r="B456" s="2">
        <v>46097</v>
      </c>
      <c r="C456" s="2" t="s">
        <v>54</v>
      </c>
      <c r="D456" s="44" t="s">
        <v>21</v>
      </c>
      <c r="E456" s="22" t="str">
        <f>IF(D456&lt;&gt;"",IFERROR(INDEX(Produtos!$C$4:$C$4996,MATCH(D456,Produtos!$B$4:$B$4996,0)),"Produto não encontrado"),"")</f>
        <v>ADUELA DE 1000</v>
      </c>
      <c r="F456" s="3">
        <v>2</v>
      </c>
      <c r="G456" s="1" t="s">
        <v>227</v>
      </c>
    </row>
    <row r="457" spans="1:7" x14ac:dyDescent="0.3">
      <c r="A457" s="21">
        <f t="shared" si="7"/>
        <v>1</v>
      </c>
      <c r="B457" s="2">
        <v>46097</v>
      </c>
      <c r="C457" s="2" t="s">
        <v>54</v>
      </c>
      <c r="D457" s="44" t="s">
        <v>23</v>
      </c>
      <c r="E457" s="22" t="str">
        <f>IF(D457&lt;&gt;"",IFERROR(INDEX(Produtos!$C$4:$C$4996,MATCH(D457,Produtos!$B$4:$B$4996,0)),"Produto não encontrado"),"")</f>
        <v>LAJE INFERIOR DE 1000</v>
      </c>
      <c r="F457" s="3">
        <v>1</v>
      </c>
      <c r="G457" s="1" t="s">
        <v>227</v>
      </c>
    </row>
    <row r="458" spans="1:7" x14ac:dyDescent="0.3">
      <c r="A458" s="21">
        <f t="shared" si="7"/>
        <v>1</v>
      </c>
      <c r="B458" s="2">
        <v>46097</v>
      </c>
      <c r="C458" s="2" t="s">
        <v>54</v>
      </c>
      <c r="D458" s="44" t="s">
        <v>56</v>
      </c>
      <c r="E458" s="22" t="str">
        <f>IF(D458&lt;&gt;"",IFERROR(INDEX(Produtos!$C$4:$C$4996,MATCH(D458,Produtos!$B$4:$B$4996,0)),"Produto não encontrado"),"")</f>
        <v>LAJE SURPERIOR DE 1000</v>
      </c>
      <c r="F458" s="3">
        <v>1</v>
      </c>
      <c r="G458" s="1" t="s">
        <v>227</v>
      </c>
    </row>
    <row r="459" spans="1:7" x14ac:dyDescent="0.3">
      <c r="A459" s="21">
        <f t="shared" si="7"/>
        <v>1</v>
      </c>
      <c r="B459" s="2">
        <v>46097</v>
      </c>
      <c r="C459" s="2" t="s">
        <v>54</v>
      </c>
      <c r="D459" s="44" t="s">
        <v>66</v>
      </c>
      <c r="E459" s="22" t="str">
        <f>IF(D459&lt;&gt;"",IFERROR(INDEX(Produtos!$C$4:$C$4996,MATCH(D459,Produtos!$B$4:$B$4996,0)),"Produto não encontrado"),"")</f>
        <v>CHAPA ARMICO</v>
      </c>
      <c r="F459" s="3">
        <v>45</v>
      </c>
      <c r="G459" s="1" t="s">
        <v>166</v>
      </c>
    </row>
    <row r="460" spans="1:7" x14ac:dyDescent="0.3">
      <c r="A460" s="21">
        <f t="shared" si="7"/>
        <v>1</v>
      </c>
      <c r="B460" s="2">
        <v>46097</v>
      </c>
      <c r="C460" s="2" t="s">
        <v>54</v>
      </c>
      <c r="D460" s="44" t="s">
        <v>21</v>
      </c>
      <c r="E460" s="22" t="str">
        <f>IF(D460&lt;&gt;"",IFERROR(INDEX(Produtos!$C$4:$C$4996,MATCH(D460,Produtos!$B$4:$B$4996,0)),"Produto não encontrado"),"")</f>
        <v>ADUELA DE 1000</v>
      </c>
      <c r="F460" s="3">
        <v>2</v>
      </c>
      <c r="G460" s="1" t="s">
        <v>174</v>
      </c>
    </row>
    <row r="461" spans="1:7" x14ac:dyDescent="0.3">
      <c r="A461" s="21">
        <f t="shared" si="7"/>
        <v>1</v>
      </c>
      <c r="B461" s="2">
        <v>46097</v>
      </c>
      <c r="C461" s="2" t="s">
        <v>54</v>
      </c>
      <c r="D461" s="44" t="s">
        <v>21</v>
      </c>
      <c r="E461" s="22" t="str">
        <f>IF(D461&lt;&gt;"",IFERROR(INDEX(Produtos!$C$4:$C$4996,MATCH(D461,Produtos!$B$4:$B$4996,0)),"Produto não encontrado"),"")</f>
        <v>ADUELA DE 1000</v>
      </c>
      <c r="F461" s="3">
        <v>2</v>
      </c>
      <c r="G461" s="1" t="s">
        <v>167</v>
      </c>
    </row>
    <row r="462" spans="1:7" x14ac:dyDescent="0.3">
      <c r="A462" s="21">
        <f t="shared" si="7"/>
        <v>1</v>
      </c>
      <c r="B462" s="2">
        <v>46097</v>
      </c>
      <c r="C462" s="2" t="s">
        <v>54</v>
      </c>
      <c r="D462" s="44" t="s">
        <v>23</v>
      </c>
      <c r="E462" s="22" t="str">
        <f>IF(D462&lt;&gt;"",IFERROR(INDEX(Produtos!$C$4:$C$4996,MATCH(D462,Produtos!$B$4:$B$4996,0)),"Produto não encontrado"),"")</f>
        <v>LAJE INFERIOR DE 1000</v>
      </c>
      <c r="F462" s="3">
        <v>1</v>
      </c>
      <c r="G462" s="1" t="s">
        <v>167</v>
      </c>
    </row>
    <row r="463" spans="1:7" x14ac:dyDescent="0.3">
      <c r="A463" s="21">
        <f t="shared" si="7"/>
        <v>1</v>
      </c>
      <c r="B463" s="2">
        <v>46097</v>
      </c>
      <c r="C463" s="2" t="s">
        <v>54</v>
      </c>
      <c r="D463" s="44" t="s">
        <v>56</v>
      </c>
      <c r="E463" s="22" t="str">
        <f>IF(D463&lt;&gt;"",IFERROR(INDEX(Produtos!$C$4:$C$4996,MATCH(D463,Produtos!$B$4:$B$4996,0)),"Produto não encontrado"),"")</f>
        <v>LAJE SURPERIOR DE 1000</v>
      </c>
      <c r="F463" s="3">
        <v>1</v>
      </c>
      <c r="G463" s="1" t="s">
        <v>167</v>
      </c>
    </row>
    <row r="464" spans="1:7" x14ac:dyDescent="0.3">
      <c r="A464" s="21">
        <f t="shared" si="7"/>
        <v>1</v>
      </c>
      <c r="B464" s="2">
        <v>46097</v>
      </c>
      <c r="C464" s="2" t="s">
        <v>54</v>
      </c>
      <c r="D464" s="44" t="s">
        <v>21</v>
      </c>
      <c r="E464" s="22" t="str">
        <f>IF(D464&lt;&gt;"",IFERROR(INDEX(Produtos!$C$4:$C$4996,MATCH(D464,Produtos!$B$4:$B$4996,0)),"Produto não encontrado"),"")</f>
        <v>ADUELA DE 1000</v>
      </c>
      <c r="F464" s="3">
        <v>2</v>
      </c>
      <c r="G464" s="1" t="s">
        <v>204</v>
      </c>
    </row>
    <row r="465" spans="1:7" x14ac:dyDescent="0.3">
      <c r="A465" s="21">
        <f t="shared" si="7"/>
        <v>1</v>
      </c>
      <c r="B465" s="2">
        <v>46097</v>
      </c>
      <c r="C465" s="2" t="s">
        <v>54</v>
      </c>
      <c r="D465" s="44" t="s">
        <v>23</v>
      </c>
      <c r="E465" s="22" t="str">
        <f>IF(D465&lt;&gt;"",IFERROR(INDEX(Produtos!$C$4:$C$4996,MATCH(D465,Produtos!$B$4:$B$4996,0)),"Produto não encontrado"),"")</f>
        <v>LAJE INFERIOR DE 1000</v>
      </c>
      <c r="F465" s="3">
        <v>1</v>
      </c>
      <c r="G465" s="1" t="s">
        <v>204</v>
      </c>
    </row>
    <row r="466" spans="1:7" x14ac:dyDescent="0.3">
      <c r="A466" s="21">
        <f t="shared" si="7"/>
        <v>1</v>
      </c>
      <c r="B466" s="2">
        <v>46097</v>
      </c>
      <c r="C466" s="2" t="s">
        <v>54</v>
      </c>
      <c r="D466" s="44" t="s">
        <v>56</v>
      </c>
      <c r="E466" s="22" t="str">
        <f>IF(D466&lt;&gt;"",IFERROR(INDEX(Produtos!$C$4:$C$4996,MATCH(D466,Produtos!$B$4:$B$4996,0)),"Produto não encontrado"),"")</f>
        <v>LAJE SURPERIOR DE 1000</v>
      </c>
      <c r="F466" s="3">
        <v>1</v>
      </c>
      <c r="G466" s="1" t="s">
        <v>204</v>
      </c>
    </row>
    <row r="467" spans="1:7" x14ac:dyDescent="0.3">
      <c r="A467" s="21">
        <f t="shared" si="7"/>
        <v>1</v>
      </c>
      <c r="B467" s="2">
        <v>46097</v>
      </c>
      <c r="C467" s="2" t="s">
        <v>54</v>
      </c>
      <c r="D467" s="44" t="s">
        <v>71</v>
      </c>
      <c r="E467" s="22" t="str">
        <f>IF(D467&lt;&gt;"",IFERROR(INDEX(Produtos!$C$4:$C$4996,MATCH(D467,Produtos!$B$4:$B$4996,0)),"Produto não encontrado"),"")</f>
        <v>LAJE PRE MONTADA / TAMPÃO DN 600</v>
      </c>
      <c r="F467" s="3">
        <v>1</v>
      </c>
      <c r="G467" s="1" t="s">
        <v>167</v>
      </c>
    </row>
    <row r="468" spans="1:7" x14ac:dyDescent="0.3">
      <c r="A468" s="21">
        <f t="shared" si="7"/>
        <v>1</v>
      </c>
      <c r="B468" s="2">
        <v>46097</v>
      </c>
      <c r="C468" s="2" t="s">
        <v>54</v>
      </c>
      <c r="D468" s="44" t="s">
        <v>67</v>
      </c>
      <c r="E468" s="22" t="str">
        <f>IF(D468&lt;&gt;"",IFERROR(INDEX(Produtos!$C$4:$C$4996,MATCH(D468,Produtos!$B$4:$B$4996,0)),"Produto não encontrado"),"")</f>
        <v>BLOCO DE PV</v>
      </c>
      <c r="F468" s="3">
        <v>20</v>
      </c>
      <c r="G468" s="1" t="s">
        <v>167</v>
      </c>
    </row>
    <row r="469" spans="1:7" x14ac:dyDescent="0.3">
      <c r="A469" s="21">
        <f t="shared" si="7"/>
        <v>1</v>
      </c>
      <c r="B469" s="2">
        <v>46097</v>
      </c>
      <c r="C469" s="2" t="s">
        <v>54</v>
      </c>
      <c r="D469" s="44" t="s">
        <v>22</v>
      </c>
      <c r="E469" s="22" t="str">
        <f>IF(D469&lt;&gt;"",IFERROR(INDEX(Produtos!$C$4:$C$4996,MATCH(D469,Produtos!$B$4:$B$4996,0)),"Produto não encontrado"),"")</f>
        <v>ADUELA DE 600</v>
      </c>
      <c r="F469" s="3">
        <v>1</v>
      </c>
      <c r="G469" s="1" t="s">
        <v>167</v>
      </c>
    </row>
    <row r="470" spans="1:7" x14ac:dyDescent="0.3">
      <c r="A470" s="21">
        <f t="shared" si="7"/>
        <v>1</v>
      </c>
      <c r="B470" s="2">
        <v>46097</v>
      </c>
      <c r="C470" s="2" t="s">
        <v>54</v>
      </c>
      <c r="D470" s="44" t="s">
        <v>66</v>
      </c>
      <c r="E470" s="22" t="str">
        <f>IF(D470&lt;&gt;"",IFERROR(INDEX(Produtos!$C$4:$C$4996,MATCH(D470,Produtos!$B$4:$B$4996,0)),"Produto não encontrado"),"")</f>
        <v>CHAPA ARMICO</v>
      </c>
      <c r="F470" s="3">
        <v>80</v>
      </c>
      <c r="G470" s="1" t="s">
        <v>228</v>
      </c>
    </row>
    <row r="471" spans="1:7" x14ac:dyDescent="0.3">
      <c r="A471" s="21">
        <f t="shared" si="7"/>
        <v>1</v>
      </c>
      <c r="B471" s="2">
        <v>46097</v>
      </c>
      <c r="C471" s="2" t="s">
        <v>54</v>
      </c>
      <c r="D471" s="44" t="s">
        <v>73</v>
      </c>
      <c r="E471" s="22" t="str">
        <f>IF(D471&lt;&gt;"",IFERROR(INDEX(Produtos!$C$4:$C$4996,MATCH(D471,Produtos!$B$4:$B$4996,0)),"Produto não encontrado"),"")</f>
        <v>PARAFUSO SEXTAVADA 5/8</v>
      </c>
      <c r="F471" s="3">
        <v>200</v>
      </c>
      <c r="G471" s="1" t="s">
        <v>228</v>
      </c>
    </row>
    <row r="472" spans="1:7" x14ac:dyDescent="0.3">
      <c r="A472" s="21">
        <f t="shared" si="7"/>
        <v>1</v>
      </c>
      <c r="B472" s="2">
        <v>46097</v>
      </c>
      <c r="C472" s="2" t="s">
        <v>54</v>
      </c>
      <c r="D472" s="44" t="s">
        <v>74</v>
      </c>
      <c r="E472" s="22" t="str">
        <f>IF(D472&lt;&gt;"",IFERROR(INDEX(Produtos!$C$4:$C$4996,MATCH(D472,Produtos!$B$4:$B$4996,0)),"Produto não encontrado"),"")</f>
        <v xml:space="preserve">PARAFUSO QUADRADO 5/8 </v>
      </c>
      <c r="F472" s="3">
        <v>200</v>
      </c>
      <c r="G472" s="1" t="s">
        <v>228</v>
      </c>
    </row>
    <row r="473" spans="1:7" x14ac:dyDescent="0.3">
      <c r="A473" s="21">
        <f t="shared" si="7"/>
        <v>1</v>
      </c>
      <c r="B473" s="2">
        <v>46097</v>
      </c>
      <c r="C473" s="2" t="s">
        <v>54</v>
      </c>
      <c r="D473" s="44" t="s">
        <v>75</v>
      </c>
      <c r="E473" s="22" t="str">
        <f>IF(D473&lt;&gt;"",IFERROR(INDEX(Produtos!$C$4:$C$4996,MATCH(D473,Produtos!$B$4:$B$4996,0)),"Produto não encontrado"),"")</f>
        <v>PORCA SEXTAVADA 5/8</v>
      </c>
      <c r="F473" s="3">
        <v>400</v>
      </c>
      <c r="G473" s="1" t="s">
        <v>228</v>
      </c>
    </row>
    <row r="474" spans="1:7" x14ac:dyDescent="0.3">
      <c r="A474" s="21">
        <f t="shared" si="7"/>
        <v>1</v>
      </c>
      <c r="B474" s="2">
        <v>46097</v>
      </c>
      <c r="C474" s="2" t="s">
        <v>54</v>
      </c>
      <c r="D474" s="44" t="s">
        <v>73</v>
      </c>
      <c r="E474" s="22" t="str">
        <f>IF(D474&lt;&gt;"",IFERROR(INDEX(Produtos!$C$4:$C$4996,MATCH(D474,Produtos!$B$4:$B$4996,0)),"Produto não encontrado"),"")</f>
        <v>PARAFUSO SEXTAVADA 5/8</v>
      </c>
      <c r="F474" s="3">
        <v>200</v>
      </c>
      <c r="G474" s="1" t="s">
        <v>173</v>
      </c>
    </row>
    <row r="475" spans="1:7" x14ac:dyDescent="0.3">
      <c r="A475" s="21">
        <f t="shared" si="7"/>
        <v>1</v>
      </c>
      <c r="B475" s="2">
        <v>46097</v>
      </c>
      <c r="C475" s="2" t="s">
        <v>54</v>
      </c>
      <c r="D475" s="44" t="s">
        <v>74</v>
      </c>
      <c r="E475" s="22" t="str">
        <f>IF(D475&lt;&gt;"",IFERROR(INDEX(Produtos!$C$4:$C$4996,MATCH(D475,Produtos!$B$4:$B$4996,0)),"Produto não encontrado"),"")</f>
        <v xml:space="preserve">PARAFUSO QUADRADO 5/8 </v>
      </c>
      <c r="F475" s="3">
        <v>200</v>
      </c>
      <c r="G475" s="1" t="s">
        <v>173</v>
      </c>
    </row>
    <row r="476" spans="1:7" x14ac:dyDescent="0.3">
      <c r="A476" s="21">
        <f t="shared" si="7"/>
        <v>1</v>
      </c>
      <c r="B476" s="2">
        <v>46097</v>
      </c>
      <c r="C476" s="2" t="s">
        <v>54</v>
      </c>
      <c r="D476" s="44" t="s">
        <v>75</v>
      </c>
      <c r="E476" s="22" t="str">
        <f>IF(D476&lt;&gt;"",IFERROR(INDEX(Produtos!$C$4:$C$4996,MATCH(D476,Produtos!$B$4:$B$4996,0)),"Produto não encontrado"),"")</f>
        <v>PORCA SEXTAVADA 5/8</v>
      </c>
      <c r="F476" s="3">
        <v>400</v>
      </c>
      <c r="G476" s="1" t="s">
        <v>173</v>
      </c>
    </row>
    <row r="477" spans="1:7" x14ac:dyDescent="0.3">
      <c r="A477" s="21">
        <f t="shared" si="7"/>
        <v>1</v>
      </c>
      <c r="B477" s="2">
        <v>46097</v>
      </c>
      <c r="C477" s="2" t="s">
        <v>54</v>
      </c>
      <c r="D477" s="44" t="s">
        <v>21</v>
      </c>
      <c r="E477" s="22" t="str">
        <f>IF(D477&lt;&gt;"",IFERROR(INDEX(Produtos!$C$4:$C$4996,MATCH(D477,Produtos!$B$4:$B$4996,0)),"Produto não encontrado"),"")</f>
        <v>ADUELA DE 1000</v>
      </c>
      <c r="F477" s="3">
        <v>1</v>
      </c>
      <c r="G477" s="1" t="s">
        <v>169</v>
      </c>
    </row>
    <row r="478" spans="1:7" x14ac:dyDescent="0.3">
      <c r="A478" s="21">
        <f t="shared" si="7"/>
        <v>1</v>
      </c>
      <c r="B478" s="2">
        <v>46097</v>
      </c>
      <c r="C478" s="2" t="s">
        <v>54</v>
      </c>
      <c r="D478" s="44" t="s">
        <v>67</v>
      </c>
      <c r="E478" s="22" t="str">
        <f>IF(D478&lt;&gt;"",IFERROR(INDEX(Produtos!$C$4:$C$4996,MATCH(D478,Produtos!$B$4:$B$4996,0)),"Produto não encontrado"),"")</f>
        <v>BLOCO DE PV</v>
      </c>
      <c r="F478" s="3">
        <v>15</v>
      </c>
      <c r="G478" s="1" t="s">
        <v>169</v>
      </c>
    </row>
    <row r="479" spans="1:7" x14ac:dyDescent="0.3">
      <c r="A479" s="21">
        <f t="shared" si="7"/>
        <v>1</v>
      </c>
      <c r="B479" s="2">
        <v>46097</v>
      </c>
      <c r="C479" s="2" t="s">
        <v>54</v>
      </c>
      <c r="D479" s="44" t="s">
        <v>23</v>
      </c>
      <c r="E479" s="22" t="str">
        <f>IF(D479&lt;&gt;"",IFERROR(INDEX(Produtos!$C$4:$C$4996,MATCH(D479,Produtos!$B$4:$B$4996,0)),"Produto não encontrado"),"")</f>
        <v>LAJE INFERIOR DE 1000</v>
      </c>
      <c r="F479" s="3">
        <v>1</v>
      </c>
      <c r="G479" s="1" t="s">
        <v>162</v>
      </c>
    </row>
    <row r="480" spans="1:7" x14ac:dyDescent="0.3">
      <c r="A480" s="21">
        <f t="shared" si="7"/>
        <v>1</v>
      </c>
      <c r="B480" s="2">
        <v>46097</v>
      </c>
      <c r="C480" s="2" t="s">
        <v>54</v>
      </c>
      <c r="D480" s="44" t="s">
        <v>67</v>
      </c>
      <c r="E480" s="22" t="str">
        <f>IF(D480&lt;&gt;"",IFERROR(INDEX(Produtos!$C$4:$C$4996,MATCH(D480,Produtos!$B$4:$B$4996,0)),"Produto não encontrado"),"")</f>
        <v>BLOCO DE PV</v>
      </c>
      <c r="F480" s="3">
        <v>20</v>
      </c>
      <c r="G480" s="1" t="s">
        <v>162</v>
      </c>
    </row>
    <row r="481" spans="1:8" x14ac:dyDescent="0.3">
      <c r="A481" s="21">
        <f t="shared" si="7"/>
        <v>2</v>
      </c>
      <c r="B481" s="2">
        <v>46098</v>
      </c>
      <c r="C481" s="2" t="s">
        <v>28</v>
      </c>
      <c r="D481" s="44" t="s">
        <v>66</v>
      </c>
      <c r="E481" s="22" t="str">
        <f>IF(D481&lt;&gt;"",IFERROR(INDEX(Produtos!$C$4:$C$4996,MATCH(D481,Produtos!$B$4:$B$4996,0)),"Produto não encontrado"),"")</f>
        <v>CHAPA ARMICO</v>
      </c>
      <c r="F481" s="3">
        <v>13</v>
      </c>
      <c r="G481" s="1" t="s">
        <v>166</v>
      </c>
      <c r="H481" s="1" t="s">
        <v>196</v>
      </c>
    </row>
    <row r="482" spans="1:8" x14ac:dyDescent="0.3">
      <c r="A482" s="21">
        <f t="shared" si="7"/>
        <v>2</v>
      </c>
      <c r="B482" s="2">
        <v>46098</v>
      </c>
      <c r="C482" s="2" t="s">
        <v>28</v>
      </c>
      <c r="D482" s="44" t="s">
        <v>66</v>
      </c>
      <c r="E482" s="22" t="str">
        <f>IF(D482&lt;&gt;"",IFERROR(INDEX(Produtos!$C$4:$C$4996,MATCH(D482,Produtos!$B$4:$B$4996,0)),"Produto não encontrado"),"")</f>
        <v>CHAPA ARMICO</v>
      </c>
      <c r="F482" s="3">
        <v>20</v>
      </c>
      <c r="H482" s="1" t="s">
        <v>196</v>
      </c>
    </row>
    <row r="483" spans="1:8" x14ac:dyDescent="0.3">
      <c r="A483" s="21">
        <f t="shared" si="7"/>
        <v>1</v>
      </c>
      <c r="B483" s="2">
        <v>46097</v>
      </c>
      <c r="C483" s="2" t="s">
        <v>54</v>
      </c>
      <c r="D483" s="44" t="s">
        <v>67</v>
      </c>
      <c r="E483" s="22" t="str">
        <f>IF(D483&lt;&gt;"",IFERROR(INDEX(Produtos!$C$4:$C$4996,MATCH(D483,Produtos!$B$4:$B$4996,0)),"Produto não encontrado"),"")</f>
        <v>BLOCO DE PV</v>
      </c>
      <c r="F483" s="3">
        <v>20</v>
      </c>
      <c r="G483" s="1" t="s">
        <v>175</v>
      </c>
    </row>
    <row r="484" spans="1:8" x14ac:dyDescent="0.3">
      <c r="A484" s="21">
        <f t="shared" si="7"/>
        <v>1</v>
      </c>
      <c r="B484" s="2">
        <v>46097</v>
      </c>
      <c r="C484" s="2" t="s">
        <v>54</v>
      </c>
      <c r="D484" s="44" t="s">
        <v>66</v>
      </c>
      <c r="E484" s="22" t="str">
        <f>IF(D484&lt;&gt;"",IFERROR(INDEX(Produtos!$C$4:$C$4996,MATCH(D484,Produtos!$B$4:$B$4996,0)),"Produto não encontrado"),"")</f>
        <v>CHAPA ARMICO</v>
      </c>
      <c r="F484" s="3">
        <v>18</v>
      </c>
      <c r="G484" s="1" t="s">
        <v>166</v>
      </c>
    </row>
    <row r="485" spans="1:8" x14ac:dyDescent="0.3">
      <c r="A485" s="21">
        <f t="shared" si="7"/>
        <v>1</v>
      </c>
      <c r="B485" s="2">
        <v>46097</v>
      </c>
      <c r="C485" s="2" t="s">
        <v>54</v>
      </c>
      <c r="D485" s="44" t="s">
        <v>67</v>
      </c>
      <c r="E485" s="22" t="str">
        <f>IF(D485&lt;&gt;"",IFERROR(INDEX(Produtos!$C$4:$C$4996,MATCH(D485,Produtos!$B$4:$B$4996,0)),"Produto não encontrado"),"")</f>
        <v>BLOCO DE PV</v>
      </c>
      <c r="F485" s="3">
        <v>10</v>
      </c>
      <c r="G485" s="1" t="s">
        <v>204</v>
      </c>
    </row>
    <row r="486" spans="1:8" x14ac:dyDescent="0.3">
      <c r="A486" s="21">
        <f t="shared" si="7"/>
        <v>1</v>
      </c>
      <c r="B486" s="2">
        <v>46097</v>
      </c>
      <c r="C486" s="2" t="s">
        <v>54</v>
      </c>
      <c r="D486" s="44" t="s">
        <v>21</v>
      </c>
      <c r="E486" s="22" t="str">
        <f>IF(D486&lt;&gt;"",IFERROR(INDEX(Produtos!$C$4:$C$4996,MATCH(D486,Produtos!$B$4:$B$4996,0)),"Produto não encontrado"),"")</f>
        <v>ADUELA DE 1000</v>
      </c>
      <c r="F486" s="3">
        <v>4</v>
      </c>
      <c r="G486" s="1" t="s">
        <v>160</v>
      </c>
    </row>
    <row r="487" spans="1:8" x14ac:dyDescent="0.3">
      <c r="A487" s="21">
        <f t="shared" si="7"/>
        <v>1</v>
      </c>
      <c r="B487" s="2">
        <v>46098</v>
      </c>
      <c r="C487" s="2" t="s">
        <v>54</v>
      </c>
      <c r="D487" s="44" t="s">
        <v>71</v>
      </c>
      <c r="E487" s="22" t="str">
        <f>IF(D487&lt;&gt;"",IFERROR(INDEX(Produtos!$C$4:$C$4996,MATCH(D487,Produtos!$B$4:$B$4996,0)),"Produto não encontrado"),"")</f>
        <v>LAJE PRE MONTADA / TAMPÃO DN 600</v>
      </c>
      <c r="F487" s="3">
        <v>1</v>
      </c>
      <c r="G487" s="1" t="s">
        <v>192</v>
      </c>
    </row>
    <row r="488" spans="1:8" x14ac:dyDescent="0.3">
      <c r="A488" s="21">
        <f t="shared" si="7"/>
        <v>2</v>
      </c>
      <c r="B488" s="2">
        <v>46098</v>
      </c>
      <c r="C488" s="2" t="s">
        <v>28</v>
      </c>
      <c r="D488" s="44" t="s">
        <v>66</v>
      </c>
      <c r="E488" s="22" t="str">
        <f>IF(D488&lt;&gt;"",IFERROR(INDEX(Produtos!$C$4:$C$4996,MATCH(D488,Produtos!$B$4:$B$4996,0)),"Produto não encontrado"),"")</f>
        <v>CHAPA ARMICO</v>
      </c>
      <c r="F488" s="3">
        <v>36</v>
      </c>
      <c r="H488" s="1" t="s">
        <v>196</v>
      </c>
    </row>
    <row r="489" spans="1:8" x14ac:dyDescent="0.3">
      <c r="A489" s="21">
        <f t="shared" si="7"/>
        <v>1</v>
      </c>
      <c r="B489" s="2">
        <v>46098</v>
      </c>
      <c r="C489" s="2" t="s">
        <v>54</v>
      </c>
      <c r="D489" s="44" t="s">
        <v>66</v>
      </c>
      <c r="E489" s="22" t="str">
        <f>IF(D489&lt;&gt;"",IFERROR(INDEX(Produtos!$C$4:$C$4996,MATCH(D489,Produtos!$B$4:$B$4996,0)),"Produto não encontrado"),"")</f>
        <v>CHAPA ARMICO</v>
      </c>
      <c r="F489" s="3">
        <v>36</v>
      </c>
      <c r="G489" s="1" t="s">
        <v>171</v>
      </c>
    </row>
    <row r="490" spans="1:8" x14ac:dyDescent="0.3">
      <c r="A490" s="21">
        <f t="shared" si="7"/>
        <v>1</v>
      </c>
      <c r="B490" s="2">
        <v>46098</v>
      </c>
      <c r="C490" s="2" t="s">
        <v>54</v>
      </c>
      <c r="D490" s="44" t="s">
        <v>56</v>
      </c>
      <c r="E490" s="22" t="str">
        <f>IF(D490&lt;&gt;"",IFERROR(INDEX(Produtos!$C$4:$C$4996,MATCH(D490,Produtos!$B$4:$B$4996,0)),"Produto não encontrado"),"")</f>
        <v>LAJE SURPERIOR DE 1000</v>
      </c>
      <c r="F490" s="3">
        <v>1</v>
      </c>
      <c r="G490" s="1" t="s">
        <v>169</v>
      </c>
    </row>
    <row r="491" spans="1:8" x14ac:dyDescent="0.3">
      <c r="A491" s="21">
        <f t="shared" si="7"/>
        <v>1</v>
      </c>
      <c r="B491" s="2">
        <v>46098</v>
      </c>
      <c r="C491" s="2" t="s">
        <v>54</v>
      </c>
      <c r="D491" s="44" t="s">
        <v>21</v>
      </c>
      <c r="E491" s="22" t="str">
        <f>IF(D491&lt;&gt;"",IFERROR(INDEX(Produtos!$C$4:$C$4996,MATCH(D491,Produtos!$B$4:$B$4996,0)),"Produto não encontrado"),"")</f>
        <v>ADUELA DE 1000</v>
      </c>
      <c r="F491" s="3">
        <v>1</v>
      </c>
      <c r="G491" s="1" t="s">
        <v>169</v>
      </c>
    </row>
    <row r="492" spans="1:8" x14ac:dyDescent="0.3">
      <c r="A492" s="21">
        <f t="shared" si="7"/>
        <v>1</v>
      </c>
      <c r="B492" s="2">
        <v>46098</v>
      </c>
      <c r="C492" s="2" t="s">
        <v>54</v>
      </c>
      <c r="D492" s="44" t="s">
        <v>22</v>
      </c>
      <c r="E492" s="22" t="str">
        <f>IF(D492&lt;&gt;"",IFERROR(INDEX(Produtos!$C$4:$C$4996,MATCH(D492,Produtos!$B$4:$B$4996,0)),"Produto não encontrado"),"")</f>
        <v>ADUELA DE 600</v>
      </c>
      <c r="F492" s="3">
        <v>1</v>
      </c>
      <c r="G492" s="1" t="s">
        <v>169</v>
      </c>
    </row>
    <row r="493" spans="1:8" x14ac:dyDescent="0.3">
      <c r="A493" s="21">
        <f t="shared" si="7"/>
        <v>2</v>
      </c>
      <c r="B493" s="2">
        <v>46098</v>
      </c>
      <c r="C493" s="2" t="s">
        <v>28</v>
      </c>
      <c r="D493" s="44" t="s">
        <v>66</v>
      </c>
      <c r="E493" s="22" t="str">
        <f>IF(D493&lt;&gt;"",IFERROR(INDEX(Produtos!$C$4:$C$4996,MATCH(D493,Produtos!$B$4:$B$4996,0)),"Produto não encontrado"),"")</f>
        <v>CHAPA ARMICO</v>
      </c>
      <c r="F493" s="3">
        <v>20</v>
      </c>
      <c r="H493" s="1" t="s">
        <v>196</v>
      </c>
    </row>
    <row r="494" spans="1:8" x14ac:dyDescent="0.3">
      <c r="A494" s="21">
        <f t="shared" si="7"/>
        <v>1</v>
      </c>
      <c r="B494" s="2">
        <v>46098</v>
      </c>
      <c r="C494" s="2" t="s">
        <v>54</v>
      </c>
      <c r="D494" s="44" t="s">
        <v>66</v>
      </c>
      <c r="E494" s="22" t="str">
        <f>IF(D494&lt;&gt;"",IFERROR(INDEX(Produtos!$C$4:$C$4996,MATCH(D494,Produtos!$B$4:$B$4996,0)),"Produto não encontrado"),"")</f>
        <v>CHAPA ARMICO</v>
      </c>
      <c r="F494" s="3">
        <v>20</v>
      </c>
      <c r="G494" s="1" t="s">
        <v>175</v>
      </c>
    </row>
    <row r="495" spans="1:8" x14ac:dyDescent="0.3">
      <c r="A495" s="21">
        <f t="shared" si="7"/>
        <v>1</v>
      </c>
      <c r="B495" s="2">
        <v>46098</v>
      </c>
      <c r="C495" s="2" t="s">
        <v>54</v>
      </c>
      <c r="D495" s="44" t="s">
        <v>73</v>
      </c>
      <c r="E495" s="22" t="str">
        <f>IF(D495&lt;&gt;"",IFERROR(INDEX(Produtos!$C$4:$C$4996,MATCH(D495,Produtos!$B$4:$B$4996,0)),"Produto não encontrado"),"")</f>
        <v>PARAFUSO SEXTAVADA 5/8</v>
      </c>
      <c r="F495" s="3">
        <v>200</v>
      </c>
      <c r="G495" s="1" t="s">
        <v>175</v>
      </c>
    </row>
    <row r="496" spans="1:8" x14ac:dyDescent="0.3">
      <c r="A496" s="21">
        <f t="shared" si="7"/>
        <v>1</v>
      </c>
      <c r="B496" s="2">
        <v>46098</v>
      </c>
      <c r="C496" s="2" t="s">
        <v>54</v>
      </c>
      <c r="D496" s="44" t="s">
        <v>74</v>
      </c>
      <c r="E496" s="22" t="str">
        <f>IF(D496&lt;&gt;"",IFERROR(INDEX(Produtos!$C$4:$C$4996,MATCH(D496,Produtos!$B$4:$B$4996,0)),"Produto não encontrado"),"")</f>
        <v xml:space="preserve">PARAFUSO QUADRADO 5/8 </v>
      </c>
      <c r="F496" s="3">
        <v>200</v>
      </c>
      <c r="G496" s="1" t="s">
        <v>175</v>
      </c>
    </row>
    <row r="497" spans="1:7" x14ac:dyDescent="0.3">
      <c r="A497" s="21">
        <f t="shared" si="7"/>
        <v>1</v>
      </c>
      <c r="B497" s="2">
        <v>46098</v>
      </c>
      <c r="C497" s="2" t="s">
        <v>54</v>
      </c>
      <c r="D497" s="44" t="s">
        <v>75</v>
      </c>
      <c r="E497" s="22" t="str">
        <f>IF(D497&lt;&gt;"",IFERROR(INDEX(Produtos!$C$4:$C$4996,MATCH(D497,Produtos!$B$4:$B$4996,0)),"Produto não encontrado"),"")</f>
        <v>PORCA SEXTAVADA 5/8</v>
      </c>
      <c r="F497" s="3">
        <v>400</v>
      </c>
      <c r="G497" s="1" t="s">
        <v>175</v>
      </c>
    </row>
    <row r="498" spans="1:7" x14ac:dyDescent="0.3">
      <c r="A498" s="21">
        <f t="shared" si="7"/>
        <v>1</v>
      </c>
      <c r="B498" s="2">
        <v>46098</v>
      </c>
      <c r="C498" s="2" t="s">
        <v>54</v>
      </c>
      <c r="D498" s="44" t="s">
        <v>23</v>
      </c>
      <c r="E498" s="22" t="str">
        <f>IF(D498&lt;&gt;"",IFERROR(INDEX(Produtos!$C$4:$C$4996,MATCH(D498,Produtos!$B$4:$B$4996,0)),"Produto não encontrado"),"")</f>
        <v>LAJE INFERIOR DE 1000</v>
      </c>
      <c r="F498" s="3">
        <v>1</v>
      </c>
      <c r="G498" s="1" t="s">
        <v>173</v>
      </c>
    </row>
    <row r="499" spans="1:7" x14ac:dyDescent="0.3">
      <c r="A499" s="21">
        <f t="shared" si="7"/>
        <v>1</v>
      </c>
      <c r="B499" s="2">
        <v>46098</v>
      </c>
      <c r="C499" s="2" t="s">
        <v>54</v>
      </c>
      <c r="D499" s="44" t="s">
        <v>56</v>
      </c>
      <c r="E499" s="22" t="str">
        <f>IF(D499&lt;&gt;"",IFERROR(INDEX(Produtos!$C$4:$C$4996,MATCH(D499,Produtos!$B$4:$B$4996,0)),"Produto não encontrado"),"")</f>
        <v>LAJE SURPERIOR DE 1000</v>
      </c>
      <c r="F499" s="3">
        <v>1</v>
      </c>
      <c r="G499" s="1" t="s">
        <v>173</v>
      </c>
    </row>
    <row r="500" spans="1:7" x14ac:dyDescent="0.3">
      <c r="A500" s="21">
        <f t="shared" si="7"/>
        <v>1</v>
      </c>
      <c r="B500" s="2">
        <v>46098</v>
      </c>
      <c r="C500" s="2" t="s">
        <v>54</v>
      </c>
      <c r="D500" s="44" t="s">
        <v>21</v>
      </c>
      <c r="E500" s="22" t="str">
        <f>IF(D500&lt;&gt;"",IFERROR(INDEX(Produtos!$C$4:$C$4996,MATCH(D500,Produtos!$B$4:$B$4996,0)),"Produto não encontrado"),"")</f>
        <v>ADUELA DE 1000</v>
      </c>
      <c r="F500" s="3">
        <v>2</v>
      </c>
      <c r="G500" s="1" t="s">
        <v>173</v>
      </c>
    </row>
    <row r="501" spans="1:7" x14ac:dyDescent="0.3">
      <c r="A501" s="21">
        <f t="shared" si="7"/>
        <v>2</v>
      </c>
      <c r="B501" s="2">
        <v>46099</v>
      </c>
      <c r="C501" s="2" t="s">
        <v>28</v>
      </c>
      <c r="D501" s="44" t="s">
        <v>66</v>
      </c>
      <c r="E501" s="22" t="str">
        <f>IF(D501&lt;&gt;"",IFERROR(INDEX(Produtos!$C$4:$C$4996,MATCH(D501,Produtos!$B$4:$B$4996,0)),"Produto não encontrado"),"")</f>
        <v>CHAPA ARMICO</v>
      </c>
      <c r="F501" s="3">
        <v>283</v>
      </c>
      <c r="G501" s="1" t="s">
        <v>210</v>
      </c>
    </row>
    <row r="502" spans="1:7" x14ac:dyDescent="0.3">
      <c r="A502" s="21">
        <f t="shared" si="7"/>
        <v>1</v>
      </c>
      <c r="B502" s="2">
        <v>46098</v>
      </c>
      <c r="C502" s="2" t="s">
        <v>54</v>
      </c>
      <c r="D502" s="44" t="s">
        <v>21</v>
      </c>
      <c r="E502" s="22" t="str">
        <f>IF(D502&lt;&gt;"",IFERROR(INDEX(Produtos!$C$4:$C$4996,MATCH(D502,Produtos!$B$4:$B$4996,0)),"Produto não encontrado"),"")</f>
        <v>ADUELA DE 1000</v>
      </c>
      <c r="F502" s="3">
        <v>1</v>
      </c>
      <c r="G502" s="1" t="s">
        <v>229</v>
      </c>
    </row>
    <row r="503" spans="1:7" x14ac:dyDescent="0.3">
      <c r="A503" s="21">
        <f t="shared" si="7"/>
        <v>1</v>
      </c>
      <c r="B503" s="2">
        <v>46098</v>
      </c>
      <c r="C503" s="2" t="s">
        <v>54</v>
      </c>
      <c r="D503" s="44" t="s">
        <v>21</v>
      </c>
      <c r="E503" s="22" t="str">
        <f>IF(D503&lt;&gt;"",IFERROR(INDEX(Produtos!$C$4:$C$4996,MATCH(D503,Produtos!$B$4:$B$4996,0)),"Produto não encontrado"),"")</f>
        <v>ADUELA DE 1000</v>
      </c>
      <c r="F503" s="3">
        <v>3</v>
      </c>
      <c r="G503" s="1" t="s">
        <v>193</v>
      </c>
    </row>
    <row r="504" spans="1:7" x14ac:dyDescent="0.3">
      <c r="A504" s="21">
        <f t="shared" si="7"/>
        <v>1</v>
      </c>
      <c r="B504" s="2">
        <v>46098</v>
      </c>
      <c r="C504" s="2" t="s">
        <v>54</v>
      </c>
      <c r="D504" s="44" t="s">
        <v>23</v>
      </c>
      <c r="E504" s="22" t="str">
        <f>IF(D504&lt;&gt;"",IFERROR(INDEX(Produtos!$C$4:$C$4996,MATCH(D504,Produtos!$B$4:$B$4996,0)),"Produto não encontrado"),"")</f>
        <v>LAJE INFERIOR DE 1000</v>
      </c>
      <c r="F504" s="3">
        <v>2</v>
      </c>
      <c r="G504" s="1" t="s">
        <v>193</v>
      </c>
    </row>
    <row r="505" spans="1:7" x14ac:dyDescent="0.3">
      <c r="A505" s="21">
        <f t="shared" si="7"/>
        <v>1</v>
      </c>
      <c r="B505" s="2">
        <v>46098</v>
      </c>
      <c r="C505" s="2" t="s">
        <v>54</v>
      </c>
      <c r="D505" s="44" t="s">
        <v>22</v>
      </c>
      <c r="E505" s="22" t="str">
        <f>IF(D505&lt;&gt;"",IFERROR(INDEX(Produtos!$C$4:$C$4996,MATCH(D505,Produtos!$B$4:$B$4996,0)),"Produto não encontrado"),"")</f>
        <v>ADUELA DE 600</v>
      </c>
      <c r="F505" s="3">
        <v>1</v>
      </c>
      <c r="G505" s="1" t="s">
        <v>193</v>
      </c>
    </row>
    <row r="506" spans="1:7" x14ac:dyDescent="0.3">
      <c r="A506" s="21">
        <f t="shared" si="7"/>
        <v>1</v>
      </c>
      <c r="B506" s="2">
        <v>46098</v>
      </c>
      <c r="C506" s="2" t="s">
        <v>54</v>
      </c>
      <c r="D506" s="44" t="s">
        <v>65</v>
      </c>
      <c r="E506" s="22" t="str">
        <f>IF(D506&lt;&gt;"",IFERROR(INDEX(Produtos!$C$4:$C$4996,MATCH(D506,Produtos!$B$4:$B$4996,0)),"Produto não encontrado"),"")</f>
        <v>TUBO ESGOTO PVC DN 100</v>
      </c>
      <c r="F506" s="3">
        <v>1</v>
      </c>
      <c r="G506" s="1" t="s">
        <v>204</v>
      </c>
    </row>
    <row r="507" spans="1:7" x14ac:dyDescent="0.3">
      <c r="A507" s="21">
        <f t="shared" si="7"/>
        <v>1</v>
      </c>
      <c r="B507" s="2">
        <v>46098</v>
      </c>
      <c r="C507" s="2" t="s">
        <v>54</v>
      </c>
      <c r="D507" s="44" t="s">
        <v>66</v>
      </c>
      <c r="E507" s="22" t="str">
        <f>IF(D507&lt;&gt;"",IFERROR(INDEX(Produtos!$C$4:$C$4996,MATCH(D507,Produtos!$B$4:$B$4996,0)),"Produto não encontrado"),"")</f>
        <v>CHAPA ARMICO</v>
      </c>
      <c r="F507" s="3">
        <v>12</v>
      </c>
      <c r="G507" s="1" t="s">
        <v>221</v>
      </c>
    </row>
    <row r="508" spans="1:7" x14ac:dyDescent="0.3">
      <c r="A508" s="21">
        <f t="shared" si="7"/>
        <v>1</v>
      </c>
      <c r="B508" s="2">
        <v>46098</v>
      </c>
      <c r="C508" s="2" t="s">
        <v>54</v>
      </c>
      <c r="D508" s="44" t="s">
        <v>73</v>
      </c>
      <c r="E508" s="22" t="str">
        <f>IF(D508&lt;&gt;"",IFERROR(INDEX(Produtos!$C$4:$C$4996,MATCH(D508,Produtos!$B$4:$B$4996,0)),"Produto não encontrado"),"")</f>
        <v>PARAFUSO SEXTAVADA 5/8</v>
      </c>
      <c r="F508" s="3">
        <v>200</v>
      </c>
      <c r="G508" s="1" t="s">
        <v>221</v>
      </c>
    </row>
    <row r="509" spans="1:7" x14ac:dyDescent="0.3">
      <c r="A509" s="21">
        <f t="shared" si="7"/>
        <v>1</v>
      </c>
      <c r="B509" s="2">
        <v>46098</v>
      </c>
      <c r="C509" s="2" t="s">
        <v>54</v>
      </c>
      <c r="D509" s="44" t="s">
        <v>21</v>
      </c>
      <c r="E509" s="22" t="str">
        <f>IF(D509&lt;&gt;"",IFERROR(INDEX(Produtos!$C$4:$C$4996,MATCH(D509,Produtos!$B$4:$B$4996,0)),"Produto não encontrado"),"")</f>
        <v>ADUELA DE 1000</v>
      </c>
      <c r="F509" s="3">
        <v>1</v>
      </c>
      <c r="G509" s="1" t="s">
        <v>173</v>
      </c>
    </row>
    <row r="510" spans="1:7" x14ac:dyDescent="0.3">
      <c r="A510" s="21">
        <f t="shared" si="7"/>
        <v>1</v>
      </c>
      <c r="B510" s="2">
        <v>46099</v>
      </c>
      <c r="C510" s="2" t="s">
        <v>54</v>
      </c>
      <c r="D510" s="44" t="s">
        <v>77</v>
      </c>
      <c r="E510" s="22" t="str">
        <f>IF(D510&lt;&gt;"",IFERROR(INDEX(Produtos!$C$4:$C$4996,MATCH(D510,Produtos!$B$4:$B$4996,0)),"Produto não encontrado"),"")</f>
        <v>ADUELA  DE 1500</v>
      </c>
      <c r="F510" s="3">
        <v>1</v>
      </c>
      <c r="G510" s="1" t="s">
        <v>160</v>
      </c>
    </row>
    <row r="511" spans="1:7" x14ac:dyDescent="0.3">
      <c r="A511" s="21">
        <f t="shared" si="7"/>
        <v>1</v>
      </c>
      <c r="B511" s="2">
        <v>46099</v>
      </c>
      <c r="C511" s="2" t="s">
        <v>54</v>
      </c>
      <c r="D511" s="44" t="s">
        <v>56</v>
      </c>
      <c r="E511" s="22" t="str">
        <f>IF(D511&lt;&gt;"",IFERROR(INDEX(Produtos!$C$4:$C$4996,MATCH(D511,Produtos!$B$4:$B$4996,0)),"Produto não encontrado"),"")</f>
        <v>LAJE SURPERIOR DE 1000</v>
      </c>
      <c r="F511" s="3">
        <v>1</v>
      </c>
      <c r="G511" s="1" t="s">
        <v>192</v>
      </c>
    </row>
    <row r="512" spans="1:7" x14ac:dyDescent="0.3">
      <c r="A512" s="21">
        <f t="shared" ref="A512:A575" si="8">IF(C512="Entrada",2,IF(C512="Saída",1,"."))</f>
        <v>1</v>
      </c>
      <c r="B512" s="2">
        <v>46099</v>
      </c>
      <c r="C512" s="2" t="s">
        <v>54</v>
      </c>
      <c r="D512" s="44" t="s">
        <v>21</v>
      </c>
      <c r="E512" s="22" t="str">
        <f>IF(D512&lt;&gt;"",IFERROR(INDEX(Produtos!$C$4:$C$4996,MATCH(D512,Produtos!$B$4:$B$4996,0)),"Produto não encontrado"),"")</f>
        <v>ADUELA DE 1000</v>
      </c>
      <c r="F512" s="3">
        <v>1</v>
      </c>
      <c r="G512" s="1" t="s">
        <v>167</v>
      </c>
    </row>
    <row r="513" spans="1:8" x14ac:dyDescent="0.3">
      <c r="A513" s="21">
        <f t="shared" si="8"/>
        <v>1</v>
      </c>
      <c r="B513" s="2">
        <v>46099</v>
      </c>
      <c r="C513" s="2" t="s">
        <v>54</v>
      </c>
      <c r="D513" s="44" t="s">
        <v>21</v>
      </c>
      <c r="E513" s="22" t="str">
        <f>IF(D513&lt;&gt;"",IFERROR(INDEX(Produtos!$C$4:$C$4996,MATCH(D513,Produtos!$B$4:$B$4996,0)),"Produto não encontrado"),"")</f>
        <v>ADUELA DE 1000</v>
      </c>
      <c r="F513" s="3">
        <v>2</v>
      </c>
      <c r="G513" s="1" t="s">
        <v>174</v>
      </c>
    </row>
    <row r="514" spans="1:8" x14ac:dyDescent="0.3">
      <c r="A514" s="21">
        <f t="shared" si="8"/>
        <v>1</v>
      </c>
      <c r="B514" s="2">
        <v>46099</v>
      </c>
      <c r="C514" s="2" t="s">
        <v>54</v>
      </c>
      <c r="D514" s="44" t="s">
        <v>77</v>
      </c>
      <c r="E514" s="22" t="str">
        <f>IF(D514&lt;&gt;"",IFERROR(INDEX(Produtos!$C$4:$C$4996,MATCH(D514,Produtos!$B$4:$B$4996,0)),"Produto não encontrado"),"")</f>
        <v>ADUELA  DE 1500</v>
      </c>
      <c r="F514" s="3">
        <v>1</v>
      </c>
      <c r="G514" s="1" t="s">
        <v>160</v>
      </c>
    </row>
    <row r="515" spans="1:8" x14ac:dyDescent="0.3">
      <c r="A515" s="21">
        <f t="shared" si="8"/>
        <v>2</v>
      </c>
      <c r="B515" s="2">
        <v>46099</v>
      </c>
      <c r="C515" s="2" t="s">
        <v>28</v>
      </c>
      <c r="D515" s="44" t="s">
        <v>60</v>
      </c>
      <c r="E515" s="22" t="str">
        <f>IF(D515&lt;&gt;"",IFERROR(INDEX(Produtos!$C$4:$C$4996,MATCH(D515,Produtos!$B$4:$B$4996,0)),"Produto não encontrado"),"")</f>
        <v>TUBO PEAD ESGOTO D 450</v>
      </c>
      <c r="F515" s="3">
        <v>17</v>
      </c>
      <c r="G515" s="1" t="s">
        <v>183</v>
      </c>
    </row>
    <row r="516" spans="1:8" x14ac:dyDescent="0.3">
      <c r="A516" s="21">
        <f t="shared" si="8"/>
        <v>1</v>
      </c>
      <c r="B516" s="2">
        <v>46100</v>
      </c>
      <c r="C516" s="2" t="s">
        <v>54</v>
      </c>
      <c r="D516" s="44" t="s">
        <v>77</v>
      </c>
      <c r="E516" s="22" t="str">
        <f>IF(D516&lt;&gt;"",IFERROR(INDEX(Produtos!$C$4:$C$4996,MATCH(D516,Produtos!$B$4:$B$4996,0)),"Produto não encontrado"),"")</f>
        <v>ADUELA  DE 1500</v>
      </c>
      <c r="F516" s="3">
        <v>1</v>
      </c>
      <c r="G516" s="1" t="s">
        <v>160</v>
      </c>
    </row>
    <row r="517" spans="1:8" x14ac:dyDescent="0.3">
      <c r="A517" s="21">
        <f t="shared" si="8"/>
        <v>1</v>
      </c>
      <c r="B517" s="2">
        <v>46100</v>
      </c>
      <c r="C517" s="2" t="s">
        <v>54</v>
      </c>
      <c r="D517" s="44" t="s">
        <v>67</v>
      </c>
      <c r="E517" s="22" t="str">
        <f>IF(D517&lt;&gt;"",IFERROR(INDEX(Produtos!$C$4:$C$4996,MATCH(D517,Produtos!$B$4:$B$4996,0)),"Produto não encontrado"),"")</f>
        <v>BLOCO DE PV</v>
      </c>
      <c r="F517" s="3">
        <v>21</v>
      </c>
      <c r="G517" s="1" t="s">
        <v>192</v>
      </c>
    </row>
    <row r="518" spans="1:8" x14ac:dyDescent="0.3">
      <c r="A518" s="21">
        <f t="shared" si="8"/>
        <v>1</v>
      </c>
      <c r="B518" s="2">
        <v>46100</v>
      </c>
      <c r="C518" s="2" t="s">
        <v>54</v>
      </c>
      <c r="D518" s="44" t="s">
        <v>21</v>
      </c>
      <c r="E518" s="22" t="str">
        <f>IF(D518&lt;&gt;"",IFERROR(INDEX(Produtos!$C$4:$C$4996,MATCH(D518,Produtos!$B$4:$B$4996,0)),"Produto não encontrado"),"")</f>
        <v>ADUELA DE 1000</v>
      </c>
      <c r="F518" s="3">
        <v>2</v>
      </c>
      <c r="G518" s="1" t="s">
        <v>192</v>
      </c>
    </row>
    <row r="519" spans="1:8" x14ac:dyDescent="0.3">
      <c r="A519" s="21">
        <f t="shared" si="8"/>
        <v>1</v>
      </c>
      <c r="B519" s="2">
        <v>46100</v>
      </c>
      <c r="C519" s="2" t="s">
        <v>54</v>
      </c>
      <c r="D519" s="44" t="s">
        <v>71</v>
      </c>
      <c r="E519" s="22" t="str">
        <f>IF(D519&lt;&gt;"",IFERROR(INDEX(Produtos!$C$4:$C$4996,MATCH(D519,Produtos!$B$4:$B$4996,0)),"Produto não encontrado"),"")</f>
        <v>LAJE PRE MONTADA / TAMPÃO DN 600</v>
      </c>
      <c r="F519" s="3">
        <v>1</v>
      </c>
      <c r="G519" s="1" t="s">
        <v>192</v>
      </c>
    </row>
    <row r="520" spans="1:8" x14ac:dyDescent="0.3">
      <c r="A520" s="21">
        <f t="shared" si="8"/>
        <v>1</v>
      </c>
      <c r="B520" s="2">
        <v>46100</v>
      </c>
      <c r="C520" s="2" t="s">
        <v>54</v>
      </c>
      <c r="D520" s="44" t="s">
        <v>65</v>
      </c>
      <c r="E520" s="22" t="str">
        <f>IF(D520&lt;&gt;"",IFERROR(INDEX(Produtos!$C$4:$C$4996,MATCH(D520,Produtos!$B$4:$B$4996,0)),"Produto não encontrado"),"")</f>
        <v>TUBO ESGOTO PVC DN 100</v>
      </c>
      <c r="F520" s="3">
        <v>1</v>
      </c>
      <c r="G520" s="1" t="s">
        <v>193</v>
      </c>
    </row>
    <row r="521" spans="1:8" x14ac:dyDescent="0.3">
      <c r="A521" s="21">
        <f t="shared" si="8"/>
        <v>1</v>
      </c>
      <c r="B521" s="2">
        <v>46100</v>
      </c>
      <c r="C521" s="2" t="s">
        <v>54</v>
      </c>
      <c r="D521" s="44" t="s">
        <v>63</v>
      </c>
      <c r="E521" s="22" t="str">
        <f>IF(D521&lt;&gt;"",IFERROR(INDEX(Produtos!$C$4:$C$4996,MATCH(D521,Produtos!$B$4:$B$4996,0)),"Produto não encontrado"),"")</f>
        <v>TUBO ESGOTO PVC DN 200</v>
      </c>
      <c r="F521" s="3">
        <v>1</v>
      </c>
      <c r="G521" s="1" t="s">
        <v>193</v>
      </c>
    </row>
    <row r="522" spans="1:8" x14ac:dyDescent="0.3">
      <c r="A522" s="21">
        <f t="shared" si="8"/>
        <v>1</v>
      </c>
      <c r="B522" s="2">
        <v>46100</v>
      </c>
      <c r="C522" s="2" t="s">
        <v>54</v>
      </c>
      <c r="D522" s="44" t="s">
        <v>21</v>
      </c>
      <c r="E522" s="22" t="str">
        <f>IF(D522&lt;&gt;"",IFERROR(INDEX(Produtos!$C$4:$C$4996,MATCH(D522,Produtos!$B$4:$B$4996,0)),"Produto não encontrado"),"")</f>
        <v>ADUELA DE 1000</v>
      </c>
      <c r="F522" s="3">
        <v>4</v>
      </c>
      <c r="G522" s="1" t="s">
        <v>160</v>
      </c>
    </row>
    <row r="523" spans="1:8" x14ac:dyDescent="0.3">
      <c r="A523" s="21">
        <f t="shared" si="8"/>
        <v>1</v>
      </c>
      <c r="B523" s="2">
        <v>46100</v>
      </c>
      <c r="C523" s="2" t="s">
        <v>54</v>
      </c>
      <c r="D523" s="44" t="s">
        <v>65</v>
      </c>
      <c r="E523" s="22" t="str">
        <f>IF(D523&lt;&gt;"",IFERROR(INDEX(Produtos!$C$4:$C$4996,MATCH(D523,Produtos!$B$4:$B$4996,0)),"Produto não encontrado"),"")</f>
        <v>TUBO ESGOTO PVC DN 100</v>
      </c>
      <c r="F523" s="3">
        <v>1</v>
      </c>
      <c r="G523" s="1" t="s">
        <v>173</v>
      </c>
    </row>
    <row r="524" spans="1:8" x14ac:dyDescent="0.3">
      <c r="A524" s="21">
        <f t="shared" si="8"/>
        <v>1</v>
      </c>
      <c r="B524" s="2">
        <v>46100</v>
      </c>
      <c r="C524" s="2" t="s">
        <v>54</v>
      </c>
      <c r="D524" s="44" t="s">
        <v>66</v>
      </c>
      <c r="E524" s="22" t="str">
        <f>IF(D524&lt;&gt;"",IFERROR(INDEX(Produtos!$C$4:$C$4996,MATCH(D524,Produtos!$B$4:$B$4996,0)),"Produto não encontrado"),"")</f>
        <v>CHAPA ARMICO</v>
      </c>
      <c r="F524" s="3">
        <v>90</v>
      </c>
      <c r="G524" s="1" t="s">
        <v>173</v>
      </c>
    </row>
    <row r="525" spans="1:8" x14ac:dyDescent="0.3">
      <c r="A525" s="21">
        <f t="shared" si="8"/>
        <v>1</v>
      </c>
      <c r="B525" s="2">
        <v>46100</v>
      </c>
      <c r="C525" s="2" t="s">
        <v>54</v>
      </c>
      <c r="D525" s="44" t="s">
        <v>73</v>
      </c>
      <c r="E525" s="22" t="str">
        <f>IF(D525&lt;&gt;"",IFERROR(INDEX(Produtos!$C$4:$C$4996,MATCH(D525,Produtos!$B$4:$B$4996,0)),"Produto não encontrado"),"")</f>
        <v>PARAFUSO SEXTAVADA 5/8</v>
      </c>
      <c r="F525" s="3">
        <v>200</v>
      </c>
      <c r="G525" s="1" t="s">
        <v>173</v>
      </c>
    </row>
    <row r="526" spans="1:8" x14ac:dyDescent="0.3">
      <c r="A526" s="21">
        <f t="shared" si="8"/>
        <v>1</v>
      </c>
      <c r="B526" s="2">
        <v>46100</v>
      </c>
      <c r="C526" s="2" t="s">
        <v>54</v>
      </c>
      <c r="D526" s="44" t="s">
        <v>74</v>
      </c>
      <c r="E526" s="22" t="str">
        <f>IF(D526&lt;&gt;"",IFERROR(INDEX(Produtos!$C$4:$C$4996,MATCH(D526,Produtos!$B$4:$B$4996,0)),"Produto não encontrado"),"")</f>
        <v xml:space="preserve">PARAFUSO QUADRADO 5/8 </v>
      </c>
      <c r="F526" s="3">
        <v>200</v>
      </c>
      <c r="G526" s="1" t="s">
        <v>173</v>
      </c>
    </row>
    <row r="527" spans="1:8" x14ac:dyDescent="0.3">
      <c r="A527" s="21">
        <f t="shared" si="8"/>
        <v>1</v>
      </c>
      <c r="B527" s="2">
        <v>46100</v>
      </c>
      <c r="C527" s="2" t="s">
        <v>54</v>
      </c>
      <c r="D527" s="44" t="s">
        <v>75</v>
      </c>
      <c r="E527" s="22" t="str">
        <f>IF(D527&lt;&gt;"",IFERROR(INDEX(Produtos!$C$4:$C$4996,MATCH(D527,Produtos!$B$4:$B$4996,0)),"Produto não encontrado"),"")</f>
        <v>PORCA SEXTAVADA 5/8</v>
      </c>
      <c r="F527" s="3">
        <v>400</v>
      </c>
      <c r="G527" s="1" t="s">
        <v>173</v>
      </c>
    </row>
    <row r="528" spans="1:8" x14ac:dyDescent="0.3">
      <c r="A528" s="21">
        <f t="shared" si="8"/>
        <v>2</v>
      </c>
      <c r="B528" s="2">
        <v>46100</v>
      </c>
      <c r="C528" s="2" t="s">
        <v>28</v>
      </c>
      <c r="D528" s="44" t="s">
        <v>66</v>
      </c>
      <c r="E528" s="22" t="str">
        <f>IF(D528&lt;&gt;"",IFERROR(INDEX(Produtos!$C$4:$C$4996,MATCH(D528,Produtos!$B$4:$B$4996,0)),"Produto não encontrado"),"")</f>
        <v>CHAPA ARMICO</v>
      </c>
      <c r="F528" s="3">
        <v>12</v>
      </c>
      <c r="H528" s="1" t="s">
        <v>196</v>
      </c>
    </row>
    <row r="529" spans="1:7" x14ac:dyDescent="0.3">
      <c r="A529" s="21">
        <f t="shared" si="8"/>
        <v>1</v>
      </c>
      <c r="B529" s="2">
        <v>46100</v>
      </c>
      <c r="C529" s="2" t="s">
        <v>54</v>
      </c>
      <c r="D529" s="44" t="s">
        <v>66</v>
      </c>
      <c r="E529" s="22" t="str">
        <f>IF(D529&lt;&gt;"",IFERROR(INDEX(Produtos!$C$4:$C$4996,MATCH(D529,Produtos!$B$4:$B$4996,0)),"Produto não encontrado"),"")</f>
        <v>CHAPA ARMICO</v>
      </c>
      <c r="F529" s="3">
        <v>12</v>
      </c>
      <c r="G529" s="1" t="s">
        <v>175</v>
      </c>
    </row>
    <row r="530" spans="1:7" x14ac:dyDescent="0.3">
      <c r="A530" s="21">
        <f t="shared" si="8"/>
        <v>1</v>
      </c>
      <c r="B530" s="2">
        <v>46100</v>
      </c>
      <c r="C530" s="2" t="s">
        <v>54</v>
      </c>
      <c r="D530" s="44" t="s">
        <v>59</v>
      </c>
      <c r="E530" s="22" t="str">
        <f>IF(D530&lt;&gt;"",IFERROR(INDEX(Produtos!$C$4:$C$4996,MATCH(D530,Produtos!$B$4:$B$4996,0)),"Produto não encontrado"),"")</f>
        <v>TUBO PEAD ESGOTO D 225</v>
      </c>
      <c r="F530" s="3">
        <v>15</v>
      </c>
      <c r="G530" s="1" t="s">
        <v>170</v>
      </c>
    </row>
    <row r="531" spans="1:7" x14ac:dyDescent="0.3">
      <c r="A531" s="21">
        <f t="shared" si="8"/>
        <v>1</v>
      </c>
      <c r="B531" s="2">
        <v>46100</v>
      </c>
      <c r="C531" s="2" t="s">
        <v>54</v>
      </c>
      <c r="D531" s="44" t="s">
        <v>62</v>
      </c>
      <c r="E531" s="22" t="str">
        <f>IF(D531&lt;&gt;"",IFERROR(INDEX(Produtos!$C$4:$C$4996,MATCH(D531,Produtos!$B$4:$B$4996,0)),"Produto não encontrado"),"")</f>
        <v>TUBO ESGOTO PVC DN 300</v>
      </c>
      <c r="F531" s="3">
        <v>2</v>
      </c>
      <c r="G531" s="1" t="s">
        <v>230</v>
      </c>
    </row>
    <row r="532" spans="1:7" x14ac:dyDescent="0.3">
      <c r="A532" s="21">
        <f t="shared" si="8"/>
        <v>1</v>
      </c>
      <c r="B532" s="2">
        <v>46100</v>
      </c>
      <c r="C532" s="2" t="s">
        <v>54</v>
      </c>
      <c r="D532" s="44" t="s">
        <v>63</v>
      </c>
      <c r="E532" s="22" t="str">
        <f>IF(D532&lt;&gt;"",IFERROR(INDEX(Produtos!$C$4:$C$4996,MATCH(D532,Produtos!$B$4:$B$4996,0)),"Produto não encontrado"),"")</f>
        <v>TUBO ESGOTO PVC DN 200</v>
      </c>
      <c r="F532" s="3">
        <v>1</v>
      </c>
      <c r="G532" s="1" t="s">
        <v>166</v>
      </c>
    </row>
    <row r="533" spans="1:7" x14ac:dyDescent="0.3">
      <c r="A533" s="21">
        <f t="shared" si="8"/>
        <v>1</v>
      </c>
      <c r="B533" s="2">
        <v>46100</v>
      </c>
      <c r="C533" s="2" t="s">
        <v>54</v>
      </c>
      <c r="D533" s="44" t="s">
        <v>21</v>
      </c>
      <c r="E533" s="22" t="str">
        <f>IF(D533&lt;&gt;"",IFERROR(INDEX(Produtos!$C$4:$C$4996,MATCH(D533,Produtos!$B$4:$B$4996,0)),"Produto não encontrado"),"")</f>
        <v>ADUELA DE 1000</v>
      </c>
      <c r="F533" s="3">
        <v>2</v>
      </c>
      <c r="G533" s="1" t="s">
        <v>160</v>
      </c>
    </row>
    <row r="534" spans="1:7" x14ac:dyDescent="0.3">
      <c r="A534" s="21">
        <f t="shared" si="8"/>
        <v>1</v>
      </c>
      <c r="B534" s="2">
        <v>46101</v>
      </c>
      <c r="C534" s="2" t="s">
        <v>54</v>
      </c>
      <c r="D534" s="44" t="s">
        <v>66</v>
      </c>
      <c r="E534" s="22" t="str">
        <f>IF(D534&lt;&gt;"",IFERROR(INDEX(Produtos!$C$4:$C$4996,MATCH(D534,Produtos!$B$4:$B$4996,0)),"Produto não encontrado"),"")</f>
        <v>CHAPA ARMICO</v>
      </c>
      <c r="F534" s="3">
        <v>12</v>
      </c>
      <c r="G534" s="1" t="s">
        <v>171</v>
      </c>
    </row>
    <row r="535" spans="1:7" x14ac:dyDescent="0.3">
      <c r="A535" s="21">
        <f t="shared" si="8"/>
        <v>1</v>
      </c>
      <c r="B535" s="2">
        <v>46101</v>
      </c>
      <c r="C535" s="2" t="s">
        <v>54</v>
      </c>
      <c r="D535" s="44" t="s">
        <v>63</v>
      </c>
      <c r="E535" s="22" t="str">
        <f>IF(D535&lt;&gt;"",IFERROR(INDEX(Produtos!$C$4:$C$4996,MATCH(D535,Produtos!$B$4:$B$4996,0)),"Produto não encontrado"),"")</f>
        <v>TUBO ESGOTO PVC DN 200</v>
      </c>
      <c r="F535" s="3">
        <v>1</v>
      </c>
      <c r="G535" s="1" t="s">
        <v>193</v>
      </c>
    </row>
    <row r="536" spans="1:7" x14ac:dyDescent="0.3">
      <c r="A536" s="21">
        <f t="shared" si="8"/>
        <v>1</v>
      </c>
      <c r="B536" s="2">
        <v>46102</v>
      </c>
      <c r="C536" s="2" t="s">
        <v>54</v>
      </c>
      <c r="D536" s="44" t="s">
        <v>66</v>
      </c>
      <c r="E536" s="22" t="str">
        <f>IF(D536&lt;&gt;"",IFERROR(INDEX(Produtos!$C$4:$C$4996,MATCH(D536,Produtos!$B$4:$B$4996,0)),"Produto não encontrado"),"")</f>
        <v>CHAPA ARMICO</v>
      </c>
      <c r="F536" s="3">
        <v>48</v>
      </c>
      <c r="G536" s="1" t="s">
        <v>232</v>
      </c>
    </row>
    <row r="537" spans="1:7" x14ac:dyDescent="0.3">
      <c r="A537" s="21">
        <f t="shared" si="8"/>
        <v>1</v>
      </c>
      <c r="B537" s="2">
        <v>46102</v>
      </c>
      <c r="C537" s="2" t="s">
        <v>54</v>
      </c>
      <c r="D537" s="44" t="s">
        <v>66</v>
      </c>
      <c r="E537" s="22" t="str">
        <f>IF(D537&lt;&gt;"",IFERROR(INDEX(Produtos!$C$4:$C$4996,MATCH(D537,Produtos!$B$4:$B$4996,0)),"Produto não encontrado"),"")</f>
        <v>CHAPA ARMICO</v>
      </c>
      <c r="F537" s="3">
        <v>20</v>
      </c>
      <c r="G537" s="1" t="s">
        <v>171</v>
      </c>
    </row>
    <row r="538" spans="1:7" x14ac:dyDescent="0.3">
      <c r="A538" s="21">
        <f t="shared" si="8"/>
        <v>1</v>
      </c>
      <c r="B538" s="2">
        <v>46104</v>
      </c>
      <c r="C538" s="2" t="s">
        <v>54</v>
      </c>
      <c r="D538" s="44" t="s">
        <v>57</v>
      </c>
      <c r="E538" s="22" t="str">
        <f>IF(D538&lt;&gt;"",IFERROR(INDEX(Produtos!$C$4:$C$4996,MATCH(D538,Produtos!$B$4:$B$4996,0)),"Produto não encontrado"),"")</f>
        <v>TUBO PEAD ESGOTO D 355</v>
      </c>
      <c r="F538" s="3">
        <v>17</v>
      </c>
      <c r="G538" s="1" t="s">
        <v>163</v>
      </c>
    </row>
    <row r="539" spans="1:7" x14ac:dyDescent="0.3">
      <c r="A539" s="21">
        <f t="shared" si="8"/>
        <v>1</v>
      </c>
      <c r="B539" s="2">
        <v>46104</v>
      </c>
      <c r="C539" s="2" t="s">
        <v>54</v>
      </c>
      <c r="D539" s="44" t="s">
        <v>63</v>
      </c>
      <c r="E539" s="22" t="str">
        <f>IF(D539&lt;&gt;"",IFERROR(INDEX(Produtos!$C$4:$C$4996,MATCH(D539,Produtos!$B$4:$B$4996,0)),"Produto não encontrado"),"")</f>
        <v>TUBO ESGOTO PVC DN 200</v>
      </c>
      <c r="F539" s="3">
        <v>2</v>
      </c>
      <c r="G539" s="1" t="s">
        <v>166</v>
      </c>
    </row>
    <row r="540" spans="1:7" x14ac:dyDescent="0.3">
      <c r="A540" s="21">
        <f t="shared" si="8"/>
        <v>1</v>
      </c>
      <c r="B540" s="2">
        <v>46104</v>
      </c>
      <c r="C540" s="2" t="s">
        <v>54</v>
      </c>
      <c r="D540" s="44" t="s">
        <v>57</v>
      </c>
      <c r="E540" s="22" t="str">
        <f>IF(D540&lt;&gt;"",IFERROR(INDEX(Produtos!$C$4:$C$4996,MATCH(D540,Produtos!$B$4:$B$4996,0)),"Produto não encontrado"),"")</f>
        <v>TUBO PEAD ESGOTO D 355</v>
      </c>
      <c r="F540" s="3">
        <v>16</v>
      </c>
      <c r="G540" s="1" t="s">
        <v>163</v>
      </c>
    </row>
    <row r="541" spans="1:7" x14ac:dyDescent="0.3">
      <c r="A541" s="21">
        <f t="shared" si="8"/>
        <v>1</v>
      </c>
      <c r="B541" s="2">
        <v>46104</v>
      </c>
      <c r="C541" s="2" t="s">
        <v>54</v>
      </c>
      <c r="D541" s="44" t="s">
        <v>67</v>
      </c>
      <c r="E541" s="22" t="str">
        <f>IF(D541&lt;&gt;"",IFERROR(INDEX(Produtos!$C$4:$C$4996,MATCH(D541,Produtos!$B$4:$B$4996,0)),"Produto não encontrado"),"")</f>
        <v>BLOCO DE PV</v>
      </c>
      <c r="F541" s="3">
        <v>10</v>
      </c>
      <c r="G541" s="1" t="s">
        <v>174</v>
      </c>
    </row>
    <row r="542" spans="1:7" x14ac:dyDescent="0.3">
      <c r="A542" s="21">
        <f t="shared" si="8"/>
        <v>1</v>
      </c>
      <c r="B542" s="2">
        <v>46104</v>
      </c>
      <c r="C542" s="2" t="s">
        <v>54</v>
      </c>
      <c r="D542" s="44" t="s">
        <v>71</v>
      </c>
      <c r="E542" s="22" t="str">
        <f>IF(D542&lt;&gt;"",IFERROR(INDEX(Produtos!$C$4:$C$4996,MATCH(D542,Produtos!$B$4:$B$4996,0)),"Produto não encontrado"),"")</f>
        <v>LAJE PRE MONTADA / TAMPÃO DN 600</v>
      </c>
      <c r="F542" s="3">
        <v>1</v>
      </c>
      <c r="G542" s="1" t="s">
        <v>174</v>
      </c>
    </row>
    <row r="543" spans="1:7" x14ac:dyDescent="0.3">
      <c r="A543" s="21">
        <f t="shared" si="8"/>
        <v>1</v>
      </c>
      <c r="B543" s="2">
        <v>46104</v>
      </c>
      <c r="C543" s="2" t="s">
        <v>54</v>
      </c>
      <c r="D543" s="44" t="s">
        <v>57</v>
      </c>
      <c r="E543" s="22" t="str">
        <f>IF(D543&lt;&gt;"",IFERROR(INDEX(Produtos!$C$4:$C$4996,MATCH(D543,Produtos!$B$4:$B$4996,0)),"Produto não encontrado"),"")</f>
        <v>TUBO PEAD ESGOTO D 355</v>
      </c>
      <c r="F543" s="3">
        <v>7</v>
      </c>
      <c r="G543" s="1" t="s">
        <v>160</v>
      </c>
    </row>
    <row r="544" spans="1:7" x14ac:dyDescent="0.3">
      <c r="A544" s="21">
        <f t="shared" si="8"/>
        <v>1</v>
      </c>
      <c r="B544" s="2">
        <v>46104</v>
      </c>
      <c r="C544" s="2" t="s">
        <v>54</v>
      </c>
      <c r="D544" s="44" t="s">
        <v>21</v>
      </c>
      <c r="E544" s="22" t="str">
        <f>IF(D544&lt;&gt;"",IFERROR(INDEX(Produtos!$C$4:$C$4996,MATCH(D544,Produtos!$B$4:$B$4996,0)),"Produto não encontrado"),"")</f>
        <v>ADUELA DE 1000</v>
      </c>
      <c r="F544" s="3">
        <v>1</v>
      </c>
      <c r="G544" s="1" t="s">
        <v>204</v>
      </c>
    </row>
    <row r="545" spans="1:7" x14ac:dyDescent="0.3">
      <c r="A545" s="21">
        <f t="shared" si="8"/>
        <v>1</v>
      </c>
      <c r="B545" s="2">
        <v>46104</v>
      </c>
      <c r="C545" s="2" t="s">
        <v>54</v>
      </c>
      <c r="D545" s="44" t="s">
        <v>22</v>
      </c>
      <c r="E545" s="22" t="str">
        <f>IF(D545&lt;&gt;"",IFERROR(INDEX(Produtos!$C$4:$C$4996,MATCH(D545,Produtos!$B$4:$B$4996,0)),"Produto não encontrado"),"")</f>
        <v>ADUELA DE 600</v>
      </c>
      <c r="F545" s="3">
        <v>1</v>
      </c>
      <c r="G545" s="1" t="s">
        <v>204</v>
      </c>
    </row>
    <row r="546" spans="1:7" x14ac:dyDescent="0.3">
      <c r="A546" s="21">
        <f t="shared" si="8"/>
        <v>1</v>
      </c>
      <c r="B546" s="2">
        <v>46104</v>
      </c>
      <c r="C546" s="2" t="s">
        <v>54</v>
      </c>
      <c r="D546" s="44" t="s">
        <v>56</v>
      </c>
      <c r="E546" s="22" t="str">
        <f>IF(D546&lt;&gt;"",IFERROR(INDEX(Produtos!$C$4:$C$4996,MATCH(D546,Produtos!$B$4:$B$4996,0)),"Produto não encontrado"),"")</f>
        <v>LAJE SURPERIOR DE 1000</v>
      </c>
      <c r="F546" s="3">
        <v>1</v>
      </c>
      <c r="G546" s="1" t="s">
        <v>204</v>
      </c>
    </row>
    <row r="547" spans="1:7" x14ac:dyDescent="0.3">
      <c r="A547" s="21">
        <f t="shared" si="8"/>
        <v>1</v>
      </c>
      <c r="B547" s="2">
        <v>46104</v>
      </c>
      <c r="C547" s="2" t="s">
        <v>54</v>
      </c>
      <c r="D547" s="44" t="s">
        <v>23</v>
      </c>
      <c r="E547" s="22" t="str">
        <f>IF(D547&lt;&gt;"",IFERROR(INDEX(Produtos!$C$4:$C$4996,MATCH(D547,Produtos!$B$4:$B$4996,0)),"Produto não encontrado"),"")</f>
        <v>LAJE INFERIOR DE 1000</v>
      </c>
      <c r="F547" s="3">
        <v>2</v>
      </c>
      <c r="G547" s="1" t="s">
        <v>204</v>
      </c>
    </row>
    <row r="548" spans="1:7" x14ac:dyDescent="0.3">
      <c r="A548" s="21">
        <f t="shared" si="8"/>
        <v>1</v>
      </c>
      <c r="B548" s="2">
        <v>46104</v>
      </c>
      <c r="C548" s="2" t="s">
        <v>54</v>
      </c>
      <c r="D548" s="44" t="s">
        <v>66</v>
      </c>
      <c r="E548" s="22" t="str">
        <f>IF(D548&lt;&gt;"",IFERROR(INDEX(Produtos!$C$4:$C$4996,MATCH(D548,Produtos!$B$4:$B$4996,0)),"Produto não encontrado"),"")</f>
        <v>CHAPA ARMICO</v>
      </c>
      <c r="F548" s="3">
        <v>20</v>
      </c>
      <c r="G548" s="1" t="s">
        <v>175</v>
      </c>
    </row>
    <row r="549" spans="1:7" x14ac:dyDescent="0.3">
      <c r="A549" s="21">
        <f t="shared" si="8"/>
        <v>1</v>
      </c>
      <c r="B549" s="2">
        <v>46104</v>
      </c>
      <c r="C549" s="2" t="s">
        <v>54</v>
      </c>
      <c r="D549" s="44" t="s">
        <v>67</v>
      </c>
      <c r="E549" s="22" t="str">
        <f>IF(D549&lt;&gt;"",IFERROR(INDEX(Produtos!$C$4:$C$4996,MATCH(D549,Produtos!$B$4:$B$4996,0)),"Produto não encontrado"),"")</f>
        <v>BLOCO DE PV</v>
      </c>
      <c r="F549" s="3">
        <v>20</v>
      </c>
      <c r="G549" s="1" t="s">
        <v>162</v>
      </c>
    </row>
    <row r="550" spans="1:7" x14ac:dyDescent="0.3">
      <c r="A550" s="21">
        <f t="shared" si="8"/>
        <v>1</v>
      </c>
      <c r="B550" s="2">
        <v>46104</v>
      </c>
      <c r="C550" s="2" t="s">
        <v>54</v>
      </c>
      <c r="D550" s="44" t="s">
        <v>23</v>
      </c>
      <c r="E550" s="22" t="str">
        <f>IF(D550&lt;&gt;"",IFERROR(INDEX(Produtos!$C$4:$C$4996,MATCH(D550,Produtos!$B$4:$B$4996,0)),"Produto não encontrado"),"")</f>
        <v>LAJE INFERIOR DE 1000</v>
      </c>
      <c r="F550" s="3">
        <v>1</v>
      </c>
      <c r="G550" s="1" t="s">
        <v>163</v>
      </c>
    </row>
    <row r="551" spans="1:7" x14ac:dyDescent="0.3">
      <c r="A551" s="21">
        <f t="shared" si="8"/>
        <v>1</v>
      </c>
      <c r="B551" s="2">
        <v>46104</v>
      </c>
      <c r="C551" s="2" t="s">
        <v>54</v>
      </c>
      <c r="D551" s="44" t="s">
        <v>21</v>
      </c>
      <c r="E551" s="22" t="str">
        <f>IF(D551&lt;&gt;"",IFERROR(INDEX(Produtos!$C$4:$C$4996,MATCH(D551,Produtos!$B$4:$B$4996,0)),"Produto não encontrado"),"")</f>
        <v>ADUELA DE 1000</v>
      </c>
      <c r="F551" s="3">
        <v>1</v>
      </c>
      <c r="G551" s="1" t="s">
        <v>171</v>
      </c>
    </row>
    <row r="552" spans="1:7" x14ac:dyDescent="0.3">
      <c r="A552" s="21">
        <f t="shared" si="8"/>
        <v>1</v>
      </c>
      <c r="B552" s="2">
        <v>46104</v>
      </c>
      <c r="C552" s="2" t="s">
        <v>54</v>
      </c>
      <c r="D552" s="44" t="s">
        <v>66</v>
      </c>
      <c r="E552" s="22" t="str">
        <f>IF(D552&lt;&gt;"",IFERROR(INDEX(Produtos!$C$4:$C$4996,MATCH(D552,Produtos!$B$4:$B$4996,0)),"Produto não encontrado"),"")</f>
        <v>CHAPA ARMICO</v>
      </c>
      <c r="F552" s="3">
        <v>14</v>
      </c>
      <c r="G552" s="1" t="s">
        <v>171</v>
      </c>
    </row>
    <row r="553" spans="1:7" x14ac:dyDescent="0.3">
      <c r="A553" s="21">
        <f t="shared" si="8"/>
        <v>1</v>
      </c>
      <c r="B553" s="2">
        <v>46105</v>
      </c>
      <c r="C553" s="2" t="s">
        <v>54</v>
      </c>
      <c r="D553" s="44" t="s">
        <v>63</v>
      </c>
      <c r="E553" s="22" t="str">
        <f>IF(D553&lt;&gt;"",IFERROR(INDEX(Produtos!$C$4:$C$4996,MATCH(D553,Produtos!$B$4:$B$4996,0)),"Produto não encontrado"),"")</f>
        <v>TUBO ESGOTO PVC DN 200</v>
      </c>
      <c r="F553" s="3">
        <v>2</v>
      </c>
      <c r="G553" s="1" t="s">
        <v>204</v>
      </c>
    </row>
    <row r="554" spans="1:7" x14ac:dyDescent="0.3">
      <c r="A554" s="21">
        <f t="shared" si="8"/>
        <v>1</v>
      </c>
      <c r="B554" s="2">
        <v>46105</v>
      </c>
      <c r="C554" s="2" t="s">
        <v>54</v>
      </c>
      <c r="D554" s="44" t="s">
        <v>66</v>
      </c>
      <c r="E554" s="22" t="str">
        <f>IF(D554&lt;&gt;"",IFERROR(INDEX(Produtos!$C$4:$C$4996,MATCH(D554,Produtos!$B$4:$B$4996,0)),"Produto não encontrado"),"")</f>
        <v>CHAPA ARMICO</v>
      </c>
      <c r="F554" s="3">
        <v>12</v>
      </c>
      <c r="G554" s="1" t="s">
        <v>175</v>
      </c>
    </row>
    <row r="555" spans="1:7" x14ac:dyDescent="0.3">
      <c r="A555" s="21">
        <f t="shared" si="8"/>
        <v>1</v>
      </c>
      <c r="B555" s="2">
        <v>46106</v>
      </c>
      <c r="C555" s="2" t="s">
        <v>54</v>
      </c>
      <c r="D555" s="44" t="s">
        <v>57</v>
      </c>
      <c r="E555" s="22" t="str">
        <f>IF(D555&lt;&gt;"",IFERROR(INDEX(Produtos!$C$4:$C$4996,MATCH(D555,Produtos!$B$4:$B$4996,0)),"Produto não encontrado"),"")</f>
        <v>TUBO PEAD ESGOTO D 355</v>
      </c>
      <c r="F555" s="3">
        <v>15</v>
      </c>
      <c r="G555" s="1" t="s">
        <v>163</v>
      </c>
    </row>
    <row r="556" spans="1:7" x14ac:dyDescent="0.3">
      <c r="A556" s="21">
        <f t="shared" si="8"/>
        <v>1</v>
      </c>
      <c r="B556" s="2">
        <v>46105</v>
      </c>
      <c r="C556" s="2" t="s">
        <v>54</v>
      </c>
      <c r="D556" s="44" t="s">
        <v>21</v>
      </c>
      <c r="E556" s="22" t="str">
        <f>IF(D556&lt;&gt;"",IFERROR(INDEX(Produtos!$C$4:$C$4996,MATCH(D556,Produtos!$B$4:$B$4996,0)),"Produto não encontrado"),"")</f>
        <v>ADUELA DE 1000</v>
      </c>
      <c r="F556" s="3">
        <v>1</v>
      </c>
      <c r="G556" s="1" t="s">
        <v>167</v>
      </c>
    </row>
    <row r="557" spans="1:7" x14ac:dyDescent="0.3">
      <c r="A557" s="21">
        <f t="shared" si="8"/>
        <v>1</v>
      </c>
      <c r="B557" s="2">
        <v>46105</v>
      </c>
      <c r="C557" s="2" t="s">
        <v>54</v>
      </c>
      <c r="D557" s="44" t="s">
        <v>71</v>
      </c>
      <c r="E557" s="22" t="str">
        <f>IF(D557&lt;&gt;"",IFERROR(INDEX(Produtos!$C$4:$C$4996,MATCH(D557,Produtos!$B$4:$B$4996,0)),"Produto não encontrado"),"")</f>
        <v>LAJE PRE MONTADA / TAMPÃO DN 600</v>
      </c>
      <c r="F557" s="3">
        <v>1</v>
      </c>
      <c r="G557" s="1" t="s">
        <v>167</v>
      </c>
    </row>
    <row r="558" spans="1:7" x14ac:dyDescent="0.3">
      <c r="A558" s="21">
        <f t="shared" si="8"/>
        <v>1</v>
      </c>
      <c r="B558" s="2">
        <v>46106</v>
      </c>
      <c r="C558" s="2" t="s">
        <v>54</v>
      </c>
      <c r="D558" s="44" t="s">
        <v>66</v>
      </c>
      <c r="E558" s="22" t="str">
        <f>IF(D558&lt;&gt;"",IFERROR(INDEX(Produtos!$C$4:$C$4996,MATCH(D558,Produtos!$B$4:$B$4996,0)),"Produto não encontrado"),"")</f>
        <v>CHAPA ARMICO</v>
      </c>
      <c r="F558" s="3">
        <v>192</v>
      </c>
      <c r="G558" s="1" t="s">
        <v>233</v>
      </c>
    </row>
    <row r="559" spans="1:7" x14ac:dyDescent="0.3">
      <c r="A559" s="21">
        <f t="shared" si="8"/>
        <v>1</v>
      </c>
      <c r="B559" s="2">
        <v>46106</v>
      </c>
      <c r="C559" s="2" t="s">
        <v>54</v>
      </c>
      <c r="D559" s="44" t="s">
        <v>66</v>
      </c>
      <c r="E559" s="22" t="str">
        <f>IF(D559&lt;&gt;"",IFERROR(INDEX(Produtos!$C$4:$C$4996,MATCH(D559,Produtos!$B$4:$B$4996,0)),"Produto não encontrado"),"")</f>
        <v>CHAPA ARMICO</v>
      </c>
      <c r="F559" s="3">
        <v>48</v>
      </c>
      <c r="G559" s="1" t="s">
        <v>232</v>
      </c>
    </row>
    <row r="560" spans="1:7" x14ac:dyDescent="0.3">
      <c r="A560" s="21">
        <f t="shared" si="8"/>
        <v>1</v>
      </c>
      <c r="B560" s="2">
        <v>46106</v>
      </c>
      <c r="C560" s="2" t="s">
        <v>54</v>
      </c>
      <c r="D560" s="44" t="s">
        <v>73</v>
      </c>
      <c r="E560" s="22" t="str">
        <f>IF(D560&lt;&gt;"",IFERROR(INDEX(Produtos!$C$4:$C$4996,MATCH(D560,Produtos!$B$4:$B$4996,0)),"Produto não encontrado"),"")</f>
        <v>PARAFUSO SEXTAVADA 5/8</v>
      </c>
      <c r="F560" s="3">
        <v>400</v>
      </c>
      <c r="G560" s="1" t="s">
        <v>234</v>
      </c>
    </row>
    <row r="561" spans="1:7" x14ac:dyDescent="0.3">
      <c r="A561" s="21">
        <f t="shared" si="8"/>
        <v>1</v>
      </c>
      <c r="B561" s="2">
        <v>46106</v>
      </c>
      <c r="C561" s="2" t="s">
        <v>54</v>
      </c>
      <c r="D561" s="44" t="s">
        <v>74</v>
      </c>
      <c r="E561" s="22" t="str">
        <f>IF(D561&lt;&gt;"",IFERROR(INDEX(Produtos!$C$4:$C$4996,MATCH(D561,Produtos!$B$4:$B$4996,0)),"Produto não encontrado"),"")</f>
        <v xml:space="preserve">PARAFUSO QUADRADO 5/8 </v>
      </c>
      <c r="F561" s="3">
        <v>400</v>
      </c>
      <c r="G561" s="1" t="s">
        <v>234</v>
      </c>
    </row>
    <row r="562" spans="1:7" x14ac:dyDescent="0.3">
      <c r="A562" s="21">
        <f t="shared" si="8"/>
        <v>1</v>
      </c>
      <c r="B562" s="2">
        <v>46106</v>
      </c>
      <c r="C562" s="2" t="s">
        <v>54</v>
      </c>
      <c r="D562" s="44" t="s">
        <v>74</v>
      </c>
      <c r="E562" s="22" t="str">
        <f>IF(D562&lt;&gt;"",IFERROR(INDEX(Produtos!$C$4:$C$4996,MATCH(D562,Produtos!$B$4:$B$4996,0)),"Produto não encontrado"),"")</f>
        <v xml:space="preserve">PARAFUSO QUADRADO 5/8 </v>
      </c>
      <c r="F562" s="3">
        <v>800</v>
      </c>
      <c r="G562" s="1" t="s">
        <v>234</v>
      </c>
    </row>
    <row r="563" spans="1:7" x14ac:dyDescent="0.3">
      <c r="A563" s="21">
        <f t="shared" si="8"/>
        <v>1</v>
      </c>
      <c r="B563" s="2">
        <v>46106</v>
      </c>
      <c r="C563" s="2" t="s">
        <v>54</v>
      </c>
      <c r="D563" s="44" t="s">
        <v>73</v>
      </c>
      <c r="E563" s="22" t="str">
        <f>IF(D563&lt;&gt;"",IFERROR(INDEX(Produtos!$C$4:$C$4996,MATCH(D563,Produtos!$B$4:$B$4996,0)),"Produto não encontrado"),"")</f>
        <v>PARAFUSO SEXTAVADA 5/8</v>
      </c>
      <c r="F563" s="3">
        <v>200</v>
      </c>
      <c r="G563" s="1" t="s">
        <v>232</v>
      </c>
    </row>
    <row r="564" spans="1:7" x14ac:dyDescent="0.3">
      <c r="A564" s="21">
        <f t="shared" si="8"/>
        <v>1</v>
      </c>
      <c r="B564" s="2">
        <v>46106</v>
      </c>
      <c r="C564" s="2" t="s">
        <v>54</v>
      </c>
      <c r="D564" s="44" t="s">
        <v>74</v>
      </c>
      <c r="E564" s="22" t="str">
        <f>IF(D564&lt;&gt;"",IFERROR(INDEX(Produtos!$C$4:$C$4996,MATCH(D564,Produtos!$B$4:$B$4996,0)),"Produto não encontrado"),"")</f>
        <v xml:space="preserve">PARAFUSO QUADRADO 5/8 </v>
      </c>
      <c r="F564" s="3">
        <v>200</v>
      </c>
      <c r="G564" s="1" t="s">
        <v>232</v>
      </c>
    </row>
    <row r="565" spans="1:7" x14ac:dyDescent="0.3">
      <c r="A565" s="21">
        <f t="shared" si="8"/>
        <v>1</v>
      </c>
      <c r="B565" s="2">
        <v>46106</v>
      </c>
      <c r="C565" s="2" t="s">
        <v>54</v>
      </c>
      <c r="D565" s="44" t="s">
        <v>21</v>
      </c>
      <c r="E565" s="22" t="str">
        <f>IF(D565&lt;&gt;"",IFERROR(INDEX(Produtos!$C$4:$C$4996,MATCH(D565,Produtos!$B$4:$B$4996,0)),"Produto não encontrado"),"")</f>
        <v>ADUELA DE 1000</v>
      </c>
      <c r="F565" s="3">
        <v>6</v>
      </c>
      <c r="G565" s="1" t="s">
        <v>160</v>
      </c>
    </row>
    <row r="566" spans="1:7" x14ac:dyDescent="0.3">
      <c r="A566" s="21">
        <f t="shared" si="8"/>
        <v>1</v>
      </c>
      <c r="B566" s="2">
        <v>46106</v>
      </c>
      <c r="C566" s="2" t="s">
        <v>54</v>
      </c>
      <c r="D566" s="44" t="s">
        <v>23</v>
      </c>
      <c r="E566" s="22" t="str">
        <f>IF(D566&lt;&gt;"",IFERROR(INDEX(Produtos!$C$4:$C$4996,MATCH(D566,Produtos!$B$4:$B$4996,0)),"Produto não encontrado"),"")</f>
        <v>LAJE INFERIOR DE 1000</v>
      </c>
      <c r="F566" s="3">
        <v>1</v>
      </c>
      <c r="G566" s="1" t="s">
        <v>160</v>
      </c>
    </row>
    <row r="567" spans="1:7" x14ac:dyDescent="0.3">
      <c r="A567" s="21">
        <f t="shared" si="8"/>
        <v>1</v>
      </c>
      <c r="B567" s="2">
        <v>46106</v>
      </c>
      <c r="C567" s="2" t="s">
        <v>54</v>
      </c>
      <c r="D567" s="44" t="s">
        <v>66</v>
      </c>
      <c r="E567" s="22" t="str">
        <f>IF(D567&lt;&gt;"",IFERROR(INDEX(Produtos!$C$4:$C$4996,MATCH(D567,Produtos!$B$4:$B$4996,0)),"Produto não encontrado"),"")</f>
        <v>CHAPA ARMICO</v>
      </c>
      <c r="F567" s="3">
        <v>70</v>
      </c>
      <c r="G567" s="1" t="s">
        <v>235</v>
      </c>
    </row>
    <row r="568" spans="1:7" x14ac:dyDescent="0.3">
      <c r="A568" s="21">
        <f t="shared" si="8"/>
        <v>1</v>
      </c>
      <c r="B568" s="2">
        <v>46106</v>
      </c>
      <c r="C568" s="2" t="s">
        <v>54</v>
      </c>
      <c r="D568" s="44" t="s">
        <v>73</v>
      </c>
      <c r="E568" s="22" t="str">
        <f>IF(D568&lt;&gt;"",IFERROR(INDEX(Produtos!$C$4:$C$4996,MATCH(D568,Produtos!$B$4:$B$4996,0)),"Produto não encontrado"),"")</f>
        <v>PARAFUSO SEXTAVADA 5/8</v>
      </c>
      <c r="F568" s="3">
        <v>200</v>
      </c>
      <c r="G568" s="1" t="s">
        <v>235</v>
      </c>
    </row>
    <row r="569" spans="1:7" x14ac:dyDescent="0.3">
      <c r="A569" s="21">
        <f t="shared" si="8"/>
        <v>1</v>
      </c>
      <c r="B569" s="2">
        <v>46106</v>
      </c>
      <c r="C569" s="2" t="s">
        <v>54</v>
      </c>
      <c r="D569" s="44" t="s">
        <v>74</v>
      </c>
      <c r="E569" s="22" t="str">
        <f>IF(D569&lt;&gt;"",IFERROR(INDEX(Produtos!$C$4:$C$4996,MATCH(D569,Produtos!$B$4:$B$4996,0)),"Produto não encontrado"),"")</f>
        <v xml:space="preserve">PARAFUSO QUADRADO 5/8 </v>
      </c>
      <c r="F569" s="3">
        <v>200</v>
      </c>
      <c r="G569" s="1" t="s">
        <v>235</v>
      </c>
    </row>
    <row r="570" spans="1:7" x14ac:dyDescent="0.3">
      <c r="A570" s="21">
        <f t="shared" si="8"/>
        <v>1</v>
      </c>
      <c r="B570" s="2">
        <v>46106</v>
      </c>
      <c r="C570" s="2" t="s">
        <v>54</v>
      </c>
      <c r="D570" s="44" t="s">
        <v>75</v>
      </c>
      <c r="E570" s="22" t="str">
        <f>IF(D570&lt;&gt;"",IFERROR(INDEX(Produtos!$C$4:$C$4996,MATCH(D570,Produtos!$B$4:$B$4996,0)),"Produto não encontrado"),"")</f>
        <v>PORCA SEXTAVADA 5/8</v>
      </c>
      <c r="F570" s="3">
        <v>400</v>
      </c>
      <c r="G570" s="1" t="s">
        <v>235</v>
      </c>
    </row>
    <row r="571" spans="1:7" x14ac:dyDescent="0.3">
      <c r="A571" s="21">
        <f t="shared" si="8"/>
        <v>1</v>
      </c>
      <c r="B571" s="2">
        <v>46106</v>
      </c>
      <c r="C571" s="2" t="s">
        <v>54</v>
      </c>
      <c r="D571" s="44" t="s">
        <v>21</v>
      </c>
      <c r="E571" s="22" t="str">
        <f>IF(D571&lt;&gt;"",IFERROR(INDEX(Produtos!$C$4:$C$4996,MATCH(D571,Produtos!$B$4:$B$4996,0)),"Produto não encontrado"),"")</f>
        <v>ADUELA DE 1000</v>
      </c>
      <c r="F571" s="3">
        <v>4</v>
      </c>
      <c r="G571" s="1" t="s">
        <v>162</v>
      </c>
    </row>
    <row r="572" spans="1:7" x14ac:dyDescent="0.3">
      <c r="A572" s="21">
        <f t="shared" si="8"/>
        <v>1</v>
      </c>
      <c r="B572" s="2">
        <v>46106</v>
      </c>
      <c r="C572" s="2" t="s">
        <v>54</v>
      </c>
      <c r="D572" s="44" t="s">
        <v>71</v>
      </c>
      <c r="E572" s="22" t="str">
        <f>IF(D572&lt;&gt;"",IFERROR(INDEX(Produtos!$C$4:$C$4996,MATCH(D572,Produtos!$B$4:$B$4996,0)),"Produto não encontrado"),"")</f>
        <v>LAJE PRE MONTADA / TAMPÃO DN 600</v>
      </c>
      <c r="F572" s="3">
        <v>1</v>
      </c>
      <c r="G572" s="1" t="s">
        <v>162</v>
      </c>
    </row>
    <row r="573" spans="1:7" x14ac:dyDescent="0.3">
      <c r="A573" s="21">
        <f t="shared" si="8"/>
        <v>1</v>
      </c>
      <c r="B573" s="2">
        <v>46106</v>
      </c>
      <c r="C573" s="2" t="s">
        <v>54</v>
      </c>
      <c r="D573" s="44" t="s">
        <v>65</v>
      </c>
      <c r="E573" s="22" t="str">
        <f>IF(D573&lt;&gt;"",IFERROR(INDEX(Produtos!$C$4:$C$4996,MATCH(D573,Produtos!$B$4:$B$4996,0)),"Produto não encontrado"),"")</f>
        <v>TUBO ESGOTO PVC DN 100</v>
      </c>
      <c r="F573" s="3">
        <v>2</v>
      </c>
      <c r="G573" s="1" t="s">
        <v>236</v>
      </c>
    </row>
    <row r="574" spans="1:7" x14ac:dyDescent="0.3">
      <c r="A574" s="21">
        <f t="shared" si="8"/>
        <v>1</v>
      </c>
      <c r="B574" s="2">
        <v>46106</v>
      </c>
      <c r="C574" s="2" t="s">
        <v>54</v>
      </c>
      <c r="D574" s="44" t="s">
        <v>63</v>
      </c>
      <c r="E574" s="22" t="str">
        <f>IF(D574&lt;&gt;"",IFERROR(INDEX(Produtos!$C$4:$C$4996,MATCH(D574,Produtos!$B$4:$B$4996,0)),"Produto não encontrado"),"")</f>
        <v>TUBO ESGOTO PVC DN 200</v>
      </c>
      <c r="F574" s="3">
        <v>2</v>
      </c>
      <c r="G574" s="1" t="s">
        <v>166</v>
      </c>
    </row>
    <row r="575" spans="1:7" x14ac:dyDescent="0.3">
      <c r="A575" s="21">
        <f t="shared" si="8"/>
        <v>1</v>
      </c>
      <c r="B575" s="2">
        <v>46106</v>
      </c>
      <c r="C575" s="2" t="s">
        <v>54</v>
      </c>
      <c r="D575" s="44" t="s">
        <v>65</v>
      </c>
      <c r="E575" s="22" t="str">
        <f>IF(D575&lt;&gt;"",IFERROR(INDEX(Produtos!$C$4:$C$4996,MATCH(D575,Produtos!$B$4:$B$4996,0)),"Produto não encontrado"),"")</f>
        <v>TUBO ESGOTO PVC DN 100</v>
      </c>
      <c r="F575" s="3">
        <v>1</v>
      </c>
      <c r="G575" s="1" t="s">
        <v>232</v>
      </c>
    </row>
    <row r="576" spans="1:7" x14ac:dyDescent="0.3">
      <c r="A576" s="21">
        <f t="shared" ref="A576:A639" si="9">IF(C576="Entrada",2,IF(C576="Saída",1,"."))</f>
        <v>1</v>
      </c>
      <c r="B576" s="2">
        <v>46107</v>
      </c>
      <c r="C576" s="2" t="s">
        <v>54</v>
      </c>
      <c r="D576" s="44" t="s">
        <v>57</v>
      </c>
      <c r="E576" s="22" t="str">
        <f>IF(D576&lt;&gt;"",IFERROR(INDEX(Produtos!$C$4:$C$4996,MATCH(D576,Produtos!$B$4:$B$4996,0)),"Produto não encontrado"),"")</f>
        <v>TUBO PEAD ESGOTO D 355</v>
      </c>
      <c r="F576" s="3">
        <v>21</v>
      </c>
      <c r="G576" s="1" t="s">
        <v>176</v>
      </c>
    </row>
    <row r="577" spans="1:7" x14ac:dyDescent="0.3">
      <c r="A577" s="21">
        <f t="shared" si="9"/>
        <v>1</v>
      </c>
      <c r="B577" s="2">
        <v>46106</v>
      </c>
      <c r="C577" s="2" t="s">
        <v>54</v>
      </c>
      <c r="D577" s="44" t="s">
        <v>71</v>
      </c>
      <c r="E577" s="22" t="str">
        <f>IF(D577&lt;&gt;"",IFERROR(INDEX(Produtos!$C$4:$C$4996,MATCH(D577,Produtos!$B$4:$B$4996,0)),"Produto não encontrado"),"")</f>
        <v>LAJE PRE MONTADA / TAMPÃO DN 600</v>
      </c>
      <c r="F577" s="3">
        <v>2</v>
      </c>
      <c r="G577" s="1" t="s">
        <v>236</v>
      </c>
    </row>
    <row r="578" spans="1:7" x14ac:dyDescent="0.3">
      <c r="A578" s="21">
        <f t="shared" si="9"/>
        <v>1</v>
      </c>
      <c r="B578" s="2">
        <v>46107</v>
      </c>
      <c r="C578" s="2" t="s">
        <v>54</v>
      </c>
      <c r="D578" s="44" t="s">
        <v>63</v>
      </c>
      <c r="E578" s="22" t="str">
        <f>IF(D578&lt;&gt;"",IFERROR(INDEX(Produtos!$C$4:$C$4996,MATCH(D578,Produtos!$B$4:$B$4996,0)),"Produto não encontrado"),"")</f>
        <v>TUBO ESGOTO PVC DN 200</v>
      </c>
      <c r="F578" s="3">
        <v>2</v>
      </c>
      <c r="G578" s="1" t="s">
        <v>204</v>
      </c>
    </row>
    <row r="579" spans="1:7" x14ac:dyDescent="0.3">
      <c r="A579" s="21">
        <f t="shared" si="9"/>
        <v>1</v>
      </c>
      <c r="B579" s="2">
        <v>46106</v>
      </c>
      <c r="C579" s="2" t="s">
        <v>54</v>
      </c>
      <c r="D579" s="44" t="s">
        <v>57</v>
      </c>
      <c r="E579" s="22" t="str">
        <f>IF(D579&lt;&gt;"",IFERROR(INDEX(Produtos!$C$4:$C$4996,MATCH(D579,Produtos!$B$4:$B$4996,0)),"Produto não encontrado"),"")</f>
        <v>TUBO PEAD ESGOTO D 355</v>
      </c>
      <c r="F579" s="3">
        <v>15</v>
      </c>
      <c r="G579" s="1" t="s">
        <v>163</v>
      </c>
    </row>
    <row r="580" spans="1:7" x14ac:dyDescent="0.3">
      <c r="A580" s="21">
        <f t="shared" si="9"/>
        <v>1</v>
      </c>
      <c r="B580" s="2">
        <v>46107</v>
      </c>
      <c r="C580" s="2" t="s">
        <v>54</v>
      </c>
      <c r="D580" s="44" t="s">
        <v>21</v>
      </c>
      <c r="E580" s="22" t="str">
        <f>IF(D580&lt;&gt;"",IFERROR(INDEX(Produtos!$C$4:$C$4996,MATCH(D580,Produtos!$B$4:$B$4996,0)),"Produto não encontrado"),"")</f>
        <v>ADUELA DE 1000</v>
      </c>
      <c r="F580" s="3">
        <v>2</v>
      </c>
      <c r="G580" s="1" t="s">
        <v>160</v>
      </c>
    </row>
    <row r="581" spans="1:7" x14ac:dyDescent="0.3">
      <c r="A581" s="21">
        <f t="shared" si="9"/>
        <v>1</v>
      </c>
      <c r="B581" s="2">
        <v>46107</v>
      </c>
      <c r="C581" s="2" t="s">
        <v>54</v>
      </c>
      <c r="D581" s="44" t="s">
        <v>21</v>
      </c>
      <c r="E581" s="22" t="str">
        <f>IF(D581&lt;&gt;"",IFERROR(INDEX(Produtos!$C$4:$C$4996,MATCH(D581,Produtos!$B$4:$B$4996,0)),"Produto não encontrado"),"")</f>
        <v>ADUELA DE 1000</v>
      </c>
      <c r="F581" s="3">
        <v>2</v>
      </c>
      <c r="G581" s="1" t="s">
        <v>171</v>
      </c>
    </row>
    <row r="582" spans="1:7" x14ac:dyDescent="0.3">
      <c r="A582" s="21">
        <f t="shared" si="9"/>
        <v>1</v>
      </c>
      <c r="B582" s="2">
        <v>46107</v>
      </c>
      <c r="C582" s="2" t="s">
        <v>54</v>
      </c>
      <c r="D582" s="44" t="s">
        <v>23</v>
      </c>
      <c r="E582" s="22" t="str">
        <f>IF(D582&lt;&gt;"",IFERROR(INDEX(Produtos!$C$4:$C$4996,MATCH(D582,Produtos!$B$4:$B$4996,0)),"Produto não encontrado"),"")</f>
        <v>LAJE INFERIOR DE 1000</v>
      </c>
      <c r="F582" s="3">
        <v>1</v>
      </c>
      <c r="G582" s="1" t="s">
        <v>171</v>
      </c>
    </row>
    <row r="583" spans="1:7" x14ac:dyDescent="0.3">
      <c r="A583" s="21">
        <f t="shared" si="9"/>
        <v>1</v>
      </c>
      <c r="B583" s="2">
        <v>46107</v>
      </c>
      <c r="C583" s="2" t="s">
        <v>54</v>
      </c>
      <c r="D583" s="44" t="s">
        <v>22</v>
      </c>
      <c r="E583" s="22" t="str">
        <f>IF(D583&lt;&gt;"",IFERROR(INDEX(Produtos!$C$4:$C$4996,MATCH(D583,Produtos!$B$4:$B$4996,0)),"Produto não encontrado"),"")</f>
        <v>ADUELA DE 600</v>
      </c>
      <c r="F583" s="3">
        <v>1</v>
      </c>
      <c r="G583" s="1" t="s">
        <v>162</v>
      </c>
    </row>
    <row r="584" spans="1:7" x14ac:dyDescent="0.3">
      <c r="A584" s="21">
        <f t="shared" si="9"/>
        <v>1</v>
      </c>
      <c r="B584" s="2">
        <v>46107</v>
      </c>
      <c r="C584" s="2" t="s">
        <v>54</v>
      </c>
      <c r="D584" s="44" t="s">
        <v>56</v>
      </c>
      <c r="E584" s="22" t="str">
        <f>IF(D584&lt;&gt;"",IFERROR(INDEX(Produtos!$C$4:$C$4996,MATCH(D584,Produtos!$B$4:$B$4996,0)),"Produto não encontrado"),"")</f>
        <v>LAJE SURPERIOR DE 1000</v>
      </c>
      <c r="F584" s="3">
        <v>1</v>
      </c>
      <c r="G584" s="1" t="s">
        <v>162</v>
      </c>
    </row>
    <row r="585" spans="1:7" x14ac:dyDescent="0.3">
      <c r="A585" s="21">
        <f t="shared" si="9"/>
        <v>1</v>
      </c>
      <c r="B585" s="2">
        <v>46107</v>
      </c>
      <c r="C585" s="2" t="s">
        <v>54</v>
      </c>
      <c r="D585" s="44" t="s">
        <v>63</v>
      </c>
      <c r="E585" s="22" t="str">
        <f>IF(D585&lt;&gt;"",IFERROR(INDEX(Produtos!$C$4:$C$4996,MATCH(D585,Produtos!$B$4:$B$4996,0)),"Produto não encontrado"),"")</f>
        <v>TUBO ESGOTO PVC DN 200</v>
      </c>
      <c r="F585" s="3">
        <v>1</v>
      </c>
      <c r="G585" s="1" t="s">
        <v>232</v>
      </c>
    </row>
    <row r="586" spans="1:7" x14ac:dyDescent="0.3">
      <c r="A586" s="21">
        <f t="shared" si="9"/>
        <v>2</v>
      </c>
      <c r="B586" s="2">
        <v>46108</v>
      </c>
      <c r="C586" s="2" t="s">
        <v>28</v>
      </c>
      <c r="D586" s="44" t="s">
        <v>23</v>
      </c>
      <c r="E586" s="22" t="str">
        <f>IF(D586&lt;&gt;"",IFERROR(INDEX(Produtos!$C$4:$C$4996,MATCH(D586,Produtos!$B$4:$B$4996,0)),"Produto não encontrado"),"")</f>
        <v>LAJE INFERIOR DE 1000</v>
      </c>
      <c r="F586" s="3">
        <v>50</v>
      </c>
      <c r="G586" s="1" t="s">
        <v>185</v>
      </c>
    </row>
    <row r="587" spans="1:7" x14ac:dyDescent="0.3">
      <c r="A587" s="21">
        <f t="shared" si="9"/>
        <v>1</v>
      </c>
      <c r="B587" s="2">
        <v>46108</v>
      </c>
      <c r="C587" s="2" t="s">
        <v>54</v>
      </c>
      <c r="D587" s="44" t="s">
        <v>63</v>
      </c>
      <c r="E587" s="22" t="str">
        <f>IF(D587&lt;&gt;"",IFERROR(INDEX(Produtos!$C$4:$C$4996,MATCH(D587,Produtos!$B$4:$B$4996,0)),"Produto não encontrado"),"")</f>
        <v>TUBO ESGOTO PVC DN 200</v>
      </c>
      <c r="F587" s="3">
        <v>4</v>
      </c>
      <c r="G587" s="1" t="s">
        <v>204</v>
      </c>
    </row>
    <row r="588" spans="1:7" x14ac:dyDescent="0.3">
      <c r="A588" s="21">
        <f t="shared" si="9"/>
        <v>1</v>
      </c>
      <c r="B588" s="2">
        <v>46108</v>
      </c>
      <c r="C588" s="2" t="s">
        <v>54</v>
      </c>
      <c r="D588" s="44" t="s">
        <v>21</v>
      </c>
      <c r="E588" s="22" t="str">
        <f>IF(D588&lt;&gt;"",IFERROR(INDEX(Produtos!$C$4:$C$4996,MATCH(D588,Produtos!$B$4:$B$4996,0)),"Produto não encontrado"),"")</f>
        <v>ADUELA DE 1000</v>
      </c>
      <c r="F588" s="3">
        <v>2</v>
      </c>
      <c r="G588" s="1" t="s">
        <v>169</v>
      </c>
    </row>
    <row r="589" spans="1:7" x14ac:dyDescent="0.3">
      <c r="A589" s="21">
        <f t="shared" si="9"/>
        <v>1</v>
      </c>
      <c r="B589" s="2">
        <v>46108</v>
      </c>
      <c r="C589" s="2" t="s">
        <v>54</v>
      </c>
      <c r="D589" s="44" t="s">
        <v>22</v>
      </c>
      <c r="E589" s="22" t="str">
        <f>IF(D589&lt;&gt;"",IFERROR(INDEX(Produtos!$C$4:$C$4996,MATCH(D589,Produtos!$B$4:$B$4996,0)),"Produto não encontrado"),"")</f>
        <v>ADUELA DE 600</v>
      </c>
      <c r="F589" s="3">
        <v>1</v>
      </c>
      <c r="G589" s="1" t="s">
        <v>169</v>
      </c>
    </row>
    <row r="590" spans="1:7" x14ac:dyDescent="0.3">
      <c r="A590" s="21">
        <f t="shared" si="9"/>
        <v>1</v>
      </c>
      <c r="B590" s="2">
        <v>46108</v>
      </c>
      <c r="C590" s="2" t="s">
        <v>54</v>
      </c>
      <c r="D590" s="44" t="s">
        <v>56</v>
      </c>
      <c r="E590" s="22" t="str">
        <f>IF(D590&lt;&gt;"",IFERROR(INDEX(Produtos!$C$4:$C$4996,MATCH(D590,Produtos!$B$4:$B$4996,0)),"Produto não encontrado"),"")</f>
        <v>LAJE SURPERIOR DE 1000</v>
      </c>
      <c r="F590" s="3">
        <v>1</v>
      </c>
      <c r="G590" s="1" t="s">
        <v>169</v>
      </c>
    </row>
    <row r="591" spans="1:7" x14ac:dyDescent="0.3">
      <c r="A591" s="21">
        <f t="shared" si="9"/>
        <v>1</v>
      </c>
      <c r="B591" s="2">
        <v>46108</v>
      </c>
      <c r="C591" s="2" t="s">
        <v>54</v>
      </c>
      <c r="D591" s="44" t="s">
        <v>21</v>
      </c>
      <c r="E591" s="22" t="str">
        <f>IF(D591&lt;&gt;"",IFERROR(INDEX(Produtos!$C$4:$C$4996,MATCH(D591,Produtos!$B$4:$B$4996,0)),"Produto não encontrado"),"")</f>
        <v>ADUELA DE 1000</v>
      </c>
      <c r="F591" s="3">
        <v>2</v>
      </c>
      <c r="G591" s="46" t="s">
        <v>162</v>
      </c>
    </row>
    <row r="592" spans="1:7" x14ac:dyDescent="0.3">
      <c r="A592" s="21">
        <f t="shared" si="9"/>
        <v>1</v>
      </c>
      <c r="B592" s="2">
        <v>46108</v>
      </c>
      <c r="C592" s="2" t="s">
        <v>54</v>
      </c>
      <c r="D592" s="44" t="s">
        <v>23</v>
      </c>
      <c r="E592" s="22" t="str">
        <f>IF(D592&lt;&gt;"",IFERROR(INDEX(Produtos!$C$4:$C$4996,MATCH(D592,Produtos!$B$4:$B$4996,0)),"Produto não encontrado"),"")</f>
        <v>LAJE INFERIOR DE 1000</v>
      </c>
      <c r="F592" s="3">
        <v>1</v>
      </c>
      <c r="G592" s="46" t="s">
        <v>162</v>
      </c>
    </row>
    <row r="593" spans="1:7" x14ac:dyDescent="0.3">
      <c r="A593" s="21">
        <f t="shared" si="9"/>
        <v>1</v>
      </c>
      <c r="B593" s="2">
        <v>46108</v>
      </c>
      <c r="C593" s="2" t="s">
        <v>54</v>
      </c>
      <c r="D593" s="44" t="s">
        <v>56</v>
      </c>
      <c r="E593" s="22" t="str">
        <f>IF(D593&lt;&gt;"",IFERROR(INDEX(Produtos!$C$4:$C$4996,MATCH(D593,Produtos!$B$4:$B$4996,0)),"Produto não encontrado"),"")</f>
        <v>LAJE SURPERIOR DE 1000</v>
      </c>
      <c r="F593" s="3">
        <v>1</v>
      </c>
      <c r="G593" s="1" t="s">
        <v>202</v>
      </c>
    </row>
    <row r="594" spans="1:7" x14ac:dyDescent="0.3">
      <c r="A594" s="21">
        <f t="shared" si="9"/>
        <v>1</v>
      </c>
      <c r="B594" s="2">
        <v>46108</v>
      </c>
      <c r="C594" s="2" t="s">
        <v>54</v>
      </c>
      <c r="D594" s="44" t="s">
        <v>21</v>
      </c>
      <c r="E594" s="22" t="str">
        <f>IF(D594&lt;&gt;"",IFERROR(INDEX(Produtos!$C$4:$C$4996,MATCH(D594,Produtos!$B$4:$B$4996,0)),"Produto não encontrado"),"")</f>
        <v>ADUELA DE 1000</v>
      </c>
      <c r="F594" s="3">
        <v>1</v>
      </c>
      <c r="G594" s="1" t="s">
        <v>169</v>
      </c>
    </row>
    <row r="595" spans="1:7" x14ac:dyDescent="0.3">
      <c r="A595" s="21">
        <f t="shared" si="9"/>
        <v>1</v>
      </c>
      <c r="B595" s="2">
        <v>46108</v>
      </c>
      <c r="C595" s="2" t="s">
        <v>54</v>
      </c>
      <c r="D595" s="44" t="s">
        <v>71</v>
      </c>
      <c r="E595" s="22" t="str">
        <f>IF(D595&lt;&gt;"",IFERROR(INDEX(Produtos!$C$4:$C$4996,MATCH(D595,Produtos!$B$4:$B$4996,0)),"Produto não encontrado"),"")</f>
        <v>LAJE PRE MONTADA / TAMPÃO DN 600</v>
      </c>
      <c r="F595" s="3">
        <v>1</v>
      </c>
      <c r="G595" s="1" t="s">
        <v>162</v>
      </c>
    </row>
    <row r="596" spans="1:7" x14ac:dyDescent="0.3">
      <c r="A596" s="21">
        <f t="shared" si="9"/>
        <v>2</v>
      </c>
      <c r="B596" s="2">
        <v>46108</v>
      </c>
      <c r="C596" s="2" t="s">
        <v>28</v>
      </c>
      <c r="D596" s="44" t="s">
        <v>71</v>
      </c>
      <c r="E596" s="22" t="str">
        <f>IF(D596&lt;&gt;"",IFERROR(INDEX(Produtos!$C$4:$C$4996,MATCH(D596,Produtos!$B$4:$B$4996,0)),"Produto não encontrado"),"")</f>
        <v>LAJE PRE MONTADA / TAMPÃO DN 600</v>
      </c>
      <c r="F596" s="3">
        <v>20</v>
      </c>
    </row>
    <row r="597" spans="1:7" x14ac:dyDescent="0.3">
      <c r="A597" s="21">
        <f t="shared" si="9"/>
        <v>1</v>
      </c>
      <c r="B597" s="2">
        <v>46109</v>
      </c>
      <c r="C597" s="2" t="s">
        <v>54</v>
      </c>
      <c r="D597" s="44" t="s">
        <v>22</v>
      </c>
      <c r="E597" s="22" t="str">
        <f>IF(D597&lt;&gt;"",IFERROR(INDEX(Produtos!$C$4:$C$4996,MATCH(D597,Produtos!$B$4:$B$4996,0)),"Produto não encontrado"),"")</f>
        <v>ADUELA DE 600</v>
      </c>
      <c r="F597" s="3">
        <v>1</v>
      </c>
      <c r="G597" s="1" t="s">
        <v>161</v>
      </c>
    </row>
    <row r="598" spans="1:7" x14ac:dyDescent="0.3">
      <c r="A598" s="21">
        <f t="shared" si="9"/>
        <v>1</v>
      </c>
      <c r="B598" s="2">
        <v>46109</v>
      </c>
      <c r="C598" s="2" t="s">
        <v>54</v>
      </c>
      <c r="D598" s="44" t="s">
        <v>71</v>
      </c>
      <c r="E598" s="22" t="str">
        <f>IF(D598&lt;&gt;"",IFERROR(INDEX(Produtos!$C$4:$C$4996,MATCH(D598,Produtos!$B$4:$B$4996,0)),"Produto não encontrado"),"")</f>
        <v>LAJE PRE MONTADA / TAMPÃO DN 600</v>
      </c>
      <c r="F598" s="3">
        <v>1</v>
      </c>
      <c r="G598" s="1" t="s">
        <v>171</v>
      </c>
    </row>
    <row r="599" spans="1:7" x14ac:dyDescent="0.3">
      <c r="A599" s="21">
        <f t="shared" si="9"/>
        <v>1</v>
      </c>
      <c r="B599" s="2">
        <v>46109</v>
      </c>
      <c r="C599" s="2" t="s">
        <v>54</v>
      </c>
      <c r="D599" s="44" t="s">
        <v>21</v>
      </c>
      <c r="E599" s="22" t="str">
        <f>IF(D599&lt;&gt;"",IFERROR(INDEX(Produtos!$C$4:$C$4996,MATCH(D599,Produtos!$B$4:$B$4996,0)),"Produto não encontrado"),"")</f>
        <v>ADUELA DE 1000</v>
      </c>
      <c r="F599" s="3">
        <v>1</v>
      </c>
      <c r="G599" s="1" t="s">
        <v>171</v>
      </c>
    </row>
    <row r="600" spans="1:7" x14ac:dyDescent="0.3">
      <c r="A600" s="21">
        <f t="shared" si="9"/>
        <v>1</v>
      </c>
      <c r="B600" s="2">
        <v>46109</v>
      </c>
      <c r="C600" s="2" t="s">
        <v>54</v>
      </c>
      <c r="D600" s="44" t="s">
        <v>67</v>
      </c>
      <c r="E600" s="22" t="str">
        <f>IF(D600&lt;&gt;"",IFERROR(INDEX(Produtos!$C$4:$C$4996,MATCH(D600,Produtos!$B$4:$B$4996,0)),"Produto não encontrado"),"")</f>
        <v>BLOCO DE PV</v>
      </c>
      <c r="F600" s="3">
        <v>10</v>
      </c>
      <c r="G600" s="1" t="s">
        <v>162</v>
      </c>
    </row>
    <row r="601" spans="1:7" x14ac:dyDescent="0.3">
      <c r="A601" s="21">
        <f t="shared" si="9"/>
        <v>1</v>
      </c>
      <c r="B601" s="2">
        <v>46109</v>
      </c>
      <c r="C601" s="2" t="s">
        <v>54</v>
      </c>
      <c r="D601" s="44" t="s">
        <v>21</v>
      </c>
      <c r="E601" s="22" t="str">
        <f>IF(D601&lt;&gt;"",IFERROR(INDEX(Produtos!$C$4:$C$4996,MATCH(D601,Produtos!$B$4:$B$4996,0)),"Produto não encontrado"),"")</f>
        <v>ADUELA DE 1000</v>
      </c>
      <c r="F601" s="3">
        <v>2</v>
      </c>
      <c r="G601" s="1" t="s">
        <v>175</v>
      </c>
    </row>
    <row r="602" spans="1:7" x14ac:dyDescent="0.3">
      <c r="A602" s="21">
        <f t="shared" si="9"/>
        <v>1</v>
      </c>
      <c r="B602" s="2">
        <v>46109</v>
      </c>
      <c r="C602" s="2" t="s">
        <v>54</v>
      </c>
      <c r="D602" s="44" t="s">
        <v>71</v>
      </c>
      <c r="E602" s="22" t="str">
        <f>IF(D602&lt;&gt;"",IFERROR(INDEX(Produtos!$C$4:$C$4996,MATCH(D602,Produtos!$B$4:$B$4996,0)),"Produto não encontrado"),"")</f>
        <v>LAJE PRE MONTADA / TAMPÃO DN 600</v>
      </c>
      <c r="F602" s="3">
        <v>1</v>
      </c>
      <c r="G602" s="1" t="s">
        <v>162</v>
      </c>
    </row>
    <row r="603" spans="1:7" x14ac:dyDescent="0.3">
      <c r="A603" s="21">
        <f t="shared" si="9"/>
        <v>1</v>
      </c>
      <c r="B603" s="2">
        <v>46111</v>
      </c>
      <c r="C603" s="2" t="s">
        <v>54</v>
      </c>
      <c r="D603" s="44" t="s">
        <v>21</v>
      </c>
      <c r="E603" s="22" t="str">
        <f>IF(D603&lt;&gt;"",IFERROR(INDEX(Produtos!$C$4:$C$4996,MATCH(D603,Produtos!$B$4:$B$4996,0)),"Produto não encontrado"),"")</f>
        <v>ADUELA DE 1000</v>
      </c>
      <c r="F603" s="3">
        <v>3</v>
      </c>
      <c r="G603" s="1" t="s">
        <v>173</v>
      </c>
    </row>
    <row r="604" spans="1:7" x14ac:dyDescent="0.3">
      <c r="A604" s="21">
        <f t="shared" si="9"/>
        <v>1</v>
      </c>
      <c r="B604" s="2">
        <v>46110</v>
      </c>
      <c r="C604" s="2" t="s">
        <v>54</v>
      </c>
      <c r="D604" s="44" t="s">
        <v>21</v>
      </c>
      <c r="E604" s="22" t="str">
        <f>IF(D604&lt;&gt;"",IFERROR(INDEX(Produtos!$C$4:$C$4996,MATCH(D604,Produtos!$B$4:$B$4996,0)),"Produto não encontrado"),"")</f>
        <v>ADUELA DE 1000</v>
      </c>
      <c r="F604" s="3">
        <v>1</v>
      </c>
      <c r="G604" s="1" t="s">
        <v>204</v>
      </c>
    </row>
    <row r="605" spans="1:7" x14ac:dyDescent="0.3">
      <c r="A605" s="21">
        <f t="shared" si="9"/>
        <v>1</v>
      </c>
      <c r="B605" s="2">
        <v>46110</v>
      </c>
      <c r="C605" s="2" t="s">
        <v>54</v>
      </c>
      <c r="D605" s="44" t="s">
        <v>63</v>
      </c>
      <c r="E605" s="22" t="str">
        <f>IF(D605&lt;&gt;"",IFERROR(INDEX(Produtos!$C$4:$C$4996,MATCH(D605,Produtos!$B$4:$B$4996,0)),"Produto não encontrado"),"")</f>
        <v>TUBO ESGOTO PVC DN 200</v>
      </c>
      <c r="F605" s="3">
        <v>2</v>
      </c>
      <c r="G605" s="1" t="s">
        <v>204</v>
      </c>
    </row>
    <row r="606" spans="1:7" x14ac:dyDescent="0.3">
      <c r="A606" s="21">
        <f t="shared" si="9"/>
        <v>1</v>
      </c>
      <c r="B606" s="2">
        <v>46110</v>
      </c>
      <c r="C606" s="2" t="s">
        <v>54</v>
      </c>
      <c r="D606" s="44" t="s">
        <v>65</v>
      </c>
      <c r="E606" s="22" t="str">
        <f>IF(D606&lt;&gt;"",IFERROR(INDEX(Produtos!$C$4:$C$4996,MATCH(D606,Produtos!$B$4:$B$4996,0)),"Produto não encontrado"),"")</f>
        <v>TUBO ESGOTO PVC DN 100</v>
      </c>
      <c r="F606" s="3">
        <v>1</v>
      </c>
      <c r="G606" s="1" t="s">
        <v>204</v>
      </c>
    </row>
    <row r="607" spans="1:7" x14ac:dyDescent="0.3">
      <c r="A607" s="21">
        <f t="shared" si="9"/>
        <v>1</v>
      </c>
      <c r="B607" s="2">
        <v>46110</v>
      </c>
      <c r="C607" s="2" t="s">
        <v>54</v>
      </c>
      <c r="D607" s="44" t="s">
        <v>67</v>
      </c>
      <c r="E607" s="22" t="str">
        <f>IF(D607&lt;&gt;"",IFERROR(INDEX(Produtos!$C$4:$C$4996,MATCH(D607,Produtos!$B$4:$B$4996,0)),"Produto não encontrado"),"")</f>
        <v>BLOCO DE PV</v>
      </c>
      <c r="F607" s="3">
        <v>10</v>
      </c>
      <c r="G607" s="1" t="s">
        <v>204</v>
      </c>
    </row>
    <row r="608" spans="1:7" x14ac:dyDescent="0.3">
      <c r="A608" s="21">
        <f t="shared" si="9"/>
        <v>1</v>
      </c>
      <c r="B608" s="2">
        <v>46110</v>
      </c>
      <c r="C608" s="2" t="s">
        <v>54</v>
      </c>
      <c r="D608" s="44" t="s">
        <v>23</v>
      </c>
      <c r="E608" s="22" t="str">
        <f>IF(D608&lt;&gt;"",IFERROR(INDEX(Produtos!$C$4:$C$4996,MATCH(D608,Produtos!$B$4:$B$4996,0)),"Produto não encontrado"),"")</f>
        <v>LAJE INFERIOR DE 1000</v>
      </c>
      <c r="F608" s="3">
        <v>1</v>
      </c>
      <c r="G608" s="1" t="s">
        <v>204</v>
      </c>
    </row>
    <row r="609" spans="1:8" x14ac:dyDescent="0.3">
      <c r="A609" s="21">
        <f t="shared" si="9"/>
        <v>1</v>
      </c>
      <c r="B609" s="2">
        <v>46110</v>
      </c>
      <c r="C609" s="2" t="s">
        <v>54</v>
      </c>
      <c r="D609" s="44" t="s">
        <v>56</v>
      </c>
      <c r="E609" s="22" t="str">
        <f>IF(D609&lt;&gt;"",IFERROR(INDEX(Produtos!$C$4:$C$4996,MATCH(D609,Produtos!$B$4:$B$4996,0)),"Produto não encontrado"),"")</f>
        <v>LAJE SURPERIOR DE 1000</v>
      </c>
      <c r="F609" s="3">
        <v>1</v>
      </c>
      <c r="G609" s="1" t="s">
        <v>204</v>
      </c>
    </row>
    <row r="610" spans="1:8" x14ac:dyDescent="0.3">
      <c r="A610" s="21">
        <f t="shared" si="9"/>
        <v>1</v>
      </c>
      <c r="B610" s="2">
        <v>46110</v>
      </c>
      <c r="C610" s="2" t="s">
        <v>54</v>
      </c>
      <c r="D610" s="44" t="s">
        <v>21</v>
      </c>
      <c r="E610" s="22" t="str">
        <f>IF(D610&lt;&gt;"",IFERROR(INDEX(Produtos!$C$4:$C$4996,MATCH(D610,Produtos!$B$4:$B$4996,0)),"Produto não encontrado"),"")</f>
        <v>ADUELA DE 1000</v>
      </c>
      <c r="F610" s="3">
        <v>1</v>
      </c>
      <c r="G610" s="1" t="s">
        <v>171</v>
      </c>
    </row>
    <row r="611" spans="1:8" x14ac:dyDescent="0.3">
      <c r="A611" s="21">
        <f t="shared" si="9"/>
        <v>1</v>
      </c>
      <c r="B611" s="2">
        <v>46110</v>
      </c>
      <c r="C611" s="2" t="s">
        <v>54</v>
      </c>
      <c r="D611" s="44" t="s">
        <v>21</v>
      </c>
      <c r="E611" s="22" t="str">
        <f>IF(D611&lt;&gt;"",IFERROR(INDEX(Produtos!$C$4:$C$4996,MATCH(D611,Produtos!$B$4:$B$4996,0)),"Produto não encontrado"),"")</f>
        <v>ADUELA DE 1000</v>
      </c>
      <c r="F611" s="3">
        <v>1</v>
      </c>
      <c r="G611" s="1" t="s">
        <v>173</v>
      </c>
    </row>
    <row r="612" spans="1:8" x14ac:dyDescent="0.3">
      <c r="A612" s="21">
        <f t="shared" si="9"/>
        <v>1</v>
      </c>
      <c r="B612" s="2">
        <v>46110</v>
      </c>
      <c r="C612" s="2" t="s">
        <v>54</v>
      </c>
      <c r="D612" s="44" t="s">
        <v>21</v>
      </c>
      <c r="E612" s="22" t="str">
        <f>IF(D612&lt;&gt;"",IFERROR(INDEX(Produtos!$C$4:$C$4996,MATCH(D612,Produtos!$B$4:$B$4996,0)),"Produto não encontrado"),"")</f>
        <v>ADUELA DE 1000</v>
      </c>
      <c r="F612" s="3">
        <v>2</v>
      </c>
      <c r="G612" s="1" t="s">
        <v>163</v>
      </c>
    </row>
    <row r="613" spans="1:8" x14ac:dyDescent="0.3">
      <c r="A613" s="21">
        <f t="shared" si="9"/>
        <v>1</v>
      </c>
      <c r="B613" s="2">
        <v>46110</v>
      </c>
      <c r="C613" s="2" t="s">
        <v>54</v>
      </c>
      <c r="D613" s="44" t="s">
        <v>23</v>
      </c>
      <c r="E613" s="22" t="str">
        <f>IF(D613&lt;&gt;"",IFERROR(INDEX(Produtos!$C$4:$C$4996,MATCH(D613,Produtos!$B$4:$B$4996,0)),"Produto não encontrado"),"")</f>
        <v>LAJE INFERIOR DE 1000</v>
      </c>
      <c r="F613" s="3">
        <v>2</v>
      </c>
      <c r="G613" s="1" t="s">
        <v>163</v>
      </c>
    </row>
    <row r="614" spans="1:8" x14ac:dyDescent="0.3">
      <c r="A614" s="21">
        <f t="shared" si="9"/>
        <v>1</v>
      </c>
      <c r="B614" s="2">
        <v>46111</v>
      </c>
      <c r="C614" s="2" t="s">
        <v>54</v>
      </c>
      <c r="D614" s="44" t="s">
        <v>57</v>
      </c>
      <c r="E614" s="22" t="str">
        <f>IF(D614&lt;&gt;"",IFERROR(INDEX(Produtos!$C$4:$C$4996,MATCH(D614,Produtos!$B$4:$B$4996,0)),"Produto não encontrado"),"")</f>
        <v>TUBO PEAD ESGOTO D 355</v>
      </c>
      <c r="F614" s="3">
        <v>27</v>
      </c>
      <c r="G614" s="1" t="s">
        <v>176</v>
      </c>
    </row>
    <row r="615" spans="1:8" x14ac:dyDescent="0.3">
      <c r="A615" s="21">
        <f t="shared" si="9"/>
        <v>1</v>
      </c>
      <c r="B615" s="2">
        <v>46111</v>
      </c>
      <c r="C615" s="2" t="s">
        <v>54</v>
      </c>
      <c r="D615" s="44" t="s">
        <v>63</v>
      </c>
      <c r="E615" s="22" t="str">
        <f>IF(D615&lt;&gt;"",IFERROR(INDEX(Produtos!$C$4:$C$4996,MATCH(D615,Produtos!$B$4:$B$4996,0)),"Produto não encontrado"),"")</f>
        <v>TUBO ESGOTO PVC DN 200</v>
      </c>
      <c r="F615" s="3">
        <v>3</v>
      </c>
      <c r="G615" s="1" t="s">
        <v>171</v>
      </c>
    </row>
    <row r="616" spans="1:8" x14ac:dyDescent="0.3">
      <c r="A616" s="21">
        <f t="shared" si="9"/>
        <v>1</v>
      </c>
      <c r="B616" s="2">
        <v>46111</v>
      </c>
      <c r="C616" s="2" t="s">
        <v>54</v>
      </c>
      <c r="D616" s="44" t="s">
        <v>73</v>
      </c>
      <c r="E616" s="22" t="str">
        <f>IF(D616&lt;&gt;"",IFERROR(INDEX(Produtos!$C$4:$C$4996,MATCH(D616,Produtos!$B$4:$B$4996,0)),"Produto não encontrado"),"")</f>
        <v>PARAFUSO SEXTAVADA 5/8</v>
      </c>
      <c r="F616" s="3">
        <v>400</v>
      </c>
      <c r="G616" s="1" t="s">
        <v>170</v>
      </c>
    </row>
    <row r="617" spans="1:8" x14ac:dyDescent="0.3">
      <c r="A617" s="21">
        <f t="shared" si="9"/>
        <v>1</v>
      </c>
      <c r="B617" s="2">
        <v>46111</v>
      </c>
      <c r="C617" s="2" t="s">
        <v>54</v>
      </c>
      <c r="D617" s="44" t="s">
        <v>74</v>
      </c>
      <c r="E617" s="22" t="str">
        <f>IF(D617&lt;&gt;"",IFERROR(INDEX(Produtos!$C$4:$C$4996,MATCH(D617,Produtos!$B$4:$B$4996,0)),"Produto não encontrado"),"")</f>
        <v xml:space="preserve">PARAFUSO QUADRADO 5/8 </v>
      </c>
      <c r="F617" s="3">
        <v>400</v>
      </c>
      <c r="G617" s="1" t="s">
        <v>170</v>
      </c>
    </row>
    <row r="618" spans="1:8" x14ac:dyDescent="0.3">
      <c r="A618" s="21">
        <f t="shared" si="9"/>
        <v>1</v>
      </c>
      <c r="B618" s="2">
        <v>46111</v>
      </c>
      <c r="C618" s="2" t="s">
        <v>54</v>
      </c>
      <c r="D618" s="44" t="s">
        <v>75</v>
      </c>
      <c r="E618" s="22" t="str">
        <f>IF(D618&lt;&gt;"",IFERROR(INDEX(Produtos!$C$4:$C$4996,MATCH(D618,Produtos!$B$4:$B$4996,0)),"Produto não encontrado"),"")</f>
        <v>PORCA SEXTAVADA 5/8</v>
      </c>
      <c r="F618" s="3">
        <v>800</v>
      </c>
      <c r="G618" s="1" t="s">
        <v>170</v>
      </c>
    </row>
    <row r="619" spans="1:8" x14ac:dyDescent="0.3">
      <c r="A619" s="21">
        <f t="shared" si="9"/>
        <v>1</v>
      </c>
      <c r="B619" s="2">
        <v>46111</v>
      </c>
      <c r="C619" s="2" t="s">
        <v>54</v>
      </c>
      <c r="D619" s="44" t="s">
        <v>66</v>
      </c>
      <c r="E619" s="22" t="str">
        <f>IF(D619&lt;&gt;"",IFERROR(INDEX(Produtos!$C$4:$C$4996,MATCH(D619,Produtos!$B$4:$B$4996,0)),"Produto não encontrado"),"")</f>
        <v>CHAPA ARMICO</v>
      </c>
      <c r="F619" s="3">
        <v>10</v>
      </c>
      <c r="G619" s="1" t="s">
        <v>170</v>
      </c>
    </row>
    <row r="620" spans="1:8" x14ac:dyDescent="0.3">
      <c r="A620" s="21">
        <f t="shared" si="9"/>
        <v>2</v>
      </c>
      <c r="B620" s="2">
        <v>46111</v>
      </c>
      <c r="C620" s="2" t="s">
        <v>28</v>
      </c>
      <c r="D620" s="44" t="s">
        <v>66</v>
      </c>
      <c r="E620" s="22" t="str">
        <f>IF(D620&lt;&gt;"",IFERROR(INDEX(Produtos!$C$4:$C$4996,MATCH(D620,Produtos!$B$4:$B$4996,0)),"Produto não encontrado"),"")</f>
        <v>CHAPA ARMICO</v>
      </c>
      <c r="F620" s="3">
        <v>80</v>
      </c>
      <c r="H620" s="1" t="s">
        <v>196</v>
      </c>
    </row>
    <row r="621" spans="1:8" x14ac:dyDescent="0.3">
      <c r="A621" s="21">
        <f t="shared" si="9"/>
        <v>1</v>
      </c>
      <c r="B621" s="2">
        <v>46111</v>
      </c>
      <c r="C621" s="2" t="s">
        <v>54</v>
      </c>
      <c r="D621" s="44" t="s">
        <v>66</v>
      </c>
      <c r="E621" s="22" t="str">
        <f>IF(D621&lt;&gt;"",IFERROR(INDEX(Produtos!$C$4:$C$4996,MATCH(D621,Produtos!$B$4:$B$4996,0)),"Produto não encontrado"),"")</f>
        <v>CHAPA ARMICO</v>
      </c>
      <c r="F621" s="3">
        <v>80</v>
      </c>
      <c r="G621" s="1" t="s">
        <v>170</v>
      </c>
      <c r="H621" s="1" t="s">
        <v>237</v>
      </c>
    </row>
    <row r="622" spans="1:8" x14ac:dyDescent="0.3">
      <c r="A622" s="21">
        <f t="shared" si="9"/>
        <v>2</v>
      </c>
      <c r="B622" s="2">
        <v>46111</v>
      </c>
      <c r="C622" s="2" t="s">
        <v>28</v>
      </c>
      <c r="D622" s="44" t="s">
        <v>77</v>
      </c>
      <c r="E622" s="22" t="str">
        <f>IF(D622&lt;&gt;"",IFERROR(INDEX(Produtos!$C$4:$C$4996,MATCH(D622,Produtos!$B$4:$B$4996,0)),"Produto não encontrado"),"")</f>
        <v>ADUELA  DE 1500</v>
      </c>
      <c r="F622" s="3">
        <v>1</v>
      </c>
      <c r="G622" s="1" t="s">
        <v>160</v>
      </c>
    </row>
    <row r="623" spans="1:8" x14ac:dyDescent="0.3">
      <c r="A623" s="21">
        <f t="shared" si="9"/>
        <v>1</v>
      </c>
      <c r="B623" s="2">
        <v>46111</v>
      </c>
      <c r="C623" s="2" t="s">
        <v>54</v>
      </c>
      <c r="D623" s="44" t="s">
        <v>75</v>
      </c>
      <c r="E623" s="22" t="str">
        <f>IF(D623&lt;&gt;"",IFERROR(INDEX(Produtos!$C$4:$C$4996,MATCH(D623,Produtos!$B$4:$B$4996,0)),"Produto não encontrado"),"")</f>
        <v>PORCA SEXTAVADA 5/8</v>
      </c>
      <c r="F623" s="3">
        <v>400</v>
      </c>
      <c r="G623" s="1" t="s">
        <v>169</v>
      </c>
    </row>
    <row r="624" spans="1:8" x14ac:dyDescent="0.3">
      <c r="A624" s="21">
        <f t="shared" si="9"/>
        <v>1</v>
      </c>
      <c r="B624" s="2">
        <v>46111</v>
      </c>
      <c r="C624" s="2" t="s">
        <v>54</v>
      </c>
      <c r="D624" s="44" t="s">
        <v>67</v>
      </c>
      <c r="E624" s="22" t="str">
        <f>IF(D624&lt;&gt;"",IFERROR(INDEX(Produtos!$C$4:$C$4996,MATCH(D624,Produtos!$B$4:$B$4996,0)),"Produto não encontrado"),"")</f>
        <v>BLOCO DE PV</v>
      </c>
      <c r="F624" s="3">
        <v>20</v>
      </c>
      <c r="G624" s="1" t="s">
        <v>174</v>
      </c>
    </row>
    <row r="625" spans="1:8" x14ac:dyDescent="0.3">
      <c r="A625" s="21">
        <f t="shared" si="9"/>
        <v>1</v>
      </c>
      <c r="B625" s="2">
        <v>46111</v>
      </c>
      <c r="C625" s="2" t="s">
        <v>54</v>
      </c>
      <c r="D625" s="44" t="s">
        <v>22</v>
      </c>
      <c r="E625" s="22" t="str">
        <f>IF(D625&lt;&gt;"",IFERROR(INDEX(Produtos!$C$4:$C$4996,MATCH(D625,Produtos!$B$4:$B$4996,0)),"Produto não encontrado"),"")</f>
        <v>ADUELA DE 600</v>
      </c>
      <c r="F625" s="3">
        <v>3</v>
      </c>
      <c r="G625" s="1" t="s">
        <v>161</v>
      </c>
    </row>
    <row r="626" spans="1:8" x14ac:dyDescent="0.3">
      <c r="A626" s="21">
        <f t="shared" si="9"/>
        <v>1</v>
      </c>
      <c r="B626" s="2">
        <v>46111</v>
      </c>
      <c r="C626" s="2" t="s">
        <v>54</v>
      </c>
      <c r="D626" s="44" t="s">
        <v>55</v>
      </c>
      <c r="E626" s="22" t="str">
        <f>IF(D626&lt;&gt;"",IFERROR(INDEX(Produtos!$C$4:$C$4996,MATCH(D626,Produtos!$B$4:$B$4996,0)),"Produto não encontrado"),"")</f>
        <v>LAJE INFERIOR DE 600</v>
      </c>
      <c r="F626" s="3">
        <v>1</v>
      </c>
      <c r="G626" s="1" t="s">
        <v>161</v>
      </c>
    </row>
    <row r="627" spans="1:8" x14ac:dyDescent="0.3">
      <c r="A627" s="21">
        <f t="shared" si="9"/>
        <v>1</v>
      </c>
      <c r="B627" s="2">
        <v>46112</v>
      </c>
      <c r="C627" s="2" t="s">
        <v>54</v>
      </c>
      <c r="D627" s="44" t="s">
        <v>21</v>
      </c>
      <c r="E627" s="22" t="str">
        <f>IF(D627&lt;&gt;"",IFERROR(INDEX(Produtos!$C$4:$C$4996,MATCH(D627,Produtos!$B$4:$B$4996,0)),"Produto não encontrado"),"")</f>
        <v>ADUELA DE 1000</v>
      </c>
      <c r="F627" s="3">
        <v>3</v>
      </c>
      <c r="G627" s="1" t="s">
        <v>173</v>
      </c>
    </row>
    <row r="628" spans="1:8" x14ac:dyDescent="0.3">
      <c r="A628" s="21">
        <f t="shared" si="9"/>
        <v>1</v>
      </c>
      <c r="B628" s="2">
        <v>46112</v>
      </c>
      <c r="C628" s="2" t="s">
        <v>54</v>
      </c>
      <c r="D628" s="44" t="s">
        <v>67</v>
      </c>
      <c r="E628" s="22" t="str">
        <f>IF(D628&lt;&gt;"",IFERROR(INDEX(Produtos!$C$4:$C$4996,MATCH(D628,Produtos!$B$4:$B$4996,0)),"Produto não encontrado"),"")</f>
        <v>BLOCO DE PV</v>
      </c>
      <c r="F628" s="3">
        <v>7</v>
      </c>
      <c r="G628" s="1" t="s">
        <v>161</v>
      </c>
    </row>
    <row r="629" spans="1:8" x14ac:dyDescent="0.3">
      <c r="A629" s="21">
        <f t="shared" si="9"/>
        <v>1</v>
      </c>
      <c r="B629" s="2">
        <v>46112</v>
      </c>
      <c r="C629" s="2" t="s">
        <v>54</v>
      </c>
      <c r="D629" s="44" t="s">
        <v>63</v>
      </c>
      <c r="E629" s="22" t="str">
        <f>IF(D629&lt;&gt;"",IFERROR(INDEX(Produtos!$C$4:$C$4996,MATCH(D629,Produtos!$B$4:$B$4996,0)),"Produto não encontrado"),"")</f>
        <v>TUBO ESGOTO PVC DN 200</v>
      </c>
      <c r="F629" s="3">
        <v>2</v>
      </c>
      <c r="G629" s="1" t="s">
        <v>166</v>
      </c>
    </row>
    <row r="630" spans="1:8" x14ac:dyDescent="0.3">
      <c r="A630" s="21">
        <f t="shared" si="9"/>
        <v>1</v>
      </c>
      <c r="B630" s="2">
        <v>46112</v>
      </c>
      <c r="C630" s="2" t="s">
        <v>54</v>
      </c>
      <c r="D630" s="44" t="s">
        <v>63</v>
      </c>
      <c r="E630" s="22" t="str">
        <f>IF(D630&lt;&gt;"",IFERROR(INDEX(Produtos!$C$4:$C$4996,MATCH(D630,Produtos!$B$4:$B$4996,0)),"Produto não encontrado"),"")</f>
        <v>TUBO ESGOTO PVC DN 200</v>
      </c>
      <c r="F630" s="3">
        <v>2</v>
      </c>
      <c r="G630" s="1" t="s">
        <v>204</v>
      </c>
    </row>
    <row r="631" spans="1:8" x14ac:dyDescent="0.3">
      <c r="A631" s="21">
        <f t="shared" si="9"/>
        <v>1</v>
      </c>
      <c r="B631" s="2">
        <v>46112</v>
      </c>
      <c r="C631" s="2" t="s">
        <v>54</v>
      </c>
      <c r="D631" s="44" t="s">
        <v>22</v>
      </c>
      <c r="E631" s="22" t="str">
        <f>IF(D631&lt;&gt;"",IFERROR(INDEX(Produtos!$C$4:$C$4996,MATCH(D631,Produtos!$B$4:$B$4996,0)),"Produto não encontrado"),"")</f>
        <v>ADUELA DE 600</v>
      </c>
      <c r="F631" s="3">
        <v>1</v>
      </c>
      <c r="G631" s="1" t="s">
        <v>173</v>
      </c>
    </row>
    <row r="632" spans="1:8" x14ac:dyDescent="0.3">
      <c r="A632" s="21">
        <f t="shared" si="9"/>
        <v>1</v>
      </c>
      <c r="B632" s="2">
        <v>46112</v>
      </c>
      <c r="C632" s="2" t="s">
        <v>54</v>
      </c>
      <c r="D632" s="44" t="s">
        <v>23</v>
      </c>
      <c r="E632" s="22" t="str">
        <f>IF(D632&lt;&gt;"",IFERROR(INDEX(Produtos!$C$4:$C$4996,MATCH(D632,Produtos!$B$4:$B$4996,0)),"Produto não encontrado"),"")</f>
        <v>LAJE INFERIOR DE 1000</v>
      </c>
      <c r="F632" s="3">
        <v>1</v>
      </c>
      <c r="G632" s="1" t="s">
        <v>173</v>
      </c>
    </row>
    <row r="633" spans="1:8" x14ac:dyDescent="0.3">
      <c r="A633" s="21">
        <f t="shared" si="9"/>
        <v>1</v>
      </c>
      <c r="B633" s="2">
        <v>46113</v>
      </c>
      <c r="C633" s="2" t="s">
        <v>54</v>
      </c>
      <c r="D633" s="44" t="s">
        <v>65</v>
      </c>
      <c r="E633" s="22" t="str">
        <f>IF(D633&lt;&gt;"",IFERROR(INDEX(Produtos!$C$4:$C$4996,MATCH(D633,Produtos!$B$4:$B$4996,0)),"Produto não encontrado"),"")</f>
        <v>TUBO ESGOTO PVC DN 100</v>
      </c>
      <c r="F633" s="3">
        <v>1</v>
      </c>
      <c r="G633" s="1" t="s">
        <v>161</v>
      </c>
    </row>
    <row r="634" spans="1:8" x14ac:dyDescent="0.3">
      <c r="A634" s="21">
        <f t="shared" si="9"/>
        <v>1</v>
      </c>
      <c r="B634" s="2">
        <v>46113</v>
      </c>
      <c r="C634" s="2" t="s">
        <v>54</v>
      </c>
      <c r="D634" s="44" t="s">
        <v>57</v>
      </c>
      <c r="E634" s="22" t="str">
        <f>IF(D634&lt;&gt;"",IFERROR(INDEX(Produtos!$C$4:$C$4996,MATCH(D634,Produtos!$B$4:$B$4996,0)),"Produto não encontrado"),"")</f>
        <v>TUBO PEAD ESGOTO D 355</v>
      </c>
      <c r="F634" s="3">
        <v>6</v>
      </c>
      <c r="G634" s="1" t="s">
        <v>163</v>
      </c>
    </row>
    <row r="635" spans="1:8" x14ac:dyDescent="0.3">
      <c r="A635" s="21">
        <f t="shared" si="9"/>
        <v>1</v>
      </c>
      <c r="B635" s="2">
        <v>46113</v>
      </c>
      <c r="C635" s="2" t="s">
        <v>54</v>
      </c>
      <c r="D635" s="44" t="s">
        <v>63</v>
      </c>
      <c r="E635" s="22" t="str">
        <f>IF(D635&lt;&gt;"",IFERROR(INDEX(Produtos!$C$4:$C$4996,MATCH(D635,Produtos!$B$4:$B$4996,0)),"Produto não encontrado"),"")</f>
        <v>TUBO ESGOTO PVC DN 200</v>
      </c>
      <c r="F635" s="3">
        <v>3</v>
      </c>
      <c r="G635" s="1" t="s">
        <v>175</v>
      </c>
    </row>
    <row r="636" spans="1:8" x14ac:dyDescent="0.3">
      <c r="A636" s="21">
        <f t="shared" si="9"/>
        <v>2</v>
      </c>
      <c r="B636" s="2">
        <v>46113</v>
      </c>
      <c r="C636" s="2" t="s">
        <v>28</v>
      </c>
      <c r="D636" s="44" t="s">
        <v>66</v>
      </c>
      <c r="E636" s="22" t="str">
        <f>IF(D636&lt;&gt;"",IFERROR(INDEX(Produtos!$C$4:$C$4996,MATCH(D636,Produtos!$B$4:$B$4996,0)),"Produto não encontrado"),"")</f>
        <v>CHAPA ARMICO</v>
      </c>
      <c r="F636" s="3">
        <v>35</v>
      </c>
      <c r="H636" s="1" t="s">
        <v>196</v>
      </c>
    </row>
    <row r="637" spans="1:8" x14ac:dyDescent="0.3">
      <c r="A637" s="21">
        <f t="shared" si="9"/>
        <v>1</v>
      </c>
      <c r="B637" s="2">
        <v>46113</v>
      </c>
      <c r="C637" s="2" t="s">
        <v>54</v>
      </c>
      <c r="D637" s="44" t="s">
        <v>66</v>
      </c>
      <c r="E637" s="22" t="str">
        <f>IF(D637&lt;&gt;"",IFERROR(INDEX(Produtos!$C$4:$C$4996,MATCH(D637,Produtos!$B$4:$B$4996,0)),"Produto não encontrado"),"")</f>
        <v>CHAPA ARMICO</v>
      </c>
      <c r="F637" s="3">
        <v>35</v>
      </c>
      <c r="G637" s="1" t="s">
        <v>169</v>
      </c>
      <c r="H637" s="1" t="s">
        <v>237</v>
      </c>
    </row>
    <row r="638" spans="1:8" x14ac:dyDescent="0.3">
      <c r="A638" s="21">
        <f t="shared" si="9"/>
        <v>2</v>
      </c>
      <c r="B638" s="2">
        <v>46113</v>
      </c>
      <c r="C638" s="2" t="s">
        <v>28</v>
      </c>
      <c r="D638" s="44" t="s">
        <v>66</v>
      </c>
      <c r="E638" s="22" t="str">
        <f>IF(D638&lt;&gt;"",IFERROR(INDEX(Produtos!$C$4:$C$4996,MATCH(D638,Produtos!$B$4:$B$4996,0)),"Produto não encontrado"),"")</f>
        <v>CHAPA ARMICO</v>
      </c>
      <c r="F638" s="3">
        <v>35</v>
      </c>
      <c r="H638" s="1" t="s">
        <v>196</v>
      </c>
    </row>
    <row r="639" spans="1:8" x14ac:dyDescent="0.3">
      <c r="A639" s="21">
        <f t="shared" si="9"/>
        <v>1</v>
      </c>
      <c r="B639" s="2">
        <v>46113</v>
      </c>
      <c r="C639" s="2" t="s">
        <v>54</v>
      </c>
      <c r="D639" s="44" t="s">
        <v>66</v>
      </c>
      <c r="E639" s="22" t="str">
        <f>IF(D639&lt;&gt;"",IFERROR(INDEX(Produtos!$C$4:$C$4996,MATCH(D639,Produtos!$B$4:$B$4996,0)),"Produto não encontrado"),"")</f>
        <v>CHAPA ARMICO</v>
      </c>
      <c r="F639" s="3">
        <v>35</v>
      </c>
      <c r="G639" s="1" t="s">
        <v>163</v>
      </c>
      <c r="H639" s="1" t="s">
        <v>237</v>
      </c>
    </row>
    <row r="640" spans="1:8" x14ac:dyDescent="0.3">
      <c r="A640" s="21">
        <f t="shared" ref="A640:A703" si="10">IF(C640="Entrada",2,IF(C640="Saída",1,"."))</f>
        <v>2</v>
      </c>
      <c r="B640" s="2">
        <v>46113</v>
      </c>
      <c r="C640" s="2" t="s">
        <v>28</v>
      </c>
      <c r="D640" s="44" t="s">
        <v>78</v>
      </c>
      <c r="E640" s="22" t="str">
        <f>IF(D640&lt;&gt;"",IFERROR(INDEX(Produtos!$C$4:$C$4996,MATCH(D640,Produtos!$B$4:$B$4996,0)),"Produto não encontrado"),"")</f>
        <v>ADUELA  DE 2,00 x 2,00</v>
      </c>
      <c r="F640" s="3">
        <v>2</v>
      </c>
      <c r="G640" s="1" t="s">
        <v>238</v>
      </c>
    </row>
    <row r="641" spans="1:7" x14ac:dyDescent="0.3">
      <c r="A641" s="21">
        <f t="shared" si="10"/>
        <v>1</v>
      </c>
      <c r="B641" s="2">
        <v>46113</v>
      </c>
      <c r="C641" s="2" t="s">
        <v>54</v>
      </c>
      <c r="D641" s="44" t="s">
        <v>65</v>
      </c>
      <c r="E641" s="22" t="str">
        <f>IF(D641&lt;&gt;"",IFERROR(INDEX(Produtos!$C$4:$C$4996,MATCH(D641,Produtos!$B$4:$B$4996,0)),"Produto não encontrado"),"")</f>
        <v>TUBO ESGOTO PVC DN 100</v>
      </c>
      <c r="F641" s="3">
        <v>7</v>
      </c>
      <c r="G641" s="1" t="s">
        <v>232</v>
      </c>
    </row>
    <row r="642" spans="1:7" x14ac:dyDescent="0.3">
      <c r="A642" s="21">
        <f t="shared" si="10"/>
        <v>1</v>
      </c>
      <c r="B642" s="2">
        <v>46113</v>
      </c>
      <c r="C642" s="2" t="s">
        <v>54</v>
      </c>
      <c r="D642" s="44" t="s">
        <v>69</v>
      </c>
      <c r="E642" s="22" t="str">
        <f>IF(D642&lt;&gt;"",IFERROR(INDEX(Produtos!$C$4:$C$4996,MATCH(D642,Produtos!$B$4:$B$4996,0)),"Produto não encontrado"),"")</f>
        <v>GUIA</v>
      </c>
      <c r="F642" s="3">
        <v>7</v>
      </c>
      <c r="G642" s="1" t="s">
        <v>161</v>
      </c>
    </row>
    <row r="643" spans="1:7" x14ac:dyDescent="0.3">
      <c r="A643" s="21">
        <f t="shared" si="10"/>
        <v>1</v>
      </c>
      <c r="B643" s="2">
        <v>46114</v>
      </c>
      <c r="C643" s="2" t="s">
        <v>54</v>
      </c>
      <c r="D643" s="44" t="s">
        <v>63</v>
      </c>
      <c r="E643" s="22" t="str">
        <f>IF(D643&lt;&gt;"",IFERROR(INDEX(Produtos!$C$4:$C$4996,MATCH(D643,Produtos!$B$4:$B$4996,0)),"Produto não encontrado"),"")</f>
        <v>TUBO ESGOTO PVC DN 200</v>
      </c>
      <c r="F643" s="3">
        <v>1</v>
      </c>
      <c r="G643" s="1" t="s">
        <v>232</v>
      </c>
    </row>
    <row r="644" spans="1:7" x14ac:dyDescent="0.3">
      <c r="A644" s="21">
        <f t="shared" si="10"/>
        <v>1</v>
      </c>
      <c r="B644" s="2">
        <v>46114</v>
      </c>
      <c r="C644" s="2" t="s">
        <v>54</v>
      </c>
      <c r="D644" s="44" t="s">
        <v>21</v>
      </c>
      <c r="E644" s="22" t="str">
        <f>IF(D644&lt;&gt;"",IFERROR(INDEX(Produtos!$C$4:$C$4996,MATCH(D644,Produtos!$B$4:$B$4996,0)),"Produto não encontrado"),"")</f>
        <v>ADUELA DE 1000</v>
      </c>
      <c r="F644" s="3">
        <v>1</v>
      </c>
      <c r="G644" s="1" t="s">
        <v>204</v>
      </c>
    </row>
    <row r="645" spans="1:7" x14ac:dyDescent="0.3">
      <c r="A645" s="21">
        <f t="shared" si="10"/>
        <v>1</v>
      </c>
      <c r="B645" s="2">
        <v>46114</v>
      </c>
      <c r="C645" s="2" t="s">
        <v>54</v>
      </c>
      <c r="D645" s="44" t="s">
        <v>23</v>
      </c>
      <c r="E645" s="22" t="str">
        <f>IF(D645&lt;&gt;"",IFERROR(INDEX(Produtos!$C$4:$C$4996,MATCH(D645,Produtos!$B$4:$B$4996,0)),"Produto não encontrado"),"")</f>
        <v>LAJE INFERIOR DE 1000</v>
      </c>
      <c r="F645" s="3">
        <v>1</v>
      </c>
      <c r="G645" s="1" t="s">
        <v>204</v>
      </c>
    </row>
    <row r="646" spans="1:7" x14ac:dyDescent="0.3">
      <c r="A646" s="21">
        <f t="shared" si="10"/>
        <v>1</v>
      </c>
      <c r="B646" s="2">
        <v>46114</v>
      </c>
      <c r="C646" s="2" t="s">
        <v>54</v>
      </c>
      <c r="D646" s="44" t="s">
        <v>65</v>
      </c>
      <c r="E646" s="22" t="str">
        <f>IF(D646&lt;&gt;"",IFERROR(INDEX(Produtos!$C$4:$C$4996,MATCH(D646,Produtos!$B$4:$B$4996,0)),"Produto não encontrado"),"")</f>
        <v>TUBO ESGOTO PVC DN 100</v>
      </c>
      <c r="F646" s="3">
        <v>2</v>
      </c>
      <c r="G646" s="1" t="s">
        <v>171</v>
      </c>
    </row>
    <row r="647" spans="1:7" x14ac:dyDescent="0.3">
      <c r="A647" s="21">
        <f t="shared" si="10"/>
        <v>1</v>
      </c>
      <c r="B647" s="2">
        <v>46114</v>
      </c>
      <c r="C647" s="2" t="s">
        <v>54</v>
      </c>
      <c r="D647" s="44" t="s">
        <v>63</v>
      </c>
      <c r="E647" s="22" t="str">
        <f>IF(D647&lt;&gt;"",IFERROR(INDEX(Produtos!$C$4:$C$4996,MATCH(D647,Produtos!$B$4:$B$4996,0)),"Produto não encontrado"),"")</f>
        <v>TUBO ESGOTO PVC DN 200</v>
      </c>
      <c r="F647" s="3">
        <v>3</v>
      </c>
      <c r="G647" s="1" t="s">
        <v>171</v>
      </c>
    </row>
    <row r="648" spans="1:7" x14ac:dyDescent="0.3">
      <c r="A648" s="21">
        <f t="shared" si="10"/>
        <v>1</v>
      </c>
      <c r="B648" s="2">
        <v>46114</v>
      </c>
      <c r="C648" s="2" t="s">
        <v>54</v>
      </c>
      <c r="D648" s="44" t="s">
        <v>63</v>
      </c>
      <c r="E648" s="22" t="str">
        <f>IF(D648&lt;&gt;"",IFERROR(INDEX(Produtos!$C$4:$C$4996,MATCH(D648,Produtos!$B$4:$B$4996,0)),"Produto não encontrado"),"")</f>
        <v>TUBO ESGOTO PVC DN 200</v>
      </c>
      <c r="F648" s="3">
        <v>1</v>
      </c>
      <c r="G648" s="1" t="s">
        <v>166</v>
      </c>
    </row>
    <row r="649" spans="1:7" x14ac:dyDescent="0.3">
      <c r="A649" s="21">
        <f t="shared" si="10"/>
        <v>1</v>
      </c>
      <c r="B649" s="2">
        <v>46114</v>
      </c>
      <c r="C649" s="2" t="s">
        <v>54</v>
      </c>
      <c r="D649" s="44" t="s">
        <v>69</v>
      </c>
      <c r="E649" s="22" t="str">
        <f>IF(D649&lt;&gt;"",IFERROR(INDEX(Produtos!$C$4:$C$4996,MATCH(D649,Produtos!$B$4:$B$4996,0)),"Produto não encontrado"),"")</f>
        <v>GUIA</v>
      </c>
      <c r="F649" s="3">
        <v>4</v>
      </c>
      <c r="G649" s="1" t="s">
        <v>180</v>
      </c>
    </row>
    <row r="650" spans="1:7" x14ac:dyDescent="0.3">
      <c r="A650" s="21">
        <f t="shared" si="10"/>
        <v>2</v>
      </c>
      <c r="B650" s="2">
        <v>46118</v>
      </c>
      <c r="C650" s="2" t="s">
        <v>28</v>
      </c>
      <c r="D650" s="44" t="s">
        <v>21</v>
      </c>
      <c r="E650" s="22" t="str">
        <f>IF(D650&lt;&gt;"",IFERROR(INDEX(Produtos!$C$4:$C$4996,MATCH(D650,Produtos!$B$4:$B$4996,0)),"Produto não encontrado"),"")</f>
        <v>ADUELA DE 1000</v>
      </c>
      <c r="F650" s="3">
        <v>40</v>
      </c>
      <c r="G650" s="1" t="s">
        <v>185</v>
      </c>
    </row>
    <row r="651" spans="1:7" x14ac:dyDescent="0.3">
      <c r="A651" s="21">
        <f t="shared" si="10"/>
        <v>1</v>
      </c>
      <c r="B651" s="2">
        <v>46118</v>
      </c>
      <c r="C651" s="2" t="s">
        <v>54</v>
      </c>
      <c r="D651" s="44" t="s">
        <v>71</v>
      </c>
      <c r="E651" s="22" t="str">
        <f>IF(D651&lt;&gt;"",IFERROR(INDEX(Produtos!$C$4:$C$4996,MATCH(D651,Produtos!$B$4:$B$4996,0)),"Produto não encontrado"),"")</f>
        <v>LAJE PRE MONTADA / TAMPÃO DN 600</v>
      </c>
      <c r="F651" s="3">
        <v>1</v>
      </c>
      <c r="G651" s="1" t="s">
        <v>163</v>
      </c>
    </row>
    <row r="652" spans="1:7" x14ac:dyDescent="0.3">
      <c r="A652" s="21">
        <f t="shared" si="10"/>
        <v>1</v>
      </c>
      <c r="B652" s="2">
        <v>46118</v>
      </c>
      <c r="C652" s="2" t="s">
        <v>54</v>
      </c>
      <c r="D652" s="44" t="s">
        <v>63</v>
      </c>
      <c r="E652" s="22" t="str">
        <f>IF(D652&lt;&gt;"",IFERROR(INDEX(Produtos!$C$4:$C$4996,MATCH(D652,Produtos!$B$4:$B$4996,0)),"Produto não encontrado"),"")</f>
        <v>TUBO ESGOTO PVC DN 200</v>
      </c>
      <c r="F652" s="3">
        <v>2</v>
      </c>
      <c r="G652" s="1" t="s">
        <v>166</v>
      </c>
    </row>
    <row r="653" spans="1:7" x14ac:dyDescent="0.3">
      <c r="A653" s="21">
        <f t="shared" si="10"/>
        <v>1</v>
      </c>
      <c r="B653" s="2">
        <v>46118</v>
      </c>
      <c r="C653" s="2" t="s">
        <v>54</v>
      </c>
      <c r="D653" s="44" t="s">
        <v>65</v>
      </c>
      <c r="E653" s="22" t="str">
        <f>IF(D653&lt;&gt;"",IFERROR(INDEX(Produtos!$C$4:$C$4996,MATCH(D653,Produtos!$B$4:$B$4996,0)),"Produto não encontrado"),"")</f>
        <v>TUBO ESGOTO PVC DN 100</v>
      </c>
      <c r="F653" s="3">
        <v>1</v>
      </c>
      <c r="G653" s="1" t="s">
        <v>166</v>
      </c>
    </row>
    <row r="654" spans="1:7" x14ac:dyDescent="0.3">
      <c r="A654" s="21">
        <f t="shared" si="10"/>
        <v>1</v>
      </c>
      <c r="B654" s="2">
        <v>46118</v>
      </c>
      <c r="C654" s="2" t="s">
        <v>54</v>
      </c>
      <c r="D654" s="44" t="s">
        <v>73</v>
      </c>
      <c r="E654" s="22" t="str">
        <f>IF(D654&lt;&gt;"",IFERROR(INDEX(Produtos!$C$4:$C$4996,MATCH(D654,Produtos!$B$4:$B$4996,0)),"Produto não encontrado"),"")</f>
        <v>PARAFUSO SEXTAVADA 5/8</v>
      </c>
      <c r="F654" s="3">
        <v>200</v>
      </c>
      <c r="G654" s="1" t="s">
        <v>169</v>
      </c>
    </row>
    <row r="655" spans="1:7" x14ac:dyDescent="0.3">
      <c r="A655" s="21">
        <f t="shared" si="10"/>
        <v>1</v>
      </c>
      <c r="B655" s="2">
        <v>46118</v>
      </c>
      <c r="C655" s="2" t="s">
        <v>54</v>
      </c>
      <c r="D655" s="44" t="s">
        <v>74</v>
      </c>
      <c r="E655" s="22" t="str">
        <f>IF(D655&lt;&gt;"",IFERROR(INDEX(Produtos!$C$4:$C$4996,MATCH(D655,Produtos!$B$4:$B$4996,0)),"Produto não encontrado"),"")</f>
        <v xml:space="preserve">PARAFUSO QUADRADO 5/8 </v>
      </c>
      <c r="F655" s="3">
        <v>200</v>
      </c>
      <c r="G655" s="1" t="s">
        <v>169</v>
      </c>
    </row>
    <row r="656" spans="1:7" x14ac:dyDescent="0.3">
      <c r="A656" s="21">
        <f t="shared" si="10"/>
        <v>1</v>
      </c>
      <c r="B656" s="2">
        <v>46118</v>
      </c>
      <c r="C656" s="2" t="s">
        <v>54</v>
      </c>
      <c r="D656" s="44" t="s">
        <v>75</v>
      </c>
      <c r="E656" s="22" t="str">
        <f>IF(D656&lt;&gt;"",IFERROR(INDEX(Produtos!$C$4:$C$4996,MATCH(D656,Produtos!$B$4:$B$4996,0)),"Produto não encontrado"),"")</f>
        <v>PORCA SEXTAVADA 5/8</v>
      </c>
      <c r="F656" s="3">
        <v>200</v>
      </c>
      <c r="G656" s="1" t="s">
        <v>169</v>
      </c>
    </row>
    <row r="657" spans="1:8" x14ac:dyDescent="0.3">
      <c r="A657" s="21">
        <f t="shared" si="10"/>
        <v>1</v>
      </c>
      <c r="B657" s="2">
        <v>46118</v>
      </c>
      <c r="C657" s="2" t="s">
        <v>54</v>
      </c>
      <c r="D657" s="44" t="s">
        <v>73</v>
      </c>
      <c r="E657" s="22" t="str">
        <f>IF(D657&lt;&gt;"",IFERROR(INDEX(Produtos!$C$4:$C$4996,MATCH(D657,Produtos!$B$4:$B$4996,0)),"Produto não encontrado"),"")</f>
        <v>PARAFUSO SEXTAVADA 5/8</v>
      </c>
      <c r="F657" s="3">
        <v>200</v>
      </c>
      <c r="G657" s="1" t="s">
        <v>175</v>
      </c>
    </row>
    <row r="658" spans="1:8" x14ac:dyDescent="0.3">
      <c r="A658" s="21">
        <f t="shared" si="10"/>
        <v>1</v>
      </c>
      <c r="B658" s="2">
        <v>46118</v>
      </c>
      <c r="C658" s="2" t="s">
        <v>54</v>
      </c>
      <c r="D658" s="44" t="s">
        <v>75</v>
      </c>
      <c r="E658" s="22" t="str">
        <f>IF(D658&lt;&gt;"",IFERROR(INDEX(Produtos!$C$4:$C$4996,MATCH(D658,Produtos!$B$4:$B$4996,0)),"Produto não encontrado"),"")</f>
        <v>PORCA SEXTAVADA 5/8</v>
      </c>
      <c r="F658" s="3">
        <v>400</v>
      </c>
      <c r="G658" s="1" t="s">
        <v>175</v>
      </c>
    </row>
    <row r="659" spans="1:8" x14ac:dyDescent="0.3">
      <c r="A659" s="21">
        <f t="shared" si="10"/>
        <v>1</v>
      </c>
      <c r="B659" s="2">
        <v>46118</v>
      </c>
      <c r="C659" s="2" t="s">
        <v>54</v>
      </c>
      <c r="D659" s="44" t="s">
        <v>21</v>
      </c>
      <c r="E659" s="22" t="str">
        <f>IF(D659&lt;&gt;"",IFERROR(INDEX(Produtos!$C$4:$C$4996,MATCH(D659,Produtos!$B$4:$B$4996,0)),"Produto não encontrado"),"")</f>
        <v>ADUELA DE 1000</v>
      </c>
      <c r="F659" s="3">
        <v>1</v>
      </c>
      <c r="G659" s="1" t="s">
        <v>204</v>
      </c>
    </row>
    <row r="660" spans="1:8" x14ac:dyDescent="0.3">
      <c r="A660" s="21">
        <f t="shared" si="10"/>
        <v>1</v>
      </c>
      <c r="B660" s="2">
        <v>46118</v>
      </c>
      <c r="C660" s="2" t="s">
        <v>54</v>
      </c>
      <c r="D660" s="44" t="s">
        <v>56</v>
      </c>
      <c r="E660" s="22" t="str">
        <f>IF(D660&lt;&gt;"",IFERROR(INDEX(Produtos!$C$4:$C$4996,MATCH(D660,Produtos!$B$4:$B$4996,0)),"Produto não encontrado"),"")</f>
        <v>LAJE SURPERIOR DE 1000</v>
      </c>
      <c r="F660" s="3">
        <v>1</v>
      </c>
      <c r="G660" s="1" t="s">
        <v>204</v>
      </c>
    </row>
    <row r="661" spans="1:8" x14ac:dyDescent="0.3">
      <c r="A661" s="21">
        <f t="shared" si="10"/>
        <v>1</v>
      </c>
      <c r="B661" s="2">
        <v>46118</v>
      </c>
      <c r="C661" s="2" t="s">
        <v>54</v>
      </c>
      <c r="D661" s="44" t="s">
        <v>21</v>
      </c>
      <c r="E661" s="22" t="str">
        <f>IF(D661&lt;&gt;"",IFERROR(INDEX(Produtos!$C$4:$C$4996,MATCH(D661,Produtos!$B$4:$B$4996,0)),"Produto não encontrado"),"")</f>
        <v>ADUELA DE 1000</v>
      </c>
      <c r="F661" s="3">
        <v>1</v>
      </c>
      <c r="G661" s="1" t="s">
        <v>171</v>
      </c>
    </row>
    <row r="662" spans="1:8" x14ac:dyDescent="0.3">
      <c r="A662" s="21">
        <f t="shared" si="10"/>
        <v>1</v>
      </c>
      <c r="B662" s="2">
        <v>46118</v>
      </c>
      <c r="C662" s="2" t="s">
        <v>54</v>
      </c>
      <c r="D662" s="44" t="s">
        <v>56</v>
      </c>
      <c r="E662" s="22" t="str">
        <f>IF(D662&lt;&gt;"",IFERROR(INDEX(Produtos!$C$4:$C$4996,MATCH(D662,Produtos!$B$4:$B$4996,0)),"Produto não encontrado"),"")</f>
        <v>LAJE SURPERIOR DE 1000</v>
      </c>
      <c r="F662" s="3">
        <v>1</v>
      </c>
      <c r="G662" s="1" t="s">
        <v>171</v>
      </c>
    </row>
    <row r="663" spans="1:8" x14ac:dyDescent="0.3">
      <c r="A663" s="21">
        <f t="shared" si="10"/>
        <v>1</v>
      </c>
      <c r="B663" s="2">
        <v>46118</v>
      </c>
      <c r="C663" s="2" t="s">
        <v>54</v>
      </c>
      <c r="D663" s="44" t="s">
        <v>23</v>
      </c>
      <c r="E663" s="22" t="str">
        <f>IF(D663&lt;&gt;"",IFERROR(INDEX(Produtos!$C$4:$C$4996,MATCH(D663,Produtos!$B$4:$B$4996,0)),"Produto não encontrado"),"")</f>
        <v>LAJE INFERIOR DE 1000</v>
      </c>
      <c r="F663" s="3">
        <v>1</v>
      </c>
      <c r="G663" s="1" t="s">
        <v>171</v>
      </c>
    </row>
    <row r="664" spans="1:8" x14ac:dyDescent="0.3">
      <c r="A664" s="21">
        <f t="shared" si="10"/>
        <v>1</v>
      </c>
      <c r="B664" s="2">
        <v>46118</v>
      </c>
      <c r="C664" s="2" t="s">
        <v>54</v>
      </c>
      <c r="D664" s="44" t="s">
        <v>63</v>
      </c>
      <c r="E664" s="22" t="str">
        <f>IF(D664&lt;&gt;"",IFERROR(INDEX(Produtos!$C$4:$C$4996,MATCH(D664,Produtos!$B$4:$B$4996,0)),"Produto não encontrado"),"")</f>
        <v>TUBO ESGOTO PVC DN 200</v>
      </c>
      <c r="F664" s="3">
        <v>2</v>
      </c>
      <c r="G664" s="1" t="s">
        <v>171</v>
      </c>
    </row>
    <row r="665" spans="1:8" x14ac:dyDescent="0.3">
      <c r="A665" s="21">
        <f t="shared" si="10"/>
        <v>1</v>
      </c>
      <c r="B665" s="2">
        <v>46118</v>
      </c>
      <c r="C665" s="2" t="s">
        <v>54</v>
      </c>
      <c r="D665" s="44" t="s">
        <v>65</v>
      </c>
      <c r="E665" s="22" t="str">
        <f>IF(D665&lt;&gt;"",IFERROR(INDEX(Produtos!$C$4:$C$4996,MATCH(D665,Produtos!$B$4:$B$4996,0)),"Produto não encontrado"),"")</f>
        <v>TUBO ESGOTO PVC DN 100</v>
      </c>
      <c r="F665" s="3">
        <v>1</v>
      </c>
      <c r="G665" s="1" t="s">
        <v>171</v>
      </c>
    </row>
    <row r="666" spans="1:8" x14ac:dyDescent="0.3">
      <c r="A666" s="21">
        <f t="shared" si="10"/>
        <v>2</v>
      </c>
      <c r="B666" s="2">
        <v>46118</v>
      </c>
      <c r="C666" s="2" t="s">
        <v>28</v>
      </c>
      <c r="D666" s="44" t="s">
        <v>66</v>
      </c>
      <c r="E666" s="22" t="str">
        <f>IF(D666&lt;&gt;"",IFERROR(INDEX(Produtos!$C$4:$C$4996,MATCH(D666,Produtos!$B$4:$B$4996,0)),"Produto não encontrado"),"")</f>
        <v>CHAPA ARMICO</v>
      </c>
      <c r="F666" s="3">
        <v>45</v>
      </c>
      <c r="H666" s="1" t="s">
        <v>196</v>
      </c>
    </row>
    <row r="667" spans="1:8" x14ac:dyDescent="0.3">
      <c r="A667" s="21">
        <f t="shared" si="10"/>
        <v>1</v>
      </c>
      <c r="B667" s="2">
        <v>46118</v>
      </c>
      <c r="C667" s="2" t="s">
        <v>54</v>
      </c>
      <c r="D667" s="44" t="s">
        <v>66</v>
      </c>
      <c r="E667" s="22" t="str">
        <f>IF(D667&lt;&gt;"",IFERROR(INDEX(Produtos!$C$4:$C$4996,MATCH(D667,Produtos!$B$4:$B$4996,0)),"Produto não encontrado"),"")</f>
        <v>CHAPA ARMICO</v>
      </c>
      <c r="F667" s="3">
        <v>45</v>
      </c>
      <c r="G667" s="1" t="s">
        <v>169</v>
      </c>
      <c r="H667" s="1" t="s">
        <v>237</v>
      </c>
    </row>
    <row r="668" spans="1:8" x14ac:dyDescent="0.3">
      <c r="A668" s="21">
        <f t="shared" si="10"/>
        <v>2</v>
      </c>
      <c r="B668" s="2">
        <v>46118</v>
      </c>
      <c r="C668" s="2" t="s">
        <v>28</v>
      </c>
      <c r="D668" s="44" t="s">
        <v>66</v>
      </c>
      <c r="E668" s="22" t="str">
        <f>IF(D668&lt;&gt;"",IFERROR(INDEX(Produtos!$C$4:$C$4996,MATCH(D668,Produtos!$B$4:$B$4996,0)),"Produto não encontrado"),"")</f>
        <v>CHAPA ARMICO</v>
      </c>
      <c r="F668" s="3">
        <v>50</v>
      </c>
      <c r="H668" s="1" t="s">
        <v>196</v>
      </c>
    </row>
    <row r="669" spans="1:8" x14ac:dyDescent="0.3">
      <c r="A669" s="21">
        <f t="shared" si="10"/>
        <v>1</v>
      </c>
      <c r="B669" s="2">
        <v>46118</v>
      </c>
      <c r="C669" s="2" t="s">
        <v>54</v>
      </c>
      <c r="D669" s="44" t="s">
        <v>66</v>
      </c>
      <c r="E669" s="22" t="str">
        <f>IF(D669&lt;&gt;"",IFERROR(INDEX(Produtos!$C$4:$C$4996,MATCH(D669,Produtos!$B$4:$B$4996,0)),"Produto não encontrado"),"")</f>
        <v>CHAPA ARMICO</v>
      </c>
      <c r="F669" s="3">
        <v>50</v>
      </c>
      <c r="G669" s="1" t="s">
        <v>175</v>
      </c>
      <c r="H669" s="1" t="s">
        <v>237</v>
      </c>
    </row>
    <row r="670" spans="1:8" x14ac:dyDescent="0.3">
      <c r="A670" s="21">
        <f t="shared" si="10"/>
        <v>1</v>
      </c>
      <c r="B670" s="2">
        <v>46118</v>
      </c>
      <c r="C670" s="2" t="s">
        <v>54</v>
      </c>
      <c r="D670" s="44" t="s">
        <v>21</v>
      </c>
      <c r="E670" s="22" t="str">
        <f>IF(D670&lt;&gt;"",IFERROR(INDEX(Produtos!$C$4:$C$4996,MATCH(D670,Produtos!$B$4:$B$4996,0)),"Produto não encontrado"),"")</f>
        <v>ADUELA DE 1000</v>
      </c>
      <c r="F670" s="3">
        <v>1</v>
      </c>
      <c r="G670" s="1" t="s">
        <v>240</v>
      </c>
    </row>
    <row r="671" spans="1:8" x14ac:dyDescent="0.3">
      <c r="A671" s="21">
        <f t="shared" si="10"/>
        <v>1</v>
      </c>
      <c r="B671" s="2">
        <v>46118</v>
      </c>
      <c r="C671" s="2" t="s">
        <v>54</v>
      </c>
      <c r="D671" s="44" t="s">
        <v>23</v>
      </c>
      <c r="E671" s="22" t="str">
        <f>IF(D671&lt;&gt;"",IFERROR(INDEX(Produtos!$C$4:$C$4996,MATCH(D671,Produtos!$B$4:$B$4996,0)),"Produto não encontrado"),"")</f>
        <v>LAJE INFERIOR DE 1000</v>
      </c>
      <c r="F671" s="3">
        <v>1</v>
      </c>
      <c r="G671" s="1" t="s">
        <v>240</v>
      </c>
    </row>
    <row r="672" spans="1:8" x14ac:dyDescent="0.3">
      <c r="A672" s="21">
        <f t="shared" si="10"/>
        <v>1</v>
      </c>
      <c r="B672" s="2">
        <v>46118</v>
      </c>
      <c r="C672" s="2" t="s">
        <v>54</v>
      </c>
      <c r="D672" s="44" t="s">
        <v>56</v>
      </c>
      <c r="E672" s="22" t="str">
        <f>IF(D672&lt;&gt;"",IFERROR(INDEX(Produtos!$C$4:$C$4996,MATCH(D672,Produtos!$B$4:$B$4996,0)),"Produto não encontrado"),"")</f>
        <v>LAJE SURPERIOR DE 1000</v>
      </c>
      <c r="F672" s="3">
        <v>1</v>
      </c>
      <c r="G672" s="1" t="s">
        <v>240</v>
      </c>
    </row>
    <row r="673" spans="1:8" x14ac:dyDescent="0.3">
      <c r="A673" s="21">
        <f t="shared" si="10"/>
        <v>1</v>
      </c>
      <c r="B673" s="2">
        <v>46118</v>
      </c>
      <c r="C673" s="2" t="s">
        <v>54</v>
      </c>
      <c r="D673" s="44" t="s">
        <v>63</v>
      </c>
      <c r="E673" s="22" t="str">
        <f>IF(D673&lt;&gt;"",IFERROR(INDEX(Produtos!$C$4:$C$4996,MATCH(D673,Produtos!$B$4:$B$4996,0)),"Produto não encontrado"),"")</f>
        <v>TUBO ESGOTO PVC DN 200</v>
      </c>
      <c r="F673" s="3">
        <v>1</v>
      </c>
      <c r="G673" s="1" t="s">
        <v>166</v>
      </c>
    </row>
    <row r="674" spans="1:8" x14ac:dyDescent="0.3">
      <c r="A674" s="21">
        <f t="shared" si="10"/>
        <v>1</v>
      </c>
      <c r="B674" s="2">
        <v>46118</v>
      </c>
      <c r="C674" s="2" t="s">
        <v>54</v>
      </c>
      <c r="D674" s="44" t="s">
        <v>57</v>
      </c>
      <c r="E674" s="22" t="str">
        <f>IF(D674&lt;&gt;"",IFERROR(INDEX(Produtos!$C$4:$C$4996,MATCH(D674,Produtos!$B$4:$B$4996,0)),"Produto não encontrado"),"")</f>
        <v>TUBO PEAD ESGOTO D 355</v>
      </c>
      <c r="F674" s="3">
        <v>13</v>
      </c>
      <c r="G674" s="1" t="s">
        <v>176</v>
      </c>
    </row>
    <row r="675" spans="1:8" x14ac:dyDescent="0.3">
      <c r="A675" s="21">
        <f t="shared" si="10"/>
        <v>2</v>
      </c>
      <c r="B675" s="2">
        <v>46118</v>
      </c>
      <c r="C675" s="2" t="s">
        <v>28</v>
      </c>
      <c r="D675" s="44" t="s">
        <v>59</v>
      </c>
      <c r="E675" s="22" t="str">
        <f>IF(D675&lt;&gt;"",IFERROR(INDEX(Produtos!$C$4:$C$4996,MATCH(D675,Produtos!$B$4:$B$4996,0)),"Produto não encontrado"),"")</f>
        <v>TUBO PEAD ESGOTO D 225</v>
      </c>
      <c r="F675" s="3">
        <v>5</v>
      </c>
      <c r="G675" s="1" t="s">
        <v>170</v>
      </c>
      <c r="H675" s="1" t="s">
        <v>196</v>
      </c>
    </row>
    <row r="676" spans="1:8" x14ac:dyDescent="0.3">
      <c r="A676" s="21">
        <f t="shared" si="10"/>
        <v>1</v>
      </c>
      <c r="B676" s="2">
        <v>46118</v>
      </c>
      <c r="C676" s="2" t="s">
        <v>54</v>
      </c>
      <c r="D676" s="44" t="s">
        <v>73</v>
      </c>
      <c r="E676" s="22" t="str">
        <f>IF(D676&lt;&gt;"",IFERROR(INDEX(Produtos!$C$4:$C$4996,MATCH(D676,Produtos!$B$4:$B$4996,0)),"Produto não encontrado"),"")</f>
        <v>PARAFUSO SEXTAVADA 5/8</v>
      </c>
      <c r="F676" s="3">
        <v>200</v>
      </c>
      <c r="G676" s="1" t="s">
        <v>161</v>
      </c>
    </row>
    <row r="677" spans="1:8" x14ac:dyDescent="0.3">
      <c r="A677" s="21">
        <f t="shared" si="10"/>
        <v>1</v>
      </c>
      <c r="B677" s="2">
        <v>46118</v>
      </c>
      <c r="C677" s="2" t="s">
        <v>54</v>
      </c>
      <c r="D677" s="44" t="s">
        <v>74</v>
      </c>
      <c r="E677" s="22" t="str">
        <f>IF(D677&lt;&gt;"",IFERROR(INDEX(Produtos!$C$4:$C$4996,MATCH(D677,Produtos!$B$4:$B$4996,0)),"Produto não encontrado"),"")</f>
        <v xml:space="preserve">PARAFUSO QUADRADO 5/8 </v>
      </c>
      <c r="F677" s="3">
        <v>200</v>
      </c>
      <c r="G677" s="1" t="s">
        <v>161</v>
      </c>
    </row>
    <row r="678" spans="1:8" x14ac:dyDescent="0.3">
      <c r="A678" s="21">
        <f t="shared" si="10"/>
        <v>1</v>
      </c>
      <c r="B678" s="2">
        <v>46118</v>
      </c>
      <c r="C678" s="2" t="s">
        <v>54</v>
      </c>
      <c r="D678" s="44" t="s">
        <v>75</v>
      </c>
      <c r="E678" s="22" t="str">
        <f>IF(D678&lt;&gt;"",IFERROR(INDEX(Produtos!$C$4:$C$4996,MATCH(D678,Produtos!$B$4:$B$4996,0)),"Produto não encontrado"),"")</f>
        <v>PORCA SEXTAVADA 5/8</v>
      </c>
      <c r="F678" s="3">
        <v>400</v>
      </c>
      <c r="G678" s="1" t="s">
        <v>161</v>
      </c>
    </row>
    <row r="679" spans="1:8" x14ac:dyDescent="0.3">
      <c r="A679" s="21">
        <f t="shared" si="10"/>
        <v>1</v>
      </c>
      <c r="B679" s="2">
        <v>46118</v>
      </c>
      <c r="C679" s="2" t="s">
        <v>54</v>
      </c>
      <c r="D679" s="44" t="s">
        <v>73</v>
      </c>
      <c r="E679" s="22" t="str">
        <f>IF(D679&lt;&gt;"",IFERROR(INDEX(Produtos!$C$4:$C$4996,MATCH(D679,Produtos!$B$4:$B$4996,0)),"Produto não encontrado"),"")</f>
        <v>PARAFUSO SEXTAVADA 5/8</v>
      </c>
      <c r="F679" s="3">
        <v>200</v>
      </c>
      <c r="G679" s="1" t="s">
        <v>167</v>
      </c>
    </row>
    <row r="680" spans="1:8" x14ac:dyDescent="0.3">
      <c r="A680" s="21">
        <f t="shared" si="10"/>
        <v>1</v>
      </c>
      <c r="B680" s="2">
        <v>46118</v>
      </c>
      <c r="C680" s="2" t="s">
        <v>54</v>
      </c>
      <c r="D680" s="44" t="s">
        <v>74</v>
      </c>
      <c r="E680" s="22" t="str">
        <f>IF(D680&lt;&gt;"",IFERROR(INDEX(Produtos!$C$4:$C$4996,MATCH(D680,Produtos!$B$4:$B$4996,0)),"Produto não encontrado"),"")</f>
        <v xml:space="preserve">PARAFUSO QUADRADO 5/8 </v>
      </c>
      <c r="F680" s="3">
        <v>200</v>
      </c>
      <c r="G680" s="1" t="s">
        <v>167</v>
      </c>
    </row>
    <row r="681" spans="1:8" x14ac:dyDescent="0.3">
      <c r="A681" s="21">
        <f t="shared" si="10"/>
        <v>1</v>
      </c>
      <c r="B681" s="2">
        <v>46118</v>
      </c>
      <c r="C681" s="2" t="s">
        <v>54</v>
      </c>
      <c r="D681" s="44" t="s">
        <v>75</v>
      </c>
      <c r="E681" s="22" t="str">
        <f>IF(D681&lt;&gt;"",IFERROR(INDEX(Produtos!$C$4:$C$4996,MATCH(D681,Produtos!$B$4:$B$4996,0)),"Produto não encontrado"),"")</f>
        <v>PORCA SEXTAVADA 5/8</v>
      </c>
      <c r="F681" s="3">
        <v>400</v>
      </c>
      <c r="G681" s="1" t="s">
        <v>167</v>
      </c>
    </row>
    <row r="682" spans="1:8" x14ac:dyDescent="0.3">
      <c r="A682" s="21">
        <f t="shared" si="10"/>
        <v>2</v>
      </c>
      <c r="B682" s="2">
        <v>46118</v>
      </c>
      <c r="C682" s="2" t="s">
        <v>28</v>
      </c>
      <c r="D682" s="44" t="s">
        <v>66</v>
      </c>
      <c r="E682" s="22" t="str">
        <f>IF(D682&lt;&gt;"",IFERROR(INDEX(Produtos!$C$4:$C$4996,MATCH(D682,Produtos!$B$4:$B$4996,0)),"Produto não encontrado"),"")</f>
        <v>CHAPA ARMICO</v>
      </c>
      <c r="F682" s="3">
        <v>60</v>
      </c>
      <c r="H682" s="1" t="s">
        <v>196</v>
      </c>
    </row>
    <row r="683" spans="1:8" x14ac:dyDescent="0.3">
      <c r="A683" s="21">
        <f t="shared" si="10"/>
        <v>1</v>
      </c>
      <c r="B683" s="2">
        <v>46118</v>
      </c>
      <c r="C683" s="2" t="s">
        <v>54</v>
      </c>
      <c r="D683" s="44" t="s">
        <v>66</v>
      </c>
      <c r="E683" s="22" t="str">
        <f>IF(D683&lt;&gt;"",IFERROR(INDEX(Produtos!$C$4:$C$4996,MATCH(D683,Produtos!$B$4:$B$4996,0)),"Produto não encontrado"),"")</f>
        <v>CHAPA ARMICO</v>
      </c>
      <c r="F683" s="3">
        <v>60</v>
      </c>
      <c r="G683" s="1" t="s">
        <v>167</v>
      </c>
      <c r="H683" s="1" t="s">
        <v>237</v>
      </c>
    </row>
    <row r="684" spans="1:8" x14ac:dyDescent="0.3">
      <c r="A684" s="21">
        <f t="shared" si="10"/>
        <v>1</v>
      </c>
      <c r="B684" s="2">
        <v>46119</v>
      </c>
      <c r="C684" s="2" t="s">
        <v>54</v>
      </c>
      <c r="D684" s="44" t="s">
        <v>21</v>
      </c>
      <c r="E684" s="22" t="str">
        <f>IF(D684&lt;&gt;"",IFERROR(INDEX(Produtos!$C$4:$C$4996,MATCH(D684,Produtos!$B$4:$B$4996,0)),"Produto não encontrado"),"")</f>
        <v>ADUELA DE 1000</v>
      </c>
      <c r="F684" s="3">
        <v>2</v>
      </c>
      <c r="G684" s="1" t="s">
        <v>240</v>
      </c>
    </row>
    <row r="685" spans="1:8" x14ac:dyDescent="0.3">
      <c r="A685" s="21">
        <f t="shared" si="10"/>
        <v>1</v>
      </c>
      <c r="B685" s="2">
        <v>46119</v>
      </c>
      <c r="C685" s="2" t="s">
        <v>54</v>
      </c>
      <c r="D685" s="44" t="s">
        <v>71</v>
      </c>
      <c r="E685" s="22" t="str">
        <f>IF(D685&lt;&gt;"",IFERROR(INDEX(Produtos!$C$4:$C$4996,MATCH(D685,Produtos!$B$4:$B$4996,0)),"Produto não encontrado"),"")</f>
        <v>LAJE PRE MONTADA / TAMPÃO DN 600</v>
      </c>
      <c r="F685" s="3">
        <v>1</v>
      </c>
      <c r="G685" s="1" t="s">
        <v>204</v>
      </c>
    </row>
    <row r="686" spans="1:8" x14ac:dyDescent="0.3">
      <c r="A686" s="21">
        <f t="shared" si="10"/>
        <v>1</v>
      </c>
      <c r="B686" s="2">
        <v>46119</v>
      </c>
      <c r="C686" s="2" t="s">
        <v>54</v>
      </c>
      <c r="D686" s="44" t="s">
        <v>63</v>
      </c>
      <c r="E686" s="22" t="str">
        <f>IF(D686&lt;&gt;"",IFERROR(INDEX(Produtos!$C$4:$C$4996,MATCH(D686,Produtos!$B$4:$B$4996,0)),"Produto não encontrado"),"")</f>
        <v>TUBO ESGOTO PVC DN 200</v>
      </c>
      <c r="F686" s="3">
        <v>1</v>
      </c>
      <c r="G686" s="1" t="s">
        <v>204</v>
      </c>
    </row>
    <row r="687" spans="1:8" x14ac:dyDescent="0.3">
      <c r="A687" s="21">
        <f t="shared" si="10"/>
        <v>1</v>
      </c>
      <c r="B687" s="2">
        <v>46119</v>
      </c>
      <c r="C687" s="2" t="s">
        <v>54</v>
      </c>
      <c r="D687" s="44" t="s">
        <v>63</v>
      </c>
      <c r="E687" s="22" t="str">
        <f>IF(D687&lt;&gt;"",IFERROR(INDEX(Produtos!$C$4:$C$4996,MATCH(D687,Produtos!$B$4:$B$4996,0)),"Produto não encontrado"),"")</f>
        <v>TUBO ESGOTO PVC DN 200</v>
      </c>
      <c r="F687" s="3">
        <v>2</v>
      </c>
      <c r="G687" s="1" t="s">
        <v>166</v>
      </c>
    </row>
    <row r="688" spans="1:8" x14ac:dyDescent="0.3">
      <c r="A688" s="21">
        <f t="shared" si="10"/>
        <v>1</v>
      </c>
      <c r="B688" s="2">
        <v>46119</v>
      </c>
      <c r="C688" s="2" t="s">
        <v>54</v>
      </c>
      <c r="D688" s="44" t="s">
        <v>65</v>
      </c>
      <c r="E688" s="22" t="str">
        <f>IF(D688&lt;&gt;"",IFERROR(INDEX(Produtos!$C$4:$C$4996,MATCH(D688,Produtos!$B$4:$B$4996,0)),"Produto não encontrado"),"")</f>
        <v>TUBO ESGOTO PVC DN 100</v>
      </c>
      <c r="F688" s="3">
        <v>1</v>
      </c>
      <c r="G688" s="1" t="s">
        <v>166</v>
      </c>
    </row>
    <row r="689" spans="1:8" x14ac:dyDescent="0.3">
      <c r="A689" s="21">
        <f t="shared" si="10"/>
        <v>1</v>
      </c>
      <c r="B689" s="2">
        <v>46119</v>
      </c>
      <c r="C689" s="2" t="s">
        <v>54</v>
      </c>
      <c r="D689" s="44" t="s">
        <v>21</v>
      </c>
      <c r="E689" s="22" t="str">
        <f>IF(D689&lt;&gt;"",IFERROR(INDEX(Produtos!$C$4:$C$4996,MATCH(D689,Produtos!$B$4:$B$4996,0)),"Produto não encontrado"),"")</f>
        <v>ADUELA DE 1000</v>
      </c>
      <c r="F689" s="3">
        <v>2</v>
      </c>
      <c r="G689" s="1" t="s">
        <v>192</v>
      </c>
    </row>
    <row r="690" spans="1:8" x14ac:dyDescent="0.3">
      <c r="A690" s="21">
        <f t="shared" si="10"/>
        <v>1</v>
      </c>
      <c r="B690" s="2">
        <v>46119</v>
      </c>
      <c r="C690" s="2" t="s">
        <v>54</v>
      </c>
      <c r="D690" s="44" t="s">
        <v>23</v>
      </c>
      <c r="E690" s="22" t="str">
        <f>IF(D690&lt;&gt;"",IFERROR(INDEX(Produtos!$C$4:$C$4996,MATCH(D690,Produtos!$B$4:$B$4996,0)),"Produto não encontrado"),"")</f>
        <v>LAJE INFERIOR DE 1000</v>
      </c>
      <c r="F690" s="3">
        <v>1</v>
      </c>
      <c r="G690" s="1" t="s">
        <v>192</v>
      </c>
    </row>
    <row r="691" spans="1:8" x14ac:dyDescent="0.3">
      <c r="A691" s="21">
        <f t="shared" si="10"/>
        <v>1</v>
      </c>
      <c r="B691" s="2">
        <v>46119</v>
      </c>
      <c r="C691" s="2" t="s">
        <v>54</v>
      </c>
      <c r="D691" s="44" t="s">
        <v>71</v>
      </c>
      <c r="E691" s="22" t="str">
        <f>IF(D691&lt;&gt;"",IFERROR(INDEX(Produtos!$C$4:$C$4996,MATCH(D691,Produtos!$B$4:$B$4996,0)),"Produto não encontrado"),"")</f>
        <v>LAJE PRE MONTADA / TAMPÃO DN 600</v>
      </c>
      <c r="F691" s="3">
        <v>1</v>
      </c>
      <c r="G691" s="1" t="s">
        <v>192</v>
      </c>
    </row>
    <row r="692" spans="1:8" x14ac:dyDescent="0.3">
      <c r="A692" s="21">
        <f t="shared" si="10"/>
        <v>1</v>
      </c>
      <c r="B692" s="2">
        <v>46119</v>
      </c>
      <c r="C692" s="2" t="s">
        <v>54</v>
      </c>
      <c r="D692" s="44" t="s">
        <v>21</v>
      </c>
      <c r="E692" s="22" t="str">
        <f>IF(D692&lt;&gt;"",IFERROR(INDEX(Produtos!$C$4:$C$4996,MATCH(D692,Produtos!$B$4:$B$4996,0)),"Produto não encontrado"),"")</f>
        <v>ADUELA DE 1000</v>
      </c>
      <c r="F692" s="3">
        <v>2</v>
      </c>
      <c r="G692" s="1" t="s">
        <v>174</v>
      </c>
    </row>
    <row r="693" spans="1:8" x14ac:dyDescent="0.3">
      <c r="A693" s="21">
        <f t="shared" si="10"/>
        <v>1</v>
      </c>
      <c r="B693" s="2">
        <v>46119</v>
      </c>
      <c r="C693" s="2" t="s">
        <v>54</v>
      </c>
      <c r="D693" s="44" t="s">
        <v>23</v>
      </c>
      <c r="E693" s="22" t="str">
        <f>IF(D693&lt;&gt;"",IFERROR(INDEX(Produtos!$C$4:$C$4996,MATCH(D693,Produtos!$B$4:$B$4996,0)),"Produto não encontrado"),"")</f>
        <v>LAJE INFERIOR DE 1000</v>
      </c>
      <c r="F693" s="3">
        <v>1</v>
      </c>
      <c r="G693" s="1" t="s">
        <v>174</v>
      </c>
    </row>
    <row r="694" spans="1:8" x14ac:dyDescent="0.3">
      <c r="A694" s="21">
        <f t="shared" si="10"/>
        <v>1</v>
      </c>
      <c r="B694" s="2">
        <v>46119</v>
      </c>
      <c r="C694" s="2" t="s">
        <v>54</v>
      </c>
      <c r="D694" s="44" t="s">
        <v>71</v>
      </c>
      <c r="E694" s="22" t="str">
        <f>IF(D694&lt;&gt;"",IFERROR(INDEX(Produtos!$C$4:$C$4996,MATCH(D694,Produtos!$B$4:$B$4996,0)),"Produto não encontrado"),"")</f>
        <v>LAJE PRE MONTADA / TAMPÃO DN 600</v>
      </c>
      <c r="F694" s="3">
        <v>1</v>
      </c>
      <c r="G694" s="1" t="s">
        <v>174</v>
      </c>
    </row>
    <row r="695" spans="1:8" x14ac:dyDescent="0.3">
      <c r="A695" s="21">
        <f t="shared" si="10"/>
        <v>1</v>
      </c>
      <c r="B695" s="2">
        <v>46119</v>
      </c>
      <c r="C695" s="2" t="s">
        <v>54</v>
      </c>
      <c r="D695" s="44" t="s">
        <v>73</v>
      </c>
      <c r="E695" s="22" t="str">
        <f>IF(D695&lt;&gt;"",IFERROR(INDEX(Produtos!$C$4:$C$4996,MATCH(D695,Produtos!$B$4:$B$4996,0)),"Produto não encontrado"),"")</f>
        <v>PARAFUSO SEXTAVADA 5/8</v>
      </c>
      <c r="F695" s="3">
        <v>200</v>
      </c>
      <c r="G695" s="1" t="s">
        <v>193</v>
      </c>
    </row>
    <row r="696" spans="1:8" x14ac:dyDescent="0.3">
      <c r="A696" s="21">
        <f t="shared" si="10"/>
        <v>2</v>
      </c>
      <c r="B696" s="2">
        <v>46119</v>
      </c>
      <c r="C696" s="2" t="s">
        <v>28</v>
      </c>
      <c r="D696" s="44" t="s">
        <v>66</v>
      </c>
      <c r="E696" s="22" t="str">
        <f>IF(D696&lt;&gt;"",IFERROR(INDEX(Produtos!$C$4:$C$4996,MATCH(D696,Produtos!$B$4:$B$4996,0)),"Produto não encontrado"),"")</f>
        <v>CHAPA ARMICO</v>
      </c>
      <c r="F696" s="3">
        <v>30</v>
      </c>
      <c r="H696" s="1" t="s">
        <v>196</v>
      </c>
    </row>
    <row r="697" spans="1:8" x14ac:dyDescent="0.3">
      <c r="A697" s="21">
        <f t="shared" si="10"/>
        <v>1</v>
      </c>
      <c r="B697" s="2">
        <v>46119</v>
      </c>
      <c r="C697" s="2" t="s">
        <v>54</v>
      </c>
      <c r="D697" s="44" t="s">
        <v>66</v>
      </c>
      <c r="E697" s="22" t="str">
        <f>IF(D697&lt;&gt;"",IFERROR(INDEX(Produtos!$C$4:$C$4996,MATCH(D697,Produtos!$B$4:$B$4996,0)),"Produto não encontrado"),"")</f>
        <v>CHAPA ARMICO</v>
      </c>
      <c r="F697" s="3">
        <v>30</v>
      </c>
      <c r="G697" s="1" t="s">
        <v>193</v>
      </c>
      <c r="H697" s="1" t="s">
        <v>237</v>
      </c>
    </row>
    <row r="698" spans="1:8" x14ac:dyDescent="0.3">
      <c r="A698" s="21">
        <f t="shared" si="10"/>
        <v>1</v>
      </c>
      <c r="B698" s="2">
        <v>46119</v>
      </c>
      <c r="C698" s="2" t="s">
        <v>54</v>
      </c>
      <c r="D698" s="44" t="s">
        <v>65</v>
      </c>
      <c r="E698" s="22" t="str">
        <f>IF(D698&lt;&gt;"",IFERROR(INDEX(Produtos!$C$4:$C$4996,MATCH(D698,Produtos!$B$4:$B$4996,0)),"Produto não encontrado"),"")</f>
        <v>TUBO ESGOTO PVC DN 100</v>
      </c>
      <c r="F698" s="3">
        <v>1</v>
      </c>
      <c r="G698" s="1" t="s">
        <v>204</v>
      </c>
    </row>
    <row r="699" spans="1:8" x14ac:dyDescent="0.3">
      <c r="A699" s="21">
        <f t="shared" si="10"/>
        <v>1</v>
      </c>
      <c r="B699" s="2">
        <v>46119</v>
      </c>
      <c r="C699" s="2" t="s">
        <v>54</v>
      </c>
      <c r="D699" s="44" t="s">
        <v>66</v>
      </c>
      <c r="E699" s="22" t="str">
        <f>IF(D699&lt;&gt;"",IFERROR(INDEX(Produtos!$C$4:$C$4996,MATCH(D699,Produtos!$B$4:$B$4996,0)),"Produto não encontrado"),"")</f>
        <v>CHAPA ARMICO</v>
      </c>
      <c r="F699" s="3">
        <v>40</v>
      </c>
      <c r="G699" s="1" t="s">
        <v>161</v>
      </c>
    </row>
    <row r="700" spans="1:8" x14ac:dyDescent="0.3">
      <c r="A700" s="21">
        <f t="shared" si="10"/>
        <v>1</v>
      </c>
      <c r="B700" s="2">
        <v>46119</v>
      </c>
      <c r="C700" s="2" t="s">
        <v>54</v>
      </c>
      <c r="D700" s="44" t="s">
        <v>69</v>
      </c>
      <c r="E700" s="22" t="str">
        <f>IF(D700&lt;&gt;"",IFERROR(INDEX(Produtos!$C$4:$C$4996,MATCH(D700,Produtos!$B$4:$B$4996,0)),"Produto não encontrado"),"")</f>
        <v>GUIA</v>
      </c>
      <c r="F700" s="3">
        <v>15</v>
      </c>
      <c r="G700" s="1" t="s">
        <v>241</v>
      </c>
    </row>
    <row r="701" spans="1:8" x14ac:dyDescent="0.3">
      <c r="A701" s="21">
        <f t="shared" si="10"/>
        <v>1</v>
      </c>
      <c r="B701" s="2">
        <v>46119</v>
      </c>
      <c r="C701" s="2" t="s">
        <v>54</v>
      </c>
      <c r="D701" s="44" t="s">
        <v>76</v>
      </c>
      <c r="E701" s="22" t="str">
        <f>IF(D701&lt;&gt;"",IFERROR(INDEX(Produtos!$C$4:$C$4996,MATCH(D701,Produtos!$B$4:$B$4996,0)),"Produto não encontrado"),"")</f>
        <v>GUIA CHAPÉU</v>
      </c>
      <c r="F701" s="3">
        <v>2</v>
      </c>
      <c r="G701" s="1" t="s">
        <v>241</v>
      </c>
    </row>
    <row r="702" spans="1:8" x14ac:dyDescent="0.3">
      <c r="A702" s="21">
        <f t="shared" si="10"/>
        <v>1</v>
      </c>
      <c r="B702" s="2">
        <v>46119</v>
      </c>
      <c r="C702" s="2" t="s">
        <v>54</v>
      </c>
      <c r="D702" s="44" t="s">
        <v>21</v>
      </c>
      <c r="E702" s="22" t="str">
        <f>IF(D702&lt;&gt;"",IFERROR(INDEX(Produtos!$C$4:$C$4996,MATCH(D702,Produtos!$B$4:$B$4996,0)),"Produto não encontrado"),"")</f>
        <v>ADUELA DE 1000</v>
      </c>
      <c r="F702" s="3">
        <v>1</v>
      </c>
      <c r="G702" s="1" t="s">
        <v>167</v>
      </c>
    </row>
    <row r="703" spans="1:8" x14ac:dyDescent="0.3">
      <c r="A703" s="21">
        <f t="shared" si="10"/>
        <v>1</v>
      </c>
      <c r="B703" s="2">
        <v>46119</v>
      </c>
      <c r="C703" s="2" t="s">
        <v>54</v>
      </c>
      <c r="D703" s="44" t="s">
        <v>23</v>
      </c>
      <c r="E703" s="22" t="str">
        <f>IF(D703&lt;&gt;"",IFERROR(INDEX(Produtos!$C$4:$C$4996,MATCH(D703,Produtos!$B$4:$B$4996,0)),"Produto não encontrado"),"")</f>
        <v>LAJE INFERIOR DE 1000</v>
      </c>
      <c r="F703" s="3">
        <v>1</v>
      </c>
      <c r="G703" s="1" t="s">
        <v>167</v>
      </c>
    </row>
    <row r="704" spans="1:8" x14ac:dyDescent="0.3">
      <c r="A704" s="21">
        <f t="shared" ref="A704:A767" si="11">IF(C704="Entrada",2,IF(C704="Saída",1,"."))</f>
        <v>1</v>
      </c>
      <c r="B704" s="2">
        <v>46119</v>
      </c>
      <c r="C704" s="2" t="s">
        <v>54</v>
      </c>
      <c r="D704" s="44" t="s">
        <v>68</v>
      </c>
      <c r="E704" s="22" t="str">
        <f>IF(D704&lt;&gt;"",IFERROR(INDEX(Produtos!$C$4:$C$4996,MATCH(D704,Produtos!$B$4:$B$4996,0)),"Produto não encontrado"),"")</f>
        <v>BLOCO VEDAÇÃO 14 x 39</v>
      </c>
      <c r="F704" s="3">
        <v>100</v>
      </c>
      <c r="G704" s="1" t="s">
        <v>241</v>
      </c>
    </row>
    <row r="705" spans="1:8" x14ac:dyDescent="0.3">
      <c r="A705" s="21">
        <f t="shared" si="11"/>
        <v>1</v>
      </c>
      <c r="B705" s="2">
        <v>46120</v>
      </c>
      <c r="C705" s="2" t="s">
        <v>54</v>
      </c>
      <c r="D705" s="44" t="s">
        <v>65</v>
      </c>
      <c r="E705" s="22" t="str">
        <f>IF(D705&lt;&gt;"",IFERROR(INDEX(Produtos!$C$4:$C$4996,MATCH(D705,Produtos!$B$4:$B$4996,0)),"Produto não encontrado"),"")</f>
        <v>TUBO ESGOTO PVC DN 100</v>
      </c>
      <c r="F705" s="3">
        <v>2</v>
      </c>
      <c r="G705" s="1" t="s">
        <v>166</v>
      </c>
    </row>
    <row r="706" spans="1:8" x14ac:dyDescent="0.3">
      <c r="A706" s="21">
        <f t="shared" si="11"/>
        <v>1</v>
      </c>
      <c r="B706" s="2">
        <v>46120</v>
      </c>
      <c r="C706" s="2" t="s">
        <v>54</v>
      </c>
      <c r="D706" s="44" t="s">
        <v>68</v>
      </c>
      <c r="E706" s="22" t="str">
        <f>IF(D706&lt;&gt;"",IFERROR(INDEX(Produtos!$C$4:$C$4996,MATCH(D706,Produtos!$B$4:$B$4996,0)),"Produto não encontrado"),"")</f>
        <v>BLOCO VEDAÇÃO 14 x 39</v>
      </c>
      <c r="F706" s="3">
        <v>94</v>
      </c>
      <c r="G706" s="1" t="s">
        <v>243</v>
      </c>
    </row>
    <row r="707" spans="1:8" x14ac:dyDescent="0.3">
      <c r="A707" s="21">
        <f t="shared" si="11"/>
        <v>1</v>
      </c>
      <c r="B707" s="2">
        <v>46120</v>
      </c>
      <c r="C707" s="2" t="s">
        <v>54</v>
      </c>
      <c r="D707" s="44" t="s">
        <v>66</v>
      </c>
      <c r="E707" s="22" t="str">
        <f>IF(D707&lt;&gt;"",IFERROR(INDEX(Produtos!$C$4:$C$4996,MATCH(D707,Produtos!$B$4:$B$4996,0)),"Produto não encontrado"),"")</f>
        <v>CHAPA ARMICO</v>
      </c>
      <c r="F707" s="3">
        <v>28</v>
      </c>
      <c r="G707" s="1" t="s">
        <v>161</v>
      </c>
    </row>
    <row r="708" spans="1:8" x14ac:dyDescent="0.3">
      <c r="A708" s="21">
        <f t="shared" si="11"/>
        <v>1</v>
      </c>
      <c r="B708" s="2">
        <v>46120</v>
      </c>
      <c r="C708" s="2" t="s">
        <v>54</v>
      </c>
      <c r="D708" s="44" t="s">
        <v>67</v>
      </c>
      <c r="E708" s="22" t="str">
        <f>IF(D708&lt;&gt;"",IFERROR(INDEX(Produtos!$C$4:$C$4996,MATCH(D708,Produtos!$B$4:$B$4996,0)),"Produto não encontrado"),"")</f>
        <v>BLOCO DE PV</v>
      </c>
      <c r="F708" s="3">
        <v>20</v>
      </c>
      <c r="G708" s="1" t="s">
        <v>167</v>
      </c>
    </row>
    <row r="709" spans="1:8" x14ac:dyDescent="0.3">
      <c r="A709" s="21">
        <f t="shared" si="11"/>
        <v>2</v>
      </c>
      <c r="B709" s="2">
        <v>46120</v>
      </c>
      <c r="C709" s="2" t="s">
        <v>28</v>
      </c>
      <c r="D709" s="44" t="s">
        <v>66</v>
      </c>
      <c r="E709" s="22" t="str">
        <f>IF(D709&lt;&gt;"",IFERROR(INDEX(Produtos!$C$4:$C$4996,MATCH(D709,Produtos!$B$4:$B$4996,0)),"Produto não encontrado"),"")</f>
        <v>CHAPA ARMICO</v>
      </c>
      <c r="F709" s="3">
        <v>30</v>
      </c>
      <c r="H709" s="1" t="s">
        <v>196</v>
      </c>
    </row>
    <row r="710" spans="1:8" x14ac:dyDescent="0.3">
      <c r="A710" s="21">
        <f t="shared" si="11"/>
        <v>1</v>
      </c>
      <c r="B710" s="2">
        <v>46120</v>
      </c>
      <c r="C710" s="2" t="s">
        <v>54</v>
      </c>
      <c r="D710" s="44" t="s">
        <v>66</v>
      </c>
      <c r="E710" s="22" t="str">
        <f>IF(D710&lt;&gt;"",IFERROR(INDEX(Produtos!$C$4:$C$4996,MATCH(D710,Produtos!$B$4:$B$4996,0)),"Produto não encontrado"),"")</f>
        <v>CHAPA ARMICO</v>
      </c>
      <c r="F710" s="3">
        <v>30</v>
      </c>
      <c r="G710" s="1" t="s">
        <v>241</v>
      </c>
      <c r="H710" s="1" t="s">
        <v>237</v>
      </c>
    </row>
    <row r="711" spans="1:8" x14ac:dyDescent="0.3">
      <c r="A711" s="21">
        <f t="shared" si="11"/>
        <v>1</v>
      </c>
      <c r="B711" s="2">
        <v>46120</v>
      </c>
      <c r="C711" s="2" t="s">
        <v>54</v>
      </c>
      <c r="D711" s="44" t="s">
        <v>57</v>
      </c>
      <c r="E711" s="22" t="str">
        <f>IF(D711&lt;&gt;"",IFERROR(INDEX(Produtos!$C$4:$C$4996,MATCH(D711,Produtos!$B$4:$B$4996,0)),"Produto não encontrado"),"")</f>
        <v>TUBO PEAD ESGOTO D 355</v>
      </c>
      <c r="F711" s="3">
        <v>10</v>
      </c>
      <c r="G711" s="1" t="s">
        <v>176</v>
      </c>
    </row>
    <row r="712" spans="1:8" x14ac:dyDescent="0.3">
      <c r="A712" s="21">
        <f t="shared" si="11"/>
        <v>1</v>
      </c>
      <c r="B712" s="2">
        <v>46121</v>
      </c>
      <c r="C712" s="2" t="s">
        <v>54</v>
      </c>
      <c r="D712" s="44" t="s">
        <v>65</v>
      </c>
      <c r="E712" s="22" t="str">
        <f>IF(D712&lt;&gt;"",IFERROR(INDEX(Produtos!$C$4:$C$4996,MATCH(D712,Produtos!$B$4:$B$4996,0)),"Produto não encontrado"),"")</f>
        <v>TUBO ESGOTO PVC DN 100</v>
      </c>
      <c r="F712" s="3">
        <v>2</v>
      </c>
      <c r="G712" s="1" t="s">
        <v>166</v>
      </c>
    </row>
    <row r="713" spans="1:8" x14ac:dyDescent="0.3">
      <c r="A713" s="21">
        <f t="shared" si="11"/>
        <v>1</v>
      </c>
      <c r="B713" s="2">
        <v>46121</v>
      </c>
      <c r="C713" s="2" t="s">
        <v>54</v>
      </c>
      <c r="D713" s="44" t="s">
        <v>63</v>
      </c>
      <c r="E713" s="22" t="str">
        <f>IF(D713&lt;&gt;"",IFERROR(INDEX(Produtos!$C$4:$C$4996,MATCH(D713,Produtos!$B$4:$B$4996,0)),"Produto não encontrado"),"")</f>
        <v>TUBO ESGOTO PVC DN 200</v>
      </c>
      <c r="F713" s="3">
        <v>1</v>
      </c>
      <c r="G713" s="1" t="s">
        <v>192</v>
      </c>
    </row>
    <row r="714" spans="1:8" x14ac:dyDescent="0.3">
      <c r="A714" s="21">
        <f t="shared" si="11"/>
        <v>1</v>
      </c>
      <c r="B714" s="2">
        <v>46121</v>
      </c>
      <c r="C714" s="2" t="s">
        <v>54</v>
      </c>
      <c r="D714" s="44" t="s">
        <v>65</v>
      </c>
      <c r="E714" s="22" t="str">
        <f>IF(D714&lt;&gt;"",IFERROR(INDEX(Produtos!$C$4:$C$4996,MATCH(D714,Produtos!$B$4:$B$4996,0)),"Produto não encontrado"),"")</f>
        <v>TUBO ESGOTO PVC DN 100</v>
      </c>
      <c r="F714" s="3">
        <v>1</v>
      </c>
      <c r="G714" s="1" t="s">
        <v>192</v>
      </c>
    </row>
    <row r="715" spans="1:8" x14ac:dyDescent="0.3">
      <c r="A715" s="21">
        <f t="shared" si="11"/>
        <v>1</v>
      </c>
      <c r="B715" s="2">
        <v>46121</v>
      </c>
      <c r="C715" s="2" t="s">
        <v>54</v>
      </c>
      <c r="D715" s="44" t="s">
        <v>21</v>
      </c>
      <c r="E715" s="22" t="str">
        <f>IF(D715&lt;&gt;"",IFERROR(INDEX(Produtos!$C$4:$C$4996,MATCH(D715,Produtos!$B$4:$B$4996,0)),"Produto não encontrado"),"")</f>
        <v>ADUELA DE 1000</v>
      </c>
      <c r="F715" s="3">
        <v>2</v>
      </c>
      <c r="G715" s="1" t="s">
        <v>174</v>
      </c>
    </row>
    <row r="716" spans="1:8" x14ac:dyDescent="0.3">
      <c r="A716" s="21">
        <f t="shared" si="11"/>
        <v>1</v>
      </c>
      <c r="B716" s="2">
        <v>46121</v>
      </c>
      <c r="C716" s="2" t="s">
        <v>54</v>
      </c>
      <c r="D716" s="44" t="s">
        <v>23</v>
      </c>
      <c r="E716" s="22" t="str">
        <f>IF(D716&lt;&gt;"",IFERROR(INDEX(Produtos!$C$4:$C$4996,MATCH(D716,Produtos!$B$4:$B$4996,0)),"Produto não encontrado"),"")</f>
        <v>LAJE INFERIOR DE 1000</v>
      </c>
      <c r="F716" s="3">
        <v>1</v>
      </c>
      <c r="G716" s="1" t="s">
        <v>174</v>
      </c>
    </row>
    <row r="717" spans="1:8" x14ac:dyDescent="0.3">
      <c r="A717" s="21">
        <f t="shared" si="11"/>
        <v>1</v>
      </c>
      <c r="B717" s="2">
        <v>46121</v>
      </c>
      <c r="C717" s="2" t="s">
        <v>54</v>
      </c>
      <c r="D717" s="44" t="s">
        <v>71</v>
      </c>
      <c r="E717" s="22" t="str">
        <f>IF(D717&lt;&gt;"",IFERROR(INDEX(Produtos!$C$4:$C$4996,MATCH(D717,Produtos!$B$4:$B$4996,0)),"Produto não encontrado"),"")</f>
        <v>LAJE PRE MONTADA / TAMPÃO DN 600</v>
      </c>
      <c r="F717" s="3">
        <v>1</v>
      </c>
      <c r="G717" s="1" t="s">
        <v>174</v>
      </c>
    </row>
    <row r="718" spans="1:8" x14ac:dyDescent="0.3">
      <c r="A718" s="21">
        <f t="shared" si="11"/>
        <v>1</v>
      </c>
      <c r="B718" s="2">
        <v>46121</v>
      </c>
      <c r="C718" s="2" t="s">
        <v>54</v>
      </c>
      <c r="D718" s="44" t="s">
        <v>23</v>
      </c>
      <c r="E718" s="22" t="str">
        <f>IF(D718&lt;&gt;"",IFERROR(INDEX(Produtos!$C$4:$C$4996,MATCH(D718,Produtos!$B$4:$B$4996,0)),"Produto não encontrado"),"")</f>
        <v>LAJE INFERIOR DE 1000</v>
      </c>
      <c r="F718" s="3">
        <v>1</v>
      </c>
      <c r="G718" s="1" t="s">
        <v>173</v>
      </c>
    </row>
    <row r="719" spans="1:8" x14ac:dyDescent="0.3">
      <c r="A719" s="21">
        <f t="shared" si="11"/>
        <v>1</v>
      </c>
      <c r="B719" s="2">
        <v>46121</v>
      </c>
      <c r="C719" s="2" t="s">
        <v>54</v>
      </c>
      <c r="D719" s="44" t="s">
        <v>68</v>
      </c>
      <c r="E719" s="22" t="str">
        <f>IF(D719&lt;&gt;"",IFERROR(INDEX(Produtos!$C$4:$C$4996,MATCH(D719,Produtos!$B$4:$B$4996,0)),"Produto não encontrado"),"")</f>
        <v>BLOCO VEDAÇÃO 14 x 39</v>
      </c>
      <c r="F719" s="3">
        <v>40</v>
      </c>
      <c r="G719" s="1" t="s">
        <v>243</v>
      </c>
    </row>
    <row r="720" spans="1:8" x14ac:dyDescent="0.3">
      <c r="A720" s="21">
        <f t="shared" si="11"/>
        <v>1</v>
      </c>
      <c r="B720" s="2">
        <v>46121</v>
      </c>
      <c r="C720" s="2" t="s">
        <v>54</v>
      </c>
      <c r="D720" s="44" t="s">
        <v>21</v>
      </c>
      <c r="E720" s="22" t="str">
        <f>IF(D720&lt;&gt;"",IFERROR(INDEX(Produtos!$C$4:$C$4996,MATCH(D720,Produtos!$B$4:$B$4996,0)),"Produto não encontrado"),"")</f>
        <v>ADUELA DE 1000</v>
      </c>
      <c r="F720" s="3">
        <v>2</v>
      </c>
      <c r="G720" s="1" t="s">
        <v>163</v>
      </c>
    </row>
    <row r="721" spans="1:8" x14ac:dyDescent="0.3">
      <c r="A721" s="21">
        <f t="shared" si="11"/>
        <v>1</v>
      </c>
      <c r="B721" s="2">
        <v>46121</v>
      </c>
      <c r="C721" s="2" t="s">
        <v>54</v>
      </c>
      <c r="D721" s="44" t="s">
        <v>62</v>
      </c>
      <c r="E721" s="22" t="str">
        <f>IF(D721&lt;&gt;"",IFERROR(INDEX(Produtos!$C$4:$C$4996,MATCH(D721,Produtos!$B$4:$B$4996,0)),"Produto não encontrado"),"")</f>
        <v>TUBO ESGOTO PVC DN 300</v>
      </c>
      <c r="F721" s="3">
        <v>2</v>
      </c>
      <c r="G721" s="1" t="s">
        <v>204</v>
      </c>
    </row>
    <row r="722" spans="1:8" x14ac:dyDescent="0.3">
      <c r="A722" s="21">
        <f t="shared" si="11"/>
        <v>1</v>
      </c>
      <c r="B722" s="2">
        <v>46121</v>
      </c>
      <c r="C722" s="2" t="s">
        <v>54</v>
      </c>
      <c r="D722" s="44" t="s">
        <v>23</v>
      </c>
      <c r="E722" s="22" t="str">
        <f>IF(D722&lt;&gt;"",IFERROR(INDEX(Produtos!$C$4:$C$4996,MATCH(D722,Produtos!$B$4:$B$4996,0)),"Produto não encontrado"),"")</f>
        <v>LAJE INFERIOR DE 1000</v>
      </c>
      <c r="F722" s="3">
        <v>1</v>
      </c>
      <c r="G722" s="1" t="s">
        <v>167</v>
      </c>
    </row>
    <row r="723" spans="1:8" x14ac:dyDescent="0.3">
      <c r="A723" s="21">
        <f t="shared" si="11"/>
        <v>2</v>
      </c>
      <c r="B723" s="2">
        <v>46121</v>
      </c>
      <c r="C723" s="2" t="s">
        <v>28</v>
      </c>
      <c r="D723" s="44" t="s">
        <v>80</v>
      </c>
      <c r="E723" s="22" t="str">
        <f>IF(D723&lt;&gt;"",IFERROR(INDEX(Produtos!$C$4:$C$4996,MATCH(D723,Produtos!$B$4:$B$4996,0)),"Produto não encontrado"),"")</f>
        <v>ANEIS DE BORRACHA PARA PV 1000x1000</v>
      </c>
      <c r="F723" s="3">
        <v>80</v>
      </c>
      <c r="G723" s="1" t="s">
        <v>185</v>
      </c>
    </row>
    <row r="724" spans="1:8" x14ac:dyDescent="0.3">
      <c r="A724" s="21">
        <f t="shared" si="11"/>
        <v>1</v>
      </c>
      <c r="B724" s="2">
        <v>46121</v>
      </c>
      <c r="C724" s="2" t="s">
        <v>54</v>
      </c>
      <c r="D724" s="44" t="s">
        <v>65</v>
      </c>
      <c r="E724" s="22" t="str">
        <f>IF(D724&lt;&gt;"",IFERROR(INDEX(Produtos!$C$4:$C$4996,MATCH(D724,Produtos!$B$4:$B$4996,0)),"Produto não encontrado"),"")</f>
        <v>TUBO ESGOTO PVC DN 100</v>
      </c>
      <c r="F724" s="3">
        <v>2</v>
      </c>
      <c r="G724" s="1" t="s">
        <v>166</v>
      </c>
    </row>
    <row r="725" spans="1:8" x14ac:dyDescent="0.3">
      <c r="A725" s="21">
        <f t="shared" si="11"/>
        <v>1</v>
      </c>
      <c r="B725" s="2">
        <v>46121</v>
      </c>
      <c r="C725" s="2" t="s">
        <v>54</v>
      </c>
      <c r="D725" s="44" t="s">
        <v>63</v>
      </c>
      <c r="E725" s="22" t="str">
        <f>IF(D725&lt;&gt;"",IFERROR(INDEX(Produtos!$C$4:$C$4996,MATCH(D725,Produtos!$B$4:$B$4996,0)),"Produto não encontrado"),"")</f>
        <v>TUBO ESGOTO PVC DN 200</v>
      </c>
      <c r="F725" s="3">
        <v>1</v>
      </c>
      <c r="G725" s="1" t="s">
        <v>169</v>
      </c>
    </row>
    <row r="726" spans="1:8" x14ac:dyDescent="0.3">
      <c r="A726" s="21">
        <f t="shared" si="11"/>
        <v>1</v>
      </c>
      <c r="B726" s="2">
        <v>46122</v>
      </c>
      <c r="C726" s="2" t="s">
        <v>54</v>
      </c>
      <c r="D726" s="44" t="s">
        <v>21</v>
      </c>
      <c r="E726" s="22" t="str">
        <f>IF(D726&lt;&gt;"",IFERROR(INDEX(Produtos!$C$4:$C$4996,MATCH(D726,Produtos!$B$4:$B$4996,0)),"Produto não encontrado"),"")</f>
        <v>ADUELA DE 1000</v>
      </c>
      <c r="F726" s="3">
        <v>2</v>
      </c>
      <c r="G726" s="1" t="s">
        <v>163</v>
      </c>
    </row>
    <row r="727" spans="1:8" x14ac:dyDescent="0.3">
      <c r="A727" s="21">
        <f t="shared" si="11"/>
        <v>1</v>
      </c>
      <c r="B727" s="2">
        <v>46122</v>
      </c>
      <c r="C727" s="2" t="s">
        <v>54</v>
      </c>
      <c r="D727" s="44" t="s">
        <v>68</v>
      </c>
      <c r="E727" s="22" t="str">
        <f>IF(D727&lt;&gt;"",IFERROR(INDEX(Produtos!$C$4:$C$4996,MATCH(D727,Produtos!$B$4:$B$4996,0)),"Produto não encontrado"),"")</f>
        <v>BLOCO VEDAÇÃO 14 x 39</v>
      </c>
      <c r="F727" s="3">
        <v>154</v>
      </c>
      <c r="G727" s="1" t="s">
        <v>245</v>
      </c>
      <c r="H727" s="1" t="s">
        <v>234</v>
      </c>
    </row>
    <row r="728" spans="1:8" x14ac:dyDescent="0.3">
      <c r="A728" s="21">
        <f t="shared" si="11"/>
        <v>1</v>
      </c>
      <c r="B728" s="2">
        <v>46122</v>
      </c>
      <c r="C728" s="2" t="s">
        <v>54</v>
      </c>
      <c r="D728" s="44" t="s">
        <v>65</v>
      </c>
      <c r="E728" s="22" t="str">
        <f>IF(D728&lt;&gt;"",IFERROR(INDEX(Produtos!$C$4:$C$4996,MATCH(D728,Produtos!$B$4:$B$4996,0)),"Produto não encontrado"),"")</f>
        <v>TUBO ESGOTO PVC DN 100</v>
      </c>
      <c r="F728" s="3">
        <v>3</v>
      </c>
      <c r="G728" s="1" t="s">
        <v>166</v>
      </c>
    </row>
    <row r="729" spans="1:8" x14ac:dyDescent="0.3">
      <c r="A729" s="21">
        <f t="shared" si="11"/>
        <v>2</v>
      </c>
      <c r="B729" s="2">
        <v>46122</v>
      </c>
      <c r="C729" s="2" t="s">
        <v>28</v>
      </c>
      <c r="D729" s="44" t="s">
        <v>66</v>
      </c>
      <c r="E729" s="22" t="str">
        <f>IF(D729&lt;&gt;"",IFERROR(INDEX(Produtos!$C$4:$C$4996,MATCH(D729,Produtos!$B$4:$B$4996,0)),"Produto não encontrado"),"")</f>
        <v>CHAPA ARMICO</v>
      </c>
      <c r="F729" s="3">
        <v>60</v>
      </c>
      <c r="H729" s="1" t="s">
        <v>196</v>
      </c>
    </row>
    <row r="730" spans="1:8" x14ac:dyDescent="0.3">
      <c r="A730" s="21">
        <f t="shared" si="11"/>
        <v>1</v>
      </c>
      <c r="B730" s="2">
        <v>46122</v>
      </c>
      <c r="C730" s="2" t="s">
        <v>54</v>
      </c>
      <c r="D730" s="44" t="s">
        <v>66</v>
      </c>
      <c r="E730" s="22" t="str">
        <f>IF(D730&lt;&gt;"",IFERROR(INDEX(Produtos!$C$4:$C$4996,MATCH(D730,Produtos!$B$4:$B$4996,0)),"Produto não encontrado"),"")</f>
        <v>CHAPA ARMICO</v>
      </c>
      <c r="F730" s="3">
        <v>60</v>
      </c>
      <c r="G730" s="1" t="s">
        <v>204</v>
      </c>
      <c r="H730" s="1" t="s">
        <v>237</v>
      </c>
    </row>
    <row r="731" spans="1:8" x14ac:dyDescent="0.3">
      <c r="A731" s="21">
        <f t="shared" si="11"/>
        <v>1</v>
      </c>
      <c r="B731" s="2">
        <v>46122</v>
      </c>
      <c r="C731" s="2" t="s">
        <v>54</v>
      </c>
      <c r="D731" s="44" t="s">
        <v>73</v>
      </c>
      <c r="E731" s="22" t="str">
        <f>IF(D731&lt;&gt;"",IFERROR(INDEX(Produtos!$C$4:$C$4996,MATCH(D731,Produtos!$B$4:$B$4996,0)),"Produto não encontrado"),"")</f>
        <v>PARAFUSO SEXTAVADA 5/8</v>
      </c>
      <c r="F731" s="3">
        <v>200</v>
      </c>
      <c r="G731" s="1" t="s">
        <v>204</v>
      </c>
    </row>
    <row r="732" spans="1:8" x14ac:dyDescent="0.3">
      <c r="A732" s="21">
        <f t="shared" si="11"/>
        <v>1</v>
      </c>
      <c r="B732" s="2">
        <v>46122</v>
      </c>
      <c r="C732" s="2" t="s">
        <v>54</v>
      </c>
      <c r="D732" s="44" t="s">
        <v>74</v>
      </c>
      <c r="E732" s="22" t="str">
        <f>IF(D732&lt;&gt;"",IFERROR(INDEX(Produtos!$C$4:$C$4996,MATCH(D732,Produtos!$B$4:$B$4996,0)),"Produto não encontrado"),"")</f>
        <v xml:space="preserve">PARAFUSO QUADRADO 5/8 </v>
      </c>
      <c r="F732" s="3">
        <v>200</v>
      </c>
      <c r="G732" s="1" t="s">
        <v>204</v>
      </c>
    </row>
    <row r="733" spans="1:8" x14ac:dyDescent="0.3">
      <c r="A733" s="21">
        <f t="shared" si="11"/>
        <v>1</v>
      </c>
      <c r="B733" s="2">
        <v>46122</v>
      </c>
      <c r="C733" s="2" t="s">
        <v>54</v>
      </c>
      <c r="D733" s="44" t="s">
        <v>75</v>
      </c>
      <c r="E733" s="22" t="str">
        <f>IF(D733&lt;&gt;"",IFERROR(INDEX(Produtos!$C$4:$C$4996,MATCH(D733,Produtos!$B$4:$B$4996,0)),"Produto não encontrado"),"")</f>
        <v>PORCA SEXTAVADA 5/8</v>
      </c>
      <c r="F733" s="3">
        <v>400</v>
      </c>
      <c r="G733" s="1" t="s">
        <v>204</v>
      </c>
    </row>
    <row r="734" spans="1:8" x14ac:dyDescent="0.3">
      <c r="A734" s="21">
        <f t="shared" si="11"/>
        <v>1</v>
      </c>
      <c r="B734" s="2">
        <v>46122</v>
      </c>
      <c r="C734" s="2" t="s">
        <v>54</v>
      </c>
      <c r="D734" s="44" t="s">
        <v>21</v>
      </c>
      <c r="E734" s="22" t="str">
        <f>IF(D734&lt;&gt;"",IFERROR(INDEX(Produtos!$C$4:$C$4996,MATCH(D734,Produtos!$B$4:$B$4996,0)),"Produto não encontrado"),"")</f>
        <v>ADUELA DE 1000</v>
      </c>
      <c r="F734" s="3">
        <v>2</v>
      </c>
      <c r="G734" s="1" t="s">
        <v>169</v>
      </c>
    </row>
    <row r="735" spans="1:8" x14ac:dyDescent="0.3">
      <c r="A735" s="21">
        <f t="shared" si="11"/>
        <v>1</v>
      </c>
      <c r="B735" s="2">
        <v>46122</v>
      </c>
      <c r="C735" s="2" t="s">
        <v>54</v>
      </c>
      <c r="D735" s="44" t="s">
        <v>23</v>
      </c>
      <c r="E735" s="22" t="str">
        <f>IF(D735&lt;&gt;"",IFERROR(INDEX(Produtos!$C$4:$C$4996,MATCH(D735,Produtos!$B$4:$B$4996,0)),"Produto não encontrado"),"")</f>
        <v>LAJE INFERIOR DE 1000</v>
      </c>
      <c r="F735" s="3">
        <v>1</v>
      </c>
      <c r="G735" s="1" t="s">
        <v>169</v>
      </c>
    </row>
    <row r="736" spans="1:8" x14ac:dyDescent="0.3">
      <c r="A736" s="21">
        <f t="shared" si="11"/>
        <v>1</v>
      </c>
      <c r="B736" s="2">
        <v>46122</v>
      </c>
      <c r="C736" s="2" t="s">
        <v>54</v>
      </c>
      <c r="D736" s="44" t="s">
        <v>56</v>
      </c>
      <c r="E736" s="22" t="str">
        <f>IF(D736&lt;&gt;"",IFERROR(INDEX(Produtos!$C$4:$C$4996,MATCH(D736,Produtos!$B$4:$B$4996,0)),"Produto não encontrado"),"")</f>
        <v>LAJE SURPERIOR DE 1000</v>
      </c>
      <c r="F736" s="3">
        <v>1</v>
      </c>
      <c r="G736" s="1" t="s">
        <v>169</v>
      </c>
    </row>
    <row r="737" spans="1:8" x14ac:dyDescent="0.3">
      <c r="A737" s="21">
        <f t="shared" si="11"/>
        <v>1</v>
      </c>
      <c r="B737" s="2">
        <v>46122</v>
      </c>
      <c r="C737" s="2" t="s">
        <v>54</v>
      </c>
      <c r="D737" s="44" t="s">
        <v>69</v>
      </c>
      <c r="E737" s="22" t="str">
        <f>IF(D737&lt;&gt;"",IFERROR(INDEX(Produtos!$C$4:$C$4996,MATCH(D737,Produtos!$B$4:$B$4996,0)),"Produto não encontrado"),"")</f>
        <v>GUIA</v>
      </c>
      <c r="F737" s="3">
        <v>8</v>
      </c>
      <c r="G737" s="1" t="s">
        <v>246</v>
      </c>
    </row>
    <row r="738" spans="1:8" x14ac:dyDescent="0.3">
      <c r="A738" s="21">
        <f t="shared" si="11"/>
        <v>1</v>
      </c>
      <c r="B738" s="2">
        <v>46122</v>
      </c>
      <c r="C738" s="2" t="s">
        <v>54</v>
      </c>
      <c r="D738" s="44" t="s">
        <v>21</v>
      </c>
      <c r="E738" s="22" t="str">
        <f>IF(D738&lt;&gt;"",IFERROR(INDEX(Produtos!$C$4:$C$4996,MATCH(D738,Produtos!$B$4:$B$4996,0)),"Produto não encontrado"),"")</f>
        <v>ADUELA DE 1000</v>
      </c>
      <c r="F738" s="3">
        <v>2</v>
      </c>
      <c r="G738" s="1" t="s">
        <v>161</v>
      </c>
    </row>
    <row r="739" spans="1:8" x14ac:dyDescent="0.3">
      <c r="A739" s="21">
        <f t="shared" si="11"/>
        <v>1</v>
      </c>
      <c r="B739" s="2">
        <v>46122</v>
      </c>
      <c r="C739" s="2" t="s">
        <v>54</v>
      </c>
      <c r="D739" s="44" t="s">
        <v>23</v>
      </c>
      <c r="E739" s="22" t="str">
        <f>IF(D739&lt;&gt;"",IFERROR(INDEX(Produtos!$C$4:$C$4996,MATCH(D739,Produtos!$B$4:$B$4996,0)),"Produto não encontrado"),"")</f>
        <v>LAJE INFERIOR DE 1000</v>
      </c>
      <c r="F739" s="3">
        <v>1</v>
      </c>
      <c r="G739" s="1" t="s">
        <v>161</v>
      </c>
    </row>
    <row r="740" spans="1:8" x14ac:dyDescent="0.3">
      <c r="A740" s="21">
        <f t="shared" si="11"/>
        <v>1</v>
      </c>
      <c r="B740" s="2">
        <v>46122</v>
      </c>
      <c r="C740" s="2" t="s">
        <v>54</v>
      </c>
      <c r="D740" s="44" t="s">
        <v>56</v>
      </c>
      <c r="E740" s="22" t="str">
        <f>IF(D740&lt;&gt;"",IFERROR(INDEX(Produtos!$C$4:$C$4996,MATCH(D740,Produtos!$B$4:$B$4996,0)),"Produto não encontrado"),"")</f>
        <v>LAJE SURPERIOR DE 1000</v>
      </c>
      <c r="F740" s="3">
        <v>1</v>
      </c>
      <c r="G740" s="1" t="s">
        <v>161</v>
      </c>
    </row>
    <row r="741" spans="1:8" x14ac:dyDescent="0.3">
      <c r="A741" s="21">
        <f t="shared" si="11"/>
        <v>1</v>
      </c>
      <c r="B741" s="2">
        <v>46122</v>
      </c>
      <c r="C741" s="2" t="s">
        <v>54</v>
      </c>
      <c r="D741" s="44" t="s">
        <v>69</v>
      </c>
      <c r="E741" s="22" t="str">
        <f>IF(D741&lt;&gt;"",IFERROR(INDEX(Produtos!$C$4:$C$4996,MATCH(D741,Produtos!$B$4:$B$4996,0)),"Produto não encontrado"),"")</f>
        <v>GUIA</v>
      </c>
      <c r="F741" s="3">
        <v>5</v>
      </c>
      <c r="G741" s="1" t="s">
        <v>241</v>
      </c>
    </row>
    <row r="742" spans="1:8" x14ac:dyDescent="0.3">
      <c r="A742" s="21">
        <f t="shared" si="11"/>
        <v>1</v>
      </c>
      <c r="B742" s="2">
        <v>46123</v>
      </c>
      <c r="C742" s="2" t="s">
        <v>54</v>
      </c>
      <c r="D742" s="44" t="s">
        <v>21</v>
      </c>
      <c r="E742" s="22" t="str">
        <f>IF(D742&lt;&gt;"",IFERROR(INDEX(Produtos!$C$4:$C$4996,MATCH(D742,Produtos!$B$4:$B$4996,0)),"Produto não encontrado"),"")</f>
        <v>ADUELA DE 1000</v>
      </c>
      <c r="F742" s="3">
        <v>3</v>
      </c>
      <c r="G742" s="1" t="s">
        <v>163</v>
      </c>
    </row>
    <row r="743" spans="1:8" x14ac:dyDescent="0.3">
      <c r="A743" s="21">
        <f t="shared" si="11"/>
        <v>1</v>
      </c>
      <c r="B743" s="2">
        <v>46123</v>
      </c>
      <c r="C743" s="2" t="s">
        <v>54</v>
      </c>
      <c r="D743" s="44" t="s">
        <v>65</v>
      </c>
      <c r="E743" s="22" t="str">
        <f>IF(D743&lt;&gt;"",IFERROR(INDEX(Produtos!$C$4:$C$4996,MATCH(D743,Produtos!$B$4:$B$4996,0)),"Produto não encontrado"),"")</f>
        <v>TUBO ESGOTO PVC DN 100</v>
      </c>
      <c r="F743" s="3">
        <v>3</v>
      </c>
      <c r="G743" s="1" t="s">
        <v>166</v>
      </c>
    </row>
    <row r="744" spans="1:8" x14ac:dyDescent="0.3">
      <c r="A744" s="21">
        <f t="shared" si="11"/>
        <v>1</v>
      </c>
      <c r="B744" s="2">
        <v>46123</v>
      </c>
      <c r="C744" s="2" t="s">
        <v>54</v>
      </c>
      <c r="D744" s="44" t="s">
        <v>63</v>
      </c>
      <c r="E744" s="22" t="str">
        <f>IF(D744&lt;&gt;"",IFERROR(INDEX(Produtos!$C$4:$C$4996,MATCH(D744,Produtos!$B$4:$B$4996,0)),"Produto não encontrado"),"")</f>
        <v>TUBO ESGOTO PVC DN 200</v>
      </c>
      <c r="F744" s="3">
        <v>20</v>
      </c>
      <c r="G744" s="1" t="s">
        <v>170</v>
      </c>
      <c r="H744" s="1" t="s">
        <v>247</v>
      </c>
    </row>
    <row r="745" spans="1:8" x14ac:dyDescent="0.3">
      <c r="A745" s="21">
        <f t="shared" si="11"/>
        <v>1</v>
      </c>
      <c r="B745" s="2">
        <v>46123</v>
      </c>
      <c r="C745" s="2" t="s">
        <v>54</v>
      </c>
      <c r="D745" s="44" t="s">
        <v>62</v>
      </c>
      <c r="E745" s="22" t="str">
        <f>IF(D745&lt;&gt;"",IFERROR(INDEX(Produtos!$C$4:$C$4996,MATCH(D745,Produtos!$B$4:$B$4996,0)),"Produto não encontrado"),"")</f>
        <v>TUBO ESGOTO PVC DN 300</v>
      </c>
      <c r="F745" s="3">
        <v>1</v>
      </c>
      <c r="G745" s="1" t="s">
        <v>161</v>
      </c>
    </row>
    <row r="746" spans="1:8" x14ac:dyDescent="0.3">
      <c r="A746" s="21">
        <f t="shared" si="11"/>
        <v>1</v>
      </c>
      <c r="B746" s="2">
        <v>46123</v>
      </c>
      <c r="C746" s="2" t="s">
        <v>54</v>
      </c>
      <c r="D746" s="44" t="s">
        <v>21</v>
      </c>
      <c r="E746" s="22" t="str">
        <f>IF(D746&lt;&gt;"",IFERROR(INDEX(Produtos!$C$4:$C$4996,MATCH(D746,Produtos!$B$4:$B$4996,0)),"Produto não encontrado"),"")</f>
        <v>ADUELA DE 1000</v>
      </c>
      <c r="F746" s="3">
        <v>2</v>
      </c>
      <c r="G746" s="1" t="s">
        <v>170</v>
      </c>
    </row>
    <row r="747" spans="1:8" x14ac:dyDescent="0.3">
      <c r="A747" s="21">
        <f t="shared" si="11"/>
        <v>1</v>
      </c>
      <c r="B747" s="2">
        <v>46123</v>
      </c>
      <c r="C747" s="2" t="s">
        <v>54</v>
      </c>
      <c r="D747" s="44" t="s">
        <v>71</v>
      </c>
      <c r="E747" s="22" t="str">
        <f>IF(D747&lt;&gt;"",IFERROR(INDEX(Produtos!$C$4:$C$4996,MATCH(D747,Produtos!$B$4:$B$4996,0)),"Produto não encontrado"),"")</f>
        <v>LAJE PRE MONTADA / TAMPÃO DN 600</v>
      </c>
      <c r="F747" s="3">
        <v>1</v>
      </c>
      <c r="G747" s="1" t="s">
        <v>170</v>
      </c>
    </row>
    <row r="748" spans="1:8" x14ac:dyDescent="0.3">
      <c r="A748" s="21">
        <f t="shared" si="11"/>
        <v>1</v>
      </c>
      <c r="B748" s="2">
        <v>46123</v>
      </c>
      <c r="C748" s="2" t="s">
        <v>54</v>
      </c>
      <c r="D748" s="44" t="s">
        <v>23</v>
      </c>
      <c r="E748" s="22" t="str">
        <f>IF(D748&lt;&gt;"",IFERROR(INDEX(Produtos!$C$4:$C$4996,MATCH(D748,Produtos!$B$4:$B$4996,0)),"Produto não encontrado"),"")</f>
        <v>LAJE INFERIOR DE 1000</v>
      </c>
      <c r="F748" s="3">
        <v>1</v>
      </c>
      <c r="G748" s="1" t="s">
        <v>170</v>
      </c>
    </row>
    <row r="749" spans="1:8" x14ac:dyDescent="0.3">
      <c r="A749" s="21">
        <f t="shared" si="11"/>
        <v>1</v>
      </c>
      <c r="B749" s="2">
        <v>46124</v>
      </c>
      <c r="C749" s="2" t="s">
        <v>54</v>
      </c>
      <c r="D749" s="44" t="s">
        <v>56</v>
      </c>
      <c r="E749" s="22" t="str">
        <f>IF(D749&lt;&gt;"",IFERROR(INDEX(Produtos!$C$4:$C$4996,MATCH(D749,Produtos!$B$4:$B$4996,0)),"Produto não encontrado"),"")</f>
        <v>LAJE SURPERIOR DE 1000</v>
      </c>
      <c r="F749" s="3">
        <v>1</v>
      </c>
      <c r="G749" s="1" t="s">
        <v>193</v>
      </c>
    </row>
    <row r="750" spans="1:8" x14ac:dyDescent="0.3">
      <c r="A750" s="21">
        <f t="shared" si="11"/>
        <v>1</v>
      </c>
      <c r="B750" s="2">
        <v>46124</v>
      </c>
      <c r="C750" s="2" t="s">
        <v>54</v>
      </c>
      <c r="D750" s="44" t="s">
        <v>67</v>
      </c>
      <c r="E750" s="22" t="str">
        <f>IF(D750&lt;&gt;"",IFERROR(INDEX(Produtos!$C$4:$C$4996,MATCH(D750,Produtos!$B$4:$B$4996,0)),"Produto não encontrado"),"")</f>
        <v>BLOCO DE PV</v>
      </c>
      <c r="F750" s="3">
        <v>26</v>
      </c>
      <c r="G750" s="1" t="s">
        <v>193</v>
      </c>
    </row>
    <row r="751" spans="1:8" x14ac:dyDescent="0.3">
      <c r="A751" s="21">
        <f t="shared" si="11"/>
        <v>1</v>
      </c>
      <c r="B751" s="2">
        <v>46124</v>
      </c>
      <c r="C751" s="2" t="s">
        <v>54</v>
      </c>
      <c r="D751" s="44" t="s">
        <v>73</v>
      </c>
      <c r="E751" s="22" t="str">
        <f>IF(D751&lt;&gt;"",IFERROR(INDEX(Produtos!$C$4:$C$4996,MATCH(D751,Produtos!$B$4:$B$4996,0)),"Produto não encontrado"),"")</f>
        <v>PARAFUSO SEXTAVADA 5/8</v>
      </c>
      <c r="F751" s="3">
        <v>200</v>
      </c>
      <c r="G751" s="1" t="s">
        <v>170</v>
      </c>
    </row>
    <row r="752" spans="1:8" x14ac:dyDescent="0.3">
      <c r="A752" s="21">
        <f t="shared" si="11"/>
        <v>1</v>
      </c>
      <c r="B752" s="2">
        <v>46124</v>
      </c>
      <c r="C752" s="2" t="s">
        <v>54</v>
      </c>
      <c r="D752" s="44" t="s">
        <v>74</v>
      </c>
      <c r="E752" s="22" t="str">
        <f>IF(D752&lt;&gt;"",IFERROR(INDEX(Produtos!$C$4:$C$4996,MATCH(D752,Produtos!$B$4:$B$4996,0)),"Produto não encontrado"),"")</f>
        <v xml:space="preserve">PARAFUSO QUADRADO 5/8 </v>
      </c>
      <c r="F752" s="3">
        <v>200</v>
      </c>
      <c r="G752" s="1" t="s">
        <v>170</v>
      </c>
    </row>
    <row r="753" spans="1:8" x14ac:dyDescent="0.3">
      <c r="A753" s="21">
        <f t="shared" si="11"/>
        <v>1</v>
      </c>
      <c r="B753" s="2">
        <v>46124</v>
      </c>
      <c r="C753" s="2" t="s">
        <v>54</v>
      </c>
      <c r="D753" s="44" t="s">
        <v>75</v>
      </c>
      <c r="E753" s="22" t="str">
        <f>IF(D753&lt;&gt;"",IFERROR(INDEX(Produtos!$C$4:$C$4996,MATCH(D753,Produtos!$B$4:$B$4996,0)),"Produto não encontrado"),"")</f>
        <v>PORCA SEXTAVADA 5/8</v>
      </c>
      <c r="F753" s="3">
        <v>400</v>
      </c>
      <c r="G753" s="1" t="s">
        <v>170</v>
      </c>
    </row>
    <row r="754" spans="1:8" x14ac:dyDescent="0.3">
      <c r="A754" s="21">
        <f t="shared" si="11"/>
        <v>2</v>
      </c>
      <c r="B754" s="2">
        <v>46124</v>
      </c>
      <c r="C754" s="2" t="s">
        <v>28</v>
      </c>
      <c r="D754" s="44" t="s">
        <v>66</v>
      </c>
      <c r="E754" s="22" t="str">
        <f>IF(D754&lt;&gt;"",IFERROR(INDEX(Produtos!$C$4:$C$4996,MATCH(D754,Produtos!$B$4:$B$4996,0)),"Produto não encontrado"),"")</f>
        <v>CHAPA ARMICO</v>
      </c>
      <c r="F754" s="3">
        <v>30</v>
      </c>
      <c r="H754" s="1" t="s">
        <v>196</v>
      </c>
    </row>
    <row r="755" spans="1:8" x14ac:dyDescent="0.3">
      <c r="A755" s="21">
        <f t="shared" si="11"/>
        <v>1</v>
      </c>
      <c r="B755" s="2">
        <v>46124</v>
      </c>
      <c r="C755" s="2" t="s">
        <v>54</v>
      </c>
      <c r="D755" s="44" t="s">
        <v>66</v>
      </c>
      <c r="E755" s="22" t="str">
        <f>IF(D755&lt;&gt;"",IFERROR(INDEX(Produtos!$C$4:$C$4996,MATCH(D755,Produtos!$B$4:$B$4996,0)),"Produto não encontrado"),"")</f>
        <v>CHAPA ARMICO</v>
      </c>
      <c r="F755" s="3">
        <v>30</v>
      </c>
      <c r="G755" s="1" t="s">
        <v>170</v>
      </c>
      <c r="H755" s="1" t="s">
        <v>237</v>
      </c>
    </row>
    <row r="756" spans="1:8" x14ac:dyDescent="0.3">
      <c r="A756" s="21">
        <f t="shared" si="11"/>
        <v>1</v>
      </c>
      <c r="B756" s="2">
        <v>46124</v>
      </c>
      <c r="C756" s="2" t="s">
        <v>54</v>
      </c>
      <c r="D756" s="44" t="s">
        <v>22</v>
      </c>
      <c r="E756" s="22" t="str">
        <f>IF(D756&lt;&gt;"",IFERROR(INDEX(Produtos!$C$4:$C$4996,MATCH(D756,Produtos!$B$4:$B$4996,0)),"Produto não encontrado"),"")</f>
        <v>ADUELA DE 600</v>
      </c>
      <c r="F756" s="3">
        <v>1</v>
      </c>
      <c r="G756" s="1" t="s">
        <v>161</v>
      </c>
    </row>
    <row r="757" spans="1:8" x14ac:dyDescent="0.3">
      <c r="A757" s="21">
        <f t="shared" si="11"/>
        <v>1</v>
      </c>
      <c r="B757" s="2">
        <v>46124</v>
      </c>
      <c r="C757" s="2" t="s">
        <v>54</v>
      </c>
      <c r="D757" s="44" t="s">
        <v>21</v>
      </c>
      <c r="E757" s="22" t="str">
        <f>IF(D757&lt;&gt;"",IFERROR(INDEX(Produtos!$C$4:$C$4996,MATCH(D757,Produtos!$B$4:$B$4996,0)),"Produto não encontrado"),"")</f>
        <v>ADUELA DE 1000</v>
      </c>
      <c r="F757" s="3">
        <v>2</v>
      </c>
      <c r="G757" s="1" t="s">
        <v>169</v>
      </c>
    </row>
    <row r="758" spans="1:8" x14ac:dyDescent="0.3">
      <c r="A758" s="21">
        <f t="shared" si="11"/>
        <v>1</v>
      </c>
      <c r="B758" s="2">
        <v>46124</v>
      </c>
      <c r="C758" s="2" t="s">
        <v>54</v>
      </c>
      <c r="D758" s="44" t="s">
        <v>23</v>
      </c>
      <c r="E758" s="22" t="str">
        <f>IF(D758&lt;&gt;"",IFERROR(INDEX(Produtos!$C$4:$C$4996,MATCH(D758,Produtos!$B$4:$B$4996,0)),"Produto não encontrado"),"")</f>
        <v>LAJE INFERIOR DE 1000</v>
      </c>
      <c r="F758" s="3">
        <v>1</v>
      </c>
      <c r="G758" s="1" t="s">
        <v>169</v>
      </c>
    </row>
    <row r="759" spans="1:8" x14ac:dyDescent="0.3">
      <c r="A759" s="21">
        <f t="shared" si="11"/>
        <v>1</v>
      </c>
      <c r="B759" s="2">
        <v>46124</v>
      </c>
      <c r="C759" s="2" t="s">
        <v>54</v>
      </c>
      <c r="D759" s="44" t="s">
        <v>56</v>
      </c>
      <c r="E759" s="22" t="str">
        <f>IF(D759&lt;&gt;"",IFERROR(INDEX(Produtos!$C$4:$C$4996,MATCH(D759,Produtos!$B$4:$B$4996,0)),"Produto não encontrado"),"")</f>
        <v>LAJE SURPERIOR DE 1000</v>
      </c>
      <c r="F759" s="3">
        <v>1</v>
      </c>
      <c r="G759" s="1" t="s">
        <v>169</v>
      </c>
    </row>
    <row r="760" spans="1:8" x14ac:dyDescent="0.3">
      <c r="A760" s="21">
        <f t="shared" si="11"/>
        <v>1</v>
      </c>
      <c r="B760" s="2">
        <v>46124</v>
      </c>
      <c r="C760" s="2" t="s">
        <v>54</v>
      </c>
      <c r="D760" s="44" t="s">
        <v>21</v>
      </c>
      <c r="E760" s="22" t="str">
        <f>IF(D760&lt;&gt;"",IFERROR(INDEX(Produtos!$C$4:$C$4996,MATCH(D760,Produtos!$B$4:$B$4996,0)),"Produto não encontrado"),"")</f>
        <v>ADUELA DE 1000</v>
      </c>
      <c r="F760" s="3">
        <v>2</v>
      </c>
      <c r="G760" s="1" t="s">
        <v>161</v>
      </c>
    </row>
    <row r="761" spans="1:8" x14ac:dyDescent="0.3">
      <c r="A761" s="21">
        <f t="shared" si="11"/>
        <v>1</v>
      </c>
      <c r="B761" s="2">
        <v>46124</v>
      </c>
      <c r="C761" s="2" t="s">
        <v>54</v>
      </c>
      <c r="D761" s="44" t="s">
        <v>23</v>
      </c>
      <c r="E761" s="22" t="str">
        <f>IF(D761&lt;&gt;"",IFERROR(INDEX(Produtos!$C$4:$C$4996,MATCH(D761,Produtos!$B$4:$B$4996,0)),"Produto não encontrado"),"")</f>
        <v>LAJE INFERIOR DE 1000</v>
      </c>
      <c r="F761" s="3">
        <v>1</v>
      </c>
      <c r="G761" s="1" t="s">
        <v>161</v>
      </c>
    </row>
    <row r="762" spans="1:8" x14ac:dyDescent="0.3">
      <c r="A762" s="21">
        <f t="shared" si="11"/>
        <v>1</v>
      </c>
      <c r="B762" s="2">
        <v>46124</v>
      </c>
      <c r="C762" s="2" t="s">
        <v>54</v>
      </c>
      <c r="D762" s="44" t="s">
        <v>56</v>
      </c>
      <c r="E762" s="22" t="str">
        <f>IF(D762&lt;&gt;"",IFERROR(INDEX(Produtos!$C$4:$C$4996,MATCH(D762,Produtos!$B$4:$B$4996,0)),"Produto não encontrado"),"")</f>
        <v>LAJE SURPERIOR DE 1000</v>
      </c>
      <c r="F762" s="3">
        <v>1</v>
      </c>
      <c r="G762" s="1" t="s">
        <v>161</v>
      </c>
    </row>
    <row r="763" spans="1:8" x14ac:dyDescent="0.3">
      <c r="A763" s="21">
        <f t="shared" si="11"/>
        <v>1</v>
      </c>
      <c r="B763" s="2">
        <v>46125</v>
      </c>
      <c r="C763" s="2" t="s">
        <v>54</v>
      </c>
      <c r="D763" s="44" t="s">
        <v>21</v>
      </c>
      <c r="E763" s="22" t="str">
        <f>IF(D763&lt;&gt;"",IFERROR(INDEX(Produtos!$C$4:$C$4996,MATCH(D763,Produtos!$B$4:$B$4996,0)),"Produto não encontrado"),"")</f>
        <v>ADUELA DE 1000</v>
      </c>
      <c r="F763" s="3">
        <v>2</v>
      </c>
      <c r="G763" s="1" t="s">
        <v>193</v>
      </c>
    </row>
    <row r="764" spans="1:8" x14ac:dyDescent="0.3">
      <c r="A764" s="21">
        <f t="shared" si="11"/>
        <v>1</v>
      </c>
      <c r="B764" s="2">
        <v>46125</v>
      </c>
      <c r="C764" s="2" t="s">
        <v>54</v>
      </c>
      <c r="D764" s="44" t="s">
        <v>71</v>
      </c>
      <c r="E764" s="22" t="str">
        <f>IF(D764&lt;&gt;"",IFERROR(INDEX(Produtos!$C$4:$C$4996,MATCH(D764,Produtos!$B$4:$B$4996,0)),"Produto não encontrado"),"")</f>
        <v>LAJE PRE MONTADA / TAMPÃO DN 600</v>
      </c>
      <c r="F764" s="3">
        <v>1</v>
      </c>
      <c r="G764" s="1" t="s">
        <v>193</v>
      </c>
    </row>
    <row r="765" spans="1:8" x14ac:dyDescent="0.3">
      <c r="A765" s="21">
        <f t="shared" si="11"/>
        <v>1</v>
      </c>
      <c r="B765" s="2">
        <v>46125</v>
      </c>
      <c r="C765" s="2" t="s">
        <v>54</v>
      </c>
      <c r="D765" s="44" t="s">
        <v>21</v>
      </c>
      <c r="E765" s="22" t="str">
        <f>IF(D765&lt;&gt;"",IFERROR(INDEX(Produtos!$C$4:$C$4996,MATCH(D765,Produtos!$B$4:$B$4996,0)),"Produto não encontrado"),"")</f>
        <v>ADUELA DE 1000</v>
      </c>
      <c r="F765" s="3">
        <v>1</v>
      </c>
      <c r="G765" s="1" t="s">
        <v>192</v>
      </c>
    </row>
    <row r="766" spans="1:8" x14ac:dyDescent="0.3">
      <c r="A766" s="21">
        <f t="shared" si="11"/>
        <v>1</v>
      </c>
      <c r="B766" s="2">
        <v>46125</v>
      </c>
      <c r="C766" s="2" t="s">
        <v>54</v>
      </c>
      <c r="D766" s="44" t="s">
        <v>22</v>
      </c>
      <c r="E766" s="22" t="str">
        <f>IF(D766&lt;&gt;"",IFERROR(INDEX(Produtos!$C$4:$C$4996,MATCH(D766,Produtos!$B$4:$B$4996,0)),"Produto não encontrado"),"")</f>
        <v>ADUELA DE 600</v>
      </c>
      <c r="F766" s="3">
        <v>3</v>
      </c>
      <c r="G766" s="1" t="s">
        <v>192</v>
      </c>
    </row>
    <row r="767" spans="1:8" x14ac:dyDescent="0.3">
      <c r="A767" s="21">
        <f t="shared" si="11"/>
        <v>1</v>
      </c>
      <c r="B767" s="2">
        <v>46125</v>
      </c>
      <c r="C767" s="2" t="s">
        <v>54</v>
      </c>
      <c r="D767" s="44" t="s">
        <v>23</v>
      </c>
      <c r="E767" s="22" t="str">
        <f>IF(D767&lt;&gt;"",IFERROR(INDEX(Produtos!$C$4:$C$4996,MATCH(D767,Produtos!$B$4:$B$4996,0)),"Produto não encontrado"),"")</f>
        <v>LAJE INFERIOR DE 1000</v>
      </c>
      <c r="F767" s="3">
        <v>1</v>
      </c>
      <c r="G767" s="1" t="s">
        <v>192</v>
      </c>
    </row>
    <row r="768" spans="1:8" x14ac:dyDescent="0.3">
      <c r="A768" s="21">
        <f t="shared" ref="A768:A831" si="12">IF(C768="Entrada",2,IF(C768="Saída",1,"."))</f>
        <v>1</v>
      </c>
      <c r="B768" s="2">
        <v>46125</v>
      </c>
      <c r="C768" s="2" t="s">
        <v>54</v>
      </c>
      <c r="D768" s="44" t="s">
        <v>80</v>
      </c>
      <c r="E768" s="22" t="str">
        <f>IF(D768&lt;&gt;"",IFERROR(INDEX(Produtos!$C$4:$C$4996,MATCH(D768,Produtos!$B$4:$B$4996,0)),"Produto não encontrado"),"")</f>
        <v>ANEIS DE BORRACHA PARA PV 1000x1000</v>
      </c>
      <c r="F768" s="3">
        <v>1</v>
      </c>
      <c r="G768" s="1" t="s">
        <v>192</v>
      </c>
    </row>
    <row r="769" spans="1:7" x14ac:dyDescent="0.3">
      <c r="A769" s="21">
        <f t="shared" si="12"/>
        <v>1</v>
      </c>
      <c r="B769" s="2">
        <v>46125</v>
      </c>
      <c r="C769" s="2" t="s">
        <v>54</v>
      </c>
      <c r="D769" s="44" t="s">
        <v>21</v>
      </c>
      <c r="E769" s="22" t="str">
        <f>IF(D769&lt;&gt;"",IFERROR(INDEX(Produtos!$C$4:$C$4996,MATCH(D769,Produtos!$B$4:$B$4996,0)),"Produto não encontrado"),"")</f>
        <v>ADUELA DE 1000</v>
      </c>
      <c r="F769" s="3">
        <v>1</v>
      </c>
      <c r="G769" s="1" t="s">
        <v>174</v>
      </c>
    </row>
    <row r="770" spans="1:7" x14ac:dyDescent="0.3">
      <c r="A770" s="21">
        <f t="shared" si="12"/>
        <v>1</v>
      </c>
      <c r="B770" s="2">
        <v>46125</v>
      </c>
      <c r="C770" s="2" t="s">
        <v>54</v>
      </c>
      <c r="D770" s="44" t="s">
        <v>23</v>
      </c>
      <c r="E770" s="22" t="str">
        <f>IF(D770&lt;&gt;"",IFERROR(INDEX(Produtos!$C$4:$C$4996,MATCH(D770,Produtos!$B$4:$B$4996,0)),"Produto não encontrado"),"")</f>
        <v>LAJE INFERIOR DE 1000</v>
      </c>
      <c r="F770" s="3">
        <v>1</v>
      </c>
      <c r="G770" s="1" t="s">
        <v>174</v>
      </c>
    </row>
    <row r="771" spans="1:7" x14ac:dyDescent="0.3">
      <c r="A771" s="21">
        <f t="shared" si="12"/>
        <v>1</v>
      </c>
      <c r="B771" s="2">
        <v>46125</v>
      </c>
      <c r="C771" s="2" t="s">
        <v>54</v>
      </c>
      <c r="D771" s="44" t="s">
        <v>22</v>
      </c>
      <c r="E771" s="22" t="str">
        <f>IF(D771&lt;&gt;"",IFERROR(INDEX(Produtos!$C$4:$C$4996,MATCH(D771,Produtos!$B$4:$B$4996,0)),"Produto não encontrado"),"")</f>
        <v>ADUELA DE 600</v>
      </c>
      <c r="F771" s="3">
        <v>3</v>
      </c>
      <c r="G771" s="1" t="s">
        <v>160</v>
      </c>
    </row>
    <row r="772" spans="1:7" x14ac:dyDescent="0.3">
      <c r="A772" s="21">
        <f t="shared" si="12"/>
        <v>1</v>
      </c>
      <c r="B772" s="2">
        <v>46125</v>
      </c>
      <c r="C772" s="2" t="s">
        <v>54</v>
      </c>
      <c r="D772" s="44" t="s">
        <v>21</v>
      </c>
      <c r="E772" s="22" t="str">
        <f>IF(D772&lt;&gt;"",IFERROR(INDEX(Produtos!$C$4:$C$4996,MATCH(D772,Produtos!$B$4:$B$4996,0)),"Produto não encontrado"),"")</f>
        <v>ADUELA DE 1000</v>
      </c>
      <c r="F772" s="3">
        <v>1</v>
      </c>
      <c r="G772" s="1" t="s">
        <v>193</v>
      </c>
    </row>
    <row r="773" spans="1:7" x14ac:dyDescent="0.3">
      <c r="A773" s="21">
        <f t="shared" si="12"/>
        <v>2</v>
      </c>
      <c r="B773" s="2">
        <v>46125</v>
      </c>
      <c r="C773" s="2" t="s">
        <v>28</v>
      </c>
      <c r="D773" s="44" t="s">
        <v>59</v>
      </c>
      <c r="E773" s="22" t="str">
        <f>IF(D773&lt;&gt;"",IFERROR(INDEX(Produtos!$C$4:$C$4996,MATCH(D773,Produtos!$B$4:$B$4996,0)),"Produto não encontrado"),"")</f>
        <v>TUBO PEAD ESGOTO D 225</v>
      </c>
      <c r="F773" s="3">
        <v>224</v>
      </c>
      <c r="G773" s="1" t="s">
        <v>248</v>
      </c>
    </row>
    <row r="774" spans="1:7" x14ac:dyDescent="0.3">
      <c r="A774" s="21">
        <f t="shared" si="12"/>
        <v>1</v>
      </c>
      <c r="B774" s="2">
        <v>46125</v>
      </c>
      <c r="C774" s="2" t="s">
        <v>54</v>
      </c>
      <c r="D774" s="44" t="s">
        <v>59</v>
      </c>
      <c r="E774" s="22" t="str">
        <f>IF(D774&lt;&gt;"",IFERROR(INDEX(Produtos!$C$4:$C$4996,MATCH(D774,Produtos!$B$4:$B$4996,0)),"Produto não encontrado"),"")</f>
        <v>TUBO PEAD ESGOTO D 225</v>
      </c>
      <c r="F774" s="3">
        <v>14</v>
      </c>
      <c r="G774" s="1" t="s">
        <v>160</v>
      </c>
    </row>
    <row r="775" spans="1:7" x14ac:dyDescent="0.3">
      <c r="A775" s="21">
        <f t="shared" si="12"/>
        <v>1</v>
      </c>
      <c r="B775" s="2">
        <v>46125</v>
      </c>
      <c r="C775" s="2" t="s">
        <v>54</v>
      </c>
      <c r="D775" s="44" t="s">
        <v>22</v>
      </c>
      <c r="E775" s="22" t="str">
        <f>IF(D775&lt;&gt;"",IFERROR(INDEX(Produtos!$C$4:$C$4996,MATCH(D775,Produtos!$B$4:$B$4996,0)),"Produto não encontrado"),"")</f>
        <v>ADUELA DE 600</v>
      </c>
      <c r="F775" s="3">
        <v>1</v>
      </c>
      <c r="G775" s="1" t="s">
        <v>169</v>
      </c>
    </row>
    <row r="776" spans="1:7" x14ac:dyDescent="0.3">
      <c r="A776" s="21">
        <f t="shared" si="12"/>
        <v>1</v>
      </c>
      <c r="B776" s="2">
        <v>46125</v>
      </c>
      <c r="C776" s="2" t="s">
        <v>54</v>
      </c>
      <c r="D776" s="44" t="s">
        <v>21</v>
      </c>
      <c r="E776" s="22" t="str">
        <f>IF(D776&lt;&gt;"",IFERROR(INDEX(Produtos!$C$4:$C$4996,MATCH(D776,Produtos!$B$4:$B$4996,0)),"Produto não encontrado"),"")</f>
        <v>ADUELA DE 1000</v>
      </c>
      <c r="F776" s="3">
        <v>2</v>
      </c>
      <c r="G776" s="1" t="s">
        <v>171</v>
      </c>
    </row>
    <row r="777" spans="1:7" x14ac:dyDescent="0.3">
      <c r="A777" s="21">
        <f t="shared" si="12"/>
        <v>1</v>
      </c>
      <c r="B777" s="2">
        <v>46125</v>
      </c>
      <c r="C777" s="2" t="s">
        <v>54</v>
      </c>
      <c r="D777" s="44" t="s">
        <v>56</v>
      </c>
      <c r="E777" s="22" t="str">
        <f>IF(D777&lt;&gt;"",IFERROR(INDEX(Produtos!$C$4:$C$4996,MATCH(D777,Produtos!$B$4:$B$4996,0)),"Produto não encontrado"),"")</f>
        <v>LAJE SURPERIOR DE 1000</v>
      </c>
      <c r="F777" s="3">
        <v>1</v>
      </c>
      <c r="G777" s="1" t="s">
        <v>171</v>
      </c>
    </row>
    <row r="778" spans="1:7" x14ac:dyDescent="0.3">
      <c r="A778" s="21">
        <f t="shared" si="12"/>
        <v>2</v>
      </c>
      <c r="B778" s="2">
        <v>46125</v>
      </c>
      <c r="C778" s="2" t="s">
        <v>28</v>
      </c>
      <c r="D778" s="44" t="s">
        <v>68</v>
      </c>
      <c r="E778" s="22" t="str">
        <f>IF(D778&lt;&gt;"",IFERROR(INDEX(Produtos!$C$4:$C$4996,MATCH(D778,Produtos!$B$4:$B$4996,0)),"Produto não encontrado"),"")</f>
        <v>BLOCO VEDAÇÃO 14 x 39</v>
      </c>
      <c r="F778" s="3">
        <v>1360</v>
      </c>
      <c r="G778" s="1" t="s">
        <v>249</v>
      </c>
    </row>
    <row r="779" spans="1:7" x14ac:dyDescent="0.3">
      <c r="A779" s="21">
        <f t="shared" si="12"/>
        <v>2</v>
      </c>
      <c r="B779" s="2">
        <v>46125</v>
      </c>
      <c r="C779" s="2" t="s">
        <v>28</v>
      </c>
      <c r="D779" s="44" t="s">
        <v>64</v>
      </c>
      <c r="E779" s="22" t="str">
        <f>IF(D779&lt;&gt;"",IFERROR(INDEX(Produtos!$C$4:$C$4996,MATCH(D779,Produtos!$B$4:$B$4996,0)),"Produto não encontrado"),"")</f>
        <v>TUBO ESGOTO PVC DN 150</v>
      </c>
      <c r="F779" s="3">
        <v>20</v>
      </c>
    </row>
    <row r="780" spans="1:7" x14ac:dyDescent="0.3">
      <c r="A780" s="21">
        <f t="shared" si="12"/>
        <v>1</v>
      </c>
      <c r="B780" s="2">
        <v>46125</v>
      </c>
      <c r="C780" s="2" t="s">
        <v>54</v>
      </c>
      <c r="D780" s="44" t="s">
        <v>68</v>
      </c>
      <c r="E780" s="22" t="str">
        <f>IF(D780&lt;&gt;"",IFERROR(INDEX(Produtos!$C$4:$C$4996,MATCH(D780,Produtos!$B$4:$B$4996,0)),"Produto não encontrado"),"")</f>
        <v>BLOCO VEDAÇÃO 14 x 39</v>
      </c>
      <c r="F780" s="3">
        <v>30</v>
      </c>
      <c r="G780" s="1" t="s">
        <v>194</v>
      </c>
    </row>
    <row r="781" spans="1:7" x14ac:dyDescent="0.3">
      <c r="A781" s="21">
        <f t="shared" si="12"/>
        <v>1</v>
      </c>
      <c r="B781" s="2">
        <v>46125</v>
      </c>
      <c r="C781" s="2" t="s">
        <v>54</v>
      </c>
      <c r="D781" s="44" t="s">
        <v>73</v>
      </c>
      <c r="E781" s="22" t="str">
        <f>IF(D781&lt;&gt;"",IFERROR(INDEX(Produtos!$C$4:$C$4996,MATCH(D781,Produtos!$B$4:$B$4996,0)),"Produto não encontrado"),"")</f>
        <v>PARAFUSO SEXTAVADA 5/8</v>
      </c>
      <c r="F781" s="3">
        <v>200</v>
      </c>
      <c r="G781" s="1" t="s">
        <v>161</v>
      </c>
    </row>
    <row r="782" spans="1:7" x14ac:dyDescent="0.3">
      <c r="A782" s="21">
        <f t="shared" si="12"/>
        <v>1</v>
      </c>
      <c r="B782" s="2">
        <v>46125</v>
      </c>
      <c r="C782" s="2" t="s">
        <v>54</v>
      </c>
      <c r="D782" s="44" t="s">
        <v>74</v>
      </c>
      <c r="E782" s="22" t="str">
        <f>IF(D782&lt;&gt;"",IFERROR(INDEX(Produtos!$C$4:$C$4996,MATCH(D782,Produtos!$B$4:$B$4996,0)),"Produto não encontrado"),"")</f>
        <v xml:space="preserve">PARAFUSO QUADRADO 5/8 </v>
      </c>
      <c r="F782" s="3">
        <v>200</v>
      </c>
      <c r="G782" s="1" t="s">
        <v>161</v>
      </c>
    </row>
    <row r="783" spans="1:7" x14ac:dyDescent="0.3">
      <c r="A783" s="21">
        <f t="shared" si="12"/>
        <v>1</v>
      </c>
      <c r="B783" s="2">
        <v>46125</v>
      </c>
      <c r="C783" s="2" t="s">
        <v>54</v>
      </c>
      <c r="D783" s="44" t="s">
        <v>75</v>
      </c>
      <c r="E783" s="22" t="str">
        <f>IF(D783&lt;&gt;"",IFERROR(INDEX(Produtos!$C$4:$C$4996,MATCH(D783,Produtos!$B$4:$B$4996,0)),"Produto não encontrado"),"")</f>
        <v>PORCA SEXTAVADA 5/8</v>
      </c>
      <c r="F783" s="3">
        <v>400</v>
      </c>
      <c r="G783" s="1" t="s">
        <v>161</v>
      </c>
    </row>
    <row r="784" spans="1:7" x14ac:dyDescent="0.3">
      <c r="A784" s="21">
        <f t="shared" si="12"/>
        <v>1</v>
      </c>
      <c r="B784" s="2">
        <v>46125</v>
      </c>
      <c r="C784" s="2" t="s">
        <v>54</v>
      </c>
      <c r="D784" s="44" t="s">
        <v>21</v>
      </c>
      <c r="E784" s="22" t="str">
        <f>IF(D784&lt;&gt;"",IFERROR(INDEX(Produtos!$C$4:$C$4996,MATCH(D784,Produtos!$B$4:$B$4996,0)),"Produto não encontrado"),"")</f>
        <v>ADUELA DE 1000</v>
      </c>
      <c r="F784" s="3">
        <v>1</v>
      </c>
      <c r="G784" s="1" t="s">
        <v>167</v>
      </c>
    </row>
    <row r="785" spans="1:8" x14ac:dyDescent="0.3">
      <c r="A785" s="21">
        <f t="shared" si="12"/>
        <v>1</v>
      </c>
      <c r="B785" s="2">
        <v>46125</v>
      </c>
      <c r="C785" s="2" t="s">
        <v>54</v>
      </c>
      <c r="D785" s="44" t="s">
        <v>22</v>
      </c>
      <c r="E785" s="22" t="str">
        <f>IF(D785&lt;&gt;"",IFERROR(INDEX(Produtos!$C$4:$C$4996,MATCH(D785,Produtos!$B$4:$B$4996,0)),"Produto não encontrado"),"")</f>
        <v>ADUELA DE 600</v>
      </c>
      <c r="F785" s="3">
        <v>2</v>
      </c>
      <c r="G785" s="1" t="s">
        <v>167</v>
      </c>
    </row>
    <row r="786" spans="1:8" x14ac:dyDescent="0.3">
      <c r="A786" s="21">
        <f t="shared" si="12"/>
        <v>1</v>
      </c>
      <c r="B786" s="2">
        <v>46125</v>
      </c>
      <c r="C786" s="2" t="s">
        <v>54</v>
      </c>
      <c r="D786" s="44" t="s">
        <v>55</v>
      </c>
      <c r="E786" s="22" t="str">
        <f>IF(D786&lt;&gt;"",IFERROR(INDEX(Produtos!$C$4:$C$4996,MATCH(D786,Produtos!$B$4:$B$4996,0)),"Produto não encontrado"),"")</f>
        <v>LAJE INFERIOR DE 600</v>
      </c>
      <c r="F786" s="3">
        <v>2</v>
      </c>
      <c r="G786" s="1" t="s">
        <v>167</v>
      </c>
    </row>
    <row r="787" spans="1:8" x14ac:dyDescent="0.3">
      <c r="A787" s="21">
        <f t="shared" si="12"/>
        <v>1</v>
      </c>
      <c r="B787" s="2">
        <v>46125</v>
      </c>
      <c r="C787" s="2" t="s">
        <v>54</v>
      </c>
      <c r="D787" s="44" t="s">
        <v>71</v>
      </c>
      <c r="E787" s="22" t="str">
        <f>IF(D787&lt;&gt;"",IFERROR(INDEX(Produtos!$C$4:$C$4996,MATCH(D787,Produtos!$B$4:$B$4996,0)),"Produto não encontrado"),"")</f>
        <v>LAJE PRE MONTADA / TAMPÃO DN 600</v>
      </c>
      <c r="F787" s="3">
        <v>1</v>
      </c>
      <c r="G787" s="1" t="s">
        <v>174</v>
      </c>
    </row>
    <row r="788" spans="1:8" x14ac:dyDescent="0.3">
      <c r="A788" s="21">
        <f t="shared" si="12"/>
        <v>1</v>
      </c>
      <c r="B788" s="2">
        <v>46125</v>
      </c>
      <c r="C788" s="2" t="s">
        <v>54</v>
      </c>
      <c r="D788" s="44" t="s">
        <v>64</v>
      </c>
      <c r="E788" s="22" t="str">
        <f>IF(D788&lt;&gt;"",IFERROR(INDEX(Produtos!$C$4:$C$4996,MATCH(D788,Produtos!$B$4:$B$4996,0)),"Produto não encontrado"),"")</f>
        <v>TUBO ESGOTO PVC DN 150</v>
      </c>
      <c r="F788" s="3">
        <v>1</v>
      </c>
      <c r="G788" s="1" t="s">
        <v>174</v>
      </c>
    </row>
    <row r="789" spans="1:8" x14ac:dyDescent="0.3">
      <c r="A789" s="21">
        <f t="shared" si="12"/>
        <v>1</v>
      </c>
      <c r="B789" s="2">
        <v>46125</v>
      </c>
      <c r="C789" s="2" t="s">
        <v>54</v>
      </c>
      <c r="D789" s="44" t="s">
        <v>67</v>
      </c>
      <c r="E789" s="22" t="str">
        <f>IF(D789&lt;&gt;"",IFERROR(INDEX(Produtos!$C$4:$C$4996,MATCH(D789,Produtos!$B$4:$B$4996,0)),"Produto não encontrado"),"")</f>
        <v>BLOCO DE PV</v>
      </c>
      <c r="F789" s="3">
        <v>24</v>
      </c>
      <c r="G789" s="1" t="s">
        <v>174</v>
      </c>
    </row>
    <row r="790" spans="1:8" x14ac:dyDescent="0.3">
      <c r="A790" s="21">
        <f t="shared" si="12"/>
        <v>1</v>
      </c>
      <c r="B790" s="2">
        <v>46126</v>
      </c>
      <c r="C790" s="2" t="s">
        <v>54</v>
      </c>
      <c r="D790" s="44" t="s">
        <v>21</v>
      </c>
      <c r="E790" s="22" t="str">
        <f>IF(D790&lt;&gt;"",IFERROR(INDEX(Produtos!$C$4:$C$4996,MATCH(D790,Produtos!$B$4:$B$4996,0)),"Produto não encontrado"),"")</f>
        <v>ADUELA DE 1000</v>
      </c>
      <c r="F790" s="3">
        <v>2</v>
      </c>
      <c r="G790" s="1" t="s">
        <v>250</v>
      </c>
    </row>
    <row r="791" spans="1:8" x14ac:dyDescent="0.3">
      <c r="A791" s="21">
        <f t="shared" si="12"/>
        <v>1</v>
      </c>
      <c r="B791" s="2">
        <v>46126</v>
      </c>
      <c r="C791" s="2" t="s">
        <v>54</v>
      </c>
      <c r="D791" s="44" t="s">
        <v>21</v>
      </c>
      <c r="E791" s="22" t="str">
        <f>IF(D791&lt;&gt;"",IFERROR(INDEX(Produtos!$C$4:$C$4996,MATCH(D791,Produtos!$B$4:$B$4996,0)),"Produto não encontrado"),"")</f>
        <v>ADUELA DE 1000</v>
      </c>
      <c r="F791" s="3">
        <v>1</v>
      </c>
      <c r="G791" s="1" t="s">
        <v>250</v>
      </c>
    </row>
    <row r="792" spans="1:8" x14ac:dyDescent="0.3">
      <c r="A792" s="21">
        <f t="shared" si="12"/>
        <v>1</v>
      </c>
      <c r="B792" s="2">
        <v>46126</v>
      </c>
      <c r="C792" s="2" t="s">
        <v>54</v>
      </c>
      <c r="D792" s="44" t="s">
        <v>68</v>
      </c>
      <c r="E792" s="22" t="str">
        <f>IF(D792&lt;&gt;"",IFERROR(INDEX(Produtos!$C$4:$C$4996,MATCH(D792,Produtos!$B$4:$B$4996,0)),"Produto não encontrado"),"")</f>
        <v>BLOCO VEDAÇÃO 14 x 39</v>
      </c>
      <c r="F792" s="3">
        <v>100</v>
      </c>
      <c r="G792" s="1" t="s">
        <v>194</v>
      </c>
    </row>
    <row r="793" spans="1:8" x14ac:dyDescent="0.3">
      <c r="A793" s="21">
        <f t="shared" si="12"/>
        <v>1</v>
      </c>
      <c r="B793" s="2">
        <v>46126</v>
      </c>
      <c r="C793" s="2" t="s">
        <v>54</v>
      </c>
      <c r="D793" s="44" t="s">
        <v>71</v>
      </c>
      <c r="E793" s="22" t="str">
        <f>IF(D793&lt;&gt;"",IFERROR(INDEX(Produtos!$C$4:$C$4996,MATCH(D793,Produtos!$B$4:$B$4996,0)),"Produto não encontrado"),"")</f>
        <v>LAJE PRE MONTADA / TAMPÃO DN 600</v>
      </c>
      <c r="F793" s="3">
        <v>1</v>
      </c>
      <c r="G793" s="1" t="s">
        <v>250</v>
      </c>
    </row>
    <row r="794" spans="1:8" x14ac:dyDescent="0.3">
      <c r="A794" s="21">
        <f t="shared" si="12"/>
        <v>1</v>
      </c>
      <c r="B794" s="2">
        <v>46126</v>
      </c>
      <c r="C794" s="2" t="s">
        <v>54</v>
      </c>
      <c r="D794" s="44" t="s">
        <v>68</v>
      </c>
      <c r="E794" s="22" t="str">
        <f>IF(D794&lt;&gt;"",IFERROR(INDEX(Produtos!$C$4:$C$4996,MATCH(D794,Produtos!$B$4:$B$4996,0)),"Produto não encontrado"),"")</f>
        <v>BLOCO VEDAÇÃO 14 x 39</v>
      </c>
      <c r="F794" s="3">
        <v>100</v>
      </c>
      <c r="G794" s="1" t="s">
        <v>241</v>
      </c>
    </row>
    <row r="795" spans="1:8" x14ac:dyDescent="0.3">
      <c r="A795" s="21">
        <f t="shared" si="12"/>
        <v>1</v>
      </c>
      <c r="B795" s="2">
        <v>46126</v>
      </c>
      <c r="C795" s="2" t="s">
        <v>54</v>
      </c>
      <c r="D795" s="44" t="s">
        <v>64</v>
      </c>
      <c r="E795" s="22" t="str">
        <f>IF(D795&lt;&gt;"",IFERROR(INDEX(Produtos!$C$4:$C$4996,MATCH(D795,Produtos!$B$4:$B$4996,0)),"Produto não encontrado"),"")</f>
        <v>TUBO ESGOTO PVC DN 150</v>
      </c>
      <c r="F795" s="3">
        <v>1</v>
      </c>
      <c r="G795" s="1" t="s">
        <v>167</v>
      </c>
    </row>
    <row r="796" spans="1:8" x14ac:dyDescent="0.3">
      <c r="A796" s="21">
        <f t="shared" si="12"/>
        <v>1</v>
      </c>
      <c r="B796" s="2">
        <v>46126</v>
      </c>
      <c r="C796" s="2" t="s">
        <v>54</v>
      </c>
      <c r="D796" s="44" t="s">
        <v>71</v>
      </c>
      <c r="E796" s="22" t="str">
        <f>IF(D796&lt;&gt;"",IFERROR(INDEX(Produtos!$C$4:$C$4996,MATCH(D796,Produtos!$B$4:$B$4996,0)),"Produto não encontrado"),"")</f>
        <v>LAJE PRE MONTADA / TAMPÃO DN 600</v>
      </c>
      <c r="F796" s="3">
        <v>1</v>
      </c>
      <c r="G796" s="1" t="s">
        <v>167</v>
      </c>
    </row>
    <row r="797" spans="1:8" x14ac:dyDescent="0.3">
      <c r="A797" s="21">
        <f t="shared" si="12"/>
        <v>1</v>
      </c>
      <c r="B797" s="2">
        <v>46126</v>
      </c>
      <c r="C797" s="2" t="s">
        <v>54</v>
      </c>
      <c r="D797" s="44" t="s">
        <v>80</v>
      </c>
      <c r="E797" s="22" t="str">
        <f>IF(D797&lt;&gt;"",IFERROR(INDEX(Produtos!$C$4:$C$4996,MATCH(D797,Produtos!$B$4:$B$4996,0)),"Produto não encontrado"),"")</f>
        <v>ANEIS DE BORRACHA PARA PV 1000x1000</v>
      </c>
      <c r="F797" s="3">
        <v>4</v>
      </c>
      <c r="G797" s="1" t="s">
        <v>167</v>
      </c>
    </row>
    <row r="798" spans="1:8" x14ac:dyDescent="0.3">
      <c r="A798" s="21">
        <f t="shared" si="12"/>
        <v>1</v>
      </c>
      <c r="B798" s="2">
        <v>46126</v>
      </c>
      <c r="C798" s="2" t="s">
        <v>54</v>
      </c>
      <c r="D798" s="44" t="s">
        <v>22</v>
      </c>
      <c r="E798" s="22" t="str">
        <f>IF(D798&lt;&gt;"",IFERROR(INDEX(Produtos!$C$4:$C$4996,MATCH(D798,Produtos!$B$4:$B$4996,0)),"Produto não encontrado"),"")</f>
        <v>ADUELA DE 600</v>
      </c>
      <c r="F798" s="3">
        <v>3</v>
      </c>
      <c r="G798" s="1" t="s">
        <v>171</v>
      </c>
    </row>
    <row r="799" spans="1:8" x14ac:dyDescent="0.3">
      <c r="A799" s="21">
        <f t="shared" si="12"/>
        <v>1</v>
      </c>
      <c r="B799" s="2">
        <v>46126</v>
      </c>
      <c r="C799" s="2" t="s">
        <v>54</v>
      </c>
      <c r="D799" s="44" t="s">
        <v>55</v>
      </c>
      <c r="E799" s="22" t="str">
        <f>IF(D799&lt;&gt;"",IFERROR(INDEX(Produtos!$C$4:$C$4996,MATCH(D799,Produtos!$B$4:$B$4996,0)),"Produto não encontrado"),"")</f>
        <v>LAJE INFERIOR DE 600</v>
      </c>
      <c r="F799" s="3">
        <v>1</v>
      </c>
      <c r="G799" s="1" t="s">
        <v>171</v>
      </c>
    </row>
    <row r="800" spans="1:8" x14ac:dyDescent="0.3">
      <c r="A800" s="21">
        <f t="shared" si="12"/>
        <v>1</v>
      </c>
      <c r="B800" s="2">
        <v>46126</v>
      </c>
      <c r="C800" s="2" t="s">
        <v>54</v>
      </c>
      <c r="D800" s="44" t="s">
        <v>62</v>
      </c>
      <c r="E800" s="22" t="str">
        <f>IF(D800&lt;&gt;"",IFERROR(INDEX(Produtos!$C$4:$C$4996,MATCH(D800,Produtos!$B$4:$B$4996,0)),"Produto não encontrado"),"")</f>
        <v>TUBO ESGOTO PVC DN 300</v>
      </c>
      <c r="F800" s="3">
        <v>28</v>
      </c>
      <c r="G800" s="1" t="s">
        <v>212</v>
      </c>
      <c r="H800" s="1" t="s">
        <v>251</v>
      </c>
    </row>
    <row r="801" spans="1:8" x14ac:dyDescent="0.3">
      <c r="A801" s="21">
        <f t="shared" si="12"/>
        <v>1</v>
      </c>
      <c r="B801" s="2">
        <v>46126</v>
      </c>
      <c r="C801" s="2" t="s">
        <v>54</v>
      </c>
      <c r="D801" s="44" t="s">
        <v>67</v>
      </c>
      <c r="E801" s="22" t="str">
        <f>IF(D801&lt;&gt;"",IFERROR(INDEX(Produtos!$C$4:$C$4996,MATCH(D801,Produtos!$B$4:$B$4996,0)),"Produto não encontrado"),"")</f>
        <v>BLOCO DE PV</v>
      </c>
      <c r="F801" s="3">
        <v>7</v>
      </c>
      <c r="G801" s="1" t="s">
        <v>171</v>
      </c>
    </row>
    <row r="802" spans="1:8" x14ac:dyDescent="0.3">
      <c r="A802" s="21">
        <f t="shared" si="12"/>
        <v>1</v>
      </c>
      <c r="B802" s="2">
        <v>46126</v>
      </c>
      <c r="C802" s="2" t="s">
        <v>54</v>
      </c>
      <c r="D802" s="44" t="s">
        <v>63</v>
      </c>
      <c r="E802" s="22" t="str">
        <f>IF(D802&lt;&gt;"",IFERROR(INDEX(Produtos!$C$4:$C$4996,MATCH(D802,Produtos!$B$4:$B$4996,0)),"Produto não encontrado"),"")</f>
        <v>TUBO ESGOTO PVC DN 200</v>
      </c>
      <c r="F802" s="3">
        <v>2</v>
      </c>
      <c r="G802" s="1" t="s">
        <v>171</v>
      </c>
    </row>
    <row r="803" spans="1:8" x14ac:dyDescent="0.3">
      <c r="A803" s="21">
        <f t="shared" si="12"/>
        <v>1</v>
      </c>
      <c r="B803" s="2">
        <v>46126</v>
      </c>
      <c r="C803" s="2" t="s">
        <v>54</v>
      </c>
      <c r="D803" s="44" t="s">
        <v>73</v>
      </c>
      <c r="E803" s="22" t="str">
        <f>IF(D803&lt;&gt;"",IFERROR(INDEX(Produtos!$C$4:$C$4996,MATCH(D803,Produtos!$B$4:$B$4996,0)),"Produto não encontrado"),"")</f>
        <v>PARAFUSO SEXTAVADA 5/8</v>
      </c>
      <c r="F803" s="3">
        <v>200</v>
      </c>
      <c r="G803" s="1" t="s">
        <v>173</v>
      </c>
    </row>
    <row r="804" spans="1:8" x14ac:dyDescent="0.3">
      <c r="A804" s="21">
        <f t="shared" si="12"/>
        <v>1</v>
      </c>
      <c r="B804" s="2">
        <v>46126</v>
      </c>
      <c r="C804" s="2" t="s">
        <v>54</v>
      </c>
      <c r="D804" s="44" t="s">
        <v>74</v>
      </c>
      <c r="E804" s="22" t="str">
        <f>IF(D804&lt;&gt;"",IFERROR(INDEX(Produtos!$C$4:$C$4996,MATCH(D804,Produtos!$B$4:$B$4996,0)),"Produto não encontrado"),"")</f>
        <v xml:space="preserve">PARAFUSO QUADRADO 5/8 </v>
      </c>
      <c r="F804" s="3">
        <v>200</v>
      </c>
      <c r="G804" s="1" t="s">
        <v>173</v>
      </c>
    </row>
    <row r="805" spans="1:8" x14ac:dyDescent="0.3">
      <c r="A805" s="21">
        <f t="shared" si="12"/>
        <v>1</v>
      </c>
      <c r="B805" s="2">
        <v>46126</v>
      </c>
      <c r="C805" s="2" t="s">
        <v>54</v>
      </c>
      <c r="D805" s="44" t="s">
        <v>75</v>
      </c>
      <c r="E805" s="22" t="str">
        <f>IF(D805&lt;&gt;"",IFERROR(INDEX(Produtos!$C$4:$C$4996,MATCH(D805,Produtos!$B$4:$B$4996,0)),"Produto não encontrado"),"")</f>
        <v>PORCA SEXTAVADA 5/8</v>
      </c>
      <c r="F805" s="3">
        <v>400</v>
      </c>
      <c r="G805" s="1" t="s">
        <v>173</v>
      </c>
    </row>
    <row r="806" spans="1:8" x14ac:dyDescent="0.3">
      <c r="A806" s="21">
        <f t="shared" si="12"/>
        <v>1</v>
      </c>
      <c r="B806" s="2">
        <v>46126</v>
      </c>
      <c r="C806" s="2" t="s">
        <v>54</v>
      </c>
      <c r="D806" s="44" t="s">
        <v>73</v>
      </c>
      <c r="E806" s="22" t="str">
        <f>IF(D806&lt;&gt;"",IFERROR(INDEX(Produtos!$C$4:$C$4996,MATCH(D806,Produtos!$B$4:$B$4996,0)),"Produto não encontrado"),"")</f>
        <v>PARAFUSO SEXTAVADA 5/8</v>
      </c>
      <c r="F806" s="3">
        <v>200</v>
      </c>
      <c r="G806" s="1" t="s">
        <v>166</v>
      </c>
    </row>
    <row r="807" spans="1:8" x14ac:dyDescent="0.3">
      <c r="A807" s="21">
        <f t="shared" si="12"/>
        <v>1</v>
      </c>
      <c r="B807" s="2">
        <v>46126</v>
      </c>
      <c r="C807" s="2" t="s">
        <v>54</v>
      </c>
      <c r="D807" s="44" t="s">
        <v>74</v>
      </c>
      <c r="E807" s="22" t="str">
        <f>IF(D807&lt;&gt;"",IFERROR(INDEX(Produtos!$C$4:$C$4996,MATCH(D807,Produtos!$B$4:$B$4996,0)),"Produto não encontrado"),"")</f>
        <v xml:space="preserve">PARAFUSO QUADRADO 5/8 </v>
      </c>
      <c r="F807" s="3">
        <v>200</v>
      </c>
      <c r="G807" s="1" t="s">
        <v>166</v>
      </c>
    </row>
    <row r="808" spans="1:8" x14ac:dyDescent="0.3">
      <c r="A808" s="21">
        <f t="shared" si="12"/>
        <v>1</v>
      </c>
      <c r="B808" s="2">
        <v>46126</v>
      </c>
      <c r="C808" s="2" t="s">
        <v>54</v>
      </c>
      <c r="D808" s="44" t="s">
        <v>75</v>
      </c>
      <c r="E808" s="22" t="str">
        <f>IF(D808&lt;&gt;"",IFERROR(INDEX(Produtos!$C$4:$C$4996,MATCH(D808,Produtos!$B$4:$B$4996,0)),"Produto não encontrado"),"")</f>
        <v>PORCA SEXTAVADA 5/8</v>
      </c>
      <c r="F808" s="3">
        <v>400</v>
      </c>
      <c r="G808" s="1" t="s">
        <v>166</v>
      </c>
    </row>
    <row r="809" spans="1:8" x14ac:dyDescent="0.3">
      <c r="A809" s="21">
        <f t="shared" si="12"/>
        <v>2</v>
      </c>
      <c r="B809" s="2">
        <v>46126</v>
      </c>
      <c r="C809" s="2" t="s">
        <v>28</v>
      </c>
      <c r="D809" s="44" t="s">
        <v>59</v>
      </c>
      <c r="E809" s="22" t="str">
        <f>IF(D809&lt;&gt;"",IFERROR(INDEX(Produtos!$C$4:$C$4996,MATCH(D809,Produtos!$B$4:$B$4996,0)),"Produto não encontrado"),"")</f>
        <v>TUBO PEAD ESGOTO D 225</v>
      </c>
      <c r="F809" s="3">
        <v>16</v>
      </c>
      <c r="G809" s="1" t="s">
        <v>248</v>
      </c>
    </row>
    <row r="810" spans="1:8" x14ac:dyDescent="0.3">
      <c r="A810" s="21">
        <f t="shared" si="12"/>
        <v>1</v>
      </c>
      <c r="B810" s="2">
        <v>46126</v>
      </c>
      <c r="C810" s="2" t="s">
        <v>54</v>
      </c>
      <c r="D810" s="44" t="s">
        <v>22</v>
      </c>
      <c r="E810" s="22" t="str">
        <f>IF(D810&lt;&gt;"",IFERROR(INDEX(Produtos!$C$4:$C$4996,MATCH(D810,Produtos!$B$4:$B$4996,0)),"Produto não encontrado"),"")</f>
        <v>ADUELA DE 600</v>
      </c>
      <c r="F810" s="3">
        <v>1</v>
      </c>
      <c r="G810" s="1" t="s">
        <v>167</v>
      </c>
    </row>
    <row r="811" spans="1:8" x14ac:dyDescent="0.3">
      <c r="A811" s="21">
        <f t="shared" si="12"/>
        <v>1</v>
      </c>
      <c r="B811" s="2">
        <v>46127</v>
      </c>
      <c r="C811" s="2" t="s">
        <v>54</v>
      </c>
      <c r="D811" s="44" t="s">
        <v>21</v>
      </c>
      <c r="E811" s="22" t="str">
        <f>IF(D811&lt;&gt;"",IFERROR(INDEX(Produtos!$C$4:$C$4996,MATCH(D811,Produtos!$B$4:$B$4996,0)),"Produto não encontrado"),"")</f>
        <v>ADUELA DE 1000</v>
      </c>
      <c r="F811" s="3">
        <v>1</v>
      </c>
      <c r="G811" s="1" t="s">
        <v>169</v>
      </c>
    </row>
    <row r="812" spans="1:8" x14ac:dyDescent="0.3">
      <c r="A812" s="21">
        <f t="shared" si="12"/>
        <v>1</v>
      </c>
      <c r="B812" s="2">
        <v>46127</v>
      </c>
      <c r="C812" s="2" t="s">
        <v>54</v>
      </c>
      <c r="D812" s="44" t="s">
        <v>23</v>
      </c>
      <c r="E812" s="22" t="str">
        <f>IF(D812&lt;&gt;"",IFERROR(INDEX(Produtos!$C$4:$C$4996,MATCH(D812,Produtos!$B$4:$B$4996,0)),"Produto não encontrado"),"")</f>
        <v>LAJE INFERIOR DE 1000</v>
      </c>
      <c r="F812" s="3">
        <v>1</v>
      </c>
      <c r="G812" s="1" t="s">
        <v>169</v>
      </c>
    </row>
    <row r="813" spans="1:8" x14ac:dyDescent="0.3">
      <c r="A813" s="21">
        <f t="shared" si="12"/>
        <v>1</v>
      </c>
      <c r="B813" s="2">
        <v>46127</v>
      </c>
      <c r="C813" s="2" t="s">
        <v>54</v>
      </c>
      <c r="D813" s="44" t="s">
        <v>56</v>
      </c>
      <c r="E813" s="22" t="str">
        <f>IF(D813&lt;&gt;"",IFERROR(INDEX(Produtos!$C$4:$C$4996,MATCH(D813,Produtos!$B$4:$B$4996,0)),"Produto não encontrado"),"")</f>
        <v>LAJE SURPERIOR DE 1000</v>
      </c>
      <c r="F813" s="3">
        <v>1</v>
      </c>
      <c r="G813" s="1" t="s">
        <v>169</v>
      </c>
    </row>
    <row r="814" spans="1:8" x14ac:dyDescent="0.3">
      <c r="A814" s="21">
        <f t="shared" si="12"/>
        <v>1</v>
      </c>
      <c r="B814" s="2">
        <v>46127</v>
      </c>
      <c r="C814" s="2" t="s">
        <v>54</v>
      </c>
      <c r="D814" s="44" t="s">
        <v>68</v>
      </c>
      <c r="E814" s="22" t="str">
        <f>IF(D814&lt;&gt;"",IFERROR(INDEX(Produtos!$C$4:$C$4996,MATCH(D814,Produtos!$B$4:$B$4996,0)),"Produto não encontrado"),"")</f>
        <v>BLOCO VEDAÇÃO 14 x 39</v>
      </c>
      <c r="F814" s="3">
        <v>60</v>
      </c>
      <c r="G814" s="1" t="s">
        <v>194</v>
      </c>
    </row>
    <row r="815" spans="1:8" x14ac:dyDescent="0.3">
      <c r="A815" s="21">
        <f t="shared" si="12"/>
        <v>2</v>
      </c>
      <c r="B815" s="2">
        <v>46127</v>
      </c>
      <c r="C815" s="2" t="s">
        <v>28</v>
      </c>
      <c r="D815" s="44" t="s">
        <v>66</v>
      </c>
      <c r="E815" s="22" t="str">
        <f>IF(D815&lt;&gt;"",IFERROR(INDEX(Produtos!$C$4:$C$4996,MATCH(D815,Produtos!$B$4:$B$4996,0)),"Produto não encontrado"),"")</f>
        <v>CHAPA ARMICO</v>
      </c>
      <c r="F815" s="3">
        <v>24</v>
      </c>
      <c r="H815" s="1" t="s">
        <v>196</v>
      </c>
    </row>
    <row r="816" spans="1:8" x14ac:dyDescent="0.3">
      <c r="A816" s="21">
        <f t="shared" si="12"/>
        <v>1</v>
      </c>
      <c r="B816" s="2">
        <v>46127</v>
      </c>
      <c r="C816" s="2" t="s">
        <v>54</v>
      </c>
      <c r="D816" s="44" t="s">
        <v>66</v>
      </c>
      <c r="E816" s="22" t="str">
        <f>IF(D816&lt;&gt;"",IFERROR(INDEX(Produtos!$C$4:$C$4996,MATCH(D816,Produtos!$B$4:$B$4996,0)),"Produto não encontrado"),"")</f>
        <v>CHAPA ARMICO</v>
      </c>
      <c r="F816" s="3">
        <v>24</v>
      </c>
      <c r="G816" s="1" t="s">
        <v>173</v>
      </c>
      <c r="H816" s="1" t="s">
        <v>237</v>
      </c>
    </row>
    <row r="817" spans="1:7" x14ac:dyDescent="0.3">
      <c r="A817" s="21">
        <f t="shared" si="12"/>
        <v>1</v>
      </c>
      <c r="B817" s="2">
        <v>46127</v>
      </c>
      <c r="C817" s="2" t="s">
        <v>54</v>
      </c>
      <c r="D817" s="44" t="s">
        <v>66</v>
      </c>
      <c r="E817" s="22" t="str">
        <f>IF(D817&lt;&gt;"",IFERROR(INDEX(Produtos!$C$4:$C$4996,MATCH(D817,Produtos!$B$4:$B$4996,0)),"Produto não encontrado"),"")</f>
        <v>CHAPA ARMICO</v>
      </c>
      <c r="F817" s="3">
        <v>18</v>
      </c>
      <c r="G817" s="1" t="s">
        <v>161</v>
      </c>
    </row>
    <row r="818" spans="1:7" x14ac:dyDescent="0.3">
      <c r="A818" s="21">
        <f t="shared" si="12"/>
        <v>1</v>
      </c>
      <c r="B818" s="2">
        <v>46127</v>
      </c>
      <c r="C818" s="2" t="s">
        <v>54</v>
      </c>
      <c r="D818" s="44" t="s">
        <v>77</v>
      </c>
      <c r="E818" s="22" t="str">
        <f>IF(D818&lt;&gt;"",IFERROR(INDEX(Produtos!$C$4:$C$4996,MATCH(D818,Produtos!$B$4:$B$4996,0)),"Produto não encontrado"),"")</f>
        <v>ADUELA  DE 1500</v>
      </c>
      <c r="F818" s="3">
        <v>1</v>
      </c>
      <c r="G818" s="1" t="s">
        <v>176</v>
      </c>
    </row>
    <row r="819" spans="1:7" x14ac:dyDescent="0.3">
      <c r="A819" s="21">
        <f t="shared" si="12"/>
        <v>1</v>
      </c>
      <c r="B819" s="2">
        <v>46127</v>
      </c>
      <c r="C819" s="2" t="s">
        <v>54</v>
      </c>
      <c r="D819" s="44" t="s">
        <v>74</v>
      </c>
      <c r="E819" s="22" t="str">
        <f>IF(D819&lt;&gt;"",IFERROR(INDEX(Produtos!$C$4:$C$4996,MATCH(D819,Produtos!$B$4:$B$4996,0)),"Produto não encontrado"),"")</f>
        <v xml:space="preserve">PARAFUSO QUADRADO 5/8 </v>
      </c>
      <c r="F819" s="3">
        <v>200</v>
      </c>
      <c r="G819" s="1" t="s">
        <v>173</v>
      </c>
    </row>
    <row r="820" spans="1:7" x14ac:dyDescent="0.3">
      <c r="A820" s="21">
        <f t="shared" si="12"/>
        <v>1</v>
      </c>
      <c r="B820" s="2">
        <v>46127</v>
      </c>
      <c r="C820" s="2" t="s">
        <v>54</v>
      </c>
      <c r="D820" s="44" t="s">
        <v>22</v>
      </c>
      <c r="E820" s="22" t="str">
        <f>IF(D820&lt;&gt;"",IFERROR(INDEX(Produtos!$C$4:$C$4996,MATCH(D820,Produtos!$B$4:$B$4996,0)),"Produto não encontrado"),"")</f>
        <v>ADUELA DE 600</v>
      </c>
      <c r="F820" s="3">
        <v>1</v>
      </c>
      <c r="G820" s="1" t="s">
        <v>193</v>
      </c>
    </row>
    <row r="821" spans="1:7" x14ac:dyDescent="0.3">
      <c r="A821" s="21">
        <f t="shared" si="12"/>
        <v>1</v>
      </c>
      <c r="B821" s="2">
        <v>46127</v>
      </c>
      <c r="C821" s="2" t="s">
        <v>54</v>
      </c>
      <c r="D821" s="44" t="s">
        <v>55</v>
      </c>
      <c r="E821" s="22" t="str">
        <f>IF(D821&lt;&gt;"",IFERROR(INDEX(Produtos!$C$4:$C$4996,MATCH(D821,Produtos!$B$4:$B$4996,0)),"Produto não encontrado"),"")</f>
        <v>LAJE INFERIOR DE 600</v>
      </c>
      <c r="F821" s="3">
        <v>1</v>
      </c>
      <c r="G821" s="1" t="s">
        <v>193</v>
      </c>
    </row>
    <row r="822" spans="1:7" x14ac:dyDescent="0.3">
      <c r="A822" s="21">
        <f t="shared" si="12"/>
        <v>1</v>
      </c>
      <c r="B822" s="2">
        <v>46127</v>
      </c>
      <c r="C822" s="2" t="s">
        <v>54</v>
      </c>
      <c r="D822" s="44" t="s">
        <v>65</v>
      </c>
      <c r="E822" s="22" t="str">
        <f>IF(D822&lt;&gt;"",IFERROR(INDEX(Produtos!$C$4:$C$4996,MATCH(D822,Produtos!$B$4:$B$4996,0)),"Produto não encontrado"),"")</f>
        <v>TUBO ESGOTO PVC DN 100</v>
      </c>
      <c r="F822" s="3">
        <v>1</v>
      </c>
      <c r="G822" s="1" t="s">
        <v>171</v>
      </c>
    </row>
    <row r="823" spans="1:7" x14ac:dyDescent="0.3">
      <c r="A823" s="21">
        <f t="shared" si="12"/>
        <v>1</v>
      </c>
      <c r="B823" s="2">
        <v>46127</v>
      </c>
      <c r="C823" s="2" t="s">
        <v>54</v>
      </c>
      <c r="D823" s="44" t="s">
        <v>64</v>
      </c>
      <c r="E823" s="22" t="str">
        <f>IF(D823&lt;&gt;"",IFERROR(INDEX(Produtos!$C$4:$C$4996,MATCH(D823,Produtos!$B$4:$B$4996,0)),"Produto não encontrado"),"")</f>
        <v>TUBO ESGOTO PVC DN 150</v>
      </c>
      <c r="F823" s="3">
        <v>1</v>
      </c>
      <c r="G823" s="1" t="s">
        <v>193</v>
      </c>
    </row>
    <row r="824" spans="1:7" x14ac:dyDescent="0.3">
      <c r="A824" s="21">
        <f t="shared" si="12"/>
        <v>1</v>
      </c>
      <c r="B824" s="2">
        <v>46127</v>
      </c>
      <c r="C824" s="2" t="s">
        <v>54</v>
      </c>
      <c r="D824" s="44" t="s">
        <v>22</v>
      </c>
      <c r="E824" s="22" t="str">
        <f>IF(D824&lt;&gt;"",IFERROR(INDEX(Produtos!$C$4:$C$4996,MATCH(D824,Produtos!$B$4:$B$4996,0)),"Produto não encontrado"),"")</f>
        <v>ADUELA DE 600</v>
      </c>
      <c r="F824" s="3">
        <v>2</v>
      </c>
      <c r="G824" s="1" t="s">
        <v>250</v>
      </c>
    </row>
    <row r="825" spans="1:7" x14ac:dyDescent="0.3">
      <c r="A825" s="21">
        <f t="shared" si="12"/>
        <v>1</v>
      </c>
      <c r="B825" s="2">
        <v>46127</v>
      </c>
      <c r="C825" s="2" t="s">
        <v>54</v>
      </c>
      <c r="D825" s="44" t="s">
        <v>21</v>
      </c>
      <c r="E825" s="22" t="str">
        <f>IF(D825&lt;&gt;"",IFERROR(INDEX(Produtos!$C$4:$C$4996,MATCH(D825,Produtos!$B$4:$B$4996,0)),"Produto não encontrado"),"")</f>
        <v>ADUELA DE 1000</v>
      </c>
      <c r="F825" s="3">
        <v>2</v>
      </c>
      <c r="G825" s="1" t="s">
        <v>174</v>
      </c>
    </row>
    <row r="826" spans="1:7" x14ac:dyDescent="0.3">
      <c r="A826" s="21">
        <f t="shared" si="12"/>
        <v>1</v>
      </c>
      <c r="B826" s="2">
        <v>46127</v>
      </c>
      <c r="C826" s="2" t="s">
        <v>54</v>
      </c>
      <c r="D826" s="44" t="s">
        <v>71</v>
      </c>
      <c r="E826" s="22" t="str">
        <f>IF(D826&lt;&gt;"",IFERROR(INDEX(Produtos!$C$4:$C$4996,MATCH(D826,Produtos!$B$4:$B$4996,0)),"Produto não encontrado"),"")</f>
        <v>LAJE PRE MONTADA / TAMPÃO DN 600</v>
      </c>
      <c r="F826" s="3">
        <v>1</v>
      </c>
      <c r="G826" s="1" t="s">
        <v>174</v>
      </c>
    </row>
    <row r="827" spans="1:7" x14ac:dyDescent="0.3">
      <c r="A827" s="21">
        <f t="shared" si="12"/>
        <v>1</v>
      </c>
      <c r="B827" s="2">
        <v>46127</v>
      </c>
      <c r="C827" s="2" t="s">
        <v>54</v>
      </c>
      <c r="D827" s="44" t="s">
        <v>23</v>
      </c>
      <c r="E827" s="22" t="str">
        <f>IF(D827&lt;&gt;"",IFERROR(INDEX(Produtos!$C$4:$C$4996,MATCH(D827,Produtos!$B$4:$B$4996,0)),"Produto não encontrado"),"")</f>
        <v>LAJE INFERIOR DE 1000</v>
      </c>
      <c r="F827" s="3">
        <v>1</v>
      </c>
      <c r="G827" s="1" t="s">
        <v>174</v>
      </c>
    </row>
    <row r="828" spans="1:7" x14ac:dyDescent="0.3">
      <c r="A828" s="21">
        <f t="shared" si="12"/>
        <v>1</v>
      </c>
      <c r="B828" s="2">
        <v>46127</v>
      </c>
      <c r="C828" s="2" t="s">
        <v>54</v>
      </c>
      <c r="D828" s="44" t="s">
        <v>21</v>
      </c>
      <c r="E828" s="22" t="str">
        <f>IF(D828&lt;&gt;"",IFERROR(INDEX(Produtos!$C$4:$C$4996,MATCH(D828,Produtos!$B$4:$B$4996,0)),"Produto não encontrado"),"")</f>
        <v>ADUELA DE 1000</v>
      </c>
      <c r="F828" s="3">
        <v>1</v>
      </c>
      <c r="G828" s="1" t="s">
        <v>161</v>
      </c>
    </row>
    <row r="829" spans="1:7" x14ac:dyDescent="0.3">
      <c r="A829" s="21">
        <f t="shared" si="12"/>
        <v>1</v>
      </c>
      <c r="B829" s="2">
        <v>46127</v>
      </c>
      <c r="C829" s="2" t="s">
        <v>54</v>
      </c>
      <c r="D829" s="44" t="s">
        <v>23</v>
      </c>
      <c r="E829" s="22" t="str">
        <f>IF(D829&lt;&gt;"",IFERROR(INDEX(Produtos!$C$4:$C$4996,MATCH(D829,Produtos!$B$4:$B$4996,0)),"Produto não encontrado"),"")</f>
        <v>LAJE INFERIOR DE 1000</v>
      </c>
      <c r="F829" s="3">
        <v>1</v>
      </c>
      <c r="G829" s="1" t="s">
        <v>161</v>
      </c>
    </row>
    <row r="830" spans="1:7" x14ac:dyDescent="0.3">
      <c r="A830" s="21">
        <f t="shared" si="12"/>
        <v>1</v>
      </c>
      <c r="B830" s="2">
        <v>46127</v>
      </c>
      <c r="C830" s="2" t="s">
        <v>54</v>
      </c>
      <c r="D830" s="44" t="s">
        <v>21</v>
      </c>
      <c r="E830" s="22" t="str">
        <f>IF(D830&lt;&gt;"",IFERROR(INDEX(Produtos!$C$4:$C$4996,MATCH(D830,Produtos!$B$4:$B$4996,0)),"Produto não encontrado"),"")</f>
        <v>ADUELA DE 1000</v>
      </c>
      <c r="F830" s="3">
        <v>1</v>
      </c>
      <c r="G830" s="1" t="s">
        <v>169</v>
      </c>
    </row>
    <row r="831" spans="1:7" x14ac:dyDescent="0.3">
      <c r="A831" s="21">
        <f t="shared" si="12"/>
        <v>1</v>
      </c>
      <c r="B831" s="2">
        <v>46128</v>
      </c>
      <c r="C831" s="2" t="s">
        <v>54</v>
      </c>
      <c r="D831" s="44" t="s">
        <v>68</v>
      </c>
      <c r="E831" s="22" t="str">
        <f>IF(D831&lt;&gt;"",IFERROR(INDEX(Produtos!$C$4:$C$4996,MATCH(D831,Produtos!$B$4:$B$4996,0)),"Produto não encontrado"),"")</f>
        <v>BLOCO VEDAÇÃO 14 x 39</v>
      </c>
      <c r="F831" s="3">
        <v>200</v>
      </c>
      <c r="G831" s="1" t="s">
        <v>252</v>
      </c>
    </row>
    <row r="832" spans="1:7" x14ac:dyDescent="0.3">
      <c r="A832" s="21">
        <f t="shared" ref="A832:A895" si="13">IF(C832="Entrada",2,IF(C832="Saída",1,"."))</f>
        <v>1</v>
      </c>
      <c r="B832" s="2">
        <v>46128</v>
      </c>
      <c r="C832" s="2" t="s">
        <v>54</v>
      </c>
      <c r="D832" s="44" t="s">
        <v>65</v>
      </c>
      <c r="E832" s="22" t="str">
        <f>IF(D832&lt;&gt;"",IFERROR(INDEX(Produtos!$C$4:$C$4996,MATCH(D832,Produtos!$B$4:$B$4996,0)),"Produto não encontrado"),"")</f>
        <v>TUBO ESGOTO PVC DN 100</v>
      </c>
      <c r="F832" s="3">
        <v>2</v>
      </c>
      <c r="G832" s="1" t="s">
        <v>253</v>
      </c>
    </row>
    <row r="833" spans="1:8" x14ac:dyDescent="0.3">
      <c r="A833" s="21">
        <f t="shared" si="13"/>
        <v>1</v>
      </c>
      <c r="B833" s="2">
        <v>46128</v>
      </c>
      <c r="C833" s="2" t="s">
        <v>54</v>
      </c>
      <c r="D833" s="44" t="s">
        <v>22</v>
      </c>
      <c r="E833" s="22" t="str">
        <f>IF(D833&lt;&gt;"",IFERROR(INDEX(Produtos!$C$4:$C$4996,MATCH(D833,Produtos!$B$4:$B$4996,0)),"Produto não encontrado"),"")</f>
        <v>ADUELA DE 600</v>
      </c>
      <c r="F833" s="3">
        <v>2</v>
      </c>
      <c r="G833" s="1" t="s">
        <v>167</v>
      </c>
    </row>
    <row r="834" spans="1:8" x14ac:dyDescent="0.3">
      <c r="A834" s="21">
        <f t="shared" si="13"/>
        <v>1</v>
      </c>
      <c r="B834" s="2">
        <v>46128</v>
      </c>
      <c r="C834" s="2" t="s">
        <v>54</v>
      </c>
      <c r="D834" s="44" t="s">
        <v>68</v>
      </c>
      <c r="E834" s="22" t="str">
        <f>IF(D834&lt;&gt;"",IFERROR(INDEX(Produtos!$C$4:$C$4996,MATCH(D834,Produtos!$B$4:$B$4996,0)),"Produto não encontrado"),"")</f>
        <v>BLOCO VEDAÇÃO 14 x 39</v>
      </c>
      <c r="F834" s="3">
        <v>100</v>
      </c>
      <c r="G834" s="1" t="s">
        <v>241</v>
      </c>
    </row>
    <row r="835" spans="1:8" x14ac:dyDescent="0.3">
      <c r="A835" s="21">
        <f t="shared" si="13"/>
        <v>1</v>
      </c>
      <c r="B835" s="2">
        <v>46128</v>
      </c>
      <c r="C835" s="2" t="s">
        <v>54</v>
      </c>
      <c r="D835" s="44" t="s">
        <v>65</v>
      </c>
      <c r="E835" s="22" t="str">
        <f>IF(D835&lt;&gt;"",IFERROR(INDEX(Produtos!$C$4:$C$4996,MATCH(D835,Produtos!$B$4:$B$4996,0)),"Produto não encontrado"),"")</f>
        <v>TUBO ESGOTO PVC DN 100</v>
      </c>
      <c r="F835" s="3">
        <v>1</v>
      </c>
      <c r="G835" s="1" t="s">
        <v>193</v>
      </c>
    </row>
    <row r="836" spans="1:8" x14ac:dyDescent="0.3">
      <c r="A836" s="21">
        <f t="shared" si="13"/>
        <v>1</v>
      </c>
      <c r="B836" s="2">
        <v>46128</v>
      </c>
      <c r="C836" s="2" t="s">
        <v>54</v>
      </c>
      <c r="D836" s="44" t="s">
        <v>21</v>
      </c>
      <c r="E836" s="22" t="str">
        <f>IF(D836&lt;&gt;"",IFERROR(INDEX(Produtos!$C$4:$C$4996,MATCH(D836,Produtos!$B$4:$B$4996,0)),"Produto não encontrado"),"")</f>
        <v>ADUELA DE 1000</v>
      </c>
      <c r="F836" s="3">
        <v>2</v>
      </c>
      <c r="G836" s="1" t="s">
        <v>161</v>
      </c>
    </row>
    <row r="837" spans="1:8" x14ac:dyDescent="0.3">
      <c r="A837" s="21">
        <f t="shared" si="13"/>
        <v>1</v>
      </c>
      <c r="B837" s="2">
        <v>46128</v>
      </c>
      <c r="C837" s="2" t="s">
        <v>54</v>
      </c>
      <c r="D837" s="44" t="s">
        <v>64</v>
      </c>
      <c r="E837" s="22" t="str">
        <f>IF(D837&lt;&gt;"",IFERROR(INDEX(Produtos!$C$4:$C$4996,MATCH(D837,Produtos!$B$4:$B$4996,0)),"Produto não encontrado"),"")</f>
        <v>TUBO ESGOTO PVC DN 150</v>
      </c>
      <c r="F837" s="3">
        <v>1</v>
      </c>
      <c r="G837" s="1" t="s">
        <v>192</v>
      </c>
    </row>
    <row r="838" spans="1:8" x14ac:dyDescent="0.3">
      <c r="A838" s="21">
        <f t="shared" si="13"/>
        <v>1</v>
      </c>
      <c r="B838" s="2">
        <v>46128</v>
      </c>
      <c r="C838" s="2" t="s">
        <v>54</v>
      </c>
      <c r="D838" s="44" t="s">
        <v>65</v>
      </c>
      <c r="E838" s="22" t="str">
        <f>IF(D838&lt;&gt;"",IFERROR(INDEX(Produtos!$C$4:$C$4996,MATCH(D838,Produtos!$B$4:$B$4996,0)),"Produto não encontrado"),"")</f>
        <v>TUBO ESGOTO PVC DN 100</v>
      </c>
      <c r="F838" s="3">
        <v>1</v>
      </c>
      <c r="G838" s="1" t="s">
        <v>192</v>
      </c>
    </row>
    <row r="839" spans="1:8" x14ac:dyDescent="0.3">
      <c r="A839" s="21">
        <f t="shared" si="13"/>
        <v>1</v>
      </c>
      <c r="B839" s="2">
        <v>46128</v>
      </c>
      <c r="C839" s="2" t="s">
        <v>54</v>
      </c>
      <c r="D839" s="44" t="s">
        <v>57</v>
      </c>
      <c r="E839" s="22" t="str">
        <f>IF(D839&lt;&gt;"",IFERROR(INDEX(Produtos!$C$4:$C$4996,MATCH(D839,Produtos!$B$4:$B$4996,0)),"Produto não encontrado"),"")</f>
        <v>TUBO PEAD ESGOTO D 355</v>
      </c>
      <c r="F839" s="3">
        <v>15</v>
      </c>
      <c r="G839" s="1" t="s">
        <v>170</v>
      </c>
    </row>
    <row r="840" spans="1:8" x14ac:dyDescent="0.3">
      <c r="A840" s="21">
        <f t="shared" si="13"/>
        <v>2</v>
      </c>
      <c r="B840" s="2">
        <v>46128</v>
      </c>
      <c r="C840" s="2" t="s">
        <v>28</v>
      </c>
      <c r="D840" s="44" t="s">
        <v>66</v>
      </c>
      <c r="E840" s="22" t="str">
        <f>IF(D840&lt;&gt;"",IFERROR(INDEX(Produtos!$C$4:$C$4996,MATCH(D840,Produtos!$B$4:$B$4996,0)),"Produto não encontrado"),"")</f>
        <v>CHAPA ARMICO</v>
      </c>
      <c r="F840" s="3">
        <v>42</v>
      </c>
      <c r="H840" s="1" t="s">
        <v>196</v>
      </c>
    </row>
    <row r="841" spans="1:8" x14ac:dyDescent="0.3">
      <c r="A841" s="21">
        <f t="shared" si="13"/>
        <v>1</v>
      </c>
      <c r="B841" s="2">
        <v>46128</v>
      </c>
      <c r="C841" s="2" t="s">
        <v>54</v>
      </c>
      <c r="D841" s="44" t="s">
        <v>66</v>
      </c>
      <c r="E841" s="22" t="str">
        <f>IF(D841&lt;&gt;"",IFERROR(INDEX(Produtos!$C$4:$C$4996,MATCH(D841,Produtos!$B$4:$B$4996,0)),"Produto não encontrado"),"")</f>
        <v>CHAPA ARMICO</v>
      </c>
      <c r="F841" s="3">
        <v>42</v>
      </c>
      <c r="G841" s="1" t="s">
        <v>193</v>
      </c>
      <c r="H841" s="1" t="s">
        <v>237</v>
      </c>
    </row>
    <row r="842" spans="1:8" x14ac:dyDescent="0.3">
      <c r="A842" s="21">
        <f t="shared" si="13"/>
        <v>1</v>
      </c>
      <c r="B842" s="2">
        <v>46128</v>
      </c>
      <c r="C842" s="2" t="s">
        <v>54</v>
      </c>
      <c r="D842" s="44" t="s">
        <v>73</v>
      </c>
      <c r="E842" s="22" t="str">
        <f>IF(D842&lt;&gt;"",IFERROR(INDEX(Produtos!$C$4:$C$4996,MATCH(D842,Produtos!$B$4:$B$4996,0)),"Produto não encontrado"),"")</f>
        <v>PARAFUSO SEXTAVADA 5/8</v>
      </c>
      <c r="F842" s="3">
        <v>100</v>
      </c>
      <c r="G842" s="1" t="s">
        <v>193</v>
      </c>
    </row>
    <row r="843" spans="1:8" x14ac:dyDescent="0.3">
      <c r="A843" s="21">
        <f t="shared" si="13"/>
        <v>1</v>
      </c>
      <c r="B843" s="2">
        <v>46128</v>
      </c>
      <c r="C843" s="2" t="s">
        <v>54</v>
      </c>
      <c r="D843" s="44" t="s">
        <v>74</v>
      </c>
      <c r="E843" s="22" t="str">
        <f>IF(D843&lt;&gt;"",IFERROR(INDEX(Produtos!$C$4:$C$4996,MATCH(D843,Produtos!$B$4:$B$4996,0)),"Produto não encontrado"),"")</f>
        <v xml:space="preserve">PARAFUSO QUADRADO 5/8 </v>
      </c>
      <c r="F843" s="3">
        <v>100</v>
      </c>
      <c r="G843" s="1" t="s">
        <v>193</v>
      </c>
    </row>
    <row r="844" spans="1:8" x14ac:dyDescent="0.3">
      <c r="A844" s="21">
        <f t="shared" si="13"/>
        <v>2</v>
      </c>
      <c r="B844" s="2">
        <v>46128</v>
      </c>
      <c r="C844" s="2" t="s">
        <v>28</v>
      </c>
      <c r="D844" s="44" t="s">
        <v>66</v>
      </c>
      <c r="E844" s="22" t="str">
        <f>IF(D844&lt;&gt;"",IFERROR(INDEX(Produtos!$C$4:$C$4996,MATCH(D844,Produtos!$B$4:$B$4996,0)),"Produto não encontrado"),"")</f>
        <v>CHAPA ARMICO</v>
      </c>
      <c r="F844" s="3">
        <v>30</v>
      </c>
      <c r="H844" s="1" t="s">
        <v>196</v>
      </c>
    </row>
    <row r="845" spans="1:8" x14ac:dyDescent="0.3">
      <c r="A845" s="21">
        <f t="shared" si="13"/>
        <v>1</v>
      </c>
      <c r="B845" s="2">
        <v>46128</v>
      </c>
      <c r="C845" s="2" t="s">
        <v>54</v>
      </c>
      <c r="D845" s="44" t="s">
        <v>66</v>
      </c>
      <c r="E845" s="22" t="str">
        <f>IF(D845&lt;&gt;"",IFERROR(INDEX(Produtos!$C$4:$C$4996,MATCH(D845,Produtos!$B$4:$B$4996,0)),"Produto não encontrado"),"")</f>
        <v>CHAPA ARMICO</v>
      </c>
      <c r="F845" s="3">
        <v>30</v>
      </c>
      <c r="G845" s="1" t="s">
        <v>166</v>
      </c>
      <c r="H845" s="1" t="s">
        <v>237</v>
      </c>
    </row>
    <row r="846" spans="1:8" x14ac:dyDescent="0.3">
      <c r="A846" s="21">
        <f t="shared" si="13"/>
        <v>1</v>
      </c>
      <c r="B846" s="2">
        <v>46129</v>
      </c>
      <c r="C846" s="2" t="s">
        <v>54</v>
      </c>
      <c r="D846" s="44" t="s">
        <v>73</v>
      </c>
      <c r="E846" s="22" t="str">
        <f>IF(D846&lt;&gt;"",IFERROR(INDEX(Produtos!$C$4:$C$4996,MATCH(D846,Produtos!$B$4:$B$4996,0)),"Produto não encontrado"),"")</f>
        <v>PARAFUSO SEXTAVADA 5/8</v>
      </c>
      <c r="F846" s="3">
        <v>200</v>
      </c>
      <c r="G846" s="1" t="s">
        <v>171</v>
      </c>
    </row>
    <row r="847" spans="1:8" x14ac:dyDescent="0.3">
      <c r="A847" s="21">
        <f t="shared" si="13"/>
        <v>1</v>
      </c>
      <c r="B847" s="2">
        <v>46129</v>
      </c>
      <c r="C847" s="2" t="s">
        <v>54</v>
      </c>
      <c r="D847" s="44" t="s">
        <v>74</v>
      </c>
      <c r="E847" s="22" t="str">
        <f>IF(D847&lt;&gt;"",IFERROR(INDEX(Produtos!$C$4:$C$4996,MATCH(D847,Produtos!$B$4:$B$4996,0)),"Produto não encontrado"),"")</f>
        <v xml:space="preserve">PARAFUSO QUADRADO 5/8 </v>
      </c>
      <c r="F847" s="3">
        <v>200</v>
      </c>
      <c r="G847" s="1" t="s">
        <v>171</v>
      </c>
    </row>
    <row r="848" spans="1:8" x14ac:dyDescent="0.3">
      <c r="A848" s="21">
        <f t="shared" si="13"/>
        <v>1</v>
      </c>
      <c r="B848" s="2">
        <v>46129</v>
      </c>
      <c r="C848" s="2" t="s">
        <v>54</v>
      </c>
      <c r="D848" s="44" t="s">
        <v>75</v>
      </c>
      <c r="E848" s="22" t="str">
        <f>IF(D848&lt;&gt;"",IFERROR(INDEX(Produtos!$C$4:$C$4996,MATCH(D848,Produtos!$B$4:$B$4996,0)),"Produto não encontrado"),"")</f>
        <v>PORCA SEXTAVADA 5/8</v>
      </c>
      <c r="F848" s="3">
        <v>400</v>
      </c>
      <c r="G848" s="1" t="s">
        <v>171</v>
      </c>
    </row>
    <row r="849" spans="1:8" x14ac:dyDescent="0.3">
      <c r="A849" s="21">
        <f t="shared" si="13"/>
        <v>2</v>
      </c>
      <c r="B849" s="2">
        <v>46129</v>
      </c>
      <c r="C849" s="2" t="s">
        <v>28</v>
      </c>
      <c r="D849" s="44" t="s">
        <v>66</v>
      </c>
      <c r="E849" s="22" t="str">
        <f>IF(D849&lt;&gt;"",IFERROR(INDEX(Produtos!$C$4:$C$4996,MATCH(D849,Produtos!$B$4:$B$4996,0)),"Produto não encontrado"),"")</f>
        <v>CHAPA ARMICO</v>
      </c>
      <c r="F849" s="3">
        <v>60</v>
      </c>
      <c r="H849" s="1" t="s">
        <v>196</v>
      </c>
    </row>
    <row r="850" spans="1:8" x14ac:dyDescent="0.3">
      <c r="A850" s="21">
        <f t="shared" si="13"/>
        <v>1</v>
      </c>
      <c r="B850" s="2">
        <v>46129</v>
      </c>
      <c r="C850" s="2" t="s">
        <v>54</v>
      </c>
      <c r="D850" s="44" t="s">
        <v>66</v>
      </c>
      <c r="E850" s="22" t="str">
        <f>IF(D850&lt;&gt;"",IFERROR(INDEX(Produtos!$C$4:$C$4996,MATCH(D850,Produtos!$B$4:$B$4996,0)),"Produto não encontrado"),"")</f>
        <v>CHAPA ARMICO</v>
      </c>
      <c r="F850" s="3">
        <v>60</v>
      </c>
      <c r="G850" s="1" t="s">
        <v>171</v>
      </c>
      <c r="H850" s="1" t="s">
        <v>237</v>
      </c>
    </row>
    <row r="851" spans="1:8" x14ac:dyDescent="0.3">
      <c r="A851" s="21">
        <f t="shared" si="13"/>
        <v>1</v>
      </c>
      <c r="B851" s="2">
        <v>46129</v>
      </c>
      <c r="C851" s="2" t="s">
        <v>54</v>
      </c>
      <c r="D851" s="44" t="s">
        <v>63</v>
      </c>
      <c r="E851" s="22" t="str">
        <f>IF(D851&lt;&gt;"",IFERROR(INDEX(Produtos!$C$4:$C$4996,MATCH(D851,Produtos!$B$4:$B$4996,0)),"Produto não encontrado"),"")</f>
        <v>TUBO ESGOTO PVC DN 200</v>
      </c>
      <c r="F851" s="3">
        <v>2</v>
      </c>
      <c r="G851" s="1" t="s">
        <v>169</v>
      </c>
    </row>
    <row r="852" spans="1:8" x14ac:dyDescent="0.3">
      <c r="A852" s="21">
        <f t="shared" si="13"/>
        <v>1</v>
      </c>
      <c r="B852" s="2">
        <v>46129</v>
      </c>
      <c r="C852" s="2" t="s">
        <v>54</v>
      </c>
      <c r="D852" s="44" t="s">
        <v>21</v>
      </c>
      <c r="E852" s="22" t="str">
        <f>IF(D852&lt;&gt;"",IFERROR(INDEX(Produtos!$C$4:$C$4996,MATCH(D852,Produtos!$B$4:$B$4996,0)),"Produto não encontrado"),"")</f>
        <v>ADUELA DE 1000</v>
      </c>
      <c r="F852" s="3">
        <v>2</v>
      </c>
      <c r="G852" s="1" t="s">
        <v>193</v>
      </c>
    </row>
    <row r="853" spans="1:8" x14ac:dyDescent="0.3">
      <c r="A853" s="21">
        <f t="shared" si="13"/>
        <v>1</v>
      </c>
      <c r="B853" s="2">
        <v>46129</v>
      </c>
      <c r="C853" s="2" t="s">
        <v>54</v>
      </c>
      <c r="D853" s="44" t="s">
        <v>23</v>
      </c>
      <c r="E853" s="22" t="str">
        <f>IF(D853&lt;&gt;"",IFERROR(INDEX(Produtos!$C$4:$C$4996,MATCH(D853,Produtos!$B$4:$B$4996,0)),"Produto não encontrado"),"")</f>
        <v>LAJE INFERIOR DE 1000</v>
      </c>
      <c r="F853" s="3">
        <v>1</v>
      </c>
      <c r="G853" s="1" t="s">
        <v>193</v>
      </c>
    </row>
    <row r="854" spans="1:8" x14ac:dyDescent="0.3">
      <c r="A854" s="21">
        <f t="shared" si="13"/>
        <v>1</v>
      </c>
      <c r="B854" s="2">
        <v>46129</v>
      </c>
      <c r="C854" s="2" t="s">
        <v>54</v>
      </c>
      <c r="D854" s="44" t="s">
        <v>71</v>
      </c>
      <c r="E854" s="22" t="str">
        <f>IF(D854&lt;&gt;"",IFERROR(INDEX(Produtos!$C$4:$C$4996,MATCH(D854,Produtos!$B$4:$B$4996,0)),"Produto não encontrado"),"")</f>
        <v>LAJE PRE MONTADA / TAMPÃO DN 600</v>
      </c>
      <c r="F854" s="3">
        <v>1</v>
      </c>
      <c r="G854" s="1" t="s">
        <v>193</v>
      </c>
    </row>
    <row r="855" spans="1:8" x14ac:dyDescent="0.3">
      <c r="A855" s="21">
        <f t="shared" si="13"/>
        <v>2</v>
      </c>
      <c r="B855" s="2">
        <v>46129</v>
      </c>
      <c r="C855" s="2" t="s">
        <v>28</v>
      </c>
      <c r="D855" s="44" t="s">
        <v>66</v>
      </c>
      <c r="E855" s="22" t="str">
        <f>IF(D855&lt;&gt;"",IFERROR(INDEX(Produtos!$C$4:$C$4996,MATCH(D855,Produtos!$B$4:$B$4996,0)),"Produto não encontrado"),"")</f>
        <v>CHAPA ARMICO</v>
      </c>
      <c r="F855" s="3">
        <v>24</v>
      </c>
      <c r="H855" s="1" t="s">
        <v>196</v>
      </c>
    </row>
    <row r="856" spans="1:8" x14ac:dyDescent="0.3">
      <c r="A856" s="21">
        <f t="shared" si="13"/>
        <v>1</v>
      </c>
      <c r="B856" s="2">
        <v>46129</v>
      </c>
      <c r="C856" s="2" t="s">
        <v>54</v>
      </c>
      <c r="D856" s="44" t="s">
        <v>66</v>
      </c>
      <c r="E856" s="22" t="str">
        <f>IF(D856&lt;&gt;"",IFERROR(INDEX(Produtos!$C$4:$C$4996,MATCH(D856,Produtos!$B$4:$B$4996,0)),"Produto não encontrado"),"")</f>
        <v>CHAPA ARMICO</v>
      </c>
      <c r="F856" s="3">
        <v>24</v>
      </c>
      <c r="G856" s="1" t="s">
        <v>173</v>
      </c>
      <c r="H856" s="1" t="s">
        <v>237</v>
      </c>
    </row>
    <row r="857" spans="1:8" x14ac:dyDescent="0.3">
      <c r="A857" s="21">
        <f t="shared" si="13"/>
        <v>1</v>
      </c>
      <c r="B857" s="2">
        <v>46129</v>
      </c>
      <c r="C857" s="2" t="s">
        <v>54</v>
      </c>
      <c r="D857" s="44" t="s">
        <v>73</v>
      </c>
      <c r="E857" s="22" t="str">
        <f>IF(D857&lt;&gt;"",IFERROR(INDEX(Produtos!$C$4:$C$4996,MATCH(D857,Produtos!$B$4:$B$4996,0)),"Produto não encontrado"),"")</f>
        <v>PARAFUSO SEXTAVADA 5/8</v>
      </c>
      <c r="F857" s="3">
        <v>200</v>
      </c>
      <c r="G857" s="1" t="s">
        <v>173</v>
      </c>
    </row>
    <row r="858" spans="1:8" x14ac:dyDescent="0.3">
      <c r="A858" s="21">
        <f t="shared" si="13"/>
        <v>1</v>
      </c>
      <c r="B858" s="2">
        <v>46129</v>
      </c>
      <c r="C858" s="2" t="s">
        <v>54</v>
      </c>
      <c r="D858" s="44" t="s">
        <v>80</v>
      </c>
      <c r="E858" s="22" t="str">
        <f>IF(D858&lt;&gt;"",IFERROR(INDEX(Produtos!$C$4:$C$4996,MATCH(D858,Produtos!$B$4:$B$4996,0)),"Produto não encontrado"),"")</f>
        <v>ANEIS DE BORRACHA PARA PV 1000x1000</v>
      </c>
      <c r="F858" s="3">
        <v>2</v>
      </c>
      <c r="G858" s="1" t="s">
        <v>193</v>
      </c>
    </row>
    <row r="859" spans="1:8" x14ac:dyDescent="0.3">
      <c r="A859" s="21">
        <f t="shared" si="13"/>
        <v>1</v>
      </c>
      <c r="B859" s="2">
        <v>46129</v>
      </c>
      <c r="C859" s="2" t="s">
        <v>54</v>
      </c>
      <c r="D859" s="44" t="s">
        <v>73</v>
      </c>
      <c r="E859" s="22" t="str">
        <f>IF(D859&lt;&gt;"",IFERROR(INDEX(Produtos!$C$4:$C$4996,MATCH(D859,Produtos!$B$4:$B$4996,0)),"Produto não encontrado"),"")</f>
        <v>PARAFUSO SEXTAVADA 5/8</v>
      </c>
      <c r="F859" s="3">
        <v>200</v>
      </c>
      <c r="G859" s="1" t="s">
        <v>166</v>
      </c>
    </row>
    <row r="860" spans="1:8" x14ac:dyDescent="0.3">
      <c r="A860" s="21">
        <f t="shared" si="13"/>
        <v>1</v>
      </c>
      <c r="B860" s="2">
        <v>46129</v>
      </c>
      <c r="C860" s="2" t="s">
        <v>54</v>
      </c>
      <c r="D860" s="44" t="s">
        <v>57</v>
      </c>
      <c r="E860" s="22" t="str">
        <f>IF(D860&lt;&gt;"",IFERROR(INDEX(Produtos!$C$4:$C$4996,MATCH(D860,Produtos!$B$4:$B$4996,0)),"Produto não encontrado"),"")</f>
        <v>TUBO PEAD ESGOTO D 355</v>
      </c>
      <c r="F860" s="3">
        <v>11</v>
      </c>
      <c r="G860" s="1" t="s">
        <v>170</v>
      </c>
    </row>
    <row r="861" spans="1:8" x14ac:dyDescent="0.3">
      <c r="A861" s="21">
        <f t="shared" si="13"/>
        <v>2</v>
      </c>
      <c r="B861" s="2">
        <v>46129</v>
      </c>
      <c r="C861" s="2" t="s">
        <v>28</v>
      </c>
      <c r="D861" s="44" t="s">
        <v>66</v>
      </c>
      <c r="E861" s="22" t="str">
        <f>IF(D861&lt;&gt;"",IFERROR(INDEX(Produtos!$C$4:$C$4996,MATCH(D861,Produtos!$B$4:$B$4996,0)),"Produto não encontrado"),"")</f>
        <v>CHAPA ARMICO</v>
      </c>
      <c r="F861" s="3">
        <v>60</v>
      </c>
      <c r="H861" s="1" t="s">
        <v>196</v>
      </c>
    </row>
    <row r="862" spans="1:8" x14ac:dyDescent="0.3">
      <c r="A862" s="21">
        <f t="shared" si="13"/>
        <v>1</v>
      </c>
      <c r="B862" s="2">
        <v>46129</v>
      </c>
      <c r="C862" s="2" t="s">
        <v>54</v>
      </c>
      <c r="D862" s="44" t="s">
        <v>66</v>
      </c>
      <c r="E862" s="22" t="str">
        <f>IF(D862&lt;&gt;"",IFERROR(INDEX(Produtos!$C$4:$C$4996,MATCH(D862,Produtos!$B$4:$B$4996,0)),"Produto não encontrado"),"")</f>
        <v>CHAPA ARMICO</v>
      </c>
      <c r="F862" s="3">
        <v>60</v>
      </c>
      <c r="G862" s="1" t="s">
        <v>167</v>
      </c>
      <c r="H862" s="1" t="s">
        <v>237</v>
      </c>
    </row>
    <row r="863" spans="1:8" x14ac:dyDescent="0.3">
      <c r="A863" s="21">
        <f t="shared" si="13"/>
        <v>1</v>
      </c>
      <c r="B863" s="2">
        <v>46129</v>
      </c>
      <c r="C863" s="2" t="s">
        <v>54</v>
      </c>
      <c r="D863" s="44" t="s">
        <v>73</v>
      </c>
      <c r="E863" s="22" t="str">
        <f>IF(D863&lt;&gt;"",IFERROR(INDEX(Produtos!$C$4:$C$4996,MATCH(D863,Produtos!$B$4:$B$4996,0)),"Produto não encontrado"),"")</f>
        <v>PARAFUSO SEXTAVADA 5/8</v>
      </c>
      <c r="F863" s="3">
        <v>200</v>
      </c>
      <c r="G863" s="1" t="s">
        <v>250</v>
      </c>
    </row>
    <row r="864" spans="1:8" x14ac:dyDescent="0.3">
      <c r="A864" s="21">
        <f t="shared" si="13"/>
        <v>1</v>
      </c>
      <c r="B864" s="2">
        <v>46129</v>
      </c>
      <c r="C864" s="2" t="s">
        <v>54</v>
      </c>
      <c r="D864" s="44" t="s">
        <v>75</v>
      </c>
      <c r="E864" s="22" t="str">
        <f>IF(D864&lt;&gt;"",IFERROR(INDEX(Produtos!$C$4:$C$4996,MATCH(D864,Produtos!$B$4:$B$4996,0)),"Produto não encontrado"),"")</f>
        <v>PORCA SEXTAVADA 5/8</v>
      </c>
      <c r="F864" s="3">
        <v>400</v>
      </c>
      <c r="G864" s="1" t="s">
        <v>250</v>
      </c>
    </row>
    <row r="865" spans="1:8" x14ac:dyDescent="0.3">
      <c r="A865" s="21">
        <f t="shared" si="13"/>
        <v>1</v>
      </c>
      <c r="B865" s="2">
        <v>46129</v>
      </c>
      <c r="C865" s="2" t="s">
        <v>54</v>
      </c>
      <c r="D865" s="44" t="s">
        <v>65</v>
      </c>
      <c r="E865" s="22" t="str">
        <f>IF(D865&lt;&gt;"",IFERROR(INDEX(Produtos!$C$4:$C$4996,MATCH(D865,Produtos!$B$4:$B$4996,0)),"Produto não encontrado"),"")</f>
        <v>TUBO ESGOTO PVC DN 100</v>
      </c>
      <c r="F865" s="3">
        <v>1</v>
      </c>
      <c r="G865" s="1" t="s">
        <v>169</v>
      </c>
    </row>
    <row r="866" spans="1:8" x14ac:dyDescent="0.3">
      <c r="A866" s="21">
        <f t="shared" si="13"/>
        <v>1</v>
      </c>
      <c r="B866" s="2">
        <v>46130</v>
      </c>
      <c r="C866" s="2" t="s">
        <v>54</v>
      </c>
      <c r="D866" s="44" t="s">
        <v>73</v>
      </c>
      <c r="E866" s="22" t="str">
        <f>IF(D866&lt;&gt;"",IFERROR(INDEX(Produtos!$C$4:$C$4996,MATCH(D866,Produtos!$B$4:$B$4996,0)),"Produto não encontrado"),"")</f>
        <v>PARAFUSO SEXTAVADA 5/8</v>
      </c>
      <c r="F866" s="3">
        <v>200</v>
      </c>
      <c r="G866" s="1" t="s">
        <v>254</v>
      </c>
    </row>
    <row r="867" spans="1:8" x14ac:dyDescent="0.3">
      <c r="A867" s="21">
        <f t="shared" si="13"/>
        <v>1</v>
      </c>
      <c r="B867" s="2">
        <v>46130</v>
      </c>
      <c r="C867" s="2" t="s">
        <v>54</v>
      </c>
      <c r="D867" s="44" t="s">
        <v>74</v>
      </c>
      <c r="E867" s="22" t="str">
        <f>IF(D867&lt;&gt;"",IFERROR(INDEX(Produtos!$C$4:$C$4996,MATCH(D867,Produtos!$B$4:$B$4996,0)),"Produto não encontrado"),"")</f>
        <v xml:space="preserve">PARAFUSO QUADRADO 5/8 </v>
      </c>
      <c r="F867" s="3">
        <v>200</v>
      </c>
      <c r="G867" s="1" t="s">
        <v>254</v>
      </c>
    </row>
    <row r="868" spans="1:8" x14ac:dyDescent="0.3">
      <c r="A868" s="21">
        <f t="shared" si="13"/>
        <v>1</v>
      </c>
      <c r="B868" s="2">
        <v>46130</v>
      </c>
      <c r="C868" s="2" t="s">
        <v>54</v>
      </c>
      <c r="D868" s="44" t="s">
        <v>75</v>
      </c>
      <c r="E868" s="22" t="str">
        <f>IF(D868&lt;&gt;"",IFERROR(INDEX(Produtos!$C$4:$C$4996,MATCH(D868,Produtos!$B$4:$B$4996,0)),"Produto não encontrado"),"")</f>
        <v>PORCA SEXTAVADA 5/8</v>
      </c>
      <c r="F868" s="3">
        <v>400</v>
      </c>
      <c r="G868" s="1" t="s">
        <v>254</v>
      </c>
    </row>
    <row r="869" spans="1:8" x14ac:dyDescent="0.3">
      <c r="A869" s="21">
        <f t="shared" si="13"/>
        <v>2</v>
      </c>
      <c r="B869" s="2">
        <v>46130</v>
      </c>
      <c r="C869" s="2" t="s">
        <v>28</v>
      </c>
      <c r="D869" s="44" t="s">
        <v>66</v>
      </c>
      <c r="E869" s="22" t="str">
        <f>IF(D869&lt;&gt;"",IFERROR(INDEX(Produtos!$C$4:$C$4996,MATCH(D869,Produtos!$B$4:$B$4996,0)),"Produto não encontrado"),"")</f>
        <v>CHAPA ARMICO</v>
      </c>
      <c r="F869" s="3">
        <v>46</v>
      </c>
      <c r="H869" s="1" t="s">
        <v>196</v>
      </c>
    </row>
    <row r="870" spans="1:8" x14ac:dyDescent="0.3">
      <c r="A870" s="21">
        <f t="shared" si="13"/>
        <v>1</v>
      </c>
      <c r="B870" s="2">
        <v>46130</v>
      </c>
      <c r="C870" s="2" t="s">
        <v>54</v>
      </c>
      <c r="D870" s="44" t="s">
        <v>66</v>
      </c>
      <c r="E870" s="22" t="str">
        <f>IF(D870&lt;&gt;"",IFERROR(INDEX(Produtos!$C$4:$C$4996,MATCH(D870,Produtos!$B$4:$B$4996,0)),"Produto não encontrado"),"")</f>
        <v>CHAPA ARMICO</v>
      </c>
      <c r="F870" s="3">
        <v>46</v>
      </c>
      <c r="G870" s="1" t="s">
        <v>254</v>
      </c>
      <c r="H870" s="1" t="s">
        <v>237</v>
      </c>
    </row>
    <row r="871" spans="1:8" x14ac:dyDescent="0.3">
      <c r="A871" s="21">
        <f t="shared" si="13"/>
        <v>1</v>
      </c>
      <c r="B871" s="2">
        <v>46130</v>
      </c>
      <c r="C871" s="2" t="s">
        <v>54</v>
      </c>
      <c r="D871" s="44" t="s">
        <v>57</v>
      </c>
      <c r="E871" s="22" t="str">
        <f>IF(D871&lt;&gt;"",IFERROR(INDEX(Produtos!$C$4:$C$4996,MATCH(D871,Produtos!$B$4:$B$4996,0)),"Produto não encontrado"),"")</f>
        <v>TUBO PEAD ESGOTO D 355</v>
      </c>
      <c r="F871" s="3">
        <v>16</v>
      </c>
      <c r="G871" s="1" t="s">
        <v>170</v>
      </c>
    </row>
    <row r="872" spans="1:8" x14ac:dyDescent="0.3">
      <c r="A872" s="21">
        <f t="shared" si="13"/>
        <v>1</v>
      </c>
      <c r="B872" s="2">
        <v>46130</v>
      </c>
      <c r="C872" s="2" t="s">
        <v>54</v>
      </c>
      <c r="D872" s="44" t="s">
        <v>71</v>
      </c>
      <c r="E872" s="22" t="str">
        <f>IF(D872&lt;&gt;"",IFERROR(INDEX(Produtos!$C$4:$C$4996,MATCH(D872,Produtos!$B$4:$B$4996,0)),"Produto não encontrado"),"")</f>
        <v>LAJE PRE MONTADA / TAMPÃO DN 600</v>
      </c>
      <c r="F872" s="3">
        <v>1</v>
      </c>
      <c r="G872" s="1" t="s">
        <v>255</v>
      </c>
    </row>
    <row r="873" spans="1:8" x14ac:dyDescent="0.3">
      <c r="A873" s="21">
        <f t="shared" si="13"/>
        <v>1</v>
      </c>
      <c r="B873" s="2">
        <v>46132</v>
      </c>
      <c r="C873" s="2" t="s">
        <v>54</v>
      </c>
      <c r="D873" s="44" t="s">
        <v>21</v>
      </c>
      <c r="E873" s="22" t="str">
        <f>IF(D873&lt;&gt;"",IFERROR(INDEX(Produtos!$C$4:$C$4996,MATCH(D873,Produtos!$B$4:$B$4996,0)),"Produto não encontrado"),"")</f>
        <v>ADUELA DE 1000</v>
      </c>
      <c r="F873" s="3">
        <v>2</v>
      </c>
      <c r="G873" s="1" t="s">
        <v>166</v>
      </c>
    </row>
    <row r="874" spans="1:8" x14ac:dyDescent="0.3">
      <c r="A874" s="21">
        <f t="shared" si="13"/>
        <v>1</v>
      </c>
      <c r="B874" s="2">
        <v>46132</v>
      </c>
      <c r="C874" s="2" t="s">
        <v>54</v>
      </c>
      <c r="D874" s="44" t="s">
        <v>23</v>
      </c>
      <c r="E874" s="22" t="str">
        <f>IF(D874&lt;&gt;"",IFERROR(INDEX(Produtos!$C$4:$C$4996,MATCH(D874,Produtos!$B$4:$B$4996,0)),"Produto não encontrado"),"")</f>
        <v>LAJE INFERIOR DE 1000</v>
      </c>
      <c r="F874" s="3">
        <v>1</v>
      </c>
      <c r="G874" s="1" t="s">
        <v>166</v>
      </c>
    </row>
    <row r="875" spans="1:8" x14ac:dyDescent="0.3">
      <c r="A875" s="21">
        <f t="shared" si="13"/>
        <v>1</v>
      </c>
      <c r="B875" s="2">
        <v>46132</v>
      </c>
      <c r="C875" s="2" t="s">
        <v>54</v>
      </c>
      <c r="D875" s="44" t="s">
        <v>56</v>
      </c>
      <c r="E875" s="22" t="str">
        <f>IF(D875&lt;&gt;"",IFERROR(INDEX(Produtos!$C$4:$C$4996,MATCH(D875,Produtos!$B$4:$B$4996,0)),"Produto não encontrado"),"")</f>
        <v>LAJE SURPERIOR DE 1000</v>
      </c>
      <c r="F875" s="3">
        <v>1</v>
      </c>
      <c r="G875" s="1" t="s">
        <v>166</v>
      </c>
    </row>
    <row r="876" spans="1:8" x14ac:dyDescent="0.3">
      <c r="A876" s="21">
        <f t="shared" si="13"/>
        <v>1</v>
      </c>
      <c r="B876" s="2">
        <v>46132</v>
      </c>
      <c r="C876" s="2" t="s">
        <v>54</v>
      </c>
      <c r="D876" s="44" t="s">
        <v>21</v>
      </c>
      <c r="E876" s="22" t="str">
        <f>IF(D876&lt;&gt;"",IFERROR(INDEX(Produtos!$C$4:$C$4996,MATCH(D876,Produtos!$B$4:$B$4996,0)),"Produto não encontrado"),"")</f>
        <v>ADUELA DE 1000</v>
      </c>
      <c r="F876" s="3">
        <v>2</v>
      </c>
      <c r="G876" s="1" t="s">
        <v>193</v>
      </c>
    </row>
    <row r="877" spans="1:8" x14ac:dyDescent="0.3">
      <c r="A877" s="21">
        <f t="shared" si="13"/>
        <v>1</v>
      </c>
      <c r="B877" s="2">
        <v>46132</v>
      </c>
      <c r="C877" s="2" t="s">
        <v>54</v>
      </c>
      <c r="D877" s="44" t="s">
        <v>23</v>
      </c>
      <c r="E877" s="22" t="str">
        <f>IF(D877&lt;&gt;"",IFERROR(INDEX(Produtos!$C$4:$C$4996,MATCH(D877,Produtos!$B$4:$B$4996,0)),"Produto não encontrado"),"")</f>
        <v>LAJE INFERIOR DE 1000</v>
      </c>
      <c r="F877" s="3">
        <v>1</v>
      </c>
      <c r="G877" s="1" t="s">
        <v>193</v>
      </c>
    </row>
    <row r="878" spans="1:8" x14ac:dyDescent="0.3">
      <c r="A878" s="21">
        <f t="shared" si="13"/>
        <v>1</v>
      </c>
      <c r="B878" s="2">
        <v>46132</v>
      </c>
      <c r="C878" s="2" t="s">
        <v>54</v>
      </c>
      <c r="D878" s="44" t="s">
        <v>66</v>
      </c>
      <c r="E878" s="22" t="str">
        <f>IF(D878&lt;&gt;"",IFERROR(INDEX(Produtos!$C$4:$C$4996,MATCH(D878,Produtos!$B$4:$B$4996,0)),"Produto não encontrado"),"")</f>
        <v>CHAPA ARMICO</v>
      </c>
      <c r="F878" s="3">
        <v>50</v>
      </c>
      <c r="G878" s="1" t="s">
        <v>174</v>
      </c>
    </row>
    <row r="879" spans="1:8" x14ac:dyDescent="0.3">
      <c r="A879" s="21">
        <f t="shared" si="13"/>
        <v>1</v>
      </c>
      <c r="B879" s="2">
        <v>46132</v>
      </c>
      <c r="C879" s="2" t="s">
        <v>54</v>
      </c>
      <c r="D879" s="44" t="s">
        <v>73</v>
      </c>
      <c r="E879" s="22" t="str">
        <f>IF(D879&lt;&gt;"",IFERROR(INDEX(Produtos!$C$4:$C$4996,MATCH(D879,Produtos!$B$4:$B$4996,0)),"Produto não encontrado"),"")</f>
        <v>PARAFUSO SEXTAVADA 5/8</v>
      </c>
      <c r="F879" s="3">
        <v>200</v>
      </c>
      <c r="G879" s="1" t="s">
        <v>174</v>
      </c>
    </row>
    <row r="880" spans="1:8" x14ac:dyDescent="0.3">
      <c r="A880" s="21">
        <f t="shared" si="13"/>
        <v>1</v>
      </c>
      <c r="B880" s="2">
        <v>46132</v>
      </c>
      <c r="C880" s="2" t="s">
        <v>54</v>
      </c>
      <c r="D880" s="44" t="s">
        <v>74</v>
      </c>
      <c r="E880" s="22" t="str">
        <f>IF(D880&lt;&gt;"",IFERROR(INDEX(Produtos!$C$4:$C$4996,MATCH(D880,Produtos!$B$4:$B$4996,0)),"Produto não encontrado"),"")</f>
        <v xml:space="preserve">PARAFUSO QUADRADO 5/8 </v>
      </c>
      <c r="F880" s="3">
        <v>200</v>
      </c>
      <c r="G880" s="1" t="s">
        <v>174</v>
      </c>
    </row>
    <row r="881" spans="1:7" x14ac:dyDescent="0.3">
      <c r="A881" s="21">
        <f t="shared" si="13"/>
        <v>1</v>
      </c>
      <c r="B881" s="2">
        <v>46132</v>
      </c>
      <c r="C881" s="2" t="s">
        <v>54</v>
      </c>
      <c r="D881" s="44" t="s">
        <v>75</v>
      </c>
      <c r="E881" s="22" t="str">
        <f>IF(D881&lt;&gt;"",IFERROR(INDEX(Produtos!$C$4:$C$4996,MATCH(D881,Produtos!$B$4:$B$4996,0)),"Produto não encontrado"),"")</f>
        <v>PORCA SEXTAVADA 5/8</v>
      </c>
      <c r="F881" s="3">
        <v>400</v>
      </c>
      <c r="G881" s="1" t="s">
        <v>174</v>
      </c>
    </row>
    <row r="882" spans="1:7" x14ac:dyDescent="0.3">
      <c r="A882" s="21">
        <f t="shared" si="13"/>
        <v>1</v>
      </c>
      <c r="B882" s="2">
        <v>46132</v>
      </c>
      <c r="C882" s="2" t="s">
        <v>54</v>
      </c>
      <c r="D882" s="44" t="s">
        <v>66</v>
      </c>
      <c r="E882" s="22" t="str">
        <f>IF(D882&lt;&gt;"",IFERROR(INDEX(Produtos!$C$4:$C$4996,MATCH(D882,Produtos!$B$4:$B$4996,0)),"Produto não encontrado"),"")</f>
        <v>CHAPA ARMICO</v>
      </c>
      <c r="F882" s="3">
        <v>28</v>
      </c>
      <c r="G882" s="1" t="s">
        <v>173</v>
      </c>
    </row>
    <row r="883" spans="1:7" x14ac:dyDescent="0.3">
      <c r="A883" s="21">
        <f t="shared" si="13"/>
        <v>1</v>
      </c>
      <c r="B883" s="2">
        <v>46132</v>
      </c>
      <c r="C883" s="2" t="s">
        <v>54</v>
      </c>
      <c r="D883" s="44" t="s">
        <v>80</v>
      </c>
      <c r="E883" s="22" t="str">
        <f>IF(D883&lt;&gt;"",IFERROR(INDEX(Produtos!$C$4:$C$4996,MATCH(D883,Produtos!$B$4:$B$4996,0)),"Produto não encontrado"),"")</f>
        <v>ANEIS DE BORRACHA PARA PV 1000x1000</v>
      </c>
      <c r="F883" s="3">
        <v>2</v>
      </c>
      <c r="G883" s="1" t="s">
        <v>166</v>
      </c>
    </row>
    <row r="884" spans="1:7" x14ac:dyDescent="0.3">
      <c r="A884" s="21">
        <f t="shared" si="13"/>
        <v>1</v>
      </c>
      <c r="B884" s="2">
        <v>46132</v>
      </c>
      <c r="C884" s="2" t="s">
        <v>54</v>
      </c>
      <c r="D884" s="44" t="s">
        <v>21</v>
      </c>
      <c r="E884" s="22" t="str">
        <f>IF(D884&lt;&gt;"",IFERROR(INDEX(Produtos!$C$4:$C$4996,MATCH(D884,Produtos!$B$4:$B$4996,0)),"Produto não encontrado"),"")</f>
        <v>ADUELA DE 1000</v>
      </c>
      <c r="F884" s="3">
        <v>1</v>
      </c>
      <c r="G884" s="1" t="s">
        <v>250</v>
      </c>
    </row>
    <row r="885" spans="1:7" x14ac:dyDescent="0.3">
      <c r="A885" s="21">
        <f t="shared" si="13"/>
        <v>1</v>
      </c>
      <c r="B885" s="2">
        <v>46132</v>
      </c>
      <c r="C885" s="2" t="s">
        <v>54</v>
      </c>
      <c r="D885" s="44" t="s">
        <v>23</v>
      </c>
      <c r="E885" s="22" t="str">
        <f>IF(D885&lt;&gt;"",IFERROR(INDEX(Produtos!$C$4:$C$4996,MATCH(D885,Produtos!$B$4:$B$4996,0)),"Produto não encontrado"),"")</f>
        <v>LAJE INFERIOR DE 1000</v>
      </c>
      <c r="F885" s="3">
        <v>1</v>
      </c>
      <c r="G885" s="1" t="s">
        <v>250</v>
      </c>
    </row>
    <row r="886" spans="1:7" x14ac:dyDescent="0.3">
      <c r="A886" s="21">
        <f t="shared" si="13"/>
        <v>1</v>
      </c>
      <c r="B886" s="2">
        <v>46132</v>
      </c>
      <c r="C886" s="2" t="s">
        <v>54</v>
      </c>
      <c r="D886" s="44" t="s">
        <v>71</v>
      </c>
      <c r="E886" s="22" t="str">
        <f>IF(D886&lt;&gt;"",IFERROR(INDEX(Produtos!$C$4:$C$4996,MATCH(D886,Produtos!$B$4:$B$4996,0)),"Produto não encontrado"),"")</f>
        <v>LAJE PRE MONTADA / TAMPÃO DN 600</v>
      </c>
      <c r="F886" s="3">
        <v>1</v>
      </c>
      <c r="G886" s="1" t="s">
        <v>250</v>
      </c>
    </row>
    <row r="887" spans="1:7" x14ac:dyDescent="0.3">
      <c r="A887" s="21">
        <f t="shared" si="13"/>
        <v>1</v>
      </c>
      <c r="B887" s="2">
        <v>46132</v>
      </c>
      <c r="C887" s="2" t="s">
        <v>54</v>
      </c>
      <c r="D887" s="44" t="s">
        <v>67</v>
      </c>
      <c r="E887" s="22" t="str">
        <f>IF(D887&lt;&gt;"",IFERROR(INDEX(Produtos!$C$4:$C$4996,MATCH(D887,Produtos!$B$4:$B$4996,0)),"Produto não encontrado"),"")</f>
        <v>BLOCO DE PV</v>
      </c>
      <c r="F887" s="3">
        <v>24</v>
      </c>
      <c r="G887" s="1" t="s">
        <v>250</v>
      </c>
    </row>
    <row r="888" spans="1:7" x14ac:dyDescent="0.3">
      <c r="A888" s="21">
        <f t="shared" si="13"/>
        <v>1</v>
      </c>
      <c r="B888" s="2">
        <v>46132</v>
      </c>
      <c r="C888" s="2" t="s">
        <v>54</v>
      </c>
      <c r="D888" s="44" t="s">
        <v>57</v>
      </c>
      <c r="E888" s="22" t="str">
        <f>IF(D888&lt;&gt;"",IFERROR(INDEX(Produtos!$C$4:$C$4996,MATCH(D888,Produtos!$B$4:$B$4996,0)),"Produto não encontrado"),"")</f>
        <v>TUBO PEAD ESGOTO D 355</v>
      </c>
      <c r="F888" s="3">
        <v>1</v>
      </c>
      <c r="G888" s="1" t="s">
        <v>163</v>
      </c>
    </row>
    <row r="889" spans="1:7" x14ac:dyDescent="0.3">
      <c r="A889" s="21">
        <f t="shared" si="13"/>
        <v>1</v>
      </c>
      <c r="B889" s="2">
        <v>46132</v>
      </c>
      <c r="C889" s="2" t="s">
        <v>54</v>
      </c>
      <c r="D889" s="44" t="s">
        <v>21</v>
      </c>
      <c r="E889" s="22" t="str">
        <f>IF(D889&lt;&gt;"",IFERROR(INDEX(Produtos!$C$4:$C$4996,MATCH(D889,Produtos!$B$4:$B$4996,0)),"Produto não encontrado"),"")</f>
        <v>ADUELA DE 1000</v>
      </c>
      <c r="F889" s="3">
        <v>2</v>
      </c>
      <c r="G889" s="1" t="s">
        <v>253</v>
      </c>
    </row>
    <row r="890" spans="1:7" x14ac:dyDescent="0.3">
      <c r="A890" s="21">
        <f t="shared" si="13"/>
        <v>1</v>
      </c>
      <c r="B890" s="2">
        <v>46132</v>
      </c>
      <c r="C890" s="2" t="s">
        <v>54</v>
      </c>
      <c r="D890" s="44" t="s">
        <v>23</v>
      </c>
      <c r="E890" s="22" t="str">
        <f>IF(D890&lt;&gt;"",IFERROR(INDEX(Produtos!$C$4:$C$4996,MATCH(D890,Produtos!$B$4:$B$4996,0)),"Produto não encontrado"),"")</f>
        <v>LAJE INFERIOR DE 1000</v>
      </c>
      <c r="F890" s="3">
        <v>1</v>
      </c>
      <c r="G890" s="1" t="s">
        <v>253</v>
      </c>
    </row>
    <row r="891" spans="1:7" x14ac:dyDescent="0.3">
      <c r="A891" s="21">
        <f t="shared" si="13"/>
        <v>1</v>
      </c>
      <c r="B891" s="2">
        <v>46132</v>
      </c>
      <c r="C891" s="2" t="s">
        <v>54</v>
      </c>
      <c r="D891" s="44" t="s">
        <v>71</v>
      </c>
      <c r="E891" s="22" t="str">
        <f>IF(D891&lt;&gt;"",IFERROR(INDEX(Produtos!$C$4:$C$4996,MATCH(D891,Produtos!$B$4:$B$4996,0)),"Produto não encontrado"),"")</f>
        <v>LAJE PRE MONTADA / TAMPÃO DN 600</v>
      </c>
      <c r="F891" s="3">
        <v>1</v>
      </c>
      <c r="G891" s="1" t="s">
        <v>253</v>
      </c>
    </row>
    <row r="892" spans="1:7" x14ac:dyDescent="0.3">
      <c r="A892" s="21">
        <f t="shared" si="13"/>
        <v>1</v>
      </c>
      <c r="B892" s="2">
        <v>46132</v>
      </c>
      <c r="C892" s="2" t="s">
        <v>54</v>
      </c>
      <c r="D892" s="44" t="s">
        <v>21</v>
      </c>
      <c r="E892" s="22" t="str">
        <f>IF(D892&lt;&gt;"",IFERROR(INDEX(Produtos!$C$4:$C$4996,MATCH(D892,Produtos!$B$4:$B$4996,0)),"Produto não encontrado"),"")</f>
        <v>ADUELA DE 1000</v>
      </c>
      <c r="F892" s="3">
        <v>1</v>
      </c>
      <c r="G892" s="1" t="s">
        <v>250</v>
      </c>
    </row>
    <row r="893" spans="1:7" x14ac:dyDescent="0.3">
      <c r="A893" s="21">
        <f t="shared" si="13"/>
        <v>1</v>
      </c>
      <c r="B893" s="2">
        <v>46132</v>
      </c>
      <c r="C893" s="2" t="s">
        <v>54</v>
      </c>
      <c r="D893" s="44" t="s">
        <v>65</v>
      </c>
      <c r="E893" s="22" t="str">
        <f>IF(D893&lt;&gt;"",IFERROR(INDEX(Produtos!$C$4:$C$4996,MATCH(D893,Produtos!$B$4:$B$4996,0)),"Produto não encontrado"),"")</f>
        <v>TUBO ESGOTO PVC DN 100</v>
      </c>
      <c r="F893" s="3">
        <v>1</v>
      </c>
      <c r="G893" s="1" t="s">
        <v>250</v>
      </c>
    </row>
    <row r="894" spans="1:7" x14ac:dyDescent="0.3">
      <c r="A894" s="21">
        <f t="shared" si="13"/>
        <v>1</v>
      </c>
      <c r="B894" s="2">
        <v>46132</v>
      </c>
      <c r="C894" s="2" t="s">
        <v>54</v>
      </c>
      <c r="D894" s="44" t="s">
        <v>62</v>
      </c>
      <c r="E894" s="22" t="str">
        <f>IF(D894&lt;&gt;"",IFERROR(INDEX(Produtos!$C$4:$C$4996,MATCH(D894,Produtos!$B$4:$B$4996,0)),"Produto não encontrado"),"")</f>
        <v>TUBO ESGOTO PVC DN 300</v>
      </c>
      <c r="F894" s="3">
        <v>1</v>
      </c>
      <c r="G894" s="1" t="s">
        <v>160</v>
      </c>
    </row>
    <row r="895" spans="1:7" x14ac:dyDescent="0.3">
      <c r="A895" s="21">
        <f t="shared" si="13"/>
        <v>1</v>
      </c>
      <c r="B895" s="2">
        <v>46133</v>
      </c>
      <c r="C895" s="2" t="s">
        <v>54</v>
      </c>
      <c r="D895" s="44" t="s">
        <v>70</v>
      </c>
      <c r="E895" s="22" t="str">
        <f>IF(D895&lt;&gt;"",IFERROR(INDEX(Produtos!$C$4:$C$4996,MATCH(D895,Produtos!$B$4:$B$4996,0)),"Produto não encontrado"),"")</f>
        <v>TUBO ESGOTO PVC DN 400</v>
      </c>
      <c r="F895" s="3">
        <v>4</v>
      </c>
      <c r="G895" s="1" t="s">
        <v>160</v>
      </c>
    </row>
    <row r="896" spans="1:7" x14ac:dyDescent="0.3">
      <c r="A896" s="21">
        <f t="shared" ref="A896:A959" si="14">IF(C896="Entrada",2,IF(C896="Saída",1,"."))</f>
        <v>1</v>
      </c>
      <c r="B896" s="2">
        <v>46133</v>
      </c>
      <c r="C896" s="2" t="s">
        <v>54</v>
      </c>
      <c r="D896" s="44" t="s">
        <v>65</v>
      </c>
      <c r="E896" s="22" t="str">
        <f>IF(D896&lt;&gt;"",IFERROR(INDEX(Produtos!$C$4:$C$4996,MATCH(D896,Produtos!$B$4:$B$4996,0)),"Produto não encontrado"),"")</f>
        <v>TUBO ESGOTO PVC DN 100</v>
      </c>
      <c r="F896" s="3">
        <v>1</v>
      </c>
      <c r="G896" s="1" t="s">
        <v>175</v>
      </c>
    </row>
    <row r="897" spans="1:7" x14ac:dyDescent="0.3">
      <c r="A897" s="21">
        <f t="shared" si="14"/>
        <v>1</v>
      </c>
      <c r="B897" s="2">
        <v>46133</v>
      </c>
      <c r="C897" s="2" t="s">
        <v>54</v>
      </c>
      <c r="D897" s="44" t="s">
        <v>65</v>
      </c>
      <c r="E897" s="22" t="str">
        <f>IF(D897&lt;&gt;"",IFERROR(INDEX(Produtos!$C$4:$C$4996,MATCH(D897,Produtos!$B$4:$B$4996,0)),"Produto não encontrado"),"")</f>
        <v>TUBO ESGOTO PVC DN 100</v>
      </c>
      <c r="F897" s="3">
        <v>1</v>
      </c>
      <c r="G897" s="1" t="s">
        <v>169</v>
      </c>
    </row>
    <row r="898" spans="1:7" x14ac:dyDescent="0.3">
      <c r="A898" s="21">
        <f t="shared" si="14"/>
        <v>1</v>
      </c>
      <c r="B898" s="2">
        <v>46133</v>
      </c>
      <c r="C898" s="2" t="s">
        <v>54</v>
      </c>
      <c r="D898" s="44" t="s">
        <v>66</v>
      </c>
      <c r="E898" s="22" t="str">
        <f>IF(D898&lt;&gt;"",IFERROR(INDEX(Produtos!$C$4:$C$4996,MATCH(D898,Produtos!$B$4:$B$4996,0)),"Produto não encontrado"),"")</f>
        <v>CHAPA ARMICO</v>
      </c>
      <c r="F898" s="3">
        <v>30</v>
      </c>
      <c r="G898" s="1" t="s">
        <v>174</v>
      </c>
    </row>
    <row r="899" spans="1:7" x14ac:dyDescent="0.3">
      <c r="A899" s="21">
        <f t="shared" si="14"/>
        <v>1</v>
      </c>
      <c r="B899" s="2">
        <v>46133</v>
      </c>
      <c r="C899" s="2" t="s">
        <v>54</v>
      </c>
      <c r="D899" s="44" t="s">
        <v>75</v>
      </c>
      <c r="E899" s="22" t="str">
        <f>IF(D899&lt;&gt;"",IFERROR(INDEX(Produtos!$C$4:$C$4996,MATCH(D899,Produtos!$B$4:$B$4996,0)),"Produto não encontrado"),"")</f>
        <v>PORCA SEXTAVADA 5/8</v>
      </c>
      <c r="F899" s="3">
        <v>400</v>
      </c>
      <c r="G899" s="1" t="s">
        <v>174</v>
      </c>
    </row>
    <row r="900" spans="1:7" x14ac:dyDescent="0.3">
      <c r="A900" s="21">
        <f t="shared" si="14"/>
        <v>1</v>
      </c>
      <c r="B900" s="2">
        <v>46133</v>
      </c>
      <c r="C900" s="2" t="s">
        <v>54</v>
      </c>
      <c r="D900" s="44" t="s">
        <v>73</v>
      </c>
      <c r="E900" s="22" t="str">
        <f>IF(D900&lt;&gt;"",IFERROR(INDEX(Produtos!$C$4:$C$4996,MATCH(D900,Produtos!$B$4:$B$4996,0)),"Produto não encontrado"),"")</f>
        <v>PARAFUSO SEXTAVADA 5/8</v>
      </c>
      <c r="F900" s="3">
        <v>200</v>
      </c>
      <c r="G900" s="1" t="s">
        <v>250</v>
      </c>
    </row>
    <row r="901" spans="1:7" x14ac:dyDescent="0.3">
      <c r="A901" s="21">
        <f t="shared" si="14"/>
        <v>1</v>
      </c>
      <c r="B901" s="2">
        <v>46133</v>
      </c>
      <c r="C901" s="2" t="s">
        <v>54</v>
      </c>
      <c r="D901" s="44" t="s">
        <v>74</v>
      </c>
      <c r="E901" s="22" t="str">
        <f>IF(D901&lt;&gt;"",IFERROR(INDEX(Produtos!$C$4:$C$4996,MATCH(D901,Produtos!$B$4:$B$4996,0)),"Produto não encontrado"),"")</f>
        <v xml:space="preserve">PARAFUSO QUADRADO 5/8 </v>
      </c>
      <c r="F901" s="3">
        <v>200</v>
      </c>
      <c r="G901" s="1" t="s">
        <v>250</v>
      </c>
    </row>
    <row r="902" spans="1:7" x14ac:dyDescent="0.3">
      <c r="A902" s="21">
        <f t="shared" si="14"/>
        <v>1</v>
      </c>
      <c r="B902" s="2">
        <v>46133</v>
      </c>
      <c r="C902" s="2" t="s">
        <v>54</v>
      </c>
      <c r="D902" s="44" t="s">
        <v>75</v>
      </c>
      <c r="E902" s="22" t="str">
        <f>IF(D902&lt;&gt;"",IFERROR(INDEX(Produtos!$C$4:$C$4996,MATCH(D902,Produtos!$B$4:$B$4996,0)),"Produto não encontrado"),"")</f>
        <v>PORCA SEXTAVADA 5/8</v>
      </c>
      <c r="F902" s="3">
        <v>400</v>
      </c>
      <c r="G902" s="1" t="s">
        <v>250</v>
      </c>
    </row>
    <row r="903" spans="1:7" x14ac:dyDescent="0.3">
      <c r="A903" s="21">
        <f t="shared" si="14"/>
        <v>1</v>
      </c>
      <c r="B903" s="2">
        <v>46133</v>
      </c>
      <c r="C903" s="2" t="s">
        <v>54</v>
      </c>
      <c r="D903" s="44" t="s">
        <v>21</v>
      </c>
      <c r="E903" s="22" t="str">
        <f>IF(D903&lt;&gt;"",IFERROR(INDEX(Produtos!$C$4:$C$4996,MATCH(D903,Produtos!$B$4:$B$4996,0)),"Produto não encontrado"),"")</f>
        <v>ADUELA DE 1000</v>
      </c>
      <c r="F903" s="3">
        <v>3</v>
      </c>
      <c r="G903" s="1" t="s">
        <v>193</v>
      </c>
    </row>
    <row r="904" spans="1:7" x14ac:dyDescent="0.3">
      <c r="A904" s="21">
        <f t="shared" si="14"/>
        <v>1</v>
      </c>
      <c r="B904" s="2">
        <v>46133</v>
      </c>
      <c r="C904" s="2" t="s">
        <v>54</v>
      </c>
      <c r="D904" s="44" t="s">
        <v>80</v>
      </c>
      <c r="E904" s="22" t="str">
        <f>IF(D904&lt;&gt;"",IFERROR(INDEX(Produtos!$C$4:$C$4996,MATCH(D904,Produtos!$B$4:$B$4996,0)),"Produto não encontrado"),"")</f>
        <v>ANEIS DE BORRACHA PARA PV 1000x1000</v>
      </c>
      <c r="F904" s="3">
        <v>3</v>
      </c>
      <c r="G904" s="1" t="s">
        <v>193</v>
      </c>
    </row>
    <row r="905" spans="1:7" x14ac:dyDescent="0.3">
      <c r="A905" s="21">
        <f t="shared" si="14"/>
        <v>1</v>
      </c>
      <c r="B905" s="2">
        <v>46133</v>
      </c>
      <c r="C905" s="2" t="s">
        <v>54</v>
      </c>
      <c r="D905" s="44" t="s">
        <v>71</v>
      </c>
      <c r="E905" s="22" t="str">
        <f>IF(D905&lt;&gt;"",IFERROR(INDEX(Produtos!$C$4:$C$4996,MATCH(D905,Produtos!$B$4:$B$4996,0)),"Produto não encontrado"),"")</f>
        <v>LAJE PRE MONTADA / TAMPÃO DN 600</v>
      </c>
      <c r="F905" s="3">
        <v>1</v>
      </c>
      <c r="G905" s="1" t="s">
        <v>193</v>
      </c>
    </row>
    <row r="906" spans="1:7" x14ac:dyDescent="0.3">
      <c r="A906" s="21">
        <f t="shared" si="14"/>
        <v>1</v>
      </c>
      <c r="B906" s="2">
        <v>46133</v>
      </c>
      <c r="C906" s="2" t="s">
        <v>54</v>
      </c>
      <c r="D906" s="44" t="s">
        <v>68</v>
      </c>
      <c r="E906" s="22" t="str">
        <f>IF(D906&lt;&gt;"",IFERROR(INDEX(Produtos!$C$4:$C$4996,MATCH(D906,Produtos!$B$4:$B$4996,0)),"Produto não encontrado"),"")</f>
        <v>BLOCO VEDAÇÃO 14 x 39</v>
      </c>
      <c r="F906" s="3">
        <v>80</v>
      </c>
      <c r="G906" s="1" t="s">
        <v>241</v>
      </c>
    </row>
    <row r="907" spans="1:7" x14ac:dyDescent="0.3">
      <c r="A907" s="21">
        <f t="shared" si="14"/>
        <v>1</v>
      </c>
      <c r="B907" s="2">
        <v>46133</v>
      </c>
      <c r="C907" s="2" t="s">
        <v>54</v>
      </c>
      <c r="D907" s="44" t="s">
        <v>21</v>
      </c>
      <c r="E907" s="22" t="str">
        <f>IF(D907&lt;&gt;"",IFERROR(INDEX(Produtos!$C$4:$C$4996,MATCH(D907,Produtos!$B$4:$B$4996,0)),"Produto não encontrado"),"")</f>
        <v>ADUELA DE 1000</v>
      </c>
      <c r="F907" s="3">
        <v>1</v>
      </c>
      <c r="G907" s="1" t="s">
        <v>167</v>
      </c>
    </row>
    <row r="908" spans="1:7" x14ac:dyDescent="0.3">
      <c r="A908" s="21">
        <f t="shared" si="14"/>
        <v>1</v>
      </c>
      <c r="B908" s="2">
        <v>46133</v>
      </c>
      <c r="C908" s="2" t="s">
        <v>54</v>
      </c>
      <c r="D908" s="44" t="s">
        <v>23</v>
      </c>
      <c r="E908" s="22" t="str">
        <f>IF(D908&lt;&gt;"",IFERROR(INDEX(Produtos!$C$4:$C$4996,MATCH(D908,Produtos!$B$4:$B$4996,0)),"Produto não encontrado"),"")</f>
        <v>LAJE INFERIOR DE 1000</v>
      </c>
      <c r="F908" s="3">
        <v>1</v>
      </c>
      <c r="G908" s="1" t="s">
        <v>167</v>
      </c>
    </row>
    <row r="909" spans="1:7" x14ac:dyDescent="0.3">
      <c r="A909" s="21">
        <f t="shared" si="14"/>
        <v>1</v>
      </c>
      <c r="B909" s="2">
        <v>46133</v>
      </c>
      <c r="C909" s="2" t="s">
        <v>54</v>
      </c>
      <c r="D909" s="44" t="s">
        <v>22</v>
      </c>
      <c r="E909" s="22" t="str">
        <f>IF(D909&lt;&gt;"",IFERROR(INDEX(Produtos!$C$4:$C$4996,MATCH(D909,Produtos!$B$4:$B$4996,0)),"Produto não encontrado"),"")</f>
        <v>ADUELA DE 600</v>
      </c>
      <c r="F909" s="3">
        <v>1</v>
      </c>
      <c r="G909" s="1" t="s">
        <v>167</v>
      </c>
    </row>
    <row r="910" spans="1:7" x14ac:dyDescent="0.3">
      <c r="A910" s="21">
        <f t="shared" si="14"/>
        <v>1</v>
      </c>
      <c r="B910" s="2">
        <v>46133</v>
      </c>
      <c r="C910" s="2" t="s">
        <v>54</v>
      </c>
      <c r="D910" s="44" t="s">
        <v>21</v>
      </c>
      <c r="E910" s="22" t="str">
        <f>IF(D910&lt;&gt;"",IFERROR(INDEX(Produtos!$C$4:$C$4996,MATCH(D910,Produtos!$B$4:$B$4996,0)),"Produto não encontrado"),"")</f>
        <v>ADUELA DE 1000</v>
      </c>
      <c r="F910" s="3">
        <v>1</v>
      </c>
      <c r="G910" s="1" t="s">
        <v>166</v>
      </c>
    </row>
    <row r="911" spans="1:7" x14ac:dyDescent="0.3">
      <c r="A911" s="21">
        <f t="shared" si="14"/>
        <v>1</v>
      </c>
      <c r="B911" s="2">
        <v>46134</v>
      </c>
      <c r="C911" s="2" t="s">
        <v>54</v>
      </c>
      <c r="D911" s="44" t="s">
        <v>21</v>
      </c>
      <c r="E911" s="22" t="str">
        <f>IF(D911&lt;&gt;"",IFERROR(INDEX(Produtos!$C$4:$C$4996,MATCH(D911,Produtos!$B$4:$B$4996,0)),"Produto não encontrado"),"")</f>
        <v>ADUELA DE 1000</v>
      </c>
      <c r="F911" s="3">
        <v>2</v>
      </c>
      <c r="G911" s="1" t="s">
        <v>174</v>
      </c>
    </row>
    <row r="912" spans="1:7" x14ac:dyDescent="0.3">
      <c r="A912" s="21">
        <f t="shared" si="14"/>
        <v>1</v>
      </c>
      <c r="B912" s="2">
        <v>46134</v>
      </c>
      <c r="C912" s="2" t="s">
        <v>54</v>
      </c>
      <c r="D912" s="44" t="s">
        <v>23</v>
      </c>
      <c r="E912" s="22" t="str">
        <f>IF(D912&lt;&gt;"",IFERROR(INDEX(Produtos!$C$4:$C$4996,MATCH(D912,Produtos!$B$4:$B$4996,0)),"Produto não encontrado"),"")</f>
        <v>LAJE INFERIOR DE 1000</v>
      </c>
      <c r="F912" s="3">
        <v>2</v>
      </c>
      <c r="G912" s="1" t="s">
        <v>174</v>
      </c>
    </row>
    <row r="913" spans="1:8" x14ac:dyDescent="0.3">
      <c r="A913" s="21">
        <f t="shared" si="14"/>
        <v>1</v>
      </c>
      <c r="B913" s="2">
        <v>46134</v>
      </c>
      <c r="C913" s="2" t="s">
        <v>54</v>
      </c>
      <c r="D913" s="44" t="s">
        <v>68</v>
      </c>
      <c r="E913" s="22" t="str">
        <f>IF(D913&lt;&gt;"",IFERROR(INDEX(Produtos!$C$4:$C$4996,MATCH(D913,Produtos!$B$4:$B$4996,0)),"Produto não encontrado"),"")</f>
        <v>BLOCO VEDAÇÃO 14 x 39</v>
      </c>
      <c r="F913" s="3">
        <v>50</v>
      </c>
      <c r="G913" s="1" t="s">
        <v>241</v>
      </c>
    </row>
    <row r="914" spans="1:8" x14ac:dyDescent="0.3">
      <c r="A914" s="21">
        <f t="shared" si="14"/>
        <v>2</v>
      </c>
      <c r="B914" s="2">
        <v>46134</v>
      </c>
      <c r="C914" s="2" t="s">
        <v>28</v>
      </c>
      <c r="D914" s="44" t="s">
        <v>69</v>
      </c>
      <c r="E914" s="22" t="str">
        <f>IF(D914&lt;&gt;"",IFERROR(INDEX(Produtos!$C$4:$C$4996,MATCH(D914,Produtos!$B$4:$B$4996,0)),"Produto não encontrado"),"")</f>
        <v>GUIA</v>
      </c>
      <c r="F914" s="3">
        <v>2</v>
      </c>
      <c r="G914" s="1" t="s">
        <v>241</v>
      </c>
      <c r="H914" s="1" t="s">
        <v>196</v>
      </c>
    </row>
    <row r="915" spans="1:8" x14ac:dyDescent="0.3">
      <c r="A915" s="21">
        <f t="shared" si="14"/>
        <v>2</v>
      </c>
      <c r="B915" s="2">
        <v>46134</v>
      </c>
      <c r="C915" s="2" t="s">
        <v>28</v>
      </c>
      <c r="D915" s="44" t="s">
        <v>76</v>
      </c>
      <c r="E915" s="22" t="str">
        <f>IF(D915&lt;&gt;"",IFERROR(INDEX(Produtos!$C$4:$C$4996,MATCH(D915,Produtos!$B$4:$B$4996,0)),"Produto não encontrado"),"")</f>
        <v>GUIA CHAPÉU</v>
      </c>
      <c r="F915" s="3">
        <v>1</v>
      </c>
      <c r="G915" s="1" t="s">
        <v>241</v>
      </c>
      <c r="H915" s="1" t="s">
        <v>196</v>
      </c>
    </row>
    <row r="916" spans="1:8" x14ac:dyDescent="0.3">
      <c r="A916" s="21">
        <f t="shared" si="14"/>
        <v>2</v>
      </c>
      <c r="B916" s="2">
        <v>46135</v>
      </c>
      <c r="C916" s="2" t="s">
        <v>28</v>
      </c>
      <c r="D916" s="44" t="s">
        <v>21</v>
      </c>
      <c r="E916" s="22" t="str">
        <f>IF(D916&lt;&gt;"",IFERROR(INDEX(Produtos!$C$4:$C$4996,MATCH(D916,Produtos!$B$4:$B$4996,0)),"Produto não encontrado"),"")</f>
        <v>ADUELA DE 1000</v>
      </c>
      <c r="F916" s="3">
        <v>1</v>
      </c>
    </row>
    <row r="917" spans="1:8" x14ac:dyDescent="0.3">
      <c r="A917" s="21">
        <f t="shared" si="14"/>
        <v>1</v>
      </c>
      <c r="B917" s="2">
        <v>46135</v>
      </c>
      <c r="C917" s="2" t="s">
        <v>54</v>
      </c>
      <c r="D917" s="44" t="s">
        <v>57</v>
      </c>
      <c r="E917" s="22" t="str">
        <f>IF(D917&lt;&gt;"",IFERROR(INDEX(Produtos!$C$4:$C$4996,MATCH(D917,Produtos!$B$4:$B$4996,0)),"Produto não encontrado"),"")</f>
        <v>TUBO PEAD ESGOTO D 355</v>
      </c>
      <c r="F917" s="3">
        <v>13</v>
      </c>
      <c r="G917" s="1" t="s">
        <v>256</v>
      </c>
    </row>
    <row r="918" spans="1:8" x14ac:dyDescent="0.3">
      <c r="A918" s="21">
        <f t="shared" si="14"/>
        <v>1</v>
      </c>
      <c r="B918" s="2">
        <v>46135</v>
      </c>
      <c r="C918" s="2" t="s">
        <v>54</v>
      </c>
      <c r="D918" s="44" t="s">
        <v>23</v>
      </c>
      <c r="E918" s="22" t="str">
        <f>IF(D918&lt;&gt;"",IFERROR(INDEX(Produtos!$C$4:$C$4996,MATCH(D918,Produtos!$B$4:$B$4996,0)),"Produto não encontrado"),"")</f>
        <v>LAJE INFERIOR DE 1000</v>
      </c>
      <c r="F918" s="3">
        <v>1</v>
      </c>
      <c r="G918" s="1" t="s">
        <v>166</v>
      </c>
    </row>
    <row r="919" spans="1:8" x14ac:dyDescent="0.3">
      <c r="A919" s="21">
        <f t="shared" si="14"/>
        <v>1</v>
      </c>
      <c r="B919" s="2">
        <v>46135</v>
      </c>
      <c r="C919" s="2" t="s">
        <v>54</v>
      </c>
      <c r="D919" s="44" t="s">
        <v>21</v>
      </c>
      <c r="E919" s="22" t="str">
        <f>IF(D919&lt;&gt;"",IFERROR(INDEX(Produtos!$C$4:$C$4996,MATCH(D919,Produtos!$B$4:$B$4996,0)),"Produto não encontrado"),"")</f>
        <v>ADUELA DE 1000</v>
      </c>
      <c r="F919" s="3">
        <v>2</v>
      </c>
      <c r="G919" s="1" t="s">
        <v>166</v>
      </c>
    </row>
    <row r="920" spans="1:8" x14ac:dyDescent="0.3">
      <c r="A920" s="21">
        <f t="shared" si="14"/>
        <v>1</v>
      </c>
      <c r="B920" s="2">
        <v>46135</v>
      </c>
      <c r="C920" s="2" t="s">
        <v>54</v>
      </c>
      <c r="D920" s="44" t="s">
        <v>71</v>
      </c>
      <c r="E920" s="22" t="str">
        <f>IF(D920&lt;&gt;"",IFERROR(INDEX(Produtos!$C$4:$C$4996,MATCH(D920,Produtos!$B$4:$B$4996,0)),"Produto não encontrado"),"")</f>
        <v>LAJE PRE MONTADA / TAMPÃO DN 600</v>
      </c>
      <c r="F920" s="3">
        <v>1</v>
      </c>
      <c r="G920" s="1" t="s">
        <v>166</v>
      </c>
    </row>
    <row r="921" spans="1:8" x14ac:dyDescent="0.3">
      <c r="A921" s="21">
        <f t="shared" si="14"/>
        <v>1</v>
      </c>
      <c r="B921" s="2">
        <v>46135</v>
      </c>
      <c r="C921" s="2" t="s">
        <v>54</v>
      </c>
      <c r="D921" s="44" t="s">
        <v>66</v>
      </c>
      <c r="E921" s="22" t="str">
        <f>IF(D921&lt;&gt;"",IFERROR(INDEX(Produtos!$C$4:$C$4996,MATCH(D921,Produtos!$B$4:$B$4996,0)),"Produto não encontrado"),"")</f>
        <v>CHAPA ARMICO</v>
      </c>
      <c r="F921" s="3">
        <v>30</v>
      </c>
      <c r="G921" s="1" t="s">
        <v>161</v>
      </c>
    </row>
    <row r="922" spans="1:8" x14ac:dyDescent="0.3">
      <c r="A922" s="21">
        <f t="shared" si="14"/>
        <v>1</v>
      </c>
      <c r="B922" s="2">
        <v>46135</v>
      </c>
      <c r="C922" s="2" t="s">
        <v>54</v>
      </c>
      <c r="D922" s="44" t="s">
        <v>74</v>
      </c>
      <c r="E922" s="22" t="str">
        <f>IF(D922&lt;&gt;"",IFERROR(INDEX(Produtos!$C$4:$C$4996,MATCH(D922,Produtos!$B$4:$B$4996,0)),"Produto não encontrado"),"")</f>
        <v xml:space="preserve">PARAFUSO QUADRADO 5/8 </v>
      </c>
      <c r="F922" s="3">
        <v>200</v>
      </c>
      <c r="G922" s="1" t="s">
        <v>161</v>
      </c>
    </row>
    <row r="923" spans="1:8" x14ac:dyDescent="0.3">
      <c r="A923" s="21">
        <f t="shared" si="14"/>
        <v>1</v>
      </c>
      <c r="B923" s="2">
        <v>46135</v>
      </c>
      <c r="C923" s="2" t="s">
        <v>54</v>
      </c>
      <c r="D923" s="44" t="s">
        <v>21</v>
      </c>
      <c r="E923" s="22" t="str">
        <f>IF(D923&lt;&gt;"",IFERROR(INDEX(Produtos!$C$4:$C$4996,MATCH(D923,Produtos!$B$4:$B$4996,0)),"Produto não encontrado"),"")</f>
        <v>ADUELA DE 1000</v>
      </c>
      <c r="F923" s="3">
        <v>1</v>
      </c>
      <c r="G923" s="1" t="s">
        <v>256</v>
      </c>
    </row>
    <row r="924" spans="1:8" x14ac:dyDescent="0.3">
      <c r="A924" s="21">
        <f t="shared" si="14"/>
        <v>1</v>
      </c>
      <c r="B924" s="2">
        <v>46135</v>
      </c>
      <c r="C924" s="2" t="s">
        <v>54</v>
      </c>
      <c r="D924" s="44" t="s">
        <v>23</v>
      </c>
      <c r="E924" s="22" t="str">
        <f>IF(D924&lt;&gt;"",IFERROR(INDEX(Produtos!$C$4:$C$4996,MATCH(D924,Produtos!$B$4:$B$4996,0)),"Produto não encontrado"),"")</f>
        <v>LAJE INFERIOR DE 1000</v>
      </c>
      <c r="F924" s="3">
        <v>1</v>
      </c>
      <c r="G924" s="1" t="s">
        <v>256</v>
      </c>
    </row>
    <row r="925" spans="1:8" x14ac:dyDescent="0.3">
      <c r="A925" s="21">
        <f t="shared" si="14"/>
        <v>1</v>
      </c>
      <c r="B925" s="2">
        <v>46135</v>
      </c>
      <c r="C925" s="2" t="s">
        <v>54</v>
      </c>
      <c r="D925" s="44" t="s">
        <v>21</v>
      </c>
      <c r="E925" s="22" t="str">
        <f>IF(D925&lt;&gt;"",IFERROR(INDEX(Produtos!$C$4:$C$4996,MATCH(D925,Produtos!$B$4:$B$4996,0)),"Produto não encontrado"),"")</f>
        <v>ADUELA DE 1000</v>
      </c>
      <c r="F925" s="3">
        <v>2</v>
      </c>
      <c r="G925" s="1" t="s">
        <v>193</v>
      </c>
    </row>
    <row r="926" spans="1:8" x14ac:dyDescent="0.3">
      <c r="A926" s="21">
        <f t="shared" si="14"/>
        <v>1</v>
      </c>
      <c r="B926" s="2">
        <v>46135</v>
      </c>
      <c r="C926" s="2" t="s">
        <v>54</v>
      </c>
      <c r="D926" s="44" t="s">
        <v>23</v>
      </c>
      <c r="E926" s="22" t="str">
        <f>IF(D926&lt;&gt;"",IFERROR(INDEX(Produtos!$C$4:$C$4996,MATCH(D926,Produtos!$B$4:$B$4996,0)),"Produto não encontrado"),"")</f>
        <v>LAJE INFERIOR DE 1000</v>
      </c>
      <c r="F926" s="3">
        <v>1</v>
      </c>
      <c r="G926" s="1" t="s">
        <v>193</v>
      </c>
    </row>
    <row r="927" spans="1:8" x14ac:dyDescent="0.3">
      <c r="A927" s="21">
        <f t="shared" si="14"/>
        <v>1</v>
      </c>
      <c r="B927" s="2">
        <v>46135</v>
      </c>
      <c r="C927" s="2" t="s">
        <v>54</v>
      </c>
      <c r="D927" s="44" t="s">
        <v>71</v>
      </c>
      <c r="E927" s="22" t="str">
        <f>IF(D927&lt;&gt;"",IFERROR(INDEX(Produtos!$C$4:$C$4996,MATCH(D927,Produtos!$B$4:$B$4996,0)),"Produto não encontrado"),"")</f>
        <v>LAJE PRE MONTADA / TAMPÃO DN 600</v>
      </c>
      <c r="F927" s="3">
        <v>1</v>
      </c>
      <c r="G927" s="1" t="s">
        <v>193</v>
      </c>
    </row>
    <row r="928" spans="1:8" x14ac:dyDescent="0.3">
      <c r="A928" s="21">
        <f t="shared" si="14"/>
        <v>1</v>
      </c>
      <c r="B928" s="2">
        <v>46135</v>
      </c>
      <c r="C928" s="2" t="s">
        <v>54</v>
      </c>
      <c r="D928" s="44" t="s">
        <v>57</v>
      </c>
      <c r="E928" s="22" t="str">
        <f>IF(D928&lt;&gt;"",IFERROR(INDEX(Produtos!$C$4:$C$4996,MATCH(D928,Produtos!$B$4:$B$4996,0)),"Produto não encontrado"),"")</f>
        <v>TUBO PEAD ESGOTO D 355</v>
      </c>
      <c r="F928" s="3">
        <v>15</v>
      </c>
      <c r="G928" s="1" t="s">
        <v>170</v>
      </c>
    </row>
    <row r="929" spans="1:7" x14ac:dyDescent="0.3">
      <c r="A929" s="21">
        <f t="shared" si="14"/>
        <v>2</v>
      </c>
      <c r="B929" s="2">
        <v>46135</v>
      </c>
      <c r="C929" s="2" t="s">
        <v>28</v>
      </c>
      <c r="D929" s="44" t="s">
        <v>21</v>
      </c>
      <c r="E929" s="22" t="str">
        <f>IF(D929&lt;&gt;"",IFERROR(INDEX(Produtos!$C$4:$C$4996,MATCH(D929,Produtos!$B$4:$B$4996,0)),"Produto não encontrado"),"")</f>
        <v>ADUELA DE 1000</v>
      </c>
      <c r="F929" s="3">
        <v>80</v>
      </c>
      <c r="G929" s="1" t="s">
        <v>185</v>
      </c>
    </row>
    <row r="930" spans="1:7" x14ac:dyDescent="0.3">
      <c r="A930" s="21">
        <f t="shared" si="14"/>
        <v>1</v>
      </c>
      <c r="B930" s="2">
        <v>46135</v>
      </c>
      <c r="C930" s="2" t="s">
        <v>54</v>
      </c>
      <c r="D930" s="44" t="s">
        <v>21</v>
      </c>
      <c r="E930" s="22" t="str">
        <f>IF(D930&lt;&gt;"",IFERROR(INDEX(Produtos!$C$4:$C$4996,MATCH(D930,Produtos!$B$4:$B$4996,0)),"Produto não encontrado"),"")</f>
        <v>ADUELA DE 1000</v>
      </c>
      <c r="F930" s="3">
        <v>3</v>
      </c>
      <c r="G930" s="1" t="s">
        <v>169</v>
      </c>
    </row>
    <row r="931" spans="1:7" x14ac:dyDescent="0.3">
      <c r="A931" s="21">
        <f t="shared" si="14"/>
        <v>1</v>
      </c>
      <c r="B931" s="2">
        <v>46135</v>
      </c>
      <c r="C931" s="2" t="s">
        <v>54</v>
      </c>
      <c r="D931" s="44" t="s">
        <v>23</v>
      </c>
      <c r="E931" s="22" t="str">
        <f>IF(D931&lt;&gt;"",IFERROR(INDEX(Produtos!$C$4:$C$4996,MATCH(D931,Produtos!$B$4:$B$4996,0)),"Produto não encontrado"),"")</f>
        <v>LAJE INFERIOR DE 1000</v>
      </c>
      <c r="F931" s="3">
        <v>1</v>
      </c>
      <c r="G931" s="1" t="s">
        <v>173</v>
      </c>
    </row>
    <row r="932" spans="1:7" x14ac:dyDescent="0.3">
      <c r="A932" s="21">
        <f t="shared" si="14"/>
        <v>1</v>
      </c>
      <c r="B932" s="2">
        <v>46135</v>
      </c>
      <c r="C932" s="2" t="s">
        <v>54</v>
      </c>
      <c r="D932" s="44" t="s">
        <v>21</v>
      </c>
      <c r="E932" s="22" t="str">
        <f>IF(D932&lt;&gt;"",IFERROR(INDEX(Produtos!$C$4:$C$4996,MATCH(D932,Produtos!$B$4:$B$4996,0)),"Produto não encontrado"),"")</f>
        <v>ADUELA DE 1000</v>
      </c>
      <c r="F932" s="3">
        <v>1</v>
      </c>
      <c r="G932" s="1" t="s">
        <v>167</v>
      </c>
    </row>
    <row r="933" spans="1:7" x14ac:dyDescent="0.3">
      <c r="A933" s="21">
        <f t="shared" si="14"/>
        <v>1</v>
      </c>
      <c r="B933" s="2">
        <v>46135</v>
      </c>
      <c r="C933" s="2" t="s">
        <v>54</v>
      </c>
      <c r="D933" s="44" t="s">
        <v>80</v>
      </c>
      <c r="E933" s="22" t="str">
        <f>IF(D933&lt;&gt;"",IFERROR(INDEX(Produtos!$C$4:$C$4996,MATCH(D933,Produtos!$B$4:$B$4996,0)),"Produto não encontrado"),"")</f>
        <v>ANEIS DE BORRACHA PARA PV 1000x1000</v>
      </c>
      <c r="F933" s="3">
        <v>1</v>
      </c>
      <c r="G933" s="1" t="s">
        <v>167</v>
      </c>
    </row>
    <row r="934" spans="1:7" x14ac:dyDescent="0.3">
      <c r="A934" s="21">
        <f t="shared" si="14"/>
        <v>1</v>
      </c>
      <c r="B934" s="2">
        <v>46135</v>
      </c>
      <c r="C934" s="2" t="s">
        <v>54</v>
      </c>
      <c r="D934" s="44" t="s">
        <v>67</v>
      </c>
      <c r="E934" s="22" t="str">
        <f>IF(D934&lt;&gt;"",IFERROR(INDEX(Produtos!$C$4:$C$4996,MATCH(D934,Produtos!$B$4:$B$4996,0)),"Produto não encontrado"),"")</f>
        <v>BLOCO DE PV</v>
      </c>
      <c r="F934" s="3">
        <v>24</v>
      </c>
      <c r="G934" s="1" t="s">
        <v>250</v>
      </c>
    </row>
    <row r="935" spans="1:7" x14ac:dyDescent="0.3">
      <c r="A935" s="21">
        <f t="shared" si="14"/>
        <v>1</v>
      </c>
      <c r="B935" s="2">
        <v>46136</v>
      </c>
      <c r="C935" s="2" t="s">
        <v>54</v>
      </c>
      <c r="D935" s="44" t="s">
        <v>66</v>
      </c>
      <c r="E935" s="22" t="str">
        <f>IF(D935&lt;&gt;"",IFERROR(INDEX(Produtos!$C$4:$C$4996,MATCH(D935,Produtos!$B$4:$B$4996,0)),"Produto não encontrado"),"")</f>
        <v>CHAPA ARMICO</v>
      </c>
      <c r="F935" s="3">
        <v>30</v>
      </c>
      <c r="G935" s="1" t="s">
        <v>161</v>
      </c>
    </row>
    <row r="936" spans="1:7" x14ac:dyDescent="0.3">
      <c r="A936" s="21">
        <f t="shared" si="14"/>
        <v>1</v>
      </c>
      <c r="B936" s="2">
        <v>46136</v>
      </c>
      <c r="C936" s="2" t="s">
        <v>54</v>
      </c>
      <c r="D936" s="44" t="s">
        <v>68</v>
      </c>
      <c r="E936" s="22" t="str">
        <f>IF(D936&lt;&gt;"",IFERROR(INDEX(Produtos!$C$4:$C$4996,MATCH(D936,Produtos!$B$4:$B$4996,0)),"Produto não encontrado"),"")</f>
        <v>BLOCO VEDAÇÃO 14 x 39</v>
      </c>
      <c r="F936" s="3">
        <v>360</v>
      </c>
      <c r="G936" s="1" t="s">
        <v>234</v>
      </c>
    </row>
    <row r="937" spans="1:7" x14ac:dyDescent="0.3">
      <c r="A937" s="21">
        <f t="shared" si="14"/>
        <v>1</v>
      </c>
      <c r="B937" s="2">
        <v>46136</v>
      </c>
      <c r="C937" s="2" t="s">
        <v>54</v>
      </c>
      <c r="D937" s="44" t="s">
        <v>21</v>
      </c>
      <c r="E937" s="22" t="str">
        <f>IF(D937&lt;&gt;"",IFERROR(INDEX(Produtos!$C$4:$C$4996,MATCH(D937,Produtos!$B$4:$B$4996,0)),"Produto não encontrado"),"")</f>
        <v>ADUELA DE 1000</v>
      </c>
      <c r="F937" s="3">
        <v>2</v>
      </c>
      <c r="G937" s="1" t="s">
        <v>175</v>
      </c>
    </row>
    <row r="938" spans="1:7" x14ac:dyDescent="0.3">
      <c r="A938" s="21">
        <f t="shared" si="14"/>
        <v>1</v>
      </c>
      <c r="B938" s="2">
        <v>46136</v>
      </c>
      <c r="C938" s="2" t="s">
        <v>54</v>
      </c>
      <c r="D938" s="44" t="s">
        <v>23</v>
      </c>
      <c r="E938" s="22" t="str">
        <f>IF(D938&lt;&gt;"",IFERROR(INDEX(Produtos!$C$4:$C$4996,MATCH(D938,Produtos!$B$4:$B$4996,0)),"Produto não encontrado"),"")</f>
        <v>LAJE INFERIOR DE 1000</v>
      </c>
      <c r="F938" s="3">
        <v>2</v>
      </c>
      <c r="G938" s="1" t="s">
        <v>175</v>
      </c>
    </row>
    <row r="939" spans="1:7" x14ac:dyDescent="0.3">
      <c r="A939" s="21">
        <f t="shared" si="14"/>
        <v>1</v>
      </c>
      <c r="B939" s="2">
        <v>46136</v>
      </c>
      <c r="C939" s="2" t="s">
        <v>54</v>
      </c>
      <c r="D939" s="44" t="s">
        <v>21</v>
      </c>
      <c r="E939" s="22" t="str">
        <f>IF(D939&lt;&gt;"",IFERROR(INDEX(Produtos!$C$4:$C$4996,MATCH(D939,Produtos!$B$4:$B$4996,0)),"Produto não encontrado"),"")</f>
        <v>ADUELA DE 1000</v>
      </c>
      <c r="F939" s="3">
        <v>3</v>
      </c>
      <c r="G939" s="1" t="s">
        <v>193</v>
      </c>
    </row>
    <row r="940" spans="1:7" x14ac:dyDescent="0.3">
      <c r="A940" s="21">
        <f t="shared" si="14"/>
        <v>1</v>
      </c>
      <c r="B940" s="2">
        <v>46136</v>
      </c>
      <c r="C940" s="2" t="s">
        <v>54</v>
      </c>
      <c r="D940" s="44" t="s">
        <v>80</v>
      </c>
      <c r="E940" s="22" t="str">
        <f>IF(D940&lt;&gt;"",IFERROR(INDEX(Produtos!$C$4:$C$4996,MATCH(D940,Produtos!$B$4:$B$4996,0)),"Produto não encontrado"),"")</f>
        <v>ANEIS DE BORRACHA PARA PV 1000x1000</v>
      </c>
      <c r="F940" s="3">
        <v>3</v>
      </c>
      <c r="G940" s="1" t="s">
        <v>193</v>
      </c>
    </row>
    <row r="941" spans="1:7" x14ac:dyDescent="0.3">
      <c r="A941" s="21">
        <f t="shared" si="14"/>
        <v>1</v>
      </c>
      <c r="B941" s="2">
        <v>46136</v>
      </c>
      <c r="C941" s="2" t="s">
        <v>54</v>
      </c>
      <c r="D941" s="44" t="s">
        <v>21</v>
      </c>
      <c r="E941" s="22" t="str">
        <f>IF(D941&lt;&gt;"",IFERROR(INDEX(Produtos!$C$4:$C$4996,MATCH(D941,Produtos!$B$4:$B$4996,0)),"Produto não encontrado"),"")</f>
        <v>ADUELA DE 1000</v>
      </c>
      <c r="F941" s="3">
        <v>2</v>
      </c>
      <c r="G941" s="1" t="s">
        <v>173</v>
      </c>
    </row>
    <row r="942" spans="1:7" x14ac:dyDescent="0.3">
      <c r="A942" s="21">
        <f t="shared" si="14"/>
        <v>1</v>
      </c>
      <c r="B942" s="2">
        <v>46136</v>
      </c>
      <c r="C942" s="2" t="s">
        <v>54</v>
      </c>
      <c r="D942" s="44" t="s">
        <v>23</v>
      </c>
      <c r="E942" s="22" t="str">
        <f>IF(D942&lt;&gt;"",IFERROR(INDEX(Produtos!$C$4:$C$4996,MATCH(D942,Produtos!$B$4:$B$4996,0)),"Produto não encontrado"),"")</f>
        <v>LAJE INFERIOR DE 1000</v>
      </c>
      <c r="F942" s="3">
        <v>1</v>
      </c>
      <c r="G942" s="1" t="s">
        <v>173</v>
      </c>
    </row>
    <row r="943" spans="1:7" x14ac:dyDescent="0.3">
      <c r="A943" s="21">
        <f t="shared" si="14"/>
        <v>1</v>
      </c>
      <c r="B943" s="2">
        <v>46136</v>
      </c>
      <c r="C943" s="2" t="s">
        <v>54</v>
      </c>
      <c r="D943" s="44" t="s">
        <v>80</v>
      </c>
      <c r="E943" s="22" t="str">
        <f>IF(D943&lt;&gt;"",IFERROR(INDEX(Produtos!$C$4:$C$4996,MATCH(D943,Produtos!$B$4:$B$4996,0)),"Produto não encontrado"),"")</f>
        <v>ANEIS DE BORRACHA PARA PV 1000x1000</v>
      </c>
      <c r="F943" s="3">
        <v>3</v>
      </c>
      <c r="G943" s="1" t="s">
        <v>173</v>
      </c>
    </row>
    <row r="944" spans="1:7" x14ac:dyDescent="0.3">
      <c r="A944" s="21">
        <f t="shared" si="14"/>
        <v>1</v>
      </c>
      <c r="B944" s="2">
        <v>46136</v>
      </c>
      <c r="C944" s="2" t="s">
        <v>54</v>
      </c>
      <c r="D944" s="44" t="s">
        <v>62</v>
      </c>
      <c r="E944" s="22" t="str">
        <f>IF(D944&lt;&gt;"",IFERROR(INDEX(Produtos!$C$4:$C$4996,MATCH(D944,Produtos!$B$4:$B$4996,0)),"Produto não encontrado"),"")</f>
        <v>TUBO ESGOTO PVC DN 300</v>
      </c>
      <c r="F944" s="3">
        <v>1</v>
      </c>
      <c r="G944" s="1" t="s">
        <v>173</v>
      </c>
    </row>
    <row r="945" spans="1:5" x14ac:dyDescent="0.3">
      <c r="A945" s="21">
        <f t="shared" si="14"/>
        <v>1</v>
      </c>
      <c r="B945" s="2">
        <v>46136</v>
      </c>
      <c r="C945" s="2" t="s">
        <v>54</v>
      </c>
      <c r="D945" s="44"/>
      <c r="E945" s="22" t="str">
        <f>IF(D945&lt;&gt;"",IFERROR(INDEX(Produtos!$C$4:$C$4996,MATCH(D945,Produtos!$B$4:$B$4996,0)),"Produto não encontrado"),"")</f>
        <v/>
      </c>
    </row>
    <row r="946" spans="1:5" x14ac:dyDescent="0.3">
      <c r="A946" s="21">
        <f t="shared" si="14"/>
        <v>1</v>
      </c>
      <c r="B946" s="2">
        <v>46136</v>
      </c>
      <c r="C946" s="2" t="s">
        <v>54</v>
      </c>
      <c r="D946" s="44"/>
      <c r="E946" s="22" t="str">
        <f>IF(D946&lt;&gt;"",IFERROR(INDEX(Produtos!$C$4:$C$4996,MATCH(D946,Produtos!$B$4:$B$4996,0)),"Produto não encontrado"),"")</f>
        <v/>
      </c>
    </row>
    <row r="947" spans="1:5" x14ac:dyDescent="0.3">
      <c r="A947" s="21">
        <f t="shared" si="14"/>
        <v>1</v>
      </c>
      <c r="B947" s="2">
        <v>46136</v>
      </c>
      <c r="C947" s="2" t="s">
        <v>54</v>
      </c>
      <c r="D947" s="44"/>
      <c r="E947" s="22" t="str">
        <f>IF(D947&lt;&gt;"",IFERROR(INDEX(Produtos!$C$4:$C$4996,MATCH(D947,Produtos!$B$4:$B$4996,0)),"Produto não encontrado"),"")</f>
        <v/>
      </c>
    </row>
    <row r="948" spans="1:5" x14ac:dyDescent="0.3">
      <c r="A948" s="21">
        <f t="shared" si="14"/>
        <v>1</v>
      </c>
      <c r="B948" s="2">
        <v>46136</v>
      </c>
      <c r="C948" s="2" t="s">
        <v>54</v>
      </c>
      <c r="D948" s="44"/>
      <c r="E948" s="22" t="str">
        <f>IF(D948&lt;&gt;"",IFERROR(INDEX(Produtos!$C$4:$C$4996,MATCH(D948,Produtos!$B$4:$B$4996,0)),"Produto não encontrado"),"")</f>
        <v/>
      </c>
    </row>
    <row r="949" spans="1:5" x14ac:dyDescent="0.3">
      <c r="A949" s="21" t="str">
        <f t="shared" si="14"/>
        <v>.</v>
      </c>
      <c r="D949" s="44"/>
      <c r="E949" s="22" t="str">
        <f>IF(D949&lt;&gt;"",IFERROR(INDEX(Produtos!$C$4:$C$4996,MATCH(D949,Produtos!$B$4:$B$4996,0)),"Produto não encontrado"),"")</f>
        <v/>
      </c>
    </row>
    <row r="950" spans="1:5" x14ac:dyDescent="0.3">
      <c r="A950" s="21" t="str">
        <f t="shared" si="14"/>
        <v>.</v>
      </c>
      <c r="D950" s="44"/>
      <c r="E950" s="22" t="str">
        <f>IF(D950&lt;&gt;"",IFERROR(INDEX(Produtos!$C$4:$C$4996,MATCH(D950,Produtos!$B$4:$B$4996,0)),"Produto não encontrado"),"")</f>
        <v/>
      </c>
    </row>
    <row r="951" spans="1:5" x14ac:dyDescent="0.3">
      <c r="A951" s="21" t="str">
        <f t="shared" si="14"/>
        <v>.</v>
      </c>
      <c r="D951" s="44"/>
      <c r="E951" s="22" t="str">
        <f>IF(D951&lt;&gt;"",IFERROR(INDEX(Produtos!$C$4:$C$4996,MATCH(D951,Produtos!$B$4:$B$4996,0)),"Produto não encontrado"),"")</f>
        <v/>
      </c>
    </row>
    <row r="952" spans="1:5" x14ac:dyDescent="0.3">
      <c r="A952" s="21" t="str">
        <f t="shared" si="14"/>
        <v>.</v>
      </c>
      <c r="D952" s="44"/>
      <c r="E952" s="22" t="str">
        <f>IF(D952&lt;&gt;"",IFERROR(INDEX(Produtos!$C$4:$C$4996,MATCH(D952,Produtos!$B$4:$B$4996,0)),"Produto não encontrado"),"")</f>
        <v/>
      </c>
    </row>
    <row r="953" spans="1:5" x14ac:dyDescent="0.3">
      <c r="A953" s="21" t="str">
        <f t="shared" si="14"/>
        <v>.</v>
      </c>
      <c r="D953" s="44"/>
      <c r="E953" s="22" t="str">
        <f>IF(D953&lt;&gt;"",IFERROR(INDEX(Produtos!$C$4:$C$4996,MATCH(D953,Produtos!$B$4:$B$4996,0)),"Produto não encontrado"),"")</f>
        <v/>
      </c>
    </row>
    <row r="954" spans="1:5" x14ac:dyDescent="0.3">
      <c r="A954" s="21" t="str">
        <f t="shared" si="14"/>
        <v>.</v>
      </c>
      <c r="D954" s="44"/>
      <c r="E954" s="22" t="str">
        <f>IF(D954&lt;&gt;"",IFERROR(INDEX(Produtos!$C$4:$C$4996,MATCH(D954,Produtos!$B$4:$B$4996,0)),"Produto não encontrado"),"")</f>
        <v/>
      </c>
    </row>
    <row r="955" spans="1:5" x14ac:dyDescent="0.3">
      <c r="A955" s="21" t="str">
        <f t="shared" si="14"/>
        <v>.</v>
      </c>
      <c r="D955" s="44"/>
      <c r="E955" s="22" t="str">
        <f>IF(D955&lt;&gt;"",IFERROR(INDEX(Produtos!$C$4:$C$4996,MATCH(D955,Produtos!$B$4:$B$4996,0)),"Produto não encontrado"),"")</f>
        <v/>
      </c>
    </row>
    <row r="956" spans="1:5" x14ac:dyDescent="0.3">
      <c r="A956" s="21" t="str">
        <f t="shared" si="14"/>
        <v>.</v>
      </c>
      <c r="D956" s="44"/>
      <c r="E956" s="22" t="str">
        <f>IF(D956&lt;&gt;"",IFERROR(INDEX(Produtos!$C$4:$C$4996,MATCH(D956,Produtos!$B$4:$B$4996,0)),"Produto não encontrado"),"")</f>
        <v/>
      </c>
    </row>
    <row r="957" spans="1:5" x14ac:dyDescent="0.3">
      <c r="A957" s="21" t="str">
        <f t="shared" si="14"/>
        <v>.</v>
      </c>
      <c r="D957" s="44"/>
      <c r="E957" s="22" t="str">
        <f>IF(D957&lt;&gt;"",IFERROR(INDEX(Produtos!$C$4:$C$4996,MATCH(D957,Produtos!$B$4:$B$4996,0)),"Produto não encontrado"),"")</f>
        <v/>
      </c>
    </row>
    <row r="958" spans="1:5" x14ac:dyDescent="0.3">
      <c r="A958" s="21" t="str">
        <f t="shared" si="14"/>
        <v>.</v>
      </c>
      <c r="D958" s="44"/>
      <c r="E958" s="22" t="str">
        <f>IF(D958&lt;&gt;"",IFERROR(INDEX(Produtos!$C$4:$C$4996,MATCH(D958,Produtos!$B$4:$B$4996,0)),"Produto não encontrado"),"")</f>
        <v/>
      </c>
    </row>
    <row r="959" spans="1:5" x14ac:dyDescent="0.3">
      <c r="A959" s="21" t="str">
        <f t="shared" si="14"/>
        <v>.</v>
      </c>
      <c r="D959" s="44"/>
      <c r="E959" s="22" t="str">
        <f>IF(D959&lt;&gt;"",IFERROR(INDEX(Produtos!$C$4:$C$4996,MATCH(D959,Produtos!$B$4:$B$4996,0)),"Produto não encontrado"),"")</f>
        <v/>
      </c>
    </row>
    <row r="960" spans="1:5" x14ac:dyDescent="0.3">
      <c r="A960" s="21" t="str">
        <f t="shared" ref="A960:A1023" si="15">IF(C960="Entrada",2,IF(C960="Saída",1,"."))</f>
        <v>.</v>
      </c>
      <c r="D960" s="44"/>
      <c r="E960" s="22" t="str">
        <f>IF(D960&lt;&gt;"",IFERROR(INDEX(Produtos!$C$4:$C$4996,MATCH(D960,Produtos!$B$4:$B$4996,0)),"Produto não encontrado"),"")</f>
        <v/>
      </c>
    </row>
    <row r="961" spans="1:5" x14ac:dyDescent="0.3">
      <c r="A961" s="21" t="str">
        <f t="shared" si="15"/>
        <v>.</v>
      </c>
      <c r="D961" s="44"/>
      <c r="E961" s="22" t="str">
        <f>IF(D961&lt;&gt;"",IFERROR(INDEX(Produtos!$C$4:$C$4996,MATCH(D961,Produtos!$B$4:$B$4996,0)),"Produto não encontrado"),"")</f>
        <v/>
      </c>
    </row>
    <row r="962" spans="1:5" x14ac:dyDescent="0.3">
      <c r="A962" s="21" t="str">
        <f t="shared" si="15"/>
        <v>.</v>
      </c>
      <c r="D962" s="44"/>
      <c r="E962" s="22" t="str">
        <f>IF(D962&lt;&gt;"",IFERROR(INDEX(Produtos!$C$4:$C$4996,MATCH(D962,Produtos!$B$4:$B$4996,0)),"Produto não encontrado"),"")</f>
        <v/>
      </c>
    </row>
    <row r="963" spans="1:5" x14ac:dyDescent="0.3">
      <c r="A963" s="21" t="str">
        <f t="shared" si="15"/>
        <v>.</v>
      </c>
      <c r="D963" s="44"/>
      <c r="E963" s="22" t="str">
        <f>IF(D963&lt;&gt;"",IFERROR(INDEX(Produtos!$C$4:$C$4996,MATCH(D963,Produtos!$B$4:$B$4996,0)),"Produto não encontrado"),"")</f>
        <v/>
      </c>
    </row>
    <row r="964" spans="1:5" x14ac:dyDescent="0.3">
      <c r="A964" s="21" t="str">
        <f t="shared" si="15"/>
        <v>.</v>
      </c>
      <c r="D964" s="44"/>
      <c r="E964" s="22" t="str">
        <f>IF(D964&lt;&gt;"",IFERROR(INDEX(Produtos!$C$4:$C$4996,MATCH(D964,Produtos!$B$4:$B$4996,0)),"Produto não encontrado"),"")</f>
        <v/>
      </c>
    </row>
    <row r="965" spans="1:5" x14ac:dyDescent="0.3">
      <c r="A965" s="21" t="str">
        <f t="shared" si="15"/>
        <v>.</v>
      </c>
      <c r="D965" s="44"/>
      <c r="E965" s="22" t="str">
        <f>IF(D965&lt;&gt;"",IFERROR(INDEX(Produtos!$C$4:$C$4996,MATCH(D965,Produtos!$B$4:$B$4996,0)),"Produto não encontrado"),"")</f>
        <v/>
      </c>
    </row>
    <row r="966" spans="1:5" x14ac:dyDescent="0.3">
      <c r="A966" s="21" t="str">
        <f t="shared" si="15"/>
        <v>.</v>
      </c>
      <c r="D966" s="44"/>
      <c r="E966" s="22" t="str">
        <f>IF(D966&lt;&gt;"",IFERROR(INDEX(Produtos!$C$4:$C$4996,MATCH(D966,Produtos!$B$4:$B$4996,0)),"Produto não encontrado"),"")</f>
        <v/>
      </c>
    </row>
    <row r="967" spans="1:5" x14ac:dyDescent="0.3">
      <c r="A967" s="21" t="str">
        <f t="shared" si="15"/>
        <v>.</v>
      </c>
      <c r="D967" s="44"/>
      <c r="E967" s="22" t="str">
        <f>IF(D967&lt;&gt;"",IFERROR(INDEX(Produtos!$C$4:$C$4996,MATCH(D967,Produtos!$B$4:$B$4996,0)),"Produto não encontrado"),"")</f>
        <v/>
      </c>
    </row>
    <row r="968" spans="1:5" x14ac:dyDescent="0.3">
      <c r="A968" s="21" t="str">
        <f t="shared" si="15"/>
        <v>.</v>
      </c>
      <c r="D968" s="44"/>
      <c r="E968" s="22" t="str">
        <f>IF(D968&lt;&gt;"",IFERROR(INDEX(Produtos!$C$4:$C$4996,MATCH(D968,Produtos!$B$4:$B$4996,0)),"Produto não encontrado"),"")</f>
        <v/>
      </c>
    </row>
    <row r="969" spans="1:5" x14ac:dyDescent="0.3">
      <c r="A969" s="21" t="str">
        <f t="shared" si="15"/>
        <v>.</v>
      </c>
      <c r="D969" s="44"/>
      <c r="E969" s="22" t="str">
        <f>IF(D969&lt;&gt;"",IFERROR(INDEX(Produtos!$C$4:$C$4996,MATCH(D969,Produtos!$B$4:$B$4996,0)),"Produto não encontrado"),"")</f>
        <v/>
      </c>
    </row>
    <row r="970" spans="1:5" x14ac:dyDescent="0.3">
      <c r="A970" s="21" t="str">
        <f t="shared" si="15"/>
        <v>.</v>
      </c>
      <c r="D970" s="44"/>
      <c r="E970" s="22" t="str">
        <f>IF(D970&lt;&gt;"",IFERROR(INDEX(Produtos!$C$4:$C$4996,MATCH(D970,Produtos!$B$4:$B$4996,0)),"Produto não encontrado"),"")</f>
        <v/>
      </c>
    </row>
    <row r="971" spans="1:5" x14ac:dyDescent="0.3">
      <c r="A971" s="21" t="str">
        <f t="shared" si="15"/>
        <v>.</v>
      </c>
      <c r="D971" s="44"/>
      <c r="E971" s="22" t="str">
        <f>IF(D971&lt;&gt;"",IFERROR(INDEX(Produtos!$C$4:$C$4996,MATCH(D971,Produtos!$B$4:$B$4996,0)),"Produto não encontrado"),"")</f>
        <v/>
      </c>
    </row>
    <row r="972" spans="1:5" x14ac:dyDescent="0.3">
      <c r="A972" s="21" t="str">
        <f t="shared" si="15"/>
        <v>.</v>
      </c>
      <c r="D972" s="44"/>
      <c r="E972" s="22" t="str">
        <f>IF(D972&lt;&gt;"",IFERROR(INDEX(Produtos!$C$4:$C$4996,MATCH(D972,Produtos!$B$4:$B$4996,0)),"Produto não encontrado"),"")</f>
        <v/>
      </c>
    </row>
    <row r="973" spans="1:5" x14ac:dyDescent="0.3">
      <c r="A973" s="21" t="str">
        <f t="shared" si="15"/>
        <v>.</v>
      </c>
      <c r="D973" s="44"/>
      <c r="E973" s="22" t="str">
        <f>IF(D973&lt;&gt;"",IFERROR(INDEX(Produtos!$C$4:$C$4996,MATCH(D973,Produtos!$B$4:$B$4996,0)),"Produto não encontrado"),"")</f>
        <v/>
      </c>
    </row>
    <row r="974" spans="1:5" x14ac:dyDescent="0.3">
      <c r="A974" s="21" t="str">
        <f t="shared" si="15"/>
        <v>.</v>
      </c>
      <c r="D974" s="44"/>
      <c r="E974" s="22" t="str">
        <f>IF(D974&lt;&gt;"",IFERROR(INDEX(Produtos!$C$4:$C$4996,MATCH(D974,Produtos!$B$4:$B$4996,0)),"Produto não encontrado"),"")</f>
        <v/>
      </c>
    </row>
    <row r="975" spans="1:5" x14ac:dyDescent="0.3">
      <c r="A975" s="21" t="str">
        <f t="shared" si="15"/>
        <v>.</v>
      </c>
      <c r="D975" s="44"/>
      <c r="E975" s="22" t="str">
        <f>IF(D975&lt;&gt;"",IFERROR(INDEX(Produtos!$C$4:$C$4996,MATCH(D975,Produtos!$B$4:$B$4996,0)),"Produto não encontrado"),"")</f>
        <v/>
      </c>
    </row>
    <row r="976" spans="1:5" x14ac:dyDescent="0.3">
      <c r="A976" s="21" t="str">
        <f t="shared" si="15"/>
        <v>.</v>
      </c>
      <c r="D976" s="44"/>
      <c r="E976" s="22" t="str">
        <f>IF(D976&lt;&gt;"",IFERROR(INDEX(Produtos!$C$4:$C$4996,MATCH(D976,Produtos!$B$4:$B$4996,0)),"Produto não encontrado"),"")</f>
        <v/>
      </c>
    </row>
    <row r="977" spans="1:5" x14ac:dyDescent="0.3">
      <c r="A977" s="21" t="str">
        <f t="shared" si="15"/>
        <v>.</v>
      </c>
      <c r="D977" s="44"/>
      <c r="E977" s="22" t="str">
        <f>IF(D977&lt;&gt;"",IFERROR(INDEX(Produtos!$C$4:$C$4996,MATCH(D977,Produtos!$B$4:$B$4996,0)),"Produto não encontrado"),"")</f>
        <v/>
      </c>
    </row>
    <row r="978" spans="1:5" x14ac:dyDescent="0.3">
      <c r="A978" s="21" t="str">
        <f t="shared" si="15"/>
        <v>.</v>
      </c>
      <c r="D978" s="44"/>
      <c r="E978" s="22" t="str">
        <f>IF(D978&lt;&gt;"",IFERROR(INDEX(Produtos!$C$4:$C$4996,MATCH(D978,Produtos!$B$4:$B$4996,0)),"Produto não encontrado"),"")</f>
        <v/>
      </c>
    </row>
    <row r="979" spans="1:5" x14ac:dyDescent="0.3">
      <c r="A979" s="21" t="str">
        <f t="shared" si="15"/>
        <v>.</v>
      </c>
      <c r="D979" s="44"/>
      <c r="E979" s="22" t="str">
        <f>IF(D979&lt;&gt;"",IFERROR(INDEX(Produtos!$C$4:$C$4996,MATCH(D979,Produtos!$B$4:$B$4996,0)),"Produto não encontrado"),"")</f>
        <v/>
      </c>
    </row>
    <row r="980" spans="1:5" x14ac:dyDescent="0.3">
      <c r="A980" s="21" t="str">
        <f t="shared" si="15"/>
        <v>.</v>
      </c>
      <c r="D980" s="44"/>
      <c r="E980" s="22" t="str">
        <f>IF(D980&lt;&gt;"",IFERROR(INDEX(Produtos!$C$4:$C$4996,MATCH(D980,Produtos!$B$4:$B$4996,0)),"Produto não encontrado"),"")</f>
        <v/>
      </c>
    </row>
    <row r="981" spans="1:5" x14ac:dyDescent="0.3">
      <c r="A981" s="21" t="str">
        <f t="shared" si="15"/>
        <v>.</v>
      </c>
      <c r="D981" s="44"/>
      <c r="E981" s="22" t="str">
        <f>IF(D981&lt;&gt;"",IFERROR(INDEX(Produtos!$C$4:$C$4996,MATCH(D981,Produtos!$B$4:$B$4996,0)),"Produto não encontrado"),"")</f>
        <v/>
      </c>
    </row>
    <row r="982" spans="1:5" x14ac:dyDescent="0.3">
      <c r="A982" s="21" t="str">
        <f t="shared" si="15"/>
        <v>.</v>
      </c>
      <c r="D982" s="44"/>
      <c r="E982" s="22" t="str">
        <f>IF(D982&lt;&gt;"",IFERROR(INDEX(Produtos!$C$4:$C$4996,MATCH(D982,Produtos!$B$4:$B$4996,0)),"Produto não encontrado"),"")</f>
        <v/>
      </c>
    </row>
    <row r="983" spans="1:5" x14ac:dyDescent="0.3">
      <c r="A983" s="21" t="str">
        <f t="shared" si="15"/>
        <v>.</v>
      </c>
      <c r="D983" s="44"/>
      <c r="E983" s="22" t="str">
        <f>IF(D983&lt;&gt;"",IFERROR(INDEX(Produtos!$C$4:$C$4996,MATCH(D983,Produtos!$B$4:$B$4996,0)),"Produto não encontrado"),"")</f>
        <v/>
      </c>
    </row>
    <row r="984" spans="1:5" x14ac:dyDescent="0.3">
      <c r="A984" s="21" t="str">
        <f t="shared" si="15"/>
        <v>.</v>
      </c>
      <c r="D984" s="44"/>
      <c r="E984" s="22" t="str">
        <f>IF(D984&lt;&gt;"",IFERROR(INDEX(Produtos!$C$4:$C$4996,MATCH(D984,Produtos!$B$4:$B$4996,0)),"Produto não encontrado"),"")</f>
        <v/>
      </c>
    </row>
    <row r="985" spans="1:5" x14ac:dyDescent="0.3">
      <c r="A985" s="21" t="str">
        <f t="shared" si="15"/>
        <v>.</v>
      </c>
      <c r="D985" s="44"/>
      <c r="E985" s="22" t="str">
        <f>IF(D985&lt;&gt;"",IFERROR(INDEX(Produtos!$C$4:$C$4996,MATCH(D985,Produtos!$B$4:$B$4996,0)),"Produto não encontrado"),"")</f>
        <v/>
      </c>
    </row>
    <row r="986" spans="1:5" x14ac:dyDescent="0.3">
      <c r="A986" s="21" t="str">
        <f t="shared" si="15"/>
        <v>.</v>
      </c>
      <c r="D986" s="44"/>
      <c r="E986" s="22" t="str">
        <f>IF(D986&lt;&gt;"",IFERROR(INDEX(Produtos!$C$4:$C$4996,MATCH(D986,Produtos!$B$4:$B$4996,0)),"Produto não encontrado"),"")</f>
        <v/>
      </c>
    </row>
    <row r="987" spans="1:5" x14ac:dyDescent="0.3">
      <c r="A987" s="21" t="str">
        <f t="shared" si="15"/>
        <v>.</v>
      </c>
      <c r="D987" s="44"/>
      <c r="E987" s="22" t="str">
        <f>IF(D987&lt;&gt;"",IFERROR(INDEX(Produtos!$C$4:$C$4996,MATCH(D987,Produtos!$B$4:$B$4996,0)),"Produto não encontrado"),"")</f>
        <v/>
      </c>
    </row>
    <row r="988" spans="1:5" x14ac:dyDescent="0.3">
      <c r="A988" s="21" t="str">
        <f t="shared" si="15"/>
        <v>.</v>
      </c>
      <c r="D988" s="44"/>
      <c r="E988" s="22" t="str">
        <f>IF(D988&lt;&gt;"",IFERROR(INDEX(Produtos!$C$4:$C$4996,MATCH(D988,Produtos!$B$4:$B$4996,0)),"Produto não encontrado"),"")</f>
        <v/>
      </c>
    </row>
    <row r="989" spans="1:5" x14ac:dyDescent="0.3">
      <c r="A989" s="21" t="str">
        <f t="shared" si="15"/>
        <v>.</v>
      </c>
      <c r="D989" s="44"/>
      <c r="E989" s="22" t="str">
        <f>IF(D989&lt;&gt;"",IFERROR(INDEX(Produtos!$C$4:$C$4996,MATCH(D989,Produtos!$B$4:$B$4996,0)),"Produto não encontrado"),"")</f>
        <v/>
      </c>
    </row>
    <row r="990" spans="1:5" x14ac:dyDescent="0.3">
      <c r="A990" s="21" t="str">
        <f t="shared" si="15"/>
        <v>.</v>
      </c>
      <c r="D990" s="44"/>
      <c r="E990" s="22" t="str">
        <f>IF(D990&lt;&gt;"",IFERROR(INDEX(Produtos!$C$4:$C$4996,MATCH(D990,Produtos!$B$4:$B$4996,0)),"Produto não encontrado"),"")</f>
        <v/>
      </c>
    </row>
    <row r="991" spans="1:5" x14ac:dyDescent="0.3">
      <c r="A991" s="21" t="str">
        <f t="shared" si="15"/>
        <v>.</v>
      </c>
      <c r="D991" s="44"/>
      <c r="E991" s="22" t="str">
        <f>IF(D991&lt;&gt;"",IFERROR(INDEX(Produtos!$C$4:$C$4996,MATCH(D991,Produtos!$B$4:$B$4996,0)),"Produto não encontrado"),"")</f>
        <v/>
      </c>
    </row>
    <row r="992" spans="1:5" x14ac:dyDescent="0.3">
      <c r="A992" s="21" t="str">
        <f t="shared" si="15"/>
        <v>.</v>
      </c>
      <c r="D992" s="44"/>
      <c r="E992" s="22" t="str">
        <f>IF(D992&lt;&gt;"",IFERROR(INDEX(Produtos!$C$4:$C$4996,MATCH(D992,Produtos!$B$4:$B$4996,0)),"Produto não encontrado"),"")</f>
        <v/>
      </c>
    </row>
    <row r="993" spans="1:5" x14ac:dyDescent="0.3">
      <c r="A993" s="21" t="str">
        <f t="shared" si="15"/>
        <v>.</v>
      </c>
      <c r="D993" s="44"/>
      <c r="E993" s="22" t="str">
        <f>IF(D993&lt;&gt;"",IFERROR(INDEX(Produtos!$C$4:$C$4996,MATCH(D993,Produtos!$B$4:$B$4996,0)),"Produto não encontrado"),"")</f>
        <v/>
      </c>
    </row>
    <row r="994" spans="1:5" x14ac:dyDescent="0.3">
      <c r="A994" s="21" t="str">
        <f t="shared" si="15"/>
        <v>.</v>
      </c>
      <c r="D994" s="44"/>
      <c r="E994" s="22" t="str">
        <f>IF(D994&lt;&gt;"",IFERROR(INDEX(Produtos!$C$4:$C$4996,MATCH(D994,Produtos!$B$4:$B$4996,0)),"Produto não encontrado"),"")</f>
        <v/>
      </c>
    </row>
    <row r="995" spans="1:5" x14ac:dyDescent="0.3">
      <c r="A995" s="21" t="str">
        <f t="shared" si="15"/>
        <v>.</v>
      </c>
      <c r="D995" s="44"/>
      <c r="E995" s="22" t="str">
        <f>IF(D995&lt;&gt;"",IFERROR(INDEX(Produtos!$C$4:$C$4996,MATCH(D995,Produtos!$B$4:$B$4996,0)),"Produto não encontrado"),"")</f>
        <v/>
      </c>
    </row>
    <row r="996" spans="1:5" x14ac:dyDescent="0.3">
      <c r="A996" s="21" t="str">
        <f t="shared" si="15"/>
        <v>.</v>
      </c>
      <c r="D996" s="44"/>
      <c r="E996" s="22" t="str">
        <f>IF(D996&lt;&gt;"",IFERROR(INDEX(Produtos!$C$4:$C$4996,MATCH(D996,Produtos!$B$4:$B$4996,0)),"Produto não encontrado"),"")</f>
        <v/>
      </c>
    </row>
    <row r="997" spans="1:5" x14ac:dyDescent="0.3">
      <c r="A997" s="21" t="str">
        <f t="shared" si="15"/>
        <v>.</v>
      </c>
      <c r="D997" s="44"/>
      <c r="E997" s="22" t="str">
        <f>IF(D997&lt;&gt;"",IFERROR(INDEX(Produtos!$C$4:$C$4996,MATCH(D997,Produtos!$B$4:$B$4996,0)),"Produto não encontrado"),"")</f>
        <v/>
      </c>
    </row>
    <row r="998" spans="1:5" x14ac:dyDescent="0.3">
      <c r="A998" s="21" t="str">
        <f t="shared" si="15"/>
        <v>.</v>
      </c>
      <c r="D998" s="44"/>
      <c r="E998" s="22" t="str">
        <f>IF(D998&lt;&gt;"",IFERROR(INDEX(Produtos!$C$4:$C$4996,MATCH(D998,Produtos!$B$4:$B$4996,0)),"Produto não encontrado"),"")</f>
        <v/>
      </c>
    </row>
    <row r="999" spans="1:5" x14ac:dyDescent="0.3">
      <c r="A999" s="21" t="str">
        <f t="shared" si="15"/>
        <v>.</v>
      </c>
      <c r="D999" s="44"/>
      <c r="E999" s="22" t="str">
        <f>IF(D999&lt;&gt;"",IFERROR(INDEX(Produtos!$C$4:$C$4996,MATCH(D999,Produtos!$B$4:$B$4996,0)),"Produto não encontrado"),"")</f>
        <v/>
      </c>
    </row>
    <row r="1000" spans="1:5" x14ac:dyDescent="0.3">
      <c r="A1000" s="21" t="str">
        <f t="shared" si="15"/>
        <v>.</v>
      </c>
      <c r="D1000" s="44"/>
      <c r="E1000" s="22" t="str">
        <f>IF(D1000&lt;&gt;"",IFERROR(INDEX(Produtos!$C$4:$C$4996,MATCH(D1000,Produtos!$B$4:$B$4996,0)),"Produto não encontrado"),"")</f>
        <v/>
      </c>
    </row>
    <row r="1001" spans="1:5" x14ac:dyDescent="0.3">
      <c r="A1001" s="21" t="str">
        <f t="shared" si="15"/>
        <v>.</v>
      </c>
      <c r="D1001" s="44"/>
      <c r="E1001" s="22" t="str">
        <f>IF(D1001&lt;&gt;"",IFERROR(INDEX(Produtos!$C$4:$C$4996,MATCH(D1001,Produtos!$B$4:$B$4996,0)),"Produto não encontrado"),"")</f>
        <v/>
      </c>
    </row>
    <row r="1002" spans="1:5" x14ac:dyDescent="0.3">
      <c r="A1002" s="21" t="str">
        <f t="shared" si="15"/>
        <v>.</v>
      </c>
      <c r="D1002" s="44"/>
      <c r="E1002" s="22" t="str">
        <f>IF(D1002&lt;&gt;"",IFERROR(INDEX(Produtos!$C$4:$C$4996,MATCH(D1002,Produtos!$B$4:$B$4996,0)),"Produto não encontrado"),"")</f>
        <v/>
      </c>
    </row>
    <row r="1003" spans="1:5" x14ac:dyDescent="0.3">
      <c r="A1003" s="21" t="str">
        <f t="shared" si="15"/>
        <v>.</v>
      </c>
      <c r="D1003" s="44"/>
      <c r="E1003" s="22" t="str">
        <f>IF(D1003&lt;&gt;"",IFERROR(INDEX(Produtos!$C$4:$C$4996,MATCH(D1003,Produtos!$B$4:$B$4996,0)),"Produto não encontrado"),"")</f>
        <v/>
      </c>
    </row>
    <row r="1004" spans="1:5" x14ac:dyDescent="0.3">
      <c r="A1004" s="21" t="str">
        <f t="shared" si="15"/>
        <v>.</v>
      </c>
      <c r="D1004" s="44"/>
      <c r="E1004" s="22" t="str">
        <f>IF(D1004&lt;&gt;"",IFERROR(INDEX(Produtos!$C$4:$C$4996,MATCH(D1004,Produtos!$B$4:$B$4996,0)),"Produto não encontrado"),"")</f>
        <v/>
      </c>
    </row>
    <row r="1005" spans="1:5" x14ac:dyDescent="0.3">
      <c r="A1005" s="21" t="str">
        <f t="shared" si="15"/>
        <v>.</v>
      </c>
      <c r="D1005" s="44"/>
      <c r="E1005" s="22" t="str">
        <f>IF(D1005&lt;&gt;"",IFERROR(INDEX(Produtos!$C$4:$C$4996,MATCH(D1005,Produtos!$B$4:$B$4996,0)),"Produto não encontrado"),"")</f>
        <v/>
      </c>
    </row>
    <row r="1006" spans="1:5" x14ac:dyDescent="0.3">
      <c r="A1006" s="21" t="str">
        <f t="shared" si="15"/>
        <v>.</v>
      </c>
      <c r="D1006" s="44"/>
      <c r="E1006" s="22" t="str">
        <f>IF(D1006&lt;&gt;"",IFERROR(INDEX(Produtos!$C$4:$C$4996,MATCH(D1006,Produtos!$B$4:$B$4996,0)),"Produto não encontrado"),"")</f>
        <v/>
      </c>
    </row>
    <row r="1007" spans="1:5" x14ac:dyDescent="0.3">
      <c r="A1007" s="21" t="str">
        <f t="shared" si="15"/>
        <v>.</v>
      </c>
      <c r="D1007" s="44"/>
      <c r="E1007" s="22" t="str">
        <f>IF(D1007&lt;&gt;"",IFERROR(INDEX(Produtos!$C$4:$C$4996,MATCH(D1007,Produtos!$B$4:$B$4996,0)),"Produto não encontrado"),"")</f>
        <v/>
      </c>
    </row>
    <row r="1008" spans="1:5" x14ac:dyDescent="0.3">
      <c r="A1008" s="21" t="str">
        <f t="shared" si="15"/>
        <v>.</v>
      </c>
      <c r="D1008" s="44"/>
      <c r="E1008" s="22" t="str">
        <f>IF(D1008&lt;&gt;"",IFERROR(INDEX(Produtos!$C$4:$C$4996,MATCH(D1008,Produtos!$B$4:$B$4996,0)),"Produto não encontrado"),"")</f>
        <v/>
      </c>
    </row>
    <row r="1009" spans="1:5" x14ac:dyDescent="0.3">
      <c r="A1009" s="21" t="str">
        <f t="shared" si="15"/>
        <v>.</v>
      </c>
      <c r="D1009" s="44"/>
      <c r="E1009" s="22" t="str">
        <f>IF(D1009&lt;&gt;"",IFERROR(INDEX(Produtos!$C$4:$C$4996,MATCH(D1009,Produtos!$B$4:$B$4996,0)),"Produto não encontrado"),"")</f>
        <v/>
      </c>
    </row>
    <row r="1010" spans="1:5" x14ac:dyDescent="0.3">
      <c r="A1010" s="21" t="str">
        <f t="shared" si="15"/>
        <v>.</v>
      </c>
      <c r="D1010" s="44"/>
      <c r="E1010" s="22" t="str">
        <f>IF(D1010&lt;&gt;"",IFERROR(INDEX(Produtos!$C$4:$C$4996,MATCH(D1010,Produtos!$B$4:$B$4996,0)),"Produto não encontrado"),"")</f>
        <v/>
      </c>
    </row>
    <row r="1011" spans="1:5" x14ac:dyDescent="0.3">
      <c r="A1011" s="21" t="str">
        <f t="shared" si="15"/>
        <v>.</v>
      </c>
      <c r="D1011" s="44"/>
      <c r="E1011" s="22" t="str">
        <f>IF(D1011&lt;&gt;"",IFERROR(INDEX(Produtos!$C$4:$C$4996,MATCH(D1011,Produtos!$B$4:$B$4996,0)),"Produto não encontrado"),"")</f>
        <v/>
      </c>
    </row>
    <row r="1012" spans="1:5" x14ac:dyDescent="0.3">
      <c r="A1012" s="21" t="str">
        <f t="shared" si="15"/>
        <v>.</v>
      </c>
      <c r="D1012" s="44"/>
      <c r="E1012" s="22" t="str">
        <f>IF(D1012&lt;&gt;"",IFERROR(INDEX(Produtos!$C$4:$C$4996,MATCH(D1012,Produtos!$B$4:$B$4996,0)),"Produto não encontrado"),"")</f>
        <v/>
      </c>
    </row>
    <row r="1013" spans="1:5" x14ac:dyDescent="0.3">
      <c r="A1013" s="21" t="str">
        <f t="shared" si="15"/>
        <v>.</v>
      </c>
      <c r="D1013" s="44"/>
      <c r="E1013" s="22" t="str">
        <f>IF(D1013&lt;&gt;"",IFERROR(INDEX(Produtos!$C$4:$C$4996,MATCH(D1013,Produtos!$B$4:$B$4996,0)),"Produto não encontrado"),"")</f>
        <v/>
      </c>
    </row>
    <row r="1014" spans="1:5" x14ac:dyDescent="0.3">
      <c r="A1014" s="21" t="str">
        <f t="shared" si="15"/>
        <v>.</v>
      </c>
      <c r="D1014" s="44"/>
      <c r="E1014" s="22" t="str">
        <f>IF(D1014&lt;&gt;"",IFERROR(INDEX(Produtos!$C$4:$C$4996,MATCH(D1014,Produtos!$B$4:$B$4996,0)),"Produto não encontrado"),"")</f>
        <v/>
      </c>
    </row>
    <row r="1015" spans="1:5" x14ac:dyDescent="0.3">
      <c r="A1015" s="21" t="str">
        <f t="shared" si="15"/>
        <v>.</v>
      </c>
      <c r="D1015" s="44"/>
      <c r="E1015" s="22" t="str">
        <f>IF(D1015&lt;&gt;"",IFERROR(INDEX(Produtos!$C$4:$C$4996,MATCH(D1015,Produtos!$B$4:$B$4996,0)),"Produto não encontrado"),"")</f>
        <v/>
      </c>
    </row>
    <row r="1016" spans="1:5" x14ac:dyDescent="0.3">
      <c r="A1016" s="21" t="str">
        <f t="shared" si="15"/>
        <v>.</v>
      </c>
      <c r="D1016" s="44"/>
      <c r="E1016" s="22" t="str">
        <f>IF(D1016&lt;&gt;"",IFERROR(INDEX(Produtos!$C$4:$C$4996,MATCH(D1016,Produtos!$B$4:$B$4996,0)),"Produto não encontrado"),"")</f>
        <v/>
      </c>
    </row>
    <row r="1017" spans="1:5" x14ac:dyDescent="0.3">
      <c r="A1017" s="21" t="str">
        <f t="shared" si="15"/>
        <v>.</v>
      </c>
      <c r="D1017" s="44"/>
      <c r="E1017" s="22" t="str">
        <f>IF(D1017&lt;&gt;"",IFERROR(INDEX(Produtos!$C$4:$C$4996,MATCH(D1017,Produtos!$B$4:$B$4996,0)),"Produto não encontrado"),"")</f>
        <v/>
      </c>
    </row>
    <row r="1018" spans="1:5" x14ac:dyDescent="0.3">
      <c r="A1018" s="21" t="str">
        <f t="shared" si="15"/>
        <v>.</v>
      </c>
      <c r="D1018" s="44"/>
      <c r="E1018" s="22" t="str">
        <f>IF(D1018&lt;&gt;"",IFERROR(INDEX(Produtos!$C$4:$C$4996,MATCH(D1018,Produtos!$B$4:$B$4996,0)),"Produto não encontrado"),"")</f>
        <v/>
      </c>
    </row>
    <row r="1019" spans="1:5" x14ac:dyDescent="0.3">
      <c r="A1019" s="21" t="str">
        <f t="shared" si="15"/>
        <v>.</v>
      </c>
      <c r="D1019" s="44"/>
      <c r="E1019" s="22" t="str">
        <f>IF(D1019&lt;&gt;"",IFERROR(INDEX(Produtos!$C$4:$C$4996,MATCH(D1019,Produtos!$B$4:$B$4996,0)),"Produto não encontrado"),"")</f>
        <v/>
      </c>
    </row>
    <row r="1020" spans="1:5" x14ac:dyDescent="0.3">
      <c r="A1020" s="21" t="str">
        <f t="shared" si="15"/>
        <v>.</v>
      </c>
      <c r="D1020" s="44"/>
      <c r="E1020" s="22" t="str">
        <f>IF(D1020&lt;&gt;"",IFERROR(INDEX(Produtos!$C$4:$C$4996,MATCH(D1020,Produtos!$B$4:$B$4996,0)),"Produto não encontrado"),"")</f>
        <v/>
      </c>
    </row>
    <row r="1021" spans="1:5" x14ac:dyDescent="0.3">
      <c r="A1021" s="21" t="str">
        <f t="shared" si="15"/>
        <v>.</v>
      </c>
      <c r="D1021" s="44"/>
      <c r="E1021" s="22" t="str">
        <f>IF(D1021&lt;&gt;"",IFERROR(INDEX(Produtos!$C$4:$C$4996,MATCH(D1021,Produtos!$B$4:$B$4996,0)),"Produto não encontrado"),"")</f>
        <v/>
      </c>
    </row>
    <row r="1022" spans="1:5" x14ac:dyDescent="0.3">
      <c r="A1022" s="21" t="str">
        <f t="shared" si="15"/>
        <v>.</v>
      </c>
      <c r="D1022" s="44"/>
      <c r="E1022" s="22" t="str">
        <f>IF(D1022&lt;&gt;"",IFERROR(INDEX(Produtos!$C$4:$C$4996,MATCH(D1022,Produtos!$B$4:$B$4996,0)),"Produto não encontrado"),"")</f>
        <v/>
      </c>
    </row>
    <row r="1023" spans="1:5" x14ac:dyDescent="0.3">
      <c r="A1023" s="21" t="str">
        <f t="shared" si="15"/>
        <v>.</v>
      </c>
      <c r="D1023" s="44"/>
      <c r="E1023" s="22" t="str">
        <f>IF(D1023&lt;&gt;"",IFERROR(INDEX(Produtos!$C$4:$C$4996,MATCH(D1023,Produtos!$B$4:$B$4996,0)),"Produto não encontrado"),"")</f>
        <v/>
      </c>
    </row>
    <row r="1024" spans="1:5" x14ac:dyDescent="0.3">
      <c r="A1024" s="21" t="str">
        <f t="shared" ref="A1024:A1087" si="16">IF(C1024="Entrada",2,IF(C1024="Saída",1,"."))</f>
        <v>.</v>
      </c>
      <c r="D1024" s="44"/>
      <c r="E1024" s="22" t="str">
        <f>IF(D1024&lt;&gt;"",IFERROR(INDEX(Produtos!$C$4:$C$4996,MATCH(D1024,Produtos!$B$4:$B$4996,0)),"Produto não encontrado"),"")</f>
        <v/>
      </c>
    </row>
    <row r="1025" spans="1:5" x14ac:dyDescent="0.3">
      <c r="A1025" s="21" t="str">
        <f t="shared" si="16"/>
        <v>.</v>
      </c>
      <c r="D1025" s="44"/>
      <c r="E1025" s="22" t="str">
        <f>IF(D1025&lt;&gt;"",IFERROR(INDEX(Produtos!$C$4:$C$4996,MATCH(D1025,Produtos!$B$4:$B$4996,0)),"Produto não encontrado"),"")</f>
        <v/>
      </c>
    </row>
    <row r="1026" spans="1:5" x14ac:dyDescent="0.3">
      <c r="A1026" s="21" t="str">
        <f t="shared" si="16"/>
        <v>.</v>
      </c>
      <c r="D1026" s="44"/>
      <c r="E1026" s="22" t="str">
        <f>IF(D1026&lt;&gt;"",IFERROR(INDEX(Produtos!$C$4:$C$4996,MATCH(D1026,Produtos!$B$4:$B$4996,0)),"Produto não encontrado"),"")</f>
        <v/>
      </c>
    </row>
    <row r="1027" spans="1:5" x14ac:dyDescent="0.3">
      <c r="A1027" s="21" t="str">
        <f t="shared" si="16"/>
        <v>.</v>
      </c>
      <c r="D1027" s="44"/>
      <c r="E1027" s="22" t="str">
        <f>IF(D1027&lt;&gt;"",IFERROR(INDEX(Produtos!$C$4:$C$4996,MATCH(D1027,Produtos!$B$4:$B$4996,0)),"Produto não encontrado"),"")</f>
        <v/>
      </c>
    </row>
    <row r="1028" spans="1:5" x14ac:dyDescent="0.3">
      <c r="A1028" s="21" t="str">
        <f t="shared" si="16"/>
        <v>.</v>
      </c>
      <c r="D1028" s="44"/>
      <c r="E1028" s="22" t="str">
        <f>IF(D1028&lt;&gt;"",IFERROR(INDEX(Produtos!$C$4:$C$4996,MATCH(D1028,Produtos!$B$4:$B$4996,0)),"Produto não encontrado"),"")</f>
        <v/>
      </c>
    </row>
    <row r="1029" spans="1:5" x14ac:dyDescent="0.3">
      <c r="A1029" s="21" t="str">
        <f t="shared" si="16"/>
        <v>.</v>
      </c>
      <c r="D1029" s="44"/>
      <c r="E1029" s="22" t="str">
        <f>IF(D1029&lt;&gt;"",IFERROR(INDEX(Produtos!$C$4:$C$4996,MATCH(D1029,Produtos!$B$4:$B$4996,0)),"Produto não encontrado"),"")</f>
        <v/>
      </c>
    </row>
    <row r="1030" spans="1:5" x14ac:dyDescent="0.3">
      <c r="A1030" s="21" t="str">
        <f t="shared" si="16"/>
        <v>.</v>
      </c>
      <c r="D1030" s="44"/>
      <c r="E1030" s="22" t="str">
        <f>IF(D1030&lt;&gt;"",IFERROR(INDEX(Produtos!$C$4:$C$4996,MATCH(D1030,Produtos!$B$4:$B$4996,0)),"Produto não encontrado"),"")</f>
        <v/>
      </c>
    </row>
    <row r="1031" spans="1:5" x14ac:dyDescent="0.3">
      <c r="A1031" s="21" t="str">
        <f t="shared" si="16"/>
        <v>.</v>
      </c>
      <c r="D1031" s="44"/>
      <c r="E1031" s="22" t="str">
        <f>IF(D1031&lt;&gt;"",IFERROR(INDEX(Produtos!$C$4:$C$4996,MATCH(D1031,Produtos!$B$4:$B$4996,0)),"Produto não encontrado"),"")</f>
        <v/>
      </c>
    </row>
    <row r="1032" spans="1:5" x14ac:dyDescent="0.3">
      <c r="A1032" s="21" t="str">
        <f t="shared" si="16"/>
        <v>.</v>
      </c>
      <c r="D1032" s="44"/>
      <c r="E1032" s="22" t="str">
        <f>IF(D1032&lt;&gt;"",IFERROR(INDEX(Produtos!$C$4:$C$4996,MATCH(D1032,Produtos!$B$4:$B$4996,0)),"Produto não encontrado"),"")</f>
        <v/>
      </c>
    </row>
    <row r="1033" spans="1:5" x14ac:dyDescent="0.3">
      <c r="A1033" s="21" t="str">
        <f t="shared" si="16"/>
        <v>.</v>
      </c>
      <c r="D1033" s="44"/>
      <c r="E1033" s="22" t="str">
        <f>IF(D1033&lt;&gt;"",IFERROR(INDEX(Produtos!$C$4:$C$4996,MATCH(D1033,Produtos!$B$4:$B$4996,0)),"Produto não encontrado"),"")</f>
        <v/>
      </c>
    </row>
    <row r="1034" spans="1:5" x14ac:dyDescent="0.3">
      <c r="A1034" s="21" t="str">
        <f t="shared" si="16"/>
        <v>.</v>
      </c>
      <c r="D1034" s="44"/>
      <c r="E1034" s="22" t="str">
        <f>IF(D1034&lt;&gt;"",IFERROR(INDEX(Produtos!$C$4:$C$4996,MATCH(D1034,Produtos!$B$4:$B$4996,0)),"Produto não encontrado"),"")</f>
        <v/>
      </c>
    </row>
    <row r="1035" spans="1:5" x14ac:dyDescent="0.3">
      <c r="A1035" s="21" t="str">
        <f t="shared" si="16"/>
        <v>.</v>
      </c>
      <c r="D1035" s="44"/>
      <c r="E1035" s="22" t="str">
        <f>IF(D1035&lt;&gt;"",IFERROR(INDEX(Produtos!$C$4:$C$4996,MATCH(D1035,Produtos!$B$4:$B$4996,0)),"Produto não encontrado"),"")</f>
        <v/>
      </c>
    </row>
    <row r="1036" spans="1:5" x14ac:dyDescent="0.3">
      <c r="A1036" s="21" t="str">
        <f t="shared" si="16"/>
        <v>.</v>
      </c>
      <c r="D1036" s="44"/>
      <c r="E1036" s="22" t="str">
        <f>IF(D1036&lt;&gt;"",IFERROR(INDEX(Produtos!$C$4:$C$4996,MATCH(D1036,Produtos!$B$4:$B$4996,0)),"Produto não encontrado"),"")</f>
        <v/>
      </c>
    </row>
    <row r="1037" spans="1:5" x14ac:dyDescent="0.3">
      <c r="A1037" s="21" t="str">
        <f t="shared" si="16"/>
        <v>.</v>
      </c>
      <c r="D1037" s="44"/>
      <c r="E1037" s="22" t="str">
        <f>IF(D1037&lt;&gt;"",IFERROR(INDEX(Produtos!$C$4:$C$4996,MATCH(D1037,Produtos!$B$4:$B$4996,0)),"Produto não encontrado"),"")</f>
        <v/>
      </c>
    </row>
    <row r="1038" spans="1:5" x14ac:dyDescent="0.3">
      <c r="A1038" s="21" t="str">
        <f t="shared" si="16"/>
        <v>.</v>
      </c>
      <c r="D1038" s="44"/>
      <c r="E1038" s="22" t="str">
        <f>IF(D1038&lt;&gt;"",IFERROR(INDEX(Produtos!$C$4:$C$4996,MATCH(D1038,Produtos!$B$4:$B$4996,0)),"Produto não encontrado"),"")</f>
        <v/>
      </c>
    </row>
    <row r="1039" spans="1:5" x14ac:dyDescent="0.3">
      <c r="A1039" s="21" t="str">
        <f t="shared" si="16"/>
        <v>.</v>
      </c>
      <c r="D1039" s="44"/>
      <c r="E1039" s="22" t="str">
        <f>IF(D1039&lt;&gt;"",IFERROR(INDEX(Produtos!$C$4:$C$4996,MATCH(D1039,Produtos!$B$4:$B$4996,0)),"Produto não encontrado"),"")</f>
        <v/>
      </c>
    </row>
    <row r="1040" spans="1:5" x14ac:dyDescent="0.3">
      <c r="A1040" s="21" t="str">
        <f t="shared" si="16"/>
        <v>.</v>
      </c>
      <c r="D1040" s="44"/>
      <c r="E1040" s="22" t="str">
        <f>IF(D1040&lt;&gt;"",IFERROR(INDEX(Produtos!$C$4:$C$4996,MATCH(D1040,Produtos!$B$4:$B$4996,0)),"Produto não encontrado"),"")</f>
        <v/>
      </c>
    </row>
    <row r="1041" spans="1:5" x14ac:dyDescent="0.3">
      <c r="A1041" s="21" t="str">
        <f t="shared" si="16"/>
        <v>.</v>
      </c>
      <c r="D1041" s="44"/>
      <c r="E1041" s="22" t="str">
        <f>IF(D1041&lt;&gt;"",IFERROR(INDEX(Produtos!$C$4:$C$4996,MATCH(D1041,Produtos!$B$4:$B$4996,0)),"Produto não encontrado"),"")</f>
        <v/>
      </c>
    </row>
    <row r="1042" spans="1:5" x14ac:dyDescent="0.3">
      <c r="A1042" s="21" t="str">
        <f t="shared" si="16"/>
        <v>.</v>
      </c>
      <c r="D1042" s="44"/>
      <c r="E1042" s="22" t="str">
        <f>IF(D1042&lt;&gt;"",IFERROR(INDEX(Produtos!$C$4:$C$4996,MATCH(D1042,Produtos!$B$4:$B$4996,0)),"Produto não encontrado"),"")</f>
        <v/>
      </c>
    </row>
    <row r="1043" spans="1:5" x14ac:dyDescent="0.3">
      <c r="A1043" s="21" t="str">
        <f t="shared" si="16"/>
        <v>.</v>
      </c>
      <c r="D1043" s="44"/>
      <c r="E1043" s="22" t="str">
        <f>IF(D1043&lt;&gt;"",IFERROR(INDEX(Produtos!$C$4:$C$4996,MATCH(D1043,Produtos!$B$4:$B$4996,0)),"Produto não encontrado"),"")</f>
        <v/>
      </c>
    </row>
    <row r="1044" spans="1:5" x14ac:dyDescent="0.3">
      <c r="A1044" s="21" t="str">
        <f t="shared" si="16"/>
        <v>.</v>
      </c>
      <c r="D1044" s="44"/>
      <c r="E1044" s="22" t="str">
        <f>IF(D1044&lt;&gt;"",IFERROR(INDEX(Produtos!$C$4:$C$4996,MATCH(D1044,Produtos!$B$4:$B$4996,0)),"Produto não encontrado"),"")</f>
        <v/>
      </c>
    </row>
    <row r="1045" spans="1:5" x14ac:dyDescent="0.3">
      <c r="A1045" s="21" t="str">
        <f t="shared" si="16"/>
        <v>.</v>
      </c>
      <c r="D1045" s="44"/>
      <c r="E1045" s="22" t="str">
        <f>IF(D1045&lt;&gt;"",IFERROR(INDEX(Produtos!$C$4:$C$4996,MATCH(D1045,Produtos!$B$4:$B$4996,0)),"Produto não encontrado"),"")</f>
        <v/>
      </c>
    </row>
    <row r="1046" spans="1:5" x14ac:dyDescent="0.3">
      <c r="A1046" s="21" t="str">
        <f t="shared" si="16"/>
        <v>.</v>
      </c>
      <c r="D1046" s="44"/>
      <c r="E1046" s="22" t="str">
        <f>IF(D1046&lt;&gt;"",IFERROR(INDEX(Produtos!$C$4:$C$4996,MATCH(D1046,Produtos!$B$4:$B$4996,0)),"Produto não encontrado"),"")</f>
        <v/>
      </c>
    </row>
    <row r="1047" spans="1:5" x14ac:dyDescent="0.3">
      <c r="A1047" s="21" t="str">
        <f t="shared" si="16"/>
        <v>.</v>
      </c>
      <c r="D1047" s="44"/>
      <c r="E1047" s="22" t="str">
        <f>IF(D1047&lt;&gt;"",IFERROR(INDEX(Produtos!$C$4:$C$4996,MATCH(D1047,Produtos!$B$4:$B$4996,0)),"Produto não encontrado"),"")</f>
        <v/>
      </c>
    </row>
    <row r="1048" spans="1:5" x14ac:dyDescent="0.3">
      <c r="A1048" s="21" t="str">
        <f t="shared" si="16"/>
        <v>.</v>
      </c>
      <c r="D1048" s="44"/>
      <c r="E1048" s="22" t="str">
        <f>IF(D1048&lt;&gt;"",IFERROR(INDEX(Produtos!$C$4:$C$4996,MATCH(D1048,Produtos!$B$4:$B$4996,0)),"Produto não encontrado"),"")</f>
        <v/>
      </c>
    </row>
    <row r="1049" spans="1:5" x14ac:dyDescent="0.3">
      <c r="A1049" s="21" t="str">
        <f t="shared" si="16"/>
        <v>.</v>
      </c>
      <c r="D1049" s="44"/>
      <c r="E1049" s="22" t="str">
        <f>IF(D1049&lt;&gt;"",IFERROR(INDEX(Produtos!$C$4:$C$4996,MATCH(D1049,Produtos!$B$4:$B$4996,0)),"Produto não encontrado"),"")</f>
        <v/>
      </c>
    </row>
    <row r="1050" spans="1:5" x14ac:dyDescent="0.3">
      <c r="A1050" s="21" t="str">
        <f t="shared" si="16"/>
        <v>.</v>
      </c>
      <c r="D1050" s="44"/>
      <c r="E1050" s="22" t="str">
        <f>IF(D1050&lt;&gt;"",IFERROR(INDEX(Produtos!$C$4:$C$4996,MATCH(D1050,Produtos!$B$4:$B$4996,0)),"Produto não encontrado"),"")</f>
        <v/>
      </c>
    </row>
    <row r="1051" spans="1:5" x14ac:dyDescent="0.3">
      <c r="A1051" s="21" t="str">
        <f t="shared" si="16"/>
        <v>.</v>
      </c>
      <c r="D1051" s="44"/>
      <c r="E1051" s="22" t="str">
        <f>IF(D1051&lt;&gt;"",IFERROR(INDEX(Produtos!$C$4:$C$4996,MATCH(D1051,Produtos!$B$4:$B$4996,0)),"Produto não encontrado"),"")</f>
        <v/>
      </c>
    </row>
    <row r="1052" spans="1:5" x14ac:dyDescent="0.3">
      <c r="A1052" s="21" t="str">
        <f t="shared" si="16"/>
        <v>.</v>
      </c>
      <c r="D1052" s="44"/>
      <c r="E1052" s="22" t="str">
        <f>IF(D1052&lt;&gt;"",IFERROR(INDEX(Produtos!$C$4:$C$4996,MATCH(D1052,Produtos!$B$4:$B$4996,0)),"Produto não encontrado"),"")</f>
        <v/>
      </c>
    </row>
    <row r="1053" spans="1:5" x14ac:dyDescent="0.3">
      <c r="A1053" s="21" t="str">
        <f t="shared" si="16"/>
        <v>.</v>
      </c>
      <c r="D1053" s="44"/>
      <c r="E1053" s="22" t="str">
        <f>IF(D1053&lt;&gt;"",IFERROR(INDEX(Produtos!$C$4:$C$4996,MATCH(D1053,Produtos!$B$4:$B$4996,0)),"Produto não encontrado"),"")</f>
        <v/>
      </c>
    </row>
    <row r="1054" spans="1:5" x14ac:dyDescent="0.3">
      <c r="A1054" s="21" t="str">
        <f t="shared" si="16"/>
        <v>.</v>
      </c>
      <c r="D1054" s="44"/>
      <c r="E1054" s="22" t="str">
        <f>IF(D1054&lt;&gt;"",IFERROR(INDEX(Produtos!$C$4:$C$4996,MATCH(D1054,Produtos!$B$4:$B$4996,0)),"Produto não encontrado"),"")</f>
        <v/>
      </c>
    </row>
    <row r="1055" spans="1:5" x14ac:dyDescent="0.3">
      <c r="A1055" s="21" t="str">
        <f t="shared" si="16"/>
        <v>.</v>
      </c>
      <c r="D1055" s="44"/>
      <c r="E1055" s="22" t="str">
        <f>IF(D1055&lt;&gt;"",IFERROR(INDEX(Produtos!$C$4:$C$4996,MATCH(D1055,Produtos!$B$4:$B$4996,0)),"Produto não encontrado"),"")</f>
        <v/>
      </c>
    </row>
    <row r="1056" spans="1:5" x14ac:dyDescent="0.3">
      <c r="A1056" s="21" t="str">
        <f t="shared" si="16"/>
        <v>.</v>
      </c>
      <c r="D1056" s="44"/>
      <c r="E1056" s="22" t="str">
        <f>IF(D1056&lt;&gt;"",IFERROR(INDEX(Produtos!$C$4:$C$4996,MATCH(D1056,Produtos!$B$4:$B$4996,0)),"Produto não encontrado"),"")</f>
        <v/>
      </c>
    </row>
    <row r="1057" spans="1:5" x14ac:dyDescent="0.3">
      <c r="A1057" s="21" t="str">
        <f t="shared" si="16"/>
        <v>.</v>
      </c>
      <c r="D1057" s="44"/>
      <c r="E1057" s="22" t="str">
        <f>IF(D1057&lt;&gt;"",IFERROR(INDEX(Produtos!$C$4:$C$4996,MATCH(D1057,Produtos!$B$4:$B$4996,0)),"Produto não encontrado"),"")</f>
        <v/>
      </c>
    </row>
    <row r="1058" spans="1:5" x14ac:dyDescent="0.3">
      <c r="A1058" s="21" t="str">
        <f t="shared" si="16"/>
        <v>.</v>
      </c>
      <c r="D1058" s="44"/>
      <c r="E1058" s="22" t="str">
        <f>IF(D1058&lt;&gt;"",IFERROR(INDEX(Produtos!$C$4:$C$4996,MATCH(D1058,Produtos!$B$4:$B$4996,0)),"Produto não encontrado"),"")</f>
        <v/>
      </c>
    </row>
    <row r="1059" spans="1:5" x14ac:dyDescent="0.3">
      <c r="A1059" s="21" t="str">
        <f t="shared" si="16"/>
        <v>.</v>
      </c>
      <c r="D1059" s="44"/>
      <c r="E1059" s="22" t="str">
        <f>IF(D1059&lt;&gt;"",IFERROR(INDEX(Produtos!$C$4:$C$4996,MATCH(D1059,Produtos!$B$4:$B$4996,0)),"Produto não encontrado"),"")</f>
        <v/>
      </c>
    </row>
    <row r="1060" spans="1:5" x14ac:dyDescent="0.3">
      <c r="A1060" s="21" t="str">
        <f t="shared" si="16"/>
        <v>.</v>
      </c>
      <c r="D1060" s="44"/>
      <c r="E1060" s="22" t="str">
        <f>IF(D1060&lt;&gt;"",IFERROR(INDEX(Produtos!$C$4:$C$4996,MATCH(D1060,Produtos!$B$4:$B$4996,0)),"Produto não encontrado"),"")</f>
        <v/>
      </c>
    </row>
    <row r="1061" spans="1:5" x14ac:dyDescent="0.3">
      <c r="A1061" s="21" t="str">
        <f t="shared" si="16"/>
        <v>.</v>
      </c>
      <c r="D1061" s="44"/>
      <c r="E1061" s="22" t="str">
        <f>IF(D1061&lt;&gt;"",IFERROR(INDEX(Produtos!$C$4:$C$4996,MATCH(D1061,Produtos!$B$4:$B$4996,0)),"Produto não encontrado"),"")</f>
        <v/>
      </c>
    </row>
    <row r="1062" spans="1:5" x14ac:dyDescent="0.3">
      <c r="A1062" s="21" t="str">
        <f t="shared" si="16"/>
        <v>.</v>
      </c>
      <c r="D1062" s="44"/>
      <c r="E1062" s="22" t="str">
        <f>IF(D1062&lt;&gt;"",IFERROR(INDEX(Produtos!$C$4:$C$4996,MATCH(D1062,Produtos!$B$4:$B$4996,0)),"Produto não encontrado"),"")</f>
        <v/>
      </c>
    </row>
    <row r="1063" spans="1:5" x14ac:dyDescent="0.3">
      <c r="A1063" s="21" t="str">
        <f t="shared" si="16"/>
        <v>.</v>
      </c>
      <c r="D1063" s="44"/>
      <c r="E1063" s="22" t="str">
        <f>IF(D1063&lt;&gt;"",IFERROR(INDEX(Produtos!$C$4:$C$4996,MATCH(D1063,Produtos!$B$4:$B$4996,0)),"Produto não encontrado"),"")</f>
        <v/>
      </c>
    </row>
    <row r="1064" spans="1:5" x14ac:dyDescent="0.3">
      <c r="A1064" s="21" t="str">
        <f t="shared" si="16"/>
        <v>.</v>
      </c>
      <c r="D1064" s="44"/>
      <c r="E1064" s="22" t="str">
        <f>IF(D1064&lt;&gt;"",IFERROR(INDEX(Produtos!$C$4:$C$4996,MATCH(D1064,Produtos!$B$4:$B$4996,0)),"Produto não encontrado"),"")</f>
        <v/>
      </c>
    </row>
    <row r="1065" spans="1:5" x14ac:dyDescent="0.3">
      <c r="A1065" s="21" t="str">
        <f t="shared" si="16"/>
        <v>.</v>
      </c>
      <c r="D1065" s="44"/>
      <c r="E1065" s="22" t="str">
        <f>IF(D1065&lt;&gt;"",IFERROR(INDEX(Produtos!$C$4:$C$4996,MATCH(D1065,Produtos!$B$4:$B$4996,0)),"Produto não encontrado"),"")</f>
        <v/>
      </c>
    </row>
    <row r="1066" spans="1:5" x14ac:dyDescent="0.3">
      <c r="A1066" s="21" t="str">
        <f t="shared" si="16"/>
        <v>.</v>
      </c>
      <c r="D1066" s="44"/>
      <c r="E1066" s="22" t="str">
        <f>IF(D1066&lt;&gt;"",IFERROR(INDEX(Produtos!$C$4:$C$4996,MATCH(D1066,Produtos!$B$4:$B$4996,0)),"Produto não encontrado"),"")</f>
        <v/>
      </c>
    </row>
    <row r="1067" spans="1:5" x14ac:dyDescent="0.3">
      <c r="A1067" s="21" t="str">
        <f t="shared" si="16"/>
        <v>.</v>
      </c>
      <c r="D1067" s="44"/>
      <c r="E1067" s="22" t="str">
        <f>IF(D1067&lt;&gt;"",IFERROR(INDEX(Produtos!$C$4:$C$4996,MATCH(D1067,Produtos!$B$4:$B$4996,0)),"Produto não encontrado"),"")</f>
        <v/>
      </c>
    </row>
    <row r="1068" spans="1:5" x14ac:dyDescent="0.3">
      <c r="A1068" s="21" t="str">
        <f t="shared" si="16"/>
        <v>.</v>
      </c>
      <c r="D1068" s="44"/>
      <c r="E1068" s="22" t="str">
        <f>IF(D1068&lt;&gt;"",IFERROR(INDEX(Produtos!$C$4:$C$4996,MATCH(D1068,Produtos!$B$4:$B$4996,0)),"Produto não encontrado"),"")</f>
        <v/>
      </c>
    </row>
    <row r="1069" spans="1:5" x14ac:dyDescent="0.3">
      <c r="A1069" s="21" t="str">
        <f t="shared" si="16"/>
        <v>.</v>
      </c>
      <c r="D1069" s="44"/>
      <c r="E1069" s="22" t="str">
        <f>IF(D1069&lt;&gt;"",IFERROR(INDEX(Produtos!$C$4:$C$4996,MATCH(D1069,Produtos!$B$4:$B$4996,0)),"Produto não encontrado"),"")</f>
        <v/>
      </c>
    </row>
    <row r="1070" spans="1:5" x14ac:dyDescent="0.3">
      <c r="A1070" s="21" t="str">
        <f t="shared" si="16"/>
        <v>.</v>
      </c>
      <c r="D1070" s="44"/>
      <c r="E1070" s="22" t="str">
        <f>IF(D1070&lt;&gt;"",IFERROR(INDEX(Produtos!$C$4:$C$4996,MATCH(D1070,Produtos!$B$4:$B$4996,0)),"Produto não encontrado"),"")</f>
        <v/>
      </c>
    </row>
    <row r="1071" spans="1:5" x14ac:dyDescent="0.3">
      <c r="A1071" s="21" t="str">
        <f t="shared" si="16"/>
        <v>.</v>
      </c>
      <c r="D1071" s="44"/>
      <c r="E1071" s="22" t="str">
        <f>IF(D1071&lt;&gt;"",IFERROR(INDEX(Produtos!$C$4:$C$4996,MATCH(D1071,Produtos!$B$4:$B$4996,0)),"Produto não encontrado"),"")</f>
        <v/>
      </c>
    </row>
    <row r="1072" spans="1:5" x14ac:dyDescent="0.3">
      <c r="A1072" s="21" t="str">
        <f t="shared" si="16"/>
        <v>.</v>
      </c>
      <c r="D1072" s="44"/>
      <c r="E1072" s="22" t="str">
        <f>IF(D1072&lt;&gt;"",IFERROR(INDEX(Produtos!$C$4:$C$4996,MATCH(D1072,Produtos!$B$4:$B$4996,0)),"Produto não encontrado"),"")</f>
        <v/>
      </c>
    </row>
    <row r="1073" spans="1:5" x14ac:dyDescent="0.3">
      <c r="A1073" s="21" t="str">
        <f t="shared" si="16"/>
        <v>.</v>
      </c>
      <c r="D1073" s="44"/>
      <c r="E1073" s="22" t="str">
        <f>IF(D1073&lt;&gt;"",IFERROR(INDEX(Produtos!$C$4:$C$4996,MATCH(D1073,Produtos!$B$4:$B$4996,0)),"Produto não encontrado"),"")</f>
        <v/>
      </c>
    </row>
    <row r="1074" spans="1:5" x14ac:dyDescent="0.3">
      <c r="A1074" s="21" t="str">
        <f t="shared" si="16"/>
        <v>.</v>
      </c>
      <c r="D1074" s="44"/>
      <c r="E1074" s="22" t="str">
        <f>IF(D1074&lt;&gt;"",IFERROR(INDEX(Produtos!$C$4:$C$4996,MATCH(D1074,Produtos!$B$4:$B$4996,0)),"Produto não encontrado"),"")</f>
        <v/>
      </c>
    </row>
    <row r="1075" spans="1:5" x14ac:dyDescent="0.3">
      <c r="A1075" s="21" t="str">
        <f t="shared" si="16"/>
        <v>.</v>
      </c>
      <c r="D1075" s="44"/>
      <c r="E1075" s="22" t="str">
        <f>IF(D1075&lt;&gt;"",IFERROR(INDEX(Produtos!$C$4:$C$4996,MATCH(D1075,Produtos!$B$4:$B$4996,0)),"Produto não encontrado"),"")</f>
        <v/>
      </c>
    </row>
    <row r="1076" spans="1:5" x14ac:dyDescent="0.3">
      <c r="A1076" s="21" t="str">
        <f t="shared" si="16"/>
        <v>.</v>
      </c>
      <c r="D1076" s="44"/>
      <c r="E1076" s="22" t="str">
        <f>IF(D1076&lt;&gt;"",IFERROR(INDEX(Produtos!$C$4:$C$4996,MATCH(D1076,Produtos!$B$4:$B$4996,0)),"Produto não encontrado"),"")</f>
        <v/>
      </c>
    </row>
    <row r="1077" spans="1:5" x14ac:dyDescent="0.3">
      <c r="A1077" s="21" t="str">
        <f t="shared" si="16"/>
        <v>.</v>
      </c>
      <c r="D1077" s="44"/>
      <c r="E1077" s="22" t="str">
        <f>IF(D1077&lt;&gt;"",IFERROR(INDEX(Produtos!$C$4:$C$4996,MATCH(D1077,Produtos!$B$4:$B$4996,0)),"Produto não encontrado"),"")</f>
        <v/>
      </c>
    </row>
    <row r="1078" spans="1:5" x14ac:dyDescent="0.3">
      <c r="A1078" s="21" t="str">
        <f t="shared" si="16"/>
        <v>.</v>
      </c>
      <c r="D1078" s="44"/>
      <c r="E1078" s="22" t="str">
        <f>IF(D1078&lt;&gt;"",IFERROR(INDEX(Produtos!$C$4:$C$4996,MATCH(D1078,Produtos!$B$4:$B$4996,0)),"Produto não encontrado"),"")</f>
        <v/>
      </c>
    </row>
    <row r="1079" spans="1:5" x14ac:dyDescent="0.3">
      <c r="A1079" s="21" t="str">
        <f t="shared" si="16"/>
        <v>.</v>
      </c>
      <c r="D1079" s="44"/>
      <c r="E1079" s="22" t="str">
        <f>IF(D1079&lt;&gt;"",IFERROR(INDEX(Produtos!$C$4:$C$4996,MATCH(D1079,Produtos!$B$4:$B$4996,0)),"Produto não encontrado"),"")</f>
        <v/>
      </c>
    </row>
    <row r="1080" spans="1:5" x14ac:dyDescent="0.3">
      <c r="A1080" s="21" t="str">
        <f t="shared" si="16"/>
        <v>.</v>
      </c>
      <c r="D1080" s="44"/>
      <c r="E1080" s="22" t="str">
        <f>IF(D1080&lt;&gt;"",IFERROR(INDEX(Produtos!$C$4:$C$4996,MATCH(D1080,Produtos!$B$4:$B$4996,0)),"Produto não encontrado"),"")</f>
        <v/>
      </c>
    </row>
    <row r="1081" spans="1:5" x14ac:dyDescent="0.3">
      <c r="A1081" s="21" t="str">
        <f t="shared" si="16"/>
        <v>.</v>
      </c>
      <c r="D1081" s="44"/>
      <c r="E1081" s="22" t="str">
        <f>IF(D1081&lt;&gt;"",IFERROR(INDEX(Produtos!$C$4:$C$4996,MATCH(D1081,Produtos!$B$4:$B$4996,0)),"Produto não encontrado"),"")</f>
        <v/>
      </c>
    </row>
    <row r="1082" spans="1:5" x14ac:dyDescent="0.3">
      <c r="A1082" s="21" t="str">
        <f t="shared" si="16"/>
        <v>.</v>
      </c>
      <c r="D1082" s="44"/>
      <c r="E1082" s="22" t="str">
        <f>IF(D1082&lt;&gt;"",IFERROR(INDEX(Produtos!$C$4:$C$4996,MATCH(D1082,Produtos!$B$4:$B$4996,0)),"Produto não encontrado"),"")</f>
        <v/>
      </c>
    </row>
    <row r="1083" spans="1:5" x14ac:dyDescent="0.3">
      <c r="A1083" s="21" t="str">
        <f t="shared" si="16"/>
        <v>.</v>
      </c>
      <c r="D1083" s="44"/>
      <c r="E1083" s="22" t="str">
        <f>IF(D1083&lt;&gt;"",IFERROR(INDEX(Produtos!$C$4:$C$4996,MATCH(D1083,Produtos!$B$4:$B$4996,0)),"Produto não encontrado"),"")</f>
        <v/>
      </c>
    </row>
    <row r="1084" spans="1:5" x14ac:dyDescent="0.3">
      <c r="A1084" s="21" t="str">
        <f t="shared" si="16"/>
        <v>.</v>
      </c>
      <c r="D1084" s="44"/>
      <c r="E1084" s="22" t="str">
        <f>IF(D1084&lt;&gt;"",IFERROR(INDEX(Produtos!$C$4:$C$4996,MATCH(D1084,Produtos!$B$4:$B$4996,0)),"Produto não encontrado"),"")</f>
        <v/>
      </c>
    </row>
    <row r="1085" spans="1:5" x14ac:dyDescent="0.3">
      <c r="A1085" s="21" t="str">
        <f t="shared" si="16"/>
        <v>.</v>
      </c>
      <c r="D1085" s="44"/>
      <c r="E1085" s="22" t="str">
        <f>IF(D1085&lt;&gt;"",IFERROR(INDEX(Produtos!$C$4:$C$4996,MATCH(D1085,Produtos!$B$4:$B$4996,0)),"Produto não encontrado"),"")</f>
        <v/>
      </c>
    </row>
    <row r="1086" spans="1:5" x14ac:dyDescent="0.3">
      <c r="A1086" s="21" t="str">
        <f t="shared" si="16"/>
        <v>.</v>
      </c>
      <c r="D1086" s="44"/>
      <c r="E1086" s="22" t="str">
        <f>IF(D1086&lt;&gt;"",IFERROR(INDEX(Produtos!$C$4:$C$4996,MATCH(D1086,Produtos!$B$4:$B$4996,0)),"Produto não encontrado"),"")</f>
        <v/>
      </c>
    </row>
    <row r="1087" spans="1:5" x14ac:dyDescent="0.3">
      <c r="A1087" s="21" t="str">
        <f t="shared" si="16"/>
        <v>.</v>
      </c>
      <c r="D1087" s="44"/>
      <c r="E1087" s="22" t="str">
        <f>IF(D1087&lt;&gt;"",IFERROR(INDEX(Produtos!$C$4:$C$4996,MATCH(D1087,Produtos!$B$4:$B$4996,0)),"Produto não encontrado"),"")</f>
        <v/>
      </c>
    </row>
    <row r="1088" spans="1:5" x14ac:dyDescent="0.3">
      <c r="A1088" s="21" t="str">
        <f t="shared" ref="A1088:A1151" si="17">IF(C1088="Entrada",2,IF(C1088="Saída",1,"."))</f>
        <v>.</v>
      </c>
      <c r="D1088" s="44"/>
      <c r="E1088" s="22" t="str">
        <f>IF(D1088&lt;&gt;"",IFERROR(INDEX(Produtos!$C$4:$C$4996,MATCH(D1088,Produtos!$B$4:$B$4996,0)),"Produto não encontrado"),"")</f>
        <v/>
      </c>
    </row>
    <row r="1089" spans="1:5" x14ac:dyDescent="0.3">
      <c r="A1089" s="21" t="str">
        <f t="shared" si="17"/>
        <v>.</v>
      </c>
      <c r="D1089" s="44"/>
      <c r="E1089" s="22" t="str">
        <f>IF(D1089&lt;&gt;"",IFERROR(INDEX(Produtos!$C$4:$C$4996,MATCH(D1089,Produtos!$B$4:$B$4996,0)),"Produto não encontrado"),"")</f>
        <v/>
      </c>
    </row>
    <row r="1090" spans="1:5" x14ac:dyDescent="0.3">
      <c r="A1090" s="21" t="str">
        <f t="shared" si="17"/>
        <v>.</v>
      </c>
      <c r="D1090" s="44"/>
      <c r="E1090" s="22" t="str">
        <f>IF(D1090&lt;&gt;"",IFERROR(INDEX(Produtos!$C$4:$C$4996,MATCH(D1090,Produtos!$B$4:$B$4996,0)),"Produto não encontrado"),"")</f>
        <v/>
      </c>
    </row>
    <row r="1091" spans="1:5" x14ac:dyDescent="0.3">
      <c r="A1091" s="21" t="str">
        <f t="shared" si="17"/>
        <v>.</v>
      </c>
      <c r="D1091" s="44"/>
      <c r="E1091" s="22" t="str">
        <f>IF(D1091&lt;&gt;"",IFERROR(INDEX(Produtos!$C$4:$C$4996,MATCH(D1091,Produtos!$B$4:$B$4996,0)),"Produto não encontrado"),"")</f>
        <v/>
      </c>
    </row>
    <row r="1092" spans="1:5" x14ac:dyDescent="0.3">
      <c r="A1092" s="21" t="str">
        <f t="shared" si="17"/>
        <v>.</v>
      </c>
      <c r="D1092" s="44"/>
      <c r="E1092" s="22" t="str">
        <f>IF(D1092&lt;&gt;"",IFERROR(INDEX(Produtos!$C$4:$C$4996,MATCH(D1092,Produtos!$B$4:$B$4996,0)),"Produto não encontrado"),"")</f>
        <v/>
      </c>
    </row>
    <row r="1093" spans="1:5" x14ac:dyDescent="0.3">
      <c r="A1093" s="21" t="str">
        <f t="shared" si="17"/>
        <v>.</v>
      </c>
      <c r="D1093" s="44"/>
      <c r="E1093" s="22" t="str">
        <f>IF(D1093&lt;&gt;"",IFERROR(INDEX(Produtos!$C$4:$C$4996,MATCH(D1093,Produtos!$B$4:$B$4996,0)),"Produto não encontrado"),"")</f>
        <v/>
      </c>
    </row>
    <row r="1094" spans="1:5" x14ac:dyDescent="0.3">
      <c r="A1094" s="21" t="str">
        <f t="shared" si="17"/>
        <v>.</v>
      </c>
      <c r="D1094" s="44"/>
      <c r="E1094" s="22" t="str">
        <f>IF(D1094&lt;&gt;"",IFERROR(INDEX(Produtos!$C$4:$C$4996,MATCH(D1094,Produtos!$B$4:$B$4996,0)),"Produto não encontrado"),"")</f>
        <v/>
      </c>
    </row>
    <row r="1095" spans="1:5" x14ac:dyDescent="0.3">
      <c r="A1095" s="21" t="str">
        <f t="shared" si="17"/>
        <v>.</v>
      </c>
      <c r="D1095" s="44"/>
      <c r="E1095" s="22" t="str">
        <f>IF(D1095&lt;&gt;"",IFERROR(INDEX(Produtos!$C$4:$C$4996,MATCH(D1095,Produtos!$B$4:$B$4996,0)),"Produto não encontrado"),"")</f>
        <v/>
      </c>
    </row>
    <row r="1096" spans="1:5" x14ac:dyDescent="0.3">
      <c r="A1096" s="21" t="str">
        <f t="shared" si="17"/>
        <v>.</v>
      </c>
      <c r="D1096" s="44"/>
      <c r="E1096" s="22" t="str">
        <f>IF(D1096&lt;&gt;"",IFERROR(INDEX(Produtos!$C$4:$C$4996,MATCH(D1096,Produtos!$B$4:$B$4996,0)),"Produto não encontrado"),"")</f>
        <v/>
      </c>
    </row>
    <row r="1097" spans="1:5" x14ac:dyDescent="0.3">
      <c r="A1097" s="21" t="str">
        <f t="shared" si="17"/>
        <v>.</v>
      </c>
      <c r="D1097" s="44"/>
      <c r="E1097" s="22" t="str">
        <f>IF(D1097&lt;&gt;"",IFERROR(INDEX(Produtos!$C$4:$C$4996,MATCH(D1097,Produtos!$B$4:$B$4996,0)),"Produto não encontrado"),"")</f>
        <v/>
      </c>
    </row>
    <row r="1098" spans="1:5" x14ac:dyDescent="0.3">
      <c r="A1098" s="21" t="str">
        <f t="shared" si="17"/>
        <v>.</v>
      </c>
      <c r="D1098" s="44"/>
      <c r="E1098" s="22" t="str">
        <f>IF(D1098&lt;&gt;"",IFERROR(INDEX(Produtos!$C$4:$C$4996,MATCH(D1098,Produtos!$B$4:$B$4996,0)),"Produto não encontrado"),"")</f>
        <v/>
      </c>
    </row>
    <row r="1099" spans="1:5" x14ac:dyDescent="0.3">
      <c r="A1099" s="21" t="str">
        <f t="shared" si="17"/>
        <v>.</v>
      </c>
      <c r="D1099" s="44"/>
      <c r="E1099" s="22" t="str">
        <f>IF(D1099&lt;&gt;"",IFERROR(INDEX(Produtos!$C$4:$C$4996,MATCH(D1099,Produtos!$B$4:$B$4996,0)),"Produto não encontrado"),"")</f>
        <v/>
      </c>
    </row>
    <row r="1100" spans="1:5" x14ac:dyDescent="0.3">
      <c r="A1100" s="21" t="str">
        <f t="shared" si="17"/>
        <v>.</v>
      </c>
      <c r="D1100" s="44"/>
      <c r="E1100" s="22" t="str">
        <f>IF(D1100&lt;&gt;"",IFERROR(INDEX(Produtos!$C$4:$C$4996,MATCH(D1100,Produtos!$B$4:$B$4996,0)),"Produto não encontrado"),"")</f>
        <v/>
      </c>
    </row>
    <row r="1101" spans="1:5" x14ac:dyDescent="0.3">
      <c r="A1101" s="21" t="str">
        <f t="shared" si="17"/>
        <v>.</v>
      </c>
      <c r="D1101" s="44"/>
      <c r="E1101" s="22" t="str">
        <f>IF(D1101&lt;&gt;"",IFERROR(INDEX(Produtos!$C$4:$C$4996,MATCH(D1101,Produtos!$B$4:$B$4996,0)),"Produto não encontrado"),"")</f>
        <v/>
      </c>
    </row>
    <row r="1102" spans="1:5" x14ac:dyDescent="0.3">
      <c r="A1102" s="21" t="str">
        <f t="shared" si="17"/>
        <v>.</v>
      </c>
      <c r="D1102" s="44"/>
      <c r="E1102" s="22" t="str">
        <f>IF(D1102&lt;&gt;"",IFERROR(INDEX(Produtos!$C$4:$C$4996,MATCH(D1102,Produtos!$B$4:$B$4996,0)),"Produto não encontrado"),"")</f>
        <v/>
      </c>
    </row>
    <row r="1103" spans="1:5" x14ac:dyDescent="0.3">
      <c r="A1103" s="21" t="str">
        <f t="shared" si="17"/>
        <v>.</v>
      </c>
      <c r="D1103" s="44"/>
      <c r="E1103" s="22" t="str">
        <f>IF(D1103&lt;&gt;"",IFERROR(INDEX(Produtos!$C$4:$C$4996,MATCH(D1103,Produtos!$B$4:$B$4996,0)),"Produto não encontrado"),"")</f>
        <v/>
      </c>
    </row>
    <row r="1104" spans="1:5" x14ac:dyDescent="0.3">
      <c r="A1104" s="21" t="str">
        <f t="shared" si="17"/>
        <v>.</v>
      </c>
      <c r="D1104" s="44"/>
      <c r="E1104" s="22" t="str">
        <f>IF(D1104&lt;&gt;"",IFERROR(INDEX(Produtos!$C$4:$C$4996,MATCH(D1104,Produtos!$B$4:$B$4996,0)),"Produto não encontrado"),"")</f>
        <v/>
      </c>
    </row>
    <row r="1105" spans="1:5" x14ac:dyDescent="0.3">
      <c r="A1105" s="21" t="str">
        <f t="shared" si="17"/>
        <v>.</v>
      </c>
      <c r="D1105" s="44"/>
      <c r="E1105" s="22" t="str">
        <f>IF(D1105&lt;&gt;"",IFERROR(INDEX(Produtos!$C$4:$C$4996,MATCH(D1105,Produtos!$B$4:$B$4996,0)),"Produto não encontrado"),"")</f>
        <v/>
      </c>
    </row>
    <row r="1106" spans="1:5" x14ac:dyDescent="0.3">
      <c r="A1106" s="21" t="str">
        <f t="shared" si="17"/>
        <v>.</v>
      </c>
      <c r="D1106" s="44"/>
      <c r="E1106" s="22" t="str">
        <f>IF(D1106&lt;&gt;"",IFERROR(INDEX(Produtos!$C$4:$C$4996,MATCH(D1106,Produtos!$B$4:$B$4996,0)),"Produto não encontrado"),"")</f>
        <v/>
      </c>
    </row>
    <row r="1107" spans="1:5" x14ac:dyDescent="0.3">
      <c r="A1107" s="21" t="str">
        <f t="shared" si="17"/>
        <v>.</v>
      </c>
      <c r="D1107" s="44"/>
      <c r="E1107" s="22" t="str">
        <f>IF(D1107&lt;&gt;"",IFERROR(INDEX(Produtos!$C$4:$C$4996,MATCH(D1107,Produtos!$B$4:$B$4996,0)),"Produto não encontrado"),"")</f>
        <v/>
      </c>
    </row>
    <row r="1108" spans="1:5" x14ac:dyDescent="0.3">
      <c r="A1108" s="21" t="str">
        <f t="shared" si="17"/>
        <v>.</v>
      </c>
      <c r="D1108" s="44"/>
      <c r="E1108" s="22" t="str">
        <f>IF(D1108&lt;&gt;"",IFERROR(INDEX(Produtos!$C$4:$C$4996,MATCH(D1108,Produtos!$B$4:$B$4996,0)),"Produto não encontrado"),"")</f>
        <v/>
      </c>
    </row>
    <row r="1109" spans="1:5" x14ac:dyDescent="0.3">
      <c r="A1109" s="21" t="str">
        <f t="shared" si="17"/>
        <v>.</v>
      </c>
      <c r="D1109" s="44"/>
      <c r="E1109" s="22" t="str">
        <f>IF(D1109&lt;&gt;"",IFERROR(INDEX(Produtos!$C$4:$C$4996,MATCH(D1109,Produtos!$B$4:$B$4996,0)),"Produto não encontrado"),"")</f>
        <v/>
      </c>
    </row>
    <row r="1110" spans="1:5" x14ac:dyDescent="0.3">
      <c r="A1110" s="21" t="str">
        <f t="shared" si="17"/>
        <v>.</v>
      </c>
      <c r="D1110" s="44"/>
      <c r="E1110" s="22" t="str">
        <f>IF(D1110&lt;&gt;"",IFERROR(INDEX(Produtos!$C$4:$C$4996,MATCH(D1110,Produtos!$B$4:$B$4996,0)),"Produto não encontrado"),"")</f>
        <v/>
      </c>
    </row>
    <row r="1111" spans="1:5" x14ac:dyDescent="0.3">
      <c r="A1111" s="21" t="str">
        <f t="shared" si="17"/>
        <v>.</v>
      </c>
      <c r="D1111" s="44"/>
      <c r="E1111" s="22" t="str">
        <f>IF(D1111&lt;&gt;"",IFERROR(INDEX(Produtos!$C$4:$C$4996,MATCH(D1111,Produtos!$B$4:$B$4996,0)),"Produto não encontrado"),"")</f>
        <v/>
      </c>
    </row>
    <row r="1112" spans="1:5" x14ac:dyDescent="0.3">
      <c r="A1112" s="21" t="str">
        <f t="shared" si="17"/>
        <v>.</v>
      </c>
      <c r="D1112" s="44"/>
      <c r="E1112" s="22" t="str">
        <f>IF(D1112&lt;&gt;"",IFERROR(INDEX(Produtos!$C$4:$C$4996,MATCH(D1112,Produtos!$B$4:$B$4996,0)),"Produto não encontrado"),"")</f>
        <v/>
      </c>
    </row>
    <row r="1113" spans="1:5" x14ac:dyDescent="0.3">
      <c r="A1113" s="21" t="str">
        <f t="shared" si="17"/>
        <v>.</v>
      </c>
      <c r="D1113" s="44"/>
      <c r="E1113" s="22" t="str">
        <f>IF(D1113&lt;&gt;"",IFERROR(INDEX(Produtos!$C$4:$C$4996,MATCH(D1113,Produtos!$B$4:$B$4996,0)),"Produto não encontrado"),"")</f>
        <v/>
      </c>
    </row>
    <row r="1114" spans="1:5" x14ac:dyDescent="0.3">
      <c r="A1114" s="21" t="str">
        <f t="shared" si="17"/>
        <v>.</v>
      </c>
      <c r="D1114" s="44"/>
      <c r="E1114" s="22" t="str">
        <f>IF(D1114&lt;&gt;"",IFERROR(INDEX(Produtos!$C$4:$C$4996,MATCH(D1114,Produtos!$B$4:$B$4996,0)),"Produto não encontrado"),"")</f>
        <v/>
      </c>
    </row>
    <row r="1115" spans="1:5" x14ac:dyDescent="0.3">
      <c r="A1115" s="21" t="str">
        <f t="shared" si="17"/>
        <v>.</v>
      </c>
      <c r="D1115" s="44"/>
      <c r="E1115" s="22" t="str">
        <f>IF(D1115&lt;&gt;"",IFERROR(INDEX(Produtos!$C$4:$C$4996,MATCH(D1115,Produtos!$B$4:$B$4996,0)),"Produto não encontrado"),"")</f>
        <v/>
      </c>
    </row>
    <row r="1116" spans="1:5" x14ac:dyDescent="0.3">
      <c r="A1116" s="21" t="str">
        <f t="shared" si="17"/>
        <v>.</v>
      </c>
      <c r="D1116" s="44"/>
      <c r="E1116" s="22" t="str">
        <f>IF(D1116&lt;&gt;"",IFERROR(INDEX(Produtos!$C$4:$C$4996,MATCH(D1116,Produtos!$B$4:$B$4996,0)),"Produto não encontrado"),"")</f>
        <v/>
      </c>
    </row>
    <row r="1117" spans="1:5" x14ac:dyDescent="0.3">
      <c r="A1117" s="21" t="str">
        <f t="shared" si="17"/>
        <v>.</v>
      </c>
      <c r="D1117" s="44"/>
      <c r="E1117" s="22" t="str">
        <f>IF(D1117&lt;&gt;"",IFERROR(INDEX(Produtos!$C$4:$C$4996,MATCH(D1117,Produtos!$B$4:$B$4996,0)),"Produto não encontrado"),"")</f>
        <v/>
      </c>
    </row>
    <row r="1118" spans="1:5" x14ac:dyDescent="0.3">
      <c r="A1118" s="21" t="str">
        <f t="shared" si="17"/>
        <v>.</v>
      </c>
      <c r="D1118" s="44"/>
      <c r="E1118" s="22" t="str">
        <f>IF(D1118&lt;&gt;"",IFERROR(INDEX(Produtos!$C$4:$C$4996,MATCH(D1118,Produtos!$B$4:$B$4996,0)),"Produto não encontrado"),"")</f>
        <v/>
      </c>
    </row>
    <row r="1119" spans="1:5" x14ac:dyDescent="0.3">
      <c r="A1119" s="21" t="str">
        <f t="shared" si="17"/>
        <v>.</v>
      </c>
      <c r="D1119" s="44"/>
      <c r="E1119" s="22" t="str">
        <f>IF(D1119&lt;&gt;"",IFERROR(INDEX(Produtos!$C$4:$C$4996,MATCH(D1119,Produtos!$B$4:$B$4996,0)),"Produto não encontrado"),"")</f>
        <v/>
      </c>
    </row>
    <row r="1120" spans="1:5" x14ac:dyDescent="0.3">
      <c r="A1120" s="21" t="str">
        <f t="shared" si="17"/>
        <v>.</v>
      </c>
      <c r="D1120" s="44"/>
      <c r="E1120" s="22" t="str">
        <f>IF(D1120&lt;&gt;"",IFERROR(INDEX(Produtos!$C$4:$C$4996,MATCH(D1120,Produtos!$B$4:$B$4996,0)),"Produto não encontrado"),"")</f>
        <v/>
      </c>
    </row>
    <row r="1121" spans="1:5" x14ac:dyDescent="0.3">
      <c r="A1121" s="21" t="str">
        <f t="shared" si="17"/>
        <v>.</v>
      </c>
      <c r="D1121" s="44"/>
      <c r="E1121" s="22" t="str">
        <f>IF(D1121&lt;&gt;"",IFERROR(INDEX(Produtos!$C$4:$C$4996,MATCH(D1121,Produtos!$B$4:$B$4996,0)),"Produto não encontrado"),"")</f>
        <v/>
      </c>
    </row>
    <row r="1122" spans="1:5" x14ac:dyDescent="0.3">
      <c r="A1122" s="21" t="str">
        <f t="shared" si="17"/>
        <v>.</v>
      </c>
      <c r="D1122" s="44"/>
      <c r="E1122" s="22" t="str">
        <f>IF(D1122&lt;&gt;"",IFERROR(INDEX(Produtos!$C$4:$C$4996,MATCH(D1122,Produtos!$B$4:$B$4996,0)),"Produto não encontrado"),"")</f>
        <v/>
      </c>
    </row>
    <row r="1123" spans="1:5" x14ac:dyDescent="0.3">
      <c r="A1123" s="21" t="str">
        <f t="shared" si="17"/>
        <v>.</v>
      </c>
      <c r="D1123" s="44"/>
      <c r="E1123" s="22" t="str">
        <f>IF(D1123&lt;&gt;"",IFERROR(INDEX(Produtos!$C$4:$C$4996,MATCH(D1123,Produtos!$B$4:$B$4996,0)),"Produto não encontrado"),"")</f>
        <v/>
      </c>
    </row>
    <row r="1124" spans="1:5" x14ac:dyDescent="0.3">
      <c r="A1124" s="21" t="str">
        <f t="shared" si="17"/>
        <v>.</v>
      </c>
      <c r="D1124" s="44"/>
      <c r="E1124" s="22" t="str">
        <f>IF(D1124&lt;&gt;"",IFERROR(INDEX(Produtos!$C$4:$C$4996,MATCH(D1124,Produtos!$B$4:$B$4996,0)),"Produto não encontrado"),"")</f>
        <v/>
      </c>
    </row>
    <row r="1125" spans="1:5" x14ac:dyDescent="0.3">
      <c r="A1125" s="21" t="str">
        <f t="shared" si="17"/>
        <v>.</v>
      </c>
      <c r="D1125" s="44"/>
      <c r="E1125" s="22" t="str">
        <f>IF(D1125&lt;&gt;"",IFERROR(INDEX(Produtos!$C$4:$C$4996,MATCH(D1125,Produtos!$B$4:$B$4996,0)),"Produto não encontrado"),"")</f>
        <v/>
      </c>
    </row>
    <row r="1126" spans="1:5" x14ac:dyDescent="0.3">
      <c r="A1126" s="21" t="str">
        <f t="shared" si="17"/>
        <v>.</v>
      </c>
      <c r="D1126" s="44"/>
      <c r="E1126" s="22" t="str">
        <f>IF(D1126&lt;&gt;"",IFERROR(INDEX(Produtos!$C$4:$C$4996,MATCH(D1126,Produtos!$B$4:$B$4996,0)),"Produto não encontrado"),"")</f>
        <v/>
      </c>
    </row>
    <row r="1127" spans="1:5" x14ac:dyDescent="0.3">
      <c r="A1127" s="21" t="str">
        <f t="shared" si="17"/>
        <v>.</v>
      </c>
      <c r="D1127" s="44"/>
      <c r="E1127" s="22" t="str">
        <f>IF(D1127&lt;&gt;"",IFERROR(INDEX(Produtos!$C$4:$C$4996,MATCH(D1127,Produtos!$B$4:$B$4996,0)),"Produto não encontrado"),"")</f>
        <v/>
      </c>
    </row>
    <row r="1128" spans="1:5" x14ac:dyDescent="0.3">
      <c r="A1128" s="21" t="str">
        <f t="shared" si="17"/>
        <v>.</v>
      </c>
      <c r="D1128" s="44"/>
      <c r="E1128" s="22" t="str">
        <f>IF(D1128&lt;&gt;"",IFERROR(INDEX(Produtos!$C$4:$C$4996,MATCH(D1128,Produtos!$B$4:$B$4996,0)),"Produto não encontrado"),"")</f>
        <v/>
      </c>
    </row>
    <row r="1129" spans="1:5" x14ac:dyDescent="0.3">
      <c r="A1129" s="21" t="str">
        <f t="shared" si="17"/>
        <v>.</v>
      </c>
      <c r="D1129" s="44"/>
      <c r="E1129" s="22" t="str">
        <f>IF(D1129&lt;&gt;"",IFERROR(INDEX(Produtos!$C$4:$C$4996,MATCH(D1129,Produtos!$B$4:$B$4996,0)),"Produto não encontrado"),"")</f>
        <v/>
      </c>
    </row>
    <row r="1130" spans="1:5" x14ac:dyDescent="0.3">
      <c r="A1130" s="21" t="str">
        <f t="shared" si="17"/>
        <v>.</v>
      </c>
      <c r="D1130" s="44"/>
      <c r="E1130" s="22" t="str">
        <f>IF(D1130&lt;&gt;"",IFERROR(INDEX(Produtos!$C$4:$C$4996,MATCH(D1130,Produtos!$B$4:$B$4996,0)),"Produto não encontrado"),"")</f>
        <v/>
      </c>
    </row>
    <row r="1131" spans="1:5" x14ac:dyDescent="0.3">
      <c r="A1131" s="21" t="str">
        <f t="shared" si="17"/>
        <v>.</v>
      </c>
      <c r="D1131" s="44"/>
      <c r="E1131" s="22" t="str">
        <f>IF(D1131&lt;&gt;"",IFERROR(INDEX(Produtos!$C$4:$C$4996,MATCH(D1131,Produtos!$B$4:$B$4996,0)),"Produto não encontrado"),"")</f>
        <v/>
      </c>
    </row>
    <row r="1132" spans="1:5" x14ac:dyDescent="0.3">
      <c r="A1132" s="21" t="str">
        <f t="shared" si="17"/>
        <v>.</v>
      </c>
      <c r="D1132" s="44"/>
      <c r="E1132" s="22" t="str">
        <f>IF(D1132&lt;&gt;"",IFERROR(INDEX(Produtos!$C$4:$C$4996,MATCH(D1132,Produtos!$B$4:$B$4996,0)),"Produto não encontrado"),"")</f>
        <v/>
      </c>
    </row>
    <row r="1133" spans="1:5" x14ac:dyDescent="0.3">
      <c r="A1133" s="21" t="str">
        <f t="shared" si="17"/>
        <v>.</v>
      </c>
      <c r="D1133" s="44"/>
      <c r="E1133" s="22" t="str">
        <f>IF(D1133&lt;&gt;"",IFERROR(INDEX(Produtos!$C$4:$C$4996,MATCH(D1133,Produtos!$B$4:$B$4996,0)),"Produto não encontrado"),"")</f>
        <v/>
      </c>
    </row>
    <row r="1134" spans="1:5" x14ac:dyDescent="0.3">
      <c r="A1134" s="21" t="str">
        <f t="shared" si="17"/>
        <v>.</v>
      </c>
      <c r="D1134" s="44"/>
      <c r="E1134" s="22" t="str">
        <f>IF(D1134&lt;&gt;"",IFERROR(INDEX(Produtos!$C$4:$C$4996,MATCH(D1134,Produtos!$B$4:$B$4996,0)),"Produto não encontrado"),"")</f>
        <v/>
      </c>
    </row>
    <row r="1135" spans="1:5" x14ac:dyDescent="0.3">
      <c r="A1135" s="21" t="str">
        <f t="shared" si="17"/>
        <v>.</v>
      </c>
      <c r="D1135" s="44"/>
      <c r="E1135" s="22" t="str">
        <f>IF(D1135&lt;&gt;"",IFERROR(INDEX(Produtos!$C$4:$C$4996,MATCH(D1135,Produtos!$B$4:$B$4996,0)),"Produto não encontrado"),"")</f>
        <v/>
      </c>
    </row>
    <row r="1136" spans="1:5" x14ac:dyDescent="0.3">
      <c r="A1136" s="21" t="str">
        <f t="shared" si="17"/>
        <v>.</v>
      </c>
      <c r="D1136" s="44"/>
      <c r="E1136" s="22" t="str">
        <f>IF(D1136&lt;&gt;"",IFERROR(INDEX(Produtos!$C$4:$C$4996,MATCH(D1136,Produtos!$B$4:$B$4996,0)),"Produto não encontrado"),"")</f>
        <v/>
      </c>
    </row>
    <row r="1137" spans="1:5" x14ac:dyDescent="0.3">
      <c r="A1137" s="21" t="str">
        <f t="shared" si="17"/>
        <v>.</v>
      </c>
      <c r="D1137" s="44"/>
      <c r="E1137" s="22" t="str">
        <f>IF(D1137&lt;&gt;"",IFERROR(INDEX(Produtos!$C$4:$C$4996,MATCH(D1137,Produtos!$B$4:$B$4996,0)),"Produto não encontrado"),"")</f>
        <v/>
      </c>
    </row>
    <row r="1138" spans="1:5" x14ac:dyDescent="0.3">
      <c r="A1138" s="21" t="str">
        <f t="shared" si="17"/>
        <v>.</v>
      </c>
      <c r="D1138" s="44"/>
      <c r="E1138" s="22" t="str">
        <f>IF(D1138&lt;&gt;"",IFERROR(INDEX(Produtos!$C$4:$C$4996,MATCH(D1138,Produtos!$B$4:$B$4996,0)),"Produto não encontrado"),"")</f>
        <v/>
      </c>
    </row>
    <row r="1139" spans="1:5" x14ac:dyDescent="0.3">
      <c r="A1139" s="21" t="str">
        <f t="shared" si="17"/>
        <v>.</v>
      </c>
      <c r="D1139" s="44"/>
      <c r="E1139" s="22" t="str">
        <f>IF(D1139&lt;&gt;"",IFERROR(INDEX(Produtos!$C$4:$C$4996,MATCH(D1139,Produtos!$B$4:$B$4996,0)),"Produto não encontrado"),"")</f>
        <v/>
      </c>
    </row>
    <row r="1140" spans="1:5" x14ac:dyDescent="0.3">
      <c r="A1140" s="21" t="str">
        <f t="shared" si="17"/>
        <v>.</v>
      </c>
      <c r="D1140" s="44"/>
      <c r="E1140" s="22" t="str">
        <f>IF(D1140&lt;&gt;"",IFERROR(INDEX(Produtos!$C$4:$C$4996,MATCH(D1140,Produtos!$B$4:$B$4996,0)),"Produto não encontrado"),"")</f>
        <v/>
      </c>
    </row>
    <row r="1141" spans="1:5" x14ac:dyDescent="0.3">
      <c r="A1141" s="21" t="str">
        <f t="shared" si="17"/>
        <v>.</v>
      </c>
      <c r="D1141" s="44"/>
      <c r="E1141" s="22" t="str">
        <f>IF(D1141&lt;&gt;"",IFERROR(INDEX(Produtos!$C$4:$C$4996,MATCH(D1141,Produtos!$B$4:$B$4996,0)),"Produto não encontrado"),"")</f>
        <v/>
      </c>
    </row>
    <row r="1142" spans="1:5" x14ac:dyDescent="0.3">
      <c r="A1142" s="21" t="str">
        <f t="shared" si="17"/>
        <v>.</v>
      </c>
      <c r="D1142" s="44"/>
      <c r="E1142" s="22" t="str">
        <f>IF(D1142&lt;&gt;"",IFERROR(INDEX(Produtos!$C$4:$C$4996,MATCH(D1142,Produtos!$B$4:$B$4996,0)),"Produto não encontrado"),"")</f>
        <v/>
      </c>
    </row>
    <row r="1143" spans="1:5" x14ac:dyDescent="0.3">
      <c r="A1143" s="21" t="str">
        <f t="shared" si="17"/>
        <v>.</v>
      </c>
      <c r="D1143" s="44"/>
      <c r="E1143" s="22" t="str">
        <f>IF(D1143&lt;&gt;"",IFERROR(INDEX(Produtos!$C$4:$C$4996,MATCH(D1143,Produtos!$B$4:$B$4996,0)),"Produto não encontrado"),"")</f>
        <v/>
      </c>
    </row>
    <row r="1144" spans="1:5" x14ac:dyDescent="0.3">
      <c r="A1144" s="21" t="str">
        <f t="shared" si="17"/>
        <v>.</v>
      </c>
      <c r="D1144" s="44"/>
      <c r="E1144" s="22" t="str">
        <f>IF(D1144&lt;&gt;"",IFERROR(INDEX(Produtos!$C$4:$C$4996,MATCH(D1144,Produtos!$B$4:$B$4996,0)),"Produto não encontrado"),"")</f>
        <v/>
      </c>
    </row>
    <row r="1145" spans="1:5" x14ac:dyDescent="0.3">
      <c r="A1145" s="21" t="str">
        <f t="shared" si="17"/>
        <v>.</v>
      </c>
      <c r="D1145" s="44"/>
      <c r="E1145" s="22" t="str">
        <f>IF(D1145&lt;&gt;"",IFERROR(INDEX(Produtos!$C$4:$C$4996,MATCH(D1145,Produtos!$B$4:$B$4996,0)),"Produto não encontrado"),"")</f>
        <v/>
      </c>
    </row>
    <row r="1146" spans="1:5" x14ac:dyDescent="0.3">
      <c r="A1146" s="21" t="str">
        <f t="shared" si="17"/>
        <v>.</v>
      </c>
      <c r="D1146" s="44"/>
      <c r="E1146" s="22" t="str">
        <f>IF(D1146&lt;&gt;"",IFERROR(INDEX(Produtos!$C$4:$C$4996,MATCH(D1146,Produtos!$B$4:$B$4996,0)),"Produto não encontrado"),"")</f>
        <v/>
      </c>
    </row>
    <row r="1147" spans="1:5" x14ac:dyDescent="0.3">
      <c r="A1147" s="21" t="str">
        <f t="shared" si="17"/>
        <v>.</v>
      </c>
      <c r="D1147" s="44"/>
      <c r="E1147" s="22" t="str">
        <f>IF(D1147&lt;&gt;"",IFERROR(INDEX(Produtos!$C$4:$C$4996,MATCH(D1147,Produtos!$B$4:$B$4996,0)),"Produto não encontrado"),"")</f>
        <v/>
      </c>
    </row>
    <row r="1148" spans="1:5" x14ac:dyDescent="0.3">
      <c r="A1148" s="21" t="str">
        <f t="shared" si="17"/>
        <v>.</v>
      </c>
      <c r="D1148" s="44"/>
      <c r="E1148" s="22" t="str">
        <f>IF(D1148&lt;&gt;"",IFERROR(INDEX(Produtos!$C$4:$C$4996,MATCH(D1148,Produtos!$B$4:$B$4996,0)),"Produto não encontrado"),"")</f>
        <v/>
      </c>
    </row>
    <row r="1149" spans="1:5" x14ac:dyDescent="0.3">
      <c r="A1149" s="21" t="str">
        <f t="shared" si="17"/>
        <v>.</v>
      </c>
      <c r="D1149" s="44"/>
      <c r="E1149" s="22" t="str">
        <f>IF(D1149&lt;&gt;"",IFERROR(INDEX(Produtos!$C$4:$C$4996,MATCH(D1149,Produtos!$B$4:$B$4996,0)),"Produto não encontrado"),"")</f>
        <v/>
      </c>
    </row>
    <row r="1150" spans="1:5" x14ac:dyDescent="0.3">
      <c r="A1150" s="21" t="str">
        <f t="shared" si="17"/>
        <v>.</v>
      </c>
      <c r="D1150" s="44"/>
      <c r="E1150" s="22" t="str">
        <f>IF(D1150&lt;&gt;"",IFERROR(INDEX(Produtos!$C$4:$C$4996,MATCH(D1150,Produtos!$B$4:$B$4996,0)),"Produto não encontrado"),"")</f>
        <v/>
      </c>
    </row>
    <row r="1151" spans="1:5" x14ac:dyDescent="0.3">
      <c r="A1151" s="21" t="str">
        <f t="shared" si="17"/>
        <v>.</v>
      </c>
      <c r="D1151" s="44"/>
      <c r="E1151" s="22" t="str">
        <f>IF(D1151&lt;&gt;"",IFERROR(INDEX(Produtos!$C$4:$C$4996,MATCH(D1151,Produtos!$B$4:$B$4996,0)),"Produto não encontrado"),"")</f>
        <v/>
      </c>
    </row>
    <row r="1152" spans="1:5" x14ac:dyDescent="0.3">
      <c r="A1152" s="21" t="str">
        <f t="shared" ref="A1152:A1215" si="18">IF(C1152="Entrada",2,IF(C1152="Saída",1,"."))</f>
        <v>.</v>
      </c>
      <c r="D1152" s="44"/>
      <c r="E1152" s="22" t="str">
        <f>IF(D1152&lt;&gt;"",IFERROR(INDEX(Produtos!$C$4:$C$4996,MATCH(D1152,Produtos!$B$4:$B$4996,0)),"Produto não encontrado"),"")</f>
        <v/>
      </c>
    </row>
    <row r="1153" spans="1:5" x14ac:dyDescent="0.3">
      <c r="A1153" s="21" t="str">
        <f t="shared" si="18"/>
        <v>.</v>
      </c>
      <c r="D1153" s="44"/>
      <c r="E1153" s="22" t="str">
        <f>IF(D1153&lt;&gt;"",IFERROR(INDEX(Produtos!$C$4:$C$4996,MATCH(D1153,Produtos!$B$4:$B$4996,0)),"Produto não encontrado"),"")</f>
        <v/>
      </c>
    </row>
    <row r="1154" spans="1:5" x14ac:dyDescent="0.3">
      <c r="A1154" s="21" t="str">
        <f t="shared" si="18"/>
        <v>.</v>
      </c>
      <c r="D1154" s="44"/>
      <c r="E1154" s="22" t="str">
        <f>IF(D1154&lt;&gt;"",IFERROR(INDEX(Produtos!$C$4:$C$4996,MATCH(D1154,Produtos!$B$4:$B$4996,0)),"Produto não encontrado"),"")</f>
        <v/>
      </c>
    </row>
    <row r="1155" spans="1:5" x14ac:dyDescent="0.3">
      <c r="A1155" s="21" t="str">
        <f t="shared" si="18"/>
        <v>.</v>
      </c>
      <c r="D1155" s="44"/>
      <c r="E1155" s="22" t="str">
        <f>IF(D1155&lt;&gt;"",IFERROR(INDEX(Produtos!$C$4:$C$4996,MATCH(D1155,Produtos!$B$4:$B$4996,0)),"Produto não encontrado"),"")</f>
        <v/>
      </c>
    </row>
    <row r="1156" spans="1:5" x14ac:dyDescent="0.3">
      <c r="A1156" s="21" t="str">
        <f t="shared" si="18"/>
        <v>.</v>
      </c>
      <c r="D1156" s="44"/>
      <c r="E1156" s="22" t="str">
        <f>IF(D1156&lt;&gt;"",IFERROR(INDEX(Produtos!$C$4:$C$4996,MATCH(D1156,Produtos!$B$4:$B$4996,0)),"Produto não encontrado"),"")</f>
        <v/>
      </c>
    </row>
    <row r="1157" spans="1:5" x14ac:dyDescent="0.3">
      <c r="A1157" s="21" t="str">
        <f t="shared" si="18"/>
        <v>.</v>
      </c>
      <c r="D1157" s="44"/>
      <c r="E1157" s="22" t="str">
        <f>IF(D1157&lt;&gt;"",IFERROR(INDEX(Produtos!$C$4:$C$4996,MATCH(D1157,Produtos!$B$4:$B$4996,0)),"Produto não encontrado"),"")</f>
        <v/>
      </c>
    </row>
    <row r="1158" spans="1:5" x14ac:dyDescent="0.3">
      <c r="A1158" s="21" t="str">
        <f t="shared" si="18"/>
        <v>.</v>
      </c>
      <c r="D1158" s="44"/>
      <c r="E1158" s="22" t="str">
        <f>IF(D1158&lt;&gt;"",IFERROR(INDEX(Produtos!$C$4:$C$4996,MATCH(D1158,Produtos!$B$4:$B$4996,0)),"Produto não encontrado"),"")</f>
        <v/>
      </c>
    </row>
    <row r="1159" spans="1:5" x14ac:dyDescent="0.3">
      <c r="A1159" s="21" t="str">
        <f t="shared" si="18"/>
        <v>.</v>
      </c>
      <c r="D1159" s="44"/>
      <c r="E1159" s="22" t="str">
        <f>IF(D1159&lt;&gt;"",IFERROR(INDEX(Produtos!$C$4:$C$4996,MATCH(D1159,Produtos!$B$4:$B$4996,0)),"Produto não encontrado"),"")</f>
        <v/>
      </c>
    </row>
    <row r="1160" spans="1:5" x14ac:dyDescent="0.3">
      <c r="A1160" s="21" t="str">
        <f t="shared" si="18"/>
        <v>.</v>
      </c>
      <c r="D1160" s="44"/>
      <c r="E1160" s="22" t="str">
        <f>IF(D1160&lt;&gt;"",IFERROR(INDEX(Produtos!$C$4:$C$4996,MATCH(D1160,Produtos!$B$4:$B$4996,0)),"Produto não encontrado"),"")</f>
        <v/>
      </c>
    </row>
    <row r="1161" spans="1:5" x14ac:dyDescent="0.3">
      <c r="A1161" s="21" t="str">
        <f t="shared" si="18"/>
        <v>.</v>
      </c>
      <c r="D1161" s="44"/>
      <c r="E1161" s="22" t="str">
        <f>IF(D1161&lt;&gt;"",IFERROR(INDEX(Produtos!$C$4:$C$4996,MATCH(D1161,Produtos!$B$4:$B$4996,0)),"Produto não encontrado"),"")</f>
        <v/>
      </c>
    </row>
    <row r="1162" spans="1:5" x14ac:dyDescent="0.3">
      <c r="A1162" s="21" t="str">
        <f t="shared" si="18"/>
        <v>.</v>
      </c>
      <c r="D1162" s="44"/>
      <c r="E1162" s="22" t="str">
        <f>IF(D1162&lt;&gt;"",IFERROR(INDEX(Produtos!$C$4:$C$4996,MATCH(D1162,Produtos!$B$4:$B$4996,0)),"Produto não encontrado"),"")</f>
        <v/>
      </c>
    </row>
    <row r="1163" spans="1:5" x14ac:dyDescent="0.3">
      <c r="A1163" s="21" t="str">
        <f t="shared" si="18"/>
        <v>.</v>
      </c>
      <c r="D1163" s="44"/>
      <c r="E1163" s="22" t="str">
        <f>IF(D1163&lt;&gt;"",IFERROR(INDEX(Produtos!$C$4:$C$4996,MATCH(D1163,Produtos!$B$4:$B$4996,0)),"Produto não encontrado"),"")</f>
        <v/>
      </c>
    </row>
    <row r="1164" spans="1:5" x14ac:dyDescent="0.3">
      <c r="A1164" s="21" t="str">
        <f t="shared" si="18"/>
        <v>.</v>
      </c>
      <c r="D1164" s="44"/>
      <c r="E1164" s="22" t="str">
        <f>IF(D1164&lt;&gt;"",IFERROR(INDEX(Produtos!$C$4:$C$4996,MATCH(D1164,Produtos!$B$4:$B$4996,0)),"Produto não encontrado"),"")</f>
        <v/>
      </c>
    </row>
    <row r="1165" spans="1:5" x14ac:dyDescent="0.3">
      <c r="A1165" s="21" t="str">
        <f t="shared" si="18"/>
        <v>.</v>
      </c>
      <c r="D1165" s="44"/>
      <c r="E1165" s="22" t="str">
        <f>IF(D1165&lt;&gt;"",IFERROR(INDEX(Produtos!$C$4:$C$4996,MATCH(D1165,Produtos!$B$4:$B$4996,0)),"Produto não encontrado"),"")</f>
        <v/>
      </c>
    </row>
    <row r="1166" spans="1:5" x14ac:dyDescent="0.3">
      <c r="A1166" s="21" t="str">
        <f t="shared" si="18"/>
        <v>.</v>
      </c>
      <c r="D1166" s="44"/>
      <c r="E1166" s="22" t="str">
        <f>IF(D1166&lt;&gt;"",IFERROR(INDEX(Produtos!$C$4:$C$4996,MATCH(D1166,Produtos!$B$4:$B$4996,0)),"Produto não encontrado"),"")</f>
        <v/>
      </c>
    </row>
    <row r="1167" spans="1:5" x14ac:dyDescent="0.3">
      <c r="A1167" s="21" t="str">
        <f t="shared" si="18"/>
        <v>.</v>
      </c>
      <c r="D1167" s="44"/>
      <c r="E1167" s="22" t="str">
        <f>IF(D1167&lt;&gt;"",IFERROR(INDEX(Produtos!$C$4:$C$4996,MATCH(D1167,Produtos!$B$4:$B$4996,0)),"Produto não encontrado"),"")</f>
        <v/>
      </c>
    </row>
    <row r="1168" spans="1:5" x14ac:dyDescent="0.3">
      <c r="A1168" s="21" t="str">
        <f t="shared" si="18"/>
        <v>.</v>
      </c>
      <c r="D1168" s="44"/>
      <c r="E1168" s="22" t="str">
        <f>IF(D1168&lt;&gt;"",IFERROR(INDEX(Produtos!$C$4:$C$4996,MATCH(D1168,Produtos!$B$4:$B$4996,0)),"Produto não encontrado"),"")</f>
        <v/>
      </c>
    </row>
    <row r="1169" spans="1:5" x14ac:dyDescent="0.3">
      <c r="A1169" s="21" t="str">
        <f t="shared" si="18"/>
        <v>.</v>
      </c>
      <c r="D1169" s="44"/>
      <c r="E1169" s="22" t="str">
        <f>IF(D1169&lt;&gt;"",IFERROR(INDEX(Produtos!$C$4:$C$4996,MATCH(D1169,Produtos!$B$4:$B$4996,0)),"Produto não encontrado"),"")</f>
        <v/>
      </c>
    </row>
    <row r="1170" spans="1:5" x14ac:dyDescent="0.3">
      <c r="A1170" s="21" t="str">
        <f t="shared" si="18"/>
        <v>.</v>
      </c>
      <c r="D1170" s="44"/>
      <c r="E1170" s="22" t="str">
        <f>IF(D1170&lt;&gt;"",IFERROR(INDEX(Produtos!$C$4:$C$4996,MATCH(D1170,Produtos!$B$4:$B$4996,0)),"Produto não encontrado"),"")</f>
        <v/>
      </c>
    </row>
    <row r="1171" spans="1:5" x14ac:dyDescent="0.3">
      <c r="A1171" s="21" t="str">
        <f t="shared" si="18"/>
        <v>.</v>
      </c>
      <c r="D1171" s="44"/>
      <c r="E1171" s="22" t="str">
        <f>IF(D1171&lt;&gt;"",IFERROR(INDEX(Produtos!$C$4:$C$4996,MATCH(D1171,Produtos!$B$4:$B$4996,0)),"Produto não encontrado"),"")</f>
        <v/>
      </c>
    </row>
    <row r="1172" spans="1:5" x14ac:dyDescent="0.3">
      <c r="A1172" s="21" t="str">
        <f t="shared" si="18"/>
        <v>.</v>
      </c>
      <c r="D1172" s="44"/>
      <c r="E1172" s="22" t="str">
        <f>IF(D1172&lt;&gt;"",IFERROR(INDEX(Produtos!$C$4:$C$4996,MATCH(D1172,Produtos!$B$4:$B$4996,0)),"Produto não encontrado"),"")</f>
        <v/>
      </c>
    </row>
    <row r="1173" spans="1:5" x14ac:dyDescent="0.3">
      <c r="A1173" s="21" t="str">
        <f t="shared" si="18"/>
        <v>.</v>
      </c>
      <c r="D1173" s="44"/>
      <c r="E1173" s="22" t="str">
        <f>IF(D1173&lt;&gt;"",IFERROR(INDEX(Produtos!$C$4:$C$4996,MATCH(D1173,Produtos!$B$4:$B$4996,0)),"Produto não encontrado"),"")</f>
        <v/>
      </c>
    </row>
    <row r="1174" spans="1:5" x14ac:dyDescent="0.3">
      <c r="A1174" s="21" t="str">
        <f t="shared" si="18"/>
        <v>.</v>
      </c>
      <c r="D1174" s="44"/>
      <c r="E1174" s="22" t="str">
        <f>IF(D1174&lt;&gt;"",IFERROR(INDEX(Produtos!$C$4:$C$4996,MATCH(D1174,Produtos!$B$4:$B$4996,0)),"Produto não encontrado"),"")</f>
        <v/>
      </c>
    </row>
    <row r="1175" spans="1:5" x14ac:dyDescent="0.3">
      <c r="A1175" s="21" t="str">
        <f t="shared" si="18"/>
        <v>.</v>
      </c>
      <c r="D1175" s="44"/>
      <c r="E1175" s="22" t="str">
        <f>IF(D1175&lt;&gt;"",IFERROR(INDEX(Produtos!$C$4:$C$4996,MATCH(D1175,Produtos!$B$4:$B$4996,0)),"Produto não encontrado"),"")</f>
        <v/>
      </c>
    </row>
    <row r="1176" spans="1:5" x14ac:dyDescent="0.3">
      <c r="A1176" s="21" t="str">
        <f t="shared" si="18"/>
        <v>.</v>
      </c>
      <c r="D1176" s="44"/>
      <c r="E1176" s="22" t="str">
        <f>IF(D1176&lt;&gt;"",IFERROR(INDEX(Produtos!$C$4:$C$4996,MATCH(D1176,Produtos!$B$4:$B$4996,0)),"Produto não encontrado"),"")</f>
        <v/>
      </c>
    </row>
    <row r="1177" spans="1:5" x14ac:dyDescent="0.3">
      <c r="A1177" s="21" t="str">
        <f t="shared" si="18"/>
        <v>.</v>
      </c>
      <c r="D1177" s="44"/>
      <c r="E1177" s="22" t="str">
        <f>IF(D1177&lt;&gt;"",IFERROR(INDEX(Produtos!$C$4:$C$4996,MATCH(D1177,Produtos!$B$4:$B$4996,0)),"Produto não encontrado"),"")</f>
        <v/>
      </c>
    </row>
    <row r="1178" spans="1:5" x14ac:dyDescent="0.3">
      <c r="A1178" s="21" t="str">
        <f t="shared" si="18"/>
        <v>.</v>
      </c>
      <c r="D1178" s="44"/>
      <c r="E1178" s="22" t="str">
        <f>IF(D1178&lt;&gt;"",IFERROR(INDEX(Produtos!$C$4:$C$4996,MATCH(D1178,Produtos!$B$4:$B$4996,0)),"Produto não encontrado"),"")</f>
        <v/>
      </c>
    </row>
    <row r="1179" spans="1:5" x14ac:dyDescent="0.3">
      <c r="A1179" s="21" t="str">
        <f t="shared" si="18"/>
        <v>.</v>
      </c>
      <c r="D1179" s="44"/>
      <c r="E1179" s="22" t="str">
        <f>IF(D1179&lt;&gt;"",IFERROR(INDEX(Produtos!$C$4:$C$4996,MATCH(D1179,Produtos!$B$4:$B$4996,0)),"Produto não encontrado"),"")</f>
        <v/>
      </c>
    </row>
    <row r="1180" spans="1:5" x14ac:dyDescent="0.3">
      <c r="A1180" s="21" t="str">
        <f t="shared" si="18"/>
        <v>.</v>
      </c>
      <c r="D1180" s="44"/>
      <c r="E1180" s="22" t="str">
        <f>IF(D1180&lt;&gt;"",IFERROR(INDEX(Produtos!$C$4:$C$4996,MATCH(D1180,Produtos!$B$4:$B$4996,0)),"Produto não encontrado"),"")</f>
        <v/>
      </c>
    </row>
    <row r="1181" spans="1:5" x14ac:dyDescent="0.3">
      <c r="A1181" s="21" t="str">
        <f t="shared" si="18"/>
        <v>.</v>
      </c>
      <c r="D1181" s="44"/>
      <c r="E1181" s="22" t="str">
        <f>IF(D1181&lt;&gt;"",IFERROR(INDEX(Produtos!$C$4:$C$4996,MATCH(D1181,Produtos!$B$4:$B$4996,0)),"Produto não encontrado"),"")</f>
        <v/>
      </c>
    </row>
    <row r="1182" spans="1:5" x14ac:dyDescent="0.3">
      <c r="A1182" s="21" t="str">
        <f t="shared" si="18"/>
        <v>.</v>
      </c>
      <c r="D1182" s="44"/>
      <c r="E1182" s="22" t="str">
        <f>IF(D1182&lt;&gt;"",IFERROR(INDEX(Produtos!$C$4:$C$4996,MATCH(D1182,Produtos!$B$4:$B$4996,0)),"Produto não encontrado"),"")</f>
        <v/>
      </c>
    </row>
    <row r="1183" spans="1:5" x14ac:dyDescent="0.3">
      <c r="A1183" s="21" t="str">
        <f t="shared" si="18"/>
        <v>.</v>
      </c>
      <c r="D1183" s="44"/>
      <c r="E1183" s="22" t="str">
        <f>IF(D1183&lt;&gt;"",IFERROR(INDEX(Produtos!$C$4:$C$4996,MATCH(D1183,Produtos!$B$4:$B$4996,0)),"Produto não encontrado"),"")</f>
        <v/>
      </c>
    </row>
    <row r="1184" spans="1:5" x14ac:dyDescent="0.3">
      <c r="A1184" s="21" t="str">
        <f t="shared" si="18"/>
        <v>.</v>
      </c>
      <c r="D1184" s="44"/>
      <c r="E1184" s="22" t="str">
        <f>IF(D1184&lt;&gt;"",IFERROR(INDEX(Produtos!$C$4:$C$4996,MATCH(D1184,Produtos!$B$4:$B$4996,0)),"Produto não encontrado"),"")</f>
        <v/>
      </c>
    </row>
    <row r="1185" spans="1:5" x14ac:dyDescent="0.3">
      <c r="A1185" s="21" t="str">
        <f t="shared" si="18"/>
        <v>.</v>
      </c>
      <c r="D1185" s="44"/>
      <c r="E1185" s="22" t="str">
        <f>IF(D1185&lt;&gt;"",IFERROR(INDEX(Produtos!$C$4:$C$4996,MATCH(D1185,Produtos!$B$4:$B$4996,0)),"Produto não encontrado"),"")</f>
        <v/>
      </c>
    </row>
    <row r="1186" spans="1:5" x14ac:dyDescent="0.3">
      <c r="A1186" s="21" t="str">
        <f t="shared" si="18"/>
        <v>.</v>
      </c>
      <c r="D1186" s="44"/>
      <c r="E1186" s="22" t="str">
        <f>IF(D1186&lt;&gt;"",IFERROR(INDEX(Produtos!$C$4:$C$4996,MATCH(D1186,Produtos!$B$4:$B$4996,0)),"Produto não encontrado"),"")</f>
        <v/>
      </c>
    </row>
    <row r="1187" spans="1:5" x14ac:dyDescent="0.3">
      <c r="A1187" s="21" t="str">
        <f t="shared" si="18"/>
        <v>.</v>
      </c>
      <c r="D1187" s="44"/>
      <c r="E1187" s="22" t="str">
        <f>IF(D1187&lt;&gt;"",IFERROR(INDEX(Produtos!$C$4:$C$4996,MATCH(D1187,Produtos!$B$4:$B$4996,0)),"Produto não encontrado"),"")</f>
        <v/>
      </c>
    </row>
    <row r="1188" spans="1:5" x14ac:dyDescent="0.3">
      <c r="A1188" s="21" t="str">
        <f t="shared" si="18"/>
        <v>.</v>
      </c>
      <c r="D1188" s="44"/>
      <c r="E1188" s="22" t="str">
        <f>IF(D1188&lt;&gt;"",IFERROR(INDEX(Produtos!$C$4:$C$4996,MATCH(D1188,Produtos!$B$4:$B$4996,0)),"Produto não encontrado"),"")</f>
        <v/>
      </c>
    </row>
    <row r="1189" spans="1:5" x14ac:dyDescent="0.3">
      <c r="A1189" s="21" t="str">
        <f t="shared" si="18"/>
        <v>.</v>
      </c>
      <c r="D1189" s="44"/>
      <c r="E1189" s="22" t="str">
        <f>IF(D1189&lt;&gt;"",IFERROR(INDEX(Produtos!$C$4:$C$4996,MATCH(D1189,Produtos!$B$4:$B$4996,0)),"Produto não encontrado"),"")</f>
        <v/>
      </c>
    </row>
    <row r="1190" spans="1:5" x14ac:dyDescent="0.3">
      <c r="A1190" s="21" t="str">
        <f t="shared" si="18"/>
        <v>.</v>
      </c>
      <c r="D1190" s="44"/>
      <c r="E1190" s="22" t="str">
        <f>IF(D1190&lt;&gt;"",IFERROR(INDEX(Produtos!$C$4:$C$4996,MATCH(D1190,Produtos!$B$4:$B$4996,0)),"Produto não encontrado"),"")</f>
        <v/>
      </c>
    </row>
    <row r="1191" spans="1:5" x14ac:dyDescent="0.3">
      <c r="A1191" s="21" t="str">
        <f t="shared" si="18"/>
        <v>.</v>
      </c>
      <c r="D1191" s="44"/>
      <c r="E1191" s="22" t="str">
        <f>IF(D1191&lt;&gt;"",IFERROR(INDEX(Produtos!$C$4:$C$4996,MATCH(D1191,Produtos!$B$4:$B$4996,0)),"Produto não encontrado"),"")</f>
        <v/>
      </c>
    </row>
    <row r="1192" spans="1:5" x14ac:dyDescent="0.3">
      <c r="A1192" s="21" t="str">
        <f t="shared" si="18"/>
        <v>.</v>
      </c>
      <c r="D1192" s="44"/>
      <c r="E1192" s="22" t="str">
        <f>IF(D1192&lt;&gt;"",IFERROR(INDEX(Produtos!$C$4:$C$4996,MATCH(D1192,Produtos!$B$4:$B$4996,0)),"Produto não encontrado"),"")</f>
        <v/>
      </c>
    </row>
    <row r="1193" spans="1:5" x14ac:dyDescent="0.3">
      <c r="A1193" s="21" t="str">
        <f t="shared" si="18"/>
        <v>.</v>
      </c>
      <c r="D1193" s="44"/>
      <c r="E1193" s="22" t="str">
        <f>IF(D1193&lt;&gt;"",IFERROR(INDEX(Produtos!$C$4:$C$4996,MATCH(D1193,Produtos!$B$4:$B$4996,0)),"Produto não encontrado"),"")</f>
        <v/>
      </c>
    </row>
    <row r="1194" spans="1:5" x14ac:dyDescent="0.3">
      <c r="A1194" s="21" t="str">
        <f t="shared" si="18"/>
        <v>.</v>
      </c>
      <c r="D1194" s="44"/>
      <c r="E1194" s="22" t="str">
        <f>IF(D1194&lt;&gt;"",IFERROR(INDEX(Produtos!$C$4:$C$4996,MATCH(D1194,Produtos!$B$4:$B$4996,0)),"Produto não encontrado"),"")</f>
        <v/>
      </c>
    </row>
    <row r="1195" spans="1:5" x14ac:dyDescent="0.3">
      <c r="A1195" s="21" t="str">
        <f t="shared" si="18"/>
        <v>.</v>
      </c>
      <c r="D1195" s="44"/>
      <c r="E1195" s="22" t="str">
        <f>IF(D1195&lt;&gt;"",IFERROR(INDEX(Produtos!$C$4:$C$4996,MATCH(D1195,Produtos!$B$4:$B$4996,0)),"Produto não encontrado"),"")</f>
        <v/>
      </c>
    </row>
    <row r="1196" spans="1:5" x14ac:dyDescent="0.3">
      <c r="A1196" s="21" t="str">
        <f t="shared" si="18"/>
        <v>.</v>
      </c>
      <c r="D1196" s="44"/>
      <c r="E1196" s="22" t="str">
        <f>IF(D1196&lt;&gt;"",IFERROR(INDEX(Produtos!$C$4:$C$4996,MATCH(D1196,Produtos!$B$4:$B$4996,0)),"Produto não encontrado"),"")</f>
        <v/>
      </c>
    </row>
    <row r="1197" spans="1:5" x14ac:dyDescent="0.3">
      <c r="A1197" s="21" t="str">
        <f t="shared" si="18"/>
        <v>.</v>
      </c>
      <c r="D1197" s="44"/>
      <c r="E1197" s="22" t="str">
        <f>IF(D1197&lt;&gt;"",IFERROR(INDEX(Produtos!$C$4:$C$4996,MATCH(D1197,Produtos!$B$4:$B$4996,0)),"Produto não encontrado"),"")</f>
        <v/>
      </c>
    </row>
    <row r="1198" spans="1:5" x14ac:dyDescent="0.3">
      <c r="A1198" s="21" t="str">
        <f t="shared" si="18"/>
        <v>.</v>
      </c>
      <c r="D1198" s="44"/>
      <c r="E1198" s="22" t="str">
        <f>IF(D1198&lt;&gt;"",IFERROR(INDEX(Produtos!$C$4:$C$4996,MATCH(D1198,Produtos!$B$4:$B$4996,0)),"Produto não encontrado"),"")</f>
        <v/>
      </c>
    </row>
    <row r="1199" spans="1:5" x14ac:dyDescent="0.3">
      <c r="A1199" s="21" t="str">
        <f t="shared" si="18"/>
        <v>.</v>
      </c>
      <c r="D1199" s="44"/>
      <c r="E1199" s="22" t="str">
        <f>IF(D1199&lt;&gt;"",IFERROR(INDEX(Produtos!$C$4:$C$4996,MATCH(D1199,Produtos!$B$4:$B$4996,0)),"Produto não encontrado"),"")</f>
        <v/>
      </c>
    </row>
    <row r="1200" spans="1:5" x14ac:dyDescent="0.3">
      <c r="A1200" s="21" t="str">
        <f t="shared" si="18"/>
        <v>.</v>
      </c>
      <c r="D1200" s="44"/>
      <c r="E1200" s="22" t="str">
        <f>IF(D1200&lt;&gt;"",IFERROR(INDEX(Produtos!$C$4:$C$4996,MATCH(D1200,Produtos!$B$4:$B$4996,0)),"Produto não encontrado"),"")</f>
        <v/>
      </c>
    </row>
    <row r="1201" spans="1:5" x14ac:dyDescent="0.3">
      <c r="A1201" s="21" t="str">
        <f t="shared" si="18"/>
        <v>.</v>
      </c>
      <c r="D1201" s="44"/>
      <c r="E1201" s="22" t="str">
        <f>IF(D1201&lt;&gt;"",IFERROR(INDEX(Produtos!$C$4:$C$4996,MATCH(D1201,Produtos!$B$4:$B$4996,0)),"Produto não encontrado"),"")</f>
        <v/>
      </c>
    </row>
    <row r="1202" spans="1:5" x14ac:dyDescent="0.3">
      <c r="A1202" s="21" t="str">
        <f t="shared" si="18"/>
        <v>.</v>
      </c>
      <c r="D1202" s="44"/>
      <c r="E1202" s="22" t="str">
        <f>IF(D1202&lt;&gt;"",IFERROR(INDEX(Produtos!$C$4:$C$4996,MATCH(D1202,Produtos!$B$4:$B$4996,0)),"Produto não encontrado"),"")</f>
        <v/>
      </c>
    </row>
    <row r="1203" spans="1:5" x14ac:dyDescent="0.3">
      <c r="A1203" s="21" t="str">
        <f t="shared" si="18"/>
        <v>.</v>
      </c>
      <c r="D1203" s="44"/>
      <c r="E1203" s="22" t="str">
        <f>IF(D1203&lt;&gt;"",IFERROR(INDEX(Produtos!$C$4:$C$4996,MATCH(D1203,Produtos!$B$4:$B$4996,0)),"Produto não encontrado"),"")</f>
        <v/>
      </c>
    </row>
    <row r="1204" spans="1:5" x14ac:dyDescent="0.3">
      <c r="A1204" s="21" t="str">
        <f t="shared" si="18"/>
        <v>.</v>
      </c>
      <c r="D1204" s="44"/>
      <c r="E1204" s="22" t="str">
        <f>IF(D1204&lt;&gt;"",IFERROR(INDEX(Produtos!$C$4:$C$4996,MATCH(D1204,Produtos!$B$4:$B$4996,0)),"Produto não encontrado"),"")</f>
        <v/>
      </c>
    </row>
    <row r="1205" spans="1:5" x14ac:dyDescent="0.3">
      <c r="A1205" s="21" t="str">
        <f t="shared" si="18"/>
        <v>.</v>
      </c>
      <c r="D1205" s="44"/>
      <c r="E1205" s="22" t="str">
        <f>IF(D1205&lt;&gt;"",IFERROR(INDEX(Produtos!$C$4:$C$4996,MATCH(D1205,Produtos!$B$4:$B$4996,0)),"Produto não encontrado"),"")</f>
        <v/>
      </c>
    </row>
    <row r="1206" spans="1:5" x14ac:dyDescent="0.3">
      <c r="A1206" s="21" t="str">
        <f t="shared" si="18"/>
        <v>.</v>
      </c>
      <c r="D1206" s="44"/>
      <c r="E1206" s="22" t="str">
        <f>IF(D1206&lt;&gt;"",IFERROR(INDEX(Produtos!$C$4:$C$4996,MATCH(D1206,Produtos!$B$4:$B$4996,0)),"Produto não encontrado"),"")</f>
        <v/>
      </c>
    </row>
    <row r="1207" spans="1:5" x14ac:dyDescent="0.3">
      <c r="A1207" s="21" t="str">
        <f t="shared" si="18"/>
        <v>.</v>
      </c>
      <c r="D1207" s="44"/>
      <c r="E1207" s="22" t="str">
        <f>IF(D1207&lt;&gt;"",IFERROR(INDEX(Produtos!$C$4:$C$4996,MATCH(D1207,Produtos!$B$4:$B$4996,0)),"Produto não encontrado"),"")</f>
        <v/>
      </c>
    </row>
    <row r="1208" spans="1:5" x14ac:dyDescent="0.3">
      <c r="A1208" s="21" t="str">
        <f t="shared" si="18"/>
        <v>.</v>
      </c>
      <c r="D1208" s="44"/>
      <c r="E1208" s="22" t="str">
        <f>IF(D1208&lt;&gt;"",IFERROR(INDEX(Produtos!$C$4:$C$4996,MATCH(D1208,Produtos!$B$4:$B$4996,0)),"Produto não encontrado"),"")</f>
        <v/>
      </c>
    </row>
    <row r="1209" spans="1:5" x14ac:dyDescent="0.3">
      <c r="A1209" s="21" t="str">
        <f t="shared" si="18"/>
        <v>.</v>
      </c>
      <c r="D1209" s="44"/>
      <c r="E1209" s="22" t="str">
        <f>IF(D1209&lt;&gt;"",IFERROR(INDEX(Produtos!$C$4:$C$4996,MATCH(D1209,Produtos!$B$4:$B$4996,0)),"Produto não encontrado"),"")</f>
        <v/>
      </c>
    </row>
    <row r="1210" spans="1:5" x14ac:dyDescent="0.3">
      <c r="A1210" s="21" t="str">
        <f t="shared" si="18"/>
        <v>.</v>
      </c>
      <c r="D1210" s="44"/>
      <c r="E1210" s="22" t="str">
        <f>IF(D1210&lt;&gt;"",IFERROR(INDEX(Produtos!$C$4:$C$4996,MATCH(D1210,Produtos!$B$4:$B$4996,0)),"Produto não encontrado"),"")</f>
        <v/>
      </c>
    </row>
    <row r="1211" spans="1:5" x14ac:dyDescent="0.3">
      <c r="A1211" s="21" t="str">
        <f t="shared" si="18"/>
        <v>.</v>
      </c>
      <c r="D1211" s="44"/>
      <c r="E1211" s="22" t="str">
        <f>IF(D1211&lt;&gt;"",IFERROR(INDEX(Produtos!$C$4:$C$4996,MATCH(D1211,Produtos!$B$4:$B$4996,0)),"Produto não encontrado"),"")</f>
        <v/>
      </c>
    </row>
    <row r="1212" spans="1:5" x14ac:dyDescent="0.3">
      <c r="A1212" s="21" t="str">
        <f t="shared" si="18"/>
        <v>.</v>
      </c>
      <c r="D1212" s="44"/>
      <c r="E1212" s="22" t="str">
        <f>IF(D1212&lt;&gt;"",IFERROR(INDEX(Produtos!$C$4:$C$4996,MATCH(D1212,Produtos!$B$4:$B$4996,0)),"Produto não encontrado"),"")</f>
        <v/>
      </c>
    </row>
    <row r="1213" spans="1:5" x14ac:dyDescent="0.3">
      <c r="A1213" s="21" t="str">
        <f t="shared" si="18"/>
        <v>.</v>
      </c>
      <c r="D1213" s="44"/>
      <c r="E1213" s="22" t="str">
        <f>IF(D1213&lt;&gt;"",IFERROR(INDEX(Produtos!$C$4:$C$4996,MATCH(D1213,Produtos!$B$4:$B$4996,0)),"Produto não encontrado"),"")</f>
        <v/>
      </c>
    </row>
    <row r="1214" spans="1:5" x14ac:dyDescent="0.3">
      <c r="A1214" s="21" t="str">
        <f t="shared" si="18"/>
        <v>.</v>
      </c>
      <c r="D1214" s="44"/>
      <c r="E1214" s="22" t="str">
        <f>IF(D1214&lt;&gt;"",IFERROR(INDEX(Produtos!$C$4:$C$4996,MATCH(D1214,Produtos!$B$4:$B$4996,0)),"Produto não encontrado"),"")</f>
        <v/>
      </c>
    </row>
    <row r="1215" spans="1:5" x14ac:dyDescent="0.3">
      <c r="A1215" s="21" t="str">
        <f t="shared" si="18"/>
        <v>.</v>
      </c>
      <c r="D1215" s="44"/>
      <c r="E1215" s="22" t="str">
        <f>IF(D1215&lt;&gt;"",IFERROR(INDEX(Produtos!$C$4:$C$4996,MATCH(D1215,Produtos!$B$4:$B$4996,0)),"Produto não encontrado"),"")</f>
        <v/>
      </c>
    </row>
    <row r="1216" spans="1:5" x14ac:dyDescent="0.3">
      <c r="A1216" s="21" t="str">
        <f t="shared" ref="A1216:A1279" si="19">IF(C1216="Entrada",2,IF(C1216="Saída",1,"."))</f>
        <v>.</v>
      </c>
      <c r="D1216" s="44"/>
      <c r="E1216" s="22" t="str">
        <f>IF(D1216&lt;&gt;"",IFERROR(INDEX(Produtos!$C$4:$C$4996,MATCH(D1216,Produtos!$B$4:$B$4996,0)),"Produto não encontrado"),"")</f>
        <v/>
      </c>
    </row>
    <row r="1217" spans="1:5" x14ac:dyDescent="0.3">
      <c r="A1217" s="21" t="str">
        <f t="shared" si="19"/>
        <v>.</v>
      </c>
      <c r="D1217" s="44"/>
      <c r="E1217" s="22" t="str">
        <f>IF(D1217&lt;&gt;"",IFERROR(INDEX(Produtos!$C$4:$C$4996,MATCH(D1217,Produtos!$B$4:$B$4996,0)),"Produto não encontrado"),"")</f>
        <v/>
      </c>
    </row>
    <row r="1218" spans="1:5" x14ac:dyDescent="0.3">
      <c r="A1218" s="21" t="str">
        <f t="shared" si="19"/>
        <v>.</v>
      </c>
      <c r="D1218" s="44"/>
      <c r="E1218" s="22" t="str">
        <f>IF(D1218&lt;&gt;"",IFERROR(INDEX(Produtos!$C$4:$C$4996,MATCH(D1218,Produtos!$B$4:$B$4996,0)),"Produto não encontrado"),"")</f>
        <v/>
      </c>
    </row>
    <row r="1219" spans="1:5" x14ac:dyDescent="0.3">
      <c r="A1219" s="21" t="str">
        <f t="shared" si="19"/>
        <v>.</v>
      </c>
      <c r="D1219" s="44"/>
      <c r="E1219" s="22" t="str">
        <f>IF(D1219&lt;&gt;"",IFERROR(INDEX(Produtos!$C$4:$C$4996,MATCH(D1219,Produtos!$B$4:$B$4996,0)),"Produto não encontrado"),"")</f>
        <v/>
      </c>
    </row>
    <row r="1220" spans="1:5" x14ac:dyDescent="0.3">
      <c r="A1220" s="21" t="str">
        <f t="shared" si="19"/>
        <v>.</v>
      </c>
      <c r="D1220" s="44"/>
      <c r="E1220" s="22" t="str">
        <f>IF(D1220&lt;&gt;"",IFERROR(INDEX(Produtos!$C$4:$C$4996,MATCH(D1220,Produtos!$B$4:$B$4996,0)),"Produto não encontrado"),"")</f>
        <v/>
      </c>
    </row>
    <row r="1221" spans="1:5" x14ac:dyDescent="0.3">
      <c r="A1221" s="21" t="str">
        <f t="shared" si="19"/>
        <v>.</v>
      </c>
      <c r="D1221" s="44"/>
      <c r="E1221" s="22" t="str">
        <f>IF(D1221&lt;&gt;"",IFERROR(INDEX(Produtos!$C$4:$C$4996,MATCH(D1221,Produtos!$B$4:$B$4996,0)),"Produto não encontrado"),"")</f>
        <v/>
      </c>
    </row>
    <row r="1222" spans="1:5" x14ac:dyDescent="0.3">
      <c r="A1222" s="21" t="str">
        <f t="shared" si="19"/>
        <v>.</v>
      </c>
      <c r="D1222" s="44"/>
      <c r="E1222" s="22" t="str">
        <f>IF(D1222&lt;&gt;"",IFERROR(INDEX(Produtos!$C$4:$C$4996,MATCH(D1222,Produtos!$B$4:$B$4996,0)),"Produto não encontrado"),"")</f>
        <v/>
      </c>
    </row>
    <row r="1223" spans="1:5" x14ac:dyDescent="0.3">
      <c r="A1223" s="21" t="str">
        <f t="shared" si="19"/>
        <v>.</v>
      </c>
      <c r="D1223" s="44"/>
      <c r="E1223" s="22" t="str">
        <f>IF(D1223&lt;&gt;"",IFERROR(INDEX(Produtos!$C$4:$C$4996,MATCH(D1223,Produtos!$B$4:$B$4996,0)),"Produto não encontrado"),"")</f>
        <v/>
      </c>
    </row>
    <row r="1224" spans="1:5" x14ac:dyDescent="0.3">
      <c r="A1224" s="21" t="str">
        <f t="shared" si="19"/>
        <v>.</v>
      </c>
      <c r="D1224" s="44"/>
      <c r="E1224" s="22" t="str">
        <f>IF(D1224&lt;&gt;"",IFERROR(INDEX(Produtos!$C$4:$C$4996,MATCH(D1224,Produtos!$B$4:$B$4996,0)),"Produto não encontrado"),"")</f>
        <v/>
      </c>
    </row>
    <row r="1225" spans="1:5" x14ac:dyDescent="0.3">
      <c r="A1225" s="21" t="str">
        <f t="shared" si="19"/>
        <v>.</v>
      </c>
      <c r="D1225" s="44"/>
      <c r="E1225" s="22" t="str">
        <f>IF(D1225&lt;&gt;"",IFERROR(INDEX(Produtos!$C$4:$C$4996,MATCH(D1225,Produtos!$B$4:$B$4996,0)),"Produto não encontrado"),"")</f>
        <v/>
      </c>
    </row>
    <row r="1226" spans="1:5" x14ac:dyDescent="0.3">
      <c r="A1226" s="21" t="str">
        <f t="shared" si="19"/>
        <v>.</v>
      </c>
      <c r="D1226" s="44"/>
      <c r="E1226" s="22" t="str">
        <f>IF(D1226&lt;&gt;"",IFERROR(INDEX(Produtos!$C$4:$C$4996,MATCH(D1226,Produtos!$B$4:$B$4996,0)),"Produto não encontrado"),"")</f>
        <v/>
      </c>
    </row>
    <row r="1227" spans="1:5" x14ac:dyDescent="0.3">
      <c r="A1227" s="21" t="str">
        <f t="shared" si="19"/>
        <v>.</v>
      </c>
      <c r="D1227" s="44"/>
      <c r="E1227" s="22" t="str">
        <f>IF(D1227&lt;&gt;"",IFERROR(INDEX(Produtos!$C$4:$C$4996,MATCH(D1227,Produtos!$B$4:$B$4996,0)),"Produto não encontrado"),"")</f>
        <v/>
      </c>
    </row>
    <row r="1228" spans="1:5" x14ac:dyDescent="0.3">
      <c r="A1228" s="21" t="str">
        <f t="shared" si="19"/>
        <v>.</v>
      </c>
      <c r="D1228" s="44"/>
      <c r="E1228" s="22" t="str">
        <f>IF(D1228&lt;&gt;"",IFERROR(INDEX(Produtos!$C$4:$C$4996,MATCH(D1228,Produtos!$B$4:$B$4996,0)),"Produto não encontrado"),"")</f>
        <v/>
      </c>
    </row>
    <row r="1229" spans="1:5" x14ac:dyDescent="0.3">
      <c r="A1229" s="21" t="str">
        <f t="shared" si="19"/>
        <v>.</v>
      </c>
      <c r="D1229" s="44"/>
      <c r="E1229" s="22" t="str">
        <f>IF(D1229&lt;&gt;"",IFERROR(INDEX(Produtos!$C$4:$C$4996,MATCH(D1229,Produtos!$B$4:$B$4996,0)),"Produto não encontrado"),"")</f>
        <v/>
      </c>
    </row>
    <row r="1230" spans="1:5" x14ac:dyDescent="0.3">
      <c r="A1230" s="21" t="str">
        <f t="shared" si="19"/>
        <v>.</v>
      </c>
      <c r="D1230" s="44"/>
      <c r="E1230" s="22" t="str">
        <f>IF(D1230&lt;&gt;"",IFERROR(INDEX(Produtos!$C$4:$C$4996,MATCH(D1230,Produtos!$B$4:$B$4996,0)),"Produto não encontrado"),"")</f>
        <v/>
      </c>
    </row>
    <row r="1231" spans="1:5" x14ac:dyDescent="0.3">
      <c r="A1231" s="21" t="str">
        <f t="shared" si="19"/>
        <v>.</v>
      </c>
      <c r="D1231" s="44"/>
      <c r="E1231" s="22" t="str">
        <f>IF(D1231&lt;&gt;"",IFERROR(INDEX(Produtos!$C$4:$C$4996,MATCH(D1231,Produtos!$B$4:$B$4996,0)),"Produto não encontrado"),"")</f>
        <v/>
      </c>
    </row>
    <row r="1232" spans="1:5" x14ac:dyDescent="0.3">
      <c r="A1232" s="21" t="str">
        <f t="shared" si="19"/>
        <v>.</v>
      </c>
      <c r="D1232" s="44"/>
      <c r="E1232" s="22" t="str">
        <f>IF(D1232&lt;&gt;"",IFERROR(INDEX(Produtos!$C$4:$C$4996,MATCH(D1232,Produtos!$B$4:$B$4996,0)),"Produto não encontrado"),"")</f>
        <v/>
      </c>
    </row>
    <row r="1233" spans="1:5" x14ac:dyDescent="0.3">
      <c r="A1233" s="21" t="str">
        <f t="shared" si="19"/>
        <v>.</v>
      </c>
      <c r="D1233" s="44"/>
      <c r="E1233" s="22" t="str">
        <f>IF(D1233&lt;&gt;"",IFERROR(INDEX(Produtos!$C$4:$C$4996,MATCH(D1233,Produtos!$B$4:$B$4996,0)),"Produto não encontrado"),"")</f>
        <v/>
      </c>
    </row>
    <row r="1234" spans="1:5" x14ac:dyDescent="0.3">
      <c r="A1234" s="21" t="str">
        <f t="shared" si="19"/>
        <v>.</v>
      </c>
      <c r="D1234" s="44"/>
      <c r="E1234" s="22" t="str">
        <f>IF(D1234&lt;&gt;"",IFERROR(INDEX(Produtos!$C$4:$C$4996,MATCH(D1234,Produtos!$B$4:$B$4996,0)),"Produto não encontrado"),"")</f>
        <v/>
      </c>
    </row>
    <row r="1235" spans="1:5" x14ac:dyDescent="0.3">
      <c r="A1235" s="21" t="str">
        <f t="shared" si="19"/>
        <v>.</v>
      </c>
      <c r="D1235" s="44"/>
      <c r="E1235" s="22" t="str">
        <f>IF(D1235&lt;&gt;"",IFERROR(INDEX(Produtos!$C$4:$C$4996,MATCH(D1235,Produtos!$B$4:$B$4996,0)),"Produto não encontrado"),"")</f>
        <v/>
      </c>
    </row>
    <row r="1236" spans="1:5" x14ac:dyDescent="0.3">
      <c r="A1236" s="21" t="str">
        <f t="shared" si="19"/>
        <v>.</v>
      </c>
      <c r="D1236" s="44"/>
      <c r="E1236" s="22" t="str">
        <f>IF(D1236&lt;&gt;"",IFERROR(INDEX(Produtos!$C$4:$C$4996,MATCH(D1236,Produtos!$B$4:$B$4996,0)),"Produto não encontrado"),"")</f>
        <v/>
      </c>
    </row>
    <row r="1237" spans="1:5" x14ac:dyDescent="0.3">
      <c r="A1237" s="21" t="str">
        <f t="shared" si="19"/>
        <v>.</v>
      </c>
      <c r="D1237" s="44"/>
      <c r="E1237" s="22" t="str">
        <f>IF(D1237&lt;&gt;"",IFERROR(INDEX(Produtos!$C$4:$C$4996,MATCH(D1237,Produtos!$B$4:$B$4996,0)),"Produto não encontrado"),"")</f>
        <v/>
      </c>
    </row>
    <row r="1238" spans="1:5" x14ac:dyDescent="0.3">
      <c r="A1238" s="21" t="str">
        <f t="shared" si="19"/>
        <v>.</v>
      </c>
      <c r="D1238" s="44"/>
      <c r="E1238" s="22" t="str">
        <f>IF(D1238&lt;&gt;"",IFERROR(INDEX(Produtos!$C$4:$C$4996,MATCH(D1238,Produtos!$B$4:$B$4996,0)),"Produto não encontrado"),"")</f>
        <v/>
      </c>
    </row>
    <row r="1239" spans="1:5" x14ac:dyDescent="0.3">
      <c r="A1239" s="21" t="str">
        <f t="shared" si="19"/>
        <v>.</v>
      </c>
      <c r="D1239" s="44"/>
      <c r="E1239" s="22" t="str">
        <f>IF(D1239&lt;&gt;"",IFERROR(INDEX(Produtos!$C$4:$C$4996,MATCH(D1239,Produtos!$B$4:$B$4996,0)),"Produto não encontrado"),"")</f>
        <v/>
      </c>
    </row>
    <row r="1240" spans="1:5" x14ac:dyDescent="0.3">
      <c r="A1240" s="21" t="str">
        <f t="shared" si="19"/>
        <v>.</v>
      </c>
      <c r="D1240" s="44"/>
      <c r="E1240" s="22" t="str">
        <f>IF(D1240&lt;&gt;"",IFERROR(INDEX(Produtos!$C$4:$C$4996,MATCH(D1240,Produtos!$B$4:$B$4996,0)),"Produto não encontrado"),"")</f>
        <v/>
      </c>
    </row>
    <row r="1241" spans="1:5" x14ac:dyDescent="0.3">
      <c r="A1241" s="21" t="str">
        <f t="shared" si="19"/>
        <v>.</v>
      </c>
      <c r="D1241" s="44"/>
      <c r="E1241" s="22" t="str">
        <f>IF(D1241&lt;&gt;"",IFERROR(INDEX(Produtos!$C$4:$C$4996,MATCH(D1241,Produtos!$B$4:$B$4996,0)),"Produto não encontrado"),"")</f>
        <v/>
      </c>
    </row>
    <row r="1242" spans="1:5" x14ac:dyDescent="0.3">
      <c r="A1242" s="21" t="str">
        <f t="shared" si="19"/>
        <v>.</v>
      </c>
      <c r="D1242" s="44"/>
      <c r="E1242" s="22" t="str">
        <f>IF(D1242&lt;&gt;"",IFERROR(INDEX(Produtos!$C$4:$C$4996,MATCH(D1242,Produtos!$B$4:$B$4996,0)),"Produto não encontrado"),"")</f>
        <v/>
      </c>
    </row>
    <row r="1243" spans="1:5" x14ac:dyDescent="0.3">
      <c r="A1243" s="21" t="str">
        <f t="shared" si="19"/>
        <v>.</v>
      </c>
      <c r="D1243" s="44"/>
      <c r="E1243" s="22" t="str">
        <f>IF(D1243&lt;&gt;"",IFERROR(INDEX(Produtos!$C$4:$C$4996,MATCH(D1243,Produtos!$B$4:$B$4996,0)),"Produto não encontrado"),"")</f>
        <v/>
      </c>
    </row>
    <row r="1244" spans="1:5" x14ac:dyDescent="0.3">
      <c r="A1244" s="21" t="str">
        <f t="shared" si="19"/>
        <v>.</v>
      </c>
      <c r="D1244" s="44"/>
      <c r="E1244" s="22" t="str">
        <f>IF(D1244&lt;&gt;"",IFERROR(INDEX(Produtos!$C$4:$C$4996,MATCH(D1244,Produtos!$B$4:$B$4996,0)),"Produto não encontrado"),"")</f>
        <v/>
      </c>
    </row>
    <row r="1245" spans="1:5" x14ac:dyDescent="0.3">
      <c r="A1245" s="21" t="str">
        <f t="shared" si="19"/>
        <v>.</v>
      </c>
      <c r="D1245" s="44"/>
      <c r="E1245" s="22" t="str">
        <f>IF(D1245&lt;&gt;"",IFERROR(INDEX(Produtos!$C$4:$C$4996,MATCH(D1245,Produtos!$B$4:$B$4996,0)),"Produto não encontrado"),"")</f>
        <v/>
      </c>
    </row>
    <row r="1246" spans="1:5" x14ac:dyDescent="0.3">
      <c r="A1246" s="21" t="str">
        <f t="shared" si="19"/>
        <v>.</v>
      </c>
      <c r="D1246" s="44"/>
      <c r="E1246" s="22" t="str">
        <f>IF(D1246&lt;&gt;"",IFERROR(INDEX(Produtos!$C$4:$C$4996,MATCH(D1246,Produtos!$B$4:$B$4996,0)),"Produto não encontrado"),"")</f>
        <v/>
      </c>
    </row>
    <row r="1247" spans="1:5" x14ac:dyDescent="0.3">
      <c r="A1247" s="21" t="str">
        <f t="shared" si="19"/>
        <v>.</v>
      </c>
      <c r="D1247" s="44"/>
      <c r="E1247" s="22" t="str">
        <f>IF(D1247&lt;&gt;"",IFERROR(INDEX(Produtos!$C$4:$C$4996,MATCH(D1247,Produtos!$B$4:$B$4996,0)),"Produto não encontrado"),"")</f>
        <v/>
      </c>
    </row>
    <row r="1248" spans="1:5" x14ac:dyDescent="0.3">
      <c r="A1248" s="21" t="str">
        <f t="shared" si="19"/>
        <v>.</v>
      </c>
      <c r="D1248" s="44"/>
      <c r="E1248" s="22" t="str">
        <f>IF(D1248&lt;&gt;"",IFERROR(INDEX(Produtos!$C$4:$C$4996,MATCH(D1248,Produtos!$B$4:$B$4996,0)),"Produto não encontrado"),"")</f>
        <v/>
      </c>
    </row>
    <row r="1249" spans="1:5" x14ac:dyDescent="0.3">
      <c r="A1249" s="21" t="str">
        <f t="shared" si="19"/>
        <v>.</v>
      </c>
      <c r="D1249" s="44"/>
      <c r="E1249" s="22" t="str">
        <f>IF(D1249&lt;&gt;"",IFERROR(INDEX(Produtos!$C$4:$C$4996,MATCH(D1249,Produtos!$B$4:$B$4996,0)),"Produto não encontrado"),"")</f>
        <v/>
      </c>
    </row>
    <row r="1250" spans="1:5" x14ac:dyDescent="0.3">
      <c r="A1250" s="21" t="str">
        <f t="shared" si="19"/>
        <v>.</v>
      </c>
      <c r="D1250" s="44"/>
      <c r="E1250" s="22" t="str">
        <f>IF(D1250&lt;&gt;"",IFERROR(INDEX(Produtos!$C$4:$C$4996,MATCH(D1250,Produtos!$B$4:$B$4996,0)),"Produto não encontrado"),"")</f>
        <v/>
      </c>
    </row>
    <row r="1251" spans="1:5" x14ac:dyDescent="0.3">
      <c r="A1251" s="21" t="str">
        <f t="shared" si="19"/>
        <v>.</v>
      </c>
      <c r="D1251" s="44"/>
      <c r="E1251" s="22" t="str">
        <f>IF(D1251&lt;&gt;"",IFERROR(INDEX(Produtos!$C$4:$C$4996,MATCH(D1251,Produtos!$B$4:$B$4996,0)),"Produto não encontrado"),"")</f>
        <v/>
      </c>
    </row>
    <row r="1252" spans="1:5" x14ac:dyDescent="0.3">
      <c r="A1252" s="21" t="str">
        <f t="shared" si="19"/>
        <v>.</v>
      </c>
      <c r="D1252" s="44"/>
      <c r="E1252" s="22" t="str">
        <f>IF(D1252&lt;&gt;"",IFERROR(INDEX(Produtos!$C$4:$C$4996,MATCH(D1252,Produtos!$B$4:$B$4996,0)),"Produto não encontrado"),"")</f>
        <v/>
      </c>
    </row>
    <row r="1253" spans="1:5" x14ac:dyDescent="0.3">
      <c r="A1253" s="21" t="str">
        <f t="shared" si="19"/>
        <v>.</v>
      </c>
      <c r="D1253" s="44"/>
      <c r="E1253" s="22" t="str">
        <f>IF(D1253&lt;&gt;"",IFERROR(INDEX(Produtos!$C$4:$C$4996,MATCH(D1253,Produtos!$B$4:$B$4996,0)),"Produto não encontrado"),"")</f>
        <v/>
      </c>
    </row>
    <row r="1254" spans="1:5" x14ac:dyDescent="0.3">
      <c r="A1254" s="21" t="str">
        <f t="shared" si="19"/>
        <v>.</v>
      </c>
      <c r="D1254" s="44"/>
      <c r="E1254" s="22" t="str">
        <f>IF(D1254&lt;&gt;"",IFERROR(INDEX(Produtos!$C$4:$C$4996,MATCH(D1254,Produtos!$B$4:$B$4996,0)),"Produto não encontrado"),"")</f>
        <v/>
      </c>
    </row>
    <row r="1255" spans="1:5" x14ac:dyDescent="0.3">
      <c r="A1255" s="21" t="str">
        <f t="shared" si="19"/>
        <v>.</v>
      </c>
      <c r="D1255" s="44"/>
      <c r="E1255" s="22" t="str">
        <f>IF(D1255&lt;&gt;"",IFERROR(INDEX(Produtos!$C$4:$C$4996,MATCH(D1255,Produtos!$B$4:$B$4996,0)),"Produto não encontrado"),"")</f>
        <v/>
      </c>
    </row>
    <row r="1256" spans="1:5" x14ac:dyDescent="0.3">
      <c r="A1256" s="21" t="str">
        <f t="shared" si="19"/>
        <v>.</v>
      </c>
      <c r="D1256" s="44"/>
      <c r="E1256" s="22" t="str">
        <f>IF(D1256&lt;&gt;"",IFERROR(INDEX(Produtos!$C$4:$C$4996,MATCH(D1256,Produtos!$B$4:$B$4996,0)),"Produto não encontrado"),"")</f>
        <v/>
      </c>
    </row>
    <row r="1257" spans="1:5" x14ac:dyDescent="0.3">
      <c r="A1257" s="21" t="str">
        <f t="shared" si="19"/>
        <v>.</v>
      </c>
      <c r="D1257" s="44"/>
      <c r="E1257" s="22" t="str">
        <f>IF(D1257&lt;&gt;"",IFERROR(INDEX(Produtos!$C$4:$C$4996,MATCH(D1257,Produtos!$B$4:$B$4996,0)),"Produto não encontrado"),"")</f>
        <v/>
      </c>
    </row>
    <row r="1258" spans="1:5" x14ac:dyDescent="0.3">
      <c r="A1258" s="21" t="str">
        <f t="shared" si="19"/>
        <v>.</v>
      </c>
      <c r="D1258" s="44"/>
      <c r="E1258" s="22" t="str">
        <f>IF(D1258&lt;&gt;"",IFERROR(INDEX(Produtos!$C$4:$C$4996,MATCH(D1258,Produtos!$B$4:$B$4996,0)),"Produto não encontrado"),"")</f>
        <v/>
      </c>
    </row>
    <row r="1259" spans="1:5" x14ac:dyDescent="0.3">
      <c r="A1259" s="21" t="str">
        <f t="shared" si="19"/>
        <v>.</v>
      </c>
      <c r="D1259" s="44"/>
      <c r="E1259" s="22" t="str">
        <f>IF(D1259&lt;&gt;"",IFERROR(INDEX(Produtos!$C$4:$C$4996,MATCH(D1259,Produtos!$B$4:$B$4996,0)),"Produto não encontrado"),"")</f>
        <v/>
      </c>
    </row>
    <row r="1260" spans="1:5" x14ac:dyDescent="0.3">
      <c r="A1260" s="21" t="str">
        <f t="shared" si="19"/>
        <v>.</v>
      </c>
      <c r="D1260" s="44"/>
      <c r="E1260" s="22" t="str">
        <f>IF(D1260&lt;&gt;"",IFERROR(INDEX(Produtos!$C$4:$C$4996,MATCH(D1260,Produtos!$B$4:$B$4996,0)),"Produto não encontrado"),"")</f>
        <v/>
      </c>
    </row>
    <row r="1261" spans="1:5" x14ac:dyDescent="0.3">
      <c r="A1261" s="21" t="str">
        <f t="shared" si="19"/>
        <v>.</v>
      </c>
      <c r="D1261" s="44"/>
      <c r="E1261" s="22" t="str">
        <f>IF(D1261&lt;&gt;"",IFERROR(INDEX(Produtos!$C$4:$C$4996,MATCH(D1261,Produtos!$B$4:$B$4996,0)),"Produto não encontrado"),"")</f>
        <v/>
      </c>
    </row>
    <row r="1262" spans="1:5" x14ac:dyDescent="0.3">
      <c r="A1262" s="21" t="str">
        <f t="shared" si="19"/>
        <v>.</v>
      </c>
      <c r="D1262" s="44"/>
      <c r="E1262" s="22" t="str">
        <f>IF(D1262&lt;&gt;"",IFERROR(INDEX(Produtos!$C$4:$C$4996,MATCH(D1262,Produtos!$B$4:$B$4996,0)),"Produto não encontrado"),"")</f>
        <v/>
      </c>
    </row>
    <row r="1263" spans="1:5" x14ac:dyDescent="0.3">
      <c r="A1263" s="21" t="str">
        <f t="shared" si="19"/>
        <v>.</v>
      </c>
      <c r="D1263" s="44"/>
      <c r="E1263" s="22" t="str">
        <f>IF(D1263&lt;&gt;"",IFERROR(INDEX(Produtos!$C$4:$C$4996,MATCH(D1263,Produtos!$B$4:$B$4996,0)),"Produto não encontrado"),"")</f>
        <v/>
      </c>
    </row>
    <row r="1264" spans="1:5" x14ac:dyDescent="0.3">
      <c r="A1264" s="21" t="str">
        <f t="shared" si="19"/>
        <v>.</v>
      </c>
      <c r="D1264" s="44"/>
      <c r="E1264" s="22" t="str">
        <f>IF(D1264&lt;&gt;"",IFERROR(INDEX(Produtos!$C$4:$C$4996,MATCH(D1264,Produtos!$B$4:$B$4996,0)),"Produto não encontrado"),"")</f>
        <v/>
      </c>
    </row>
    <row r="1265" spans="1:5" x14ac:dyDescent="0.3">
      <c r="A1265" s="21" t="str">
        <f t="shared" si="19"/>
        <v>.</v>
      </c>
      <c r="D1265" s="44"/>
      <c r="E1265" s="22" t="str">
        <f>IF(D1265&lt;&gt;"",IFERROR(INDEX(Produtos!$C$4:$C$4996,MATCH(D1265,Produtos!$B$4:$B$4996,0)),"Produto não encontrado"),"")</f>
        <v/>
      </c>
    </row>
    <row r="1266" spans="1:5" x14ac:dyDescent="0.3">
      <c r="A1266" s="21" t="str">
        <f t="shared" si="19"/>
        <v>.</v>
      </c>
      <c r="D1266" s="44"/>
      <c r="E1266" s="22" t="str">
        <f>IF(D1266&lt;&gt;"",IFERROR(INDEX(Produtos!$C$4:$C$4996,MATCH(D1266,Produtos!$B$4:$B$4996,0)),"Produto não encontrado"),"")</f>
        <v/>
      </c>
    </row>
    <row r="1267" spans="1:5" x14ac:dyDescent="0.3">
      <c r="A1267" s="21" t="str">
        <f t="shared" si="19"/>
        <v>.</v>
      </c>
      <c r="D1267" s="44"/>
      <c r="E1267" s="22" t="str">
        <f>IF(D1267&lt;&gt;"",IFERROR(INDEX(Produtos!$C$4:$C$4996,MATCH(D1267,Produtos!$B$4:$B$4996,0)),"Produto não encontrado"),"")</f>
        <v/>
      </c>
    </row>
    <row r="1268" spans="1:5" x14ac:dyDescent="0.3">
      <c r="A1268" s="21" t="str">
        <f t="shared" si="19"/>
        <v>.</v>
      </c>
      <c r="D1268" s="44"/>
      <c r="E1268" s="22" t="str">
        <f>IF(D1268&lt;&gt;"",IFERROR(INDEX(Produtos!$C$4:$C$4996,MATCH(D1268,Produtos!$B$4:$B$4996,0)),"Produto não encontrado"),"")</f>
        <v/>
      </c>
    </row>
    <row r="1269" spans="1:5" x14ac:dyDescent="0.3">
      <c r="A1269" s="21" t="str">
        <f t="shared" si="19"/>
        <v>.</v>
      </c>
      <c r="D1269" s="44"/>
      <c r="E1269" s="22" t="str">
        <f>IF(D1269&lt;&gt;"",IFERROR(INDEX(Produtos!$C$4:$C$4996,MATCH(D1269,Produtos!$B$4:$B$4996,0)),"Produto não encontrado"),"")</f>
        <v/>
      </c>
    </row>
    <row r="1270" spans="1:5" x14ac:dyDescent="0.3">
      <c r="A1270" s="21" t="str">
        <f t="shared" si="19"/>
        <v>.</v>
      </c>
      <c r="D1270" s="44"/>
      <c r="E1270" s="22" t="str">
        <f>IF(D1270&lt;&gt;"",IFERROR(INDEX(Produtos!$C$4:$C$4996,MATCH(D1270,Produtos!$B$4:$B$4996,0)),"Produto não encontrado"),"")</f>
        <v/>
      </c>
    </row>
    <row r="1271" spans="1:5" x14ac:dyDescent="0.3">
      <c r="A1271" s="21" t="str">
        <f t="shared" si="19"/>
        <v>.</v>
      </c>
      <c r="D1271" s="44"/>
      <c r="E1271" s="22" t="str">
        <f>IF(D1271&lt;&gt;"",IFERROR(INDEX(Produtos!$C$4:$C$4996,MATCH(D1271,Produtos!$B$4:$B$4996,0)),"Produto não encontrado"),"")</f>
        <v/>
      </c>
    </row>
    <row r="1272" spans="1:5" x14ac:dyDescent="0.3">
      <c r="A1272" s="21" t="str">
        <f t="shared" si="19"/>
        <v>.</v>
      </c>
      <c r="D1272" s="44"/>
      <c r="E1272" s="22" t="str">
        <f>IF(D1272&lt;&gt;"",IFERROR(INDEX(Produtos!$C$4:$C$4996,MATCH(D1272,Produtos!$B$4:$B$4996,0)),"Produto não encontrado"),"")</f>
        <v/>
      </c>
    </row>
    <row r="1273" spans="1:5" x14ac:dyDescent="0.3">
      <c r="A1273" s="21" t="str">
        <f t="shared" si="19"/>
        <v>.</v>
      </c>
      <c r="D1273" s="44"/>
      <c r="E1273" s="22" t="str">
        <f>IF(D1273&lt;&gt;"",IFERROR(INDEX(Produtos!$C$4:$C$4996,MATCH(D1273,Produtos!$B$4:$B$4996,0)),"Produto não encontrado"),"")</f>
        <v/>
      </c>
    </row>
    <row r="1274" spans="1:5" x14ac:dyDescent="0.3">
      <c r="A1274" s="21" t="str">
        <f t="shared" si="19"/>
        <v>.</v>
      </c>
      <c r="D1274" s="44"/>
      <c r="E1274" s="22" t="str">
        <f>IF(D1274&lt;&gt;"",IFERROR(INDEX(Produtos!$C$4:$C$4996,MATCH(D1274,Produtos!$B$4:$B$4996,0)),"Produto não encontrado"),"")</f>
        <v/>
      </c>
    </row>
    <row r="1275" spans="1:5" x14ac:dyDescent="0.3">
      <c r="A1275" s="21" t="str">
        <f t="shared" si="19"/>
        <v>.</v>
      </c>
      <c r="D1275" s="44"/>
      <c r="E1275" s="22" t="str">
        <f>IF(D1275&lt;&gt;"",IFERROR(INDEX(Produtos!$C$4:$C$4996,MATCH(D1275,Produtos!$B$4:$B$4996,0)),"Produto não encontrado"),"")</f>
        <v/>
      </c>
    </row>
    <row r="1276" spans="1:5" x14ac:dyDescent="0.3">
      <c r="A1276" s="21" t="str">
        <f t="shared" si="19"/>
        <v>.</v>
      </c>
      <c r="D1276" s="44"/>
      <c r="E1276" s="22" t="str">
        <f>IF(D1276&lt;&gt;"",IFERROR(INDEX(Produtos!$C$4:$C$4996,MATCH(D1276,Produtos!$B$4:$B$4996,0)),"Produto não encontrado"),"")</f>
        <v/>
      </c>
    </row>
    <row r="1277" spans="1:5" x14ac:dyDescent="0.3">
      <c r="A1277" s="21" t="str">
        <f t="shared" si="19"/>
        <v>.</v>
      </c>
      <c r="D1277" s="44"/>
      <c r="E1277" s="22" t="str">
        <f>IF(D1277&lt;&gt;"",IFERROR(INDEX(Produtos!$C$4:$C$4996,MATCH(D1277,Produtos!$B$4:$B$4996,0)),"Produto não encontrado"),"")</f>
        <v/>
      </c>
    </row>
    <row r="1278" spans="1:5" x14ac:dyDescent="0.3">
      <c r="A1278" s="21" t="str">
        <f t="shared" si="19"/>
        <v>.</v>
      </c>
      <c r="D1278" s="44"/>
      <c r="E1278" s="22" t="str">
        <f>IF(D1278&lt;&gt;"",IFERROR(INDEX(Produtos!$C$4:$C$4996,MATCH(D1278,Produtos!$B$4:$B$4996,0)),"Produto não encontrado"),"")</f>
        <v/>
      </c>
    </row>
    <row r="1279" spans="1:5" x14ac:dyDescent="0.3">
      <c r="A1279" s="21" t="str">
        <f t="shared" si="19"/>
        <v>.</v>
      </c>
      <c r="D1279" s="44"/>
      <c r="E1279" s="22" t="str">
        <f>IF(D1279&lt;&gt;"",IFERROR(INDEX(Produtos!$C$4:$C$4996,MATCH(D1279,Produtos!$B$4:$B$4996,0)),"Produto não encontrado"),"")</f>
        <v/>
      </c>
    </row>
    <row r="1280" spans="1:5" x14ac:dyDescent="0.3">
      <c r="A1280" s="21" t="str">
        <f t="shared" ref="A1280:A1343" si="20">IF(C1280="Entrada",2,IF(C1280="Saída",1,"."))</f>
        <v>.</v>
      </c>
      <c r="D1280" s="44"/>
      <c r="E1280" s="22" t="str">
        <f>IF(D1280&lt;&gt;"",IFERROR(INDEX(Produtos!$C$4:$C$4996,MATCH(D1280,Produtos!$B$4:$B$4996,0)),"Produto não encontrado"),"")</f>
        <v/>
      </c>
    </row>
    <row r="1281" spans="1:5" x14ac:dyDescent="0.3">
      <c r="A1281" s="21" t="str">
        <f t="shared" si="20"/>
        <v>.</v>
      </c>
      <c r="D1281" s="44"/>
      <c r="E1281" s="22" t="str">
        <f>IF(D1281&lt;&gt;"",IFERROR(INDEX(Produtos!$C$4:$C$4996,MATCH(D1281,Produtos!$B$4:$B$4996,0)),"Produto não encontrado"),"")</f>
        <v/>
      </c>
    </row>
    <row r="1282" spans="1:5" x14ac:dyDescent="0.3">
      <c r="A1282" s="21" t="str">
        <f t="shared" si="20"/>
        <v>.</v>
      </c>
      <c r="D1282" s="44"/>
      <c r="E1282" s="22" t="str">
        <f>IF(D1282&lt;&gt;"",IFERROR(INDEX(Produtos!$C$4:$C$4996,MATCH(D1282,Produtos!$B$4:$B$4996,0)),"Produto não encontrado"),"")</f>
        <v/>
      </c>
    </row>
    <row r="1283" spans="1:5" x14ac:dyDescent="0.3">
      <c r="A1283" s="21" t="str">
        <f t="shared" si="20"/>
        <v>.</v>
      </c>
      <c r="D1283" s="44"/>
      <c r="E1283" s="22" t="str">
        <f>IF(D1283&lt;&gt;"",IFERROR(INDEX(Produtos!$C$4:$C$4996,MATCH(D1283,Produtos!$B$4:$B$4996,0)),"Produto não encontrado"),"")</f>
        <v/>
      </c>
    </row>
    <row r="1284" spans="1:5" x14ac:dyDescent="0.3">
      <c r="A1284" s="21" t="str">
        <f t="shared" si="20"/>
        <v>.</v>
      </c>
      <c r="D1284" s="44"/>
      <c r="E1284" s="22" t="str">
        <f>IF(D1284&lt;&gt;"",IFERROR(INDEX(Produtos!$C$4:$C$4996,MATCH(D1284,Produtos!$B$4:$B$4996,0)),"Produto não encontrado"),"")</f>
        <v/>
      </c>
    </row>
    <row r="1285" spans="1:5" x14ac:dyDescent="0.3">
      <c r="A1285" s="21" t="str">
        <f t="shared" si="20"/>
        <v>.</v>
      </c>
      <c r="D1285" s="44"/>
      <c r="E1285" s="22" t="str">
        <f>IF(D1285&lt;&gt;"",IFERROR(INDEX(Produtos!$C$4:$C$4996,MATCH(D1285,Produtos!$B$4:$B$4996,0)),"Produto não encontrado"),"")</f>
        <v/>
      </c>
    </row>
    <row r="1286" spans="1:5" x14ac:dyDescent="0.3">
      <c r="A1286" s="21" t="str">
        <f t="shared" si="20"/>
        <v>.</v>
      </c>
      <c r="D1286" s="44"/>
      <c r="E1286" s="22" t="str">
        <f>IF(D1286&lt;&gt;"",IFERROR(INDEX(Produtos!$C$4:$C$4996,MATCH(D1286,Produtos!$B$4:$B$4996,0)),"Produto não encontrado"),"")</f>
        <v/>
      </c>
    </row>
    <row r="1287" spans="1:5" x14ac:dyDescent="0.3">
      <c r="A1287" s="21" t="str">
        <f t="shared" si="20"/>
        <v>.</v>
      </c>
      <c r="D1287" s="44"/>
      <c r="E1287" s="22" t="str">
        <f>IF(D1287&lt;&gt;"",IFERROR(INDEX(Produtos!$C$4:$C$4996,MATCH(D1287,Produtos!$B$4:$B$4996,0)),"Produto não encontrado"),"")</f>
        <v/>
      </c>
    </row>
    <row r="1288" spans="1:5" x14ac:dyDescent="0.3">
      <c r="A1288" s="21" t="str">
        <f t="shared" si="20"/>
        <v>.</v>
      </c>
      <c r="D1288" s="44"/>
      <c r="E1288" s="22" t="str">
        <f>IF(D1288&lt;&gt;"",IFERROR(INDEX(Produtos!$C$4:$C$4996,MATCH(D1288,Produtos!$B$4:$B$4996,0)),"Produto não encontrado"),"")</f>
        <v/>
      </c>
    </row>
    <row r="1289" spans="1:5" x14ac:dyDescent="0.3">
      <c r="A1289" s="21" t="str">
        <f t="shared" si="20"/>
        <v>.</v>
      </c>
      <c r="D1289" s="44"/>
      <c r="E1289" s="22" t="str">
        <f>IF(D1289&lt;&gt;"",IFERROR(INDEX(Produtos!$C$4:$C$4996,MATCH(D1289,Produtos!$B$4:$B$4996,0)),"Produto não encontrado"),"")</f>
        <v/>
      </c>
    </row>
    <row r="1290" spans="1:5" x14ac:dyDescent="0.3">
      <c r="A1290" s="21" t="str">
        <f t="shared" si="20"/>
        <v>.</v>
      </c>
      <c r="D1290" s="44"/>
      <c r="E1290" s="22" t="str">
        <f>IF(D1290&lt;&gt;"",IFERROR(INDEX(Produtos!$C$4:$C$4996,MATCH(D1290,Produtos!$B$4:$B$4996,0)),"Produto não encontrado"),"")</f>
        <v/>
      </c>
    </row>
    <row r="1291" spans="1:5" x14ac:dyDescent="0.3">
      <c r="A1291" s="21" t="str">
        <f t="shared" si="20"/>
        <v>.</v>
      </c>
      <c r="D1291" s="44"/>
      <c r="E1291" s="22" t="str">
        <f>IF(D1291&lt;&gt;"",IFERROR(INDEX(Produtos!$C$4:$C$4996,MATCH(D1291,Produtos!$B$4:$B$4996,0)),"Produto não encontrado"),"")</f>
        <v/>
      </c>
    </row>
    <row r="1292" spans="1:5" x14ac:dyDescent="0.3">
      <c r="A1292" s="21" t="str">
        <f t="shared" si="20"/>
        <v>.</v>
      </c>
      <c r="D1292" s="44"/>
      <c r="E1292" s="22" t="str">
        <f>IF(D1292&lt;&gt;"",IFERROR(INDEX(Produtos!$C$4:$C$4996,MATCH(D1292,Produtos!$B$4:$B$4996,0)),"Produto não encontrado"),"")</f>
        <v/>
      </c>
    </row>
    <row r="1293" spans="1:5" x14ac:dyDescent="0.3">
      <c r="A1293" s="21" t="str">
        <f t="shared" si="20"/>
        <v>.</v>
      </c>
      <c r="D1293" s="44"/>
      <c r="E1293" s="22" t="str">
        <f>IF(D1293&lt;&gt;"",IFERROR(INDEX(Produtos!$C$4:$C$4996,MATCH(D1293,Produtos!$B$4:$B$4996,0)),"Produto não encontrado"),"")</f>
        <v/>
      </c>
    </row>
    <row r="1294" spans="1:5" x14ac:dyDescent="0.3">
      <c r="A1294" s="21" t="str">
        <f t="shared" si="20"/>
        <v>.</v>
      </c>
      <c r="D1294" s="44"/>
      <c r="E1294" s="22" t="str">
        <f>IF(D1294&lt;&gt;"",IFERROR(INDEX(Produtos!$C$4:$C$4996,MATCH(D1294,Produtos!$B$4:$B$4996,0)),"Produto não encontrado"),"")</f>
        <v/>
      </c>
    </row>
    <row r="1295" spans="1:5" x14ac:dyDescent="0.3">
      <c r="A1295" s="21" t="str">
        <f t="shared" si="20"/>
        <v>.</v>
      </c>
      <c r="D1295" s="44"/>
      <c r="E1295" s="22" t="str">
        <f>IF(D1295&lt;&gt;"",IFERROR(INDEX(Produtos!$C$4:$C$4996,MATCH(D1295,Produtos!$B$4:$B$4996,0)),"Produto não encontrado"),"")</f>
        <v/>
      </c>
    </row>
    <row r="1296" spans="1:5" x14ac:dyDescent="0.3">
      <c r="A1296" s="21" t="str">
        <f t="shared" si="20"/>
        <v>.</v>
      </c>
      <c r="D1296" s="44"/>
      <c r="E1296" s="22" t="str">
        <f>IF(D1296&lt;&gt;"",IFERROR(INDEX(Produtos!$C$4:$C$4996,MATCH(D1296,Produtos!$B$4:$B$4996,0)),"Produto não encontrado"),"")</f>
        <v/>
      </c>
    </row>
    <row r="1297" spans="1:5" x14ac:dyDescent="0.3">
      <c r="A1297" s="21" t="str">
        <f t="shared" si="20"/>
        <v>.</v>
      </c>
      <c r="D1297" s="44"/>
      <c r="E1297" s="22" t="str">
        <f>IF(D1297&lt;&gt;"",IFERROR(INDEX(Produtos!$C$4:$C$4996,MATCH(D1297,Produtos!$B$4:$B$4996,0)),"Produto não encontrado"),"")</f>
        <v/>
      </c>
    </row>
    <row r="1298" spans="1:5" x14ac:dyDescent="0.3">
      <c r="A1298" s="21" t="str">
        <f t="shared" si="20"/>
        <v>.</v>
      </c>
      <c r="D1298" s="44"/>
      <c r="E1298" s="22" t="str">
        <f>IF(D1298&lt;&gt;"",IFERROR(INDEX(Produtos!$C$4:$C$4996,MATCH(D1298,Produtos!$B$4:$B$4996,0)),"Produto não encontrado"),"")</f>
        <v/>
      </c>
    </row>
    <row r="1299" spans="1:5" x14ac:dyDescent="0.3">
      <c r="A1299" s="21" t="str">
        <f t="shared" si="20"/>
        <v>.</v>
      </c>
      <c r="D1299" s="44"/>
      <c r="E1299" s="22" t="str">
        <f>IF(D1299&lt;&gt;"",IFERROR(INDEX(Produtos!$C$4:$C$4996,MATCH(D1299,Produtos!$B$4:$B$4996,0)),"Produto não encontrado"),"")</f>
        <v/>
      </c>
    </row>
    <row r="1300" spans="1:5" x14ac:dyDescent="0.3">
      <c r="A1300" s="21" t="str">
        <f t="shared" si="20"/>
        <v>.</v>
      </c>
      <c r="D1300" s="44"/>
      <c r="E1300" s="22" t="str">
        <f>IF(D1300&lt;&gt;"",IFERROR(INDEX(Produtos!$C$4:$C$4996,MATCH(D1300,Produtos!$B$4:$B$4996,0)),"Produto não encontrado"),"")</f>
        <v/>
      </c>
    </row>
    <row r="1301" spans="1:5" x14ac:dyDescent="0.3">
      <c r="A1301" s="21" t="str">
        <f t="shared" si="20"/>
        <v>.</v>
      </c>
      <c r="D1301" s="44"/>
      <c r="E1301" s="22" t="str">
        <f>IF(D1301&lt;&gt;"",IFERROR(INDEX(Produtos!$C$4:$C$4996,MATCH(D1301,Produtos!$B$4:$B$4996,0)),"Produto não encontrado"),"")</f>
        <v/>
      </c>
    </row>
    <row r="1302" spans="1:5" x14ac:dyDescent="0.3">
      <c r="A1302" s="21" t="str">
        <f t="shared" si="20"/>
        <v>.</v>
      </c>
      <c r="D1302" s="44"/>
      <c r="E1302" s="22" t="str">
        <f>IF(D1302&lt;&gt;"",IFERROR(INDEX(Produtos!$C$4:$C$4996,MATCH(D1302,Produtos!$B$4:$B$4996,0)),"Produto não encontrado"),"")</f>
        <v/>
      </c>
    </row>
    <row r="1303" spans="1:5" x14ac:dyDescent="0.3">
      <c r="A1303" s="21" t="str">
        <f t="shared" si="20"/>
        <v>.</v>
      </c>
      <c r="D1303" s="44"/>
      <c r="E1303" s="22" t="str">
        <f>IF(D1303&lt;&gt;"",IFERROR(INDEX(Produtos!$C$4:$C$4996,MATCH(D1303,Produtos!$B$4:$B$4996,0)),"Produto não encontrado"),"")</f>
        <v/>
      </c>
    </row>
    <row r="1304" spans="1:5" x14ac:dyDescent="0.3">
      <c r="A1304" s="21" t="str">
        <f t="shared" si="20"/>
        <v>.</v>
      </c>
      <c r="D1304" s="44"/>
      <c r="E1304" s="22" t="str">
        <f>IF(D1304&lt;&gt;"",IFERROR(INDEX(Produtos!$C$4:$C$4996,MATCH(D1304,Produtos!$B$4:$B$4996,0)),"Produto não encontrado"),"")</f>
        <v/>
      </c>
    </row>
    <row r="1305" spans="1:5" x14ac:dyDescent="0.3">
      <c r="A1305" s="21" t="str">
        <f t="shared" si="20"/>
        <v>.</v>
      </c>
      <c r="D1305" s="44"/>
      <c r="E1305" s="22" t="str">
        <f>IF(D1305&lt;&gt;"",IFERROR(INDEX(Produtos!$C$4:$C$4996,MATCH(D1305,Produtos!$B$4:$B$4996,0)),"Produto não encontrado"),"")</f>
        <v/>
      </c>
    </row>
    <row r="1306" spans="1:5" x14ac:dyDescent="0.3">
      <c r="A1306" s="21" t="str">
        <f t="shared" si="20"/>
        <v>.</v>
      </c>
      <c r="D1306" s="44"/>
      <c r="E1306" s="22" t="str">
        <f>IF(D1306&lt;&gt;"",IFERROR(INDEX(Produtos!$C$4:$C$4996,MATCH(D1306,Produtos!$B$4:$B$4996,0)),"Produto não encontrado"),"")</f>
        <v/>
      </c>
    </row>
    <row r="1307" spans="1:5" x14ac:dyDescent="0.3">
      <c r="A1307" s="21" t="str">
        <f t="shared" si="20"/>
        <v>.</v>
      </c>
      <c r="D1307" s="44"/>
      <c r="E1307" s="22" t="str">
        <f>IF(D1307&lt;&gt;"",IFERROR(INDEX(Produtos!$C$4:$C$4996,MATCH(D1307,Produtos!$B$4:$B$4996,0)),"Produto não encontrado"),"")</f>
        <v/>
      </c>
    </row>
    <row r="1308" spans="1:5" x14ac:dyDescent="0.3">
      <c r="A1308" s="21" t="str">
        <f t="shared" si="20"/>
        <v>.</v>
      </c>
      <c r="D1308" s="44"/>
      <c r="E1308" s="22" t="str">
        <f>IF(D1308&lt;&gt;"",IFERROR(INDEX(Produtos!$C$4:$C$4996,MATCH(D1308,Produtos!$B$4:$B$4996,0)),"Produto não encontrado"),"")</f>
        <v/>
      </c>
    </row>
    <row r="1309" spans="1:5" x14ac:dyDescent="0.3">
      <c r="A1309" s="21" t="str">
        <f t="shared" si="20"/>
        <v>.</v>
      </c>
      <c r="D1309" s="44"/>
      <c r="E1309" s="22" t="str">
        <f>IF(D1309&lt;&gt;"",IFERROR(INDEX(Produtos!$C$4:$C$4996,MATCH(D1309,Produtos!$B$4:$B$4996,0)),"Produto não encontrado"),"")</f>
        <v/>
      </c>
    </row>
    <row r="1310" spans="1:5" x14ac:dyDescent="0.3">
      <c r="A1310" s="21" t="str">
        <f t="shared" si="20"/>
        <v>.</v>
      </c>
      <c r="D1310" s="44"/>
      <c r="E1310" s="22" t="str">
        <f>IF(D1310&lt;&gt;"",IFERROR(INDEX(Produtos!$C$4:$C$4996,MATCH(D1310,Produtos!$B$4:$B$4996,0)),"Produto não encontrado"),"")</f>
        <v/>
      </c>
    </row>
    <row r="1311" spans="1:5" x14ac:dyDescent="0.3">
      <c r="A1311" s="21" t="str">
        <f t="shared" si="20"/>
        <v>.</v>
      </c>
      <c r="D1311" s="44"/>
      <c r="E1311" s="22" t="str">
        <f>IF(D1311&lt;&gt;"",IFERROR(INDEX(Produtos!$C$4:$C$4996,MATCH(D1311,Produtos!$B$4:$B$4996,0)),"Produto não encontrado"),"")</f>
        <v/>
      </c>
    </row>
    <row r="1312" spans="1:5" x14ac:dyDescent="0.3">
      <c r="A1312" s="21" t="str">
        <f t="shared" si="20"/>
        <v>.</v>
      </c>
      <c r="D1312" s="44"/>
      <c r="E1312" s="22" t="str">
        <f>IF(D1312&lt;&gt;"",IFERROR(INDEX(Produtos!$C$4:$C$4996,MATCH(D1312,Produtos!$B$4:$B$4996,0)),"Produto não encontrado"),"")</f>
        <v/>
      </c>
    </row>
    <row r="1313" spans="1:5" x14ac:dyDescent="0.3">
      <c r="A1313" s="21" t="str">
        <f t="shared" si="20"/>
        <v>.</v>
      </c>
      <c r="D1313" s="44"/>
      <c r="E1313" s="22" t="str">
        <f>IF(D1313&lt;&gt;"",IFERROR(INDEX(Produtos!$C$4:$C$4996,MATCH(D1313,Produtos!$B$4:$B$4996,0)),"Produto não encontrado"),"")</f>
        <v/>
      </c>
    </row>
    <row r="1314" spans="1:5" x14ac:dyDescent="0.3">
      <c r="A1314" s="21" t="str">
        <f t="shared" si="20"/>
        <v>.</v>
      </c>
      <c r="D1314" s="44"/>
      <c r="E1314" s="22" t="str">
        <f>IF(D1314&lt;&gt;"",IFERROR(INDEX(Produtos!$C$4:$C$4996,MATCH(D1314,Produtos!$B$4:$B$4996,0)),"Produto não encontrado"),"")</f>
        <v/>
      </c>
    </row>
    <row r="1315" spans="1:5" x14ac:dyDescent="0.3">
      <c r="A1315" s="21" t="str">
        <f t="shared" si="20"/>
        <v>.</v>
      </c>
      <c r="D1315" s="44"/>
      <c r="E1315" s="22" t="str">
        <f>IF(D1315&lt;&gt;"",IFERROR(INDEX(Produtos!$C$4:$C$4996,MATCH(D1315,Produtos!$B$4:$B$4996,0)),"Produto não encontrado"),"")</f>
        <v/>
      </c>
    </row>
    <row r="1316" spans="1:5" x14ac:dyDescent="0.3">
      <c r="A1316" s="21" t="str">
        <f t="shared" si="20"/>
        <v>.</v>
      </c>
      <c r="D1316" s="44"/>
      <c r="E1316" s="22" t="str">
        <f>IF(D1316&lt;&gt;"",IFERROR(INDEX(Produtos!$C$4:$C$4996,MATCH(D1316,Produtos!$B$4:$B$4996,0)),"Produto não encontrado"),"")</f>
        <v/>
      </c>
    </row>
    <row r="1317" spans="1:5" x14ac:dyDescent="0.3">
      <c r="A1317" s="21" t="str">
        <f t="shared" si="20"/>
        <v>.</v>
      </c>
      <c r="D1317" s="44"/>
      <c r="E1317" s="22" t="str">
        <f>IF(D1317&lt;&gt;"",IFERROR(INDEX(Produtos!$C$4:$C$4996,MATCH(D1317,Produtos!$B$4:$B$4996,0)),"Produto não encontrado"),"")</f>
        <v/>
      </c>
    </row>
    <row r="1318" spans="1:5" x14ac:dyDescent="0.3">
      <c r="A1318" s="21" t="str">
        <f t="shared" si="20"/>
        <v>.</v>
      </c>
      <c r="D1318" s="44"/>
      <c r="E1318" s="22" t="str">
        <f>IF(D1318&lt;&gt;"",IFERROR(INDEX(Produtos!$C$4:$C$4996,MATCH(D1318,Produtos!$B$4:$B$4996,0)),"Produto não encontrado"),"")</f>
        <v/>
      </c>
    </row>
    <row r="1319" spans="1:5" x14ac:dyDescent="0.3">
      <c r="A1319" s="21" t="str">
        <f t="shared" si="20"/>
        <v>.</v>
      </c>
      <c r="D1319" s="44"/>
      <c r="E1319" s="22" t="str">
        <f>IF(D1319&lt;&gt;"",IFERROR(INDEX(Produtos!$C$4:$C$4996,MATCH(D1319,Produtos!$B$4:$B$4996,0)),"Produto não encontrado"),"")</f>
        <v/>
      </c>
    </row>
    <row r="1320" spans="1:5" x14ac:dyDescent="0.3">
      <c r="A1320" s="21" t="str">
        <f t="shared" si="20"/>
        <v>.</v>
      </c>
      <c r="D1320" s="44"/>
      <c r="E1320" s="22" t="str">
        <f>IF(D1320&lt;&gt;"",IFERROR(INDEX(Produtos!$C$4:$C$4996,MATCH(D1320,Produtos!$B$4:$B$4996,0)),"Produto não encontrado"),"")</f>
        <v/>
      </c>
    </row>
    <row r="1321" spans="1:5" x14ac:dyDescent="0.3">
      <c r="A1321" s="21" t="str">
        <f t="shared" si="20"/>
        <v>.</v>
      </c>
      <c r="D1321" s="44"/>
      <c r="E1321" s="22" t="str">
        <f>IF(D1321&lt;&gt;"",IFERROR(INDEX(Produtos!$C$4:$C$4996,MATCH(D1321,Produtos!$B$4:$B$4996,0)),"Produto não encontrado"),"")</f>
        <v/>
      </c>
    </row>
    <row r="1322" spans="1:5" x14ac:dyDescent="0.3">
      <c r="A1322" s="21" t="str">
        <f t="shared" si="20"/>
        <v>.</v>
      </c>
      <c r="D1322" s="44"/>
      <c r="E1322" s="22" t="str">
        <f>IF(D1322&lt;&gt;"",IFERROR(INDEX(Produtos!$C$4:$C$4996,MATCH(D1322,Produtos!$B$4:$B$4996,0)),"Produto não encontrado"),"")</f>
        <v/>
      </c>
    </row>
    <row r="1323" spans="1:5" x14ac:dyDescent="0.3">
      <c r="A1323" s="21" t="str">
        <f t="shared" si="20"/>
        <v>.</v>
      </c>
      <c r="D1323" s="44"/>
      <c r="E1323" s="22" t="str">
        <f>IF(D1323&lt;&gt;"",IFERROR(INDEX(Produtos!$C$4:$C$4996,MATCH(D1323,Produtos!$B$4:$B$4996,0)),"Produto não encontrado"),"")</f>
        <v/>
      </c>
    </row>
    <row r="1324" spans="1:5" x14ac:dyDescent="0.3">
      <c r="A1324" s="21" t="str">
        <f t="shared" si="20"/>
        <v>.</v>
      </c>
      <c r="D1324" s="44"/>
      <c r="E1324" s="22" t="str">
        <f>IF(D1324&lt;&gt;"",IFERROR(INDEX(Produtos!$C$4:$C$4996,MATCH(D1324,Produtos!$B$4:$B$4996,0)),"Produto não encontrado"),"")</f>
        <v/>
      </c>
    </row>
    <row r="1325" spans="1:5" x14ac:dyDescent="0.3">
      <c r="A1325" s="21" t="str">
        <f t="shared" si="20"/>
        <v>.</v>
      </c>
      <c r="D1325" s="44"/>
      <c r="E1325" s="22" t="str">
        <f>IF(D1325&lt;&gt;"",IFERROR(INDEX(Produtos!$C$4:$C$4996,MATCH(D1325,Produtos!$B$4:$B$4996,0)),"Produto não encontrado"),"")</f>
        <v/>
      </c>
    </row>
    <row r="1326" spans="1:5" x14ac:dyDescent="0.3">
      <c r="A1326" s="21" t="str">
        <f t="shared" si="20"/>
        <v>.</v>
      </c>
      <c r="D1326" s="44"/>
      <c r="E1326" s="22" t="str">
        <f>IF(D1326&lt;&gt;"",IFERROR(INDEX(Produtos!$C$4:$C$4996,MATCH(D1326,Produtos!$B$4:$B$4996,0)),"Produto não encontrado"),"")</f>
        <v/>
      </c>
    </row>
    <row r="1327" spans="1:5" x14ac:dyDescent="0.3">
      <c r="A1327" s="21" t="str">
        <f t="shared" si="20"/>
        <v>.</v>
      </c>
      <c r="D1327" s="44"/>
      <c r="E1327" s="22" t="str">
        <f>IF(D1327&lt;&gt;"",IFERROR(INDEX(Produtos!$C$4:$C$4996,MATCH(D1327,Produtos!$B$4:$B$4996,0)),"Produto não encontrado"),"")</f>
        <v/>
      </c>
    </row>
    <row r="1328" spans="1:5" x14ac:dyDescent="0.3">
      <c r="A1328" s="21" t="str">
        <f t="shared" si="20"/>
        <v>.</v>
      </c>
      <c r="D1328" s="44"/>
      <c r="E1328" s="22" t="str">
        <f>IF(D1328&lt;&gt;"",IFERROR(INDEX(Produtos!$C$4:$C$4996,MATCH(D1328,Produtos!$B$4:$B$4996,0)),"Produto não encontrado"),"")</f>
        <v/>
      </c>
    </row>
    <row r="1329" spans="1:5" x14ac:dyDescent="0.3">
      <c r="A1329" s="21" t="str">
        <f t="shared" si="20"/>
        <v>.</v>
      </c>
      <c r="D1329" s="44"/>
      <c r="E1329" s="22" t="str">
        <f>IF(D1329&lt;&gt;"",IFERROR(INDEX(Produtos!$C$4:$C$4996,MATCH(D1329,Produtos!$B$4:$B$4996,0)),"Produto não encontrado"),"")</f>
        <v/>
      </c>
    </row>
    <row r="1330" spans="1:5" x14ac:dyDescent="0.3">
      <c r="A1330" s="21" t="str">
        <f t="shared" si="20"/>
        <v>.</v>
      </c>
      <c r="D1330" s="44"/>
      <c r="E1330" s="22" t="str">
        <f>IF(D1330&lt;&gt;"",IFERROR(INDEX(Produtos!$C$4:$C$4996,MATCH(D1330,Produtos!$B$4:$B$4996,0)),"Produto não encontrado"),"")</f>
        <v/>
      </c>
    </row>
    <row r="1331" spans="1:5" x14ac:dyDescent="0.3">
      <c r="A1331" s="21" t="str">
        <f t="shared" si="20"/>
        <v>.</v>
      </c>
      <c r="D1331" s="44"/>
      <c r="E1331" s="22" t="str">
        <f>IF(D1331&lt;&gt;"",IFERROR(INDEX(Produtos!$C$4:$C$4996,MATCH(D1331,Produtos!$B$4:$B$4996,0)),"Produto não encontrado"),"")</f>
        <v/>
      </c>
    </row>
    <row r="1332" spans="1:5" x14ac:dyDescent="0.3">
      <c r="A1332" s="21" t="str">
        <f t="shared" si="20"/>
        <v>.</v>
      </c>
      <c r="D1332" s="44"/>
      <c r="E1332" s="22" t="str">
        <f>IF(D1332&lt;&gt;"",IFERROR(INDEX(Produtos!$C$4:$C$4996,MATCH(D1332,Produtos!$B$4:$B$4996,0)),"Produto não encontrado"),"")</f>
        <v/>
      </c>
    </row>
    <row r="1333" spans="1:5" x14ac:dyDescent="0.3">
      <c r="A1333" s="21" t="str">
        <f t="shared" si="20"/>
        <v>.</v>
      </c>
      <c r="D1333" s="44"/>
      <c r="E1333" s="22" t="str">
        <f>IF(D1333&lt;&gt;"",IFERROR(INDEX(Produtos!$C$4:$C$4996,MATCH(D1333,Produtos!$B$4:$B$4996,0)),"Produto não encontrado"),"")</f>
        <v/>
      </c>
    </row>
    <row r="1334" spans="1:5" x14ac:dyDescent="0.3">
      <c r="A1334" s="21" t="str">
        <f t="shared" si="20"/>
        <v>.</v>
      </c>
      <c r="D1334" s="44"/>
      <c r="E1334" s="22" t="str">
        <f>IF(D1334&lt;&gt;"",IFERROR(INDEX(Produtos!$C$4:$C$4996,MATCH(D1334,Produtos!$B$4:$B$4996,0)),"Produto não encontrado"),"")</f>
        <v/>
      </c>
    </row>
    <row r="1335" spans="1:5" x14ac:dyDescent="0.3">
      <c r="A1335" s="21" t="str">
        <f t="shared" si="20"/>
        <v>.</v>
      </c>
      <c r="D1335" s="44"/>
      <c r="E1335" s="22" t="str">
        <f>IF(D1335&lt;&gt;"",IFERROR(INDEX(Produtos!$C$4:$C$4996,MATCH(D1335,Produtos!$B$4:$B$4996,0)),"Produto não encontrado"),"")</f>
        <v/>
      </c>
    </row>
    <row r="1336" spans="1:5" x14ac:dyDescent="0.3">
      <c r="A1336" s="21" t="str">
        <f t="shared" si="20"/>
        <v>.</v>
      </c>
      <c r="D1336" s="44"/>
      <c r="E1336" s="22" t="str">
        <f>IF(D1336&lt;&gt;"",IFERROR(INDEX(Produtos!$C$4:$C$4996,MATCH(D1336,Produtos!$B$4:$B$4996,0)),"Produto não encontrado"),"")</f>
        <v/>
      </c>
    </row>
    <row r="1337" spans="1:5" x14ac:dyDescent="0.3">
      <c r="A1337" s="21" t="str">
        <f t="shared" si="20"/>
        <v>.</v>
      </c>
      <c r="D1337" s="44"/>
      <c r="E1337" s="22" t="str">
        <f>IF(D1337&lt;&gt;"",IFERROR(INDEX(Produtos!$C$4:$C$4996,MATCH(D1337,Produtos!$B$4:$B$4996,0)),"Produto não encontrado"),"")</f>
        <v/>
      </c>
    </row>
    <row r="1338" spans="1:5" x14ac:dyDescent="0.3">
      <c r="A1338" s="21" t="str">
        <f t="shared" si="20"/>
        <v>.</v>
      </c>
      <c r="D1338" s="44"/>
      <c r="E1338" s="22" t="str">
        <f>IF(D1338&lt;&gt;"",IFERROR(INDEX(Produtos!$C$4:$C$4996,MATCH(D1338,Produtos!$B$4:$B$4996,0)),"Produto não encontrado"),"")</f>
        <v/>
      </c>
    </row>
    <row r="1339" spans="1:5" x14ac:dyDescent="0.3">
      <c r="A1339" s="21" t="str">
        <f t="shared" si="20"/>
        <v>.</v>
      </c>
      <c r="D1339" s="44"/>
      <c r="E1339" s="22" t="str">
        <f>IF(D1339&lt;&gt;"",IFERROR(INDEX(Produtos!$C$4:$C$4996,MATCH(D1339,Produtos!$B$4:$B$4996,0)),"Produto não encontrado"),"")</f>
        <v/>
      </c>
    </row>
    <row r="1340" spans="1:5" x14ac:dyDescent="0.3">
      <c r="A1340" s="21" t="str">
        <f t="shared" si="20"/>
        <v>.</v>
      </c>
      <c r="D1340" s="44"/>
      <c r="E1340" s="22" t="str">
        <f>IF(D1340&lt;&gt;"",IFERROR(INDEX(Produtos!$C$4:$C$4996,MATCH(D1340,Produtos!$B$4:$B$4996,0)),"Produto não encontrado"),"")</f>
        <v/>
      </c>
    </row>
    <row r="1341" spans="1:5" x14ac:dyDescent="0.3">
      <c r="A1341" s="21" t="str">
        <f t="shared" si="20"/>
        <v>.</v>
      </c>
      <c r="D1341" s="44"/>
      <c r="E1341" s="22" t="str">
        <f>IF(D1341&lt;&gt;"",IFERROR(INDEX(Produtos!$C$4:$C$4996,MATCH(D1341,Produtos!$B$4:$B$4996,0)),"Produto não encontrado"),"")</f>
        <v/>
      </c>
    </row>
    <row r="1342" spans="1:5" x14ac:dyDescent="0.3">
      <c r="A1342" s="21" t="str">
        <f t="shared" si="20"/>
        <v>.</v>
      </c>
      <c r="D1342" s="44"/>
      <c r="E1342" s="22" t="str">
        <f>IF(D1342&lt;&gt;"",IFERROR(INDEX(Produtos!$C$4:$C$4996,MATCH(D1342,Produtos!$B$4:$B$4996,0)),"Produto não encontrado"),"")</f>
        <v/>
      </c>
    </row>
    <row r="1343" spans="1:5" x14ac:dyDescent="0.3">
      <c r="A1343" s="21" t="str">
        <f t="shared" si="20"/>
        <v>.</v>
      </c>
      <c r="D1343" s="44"/>
      <c r="E1343" s="22" t="str">
        <f>IF(D1343&lt;&gt;"",IFERROR(INDEX(Produtos!$C$4:$C$4996,MATCH(D1343,Produtos!$B$4:$B$4996,0)),"Produto não encontrado"),"")</f>
        <v/>
      </c>
    </row>
    <row r="1344" spans="1:5" x14ac:dyDescent="0.3">
      <c r="A1344" s="21" t="str">
        <f t="shared" ref="A1344:A1407" si="21">IF(C1344="Entrada",2,IF(C1344="Saída",1,"."))</f>
        <v>.</v>
      </c>
      <c r="D1344" s="44"/>
      <c r="E1344" s="22" t="str">
        <f>IF(D1344&lt;&gt;"",IFERROR(INDEX(Produtos!$C$4:$C$4996,MATCH(D1344,Produtos!$B$4:$B$4996,0)),"Produto não encontrado"),"")</f>
        <v/>
      </c>
    </row>
    <row r="1345" spans="1:5" x14ac:dyDescent="0.3">
      <c r="A1345" s="21" t="str">
        <f t="shared" si="21"/>
        <v>.</v>
      </c>
      <c r="D1345" s="44"/>
      <c r="E1345" s="22" t="str">
        <f>IF(D1345&lt;&gt;"",IFERROR(INDEX(Produtos!$C$4:$C$4996,MATCH(D1345,Produtos!$B$4:$B$4996,0)),"Produto não encontrado"),"")</f>
        <v/>
      </c>
    </row>
    <row r="1346" spans="1:5" x14ac:dyDescent="0.3">
      <c r="A1346" s="21" t="str">
        <f t="shared" si="21"/>
        <v>.</v>
      </c>
      <c r="D1346" s="44"/>
      <c r="E1346" s="22" t="str">
        <f>IF(D1346&lt;&gt;"",IFERROR(INDEX(Produtos!$C$4:$C$4996,MATCH(D1346,Produtos!$B$4:$B$4996,0)),"Produto não encontrado"),"")</f>
        <v/>
      </c>
    </row>
    <row r="1347" spans="1:5" x14ac:dyDescent="0.3">
      <c r="A1347" s="21" t="str">
        <f t="shared" si="21"/>
        <v>.</v>
      </c>
      <c r="D1347" s="44"/>
      <c r="E1347" s="22" t="str">
        <f>IF(D1347&lt;&gt;"",IFERROR(INDEX(Produtos!$C$4:$C$4996,MATCH(D1347,Produtos!$B$4:$B$4996,0)),"Produto não encontrado"),"")</f>
        <v/>
      </c>
    </row>
    <row r="1348" spans="1:5" x14ac:dyDescent="0.3">
      <c r="A1348" s="21" t="str">
        <f t="shared" si="21"/>
        <v>.</v>
      </c>
      <c r="D1348" s="44"/>
      <c r="E1348" s="22" t="str">
        <f>IF(D1348&lt;&gt;"",IFERROR(INDEX(Produtos!$C$4:$C$4996,MATCH(D1348,Produtos!$B$4:$B$4996,0)),"Produto não encontrado"),"")</f>
        <v/>
      </c>
    </row>
    <row r="1349" spans="1:5" x14ac:dyDescent="0.3">
      <c r="A1349" s="21" t="str">
        <f t="shared" si="21"/>
        <v>.</v>
      </c>
      <c r="D1349" s="44"/>
      <c r="E1349" s="22" t="str">
        <f>IF(D1349&lt;&gt;"",IFERROR(INDEX(Produtos!$C$4:$C$4996,MATCH(D1349,Produtos!$B$4:$B$4996,0)),"Produto não encontrado"),"")</f>
        <v/>
      </c>
    </row>
    <row r="1350" spans="1:5" x14ac:dyDescent="0.3">
      <c r="A1350" s="21" t="str">
        <f t="shared" si="21"/>
        <v>.</v>
      </c>
      <c r="D1350" s="44"/>
      <c r="E1350" s="22" t="str">
        <f>IF(D1350&lt;&gt;"",IFERROR(INDEX(Produtos!$C$4:$C$4996,MATCH(D1350,Produtos!$B$4:$B$4996,0)),"Produto não encontrado"),"")</f>
        <v/>
      </c>
    </row>
    <row r="1351" spans="1:5" x14ac:dyDescent="0.3">
      <c r="A1351" s="21" t="str">
        <f t="shared" si="21"/>
        <v>.</v>
      </c>
      <c r="D1351" s="44"/>
      <c r="E1351" s="22" t="str">
        <f>IF(D1351&lt;&gt;"",IFERROR(INDEX(Produtos!$C$4:$C$4996,MATCH(D1351,Produtos!$B$4:$B$4996,0)),"Produto não encontrado"),"")</f>
        <v/>
      </c>
    </row>
    <row r="1352" spans="1:5" x14ac:dyDescent="0.3">
      <c r="A1352" s="21" t="str">
        <f t="shared" si="21"/>
        <v>.</v>
      </c>
      <c r="D1352" s="44"/>
      <c r="E1352" s="22" t="str">
        <f>IF(D1352&lt;&gt;"",IFERROR(INDEX(Produtos!$C$4:$C$4996,MATCH(D1352,Produtos!$B$4:$B$4996,0)),"Produto não encontrado"),"")</f>
        <v/>
      </c>
    </row>
    <row r="1353" spans="1:5" x14ac:dyDescent="0.3">
      <c r="A1353" s="21" t="str">
        <f t="shared" si="21"/>
        <v>.</v>
      </c>
      <c r="D1353" s="44"/>
      <c r="E1353" s="22" t="str">
        <f>IF(D1353&lt;&gt;"",IFERROR(INDEX(Produtos!$C$4:$C$4996,MATCH(D1353,Produtos!$B$4:$B$4996,0)),"Produto não encontrado"),"")</f>
        <v/>
      </c>
    </row>
    <row r="1354" spans="1:5" x14ac:dyDescent="0.3">
      <c r="A1354" s="21" t="str">
        <f t="shared" si="21"/>
        <v>.</v>
      </c>
      <c r="D1354" s="44"/>
      <c r="E1354" s="22" t="str">
        <f>IF(D1354&lt;&gt;"",IFERROR(INDEX(Produtos!$C$4:$C$4996,MATCH(D1354,Produtos!$B$4:$B$4996,0)),"Produto não encontrado"),"")</f>
        <v/>
      </c>
    </row>
    <row r="1355" spans="1:5" x14ac:dyDescent="0.3">
      <c r="A1355" s="21" t="str">
        <f t="shared" si="21"/>
        <v>.</v>
      </c>
      <c r="D1355" s="44"/>
      <c r="E1355" s="22" t="str">
        <f>IF(D1355&lt;&gt;"",IFERROR(INDEX(Produtos!$C$4:$C$4996,MATCH(D1355,Produtos!$B$4:$B$4996,0)),"Produto não encontrado"),"")</f>
        <v/>
      </c>
    </row>
    <row r="1356" spans="1:5" x14ac:dyDescent="0.3">
      <c r="A1356" s="21" t="str">
        <f t="shared" si="21"/>
        <v>.</v>
      </c>
      <c r="D1356" s="44"/>
      <c r="E1356" s="22" t="str">
        <f>IF(D1356&lt;&gt;"",IFERROR(INDEX(Produtos!$C$4:$C$4996,MATCH(D1356,Produtos!$B$4:$B$4996,0)),"Produto não encontrado"),"")</f>
        <v/>
      </c>
    </row>
    <row r="1357" spans="1:5" x14ac:dyDescent="0.3">
      <c r="A1357" s="21" t="str">
        <f t="shared" si="21"/>
        <v>.</v>
      </c>
      <c r="D1357" s="44"/>
      <c r="E1357" s="22" t="str">
        <f>IF(D1357&lt;&gt;"",IFERROR(INDEX(Produtos!$C$4:$C$4996,MATCH(D1357,Produtos!$B$4:$B$4996,0)),"Produto não encontrado"),"")</f>
        <v/>
      </c>
    </row>
    <row r="1358" spans="1:5" x14ac:dyDescent="0.3">
      <c r="A1358" s="21" t="str">
        <f t="shared" si="21"/>
        <v>.</v>
      </c>
      <c r="D1358" s="44"/>
      <c r="E1358" s="22" t="str">
        <f>IF(D1358&lt;&gt;"",IFERROR(INDEX(Produtos!$C$4:$C$4996,MATCH(D1358,Produtos!$B$4:$B$4996,0)),"Produto não encontrado"),"")</f>
        <v/>
      </c>
    </row>
    <row r="1359" spans="1:5" x14ac:dyDescent="0.3">
      <c r="A1359" s="21" t="str">
        <f t="shared" si="21"/>
        <v>.</v>
      </c>
      <c r="D1359" s="44"/>
      <c r="E1359" s="22" t="str">
        <f>IF(D1359&lt;&gt;"",IFERROR(INDEX(Produtos!$C$4:$C$4996,MATCH(D1359,Produtos!$B$4:$B$4996,0)),"Produto não encontrado"),"")</f>
        <v/>
      </c>
    </row>
    <row r="1360" spans="1:5" x14ac:dyDescent="0.3">
      <c r="A1360" s="21" t="str">
        <f t="shared" si="21"/>
        <v>.</v>
      </c>
      <c r="D1360" s="44"/>
      <c r="E1360" s="22" t="str">
        <f>IF(D1360&lt;&gt;"",IFERROR(INDEX(Produtos!$C$4:$C$4996,MATCH(D1360,Produtos!$B$4:$B$4996,0)),"Produto não encontrado"),"")</f>
        <v/>
      </c>
    </row>
    <row r="1361" spans="1:5" x14ac:dyDescent="0.3">
      <c r="A1361" s="21" t="str">
        <f t="shared" si="21"/>
        <v>.</v>
      </c>
      <c r="D1361" s="44"/>
      <c r="E1361" s="22" t="str">
        <f>IF(D1361&lt;&gt;"",IFERROR(INDEX(Produtos!$C$4:$C$4996,MATCH(D1361,Produtos!$B$4:$B$4996,0)),"Produto não encontrado"),"")</f>
        <v/>
      </c>
    </row>
    <row r="1362" spans="1:5" x14ac:dyDescent="0.3">
      <c r="A1362" s="21" t="str">
        <f t="shared" si="21"/>
        <v>.</v>
      </c>
      <c r="D1362" s="44"/>
      <c r="E1362" s="22" t="str">
        <f>IF(D1362&lt;&gt;"",IFERROR(INDEX(Produtos!$C$4:$C$4996,MATCH(D1362,Produtos!$B$4:$B$4996,0)),"Produto não encontrado"),"")</f>
        <v/>
      </c>
    </row>
    <row r="1363" spans="1:5" x14ac:dyDescent="0.3">
      <c r="A1363" s="21" t="str">
        <f t="shared" si="21"/>
        <v>.</v>
      </c>
      <c r="D1363" s="44"/>
      <c r="E1363" s="22" t="str">
        <f>IF(D1363&lt;&gt;"",IFERROR(INDEX(Produtos!$C$4:$C$4996,MATCH(D1363,Produtos!$B$4:$B$4996,0)),"Produto não encontrado"),"")</f>
        <v/>
      </c>
    </row>
    <row r="1364" spans="1:5" x14ac:dyDescent="0.3">
      <c r="A1364" s="21" t="str">
        <f t="shared" si="21"/>
        <v>.</v>
      </c>
      <c r="D1364" s="44"/>
      <c r="E1364" s="22" t="str">
        <f>IF(D1364&lt;&gt;"",IFERROR(INDEX(Produtos!$C$4:$C$4996,MATCH(D1364,Produtos!$B$4:$B$4996,0)),"Produto não encontrado"),"")</f>
        <v/>
      </c>
    </row>
    <row r="1365" spans="1:5" x14ac:dyDescent="0.3">
      <c r="A1365" s="21" t="str">
        <f t="shared" si="21"/>
        <v>.</v>
      </c>
      <c r="D1365" s="44"/>
      <c r="E1365" s="22" t="str">
        <f>IF(D1365&lt;&gt;"",IFERROR(INDEX(Produtos!$C$4:$C$4996,MATCH(D1365,Produtos!$B$4:$B$4996,0)),"Produto não encontrado"),"")</f>
        <v/>
      </c>
    </row>
    <row r="1366" spans="1:5" x14ac:dyDescent="0.3">
      <c r="A1366" s="21" t="str">
        <f t="shared" si="21"/>
        <v>.</v>
      </c>
      <c r="D1366" s="44"/>
      <c r="E1366" s="22" t="str">
        <f>IF(D1366&lt;&gt;"",IFERROR(INDEX(Produtos!$C$4:$C$4996,MATCH(D1366,Produtos!$B$4:$B$4996,0)),"Produto não encontrado"),"")</f>
        <v/>
      </c>
    </row>
    <row r="1367" spans="1:5" x14ac:dyDescent="0.3">
      <c r="A1367" s="21" t="str">
        <f t="shared" si="21"/>
        <v>.</v>
      </c>
      <c r="D1367" s="44"/>
      <c r="E1367" s="22" t="str">
        <f>IF(D1367&lt;&gt;"",IFERROR(INDEX(Produtos!$C$4:$C$4996,MATCH(D1367,Produtos!$B$4:$B$4996,0)),"Produto não encontrado"),"")</f>
        <v/>
      </c>
    </row>
    <row r="1368" spans="1:5" x14ac:dyDescent="0.3">
      <c r="A1368" s="21" t="str">
        <f t="shared" si="21"/>
        <v>.</v>
      </c>
      <c r="D1368" s="44"/>
      <c r="E1368" s="22" t="str">
        <f>IF(D1368&lt;&gt;"",IFERROR(INDEX(Produtos!$C$4:$C$4996,MATCH(D1368,Produtos!$B$4:$B$4996,0)),"Produto não encontrado"),"")</f>
        <v/>
      </c>
    </row>
    <row r="1369" spans="1:5" x14ac:dyDescent="0.3">
      <c r="A1369" s="21" t="str">
        <f t="shared" si="21"/>
        <v>.</v>
      </c>
      <c r="D1369" s="44"/>
      <c r="E1369" s="22" t="str">
        <f>IF(D1369&lt;&gt;"",IFERROR(INDEX(Produtos!$C$4:$C$4996,MATCH(D1369,Produtos!$B$4:$B$4996,0)),"Produto não encontrado"),"")</f>
        <v/>
      </c>
    </row>
    <row r="1370" spans="1:5" x14ac:dyDescent="0.3">
      <c r="A1370" s="21" t="str">
        <f t="shared" si="21"/>
        <v>.</v>
      </c>
      <c r="D1370" s="44"/>
      <c r="E1370" s="22" t="str">
        <f>IF(D1370&lt;&gt;"",IFERROR(INDEX(Produtos!$C$4:$C$4996,MATCH(D1370,Produtos!$B$4:$B$4996,0)),"Produto não encontrado"),"")</f>
        <v/>
      </c>
    </row>
    <row r="1371" spans="1:5" x14ac:dyDescent="0.3">
      <c r="A1371" s="21" t="str">
        <f t="shared" si="21"/>
        <v>.</v>
      </c>
      <c r="D1371" s="44"/>
      <c r="E1371" s="22" t="str">
        <f>IF(D1371&lt;&gt;"",IFERROR(INDEX(Produtos!$C$4:$C$4996,MATCH(D1371,Produtos!$B$4:$B$4996,0)),"Produto não encontrado"),"")</f>
        <v/>
      </c>
    </row>
    <row r="1372" spans="1:5" x14ac:dyDescent="0.3">
      <c r="A1372" s="21" t="str">
        <f t="shared" si="21"/>
        <v>.</v>
      </c>
      <c r="D1372" s="44"/>
      <c r="E1372" s="22" t="str">
        <f>IF(D1372&lt;&gt;"",IFERROR(INDEX(Produtos!$C$4:$C$4996,MATCH(D1372,Produtos!$B$4:$B$4996,0)),"Produto não encontrado"),"")</f>
        <v/>
      </c>
    </row>
    <row r="1373" spans="1:5" x14ac:dyDescent="0.3">
      <c r="A1373" s="21" t="str">
        <f t="shared" si="21"/>
        <v>.</v>
      </c>
      <c r="D1373" s="44"/>
      <c r="E1373" s="22" t="str">
        <f>IF(D1373&lt;&gt;"",IFERROR(INDEX(Produtos!$C$4:$C$4996,MATCH(D1373,Produtos!$B$4:$B$4996,0)),"Produto não encontrado"),"")</f>
        <v/>
      </c>
    </row>
    <row r="1374" spans="1:5" x14ac:dyDescent="0.3">
      <c r="A1374" s="21" t="str">
        <f t="shared" si="21"/>
        <v>.</v>
      </c>
      <c r="D1374" s="44"/>
      <c r="E1374" s="22" t="str">
        <f>IF(D1374&lt;&gt;"",IFERROR(INDEX(Produtos!$C$4:$C$4996,MATCH(D1374,Produtos!$B$4:$B$4996,0)),"Produto não encontrado"),"")</f>
        <v/>
      </c>
    </row>
    <row r="1375" spans="1:5" x14ac:dyDescent="0.3">
      <c r="A1375" s="21" t="str">
        <f t="shared" si="21"/>
        <v>.</v>
      </c>
      <c r="D1375" s="44"/>
      <c r="E1375" s="22" t="str">
        <f>IF(D1375&lt;&gt;"",IFERROR(INDEX(Produtos!$C$4:$C$4996,MATCH(D1375,Produtos!$B$4:$B$4996,0)),"Produto não encontrado"),"")</f>
        <v/>
      </c>
    </row>
    <row r="1376" spans="1:5" x14ac:dyDescent="0.3">
      <c r="A1376" s="21" t="str">
        <f t="shared" si="21"/>
        <v>.</v>
      </c>
      <c r="D1376" s="44"/>
      <c r="E1376" s="22" t="str">
        <f>IF(D1376&lt;&gt;"",IFERROR(INDEX(Produtos!$C$4:$C$4996,MATCH(D1376,Produtos!$B$4:$B$4996,0)),"Produto não encontrado"),"")</f>
        <v/>
      </c>
    </row>
    <row r="1377" spans="1:5" x14ac:dyDescent="0.3">
      <c r="A1377" s="21" t="str">
        <f t="shared" si="21"/>
        <v>.</v>
      </c>
      <c r="D1377" s="44"/>
      <c r="E1377" s="22" t="str">
        <f>IF(D1377&lt;&gt;"",IFERROR(INDEX(Produtos!$C$4:$C$4996,MATCH(D1377,Produtos!$B$4:$B$4996,0)),"Produto não encontrado"),"")</f>
        <v/>
      </c>
    </row>
    <row r="1378" spans="1:5" x14ac:dyDescent="0.3">
      <c r="A1378" s="21" t="str">
        <f t="shared" si="21"/>
        <v>.</v>
      </c>
      <c r="D1378" s="44"/>
      <c r="E1378" s="22" t="str">
        <f>IF(D1378&lt;&gt;"",IFERROR(INDEX(Produtos!$C$4:$C$4996,MATCH(D1378,Produtos!$B$4:$B$4996,0)),"Produto não encontrado"),"")</f>
        <v/>
      </c>
    </row>
    <row r="1379" spans="1:5" x14ac:dyDescent="0.3">
      <c r="A1379" s="21" t="str">
        <f t="shared" si="21"/>
        <v>.</v>
      </c>
      <c r="D1379" s="44"/>
      <c r="E1379" s="22" t="str">
        <f>IF(D1379&lt;&gt;"",IFERROR(INDEX(Produtos!$C$4:$C$4996,MATCH(D1379,Produtos!$B$4:$B$4996,0)),"Produto não encontrado"),"")</f>
        <v/>
      </c>
    </row>
    <row r="1380" spans="1:5" x14ac:dyDescent="0.3">
      <c r="A1380" s="21" t="str">
        <f t="shared" si="21"/>
        <v>.</v>
      </c>
      <c r="D1380" s="44"/>
      <c r="E1380" s="22" t="str">
        <f>IF(D1380&lt;&gt;"",IFERROR(INDEX(Produtos!$C$4:$C$4996,MATCH(D1380,Produtos!$B$4:$B$4996,0)),"Produto não encontrado"),"")</f>
        <v/>
      </c>
    </row>
    <row r="1381" spans="1:5" x14ac:dyDescent="0.3">
      <c r="A1381" s="21" t="str">
        <f t="shared" si="21"/>
        <v>.</v>
      </c>
      <c r="D1381" s="44"/>
      <c r="E1381" s="22" t="str">
        <f>IF(D1381&lt;&gt;"",IFERROR(INDEX(Produtos!$C$4:$C$4996,MATCH(D1381,Produtos!$B$4:$B$4996,0)),"Produto não encontrado"),"")</f>
        <v/>
      </c>
    </row>
    <row r="1382" spans="1:5" x14ac:dyDescent="0.3">
      <c r="A1382" s="21" t="str">
        <f t="shared" si="21"/>
        <v>.</v>
      </c>
      <c r="D1382" s="44"/>
      <c r="E1382" s="22" t="str">
        <f>IF(D1382&lt;&gt;"",IFERROR(INDEX(Produtos!$C$4:$C$4996,MATCH(D1382,Produtos!$B$4:$B$4996,0)),"Produto não encontrado"),"")</f>
        <v/>
      </c>
    </row>
    <row r="1383" spans="1:5" x14ac:dyDescent="0.3">
      <c r="A1383" s="21" t="str">
        <f t="shared" si="21"/>
        <v>.</v>
      </c>
      <c r="D1383" s="44"/>
      <c r="E1383" s="22" t="str">
        <f>IF(D1383&lt;&gt;"",IFERROR(INDEX(Produtos!$C$4:$C$4996,MATCH(D1383,Produtos!$B$4:$B$4996,0)),"Produto não encontrado"),"")</f>
        <v/>
      </c>
    </row>
    <row r="1384" spans="1:5" x14ac:dyDescent="0.3">
      <c r="A1384" s="21" t="str">
        <f t="shared" si="21"/>
        <v>.</v>
      </c>
      <c r="D1384" s="44"/>
      <c r="E1384" s="22" t="str">
        <f>IF(D1384&lt;&gt;"",IFERROR(INDEX(Produtos!$C$4:$C$4996,MATCH(D1384,Produtos!$B$4:$B$4996,0)),"Produto não encontrado"),"")</f>
        <v/>
      </c>
    </row>
    <row r="1385" spans="1:5" x14ac:dyDescent="0.3">
      <c r="A1385" s="21" t="str">
        <f t="shared" si="21"/>
        <v>.</v>
      </c>
      <c r="D1385" s="44"/>
      <c r="E1385" s="22" t="str">
        <f>IF(D1385&lt;&gt;"",IFERROR(INDEX(Produtos!$C$4:$C$4996,MATCH(D1385,Produtos!$B$4:$B$4996,0)),"Produto não encontrado"),"")</f>
        <v/>
      </c>
    </row>
    <row r="1386" spans="1:5" x14ac:dyDescent="0.3">
      <c r="A1386" s="21" t="str">
        <f t="shared" si="21"/>
        <v>.</v>
      </c>
      <c r="D1386" s="44"/>
      <c r="E1386" s="22" t="str">
        <f>IF(D1386&lt;&gt;"",IFERROR(INDEX(Produtos!$C$4:$C$4996,MATCH(D1386,Produtos!$B$4:$B$4996,0)),"Produto não encontrado"),"")</f>
        <v/>
      </c>
    </row>
    <row r="1387" spans="1:5" x14ac:dyDescent="0.3">
      <c r="A1387" s="21" t="str">
        <f t="shared" si="21"/>
        <v>.</v>
      </c>
      <c r="D1387" s="44"/>
      <c r="E1387" s="22" t="str">
        <f>IF(D1387&lt;&gt;"",IFERROR(INDEX(Produtos!$C$4:$C$4996,MATCH(D1387,Produtos!$B$4:$B$4996,0)),"Produto não encontrado"),"")</f>
        <v/>
      </c>
    </row>
    <row r="1388" spans="1:5" x14ac:dyDescent="0.3">
      <c r="A1388" s="21" t="str">
        <f t="shared" si="21"/>
        <v>.</v>
      </c>
      <c r="D1388" s="44"/>
      <c r="E1388" s="22" t="str">
        <f>IF(D1388&lt;&gt;"",IFERROR(INDEX(Produtos!$C$4:$C$4996,MATCH(D1388,Produtos!$B$4:$B$4996,0)),"Produto não encontrado"),"")</f>
        <v/>
      </c>
    </row>
    <row r="1389" spans="1:5" x14ac:dyDescent="0.3">
      <c r="A1389" s="21" t="str">
        <f t="shared" si="21"/>
        <v>.</v>
      </c>
      <c r="D1389" s="44"/>
      <c r="E1389" s="22" t="str">
        <f>IF(D1389&lt;&gt;"",IFERROR(INDEX(Produtos!$C$4:$C$4996,MATCH(D1389,Produtos!$B$4:$B$4996,0)),"Produto não encontrado"),"")</f>
        <v/>
      </c>
    </row>
    <row r="1390" spans="1:5" x14ac:dyDescent="0.3">
      <c r="A1390" s="21" t="str">
        <f t="shared" si="21"/>
        <v>.</v>
      </c>
      <c r="D1390" s="44"/>
      <c r="E1390" s="22" t="str">
        <f>IF(D1390&lt;&gt;"",IFERROR(INDEX(Produtos!$C$4:$C$4996,MATCH(D1390,Produtos!$B$4:$B$4996,0)),"Produto não encontrado"),"")</f>
        <v/>
      </c>
    </row>
    <row r="1391" spans="1:5" x14ac:dyDescent="0.3">
      <c r="A1391" s="21" t="str">
        <f t="shared" si="21"/>
        <v>.</v>
      </c>
      <c r="D1391" s="44"/>
      <c r="E1391" s="22" t="str">
        <f>IF(D1391&lt;&gt;"",IFERROR(INDEX(Produtos!$C$4:$C$4996,MATCH(D1391,Produtos!$B$4:$B$4996,0)),"Produto não encontrado"),"")</f>
        <v/>
      </c>
    </row>
    <row r="1392" spans="1:5" x14ac:dyDescent="0.3">
      <c r="A1392" s="21" t="str">
        <f t="shared" si="21"/>
        <v>.</v>
      </c>
      <c r="D1392" s="44"/>
      <c r="E1392" s="22" t="str">
        <f>IF(D1392&lt;&gt;"",IFERROR(INDEX(Produtos!$C$4:$C$4996,MATCH(D1392,Produtos!$B$4:$B$4996,0)),"Produto não encontrado"),"")</f>
        <v/>
      </c>
    </row>
    <row r="1393" spans="1:5" x14ac:dyDescent="0.3">
      <c r="A1393" s="21" t="str">
        <f t="shared" si="21"/>
        <v>.</v>
      </c>
      <c r="D1393" s="44"/>
      <c r="E1393" s="22" t="str">
        <f>IF(D1393&lt;&gt;"",IFERROR(INDEX(Produtos!$C$4:$C$4996,MATCH(D1393,Produtos!$B$4:$B$4996,0)),"Produto não encontrado"),"")</f>
        <v/>
      </c>
    </row>
    <row r="1394" spans="1:5" x14ac:dyDescent="0.3">
      <c r="A1394" s="21" t="str">
        <f t="shared" si="21"/>
        <v>.</v>
      </c>
      <c r="D1394" s="44"/>
      <c r="E1394" s="22" t="str">
        <f>IF(D1394&lt;&gt;"",IFERROR(INDEX(Produtos!$C$4:$C$4996,MATCH(D1394,Produtos!$B$4:$B$4996,0)),"Produto não encontrado"),"")</f>
        <v/>
      </c>
    </row>
    <row r="1395" spans="1:5" x14ac:dyDescent="0.3">
      <c r="A1395" s="21" t="str">
        <f t="shared" si="21"/>
        <v>.</v>
      </c>
      <c r="D1395" s="44"/>
      <c r="E1395" s="22" t="str">
        <f>IF(D1395&lt;&gt;"",IFERROR(INDEX(Produtos!$C$4:$C$4996,MATCH(D1395,Produtos!$B$4:$B$4996,0)),"Produto não encontrado"),"")</f>
        <v/>
      </c>
    </row>
    <row r="1396" spans="1:5" x14ac:dyDescent="0.3">
      <c r="A1396" s="21" t="str">
        <f t="shared" si="21"/>
        <v>.</v>
      </c>
      <c r="D1396" s="44"/>
      <c r="E1396" s="22" t="str">
        <f>IF(D1396&lt;&gt;"",IFERROR(INDEX(Produtos!$C$4:$C$4996,MATCH(D1396,Produtos!$B$4:$B$4996,0)),"Produto não encontrado"),"")</f>
        <v/>
      </c>
    </row>
    <row r="1397" spans="1:5" x14ac:dyDescent="0.3">
      <c r="A1397" s="21" t="str">
        <f t="shared" si="21"/>
        <v>.</v>
      </c>
      <c r="D1397" s="44"/>
      <c r="E1397" s="22" t="str">
        <f>IF(D1397&lt;&gt;"",IFERROR(INDEX(Produtos!$C$4:$C$4996,MATCH(D1397,Produtos!$B$4:$B$4996,0)),"Produto não encontrado"),"")</f>
        <v/>
      </c>
    </row>
    <row r="1398" spans="1:5" x14ac:dyDescent="0.3">
      <c r="A1398" s="21" t="str">
        <f t="shared" si="21"/>
        <v>.</v>
      </c>
      <c r="D1398" s="44"/>
      <c r="E1398" s="22" t="str">
        <f>IF(D1398&lt;&gt;"",IFERROR(INDEX(Produtos!$C$4:$C$4996,MATCH(D1398,Produtos!$B$4:$B$4996,0)),"Produto não encontrado"),"")</f>
        <v/>
      </c>
    </row>
    <row r="1399" spans="1:5" x14ac:dyDescent="0.3">
      <c r="A1399" s="21" t="str">
        <f t="shared" si="21"/>
        <v>.</v>
      </c>
      <c r="D1399" s="44"/>
      <c r="E1399" s="22" t="str">
        <f>IF(D1399&lt;&gt;"",IFERROR(INDEX(Produtos!$C$4:$C$4996,MATCH(D1399,Produtos!$B$4:$B$4996,0)),"Produto não encontrado"),"")</f>
        <v/>
      </c>
    </row>
    <row r="1400" spans="1:5" x14ac:dyDescent="0.3">
      <c r="A1400" s="21" t="str">
        <f t="shared" si="21"/>
        <v>.</v>
      </c>
      <c r="D1400" s="44"/>
      <c r="E1400" s="22" t="str">
        <f>IF(D1400&lt;&gt;"",IFERROR(INDEX(Produtos!$C$4:$C$4996,MATCH(D1400,Produtos!$B$4:$B$4996,0)),"Produto não encontrado"),"")</f>
        <v/>
      </c>
    </row>
    <row r="1401" spans="1:5" x14ac:dyDescent="0.3">
      <c r="A1401" s="21" t="str">
        <f t="shared" si="21"/>
        <v>.</v>
      </c>
      <c r="D1401" s="44"/>
      <c r="E1401" s="22" t="str">
        <f>IF(D1401&lt;&gt;"",IFERROR(INDEX(Produtos!$C$4:$C$4996,MATCH(D1401,Produtos!$B$4:$B$4996,0)),"Produto não encontrado"),"")</f>
        <v/>
      </c>
    </row>
    <row r="1402" spans="1:5" x14ac:dyDescent="0.3">
      <c r="A1402" s="21" t="str">
        <f t="shared" si="21"/>
        <v>.</v>
      </c>
      <c r="D1402" s="44"/>
      <c r="E1402" s="22" t="str">
        <f>IF(D1402&lt;&gt;"",IFERROR(INDEX(Produtos!$C$4:$C$4996,MATCH(D1402,Produtos!$B$4:$B$4996,0)),"Produto não encontrado"),"")</f>
        <v/>
      </c>
    </row>
    <row r="1403" spans="1:5" x14ac:dyDescent="0.3">
      <c r="A1403" s="21" t="str">
        <f t="shared" si="21"/>
        <v>.</v>
      </c>
      <c r="D1403" s="44"/>
      <c r="E1403" s="22" t="str">
        <f>IF(D1403&lt;&gt;"",IFERROR(INDEX(Produtos!$C$4:$C$4996,MATCH(D1403,Produtos!$B$4:$B$4996,0)),"Produto não encontrado"),"")</f>
        <v/>
      </c>
    </row>
    <row r="1404" spans="1:5" x14ac:dyDescent="0.3">
      <c r="A1404" s="21" t="str">
        <f t="shared" si="21"/>
        <v>.</v>
      </c>
      <c r="D1404" s="44"/>
      <c r="E1404" s="22" t="str">
        <f>IF(D1404&lt;&gt;"",IFERROR(INDEX(Produtos!$C$4:$C$4996,MATCH(D1404,Produtos!$B$4:$B$4996,0)),"Produto não encontrado"),"")</f>
        <v/>
      </c>
    </row>
    <row r="1405" spans="1:5" x14ac:dyDescent="0.3">
      <c r="A1405" s="21" t="str">
        <f t="shared" si="21"/>
        <v>.</v>
      </c>
      <c r="D1405" s="44"/>
      <c r="E1405" s="22" t="str">
        <f>IF(D1405&lt;&gt;"",IFERROR(INDEX(Produtos!$C$4:$C$4996,MATCH(D1405,Produtos!$B$4:$B$4996,0)),"Produto não encontrado"),"")</f>
        <v/>
      </c>
    </row>
    <row r="1406" spans="1:5" x14ac:dyDescent="0.3">
      <c r="A1406" s="21" t="str">
        <f t="shared" si="21"/>
        <v>.</v>
      </c>
      <c r="D1406" s="44"/>
      <c r="E1406" s="22" t="str">
        <f>IF(D1406&lt;&gt;"",IFERROR(INDEX(Produtos!$C$4:$C$4996,MATCH(D1406,Produtos!$B$4:$B$4996,0)),"Produto não encontrado"),"")</f>
        <v/>
      </c>
    </row>
    <row r="1407" spans="1:5" x14ac:dyDescent="0.3">
      <c r="A1407" s="21" t="str">
        <f t="shared" si="21"/>
        <v>.</v>
      </c>
      <c r="D1407" s="44"/>
      <c r="E1407" s="22" t="str">
        <f>IF(D1407&lt;&gt;"",IFERROR(INDEX(Produtos!$C$4:$C$4996,MATCH(D1407,Produtos!$B$4:$B$4996,0)),"Produto não encontrado"),"")</f>
        <v/>
      </c>
    </row>
    <row r="1408" spans="1:5" x14ac:dyDescent="0.3">
      <c r="A1408" s="21" t="str">
        <f t="shared" ref="A1408:A1471" si="22">IF(C1408="Entrada",2,IF(C1408="Saída",1,"."))</f>
        <v>.</v>
      </c>
      <c r="D1408" s="44"/>
      <c r="E1408" s="22" t="str">
        <f>IF(D1408&lt;&gt;"",IFERROR(INDEX(Produtos!$C$4:$C$4996,MATCH(D1408,Produtos!$B$4:$B$4996,0)),"Produto não encontrado"),"")</f>
        <v/>
      </c>
    </row>
    <row r="1409" spans="1:5" x14ac:dyDescent="0.3">
      <c r="A1409" s="21" t="str">
        <f t="shared" si="22"/>
        <v>.</v>
      </c>
      <c r="D1409" s="44"/>
      <c r="E1409" s="22" t="str">
        <f>IF(D1409&lt;&gt;"",IFERROR(INDEX(Produtos!$C$4:$C$4996,MATCH(D1409,Produtos!$B$4:$B$4996,0)),"Produto não encontrado"),"")</f>
        <v/>
      </c>
    </row>
    <row r="1410" spans="1:5" x14ac:dyDescent="0.3">
      <c r="A1410" s="21" t="str">
        <f t="shared" si="22"/>
        <v>.</v>
      </c>
      <c r="D1410" s="44"/>
      <c r="E1410" s="22" t="str">
        <f>IF(D1410&lt;&gt;"",IFERROR(INDEX(Produtos!$C$4:$C$4996,MATCH(D1410,Produtos!$B$4:$B$4996,0)),"Produto não encontrado"),"")</f>
        <v/>
      </c>
    </row>
    <row r="1411" spans="1:5" x14ac:dyDescent="0.3">
      <c r="A1411" s="21" t="str">
        <f t="shared" si="22"/>
        <v>.</v>
      </c>
      <c r="D1411" s="44"/>
      <c r="E1411" s="22" t="str">
        <f>IF(D1411&lt;&gt;"",IFERROR(INDEX(Produtos!$C$4:$C$4996,MATCH(D1411,Produtos!$B$4:$B$4996,0)),"Produto não encontrado"),"")</f>
        <v/>
      </c>
    </row>
    <row r="1412" spans="1:5" x14ac:dyDescent="0.3">
      <c r="A1412" s="21" t="str">
        <f t="shared" si="22"/>
        <v>.</v>
      </c>
      <c r="D1412" s="44"/>
      <c r="E1412" s="22" t="str">
        <f>IF(D1412&lt;&gt;"",IFERROR(INDEX(Produtos!$C$4:$C$4996,MATCH(D1412,Produtos!$B$4:$B$4996,0)),"Produto não encontrado"),"")</f>
        <v/>
      </c>
    </row>
    <row r="1413" spans="1:5" x14ac:dyDescent="0.3">
      <c r="A1413" s="21" t="str">
        <f t="shared" si="22"/>
        <v>.</v>
      </c>
      <c r="D1413" s="44"/>
      <c r="E1413" s="22" t="str">
        <f>IF(D1413&lt;&gt;"",IFERROR(INDEX(Produtos!$C$4:$C$4996,MATCH(D1413,Produtos!$B$4:$B$4996,0)),"Produto não encontrado"),"")</f>
        <v/>
      </c>
    </row>
    <row r="1414" spans="1:5" x14ac:dyDescent="0.3">
      <c r="A1414" s="21" t="str">
        <f t="shared" si="22"/>
        <v>.</v>
      </c>
      <c r="D1414" s="44"/>
      <c r="E1414" s="22" t="str">
        <f>IF(D1414&lt;&gt;"",IFERROR(INDEX(Produtos!$C$4:$C$4996,MATCH(D1414,Produtos!$B$4:$B$4996,0)),"Produto não encontrado"),"")</f>
        <v/>
      </c>
    </row>
    <row r="1415" spans="1:5" x14ac:dyDescent="0.3">
      <c r="A1415" s="21" t="str">
        <f t="shared" si="22"/>
        <v>.</v>
      </c>
      <c r="D1415" s="44"/>
      <c r="E1415" s="22" t="str">
        <f>IF(D1415&lt;&gt;"",IFERROR(INDEX(Produtos!$C$4:$C$4996,MATCH(D1415,Produtos!$B$4:$B$4996,0)),"Produto não encontrado"),"")</f>
        <v/>
      </c>
    </row>
    <row r="1416" spans="1:5" x14ac:dyDescent="0.3">
      <c r="A1416" s="21" t="str">
        <f t="shared" si="22"/>
        <v>.</v>
      </c>
      <c r="D1416" s="44"/>
      <c r="E1416" s="22" t="str">
        <f>IF(D1416&lt;&gt;"",IFERROR(INDEX(Produtos!$C$4:$C$4996,MATCH(D1416,Produtos!$B$4:$B$4996,0)),"Produto não encontrado"),"")</f>
        <v/>
      </c>
    </row>
    <row r="1417" spans="1:5" x14ac:dyDescent="0.3">
      <c r="A1417" s="21" t="str">
        <f t="shared" si="22"/>
        <v>.</v>
      </c>
      <c r="D1417" s="44"/>
      <c r="E1417" s="22" t="str">
        <f>IF(D1417&lt;&gt;"",IFERROR(INDEX(Produtos!$C$4:$C$4996,MATCH(D1417,Produtos!$B$4:$B$4996,0)),"Produto não encontrado"),"")</f>
        <v/>
      </c>
    </row>
    <row r="1418" spans="1:5" x14ac:dyDescent="0.3">
      <c r="A1418" s="21" t="str">
        <f t="shared" si="22"/>
        <v>.</v>
      </c>
      <c r="D1418" s="44"/>
      <c r="E1418" s="22" t="str">
        <f>IF(D1418&lt;&gt;"",IFERROR(INDEX(Produtos!$C$4:$C$4996,MATCH(D1418,Produtos!$B$4:$B$4996,0)),"Produto não encontrado"),"")</f>
        <v/>
      </c>
    </row>
    <row r="1419" spans="1:5" x14ac:dyDescent="0.3">
      <c r="A1419" s="21" t="str">
        <f t="shared" si="22"/>
        <v>.</v>
      </c>
      <c r="D1419" s="44"/>
      <c r="E1419" s="22" t="str">
        <f>IF(D1419&lt;&gt;"",IFERROR(INDEX(Produtos!$C$4:$C$4996,MATCH(D1419,Produtos!$B$4:$B$4996,0)),"Produto não encontrado"),"")</f>
        <v/>
      </c>
    </row>
    <row r="1420" spans="1:5" x14ac:dyDescent="0.3">
      <c r="A1420" s="21" t="str">
        <f t="shared" si="22"/>
        <v>.</v>
      </c>
      <c r="D1420" s="44"/>
      <c r="E1420" s="22" t="str">
        <f>IF(D1420&lt;&gt;"",IFERROR(INDEX(Produtos!$C$4:$C$4996,MATCH(D1420,Produtos!$B$4:$B$4996,0)),"Produto não encontrado"),"")</f>
        <v/>
      </c>
    </row>
    <row r="1421" spans="1:5" x14ac:dyDescent="0.3">
      <c r="A1421" s="21" t="str">
        <f t="shared" si="22"/>
        <v>.</v>
      </c>
      <c r="D1421" s="44"/>
      <c r="E1421" s="22" t="str">
        <f>IF(D1421&lt;&gt;"",IFERROR(INDEX(Produtos!$C$4:$C$4996,MATCH(D1421,Produtos!$B$4:$B$4996,0)),"Produto não encontrado"),"")</f>
        <v/>
      </c>
    </row>
    <row r="1422" spans="1:5" x14ac:dyDescent="0.3">
      <c r="A1422" s="21" t="str">
        <f t="shared" si="22"/>
        <v>.</v>
      </c>
      <c r="D1422" s="44"/>
      <c r="E1422" s="22" t="str">
        <f>IF(D1422&lt;&gt;"",IFERROR(INDEX(Produtos!$C$4:$C$4996,MATCH(D1422,Produtos!$B$4:$B$4996,0)),"Produto não encontrado"),"")</f>
        <v/>
      </c>
    </row>
    <row r="1423" spans="1:5" x14ac:dyDescent="0.3">
      <c r="A1423" s="21" t="str">
        <f t="shared" si="22"/>
        <v>.</v>
      </c>
      <c r="D1423" s="44"/>
      <c r="E1423" s="22" t="str">
        <f>IF(D1423&lt;&gt;"",IFERROR(INDEX(Produtos!$C$4:$C$4996,MATCH(D1423,Produtos!$B$4:$B$4996,0)),"Produto não encontrado"),"")</f>
        <v/>
      </c>
    </row>
    <row r="1424" spans="1:5" x14ac:dyDescent="0.3">
      <c r="A1424" s="21" t="str">
        <f t="shared" si="22"/>
        <v>.</v>
      </c>
      <c r="D1424" s="44"/>
      <c r="E1424" s="22" t="str">
        <f>IF(D1424&lt;&gt;"",IFERROR(INDEX(Produtos!$C$4:$C$4996,MATCH(D1424,Produtos!$B$4:$B$4996,0)),"Produto não encontrado"),"")</f>
        <v/>
      </c>
    </row>
    <row r="1425" spans="1:5" x14ac:dyDescent="0.3">
      <c r="A1425" s="21" t="str">
        <f t="shared" si="22"/>
        <v>.</v>
      </c>
      <c r="D1425" s="44"/>
      <c r="E1425" s="22" t="str">
        <f>IF(D1425&lt;&gt;"",IFERROR(INDEX(Produtos!$C$4:$C$4996,MATCH(D1425,Produtos!$B$4:$B$4996,0)),"Produto não encontrado"),"")</f>
        <v/>
      </c>
    </row>
    <row r="1426" spans="1:5" x14ac:dyDescent="0.3">
      <c r="A1426" s="21" t="str">
        <f t="shared" si="22"/>
        <v>.</v>
      </c>
      <c r="D1426" s="44"/>
      <c r="E1426" s="22" t="str">
        <f>IF(D1426&lt;&gt;"",IFERROR(INDEX(Produtos!$C$4:$C$4996,MATCH(D1426,Produtos!$B$4:$B$4996,0)),"Produto não encontrado"),"")</f>
        <v/>
      </c>
    </row>
    <row r="1427" spans="1:5" x14ac:dyDescent="0.3">
      <c r="A1427" s="21" t="str">
        <f t="shared" si="22"/>
        <v>.</v>
      </c>
      <c r="D1427" s="44"/>
      <c r="E1427" s="22" t="str">
        <f>IF(D1427&lt;&gt;"",IFERROR(INDEX(Produtos!$C$4:$C$4996,MATCH(D1427,Produtos!$B$4:$B$4996,0)),"Produto não encontrado"),"")</f>
        <v/>
      </c>
    </row>
    <row r="1428" spans="1:5" x14ac:dyDescent="0.3">
      <c r="A1428" s="21" t="str">
        <f t="shared" si="22"/>
        <v>.</v>
      </c>
      <c r="D1428" s="44"/>
      <c r="E1428" s="22" t="str">
        <f>IF(D1428&lt;&gt;"",IFERROR(INDEX(Produtos!$C$4:$C$4996,MATCH(D1428,Produtos!$B$4:$B$4996,0)),"Produto não encontrado"),"")</f>
        <v/>
      </c>
    </row>
    <row r="1429" spans="1:5" x14ac:dyDescent="0.3">
      <c r="A1429" s="21" t="str">
        <f t="shared" si="22"/>
        <v>.</v>
      </c>
      <c r="D1429" s="44"/>
      <c r="E1429" s="22" t="str">
        <f>IF(D1429&lt;&gt;"",IFERROR(INDEX(Produtos!$C$4:$C$4996,MATCH(D1429,Produtos!$B$4:$B$4996,0)),"Produto não encontrado"),"")</f>
        <v/>
      </c>
    </row>
    <row r="1430" spans="1:5" x14ac:dyDescent="0.3">
      <c r="A1430" s="21" t="str">
        <f t="shared" si="22"/>
        <v>.</v>
      </c>
      <c r="D1430" s="44"/>
      <c r="E1430" s="22" t="str">
        <f>IF(D1430&lt;&gt;"",IFERROR(INDEX(Produtos!$C$4:$C$4996,MATCH(D1430,Produtos!$B$4:$B$4996,0)),"Produto não encontrado"),"")</f>
        <v/>
      </c>
    </row>
    <row r="1431" spans="1:5" x14ac:dyDescent="0.3">
      <c r="A1431" s="21" t="str">
        <f t="shared" si="22"/>
        <v>.</v>
      </c>
      <c r="D1431" s="44"/>
      <c r="E1431" s="22" t="str">
        <f>IF(D1431&lt;&gt;"",IFERROR(INDEX(Produtos!$C$4:$C$4996,MATCH(D1431,Produtos!$B$4:$B$4996,0)),"Produto não encontrado"),"")</f>
        <v/>
      </c>
    </row>
    <row r="1432" spans="1:5" x14ac:dyDescent="0.3">
      <c r="A1432" s="21" t="str">
        <f t="shared" si="22"/>
        <v>.</v>
      </c>
      <c r="D1432" s="44"/>
      <c r="E1432" s="22" t="str">
        <f>IF(D1432&lt;&gt;"",IFERROR(INDEX(Produtos!$C$4:$C$4996,MATCH(D1432,Produtos!$B$4:$B$4996,0)),"Produto não encontrado"),"")</f>
        <v/>
      </c>
    </row>
    <row r="1433" spans="1:5" x14ac:dyDescent="0.3">
      <c r="A1433" s="21" t="str">
        <f t="shared" si="22"/>
        <v>.</v>
      </c>
      <c r="D1433" s="44"/>
      <c r="E1433" s="22" t="str">
        <f>IF(D1433&lt;&gt;"",IFERROR(INDEX(Produtos!$C$4:$C$4996,MATCH(D1433,Produtos!$B$4:$B$4996,0)),"Produto não encontrado"),"")</f>
        <v/>
      </c>
    </row>
    <row r="1434" spans="1:5" x14ac:dyDescent="0.3">
      <c r="A1434" s="21" t="str">
        <f t="shared" si="22"/>
        <v>.</v>
      </c>
      <c r="D1434" s="44"/>
      <c r="E1434" s="22" t="str">
        <f>IF(D1434&lt;&gt;"",IFERROR(INDEX(Produtos!$C$4:$C$4996,MATCH(D1434,Produtos!$B$4:$B$4996,0)),"Produto não encontrado"),"")</f>
        <v/>
      </c>
    </row>
    <row r="1435" spans="1:5" x14ac:dyDescent="0.3">
      <c r="A1435" s="21" t="str">
        <f t="shared" si="22"/>
        <v>.</v>
      </c>
      <c r="D1435" s="44"/>
      <c r="E1435" s="22" t="str">
        <f>IF(D1435&lt;&gt;"",IFERROR(INDEX(Produtos!$C$4:$C$4996,MATCH(D1435,Produtos!$B$4:$B$4996,0)),"Produto não encontrado"),"")</f>
        <v/>
      </c>
    </row>
    <row r="1436" spans="1:5" x14ac:dyDescent="0.3">
      <c r="A1436" s="21" t="str">
        <f t="shared" si="22"/>
        <v>.</v>
      </c>
      <c r="D1436" s="44"/>
      <c r="E1436" s="22" t="str">
        <f>IF(D1436&lt;&gt;"",IFERROR(INDEX(Produtos!$C$4:$C$4996,MATCH(D1436,Produtos!$B$4:$B$4996,0)),"Produto não encontrado"),"")</f>
        <v/>
      </c>
    </row>
    <row r="1437" spans="1:5" x14ac:dyDescent="0.3">
      <c r="A1437" s="21" t="str">
        <f t="shared" si="22"/>
        <v>.</v>
      </c>
      <c r="D1437" s="44"/>
      <c r="E1437" s="22" t="str">
        <f>IF(D1437&lt;&gt;"",IFERROR(INDEX(Produtos!$C$4:$C$4996,MATCH(D1437,Produtos!$B$4:$B$4996,0)),"Produto não encontrado"),"")</f>
        <v/>
      </c>
    </row>
    <row r="1438" spans="1:5" x14ac:dyDescent="0.3">
      <c r="A1438" s="21" t="str">
        <f t="shared" si="22"/>
        <v>.</v>
      </c>
      <c r="D1438" s="44"/>
      <c r="E1438" s="22" t="str">
        <f>IF(D1438&lt;&gt;"",IFERROR(INDEX(Produtos!$C$4:$C$4996,MATCH(D1438,Produtos!$B$4:$B$4996,0)),"Produto não encontrado"),"")</f>
        <v/>
      </c>
    </row>
    <row r="1439" spans="1:5" x14ac:dyDescent="0.3">
      <c r="A1439" s="21" t="str">
        <f t="shared" si="22"/>
        <v>.</v>
      </c>
      <c r="D1439" s="44"/>
      <c r="E1439" s="22" t="str">
        <f>IF(D1439&lt;&gt;"",IFERROR(INDEX(Produtos!$C$4:$C$4996,MATCH(D1439,Produtos!$B$4:$B$4996,0)),"Produto não encontrado"),"")</f>
        <v/>
      </c>
    </row>
    <row r="1440" spans="1:5" x14ac:dyDescent="0.3">
      <c r="A1440" s="21" t="str">
        <f t="shared" si="22"/>
        <v>.</v>
      </c>
      <c r="D1440" s="44"/>
      <c r="E1440" s="22" t="str">
        <f>IF(D1440&lt;&gt;"",IFERROR(INDEX(Produtos!$C$4:$C$4996,MATCH(D1440,Produtos!$B$4:$B$4996,0)),"Produto não encontrado"),"")</f>
        <v/>
      </c>
    </row>
    <row r="1441" spans="1:5" x14ac:dyDescent="0.3">
      <c r="A1441" s="21" t="str">
        <f t="shared" si="22"/>
        <v>.</v>
      </c>
      <c r="D1441" s="44"/>
      <c r="E1441" s="22" t="str">
        <f>IF(D1441&lt;&gt;"",IFERROR(INDEX(Produtos!$C$4:$C$4996,MATCH(D1441,Produtos!$B$4:$B$4996,0)),"Produto não encontrado"),"")</f>
        <v/>
      </c>
    </row>
    <row r="1442" spans="1:5" x14ac:dyDescent="0.3">
      <c r="A1442" s="21" t="str">
        <f t="shared" si="22"/>
        <v>.</v>
      </c>
      <c r="D1442" s="44"/>
      <c r="E1442" s="22" t="str">
        <f>IF(D1442&lt;&gt;"",IFERROR(INDEX(Produtos!$C$4:$C$4996,MATCH(D1442,Produtos!$B$4:$B$4996,0)),"Produto não encontrado"),"")</f>
        <v/>
      </c>
    </row>
    <row r="1443" spans="1:5" x14ac:dyDescent="0.3">
      <c r="A1443" s="21" t="str">
        <f t="shared" si="22"/>
        <v>.</v>
      </c>
      <c r="D1443" s="44"/>
      <c r="E1443" s="22" t="str">
        <f>IF(D1443&lt;&gt;"",IFERROR(INDEX(Produtos!$C$4:$C$4996,MATCH(D1443,Produtos!$B$4:$B$4996,0)),"Produto não encontrado"),"")</f>
        <v/>
      </c>
    </row>
    <row r="1444" spans="1:5" x14ac:dyDescent="0.3">
      <c r="A1444" s="21" t="str">
        <f t="shared" si="22"/>
        <v>.</v>
      </c>
      <c r="D1444" s="44"/>
      <c r="E1444" s="22" t="str">
        <f>IF(D1444&lt;&gt;"",IFERROR(INDEX(Produtos!$C$4:$C$4996,MATCH(D1444,Produtos!$B$4:$B$4996,0)),"Produto não encontrado"),"")</f>
        <v/>
      </c>
    </row>
    <row r="1445" spans="1:5" x14ac:dyDescent="0.3">
      <c r="A1445" s="21" t="str">
        <f t="shared" si="22"/>
        <v>.</v>
      </c>
      <c r="D1445" s="44"/>
      <c r="E1445" s="22" t="str">
        <f>IF(D1445&lt;&gt;"",IFERROR(INDEX(Produtos!$C$4:$C$4996,MATCH(D1445,Produtos!$B$4:$B$4996,0)),"Produto não encontrado"),"")</f>
        <v/>
      </c>
    </row>
    <row r="1446" spans="1:5" x14ac:dyDescent="0.3">
      <c r="A1446" s="21" t="str">
        <f t="shared" si="22"/>
        <v>.</v>
      </c>
      <c r="D1446" s="44"/>
      <c r="E1446" s="22" t="str">
        <f>IF(D1446&lt;&gt;"",IFERROR(INDEX(Produtos!$C$4:$C$4996,MATCH(D1446,Produtos!$B$4:$B$4996,0)),"Produto não encontrado"),"")</f>
        <v/>
      </c>
    </row>
    <row r="1447" spans="1:5" x14ac:dyDescent="0.3">
      <c r="A1447" s="21" t="str">
        <f t="shared" si="22"/>
        <v>.</v>
      </c>
      <c r="D1447" s="44"/>
      <c r="E1447" s="22" t="str">
        <f>IF(D1447&lt;&gt;"",IFERROR(INDEX(Produtos!$C$4:$C$4996,MATCH(D1447,Produtos!$B$4:$B$4996,0)),"Produto não encontrado"),"")</f>
        <v/>
      </c>
    </row>
    <row r="1448" spans="1:5" x14ac:dyDescent="0.3">
      <c r="A1448" s="21" t="str">
        <f t="shared" si="22"/>
        <v>.</v>
      </c>
      <c r="D1448" s="44"/>
      <c r="E1448" s="22" t="str">
        <f>IF(D1448&lt;&gt;"",IFERROR(INDEX(Produtos!$C$4:$C$4996,MATCH(D1448,Produtos!$B$4:$B$4996,0)),"Produto não encontrado"),"")</f>
        <v/>
      </c>
    </row>
    <row r="1449" spans="1:5" x14ac:dyDescent="0.3">
      <c r="A1449" s="21" t="str">
        <f t="shared" si="22"/>
        <v>.</v>
      </c>
      <c r="D1449" s="44"/>
      <c r="E1449" s="22" t="str">
        <f>IF(D1449&lt;&gt;"",IFERROR(INDEX(Produtos!$C$4:$C$4996,MATCH(D1449,Produtos!$B$4:$B$4996,0)),"Produto não encontrado"),"")</f>
        <v/>
      </c>
    </row>
    <row r="1450" spans="1:5" x14ac:dyDescent="0.3">
      <c r="A1450" s="21" t="str">
        <f t="shared" si="22"/>
        <v>.</v>
      </c>
      <c r="D1450" s="44"/>
      <c r="E1450" s="22" t="str">
        <f>IF(D1450&lt;&gt;"",IFERROR(INDEX(Produtos!$C$4:$C$4996,MATCH(D1450,Produtos!$B$4:$B$4996,0)),"Produto não encontrado"),"")</f>
        <v/>
      </c>
    </row>
    <row r="1451" spans="1:5" x14ac:dyDescent="0.3">
      <c r="A1451" s="21" t="str">
        <f t="shared" si="22"/>
        <v>.</v>
      </c>
      <c r="D1451" s="44"/>
      <c r="E1451" s="22" t="str">
        <f>IF(D1451&lt;&gt;"",IFERROR(INDEX(Produtos!$C$4:$C$4996,MATCH(D1451,Produtos!$B$4:$B$4996,0)),"Produto não encontrado"),"")</f>
        <v/>
      </c>
    </row>
    <row r="1452" spans="1:5" x14ac:dyDescent="0.3">
      <c r="A1452" s="21" t="str">
        <f t="shared" si="22"/>
        <v>.</v>
      </c>
      <c r="D1452" s="44"/>
      <c r="E1452" s="22" t="str">
        <f>IF(D1452&lt;&gt;"",IFERROR(INDEX(Produtos!$C$4:$C$4996,MATCH(D1452,Produtos!$B$4:$B$4996,0)),"Produto não encontrado"),"")</f>
        <v/>
      </c>
    </row>
    <row r="1453" spans="1:5" x14ac:dyDescent="0.3">
      <c r="A1453" s="21" t="str">
        <f t="shared" si="22"/>
        <v>.</v>
      </c>
      <c r="D1453" s="44"/>
      <c r="E1453" s="22" t="str">
        <f>IF(D1453&lt;&gt;"",IFERROR(INDEX(Produtos!$C$4:$C$4996,MATCH(D1453,Produtos!$B$4:$B$4996,0)),"Produto não encontrado"),"")</f>
        <v/>
      </c>
    </row>
    <row r="1454" spans="1:5" x14ac:dyDescent="0.3">
      <c r="A1454" s="21" t="str">
        <f t="shared" si="22"/>
        <v>.</v>
      </c>
      <c r="D1454" s="44"/>
      <c r="E1454" s="22" t="str">
        <f>IF(D1454&lt;&gt;"",IFERROR(INDEX(Produtos!$C$4:$C$4996,MATCH(D1454,Produtos!$B$4:$B$4996,0)),"Produto não encontrado"),"")</f>
        <v/>
      </c>
    </row>
    <row r="1455" spans="1:5" x14ac:dyDescent="0.3">
      <c r="A1455" s="21" t="str">
        <f t="shared" si="22"/>
        <v>.</v>
      </c>
      <c r="D1455" s="44"/>
      <c r="E1455" s="22" t="str">
        <f>IF(D1455&lt;&gt;"",IFERROR(INDEX(Produtos!$C$4:$C$4996,MATCH(D1455,Produtos!$B$4:$B$4996,0)),"Produto não encontrado"),"")</f>
        <v/>
      </c>
    </row>
    <row r="1456" spans="1:5" x14ac:dyDescent="0.3">
      <c r="A1456" s="21" t="str">
        <f t="shared" si="22"/>
        <v>.</v>
      </c>
      <c r="D1456" s="44"/>
      <c r="E1456" s="22" t="str">
        <f>IF(D1456&lt;&gt;"",IFERROR(INDEX(Produtos!$C$4:$C$4996,MATCH(D1456,Produtos!$B$4:$B$4996,0)),"Produto não encontrado"),"")</f>
        <v/>
      </c>
    </row>
    <row r="1457" spans="1:5" x14ac:dyDescent="0.3">
      <c r="A1457" s="21" t="str">
        <f t="shared" si="22"/>
        <v>.</v>
      </c>
      <c r="D1457" s="44"/>
      <c r="E1457" s="22" t="str">
        <f>IF(D1457&lt;&gt;"",IFERROR(INDEX(Produtos!$C$4:$C$4996,MATCH(D1457,Produtos!$B$4:$B$4996,0)),"Produto não encontrado"),"")</f>
        <v/>
      </c>
    </row>
    <row r="1458" spans="1:5" x14ac:dyDescent="0.3">
      <c r="A1458" s="21" t="str">
        <f t="shared" si="22"/>
        <v>.</v>
      </c>
      <c r="D1458" s="44"/>
      <c r="E1458" s="22" t="str">
        <f>IF(D1458&lt;&gt;"",IFERROR(INDEX(Produtos!$C$4:$C$4996,MATCH(D1458,Produtos!$B$4:$B$4996,0)),"Produto não encontrado"),"")</f>
        <v/>
      </c>
    </row>
    <row r="1459" spans="1:5" x14ac:dyDescent="0.3">
      <c r="A1459" s="21" t="str">
        <f t="shared" si="22"/>
        <v>.</v>
      </c>
      <c r="D1459" s="44"/>
      <c r="E1459" s="22" t="str">
        <f>IF(D1459&lt;&gt;"",IFERROR(INDEX(Produtos!$C$4:$C$4996,MATCH(D1459,Produtos!$B$4:$B$4996,0)),"Produto não encontrado"),"")</f>
        <v/>
      </c>
    </row>
    <row r="1460" spans="1:5" x14ac:dyDescent="0.3">
      <c r="A1460" s="21" t="str">
        <f t="shared" si="22"/>
        <v>.</v>
      </c>
      <c r="D1460" s="44"/>
      <c r="E1460" s="22" t="str">
        <f>IF(D1460&lt;&gt;"",IFERROR(INDEX(Produtos!$C$4:$C$4996,MATCH(D1460,Produtos!$B$4:$B$4996,0)),"Produto não encontrado"),"")</f>
        <v/>
      </c>
    </row>
    <row r="1461" spans="1:5" x14ac:dyDescent="0.3">
      <c r="A1461" s="21" t="str">
        <f t="shared" si="22"/>
        <v>.</v>
      </c>
      <c r="D1461" s="44"/>
      <c r="E1461" s="22" t="str">
        <f>IF(D1461&lt;&gt;"",IFERROR(INDEX(Produtos!$C$4:$C$4996,MATCH(D1461,Produtos!$B$4:$B$4996,0)),"Produto não encontrado"),"")</f>
        <v/>
      </c>
    </row>
    <row r="1462" spans="1:5" x14ac:dyDescent="0.3">
      <c r="A1462" s="21" t="str">
        <f t="shared" si="22"/>
        <v>.</v>
      </c>
      <c r="D1462" s="44"/>
      <c r="E1462" s="22" t="str">
        <f>IF(D1462&lt;&gt;"",IFERROR(INDEX(Produtos!$C$4:$C$4996,MATCH(D1462,Produtos!$B$4:$B$4996,0)),"Produto não encontrado"),"")</f>
        <v/>
      </c>
    </row>
    <row r="1463" spans="1:5" x14ac:dyDescent="0.3">
      <c r="A1463" s="21" t="str">
        <f t="shared" si="22"/>
        <v>.</v>
      </c>
      <c r="D1463" s="44"/>
      <c r="E1463" s="22" t="str">
        <f>IF(D1463&lt;&gt;"",IFERROR(INDEX(Produtos!$C$4:$C$4996,MATCH(D1463,Produtos!$B$4:$B$4996,0)),"Produto não encontrado"),"")</f>
        <v/>
      </c>
    </row>
    <row r="1464" spans="1:5" x14ac:dyDescent="0.3">
      <c r="A1464" s="21" t="str">
        <f t="shared" si="22"/>
        <v>.</v>
      </c>
      <c r="D1464" s="44"/>
      <c r="E1464" s="22" t="str">
        <f>IF(D1464&lt;&gt;"",IFERROR(INDEX(Produtos!$C$4:$C$4996,MATCH(D1464,Produtos!$B$4:$B$4996,0)),"Produto não encontrado"),"")</f>
        <v/>
      </c>
    </row>
    <row r="1465" spans="1:5" x14ac:dyDescent="0.3">
      <c r="A1465" s="21" t="str">
        <f t="shared" si="22"/>
        <v>.</v>
      </c>
      <c r="D1465" s="44"/>
      <c r="E1465" s="22" t="str">
        <f>IF(D1465&lt;&gt;"",IFERROR(INDEX(Produtos!$C$4:$C$4996,MATCH(D1465,Produtos!$B$4:$B$4996,0)),"Produto não encontrado"),"")</f>
        <v/>
      </c>
    </row>
    <row r="1466" spans="1:5" x14ac:dyDescent="0.3">
      <c r="A1466" s="21" t="str">
        <f t="shared" si="22"/>
        <v>.</v>
      </c>
      <c r="D1466" s="44"/>
      <c r="E1466" s="22" t="str">
        <f>IF(D1466&lt;&gt;"",IFERROR(INDEX(Produtos!$C$4:$C$4996,MATCH(D1466,Produtos!$B$4:$B$4996,0)),"Produto não encontrado"),"")</f>
        <v/>
      </c>
    </row>
    <row r="1467" spans="1:5" x14ac:dyDescent="0.3">
      <c r="A1467" s="21" t="str">
        <f t="shared" si="22"/>
        <v>.</v>
      </c>
      <c r="D1467" s="44"/>
      <c r="E1467" s="22" t="str">
        <f>IF(D1467&lt;&gt;"",IFERROR(INDEX(Produtos!$C$4:$C$4996,MATCH(D1467,Produtos!$B$4:$B$4996,0)),"Produto não encontrado"),"")</f>
        <v/>
      </c>
    </row>
    <row r="1468" spans="1:5" x14ac:dyDescent="0.3">
      <c r="A1468" s="21" t="str">
        <f t="shared" si="22"/>
        <v>.</v>
      </c>
      <c r="D1468" s="44"/>
      <c r="E1468" s="22" t="str">
        <f>IF(D1468&lt;&gt;"",IFERROR(INDEX(Produtos!$C$4:$C$4996,MATCH(D1468,Produtos!$B$4:$B$4996,0)),"Produto não encontrado"),"")</f>
        <v/>
      </c>
    </row>
    <row r="1469" spans="1:5" x14ac:dyDescent="0.3">
      <c r="A1469" s="21" t="str">
        <f t="shared" si="22"/>
        <v>.</v>
      </c>
      <c r="D1469" s="44"/>
      <c r="E1469" s="22" t="str">
        <f>IF(D1469&lt;&gt;"",IFERROR(INDEX(Produtos!$C$4:$C$4996,MATCH(D1469,Produtos!$B$4:$B$4996,0)),"Produto não encontrado"),"")</f>
        <v/>
      </c>
    </row>
    <row r="1470" spans="1:5" x14ac:dyDescent="0.3">
      <c r="A1470" s="21" t="str">
        <f t="shared" si="22"/>
        <v>.</v>
      </c>
      <c r="D1470" s="44"/>
      <c r="E1470" s="22" t="str">
        <f>IF(D1470&lt;&gt;"",IFERROR(INDEX(Produtos!$C$4:$C$4996,MATCH(D1470,Produtos!$B$4:$B$4996,0)),"Produto não encontrado"),"")</f>
        <v/>
      </c>
    </row>
    <row r="1471" spans="1:5" x14ac:dyDescent="0.3">
      <c r="A1471" s="21" t="str">
        <f t="shared" si="22"/>
        <v>.</v>
      </c>
      <c r="D1471" s="44"/>
      <c r="E1471" s="22" t="str">
        <f>IF(D1471&lt;&gt;"",IFERROR(INDEX(Produtos!$C$4:$C$4996,MATCH(D1471,Produtos!$B$4:$B$4996,0)),"Produto não encontrado"),"")</f>
        <v/>
      </c>
    </row>
    <row r="1472" spans="1:5" x14ac:dyDescent="0.3">
      <c r="A1472" s="21" t="str">
        <f t="shared" ref="A1472:A1535" si="23">IF(C1472="Entrada",2,IF(C1472="Saída",1,"."))</f>
        <v>.</v>
      </c>
      <c r="D1472" s="44"/>
      <c r="E1472" s="22" t="str">
        <f>IF(D1472&lt;&gt;"",IFERROR(INDEX(Produtos!$C$4:$C$4996,MATCH(D1472,Produtos!$B$4:$B$4996,0)),"Produto não encontrado"),"")</f>
        <v/>
      </c>
    </row>
    <row r="1473" spans="1:5" x14ac:dyDescent="0.3">
      <c r="A1473" s="21" t="str">
        <f t="shared" si="23"/>
        <v>.</v>
      </c>
      <c r="D1473" s="44"/>
      <c r="E1473" s="22" t="str">
        <f>IF(D1473&lt;&gt;"",IFERROR(INDEX(Produtos!$C$4:$C$4996,MATCH(D1473,Produtos!$B$4:$B$4996,0)),"Produto não encontrado"),"")</f>
        <v/>
      </c>
    </row>
    <row r="1474" spans="1:5" x14ac:dyDescent="0.3">
      <c r="A1474" s="21" t="str">
        <f t="shared" si="23"/>
        <v>.</v>
      </c>
      <c r="D1474" s="44"/>
      <c r="E1474" s="22" t="str">
        <f>IF(D1474&lt;&gt;"",IFERROR(INDEX(Produtos!$C$4:$C$4996,MATCH(D1474,Produtos!$B$4:$B$4996,0)),"Produto não encontrado"),"")</f>
        <v/>
      </c>
    </row>
    <row r="1475" spans="1:5" x14ac:dyDescent="0.3">
      <c r="A1475" s="21" t="str">
        <f t="shared" si="23"/>
        <v>.</v>
      </c>
      <c r="D1475" s="44"/>
      <c r="E1475" s="22" t="str">
        <f>IF(D1475&lt;&gt;"",IFERROR(INDEX(Produtos!$C$4:$C$4996,MATCH(D1475,Produtos!$B$4:$B$4996,0)),"Produto não encontrado"),"")</f>
        <v/>
      </c>
    </row>
    <row r="1476" spans="1:5" x14ac:dyDescent="0.3">
      <c r="A1476" s="21" t="str">
        <f t="shared" si="23"/>
        <v>.</v>
      </c>
      <c r="D1476" s="44"/>
      <c r="E1476" s="22" t="str">
        <f>IF(D1476&lt;&gt;"",IFERROR(INDEX(Produtos!$C$4:$C$4996,MATCH(D1476,Produtos!$B$4:$B$4996,0)),"Produto não encontrado"),"")</f>
        <v/>
      </c>
    </row>
    <row r="1477" spans="1:5" x14ac:dyDescent="0.3">
      <c r="A1477" s="21" t="str">
        <f t="shared" si="23"/>
        <v>.</v>
      </c>
      <c r="D1477" s="44"/>
      <c r="E1477" s="22" t="str">
        <f>IF(D1477&lt;&gt;"",IFERROR(INDEX(Produtos!$C$4:$C$4996,MATCH(D1477,Produtos!$B$4:$B$4996,0)),"Produto não encontrado"),"")</f>
        <v/>
      </c>
    </row>
    <row r="1478" spans="1:5" x14ac:dyDescent="0.3">
      <c r="A1478" s="21" t="str">
        <f t="shared" si="23"/>
        <v>.</v>
      </c>
      <c r="D1478" s="44"/>
      <c r="E1478" s="22" t="str">
        <f>IF(D1478&lt;&gt;"",IFERROR(INDEX(Produtos!$C$4:$C$4996,MATCH(D1478,Produtos!$B$4:$B$4996,0)),"Produto não encontrado"),"")</f>
        <v/>
      </c>
    </row>
    <row r="1479" spans="1:5" x14ac:dyDescent="0.3">
      <c r="A1479" s="21" t="str">
        <f t="shared" si="23"/>
        <v>.</v>
      </c>
      <c r="D1479" s="44"/>
      <c r="E1479" s="22" t="str">
        <f>IF(D1479&lt;&gt;"",IFERROR(INDEX(Produtos!$C$4:$C$4996,MATCH(D1479,Produtos!$B$4:$B$4996,0)),"Produto não encontrado"),"")</f>
        <v/>
      </c>
    </row>
    <row r="1480" spans="1:5" x14ac:dyDescent="0.3">
      <c r="A1480" s="21" t="str">
        <f t="shared" si="23"/>
        <v>.</v>
      </c>
      <c r="D1480" s="44"/>
      <c r="E1480" s="22" t="str">
        <f>IF(D1480&lt;&gt;"",IFERROR(INDEX(Produtos!$C$4:$C$4996,MATCH(D1480,Produtos!$B$4:$B$4996,0)),"Produto não encontrado"),"")</f>
        <v/>
      </c>
    </row>
    <row r="1481" spans="1:5" x14ac:dyDescent="0.3">
      <c r="A1481" s="21" t="str">
        <f t="shared" si="23"/>
        <v>.</v>
      </c>
      <c r="D1481" s="44"/>
      <c r="E1481" s="22" t="str">
        <f>IF(D1481&lt;&gt;"",IFERROR(INDEX(Produtos!$C$4:$C$4996,MATCH(D1481,Produtos!$B$4:$B$4996,0)),"Produto não encontrado"),"")</f>
        <v/>
      </c>
    </row>
    <row r="1482" spans="1:5" x14ac:dyDescent="0.3">
      <c r="A1482" s="21" t="str">
        <f t="shared" si="23"/>
        <v>.</v>
      </c>
      <c r="D1482" s="44"/>
      <c r="E1482" s="22" t="str">
        <f>IF(D1482&lt;&gt;"",IFERROR(INDEX(Produtos!$C$4:$C$4996,MATCH(D1482,Produtos!$B$4:$B$4996,0)),"Produto não encontrado"),"")</f>
        <v/>
      </c>
    </row>
    <row r="1483" spans="1:5" x14ac:dyDescent="0.3">
      <c r="A1483" s="21" t="str">
        <f t="shared" si="23"/>
        <v>.</v>
      </c>
      <c r="D1483" s="44"/>
      <c r="E1483" s="22" t="str">
        <f>IF(D1483&lt;&gt;"",IFERROR(INDEX(Produtos!$C$4:$C$4996,MATCH(D1483,Produtos!$B$4:$B$4996,0)),"Produto não encontrado"),"")</f>
        <v/>
      </c>
    </row>
    <row r="1484" spans="1:5" x14ac:dyDescent="0.3">
      <c r="A1484" s="21" t="str">
        <f t="shared" si="23"/>
        <v>.</v>
      </c>
      <c r="D1484" s="44"/>
      <c r="E1484" s="22" t="str">
        <f>IF(D1484&lt;&gt;"",IFERROR(INDEX(Produtos!$C$4:$C$4996,MATCH(D1484,Produtos!$B$4:$B$4996,0)),"Produto não encontrado"),"")</f>
        <v/>
      </c>
    </row>
    <row r="1485" spans="1:5" x14ac:dyDescent="0.3">
      <c r="A1485" s="21" t="str">
        <f t="shared" si="23"/>
        <v>.</v>
      </c>
      <c r="D1485" s="44"/>
      <c r="E1485" s="22" t="str">
        <f>IF(D1485&lt;&gt;"",IFERROR(INDEX(Produtos!$C$4:$C$4996,MATCH(D1485,Produtos!$B$4:$B$4996,0)),"Produto não encontrado"),"")</f>
        <v/>
      </c>
    </row>
    <row r="1486" spans="1:5" x14ac:dyDescent="0.3">
      <c r="A1486" s="21" t="str">
        <f t="shared" si="23"/>
        <v>.</v>
      </c>
      <c r="D1486" s="44"/>
      <c r="E1486" s="22" t="str">
        <f>IF(D1486&lt;&gt;"",IFERROR(INDEX(Produtos!$C$4:$C$4996,MATCH(D1486,Produtos!$B$4:$B$4996,0)),"Produto não encontrado"),"")</f>
        <v/>
      </c>
    </row>
    <row r="1487" spans="1:5" x14ac:dyDescent="0.3">
      <c r="A1487" s="21" t="str">
        <f t="shared" si="23"/>
        <v>.</v>
      </c>
      <c r="D1487" s="44"/>
      <c r="E1487" s="22" t="str">
        <f>IF(D1487&lt;&gt;"",IFERROR(INDEX(Produtos!$C$4:$C$4996,MATCH(D1487,Produtos!$B$4:$B$4996,0)),"Produto não encontrado"),"")</f>
        <v/>
      </c>
    </row>
    <row r="1488" spans="1:5" x14ac:dyDescent="0.3">
      <c r="A1488" s="21" t="str">
        <f t="shared" si="23"/>
        <v>.</v>
      </c>
      <c r="D1488" s="44"/>
      <c r="E1488" s="22" t="str">
        <f>IF(D1488&lt;&gt;"",IFERROR(INDEX(Produtos!$C$4:$C$4996,MATCH(D1488,Produtos!$B$4:$B$4996,0)),"Produto não encontrado"),"")</f>
        <v/>
      </c>
    </row>
    <row r="1489" spans="1:5" x14ac:dyDescent="0.3">
      <c r="A1489" s="21" t="str">
        <f t="shared" si="23"/>
        <v>.</v>
      </c>
      <c r="D1489" s="44"/>
      <c r="E1489" s="22" t="str">
        <f>IF(D1489&lt;&gt;"",IFERROR(INDEX(Produtos!$C$4:$C$4996,MATCH(D1489,Produtos!$B$4:$B$4996,0)),"Produto não encontrado"),"")</f>
        <v/>
      </c>
    </row>
    <row r="1490" spans="1:5" x14ac:dyDescent="0.3">
      <c r="A1490" s="21" t="str">
        <f t="shared" si="23"/>
        <v>.</v>
      </c>
      <c r="D1490" s="44"/>
      <c r="E1490" s="22" t="str">
        <f>IF(D1490&lt;&gt;"",IFERROR(INDEX(Produtos!$C$4:$C$4996,MATCH(D1490,Produtos!$B$4:$B$4996,0)),"Produto não encontrado"),"")</f>
        <v/>
      </c>
    </row>
    <row r="1491" spans="1:5" x14ac:dyDescent="0.3">
      <c r="A1491" s="21" t="str">
        <f t="shared" si="23"/>
        <v>.</v>
      </c>
      <c r="D1491" s="44"/>
      <c r="E1491" s="22" t="str">
        <f>IF(D1491&lt;&gt;"",IFERROR(INDEX(Produtos!$C$4:$C$4996,MATCH(D1491,Produtos!$B$4:$B$4996,0)),"Produto não encontrado"),"")</f>
        <v/>
      </c>
    </row>
    <row r="1492" spans="1:5" x14ac:dyDescent="0.3">
      <c r="A1492" s="21" t="str">
        <f t="shared" si="23"/>
        <v>.</v>
      </c>
      <c r="D1492" s="44"/>
      <c r="E1492" s="22" t="str">
        <f>IF(D1492&lt;&gt;"",IFERROR(INDEX(Produtos!$C$4:$C$4996,MATCH(D1492,Produtos!$B$4:$B$4996,0)),"Produto não encontrado"),"")</f>
        <v/>
      </c>
    </row>
    <row r="1493" spans="1:5" x14ac:dyDescent="0.3">
      <c r="A1493" s="21" t="str">
        <f t="shared" si="23"/>
        <v>.</v>
      </c>
      <c r="D1493" s="44"/>
      <c r="E1493" s="22" t="str">
        <f>IF(D1493&lt;&gt;"",IFERROR(INDEX(Produtos!$C$4:$C$4996,MATCH(D1493,Produtos!$B$4:$B$4996,0)),"Produto não encontrado"),"")</f>
        <v/>
      </c>
    </row>
    <row r="1494" spans="1:5" x14ac:dyDescent="0.3">
      <c r="A1494" s="21" t="str">
        <f t="shared" si="23"/>
        <v>.</v>
      </c>
      <c r="D1494" s="44"/>
      <c r="E1494" s="22" t="str">
        <f>IF(D1494&lt;&gt;"",IFERROR(INDEX(Produtos!$C$4:$C$4996,MATCH(D1494,Produtos!$B$4:$B$4996,0)),"Produto não encontrado"),"")</f>
        <v/>
      </c>
    </row>
    <row r="1495" spans="1:5" x14ac:dyDescent="0.3">
      <c r="A1495" s="21" t="str">
        <f t="shared" si="23"/>
        <v>.</v>
      </c>
      <c r="D1495" s="44"/>
      <c r="E1495" s="22" t="str">
        <f>IF(D1495&lt;&gt;"",IFERROR(INDEX(Produtos!$C$4:$C$4996,MATCH(D1495,Produtos!$B$4:$B$4996,0)),"Produto não encontrado"),"")</f>
        <v/>
      </c>
    </row>
    <row r="1496" spans="1:5" x14ac:dyDescent="0.3">
      <c r="A1496" s="21" t="str">
        <f t="shared" si="23"/>
        <v>.</v>
      </c>
      <c r="D1496" s="44"/>
      <c r="E1496" s="22" t="str">
        <f>IF(D1496&lt;&gt;"",IFERROR(INDEX(Produtos!$C$4:$C$4996,MATCH(D1496,Produtos!$B$4:$B$4996,0)),"Produto não encontrado"),"")</f>
        <v/>
      </c>
    </row>
    <row r="1497" spans="1:5" x14ac:dyDescent="0.3">
      <c r="A1497" s="21" t="str">
        <f t="shared" si="23"/>
        <v>.</v>
      </c>
      <c r="D1497" s="44"/>
      <c r="E1497" s="22" t="str">
        <f>IF(D1497&lt;&gt;"",IFERROR(INDEX(Produtos!$C$4:$C$4996,MATCH(D1497,Produtos!$B$4:$B$4996,0)),"Produto não encontrado"),"")</f>
        <v/>
      </c>
    </row>
    <row r="1498" spans="1:5" x14ac:dyDescent="0.3">
      <c r="A1498" s="21" t="str">
        <f t="shared" si="23"/>
        <v>.</v>
      </c>
      <c r="D1498" s="44"/>
      <c r="E1498" s="22" t="str">
        <f>IF(D1498&lt;&gt;"",IFERROR(INDEX(Produtos!$C$4:$C$4996,MATCH(D1498,Produtos!$B$4:$B$4996,0)),"Produto não encontrado"),"")</f>
        <v/>
      </c>
    </row>
    <row r="1499" spans="1:5" x14ac:dyDescent="0.3">
      <c r="A1499" s="21" t="str">
        <f t="shared" si="23"/>
        <v>.</v>
      </c>
      <c r="D1499" s="44"/>
      <c r="E1499" s="22" t="str">
        <f>IF(D1499&lt;&gt;"",IFERROR(INDEX(Produtos!$C$4:$C$4996,MATCH(D1499,Produtos!$B$4:$B$4996,0)),"Produto não encontrado"),"")</f>
        <v/>
      </c>
    </row>
    <row r="1500" spans="1:5" x14ac:dyDescent="0.3">
      <c r="A1500" s="21" t="str">
        <f t="shared" si="23"/>
        <v>.</v>
      </c>
      <c r="D1500" s="44"/>
      <c r="E1500" s="22" t="str">
        <f>IF(D1500&lt;&gt;"",IFERROR(INDEX(Produtos!$C$4:$C$4996,MATCH(D1500,Produtos!$B$4:$B$4996,0)),"Produto não encontrado"),"")</f>
        <v/>
      </c>
    </row>
    <row r="1501" spans="1:5" x14ac:dyDescent="0.3">
      <c r="A1501" s="21" t="str">
        <f t="shared" si="23"/>
        <v>.</v>
      </c>
      <c r="D1501" s="44"/>
      <c r="E1501" s="22" t="str">
        <f>IF(D1501&lt;&gt;"",IFERROR(INDEX(Produtos!$C$4:$C$4996,MATCH(D1501,Produtos!$B$4:$B$4996,0)),"Produto não encontrado"),"")</f>
        <v/>
      </c>
    </row>
    <row r="1502" spans="1:5" x14ac:dyDescent="0.3">
      <c r="A1502" s="21" t="str">
        <f t="shared" si="23"/>
        <v>.</v>
      </c>
      <c r="D1502" s="44"/>
      <c r="E1502" s="22" t="str">
        <f>IF(D1502&lt;&gt;"",IFERROR(INDEX(Produtos!$C$4:$C$4996,MATCH(D1502,Produtos!$B$4:$B$4996,0)),"Produto não encontrado"),"")</f>
        <v/>
      </c>
    </row>
    <row r="1503" spans="1:5" x14ac:dyDescent="0.3">
      <c r="A1503" s="21" t="str">
        <f t="shared" si="23"/>
        <v>.</v>
      </c>
      <c r="D1503" s="44"/>
      <c r="E1503" s="22" t="str">
        <f>IF(D1503&lt;&gt;"",IFERROR(INDEX(Produtos!$C$4:$C$4996,MATCH(D1503,Produtos!$B$4:$B$4996,0)),"Produto não encontrado"),"")</f>
        <v/>
      </c>
    </row>
    <row r="1504" spans="1:5" x14ac:dyDescent="0.3">
      <c r="A1504" s="21" t="str">
        <f t="shared" si="23"/>
        <v>.</v>
      </c>
      <c r="D1504" s="44"/>
      <c r="E1504" s="22" t="str">
        <f>IF(D1504&lt;&gt;"",IFERROR(INDEX(Produtos!$C$4:$C$4996,MATCH(D1504,Produtos!$B$4:$B$4996,0)),"Produto não encontrado"),"")</f>
        <v/>
      </c>
    </row>
    <row r="1505" spans="1:5" x14ac:dyDescent="0.3">
      <c r="A1505" s="21" t="str">
        <f t="shared" si="23"/>
        <v>.</v>
      </c>
      <c r="D1505" s="44"/>
      <c r="E1505" s="22" t="str">
        <f>IF(D1505&lt;&gt;"",IFERROR(INDEX(Produtos!$C$4:$C$4996,MATCH(D1505,Produtos!$B$4:$B$4996,0)),"Produto não encontrado"),"")</f>
        <v/>
      </c>
    </row>
    <row r="1506" spans="1:5" x14ac:dyDescent="0.3">
      <c r="A1506" s="21" t="str">
        <f t="shared" si="23"/>
        <v>.</v>
      </c>
      <c r="D1506" s="44"/>
      <c r="E1506" s="22" t="str">
        <f>IF(D1506&lt;&gt;"",IFERROR(INDEX(Produtos!$C$4:$C$4996,MATCH(D1506,Produtos!$B$4:$B$4996,0)),"Produto não encontrado"),"")</f>
        <v/>
      </c>
    </row>
    <row r="1507" spans="1:5" x14ac:dyDescent="0.3">
      <c r="A1507" s="21" t="str">
        <f t="shared" si="23"/>
        <v>.</v>
      </c>
      <c r="D1507" s="44"/>
      <c r="E1507" s="22" t="str">
        <f>IF(D1507&lt;&gt;"",IFERROR(INDEX(Produtos!$C$4:$C$4996,MATCH(D1507,Produtos!$B$4:$B$4996,0)),"Produto não encontrado"),"")</f>
        <v/>
      </c>
    </row>
    <row r="1508" spans="1:5" x14ac:dyDescent="0.3">
      <c r="A1508" s="21" t="str">
        <f t="shared" si="23"/>
        <v>.</v>
      </c>
      <c r="D1508" s="44"/>
      <c r="E1508" s="22" t="str">
        <f>IF(D1508&lt;&gt;"",IFERROR(INDEX(Produtos!$C$4:$C$4996,MATCH(D1508,Produtos!$B$4:$B$4996,0)),"Produto não encontrado"),"")</f>
        <v/>
      </c>
    </row>
    <row r="1509" spans="1:5" x14ac:dyDescent="0.3">
      <c r="A1509" s="21" t="str">
        <f t="shared" si="23"/>
        <v>.</v>
      </c>
      <c r="D1509" s="44"/>
      <c r="E1509" s="22" t="str">
        <f>IF(D1509&lt;&gt;"",IFERROR(INDEX(Produtos!$C$4:$C$4996,MATCH(D1509,Produtos!$B$4:$B$4996,0)),"Produto não encontrado"),"")</f>
        <v/>
      </c>
    </row>
    <row r="1510" spans="1:5" x14ac:dyDescent="0.3">
      <c r="A1510" s="21" t="str">
        <f t="shared" si="23"/>
        <v>.</v>
      </c>
      <c r="D1510" s="44"/>
      <c r="E1510" s="22" t="str">
        <f>IF(D1510&lt;&gt;"",IFERROR(INDEX(Produtos!$C$4:$C$4996,MATCH(D1510,Produtos!$B$4:$B$4996,0)),"Produto não encontrado"),"")</f>
        <v/>
      </c>
    </row>
    <row r="1511" spans="1:5" x14ac:dyDescent="0.3">
      <c r="A1511" s="21" t="str">
        <f t="shared" si="23"/>
        <v>.</v>
      </c>
      <c r="D1511" s="44"/>
      <c r="E1511" s="22" t="str">
        <f>IF(D1511&lt;&gt;"",IFERROR(INDEX(Produtos!$C$4:$C$4996,MATCH(D1511,Produtos!$B$4:$B$4996,0)),"Produto não encontrado"),"")</f>
        <v/>
      </c>
    </row>
    <row r="1512" spans="1:5" x14ac:dyDescent="0.3">
      <c r="A1512" s="21" t="str">
        <f t="shared" si="23"/>
        <v>.</v>
      </c>
      <c r="D1512" s="44"/>
      <c r="E1512" s="22" t="str">
        <f>IF(D1512&lt;&gt;"",IFERROR(INDEX(Produtos!$C$4:$C$4996,MATCH(D1512,Produtos!$B$4:$B$4996,0)),"Produto não encontrado"),"")</f>
        <v/>
      </c>
    </row>
    <row r="1513" spans="1:5" x14ac:dyDescent="0.3">
      <c r="A1513" s="21" t="str">
        <f t="shared" si="23"/>
        <v>.</v>
      </c>
      <c r="D1513" s="44"/>
      <c r="E1513" s="22" t="str">
        <f>IF(D1513&lt;&gt;"",IFERROR(INDEX(Produtos!$C$4:$C$4996,MATCH(D1513,Produtos!$B$4:$B$4996,0)),"Produto não encontrado"),"")</f>
        <v/>
      </c>
    </row>
    <row r="1514" spans="1:5" x14ac:dyDescent="0.3">
      <c r="A1514" s="21" t="str">
        <f t="shared" si="23"/>
        <v>.</v>
      </c>
      <c r="D1514" s="44"/>
      <c r="E1514" s="22" t="str">
        <f>IF(D1514&lt;&gt;"",IFERROR(INDEX(Produtos!$C$4:$C$4996,MATCH(D1514,Produtos!$B$4:$B$4996,0)),"Produto não encontrado"),"")</f>
        <v/>
      </c>
    </row>
    <row r="1515" spans="1:5" x14ac:dyDescent="0.3">
      <c r="A1515" s="21" t="str">
        <f t="shared" si="23"/>
        <v>.</v>
      </c>
      <c r="D1515" s="44"/>
      <c r="E1515" s="22" t="str">
        <f>IF(D1515&lt;&gt;"",IFERROR(INDEX(Produtos!$C$4:$C$4996,MATCH(D1515,Produtos!$B$4:$B$4996,0)),"Produto não encontrado"),"")</f>
        <v/>
      </c>
    </row>
    <row r="1516" spans="1:5" x14ac:dyDescent="0.3">
      <c r="A1516" s="21" t="str">
        <f t="shared" si="23"/>
        <v>.</v>
      </c>
      <c r="D1516" s="44"/>
      <c r="E1516" s="22" t="str">
        <f>IF(D1516&lt;&gt;"",IFERROR(INDEX(Produtos!$C$4:$C$4996,MATCH(D1516,Produtos!$B$4:$B$4996,0)),"Produto não encontrado"),"")</f>
        <v/>
      </c>
    </row>
    <row r="1517" spans="1:5" x14ac:dyDescent="0.3">
      <c r="A1517" s="21" t="str">
        <f t="shared" si="23"/>
        <v>.</v>
      </c>
      <c r="D1517" s="44"/>
      <c r="E1517" s="22" t="str">
        <f>IF(D1517&lt;&gt;"",IFERROR(INDEX(Produtos!$C$4:$C$4996,MATCH(D1517,Produtos!$B$4:$B$4996,0)),"Produto não encontrado"),"")</f>
        <v/>
      </c>
    </row>
    <row r="1518" spans="1:5" x14ac:dyDescent="0.3">
      <c r="A1518" s="21" t="str">
        <f t="shared" si="23"/>
        <v>.</v>
      </c>
      <c r="D1518" s="44"/>
      <c r="E1518" s="22" t="str">
        <f>IF(D1518&lt;&gt;"",IFERROR(INDEX(Produtos!$C$4:$C$4996,MATCH(D1518,Produtos!$B$4:$B$4996,0)),"Produto não encontrado"),"")</f>
        <v/>
      </c>
    </row>
    <row r="1519" spans="1:5" x14ac:dyDescent="0.3">
      <c r="A1519" s="21" t="str">
        <f t="shared" si="23"/>
        <v>.</v>
      </c>
      <c r="D1519" s="44"/>
      <c r="E1519" s="22" t="str">
        <f>IF(D1519&lt;&gt;"",IFERROR(INDEX(Produtos!$C$4:$C$4996,MATCH(D1519,Produtos!$B$4:$B$4996,0)),"Produto não encontrado"),"")</f>
        <v/>
      </c>
    </row>
    <row r="1520" spans="1:5" x14ac:dyDescent="0.3">
      <c r="A1520" s="21" t="str">
        <f t="shared" si="23"/>
        <v>.</v>
      </c>
      <c r="D1520" s="44"/>
      <c r="E1520" s="22" t="str">
        <f>IF(D1520&lt;&gt;"",IFERROR(INDEX(Produtos!$C$4:$C$4996,MATCH(D1520,Produtos!$B$4:$B$4996,0)),"Produto não encontrado"),"")</f>
        <v/>
      </c>
    </row>
    <row r="1521" spans="1:5" x14ac:dyDescent="0.3">
      <c r="A1521" s="21" t="str">
        <f t="shared" si="23"/>
        <v>.</v>
      </c>
      <c r="D1521" s="44"/>
      <c r="E1521" s="22" t="str">
        <f>IF(D1521&lt;&gt;"",IFERROR(INDEX(Produtos!$C$4:$C$4996,MATCH(D1521,Produtos!$B$4:$B$4996,0)),"Produto não encontrado"),"")</f>
        <v/>
      </c>
    </row>
    <row r="1522" spans="1:5" x14ac:dyDescent="0.3">
      <c r="A1522" s="21" t="str">
        <f t="shared" si="23"/>
        <v>.</v>
      </c>
      <c r="D1522" s="44"/>
      <c r="E1522" s="22" t="str">
        <f>IF(D1522&lt;&gt;"",IFERROR(INDEX(Produtos!$C$4:$C$4996,MATCH(D1522,Produtos!$B$4:$B$4996,0)),"Produto não encontrado"),"")</f>
        <v/>
      </c>
    </row>
    <row r="1523" spans="1:5" x14ac:dyDescent="0.3">
      <c r="A1523" s="21" t="str">
        <f t="shared" si="23"/>
        <v>.</v>
      </c>
      <c r="D1523" s="44"/>
      <c r="E1523" s="22" t="str">
        <f>IF(D1523&lt;&gt;"",IFERROR(INDEX(Produtos!$C$4:$C$4996,MATCH(D1523,Produtos!$B$4:$B$4996,0)),"Produto não encontrado"),"")</f>
        <v/>
      </c>
    </row>
    <row r="1524" spans="1:5" x14ac:dyDescent="0.3">
      <c r="A1524" s="21" t="str">
        <f t="shared" si="23"/>
        <v>.</v>
      </c>
      <c r="D1524" s="44"/>
      <c r="E1524" s="22" t="str">
        <f>IF(D1524&lt;&gt;"",IFERROR(INDEX(Produtos!$C$4:$C$4996,MATCH(D1524,Produtos!$B$4:$B$4996,0)),"Produto não encontrado"),"")</f>
        <v/>
      </c>
    </row>
    <row r="1525" spans="1:5" x14ac:dyDescent="0.3">
      <c r="A1525" s="21" t="str">
        <f t="shared" si="23"/>
        <v>.</v>
      </c>
      <c r="D1525" s="44"/>
      <c r="E1525" s="22" t="str">
        <f>IF(D1525&lt;&gt;"",IFERROR(INDEX(Produtos!$C$4:$C$4996,MATCH(D1525,Produtos!$B$4:$B$4996,0)),"Produto não encontrado"),"")</f>
        <v/>
      </c>
    </row>
    <row r="1526" spans="1:5" x14ac:dyDescent="0.3">
      <c r="A1526" s="21" t="str">
        <f t="shared" si="23"/>
        <v>.</v>
      </c>
      <c r="D1526" s="44"/>
      <c r="E1526" s="22" t="str">
        <f>IF(D1526&lt;&gt;"",IFERROR(INDEX(Produtos!$C$4:$C$4996,MATCH(D1526,Produtos!$B$4:$B$4996,0)),"Produto não encontrado"),"")</f>
        <v/>
      </c>
    </row>
    <row r="1527" spans="1:5" x14ac:dyDescent="0.3">
      <c r="A1527" s="21" t="str">
        <f t="shared" si="23"/>
        <v>.</v>
      </c>
      <c r="D1527" s="44"/>
      <c r="E1527" s="22" t="str">
        <f>IF(D1527&lt;&gt;"",IFERROR(INDEX(Produtos!$C$4:$C$4996,MATCH(D1527,Produtos!$B$4:$B$4996,0)),"Produto não encontrado"),"")</f>
        <v/>
      </c>
    </row>
    <row r="1528" spans="1:5" x14ac:dyDescent="0.3">
      <c r="A1528" s="21" t="str">
        <f t="shared" si="23"/>
        <v>.</v>
      </c>
      <c r="D1528" s="44"/>
      <c r="E1528" s="22" t="str">
        <f>IF(D1528&lt;&gt;"",IFERROR(INDEX(Produtos!$C$4:$C$4996,MATCH(D1528,Produtos!$B$4:$B$4996,0)),"Produto não encontrado"),"")</f>
        <v/>
      </c>
    </row>
    <row r="1529" spans="1:5" x14ac:dyDescent="0.3">
      <c r="A1529" s="21" t="str">
        <f t="shared" si="23"/>
        <v>.</v>
      </c>
      <c r="D1529" s="44"/>
      <c r="E1529" s="22" t="str">
        <f>IF(D1529&lt;&gt;"",IFERROR(INDEX(Produtos!$C$4:$C$4996,MATCH(D1529,Produtos!$B$4:$B$4996,0)),"Produto não encontrado"),"")</f>
        <v/>
      </c>
    </row>
    <row r="1530" spans="1:5" x14ac:dyDescent="0.3">
      <c r="A1530" s="21" t="str">
        <f t="shared" si="23"/>
        <v>.</v>
      </c>
      <c r="D1530" s="44"/>
      <c r="E1530" s="22" t="str">
        <f>IF(D1530&lt;&gt;"",IFERROR(INDEX(Produtos!$C$4:$C$4996,MATCH(D1530,Produtos!$B$4:$B$4996,0)),"Produto não encontrado"),"")</f>
        <v/>
      </c>
    </row>
    <row r="1531" spans="1:5" x14ac:dyDescent="0.3">
      <c r="A1531" s="21" t="str">
        <f t="shared" si="23"/>
        <v>.</v>
      </c>
      <c r="D1531" s="44"/>
      <c r="E1531" s="22" t="str">
        <f>IF(D1531&lt;&gt;"",IFERROR(INDEX(Produtos!$C$4:$C$4996,MATCH(D1531,Produtos!$B$4:$B$4996,0)),"Produto não encontrado"),"")</f>
        <v/>
      </c>
    </row>
    <row r="1532" spans="1:5" x14ac:dyDescent="0.3">
      <c r="A1532" s="21" t="str">
        <f t="shared" si="23"/>
        <v>.</v>
      </c>
      <c r="D1532" s="44"/>
      <c r="E1532" s="22" t="str">
        <f>IF(D1532&lt;&gt;"",IFERROR(INDEX(Produtos!$C$4:$C$4996,MATCH(D1532,Produtos!$B$4:$B$4996,0)),"Produto não encontrado"),"")</f>
        <v/>
      </c>
    </row>
    <row r="1533" spans="1:5" x14ac:dyDescent="0.3">
      <c r="A1533" s="21" t="str">
        <f t="shared" si="23"/>
        <v>.</v>
      </c>
      <c r="D1533" s="44"/>
      <c r="E1533" s="22" t="str">
        <f>IF(D1533&lt;&gt;"",IFERROR(INDEX(Produtos!$C$4:$C$4996,MATCH(D1533,Produtos!$B$4:$B$4996,0)),"Produto não encontrado"),"")</f>
        <v/>
      </c>
    </row>
    <row r="1534" spans="1:5" x14ac:dyDescent="0.3">
      <c r="A1534" s="21" t="str">
        <f t="shared" si="23"/>
        <v>.</v>
      </c>
      <c r="D1534" s="44"/>
      <c r="E1534" s="22" t="str">
        <f>IF(D1534&lt;&gt;"",IFERROR(INDEX(Produtos!$C$4:$C$4996,MATCH(D1534,Produtos!$B$4:$B$4996,0)),"Produto não encontrado"),"")</f>
        <v/>
      </c>
    </row>
    <row r="1535" spans="1:5" x14ac:dyDescent="0.3">
      <c r="A1535" s="21" t="str">
        <f t="shared" si="23"/>
        <v>.</v>
      </c>
      <c r="D1535" s="44"/>
      <c r="E1535" s="22" t="str">
        <f>IF(D1535&lt;&gt;"",IFERROR(INDEX(Produtos!$C$4:$C$4996,MATCH(D1535,Produtos!$B$4:$B$4996,0)),"Produto não encontrado"),"")</f>
        <v/>
      </c>
    </row>
    <row r="1536" spans="1:5" x14ac:dyDescent="0.3">
      <c r="A1536" s="21" t="str">
        <f t="shared" ref="A1536:A1599" si="24">IF(C1536="Entrada",2,IF(C1536="Saída",1,"."))</f>
        <v>.</v>
      </c>
      <c r="D1536" s="44"/>
      <c r="E1536" s="22" t="str">
        <f>IF(D1536&lt;&gt;"",IFERROR(INDEX(Produtos!$C$4:$C$4996,MATCH(D1536,Produtos!$B$4:$B$4996,0)),"Produto não encontrado"),"")</f>
        <v/>
      </c>
    </row>
    <row r="1537" spans="1:5" x14ac:dyDescent="0.3">
      <c r="A1537" s="21" t="str">
        <f t="shared" si="24"/>
        <v>.</v>
      </c>
      <c r="D1537" s="44"/>
      <c r="E1537" s="22" t="str">
        <f>IF(D1537&lt;&gt;"",IFERROR(INDEX(Produtos!$C$4:$C$4996,MATCH(D1537,Produtos!$B$4:$B$4996,0)),"Produto não encontrado"),"")</f>
        <v/>
      </c>
    </row>
    <row r="1538" spans="1:5" x14ac:dyDescent="0.3">
      <c r="A1538" s="21" t="str">
        <f t="shared" si="24"/>
        <v>.</v>
      </c>
      <c r="D1538" s="44"/>
      <c r="E1538" s="22" t="str">
        <f>IF(D1538&lt;&gt;"",IFERROR(INDEX(Produtos!$C$4:$C$4996,MATCH(D1538,Produtos!$B$4:$B$4996,0)),"Produto não encontrado"),"")</f>
        <v/>
      </c>
    </row>
    <row r="1539" spans="1:5" x14ac:dyDescent="0.3">
      <c r="A1539" s="21" t="str">
        <f t="shared" si="24"/>
        <v>.</v>
      </c>
      <c r="D1539" s="44"/>
      <c r="E1539" s="22" t="str">
        <f>IF(D1539&lt;&gt;"",IFERROR(INDEX(Produtos!$C$4:$C$4996,MATCH(D1539,Produtos!$B$4:$B$4996,0)),"Produto não encontrado"),"")</f>
        <v/>
      </c>
    </row>
    <row r="1540" spans="1:5" x14ac:dyDescent="0.3">
      <c r="A1540" s="21" t="str">
        <f t="shared" si="24"/>
        <v>.</v>
      </c>
      <c r="D1540" s="44"/>
      <c r="E1540" s="22" t="str">
        <f>IF(D1540&lt;&gt;"",IFERROR(INDEX(Produtos!$C$4:$C$4996,MATCH(D1540,Produtos!$B$4:$B$4996,0)),"Produto não encontrado"),"")</f>
        <v/>
      </c>
    </row>
    <row r="1541" spans="1:5" x14ac:dyDescent="0.3">
      <c r="A1541" s="21" t="str">
        <f t="shared" si="24"/>
        <v>.</v>
      </c>
      <c r="D1541" s="44"/>
      <c r="E1541" s="22" t="str">
        <f>IF(D1541&lt;&gt;"",IFERROR(INDEX(Produtos!$C$4:$C$4996,MATCH(D1541,Produtos!$B$4:$B$4996,0)),"Produto não encontrado"),"")</f>
        <v/>
      </c>
    </row>
    <row r="1542" spans="1:5" x14ac:dyDescent="0.3">
      <c r="A1542" s="21" t="str">
        <f t="shared" si="24"/>
        <v>.</v>
      </c>
      <c r="D1542" s="44"/>
      <c r="E1542" s="22" t="str">
        <f>IF(D1542&lt;&gt;"",IFERROR(INDEX(Produtos!$C$4:$C$4996,MATCH(D1542,Produtos!$B$4:$B$4996,0)),"Produto não encontrado"),"")</f>
        <v/>
      </c>
    </row>
    <row r="1543" spans="1:5" x14ac:dyDescent="0.3">
      <c r="A1543" s="21" t="str">
        <f t="shared" si="24"/>
        <v>.</v>
      </c>
      <c r="D1543" s="44"/>
      <c r="E1543" s="22" t="str">
        <f>IF(D1543&lt;&gt;"",IFERROR(INDEX(Produtos!$C$4:$C$4996,MATCH(D1543,Produtos!$B$4:$B$4996,0)),"Produto não encontrado"),"")</f>
        <v/>
      </c>
    </row>
    <row r="1544" spans="1:5" x14ac:dyDescent="0.3">
      <c r="A1544" s="21" t="str">
        <f t="shared" si="24"/>
        <v>.</v>
      </c>
      <c r="D1544" s="44"/>
      <c r="E1544" s="22" t="str">
        <f>IF(D1544&lt;&gt;"",IFERROR(INDEX(Produtos!$C$4:$C$4996,MATCH(D1544,Produtos!$B$4:$B$4996,0)),"Produto não encontrado"),"")</f>
        <v/>
      </c>
    </row>
    <row r="1545" spans="1:5" x14ac:dyDescent="0.3">
      <c r="A1545" s="21" t="str">
        <f t="shared" si="24"/>
        <v>.</v>
      </c>
      <c r="D1545" s="44"/>
      <c r="E1545" s="22" t="str">
        <f>IF(D1545&lt;&gt;"",IFERROR(INDEX(Produtos!$C$4:$C$4996,MATCH(D1545,Produtos!$B$4:$B$4996,0)),"Produto não encontrado"),"")</f>
        <v/>
      </c>
    </row>
    <row r="1546" spans="1:5" x14ac:dyDescent="0.3">
      <c r="A1546" s="21" t="str">
        <f t="shared" si="24"/>
        <v>.</v>
      </c>
      <c r="D1546" s="44"/>
      <c r="E1546" s="22" t="str">
        <f>IF(D1546&lt;&gt;"",IFERROR(INDEX(Produtos!$C$4:$C$4996,MATCH(D1546,Produtos!$B$4:$B$4996,0)),"Produto não encontrado"),"")</f>
        <v/>
      </c>
    </row>
    <row r="1547" spans="1:5" x14ac:dyDescent="0.3">
      <c r="A1547" s="21" t="str">
        <f t="shared" si="24"/>
        <v>.</v>
      </c>
      <c r="D1547" s="44"/>
      <c r="E1547" s="22" t="str">
        <f>IF(D1547&lt;&gt;"",IFERROR(INDEX(Produtos!$C$4:$C$4996,MATCH(D1547,Produtos!$B$4:$B$4996,0)),"Produto não encontrado"),"")</f>
        <v/>
      </c>
    </row>
    <row r="1548" spans="1:5" x14ac:dyDescent="0.3">
      <c r="A1548" s="21" t="str">
        <f t="shared" si="24"/>
        <v>.</v>
      </c>
      <c r="D1548" s="44"/>
      <c r="E1548" s="22" t="str">
        <f>IF(D1548&lt;&gt;"",IFERROR(INDEX(Produtos!$C$4:$C$4996,MATCH(D1548,Produtos!$B$4:$B$4996,0)),"Produto não encontrado"),"")</f>
        <v/>
      </c>
    </row>
    <row r="1549" spans="1:5" x14ac:dyDescent="0.3">
      <c r="A1549" s="21" t="str">
        <f t="shared" si="24"/>
        <v>.</v>
      </c>
      <c r="D1549" s="44"/>
      <c r="E1549" s="22" t="str">
        <f>IF(D1549&lt;&gt;"",IFERROR(INDEX(Produtos!$C$4:$C$4996,MATCH(D1549,Produtos!$B$4:$B$4996,0)),"Produto não encontrado"),"")</f>
        <v/>
      </c>
    </row>
    <row r="1550" spans="1:5" x14ac:dyDescent="0.3">
      <c r="A1550" s="21" t="str">
        <f t="shared" si="24"/>
        <v>.</v>
      </c>
      <c r="D1550" s="44"/>
      <c r="E1550" s="22" t="str">
        <f>IF(D1550&lt;&gt;"",IFERROR(INDEX(Produtos!$C$4:$C$4996,MATCH(D1550,Produtos!$B$4:$B$4996,0)),"Produto não encontrado"),"")</f>
        <v/>
      </c>
    </row>
    <row r="1551" spans="1:5" x14ac:dyDescent="0.3">
      <c r="A1551" s="21" t="str">
        <f t="shared" si="24"/>
        <v>.</v>
      </c>
      <c r="D1551" s="44"/>
      <c r="E1551" s="22" t="str">
        <f>IF(D1551&lt;&gt;"",IFERROR(INDEX(Produtos!$C$4:$C$4996,MATCH(D1551,Produtos!$B$4:$B$4996,0)),"Produto não encontrado"),"")</f>
        <v/>
      </c>
    </row>
    <row r="1552" spans="1:5" x14ac:dyDescent="0.3">
      <c r="A1552" s="21" t="str">
        <f t="shared" si="24"/>
        <v>.</v>
      </c>
      <c r="D1552" s="44"/>
      <c r="E1552" s="22" t="str">
        <f>IF(D1552&lt;&gt;"",IFERROR(INDEX(Produtos!$C$4:$C$4996,MATCH(D1552,Produtos!$B$4:$B$4996,0)),"Produto não encontrado"),"")</f>
        <v/>
      </c>
    </row>
    <row r="1553" spans="1:5" x14ac:dyDescent="0.3">
      <c r="A1553" s="21" t="str">
        <f t="shared" si="24"/>
        <v>.</v>
      </c>
      <c r="D1553" s="44"/>
      <c r="E1553" s="22" t="str">
        <f>IF(D1553&lt;&gt;"",IFERROR(INDEX(Produtos!$C$4:$C$4996,MATCH(D1553,Produtos!$B$4:$B$4996,0)),"Produto não encontrado"),"")</f>
        <v/>
      </c>
    </row>
    <row r="1554" spans="1:5" x14ac:dyDescent="0.3">
      <c r="A1554" s="21" t="str">
        <f t="shared" si="24"/>
        <v>.</v>
      </c>
      <c r="D1554" s="44"/>
      <c r="E1554" s="22" t="str">
        <f>IF(D1554&lt;&gt;"",IFERROR(INDEX(Produtos!$C$4:$C$4996,MATCH(D1554,Produtos!$B$4:$B$4996,0)),"Produto não encontrado"),"")</f>
        <v/>
      </c>
    </row>
    <row r="1555" spans="1:5" x14ac:dyDescent="0.3">
      <c r="A1555" s="21" t="str">
        <f t="shared" si="24"/>
        <v>.</v>
      </c>
      <c r="D1555" s="44"/>
      <c r="E1555" s="22" t="str">
        <f>IF(D1555&lt;&gt;"",IFERROR(INDEX(Produtos!$C$4:$C$4996,MATCH(D1555,Produtos!$B$4:$B$4996,0)),"Produto não encontrado"),"")</f>
        <v/>
      </c>
    </row>
    <row r="1556" spans="1:5" x14ac:dyDescent="0.3">
      <c r="A1556" s="21" t="str">
        <f t="shared" si="24"/>
        <v>.</v>
      </c>
      <c r="D1556" s="44"/>
      <c r="E1556" s="22" t="str">
        <f>IF(D1556&lt;&gt;"",IFERROR(INDEX(Produtos!$C$4:$C$4996,MATCH(D1556,Produtos!$B$4:$B$4996,0)),"Produto não encontrado"),"")</f>
        <v/>
      </c>
    </row>
    <row r="1557" spans="1:5" x14ac:dyDescent="0.3">
      <c r="A1557" s="21" t="str">
        <f t="shared" si="24"/>
        <v>.</v>
      </c>
      <c r="D1557" s="44"/>
      <c r="E1557" s="22" t="str">
        <f>IF(D1557&lt;&gt;"",IFERROR(INDEX(Produtos!$C$4:$C$4996,MATCH(D1557,Produtos!$B$4:$B$4996,0)),"Produto não encontrado"),"")</f>
        <v/>
      </c>
    </row>
    <row r="1558" spans="1:5" x14ac:dyDescent="0.3">
      <c r="A1558" s="21" t="str">
        <f t="shared" si="24"/>
        <v>.</v>
      </c>
      <c r="D1558" s="44"/>
      <c r="E1558" s="22" t="str">
        <f>IF(D1558&lt;&gt;"",IFERROR(INDEX(Produtos!$C$4:$C$4996,MATCH(D1558,Produtos!$B$4:$B$4996,0)),"Produto não encontrado"),"")</f>
        <v/>
      </c>
    </row>
    <row r="1559" spans="1:5" x14ac:dyDescent="0.3">
      <c r="A1559" s="21" t="str">
        <f t="shared" si="24"/>
        <v>.</v>
      </c>
      <c r="D1559" s="44"/>
      <c r="E1559" s="22" t="str">
        <f>IF(D1559&lt;&gt;"",IFERROR(INDEX(Produtos!$C$4:$C$4996,MATCH(D1559,Produtos!$B$4:$B$4996,0)),"Produto não encontrado"),"")</f>
        <v/>
      </c>
    </row>
    <row r="1560" spans="1:5" x14ac:dyDescent="0.3">
      <c r="A1560" s="21" t="str">
        <f t="shared" si="24"/>
        <v>.</v>
      </c>
      <c r="D1560" s="44"/>
      <c r="E1560" s="22" t="str">
        <f>IF(D1560&lt;&gt;"",IFERROR(INDEX(Produtos!$C$4:$C$4996,MATCH(D1560,Produtos!$B$4:$B$4996,0)),"Produto não encontrado"),"")</f>
        <v/>
      </c>
    </row>
    <row r="1561" spans="1:5" x14ac:dyDescent="0.3">
      <c r="A1561" s="21" t="str">
        <f t="shared" si="24"/>
        <v>.</v>
      </c>
      <c r="D1561" s="44"/>
      <c r="E1561" s="22" t="str">
        <f>IF(D1561&lt;&gt;"",IFERROR(INDEX(Produtos!$C$4:$C$4996,MATCH(D1561,Produtos!$B$4:$B$4996,0)),"Produto não encontrado"),"")</f>
        <v/>
      </c>
    </row>
    <row r="1562" spans="1:5" x14ac:dyDescent="0.3">
      <c r="A1562" s="21" t="str">
        <f t="shared" si="24"/>
        <v>.</v>
      </c>
      <c r="D1562" s="44"/>
      <c r="E1562" s="22" t="str">
        <f>IF(D1562&lt;&gt;"",IFERROR(INDEX(Produtos!$C$4:$C$4996,MATCH(D1562,Produtos!$B$4:$B$4996,0)),"Produto não encontrado"),"")</f>
        <v/>
      </c>
    </row>
    <row r="1563" spans="1:5" x14ac:dyDescent="0.3">
      <c r="A1563" s="21" t="str">
        <f t="shared" si="24"/>
        <v>.</v>
      </c>
      <c r="D1563" s="44"/>
      <c r="E1563" s="22" t="str">
        <f>IF(D1563&lt;&gt;"",IFERROR(INDEX(Produtos!$C$4:$C$4996,MATCH(D1563,Produtos!$B$4:$B$4996,0)),"Produto não encontrado"),"")</f>
        <v/>
      </c>
    </row>
    <row r="1564" spans="1:5" x14ac:dyDescent="0.3">
      <c r="A1564" s="21" t="str">
        <f t="shared" si="24"/>
        <v>.</v>
      </c>
      <c r="D1564" s="44"/>
      <c r="E1564" s="22" t="str">
        <f>IF(D1564&lt;&gt;"",IFERROR(INDEX(Produtos!$C$4:$C$4996,MATCH(D1564,Produtos!$B$4:$B$4996,0)),"Produto não encontrado"),"")</f>
        <v/>
      </c>
    </row>
    <row r="1565" spans="1:5" x14ac:dyDescent="0.3">
      <c r="A1565" s="21" t="str">
        <f t="shared" si="24"/>
        <v>.</v>
      </c>
      <c r="D1565" s="44"/>
      <c r="E1565" s="22" t="str">
        <f>IF(D1565&lt;&gt;"",IFERROR(INDEX(Produtos!$C$4:$C$4996,MATCH(D1565,Produtos!$B$4:$B$4996,0)),"Produto não encontrado"),"")</f>
        <v/>
      </c>
    </row>
    <row r="1566" spans="1:5" x14ac:dyDescent="0.3">
      <c r="A1566" s="21" t="str">
        <f t="shared" si="24"/>
        <v>.</v>
      </c>
      <c r="D1566" s="44"/>
      <c r="E1566" s="22" t="str">
        <f>IF(D1566&lt;&gt;"",IFERROR(INDEX(Produtos!$C$4:$C$4996,MATCH(D1566,Produtos!$B$4:$B$4996,0)),"Produto não encontrado"),"")</f>
        <v/>
      </c>
    </row>
    <row r="1567" spans="1:5" x14ac:dyDescent="0.3">
      <c r="A1567" s="21" t="str">
        <f t="shared" si="24"/>
        <v>.</v>
      </c>
      <c r="D1567" s="44"/>
      <c r="E1567" s="22" t="str">
        <f>IF(D1567&lt;&gt;"",IFERROR(INDEX(Produtos!$C$4:$C$4996,MATCH(D1567,Produtos!$B$4:$B$4996,0)),"Produto não encontrado"),"")</f>
        <v/>
      </c>
    </row>
    <row r="1568" spans="1:5" x14ac:dyDescent="0.3">
      <c r="A1568" s="21" t="str">
        <f t="shared" si="24"/>
        <v>.</v>
      </c>
      <c r="D1568" s="44"/>
      <c r="E1568" s="22" t="str">
        <f>IF(D1568&lt;&gt;"",IFERROR(INDEX(Produtos!$C$4:$C$4996,MATCH(D1568,Produtos!$B$4:$B$4996,0)),"Produto não encontrado"),"")</f>
        <v/>
      </c>
    </row>
    <row r="1569" spans="1:5" x14ac:dyDescent="0.3">
      <c r="A1569" s="21" t="str">
        <f t="shared" si="24"/>
        <v>.</v>
      </c>
      <c r="D1569" s="44"/>
      <c r="E1569" s="22" t="str">
        <f>IF(D1569&lt;&gt;"",IFERROR(INDEX(Produtos!$C$4:$C$4996,MATCH(D1569,Produtos!$B$4:$B$4996,0)),"Produto não encontrado"),"")</f>
        <v/>
      </c>
    </row>
    <row r="1570" spans="1:5" x14ac:dyDescent="0.3">
      <c r="A1570" s="21" t="str">
        <f t="shared" si="24"/>
        <v>.</v>
      </c>
      <c r="D1570" s="44"/>
      <c r="E1570" s="22" t="str">
        <f>IF(D1570&lt;&gt;"",IFERROR(INDEX(Produtos!$C$4:$C$4996,MATCH(D1570,Produtos!$B$4:$B$4996,0)),"Produto não encontrado"),"")</f>
        <v/>
      </c>
    </row>
    <row r="1571" spans="1:5" x14ac:dyDescent="0.3">
      <c r="A1571" s="21" t="str">
        <f t="shared" si="24"/>
        <v>.</v>
      </c>
      <c r="D1571" s="44"/>
      <c r="E1571" s="22" t="str">
        <f>IF(D1571&lt;&gt;"",IFERROR(INDEX(Produtos!$C$4:$C$4996,MATCH(D1571,Produtos!$B$4:$B$4996,0)),"Produto não encontrado"),"")</f>
        <v/>
      </c>
    </row>
    <row r="1572" spans="1:5" x14ac:dyDescent="0.3">
      <c r="A1572" s="21" t="str">
        <f t="shared" si="24"/>
        <v>.</v>
      </c>
      <c r="D1572" s="44"/>
      <c r="E1572" s="22" t="str">
        <f>IF(D1572&lt;&gt;"",IFERROR(INDEX(Produtos!$C$4:$C$4996,MATCH(D1572,Produtos!$B$4:$B$4996,0)),"Produto não encontrado"),"")</f>
        <v/>
      </c>
    </row>
    <row r="1573" spans="1:5" x14ac:dyDescent="0.3">
      <c r="A1573" s="21" t="str">
        <f t="shared" si="24"/>
        <v>.</v>
      </c>
      <c r="D1573" s="44"/>
      <c r="E1573" s="22" t="str">
        <f>IF(D1573&lt;&gt;"",IFERROR(INDEX(Produtos!$C$4:$C$4996,MATCH(D1573,Produtos!$B$4:$B$4996,0)),"Produto não encontrado"),"")</f>
        <v/>
      </c>
    </row>
    <row r="1574" spans="1:5" x14ac:dyDescent="0.3">
      <c r="A1574" s="21" t="str">
        <f t="shared" si="24"/>
        <v>.</v>
      </c>
      <c r="D1574" s="44"/>
      <c r="E1574" s="22" t="str">
        <f>IF(D1574&lt;&gt;"",IFERROR(INDEX(Produtos!$C$4:$C$4996,MATCH(D1574,Produtos!$B$4:$B$4996,0)),"Produto não encontrado"),"")</f>
        <v/>
      </c>
    </row>
    <row r="1575" spans="1:5" x14ac:dyDescent="0.3">
      <c r="A1575" s="21" t="str">
        <f t="shared" si="24"/>
        <v>.</v>
      </c>
      <c r="D1575" s="44"/>
      <c r="E1575" s="22" t="str">
        <f>IF(D1575&lt;&gt;"",IFERROR(INDEX(Produtos!$C$4:$C$4996,MATCH(D1575,Produtos!$B$4:$B$4996,0)),"Produto não encontrado"),"")</f>
        <v/>
      </c>
    </row>
    <row r="1576" spans="1:5" x14ac:dyDescent="0.3">
      <c r="A1576" s="21" t="str">
        <f t="shared" si="24"/>
        <v>.</v>
      </c>
      <c r="D1576" s="44"/>
      <c r="E1576" s="22" t="str">
        <f>IF(D1576&lt;&gt;"",IFERROR(INDEX(Produtos!$C$4:$C$4996,MATCH(D1576,Produtos!$B$4:$B$4996,0)),"Produto não encontrado"),"")</f>
        <v/>
      </c>
    </row>
    <row r="1577" spans="1:5" x14ac:dyDescent="0.3">
      <c r="A1577" s="21" t="str">
        <f t="shared" si="24"/>
        <v>.</v>
      </c>
      <c r="D1577" s="44"/>
      <c r="E1577" s="22" t="str">
        <f>IF(D1577&lt;&gt;"",IFERROR(INDEX(Produtos!$C$4:$C$4996,MATCH(D1577,Produtos!$B$4:$B$4996,0)),"Produto não encontrado"),"")</f>
        <v/>
      </c>
    </row>
    <row r="1578" spans="1:5" x14ac:dyDescent="0.3">
      <c r="A1578" s="21" t="str">
        <f t="shared" si="24"/>
        <v>.</v>
      </c>
      <c r="D1578" s="44"/>
      <c r="E1578" s="22" t="str">
        <f>IF(D1578&lt;&gt;"",IFERROR(INDEX(Produtos!$C$4:$C$4996,MATCH(D1578,Produtos!$B$4:$B$4996,0)),"Produto não encontrado"),"")</f>
        <v/>
      </c>
    </row>
    <row r="1579" spans="1:5" x14ac:dyDescent="0.3">
      <c r="A1579" s="21" t="str">
        <f t="shared" si="24"/>
        <v>.</v>
      </c>
      <c r="D1579" s="44"/>
      <c r="E1579" s="22" t="str">
        <f>IF(D1579&lt;&gt;"",IFERROR(INDEX(Produtos!$C$4:$C$4996,MATCH(D1579,Produtos!$B$4:$B$4996,0)),"Produto não encontrado"),"")</f>
        <v/>
      </c>
    </row>
    <row r="1580" spans="1:5" x14ac:dyDescent="0.3">
      <c r="A1580" s="21" t="str">
        <f t="shared" si="24"/>
        <v>.</v>
      </c>
      <c r="D1580" s="44"/>
      <c r="E1580" s="22" t="str">
        <f>IF(D1580&lt;&gt;"",IFERROR(INDEX(Produtos!$C$4:$C$4996,MATCH(D1580,Produtos!$B$4:$B$4996,0)),"Produto não encontrado"),"")</f>
        <v/>
      </c>
    </row>
    <row r="1581" spans="1:5" x14ac:dyDescent="0.3">
      <c r="A1581" s="21" t="str">
        <f t="shared" si="24"/>
        <v>.</v>
      </c>
      <c r="D1581" s="44"/>
      <c r="E1581" s="22" t="str">
        <f>IF(D1581&lt;&gt;"",IFERROR(INDEX(Produtos!$C$4:$C$4996,MATCH(D1581,Produtos!$B$4:$B$4996,0)),"Produto não encontrado"),"")</f>
        <v/>
      </c>
    </row>
    <row r="1582" spans="1:5" x14ac:dyDescent="0.3">
      <c r="A1582" s="21" t="str">
        <f t="shared" si="24"/>
        <v>.</v>
      </c>
      <c r="D1582" s="44"/>
      <c r="E1582" s="22" t="str">
        <f>IF(D1582&lt;&gt;"",IFERROR(INDEX(Produtos!$C$4:$C$4996,MATCH(D1582,Produtos!$B$4:$B$4996,0)),"Produto não encontrado"),"")</f>
        <v/>
      </c>
    </row>
    <row r="1583" spans="1:5" x14ac:dyDescent="0.3">
      <c r="A1583" s="21" t="str">
        <f t="shared" si="24"/>
        <v>.</v>
      </c>
      <c r="D1583" s="44"/>
      <c r="E1583" s="22" t="str">
        <f>IF(D1583&lt;&gt;"",IFERROR(INDEX(Produtos!$C$4:$C$4996,MATCH(D1583,Produtos!$B$4:$B$4996,0)),"Produto não encontrado"),"")</f>
        <v/>
      </c>
    </row>
    <row r="1584" spans="1:5" x14ac:dyDescent="0.3">
      <c r="A1584" s="21" t="str">
        <f t="shared" si="24"/>
        <v>.</v>
      </c>
      <c r="D1584" s="44"/>
      <c r="E1584" s="22" t="str">
        <f>IF(D1584&lt;&gt;"",IFERROR(INDEX(Produtos!$C$4:$C$4996,MATCH(D1584,Produtos!$B$4:$B$4996,0)),"Produto não encontrado"),"")</f>
        <v/>
      </c>
    </row>
    <row r="1585" spans="1:5" x14ac:dyDescent="0.3">
      <c r="A1585" s="21" t="str">
        <f t="shared" si="24"/>
        <v>.</v>
      </c>
      <c r="D1585" s="44"/>
      <c r="E1585" s="22" t="str">
        <f>IF(D1585&lt;&gt;"",IFERROR(INDEX(Produtos!$C$4:$C$4996,MATCH(D1585,Produtos!$B$4:$B$4996,0)),"Produto não encontrado"),"")</f>
        <v/>
      </c>
    </row>
    <row r="1586" spans="1:5" x14ac:dyDescent="0.3">
      <c r="A1586" s="21" t="str">
        <f t="shared" si="24"/>
        <v>.</v>
      </c>
      <c r="D1586" s="44"/>
      <c r="E1586" s="22" t="str">
        <f>IF(D1586&lt;&gt;"",IFERROR(INDEX(Produtos!$C$4:$C$4996,MATCH(D1586,Produtos!$B$4:$B$4996,0)),"Produto não encontrado"),"")</f>
        <v/>
      </c>
    </row>
    <row r="1587" spans="1:5" x14ac:dyDescent="0.3">
      <c r="A1587" s="21" t="str">
        <f t="shared" si="24"/>
        <v>.</v>
      </c>
      <c r="D1587" s="44"/>
      <c r="E1587" s="22" t="str">
        <f>IF(D1587&lt;&gt;"",IFERROR(INDEX(Produtos!$C$4:$C$4996,MATCH(D1587,Produtos!$B$4:$B$4996,0)),"Produto não encontrado"),"")</f>
        <v/>
      </c>
    </row>
    <row r="1588" spans="1:5" x14ac:dyDescent="0.3">
      <c r="A1588" s="21" t="str">
        <f t="shared" si="24"/>
        <v>.</v>
      </c>
      <c r="D1588" s="44"/>
      <c r="E1588" s="22" t="str">
        <f>IF(D1588&lt;&gt;"",IFERROR(INDEX(Produtos!$C$4:$C$4996,MATCH(D1588,Produtos!$B$4:$B$4996,0)),"Produto não encontrado"),"")</f>
        <v/>
      </c>
    </row>
    <row r="1589" spans="1:5" x14ac:dyDescent="0.3">
      <c r="A1589" s="21" t="str">
        <f t="shared" si="24"/>
        <v>.</v>
      </c>
      <c r="D1589" s="44"/>
      <c r="E1589" s="22" t="str">
        <f>IF(D1589&lt;&gt;"",IFERROR(INDEX(Produtos!$C$4:$C$4996,MATCH(D1589,Produtos!$B$4:$B$4996,0)),"Produto não encontrado"),"")</f>
        <v/>
      </c>
    </row>
    <row r="1590" spans="1:5" x14ac:dyDescent="0.3">
      <c r="A1590" s="21" t="str">
        <f t="shared" si="24"/>
        <v>.</v>
      </c>
      <c r="D1590" s="44"/>
      <c r="E1590" s="22" t="str">
        <f>IF(D1590&lt;&gt;"",IFERROR(INDEX(Produtos!$C$4:$C$4996,MATCH(D1590,Produtos!$B$4:$B$4996,0)),"Produto não encontrado"),"")</f>
        <v/>
      </c>
    </row>
    <row r="1591" spans="1:5" x14ac:dyDescent="0.3">
      <c r="A1591" s="21" t="str">
        <f t="shared" si="24"/>
        <v>.</v>
      </c>
      <c r="D1591" s="44"/>
      <c r="E1591" s="22" t="str">
        <f>IF(D1591&lt;&gt;"",IFERROR(INDEX(Produtos!$C$4:$C$4996,MATCH(D1591,Produtos!$B$4:$B$4996,0)),"Produto não encontrado"),"")</f>
        <v/>
      </c>
    </row>
    <row r="1592" spans="1:5" x14ac:dyDescent="0.3">
      <c r="A1592" s="21" t="str">
        <f t="shared" si="24"/>
        <v>.</v>
      </c>
      <c r="D1592" s="44"/>
      <c r="E1592" s="22" t="str">
        <f>IF(D1592&lt;&gt;"",IFERROR(INDEX(Produtos!$C$4:$C$4996,MATCH(D1592,Produtos!$B$4:$B$4996,0)),"Produto não encontrado"),"")</f>
        <v/>
      </c>
    </row>
    <row r="1593" spans="1:5" x14ac:dyDescent="0.3">
      <c r="A1593" s="21" t="str">
        <f t="shared" si="24"/>
        <v>.</v>
      </c>
      <c r="D1593" s="44"/>
      <c r="E1593" s="22" t="str">
        <f>IF(D1593&lt;&gt;"",IFERROR(INDEX(Produtos!$C$4:$C$4996,MATCH(D1593,Produtos!$B$4:$B$4996,0)),"Produto não encontrado"),"")</f>
        <v/>
      </c>
    </row>
    <row r="1594" spans="1:5" x14ac:dyDescent="0.3">
      <c r="A1594" s="21" t="str">
        <f t="shared" si="24"/>
        <v>.</v>
      </c>
      <c r="D1594" s="44"/>
      <c r="E1594" s="22" t="str">
        <f>IF(D1594&lt;&gt;"",IFERROR(INDEX(Produtos!$C$4:$C$4996,MATCH(D1594,Produtos!$B$4:$B$4996,0)),"Produto não encontrado"),"")</f>
        <v/>
      </c>
    </row>
    <row r="1595" spans="1:5" x14ac:dyDescent="0.3">
      <c r="A1595" s="21" t="str">
        <f t="shared" si="24"/>
        <v>.</v>
      </c>
      <c r="D1595" s="44"/>
      <c r="E1595" s="22" t="str">
        <f>IF(D1595&lt;&gt;"",IFERROR(INDEX(Produtos!$C$4:$C$4996,MATCH(D1595,Produtos!$B$4:$B$4996,0)),"Produto não encontrado"),"")</f>
        <v/>
      </c>
    </row>
    <row r="1596" spans="1:5" x14ac:dyDescent="0.3">
      <c r="A1596" s="21" t="str">
        <f t="shared" si="24"/>
        <v>.</v>
      </c>
      <c r="D1596" s="44"/>
      <c r="E1596" s="22" t="str">
        <f>IF(D1596&lt;&gt;"",IFERROR(INDEX(Produtos!$C$4:$C$4996,MATCH(D1596,Produtos!$B$4:$B$4996,0)),"Produto não encontrado"),"")</f>
        <v/>
      </c>
    </row>
    <row r="1597" spans="1:5" x14ac:dyDescent="0.3">
      <c r="A1597" s="21" t="str">
        <f t="shared" si="24"/>
        <v>.</v>
      </c>
      <c r="D1597" s="44"/>
      <c r="E1597" s="22" t="str">
        <f>IF(D1597&lt;&gt;"",IFERROR(INDEX(Produtos!$C$4:$C$4996,MATCH(D1597,Produtos!$B$4:$B$4996,0)),"Produto não encontrado"),"")</f>
        <v/>
      </c>
    </row>
    <row r="1598" spans="1:5" x14ac:dyDescent="0.3">
      <c r="A1598" s="21" t="str">
        <f t="shared" si="24"/>
        <v>.</v>
      </c>
      <c r="D1598" s="44"/>
      <c r="E1598" s="22" t="str">
        <f>IF(D1598&lt;&gt;"",IFERROR(INDEX(Produtos!$C$4:$C$4996,MATCH(D1598,Produtos!$B$4:$B$4996,0)),"Produto não encontrado"),"")</f>
        <v/>
      </c>
    </row>
    <row r="1599" spans="1:5" x14ac:dyDescent="0.3">
      <c r="A1599" s="21" t="str">
        <f t="shared" si="24"/>
        <v>.</v>
      </c>
      <c r="D1599" s="44"/>
      <c r="E1599" s="22" t="str">
        <f>IF(D1599&lt;&gt;"",IFERROR(INDEX(Produtos!$C$4:$C$4996,MATCH(D1599,Produtos!$B$4:$B$4996,0)),"Produto não encontrado"),"")</f>
        <v/>
      </c>
    </row>
    <row r="1600" spans="1:5" x14ac:dyDescent="0.3">
      <c r="A1600" s="21" t="str">
        <f t="shared" ref="A1600:A1663" si="25">IF(C1600="Entrada",2,IF(C1600="Saída",1,"."))</f>
        <v>.</v>
      </c>
      <c r="D1600" s="44"/>
      <c r="E1600" s="22" t="str">
        <f>IF(D1600&lt;&gt;"",IFERROR(INDEX(Produtos!$C$4:$C$4996,MATCH(D1600,Produtos!$B$4:$B$4996,0)),"Produto não encontrado"),"")</f>
        <v/>
      </c>
    </row>
    <row r="1601" spans="1:5" x14ac:dyDescent="0.3">
      <c r="A1601" s="21" t="str">
        <f t="shared" si="25"/>
        <v>.</v>
      </c>
      <c r="D1601" s="44"/>
      <c r="E1601" s="22" t="str">
        <f>IF(D1601&lt;&gt;"",IFERROR(INDEX(Produtos!$C$4:$C$4996,MATCH(D1601,Produtos!$B$4:$B$4996,0)),"Produto não encontrado"),"")</f>
        <v/>
      </c>
    </row>
    <row r="1602" spans="1:5" x14ac:dyDescent="0.3">
      <c r="A1602" s="21" t="str">
        <f t="shared" si="25"/>
        <v>.</v>
      </c>
      <c r="D1602" s="44"/>
      <c r="E1602" s="22" t="str">
        <f>IF(D1602&lt;&gt;"",IFERROR(INDEX(Produtos!$C$4:$C$4996,MATCH(D1602,Produtos!$B$4:$B$4996,0)),"Produto não encontrado"),"")</f>
        <v/>
      </c>
    </row>
    <row r="1603" spans="1:5" x14ac:dyDescent="0.3">
      <c r="A1603" s="21" t="str">
        <f t="shared" si="25"/>
        <v>.</v>
      </c>
      <c r="D1603" s="44"/>
      <c r="E1603" s="22" t="str">
        <f>IF(D1603&lt;&gt;"",IFERROR(INDEX(Produtos!$C$4:$C$4996,MATCH(D1603,Produtos!$B$4:$B$4996,0)),"Produto não encontrado"),"")</f>
        <v/>
      </c>
    </row>
    <row r="1604" spans="1:5" x14ac:dyDescent="0.3">
      <c r="A1604" s="21" t="str">
        <f t="shared" si="25"/>
        <v>.</v>
      </c>
      <c r="D1604" s="44"/>
      <c r="E1604" s="22" t="str">
        <f>IF(D1604&lt;&gt;"",IFERROR(INDEX(Produtos!$C$4:$C$4996,MATCH(D1604,Produtos!$B$4:$B$4996,0)),"Produto não encontrado"),"")</f>
        <v/>
      </c>
    </row>
    <row r="1605" spans="1:5" x14ac:dyDescent="0.3">
      <c r="A1605" s="21" t="str">
        <f t="shared" si="25"/>
        <v>.</v>
      </c>
      <c r="D1605" s="44"/>
      <c r="E1605" s="22" t="str">
        <f>IF(D1605&lt;&gt;"",IFERROR(INDEX(Produtos!$C$4:$C$4996,MATCH(D1605,Produtos!$B$4:$B$4996,0)),"Produto não encontrado"),"")</f>
        <v/>
      </c>
    </row>
    <row r="1606" spans="1:5" x14ac:dyDescent="0.3">
      <c r="A1606" s="21" t="str">
        <f t="shared" si="25"/>
        <v>.</v>
      </c>
      <c r="D1606" s="44"/>
      <c r="E1606" s="22" t="str">
        <f>IF(D1606&lt;&gt;"",IFERROR(INDEX(Produtos!$C$4:$C$4996,MATCH(D1606,Produtos!$B$4:$B$4996,0)),"Produto não encontrado"),"")</f>
        <v/>
      </c>
    </row>
    <row r="1607" spans="1:5" x14ac:dyDescent="0.3">
      <c r="A1607" s="21" t="str">
        <f t="shared" si="25"/>
        <v>.</v>
      </c>
      <c r="D1607" s="44"/>
      <c r="E1607" s="22" t="str">
        <f>IF(D1607&lt;&gt;"",IFERROR(INDEX(Produtos!$C$4:$C$4996,MATCH(D1607,Produtos!$B$4:$B$4996,0)),"Produto não encontrado"),"")</f>
        <v/>
      </c>
    </row>
    <row r="1608" spans="1:5" x14ac:dyDescent="0.3">
      <c r="A1608" s="21" t="str">
        <f t="shared" si="25"/>
        <v>.</v>
      </c>
      <c r="D1608" s="44"/>
      <c r="E1608" s="22" t="str">
        <f>IF(D1608&lt;&gt;"",IFERROR(INDEX(Produtos!$C$4:$C$4996,MATCH(D1608,Produtos!$B$4:$B$4996,0)),"Produto não encontrado"),"")</f>
        <v/>
      </c>
    </row>
    <row r="1609" spans="1:5" x14ac:dyDescent="0.3">
      <c r="A1609" s="21" t="str">
        <f t="shared" si="25"/>
        <v>.</v>
      </c>
      <c r="D1609" s="44"/>
      <c r="E1609" s="22" t="str">
        <f>IF(D1609&lt;&gt;"",IFERROR(INDEX(Produtos!$C$4:$C$4996,MATCH(D1609,Produtos!$B$4:$B$4996,0)),"Produto não encontrado"),"")</f>
        <v/>
      </c>
    </row>
    <row r="1610" spans="1:5" x14ac:dyDescent="0.3">
      <c r="A1610" s="21" t="str">
        <f t="shared" si="25"/>
        <v>.</v>
      </c>
      <c r="D1610" s="44"/>
      <c r="E1610" s="22" t="str">
        <f>IF(D1610&lt;&gt;"",IFERROR(INDEX(Produtos!$C$4:$C$4996,MATCH(D1610,Produtos!$B$4:$B$4996,0)),"Produto não encontrado"),"")</f>
        <v/>
      </c>
    </row>
    <row r="1611" spans="1:5" x14ac:dyDescent="0.3">
      <c r="A1611" s="21" t="str">
        <f t="shared" si="25"/>
        <v>.</v>
      </c>
      <c r="D1611" s="44"/>
      <c r="E1611" s="22" t="str">
        <f>IF(D1611&lt;&gt;"",IFERROR(INDEX(Produtos!$C$4:$C$4996,MATCH(D1611,Produtos!$B$4:$B$4996,0)),"Produto não encontrado"),"")</f>
        <v/>
      </c>
    </row>
    <row r="1612" spans="1:5" x14ac:dyDescent="0.3">
      <c r="A1612" s="21" t="str">
        <f t="shared" si="25"/>
        <v>.</v>
      </c>
      <c r="D1612" s="44"/>
      <c r="E1612" s="22" t="str">
        <f>IF(D1612&lt;&gt;"",IFERROR(INDEX(Produtos!$C$4:$C$4996,MATCH(D1612,Produtos!$B$4:$B$4996,0)),"Produto não encontrado"),"")</f>
        <v/>
      </c>
    </row>
    <row r="1613" spans="1:5" x14ac:dyDescent="0.3">
      <c r="A1613" s="21" t="str">
        <f t="shared" si="25"/>
        <v>.</v>
      </c>
      <c r="D1613" s="44"/>
      <c r="E1613" s="22" t="str">
        <f>IF(D1613&lt;&gt;"",IFERROR(INDEX(Produtos!$C$4:$C$4996,MATCH(D1613,Produtos!$B$4:$B$4996,0)),"Produto não encontrado"),"")</f>
        <v/>
      </c>
    </row>
    <row r="1614" spans="1:5" x14ac:dyDescent="0.3">
      <c r="A1614" s="21" t="str">
        <f t="shared" si="25"/>
        <v>.</v>
      </c>
      <c r="D1614" s="44"/>
      <c r="E1614" s="22" t="str">
        <f>IF(D1614&lt;&gt;"",IFERROR(INDEX(Produtos!$C$4:$C$4996,MATCH(D1614,Produtos!$B$4:$B$4996,0)),"Produto não encontrado"),"")</f>
        <v/>
      </c>
    </row>
    <row r="1615" spans="1:5" x14ac:dyDescent="0.3">
      <c r="A1615" s="21" t="str">
        <f t="shared" si="25"/>
        <v>.</v>
      </c>
      <c r="D1615" s="44"/>
      <c r="E1615" s="22" t="str">
        <f>IF(D1615&lt;&gt;"",IFERROR(INDEX(Produtos!$C$4:$C$4996,MATCH(D1615,Produtos!$B$4:$B$4996,0)),"Produto não encontrado"),"")</f>
        <v/>
      </c>
    </row>
    <row r="1616" spans="1:5" x14ac:dyDescent="0.3">
      <c r="A1616" s="21" t="str">
        <f t="shared" si="25"/>
        <v>.</v>
      </c>
      <c r="D1616" s="44"/>
      <c r="E1616" s="22" t="str">
        <f>IF(D1616&lt;&gt;"",IFERROR(INDEX(Produtos!$C$4:$C$4996,MATCH(D1616,Produtos!$B$4:$B$4996,0)),"Produto não encontrado"),"")</f>
        <v/>
      </c>
    </row>
    <row r="1617" spans="1:5" x14ac:dyDescent="0.3">
      <c r="A1617" s="21" t="str">
        <f t="shared" si="25"/>
        <v>.</v>
      </c>
      <c r="D1617" s="44"/>
      <c r="E1617" s="22" t="str">
        <f>IF(D1617&lt;&gt;"",IFERROR(INDEX(Produtos!$C$4:$C$4996,MATCH(D1617,Produtos!$B$4:$B$4996,0)),"Produto não encontrado"),"")</f>
        <v/>
      </c>
    </row>
    <row r="1618" spans="1:5" x14ac:dyDescent="0.3">
      <c r="A1618" s="21" t="str">
        <f t="shared" si="25"/>
        <v>.</v>
      </c>
      <c r="D1618" s="44"/>
      <c r="E1618" s="22" t="str">
        <f>IF(D1618&lt;&gt;"",IFERROR(INDEX(Produtos!$C$4:$C$4996,MATCH(D1618,Produtos!$B$4:$B$4996,0)),"Produto não encontrado"),"")</f>
        <v/>
      </c>
    </row>
    <row r="1619" spans="1:5" x14ac:dyDescent="0.3">
      <c r="A1619" s="21" t="str">
        <f t="shared" si="25"/>
        <v>.</v>
      </c>
      <c r="D1619" s="44"/>
      <c r="E1619" s="22" t="str">
        <f>IF(D1619&lt;&gt;"",IFERROR(INDEX(Produtos!$C$4:$C$4996,MATCH(D1619,Produtos!$B$4:$B$4996,0)),"Produto não encontrado"),"")</f>
        <v/>
      </c>
    </row>
    <row r="1620" spans="1:5" x14ac:dyDescent="0.3">
      <c r="A1620" s="21" t="str">
        <f t="shared" si="25"/>
        <v>.</v>
      </c>
      <c r="D1620" s="44"/>
      <c r="E1620" s="22" t="str">
        <f>IF(D1620&lt;&gt;"",IFERROR(INDEX(Produtos!$C$4:$C$4996,MATCH(D1620,Produtos!$B$4:$B$4996,0)),"Produto não encontrado"),"")</f>
        <v/>
      </c>
    </row>
    <row r="1621" spans="1:5" x14ac:dyDescent="0.3">
      <c r="A1621" s="21" t="str">
        <f t="shared" si="25"/>
        <v>.</v>
      </c>
      <c r="D1621" s="44"/>
      <c r="E1621" s="22" t="str">
        <f>IF(D1621&lt;&gt;"",IFERROR(INDEX(Produtos!$C$4:$C$4996,MATCH(D1621,Produtos!$B$4:$B$4996,0)),"Produto não encontrado"),"")</f>
        <v/>
      </c>
    </row>
    <row r="1622" spans="1:5" x14ac:dyDescent="0.3">
      <c r="A1622" s="21" t="str">
        <f t="shared" si="25"/>
        <v>.</v>
      </c>
      <c r="D1622" s="44"/>
      <c r="E1622" s="22" t="str">
        <f>IF(D1622&lt;&gt;"",IFERROR(INDEX(Produtos!$C$4:$C$4996,MATCH(D1622,Produtos!$B$4:$B$4996,0)),"Produto não encontrado"),"")</f>
        <v/>
      </c>
    </row>
    <row r="1623" spans="1:5" x14ac:dyDescent="0.3">
      <c r="A1623" s="21" t="str">
        <f t="shared" si="25"/>
        <v>.</v>
      </c>
      <c r="D1623" s="44"/>
      <c r="E1623" s="22" t="str">
        <f>IF(D1623&lt;&gt;"",IFERROR(INDEX(Produtos!$C$4:$C$4996,MATCH(D1623,Produtos!$B$4:$B$4996,0)),"Produto não encontrado"),"")</f>
        <v/>
      </c>
    </row>
    <row r="1624" spans="1:5" x14ac:dyDescent="0.3">
      <c r="A1624" s="21" t="str">
        <f t="shared" si="25"/>
        <v>.</v>
      </c>
      <c r="D1624" s="44"/>
      <c r="E1624" s="22" t="str">
        <f>IF(D1624&lt;&gt;"",IFERROR(INDEX(Produtos!$C$4:$C$4996,MATCH(D1624,Produtos!$B$4:$B$4996,0)),"Produto não encontrado"),"")</f>
        <v/>
      </c>
    </row>
    <row r="1625" spans="1:5" x14ac:dyDescent="0.3">
      <c r="A1625" s="21" t="str">
        <f t="shared" si="25"/>
        <v>.</v>
      </c>
      <c r="D1625" s="44"/>
      <c r="E1625" s="22" t="str">
        <f>IF(D1625&lt;&gt;"",IFERROR(INDEX(Produtos!$C$4:$C$4996,MATCH(D1625,Produtos!$B$4:$B$4996,0)),"Produto não encontrado"),"")</f>
        <v/>
      </c>
    </row>
    <row r="1626" spans="1:5" x14ac:dyDescent="0.3">
      <c r="A1626" s="21" t="str">
        <f t="shared" si="25"/>
        <v>.</v>
      </c>
      <c r="D1626" s="44"/>
      <c r="E1626" s="22" t="str">
        <f>IF(D1626&lt;&gt;"",IFERROR(INDEX(Produtos!$C$4:$C$4996,MATCH(D1626,Produtos!$B$4:$B$4996,0)),"Produto não encontrado"),"")</f>
        <v/>
      </c>
    </row>
    <row r="1627" spans="1:5" x14ac:dyDescent="0.3">
      <c r="A1627" s="21" t="str">
        <f t="shared" si="25"/>
        <v>.</v>
      </c>
      <c r="D1627" s="44"/>
      <c r="E1627" s="22" t="str">
        <f>IF(D1627&lt;&gt;"",IFERROR(INDEX(Produtos!$C$4:$C$4996,MATCH(D1627,Produtos!$B$4:$B$4996,0)),"Produto não encontrado"),"")</f>
        <v/>
      </c>
    </row>
    <row r="1628" spans="1:5" x14ac:dyDescent="0.3">
      <c r="A1628" s="21" t="str">
        <f t="shared" si="25"/>
        <v>.</v>
      </c>
      <c r="D1628" s="44"/>
      <c r="E1628" s="22" t="str">
        <f>IF(D1628&lt;&gt;"",IFERROR(INDEX(Produtos!$C$4:$C$4996,MATCH(D1628,Produtos!$B$4:$B$4996,0)),"Produto não encontrado"),"")</f>
        <v/>
      </c>
    </row>
    <row r="1629" spans="1:5" x14ac:dyDescent="0.3">
      <c r="A1629" s="21" t="str">
        <f t="shared" si="25"/>
        <v>.</v>
      </c>
      <c r="D1629" s="44"/>
      <c r="E1629" s="22" t="str">
        <f>IF(D1629&lt;&gt;"",IFERROR(INDEX(Produtos!$C$4:$C$4996,MATCH(D1629,Produtos!$B$4:$B$4996,0)),"Produto não encontrado"),"")</f>
        <v/>
      </c>
    </row>
    <row r="1630" spans="1:5" x14ac:dyDescent="0.3">
      <c r="A1630" s="21" t="str">
        <f t="shared" si="25"/>
        <v>.</v>
      </c>
      <c r="D1630" s="44"/>
      <c r="E1630" s="22" t="str">
        <f>IF(D1630&lt;&gt;"",IFERROR(INDEX(Produtos!$C$4:$C$4996,MATCH(D1630,Produtos!$B$4:$B$4996,0)),"Produto não encontrado"),"")</f>
        <v/>
      </c>
    </row>
    <row r="1631" spans="1:5" x14ac:dyDescent="0.3">
      <c r="A1631" s="21" t="str">
        <f t="shared" si="25"/>
        <v>.</v>
      </c>
      <c r="D1631" s="44"/>
      <c r="E1631" s="22" t="str">
        <f>IF(D1631&lt;&gt;"",IFERROR(INDEX(Produtos!$C$4:$C$4996,MATCH(D1631,Produtos!$B$4:$B$4996,0)),"Produto não encontrado"),"")</f>
        <v/>
      </c>
    </row>
    <row r="1632" spans="1:5" x14ac:dyDescent="0.3">
      <c r="A1632" s="21" t="str">
        <f t="shared" si="25"/>
        <v>.</v>
      </c>
      <c r="D1632" s="44"/>
      <c r="E1632" s="22" t="str">
        <f>IF(D1632&lt;&gt;"",IFERROR(INDEX(Produtos!$C$4:$C$4996,MATCH(D1632,Produtos!$B$4:$B$4996,0)),"Produto não encontrado"),"")</f>
        <v/>
      </c>
    </row>
    <row r="1633" spans="1:5" x14ac:dyDescent="0.3">
      <c r="A1633" s="21" t="str">
        <f t="shared" si="25"/>
        <v>.</v>
      </c>
      <c r="D1633" s="44"/>
      <c r="E1633" s="22" t="str">
        <f>IF(D1633&lt;&gt;"",IFERROR(INDEX(Produtos!$C$4:$C$4996,MATCH(D1633,Produtos!$B$4:$B$4996,0)),"Produto não encontrado"),"")</f>
        <v/>
      </c>
    </row>
    <row r="1634" spans="1:5" x14ac:dyDescent="0.3">
      <c r="A1634" s="21" t="str">
        <f t="shared" si="25"/>
        <v>.</v>
      </c>
      <c r="D1634" s="44"/>
      <c r="E1634" s="22" t="str">
        <f>IF(D1634&lt;&gt;"",IFERROR(INDEX(Produtos!$C$4:$C$4996,MATCH(D1634,Produtos!$B$4:$B$4996,0)),"Produto não encontrado"),"")</f>
        <v/>
      </c>
    </row>
    <row r="1635" spans="1:5" x14ac:dyDescent="0.3">
      <c r="A1635" s="21" t="str">
        <f t="shared" si="25"/>
        <v>.</v>
      </c>
      <c r="D1635" s="44"/>
      <c r="E1635" s="22" t="str">
        <f>IF(D1635&lt;&gt;"",IFERROR(INDEX(Produtos!$C$4:$C$4996,MATCH(D1635,Produtos!$B$4:$B$4996,0)),"Produto não encontrado"),"")</f>
        <v/>
      </c>
    </row>
    <row r="1636" spans="1:5" x14ac:dyDescent="0.3">
      <c r="A1636" s="21" t="str">
        <f t="shared" si="25"/>
        <v>.</v>
      </c>
      <c r="D1636" s="44"/>
      <c r="E1636" s="22" t="str">
        <f>IF(D1636&lt;&gt;"",IFERROR(INDEX(Produtos!$C$4:$C$4996,MATCH(D1636,Produtos!$B$4:$B$4996,0)),"Produto não encontrado"),"")</f>
        <v/>
      </c>
    </row>
    <row r="1637" spans="1:5" x14ac:dyDescent="0.3">
      <c r="A1637" s="21" t="str">
        <f t="shared" si="25"/>
        <v>.</v>
      </c>
      <c r="D1637" s="44"/>
      <c r="E1637" s="22" t="str">
        <f>IF(D1637&lt;&gt;"",IFERROR(INDEX(Produtos!$C$4:$C$4996,MATCH(D1637,Produtos!$B$4:$B$4996,0)),"Produto não encontrado"),"")</f>
        <v/>
      </c>
    </row>
    <row r="1638" spans="1:5" x14ac:dyDescent="0.3">
      <c r="A1638" s="21" t="str">
        <f t="shared" si="25"/>
        <v>.</v>
      </c>
      <c r="D1638" s="44"/>
      <c r="E1638" s="22" t="str">
        <f>IF(D1638&lt;&gt;"",IFERROR(INDEX(Produtos!$C$4:$C$4996,MATCH(D1638,Produtos!$B$4:$B$4996,0)),"Produto não encontrado"),"")</f>
        <v/>
      </c>
    </row>
    <row r="1639" spans="1:5" x14ac:dyDescent="0.3">
      <c r="A1639" s="21" t="str">
        <f t="shared" si="25"/>
        <v>.</v>
      </c>
      <c r="D1639" s="44"/>
      <c r="E1639" s="22" t="str">
        <f>IF(D1639&lt;&gt;"",IFERROR(INDEX(Produtos!$C$4:$C$4996,MATCH(D1639,Produtos!$B$4:$B$4996,0)),"Produto não encontrado"),"")</f>
        <v/>
      </c>
    </row>
    <row r="1640" spans="1:5" x14ac:dyDescent="0.3">
      <c r="A1640" s="21" t="str">
        <f t="shared" si="25"/>
        <v>.</v>
      </c>
      <c r="D1640" s="44"/>
      <c r="E1640" s="22" t="str">
        <f>IF(D1640&lt;&gt;"",IFERROR(INDEX(Produtos!$C$4:$C$4996,MATCH(D1640,Produtos!$B$4:$B$4996,0)),"Produto não encontrado"),"")</f>
        <v/>
      </c>
    </row>
    <row r="1641" spans="1:5" x14ac:dyDescent="0.3">
      <c r="A1641" s="21" t="str">
        <f t="shared" si="25"/>
        <v>.</v>
      </c>
      <c r="D1641" s="44"/>
      <c r="E1641" s="22" t="str">
        <f>IF(D1641&lt;&gt;"",IFERROR(INDEX(Produtos!$C$4:$C$4996,MATCH(D1641,Produtos!$B$4:$B$4996,0)),"Produto não encontrado"),"")</f>
        <v/>
      </c>
    </row>
    <row r="1642" spans="1:5" x14ac:dyDescent="0.3">
      <c r="A1642" s="21" t="str">
        <f t="shared" si="25"/>
        <v>.</v>
      </c>
      <c r="D1642" s="44"/>
      <c r="E1642" s="22" t="str">
        <f>IF(D1642&lt;&gt;"",IFERROR(INDEX(Produtos!$C$4:$C$4996,MATCH(D1642,Produtos!$B$4:$B$4996,0)),"Produto não encontrado"),"")</f>
        <v/>
      </c>
    </row>
    <row r="1643" spans="1:5" x14ac:dyDescent="0.3">
      <c r="A1643" s="21" t="str">
        <f t="shared" si="25"/>
        <v>.</v>
      </c>
      <c r="D1643" s="44"/>
      <c r="E1643" s="22" t="str">
        <f>IF(D1643&lt;&gt;"",IFERROR(INDEX(Produtos!$C$4:$C$4996,MATCH(D1643,Produtos!$B$4:$B$4996,0)),"Produto não encontrado"),"")</f>
        <v/>
      </c>
    </row>
    <row r="1644" spans="1:5" x14ac:dyDescent="0.3">
      <c r="A1644" s="21" t="str">
        <f t="shared" si="25"/>
        <v>.</v>
      </c>
      <c r="D1644" s="44"/>
      <c r="E1644" s="22" t="str">
        <f>IF(D1644&lt;&gt;"",IFERROR(INDEX(Produtos!$C$4:$C$4996,MATCH(D1644,Produtos!$B$4:$B$4996,0)),"Produto não encontrado"),"")</f>
        <v/>
      </c>
    </row>
    <row r="1645" spans="1:5" x14ac:dyDescent="0.3">
      <c r="A1645" s="21" t="str">
        <f t="shared" si="25"/>
        <v>.</v>
      </c>
      <c r="D1645" s="44"/>
      <c r="E1645" s="22" t="str">
        <f>IF(D1645&lt;&gt;"",IFERROR(INDEX(Produtos!$C$4:$C$4996,MATCH(D1645,Produtos!$B$4:$B$4996,0)),"Produto não encontrado"),"")</f>
        <v/>
      </c>
    </row>
    <row r="1646" spans="1:5" x14ac:dyDescent="0.3">
      <c r="A1646" s="21" t="str">
        <f t="shared" si="25"/>
        <v>.</v>
      </c>
      <c r="D1646" s="44"/>
      <c r="E1646" s="22" t="str">
        <f>IF(D1646&lt;&gt;"",IFERROR(INDEX(Produtos!$C$4:$C$4996,MATCH(D1646,Produtos!$B$4:$B$4996,0)),"Produto não encontrado"),"")</f>
        <v/>
      </c>
    </row>
    <row r="1647" spans="1:5" x14ac:dyDescent="0.3">
      <c r="A1647" s="21" t="str">
        <f t="shared" si="25"/>
        <v>.</v>
      </c>
      <c r="D1647" s="44"/>
      <c r="E1647" s="22" t="str">
        <f>IF(D1647&lt;&gt;"",IFERROR(INDEX(Produtos!$C$4:$C$4996,MATCH(D1647,Produtos!$B$4:$B$4996,0)),"Produto não encontrado"),"")</f>
        <v/>
      </c>
    </row>
    <row r="1648" spans="1:5" x14ac:dyDescent="0.3">
      <c r="A1648" s="21" t="str">
        <f t="shared" si="25"/>
        <v>.</v>
      </c>
      <c r="D1648" s="44"/>
      <c r="E1648" s="22" t="str">
        <f>IF(D1648&lt;&gt;"",IFERROR(INDEX(Produtos!$C$4:$C$4996,MATCH(D1648,Produtos!$B$4:$B$4996,0)),"Produto não encontrado"),"")</f>
        <v/>
      </c>
    </row>
    <row r="1649" spans="1:5" x14ac:dyDescent="0.3">
      <c r="A1649" s="21" t="str">
        <f t="shared" si="25"/>
        <v>.</v>
      </c>
      <c r="D1649" s="44"/>
      <c r="E1649" s="22" t="str">
        <f>IF(D1649&lt;&gt;"",IFERROR(INDEX(Produtos!$C$4:$C$4996,MATCH(D1649,Produtos!$B$4:$B$4996,0)),"Produto não encontrado"),"")</f>
        <v/>
      </c>
    </row>
    <row r="1650" spans="1:5" x14ac:dyDescent="0.3">
      <c r="A1650" s="21" t="str">
        <f t="shared" si="25"/>
        <v>.</v>
      </c>
      <c r="D1650" s="44"/>
      <c r="E1650" s="22" t="str">
        <f>IF(D1650&lt;&gt;"",IFERROR(INDEX(Produtos!$C$4:$C$4996,MATCH(D1650,Produtos!$B$4:$B$4996,0)),"Produto não encontrado"),"")</f>
        <v/>
      </c>
    </row>
    <row r="1651" spans="1:5" x14ac:dyDescent="0.3">
      <c r="A1651" s="21" t="str">
        <f t="shared" si="25"/>
        <v>.</v>
      </c>
      <c r="D1651" s="44"/>
      <c r="E1651" s="22" t="str">
        <f>IF(D1651&lt;&gt;"",IFERROR(INDEX(Produtos!$C$4:$C$4996,MATCH(D1651,Produtos!$B$4:$B$4996,0)),"Produto não encontrado"),"")</f>
        <v/>
      </c>
    </row>
    <row r="1652" spans="1:5" x14ac:dyDescent="0.3">
      <c r="A1652" s="21" t="str">
        <f t="shared" si="25"/>
        <v>.</v>
      </c>
      <c r="D1652" s="44"/>
      <c r="E1652" s="22" t="str">
        <f>IF(D1652&lt;&gt;"",IFERROR(INDEX(Produtos!$C$4:$C$4996,MATCH(D1652,Produtos!$B$4:$B$4996,0)),"Produto não encontrado"),"")</f>
        <v/>
      </c>
    </row>
    <row r="1653" spans="1:5" x14ac:dyDescent="0.3">
      <c r="A1653" s="21" t="str">
        <f t="shared" si="25"/>
        <v>.</v>
      </c>
      <c r="D1653" s="44"/>
      <c r="E1653" s="22" t="str">
        <f>IF(D1653&lt;&gt;"",IFERROR(INDEX(Produtos!$C$4:$C$4996,MATCH(D1653,Produtos!$B$4:$B$4996,0)),"Produto não encontrado"),"")</f>
        <v/>
      </c>
    </row>
    <row r="1654" spans="1:5" x14ac:dyDescent="0.3">
      <c r="A1654" s="21" t="str">
        <f t="shared" si="25"/>
        <v>.</v>
      </c>
      <c r="D1654" s="44"/>
      <c r="E1654" s="22" t="str">
        <f>IF(D1654&lt;&gt;"",IFERROR(INDEX(Produtos!$C$4:$C$4996,MATCH(D1654,Produtos!$B$4:$B$4996,0)),"Produto não encontrado"),"")</f>
        <v/>
      </c>
    </row>
    <row r="1655" spans="1:5" x14ac:dyDescent="0.3">
      <c r="A1655" s="21" t="str">
        <f t="shared" si="25"/>
        <v>.</v>
      </c>
      <c r="D1655" s="44"/>
      <c r="E1655" s="22" t="str">
        <f>IF(D1655&lt;&gt;"",IFERROR(INDEX(Produtos!$C$4:$C$4996,MATCH(D1655,Produtos!$B$4:$B$4996,0)),"Produto não encontrado"),"")</f>
        <v/>
      </c>
    </row>
    <row r="1656" spans="1:5" x14ac:dyDescent="0.3">
      <c r="A1656" s="21" t="str">
        <f t="shared" si="25"/>
        <v>.</v>
      </c>
      <c r="D1656" s="44"/>
      <c r="E1656" s="22" t="str">
        <f>IF(D1656&lt;&gt;"",IFERROR(INDEX(Produtos!$C$4:$C$4996,MATCH(D1656,Produtos!$B$4:$B$4996,0)),"Produto não encontrado"),"")</f>
        <v/>
      </c>
    </row>
    <row r="1657" spans="1:5" x14ac:dyDescent="0.3">
      <c r="A1657" s="21" t="str">
        <f t="shared" si="25"/>
        <v>.</v>
      </c>
      <c r="D1657" s="44"/>
      <c r="E1657" s="22" t="str">
        <f>IF(D1657&lt;&gt;"",IFERROR(INDEX(Produtos!$C$4:$C$4996,MATCH(D1657,Produtos!$B$4:$B$4996,0)),"Produto não encontrado"),"")</f>
        <v/>
      </c>
    </row>
    <row r="1658" spans="1:5" x14ac:dyDescent="0.3">
      <c r="A1658" s="21" t="str">
        <f t="shared" si="25"/>
        <v>.</v>
      </c>
      <c r="D1658" s="44"/>
      <c r="E1658" s="22" t="str">
        <f>IF(D1658&lt;&gt;"",IFERROR(INDEX(Produtos!$C$4:$C$4996,MATCH(D1658,Produtos!$B$4:$B$4996,0)),"Produto não encontrado"),"")</f>
        <v/>
      </c>
    </row>
    <row r="1659" spans="1:5" x14ac:dyDescent="0.3">
      <c r="A1659" s="21" t="str">
        <f t="shared" si="25"/>
        <v>.</v>
      </c>
      <c r="D1659" s="44"/>
      <c r="E1659" s="22" t="str">
        <f>IF(D1659&lt;&gt;"",IFERROR(INDEX(Produtos!$C$4:$C$4996,MATCH(D1659,Produtos!$B$4:$B$4996,0)),"Produto não encontrado"),"")</f>
        <v/>
      </c>
    </row>
    <row r="1660" spans="1:5" x14ac:dyDescent="0.3">
      <c r="A1660" s="21" t="str">
        <f t="shared" si="25"/>
        <v>.</v>
      </c>
      <c r="D1660" s="44"/>
      <c r="E1660" s="22" t="str">
        <f>IF(D1660&lt;&gt;"",IFERROR(INDEX(Produtos!$C$4:$C$4996,MATCH(D1660,Produtos!$B$4:$B$4996,0)),"Produto não encontrado"),"")</f>
        <v/>
      </c>
    </row>
    <row r="1661" spans="1:5" x14ac:dyDescent="0.3">
      <c r="A1661" s="21" t="str">
        <f t="shared" si="25"/>
        <v>.</v>
      </c>
      <c r="D1661" s="44"/>
      <c r="E1661" s="22" t="str">
        <f>IF(D1661&lt;&gt;"",IFERROR(INDEX(Produtos!$C$4:$C$4996,MATCH(D1661,Produtos!$B$4:$B$4996,0)),"Produto não encontrado"),"")</f>
        <v/>
      </c>
    </row>
    <row r="1662" spans="1:5" x14ac:dyDescent="0.3">
      <c r="A1662" s="21" t="str">
        <f t="shared" si="25"/>
        <v>.</v>
      </c>
      <c r="D1662" s="44"/>
      <c r="E1662" s="22" t="str">
        <f>IF(D1662&lt;&gt;"",IFERROR(INDEX(Produtos!$C$4:$C$4996,MATCH(D1662,Produtos!$B$4:$B$4996,0)),"Produto não encontrado"),"")</f>
        <v/>
      </c>
    </row>
    <row r="1663" spans="1:5" x14ac:dyDescent="0.3">
      <c r="A1663" s="21" t="str">
        <f t="shared" si="25"/>
        <v>.</v>
      </c>
      <c r="D1663" s="44"/>
      <c r="E1663" s="22" t="str">
        <f>IF(D1663&lt;&gt;"",IFERROR(INDEX(Produtos!$C$4:$C$4996,MATCH(D1663,Produtos!$B$4:$B$4996,0)),"Produto não encontrado"),"")</f>
        <v/>
      </c>
    </row>
    <row r="1664" spans="1:5" x14ac:dyDescent="0.3">
      <c r="A1664" s="21" t="str">
        <f t="shared" ref="A1664:A1727" si="26">IF(C1664="Entrada",2,IF(C1664="Saída",1,"."))</f>
        <v>.</v>
      </c>
      <c r="D1664" s="44"/>
      <c r="E1664" s="22" t="str">
        <f>IF(D1664&lt;&gt;"",IFERROR(INDEX(Produtos!$C$4:$C$4996,MATCH(D1664,Produtos!$B$4:$B$4996,0)),"Produto não encontrado"),"")</f>
        <v/>
      </c>
    </row>
    <row r="1665" spans="1:5" x14ac:dyDescent="0.3">
      <c r="A1665" s="21" t="str">
        <f t="shared" si="26"/>
        <v>.</v>
      </c>
      <c r="D1665" s="44"/>
      <c r="E1665" s="22" t="str">
        <f>IF(D1665&lt;&gt;"",IFERROR(INDEX(Produtos!$C$4:$C$4996,MATCH(D1665,Produtos!$B$4:$B$4996,0)),"Produto não encontrado"),"")</f>
        <v/>
      </c>
    </row>
    <row r="1666" spans="1:5" x14ac:dyDescent="0.3">
      <c r="A1666" s="21" t="str">
        <f t="shared" si="26"/>
        <v>.</v>
      </c>
      <c r="D1666" s="44"/>
      <c r="E1666" s="22" t="str">
        <f>IF(D1666&lt;&gt;"",IFERROR(INDEX(Produtos!$C$4:$C$4996,MATCH(D1666,Produtos!$B$4:$B$4996,0)),"Produto não encontrado"),"")</f>
        <v/>
      </c>
    </row>
    <row r="1667" spans="1:5" x14ac:dyDescent="0.3">
      <c r="A1667" s="21" t="str">
        <f t="shared" si="26"/>
        <v>.</v>
      </c>
      <c r="D1667" s="44"/>
      <c r="E1667" s="22" t="str">
        <f>IF(D1667&lt;&gt;"",IFERROR(INDEX(Produtos!$C$4:$C$4996,MATCH(D1667,Produtos!$B$4:$B$4996,0)),"Produto não encontrado"),"")</f>
        <v/>
      </c>
    </row>
    <row r="1668" spans="1:5" x14ac:dyDescent="0.3">
      <c r="A1668" s="21" t="str">
        <f t="shared" si="26"/>
        <v>.</v>
      </c>
      <c r="D1668" s="44"/>
      <c r="E1668" s="22" t="str">
        <f>IF(D1668&lt;&gt;"",IFERROR(INDEX(Produtos!$C$4:$C$4996,MATCH(D1668,Produtos!$B$4:$B$4996,0)),"Produto não encontrado"),"")</f>
        <v/>
      </c>
    </row>
    <row r="1669" spans="1:5" x14ac:dyDescent="0.3">
      <c r="A1669" s="21" t="str">
        <f t="shared" si="26"/>
        <v>.</v>
      </c>
      <c r="D1669" s="44"/>
      <c r="E1669" s="22" t="str">
        <f>IF(D1669&lt;&gt;"",IFERROR(INDEX(Produtos!$C$4:$C$4996,MATCH(D1669,Produtos!$B$4:$B$4996,0)),"Produto não encontrado"),"")</f>
        <v/>
      </c>
    </row>
    <row r="1670" spans="1:5" x14ac:dyDescent="0.3">
      <c r="A1670" s="21" t="str">
        <f t="shared" si="26"/>
        <v>.</v>
      </c>
      <c r="D1670" s="44"/>
      <c r="E1670" s="22" t="str">
        <f>IF(D1670&lt;&gt;"",IFERROR(INDEX(Produtos!$C$4:$C$4996,MATCH(D1670,Produtos!$B$4:$B$4996,0)),"Produto não encontrado"),"")</f>
        <v/>
      </c>
    </row>
    <row r="1671" spans="1:5" x14ac:dyDescent="0.3">
      <c r="A1671" s="21" t="str">
        <f t="shared" si="26"/>
        <v>.</v>
      </c>
      <c r="D1671" s="44"/>
      <c r="E1671" s="22" t="str">
        <f>IF(D1671&lt;&gt;"",IFERROR(INDEX(Produtos!$C$4:$C$4996,MATCH(D1671,Produtos!$B$4:$B$4996,0)),"Produto não encontrado"),"")</f>
        <v/>
      </c>
    </row>
    <row r="1672" spans="1:5" x14ac:dyDescent="0.3">
      <c r="A1672" s="21" t="str">
        <f t="shared" si="26"/>
        <v>.</v>
      </c>
      <c r="D1672" s="44"/>
      <c r="E1672" s="22" t="str">
        <f>IF(D1672&lt;&gt;"",IFERROR(INDEX(Produtos!$C$4:$C$4996,MATCH(D1672,Produtos!$B$4:$B$4996,0)),"Produto não encontrado"),"")</f>
        <v/>
      </c>
    </row>
    <row r="1673" spans="1:5" x14ac:dyDescent="0.3">
      <c r="A1673" s="21" t="str">
        <f t="shared" si="26"/>
        <v>.</v>
      </c>
      <c r="D1673" s="44"/>
      <c r="E1673" s="22" t="str">
        <f>IF(D1673&lt;&gt;"",IFERROR(INDEX(Produtos!$C$4:$C$4996,MATCH(D1673,Produtos!$B$4:$B$4996,0)),"Produto não encontrado"),"")</f>
        <v/>
      </c>
    </row>
    <row r="1674" spans="1:5" x14ac:dyDescent="0.3">
      <c r="A1674" s="21" t="str">
        <f t="shared" si="26"/>
        <v>.</v>
      </c>
      <c r="D1674" s="44"/>
      <c r="E1674" s="22" t="str">
        <f>IF(D1674&lt;&gt;"",IFERROR(INDEX(Produtos!$C$4:$C$4996,MATCH(D1674,Produtos!$B$4:$B$4996,0)),"Produto não encontrado"),"")</f>
        <v/>
      </c>
    </row>
    <row r="1675" spans="1:5" x14ac:dyDescent="0.3">
      <c r="A1675" s="21" t="str">
        <f t="shared" si="26"/>
        <v>.</v>
      </c>
      <c r="D1675" s="44"/>
      <c r="E1675" s="22" t="str">
        <f>IF(D1675&lt;&gt;"",IFERROR(INDEX(Produtos!$C$4:$C$4996,MATCH(D1675,Produtos!$B$4:$B$4996,0)),"Produto não encontrado"),"")</f>
        <v/>
      </c>
    </row>
    <row r="1676" spans="1:5" x14ac:dyDescent="0.3">
      <c r="A1676" s="21" t="str">
        <f t="shared" si="26"/>
        <v>.</v>
      </c>
      <c r="D1676" s="44"/>
      <c r="E1676" s="22" t="str">
        <f>IF(D1676&lt;&gt;"",IFERROR(INDEX(Produtos!$C$4:$C$4996,MATCH(D1676,Produtos!$B$4:$B$4996,0)),"Produto não encontrado"),"")</f>
        <v/>
      </c>
    </row>
    <row r="1677" spans="1:5" x14ac:dyDescent="0.3">
      <c r="A1677" s="21" t="str">
        <f t="shared" si="26"/>
        <v>.</v>
      </c>
      <c r="D1677" s="44"/>
      <c r="E1677" s="22" t="str">
        <f>IF(D1677&lt;&gt;"",IFERROR(INDEX(Produtos!$C$4:$C$4996,MATCH(D1677,Produtos!$B$4:$B$4996,0)),"Produto não encontrado"),"")</f>
        <v/>
      </c>
    </row>
    <row r="1678" spans="1:5" x14ac:dyDescent="0.3">
      <c r="A1678" s="21" t="str">
        <f t="shared" si="26"/>
        <v>.</v>
      </c>
      <c r="D1678" s="44"/>
      <c r="E1678" s="22" t="str">
        <f>IF(D1678&lt;&gt;"",IFERROR(INDEX(Produtos!$C$4:$C$4996,MATCH(D1678,Produtos!$B$4:$B$4996,0)),"Produto não encontrado"),"")</f>
        <v/>
      </c>
    </row>
    <row r="1679" spans="1:5" x14ac:dyDescent="0.3">
      <c r="A1679" s="21" t="str">
        <f t="shared" si="26"/>
        <v>.</v>
      </c>
      <c r="D1679" s="44"/>
      <c r="E1679" s="22" t="str">
        <f>IF(D1679&lt;&gt;"",IFERROR(INDEX(Produtos!$C$4:$C$4996,MATCH(D1679,Produtos!$B$4:$B$4996,0)),"Produto não encontrado"),"")</f>
        <v/>
      </c>
    </row>
    <row r="1680" spans="1:5" x14ac:dyDescent="0.3">
      <c r="A1680" s="21" t="str">
        <f t="shared" si="26"/>
        <v>.</v>
      </c>
      <c r="D1680" s="44"/>
      <c r="E1680" s="22" t="str">
        <f>IF(D1680&lt;&gt;"",IFERROR(INDEX(Produtos!$C$4:$C$4996,MATCH(D1680,Produtos!$B$4:$B$4996,0)),"Produto não encontrado"),"")</f>
        <v/>
      </c>
    </row>
    <row r="1681" spans="1:5" x14ac:dyDescent="0.3">
      <c r="A1681" s="21" t="str">
        <f t="shared" si="26"/>
        <v>.</v>
      </c>
      <c r="D1681" s="44"/>
      <c r="E1681" s="22" t="str">
        <f>IF(D1681&lt;&gt;"",IFERROR(INDEX(Produtos!$C$4:$C$4996,MATCH(D1681,Produtos!$B$4:$B$4996,0)),"Produto não encontrado"),"")</f>
        <v/>
      </c>
    </row>
    <row r="1682" spans="1:5" x14ac:dyDescent="0.3">
      <c r="A1682" s="21" t="str">
        <f t="shared" si="26"/>
        <v>.</v>
      </c>
      <c r="D1682" s="44"/>
      <c r="E1682" s="22" t="str">
        <f>IF(D1682&lt;&gt;"",IFERROR(INDEX(Produtos!$C$4:$C$4996,MATCH(D1682,Produtos!$B$4:$B$4996,0)),"Produto não encontrado"),"")</f>
        <v/>
      </c>
    </row>
    <row r="1683" spans="1:5" x14ac:dyDescent="0.3">
      <c r="A1683" s="21" t="str">
        <f t="shared" si="26"/>
        <v>.</v>
      </c>
      <c r="D1683" s="44"/>
      <c r="E1683" s="22" t="str">
        <f>IF(D1683&lt;&gt;"",IFERROR(INDEX(Produtos!$C$4:$C$4996,MATCH(D1683,Produtos!$B$4:$B$4996,0)),"Produto não encontrado"),"")</f>
        <v/>
      </c>
    </row>
    <row r="1684" spans="1:5" x14ac:dyDescent="0.3">
      <c r="A1684" s="21" t="str">
        <f t="shared" si="26"/>
        <v>.</v>
      </c>
      <c r="D1684" s="44"/>
      <c r="E1684" s="22" t="str">
        <f>IF(D1684&lt;&gt;"",IFERROR(INDEX(Produtos!$C$4:$C$4996,MATCH(D1684,Produtos!$B$4:$B$4996,0)),"Produto não encontrado"),"")</f>
        <v/>
      </c>
    </row>
    <row r="1685" spans="1:5" x14ac:dyDescent="0.3">
      <c r="A1685" s="21" t="str">
        <f t="shared" si="26"/>
        <v>.</v>
      </c>
      <c r="D1685" s="44"/>
      <c r="E1685" s="22" t="str">
        <f>IF(D1685&lt;&gt;"",IFERROR(INDEX(Produtos!$C$4:$C$4996,MATCH(D1685,Produtos!$B$4:$B$4996,0)),"Produto não encontrado"),"")</f>
        <v/>
      </c>
    </row>
    <row r="1686" spans="1:5" x14ac:dyDescent="0.3">
      <c r="A1686" s="21" t="str">
        <f t="shared" si="26"/>
        <v>.</v>
      </c>
      <c r="D1686" s="44"/>
      <c r="E1686" s="22" t="str">
        <f>IF(D1686&lt;&gt;"",IFERROR(INDEX(Produtos!$C$4:$C$4996,MATCH(D1686,Produtos!$B$4:$B$4996,0)),"Produto não encontrado"),"")</f>
        <v/>
      </c>
    </row>
    <row r="1687" spans="1:5" x14ac:dyDescent="0.3">
      <c r="A1687" s="21" t="str">
        <f t="shared" si="26"/>
        <v>.</v>
      </c>
      <c r="D1687" s="44"/>
      <c r="E1687" s="22" t="str">
        <f>IF(D1687&lt;&gt;"",IFERROR(INDEX(Produtos!$C$4:$C$4996,MATCH(D1687,Produtos!$B$4:$B$4996,0)),"Produto não encontrado"),"")</f>
        <v/>
      </c>
    </row>
    <row r="1688" spans="1:5" x14ac:dyDescent="0.3">
      <c r="A1688" s="21" t="str">
        <f t="shared" si="26"/>
        <v>.</v>
      </c>
      <c r="D1688" s="44"/>
      <c r="E1688" s="22" t="str">
        <f>IF(D1688&lt;&gt;"",IFERROR(INDEX(Produtos!$C$4:$C$4996,MATCH(D1688,Produtos!$B$4:$B$4996,0)),"Produto não encontrado"),"")</f>
        <v/>
      </c>
    </row>
    <row r="1689" spans="1:5" x14ac:dyDescent="0.3">
      <c r="A1689" s="21" t="str">
        <f t="shared" si="26"/>
        <v>.</v>
      </c>
      <c r="D1689" s="44"/>
      <c r="E1689" s="22" t="str">
        <f>IF(D1689&lt;&gt;"",IFERROR(INDEX(Produtos!$C$4:$C$4996,MATCH(D1689,Produtos!$B$4:$B$4996,0)),"Produto não encontrado"),"")</f>
        <v/>
      </c>
    </row>
    <row r="1690" spans="1:5" x14ac:dyDescent="0.3">
      <c r="A1690" s="21" t="str">
        <f t="shared" si="26"/>
        <v>.</v>
      </c>
      <c r="D1690" s="44"/>
      <c r="E1690" s="22" t="str">
        <f>IF(D1690&lt;&gt;"",IFERROR(INDEX(Produtos!$C$4:$C$4996,MATCH(D1690,Produtos!$B$4:$B$4996,0)),"Produto não encontrado"),"")</f>
        <v/>
      </c>
    </row>
    <row r="1691" spans="1:5" x14ac:dyDescent="0.3">
      <c r="A1691" s="21" t="str">
        <f t="shared" si="26"/>
        <v>.</v>
      </c>
      <c r="D1691" s="44"/>
      <c r="E1691" s="22" t="str">
        <f>IF(D1691&lt;&gt;"",IFERROR(INDEX(Produtos!$C$4:$C$4996,MATCH(D1691,Produtos!$B$4:$B$4996,0)),"Produto não encontrado"),"")</f>
        <v/>
      </c>
    </row>
    <row r="1692" spans="1:5" x14ac:dyDescent="0.3">
      <c r="A1692" s="21" t="str">
        <f t="shared" si="26"/>
        <v>.</v>
      </c>
      <c r="D1692" s="44"/>
      <c r="E1692" s="22" t="str">
        <f>IF(D1692&lt;&gt;"",IFERROR(INDEX(Produtos!$C$4:$C$4996,MATCH(D1692,Produtos!$B$4:$B$4996,0)),"Produto não encontrado"),"")</f>
        <v/>
      </c>
    </row>
    <row r="1693" spans="1:5" x14ac:dyDescent="0.3">
      <c r="A1693" s="21" t="str">
        <f t="shared" si="26"/>
        <v>.</v>
      </c>
      <c r="D1693" s="44"/>
      <c r="E1693" s="22" t="str">
        <f>IF(D1693&lt;&gt;"",IFERROR(INDEX(Produtos!$C$4:$C$4996,MATCH(D1693,Produtos!$B$4:$B$4996,0)),"Produto não encontrado"),"")</f>
        <v/>
      </c>
    </row>
    <row r="1694" spans="1:5" x14ac:dyDescent="0.3">
      <c r="A1694" s="21" t="str">
        <f t="shared" si="26"/>
        <v>.</v>
      </c>
      <c r="D1694" s="44"/>
      <c r="E1694" s="22" t="str">
        <f>IF(D1694&lt;&gt;"",IFERROR(INDEX(Produtos!$C$4:$C$4996,MATCH(D1694,Produtos!$B$4:$B$4996,0)),"Produto não encontrado"),"")</f>
        <v/>
      </c>
    </row>
    <row r="1695" spans="1:5" x14ac:dyDescent="0.3">
      <c r="A1695" s="21" t="str">
        <f t="shared" si="26"/>
        <v>.</v>
      </c>
      <c r="D1695" s="44"/>
      <c r="E1695" s="22" t="str">
        <f>IF(D1695&lt;&gt;"",IFERROR(INDEX(Produtos!$C$4:$C$4996,MATCH(D1695,Produtos!$B$4:$B$4996,0)),"Produto não encontrado"),"")</f>
        <v/>
      </c>
    </row>
    <row r="1696" spans="1:5" x14ac:dyDescent="0.3">
      <c r="A1696" s="21" t="str">
        <f t="shared" si="26"/>
        <v>.</v>
      </c>
      <c r="D1696" s="44"/>
      <c r="E1696" s="22" t="str">
        <f>IF(D1696&lt;&gt;"",IFERROR(INDEX(Produtos!$C$4:$C$4996,MATCH(D1696,Produtos!$B$4:$B$4996,0)),"Produto não encontrado"),"")</f>
        <v/>
      </c>
    </row>
    <row r="1697" spans="1:5" x14ac:dyDescent="0.3">
      <c r="A1697" s="21" t="str">
        <f t="shared" si="26"/>
        <v>.</v>
      </c>
      <c r="D1697" s="44"/>
      <c r="E1697" s="22" t="str">
        <f>IF(D1697&lt;&gt;"",IFERROR(INDEX(Produtos!$C$4:$C$4996,MATCH(D1697,Produtos!$B$4:$B$4996,0)),"Produto não encontrado"),"")</f>
        <v/>
      </c>
    </row>
    <row r="1698" spans="1:5" x14ac:dyDescent="0.3">
      <c r="A1698" s="21" t="str">
        <f t="shared" si="26"/>
        <v>.</v>
      </c>
      <c r="D1698" s="44"/>
      <c r="E1698" s="22" t="str">
        <f>IF(D1698&lt;&gt;"",IFERROR(INDEX(Produtos!$C$4:$C$4996,MATCH(D1698,Produtos!$B$4:$B$4996,0)),"Produto não encontrado"),"")</f>
        <v/>
      </c>
    </row>
    <row r="1699" spans="1:5" x14ac:dyDescent="0.3">
      <c r="A1699" s="21" t="str">
        <f t="shared" si="26"/>
        <v>.</v>
      </c>
      <c r="D1699" s="44"/>
      <c r="E1699" s="22" t="str">
        <f>IF(D1699&lt;&gt;"",IFERROR(INDEX(Produtos!$C$4:$C$4996,MATCH(D1699,Produtos!$B$4:$B$4996,0)),"Produto não encontrado"),"")</f>
        <v/>
      </c>
    </row>
    <row r="1700" spans="1:5" x14ac:dyDescent="0.3">
      <c r="A1700" s="21" t="str">
        <f t="shared" si="26"/>
        <v>.</v>
      </c>
      <c r="D1700" s="44"/>
      <c r="E1700" s="22" t="str">
        <f>IF(D1700&lt;&gt;"",IFERROR(INDEX(Produtos!$C$4:$C$4996,MATCH(D1700,Produtos!$B$4:$B$4996,0)),"Produto não encontrado"),"")</f>
        <v/>
      </c>
    </row>
    <row r="1701" spans="1:5" x14ac:dyDescent="0.3">
      <c r="A1701" s="21" t="str">
        <f t="shared" si="26"/>
        <v>.</v>
      </c>
      <c r="D1701" s="44"/>
      <c r="E1701" s="22" t="str">
        <f>IF(D1701&lt;&gt;"",IFERROR(INDEX(Produtos!$C$4:$C$4996,MATCH(D1701,Produtos!$B$4:$B$4996,0)),"Produto não encontrado"),"")</f>
        <v/>
      </c>
    </row>
    <row r="1702" spans="1:5" x14ac:dyDescent="0.3">
      <c r="A1702" s="21" t="str">
        <f t="shared" si="26"/>
        <v>.</v>
      </c>
      <c r="D1702" s="44"/>
      <c r="E1702" s="22" t="str">
        <f>IF(D1702&lt;&gt;"",IFERROR(INDEX(Produtos!$C$4:$C$4996,MATCH(D1702,Produtos!$B$4:$B$4996,0)),"Produto não encontrado"),"")</f>
        <v/>
      </c>
    </row>
    <row r="1703" spans="1:5" x14ac:dyDescent="0.3">
      <c r="A1703" s="21" t="str">
        <f t="shared" si="26"/>
        <v>.</v>
      </c>
      <c r="D1703" s="44"/>
      <c r="E1703" s="22" t="str">
        <f>IF(D1703&lt;&gt;"",IFERROR(INDEX(Produtos!$C$4:$C$4996,MATCH(D1703,Produtos!$B$4:$B$4996,0)),"Produto não encontrado"),"")</f>
        <v/>
      </c>
    </row>
    <row r="1704" spans="1:5" x14ac:dyDescent="0.3">
      <c r="A1704" s="21" t="str">
        <f t="shared" si="26"/>
        <v>.</v>
      </c>
      <c r="D1704" s="44"/>
      <c r="E1704" s="22" t="str">
        <f>IF(D1704&lt;&gt;"",IFERROR(INDEX(Produtos!$C$4:$C$4996,MATCH(D1704,Produtos!$B$4:$B$4996,0)),"Produto não encontrado"),"")</f>
        <v/>
      </c>
    </row>
    <row r="1705" spans="1:5" x14ac:dyDescent="0.3">
      <c r="A1705" s="21" t="str">
        <f t="shared" si="26"/>
        <v>.</v>
      </c>
      <c r="D1705" s="44"/>
      <c r="E1705" s="22" t="str">
        <f>IF(D1705&lt;&gt;"",IFERROR(INDEX(Produtos!$C$4:$C$4996,MATCH(D1705,Produtos!$B$4:$B$4996,0)),"Produto não encontrado"),"")</f>
        <v/>
      </c>
    </row>
    <row r="1706" spans="1:5" x14ac:dyDescent="0.3">
      <c r="A1706" s="21" t="str">
        <f t="shared" si="26"/>
        <v>.</v>
      </c>
      <c r="D1706" s="44"/>
      <c r="E1706" s="22" t="str">
        <f>IF(D1706&lt;&gt;"",IFERROR(INDEX(Produtos!$C$4:$C$4996,MATCH(D1706,Produtos!$B$4:$B$4996,0)),"Produto não encontrado"),"")</f>
        <v/>
      </c>
    </row>
    <row r="1707" spans="1:5" x14ac:dyDescent="0.3">
      <c r="A1707" s="21" t="str">
        <f t="shared" si="26"/>
        <v>.</v>
      </c>
      <c r="D1707" s="44"/>
      <c r="E1707" s="22" t="str">
        <f>IF(D1707&lt;&gt;"",IFERROR(INDEX(Produtos!$C$4:$C$4996,MATCH(D1707,Produtos!$B$4:$B$4996,0)),"Produto não encontrado"),"")</f>
        <v/>
      </c>
    </row>
    <row r="1708" spans="1:5" x14ac:dyDescent="0.3">
      <c r="A1708" s="21" t="str">
        <f t="shared" si="26"/>
        <v>.</v>
      </c>
      <c r="D1708" s="44"/>
      <c r="E1708" s="22" t="str">
        <f>IF(D1708&lt;&gt;"",IFERROR(INDEX(Produtos!$C$4:$C$4996,MATCH(D1708,Produtos!$B$4:$B$4996,0)),"Produto não encontrado"),"")</f>
        <v/>
      </c>
    </row>
    <row r="1709" spans="1:5" x14ac:dyDescent="0.3">
      <c r="A1709" s="21" t="str">
        <f t="shared" si="26"/>
        <v>.</v>
      </c>
      <c r="D1709" s="44"/>
      <c r="E1709" s="22" t="str">
        <f>IF(D1709&lt;&gt;"",IFERROR(INDEX(Produtos!$C$4:$C$4996,MATCH(D1709,Produtos!$B$4:$B$4996,0)),"Produto não encontrado"),"")</f>
        <v/>
      </c>
    </row>
    <row r="1710" spans="1:5" x14ac:dyDescent="0.3">
      <c r="A1710" s="21" t="str">
        <f t="shared" si="26"/>
        <v>.</v>
      </c>
      <c r="D1710" s="44"/>
      <c r="E1710" s="22" t="str">
        <f>IF(D1710&lt;&gt;"",IFERROR(INDEX(Produtos!$C$4:$C$4996,MATCH(D1710,Produtos!$B$4:$B$4996,0)),"Produto não encontrado"),"")</f>
        <v/>
      </c>
    </row>
    <row r="1711" spans="1:5" x14ac:dyDescent="0.3">
      <c r="A1711" s="21" t="str">
        <f t="shared" si="26"/>
        <v>.</v>
      </c>
      <c r="D1711" s="44"/>
      <c r="E1711" s="22" t="str">
        <f>IF(D1711&lt;&gt;"",IFERROR(INDEX(Produtos!$C$4:$C$4996,MATCH(D1711,Produtos!$B$4:$B$4996,0)),"Produto não encontrado"),"")</f>
        <v/>
      </c>
    </row>
    <row r="1712" spans="1:5" x14ac:dyDescent="0.3">
      <c r="A1712" s="21" t="str">
        <f t="shared" si="26"/>
        <v>.</v>
      </c>
      <c r="D1712" s="44"/>
      <c r="E1712" s="22" t="str">
        <f>IF(D1712&lt;&gt;"",IFERROR(INDEX(Produtos!$C$4:$C$4996,MATCH(D1712,Produtos!$B$4:$B$4996,0)),"Produto não encontrado"),"")</f>
        <v/>
      </c>
    </row>
    <row r="1713" spans="1:5" x14ac:dyDescent="0.3">
      <c r="A1713" s="21" t="str">
        <f t="shared" si="26"/>
        <v>.</v>
      </c>
      <c r="D1713" s="44"/>
      <c r="E1713" s="22" t="str">
        <f>IF(D1713&lt;&gt;"",IFERROR(INDEX(Produtos!$C$4:$C$4996,MATCH(D1713,Produtos!$B$4:$B$4996,0)),"Produto não encontrado"),"")</f>
        <v/>
      </c>
    </row>
    <row r="1714" spans="1:5" x14ac:dyDescent="0.3">
      <c r="A1714" s="21" t="str">
        <f t="shared" si="26"/>
        <v>.</v>
      </c>
      <c r="D1714" s="44"/>
      <c r="E1714" s="22" t="str">
        <f>IF(D1714&lt;&gt;"",IFERROR(INDEX(Produtos!$C$4:$C$4996,MATCH(D1714,Produtos!$B$4:$B$4996,0)),"Produto não encontrado"),"")</f>
        <v/>
      </c>
    </row>
    <row r="1715" spans="1:5" x14ac:dyDescent="0.3">
      <c r="A1715" s="21" t="str">
        <f t="shared" si="26"/>
        <v>.</v>
      </c>
      <c r="D1715" s="44"/>
      <c r="E1715" s="22" t="str">
        <f>IF(D1715&lt;&gt;"",IFERROR(INDEX(Produtos!$C$4:$C$4996,MATCH(D1715,Produtos!$B$4:$B$4996,0)),"Produto não encontrado"),"")</f>
        <v/>
      </c>
    </row>
    <row r="1716" spans="1:5" x14ac:dyDescent="0.3">
      <c r="A1716" s="21" t="str">
        <f t="shared" si="26"/>
        <v>.</v>
      </c>
      <c r="D1716" s="44"/>
      <c r="E1716" s="22" t="str">
        <f>IF(D1716&lt;&gt;"",IFERROR(INDEX(Produtos!$C$4:$C$4996,MATCH(D1716,Produtos!$B$4:$B$4996,0)),"Produto não encontrado"),"")</f>
        <v/>
      </c>
    </row>
    <row r="1717" spans="1:5" x14ac:dyDescent="0.3">
      <c r="A1717" s="21" t="str">
        <f t="shared" si="26"/>
        <v>.</v>
      </c>
      <c r="D1717" s="44"/>
      <c r="E1717" s="22" t="str">
        <f>IF(D1717&lt;&gt;"",IFERROR(INDEX(Produtos!$C$4:$C$4996,MATCH(D1717,Produtos!$B$4:$B$4996,0)),"Produto não encontrado"),"")</f>
        <v/>
      </c>
    </row>
    <row r="1718" spans="1:5" x14ac:dyDescent="0.3">
      <c r="A1718" s="21" t="str">
        <f t="shared" si="26"/>
        <v>.</v>
      </c>
      <c r="D1718" s="44"/>
      <c r="E1718" s="22" t="str">
        <f>IF(D1718&lt;&gt;"",IFERROR(INDEX(Produtos!$C$4:$C$4996,MATCH(D1718,Produtos!$B$4:$B$4996,0)),"Produto não encontrado"),"")</f>
        <v/>
      </c>
    </row>
    <row r="1719" spans="1:5" x14ac:dyDescent="0.3">
      <c r="A1719" s="21" t="str">
        <f t="shared" si="26"/>
        <v>.</v>
      </c>
      <c r="D1719" s="44"/>
      <c r="E1719" s="22" t="str">
        <f>IF(D1719&lt;&gt;"",IFERROR(INDEX(Produtos!$C$4:$C$4996,MATCH(D1719,Produtos!$B$4:$B$4996,0)),"Produto não encontrado"),"")</f>
        <v/>
      </c>
    </row>
    <row r="1720" spans="1:5" x14ac:dyDescent="0.3">
      <c r="A1720" s="21" t="str">
        <f t="shared" si="26"/>
        <v>.</v>
      </c>
      <c r="D1720" s="44"/>
      <c r="E1720" s="22" t="str">
        <f>IF(D1720&lt;&gt;"",IFERROR(INDEX(Produtos!$C$4:$C$4996,MATCH(D1720,Produtos!$B$4:$B$4996,0)),"Produto não encontrado"),"")</f>
        <v/>
      </c>
    </row>
    <row r="1721" spans="1:5" x14ac:dyDescent="0.3">
      <c r="A1721" s="21" t="str">
        <f t="shared" si="26"/>
        <v>.</v>
      </c>
      <c r="D1721" s="44"/>
      <c r="E1721" s="22" t="str">
        <f>IF(D1721&lt;&gt;"",IFERROR(INDEX(Produtos!$C$4:$C$4996,MATCH(D1721,Produtos!$B$4:$B$4996,0)),"Produto não encontrado"),"")</f>
        <v/>
      </c>
    </row>
    <row r="1722" spans="1:5" x14ac:dyDescent="0.3">
      <c r="A1722" s="21" t="str">
        <f t="shared" si="26"/>
        <v>.</v>
      </c>
      <c r="D1722" s="44"/>
      <c r="E1722" s="22" t="str">
        <f>IF(D1722&lt;&gt;"",IFERROR(INDEX(Produtos!$C$4:$C$4996,MATCH(D1722,Produtos!$B$4:$B$4996,0)),"Produto não encontrado"),"")</f>
        <v/>
      </c>
    </row>
    <row r="1723" spans="1:5" x14ac:dyDescent="0.3">
      <c r="A1723" s="21" t="str">
        <f t="shared" si="26"/>
        <v>.</v>
      </c>
      <c r="D1723" s="44"/>
      <c r="E1723" s="22" t="str">
        <f>IF(D1723&lt;&gt;"",IFERROR(INDEX(Produtos!$C$4:$C$4996,MATCH(D1723,Produtos!$B$4:$B$4996,0)),"Produto não encontrado"),"")</f>
        <v/>
      </c>
    </row>
    <row r="1724" spans="1:5" x14ac:dyDescent="0.3">
      <c r="A1724" s="21" t="str">
        <f t="shared" si="26"/>
        <v>.</v>
      </c>
      <c r="D1724" s="44"/>
      <c r="E1724" s="22" t="str">
        <f>IF(D1724&lt;&gt;"",IFERROR(INDEX(Produtos!$C$4:$C$4996,MATCH(D1724,Produtos!$B$4:$B$4996,0)),"Produto não encontrado"),"")</f>
        <v/>
      </c>
    </row>
    <row r="1725" spans="1:5" x14ac:dyDescent="0.3">
      <c r="A1725" s="21" t="str">
        <f t="shared" si="26"/>
        <v>.</v>
      </c>
      <c r="D1725" s="44"/>
      <c r="E1725" s="22" t="str">
        <f>IF(D1725&lt;&gt;"",IFERROR(INDEX(Produtos!$C$4:$C$4996,MATCH(D1725,Produtos!$B$4:$B$4996,0)),"Produto não encontrado"),"")</f>
        <v/>
      </c>
    </row>
    <row r="1726" spans="1:5" x14ac:dyDescent="0.3">
      <c r="A1726" s="21" t="str">
        <f t="shared" si="26"/>
        <v>.</v>
      </c>
      <c r="D1726" s="44"/>
      <c r="E1726" s="22" t="str">
        <f>IF(D1726&lt;&gt;"",IFERROR(INDEX(Produtos!$C$4:$C$4996,MATCH(D1726,Produtos!$B$4:$B$4996,0)),"Produto não encontrado"),"")</f>
        <v/>
      </c>
    </row>
    <row r="1727" spans="1:5" x14ac:dyDescent="0.3">
      <c r="A1727" s="21" t="str">
        <f t="shared" si="26"/>
        <v>.</v>
      </c>
      <c r="D1727" s="44"/>
      <c r="E1727" s="22" t="str">
        <f>IF(D1727&lt;&gt;"",IFERROR(INDEX(Produtos!$C$4:$C$4996,MATCH(D1727,Produtos!$B$4:$B$4996,0)),"Produto não encontrado"),"")</f>
        <v/>
      </c>
    </row>
    <row r="1728" spans="1:5" x14ac:dyDescent="0.3">
      <c r="A1728" s="21" t="str">
        <f t="shared" ref="A1728:A1791" si="27">IF(C1728="Entrada",2,IF(C1728="Saída",1,"."))</f>
        <v>.</v>
      </c>
      <c r="D1728" s="44"/>
      <c r="E1728" s="22" t="str">
        <f>IF(D1728&lt;&gt;"",IFERROR(INDEX(Produtos!$C$4:$C$4996,MATCH(D1728,Produtos!$B$4:$B$4996,0)),"Produto não encontrado"),"")</f>
        <v/>
      </c>
    </row>
    <row r="1729" spans="1:5" x14ac:dyDescent="0.3">
      <c r="A1729" s="21" t="str">
        <f t="shared" si="27"/>
        <v>.</v>
      </c>
      <c r="D1729" s="44"/>
      <c r="E1729" s="22" t="str">
        <f>IF(D1729&lt;&gt;"",IFERROR(INDEX(Produtos!$C$4:$C$4996,MATCH(D1729,Produtos!$B$4:$B$4996,0)),"Produto não encontrado"),"")</f>
        <v/>
      </c>
    </row>
    <row r="1730" spans="1:5" x14ac:dyDescent="0.3">
      <c r="A1730" s="21" t="str">
        <f t="shared" si="27"/>
        <v>.</v>
      </c>
      <c r="D1730" s="44"/>
      <c r="E1730" s="22" t="str">
        <f>IF(D1730&lt;&gt;"",IFERROR(INDEX(Produtos!$C$4:$C$4996,MATCH(D1730,Produtos!$B$4:$B$4996,0)),"Produto não encontrado"),"")</f>
        <v/>
      </c>
    </row>
    <row r="1731" spans="1:5" x14ac:dyDescent="0.3">
      <c r="A1731" s="21" t="str">
        <f t="shared" si="27"/>
        <v>.</v>
      </c>
      <c r="D1731" s="44"/>
      <c r="E1731" s="22" t="str">
        <f>IF(D1731&lt;&gt;"",IFERROR(INDEX(Produtos!$C$4:$C$4996,MATCH(D1731,Produtos!$B$4:$B$4996,0)),"Produto não encontrado"),"")</f>
        <v/>
      </c>
    </row>
    <row r="1732" spans="1:5" x14ac:dyDescent="0.3">
      <c r="A1732" s="21" t="str">
        <f t="shared" si="27"/>
        <v>.</v>
      </c>
      <c r="D1732" s="44"/>
      <c r="E1732" s="22" t="str">
        <f>IF(D1732&lt;&gt;"",IFERROR(INDEX(Produtos!$C$4:$C$4996,MATCH(D1732,Produtos!$B$4:$B$4996,0)),"Produto não encontrado"),"")</f>
        <v/>
      </c>
    </row>
    <row r="1733" spans="1:5" x14ac:dyDescent="0.3">
      <c r="A1733" s="21" t="str">
        <f t="shared" si="27"/>
        <v>.</v>
      </c>
      <c r="D1733" s="44"/>
      <c r="E1733" s="22" t="str">
        <f>IF(D1733&lt;&gt;"",IFERROR(INDEX(Produtos!$C$4:$C$4996,MATCH(D1733,Produtos!$B$4:$B$4996,0)),"Produto não encontrado"),"")</f>
        <v/>
      </c>
    </row>
    <row r="1734" spans="1:5" x14ac:dyDescent="0.3">
      <c r="A1734" s="21" t="str">
        <f t="shared" si="27"/>
        <v>.</v>
      </c>
      <c r="D1734" s="44"/>
      <c r="E1734" s="22" t="str">
        <f>IF(D1734&lt;&gt;"",IFERROR(INDEX(Produtos!$C$4:$C$4996,MATCH(D1734,Produtos!$B$4:$B$4996,0)),"Produto não encontrado"),"")</f>
        <v/>
      </c>
    </row>
    <row r="1735" spans="1:5" x14ac:dyDescent="0.3">
      <c r="A1735" s="21" t="str">
        <f t="shared" si="27"/>
        <v>.</v>
      </c>
      <c r="D1735" s="44"/>
      <c r="E1735" s="22" t="str">
        <f>IF(D1735&lt;&gt;"",IFERROR(INDEX(Produtos!$C$4:$C$4996,MATCH(D1735,Produtos!$B$4:$B$4996,0)),"Produto não encontrado"),"")</f>
        <v/>
      </c>
    </row>
    <row r="1736" spans="1:5" x14ac:dyDescent="0.3">
      <c r="A1736" s="21" t="str">
        <f t="shared" si="27"/>
        <v>.</v>
      </c>
      <c r="D1736" s="44"/>
      <c r="E1736" s="22" t="str">
        <f>IF(D1736&lt;&gt;"",IFERROR(INDEX(Produtos!$C$4:$C$4996,MATCH(D1736,Produtos!$B$4:$B$4996,0)),"Produto não encontrado"),"")</f>
        <v/>
      </c>
    </row>
    <row r="1737" spans="1:5" x14ac:dyDescent="0.3">
      <c r="A1737" s="21" t="str">
        <f t="shared" si="27"/>
        <v>.</v>
      </c>
      <c r="D1737" s="44"/>
      <c r="E1737" s="22" t="str">
        <f>IF(D1737&lt;&gt;"",IFERROR(INDEX(Produtos!$C$4:$C$4996,MATCH(D1737,Produtos!$B$4:$B$4996,0)),"Produto não encontrado"),"")</f>
        <v/>
      </c>
    </row>
    <row r="1738" spans="1:5" x14ac:dyDescent="0.3">
      <c r="A1738" s="21" t="str">
        <f t="shared" si="27"/>
        <v>.</v>
      </c>
      <c r="D1738" s="44"/>
      <c r="E1738" s="22" t="str">
        <f>IF(D1738&lt;&gt;"",IFERROR(INDEX(Produtos!$C$4:$C$4996,MATCH(D1738,Produtos!$B$4:$B$4996,0)),"Produto não encontrado"),"")</f>
        <v/>
      </c>
    </row>
    <row r="1739" spans="1:5" x14ac:dyDescent="0.3">
      <c r="A1739" s="21" t="str">
        <f t="shared" si="27"/>
        <v>.</v>
      </c>
      <c r="D1739" s="44"/>
      <c r="E1739" s="22" t="str">
        <f>IF(D1739&lt;&gt;"",IFERROR(INDEX(Produtos!$C$4:$C$4996,MATCH(D1739,Produtos!$B$4:$B$4996,0)),"Produto não encontrado"),"")</f>
        <v/>
      </c>
    </row>
    <row r="1740" spans="1:5" x14ac:dyDescent="0.3">
      <c r="A1740" s="21" t="str">
        <f t="shared" si="27"/>
        <v>.</v>
      </c>
      <c r="D1740" s="44"/>
      <c r="E1740" s="22" t="str">
        <f>IF(D1740&lt;&gt;"",IFERROR(INDEX(Produtos!$C$4:$C$4996,MATCH(D1740,Produtos!$B$4:$B$4996,0)),"Produto não encontrado"),"")</f>
        <v/>
      </c>
    </row>
    <row r="1741" spans="1:5" x14ac:dyDescent="0.3">
      <c r="A1741" s="21" t="str">
        <f t="shared" si="27"/>
        <v>.</v>
      </c>
      <c r="D1741" s="44"/>
      <c r="E1741" s="22" t="str">
        <f>IF(D1741&lt;&gt;"",IFERROR(INDEX(Produtos!$C$4:$C$4996,MATCH(D1741,Produtos!$B$4:$B$4996,0)),"Produto não encontrado"),"")</f>
        <v/>
      </c>
    </row>
    <row r="1742" spans="1:5" x14ac:dyDescent="0.3">
      <c r="A1742" s="21" t="str">
        <f t="shared" si="27"/>
        <v>.</v>
      </c>
      <c r="D1742" s="44"/>
      <c r="E1742" s="22" t="str">
        <f>IF(D1742&lt;&gt;"",IFERROR(INDEX(Produtos!$C$4:$C$4996,MATCH(D1742,Produtos!$B$4:$B$4996,0)),"Produto não encontrado"),"")</f>
        <v/>
      </c>
    </row>
    <row r="1743" spans="1:5" x14ac:dyDescent="0.3">
      <c r="A1743" s="21" t="str">
        <f t="shared" si="27"/>
        <v>.</v>
      </c>
      <c r="D1743" s="44"/>
      <c r="E1743" s="22" t="str">
        <f>IF(D1743&lt;&gt;"",IFERROR(INDEX(Produtos!$C$4:$C$4996,MATCH(D1743,Produtos!$B$4:$B$4996,0)),"Produto não encontrado"),"")</f>
        <v/>
      </c>
    </row>
    <row r="1744" spans="1:5" x14ac:dyDescent="0.3">
      <c r="A1744" s="21" t="str">
        <f t="shared" si="27"/>
        <v>.</v>
      </c>
      <c r="D1744" s="44"/>
      <c r="E1744" s="22" t="str">
        <f>IF(D1744&lt;&gt;"",IFERROR(INDEX(Produtos!$C$4:$C$4996,MATCH(D1744,Produtos!$B$4:$B$4996,0)),"Produto não encontrado"),"")</f>
        <v/>
      </c>
    </row>
    <row r="1745" spans="1:5" x14ac:dyDescent="0.3">
      <c r="A1745" s="21" t="str">
        <f t="shared" si="27"/>
        <v>.</v>
      </c>
      <c r="D1745" s="44"/>
      <c r="E1745" s="22" t="str">
        <f>IF(D1745&lt;&gt;"",IFERROR(INDEX(Produtos!$C$4:$C$4996,MATCH(D1745,Produtos!$B$4:$B$4996,0)),"Produto não encontrado"),"")</f>
        <v/>
      </c>
    </row>
    <row r="1746" spans="1:5" x14ac:dyDescent="0.3">
      <c r="A1746" s="21" t="str">
        <f t="shared" si="27"/>
        <v>.</v>
      </c>
      <c r="D1746" s="44"/>
      <c r="E1746" s="22" t="str">
        <f>IF(D1746&lt;&gt;"",IFERROR(INDEX(Produtos!$C$4:$C$4996,MATCH(D1746,Produtos!$B$4:$B$4996,0)),"Produto não encontrado"),"")</f>
        <v/>
      </c>
    </row>
    <row r="1747" spans="1:5" x14ac:dyDescent="0.3">
      <c r="A1747" s="21" t="str">
        <f t="shared" si="27"/>
        <v>.</v>
      </c>
      <c r="D1747" s="44"/>
      <c r="E1747" s="22" t="str">
        <f>IF(D1747&lt;&gt;"",IFERROR(INDEX(Produtos!$C$4:$C$4996,MATCH(D1747,Produtos!$B$4:$B$4996,0)),"Produto não encontrado"),"")</f>
        <v/>
      </c>
    </row>
    <row r="1748" spans="1:5" x14ac:dyDescent="0.3">
      <c r="A1748" s="21" t="str">
        <f t="shared" si="27"/>
        <v>.</v>
      </c>
      <c r="D1748" s="44"/>
      <c r="E1748" s="22" t="str">
        <f>IF(D1748&lt;&gt;"",IFERROR(INDEX(Produtos!$C$4:$C$4996,MATCH(D1748,Produtos!$B$4:$B$4996,0)),"Produto não encontrado"),"")</f>
        <v/>
      </c>
    </row>
    <row r="1749" spans="1:5" x14ac:dyDescent="0.3">
      <c r="A1749" s="21" t="str">
        <f t="shared" si="27"/>
        <v>.</v>
      </c>
      <c r="D1749" s="44"/>
      <c r="E1749" s="22" t="str">
        <f>IF(D1749&lt;&gt;"",IFERROR(INDEX(Produtos!$C$4:$C$4996,MATCH(D1749,Produtos!$B$4:$B$4996,0)),"Produto não encontrado"),"")</f>
        <v/>
      </c>
    </row>
    <row r="1750" spans="1:5" x14ac:dyDescent="0.3">
      <c r="A1750" s="21" t="str">
        <f t="shared" si="27"/>
        <v>.</v>
      </c>
      <c r="D1750" s="44"/>
      <c r="E1750" s="22" t="str">
        <f>IF(D1750&lt;&gt;"",IFERROR(INDEX(Produtos!$C$4:$C$4996,MATCH(D1750,Produtos!$B$4:$B$4996,0)),"Produto não encontrado"),"")</f>
        <v/>
      </c>
    </row>
    <row r="1751" spans="1:5" x14ac:dyDescent="0.3">
      <c r="A1751" s="21" t="str">
        <f t="shared" si="27"/>
        <v>.</v>
      </c>
      <c r="D1751" s="44"/>
      <c r="E1751" s="22" t="str">
        <f>IF(D1751&lt;&gt;"",IFERROR(INDEX(Produtos!$C$4:$C$4996,MATCH(D1751,Produtos!$B$4:$B$4996,0)),"Produto não encontrado"),"")</f>
        <v/>
      </c>
    </row>
    <row r="1752" spans="1:5" x14ac:dyDescent="0.3">
      <c r="A1752" s="21" t="str">
        <f t="shared" si="27"/>
        <v>.</v>
      </c>
      <c r="D1752" s="44"/>
      <c r="E1752" s="22" t="str">
        <f>IF(D1752&lt;&gt;"",IFERROR(INDEX(Produtos!$C$4:$C$4996,MATCH(D1752,Produtos!$B$4:$B$4996,0)),"Produto não encontrado"),"")</f>
        <v/>
      </c>
    </row>
    <row r="1753" spans="1:5" x14ac:dyDescent="0.3">
      <c r="A1753" s="21" t="str">
        <f t="shared" si="27"/>
        <v>.</v>
      </c>
      <c r="D1753" s="44"/>
      <c r="E1753" s="22" t="str">
        <f>IF(D1753&lt;&gt;"",IFERROR(INDEX(Produtos!$C$4:$C$4996,MATCH(D1753,Produtos!$B$4:$B$4996,0)),"Produto não encontrado"),"")</f>
        <v/>
      </c>
    </row>
    <row r="1754" spans="1:5" x14ac:dyDescent="0.3">
      <c r="A1754" s="21" t="str">
        <f t="shared" si="27"/>
        <v>.</v>
      </c>
      <c r="D1754" s="44"/>
      <c r="E1754" s="22" t="str">
        <f>IF(D1754&lt;&gt;"",IFERROR(INDEX(Produtos!$C$4:$C$4996,MATCH(D1754,Produtos!$B$4:$B$4996,0)),"Produto não encontrado"),"")</f>
        <v/>
      </c>
    </row>
    <row r="1755" spans="1:5" x14ac:dyDescent="0.3">
      <c r="A1755" s="21" t="str">
        <f t="shared" si="27"/>
        <v>.</v>
      </c>
      <c r="D1755" s="44"/>
      <c r="E1755" s="22" t="str">
        <f>IF(D1755&lt;&gt;"",IFERROR(INDEX(Produtos!$C$4:$C$4996,MATCH(D1755,Produtos!$B$4:$B$4996,0)),"Produto não encontrado"),"")</f>
        <v/>
      </c>
    </row>
    <row r="1756" spans="1:5" x14ac:dyDescent="0.3">
      <c r="A1756" s="21" t="str">
        <f t="shared" si="27"/>
        <v>.</v>
      </c>
      <c r="D1756" s="44"/>
      <c r="E1756" s="22" t="str">
        <f>IF(D1756&lt;&gt;"",IFERROR(INDEX(Produtos!$C$4:$C$4996,MATCH(D1756,Produtos!$B$4:$B$4996,0)),"Produto não encontrado"),"")</f>
        <v/>
      </c>
    </row>
    <row r="1757" spans="1:5" x14ac:dyDescent="0.3">
      <c r="A1757" s="21" t="str">
        <f t="shared" si="27"/>
        <v>.</v>
      </c>
      <c r="D1757" s="44"/>
      <c r="E1757" s="22" t="str">
        <f>IF(D1757&lt;&gt;"",IFERROR(INDEX(Produtos!$C$4:$C$4996,MATCH(D1757,Produtos!$B$4:$B$4996,0)),"Produto não encontrado"),"")</f>
        <v/>
      </c>
    </row>
    <row r="1758" spans="1:5" x14ac:dyDescent="0.3">
      <c r="A1758" s="21" t="str">
        <f t="shared" si="27"/>
        <v>.</v>
      </c>
      <c r="D1758" s="44"/>
      <c r="E1758" s="22" t="str">
        <f>IF(D1758&lt;&gt;"",IFERROR(INDEX(Produtos!$C$4:$C$4996,MATCH(D1758,Produtos!$B$4:$B$4996,0)),"Produto não encontrado"),"")</f>
        <v/>
      </c>
    </row>
    <row r="1759" spans="1:5" x14ac:dyDescent="0.3">
      <c r="A1759" s="21" t="str">
        <f t="shared" si="27"/>
        <v>.</v>
      </c>
      <c r="D1759" s="44"/>
      <c r="E1759" s="22" t="str">
        <f>IF(D1759&lt;&gt;"",IFERROR(INDEX(Produtos!$C$4:$C$4996,MATCH(D1759,Produtos!$B$4:$B$4996,0)),"Produto não encontrado"),"")</f>
        <v/>
      </c>
    </row>
    <row r="1760" spans="1:5" x14ac:dyDescent="0.3">
      <c r="A1760" s="21" t="str">
        <f t="shared" si="27"/>
        <v>.</v>
      </c>
      <c r="D1760" s="44"/>
      <c r="E1760" s="22" t="str">
        <f>IF(D1760&lt;&gt;"",IFERROR(INDEX(Produtos!$C$4:$C$4996,MATCH(D1760,Produtos!$B$4:$B$4996,0)),"Produto não encontrado"),"")</f>
        <v/>
      </c>
    </row>
    <row r="1761" spans="1:5" x14ac:dyDescent="0.3">
      <c r="A1761" s="21" t="str">
        <f t="shared" si="27"/>
        <v>.</v>
      </c>
      <c r="D1761" s="44"/>
      <c r="E1761" s="22" t="str">
        <f>IF(D1761&lt;&gt;"",IFERROR(INDEX(Produtos!$C$4:$C$4996,MATCH(D1761,Produtos!$B$4:$B$4996,0)),"Produto não encontrado"),"")</f>
        <v/>
      </c>
    </row>
    <row r="1762" spans="1:5" x14ac:dyDescent="0.3">
      <c r="A1762" s="21" t="str">
        <f t="shared" si="27"/>
        <v>.</v>
      </c>
      <c r="D1762" s="44"/>
      <c r="E1762" s="22" t="str">
        <f>IF(D1762&lt;&gt;"",IFERROR(INDEX(Produtos!$C$4:$C$4996,MATCH(D1762,Produtos!$B$4:$B$4996,0)),"Produto não encontrado"),"")</f>
        <v/>
      </c>
    </row>
    <row r="1763" spans="1:5" x14ac:dyDescent="0.3">
      <c r="A1763" s="21" t="str">
        <f t="shared" si="27"/>
        <v>.</v>
      </c>
      <c r="D1763" s="44"/>
      <c r="E1763" s="22" t="str">
        <f>IF(D1763&lt;&gt;"",IFERROR(INDEX(Produtos!$C$4:$C$4996,MATCH(D1763,Produtos!$B$4:$B$4996,0)),"Produto não encontrado"),"")</f>
        <v/>
      </c>
    </row>
    <row r="1764" spans="1:5" x14ac:dyDescent="0.3">
      <c r="A1764" s="21" t="str">
        <f t="shared" si="27"/>
        <v>.</v>
      </c>
      <c r="D1764" s="44"/>
      <c r="E1764" s="22" t="str">
        <f>IF(D1764&lt;&gt;"",IFERROR(INDEX(Produtos!$C$4:$C$4996,MATCH(D1764,Produtos!$B$4:$B$4996,0)),"Produto não encontrado"),"")</f>
        <v/>
      </c>
    </row>
    <row r="1765" spans="1:5" x14ac:dyDescent="0.3">
      <c r="A1765" s="21" t="str">
        <f t="shared" si="27"/>
        <v>.</v>
      </c>
      <c r="D1765" s="44"/>
      <c r="E1765" s="22" t="str">
        <f>IF(D1765&lt;&gt;"",IFERROR(INDEX(Produtos!$C$4:$C$4996,MATCH(D1765,Produtos!$B$4:$B$4996,0)),"Produto não encontrado"),"")</f>
        <v/>
      </c>
    </row>
    <row r="1766" spans="1:5" x14ac:dyDescent="0.3">
      <c r="A1766" s="21" t="str">
        <f t="shared" si="27"/>
        <v>.</v>
      </c>
      <c r="D1766" s="44"/>
      <c r="E1766" s="22" t="str">
        <f>IF(D1766&lt;&gt;"",IFERROR(INDEX(Produtos!$C$4:$C$4996,MATCH(D1766,Produtos!$B$4:$B$4996,0)),"Produto não encontrado"),"")</f>
        <v/>
      </c>
    </row>
    <row r="1767" spans="1:5" x14ac:dyDescent="0.3">
      <c r="A1767" s="21" t="str">
        <f t="shared" si="27"/>
        <v>.</v>
      </c>
      <c r="D1767" s="44"/>
      <c r="E1767" s="22" t="str">
        <f>IF(D1767&lt;&gt;"",IFERROR(INDEX(Produtos!$C$4:$C$4996,MATCH(D1767,Produtos!$B$4:$B$4996,0)),"Produto não encontrado"),"")</f>
        <v/>
      </c>
    </row>
    <row r="1768" spans="1:5" x14ac:dyDescent="0.3">
      <c r="A1768" s="21" t="str">
        <f t="shared" si="27"/>
        <v>.</v>
      </c>
      <c r="D1768" s="44"/>
      <c r="E1768" s="22" t="str">
        <f>IF(D1768&lt;&gt;"",IFERROR(INDEX(Produtos!$C$4:$C$4996,MATCH(D1768,Produtos!$B$4:$B$4996,0)),"Produto não encontrado"),"")</f>
        <v/>
      </c>
    </row>
    <row r="1769" spans="1:5" x14ac:dyDescent="0.3">
      <c r="A1769" s="21" t="str">
        <f t="shared" si="27"/>
        <v>.</v>
      </c>
      <c r="D1769" s="44"/>
      <c r="E1769" s="22" t="str">
        <f>IF(D1769&lt;&gt;"",IFERROR(INDEX(Produtos!$C$4:$C$4996,MATCH(D1769,Produtos!$B$4:$B$4996,0)),"Produto não encontrado"),"")</f>
        <v/>
      </c>
    </row>
    <row r="1770" spans="1:5" x14ac:dyDescent="0.3">
      <c r="A1770" s="21" t="str">
        <f t="shared" si="27"/>
        <v>.</v>
      </c>
      <c r="D1770" s="44"/>
      <c r="E1770" s="22" t="str">
        <f>IF(D1770&lt;&gt;"",IFERROR(INDEX(Produtos!$C$4:$C$4996,MATCH(D1770,Produtos!$B$4:$B$4996,0)),"Produto não encontrado"),"")</f>
        <v/>
      </c>
    </row>
    <row r="1771" spans="1:5" x14ac:dyDescent="0.3">
      <c r="A1771" s="21" t="str">
        <f t="shared" si="27"/>
        <v>.</v>
      </c>
      <c r="D1771" s="44"/>
      <c r="E1771" s="22" t="str">
        <f>IF(D1771&lt;&gt;"",IFERROR(INDEX(Produtos!$C$4:$C$4996,MATCH(D1771,Produtos!$B$4:$B$4996,0)),"Produto não encontrado"),"")</f>
        <v/>
      </c>
    </row>
    <row r="1772" spans="1:5" x14ac:dyDescent="0.3">
      <c r="A1772" s="21" t="str">
        <f t="shared" si="27"/>
        <v>.</v>
      </c>
      <c r="D1772" s="44"/>
      <c r="E1772" s="22" t="str">
        <f>IF(D1772&lt;&gt;"",IFERROR(INDEX(Produtos!$C$4:$C$4996,MATCH(D1772,Produtos!$B$4:$B$4996,0)),"Produto não encontrado"),"")</f>
        <v/>
      </c>
    </row>
    <row r="1773" spans="1:5" x14ac:dyDescent="0.3">
      <c r="A1773" s="21" t="str">
        <f t="shared" si="27"/>
        <v>.</v>
      </c>
      <c r="D1773" s="44"/>
      <c r="E1773" s="22" t="str">
        <f>IF(D1773&lt;&gt;"",IFERROR(INDEX(Produtos!$C$4:$C$4996,MATCH(D1773,Produtos!$B$4:$B$4996,0)),"Produto não encontrado"),"")</f>
        <v/>
      </c>
    </row>
    <row r="1774" spans="1:5" x14ac:dyDescent="0.3">
      <c r="A1774" s="21" t="str">
        <f t="shared" si="27"/>
        <v>.</v>
      </c>
      <c r="D1774" s="44"/>
      <c r="E1774" s="22" t="str">
        <f>IF(D1774&lt;&gt;"",IFERROR(INDEX(Produtos!$C$4:$C$4996,MATCH(D1774,Produtos!$B$4:$B$4996,0)),"Produto não encontrado"),"")</f>
        <v/>
      </c>
    </row>
    <row r="1775" spans="1:5" x14ac:dyDescent="0.3">
      <c r="A1775" s="21" t="str">
        <f t="shared" si="27"/>
        <v>.</v>
      </c>
      <c r="D1775" s="44"/>
      <c r="E1775" s="22" t="str">
        <f>IF(D1775&lt;&gt;"",IFERROR(INDEX(Produtos!$C$4:$C$4996,MATCH(D1775,Produtos!$B$4:$B$4996,0)),"Produto não encontrado"),"")</f>
        <v/>
      </c>
    </row>
    <row r="1776" spans="1:5" x14ac:dyDescent="0.3">
      <c r="A1776" s="21" t="str">
        <f t="shared" si="27"/>
        <v>.</v>
      </c>
      <c r="D1776" s="44"/>
      <c r="E1776" s="22" t="str">
        <f>IF(D1776&lt;&gt;"",IFERROR(INDEX(Produtos!$C$4:$C$4996,MATCH(D1776,Produtos!$B$4:$B$4996,0)),"Produto não encontrado"),"")</f>
        <v/>
      </c>
    </row>
    <row r="1777" spans="1:5" x14ac:dyDescent="0.3">
      <c r="A1777" s="21" t="str">
        <f t="shared" si="27"/>
        <v>.</v>
      </c>
      <c r="D1777" s="44"/>
      <c r="E1777" s="22" t="str">
        <f>IF(D1777&lt;&gt;"",IFERROR(INDEX(Produtos!$C$4:$C$4996,MATCH(D1777,Produtos!$B$4:$B$4996,0)),"Produto não encontrado"),"")</f>
        <v/>
      </c>
    </row>
    <row r="1778" spans="1:5" x14ac:dyDescent="0.3">
      <c r="A1778" s="21" t="str">
        <f t="shared" si="27"/>
        <v>.</v>
      </c>
      <c r="D1778" s="44"/>
      <c r="E1778" s="22" t="str">
        <f>IF(D1778&lt;&gt;"",IFERROR(INDEX(Produtos!$C$4:$C$4996,MATCH(D1778,Produtos!$B$4:$B$4996,0)),"Produto não encontrado"),"")</f>
        <v/>
      </c>
    </row>
    <row r="1779" spans="1:5" x14ac:dyDescent="0.3">
      <c r="A1779" s="21" t="str">
        <f t="shared" si="27"/>
        <v>.</v>
      </c>
      <c r="D1779" s="44"/>
      <c r="E1779" s="22" t="str">
        <f>IF(D1779&lt;&gt;"",IFERROR(INDEX(Produtos!$C$4:$C$4996,MATCH(D1779,Produtos!$B$4:$B$4996,0)),"Produto não encontrado"),"")</f>
        <v/>
      </c>
    </row>
    <row r="1780" spans="1:5" x14ac:dyDescent="0.3">
      <c r="A1780" s="21" t="str">
        <f t="shared" si="27"/>
        <v>.</v>
      </c>
      <c r="D1780" s="44"/>
      <c r="E1780" s="22" t="str">
        <f>IF(D1780&lt;&gt;"",IFERROR(INDEX(Produtos!$C$4:$C$4996,MATCH(D1780,Produtos!$B$4:$B$4996,0)),"Produto não encontrado"),"")</f>
        <v/>
      </c>
    </row>
    <row r="1781" spans="1:5" x14ac:dyDescent="0.3">
      <c r="A1781" s="21" t="str">
        <f t="shared" si="27"/>
        <v>.</v>
      </c>
      <c r="D1781" s="44"/>
      <c r="E1781" s="22" t="str">
        <f>IF(D1781&lt;&gt;"",IFERROR(INDEX(Produtos!$C$4:$C$4996,MATCH(D1781,Produtos!$B$4:$B$4996,0)),"Produto não encontrado"),"")</f>
        <v/>
      </c>
    </row>
    <row r="1782" spans="1:5" x14ac:dyDescent="0.3">
      <c r="A1782" s="21" t="str">
        <f t="shared" si="27"/>
        <v>.</v>
      </c>
      <c r="D1782" s="44"/>
      <c r="E1782" s="22" t="str">
        <f>IF(D1782&lt;&gt;"",IFERROR(INDEX(Produtos!$C$4:$C$4996,MATCH(D1782,Produtos!$B$4:$B$4996,0)),"Produto não encontrado"),"")</f>
        <v/>
      </c>
    </row>
    <row r="1783" spans="1:5" x14ac:dyDescent="0.3">
      <c r="A1783" s="21" t="str">
        <f t="shared" si="27"/>
        <v>.</v>
      </c>
      <c r="D1783" s="44"/>
      <c r="E1783" s="22" t="str">
        <f>IF(D1783&lt;&gt;"",IFERROR(INDEX(Produtos!$C$4:$C$4996,MATCH(D1783,Produtos!$B$4:$B$4996,0)),"Produto não encontrado"),"")</f>
        <v/>
      </c>
    </row>
    <row r="1784" spans="1:5" x14ac:dyDescent="0.3">
      <c r="A1784" s="21" t="str">
        <f t="shared" si="27"/>
        <v>.</v>
      </c>
      <c r="D1784" s="44"/>
      <c r="E1784" s="22" t="str">
        <f>IF(D1784&lt;&gt;"",IFERROR(INDEX(Produtos!$C$4:$C$4996,MATCH(D1784,Produtos!$B$4:$B$4996,0)),"Produto não encontrado"),"")</f>
        <v/>
      </c>
    </row>
    <row r="1785" spans="1:5" x14ac:dyDescent="0.3">
      <c r="A1785" s="21" t="str">
        <f t="shared" si="27"/>
        <v>.</v>
      </c>
      <c r="D1785" s="44"/>
      <c r="E1785" s="22" t="str">
        <f>IF(D1785&lt;&gt;"",IFERROR(INDEX(Produtos!$C$4:$C$4996,MATCH(D1785,Produtos!$B$4:$B$4996,0)),"Produto não encontrado"),"")</f>
        <v/>
      </c>
    </row>
    <row r="1786" spans="1:5" x14ac:dyDescent="0.3">
      <c r="A1786" s="21" t="str">
        <f t="shared" si="27"/>
        <v>.</v>
      </c>
      <c r="D1786" s="44"/>
      <c r="E1786" s="22" t="str">
        <f>IF(D1786&lt;&gt;"",IFERROR(INDEX(Produtos!$C$4:$C$4996,MATCH(D1786,Produtos!$B$4:$B$4996,0)),"Produto não encontrado"),"")</f>
        <v/>
      </c>
    </row>
    <row r="1787" spans="1:5" x14ac:dyDescent="0.3">
      <c r="A1787" s="21" t="str">
        <f t="shared" si="27"/>
        <v>.</v>
      </c>
      <c r="D1787" s="44"/>
      <c r="E1787" s="22" t="str">
        <f>IF(D1787&lt;&gt;"",IFERROR(INDEX(Produtos!$C$4:$C$4996,MATCH(D1787,Produtos!$B$4:$B$4996,0)),"Produto não encontrado"),"")</f>
        <v/>
      </c>
    </row>
    <row r="1788" spans="1:5" x14ac:dyDescent="0.3">
      <c r="A1788" s="21" t="str">
        <f t="shared" si="27"/>
        <v>.</v>
      </c>
      <c r="D1788" s="44"/>
      <c r="E1788" s="22" t="str">
        <f>IF(D1788&lt;&gt;"",IFERROR(INDEX(Produtos!$C$4:$C$4996,MATCH(D1788,Produtos!$B$4:$B$4996,0)),"Produto não encontrado"),"")</f>
        <v/>
      </c>
    </row>
    <row r="1789" spans="1:5" x14ac:dyDescent="0.3">
      <c r="A1789" s="21" t="str">
        <f t="shared" si="27"/>
        <v>.</v>
      </c>
      <c r="D1789" s="44"/>
      <c r="E1789" s="22" t="str">
        <f>IF(D1789&lt;&gt;"",IFERROR(INDEX(Produtos!$C$4:$C$4996,MATCH(D1789,Produtos!$B$4:$B$4996,0)),"Produto não encontrado"),"")</f>
        <v/>
      </c>
    </row>
    <row r="1790" spans="1:5" x14ac:dyDescent="0.3">
      <c r="A1790" s="21" t="str">
        <f t="shared" si="27"/>
        <v>.</v>
      </c>
      <c r="D1790" s="44"/>
      <c r="E1790" s="22" t="str">
        <f>IF(D1790&lt;&gt;"",IFERROR(INDEX(Produtos!$C$4:$C$4996,MATCH(D1790,Produtos!$B$4:$B$4996,0)),"Produto não encontrado"),"")</f>
        <v/>
      </c>
    </row>
    <row r="1791" spans="1:5" x14ac:dyDescent="0.3">
      <c r="A1791" s="21" t="str">
        <f t="shared" si="27"/>
        <v>.</v>
      </c>
      <c r="D1791" s="44"/>
      <c r="E1791" s="22" t="str">
        <f>IF(D1791&lt;&gt;"",IFERROR(INDEX(Produtos!$C$4:$C$4996,MATCH(D1791,Produtos!$B$4:$B$4996,0)),"Produto não encontrado"),"")</f>
        <v/>
      </c>
    </row>
    <row r="1792" spans="1:5" x14ac:dyDescent="0.3">
      <c r="A1792" s="21" t="str">
        <f t="shared" ref="A1792:A1855" si="28">IF(C1792="Entrada",2,IF(C1792="Saída",1,"."))</f>
        <v>.</v>
      </c>
      <c r="D1792" s="44"/>
      <c r="E1792" s="22" t="str">
        <f>IF(D1792&lt;&gt;"",IFERROR(INDEX(Produtos!$C$4:$C$4996,MATCH(D1792,Produtos!$B$4:$B$4996,0)),"Produto não encontrado"),"")</f>
        <v/>
      </c>
    </row>
    <row r="1793" spans="1:5" x14ac:dyDescent="0.3">
      <c r="A1793" s="21" t="str">
        <f t="shared" si="28"/>
        <v>.</v>
      </c>
      <c r="D1793" s="44"/>
      <c r="E1793" s="22" t="str">
        <f>IF(D1793&lt;&gt;"",IFERROR(INDEX(Produtos!$C$4:$C$4996,MATCH(D1793,Produtos!$B$4:$B$4996,0)),"Produto não encontrado"),"")</f>
        <v/>
      </c>
    </row>
    <row r="1794" spans="1:5" x14ac:dyDescent="0.3">
      <c r="A1794" s="21" t="str">
        <f t="shared" si="28"/>
        <v>.</v>
      </c>
      <c r="D1794" s="44"/>
      <c r="E1794" s="22" t="str">
        <f>IF(D1794&lt;&gt;"",IFERROR(INDEX(Produtos!$C$4:$C$4996,MATCH(D1794,Produtos!$B$4:$B$4996,0)),"Produto não encontrado"),"")</f>
        <v/>
      </c>
    </row>
    <row r="1795" spans="1:5" x14ac:dyDescent="0.3">
      <c r="A1795" s="21" t="str">
        <f t="shared" si="28"/>
        <v>.</v>
      </c>
      <c r="D1795" s="44"/>
      <c r="E1795" s="22" t="str">
        <f>IF(D1795&lt;&gt;"",IFERROR(INDEX(Produtos!$C$4:$C$4996,MATCH(D1795,Produtos!$B$4:$B$4996,0)),"Produto não encontrado"),"")</f>
        <v/>
      </c>
    </row>
    <row r="1796" spans="1:5" x14ac:dyDescent="0.3">
      <c r="A1796" s="21" t="str">
        <f t="shared" si="28"/>
        <v>.</v>
      </c>
      <c r="D1796" s="44"/>
      <c r="E1796" s="22" t="str">
        <f>IF(D1796&lt;&gt;"",IFERROR(INDEX(Produtos!$C$4:$C$4996,MATCH(D1796,Produtos!$B$4:$B$4996,0)),"Produto não encontrado"),"")</f>
        <v/>
      </c>
    </row>
    <row r="1797" spans="1:5" x14ac:dyDescent="0.3">
      <c r="A1797" s="21" t="str">
        <f t="shared" si="28"/>
        <v>.</v>
      </c>
      <c r="D1797" s="44"/>
      <c r="E1797" s="22" t="str">
        <f>IF(D1797&lt;&gt;"",IFERROR(INDEX(Produtos!$C$4:$C$4996,MATCH(D1797,Produtos!$B$4:$B$4996,0)),"Produto não encontrado"),"")</f>
        <v/>
      </c>
    </row>
    <row r="1798" spans="1:5" x14ac:dyDescent="0.3">
      <c r="A1798" s="21" t="str">
        <f t="shared" si="28"/>
        <v>.</v>
      </c>
      <c r="D1798" s="44"/>
      <c r="E1798" s="22" t="str">
        <f>IF(D1798&lt;&gt;"",IFERROR(INDEX(Produtos!$C$4:$C$4996,MATCH(D1798,Produtos!$B$4:$B$4996,0)),"Produto não encontrado"),"")</f>
        <v/>
      </c>
    </row>
    <row r="1799" spans="1:5" x14ac:dyDescent="0.3">
      <c r="A1799" s="21" t="str">
        <f t="shared" si="28"/>
        <v>.</v>
      </c>
      <c r="D1799" s="44"/>
      <c r="E1799" s="22" t="str">
        <f>IF(D1799&lt;&gt;"",IFERROR(INDEX(Produtos!$C$4:$C$4996,MATCH(D1799,Produtos!$B$4:$B$4996,0)),"Produto não encontrado"),"")</f>
        <v/>
      </c>
    </row>
    <row r="1800" spans="1:5" x14ac:dyDescent="0.3">
      <c r="A1800" s="21" t="str">
        <f t="shared" si="28"/>
        <v>.</v>
      </c>
      <c r="D1800" s="44"/>
      <c r="E1800" s="22" t="str">
        <f>IF(D1800&lt;&gt;"",IFERROR(INDEX(Produtos!$C$4:$C$4996,MATCH(D1800,Produtos!$B$4:$B$4996,0)),"Produto não encontrado"),"")</f>
        <v/>
      </c>
    </row>
    <row r="1801" spans="1:5" x14ac:dyDescent="0.3">
      <c r="A1801" s="21" t="str">
        <f t="shared" si="28"/>
        <v>.</v>
      </c>
      <c r="D1801" s="44"/>
      <c r="E1801" s="22" t="str">
        <f>IF(D1801&lt;&gt;"",IFERROR(INDEX(Produtos!$C$4:$C$4996,MATCH(D1801,Produtos!$B$4:$B$4996,0)),"Produto não encontrado"),"")</f>
        <v/>
      </c>
    </row>
    <row r="1802" spans="1:5" x14ac:dyDescent="0.3">
      <c r="A1802" s="21" t="str">
        <f t="shared" si="28"/>
        <v>.</v>
      </c>
      <c r="D1802" s="44"/>
      <c r="E1802" s="22" t="str">
        <f>IF(D1802&lt;&gt;"",IFERROR(INDEX(Produtos!$C$4:$C$4996,MATCH(D1802,Produtos!$B$4:$B$4996,0)),"Produto não encontrado"),"")</f>
        <v/>
      </c>
    </row>
    <row r="1803" spans="1:5" x14ac:dyDescent="0.3">
      <c r="A1803" s="21" t="str">
        <f t="shared" si="28"/>
        <v>.</v>
      </c>
      <c r="D1803" s="44"/>
      <c r="E1803" s="22" t="str">
        <f>IF(D1803&lt;&gt;"",IFERROR(INDEX(Produtos!$C$4:$C$4996,MATCH(D1803,Produtos!$B$4:$B$4996,0)),"Produto não encontrado"),"")</f>
        <v/>
      </c>
    </row>
    <row r="1804" spans="1:5" x14ac:dyDescent="0.3">
      <c r="A1804" s="21" t="str">
        <f t="shared" si="28"/>
        <v>.</v>
      </c>
      <c r="D1804" s="44"/>
      <c r="E1804" s="22" t="str">
        <f>IF(D1804&lt;&gt;"",IFERROR(INDEX(Produtos!$C$4:$C$4996,MATCH(D1804,Produtos!$B$4:$B$4996,0)),"Produto não encontrado"),"")</f>
        <v/>
      </c>
    </row>
    <row r="1805" spans="1:5" x14ac:dyDescent="0.3">
      <c r="A1805" s="21" t="str">
        <f t="shared" si="28"/>
        <v>.</v>
      </c>
      <c r="D1805" s="44"/>
      <c r="E1805" s="22" t="str">
        <f>IF(D1805&lt;&gt;"",IFERROR(INDEX(Produtos!$C$4:$C$4996,MATCH(D1805,Produtos!$B$4:$B$4996,0)),"Produto não encontrado"),"")</f>
        <v/>
      </c>
    </row>
    <row r="1806" spans="1:5" x14ac:dyDescent="0.3">
      <c r="A1806" s="21" t="str">
        <f t="shared" si="28"/>
        <v>.</v>
      </c>
      <c r="D1806" s="44"/>
      <c r="E1806" s="22" t="str">
        <f>IF(D1806&lt;&gt;"",IFERROR(INDEX(Produtos!$C$4:$C$4996,MATCH(D1806,Produtos!$B$4:$B$4996,0)),"Produto não encontrado"),"")</f>
        <v/>
      </c>
    </row>
    <row r="1807" spans="1:5" x14ac:dyDescent="0.3">
      <c r="A1807" s="21" t="str">
        <f t="shared" si="28"/>
        <v>.</v>
      </c>
      <c r="D1807" s="44"/>
      <c r="E1807" s="22" t="str">
        <f>IF(D1807&lt;&gt;"",IFERROR(INDEX(Produtos!$C$4:$C$4996,MATCH(D1807,Produtos!$B$4:$B$4996,0)),"Produto não encontrado"),"")</f>
        <v/>
      </c>
    </row>
    <row r="1808" spans="1:5" x14ac:dyDescent="0.3">
      <c r="A1808" s="21" t="str">
        <f t="shared" si="28"/>
        <v>.</v>
      </c>
      <c r="D1808" s="44"/>
      <c r="E1808" s="22" t="str">
        <f>IF(D1808&lt;&gt;"",IFERROR(INDEX(Produtos!$C$4:$C$4996,MATCH(D1808,Produtos!$B$4:$B$4996,0)),"Produto não encontrado"),"")</f>
        <v/>
      </c>
    </row>
    <row r="1809" spans="1:5" x14ac:dyDescent="0.3">
      <c r="A1809" s="21" t="str">
        <f t="shared" si="28"/>
        <v>.</v>
      </c>
      <c r="D1809" s="44"/>
      <c r="E1809" s="22" t="str">
        <f>IF(D1809&lt;&gt;"",IFERROR(INDEX(Produtos!$C$4:$C$4996,MATCH(D1809,Produtos!$B$4:$B$4996,0)),"Produto não encontrado"),"")</f>
        <v/>
      </c>
    </row>
    <row r="1810" spans="1:5" x14ac:dyDescent="0.3">
      <c r="A1810" s="21" t="str">
        <f t="shared" si="28"/>
        <v>.</v>
      </c>
      <c r="D1810" s="44"/>
      <c r="E1810" s="22" t="str">
        <f>IF(D1810&lt;&gt;"",IFERROR(INDEX(Produtos!$C$4:$C$4996,MATCH(D1810,Produtos!$B$4:$B$4996,0)),"Produto não encontrado"),"")</f>
        <v/>
      </c>
    </row>
    <row r="1811" spans="1:5" x14ac:dyDescent="0.3">
      <c r="A1811" s="21" t="str">
        <f t="shared" si="28"/>
        <v>.</v>
      </c>
      <c r="D1811" s="44"/>
      <c r="E1811" s="22" t="str">
        <f>IF(D1811&lt;&gt;"",IFERROR(INDEX(Produtos!$C$4:$C$4996,MATCH(D1811,Produtos!$B$4:$B$4996,0)),"Produto não encontrado"),"")</f>
        <v/>
      </c>
    </row>
    <row r="1812" spans="1:5" x14ac:dyDescent="0.3">
      <c r="A1812" s="21" t="str">
        <f t="shared" si="28"/>
        <v>.</v>
      </c>
      <c r="D1812" s="44"/>
      <c r="E1812" s="22" t="str">
        <f>IF(D1812&lt;&gt;"",IFERROR(INDEX(Produtos!$C$4:$C$4996,MATCH(D1812,Produtos!$B$4:$B$4996,0)),"Produto não encontrado"),"")</f>
        <v/>
      </c>
    </row>
    <row r="1813" spans="1:5" x14ac:dyDescent="0.3">
      <c r="A1813" s="21" t="str">
        <f t="shared" si="28"/>
        <v>.</v>
      </c>
      <c r="D1813" s="44"/>
      <c r="E1813" s="22" t="str">
        <f>IF(D1813&lt;&gt;"",IFERROR(INDEX(Produtos!$C$4:$C$4996,MATCH(D1813,Produtos!$B$4:$B$4996,0)),"Produto não encontrado"),"")</f>
        <v/>
      </c>
    </row>
    <row r="1814" spans="1:5" x14ac:dyDescent="0.3">
      <c r="A1814" s="21" t="str">
        <f t="shared" si="28"/>
        <v>.</v>
      </c>
      <c r="D1814" s="44"/>
      <c r="E1814" s="22" t="str">
        <f>IF(D1814&lt;&gt;"",IFERROR(INDEX(Produtos!$C$4:$C$4996,MATCH(D1814,Produtos!$B$4:$B$4996,0)),"Produto não encontrado"),"")</f>
        <v/>
      </c>
    </row>
    <row r="1815" spans="1:5" x14ac:dyDescent="0.3">
      <c r="A1815" s="21" t="str">
        <f t="shared" si="28"/>
        <v>.</v>
      </c>
      <c r="D1815" s="44"/>
      <c r="E1815" s="22" t="str">
        <f>IF(D1815&lt;&gt;"",IFERROR(INDEX(Produtos!$C$4:$C$4996,MATCH(D1815,Produtos!$B$4:$B$4996,0)),"Produto não encontrado"),"")</f>
        <v/>
      </c>
    </row>
    <row r="1816" spans="1:5" x14ac:dyDescent="0.3">
      <c r="A1816" s="21" t="str">
        <f t="shared" si="28"/>
        <v>.</v>
      </c>
      <c r="D1816" s="44"/>
      <c r="E1816" s="22" t="str">
        <f>IF(D1816&lt;&gt;"",IFERROR(INDEX(Produtos!$C$4:$C$4996,MATCH(D1816,Produtos!$B$4:$B$4996,0)),"Produto não encontrado"),"")</f>
        <v/>
      </c>
    </row>
    <row r="1817" spans="1:5" x14ac:dyDescent="0.3">
      <c r="A1817" s="21" t="str">
        <f t="shared" si="28"/>
        <v>.</v>
      </c>
      <c r="D1817" s="44"/>
      <c r="E1817" s="22" t="str">
        <f>IF(D1817&lt;&gt;"",IFERROR(INDEX(Produtos!$C$4:$C$4996,MATCH(D1817,Produtos!$B$4:$B$4996,0)),"Produto não encontrado"),"")</f>
        <v/>
      </c>
    </row>
    <row r="1818" spans="1:5" x14ac:dyDescent="0.3">
      <c r="A1818" s="21" t="str">
        <f t="shared" si="28"/>
        <v>.</v>
      </c>
      <c r="D1818" s="44"/>
      <c r="E1818" s="22" t="str">
        <f>IF(D1818&lt;&gt;"",IFERROR(INDEX(Produtos!$C$4:$C$4996,MATCH(D1818,Produtos!$B$4:$B$4996,0)),"Produto não encontrado"),"")</f>
        <v/>
      </c>
    </row>
    <row r="1819" spans="1:5" x14ac:dyDescent="0.3">
      <c r="A1819" s="21" t="str">
        <f t="shared" si="28"/>
        <v>.</v>
      </c>
      <c r="D1819" s="44"/>
      <c r="E1819" s="22" t="str">
        <f>IF(D1819&lt;&gt;"",IFERROR(INDEX(Produtos!$C$4:$C$4996,MATCH(D1819,Produtos!$B$4:$B$4996,0)),"Produto não encontrado"),"")</f>
        <v/>
      </c>
    </row>
    <row r="1820" spans="1:5" x14ac:dyDescent="0.3">
      <c r="A1820" s="21" t="str">
        <f t="shared" si="28"/>
        <v>.</v>
      </c>
      <c r="D1820" s="44"/>
      <c r="E1820" s="22" t="str">
        <f>IF(D1820&lt;&gt;"",IFERROR(INDEX(Produtos!$C$4:$C$4996,MATCH(D1820,Produtos!$B$4:$B$4996,0)),"Produto não encontrado"),"")</f>
        <v/>
      </c>
    </row>
    <row r="1821" spans="1:5" x14ac:dyDescent="0.3">
      <c r="A1821" s="21" t="str">
        <f t="shared" si="28"/>
        <v>.</v>
      </c>
      <c r="D1821" s="44"/>
      <c r="E1821" s="22" t="str">
        <f>IF(D1821&lt;&gt;"",IFERROR(INDEX(Produtos!$C$4:$C$4996,MATCH(D1821,Produtos!$B$4:$B$4996,0)),"Produto não encontrado"),"")</f>
        <v/>
      </c>
    </row>
    <row r="1822" spans="1:5" x14ac:dyDescent="0.3">
      <c r="A1822" s="21" t="str">
        <f t="shared" si="28"/>
        <v>.</v>
      </c>
      <c r="D1822" s="44"/>
      <c r="E1822" s="22" t="str">
        <f>IF(D1822&lt;&gt;"",IFERROR(INDEX(Produtos!$C$4:$C$4996,MATCH(D1822,Produtos!$B$4:$B$4996,0)),"Produto não encontrado"),"")</f>
        <v/>
      </c>
    </row>
    <row r="1823" spans="1:5" x14ac:dyDescent="0.3">
      <c r="A1823" s="21" t="str">
        <f t="shared" si="28"/>
        <v>.</v>
      </c>
      <c r="D1823" s="44"/>
      <c r="E1823" s="22" t="str">
        <f>IF(D1823&lt;&gt;"",IFERROR(INDEX(Produtos!$C$4:$C$4996,MATCH(D1823,Produtos!$B$4:$B$4996,0)),"Produto não encontrado"),"")</f>
        <v/>
      </c>
    </row>
    <row r="1824" spans="1:5" x14ac:dyDescent="0.3">
      <c r="A1824" s="21" t="str">
        <f t="shared" si="28"/>
        <v>.</v>
      </c>
      <c r="D1824" s="44"/>
      <c r="E1824" s="22" t="str">
        <f>IF(D1824&lt;&gt;"",IFERROR(INDEX(Produtos!$C$4:$C$4996,MATCH(D1824,Produtos!$B$4:$B$4996,0)),"Produto não encontrado"),"")</f>
        <v/>
      </c>
    </row>
    <row r="1825" spans="1:5" x14ac:dyDescent="0.3">
      <c r="A1825" s="21" t="str">
        <f t="shared" si="28"/>
        <v>.</v>
      </c>
      <c r="D1825" s="44"/>
      <c r="E1825" s="22" t="str">
        <f>IF(D1825&lt;&gt;"",IFERROR(INDEX(Produtos!$C$4:$C$4996,MATCH(D1825,Produtos!$B$4:$B$4996,0)),"Produto não encontrado"),"")</f>
        <v/>
      </c>
    </row>
    <row r="1826" spans="1:5" x14ac:dyDescent="0.3">
      <c r="A1826" s="21" t="str">
        <f t="shared" si="28"/>
        <v>.</v>
      </c>
      <c r="D1826" s="44"/>
      <c r="E1826" s="22" t="str">
        <f>IF(D1826&lt;&gt;"",IFERROR(INDEX(Produtos!$C$4:$C$4996,MATCH(D1826,Produtos!$B$4:$B$4996,0)),"Produto não encontrado"),"")</f>
        <v/>
      </c>
    </row>
    <row r="1827" spans="1:5" x14ac:dyDescent="0.3">
      <c r="A1827" s="21" t="str">
        <f t="shared" si="28"/>
        <v>.</v>
      </c>
      <c r="D1827" s="44"/>
      <c r="E1827" s="22" t="str">
        <f>IF(D1827&lt;&gt;"",IFERROR(INDEX(Produtos!$C$4:$C$4996,MATCH(D1827,Produtos!$B$4:$B$4996,0)),"Produto não encontrado"),"")</f>
        <v/>
      </c>
    </row>
    <row r="1828" spans="1:5" x14ac:dyDescent="0.3">
      <c r="A1828" s="21" t="str">
        <f t="shared" si="28"/>
        <v>.</v>
      </c>
      <c r="D1828" s="44"/>
      <c r="E1828" s="22" t="str">
        <f>IF(D1828&lt;&gt;"",IFERROR(INDEX(Produtos!$C$4:$C$4996,MATCH(D1828,Produtos!$B$4:$B$4996,0)),"Produto não encontrado"),"")</f>
        <v/>
      </c>
    </row>
    <row r="1829" spans="1:5" x14ac:dyDescent="0.3">
      <c r="A1829" s="21" t="str">
        <f t="shared" si="28"/>
        <v>.</v>
      </c>
      <c r="D1829" s="44"/>
      <c r="E1829" s="22" t="str">
        <f>IF(D1829&lt;&gt;"",IFERROR(INDEX(Produtos!$C$4:$C$4996,MATCH(D1829,Produtos!$B$4:$B$4996,0)),"Produto não encontrado"),"")</f>
        <v/>
      </c>
    </row>
    <row r="1830" spans="1:5" x14ac:dyDescent="0.3">
      <c r="A1830" s="21" t="str">
        <f t="shared" si="28"/>
        <v>.</v>
      </c>
      <c r="D1830" s="44"/>
      <c r="E1830" s="22" t="str">
        <f>IF(D1830&lt;&gt;"",IFERROR(INDEX(Produtos!$C$4:$C$4996,MATCH(D1830,Produtos!$B$4:$B$4996,0)),"Produto não encontrado"),"")</f>
        <v/>
      </c>
    </row>
    <row r="1831" spans="1:5" x14ac:dyDescent="0.3">
      <c r="A1831" s="21" t="str">
        <f t="shared" si="28"/>
        <v>.</v>
      </c>
      <c r="D1831" s="44"/>
      <c r="E1831" s="22" t="str">
        <f>IF(D1831&lt;&gt;"",IFERROR(INDEX(Produtos!$C$4:$C$4996,MATCH(D1831,Produtos!$B$4:$B$4996,0)),"Produto não encontrado"),"")</f>
        <v/>
      </c>
    </row>
    <row r="1832" spans="1:5" x14ac:dyDescent="0.3">
      <c r="A1832" s="21" t="str">
        <f t="shared" si="28"/>
        <v>.</v>
      </c>
      <c r="D1832" s="44"/>
      <c r="E1832" s="22" t="str">
        <f>IF(D1832&lt;&gt;"",IFERROR(INDEX(Produtos!$C$4:$C$4996,MATCH(D1832,Produtos!$B$4:$B$4996,0)),"Produto não encontrado"),"")</f>
        <v/>
      </c>
    </row>
    <row r="1833" spans="1:5" x14ac:dyDescent="0.3">
      <c r="A1833" s="21" t="str">
        <f t="shared" si="28"/>
        <v>.</v>
      </c>
      <c r="D1833" s="44"/>
      <c r="E1833" s="22" t="str">
        <f>IF(D1833&lt;&gt;"",IFERROR(INDEX(Produtos!$C$4:$C$4996,MATCH(D1833,Produtos!$B$4:$B$4996,0)),"Produto não encontrado"),"")</f>
        <v/>
      </c>
    </row>
    <row r="1834" spans="1:5" x14ac:dyDescent="0.3">
      <c r="A1834" s="21" t="str">
        <f t="shared" si="28"/>
        <v>.</v>
      </c>
      <c r="D1834" s="44"/>
      <c r="E1834" s="22" t="str">
        <f>IF(D1834&lt;&gt;"",IFERROR(INDEX(Produtos!$C$4:$C$4996,MATCH(D1834,Produtos!$B$4:$B$4996,0)),"Produto não encontrado"),"")</f>
        <v/>
      </c>
    </row>
    <row r="1835" spans="1:5" x14ac:dyDescent="0.3">
      <c r="A1835" s="21" t="str">
        <f t="shared" si="28"/>
        <v>.</v>
      </c>
      <c r="D1835" s="44"/>
      <c r="E1835" s="22" t="str">
        <f>IF(D1835&lt;&gt;"",IFERROR(INDEX(Produtos!$C$4:$C$4996,MATCH(D1835,Produtos!$B$4:$B$4996,0)),"Produto não encontrado"),"")</f>
        <v/>
      </c>
    </row>
    <row r="1836" spans="1:5" x14ac:dyDescent="0.3">
      <c r="A1836" s="21" t="str">
        <f t="shared" si="28"/>
        <v>.</v>
      </c>
      <c r="D1836" s="44"/>
      <c r="E1836" s="22" t="str">
        <f>IF(D1836&lt;&gt;"",IFERROR(INDEX(Produtos!$C$4:$C$4996,MATCH(D1836,Produtos!$B$4:$B$4996,0)),"Produto não encontrado"),"")</f>
        <v/>
      </c>
    </row>
    <row r="1837" spans="1:5" x14ac:dyDescent="0.3">
      <c r="A1837" s="21" t="str">
        <f t="shared" si="28"/>
        <v>.</v>
      </c>
      <c r="D1837" s="44"/>
      <c r="E1837" s="22" t="str">
        <f>IF(D1837&lt;&gt;"",IFERROR(INDEX(Produtos!$C$4:$C$4996,MATCH(D1837,Produtos!$B$4:$B$4996,0)),"Produto não encontrado"),"")</f>
        <v/>
      </c>
    </row>
    <row r="1838" spans="1:5" x14ac:dyDescent="0.3">
      <c r="A1838" s="21" t="str">
        <f t="shared" si="28"/>
        <v>.</v>
      </c>
      <c r="D1838" s="44"/>
      <c r="E1838" s="22" t="str">
        <f>IF(D1838&lt;&gt;"",IFERROR(INDEX(Produtos!$C$4:$C$4996,MATCH(D1838,Produtos!$B$4:$B$4996,0)),"Produto não encontrado"),"")</f>
        <v/>
      </c>
    </row>
    <row r="1839" spans="1:5" x14ac:dyDescent="0.3">
      <c r="A1839" s="21" t="str">
        <f t="shared" si="28"/>
        <v>.</v>
      </c>
      <c r="D1839" s="44"/>
      <c r="E1839" s="22" t="str">
        <f>IF(D1839&lt;&gt;"",IFERROR(INDEX(Produtos!$C$4:$C$4996,MATCH(D1839,Produtos!$B$4:$B$4996,0)),"Produto não encontrado"),"")</f>
        <v/>
      </c>
    </row>
    <row r="1840" spans="1:5" x14ac:dyDescent="0.3">
      <c r="A1840" s="21" t="str">
        <f t="shared" si="28"/>
        <v>.</v>
      </c>
      <c r="D1840" s="44"/>
      <c r="E1840" s="22" t="str">
        <f>IF(D1840&lt;&gt;"",IFERROR(INDEX(Produtos!$C$4:$C$4996,MATCH(D1840,Produtos!$B$4:$B$4996,0)),"Produto não encontrado"),"")</f>
        <v/>
      </c>
    </row>
    <row r="1841" spans="1:5" x14ac:dyDescent="0.3">
      <c r="A1841" s="21" t="str">
        <f t="shared" si="28"/>
        <v>.</v>
      </c>
      <c r="D1841" s="44"/>
      <c r="E1841" s="22" t="str">
        <f>IF(D1841&lt;&gt;"",IFERROR(INDEX(Produtos!$C$4:$C$4996,MATCH(D1841,Produtos!$B$4:$B$4996,0)),"Produto não encontrado"),"")</f>
        <v/>
      </c>
    </row>
    <row r="1842" spans="1:5" x14ac:dyDescent="0.3">
      <c r="A1842" s="21" t="str">
        <f t="shared" si="28"/>
        <v>.</v>
      </c>
      <c r="D1842" s="44"/>
      <c r="E1842" s="22" t="str">
        <f>IF(D1842&lt;&gt;"",IFERROR(INDEX(Produtos!$C$4:$C$4996,MATCH(D1842,Produtos!$B$4:$B$4996,0)),"Produto não encontrado"),"")</f>
        <v/>
      </c>
    </row>
    <row r="1843" spans="1:5" x14ac:dyDescent="0.3">
      <c r="A1843" s="21" t="str">
        <f t="shared" si="28"/>
        <v>.</v>
      </c>
      <c r="D1843" s="44"/>
      <c r="E1843" s="22" t="str">
        <f>IF(D1843&lt;&gt;"",IFERROR(INDEX(Produtos!$C$4:$C$4996,MATCH(D1843,Produtos!$B$4:$B$4996,0)),"Produto não encontrado"),"")</f>
        <v/>
      </c>
    </row>
    <row r="1844" spans="1:5" x14ac:dyDescent="0.3">
      <c r="A1844" s="21" t="str">
        <f t="shared" si="28"/>
        <v>.</v>
      </c>
      <c r="D1844" s="44"/>
      <c r="E1844" s="22" t="str">
        <f>IF(D1844&lt;&gt;"",IFERROR(INDEX(Produtos!$C$4:$C$4996,MATCH(D1844,Produtos!$B$4:$B$4996,0)),"Produto não encontrado"),"")</f>
        <v/>
      </c>
    </row>
    <row r="1845" spans="1:5" x14ac:dyDescent="0.3">
      <c r="A1845" s="21" t="str">
        <f t="shared" si="28"/>
        <v>.</v>
      </c>
      <c r="D1845" s="44"/>
      <c r="E1845" s="22" t="str">
        <f>IF(D1845&lt;&gt;"",IFERROR(INDEX(Produtos!$C$4:$C$4996,MATCH(D1845,Produtos!$B$4:$B$4996,0)),"Produto não encontrado"),"")</f>
        <v/>
      </c>
    </row>
    <row r="1846" spans="1:5" x14ac:dyDescent="0.3">
      <c r="A1846" s="21" t="str">
        <f t="shared" si="28"/>
        <v>.</v>
      </c>
      <c r="D1846" s="44"/>
      <c r="E1846" s="22" t="str">
        <f>IF(D1846&lt;&gt;"",IFERROR(INDEX(Produtos!$C$4:$C$4996,MATCH(D1846,Produtos!$B$4:$B$4996,0)),"Produto não encontrado"),"")</f>
        <v/>
      </c>
    </row>
    <row r="1847" spans="1:5" x14ac:dyDescent="0.3">
      <c r="A1847" s="21" t="str">
        <f t="shared" si="28"/>
        <v>.</v>
      </c>
      <c r="D1847" s="44"/>
      <c r="E1847" s="22" t="str">
        <f>IF(D1847&lt;&gt;"",IFERROR(INDEX(Produtos!$C$4:$C$4996,MATCH(D1847,Produtos!$B$4:$B$4996,0)),"Produto não encontrado"),"")</f>
        <v/>
      </c>
    </row>
    <row r="1848" spans="1:5" x14ac:dyDescent="0.3">
      <c r="A1848" s="21" t="str">
        <f t="shared" si="28"/>
        <v>.</v>
      </c>
      <c r="D1848" s="44"/>
      <c r="E1848" s="22" t="str">
        <f>IF(D1848&lt;&gt;"",IFERROR(INDEX(Produtos!$C$4:$C$4996,MATCH(D1848,Produtos!$B$4:$B$4996,0)),"Produto não encontrado"),"")</f>
        <v/>
      </c>
    </row>
    <row r="1849" spans="1:5" x14ac:dyDescent="0.3">
      <c r="A1849" s="21" t="str">
        <f t="shared" si="28"/>
        <v>.</v>
      </c>
      <c r="D1849" s="44"/>
      <c r="E1849" s="22" t="str">
        <f>IF(D1849&lt;&gt;"",IFERROR(INDEX(Produtos!$C$4:$C$4996,MATCH(D1849,Produtos!$B$4:$B$4996,0)),"Produto não encontrado"),"")</f>
        <v/>
      </c>
    </row>
    <row r="1850" spans="1:5" x14ac:dyDescent="0.3">
      <c r="A1850" s="21" t="str">
        <f t="shared" si="28"/>
        <v>.</v>
      </c>
      <c r="D1850" s="44"/>
      <c r="E1850" s="22" t="str">
        <f>IF(D1850&lt;&gt;"",IFERROR(INDEX(Produtos!$C$4:$C$4996,MATCH(D1850,Produtos!$B$4:$B$4996,0)),"Produto não encontrado"),"")</f>
        <v/>
      </c>
    </row>
    <row r="1851" spans="1:5" x14ac:dyDescent="0.3">
      <c r="A1851" s="21" t="str">
        <f t="shared" si="28"/>
        <v>.</v>
      </c>
      <c r="D1851" s="44"/>
      <c r="E1851" s="22" t="str">
        <f>IF(D1851&lt;&gt;"",IFERROR(INDEX(Produtos!$C$4:$C$4996,MATCH(D1851,Produtos!$B$4:$B$4996,0)),"Produto não encontrado"),"")</f>
        <v/>
      </c>
    </row>
    <row r="1852" spans="1:5" x14ac:dyDescent="0.3">
      <c r="A1852" s="21" t="str">
        <f t="shared" si="28"/>
        <v>.</v>
      </c>
      <c r="D1852" s="44"/>
      <c r="E1852" s="22" t="str">
        <f>IF(D1852&lt;&gt;"",IFERROR(INDEX(Produtos!$C$4:$C$4996,MATCH(D1852,Produtos!$B$4:$B$4996,0)),"Produto não encontrado"),"")</f>
        <v/>
      </c>
    </row>
    <row r="1853" spans="1:5" x14ac:dyDescent="0.3">
      <c r="A1853" s="21" t="str">
        <f t="shared" si="28"/>
        <v>.</v>
      </c>
      <c r="D1853" s="44"/>
      <c r="E1853" s="22" t="str">
        <f>IF(D1853&lt;&gt;"",IFERROR(INDEX(Produtos!$C$4:$C$4996,MATCH(D1853,Produtos!$B$4:$B$4996,0)),"Produto não encontrado"),"")</f>
        <v/>
      </c>
    </row>
    <row r="1854" spans="1:5" x14ac:dyDescent="0.3">
      <c r="A1854" s="21" t="str">
        <f t="shared" si="28"/>
        <v>.</v>
      </c>
      <c r="D1854" s="44"/>
      <c r="E1854" s="22" t="str">
        <f>IF(D1854&lt;&gt;"",IFERROR(INDEX(Produtos!$C$4:$C$4996,MATCH(D1854,Produtos!$B$4:$B$4996,0)),"Produto não encontrado"),"")</f>
        <v/>
      </c>
    </row>
    <row r="1855" spans="1:5" x14ac:dyDescent="0.3">
      <c r="A1855" s="21" t="str">
        <f t="shared" si="28"/>
        <v>.</v>
      </c>
      <c r="D1855" s="44"/>
      <c r="E1855" s="22" t="str">
        <f>IF(D1855&lt;&gt;"",IFERROR(INDEX(Produtos!$C$4:$C$4996,MATCH(D1855,Produtos!$B$4:$B$4996,0)),"Produto não encontrado"),"")</f>
        <v/>
      </c>
    </row>
    <row r="1856" spans="1:5" x14ac:dyDescent="0.3">
      <c r="A1856" s="21" t="str">
        <f t="shared" ref="A1856:A1919" si="29">IF(C1856="Entrada",2,IF(C1856="Saída",1,"."))</f>
        <v>.</v>
      </c>
      <c r="D1856" s="44"/>
      <c r="E1856" s="22" t="str">
        <f>IF(D1856&lt;&gt;"",IFERROR(INDEX(Produtos!$C$4:$C$4996,MATCH(D1856,Produtos!$B$4:$B$4996,0)),"Produto não encontrado"),"")</f>
        <v/>
      </c>
    </row>
    <row r="1857" spans="1:5" x14ac:dyDescent="0.3">
      <c r="A1857" s="21" t="str">
        <f t="shared" si="29"/>
        <v>.</v>
      </c>
      <c r="D1857" s="44"/>
      <c r="E1857" s="22" t="str">
        <f>IF(D1857&lt;&gt;"",IFERROR(INDEX(Produtos!$C$4:$C$4996,MATCH(D1857,Produtos!$B$4:$B$4996,0)),"Produto não encontrado"),"")</f>
        <v/>
      </c>
    </row>
    <row r="1858" spans="1:5" x14ac:dyDescent="0.3">
      <c r="A1858" s="21" t="str">
        <f t="shared" si="29"/>
        <v>.</v>
      </c>
      <c r="D1858" s="44"/>
      <c r="E1858" s="22" t="str">
        <f>IF(D1858&lt;&gt;"",IFERROR(INDEX(Produtos!$C$4:$C$4996,MATCH(D1858,Produtos!$B$4:$B$4996,0)),"Produto não encontrado"),"")</f>
        <v/>
      </c>
    </row>
    <row r="1859" spans="1:5" x14ac:dyDescent="0.3">
      <c r="A1859" s="21" t="str">
        <f t="shared" si="29"/>
        <v>.</v>
      </c>
      <c r="D1859" s="44"/>
      <c r="E1859" s="22" t="str">
        <f>IF(D1859&lt;&gt;"",IFERROR(INDEX(Produtos!$C$4:$C$4996,MATCH(D1859,Produtos!$B$4:$B$4996,0)),"Produto não encontrado"),"")</f>
        <v/>
      </c>
    </row>
    <row r="1860" spans="1:5" x14ac:dyDescent="0.3">
      <c r="A1860" s="21" t="str">
        <f t="shared" si="29"/>
        <v>.</v>
      </c>
      <c r="D1860" s="44"/>
      <c r="E1860" s="22" t="str">
        <f>IF(D1860&lt;&gt;"",IFERROR(INDEX(Produtos!$C$4:$C$4996,MATCH(D1860,Produtos!$B$4:$B$4996,0)),"Produto não encontrado"),"")</f>
        <v/>
      </c>
    </row>
    <row r="1861" spans="1:5" x14ac:dyDescent="0.3">
      <c r="A1861" s="21" t="str">
        <f t="shared" si="29"/>
        <v>.</v>
      </c>
      <c r="D1861" s="44"/>
      <c r="E1861" s="22" t="str">
        <f>IF(D1861&lt;&gt;"",IFERROR(INDEX(Produtos!$C$4:$C$4996,MATCH(D1861,Produtos!$B$4:$B$4996,0)),"Produto não encontrado"),"")</f>
        <v/>
      </c>
    </row>
    <row r="1862" spans="1:5" x14ac:dyDescent="0.3">
      <c r="A1862" s="21" t="str">
        <f t="shared" si="29"/>
        <v>.</v>
      </c>
      <c r="D1862" s="44"/>
      <c r="E1862" s="22" t="str">
        <f>IF(D1862&lt;&gt;"",IFERROR(INDEX(Produtos!$C$4:$C$4996,MATCH(D1862,Produtos!$B$4:$B$4996,0)),"Produto não encontrado"),"")</f>
        <v/>
      </c>
    </row>
    <row r="1863" spans="1:5" x14ac:dyDescent="0.3">
      <c r="A1863" s="21" t="str">
        <f t="shared" si="29"/>
        <v>.</v>
      </c>
      <c r="D1863" s="44"/>
      <c r="E1863" s="22" t="str">
        <f>IF(D1863&lt;&gt;"",IFERROR(INDEX(Produtos!$C$4:$C$4996,MATCH(D1863,Produtos!$B$4:$B$4996,0)),"Produto não encontrado"),"")</f>
        <v/>
      </c>
    </row>
    <row r="1864" spans="1:5" x14ac:dyDescent="0.3">
      <c r="A1864" s="21" t="str">
        <f t="shared" si="29"/>
        <v>.</v>
      </c>
      <c r="D1864" s="44"/>
      <c r="E1864" s="22" t="str">
        <f>IF(D1864&lt;&gt;"",IFERROR(INDEX(Produtos!$C$4:$C$4996,MATCH(D1864,Produtos!$B$4:$B$4996,0)),"Produto não encontrado"),"")</f>
        <v/>
      </c>
    </row>
    <row r="1865" spans="1:5" x14ac:dyDescent="0.3">
      <c r="A1865" s="21" t="str">
        <f t="shared" si="29"/>
        <v>.</v>
      </c>
      <c r="D1865" s="44"/>
      <c r="E1865" s="22" t="str">
        <f>IF(D1865&lt;&gt;"",IFERROR(INDEX(Produtos!$C$4:$C$4996,MATCH(D1865,Produtos!$B$4:$B$4996,0)),"Produto não encontrado"),"")</f>
        <v/>
      </c>
    </row>
    <row r="1866" spans="1:5" x14ac:dyDescent="0.3">
      <c r="A1866" s="21" t="str">
        <f t="shared" si="29"/>
        <v>.</v>
      </c>
      <c r="D1866" s="44"/>
      <c r="E1866" s="22" t="str">
        <f>IF(D1866&lt;&gt;"",IFERROR(INDEX(Produtos!$C$4:$C$4996,MATCH(D1866,Produtos!$B$4:$B$4996,0)),"Produto não encontrado"),"")</f>
        <v/>
      </c>
    </row>
    <row r="1867" spans="1:5" x14ac:dyDescent="0.3">
      <c r="A1867" s="21" t="str">
        <f t="shared" si="29"/>
        <v>.</v>
      </c>
      <c r="D1867" s="44"/>
      <c r="E1867" s="22" t="str">
        <f>IF(D1867&lt;&gt;"",IFERROR(INDEX(Produtos!$C$4:$C$4996,MATCH(D1867,Produtos!$B$4:$B$4996,0)),"Produto não encontrado"),"")</f>
        <v/>
      </c>
    </row>
    <row r="1868" spans="1:5" x14ac:dyDescent="0.3">
      <c r="A1868" s="21" t="str">
        <f t="shared" si="29"/>
        <v>.</v>
      </c>
      <c r="D1868" s="44"/>
      <c r="E1868" s="22" t="str">
        <f>IF(D1868&lt;&gt;"",IFERROR(INDEX(Produtos!$C$4:$C$4996,MATCH(D1868,Produtos!$B$4:$B$4996,0)),"Produto não encontrado"),"")</f>
        <v/>
      </c>
    </row>
    <row r="1869" spans="1:5" x14ac:dyDescent="0.3">
      <c r="A1869" s="21" t="str">
        <f t="shared" si="29"/>
        <v>.</v>
      </c>
      <c r="D1869" s="44"/>
      <c r="E1869" s="22" t="str">
        <f>IF(D1869&lt;&gt;"",IFERROR(INDEX(Produtos!$C$4:$C$4996,MATCH(D1869,Produtos!$B$4:$B$4996,0)),"Produto não encontrado"),"")</f>
        <v/>
      </c>
    </row>
    <row r="1870" spans="1:5" x14ac:dyDescent="0.3">
      <c r="A1870" s="21" t="str">
        <f t="shared" si="29"/>
        <v>.</v>
      </c>
      <c r="D1870" s="44"/>
      <c r="E1870" s="22" t="str">
        <f>IF(D1870&lt;&gt;"",IFERROR(INDEX(Produtos!$C$4:$C$4996,MATCH(D1870,Produtos!$B$4:$B$4996,0)),"Produto não encontrado"),"")</f>
        <v/>
      </c>
    </row>
    <row r="1871" spans="1:5" x14ac:dyDescent="0.3">
      <c r="A1871" s="21" t="str">
        <f t="shared" si="29"/>
        <v>.</v>
      </c>
      <c r="D1871" s="44"/>
      <c r="E1871" s="22" t="str">
        <f>IF(D1871&lt;&gt;"",IFERROR(INDEX(Produtos!$C$4:$C$4996,MATCH(D1871,Produtos!$B$4:$B$4996,0)),"Produto não encontrado"),"")</f>
        <v/>
      </c>
    </row>
    <row r="1872" spans="1:5" x14ac:dyDescent="0.3">
      <c r="A1872" s="21" t="str">
        <f t="shared" si="29"/>
        <v>.</v>
      </c>
      <c r="D1872" s="44"/>
      <c r="E1872" s="22" t="str">
        <f>IF(D1872&lt;&gt;"",IFERROR(INDEX(Produtos!$C$4:$C$4996,MATCH(D1872,Produtos!$B$4:$B$4996,0)),"Produto não encontrado"),"")</f>
        <v/>
      </c>
    </row>
    <row r="1873" spans="1:5" x14ac:dyDescent="0.3">
      <c r="A1873" s="21" t="str">
        <f t="shared" si="29"/>
        <v>.</v>
      </c>
      <c r="D1873" s="44"/>
      <c r="E1873" s="22" t="str">
        <f>IF(D1873&lt;&gt;"",IFERROR(INDEX(Produtos!$C$4:$C$4996,MATCH(D1873,Produtos!$B$4:$B$4996,0)),"Produto não encontrado"),"")</f>
        <v/>
      </c>
    </row>
    <row r="1874" spans="1:5" x14ac:dyDescent="0.3">
      <c r="A1874" s="21" t="str">
        <f t="shared" si="29"/>
        <v>.</v>
      </c>
      <c r="D1874" s="44"/>
      <c r="E1874" s="22" t="str">
        <f>IF(D1874&lt;&gt;"",IFERROR(INDEX(Produtos!$C$4:$C$4996,MATCH(D1874,Produtos!$B$4:$B$4996,0)),"Produto não encontrado"),"")</f>
        <v/>
      </c>
    </row>
    <row r="1875" spans="1:5" x14ac:dyDescent="0.3">
      <c r="A1875" s="21" t="str">
        <f t="shared" si="29"/>
        <v>.</v>
      </c>
      <c r="D1875" s="44"/>
      <c r="E1875" s="22" t="str">
        <f>IF(D1875&lt;&gt;"",IFERROR(INDEX(Produtos!$C$4:$C$4996,MATCH(D1875,Produtos!$B$4:$B$4996,0)),"Produto não encontrado"),"")</f>
        <v/>
      </c>
    </row>
    <row r="1876" spans="1:5" x14ac:dyDescent="0.3">
      <c r="A1876" s="21" t="str">
        <f t="shared" si="29"/>
        <v>.</v>
      </c>
      <c r="D1876" s="44"/>
      <c r="E1876" s="22" t="str">
        <f>IF(D1876&lt;&gt;"",IFERROR(INDEX(Produtos!$C$4:$C$4996,MATCH(D1876,Produtos!$B$4:$B$4996,0)),"Produto não encontrado"),"")</f>
        <v/>
      </c>
    </row>
    <row r="1877" spans="1:5" x14ac:dyDescent="0.3">
      <c r="A1877" s="21" t="str">
        <f t="shared" si="29"/>
        <v>.</v>
      </c>
      <c r="D1877" s="44"/>
      <c r="E1877" s="22" t="str">
        <f>IF(D1877&lt;&gt;"",IFERROR(INDEX(Produtos!$C$4:$C$4996,MATCH(D1877,Produtos!$B$4:$B$4996,0)),"Produto não encontrado"),"")</f>
        <v/>
      </c>
    </row>
    <row r="1878" spans="1:5" x14ac:dyDescent="0.3">
      <c r="A1878" s="21" t="str">
        <f t="shared" si="29"/>
        <v>.</v>
      </c>
      <c r="D1878" s="44"/>
      <c r="E1878" s="22" t="str">
        <f>IF(D1878&lt;&gt;"",IFERROR(INDEX(Produtos!$C$4:$C$4996,MATCH(D1878,Produtos!$B$4:$B$4996,0)),"Produto não encontrado"),"")</f>
        <v/>
      </c>
    </row>
    <row r="1879" spans="1:5" x14ac:dyDescent="0.3">
      <c r="A1879" s="21" t="str">
        <f t="shared" si="29"/>
        <v>.</v>
      </c>
      <c r="D1879" s="44"/>
      <c r="E1879" s="22" t="str">
        <f>IF(D1879&lt;&gt;"",IFERROR(INDEX(Produtos!$C$4:$C$4996,MATCH(D1879,Produtos!$B$4:$B$4996,0)),"Produto não encontrado"),"")</f>
        <v/>
      </c>
    </row>
    <row r="1880" spans="1:5" x14ac:dyDescent="0.3">
      <c r="A1880" s="21" t="str">
        <f t="shared" si="29"/>
        <v>.</v>
      </c>
      <c r="D1880" s="44"/>
      <c r="E1880" s="22" t="str">
        <f>IF(D1880&lt;&gt;"",IFERROR(INDEX(Produtos!$C$4:$C$4996,MATCH(D1880,Produtos!$B$4:$B$4996,0)),"Produto não encontrado"),"")</f>
        <v/>
      </c>
    </row>
    <row r="1881" spans="1:5" x14ac:dyDescent="0.3">
      <c r="A1881" s="21" t="str">
        <f t="shared" si="29"/>
        <v>.</v>
      </c>
      <c r="D1881" s="44"/>
      <c r="E1881" s="22" t="str">
        <f>IF(D1881&lt;&gt;"",IFERROR(INDEX(Produtos!$C$4:$C$4996,MATCH(D1881,Produtos!$B$4:$B$4996,0)),"Produto não encontrado"),"")</f>
        <v/>
      </c>
    </row>
    <row r="1882" spans="1:5" x14ac:dyDescent="0.3">
      <c r="A1882" s="21" t="str">
        <f t="shared" si="29"/>
        <v>.</v>
      </c>
      <c r="D1882" s="44"/>
      <c r="E1882" s="22" t="str">
        <f>IF(D1882&lt;&gt;"",IFERROR(INDEX(Produtos!$C$4:$C$4996,MATCH(D1882,Produtos!$B$4:$B$4996,0)),"Produto não encontrado"),"")</f>
        <v/>
      </c>
    </row>
    <row r="1883" spans="1:5" x14ac:dyDescent="0.3">
      <c r="A1883" s="21" t="str">
        <f t="shared" si="29"/>
        <v>.</v>
      </c>
      <c r="D1883" s="44"/>
      <c r="E1883" s="22" t="str">
        <f>IF(D1883&lt;&gt;"",IFERROR(INDEX(Produtos!$C$4:$C$4996,MATCH(D1883,Produtos!$B$4:$B$4996,0)),"Produto não encontrado"),"")</f>
        <v/>
      </c>
    </row>
    <row r="1884" spans="1:5" x14ac:dyDescent="0.3">
      <c r="A1884" s="21" t="str">
        <f t="shared" si="29"/>
        <v>.</v>
      </c>
      <c r="D1884" s="44"/>
      <c r="E1884" s="22" t="str">
        <f>IF(D1884&lt;&gt;"",IFERROR(INDEX(Produtos!$C$4:$C$4996,MATCH(D1884,Produtos!$B$4:$B$4996,0)),"Produto não encontrado"),"")</f>
        <v/>
      </c>
    </row>
    <row r="1885" spans="1:5" x14ac:dyDescent="0.3">
      <c r="A1885" s="21" t="str">
        <f t="shared" si="29"/>
        <v>.</v>
      </c>
      <c r="D1885" s="44"/>
      <c r="E1885" s="22" t="str">
        <f>IF(D1885&lt;&gt;"",IFERROR(INDEX(Produtos!$C$4:$C$4996,MATCH(D1885,Produtos!$B$4:$B$4996,0)),"Produto não encontrado"),"")</f>
        <v/>
      </c>
    </row>
    <row r="1886" spans="1:5" x14ac:dyDescent="0.3">
      <c r="A1886" s="21" t="str">
        <f t="shared" si="29"/>
        <v>.</v>
      </c>
      <c r="D1886" s="44"/>
      <c r="E1886" s="22" t="str">
        <f>IF(D1886&lt;&gt;"",IFERROR(INDEX(Produtos!$C$4:$C$4996,MATCH(D1886,Produtos!$B$4:$B$4996,0)),"Produto não encontrado"),"")</f>
        <v/>
      </c>
    </row>
    <row r="1887" spans="1:5" x14ac:dyDescent="0.3">
      <c r="A1887" s="21" t="str">
        <f t="shared" si="29"/>
        <v>.</v>
      </c>
      <c r="D1887" s="44"/>
      <c r="E1887" s="22" t="str">
        <f>IF(D1887&lt;&gt;"",IFERROR(INDEX(Produtos!$C$4:$C$4996,MATCH(D1887,Produtos!$B$4:$B$4996,0)),"Produto não encontrado"),"")</f>
        <v/>
      </c>
    </row>
    <row r="1888" spans="1:5" x14ac:dyDescent="0.3">
      <c r="A1888" s="21" t="str">
        <f t="shared" si="29"/>
        <v>.</v>
      </c>
      <c r="D1888" s="44"/>
      <c r="E1888" s="22" t="str">
        <f>IF(D1888&lt;&gt;"",IFERROR(INDEX(Produtos!$C$4:$C$4996,MATCH(D1888,Produtos!$B$4:$B$4996,0)),"Produto não encontrado"),"")</f>
        <v/>
      </c>
    </row>
    <row r="1889" spans="1:5" x14ac:dyDescent="0.3">
      <c r="A1889" s="21" t="str">
        <f t="shared" si="29"/>
        <v>.</v>
      </c>
      <c r="D1889" s="44"/>
      <c r="E1889" s="22" t="str">
        <f>IF(D1889&lt;&gt;"",IFERROR(INDEX(Produtos!$C$4:$C$4996,MATCH(D1889,Produtos!$B$4:$B$4996,0)),"Produto não encontrado"),"")</f>
        <v/>
      </c>
    </row>
    <row r="1890" spans="1:5" x14ac:dyDescent="0.3">
      <c r="A1890" s="21" t="str">
        <f t="shared" si="29"/>
        <v>.</v>
      </c>
      <c r="D1890" s="44"/>
      <c r="E1890" s="22" t="str">
        <f>IF(D1890&lt;&gt;"",IFERROR(INDEX(Produtos!$C$4:$C$4996,MATCH(D1890,Produtos!$B$4:$B$4996,0)),"Produto não encontrado"),"")</f>
        <v/>
      </c>
    </row>
    <row r="1891" spans="1:5" x14ac:dyDescent="0.3">
      <c r="A1891" s="21" t="str">
        <f t="shared" si="29"/>
        <v>.</v>
      </c>
      <c r="D1891" s="44"/>
      <c r="E1891" s="22" t="str">
        <f>IF(D1891&lt;&gt;"",IFERROR(INDEX(Produtos!$C$4:$C$4996,MATCH(D1891,Produtos!$B$4:$B$4996,0)),"Produto não encontrado"),"")</f>
        <v/>
      </c>
    </row>
    <row r="1892" spans="1:5" x14ac:dyDescent="0.3">
      <c r="A1892" s="21" t="str">
        <f t="shared" si="29"/>
        <v>.</v>
      </c>
      <c r="D1892" s="44"/>
      <c r="E1892" s="22" t="str">
        <f>IF(D1892&lt;&gt;"",IFERROR(INDEX(Produtos!$C$4:$C$4996,MATCH(D1892,Produtos!$B$4:$B$4996,0)),"Produto não encontrado"),"")</f>
        <v/>
      </c>
    </row>
    <row r="1893" spans="1:5" x14ac:dyDescent="0.3">
      <c r="A1893" s="21" t="str">
        <f t="shared" si="29"/>
        <v>.</v>
      </c>
      <c r="D1893" s="44"/>
      <c r="E1893" s="22" t="str">
        <f>IF(D1893&lt;&gt;"",IFERROR(INDEX(Produtos!$C$4:$C$4996,MATCH(D1893,Produtos!$B$4:$B$4996,0)),"Produto não encontrado"),"")</f>
        <v/>
      </c>
    </row>
    <row r="1894" spans="1:5" x14ac:dyDescent="0.3">
      <c r="A1894" s="21" t="str">
        <f t="shared" si="29"/>
        <v>.</v>
      </c>
      <c r="D1894" s="44"/>
      <c r="E1894" s="22" t="str">
        <f>IF(D1894&lt;&gt;"",IFERROR(INDEX(Produtos!$C$4:$C$4996,MATCH(D1894,Produtos!$B$4:$B$4996,0)),"Produto não encontrado"),"")</f>
        <v/>
      </c>
    </row>
    <row r="1895" spans="1:5" x14ac:dyDescent="0.3">
      <c r="A1895" s="21" t="str">
        <f t="shared" si="29"/>
        <v>.</v>
      </c>
      <c r="D1895" s="44"/>
      <c r="E1895" s="22" t="str">
        <f>IF(D1895&lt;&gt;"",IFERROR(INDEX(Produtos!$C$4:$C$4996,MATCH(D1895,Produtos!$B$4:$B$4996,0)),"Produto não encontrado"),"")</f>
        <v/>
      </c>
    </row>
    <row r="1896" spans="1:5" x14ac:dyDescent="0.3">
      <c r="A1896" s="21" t="str">
        <f t="shared" si="29"/>
        <v>.</v>
      </c>
      <c r="D1896" s="44"/>
      <c r="E1896" s="22" t="str">
        <f>IF(D1896&lt;&gt;"",IFERROR(INDEX(Produtos!$C$4:$C$4996,MATCH(D1896,Produtos!$B$4:$B$4996,0)),"Produto não encontrado"),"")</f>
        <v/>
      </c>
    </row>
    <row r="1897" spans="1:5" x14ac:dyDescent="0.3">
      <c r="A1897" s="21" t="str">
        <f t="shared" si="29"/>
        <v>.</v>
      </c>
      <c r="D1897" s="44"/>
      <c r="E1897" s="22" t="str">
        <f>IF(D1897&lt;&gt;"",IFERROR(INDEX(Produtos!$C$4:$C$4996,MATCH(D1897,Produtos!$B$4:$B$4996,0)),"Produto não encontrado"),"")</f>
        <v/>
      </c>
    </row>
    <row r="1898" spans="1:5" x14ac:dyDescent="0.3">
      <c r="A1898" s="21" t="str">
        <f t="shared" si="29"/>
        <v>.</v>
      </c>
      <c r="D1898" s="44"/>
      <c r="E1898" s="22" t="str">
        <f>IF(D1898&lt;&gt;"",IFERROR(INDEX(Produtos!$C$4:$C$4996,MATCH(D1898,Produtos!$B$4:$B$4996,0)),"Produto não encontrado"),"")</f>
        <v/>
      </c>
    </row>
    <row r="1899" spans="1:5" x14ac:dyDescent="0.3">
      <c r="A1899" s="21" t="str">
        <f t="shared" si="29"/>
        <v>.</v>
      </c>
      <c r="D1899" s="44"/>
      <c r="E1899" s="22" t="str">
        <f>IF(D1899&lt;&gt;"",IFERROR(INDEX(Produtos!$C$4:$C$4996,MATCH(D1899,Produtos!$B$4:$B$4996,0)),"Produto não encontrado"),"")</f>
        <v/>
      </c>
    </row>
    <row r="1900" spans="1:5" x14ac:dyDescent="0.3">
      <c r="A1900" s="21" t="str">
        <f t="shared" si="29"/>
        <v>.</v>
      </c>
      <c r="D1900" s="44"/>
      <c r="E1900" s="22" t="str">
        <f>IF(D1900&lt;&gt;"",IFERROR(INDEX(Produtos!$C$4:$C$4996,MATCH(D1900,Produtos!$B$4:$B$4996,0)),"Produto não encontrado"),"")</f>
        <v/>
      </c>
    </row>
    <row r="1901" spans="1:5" x14ac:dyDescent="0.3">
      <c r="A1901" s="21" t="str">
        <f t="shared" si="29"/>
        <v>.</v>
      </c>
      <c r="D1901" s="44"/>
      <c r="E1901" s="22" t="str">
        <f>IF(D1901&lt;&gt;"",IFERROR(INDEX(Produtos!$C$4:$C$4996,MATCH(D1901,Produtos!$B$4:$B$4996,0)),"Produto não encontrado"),"")</f>
        <v/>
      </c>
    </row>
    <row r="1902" spans="1:5" x14ac:dyDescent="0.3">
      <c r="A1902" s="21" t="str">
        <f t="shared" si="29"/>
        <v>.</v>
      </c>
      <c r="D1902" s="44"/>
      <c r="E1902" s="22" t="str">
        <f>IF(D1902&lt;&gt;"",IFERROR(INDEX(Produtos!$C$4:$C$4996,MATCH(D1902,Produtos!$B$4:$B$4996,0)),"Produto não encontrado"),"")</f>
        <v/>
      </c>
    </row>
    <row r="1903" spans="1:5" x14ac:dyDescent="0.3">
      <c r="A1903" s="21" t="str">
        <f t="shared" si="29"/>
        <v>.</v>
      </c>
      <c r="D1903" s="44"/>
      <c r="E1903" s="22" t="str">
        <f>IF(D1903&lt;&gt;"",IFERROR(INDEX(Produtos!$C$4:$C$4996,MATCH(D1903,Produtos!$B$4:$B$4996,0)),"Produto não encontrado"),"")</f>
        <v/>
      </c>
    </row>
    <row r="1904" spans="1:5" x14ac:dyDescent="0.3">
      <c r="A1904" s="21" t="str">
        <f t="shared" si="29"/>
        <v>.</v>
      </c>
      <c r="D1904" s="44"/>
      <c r="E1904" s="22" t="str">
        <f>IF(D1904&lt;&gt;"",IFERROR(INDEX(Produtos!$C$4:$C$4996,MATCH(D1904,Produtos!$B$4:$B$4996,0)),"Produto não encontrado"),"")</f>
        <v/>
      </c>
    </row>
    <row r="1905" spans="1:5" x14ac:dyDescent="0.3">
      <c r="A1905" s="21" t="str">
        <f t="shared" si="29"/>
        <v>.</v>
      </c>
      <c r="D1905" s="44"/>
      <c r="E1905" s="22" t="str">
        <f>IF(D1905&lt;&gt;"",IFERROR(INDEX(Produtos!$C$4:$C$4996,MATCH(D1905,Produtos!$B$4:$B$4996,0)),"Produto não encontrado"),"")</f>
        <v/>
      </c>
    </row>
    <row r="1906" spans="1:5" x14ac:dyDescent="0.3">
      <c r="A1906" s="21" t="str">
        <f t="shared" si="29"/>
        <v>.</v>
      </c>
      <c r="D1906" s="44"/>
      <c r="E1906" s="22" t="str">
        <f>IF(D1906&lt;&gt;"",IFERROR(INDEX(Produtos!$C$4:$C$4996,MATCH(D1906,Produtos!$B$4:$B$4996,0)),"Produto não encontrado"),"")</f>
        <v/>
      </c>
    </row>
    <row r="1907" spans="1:5" x14ac:dyDescent="0.3">
      <c r="A1907" s="21" t="str">
        <f t="shared" si="29"/>
        <v>.</v>
      </c>
      <c r="D1907" s="44"/>
      <c r="E1907" s="22" t="str">
        <f>IF(D1907&lt;&gt;"",IFERROR(INDEX(Produtos!$C$4:$C$4996,MATCH(D1907,Produtos!$B$4:$B$4996,0)),"Produto não encontrado"),"")</f>
        <v/>
      </c>
    </row>
    <row r="1908" spans="1:5" x14ac:dyDescent="0.3">
      <c r="A1908" s="21" t="str">
        <f t="shared" si="29"/>
        <v>.</v>
      </c>
      <c r="D1908" s="44"/>
      <c r="E1908" s="22" t="str">
        <f>IF(D1908&lt;&gt;"",IFERROR(INDEX(Produtos!$C$4:$C$4996,MATCH(D1908,Produtos!$B$4:$B$4996,0)),"Produto não encontrado"),"")</f>
        <v/>
      </c>
    </row>
    <row r="1909" spans="1:5" x14ac:dyDescent="0.3">
      <c r="A1909" s="21" t="str">
        <f t="shared" si="29"/>
        <v>.</v>
      </c>
      <c r="D1909" s="44"/>
      <c r="E1909" s="22" t="str">
        <f>IF(D1909&lt;&gt;"",IFERROR(INDEX(Produtos!$C$4:$C$4996,MATCH(D1909,Produtos!$B$4:$B$4996,0)),"Produto não encontrado"),"")</f>
        <v/>
      </c>
    </row>
    <row r="1910" spans="1:5" x14ac:dyDescent="0.3">
      <c r="A1910" s="21" t="str">
        <f t="shared" si="29"/>
        <v>.</v>
      </c>
      <c r="D1910" s="44"/>
      <c r="E1910" s="22" t="str">
        <f>IF(D1910&lt;&gt;"",IFERROR(INDEX(Produtos!$C$4:$C$4996,MATCH(D1910,Produtos!$B$4:$B$4996,0)),"Produto não encontrado"),"")</f>
        <v/>
      </c>
    </row>
    <row r="1911" spans="1:5" x14ac:dyDescent="0.3">
      <c r="A1911" s="21" t="str">
        <f t="shared" si="29"/>
        <v>.</v>
      </c>
      <c r="D1911" s="44"/>
      <c r="E1911" s="22" t="str">
        <f>IF(D1911&lt;&gt;"",IFERROR(INDEX(Produtos!$C$4:$C$4996,MATCH(D1911,Produtos!$B$4:$B$4996,0)),"Produto não encontrado"),"")</f>
        <v/>
      </c>
    </row>
    <row r="1912" spans="1:5" x14ac:dyDescent="0.3">
      <c r="A1912" s="21" t="str">
        <f t="shared" si="29"/>
        <v>.</v>
      </c>
      <c r="D1912" s="44"/>
      <c r="E1912" s="22" t="str">
        <f>IF(D1912&lt;&gt;"",IFERROR(INDEX(Produtos!$C$4:$C$4996,MATCH(D1912,Produtos!$B$4:$B$4996,0)),"Produto não encontrado"),"")</f>
        <v/>
      </c>
    </row>
    <row r="1913" spans="1:5" x14ac:dyDescent="0.3">
      <c r="A1913" s="21" t="str">
        <f t="shared" si="29"/>
        <v>.</v>
      </c>
      <c r="D1913" s="44"/>
      <c r="E1913" s="22" t="str">
        <f>IF(D1913&lt;&gt;"",IFERROR(INDEX(Produtos!$C$4:$C$4996,MATCH(D1913,Produtos!$B$4:$B$4996,0)),"Produto não encontrado"),"")</f>
        <v/>
      </c>
    </row>
    <row r="1914" spans="1:5" x14ac:dyDescent="0.3">
      <c r="A1914" s="21" t="str">
        <f t="shared" si="29"/>
        <v>.</v>
      </c>
      <c r="D1914" s="44"/>
      <c r="E1914" s="22" t="str">
        <f>IF(D1914&lt;&gt;"",IFERROR(INDEX(Produtos!$C$4:$C$4996,MATCH(D1914,Produtos!$B$4:$B$4996,0)),"Produto não encontrado"),"")</f>
        <v/>
      </c>
    </row>
    <row r="1915" spans="1:5" x14ac:dyDescent="0.3">
      <c r="A1915" s="21" t="str">
        <f t="shared" si="29"/>
        <v>.</v>
      </c>
      <c r="D1915" s="44"/>
      <c r="E1915" s="22" t="str">
        <f>IF(D1915&lt;&gt;"",IFERROR(INDEX(Produtos!$C$4:$C$4996,MATCH(D1915,Produtos!$B$4:$B$4996,0)),"Produto não encontrado"),"")</f>
        <v/>
      </c>
    </row>
    <row r="1916" spans="1:5" x14ac:dyDescent="0.3">
      <c r="A1916" s="21" t="str">
        <f t="shared" si="29"/>
        <v>.</v>
      </c>
      <c r="D1916" s="44"/>
      <c r="E1916" s="22" t="str">
        <f>IF(D1916&lt;&gt;"",IFERROR(INDEX(Produtos!$C$4:$C$4996,MATCH(D1916,Produtos!$B$4:$B$4996,0)),"Produto não encontrado"),"")</f>
        <v/>
      </c>
    </row>
    <row r="1917" spans="1:5" x14ac:dyDescent="0.3">
      <c r="A1917" s="21" t="str">
        <f t="shared" si="29"/>
        <v>.</v>
      </c>
      <c r="D1917" s="44"/>
      <c r="E1917" s="22" t="str">
        <f>IF(D1917&lt;&gt;"",IFERROR(INDEX(Produtos!$C$4:$C$4996,MATCH(D1917,Produtos!$B$4:$B$4996,0)),"Produto não encontrado"),"")</f>
        <v/>
      </c>
    </row>
    <row r="1918" spans="1:5" x14ac:dyDescent="0.3">
      <c r="A1918" s="21" t="str">
        <f t="shared" si="29"/>
        <v>.</v>
      </c>
      <c r="D1918" s="44"/>
      <c r="E1918" s="22" t="str">
        <f>IF(D1918&lt;&gt;"",IFERROR(INDEX(Produtos!$C$4:$C$4996,MATCH(D1918,Produtos!$B$4:$B$4996,0)),"Produto não encontrado"),"")</f>
        <v/>
      </c>
    </row>
    <row r="1919" spans="1:5" x14ac:dyDescent="0.3">
      <c r="A1919" s="21" t="str">
        <f t="shared" si="29"/>
        <v>.</v>
      </c>
      <c r="D1919" s="44"/>
      <c r="E1919" s="22" t="str">
        <f>IF(D1919&lt;&gt;"",IFERROR(INDEX(Produtos!$C$4:$C$4996,MATCH(D1919,Produtos!$B$4:$B$4996,0)),"Produto não encontrado"),"")</f>
        <v/>
      </c>
    </row>
    <row r="1920" spans="1:5" x14ac:dyDescent="0.3">
      <c r="A1920" s="21" t="str">
        <f t="shared" ref="A1920:A1983" si="30">IF(C1920="Entrada",2,IF(C1920="Saída",1,"."))</f>
        <v>.</v>
      </c>
      <c r="D1920" s="44"/>
      <c r="E1920" s="22" t="str">
        <f>IF(D1920&lt;&gt;"",IFERROR(INDEX(Produtos!$C$4:$C$4996,MATCH(D1920,Produtos!$B$4:$B$4996,0)),"Produto não encontrado"),"")</f>
        <v/>
      </c>
    </row>
    <row r="1921" spans="1:5" x14ac:dyDescent="0.3">
      <c r="A1921" s="21" t="str">
        <f t="shared" si="30"/>
        <v>.</v>
      </c>
      <c r="D1921" s="44"/>
      <c r="E1921" s="22" t="str">
        <f>IF(D1921&lt;&gt;"",IFERROR(INDEX(Produtos!$C$4:$C$4996,MATCH(D1921,Produtos!$B$4:$B$4996,0)),"Produto não encontrado"),"")</f>
        <v/>
      </c>
    </row>
    <row r="1922" spans="1:5" x14ac:dyDescent="0.3">
      <c r="A1922" s="21" t="str">
        <f t="shared" si="30"/>
        <v>.</v>
      </c>
      <c r="D1922" s="44"/>
      <c r="E1922" s="22" t="str">
        <f>IF(D1922&lt;&gt;"",IFERROR(INDEX(Produtos!$C$4:$C$4996,MATCH(D1922,Produtos!$B$4:$B$4996,0)),"Produto não encontrado"),"")</f>
        <v/>
      </c>
    </row>
    <row r="1923" spans="1:5" x14ac:dyDescent="0.3">
      <c r="A1923" s="21" t="str">
        <f t="shared" si="30"/>
        <v>.</v>
      </c>
      <c r="D1923" s="44"/>
      <c r="E1923" s="22" t="str">
        <f>IF(D1923&lt;&gt;"",IFERROR(INDEX(Produtos!$C$4:$C$4996,MATCH(D1923,Produtos!$B$4:$B$4996,0)),"Produto não encontrado"),"")</f>
        <v/>
      </c>
    </row>
    <row r="1924" spans="1:5" x14ac:dyDescent="0.3">
      <c r="A1924" s="21" t="str">
        <f t="shared" si="30"/>
        <v>.</v>
      </c>
      <c r="D1924" s="44"/>
      <c r="E1924" s="22" t="str">
        <f>IF(D1924&lt;&gt;"",IFERROR(INDEX(Produtos!$C$4:$C$4996,MATCH(D1924,Produtos!$B$4:$B$4996,0)),"Produto não encontrado"),"")</f>
        <v/>
      </c>
    </row>
    <row r="1925" spans="1:5" x14ac:dyDescent="0.3">
      <c r="A1925" s="21" t="str">
        <f t="shared" si="30"/>
        <v>.</v>
      </c>
      <c r="D1925" s="44"/>
      <c r="E1925" s="22" t="str">
        <f>IF(D1925&lt;&gt;"",IFERROR(INDEX(Produtos!$C$4:$C$4996,MATCH(D1925,Produtos!$B$4:$B$4996,0)),"Produto não encontrado"),"")</f>
        <v/>
      </c>
    </row>
    <row r="1926" spans="1:5" x14ac:dyDescent="0.3">
      <c r="A1926" s="21" t="str">
        <f t="shared" si="30"/>
        <v>.</v>
      </c>
      <c r="D1926" s="44"/>
      <c r="E1926" s="22" t="str">
        <f>IF(D1926&lt;&gt;"",IFERROR(INDEX(Produtos!$C$4:$C$4996,MATCH(D1926,Produtos!$B$4:$B$4996,0)),"Produto não encontrado"),"")</f>
        <v/>
      </c>
    </row>
    <row r="1927" spans="1:5" x14ac:dyDescent="0.3">
      <c r="A1927" s="21" t="str">
        <f t="shared" si="30"/>
        <v>.</v>
      </c>
      <c r="D1927" s="44"/>
      <c r="E1927" s="22" t="str">
        <f>IF(D1927&lt;&gt;"",IFERROR(INDEX(Produtos!$C$4:$C$4996,MATCH(D1927,Produtos!$B$4:$B$4996,0)),"Produto não encontrado"),"")</f>
        <v/>
      </c>
    </row>
    <row r="1928" spans="1:5" x14ac:dyDescent="0.3">
      <c r="A1928" s="21" t="str">
        <f t="shared" si="30"/>
        <v>.</v>
      </c>
      <c r="D1928" s="44"/>
      <c r="E1928" s="22" t="str">
        <f>IF(D1928&lt;&gt;"",IFERROR(INDEX(Produtos!$C$4:$C$4996,MATCH(D1928,Produtos!$B$4:$B$4996,0)),"Produto não encontrado"),"")</f>
        <v/>
      </c>
    </row>
    <row r="1929" spans="1:5" x14ac:dyDescent="0.3">
      <c r="A1929" s="21" t="str">
        <f t="shared" si="30"/>
        <v>.</v>
      </c>
      <c r="D1929" s="44"/>
      <c r="E1929" s="22" t="str">
        <f>IF(D1929&lt;&gt;"",IFERROR(INDEX(Produtos!$C$4:$C$4996,MATCH(D1929,Produtos!$B$4:$B$4996,0)),"Produto não encontrado"),"")</f>
        <v/>
      </c>
    </row>
    <row r="1930" spans="1:5" x14ac:dyDescent="0.3">
      <c r="A1930" s="21" t="str">
        <f t="shared" si="30"/>
        <v>.</v>
      </c>
      <c r="D1930" s="44"/>
      <c r="E1930" s="22" t="str">
        <f>IF(D1930&lt;&gt;"",IFERROR(INDEX(Produtos!$C$4:$C$4996,MATCH(D1930,Produtos!$B$4:$B$4996,0)),"Produto não encontrado"),"")</f>
        <v/>
      </c>
    </row>
    <row r="1931" spans="1:5" x14ac:dyDescent="0.3">
      <c r="A1931" s="21" t="str">
        <f t="shared" si="30"/>
        <v>.</v>
      </c>
      <c r="D1931" s="44"/>
      <c r="E1931" s="22" t="str">
        <f>IF(D1931&lt;&gt;"",IFERROR(INDEX(Produtos!$C$4:$C$4996,MATCH(D1931,Produtos!$B$4:$B$4996,0)),"Produto não encontrado"),"")</f>
        <v/>
      </c>
    </row>
    <row r="1932" spans="1:5" x14ac:dyDescent="0.3">
      <c r="A1932" s="21" t="str">
        <f t="shared" si="30"/>
        <v>.</v>
      </c>
      <c r="D1932" s="44"/>
      <c r="E1932" s="22" t="str">
        <f>IF(D1932&lt;&gt;"",IFERROR(INDEX(Produtos!$C$4:$C$4996,MATCH(D1932,Produtos!$B$4:$B$4996,0)),"Produto não encontrado"),"")</f>
        <v/>
      </c>
    </row>
    <row r="1933" spans="1:5" x14ac:dyDescent="0.3">
      <c r="A1933" s="21" t="str">
        <f t="shared" si="30"/>
        <v>.</v>
      </c>
      <c r="D1933" s="44"/>
      <c r="E1933" s="22" t="str">
        <f>IF(D1933&lt;&gt;"",IFERROR(INDEX(Produtos!$C$4:$C$4996,MATCH(D1933,Produtos!$B$4:$B$4996,0)),"Produto não encontrado"),"")</f>
        <v/>
      </c>
    </row>
    <row r="1934" spans="1:5" x14ac:dyDescent="0.3">
      <c r="A1934" s="21" t="str">
        <f t="shared" si="30"/>
        <v>.</v>
      </c>
      <c r="D1934" s="44"/>
      <c r="E1934" s="22" t="str">
        <f>IF(D1934&lt;&gt;"",IFERROR(INDEX(Produtos!$C$4:$C$4996,MATCH(D1934,Produtos!$B$4:$B$4996,0)),"Produto não encontrado"),"")</f>
        <v/>
      </c>
    </row>
    <row r="1935" spans="1:5" x14ac:dyDescent="0.3">
      <c r="A1935" s="21" t="str">
        <f t="shared" si="30"/>
        <v>.</v>
      </c>
      <c r="D1935" s="44"/>
      <c r="E1935" s="22" t="str">
        <f>IF(D1935&lt;&gt;"",IFERROR(INDEX(Produtos!$C$4:$C$4996,MATCH(D1935,Produtos!$B$4:$B$4996,0)),"Produto não encontrado"),"")</f>
        <v/>
      </c>
    </row>
    <row r="1936" spans="1:5" x14ac:dyDescent="0.3">
      <c r="A1936" s="21" t="str">
        <f t="shared" si="30"/>
        <v>.</v>
      </c>
      <c r="D1936" s="44"/>
      <c r="E1936" s="22" t="str">
        <f>IF(D1936&lt;&gt;"",IFERROR(INDEX(Produtos!$C$4:$C$4996,MATCH(D1936,Produtos!$B$4:$B$4996,0)),"Produto não encontrado"),"")</f>
        <v/>
      </c>
    </row>
    <row r="1937" spans="1:5" x14ac:dyDescent="0.3">
      <c r="A1937" s="21" t="str">
        <f t="shared" si="30"/>
        <v>.</v>
      </c>
      <c r="D1937" s="44"/>
      <c r="E1937" s="22" t="str">
        <f>IF(D1937&lt;&gt;"",IFERROR(INDEX(Produtos!$C$4:$C$4996,MATCH(D1937,Produtos!$B$4:$B$4996,0)),"Produto não encontrado"),"")</f>
        <v/>
      </c>
    </row>
    <row r="1938" spans="1:5" x14ac:dyDescent="0.3">
      <c r="A1938" s="21" t="str">
        <f t="shared" si="30"/>
        <v>.</v>
      </c>
      <c r="D1938" s="44"/>
      <c r="E1938" s="22" t="str">
        <f>IF(D1938&lt;&gt;"",IFERROR(INDEX(Produtos!$C$4:$C$4996,MATCH(D1938,Produtos!$B$4:$B$4996,0)),"Produto não encontrado"),"")</f>
        <v/>
      </c>
    </row>
    <row r="1939" spans="1:5" x14ac:dyDescent="0.3">
      <c r="A1939" s="21" t="str">
        <f t="shared" si="30"/>
        <v>.</v>
      </c>
      <c r="D1939" s="44"/>
      <c r="E1939" s="22" t="str">
        <f>IF(D1939&lt;&gt;"",IFERROR(INDEX(Produtos!$C$4:$C$4996,MATCH(D1939,Produtos!$B$4:$B$4996,0)),"Produto não encontrado"),"")</f>
        <v/>
      </c>
    </row>
    <row r="1940" spans="1:5" x14ac:dyDescent="0.3">
      <c r="A1940" s="21" t="str">
        <f t="shared" si="30"/>
        <v>.</v>
      </c>
      <c r="D1940" s="44"/>
      <c r="E1940" s="22" t="str">
        <f>IF(D1940&lt;&gt;"",IFERROR(INDEX(Produtos!$C$4:$C$4996,MATCH(D1940,Produtos!$B$4:$B$4996,0)),"Produto não encontrado"),"")</f>
        <v/>
      </c>
    </row>
    <row r="1941" spans="1:5" x14ac:dyDescent="0.3">
      <c r="A1941" s="21" t="str">
        <f t="shared" si="30"/>
        <v>.</v>
      </c>
      <c r="D1941" s="44"/>
      <c r="E1941" s="22" t="str">
        <f>IF(D1941&lt;&gt;"",IFERROR(INDEX(Produtos!$C$4:$C$4996,MATCH(D1941,Produtos!$B$4:$B$4996,0)),"Produto não encontrado"),"")</f>
        <v/>
      </c>
    </row>
    <row r="1942" spans="1:5" x14ac:dyDescent="0.3">
      <c r="A1942" s="21" t="str">
        <f t="shared" si="30"/>
        <v>.</v>
      </c>
      <c r="D1942" s="44"/>
      <c r="E1942" s="22" t="str">
        <f>IF(D1942&lt;&gt;"",IFERROR(INDEX(Produtos!$C$4:$C$4996,MATCH(D1942,Produtos!$B$4:$B$4996,0)),"Produto não encontrado"),"")</f>
        <v/>
      </c>
    </row>
    <row r="1943" spans="1:5" x14ac:dyDescent="0.3">
      <c r="A1943" s="21" t="str">
        <f t="shared" si="30"/>
        <v>.</v>
      </c>
      <c r="D1943" s="44"/>
      <c r="E1943" s="22" t="str">
        <f>IF(D1943&lt;&gt;"",IFERROR(INDEX(Produtos!$C$4:$C$4996,MATCH(D1943,Produtos!$B$4:$B$4996,0)),"Produto não encontrado"),"")</f>
        <v/>
      </c>
    </row>
    <row r="1944" spans="1:5" x14ac:dyDescent="0.3">
      <c r="A1944" s="21" t="str">
        <f t="shared" si="30"/>
        <v>.</v>
      </c>
      <c r="D1944" s="44"/>
      <c r="E1944" s="22" t="str">
        <f>IF(D1944&lt;&gt;"",IFERROR(INDEX(Produtos!$C$4:$C$4996,MATCH(D1944,Produtos!$B$4:$B$4996,0)),"Produto não encontrado"),"")</f>
        <v/>
      </c>
    </row>
    <row r="1945" spans="1:5" x14ac:dyDescent="0.3">
      <c r="A1945" s="21" t="str">
        <f t="shared" si="30"/>
        <v>.</v>
      </c>
      <c r="D1945" s="44"/>
      <c r="E1945" s="22" t="str">
        <f>IF(D1945&lt;&gt;"",IFERROR(INDEX(Produtos!$C$4:$C$4996,MATCH(D1945,Produtos!$B$4:$B$4996,0)),"Produto não encontrado"),"")</f>
        <v/>
      </c>
    </row>
    <row r="1946" spans="1:5" x14ac:dyDescent="0.3">
      <c r="A1946" s="21" t="str">
        <f t="shared" si="30"/>
        <v>.</v>
      </c>
      <c r="D1946" s="44"/>
      <c r="E1946" s="22" t="str">
        <f>IF(D1946&lt;&gt;"",IFERROR(INDEX(Produtos!$C$4:$C$4996,MATCH(D1946,Produtos!$B$4:$B$4996,0)),"Produto não encontrado"),"")</f>
        <v/>
      </c>
    </row>
    <row r="1947" spans="1:5" x14ac:dyDescent="0.3">
      <c r="A1947" s="21" t="str">
        <f t="shared" si="30"/>
        <v>.</v>
      </c>
      <c r="D1947" s="44"/>
      <c r="E1947" s="22" t="str">
        <f>IF(D1947&lt;&gt;"",IFERROR(INDEX(Produtos!$C$4:$C$4996,MATCH(D1947,Produtos!$B$4:$B$4996,0)),"Produto não encontrado"),"")</f>
        <v/>
      </c>
    </row>
    <row r="1948" spans="1:5" x14ac:dyDescent="0.3">
      <c r="A1948" s="21" t="str">
        <f t="shared" si="30"/>
        <v>.</v>
      </c>
      <c r="D1948" s="44"/>
      <c r="E1948" s="22" t="str">
        <f>IF(D1948&lt;&gt;"",IFERROR(INDEX(Produtos!$C$4:$C$4996,MATCH(D1948,Produtos!$B$4:$B$4996,0)),"Produto não encontrado"),"")</f>
        <v/>
      </c>
    </row>
    <row r="1949" spans="1:5" x14ac:dyDescent="0.3">
      <c r="A1949" s="21" t="str">
        <f t="shared" si="30"/>
        <v>.</v>
      </c>
      <c r="D1949" s="44"/>
      <c r="E1949" s="22" t="str">
        <f>IF(D1949&lt;&gt;"",IFERROR(INDEX(Produtos!$C$4:$C$4996,MATCH(D1949,Produtos!$B$4:$B$4996,0)),"Produto não encontrado"),"")</f>
        <v/>
      </c>
    </row>
    <row r="1950" spans="1:5" x14ac:dyDescent="0.3">
      <c r="A1950" s="21" t="str">
        <f t="shared" si="30"/>
        <v>.</v>
      </c>
      <c r="D1950" s="44"/>
      <c r="E1950" s="22" t="str">
        <f>IF(D1950&lt;&gt;"",IFERROR(INDEX(Produtos!$C$4:$C$4996,MATCH(D1950,Produtos!$B$4:$B$4996,0)),"Produto não encontrado"),"")</f>
        <v/>
      </c>
    </row>
    <row r="1951" spans="1:5" x14ac:dyDescent="0.3">
      <c r="A1951" s="21" t="str">
        <f t="shared" si="30"/>
        <v>.</v>
      </c>
      <c r="D1951" s="44"/>
      <c r="E1951" s="22" t="str">
        <f>IF(D1951&lt;&gt;"",IFERROR(INDEX(Produtos!$C$4:$C$4996,MATCH(D1951,Produtos!$B$4:$B$4996,0)),"Produto não encontrado"),"")</f>
        <v/>
      </c>
    </row>
    <row r="1952" spans="1:5" x14ac:dyDescent="0.3">
      <c r="A1952" s="21" t="str">
        <f t="shared" si="30"/>
        <v>.</v>
      </c>
      <c r="D1952" s="44"/>
      <c r="E1952" s="22" t="str">
        <f>IF(D1952&lt;&gt;"",IFERROR(INDEX(Produtos!$C$4:$C$4996,MATCH(D1952,Produtos!$B$4:$B$4996,0)),"Produto não encontrado"),"")</f>
        <v/>
      </c>
    </row>
    <row r="1953" spans="1:5" x14ac:dyDescent="0.3">
      <c r="A1953" s="21" t="str">
        <f t="shared" si="30"/>
        <v>.</v>
      </c>
      <c r="D1953" s="44"/>
      <c r="E1953" s="22" t="str">
        <f>IF(D1953&lt;&gt;"",IFERROR(INDEX(Produtos!$C$4:$C$4996,MATCH(D1953,Produtos!$B$4:$B$4996,0)),"Produto não encontrado"),"")</f>
        <v/>
      </c>
    </row>
    <row r="1954" spans="1:5" x14ac:dyDescent="0.3">
      <c r="A1954" s="21" t="str">
        <f t="shared" si="30"/>
        <v>.</v>
      </c>
      <c r="D1954" s="44"/>
      <c r="E1954" s="22" t="str">
        <f>IF(D1954&lt;&gt;"",IFERROR(INDEX(Produtos!$C$4:$C$4996,MATCH(D1954,Produtos!$B$4:$B$4996,0)),"Produto não encontrado"),"")</f>
        <v/>
      </c>
    </row>
    <row r="1955" spans="1:5" x14ac:dyDescent="0.3">
      <c r="A1955" s="21" t="str">
        <f t="shared" si="30"/>
        <v>.</v>
      </c>
      <c r="D1955" s="44"/>
      <c r="E1955" s="22" t="str">
        <f>IF(D1955&lt;&gt;"",IFERROR(INDEX(Produtos!$C$4:$C$4996,MATCH(D1955,Produtos!$B$4:$B$4996,0)),"Produto não encontrado"),"")</f>
        <v/>
      </c>
    </row>
    <row r="1956" spans="1:5" x14ac:dyDescent="0.3">
      <c r="A1956" s="21" t="str">
        <f t="shared" si="30"/>
        <v>.</v>
      </c>
      <c r="D1956" s="44"/>
      <c r="E1956" s="22" t="str">
        <f>IF(D1956&lt;&gt;"",IFERROR(INDEX(Produtos!$C$4:$C$4996,MATCH(D1956,Produtos!$B$4:$B$4996,0)),"Produto não encontrado"),"")</f>
        <v/>
      </c>
    </row>
    <row r="1957" spans="1:5" x14ac:dyDescent="0.3">
      <c r="A1957" s="21" t="str">
        <f t="shared" si="30"/>
        <v>.</v>
      </c>
      <c r="D1957" s="44"/>
      <c r="E1957" s="22" t="str">
        <f>IF(D1957&lt;&gt;"",IFERROR(INDEX(Produtos!$C$4:$C$4996,MATCH(D1957,Produtos!$B$4:$B$4996,0)),"Produto não encontrado"),"")</f>
        <v/>
      </c>
    </row>
    <row r="1958" spans="1:5" x14ac:dyDescent="0.3">
      <c r="A1958" s="21" t="str">
        <f t="shared" si="30"/>
        <v>.</v>
      </c>
      <c r="D1958" s="44"/>
      <c r="E1958" s="22" t="str">
        <f>IF(D1958&lt;&gt;"",IFERROR(INDEX(Produtos!$C$4:$C$4996,MATCH(D1958,Produtos!$B$4:$B$4996,0)),"Produto não encontrado"),"")</f>
        <v/>
      </c>
    </row>
    <row r="1959" spans="1:5" x14ac:dyDescent="0.3">
      <c r="A1959" s="21" t="str">
        <f t="shared" si="30"/>
        <v>.</v>
      </c>
      <c r="D1959" s="44"/>
      <c r="E1959" s="22" t="str">
        <f>IF(D1959&lt;&gt;"",IFERROR(INDEX(Produtos!$C$4:$C$4996,MATCH(D1959,Produtos!$B$4:$B$4996,0)),"Produto não encontrado"),"")</f>
        <v/>
      </c>
    </row>
    <row r="1960" spans="1:5" x14ac:dyDescent="0.3">
      <c r="A1960" s="21" t="str">
        <f t="shared" si="30"/>
        <v>.</v>
      </c>
      <c r="D1960" s="44"/>
      <c r="E1960" s="22" t="str">
        <f>IF(D1960&lt;&gt;"",IFERROR(INDEX(Produtos!$C$4:$C$4996,MATCH(D1960,Produtos!$B$4:$B$4996,0)),"Produto não encontrado"),"")</f>
        <v/>
      </c>
    </row>
    <row r="1961" spans="1:5" x14ac:dyDescent="0.3">
      <c r="A1961" s="21" t="str">
        <f t="shared" si="30"/>
        <v>.</v>
      </c>
      <c r="D1961" s="44"/>
      <c r="E1961" s="22" t="str">
        <f>IF(D1961&lt;&gt;"",IFERROR(INDEX(Produtos!$C$4:$C$4996,MATCH(D1961,Produtos!$B$4:$B$4996,0)),"Produto não encontrado"),"")</f>
        <v/>
      </c>
    </row>
    <row r="1962" spans="1:5" x14ac:dyDescent="0.3">
      <c r="A1962" s="21" t="str">
        <f t="shared" si="30"/>
        <v>.</v>
      </c>
      <c r="D1962" s="44"/>
      <c r="E1962" s="22" t="str">
        <f>IF(D1962&lt;&gt;"",IFERROR(INDEX(Produtos!$C$4:$C$4996,MATCH(D1962,Produtos!$B$4:$B$4996,0)),"Produto não encontrado"),"")</f>
        <v/>
      </c>
    </row>
    <row r="1963" spans="1:5" x14ac:dyDescent="0.3">
      <c r="A1963" s="21" t="str">
        <f t="shared" si="30"/>
        <v>.</v>
      </c>
      <c r="D1963" s="44"/>
      <c r="E1963" s="22" t="str">
        <f>IF(D1963&lt;&gt;"",IFERROR(INDEX(Produtos!$C$4:$C$4996,MATCH(D1963,Produtos!$B$4:$B$4996,0)),"Produto não encontrado"),"")</f>
        <v/>
      </c>
    </row>
    <row r="1964" spans="1:5" x14ac:dyDescent="0.3">
      <c r="A1964" s="21" t="str">
        <f t="shared" si="30"/>
        <v>.</v>
      </c>
      <c r="D1964" s="44"/>
      <c r="E1964" s="22" t="str">
        <f>IF(D1964&lt;&gt;"",IFERROR(INDEX(Produtos!$C$4:$C$4996,MATCH(D1964,Produtos!$B$4:$B$4996,0)),"Produto não encontrado"),"")</f>
        <v/>
      </c>
    </row>
    <row r="1965" spans="1:5" x14ac:dyDescent="0.3">
      <c r="A1965" s="21" t="str">
        <f t="shared" si="30"/>
        <v>.</v>
      </c>
      <c r="D1965" s="44"/>
      <c r="E1965" s="22" t="str">
        <f>IF(D1965&lt;&gt;"",IFERROR(INDEX(Produtos!$C$4:$C$4996,MATCH(D1965,Produtos!$B$4:$B$4996,0)),"Produto não encontrado"),"")</f>
        <v/>
      </c>
    </row>
    <row r="1966" spans="1:5" x14ac:dyDescent="0.3">
      <c r="A1966" s="21" t="str">
        <f t="shared" si="30"/>
        <v>.</v>
      </c>
      <c r="D1966" s="44"/>
      <c r="E1966" s="22" t="str">
        <f>IF(D1966&lt;&gt;"",IFERROR(INDEX(Produtos!$C$4:$C$4996,MATCH(D1966,Produtos!$B$4:$B$4996,0)),"Produto não encontrado"),"")</f>
        <v/>
      </c>
    </row>
    <row r="1967" spans="1:5" x14ac:dyDescent="0.3">
      <c r="A1967" s="21" t="str">
        <f t="shared" si="30"/>
        <v>.</v>
      </c>
      <c r="D1967" s="44"/>
      <c r="E1967" s="22" t="str">
        <f>IF(D1967&lt;&gt;"",IFERROR(INDEX(Produtos!$C$4:$C$4996,MATCH(D1967,Produtos!$B$4:$B$4996,0)),"Produto não encontrado"),"")</f>
        <v/>
      </c>
    </row>
    <row r="1968" spans="1:5" x14ac:dyDescent="0.3">
      <c r="A1968" s="21" t="str">
        <f t="shared" si="30"/>
        <v>.</v>
      </c>
      <c r="D1968" s="44"/>
      <c r="E1968" s="22" t="str">
        <f>IF(D1968&lt;&gt;"",IFERROR(INDEX(Produtos!$C$4:$C$4996,MATCH(D1968,Produtos!$B$4:$B$4996,0)),"Produto não encontrado"),"")</f>
        <v/>
      </c>
    </row>
    <row r="1969" spans="1:5" x14ac:dyDescent="0.3">
      <c r="A1969" s="21" t="str">
        <f t="shared" si="30"/>
        <v>.</v>
      </c>
      <c r="D1969" s="44"/>
      <c r="E1969" s="22" t="str">
        <f>IF(D1969&lt;&gt;"",IFERROR(INDEX(Produtos!$C$4:$C$4996,MATCH(D1969,Produtos!$B$4:$B$4996,0)),"Produto não encontrado"),"")</f>
        <v/>
      </c>
    </row>
    <row r="1970" spans="1:5" x14ac:dyDescent="0.3">
      <c r="A1970" s="21" t="str">
        <f t="shared" si="30"/>
        <v>.</v>
      </c>
      <c r="D1970" s="44"/>
      <c r="E1970" s="22" t="str">
        <f>IF(D1970&lt;&gt;"",IFERROR(INDEX(Produtos!$C$4:$C$4996,MATCH(D1970,Produtos!$B$4:$B$4996,0)),"Produto não encontrado"),"")</f>
        <v/>
      </c>
    </row>
    <row r="1971" spans="1:5" x14ac:dyDescent="0.3">
      <c r="A1971" s="21" t="str">
        <f t="shared" si="30"/>
        <v>.</v>
      </c>
      <c r="D1971" s="44"/>
      <c r="E1971" s="22" t="str">
        <f>IF(D1971&lt;&gt;"",IFERROR(INDEX(Produtos!$C$4:$C$4996,MATCH(D1971,Produtos!$B$4:$B$4996,0)),"Produto não encontrado"),"")</f>
        <v/>
      </c>
    </row>
    <row r="1972" spans="1:5" x14ac:dyDescent="0.3">
      <c r="A1972" s="21" t="str">
        <f t="shared" si="30"/>
        <v>.</v>
      </c>
      <c r="D1972" s="44"/>
      <c r="E1972" s="22" t="str">
        <f>IF(D1972&lt;&gt;"",IFERROR(INDEX(Produtos!$C$4:$C$4996,MATCH(D1972,Produtos!$B$4:$B$4996,0)),"Produto não encontrado"),"")</f>
        <v/>
      </c>
    </row>
    <row r="1973" spans="1:5" x14ac:dyDescent="0.3">
      <c r="A1973" s="21" t="str">
        <f t="shared" si="30"/>
        <v>.</v>
      </c>
      <c r="D1973" s="44"/>
      <c r="E1973" s="22" t="str">
        <f>IF(D1973&lt;&gt;"",IFERROR(INDEX(Produtos!$C$4:$C$4996,MATCH(D1973,Produtos!$B$4:$B$4996,0)),"Produto não encontrado"),"")</f>
        <v/>
      </c>
    </row>
    <row r="1974" spans="1:5" x14ac:dyDescent="0.3">
      <c r="A1974" s="21" t="str">
        <f t="shared" si="30"/>
        <v>.</v>
      </c>
      <c r="D1974" s="44"/>
      <c r="E1974" s="22" t="str">
        <f>IF(D1974&lt;&gt;"",IFERROR(INDEX(Produtos!$C$4:$C$4996,MATCH(D1974,Produtos!$B$4:$B$4996,0)),"Produto não encontrado"),"")</f>
        <v/>
      </c>
    </row>
    <row r="1975" spans="1:5" x14ac:dyDescent="0.3">
      <c r="A1975" s="21" t="str">
        <f t="shared" si="30"/>
        <v>.</v>
      </c>
      <c r="D1975" s="44"/>
      <c r="E1975" s="22" t="str">
        <f>IF(D1975&lt;&gt;"",IFERROR(INDEX(Produtos!$C$4:$C$4996,MATCH(D1975,Produtos!$B$4:$B$4996,0)),"Produto não encontrado"),"")</f>
        <v/>
      </c>
    </row>
    <row r="1976" spans="1:5" x14ac:dyDescent="0.3">
      <c r="A1976" s="21" t="str">
        <f t="shared" si="30"/>
        <v>.</v>
      </c>
      <c r="D1976" s="44"/>
      <c r="E1976" s="22" t="str">
        <f>IF(D1976&lt;&gt;"",IFERROR(INDEX(Produtos!$C$4:$C$4996,MATCH(D1976,Produtos!$B$4:$B$4996,0)),"Produto não encontrado"),"")</f>
        <v/>
      </c>
    </row>
    <row r="1977" spans="1:5" x14ac:dyDescent="0.3">
      <c r="A1977" s="21" t="str">
        <f t="shared" si="30"/>
        <v>.</v>
      </c>
      <c r="D1977" s="44"/>
      <c r="E1977" s="22" t="str">
        <f>IF(D1977&lt;&gt;"",IFERROR(INDEX(Produtos!$C$4:$C$4996,MATCH(D1977,Produtos!$B$4:$B$4996,0)),"Produto não encontrado"),"")</f>
        <v/>
      </c>
    </row>
    <row r="1978" spans="1:5" x14ac:dyDescent="0.3">
      <c r="A1978" s="21" t="str">
        <f t="shared" si="30"/>
        <v>.</v>
      </c>
      <c r="D1978" s="44"/>
      <c r="E1978" s="22" t="str">
        <f>IF(D1978&lt;&gt;"",IFERROR(INDEX(Produtos!$C$4:$C$4996,MATCH(D1978,Produtos!$B$4:$B$4996,0)),"Produto não encontrado"),"")</f>
        <v/>
      </c>
    </row>
    <row r="1979" spans="1:5" x14ac:dyDescent="0.3">
      <c r="A1979" s="21" t="str">
        <f t="shared" si="30"/>
        <v>.</v>
      </c>
      <c r="D1979" s="44"/>
      <c r="E1979" s="22" t="str">
        <f>IF(D1979&lt;&gt;"",IFERROR(INDEX(Produtos!$C$4:$C$4996,MATCH(D1979,Produtos!$B$4:$B$4996,0)),"Produto não encontrado"),"")</f>
        <v/>
      </c>
    </row>
    <row r="1980" spans="1:5" x14ac:dyDescent="0.3">
      <c r="A1980" s="21" t="str">
        <f t="shared" si="30"/>
        <v>.</v>
      </c>
      <c r="D1980" s="44"/>
      <c r="E1980" s="22" t="str">
        <f>IF(D1980&lt;&gt;"",IFERROR(INDEX(Produtos!$C$4:$C$4996,MATCH(D1980,Produtos!$B$4:$B$4996,0)),"Produto não encontrado"),"")</f>
        <v/>
      </c>
    </row>
    <row r="1981" spans="1:5" x14ac:dyDescent="0.3">
      <c r="A1981" s="21" t="str">
        <f t="shared" si="30"/>
        <v>.</v>
      </c>
      <c r="D1981" s="44"/>
      <c r="E1981" s="22" t="str">
        <f>IF(D1981&lt;&gt;"",IFERROR(INDEX(Produtos!$C$4:$C$4996,MATCH(D1981,Produtos!$B$4:$B$4996,0)),"Produto não encontrado"),"")</f>
        <v/>
      </c>
    </row>
    <row r="1982" spans="1:5" x14ac:dyDescent="0.3">
      <c r="A1982" s="21" t="str">
        <f t="shared" si="30"/>
        <v>.</v>
      </c>
      <c r="D1982" s="44"/>
      <c r="E1982" s="22" t="str">
        <f>IF(D1982&lt;&gt;"",IFERROR(INDEX(Produtos!$C$4:$C$4996,MATCH(D1982,Produtos!$B$4:$B$4996,0)),"Produto não encontrado"),"")</f>
        <v/>
      </c>
    </row>
    <row r="1983" spans="1:5" x14ac:dyDescent="0.3">
      <c r="A1983" s="21" t="str">
        <f t="shared" si="30"/>
        <v>.</v>
      </c>
      <c r="D1983" s="44"/>
      <c r="E1983" s="22" t="str">
        <f>IF(D1983&lt;&gt;"",IFERROR(INDEX(Produtos!$C$4:$C$4996,MATCH(D1983,Produtos!$B$4:$B$4996,0)),"Produto não encontrado"),"")</f>
        <v/>
      </c>
    </row>
    <row r="1984" spans="1:5" x14ac:dyDescent="0.3">
      <c r="A1984" s="21" t="str">
        <f t="shared" ref="A1984:A2047" si="31">IF(C1984="Entrada",2,IF(C1984="Saída",1,"."))</f>
        <v>.</v>
      </c>
      <c r="D1984" s="44"/>
      <c r="E1984" s="22" t="str">
        <f>IF(D1984&lt;&gt;"",IFERROR(INDEX(Produtos!$C$4:$C$4996,MATCH(D1984,Produtos!$B$4:$B$4996,0)),"Produto não encontrado"),"")</f>
        <v/>
      </c>
    </row>
    <row r="1985" spans="1:5" x14ac:dyDescent="0.3">
      <c r="A1985" s="21" t="str">
        <f t="shared" si="31"/>
        <v>.</v>
      </c>
      <c r="D1985" s="44"/>
      <c r="E1985" s="22" t="str">
        <f>IF(D1985&lt;&gt;"",IFERROR(INDEX(Produtos!$C$4:$C$4996,MATCH(D1985,Produtos!$B$4:$B$4996,0)),"Produto não encontrado"),"")</f>
        <v/>
      </c>
    </row>
    <row r="1986" spans="1:5" x14ac:dyDescent="0.3">
      <c r="A1986" s="21" t="str">
        <f t="shared" si="31"/>
        <v>.</v>
      </c>
      <c r="D1986" s="44"/>
      <c r="E1986" s="22" t="str">
        <f>IF(D1986&lt;&gt;"",IFERROR(INDEX(Produtos!$C$4:$C$4996,MATCH(D1986,Produtos!$B$4:$B$4996,0)),"Produto não encontrado"),"")</f>
        <v/>
      </c>
    </row>
    <row r="1987" spans="1:5" x14ac:dyDescent="0.3">
      <c r="A1987" s="21" t="str">
        <f t="shared" si="31"/>
        <v>.</v>
      </c>
      <c r="D1987" s="44"/>
      <c r="E1987" s="22" t="str">
        <f>IF(D1987&lt;&gt;"",IFERROR(INDEX(Produtos!$C$4:$C$4996,MATCH(D1987,Produtos!$B$4:$B$4996,0)),"Produto não encontrado"),"")</f>
        <v/>
      </c>
    </row>
    <row r="1988" spans="1:5" x14ac:dyDescent="0.3">
      <c r="A1988" s="21" t="str">
        <f t="shared" si="31"/>
        <v>.</v>
      </c>
      <c r="D1988" s="44"/>
      <c r="E1988" s="22" t="str">
        <f>IF(D1988&lt;&gt;"",IFERROR(INDEX(Produtos!$C$4:$C$4996,MATCH(D1988,Produtos!$B$4:$B$4996,0)),"Produto não encontrado"),"")</f>
        <v/>
      </c>
    </row>
    <row r="1989" spans="1:5" x14ac:dyDescent="0.3">
      <c r="A1989" s="21" t="str">
        <f t="shared" si="31"/>
        <v>.</v>
      </c>
      <c r="D1989" s="44"/>
      <c r="E1989" s="22" t="str">
        <f>IF(D1989&lt;&gt;"",IFERROR(INDEX(Produtos!$C$4:$C$4996,MATCH(D1989,Produtos!$B$4:$B$4996,0)),"Produto não encontrado"),"")</f>
        <v/>
      </c>
    </row>
    <row r="1990" spans="1:5" x14ac:dyDescent="0.3">
      <c r="A1990" s="21" t="str">
        <f t="shared" si="31"/>
        <v>.</v>
      </c>
      <c r="D1990" s="44"/>
      <c r="E1990" s="22" t="str">
        <f>IF(D1990&lt;&gt;"",IFERROR(INDEX(Produtos!$C$4:$C$4996,MATCH(D1990,Produtos!$B$4:$B$4996,0)),"Produto não encontrado"),"")</f>
        <v/>
      </c>
    </row>
    <row r="1991" spans="1:5" x14ac:dyDescent="0.3">
      <c r="A1991" s="21" t="str">
        <f t="shared" si="31"/>
        <v>.</v>
      </c>
      <c r="D1991" s="44"/>
      <c r="E1991" s="22" t="str">
        <f>IF(D1991&lt;&gt;"",IFERROR(INDEX(Produtos!$C$4:$C$4996,MATCH(D1991,Produtos!$B$4:$B$4996,0)),"Produto não encontrado"),"")</f>
        <v/>
      </c>
    </row>
    <row r="1992" spans="1:5" x14ac:dyDescent="0.3">
      <c r="A1992" s="21" t="str">
        <f t="shared" si="31"/>
        <v>.</v>
      </c>
      <c r="D1992" s="44"/>
      <c r="E1992" s="22" t="str">
        <f>IF(D1992&lt;&gt;"",IFERROR(INDEX(Produtos!$C$4:$C$4996,MATCH(D1992,Produtos!$B$4:$B$4996,0)),"Produto não encontrado"),"")</f>
        <v/>
      </c>
    </row>
    <row r="1993" spans="1:5" x14ac:dyDescent="0.3">
      <c r="A1993" s="21" t="str">
        <f t="shared" si="31"/>
        <v>.</v>
      </c>
      <c r="D1993" s="44"/>
      <c r="E1993" s="22" t="str">
        <f>IF(D1993&lt;&gt;"",IFERROR(INDEX(Produtos!$C$4:$C$4996,MATCH(D1993,Produtos!$B$4:$B$4996,0)),"Produto não encontrado"),"")</f>
        <v/>
      </c>
    </row>
    <row r="1994" spans="1:5" x14ac:dyDescent="0.3">
      <c r="A1994" s="21" t="str">
        <f t="shared" si="31"/>
        <v>.</v>
      </c>
      <c r="D1994" s="44"/>
      <c r="E1994" s="22" t="str">
        <f>IF(D1994&lt;&gt;"",IFERROR(INDEX(Produtos!$C$4:$C$4996,MATCH(D1994,Produtos!$B$4:$B$4996,0)),"Produto não encontrado"),"")</f>
        <v/>
      </c>
    </row>
    <row r="1995" spans="1:5" x14ac:dyDescent="0.3">
      <c r="A1995" s="21" t="str">
        <f t="shared" si="31"/>
        <v>.</v>
      </c>
      <c r="D1995" s="44"/>
      <c r="E1995" s="22" t="str">
        <f>IF(D1995&lt;&gt;"",IFERROR(INDEX(Produtos!$C$4:$C$4996,MATCH(D1995,Produtos!$B$4:$B$4996,0)),"Produto não encontrado"),"")</f>
        <v/>
      </c>
    </row>
    <row r="1996" spans="1:5" x14ac:dyDescent="0.3">
      <c r="A1996" s="21" t="str">
        <f t="shared" si="31"/>
        <v>.</v>
      </c>
      <c r="D1996" s="44"/>
      <c r="E1996" s="22" t="str">
        <f>IF(D1996&lt;&gt;"",IFERROR(INDEX(Produtos!$C$4:$C$4996,MATCH(D1996,Produtos!$B$4:$B$4996,0)),"Produto não encontrado"),"")</f>
        <v/>
      </c>
    </row>
    <row r="1997" spans="1:5" x14ac:dyDescent="0.3">
      <c r="A1997" s="21" t="str">
        <f t="shared" si="31"/>
        <v>.</v>
      </c>
      <c r="D1997" s="44"/>
      <c r="E1997" s="22" t="str">
        <f>IF(D1997&lt;&gt;"",IFERROR(INDEX(Produtos!$C$4:$C$4996,MATCH(D1997,Produtos!$B$4:$B$4996,0)),"Produto não encontrado"),"")</f>
        <v/>
      </c>
    </row>
    <row r="1998" spans="1:5" x14ac:dyDescent="0.3">
      <c r="A1998" s="21" t="str">
        <f t="shared" si="31"/>
        <v>.</v>
      </c>
      <c r="D1998" s="44"/>
      <c r="E1998" s="22" t="str">
        <f>IF(D1998&lt;&gt;"",IFERROR(INDEX(Produtos!$C$4:$C$4996,MATCH(D1998,Produtos!$B$4:$B$4996,0)),"Produto não encontrado"),"")</f>
        <v/>
      </c>
    </row>
    <row r="1999" spans="1:5" x14ac:dyDescent="0.3">
      <c r="A1999" s="21" t="str">
        <f t="shared" si="31"/>
        <v>.</v>
      </c>
      <c r="D1999" s="44"/>
      <c r="E1999" s="22" t="str">
        <f>IF(D1999&lt;&gt;"",IFERROR(INDEX(Produtos!$C$4:$C$4996,MATCH(D1999,Produtos!$B$4:$B$4996,0)),"Produto não encontrado"),"")</f>
        <v/>
      </c>
    </row>
    <row r="2000" spans="1:5" x14ac:dyDescent="0.3">
      <c r="A2000" s="21" t="str">
        <f t="shared" si="31"/>
        <v>.</v>
      </c>
      <c r="D2000" s="44"/>
      <c r="E2000" s="22" t="str">
        <f>IF(D2000&lt;&gt;"",IFERROR(INDEX(Produtos!$C$4:$C$4996,MATCH(D2000,Produtos!$B$4:$B$4996,0)),"Produto não encontrado"),"")</f>
        <v/>
      </c>
    </row>
    <row r="2001" spans="1:5" x14ac:dyDescent="0.3">
      <c r="A2001" s="21" t="str">
        <f t="shared" si="31"/>
        <v>.</v>
      </c>
      <c r="D2001" s="44"/>
      <c r="E2001" s="22" t="str">
        <f>IF(D2001&lt;&gt;"",IFERROR(INDEX(Produtos!$C$4:$C$4996,MATCH(D2001,Produtos!$B$4:$B$4996,0)),"Produto não encontrado"),"")</f>
        <v/>
      </c>
    </row>
    <row r="2002" spans="1:5" x14ac:dyDescent="0.3">
      <c r="A2002" s="21" t="str">
        <f t="shared" si="31"/>
        <v>.</v>
      </c>
      <c r="D2002" s="44"/>
      <c r="E2002" s="22" t="str">
        <f>IF(D2002&lt;&gt;"",IFERROR(INDEX(Produtos!$C$4:$C$4996,MATCH(D2002,Produtos!$B$4:$B$4996,0)),"Produto não encontrado"),"")</f>
        <v/>
      </c>
    </row>
    <row r="2003" spans="1:5" x14ac:dyDescent="0.3">
      <c r="A2003" s="21" t="str">
        <f t="shared" si="31"/>
        <v>.</v>
      </c>
      <c r="D2003" s="44"/>
      <c r="E2003" s="22" t="str">
        <f>IF(D2003&lt;&gt;"",IFERROR(INDEX(Produtos!$C$4:$C$4996,MATCH(D2003,Produtos!$B$4:$B$4996,0)),"Produto não encontrado"),"")</f>
        <v/>
      </c>
    </row>
    <row r="2004" spans="1:5" x14ac:dyDescent="0.3">
      <c r="A2004" s="21" t="str">
        <f t="shared" si="31"/>
        <v>.</v>
      </c>
      <c r="D2004" s="44"/>
      <c r="E2004" s="22" t="str">
        <f>IF(D2004&lt;&gt;"",IFERROR(INDEX(Produtos!$C$4:$C$4996,MATCH(D2004,Produtos!$B$4:$B$4996,0)),"Produto não encontrado"),"")</f>
        <v/>
      </c>
    </row>
    <row r="2005" spans="1:5" x14ac:dyDescent="0.3">
      <c r="A2005" s="21" t="str">
        <f t="shared" si="31"/>
        <v>.</v>
      </c>
      <c r="D2005" s="44"/>
      <c r="E2005" s="22" t="str">
        <f>IF(D2005&lt;&gt;"",IFERROR(INDEX(Produtos!$C$4:$C$4996,MATCH(D2005,Produtos!$B$4:$B$4996,0)),"Produto não encontrado"),"")</f>
        <v/>
      </c>
    </row>
    <row r="2006" spans="1:5" x14ac:dyDescent="0.3">
      <c r="A2006" s="21" t="str">
        <f t="shared" si="31"/>
        <v>.</v>
      </c>
      <c r="D2006" s="44"/>
      <c r="E2006" s="22" t="str">
        <f>IF(D2006&lt;&gt;"",IFERROR(INDEX(Produtos!$C$4:$C$4996,MATCH(D2006,Produtos!$B$4:$B$4996,0)),"Produto não encontrado"),"")</f>
        <v/>
      </c>
    </row>
    <row r="2007" spans="1:5" x14ac:dyDescent="0.3">
      <c r="A2007" s="21" t="str">
        <f t="shared" si="31"/>
        <v>.</v>
      </c>
      <c r="D2007" s="44"/>
      <c r="E2007" s="22" t="str">
        <f>IF(D2007&lt;&gt;"",IFERROR(INDEX(Produtos!$C$4:$C$4996,MATCH(D2007,Produtos!$B$4:$B$4996,0)),"Produto não encontrado"),"")</f>
        <v/>
      </c>
    </row>
    <row r="2008" spans="1:5" x14ac:dyDescent="0.3">
      <c r="A2008" s="21" t="str">
        <f t="shared" si="31"/>
        <v>.</v>
      </c>
      <c r="D2008" s="44"/>
      <c r="E2008" s="22" t="str">
        <f>IF(D2008&lt;&gt;"",IFERROR(INDEX(Produtos!$C$4:$C$4996,MATCH(D2008,Produtos!$B$4:$B$4996,0)),"Produto não encontrado"),"")</f>
        <v/>
      </c>
    </row>
    <row r="2009" spans="1:5" x14ac:dyDescent="0.3">
      <c r="A2009" s="21" t="str">
        <f t="shared" si="31"/>
        <v>.</v>
      </c>
      <c r="D2009" s="44"/>
      <c r="E2009" s="22" t="str">
        <f>IF(D2009&lt;&gt;"",IFERROR(INDEX(Produtos!$C$4:$C$4996,MATCH(D2009,Produtos!$B$4:$B$4996,0)),"Produto não encontrado"),"")</f>
        <v/>
      </c>
    </row>
    <row r="2010" spans="1:5" x14ac:dyDescent="0.3">
      <c r="A2010" s="21" t="str">
        <f t="shared" si="31"/>
        <v>.</v>
      </c>
      <c r="D2010" s="44"/>
      <c r="E2010" s="22" t="str">
        <f>IF(D2010&lt;&gt;"",IFERROR(INDEX(Produtos!$C$4:$C$4996,MATCH(D2010,Produtos!$B$4:$B$4996,0)),"Produto não encontrado"),"")</f>
        <v/>
      </c>
    </row>
    <row r="2011" spans="1:5" x14ac:dyDescent="0.3">
      <c r="A2011" s="21" t="str">
        <f t="shared" si="31"/>
        <v>.</v>
      </c>
      <c r="D2011" s="44"/>
      <c r="E2011" s="22" t="str">
        <f>IF(D2011&lt;&gt;"",IFERROR(INDEX(Produtos!$C$4:$C$4996,MATCH(D2011,Produtos!$B$4:$B$4996,0)),"Produto não encontrado"),"")</f>
        <v/>
      </c>
    </row>
    <row r="2012" spans="1:5" x14ac:dyDescent="0.3">
      <c r="A2012" s="21" t="str">
        <f t="shared" si="31"/>
        <v>.</v>
      </c>
      <c r="D2012" s="44"/>
      <c r="E2012" s="22" t="str">
        <f>IF(D2012&lt;&gt;"",IFERROR(INDEX(Produtos!$C$4:$C$4996,MATCH(D2012,Produtos!$B$4:$B$4996,0)),"Produto não encontrado"),"")</f>
        <v/>
      </c>
    </row>
    <row r="2013" spans="1:5" x14ac:dyDescent="0.3">
      <c r="A2013" s="21" t="str">
        <f t="shared" si="31"/>
        <v>.</v>
      </c>
      <c r="D2013" s="44"/>
      <c r="E2013" s="22" t="str">
        <f>IF(D2013&lt;&gt;"",IFERROR(INDEX(Produtos!$C$4:$C$4996,MATCH(D2013,Produtos!$B$4:$B$4996,0)),"Produto não encontrado"),"")</f>
        <v/>
      </c>
    </row>
    <row r="2014" spans="1:5" x14ac:dyDescent="0.3">
      <c r="A2014" s="21" t="str">
        <f t="shared" si="31"/>
        <v>.</v>
      </c>
      <c r="D2014" s="44"/>
      <c r="E2014" s="22" t="str">
        <f>IF(D2014&lt;&gt;"",IFERROR(INDEX(Produtos!$C$4:$C$4996,MATCH(D2014,Produtos!$B$4:$B$4996,0)),"Produto não encontrado"),"")</f>
        <v/>
      </c>
    </row>
    <row r="2015" spans="1:5" x14ac:dyDescent="0.3">
      <c r="A2015" s="21" t="str">
        <f t="shared" si="31"/>
        <v>.</v>
      </c>
      <c r="D2015" s="44"/>
      <c r="E2015" s="22" t="str">
        <f>IF(D2015&lt;&gt;"",IFERROR(INDEX(Produtos!$C$4:$C$4996,MATCH(D2015,Produtos!$B$4:$B$4996,0)),"Produto não encontrado"),"")</f>
        <v/>
      </c>
    </row>
    <row r="2016" spans="1:5" x14ac:dyDescent="0.3">
      <c r="A2016" s="21" t="str">
        <f t="shared" si="31"/>
        <v>.</v>
      </c>
      <c r="D2016" s="44"/>
      <c r="E2016" s="22" t="str">
        <f>IF(D2016&lt;&gt;"",IFERROR(INDEX(Produtos!$C$4:$C$4996,MATCH(D2016,Produtos!$B$4:$B$4996,0)),"Produto não encontrado"),"")</f>
        <v/>
      </c>
    </row>
    <row r="2017" spans="1:5" x14ac:dyDescent="0.3">
      <c r="A2017" s="21" t="str">
        <f t="shared" si="31"/>
        <v>.</v>
      </c>
      <c r="D2017" s="44"/>
      <c r="E2017" s="22" t="str">
        <f>IF(D2017&lt;&gt;"",IFERROR(INDEX(Produtos!$C$4:$C$4996,MATCH(D2017,Produtos!$B$4:$B$4996,0)),"Produto não encontrado"),"")</f>
        <v/>
      </c>
    </row>
    <row r="2018" spans="1:5" x14ac:dyDescent="0.3">
      <c r="A2018" s="21" t="str">
        <f t="shared" si="31"/>
        <v>.</v>
      </c>
      <c r="D2018" s="44"/>
      <c r="E2018" s="22" t="str">
        <f>IF(D2018&lt;&gt;"",IFERROR(INDEX(Produtos!$C$4:$C$4996,MATCH(D2018,Produtos!$B$4:$B$4996,0)),"Produto não encontrado"),"")</f>
        <v/>
      </c>
    </row>
    <row r="2019" spans="1:5" x14ac:dyDescent="0.3">
      <c r="A2019" s="21" t="str">
        <f t="shared" si="31"/>
        <v>.</v>
      </c>
      <c r="D2019" s="44"/>
      <c r="E2019" s="22" t="str">
        <f>IF(D2019&lt;&gt;"",IFERROR(INDEX(Produtos!$C$4:$C$4996,MATCH(D2019,Produtos!$B$4:$B$4996,0)),"Produto não encontrado"),"")</f>
        <v/>
      </c>
    </row>
    <row r="2020" spans="1:5" x14ac:dyDescent="0.3">
      <c r="A2020" s="21" t="str">
        <f t="shared" si="31"/>
        <v>.</v>
      </c>
      <c r="D2020" s="44"/>
      <c r="E2020" s="22" t="str">
        <f>IF(D2020&lt;&gt;"",IFERROR(INDEX(Produtos!$C$4:$C$4996,MATCH(D2020,Produtos!$B$4:$B$4996,0)),"Produto não encontrado"),"")</f>
        <v/>
      </c>
    </row>
    <row r="2021" spans="1:5" x14ac:dyDescent="0.3">
      <c r="A2021" s="21" t="str">
        <f t="shared" si="31"/>
        <v>.</v>
      </c>
      <c r="D2021" s="44"/>
      <c r="E2021" s="22" t="str">
        <f>IF(D2021&lt;&gt;"",IFERROR(INDEX(Produtos!$C$4:$C$4996,MATCH(D2021,Produtos!$B$4:$B$4996,0)),"Produto não encontrado"),"")</f>
        <v/>
      </c>
    </row>
    <row r="2022" spans="1:5" x14ac:dyDescent="0.3">
      <c r="A2022" s="21" t="str">
        <f t="shared" si="31"/>
        <v>.</v>
      </c>
      <c r="D2022" s="44"/>
      <c r="E2022" s="22" t="str">
        <f>IF(D2022&lt;&gt;"",IFERROR(INDEX(Produtos!$C$4:$C$4996,MATCH(D2022,Produtos!$B$4:$B$4996,0)),"Produto não encontrado"),"")</f>
        <v/>
      </c>
    </row>
    <row r="2023" spans="1:5" x14ac:dyDescent="0.3">
      <c r="A2023" s="21" t="str">
        <f t="shared" si="31"/>
        <v>.</v>
      </c>
      <c r="D2023" s="44"/>
      <c r="E2023" s="22" t="str">
        <f>IF(D2023&lt;&gt;"",IFERROR(INDEX(Produtos!$C$4:$C$4996,MATCH(D2023,Produtos!$B$4:$B$4996,0)),"Produto não encontrado"),"")</f>
        <v/>
      </c>
    </row>
    <row r="2024" spans="1:5" x14ac:dyDescent="0.3">
      <c r="A2024" s="21" t="str">
        <f t="shared" si="31"/>
        <v>.</v>
      </c>
      <c r="D2024" s="44"/>
      <c r="E2024" s="22" t="str">
        <f>IF(D2024&lt;&gt;"",IFERROR(INDEX(Produtos!$C$4:$C$4996,MATCH(D2024,Produtos!$B$4:$B$4996,0)),"Produto não encontrado"),"")</f>
        <v/>
      </c>
    </row>
    <row r="2025" spans="1:5" x14ac:dyDescent="0.3">
      <c r="A2025" s="21" t="str">
        <f t="shared" si="31"/>
        <v>.</v>
      </c>
      <c r="D2025" s="44"/>
      <c r="E2025" s="22" t="str">
        <f>IF(D2025&lt;&gt;"",IFERROR(INDEX(Produtos!$C$4:$C$4996,MATCH(D2025,Produtos!$B$4:$B$4996,0)),"Produto não encontrado"),"")</f>
        <v/>
      </c>
    </row>
    <row r="2026" spans="1:5" x14ac:dyDescent="0.3">
      <c r="A2026" s="21" t="str">
        <f t="shared" si="31"/>
        <v>.</v>
      </c>
      <c r="D2026" s="44"/>
      <c r="E2026" s="22" t="str">
        <f>IF(D2026&lt;&gt;"",IFERROR(INDEX(Produtos!$C$4:$C$4996,MATCH(D2026,Produtos!$B$4:$B$4996,0)),"Produto não encontrado"),"")</f>
        <v/>
      </c>
    </row>
    <row r="2027" spans="1:5" x14ac:dyDescent="0.3">
      <c r="A2027" s="21" t="str">
        <f t="shared" si="31"/>
        <v>.</v>
      </c>
      <c r="D2027" s="44"/>
      <c r="E2027" s="22" t="str">
        <f>IF(D2027&lt;&gt;"",IFERROR(INDEX(Produtos!$C$4:$C$4996,MATCH(D2027,Produtos!$B$4:$B$4996,0)),"Produto não encontrado"),"")</f>
        <v/>
      </c>
    </row>
    <row r="2028" spans="1:5" x14ac:dyDescent="0.3">
      <c r="A2028" s="21" t="str">
        <f t="shared" si="31"/>
        <v>.</v>
      </c>
      <c r="D2028" s="44"/>
      <c r="E2028" s="22" t="str">
        <f>IF(D2028&lt;&gt;"",IFERROR(INDEX(Produtos!$C$4:$C$4996,MATCH(D2028,Produtos!$B$4:$B$4996,0)),"Produto não encontrado"),"")</f>
        <v/>
      </c>
    </row>
    <row r="2029" spans="1:5" x14ac:dyDescent="0.3">
      <c r="A2029" s="21" t="str">
        <f t="shared" si="31"/>
        <v>.</v>
      </c>
      <c r="D2029" s="44"/>
      <c r="E2029" s="22" t="str">
        <f>IF(D2029&lt;&gt;"",IFERROR(INDEX(Produtos!$C$4:$C$4996,MATCH(D2029,Produtos!$B$4:$B$4996,0)),"Produto não encontrado"),"")</f>
        <v/>
      </c>
    </row>
    <row r="2030" spans="1:5" x14ac:dyDescent="0.3">
      <c r="A2030" s="21" t="str">
        <f t="shared" si="31"/>
        <v>.</v>
      </c>
      <c r="D2030" s="44"/>
      <c r="E2030" s="22" t="str">
        <f>IF(D2030&lt;&gt;"",IFERROR(INDEX(Produtos!$C$4:$C$4996,MATCH(D2030,Produtos!$B$4:$B$4996,0)),"Produto não encontrado"),"")</f>
        <v/>
      </c>
    </row>
    <row r="2031" spans="1:5" x14ac:dyDescent="0.3">
      <c r="A2031" s="21" t="str">
        <f t="shared" si="31"/>
        <v>.</v>
      </c>
      <c r="D2031" s="44"/>
      <c r="E2031" s="22" t="str">
        <f>IF(D2031&lt;&gt;"",IFERROR(INDEX(Produtos!$C$4:$C$4996,MATCH(D2031,Produtos!$B$4:$B$4996,0)),"Produto não encontrado"),"")</f>
        <v/>
      </c>
    </row>
    <row r="2032" spans="1:5" x14ac:dyDescent="0.3">
      <c r="A2032" s="21" t="str">
        <f t="shared" si="31"/>
        <v>.</v>
      </c>
      <c r="D2032" s="44"/>
      <c r="E2032" s="22" t="str">
        <f>IF(D2032&lt;&gt;"",IFERROR(INDEX(Produtos!$C$4:$C$4996,MATCH(D2032,Produtos!$B$4:$B$4996,0)),"Produto não encontrado"),"")</f>
        <v/>
      </c>
    </row>
    <row r="2033" spans="1:5" x14ac:dyDescent="0.3">
      <c r="A2033" s="21" t="str">
        <f t="shared" si="31"/>
        <v>.</v>
      </c>
      <c r="D2033" s="44"/>
      <c r="E2033" s="22" t="str">
        <f>IF(D2033&lt;&gt;"",IFERROR(INDEX(Produtos!$C$4:$C$4996,MATCH(D2033,Produtos!$B$4:$B$4996,0)),"Produto não encontrado"),"")</f>
        <v/>
      </c>
    </row>
    <row r="2034" spans="1:5" x14ac:dyDescent="0.3">
      <c r="A2034" s="21" t="str">
        <f t="shared" si="31"/>
        <v>.</v>
      </c>
      <c r="D2034" s="44"/>
      <c r="E2034" s="22" t="str">
        <f>IF(D2034&lt;&gt;"",IFERROR(INDEX(Produtos!$C$4:$C$4996,MATCH(D2034,Produtos!$B$4:$B$4996,0)),"Produto não encontrado"),"")</f>
        <v/>
      </c>
    </row>
    <row r="2035" spans="1:5" x14ac:dyDescent="0.3">
      <c r="A2035" s="21" t="str">
        <f t="shared" si="31"/>
        <v>.</v>
      </c>
      <c r="D2035" s="44"/>
      <c r="E2035" s="22" t="str">
        <f>IF(D2035&lt;&gt;"",IFERROR(INDEX(Produtos!$C$4:$C$4996,MATCH(D2035,Produtos!$B$4:$B$4996,0)),"Produto não encontrado"),"")</f>
        <v/>
      </c>
    </row>
    <row r="2036" spans="1:5" x14ac:dyDescent="0.3">
      <c r="A2036" s="21" t="str">
        <f t="shared" si="31"/>
        <v>.</v>
      </c>
      <c r="D2036" s="44"/>
      <c r="E2036" s="22" t="str">
        <f>IF(D2036&lt;&gt;"",IFERROR(INDEX(Produtos!$C$4:$C$4996,MATCH(D2036,Produtos!$B$4:$B$4996,0)),"Produto não encontrado"),"")</f>
        <v/>
      </c>
    </row>
    <row r="2037" spans="1:5" x14ac:dyDescent="0.3">
      <c r="A2037" s="21" t="str">
        <f t="shared" si="31"/>
        <v>.</v>
      </c>
      <c r="D2037" s="44"/>
      <c r="E2037" s="22" t="str">
        <f>IF(D2037&lt;&gt;"",IFERROR(INDEX(Produtos!$C$4:$C$4996,MATCH(D2037,Produtos!$B$4:$B$4996,0)),"Produto não encontrado"),"")</f>
        <v/>
      </c>
    </row>
    <row r="2038" spans="1:5" x14ac:dyDescent="0.3">
      <c r="A2038" s="21" t="str">
        <f t="shared" si="31"/>
        <v>.</v>
      </c>
      <c r="D2038" s="44"/>
      <c r="E2038" s="22" t="str">
        <f>IF(D2038&lt;&gt;"",IFERROR(INDEX(Produtos!$C$4:$C$4996,MATCH(D2038,Produtos!$B$4:$B$4996,0)),"Produto não encontrado"),"")</f>
        <v/>
      </c>
    </row>
    <row r="2039" spans="1:5" x14ac:dyDescent="0.3">
      <c r="A2039" s="21" t="str">
        <f t="shared" si="31"/>
        <v>.</v>
      </c>
      <c r="D2039" s="44"/>
      <c r="E2039" s="22" t="str">
        <f>IF(D2039&lt;&gt;"",IFERROR(INDEX(Produtos!$C$4:$C$4996,MATCH(D2039,Produtos!$B$4:$B$4996,0)),"Produto não encontrado"),"")</f>
        <v/>
      </c>
    </row>
    <row r="2040" spans="1:5" x14ac:dyDescent="0.3">
      <c r="A2040" s="21" t="str">
        <f t="shared" si="31"/>
        <v>.</v>
      </c>
      <c r="D2040" s="44"/>
      <c r="E2040" s="22" t="str">
        <f>IF(D2040&lt;&gt;"",IFERROR(INDEX(Produtos!$C$4:$C$4996,MATCH(D2040,Produtos!$B$4:$B$4996,0)),"Produto não encontrado"),"")</f>
        <v/>
      </c>
    </row>
    <row r="2041" spans="1:5" x14ac:dyDescent="0.3">
      <c r="A2041" s="21" t="str">
        <f t="shared" si="31"/>
        <v>.</v>
      </c>
      <c r="D2041" s="44"/>
      <c r="E2041" s="22" t="str">
        <f>IF(D2041&lt;&gt;"",IFERROR(INDEX(Produtos!$C$4:$C$4996,MATCH(D2041,Produtos!$B$4:$B$4996,0)),"Produto não encontrado"),"")</f>
        <v/>
      </c>
    </row>
    <row r="2042" spans="1:5" x14ac:dyDescent="0.3">
      <c r="A2042" s="21" t="str">
        <f t="shared" si="31"/>
        <v>.</v>
      </c>
      <c r="D2042" s="44"/>
      <c r="E2042" s="22" t="str">
        <f>IF(D2042&lt;&gt;"",IFERROR(INDEX(Produtos!$C$4:$C$4996,MATCH(D2042,Produtos!$B$4:$B$4996,0)),"Produto não encontrado"),"")</f>
        <v/>
      </c>
    </row>
    <row r="2043" spans="1:5" x14ac:dyDescent="0.3">
      <c r="A2043" s="21" t="str">
        <f t="shared" si="31"/>
        <v>.</v>
      </c>
      <c r="D2043" s="44"/>
      <c r="E2043" s="22" t="str">
        <f>IF(D2043&lt;&gt;"",IFERROR(INDEX(Produtos!$C$4:$C$4996,MATCH(D2043,Produtos!$B$4:$B$4996,0)),"Produto não encontrado"),"")</f>
        <v/>
      </c>
    </row>
    <row r="2044" spans="1:5" x14ac:dyDescent="0.3">
      <c r="A2044" s="21" t="str">
        <f t="shared" si="31"/>
        <v>.</v>
      </c>
      <c r="D2044" s="44"/>
      <c r="E2044" s="22" t="str">
        <f>IF(D2044&lt;&gt;"",IFERROR(INDEX(Produtos!$C$4:$C$4996,MATCH(D2044,Produtos!$B$4:$B$4996,0)),"Produto não encontrado"),"")</f>
        <v/>
      </c>
    </row>
    <row r="2045" spans="1:5" x14ac:dyDescent="0.3">
      <c r="A2045" s="21" t="str">
        <f t="shared" si="31"/>
        <v>.</v>
      </c>
      <c r="D2045" s="44"/>
      <c r="E2045" s="22" t="str">
        <f>IF(D2045&lt;&gt;"",IFERROR(INDEX(Produtos!$C$4:$C$4996,MATCH(D2045,Produtos!$B$4:$B$4996,0)),"Produto não encontrado"),"")</f>
        <v/>
      </c>
    </row>
    <row r="2046" spans="1:5" x14ac:dyDescent="0.3">
      <c r="A2046" s="21" t="str">
        <f t="shared" si="31"/>
        <v>.</v>
      </c>
      <c r="D2046" s="44"/>
      <c r="E2046" s="22" t="str">
        <f>IF(D2046&lt;&gt;"",IFERROR(INDEX(Produtos!$C$4:$C$4996,MATCH(D2046,Produtos!$B$4:$B$4996,0)),"Produto não encontrado"),"")</f>
        <v/>
      </c>
    </row>
    <row r="2047" spans="1:5" x14ac:dyDescent="0.3">
      <c r="A2047" s="21" t="str">
        <f t="shared" si="31"/>
        <v>.</v>
      </c>
      <c r="D2047" s="44"/>
      <c r="E2047" s="22" t="str">
        <f>IF(D2047&lt;&gt;"",IFERROR(INDEX(Produtos!$C$4:$C$4996,MATCH(D2047,Produtos!$B$4:$B$4996,0)),"Produto não encontrado"),"")</f>
        <v/>
      </c>
    </row>
    <row r="2048" spans="1:5" x14ac:dyDescent="0.3">
      <c r="A2048" s="21" t="str">
        <f t="shared" ref="A2048:A2111" si="32">IF(C2048="Entrada",2,IF(C2048="Saída",1,"."))</f>
        <v>.</v>
      </c>
      <c r="D2048" s="44"/>
      <c r="E2048" s="22" t="str">
        <f>IF(D2048&lt;&gt;"",IFERROR(INDEX(Produtos!$C$4:$C$4996,MATCH(D2048,Produtos!$B$4:$B$4996,0)),"Produto não encontrado"),"")</f>
        <v/>
      </c>
    </row>
    <row r="2049" spans="1:5" x14ac:dyDescent="0.3">
      <c r="A2049" s="21" t="str">
        <f t="shared" si="32"/>
        <v>.</v>
      </c>
      <c r="D2049" s="44"/>
      <c r="E2049" s="22" t="str">
        <f>IF(D2049&lt;&gt;"",IFERROR(INDEX(Produtos!$C$4:$C$4996,MATCH(D2049,Produtos!$B$4:$B$4996,0)),"Produto não encontrado"),"")</f>
        <v/>
      </c>
    </row>
    <row r="2050" spans="1:5" x14ac:dyDescent="0.3">
      <c r="A2050" s="21" t="str">
        <f t="shared" si="32"/>
        <v>.</v>
      </c>
      <c r="D2050" s="44"/>
      <c r="E2050" s="22" t="str">
        <f>IF(D2050&lt;&gt;"",IFERROR(INDEX(Produtos!$C$4:$C$4996,MATCH(D2050,Produtos!$B$4:$B$4996,0)),"Produto não encontrado"),"")</f>
        <v/>
      </c>
    </row>
    <row r="2051" spans="1:5" x14ac:dyDescent="0.3">
      <c r="A2051" s="21" t="str">
        <f t="shared" si="32"/>
        <v>.</v>
      </c>
      <c r="D2051" s="44"/>
      <c r="E2051" s="22" t="str">
        <f>IF(D2051&lt;&gt;"",IFERROR(INDEX(Produtos!$C$4:$C$4996,MATCH(D2051,Produtos!$B$4:$B$4996,0)),"Produto não encontrado"),"")</f>
        <v/>
      </c>
    </row>
    <row r="2052" spans="1:5" x14ac:dyDescent="0.3">
      <c r="A2052" s="21" t="str">
        <f t="shared" si="32"/>
        <v>.</v>
      </c>
      <c r="D2052" s="44"/>
      <c r="E2052" s="22" t="str">
        <f>IF(D2052&lt;&gt;"",IFERROR(INDEX(Produtos!$C$4:$C$4996,MATCH(D2052,Produtos!$B$4:$B$4996,0)),"Produto não encontrado"),"")</f>
        <v/>
      </c>
    </row>
    <row r="2053" spans="1:5" x14ac:dyDescent="0.3">
      <c r="A2053" s="21" t="str">
        <f t="shared" si="32"/>
        <v>.</v>
      </c>
      <c r="D2053" s="44"/>
      <c r="E2053" s="22" t="str">
        <f>IF(D2053&lt;&gt;"",IFERROR(INDEX(Produtos!$C$4:$C$4996,MATCH(D2053,Produtos!$B$4:$B$4996,0)),"Produto não encontrado"),"")</f>
        <v/>
      </c>
    </row>
    <row r="2054" spans="1:5" x14ac:dyDescent="0.3">
      <c r="A2054" s="21" t="str">
        <f t="shared" si="32"/>
        <v>.</v>
      </c>
      <c r="D2054" s="44"/>
      <c r="E2054" s="22" t="str">
        <f>IF(D2054&lt;&gt;"",IFERROR(INDEX(Produtos!$C$4:$C$4996,MATCH(D2054,Produtos!$B$4:$B$4996,0)),"Produto não encontrado"),"")</f>
        <v/>
      </c>
    </row>
    <row r="2055" spans="1:5" x14ac:dyDescent="0.3">
      <c r="A2055" s="21" t="str">
        <f t="shared" si="32"/>
        <v>.</v>
      </c>
      <c r="D2055" s="44"/>
      <c r="E2055" s="22" t="str">
        <f>IF(D2055&lt;&gt;"",IFERROR(INDEX(Produtos!$C$4:$C$4996,MATCH(D2055,Produtos!$B$4:$B$4996,0)),"Produto não encontrado"),"")</f>
        <v/>
      </c>
    </row>
    <row r="2056" spans="1:5" x14ac:dyDescent="0.3">
      <c r="A2056" s="21" t="str">
        <f t="shared" si="32"/>
        <v>.</v>
      </c>
      <c r="D2056" s="44"/>
      <c r="E2056" s="22" t="str">
        <f>IF(D2056&lt;&gt;"",IFERROR(INDEX(Produtos!$C$4:$C$4996,MATCH(D2056,Produtos!$B$4:$B$4996,0)),"Produto não encontrado"),"")</f>
        <v/>
      </c>
    </row>
    <row r="2057" spans="1:5" x14ac:dyDescent="0.3">
      <c r="A2057" s="21" t="str">
        <f t="shared" si="32"/>
        <v>.</v>
      </c>
      <c r="D2057" s="44"/>
      <c r="E2057" s="22" t="str">
        <f>IF(D2057&lt;&gt;"",IFERROR(INDEX(Produtos!$C$4:$C$4996,MATCH(D2057,Produtos!$B$4:$B$4996,0)),"Produto não encontrado"),"")</f>
        <v/>
      </c>
    </row>
    <row r="2058" spans="1:5" x14ac:dyDescent="0.3">
      <c r="A2058" s="21" t="str">
        <f t="shared" si="32"/>
        <v>.</v>
      </c>
      <c r="D2058" s="44"/>
      <c r="E2058" s="22" t="str">
        <f>IF(D2058&lt;&gt;"",IFERROR(INDEX(Produtos!$C$4:$C$4996,MATCH(D2058,Produtos!$B$4:$B$4996,0)),"Produto não encontrado"),"")</f>
        <v/>
      </c>
    </row>
    <row r="2059" spans="1:5" x14ac:dyDescent="0.3">
      <c r="A2059" s="21" t="str">
        <f t="shared" si="32"/>
        <v>.</v>
      </c>
      <c r="D2059" s="44"/>
      <c r="E2059" s="22" t="str">
        <f>IF(D2059&lt;&gt;"",IFERROR(INDEX(Produtos!$C$4:$C$4996,MATCH(D2059,Produtos!$B$4:$B$4996,0)),"Produto não encontrado"),"")</f>
        <v/>
      </c>
    </row>
    <row r="2060" spans="1:5" x14ac:dyDescent="0.3">
      <c r="A2060" s="21" t="str">
        <f t="shared" si="32"/>
        <v>.</v>
      </c>
      <c r="D2060" s="44"/>
      <c r="E2060" s="22" t="str">
        <f>IF(D2060&lt;&gt;"",IFERROR(INDEX(Produtos!$C$4:$C$4996,MATCH(D2060,Produtos!$B$4:$B$4996,0)),"Produto não encontrado"),"")</f>
        <v/>
      </c>
    </row>
    <row r="2061" spans="1:5" x14ac:dyDescent="0.3">
      <c r="A2061" s="21" t="str">
        <f t="shared" si="32"/>
        <v>.</v>
      </c>
      <c r="D2061" s="44"/>
      <c r="E2061" s="22" t="str">
        <f>IF(D2061&lt;&gt;"",IFERROR(INDEX(Produtos!$C$4:$C$4996,MATCH(D2061,Produtos!$B$4:$B$4996,0)),"Produto não encontrado"),"")</f>
        <v/>
      </c>
    </row>
    <row r="2062" spans="1:5" x14ac:dyDescent="0.3">
      <c r="A2062" s="21" t="str">
        <f t="shared" si="32"/>
        <v>.</v>
      </c>
      <c r="D2062" s="44"/>
      <c r="E2062" s="22" t="str">
        <f>IF(D2062&lt;&gt;"",IFERROR(INDEX(Produtos!$C$4:$C$4996,MATCH(D2062,Produtos!$B$4:$B$4996,0)),"Produto não encontrado"),"")</f>
        <v/>
      </c>
    </row>
    <row r="2063" spans="1:5" x14ac:dyDescent="0.3">
      <c r="A2063" s="21" t="str">
        <f t="shared" si="32"/>
        <v>.</v>
      </c>
      <c r="D2063" s="44"/>
      <c r="E2063" s="22" t="str">
        <f>IF(D2063&lt;&gt;"",IFERROR(INDEX(Produtos!$C$4:$C$4996,MATCH(D2063,Produtos!$B$4:$B$4996,0)),"Produto não encontrado"),"")</f>
        <v/>
      </c>
    </row>
    <row r="2064" spans="1:5" x14ac:dyDescent="0.3">
      <c r="A2064" s="21" t="str">
        <f t="shared" si="32"/>
        <v>.</v>
      </c>
      <c r="D2064" s="44"/>
      <c r="E2064" s="22" t="str">
        <f>IF(D2064&lt;&gt;"",IFERROR(INDEX(Produtos!$C$4:$C$4996,MATCH(D2064,Produtos!$B$4:$B$4996,0)),"Produto não encontrado"),"")</f>
        <v/>
      </c>
    </row>
    <row r="2065" spans="1:5" x14ac:dyDescent="0.3">
      <c r="A2065" s="21" t="str">
        <f t="shared" si="32"/>
        <v>.</v>
      </c>
      <c r="D2065" s="44"/>
      <c r="E2065" s="22" t="str">
        <f>IF(D2065&lt;&gt;"",IFERROR(INDEX(Produtos!$C$4:$C$4996,MATCH(D2065,Produtos!$B$4:$B$4996,0)),"Produto não encontrado"),"")</f>
        <v/>
      </c>
    </row>
    <row r="2066" spans="1:5" x14ac:dyDescent="0.3">
      <c r="A2066" s="21" t="str">
        <f t="shared" si="32"/>
        <v>.</v>
      </c>
      <c r="D2066" s="44"/>
      <c r="E2066" s="22" t="str">
        <f>IF(D2066&lt;&gt;"",IFERROR(INDEX(Produtos!$C$4:$C$4996,MATCH(D2066,Produtos!$B$4:$B$4996,0)),"Produto não encontrado"),"")</f>
        <v/>
      </c>
    </row>
    <row r="2067" spans="1:5" x14ac:dyDescent="0.3">
      <c r="A2067" s="21" t="str">
        <f t="shared" si="32"/>
        <v>.</v>
      </c>
      <c r="D2067" s="44"/>
      <c r="E2067" s="22" t="str">
        <f>IF(D2067&lt;&gt;"",IFERROR(INDEX(Produtos!$C$4:$C$4996,MATCH(D2067,Produtos!$B$4:$B$4996,0)),"Produto não encontrado"),"")</f>
        <v/>
      </c>
    </row>
    <row r="2068" spans="1:5" x14ac:dyDescent="0.3">
      <c r="A2068" s="21" t="str">
        <f t="shared" si="32"/>
        <v>.</v>
      </c>
      <c r="D2068" s="44"/>
      <c r="E2068" s="22" t="str">
        <f>IF(D2068&lt;&gt;"",IFERROR(INDEX(Produtos!$C$4:$C$4996,MATCH(D2068,Produtos!$B$4:$B$4996,0)),"Produto não encontrado"),"")</f>
        <v/>
      </c>
    </row>
    <row r="2069" spans="1:5" x14ac:dyDescent="0.3">
      <c r="A2069" s="21" t="str">
        <f t="shared" si="32"/>
        <v>.</v>
      </c>
      <c r="D2069" s="44"/>
      <c r="E2069" s="22" t="str">
        <f>IF(D2069&lt;&gt;"",IFERROR(INDEX(Produtos!$C$4:$C$4996,MATCH(D2069,Produtos!$B$4:$B$4996,0)),"Produto não encontrado"),"")</f>
        <v/>
      </c>
    </row>
    <row r="2070" spans="1:5" x14ac:dyDescent="0.3">
      <c r="A2070" s="21" t="str">
        <f t="shared" si="32"/>
        <v>.</v>
      </c>
      <c r="D2070" s="44"/>
      <c r="E2070" s="22" t="str">
        <f>IF(D2070&lt;&gt;"",IFERROR(INDEX(Produtos!$C$4:$C$4996,MATCH(D2070,Produtos!$B$4:$B$4996,0)),"Produto não encontrado"),"")</f>
        <v/>
      </c>
    </row>
    <row r="2071" spans="1:5" x14ac:dyDescent="0.3">
      <c r="A2071" s="21" t="str">
        <f t="shared" si="32"/>
        <v>.</v>
      </c>
      <c r="D2071" s="44"/>
      <c r="E2071" s="22" t="str">
        <f>IF(D2071&lt;&gt;"",IFERROR(INDEX(Produtos!$C$4:$C$4996,MATCH(D2071,Produtos!$B$4:$B$4996,0)),"Produto não encontrado"),"")</f>
        <v/>
      </c>
    </row>
    <row r="2072" spans="1:5" x14ac:dyDescent="0.3">
      <c r="A2072" s="21" t="str">
        <f t="shared" si="32"/>
        <v>.</v>
      </c>
      <c r="D2072" s="44"/>
      <c r="E2072" s="22" t="str">
        <f>IF(D2072&lt;&gt;"",IFERROR(INDEX(Produtos!$C$4:$C$4996,MATCH(D2072,Produtos!$B$4:$B$4996,0)),"Produto não encontrado"),"")</f>
        <v/>
      </c>
    </row>
    <row r="2073" spans="1:5" x14ac:dyDescent="0.3">
      <c r="A2073" s="21" t="str">
        <f t="shared" si="32"/>
        <v>.</v>
      </c>
      <c r="D2073" s="44"/>
      <c r="E2073" s="22" t="str">
        <f>IF(D2073&lt;&gt;"",IFERROR(INDEX(Produtos!$C$4:$C$4996,MATCH(D2073,Produtos!$B$4:$B$4996,0)),"Produto não encontrado"),"")</f>
        <v/>
      </c>
    </row>
    <row r="2074" spans="1:5" x14ac:dyDescent="0.3">
      <c r="A2074" s="21" t="str">
        <f t="shared" si="32"/>
        <v>.</v>
      </c>
      <c r="D2074" s="44"/>
      <c r="E2074" s="22" t="str">
        <f>IF(D2074&lt;&gt;"",IFERROR(INDEX(Produtos!$C$4:$C$4996,MATCH(D2074,Produtos!$B$4:$B$4996,0)),"Produto não encontrado"),"")</f>
        <v/>
      </c>
    </row>
    <row r="2075" spans="1:5" x14ac:dyDescent="0.3">
      <c r="A2075" s="21" t="str">
        <f t="shared" si="32"/>
        <v>.</v>
      </c>
      <c r="D2075" s="44"/>
      <c r="E2075" s="22" t="str">
        <f>IF(D2075&lt;&gt;"",IFERROR(INDEX(Produtos!$C$4:$C$4996,MATCH(D2075,Produtos!$B$4:$B$4996,0)),"Produto não encontrado"),"")</f>
        <v/>
      </c>
    </row>
    <row r="2076" spans="1:5" x14ac:dyDescent="0.3">
      <c r="A2076" s="21" t="str">
        <f t="shared" si="32"/>
        <v>.</v>
      </c>
      <c r="D2076" s="44"/>
      <c r="E2076" s="22" t="str">
        <f>IF(D2076&lt;&gt;"",IFERROR(INDEX(Produtos!$C$4:$C$4996,MATCH(D2076,Produtos!$B$4:$B$4996,0)),"Produto não encontrado"),"")</f>
        <v/>
      </c>
    </row>
    <row r="2077" spans="1:5" x14ac:dyDescent="0.3">
      <c r="A2077" s="21" t="str">
        <f t="shared" si="32"/>
        <v>.</v>
      </c>
      <c r="D2077" s="44"/>
      <c r="E2077" s="22" t="str">
        <f>IF(D2077&lt;&gt;"",IFERROR(INDEX(Produtos!$C$4:$C$4996,MATCH(D2077,Produtos!$B$4:$B$4996,0)),"Produto não encontrado"),"")</f>
        <v/>
      </c>
    </row>
    <row r="2078" spans="1:5" x14ac:dyDescent="0.3">
      <c r="A2078" s="21" t="str">
        <f t="shared" si="32"/>
        <v>.</v>
      </c>
      <c r="D2078" s="44"/>
      <c r="E2078" s="22" t="str">
        <f>IF(D2078&lt;&gt;"",IFERROR(INDEX(Produtos!$C$4:$C$4996,MATCH(D2078,Produtos!$B$4:$B$4996,0)),"Produto não encontrado"),"")</f>
        <v/>
      </c>
    </row>
    <row r="2079" spans="1:5" x14ac:dyDescent="0.3">
      <c r="A2079" s="21" t="str">
        <f t="shared" si="32"/>
        <v>.</v>
      </c>
      <c r="D2079" s="44"/>
      <c r="E2079" s="22" t="str">
        <f>IF(D2079&lt;&gt;"",IFERROR(INDEX(Produtos!$C$4:$C$4996,MATCH(D2079,Produtos!$B$4:$B$4996,0)),"Produto não encontrado"),"")</f>
        <v/>
      </c>
    </row>
    <row r="2080" spans="1:5" x14ac:dyDescent="0.3">
      <c r="A2080" s="21" t="str">
        <f t="shared" si="32"/>
        <v>.</v>
      </c>
      <c r="D2080" s="44"/>
      <c r="E2080" s="22" t="str">
        <f>IF(D2080&lt;&gt;"",IFERROR(INDEX(Produtos!$C$4:$C$4996,MATCH(D2080,Produtos!$B$4:$B$4996,0)),"Produto não encontrado"),"")</f>
        <v/>
      </c>
    </row>
    <row r="2081" spans="1:5" x14ac:dyDescent="0.3">
      <c r="A2081" s="21" t="str">
        <f t="shared" si="32"/>
        <v>.</v>
      </c>
      <c r="D2081" s="44"/>
      <c r="E2081" s="22" t="str">
        <f>IF(D2081&lt;&gt;"",IFERROR(INDEX(Produtos!$C$4:$C$4996,MATCH(D2081,Produtos!$B$4:$B$4996,0)),"Produto não encontrado"),"")</f>
        <v/>
      </c>
    </row>
    <row r="2082" spans="1:5" x14ac:dyDescent="0.3">
      <c r="A2082" s="21" t="str">
        <f t="shared" si="32"/>
        <v>.</v>
      </c>
      <c r="D2082" s="44"/>
      <c r="E2082" s="22" t="str">
        <f>IF(D2082&lt;&gt;"",IFERROR(INDEX(Produtos!$C$4:$C$4996,MATCH(D2082,Produtos!$B$4:$B$4996,0)),"Produto não encontrado"),"")</f>
        <v/>
      </c>
    </row>
    <row r="2083" spans="1:5" x14ac:dyDescent="0.3">
      <c r="A2083" s="21" t="str">
        <f t="shared" si="32"/>
        <v>.</v>
      </c>
      <c r="D2083" s="44"/>
      <c r="E2083" s="22" t="str">
        <f>IF(D2083&lt;&gt;"",IFERROR(INDEX(Produtos!$C$4:$C$4996,MATCH(D2083,Produtos!$B$4:$B$4996,0)),"Produto não encontrado"),"")</f>
        <v/>
      </c>
    </row>
    <row r="2084" spans="1:5" x14ac:dyDescent="0.3">
      <c r="A2084" s="21" t="str">
        <f t="shared" si="32"/>
        <v>.</v>
      </c>
      <c r="D2084" s="44"/>
      <c r="E2084" s="22" t="str">
        <f>IF(D2084&lt;&gt;"",IFERROR(INDEX(Produtos!$C$4:$C$4996,MATCH(D2084,Produtos!$B$4:$B$4996,0)),"Produto não encontrado"),"")</f>
        <v/>
      </c>
    </row>
    <row r="2085" spans="1:5" x14ac:dyDescent="0.3">
      <c r="A2085" s="21" t="str">
        <f t="shared" si="32"/>
        <v>.</v>
      </c>
      <c r="D2085" s="44"/>
      <c r="E2085" s="22" t="str">
        <f>IF(D2085&lt;&gt;"",IFERROR(INDEX(Produtos!$C$4:$C$4996,MATCH(D2085,Produtos!$B$4:$B$4996,0)),"Produto não encontrado"),"")</f>
        <v/>
      </c>
    </row>
    <row r="2086" spans="1:5" x14ac:dyDescent="0.3">
      <c r="A2086" s="21" t="str">
        <f t="shared" si="32"/>
        <v>.</v>
      </c>
      <c r="D2086" s="44"/>
      <c r="E2086" s="22" t="str">
        <f>IF(D2086&lt;&gt;"",IFERROR(INDEX(Produtos!$C$4:$C$4996,MATCH(D2086,Produtos!$B$4:$B$4996,0)),"Produto não encontrado"),"")</f>
        <v/>
      </c>
    </row>
    <row r="2087" spans="1:5" x14ac:dyDescent="0.3">
      <c r="A2087" s="21" t="str">
        <f t="shared" si="32"/>
        <v>.</v>
      </c>
      <c r="D2087" s="44"/>
      <c r="E2087" s="22" t="str">
        <f>IF(D2087&lt;&gt;"",IFERROR(INDEX(Produtos!$C$4:$C$4996,MATCH(D2087,Produtos!$B$4:$B$4996,0)),"Produto não encontrado"),"")</f>
        <v/>
      </c>
    </row>
    <row r="2088" spans="1:5" x14ac:dyDescent="0.3">
      <c r="A2088" s="21" t="str">
        <f t="shared" si="32"/>
        <v>.</v>
      </c>
      <c r="D2088" s="44"/>
      <c r="E2088" s="22" t="str">
        <f>IF(D2088&lt;&gt;"",IFERROR(INDEX(Produtos!$C$4:$C$4996,MATCH(D2088,Produtos!$B$4:$B$4996,0)),"Produto não encontrado"),"")</f>
        <v/>
      </c>
    </row>
    <row r="2089" spans="1:5" x14ac:dyDescent="0.3">
      <c r="A2089" s="21" t="str">
        <f t="shared" si="32"/>
        <v>.</v>
      </c>
      <c r="D2089" s="44"/>
      <c r="E2089" s="22" t="str">
        <f>IF(D2089&lt;&gt;"",IFERROR(INDEX(Produtos!$C$4:$C$4996,MATCH(D2089,Produtos!$B$4:$B$4996,0)),"Produto não encontrado"),"")</f>
        <v/>
      </c>
    </row>
    <row r="2090" spans="1:5" x14ac:dyDescent="0.3">
      <c r="A2090" s="21" t="str">
        <f t="shared" si="32"/>
        <v>.</v>
      </c>
      <c r="D2090" s="44"/>
      <c r="E2090" s="22" t="str">
        <f>IF(D2090&lt;&gt;"",IFERROR(INDEX(Produtos!$C$4:$C$4996,MATCH(D2090,Produtos!$B$4:$B$4996,0)),"Produto não encontrado"),"")</f>
        <v/>
      </c>
    </row>
    <row r="2091" spans="1:5" x14ac:dyDescent="0.3">
      <c r="A2091" s="21" t="str">
        <f t="shared" si="32"/>
        <v>.</v>
      </c>
      <c r="D2091" s="44"/>
      <c r="E2091" s="22" t="str">
        <f>IF(D2091&lt;&gt;"",IFERROR(INDEX(Produtos!$C$4:$C$4996,MATCH(D2091,Produtos!$B$4:$B$4996,0)),"Produto não encontrado"),"")</f>
        <v/>
      </c>
    </row>
    <row r="2092" spans="1:5" x14ac:dyDescent="0.3">
      <c r="A2092" s="21" t="str">
        <f t="shared" si="32"/>
        <v>.</v>
      </c>
      <c r="D2092" s="44"/>
      <c r="E2092" s="22" t="str">
        <f>IF(D2092&lt;&gt;"",IFERROR(INDEX(Produtos!$C$4:$C$4996,MATCH(D2092,Produtos!$B$4:$B$4996,0)),"Produto não encontrado"),"")</f>
        <v/>
      </c>
    </row>
    <row r="2093" spans="1:5" x14ac:dyDescent="0.3">
      <c r="A2093" s="21" t="str">
        <f t="shared" si="32"/>
        <v>.</v>
      </c>
      <c r="D2093" s="44"/>
      <c r="E2093" s="22" t="str">
        <f>IF(D2093&lt;&gt;"",IFERROR(INDEX(Produtos!$C$4:$C$4996,MATCH(D2093,Produtos!$B$4:$B$4996,0)),"Produto não encontrado"),"")</f>
        <v/>
      </c>
    </row>
    <row r="2094" spans="1:5" x14ac:dyDescent="0.3">
      <c r="A2094" s="21" t="str">
        <f t="shared" si="32"/>
        <v>.</v>
      </c>
      <c r="D2094" s="44"/>
      <c r="E2094" s="22" t="str">
        <f>IF(D2094&lt;&gt;"",IFERROR(INDEX(Produtos!$C$4:$C$4996,MATCH(D2094,Produtos!$B$4:$B$4996,0)),"Produto não encontrado"),"")</f>
        <v/>
      </c>
    </row>
    <row r="2095" spans="1:5" x14ac:dyDescent="0.3">
      <c r="A2095" s="21" t="str">
        <f t="shared" si="32"/>
        <v>.</v>
      </c>
      <c r="D2095" s="44"/>
      <c r="E2095" s="22" t="str">
        <f>IF(D2095&lt;&gt;"",IFERROR(INDEX(Produtos!$C$4:$C$4996,MATCH(D2095,Produtos!$B$4:$B$4996,0)),"Produto não encontrado"),"")</f>
        <v/>
      </c>
    </row>
    <row r="2096" spans="1:5" x14ac:dyDescent="0.3">
      <c r="A2096" s="21" t="str">
        <f t="shared" si="32"/>
        <v>.</v>
      </c>
      <c r="D2096" s="44"/>
      <c r="E2096" s="22" t="str">
        <f>IF(D2096&lt;&gt;"",IFERROR(INDEX(Produtos!$C$4:$C$4996,MATCH(D2096,Produtos!$B$4:$B$4996,0)),"Produto não encontrado"),"")</f>
        <v/>
      </c>
    </row>
    <row r="2097" spans="1:5" x14ac:dyDescent="0.3">
      <c r="A2097" s="21" t="str">
        <f t="shared" si="32"/>
        <v>.</v>
      </c>
      <c r="D2097" s="44"/>
      <c r="E2097" s="22" t="str">
        <f>IF(D2097&lt;&gt;"",IFERROR(INDEX(Produtos!$C$4:$C$4996,MATCH(D2097,Produtos!$B$4:$B$4996,0)),"Produto não encontrado"),"")</f>
        <v/>
      </c>
    </row>
    <row r="2098" spans="1:5" x14ac:dyDescent="0.3">
      <c r="A2098" s="21" t="str">
        <f t="shared" si="32"/>
        <v>.</v>
      </c>
      <c r="D2098" s="44"/>
      <c r="E2098" s="22" t="str">
        <f>IF(D2098&lt;&gt;"",IFERROR(INDEX(Produtos!$C$4:$C$4996,MATCH(D2098,Produtos!$B$4:$B$4996,0)),"Produto não encontrado"),"")</f>
        <v/>
      </c>
    </row>
    <row r="2099" spans="1:5" x14ac:dyDescent="0.3">
      <c r="A2099" s="21" t="str">
        <f t="shared" si="32"/>
        <v>.</v>
      </c>
      <c r="D2099" s="44"/>
      <c r="E2099" s="22" t="str">
        <f>IF(D2099&lt;&gt;"",IFERROR(INDEX(Produtos!$C$4:$C$4996,MATCH(D2099,Produtos!$B$4:$B$4996,0)),"Produto não encontrado"),"")</f>
        <v/>
      </c>
    </row>
    <row r="2100" spans="1:5" x14ac:dyDescent="0.3">
      <c r="A2100" s="21" t="str">
        <f t="shared" si="32"/>
        <v>.</v>
      </c>
      <c r="D2100" s="44"/>
      <c r="E2100" s="22" t="str">
        <f>IF(D2100&lt;&gt;"",IFERROR(INDEX(Produtos!$C$4:$C$4996,MATCH(D2100,Produtos!$B$4:$B$4996,0)),"Produto não encontrado"),"")</f>
        <v/>
      </c>
    </row>
    <row r="2101" spans="1:5" x14ac:dyDescent="0.3">
      <c r="A2101" s="21" t="str">
        <f t="shared" si="32"/>
        <v>.</v>
      </c>
      <c r="D2101" s="44"/>
      <c r="E2101" s="22" t="str">
        <f>IF(D2101&lt;&gt;"",IFERROR(INDEX(Produtos!$C$4:$C$4996,MATCH(D2101,Produtos!$B$4:$B$4996,0)),"Produto não encontrado"),"")</f>
        <v/>
      </c>
    </row>
    <row r="2102" spans="1:5" x14ac:dyDescent="0.3">
      <c r="A2102" s="21" t="str">
        <f t="shared" si="32"/>
        <v>.</v>
      </c>
      <c r="D2102" s="44"/>
      <c r="E2102" s="22" t="str">
        <f>IF(D2102&lt;&gt;"",IFERROR(INDEX(Produtos!$C$4:$C$4996,MATCH(D2102,Produtos!$B$4:$B$4996,0)),"Produto não encontrado"),"")</f>
        <v/>
      </c>
    </row>
    <row r="2103" spans="1:5" x14ac:dyDescent="0.3">
      <c r="A2103" s="21" t="str">
        <f t="shared" si="32"/>
        <v>.</v>
      </c>
      <c r="D2103" s="44"/>
      <c r="E2103" s="22" t="str">
        <f>IF(D2103&lt;&gt;"",IFERROR(INDEX(Produtos!$C$4:$C$4996,MATCH(D2103,Produtos!$B$4:$B$4996,0)),"Produto não encontrado"),"")</f>
        <v/>
      </c>
    </row>
    <row r="2104" spans="1:5" x14ac:dyDescent="0.3">
      <c r="A2104" s="21" t="str">
        <f t="shared" si="32"/>
        <v>.</v>
      </c>
      <c r="D2104" s="44"/>
      <c r="E2104" s="22" t="str">
        <f>IF(D2104&lt;&gt;"",IFERROR(INDEX(Produtos!$C$4:$C$4996,MATCH(D2104,Produtos!$B$4:$B$4996,0)),"Produto não encontrado"),"")</f>
        <v/>
      </c>
    </row>
    <row r="2105" spans="1:5" x14ac:dyDescent="0.3">
      <c r="A2105" s="21" t="str">
        <f t="shared" si="32"/>
        <v>.</v>
      </c>
      <c r="D2105" s="44"/>
      <c r="E2105" s="22" t="str">
        <f>IF(D2105&lt;&gt;"",IFERROR(INDEX(Produtos!$C$4:$C$4996,MATCH(D2105,Produtos!$B$4:$B$4996,0)),"Produto não encontrado"),"")</f>
        <v/>
      </c>
    </row>
    <row r="2106" spans="1:5" x14ac:dyDescent="0.3">
      <c r="A2106" s="21" t="str">
        <f t="shared" si="32"/>
        <v>.</v>
      </c>
      <c r="D2106" s="44"/>
      <c r="E2106" s="22" t="str">
        <f>IF(D2106&lt;&gt;"",IFERROR(INDEX(Produtos!$C$4:$C$4996,MATCH(D2106,Produtos!$B$4:$B$4996,0)),"Produto não encontrado"),"")</f>
        <v/>
      </c>
    </row>
    <row r="2107" spans="1:5" x14ac:dyDescent="0.3">
      <c r="A2107" s="21" t="str">
        <f t="shared" si="32"/>
        <v>.</v>
      </c>
      <c r="D2107" s="44"/>
      <c r="E2107" s="22" t="str">
        <f>IF(D2107&lt;&gt;"",IFERROR(INDEX(Produtos!$C$4:$C$4996,MATCH(D2107,Produtos!$B$4:$B$4996,0)),"Produto não encontrado"),"")</f>
        <v/>
      </c>
    </row>
    <row r="2108" spans="1:5" x14ac:dyDescent="0.3">
      <c r="A2108" s="21" t="str">
        <f t="shared" si="32"/>
        <v>.</v>
      </c>
      <c r="D2108" s="44"/>
      <c r="E2108" s="22" t="str">
        <f>IF(D2108&lt;&gt;"",IFERROR(INDEX(Produtos!$C$4:$C$4996,MATCH(D2108,Produtos!$B$4:$B$4996,0)),"Produto não encontrado"),"")</f>
        <v/>
      </c>
    </row>
    <row r="2109" spans="1:5" x14ac:dyDescent="0.3">
      <c r="A2109" s="21" t="str">
        <f t="shared" si="32"/>
        <v>.</v>
      </c>
      <c r="D2109" s="44"/>
      <c r="E2109" s="22" t="str">
        <f>IF(D2109&lt;&gt;"",IFERROR(INDEX(Produtos!$C$4:$C$4996,MATCH(D2109,Produtos!$B$4:$B$4996,0)),"Produto não encontrado"),"")</f>
        <v/>
      </c>
    </row>
    <row r="2110" spans="1:5" x14ac:dyDescent="0.3">
      <c r="A2110" s="21" t="str">
        <f t="shared" si="32"/>
        <v>.</v>
      </c>
      <c r="D2110" s="44"/>
      <c r="E2110" s="22" t="str">
        <f>IF(D2110&lt;&gt;"",IFERROR(INDEX(Produtos!$C$4:$C$4996,MATCH(D2110,Produtos!$B$4:$B$4996,0)),"Produto não encontrado"),"")</f>
        <v/>
      </c>
    </row>
    <row r="2111" spans="1:5" x14ac:dyDescent="0.3">
      <c r="A2111" s="21" t="str">
        <f t="shared" si="32"/>
        <v>.</v>
      </c>
      <c r="D2111" s="44"/>
      <c r="E2111" s="22" t="str">
        <f>IF(D2111&lt;&gt;"",IFERROR(INDEX(Produtos!$C$4:$C$4996,MATCH(D2111,Produtos!$B$4:$B$4996,0)),"Produto não encontrado"),"")</f>
        <v/>
      </c>
    </row>
    <row r="2112" spans="1:5" x14ac:dyDescent="0.3">
      <c r="A2112" s="21" t="str">
        <f t="shared" ref="A2112:A2175" si="33">IF(C2112="Entrada",2,IF(C2112="Saída",1,"."))</f>
        <v>.</v>
      </c>
      <c r="D2112" s="44"/>
      <c r="E2112" s="22" t="str">
        <f>IF(D2112&lt;&gt;"",IFERROR(INDEX(Produtos!$C$4:$C$4996,MATCH(D2112,Produtos!$B$4:$B$4996,0)),"Produto não encontrado"),"")</f>
        <v/>
      </c>
    </row>
    <row r="2113" spans="1:5" x14ac:dyDescent="0.3">
      <c r="A2113" s="21" t="str">
        <f t="shared" si="33"/>
        <v>.</v>
      </c>
      <c r="D2113" s="44"/>
      <c r="E2113" s="22" t="str">
        <f>IF(D2113&lt;&gt;"",IFERROR(INDEX(Produtos!$C$4:$C$4996,MATCH(D2113,Produtos!$B$4:$B$4996,0)),"Produto não encontrado"),"")</f>
        <v/>
      </c>
    </row>
    <row r="2114" spans="1:5" x14ac:dyDescent="0.3">
      <c r="A2114" s="21" t="str">
        <f t="shared" si="33"/>
        <v>.</v>
      </c>
      <c r="D2114" s="44"/>
      <c r="E2114" s="22" t="str">
        <f>IF(D2114&lt;&gt;"",IFERROR(INDEX(Produtos!$C$4:$C$4996,MATCH(D2114,Produtos!$B$4:$B$4996,0)),"Produto não encontrado"),"")</f>
        <v/>
      </c>
    </row>
    <row r="2115" spans="1:5" x14ac:dyDescent="0.3">
      <c r="A2115" s="21" t="str">
        <f t="shared" si="33"/>
        <v>.</v>
      </c>
      <c r="D2115" s="44"/>
      <c r="E2115" s="22" t="str">
        <f>IF(D2115&lt;&gt;"",IFERROR(INDEX(Produtos!$C$4:$C$4996,MATCH(D2115,Produtos!$B$4:$B$4996,0)),"Produto não encontrado"),"")</f>
        <v/>
      </c>
    </row>
    <row r="2116" spans="1:5" x14ac:dyDescent="0.3">
      <c r="A2116" s="21" t="str">
        <f t="shared" si="33"/>
        <v>.</v>
      </c>
      <c r="D2116" s="44"/>
      <c r="E2116" s="22" t="str">
        <f>IF(D2116&lt;&gt;"",IFERROR(INDEX(Produtos!$C$4:$C$4996,MATCH(D2116,Produtos!$B$4:$B$4996,0)),"Produto não encontrado"),"")</f>
        <v/>
      </c>
    </row>
    <row r="2117" spans="1:5" x14ac:dyDescent="0.3">
      <c r="A2117" s="21" t="str">
        <f t="shared" si="33"/>
        <v>.</v>
      </c>
      <c r="D2117" s="44"/>
      <c r="E2117" s="22" t="str">
        <f>IF(D2117&lt;&gt;"",IFERROR(INDEX(Produtos!$C$4:$C$4996,MATCH(D2117,Produtos!$B$4:$B$4996,0)),"Produto não encontrado"),"")</f>
        <v/>
      </c>
    </row>
    <row r="2118" spans="1:5" x14ac:dyDescent="0.3">
      <c r="A2118" s="21" t="str">
        <f t="shared" si="33"/>
        <v>.</v>
      </c>
      <c r="D2118" s="44"/>
      <c r="E2118" s="22" t="str">
        <f>IF(D2118&lt;&gt;"",IFERROR(INDEX(Produtos!$C$4:$C$4996,MATCH(D2118,Produtos!$B$4:$B$4996,0)),"Produto não encontrado"),"")</f>
        <v/>
      </c>
    </row>
    <row r="2119" spans="1:5" x14ac:dyDescent="0.3">
      <c r="A2119" s="21" t="str">
        <f t="shared" si="33"/>
        <v>.</v>
      </c>
      <c r="D2119" s="44"/>
      <c r="E2119" s="22" t="str">
        <f>IF(D2119&lt;&gt;"",IFERROR(INDEX(Produtos!$C$4:$C$4996,MATCH(D2119,Produtos!$B$4:$B$4996,0)),"Produto não encontrado"),"")</f>
        <v/>
      </c>
    </row>
    <row r="2120" spans="1:5" x14ac:dyDescent="0.3">
      <c r="A2120" s="21" t="str">
        <f t="shared" si="33"/>
        <v>.</v>
      </c>
      <c r="D2120" s="44"/>
      <c r="E2120" s="22" t="str">
        <f>IF(D2120&lt;&gt;"",IFERROR(INDEX(Produtos!$C$4:$C$4996,MATCH(D2120,Produtos!$B$4:$B$4996,0)),"Produto não encontrado"),"")</f>
        <v/>
      </c>
    </row>
    <row r="2121" spans="1:5" x14ac:dyDescent="0.3">
      <c r="A2121" s="21" t="str">
        <f t="shared" si="33"/>
        <v>.</v>
      </c>
      <c r="D2121" s="44"/>
      <c r="E2121" s="22" t="str">
        <f>IF(D2121&lt;&gt;"",IFERROR(INDEX(Produtos!$C$4:$C$4996,MATCH(D2121,Produtos!$B$4:$B$4996,0)),"Produto não encontrado"),"")</f>
        <v/>
      </c>
    </row>
    <row r="2122" spans="1:5" x14ac:dyDescent="0.3">
      <c r="A2122" s="21" t="str">
        <f t="shared" si="33"/>
        <v>.</v>
      </c>
      <c r="D2122" s="44"/>
      <c r="E2122" s="22" t="str">
        <f>IF(D2122&lt;&gt;"",IFERROR(INDEX(Produtos!$C$4:$C$4996,MATCH(D2122,Produtos!$B$4:$B$4996,0)),"Produto não encontrado"),"")</f>
        <v/>
      </c>
    </row>
    <row r="2123" spans="1:5" x14ac:dyDescent="0.3">
      <c r="A2123" s="21" t="str">
        <f t="shared" si="33"/>
        <v>.</v>
      </c>
      <c r="D2123" s="44"/>
      <c r="E2123" s="22" t="str">
        <f>IF(D2123&lt;&gt;"",IFERROR(INDEX(Produtos!$C$4:$C$4996,MATCH(D2123,Produtos!$B$4:$B$4996,0)),"Produto não encontrado"),"")</f>
        <v/>
      </c>
    </row>
    <row r="2124" spans="1:5" x14ac:dyDescent="0.3">
      <c r="A2124" s="21" t="str">
        <f t="shared" si="33"/>
        <v>.</v>
      </c>
      <c r="D2124" s="44"/>
      <c r="E2124" s="22" t="str">
        <f>IF(D2124&lt;&gt;"",IFERROR(INDEX(Produtos!$C$4:$C$4996,MATCH(D2124,Produtos!$B$4:$B$4996,0)),"Produto não encontrado"),"")</f>
        <v/>
      </c>
    </row>
    <row r="2125" spans="1:5" x14ac:dyDescent="0.3">
      <c r="A2125" s="21" t="str">
        <f t="shared" si="33"/>
        <v>.</v>
      </c>
      <c r="D2125" s="44"/>
      <c r="E2125" s="22" t="str">
        <f>IF(D2125&lt;&gt;"",IFERROR(INDEX(Produtos!$C$4:$C$4996,MATCH(D2125,Produtos!$B$4:$B$4996,0)),"Produto não encontrado"),"")</f>
        <v/>
      </c>
    </row>
    <row r="2126" spans="1:5" x14ac:dyDescent="0.3">
      <c r="A2126" s="21" t="str">
        <f t="shared" si="33"/>
        <v>.</v>
      </c>
      <c r="D2126" s="44"/>
      <c r="E2126" s="22" t="str">
        <f>IF(D2126&lt;&gt;"",IFERROR(INDEX(Produtos!$C$4:$C$4996,MATCH(D2126,Produtos!$B$4:$B$4996,0)),"Produto não encontrado"),"")</f>
        <v/>
      </c>
    </row>
    <row r="2127" spans="1:5" x14ac:dyDescent="0.3">
      <c r="A2127" s="21" t="str">
        <f t="shared" si="33"/>
        <v>.</v>
      </c>
      <c r="D2127" s="44"/>
      <c r="E2127" s="22" t="str">
        <f>IF(D2127&lt;&gt;"",IFERROR(INDEX(Produtos!$C$4:$C$4996,MATCH(D2127,Produtos!$B$4:$B$4996,0)),"Produto não encontrado"),"")</f>
        <v/>
      </c>
    </row>
    <row r="2128" spans="1:5" x14ac:dyDescent="0.3">
      <c r="A2128" s="21" t="str">
        <f t="shared" si="33"/>
        <v>.</v>
      </c>
      <c r="D2128" s="44"/>
      <c r="E2128" s="22" t="str">
        <f>IF(D2128&lt;&gt;"",IFERROR(INDEX(Produtos!$C$4:$C$4996,MATCH(D2128,Produtos!$B$4:$B$4996,0)),"Produto não encontrado"),"")</f>
        <v/>
      </c>
    </row>
    <row r="2129" spans="1:5" x14ac:dyDescent="0.3">
      <c r="A2129" s="21" t="str">
        <f t="shared" si="33"/>
        <v>.</v>
      </c>
      <c r="D2129" s="44"/>
      <c r="E2129" s="22" t="str">
        <f>IF(D2129&lt;&gt;"",IFERROR(INDEX(Produtos!$C$4:$C$4996,MATCH(D2129,Produtos!$B$4:$B$4996,0)),"Produto não encontrado"),"")</f>
        <v/>
      </c>
    </row>
    <row r="2130" spans="1:5" x14ac:dyDescent="0.3">
      <c r="A2130" s="21" t="str">
        <f t="shared" si="33"/>
        <v>.</v>
      </c>
      <c r="D2130" s="44"/>
      <c r="E2130" s="22" t="str">
        <f>IF(D2130&lt;&gt;"",IFERROR(INDEX(Produtos!$C$4:$C$4996,MATCH(D2130,Produtos!$B$4:$B$4996,0)),"Produto não encontrado"),"")</f>
        <v/>
      </c>
    </row>
    <row r="2131" spans="1:5" x14ac:dyDescent="0.3">
      <c r="A2131" s="21" t="str">
        <f t="shared" si="33"/>
        <v>.</v>
      </c>
      <c r="D2131" s="44"/>
      <c r="E2131" s="22" t="str">
        <f>IF(D2131&lt;&gt;"",IFERROR(INDEX(Produtos!$C$4:$C$4996,MATCH(D2131,Produtos!$B$4:$B$4996,0)),"Produto não encontrado"),"")</f>
        <v/>
      </c>
    </row>
    <row r="2132" spans="1:5" x14ac:dyDescent="0.3">
      <c r="A2132" s="21" t="str">
        <f t="shared" si="33"/>
        <v>.</v>
      </c>
      <c r="D2132" s="44"/>
      <c r="E2132" s="22" t="str">
        <f>IF(D2132&lt;&gt;"",IFERROR(INDEX(Produtos!$C$4:$C$4996,MATCH(D2132,Produtos!$B$4:$B$4996,0)),"Produto não encontrado"),"")</f>
        <v/>
      </c>
    </row>
    <row r="2133" spans="1:5" x14ac:dyDescent="0.3">
      <c r="A2133" s="21" t="str">
        <f t="shared" si="33"/>
        <v>.</v>
      </c>
      <c r="D2133" s="44"/>
      <c r="E2133" s="22" t="str">
        <f>IF(D2133&lt;&gt;"",IFERROR(INDEX(Produtos!$C$4:$C$4996,MATCH(D2133,Produtos!$B$4:$B$4996,0)),"Produto não encontrado"),"")</f>
        <v/>
      </c>
    </row>
    <row r="2134" spans="1:5" x14ac:dyDescent="0.3">
      <c r="A2134" s="21" t="str">
        <f t="shared" si="33"/>
        <v>.</v>
      </c>
      <c r="D2134" s="44"/>
      <c r="E2134" s="22" t="str">
        <f>IF(D2134&lt;&gt;"",IFERROR(INDEX(Produtos!$C$4:$C$4996,MATCH(D2134,Produtos!$B$4:$B$4996,0)),"Produto não encontrado"),"")</f>
        <v/>
      </c>
    </row>
    <row r="2135" spans="1:5" x14ac:dyDescent="0.3">
      <c r="A2135" s="21" t="str">
        <f t="shared" si="33"/>
        <v>.</v>
      </c>
      <c r="D2135" s="44"/>
      <c r="E2135" s="22" t="str">
        <f>IF(D2135&lt;&gt;"",IFERROR(INDEX(Produtos!$C$4:$C$4996,MATCH(D2135,Produtos!$B$4:$B$4996,0)),"Produto não encontrado"),"")</f>
        <v/>
      </c>
    </row>
    <row r="2136" spans="1:5" x14ac:dyDescent="0.3">
      <c r="A2136" s="21" t="str">
        <f t="shared" si="33"/>
        <v>.</v>
      </c>
      <c r="D2136" s="44"/>
      <c r="E2136" s="22" t="str">
        <f>IF(D2136&lt;&gt;"",IFERROR(INDEX(Produtos!$C$4:$C$4996,MATCH(D2136,Produtos!$B$4:$B$4996,0)),"Produto não encontrado"),"")</f>
        <v/>
      </c>
    </row>
    <row r="2137" spans="1:5" x14ac:dyDescent="0.3">
      <c r="A2137" s="21" t="str">
        <f t="shared" si="33"/>
        <v>.</v>
      </c>
      <c r="D2137" s="44"/>
      <c r="E2137" s="22" t="str">
        <f>IF(D2137&lt;&gt;"",IFERROR(INDEX(Produtos!$C$4:$C$4996,MATCH(D2137,Produtos!$B$4:$B$4996,0)),"Produto não encontrado"),"")</f>
        <v/>
      </c>
    </row>
    <row r="2138" spans="1:5" x14ac:dyDescent="0.3">
      <c r="A2138" s="21" t="str">
        <f t="shared" si="33"/>
        <v>.</v>
      </c>
      <c r="D2138" s="44"/>
      <c r="E2138" s="22" t="str">
        <f>IF(D2138&lt;&gt;"",IFERROR(INDEX(Produtos!$C$4:$C$4996,MATCH(D2138,Produtos!$B$4:$B$4996,0)),"Produto não encontrado"),"")</f>
        <v/>
      </c>
    </row>
    <row r="2139" spans="1:5" x14ac:dyDescent="0.3">
      <c r="A2139" s="21" t="str">
        <f t="shared" si="33"/>
        <v>.</v>
      </c>
      <c r="D2139" s="44"/>
      <c r="E2139" s="22" t="str">
        <f>IF(D2139&lt;&gt;"",IFERROR(INDEX(Produtos!$C$4:$C$4996,MATCH(D2139,Produtos!$B$4:$B$4996,0)),"Produto não encontrado"),"")</f>
        <v/>
      </c>
    </row>
    <row r="2140" spans="1:5" x14ac:dyDescent="0.3">
      <c r="A2140" s="21" t="str">
        <f t="shared" si="33"/>
        <v>.</v>
      </c>
      <c r="D2140" s="44"/>
      <c r="E2140" s="22" t="str">
        <f>IF(D2140&lt;&gt;"",IFERROR(INDEX(Produtos!$C$4:$C$4996,MATCH(D2140,Produtos!$B$4:$B$4996,0)),"Produto não encontrado"),"")</f>
        <v/>
      </c>
    </row>
    <row r="2141" spans="1:5" x14ac:dyDescent="0.3">
      <c r="A2141" s="21" t="str">
        <f t="shared" si="33"/>
        <v>.</v>
      </c>
      <c r="D2141" s="44"/>
      <c r="E2141" s="22" t="str">
        <f>IF(D2141&lt;&gt;"",IFERROR(INDEX(Produtos!$C$4:$C$4996,MATCH(D2141,Produtos!$B$4:$B$4996,0)),"Produto não encontrado"),"")</f>
        <v/>
      </c>
    </row>
    <row r="2142" spans="1:5" x14ac:dyDescent="0.3">
      <c r="A2142" s="21" t="str">
        <f t="shared" si="33"/>
        <v>.</v>
      </c>
      <c r="D2142" s="44"/>
      <c r="E2142" s="22" t="str">
        <f>IF(D2142&lt;&gt;"",IFERROR(INDEX(Produtos!$C$4:$C$4996,MATCH(D2142,Produtos!$B$4:$B$4996,0)),"Produto não encontrado"),"")</f>
        <v/>
      </c>
    </row>
    <row r="2143" spans="1:5" x14ac:dyDescent="0.3">
      <c r="A2143" s="21" t="str">
        <f t="shared" si="33"/>
        <v>.</v>
      </c>
      <c r="D2143" s="44"/>
      <c r="E2143" s="22" t="str">
        <f>IF(D2143&lt;&gt;"",IFERROR(INDEX(Produtos!$C$4:$C$4996,MATCH(D2143,Produtos!$B$4:$B$4996,0)),"Produto não encontrado"),"")</f>
        <v/>
      </c>
    </row>
    <row r="2144" spans="1:5" x14ac:dyDescent="0.3">
      <c r="A2144" s="21" t="str">
        <f t="shared" si="33"/>
        <v>.</v>
      </c>
      <c r="D2144" s="44"/>
      <c r="E2144" s="22" t="str">
        <f>IF(D2144&lt;&gt;"",IFERROR(INDEX(Produtos!$C$4:$C$4996,MATCH(D2144,Produtos!$B$4:$B$4996,0)),"Produto não encontrado"),"")</f>
        <v/>
      </c>
    </row>
    <row r="2145" spans="1:5" x14ac:dyDescent="0.3">
      <c r="A2145" s="21" t="str">
        <f t="shared" si="33"/>
        <v>.</v>
      </c>
      <c r="D2145" s="44"/>
      <c r="E2145" s="22" t="str">
        <f>IF(D2145&lt;&gt;"",IFERROR(INDEX(Produtos!$C$4:$C$4996,MATCH(D2145,Produtos!$B$4:$B$4996,0)),"Produto não encontrado"),"")</f>
        <v/>
      </c>
    </row>
    <row r="2146" spans="1:5" x14ac:dyDescent="0.3">
      <c r="A2146" s="21" t="str">
        <f t="shared" si="33"/>
        <v>.</v>
      </c>
      <c r="D2146" s="44"/>
      <c r="E2146" s="22" t="str">
        <f>IF(D2146&lt;&gt;"",IFERROR(INDEX(Produtos!$C$4:$C$4996,MATCH(D2146,Produtos!$B$4:$B$4996,0)),"Produto não encontrado"),"")</f>
        <v/>
      </c>
    </row>
    <row r="2147" spans="1:5" x14ac:dyDescent="0.3">
      <c r="A2147" s="21" t="str">
        <f t="shared" si="33"/>
        <v>.</v>
      </c>
      <c r="D2147" s="44"/>
      <c r="E2147" s="22" t="str">
        <f>IF(D2147&lt;&gt;"",IFERROR(INDEX(Produtos!$C$4:$C$4996,MATCH(D2147,Produtos!$B$4:$B$4996,0)),"Produto não encontrado"),"")</f>
        <v/>
      </c>
    </row>
    <row r="2148" spans="1:5" x14ac:dyDescent="0.3">
      <c r="A2148" s="21" t="str">
        <f t="shared" si="33"/>
        <v>.</v>
      </c>
      <c r="D2148" s="44"/>
      <c r="E2148" s="22" t="str">
        <f>IF(D2148&lt;&gt;"",IFERROR(INDEX(Produtos!$C$4:$C$4996,MATCH(D2148,Produtos!$B$4:$B$4996,0)),"Produto não encontrado"),"")</f>
        <v/>
      </c>
    </row>
    <row r="2149" spans="1:5" x14ac:dyDescent="0.3">
      <c r="A2149" s="21" t="str">
        <f t="shared" si="33"/>
        <v>.</v>
      </c>
      <c r="D2149" s="44"/>
      <c r="E2149" s="22" t="str">
        <f>IF(D2149&lt;&gt;"",IFERROR(INDEX(Produtos!$C$4:$C$4996,MATCH(D2149,Produtos!$B$4:$B$4996,0)),"Produto não encontrado"),"")</f>
        <v/>
      </c>
    </row>
    <row r="2150" spans="1:5" x14ac:dyDescent="0.3">
      <c r="A2150" s="21" t="str">
        <f t="shared" si="33"/>
        <v>.</v>
      </c>
      <c r="D2150" s="44"/>
      <c r="E2150" s="22" t="str">
        <f>IF(D2150&lt;&gt;"",IFERROR(INDEX(Produtos!$C$4:$C$4996,MATCH(D2150,Produtos!$B$4:$B$4996,0)),"Produto não encontrado"),"")</f>
        <v/>
      </c>
    </row>
    <row r="2151" spans="1:5" x14ac:dyDescent="0.3">
      <c r="A2151" s="21" t="str">
        <f t="shared" si="33"/>
        <v>.</v>
      </c>
      <c r="D2151" s="44"/>
      <c r="E2151" s="22" t="str">
        <f>IF(D2151&lt;&gt;"",IFERROR(INDEX(Produtos!$C$4:$C$4996,MATCH(D2151,Produtos!$B$4:$B$4996,0)),"Produto não encontrado"),"")</f>
        <v/>
      </c>
    </row>
    <row r="2152" spans="1:5" x14ac:dyDescent="0.3">
      <c r="A2152" s="21" t="str">
        <f t="shared" si="33"/>
        <v>.</v>
      </c>
      <c r="D2152" s="44"/>
      <c r="E2152" s="22" t="str">
        <f>IF(D2152&lt;&gt;"",IFERROR(INDEX(Produtos!$C$4:$C$4996,MATCH(D2152,Produtos!$B$4:$B$4996,0)),"Produto não encontrado"),"")</f>
        <v/>
      </c>
    </row>
    <row r="2153" spans="1:5" x14ac:dyDescent="0.3">
      <c r="A2153" s="21" t="str">
        <f t="shared" si="33"/>
        <v>.</v>
      </c>
      <c r="D2153" s="44"/>
      <c r="E2153" s="22" t="str">
        <f>IF(D2153&lt;&gt;"",IFERROR(INDEX(Produtos!$C$4:$C$4996,MATCH(D2153,Produtos!$B$4:$B$4996,0)),"Produto não encontrado"),"")</f>
        <v/>
      </c>
    </row>
    <row r="2154" spans="1:5" x14ac:dyDescent="0.3">
      <c r="A2154" s="21" t="str">
        <f t="shared" si="33"/>
        <v>.</v>
      </c>
      <c r="D2154" s="44"/>
      <c r="E2154" s="22" t="str">
        <f>IF(D2154&lt;&gt;"",IFERROR(INDEX(Produtos!$C$4:$C$4996,MATCH(D2154,Produtos!$B$4:$B$4996,0)),"Produto não encontrado"),"")</f>
        <v/>
      </c>
    </row>
    <row r="2155" spans="1:5" x14ac:dyDescent="0.3">
      <c r="A2155" s="21" t="str">
        <f t="shared" si="33"/>
        <v>.</v>
      </c>
      <c r="D2155" s="44"/>
      <c r="E2155" s="22" t="str">
        <f>IF(D2155&lt;&gt;"",IFERROR(INDEX(Produtos!$C$4:$C$4996,MATCH(D2155,Produtos!$B$4:$B$4996,0)),"Produto não encontrado"),"")</f>
        <v/>
      </c>
    </row>
    <row r="2156" spans="1:5" x14ac:dyDescent="0.3">
      <c r="A2156" s="21" t="str">
        <f t="shared" si="33"/>
        <v>.</v>
      </c>
      <c r="D2156" s="44"/>
      <c r="E2156" s="22" t="str">
        <f>IF(D2156&lt;&gt;"",IFERROR(INDEX(Produtos!$C$4:$C$4996,MATCH(D2156,Produtos!$B$4:$B$4996,0)),"Produto não encontrado"),"")</f>
        <v/>
      </c>
    </row>
    <row r="2157" spans="1:5" x14ac:dyDescent="0.3">
      <c r="A2157" s="21" t="str">
        <f t="shared" si="33"/>
        <v>.</v>
      </c>
      <c r="D2157" s="44"/>
      <c r="E2157" s="22" t="str">
        <f>IF(D2157&lt;&gt;"",IFERROR(INDEX(Produtos!$C$4:$C$4996,MATCH(D2157,Produtos!$B$4:$B$4996,0)),"Produto não encontrado"),"")</f>
        <v/>
      </c>
    </row>
    <row r="2158" spans="1:5" x14ac:dyDescent="0.3">
      <c r="A2158" s="21" t="str">
        <f t="shared" si="33"/>
        <v>.</v>
      </c>
      <c r="D2158" s="44"/>
      <c r="E2158" s="22" t="str">
        <f>IF(D2158&lt;&gt;"",IFERROR(INDEX(Produtos!$C$4:$C$4996,MATCH(D2158,Produtos!$B$4:$B$4996,0)),"Produto não encontrado"),"")</f>
        <v/>
      </c>
    </row>
    <row r="2159" spans="1:5" x14ac:dyDescent="0.3">
      <c r="A2159" s="21" t="str">
        <f t="shared" si="33"/>
        <v>.</v>
      </c>
      <c r="D2159" s="44"/>
      <c r="E2159" s="22" t="str">
        <f>IF(D2159&lt;&gt;"",IFERROR(INDEX(Produtos!$C$4:$C$4996,MATCH(D2159,Produtos!$B$4:$B$4996,0)),"Produto não encontrado"),"")</f>
        <v/>
      </c>
    </row>
    <row r="2160" spans="1:5" x14ac:dyDescent="0.3">
      <c r="A2160" s="21" t="str">
        <f t="shared" si="33"/>
        <v>.</v>
      </c>
      <c r="D2160" s="44"/>
      <c r="E2160" s="22" t="str">
        <f>IF(D2160&lt;&gt;"",IFERROR(INDEX(Produtos!$C$4:$C$4996,MATCH(D2160,Produtos!$B$4:$B$4996,0)),"Produto não encontrado"),"")</f>
        <v/>
      </c>
    </row>
    <row r="2161" spans="1:5" x14ac:dyDescent="0.3">
      <c r="A2161" s="21" t="str">
        <f t="shared" si="33"/>
        <v>.</v>
      </c>
      <c r="D2161" s="44"/>
      <c r="E2161" s="22" t="str">
        <f>IF(D2161&lt;&gt;"",IFERROR(INDEX(Produtos!$C$4:$C$4996,MATCH(D2161,Produtos!$B$4:$B$4996,0)),"Produto não encontrado"),"")</f>
        <v/>
      </c>
    </row>
    <row r="2162" spans="1:5" x14ac:dyDescent="0.3">
      <c r="A2162" s="21" t="str">
        <f t="shared" si="33"/>
        <v>.</v>
      </c>
      <c r="D2162" s="44"/>
      <c r="E2162" s="22" t="str">
        <f>IF(D2162&lt;&gt;"",IFERROR(INDEX(Produtos!$C$4:$C$4996,MATCH(D2162,Produtos!$B$4:$B$4996,0)),"Produto não encontrado"),"")</f>
        <v/>
      </c>
    </row>
    <row r="2163" spans="1:5" x14ac:dyDescent="0.3">
      <c r="A2163" s="21" t="str">
        <f t="shared" si="33"/>
        <v>.</v>
      </c>
      <c r="D2163" s="44"/>
      <c r="E2163" s="22" t="str">
        <f>IF(D2163&lt;&gt;"",IFERROR(INDEX(Produtos!$C$4:$C$4996,MATCH(D2163,Produtos!$B$4:$B$4996,0)),"Produto não encontrado"),"")</f>
        <v/>
      </c>
    </row>
    <row r="2164" spans="1:5" x14ac:dyDescent="0.3">
      <c r="A2164" s="21" t="str">
        <f t="shared" si="33"/>
        <v>.</v>
      </c>
      <c r="D2164" s="44"/>
      <c r="E2164" s="22" t="str">
        <f>IF(D2164&lt;&gt;"",IFERROR(INDEX(Produtos!$C$4:$C$4996,MATCH(D2164,Produtos!$B$4:$B$4996,0)),"Produto não encontrado"),"")</f>
        <v/>
      </c>
    </row>
    <row r="2165" spans="1:5" x14ac:dyDescent="0.3">
      <c r="A2165" s="21" t="str">
        <f t="shared" si="33"/>
        <v>.</v>
      </c>
      <c r="D2165" s="44"/>
      <c r="E2165" s="22" t="str">
        <f>IF(D2165&lt;&gt;"",IFERROR(INDEX(Produtos!$C$4:$C$4996,MATCH(D2165,Produtos!$B$4:$B$4996,0)),"Produto não encontrado"),"")</f>
        <v/>
      </c>
    </row>
    <row r="2166" spans="1:5" x14ac:dyDescent="0.3">
      <c r="A2166" s="21" t="str">
        <f t="shared" si="33"/>
        <v>.</v>
      </c>
      <c r="D2166" s="44"/>
      <c r="E2166" s="22" t="str">
        <f>IF(D2166&lt;&gt;"",IFERROR(INDEX(Produtos!$C$4:$C$4996,MATCH(D2166,Produtos!$B$4:$B$4996,0)),"Produto não encontrado"),"")</f>
        <v/>
      </c>
    </row>
    <row r="2167" spans="1:5" x14ac:dyDescent="0.3">
      <c r="A2167" s="21" t="str">
        <f t="shared" si="33"/>
        <v>.</v>
      </c>
      <c r="D2167" s="44"/>
      <c r="E2167" s="22" t="str">
        <f>IF(D2167&lt;&gt;"",IFERROR(INDEX(Produtos!$C$4:$C$4996,MATCH(D2167,Produtos!$B$4:$B$4996,0)),"Produto não encontrado"),"")</f>
        <v/>
      </c>
    </row>
    <row r="2168" spans="1:5" x14ac:dyDescent="0.3">
      <c r="A2168" s="21" t="str">
        <f t="shared" si="33"/>
        <v>.</v>
      </c>
      <c r="D2168" s="44"/>
      <c r="E2168" s="22" t="str">
        <f>IF(D2168&lt;&gt;"",IFERROR(INDEX(Produtos!$C$4:$C$4996,MATCH(D2168,Produtos!$B$4:$B$4996,0)),"Produto não encontrado"),"")</f>
        <v/>
      </c>
    </row>
    <row r="2169" spans="1:5" x14ac:dyDescent="0.3">
      <c r="A2169" s="21" t="str">
        <f t="shared" si="33"/>
        <v>.</v>
      </c>
      <c r="D2169" s="44"/>
      <c r="E2169" s="22" t="str">
        <f>IF(D2169&lt;&gt;"",IFERROR(INDEX(Produtos!$C$4:$C$4996,MATCH(D2169,Produtos!$B$4:$B$4996,0)),"Produto não encontrado"),"")</f>
        <v/>
      </c>
    </row>
    <row r="2170" spans="1:5" x14ac:dyDescent="0.3">
      <c r="A2170" s="21" t="str">
        <f t="shared" si="33"/>
        <v>.</v>
      </c>
      <c r="D2170" s="44"/>
      <c r="E2170" s="22" t="str">
        <f>IF(D2170&lt;&gt;"",IFERROR(INDEX(Produtos!$C$4:$C$4996,MATCH(D2170,Produtos!$B$4:$B$4996,0)),"Produto não encontrado"),"")</f>
        <v/>
      </c>
    </row>
    <row r="2171" spans="1:5" x14ac:dyDescent="0.3">
      <c r="A2171" s="21" t="str">
        <f t="shared" si="33"/>
        <v>.</v>
      </c>
      <c r="D2171" s="44"/>
      <c r="E2171" s="22" t="str">
        <f>IF(D2171&lt;&gt;"",IFERROR(INDEX(Produtos!$C$4:$C$4996,MATCH(D2171,Produtos!$B$4:$B$4996,0)),"Produto não encontrado"),"")</f>
        <v/>
      </c>
    </row>
    <row r="2172" spans="1:5" x14ac:dyDescent="0.3">
      <c r="A2172" s="21" t="str">
        <f t="shared" si="33"/>
        <v>.</v>
      </c>
      <c r="D2172" s="44"/>
      <c r="E2172" s="22" t="str">
        <f>IF(D2172&lt;&gt;"",IFERROR(INDEX(Produtos!$C$4:$C$4996,MATCH(D2172,Produtos!$B$4:$B$4996,0)),"Produto não encontrado"),"")</f>
        <v/>
      </c>
    </row>
    <row r="2173" spans="1:5" x14ac:dyDescent="0.3">
      <c r="A2173" s="21" t="str">
        <f t="shared" si="33"/>
        <v>.</v>
      </c>
      <c r="D2173" s="44"/>
      <c r="E2173" s="22" t="str">
        <f>IF(D2173&lt;&gt;"",IFERROR(INDEX(Produtos!$C$4:$C$4996,MATCH(D2173,Produtos!$B$4:$B$4996,0)),"Produto não encontrado"),"")</f>
        <v/>
      </c>
    </row>
    <row r="2174" spans="1:5" x14ac:dyDescent="0.3">
      <c r="A2174" s="21" t="str">
        <f t="shared" si="33"/>
        <v>.</v>
      </c>
      <c r="D2174" s="44"/>
      <c r="E2174" s="22" t="str">
        <f>IF(D2174&lt;&gt;"",IFERROR(INDEX(Produtos!$C$4:$C$4996,MATCH(D2174,Produtos!$B$4:$B$4996,0)),"Produto não encontrado"),"")</f>
        <v/>
      </c>
    </row>
    <row r="2175" spans="1:5" x14ac:dyDescent="0.3">
      <c r="A2175" s="21" t="str">
        <f t="shared" si="33"/>
        <v>.</v>
      </c>
      <c r="D2175" s="44"/>
      <c r="E2175" s="22" t="str">
        <f>IF(D2175&lt;&gt;"",IFERROR(INDEX(Produtos!$C$4:$C$4996,MATCH(D2175,Produtos!$B$4:$B$4996,0)),"Produto não encontrado"),"")</f>
        <v/>
      </c>
    </row>
    <row r="2176" spans="1:5" x14ac:dyDescent="0.3">
      <c r="A2176" s="21" t="str">
        <f t="shared" ref="A2176:A2239" si="34">IF(C2176="Entrada",2,IF(C2176="Saída",1,"."))</f>
        <v>.</v>
      </c>
      <c r="D2176" s="44"/>
      <c r="E2176" s="22" t="str">
        <f>IF(D2176&lt;&gt;"",IFERROR(INDEX(Produtos!$C$4:$C$4996,MATCH(D2176,Produtos!$B$4:$B$4996,0)),"Produto não encontrado"),"")</f>
        <v/>
      </c>
    </row>
    <row r="2177" spans="1:5" x14ac:dyDescent="0.3">
      <c r="A2177" s="21" t="str">
        <f t="shared" si="34"/>
        <v>.</v>
      </c>
      <c r="D2177" s="44"/>
      <c r="E2177" s="22" t="str">
        <f>IF(D2177&lt;&gt;"",IFERROR(INDEX(Produtos!$C$4:$C$4996,MATCH(D2177,Produtos!$B$4:$B$4996,0)),"Produto não encontrado"),"")</f>
        <v/>
      </c>
    </row>
    <row r="2178" spans="1:5" x14ac:dyDescent="0.3">
      <c r="A2178" s="21" t="str">
        <f t="shared" si="34"/>
        <v>.</v>
      </c>
      <c r="D2178" s="44"/>
      <c r="E2178" s="22" t="str">
        <f>IF(D2178&lt;&gt;"",IFERROR(INDEX(Produtos!$C$4:$C$4996,MATCH(D2178,Produtos!$B$4:$B$4996,0)),"Produto não encontrado"),"")</f>
        <v/>
      </c>
    </row>
    <row r="2179" spans="1:5" x14ac:dyDescent="0.3">
      <c r="A2179" s="21" t="str">
        <f t="shared" si="34"/>
        <v>.</v>
      </c>
      <c r="D2179" s="44"/>
      <c r="E2179" s="22" t="str">
        <f>IF(D2179&lt;&gt;"",IFERROR(INDEX(Produtos!$C$4:$C$4996,MATCH(D2179,Produtos!$B$4:$B$4996,0)),"Produto não encontrado"),"")</f>
        <v/>
      </c>
    </row>
    <row r="2180" spans="1:5" x14ac:dyDescent="0.3">
      <c r="A2180" s="21" t="str">
        <f t="shared" si="34"/>
        <v>.</v>
      </c>
      <c r="D2180" s="44"/>
      <c r="E2180" s="22" t="str">
        <f>IF(D2180&lt;&gt;"",IFERROR(INDEX(Produtos!$C$4:$C$4996,MATCH(D2180,Produtos!$B$4:$B$4996,0)),"Produto não encontrado"),"")</f>
        <v/>
      </c>
    </row>
    <row r="2181" spans="1:5" x14ac:dyDescent="0.3">
      <c r="A2181" s="21" t="str">
        <f t="shared" si="34"/>
        <v>.</v>
      </c>
      <c r="D2181" s="44"/>
      <c r="E2181" s="22" t="str">
        <f>IF(D2181&lt;&gt;"",IFERROR(INDEX(Produtos!$C$4:$C$4996,MATCH(D2181,Produtos!$B$4:$B$4996,0)),"Produto não encontrado"),"")</f>
        <v/>
      </c>
    </row>
    <row r="2182" spans="1:5" x14ac:dyDescent="0.3">
      <c r="A2182" s="21" t="str">
        <f t="shared" si="34"/>
        <v>.</v>
      </c>
      <c r="D2182" s="44"/>
      <c r="E2182" s="22" t="str">
        <f>IF(D2182&lt;&gt;"",IFERROR(INDEX(Produtos!$C$4:$C$4996,MATCH(D2182,Produtos!$B$4:$B$4996,0)),"Produto não encontrado"),"")</f>
        <v/>
      </c>
    </row>
    <row r="2183" spans="1:5" x14ac:dyDescent="0.3">
      <c r="A2183" s="21" t="str">
        <f t="shared" si="34"/>
        <v>.</v>
      </c>
      <c r="D2183" s="44"/>
      <c r="E2183" s="22" t="str">
        <f>IF(D2183&lt;&gt;"",IFERROR(INDEX(Produtos!$C$4:$C$4996,MATCH(D2183,Produtos!$B$4:$B$4996,0)),"Produto não encontrado"),"")</f>
        <v/>
      </c>
    </row>
    <row r="2184" spans="1:5" x14ac:dyDescent="0.3">
      <c r="A2184" s="21" t="str">
        <f t="shared" si="34"/>
        <v>.</v>
      </c>
      <c r="D2184" s="44"/>
      <c r="E2184" s="22" t="str">
        <f>IF(D2184&lt;&gt;"",IFERROR(INDEX(Produtos!$C$4:$C$4996,MATCH(D2184,Produtos!$B$4:$B$4996,0)),"Produto não encontrado"),"")</f>
        <v/>
      </c>
    </row>
    <row r="2185" spans="1:5" x14ac:dyDescent="0.3">
      <c r="A2185" s="21" t="str">
        <f t="shared" si="34"/>
        <v>.</v>
      </c>
      <c r="D2185" s="44"/>
      <c r="E2185" s="22" t="str">
        <f>IF(D2185&lt;&gt;"",IFERROR(INDEX(Produtos!$C$4:$C$4996,MATCH(D2185,Produtos!$B$4:$B$4996,0)),"Produto não encontrado"),"")</f>
        <v/>
      </c>
    </row>
    <row r="2186" spans="1:5" x14ac:dyDescent="0.3">
      <c r="A2186" s="21" t="str">
        <f t="shared" si="34"/>
        <v>.</v>
      </c>
      <c r="D2186" s="44"/>
      <c r="E2186" s="22" t="str">
        <f>IF(D2186&lt;&gt;"",IFERROR(INDEX(Produtos!$C$4:$C$4996,MATCH(D2186,Produtos!$B$4:$B$4996,0)),"Produto não encontrado"),"")</f>
        <v/>
      </c>
    </row>
    <row r="2187" spans="1:5" x14ac:dyDescent="0.3">
      <c r="A2187" s="21" t="str">
        <f t="shared" si="34"/>
        <v>.</v>
      </c>
      <c r="D2187" s="44"/>
      <c r="E2187" s="22" t="str">
        <f>IF(D2187&lt;&gt;"",IFERROR(INDEX(Produtos!$C$4:$C$4996,MATCH(D2187,Produtos!$B$4:$B$4996,0)),"Produto não encontrado"),"")</f>
        <v/>
      </c>
    </row>
    <row r="2188" spans="1:5" x14ac:dyDescent="0.3">
      <c r="A2188" s="21" t="str">
        <f t="shared" si="34"/>
        <v>.</v>
      </c>
      <c r="D2188" s="44"/>
      <c r="E2188" s="22" t="str">
        <f>IF(D2188&lt;&gt;"",IFERROR(INDEX(Produtos!$C$4:$C$4996,MATCH(D2188,Produtos!$B$4:$B$4996,0)),"Produto não encontrado"),"")</f>
        <v/>
      </c>
    </row>
    <row r="2189" spans="1:5" x14ac:dyDescent="0.3">
      <c r="A2189" s="21" t="str">
        <f t="shared" si="34"/>
        <v>.</v>
      </c>
      <c r="D2189" s="44"/>
      <c r="E2189" s="22" t="str">
        <f>IF(D2189&lt;&gt;"",IFERROR(INDEX(Produtos!$C$4:$C$4996,MATCH(D2189,Produtos!$B$4:$B$4996,0)),"Produto não encontrado"),"")</f>
        <v/>
      </c>
    </row>
    <row r="2190" spans="1:5" x14ac:dyDescent="0.3">
      <c r="A2190" s="21" t="str">
        <f t="shared" si="34"/>
        <v>.</v>
      </c>
      <c r="D2190" s="44"/>
      <c r="E2190" s="22" t="str">
        <f>IF(D2190&lt;&gt;"",IFERROR(INDEX(Produtos!$C$4:$C$4996,MATCH(D2190,Produtos!$B$4:$B$4996,0)),"Produto não encontrado"),"")</f>
        <v/>
      </c>
    </row>
    <row r="2191" spans="1:5" x14ac:dyDescent="0.3">
      <c r="A2191" s="21" t="str">
        <f t="shared" si="34"/>
        <v>.</v>
      </c>
      <c r="D2191" s="44"/>
      <c r="E2191" s="22" t="str">
        <f>IF(D2191&lt;&gt;"",IFERROR(INDEX(Produtos!$C$4:$C$4996,MATCH(D2191,Produtos!$B$4:$B$4996,0)),"Produto não encontrado"),"")</f>
        <v/>
      </c>
    </row>
    <row r="2192" spans="1:5" x14ac:dyDescent="0.3">
      <c r="A2192" s="21" t="str">
        <f t="shared" si="34"/>
        <v>.</v>
      </c>
      <c r="D2192" s="44"/>
      <c r="E2192" s="22" t="str">
        <f>IF(D2192&lt;&gt;"",IFERROR(INDEX(Produtos!$C$4:$C$4996,MATCH(D2192,Produtos!$B$4:$B$4996,0)),"Produto não encontrado"),"")</f>
        <v/>
      </c>
    </row>
    <row r="2193" spans="1:5" x14ac:dyDescent="0.3">
      <c r="A2193" s="21" t="str">
        <f t="shared" si="34"/>
        <v>.</v>
      </c>
      <c r="D2193" s="44"/>
      <c r="E2193" s="22" t="str">
        <f>IF(D2193&lt;&gt;"",IFERROR(INDEX(Produtos!$C$4:$C$4996,MATCH(D2193,Produtos!$B$4:$B$4996,0)),"Produto não encontrado"),"")</f>
        <v/>
      </c>
    </row>
    <row r="2194" spans="1:5" x14ac:dyDescent="0.3">
      <c r="A2194" s="21" t="str">
        <f t="shared" si="34"/>
        <v>.</v>
      </c>
      <c r="D2194" s="44"/>
      <c r="E2194" s="22" t="str">
        <f>IF(D2194&lt;&gt;"",IFERROR(INDEX(Produtos!$C$4:$C$4996,MATCH(D2194,Produtos!$B$4:$B$4996,0)),"Produto não encontrado"),"")</f>
        <v/>
      </c>
    </row>
    <row r="2195" spans="1:5" x14ac:dyDescent="0.3">
      <c r="A2195" s="21" t="str">
        <f t="shared" si="34"/>
        <v>.</v>
      </c>
      <c r="D2195" s="44"/>
      <c r="E2195" s="22" t="str">
        <f>IF(D2195&lt;&gt;"",IFERROR(INDEX(Produtos!$C$4:$C$4996,MATCH(D2195,Produtos!$B$4:$B$4996,0)),"Produto não encontrado"),"")</f>
        <v/>
      </c>
    </row>
    <row r="2196" spans="1:5" x14ac:dyDescent="0.3">
      <c r="A2196" s="21" t="str">
        <f t="shared" si="34"/>
        <v>.</v>
      </c>
      <c r="D2196" s="44"/>
      <c r="E2196" s="22" t="str">
        <f>IF(D2196&lt;&gt;"",IFERROR(INDEX(Produtos!$C$4:$C$4996,MATCH(D2196,Produtos!$B$4:$B$4996,0)),"Produto não encontrado"),"")</f>
        <v/>
      </c>
    </row>
    <row r="2197" spans="1:5" x14ac:dyDescent="0.3">
      <c r="A2197" s="21" t="str">
        <f t="shared" si="34"/>
        <v>.</v>
      </c>
      <c r="D2197" s="44"/>
      <c r="E2197" s="22" t="str">
        <f>IF(D2197&lt;&gt;"",IFERROR(INDEX(Produtos!$C$4:$C$4996,MATCH(D2197,Produtos!$B$4:$B$4996,0)),"Produto não encontrado"),"")</f>
        <v/>
      </c>
    </row>
    <row r="2198" spans="1:5" x14ac:dyDescent="0.3">
      <c r="A2198" s="21" t="str">
        <f t="shared" si="34"/>
        <v>.</v>
      </c>
      <c r="D2198" s="44"/>
      <c r="E2198" s="22" t="str">
        <f>IF(D2198&lt;&gt;"",IFERROR(INDEX(Produtos!$C$4:$C$4996,MATCH(D2198,Produtos!$B$4:$B$4996,0)),"Produto não encontrado"),"")</f>
        <v/>
      </c>
    </row>
    <row r="2199" spans="1:5" x14ac:dyDescent="0.3">
      <c r="A2199" s="21" t="str">
        <f t="shared" si="34"/>
        <v>.</v>
      </c>
      <c r="D2199" s="44"/>
      <c r="E2199" s="22" t="str">
        <f>IF(D2199&lt;&gt;"",IFERROR(INDEX(Produtos!$C$4:$C$4996,MATCH(D2199,Produtos!$B$4:$B$4996,0)),"Produto não encontrado"),"")</f>
        <v/>
      </c>
    </row>
    <row r="2200" spans="1:5" x14ac:dyDescent="0.3">
      <c r="A2200" s="21" t="str">
        <f t="shared" si="34"/>
        <v>.</v>
      </c>
      <c r="D2200" s="44"/>
      <c r="E2200" s="22" t="str">
        <f>IF(D2200&lt;&gt;"",IFERROR(INDEX(Produtos!$C$4:$C$4996,MATCH(D2200,Produtos!$B$4:$B$4996,0)),"Produto não encontrado"),"")</f>
        <v/>
      </c>
    </row>
    <row r="2201" spans="1:5" x14ac:dyDescent="0.3">
      <c r="A2201" s="21" t="str">
        <f t="shared" si="34"/>
        <v>.</v>
      </c>
      <c r="D2201" s="44"/>
      <c r="E2201" s="22" t="str">
        <f>IF(D2201&lt;&gt;"",IFERROR(INDEX(Produtos!$C$4:$C$4996,MATCH(D2201,Produtos!$B$4:$B$4996,0)),"Produto não encontrado"),"")</f>
        <v/>
      </c>
    </row>
    <row r="2202" spans="1:5" x14ac:dyDescent="0.3">
      <c r="A2202" s="21" t="str">
        <f t="shared" si="34"/>
        <v>.</v>
      </c>
      <c r="D2202" s="44"/>
      <c r="E2202" s="22" t="str">
        <f>IF(D2202&lt;&gt;"",IFERROR(INDEX(Produtos!$C$4:$C$4996,MATCH(D2202,Produtos!$B$4:$B$4996,0)),"Produto não encontrado"),"")</f>
        <v/>
      </c>
    </row>
    <row r="2203" spans="1:5" x14ac:dyDescent="0.3">
      <c r="A2203" s="21" t="str">
        <f t="shared" si="34"/>
        <v>.</v>
      </c>
      <c r="D2203" s="44"/>
      <c r="E2203" s="22" t="str">
        <f>IF(D2203&lt;&gt;"",IFERROR(INDEX(Produtos!$C$4:$C$4996,MATCH(D2203,Produtos!$B$4:$B$4996,0)),"Produto não encontrado"),"")</f>
        <v/>
      </c>
    </row>
    <row r="2204" spans="1:5" x14ac:dyDescent="0.3">
      <c r="A2204" s="21" t="str">
        <f t="shared" si="34"/>
        <v>.</v>
      </c>
      <c r="D2204" s="44"/>
      <c r="E2204" s="22" t="str">
        <f>IF(D2204&lt;&gt;"",IFERROR(INDEX(Produtos!$C$4:$C$4996,MATCH(D2204,Produtos!$B$4:$B$4996,0)),"Produto não encontrado"),"")</f>
        <v/>
      </c>
    </row>
    <row r="2205" spans="1:5" x14ac:dyDescent="0.3">
      <c r="A2205" s="21" t="str">
        <f t="shared" si="34"/>
        <v>.</v>
      </c>
      <c r="D2205" s="44"/>
      <c r="E2205" s="22" t="str">
        <f>IF(D2205&lt;&gt;"",IFERROR(INDEX(Produtos!$C$4:$C$4996,MATCH(D2205,Produtos!$B$4:$B$4996,0)),"Produto não encontrado"),"")</f>
        <v/>
      </c>
    </row>
    <row r="2206" spans="1:5" x14ac:dyDescent="0.3">
      <c r="A2206" s="21" t="str">
        <f t="shared" si="34"/>
        <v>.</v>
      </c>
      <c r="D2206" s="44"/>
      <c r="E2206" s="22" t="str">
        <f>IF(D2206&lt;&gt;"",IFERROR(INDEX(Produtos!$C$4:$C$4996,MATCH(D2206,Produtos!$B$4:$B$4996,0)),"Produto não encontrado"),"")</f>
        <v/>
      </c>
    </row>
    <row r="2207" spans="1:5" x14ac:dyDescent="0.3">
      <c r="A2207" s="21" t="str">
        <f t="shared" si="34"/>
        <v>.</v>
      </c>
      <c r="D2207" s="44"/>
      <c r="E2207" s="22" t="str">
        <f>IF(D2207&lt;&gt;"",IFERROR(INDEX(Produtos!$C$4:$C$4996,MATCH(D2207,Produtos!$B$4:$B$4996,0)),"Produto não encontrado"),"")</f>
        <v/>
      </c>
    </row>
    <row r="2208" spans="1:5" x14ac:dyDescent="0.3">
      <c r="A2208" s="21" t="str">
        <f t="shared" si="34"/>
        <v>.</v>
      </c>
      <c r="D2208" s="44"/>
      <c r="E2208" s="22" t="str">
        <f>IF(D2208&lt;&gt;"",IFERROR(INDEX(Produtos!$C$4:$C$4996,MATCH(D2208,Produtos!$B$4:$B$4996,0)),"Produto não encontrado"),"")</f>
        <v/>
      </c>
    </row>
    <row r="2209" spans="1:5" x14ac:dyDescent="0.3">
      <c r="A2209" s="21" t="str">
        <f t="shared" si="34"/>
        <v>.</v>
      </c>
      <c r="D2209" s="44"/>
      <c r="E2209" s="22" t="str">
        <f>IF(D2209&lt;&gt;"",IFERROR(INDEX(Produtos!$C$4:$C$4996,MATCH(D2209,Produtos!$B$4:$B$4996,0)),"Produto não encontrado"),"")</f>
        <v/>
      </c>
    </row>
    <row r="2210" spans="1:5" x14ac:dyDescent="0.3">
      <c r="A2210" s="21" t="str">
        <f t="shared" si="34"/>
        <v>.</v>
      </c>
      <c r="D2210" s="44"/>
      <c r="E2210" s="22" t="str">
        <f>IF(D2210&lt;&gt;"",IFERROR(INDEX(Produtos!$C$4:$C$4996,MATCH(D2210,Produtos!$B$4:$B$4996,0)),"Produto não encontrado"),"")</f>
        <v/>
      </c>
    </row>
    <row r="2211" spans="1:5" x14ac:dyDescent="0.3">
      <c r="A2211" s="21" t="str">
        <f t="shared" si="34"/>
        <v>.</v>
      </c>
      <c r="D2211" s="44"/>
      <c r="E2211" s="22" t="str">
        <f>IF(D2211&lt;&gt;"",IFERROR(INDEX(Produtos!$C$4:$C$4996,MATCH(D2211,Produtos!$B$4:$B$4996,0)),"Produto não encontrado"),"")</f>
        <v/>
      </c>
    </row>
    <row r="2212" spans="1:5" x14ac:dyDescent="0.3">
      <c r="A2212" s="21" t="str">
        <f t="shared" si="34"/>
        <v>.</v>
      </c>
      <c r="D2212" s="44"/>
      <c r="E2212" s="22" t="str">
        <f>IF(D2212&lt;&gt;"",IFERROR(INDEX(Produtos!$C$4:$C$4996,MATCH(D2212,Produtos!$B$4:$B$4996,0)),"Produto não encontrado"),"")</f>
        <v/>
      </c>
    </row>
    <row r="2213" spans="1:5" x14ac:dyDescent="0.3">
      <c r="A2213" s="21" t="str">
        <f t="shared" si="34"/>
        <v>.</v>
      </c>
      <c r="D2213" s="44"/>
      <c r="E2213" s="22" t="str">
        <f>IF(D2213&lt;&gt;"",IFERROR(INDEX(Produtos!$C$4:$C$4996,MATCH(D2213,Produtos!$B$4:$B$4996,0)),"Produto não encontrado"),"")</f>
        <v/>
      </c>
    </row>
    <row r="2214" spans="1:5" x14ac:dyDescent="0.3">
      <c r="A2214" s="21" t="str">
        <f t="shared" si="34"/>
        <v>.</v>
      </c>
      <c r="D2214" s="44"/>
      <c r="E2214" s="22" t="str">
        <f>IF(D2214&lt;&gt;"",IFERROR(INDEX(Produtos!$C$4:$C$4996,MATCH(D2214,Produtos!$B$4:$B$4996,0)),"Produto não encontrado"),"")</f>
        <v/>
      </c>
    </row>
    <row r="2215" spans="1:5" x14ac:dyDescent="0.3">
      <c r="A2215" s="21" t="str">
        <f t="shared" si="34"/>
        <v>.</v>
      </c>
      <c r="D2215" s="44"/>
      <c r="E2215" s="22" t="str">
        <f>IF(D2215&lt;&gt;"",IFERROR(INDEX(Produtos!$C$4:$C$4996,MATCH(D2215,Produtos!$B$4:$B$4996,0)),"Produto não encontrado"),"")</f>
        <v/>
      </c>
    </row>
    <row r="2216" spans="1:5" x14ac:dyDescent="0.3">
      <c r="A2216" s="21" t="str">
        <f t="shared" si="34"/>
        <v>.</v>
      </c>
      <c r="D2216" s="44"/>
      <c r="E2216" s="22" t="str">
        <f>IF(D2216&lt;&gt;"",IFERROR(INDEX(Produtos!$C$4:$C$4996,MATCH(D2216,Produtos!$B$4:$B$4996,0)),"Produto não encontrado"),"")</f>
        <v/>
      </c>
    </row>
    <row r="2217" spans="1:5" x14ac:dyDescent="0.3">
      <c r="A2217" s="21" t="str">
        <f t="shared" si="34"/>
        <v>.</v>
      </c>
      <c r="D2217" s="44"/>
      <c r="E2217" s="22" t="str">
        <f>IF(D2217&lt;&gt;"",IFERROR(INDEX(Produtos!$C$4:$C$4996,MATCH(D2217,Produtos!$B$4:$B$4996,0)),"Produto não encontrado"),"")</f>
        <v/>
      </c>
    </row>
    <row r="2218" spans="1:5" x14ac:dyDescent="0.3">
      <c r="A2218" s="21" t="str">
        <f t="shared" si="34"/>
        <v>.</v>
      </c>
      <c r="D2218" s="44"/>
      <c r="E2218" s="22" t="str">
        <f>IF(D2218&lt;&gt;"",IFERROR(INDEX(Produtos!$C$4:$C$4996,MATCH(D2218,Produtos!$B$4:$B$4996,0)),"Produto não encontrado"),"")</f>
        <v/>
      </c>
    </row>
    <row r="2219" spans="1:5" x14ac:dyDescent="0.3">
      <c r="A2219" s="21" t="str">
        <f t="shared" si="34"/>
        <v>.</v>
      </c>
      <c r="D2219" s="44"/>
      <c r="E2219" s="22" t="str">
        <f>IF(D2219&lt;&gt;"",IFERROR(INDEX(Produtos!$C$4:$C$4996,MATCH(D2219,Produtos!$B$4:$B$4996,0)),"Produto não encontrado"),"")</f>
        <v/>
      </c>
    </row>
    <row r="2220" spans="1:5" x14ac:dyDescent="0.3">
      <c r="A2220" s="21" t="str">
        <f t="shared" si="34"/>
        <v>.</v>
      </c>
      <c r="D2220" s="44"/>
      <c r="E2220" s="22" t="str">
        <f>IF(D2220&lt;&gt;"",IFERROR(INDEX(Produtos!$C$4:$C$4996,MATCH(D2220,Produtos!$B$4:$B$4996,0)),"Produto não encontrado"),"")</f>
        <v/>
      </c>
    </row>
    <row r="2221" spans="1:5" x14ac:dyDescent="0.3">
      <c r="A2221" s="21" t="str">
        <f t="shared" si="34"/>
        <v>.</v>
      </c>
      <c r="D2221" s="44"/>
      <c r="E2221" s="22" t="str">
        <f>IF(D2221&lt;&gt;"",IFERROR(INDEX(Produtos!$C$4:$C$4996,MATCH(D2221,Produtos!$B$4:$B$4996,0)),"Produto não encontrado"),"")</f>
        <v/>
      </c>
    </row>
    <row r="2222" spans="1:5" x14ac:dyDescent="0.3">
      <c r="A2222" s="21" t="str">
        <f t="shared" si="34"/>
        <v>.</v>
      </c>
      <c r="D2222" s="44"/>
      <c r="E2222" s="22" t="str">
        <f>IF(D2222&lt;&gt;"",IFERROR(INDEX(Produtos!$C$4:$C$4996,MATCH(D2222,Produtos!$B$4:$B$4996,0)),"Produto não encontrado"),"")</f>
        <v/>
      </c>
    </row>
    <row r="2223" spans="1:5" x14ac:dyDescent="0.3">
      <c r="A2223" s="21" t="str">
        <f t="shared" si="34"/>
        <v>.</v>
      </c>
      <c r="D2223" s="44"/>
      <c r="E2223" s="22" t="str">
        <f>IF(D2223&lt;&gt;"",IFERROR(INDEX(Produtos!$C$4:$C$4996,MATCH(D2223,Produtos!$B$4:$B$4996,0)),"Produto não encontrado"),"")</f>
        <v/>
      </c>
    </row>
    <row r="2224" spans="1:5" x14ac:dyDescent="0.3">
      <c r="A2224" s="21" t="str">
        <f t="shared" si="34"/>
        <v>.</v>
      </c>
      <c r="D2224" s="44"/>
      <c r="E2224" s="22" t="str">
        <f>IF(D2224&lt;&gt;"",IFERROR(INDEX(Produtos!$C$4:$C$4996,MATCH(D2224,Produtos!$B$4:$B$4996,0)),"Produto não encontrado"),"")</f>
        <v/>
      </c>
    </row>
    <row r="2225" spans="1:5" x14ac:dyDescent="0.3">
      <c r="A2225" s="21" t="str">
        <f t="shared" si="34"/>
        <v>.</v>
      </c>
      <c r="D2225" s="44"/>
      <c r="E2225" s="22" t="str">
        <f>IF(D2225&lt;&gt;"",IFERROR(INDEX(Produtos!$C$4:$C$4996,MATCH(D2225,Produtos!$B$4:$B$4996,0)),"Produto não encontrado"),"")</f>
        <v/>
      </c>
    </row>
    <row r="2226" spans="1:5" x14ac:dyDescent="0.3">
      <c r="A2226" s="21" t="str">
        <f t="shared" si="34"/>
        <v>.</v>
      </c>
      <c r="D2226" s="44"/>
      <c r="E2226" s="22" t="str">
        <f>IF(D2226&lt;&gt;"",IFERROR(INDEX(Produtos!$C$4:$C$4996,MATCH(D2226,Produtos!$B$4:$B$4996,0)),"Produto não encontrado"),"")</f>
        <v/>
      </c>
    </row>
    <row r="2227" spans="1:5" x14ac:dyDescent="0.3">
      <c r="A2227" s="21" t="str">
        <f t="shared" si="34"/>
        <v>.</v>
      </c>
      <c r="D2227" s="44"/>
      <c r="E2227" s="22" t="str">
        <f>IF(D2227&lt;&gt;"",IFERROR(INDEX(Produtos!$C$4:$C$4996,MATCH(D2227,Produtos!$B$4:$B$4996,0)),"Produto não encontrado"),"")</f>
        <v/>
      </c>
    </row>
    <row r="2228" spans="1:5" x14ac:dyDescent="0.3">
      <c r="A2228" s="21" t="str">
        <f t="shared" si="34"/>
        <v>.</v>
      </c>
      <c r="D2228" s="44"/>
      <c r="E2228" s="22" t="str">
        <f>IF(D2228&lt;&gt;"",IFERROR(INDEX(Produtos!$C$4:$C$4996,MATCH(D2228,Produtos!$B$4:$B$4996,0)),"Produto não encontrado"),"")</f>
        <v/>
      </c>
    </row>
    <row r="2229" spans="1:5" x14ac:dyDescent="0.3">
      <c r="A2229" s="21" t="str">
        <f t="shared" si="34"/>
        <v>.</v>
      </c>
      <c r="D2229" s="44"/>
      <c r="E2229" s="22" t="str">
        <f>IF(D2229&lt;&gt;"",IFERROR(INDEX(Produtos!$C$4:$C$4996,MATCH(D2229,Produtos!$B$4:$B$4996,0)),"Produto não encontrado"),"")</f>
        <v/>
      </c>
    </row>
    <row r="2230" spans="1:5" x14ac:dyDescent="0.3">
      <c r="A2230" s="21" t="str">
        <f t="shared" si="34"/>
        <v>.</v>
      </c>
      <c r="D2230" s="44"/>
      <c r="E2230" s="22" t="str">
        <f>IF(D2230&lt;&gt;"",IFERROR(INDEX(Produtos!$C$4:$C$4996,MATCH(D2230,Produtos!$B$4:$B$4996,0)),"Produto não encontrado"),"")</f>
        <v/>
      </c>
    </row>
    <row r="2231" spans="1:5" x14ac:dyDescent="0.3">
      <c r="A2231" s="21" t="str">
        <f t="shared" si="34"/>
        <v>.</v>
      </c>
      <c r="D2231" s="44"/>
      <c r="E2231" s="22" t="str">
        <f>IF(D2231&lt;&gt;"",IFERROR(INDEX(Produtos!$C$4:$C$4996,MATCH(D2231,Produtos!$B$4:$B$4996,0)),"Produto não encontrado"),"")</f>
        <v/>
      </c>
    </row>
    <row r="2232" spans="1:5" x14ac:dyDescent="0.3">
      <c r="A2232" s="21" t="str">
        <f t="shared" si="34"/>
        <v>.</v>
      </c>
      <c r="D2232" s="44"/>
      <c r="E2232" s="22" t="str">
        <f>IF(D2232&lt;&gt;"",IFERROR(INDEX(Produtos!$C$4:$C$4996,MATCH(D2232,Produtos!$B$4:$B$4996,0)),"Produto não encontrado"),"")</f>
        <v/>
      </c>
    </row>
    <row r="2233" spans="1:5" x14ac:dyDescent="0.3">
      <c r="A2233" s="21" t="str">
        <f t="shared" si="34"/>
        <v>.</v>
      </c>
      <c r="D2233" s="44"/>
      <c r="E2233" s="22" t="str">
        <f>IF(D2233&lt;&gt;"",IFERROR(INDEX(Produtos!$C$4:$C$4996,MATCH(D2233,Produtos!$B$4:$B$4996,0)),"Produto não encontrado"),"")</f>
        <v/>
      </c>
    </row>
    <row r="2234" spans="1:5" x14ac:dyDescent="0.3">
      <c r="A2234" s="21" t="str">
        <f t="shared" si="34"/>
        <v>.</v>
      </c>
      <c r="D2234" s="44"/>
      <c r="E2234" s="22" t="str">
        <f>IF(D2234&lt;&gt;"",IFERROR(INDEX(Produtos!$C$4:$C$4996,MATCH(D2234,Produtos!$B$4:$B$4996,0)),"Produto não encontrado"),"")</f>
        <v/>
      </c>
    </row>
    <row r="2235" spans="1:5" x14ac:dyDescent="0.3">
      <c r="A2235" s="21" t="str">
        <f t="shared" si="34"/>
        <v>.</v>
      </c>
      <c r="D2235" s="44"/>
      <c r="E2235" s="22" t="str">
        <f>IF(D2235&lt;&gt;"",IFERROR(INDEX(Produtos!$C$4:$C$4996,MATCH(D2235,Produtos!$B$4:$B$4996,0)),"Produto não encontrado"),"")</f>
        <v/>
      </c>
    </row>
    <row r="2236" spans="1:5" x14ac:dyDescent="0.3">
      <c r="A2236" s="21" t="str">
        <f t="shared" si="34"/>
        <v>.</v>
      </c>
      <c r="D2236" s="44"/>
      <c r="E2236" s="22" t="str">
        <f>IF(D2236&lt;&gt;"",IFERROR(INDEX(Produtos!$C$4:$C$4996,MATCH(D2236,Produtos!$B$4:$B$4996,0)),"Produto não encontrado"),"")</f>
        <v/>
      </c>
    </row>
    <row r="2237" spans="1:5" x14ac:dyDescent="0.3">
      <c r="A2237" s="21" t="str">
        <f t="shared" si="34"/>
        <v>.</v>
      </c>
      <c r="D2237" s="44"/>
      <c r="E2237" s="22" t="str">
        <f>IF(D2237&lt;&gt;"",IFERROR(INDEX(Produtos!$C$4:$C$4996,MATCH(D2237,Produtos!$B$4:$B$4996,0)),"Produto não encontrado"),"")</f>
        <v/>
      </c>
    </row>
    <row r="2238" spans="1:5" x14ac:dyDescent="0.3">
      <c r="A2238" s="21" t="str">
        <f t="shared" si="34"/>
        <v>.</v>
      </c>
      <c r="D2238" s="44"/>
      <c r="E2238" s="22" t="str">
        <f>IF(D2238&lt;&gt;"",IFERROR(INDEX(Produtos!$C$4:$C$4996,MATCH(D2238,Produtos!$B$4:$B$4996,0)),"Produto não encontrado"),"")</f>
        <v/>
      </c>
    </row>
    <row r="2239" spans="1:5" x14ac:dyDescent="0.3">
      <c r="A2239" s="21" t="str">
        <f t="shared" si="34"/>
        <v>.</v>
      </c>
      <c r="D2239" s="44"/>
      <c r="E2239" s="22" t="str">
        <f>IF(D2239&lt;&gt;"",IFERROR(INDEX(Produtos!$C$4:$C$4996,MATCH(D2239,Produtos!$B$4:$B$4996,0)),"Produto não encontrado"),"")</f>
        <v/>
      </c>
    </row>
    <row r="2240" spans="1:5" x14ac:dyDescent="0.3">
      <c r="A2240" s="21" t="str">
        <f t="shared" ref="A2240:A2303" si="35">IF(C2240="Entrada",2,IF(C2240="Saída",1,"."))</f>
        <v>.</v>
      </c>
      <c r="D2240" s="44"/>
      <c r="E2240" s="22" t="str">
        <f>IF(D2240&lt;&gt;"",IFERROR(INDEX(Produtos!$C$4:$C$4996,MATCH(D2240,Produtos!$B$4:$B$4996,0)),"Produto não encontrado"),"")</f>
        <v/>
      </c>
    </row>
    <row r="2241" spans="1:5" x14ac:dyDescent="0.3">
      <c r="A2241" s="21" t="str">
        <f t="shared" si="35"/>
        <v>.</v>
      </c>
      <c r="D2241" s="44"/>
      <c r="E2241" s="22" t="str">
        <f>IF(D2241&lt;&gt;"",IFERROR(INDEX(Produtos!$C$4:$C$4996,MATCH(D2241,Produtos!$B$4:$B$4996,0)),"Produto não encontrado"),"")</f>
        <v/>
      </c>
    </row>
    <row r="2242" spans="1:5" x14ac:dyDescent="0.3">
      <c r="A2242" s="21" t="str">
        <f t="shared" si="35"/>
        <v>.</v>
      </c>
      <c r="D2242" s="44"/>
      <c r="E2242" s="22" t="str">
        <f>IF(D2242&lt;&gt;"",IFERROR(INDEX(Produtos!$C$4:$C$4996,MATCH(D2242,Produtos!$B$4:$B$4996,0)),"Produto não encontrado"),"")</f>
        <v/>
      </c>
    </row>
    <row r="2243" spans="1:5" x14ac:dyDescent="0.3">
      <c r="A2243" s="21" t="str">
        <f t="shared" si="35"/>
        <v>.</v>
      </c>
      <c r="D2243" s="44"/>
      <c r="E2243" s="22" t="str">
        <f>IF(D2243&lt;&gt;"",IFERROR(INDEX(Produtos!$C$4:$C$4996,MATCH(D2243,Produtos!$B$4:$B$4996,0)),"Produto não encontrado"),"")</f>
        <v/>
      </c>
    </row>
    <row r="2244" spans="1:5" x14ac:dyDescent="0.3">
      <c r="A2244" s="21" t="str">
        <f t="shared" si="35"/>
        <v>.</v>
      </c>
      <c r="D2244" s="44"/>
      <c r="E2244" s="22" t="str">
        <f>IF(D2244&lt;&gt;"",IFERROR(INDEX(Produtos!$C$4:$C$4996,MATCH(D2244,Produtos!$B$4:$B$4996,0)),"Produto não encontrado"),"")</f>
        <v/>
      </c>
    </row>
    <row r="2245" spans="1:5" x14ac:dyDescent="0.3">
      <c r="A2245" s="21" t="str">
        <f t="shared" si="35"/>
        <v>.</v>
      </c>
      <c r="D2245" s="44"/>
      <c r="E2245" s="22" t="str">
        <f>IF(D2245&lt;&gt;"",IFERROR(INDEX(Produtos!$C$4:$C$4996,MATCH(D2245,Produtos!$B$4:$B$4996,0)),"Produto não encontrado"),"")</f>
        <v/>
      </c>
    </row>
    <row r="2246" spans="1:5" x14ac:dyDescent="0.3">
      <c r="A2246" s="21" t="str">
        <f t="shared" si="35"/>
        <v>.</v>
      </c>
      <c r="D2246" s="44"/>
      <c r="E2246" s="22" t="str">
        <f>IF(D2246&lt;&gt;"",IFERROR(INDEX(Produtos!$C$4:$C$4996,MATCH(D2246,Produtos!$B$4:$B$4996,0)),"Produto não encontrado"),"")</f>
        <v/>
      </c>
    </row>
    <row r="2247" spans="1:5" x14ac:dyDescent="0.3">
      <c r="A2247" s="21" t="str">
        <f t="shared" si="35"/>
        <v>.</v>
      </c>
      <c r="D2247" s="44"/>
      <c r="E2247" s="22" t="str">
        <f>IF(D2247&lt;&gt;"",IFERROR(INDEX(Produtos!$C$4:$C$4996,MATCH(D2247,Produtos!$B$4:$B$4996,0)),"Produto não encontrado"),"")</f>
        <v/>
      </c>
    </row>
    <row r="2248" spans="1:5" x14ac:dyDescent="0.3">
      <c r="A2248" s="21" t="str">
        <f t="shared" si="35"/>
        <v>.</v>
      </c>
      <c r="D2248" s="44"/>
      <c r="E2248" s="22" t="str">
        <f>IF(D2248&lt;&gt;"",IFERROR(INDEX(Produtos!$C$4:$C$4996,MATCH(D2248,Produtos!$B$4:$B$4996,0)),"Produto não encontrado"),"")</f>
        <v/>
      </c>
    </row>
    <row r="2249" spans="1:5" x14ac:dyDescent="0.3">
      <c r="A2249" s="21" t="str">
        <f t="shared" si="35"/>
        <v>.</v>
      </c>
      <c r="D2249" s="44"/>
      <c r="E2249" s="22" t="str">
        <f>IF(D2249&lt;&gt;"",IFERROR(INDEX(Produtos!$C$4:$C$4996,MATCH(D2249,Produtos!$B$4:$B$4996,0)),"Produto não encontrado"),"")</f>
        <v/>
      </c>
    </row>
    <row r="2250" spans="1:5" x14ac:dyDescent="0.3">
      <c r="A2250" s="21" t="str">
        <f t="shared" si="35"/>
        <v>.</v>
      </c>
      <c r="D2250" s="44"/>
      <c r="E2250" s="22" t="str">
        <f>IF(D2250&lt;&gt;"",IFERROR(INDEX(Produtos!$C$4:$C$4996,MATCH(D2250,Produtos!$B$4:$B$4996,0)),"Produto não encontrado"),"")</f>
        <v/>
      </c>
    </row>
    <row r="2251" spans="1:5" x14ac:dyDescent="0.3">
      <c r="A2251" s="21" t="str">
        <f t="shared" si="35"/>
        <v>.</v>
      </c>
      <c r="D2251" s="44"/>
      <c r="E2251" s="22" t="str">
        <f>IF(D2251&lt;&gt;"",IFERROR(INDEX(Produtos!$C$4:$C$4996,MATCH(D2251,Produtos!$B$4:$B$4996,0)),"Produto não encontrado"),"")</f>
        <v/>
      </c>
    </row>
    <row r="2252" spans="1:5" x14ac:dyDescent="0.3">
      <c r="A2252" s="21" t="str">
        <f t="shared" si="35"/>
        <v>.</v>
      </c>
      <c r="D2252" s="44"/>
      <c r="E2252" s="22" t="str">
        <f>IF(D2252&lt;&gt;"",IFERROR(INDEX(Produtos!$C$4:$C$4996,MATCH(D2252,Produtos!$B$4:$B$4996,0)),"Produto não encontrado"),"")</f>
        <v/>
      </c>
    </row>
    <row r="2253" spans="1:5" x14ac:dyDescent="0.3">
      <c r="A2253" s="21" t="str">
        <f t="shared" si="35"/>
        <v>.</v>
      </c>
      <c r="D2253" s="44"/>
      <c r="E2253" s="22" t="str">
        <f>IF(D2253&lt;&gt;"",IFERROR(INDEX(Produtos!$C$4:$C$4996,MATCH(D2253,Produtos!$B$4:$B$4996,0)),"Produto não encontrado"),"")</f>
        <v/>
      </c>
    </row>
    <row r="2254" spans="1:5" x14ac:dyDescent="0.3">
      <c r="A2254" s="21" t="str">
        <f t="shared" si="35"/>
        <v>.</v>
      </c>
      <c r="D2254" s="44"/>
      <c r="E2254" s="22" t="str">
        <f>IF(D2254&lt;&gt;"",IFERROR(INDEX(Produtos!$C$4:$C$4996,MATCH(D2254,Produtos!$B$4:$B$4996,0)),"Produto não encontrado"),"")</f>
        <v/>
      </c>
    </row>
    <row r="2255" spans="1:5" x14ac:dyDescent="0.3">
      <c r="A2255" s="21" t="str">
        <f t="shared" si="35"/>
        <v>.</v>
      </c>
      <c r="D2255" s="44"/>
      <c r="E2255" s="22" t="str">
        <f>IF(D2255&lt;&gt;"",IFERROR(INDEX(Produtos!$C$4:$C$4996,MATCH(D2255,Produtos!$B$4:$B$4996,0)),"Produto não encontrado"),"")</f>
        <v/>
      </c>
    </row>
    <row r="2256" spans="1:5" x14ac:dyDescent="0.3">
      <c r="A2256" s="21" t="str">
        <f t="shared" si="35"/>
        <v>.</v>
      </c>
      <c r="D2256" s="44"/>
      <c r="E2256" s="22" t="str">
        <f>IF(D2256&lt;&gt;"",IFERROR(INDEX(Produtos!$C$4:$C$4996,MATCH(D2256,Produtos!$B$4:$B$4996,0)),"Produto não encontrado"),"")</f>
        <v/>
      </c>
    </row>
    <row r="2257" spans="1:5" x14ac:dyDescent="0.3">
      <c r="A2257" s="21" t="str">
        <f t="shared" si="35"/>
        <v>.</v>
      </c>
      <c r="D2257" s="44"/>
      <c r="E2257" s="22" t="str">
        <f>IF(D2257&lt;&gt;"",IFERROR(INDEX(Produtos!$C$4:$C$4996,MATCH(D2257,Produtos!$B$4:$B$4996,0)),"Produto não encontrado"),"")</f>
        <v/>
      </c>
    </row>
    <row r="2258" spans="1:5" x14ac:dyDescent="0.3">
      <c r="A2258" s="21" t="str">
        <f t="shared" si="35"/>
        <v>.</v>
      </c>
      <c r="D2258" s="44"/>
      <c r="E2258" s="22" t="str">
        <f>IF(D2258&lt;&gt;"",IFERROR(INDEX(Produtos!$C$4:$C$4996,MATCH(D2258,Produtos!$B$4:$B$4996,0)),"Produto não encontrado"),"")</f>
        <v/>
      </c>
    </row>
    <row r="2259" spans="1:5" x14ac:dyDescent="0.3">
      <c r="A2259" s="21" t="str">
        <f t="shared" si="35"/>
        <v>.</v>
      </c>
      <c r="D2259" s="44"/>
      <c r="E2259" s="22" t="str">
        <f>IF(D2259&lt;&gt;"",IFERROR(INDEX(Produtos!$C$4:$C$4996,MATCH(D2259,Produtos!$B$4:$B$4996,0)),"Produto não encontrado"),"")</f>
        <v/>
      </c>
    </row>
    <row r="2260" spans="1:5" x14ac:dyDescent="0.3">
      <c r="A2260" s="21" t="str">
        <f t="shared" si="35"/>
        <v>.</v>
      </c>
      <c r="D2260" s="44"/>
      <c r="E2260" s="22" t="str">
        <f>IF(D2260&lt;&gt;"",IFERROR(INDEX(Produtos!$C$4:$C$4996,MATCH(D2260,Produtos!$B$4:$B$4996,0)),"Produto não encontrado"),"")</f>
        <v/>
      </c>
    </row>
    <row r="2261" spans="1:5" x14ac:dyDescent="0.3">
      <c r="A2261" s="21" t="str">
        <f t="shared" si="35"/>
        <v>.</v>
      </c>
      <c r="D2261" s="44"/>
      <c r="E2261" s="22" t="str">
        <f>IF(D2261&lt;&gt;"",IFERROR(INDEX(Produtos!$C$4:$C$4996,MATCH(D2261,Produtos!$B$4:$B$4996,0)),"Produto não encontrado"),"")</f>
        <v/>
      </c>
    </row>
    <row r="2262" spans="1:5" x14ac:dyDescent="0.3">
      <c r="A2262" s="21" t="str">
        <f t="shared" si="35"/>
        <v>.</v>
      </c>
      <c r="D2262" s="44"/>
      <c r="E2262" s="22" t="str">
        <f>IF(D2262&lt;&gt;"",IFERROR(INDEX(Produtos!$C$4:$C$4996,MATCH(D2262,Produtos!$B$4:$B$4996,0)),"Produto não encontrado"),"")</f>
        <v/>
      </c>
    </row>
    <row r="2263" spans="1:5" x14ac:dyDescent="0.3">
      <c r="A2263" s="21" t="str">
        <f t="shared" si="35"/>
        <v>.</v>
      </c>
      <c r="D2263" s="44"/>
      <c r="E2263" s="22" t="str">
        <f>IF(D2263&lt;&gt;"",IFERROR(INDEX(Produtos!$C$4:$C$4996,MATCH(D2263,Produtos!$B$4:$B$4996,0)),"Produto não encontrado"),"")</f>
        <v/>
      </c>
    </row>
    <row r="2264" spans="1:5" x14ac:dyDescent="0.3">
      <c r="A2264" s="21" t="str">
        <f t="shared" si="35"/>
        <v>.</v>
      </c>
      <c r="D2264" s="44"/>
      <c r="E2264" s="22" t="str">
        <f>IF(D2264&lt;&gt;"",IFERROR(INDEX(Produtos!$C$4:$C$4996,MATCH(D2264,Produtos!$B$4:$B$4996,0)),"Produto não encontrado"),"")</f>
        <v/>
      </c>
    </row>
    <row r="2265" spans="1:5" x14ac:dyDescent="0.3">
      <c r="A2265" s="21" t="str">
        <f t="shared" si="35"/>
        <v>.</v>
      </c>
      <c r="D2265" s="44"/>
      <c r="E2265" s="22" t="str">
        <f>IF(D2265&lt;&gt;"",IFERROR(INDEX(Produtos!$C$4:$C$4996,MATCH(D2265,Produtos!$B$4:$B$4996,0)),"Produto não encontrado"),"")</f>
        <v/>
      </c>
    </row>
    <row r="2266" spans="1:5" x14ac:dyDescent="0.3">
      <c r="A2266" s="21" t="str">
        <f t="shared" si="35"/>
        <v>.</v>
      </c>
      <c r="D2266" s="44"/>
      <c r="E2266" s="22" t="str">
        <f>IF(D2266&lt;&gt;"",IFERROR(INDEX(Produtos!$C$4:$C$4996,MATCH(D2266,Produtos!$B$4:$B$4996,0)),"Produto não encontrado"),"")</f>
        <v/>
      </c>
    </row>
    <row r="2267" spans="1:5" x14ac:dyDescent="0.3">
      <c r="A2267" s="21" t="str">
        <f t="shared" si="35"/>
        <v>.</v>
      </c>
      <c r="D2267" s="44"/>
      <c r="E2267" s="22" t="str">
        <f>IF(D2267&lt;&gt;"",IFERROR(INDEX(Produtos!$C$4:$C$4996,MATCH(D2267,Produtos!$B$4:$B$4996,0)),"Produto não encontrado"),"")</f>
        <v/>
      </c>
    </row>
    <row r="2268" spans="1:5" x14ac:dyDescent="0.3">
      <c r="A2268" s="21" t="str">
        <f t="shared" si="35"/>
        <v>.</v>
      </c>
      <c r="D2268" s="44"/>
      <c r="E2268" s="22" t="str">
        <f>IF(D2268&lt;&gt;"",IFERROR(INDEX(Produtos!$C$4:$C$4996,MATCH(D2268,Produtos!$B$4:$B$4996,0)),"Produto não encontrado"),"")</f>
        <v/>
      </c>
    </row>
    <row r="2269" spans="1:5" x14ac:dyDescent="0.3">
      <c r="A2269" s="21" t="str">
        <f t="shared" si="35"/>
        <v>.</v>
      </c>
      <c r="D2269" s="44"/>
      <c r="E2269" s="22" t="str">
        <f>IF(D2269&lt;&gt;"",IFERROR(INDEX(Produtos!$C$4:$C$4996,MATCH(D2269,Produtos!$B$4:$B$4996,0)),"Produto não encontrado"),"")</f>
        <v/>
      </c>
    </row>
    <row r="2270" spans="1:5" x14ac:dyDescent="0.3">
      <c r="A2270" s="21" t="str">
        <f t="shared" si="35"/>
        <v>.</v>
      </c>
      <c r="D2270" s="44"/>
      <c r="E2270" s="22" t="str">
        <f>IF(D2270&lt;&gt;"",IFERROR(INDEX(Produtos!$C$4:$C$4996,MATCH(D2270,Produtos!$B$4:$B$4996,0)),"Produto não encontrado"),"")</f>
        <v/>
      </c>
    </row>
    <row r="2271" spans="1:5" x14ac:dyDescent="0.3">
      <c r="A2271" s="21" t="str">
        <f t="shared" si="35"/>
        <v>.</v>
      </c>
      <c r="D2271" s="44"/>
      <c r="E2271" s="22" t="str">
        <f>IF(D2271&lt;&gt;"",IFERROR(INDEX(Produtos!$C$4:$C$4996,MATCH(D2271,Produtos!$B$4:$B$4996,0)),"Produto não encontrado"),"")</f>
        <v/>
      </c>
    </row>
    <row r="2272" spans="1:5" x14ac:dyDescent="0.3">
      <c r="A2272" s="21" t="str">
        <f t="shared" si="35"/>
        <v>.</v>
      </c>
      <c r="D2272" s="44"/>
      <c r="E2272" s="22" t="str">
        <f>IF(D2272&lt;&gt;"",IFERROR(INDEX(Produtos!$C$4:$C$4996,MATCH(D2272,Produtos!$B$4:$B$4996,0)),"Produto não encontrado"),"")</f>
        <v/>
      </c>
    </row>
    <row r="2273" spans="1:5" x14ac:dyDescent="0.3">
      <c r="A2273" s="21" t="str">
        <f t="shared" si="35"/>
        <v>.</v>
      </c>
      <c r="D2273" s="44"/>
      <c r="E2273" s="22" t="str">
        <f>IF(D2273&lt;&gt;"",IFERROR(INDEX(Produtos!$C$4:$C$4996,MATCH(D2273,Produtos!$B$4:$B$4996,0)),"Produto não encontrado"),"")</f>
        <v/>
      </c>
    </row>
    <row r="2274" spans="1:5" x14ac:dyDescent="0.3">
      <c r="A2274" s="21" t="str">
        <f t="shared" si="35"/>
        <v>.</v>
      </c>
      <c r="D2274" s="44"/>
      <c r="E2274" s="22" t="str">
        <f>IF(D2274&lt;&gt;"",IFERROR(INDEX(Produtos!$C$4:$C$4996,MATCH(D2274,Produtos!$B$4:$B$4996,0)),"Produto não encontrado"),"")</f>
        <v/>
      </c>
    </row>
    <row r="2275" spans="1:5" x14ac:dyDescent="0.3">
      <c r="A2275" s="21" t="str">
        <f t="shared" si="35"/>
        <v>.</v>
      </c>
      <c r="D2275" s="44"/>
      <c r="E2275" s="22" t="str">
        <f>IF(D2275&lt;&gt;"",IFERROR(INDEX(Produtos!$C$4:$C$4996,MATCH(D2275,Produtos!$B$4:$B$4996,0)),"Produto não encontrado"),"")</f>
        <v/>
      </c>
    </row>
    <row r="2276" spans="1:5" x14ac:dyDescent="0.3">
      <c r="A2276" s="21" t="str">
        <f t="shared" si="35"/>
        <v>.</v>
      </c>
      <c r="D2276" s="44"/>
      <c r="E2276" s="22" t="str">
        <f>IF(D2276&lt;&gt;"",IFERROR(INDEX(Produtos!$C$4:$C$4996,MATCH(D2276,Produtos!$B$4:$B$4996,0)),"Produto não encontrado"),"")</f>
        <v/>
      </c>
    </row>
    <row r="2277" spans="1:5" x14ac:dyDescent="0.3">
      <c r="A2277" s="21" t="str">
        <f t="shared" si="35"/>
        <v>.</v>
      </c>
      <c r="D2277" s="44"/>
      <c r="E2277" s="22" t="str">
        <f>IF(D2277&lt;&gt;"",IFERROR(INDEX(Produtos!$C$4:$C$4996,MATCH(D2277,Produtos!$B$4:$B$4996,0)),"Produto não encontrado"),"")</f>
        <v/>
      </c>
    </row>
    <row r="2278" spans="1:5" x14ac:dyDescent="0.3">
      <c r="A2278" s="21" t="str">
        <f t="shared" si="35"/>
        <v>.</v>
      </c>
      <c r="D2278" s="44"/>
      <c r="E2278" s="22" t="str">
        <f>IF(D2278&lt;&gt;"",IFERROR(INDEX(Produtos!$C$4:$C$4996,MATCH(D2278,Produtos!$B$4:$B$4996,0)),"Produto não encontrado"),"")</f>
        <v/>
      </c>
    </row>
    <row r="2279" spans="1:5" x14ac:dyDescent="0.3">
      <c r="A2279" s="21" t="str">
        <f t="shared" si="35"/>
        <v>.</v>
      </c>
      <c r="D2279" s="44"/>
      <c r="E2279" s="22" t="str">
        <f>IF(D2279&lt;&gt;"",IFERROR(INDEX(Produtos!$C$4:$C$4996,MATCH(D2279,Produtos!$B$4:$B$4996,0)),"Produto não encontrado"),"")</f>
        <v/>
      </c>
    </row>
    <row r="2280" spans="1:5" x14ac:dyDescent="0.3">
      <c r="A2280" s="21" t="str">
        <f t="shared" si="35"/>
        <v>.</v>
      </c>
      <c r="D2280" s="44"/>
      <c r="E2280" s="22" t="str">
        <f>IF(D2280&lt;&gt;"",IFERROR(INDEX(Produtos!$C$4:$C$4996,MATCH(D2280,Produtos!$B$4:$B$4996,0)),"Produto não encontrado"),"")</f>
        <v/>
      </c>
    </row>
    <row r="2281" spans="1:5" x14ac:dyDescent="0.3">
      <c r="A2281" s="21" t="str">
        <f t="shared" si="35"/>
        <v>.</v>
      </c>
      <c r="D2281" s="44"/>
      <c r="E2281" s="22" t="str">
        <f>IF(D2281&lt;&gt;"",IFERROR(INDEX(Produtos!$C$4:$C$4996,MATCH(D2281,Produtos!$B$4:$B$4996,0)),"Produto não encontrado"),"")</f>
        <v/>
      </c>
    </row>
    <row r="2282" spans="1:5" x14ac:dyDescent="0.3">
      <c r="A2282" s="21" t="str">
        <f t="shared" si="35"/>
        <v>.</v>
      </c>
      <c r="D2282" s="44"/>
      <c r="E2282" s="22" t="str">
        <f>IF(D2282&lt;&gt;"",IFERROR(INDEX(Produtos!$C$4:$C$4996,MATCH(D2282,Produtos!$B$4:$B$4996,0)),"Produto não encontrado"),"")</f>
        <v/>
      </c>
    </row>
    <row r="2283" spans="1:5" x14ac:dyDescent="0.3">
      <c r="A2283" s="21" t="str">
        <f t="shared" si="35"/>
        <v>.</v>
      </c>
      <c r="D2283" s="44"/>
      <c r="E2283" s="22" t="str">
        <f>IF(D2283&lt;&gt;"",IFERROR(INDEX(Produtos!$C$4:$C$4996,MATCH(D2283,Produtos!$B$4:$B$4996,0)),"Produto não encontrado"),"")</f>
        <v/>
      </c>
    </row>
    <row r="2284" spans="1:5" x14ac:dyDescent="0.3">
      <c r="A2284" s="21" t="str">
        <f t="shared" si="35"/>
        <v>.</v>
      </c>
      <c r="D2284" s="44"/>
      <c r="E2284" s="22" t="str">
        <f>IF(D2284&lt;&gt;"",IFERROR(INDEX(Produtos!$C$4:$C$4996,MATCH(D2284,Produtos!$B$4:$B$4996,0)),"Produto não encontrado"),"")</f>
        <v/>
      </c>
    </row>
    <row r="2285" spans="1:5" x14ac:dyDescent="0.3">
      <c r="A2285" s="21" t="str">
        <f t="shared" si="35"/>
        <v>.</v>
      </c>
      <c r="D2285" s="44"/>
      <c r="E2285" s="22" t="str">
        <f>IF(D2285&lt;&gt;"",IFERROR(INDEX(Produtos!$C$4:$C$4996,MATCH(D2285,Produtos!$B$4:$B$4996,0)),"Produto não encontrado"),"")</f>
        <v/>
      </c>
    </row>
    <row r="2286" spans="1:5" x14ac:dyDescent="0.3">
      <c r="A2286" s="21" t="str">
        <f t="shared" si="35"/>
        <v>.</v>
      </c>
      <c r="D2286" s="44"/>
      <c r="E2286" s="22" t="str">
        <f>IF(D2286&lt;&gt;"",IFERROR(INDEX(Produtos!$C$4:$C$4996,MATCH(D2286,Produtos!$B$4:$B$4996,0)),"Produto não encontrado"),"")</f>
        <v/>
      </c>
    </row>
    <row r="2287" spans="1:5" x14ac:dyDescent="0.3">
      <c r="A2287" s="21" t="str">
        <f t="shared" si="35"/>
        <v>.</v>
      </c>
      <c r="D2287" s="44"/>
      <c r="E2287" s="22" t="str">
        <f>IF(D2287&lt;&gt;"",IFERROR(INDEX(Produtos!$C$4:$C$4996,MATCH(D2287,Produtos!$B$4:$B$4996,0)),"Produto não encontrado"),"")</f>
        <v/>
      </c>
    </row>
    <row r="2288" spans="1:5" x14ac:dyDescent="0.3">
      <c r="A2288" s="21" t="str">
        <f t="shared" si="35"/>
        <v>.</v>
      </c>
      <c r="D2288" s="44"/>
      <c r="E2288" s="22" t="str">
        <f>IF(D2288&lt;&gt;"",IFERROR(INDEX(Produtos!$C$4:$C$4996,MATCH(D2288,Produtos!$B$4:$B$4996,0)),"Produto não encontrado"),"")</f>
        <v/>
      </c>
    </row>
    <row r="2289" spans="1:5" x14ac:dyDescent="0.3">
      <c r="A2289" s="21" t="str">
        <f t="shared" si="35"/>
        <v>.</v>
      </c>
      <c r="D2289" s="44"/>
      <c r="E2289" s="22" t="str">
        <f>IF(D2289&lt;&gt;"",IFERROR(INDEX(Produtos!$C$4:$C$4996,MATCH(D2289,Produtos!$B$4:$B$4996,0)),"Produto não encontrado"),"")</f>
        <v/>
      </c>
    </row>
    <row r="2290" spans="1:5" x14ac:dyDescent="0.3">
      <c r="A2290" s="21" t="str">
        <f t="shared" si="35"/>
        <v>.</v>
      </c>
      <c r="D2290" s="44"/>
      <c r="E2290" s="22" t="str">
        <f>IF(D2290&lt;&gt;"",IFERROR(INDEX(Produtos!$C$4:$C$4996,MATCH(D2290,Produtos!$B$4:$B$4996,0)),"Produto não encontrado"),"")</f>
        <v/>
      </c>
    </row>
    <row r="2291" spans="1:5" x14ac:dyDescent="0.3">
      <c r="A2291" s="21" t="str">
        <f t="shared" si="35"/>
        <v>.</v>
      </c>
      <c r="D2291" s="44"/>
      <c r="E2291" s="22" t="str">
        <f>IF(D2291&lt;&gt;"",IFERROR(INDEX(Produtos!$C$4:$C$4996,MATCH(D2291,Produtos!$B$4:$B$4996,0)),"Produto não encontrado"),"")</f>
        <v/>
      </c>
    </row>
    <row r="2292" spans="1:5" x14ac:dyDescent="0.3">
      <c r="A2292" s="21" t="str">
        <f t="shared" si="35"/>
        <v>.</v>
      </c>
      <c r="D2292" s="44"/>
      <c r="E2292" s="22" t="str">
        <f>IF(D2292&lt;&gt;"",IFERROR(INDEX(Produtos!$C$4:$C$4996,MATCH(D2292,Produtos!$B$4:$B$4996,0)),"Produto não encontrado"),"")</f>
        <v/>
      </c>
    </row>
    <row r="2293" spans="1:5" x14ac:dyDescent="0.3">
      <c r="A2293" s="21" t="str">
        <f t="shared" si="35"/>
        <v>.</v>
      </c>
      <c r="D2293" s="44"/>
      <c r="E2293" s="22" t="str">
        <f>IF(D2293&lt;&gt;"",IFERROR(INDEX(Produtos!$C$4:$C$4996,MATCH(D2293,Produtos!$B$4:$B$4996,0)),"Produto não encontrado"),"")</f>
        <v/>
      </c>
    </row>
    <row r="2294" spans="1:5" x14ac:dyDescent="0.3">
      <c r="A2294" s="21" t="str">
        <f t="shared" si="35"/>
        <v>.</v>
      </c>
      <c r="D2294" s="44"/>
      <c r="E2294" s="22" t="str">
        <f>IF(D2294&lt;&gt;"",IFERROR(INDEX(Produtos!$C$4:$C$4996,MATCH(D2294,Produtos!$B$4:$B$4996,0)),"Produto não encontrado"),"")</f>
        <v/>
      </c>
    </row>
    <row r="2295" spans="1:5" x14ac:dyDescent="0.3">
      <c r="A2295" s="21" t="str">
        <f t="shared" si="35"/>
        <v>.</v>
      </c>
      <c r="D2295" s="44"/>
      <c r="E2295" s="22" t="str">
        <f>IF(D2295&lt;&gt;"",IFERROR(INDEX(Produtos!$C$4:$C$4996,MATCH(D2295,Produtos!$B$4:$B$4996,0)),"Produto não encontrado"),"")</f>
        <v/>
      </c>
    </row>
    <row r="2296" spans="1:5" x14ac:dyDescent="0.3">
      <c r="A2296" s="21" t="str">
        <f t="shared" si="35"/>
        <v>.</v>
      </c>
      <c r="D2296" s="44"/>
      <c r="E2296" s="22" t="str">
        <f>IF(D2296&lt;&gt;"",IFERROR(INDEX(Produtos!$C$4:$C$4996,MATCH(D2296,Produtos!$B$4:$B$4996,0)),"Produto não encontrado"),"")</f>
        <v/>
      </c>
    </row>
    <row r="2297" spans="1:5" x14ac:dyDescent="0.3">
      <c r="A2297" s="21" t="str">
        <f t="shared" si="35"/>
        <v>.</v>
      </c>
      <c r="D2297" s="44"/>
      <c r="E2297" s="22" t="str">
        <f>IF(D2297&lt;&gt;"",IFERROR(INDEX(Produtos!$C$4:$C$4996,MATCH(D2297,Produtos!$B$4:$B$4996,0)),"Produto não encontrado"),"")</f>
        <v/>
      </c>
    </row>
    <row r="2298" spans="1:5" x14ac:dyDescent="0.3">
      <c r="A2298" s="21" t="str">
        <f t="shared" si="35"/>
        <v>.</v>
      </c>
      <c r="D2298" s="44"/>
      <c r="E2298" s="22" t="str">
        <f>IF(D2298&lt;&gt;"",IFERROR(INDEX(Produtos!$C$4:$C$4996,MATCH(D2298,Produtos!$B$4:$B$4996,0)),"Produto não encontrado"),"")</f>
        <v/>
      </c>
    </row>
    <row r="2299" spans="1:5" x14ac:dyDescent="0.3">
      <c r="A2299" s="21" t="str">
        <f t="shared" si="35"/>
        <v>.</v>
      </c>
      <c r="D2299" s="44"/>
      <c r="E2299" s="22" t="str">
        <f>IF(D2299&lt;&gt;"",IFERROR(INDEX(Produtos!$C$4:$C$4996,MATCH(D2299,Produtos!$B$4:$B$4996,0)),"Produto não encontrado"),"")</f>
        <v/>
      </c>
    </row>
    <row r="2300" spans="1:5" x14ac:dyDescent="0.3">
      <c r="A2300" s="21" t="str">
        <f t="shared" si="35"/>
        <v>.</v>
      </c>
      <c r="D2300" s="44"/>
      <c r="E2300" s="22" t="str">
        <f>IF(D2300&lt;&gt;"",IFERROR(INDEX(Produtos!$C$4:$C$4996,MATCH(D2300,Produtos!$B$4:$B$4996,0)),"Produto não encontrado"),"")</f>
        <v/>
      </c>
    </row>
    <row r="2301" spans="1:5" x14ac:dyDescent="0.3">
      <c r="A2301" s="21" t="str">
        <f t="shared" si="35"/>
        <v>.</v>
      </c>
      <c r="D2301" s="44"/>
      <c r="E2301" s="22" t="str">
        <f>IF(D2301&lt;&gt;"",IFERROR(INDEX(Produtos!$C$4:$C$4996,MATCH(D2301,Produtos!$B$4:$B$4996,0)),"Produto não encontrado"),"")</f>
        <v/>
      </c>
    </row>
    <row r="2302" spans="1:5" x14ac:dyDescent="0.3">
      <c r="A2302" s="21" t="str">
        <f t="shared" si="35"/>
        <v>.</v>
      </c>
      <c r="D2302" s="44"/>
      <c r="E2302" s="22" t="str">
        <f>IF(D2302&lt;&gt;"",IFERROR(INDEX(Produtos!$C$4:$C$4996,MATCH(D2302,Produtos!$B$4:$B$4996,0)),"Produto não encontrado"),"")</f>
        <v/>
      </c>
    </row>
    <row r="2303" spans="1:5" x14ac:dyDescent="0.3">
      <c r="A2303" s="21" t="str">
        <f t="shared" si="35"/>
        <v>.</v>
      </c>
      <c r="D2303" s="44"/>
      <c r="E2303" s="22" t="str">
        <f>IF(D2303&lt;&gt;"",IFERROR(INDEX(Produtos!$C$4:$C$4996,MATCH(D2303,Produtos!$B$4:$B$4996,0)),"Produto não encontrado"),"")</f>
        <v/>
      </c>
    </row>
    <row r="2304" spans="1:5" x14ac:dyDescent="0.3">
      <c r="A2304" s="21" t="str">
        <f t="shared" ref="A2304:A2367" si="36">IF(C2304="Entrada",2,IF(C2304="Saída",1,"."))</f>
        <v>.</v>
      </c>
      <c r="D2304" s="44"/>
      <c r="E2304" s="22" t="str">
        <f>IF(D2304&lt;&gt;"",IFERROR(INDEX(Produtos!$C$4:$C$4996,MATCH(D2304,Produtos!$B$4:$B$4996,0)),"Produto não encontrado"),"")</f>
        <v/>
      </c>
    </row>
    <row r="2305" spans="1:5" x14ac:dyDescent="0.3">
      <c r="A2305" s="21" t="str">
        <f t="shared" si="36"/>
        <v>.</v>
      </c>
      <c r="D2305" s="44"/>
      <c r="E2305" s="22" t="str">
        <f>IF(D2305&lt;&gt;"",IFERROR(INDEX(Produtos!$C$4:$C$4996,MATCH(D2305,Produtos!$B$4:$B$4996,0)),"Produto não encontrado"),"")</f>
        <v/>
      </c>
    </row>
    <row r="2306" spans="1:5" x14ac:dyDescent="0.3">
      <c r="A2306" s="21" t="str">
        <f t="shared" si="36"/>
        <v>.</v>
      </c>
      <c r="D2306" s="44"/>
      <c r="E2306" s="22" t="str">
        <f>IF(D2306&lt;&gt;"",IFERROR(INDEX(Produtos!$C$4:$C$4996,MATCH(D2306,Produtos!$B$4:$B$4996,0)),"Produto não encontrado"),"")</f>
        <v/>
      </c>
    </row>
    <row r="2307" spans="1:5" x14ac:dyDescent="0.3">
      <c r="A2307" s="21" t="str">
        <f t="shared" si="36"/>
        <v>.</v>
      </c>
      <c r="D2307" s="44"/>
      <c r="E2307" s="22" t="str">
        <f>IF(D2307&lt;&gt;"",IFERROR(INDEX(Produtos!$C$4:$C$4996,MATCH(D2307,Produtos!$B$4:$B$4996,0)),"Produto não encontrado"),"")</f>
        <v/>
      </c>
    </row>
    <row r="2308" spans="1:5" x14ac:dyDescent="0.3">
      <c r="A2308" s="21" t="str">
        <f t="shared" si="36"/>
        <v>.</v>
      </c>
      <c r="D2308" s="44"/>
      <c r="E2308" s="22" t="str">
        <f>IF(D2308&lt;&gt;"",IFERROR(INDEX(Produtos!$C$4:$C$4996,MATCH(D2308,Produtos!$B$4:$B$4996,0)),"Produto não encontrado"),"")</f>
        <v/>
      </c>
    </row>
    <row r="2309" spans="1:5" x14ac:dyDescent="0.3">
      <c r="A2309" s="21" t="str">
        <f t="shared" si="36"/>
        <v>.</v>
      </c>
      <c r="D2309" s="44"/>
      <c r="E2309" s="22" t="str">
        <f>IF(D2309&lt;&gt;"",IFERROR(INDEX(Produtos!$C$4:$C$4996,MATCH(D2309,Produtos!$B$4:$B$4996,0)),"Produto não encontrado"),"")</f>
        <v/>
      </c>
    </row>
    <row r="2310" spans="1:5" x14ac:dyDescent="0.3">
      <c r="A2310" s="21" t="str">
        <f t="shared" si="36"/>
        <v>.</v>
      </c>
      <c r="D2310" s="44"/>
      <c r="E2310" s="22" t="str">
        <f>IF(D2310&lt;&gt;"",IFERROR(INDEX(Produtos!$C$4:$C$4996,MATCH(D2310,Produtos!$B$4:$B$4996,0)),"Produto não encontrado"),"")</f>
        <v/>
      </c>
    </row>
    <row r="2311" spans="1:5" x14ac:dyDescent="0.3">
      <c r="A2311" s="21" t="str">
        <f t="shared" si="36"/>
        <v>.</v>
      </c>
      <c r="D2311" s="44"/>
      <c r="E2311" s="22" t="str">
        <f>IF(D2311&lt;&gt;"",IFERROR(INDEX(Produtos!$C$4:$C$4996,MATCH(D2311,Produtos!$B$4:$B$4996,0)),"Produto não encontrado"),"")</f>
        <v/>
      </c>
    </row>
    <row r="2312" spans="1:5" x14ac:dyDescent="0.3">
      <c r="A2312" s="21" t="str">
        <f t="shared" si="36"/>
        <v>.</v>
      </c>
      <c r="D2312" s="44"/>
      <c r="E2312" s="22" t="str">
        <f>IF(D2312&lt;&gt;"",IFERROR(INDEX(Produtos!$C$4:$C$4996,MATCH(D2312,Produtos!$B$4:$B$4996,0)),"Produto não encontrado"),"")</f>
        <v/>
      </c>
    </row>
    <row r="2313" spans="1:5" x14ac:dyDescent="0.3">
      <c r="A2313" s="21" t="str">
        <f t="shared" si="36"/>
        <v>.</v>
      </c>
      <c r="D2313" s="44"/>
      <c r="E2313" s="22" t="str">
        <f>IF(D2313&lt;&gt;"",IFERROR(INDEX(Produtos!$C$4:$C$4996,MATCH(D2313,Produtos!$B$4:$B$4996,0)),"Produto não encontrado"),"")</f>
        <v/>
      </c>
    </row>
    <row r="2314" spans="1:5" x14ac:dyDescent="0.3">
      <c r="A2314" s="21" t="str">
        <f t="shared" si="36"/>
        <v>.</v>
      </c>
      <c r="D2314" s="44"/>
      <c r="E2314" s="22" t="str">
        <f>IF(D2314&lt;&gt;"",IFERROR(INDEX(Produtos!$C$4:$C$4996,MATCH(D2314,Produtos!$B$4:$B$4996,0)),"Produto não encontrado"),"")</f>
        <v/>
      </c>
    </row>
    <row r="2315" spans="1:5" x14ac:dyDescent="0.3">
      <c r="A2315" s="21" t="str">
        <f t="shared" si="36"/>
        <v>.</v>
      </c>
      <c r="D2315" s="44"/>
      <c r="E2315" s="22" t="str">
        <f>IF(D2315&lt;&gt;"",IFERROR(INDEX(Produtos!$C$4:$C$4996,MATCH(D2315,Produtos!$B$4:$B$4996,0)),"Produto não encontrado"),"")</f>
        <v/>
      </c>
    </row>
    <row r="2316" spans="1:5" x14ac:dyDescent="0.3">
      <c r="A2316" s="21" t="str">
        <f t="shared" si="36"/>
        <v>.</v>
      </c>
      <c r="D2316" s="44"/>
      <c r="E2316" s="22" t="str">
        <f>IF(D2316&lt;&gt;"",IFERROR(INDEX(Produtos!$C$4:$C$4996,MATCH(D2316,Produtos!$B$4:$B$4996,0)),"Produto não encontrado"),"")</f>
        <v/>
      </c>
    </row>
    <row r="2317" spans="1:5" x14ac:dyDescent="0.3">
      <c r="A2317" s="21" t="str">
        <f t="shared" si="36"/>
        <v>.</v>
      </c>
      <c r="D2317" s="44"/>
      <c r="E2317" s="22" t="str">
        <f>IF(D2317&lt;&gt;"",IFERROR(INDEX(Produtos!$C$4:$C$4996,MATCH(D2317,Produtos!$B$4:$B$4996,0)),"Produto não encontrado"),"")</f>
        <v/>
      </c>
    </row>
    <row r="2318" spans="1:5" x14ac:dyDescent="0.3">
      <c r="A2318" s="21" t="str">
        <f t="shared" si="36"/>
        <v>.</v>
      </c>
      <c r="D2318" s="44"/>
      <c r="E2318" s="22" t="str">
        <f>IF(D2318&lt;&gt;"",IFERROR(INDEX(Produtos!$C$4:$C$4996,MATCH(D2318,Produtos!$B$4:$B$4996,0)),"Produto não encontrado"),"")</f>
        <v/>
      </c>
    </row>
    <row r="2319" spans="1:5" x14ac:dyDescent="0.3">
      <c r="A2319" s="21" t="str">
        <f t="shared" si="36"/>
        <v>.</v>
      </c>
      <c r="D2319" s="44"/>
      <c r="E2319" s="22" t="str">
        <f>IF(D2319&lt;&gt;"",IFERROR(INDEX(Produtos!$C$4:$C$4996,MATCH(D2319,Produtos!$B$4:$B$4996,0)),"Produto não encontrado"),"")</f>
        <v/>
      </c>
    </row>
    <row r="2320" spans="1:5" x14ac:dyDescent="0.3">
      <c r="A2320" s="21" t="str">
        <f t="shared" si="36"/>
        <v>.</v>
      </c>
      <c r="D2320" s="44"/>
      <c r="E2320" s="22" t="str">
        <f>IF(D2320&lt;&gt;"",IFERROR(INDEX(Produtos!$C$4:$C$4996,MATCH(D2320,Produtos!$B$4:$B$4996,0)),"Produto não encontrado"),"")</f>
        <v/>
      </c>
    </row>
    <row r="2321" spans="1:5" x14ac:dyDescent="0.3">
      <c r="A2321" s="21" t="str">
        <f t="shared" si="36"/>
        <v>.</v>
      </c>
      <c r="D2321" s="44"/>
      <c r="E2321" s="22" t="str">
        <f>IF(D2321&lt;&gt;"",IFERROR(INDEX(Produtos!$C$4:$C$4996,MATCH(D2321,Produtos!$B$4:$B$4996,0)),"Produto não encontrado"),"")</f>
        <v/>
      </c>
    </row>
    <row r="2322" spans="1:5" x14ac:dyDescent="0.3">
      <c r="A2322" s="21" t="str">
        <f t="shared" si="36"/>
        <v>.</v>
      </c>
      <c r="D2322" s="44"/>
      <c r="E2322" s="22" t="str">
        <f>IF(D2322&lt;&gt;"",IFERROR(INDEX(Produtos!$C$4:$C$4996,MATCH(D2322,Produtos!$B$4:$B$4996,0)),"Produto não encontrado"),"")</f>
        <v/>
      </c>
    </row>
    <row r="2323" spans="1:5" x14ac:dyDescent="0.3">
      <c r="A2323" s="21" t="str">
        <f t="shared" si="36"/>
        <v>.</v>
      </c>
      <c r="D2323" s="44"/>
      <c r="E2323" s="22" t="str">
        <f>IF(D2323&lt;&gt;"",IFERROR(INDEX(Produtos!$C$4:$C$4996,MATCH(D2323,Produtos!$B$4:$B$4996,0)),"Produto não encontrado"),"")</f>
        <v/>
      </c>
    </row>
    <row r="2324" spans="1:5" x14ac:dyDescent="0.3">
      <c r="A2324" s="21" t="str">
        <f t="shared" si="36"/>
        <v>.</v>
      </c>
      <c r="D2324" s="44"/>
      <c r="E2324" s="22" t="str">
        <f>IF(D2324&lt;&gt;"",IFERROR(INDEX(Produtos!$C$4:$C$4996,MATCH(D2324,Produtos!$B$4:$B$4996,0)),"Produto não encontrado"),"")</f>
        <v/>
      </c>
    </row>
    <row r="2325" spans="1:5" x14ac:dyDescent="0.3">
      <c r="A2325" s="21" t="str">
        <f t="shared" si="36"/>
        <v>.</v>
      </c>
      <c r="D2325" s="44"/>
      <c r="E2325" s="22" t="str">
        <f>IF(D2325&lt;&gt;"",IFERROR(INDEX(Produtos!$C$4:$C$4996,MATCH(D2325,Produtos!$B$4:$B$4996,0)),"Produto não encontrado"),"")</f>
        <v/>
      </c>
    </row>
    <row r="2326" spans="1:5" x14ac:dyDescent="0.3">
      <c r="A2326" s="21" t="str">
        <f t="shared" si="36"/>
        <v>.</v>
      </c>
      <c r="D2326" s="44"/>
      <c r="E2326" s="22" t="str">
        <f>IF(D2326&lt;&gt;"",IFERROR(INDEX(Produtos!$C$4:$C$4996,MATCH(D2326,Produtos!$B$4:$B$4996,0)),"Produto não encontrado"),"")</f>
        <v/>
      </c>
    </row>
    <row r="2327" spans="1:5" x14ac:dyDescent="0.3">
      <c r="A2327" s="21" t="str">
        <f t="shared" si="36"/>
        <v>.</v>
      </c>
      <c r="D2327" s="44"/>
      <c r="E2327" s="22" t="str">
        <f>IF(D2327&lt;&gt;"",IFERROR(INDEX(Produtos!$C$4:$C$4996,MATCH(D2327,Produtos!$B$4:$B$4996,0)),"Produto não encontrado"),"")</f>
        <v/>
      </c>
    </row>
    <row r="2328" spans="1:5" x14ac:dyDescent="0.3">
      <c r="A2328" s="21" t="str">
        <f t="shared" si="36"/>
        <v>.</v>
      </c>
      <c r="D2328" s="44"/>
      <c r="E2328" s="22" t="str">
        <f>IF(D2328&lt;&gt;"",IFERROR(INDEX(Produtos!$C$4:$C$4996,MATCH(D2328,Produtos!$B$4:$B$4996,0)),"Produto não encontrado"),"")</f>
        <v/>
      </c>
    </row>
    <row r="2329" spans="1:5" x14ac:dyDescent="0.3">
      <c r="A2329" s="21" t="str">
        <f t="shared" si="36"/>
        <v>.</v>
      </c>
      <c r="D2329" s="44"/>
      <c r="E2329" s="22" t="str">
        <f>IF(D2329&lt;&gt;"",IFERROR(INDEX(Produtos!$C$4:$C$4996,MATCH(D2329,Produtos!$B$4:$B$4996,0)),"Produto não encontrado"),"")</f>
        <v/>
      </c>
    </row>
    <row r="2330" spans="1:5" x14ac:dyDescent="0.3">
      <c r="A2330" s="21" t="str">
        <f t="shared" si="36"/>
        <v>.</v>
      </c>
      <c r="D2330" s="44"/>
      <c r="E2330" s="22" t="str">
        <f>IF(D2330&lt;&gt;"",IFERROR(INDEX(Produtos!$C$4:$C$4996,MATCH(D2330,Produtos!$B$4:$B$4996,0)),"Produto não encontrado"),"")</f>
        <v/>
      </c>
    </row>
    <row r="2331" spans="1:5" x14ac:dyDescent="0.3">
      <c r="A2331" s="21" t="str">
        <f t="shared" si="36"/>
        <v>.</v>
      </c>
      <c r="D2331" s="44"/>
      <c r="E2331" s="22" t="str">
        <f>IF(D2331&lt;&gt;"",IFERROR(INDEX(Produtos!$C$4:$C$4996,MATCH(D2331,Produtos!$B$4:$B$4996,0)),"Produto não encontrado"),"")</f>
        <v/>
      </c>
    </row>
    <row r="2332" spans="1:5" x14ac:dyDescent="0.3">
      <c r="A2332" s="21" t="str">
        <f t="shared" si="36"/>
        <v>.</v>
      </c>
      <c r="D2332" s="44"/>
      <c r="E2332" s="22" t="str">
        <f>IF(D2332&lt;&gt;"",IFERROR(INDEX(Produtos!$C$4:$C$4996,MATCH(D2332,Produtos!$B$4:$B$4996,0)),"Produto não encontrado"),"")</f>
        <v/>
      </c>
    </row>
    <row r="2333" spans="1:5" x14ac:dyDescent="0.3">
      <c r="A2333" s="21" t="str">
        <f t="shared" si="36"/>
        <v>.</v>
      </c>
      <c r="D2333" s="44"/>
      <c r="E2333" s="22" t="str">
        <f>IF(D2333&lt;&gt;"",IFERROR(INDEX(Produtos!$C$4:$C$4996,MATCH(D2333,Produtos!$B$4:$B$4996,0)),"Produto não encontrado"),"")</f>
        <v/>
      </c>
    </row>
    <row r="2334" spans="1:5" x14ac:dyDescent="0.3">
      <c r="A2334" s="21" t="str">
        <f t="shared" si="36"/>
        <v>.</v>
      </c>
      <c r="D2334" s="44"/>
      <c r="E2334" s="22" t="str">
        <f>IF(D2334&lt;&gt;"",IFERROR(INDEX(Produtos!$C$4:$C$4996,MATCH(D2334,Produtos!$B$4:$B$4996,0)),"Produto não encontrado"),"")</f>
        <v/>
      </c>
    </row>
    <row r="2335" spans="1:5" x14ac:dyDescent="0.3">
      <c r="A2335" s="21" t="str">
        <f t="shared" si="36"/>
        <v>.</v>
      </c>
      <c r="D2335" s="44"/>
      <c r="E2335" s="22" t="str">
        <f>IF(D2335&lt;&gt;"",IFERROR(INDEX(Produtos!$C$4:$C$4996,MATCH(D2335,Produtos!$B$4:$B$4996,0)),"Produto não encontrado"),"")</f>
        <v/>
      </c>
    </row>
    <row r="2336" spans="1:5" x14ac:dyDescent="0.3">
      <c r="A2336" s="21" t="str">
        <f t="shared" si="36"/>
        <v>.</v>
      </c>
      <c r="D2336" s="44"/>
      <c r="E2336" s="22" t="str">
        <f>IF(D2336&lt;&gt;"",IFERROR(INDEX(Produtos!$C$4:$C$4996,MATCH(D2336,Produtos!$B$4:$B$4996,0)),"Produto não encontrado"),"")</f>
        <v/>
      </c>
    </row>
    <row r="2337" spans="1:5" x14ac:dyDescent="0.3">
      <c r="A2337" s="21" t="str">
        <f t="shared" si="36"/>
        <v>.</v>
      </c>
      <c r="D2337" s="44"/>
      <c r="E2337" s="22" t="str">
        <f>IF(D2337&lt;&gt;"",IFERROR(INDEX(Produtos!$C$4:$C$4996,MATCH(D2337,Produtos!$B$4:$B$4996,0)),"Produto não encontrado"),"")</f>
        <v/>
      </c>
    </row>
    <row r="2338" spans="1:5" x14ac:dyDescent="0.3">
      <c r="A2338" s="21" t="str">
        <f t="shared" si="36"/>
        <v>.</v>
      </c>
      <c r="D2338" s="44"/>
      <c r="E2338" s="22" t="str">
        <f>IF(D2338&lt;&gt;"",IFERROR(INDEX(Produtos!$C$4:$C$4996,MATCH(D2338,Produtos!$B$4:$B$4996,0)),"Produto não encontrado"),"")</f>
        <v/>
      </c>
    </row>
    <row r="2339" spans="1:5" x14ac:dyDescent="0.3">
      <c r="A2339" s="21" t="str">
        <f t="shared" si="36"/>
        <v>.</v>
      </c>
      <c r="D2339" s="44"/>
      <c r="E2339" s="22" t="str">
        <f>IF(D2339&lt;&gt;"",IFERROR(INDEX(Produtos!$C$4:$C$4996,MATCH(D2339,Produtos!$B$4:$B$4996,0)),"Produto não encontrado"),"")</f>
        <v/>
      </c>
    </row>
    <row r="2340" spans="1:5" x14ac:dyDescent="0.3">
      <c r="A2340" s="21" t="str">
        <f t="shared" si="36"/>
        <v>.</v>
      </c>
      <c r="D2340" s="44"/>
      <c r="E2340" s="22" t="str">
        <f>IF(D2340&lt;&gt;"",IFERROR(INDEX(Produtos!$C$4:$C$4996,MATCH(D2340,Produtos!$B$4:$B$4996,0)),"Produto não encontrado"),"")</f>
        <v/>
      </c>
    </row>
    <row r="2341" spans="1:5" x14ac:dyDescent="0.3">
      <c r="A2341" s="21" t="str">
        <f t="shared" si="36"/>
        <v>.</v>
      </c>
      <c r="D2341" s="44"/>
      <c r="E2341" s="22" t="str">
        <f>IF(D2341&lt;&gt;"",IFERROR(INDEX(Produtos!$C$4:$C$4996,MATCH(D2341,Produtos!$B$4:$B$4996,0)),"Produto não encontrado"),"")</f>
        <v/>
      </c>
    </row>
    <row r="2342" spans="1:5" x14ac:dyDescent="0.3">
      <c r="A2342" s="21" t="str">
        <f t="shared" si="36"/>
        <v>.</v>
      </c>
      <c r="D2342" s="44"/>
      <c r="E2342" s="22" t="str">
        <f>IF(D2342&lt;&gt;"",IFERROR(INDEX(Produtos!$C$4:$C$4996,MATCH(D2342,Produtos!$B$4:$B$4996,0)),"Produto não encontrado"),"")</f>
        <v/>
      </c>
    </row>
    <row r="2343" spans="1:5" x14ac:dyDescent="0.3">
      <c r="A2343" s="21" t="str">
        <f t="shared" si="36"/>
        <v>.</v>
      </c>
      <c r="D2343" s="44"/>
      <c r="E2343" s="22" t="str">
        <f>IF(D2343&lt;&gt;"",IFERROR(INDEX(Produtos!$C$4:$C$4996,MATCH(D2343,Produtos!$B$4:$B$4996,0)),"Produto não encontrado"),"")</f>
        <v/>
      </c>
    </row>
    <row r="2344" spans="1:5" x14ac:dyDescent="0.3">
      <c r="A2344" s="21" t="str">
        <f t="shared" si="36"/>
        <v>.</v>
      </c>
      <c r="D2344" s="44"/>
      <c r="E2344" s="22" t="str">
        <f>IF(D2344&lt;&gt;"",IFERROR(INDEX(Produtos!$C$4:$C$4996,MATCH(D2344,Produtos!$B$4:$B$4996,0)),"Produto não encontrado"),"")</f>
        <v/>
      </c>
    </row>
    <row r="2345" spans="1:5" x14ac:dyDescent="0.3">
      <c r="A2345" s="21" t="str">
        <f t="shared" si="36"/>
        <v>.</v>
      </c>
      <c r="D2345" s="44"/>
      <c r="E2345" s="22" t="str">
        <f>IF(D2345&lt;&gt;"",IFERROR(INDEX(Produtos!$C$4:$C$4996,MATCH(D2345,Produtos!$B$4:$B$4996,0)),"Produto não encontrado"),"")</f>
        <v/>
      </c>
    </row>
    <row r="2346" spans="1:5" x14ac:dyDescent="0.3">
      <c r="A2346" s="21" t="str">
        <f t="shared" si="36"/>
        <v>.</v>
      </c>
      <c r="D2346" s="44"/>
      <c r="E2346" s="22" t="str">
        <f>IF(D2346&lt;&gt;"",IFERROR(INDEX(Produtos!$C$4:$C$4996,MATCH(D2346,Produtos!$B$4:$B$4996,0)),"Produto não encontrado"),"")</f>
        <v/>
      </c>
    </row>
    <row r="2347" spans="1:5" x14ac:dyDescent="0.3">
      <c r="A2347" s="21" t="str">
        <f t="shared" si="36"/>
        <v>.</v>
      </c>
      <c r="D2347" s="44"/>
      <c r="E2347" s="22" t="str">
        <f>IF(D2347&lt;&gt;"",IFERROR(INDEX(Produtos!$C$4:$C$4996,MATCH(D2347,Produtos!$B$4:$B$4996,0)),"Produto não encontrado"),"")</f>
        <v/>
      </c>
    </row>
    <row r="2348" spans="1:5" x14ac:dyDescent="0.3">
      <c r="A2348" s="21" t="str">
        <f t="shared" si="36"/>
        <v>.</v>
      </c>
      <c r="D2348" s="44"/>
      <c r="E2348" s="22" t="str">
        <f>IF(D2348&lt;&gt;"",IFERROR(INDEX(Produtos!$C$4:$C$4996,MATCH(D2348,Produtos!$B$4:$B$4996,0)),"Produto não encontrado"),"")</f>
        <v/>
      </c>
    </row>
    <row r="2349" spans="1:5" x14ac:dyDescent="0.3">
      <c r="A2349" s="21" t="str">
        <f t="shared" si="36"/>
        <v>.</v>
      </c>
      <c r="D2349" s="44"/>
      <c r="E2349" s="22" t="str">
        <f>IF(D2349&lt;&gt;"",IFERROR(INDEX(Produtos!$C$4:$C$4996,MATCH(D2349,Produtos!$B$4:$B$4996,0)),"Produto não encontrado"),"")</f>
        <v/>
      </c>
    </row>
    <row r="2350" spans="1:5" x14ac:dyDescent="0.3">
      <c r="A2350" s="21" t="str">
        <f t="shared" si="36"/>
        <v>.</v>
      </c>
      <c r="D2350" s="44"/>
      <c r="E2350" s="22" t="str">
        <f>IF(D2350&lt;&gt;"",IFERROR(INDEX(Produtos!$C$4:$C$4996,MATCH(D2350,Produtos!$B$4:$B$4996,0)),"Produto não encontrado"),"")</f>
        <v/>
      </c>
    </row>
    <row r="2351" spans="1:5" x14ac:dyDescent="0.3">
      <c r="A2351" s="21" t="str">
        <f t="shared" si="36"/>
        <v>.</v>
      </c>
      <c r="D2351" s="44"/>
      <c r="E2351" s="22" t="str">
        <f>IF(D2351&lt;&gt;"",IFERROR(INDEX(Produtos!$C$4:$C$4996,MATCH(D2351,Produtos!$B$4:$B$4996,0)),"Produto não encontrado"),"")</f>
        <v/>
      </c>
    </row>
    <row r="2352" spans="1:5" x14ac:dyDescent="0.3">
      <c r="A2352" s="21" t="str">
        <f t="shared" si="36"/>
        <v>.</v>
      </c>
      <c r="D2352" s="44"/>
      <c r="E2352" s="22" t="str">
        <f>IF(D2352&lt;&gt;"",IFERROR(INDEX(Produtos!$C$4:$C$4996,MATCH(D2352,Produtos!$B$4:$B$4996,0)),"Produto não encontrado"),"")</f>
        <v/>
      </c>
    </row>
    <row r="2353" spans="1:5" x14ac:dyDescent="0.3">
      <c r="A2353" s="21" t="str">
        <f t="shared" si="36"/>
        <v>.</v>
      </c>
      <c r="D2353" s="44"/>
      <c r="E2353" s="22" t="str">
        <f>IF(D2353&lt;&gt;"",IFERROR(INDEX(Produtos!$C$4:$C$4996,MATCH(D2353,Produtos!$B$4:$B$4996,0)),"Produto não encontrado"),"")</f>
        <v/>
      </c>
    </row>
    <row r="2354" spans="1:5" x14ac:dyDescent="0.3">
      <c r="A2354" s="21" t="str">
        <f t="shared" si="36"/>
        <v>.</v>
      </c>
      <c r="D2354" s="44"/>
      <c r="E2354" s="22" t="str">
        <f>IF(D2354&lt;&gt;"",IFERROR(INDEX(Produtos!$C$4:$C$4996,MATCH(D2354,Produtos!$B$4:$B$4996,0)),"Produto não encontrado"),"")</f>
        <v/>
      </c>
    </row>
    <row r="2355" spans="1:5" x14ac:dyDescent="0.3">
      <c r="A2355" s="21" t="str">
        <f t="shared" si="36"/>
        <v>.</v>
      </c>
      <c r="D2355" s="44"/>
      <c r="E2355" s="22" t="str">
        <f>IF(D2355&lt;&gt;"",IFERROR(INDEX(Produtos!$C$4:$C$4996,MATCH(D2355,Produtos!$B$4:$B$4996,0)),"Produto não encontrado"),"")</f>
        <v/>
      </c>
    </row>
    <row r="2356" spans="1:5" x14ac:dyDescent="0.3">
      <c r="A2356" s="21" t="str">
        <f t="shared" si="36"/>
        <v>.</v>
      </c>
      <c r="D2356" s="44"/>
      <c r="E2356" s="22" t="str">
        <f>IF(D2356&lt;&gt;"",IFERROR(INDEX(Produtos!$C$4:$C$4996,MATCH(D2356,Produtos!$B$4:$B$4996,0)),"Produto não encontrado"),"")</f>
        <v/>
      </c>
    </row>
    <row r="2357" spans="1:5" x14ac:dyDescent="0.3">
      <c r="A2357" s="21" t="str">
        <f t="shared" si="36"/>
        <v>.</v>
      </c>
      <c r="D2357" s="44"/>
      <c r="E2357" s="22" t="str">
        <f>IF(D2357&lt;&gt;"",IFERROR(INDEX(Produtos!$C$4:$C$4996,MATCH(D2357,Produtos!$B$4:$B$4996,0)),"Produto não encontrado"),"")</f>
        <v/>
      </c>
    </row>
    <row r="2358" spans="1:5" x14ac:dyDescent="0.3">
      <c r="A2358" s="21" t="str">
        <f t="shared" si="36"/>
        <v>.</v>
      </c>
      <c r="D2358" s="44"/>
      <c r="E2358" s="22" t="str">
        <f>IF(D2358&lt;&gt;"",IFERROR(INDEX(Produtos!$C$4:$C$4996,MATCH(D2358,Produtos!$B$4:$B$4996,0)),"Produto não encontrado"),"")</f>
        <v/>
      </c>
    </row>
    <row r="2359" spans="1:5" x14ac:dyDescent="0.3">
      <c r="A2359" s="21" t="str">
        <f t="shared" si="36"/>
        <v>.</v>
      </c>
      <c r="D2359" s="44"/>
      <c r="E2359" s="22" t="str">
        <f>IF(D2359&lt;&gt;"",IFERROR(INDEX(Produtos!$C$4:$C$4996,MATCH(D2359,Produtos!$B$4:$B$4996,0)),"Produto não encontrado"),"")</f>
        <v/>
      </c>
    </row>
    <row r="2360" spans="1:5" x14ac:dyDescent="0.3">
      <c r="A2360" s="21" t="str">
        <f t="shared" si="36"/>
        <v>.</v>
      </c>
      <c r="D2360" s="44"/>
      <c r="E2360" s="22" t="str">
        <f>IF(D2360&lt;&gt;"",IFERROR(INDEX(Produtos!$C$4:$C$4996,MATCH(D2360,Produtos!$B$4:$B$4996,0)),"Produto não encontrado"),"")</f>
        <v/>
      </c>
    </row>
    <row r="2361" spans="1:5" x14ac:dyDescent="0.3">
      <c r="A2361" s="21" t="str">
        <f t="shared" si="36"/>
        <v>.</v>
      </c>
      <c r="D2361" s="44"/>
      <c r="E2361" s="22" t="str">
        <f>IF(D2361&lt;&gt;"",IFERROR(INDEX(Produtos!$C$4:$C$4996,MATCH(D2361,Produtos!$B$4:$B$4996,0)),"Produto não encontrado"),"")</f>
        <v/>
      </c>
    </row>
    <row r="2362" spans="1:5" x14ac:dyDescent="0.3">
      <c r="A2362" s="21" t="str">
        <f t="shared" si="36"/>
        <v>.</v>
      </c>
      <c r="D2362" s="44"/>
      <c r="E2362" s="22" t="str">
        <f>IF(D2362&lt;&gt;"",IFERROR(INDEX(Produtos!$C$4:$C$4996,MATCH(D2362,Produtos!$B$4:$B$4996,0)),"Produto não encontrado"),"")</f>
        <v/>
      </c>
    </row>
    <row r="2363" spans="1:5" x14ac:dyDescent="0.3">
      <c r="A2363" s="21" t="str">
        <f t="shared" si="36"/>
        <v>.</v>
      </c>
      <c r="D2363" s="44"/>
      <c r="E2363" s="22" t="str">
        <f>IF(D2363&lt;&gt;"",IFERROR(INDEX(Produtos!$C$4:$C$4996,MATCH(D2363,Produtos!$B$4:$B$4996,0)),"Produto não encontrado"),"")</f>
        <v/>
      </c>
    </row>
    <row r="2364" spans="1:5" x14ac:dyDescent="0.3">
      <c r="A2364" s="21" t="str">
        <f t="shared" si="36"/>
        <v>.</v>
      </c>
      <c r="D2364" s="44"/>
      <c r="E2364" s="22" t="str">
        <f>IF(D2364&lt;&gt;"",IFERROR(INDEX(Produtos!$C$4:$C$4996,MATCH(D2364,Produtos!$B$4:$B$4996,0)),"Produto não encontrado"),"")</f>
        <v/>
      </c>
    </row>
    <row r="2365" spans="1:5" x14ac:dyDescent="0.3">
      <c r="A2365" s="21" t="str">
        <f t="shared" si="36"/>
        <v>.</v>
      </c>
      <c r="D2365" s="44"/>
      <c r="E2365" s="22" t="str">
        <f>IF(D2365&lt;&gt;"",IFERROR(INDEX(Produtos!$C$4:$C$4996,MATCH(D2365,Produtos!$B$4:$B$4996,0)),"Produto não encontrado"),"")</f>
        <v/>
      </c>
    </row>
    <row r="2366" spans="1:5" x14ac:dyDescent="0.3">
      <c r="A2366" s="21" t="str">
        <f t="shared" si="36"/>
        <v>.</v>
      </c>
      <c r="D2366" s="44"/>
      <c r="E2366" s="22" t="str">
        <f>IF(D2366&lt;&gt;"",IFERROR(INDEX(Produtos!$C$4:$C$4996,MATCH(D2366,Produtos!$B$4:$B$4996,0)),"Produto não encontrado"),"")</f>
        <v/>
      </c>
    </row>
    <row r="2367" spans="1:5" x14ac:dyDescent="0.3">
      <c r="A2367" s="21" t="str">
        <f t="shared" si="36"/>
        <v>.</v>
      </c>
      <c r="D2367" s="44"/>
      <c r="E2367" s="22" t="str">
        <f>IF(D2367&lt;&gt;"",IFERROR(INDEX(Produtos!$C$4:$C$4996,MATCH(D2367,Produtos!$B$4:$B$4996,0)),"Produto não encontrado"),"")</f>
        <v/>
      </c>
    </row>
    <row r="2368" spans="1:5" x14ac:dyDescent="0.3">
      <c r="A2368" s="21" t="str">
        <f t="shared" ref="A2368:A2431" si="37">IF(C2368="Entrada",2,IF(C2368="Saída",1,"."))</f>
        <v>.</v>
      </c>
      <c r="D2368" s="44"/>
      <c r="E2368" s="22" t="str">
        <f>IF(D2368&lt;&gt;"",IFERROR(INDEX(Produtos!$C$4:$C$4996,MATCH(D2368,Produtos!$B$4:$B$4996,0)),"Produto não encontrado"),"")</f>
        <v/>
      </c>
    </row>
    <row r="2369" spans="1:5" x14ac:dyDescent="0.3">
      <c r="A2369" s="21" t="str">
        <f t="shared" si="37"/>
        <v>.</v>
      </c>
      <c r="D2369" s="44"/>
      <c r="E2369" s="22" t="str">
        <f>IF(D2369&lt;&gt;"",IFERROR(INDEX(Produtos!$C$4:$C$4996,MATCH(D2369,Produtos!$B$4:$B$4996,0)),"Produto não encontrado"),"")</f>
        <v/>
      </c>
    </row>
    <row r="2370" spans="1:5" x14ac:dyDescent="0.3">
      <c r="A2370" s="21" t="str">
        <f t="shared" si="37"/>
        <v>.</v>
      </c>
      <c r="D2370" s="44"/>
      <c r="E2370" s="22" t="str">
        <f>IF(D2370&lt;&gt;"",IFERROR(INDEX(Produtos!$C$4:$C$4996,MATCH(D2370,Produtos!$B$4:$B$4996,0)),"Produto não encontrado"),"")</f>
        <v/>
      </c>
    </row>
    <row r="2371" spans="1:5" x14ac:dyDescent="0.3">
      <c r="A2371" s="21" t="str">
        <f t="shared" si="37"/>
        <v>.</v>
      </c>
      <c r="D2371" s="44"/>
      <c r="E2371" s="22" t="str">
        <f>IF(D2371&lt;&gt;"",IFERROR(INDEX(Produtos!$C$4:$C$4996,MATCH(D2371,Produtos!$B$4:$B$4996,0)),"Produto não encontrado"),"")</f>
        <v/>
      </c>
    </row>
    <row r="2372" spans="1:5" x14ac:dyDescent="0.3">
      <c r="A2372" s="21" t="str">
        <f t="shared" si="37"/>
        <v>.</v>
      </c>
      <c r="D2372" s="44"/>
      <c r="E2372" s="22" t="str">
        <f>IF(D2372&lt;&gt;"",IFERROR(INDEX(Produtos!$C$4:$C$4996,MATCH(D2372,Produtos!$B$4:$B$4996,0)),"Produto não encontrado"),"")</f>
        <v/>
      </c>
    </row>
    <row r="2373" spans="1:5" x14ac:dyDescent="0.3">
      <c r="A2373" s="21" t="str">
        <f t="shared" si="37"/>
        <v>.</v>
      </c>
      <c r="D2373" s="44"/>
      <c r="E2373" s="22" t="str">
        <f>IF(D2373&lt;&gt;"",IFERROR(INDEX(Produtos!$C$4:$C$4996,MATCH(D2373,Produtos!$B$4:$B$4996,0)),"Produto não encontrado"),"")</f>
        <v/>
      </c>
    </row>
    <row r="2374" spans="1:5" x14ac:dyDescent="0.3">
      <c r="A2374" s="21" t="str">
        <f t="shared" si="37"/>
        <v>.</v>
      </c>
      <c r="D2374" s="44"/>
      <c r="E2374" s="22" t="str">
        <f>IF(D2374&lt;&gt;"",IFERROR(INDEX(Produtos!$C$4:$C$4996,MATCH(D2374,Produtos!$B$4:$B$4996,0)),"Produto não encontrado"),"")</f>
        <v/>
      </c>
    </row>
    <row r="2375" spans="1:5" x14ac:dyDescent="0.3">
      <c r="A2375" s="21" t="str">
        <f t="shared" si="37"/>
        <v>.</v>
      </c>
      <c r="D2375" s="44"/>
      <c r="E2375" s="22" t="str">
        <f>IF(D2375&lt;&gt;"",IFERROR(INDEX(Produtos!$C$4:$C$4996,MATCH(D2375,Produtos!$B$4:$B$4996,0)),"Produto não encontrado"),"")</f>
        <v/>
      </c>
    </row>
    <row r="2376" spans="1:5" x14ac:dyDescent="0.3">
      <c r="A2376" s="21" t="str">
        <f t="shared" si="37"/>
        <v>.</v>
      </c>
      <c r="D2376" s="44"/>
      <c r="E2376" s="22" t="str">
        <f>IF(D2376&lt;&gt;"",IFERROR(INDEX(Produtos!$C$4:$C$4996,MATCH(D2376,Produtos!$B$4:$B$4996,0)),"Produto não encontrado"),"")</f>
        <v/>
      </c>
    </row>
    <row r="2377" spans="1:5" x14ac:dyDescent="0.3">
      <c r="A2377" s="21" t="str">
        <f t="shared" si="37"/>
        <v>.</v>
      </c>
      <c r="D2377" s="44"/>
      <c r="E2377" s="22" t="str">
        <f>IF(D2377&lt;&gt;"",IFERROR(INDEX(Produtos!$C$4:$C$4996,MATCH(D2377,Produtos!$B$4:$B$4996,0)),"Produto não encontrado"),"")</f>
        <v/>
      </c>
    </row>
    <row r="2378" spans="1:5" x14ac:dyDescent="0.3">
      <c r="A2378" s="21" t="str">
        <f t="shared" si="37"/>
        <v>.</v>
      </c>
      <c r="D2378" s="44"/>
      <c r="E2378" s="22" t="str">
        <f>IF(D2378&lt;&gt;"",IFERROR(INDEX(Produtos!$C$4:$C$4996,MATCH(D2378,Produtos!$B$4:$B$4996,0)),"Produto não encontrado"),"")</f>
        <v/>
      </c>
    </row>
    <row r="2379" spans="1:5" x14ac:dyDescent="0.3">
      <c r="A2379" s="21" t="str">
        <f t="shared" si="37"/>
        <v>.</v>
      </c>
      <c r="D2379" s="44"/>
      <c r="E2379" s="22" t="str">
        <f>IF(D2379&lt;&gt;"",IFERROR(INDEX(Produtos!$C$4:$C$4996,MATCH(D2379,Produtos!$B$4:$B$4996,0)),"Produto não encontrado"),"")</f>
        <v/>
      </c>
    </row>
    <row r="2380" spans="1:5" x14ac:dyDescent="0.3">
      <c r="A2380" s="21" t="str">
        <f t="shared" si="37"/>
        <v>.</v>
      </c>
      <c r="D2380" s="44"/>
      <c r="E2380" s="22" t="str">
        <f>IF(D2380&lt;&gt;"",IFERROR(INDEX(Produtos!$C$4:$C$4996,MATCH(D2380,Produtos!$B$4:$B$4996,0)),"Produto não encontrado"),"")</f>
        <v/>
      </c>
    </row>
    <row r="2381" spans="1:5" x14ac:dyDescent="0.3">
      <c r="A2381" s="21" t="str">
        <f t="shared" si="37"/>
        <v>.</v>
      </c>
      <c r="D2381" s="44"/>
      <c r="E2381" s="22" t="str">
        <f>IF(D2381&lt;&gt;"",IFERROR(INDEX(Produtos!$C$4:$C$4996,MATCH(D2381,Produtos!$B$4:$B$4996,0)),"Produto não encontrado"),"")</f>
        <v/>
      </c>
    </row>
    <row r="2382" spans="1:5" x14ac:dyDescent="0.3">
      <c r="A2382" s="21" t="str">
        <f t="shared" si="37"/>
        <v>.</v>
      </c>
      <c r="D2382" s="44"/>
      <c r="E2382" s="22" t="str">
        <f>IF(D2382&lt;&gt;"",IFERROR(INDEX(Produtos!$C$4:$C$4996,MATCH(D2382,Produtos!$B$4:$B$4996,0)),"Produto não encontrado"),"")</f>
        <v/>
      </c>
    </row>
    <row r="2383" spans="1:5" x14ac:dyDescent="0.3">
      <c r="A2383" s="21" t="str">
        <f t="shared" si="37"/>
        <v>.</v>
      </c>
      <c r="D2383" s="44"/>
      <c r="E2383" s="22" t="str">
        <f>IF(D2383&lt;&gt;"",IFERROR(INDEX(Produtos!$C$4:$C$4996,MATCH(D2383,Produtos!$B$4:$B$4996,0)),"Produto não encontrado"),"")</f>
        <v/>
      </c>
    </row>
    <row r="2384" spans="1:5" x14ac:dyDescent="0.3">
      <c r="A2384" s="21" t="str">
        <f t="shared" si="37"/>
        <v>.</v>
      </c>
      <c r="D2384" s="44"/>
      <c r="E2384" s="22" t="str">
        <f>IF(D2384&lt;&gt;"",IFERROR(INDEX(Produtos!$C$4:$C$4996,MATCH(D2384,Produtos!$B$4:$B$4996,0)),"Produto não encontrado"),"")</f>
        <v/>
      </c>
    </row>
    <row r="2385" spans="1:5" x14ac:dyDescent="0.3">
      <c r="A2385" s="21" t="str">
        <f t="shared" si="37"/>
        <v>.</v>
      </c>
      <c r="D2385" s="44"/>
      <c r="E2385" s="22" t="str">
        <f>IF(D2385&lt;&gt;"",IFERROR(INDEX(Produtos!$C$4:$C$4996,MATCH(D2385,Produtos!$B$4:$B$4996,0)),"Produto não encontrado"),"")</f>
        <v/>
      </c>
    </row>
    <row r="2386" spans="1:5" x14ac:dyDescent="0.3">
      <c r="A2386" s="21" t="str">
        <f t="shared" si="37"/>
        <v>.</v>
      </c>
      <c r="D2386" s="44"/>
      <c r="E2386" s="22" t="str">
        <f>IF(D2386&lt;&gt;"",IFERROR(INDEX(Produtos!$C$4:$C$4996,MATCH(D2386,Produtos!$B$4:$B$4996,0)),"Produto não encontrado"),"")</f>
        <v/>
      </c>
    </row>
    <row r="2387" spans="1:5" x14ac:dyDescent="0.3">
      <c r="A2387" s="21" t="str">
        <f t="shared" si="37"/>
        <v>.</v>
      </c>
      <c r="D2387" s="44"/>
      <c r="E2387" s="22" t="str">
        <f>IF(D2387&lt;&gt;"",IFERROR(INDEX(Produtos!$C$4:$C$4996,MATCH(D2387,Produtos!$B$4:$B$4996,0)),"Produto não encontrado"),"")</f>
        <v/>
      </c>
    </row>
    <row r="2388" spans="1:5" x14ac:dyDescent="0.3">
      <c r="A2388" s="21" t="str">
        <f t="shared" si="37"/>
        <v>.</v>
      </c>
      <c r="D2388" s="44"/>
      <c r="E2388" s="22" t="str">
        <f>IF(D2388&lt;&gt;"",IFERROR(INDEX(Produtos!$C$4:$C$4996,MATCH(D2388,Produtos!$B$4:$B$4996,0)),"Produto não encontrado"),"")</f>
        <v/>
      </c>
    </row>
    <row r="2389" spans="1:5" x14ac:dyDescent="0.3">
      <c r="A2389" s="21" t="str">
        <f t="shared" si="37"/>
        <v>.</v>
      </c>
      <c r="D2389" s="44"/>
      <c r="E2389" s="22" t="str">
        <f>IF(D2389&lt;&gt;"",IFERROR(INDEX(Produtos!$C$4:$C$4996,MATCH(D2389,Produtos!$B$4:$B$4996,0)),"Produto não encontrado"),"")</f>
        <v/>
      </c>
    </row>
    <row r="2390" spans="1:5" x14ac:dyDescent="0.3">
      <c r="A2390" s="21" t="str">
        <f t="shared" si="37"/>
        <v>.</v>
      </c>
      <c r="D2390" s="44"/>
      <c r="E2390" s="22" t="str">
        <f>IF(D2390&lt;&gt;"",IFERROR(INDEX(Produtos!$C$4:$C$4996,MATCH(D2390,Produtos!$B$4:$B$4996,0)),"Produto não encontrado"),"")</f>
        <v/>
      </c>
    </row>
    <row r="2391" spans="1:5" x14ac:dyDescent="0.3">
      <c r="A2391" s="21" t="str">
        <f t="shared" si="37"/>
        <v>.</v>
      </c>
      <c r="D2391" s="44"/>
      <c r="E2391" s="22" t="str">
        <f>IF(D2391&lt;&gt;"",IFERROR(INDEX(Produtos!$C$4:$C$4996,MATCH(D2391,Produtos!$B$4:$B$4996,0)),"Produto não encontrado"),"")</f>
        <v/>
      </c>
    </row>
    <row r="2392" spans="1:5" x14ac:dyDescent="0.3">
      <c r="A2392" s="21" t="str">
        <f t="shared" si="37"/>
        <v>.</v>
      </c>
      <c r="D2392" s="44"/>
      <c r="E2392" s="22" t="str">
        <f>IF(D2392&lt;&gt;"",IFERROR(INDEX(Produtos!$C$4:$C$4996,MATCH(D2392,Produtos!$B$4:$B$4996,0)),"Produto não encontrado"),"")</f>
        <v/>
      </c>
    </row>
    <row r="2393" spans="1:5" x14ac:dyDescent="0.3">
      <c r="A2393" s="21" t="str">
        <f t="shared" si="37"/>
        <v>.</v>
      </c>
      <c r="D2393" s="44"/>
      <c r="E2393" s="22" t="str">
        <f>IF(D2393&lt;&gt;"",IFERROR(INDEX(Produtos!$C$4:$C$4996,MATCH(D2393,Produtos!$B$4:$B$4996,0)),"Produto não encontrado"),"")</f>
        <v/>
      </c>
    </row>
    <row r="2394" spans="1:5" x14ac:dyDescent="0.3">
      <c r="A2394" s="21" t="str">
        <f t="shared" si="37"/>
        <v>.</v>
      </c>
      <c r="D2394" s="44"/>
      <c r="E2394" s="22" t="str">
        <f>IF(D2394&lt;&gt;"",IFERROR(INDEX(Produtos!$C$4:$C$4996,MATCH(D2394,Produtos!$B$4:$B$4996,0)),"Produto não encontrado"),"")</f>
        <v/>
      </c>
    </row>
    <row r="2395" spans="1:5" x14ac:dyDescent="0.3">
      <c r="A2395" s="21" t="str">
        <f t="shared" si="37"/>
        <v>.</v>
      </c>
      <c r="D2395" s="44"/>
      <c r="E2395" s="22" t="str">
        <f>IF(D2395&lt;&gt;"",IFERROR(INDEX(Produtos!$C$4:$C$4996,MATCH(D2395,Produtos!$B$4:$B$4996,0)),"Produto não encontrado"),"")</f>
        <v/>
      </c>
    </row>
    <row r="2396" spans="1:5" x14ac:dyDescent="0.3">
      <c r="A2396" s="21" t="str">
        <f t="shared" si="37"/>
        <v>.</v>
      </c>
      <c r="D2396" s="44"/>
      <c r="E2396" s="22" t="str">
        <f>IF(D2396&lt;&gt;"",IFERROR(INDEX(Produtos!$C$4:$C$4996,MATCH(D2396,Produtos!$B$4:$B$4996,0)),"Produto não encontrado"),"")</f>
        <v/>
      </c>
    </row>
    <row r="2397" spans="1:5" x14ac:dyDescent="0.3">
      <c r="A2397" s="21" t="str">
        <f t="shared" si="37"/>
        <v>.</v>
      </c>
      <c r="D2397" s="44"/>
      <c r="E2397" s="22" t="str">
        <f>IF(D2397&lt;&gt;"",IFERROR(INDEX(Produtos!$C$4:$C$4996,MATCH(D2397,Produtos!$B$4:$B$4996,0)),"Produto não encontrado"),"")</f>
        <v/>
      </c>
    </row>
    <row r="2398" spans="1:5" x14ac:dyDescent="0.3">
      <c r="A2398" s="21" t="str">
        <f t="shared" si="37"/>
        <v>.</v>
      </c>
      <c r="D2398" s="44"/>
      <c r="E2398" s="22" t="str">
        <f>IF(D2398&lt;&gt;"",IFERROR(INDEX(Produtos!$C$4:$C$4996,MATCH(D2398,Produtos!$B$4:$B$4996,0)),"Produto não encontrado"),"")</f>
        <v/>
      </c>
    </row>
    <row r="2399" spans="1:5" x14ac:dyDescent="0.3">
      <c r="A2399" s="21" t="str">
        <f t="shared" si="37"/>
        <v>.</v>
      </c>
      <c r="D2399" s="44"/>
      <c r="E2399" s="22" t="str">
        <f>IF(D2399&lt;&gt;"",IFERROR(INDEX(Produtos!$C$4:$C$4996,MATCH(D2399,Produtos!$B$4:$B$4996,0)),"Produto não encontrado"),"")</f>
        <v/>
      </c>
    </row>
    <row r="2400" spans="1:5" x14ac:dyDescent="0.3">
      <c r="A2400" s="21" t="str">
        <f t="shared" si="37"/>
        <v>.</v>
      </c>
      <c r="D2400" s="44"/>
      <c r="E2400" s="22" t="str">
        <f>IF(D2400&lt;&gt;"",IFERROR(INDEX(Produtos!$C$4:$C$4996,MATCH(D2400,Produtos!$B$4:$B$4996,0)),"Produto não encontrado"),"")</f>
        <v/>
      </c>
    </row>
    <row r="2401" spans="1:5" x14ac:dyDescent="0.3">
      <c r="A2401" s="21" t="str">
        <f t="shared" si="37"/>
        <v>.</v>
      </c>
      <c r="D2401" s="44"/>
      <c r="E2401" s="22" t="str">
        <f>IF(D2401&lt;&gt;"",IFERROR(INDEX(Produtos!$C$4:$C$4996,MATCH(D2401,Produtos!$B$4:$B$4996,0)),"Produto não encontrado"),"")</f>
        <v/>
      </c>
    </row>
    <row r="2402" spans="1:5" x14ac:dyDescent="0.3">
      <c r="A2402" s="21" t="str">
        <f t="shared" si="37"/>
        <v>.</v>
      </c>
      <c r="D2402" s="44"/>
      <c r="E2402" s="22" t="str">
        <f>IF(D2402&lt;&gt;"",IFERROR(INDEX(Produtos!$C$4:$C$4996,MATCH(D2402,Produtos!$B$4:$B$4996,0)),"Produto não encontrado"),"")</f>
        <v/>
      </c>
    </row>
    <row r="2403" spans="1:5" x14ac:dyDescent="0.3">
      <c r="A2403" s="21" t="str">
        <f t="shared" si="37"/>
        <v>.</v>
      </c>
      <c r="D2403" s="44"/>
      <c r="E2403" s="22" t="str">
        <f>IF(D2403&lt;&gt;"",IFERROR(INDEX(Produtos!$C$4:$C$4996,MATCH(D2403,Produtos!$B$4:$B$4996,0)),"Produto não encontrado"),"")</f>
        <v/>
      </c>
    </row>
    <row r="2404" spans="1:5" x14ac:dyDescent="0.3">
      <c r="A2404" s="21" t="str">
        <f t="shared" si="37"/>
        <v>.</v>
      </c>
      <c r="D2404" s="44"/>
      <c r="E2404" s="22" t="str">
        <f>IF(D2404&lt;&gt;"",IFERROR(INDEX(Produtos!$C$4:$C$4996,MATCH(D2404,Produtos!$B$4:$B$4996,0)),"Produto não encontrado"),"")</f>
        <v/>
      </c>
    </row>
    <row r="2405" spans="1:5" x14ac:dyDescent="0.3">
      <c r="A2405" s="21" t="str">
        <f t="shared" si="37"/>
        <v>.</v>
      </c>
      <c r="D2405" s="44"/>
      <c r="E2405" s="22" t="str">
        <f>IF(D2405&lt;&gt;"",IFERROR(INDEX(Produtos!$C$4:$C$4996,MATCH(D2405,Produtos!$B$4:$B$4996,0)),"Produto não encontrado"),"")</f>
        <v/>
      </c>
    </row>
    <row r="2406" spans="1:5" x14ac:dyDescent="0.3">
      <c r="A2406" s="21" t="str">
        <f t="shared" si="37"/>
        <v>.</v>
      </c>
      <c r="D2406" s="44"/>
      <c r="E2406" s="22" t="str">
        <f>IF(D2406&lt;&gt;"",IFERROR(INDEX(Produtos!$C$4:$C$4996,MATCH(D2406,Produtos!$B$4:$B$4996,0)),"Produto não encontrado"),"")</f>
        <v/>
      </c>
    </row>
    <row r="2407" spans="1:5" x14ac:dyDescent="0.3">
      <c r="A2407" s="21" t="str">
        <f t="shared" si="37"/>
        <v>.</v>
      </c>
      <c r="D2407" s="44"/>
      <c r="E2407" s="22" t="str">
        <f>IF(D2407&lt;&gt;"",IFERROR(INDEX(Produtos!$C$4:$C$4996,MATCH(D2407,Produtos!$B$4:$B$4996,0)),"Produto não encontrado"),"")</f>
        <v/>
      </c>
    </row>
    <row r="2408" spans="1:5" x14ac:dyDescent="0.3">
      <c r="A2408" s="21" t="str">
        <f t="shared" si="37"/>
        <v>.</v>
      </c>
      <c r="D2408" s="44"/>
      <c r="E2408" s="22" t="str">
        <f>IF(D2408&lt;&gt;"",IFERROR(INDEX(Produtos!$C$4:$C$4996,MATCH(D2408,Produtos!$B$4:$B$4996,0)),"Produto não encontrado"),"")</f>
        <v/>
      </c>
    </row>
    <row r="2409" spans="1:5" x14ac:dyDescent="0.3">
      <c r="A2409" s="21" t="str">
        <f t="shared" si="37"/>
        <v>.</v>
      </c>
      <c r="D2409" s="44"/>
      <c r="E2409" s="22" t="str">
        <f>IF(D2409&lt;&gt;"",IFERROR(INDEX(Produtos!$C$4:$C$4996,MATCH(D2409,Produtos!$B$4:$B$4996,0)),"Produto não encontrado"),"")</f>
        <v/>
      </c>
    </row>
    <row r="2410" spans="1:5" x14ac:dyDescent="0.3">
      <c r="A2410" s="21" t="str">
        <f t="shared" si="37"/>
        <v>.</v>
      </c>
      <c r="D2410" s="44"/>
      <c r="E2410" s="22" t="str">
        <f>IF(D2410&lt;&gt;"",IFERROR(INDEX(Produtos!$C$4:$C$4996,MATCH(D2410,Produtos!$B$4:$B$4996,0)),"Produto não encontrado"),"")</f>
        <v/>
      </c>
    </row>
    <row r="2411" spans="1:5" x14ac:dyDescent="0.3">
      <c r="A2411" s="21" t="str">
        <f t="shared" si="37"/>
        <v>.</v>
      </c>
      <c r="D2411" s="44"/>
      <c r="E2411" s="22" t="str">
        <f>IF(D2411&lt;&gt;"",IFERROR(INDEX(Produtos!$C$4:$C$4996,MATCH(D2411,Produtos!$B$4:$B$4996,0)),"Produto não encontrado"),"")</f>
        <v/>
      </c>
    </row>
    <row r="2412" spans="1:5" x14ac:dyDescent="0.3">
      <c r="A2412" s="21" t="str">
        <f t="shared" si="37"/>
        <v>.</v>
      </c>
      <c r="D2412" s="44"/>
      <c r="E2412" s="22" t="str">
        <f>IF(D2412&lt;&gt;"",IFERROR(INDEX(Produtos!$C$4:$C$4996,MATCH(D2412,Produtos!$B$4:$B$4996,0)),"Produto não encontrado"),"")</f>
        <v/>
      </c>
    </row>
    <row r="2413" spans="1:5" x14ac:dyDescent="0.3">
      <c r="A2413" s="21" t="str">
        <f t="shared" si="37"/>
        <v>.</v>
      </c>
      <c r="D2413" s="44"/>
      <c r="E2413" s="22" t="str">
        <f>IF(D2413&lt;&gt;"",IFERROR(INDEX(Produtos!$C$4:$C$4996,MATCH(D2413,Produtos!$B$4:$B$4996,0)),"Produto não encontrado"),"")</f>
        <v/>
      </c>
    </row>
    <row r="2414" spans="1:5" x14ac:dyDescent="0.3">
      <c r="A2414" s="21" t="str">
        <f t="shared" si="37"/>
        <v>.</v>
      </c>
      <c r="D2414" s="44"/>
      <c r="E2414" s="22" t="str">
        <f>IF(D2414&lt;&gt;"",IFERROR(INDEX(Produtos!$C$4:$C$4996,MATCH(D2414,Produtos!$B$4:$B$4996,0)),"Produto não encontrado"),"")</f>
        <v/>
      </c>
    </row>
    <row r="2415" spans="1:5" x14ac:dyDescent="0.3">
      <c r="A2415" s="21" t="str">
        <f t="shared" si="37"/>
        <v>.</v>
      </c>
      <c r="D2415" s="44"/>
      <c r="E2415" s="22" t="str">
        <f>IF(D2415&lt;&gt;"",IFERROR(INDEX(Produtos!$C$4:$C$4996,MATCH(D2415,Produtos!$B$4:$B$4996,0)),"Produto não encontrado"),"")</f>
        <v/>
      </c>
    </row>
    <row r="2416" spans="1:5" x14ac:dyDescent="0.3">
      <c r="A2416" s="21" t="str">
        <f t="shared" si="37"/>
        <v>.</v>
      </c>
      <c r="D2416" s="44"/>
      <c r="E2416" s="22" t="str">
        <f>IF(D2416&lt;&gt;"",IFERROR(INDEX(Produtos!$C$4:$C$4996,MATCH(D2416,Produtos!$B$4:$B$4996,0)),"Produto não encontrado"),"")</f>
        <v/>
      </c>
    </row>
    <row r="2417" spans="1:5" x14ac:dyDescent="0.3">
      <c r="A2417" s="21" t="str">
        <f t="shared" si="37"/>
        <v>.</v>
      </c>
      <c r="D2417" s="44"/>
      <c r="E2417" s="22" t="str">
        <f>IF(D2417&lt;&gt;"",IFERROR(INDEX(Produtos!$C$4:$C$4996,MATCH(D2417,Produtos!$B$4:$B$4996,0)),"Produto não encontrado"),"")</f>
        <v/>
      </c>
    </row>
    <row r="2418" spans="1:5" x14ac:dyDescent="0.3">
      <c r="A2418" s="21" t="str">
        <f t="shared" si="37"/>
        <v>.</v>
      </c>
      <c r="D2418" s="44"/>
      <c r="E2418" s="22" t="str">
        <f>IF(D2418&lt;&gt;"",IFERROR(INDEX(Produtos!$C$4:$C$4996,MATCH(D2418,Produtos!$B$4:$B$4996,0)),"Produto não encontrado"),"")</f>
        <v/>
      </c>
    </row>
    <row r="2419" spans="1:5" x14ac:dyDescent="0.3">
      <c r="A2419" s="21" t="str">
        <f t="shared" si="37"/>
        <v>.</v>
      </c>
      <c r="D2419" s="44"/>
      <c r="E2419" s="22" t="str">
        <f>IF(D2419&lt;&gt;"",IFERROR(INDEX(Produtos!$C$4:$C$4996,MATCH(D2419,Produtos!$B$4:$B$4996,0)),"Produto não encontrado"),"")</f>
        <v/>
      </c>
    </row>
    <row r="2420" spans="1:5" x14ac:dyDescent="0.3">
      <c r="A2420" s="21" t="str">
        <f t="shared" si="37"/>
        <v>.</v>
      </c>
      <c r="D2420" s="44"/>
      <c r="E2420" s="22" t="str">
        <f>IF(D2420&lt;&gt;"",IFERROR(INDEX(Produtos!$C$4:$C$4996,MATCH(D2420,Produtos!$B$4:$B$4996,0)),"Produto não encontrado"),"")</f>
        <v/>
      </c>
    </row>
    <row r="2421" spans="1:5" x14ac:dyDescent="0.3">
      <c r="A2421" s="21" t="str">
        <f t="shared" si="37"/>
        <v>.</v>
      </c>
      <c r="D2421" s="44"/>
      <c r="E2421" s="22" t="str">
        <f>IF(D2421&lt;&gt;"",IFERROR(INDEX(Produtos!$C$4:$C$4996,MATCH(D2421,Produtos!$B$4:$B$4996,0)),"Produto não encontrado"),"")</f>
        <v/>
      </c>
    </row>
    <row r="2422" spans="1:5" x14ac:dyDescent="0.3">
      <c r="A2422" s="21" t="str">
        <f t="shared" si="37"/>
        <v>.</v>
      </c>
      <c r="D2422" s="44"/>
      <c r="E2422" s="22" t="str">
        <f>IF(D2422&lt;&gt;"",IFERROR(INDEX(Produtos!$C$4:$C$4996,MATCH(D2422,Produtos!$B$4:$B$4996,0)),"Produto não encontrado"),"")</f>
        <v/>
      </c>
    </row>
    <row r="2423" spans="1:5" x14ac:dyDescent="0.3">
      <c r="A2423" s="21" t="str">
        <f t="shared" si="37"/>
        <v>.</v>
      </c>
      <c r="D2423" s="44"/>
      <c r="E2423" s="22" t="str">
        <f>IF(D2423&lt;&gt;"",IFERROR(INDEX(Produtos!$C$4:$C$4996,MATCH(D2423,Produtos!$B$4:$B$4996,0)),"Produto não encontrado"),"")</f>
        <v/>
      </c>
    </row>
    <row r="2424" spans="1:5" x14ac:dyDescent="0.3">
      <c r="A2424" s="21" t="str">
        <f t="shared" si="37"/>
        <v>.</v>
      </c>
      <c r="D2424" s="44"/>
      <c r="E2424" s="22" t="str">
        <f>IF(D2424&lt;&gt;"",IFERROR(INDEX(Produtos!$C$4:$C$4996,MATCH(D2424,Produtos!$B$4:$B$4996,0)),"Produto não encontrado"),"")</f>
        <v/>
      </c>
    </row>
    <row r="2425" spans="1:5" x14ac:dyDescent="0.3">
      <c r="A2425" s="21" t="str">
        <f t="shared" si="37"/>
        <v>.</v>
      </c>
      <c r="D2425" s="44"/>
      <c r="E2425" s="22" t="str">
        <f>IF(D2425&lt;&gt;"",IFERROR(INDEX(Produtos!$C$4:$C$4996,MATCH(D2425,Produtos!$B$4:$B$4996,0)),"Produto não encontrado"),"")</f>
        <v/>
      </c>
    </row>
    <row r="2426" spans="1:5" x14ac:dyDescent="0.3">
      <c r="A2426" s="21" t="str">
        <f t="shared" si="37"/>
        <v>.</v>
      </c>
      <c r="D2426" s="44"/>
      <c r="E2426" s="22" t="str">
        <f>IF(D2426&lt;&gt;"",IFERROR(INDEX(Produtos!$C$4:$C$4996,MATCH(D2426,Produtos!$B$4:$B$4996,0)),"Produto não encontrado"),"")</f>
        <v/>
      </c>
    </row>
    <row r="2427" spans="1:5" x14ac:dyDescent="0.3">
      <c r="A2427" s="21" t="str">
        <f t="shared" si="37"/>
        <v>.</v>
      </c>
      <c r="D2427" s="44"/>
      <c r="E2427" s="22" t="str">
        <f>IF(D2427&lt;&gt;"",IFERROR(INDEX(Produtos!$C$4:$C$4996,MATCH(D2427,Produtos!$B$4:$B$4996,0)),"Produto não encontrado"),"")</f>
        <v/>
      </c>
    </row>
    <row r="2428" spans="1:5" x14ac:dyDescent="0.3">
      <c r="A2428" s="21" t="str">
        <f t="shared" si="37"/>
        <v>.</v>
      </c>
      <c r="D2428" s="44"/>
      <c r="E2428" s="22" t="str">
        <f>IF(D2428&lt;&gt;"",IFERROR(INDEX(Produtos!$C$4:$C$4996,MATCH(D2428,Produtos!$B$4:$B$4996,0)),"Produto não encontrado"),"")</f>
        <v/>
      </c>
    </row>
    <row r="2429" spans="1:5" x14ac:dyDescent="0.3">
      <c r="A2429" s="21" t="str">
        <f t="shared" si="37"/>
        <v>.</v>
      </c>
      <c r="D2429" s="44"/>
      <c r="E2429" s="22" t="str">
        <f>IF(D2429&lt;&gt;"",IFERROR(INDEX(Produtos!$C$4:$C$4996,MATCH(D2429,Produtos!$B$4:$B$4996,0)),"Produto não encontrado"),"")</f>
        <v/>
      </c>
    </row>
    <row r="2430" spans="1:5" x14ac:dyDescent="0.3">
      <c r="A2430" s="21" t="str">
        <f t="shared" si="37"/>
        <v>.</v>
      </c>
      <c r="D2430" s="44"/>
      <c r="E2430" s="22" t="str">
        <f>IF(D2430&lt;&gt;"",IFERROR(INDEX(Produtos!$C$4:$C$4996,MATCH(D2430,Produtos!$B$4:$B$4996,0)),"Produto não encontrado"),"")</f>
        <v/>
      </c>
    </row>
    <row r="2431" spans="1:5" x14ac:dyDescent="0.3">
      <c r="A2431" s="21" t="str">
        <f t="shared" si="37"/>
        <v>.</v>
      </c>
      <c r="D2431" s="44"/>
      <c r="E2431" s="22" t="str">
        <f>IF(D2431&lt;&gt;"",IFERROR(INDEX(Produtos!$C$4:$C$4996,MATCH(D2431,Produtos!$B$4:$B$4996,0)),"Produto não encontrado"),"")</f>
        <v/>
      </c>
    </row>
    <row r="2432" spans="1:5" x14ac:dyDescent="0.3">
      <c r="A2432" s="21" t="str">
        <f t="shared" ref="A2432:A2495" si="38">IF(C2432="Entrada",2,IF(C2432="Saída",1,"."))</f>
        <v>.</v>
      </c>
      <c r="D2432" s="44"/>
      <c r="E2432" s="22" t="str">
        <f>IF(D2432&lt;&gt;"",IFERROR(INDEX(Produtos!$C$4:$C$4996,MATCH(D2432,Produtos!$B$4:$B$4996,0)),"Produto não encontrado"),"")</f>
        <v/>
      </c>
    </row>
    <row r="2433" spans="1:5" x14ac:dyDescent="0.3">
      <c r="A2433" s="21" t="str">
        <f t="shared" si="38"/>
        <v>.</v>
      </c>
      <c r="D2433" s="44"/>
      <c r="E2433" s="22" t="str">
        <f>IF(D2433&lt;&gt;"",IFERROR(INDEX(Produtos!$C$4:$C$4996,MATCH(D2433,Produtos!$B$4:$B$4996,0)),"Produto não encontrado"),"")</f>
        <v/>
      </c>
    </row>
    <row r="2434" spans="1:5" x14ac:dyDescent="0.3">
      <c r="A2434" s="21" t="str">
        <f t="shared" si="38"/>
        <v>.</v>
      </c>
      <c r="D2434" s="44"/>
      <c r="E2434" s="22" t="str">
        <f>IF(D2434&lt;&gt;"",IFERROR(INDEX(Produtos!$C$4:$C$4996,MATCH(D2434,Produtos!$B$4:$B$4996,0)),"Produto não encontrado"),"")</f>
        <v/>
      </c>
    </row>
    <row r="2435" spans="1:5" x14ac:dyDescent="0.3">
      <c r="A2435" s="21" t="str">
        <f t="shared" si="38"/>
        <v>.</v>
      </c>
      <c r="D2435" s="44"/>
      <c r="E2435" s="22" t="str">
        <f>IF(D2435&lt;&gt;"",IFERROR(INDEX(Produtos!$C$4:$C$4996,MATCH(D2435,Produtos!$B$4:$B$4996,0)),"Produto não encontrado"),"")</f>
        <v/>
      </c>
    </row>
    <row r="2436" spans="1:5" x14ac:dyDescent="0.3">
      <c r="A2436" s="21" t="str">
        <f t="shared" si="38"/>
        <v>.</v>
      </c>
      <c r="D2436" s="44"/>
      <c r="E2436" s="22" t="str">
        <f>IF(D2436&lt;&gt;"",IFERROR(INDEX(Produtos!$C$4:$C$4996,MATCH(D2436,Produtos!$B$4:$B$4996,0)),"Produto não encontrado"),"")</f>
        <v/>
      </c>
    </row>
    <row r="2437" spans="1:5" x14ac:dyDescent="0.3">
      <c r="A2437" s="21" t="str">
        <f t="shared" si="38"/>
        <v>.</v>
      </c>
      <c r="D2437" s="44"/>
      <c r="E2437" s="22" t="str">
        <f>IF(D2437&lt;&gt;"",IFERROR(INDEX(Produtos!$C$4:$C$4996,MATCH(D2437,Produtos!$B$4:$B$4996,0)),"Produto não encontrado"),"")</f>
        <v/>
      </c>
    </row>
    <row r="2438" spans="1:5" x14ac:dyDescent="0.3">
      <c r="A2438" s="21" t="str">
        <f t="shared" si="38"/>
        <v>.</v>
      </c>
      <c r="D2438" s="44"/>
      <c r="E2438" s="22" t="str">
        <f>IF(D2438&lt;&gt;"",IFERROR(INDEX(Produtos!$C$4:$C$4996,MATCH(D2438,Produtos!$B$4:$B$4996,0)),"Produto não encontrado"),"")</f>
        <v/>
      </c>
    </row>
    <row r="2439" spans="1:5" x14ac:dyDescent="0.3">
      <c r="A2439" s="21" t="str">
        <f t="shared" si="38"/>
        <v>.</v>
      </c>
      <c r="D2439" s="44"/>
      <c r="E2439" s="22" t="str">
        <f>IF(D2439&lt;&gt;"",IFERROR(INDEX(Produtos!$C$4:$C$4996,MATCH(D2439,Produtos!$B$4:$B$4996,0)),"Produto não encontrado"),"")</f>
        <v/>
      </c>
    </row>
    <row r="2440" spans="1:5" x14ac:dyDescent="0.3">
      <c r="A2440" s="21" t="str">
        <f t="shared" si="38"/>
        <v>.</v>
      </c>
      <c r="D2440" s="44"/>
      <c r="E2440" s="22" t="str">
        <f>IF(D2440&lt;&gt;"",IFERROR(INDEX(Produtos!$C$4:$C$4996,MATCH(D2440,Produtos!$B$4:$B$4996,0)),"Produto não encontrado"),"")</f>
        <v/>
      </c>
    </row>
    <row r="2441" spans="1:5" x14ac:dyDescent="0.3">
      <c r="A2441" s="21" t="str">
        <f t="shared" si="38"/>
        <v>.</v>
      </c>
      <c r="D2441" s="44"/>
      <c r="E2441" s="22" t="str">
        <f>IF(D2441&lt;&gt;"",IFERROR(INDEX(Produtos!$C$4:$C$4996,MATCH(D2441,Produtos!$B$4:$B$4996,0)),"Produto não encontrado"),"")</f>
        <v/>
      </c>
    </row>
    <row r="2442" spans="1:5" x14ac:dyDescent="0.3">
      <c r="A2442" s="21" t="str">
        <f t="shared" si="38"/>
        <v>.</v>
      </c>
      <c r="D2442" s="44"/>
      <c r="E2442" s="22" t="str">
        <f>IF(D2442&lt;&gt;"",IFERROR(INDEX(Produtos!$C$4:$C$4996,MATCH(D2442,Produtos!$B$4:$B$4996,0)),"Produto não encontrado"),"")</f>
        <v/>
      </c>
    </row>
    <row r="2443" spans="1:5" x14ac:dyDescent="0.3">
      <c r="A2443" s="21" t="str">
        <f t="shared" si="38"/>
        <v>.</v>
      </c>
      <c r="D2443" s="44"/>
      <c r="E2443" s="22" t="str">
        <f>IF(D2443&lt;&gt;"",IFERROR(INDEX(Produtos!$C$4:$C$4996,MATCH(D2443,Produtos!$B$4:$B$4996,0)),"Produto não encontrado"),"")</f>
        <v/>
      </c>
    </row>
    <row r="2444" spans="1:5" x14ac:dyDescent="0.3">
      <c r="A2444" s="21" t="str">
        <f t="shared" si="38"/>
        <v>.</v>
      </c>
      <c r="D2444" s="44"/>
      <c r="E2444" s="22" t="str">
        <f>IF(D2444&lt;&gt;"",IFERROR(INDEX(Produtos!$C$4:$C$4996,MATCH(D2444,Produtos!$B$4:$B$4996,0)),"Produto não encontrado"),"")</f>
        <v/>
      </c>
    </row>
    <row r="2445" spans="1:5" x14ac:dyDescent="0.3">
      <c r="A2445" s="21" t="str">
        <f t="shared" si="38"/>
        <v>.</v>
      </c>
      <c r="D2445" s="44"/>
      <c r="E2445" s="22" t="str">
        <f>IF(D2445&lt;&gt;"",IFERROR(INDEX(Produtos!$C$4:$C$4996,MATCH(D2445,Produtos!$B$4:$B$4996,0)),"Produto não encontrado"),"")</f>
        <v/>
      </c>
    </row>
    <row r="2446" spans="1:5" x14ac:dyDescent="0.3">
      <c r="A2446" s="21" t="str">
        <f t="shared" si="38"/>
        <v>.</v>
      </c>
      <c r="D2446" s="44"/>
      <c r="E2446" s="22" t="str">
        <f>IF(D2446&lt;&gt;"",IFERROR(INDEX(Produtos!$C$4:$C$4996,MATCH(D2446,Produtos!$B$4:$B$4996,0)),"Produto não encontrado"),"")</f>
        <v/>
      </c>
    </row>
    <row r="2447" spans="1:5" x14ac:dyDescent="0.3">
      <c r="A2447" s="21" t="str">
        <f t="shared" si="38"/>
        <v>.</v>
      </c>
      <c r="D2447" s="44"/>
      <c r="E2447" s="22" t="str">
        <f>IF(D2447&lt;&gt;"",IFERROR(INDEX(Produtos!$C$4:$C$4996,MATCH(D2447,Produtos!$B$4:$B$4996,0)),"Produto não encontrado"),"")</f>
        <v/>
      </c>
    </row>
    <row r="2448" spans="1:5" x14ac:dyDescent="0.3">
      <c r="A2448" s="21" t="str">
        <f t="shared" si="38"/>
        <v>.</v>
      </c>
      <c r="D2448" s="44"/>
      <c r="E2448" s="22" t="str">
        <f>IF(D2448&lt;&gt;"",IFERROR(INDEX(Produtos!$C$4:$C$4996,MATCH(D2448,Produtos!$B$4:$B$4996,0)),"Produto não encontrado"),"")</f>
        <v/>
      </c>
    </row>
    <row r="2449" spans="1:5" x14ac:dyDescent="0.3">
      <c r="A2449" s="21" t="str">
        <f t="shared" si="38"/>
        <v>.</v>
      </c>
      <c r="D2449" s="44"/>
      <c r="E2449" s="22" t="str">
        <f>IF(D2449&lt;&gt;"",IFERROR(INDEX(Produtos!$C$4:$C$4996,MATCH(D2449,Produtos!$B$4:$B$4996,0)),"Produto não encontrado"),"")</f>
        <v/>
      </c>
    </row>
    <row r="2450" spans="1:5" x14ac:dyDescent="0.3">
      <c r="A2450" s="21" t="str">
        <f t="shared" si="38"/>
        <v>.</v>
      </c>
      <c r="D2450" s="44"/>
      <c r="E2450" s="22" t="str">
        <f>IF(D2450&lt;&gt;"",IFERROR(INDEX(Produtos!$C$4:$C$4996,MATCH(D2450,Produtos!$B$4:$B$4996,0)),"Produto não encontrado"),"")</f>
        <v/>
      </c>
    </row>
    <row r="2451" spans="1:5" x14ac:dyDescent="0.3">
      <c r="A2451" s="21" t="str">
        <f t="shared" si="38"/>
        <v>.</v>
      </c>
      <c r="D2451" s="44"/>
      <c r="E2451" s="22" t="str">
        <f>IF(D2451&lt;&gt;"",IFERROR(INDEX(Produtos!$C$4:$C$4996,MATCH(D2451,Produtos!$B$4:$B$4996,0)),"Produto não encontrado"),"")</f>
        <v/>
      </c>
    </row>
    <row r="2452" spans="1:5" x14ac:dyDescent="0.3">
      <c r="A2452" s="21" t="str">
        <f t="shared" si="38"/>
        <v>.</v>
      </c>
      <c r="D2452" s="44"/>
      <c r="E2452" s="22" t="str">
        <f>IF(D2452&lt;&gt;"",IFERROR(INDEX(Produtos!$C$4:$C$4996,MATCH(D2452,Produtos!$B$4:$B$4996,0)),"Produto não encontrado"),"")</f>
        <v/>
      </c>
    </row>
    <row r="2453" spans="1:5" x14ac:dyDescent="0.3">
      <c r="A2453" s="21" t="str">
        <f t="shared" si="38"/>
        <v>.</v>
      </c>
      <c r="D2453" s="44"/>
      <c r="E2453" s="22" t="str">
        <f>IF(D2453&lt;&gt;"",IFERROR(INDEX(Produtos!$C$4:$C$4996,MATCH(D2453,Produtos!$B$4:$B$4996,0)),"Produto não encontrado"),"")</f>
        <v/>
      </c>
    </row>
    <row r="2454" spans="1:5" x14ac:dyDescent="0.3">
      <c r="A2454" s="21" t="str">
        <f t="shared" si="38"/>
        <v>.</v>
      </c>
      <c r="D2454" s="44"/>
      <c r="E2454" s="22" t="str">
        <f>IF(D2454&lt;&gt;"",IFERROR(INDEX(Produtos!$C$4:$C$4996,MATCH(D2454,Produtos!$B$4:$B$4996,0)),"Produto não encontrado"),"")</f>
        <v/>
      </c>
    </row>
    <row r="2455" spans="1:5" x14ac:dyDescent="0.3">
      <c r="A2455" s="21" t="str">
        <f t="shared" si="38"/>
        <v>.</v>
      </c>
      <c r="D2455" s="44"/>
      <c r="E2455" s="22" t="str">
        <f>IF(D2455&lt;&gt;"",IFERROR(INDEX(Produtos!$C$4:$C$4996,MATCH(D2455,Produtos!$B$4:$B$4996,0)),"Produto não encontrado"),"")</f>
        <v/>
      </c>
    </row>
    <row r="2456" spans="1:5" x14ac:dyDescent="0.3">
      <c r="A2456" s="21" t="str">
        <f t="shared" si="38"/>
        <v>.</v>
      </c>
      <c r="D2456" s="44"/>
      <c r="E2456" s="22" t="str">
        <f>IF(D2456&lt;&gt;"",IFERROR(INDEX(Produtos!$C$4:$C$4996,MATCH(D2456,Produtos!$B$4:$B$4996,0)),"Produto não encontrado"),"")</f>
        <v/>
      </c>
    </row>
    <row r="2457" spans="1:5" x14ac:dyDescent="0.3">
      <c r="A2457" s="21" t="str">
        <f t="shared" si="38"/>
        <v>.</v>
      </c>
      <c r="D2457" s="44"/>
      <c r="E2457" s="22" t="str">
        <f>IF(D2457&lt;&gt;"",IFERROR(INDEX(Produtos!$C$4:$C$4996,MATCH(D2457,Produtos!$B$4:$B$4996,0)),"Produto não encontrado"),"")</f>
        <v/>
      </c>
    </row>
    <row r="2458" spans="1:5" x14ac:dyDescent="0.3">
      <c r="A2458" s="21" t="str">
        <f t="shared" si="38"/>
        <v>.</v>
      </c>
      <c r="D2458" s="44"/>
      <c r="E2458" s="22" t="str">
        <f>IF(D2458&lt;&gt;"",IFERROR(INDEX(Produtos!$C$4:$C$4996,MATCH(D2458,Produtos!$B$4:$B$4996,0)),"Produto não encontrado"),"")</f>
        <v/>
      </c>
    </row>
    <row r="2459" spans="1:5" x14ac:dyDescent="0.3">
      <c r="A2459" s="21" t="str">
        <f t="shared" si="38"/>
        <v>.</v>
      </c>
      <c r="D2459" s="44"/>
      <c r="E2459" s="22" t="str">
        <f>IF(D2459&lt;&gt;"",IFERROR(INDEX(Produtos!$C$4:$C$4996,MATCH(D2459,Produtos!$B$4:$B$4996,0)),"Produto não encontrado"),"")</f>
        <v/>
      </c>
    </row>
    <row r="2460" spans="1:5" x14ac:dyDescent="0.3">
      <c r="A2460" s="21" t="str">
        <f t="shared" si="38"/>
        <v>.</v>
      </c>
      <c r="D2460" s="44"/>
      <c r="E2460" s="22" t="str">
        <f>IF(D2460&lt;&gt;"",IFERROR(INDEX(Produtos!$C$4:$C$4996,MATCH(D2460,Produtos!$B$4:$B$4996,0)),"Produto não encontrado"),"")</f>
        <v/>
      </c>
    </row>
    <row r="2461" spans="1:5" x14ac:dyDescent="0.3">
      <c r="A2461" s="21" t="str">
        <f t="shared" si="38"/>
        <v>.</v>
      </c>
      <c r="D2461" s="44"/>
      <c r="E2461" s="22" t="str">
        <f>IF(D2461&lt;&gt;"",IFERROR(INDEX(Produtos!$C$4:$C$4996,MATCH(D2461,Produtos!$B$4:$B$4996,0)),"Produto não encontrado"),"")</f>
        <v/>
      </c>
    </row>
    <row r="2462" spans="1:5" x14ac:dyDescent="0.3">
      <c r="A2462" s="21" t="str">
        <f t="shared" si="38"/>
        <v>.</v>
      </c>
      <c r="D2462" s="44"/>
      <c r="E2462" s="22" t="str">
        <f>IF(D2462&lt;&gt;"",IFERROR(INDEX(Produtos!$C$4:$C$4996,MATCH(D2462,Produtos!$B$4:$B$4996,0)),"Produto não encontrado"),"")</f>
        <v/>
      </c>
    </row>
    <row r="2463" spans="1:5" x14ac:dyDescent="0.3">
      <c r="A2463" s="21" t="str">
        <f t="shared" si="38"/>
        <v>.</v>
      </c>
      <c r="D2463" s="44"/>
      <c r="E2463" s="22" t="str">
        <f>IF(D2463&lt;&gt;"",IFERROR(INDEX(Produtos!$C$4:$C$4996,MATCH(D2463,Produtos!$B$4:$B$4996,0)),"Produto não encontrado"),"")</f>
        <v/>
      </c>
    </row>
    <row r="2464" spans="1:5" x14ac:dyDescent="0.3">
      <c r="A2464" s="21" t="str">
        <f t="shared" si="38"/>
        <v>.</v>
      </c>
      <c r="D2464" s="44"/>
      <c r="E2464" s="22" t="str">
        <f>IF(D2464&lt;&gt;"",IFERROR(INDEX(Produtos!$C$4:$C$4996,MATCH(D2464,Produtos!$B$4:$B$4996,0)),"Produto não encontrado"),"")</f>
        <v/>
      </c>
    </row>
    <row r="2465" spans="1:5" x14ac:dyDescent="0.3">
      <c r="A2465" s="21" t="str">
        <f t="shared" si="38"/>
        <v>.</v>
      </c>
      <c r="D2465" s="44"/>
      <c r="E2465" s="22" t="str">
        <f>IF(D2465&lt;&gt;"",IFERROR(INDEX(Produtos!$C$4:$C$4996,MATCH(D2465,Produtos!$B$4:$B$4996,0)),"Produto não encontrado"),"")</f>
        <v/>
      </c>
    </row>
    <row r="2466" spans="1:5" x14ac:dyDescent="0.3">
      <c r="A2466" s="21" t="str">
        <f t="shared" si="38"/>
        <v>.</v>
      </c>
      <c r="D2466" s="44"/>
      <c r="E2466" s="22" t="str">
        <f>IF(D2466&lt;&gt;"",IFERROR(INDEX(Produtos!$C$4:$C$4996,MATCH(D2466,Produtos!$B$4:$B$4996,0)),"Produto não encontrado"),"")</f>
        <v/>
      </c>
    </row>
    <row r="2467" spans="1:5" x14ac:dyDescent="0.3">
      <c r="A2467" s="21" t="str">
        <f t="shared" si="38"/>
        <v>.</v>
      </c>
      <c r="D2467" s="44"/>
      <c r="E2467" s="22" t="str">
        <f>IF(D2467&lt;&gt;"",IFERROR(INDEX(Produtos!$C$4:$C$4996,MATCH(D2467,Produtos!$B$4:$B$4996,0)),"Produto não encontrado"),"")</f>
        <v/>
      </c>
    </row>
    <row r="2468" spans="1:5" x14ac:dyDescent="0.3">
      <c r="A2468" s="21" t="str">
        <f t="shared" si="38"/>
        <v>.</v>
      </c>
      <c r="D2468" s="44"/>
      <c r="E2468" s="22" t="str">
        <f>IF(D2468&lt;&gt;"",IFERROR(INDEX(Produtos!$C$4:$C$4996,MATCH(D2468,Produtos!$B$4:$B$4996,0)),"Produto não encontrado"),"")</f>
        <v/>
      </c>
    </row>
    <row r="2469" spans="1:5" x14ac:dyDescent="0.3">
      <c r="A2469" s="21" t="str">
        <f t="shared" si="38"/>
        <v>.</v>
      </c>
      <c r="D2469" s="44"/>
      <c r="E2469" s="22" t="str">
        <f>IF(D2469&lt;&gt;"",IFERROR(INDEX(Produtos!$C$4:$C$4996,MATCH(D2469,Produtos!$B$4:$B$4996,0)),"Produto não encontrado"),"")</f>
        <v/>
      </c>
    </row>
    <row r="2470" spans="1:5" x14ac:dyDescent="0.3">
      <c r="A2470" s="21" t="str">
        <f t="shared" si="38"/>
        <v>.</v>
      </c>
      <c r="D2470" s="44"/>
      <c r="E2470" s="22" t="str">
        <f>IF(D2470&lt;&gt;"",IFERROR(INDEX(Produtos!$C$4:$C$4996,MATCH(D2470,Produtos!$B$4:$B$4996,0)),"Produto não encontrado"),"")</f>
        <v/>
      </c>
    </row>
    <row r="2471" spans="1:5" x14ac:dyDescent="0.3">
      <c r="A2471" s="21" t="str">
        <f t="shared" si="38"/>
        <v>.</v>
      </c>
      <c r="D2471" s="44"/>
      <c r="E2471" s="22" t="str">
        <f>IF(D2471&lt;&gt;"",IFERROR(INDEX(Produtos!$C$4:$C$4996,MATCH(D2471,Produtos!$B$4:$B$4996,0)),"Produto não encontrado"),"")</f>
        <v/>
      </c>
    </row>
    <row r="2472" spans="1:5" x14ac:dyDescent="0.3">
      <c r="A2472" s="21" t="str">
        <f t="shared" si="38"/>
        <v>.</v>
      </c>
      <c r="D2472" s="44"/>
      <c r="E2472" s="22" t="str">
        <f>IF(D2472&lt;&gt;"",IFERROR(INDEX(Produtos!$C$4:$C$4996,MATCH(D2472,Produtos!$B$4:$B$4996,0)),"Produto não encontrado"),"")</f>
        <v/>
      </c>
    </row>
    <row r="2473" spans="1:5" x14ac:dyDescent="0.3">
      <c r="A2473" s="21" t="str">
        <f t="shared" si="38"/>
        <v>.</v>
      </c>
      <c r="D2473" s="44"/>
      <c r="E2473" s="22" t="str">
        <f>IF(D2473&lt;&gt;"",IFERROR(INDEX(Produtos!$C$4:$C$4996,MATCH(D2473,Produtos!$B$4:$B$4996,0)),"Produto não encontrado"),"")</f>
        <v/>
      </c>
    </row>
    <row r="2474" spans="1:5" x14ac:dyDescent="0.3">
      <c r="A2474" s="21" t="str">
        <f t="shared" si="38"/>
        <v>.</v>
      </c>
      <c r="D2474" s="44"/>
      <c r="E2474" s="22" t="str">
        <f>IF(D2474&lt;&gt;"",IFERROR(INDEX(Produtos!$C$4:$C$4996,MATCH(D2474,Produtos!$B$4:$B$4996,0)),"Produto não encontrado"),"")</f>
        <v/>
      </c>
    </row>
    <row r="2475" spans="1:5" x14ac:dyDescent="0.3">
      <c r="A2475" s="21" t="str">
        <f t="shared" si="38"/>
        <v>.</v>
      </c>
      <c r="D2475" s="44"/>
      <c r="E2475" s="22" t="str">
        <f>IF(D2475&lt;&gt;"",IFERROR(INDEX(Produtos!$C$4:$C$4996,MATCH(D2475,Produtos!$B$4:$B$4996,0)),"Produto não encontrado"),"")</f>
        <v/>
      </c>
    </row>
    <row r="2476" spans="1:5" x14ac:dyDescent="0.3">
      <c r="A2476" s="21" t="str">
        <f t="shared" si="38"/>
        <v>.</v>
      </c>
      <c r="D2476" s="44"/>
      <c r="E2476" s="22" t="str">
        <f>IF(D2476&lt;&gt;"",IFERROR(INDEX(Produtos!$C$4:$C$4996,MATCH(D2476,Produtos!$B$4:$B$4996,0)),"Produto não encontrado"),"")</f>
        <v/>
      </c>
    </row>
    <row r="2477" spans="1:5" x14ac:dyDescent="0.3">
      <c r="A2477" s="21" t="str">
        <f t="shared" si="38"/>
        <v>.</v>
      </c>
      <c r="D2477" s="44"/>
      <c r="E2477" s="22" t="str">
        <f>IF(D2477&lt;&gt;"",IFERROR(INDEX(Produtos!$C$4:$C$4996,MATCH(D2477,Produtos!$B$4:$B$4996,0)),"Produto não encontrado"),"")</f>
        <v/>
      </c>
    </row>
    <row r="2478" spans="1:5" x14ac:dyDescent="0.3">
      <c r="A2478" s="21" t="str">
        <f t="shared" si="38"/>
        <v>.</v>
      </c>
      <c r="D2478" s="44"/>
      <c r="E2478" s="22" t="str">
        <f>IF(D2478&lt;&gt;"",IFERROR(INDEX(Produtos!$C$4:$C$4996,MATCH(D2478,Produtos!$B$4:$B$4996,0)),"Produto não encontrado"),"")</f>
        <v/>
      </c>
    </row>
    <row r="2479" spans="1:5" x14ac:dyDescent="0.3">
      <c r="A2479" s="21" t="str">
        <f t="shared" si="38"/>
        <v>.</v>
      </c>
      <c r="D2479" s="44"/>
      <c r="E2479" s="22" t="str">
        <f>IF(D2479&lt;&gt;"",IFERROR(INDEX(Produtos!$C$4:$C$4996,MATCH(D2479,Produtos!$B$4:$B$4996,0)),"Produto não encontrado"),"")</f>
        <v/>
      </c>
    </row>
    <row r="2480" spans="1:5" x14ac:dyDescent="0.3">
      <c r="A2480" s="21" t="str">
        <f t="shared" si="38"/>
        <v>.</v>
      </c>
      <c r="D2480" s="44"/>
      <c r="E2480" s="22" t="str">
        <f>IF(D2480&lt;&gt;"",IFERROR(INDEX(Produtos!$C$4:$C$4996,MATCH(D2480,Produtos!$B$4:$B$4996,0)),"Produto não encontrado"),"")</f>
        <v/>
      </c>
    </row>
    <row r="2481" spans="1:5" x14ac:dyDescent="0.3">
      <c r="A2481" s="21" t="str">
        <f t="shared" si="38"/>
        <v>.</v>
      </c>
      <c r="D2481" s="44"/>
      <c r="E2481" s="22" t="str">
        <f>IF(D2481&lt;&gt;"",IFERROR(INDEX(Produtos!$C$4:$C$4996,MATCH(D2481,Produtos!$B$4:$B$4996,0)),"Produto não encontrado"),"")</f>
        <v/>
      </c>
    </row>
    <row r="2482" spans="1:5" x14ac:dyDescent="0.3">
      <c r="A2482" s="21" t="str">
        <f t="shared" si="38"/>
        <v>.</v>
      </c>
      <c r="D2482" s="44"/>
      <c r="E2482" s="22" t="str">
        <f>IF(D2482&lt;&gt;"",IFERROR(INDEX(Produtos!$C$4:$C$4996,MATCH(D2482,Produtos!$B$4:$B$4996,0)),"Produto não encontrado"),"")</f>
        <v/>
      </c>
    </row>
    <row r="2483" spans="1:5" x14ac:dyDescent="0.3">
      <c r="A2483" s="21" t="str">
        <f t="shared" si="38"/>
        <v>.</v>
      </c>
      <c r="D2483" s="44"/>
      <c r="E2483" s="22" t="str">
        <f>IF(D2483&lt;&gt;"",IFERROR(INDEX(Produtos!$C$4:$C$4996,MATCH(D2483,Produtos!$B$4:$B$4996,0)),"Produto não encontrado"),"")</f>
        <v/>
      </c>
    </row>
    <row r="2484" spans="1:5" x14ac:dyDescent="0.3">
      <c r="A2484" s="21" t="str">
        <f t="shared" si="38"/>
        <v>.</v>
      </c>
      <c r="D2484" s="44"/>
      <c r="E2484" s="22" t="str">
        <f>IF(D2484&lt;&gt;"",IFERROR(INDEX(Produtos!$C$4:$C$4996,MATCH(D2484,Produtos!$B$4:$B$4996,0)),"Produto não encontrado"),"")</f>
        <v/>
      </c>
    </row>
    <row r="2485" spans="1:5" x14ac:dyDescent="0.3">
      <c r="A2485" s="21" t="str">
        <f t="shared" si="38"/>
        <v>.</v>
      </c>
      <c r="D2485" s="44"/>
      <c r="E2485" s="22" t="str">
        <f>IF(D2485&lt;&gt;"",IFERROR(INDEX(Produtos!$C$4:$C$4996,MATCH(D2485,Produtos!$B$4:$B$4996,0)),"Produto não encontrado"),"")</f>
        <v/>
      </c>
    </row>
    <row r="2486" spans="1:5" x14ac:dyDescent="0.3">
      <c r="A2486" s="21" t="str">
        <f t="shared" si="38"/>
        <v>.</v>
      </c>
      <c r="D2486" s="44"/>
      <c r="E2486" s="22" t="str">
        <f>IF(D2486&lt;&gt;"",IFERROR(INDEX(Produtos!$C$4:$C$4996,MATCH(D2486,Produtos!$B$4:$B$4996,0)),"Produto não encontrado"),"")</f>
        <v/>
      </c>
    </row>
    <row r="2487" spans="1:5" x14ac:dyDescent="0.3">
      <c r="A2487" s="21" t="str">
        <f t="shared" si="38"/>
        <v>.</v>
      </c>
      <c r="D2487" s="44"/>
      <c r="E2487" s="22" t="str">
        <f>IF(D2487&lt;&gt;"",IFERROR(INDEX(Produtos!$C$4:$C$4996,MATCH(D2487,Produtos!$B$4:$B$4996,0)),"Produto não encontrado"),"")</f>
        <v/>
      </c>
    </row>
    <row r="2488" spans="1:5" x14ac:dyDescent="0.3">
      <c r="A2488" s="21" t="str">
        <f t="shared" si="38"/>
        <v>.</v>
      </c>
      <c r="D2488" s="44"/>
      <c r="E2488" s="22" t="str">
        <f>IF(D2488&lt;&gt;"",IFERROR(INDEX(Produtos!$C$4:$C$4996,MATCH(D2488,Produtos!$B$4:$B$4996,0)),"Produto não encontrado"),"")</f>
        <v/>
      </c>
    </row>
    <row r="2489" spans="1:5" x14ac:dyDescent="0.3">
      <c r="A2489" s="21" t="str">
        <f t="shared" si="38"/>
        <v>.</v>
      </c>
      <c r="D2489" s="44"/>
      <c r="E2489" s="22" t="str">
        <f>IF(D2489&lt;&gt;"",IFERROR(INDEX(Produtos!$C$4:$C$4996,MATCH(D2489,Produtos!$B$4:$B$4996,0)),"Produto não encontrado"),"")</f>
        <v/>
      </c>
    </row>
    <row r="2490" spans="1:5" x14ac:dyDescent="0.3">
      <c r="A2490" s="21" t="str">
        <f t="shared" si="38"/>
        <v>.</v>
      </c>
      <c r="D2490" s="44"/>
      <c r="E2490" s="22" t="str">
        <f>IF(D2490&lt;&gt;"",IFERROR(INDEX(Produtos!$C$4:$C$4996,MATCH(D2490,Produtos!$B$4:$B$4996,0)),"Produto não encontrado"),"")</f>
        <v/>
      </c>
    </row>
    <row r="2491" spans="1:5" x14ac:dyDescent="0.3">
      <c r="A2491" s="21" t="str">
        <f t="shared" si="38"/>
        <v>.</v>
      </c>
      <c r="D2491" s="44"/>
      <c r="E2491" s="22" t="str">
        <f>IF(D2491&lt;&gt;"",IFERROR(INDEX(Produtos!$C$4:$C$4996,MATCH(D2491,Produtos!$B$4:$B$4996,0)),"Produto não encontrado"),"")</f>
        <v/>
      </c>
    </row>
    <row r="2492" spans="1:5" x14ac:dyDescent="0.3">
      <c r="A2492" s="21" t="str">
        <f t="shared" si="38"/>
        <v>.</v>
      </c>
      <c r="D2492" s="44"/>
      <c r="E2492" s="22" t="str">
        <f>IF(D2492&lt;&gt;"",IFERROR(INDEX(Produtos!$C$4:$C$4996,MATCH(D2492,Produtos!$B$4:$B$4996,0)),"Produto não encontrado"),"")</f>
        <v/>
      </c>
    </row>
    <row r="2493" spans="1:5" x14ac:dyDescent="0.3">
      <c r="A2493" s="21" t="str">
        <f t="shared" si="38"/>
        <v>.</v>
      </c>
      <c r="D2493" s="44"/>
      <c r="E2493" s="22" t="str">
        <f>IF(D2493&lt;&gt;"",IFERROR(INDEX(Produtos!$C$4:$C$4996,MATCH(D2493,Produtos!$B$4:$B$4996,0)),"Produto não encontrado"),"")</f>
        <v/>
      </c>
    </row>
    <row r="2494" spans="1:5" x14ac:dyDescent="0.3">
      <c r="A2494" s="21" t="str">
        <f t="shared" si="38"/>
        <v>.</v>
      </c>
      <c r="D2494" s="44"/>
      <c r="E2494" s="22" t="str">
        <f>IF(D2494&lt;&gt;"",IFERROR(INDEX(Produtos!$C$4:$C$4996,MATCH(D2494,Produtos!$B$4:$B$4996,0)),"Produto não encontrado"),"")</f>
        <v/>
      </c>
    </row>
    <row r="2495" spans="1:5" x14ac:dyDescent="0.3">
      <c r="A2495" s="21" t="str">
        <f t="shared" si="38"/>
        <v>.</v>
      </c>
      <c r="D2495" s="44"/>
      <c r="E2495" s="22" t="str">
        <f>IF(D2495&lt;&gt;"",IFERROR(INDEX(Produtos!$C$4:$C$4996,MATCH(D2495,Produtos!$B$4:$B$4996,0)),"Produto não encontrado"),"")</f>
        <v/>
      </c>
    </row>
    <row r="2496" spans="1:5" x14ac:dyDescent="0.3">
      <c r="A2496" s="21" t="str">
        <f t="shared" ref="A2496:A2559" si="39">IF(C2496="Entrada",2,IF(C2496="Saída",1,"."))</f>
        <v>.</v>
      </c>
      <c r="D2496" s="44"/>
      <c r="E2496" s="22" t="str">
        <f>IF(D2496&lt;&gt;"",IFERROR(INDEX(Produtos!$C$4:$C$4996,MATCH(D2496,Produtos!$B$4:$B$4996,0)),"Produto não encontrado"),"")</f>
        <v/>
      </c>
    </row>
    <row r="2497" spans="1:5" x14ac:dyDescent="0.3">
      <c r="A2497" s="21" t="str">
        <f t="shared" si="39"/>
        <v>.</v>
      </c>
      <c r="D2497" s="44"/>
      <c r="E2497" s="22" t="str">
        <f>IF(D2497&lt;&gt;"",IFERROR(INDEX(Produtos!$C$4:$C$4996,MATCH(D2497,Produtos!$B$4:$B$4996,0)),"Produto não encontrado"),"")</f>
        <v/>
      </c>
    </row>
    <row r="2498" spans="1:5" x14ac:dyDescent="0.3">
      <c r="A2498" s="21" t="str">
        <f t="shared" si="39"/>
        <v>.</v>
      </c>
      <c r="D2498" s="44"/>
      <c r="E2498" s="22" t="str">
        <f>IF(D2498&lt;&gt;"",IFERROR(INDEX(Produtos!$C$4:$C$4996,MATCH(D2498,Produtos!$B$4:$B$4996,0)),"Produto não encontrado"),"")</f>
        <v/>
      </c>
    </row>
    <row r="2499" spans="1:5" x14ac:dyDescent="0.3">
      <c r="A2499" s="21" t="str">
        <f t="shared" si="39"/>
        <v>.</v>
      </c>
      <c r="D2499" s="44"/>
      <c r="E2499" s="22" t="str">
        <f>IF(D2499&lt;&gt;"",IFERROR(INDEX(Produtos!$C$4:$C$4996,MATCH(D2499,Produtos!$B$4:$B$4996,0)),"Produto não encontrado"),"")</f>
        <v/>
      </c>
    </row>
    <row r="2500" spans="1:5" x14ac:dyDescent="0.3">
      <c r="A2500" s="21" t="str">
        <f t="shared" si="39"/>
        <v>.</v>
      </c>
      <c r="D2500" s="44"/>
      <c r="E2500" s="22" t="str">
        <f>IF(D2500&lt;&gt;"",IFERROR(INDEX(Produtos!$C$4:$C$4996,MATCH(D2500,Produtos!$B$4:$B$4996,0)),"Produto não encontrado"),"")</f>
        <v/>
      </c>
    </row>
    <row r="2501" spans="1:5" x14ac:dyDescent="0.3">
      <c r="A2501" s="21" t="str">
        <f t="shared" si="39"/>
        <v>.</v>
      </c>
      <c r="D2501" s="44"/>
      <c r="E2501" s="22" t="str">
        <f>IF(D2501&lt;&gt;"",IFERROR(INDEX(Produtos!$C$4:$C$4996,MATCH(D2501,Produtos!$B$4:$B$4996,0)),"Produto não encontrado"),"")</f>
        <v/>
      </c>
    </row>
    <row r="2502" spans="1:5" x14ac:dyDescent="0.3">
      <c r="A2502" s="21" t="str">
        <f t="shared" si="39"/>
        <v>.</v>
      </c>
      <c r="D2502" s="44"/>
      <c r="E2502" s="22" t="str">
        <f>IF(D2502&lt;&gt;"",IFERROR(INDEX(Produtos!$C$4:$C$4996,MATCH(D2502,Produtos!$B$4:$B$4996,0)),"Produto não encontrado"),"")</f>
        <v/>
      </c>
    </row>
    <row r="2503" spans="1:5" x14ac:dyDescent="0.3">
      <c r="A2503" s="21" t="str">
        <f t="shared" si="39"/>
        <v>.</v>
      </c>
      <c r="D2503" s="44"/>
      <c r="E2503" s="22" t="str">
        <f>IF(D2503&lt;&gt;"",IFERROR(INDEX(Produtos!$C$4:$C$4996,MATCH(D2503,Produtos!$B$4:$B$4996,0)),"Produto não encontrado"),"")</f>
        <v/>
      </c>
    </row>
    <row r="2504" spans="1:5" x14ac:dyDescent="0.3">
      <c r="A2504" s="21" t="str">
        <f t="shared" si="39"/>
        <v>.</v>
      </c>
      <c r="D2504" s="44"/>
      <c r="E2504" s="22" t="str">
        <f>IF(D2504&lt;&gt;"",IFERROR(INDEX(Produtos!$C$4:$C$4996,MATCH(D2504,Produtos!$B$4:$B$4996,0)),"Produto não encontrado"),"")</f>
        <v/>
      </c>
    </row>
    <row r="2505" spans="1:5" x14ac:dyDescent="0.3">
      <c r="A2505" s="21" t="str">
        <f t="shared" si="39"/>
        <v>.</v>
      </c>
      <c r="D2505" s="44"/>
      <c r="E2505" s="22" t="str">
        <f>IF(D2505&lt;&gt;"",IFERROR(INDEX(Produtos!$C$4:$C$4996,MATCH(D2505,Produtos!$B$4:$B$4996,0)),"Produto não encontrado"),"")</f>
        <v/>
      </c>
    </row>
    <row r="2506" spans="1:5" x14ac:dyDescent="0.3">
      <c r="A2506" s="21" t="str">
        <f t="shared" si="39"/>
        <v>.</v>
      </c>
      <c r="D2506" s="44"/>
      <c r="E2506" s="22" t="str">
        <f>IF(D2506&lt;&gt;"",IFERROR(INDEX(Produtos!$C$4:$C$4996,MATCH(D2506,Produtos!$B$4:$B$4996,0)),"Produto não encontrado"),"")</f>
        <v/>
      </c>
    </row>
    <row r="2507" spans="1:5" x14ac:dyDescent="0.3">
      <c r="A2507" s="21" t="str">
        <f t="shared" si="39"/>
        <v>.</v>
      </c>
      <c r="D2507" s="44"/>
      <c r="E2507" s="22" t="str">
        <f>IF(D2507&lt;&gt;"",IFERROR(INDEX(Produtos!$C$4:$C$4996,MATCH(D2507,Produtos!$B$4:$B$4996,0)),"Produto não encontrado"),"")</f>
        <v/>
      </c>
    </row>
    <row r="2508" spans="1:5" x14ac:dyDescent="0.3">
      <c r="A2508" s="21" t="str">
        <f t="shared" si="39"/>
        <v>.</v>
      </c>
      <c r="D2508" s="44"/>
      <c r="E2508" s="22" t="str">
        <f>IF(D2508&lt;&gt;"",IFERROR(INDEX(Produtos!$C$4:$C$4996,MATCH(D2508,Produtos!$B$4:$B$4996,0)),"Produto não encontrado"),"")</f>
        <v/>
      </c>
    </row>
    <row r="2509" spans="1:5" x14ac:dyDescent="0.3">
      <c r="A2509" s="21" t="str">
        <f t="shared" si="39"/>
        <v>.</v>
      </c>
      <c r="D2509" s="44"/>
      <c r="E2509" s="22" t="str">
        <f>IF(D2509&lt;&gt;"",IFERROR(INDEX(Produtos!$C$4:$C$4996,MATCH(D2509,Produtos!$B$4:$B$4996,0)),"Produto não encontrado"),"")</f>
        <v/>
      </c>
    </row>
    <row r="2510" spans="1:5" x14ac:dyDescent="0.3">
      <c r="A2510" s="21" t="str">
        <f t="shared" si="39"/>
        <v>.</v>
      </c>
      <c r="D2510" s="44"/>
      <c r="E2510" s="22" t="str">
        <f>IF(D2510&lt;&gt;"",IFERROR(INDEX(Produtos!$C$4:$C$4996,MATCH(D2510,Produtos!$B$4:$B$4996,0)),"Produto não encontrado"),"")</f>
        <v/>
      </c>
    </row>
    <row r="2511" spans="1:5" x14ac:dyDescent="0.3">
      <c r="A2511" s="21" t="str">
        <f t="shared" si="39"/>
        <v>.</v>
      </c>
      <c r="D2511" s="44"/>
      <c r="E2511" s="22" t="str">
        <f>IF(D2511&lt;&gt;"",IFERROR(INDEX(Produtos!$C$4:$C$4996,MATCH(D2511,Produtos!$B$4:$B$4996,0)),"Produto não encontrado"),"")</f>
        <v/>
      </c>
    </row>
    <row r="2512" spans="1:5" x14ac:dyDescent="0.3">
      <c r="A2512" s="21" t="str">
        <f t="shared" si="39"/>
        <v>.</v>
      </c>
      <c r="D2512" s="44"/>
      <c r="E2512" s="22" t="str">
        <f>IF(D2512&lt;&gt;"",IFERROR(INDEX(Produtos!$C$4:$C$4996,MATCH(D2512,Produtos!$B$4:$B$4996,0)),"Produto não encontrado"),"")</f>
        <v/>
      </c>
    </row>
    <row r="2513" spans="1:5" x14ac:dyDescent="0.3">
      <c r="A2513" s="21" t="str">
        <f t="shared" si="39"/>
        <v>.</v>
      </c>
      <c r="D2513" s="44"/>
      <c r="E2513" s="22" t="str">
        <f>IF(D2513&lt;&gt;"",IFERROR(INDEX(Produtos!$C$4:$C$4996,MATCH(D2513,Produtos!$B$4:$B$4996,0)),"Produto não encontrado"),"")</f>
        <v/>
      </c>
    </row>
    <row r="2514" spans="1:5" x14ac:dyDescent="0.3">
      <c r="A2514" s="21" t="str">
        <f t="shared" si="39"/>
        <v>.</v>
      </c>
      <c r="D2514" s="44"/>
      <c r="E2514" s="22" t="str">
        <f>IF(D2514&lt;&gt;"",IFERROR(INDEX(Produtos!$C$4:$C$4996,MATCH(D2514,Produtos!$B$4:$B$4996,0)),"Produto não encontrado"),"")</f>
        <v/>
      </c>
    </row>
    <row r="2515" spans="1:5" x14ac:dyDescent="0.3">
      <c r="A2515" s="21" t="str">
        <f t="shared" si="39"/>
        <v>.</v>
      </c>
      <c r="D2515" s="44"/>
      <c r="E2515" s="22" t="str">
        <f>IF(D2515&lt;&gt;"",IFERROR(INDEX(Produtos!$C$4:$C$4996,MATCH(D2515,Produtos!$B$4:$B$4996,0)),"Produto não encontrado"),"")</f>
        <v/>
      </c>
    </row>
    <row r="2516" spans="1:5" x14ac:dyDescent="0.3">
      <c r="A2516" s="21" t="str">
        <f t="shared" si="39"/>
        <v>.</v>
      </c>
      <c r="D2516" s="44"/>
      <c r="E2516" s="22" t="str">
        <f>IF(D2516&lt;&gt;"",IFERROR(INDEX(Produtos!$C$4:$C$4996,MATCH(D2516,Produtos!$B$4:$B$4996,0)),"Produto não encontrado"),"")</f>
        <v/>
      </c>
    </row>
    <row r="2517" spans="1:5" x14ac:dyDescent="0.3">
      <c r="A2517" s="21" t="str">
        <f t="shared" si="39"/>
        <v>.</v>
      </c>
      <c r="D2517" s="44"/>
      <c r="E2517" s="22" t="str">
        <f>IF(D2517&lt;&gt;"",IFERROR(INDEX(Produtos!$C$4:$C$4996,MATCH(D2517,Produtos!$B$4:$B$4996,0)),"Produto não encontrado"),"")</f>
        <v/>
      </c>
    </row>
    <row r="2518" spans="1:5" x14ac:dyDescent="0.3">
      <c r="A2518" s="21" t="str">
        <f t="shared" si="39"/>
        <v>.</v>
      </c>
      <c r="D2518" s="44"/>
      <c r="E2518" s="22" t="str">
        <f>IF(D2518&lt;&gt;"",IFERROR(INDEX(Produtos!$C$4:$C$4996,MATCH(D2518,Produtos!$B$4:$B$4996,0)),"Produto não encontrado"),"")</f>
        <v/>
      </c>
    </row>
    <row r="2519" spans="1:5" x14ac:dyDescent="0.3">
      <c r="A2519" s="21" t="str">
        <f t="shared" si="39"/>
        <v>.</v>
      </c>
      <c r="D2519" s="44"/>
      <c r="E2519" s="22" t="str">
        <f>IF(D2519&lt;&gt;"",IFERROR(INDEX(Produtos!$C$4:$C$4996,MATCH(D2519,Produtos!$B$4:$B$4996,0)),"Produto não encontrado"),"")</f>
        <v/>
      </c>
    </row>
    <row r="2520" spans="1:5" x14ac:dyDescent="0.3">
      <c r="A2520" s="21" t="str">
        <f t="shared" si="39"/>
        <v>.</v>
      </c>
      <c r="D2520" s="44"/>
      <c r="E2520" s="22" t="str">
        <f>IF(D2520&lt;&gt;"",IFERROR(INDEX(Produtos!$C$4:$C$4996,MATCH(D2520,Produtos!$B$4:$B$4996,0)),"Produto não encontrado"),"")</f>
        <v/>
      </c>
    </row>
    <row r="2521" spans="1:5" x14ac:dyDescent="0.3">
      <c r="A2521" s="21" t="str">
        <f t="shared" si="39"/>
        <v>.</v>
      </c>
      <c r="D2521" s="44"/>
      <c r="E2521" s="22" t="str">
        <f>IF(D2521&lt;&gt;"",IFERROR(INDEX(Produtos!$C$4:$C$4996,MATCH(D2521,Produtos!$B$4:$B$4996,0)),"Produto não encontrado"),"")</f>
        <v/>
      </c>
    </row>
    <row r="2522" spans="1:5" x14ac:dyDescent="0.3">
      <c r="A2522" s="21" t="str">
        <f t="shared" si="39"/>
        <v>.</v>
      </c>
      <c r="D2522" s="44"/>
      <c r="E2522" s="22" t="str">
        <f>IF(D2522&lt;&gt;"",IFERROR(INDEX(Produtos!$C$4:$C$4996,MATCH(D2522,Produtos!$B$4:$B$4996,0)),"Produto não encontrado"),"")</f>
        <v/>
      </c>
    </row>
    <row r="2523" spans="1:5" x14ac:dyDescent="0.3">
      <c r="A2523" s="21" t="str">
        <f t="shared" si="39"/>
        <v>.</v>
      </c>
      <c r="D2523" s="44"/>
      <c r="E2523" s="22" t="str">
        <f>IF(D2523&lt;&gt;"",IFERROR(INDEX(Produtos!$C$4:$C$4996,MATCH(D2523,Produtos!$B$4:$B$4996,0)),"Produto não encontrado"),"")</f>
        <v/>
      </c>
    </row>
    <row r="2524" spans="1:5" x14ac:dyDescent="0.3">
      <c r="A2524" s="21" t="str">
        <f t="shared" si="39"/>
        <v>.</v>
      </c>
      <c r="D2524" s="44"/>
      <c r="E2524" s="22" t="str">
        <f>IF(D2524&lt;&gt;"",IFERROR(INDEX(Produtos!$C$4:$C$4996,MATCH(D2524,Produtos!$B$4:$B$4996,0)),"Produto não encontrado"),"")</f>
        <v/>
      </c>
    </row>
    <row r="2525" spans="1:5" x14ac:dyDescent="0.3">
      <c r="A2525" s="21" t="str">
        <f t="shared" si="39"/>
        <v>.</v>
      </c>
      <c r="D2525" s="44"/>
      <c r="E2525" s="22" t="str">
        <f>IF(D2525&lt;&gt;"",IFERROR(INDEX(Produtos!$C$4:$C$4996,MATCH(D2525,Produtos!$B$4:$B$4996,0)),"Produto não encontrado"),"")</f>
        <v/>
      </c>
    </row>
    <row r="2526" spans="1:5" x14ac:dyDescent="0.3">
      <c r="A2526" s="21" t="str">
        <f t="shared" si="39"/>
        <v>.</v>
      </c>
      <c r="D2526" s="44"/>
      <c r="E2526" s="22" t="str">
        <f>IF(D2526&lt;&gt;"",IFERROR(INDEX(Produtos!$C$4:$C$4996,MATCH(D2526,Produtos!$B$4:$B$4996,0)),"Produto não encontrado"),"")</f>
        <v/>
      </c>
    </row>
    <row r="2527" spans="1:5" x14ac:dyDescent="0.3">
      <c r="A2527" s="21" t="str">
        <f t="shared" si="39"/>
        <v>.</v>
      </c>
      <c r="D2527" s="44"/>
      <c r="E2527" s="22" t="str">
        <f>IF(D2527&lt;&gt;"",IFERROR(INDEX(Produtos!$C$4:$C$4996,MATCH(D2527,Produtos!$B$4:$B$4996,0)),"Produto não encontrado"),"")</f>
        <v/>
      </c>
    </row>
    <row r="2528" spans="1:5" x14ac:dyDescent="0.3">
      <c r="A2528" s="21" t="str">
        <f t="shared" si="39"/>
        <v>.</v>
      </c>
      <c r="D2528" s="44"/>
      <c r="E2528" s="22" t="str">
        <f>IF(D2528&lt;&gt;"",IFERROR(INDEX(Produtos!$C$4:$C$4996,MATCH(D2528,Produtos!$B$4:$B$4996,0)),"Produto não encontrado"),"")</f>
        <v/>
      </c>
    </row>
    <row r="2529" spans="1:5" x14ac:dyDescent="0.3">
      <c r="A2529" s="21" t="str">
        <f t="shared" si="39"/>
        <v>.</v>
      </c>
      <c r="D2529" s="44"/>
      <c r="E2529" s="22" t="str">
        <f>IF(D2529&lt;&gt;"",IFERROR(INDEX(Produtos!$C$4:$C$4996,MATCH(D2529,Produtos!$B$4:$B$4996,0)),"Produto não encontrado"),"")</f>
        <v/>
      </c>
    </row>
    <row r="2530" spans="1:5" x14ac:dyDescent="0.3">
      <c r="A2530" s="21" t="str">
        <f t="shared" si="39"/>
        <v>.</v>
      </c>
      <c r="D2530" s="44"/>
      <c r="E2530" s="22" t="str">
        <f>IF(D2530&lt;&gt;"",IFERROR(INDEX(Produtos!$C$4:$C$4996,MATCH(D2530,Produtos!$B$4:$B$4996,0)),"Produto não encontrado"),"")</f>
        <v/>
      </c>
    </row>
    <row r="2531" spans="1:5" x14ac:dyDescent="0.3">
      <c r="A2531" s="21" t="str">
        <f t="shared" si="39"/>
        <v>.</v>
      </c>
      <c r="D2531" s="44"/>
      <c r="E2531" s="22" t="str">
        <f>IF(D2531&lt;&gt;"",IFERROR(INDEX(Produtos!$C$4:$C$4996,MATCH(D2531,Produtos!$B$4:$B$4996,0)),"Produto não encontrado"),"")</f>
        <v/>
      </c>
    </row>
    <row r="2532" spans="1:5" x14ac:dyDescent="0.3">
      <c r="A2532" s="21" t="str">
        <f t="shared" si="39"/>
        <v>.</v>
      </c>
      <c r="D2532" s="44"/>
      <c r="E2532" s="22" t="str">
        <f>IF(D2532&lt;&gt;"",IFERROR(INDEX(Produtos!$C$4:$C$4996,MATCH(D2532,Produtos!$B$4:$B$4996,0)),"Produto não encontrado"),"")</f>
        <v/>
      </c>
    </row>
    <row r="2533" spans="1:5" x14ac:dyDescent="0.3">
      <c r="A2533" s="21" t="str">
        <f t="shared" si="39"/>
        <v>.</v>
      </c>
      <c r="D2533" s="44"/>
      <c r="E2533" s="22" t="str">
        <f>IF(D2533&lt;&gt;"",IFERROR(INDEX(Produtos!$C$4:$C$4996,MATCH(D2533,Produtos!$B$4:$B$4996,0)),"Produto não encontrado"),"")</f>
        <v/>
      </c>
    </row>
    <row r="2534" spans="1:5" x14ac:dyDescent="0.3">
      <c r="A2534" s="21" t="str">
        <f t="shared" si="39"/>
        <v>.</v>
      </c>
      <c r="D2534" s="44"/>
      <c r="E2534" s="22" t="str">
        <f>IF(D2534&lt;&gt;"",IFERROR(INDEX(Produtos!$C$4:$C$4996,MATCH(D2534,Produtos!$B$4:$B$4996,0)),"Produto não encontrado"),"")</f>
        <v/>
      </c>
    </row>
    <row r="2535" spans="1:5" x14ac:dyDescent="0.3">
      <c r="A2535" s="21" t="str">
        <f t="shared" si="39"/>
        <v>.</v>
      </c>
      <c r="D2535" s="44"/>
      <c r="E2535" s="22" t="str">
        <f>IF(D2535&lt;&gt;"",IFERROR(INDEX(Produtos!$C$4:$C$4996,MATCH(D2535,Produtos!$B$4:$B$4996,0)),"Produto não encontrado"),"")</f>
        <v/>
      </c>
    </row>
    <row r="2536" spans="1:5" x14ac:dyDescent="0.3">
      <c r="A2536" s="21" t="str">
        <f t="shared" si="39"/>
        <v>.</v>
      </c>
      <c r="D2536" s="44"/>
      <c r="E2536" s="22" t="str">
        <f>IF(D2536&lt;&gt;"",IFERROR(INDEX(Produtos!$C$4:$C$4996,MATCH(D2536,Produtos!$B$4:$B$4996,0)),"Produto não encontrado"),"")</f>
        <v/>
      </c>
    </row>
    <row r="2537" spans="1:5" x14ac:dyDescent="0.3">
      <c r="A2537" s="21" t="str">
        <f t="shared" si="39"/>
        <v>.</v>
      </c>
      <c r="D2537" s="44"/>
      <c r="E2537" s="22" t="str">
        <f>IF(D2537&lt;&gt;"",IFERROR(INDEX(Produtos!$C$4:$C$4996,MATCH(D2537,Produtos!$B$4:$B$4996,0)),"Produto não encontrado"),"")</f>
        <v/>
      </c>
    </row>
    <row r="2538" spans="1:5" x14ac:dyDescent="0.3">
      <c r="A2538" s="21" t="str">
        <f t="shared" si="39"/>
        <v>.</v>
      </c>
      <c r="D2538" s="44"/>
      <c r="E2538" s="22" t="str">
        <f>IF(D2538&lt;&gt;"",IFERROR(INDEX(Produtos!$C$4:$C$4996,MATCH(D2538,Produtos!$B$4:$B$4996,0)),"Produto não encontrado"),"")</f>
        <v/>
      </c>
    </row>
    <row r="2539" spans="1:5" x14ac:dyDescent="0.3">
      <c r="A2539" s="21" t="str">
        <f t="shared" si="39"/>
        <v>.</v>
      </c>
      <c r="D2539" s="44"/>
      <c r="E2539" s="22" t="str">
        <f>IF(D2539&lt;&gt;"",IFERROR(INDEX(Produtos!$C$4:$C$4996,MATCH(D2539,Produtos!$B$4:$B$4996,0)),"Produto não encontrado"),"")</f>
        <v/>
      </c>
    </row>
    <row r="2540" spans="1:5" x14ac:dyDescent="0.3">
      <c r="A2540" s="21" t="str">
        <f t="shared" si="39"/>
        <v>.</v>
      </c>
      <c r="D2540" s="44"/>
      <c r="E2540" s="22" t="str">
        <f>IF(D2540&lt;&gt;"",IFERROR(INDEX(Produtos!$C$4:$C$4996,MATCH(D2540,Produtos!$B$4:$B$4996,0)),"Produto não encontrado"),"")</f>
        <v/>
      </c>
    </row>
    <row r="2541" spans="1:5" x14ac:dyDescent="0.3">
      <c r="A2541" s="21" t="str">
        <f t="shared" si="39"/>
        <v>.</v>
      </c>
      <c r="D2541" s="44"/>
      <c r="E2541" s="22" t="str">
        <f>IF(D2541&lt;&gt;"",IFERROR(INDEX(Produtos!$C$4:$C$4996,MATCH(D2541,Produtos!$B$4:$B$4996,0)),"Produto não encontrado"),"")</f>
        <v/>
      </c>
    </row>
    <row r="2542" spans="1:5" x14ac:dyDescent="0.3">
      <c r="A2542" s="21" t="str">
        <f t="shared" si="39"/>
        <v>.</v>
      </c>
      <c r="D2542" s="44"/>
      <c r="E2542" s="22" t="str">
        <f>IF(D2542&lt;&gt;"",IFERROR(INDEX(Produtos!$C$4:$C$4996,MATCH(D2542,Produtos!$B$4:$B$4996,0)),"Produto não encontrado"),"")</f>
        <v/>
      </c>
    </row>
    <row r="2543" spans="1:5" x14ac:dyDescent="0.3">
      <c r="A2543" s="21" t="str">
        <f t="shared" si="39"/>
        <v>.</v>
      </c>
      <c r="D2543" s="44"/>
      <c r="E2543" s="22" t="str">
        <f>IF(D2543&lt;&gt;"",IFERROR(INDEX(Produtos!$C$4:$C$4996,MATCH(D2543,Produtos!$B$4:$B$4996,0)),"Produto não encontrado"),"")</f>
        <v/>
      </c>
    </row>
    <row r="2544" spans="1:5" x14ac:dyDescent="0.3">
      <c r="A2544" s="21" t="str">
        <f t="shared" si="39"/>
        <v>.</v>
      </c>
      <c r="D2544" s="44"/>
      <c r="E2544" s="22" t="str">
        <f>IF(D2544&lt;&gt;"",IFERROR(INDEX(Produtos!$C$4:$C$4996,MATCH(D2544,Produtos!$B$4:$B$4996,0)),"Produto não encontrado"),"")</f>
        <v/>
      </c>
    </row>
    <row r="2545" spans="1:5" x14ac:dyDescent="0.3">
      <c r="A2545" s="21" t="str">
        <f t="shared" si="39"/>
        <v>.</v>
      </c>
      <c r="D2545" s="44"/>
      <c r="E2545" s="22" t="str">
        <f>IF(D2545&lt;&gt;"",IFERROR(INDEX(Produtos!$C$4:$C$4996,MATCH(D2545,Produtos!$B$4:$B$4996,0)),"Produto não encontrado"),"")</f>
        <v/>
      </c>
    </row>
    <row r="2546" spans="1:5" x14ac:dyDescent="0.3">
      <c r="A2546" s="21" t="str">
        <f t="shared" si="39"/>
        <v>.</v>
      </c>
      <c r="D2546" s="44"/>
      <c r="E2546" s="22" t="str">
        <f>IF(D2546&lt;&gt;"",IFERROR(INDEX(Produtos!$C$4:$C$4996,MATCH(D2546,Produtos!$B$4:$B$4996,0)),"Produto não encontrado"),"")</f>
        <v/>
      </c>
    </row>
    <row r="2547" spans="1:5" x14ac:dyDescent="0.3">
      <c r="A2547" s="21" t="str">
        <f t="shared" si="39"/>
        <v>.</v>
      </c>
      <c r="D2547" s="44"/>
      <c r="E2547" s="22" t="str">
        <f>IF(D2547&lt;&gt;"",IFERROR(INDEX(Produtos!$C$4:$C$4996,MATCH(D2547,Produtos!$B$4:$B$4996,0)),"Produto não encontrado"),"")</f>
        <v/>
      </c>
    </row>
    <row r="2548" spans="1:5" x14ac:dyDescent="0.3">
      <c r="A2548" s="21" t="str">
        <f t="shared" si="39"/>
        <v>.</v>
      </c>
      <c r="D2548" s="44"/>
      <c r="E2548" s="22" t="str">
        <f>IF(D2548&lt;&gt;"",IFERROR(INDEX(Produtos!$C$4:$C$4996,MATCH(D2548,Produtos!$B$4:$B$4996,0)),"Produto não encontrado"),"")</f>
        <v/>
      </c>
    </row>
    <row r="2549" spans="1:5" x14ac:dyDescent="0.3">
      <c r="A2549" s="21" t="str">
        <f t="shared" si="39"/>
        <v>.</v>
      </c>
      <c r="D2549" s="44"/>
      <c r="E2549" s="22" t="str">
        <f>IF(D2549&lt;&gt;"",IFERROR(INDEX(Produtos!$C$4:$C$4996,MATCH(D2549,Produtos!$B$4:$B$4996,0)),"Produto não encontrado"),"")</f>
        <v/>
      </c>
    </row>
    <row r="2550" spans="1:5" x14ac:dyDescent="0.3">
      <c r="A2550" s="21" t="str">
        <f t="shared" si="39"/>
        <v>.</v>
      </c>
      <c r="D2550" s="44"/>
      <c r="E2550" s="22" t="str">
        <f>IF(D2550&lt;&gt;"",IFERROR(INDEX(Produtos!$C$4:$C$4996,MATCH(D2550,Produtos!$B$4:$B$4996,0)),"Produto não encontrado"),"")</f>
        <v/>
      </c>
    </row>
    <row r="2551" spans="1:5" x14ac:dyDescent="0.3">
      <c r="A2551" s="21" t="str">
        <f t="shared" si="39"/>
        <v>.</v>
      </c>
      <c r="D2551" s="44"/>
      <c r="E2551" s="22" t="str">
        <f>IF(D2551&lt;&gt;"",IFERROR(INDEX(Produtos!$C$4:$C$4996,MATCH(D2551,Produtos!$B$4:$B$4996,0)),"Produto não encontrado"),"")</f>
        <v/>
      </c>
    </row>
    <row r="2552" spans="1:5" x14ac:dyDescent="0.3">
      <c r="A2552" s="21" t="str">
        <f t="shared" si="39"/>
        <v>.</v>
      </c>
      <c r="D2552" s="44"/>
      <c r="E2552" s="22" t="str">
        <f>IF(D2552&lt;&gt;"",IFERROR(INDEX(Produtos!$C$4:$C$4996,MATCH(D2552,Produtos!$B$4:$B$4996,0)),"Produto não encontrado"),"")</f>
        <v/>
      </c>
    </row>
    <row r="2553" spans="1:5" x14ac:dyDescent="0.3">
      <c r="A2553" s="21" t="str">
        <f t="shared" si="39"/>
        <v>.</v>
      </c>
      <c r="D2553" s="44"/>
      <c r="E2553" s="22" t="str">
        <f>IF(D2553&lt;&gt;"",IFERROR(INDEX(Produtos!$C$4:$C$4996,MATCH(D2553,Produtos!$B$4:$B$4996,0)),"Produto não encontrado"),"")</f>
        <v/>
      </c>
    </row>
    <row r="2554" spans="1:5" x14ac:dyDescent="0.3">
      <c r="A2554" s="21" t="str">
        <f t="shared" si="39"/>
        <v>.</v>
      </c>
      <c r="D2554" s="44"/>
      <c r="E2554" s="22" t="str">
        <f>IF(D2554&lt;&gt;"",IFERROR(INDEX(Produtos!$C$4:$C$4996,MATCH(D2554,Produtos!$B$4:$B$4996,0)),"Produto não encontrado"),"")</f>
        <v/>
      </c>
    </row>
    <row r="2555" spans="1:5" x14ac:dyDescent="0.3">
      <c r="A2555" s="21" t="str">
        <f t="shared" si="39"/>
        <v>.</v>
      </c>
      <c r="D2555" s="44"/>
      <c r="E2555" s="22" t="str">
        <f>IF(D2555&lt;&gt;"",IFERROR(INDEX(Produtos!$C$4:$C$4996,MATCH(D2555,Produtos!$B$4:$B$4996,0)),"Produto não encontrado"),"")</f>
        <v/>
      </c>
    </row>
    <row r="2556" spans="1:5" x14ac:dyDescent="0.3">
      <c r="A2556" s="21" t="str">
        <f t="shared" si="39"/>
        <v>.</v>
      </c>
      <c r="D2556" s="44"/>
      <c r="E2556" s="22" t="str">
        <f>IF(D2556&lt;&gt;"",IFERROR(INDEX(Produtos!$C$4:$C$4996,MATCH(D2556,Produtos!$B$4:$B$4996,0)),"Produto não encontrado"),"")</f>
        <v/>
      </c>
    </row>
    <row r="2557" spans="1:5" x14ac:dyDescent="0.3">
      <c r="A2557" s="21" t="str">
        <f t="shared" si="39"/>
        <v>.</v>
      </c>
      <c r="D2557" s="44"/>
      <c r="E2557" s="22" t="str">
        <f>IF(D2557&lt;&gt;"",IFERROR(INDEX(Produtos!$C$4:$C$4996,MATCH(D2557,Produtos!$B$4:$B$4996,0)),"Produto não encontrado"),"")</f>
        <v/>
      </c>
    </row>
    <row r="2558" spans="1:5" x14ac:dyDescent="0.3">
      <c r="A2558" s="21" t="str">
        <f t="shared" si="39"/>
        <v>.</v>
      </c>
      <c r="D2558" s="44"/>
      <c r="E2558" s="22" t="str">
        <f>IF(D2558&lt;&gt;"",IFERROR(INDEX(Produtos!$C$4:$C$4996,MATCH(D2558,Produtos!$B$4:$B$4996,0)),"Produto não encontrado"),"")</f>
        <v/>
      </c>
    </row>
    <row r="2559" spans="1:5" x14ac:dyDescent="0.3">
      <c r="A2559" s="21" t="str">
        <f t="shared" si="39"/>
        <v>.</v>
      </c>
      <c r="D2559" s="44"/>
      <c r="E2559" s="22" t="str">
        <f>IF(D2559&lt;&gt;"",IFERROR(INDEX(Produtos!$C$4:$C$4996,MATCH(D2559,Produtos!$B$4:$B$4996,0)),"Produto não encontrado"),"")</f>
        <v/>
      </c>
    </row>
    <row r="2560" spans="1:5" x14ac:dyDescent="0.3">
      <c r="A2560" s="21" t="str">
        <f t="shared" ref="A2560:A2623" si="40">IF(C2560="Entrada",2,IF(C2560="Saída",1,"."))</f>
        <v>.</v>
      </c>
      <c r="D2560" s="44"/>
      <c r="E2560" s="22" t="str">
        <f>IF(D2560&lt;&gt;"",IFERROR(INDEX(Produtos!$C$4:$C$4996,MATCH(D2560,Produtos!$B$4:$B$4996,0)),"Produto não encontrado"),"")</f>
        <v/>
      </c>
    </row>
    <row r="2561" spans="1:5" x14ac:dyDescent="0.3">
      <c r="A2561" s="21" t="str">
        <f t="shared" si="40"/>
        <v>.</v>
      </c>
      <c r="D2561" s="44"/>
      <c r="E2561" s="22" t="str">
        <f>IF(D2561&lt;&gt;"",IFERROR(INDEX(Produtos!$C$4:$C$4996,MATCH(D2561,Produtos!$B$4:$B$4996,0)),"Produto não encontrado"),"")</f>
        <v/>
      </c>
    </row>
    <row r="2562" spans="1:5" x14ac:dyDescent="0.3">
      <c r="A2562" s="21" t="str">
        <f t="shared" si="40"/>
        <v>.</v>
      </c>
      <c r="D2562" s="44"/>
      <c r="E2562" s="22" t="str">
        <f>IF(D2562&lt;&gt;"",IFERROR(INDEX(Produtos!$C$4:$C$4996,MATCH(D2562,Produtos!$B$4:$B$4996,0)),"Produto não encontrado"),"")</f>
        <v/>
      </c>
    </row>
    <row r="2563" spans="1:5" x14ac:dyDescent="0.3">
      <c r="A2563" s="21" t="str">
        <f t="shared" si="40"/>
        <v>.</v>
      </c>
      <c r="D2563" s="44"/>
      <c r="E2563" s="22" t="str">
        <f>IF(D2563&lt;&gt;"",IFERROR(INDEX(Produtos!$C$4:$C$4996,MATCH(D2563,Produtos!$B$4:$B$4996,0)),"Produto não encontrado"),"")</f>
        <v/>
      </c>
    </row>
    <row r="2564" spans="1:5" x14ac:dyDescent="0.3">
      <c r="A2564" s="21" t="str">
        <f t="shared" si="40"/>
        <v>.</v>
      </c>
      <c r="D2564" s="44"/>
      <c r="E2564" s="22" t="str">
        <f>IF(D2564&lt;&gt;"",IFERROR(INDEX(Produtos!$C$4:$C$4996,MATCH(D2564,Produtos!$B$4:$B$4996,0)),"Produto não encontrado"),"")</f>
        <v/>
      </c>
    </row>
    <row r="2565" spans="1:5" x14ac:dyDescent="0.3">
      <c r="A2565" s="21" t="str">
        <f t="shared" si="40"/>
        <v>.</v>
      </c>
      <c r="D2565" s="44"/>
      <c r="E2565" s="22" t="str">
        <f>IF(D2565&lt;&gt;"",IFERROR(INDEX(Produtos!$C$4:$C$4996,MATCH(D2565,Produtos!$B$4:$B$4996,0)),"Produto não encontrado"),"")</f>
        <v/>
      </c>
    </row>
    <row r="2566" spans="1:5" x14ac:dyDescent="0.3">
      <c r="A2566" s="21" t="str">
        <f t="shared" si="40"/>
        <v>.</v>
      </c>
      <c r="D2566" s="44"/>
      <c r="E2566" s="22" t="str">
        <f>IF(D2566&lt;&gt;"",IFERROR(INDEX(Produtos!$C$4:$C$4996,MATCH(D2566,Produtos!$B$4:$B$4996,0)),"Produto não encontrado"),"")</f>
        <v/>
      </c>
    </row>
    <row r="2567" spans="1:5" x14ac:dyDescent="0.3">
      <c r="A2567" s="21" t="str">
        <f t="shared" si="40"/>
        <v>.</v>
      </c>
      <c r="D2567" s="44"/>
      <c r="E2567" s="22" t="str">
        <f>IF(D2567&lt;&gt;"",IFERROR(INDEX(Produtos!$C$4:$C$4996,MATCH(D2567,Produtos!$B$4:$B$4996,0)),"Produto não encontrado"),"")</f>
        <v/>
      </c>
    </row>
    <row r="2568" spans="1:5" x14ac:dyDescent="0.3">
      <c r="A2568" s="21" t="str">
        <f t="shared" si="40"/>
        <v>.</v>
      </c>
      <c r="D2568" s="44"/>
      <c r="E2568" s="22" t="str">
        <f>IF(D2568&lt;&gt;"",IFERROR(INDEX(Produtos!$C$4:$C$4996,MATCH(D2568,Produtos!$B$4:$B$4996,0)),"Produto não encontrado"),"")</f>
        <v/>
      </c>
    </row>
    <row r="2569" spans="1:5" x14ac:dyDescent="0.3">
      <c r="A2569" s="21" t="str">
        <f t="shared" si="40"/>
        <v>.</v>
      </c>
      <c r="D2569" s="44"/>
      <c r="E2569" s="22" t="str">
        <f>IF(D2569&lt;&gt;"",IFERROR(INDEX(Produtos!$C$4:$C$4996,MATCH(D2569,Produtos!$B$4:$B$4996,0)),"Produto não encontrado"),"")</f>
        <v/>
      </c>
    </row>
    <row r="2570" spans="1:5" x14ac:dyDescent="0.3">
      <c r="A2570" s="21" t="str">
        <f t="shared" si="40"/>
        <v>.</v>
      </c>
      <c r="D2570" s="44"/>
      <c r="E2570" s="22" t="str">
        <f>IF(D2570&lt;&gt;"",IFERROR(INDEX(Produtos!$C$4:$C$4996,MATCH(D2570,Produtos!$B$4:$B$4996,0)),"Produto não encontrado"),"")</f>
        <v/>
      </c>
    </row>
    <row r="2571" spans="1:5" x14ac:dyDescent="0.3">
      <c r="A2571" s="21" t="str">
        <f t="shared" si="40"/>
        <v>.</v>
      </c>
      <c r="D2571" s="44"/>
      <c r="E2571" s="22" t="str">
        <f>IF(D2571&lt;&gt;"",IFERROR(INDEX(Produtos!$C$4:$C$4996,MATCH(D2571,Produtos!$B$4:$B$4996,0)),"Produto não encontrado"),"")</f>
        <v/>
      </c>
    </row>
    <row r="2572" spans="1:5" x14ac:dyDescent="0.3">
      <c r="A2572" s="21" t="str">
        <f t="shared" si="40"/>
        <v>.</v>
      </c>
      <c r="D2572" s="44"/>
      <c r="E2572" s="22" t="str">
        <f>IF(D2572&lt;&gt;"",IFERROR(INDEX(Produtos!$C$4:$C$4996,MATCH(D2572,Produtos!$B$4:$B$4996,0)),"Produto não encontrado"),"")</f>
        <v/>
      </c>
    </row>
    <row r="2573" spans="1:5" x14ac:dyDescent="0.3">
      <c r="A2573" s="21" t="str">
        <f t="shared" si="40"/>
        <v>.</v>
      </c>
      <c r="D2573" s="44"/>
      <c r="E2573" s="22" t="str">
        <f>IF(D2573&lt;&gt;"",IFERROR(INDEX(Produtos!$C$4:$C$4996,MATCH(D2573,Produtos!$B$4:$B$4996,0)),"Produto não encontrado"),"")</f>
        <v/>
      </c>
    </row>
    <row r="2574" spans="1:5" x14ac:dyDescent="0.3">
      <c r="A2574" s="21" t="str">
        <f t="shared" si="40"/>
        <v>.</v>
      </c>
      <c r="D2574" s="44"/>
      <c r="E2574" s="22" t="str">
        <f>IF(D2574&lt;&gt;"",IFERROR(INDEX(Produtos!$C$4:$C$4996,MATCH(D2574,Produtos!$B$4:$B$4996,0)),"Produto não encontrado"),"")</f>
        <v/>
      </c>
    </row>
    <row r="2575" spans="1:5" x14ac:dyDescent="0.3">
      <c r="A2575" s="21" t="str">
        <f t="shared" si="40"/>
        <v>.</v>
      </c>
      <c r="D2575" s="44"/>
      <c r="E2575" s="22" t="str">
        <f>IF(D2575&lt;&gt;"",IFERROR(INDEX(Produtos!$C$4:$C$4996,MATCH(D2575,Produtos!$B$4:$B$4996,0)),"Produto não encontrado"),"")</f>
        <v/>
      </c>
    </row>
    <row r="2576" spans="1:5" x14ac:dyDescent="0.3">
      <c r="A2576" s="21" t="str">
        <f t="shared" si="40"/>
        <v>.</v>
      </c>
      <c r="D2576" s="44"/>
      <c r="E2576" s="22" t="str">
        <f>IF(D2576&lt;&gt;"",IFERROR(INDEX(Produtos!$C$4:$C$4996,MATCH(D2576,Produtos!$B$4:$B$4996,0)),"Produto não encontrado"),"")</f>
        <v/>
      </c>
    </row>
    <row r="2577" spans="1:5" x14ac:dyDescent="0.3">
      <c r="A2577" s="21" t="str">
        <f t="shared" si="40"/>
        <v>.</v>
      </c>
      <c r="D2577" s="44"/>
      <c r="E2577" s="22" t="str">
        <f>IF(D2577&lt;&gt;"",IFERROR(INDEX(Produtos!$C$4:$C$4996,MATCH(D2577,Produtos!$B$4:$B$4996,0)),"Produto não encontrado"),"")</f>
        <v/>
      </c>
    </row>
    <row r="2578" spans="1:5" x14ac:dyDescent="0.3">
      <c r="A2578" s="21" t="str">
        <f t="shared" si="40"/>
        <v>.</v>
      </c>
      <c r="D2578" s="44"/>
      <c r="E2578" s="22" t="str">
        <f>IF(D2578&lt;&gt;"",IFERROR(INDEX(Produtos!$C$4:$C$4996,MATCH(D2578,Produtos!$B$4:$B$4996,0)),"Produto não encontrado"),"")</f>
        <v/>
      </c>
    </row>
    <row r="2579" spans="1:5" x14ac:dyDescent="0.3">
      <c r="A2579" s="21" t="str">
        <f t="shared" si="40"/>
        <v>.</v>
      </c>
      <c r="D2579" s="44"/>
      <c r="E2579" s="22" t="str">
        <f>IF(D2579&lt;&gt;"",IFERROR(INDEX(Produtos!$C$4:$C$4996,MATCH(D2579,Produtos!$B$4:$B$4996,0)),"Produto não encontrado"),"")</f>
        <v/>
      </c>
    </row>
    <row r="2580" spans="1:5" x14ac:dyDescent="0.3">
      <c r="A2580" s="21" t="str">
        <f t="shared" si="40"/>
        <v>.</v>
      </c>
      <c r="D2580" s="44"/>
      <c r="E2580" s="22" t="str">
        <f>IF(D2580&lt;&gt;"",IFERROR(INDEX(Produtos!$C$4:$C$4996,MATCH(D2580,Produtos!$B$4:$B$4996,0)),"Produto não encontrado"),"")</f>
        <v/>
      </c>
    </row>
    <row r="2581" spans="1:5" x14ac:dyDescent="0.3">
      <c r="A2581" s="21" t="str">
        <f t="shared" si="40"/>
        <v>.</v>
      </c>
      <c r="D2581" s="44"/>
      <c r="E2581" s="22" t="str">
        <f>IF(D2581&lt;&gt;"",IFERROR(INDEX(Produtos!$C$4:$C$4996,MATCH(D2581,Produtos!$B$4:$B$4996,0)),"Produto não encontrado"),"")</f>
        <v/>
      </c>
    </row>
    <row r="2582" spans="1:5" x14ac:dyDescent="0.3">
      <c r="A2582" s="21" t="str">
        <f t="shared" si="40"/>
        <v>.</v>
      </c>
      <c r="D2582" s="44"/>
      <c r="E2582" s="22" t="str">
        <f>IF(D2582&lt;&gt;"",IFERROR(INDEX(Produtos!$C$4:$C$4996,MATCH(D2582,Produtos!$B$4:$B$4996,0)),"Produto não encontrado"),"")</f>
        <v/>
      </c>
    </row>
    <row r="2583" spans="1:5" x14ac:dyDescent="0.3">
      <c r="A2583" s="21" t="str">
        <f t="shared" si="40"/>
        <v>.</v>
      </c>
      <c r="D2583" s="44"/>
      <c r="E2583" s="22" t="str">
        <f>IF(D2583&lt;&gt;"",IFERROR(INDEX(Produtos!$C$4:$C$4996,MATCH(D2583,Produtos!$B$4:$B$4996,0)),"Produto não encontrado"),"")</f>
        <v/>
      </c>
    </row>
    <row r="2584" spans="1:5" x14ac:dyDescent="0.3">
      <c r="A2584" s="21" t="str">
        <f t="shared" si="40"/>
        <v>.</v>
      </c>
      <c r="D2584" s="44"/>
      <c r="E2584" s="22" t="str">
        <f>IF(D2584&lt;&gt;"",IFERROR(INDEX(Produtos!$C$4:$C$4996,MATCH(D2584,Produtos!$B$4:$B$4996,0)),"Produto não encontrado"),"")</f>
        <v/>
      </c>
    </row>
    <row r="2585" spans="1:5" x14ac:dyDescent="0.3">
      <c r="A2585" s="21" t="str">
        <f t="shared" si="40"/>
        <v>.</v>
      </c>
      <c r="D2585" s="44"/>
      <c r="E2585" s="22" t="str">
        <f>IF(D2585&lt;&gt;"",IFERROR(INDEX(Produtos!$C$4:$C$4996,MATCH(D2585,Produtos!$B$4:$B$4996,0)),"Produto não encontrado"),"")</f>
        <v/>
      </c>
    </row>
    <row r="2586" spans="1:5" x14ac:dyDescent="0.3">
      <c r="A2586" s="21" t="str">
        <f t="shared" si="40"/>
        <v>.</v>
      </c>
      <c r="D2586" s="44"/>
      <c r="E2586" s="22" t="str">
        <f>IF(D2586&lt;&gt;"",IFERROR(INDEX(Produtos!$C$4:$C$4996,MATCH(D2586,Produtos!$B$4:$B$4996,0)),"Produto não encontrado"),"")</f>
        <v/>
      </c>
    </row>
    <row r="2587" spans="1:5" x14ac:dyDescent="0.3">
      <c r="A2587" s="21" t="str">
        <f t="shared" si="40"/>
        <v>.</v>
      </c>
      <c r="D2587" s="44"/>
      <c r="E2587" s="22" t="str">
        <f>IF(D2587&lt;&gt;"",IFERROR(INDEX(Produtos!$C$4:$C$4996,MATCH(D2587,Produtos!$B$4:$B$4996,0)),"Produto não encontrado"),"")</f>
        <v/>
      </c>
    </row>
    <row r="2588" spans="1:5" x14ac:dyDescent="0.3">
      <c r="A2588" s="21" t="str">
        <f t="shared" si="40"/>
        <v>.</v>
      </c>
      <c r="D2588" s="44"/>
      <c r="E2588" s="22" t="str">
        <f>IF(D2588&lt;&gt;"",IFERROR(INDEX(Produtos!$C$4:$C$4996,MATCH(D2588,Produtos!$B$4:$B$4996,0)),"Produto não encontrado"),"")</f>
        <v/>
      </c>
    </row>
    <row r="2589" spans="1:5" x14ac:dyDescent="0.3">
      <c r="A2589" s="21" t="str">
        <f t="shared" si="40"/>
        <v>.</v>
      </c>
      <c r="D2589" s="44"/>
      <c r="E2589" s="22" t="str">
        <f>IF(D2589&lt;&gt;"",IFERROR(INDEX(Produtos!$C$4:$C$4996,MATCH(D2589,Produtos!$B$4:$B$4996,0)),"Produto não encontrado"),"")</f>
        <v/>
      </c>
    </row>
    <row r="2590" spans="1:5" x14ac:dyDescent="0.3">
      <c r="A2590" s="21" t="str">
        <f t="shared" si="40"/>
        <v>.</v>
      </c>
      <c r="D2590" s="44"/>
      <c r="E2590" s="22" t="str">
        <f>IF(D2590&lt;&gt;"",IFERROR(INDEX(Produtos!$C$4:$C$4996,MATCH(D2590,Produtos!$B$4:$B$4996,0)),"Produto não encontrado"),"")</f>
        <v/>
      </c>
    </row>
    <row r="2591" spans="1:5" x14ac:dyDescent="0.3">
      <c r="A2591" s="21" t="str">
        <f t="shared" si="40"/>
        <v>.</v>
      </c>
      <c r="D2591" s="44"/>
      <c r="E2591" s="22" t="str">
        <f>IF(D2591&lt;&gt;"",IFERROR(INDEX(Produtos!$C$4:$C$4996,MATCH(D2591,Produtos!$B$4:$B$4996,0)),"Produto não encontrado"),"")</f>
        <v/>
      </c>
    </row>
    <row r="2592" spans="1:5" x14ac:dyDescent="0.3">
      <c r="A2592" s="21" t="str">
        <f t="shared" si="40"/>
        <v>.</v>
      </c>
      <c r="D2592" s="44"/>
      <c r="E2592" s="22" t="str">
        <f>IF(D2592&lt;&gt;"",IFERROR(INDEX(Produtos!$C$4:$C$4996,MATCH(D2592,Produtos!$B$4:$B$4996,0)),"Produto não encontrado"),"")</f>
        <v/>
      </c>
    </row>
    <row r="2593" spans="1:5" x14ac:dyDescent="0.3">
      <c r="A2593" s="21" t="str">
        <f t="shared" si="40"/>
        <v>.</v>
      </c>
      <c r="D2593" s="44"/>
      <c r="E2593" s="22" t="str">
        <f>IF(D2593&lt;&gt;"",IFERROR(INDEX(Produtos!$C$4:$C$4996,MATCH(D2593,Produtos!$B$4:$B$4996,0)),"Produto não encontrado"),"")</f>
        <v/>
      </c>
    </row>
    <row r="2594" spans="1:5" x14ac:dyDescent="0.3">
      <c r="A2594" s="21" t="str">
        <f t="shared" si="40"/>
        <v>.</v>
      </c>
      <c r="D2594" s="44"/>
      <c r="E2594" s="22" t="str">
        <f>IF(D2594&lt;&gt;"",IFERROR(INDEX(Produtos!$C$4:$C$4996,MATCH(D2594,Produtos!$B$4:$B$4996,0)),"Produto não encontrado"),"")</f>
        <v/>
      </c>
    </row>
    <row r="2595" spans="1:5" x14ac:dyDescent="0.3">
      <c r="A2595" s="21" t="str">
        <f t="shared" si="40"/>
        <v>.</v>
      </c>
      <c r="D2595" s="44"/>
      <c r="E2595" s="22" t="str">
        <f>IF(D2595&lt;&gt;"",IFERROR(INDEX(Produtos!$C$4:$C$4996,MATCH(D2595,Produtos!$B$4:$B$4996,0)),"Produto não encontrado"),"")</f>
        <v/>
      </c>
    </row>
    <row r="2596" spans="1:5" x14ac:dyDescent="0.3">
      <c r="A2596" s="21" t="str">
        <f t="shared" si="40"/>
        <v>.</v>
      </c>
      <c r="D2596" s="44"/>
      <c r="E2596" s="22" t="str">
        <f>IF(D2596&lt;&gt;"",IFERROR(INDEX(Produtos!$C$4:$C$4996,MATCH(D2596,Produtos!$B$4:$B$4996,0)),"Produto não encontrado"),"")</f>
        <v/>
      </c>
    </row>
    <row r="2597" spans="1:5" x14ac:dyDescent="0.3">
      <c r="A2597" s="21" t="str">
        <f t="shared" si="40"/>
        <v>.</v>
      </c>
      <c r="D2597" s="44"/>
      <c r="E2597" s="22" t="str">
        <f>IF(D2597&lt;&gt;"",IFERROR(INDEX(Produtos!$C$4:$C$4996,MATCH(D2597,Produtos!$B$4:$B$4996,0)),"Produto não encontrado"),"")</f>
        <v/>
      </c>
    </row>
    <row r="2598" spans="1:5" x14ac:dyDescent="0.3">
      <c r="A2598" s="21" t="str">
        <f t="shared" si="40"/>
        <v>.</v>
      </c>
      <c r="D2598" s="44"/>
      <c r="E2598" s="22" t="str">
        <f>IF(D2598&lt;&gt;"",IFERROR(INDEX(Produtos!$C$4:$C$4996,MATCH(D2598,Produtos!$B$4:$B$4996,0)),"Produto não encontrado"),"")</f>
        <v/>
      </c>
    </row>
    <row r="2599" spans="1:5" x14ac:dyDescent="0.3">
      <c r="A2599" s="21" t="str">
        <f t="shared" si="40"/>
        <v>.</v>
      </c>
      <c r="D2599" s="44"/>
      <c r="E2599" s="22" t="str">
        <f>IF(D2599&lt;&gt;"",IFERROR(INDEX(Produtos!$C$4:$C$4996,MATCH(D2599,Produtos!$B$4:$B$4996,0)),"Produto não encontrado"),"")</f>
        <v/>
      </c>
    </row>
    <row r="2600" spans="1:5" x14ac:dyDescent="0.3">
      <c r="A2600" s="21" t="str">
        <f t="shared" si="40"/>
        <v>.</v>
      </c>
      <c r="D2600" s="44"/>
      <c r="E2600" s="22" t="str">
        <f>IF(D2600&lt;&gt;"",IFERROR(INDEX(Produtos!$C$4:$C$4996,MATCH(D2600,Produtos!$B$4:$B$4996,0)),"Produto não encontrado"),"")</f>
        <v/>
      </c>
    </row>
    <row r="2601" spans="1:5" x14ac:dyDescent="0.3">
      <c r="A2601" s="21" t="str">
        <f t="shared" si="40"/>
        <v>.</v>
      </c>
      <c r="D2601" s="44"/>
      <c r="E2601" s="22" t="str">
        <f>IF(D2601&lt;&gt;"",IFERROR(INDEX(Produtos!$C$4:$C$4996,MATCH(D2601,Produtos!$B$4:$B$4996,0)),"Produto não encontrado"),"")</f>
        <v/>
      </c>
    </row>
    <row r="2602" spans="1:5" x14ac:dyDescent="0.3">
      <c r="A2602" s="21" t="str">
        <f t="shared" si="40"/>
        <v>.</v>
      </c>
      <c r="D2602" s="44"/>
      <c r="E2602" s="22" t="str">
        <f>IF(D2602&lt;&gt;"",IFERROR(INDEX(Produtos!$C$4:$C$4996,MATCH(D2602,Produtos!$B$4:$B$4996,0)),"Produto não encontrado"),"")</f>
        <v/>
      </c>
    </row>
    <row r="2603" spans="1:5" x14ac:dyDescent="0.3">
      <c r="A2603" s="21" t="str">
        <f t="shared" si="40"/>
        <v>.</v>
      </c>
      <c r="D2603" s="44"/>
      <c r="E2603" s="22" t="str">
        <f>IF(D2603&lt;&gt;"",IFERROR(INDEX(Produtos!$C$4:$C$4996,MATCH(D2603,Produtos!$B$4:$B$4996,0)),"Produto não encontrado"),"")</f>
        <v/>
      </c>
    </row>
    <row r="2604" spans="1:5" x14ac:dyDescent="0.3">
      <c r="A2604" s="21" t="str">
        <f t="shared" si="40"/>
        <v>.</v>
      </c>
      <c r="D2604" s="44"/>
      <c r="E2604" s="22" t="str">
        <f>IF(D2604&lt;&gt;"",IFERROR(INDEX(Produtos!$C$4:$C$4996,MATCH(D2604,Produtos!$B$4:$B$4996,0)),"Produto não encontrado"),"")</f>
        <v/>
      </c>
    </row>
    <row r="2605" spans="1:5" x14ac:dyDescent="0.3">
      <c r="A2605" s="21" t="str">
        <f t="shared" si="40"/>
        <v>.</v>
      </c>
      <c r="D2605" s="44"/>
      <c r="E2605" s="22" t="str">
        <f>IF(D2605&lt;&gt;"",IFERROR(INDEX(Produtos!$C$4:$C$4996,MATCH(D2605,Produtos!$B$4:$B$4996,0)),"Produto não encontrado"),"")</f>
        <v/>
      </c>
    </row>
    <row r="2606" spans="1:5" x14ac:dyDescent="0.3">
      <c r="A2606" s="21" t="str">
        <f t="shared" si="40"/>
        <v>.</v>
      </c>
      <c r="D2606" s="44"/>
      <c r="E2606" s="22" t="str">
        <f>IF(D2606&lt;&gt;"",IFERROR(INDEX(Produtos!$C$4:$C$4996,MATCH(D2606,Produtos!$B$4:$B$4996,0)),"Produto não encontrado"),"")</f>
        <v/>
      </c>
    </row>
    <row r="2607" spans="1:5" x14ac:dyDescent="0.3">
      <c r="A2607" s="21" t="str">
        <f t="shared" si="40"/>
        <v>.</v>
      </c>
      <c r="D2607" s="44"/>
      <c r="E2607" s="22" t="str">
        <f>IF(D2607&lt;&gt;"",IFERROR(INDEX(Produtos!$C$4:$C$4996,MATCH(D2607,Produtos!$B$4:$B$4996,0)),"Produto não encontrado"),"")</f>
        <v/>
      </c>
    </row>
    <row r="2608" spans="1:5" x14ac:dyDescent="0.3">
      <c r="A2608" s="21" t="str">
        <f t="shared" si="40"/>
        <v>.</v>
      </c>
      <c r="D2608" s="44"/>
      <c r="E2608" s="22" t="str">
        <f>IF(D2608&lt;&gt;"",IFERROR(INDEX(Produtos!$C$4:$C$4996,MATCH(D2608,Produtos!$B$4:$B$4996,0)),"Produto não encontrado"),"")</f>
        <v/>
      </c>
    </row>
    <row r="2609" spans="1:5" x14ac:dyDescent="0.3">
      <c r="A2609" s="21" t="str">
        <f t="shared" si="40"/>
        <v>.</v>
      </c>
      <c r="D2609" s="44"/>
      <c r="E2609" s="22" t="str">
        <f>IF(D2609&lt;&gt;"",IFERROR(INDEX(Produtos!$C$4:$C$4996,MATCH(D2609,Produtos!$B$4:$B$4996,0)),"Produto não encontrado"),"")</f>
        <v/>
      </c>
    </row>
    <row r="2610" spans="1:5" x14ac:dyDescent="0.3">
      <c r="A2610" s="21" t="str">
        <f t="shared" si="40"/>
        <v>.</v>
      </c>
      <c r="D2610" s="44"/>
      <c r="E2610" s="22" t="str">
        <f>IF(D2610&lt;&gt;"",IFERROR(INDEX(Produtos!$C$4:$C$4996,MATCH(D2610,Produtos!$B$4:$B$4996,0)),"Produto não encontrado"),"")</f>
        <v/>
      </c>
    </row>
    <row r="2611" spans="1:5" x14ac:dyDescent="0.3">
      <c r="A2611" s="21" t="str">
        <f t="shared" si="40"/>
        <v>.</v>
      </c>
      <c r="D2611" s="44"/>
      <c r="E2611" s="22" t="str">
        <f>IF(D2611&lt;&gt;"",IFERROR(INDEX(Produtos!$C$4:$C$4996,MATCH(D2611,Produtos!$B$4:$B$4996,0)),"Produto não encontrado"),"")</f>
        <v/>
      </c>
    </row>
    <row r="2612" spans="1:5" x14ac:dyDescent="0.3">
      <c r="A2612" s="21" t="str">
        <f t="shared" si="40"/>
        <v>.</v>
      </c>
      <c r="D2612" s="44"/>
      <c r="E2612" s="22" t="str">
        <f>IF(D2612&lt;&gt;"",IFERROR(INDEX(Produtos!$C$4:$C$4996,MATCH(D2612,Produtos!$B$4:$B$4996,0)),"Produto não encontrado"),"")</f>
        <v/>
      </c>
    </row>
    <row r="2613" spans="1:5" x14ac:dyDescent="0.3">
      <c r="A2613" s="21" t="str">
        <f t="shared" si="40"/>
        <v>.</v>
      </c>
      <c r="D2613" s="44"/>
      <c r="E2613" s="22" t="str">
        <f>IF(D2613&lt;&gt;"",IFERROR(INDEX(Produtos!$C$4:$C$4996,MATCH(D2613,Produtos!$B$4:$B$4996,0)),"Produto não encontrado"),"")</f>
        <v/>
      </c>
    </row>
    <row r="2614" spans="1:5" x14ac:dyDescent="0.3">
      <c r="A2614" s="21" t="str">
        <f t="shared" si="40"/>
        <v>.</v>
      </c>
      <c r="D2614" s="44"/>
      <c r="E2614" s="22" t="str">
        <f>IF(D2614&lt;&gt;"",IFERROR(INDEX(Produtos!$C$4:$C$4996,MATCH(D2614,Produtos!$B$4:$B$4996,0)),"Produto não encontrado"),"")</f>
        <v/>
      </c>
    </row>
    <row r="2615" spans="1:5" x14ac:dyDescent="0.3">
      <c r="A2615" s="21" t="str">
        <f t="shared" si="40"/>
        <v>.</v>
      </c>
      <c r="D2615" s="44"/>
      <c r="E2615" s="22" t="str">
        <f>IF(D2615&lt;&gt;"",IFERROR(INDEX(Produtos!$C$4:$C$4996,MATCH(D2615,Produtos!$B$4:$B$4996,0)),"Produto não encontrado"),"")</f>
        <v/>
      </c>
    </row>
    <row r="2616" spans="1:5" x14ac:dyDescent="0.3">
      <c r="A2616" s="21" t="str">
        <f t="shared" si="40"/>
        <v>.</v>
      </c>
      <c r="D2616" s="44"/>
      <c r="E2616" s="22" t="str">
        <f>IF(D2616&lt;&gt;"",IFERROR(INDEX(Produtos!$C$4:$C$4996,MATCH(D2616,Produtos!$B$4:$B$4996,0)),"Produto não encontrado"),"")</f>
        <v/>
      </c>
    </row>
    <row r="2617" spans="1:5" x14ac:dyDescent="0.3">
      <c r="A2617" s="21" t="str">
        <f t="shared" si="40"/>
        <v>.</v>
      </c>
      <c r="D2617" s="44"/>
      <c r="E2617" s="22" t="str">
        <f>IF(D2617&lt;&gt;"",IFERROR(INDEX(Produtos!$C$4:$C$4996,MATCH(D2617,Produtos!$B$4:$B$4996,0)),"Produto não encontrado"),"")</f>
        <v/>
      </c>
    </row>
    <row r="2618" spans="1:5" x14ac:dyDescent="0.3">
      <c r="A2618" s="21" t="str">
        <f t="shared" si="40"/>
        <v>.</v>
      </c>
      <c r="D2618" s="44"/>
      <c r="E2618" s="22" t="str">
        <f>IF(D2618&lt;&gt;"",IFERROR(INDEX(Produtos!$C$4:$C$4996,MATCH(D2618,Produtos!$B$4:$B$4996,0)),"Produto não encontrado"),"")</f>
        <v/>
      </c>
    </row>
    <row r="2619" spans="1:5" x14ac:dyDescent="0.3">
      <c r="A2619" s="21" t="str">
        <f t="shared" si="40"/>
        <v>.</v>
      </c>
      <c r="D2619" s="44"/>
      <c r="E2619" s="22" t="str">
        <f>IF(D2619&lt;&gt;"",IFERROR(INDEX(Produtos!$C$4:$C$4996,MATCH(D2619,Produtos!$B$4:$B$4996,0)),"Produto não encontrado"),"")</f>
        <v/>
      </c>
    </row>
    <row r="2620" spans="1:5" x14ac:dyDescent="0.3">
      <c r="A2620" s="21" t="str">
        <f t="shared" si="40"/>
        <v>.</v>
      </c>
      <c r="D2620" s="44"/>
      <c r="E2620" s="22" t="str">
        <f>IF(D2620&lt;&gt;"",IFERROR(INDEX(Produtos!$C$4:$C$4996,MATCH(D2620,Produtos!$B$4:$B$4996,0)),"Produto não encontrado"),"")</f>
        <v/>
      </c>
    </row>
    <row r="2621" spans="1:5" x14ac:dyDescent="0.3">
      <c r="A2621" s="21" t="str">
        <f t="shared" si="40"/>
        <v>.</v>
      </c>
      <c r="D2621" s="44"/>
      <c r="E2621" s="22" t="str">
        <f>IF(D2621&lt;&gt;"",IFERROR(INDEX(Produtos!$C$4:$C$4996,MATCH(D2621,Produtos!$B$4:$B$4996,0)),"Produto não encontrado"),"")</f>
        <v/>
      </c>
    </row>
    <row r="2622" spans="1:5" x14ac:dyDescent="0.3">
      <c r="A2622" s="21" t="str">
        <f t="shared" si="40"/>
        <v>.</v>
      </c>
      <c r="D2622" s="44"/>
      <c r="E2622" s="22" t="str">
        <f>IF(D2622&lt;&gt;"",IFERROR(INDEX(Produtos!$C$4:$C$4996,MATCH(D2622,Produtos!$B$4:$B$4996,0)),"Produto não encontrado"),"")</f>
        <v/>
      </c>
    </row>
    <row r="2623" spans="1:5" x14ac:dyDescent="0.3">
      <c r="A2623" s="21" t="str">
        <f t="shared" si="40"/>
        <v>.</v>
      </c>
      <c r="D2623" s="44"/>
      <c r="E2623" s="22" t="str">
        <f>IF(D2623&lt;&gt;"",IFERROR(INDEX(Produtos!$C$4:$C$4996,MATCH(D2623,Produtos!$B$4:$B$4996,0)),"Produto não encontrado"),"")</f>
        <v/>
      </c>
    </row>
    <row r="2624" spans="1:5" x14ac:dyDescent="0.3">
      <c r="A2624" s="21" t="str">
        <f t="shared" ref="A2624:A2687" si="41">IF(C2624="Entrada",2,IF(C2624="Saída",1,"."))</f>
        <v>.</v>
      </c>
      <c r="D2624" s="44"/>
      <c r="E2624" s="22" t="str">
        <f>IF(D2624&lt;&gt;"",IFERROR(INDEX(Produtos!$C$4:$C$4996,MATCH(D2624,Produtos!$B$4:$B$4996,0)),"Produto não encontrado"),"")</f>
        <v/>
      </c>
    </row>
    <row r="2625" spans="1:5" x14ac:dyDescent="0.3">
      <c r="A2625" s="21" t="str">
        <f t="shared" si="41"/>
        <v>.</v>
      </c>
      <c r="D2625" s="44"/>
      <c r="E2625" s="22" t="str">
        <f>IF(D2625&lt;&gt;"",IFERROR(INDEX(Produtos!$C$4:$C$4996,MATCH(D2625,Produtos!$B$4:$B$4996,0)),"Produto não encontrado"),"")</f>
        <v/>
      </c>
    </row>
    <row r="2626" spans="1:5" x14ac:dyDescent="0.3">
      <c r="A2626" s="21" t="str">
        <f t="shared" si="41"/>
        <v>.</v>
      </c>
      <c r="D2626" s="44"/>
      <c r="E2626" s="22" t="str">
        <f>IF(D2626&lt;&gt;"",IFERROR(INDEX(Produtos!$C$4:$C$4996,MATCH(D2626,Produtos!$B$4:$B$4996,0)),"Produto não encontrado"),"")</f>
        <v/>
      </c>
    </row>
    <row r="2627" spans="1:5" x14ac:dyDescent="0.3">
      <c r="A2627" s="21" t="str">
        <f t="shared" si="41"/>
        <v>.</v>
      </c>
      <c r="D2627" s="44"/>
      <c r="E2627" s="22" t="str">
        <f>IF(D2627&lt;&gt;"",IFERROR(INDEX(Produtos!$C$4:$C$4996,MATCH(D2627,Produtos!$B$4:$B$4996,0)),"Produto não encontrado"),"")</f>
        <v/>
      </c>
    </row>
    <row r="2628" spans="1:5" x14ac:dyDescent="0.3">
      <c r="A2628" s="21" t="str">
        <f t="shared" si="41"/>
        <v>.</v>
      </c>
      <c r="D2628" s="44"/>
      <c r="E2628" s="22" t="str">
        <f>IF(D2628&lt;&gt;"",IFERROR(INDEX(Produtos!$C$4:$C$4996,MATCH(D2628,Produtos!$B$4:$B$4996,0)),"Produto não encontrado"),"")</f>
        <v/>
      </c>
    </row>
    <row r="2629" spans="1:5" x14ac:dyDescent="0.3">
      <c r="A2629" s="21" t="str">
        <f t="shared" si="41"/>
        <v>.</v>
      </c>
      <c r="D2629" s="44"/>
      <c r="E2629" s="22" t="str">
        <f>IF(D2629&lt;&gt;"",IFERROR(INDEX(Produtos!$C$4:$C$4996,MATCH(D2629,Produtos!$B$4:$B$4996,0)),"Produto não encontrado"),"")</f>
        <v/>
      </c>
    </row>
    <row r="2630" spans="1:5" x14ac:dyDescent="0.3">
      <c r="A2630" s="21" t="str">
        <f t="shared" si="41"/>
        <v>.</v>
      </c>
      <c r="D2630" s="44"/>
      <c r="E2630" s="22" t="str">
        <f>IF(D2630&lt;&gt;"",IFERROR(INDEX(Produtos!$C$4:$C$4996,MATCH(D2630,Produtos!$B$4:$B$4996,0)),"Produto não encontrado"),"")</f>
        <v/>
      </c>
    </row>
    <row r="2631" spans="1:5" x14ac:dyDescent="0.3">
      <c r="A2631" s="21" t="str">
        <f t="shared" si="41"/>
        <v>.</v>
      </c>
      <c r="D2631" s="44"/>
      <c r="E2631" s="22" t="str">
        <f>IF(D2631&lt;&gt;"",IFERROR(INDEX(Produtos!$C$4:$C$4996,MATCH(D2631,Produtos!$B$4:$B$4996,0)),"Produto não encontrado"),"")</f>
        <v/>
      </c>
    </row>
    <row r="2632" spans="1:5" x14ac:dyDescent="0.3">
      <c r="A2632" s="21" t="str">
        <f t="shared" si="41"/>
        <v>.</v>
      </c>
      <c r="D2632" s="44"/>
      <c r="E2632" s="22" t="str">
        <f>IF(D2632&lt;&gt;"",IFERROR(INDEX(Produtos!$C$4:$C$4996,MATCH(D2632,Produtos!$B$4:$B$4996,0)),"Produto não encontrado"),"")</f>
        <v/>
      </c>
    </row>
    <row r="2633" spans="1:5" x14ac:dyDescent="0.3">
      <c r="A2633" s="21" t="str">
        <f t="shared" si="41"/>
        <v>.</v>
      </c>
      <c r="D2633" s="44"/>
      <c r="E2633" s="22" t="str">
        <f>IF(D2633&lt;&gt;"",IFERROR(INDEX(Produtos!$C$4:$C$4996,MATCH(D2633,Produtos!$B$4:$B$4996,0)),"Produto não encontrado"),"")</f>
        <v/>
      </c>
    </row>
    <row r="2634" spans="1:5" x14ac:dyDescent="0.3">
      <c r="A2634" s="21" t="str">
        <f t="shared" si="41"/>
        <v>.</v>
      </c>
      <c r="D2634" s="44"/>
      <c r="E2634" s="22" t="str">
        <f>IF(D2634&lt;&gt;"",IFERROR(INDEX(Produtos!$C$4:$C$4996,MATCH(D2634,Produtos!$B$4:$B$4996,0)),"Produto não encontrado"),"")</f>
        <v/>
      </c>
    </row>
    <row r="2635" spans="1:5" x14ac:dyDescent="0.3">
      <c r="A2635" s="21" t="str">
        <f t="shared" si="41"/>
        <v>.</v>
      </c>
      <c r="D2635" s="44"/>
      <c r="E2635" s="22" t="str">
        <f>IF(D2635&lt;&gt;"",IFERROR(INDEX(Produtos!$C$4:$C$4996,MATCH(D2635,Produtos!$B$4:$B$4996,0)),"Produto não encontrado"),"")</f>
        <v/>
      </c>
    </row>
    <row r="2636" spans="1:5" x14ac:dyDescent="0.3">
      <c r="A2636" s="21" t="str">
        <f t="shared" si="41"/>
        <v>.</v>
      </c>
      <c r="D2636" s="44"/>
      <c r="E2636" s="22" t="str">
        <f>IF(D2636&lt;&gt;"",IFERROR(INDEX(Produtos!$C$4:$C$4996,MATCH(D2636,Produtos!$B$4:$B$4996,0)),"Produto não encontrado"),"")</f>
        <v/>
      </c>
    </row>
    <row r="2637" spans="1:5" x14ac:dyDescent="0.3">
      <c r="A2637" s="21" t="str">
        <f t="shared" si="41"/>
        <v>.</v>
      </c>
      <c r="D2637" s="44"/>
      <c r="E2637" s="22" t="str">
        <f>IF(D2637&lt;&gt;"",IFERROR(INDEX(Produtos!$C$4:$C$4996,MATCH(D2637,Produtos!$B$4:$B$4996,0)),"Produto não encontrado"),"")</f>
        <v/>
      </c>
    </row>
    <row r="2638" spans="1:5" x14ac:dyDescent="0.3">
      <c r="A2638" s="21" t="str">
        <f t="shared" si="41"/>
        <v>.</v>
      </c>
      <c r="D2638" s="44"/>
      <c r="E2638" s="22" t="str">
        <f>IF(D2638&lt;&gt;"",IFERROR(INDEX(Produtos!$C$4:$C$4996,MATCH(D2638,Produtos!$B$4:$B$4996,0)),"Produto não encontrado"),"")</f>
        <v/>
      </c>
    </row>
    <row r="2639" spans="1:5" x14ac:dyDescent="0.3">
      <c r="A2639" s="21" t="str">
        <f t="shared" si="41"/>
        <v>.</v>
      </c>
      <c r="D2639" s="44"/>
      <c r="E2639" s="22" t="str">
        <f>IF(D2639&lt;&gt;"",IFERROR(INDEX(Produtos!$C$4:$C$4996,MATCH(D2639,Produtos!$B$4:$B$4996,0)),"Produto não encontrado"),"")</f>
        <v/>
      </c>
    </row>
    <row r="2640" spans="1:5" x14ac:dyDescent="0.3">
      <c r="A2640" s="21" t="str">
        <f t="shared" si="41"/>
        <v>.</v>
      </c>
      <c r="D2640" s="44"/>
      <c r="E2640" s="22" t="str">
        <f>IF(D2640&lt;&gt;"",IFERROR(INDEX(Produtos!$C$4:$C$4996,MATCH(D2640,Produtos!$B$4:$B$4996,0)),"Produto não encontrado"),"")</f>
        <v/>
      </c>
    </row>
    <row r="2641" spans="1:5" x14ac:dyDescent="0.3">
      <c r="A2641" s="21" t="str">
        <f t="shared" si="41"/>
        <v>.</v>
      </c>
      <c r="D2641" s="44"/>
      <c r="E2641" s="22" t="str">
        <f>IF(D2641&lt;&gt;"",IFERROR(INDEX(Produtos!$C$4:$C$4996,MATCH(D2641,Produtos!$B$4:$B$4996,0)),"Produto não encontrado"),"")</f>
        <v/>
      </c>
    </row>
    <row r="2642" spans="1:5" x14ac:dyDescent="0.3">
      <c r="A2642" s="21" t="str">
        <f t="shared" si="41"/>
        <v>.</v>
      </c>
      <c r="D2642" s="44"/>
      <c r="E2642" s="22" t="str">
        <f>IF(D2642&lt;&gt;"",IFERROR(INDEX(Produtos!$C$4:$C$4996,MATCH(D2642,Produtos!$B$4:$B$4996,0)),"Produto não encontrado"),"")</f>
        <v/>
      </c>
    </row>
    <row r="2643" spans="1:5" x14ac:dyDescent="0.3">
      <c r="A2643" s="21" t="str">
        <f t="shared" si="41"/>
        <v>.</v>
      </c>
      <c r="D2643" s="44"/>
      <c r="E2643" s="22" t="str">
        <f>IF(D2643&lt;&gt;"",IFERROR(INDEX(Produtos!$C$4:$C$4996,MATCH(D2643,Produtos!$B$4:$B$4996,0)),"Produto não encontrado"),"")</f>
        <v/>
      </c>
    </row>
    <row r="2644" spans="1:5" x14ac:dyDescent="0.3">
      <c r="A2644" s="21" t="str">
        <f t="shared" si="41"/>
        <v>.</v>
      </c>
      <c r="D2644" s="44"/>
      <c r="E2644" s="22" t="str">
        <f>IF(D2644&lt;&gt;"",IFERROR(INDEX(Produtos!$C$4:$C$4996,MATCH(D2644,Produtos!$B$4:$B$4996,0)),"Produto não encontrado"),"")</f>
        <v/>
      </c>
    </row>
    <row r="2645" spans="1:5" x14ac:dyDescent="0.3">
      <c r="A2645" s="21" t="str">
        <f t="shared" si="41"/>
        <v>.</v>
      </c>
      <c r="D2645" s="44"/>
      <c r="E2645" s="22" t="str">
        <f>IF(D2645&lt;&gt;"",IFERROR(INDEX(Produtos!$C$4:$C$4996,MATCH(D2645,Produtos!$B$4:$B$4996,0)),"Produto não encontrado"),"")</f>
        <v/>
      </c>
    </row>
    <row r="2646" spans="1:5" x14ac:dyDescent="0.3">
      <c r="A2646" s="21" t="str">
        <f t="shared" si="41"/>
        <v>.</v>
      </c>
      <c r="D2646" s="44"/>
      <c r="E2646" s="22" t="str">
        <f>IF(D2646&lt;&gt;"",IFERROR(INDEX(Produtos!$C$4:$C$4996,MATCH(D2646,Produtos!$B$4:$B$4996,0)),"Produto não encontrado"),"")</f>
        <v/>
      </c>
    </row>
    <row r="2647" spans="1:5" x14ac:dyDescent="0.3">
      <c r="A2647" s="21" t="str">
        <f t="shared" si="41"/>
        <v>.</v>
      </c>
      <c r="D2647" s="44"/>
      <c r="E2647" s="22" t="str">
        <f>IF(D2647&lt;&gt;"",IFERROR(INDEX(Produtos!$C$4:$C$4996,MATCH(D2647,Produtos!$B$4:$B$4996,0)),"Produto não encontrado"),"")</f>
        <v/>
      </c>
    </row>
    <row r="2648" spans="1:5" x14ac:dyDescent="0.3">
      <c r="A2648" s="21" t="str">
        <f t="shared" si="41"/>
        <v>.</v>
      </c>
      <c r="D2648" s="44"/>
      <c r="E2648" s="22" t="str">
        <f>IF(D2648&lt;&gt;"",IFERROR(INDEX(Produtos!$C$4:$C$4996,MATCH(D2648,Produtos!$B$4:$B$4996,0)),"Produto não encontrado"),"")</f>
        <v/>
      </c>
    </row>
    <row r="2649" spans="1:5" x14ac:dyDescent="0.3">
      <c r="A2649" s="21" t="str">
        <f t="shared" si="41"/>
        <v>.</v>
      </c>
      <c r="D2649" s="44"/>
      <c r="E2649" s="22" t="str">
        <f>IF(D2649&lt;&gt;"",IFERROR(INDEX(Produtos!$C$4:$C$4996,MATCH(D2649,Produtos!$B$4:$B$4996,0)),"Produto não encontrado"),"")</f>
        <v/>
      </c>
    </row>
    <row r="2650" spans="1:5" x14ac:dyDescent="0.3">
      <c r="A2650" s="21" t="str">
        <f t="shared" si="41"/>
        <v>.</v>
      </c>
      <c r="D2650" s="44"/>
      <c r="E2650" s="22" t="str">
        <f>IF(D2650&lt;&gt;"",IFERROR(INDEX(Produtos!$C$4:$C$4996,MATCH(D2650,Produtos!$B$4:$B$4996,0)),"Produto não encontrado"),"")</f>
        <v/>
      </c>
    </row>
    <row r="2651" spans="1:5" x14ac:dyDescent="0.3">
      <c r="A2651" s="21" t="str">
        <f t="shared" si="41"/>
        <v>.</v>
      </c>
      <c r="D2651" s="44"/>
      <c r="E2651" s="22" t="str">
        <f>IF(D2651&lt;&gt;"",IFERROR(INDEX(Produtos!$C$4:$C$4996,MATCH(D2651,Produtos!$B$4:$B$4996,0)),"Produto não encontrado"),"")</f>
        <v/>
      </c>
    </row>
    <row r="2652" spans="1:5" x14ac:dyDescent="0.3">
      <c r="A2652" s="21" t="str">
        <f t="shared" si="41"/>
        <v>.</v>
      </c>
      <c r="D2652" s="44"/>
      <c r="E2652" s="22" t="str">
        <f>IF(D2652&lt;&gt;"",IFERROR(INDEX(Produtos!$C$4:$C$4996,MATCH(D2652,Produtos!$B$4:$B$4996,0)),"Produto não encontrado"),"")</f>
        <v/>
      </c>
    </row>
    <row r="2653" spans="1:5" x14ac:dyDescent="0.3">
      <c r="A2653" s="21" t="str">
        <f t="shared" si="41"/>
        <v>.</v>
      </c>
      <c r="D2653" s="44"/>
      <c r="E2653" s="22" t="str">
        <f>IF(D2653&lt;&gt;"",IFERROR(INDEX(Produtos!$C$4:$C$4996,MATCH(D2653,Produtos!$B$4:$B$4996,0)),"Produto não encontrado"),"")</f>
        <v/>
      </c>
    </row>
    <row r="2654" spans="1:5" x14ac:dyDescent="0.3">
      <c r="A2654" s="21" t="str">
        <f t="shared" si="41"/>
        <v>.</v>
      </c>
      <c r="D2654" s="44"/>
      <c r="E2654" s="22" t="str">
        <f>IF(D2654&lt;&gt;"",IFERROR(INDEX(Produtos!$C$4:$C$4996,MATCH(D2654,Produtos!$B$4:$B$4996,0)),"Produto não encontrado"),"")</f>
        <v/>
      </c>
    </row>
    <row r="2655" spans="1:5" x14ac:dyDescent="0.3">
      <c r="A2655" s="21" t="str">
        <f t="shared" si="41"/>
        <v>.</v>
      </c>
      <c r="D2655" s="44"/>
      <c r="E2655" s="22" t="str">
        <f>IF(D2655&lt;&gt;"",IFERROR(INDEX(Produtos!$C$4:$C$4996,MATCH(D2655,Produtos!$B$4:$B$4996,0)),"Produto não encontrado"),"")</f>
        <v/>
      </c>
    </row>
    <row r="2656" spans="1:5" x14ac:dyDescent="0.3">
      <c r="A2656" s="21" t="str">
        <f t="shared" si="41"/>
        <v>.</v>
      </c>
      <c r="D2656" s="44"/>
      <c r="E2656" s="22" t="str">
        <f>IF(D2656&lt;&gt;"",IFERROR(INDEX(Produtos!$C$4:$C$4996,MATCH(D2656,Produtos!$B$4:$B$4996,0)),"Produto não encontrado"),"")</f>
        <v/>
      </c>
    </row>
    <row r="2657" spans="1:5" x14ac:dyDescent="0.3">
      <c r="A2657" s="21" t="str">
        <f t="shared" si="41"/>
        <v>.</v>
      </c>
      <c r="D2657" s="44"/>
      <c r="E2657" s="22" t="str">
        <f>IF(D2657&lt;&gt;"",IFERROR(INDEX(Produtos!$C$4:$C$4996,MATCH(D2657,Produtos!$B$4:$B$4996,0)),"Produto não encontrado"),"")</f>
        <v/>
      </c>
    </row>
    <row r="2658" spans="1:5" x14ac:dyDescent="0.3">
      <c r="A2658" s="21" t="str">
        <f t="shared" si="41"/>
        <v>.</v>
      </c>
      <c r="D2658" s="44"/>
      <c r="E2658" s="22" t="str">
        <f>IF(D2658&lt;&gt;"",IFERROR(INDEX(Produtos!$C$4:$C$4996,MATCH(D2658,Produtos!$B$4:$B$4996,0)),"Produto não encontrado"),"")</f>
        <v/>
      </c>
    </row>
    <row r="2659" spans="1:5" x14ac:dyDescent="0.3">
      <c r="A2659" s="21" t="str">
        <f t="shared" si="41"/>
        <v>.</v>
      </c>
      <c r="D2659" s="44"/>
      <c r="E2659" s="22" t="str">
        <f>IF(D2659&lt;&gt;"",IFERROR(INDEX(Produtos!$C$4:$C$4996,MATCH(D2659,Produtos!$B$4:$B$4996,0)),"Produto não encontrado"),"")</f>
        <v/>
      </c>
    </row>
    <row r="2660" spans="1:5" x14ac:dyDescent="0.3">
      <c r="A2660" s="21" t="str">
        <f t="shared" si="41"/>
        <v>.</v>
      </c>
      <c r="D2660" s="44"/>
      <c r="E2660" s="22" t="str">
        <f>IF(D2660&lt;&gt;"",IFERROR(INDEX(Produtos!$C$4:$C$4996,MATCH(D2660,Produtos!$B$4:$B$4996,0)),"Produto não encontrado"),"")</f>
        <v/>
      </c>
    </row>
    <row r="2661" spans="1:5" x14ac:dyDescent="0.3">
      <c r="A2661" s="21" t="str">
        <f t="shared" si="41"/>
        <v>.</v>
      </c>
      <c r="D2661" s="44"/>
      <c r="E2661" s="22" t="str">
        <f>IF(D2661&lt;&gt;"",IFERROR(INDEX(Produtos!$C$4:$C$4996,MATCH(D2661,Produtos!$B$4:$B$4996,0)),"Produto não encontrado"),"")</f>
        <v/>
      </c>
    </row>
    <row r="2662" spans="1:5" x14ac:dyDescent="0.3">
      <c r="A2662" s="21" t="str">
        <f t="shared" si="41"/>
        <v>.</v>
      </c>
      <c r="D2662" s="44"/>
      <c r="E2662" s="22" t="str">
        <f>IF(D2662&lt;&gt;"",IFERROR(INDEX(Produtos!$C$4:$C$4996,MATCH(D2662,Produtos!$B$4:$B$4996,0)),"Produto não encontrado"),"")</f>
        <v/>
      </c>
    </row>
    <row r="2663" spans="1:5" x14ac:dyDescent="0.3">
      <c r="A2663" s="21" t="str">
        <f t="shared" si="41"/>
        <v>.</v>
      </c>
      <c r="D2663" s="44"/>
      <c r="E2663" s="22" t="str">
        <f>IF(D2663&lt;&gt;"",IFERROR(INDEX(Produtos!$C$4:$C$4996,MATCH(D2663,Produtos!$B$4:$B$4996,0)),"Produto não encontrado"),"")</f>
        <v/>
      </c>
    </row>
    <row r="2664" spans="1:5" x14ac:dyDescent="0.3">
      <c r="A2664" s="21" t="str">
        <f t="shared" si="41"/>
        <v>.</v>
      </c>
      <c r="D2664" s="44"/>
      <c r="E2664" s="22" t="str">
        <f>IF(D2664&lt;&gt;"",IFERROR(INDEX(Produtos!$C$4:$C$4996,MATCH(D2664,Produtos!$B$4:$B$4996,0)),"Produto não encontrado"),"")</f>
        <v/>
      </c>
    </row>
    <row r="2665" spans="1:5" x14ac:dyDescent="0.3">
      <c r="A2665" s="21" t="str">
        <f t="shared" si="41"/>
        <v>.</v>
      </c>
      <c r="D2665" s="44"/>
      <c r="E2665" s="22" t="str">
        <f>IF(D2665&lt;&gt;"",IFERROR(INDEX(Produtos!$C$4:$C$4996,MATCH(D2665,Produtos!$B$4:$B$4996,0)),"Produto não encontrado"),"")</f>
        <v/>
      </c>
    </row>
    <row r="2666" spans="1:5" x14ac:dyDescent="0.3">
      <c r="A2666" s="21" t="str">
        <f t="shared" si="41"/>
        <v>.</v>
      </c>
      <c r="D2666" s="44"/>
      <c r="E2666" s="22" t="str">
        <f>IF(D2666&lt;&gt;"",IFERROR(INDEX(Produtos!$C$4:$C$4996,MATCH(D2666,Produtos!$B$4:$B$4996,0)),"Produto não encontrado"),"")</f>
        <v/>
      </c>
    </row>
    <row r="2667" spans="1:5" x14ac:dyDescent="0.3">
      <c r="A2667" s="21" t="str">
        <f t="shared" si="41"/>
        <v>.</v>
      </c>
      <c r="D2667" s="44"/>
      <c r="E2667" s="22" t="str">
        <f>IF(D2667&lt;&gt;"",IFERROR(INDEX(Produtos!$C$4:$C$4996,MATCH(D2667,Produtos!$B$4:$B$4996,0)),"Produto não encontrado"),"")</f>
        <v/>
      </c>
    </row>
    <row r="2668" spans="1:5" x14ac:dyDescent="0.3">
      <c r="A2668" s="21" t="str">
        <f t="shared" si="41"/>
        <v>.</v>
      </c>
      <c r="D2668" s="44"/>
      <c r="E2668" s="22" t="str">
        <f>IF(D2668&lt;&gt;"",IFERROR(INDEX(Produtos!$C$4:$C$4996,MATCH(D2668,Produtos!$B$4:$B$4996,0)),"Produto não encontrado"),"")</f>
        <v/>
      </c>
    </row>
    <row r="2669" spans="1:5" x14ac:dyDescent="0.3">
      <c r="A2669" s="21" t="str">
        <f t="shared" si="41"/>
        <v>.</v>
      </c>
      <c r="D2669" s="44"/>
      <c r="E2669" s="22" t="str">
        <f>IF(D2669&lt;&gt;"",IFERROR(INDEX(Produtos!$C$4:$C$4996,MATCH(D2669,Produtos!$B$4:$B$4996,0)),"Produto não encontrado"),"")</f>
        <v/>
      </c>
    </row>
    <row r="2670" spans="1:5" x14ac:dyDescent="0.3">
      <c r="A2670" s="21" t="str">
        <f t="shared" si="41"/>
        <v>.</v>
      </c>
      <c r="D2670" s="44"/>
      <c r="E2670" s="22" t="str">
        <f>IF(D2670&lt;&gt;"",IFERROR(INDEX(Produtos!$C$4:$C$4996,MATCH(D2670,Produtos!$B$4:$B$4996,0)),"Produto não encontrado"),"")</f>
        <v/>
      </c>
    </row>
    <row r="2671" spans="1:5" x14ac:dyDescent="0.3">
      <c r="A2671" s="21" t="str">
        <f t="shared" si="41"/>
        <v>.</v>
      </c>
      <c r="D2671" s="44"/>
      <c r="E2671" s="22" t="str">
        <f>IF(D2671&lt;&gt;"",IFERROR(INDEX(Produtos!$C$4:$C$4996,MATCH(D2671,Produtos!$B$4:$B$4996,0)),"Produto não encontrado"),"")</f>
        <v/>
      </c>
    </row>
    <row r="2672" spans="1:5" x14ac:dyDescent="0.3">
      <c r="A2672" s="21" t="str">
        <f t="shared" si="41"/>
        <v>.</v>
      </c>
      <c r="D2672" s="44"/>
      <c r="E2672" s="22" t="str">
        <f>IF(D2672&lt;&gt;"",IFERROR(INDEX(Produtos!$C$4:$C$4996,MATCH(D2672,Produtos!$B$4:$B$4996,0)),"Produto não encontrado"),"")</f>
        <v/>
      </c>
    </row>
    <row r="2673" spans="1:5" x14ac:dyDescent="0.3">
      <c r="A2673" s="21" t="str">
        <f t="shared" si="41"/>
        <v>.</v>
      </c>
      <c r="D2673" s="44"/>
      <c r="E2673" s="22" t="str">
        <f>IF(D2673&lt;&gt;"",IFERROR(INDEX(Produtos!$C$4:$C$4996,MATCH(D2673,Produtos!$B$4:$B$4996,0)),"Produto não encontrado"),"")</f>
        <v/>
      </c>
    </row>
    <row r="2674" spans="1:5" x14ac:dyDescent="0.3">
      <c r="A2674" s="21" t="str">
        <f t="shared" si="41"/>
        <v>.</v>
      </c>
      <c r="D2674" s="44"/>
      <c r="E2674" s="22" t="str">
        <f>IF(D2674&lt;&gt;"",IFERROR(INDEX(Produtos!$C$4:$C$4996,MATCH(D2674,Produtos!$B$4:$B$4996,0)),"Produto não encontrado"),"")</f>
        <v/>
      </c>
    </row>
    <row r="2675" spans="1:5" x14ac:dyDescent="0.3">
      <c r="A2675" s="21" t="str">
        <f t="shared" si="41"/>
        <v>.</v>
      </c>
      <c r="D2675" s="44"/>
      <c r="E2675" s="22" t="str">
        <f>IF(D2675&lt;&gt;"",IFERROR(INDEX(Produtos!$C$4:$C$4996,MATCH(D2675,Produtos!$B$4:$B$4996,0)),"Produto não encontrado"),"")</f>
        <v/>
      </c>
    </row>
    <row r="2676" spans="1:5" x14ac:dyDescent="0.3">
      <c r="A2676" s="21" t="str">
        <f t="shared" si="41"/>
        <v>.</v>
      </c>
      <c r="D2676" s="44"/>
      <c r="E2676" s="22" t="str">
        <f>IF(D2676&lt;&gt;"",IFERROR(INDEX(Produtos!$C$4:$C$4996,MATCH(D2676,Produtos!$B$4:$B$4996,0)),"Produto não encontrado"),"")</f>
        <v/>
      </c>
    </row>
    <row r="2677" spans="1:5" x14ac:dyDescent="0.3">
      <c r="A2677" s="21" t="str">
        <f t="shared" si="41"/>
        <v>.</v>
      </c>
      <c r="D2677" s="44"/>
      <c r="E2677" s="22" t="str">
        <f>IF(D2677&lt;&gt;"",IFERROR(INDEX(Produtos!$C$4:$C$4996,MATCH(D2677,Produtos!$B$4:$B$4996,0)),"Produto não encontrado"),"")</f>
        <v/>
      </c>
    </row>
    <row r="2678" spans="1:5" x14ac:dyDescent="0.3">
      <c r="A2678" s="21" t="str">
        <f t="shared" si="41"/>
        <v>.</v>
      </c>
      <c r="D2678" s="44"/>
      <c r="E2678" s="22" t="str">
        <f>IF(D2678&lt;&gt;"",IFERROR(INDEX(Produtos!$C$4:$C$4996,MATCH(D2678,Produtos!$B$4:$B$4996,0)),"Produto não encontrado"),"")</f>
        <v/>
      </c>
    </row>
    <row r="2679" spans="1:5" x14ac:dyDescent="0.3">
      <c r="A2679" s="21" t="str">
        <f t="shared" si="41"/>
        <v>.</v>
      </c>
      <c r="D2679" s="44"/>
      <c r="E2679" s="22" t="str">
        <f>IF(D2679&lt;&gt;"",IFERROR(INDEX(Produtos!$C$4:$C$4996,MATCH(D2679,Produtos!$B$4:$B$4996,0)),"Produto não encontrado"),"")</f>
        <v/>
      </c>
    </row>
    <row r="2680" spans="1:5" x14ac:dyDescent="0.3">
      <c r="A2680" s="21" t="str">
        <f t="shared" si="41"/>
        <v>.</v>
      </c>
      <c r="D2680" s="44"/>
      <c r="E2680" s="22" t="str">
        <f>IF(D2680&lt;&gt;"",IFERROR(INDEX(Produtos!$C$4:$C$4996,MATCH(D2680,Produtos!$B$4:$B$4996,0)),"Produto não encontrado"),"")</f>
        <v/>
      </c>
    </row>
    <row r="2681" spans="1:5" x14ac:dyDescent="0.3">
      <c r="A2681" s="21" t="str">
        <f t="shared" si="41"/>
        <v>.</v>
      </c>
      <c r="D2681" s="44"/>
      <c r="E2681" s="22" t="str">
        <f>IF(D2681&lt;&gt;"",IFERROR(INDEX(Produtos!$C$4:$C$4996,MATCH(D2681,Produtos!$B$4:$B$4996,0)),"Produto não encontrado"),"")</f>
        <v/>
      </c>
    </row>
    <row r="2682" spans="1:5" x14ac:dyDescent="0.3">
      <c r="A2682" s="21" t="str">
        <f t="shared" si="41"/>
        <v>.</v>
      </c>
      <c r="D2682" s="44"/>
      <c r="E2682" s="22" t="str">
        <f>IF(D2682&lt;&gt;"",IFERROR(INDEX(Produtos!$C$4:$C$4996,MATCH(D2682,Produtos!$B$4:$B$4996,0)),"Produto não encontrado"),"")</f>
        <v/>
      </c>
    </row>
    <row r="2683" spans="1:5" x14ac:dyDescent="0.3">
      <c r="A2683" s="21" t="str">
        <f t="shared" si="41"/>
        <v>.</v>
      </c>
      <c r="D2683" s="44"/>
      <c r="E2683" s="22" t="str">
        <f>IF(D2683&lt;&gt;"",IFERROR(INDEX(Produtos!$C$4:$C$4996,MATCH(D2683,Produtos!$B$4:$B$4996,0)),"Produto não encontrado"),"")</f>
        <v/>
      </c>
    </row>
    <row r="2684" spans="1:5" x14ac:dyDescent="0.3">
      <c r="A2684" s="21" t="str">
        <f t="shared" si="41"/>
        <v>.</v>
      </c>
      <c r="D2684" s="44"/>
      <c r="E2684" s="22" t="str">
        <f>IF(D2684&lt;&gt;"",IFERROR(INDEX(Produtos!$C$4:$C$4996,MATCH(D2684,Produtos!$B$4:$B$4996,0)),"Produto não encontrado"),"")</f>
        <v/>
      </c>
    </row>
    <row r="2685" spans="1:5" x14ac:dyDescent="0.3">
      <c r="A2685" s="21" t="str">
        <f t="shared" si="41"/>
        <v>.</v>
      </c>
      <c r="D2685" s="44"/>
      <c r="E2685" s="22" t="str">
        <f>IF(D2685&lt;&gt;"",IFERROR(INDEX(Produtos!$C$4:$C$4996,MATCH(D2685,Produtos!$B$4:$B$4996,0)),"Produto não encontrado"),"")</f>
        <v/>
      </c>
    </row>
    <row r="2686" spans="1:5" x14ac:dyDescent="0.3">
      <c r="A2686" s="21" t="str">
        <f t="shared" si="41"/>
        <v>.</v>
      </c>
      <c r="D2686" s="44"/>
      <c r="E2686" s="22" t="str">
        <f>IF(D2686&lt;&gt;"",IFERROR(INDEX(Produtos!$C$4:$C$4996,MATCH(D2686,Produtos!$B$4:$B$4996,0)),"Produto não encontrado"),"")</f>
        <v/>
      </c>
    </row>
    <row r="2687" spans="1:5" x14ac:dyDescent="0.3">
      <c r="A2687" s="21" t="str">
        <f t="shared" si="41"/>
        <v>.</v>
      </c>
      <c r="D2687" s="44"/>
      <c r="E2687" s="22" t="str">
        <f>IF(D2687&lt;&gt;"",IFERROR(INDEX(Produtos!$C$4:$C$4996,MATCH(D2687,Produtos!$B$4:$B$4996,0)),"Produto não encontrado"),"")</f>
        <v/>
      </c>
    </row>
    <row r="2688" spans="1:5" x14ac:dyDescent="0.3">
      <c r="A2688" s="21" t="str">
        <f t="shared" ref="A2688:A2751" si="42">IF(C2688="Entrada",2,IF(C2688="Saída",1,"."))</f>
        <v>.</v>
      </c>
      <c r="D2688" s="44"/>
      <c r="E2688" s="22" t="str">
        <f>IF(D2688&lt;&gt;"",IFERROR(INDEX(Produtos!$C$4:$C$4996,MATCH(D2688,Produtos!$B$4:$B$4996,0)),"Produto não encontrado"),"")</f>
        <v/>
      </c>
    </row>
    <row r="2689" spans="1:5" x14ac:dyDescent="0.3">
      <c r="A2689" s="21" t="str">
        <f t="shared" si="42"/>
        <v>.</v>
      </c>
      <c r="D2689" s="44"/>
      <c r="E2689" s="22" t="str">
        <f>IF(D2689&lt;&gt;"",IFERROR(INDEX(Produtos!$C$4:$C$4996,MATCH(D2689,Produtos!$B$4:$B$4996,0)),"Produto não encontrado"),"")</f>
        <v/>
      </c>
    </row>
    <row r="2690" spans="1:5" x14ac:dyDescent="0.3">
      <c r="A2690" s="21" t="str">
        <f t="shared" si="42"/>
        <v>.</v>
      </c>
      <c r="D2690" s="44"/>
      <c r="E2690" s="22" t="str">
        <f>IF(D2690&lt;&gt;"",IFERROR(INDEX(Produtos!$C$4:$C$4996,MATCH(D2690,Produtos!$B$4:$B$4996,0)),"Produto não encontrado"),"")</f>
        <v/>
      </c>
    </row>
    <row r="2691" spans="1:5" x14ac:dyDescent="0.3">
      <c r="A2691" s="21" t="str">
        <f t="shared" si="42"/>
        <v>.</v>
      </c>
      <c r="D2691" s="44"/>
      <c r="E2691" s="22" t="str">
        <f>IF(D2691&lt;&gt;"",IFERROR(INDEX(Produtos!$C$4:$C$4996,MATCH(D2691,Produtos!$B$4:$B$4996,0)),"Produto não encontrado"),"")</f>
        <v/>
      </c>
    </row>
    <row r="2692" spans="1:5" x14ac:dyDescent="0.3">
      <c r="A2692" s="21" t="str">
        <f t="shared" si="42"/>
        <v>.</v>
      </c>
      <c r="D2692" s="44"/>
      <c r="E2692" s="22" t="str">
        <f>IF(D2692&lt;&gt;"",IFERROR(INDEX(Produtos!$C$4:$C$4996,MATCH(D2692,Produtos!$B$4:$B$4996,0)),"Produto não encontrado"),"")</f>
        <v/>
      </c>
    </row>
    <row r="2693" spans="1:5" x14ac:dyDescent="0.3">
      <c r="A2693" s="21" t="str">
        <f t="shared" si="42"/>
        <v>.</v>
      </c>
      <c r="D2693" s="44"/>
      <c r="E2693" s="22" t="str">
        <f>IF(D2693&lt;&gt;"",IFERROR(INDEX(Produtos!$C$4:$C$4996,MATCH(D2693,Produtos!$B$4:$B$4996,0)),"Produto não encontrado"),"")</f>
        <v/>
      </c>
    </row>
    <row r="2694" spans="1:5" x14ac:dyDescent="0.3">
      <c r="A2694" s="21" t="str">
        <f t="shared" si="42"/>
        <v>.</v>
      </c>
      <c r="D2694" s="44"/>
      <c r="E2694" s="22" t="str">
        <f>IF(D2694&lt;&gt;"",IFERROR(INDEX(Produtos!$C$4:$C$4996,MATCH(D2694,Produtos!$B$4:$B$4996,0)),"Produto não encontrado"),"")</f>
        <v/>
      </c>
    </row>
    <row r="2695" spans="1:5" x14ac:dyDescent="0.3">
      <c r="A2695" s="21" t="str">
        <f t="shared" si="42"/>
        <v>.</v>
      </c>
      <c r="D2695" s="44"/>
      <c r="E2695" s="22" t="str">
        <f>IF(D2695&lt;&gt;"",IFERROR(INDEX(Produtos!$C$4:$C$4996,MATCH(D2695,Produtos!$B$4:$B$4996,0)),"Produto não encontrado"),"")</f>
        <v/>
      </c>
    </row>
    <row r="2696" spans="1:5" x14ac:dyDescent="0.3">
      <c r="A2696" s="21" t="str">
        <f t="shared" si="42"/>
        <v>.</v>
      </c>
      <c r="D2696" s="44"/>
      <c r="E2696" s="22" t="str">
        <f>IF(D2696&lt;&gt;"",IFERROR(INDEX(Produtos!$C$4:$C$4996,MATCH(D2696,Produtos!$B$4:$B$4996,0)),"Produto não encontrado"),"")</f>
        <v/>
      </c>
    </row>
    <row r="2697" spans="1:5" x14ac:dyDescent="0.3">
      <c r="A2697" s="21" t="str">
        <f t="shared" si="42"/>
        <v>.</v>
      </c>
      <c r="D2697" s="44"/>
      <c r="E2697" s="22" t="str">
        <f>IF(D2697&lt;&gt;"",IFERROR(INDEX(Produtos!$C$4:$C$4996,MATCH(D2697,Produtos!$B$4:$B$4996,0)),"Produto não encontrado"),"")</f>
        <v/>
      </c>
    </row>
    <row r="2698" spans="1:5" x14ac:dyDescent="0.3">
      <c r="A2698" s="21" t="str">
        <f t="shared" si="42"/>
        <v>.</v>
      </c>
      <c r="D2698" s="44"/>
      <c r="E2698" s="22" t="str">
        <f>IF(D2698&lt;&gt;"",IFERROR(INDEX(Produtos!$C$4:$C$4996,MATCH(D2698,Produtos!$B$4:$B$4996,0)),"Produto não encontrado"),"")</f>
        <v/>
      </c>
    </row>
    <row r="2699" spans="1:5" x14ac:dyDescent="0.3">
      <c r="A2699" s="21" t="str">
        <f t="shared" si="42"/>
        <v>.</v>
      </c>
      <c r="D2699" s="44"/>
      <c r="E2699" s="22" t="str">
        <f>IF(D2699&lt;&gt;"",IFERROR(INDEX(Produtos!$C$4:$C$4996,MATCH(D2699,Produtos!$B$4:$B$4996,0)),"Produto não encontrado"),"")</f>
        <v/>
      </c>
    </row>
    <row r="2700" spans="1:5" x14ac:dyDescent="0.3">
      <c r="A2700" s="21" t="str">
        <f t="shared" si="42"/>
        <v>.</v>
      </c>
      <c r="D2700" s="44"/>
      <c r="E2700" s="22" t="str">
        <f>IF(D2700&lt;&gt;"",IFERROR(INDEX(Produtos!$C$4:$C$4996,MATCH(D2700,Produtos!$B$4:$B$4996,0)),"Produto não encontrado"),"")</f>
        <v/>
      </c>
    </row>
    <row r="2701" spans="1:5" x14ac:dyDescent="0.3">
      <c r="A2701" s="21" t="str">
        <f t="shared" si="42"/>
        <v>.</v>
      </c>
      <c r="D2701" s="44"/>
      <c r="E2701" s="22" t="str">
        <f>IF(D2701&lt;&gt;"",IFERROR(INDEX(Produtos!$C$4:$C$4996,MATCH(D2701,Produtos!$B$4:$B$4996,0)),"Produto não encontrado"),"")</f>
        <v/>
      </c>
    </row>
    <row r="2702" spans="1:5" x14ac:dyDescent="0.3">
      <c r="A2702" s="21" t="str">
        <f t="shared" si="42"/>
        <v>.</v>
      </c>
      <c r="D2702" s="44"/>
      <c r="E2702" s="22" t="str">
        <f>IF(D2702&lt;&gt;"",IFERROR(INDEX(Produtos!$C$4:$C$4996,MATCH(D2702,Produtos!$B$4:$B$4996,0)),"Produto não encontrado"),"")</f>
        <v/>
      </c>
    </row>
    <row r="2703" spans="1:5" x14ac:dyDescent="0.3">
      <c r="A2703" s="21" t="str">
        <f t="shared" si="42"/>
        <v>.</v>
      </c>
      <c r="D2703" s="44"/>
      <c r="E2703" s="22" t="str">
        <f>IF(D2703&lt;&gt;"",IFERROR(INDEX(Produtos!$C$4:$C$4996,MATCH(D2703,Produtos!$B$4:$B$4996,0)),"Produto não encontrado"),"")</f>
        <v/>
      </c>
    </row>
    <row r="2704" spans="1:5" x14ac:dyDescent="0.3">
      <c r="A2704" s="21" t="str">
        <f t="shared" si="42"/>
        <v>.</v>
      </c>
      <c r="D2704" s="44"/>
      <c r="E2704" s="22" t="str">
        <f>IF(D2704&lt;&gt;"",IFERROR(INDEX(Produtos!$C$4:$C$4996,MATCH(D2704,Produtos!$B$4:$B$4996,0)),"Produto não encontrado"),"")</f>
        <v/>
      </c>
    </row>
    <row r="2705" spans="1:5" x14ac:dyDescent="0.3">
      <c r="A2705" s="21" t="str">
        <f t="shared" si="42"/>
        <v>.</v>
      </c>
      <c r="D2705" s="44"/>
      <c r="E2705" s="22" t="str">
        <f>IF(D2705&lt;&gt;"",IFERROR(INDEX(Produtos!$C$4:$C$4996,MATCH(D2705,Produtos!$B$4:$B$4996,0)),"Produto não encontrado"),"")</f>
        <v/>
      </c>
    </row>
    <row r="2706" spans="1:5" x14ac:dyDescent="0.3">
      <c r="A2706" s="21" t="str">
        <f t="shared" si="42"/>
        <v>.</v>
      </c>
      <c r="D2706" s="44"/>
      <c r="E2706" s="22" t="str">
        <f>IF(D2706&lt;&gt;"",IFERROR(INDEX(Produtos!$C$4:$C$4996,MATCH(D2706,Produtos!$B$4:$B$4996,0)),"Produto não encontrado"),"")</f>
        <v/>
      </c>
    </row>
    <row r="2707" spans="1:5" x14ac:dyDescent="0.3">
      <c r="A2707" s="21" t="str">
        <f t="shared" si="42"/>
        <v>.</v>
      </c>
      <c r="D2707" s="44"/>
      <c r="E2707" s="22" t="str">
        <f>IF(D2707&lt;&gt;"",IFERROR(INDEX(Produtos!$C$4:$C$4996,MATCH(D2707,Produtos!$B$4:$B$4996,0)),"Produto não encontrado"),"")</f>
        <v/>
      </c>
    </row>
    <row r="2708" spans="1:5" x14ac:dyDescent="0.3">
      <c r="A2708" s="21" t="str">
        <f t="shared" si="42"/>
        <v>.</v>
      </c>
      <c r="D2708" s="44"/>
      <c r="E2708" s="22" t="str">
        <f>IF(D2708&lt;&gt;"",IFERROR(INDEX(Produtos!$C$4:$C$4996,MATCH(D2708,Produtos!$B$4:$B$4996,0)),"Produto não encontrado"),"")</f>
        <v/>
      </c>
    </row>
    <row r="2709" spans="1:5" x14ac:dyDescent="0.3">
      <c r="A2709" s="21" t="str">
        <f t="shared" si="42"/>
        <v>.</v>
      </c>
      <c r="D2709" s="44"/>
      <c r="E2709" s="22" t="str">
        <f>IF(D2709&lt;&gt;"",IFERROR(INDEX(Produtos!$C$4:$C$4996,MATCH(D2709,Produtos!$B$4:$B$4996,0)),"Produto não encontrado"),"")</f>
        <v/>
      </c>
    </row>
    <row r="2710" spans="1:5" x14ac:dyDescent="0.3">
      <c r="A2710" s="21" t="str">
        <f t="shared" si="42"/>
        <v>.</v>
      </c>
      <c r="D2710" s="44"/>
      <c r="E2710" s="22" t="str">
        <f>IF(D2710&lt;&gt;"",IFERROR(INDEX(Produtos!$C$4:$C$4996,MATCH(D2710,Produtos!$B$4:$B$4996,0)),"Produto não encontrado"),"")</f>
        <v/>
      </c>
    </row>
    <row r="2711" spans="1:5" x14ac:dyDescent="0.3">
      <c r="A2711" s="21" t="str">
        <f t="shared" si="42"/>
        <v>.</v>
      </c>
      <c r="D2711" s="44"/>
      <c r="E2711" s="22" t="str">
        <f>IF(D2711&lt;&gt;"",IFERROR(INDEX(Produtos!$C$4:$C$4996,MATCH(D2711,Produtos!$B$4:$B$4996,0)),"Produto não encontrado"),"")</f>
        <v/>
      </c>
    </row>
    <row r="2712" spans="1:5" x14ac:dyDescent="0.3">
      <c r="A2712" s="21" t="str">
        <f t="shared" si="42"/>
        <v>.</v>
      </c>
      <c r="D2712" s="44"/>
      <c r="E2712" s="22" t="str">
        <f>IF(D2712&lt;&gt;"",IFERROR(INDEX(Produtos!$C$4:$C$4996,MATCH(D2712,Produtos!$B$4:$B$4996,0)),"Produto não encontrado"),"")</f>
        <v/>
      </c>
    </row>
    <row r="2713" spans="1:5" x14ac:dyDescent="0.3">
      <c r="A2713" s="21" t="str">
        <f t="shared" si="42"/>
        <v>.</v>
      </c>
      <c r="D2713" s="44"/>
      <c r="E2713" s="22" t="str">
        <f>IF(D2713&lt;&gt;"",IFERROR(INDEX(Produtos!$C$4:$C$4996,MATCH(D2713,Produtos!$B$4:$B$4996,0)),"Produto não encontrado"),"")</f>
        <v/>
      </c>
    </row>
    <row r="2714" spans="1:5" x14ac:dyDescent="0.3">
      <c r="A2714" s="21" t="str">
        <f t="shared" si="42"/>
        <v>.</v>
      </c>
      <c r="D2714" s="44"/>
      <c r="E2714" s="22" t="str">
        <f>IF(D2714&lt;&gt;"",IFERROR(INDEX(Produtos!$C$4:$C$4996,MATCH(D2714,Produtos!$B$4:$B$4996,0)),"Produto não encontrado"),"")</f>
        <v/>
      </c>
    </row>
    <row r="2715" spans="1:5" x14ac:dyDescent="0.3">
      <c r="A2715" s="21" t="str">
        <f t="shared" si="42"/>
        <v>.</v>
      </c>
      <c r="D2715" s="44"/>
      <c r="E2715" s="22" t="str">
        <f>IF(D2715&lt;&gt;"",IFERROR(INDEX(Produtos!$C$4:$C$4996,MATCH(D2715,Produtos!$B$4:$B$4996,0)),"Produto não encontrado"),"")</f>
        <v/>
      </c>
    </row>
    <row r="2716" spans="1:5" x14ac:dyDescent="0.3">
      <c r="A2716" s="21" t="str">
        <f t="shared" si="42"/>
        <v>.</v>
      </c>
      <c r="D2716" s="44"/>
      <c r="E2716" s="22" t="str">
        <f>IF(D2716&lt;&gt;"",IFERROR(INDEX(Produtos!$C$4:$C$4996,MATCH(D2716,Produtos!$B$4:$B$4996,0)),"Produto não encontrado"),"")</f>
        <v/>
      </c>
    </row>
    <row r="2717" spans="1:5" x14ac:dyDescent="0.3">
      <c r="A2717" s="21" t="str">
        <f t="shared" si="42"/>
        <v>.</v>
      </c>
      <c r="D2717" s="44"/>
      <c r="E2717" s="22" t="str">
        <f>IF(D2717&lt;&gt;"",IFERROR(INDEX(Produtos!$C$4:$C$4996,MATCH(D2717,Produtos!$B$4:$B$4996,0)),"Produto não encontrado"),"")</f>
        <v/>
      </c>
    </row>
    <row r="2718" spans="1:5" x14ac:dyDescent="0.3">
      <c r="A2718" s="21" t="str">
        <f t="shared" si="42"/>
        <v>.</v>
      </c>
      <c r="D2718" s="44"/>
      <c r="E2718" s="22" t="str">
        <f>IF(D2718&lt;&gt;"",IFERROR(INDEX(Produtos!$C$4:$C$4996,MATCH(D2718,Produtos!$B$4:$B$4996,0)),"Produto não encontrado"),"")</f>
        <v/>
      </c>
    </row>
    <row r="2719" spans="1:5" x14ac:dyDescent="0.3">
      <c r="A2719" s="21" t="str">
        <f t="shared" si="42"/>
        <v>.</v>
      </c>
      <c r="D2719" s="44"/>
      <c r="E2719" s="22" t="str">
        <f>IF(D2719&lt;&gt;"",IFERROR(INDEX(Produtos!$C$4:$C$4996,MATCH(D2719,Produtos!$B$4:$B$4996,0)),"Produto não encontrado"),"")</f>
        <v/>
      </c>
    </row>
    <row r="2720" spans="1:5" x14ac:dyDescent="0.3">
      <c r="A2720" s="21" t="str">
        <f t="shared" si="42"/>
        <v>.</v>
      </c>
      <c r="D2720" s="44"/>
      <c r="E2720" s="22" t="str">
        <f>IF(D2720&lt;&gt;"",IFERROR(INDEX(Produtos!$C$4:$C$4996,MATCH(D2720,Produtos!$B$4:$B$4996,0)),"Produto não encontrado"),"")</f>
        <v/>
      </c>
    </row>
    <row r="2721" spans="1:5" x14ac:dyDescent="0.3">
      <c r="A2721" s="21" t="str">
        <f t="shared" si="42"/>
        <v>.</v>
      </c>
      <c r="D2721" s="44"/>
      <c r="E2721" s="22" t="str">
        <f>IF(D2721&lt;&gt;"",IFERROR(INDEX(Produtos!$C$4:$C$4996,MATCH(D2721,Produtos!$B$4:$B$4996,0)),"Produto não encontrado"),"")</f>
        <v/>
      </c>
    </row>
    <row r="2722" spans="1:5" x14ac:dyDescent="0.3">
      <c r="A2722" s="21" t="str">
        <f t="shared" si="42"/>
        <v>.</v>
      </c>
      <c r="D2722" s="44"/>
      <c r="E2722" s="22" t="str">
        <f>IF(D2722&lt;&gt;"",IFERROR(INDEX(Produtos!$C$4:$C$4996,MATCH(D2722,Produtos!$B$4:$B$4996,0)),"Produto não encontrado"),"")</f>
        <v/>
      </c>
    </row>
    <row r="2723" spans="1:5" x14ac:dyDescent="0.3">
      <c r="A2723" s="21" t="str">
        <f t="shared" si="42"/>
        <v>.</v>
      </c>
      <c r="D2723" s="44"/>
      <c r="E2723" s="22" t="str">
        <f>IF(D2723&lt;&gt;"",IFERROR(INDEX(Produtos!$C$4:$C$4996,MATCH(D2723,Produtos!$B$4:$B$4996,0)),"Produto não encontrado"),"")</f>
        <v/>
      </c>
    </row>
    <row r="2724" spans="1:5" x14ac:dyDescent="0.3">
      <c r="A2724" s="21" t="str">
        <f t="shared" si="42"/>
        <v>.</v>
      </c>
      <c r="D2724" s="44"/>
      <c r="E2724" s="22" t="str">
        <f>IF(D2724&lt;&gt;"",IFERROR(INDEX(Produtos!$C$4:$C$4996,MATCH(D2724,Produtos!$B$4:$B$4996,0)),"Produto não encontrado"),"")</f>
        <v/>
      </c>
    </row>
    <row r="2725" spans="1:5" x14ac:dyDescent="0.3">
      <c r="A2725" s="21" t="str">
        <f t="shared" si="42"/>
        <v>.</v>
      </c>
      <c r="D2725" s="44"/>
      <c r="E2725" s="22" t="str">
        <f>IF(D2725&lt;&gt;"",IFERROR(INDEX(Produtos!$C$4:$C$4996,MATCH(D2725,Produtos!$B$4:$B$4996,0)),"Produto não encontrado"),"")</f>
        <v/>
      </c>
    </row>
    <row r="2726" spans="1:5" x14ac:dyDescent="0.3">
      <c r="A2726" s="21" t="str">
        <f t="shared" si="42"/>
        <v>.</v>
      </c>
      <c r="D2726" s="44"/>
      <c r="E2726" s="22" t="str">
        <f>IF(D2726&lt;&gt;"",IFERROR(INDEX(Produtos!$C$4:$C$4996,MATCH(D2726,Produtos!$B$4:$B$4996,0)),"Produto não encontrado"),"")</f>
        <v/>
      </c>
    </row>
    <row r="2727" spans="1:5" x14ac:dyDescent="0.3">
      <c r="A2727" s="21" t="str">
        <f t="shared" si="42"/>
        <v>.</v>
      </c>
      <c r="D2727" s="44"/>
      <c r="E2727" s="22" t="str">
        <f>IF(D2727&lt;&gt;"",IFERROR(INDEX(Produtos!$C$4:$C$4996,MATCH(D2727,Produtos!$B$4:$B$4996,0)),"Produto não encontrado"),"")</f>
        <v/>
      </c>
    </row>
    <row r="2728" spans="1:5" x14ac:dyDescent="0.3">
      <c r="A2728" s="21" t="str">
        <f t="shared" si="42"/>
        <v>.</v>
      </c>
      <c r="D2728" s="44"/>
      <c r="E2728" s="22" t="str">
        <f>IF(D2728&lt;&gt;"",IFERROR(INDEX(Produtos!$C$4:$C$4996,MATCH(D2728,Produtos!$B$4:$B$4996,0)),"Produto não encontrado"),"")</f>
        <v/>
      </c>
    </row>
    <row r="2729" spans="1:5" x14ac:dyDescent="0.3">
      <c r="A2729" s="21" t="str">
        <f t="shared" si="42"/>
        <v>.</v>
      </c>
      <c r="D2729" s="44"/>
      <c r="E2729" s="22" t="str">
        <f>IF(D2729&lt;&gt;"",IFERROR(INDEX(Produtos!$C$4:$C$4996,MATCH(D2729,Produtos!$B$4:$B$4996,0)),"Produto não encontrado"),"")</f>
        <v/>
      </c>
    </row>
    <row r="2730" spans="1:5" x14ac:dyDescent="0.3">
      <c r="A2730" s="21" t="str">
        <f t="shared" si="42"/>
        <v>.</v>
      </c>
      <c r="D2730" s="44"/>
      <c r="E2730" s="22" t="str">
        <f>IF(D2730&lt;&gt;"",IFERROR(INDEX(Produtos!$C$4:$C$4996,MATCH(D2730,Produtos!$B$4:$B$4996,0)),"Produto não encontrado"),"")</f>
        <v/>
      </c>
    </row>
    <row r="2731" spans="1:5" x14ac:dyDescent="0.3">
      <c r="A2731" s="21" t="str">
        <f t="shared" si="42"/>
        <v>.</v>
      </c>
      <c r="D2731" s="44"/>
      <c r="E2731" s="22" t="str">
        <f>IF(D2731&lt;&gt;"",IFERROR(INDEX(Produtos!$C$4:$C$4996,MATCH(D2731,Produtos!$B$4:$B$4996,0)),"Produto não encontrado"),"")</f>
        <v/>
      </c>
    </row>
    <row r="2732" spans="1:5" x14ac:dyDescent="0.3">
      <c r="A2732" s="21" t="str">
        <f t="shared" si="42"/>
        <v>.</v>
      </c>
      <c r="D2732" s="44"/>
      <c r="E2732" s="22" t="str">
        <f>IF(D2732&lt;&gt;"",IFERROR(INDEX(Produtos!$C$4:$C$4996,MATCH(D2732,Produtos!$B$4:$B$4996,0)),"Produto não encontrado"),"")</f>
        <v/>
      </c>
    </row>
    <row r="2733" spans="1:5" x14ac:dyDescent="0.3">
      <c r="A2733" s="21" t="str">
        <f t="shared" si="42"/>
        <v>.</v>
      </c>
      <c r="D2733" s="44"/>
      <c r="E2733" s="22" t="str">
        <f>IF(D2733&lt;&gt;"",IFERROR(INDEX(Produtos!$C$4:$C$4996,MATCH(D2733,Produtos!$B$4:$B$4996,0)),"Produto não encontrado"),"")</f>
        <v/>
      </c>
    </row>
    <row r="2734" spans="1:5" x14ac:dyDescent="0.3">
      <c r="A2734" s="21" t="str">
        <f t="shared" si="42"/>
        <v>.</v>
      </c>
      <c r="D2734" s="44"/>
      <c r="E2734" s="22" t="str">
        <f>IF(D2734&lt;&gt;"",IFERROR(INDEX(Produtos!$C$4:$C$4996,MATCH(D2734,Produtos!$B$4:$B$4996,0)),"Produto não encontrado"),"")</f>
        <v/>
      </c>
    </row>
    <row r="2735" spans="1:5" x14ac:dyDescent="0.3">
      <c r="A2735" s="21" t="str">
        <f t="shared" si="42"/>
        <v>.</v>
      </c>
      <c r="D2735" s="44"/>
      <c r="E2735" s="22" t="str">
        <f>IF(D2735&lt;&gt;"",IFERROR(INDEX(Produtos!$C$4:$C$4996,MATCH(D2735,Produtos!$B$4:$B$4996,0)),"Produto não encontrado"),"")</f>
        <v/>
      </c>
    </row>
    <row r="2736" spans="1:5" x14ac:dyDescent="0.3">
      <c r="A2736" s="21" t="str">
        <f t="shared" si="42"/>
        <v>.</v>
      </c>
      <c r="D2736" s="44"/>
      <c r="E2736" s="22" t="str">
        <f>IF(D2736&lt;&gt;"",IFERROR(INDEX(Produtos!$C$4:$C$4996,MATCH(D2736,Produtos!$B$4:$B$4996,0)),"Produto não encontrado"),"")</f>
        <v/>
      </c>
    </row>
    <row r="2737" spans="1:5" x14ac:dyDescent="0.3">
      <c r="A2737" s="21" t="str">
        <f t="shared" si="42"/>
        <v>.</v>
      </c>
      <c r="D2737" s="44"/>
      <c r="E2737" s="22" t="str">
        <f>IF(D2737&lt;&gt;"",IFERROR(INDEX(Produtos!$C$4:$C$4996,MATCH(D2737,Produtos!$B$4:$B$4996,0)),"Produto não encontrado"),"")</f>
        <v/>
      </c>
    </row>
    <row r="2738" spans="1:5" x14ac:dyDescent="0.3">
      <c r="A2738" s="21" t="str">
        <f t="shared" si="42"/>
        <v>.</v>
      </c>
      <c r="D2738" s="44"/>
      <c r="E2738" s="22" t="str">
        <f>IF(D2738&lt;&gt;"",IFERROR(INDEX(Produtos!$C$4:$C$4996,MATCH(D2738,Produtos!$B$4:$B$4996,0)),"Produto não encontrado"),"")</f>
        <v/>
      </c>
    </row>
    <row r="2739" spans="1:5" x14ac:dyDescent="0.3">
      <c r="A2739" s="21" t="str">
        <f t="shared" si="42"/>
        <v>.</v>
      </c>
      <c r="D2739" s="44"/>
      <c r="E2739" s="22" t="str">
        <f>IF(D2739&lt;&gt;"",IFERROR(INDEX(Produtos!$C$4:$C$4996,MATCH(D2739,Produtos!$B$4:$B$4996,0)),"Produto não encontrado"),"")</f>
        <v/>
      </c>
    </row>
    <row r="2740" spans="1:5" x14ac:dyDescent="0.3">
      <c r="A2740" s="21" t="str">
        <f t="shared" si="42"/>
        <v>.</v>
      </c>
      <c r="D2740" s="44"/>
      <c r="E2740" s="22" t="str">
        <f>IF(D2740&lt;&gt;"",IFERROR(INDEX(Produtos!$C$4:$C$4996,MATCH(D2740,Produtos!$B$4:$B$4996,0)),"Produto não encontrado"),"")</f>
        <v/>
      </c>
    </row>
    <row r="2741" spans="1:5" x14ac:dyDescent="0.3">
      <c r="A2741" s="21" t="str">
        <f t="shared" si="42"/>
        <v>.</v>
      </c>
      <c r="D2741" s="44"/>
      <c r="E2741" s="22" t="str">
        <f>IF(D2741&lt;&gt;"",IFERROR(INDEX(Produtos!$C$4:$C$4996,MATCH(D2741,Produtos!$B$4:$B$4996,0)),"Produto não encontrado"),"")</f>
        <v/>
      </c>
    </row>
    <row r="2742" spans="1:5" x14ac:dyDescent="0.3">
      <c r="A2742" s="21" t="str">
        <f t="shared" si="42"/>
        <v>.</v>
      </c>
      <c r="D2742" s="44"/>
      <c r="E2742" s="22" t="str">
        <f>IF(D2742&lt;&gt;"",IFERROR(INDEX(Produtos!$C$4:$C$4996,MATCH(D2742,Produtos!$B$4:$B$4996,0)),"Produto não encontrado"),"")</f>
        <v/>
      </c>
    </row>
    <row r="2743" spans="1:5" x14ac:dyDescent="0.3">
      <c r="A2743" s="21" t="str">
        <f t="shared" si="42"/>
        <v>.</v>
      </c>
      <c r="D2743" s="44"/>
      <c r="E2743" s="22" t="str">
        <f>IF(D2743&lt;&gt;"",IFERROR(INDEX(Produtos!$C$4:$C$4996,MATCH(D2743,Produtos!$B$4:$B$4996,0)),"Produto não encontrado"),"")</f>
        <v/>
      </c>
    </row>
    <row r="2744" spans="1:5" x14ac:dyDescent="0.3">
      <c r="A2744" s="21" t="str">
        <f t="shared" si="42"/>
        <v>.</v>
      </c>
      <c r="D2744" s="44"/>
      <c r="E2744" s="22" t="str">
        <f>IF(D2744&lt;&gt;"",IFERROR(INDEX(Produtos!$C$4:$C$4996,MATCH(D2744,Produtos!$B$4:$B$4996,0)),"Produto não encontrado"),"")</f>
        <v/>
      </c>
    </row>
    <row r="2745" spans="1:5" x14ac:dyDescent="0.3">
      <c r="A2745" s="21" t="str">
        <f t="shared" si="42"/>
        <v>.</v>
      </c>
      <c r="D2745" s="44"/>
      <c r="E2745" s="22" t="str">
        <f>IF(D2745&lt;&gt;"",IFERROR(INDEX(Produtos!$C$4:$C$4996,MATCH(D2745,Produtos!$B$4:$B$4996,0)),"Produto não encontrado"),"")</f>
        <v/>
      </c>
    </row>
    <row r="2746" spans="1:5" x14ac:dyDescent="0.3">
      <c r="A2746" s="21" t="str">
        <f t="shared" si="42"/>
        <v>.</v>
      </c>
      <c r="D2746" s="44"/>
      <c r="E2746" s="22" t="str">
        <f>IF(D2746&lt;&gt;"",IFERROR(INDEX(Produtos!$C$4:$C$4996,MATCH(D2746,Produtos!$B$4:$B$4996,0)),"Produto não encontrado"),"")</f>
        <v/>
      </c>
    </row>
    <row r="2747" spans="1:5" x14ac:dyDescent="0.3">
      <c r="A2747" s="21" t="str">
        <f t="shared" si="42"/>
        <v>.</v>
      </c>
      <c r="D2747" s="44"/>
      <c r="E2747" s="22" t="str">
        <f>IF(D2747&lt;&gt;"",IFERROR(INDEX(Produtos!$C$4:$C$4996,MATCH(D2747,Produtos!$B$4:$B$4996,0)),"Produto não encontrado"),"")</f>
        <v/>
      </c>
    </row>
    <row r="2748" spans="1:5" x14ac:dyDescent="0.3">
      <c r="A2748" s="21" t="str">
        <f t="shared" si="42"/>
        <v>.</v>
      </c>
      <c r="D2748" s="44"/>
      <c r="E2748" s="22" t="str">
        <f>IF(D2748&lt;&gt;"",IFERROR(INDEX(Produtos!$C$4:$C$4996,MATCH(D2748,Produtos!$B$4:$B$4996,0)),"Produto não encontrado"),"")</f>
        <v/>
      </c>
    </row>
    <row r="2749" spans="1:5" x14ac:dyDescent="0.3">
      <c r="A2749" s="21" t="str">
        <f t="shared" si="42"/>
        <v>.</v>
      </c>
      <c r="D2749" s="44"/>
      <c r="E2749" s="22" t="str">
        <f>IF(D2749&lt;&gt;"",IFERROR(INDEX(Produtos!$C$4:$C$4996,MATCH(D2749,Produtos!$B$4:$B$4996,0)),"Produto não encontrado"),"")</f>
        <v/>
      </c>
    </row>
    <row r="2750" spans="1:5" x14ac:dyDescent="0.3">
      <c r="A2750" s="21" t="str">
        <f t="shared" si="42"/>
        <v>.</v>
      </c>
      <c r="D2750" s="44"/>
      <c r="E2750" s="22" t="str">
        <f>IF(D2750&lt;&gt;"",IFERROR(INDEX(Produtos!$C$4:$C$4996,MATCH(D2750,Produtos!$B$4:$B$4996,0)),"Produto não encontrado"),"")</f>
        <v/>
      </c>
    </row>
    <row r="2751" spans="1:5" x14ac:dyDescent="0.3">
      <c r="A2751" s="21" t="str">
        <f t="shared" si="42"/>
        <v>.</v>
      </c>
      <c r="D2751" s="44"/>
      <c r="E2751" s="22" t="str">
        <f>IF(D2751&lt;&gt;"",IFERROR(INDEX(Produtos!$C$4:$C$4996,MATCH(D2751,Produtos!$B$4:$B$4996,0)),"Produto não encontrado"),"")</f>
        <v/>
      </c>
    </row>
    <row r="2752" spans="1:5" x14ac:dyDescent="0.3">
      <c r="A2752" s="21" t="str">
        <f t="shared" ref="A2752:A2815" si="43">IF(C2752="Entrada",2,IF(C2752="Saída",1,"."))</f>
        <v>.</v>
      </c>
      <c r="D2752" s="44"/>
      <c r="E2752" s="22" t="str">
        <f>IF(D2752&lt;&gt;"",IFERROR(INDEX(Produtos!$C$4:$C$4996,MATCH(D2752,Produtos!$B$4:$B$4996,0)),"Produto não encontrado"),"")</f>
        <v/>
      </c>
    </row>
    <row r="2753" spans="1:5" x14ac:dyDescent="0.3">
      <c r="A2753" s="21" t="str">
        <f t="shared" si="43"/>
        <v>.</v>
      </c>
      <c r="D2753" s="44"/>
      <c r="E2753" s="22" t="str">
        <f>IF(D2753&lt;&gt;"",IFERROR(INDEX(Produtos!$C$4:$C$4996,MATCH(D2753,Produtos!$B$4:$B$4996,0)),"Produto não encontrado"),"")</f>
        <v/>
      </c>
    </row>
    <row r="2754" spans="1:5" x14ac:dyDescent="0.3">
      <c r="A2754" s="21" t="str">
        <f t="shared" si="43"/>
        <v>.</v>
      </c>
      <c r="D2754" s="44"/>
      <c r="E2754" s="22" t="str">
        <f>IF(D2754&lt;&gt;"",IFERROR(INDEX(Produtos!$C$4:$C$4996,MATCH(D2754,Produtos!$B$4:$B$4996,0)),"Produto não encontrado"),"")</f>
        <v/>
      </c>
    </row>
    <row r="2755" spans="1:5" x14ac:dyDescent="0.3">
      <c r="A2755" s="21" t="str">
        <f t="shared" si="43"/>
        <v>.</v>
      </c>
      <c r="D2755" s="44"/>
      <c r="E2755" s="22" t="str">
        <f>IF(D2755&lt;&gt;"",IFERROR(INDEX(Produtos!$C$4:$C$4996,MATCH(D2755,Produtos!$B$4:$B$4996,0)),"Produto não encontrado"),"")</f>
        <v/>
      </c>
    </row>
    <row r="2756" spans="1:5" x14ac:dyDescent="0.3">
      <c r="A2756" s="21" t="str">
        <f t="shared" si="43"/>
        <v>.</v>
      </c>
      <c r="D2756" s="44"/>
      <c r="E2756" s="22" t="str">
        <f>IF(D2756&lt;&gt;"",IFERROR(INDEX(Produtos!$C$4:$C$4996,MATCH(D2756,Produtos!$B$4:$B$4996,0)),"Produto não encontrado"),"")</f>
        <v/>
      </c>
    </row>
    <row r="2757" spans="1:5" x14ac:dyDescent="0.3">
      <c r="A2757" s="21" t="str">
        <f t="shared" si="43"/>
        <v>.</v>
      </c>
      <c r="D2757" s="44"/>
      <c r="E2757" s="22" t="str">
        <f>IF(D2757&lt;&gt;"",IFERROR(INDEX(Produtos!$C$4:$C$4996,MATCH(D2757,Produtos!$B$4:$B$4996,0)),"Produto não encontrado"),"")</f>
        <v/>
      </c>
    </row>
    <row r="2758" spans="1:5" x14ac:dyDescent="0.3">
      <c r="A2758" s="21" t="str">
        <f t="shared" si="43"/>
        <v>.</v>
      </c>
      <c r="D2758" s="44"/>
      <c r="E2758" s="22" t="str">
        <f>IF(D2758&lt;&gt;"",IFERROR(INDEX(Produtos!$C$4:$C$4996,MATCH(D2758,Produtos!$B$4:$B$4996,0)),"Produto não encontrado"),"")</f>
        <v/>
      </c>
    </row>
    <row r="2759" spans="1:5" x14ac:dyDescent="0.3">
      <c r="A2759" s="21" t="str">
        <f t="shared" si="43"/>
        <v>.</v>
      </c>
      <c r="D2759" s="44"/>
      <c r="E2759" s="22" t="str">
        <f>IF(D2759&lt;&gt;"",IFERROR(INDEX(Produtos!$C$4:$C$4996,MATCH(D2759,Produtos!$B$4:$B$4996,0)),"Produto não encontrado"),"")</f>
        <v/>
      </c>
    </row>
    <row r="2760" spans="1:5" x14ac:dyDescent="0.3">
      <c r="A2760" s="21" t="str">
        <f t="shared" si="43"/>
        <v>.</v>
      </c>
      <c r="D2760" s="44"/>
      <c r="E2760" s="22" t="str">
        <f>IF(D2760&lt;&gt;"",IFERROR(INDEX(Produtos!$C$4:$C$4996,MATCH(D2760,Produtos!$B$4:$B$4996,0)),"Produto não encontrado"),"")</f>
        <v/>
      </c>
    </row>
    <row r="2761" spans="1:5" x14ac:dyDescent="0.3">
      <c r="A2761" s="21" t="str">
        <f t="shared" si="43"/>
        <v>.</v>
      </c>
      <c r="D2761" s="44"/>
      <c r="E2761" s="22" t="str">
        <f>IF(D2761&lt;&gt;"",IFERROR(INDEX(Produtos!$C$4:$C$4996,MATCH(D2761,Produtos!$B$4:$B$4996,0)),"Produto não encontrado"),"")</f>
        <v/>
      </c>
    </row>
    <row r="2762" spans="1:5" x14ac:dyDescent="0.3">
      <c r="A2762" s="21" t="str">
        <f t="shared" si="43"/>
        <v>.</v>
      </c>
      <c r="D2762" s="44"/>
      <c r="E2762" s="22" t="str">
        <f>IF(D2762&lt;&gt;"",IFERROR(INDEX(Produtos!$C$4:$C$4996,MATCH(D2762,Produtos!$B$4:$B$4996,0)),"Produto não encontrado"),"")</f>
        <v/>
      </c>
    </row>
    <row r="2763" spans="1:5" x14ac:dyDescent="0.3">
      <c r="A2763" s="21" t="str">
        <f t="shared" si="43"/>
        <v>.</v>
      </c>
      <c r="D2763" s="44"/>
      <c r="E2763" s="22" t="str">
        <f>IF(D2763&lt;&gt;"",IFERROR(INDEX(Produtos!$C$4:$C$4996,MATCH(D2763,Produtos!$B$4:$B$4996,0)),"Produto não encontrado"),"")</f>
        <v/>
      </c>
    </row>
    <row r="2764" spans="1:5" x14ac:dyDescent="0.3">
      <c r="A2764" s="21" t="str">
        <f t="shared" si="43"/>
        <v>.</v>
      </c>
      <c r="D2764" s="44"/>
      <c r="E2764" s="22" t="str">
        <f>IF(D2764&lt;&gt;"",IFERROR(INDEX(Produtos!$C$4:$C$4996,MATCH(D2764,Produtos!$B$4:$B$4996,0)),"Produto não encontrado"),"")</f>
        <v/>
      </c>
    </row>
    <row r="2765" spans="1:5" x14ac:dyDescent="0.3">
      <c r="A2765" s="21" t="str">
        <f t="shared" si="43"/>
        <v>.</v>
      </c>
      <c r="D2765" s="44"/>
      <c r="E2765" s="22" t="str">
        <f>IF(D2765&lt;&gt;"",IFERROR(INDEX(Produtos!$C$4:$C$4996,MATCH(D2765,Produtos!$B$4:$B$4996,0)),"Produto não encontrado"),"")</f>
        <v/>
      </c>
    </row>
    <row r="2766" spans="1:5" x14ac:dyDescent="0.3">
      <c r="A2766" s="21" t="str">
        <f t="shared" si="43"/>
        <v>.</v>
      </c>
      <c r="D2766" s="44"/>
      <c r="E2766" s="22" t="str">
        <f>IF(D2766&lt;&gt;"",IFERROR(INDEX(Produtos!$C$4:$C$4996,MATCH(D2766,Produtos!$B$4:$B$4996,0)),"Produto não encontrado"),"")</f>
        <v/>
      </c>
    </row>
    <row r="2767" spans="1:5" x14ac:dyDescent="0.3">
      <c r="A2767" s="21" t="str">
        <f t="shared" si="43"/>
        <v>.</v>
      </c>
      <c r="D2767" s="44"/>
      <c r="E2767" s="22" t="str">
        <f>IF(D2767&lt;&gt;"",IFERROR(INDEX(Produtos!$C$4:$C$4996,MATCH(D2767,Produtos!$B$4:$B$4996,0)),"Produto não encontrado"),"")</f>
        <v/>
      </c>
    </row>
    <row r="2768" spans="1:5" x14ac:dyDescent="0.3">
      <c r="A2768" s="21" t="str">
        <f t="shared" si="43"/>
        <v>.</v>
      </c>
      <c r="D2768" s="44"/>
      <c r="E2768" s="22" t="str">
        <f>IF(D2768&lt;&gt;"",IFERROR(INDEX(Produtos!$C$4:$C$4996,MATCH(D2768,Produtos!$B$4:$B$4996,0)),"Produto não encontrado"),"")</f>
        <v/>
      </c>
    </row>
    <row r="2769" spans="1:5" x14ac:dyDescent="0.3">
      <c r="A2769" s="21" t="str">
        <f t="shared" si="43"/>
        <v>.</v>
      </c>
      <c r="D2769" s="44"/>
      <c r="E2769" s="22" t="str">
        <f>IF(D2769&lt;&gt;"",IFERROR(INDEX(Produtos!$C$4:$C$4996,MATCH(D2769,Produtos!$B$4:$B$4996,0)),"Produto não encontrado"),"")</f>
        <v/>
      </c>
    </row>
    <row r="2770" spans="1:5" x14ac:dyDescent="0.3">
      <c r="A2770" s="21" t="str">
        <f t="shared" si="43"/>
        <v>.</v>
      </c>
      <c r="D2770" s="44"/>
      <c r="E2770" s="22" t="str">
        <f>IF(D2770&lt;&gt;"",IFERROR(INDEX(Produtos!$C$4:$C$4996,MATCH(D2770,Produtos!$B$4:$B$4996,0)),"Produto não encontrado"),"")</f>
        <v/>
      </c>
    </row>
    <row r="2771" spans="1:5" x14ac:dyDescent="0.3">
      <c r="A2771" s="21" t="str">
        <f t="shared" si="43"/>
        <v>.</v>
      </c>
      <c r="D2771" s="44"/>
      <c r="E2771" s="22" t="str">
        <f>IF(D2771&lt;&gt;"",IFERROR(INDEX(Produtos!$C$4:$C$4996,MATCH(D2771,Produtos!$B$4:$B$4996,0)),"Produto não encontrado"),"")</f>
        <v/>
      </c>
    </row>
    <row r="2772" spans="1:5" x14ac:dyDescent="0.3">
      <c r="A2772" s="21" t="str">
        <f t="shared" si="43"/>
        <v>.</v>
      </c>
      <c r="D2772" s="44"/>
      <c r="E2772" s="22" t="str">
        <f>IF(D2772&lt;&gt;"",IFERROR(INDEX(Produtos!$C$4:$C$4996,MATCH(D2772,Produtos!$B$4:$B$4996,0)),"Produto não encontrado"),"")</f>
        <v/>
      </c>
    </row>
    <row r="2773" spans="1:5" x14ac:dyDescent="0.3">
      <c r="A2773" s="21" t="str">
        <f t="shared" si="43"/>
        <v>.</v>
      </c>
      <c r="D2773" s="44"/>
      <c r="E2773" s="22" t="str">
        <f>IF(D2773&lt;&gt;"",IFERROR(INDEX(Produtos!$C$4:$C$4996,MATCH(D2773,Produtos!$B$4:$B$4996,0)),"Produto não encontrado"),"")</f>
        <v/>
      </c>
    </row>
    <row r="2774" spans="1:5" x14ac:dyDescent="0.3">
      <c r="A2774" s="21" t="str">
        <f t="shared" si="43"/>
        <v>.</v>
      </c>
      <c r="D2774" s="44"/>
      <c r="E2774" s="22" t="str">
        <f>IF(D2774&lt;&gt;"",IFERROR(INDEX(Produtos!$C$4:$C$4996,MATCH(D2774,Produtos!$B$4:$B$4996,0)),"Produto não encontrado"),"")</f>
        <v/>
      </c>
    </row>
    <row r="2775" spans="1:5" x14ac:dyDescent="0.3">
      <c r="A2775" s="21" t="str">
        <f t="shared" si="43"/>
        <v>.</v>
      </c>
      <c r="D2775" s="44"/>
      <c r="E2775" s="22" t="str">
        <f>IF(D2775&lt;&gt;"",IFERROR(INDEX(Produtos!$C$4:$C$4996,MATCH(D2775,Produtos!$B$4:$B$4996,0)),"Produto não encontrado"),"")</f>
        <v/>
      </c>
    </row>
    <row r="2776" spans="1:5" x14ac:dyDescent="0.3">
      <c r="A2776" s="21" t="str">
        <f t="shared" si="43"/>
        <v>.</v>
      </c>
      <c r="D2776" s="44"/>
      <c r="E2776" s="22" t="str">
        <f>IF(D2776&lt;&gt;"",IFERROR(INDEX(Produtos!$C$4:$C$4996,MATCH(D2776,Produtos!$B$4:$B$4996,0)),"Produto não encontrado"),"")</f>
        <v/>
      </c>
    </row>
    <row r="2777" spans="1:5" x14ac:dyDescent="0.3">
      <c r="A2777" s="21" t="str">
        <f t="shared" si="43"/>
        <v>.</v>
      </c>
      <c r="D2777" s="44"/>
      <c r="E2777" s="22" t="str">
        <f>IF(D2777&lt;&gt;"",IFERROR(INDEX(Produtos!$C$4:$C$4996,MATCH(D2777,Produtos!$B$4:$B$4996,0)),"Produto não encontrado"),"")</f>
        <v/>
      </c>
    </row>
    <row r="2778" spans="1:5" x14ac:dyDescent="0.3">
      <c r="A2778" s="21" t="str">
        <f t="shared" si="43"/>
        <v>.</v>
      </c>
      <c r="D2778" s="44"/>
      <c r="E2778" s="22" t="str">
        <f>IF(D2778&lt;&gt;"",IFERROR(INDEX(Produtos!$C$4:$C$4996,MATCH(D2778,Produtos!$B$4:$B$4996,0)),"Produto não encontrado"),"")</f>
        <v/>
      </c>
    </row>
    <row r="2779" spans="1:5" x14ac:dyDescent="0.3">
      <c r="A2779" s="21" t="str">
        <f t="shared" si="43"/>
        <v>.</v>
      </c>
      <c r="D2779" s="44"/>
      <c r="E2779" s="22" t="str">
        <f>IF(D2779&lt;&gt;"",IFERROR(INDEX(Produtos!$C$4:$C$4996,MATCH(D2779,Produtos!$B$4:$B$4996,0)),"Produto não encontrado"),"")</f>
        <v/>
      </c>
    </row>
    <row r="2780" spans="1:5" x14ac:dyDescent="0.3">
      <c r="A2780" s="21" t="str">
        <f t="shared" si="43"/>
        <v>.</v>
      </c>
      <c r="D2780" s="44"/>
      <c r="E2780" s="22" t="str">
        <f>IF(D2780&lt;&gt;"",IFERROR(INDEX(Produtos!$C$4:$C$4996,MATCH(D2780,Produtos!$B$4:$B$4996,0)),"Produto não encontrado"),"")</f>
        <v/>
      </c>
    </row>
    <row r="2781" spans="1:5" x14ac:dyDescent="0.3">
      <c r="A2781" s="21" t="str">
        <f t="shared" si="43"/>
        <v>.</v>
      </c>
      <c r="D2781" s="44"/>
      <c r="E2781" s="22" t="str">
        <f>IF(D2781&lt;&gt;"",IFERROR(INDEX(Produtos!$C$4:$C$4996,MATCH(D2781,Produtos!$B$4:$B$4996,0)),"Produto não encontrado"),"")</f>
        <v/>
      </c>
    </row>
    <row r="2782" spans="1:5" x14ac:dyDescent="0.3">
      <c r="A2782" s="21" t="str">
        <f t="shared" si="43"/>
        <v>.</v>
      </c>
      <c r="D2782" s="44"/>
      <c r="E2782" s="22" t="str">
        <f>IF(D2782&lt;&gt;"",IFERROR(INDEX(Produtos!$C$4:$C$4996,MATCH(D2782,Produtos!$B$4:$B$4996,0)),"Produto não encontrado"),"")</f>
        <v/>
      </c>
    </row>
    <row r="2783" spans="1:5" x14ac:dyDescent="0.3">
      <c r="A2783" s="21" t="str">
        <f t="shared" si="43"/>
        <v>.</v>
      </c>
      <c r="D2783" s="44"/>
      <c r="E2783" s="22" t="str">
        <f>IF(D2783&lt;&gt;"",IFERROR(INDEX(Produtos!$C$4:$C$4996,MATCH(D2783,Produtos!$B$4:$B$4996,0)),"Produto não encontrado"),"")</f>
        <v/>
      </c>
    </row>
    <row r="2784" spans="1:5" x14ac:dyDescent="0.3">
      <c r="A2784" s="21" t="str">
        <f t="shared" si="43"/>
        <v>.</v>
      </c>
      <c r="D2784" s="44"/>
      <c r="E2784" s="22" t="str">
        <f>IF(D2784&lt;&gt;"",IFERROR(INDEX(Produtos!$C$4:$C$4996,MATCH(D2784,Produtos!$B$4:$B$4996,0)),"Produto não encontrado"),"")</f>
        <v/>
      </c>
    </row>
    <row r="2785" spans="1:5" x14ac:dyDescent="0.3">
      <c r="A2785" s="21" t="str">
        <f t="shared" si="43"/>
        <v>.</v>
      </c>
      <c r="D2785" s="44"/>
      <c r="E2785" s="22" t="str">
        <f>IF(D2785&lt;&gt;"",IFERROR(INDEX(Produtos!$C$4:$C$4996,MATCH(D2785,Produtos!$B$4:$B$4996,0)),"Produto não encontrado"),"")</f>
        <v/>
      </c>
    </row>
    <row r="2786" spans="1:5" x14ac:dyDescent="0.3">
      <c r="A2786" s="21" t="str">
        <f t="shared" si="43"/>
        <v>.</v>
      </c>
      <c r="D2786" s="44"/>
      <c r="E2786" s="22" t="str">
        <f>IF(D2786&lt;&gt;"",IFERROR(INDEX(Produtos!$C$4:$C$4996,MATCH(D2786,Produtos!$B$4:$B$4996,0)),"Produto não encontrado"),"")</f>
        <v/>
      </c>
    </row>
    <row r="2787" spans="1:5" x14ac:dyDescent="0.3">
      <c r="A2787" s="21" t="str">
        <f t="shared" si="43"/>
        <v>.</v>
      </c>
      <c r="D2787" s="44"/>
      <c r="E2787" s="22" t="str">
        <f>IF(D2787&lt;&gt;"",IFERROR(INDEX(Produtos!$C$4:$C$4996,MATCH(D2787,Produtos!$B$4:$B$4996,0)),"Produto não encontrado"),"")</f>
        <v/>
      </c>
    </row>
    <row r="2788" spans="1:5" x14ac:dyDescent="0.3">
      <c r="A2788" s="21" t="str">
        <f t="shared" si="43"/>
        <v>.</v>
      </c>
      <c r="D2788" s="44"/>
      <c r="E2788" s="22" t="str">
        <f>IF(D2788&lt;&gt;"",IFERROR(INDEX(Produtos!$C$4:$C$4996,MATCH(D2788,Produtos!$B$4:$B$4996,0)),"Produto não encontrado"),"")</f>
        <v/>
      </c>
    </row>
    <row r="2789" spans="1:5" x14ac:dyDescent="0.3">
      <c r="A2789" s="21" t="str">
        <f t="shared" si="43"/>
        <v>.</v>
      </c>
      <c r="D2789" s="44"/>
      <c r="E2789" s="22" t="str">
        <f>IF(D2789&lt;&gt;"",IFERROR(INDEX(Produtos!$C$4:$C$4996,MATCH(D2789,Produtos!$B$4:$B$4996,0)),"Produto não encontrado"),"")</f>
        <v/>
      </c>
    </row>
    <row r="2790" spans="1:5" x14ac:dyDescent="0.3">
      <c r="A2790" s="21" t="str">
        <f t="shared" si="43"/>
        <v>.</v>
      </c>
      <c r="D2790" s="44"/>
      <c r="E2790" s="22" t="str">
        <f>IF(D2790&lt;&gt;"",IFERROR(INDEX(Produtos!$C$4:$C$4996,MATCH(D2790,Produtos!$B$4:$B$4996,0)),"Produto não encontrado"),"")</f>
        <v/>
      </c>
    </row>
    <row r="2791" spans="1:5" x14ac:dyDescent="0.3">
      <c r="A2791" s="21" t="str">
        <f t="shared" si="43"/>
        <v>.</v>
      </c>
      <c r="D2791" s="44"/>
      <c r="E2791" s="22" t="str">
        <f>IF(D2791&lt;&gt;"",IFERROR(INDEX(Produtos!$C$4:$C$4996,MATCH(D2791,Produtos!$B$4:$B$4996,0)),"Produto não encontrado"),"")</f>
        <v/>
      </c>
    </row>
    <row r="2792" spans="1:5" x14ac:dyDescent="0.3">
      <c r="A2792" s="21" t="str">
        <f t="shared" si="43"/>
        <v>.</v>
      </c>
      <c r="D2792" s="44"/>
      <c r="E2792" s="22" t="str">
        <f>IF(D2792&lt;&gt;"",IFERROR(INDEX(Produtos!$C$4:$C$4996,MATCH(D2792,Produtos!$B$4:$B$4996,0)),"Produto não encontrado"),"")</f>
        <v/>
      </c>
    </row>
    <row r="2793" spans="1:5" x14ac:dyDescent="0.3">
      <c r="A2793" s="21" t="str">
        <f t="shared" si="43"/>
        <v>.</v>
      </c>
      <c r="D2793" s="44"/>
      <c r="E2793" s="22" t="str">
        <f>IF(D2793&lt;&gt;"",IFERROR(INDEX(Produtos!$C$4:$C$4996,MATCH(D2793,Produtos!$B$4:$B$4996,0)),"Produto não encontrado"),"")</f>
        <v/>
      </c>
    </row>
    <row r="2794" spans="1:5" x14ac:dyDescent="0.3">
      <c r="A2794" s="21" t="str">
        <f t="shared" si="43"/>
        <v>.</v>
      </c>
      <c r="D2794" s="44"/>
      <c r="E2794" s="22" t="str">
        <f>IF(D2794&lt;&gt;"",IFERROR(INDEX(Produtos!$C$4:$C$4996,MATCH(D2794,Produtos!$B$4:$B$4996,0)),"Produto não encontrado"),"")</f>
        <v/>
      </c>
    </row>
    <row r="2795" spans="1:5" x14ac:dyDescent="0.3">
      <c r="A2795" s="21" t="str">
        <f t="shared" si="43"/>
        <v>.</v>
      </c>
      <c r="D2795" s="44"/>
      <c r="E2795" s="22" t="str">
        <f>IF(D2795&lt;&gt;"",IFERROR(INDEX(Produtos!$C$4:$C$4996,MATCH(D2795,Produtos!$B$4:$B$4996,0)),"Produto não encontrado"),"")</f>
        <v/>
      </c>
    </row>
    <row r="2796" spans="1:5" x14ac:dyDescent="0.3">
      <c r="A2796" s="21" t="str">
        <f t="shared" si="43"/>
        <v>.</v>
      </c>
      <c r="D2796" s="44"/>
      <c r="E2796" s="22" t="str">
        <f>IF(D2796&lt;&gt;"",IFERROR(INDEX(Produtos!$C$4:$C$4996,MATCH(D2796,Produtos!$B$4:$B$4996,0)),"Produto não encontrado"),"")</f>
        <v/>
      </c>
    </row>
    <row r="2797" spans="1:5" x14ac:dyDescent="0.3">
      <c r="A2797" s="21" t="str">
        <f t="shared" si="43"/>
        <v>.</v>
      </c>
      <c r="D2797" s="44"/>
      <c r="E2797" s="22" t="str">
        <f>IF(D2797&lt;&gt;"",IFERROR(INDEX(Produtos!$C$4:$C$4996,MATCH(D2797,Produtos!$B$4:$B$4996,0)),"Produto não encontrado"),"")</f>
        <v/>
      </c>
    </row>
    <row r="2798" spans="1:5" x14ac:dyDescent="0.3">
      <c r="A2798" s="21" t="str">
        <f t="shared" si="43"/>
        <v>.</v>
      </c>
      <c r="D2798" s="44"/>
      <c r="E2798" s="22" t="str">
        <f>IF(D2798&lt;&gt;"",IFERROR(INDEX(Produtos!$C$4:$C$4996,MATCH(D2798,Produtos!$B$4:$B$4996,0)),"Produto não encontrado"),"")</f>
        <v/>
      </c>
    </row>
    <row r="2799" spans="1:5" x14ac:dyDescent="0.3">
      <c r="A2799" s="21" t="str">
        <f t="shared" si="43"/>
        <v>.</v>
      </c>
      <c r="D2799" s="44"/>
      <c r="E2799" s="22" t="str">
        <f>IF(D2799&lt;&gt;"",IFERROR(INDEX(Produtos!$C$4:$C$4996,MATCH(D2799,Produtos!$B$4:$B$4996,0)),"Produto não encontrado"),"")</f>
        <v/>
      </c>
    </row>
    <row r="2800" spans="1:5" x14ac:dyDescent="0.3">
      <c r="A2800" s="21" t="str">
        <f t="shared" si="43"/>
        <v>.</v>
      </c>
      <c r="D2800" s="44"/>
      <c r="E2800" s="22" t="str">
        <f>IF(D2800&lt;&gt;"",IFERROR(INDEX(Produtos!$C$4:$C$4996,MATCH(D2800,Produtos!$B$4:$B$4996,0)),"Produto não encontrado"),"")</f>
        <v/>
      </c>
    </row>
    <row r="2801" spans="1:5" x14ac:dyDescent="0.3">
      <c r="A2801" s="21" t="str">
        <f t="shared" si="43"/>
        <v>.</v>
      </c>
      <c r="D2801" s="44"/>
      <c r="E2801" s="22" t="str">
        <f>IF(D2801&lt;&gt;"",IFERROR(INDEX(Produtos!$C$4:$C$4996,MATCH(D2801,Produtos!$B$4:$B$4996,0)),"Produto não encontrado"),"")</f>
        <v/>
      </c>
    </row>
    <row r="2802" spans="1:5" x14ac:dyDescent="0.3">
      <c r="A2802" s="21" t="str">
        <f t="shared" si="43"/>
        <v>.</v>
      </c>
      <c r="D2802" s="44"/>
      <c r="E2802" s="22" t="str">
        <f>IF(D2802&lt;&gt;"",IFERROR(INDEX(Produtos!$C$4:$C$4996,MATCH(D2802,Produtos!$B$4:$B$4996,0)),"Produto não encontrado"),"")</f>
        <v/>
      </c>
    </row>
    <row r="2803" spans="1:5" x14ac:dyDescent="0.3">
      <c r="A2803" s="21" t="str">
        <f t="shared" si="43"/>
        <v>.</v>
      </c>
      <c r="D2803" s="44"/>
      <c r="E2803" s="22" t="str">
        <f>IF(D2803&lt;&gt;"",IFERROR(INDEX(Produtos!$C$4:$C$4996,MATCH(D2803,Produtos!$B$4:$B$4996,0)),"Produto não encontrado"),"")</f>
        <v/>
      </c>
    </row>
    <row r="2804" spans="1:5" x14ac:dyDescent="0.3">
      <c r="A2804" s="21" t="str">
        <f t="shared" si="43"/>
        <v>.</v>
      </c>
      <c r="D2804" s="44"/>
      <c r="E2804" s="22" t="str">
        <f>IF(D2804&lt;&gt;"",IFERROR(INDEX(Produtos!$C$4:$C$4996,MATCH(D2804,Produtos!$B$4:$B$4996,0)),"Produto não encontrado"),"")</f>
        <v/>
      </c>
    </row>
    <row r="2805" spans="1:5" x14ac:dyDescent="0.3">
      <c r="A2805" s="21" t="str">
        <f t="shared" si="43"/>
        <v>.</v>
      </c>
      <c r="D2805" s="44"/>
      <c r="E2805" s="22" t="str">
        <f>IF(D2805&lt;&gt;"",IFERROR(INDEX(Produtos!$C$4:$C$4996,MATCH(D2805,Produtos!$B$4:$B$4996,0)),"Produto não encontrado"),"")</f>
        <v/>
      </c>
    </row>
    <row r="2806" spans="1:5" x14ac:dyDescent="0.3">
      <c r="A2806" s="21" t="str">
        <f t="shared" si="43"/>
        <v>.</v>
      </c>
      <c r="D2806" s="44"/>
      <c r="E2806" s="22" t="str">
        <f>IF(D2806&lt;&gt;"",IFERROR(INDEX(Produtos!$C$4:$C$4996,MATCH(D2806,Produtos!$B$4:$B$4996,0)),"Produto não encontrado"),"")</f>
        <v/>
      </c>
    </row>
    <row r="2807" spans="1:5" x14ac:dyDescent="0.3">
      <c r="A2807" s="21" t="str">
        <f t="shared" si="43"/>
        <v>.</v>
      </c>
      <c r="D2807" s="44"/>
      <c r="E2807" s="22" t="str">
        <f>IF(D2807&lt;&gt;"",IFERROR(INDEX(Produtos!$C$4:$C$4996,MATCH(D2807,Produtos!$B$4:$B$4996,0)),"Produto não encontrado"),"")</f>
        <v/>
      </c>
    </row>
    <row r="2808" spans="1:5" x14ac:dyDescent="0.3">
      <c r="A2808" s="21" t="str">
        <f t="shared" si="43"/>
        <v>.</v>
      </c>
      <c r="D2808" s="44"/>
      <c r="E2808" s="22" t="str">
        <f>IF(D2808&lt;&gt;"",IFERROR(INDEX(Produtos!$C$4:$C$4996,MATCH(D2808,Produtos!$B$4:$B$4996,0)),"Produto não encontrado"),"")</f>
        <v/>
      </c>
    </row>
    <row r="2809" spans="1:5" x14ac:dyDescent="0.3">
      <c r="A2809" s="21" t="str">
        <f t="shared" si="43"/>
        <v>.</v>
      </c>
      <c r="D2809" s="44"/>
      <c r="E2809" s="22" t="str">
        <f>IF(D2809&lt;&gt;"",IFERROR(INDEX(Produtos!$C$4:$C$4996,MATCH(D2809,Produtos!$B$4:$B$4996,0)),"Produto não encontrado"),"")</f>
        <v/>
      </c>
    </row>
    <row r="2810" spans="1:5" x14ac:dyDescent="0.3">
      <c r="A2810" s="21" t="str">
        <f t="shared" si="43"/>
        <v>.</v>
      </c>
      <c r="D2810" s="44"/>
      <c r="E2810" s="22" t="str">
        <f>IF(D2810&lt;&gt;"",IFERROR(INDEX(Produtos!$C$4:$C$4996,MATCH(D2810,Produtos!$B$4:$B$4996,0)),"Produto não encontrado"),"")</f>
        <v/>
      </c>
    </row>
    <row r="2811" spans="1:5" x14ac:dyDescent="0.3">
      <c r="A2811" s="21" t="str">
        <f t="shared" si="43"/>
        <v>.</v>
      </c>
      <c r="D2811" s="44"/>
      <c r="E2811" s="22" t="str">
        <f>IF(D2811&lt;&gt;"",IFERROR(INDEX(Produtos!$C$4:$C$4996,MATCH(D2811,Produtos!$B$4:$B$4996,0)),"Produto não encontrado"),"")</f>
        <v/>
      </c>
    </row>
    <row r="2812" spans="1:5" x14ac:dyDescent="0.3">
      <c r="A2812" s="21" t="str">
        <f t="shared" si="43"/>
        <v>.</v>
      </c>
      <c r="D2812" s="44"/>
      <c r="E2812" s="22" t="str">
        <f>IF(D2812&lt;&gt;"",IFERROR(INDEX(Produtos!$C$4:$C$4996,MATCH(D2812,Produtos!$B$4:$B$4996,0)),"Produto não encontrado"),"")</f>
        <v/>
      </c>
    </row>
    <row r="2813" spans="1:5" x14ac:dyDescent="0.3">
      <c r="A2813" s="21" t="str">
        <f t="shared" si="43"/>
        <v>.</v>
      </c>
      <c r="D2813" s="44"/>
      <c r="E2813" s="22" t="str">
        <f>IF(D2813&lt;&gt;"",IFERROR(INDEX(Produtos!$C$4:$C$4996,MATCH(D2813,Produtos!$B$4:$B$4996,0)),"Produto não encontrado"),"")</f>
        <v/>
      </c>
    </row>
    <row r="2814" spans="1:5" x14ac:dyDescent="0.3">
      <c r="A2814" s="21" t="str">
        <f t="shared" si="43"/>
        <v>.</v>
      </c>
      <c r="D2814" s="44"/>
      <c r="E2814" s="22" t="str">
        <f>IF(D2814&lt;&gt;"",IFERROR(INDEX(Produtos!$C$4:$C$4996,MATCH(D2814,Produtos!$B$4:$B$4996,0)),"Produto não encontrado"),"")</f>
        <v/>
      </c>
    </row>
    <row r="2815" spans="1:5" x14ac:dyDescent="0.3">
      <c r="A2815" s="21" t="str">
        <f t="shared" si="43"/>
        <v>.</v>
      </c>
      <c r="D2815" s="44"/>
      <c r="E2815" s="22" t="str">
        <f>IF(D2815&lt;&gt;"",IFERROR(INDEX(Produtos!$C$4:$C$4996,MATCH(D2815,Produtos!$B$4:$B$4996,0)),"Produto não encontrado"),"")</f>
        <v/>
      </c>
    </row>
    <row r="2816" spans="1:5" x14ac:dyDescent="0.3">
      <c r="A2816" s="21" t="str">
        <f t="shared" ref="A2816:A2879" si="44">IF(C2816="Entrada",2,IF(C2816="Saída",1,"."))</f>
        <v>.</v>
      </c>
      <c r="D2816" s="44"/>
      <c r="E2816" s="22" t="str">
        <f>IF(D2816&lt;&gt;"",IFERROR(INDEX(Produtos!$C$4:$C$4996,MATCH(D2816,Produtos!$B$4:$B$4996,0)),"Produto não encontrado"),"")</f>
        <v/>
      </c>
    </row>
    <row r="2817" spans="1:5" x14ac:dyDescent="0.3">
      <c r="A2817" s="21" t="str">
        <f t="shared" si="44"/>
        <v>.</v>
      </c>
      <c r="D2817" s="44"/>
      <c r="E2817" s="22" t="str">
        <f>IF(D2817&lt;&gt;"",IFERROR(INDEX(Produtos!$C$4:$C$4996,MATCH(D2817,Produtos!$B$4:$B$4996,0)),"Produto não encontrado"),"")</f>
        <v/>
      </c>
    </row>
    <row r="2818" spans="1:5" x14ac:dyDescent="0.3">
      <c r="A2818" s="21" t="str">
        <f t="shared" si="44"/>
        <v>.</v>
      </c>
      <c r="D2818" s="44"/>
      <c r="E2818" s="22" t="str">
        <f>IF(D2818&lt;&gt;"",IFERROR(INDEX(Produtos!$C$4:$C$4996,MATCH(D2818,Produtos!$B$4:$B$4996,0)),"Produto não encontrado"),"")</f>
        <v/>
      </c>
    </row>
    <row r="2819" spans="1:5" x14ac:dyDescent="0.3">
      <c r="A2819" s="21" t="str">
        <f t="shared" si="44"/>
        <v>.</v>
      </c>
      <c r="D2819" s="44"/>
      <c r="E2819" s="22" t="str">
        <f>IF(D2819&lt;&gt;"",IFERROR(INDEX(Produtos!$C$4:$C$4996,MATCH(D2819,Produtos!$B$4:$B$4996,0)),"Produto não encontrado"),"")</f>
        <v/>
      </c>
    </row>
    <row r="2820" spans="1:5" x14ac:dyDescent="0.3">
      <c r="A2820" s="21" t="str">
        <f t="shared" si="44"/>
        <v>.</v>
      </c>
      <c r="D2820" s="44"/>
      <c r="E2820" s="22" t="str">
        <f>IF(D2820&lt;&gt;"",IFERROR(INDEX(Produtos!$C$4:$C$4996,MATCH(D2820,Produtos!$B$4:$B$4996,0)),"Produto não encontrado"),"")</f>
        <v/>
      </c>
    </row>
    <row r="2821" spans="1:5" x14ac:dyDescent="0.3">
      <c r="A2821" s="21" t="str">
        <f t="shared" si="44"/>
        <v>.</v>
      </c>
      <c r="D2821" s="44"/>
      <c r="E2821" s="22" t="str">
        <f>IF(D2821&lt;&gt;"",IFERROR(INDEX(Produtos!$C$4:$C$4996,MATCH(D2821,Produtos!$B$4:$B$4996,0)),"Produto não encontrado"),"")</f>
        <v/>
      </c>
    </row>
    <row r="2822" spans="1:5" x14ac:dyDescent="0.3">
      <c r="A2822" s="21" t="str">
        <f t="shared" si="44"/>
        <v>.</v>
      </c>
      <c r="D2822" s="44"/>
      <c r="E2822" s="22" t="str">
        <f>IF(D2822&lt;&gt;"",IFERROR(INDEX(Produtos!$C$4:$C$4996,MATCH(D2822,Produtos!$B$4:$B$4996,0)),"Produto não encontrado"),"")</f>
        <v/>
      </c>
    </row>
    <row r="2823" spans="1:5" x14ac:dyDescent="0.3">
      <c r="A2823" s="21" t="str">
        <f t="shared" si="44"/>
        <v>.</v>
      </c>
      <c r="D2823" s="44"/>
      <c r="E2823" s="22" t="str">
        <f>IF(D2823&lt;&gt;"",IFERROR(INDEX(Produtos!$C$4:$C$4996,MATCH(D2823,Produtos!$B$4:$B$4996,0)),"Produto não encontrado"),"")</f>
        <v/>
      </c>
    </row>
    <row r="2824" spans="1:5" x14ac:dyDescent="0.3">
      <c r="A2824" s="21" t="str">
        <f t="shared" si="44"/>
        <v>.</v>
      </c>
      <c r="D2824" s="44"/>
      <c r="E2824" s="22" t="str">
        <f>IF(D2824&lt;&gt;"",IFERROR(INDEX(Produtos!$C$4:$C$4996,MATCH(D2824,Produtos!$B$4:$B$4996,0)),"Produto não encontrado"),"")</f>
        <v/>
      </c>
    </row>
    <row r="2825" spans="1:5" x14ac:dyDescent="0.3">
      <c r="A2825" s="21" t="str">
        <f t="shared" si="44"/>
        <v>.</v>
      </c>
      <c r="D2825" s="44"/>
      <c r="E2825" s="22" t="str">
        <f>IF(D2825&lt;&gt;"",IFERROR(INDEX(Produtos!$C$4:$C$4996,MATCH(D2825,Produtos!$B$4:$B$4996,0)),"Produto não encontrado"),"")</f>
        <v/>
      </c>
    </row>
    <row r="2826" spans="1:5" x14ac:dyDescent="0.3">
      <c r="A2826" s="21" t="str">
        <f t="shared" si="44"/>
        <v>.</v>
      </c>
      <c r="D2826" s="44"/>
      <c r="E2826" s="22" t="str">
        <f>IF(D2826&lt;&gt;"",IFERROR(INDEX(Produtos!$C$4:$C$4996,MATCH(D2826,Produtos!$B$4:$B$4996,0)),"Produto não encontrado"),"")</f>
        <v/>
      </c>
    </row>
    <row r="2827" spans="1:5" x14ac:dyDescent="0.3">
      <c r="A2827" s="21" t="str">
        <f t="shared" si="44"/>
        <v>.</v>
      </c>
      <c r="D2827" s="44"/>
      <c r="E2827" s="22" t="str">
        <f>IF(D2827&lt;&gt;"",IFERROR(INDEX(Produtos!$C$4:$C$4996,MATCH(D2827,Produtos!$B$4:$B$4996,0)),"Produto não encontrado"),"")</f>
        <v/>
      </c>
    </row>
    <row r="2828" spans="1:5" x14ac:dyDescent="0.3">
      <c r="A2828" s="21" t="str">
        <f t="shared" si="44"/>
        <v>.</v>
      </c>
      <c r="D2828" s="44"/>
      <c r="E2828" s="22" t="str">
        <f>IF(D2828&lt;&gt;"",IFERROR(INDEX(Produtos!$C$4:$C$4996,MATCH(D2828,Produtos!$B$4:$B$4996,0)),"Produto não encontrado"),"")</f>
        <v/>
      </c>
    </row>
    <row r="2829" spans="1:5" x14ac:dyDescent="0.3">
      <c r="A2829" s="21" t="str">
        <f t="shared" si="44"/>
        <v>.</v>
      </c>
      <c r="D2829" s="44"/>
      <c r="E2829" s="22" t="str">
        <f>IF(D2829&lt;&gt;"",IFERROR(INDEX(Produtos!$C$4:$C$4996,MATCH(D2829,Produtos!$B$4:$B$4996,0)),"Produto não encontrado"),"")</f>
        <v/>
      </c>
    </row>
    <row r="2830" spans="1:5" x14ac:dyDescent="0.3">
      <c r="A2830" s="21" t="str">
        <f t="shared" si="44"/>
        <v>.</v>
      </c>
      <c r="D2830" s="44"/>
      <c r="E2830" s="22" t="str">
        <f>IF(D2830&lt;&gt;"",IFERROR(INDEX(Produtos!$C$4:$C$4996,MATCH(D2830,Produtos!$B$4:$B$4996,0)),"Produto não encontrado"),"")</f>
        <v/>
      </c>
    </row>
    <row r="2831" spans="1:5" x14ac:dyDescent="0.3">
      <c r="A2831" s="21" t="str">
        <f t="shared" si="44"/>
        <v>.</v>
      </c>
      <c r="D2831" s="44"/>
      <c r="E2831" s="22" t="str">
        <f>IF(D2831&lt;&gt;"",IFERROR(INDEX(Produtos!$C$4:$C$4996,MATCH(D2831,Produtos!$B$4:$B$4996,0)),"Produto não encontrado"),"")</f>
        <v/>
      </c>
    </row>
    <row r="2832" spans="1:5" x14ac:dyDescent="0.3">
      <c r="A2832" s="21" t="str">
        <f t="shared" si="44"/>
        <v>.</v>
      </c>
      <c r="D2832" s="44"/>
      <c r="E2832" s="22" t="str">
        <f>IF(D2832&lt;&gt;"",IFERROR(INDEX(Produtos!$C$4:$C$4996,MATCH(D2832,Produtos!$B$4:$B$4996,0)),"Produto não encontrado"),"")</f>
        <v/>
      </c>
    </row>
    <row r="2833" spans="1:5" x14ac:dyDescent="0.3">
      <c r="A2833" s="21" t="str">
        <f t="shared" si="44"/>
        <v>.</v>
      </c>
      <c r="D2833" s="44"/>
      <c r="E2833" s="22" t="str">
        <f>IF(D2833&lt;&gt;"",IFERROR(INDEX(Produtos!$C$4:$C$4996,MATCH(D2833,Produtos!$B$4:$B$4996,0)),"Produto não encontrado"),"")</f>
        <v/>
      </c>
    </row>
    <row r="2834" spans="1:5" x14ac:dyDescent="0.3">
      <c r="A2834" s="21" t="str">
        <f t="shared" si="44"/>
        <v>.</v>
      </c>
      <c r="D2834" s="44"/>
      <c r="E2834" s="22" t="str">
        <f>IF(D2834&lt;&gt;"",IFERROR(INDEX(Produtos!$C$4:$C$4996,MATCH(D2834,Produtos!$B$4:$B$4996,0)),"Produto não encontrado"),"")</f>
        <v/>
      </c>
    </row>
    <row r="2835" spans="1:5" x14ac:dyDescent="0.3">
      <c r="A2835" s="21" t="str">
        <f t="shared" si="44"/>
        <v>.</v>
      </c>
      <c r="D2835" s="44"/>
      <c r="E2835" s="22" t="str">
        <f>IF(D2835&lt;&gt;"",IFERROR(INDEX(Produtos!$C$4:$C$4996,MATCH(D2835,Produtos!$B$4:$B$4996,0)),"Produto não encontrado"),"")</f>
        <v/>
      </c>
    </row>
    <row r="2836" spans="1:5" x14ac:dyDescent="0.3">
      <c r="A2836" s="21" t="str">
        <f t="shared" si="44"/>
        <v>.</v>
      </c>
      <c r="D2836" s="44"/>
      <c r="E2836" s="22" t="str">
        <f>IF(D2836&lt;&gt;"",IFERROR(INDEX(Produtos!$C$4:$C$4996,MATCH(D2836,Produtos!$B$4:$B$4996,0)),"Produto não encontrado"),"")</f>
        <v/>
      </c>
    </row>
    <row r="2837" spans="1:5" x14ac:dyDescent="0.3">
      <c r="A2837" s="21" t="str">
        <f t="shared" si="44"/>
        <v>.</v>
      </c>
      <c r="D2837" s="44"/>
      <c r="E2837" s="22" t="str">
        <f>IF(D2837&lt;&gt;"",IFERROR(INDEX(Produtos!$C$4:$C$4996,MATCH(D2837,Produtos!$B$4:$B$4996,0)),"Produto não encontrado"),"")</f>
        <v/>
      </c>
    </row>
    <row r="2838" spans="1:5" x14ac:dyDescent="0.3">
      <c r="A2838" s="21" t="str">
        <f t="shared" si="44"/>
        <v>.</v>
      </c>
      <c r="D2838" s="44"/>
      <c r="E2838" s="22" t="str">
        <f>IF(D2838&lt;&gt;"",IFERROR(INDEX(Produtos!$C$4:$C$4996,MATCH(D2838,Produtos!$B$4:$B$4996,0)),"Produto não encontrado"),"")</f>
        <v/>
      </c>
    </row>
    <row r="2839" spans="1:5" x14ac:dyDescent="0.3">
      <c r="A2839" s="21" t="str">
        <f t="shared" si="44"/>
        <v>.</v>
      </c>
      <c r="D2839" s="44"/>
      <c r="E2839" s="22" t="str">
        <f>IF(D2839&lt;&gt;"",IFERROR(INDEX(Produtos!$C$4:$C$4996,MATCH(D2839,Produtos!$B$4:$B$4996,0)),"Produto não encontrado"),"")</f>
        <v/>
      </c>
    </row>
    <row r="2840" spans="1:5" x14ac:dyDescent="0.3">
      <c r="A2840" s="21" t="str">
        <f t="shared" si="44"/>
        <v>.</v>
      </c>
      <c r="D2840" s="44"/>
      <c r="E2840" s="22" t="str">
        <f>IF(D2840&lt;&gt;"",IFERROR(INDEX(Produtos!$C$4:$C$4996,MATCH(D2840,Produtos!$B$4:$B$4996,0)),"Produto não encontrado"),"")</f>
        <v/>
      </c>
    </row>
    <row r="2841" spans="1:5" x14ac:dyDescent="0.3">
      <c r="A2841" s="21" t="str">
        <f t="shared" si="44"/>
        <v>.</v>
      </c>
      <c r="D2841" s="44"/>
      <c r="E2841" s="22" t="str">
        <f>IF(D2841&lt;&gt;"",IFERROR(INDEX(Produtos!$C$4:$C$4996,MATCH(D2841,Produtos!$B$4:$B$4996,0)),"Produto não encontrado"),"")</f>
        <v/>
      </c>
    </row>
    <row r="2842" spans="1:5" x14ac:dyDescent="0.3">
      <c r="A2842" s="21" t="str">
        <f t="shared" si="44"/>
        <v>.</v>
      </c>
      <c r="D2842" s="44"/>
      <c r="E2842" s="22" t="str">
        <f>IF(D2842&lt;&gt;"",IFERROR(INDEX(Produtos!$C$4:$C$4996,MATCH(D2842,Produtos!$B$4:$B$4996,0)),"Produto não encontrado"),"")</f>
        <v/>
      </c>
    </row>
    <row r="2843" spans="1:5" x14ac:dyDescent="0.3">
      <c r="A2843" s="21" t="str">
        <f t="shared" si="44"/>
        <v>.</v>
      </c>
      <c r="D2843" s="44"/>
      <c r="E2843" s="22" t="str">
        <f>IF(D2843&lt;&gt;"",IFERROR(INDEX(Produtos!$C$4:$C$4996,MATCH(D2843,Produtos!$B$4:$B$4996,0)),"Produto não encontrado"),"")</f>
        <v/>
      </c>
    </row>
    <row r="2844" spans="1:5" x14ac:dyDescent="0.3">
      <c r="A2844" s="21" t="str">
        <f t="shared" si="44"/>
        <v>.</v>
      </c>
      <c r="D2844" s="44"/>
      <c r="E2844" s="22" t="str">
        <f>IF(D2844&lt;&gt;"",IFERROR(INDEX(Produtos!$C$4:$C$4996,MATCH(D2844,Produtos!$B$4:$B$4996,0)),"Produto não encontrado"),"")</f>
        <v/>
      </c>
    </row>
    <row r="2845" spans="1:5" x14ac:dyDescent="0.3">
      <c r="A2845" s="21" t="str">
        <f t="shared" si="44"/>
        <v>.</v>
      </c>
      <c r="D2845" s="44"/>
      <c r="E2845" s="22" t="str">
        <f>IF(D2845&lt;&gt;"",IFERROR(INDEX(Produtos!$C$4:$C$4996,MATCH(D2845,Produtos!$B$4:$B$4996,0)),"Produto não encontrado"),"")</f>
        <v/>
      </c>
    </row>
    <row r="2846" spans="1:5" x14ac:dyDescent="0.3">
      <c r="A2846" s="21" t="str">
        <f t="shared" si="44"/>
        <v>.</v>
      </c>
      <c r="D2846" s="44"/>
      <c r="E2846" s="22" t="str">
        <f>IF(D2846&lt;&gt;"",IFERROR(INDEX(Produtos!$C$4:$C$4996,MATCH(D2846,Produtos!$B$4:$B$4996,0)),"Produto não encontrado"),"")</f>
        <v/>
      </c>
    </row>
    <row r="2847" spans="1:5" x14ac:dyDescent="0.3">
      <c r="A2847" s="21" t="str">
        <f t="shared" si="44"/>
        <v>.</v>
      </c>
      <c r="D2847" s="44"/>
      <c r="E2847" s="22" t="str">
        <f>IF(D2847&lt;&gt;"",IFERROR(INDEX(Produtos!$C$4:$C$4996,MATCH(D2847,Produtos!$B$4:$B$4996,0)),"Produto não encontrado"),"")</f>
        <v/>
      </c>
    </row>
    <row r="2848" spans="1:5" x14ac:dyDescent="0.3">
      <c r="A2848" s="21" t="str">
        <f t="shared" si="44"/>
        <v>.</v>
      </c>
      <c r="D2848" s="44"/>
      <c r="E2848" s="22" t="str">
        <f>IF(D2848&lt;&gt;"",IFERROR(INDEX(Produtos!$C$4:$C$4996,MATCH(D2848,Produtos!$B$4:$B$4996,0)),"Produto não encontrado"),"")</f>
        <v/>
      </c>
    </row>
    <row r="2849" spans="1:5" x14ac:dyDescent="0.3">
      <c r="A2849" s="21" t="str">
        <f t="shared" si="44"/>
        <v>.</v>
      </c>
      <c r="D2849" s="44"/>
      <c r="E2849" s="22" t="str">
        <f>IF(D2849&lt;&gt;"",IFERROR(INDEX(Produtos!$C$4:$C$4996,MATCH(D2849,Produtos!$B$4:$B$4996,0)),"Produto não encontrado"),"")</f>
        <v/>
      </c>
    </row>
    <row r="2850" spans="1:5" x14ac:dyDescent="0.3">
      <c r="A2850" s="21" t="str">
        <f t="shared" si="44"/>
        <v>.</v>
      </c>
      <c r="D2850" s="44"/>
      <c r="E2850" s="22" t="str">
        <f>IF(D2850&lt;&gt;"",IFERROR(INDEX(Produtos!$C$4:$C$4996,MATCH(D2850,Produtos!$B$4:$B$4996,0)),"Produto não encontrado"),"")</f>
        <v/>
      </c>
    </row>
    <row r="2851" spans="1:5" x14ac:dyDescent="0.3">
      <c r="A2851" s="21" t="str">
        <f t="shared" si="44"/>
        <v>.</v>
      </c>
      <c r="D2851" s="44"/>
      <c r="E2851" s="22" t="str">
        <f>IF(D2851&lt;&gt;"",IFERROR(INDEX(Produtos!$C$4:$C$4996,MATCH(D2851,Produtos!$B$4:$B$4996,0)),"Produto não encontrado"),"")</f>
        <v/>
      </c>
    </row>
    <row r="2852" spans="1:5" x14ac:dyDescent="0.3">
      <c r="A2852" s="21" t="str">
        <f t="shared" si="44"/>
        <v>.</v>
      </c>
      <c r="D2852" s="44"/>
      <c r="E2852" s="22" t="str">
        <f>IF(D2852&lt;&gt;"",IFERROR(INDEX(Produtos!$C$4:$C$4996,MATCH(D2852,Produtos!$B$4:$B$4996,0)),"Produto não encontrado"),"")</f>
        <v/>
      </c>
    </row>
    <row r="2853" spans="1:5" x14ac:dyDescent="0.3">
      <c r="A2853" s="21" t="str">
        <f t="shared" si="44"/>
        <v>.</v>
      </c>
      <c r="D2853" s="44"/>
      <c r="E2853" s="22" t="str">
        <f>IF(D2853&lt;&gt;"",IFERROR(INDEX(Produtos!$C$4:$C$4996,MATCH(D2853,Produtos!$B$4:$B$4996,0)),"Produto não encontrado"),"")</f>
        <v/>
      </c>
    </row>
    <row r="2854" spans="1:5" x14ac:dyDescent="0.3">
      <c r="A2854" s="21" t="str">
        <f t="shared" si="44"/>
        <v>.</v>
      </c>
      <c r="D2854" s="44"/>
      <c r="E2854" s="22" t="str">
        <f>IF(D2854&lt;&gt;"",IFERROR(INDEX(Produtos!$C$4:$C$4996,MATCH(D2854,Produtos!$B$4:$B$4996,0)),"Produto não encontrado"),"")</f>
        <v/>
      </c>
    </row>
    <row r="2855" spans="1:5" x14ac:dyDescent="0.3">
      <c r="A2855" s="21" t="str">
        <f t="shared" si="44"/>
        <v>.</v>
      </c>
      <c r="D2855" s="44"/>
      <c r="E2855" s="22" t="str">
        <f>IF(D2855&lt;&gt;"",IFERROR(INDEX(Produtos!$C$4:$C$4996,MATCH(D2855,Produtos!$B$4:$B$4996,0)),"Produto não encontrado"),"")</f>
        <v/>
      </c>
    </row>
    <row r="2856" spans="1:5" x14ac:dyDescent="0.3">
      <c r="A2856" s="21" t="str">
        <f t="shared" si="44"/>
        <v>.</v>
      </c>
      <c r="D2856" s="44"/>
      <c r="E2856" s="22" t="str">
        <f>IF(D2856&lt;&gt;"",IFERROR(INDEX(Produtos!$C$4:$C$4996,MATCH(D2856,Produtos!$B$4:$B$4996,0)),"Produto não encontrado"),"")</f>
        <v/>
      </c>
    </row>
    <row r="2857" spans="1:5" x14ac:dyDescent="0.3">
      <c r="A2857" s="21" t="str">
        <f t="shared" si="44"/>
        <v>.</v>
      </c>
      <c r="D2857" s="44"/>
      <c r="E2857" s="22" t="str">
        <f>IF(D2857&lt;&gt;"",IFERROR(INDEX(Produtos!$C$4:$C$4996,MATCH(D2857,Produtos!$B$4:$B$4996,0)),"Produto não encontrado"),"")</f>
        <v/>
      </c>
    </row>
    <row r="2858" spans="1:5" x14ac:dyDescent="0.3">
      <c r="A2858" s="21" t="str">
        <f t="shared" si="44"/>
        <v>.</v>
      </c>
      <c r="D2858" s="44"/>
      <c r="E2858" s="22" t="str">
        <f>IF(D2858&lt;&gt;"",IFERROR(INDEX(Produtos!$C$4:$C$4996,MATCH(D2858,Produtos!$B$4:$B$4996,0)),"Produto não encontrado"),"")</f>
        <v/>
      </c>
    </row>
    <row r="2859" spans="1:5" x14ac:dyDescent="0.3">
      <c r="A2859" s="21" t="str">
        <f t="shared" si="44"/>
        <v>.</v>
      </c>
      <c r="D2859" s="44"/>
      <c r="E2859" s="22" t="str">
        <f>IF(D2859&lt;&gt;"",IFERROR(INDEX(Produtos!$C$4:$C$4996,MATCH(D2859,Produtos!$B$4:$B$4996,0)),"Produto não encontrado"),"")</f>
        <v/>
      </c>
    </row>
    <row r="2860" spans="1:5" x14ac:dyDescent="0.3">
      <c r="A2860" s="21" t="str">
        <f t="shared" si="44"/>
        <v>.</v>
      </c>
      <c r="D2860" s="44"/>
      <c r="E2860" s="22" t="str">
        <f>IF(D2860&lt;&gt;"",IFERROR(INDEX(Produtos!$C$4:$C$4996,MATCH(D2860,Produtos!$B$4:$B$4996,0)),"Produto não encontrado"),"")</f>
        <v/>
      </c>
    </row>
    <row r="2861" spans="1:5" x14ac:dyDescent="0.3">
      <c r="A2861" s="21" t="str">
        <f t="shared" si="44"/>
        <v>.</v>
      </c>
      <c r="D2861" s="44"/>
      <c r="E2861" s="22" t="str">
        <f>IF(D2861&lt;&gt;"",IFERROR(INDEX(Produtos!$C$4:$C$4996,MATCH(D2861,Produtos!$B$4:$B$4996,0)),"Produto não encontrado"),"")</f>
        <v/>
      </c>
    </row>
    <row r="2862" spans="1:5" x14ac:dyDescent="0.3">
      <c r="A2862" s="21" t="str">
        <f t="shared" si="44"/>
        <v>.</v>
      </c>
      <c r="D2862" s="44"/>
      <c r="E2862" s="22" t="str">
        <f>IF(D2862&lt;&gt;"",IFERROR(INDEX(Produtos!$C$4:$C$4996,MATCH(D2862,Produtos!$B$4:$B$4996,0)),"Produto não encontrado"),"")</f>
        <v/>
      </c>
    </row>
    <row r="2863" spans="1:5" x14ac:dyDescent="0.3">
      <c r="A2863" s="21" t="str">
        <f t="shared" si="44"/>
        <v>.</v>
      </c>
      <c r="D2863" s="44"/>
      <c r="E2863" s="22" t="str">
        <f>IF(D2863&lt;&gt;"",IFERROR(INDEX(Produtos!$C$4:$C$4996,MATCH(D2863,Produtos!$B$4:$B$4996,0)),"Produto não encontrado"),"")</f>
        <v/>
      </c>
    </row>
    <row r="2864" spans="1:5" x14ac:dyDescent="0.3">
      <c r="A2864" s="21" t="str">
        <f t="shared" si="44"/>
        <v>.</v>
      </c>
      <c r="D2864" s="44"/>
      <c r="E2864" s="22" t="str">
        <f>IF(D2864&lt;&gt;"",IFERROR(INDEX(Produtos!$C$4:$C$4996,MATCH(D2864,Produtos!$B$4:$B$4996,0)),"Produto não encontrado"),"")</f>
        <v/>
      </c>
    </row>
    <row r="2865" spans="1:5" x14ac:dyDescent="0.3">
      <c r="A2865" s="21" t="str">
        <f t="shared" si="44"/>
        <v>.</v>
      </c>
      <c r="D2865" s="44"/>
      <c r="E2865" s="22" t="str">
        <f>IF(D2865&lt;&gt;"",IFERROR(INDEX(Produtos!$C$4:$C$4996,MATCH(D2865,Produtos!$B$4:$B$4996,0)),"Produto não encontrado"),"")</f>
        <v/>
      </c>
    </row>
    <row r="2866" spans="1:5" x14ac:dyDescent="0.3">
      <c r="A2866" s="21" t="str">
        <f t="shared" si="44"/>
        <v>.</v>
      </c>
      <c r="D2866" s="44"/>
      <c r="E2866" s="22" t="str">
        <f>IF(D2866&lt;&gt;"",IFERROR(INDEX(Produtos!$C$4:$C$4996,MATCH(D2866,Produtos!$B$4:$B$4996,0)),"Produto não encontrado"),"")</f>
        <v/>
      </c>
    </row>
    <row r="2867" spans="1:5" x14ac:dyDescent="0.3">
      <c r="A2867" s="21" t="str">
        <f t="shared" si="44"/>
        <v>.</v>
      </c>
      <c r="D2867" s="44"/>
      <c r="E2867" s="22" t="str">
        <f>IF(D2867&lt;&gt;"",IFERROR(INDEX(Produtos!$C$4:$C$4996,MATCH(D2867,Produtos!$B$4:$B$4996,0)),"Produto não encontrado"),"")</f>
        <v/>
      </c>
    </row>
    <row r="2868" spans="1:5" x14ac:dyDescent="0.3">
      <c r="A2868" s="21" t="str">
        <f t="shared" si="44"/>
        <v>.</v>
      </c>
      <c r="D2868" s="44"/>
      <c r="E2868" s="22" t="str">
        <f>IF(D2868&lt;&gt;"",IFERROR(INDEX(Produtos!$C$4:$C$4996,MATCH(D2868,Produtos!$B$4:$B$4996,0)),"Produto não encontrado"),"")</f>
        <v/>
      </c>
    </row>
    <row r="2869" spans="1:5" x14ac:dyDescent="0.3">
      <c r="A2869" s="21" t="str">
        <f t="shared" si="44"/>
        <v>.</v>
      </c>
      <c r="D2869" s="44"/>
      <c r="E2869" s="22" t="str">
        <f>IF(D2869&lt;&gt;"",IFERROR(INDEX(Produtos!$C$4:$C$4996,MATCH(D2869,Produtos!$B$4:$B$4996,0)),"Produto não encontrado"),"")</f>
        <v/>
      </c>
    </row>
    <row r="2870" spans="1:5" x14ac:dyDescent="0.3">
      <c r="A2870" s="21" t="str">
        <f t="shared" si="44"/>
        <v>.</v>
      </c>
      <c r="D2870" s="44"/>
      <c r="E2870" s="22" t="str">
        <f>IF(D2870&lt;&gt;"",IFERROR(INDEX(Produtos!$C$4:$C$4996,MATCH(D2870,Produtos!$B$4:$B$4996,0)),"Produto não encontrado"),"")</f>
        <v/>
      </c>
    </row>
    <row r="2871" spans="1:5" x14ac:dyDescent="0.3">
      <c r="A2871" s="21" t="str">
        <f t="shared" si="44"/>
        <v>.</v>
      </c>
      <c r="D2871" s="44"/>
      <c r="E2871" s="22" t="str">
        <f>IF(D2871&lt;&gt;"",IFERROR(INDEX(Produtos!$C$4:$C$4996,MATCH(D2871,Produtos!$B$4:$B$4996,0)),"Produto não encontrado"),"")</f>
        <v/>
      </c>
    </row>
    <row r="2872" spans="1:5" x14ac:dyDescent="0.3">
      <c r="A2872" s="21" t="str">
        <f t="shared" si="44"/>
        <v>.</v>
      </c>
      <c r="D2872" s="44"/>
      <c r="E2872" s="22" t="str">
        <f>IF(D2872&lt;&gt;"",IFERROR(INDEX(Produtos!$C$4:$C$4996,MATCH(D2872,Produtos!$B$4:$B$4996,0)),"Produto não encontrado"),"")</f>
        <v/>
      </c>
    </row>
    <row r="2873" spans="1:5" x14ac:dyDescent="0.3">
      <c r="A2873" s="21" t="str">
        <f t="shared" si="44"/>
        <v>.</v>
      </c>
      <c r="D2873" s="44"/>
      <c r="E2873" s="22" t="str">
        <f>IF(D2873&lt;&gt;"",IFERROR(INDEX(Produtos!$C$4:$C$4996,MATCH(D2873,Produtos!$B$4:$B$4996,0)),"Produto não encontrado"),"")</f>
        <v/>
      </c>
    </row>
    <row r="2874" spans="1:5" x14ac:dyDescent="0.3">
      <c r="A2874" s="21" t="str">
        <f t="shared" si="44"/>
        <v>.</v>
      </c>
      <c r="D2874" s="44"/>
      <c r="E2874" s="22" t="str">
        <f>IF(D2874&lt;&gt;"",IFERROR(INDEX(Produtos!$C$4:$C$4996,MATCH(D2874,Produtos!$B$4:$B$4996,0)),"Produto não encontrado"),"")</f>
        <v/>
      </c>
    </row>
    <row r="2875" spans="1:5" x14ac:dyDescent="0.3">
      <c r="A2875" s="21" t="str">
        <f t="shared" si="44"/>
        <v>.</v>
      </c>
      <c r="D2875" s="44"/>
      <c r="E2875" s="22" t="str">
        <f>IF(D2875&lt;&gt;"",IFERROR(INDEX(Produtos!$C$4:$C$4996,MATCH(D2875,Produtos!$B$4:$B$4996,0)),"Produto não encontrado"),"")</f>
        <v/>
      </c>
    </row>
    <row r="2876" spans="1:5" x14ac:dyDescent="0.3">
      <c r="A2876" s="21" t="str">
        <f t="shared" si="44"/>
        <v>.</v>
      </c>
      <c r="D2876" s="44"/>
      <c r="E2876" s="22" t="str">
        <f>IF(D2876&lt;&gt;"",IFERROR(INDEX(Produtos!$C$4:$C$4996,MATCH(D2876,Produtos!$B$4:$B$4996,0)),"Produto não encontrado"),"")</f>
        <v/>
      </c>
    </row>
    <row r="2877" spans="1:5" x14ac:dyDescent="0.3">
      <c r="A2877" s="21" t="str">
        <f t="shared" si="44"/>
        <v>.</v>
      </c>
      <c r="D2877" s="44"/>
      <c r="E2877" s="22" t="str">
        <f>IF(D2877&lt;&gt;"",IFERROR(INDEX(Produtos!$C$4:$C$4996,MATCH(D2877,Produtos!$B$4:$B$4996,0)),"Produto não encontrado"),"")</f>
        <v/>
      </c>
    </row>
    <row r="2878" spans="1:5" x14ac:dyDescent="0.3">
      <c r="A2878" s="21" t="str">
        <f t="shared" si="44"/>
        <v>.</v>
      </c>
      <c r="D2878" s="44"/>
      <c r="E2878" s="22" t="str">
        <f>IF(D2878&lt;&gt;"",IFERROR(INDEX(Produtos!$C$4:$C$4996,MATCH(D2878,Produtos!$B$4:$B$4996,0)),"Produto não encontrado"),"")</f>
        <v/>
      </c>
    </row>
    <row r="2879" spans="1:5" x14ac:dyDescent="0.3">
      <c r="A2879" s="21" t="str">
        <f t="shared" si="44"/>
        <v>.</v>
      </c>
      <c r="D2879" s="44"/>
      <c r="E2879" s="22" t="str">
        <f>IF(D2879&lt;&gt;"",IFERROR(INDEX(Produtos!$C$4:$C$4996,MATCH(D2879,Produtos!$B$4:$B$4996,0)),"Produto não encontrado"),"")</f>
        <v/>
      </c>
    </row>
    <row r="2880" spans="1:5" x14ac:dyDescent="0.3">
      <c r="A2880" s="21" t="str">
        <f t="shared" ref="A2880:A2943" si="45">IF(C2880="Entrada",2,IF(C2880="Saída",1,"."))</f>
        <v>.</v>
      </c>
      <c r="D2880" s="44"/>
      <c r="E2880" s="22" t="str">
        <f>IF(D2880&lt;&gt;"",IFERROR(INDEX(Produtos!$C$4:$C$4996,MATCH(D2880,Produtos!$B$4:$B$4996,0)),"Produto não encontrado"),"")</f>
        <v/>
      </c>
    </row>
    <row r="2881" spans="1:5" x14ac:dyDescent="0.3">
      <c r="A2881" s="21" t="str">
        <f t="shared" si="45"/>
        <v>.</v>
      </c>
      <c r="D2881" s="44"/>
      <c r="E2881" s="22" t="str">
        <f>IF(D2881&lt;&gt;"",IFERROR(INDEX(Produtos!$C$4:$C$4996,MATCH(D2881,Produtos!$B$4:$B$4996,0)),"Produto não encontrado"),"")</f>
        <v/>
      </c>
    </row>
    <row r="2882" spans="1:5" x14ac:dyDescent="0.3">
      <c r="A2882" s="21" t="str">
        <f t="shared" si="45"/>
        <v>.</v>
      </c>
      <c r="D2882" s="44"/>
      <c r="E2882" s="22" t="str">
        <f>IF(D2882&lt;&gt;"",IFERROR(INDEX(Produtos!$C$4:$C$4996,MATCH(D2882,Produtos!$B$4:$B$4996,0)),"Produto não encontrado"),"")</f>
        <v/>
      </c>
    </row>
    <row r="2883" spans="1:5" x14ac:dyDescent="0.3">
      <c r="A2883" s="21" t="str">
        <f t="shared" si="45"/>
        <v>.</v>
      </c>
      <c r="D2883" s="44"/>
      <c r="E2883" s="22" t="str">
        <f>IF(D2883&lt;&gt;"",IFERROR(INDEX(Produtos!$C$4:$C$4996,MATCH(D2883,Produtos!$B$4:$B$4996,0)),"Produto não encontrado"),"")</f>
        <v/>
      </c>
    </row>
    <row r="2884" spans="1:5" x14ac:dyDescent="0.3">
      <c r="A2884" s="21" t="str">
        <f t="shared" si="45"/>
        <v>.</v>
      </c>
      <c r="D2884" s="44"/>
      <c r="E2884" s="22" t="str">
        <f>IF(D2884&lt;&gt;"",IFERROR(INDEX(Produtos!$C$4:$C$4996,MATCH(D2884,Produtos!$B$4:$B$4996,0)),"Produto não encontrado"),"")</f>
        <v/>
      </c>
    </row>
    <row r="2885" spans="1:5" x14ac:dyDescent="0.3">
      <c r="A2885" s="21" t="str">
        <f t="shared" si="45"/>
        <v>.</v>
      </c>
      <c r="D2885" s="44"/>
      <c r="E2885" s="22" t="str">
        <f>IF(D2885&lt;&gt;"",IFERROR(INDEX(Produtos!$C$4:$C$4996,MATCH(D2885,Produtos!$B$4:$B$4996,0)),"Produto não encontrado"),"")</f>
        <v/>
      </c>
    </row>
    <row r="2886" spans="1:5" x14ac:dyDescent="0.3">
      <c r="A2886" s="21" t="str">
        <f t="shared" si="45"/>
        <v>.</v>
      </c>
      <c r="D2886" s="44"/>
      <c r="E2886" s="22" t="str">
        <f>IF(D2886&lt;&gt;"",IFERROR(INDEX(Produtos!$C$4:$C$4996,MATCH(D2886,Produtos!$B$4:$B$4996,0)),"Produto não encontrado"),"")</f>
        <v/>
      </c>
    </row>
    <row r="2887" spans="1:5" x14ac:dyDescent="0.3">
      <c r="A2887" s="21" t="str">
        <f t="shared" si="45"/>
        <v>.</v>
      </c>
      <c r="D2887" s="44"/>
      <c r="E2887" s="22" t="str">
        <f>IF(D2887&lt;&gt;"",IFERROR(INDEX(Produtos!$C$4:$C$4996,MATCH(D2887,Produtos!$B$4:$B$4996,0)),"Produto não encontrado"),"")</f>
        <v/>
      </c>
    </row>
    <row r="2888" spans="1:5" x14ac:dyDescent="0.3">
      <c r="A2888" s="21" t="str">
        <f t="shared" si="45"/>
        <v>.</v>
      </c>
      <c r="D2888" s="44"/>
      <c r="E2888" s="22" t="str">
        <f>IF(D2888&lt;&gt;"",IFERROR(INDEX(Produtos!$C$4:$C$4996,MATCH(D2888,Produtos!$B$4:$B$4996,0)),"Produto não encontrado"),"")</f>
        <v/>
      </c>
    </row>
    <row r="2889" spans="1:5" x14ac:dyDescent="0.3">
      <c r="A2889" s="21" t="str">
        <f t="shared" si="45"/>
        <v>.</v>
      </c>
      <c r="D2889" s="44"/>
      <c r="E2889" s="22" t="str">
        <f>IF(D2889&lt;&gt;"",IFERROR(INDEX(Produtos!$C$4:$C$4996,MATCH(D2889,Produtos!$B$4:$B$4996,0)),"Produto não encontrado"),"")</f>
        <v/>
      </c>
    </row>
    <row r="2890" spans="1:5" x14ac:dyDescent="0.3">
      <c r="A2890" s="21" t="str">
        <f t="shared" si="45"/>
        <v>.</v>
      </c>
      <c r="D2890" s="44"/>
      <c r="E2890" s="22" t="str">
        <f>IF(D2890&lt;&gt;"",IFERROR(INDEX(Produtos!$C$4:$C$4996,MATCH(D2890,Produtos!$B$4:$B$4996,0)),"Produto não encontrado"),"")</f>
        <v/>
      </c>
    </row>
    <row r="2891" spans="1:5" x14ac:dyDescent="0.3">
      <c r="A2891" s="21" t="str">
        <f t="shared" si="45"/>
        <v>.</v>
      </c>
      <c r="D2891" s="44"/>
      <c r="E2891" s="22" t="str">
        <f>IF(D2891&lt;&gt;"",IFERROR(INDEX(Produtos!$C$4:$C$4996,MATCH(D2891,Produtos!$B$4:$B$4996,0)),"Produto não encontrado"),"")</f>
        <v/>
      </c>
    </row>
    <row r="2892" spans="1:5" x14ac:dyDescent="0.3">
      <c r="A2892" s="21" t="str">
        <f t="shared" si="45"/>
        <v>.</v>
      </c>
      <c r="D2892" s="44"/>
      <c r="E2892" s="22" t="str">
        <f>IF(D2892&lt;&gt;"",IFERROR(INDEX(Produtos!$C$4:$C$4996,MATCH(D2892,Produtos!$B$4:$B$4996,0)),"Produto não encontrado"),"")</f>
        <v/>
      </c>
    </row>
    <row r="2893" spans="1:5" x14ac:dyDescent="0.3">
      <c r="A2893" s="21" t="str">
        <f t="shared" si="45"/>
        <v>.</v>
      </c>
      <c r="D2893" s="44"/>
      <c r="E2893" s="22" t="str">
        <f>IF(D2893&lt;&gt;"",IFERROR(INDEX(Produtos!$C$4:$C$4996,MATCH(D2893,Produtos!$B$4:$B$4996,0)),"Produto não encontrado"),"")</f>
        <v/>
      </c>
    </row>
    <row r="2894" spans="1:5" x14ac:dyDescent="0.3">
      <c r="A2894" s="21" t="str">
        <f t="shared" si="45"/>
        <v>.</v>
      </c>
      <c r="D2894" s="44"/>
      <c r="E2894" s="22" t="str">
        <f>IF(D2894&lt;&gt;"",IFERROR(INDEX(Produtos!$C$4:$C$4996,MATCH(D2894,Produtos!$B$4:$B$4996,0)),"Produto não encontrado"),"")</f>
        <v/>
      </c>
    </row>
    <row r="2895" spans="1:5" x14ac:dyDescent="0.3">
      <c r="A2895" s="21" t="str">
        <f t="shared" si="45"/>
        <v>.</v>
      </c>
      <c r="D2895" s="44"/>
      <c r="E2895" s="22" t="str">
        <f>IF(D2895&lt;&gt;"",IFERROR(INDEX(Produtos!$C$4:$C$4996,MATCH(D2895,Produtos!$B$4:$B$4996,0)),"Produto não encontrado"),"")</f>
        <v/>
      </c>
    </row>
    <row r="2896" spans="1:5" x14ac:dyDescent="0.3">
      <c r="A2896" s="21" t="str">
        <f t="shared" si="45"/>
        <v>.</v>
      </c>
      <c r="D2896" s="44"/>
      <c r="E2896" s="22" t="str">
        <f>IF(D2896&lt;&gt;"",IFERROR(INDEX(Produtos!$C$4:$C$4996,MATCH(D2896,Produtos!$B$4:$B$4996,0)),"Produto não encontrado"),"")</f>
        <v/>
      </c>
    </row>
    <row r="2897" spans="1:5" x14ac:dyDescent="0.3">
      <c r="A2897" s="21" t="str">
        <f t="shared" si="45"/>
        <v>.</v>
      </c>
      <c r="D2897" s="44"/>
      <c r="E2897" s="22" t="str">
        <f>IF(D2897&lt;&gt;"",IFERROR(INDEX(Produtos!$C$4:$C$4996,MATCH(D2897,Produtos!$B$4:$B$4996,0)),"Produto não encontrado"),"")</f>
        <v/>
      </c>
    </row>
    <row r="2898" spans="1:5" x14ac:dyDescent="0.3">
      <c r="A2898" s="21" t="str">
        <f t="shared" si="45"/>
        <v>.</v>
      </c>
      <c r="D2898" s="44"/>
      <c r="E2898" s="22" t="str">
        <f>IF(D2898&lt;&gt;"",IFERROR(INDEX(Produtos!$C$4:$C$4996,MATCH(D2898,Produtos!$B$4:$B$4996,0)),"Produto não encontrado"),"")</f>
        <v/>
      </c>
    </row>
    <row r="2899" spans="1:5" x14ac:dyDescent="0.3">
      <c r="A2899" s="21" t="str">
        <f t="shared" si="45"/>
        <v>.</v>
      </c>
      <c r="D2899" s="44"/>
      <c r="E2899" s="22" t="str">
        <f>IF(D2899&lt;&gt;"",IFERROR(INDEX(Produtos!$C$4:$C$4996,MATCH(D2899,Produtos!$B$4:$B$4996,0)),"Produto não encontrado"),"")</f>
        <v/>
      </c>
    </row>
    <row r="2900" spans="1:5" x14ac:dyDescent="0.3">
      <c r="A2900" s="21" t="str">
        <f t="shared" si="45"/>
        <v>.</v>
      </c>
      <c r="D2900" s="44"/>
      <c r="E2900" s="22" t="str">
        <f>IF(D2900&lt;&gt;"",IFERROR(INDEX(Produtos!$C$4:$C$4996,MATCH(D2900,Produtos!$B$4:$B$4996,0)),"Produto não encontrado"),"")</f>
        <v/>
      </c>
    </row>
    <row r="2901" spans="1:5" x14ac:dyDescent="0.3">
      <c r="A2901" s="21" t="str">
        <f t="shared" si="45"/>
        <v>.</v>
      </c>
      <c r="D2901" s="44"/>
      <c r="E2901" s="22" t="str">
        <f>IF(D2901&lt;&gt;"",IFERROR(INDEX(Produtos!$C$4:$C$4996,MATCH(D2901,Produtos!$B$4:$B$4996,0)),"Produto não encontrado"),"")</f>
        <v/>
      </c>
    </row>
    <row r="2902" spans="1:5" x14ac:dyDescent="0.3">
      <c r="A2902" s="21" t="str">
        <f t="shared" si="45"/>
        <v>.</v>
      </c>
      <c r="D2902" s="44"/>
      <c r="E2902" s="22" t="str">
        <f>IF(D2902&lt;&gt;"",IFERROR(INDEX(Produtos!$C$4:$C$4996,MATCH(D2902,Produtos!$B$4:$B$4996,0)),"Produto não encontrado"),"")</f>
        <v/>
      </c>
    </row>
    <row r="2903" spans="1:5" x14ac:dyDescent="0.3">
      <c r="A2903" s="21" t="str">
        <f t="shared" si="45"/>
        <v>.</v>
      </c>
      <c r="D2903" s="44"/>
      <c r="E2903" s="22" t="str">
        <f>IF(D2903&lt;&gt;"",IFERROR(INDEX(Produtos!$C$4:$C$4996,MATCH(D2903,Produtos!$B$4:$B$4996,0)),"Produto não encontrado"),"")</f>
        <v/>
      </c>
    </row>
    <row r="2904" spans="1:5" x14ac:dyDescent="0.3">
      <c r="A2904" s="21" t="str">
        <f t="shared" si="45"/>
        <v>.</v>
      </c>
      <c r="D2904" s="44"/>
      <c r="E2904" s="22" t="str">
        <f>IF(D2904&lt;&gt;"",IFERROR(INDEX(Produtos!$C$4:$C$4996,MATCH(D2904,Produtos!$B$4:$B$4996,0)),"Produto não encontrado"),"")</f>
        <v/>
      </c>
    </row>
    <row r="2905" spans="1:5" x14ac:dyDescent="0.3">
      <c r="A2905" s="21" t="str">
        <f t="shared" si="45"/>
        <v>.</v>
      </c>
      <c r="D2905" s="44"/>
      <c r="E2905" s="22" t="str">
        <f>IF(D2905&lt;&gt;"",IFERROR(INDEX(Produtos!$C$4:$C$4996,MATCH(D2905,Produtos!$B$4:$B$4996,0)),"Produto não encontrado"),"")</f>
        <v/>
      </c>
    </row>
    <row r="2906" spans="1:5" x14ac:dyDescent="0.3">
      <c r="A2906" s="21" t="str">
        <f t="shared" si="45"/>
        <v>.</v>
      </c>
      <c r="D2906" s="44"/>
      <c r="E2906" s="22" t="str">
        <f>IF(D2906&lt;&gt;"",IFERROR(INDEX(Produtos!$C$4:$C$4996,MATCH(D2906,Produtos!$B$4:$B$4996,0)),"Produto não encontrado"),"")</f>
        <v/>
      </c>
    </row>
    <row r="2907" spans="1:5" x14ac:dyDescent="0.3">
      <c r="A2907" s="21" t="str">
        <f t="shared" si="45"/>
        <v>.</v>
      </c>
      <c r="D2907" s="44"/>
      <c r="E2907" s="22" t="str">
        <f>IF(D2907&lt;&gt;"",IFERROR(INDEX(Produtos!$C$4:$C$4996,MATCH(D2907,Produtos!$B$4:$B$4996,0)),"Produto não encontrado"),"")</f>
        <v/>
      </c>
    </row>
    <row r="2908" spans="1:5" x14ac:dyDescent="0.3">
      <c r="A2908" s="21" t="str">
        <f t="shared" si="45"/>
        <v>.</v>
      </c>
      <c r="D2908" s="44"/>
      <c r="E2908" s="22" t="str">
        <f>IF(D2908&lt;&gt;"",IFERROR(INDEX(Produtos!$C$4:$C$4996,MATCH(D2908,Produtos!$B$4:$B$4996,0)),"Produto não encontrado"),"")</f>
        <v/>
      </c>
    </row>
    <row r="2909" spans="1:5" x14ac:dyDescent="0.3">
      <c r="A2909" s="21" t="str">
        <f t="shared" si="45"/>
        <v>.</v>
      </c>
      <c r="D2909" s="44"/>
      <c r="E2909" s="22" t="str">
        <f>IF(D2909&lt;&gt;"",IFERROR(INDEX(Produtos!$C$4:$C$4996,MATCH(D2909,Produtos!$B$4:$B$4996,0)),"Produto não encontrado"),"")</f>
        <v/>
      </c>
    </row>
    <row r="2910" spans="1:5" x14ac:dyDescent="0.3">
      <c r="A2910" s="21" t="str">
        <f t="shared" si="45"/>
        <v>.</v>
      </c>
      <c r="D2910" s="44"/>
      <c r="E2910" s="22" t="str">
        <f>IF(D2910&lt;&gt;"",IFERROR(INDEX(Produtos!$C$4:$C$4996,MATCH(D2910,Produtos!$B$4:$B$4996,0)),"Produto não encontrado"),"")</f>
        <v/>
      </c>
    </row>
    <row r="2911" spans="1:5" x14ac:dyDescent="0.3">
      <c r="A2911" s="21" t="str">
        <f t="shared" si="45"/>
        <v>.</v>
      </c>
      <c r="D2911" s="44"/>
      <c r="E2911" s="22" t="str">
        <f>IF(D2911&lt;&gt;"",IFERROR(INDEX(Produtos!$C$4:$C$4996,MATCH(D2911,Produtos!$B$4:$B$4996,0)),"Produto não encontrado"),"")</f>
        <v/>
      </c>
    </row>
    <row r="2912" spans="1:5" x14ac:dyDescent="0.3">
      <c r="A2912" s="21" t="str">
        <f t="shared" si="45"/>
        <v>.</v>
      </c>
      <c r="D2912" s="44"/>
      <c r="E2912" s="22" t="str">
        <f>IF(D2912&lt;&gt;"",IFERROR(INDEX(Produtos!$C$4:$C$4996,MATCH(D2912,Produtos!$B$4:$B$4996,0)),"Produto não encontrado"),"")</f>
        <v/>
      </c>
    </row>
    <row r="2913" spans="1:5" x14ac:dyDescent="0.3">
      <c r="A2913" s="21" t="str">
        <f t="shared" si="45"/>
        <v>.</v>
      </c>
      <c r="D2913" s="44"/>
      <c r="E2913" s="22" t="str">
        <f>IF(D2913&lt;&gt;"",IFERROR(INDEX(Produtos!$C$4:$C$4996,MATCH(D2913,Produtos!$B$4:$B$4996,0)),"Produto não encontrado"),"")</f>
        <v/>
      </c>
    </row>
    <row r="2914" spans="1:5" x14ac:dyDescent="0.3">
      <c r="A2914" s="21" t="str">
        <f t="shared" si="45"/>
        <v>.</v>
      </c>
      <c r="D2914" s="44"/>
      <c r="E2914" s="22" t="str">
        <f>IF(D2914&lt;&gt;"",IFERROR(INDEX(Produtos!$C$4:$C$4996,MATCH(D2914,Produtos!$B$4:$B$4996,0)),"Produto não encontrado"),"")</f>
        <v/>
      </c>
    </row>
    <row r="2915" spans="1:5" x14ac:dyDescent="0.3">
      <c r="A2915" s="21" t="str">
        <f t="shared" si="45"/>
        <v>.</v>
      </c>
      <c r="D2915" s="44"/>
      <c r="E2915" s="22" t="str">
        <f>IF(D2915&lt;&gt;"",IFERROR(INDEX(Produtos!$C$4:$C$4996,MATCH(D2915,Produtos!$B$4:$B$4996,0)),"Produto não encontrado"),"")</f>
        <v/>
      </c>
    </row>
    <row r="2916" spans="1:5" x14ac:dyDescent="0.3">
      <c r="A2916" s="21" t="str">
        <f t="shared" si="45"/>
        <v>.</v>
      </c>
      <c r="D2916" s="44"/>
      <c r="E2916" s="22" t="str">
        <f>IF(D2916&lt;&gt;"",IFERROR(INDEX(Produtos!$C$4:$C$4996,MATCH(D2916,Produtos!$B$4:$B$4996,0)),"Produto não encontrado"),"")</f>
        <v/>
      </c>
    </row>
    <row r="2917" spans="1:5" x14ac:dyDescent="0.3">
      <c r="A2917" s="21" t="str">
        <f t="shared" si="45"/>
        <v>.</v>
      </c>
      <c r="D2917" s="44"/>
      <c r="E2917" s="22" t="str">
        <f>IF(D2917&lt;&gt;"",IFERROR(INDEX(Produtos!$C$4:$C$4996,MATCH(D2917,Produtos!$B$4:$B$4996,0)),"Produto não encontrado"),"")</f>
        <v/>
      </c>
    </row>
    <row r="2918" spans="1:5" x14ac:dyDescent="0.3">
      <c r="A2918" s="21" t="str">
        <f t="shared" si="45"/>
        <v>.</v>
      </c>
      <c r="D2918" s="44"/>
      <c r="E2918" s="22" t="str">
        <f>IF(D2918&lt;&gt;"",IFERROR(INDEX(Produtos!$C$4:$C$4996,MATCH(D2918,Produtos!$B$4:$B$4996,0)),"Produto não encontrado"),"")</f>
        <v/>
      </c>
    </row>
    <row r="2919" spans="1:5" x14ac:dyDescent="0.3">
      <c r="A2919" s="21" t="str">
        <f t="shared" si="45"/>
        <v>.</v>
      </c>
      <c r="D2919" s="44"/>
      <c r="E2919" s="22" t="str">
        <f>IF(D2919&lt;&gt;"",IFERROR(INDEX(Produtos!$C$4:$C$4996,MATCH(D2919,Produtos!$B$4:$B$4996,0)),"Produto não encontrado"),"")</f>
        <v/>
      </c>
    </row>
    <row r="2920" spans="1:5" x14ac:dyDescent="0.3">
      <c r="A2920" s="21" t="str">
        <f t="shared" si="45"/>
        <v>.</v>
      </c>
      <c r="D2920" s="44"/>
      <c r="E2920" s="22" t="str">
        <f>IF(D2920&lt;&gt;"",IFERROR(INDEX(Produtos!$C$4:$C$4996,MATCH(D2920,Produtos!$B$4:$B$4996,0)),"Produto não encontrado"),"")</f>
        <v/>
      </c>
    </row>
    <row r="2921" spans="1:5" x14ac:dyDescent="0.3">
      <c r="A2921" s="21" t="str">
        <f t="shared" si="45"/>
        <v>.</v>
      </c>
      <c r="D2921" s="44"/>
      <c r="E2921" s="22" t="str">
        <f>IF(D2921&lt;&gt;"",IFERROR(INDEX(Produtos!$C$4:$C$4996,MATCH(D2921,Produtos!$B$4:$B$4996,0)),"Produto não encontrado"),"")</f>
        <v/>
      </c>
    </row>
    <row r="2922" spans="1:5" x14ac:dyDescent="0.3">
      <c r="A2922" s="21" t="str">
        <f t="shared" si="45"/>
        <v>.</v>
      </c>
      <c r="D2922" s="44"/>
      <c r="E2922" s="22" t="str">
        <f>IF(D2922&lt;&gt;"",IFERROR(INDEX(Produtos!$C$4:$C$4996,MATCH(D2922,Produtos!$B$4:$B$4996,0)),"Produto não encontrado"),"")</f>
        <v/>
      </c>
    </row>
    <row r="2923" spans="1:5" x14ac:dyDescent="0.3">
      <c r="A2923" s="21" t="str">
        <f t="shared" si="45"/>
        <v>.</v>
      </c>
      <c r="D2923" s="44"/>
      <c r="E2923" s="22" t="str">
        <f>IF(D2923&lt;&gt;"",IFERROR(INDEX(Produtos!$C$4:$C$4996,MATCH(D2923,Produtos!$B$4:$B$4996,0)),"Produto não encontrado"),"")</f>
        <v/>
      </c>
    </row>
    <row r="2924" spans="1:5" x14ac:dyDescent="0.3">
      <c r="A2924" s="21" t="str">
        <f t="shared" si="45"/>
        <v>.</v>
      </c>
      <c r="D2924" s="44"/>
      <c r="E2924" s="22" t="str">
        <f>IF(D2924&lt;&gt;"",IFERROR(INDEX(Produtos!$C$4:$C$4996,MATCH(D2924,Produtos!$B$4:$B$4996,0)),"Produto não encontrado"),"")</f>
        <v/>
      </c>
    </row>
    <row r="2925" spans="1:5" x14ac:dyDescent="0.3">
      <c r="A2925" s="21" t="str">
        <f t="shared" si="45"/>
        <v>.</v>
      </c>
      <c r="D2925" s="44"/>
      <c r="E2925" s="22" t="str">
        <f>IF(D2925&lt;&gt;"",IFERROR(INDEX(Produtos!$C$4:$C$4996,MATCH(D2925,Produtos!$B$4:$B$4996,0)),"Produto não encontrado"),"")</f>
        <v/>
      </c>
    </row>
    <row r="2926" spans="1:5" x14ac:dyDescent="0.3">
      <c r="A2926" s="21" t="str">
        <f t="shared" si="45"/>
        <v>.</v>
      </c>
      <c r="D2926" s="44"/>
      <c r="E2926" s="22" t="str">
        <f>IF(D2926&lt;&gt;"",IFERROR(INDEX(Produtos!$C$4:$C$4996,MATCH(D2926,Produtos!$B$4:$B$4996,0)),"Produto não encontrado"),"")</f>
        <v/>
      </c>
    </row>
    <row r="2927" spans="1:5" x14ac:dyDescent="0.3">
      <c r="A2927" s="21" t="str">
        <f t="shared" si="45"/>
        <v>.</v>
      </c>
      <c r="D2927" s="44"/>
      <c r="E2927" s="22" t="str">
        <f>IF(D2927&lt;&gt;"",IFERROR(INDEX(Produtos!$C$4:$C$4996,MATCH(D2927,Produtos!$B$4:$B$4996,0)),"Produto não encontrado"),"")</f>
        <v/>
      </c>
    </row>
    <row r="2928" spans="1:5" x14ac:dyDescent="0.3">
      <c r="A2928" s="21" t="str">
        <f t="shared" si="45"/>
        <v>.</v>
      </c>
      <c r="D2928" s="44"/>
      <c r="E2928" s="22" t="str">
        <f>IF(D2928&lt;&gt;"",IFERROR(INDEX(Produtos!$C$4:$C$4996,MATCH(D2928,Produtos!$B$4:$B$4996,0)),"Produto não encontrado"),"")</f>
        <v/>
      </c>
    </row>
    <row r="2929" spans="1:5" x14ac:dyDescent="0.3">
      <c r="A2929" s="21" t="str">
        <f t="shared" si="45"/>
        <v>.</v>
      </c>
      <c r="D2929" s="44"/>
      <c r="E2929" s="22" t="str">
        <f>IF(D2929&lt;&gt;"",IFERROR(INDEX(Produtos!$C$4:$C$4996,MATCH(D2929,Produtos!$B$4:$B$4996,0)),"Produto não encontrado"),"")</f>
        <v/>
      </c>
    </row>
    <row r="2930" spans="1:5" x14ac:dyDescent="0.3">
      <c r="A2930" s="21" t="str">
        <f t="shared" si="45"/>
        <v>.</v>
      </c>
      <c r="D2930" s="44"/>
      <c r="E2930" s="22" t="str">
        <f>IF(D2930&lt;&gt;"",IFERROR(INDEX(Produtos!$C$4:$C$4996,MATCH(D2930,Produtos!$B$4:$B$4996,0)),"Produto não encontrado"),"")</f>
        <v/>
      </c>
    </row>
    <row r="2931" spans="1:5" x14ac:dyDescent="0.3">
      <c r="A2931" s="21" t="str">
        <f t="shared" si="45"/>
        <v>.</v>
      </c>
      <c r="D2931" s="44"/>
      <c r="E2931" s="22" t="str">
        <f>IF(D2931&lt;&gt;"",IFERROR(INDEX(Produtos!$C$4:$C$4996,MATCH(D2931,Produtos!$B$4:$B$4996,0)),"Produto não encontrado"),"")</f>
        <v/>
      </c>
    </row>
    <row r="2932" spans="1:5" x14ac:dyDescent="0.3">
      <c r="A2932" s="21" t="str">
        <f t="shared" si="45"/>
        <v>.</v>
      </c>
      <c r="D2932" s="44"/>
      <c r="E2932" s="22" t="str">
        <f>IF(D2932&lt;&gt;"",IFERROR(INDEX(Produtos!$C$4:$C$4996,MATCH(D2932,Produtos!$B$4:$B$4996,0)),"Produto não encontrado"),"")</f>
        <v/>
      </c>
    </row>
    <row r="2933" spans="1:5" x14ac:dyDescent="0.3">
      <c r="A2933" s="21" t="str">
        <f t="shared" si="45"/>
        <v>.</v>
      </c>
      <c r="D2933" s="44"/>
      <c r="E2933" s="22" t="str">
        <f>IF(D2933&lt;&gt;"",IFERROR(INDEX(Produtos!$C$4:$C$4996,MATCH(D2933,Produtos!$B$4:$B$4996,0)),"Produto não encontrado"),"")</f>
        <v/>
      </c>
    </row>
    <row r="2934" spans="1:5" x14ac:dyDescent="0.3">
      <c r="A2934" s="21" t="str">
        <f t="shared" si="45"/>
        <v>.</v>
      </c>
      <c r="D2934" s="44"/>
      <c r="E2934" s="22" t="str">
        <f>IF(D2934&lt;&gt;"",IFERROR(INDEX(Produtos!$C$4:$C$4996,MATCH(D2934,Produtos!$B$4:$B$4996,0)),"Produto não encontrado"),"")</f>
        <v/>
      </c>
    </row>
    <row r="2935" spans="1:5" x14ac:dyDescent="0.3">
      <c r="A2935" s="21" t="str">
        <f t="shared" si="45"/>
        <v>.</v>
      </c>
      <c r="D2935" s="44"/>
      <c r="E2935" s="22" t="str">
        <f>IF(D2935&lt;&gt;"",IFERROR(INDEX(Produtos!$C$4:$C$4996,MATCH(D2935,Produtos!$B$4:$B$4996,0)),"Produto não encontrado"),"")</f>
        <v/>
      </c>
    </row>
    <row r="2936" spans="1:5" x14ac:dyDescent="0.3">
      <c r="A2936" s="21" t="str">
        <f t="shared" si="45"/>
        <v>.</v>
      </c>
      <c r="D2936" s="44"/>
      <c r="E2936" s="22" t="str">
        <f>IF(D2936&lt;&gt;"",IFERROR(INDEX(Produtos!$C$4:$C$4996,MATCH(D2936,Produtos!$B$4:$B$4996,0)),"Produto não encontrado"),"")</f>
        <v/>
      </c>
    </row>
    <row r="2937" spans="1:5" x14ac:dyDescent="0.3">
      <c r="A2937" s="21" t="str">
        <f t="shared" si="45"/>
        <v>.</v>
      </c>
      <c r="D2937" s="44"/>
      <c r="E2937" s="22" t="str">
        <f>IF(D2937&lt;&gt;"",IFERROR(INDEX(Produtos!$C$4:$C$4996,MATCH(D2937,Produtos!$B$4:$B$4996,0)),"Produto não encontrado"),"")</f>
        <v/>
      </c>
    </row>
    <row r="2938" spans="1:5" x14ac:dyDescent="0.3">
      <c r="A2938" s="21" t="str">
        <f t="shared" si="45"/>
        <v>.</v>
      </c>
      <c r="D2938" s="44"/>
      <c r="E2938" s="22" t="str">
        <f>IF(D2938&lt;&gt;"",IFERROR(INDEX(Produtos!$C$4:$C$4996,MATCH(D2938,Produtos!$B$4:$B$4996,0)),"Produto não encontrado"),"")</f>
        <v/>
      </c>
    </row>
    <row r="2939" spans="1:5" x14ac:dyDescent="0.3">
      <c r="A2939" s="21" t="str">
        <f t="shared" si="45"/>
        <v>.</v>
      </c>
      <c r="D2939" s="44"/>
      <c r="E2939" s="22" t="str">
        <f>IF(D2939&lt;&gt;"",IFERROR(INDEX(Produtos!$C$4:$C$4996,MATCH(D2939,Produtos!$B$4:$B$4996,0)),"Produto não encontrado"),"")</f>
        <v/>
      </c>
    </row>
    <row r="2940" spans="1:5" x14ac:dyDescent="0.3">
      <c r="A2940" s="21" t="str">
        <f t="shared" si="45"/>
        <v>.</v>
      </c>
      <c r="D2940" s="44"/>
      <c r="E2940" s="22" t="str">
        <f>IF(D2940&lt;&gt;"",IFERROR(INDEX(Produtos!$C$4:$C$4996,MATCH(D2940,Produtos!$B$4:$B$4996,0)),"Produto não encontrado"),"")</f>
        <v/>
      </c>
    </row>
    <row r="2941" spans="1:5" x14ac:dyDescent="0.3">
      <c r="A2941" s="21" t="str">
        <f t="shared" si="45"/>
        <v>.</v>
      </c>
      <c r="D2941" s="44"/>
      <c r="E2941" s="22" t="str">
        <f>IF(D2941&lt;&gt;"",IFERROR(INDEX(Produtos!$C$4:$C$4996,MATCH(D2941,Produtos!$B$4:$B$4996,0)),"Produto não encontrado"),"")</f>
        <v/>
      </c>
    </row>
    <row r="2942" spans="1:5" x14ac:dyDescent="0.3">
      <c r="A2942" s="21" t="str">
        <f t="shared" si="45"/>
        <v>.</v>
      </c>
      <c r="D2942" s="44"/>
      <c r="E2942" s="22" t="str">
        <f>IF(D2942&lt;&gt;"",IFERROR(INDEX(Produtos!$C$4:$C$4996,MATCH(D2942,Produtos!$B$4:$B$4996,0)),"Produto não encontrado"),"")</f>
        <v/>
      </c>
    </row>
    <row r="2943" spans="1:5" x14ac:dyDescent="0.3">
      <c r="A2943" s="21" t="str">
        <f t="shared" si="45"/>
        <v>.</v>
      </c>
      <c r="D2943" s="44"/>
      <c r="E2943" s="22" t="str">
        <f>IF(D2943&lt;&gt;"",IFERROR(INDEX(Produtos!$C$4:$C$4996,MATCH(D2943,Produtos!$B$4:$B$4996,0)),"Produto não encontrado"),"")</f>
        <v/>
      </c>
    </row>
    <row r="2944" spans="1:5" x14ac:dyDescent="0.3">
      <c r="A2944" s="21" t="str">
        <f t="shared" ref="A2944:A3007" si="46">IF(C2944="Entrada",2,IF(C2944="Saída",1,"."))</f>
        <v>.</v>
      </c>
      <c r="D2944" s="44"/>
      <c r="E2944" s="22" t="str">
        <f>IF(D2944&lt;&gt;"",IFERROR(INDEX(Produtos!$C$4:$C$4996,MATCH(D2944,Produtos!$B$4:$B$4996,0)),"Produto não encontrado"),"")</f>
        <v/>
      </c>
    </row>
    <row r="2945" spans="1:5" x14ac:dyDescent="0.3">
      <c r="A2945" s="21" t="str">
        <f t="shared" si="46"/>
        <v>.</v>
      </c>
      <c r="D2945" s="44"/>
      <c r="E2945" s="22" t="str">
        <f>IF(D2945&lt;&gt;"",IFERROR(INDEX(Produtos!$C$4:$C$4996,MATCH(D2945,Produtos!$B$4:$B$4996,0)),"Produto não encontrado"),"")</f>
        <v/>
      </c>
    </row>
    <row r="2946" spans="1:5" x14ac:dyDescent="0.3">
      <c r="A2946" s="21" t="str">
        <f t="shared" si="46"/>
        <v>.</v>
      </c>
      <c r="D2946" s="44"/>
      <c r="E2946" s="22" t="str">
        <f>IF(D2946&lt;&gt;"",IFERROR(INDEX(Produtos!$C$4:$C$4996,MATCH(D2946,Produtos!$B$4:$B$4996,0)),"Produto não encontrado"),"")</f>
        <v/>
      </c>
    </row>
    <row r="2947" spans="1:5" x14ac:dyDescent="0.3">
      <c r="A2947" s="21" t="str">
        <f t="shared" si="46"/>
        <v>.</v>
      </c>
      <c r="D2947" s="44"/>
      <c r="E2947" s="22" t="str">
        <f>IF(D2947&lt;&gt;"",IFERROR(INDEX(Produtos!$C$4:$C$4996,MATCH(D2947,Produtos!$B$4:$B$4996,0)),"Produto não encontrado"),"")</f>
        <v/>
      </c>
    </row>
    <row r="2948" spans="1:5" x14ac:dyDescent="0.3">
      <c r="A2948" s="21" t="str">
        <f t="shared" si="46"/>
        <v>.</v>
      </c>
      <c r="D2948" s="44"/>
      <c r="E2948" s="22" t="str">
        <f>IF(D2948&lt;&gt;"",IFERROR(INDEX(Produtos!$C$4:$C$4996,MATCH(D2948,Produtos!$B$4:$B$4996,0)),"Produto não encontrado"),"")</f>
        <v/>
      </c>
    </row>
    <row r="2949" spans="1:5" x14ac:dyDescent="0.3">
      <c r="A2949" s="21" t="str">
        <f t="shared" si="46"/>
        <v>.</v>
      </c>
      <c r="D2949" s="44"/>
      <c r="E2949" s="22" t="str">
        <f>IF(D2949&lt;&gt;"",IFERROR(INDEX(Produtos!$C$4:$C$4996,MATCH(D2949,Produtos!$B$4:$B$4996,0)),"Produto não encontrado"),"")</f>
        <v/>
      </c>
    </row>
    <row r="2950" spans="1:5" x14ac:dyDescent="0.3">
      <c r="A2950" s="21" t="str">
        <f t="shared" si="46"/>
        <v>.</v>
      </c>
      <c r="D2950" s="44"/>
      <c r="E2950" s="22" t="str">
        <f>IF(D2950&lt;&gt;"",IFERROR(INDEX(Produtos!$C$4:$C$4996,MATCH(D2950,Produtos!$B$4:$B$4996,0)),"Produto não encontrado"),"")</f>
        <v/>
      </c>
    </row>
    <row r="2951" spans="1:5" x14ac:dyDescent="0.3">
      <c r="A2951" s="21" t="str">
        <f t="shared" si="46"/>
        <v>.</v>
      </c>
      <c r="D2951" s="44"/>
      <c r="E2951" s="22" t="str">
        <f>IF(D2951&lt;&gt;"",IFERROR(INDEX(Produtos!$C$4:$C$4996,MATCH(D2951,Produtos!$B$4:$B$4996,0)),"Produto não encontrado"),"")</f>
        <v/>
      </c>
    </row>
    <row r="2952" spans="1:5" x14ac:dyDescent="0.3">
      <c r="A2952" s="21" t="str">
        <f t="shared" si="46"/>
        <v>.</v>
      </c>
      <c r="D2952" s="44"/>
      <c r="E2952" s="22" t="str">
        <f>IF(D2952&lt;&gt;"",IFERROR(INDEX(Produtos!$C$4:$C$4996,MATCH(D2952,Produtos!$B$4:$B$4996,0)),"Produto não encontrado"),"")</f>
        <v/>
      </c>
    </row>
    <row r="2953" spans="1:5" x14ac:dyDescent="0.3">
      <c r="A2953" s="21" t="str">
        <f t="shared" si="46"/>
        <v>.</v>
      </c>
      <c r="D2953" s="44"/>
      <c r="E2953" s="22" t="str">
        <f>IF(D2953&lt;&gt;"",IFERROR(INDEX(Produtos!$C$4:$C$4996,MATCH(D2953,Produtos!$B$4:$B$4996,0)),"Produto não encontrado"),"")</f>
        <v/>
      </c>
    </row>
    <row r="2954" spans="1:5" x14ac:dyDescent="0.3">
      <c r="A2954" s="21" t="str">
        <f t="shared" si="46"/>
        <v>.</v>
      </c>
      <c r="D2954" s="44"/>
      <c r="E2954" s="22" t="str">
        <f>IF(D2954&lt;&gt;"",IFERROR(INDEX(Produtos!$C$4:$C$4996,MATCH(D2954,Produtos!$B$4:$B$4996,0)),"Produto não encontrado"),"")</f>
        <v/>
      </c>
    </row>
    <row r="2955" spans="1:5" x14ac:dyDescent="0.3">
      <c r="A2955" s="21" t="str">
        <f t="shared" si="46"/>
        <v>.</v>
      </c>
      <c r="D2955" s="44"/>
      <c r="E2955" s="22" t="str">
        <f>IF(D2955&lt;&gt;"",IFERROR(INDEX(Produtos!$C$4:$C$4996,MATCH(D2955,Produtos!$B$4:$B$4996,0)),"Produto não encontrado"),"")</f>
        <v/>
      </c>
    </row>
    <row r="2956" spans="1:5" x14ac:dyDescent="0.3">
      <c r="A2956" s="21" t="str">
        <f t="shared" si="46"/>
        <v>.</v>
      </c>
      <c r="D2956" s="44"/>
      <c r="E2956" s="22" t="str">
        <f>IF(D2956&lt;&gt;"",IFERROR(INDEX(Produtos!$C$4:$C$4996,MATCH(D2956,Produtos!$B$4:$B$4996,0)),"Produto não encontrado"),"")</f>
        <v/>
      </c>
    </row>
    <row r="2957" spans="1:5" x14ac:dyDescent="0.3">
      <c r="A2957" s="21" t="str">
        <f t="shared" si="46"/>
        <v>.</v>
      </c>
      <c r="D2957" s="44"/>
      <c r="E2957" s="22" t="str">
        <f>IF(D2957&lt;&gt;"",IFERROR(INDEX(Produtos!$C$4:$C$4996,MATCH(D2957,Produtos!$B$4:$B$4996,0)),"Produto não encontrado"),"")</f>
        <v/>
      </c>
    </row>
    <row r="2958" spans="1:5" x14ac:dyDescent="0.3">
      <c r="A2958" s="21" t="str">
        <f t="shared" si="46"/>
        <v>.</v>
      </c>
      <c r="D2958" s="44"/>
      <c r="E2958" s="22" t="str">
        <f>IF(D2958&lt;&gt;"",IFERROR(INDEX(Produtos!$C$4:$C$4996,MATCH(D2958,Produtos!$B$4:$B$4996,0)),"Produto não encontrado"),"")</f>
        <v/>
      </c>
    </row>
    <row r="2959" spans="1:5" x14ac:dyDescent="0.3">
      <c r="A2959" s="21" t="str">
        <f t="shared" si="46"/>
        <v>.</v>
      </c>
      <c r="D2959" s="44"/>
      <c r="E2959" s="22" t="str">
        <f>IF(D2959&lt;&gt;"",IFERROR(INDEX(Produtos!$C$4:$C$4996,MATCH(D2959,Produtos!$B$4:$B$4996,0)),"Produto não encontrado"),"")</f>
        <v/>
      </c>
    </row>
    <row r="2960" spans="1:5" x14ac:dyDescent="0.3">
      <c r="A2960" s="21" t="str">
        <f t="shared" si="46"/>
        <v>.</v>
      </c>
      <c r="D2960" s="44"/>
      <c r="E2960" s="22" t="str">
        <f>IF(D2960&lt;&gt;"",IFERROR(INDEX(Produtos!$C$4:$C$4996,MATCH(D2960,Produtos!$B$4:$B$4996,0)),"Produto não encontrado"),"")</f>
        <v/>
      </c>
    </row>
    <row r="2961" spans="1:5" x14ac:dyDescent="0.3">
      <c r="A2961" s="21" t="str">
        <f t="shared" si="46"/>
        <v>.</v>
      </c>
      <c r="D2961" s="44"/>
      <c r="E2961" s="22" t="str">
        <f>IF(D2961&lt;&gt;"",IFERROR(INDEX(Produtos!$C$4:$C$4996,MATCH(D2961,Produtos!$B$4:$B$4996,0)),"Produto não encontrado"),"")</f>
        <v/>
      </c>
    </row>
    <row r="2962" spans="1:5" x14ac:dyDescent="0.3">
      <c r="A2962" s="21" t="str">
        <f t="shared" si="46"/>
        <v>.</v>
      </c>
      <c r="D2962" s="44"/>
      <c r="E2962" s="22" t="str">
        <f>IF(D2962&lt;&gt;"",IFERROR(INDEX(Produtos!$C$4:$C$4996,MATCH(D2962,Produtos!$B$4:$B$4996,0)),"Produto não encontrado"),"")</f>
        <v/>
      </c>
    </row>
    <row r="2963" spans="1:5" x14ac:dyDescent="0.3">
      <c r="A2963" s="21" t="str">
        <f t="shared" si="46"/>
        <v>.</v>
      </c>
      <c r="D2963" s="44"/>
      <c r="E2963" s="22" t="str">
        <f>IF(D2963&lt;&gt;"",IFERROR(INDEX(Produtos!$C$4:$C$4996,MATCH(D2963,Produtos!$B$4:$B$4996,0)),"Produto não encontrado"),"")</f>
        <v/>
      </c>
    </row>
    <row r="2964" spans="1:5" x14ac:dyDescent="0.3">
      <c r="A2964" s="21" t="str">
        <f t="shared" si="46"/>
        <v>.</v>
      </c>
      <c r="D2964" s="44"/>
      <c r="E2964" s="22" t="str">
        <f>IF(D2964&lt;&gt;"",IFERROR(INDEX(Produtos!$C$4:$C$4996,MATCH(D2964,Produtos!$B$4:$B$4996,0)),"Produto não encontrado"),"")</f>
        <v/>
      </c>
    </row>
    <row r="2965" spans="1:5" x14ac:dyDescent="0.3">
      <c r="A2965" s="21" t="str">
        <f t="shared" si="46"/>
        <v>.</v>
      </c>
      <c r="D2965" s="44"/>
      <c r="E2965" s="22" t="str">
        <f>IF(D2965&lt;&gt;"",IFERROR(INDEX(Produtos!$C$4:$C$4996,MATCH(D2965,Produtos!$B$4:$B$4996,0)),"Produto não encontrado"),"")</f>
        <v/>
      </c>
    </row>
    <row r="2966" spans="1:5" x14ac:dyDescent="0.3">
      <c r="A2966" s="21" t="str">
        <f t="shared" si="46"/>
        <v>.</v>
      </c>
      <c r="D2966" s="44"/>
      <c r="E2966" s="22" t="str">
        <f>IF(D2966&lt;&gt;"",IFERROR(INDEX(Produtos!$C$4:$C$4996,MATCH(D2966,Produtos!$B$4:$B$4996,0)),"Produto não encontrado"),"")</f>
        <v/>
      </c>
    </row>
    <row r="2967" spans="1:5" x14ac:dyDescent="0.3">
      <c r="A2967" s="21" t="str">
        <f t="shared" si="46"/>
        <v>.</v>
      </c>
      <c r="D2967" s="44"/>
      <c r="E2967" s="22" t="str">
        <f>IF(D2967&lt;&gt;"",IFERROR(INDEX(Produtos!$C$4:$C$4996,MATCH(D2967,Produtos!$B$4:$B$4996,0)),"Produto não encontrado"),"")</f>
        <v/>
      </c>
    </row>
    <row r="2968" spans="1:5" x14ac:dyDescent="0.3">
      <c r="A2968" s="21" t="str">
        <f t="shared" si="46"/>
        <v>.</v>
      </c>
      <c r="D2968" s="44"/>
      <c r="E2968" s="22" t="str">
        <f>IF(D2968&lt;&gt;"",IFERROR(INDEX(Produtos!$C$4:$C$4996,MATCH(D2968,Produtos!$B$4:$B$4996,0)),"Produto não encontrado"),"")</f>
        <v/>
      </c>
    </row>
    <row r="2969" spans="1:5" x14ac:dyDescent="0.3">
      <c r="A2969" s="21" t="str">
        <f t="shared" si="46"/>
        <v>.</v>
      </c>
      <c r="D2969" s="44"/>
      <c r="E2969" s="22" t="str">
        <f>IF(D2969&lt;&gt;"",IFERROR(INDEX(Produtos!$C$4:$C$4996,MATCH(D2969,Produtos!$B$4:$B$4996,0)),"Produto não encontrado"),"")</f>
        <v/>
      </c>
    </row>
    <row r="2970" spans="1:5" x14ac:dyDescent="0.3">
      <c r="A2970" s="21" t="str">
        <f t="shared" si="46"/>
        <v>.</v>
      </c>
      <c r="D2970" s="44"/>
      <c r="E2970" s="22" t="str">
        <f>IF(D2970&lt;&gt;"",IFERROR(INDEX(Produtos!$C$4:$C$4996,MATCH(D2970,Produtos!$B$4:$B$4996,0)),"Produto não encontrado"),"")</f>
        <v/>
      </c>
    </row>
    <row r="2971" spans="1:5" x14ac:dyDescent="0.3">
      <c r="A2971" s="21" t="str">
        <f t="shared" si="46"/>
        <v>.</v>
      </c>
      <c r="D2971" s="44"/>
      <c r="E2971" s="22" t="str">
        <f>IF(D2971&lt;&gt;"",IFERROR(INDEX(Produtos!$C$4:$C$4996,MATCH(D2971,Produtos!$B$4:$B$4996,0)),"Produto não encontrado"),"")</f>
        <v/>
      </c>
    </row>
    <row r="2972" spans="1:5" x14ac:dyDescent="0.3">
      <c r="A2972" s="21" t="str">
        <f t="shared" si="46"/>
        <v>.</v>
      </c>
      <c r="D2972" s="44"/>
      <c r="E2972" s="22" t="str">
        <f>IF(D2972&lt;&gt;"",IFERROR(INDEX(Produtos!$C$4:$C$4996,MATCH(D2972,Produtos!$B$4:$B$4996,0)),"Produto não encontrado"),"")</f>
        <v/>
      </c>
    </row>
    <row r="2973" spans="1:5" x14ac:dyDescent="0.3">
      <c r="A2973" s="21" t="str">
        <f t="shared" si="46"/>
        <v>.</v>
      </c>
      <c r="D2973" s="44"/>
      <c r="E2973" s="22" t="str">
        <f>IF(D2973&lt;&gt;"",IFERROR(INDEX(Produtos!$C$4:$C$4996,MATCH(D2973,Produtos!$B$4:$B$4996,0)),"Produto não encontrado"),"")</f>
        <v/>
      </c>
    </row>
    <row r="2974" spans="1:5" x14ac:dyDescent="0.3">
      <c r="A2974" s="21" t="str">
        <f t="shared" si="46"/>
        <v>.</v>
      </c>
      <c r="D2974" s="44"/>
      <c r="E2974" s="22" t="str">
        <f>IF(D2974&lt;&gt;"",IFERROR(INDEX(Produtos!$C$4:$C$4996,MATCH(D2974,Produtos!$B$4:$B$4996,0)),"Produto não encontrado"),"")</f>
        <v/>
      </c>
    </row>
    <row r="2975" spans="1:5" x14ac:dyDescent="0.3">
      <c r="A2975" s="21" t="str">
        <f t="shared" si="46"/>
        <v>.</v>
      </c>
      <c r="D2975" s="44"/>
      <c r="E2975" s="22" t="str">
        <f>IF(D2975&lt;&gt;"",IFERROR(INDEX(Produtos!$C$4:$C$4996,MATCH(D2975,Produtos!$B$4:$B$4996,0)),"Produto não encontrado"),"")</f>
        <v/>
      </c>
    </row>
    <row r="2976" spans="1:5" x14ac:dyDescent="0.3">
      <c r="A2976" s="21" t="str">
        <f t="shared" si="46"/>
        <v>.</v>
      </c>
      <c r="D2976" s="44"/>
      <c r="E2976" s="22" t="str">
        <f>IF(D2976&lt;&gt;"",IFERROR(INDEX(Produtos!$C$4:$C$4996,MATCH(D2976,Produtos!$B$4:$B$4996,0)),"Produto não encontrado"),"")</f>
        <v/>
      </c>
    </row>
    <row r="2977" spans="1:5" x14ac:dyDescent="0.3">
      <c r="A2977" s="21" t="str">
        <f t="shared" si="46"/>
        <v>.</v>
      </c>
      <c r="D2977" s="44"/>
      <c r="E2977" s="22" t="str">
        <f>IF(D2977&lt;&gt;"",IFERROR(INDEX(Produtos!$C$4:$C$4996,MATCH(D2977,Produtos!$B$4:$B$4996,0)),"Produto não encontrado"),"")</f>
        <v/>
      </c>
    </row>
    <row r="2978" spans="1:5" x14ac:dyDescent="0.3">
      <c r="A2978" s="21" t="str">
        <f t="shared" si="46"/>
        <v>.</v>
      </c>
      <c r="D2978" s="44"/>
      <c r="E2978" s="22" t="str">
        <f>IF(D2978&lt;&gt;"",IFERROR(INDEX(Produtos!$C$4:$C$4996,MATCH(D2978,Produtos!$B$4:$B$4996,0)),"Produto não encontrado"),"")</f>
        <v/>
      </c>
    </row>
    <row r="2979" spans="1:5" x14ac:dyDescent="0.3">
      <c r="A2979" s="21" t="str">
        <f t="shared" si="46"/>
        <v>.</v>
      </c>
      <c r="D2979" s="44"/>
      <c r="E2979" s="22" t="str">
        <f>IF(D2979&lt;&gt;"",IFERROR(INDEX(Produtos!$C$4:$C$4996,MATCH(D2979,Produtos!$B$4:$B$4996,0)),"Produto não encontrado"),"")</f>
        <v/>
      </c>
    </row>
    <row r="2980" spans="1:5" x14ac:dyDescent="0.3">
      <c r="A2980" s="21" t="str">
        <f t="shared" si="46"/>
        <v>.</v>
      </c>
      <c r="D2980" s="44"/>
      <c r="E2980" s="22" t="str">
        <f>IF(D2980&lt;&gt;"",IFERROR(INDEX(Produtos!$C$4:$C$4996,MATCH(D2980,Produtos!$B$4:$B$4996,0)),"Produto não encontrado"),"")</f>
        <v/>
      </c>
    </row>
    <row r="2981" spans="1:5" x14ac:dyDescent="0.3">
      <c r="A2981" s="21" t="str">
        <f t="shared" si="46"/>
        <v>.</v>
      </c>
      <c r="D2981" s="44"/>
      <c r="E2981" s="22" t="str">
        <f>IF(D2981&lt;&gt;"",IFERROR(INDEX(Produtos!$C$4:$C$4996,MATCH(D2981,Produtos!$B$4:$B$4996,0)),"Produto não encontrado"),"")</f>
        <v/>
      </c>
    </row>
    <row r="2982" spans="1:5" x14ac:dyDescent="0.3">
      <c r="A2982" s="21" t="str">
        <f t="shared" si="46"/>
        <v>.</v>
      </c>
      <c r="D2982" s="44"/>
      <c r="E2982" s="22" t="str">
        <f>IF(D2982&lt;&gt;"",IFERROR(INDEX(Produtos!$C$4:$C$4996,MATCH(D2982,Produtos!$B$4:$B$4996,0)),"Produto não encontrado"),"")</f>
        <v/>
      </c>
    </row>
    <row r="2983" spans="1:5" x14ac:dyDescent="0.3">
      <c r="A2983" s="21" t="str">
        <f t="shared" si="46"/>
        <v>.</v>
      </c>
      <c r="D2983" s="44"/>
      <c r="E2983" s="22" t="str">
        <f>IF(D2983&lt;&gt;"",IFERROR(INDEX(Produtos!$C$4:$C$4996,MATCH(D2983,Produtos!$B$4:$B$4996,0)),"Produto não encontrado"),"")</f>
        <v/>
      </c>
    </row>
    <row r="2984" spans="1:5" x14ac:dyDescent="0.3">
      <c r="A2984" s="21" t="str">
        <f t="shared" si="46"/>
        <v>.</v>
      </c>
      <c r="D2984" s="44"/>
      <c r="E2984" s="22" t="str">
        <f>IF(D2984&lt;&gt;"",IFERROR(INDEX(Produtos!$C$4:$C$4996,MATCH(D2984,Produtos!$B$4:$B$4996,0)),"Produto não encontrado"),"")</f>
        <v/>
      </c>
    </row>
    <row r="2985" spans="1:5" x14ac:dyDescent="0.3">
      <c r="A2985" s="21" t="str">
        <f t="shared" si="46"/>
        <v>.</v>
      </c>
      <c r="D2985" s="44"/>
      <c r="E2985" s="22" t="str">
        <f>IF(D2985&lt;&gt;"",IFERROR(INDEX(Produtos!$C$4:$C$4996,MATCH(D2985,Produtos!$B$4:$B$4996,0)),"Produto não encontrado"),"")</f>
        <v/>
      </c>
    </row>
    <row r="2986" spans="1:5" x14ac:dyDescent="0.3">
      <c r="A2986" s="21" t="str">
        <f t="shared" si="46"/>
        <v>.</v>
      </c>
      <c r="D2986" s="44"/>
      <c r="E2986" s="22" t="str">
        <f>IF(D2986&lt;&gt;"",IFERROR(INDEX(Produtos!$C$4:$C$4996,MATCH(D2986,Produtos!$B$4:$B$4996,0)),"Produto não encontrado"),"")</f>
        <v/>
      </c>
    </row>
    <row r="2987" spans="1:5" x14ac:dyDescent="0.3">
      <c r="A2987" s="21" t="str">
        <f t="shared" si="46"/>
        <v>.</v>
      </c>
      <c r="D2987" s="44"/>
      <c r="E2987" s="22" t="str">
        <f>IF(D2987&lt;&gt;"",IFERROR(INDEX(Produtos!$C$4:$C$4996,MATCH(D2987,Produtos!$B$4:$B$4996,0)),"Produto não encontrado"),"")</f>
        <v/>
      </c>
    </row>
    <row r="2988" spans="1:5" x14ac:dyDescent="0.3">
      <c r="A2988" s="21" t="str">
        <f t="shared" si="46"/>
        <v>.</v>
      </c>
      <c r="D2988" s="44"/>
      <c r="E2988" s="22" t="str">
        <f>IF(D2988&lt;&gt;"",IFERROR(INDEX(Produtos!$C$4:$C$4996,MATCH(D2988,Produtos!$B$4:$B$4996,0)),"Produto não encontrado"),"")</f>
        <v/>
      </c>
    </row>
    <row r="2989" spans="1:5" x14ac:dyDescent="0.3">
      <c r="A2989" s="21" t="str">
        <f t="shared" si="46"/>
        <v>.</v>
      </c>
      <c r="D2989" s="44"/>
      <c r="E2989" s="22" t="str">
        <f>IF(D2989&lt;&gt;"",IFERROR(INDEX(Produtos!$C$4:$C$4996,MATCH(D2989,Produtos!$B$4:$B$4996,0)),"Produto não encontrado"),"")</f>
        <v/>
      </c>
    </row>
    <row r="2990" spans="1:5" x14ac:dyDescent="0.3">
      <c r="A2990" s="21" t="str">
        <f t="shared" si="46"/>
        <v>.</v>
      </c>
      <c r="D2990" s="44"/>
      <c r="E2990" s="22" t="str">
        <f>IF(D2990&lt;&gt;"",IFERROR(INDEX(Produtos!$C$4:$C$4996,MATCH(D2990,Produtos!$B$4:$B$4996,0)),"Produto não encontrado"),"")</f>
        <v/>
      </c>
    </row>
    <row r="2991" spans="1:5" x14ac:dyDescent="0.3">
      <c r="A2991" s="21" t="str">
        <f t="shared" si="46"/>
        <v>.</v>
      </c>
      <c r="D2991" s="44"/>
      <c r="E2991" s="22" t="str">
        <f>IF(D2991&lt;&gt;"",IFERROR(INDEX(Produtos!$C$4:$C$4996,MATCH(D2991,Produtos!$B$4:$B$4996,0)),"Produto não encontrado"),"")</f>
        <v/>
      </c>
    </row>
    <row r="2992" spans="1:5" x14ac:dyDescent="0.3">
      <c r="A2992" s="21" t="str">
        <f t="shared" si="46"/>
        <v>.</v>
      </c>
      <c r="D2992" s="44"/>
      <c r="E2992" s="22" t="str">
        <f>IF(D2992&lt;&gt;"",IFERROR(INDEX(Produtos!$C$4:$C$4996,MATCH(D2992,Produtos!$B$4:$B$4996,0)),"Produto não encontrado"),"")</f>
        <v/>
      </c>
    </row>
    <row r="2993" spans="1:5" x14ac:dyDescent="0.3">
      <c r="A2993" s="21" t="str">
        <f t="shared" si="46"/>
        <v>.</v>
      </c>
      <c r="D2993" s="44"/>
      <c r="E2993" s="22" t="str">
        <f>IF(D2993&lt;&gt;"",IFERROR(INDEX(Produtos!$C$4:$C$4996,MATCH(D2993,Produtos!$B$4:$B$4996,0)),"Produto não encontrado"),"")</f>
        <v/>
      </c>
    </row>
    <row r="2994" spans="1:5" x14ac:dyDescent="0.3">
      <c r="A2994" s="21" t="str">
        <f t="shared" si="46"/>
        <v>.</v>
      </c>
      <c r="D2994" s="44"/>
      <c r="E2994" s="22" t="str">
        <f>IF(D2994&lt;&gt;"",IFERROR(INDEX(Produtos!$C$4:$C$4996,MATCH(D2994,Produtos!$B$4:$B$4996,0)),"Produto não encontrado"),"")</f>
        <v/>
      </c>
    </row>
    <row r="2995" spans="1:5" x14ac:dyDescent="0.3">
      <c r="A2995" s="21" t="str">
        <f t="shared" si="46"/>
        <v>.</v>
      </c>
      <c r="D2995" s="44"/>
      <c r="E2995" s="22" t="str">
        <f>IF(D2995&lt;&gt;"",IFERROR(INDEX(Produtos!$C$4:$C$4996,MATCH(D2995,Produtos!$B$4:$B$4996,0)),"Produto não encontrado"),"")</f>
        <v/>
      </c>
    </row>
    <row r="2996" spans="1:5" x14ac:dyDescent="0.3">
      <c r="A2996" s="21" t="str">
        <f t="shared" si="46"/>
        <v>.</v>
      </c>
      <c r="D2996" s="44"/>
      <c r="E2996" s="22" t="str">
        <f>IF(D2996&lt;&gt;"",IFERROR(INDEX(Produtos!$C$4:$C$4996,MATCH(D2996,Produtos!$B$4:$B$4996,0)),"Produto não encontrado"),"")</f>
        <v/>
      </c>
    </row>
    <row r="2997" spans="1:5" x14ac:dyDescent="0.3">
      <c r="A2997" s="21" t="str">
        <f t="shared" si="46"/>
        <v>.</v>
      </c>
      <c r="D2997" s="44"/>
      <c r="E2997" s="22" t="str">
        <f>IF(D2997&lt;&gt;"",IFERROR(INDEX(Produtos!$C$4:$C$4996,MATCH(D2997,Produtos!$B$4:$B$4996,0)),"Produto não encontrado"),"")</f>
        <v/>
      </c>
    </row>
    <row r="2998" spans="1:5" x14ac:dyDescent="0.3">
      <c r="A2998" s="21" t="str">
        <f t="shared" si="46"/>
        <v>.</v>
      </c>
      <c r="D2998" s="44"/>
      <c r="E2998" s="22" t="str">
        <f>IF(D2998&lt;&gt;"",IFERROR(INDEX(Produtos!$C$4:$C$4996,MATCH(D2998,Produtos!$B$4:$B$4996,0)),"Produto não encontrado"),"")</f>
        <v/>
      </c>
    </row>
    <row r="2999" spans="1:5" x14ac:dyDescent="0.3">
      <c r="A2999" s="21" t="str">
        <f t="shared" si="46"/>
        <v>.</v>
      </c>
      <c r="D2999" s="44"/>
      <c r="E2999" s="22" t="str">
        <f>IF(D2999&lt;&gt;"",IFERROR(INDEX(Produtos!$C$4:$C$4996,MATCH(D2999,Produtos!$B$4:$B$4996,0)),"Produto não encontrado"),"")</f>
        <v/>
      </c>
    </row>
    <row r="3000" spans="1:5" x14ac:dyDescent="0.3">
      <c r="A3000" s="21" t="str">
        <f t="shared" si="46"/>
        <v>.</v>
      </c>
      <c r="D3000" s="44"/>
      <c r="E3000" s="22" t="str">
        <f>IF(D3000&lt;&gt;"",IFERROR(INDEX(Produtos!$C$4:$C$4996,MATCH(D3000,Produtos!$B$4:$B$4996,0)),"Produto não encontrado"),"")</f>
        <v/>
      </c>
    </row>
    <row r="3001" spans="1:5" x14ac:dyDescent="0.3">
      <c r="A3001" s="21" t="str">
        <f t="shared" si="46"/>
        <v>.</v>
      </c>
      <c r="D3001" s="44"/>
      <c r="E3001" s="22" t="str">
        <f>IF(D3001&lt;&gt;"",IFERROR(INDEX(Produtos!$C$4:$C$4996,MATCH(D3001,Produtos!$B$4:$B$4996,0)),"Produto não encontrado"),"")</f>
        <v/>
      </c>
    </row>
    <row r="3002" spans="1:5" x14ac:dyDescent="0.3">
      <c r="A3002" s="21" t="str">
        <f t="shared" si="46"/>
        <v>.</v>
      </c>
      <c r="D3002" s="44"/>
      <c r="E3002" s="22" t="str">
        <f>IF(D3002&lt;&gt;"",IFERROR(INDEX(Produtos!$C$4:$C$4996,MATCH(D3002,Produtos!$B$4:$B$4996,0)),"Produto não encontrado"),"")</f>
        <v/>
      </c>
    </row>
    <row r="3003" spans="1:5" x14ac:dyDescent="0.3">
      <c r="A3003" s="21" t="str">
        <f t="shared" si="46"/>
        <v>.</v>
      </c>
      <c r="D3003" s="44"/>
      <c r="E3003" s="22" t="str">
        <f>IF(D3003&lt;&gt;"",IFERROR(INDEX(Produtos!$C$4:$C$4996,MATCH(D3003,Produtos!$B$4:$B$4996,0)),"Produto não encontrado"),"")</f>
        <v/>
      </c>
    </row>
    <row r="3004" spans="1:5" x14ac:dyDescent="0.3">
      <c r="A3004" s="21" t="str">
        <f t="shared" si="46"/>
        <v>.</v>
      </c>
      <c r="D3004" s="44"/>
      <c r="E3004" s="22" t="str">
        <f>IF(D3004&lt;&gt;"",IFERROR(INDEX(Produtos!$C$4:$C$4996,MATCH(D3004,Produtos!$B$4:$B$4996,0)),"Produto não encontrado"),"")</f>
        <v/>
      </c>
    </row>
    <row r="3005" spans="1:5" x14ac:dyDescent="0.3">
      <c r="A3005" s="21" t="str">
        <f t="shared" si="46"/>
        <v>.</v>
      </c>
      <c r="D3005" s="44"/>
      <c r="E3005" s="22" t="str">
        <f>IF(D3005&lt;&gt;"",IFERROR(INDEX(Produtos!$C$4:$C$4996,MATCH(D3005,Produtos!$B$4:$B$4996,0)),"Produto não encontrado"),"")</f>
        <v/>
      </c>
    </row>
    <row r="3006" spans="1:5" x14ac:dyDescent="0.3">
      <c r="A3006" s="21" t="str">
        <f t="shared" si="46"/>
        <v>.</v>
      </c>
      <c r="D3006" s="44"/>
      <c r="E3006" s="22" t="str">
        <f>IF(D3006&lt;&gt;"",IFERROR(INDEX(Produtos!$C$4:$C$4996,MATCH(D3006,Produtos!$B$4:$B$4996,0)),"Produto não encontrado"),"")</f>
        <v/>
      </c>
    </row>
    <row r="3007" spans="1:5" x14ac:dyDescent="0.3">
      <c r="A3007" s="21" t="str">
        <f t="shared" si="46"/>
        <v>.</v>
      </c>
      <c r="D3007" s="44"/>
      <c r="E3007" s="22" t="str">
        <f>IF(D3007&lt;&gt;"",IFERROR(INDEX(Produtos!$C$4:$C$4996,MATCH(D3007,Produtos!$B$4:$B$4996,0)),"Produto não encontrado"),"")</f>
        <v/>
      </c>
    </row>
    <row r="3008" spans="1:5" x14ac:dyDescent="0.3">
      <c r="A3008" s="21" t="str">
        <f t="shared" ref="A3008:A3071" si="47">IF(C3008="Entrada",2,IF(C3008="Saída",1,"."))</f>
        <v>.</v>
      </c>
      <c r="D3008" s="44"/>
      <c r="E3008" s="22" t="str">
        <f>IF(D3008&lt;&gt;"",IFERROR(INDEX(Produtos!$C$4:$C$4996,MATCH(D3008,Produtos!$B$4:$B$4996,0)),"Produto não encontrado"),"")</f>
        <v/>
      </c>
    </row>
    <row r="3009" spans="1:5" x14ac:dyDescent="0.3">
      <c r="A3009" s="21" t="str">
        <f t="shared" si="47"/>
        <v>.</v>
      </c>
      <c r="D3009" s="44"/>
      <c r="E3009" s="22" t="str">
        <f>IF(D3009&lt;&gt;"",IFERROR(INDEX(Produtos!$C$4:$C$4996,MATCH(D3009,Produtos!$B$4:$B$4996,0)),"Produto não encontrado"),"")</f>
        <v/>
      </c>
    </row>
    <row r="3010" spans="1:5" x14ac:dyDescent="0.3">
      <c r="A3010" s="21" t="str">
        <f t="shared" si="47"/>
        <v>.</v>
      </c>
      <c r="D3010" s="44"/>
      <c r="E3010" s="22" t="str">
        <f>IF(D3010&lt;&gt;"",IFERROR(INDEX(Produtos!$C$4:$C$4996,MATCH(D3010,Produtos!$B$4:$B$4996,0)),"Produto não encontrado"),"")</f>
        <v/>
      </c>
    </row>
    <row r="3011" spans="1:5" x14ac:dyDescent="0.3">
      <c r="A3011" s="21" t="str">
        <f t="shared" si="47"/>
        <v>.</v>
      </c>
      <c r="D3011" s="44"/>
      <c r="E3011" s="22" t="str">
        <f>IF(D3011&lt;&gt;"",IFERROR(INDEX(Produtos!$C$4:$C$4996,MATCH(D3011,Produtos!$B$4:$B$4996,0)),"Produto não encontrado"),"")</f>
        <v/>
      </c>
    </row>
    <row r="3012" spans="1:5" x14ac:dyDescent="0.3">
      <c r="A3012" s="21" t="str">
        <f t="shared" si="47"/>
        <v>.</v>
      </c>
      <c r="D3012" s="44"/>
      <c r="E3012" s="22" t="str">
        <f>IF(D3012&lt;&gt;"",IFERROR(INDEX(Produtos!$C$4:$C$4996,MATCH(D3012,Produtos!$B$4:$B$4996,0)),"Produto não encontrado"),"")</f>
        <v/>
      </c>
    </row>
    <row r="3013" spans="1:5" x14ac:dyDescent="0.3">
      <c r="A3013" s="21" t="str">
        <f t="shared" si="47"/>
        <v>.</v>
      </c>
      <c r="D3013" s="44"/>
      <c r="E3013" s="22" t="str">
        <f>IF(D3013&lt;&gt;"",IFERROR(INDEX(Produtos!$C$4:$C$4996,MATCH(D3013,Produtos!$B$4:$B$4996,0)),"Produto não encontrado"),"")</f>
        <v/>
      </c>
    </row>
    <row r="3014" spans="1:5" x14ac:dyDescent="0.3">
      <c r="A3014" s="21" t="str">
        <f t="shared" si="47"/>
        <v>.</v>
      </c>
      <c r="D3014" s="44"/>
      <c r="E3014" s="22" t="str">
        <f>IF(D3014&lt;&gt;"",IFERROR(INDEX(Produtos!$C$4:$C$4996,MATCH(D3014,Produtos!$B$4:$B$4996,0)),"Produto não encontrado"),"")</f>
        <v/>
      </c>
    </row>
    <row r="3015" spans="1:5" x14ac:dyDescent="0.3">
      <c r="A3015" s="21" t="str">
        <f t="shared" si="47"/>
        <v>.</v>
      </c>
      <c r="D3015" s="44"/>
      <c r="E3015" s="22" t="str">
        <f>IF(D3015&lt;&gt;"",IFERROR(INDEX(Produtos!$C$4:$C$4996,MATCH(D3015,Produtos!$B$4:$B$4996,0)),"Produto não encontrado"),"")</f>
        <v/>
      </c>
    </row>
    <row r="3016" spans="1:5" x14ac:dyDescent="0.3">
      <c r="A3016" s="21" t="str">
        <f t="shared" si="47"/>
        <v>.</v>
      </c>
      <c r="D3016" s="44"/>
      <c r="E3016" s="22" t="str">
        <f>IF(D3016&lt;&gt;"",IFERROR(INDEX(Produtos!$C$4:$C$4996,MATCH(D3016,Produtos!$B$4:$B$4996,0)),"Produto não encontrado"),"")</f>
        <v/>
      </c>
    </row>
    <row r="3017" spans="1:5" x14ac:dyDescent="0.3">
      <c r="A3017" s="21" t="str">
        <f t="shared" si="47"/>
        <v>.</v>
      </c>
      <c r="D3017" s="44"/>
      <c r="E3017" s="22" t="str">
        <f>IF(D3017&lt;&gt;"",IFERROR(INDEX(Produtos!$C$4:$C$4996,MATCH(D3017,Produtos!$B$4:$B$4996,0)),"Produto não encontrado"),"")</f>
        <v/>
      </c>
    </row>
    <row r="3018" spans="1:5" x14ac:dyDescent="0.3">
      <c r="A3018" s="21" t="str">
        <f t="shared" si="47"/>
        <v>.</v>
      </c>
      <c r="D3018" s="44"/>
      <c r="E3018" s="22" t="str">
        <f>IF(D3018&lt;&gt;"",IFERROR(INDEX(Produtos!$C$4:$C$4996,MATCH(D3018,Produtos!$B$4:$B$4996,0)),"Produto não encontrado"),"")</f>
        <v/>
      </c>
    </row>
    <row r="3019" spans="1:5" x14ac:dyDescent="0.3">
      <c r="A3019" s="21" t="str">
        <f t="shared" si="47"/>
        <v>.</v>
      </c>
      <c r="D3019" s="44"/>
      <c r="E3019" s="22" t="str">
        <f>IF(D3019&lt;&gt;"",IFERROR(INDEX(Produtos!$C$4:$C$4996,MATCH(D3019,Produtos!$B$4:$B$4996,0)),"Produto não encontrado"),"")</f>
        <v/>
      </c>
    </row>
    <row r="3020" spans="1:5" x14ac:dyDescent="0.3">
      <c r="A3020" s="21" t="str">
        <f t="shared" si="47"/>
        <v>.</v>
      </c>
      <c r="D3020" s="44"/>
      <c r="E3020" s="22" t="str">
        <f>IF(D3020&lt;&gt;"",IFERROR(INDEX(Produtos!$C$4:$C$4996,MATCH(D3020,Produtos!$B$4:$B$4996,0)),"Produto não encontrado"),"")</f>
        <v/>
      </c>
    </row>
    <row r="3021" spans="1:5" x14ac:dyDescent="0.3">
      <c r="A3021" s="21" t="str">
        <f t="shared" si="47"/>
        <v>.</v>
      </c>
      <c r="D3021" s="44"/>
      <c r="E3021" s="22" t="str">
        <f>IF(D3021&lt;&gt;"",IFERROR(INDEX(Produtos!$C$4:$C$4996,MATCH(D3021,Produtos!$B$4:$B$4996,0)),"Produto não encontrado"),"")</f>
        <v/>
      </c>
    </row>
    <row r="3022" spans="1:5" x14ac:dyDescent="0.3">
      <c r="A3022" s="21" t="str">
        <f t="shared" si="47"/>
        <v>.</v>
      </c>
      <c r="D3022" s="44"/>
      <c r="E3022" s="22" t="str">
        <f>IF(D3022&lt;&gt;"",IFERROR(INDEX(Produtos!$C$4:$C$4996,MATCH(D3022,Produtos!$B$4:$B$4996,0)),"Produto não encontrado"),"")</f>
        <v/>
      </c>
    </row>
    <row r="3023" spans="1:5" x14ac:dyDescent="0.3">
      <c r="A3023" s="21" t="str">
        <f t="shared" si="47"/>
        <v>.</v>
      </c>
      <c r="D3023" s="44"/>
      <c r="E3023" s="22" t="str">
        <f>IF(D3023&lt;&gt;"",IFERROR(INDEX(Produtos!$C$4:$C$4996,MATCH(D3023,Produtos!$B$4:$B$4996,0)),"Produto não encontrado"),"")</f>
        <v/>
      </c>
    </row>
    <row r="3024" spans="1:5" x14ac:dyDescent="0.3">
      <c r="A3024" s="21" t="str">
        <f t="shared" si="47"/>
        <v>.</v>
      </c>
      <c r="D3024" s="44"/>
      <c r="E3024" s="22" t="str">
        <f>IF(D3024&lt;&gt;"",IFERROR(INDEX(Produtos!$C$4:$C$4996,MATCH(D3024,Produtos!$B$4:$B$4996,0)),"Produto não encontrado"),"")</f>
        <v/>
      </c>
    </row>
    <row r="3025" spans="1:5" x14ac:dyDescent="0.3">
      <c r="A3025" s="21" t="str">
        <f t="shared" si="47"/>
        <v>.</v>
      </c>
      <c r="D3025" s="44"/>
      <c r="E3025" s="22" t="str">
        <f>IF(D3025&lt;&gt;"",IFERROR(INDEX(Produtos!$C$4:$C$4996,MATCH(D3025,Produtos!$B$4:$B$4996,0)),"Produto não encontrado"),"")</f>
        <v/>
      </c>
    </row>
    <row r="3026" spans="1:5" x14ac:dyDescent="0.3">
      <c r="A3026" s="21" t="str">
        <f t="shared" si="47"/>
        <v>.</v>
      </c>
      <c r="D3026" s="44"/>
      <c r="E3026" s="22" t="str">
        <f>IF(D3026&lt;&gt;"",IFERROR(INDEX(Produtos!$C$4:$C$4996,MATCH(D3026,Produtos!$B$4:$B$4996,0)),"Produto não encontrado"),"")</f>
        <v/>
      </c>
    </row>
    <row r="3027" spans="1:5" x14ac:dyDescent="0.3">
      <c r="A3027" s="21" t="str">
        <f t="shared" si="47"/>
        <v>.</v>
      </c>
      <c r="D3027" s="44"/>
      <c r="E3027" s="22" t="str">
        <f>IF(D3027&lt;&gt;"",IFERROR(INDEX(Produtos!$C$4:$C$4996,MATCH(D3027,Produtos!$B$4:$B$4996,0)),"Produto não encontrado"),"")</f>
        <v/>
      </c>
    </row>
    <row r="3028" spans="1:5" x14ac:dyDescent="0.3">
      <c r="A3028" s="21" t="str">
        <f t="shared" si="47"/>
        <v>.</v>
      </c>
      <c r="D3028" s="44"/>
      <c r="E3028" s="22" t="str">
        <f>IF(D3028&lt;&gt;"",IFERROR(INDEX(Produtos!$C$4:$C$4996,MATCH(D3028,Produtos!$B$4:$B$4996,0)),"Produto não encontrado"),"")</f>
        <v/>
      </c>
    </row>
    <row r="3029" spans="1:5" x14ac:dyDescent="0.3">
      <c r="A3029" s="21" t="str">
        <f t="shared" si="47"/>
        <v>.</v>
      </c>
      <c r="D3029" s="44"/>
      <c r="E3029" s="22" t="str">
        <f>IF(D3029&lt;&gt;"",IFERROR(INDEX(Produtos!$C$4:$C$4996,MATCH(D3029,Produtos!$B$4:$B$4996,0)),"Produto não encontrado"),"")</f>
        <v/>
      </c>
    </row>
    <row r="3030" spans="1:5" x14ac:dyDescent="0.3">
      <c r="A3030" s="21" t="str">
        <f t="shared" si="47"/>
        <v>.</v>
      </c>
      <c r="D3030" s="44"/>
      <c r="E3030" s="22" t="str">
        <f>IF(D3030&lt;&gt;"",IFERROR(INDEX(Produtos!$C$4:$C$4996,MATCH(D3030,Produtos!$B$4:$B$4996,0)),"Produto não encontrado"),"")</f>
        <v/>
      </c>
    </row>
    <row r="3031" spans="1:5" x14ac:dyDescent="0.3">
      <c r="A3031" s="21" t="str">
        <f t="shared" si="47"/>
        <v>.</v>
      </c>
      <c r="D3031" s="44"/>
      <c r="E3031" s="22" t="str">
        <f>IF(D3031&lt;&gt;"",IFERROR(INDEX(Produtos!$C$4:$C$4996,MATCH(D3031,Produtos!$B$4:$B$4996,0)),"Produto não encontrado"),"")</f>
        <v/>
      </c>
    </row>
    <row r="3032" spans="1:5" x14ac:dyDescent="0.3">
      <c r="A3032" s="21" t="str">
        <f t="shared" si="47"/>
        <v>.</v>
      </c>
      <c r="D3032" s="44"/>
      <c r="E3032" s="22" t="str">
        <f>IF(D3032&lt;&gt;"",IFERROR(INDEX(Produtos!$C$4:$C$4996,MATCH(D3032,Produtos!$B$4:$B$4996,0)),"Produto não encontrado"),"")</f>
        <v/>
      </c>
    </row>
    <row r="3033" spans="1:5" x14ac:dyDescent="0.3">
      <c r="A3033" s="21" t="str">
        <f t="shared" si="47"/>
        <v>.</v>
      </c>
      <c r="D3033" s="44"/>
      <c r="E3033" s="22" t="str">
        <f>IF(D3033&lt;&gt;"",IFERROR(INDEX(Produtos!$C$4:$C$4996,MATCH(D3033,Produtos!$B$4:$B$4996,0)),"Produto não encontrado"),"")</f>
        <v/>
      </c>
    </row>
    <row r="3034" spans="1:5" x14ac:dyDescent="0.3">
      <c r="A3034" s="21" t="str">
        <f t="shared" si="47"/>
        <v>.</v>
      </c>
      <c r="D3034" s="44"/>
      <c r="E3034" s="22" t="str">
        <f>IF(D3034&lt;&gt;"",IFERROR(INDEX(Produtos!$C$4:$C$4996,MATCH(D3034,Produtos!$B$4:$B$4996,0)),"Produto não encontrado"),"")</f>
        <v/>
      </c>
    </row>
    <row r="3035" spans="1:5" x14ac:dyDescent="0.3">
      <c r="A3035" s="21" t="str">
        <f t="shared" si="47"/>
        <v>.</v>
      </c>
      <c r="D3035" s="44"/>
      <c r="E3035" s="22" t="str">
        <f>IF(D3035&lt;&gt;"",IFERROR(INDEX(Produtos!$C$4:$C$4996,MATCH(D3035,Produtos!$B$4:$B$4996,0)),"Produto não encontrado"),"")</f>
        <v/>
      </c>
    </row>
    <row r="3036" spans="1:5" x14ac:dyDescent="0.3">
      <c r="A3036" s="21" t="str">
        <f t="shared" si="47"/>
        <v>.</v>
      </c>
      <c r="D3036" s="44"/>
      <c r="E3036" s="22" t="str">
        <f>IF(D3036&lt;&gt;"",IFERROR(INDEX(Produtos!$C$4:$C$4996,MATCH(D3036,Produtos!$B$4:$B$4996,0)),"Produto não encontrado"),"")</f>
        <v/>
      </c>
    </row>
    <row r="3037" spans="1:5" x14ac:dyDescent="0.3">
      <c r="A3037" s="21" t="str">
        <f t="shared" si="47"/>
        <v>.</v>
      </c>
      <c r="D3037" s="44"/>
      <c r="E3037" s="22" t="str">
        <f>IF(D3037&lt;&gt;"",IFERROR(INDEX(Produtos!$C$4:$C$4996,MATCH(D3037,Produtos!$B$4:$B$4996,0)),"Produto não encontrado"),"")</f>
        <v/>
      </c>
    </row>
    <row r="3038" spans="1:5" x14ac:dyDescent="0.3">
      <c r="A3038" s="21" t="str">
        <f t="shared" si="47"/>
        <v>.</v>
      </c>
      <c r="D3038" s="44"/>
      <c r="E3038" s="22" t="str">
        <f>IF(D3038&lt;&gt;"",IFERROR(INDEX(Produtos!$C$4:$C$4996,MATCH(D3038,Produtos!$B$4:$B$4996,0)),"Produto não encontrado"),"")</f>
        <v/>
      </c>
    </row>
    <row r="3039" spans="1:5" x14ac:dyDescent="0.3">
      <c r="A3039" s="21" t="str">
        <f t="shared" si="47"/>
        <v>.</v>
      </c>
      <c r="D3039" s="44"/>
      <c r="E3039" s="22" t="str">
        <f>IF(D3039&lt;&gt;"",IFERROR(INDEX(Produtos!$C$4:$C$4996,MATCH(D3039,Produtos!$B$4:$B$4996,0)),"Produto não encontrado"),"")</f>
        <v/>
      </c>
    </row>
    <row r="3040" spans="1:5" x14ac:dyDescent="0.3">
      <c r="A3040" s="21" t="str">
        <f t="shared" si="47"/>
        <v>.</v>
      </c>
      <c r="D3040" s="44"/>
      <c r="E3040" s="22" t="str">
        <f>IF(D3040&lt;&gt;"",IFERROR(INDEX(Produtos!$C$4:$C$4996,MATCH(D3040,Produtos!$B$4:$B$4996,0)),"Produto não encontrado"),"")</f>
        <v/>
      </c>
    </row>
    <row r="3041" spans="1:5" x14ac:dyDescent="0.3">
      <c r="A3041" s="21" t="str">
        <f t="shared" si="47"/>
        <v>.</v>
      </c>
      <c r="D3041" s="44"/>
      <c r="E3041" s="22" t="str">
        <f>IF(D3041&lt;&gt;"",IFERROR(INDEX(Produtos!$C$4:$C$4996,MATCH(D3041,Produtos!$B$4:$B$4996,0)),"Produto não encontrado"),"")</f>
        <v/>
      </c>
    </row>
    <row r="3042" spans="1:5" x14ac:dyDescent="0.3">
      <c r="A3042" s="21" t="str">
        <f t="shared" si="47"/>
        <v>.</v>
      </c>
      <c r="D3042" s="44"/>
      <c r="E3042" s="22" t="str">
        <f>IF(D3042&lt;&gt;"",IFERROR(INDEX(Produtos!$C$4:$C$4996,MATCH(D3042,Produtos!$B$4:$B$4996,0)),"Produto não encontrado"),"")</f>
        <v/>
      </c>
    </row>
    <row r="3043" spans="1:5" x14ac:dyDescent="0.3">
      <c r="A3043" s="21" t="str">
        <f t="shared" si="47"/>
        <v>.</v>
      </c>
      <c r="D3043" s="44"/>
      <c r="E3043" s="22" t="str">
        <f>IF(D3043&lt;&gt;"",IFERROR(INDEX(Produtos!$C$4:$C$4996,MATCH(D3043,Produtos!$B$4:$B$4996,0)),"Produto não encontrado"),"")</f>
        <v/>
      </c>
    </row>
    <row r="3044" spans="1:5" x14ac:dyDescent="0.3">
      <c r="A3044" s="21" t="str">
        <f t="shared" si="47"/>
        <v>.</v>
      </c>
      <c r="D3044" s="44"/>
      <c r="E3044" s="22" t="str">
        <f>IF(D3044&lt;&gt;"",IFERROR(INDEX(Produtos!$C$4:$C$4996,MATCH(D3044,Produtos!$B$4:$B$4996,0)),"Produto não encontrado"),"")</f>
        <v/>
      </c>
    </row>
    <row r="3045" spans="1:5" x14ac:dyDescent="0.3">
      <c r="A3045" s="21" t="str">
        <f t="shared" si="47"/>
        <v>.</v>
      </c>
      <c r="D3045" s="44"/>
      <c r="E3045" s="22" t="str">
        <f>IF(D3045&lt;&gt;"",IFERROR(INDEX(Produtos!$C$4:$C$4996,MATCH(D3045,Produtos!$B$4:$B$4996,0)),"Produto não encontrado"),"")</f>
        <v/>
      </c>
    </row>
    <row r="3046" spans="1:5" x14ac:dyDescent="0.3">
      <c r="A3046" s="21" t="str">
        <f t="shared" si="47"/>
        <v>.</v>
      </c>
      <c r="D3046" s="44"/>
      <c r="E3046" s="22" t="str">
        <f>IF(D3046&lt;&gt;"",IFERROR(INDEX(Produtos!$C$4:$C$4996,MATCH(D3046,Produtos!$B$4:$B$4996,0)),"Produto não encontrado"),"")</f>
        <v/>
      </c>
    </row>
    <row r="3047" spans="1:5" x14ac:dyDescent="0.3">
      <c r="A3047" s="21" t="str">
        <f t="shared" si="47"/>
        <v>.</v>
      </c>
      <c r="D3047" s="44"/>
      <c r="E3047" s="22" t="str">
        <f>IF(D3047&lt;&gt;"",IFERROR(INDEX(Produtos!$C$4:$C$4996,MATCH(D3047,Produtos!$B$4:$B$4996,0)),"Produto não encontrado"),"")</f>
        <v/>
      </c>
    </row>
    <row r="3048" spans="1:5" x14ac:dyDescent="0.3">
      <c r="A3048" s="21" t="str">
        <f t="shared" si="47"/>
        <v>.</v>
      </c>
      <c r="D3048" s="44"/>
      <c r="E3048" s="22" t="str">
        <f>IF(D3048&lt;&gt;"",IFERROR(INDEX(Produtos!$C$4:$C$4996,MATCH(D3048,Produtos!$B$4:$B$4996,0)),"Produto não encontrado"),"")</f>
        <v/>
      </c>
    </row>
    <row r="3049" spans="1:5" x14ac:dyDescent="0.3">
      <c r="A3049" s="21" t="str">
        <f t="shared" si="47"/>
        <v>.</v>
      </c>
      <c r="D3049" s="44"/>
      <c r="E3049" s="22" t="str">
        <f>IF(D3049&lt;&gt;"",IFERROR(INDEX(Produtos!$C$4:$C$4996,MATCH(D3049,Produtos!$B$4:$B$4996,0)),"Produto não encontrado"),"")</f>
        <v/>
      </c>
    </row>
    <row r="3050" spans="1:5" x14ac:dyDescent="0.3">
      <c r="A3050" s="21" t="str">
        <f t="shared" si="47"/>
        <v>.</v>
      </c>
      <c r="D3050" s="44"/>
      <c r="E3050" s="22" t="str">
        <f>IF(D3050&lt;&gt;"",IFERROR(INDEX(Produtos!$C$4:$C$4996,MATCH(D3050,Produtos!$B$4:$B$4996,0)),"Produto não encontrado"),"")</f>
        <v/>
      </c>
    </row>
    <row r="3051" spans="1:5" x14ac:dyDescent="0.3">
      <c r="A3051" s="21" t="str">
        <f t="shared" si="47"/>
        <v>.</v>
      </c>
      <c r="D3051" s="44"/>
      <c r="E3051" s="22" t="str">
        <f>IF(D3051&lt;&gt;"",IFERROR(INDEX(Produtos!$C$4:$C$4996,MATCH(D3051,Produtos!$B$4:$B$4996,0)),"Produto não encontrado"),"")</f>
        <v/>
      </c>
    </row>
    <row r="3052" spans="1:5" x14ac:dyDescent="0.3">
      <c r="A3052" s="21" t="str">
        <f t="shared" si="47"/>
        <v>.</v>
      </c>
      <c r="D3052" s="44"/>
      <c r="E3052" s="22" t="str">
        <f>IF(D3052&lt;&gt;"",IFERROR(INDEX(Produtos!$C$4:$C$4996,MATCH(D3052,Produtos!$B$4:$B$4996,0)),"Produto não encontrado"),"")</f>
        <v/>
      </c>
    </row>
    <row r="3053" spans="1:5" x14ac:dyDescent="0.3">
      <c r="A3053" s="21" t="str">
        <f t="shared" si="47"/>
        <v>.</v>
      </c>
      <c r="D3053" s="44"/>
      <c r="E3053" s="22" t="str">
        <f>IF(D3053&lt;&gt;"",IFERROR(INDEX(Produtos!$C$4:$C$4996,MATCH(D3053,Produtos!$B$4:$B$4996,0)),"Produto não encontrado"),"")</f>
        <v/>
      </c>
    </row>
    <row r="3054" spans="1:5" x14ac:dyDescent="0.3">
      <c r="A3054" s="21" t="str">
        <f t="shared" si="47"/>
        <v>.</v>
      </c>
      <c r="D3054" s="44"/>
      <c r="E3054" s="22" t="str">
        <f>IF(D3054&lt;&gt;"",IFERROR(INDEX(Produtos!$C$4:$C$4996,MATCH(D3054,Produtos!$B$4:$B$4996,0)),"Produto não encontrado"),"")</f>
        <v/>
      </c>
    </row>
    <row r="3055" spans="1:5" x14ac:dyDescent="0.3">
      <c r="A3055" s="21" t="str">
        <f t="shared" si="47"/>
        <v>.</v>
      </c>
      <c r="D3055" s="44"/>
      <c r="E3055" s="22" t="str">
        <f>IF(D3055&lt;&gt;"",IFERROR(INDEX(Produtos!$C$4:$C$4996,MATCH(D3055,Produtos!$B$4:$B$4996,0)),"Produto não encontrado"),"")</f>
        <v/>
      </c>
    </row>
    <row r="3056" spans="1:5" x14ac:dyDescent="0.3">
      <c r="A3056" s="21" t="str">
        <f t="shared" si="47"/>
        <v>.</v>
      </c>
      <c r="D3056" s="44"/>
      <c r="E3056" s="22" t="str">
        <f>IF(D3056&lt;&gt;"",IFERROR(INDEX(Produtos!$C$4:$C$4996,MATCH(D3056,Produtos!$B$4:$B$4996,0)),"Produto não encontrado"),"")</f>
        <v/>
      </c>
    </row>
    <row r="3057" spans="1:5" x14ac:dyDescent="0.3">
      <c r="A3057" s="21" t="str">
        <f t="shared" si="47"/>
        <v>.</v>
      </c>
      <c r="D3057" s="44"/>
      <c r="E3057" s="22" t="str">
        <f>IF(D3057&lt;&gt;"",IFERROR(INDEX(Produtos!$C$4:$C$4996,MATCH(D3057,Produtos!$B$4:$B$4996,0)),"Produto não encontrado"),"")</f>
        <v/>
      </c>
    </row>
    <row r="3058" spans="1:5" x14ac:dyDescent="0.3">
      <c r="A3058" s="21" t="str">
        <f t="shared" si="47"/>
        <v>.</v>
      </c>
      <c r="D3058" s="44"/>
      <c r="E3058" s="22" t="str">
        <f>IF(D3058&lt;&gt;"",IFERROR(INDEX(Produtos!$C$4:$C$4996,MATCH(D3058,Produtos!$B$4:$B$4996,0)),"Produto não encontrado"),"")</f>
        <v/>
      </c>
    </row>
    <row r="3059" spans="1:5" x14ac:dyDescent="0.3">
      <c r="A3059" s="21" t="str">
        <f t="shared" si="47"/>
        <v>.</v>
      </c>
      <c r="D3059" s="44"/>
      <c r="E3059" s="22" t="str">
        <f>IF(D3059&lt;&gt;"",IFERROR(INDEX(Produtos!$C$4:$C$4996,MATCH(D3059,Produtos!$B$4:$B$4996,0)),"Produto não encontrado"),"")</f>
        <v/>
      </c>
    </row>
    <row r="3060" spans="1:5" x14ac:dyDescent="0.3">
      <c r="A3060" s="21" t="str">
        <f t="shared" si="47"/>
        <v>.</v>
      </c>
      <c r="D3060" s="44"/>
      <c r="E3060" s="22" t="str">
        <f>IF(D3060&lt;&gt;"",IFERROR(INDEX(Produtos!$C$4:$C$4996,MATCH(D3060,Produtos!$B$4:$B$4996,0)),"Produto não encontrado"),"")</f>
        <v/>
      </c>
    </row>
    <row r="3061" spans="1:5" x14ac:dyDescent="0.3">
      <c r="A3061" s="21" t="str">
        <f t="shared" si="47"/>
        <v>.</v>
      </c>
      <c r="D3061" s="44"/>
      <c r="E3061" s="22" t="str">
        <f>IF(D3061&lt;&gt;"",IFERROR(INDEX(Produtos!$C$4:$C$4996,MATCH(D3061,Produtos!$B$4:$B$4996,0)),"Produto não encontrado"),"")</f>
        <v/>
      </c>
    </row>
    <row r="3062" spans="1:5" x14ac:dyDescent="0.3">
      <c r="A3062" s="21" t="str">
        <f t="shared" si="47"/>
        <v>.</v>
      </c>
      <c r="D3062" s="44"/>
      <c r="E3062" s="22" t="str">
        <f>IF(D3062&lt;&gt;"",IFERROR(INDEX(Produtos!$C$4:$C$4996,MATCH(D3062,Produtos!$B$4:$B$4996,0)),"Produto não encontrado"),"")</f>
        <v/>
      </c>
    </row>
    <row r="3063" spans="1:5" x14ac:dyDescent="0.3">
      <c r="A3063" s="21" t="str">
        <f t="shared" si="47"/>
        <v>.</v>
      </c>
      <c r="D3063" s="44"/>
      <c r="E3063" s="22" t="str">
        <f>IF(D3063&lt;&gt;"",IFERROR(INDEX(Produtos!$C$4:$C$4996,MATCH(D3063,Produtos!$B$4:$B$4996,0)),"Produto não encontrado"),"")</f>
        <v/>
      </c>
    </row>
    <row r="3064" spans="1:5" x14ac:dyDescent="0.3">
      <c r="A3064" s="21" t="str">
        <f t="shared" si="47"/>
        <v>.</v>
      </c>
      <c r="D3064" s="44"/>
      <c r="E3064" s="22" t="str">
        <f>IF(D3064&lt;&gt;"",IFERROR(INDEX(Produtos!$C$4:$C$4996,MATCH(D3064,Produtos!$B$4:$B$4996,0)),"Produto não encontrado"),"")</f>
        <v/>
      </c>
    </row>
    <row r="3065" spans="1:5" x14ac:dyDescent="0.3">
      <c r="A3065" s="21" t="str">
        <f t="shared" si="47"/>
        <v>.</v>
      </c>
      <c r="D3065" s="44"/>
      <c r="E3065" s="22" t="str">
        <f>IF(D3065&lt;&gt;"",IFERROR(INDEX(Produtos!$C$4:$C$4996,MATCH(D3065,Produtos!$B$4:$B$4996,0)),"Produto não encontrado"),"")</f>
        <v/>
      </c>
    </row>
    <row r="3066" spans="1:5" x14ac:dyDescent="0.3">
      <c r="A3066" s="21" t="str">
        <f t="shared" si="47"/>
        <v>.</v>
      </c>
      <c r="D3066" s="44"/>
      <c r="E3066" s="22" t="str">
        <f>IF(D3066&lt;&gt;"",IFERROR(INDEX(Produtos!$C$4:$C$4996,MATCH(D3066,Produtos!$B$4:$B$4996,0)),"Produto não encontrado"),"")</f>
        <v/>
      </c>
    </row>
    <row r="3067" spans="1:5" x14ac:dyDescent="0.3">
      <c r="A3067" s="21" t="str">
        <f t="shared" si="47"/>
        <v>.</v>
      </c>
      <c r="D3067" s="44"/>
      <c r="E3067" s="22" t="str">
        <f>IF(D3067&lt;&gt;"",IFERROR(INDEX(Produtos!$C$4:$C$4996,MATCH(D3067,Produtos!$B$4:$B$4996,0)),"Produto não encontrado"),"")</f>
        <v/>
      </c>
    </row>
    <row r="3068" spans="1:5" x14ac:dyDescent="0.3">
      <c r="A3068" s="21" t="str">
        <f t="shared" si="47"/>
        <v>.</v>
      </c>
      <c r="D3068" s="44"/>
      <c r="E3068" s="22" t="str">
        <f>IF(D3068&lt;&gt;"",IFERROR(INDEX(Produtos!$C$4:$C$4996,MATCH(D3068,Produtos!$B$4:$B$4996,0)),"Produto não encontrado"),"")</f>
        <v/>
      </c>
    </row>
    <row r="3069" spans="1:5" x14ac:dyDescent="0.3">
      <c r="A3069" s="21" t="str">
        <f t="shared" si="47"/>
        <v>.</v>
      </c>
      <c r="D3069" s="44"/>
      <c r="E3069" s="22" t="str">
        <f>IF(D3069&lt;&gt;"",IFERROR(INDEX(Produtos!$C$4:$C$4996,MATCH(D3069,Produtos!$B$4:$B$4996,0)),"Produto não encontrado"),"")</f>
        <v/>
      </c>
    </row>
    <row r="3070" spans="1:5" x14ac:dyDescent="0.3">
      <c r="A3070" s="21" t="str">
        <f t="shared" si="47"/>
        <v>.</v>
      </c>
      <c r="D3070" s="44"/>
      <c r="E3070" s="22" t="str">
        <f>IF(D3070&lt;&gt;"",IFERROR(INDEX(Produtos!$C$4:$C$4996,MATCH(D3070,Produtos!$B$4:$B$4996,0)),"Produto não encontrado"),"")</f>
        <v/>
      </c>
    </row>
    <row r="3071" spans="1:5" x14ac:dyDescent="0.3">
      <c r="A3071" s="21" t="str">
        <f t="shared" si="47"/>
        <v>.</v>
      </c>
      <c r="D3071" s="44"/>
      <c r="E3071" s="22" t="str">
        <f>IF(D3071&lt;&gt;"",IFERROR(INDEX(Produtos!$C$4:$C$4996,MATCH(D3071,Produtos!$B$4:$B$4996,0)),"Produto não encontrado"),"")</f>
        <v/>
      </c>
    </row>
    <row r="3072" spans="1:5" x14ac:dyDescent="0.3">
      <c r="A3072" s="21" t="str">
        <f t="shared" ref="A3072:A3135" si="48">IF(C3072="Entrada",2,IF(C3072="Saída",1,"."))</f>
        <v>.</v>
      </c>
      <c r="D3072" s="44"/>
      <c r="E3072" s="22" t="str">
        <f>IF(D3072&lt;&gt;"",IFERROR(INDEX(Produtos!$C$4:$C$4996,MATCH(D3072,Produtos!$B$4:$B$4996,0)),"Produto não encontrado"),"")</f>
        <v/>
      </c>
    </row>
    <row r="3073" spans="1:5" x14ac:dyDescent="0.3">
      <c r="A3073" s="21" t="str">
        <f t="shared" si="48"/>
        <v>.</v>
      </c>
      <c r="D3073" s="44"/>
      <c r="E3073" s="22" t="str">
        <f>IF(D3073&lt;&gt;"",IFERROR(INDEX(Produtos!$C$4:$C$4996,MATCH(D3073,Produtos!$B$4:$B$4996,0)),"Produto não encontrado"),"")</f>
        <v/>
      </c>
    </row>
    <row r="3074" spans="1:5" x14ac:dyDescent="0.3">
      <c r="A3074" s="21" t="str">
        <f t="shared" si="48"/>
        <v>.</v>
      </c>
      <c r="D3074" s="44"/>
      <c r="E3074" s="22" t="str">
        <f>IF(D3074&lt;&gt;"",IFERROR(INDEX(Produtos!$C$4:$C$4996,MATCH(D3074,Produtos!$B$4:$B$4996,0)),"Produto não encontrado"),"")</f>
        <v/>
      </c>
    </row>
    <row r="3075" spans="1:5" x14ac:dyDescent="0.3">
      <c r="A3075" s="21" t="str">
        <f t="shared" si="48"/>
        <v>.</v>
      </c>
      <c r="D3075" s="44"/>
      <c r="E3075" s="22" t="str">
        <f>IF(D3075&lt;&gt;"",IFERROR(INDEX(Produtos!$C$4:$C$4996,MATCH(D3075,Produtos!$B$4:$B$4996,0)),"Produto não encontrado"),"")</f>
        <v/>
      </c>
    </row>
    <row r="3076" spans="1:5" x14ac:dyDescent="0.3">
      <c r="A3076" s="21" t="str">
        <f t="shared" si="48"/>
        <v>.</v>
      </c>
      <c r="D3076" s="44"/>
      <c r="E3076" s="22" t="str">
        <f>IF(D3076&lt;&gt;"",IFERROR(INDEX(Produtos!$C$4:$C$4996,MATCH(D3076,Produtos!$B$4:$B$4996,0)),"Produto não encontrado"),"")</f>
        <v/>
      </c>
    </row>
    <row r="3077" spans="1:5" x14ac:dyDescent="0.3">
      <c r="A3077" s="21" t="str">
        <f t="shared" si="48"/>
        <v>.</v>
      </c>
      <c r="D3077" s="44"/>
      <c r="E3077" s="22" t="str">
        <f>IF(D3077&lt;&gt;"",IFERROR(INDEX(Produtos!$C$4:$C$4996,MATCH(D3077,Produtos!$B$4:$B$4996,0)),"Produto não encontrado"),"")</f>
        <v/>
      </c>
    </row>
    <row r="3078" spans="1:5" x14ac:dyDescent="0.3">
      <c r="A3078" s="21" t="str">
        <f t="shared" si="48"/>
        <v>.</v>
      </c>
      <c r="D3078" s="44"/>
      <c r="E3078" s="22" t="str">
        <f>IF(D3078&lt;&gt;"",IFERROR(INDEX(Produtos!$C$4:$C$4996,MATCH(D3078,Produtos!$B$4:$B$4996,0)),"Produto não encontrado"),"")</f>
        <v/>
      </c>
    </row>
    <row r="3079" spans="1:5" x14ac:dyDescent="0.3">
      <c r="A3079" s="21" t="str">
        <f t="shared" si="48"/>
        <v>.</v>
      </c>
      <c r="D3079" s="44"/>
      <c r="E3079" s="22" t="str">
        <f>IF(D3079&lt;&gt;"",IFERROR(INDEX(Produtos!$C$4:$C$4996,MATCH(D3079,Produtos!$B$4:$B$4996,0)),"Produto não encontrado"),"")</f>
        <v/>
      </c>
    </row>
    <row r="3080" spans="1:5" x14ac:dyDescent="0.3">
      <c r="A3080" s="21" t="str">
        <f t="shared" si="48"/>
        <v>.</v>
      </c>
      <c r="D3080" s="44"/>
      <c r="E3080" s="22" t="str">
        <f>IF(D3080&lt;&gt;"",IFERROR(INDEX(Produtos!$C$4:$C$4996,MATCH(D3080,Produtos!$B$4:$B$4996,0)),"Produto não encontrado"),"")</f>
        <v/>
      </c>
    </row>
    <row r="3081" spans="1:5" x14ac:dyDescent="0.3">
      <c r="A3081" s="21" t="str">
        <f t="shared" si="48"/>
        <v>.</v>
      </c>
      <c r="D3081" s="44"/>
      <c r="E3081" s="22" t="str">
        <f>IF(D3081&lt;&gt;"",IFERROR(INDEX(Produtos!$C$4:$C$4996,MATCH(D3081,Produtos!$B$4:$B$4996,0)),"Produto não encontrado"),"")</f>
        <v/>
      </c>
    </row>
    <row r="3082" spans="1:5" x14ac:dyDescent="0.3">
      <c r="A3082" s="21" t="str">
        <f t="shared" si="48"/>
        <v>.</v>
      </c>
      <c r="D3082" s="44"/>
      <c r="E3082" s="22" t="str">
        <f>IF(D3082&lt;&gt;"",IFERROR(INDEX(Produtos!$C$4:$C$4996,MATCH(D3082,Produtos!$B$4:$B$4996,0)),"Produto não encontrado"),"")</f>
        <v/>
      </c>
    </row>
    <row r="3083" spans="1:5" x14ac:dyDescent="0.3">
      <c r="A3083" s="21" t="str">
        <f t="shared" si="48"/>
        <v>.</v>
      </c>
      <c r="D3083" s="44"/>
      <c r="E3083" s="22" t="str">
        <f>IF(D3083&lt;&gt;"",IFERROR(INDEX(Produtos!$C$4:$C$4996,MATCH(D3083,Produtos!$B$4:$B$4996,0)),"Produto não encontrado"),"")</f>
        <v/>
      </c>
    </row>
    <row r="3084" spans="1:5" x14ac:dyDescent="0.3">
      <c r="A3084" s="21" t="str">
        <f t="shared" si="48"/>
        <v>.</v>
      </c>
      <c r="D3084" s="44"/>
      <c r="E3084" s="22" t="str">
        <f>IF(D3084&lt;&gt;"",IFERROR(INDEX(Produtos!$C$4:$C$4996,MATCH(D3084,Produtos!$B$4:$B$4996,0)),"Produto não encontrado"),"")</f>
        <v/>
      </c>
    </row>
    <row r="3085" spans="1:5" x14ac:dyDescent="0.3">
      <c r="A3085" s="21" t="str">
        <f t="shared" si="48"/>
        <v>.</v>
      </c>
      <c r="D3085" s="44"/>
      <c r="E3085" s="22" t="str">
        <f>IF(D3085&lt;&gt;"",IFERROR(INDEX(Produtos!$C$4:$C$4996,MATCH(D3085,Produtos!$B$4:$B$4996,0)),"Produto não encontrado"),"")</f>
        <v/>
      </c>
    </row>
    <row r="3086" spans="1:5" x14ac:dyDescent="0.3">
      <c r="A3086" s="21" t="str">
        <f t="shared" si="48"/>
        <v>.</v>
      </c>
      <c r="D3086" s="44"/>
      <c r="E3086" s="22" t="str">
        <f>IF(D3086&lt;&gt;"",IFERROR(INDEX(Produtos!$C$4:$C$4996,MATCH(D3086,Produtos!$B$4:$B$4996,0)),"Produto não encontrado"),"")</f>
        <v/>
      </c>
    </row>
    <row r="3087" spans="1:5" x14ac:dyDescent="0.3">
      <c r="A3087" s="21" t="str">
        <f t="shared" si="48"/>
        <v>.</v>
      </c>
      <c r="D3087" s="44"/>
      <c r="E3087" s="22" t="str">
        <f>IF(D3087&lt;&gt;"",IFERROR(INDEX(Produtos!$C$4:$C$4996,MATCH(D3087,Produtos!$B$4:$B$4996,0)),"Produto não encontrado"),"")</f>
        <v/>
      </c>
    </row>
    <row r="3088" spans="1:5" x14ac:dyDescent="0.3">
      <c r="A3088" s="21" t="str">
        <f t="shared" si="48"/>
        <v>.</v>
      </c>
      <c r="D3088" s="44"/>
      <c r="E3088" s="22" t="str">
        <f>IF(D3088&lt;&gt;"",IFERROR(INDEX(Produtos!$C$4:$C$4996,MATCH(D3088,Produtos!$B$4:$B$4996,0)),"Produto não encontrado"),"")</f>
        <v/>
      </c>
    </row>
    <row r="3089" spans="1:5" x14ac:dyDescent="0.3">
      <c r="A3089" s="21" t="str">
        <f t="shared" si="48"/>
        <v>.</v>
      </c>
      <c r="D3089" s="44"/>
      <c r="E3089" s="22" t="str">
        <f>IF(D3089&lt;&gt;"",IFERROR(INDEX(Produtos!$C$4:$C$4996,MATCH(D3089,Produtos!$B$4:$B$4996,0)),"Produto não encontrado"),"")</f>
        <v/>
      </c>
    </row>
    <row r="3090" spans="1:5" x14ac:dyDescent="0.3">
      <c r="A3090" s="21" t="str">
        <f t="shared" si="48"/>
        <v>.</v>
      </c>
      <c r="D3090" s="44"/>
      <c r="E3090" s="22" t="str">
        <f>IF(D3090&lt;&gt;"",IFERROR(INDEX(Produtos!$C$4:$C$4996,MATCH(D3090,Produtos!$B$4:$B$4996,0)),"Produto não encontrado"),"")</f>
        <v/>
      </c>
    </row>
    <row r="3091" spans="1:5" x14ac:dyDescent="0.3">
      <c r="A3091" s="21" t="str">
        <f t="shared" si="48"/>
        <v>.</v>
      </c>
      <c r="D3091" s="44"/>
      <c r="E3091" s="22" t="str">
        <f>IF(D3091&lt;&gt;"",IFERROR(INDEX(Produtos!$C$4:$C$4996,MATCH(D3091,Produtos!$B$4:$B$4996,0)),"Produto não encontrado"),"")</f>
        <v/>
      </c>
    </row>
    <row r="3092" spans="1:5" x14ac:dyDescent="0.3">
      <c r="A3092" s="21" t="str">
        <f t="shared" si="48"/>
        <v>.</v>
      </c>
      <c r="D3092" s="44"/>
      <c r="E3092" s="22" t="str">
        <f>IF(D3092&lt;&gt;"",IFERROR(INDEX(Produtos!$C$4:$C$4996,MATCH(D3092,Produtos!$B$4:$B$4996,0)),"Produto não encontrado"),"")</f>
        <v/>
      </c>
    </row>
    <row r="3093" spans="1:5" x14ac:dyDescent="0.3">
      <c r="A3093" s="21" t="str">
        <f t="shared" si="48"/>
        <v>.</v>
      </c>
      <c r="D3093" s="44"/>
      <c r="E3093" s="22" t="str">
        <f>IF(D3093&lt;&gt;"",IFERROR(INDEX(Produtos!$C$4:$C$4996,MATCH(D3093,Produtos!$B$4:$B$4996,0)),"Produto não encontrado"),"")</f>
        <v/>
      </c>
    </row>
    <row r="3094" spans="1:5" x14ac:dyDescent="0.3">
      <c r="A3094" s="21" t="str">
        <f t="shared" si="48"/>
        <v>.</v>
      </c>
      <c r="D3094" s="44"/>
      <c r="E3094" s="22" t="str">
        <f>IF(D3094&lt;&gt;"",IFERROR(INDEX(Produtos!$C$4:$C$4996,MATCH(D3094,Produtos!$B$4:$B$4996,0)),"Produto não encontrado"),"")</f>
        <v/>
      </c>
    </row>
    <row r="3095" spans="1:5" x14ac:dyDescent="0.3">
      <c r="A3095" s="21" t="str">
        <f t="shared" si="48"/>
        <v>.</v>
      </c>
      <c r="D3095" s="44"/>
      <c r="E3095" s="22" t="str">
        <f>IF(D3095&lt;&gt;"",IFERROR(INDEX(Produtos!$C$4:$C$4996,MATCH(D3095,Produtos!$B$4:$B$4996,0)),"Produto não encontrado"),"")</f>
        <v/>
      </c>
    </row>
    <row r="3096" spans="1:5" x14ac:dyDescent="0.3">
      <c r="A3096" s="21" t="str">
        <f t="shared" si="48"/>
        <v>.</v>
      </c>
      <c r="D3096" s="44"/>
      <c r="E3096" s="22" t="str">
        <f>IF(D3096&lt;&gt;"",IFERROR(INDEX(Produtos!$C$4:$C$4996,MATCH(D3096,Produtos!$B$4:$B$4996,0)),"Produto não encontrado"),"")</f>
        <v/>
      </c>
    </row>
    <row r="3097" spans="1:5" x14ac:dyDescent="0.3">
      <c r="A3097" s="21" t="str">
        <f t="shared" si="48"/>
        <v>.</v>
      </c>
      <c r="D3097" s="44"/>
      <c r="E3097" s="22" t="str">
        <f>IF(D3097&lt;&gt;"",IFERROR(INDEX(Produtos!$C$4:$C$4996,MATCH(D3097,Produtos!$B$4:$B$4996,0)),"Produto não encontrado"),"")</f>
        <v/>
      </c>
    </row>
    <row r="3098" spans="1:5" x14ac:dyDescent="0.3">
      <c r="A3098" s="21" t="str">
        <f t="shared" si="48"/>
        <v>.</v>
      </c>
      <c r="D3098" s="44"/>
      <c r="E3098" s="22" t="str">
        <f>IF(D3098&lt;&gt;"",IFERROR(INDEX(Produtos!$C$4:$C$4996,MATCH(D3098,Produtos!$B$4:$B$4996,0)),"Produto não encontrado"),"")</f>
        <v/>
      </c>
    </row>
    <row r="3099" spans="1:5" x14ac:dyDescent="0.3">
      <c r="A3099" s="21" t="str">
        <f t="shared" si="48"/>
        <v>.</v>
      </c>
      <c r="D3099" s="44"/>
      <c r="E3099" s="22" t="str">
        <f>IF(D3099&lt;&gt;"",IFERROR(INDEX(Produtos!$C$4:$C$4996,MATCH(D3099,Produtos!$B$4:$B$4996,0)),"Produto não encontrado"),"")</f>
        <v/>
      </c>
    </row>
    <row r="3100" spans="1:5" x14ac:dyDescent="0.3">
      <c r="A3100" s="21" t="str">
        <f t="shared" si="48"/>
        <v>.</v>
      </c>
      <c r="D3100" s="44"/>
      <c r="E3100" s="22" t="str">
        <f>IF(D3100&lt;&gt;"",IFERROR(INDEX(Produtos!$C$4:$C$4996,MATCH(D3100,Produtos!$B$4:$B$4996,0)),"Produto não encontrado"),"")</f>
        <v/>
      </c>
    </row>
    <row r="3101" spans="1:5" x14ac:dyDescent="0.3">
      <c r="A3101" s="21" t="str">
        <f t="shared" si="48"/>
        <v>.</v>
      </c>
      <c r="D3101" s="44"/>
      <c r="E3101" s="22" t="str">
        <f>IF(D3101&lt;&gt;"",IFERROR(INDEX(Produtos!$C$4:$C$4996,MATCH(D3101,Produtos!$B$4:$B$4996,0)),"Produto não encontrado"),"")</f>
        <v/>
      </c>
    </row>
    <row r="3102" spans="1:5" x14ac:dyDescent="0.3">
      <c r="A3102" s="21" t="str">
        <f t="shared" si="48"/>
        <v>.</v>
      </c>
      <c r="D3102" s="44"/>
      <c r="E3102" s="22" t="str">
        <f>IF(D3102&lt;&gt;"",IFERROR(INDEX(Produtos!$C$4:$C$4996,MATCH(D3102,Produtos!$B$4:$B$4996,0)),"Produto não encontrado"),"")</f>
        <v/>
      </c>
    </row>
    <row r="3103" spans="1:5" x14ac:dyDescent="0.3">
      <c r="A3103" s="21" t="str">
        <f t="shared" si="48"/>
        <v>.</v>
      </c>
      <c r="D3103" s="44"/>
      <c r="E3103" s="22" t="str">
        <f>IF(D3103&lt;&gt;"",IFERROR(INDEX(Produtos!$C$4:$C$4996,MATCH(D3103,Produtos!$B$4:$B$4996,0)),"Produto não encontrado"),"")</f>
        <v/>
      </c>
    </row>
    <row r="3104" spans="1:5" x14ac:dyDescent="0.3">
      <c r="A3104" s="21" t="str">
        <f t="shared" si="48"/>
        <v>.</v>
      </c>
      <c r="D3104" s="44"/>
      <c r="E3104" s="22" t="str">
        <f>IF(D3104&lt;&gt;"",IFERROR(INDEX(Produtos!$C$4:$C$4996,MATCH(D3104,Produtos!$B$4:$B$4996,0)),"Produto não encontrado"),"")</f>
        <v/>
      </c>
    </row>
    <row r="3105" spans="1:5" x14ac:dyDescent="0.3">
      <c r="A3105" s="21" t="str">
        <f t="shared" si="48"/>
        <v>.</v>
      </c>
      <c r="D3105" s="44"/>
      <c r="E3105" s="22" t="str">
        <f>IF(D3105&lt;&gt;"",IFERROR(INDEX(Produtos!$C$4:$C$4996,MATCH(D3105,Produtos!$B$4:$B$4996,0)),"Produto não encontrado"),"")</f>
        <v/>
      </c>
    </row>
    <row r="3106" spans="1:5" x14ac:dyDescent="0.3">
      <c r="A3106" s="21" t="str">
        <f t="shared" si="48"/>
        <v>.</v>
      </c>
      <c r="D3106" s="44"/>
      <c r="E3106" s="22" t="str">
        <f>IF(D3106&lt;&gt;"",IFERROR(INDEX(Produtos!$C$4:$C$4996,MATCH(D3106,Produtos!$B$4:$B$4996,0)),"Produto não encontrado"),"")</f>
        <v/>
      </c>
    </row>
    <row r="3107" spans="1:5" x14ac:dyDescent="0.3">
      <c r="A3107" s="21" t="str">
        <f t="shared" si="48"/>
        <v>.</v>
      </c>
      <c r="D3107" s="44"/>
      <c r="E3107" s="22" t="str">
        <f>IF(D3107&lt;&gt;"",IFERROR(INDEX(Produtos!$C$4:$C$4996,MATCH(D3107,Produtos!$B$4:$B$4996,0)),"Produto não encontrado"),"")</f>
        <v/>
      </c>
    </row>
    <row r="3108" spans="1:5" x14ac:dyDescent="0.3">
      <c r="A3108" s="21" t="str">
        <f t="shared" si="48"/>
        <v>.</v>
      </c>
      <c r="D3108" s="44"/>
      <c r="E3108" s="22" t="str">
        <f>IF(D3108&lt;&gt;"",IFERROR(INDEX(Produtos!$C$4:$C$4996,MATCH(D3108,Produtos!$B$4:$B$4996,0)),"Produto não encontrado"),"")</f>
        <v/>
      </c>
    </row>
    <row r="3109" spans="1:5" x14ac:dyDescent="0.3">
      <c r="A3109" s="21" t="str">
        <f t="shared" si="48"/>
        <v>.</v>
      </c>
      <c r="D3109" s="44"/>
      <c r="E3109" s="22" t="str">
        <f>IF(D3109&lt;&gt;"",IFERROR(INDEX(Produtos!$C$4:$C$4996,MATCH(D3109,Produtos!$B$4:$B$4996,0)),"Produto não encontrado"),"")</f>
        <v/>
      </c>
    </row>
    <row r="3110" spans="1:5" x14ac:dyDescent="0.3">
      <c r="A3110" s="21" t="str">
        <f t="shared" si="48"/>
        <v>.</v>
      </c>
      <c r="D3110" s="44"/>
      <c r="E3110" s="22" t="str">
        <f>IF(D3110&lt;&gt;"",IFERROR(INDEX(Produtos!$C$4:$C$4996,MATCH(D3110,Produtos!$B$4:$B$4996,0)),"Produto não encontrado"),"")</f>
        <v/>
      </c>
    </row>
    <row r="3111" spans="1:5" x14ac:dyDescent="0.3">
      <c r="A3111" s="21" t="str">
        <f t="shared" si="48"/>
        <v>.</v>
      </c>
      <c r="D3111" s="44"/>
      <c r="E3111" s="22" t="str">
        <f>IF(D3111&lt;&gt;"",IFERROR(INDEX(Produtos!$C$4:$C$4996,MATCH(D3111,Produtos!$B$4:$B$4996,0)),"Produto não encontrado"),"")</f>
        <v/>
      </c>
    </row>
    <row r="3112" spans="1:5" x14ac:dyDescent="0.3">
      <c r="A3112" s="21" t="str">
        <f t="shared" si="48"/>
        <v>.</v>
      </c>
      <c r="D3112" s="44"/>
      <c r="E3112" s="22" t="str">
        <f>IF(D3112&lt;&gt;"",IFERROR(INDEX(Produtos!$C$4:$C$4996,MATCH(D3112,Produtos!$B$4:$B$4996,0)),"Produto não encontrado"),"")</f>
        <v/>
      </c>
    </row>
    <row r="3113" spans="1:5" x14ac:dyDescent="0.3">
      <c r="A3113" s="21" t="str">
        <f t="shared" si="48"/>
        <v>.</v>
      </c>
      <c r="D3113" s="44"/>
      <c r="E3113" s="22" t="str">
        <f>IF(D3113&lt;&gt;"",IFERROR(INDEX(Produtos!$C$4:$C$4996,MATCH(D3113,Produtos!$B$4:$B$4996,0)),"Produto não encontrado"),"")</f>
        <v/>
      </c>
    </row>
    <row r="3114" spans="1:5" x14ac:dyDescent="0.3">
      <c r="A3114" s="21" t="str">
        <f t="shared" si="48"/>
        <v>.</v>
      </c>
      <c r="D3114" s="44"/>
      <c r="E3114" s="22" t="str">
        <f>IF(D3114&lt;&gt;"",IFERROR(INDEX(Produtos!$C$4:$C$4996,MATCH(D3114,Produtos!$B$4:$B$4996,0)),"Produto não encontrado"),"")</f>
        <v/>
      </c>
    </row>
    <row r="3115" spans="1:5" x14ac:dyDescent="0.3">
      <c r="A3115" s="21" t="str">
        <f t="shared" si="48"/>
        <v>.</v>
      </c>
      <c r="D3115" s="44"/>
      <c r="E3115" s="22" t="str">
        <f>IF(D3115&lt;&gt;"",IFERROR(INDEX(Produtos!$C$4:$C$4996,MATCH(D3115,Produtos!$B$4:$B$4996,0)),"Produto não encontrado"),"")</f>
        <v/>
      </c>
    </row>
    <row r="3116" spans="1:5" x14ac:dyDescent="0.3">
      <c r="A3116" s="21" t="str">
        <f t="shared" si="48"/>
        <v>.</v>
      </c>
      <c r="D3116" s="44"/>
      <c r="E3116" s="22" t="str">
        <f>IF(D3116&lt;&gt;"",IFERROR(INDEX(Produtos!$C$4:$C$4996,MATCH(D3116,Produtos!$B$4:$B$4996,0)),"Produto não encontrado"),"")</f>
        <v/>
      </c>
    </row>
    <row r="3117" spans="1:5" x14ac:dyDescent="0.3">
      <c r="A3117" s="21" t="str">
        <f t="shared" si="48"/>
        <v>.</v>
      </c>
      <c r="D3117" s="44"/>
      <c r="E3117" s="22" t="str">
        <f>IF(D3117&lt;&gt;"",IFERROR(INDEX(Produtos!$C$4:$C$4996,MATCH(D3117,Produtos!$B$4:$B$4996,0)),"Produto não encontrado"),"")</f>
        <v/>
      </c>
    </row>
    <row r="3118" spans="1:5" x14ac:dyDescent="0.3">
      <c r="A3118" s="21" t="str">
        <f t="shared" si="48"/>
        <v>.</v>
      </c>
      <c r="D3118" s="44"/>
      <c r="E3118" s="22" t="str">
        <f>IF(D3118&lt;&gt;"",IFERROR(INDEX(Produtos!$C$4:$C$4996,MATCH(D3118,Produtos!$B$4:$B$4996,0)),"Produto não encontrado"),"")</f>
        <v/>
      </c>
    </row>
    <row r="3119" spans="1:5" x14ac:dyDescent="0.3">
      <c r="A3119" s="21" t="str">
        <f t="shared" si="48"/>
        <v>.</v>
      </c>
      <c r="D3119" s="44"/>
      <c r="E3119" s="22" t="str">
        <f>IF(D3119&lt;&gt;"",IFERROR(INDEX(Produtos!$C$4:$C$4996,MATCH(D3119,Produtos!$B$4:$B$4996,0)),"Produto não encontrado"),"")</f>
        <v/>
      </c>
    </row>
    <row r="3120" spans="1:5" x14ac:dyDescent="0.3">
      <c r="A3120" s="21" t="str">
        <f t="shared" si="48"/>
        <v>.</v>
      </c>
      <c r="D3120" s="44"/>
      <c r="E3120" s="22" t="str">
        <f>IF(D3120&lt;&gt;"",IFERROR(INDEX(Produtos!$C$4:$C$4996,MATCH(D3120,Produtos!$B$4:$B$4996,0)),"Produto não encontrado"),"")</f>
        <v/>
      </c>
    </row>
    <row r="3121" spans="1:5" x14ac:dyDescent="0.3">
      <c r="A3121" s="21" t="str">
        <f t="shared" si="48"/>
        <v>.</v>
      </c>
      <c r="D3121" s="44"/>
      <c r="E3121" s="22" t="str">
        <f>IF(D3121&lt;&gt;"",IFERROR(INDEX(Produtos!$C$4:$C$4996,MATCH(D3121,Produtos!$B$4:$B$4996,0)),"Produto não encontrado"),"")</f>
        <v/>
      </c>
    </row>
    <row r="3122" spans="1:5" x14ac:dyDescent="0.3">
      <c r="A3122" s="21" t="str">
        <f t="shared" si="48"/>
        <v>.</v>
      </c>
      <c r="D3122" s="44"/>
      <c r="E3122" s="22" t="str">
        <f>IF(D3122&lt;&gt;"",IFERROR(INDEX(Produtos!$C$4:$C$4996,MATCH(D3122,Produtos!$B$4:$B$4996,0)),"Produto não encontrado"),"")</f>
        <v/>
      </c>
    </row>
    <row r="3123" spans="1:5" x14ac:dyDescent="0.3">
      <c r="A3123" s="21" t="str">
        <f t="shared" si="48"/>
        <v>.</v>
      </c>
      <c r="D3123" s="44"/>
      <c r="E3123" s="22" t="str">
        <f>IF(D3123&lt;&gt;"",IFERROR(INDEX(Produtos!$C$4:$C$4996,MATCH(D3123,Produtos!$B$4:$B$4996,0)),"Produto não encontrado"),"")</f>
        <v/>
      </c>
    </row>
    <row r="3124" spans="1:5" x14ac:dyDescent="0.3">
      <c r="A3124" s="21" t="str">
        <f t="shared" si="48"/>
        <v>.</v>
      </c>
      <c r="D3124" s="44"/>
      <c r="E3124" s="22" t="str">
        <f>IF(D3124&lt;&gt;"",IFERROR(INDEX(Produtos!$C$4:$C$4996,MATCH(D3124,Produtos!$B$4:$B$4996,0)),"Produto não encontrado"),"")</f>
        <v/>
      </c>
    </row>
    <row r="3125" spans="1:5" x14ac:dyDescent="0.3">
      <c r="A3125" s="21" t="str">
        <f t="shared" si="48"/>
        <v>.</v>
      </c>
      <c r="D3125" s="44"/>
      <c r="E3125" s="22" t="str">
        <f>IF(D3125&lt;&gt;"",IFERROR(INDEX(Produtos!$C$4:$C$4996,MATCH(D3125,Produtos!$B$4:$B$4996,0)),"Produto não encontrado"),"")</f>
        <v/>
      </c>
    </row>
    <row r="3126" spans="1:5" x14ac:dyDescent="0.3">
      <c r="A3126" s="21" t="str">
        <f t="shared" si="48"/>
        <v>.</v>
      </c>
      <c r="D3126" s="44"/>
      <c r="E3126" s="22" t="str">
        <f>IF(D3126&lt;&gt;"",IFERROR(INDEX(Produtos!$C$4:$C$4996,MATCH(D3126,Produtos!$B$4:$B$4996,0)),"Produto não encontrado"),"")</f>
        <v/>
      </c>
    </row>
    <row r="3127" spans="1:5" x14ac:dyDescent="0.3">
      <c r="A3127" s="21" t="str">
        <f t="shared" si="48"/>
        <v>.</v>
      </c>
      <c r="D3127" s="44"/>
      <c r="E3127" s="22" t="str">
        <f>IF(D3127&lt;&gt;"",IFERROR(INDEX(Produtos!$C$4:$C$4996,MATCH(D3127,Produtos!$B$4:$B$4996,0)),"Produto não encontrado"),"")</f>
        <v/>
      </c>
    </row>
    <row r="3128" spans="1:5" x14ac:dyDescent="0.3">
      <c r="A3128" s="21" t="str">
        <f t="shared" si="48"/>
        <v>.</v>
      </c>
      <c r="D3128" s="44"/>
      <c r="E3128" s="22" t="str">
        <f>IF(D3128&lt;&gt;"",IFERROR(INDEX(Produtos!$C$4:$C$4996,MATCH(D3128,Produtos!$B$4:$B$4996,0)),"Produto não encontrado"),"")</f>
        <v/>
      </c>
    </row>
    <row r="3129" spans="1:5" x14ac:dyDescent="0.3">
      <c r="A3129" s="21" t="str">
        <f t="shared" si="48"/>
        <v>.</v>
      </c>
      <c r="D3129" s="44"/>
      <c r="E3129" s="22" t="str">
        <f>IF(D3129&lt;&gt;"",IFERROR(INDEX(Produtos!$C$4:$C$4996,MATCH(D3129,Produtos!$B$4:$B$4996,0)),"Produto não encontrado"),"")</f>
        <v/>
      </c>
    </row>
    <row r="3130" spans="1:5" x14ac:dyDescent="0.3">
      <c r="A3130" s="21" t="str">
        <f t="shared" si="48"/>
        <v>.</v>
      </c>
      <c r="D3130" s="44"/>
      <c r="E3130" s="22" t="str">
        <f>IF(D3130&lt;&gt;"",IFERROR(INDEX(Produtos!$C$4:$C$4996,MATCH(D3130,Produtos!$B$4:$B$4996,0)),"Produto não encontrado"),"")</f>
        <v/>
      </c>
    </row>
    <row r="3131" spans="1:5" x14ac:dyDescent="0.3">
      <c r="A3131" s="21" t="str">
        <f t="shared" si="48"/>
        <v>.</v>
      </c>
      <c r="D3131" s="44"/>
      <c r="E3131" s="22" t="str">
        <f>IF(D3131&lt;&gt;"",IFERROR(INDEX(Produtos!$C$4:$C$4996,MATCH(D3131,Produtos!$B$4:$B$4996,0)),"Produto não encontrado"),"")</f>
        <v/>
      </c>
    </row>
    <row r="3132" spans="1:5" x14ac:dyDescent="0.3">
      <c r="A3132" s="21" t="str">
        <f t="shared" si="48"/>
        <v>.</v>
      </c>
      <c r="D3132" s="44"/>
      <c r="E3132" s="22" t="str">
        <f>IF(D3132&lt;&gt;"",IFERROR(INDEX(Produtos!$C$4:$C$4996,MATCH(D3132,Produtos!$B$4:$B$4996,0)),"Produto não encontrado"),"")</f>
        <v/>
      </c>
    </row>
    <row r="3133" spans="1:5" x14ac:dyDescent="0.3">
      <c r="A3133" s="21" t="str">
        <f t="shared" si="48"/>
        <v>.</v>
      </c>
      <c r="D3133" s="44"/>
      <c r="E3133" s="22" t="str">
        <f>IF(D3133&lt;&gt;"",IFERROR(INDEX(Produtos!$C$4:$C$4996,MATCH(D3133,Produtos!$B$4:$B$4996,0)),"Produto não encontrado"),"")</f>
        <v/>
      </c>
    </row>
    <row r="3134" spans="1:5" x14ac:dyDescent="0.3">
      <c r="A3134" s="21" t="str">
        <f t="shared" si="48"/>
        <v>.</v>
      </c>
      <c r="D3134" s="44"/>
      <c r="E3134" s="22" t="str">
        <f>IF(D3134&lt;&gt;"",IFERROR(INDEX(Produtos!$C$4:$C$4996,MATCH(D3134,Produtos!$B$4:$B$4996,0)),"Produto não encontrado"),"")</f>
        <v/>
      </c>
    </row>
    <row r="3135" spans="1:5" x14ac:dyDescent="0.3">
      <c r="A3135" s="21" t="str">
        <f t="shared" si="48"/>
        <v>.</v>
      </c>
      <c r="D3135" s="44"/>
      <c r="E3135" s="22" t="str">
        <f>IF(D3135&lt;&gt;"",IFERROR(INDEX(Produtos!$C$4:$C$4996,MATCH(D3135,Produtos!$B$4:$B$4996,0)),"Produto não encontrado"),"")</f>
        <v/>
      </c>
    </row>
    <row r="3136" spans="1:5" x14ac:dyDescent="0.3">
      <c r="A3136" s="21" t="str">
        <f t="shared" ref="A3136:A3199" si="49">IF(C3136="Entrada",2,IF(C3136="Saída",1,"."))</f>
        <v>.</v>
      </c>
      <c r="D3136" s="44"/>
      <c r="E3136" s="22" t="str">
        <f>IF(D3136&lt;&gt;"",IFERROR(INDEX(Produtos!$C$4:$C$4996,MATCH(D3136,Produtos!$B$4:$B$4996,0)),"Produto não encontrado"),"")</f>
        <v/>
      </c>
    </row>
    <row r="3137" spans="1:5" x14ac:dyDescent="0.3">
      <c r="A3137" s="21" t="str">
        <f t="shared" si="49"/>
        <v>.</v>
      </c>
      <c r="D3137" s="44"/>
      <c r="E3137" s="22" t="str">
        <f>IF(D3137&lt;&gt;"",IFERROR(INDEX(Produtos!$C$4:$C$4996,MATCH(D3137,Produtos!$B$4:$B$4996,0)),"Produto não encontrado"),"")</f>
        <v/>
      </c>
    </row>
    <row r="3138" spans="1:5" x14ac:dyDescent="0.3">
      <c r="A3138" s="21" t="str">
        <f t="shared" si="49"/>
        <v>.</v>
      </c>
      <c r="D3138" s="44"/>
      <c r="E3138" s="22" t="str">
        <f>IF(D3138&lt;&gt;"",IFERROR(INDEX(Produtos!$C$4:$C$4996,MATCH(D3138,Produtos!$B$4:$B$4996,0)),"Produto não encontrado"),"")</f>
        <v/>
      </c>
    </row>
    <row r="3139" spans="1:5" x14ac:dyDescent="0.3">
      <c r="A3139" s="21" t="str">
        <f t="shared" si="49"/>
        <v>.</v>
      </c>
      <c r="D3139" s="44"/>
      <c r="E3139" s="22" t="str">
        <f>IF(D3139&lt;&gt;"",IFERROR(INDEX(Produtos!$C$4:$C$4996,MATCH(D3139,Produtos!$B$4:$B$4996,0)),"Produto não encontrado"),"")</f>
        <v/>
      </c>
    </row>
    <row r="3140" spans="1:5" x14ac:dyDescent="0.3">
      <c r="A3140" s="21" t="str">
        <f t="shared" si="49"/>
        <v>.</v>
      </c>
      <c r="D3140" s="44"/>
      <c r="E3140" s="22" t="str">
        <f>IF(D3140&lt;&gt;"",IFERROR(INDEX(Produtos!$C$4:$C$4996,MATCH(D3140,Produtos!$B$4:$B$4996,0)),"Produto não encontrado"),"")</f>
        <v/>
      </c>
    </row>
    <row r="3141" spans="1:5" x14ac:dyDescent="0.3">
      <c r="A3141" s="21" t="str">
        <f t="shared" si="49"/>
        <v>.</v>
      </c>
      <c r="D3141" s="44"/>
      <c r="E3141" s="22" t="str">
        <f>IF(D3141&lt;&gt;"",IFERROR(INDEX(Produtos!$C$4:$C$4996,MATCH(D3141,Produtos!$B$4:$B$4996,0)),"Produto não encontrado"),"")</f>
        <v/>
      </c>
    </row>
    <row r="3142" spans="1:5" x14ac:dyDescent="0.3">
      <c r="A3142" s="21" t="str">
        <f t="shared" si="49"/>
        <v>.</v>
      </c>
      <c r="D3142" s="44"/>
      <c r="E3142" s="22" t="str">
        <f>IF(D3142&lt;&gt;"",IFERROR(INDEX(Produtos!$C$4:$C$4996,MATCH(D3142,Produtos!$B$4:$B$4996,0)),"Produto não encontrado"),"")</f>
        <v/>
      </c>
    </row>
    <row r="3143" spans="1:5" x14ac:dyDescent="0.3">
      <c r="A3143" s="21" t="str">
        <f t="shared" si="49"/>
        <v>.</v>
      </c>
      <c r="D3143" s="44"/>
      <c r="E3143" s="22" t="str">
        <f>IF(D3143&lt;&gt;"",IFERROR(INDEX(Produtos!$C$4:$C$4996,MATCH(D3143,Produtos!$B$4:$B$4996,0)),"Produto não encontrado"),"")</f>
        <v/>
      </c>
    </row>
    <row r="3144" spans="1:5" x14ac:dyDescent="0.3">
      <c r="A3144" s="21" t="str">
        <f t="shared" si="49"/>
        <v>.</v>
      </c>
      <c r="D3144" s="44"/>
      <c r="E3144" s="22" t="str">
        <f>IF(D3144&lt;&gt;"",IFERROR(INDEX(Produtos!$C$4:$C$4996,MATCH(D3144,Produtos!$B$4:$B$4996,0)),"Produto não encontrado"),"")</f>
        <v/>
      </c>
    </row>
    <row r="3145" spans="1:5" x14ac:dyDescent="0.3">
      <c r="A3145" s="21" t="str">
        <f t="shared" si="49"/>
        <v>.</v>
      </c>
      <c r="D3145" s="44"/>
      <c r="E3145" s="22" t="str">
        <f>IF(D3145&lt;&gt;"",IFERROR(INDEX(Produtos!$C$4:$C$4996,MATCH(D3145,Produtos!$B$4:$B$4996,0)),"Produto não encontrado"),"")</f>
        <v/>
      </c>
    </row>
    <row r="3146" spans="1:5" x14ac:dyDescent="0.3">
      <c r="A3146" s="21" t="str">
        <f t="shared" si="49"/>
        <v>.</v>
      </c>
      <c r="D3146" s="44"/>
      <c r="E3146" s="22" t="str">
        <f>IF(D3146&lt;&gt;"",IFERROR(INDEX(Produtos!$C$4:$C$4996,MATCH(D3146,Produtos!$B$4:$B$4996,0)),"Produto não encontrado"),"")</f>
        <v/>
      </c>
    </row>
    <row r="3147" spans="1:5" x14ac:dyDescent="0.3">
      <c r="A3147" s="21" t="str">
        <f t="shared" si="49"/>
        <v>.</v>
      </c>
      <c r="D3147" s="44"/>
      <c r="E3147" s="22" t="str">
        <f>IF(D3147&lt;&gt;"",IFERROR(INDEX(Produtos!$C$4:$C$4996,MATCH(D3147,Produtos!$B$4:$B$4996,0)),"Produto não encontrado"),"")</f>
        <v/>
      </c>
    </row>
    <row r="3148" spans="1:5" x14ac:dyDescent="0.3">
      <c r="A3148" s="21" t="str">
        <f t="shared" si="49"/>
        <v>.</v>
      </c>
      <c r="D3148" s="44"/>
      <c r="E3148" s="22" t="str">
        <f>IF(D3148&lt;&gt;"",IFERROR(INDEX(Produtos!$C$4:$C$4996,MATCH(D3148,Produtos!$B$4:$B$4996,0)),"Produto não encontrado"),"")</f>
        <v/>
      </c>
    </row>
    <row r="3149" spans="1:5" x14ac:dyDescent="0.3">
      <c r="A3149" s="21" t="str">
        <f t="shared" si="49"/>
        <v>.</v>
      </c>
      <c r="D3149" s="44"/>
      <c r="E3149" s="22" t="str">
        <f>IF(D3149&lt;&gt;"",IFERROR(INDEX(Produtos!$C$4:$C$4996,MATCH(D3149,Produtos!$B$4:$B$4996,0)),"Produto não encontrado"),"")</f>
        <v/>
      </c>
    </row>
    <row r="3150" spans="1:5" x14ac:dyDescent="0.3">
      <c r="A3150" s="21" t="str">
        <f t="shared" si="49"/>
        <v>.</v>
      </c>
      <c r="D3150" s="44"/>
      <c r="E3150" s="22" t="str">
        <f>IF(D3150&lt;&gt;"",IFERROR(INDEX(Produtos!$C$4:$C$4996,MATCH(D3150,Produtos!$B$4:$B$4996,0)),"Produto não encontrado"),"")</f>
        <v/>
      </c>
    </row>
    <row r="3151" spans="1:5" x14ac:dyDescent="0.3">
      <c r="A3151" s="21" t="str">
        <f t="shared" si="49"/>
        <v>.</v>
      </c>
      <c r="D3151" s="44"/>
      <c r="E3151" s="22" t="str">
        <f>IF(D3151&lt;&gt;"",IFERROR(INDEX(Produtos!$C$4:$C$4996,MATCH(D3151,Produtos!$B$4:$B$4996,0)),"Produto não encontrado"),"")</f>
        <v/>
      </c>
    </row>
    <row r="3152" spans="1:5" x14ac:dyDescent="0.3">
      <c r="A3152" s="21" t="str">
        <f t="shared" si="49"/>
        <v>.</v>
      </c>
      <c r="D3152" s="44"/>
      <c r="E3152" s="22" t="str">
        <f>IF(D3152&lt;&gt;"",IFERROR(INDEX(Produtos!$C$4:$C$4996,MATCH(D3152,Produtos!$B$4:$B$4996,0)),"Produto não encontrado"),"")</f>
        <v/>
      </c>
    </row>
    <row r="3153" spans="1:5" x14ac:dyDescent="0.3">
      <c r="A3153" s="21" t="str">
        <f t="shared" si="49"/>
        <v>.</v>
      </c>
      <c r="D3153" s="44"/>
      <c r="E3153" s="22" t="str">
        <f>IF(D3153&lt;&gt;"",IFERROR(INDEX(Produtos!$C$4:$C$4996,MATCH(D3153,Produtos!$B$4:$B$4996,0)),"Produto não encontrado"),"")</f>
        <v/>
      </c>
    </row>
    <row r="3154" spans="1:5" x14ac:dyDescent="0.3">
      <c r="A3154" s="21" t="str">
        <f t="shared" si="49"/>
        <v>.</v>
      </c>
      <c r="D3154" s="44"/>
      <c r="E3154" s="22" t="str">
        <f>IF(D3154&lt;&gt;"",IFERROR(INDEX(Produtos!$C$4:$C$4996,MATCH(D3154,Produtos!$B$4:$B$4996,0)),"Produto não encontrado"),"")</f>
        <v/>
      </c>
    </row>
    <row r="3155" spans="1:5" x14ac:dyDescent="0.3">
      <c r="A3155" s="21" t="str">
        <f t="shared" si="49"/>
        <v>.</v>
      </c>
      <c r="D3155" s="44"/>
      <c r="E3155" s="22" t="str">
        <f>IF(D3155&lt;&gt;"",IFERROR(INDEX(Produtos!$C$4:$C$4996,MATCH(D3155,Produtos!$B$4:$B$4996,0)),"Produto não encontrado"),"")</f>
        <v/>
      </c>
    </row>
    <row r="3156" spans="1:5" x14ac:dyDescent="0.3">
      <c r="A3156" s="21" t="str">
        <f t="shared" si="49"/>
        <v>.</v>
      </c>
      <c r="D3156" s="44"/>
      <c r="E3156" s="22" t="str">
        <f>IF(D3156&lt;&gt;"",IFERROR(INDEX(Produtos!$C$4:$C$4996,MATCH(D3156,Produtos!$B$4:$B$4996,0)),"Produto não encontrado"),"")</f>
        <v/>
      </c>
    </row>
    <row r="3157" spans="1:5" x14ac:dyDescent="0.3">
      <c r="A3157" s="21" t="str">
        <f t="shared" si="49"/>
        <v>.</v>
      </c>
      <c r="D3157" s="44"/>
      <c r="E3157" s="22" t="str">
        <f>IF(D3157&lt;&gt;"",IFERROR(INDEX(Produtos!$C$4:$C$4996,MATCH(D3157,Produtos!$B$4:$B$4996,0)),"Produto não encontrado"),"")</f>
        <v/>
      </c>
    </row>
    <row r="3158" spans="1:5" x14ac:dyDescent="0.3">
      <c r="A3158" s="21" t="str">
        <f t="shared" si="49"/>
        <v>.</v>
      </c>
      <c r="D3158" s="44"/>
      <c r="E3158" s="22" t="str">
        <f>IF(D3158&lt;&gt;"",IFERROR(INDEX(Produtos!$C$4:$C$4996,MATCH(D3158,Produtos!$B$4:$B$4996,0)),"Produto não encontrado"),"")</f>
        <v/>
      </c>
    </row>
    <row r="3159" spans="1:5" x14ac:dyDescent="0.3">
      <c r="A3159" s="21" t="str">
        <f t="shared" si="49"/>
        <v>.</v>
      </c>
      <c r="D3159" s="44"/>
      <c r="E3159" s="22" t="str">
        <f>IF(D3159&lt;&gt;"",IFERROR(INDEX(Produtos!$C$4:$C$4996,MATCH(D3159,Produtos!$B$4:$B$4996,0)),"Produto não encontrado"),"")</f>
        <v/>
      </c>
    </row>
    <row r="3160" spans="1:5" x14ac:dyDescent="0.3">
      <c r="A3160" s="21" t="str">
        <f t="shared" si="49"/>
        <v>.</v>
      </c>
      <c r="D3160" s="44"/>
      <c r="E3160" s="22" t="str">
        <f>IF(D3160&lt;&gt;"",IFERROR(INDEX(Produtos!$C$4:$C$4996,MATCH(D3160,Produtos!$B$4:$B$4996,0)),"Produto não encontrado"),"")</f>
        <v/>
      </c>
    </row>
    <row r="3161" spans="1:5" x14ac:dyDescent="0.3">
      <c r="A3161" s="21" t="str">
        <f t="shared" si="49"/>
        <v>.</v>
      </c>
      <c r="D3161" s="44"/>
      <c r="E3161" s="22" t="str">
        <f>IF(D3161&lt;&gt;"",IFERROR(INDEX(Produtos!$C$4:$C$4996,MATCH(D3161,Produtos!$B$4:$B$4996,0)),"Produto não encontrado"),"")</f>
        <v/>
      </c>
    </row>
    <row r="3162" spans="1:5" x14ac:dyDescent="0.3">
      <c r="A3162" s="21" t="str">
        <f t="shared" si="49"/>
        <v>.</v>
      </c>
      <c r="D3162" s="44"/>
      <c r="E3162" s="22" t="str">
        <f>IF(D3162&lt;&gt;"",IFERROR(INDEX(Produtos!$C$4:$C$4996,MATCH(D3162,Produtos!$B$4:$B$4996,0)),"Produto não encontrado"),"")</f>
        <v/>
      </c>
    </row>
    <row r="3163" spans="1:5" x14ac:dyDescent="0.3">
      <c r="A3163" s="21" t="str">
        <f t="shared" si="49"/>
        <v>.</v>
      </c>
      <c r="D3163" s="44"/>
      <c r="E3163" s="22" t="str">
        <f>IF(D3163&lt;&gt;"",IFERROR(INDEX(Produtos!$C$4:$C$4996,MATCH(D3163,Produtos!$B$4:$B$4996,0)),"Produto não encontrado"),"")</f>
        <v/>
      </c>
    </row>
    <row r="3164" spans="1:5" x14ac:dyDescent="0.3">
      <c r="A3164" s="21" t="str">
        <f t="shared" si="49"/>
        <v>.</v>
      </c>
      <c r="D3164" s="44"/>
      <c r="E3164" s="22" t="str">
        <f>IF(D3164&lt;&gt;"",IFERROR(INDEX(Produtos!$C$4:$C$4996,MATCH(D3164,Produtos!$B$4:$B$4996,0)),"Produto não encontrado"),"")</f>
        <v/>
      </c>
    </row>
    <row r="3165" spans="1:5" x14ac:dyDescent="0.3">
      <c r="A3165" s="21" t="str">
        <f t="shared" si="49"/>
        <v>.</v>
      </c>
      <c r="D3165" s="44"/>
      <c r="E3165" s="22" t="str">
        <f>IF(D3165&lt;&gt;"",IFERROR(INDEX(Produtos!$C$4:$C$4996,MATCH(D3165,Produtos!$B$4:$B$4996,0)),"Produto não encontrado"),"")</f>
        <v/>
      </c>
    </row>
    <row r="3166" spans="1:5" x14ac:dyDescent="0.3">
      <c r="A3166" s="21" t="str">
        <f t="shared" si="49"/>
        <v>.</v>
      </c>
      <c r="D3166" s="44"/>
      <c r="E3166" s="22" t="str">
        <f>IF(D3166&lt;&gt;"",IFERROR(INDEX(Produtos!$C$4:$C$4996,MATCH(D3166,Produtos!$B$4:$B$4996,0)),"Produto não encontrado"),"")</f>
        <v/>
      </c>
    </row>
    <row r="3167" spans="1:5" x14ac:dyDescent="0.3">
      <c r="A3167" s="21" t="str">
        <f t="shared" si="49"/>
        <v>.</v>
      </c>
      <c r="D3167" s="44"/>
      <c r="E3167" s="22" t="str">
        <f>IF(D3167&lt;&gt;"",IFERROR(INDEX(Produtos!$C$4:$C$4996,MATCH(D3167,Produtos!$B$4:$B$4996,0)),"Produto não encontrado"),"")</f>
        <v/>
      </c>
    </row>
    <row r="3168" spans="1:5" x14ac:dyDescent="0.3">
      <c r="A3168" s="21" t="str">
        <f t="shared" si="49"/>
        <v>.</v>
      </c>
      <c r="D3168" s="44"/>
      <c r="E3168" s="22" t="str">
        <f>IF(D3168&lt;&gt;"",IFERROR(INDEX(Produtos!$C$4:$C$4996,MATCH(D3168,Produtos!$B$4:$B$4996,0)),"Produto não encontrado"),"")</f>
        <v/>
      </c>
    </row>
    <row r="3169" spans="1:5" x14ac:dyDescent="0.3">
      <c r="A3169" s="21" t="str">
        <f t="shared" si="49"/>
        <v>.</v>
      </c>
      <c r="D3169" s="44"/>
      <c r="E3169" s="22" t="str">
        <f>IF(D3169&lt;&gt;"",IFERROR(INDEX(Produtos!$C$4:$C$4996,MATCH(D3169,Produtos!$B$4:$B$4996,0)),"Produto não encontrado"),"")</f>
        <v/>
      </c>
    </row>
    <row r="3170" spans="1:5" x14ac:dyDescent="0.3">
      <c r="A3170" s="21" t="str">
        <f t="shared" si="49"/>
        <v>.</v>
      </c>
      <c r="D3170" s="44"/>
      <c r="E3170" s="22" t="str">
        <f>IF(D3170&lt;&gt;"",IFERROR(INDEX(Produtos!$C$4:$C$4996,MATCH(D3170,Produtos!$B$4:$B$4996,0)),"Produto não encontrado"),"")</f>
        <v/>
      </c>
    </row>
    <row r="3171" spans="1:5" x14ac:dyDescent="0.3">
      <c r="A3171" s="21" t="str">
        <f t="shared" si="49"/>
        <v>.</v>
      </c>
      <c r="D3171" s="44"/>
      <c r="E3171" s="22" t="str">
        <f>IF(D3171&lt;&gt;"",IFERROR(INDEX(Produtos!$C$4:$C$4996,MATCH(D3171,Produtos!$B$4:$B$4996,0)),"Produto não encontrado"),"")</f>
        <v/>
      </c>
    </row>
    <row r="3172" spans="1:5" x14ac:dyDescent="0.3">
      <c r="A3172" s="21" t="str">
        <f t="shared" si="49"/>
        <v>.</v>
      </c>
      <c r="D3172" s="44"/>
      <c r="E3172" s="22" t="str">
        <f>IF(D3172&lt;&gt;"",IFERROR(INDEX(Produtos!$C$4:$C$4996,MATCH(D3172,Produtos!$B$4:$B$4996,0)),"Produto não encontrado"),"")</f>
        <v/>
      </c>
    </row>
    <row r="3173" spans="1:5" x14ac:dyDescent="0.3">
      <c r="A3173" s="21" t="str">
        <f t="shared" si="49"/>
        <v>.</v>
      </c>
      <c r="D3173" s="44"/>
      <c r="E3173" s="22" t="str">
        <f>IF(D3173&lt;&gt;"",IFERROR(INDEX(Produtos!$C$4:$C$4996,MATCH(D3173,Produtos!$B$4:$B$4996,0)),"Produto não encontrado"),"")</f>
        <v/>
      </c>
    </row>
    <row r="3174" spans="1:5" x14ac:dyDescent="0.3">
      <c r="A3174" s="21" t="str">
        <f t="shared" si="49"/>
        <v>.</v>
      </c>
      <c r="D3174" s="44"/>
      <c r="E3174" s="22" t="str">
        <f>IF(D3174&lt;&gt;"",IFERROR(INDEX(Produtos!$C$4:$C$4996,MATCH(D3174,Produtos!$B$4:$B$4996,0)),"Produto não encontrado"),"")</f>
        <v/>
      </c>
    </row>
    <row r="3175" spans="1:5" x14ac:dyDescent="0.3">
      <c r="A3175" s="21" t="str">
        <f t="shared" si="49"/>
        <v>.</v>
      </c>
      <c r="D3175" s="44"/>
      <c r="E3175" s="22" t="str">
        <f>IF(D3175&lt;&gt;"",IFERROR(INDEX(Produtos!$C$4:$C$4996,MATCH(D3175,Produtos!$B$4:$B$4996,0)),"Produto não encontrado"),"")</f>
        <v/>
      </c>
    </row>
    <row r="3176" spans="1:5" x14ac:dyDescent="0.3">
      <c r="A3176" s="21" t="str">
        <f t="shared" si="49"/>
        <v>.</v>
      </c>
      <c r="D3176" s="44"/>
      <c r="E3176" s="22" t="str">
        <f>IF(D3176&lt;&gt;"",IFERROR(INDEX(Produtos!$C$4:$C$4996,MATCH(D3176,Produtos!$B$4:$B$4996,0)),"Produto não encontrado"),"")</f>
        <v/>
      </c>
    </row>
    <row r="3177" spans="1:5" x14ac:dyDescent="0.3">
      <c r="A3177" s="21" t="str">
        <f t="shared" si="49"/>
        <v>.</v>
      </c>
      <c r="D3177" s="44"/>
      <c r="E3177" s="22" t="str">
        <f>IF(D3177&lt;&gt;"",IFERROR(INDEX(Produtos!$C$4:$C$4996,MATCH(D3177,Produtos!$B$4:$B$4996,0)),"Produto não encontrado"),"")</f>
        <v/>
      </c>
    </row>
    <row r="3178" spans="1:5" x14ac:dyDescent="0.3">
      <c r="A3178" s="21" t="str">
        <f t="shared" si="49"/>
        <v>.</v>
      </c>
      <c r="D3178" s="44"/>
      <c r="E3178" s="22" t="str">
        <f>IF(D3178&lt;&gt;"",IFERROR(INDEX(Produtos!$C$4:$C$4996,MATCH(D3178,Produtos!$B$4:$B$4996,0)),"Produto não encontrado"),"")</f>
        <v/>
      </c>
    </row>
    <row r="3179" spans="1:5" x14ac:dyDescent="0.3">
      <c r="A3179" s="21" t="str">
        <f t="shared" si="49"/>
        <v>.</v>
      </c>
      <c r="D3179" s="44"/>
      <c r="E3179" s="22" t="str">
        <f>IF(D3179&lt;&gt;"",IFERROR(INDEX(Produtos!$C$4:$C$4996,MATCH(D3179,Produtos!$B$4:$B$4996,0)),"Produto não encontrado"),"")</f>
        <v/>
      </c>
    </row>
    <row r="3180" spans="1:5" x14ac:dyDescent="0.3">
      <c r="A3180" s="21" t="str">
        <f t="shared" si="49"/>
        <v>.</v>
      </c>
      <c r="D3180" s="44"/>
      <c r="E3180" s="22" t="str">
        <f>IF(D3180&lt;&gt;"",IFERROR(INDEX(Produtos!$C$4:$C$4996,MATCH(D3180,Produtos!$B$4:$B$4996,0)),"Produto não encontrado"),"")</f>
        <v/>
      </c>
    </row>
    <row r="3181" spans="1:5" x14ac:dyDescent="0.3">
      <c r="A3181" s="21" t="str">
        <f t="shared" si="49"/>
        <v>.</v>
      </c>
      <c r="D3181" s="44"/>
      <c r="E3181" s="22" t="str">
        <f>IF(D3181&lt;&gt;"",IFERROR(INDEX(Produtos!$C$4:$C$4996,MATCH(D3181,Produtos!$B$4:$B$4996,0)),"Produto não encontrado"),"")</f>
        <v/>
      </c>
    </row>
    <row r="3182" spans="1:5" x14ac:dyDescent="0.3">
      <c r="A3182" s="21" t="str">
        <f t="shared" si="49"/>
        <v>.</v>
      </c>
      <c r="D3182" s="44"/>
      <c r="E3182" s="22" t="str">
        <f>IF(D3182&lt;&gt;"",IFERROR(INDEX(Produtos!$C$4:$C$4996,MATCH(D3182,Produtos!$B$4:$B$4996,0)),"Produto não encontrado"),"")</f>
        <v/>
      </c>
    </row>
    <row r="3183" spans="1:5" x14ac:dyDescent="0.3">
      <c r="A3183" s="21" t="str">
        <f t="shared" si="49"/>
        <v>.</v>
      </c>
      <c r="D3183" s="44"/>
      <c r="E3183" s="22" t="str">
        <f>IF(D3183&lt;&gt;"",IFERROR(INDEX(Produtos!$C$4:$C$4996,MATCH(D3183,Produtos!$B$4:$B$4996,0)),"Produto não encontrado"),"")</f>
        <v/>
      </c>
    </row>
    <row r="3184" spans="1:5" x14ac:dyDescent="0.3">
      <c r="A3184" s="21" t="str">
        <f t="shared" si="49"/>
        <v>.</v>
      </c>
      <c r="D3184" s="44"/>
      <c r="E3184" s="22" t="str">
        <f>IF(D3184&lt;&gt;"",IFERROR(INDEX(Produtos!$C$4:$C$4996,MATCH(D3184,Produtos!$B$4:$B$4996,0)),"Produto não encontrado"),"")</f>
        <v/>
      </c>
    </row>
    <row r="3185" spans="1:5" x14ac:dyDescent="0.3">
      <c r="A3185" s="21" t="str">
        <f t="shared" si="49"/>
        <v>.</v>
      </c>
      <c r="D3185" s="44"/>
      <c r="E3185" s="22" t="str">
        <f>IF(D3185&lt;&gt;"",IFERROR(INDEX(Produtos!$C$4:$C$4996,MATCH(D3185,Produtos!$B$4:$B$4996,0)),"Produto não encontrado"),"")</f>
        <v/>
      </c>
    </row>
    <row r="3186" spans="1:5" x14ac:dyDescent="0.3">
      <c r="A3186" s="21" t="str">
        <f t="shared" si="49"/>
        <v>.</v>
      </c>
      <c r="D3186" s="44"/>
      <c r="E3186" s="22" t="str">
        <f>IF(D3186&lt;&gt;"",IFERROR(INDEX(Produtos!$C$4:$C$4996,MATCH(D3186,Produtos!$B$4:$B$4996,0)),"Produto não encontrado"),"")</f>
        <v/>
      </c>
    </row>
    <row r="3187" spans="1:5" x14ac:dyDescent="0.3">
      <c r="A3187" s="21" t="str">
        <f t="shared" si="49"/>
        <v>.</v>
      </c>
      <c r="D3187" s="44"/>
      <c r="E3187" s="22" t="str">
        <f>IF(D3187&lt;&gt;"",IFERROR(INDEX(Produtos!$C$4:$C$4996,MATCH(D3187,Produtos!$B$4:$B$4996,0)),"Produto não encontrado"),"")</f>
        <v/>
      </c>
    </row>
    <row r="3188" spans="1:5" x14ac:dyDescent="0.3">
      <c r="A3188" s="21" t="str">
        <f t="shared" si="49"/>
        <v>.</v>
      </c>
      <c r="D3188" s="44"/>
      <c r="E3188" s="22" t="str">
        <f>IF(D3188&lt;&gt;"",IFERROR(INDEX(Produtos!$C$4:$C$4996,MATCH(D3188,Produtos!$B$4:$B$4996,0)),"Produto não encontrado"),"")</f>
        <v/>
      </c>
    </row>
    <row r="3189" spans="1:5" x14ac:dyDescent="0.3">
      <c r="A3189" s="21" t="str">
        <f t="shared" si="49"/>
        <v>.</v>
      </c>
      <c r="D3189" s="44"/>
      <c r="E3189" s="22" t="str">
        <f>IF(D3189&lt;&gt;"",IFERROR(INDEX(Produtos!$C$4:$C$4996,MATCH(D3189,Produtos!$B$4:$B$4996,0)),"Produto não encontrado"),"")</f>
        <v/>
      </c>
    </row>
    <row r="3190" spans="1:5" x14ac:dyDescent="0.3">
      <c r="A3190" s="21" t="str">
        <f t="shared" si="49"/>
        <v>.</v>
      </c>
      <c r="D3190" s="44"/>
      <c r="E3190" s="22" t="str">
        <f>IF(D3190&lt;&gt;"",IFERROR(INDEX(Produtos!$C$4:$C$4996,MATCH(D3190,Produtos!$B$4:$B$4996,0)),"Produto não encontrado"),"")</f>
        <v/>
      </c>
    </row>
    <row r="3191" spans="1:5" x14ac:dyDescent="0.3">
      <c r="A3191" s="21" t="str">
        <f t="shared" si="49"/>
        <v>.</v>
      </c>
      <c r="D3191" s="44"/>
      <c r="E3191" s="22" t="str">
        <f>IF(D3191&lt;&gt;"",IFERROR(INDEX(Produtos!$C$4:$C$4996,MATCH(D3191,Produtos!$B$4:$B$4996,0)),"Produto não encontrado"),"")</f>
        <v/>
      </c>
    </row>
    <row r="3192" spans="1:5" x14ac:dyDescent="0.3">
      <c r="A3192" s="21" t="str">
        <f t="shared" si="49"/>
        <v>.</v>
      </c>
      <c r="D3192" s="44"/>
      <c r="E3192" s="22" t="str">
        <f>IF(D3192&lt;&gt;"",IFERROR(INDEX(Produtos!$C$4:$C$4996,MATCH(D3192,Produtos!$B$4:$B$4996,0)),"Produto não encontrado"),"")</f>
        <v/>
      </c>
    </row>
    <row r="3193" spans="1:5" x14ac:dyDescent="0.3">
      <c r="A3193" s="21" t="str">
        <f t="shared" si="49"/>
        <v>.</v>
      </c>
      <c r="D3193" s="44"/>
      <c r="E3193" s="22" t="str">
        <f>IF(D3193&lt;&gt;"",IFERROR(INDEX(Produtos!$C$4:$C$4996,MATCH(D3193,Produtos!$B$4:$B$4996,0)),"Produto não encontrado"),"")</f>
        <v/>
      </c>
    </row>
    <row r="3194" spans="1:5" x14ac:dyDescent="0.3">
      <c r="A3194" s="21" t="str">
        <f t="shared" si="49"/>
        <v>.</v>
      </c>
      <c r="D3194" s="44"/>
      <c r="E3194" s="22" t="str">
        <f>IF(D3194&lt;&gt;"",IFERROR(INDEX(Produtos!$C$4:$C$4996,MATCH(D3194,Produtos!$B$4:$B$4996,0)),"Produto não encontrado"),"")</f>
        <v/>
      </c>
    </row>
    <row r="3195" spans="1:5" x14ac:dyDescent="0.3">
      <c r="A3195" s="21" t="str">
        <f t="shared" si="49"/>
        <v>.</v>
      </c>
      <c r="D3195" s="44"/>
      <c r="E3195" s="22" t="str">
        <f>IF(D3195&lt;&gt;"",IFERROR(INDEX(Produtos!$C$4:$C$4996,MATCH(D3195,Produtos!$B$4:$B$4996,0)),"Produto não encontrado"),"")</f>
        <v/>
      </c>
    </row>
    <row r="3196" spans="1:5" x14ac:dyDescent="0.3">
      <c r="A3196" s="21" t="str">
        <f t="shared" si="49"/>
        <v>.</v>
      </c>
      <c r="D3196" s="44"/>
      <c r="E3196" s="22" t="str">
        <f>IF(D3196&lt;&gt;"",IFERROR(INDEX(Produtos!$C$4:$C$4996,MATCH(D3196,Produtos!$B$4:$B$4996,0)),"Produto não encontrado"),"")</f>
        <v/>
      </c>
    </row>
    <row r="3197" spans="1:5" x14ac:dyDescent="0.3">
      <c r="A3197" s="21" t="str">
        <f t="shared" si="49"/>
        <v>.</v>
      </c>
      <c r="D3197" s="44"/>
      <c r="E3197" s="22" t="str">
        <f>IF(D3197&lt;&gt;"",IFERROR(INDEX(Produtos!$C$4:$C$4996,MATCH(D3197,Produtos!$B$4:$B$4996,0)),"Produto não encontrado"),"")</f>
        <v/>
      </c>
    </row>
    <row r="3198" spans="1:5" x14ac:dyDescent="0.3">
      <c r="A3198" s="21" t="str">
        <f t="shared" si="49"/>
        <v>.</v>
      </c>
      <c r="D3198" s="44"/>
      <c r="E3198" s="22" t="str">
        <f>IF(D3198&lt;&gt;"",IFERROR(INDEX(Produtos!$C$4:$C$4996,MATCH(D3198,Produtos!$B$4:$B$4996,0)),"Produto não encontrado"),"")</f>
        <v/>
      </c>
    </row>
    <row r="3199" spans="1:5" x14ac:dyDescent="0.3">
      <c r="A3199" s="21" t="str">
        <f t="shared" si="49"/>
        <v>.</v>
      </c>
      <c r="D3199" s="44"/>
      <c r="E3199" s="22" t="str">
        <f>IF(D3199&lt;&gt;"",IFERROR(INDEX(Produtos!$C$4:$C$4996,MATCH(D3199,Produtos!$B$4:$B$4996,0)),"Produto não encontrado"),"")</f>
        <v/>
      </c>
    </row>
    <row r="3200" spans="1:5" x14ac:dyDescent="0.3">
      <c r="A3200" s="21" t="str">
        <f t="shared" ref="A3200:A3263" si="50">IF(C3200="Entrada",2,IF(C3200="Saída",1,"."))</f>
        <v>.</v>
      </c>
      <c r="D3200" s="44"/>
      <c r="E3200" s="22" t="str">
        <f>IF(D3200&lt;&gt;"",IFERROR(INDEX(Produtos!$C$4:$C$4996,MATCH(D3200,Produtos!$B$4:$B$4996,0)),"Produto não encontrado"),"")</f>
        <v/>
      </c>
    </row>
    <row r="3201" spans="1:5" x14ac:dyDescent="0.3">
      <c r="A3201" s="21" t="str">
        <f t="shared" si="50"/>
        <v>.</v>
      </c>
      <c r="D3201" s="44"/>
      <c r="E3201" s="22" t="str">
        <f>IF(D3201&lt;&gt;"",IFERROR(INDEX(Produtos!$C$4:$C$4996,MATCH(D3201,Produtos!$B$4:$B$4996,0)),"Produto não encontrado"),"")</f>
        <v/>
      </c>
    </row>
    <row r="3202" spans="1:5" x14ac:dyDescent="0.3">
      <c r="A3202" s="21" t="str">
        <f t="shared" si="50"/>
        <v>.</v>
      </c>
      <c r="D3202" s="44"/>
      <c r="E3202" s="22" t="str">
        <f>IF(D3202&lt;&gt;"",IFERROR(INDEX(Produtos!$C$4:$C$4996,MATCH(D3202,Produtos!$B$4:$B$4996,0)),"Produto não encontrado"),"")</f>
        <v/>
      </c>
    </row>
    <row r="3203" spans="1:5" x14ac:dyDescent="0.3">
      <c r="A3203" s="21" t="str">
        <f t="shared" si="50"/>
        <v>.</v>
      </c>
      <c r="D3203" s="44"/>
      <c r="E3203" s="22" t="str">
        <f>IF(D3203&lt;&gt;"",IFERROR(INDEX(Produtos!$C$4:$C$4996,MATCH(D3203,Produtos!$B$4:$B$4996,0)),"Produto não encontrado"),"")</f>
        <v/>
      </c>
    </row>
    <row r="3204" spans="1:5" x14ac:dyDescent="0.3">
      <c r="A3204" s="21" t="str">
        <f t="shared" si="50"/>
        <v>.</v>
      </c>
      <c r="D3204" s="44"/>
      <c r="E3204" s="22" t="str">
        <f>IF(D3204&lt;&gt;"",IFERROR(INDEX(Produtos!$C$4:$C$4996,MATCH(D3204,Produtos!$B$4:$B$4996,0)),"Produto não encontrado"),"")</f>
        <v/>
      </c>
    </row>
    <row r="3205" spans="1:5" x14ac:dyDescent="0.3">
      <c r="A3205" s="21" t="str">
        <f t="shared" si="50"/>
        <v>.</v>
      </c>
      <c r="D3205" s="44"/>
      <c r="E3205" s="22" t="str">
        <f>IF(D3205&lt;&gt;"",IFERROR(INDEX(Produtos!$C$4:$C$4996,MATCH(D3205,Produtos!$B$4:$B$4996,0)),"Produto não encontrado"),"")</f>
        <v/>
      </c>
    </row>
    <row r="3206" spans="1:5" x14ac:dyDescent="0.3">
      <c r="A3206" s="21" t="str">
        <f t="shared" si="50"/>
        <v>.</v>
      </c>
      <c r="D3206" s="44"/>
      <c r="E3206" s="22" t="str">
        <f>IF(D3206&lt;&gt;"",IFERROR(INDEX(Produtos!$C$4:$C$4996,MATCH(D3206,Produtos!$B$4:$B$4996,0)),"Produto não encontrado"),"")</f>
        <v/>
      </c>
    </row>
    <row r="3207" spans="1:5" x14ac:dyDescent="0.3">
      <c r="A3207" s="21" t="str">
        <f t="shared" si="50"/>
        <v>.</v>
      </c>
      <c r="D3207" s="44"/>
      <c r="E3207" s="22" t="str">
        <f>IF(D3207&lt;&gt;"",IFERROR(INDEX(Produtos!$C$4:$C$4996,MATCH(D3207,Produtos!$B$4:$B$4996,0)),"Produto não encontrado"),"")</f>
        <v/>
      </c>
    </row>
    <row r="3208" spans="1:5" x14ac:dyDescent="0.3">
      <c r="A3208" s="21" t="str">
        <f t="shared" si="50"/>
        <v>.</v>
      </c>
      <c r="D3208" s="44"/>
      <c r="E3208" s="22" t="str">
        <f>IF(D3208&lt;&gt;"",IFERROR(INDEX(Produtos!$C$4:$C$4996,MATCH(D3208,Produtos!$B$4:$B$4996,0)),"Produto não encontrado"),"")</f>
        <v/>
      </c>
    </row>
    <row r="3209" spans="1:5" x14ac:dyDescent="0.3">
      <c r="A3209" s="21" t="str">
        <f t="shared" si="50"/>
        <v>.</v>
      </c>
      <c r="D3209" s="44"/>
      <c r="E3209" s="22" t="str">
        <f>IF(D3209&lt;&gt;"",IFERROR(INDEX(Produtos!$C$4:$C$4996,MATCH(D3209,Produtos!$B$4:$B$4996,0)),"Produto não encontrado"),"")</f>
        <v/>
      </c>
    </row>
    <row r="3210" spans="1:5" x14ac:dyDescent="0.3">
      <c r="A3210" s="21" t="str">
        <f t="shared" si="50"/>
        <v>.</v>
      </c>
      <c r="D3210" s="44"/>
      <c r="E3210" s="22" t="str">
        <f>IF(D3210&lt;&gt;"",IFERROR(INDEX(Produtos!$C$4:$C$4996,MATCH(D3210,Produtos!$B$4:$B$4996,0)),"Produto não encontrado"),"")</f>
        <v/>
      </c>
    </row>
    <row r="3211" spans="1:5" x14ac:dyDescent="0.3">
      <c r="A3211" s="21" t="str">
        <f t="shared" si="50"/>
        <v>.</v>
      </c>
      <c r="D3211" s="44"/>
      <c r="E3211" s="22" t="str">
        <f>IF(D3211&lt;&gt;"",IFERROR(INDEX(Produtos!$C$4:$C$4996,MATCH(D3211,Produtos!$B$4:$B$4996,0)),"Produto não encontrado"),"")</f>
        <v/>
      </c>
    </row>
    <row r="3212" spans="1:5" x14ac:dyDescent="0.3">
      <c r="A3212" s="21" t="str">
        <f t="shared" si="50"/>
        <v>.</v>
      </c>
      <c r="D3212" s="44"/>
      <c r="E3212" s="22" t="str">
        <f>IF(D3212&lt;&gt;"",IFERROR(INDEX(Produtos!$C$4:$C$4996,MATCH(D3212,Produtos!$B$4:$B$4996,0)),"Produto não encontrado"),"")</f>
        <v/>
      </c>
    </row>
    <row r="3213" spans="1:5" x14ac:dyDescent="0.3">
      <c r="A3213" s="21" t="str">
        <f t="shared" si="50"/>
        <v>.</v>
      </c>
      <c r="D3213" s="44"/>
      <c r="E3213" s="22" t="str">
        <f>IF(D3213&lt;&gt;"",IFERROR(INDEX(Produtos!$C$4:$C$4996,MATCH(D3213,Produtos!$B$4:$B$4996,0)),"Produto não encontrado"),"")</f>
        <v/>
      </c>
    </row>
    <row r="3214" spans="1:5" x14ac:dyDescent="0.3">
      <c r="A3214" s="21" t="str">
        <f t="shared" si="50"/>
        <v>.</v>
      </c>
      <c r="D3214" s="44"/>
      <c r="E3214" s="22" t="str">
        <f>IF(D3214&lt;&gt;"",IFERROR(INDEX(Produtos!$C$4:$C$4996,MATCH(D3214,Produtos!$B$4:$B$4996,0)),"Produto não encontrado"),"")</f>
        <v/>
      </c>
    </row>
    <row r="3215" spans="1:5" x14ac:dyDescent="0.3">
      <c r="A3215" s="21" t="str">
        <f t="shared" si="50"/>
        <v>.</v>
      </c>
      <c r="D3215" s="44"/>
      <c r="E3215" s="22" t="str">
        <f>IF(D3215&lt;&gt;"",IFERROR(INDEX(Produtos!$C$4:$C$4996,MATCH(D3215,Produtos!$B$4:$B$4996,0)),"Produto não encontrado"),"")</f>
        <v/>
      </c>
    </row>
    <row r="3216" spans="1:5" x14ac:dyDescent="0.3">
      <c r="A3216" s="21" t="str">
        <f t="shared" si="50"/>
        <v>.</v>
      </c>
      <c r="D3216" s="44"/>
      <c r="E3216" s="22" t="str">
        <f>IF(D3216&lt;&gt;"",IFERROR(INDEX(Produtos!$C$4:$C$4996,MATCH(D3216,Produtos!$B$4:$B$4996,0)),"Produto não encontrado"),"")</f>
        <v/>
      </c>
    </row>
    <row r="3217" spans="1:5" x14ac:dyDescent="0.3">
      <c r="A3217" s="21" t="str">
        <f t="shared" si="50"/>
        <v>.</v>
      </c>
      <c r="D3217" s="44"/>
      <c r="E3217" s="22" t="str">
        <f>IF(D3217&lt;&gt;"",IFERROR(INDEX(Produtos!$C$4:$C$4996,MATCH(D3217,Produtos!$B$4:$B$4996,0)),"Produto não encontrado"),"")</f>
        <v/>
      </c>
    </row>
    <row r="3218" spans="1:5" x14ac:dyDescent="0.3">
      <c r="A3218" s="21" t="str">
        <f t="shared" si="50"/>
        <v>.</v>
      </c>
      <c r="D3218" s="44"/>
      <c r="E3218" s="22" t="str">
        <f>IF(D3218&lt;&gt;"",IFERROR(INDEX(Produtos!$C$4:$C$4996,MATCH(D3218,Produtos!$B$4:$B$4996,0)),"Produto não encontrado"),"")</f>
        <v/>
      </c>
    </row>
    <row r="3219" spans="1:5" x14ac:dyDescent="0.3">
      <c r="A3219" s="21" t="str">
        <f t="shared" si="50"/>
        <v>.</v>
      </c>
      <c r="D3219" s="44"/>
      <c r="E3219" s="22" t="str">
        <f>IF(D3219&lt;&gt;"",IFERROR(INDEX(Produtos!$C$4:$C$4996,MATCH(D3219,Produtos!$B$4:$B$4996,0)),"Produto não encontrado"),"")</f>
        <v/>
      </c>
    </row>
    <row r="3220" spans="1:5" x14ac:dyDescent="0.3">
      <c r="A3220" s="21" t="str">
        <f t="shared" si="50"/>
        <v>.</v>
      </c>
      <c r="D3220" s="44"/>
      <c r="E3220" s="22" t="str">
        <f>IF(D3220&lt;&gt;"",IFERROR(INDEX(Produtos!$C$4:$C$4996,MATCH(D3220,Produtos!$B$4:$B$4996,0)),"Produto não encontrado"),"")</f>
        <v/>
      </c>
    </row>
    <row r="3221" spans="1:5" x14ac:dyDescent="0.3">
      <c r="A3221" s="21" t="str">
        <f t="shared" si="50"/>
        <v>.</v>
      </c>
      <c r="D3221" s="44"/>
      <c r="E3221" s="22" t="str">
        <f>IF(D3221&lt;&gt;"",IFERROR(INDEX(Produtos!$C$4:$C$4996,MATCH(D3221,Produtos!$B$4:$B$4996,0)),"Produto não encontrado"),"")</f>
        <v/>
      </c>
    </row>
    <row r="3222" spans="1:5" x14ac:dyDescent="0.3">
      <c r="A3222" s="21" t="str">
        <f t="shared" si="50"/>
        <v>.</v>
      </c>
      <c r="D3222" s="44"/>
      <c r="E3222" s="22" t="str">
        <f>IF(D3222&lt;&gt;"",IFERROR(INDEX(Produtos!$C$4:$C$4996,MATCH(D3222,Produtos!$B$4:$B$4996,0)),"Produto não encontrado"),"")</f>
        <v/>
      </c>
    </row>
    <row r="3223" spans="1:5" x14ac:dyDescent="0.3">
      <c r="A3223" s="21" t="str">
        <f t="shared" si="50"/>
        <v>.</v>
      </c>
      <c r="D3223" s="44"/>
      <c r="E3223" s="22" t="str">
        <f>IF(D3223&lt;&gt;"",IFERROR(INDEX(Produtos!$C$4:$C$4996,MATCH(D3223,Produtos!$B$4:$B$4996,0)),"Produto não encontrado"),"")</f>
        <v/>
      </c>
    </row>
    <row r="3224" spans="1:5" x14ac:dyDescent="0.3">
      <c r="A3224" s="21" t="str">
        <f t="shared" si="50"/>
        <v>.</v>
      </c>
      <c r="D3224" s="44"/>
      <c r="E3224" s="22" t="str">
        <f>IF(D3224&lt;&gt;"",IFERROR(INDEX(Produtos!$C$4:$C$4996,MATCH(D3224,Produtos!$B$4:$B$4996,0)),"Produto não encontrado"),"")</f>
        <v/>
      </c>
    </row>
    <row r="3225" spans="1:5" x14ac:dyDescent="0.3">
      <c r="A3225" s="21" t="str">
        <f t="shared" si="50"/>
        <v>.</v>
      </c>
      <c r="D3225" s="44"/>
      <c r="E3225" s="22" t="str">
        <f>IF(D3225&lt;&gt;"",IFERROR(INDEX(Produtos!$C$4:$C$4996,MATCH(D3225,Produtos!$B$4:$B$4996,0)),"Produto não encontrado"),"")</f>
        <v/>
      </c>
    </row>
    <row r="3226" spans="1:5" x14ac:dyDescent="0.3">
      <c r="A3226" s="21" t="str">
        <f t="shared" si="50"/>
        <v>.</v>
      </c>
      <c r="D3226" s="44"/>
      <c r="E3226" s="22" t="str">
        <f>IF(D3226&lt;&gt;"",IFERROR(INDEX(Produtos!$C$4:$C$4996,MATCH(D3226,Produtos!$B$4:$B$4996,0)),"Produto não encontrado"),"")</f>
        <v/>
      </c>
    </row>
    <row r="3227" spans="1:5" x14ac:dyDescent="0.3">
      <c r="A3227" s="21" t="str">
        <f t="shared" si="50"/>
        <v>.</v>
      </c>
      <c r="D3227" s="44"/>
      <c r="E3227" s="22" t="str">
        <f>IF(D3227&lt;&gt;"",IFERROR(INDEX(Produtos!$C$4:$C$4996,MATCH(D3227,Produtos!$B$4:$B$4996,0)),"Produto não encontrado"),"")</f>
        <v/>
      </c>
    </row>
    <row r="3228" spans="1:5" x14ac:dyDescent="0.3">
      <c r="A3228" s="21" t="str">
        <f t="shared" si="50"/>
        <v>.</v>
      </c>
      <c r="D3228" s="44"/>
      <c r="E3228" s="22" t="str">
        <f>IF(D3228&lt;&gt;"",IFERROR(INDEX(Produtos!$C$4:$C$4996,MATCH(D3228,Produtos!$B$4:$B$4996,0)),"Produto não encontrado"),"")</f>
        <v/>
      </c>
    </row>
    <row r="3229" spans="1:5" x14ac:dyDescent="0.3">
      <c r="A3229" s="21" t="str">
        <f t="shared" si="50"/>
        <v>.</v>
      </c>
      <c r="D3229" s="44"/>
      <c r="E3229" s="22" t="str">
        <f>IF(D3229&lt;&gt;"",IFERROR(INDEX(Produtos!$C$4:$C$4996,MATCH(D3229,Produtos!$B$4:$B$4996,0)),"Produto não encontrado"),"")</f>
        <v/>
      </c>
    </row>
    <row r="3230" spans="1:5" x14ac:dyDescent="0.3">
      <c r="A3230" s="21" t="str">
        <f t="shared" si="50"/>
        <v>.</v>
      </c>
      <c r="D3230" s="44"/>
      <c r="E3230" s="22" t="str">
        <f>IF(D3230&lt;&gt;"",IFERROR(INDEX(Produtos!$C$4:$C$4996,MATCH(D3230,Produtos!$B$4:$B$4996,0)),"Produto não encontrado"),"")</f>
        <v/>
      </c>
    </row>
    <row r="3231" spans="1:5" x14ac:dyDescent="0.3">
      <c r="A3231" s="21" t="str">
        <f t="shared" si="50"/>
        <v>.</v>
      </c>
      <c r="D3231" s="44"/>
      <c r="E3231" s="22" t="str">
        <f>IF(D3231&lt;&gt;"",IFERROR(INDEX(Produtos!$C$4:$C$4996,MATCH(D3231,Produtos!$B$4:$B$4996,0)),"Produto não encontrado"),"")</f>
        <v/>
      </c>
    </row>
    <row r="3232" spans="1:5" x14ac:dyDescent="0.3">
      <c r="A3232" s="21" t="str">
        <f t="shared" si="50"/>
        <v>.</v>
      </c>
      <c r="D3232" s="44"/>
      <c r="E3232" s="22" t="str">
        <f>IF(D3232&lt;&gt;"",IFERROR(INDEX(Produtos!$C$4:$C$4996,MATCH(D3232,Produtos!$B$4:$B$4996,0)),"Produto não encontrado"),"")</f>
        <v/>
      </c>
    </row>
    <row r="3233" spans="1:5" x14ac:dyDescent="0.3">
      <c r="A3233" s="21" t="str">
        <f t="shared" si="50"/>
        <v>.</v>
      </c>
      <c r="D3233" s="44"/>
      <c r="E3233" s="22" t="str">
        <f>IF(D3233&lt;&gt;"",IFERROR(INDEX(Produtos!$C$4:$C$4996,MATCH(D3233,Produtos!$B$4:$B$4996,0)),"Produto não encontrado"),"")</f>
        <v/>
      </c>
    </row>
    <row r="3234" spans="1:5" x14ac:dyDescent="0.3">
      <c r="A3234" s="21" t="str">
        <f t="shared" si="50"/>
        <v>.</v>
      </c>
      <c r="D3234" s="44"/>
      <c r="E3234" s="22" t="str">
        <f>IF(D3234&lt;&gt;"",IFERROR(INDEX(Produtos!$C$4:$C$4996,MATCH(D3234,Produtos!$B$4:$B$4996,0)),"Produto não encontrado"),"")</f>
        <v/>
      </c>
    </row>
    <row r="3235" spans="1:5" x14ac:dyDescent="0.3">
      <c r="A3235" s="21" t="str">
        <f t="shared" si="50"/>
        <v>.</v>
      </c>
      <c r="D3235" s="44"/>
      <c r="E3235" s="22" t="str">
        <f>IF(D3235&lt;&gt;"",IFERROR(INDEX(Produtos!$C$4:$C$4996,MATCH(D3235,Produtos!$B$4:$B$4996,0)),"Produto não encontrado"),"")</f>
        <v/>
      </c>
    </row>
    <row r="3236" spans="1:5" x14ac:dyDescent="0.3">
      <c r="A3236" s="21" t="str">
        <f t="shared" si="50"/>
        <v>.</v>
      </c>
      <c r="D3236" s="44"/>
      <c r="E3236" s="22" t="str">
        <f>IF(D3236&lt;&gt;"",IFERROR(INDEX(Produtos!$C$4:$C$4996,MATCH(D3236,Produtos!$B$4:$B$4996,0)),"Produto não encontrado"),"")</f>
        <v/>
      </c>
    </row>
    <row r="3237" spans="1:5" x14ac:dyDescent="0.3">
      <c r="A3237" s="21" t="str">
        <f t="shared" si="50"/>
        <v>.</v>
      </c>
      <c r="D3237" s="44"/>
      <c r="E3237" s="22" t="str">
        <f>IF(D3237&lt;&gt;"",IFERROR(INDEX(Produtos!$C$4:$C$4996,MATCH(D3237,Produtos!$B$4:$B$4996,0)),"Produto não encontrado"),"")</f>
        <v/>
      </c>
    </row>
    <row r="3238" spans="1:5" x14ac:dyDescent="0.3">
      <c r="A3238" s="21" t="str">
        <f t="shared" si="50"/>
        <v>.</v>
      </c>
      <c r="D3238" s="44"/>
      <c r="E3238" s="22" t="str">
        <f>IF(D3238&lt;&gt;"",IFERROR(INDEX(Produtos!$C$4:$C$4996,MATCH(D3238,Produtos!$B$4:$B$4996,0)),"Produto não encontrado"),"")</f>
        <v/>
      </c>
    </row>
    <row r="3239" spans="1:5" x14ac:dyDescent="0.3">
      <c r="A3239" s="21" t="str">
        <f t="shared" si="50"/>
        <v>.</v>
      </c>
      <c r="D3239" s="44"/>
      <c r="E3239" s="22" t="str">
        <f>IF(D3239&lt;&gt;"",IFERROR(INDEX(Produtos!$C$4:$C$4996,MATCH(D3239,Produtos!$B$4:$B$4996,0)),"Produto não encontrado"),"")</f>
        <v/>
      </c>
    </row>
    <row r="3240" spans="1:5" x14ac:dyDescent="0.3">
      <c r="A3240" s="21" t="str">
        <f t="shared" si="50"/>
        <v>.</v>
      </c>
      <c r="D3240" s="44"/>
      <c r="E3240" s="22" t="str">
        <f>IF(D3240&lt;&gt;"",IFERROR(INDEX(Produtos!$C$4:$C$4996,MATCH(D3240,Produtos!$B$4:$B$4996,0)),"Produto não encontrado"),"")</f>
        <v/>
      </c>
    </row>
    <row r="3241" spans="1:5" x14ac:dyDescent="0.3">
      <c r="A3241" s="21" t="str">
        <f t="shared" si="50"/>
        <v>.</v>
      </c>
      <c r="D3241" s="44"/>
      <c r="E3241" s="22" t="str">
        <f>IF(D3241&lt;&gt;"",IFERROR(INDEX(Produtos!$C$4:$C$4996,MATCH(D3241,Produtos!$B$4:$B$4996,0)),"Produto não encontrado"),"")</f>
        <v/>
      </c>
    </row>
    <row r="3242" spans="1:5" x14ac:dyDescent="0.3">
      <c r="A3242" s="21" t="str">
        <f t="shared" si="50"/>
        <v>.</v>
      </c>
      <c r="D3242" s="44"/>
      <c r="E3242" s="22" t="str">
        <f>IF(D3242&lt;&gt;"",IFERROR(INDEX(Produtos!$C$4:$C$4996,MATCH(D3242,Produtos!$B$4:$B$4996,0)),"Produto não encontrado"),"")</f>
        <v/>
      </c>
    </row>
    <row r="3243" spans="1:5" x14ac:dyDescent="0.3">
      <c r="A3243" s="21" t="str">
        <f t="shared" si="50"/>
        <v>.</v>
      </c>
      <c r="D3243" s="44"/>
      <c r="E3243" s="22" t="str">
        <f>IF(D3243&lt;&gt;"",IFERROR(INDEX(Produtos!$C$4:$C$4996,MATCH(D3243,Produtos!$B$4:$B$4996,0)),"Produto não encontrado"),"")</f>
        <v/>
      </c>
    </row>
    <row r="3244" spans="1:5" x14ac:dyDescent="0.3">
      <c r="A3244" s="21" t="str">
        <f t="shared" si="50"/>
        <v>.</v>
      </c>
      <c r="D3244" s="44"/>
      <c r="E3244" s="22" t="str">
        <f>IF(D3244&lt;&gt;"",IFERROR(INDEX(Produtos!$C$4:$C$4996,MATCH(D3244,Produtos!$B$4:$B$4996,0)),"Produto não encontrado"),"")</f>
        <v/>
      </c>
    </row>
    <row r="3245" spans="1:5" x14ac:dyDescent="0.3">
      <c r="A3245" s="21" t="str">
        <f t="shared" si="50"/>
        <v>.</v>
      </c>
      <c r="D3245" s="44"/>
      <c r="E3245" s="22" t="str">
        <f>IF(D3245&lt;&gt;"",IFERROR(INDEX(Produtos!$C$4:$C$4996,MATCH(D3245,Produtos!$B$4:$B$4996,0)),"Produto não encontrado"),"")</f>
        <v/>
      </c>
    </row>
    <row r="3246" spans="1:5" x14ac:dyDescent="0.3">
      <c r="A3246" s="21" t="str">
        <f t="shared" si="50"/>
        <v>.</v>
      </c>
      <c r="D3246" s="44"/>
      <c r="E3246" s="22" t="str">
        <f>IF(D3246&lt;&gt;"",IFERROR(INDEX(Produtos!$C$4:$C$4996,MATCH(D3246,Produtos!$B$4:$B$4996,0)),"Produto não encontrado"),"")</f>
        <v/>
      </c>
    </row>
    <row r="3247" spans="1:5" x14ac:dyDescent="0.3">
      <c r="A3247" s="21" t="str">
        <f t="shared" si="50"/>
        <v>.</v>
      </c>
      <c r="D3247" s="44"/>
      <c r="E3247" s="22" t="str">
        <f>IF(D3247&lt;&gt;"",IFERROR(INDEX(Produtos!$C$4:$C$4996,MATCH(D3247,Produtos!$B$4:$B$4996,0)),"Produto não encontrado"),"")</f>
        <v/>
      </c>
    </row>
    <row r="3248" spans="1:5" x14ac:dyDescent="0.3">
      <c r="A3248" s="21" t="str">
        <f t="shared" si="50"/>
        <v>.</v>
      </c>
      <c r="D3248" s="44"/>
      <c r="E3248" s="22" t="str">
        <f>IF(D3248&lt;&gt;"",IFERROR(INDEX(Produtos!$C$4:$C$4996,MATCH(D3248,Produtos!$B$4:$B$4996,0)),"Produto não encontrado"),"")</f>
        <v/>
      </c>
    </row>
    <row r="3249" spans="1:5" x14ac:dyDescent="0.3">
      <c r="A3249" s="21" t="str">
        <f t="shared" si="50"/>
        <v>.</v>
      </c>
      <c r="D3249" s="44"/>
      <c r="E3249" s="22" t="str">
        <f>IF(D3249&lt;&gt;"",IFERROR(INDEX(Produtos!$C$4:$C$4996,MATCH(D3249,Produtos!$B$4:$B$4996,0)),"Produto não encontrado"),"")</f>
        <v/>
      </c>
    </row>
    <row r="3250" spans="1:5" x14ac:dyDescent="0.3">
      <c r="A3250" s="21" t="str">
        <f t="shared" si="50"/>
        <v>.</v>
      </c>
      <c r="D3250" s="44"/>
      <c r="E3250" s="22" t="str">
        <f>IF(D3250&lt;&gt;"",IFERROR(INDEX(Produtos!$C$4:$C$4996,MATCH(D3250,Produtos!$B$4:$B$4996,0)),"Produto não encontrado"),"")</f>
        <v/>
      </c>
    </row>
    <row r="3251" spans="1:5" x14ac:dyDescent="0.3">
      <c r="A3251" s="21" t="str">
        <f t="shared" si="50"/>
        <v>.</v>
      </c>
      <c r="D3251" s="44"/>
      <c r="E3251" s="22" t="str">
        <f>IF(D3251&lt;&gt;"",IFERROR(INDEX(Produtos!$C$4:$C$4996,MATCH(D3251,Produtos!$B$4:$B$4996,0)),"Produto não encontrado"),"")</f>
        <v/>
      </c>
    </row>
    <row r="3252" spans="1:5" x14ac:dyDescent="0.3">
      <c r="A3252" s="21" t="str">
        <f t="shared" si="50"/>
        <v>.</v>
      </c>
      <c r="D3252" s="44"/>
      <c r="E3252" s="22" t="str">
        <f>IF(D3252&lt;&gt;"",IFERROR(INDEX(Produtos!$C$4:$C$4996,MATCH(D3252,Produtos!$B$4:$B$4996,0)),"Produto não encontrado"),"")</f>
        <v/>
      </c>
    </row>
    <row r="3253" spans="1:5" x14ac:dyDescent="0.3">
      <c r="A3253" s="21" t="str">
        <f t="shared" si="50"/>
        <v>.</v>
      </c>
      <c r="D3253" s="44"/>
      <c r="E3253" s="22" t="str">
        <f>IF(D3253&lt;&gt;"",IFERROR(INDEX(Produtos!$C$4:$C$4996,MATCH(D3253,Produtos!$B$4:$B$4996,0)),"Produto não encontrado"),"")</f>
        <v/>
      </c>
    </row>
    <row r="3254" spans="1:5" x14ac:dyDescent="0.3">
      <c r="A3254" s="21" t="str">
        <f t="shared" si="50"/>
        <v>.</v>
      </c>
      <c r="D3254" s="44"/>
      <c r="E3254" s="22" t="str">
        <f>IF(D3254&lt;&gt;"",IFERROR(INDEX(Produtos!$C$4:$C$4996,MATCH(D3254,Produtos!$B$4:$B$4996,0)),"Produto não encontrado"),"")</f>
        <v/>
      </c>
    </row>
    <row r="3255" spans="1:5" x14ac:dyDescent="0.3">
      <c r="A3255" s="21" t="str">
        <f t="shared" si="50"/>
        <v>.</v>
      </c>
      <c r="D3255" s="44"/>
      <c r="E3255" s="22" t="str">
        <f>IF(D3255&lt;&gt;"",IFERROR(INDEX(Produtos!$C$4:$C$4996,MATCH(D3255,Produtos!$B$4:$B$4996,0)),"Produto não encontrado"),"")</f>
        <v/>
      </c>
    </row>
    <row r="3256" spans="1:5" x14ac:dyDescent="0.3">
      <c r="A3256" s="21" t="str">
        <f t="shared" si="50"/>
        <v>.</v>
      </c>
      <c r="D3256" s="44"/>
      <c r="E3256" s="22" t="str">
        <f>IF(D3256&lt;&gt;"",IFERROR(INDEX(Produtos!$C$4:$C$4996,MATCH(D3256,Produtos!$B$4:$B$4996,0)),"Produto não encontrado"),"")</f>
        <v/>
      </c>
    </row>
    <row r="3257" spans="1:5" x14ac:dyDescent="0.3">
      <c r="A3257" s="21" t="str">
        <f t="shared" si="50"/>
        <v>.</v>
      </c>
      <c r="D3257" s="44"/>
      <c r="E3257" s="22" t="str">
        <f>IF(D3257&lt;&gt;"",IFERROR(INDEX(Produtos!$C$4:$C$4996,MATCH(D3257,Produtos!$B$4:$B$4996,0)),"Produto não encontrado"),"")</f>
        <v/>
      </c>
    </row>
    <row r="3258" spans="1:5" x14ac:dyDescent="0.3">
      <c r="A3258" s="21" t="str">
        <f t="shared" si="50"/>
        <v>.</v>
      </c>
      <c r="D3258" s="44"/>
      <c r="E3258" s="22" t="str">
        <f>IF(D3258&lt;&gt;"",IFERROR(INDEX(Produtos!$C$4:$C$4996,MATCH(D3258,Produtos!$B$4:$B$4996,0)),"Produto não encontrado"),"")</f>
        <v/>
      </c>
    </row>
    <row r="3259" spans="1:5" x14ac:dyDescent="0.3">
      <c r="A3259" s="21" t="str">
        <f t="shared" si="50"/>
        <v>.</v>
      </c>
      <c r="D3259" s="44"/>
      <c r="E3259" s="22" t="str">
        <f>IF(D3259&lt;&gt;"",IFERROR(INDEX(Produtos!$C$4:$C$4996,MATCH(D3259,Produtos!$B$4:$B$4996,0)),"Produto não encontrado"),"")</f>
        <v/>
      </c>
    </row>
    <row r="3260" spans="1:5" x14ac:dyDescent="0.3">
      <c r="A3260" s="21" t="str">
        <f t="shared" si="50"/>
        <v>.</v>
      </c>
      <c r="D3260" s="44"/>
      <c r="E3260" s="22" t="str">
        <f>IF(D3260&lt;&gt;"",IFERROR(INDEX(Produtos!$C$4:$C$4996,MATCH(D3260,Produtos!$B$4:$B$4996,0)),"Produto não encontrado"),"")</f>
        <v/>
      </c>
    </row>
    <row r="3261" spans="1:5" x14ac:dyDescent="0.3">
      <c r="A3261" s="21" t="str">
        <f t="shared" si="50"/>
        <v>.</v>
      </c>
      <c r="D3261" s="44"/>
      <c r="E3261" s="22" t="str">
        <f>IF(D3261&lt;&gt;"",IFERROR(INDEX(Produtos!$C$4:$C$4996,MATCH(D3261,Produtos!$B$4:$B$4996,0)),"Produto não encontrado"),"")</f>
        <v/>
      </c>
    </row>
    <row r="3262" spans="1:5" x14ac:dyDescent="0.3">
      <c r="A3262" s="21" t="str">
        <f t="shared" si="50"/>
        <v>.</v>
      </c>
      <c r="D3262" s="44"/>
      <c r="E3262" s="22" t="str">
        <f>IF(D3262&lt;&gt;"",IFERROR(INDEX(Produtos!$C$4:$C$4996,MATCH(D3262,Produtos!$B$4:$B$4996,0)),"Produto não encontrado"),"")</f>
        <v/>
      </c>
    </row>
    <row r="3263" spans="1:5" x14ac:dyDescent="0.3">
      <c r="A3263" s="21" t="str">
        <f t="shared" si="50"/>
        <v>.</v>
      </c>
      <c r="D3263" s="44"/>
      <c r="E3263" s="22" t="str">
        <f>IF(D3263&lt;&gt;"",IFERROR(INDEX(Produtos!$C$4:$C$4996,MATCH(D3263,Produtos!$B$4:$B$4996,0)),"Produto não encontrado"),"")</f>
        <v/>
      </c>
    </row>
    <row r="3264" spans="1:5" x14ac:dyDescent="0.3">
      <c r="A3264" s="21" t="str">
        <f t="shared" ref="A3264:A3327" si="51">IF(C3264="Entrada",2,IF(C3264="Saída",1,"."))</f>
        <v>.</v>
      </c>
      <c r="D3264" s="44"/>
      <c r="E3264" s="22" t="str">
        <f>IF(D3264&lt;&gt;"",IFERROR(INDEX(Produtos!$C$4:$C$4996,MATCH(D3264,Produtos!$B$4:$B$4996,0)),"Produto não encontrado"),"")</f>
        <v/>
      </c>
    </row>
    <row r="3265" spans="1:5" x14ac:dyDescent="0.3">
      <c r="A3265" s="21" t="str">
        <f t="shared" si="51"/>
        <v>.</v>
      </c>
      <c r="D3265" s="44"/>
      <c r="E3265" s="22" t="str">
        <f>IF(D3265&lt;&gt;"",IFERROR(INDEX(Produtos!$C$4:$C$4996,MATCH(D3265,Produtos!$B$4:$B$4996,0)),"Produto não encontrado"),"")</f>
        <v/>
      </c>
    </row>
    <row r="3266" spans="1:5" x14ac:dyDescent="0.3">
      <c r="A3266" s="21" t="str">
        <f t="shared" si="51"/>
        <v>.</v>
      </c>
      <c r="D3266" s="44"/>
      <c r="E3266" s="22" t="str">
        <f>IF(D3266&lt;&gt;"",IFERROR(INDEX(Produtos!$C$4:$C$4996,MATCH(D3266,Produtos!$B$4:$B$4996,0)),"Produto não encontrado"),"")</f>
        <v/>
      </c>
    </row>
    <row r="3267" spans="1:5" x14ac:dyDescent="0.3">
      <c r="A3267" s="21" t="str">
        <f t="shared" si="51"/>
        <v>.</v>
      </c>
      <c r="D3267" s="44"/>
      <c r="E3267" s="22" t="str">
        <f>IF(D3267&lt;&gt;"",IFERROR(INDEX(Produtos!$C$4:$C$4996,MATCH(D3267,Produtos!$B$4:$B$4996,0)),"Produto não encontrado"),"")</f>
        <v/>
      </c>
    </row>
    <row r="3268" spans="1:5" x14ac:dyDescent="0.3">
      <c r="A3268" s="21" t="str">
        <f t="shared" si="51"/>
        <v>.</v>
      </c>
      <c r="D3268" s="44"/>
      <c r="E3268" s="22" t="str">
        <f>IF(D3268&lt;&gt;"",IFERROR(INDEX(Produtos!$C$4:$C$4996,MATCH(D3268,Produtos!$B$4:$B$4996,0)),"Produto não encontrado"),"")</f>
        <v/>
      </c>
    </row>
    <row r="3269" spans="1:5" x14ac:dyDescent="0.3">
      <c r="A3269" s="21" t="str">
        <f t="shared" si="51"/>
        <v>.</v>
      </c>
      <c r="D3269" s="44"/>
      <c r="E3269" s="22" t="str">
        <f>IF(D3269&lt;&gt;"",IFERROR(INDEX(Produtos!$C$4:$C$4996,MATCH(D3269,Produtos!$B$4:$B$4996,0)),"Produto não encontrado"),"")</f>
        <v/>
      </c>
    </row>
    <row r="3270" spans="1:5" x14ac:dyDescent="0.3">
      <c r="A3270" s="21" t="str">
        <f t="shared" si="51"/>
        <v>.</v>
      </c>
      <c r="D3270" s="44"/>
      <c r="E3270" s="22" t="str">
        <f>IF(D3270&lt;&gt;"",IFERROR(INDEX(Produtos!$C$4:$C$4996,MATCH(D3270,Produtos!$B$4:$B$4996,0)),"Produto não encontrado"),"")</f>
        <v/>
      </c>
    </row>
    <row r="3271" spans="1:5" x14ac:dyDescent="0.3">
      <c r="A3271" s="21" t="str">
        <f t="shared" si="51"/>
        <v>.</v>
      </c>
      <c r="D3271" s="44"/>
      <c r="E3271" s="22" t="str">
        <f>IF(D3271&lt;&gt;"",IFERROR(INDEX(Produtos!$C$4:$C$4996,MATCH(D3271,Produtos!$B$4:$B$4996,0)),"Produto não encontrado"),"")</f>
        <v/>
      </c>
    </row>
    <row r="3272" spans="1:5" x14ac:dyDescent="0.3">
      <c r="A3272" s="21" t="str">
        <f t="shared" si="51"/>
        <v>.</v>
      </c>
      <c r="D3272" s="44"/>
      <c r="E3272" s="22" t="str">
        <f>IF(D3272&lt;&gt;"",IFERROR(INDEX(Produtos!$C$4:$C$4996,MATCH(D3272,Produtos!$B$4:$B$4996,0)),"Produto não encontrado"),"")</f>
        <v/>
      </c>
    </row>
    <row r="3273" spans="1:5" x14ac:dyDescent="0.3">
      <c r="A3273" s="21" t="str">
        <f t="shared" si="51"/>
        <v>.</v>
      </c>
      <c r="D3273" s="44"/>
      <c r="E3273" s="22" t="str">
        <f>IF(D3273&lt;&gt;"",IFERROR(INDEX(Produtos!$C$4:$C$4996,MATCH(D3273,Produtos!$B$4:$B$4996,0)),"Produto não encontrado"),"")</f>
        <v/>
      </c>
    </row>
    <row r="3274" spans="1:5" x14ac:dyDescent="0.3">
      <c r="A3274" s="21" t="str">
        <f t="shared" si="51"/>
        <v>.</v>
      </c>
      <c r="D3274" s="44"/>
      <c r="E3274" s="22" t="str">
        <f>IF(D3274&lt;&gt;"",IFERROR(INDEX(Produtos!$C$4:$C$4996,MATCH(D3274,Produtos!$B$4:$B$4996,0)),"Produto não encontrado"),"")</f>
        <v/>
      </c>
    </row>
    <row r="3275" spans="1:5" x14ac:dyDescent="0.3">
      <c r="A3275" s="21" t="str">
        <f t="shared" si="51"/>
        <v>.</v>
      </c>
      <c r="D3275" s="44"/>
      <c r="E3275" s="22" t="str">
        <f>IF(D3275&lt;&gt;"",IFERROR(INDEX(Produtos!$C$4:$C$4996,MATCH(D3275,Produtos!$B$4:$B$4996,0)),"Produto não encontrado"),"")</f>
        <v/>
      </c>
    </row>
    <row r="3276" spans="1:5" x14ac:dyDescent="0.3">
      <c r="A3276" s="21" t="str">
        <f t="shared" si="51"/>
        <v>.</v>
      </c>
      <c r="D3276" s="44"/>
      <c r="E3276" s="22" t="str">
        <f>IF(D3276&lt;&gt;"",IFERROR(INDEX(Produtos!$C$4:$C$4996,MATCH(D3276,Produtos!$B$4:$B$4996,0)),"Produto não encontrado"),"")</f>
        <v/>
      </c>
    </row>
    <row r="3277" spans="1:5" x14ac:dyDescent="0.3">
      <c r="A3277" s="21" t="str">
        <f t="shared" si="51"/>
        <v>.</v>
      </c>
      <c r="D3277" s="44"/>
      <c r="E3277" s="22" t="str">
        <f>IF(D3277&lt;&gt;"",IFERROR(INDEX(Produtos!$C$4:$C$4996,MATCH(D3277,Produtos!$B$4:$B$4996,0)),"Produto não encontrado"),"")</f>
        <v/>
      </c>
    </row>
    <row r="3278" spans="1:5" x14ac:dyDescent="0.3">
      <c r="A3278" s="21" t="str">
        <f t="shared" si="51"/>
        <v>.</v>
      </c>
      <c r="D3278" s="44"/>
      <c r="E3278" s="22" t="str">
        <f>IF(D3278&lt;&gt;"",IFERROR(INDEX(Produtos!$C$4:$C$4996,MATCH(D3278,Produtos!$B$4:$B$4996,0)),"Produto não encontrado"),"")</f>
        <v/>
      </c>
    </row>
    <row r="3279" spans="1:5" x14ac:dyDescent="0.3">
      <c r="A3279" s="21" t="str">
        <f t="shared" si="51"/>
        <v>.</v>
      </c>
      <c r="D3279" s="44"/>
      <c r="E3279" s="22" t="str">
        <f>IF(D3279&lt;&gt;"",IFERROR(INDEX(Produtos!$C$4:$C$4996,MATCH(D3279,Produtos!$B$4:$B$4996,0)),"Produto não encontrado"),"")</f>
        <v/>
      </c>
    </row>
    <row r="3280" spans="1:5" x14ac:dyDescent="0.3">
      <c r="A3280" s="21" t="str">
        <f t="shared" si="51"/>
        <v>.</v>
      </c>
      <c r="D3280" s="44"/>
      <c r="E3280" s="22" t="str">
        <f>IF(D3280&lt;&gt;"",IFERROR(INDEX(Produtos!$C$4:$C$4996,MATCH(D3280,Produtos!$B$4:$B$4996,0)),"Produto não encontrado"),"")</f>
        <v/>
      </c>
    </row>
    <row r="3281" spans="1:5" x14ac:dyDescent="0.3">
      <c r="A3281" s="21" t="str">
        <f t="shared" si="51"/>
        <v>.</v>
      </c>
      <c r="D3281" s="44"/>
      <c r="E3281" s="22" t="str">
        <f>IF(D3281&lt;&gt;"",IFERROR(INDEX(Produtos!$C$4:$C$4996,MATCH(D3281,Produtos!$B$4:$B$4996,0)),"Produto não encontrado"),"")</f>
        <v/>
      </c>
    </row>
    <row r="3282" spans="1:5" x14ac:dyDescent="0.3">
      <c r="A3282" s="21" t="str">
        <f t="shared" si="51"/>
        <v>.</v>
      </c>
      <c r="D3282" s="44"/>
      <c r="E3282" s="22" t="str">
        <f>IF(D3282&lt;&gt;"",IFERROR(INDEX(Produtos!$C$4:$C$4996,MATCH(D3282,Produtos!$B$4:$B$4996,0)),"Produto não encontrado"),"")</f>
        <v/>
      </c>
    </row>
    <row r="3283" spans="1:5" x14ac:dyDescent="0.3">
      <c r="A3283" s="21" t="str">
        <f t="shared" si="51"/>
        <v>.</v>
      </c>
      <c r="D3283" s="44"/>
      <c r="E3283" s="22" t="str">
        <f>IF(D3283&lt;&gt;"",IFERROR(INDEX(Produtos!$C$4:$C$4996,MATCH(D3283,Produtos!$B$4:$B$4996,0)),"Produto não encontrado"),"")</f>
        <v/>
      </c>
    </row>
    <row r="3284" spans="1:5" x14ac:dyDescent="0.3">
      <c r="A3284" s="21" t="str">
        <f t="shared" si="51"/>
        <v>.</v>
      </c>
      <c r="D3284" s="44"/>
      <c r="E3284" s="22" t="str">
        <f>IF(D3284&lt;&gt;"",IFERROR(INDEX(Produtos!$C$4:$C$4996,MATCH(D3284,Produtos!$B$4:$B$4996,0)),"Produto não encontrado"),"")</f>
        <v/>
      </c>
    </row>
    <row r="3285" spans="1:5" x14ac:dyDescent="0.3">
      <c r="A3285" s="21" t="str">
        <f t="shared" si="51"/>
        <v>.</v>
      </c>
      <c r="D3285" s="44"/>
      <c r="E3285" s="22" t="str">
        <f>IF(D3285&lt;&gt;"",IFERROR(INDEX(Produtos!$C$4:$C$4996,MATCH(D3285,Produtos!$B$4:$B$4996,0)),"Produto não encontrado"),"")</f>
        <v/>
      </c>
    </row>
    <row r="3286" spans="1:5" x14ac:dyDescent="0.3">
      <c r="A3286" s="21" t="str">
        <f t="shared" si="51"/>
        <v>.</v>
      </c>
      <c r="D3286" s="44"/>
      <c r="E3286" s="22" t="str">
        <f>IF(D3286&lt;&gt;"",IFERROR(INDEX(Produtos!$C$4:$C$4996,MATCH(D3286,Produtos!$B$4:$B$4996,0)),"Produto não encontrado"),"")</f>
        <v/>
      </c>
    </row>
    <row r="3287" spans="1:5" x14ac:dyDescent="0.3">
      <c r="A3287" s="21" t="str">
        <f t="shared" si="51"/>
        <v>.</v>
      </c>
      <c r="D3287" s="44"/>
      <c r="E3287" s="22" t="str">
        <f>IF(D3287&lt;&gt;"",IFERROR(INDEX(Produtos!$C$4:$C$4996,MATCH(D3287,Produtos!$B$4:$B$4996,0)),"Produto não encontrado"),"")</f>
        <v/>
      </c>
    </row>
    <row r="3288" spans="1:5" x14ac:dyDescent="0.3">
      <c r="A3288" s="21" t="str">
        <f t="shared" si="51"/>
        <v>.</v>
      </c>
      <c r="D3288" s="44"/>
      <c r="E3288" s="22" t="str">
        <f>IF(D3288&lt;&gt;"",IFERROR(INDEX(Produtos!$C$4:$C$4996,MATCH(D3288,Produtos!$B$4:$B$4996,0)),"Produto não encontrado"),"")</f>
        <v/>
      </c>
    </row>
    <row r="3289" spans="1:5" x14ac:dyDescent="0.3">
      <c r="A3289" s="21" t="str">
        <f t="shared" si="51"/>
        <v>.</v>
      </c>
      <c r="D3289" s="44"/>
      <c r="E3289" s="22" t="str">
        <f>IF(D3289&lt;&gt;"",IFERROR(INDEX(Produtos!$C$4:$C$4996,MATCH(D3289,Produtos!$B$4:$B$4996,0)),"Produto não encontrado"),"")</f>
        <v/>
      </c>
    </row>
    <row r="3290" spans="1:5" x14ac:dyDescent="0.3">
      <c r="A3290" s="21" t="str">
        <f t="shared" si="51"/>
        <v>.</v>
      </c>
      <c r="D3290" s="44"/>
      <c r="E3290" s="22" t="str">
        <f>IF(D3290&lt;&gt;"",IFERROR(INDEX(Produtos!$C$4:$C$4996,MATCH(D3290,Produtos!$B$4:$B$4996,0)),"Produto não encontrado"),"")</f>
        <v/>
      </c>
    </row>
    <row r="3291" spans="1:5" x14ac:dyDescent="0.3">
      <c r="A3291" s="21" t="str">
        <f t="shared" si="51"/>
        <v>.</v>
      </c>
      <c r="D3291" s="44"/>
      <c r="E3291" s="22" t="str">
        <f>IF(D3291&lt;&gt;"",IFERROR(INDEX(Produtos!$C$4:$C$4996,MATCH(D3291,Produtos!$B$4:$B$4996,0)),"Produto não encontrado"),"")</f>
        <v/>
      </c>
    </row>
    <row r="3292" spans="1:5" x14ac:dyDescent="0.3">
      <c r="A3292" s="21" t="str">
        <f t="shared" si="51"/>
        <v>.</v>
      </c>
      <c r="D3292" s="44"/>
      <c r="E3292" s="22" t="str">
        <f>IF(D3292&lt;&gt;"",IFERROR(INDEX(Produtos!$C$4:$C$4996,MATCH(D3292,Produtos!$B$4:$B$4996,0)),"Produto não encontrado"),"")</f>
        <v/>
      </c>
    </row>
    <row r="3293" spans="1:5" x14ac:dyDescent="0.3">
      <c r="A3293" s="21" t="str">
        <f t="shared" si="51"/>
        <v>.</v>
      </c>
      <c r="D3293" s="44"/>
      <c r="E3293" s="22" t="str">
        <f>IF(D3293&lt;&gt;"",IFERROR(INDEX(Produtos!$C$4:$C$4996,MATCH(D3293,Produtos!$B$4:$B$4996,0)),"Produto não encontrado"),"")</f>
        <v/>
      </c>
    </row>
    <row r="3294" spans="1:5" x14ac:dyDescent="0.3">
      <c r="A3294" s="21" t="str">
        <f t="shared" si="51"/>
        <v>.</v>
      </c>
      <c r="D3294" s="44"/>
      <c r="E3294" s="22" t="str">
        <f>IF(D3294&lt;&gt;"",IFERROR(INDEX(Produtos!$C$4:$C$4996,MATCH(D3294,Produtos!$B$4:$B$4996,0)),"Produto não encontrado"),"")</f>
        <v/>
      </c>
    </row>
    <row r="3295" spans="1:5" x14ac:dyDescent="0.3">
      <c r="A3295" s="21" t="str">
        <f t="shared" si="51"/>
        <v>.</v>
      </c>
      <c r="D3295" s="44"/>
      <c r="E3295" s="22" t="str">
        <f>IF(D3295&lt;&gt;"",IFERROR(INDEX(Produtos!$C$4:$C$4996,MATCH(D3295,Produtos!$B$4:$B$4996,0)),"Produto não encontrado"),"")</f>
        <v/>
      </c>
    </row>
    <row r="3296" spans="1:5" x14ac:dyDescent="0.3">
      <c r="A3296" s="21" t="str">
        <f t="shared" si="51"/>
        <v>.</v>
      </c>
      <c r="D3296" s="44"/>
      <c r="E3296" s="22" t="str">
        <f>IF(D3296&lt;&gt;"",IFERROR(INDEX(Produtos!$C$4:$C$4996,MATCH(D3296,Produtos!$B$4:$B$4996,0)),"Produto não encontrado"),"")</f>
        <v/>
      </c>
    </row>
    <row r="3297" spans="1:5" x14ac:dyDescent="0.3">
      <c r="A3297" s="21" t="str">
        <f t="shared" si="51"/>
        <v>.</v>
      </c>
      <c r="D3297" s="44"/>
      <c r="E3297" s="22" t="str">
        <f>IF(D3297&lt;&gt;"",IFERROR(INDEX(Produtos!$C$4:$C$4996,MATCH(D3297,Produtos!$B$4:$B$4996,0)),"Produto não encontrado"),"")</f>
        <v/>
      </c>
    </row>
    <row r="3298" spans="1:5" x14ac:dyDescent="0.3">
      <c r="A3298" s="21" t="str">
        <f t="shared" si="51"/>
        <v>.</v>
      </c>
      <c r="D3298" s="44"/>
      <c r="E3298" s="22" t="str">
        <f>IF(D3298&lt;&gt;"",IFERROR(INDEX(Produtos!$C$4:$C$4996,MATCH(D3298,Produtos!$B$4:$B$4996,0)),"Produto não encontrado"),"")</f>
        <v/>
      </c>
    </row>
    <row r="3299" spans="1:5" x14ac:dyDescent="0.3">
      <c r="A3299" s="21" t="str">
        <f t="shared" si="51"/>
        <v>.</v>
      </c>
      <c r="D3299" s="44"/>
      <c r="E3299" s="22" t="str">
        <f>IF(D3299&lt;&gt;"",IFERROR(INDEX(Produtos!$C$4:$C$4996,MATCH(D3299,Produtos!$B$4:$B$4996,0)),"Produto não encontrado"),"")</f>
        <v/>
      </c>
    </row>
    <row r="3300" spans="1:5" x14ac:dyDescent="0.3">
      <c r="A3300" s="21" t="str">
        <f t="shared" si="51"/>
        <v>.</v>
      </c>
      <c r="D3300" s="44"/>
      <c r="E3300" s="22" t="str">
        <f>IF(D3300&lt;&gt;"",IFERROR(INDEX(Produtos!$C$4:$C$4996,MATCH(D3300,Produtos!$B$4:$B$4996,0)),"Produto não encontrado"),"")</f>
        <v/>
      </c>
    </row>
    <row r="3301" spans="1:5" x14ac:dyDescent="0.3">
      <c r="A3301" s="21" t="str">
        <f t="shared" si="51"/>
        <v>.</v>
      </c>
      <c r="D3301" s="44"/>
      <c r="E3301" s="22" t="str">
        <f>IF(D3301&lt;&gt;"",IFERROR(INDEX(Produtos!$C$4:$C$4996,MATCH(D3301,Produtos!$B$4:$B$4996,0)),"Produto não encontrado"),"")</f>
        <v/>
      </c>
    </row>
    <row r="3302" spans="1:5" x14ac:dyDescent="0.3">
      <c r="A3302" s="21" t="str">
        <f t="shared" si="51"/>
        <v>.</v>
      </c>
      <c r="D3302" s="44"/>
      <c r="E3302" s="22" t="str">
        <f>IF(D3302&lt;&gt;"",IFERROR(INDEX(Produtos!$C$4:$C$4996,MATCH(D3302,Produtos!$B$4:$B$4996,0)),"Produto não encontrado"),"")</f>
        <v/>
      </c>
    </row>
    <row r="3303" spans="1:5" x14ac:dyDescent="0.3">
      <c r="A3303" s="21" t="str">
        <f t="shared" si="51"/>
        <v>.</v>
      </c>
      <c r="D3303" s="44"/>
      <c r="E3303" s="22" t="str">
        <f>IF(D3303&lt;&gt;"",IFERROR(INDEX(Produtos!$C$4:$C$4996,MATCH(D3303,Produtos!$B$4:$B$4996,0)),"Produto não encontrado"),"")</f>
        <v/>
      </c>
    </row>
    <row r="3304" spans="1:5" x14ac:dyDescent="0.3">
      <c r="A3304" s="21" t="str">
        <f t="shared" si="51"/>
        <v>.</v>
      </c>
      <c r="D3304" s="44"/>
      <c r="E3304" s="22" t="str">
        <f>IF(D3304&lt;&gt;"",IFERROR(INDEX(Produtos!$C$4:$C$4996,MATCH(D3304,Produtos!$B$4:$B$4996,0)),"Produto não encontrado"),"")</f>
        <v/>
      </c>
    </row>
    <row r="3305" spans="1:5" x14ac:dyDescent="0.3">
      <c r="A3305" s="21" t="str">
        <f t="shared" si="51"/>
        <v>.</v>
      </c>
      <c r="D3305" s="44"/>
      <c r="E3305" s="22" t="str">
        <f>IF(D3305&lt;&gt;"",IFERROR(INDEX(Produtos!$C$4:$C$4996,MATCH(D3305,Produtos!$B$4:$B$4996,0)),"Produto não encontrado"),"")</f>
        <v/>
      </c>
    </row>
    <row r="3306" spans="1:5" x14ac:dyDescent="0.3">
      <c r="A3306" s="21" t="str">
        <f t="shared" si="51"/>
        <v>.</v>
      </c>
      <c r="D3306" s="44"/>
      <c r="E3306" s="22" t="str">
        <f>IF(D3306&lt;&gt;"",IFERROR(INDEX(Produtos!$C$4:$C$4996,MATCH(D3306,Produtos!$B$4:$B$4996,0)),"Produto não encontrado"),"")</f>
        <v/>
      </c>
    </row>
    <row r="3307" spans="1:5" x14ac:dyDescent="0.3">
      <c r="A3307" s="21" t="str">
        <f t="shared" si="51"/>
        <v>.</v>
      </c>
      <c r="D3307" s="44"/>
      <c r="E3307" s="22" t="str">
        <f>IF(D3307&lt;&gt;"",IFERROR(INDEX(Produtos!$C$4:$C$4996,MATCH(D3307,Produtos!$B$4:$B$4996,0)),"Produto não encontrado"),"")</f>
        <v/>
      </c>
    </row>
    <row r="3308" spans="1:5" x14ac:dyDescent="0.3">
      <c r="A3308" s="21" t="str">
        <f t="shared" si="51"/>
        <v>.</v>
      </c>
      <c r="D3308" s="44"/>
      <c r="E3308" s="22" t="str">
        <f>IF(D3308&lt;&gt;"",IFERROR(INDEX(Produtos!$C$4:$C$4996,MATCH(D3308,Produtos!$B$4:$B$4996,0)),"Produto não encontrado"),"")</f>
        <v/>
      </c>
    </row>
    <row r="3309" spans="1:5" x14ac:dyDescent="0.3">
      <c r="A3309" s="21" t="str">
        <f t="shared" si="51"/>
        <v>.</v>
      </c>
      <c r="D3309" s="44"/>
      <c r="E3309" s="22" t="str">
        <f>IF(D3309&lt;&gt;"",IFERROR(INDEX(Produtos!$C$4:$C$4996,MATCH(D3309,Produtos!$B$4:$B$4996,0)),"Produto não encontrado"),"")</f>
        <v/>
      </c>
    </row>
    <row r="3310" spans="1:5" x14ac:dyDescent="0.3">
      <c r="A3310" s="21" t="str">
        <f t="shared" si="51"/>
        <v>.</v>
      </c>
      <c r="D3310" s="44"/>
      <c r="E3310" s="22" t="str">
        <f>IF(D3310&lt;&gt;"",IFERROR(INDEX(Produtos!$C$4:$C$4996,MATCH(D3310,Produtos!$B$4:$B$4996,0)),"Produto não encontrado"),"")</f>
        <v/>
      </c>
    </row>
    <row r="3311" spans="1:5" x14ac:dyDescent="0.3">
      <c r="A3311" s="21" t="str">
        <f t="shared" si="51"/>
        <v>.</v>
      </c>
      <c r="D3311" s="44"/>
      <c r="E3311" s="22" t="str">
        <f>IF(D3311&lt;&gt;"",IFERROR(INDEX(Produtos!$C$4:$C$4996,MATCH(D3311,Produtos!$B$4:$B$4996,0)),"Produto não encontrado"),"")</f>
        <v/>
      </c>
    </row>
    <row r="3312" spans="1:5" x14ac:dyDescent="0.3">
      <c r="A3312" s="21" t="str">
        <f t="shared" si="51"/>
        <v>.</v>
      </c>
      <c r="D3312" s="44"/>
      <c r="E3312" s="22" t="str">
        <f>IF(D3312&lt;&gt;"",IFERROR(INDEX(Produtos!$C$4:$C$4996,MATCH(D3312,Produtos!$B$4:$B$4996,0)),"Produto não encontrado"),"")</f>
        <v/>
      </c>
    </row>
    <row r="3313" spans="1:5" x14ac:dyDescent="0.3">
      <c r="A3313" s="21" t="str">
        <f t="shared" si="51"/>
        <v>.</v>
      </c>
      <c r="D3313" s="44"/>
      <c r="E3313" s="22" t="str">
        <f>IF(D3313&lt;&gt;"",IFERROR(INDEX(Produtos!$C$4:$C$4996,MATCH(D3313,Produtos!$B$4:$B$4996,0)),"Produto não encontrado"),"")</f>
        <v/>
      </c>
    </row>
    <row r="3314" spans="1:5" x14ac:dyDescent="0.3">
      <c r="A3314" s="21" t="str">
        <f t="shared" si="51"/>
        <v>.</v>
      </c>
      <c r="D3314" s="44"/>
      <c r="E3314" s="22" t="str">
        <f>IF(D3314&lt;&gt;"",IFERROR(INDEX(Produtos!$C$4:$C$4996,MATCH(D3314,Produtos!$B$4:$B$4996,0)),"Produto não encontrado"),"")</f>
        <v/>
      </c>
    </row>
    <row r="3315" spans="1:5" x14ac:dyDescent="0.3">
      <c r="A3315" s="21" t="str">
        <f t="shared" si="51"/>
        <v>.</v>
      </c>
      <c r="D3315" s="44"/>
      <c r="E3315" s="22" t="str">
        <f>IF(D3315&lt;&gt;"",IFERROR(INDEX(Produtos!$C$4:$C$4996,MATCH(D3315,Produtos!$B$4:$B$4996,0)),"Produto não encontrado"),"")</f>
        <v/>
      </c>
    </row>
    <row r="3316" spans="1:5" x14ac:dyDescent="0.3">
      <c r="A3316" s="21" t="str">
        <f t="shared" si="51"/>
        <v>.</v>
      </c>
      <c r="D3316" s="44"/>
      <c r="E3316" s="22" t="str">
        <f>IF(D3316&lt;&gt;"",IFERROR(INDEX(Produtos!$C$4:$C$4996,MATCH(D3316,Produtos!$B$4:$B$4996,0)),"Produto não encontrado"),"")</f>
        <v/>
      </c>
    </row>
    <row r="3317" spans="1:5" x14ac:dyDescent="0.3">
      <c r="A3317" s="21" t="str">
        <f t="shared" si="51"/>
        <v>.</v>
      </c>
      <c r="D3317" s="44"/>
      <c r="E3317" s="22" t="str">
        <f>IF(D3317&lt;&gt;"",IFERROR(INDEX(Produtos!$C$4:$C$4996,MATCH(D3317,Produtos!$B$4:$B$4996,0)),"Produto não encontrado"),"")</f>
        <v/>
      </c>
    </row>
    <row r="3318" spans="1:5" x14ac:dyDescent="0.3">
      <c r="A3318" s="21" t="str">
        <f t="shared" si="51"/>
        <v>.</v>
      </c>
      <c r="D3318" s="44"/>
      <c r="E3318" s="22" t="str">
        <f>IF(D3318&lt;&gt;"",IFERROR(INDEX(Produtos!$C$4:$C$4996,MATCH(D3318,Produtos!$B$4:$B$4996,0)),"Produto não encontrado"),"")</f>
        <v/>
      </c>
    </row>
    <row r="3319" spans="1:5" x14ac:dyDescent="0.3">
      <c r="A3319" s="21" t="str">
        <f t="shared" si="51"/>
        <v>.</v>
      </c>
      <c r="D3319" s="44"/>
      <c r="E3319" s="22" t="str">
        <f>IF(D3319&lt;&gt;"",IFERROR(INDEX(Produtos!$C$4:$C$4996,MATCH(D3319,Produtos!$B$4:$B$4996,0)),"Produto não encontrado"),"")</f>
        <v/>
      </c>
    </row>
    <row r="3320" spans="1:5" x14ac:dyDescent="0.3">
      <c r="A3320" s="21" t="str">
        <f t="shared" si="51"/>
        <v>.</v>
      </c>
      <c r="D3320" s="44"/>
      <c r="E3320" s="22" t="str">
        <f>IF(D3320&lt;&gt;"",IFERROR(INDEX(Produtos!$C$4:$C$4996,MATCH(D3320,Produtos!$B$4:$B$4996,0)),"Produto não encontrado"),"")</f>
        <v/>
      </c>
    </row>
    <row r="3321" spans="1:5" x14ac:dyDescent="0.3">
      <c r="A3321" s="21" t="str">
        <f t="shared" si="51"/>
        <v>.</v>
      </c>
      <c r="D3321" s="44"/>
      <c r="E3321" s="22" t="str">
        <f>IF(D3321&lt;&gt;"",IFERROR(INDEX(Produtos!$C$4:$C$4996,MATCH(D3321,Produtos!$B$4:$B$4996,0)),"Produto não encontrado"),"")</f>
        <v/>
      </c>
    </row>
    <row r="3322" spans="1:5" x14ac:dyDescent="0.3">
      <c r="A3322" s="21" t="str">
        <f t="shared" si="51"/>
        <v>.</v>
      </c>
      <c r="D3322" s="44"/>
      <c r="E3322" s="22" t="str">
        <f>IF(D3322&lt;&gt;"",IFERROR(INDEX(Produtos!$C$4:$C$4996,MATCH(D3322,Produtos!$B$4:$B$4996,0)),"Produto não encontrado"),"")</f>
        <v/>
      </c>
    </row>
    <row r="3323" spans="1:5" x14ac:dyDescent="0.3">
      <c r="A3323" s="21" t="str">
        <f t="shared" si="51"/>
        <v>.</v>
      </c>
      <c r="D3323" s="44"/>
      <c r="E3323" s="22" t="str">
        <f>IF(D3323&lt;&gt;"",IFERROR(INDEX(Produtos!$C$4:$C$4996,MATCH(D3323,Produtos!$B$4:$B$4996,0)),"Produto não encontrado"),"")</f>
        <v/>
      </c>
    </row>
    <row r="3324" spans="1:5" x14ac:dyDescent="0.3">
      <c r="A3324" s="21" t="str">
        <f t="shared" si="51"/>
        <v>.</v>
      </c>
      <c r="D3324" s="44"/>
      <c r="E3324" s="22" t="str">
        <f>IF(D3324&lt;&gt;"",IFERROR(INDEX(Produtos!$C$4:$C$4996,MATCH(D3324,Produtos!$B$4:$B$4996,0)),"Produto não encontrado"),"")</f>
        <v/>
      </c>
    </row>
    <row r="3325" spans="1:5" x14ac:dyDescent="0.3">
      <c r="A3325" s="21" t="str">
        <f t="shared" si="51"/>
        <v>.</v>
      </c>
      <c r="D3325" s="44"/>
      <c r="E3325" s="22" t="str">
        <f>IF(D3325&lt;&gt;"",IFERROR(INDEX(Produtos!$C$4:$C$4996,MATCH(D3325,Produtos!$B$4:$B$4996,0)),"Produto não encontrado"),"")</f>
        <v/>
      </c>
    </row>
    <row r="3326" spans="1:5" x14ac:dyDescent="0.3">
      <c r="A3326" s="21" t="str">
        <f t="shared" si="51"/>
        <v>.</v>
      </c>
      <c r="D3326" s="44"/>
      <c r="E3326" s="22" t="str">
        <f>IF(D3326&lt;&gt;"",IFERROR(INDEX(Produtos!$C$4:$C$4996,MATCH(D3326,Produtos!$B$4:$B$4996,0)),"Produto não encontrado"),"")</f>
        <v/>
      </c>
    </row>
    <row r="3327" spans="1:5" x14ac:dyDescent="0.3">
      <c r="A3327" s="21" t="str">
        <f t="shared" si="51"/>
        <v>.</v>
      </c>
      <c r="D3327" s="44"/>
      <c r="E3327" s="22" t="str">
        <f>IF(D3327&lt;&gt;"",IFERROR(INDEX(Produtos!$C$4:$C$4996,MATCH(D3327,Produtos!$B$4:$B$4996,0)),"Produto não encontrado"),"")</f>
        <v/>
      </c>
    </row>
    <row r="3328" spans="1:5" x14ac:dyDescent="0.3">
      <c r="A3328" s="21" t="str">
        <f t="shared" ref="A3328:A3391" si="52">IF(C3328="Entrada",2,IF(C3328="Saída",1,"."))</f>
        <v>.</v>
      </c>
      <c r="D3328" s="44"/>
      <c r="E3328" s="22" t="str">
        <f>IF(D3328&lt;&gt;"",IFERROR(INDEX(Produtos!$C$4:$C$4996,MATCH(D3328,Produtos!$B$4:$B$4996,0)),"Produto não encontrado"),"")</f>
        <v/>
      </c>
    </row>
    <row r="3329" spans="1:5" x14ac:dyDescent="0.3">
      <c r="A3329" s="21" t="str">
        <f t="shared" si="52"/>
        <v>.</v>
      </c>
      <c r="D3329" s="44"/>
      <c r="E3329" s="22" t="str">
        <f>IF(D3329&lt;&gt;"",IFERROR(INDEX(Produtos!$C$4:$C$4996,MATCH(D3329,Produtos!$B$4:$B$4996,0)),"Produto não encontrado"),"")</f>
        <v/>
      </c>
    </row>
    <row r="3330" spans="1:5" x14ac:dyDescent="0.3">
      <c r="A3330" s="21" t="str">
        <f t="shared" si="52"/>
        <v>.</v>
      </c>
      <c r="D3330" s="44"/>
      <c r="E3330" s="22" t="str">
        <f>IF(D3330&lt;&gt;"",IFERROR(INDEX(Produtos!$C$4:$C$4996,MATCH(D3330,Produtos!$B$4:$B$4996,0)),"Produto não encontrado"),"")</f>
        <v/>
      </c>
    </row>
    <row r="3331" spans="1:5" x14ac:dyDescent="0.3">
      <c r="A3331" s="21" t="str">
        <f t="shared" si="52"/>
        <v>.</v>
      </c>
      <c r="D3331" s="44"/>
      <c r="E3331" s="22" t="str">
        <f>IF(D3331&lt;&gt;"",IFERROR(INDEX(Produtos!$C$4:$C$4996,MATCH(D3331,Produtos!$B$4:$B$4996,0)),"Produto não encontrado"),"")</f>
        <v/>
      </c>
    </row>
    <row r="3332" spans="1:5" x14ac:dyDescent="0.3">
      <c r="A3332" s="21" t="str">
        <f t="shared" si="52"/>
        <v>.</v>
      </c>
      <c r="D3332" s="44"/>
      <c r="E3332" s="22" t="str">
        <f>IF(D3332&lt;&gt;"",IFERROR(INDEX(Produtos!$C$4:$C$4996,MATCH(D3332,Produtos!$B$4:$B$4996,0)),"Produto não encontrado"),"")</f>
        <v/>
      </c>
    </row>
    <row r="3333" spans="1:5" x14ac:dyDescent="0.3">
      <c r="A3333" s="21" t="str">
        <f t="shared" si="52"/>
        <v>.</v>
      </c>
      <c r="D3333" s="44"/>
      <c r="E3333" s="22" t="str">
        <f>IF(D3333&lt;&gt;"",IFERROR(INDEX(Produtos!$C$4:$C$4996,MATCH(D3333,Produtos!$B$4:$B$4996,0)),"Produto não encontrado"),"")</f>
        <v/>
      </c>
    </row>
    <row r="3334" spans="1:5" x14ac:dyDescent="0.3">
      <c r="A3334" s="21" t="str">
        <f t="shared" si="52"/>
        <v>.</v>
      </c>
      <c r="D3334" s="44"/>
      <c r="E3334" s="22" t="str">
        <f>IF(D3334&lt;&gt;"",IFERROR(INDEX(Produtos!$C$4:$C$4996,MATCH(D3334,Produtos!$B$4:$B$4996,0)),"Produto não encontrado"),"")</f>
        <v/>
      </c>
    </row>
    <row r="3335" spans="1:5" x14ac:dyDescent="0.3">
      <c r="A3335" s="21" t="str">
        <f t="shared" si="52"/>
        <v>.</v>
      </c>
      <c r="D3335" s="44"/>
      <c r="E3335" s="22" t="str">
        <f>IF(D3335&lt;&gt;"",IFERROR(INDEX(Produtos!$C$4:$C$4996,MATCH(D3335,Produtos!$B$4:$B$4996,0)),"Produto não encontrado"),"")</f>
        <v/>
      </c>
    </row>
    <row r="3336" spans="1:5" x14ac:dyDescent="0.3">
      <c r="A3336" s="21" t="str">
        <f t="shared" si="52"/>
        <v>.</v>
      </c>
      <c r="D3336" s="44"/>
      <c r="E3336" s="22" t="str">
        <f>IF(D3336&lt;&gt;"",IFERROR(INDEX(Produtos!$C$4:$C$4996,MATCH(D3336,Produtos!$B$4:$B$4996,0)),"Produto não encontrado"),"")</f>
        <v/>
      </c>
    </row>
    <row r="3337" spans="1:5" x14ac:dyDescent="0.3">
      <c r="A3337" s="21" t="str">
        <f t="shared" si="52"/>
        <v>.</v>
      </c>
      <c r="D3337" s="44"/>
      <c r="E3337" s="22" t="str">
        <f>IF(D3337&lt;&gt;"",IFERROR(INDEX(Produtos!$C$4:$C$4996,MATCH(D3337,Produtos!$B$4:$B$4996,0)),"Produto não encontrado"),"")</f>
        <v/>
      </c>
    </row>
    <row r="3338" spans="1:5" x14ac:dyDescent="0.3">
      <c r="A3338" s="21" t="str">
        <f t="shared" si="52"/>
        <v>.</v>
      </c>
      <c r="D3338" s="44"/>
      <c r="E3338" s="22" t="str">
        <f>IF(D3338&lt;&gt;"",IFERROR(INDEX(Produtos!$C$4:$C$4996,MATCH(D3338,Produtos!$B$4:$B$4996,0)),"Produto não encontrado"),"")</f>
        <v/>
      </c>
    </row>
    <row r="3339" spans="1:5" x14ac:dyDescent="0.3">
      <c r="A3339" s="21" t="str">
        <f t="shared" si="52"/>
        <v>.</v>
      </c>
      <c r="D3339" s="44"/>
      <c r="E3339" s="22" t="str">
        <f>IF(D3339&lt;&gt;"",IFERROR(INDEX(Produtos!$C$4:$C$4996,MATCH(D3339,Produtos!$B$4:$B$4996,0)),"Produto não encontrado"),"")</f>
        <v/>
      </c>
    </row>
    <row r="3340" spans="1:5" x14ac:dyDescent="0.3">
      <c r="A3340" s="21" t="str">
        <f t="shared" si="52"/>
        <v>.</v>
      </c>
      <c r="D3340" s="44"/>
      <c r="E3340" s="22" t="str">
        <f>IF(D3340&lt;&gt;"",IFERROR(INDEX(Produtos!$C$4:$C$4996,MATCH(D3340,Produtos!$B$4:$B$4996,0)),"Produto não encontrado"),"")</f>
        <v/>
      </c>
    </row>
    <row r="3341" spans="1:5" x14ac:dyDescent="0.3">
      <c r="A3341" s="21" t="str">
        <f t="shared" si="52"/>
        <v>.</v>
      </c>
      <c r="D3341" s="44"/>
      <c r="E3341" s="22" t="str">
        <f>IF(D3341&lt;&gt;"",IFERROR(INDEX(Produtos!$C$4:$C$4996,MATCH(D3341,Produtos!$B$4:$B$4996,0)),"Produto não encontrado"),"")</f>
        <v/>
      </c>
    </row>
    <row r="3342" spans="1:5" x14ac:dyDescent="0.3">
      <c r="A3342" s="21" t="str">
        <f t="shared" si="52"/>
        <v>.</v>
      </c>
      <c r="D3342" s="44"/>
      <c r="E3342" s="22" t="str">
        <f>IF(D3342&lt;&gt;"",IFERROR(INDEX(Produtos!$C$4:$C$4996,MATCH(D3342,Produtos!$B$4:$B$4996,0)),"Produto não encontrado"),"")</f>
        <v/>
      </c>
    </row>
    <row r="3343" spans="1:5" x14ac:dyDescent="0.3">
      <c r="A3343" s="21" t="str">
        <f t="shared" si="52"/>
        <v>.</v>
      </c>
      <c r="D3343" s="44"/>
      <c r="E3343" s="22" t="str">
        <f>IF(D3343&lt;&gt;"",IFERROR(INDEX(Produtos!$C$4:$C$4996,MATCH(D3343,Produtos!$B$4:$B$4996,0)),"Produto não encontrado"),"")</f>
        <v/>
      </c>
    </row>
    <row r="3344" spans="1:5" x14ac:dyDescent="0.3">
      <c r="A3344" s="21" t="str">
        <f t="shared" si="52"/>
        <v>.</v>
      </c>
      <c r="D3344" s="44"/>
      <c r="E3344" s="22" t="str">
        <f>IF(D3344&lt;&gt;"",IFERROR(INDEX(Produtos!$C$4:$C$4996,MATCH(D3344,Produtos!$B$4:$B$4996,0)),"Produto não encontrado"),"")</f>
        <v/>
      </c>
    </row>
    <row r="3345" spans="1:5" x14ac:dyDescent="0.3">
      <c r="A3345" s="21" t="str">
        <f t="shared" si="52"/>
        <v>.</v>
      </c>
      <c r="D3345" s="44"/>
      <c r="E3345" s="22" t="str">
        <f>IF(D3345&lt;&gt;"",IFERROR(INDEX(Produtos!$C$4:$C$4996,MATCH(D3345,Produtos!$B$4:$B$4996,0)),"Produto não encontrado"),"")</f>
        <v/>
      </c>
    </row>
    <row r="3346" spans="1:5" x14ac:dyDescent="0.3">
      <c r="A3346" s="21" t="str">
        <f t="shared" si="52"/>
        <v>.</v>
      </c>
      <c r="D3346" s="44"/>
      <c r="E3346" s="22" t="str">
        <f>IF(D3346&lt;&gt;"",IFERROR(INDEX(Produtos!$C$4:$C$4996,MATCH(D3346,Produtos!$B$4:$B$4996,0)),"Produto não encontrado"),"")</f>
        <v/>
      </c>
    </row>
    <row r="3347" spans="1:5" x14ac:dyDescent="0.3">
      <c r="A3347" s="21" t="str">
        <f t="shared" si="52"/>
        <v>.</v>
      </c>
      <c r="D3347" s="44"/>
      <c r="E3347" s="22" t="str">
        <f>IF(D3347&lt;&gt;"",IFERROR(INDEX(Produtos!$C$4:$C$4996,MATCH(D3347,Produtos!$B$4:$B$4996,0)),"Produto não encontrado"),"")</f>
        <v/>
      </c>
    </row>
    <row r="3348" spans="1:5" x14ac:dyDescent="0.3">
      <c r="A3348" s="21" t="str">
        <f t="shared" si="52"/>
        <v>.</v>
      </c>
      <c r="D3348" s="44"/>
      <c r="E3348" s="22" t="str">
        <f>IF(D3348&lt;&gt;"",IFERROR(INDEX(Produtos!$C$4:$C$4996,MATCH(D3348,Produtos!$B$4:$B$4996,0)),"Produto não encontrado"),"")</f>
        <v/>
      </c>
    </row>
    <row r="3349" spans="1:5" x14ac:dyDescent="0.3">
      <c r="A3349" s="21" t="str">
        <f t="shared" si="52"/>
        <v>.</v>
      </c>
      <c r="D3349" s="44"/>
      <c r="E3349" s="22" t="str">
        <f>IF(D3349&lt;&gt;"",IFERROR(INDEX(Produtos!$C$4:$C$4996,MATCH(D3349,Produtos!$B$4:$B$4996,0)),"Produto não encontrado"),"")</f>
        <v/>
      </c>
    </row>
    <row r="3350" spans="1:5" x14ac:dyDescent="0.3">
      <c r="A3350" s="21" t="str">
        <f t="shared" si="52"/>
        <v>.</v>
      </c>
      <c r="D3350" s="44"/>
      <c r="E3350" s="22" t="str">
        <f>IF(D3350&lt;&gt;"",IFERROR(INDEX(Produtos!$C$4:$C$4996,MATCH(D3350,Produtos!$B$4:$B$4996,0)),"Produto não encontrado"),"")</f>
        <v/>
      </c>
    </row>
    <row r="3351" spans="1:5" x14ac:dyDescent="0.3">
      <c r="A3351" s="21" t="str">
        <f t="shared" si="52"/>
        <v>.</v>
      </c>
      <c r="D3351" s="44"/>
      <c r="E3351" s="22" t="str">
        <f>IF(D3351&lt;&gt;"",IFERROR(INDEX(Produtos!$C$4:$C$4996,MATCH(D3351,Produtos!$B$4:$B$4996,0)),"Produto não encontrado"),"")</f>
        <v/>
      </c>
    </row>
    <row r="3352" spans="1:5" x14ac:dyDescent="0.3">
      <c r="A3352" s="21" t="str">
        <f t="shared" si="52"/>
        <v>.</v>
      </c>
      <c r="D3352" s="44"/>
      <c r="E3352" s="22" t="str">
        <f>IF(D3352&lt;&gt;"",IFERROR(INDEX(Produtos!$C$4:$C$4996,MATCH(D3352,Produtos!$B$4:$B$4996,0)),"Produto não encontrado"),"")</f>
        <v/>
      </c>
    </row>
    <row r="3353" spans="1:5" x14ac:dyDescent="0.3">
      <c r="A3353" s="21" t="str">
        <f t="shared" si="52"/>
        <v>.</v>
      </c>
      <c r="D3353" s="44"/>
      <c r="E3353" s="22" t="str">
        <f>IF(D3353&lt;&gt;"",IFERROR(INDEX(Produtos!$C$4:$C$4996,MATCH(D3353,Produtos!$B$4:$B$4996,0)),"Produto não encontrado"),"")</f>
        <v/>
      </c>
    </row>
    <row r="3354" spans="1:5" x14ac:dyDescent="0.3">
      <c r="A3354" s="21" t="str">
        <f t="shared" si="52"/>
        <v>.</v>
      </c>
      <c r="D3354" s="44"/>
      <c r="E3354" s="22" t="str">
        <f>IF(D3354&lt;&gt;"",IFERROR(INDEX(Produtos!$C$4:$C$4996,MATCH(D3354,Produtos!$B$4:$B$4996,0)),"Produto não encontrado"),"")</f>
        <v/>
      </c>
    </row>
    <row r="3355" spans="1:5" x14ac:dyDescent="0.3">
      <c r="A3355" s="21" t="str">
        <f t="shared" si="52"/>
        <v>.</v>
      </c>
      <c r="D3355" s="44"/>
      <c r="E3355" s="22" t="str">
        <f>IF(D3355&lt;&gt;"",IFERROR(INDEX(Produtos!$C$4:$C$4996,MATCH(D3355,Produtos!$B$4:$B$4996,0)),"Produto não encontrado"),"")</f>
        <v/>
      </c>
    </row>
    <row r="3356" spans="1:5" x14ac:dyDescent="0.3">
      <c r="A3356" s="21" t="str">
        <f t="shared" si="52"/>
        <v>.</v>
      </c>
      <c r="D3356" s="44"/>
      <c r="E3356" s="22" t="str">
        <f>IF(D3356&lt;&gt;"",IFERROR(INDEX(Produtos!$C$4:$C$4996,MATCH(D3356,Produtos!$B$4:$B$4996,0)),"Produto não encontrado"),"")</f>
        <v/>
      </c>
    </row>
    <row r="3357" spans="1:5" x14ac:dyDescent="0.3">
      <c r="A3357" s="21" t="str">
        <f t="shared" si="52"/>
        <v>.</v>
      </c>
      <c r="D3357" s="44"/>
      <c r="E3357" s="22" t="str">
        <f>IF(D3357&lt;&gt;"",IFERROR(INDEX(Produtos!$C$4:$C$4996,MATCH(D3357,Produtos!$B$4:$B$4996,0)),"Produto não encontrado"),"")</f>
        <v/>
      </c>
    </row>
    <row r="3358" spans="1:5" x14ac:dyDescent="0.3">
      <c r="A3358" s="21" t="str">
        <f t="shared" si="52"/>
        <v>.</v>
      </c>
      <c r="D3358" s="44"/>
      <c r="E3358" s="22" t="str">
        <f>IF(D3358&lt;&gt;"",IFERROR(INDEX(Produtos!$C$4:$C$4996,MATCH(D3358,Produtos!$B$4:$B$4996,0)),"Produto não encontrado"),"")</f>
        <v/>
      </c>
    </row>
    <row r="3359" spans="1:5" x14ac:dyDescent="0.3">
      <c r="A3359" s="21" t="str">
        <f t="shared" si="52"/>
        <v>.</v>
      </c>
      <c r="D3359" s="44"/>
      <c r="E3359" s="22" t="str">
        <f>IF(D3359&lt;&gt;"",IFERROR(INDEX(Produtos!$C$4:$C$4996,MATCH(D3359,Produtos!$B$4:$B$4996,0)),"Produto não encontrado"),"")</f>
        <v/>
      </c>
    </row>
    <row r="3360" spans="1:5" x14ac:dyDescent="0.3">
      <c r="A3360" s="21" t="str">
        <f t="shared" si="52"/>
        <v>.</v>
      </c>
      <c r="D3360" s="44"/>
      <c r="E3360" s="22" t="str">
        <f>IF(D3360&lt;&gt;"",IFERROR(INDEX(Produtos!$C$4:$C$4996,MATCH(D3360,Produtos!$B$4:$B$4996,0)),"Produto não encontrado"),"")</f>
        <v/>
      </c>
    </row>
    <row r="3361" spans="1:5" x14ac:dyDescent="0.3">
      <c r="A3361" s="21" t="str">
        <f t="shared" si="52"/>
        <v>.</v>
      </c>
      <c r="D3361" s="44"/>
      <c r="E3361" s="22" t="str">
        <f>IF(D3361&lt;&gt;"",IFERROR(INDEX(Produtos!$C$4:$C$4996,MATCH(D3361,Produtos!$B$4:$B$4996,0)),"Produto não encontrado"),"")</f>
        <v/>
      </c>
    </row>
    <row r="3362" spans="1:5" x14ac:dyDescent="0.3">
      <c r="A3362" s="21" t="str">
        <f t="shared" si="52"/>
        <v>.</v>
      </c>
      <c r="D3362" s="44"/>
      <c r="E3362" s="22" t="str">
        <f>IF(D3362&lt;&gt;"",IFERROR(INDEX(Produtos!$C$4:$C$4996,MATCH(D3362,Produtos!$B$4:$B$4996,0)),"Produto não encontrado"),"")</f>
        <v/>
      </c>
    </row>
    <row r="3363" spans="1:5" x14ac:dyDescent="0.3">
      <c r="A3363" s="21" t="str">
        <f t="shared" si="52"/>
        <v>.</v>
      </c>
      <c r="D3363" s="44"/>
      <c r="E3363" s="22" t="str">
        <f>IF(D3363&lt;&gt;"",IFERROR(INDEX(Produtos!$C$4:$C$4996,MATCH(D3363,Produtos!$B$4:$B$4996,0)),"Produto não encontrado"),"")</f>
        <v/>
      </c>
    </row>
    <row r="3364" spans="1:5" x14ac:dyDescent="0.3">
      <c r="A3364" s="21" t="str">
        <f t="shared" si="52"/>
        <v>.</v>
      </c>
      <c r="D3364" s="44"/>
      <c r="E3364" s="22" t="str">
        <f>IF(D3364&lt;&gt;"",IFERROR(INDEX(Produtos!$C$4:$C$4996,MATCH(D3364,Produtos!$B$4:$B$4996,0)),"Produto não encontrado"),"")</f>
        <v/>
      </c>
    </row>
    <row r="3365" spans="1:5" x14ac:dyDescent="0.3">
      <c r="A3365" s="21" t="str">
        <f t="shared" si="52"/>
        <v>.</v>
      </c>
      <c r="D3365" s="44"/>
      <c r="E3365" s="22" t="str">
        <f>IF(D3365&lt;&gt;"",IFERROR(INDEX(Produtos!$C$4:$C$4996,MATCH(D3365,Produtos!$B$4:$B$4996,0)),"Produto não encontrado"),"")</f>
        <v/>
      </c>
    </row>
    <row r="3366" spans="1:5" x14ac:dyDescent="0.3">
      <c r="A3366" s="21" t="str">
        <f t="shared" si="52"/>
        <v>.</v>
      </c>
      <c r="D3366" s="44"/>
      <c r="E3366" s="22" t="str">
        <f>IF(D3366&lt;&gt;"",IFERROR(INDEX(Produtos!$C$4:$C$4996,MATCH(D3366,Produtos!$B$4:$B$4996,0)),"Produto não encontrado"),"")</f>
        <v/>
      </c>
    </row>
    <row r="3367" spans="1:5" x14ac:dyDescent="0.3">
      <c r="A3367" s="21" t="str">
        <f t="shared" si="52"/>
        <v>.</v>
      </c>
      <c r="D3367" s="44"/>
      <c r="E3367" s="22" t="str">
        <f>IF(D3367&lt;&gt;"",IFERROR(INDEX(Produtos!$C$4:$C$4996,MATCH(D3367,Produtos!$B$4:$B$4996,0)),"Produto não encontrado"),"")</f>
        <v/>
      </c>
    </row>
    <row r="3368" spans="1:5" x14ac:dyDescent="0.3">
      <c r="A3368" s="21" t="str">
        <f t="shared" si="52"/>
        <v>.</v>
      </c>
      <c r="D3368" s="44"/>
      <c r="E3368" s="22" t="str">
        <f>IF(D3368&lt;&gt;"",IFERROR(INDEX(Produtos!$C$4:$C$4996,MATCH(D3368,Produtos!$B$4:$B$4996,0)),"Produto não encontrado"),"")</f>
        <v/>
      </c>
    </row>
    <row r="3369" spans="1:5" x14ac:dyDescent="0.3">
      <c r="A3369" s="21" t="str">
        <f t="shared" si="52"/>
        <v>.</v>
      </c>
      <c r="D3369" s="44"/>
      <c r="E3369" s="22" t="str">
        <f>IF(D3369&lt;&gt;"",IFERROR(INDEX(Produtos!$C$4:$C$4996,MATCH(D3369,Produtos!$B$4:$B$4996,0)),"Produto não encontrado"),"")</f>
        <v/>
      </c>
    </row>
    <row r="3370" spans="1:5" x14ac:dyDescent="0.3">
      <c r="A3370" s="21" t="str">
        <f t="shared" si="52"/>
        <v>.</v>
      </c>
      <c r="D3370" s="44"/>
      <c r="E3370" s="22" t="str">
        <f>IF(D3370&lt;&gt;"",IFERROR(INDEX(Produtos!$C$4:$C$4996,MATCH(D3370,Produtos!$B$4:$B$4996,0)),"Produto não encontrado"),"")</f>
        <v/>
      </c>
    </row>
    <row r="3371" spans="1:5" x14ac:dyDescent="0.3">
      <c r="A3371" s="21" t="str">
        <f t="shared" si="52"/>
        <v>.</v>
      </c>
      <c r="D3371" s="44"/>
      <c r="E3371" s="22" t="str">
        <f>IF(D3371&lt;&gt;"",IFERROR(INDEX(Produtos!$C$4:$C$4996,MATCH(D3371,Produtos!$B$4:$B$4996,0)),"Produto não encontrado"),"")</f>
        <v/>
      </c>
    </row>
    <row r="3372" spans="1:5" x14ac:dyDescent="0.3">
      <c r="A3372" s="21" t="str">
        <f t="shared" si="52"/>
        <v>.</v>
      </c>
      <c r="D3372" s="44"/>
      <c r="E3372" s="22" t="str">
        <f>IF(D3372&lt;&gt;"",IFERROR(INDEX(Produtos!$C$4:$C$4996,MATCH(D3372,Produtos!$B$4:$B$4996,0)),"Produto não encontrado"),"")</f>
        <v/>
      </c>
    </row>
    <row r="3373" spans="1:5" x14ac:dyDescent="0.3">
      <c r="A3373" s="21" t="str">
        <f t="shared" si="52"/>
        <v>.</v>
      </c>
      <c r="D3373" s="44"/>
      <c r="E3373" s="22" t="str">
        <f>IF(D3373&lt;&gt;"",IFERROR(INDEX(Produtos!$C$4:$C$4996,MATCH(D3373,Produtos!$B$4:$B$4996,0)),"Produto não encontrado"),"")</f>
        <v/>
      </c>
    </row>
    <row r="3374" spans="1:5" x14ac:dyDescent="0.3">
      <c r="A3374" s="21" t="str">
        <f t="shared" si="52"/>
        <v>.</v>
      </c>
      <c r="D3374" s="44"/>
      <c r="E3374" s="22" t="str">
        <f>IF(D3374&lt;&gt;"",IFERROR(INDEX(Produtos!$C$4:$C$4996,MATCH(D3374,Produtos!$B$4:$B$4996,0)),"Produto não encontrado"),"")</f>
        <v/>
      </c>
    </row>
    <row r="3375" spans="1:5" x14ac:dyDescent="0.3">
      <c r="A3375" s="21" t="str">
        <f t="shared" si="52"/>
        <v>.</v>
      </c>
      <c r="D3375" s="44"/>
      <c r="E3375" s="22" t="str">
        <f>IF(D3375&lt;&gt;"",IFERROR(INDEX(Produtos!$C$4:$C$4996,MATCH(D3375,Produtos!$B$4:$B$4996,0)),"Produto não encontrado"),"")</f>
        <v/>
      </c>
    </row>
    <row r="3376" spans="1:5" x14ac:dyDescent="0.3">
      <c r="A3376" s="21" t="str">
        <f t="shared" si="52"/>
        <v>.</v>
      </c>
      <c r="D3376" s="44"/>
      <c r="E3376" s="22" t="str">
        <f>IF(D3376&lt;&gt;"",IFERROR(INDEX(Produtos!$C$4:$C$4996,MATCH(D3376,Produtos!$B$4:$B$4996,0)),"Produto não encontrado"),"")</f>
        <v/>
      </c>
    </row>
    <row r="3377" spans="1:5" x14ac:dyDescent="0.3">
      <c r="A3377" s="21" t="str">
        <f t="shared" si="52"/>
        <v>.</v>
      </c>
      <c r="D3377" s="44"/>
      <c r="E3377" s="22" t="str">
        <f>IF(D3377&lt;&gt;"",IFERROR(INDEX(Produtos!$C$4:$C$4996,MATCH(D3377,Produtos!$B$4:$B$4996,0)),"Produto não encontrado"),"")</f>
        <v/>
      </c>
    </row>
    <row r="3378" spans="1:5" x14ac:dyDescent="0.3">
      <c r="A3378" s="21" t="str">
        <f t="shared" si="52"/>
        <v>.</v>
      </c>
      <c r="D3378" s="44"/>
      <c r="E3378" s="22" t="str">
        <f>IF(D3378&lt;&gt;"",IFERROR(INDEX(Produtos!$C$4:$C$4996,MATCH(D3378,Produtos!$B$4:$B$4996,0)),"Produto não encontrado"),"")</f>
        <v/>
      </c>
    </row>
    <row r="3379" spans="1:5" x14ac:dyDescent="0.3">
      <c r="A3379" s="21" t="str">
        <f t="shared" si="52"/>
        <v>.</v>
      </c>
      <c r="D3379" s="44"/>
      <c r="E3379" s="22" t="str">
        <f>IF(D3379&lt;&gt;"",IFERROR(INDEX(Produtos!$C$4:$C$4996,MATCH(D3379,Produtos!$B$4:$B$4996,0)),"Produto não encontrado"),"")</f>
        <v/>
      </c>
    </row>
    <row r="3380" spans="1:5" x14ac:dyDescent="0.3">
      <c r="A3380" s="21" t="str">
        <f t="shared" si="52"/>
        <v>.</v>
      </c>
      <c r="D3380" s="44"/>
      <c r="E3380" s="22" t="str">
        <f>IF(D3380&lt;&gt;"",IFERROR(INDEX(Produtos!$C$4:$C$4996,MATCH(D3380,Produtos!$B$4:$B$4996,0)),"Produto não encontrado"),"")</f>
        <v/>
      </c>
    </row>
    <row r="3381" spans="1:5" x14ac:dyDescent="0.3">
      <c r="A3381" s="21" t="str">
        <f t="shared" si="52"/>
        <v>.</v>
      </c>
      <c r="D3381" s="44"/>
      <c r="E3381" s="22" t="str">
        <f>IF(D3381&lt;&gt;"",IFERROR(INDEX(Produtos!$C$4:$C$4996,MATCH(D3381,Produtos!$B$4:$B$4996,0)),"Produto não encontrado"),"")</f>
        <v/>
      </c>
    </row>
    <row r="3382" spans="1:5" x14ac:dyDescent="0.3">
      <c r="A3382" s="21" t="str">
        <f t="shared" si="52"/>
        <v>.</v>
      </c>
      <c r="D3382" s="44"/>
      <c r="E3382" s="22" t="str">
        <f>IF(D3382&lt;&gt;"",IFERROR(INDEX(Produtos!$C$4:$C$4996,MATCH(D3382,Produtos!$B$4:$B$4996,0)),"Produto não encontrado"),"")</f>
        <v/>
      </c>
    </row>
    <row r="3383" spans="1:5" x14ac:dyDescent="0.3">
      <c r="A3383" s="21" t="str">
        <f t="shared" si="52"/>
        <v>.</v>
      </c>
      <c r="D3383" s="44"/>
      <c r="E3383" s="22" t="str">
        <f>IF(D3383&lt;&gt;"",IFERROR(INDEX(Produtos!$C$4:$C$4996,MATCH(D3383,Produtos!$B$4:$B$4996,0)),"Produto não encontrado"),"")</f>
        <v/>
      </c>
    </row>
    <row r="3384" spans="1:5" x14ac:dyDescent="0.3">
      <c r="A3384" s="21" t="str">
        <f t="shared" si="52"/>
        <v>.</v>
      </c>
      <c r="D3384" s="44"/>
      <c r="E3384" s="22" t="str">
        <f>IF(D3384&lt;&gt;"",IFERROR(INDEX(Produtos!$C$4:$C$4996,MATCH(D3384,Produtos!$B$4:$B$4996,0)),"Produto não encontrado"),"")</f>
        <v/>
      </c>
    </row>
    <row r="3385" spans="1:5" x14ac:dyDescent="0.3">
      <c r="A3385" s="21" t="str">
        <f t="shared" si="52"/>
        <v>.</v>
      </c>
      <c r="D3385" s="44"/>
      <c r="E3385" s="22" t="str">
        <f>IF(D3385&lt;&gt;"",IFERROR(INDEX(Produtos!$C$4:$C$4996,MATCH(D3385,Produtos!$B$4:$B$4996,0)),"Produto não encontrado"),"")</f>
        <v/>
      </c>
    </row>
    <row r="3386" spans="1:5" x14ac:dyDescent="0.3">
      <c r="A3386" s="21" t="str">
        <f t="shared" si="52"/>
        <v>.</v>
      </c>
      <c r="D3386" s="44"/>
      <c r="E3386" s="22" t="str">
        <f>IF(D3386&lt;&gt;"",IFERROR(INDEX(Produtos!$C$4:$C$4996,MATCH(D3386,Produtos!$B$4:$B$4996,0)),"Produto não encontrado"),"")</f>
        <v/>
      </c>
    </row>
    <row r="3387" spans="1:5" x14ac:dyDescent="0.3">
      <c r="A3387" s="21" t="str">
        <f t="shared" si="52"/>
        <v>.</v>
      </c>
      <c r="D3387" s="44"/>
      <c r="E3387" s="22" t="str">
        <f>IF(D3387&lt;&gt;"",IFERROR(INDEX(Produtos!$C$4:$C$4996,MATCH(D3387,Produtos!$B$4:$B$4996,0)),"Produto não encontrado"),"")</f>
        <v/>
      </c>
    </row>
    <row r="3388" spans="1:5" x14ac:dyDescent="0.3">
      <c r="A3388" s="21" t="str">
        <f t="shared" si="52"/>
        <v>.</v>
      </c>
      <c r="D3388" s="44"/>
      <c r="E3388" s="22" t="str">
        <f>IF(D3388&lt;&gt;"",IFERROR(INDEX(Produtos!$C$4:$C$4996,MATCH(D3388,Produtos!$B$4:$B$4996,0)),"Produto não encontrado"),"")</f>
        <v/>
      </c>
    </row>
    <row r="3389" spans="1:5" x14ac:dyDescent="0.3">
      <c r="A3389" s="21" t="str">
        <f t="shared" si="52"/>
        <v>.</v>
      </c>
      <c r="D3389" s="44"/>
      <c r="E3389" s="22" t="str">
        <f>IF(D3389&lt;&gt;"",IFERROR(INDEX(Produtos!$C$4:$C$4996,MATCH(D3389,Produtos!$B$4:$B$4996,0)),"Produto não encontrado"),"")</f>
        <v/>
      </c>
    </row>
    <row r="3390" spans="1:5" x14ac:dyDescent="0.3">
      <c r="A3390" s="21" t="str">
        <f t="shared" si="52"/>
        <v>.</v>
      </c>
      <c r="D3390" s="44"/>
      <c r="E3390" s="22" t="str">
        <f>IF(D3390&lt;&gt;"",IFERROR(INDEX(Produtos!$C$4:$C$4996,MATCH(D3390,Produtos!$B$4:$B$4996,0)),"Produto não encontrado"),"")</f>
        <v/>
      </c>
    </row>
    <row r="3391" spans="1:5" x14ac:dyDescent="0.3">
      <c r="A3391" s="21" t="str">
        <f t="shared" si="52"/>
        <v>.</v>
      </c>
      <c r="D3391" s="44"/>
      <c r="E3391" s="22" t="str">
        <f>IF(D3391&lt;&gt;"",IFERROR(INDEX(Produtos!$C$4:$C$4996,MATCH(D3391,Produtos!$B$4:$B$4996,0)),"Produto não encontrado"),"")</f>
        <v/>
      </c>
    </row>
    <row r="3392" spans="1:5" x14ac:dyDescent="0.3">
      <c r="A3392" s="21" t="str">
        <f t="shared" ref="A3392:A3455" si="53">IF(C3392="Entrada",2,IF(C3392="Saída",1,"."))</f>
        <v>.</v>
      </c>
      <c r="D3392" s="44"/>
      <c r="E3392" s="22" t="str">
        <f>IF(D3392&lt;&gt;"",IFERROR(INDEX(Produtos!$C$4:$C$4996,MATCH(D3392,Produtos!$B$4:$B$4996,0)),"Produto não encontrado"),"")</f>
        <v/>
      </c>
    </row>
    <row r="3393" spans="1:5" x14ac:dyDescent="0.3">
      <c r="A3393" s="21" t="str">
        <f t="shared" si="53"/>
        <v>.</v>
      </c>
      <c r="D3393" s="44"/>
      <c r="E3393" s="22" t="str">
        <f>IF(D3393&lt;&gt;"",IFERROR(INDEX(Produtos!$C$4:$C$4996,MATCH(D3393,Produtos!$B$4:$B$4996,0)),"Produto não encontrado"),"")</f>
        <v/>
      </c>
    </row>
    <row r="3394" spans="1:5" x14ac:dyDescent="0.3">
      <c r="A3394" s="21" t="str">
        <f t="shared" si="53"/>
        <v>.</v>
      </c>
      <c r="D3394" s="44"/>
      <c r="E3394" s="22" t="str">
        <f>IF(D3394&lt;&gt;"",IFERROR(INDEX(Produtos!$C$4:$C$4996,MATCH(D3394,Produtos!$B$4:$B$4996,0)),"Produto não encontrado"),"")</f>
        <v/>
      </c>
    </row>
    <row r="3395" spans="1:5" x14ac:dyDescent="0.3">
      <c r="A3395" s="21" t="str">
        <f t="shared" si="53"/>
        <v>.</v>
      </c>
      <c r="D3395" s="44"/>
      <c r="E3395" s="22" t="str">
        <f>IF(D3395&lt;&gt;"",IFERROR(INDEX(Produtos!$C$4:$C$4996,MATCH(D3395,Produtos!$B$4:$B$4996,0)),"Produto não encontrado"),"")</f>
        <v/>
      </c>
    </row>
    <row r="3396" spans="1:5" x14ac:dyDescent="0.3">
      <c r="A3396" s="21" t="str">
        <f t="shared" si="53"/>
        <v>.</v>
      </c>
      <c r="D3396" s="44"/>
      <c r="E3396" s="22" t="str">
        <f>IF(D3396&lt;&gt;"",IFERROR(INDEX(Produtos!$C$4:$C$4996,MATCH(D3396,Produtos!$B$4:$B$4996,0)),"Produto não encontrado"),"")</f>
        <v/>
      </c>
    </row>
    <row r="3397" spans="1:5" x14ac:dyDescent="0.3">
      <c r="A3397" s="21" t="str">
        <f t="shared" si="53"/>
        <v>.</v>
      </c>
      <c r="D3397" s="44"/>
      <c r="E3397" s="22" t="str">
        <f>IF(D3397&lt;&gt;"",IFERROR(INDEX(Produtos!$C$4:$C$4996,MATCH(D3397,Produtos!$B$4:$B$4996,0)),"Produto não encontrado"),"")</f>
        <v/>
      </c>
    </row>
    <row r="3398" spans="1:5" x14ac:dyDescent="0.3">
      <c r="A3398" s="21" t="str">
        <f t="shared" si="53"/>
        <v>.</v>
      </c>
      <c r="D3398" s="44"/>
      <c r="E3398" s="22" t="str">
        <f>IF(D3398&lt;&gt;"",IFERROR(INDEX(Produtos!$C$4:$C$4996,MATCH(D3398,Produtos!$B$4:$B$4996,0)),"Produto não encontrado"),"")</f>
        <v/>
      </c>
    </row>
    <row r="3399" spans="1:5" x14ac:dyDescent="0.3">
      <c r="A3399" s="21" t="str">
        <f t="shared" si="53"/>
        <v>.</v>
      </c>
      <c r="D3399" s="44"/>
      <c r="E3399" s="22" t="str">
        <f>IF(D3399&lt;&gt;"",IFERROR(INDEX(Produtos!$C$4:$C$4996,MATCH(D3399,Produtos!$B$4:$B$4996,0)),"Produto não encontrado"),"")</f>
        <v/>
      </c>
    </row>
    <row r="3400" spans="1:5" x14ac:dyDescent="0.3">
      <c r="A3400" s="21" t="str">
        <f t="shared" si="53"/>
        <v>.</v>
      </c>
      <c r="D3400" s="44"/>
      <c r="E3400" s="22" t="str">
        <f>IF(D3400&lt;&gt;"",IFERROR(INDEX(Produtos!$C$4:$C$4996,MATCH(D3400,Produtos!$B$4:$B$4996,0)),"Produto não encontrado"),"")</f>
        <v/>
      </c>
    </row>
    <row r="3401" spans="1:5" x14ac:dyDescent="0.3">
      <c r="A3401" s="21" t="str">
        <f t="shared" si="53"/>
        <v>.</v>
      </c>
      <c r="D3401" s="44"/>
      <c r="E3401" s="22" t="str">
        <f>IF(D3401&lt;&gt;"",IFERROR(INDEX(Produtos!$C$4:$C$4996,MATCH(D3401,Produtos!$B$4:$B$4996,0)),"Produto não encontrado"),"")</f>
        <v/>
      </c>
    </row>
    <row r="3402" spans="1:5" x14ac:dyDescent="0.3">
      <c r="A3402" s="21" t="str">
        <f t="shared" si="53"/>
        <v>.</v>
      </c>
      <c r="D3402" s="44"/>
      <c r="E3402" s="22" t="str">
        <f>IF(D3402&lt;&gt;"",IFERROR(INDEX(Produtos!$C$4:$C$4996,MATCH(D3402,Produtos!$B$4:$B$4996,0)),"Produto não encontrado"),"")</f>
        <v/>
      </c>
    </row>
    <row r="3403" spans="1:5" x14ac:dyDescent="0.3">
      <c r="A3403" s="21" t="str">
        <f t="shared" si="53"/>
        <v>.</v>
      </c>
      <c r="D3403" s="44"/>
      <c r="E3403" s="22" t="str">
        <f>IF(D3403&lt;&gt;"",IFERROR(INDEX(Produtos!$C$4:$C$4996,MATCH(D3403,Produtos!$B$4:$B$4996,0)),"Produto não encontrado"),"")</f>
        <v/>
      </c>
    </row>
    <row r="3404" spans="1:5" x14ac:dyDescent="0.3">
      <c r="A3404" s="21" t="str">
        <f t="shared" si="53"/>
        <v>.</v>
      </c>
      <c r="D3404" s="44"/>
      <c r="E3404" s="22" t="str">
        <f>IF(D3404&lt;&gt;"",IFERROR(INDEX(Produtos!$C$4:$C$4996,MATCH(D3404,Produtos!$B$4:$B$4996,0)),"Produto não encontrado"),"")</f>
        <v/>
      </c>
    </row>
    <row r="3405" spans="1:5" x14ac:dyDescent="0.3">
      <c r="A3405" s="21" t="str">
        <f t="shared" si="53"/>
        <v>.</v>
      </c>
      <c r="D3405" s="44"/>
      <c r="E3405" s="22" t="str">
        <f>IF(D3405&lt;&gt;"",IFERROR(INDEX(Produtos!$C$4:$C$4996,MATCH(D3405,Produtos!$B$4:$B$4996,0)),"Produto não encontrado"),"")</f>
        <v/>
      </c>
    </row>
    <row r="3406" spans="1:5" x14ac:dyDescent="0.3">
      <c r="A3406" s="21" t="str">
        <f t="shared" si="53"/>
        <v>.</v>
      </c>
      <c r="D3406" s="44"/>
      <c r="E3406" s="22" t="str">
        <f>IF(D3406&lt;&gt;"",IFERROR(INDEX(Produtos!$C$4:$C$4996,MATCH(D3406,Produtos!$B$4:$B$4996,0)),"Produto não encontrado"),"")</f>
        <v/>
      </c>
    </row>
    <row r="3407" spans="1:5" x14ac:dyDescent="0.3">
      <c r="A3407" s="21" t="str">
        <f t="shared" si="53"/>
        <v>.</v>
      </c>
      <c r="D3407" s="44"/>
      <c r="E3407" s="22" t="str">
        <f>IF(D3407&lt;&gt;"",IFERROR(INDEX(Produtos!$C$4:$C$4996,MATCH(D3407,Produtos!$B$4:$B$4996,0)),"Produto não encontrado"),"")</f>
        <v/>
      </c>
    </row>
    <row r="3408" spans="1:5" x14ac:dyDescent="0.3">
      <c r="A3408" s="21" t="str">
        <f t="shared" si="53"/>
        <v>.</v>
      </c>
      <c r="D3408" s="44"/>
      <c r="E3408" s="22" t="str">
        <f>IF(D3408&lt;&gt;"",IFERROR(INDEX(Produtos!$C$4:$C$4996,MATCH(D3408,Produtos!$B$4:$B$4996,0)),"Produto não encontrado"),"")</f>
        <v/>
      </c>
    </row>
    <row r="3409" spans="1:5" x14ac:dyDescent="0.3">
      <c r="A3409" s="21" t="str">
        <f t="shared" si="53"/>
        <v>.</v>
      </c>
      <c r="D3409" s="44"/>
      <c r="E3409" s="22" t="str">
        <f>IF(D3409&lt;&gt;"",IFERROR(INDEX(Produtos!$C$4:$C$4996,MATCH(D3409,Produtos!$B$4:$B$4996,0)),"Produto não encontrado"),"")</f>
        <v/>
      </c>
    </row>
    <row r="3410" spans="1:5" x14ac:dyDescent="0.3">
      <c r="A3410" s="21" t="str">
        <f t="shared" si="53"/>
        <v>.</v>
      </c>
      <c r="D3410" s="44"/>
      <c r="E3410" s="22" t="str">
        <f>IF(D3410&lt;&gt;"",IFERROR(INDEX(Produtos!$C$4:$C$4996,MATCH(D3410,Produtos!$B$4:$B$4996,0)),"Produto não encontrado"),"")</f>
        <v/>
      </c>
    </row>
    <row r="3411" spans="1:5" x14ac:dyDescent="0.3">
      <c r="A3411" s="21" t="str">
        <f t="shared" si="53"/>
        <v>.</v>
      </c>
      <c r="D3411" s="44"/>
      <c r="E3411" s="22" t="str">
        <f>IF(D3411&lt;&gt;"",IFERROR(INDEX(Produtos!$C$4:$C$4996,MATCH(D3411,Produtos!$B$4:$B$4996,0)),"Produto não encontrado"),"")</f>
        <v/>
      </c>
    </row>
    <row r="3412" spans="1:5" x14ac:dyDescent="0.3">
      <c r="A3412" s="21" t="str">
        <f t="shared" si="53"/>
        <v>.</v>
      </c>
      <c r="D3412" s="44"/>
      <c r="E3412" s="22" t="str">
        <f>IF(D3412&lt;&gt;"",IFERROR(INDEX(Produtos!$C$4:$C$4996,MATCH(D3412,Produtos!$B$4:$B$4996,0)),"Produto não encontrado"),"")</f>
        <v/>
      </c>
    </row>
    <row r="3413" spans="1:5" x14ac:dyDescent="0.3">
      <c r="A3413" s="21" t="str">
        <f t="shared" si="53"/>
        <v>.</v>
      </c>
      <c r="D3413" s="44"/>
      <c r="E3413" s="22" t="str">
        <f>IF(D3413&lt;&gt;"",IFERROR(INDEX(Produtos!$C$4:$C$4996,MATCH(D3413,Produtos!$B$4:$B$4996,0)),"Produto não encontrado"),"")</f>
        <v/>
      </c>
    </row>
    <row r="3414" spans="1:5" x14ac:dyDescent="0.3">
      <c r="A3414" s="21" t="str">
        <f t="shared" si="53"/>
        <v>.</v>
      </c>
      <c r="D3414" s="44"/>
      <c r="E3414" s="22" t="str">
        <f>IF(D3414&lt;&gt;"",IFERROR(INDEX(Produtos!$C$4:$C$4996,MATCH(D3414,Produtos!$B$4:$B$4996,0)),"Produto não encontrado"),"")</f>
        <v/>
      </c>
    </row>
    <row r="3415" spans="1:5" x14ac:dyDescent="0.3">
      <c r="A3415" s="21" t="str">
        <f t="shared" si="53"/>
        <v>.</v>
      </c>
      <c r="D3415" s="44"/>
      <c r="E3415" s="22" t="str">
        <f>IF(D3415&lt;&gt;"",IFERROR(INDEX(Produtos!$C$4:$C$4996,MATCH(D3415,Produtos!$B$4:$B$4996,0)),"Produto não encontrado"),"")</f>
        <v/>
      </c>
    </row>
    <row r="3416" spans="1:5" x14ac:dyDescent="0.3">
      <c r="A3416" s="21" t="str">
        <f t="shared" si="53"/>
        <v>.</v>
      </c>
      <c r="D3416" s="44"/>
      <c r="E3416" s="22" t="str">
        <f>IF(D3416&lt;&gt;"",IFERROR(INDEX(Produtos!$C$4:$C$4996,MATCH(D3416,Produtos!$B$4:$B$4996,0)),"Produto não encontrado"),"")</f>
        <v/>
      </c>
    </row>
    <row r="3417" spans="1:5" x14ac:dyDescent="0.3">
      <c r="A3417" s="21" t="str">
        <f t="shared" si="53"/>
        <v>.</v>
      </c>
      <c r="D3417" s="44"/>
      <c r="E3417" s="22" t="str">
        <f>IF(D3417&lt;&gt;"",IFERROR(INDEX(Produtos!$C$4:$C$4996,MATCH(D3417,Produtos!$B$4:$B$4996,0)),"Produto não encontrado"),"")</f>
        <v/>
      </c>
    </row>
    <row r="3418" spans="1:5" x14ac:dyDescent="0.3">
      <c r="A3418" s="21" t="str">
        <f t="shared" si="53"/>
        <v>.</v>
      </c>
      <c r="D3418" s="44"/>
      <c r="E3418" s="22" t="str">
        <f>IF(D3418&lt;&gt;"",IFERROR(INDEX(Produtos!$C$4:$C$4996,MATCH(D3418,Produtos!$B$4:$B$4996,0)),"Produto não encontrado"),"")</f>
        <v/>
      </c>
    </row>
    <row r="3419" spans="1:5" x14ac:dyDescent="0.3">
      <c r="A3419" s="21" t="str">
        <f t="shared" si="53"/>
        <v>.</v>
      </c>
      <c r="D3419" s="44"/>
      <c r="E3419" s="22" t="str">
        <f>IF(D3419&lt;&gt;"",IFERROR(INDEX(Produtos!$C$4:$C$4996,MATCH(D3419,Produtos!$B$4:$B$4996,0)),"Produto não encontrado"),"")</f>
        <v/>
      </c>
    </row>
    <row r="3420" spans="1:5" x14ac:dyDescent="0.3">
      <c r="A3420" s="21" t="str">
        <f t="shared" si="53"/>
        <v>.</v>
      </c>
      <c r="D3420" s="44"/>
      <c r="E3420" s="22" t="str">
        <f>IF(D3420&lt;&gt;"",IFERROR(INDEX(Produtos!$C$4:$C$4996,MATCH(D3420,Produtos!$B$4:$B$4996,0)),"Produto não encontrado"),"")</f>
        <v/>
      </c>
    </row>
    <row r="3421" spans="1:5" x14ac:dyDescent="0.3">
      <c r="A3421" s="21" t="str">
        <f t="shared" si="53"/>
        <v>.</v>
      </c>
      <c r="D3421" s="44"/>
      <c r="E3421" s="22" t="str">
        <f>IF(D3421&lt;&gt;"",IFERROR(INDEX(Produtos!$C$4:$C$4996,MATCH(D3421,Produtos!$B$4:$B$4996,0)),"Produto não encontrado"),"")</f>
        <v/>
      </c>
    </row>
    <row r="3422" spans="1:5" x14ac:dyDescent="0.3">
      <c r="A3422" s="21" t="str">
        <f t="shared" si="53"/>
        <v>.</v>
      </c>
      <c r="D3422" s="44"/>
      <c r="E3422" s="22" t="str">
        <f>IF(D3422&lt;&gt;"",IFERROR(INDEX(Produtos!$C$4:$C$4996,MATCH(D3422,Produtos!$B$4:$B$4996,0)),"Produto não encontrado"),"")</f>
        <v/>
      </c>
    </row>
    <row r="3423" spans="1:5" x14ac:dyDescent="0.3">
      <c r="A3423" s="21" t="str">
        <f t="shared" si="53"/>
        <v>.</v>
      </c>
      <c r="D3423" s="44"/>
      <c r="E3423" s="22" t="str">
        <f>IF(D3423&lt;&gt;"",IFERROR(INDEX(Produtos!$C$4:$C$4996,MATCH(D3423,Produtos!$B$4:$B$4996,0)),"Produto não encontrado"),"")</f>
        <v/>
      </c>
    </row>
    <row r="3424" spans="1:5" x14ac:dyDescent="0.3">
      <c r="A3424" s="21" t="str">
        <f t="shared" si="53"/>
        <v>.</v>
      </c>
      <c r="D3424" s="44"/>
      <c r="E3424" s="22" t="str">
        <f>IF(D3424&lt;&gt;"",IFERROR(INDEX(Produtos!$C$4:$C$4996,MATCH(D3424,Produtos!$B$4:$B$4996,0)),"Produto não encontrado"),"")</f>
        <v/>
      </c>
    </row>
    <row r="3425" spans="1:5" x14ac:dyDescent="0.3">
      <c r="A3425" s="21" t="str">
        <f t="shared" si="53"/>
        <v>.</v>
      </c>
      <c r="D3425" s="44"/>
      <c r="E3425" s="22" t="str">
        <f>IF(D3425&lt;&gt;"",IFERROR(INDEX(Produtos!$C$4:$C$4996,MATCH(D3425,Produtos!$B$4:$B$4996,0)),"Produto não encontrado"),"")</f>
        <v/>
      </c>
    </row>
    <row r="3426" spans="1:5" x14ac:dyDescent="0.3">
      <c r="A3426" s="21" t="str">
        <f t="shared" si="53"/>
        <v>.</v>
      </c>
      <c r="D3426" s="44"/>
      <c r="E3426" s="22" t="str">
        <f>IF(D3426&lt;&gt;"",IFERROR(INDEX(Produtos!$C$4:$C$4996,MATCH(D3426,Produtos!$B$4:$B$4996,0)),"Produto não encontrado"),"")</f>
        <v/>
      </c>
    </row>
    <row r="3427" spans="1:5" x14ac:dyDescent="0.3">
      <c r="A3427" s="21" t="str">
        <f t="shared" si="53"/>
        <v>.</v>
      </c>
      <c r="D3427" s="44"/>
      <c r="E3427" s="22" t="str">
        <f>IF(D3427&lt;&gt;"",IFERROR(INDEX(Produtos!$C$4:$C$4996,MATCH(D3427,Produtos!$B$4:$B$4996,0)),"Produto não encontrado"),"")</f>
        <v/>
      </c>
    </row>
    <row r="3428" spans="1:5" x14ac:dyDescent="0.3">
      <c r="A3428" s="21" t="str">
        <f t="shared" si="53"/>
        <v>.</v>
      </c>
      <c r="D3428" s="44"/>
      <c r="E3428" s="22" t="str">
        <f>IF(D3428&lt;&gt;"",IFERROR(INDEX(Produtos!$C$4:$C$4996,MATCH(D3428,Produtos!$B$4:$B$4996,0)),"Produto não encontrado"),"")</f>
        <v/>
      </c>
    </row>
    <row r="3429" spans="1:5" x14ac:dyDescent="0.3">
      <c r="A3429" s="21" t="str">
        <f t="shared" si="53"/>
        <v>.</v>
      </c>
      <c r="D3429" s="44"/>
      <c r="E3429" s="22" t="str">
        <f>IF(D3429&lt;&gt;"",IFERROR(INDEX(Produtos!$C$4:$C$4996,MATCH(D3429,Produtos!$B$4:$B$4996,0)),"Produto não encontrado"),"")</f>
        <v/>
      </c>
    </row>
    <row r="3430" spans="1:5" x14ac:dyDescent="0.3">
      <c r="A3430" s="21" t="str">
        <f t="shared" si="53"/>
        <v>.</v>
      </c>
      <c r="D3430" s="44"/>
      <c r="E3430" s="22" t="str">
        <f>IF(D3430&lt;&gt;"",IFERROR(INDEX(Produtos!$C$4:$C$4996,MATCH(D3430,Produtos!$B$4:$B$4996,0)),"Produto não encontrado"),"")</f>
        <v/>
      </c>
    </row>
    <row r="3431" spans="1:5" x14ac:dyDescent="0.3">
      <c r="A3431" s="21" t="str">
        <f t="shared" si="53"/>
        <v>.</v>
      </c>
      <c r="D3431" s="44"/>
      <c r="E3431" s="22" t="str">
        <f>IF(D3431&lt;&gt;"",IFERROR(INDEX(Produtos!$C$4:$C$4996,MATCH(D3431,Produtos!$B$4:$B$4996,0)),"Produto não encontrado"),"")</f>
        <v/>
      </c>
    </row>
    <row r="3432" spans="1:5" x14ac:dyDescent="0.3">
      <c r="A3432" s="21" t="str">
        <f t="shared" si="53"/>
        <v>.</v>
      </c>
      <c r="D3432" s="44"/>
      <c r="E3432" s="22" t="str">
        <f>IF(D3432&lt;&gt;"",IFERROR(INDEX(Produtos!$C$4:$C$4996,MATCH(D3432,Produtos!$B$4:$B$4996,0)),"Produto não encontrado"),"")</f>
        <v/>
      </c>
    </row>
    <row r="3433" spans="1:5" x14ac:dyDescent="0.3">
      <c r="A3433" s="21" t="str">
        <f t="shared" si="53"/>
        <v>.</v>
      </c>
      <c r="D3433" s="44"/>
      <c r="E3433" s="22" t="str">
        <f>IF(D3433&lt;&gt;"",IFERROR(INDEX(Produtos!$C$4:$C$4996,MATCH(D3433,Produtos!$B$4:$B$4996,0)),"Produto não encontrado"),"")</f>
        <v/>
      </c>
    </row>
    <row r="3434" spans="1:5" x14ac:dyDescent="0.3">
      <c r="A3434" s="21" t="str">
        <f t="shared" si="53"/>
        <v>.</v>
      </c>
      <c r="D3434" s="44"/>
      <c r="E3434" s="22" t="str">
        <f>IF(D3434&lt;&gt;"",IFERROR(INDEX(Produtos!$C$4:$C$4996,MATCH(D3434,Produtos!$B$4:$B$4996,0)),"Produto não encontrado"),"")</f>
        <v/>
      </c>
    </row>
    <row r="3435" spans="1:5" x14ac:dyDescent="0.3">
      <c r="A3435" s="21" t="str">
        <f t="shared" si="53"/>
        <v>.</v>
      </c>
      <c r="D3435" s="44"/>
      <c r="E3435" s="22" t="str">
        <f>IF(D3435&lt;&gt;"",IFERROR(INDEX(Produtos!$C$4:$C$4996,MATCH(D3435,Produtos!$B$4:$B$4996,0)),"Produto não encontrado"),"")</f>
        <v/>
      </c>
    </row>
    <row r="3436" spans="1:5" x14ac:dyDescent="0.3">
      <c r="A3436" s="21" t="str">
        <f t="shared" si="53"/>
        <v>.</v>
      </c>
      <c r="D3436" s="44"/>
      <c r="E3436" s="22" t="str">
        <f>IF(D3436&lt;&gt;"",IFERROR(INDEX(Produtos!$C$4:$C$4996,MATCH(D3436,Produtos!$B$4:$B$4996,0)),"Produto não encontrado"),"")</f>
        <v/>
      </c>
    </row>
    <row r="3437" spans="1:5" x14ac:dyDescent="0.3">
      <c r="A3437" s="21" t="str">
        <f t="shared" si="53"/>
        <v>.</v>
      </c>
      <c r="D3437" s="44"/>
      <c r="E3437" s="22" t="str">
        <f>IF(D3437&lt;&gt;"",IFERROR(INDEX(Produtos!$C$4:$C$4996,MATCH(D3437,Produtos!$B$4:$B$4996,0)),"Produto não encontrado"),"")</f>
        <v/>
      </c>
    </row>
    <row r="3438" spans="1:5" x14ac:dyDescent="0.3">
      <c r="A3438" s="21" t="str">
        <f t="shared" si="53"/>
        <v>.</v>
      </c>
      <c r="D3438" s="44"/>
      <c r="E3438" s="22" t="str">
        <f>IF(D3438&lt;&gt;"",IFERROR(INDEX(Produtos!$C$4:$C$4996,MATCH(D3438,Produtos!$B$4:$B$4996,0)),"Produto não encontrado"),"")</f>
        <v/>
      </c>
    </row>
    <row r="3439" spans="1:5" x14ac:dyDescent="0.3">
      <c r="A3439" s="21" t="str">
        <f t="shared" si="53"/>
        <v>.</v>
      </c>
      <c r="D3439" s="44"/>
      <c r="E3439" s="22" t="str">
        <f>IF(D3439&lt;&gt;"",IFERROR(INDEX(Produtos!$C$4:$C$4996,MATCH(D3439,Produtos!$B$4:$B$4996,0)),"Produto não encontrado"),"")</f>
        <v/>
      </c>
    </row>
    <row r="3440" spans="1:5" x14ac:dyDescent="0.3">
      <c r="A3440" s="21" t="str">
        <f t="shared" si="53"/>
        <v>.</v>
      </c>
      <c r="D3440" s="44"/>
      <c r="E3440" s="22" t="str">
        <f>IF(D3440&lt;&gt;"",IFERROR(INDEX(Produtos!$C$4:$C$4996,MATCH(D3440,Produtos!$B$4:$B$4996,0)),"Produto não encontrado"),"")</f>
        <v/>
      </c>
    </row>
    <row r="3441" spans="1:5" x14ac:dyDescent="0.3">
      <c r="A3441" s="21" t="str">
        <f t="shared" si="53"/>
        <v>.</v>
      </c>
      <c r="D3441" s="44"/>
      <c r="E3441" s="22" t="str">
        <f>IF(D3441&lt;&gt;"",IFERROR(INDEX(Produtos!$C$4:$C$4996,MATCH(D3441,Produtos!$B$4:$B$4996,0)),"Produto não encontrado"),"")</f>
        <v/>
      </c>
    </row>
    <row r="3442" spans="1:5" x14ac:dyDescent="0.3">
      <c r="A3442" s="21" t="str">
        <f t="shared" si="53"/>
        <v>.</v>
      </c>
      <c r="D3442" s="44"/>
      <c r="E3442" s="22" t="str">
        <f>IF(D3442&lt;&gt;"",IFERROR(INDEX(Produtos!$C$4:$C$4996,MATCH(D3442,Produtos!$B$4:$B$4996,0)),"Produto não encontrado"),"")</f>
        <v/>
      </c>
    </row>
    <row r="3443" spans="1:5" x14ac:dyDescent="0.3">
      <c r="A3443" s="21" t="str">
        <f t="shared" si="53"/>
        <v>.</v>
      </c>
      <c r="D3443" s="44"/>
      <c r="E3443" s="22" t="str">
        <f>IF(D3443&lt;&gt;"",IFERROR(INDEX(Produtos!$C$4:$C$4996,MATCH(D3443,Produtos!$B$4:$B$4996,0)),"Produto não encontrado"),"")</f>
        <v/>
      </c>
    </row>
    <row r="3444" spans="1:5" x14ac:dyDescent="0.3">
      <c r="A3444" s="21" t="str">
        <f t="shared" si="53"/>
        <v>.</v>
      </c>
      <c r="D3444" s="44"/>
      <c r="E3444" s="22" t="str">
        <f>IF(D3444&lt;&gt;"",IFERROR(INDEX(Produtos!$C$4:$C$4996,MATCH(D3444,Produtos!$B$4:$B$4996,0)),"Produto não encontrado"),"")</f>
        <v/>
      </c>
    </row>
    <row r="3445" spans="1:5" x14ac:dyDescent="0.3">
      <c r="A3445" s="21" t="str">
        <f t="shared" si="53"/>
        <v>.</v>
      </c>
      <c r="D3445" s="44"/>
      <c r="E3445" s="22" t="str">
        <f>IF(D3445&lt;&gt;"",IFERROR(INDEX(Produtos!$C$4:$C$4996,MATCH(D3445,Produtos!$B$4:$B$4996,0)),"Produto não encontrado"),"")</f>
        <v/>
      </c>
    </row>
    <row r="3446" spans="1:5" x14ac:dyDescent="0.3">
      <c r="A3446" s="21" t="str">
        <f t="shared" si="53"/>
        <v>.</v>
      </c>
      <c r="D3446" s="44"/>
      <c r="E3446" s="22" t="str">
        <f>IF(D3446&lt;&gt;"",IFERROR(INDEX(Produtos!$C$4:$C$4996,MATCH(D3446,Produtos!$B$4:$B$4996,0)),"Produto não encontrado"),"")</f>
        <v/>
      </c>
    </row>
    <row r="3447" spans="1:5" x14ac:dyDescent="0.3">
      <c r="A3447" s="21" t="str">
        <f t="shared" si="53"/>
        <v>.</v>
      </c>
      <c r="D3447" s="44"/>
      <c r="E3447" s="22" t="str">
        <f>IF(D3447&lt;&gt;"",IFERROR(INDEX(Produtos!$C$4:$C$4996,MATCH(D3447,Produtos!$B$4:$B$4996,0)),"Produto não encontrado"),"")</f>
        <v/>
      </c>
    </row>
    <row r="3448" spans="1:5" x14ac:dyDescent="0.3">
      <c r="A3448" s="21" t="str">
        <f t="shared" si="53"/>
        <v>.</v>
      </c>
      <c r="D3448" s="44"/>
      <c r="E3448" s="22" t="str">
        <f>IF(D3448&lt;&gt;"",IFERROR(INDEX(Produtos!$C$4:$C$4996,MATCH(D3448,Produtos!$B$4:$B$4996,0)),"Produto não encontrado"),"")</f>
        <v/>
      </c>
    </row>
    <row r="3449" spans="1:5" x14ac:dyDescent="0.3">
      <c r="A3449" s="21" t="str">
        <f t="shared" si="53"/>
        <v>.</v>
      </c>
      <c r="D3449" s="44"/>
      <c r="E3449" s="22" t="str">
        <f>IF(D3449&lt;&gt;"",IFERROR(INDEX(Produtos!$C$4:$C$4996,MATCH(D3449,Produtos!$B$4:$B$4996,0)),"Produto não encontrado"),"")</f>
        <v/>
      </c>
    </row>
    <row r="3450" spans="1:5" x14ac:dyDescent="0.3">
      <c r="A3450" s="21" t="str">
        <f t="shared" si="53"/>
        <v>.</v>
      </c>
      <c r="D3450" s="44"/>
      <c r="E3450" s="22" t="str">
        <f>IF(D3450&lt;&gt;"",IFERROR(INDEX(Produtos!$C$4:$C$4996,MATCH(D3450,Produtos!$B$4:$B$4996,0)),"Produto não encontrado"),"")</f>
        <v/>
      </c>
    </row>
    <row r="3451" spans="1:5" x14ac:dyDescent="0.3">
      <c r="A3451" s="21" t="str">
        <f t="shared" si="53"/>
        <v>.</v>
      </c>
      <c r="D3451" s="44"/>
      <c r="E3451" s="22" t="str">
        <f>IF(D3451&lt;&gt;"",IFERROR(INDEX(Produtos!$C$4:$C$4996,MATCH(D3451,Produtos!$B$4:$B$4996,0)),"Produto não encontrado"),"")</f>
        <v/>
      </c>
    </row>
    <row r="3452" spans="1:5" x14ac:dyDescent="0.3">
      <c r="A3452" s="21" t="str">
        <f t="shared" si="53"/>
        <v>.</v>
      </c>
      <c r="D3452" s="44"/>
      <c r="E3452" s="22" t="str">
        <f>IF(D3452&lt;&gt;"",IFERROR(INDEX(Produtos!$C$4:$C$4996,MATCH(D3452,Produtos!$B$4:$B$4996,0)),"Produto não encontrado"),"")</f>
        <v/>
      </c>
    </row>
    <row r="3453" spans="1:5" x14ac:dyDescent="0.3">
      <c r="A3453" s="21" t="str">
        <f t="shared" si="53"/>
        <v>.</v>
      </c>
      <c r="D3453" s="44"/>
      <c r="E3453" s="22" t="str">
        <f>IF(D3453&lt;&gt;"",IFERROR(INDEX(Produtos!$C$4:$C$4996,MATCH(D3453,Produtos!$B$4:$B$4996,0)),"Produto não encontrado"),"")</f>
        <v/>
      </c>
    </row>
    <row r="3454" spans="1:5" x14ac:dyDescent="0.3">
      <c r="A3454" s="21" t="str">
        <f t="shared" si="53"/>
        <v>.</v>
      </c>
      <c r="D3454" s="44"/>
      <c r="E3454" s="22" t="str">
        <f>IF(D3454&lt;&gt;"",IFERROR(INDEX(Produtos!$C$4:$C$4996,MATCH(D3454,Produtos!$B$4:$B$4996,0)),"Produto não encontrado"),"")</f>
        <v/>
      </c>
    </row>
    <row r="3455" spans="1:5" x14ac:dyDescent="0.3">
      <c r="A3455" s="21" t="str">
        <f t="shared" si="53"/>
        <v>.</v>
      </c>
      <c r="D3455" s="44"/>
      <c r="E3455" s="22" t="str">
        <f>IF(D3455&lt;&gt;"",IFERROR(INDEX(Produtos!$C$4:$C$4996,MATCH(D3455,Produtos!$B$4:$B$4996,0)),"Produto não encontrado"),"")</f>
        <v/>
      </c>
    </row>
    <row r="3456" spans="1:5" x14ac:dyDescent="0.3">
      <c r="A3456" s="21" t="str">
        <f t="shared" ref="A3456:A3519" si="54">IF(C3456="Entrada",2,IF(C3456="Saída",1,"."))</f>
        <v>.</v>
      </c>
      <c r="D3456" s="44"/>
      <c r="E3456" s="22" t="str">
        <f>IF(D3456&lt;&gt;"",IFERROR(INDEX(Produtos!$C$4:$C$4996,MATCH(D3456,Produtos!$B$4:$B$4996,0)),"Produto não encontrado"),"")</f>
        <v/>
      </c>
    </row>
    <row r="3457" spans="1:5" x14ac:dyDescent="0.3">
      <c r="A3457" s="21" t="str">
        <f t="shared" si="54"/>
        <v>.</v>
      </c>
      <c r="D3457" s="44"/>
      <c r="E3457" s="22" t="str">
        <f>IF(D3457&lt;&gt;"",IFERROR(INDEX(Produtos!$C$4:$C$4996,MATCH(D3457,Produtos!$B$4:$B$4996,0)),"Produto não encontrado"),"")</f>
        <v/>
      </c>
    </row>
    <row r="3458" spans="1:5" x14ac:dyDescent="0.3">
      <c r="A3458" s="21" t="str">
        <f t="shared" si="54"/>
        <v>.</v>
      </c>
      <c r="D3458" s="44"/>
      <c r="E3458" s="22" t="str">
        <f>IF(D3458&lt;&gt;"",IFERROR(INDEX(Produtos!$C$4:$C$4996,MATCH(D3458,Produtos!$B$4:$B$4996,0)),"Produto não encontrado"),"")</f>
        <v/>
      </c>
    </row>
    <row r="3459" spans="1:5" x14ac:dyDescent="0.3">
      <c r="A3459" s="21" t="str">
        <f t="shared" si="54"/>
        <v>.</v>
      </c>
      <c r="D3459" s="44"/>
      <c r="E3459" s="22" t="str">
        <f>IF(D3459&lt;&gt;"",IFERROR(INDEX(Produtos!$C$4:$C$4996,MATCH(D3459,Produtos!$B$4:$B$4996,0)),"Produto não encontrado"),"")</f>
        <v/>
      </c>
    </row>
    <row r="3460" spans="1:5" x14ac:dyDescent="0.3">
      <c r="A3460" s="21" t="str">
        <f t="shared" si="54"/>
        <v>.</v>
      </c>
      <c r="D3460" s="44"/>
      <c r="E3460" s="22" t="str">
        <f>IF(D3460&lt;&gt;"",IFERROR(INDEX(Produtos!$C$4:$C$4996,MATCH(D3460,Produtos!$B$4:$B$4996,0)),"Produto não encontrado"),"")</f>
        <v/>
      </c>
    </row>
    <row r="3461" spans="1:5" x14ac:dyDescent="0.3">
      <c r="A3461" s="21" t="str">
        <f t="shared" si="54"/>
        <v>.</v>
      </c>
      <c r="D3461" s="44"/>
      <c r="E3461" s="22" t="str">
        <f>IF(D3461&lt;&gt;"",IFERROR(INDEX(Produtos!$C$4:$C$4996,MATCH(D3461,Produtos!$B$4:$B$4996,0)),"Produto não encontrado"),"")</f>
        <v/>
      </c>
    </row>
    <row r="3462" spans="1:5" x14ac:dyDescent="0.3">
      <c r="A3462" s="21" t="str">
        <f t="shared" si="54"/>
        <v>.</v>
      </c>
      <c r="D3462" s="44"/>
      <c r="E3462" s="22" t="str">
        <f>IF(D3462&lt;&gt;"",IFERROR(INDEX(Produtos!$C$4:$C$4996,MATCH(D3462,Produtos!$B$4:$B$4996,0)),"Produto não encontrado"),"")</f>
        <v/>
      </c>
    </row>
    <row r="3463" spans="1:5" x14ac:dyDescent="0.3">
      <c r="A3463" s="21" t="str">
        <f t="shared" si="54"/>
        <v>.</v>
      </c>
      <c r="D3463" s="44"/>
      <c r="E3463" s="22" t="str">
        <f>IF(D3463&lt;&gt;"",IFERROR(INDEX(Produtos!$C$4:$C$4996,MATCH(D3463,Produtos!$B$4:$B$4996,0)),"Produto não encontrado"),"")</f>
        <v/>
      </c>
    </row>
    <row r="3464" spans="1:5" x14ac:dyDescent="0.3">
      <c r="A3464" s="21" t="str">
        <f t="shared" si="54"/>
        <v>.</v>
      </c>
      <c r="D3464" s="44"/>
      <c r="E3464" s="22" t="str">
        <f>IF(D3464&lt;&gt;"",IFERROR(INDEX(Produtos!$C$4:$C$4996,MATCH(D3464,Produtos!$B$4:$B$4996,0)),"Produto não encontrado"),"")</f>
        <v/>
      </c>
    </row>
    <row r="3465" spans="1:5" x14ac:dyDescent="0.3">
      <c r="A3465" s="21" t="str">
        <f t="shared" si="54"/>
        <v>.</v>
      </c>
      <c r="D3465" s="44"/>
      <c r="E3465" s="22" t="str">
        <f>IF(D3465&lt;&gt;"",IFERROR(INDEX(Produtos!$C$4:$C$4996,MATCH(D3465,Produtos!$B$4:$B$4996,0)),"Produto não encontrado"),"")</f>
        <v/>
      </c>
    </row>
    <row r="3466" spans="1:5" x14ac:dyDescent="0.3">
      <c r="A3466" s="21" t="str">
        <f t="shared" si="54"/>
        <v>.</v>
      </c>
      <c r="D3466" s="44"/>
      <c r="E3466" s="22" t="str">
        <f>IF(D3466&lt;&gt;"",IFERROR(INDEX(Produtos!$C$4:$C$4996,MATCH(D3466,Produtos!$B$4:$B$4996,0)),"Produto não encontrado"),"")</f>
        <v/>
      </c>
    </row>
    <row r="3467" spans="1:5" x14ac:dyDescent="0.3">
      <c r="A3467" s="21" t="str">
        <f t="shared" si="54"/>
        <v>.</v>
      </c>
      <c r="D3467" s="44"/>
      <c r="E3467" s="22" t="str">
        <f>IF(D3467&lt;&gt;"",IFERROR(INDEX(Produtos!$C$4:$C$4996,MATCH(D3467,Produtos!$B$4:$B$4996,0)),"Produto não encontrado"),"")</f>
        <v/>
      </c>
    </row>
    <row r="3468" spans="1:5" x14ac:dyDescent="0.3">
      <c r="A3468" s="21" t="str">
        <f t="shared" si="54"/>
        <v>.</v>
      </c>
      <c r="D3468" s="44"/>
      <c r="E3468" s="22" t="str">
        <f>IF(D3468&lt;&gt;"",IFERROR(INDEX(Produtos!$C$4:$C$4996,MATCH(D3468,Produtos!$B$4:$B$4996,0)),"Produto não encontrado"),"")</f>
        <v/>
      </c>
    </row>
    <row r="3469" spans="1:5" x14ac:dyDescent="0.3">
      <c r="A3469" s="21" t="str">
        <f t="shared" si="54"/>
        <v>.</v>
      </c>
      <c r="D3469" s="44"/>
      <c r="E3469" s="22" t="str">
        <f>IF(D3469&lt;&gt;"",IFERROR(INDEX(Produtos!$C$4:$C$4996,MATCH(D3469,Produtos!$B$4:$B$4996,0)),"Produto não encontrado"),"")</f>
        <v/>
      </c>
    </row>
    <row r="3470" spans="1:5" x14ac:dyDescent="0.3">
      <c r="A3470" s="21" t="str">
        <f t="shared" si="54"/>
        <v>.</v>
      </c>
      <c r="D3470" s="44"/>
      <c r="E3470" s="22" t="str">
        <f>IF(D3470&lt;&gt;"",IFERROR(INDEX(Produtos!$C$4:$C$4996,MATCH(D3470,Produtos!$B$4:$B$4996,0)),"Produto não encontrado"),"")</f>
        <v/>
      </c>
    </row>
    <row r="3471" spans="1:5" x14ac:dyDescent="0.3">
      <c r="A3471" s="21" t="str">
        <f t="shared" si="54"/>
        <v>.</v>
      </c>
      <c r="D3471" s="44"/>
      <c r="E3471" s="22" t="str">
        <f>IF(D3471&lt;&gt;"",IFERROR(INDEX(Produtos!$C$4:$C$4996,MATCH(D3471,Produtos!$B$4:$B$4996,0)),"Produto não encontrado"),"")</f>
        <v/>
      </c>
    </row>
    <row r="3472" spans="1:5" x14ac:dyDescent="0.3">
      <c r="A3472" s="21" t="str">
        <f t="shared" si="54"/>
        <v>.</v>
      </c>
      <c r="D3472" s="44"/>
      <c r="E3472" s="22" t="str">
        <f>IF(D3472&lt;&gt;"",IFERROR(INDEX(Produtos!$C$4:$C$4996,MATCH(D3472,Produtos!$B$4:$B$4996,0)),"Produto não encontrado"),"")</f>
        <v/>
      </c>
    </row>
    <row r="3473" spans="1:5" x14ac:dyDescent="0.3">
      <c r="A3473" s="21" t="str">
        <f t="shared" si="54"/>
        <v>.</v>
      </c>
      <c r="D3473" s="44"/>
      <c r="E3473" s="22" t="str">
        <f>IF(D3473&lt;&gt;"",IFERROR(INDEX(Produtos!$C$4:$C$4996,MATCH(D3473,Produtos!$B$4:$B$4996,0)),"Produto não encontrado"),"")</f>
        <v/>
      </c>
    </row>
    <row r="3474" spans="1:5" x14ac:dyDescent="0.3">
      <c r="A3474" s="21" t="str">
        <f t="shared" si="54"/>
        <v>.</v>
      </c>
      <c r="D3474" s="44"/>
      <c r="E3474" s="22" t="str">
        <f>IF(D3474&lt;&gt;"",IFERROR(INDEX(Produtos!$C$4:$C$4996,MATCH(D3474,Produtos!$B$4:$B$4996,0)),"Produto não encontrado"),"")</f>
        <v/>
      </c>
    </row>
    <row r="3475" spans="1:5" x14ac:dyDescent="0.3">
      <c r="A3475" s="21" t="str">
        <f t="shared" si="54"/>
        <v>.</v>
      </c>
      <c r="D3475" s="44"/>
      <c r="E3475" s="22" t="str">
        <f>IF(D3475&lt;&gt;"",IFERROR(INDEX(Produtos!$C$4:$C$4996,MATCH(D3475,Produtos!$B$4:$B$4996,0)),"Produto não encontrado"),"")</f>
        <v/>
      </c>
    </row>
    <row r="3476" spans="1:5" x14ac:dyDescent="0.3">
      <c r="A3476" s="21" t="str">
        <f t="shared" si="54"/>
        <v>.</v>
      </c>
      <c r="D3476" s="44"/>
      <c r="E3476" s="22" t="str">
        <f>IF(D3476&lt;&gt;"",IFERROR(INDEX(Produtos!$C$4:$C$4996,MATCH(D3476,Produtos!$B$4:$B$4996,0)),"Produto não encontrado"),"")</f>
        <v/>
      </c>
    </row>
    <row r="3477" spans="1:5" x14ac:dyDescent="0.3">
      <c r="A3477" s="21" t="str">
        <f t="shared" si="54"/>
        <v>.</v>
      </c>
      <c r="D3477" s="44"/>
      <c r="E3477" s="22" t="str">
        <f>IF(D3477&lt;&gt;"",IFERROR(INDEX(Produtos!$C$4:$C$4996,MATCH(D3477,Produtos!$B$4:$B$4996,0)),"Produto não encontrado"),"")</f>
        <v/>
      </c>
    </row>
    <row r="3478" spans="1:5" x14ac:dyDescent="0.3">
      <c r="A3478" s="21" t="str">
        <f t="shared" si="54"/>
        <v>.</v>
      </c>
      <c r="D3478" s="44"/>
      <c r="E3478" s="22" t="str">
        <f>IF(D3478&lt;&gt;"",IFERROR(INDEX(Produtos!$C$4:$C$4996,MATCH(D3478,Produtos!$B$4:$B$4996,0)),"Produto não encontrado"),"")</f>
        <v/>
      </c>
    </row>
    <row r="3479" spans="1:5" x14ac:dyDescent="0.3">
      <c r="A3479" s="21" t="str">
        <f t="shared" si="54"/>
        <v>.</v>
      </c>
      <c r="D3479" s="44"/>
      <c r="E3479" s="22" t="str">
        <f>IF(D3479&lt;&gt;"",IFERROR(INDEX(Produtos!$C$4:$C$4996,MATCH(D3479,Produtos!$B$4:$B$4996,0)),"Produto não encontrado"),"")</f>
        <v/>
      </c>
    </row>
    <row r="3480" spans="1:5" x14ac:dyDescent="0.3">
      <c r="A3480" s="21" t="str">
        <f t="shared" si="54"/>
        <v>.</v>
      </c>
      <c r="D3480" s="44"/>
      <c r="E3480" s="22" t="str">
        <f>IF(D3480&lt;&gt;"",IFERROR(INDEX(Produtos!$C$4:$C$4996,MATCH(D3480,Produtos!$B$4:$B$4996,0)),"Produto não encontrado"),"")</f>
        <v/>
      </c>
    </row>
    <row r="3481" spans="1:5" x14ac:dyDescent="0.3">
      <c r="A3481" s="21" t="str">
        <f t="shared" si="54"/>
        <v>.</v>
      </c>
      <c r="D3481" s="44"/>
      <c r="E3481" s="22" t="str">
        <f>IF(D3481&lt;&gt;"",IFERROR(INDEX(Produtos!$C$4:$C$4996,MATCH(D3481,Produtos!$B$4:$B$4996,0)),"Produto não encontrado"),"")</f>
        <v/>
      </c>
    </row>
    <row r="3482" spans="1:5" x14ac:dyDescent="0.3">
      <c r="A3482" s="21" t="str">
        <f t="shared" si="54"/>
        <v>.</v>
      </c>
      <c r="D3482" s="44"/>
      <c r="E3482" s="22" t="str">
        <f>IF(D3482&lt;&gt;"",IFERROR(INDEX(Produtos!$C$4:$C$4996,MATCH(D3482,Produtos!$B$4:$B$4996,0)),"Produto não encontrado"),"")</f>
        <v/>
      </c>
    </row>
    <row r="3483" spans="1:5" x14ac:dyDescent="0.3">
      <c r="A3483" s="21" t="str">
        <f t="shared" si="54"/>
        <v>.</v>
      </c>
      <c r="D3483" s="44"/>
      <c r="E3483" s="22" t="str">
        <f>IF(D3483&lt;&gt;"",IFERROR(INDEX(Produtos!$C$4:$C$4996,MATCH(D3483,Produtos!$B$4:$B$4996,0)),"Produto não encontrado"),"")</f>
        <v/>
      </c>
    </row>
    <row r="3484" spans="1:5" x14ac:dyDescent="0.3">
      <c r="A3484" s="21" t="str">
        <f t="shared" si="54"/>
        <v>.</v>
      </c>
      <c r="D3484" s="44"/>
      <c r="E3484" s="22" t="str">
        <f>IF(D3484&lt;&gt;"",IFERROR(INDEX(Produtos!$C$4:$C$4996,MATCH(D3484,Produtos!$B$4:$B$4996,0)),"Produto não encontrado"),"")</f>
        <v/>
      </c>
    </row>
    <row r="3485" spans="1:5" x14ac:dyDescent="0.3">
      <c r="A3485" s="21" t="str">
        <f t="shared" si="54"/>
        <v>.</v>
      </c>
      <c r="D3485" s="44"/>
      <c r="E3485" s="22" t="str">
        <f>IF(D3485&lt;&gt;"",IFERROR(INDEX(Produtos!$C$4:$C$4996,MATCH(D3485,Produtos!$B$4:$B$4996,0)),"Produto não encontrado"),"")</f>
        <v/>
      </c>
    </row>
    <row r="3486" spans="1:5" x14ac:dyDescent="0.3">
      <c r="A3486" s="21" t="str">
        <f t="shared" si="54"/>
        <v>.</v>
      </c>
      <c r="D3486" s="44"/>
      <c r="E3486" s="22" t="str">
        <f>IF(D3486&lt;&gt;"",IFERROR(INDEX(Produtos!$C$4:$C$4996,MATCH(D3486,Produtos!$B$4:$B$4996,0)),"Produto não encontrado"),"")</f>
        <v/>
      </c>
    </row>
    <row r="3487" spans="1:5" x14ac:dyDescent="0.3">
      <c r="A3487" s="21" t="str">
        <f t="shared" si="54"/>
        <v>.</v>
      </c>
      <c r="D3487" s="44"/>
      <c r="E3487" s="22" t="str">
        <f>IF(D3487&lt;&gt;"",IFERROR(INDEX(Produtos!$C$4:$C$4996,MATCH(D3487,Produtos!$B$4:$B$4996,0)),"Produto não encontrado"),"")</f>
        <v/>
      </c>
    </row>
    <row r="3488" spans="1:5" x14ac:dyDescent="0.3">
      <c r="A3488" s="21" t="str">
        <f t="shared" si="54"/>
        <v>.</v>
      </c>
      <c r="D3488" s="44"/>
      <c r="E3488" s="22" t="str">
        <f>IF(D3488&lt;&gt;"",IFERROR(INDEX(Produtos!$C$4:$C$4996,MATCH(D3488,Produtos!$B$4:$B$4996,0)),"Produto não encontrado"),"")</f>
        <v/>
      </c>
    </row>
    <row r="3489" spans="1:5" x14ac:dyDescent="0.3">
      <c r="A3489" s="21" t="str">
        <f t="shared" si="54"/>
        <v>.</v>
      </c>
      <c r="D3489" s="44"/>
      <c r="E3489" s="22" t="str">
        <f>IF(D3489&lt;&gt;"",IFERROR(INDEX(Produtos!$C$4:$C$4996,MATCH(D3489,Produtos!$B$4:$B$4996,0)),"Produto não encontrado"),"")</f>
        <v/>
      </c>
    </row>
    <row r="3490" spans="1:5" x14ac:dyDescent="0.3">
      <c r="A3490" s="21" t="str">
        <f t="shared" si="54"/>
        <v>.</v>
      </c>
      <c r="D3490" s="44"/>
      <c r="E3490" s="22" t="str">
        <f>IF(D3490&lt;&gt;"",IFERROR(INDEX(Produtos!$C$4:$C$4996,MATCH(D3490,Produtos!$B$4:$B$4996,0)),"Produto não encontrado"),"")</f>
        <v/>
      </c>
    </row>
    <row r="3491" spans="1:5" x14ac:dyDescent="0.3">
      <c r="A3491" s="21" t="str">
        <f t="shared" si="54"/>
        <v>.</v>
      </c>
      <c r="D3491" s="44"/>
      <c r="E3491" s="22" t="str">
        <f>IF(D3491&lt;&gt;"",IFERROR(INDEX(Produtos!$C$4:$C$4996,MATCH(D3491,Produtos!$B$4:$B$4996,0)),"Produto não encontrado"),"")</f>
        <v/>
      </c>
    </row>
    <row r="3492" spans="1:5" x14ac:dyDescent="0.3">
      <c r="A3492" s="21" t="str">
        <f t="shared" si="54"/>
        <v>.</v>
      </c>
      <c r="D3492" s="44"/>
      <c r="E3492" s="22" t="str">
        <f>IF(D3492&lt;&gt;"",IFERROR(INDEX(Produtos!$C$4:$C$4996,MATCH(D3492,Produtos!$B$4:$B$4996,0)),"Produto não encontrado"),"")</f>
        <v/>
      </c>
    </row>
    <row r="3493" spans="1:5" x14ac:dyDescent="0.3">
      <c r="A3493" s="21" t="str">
        <f t="shared" si="54"/>
        <v>.</v>
      </c>
      <c r="D3493" s="44"/>
      <c r="E3493" s="22" t="str">
        <f>IF(D3493&lt;&gt;"",IFERROR(INDEX(Produtos!$C$4:$C$4996,MATCH(D3493,Produtos!$B$4:$B$4996,0)),"Produto não encontrado"),"")</f>
        <v/>
      </c>
    </row>
    <row r="3494" spans="1:5" x14ac:dyDescent="0.3">
      <c r="A3494" s="21" t="str">
        <f t="shared" si="54"/>
        <v>.</v>
      </c>
      <c r="D3494" s="44"/>
      <c r="E3494" s="22" t="str">
        <f>IF(D3494&lt;&gt;"",IFERROR(INDEX(Produtos!$C$4:$C$4996,MATCH(D3494,Produtos!$B$4:$B$4996,0)),"Produto não encontrado"),"")</f>
        <v/>
      </c>
    </row>
    <row r="3495" spans="1:5" x14ac:dyDescent="0.3">
      <c r="A3495" s="21" t="str">
        <f t="shared" si="54"/>
        <v>.</v>
      </c>
      <c r="D3495" s="44"/>
      <c r="E3495" s="22" t="str">
        <f>IF(D3495&lt;&gt;"",IFERROR(INDEX(Produtos!$C$4:$C$4996,MATCH(D3495,Produtos!$B$4:$B$4996,0)),"Produto não encontrado"),"")</f>
        <v/>
      </c>
    </row>
    <row r="3496" spans="1:5" x14ac:dyDescent="0.3">
      <c r="A3496" s="21" t="str">
        <f t="shared" si="54"/>
        <v>.</v>
      </c>
      <c r="D3496" s="44"/>
      <c r="E3496" s="22" t="str">
        <f>IF(D3496&lt;&gt;"",IFERROR(INDEX(Produtos!$C$4:$C$4996,MATCH(D3496,Produtos!$B$4:$B$4996,0)),"Produto não encontrado"),"")</f>
        <v/>
      </c>
    </row>
    <row r="3497" spans="1:5" x14ac:dyDescent="0.3">
      <c r="A3497" s="21" t="str">
        <f t="shared" si="54"/>
        <v>.</v>
      </c>
      <c r="D3497" s="44"/>
      <c r="E3497" s="22" t="str">
        <f>IF(D3497&lt;&gt;"",IFERROR(INDEX(Produtos!$C$4:$C$4996,MATCH(D3497,Produtos!$B$4:$B$4996,0)),"Produto não encontrado"),"")</f>
        <v/>
      </c>
    </row>
    <row r="3498" spans="1:5" x14ac:dyDescent="0.3">
      <c r="A3498" s="21" t="str">
        <f t="shared" si="54"/>
        <v>.</v>
      </c>
      <c r="D3498" s="44"/>
      <c r="E3498" s="22" t="str">
        <f>IF(D3498&lt;&gt;"",IFERROR(INDEX(Produtos!$C$4:$C$4996,MATCH(D3498,Produtos!$B$4:$B$4996,0)),"Produto não encontrado"),"")</f>
        <v/>
      </c>
    </row>
    <row r="3499" spans="1:5" x14ac:dyDescent="0.3">
      <c r="A3499" s="21" t="str">
        <f t="shared" si="54"/>
        <v>.</v>
      </c>
      <c r="D3499" s="44"/>
      <c r="E3499" s="22" t="str">
        <f>IF(D3499&lt;&gt;"",IFERROR(INDEX(Produtos!$C$4:$C$4996,MATCH(D3499,Produtos!$B$4:$B$4996,0)),"Produto não encontrado"),"")</f>
        <v/>
      </c>
    </row>
    <row r="3500" spans="1:5" x14ac:dyDescent="0.3">
      <c r="A3500" s="21" t="str">
        <f t="shared" si="54"/>
        <v>.</v>
      </c>
      <c r="D3500" s="44"/>
      <c r="E3500" s="22" t="str">
        <f>IF(D3500&lt;&gt;"",IFERROR(INDEX(Produtos!$C$4:$C$4996,MATCH(D3500,Produtos!$B$4:$B$4996,0)),"Produto não encontrado"),"")</f>
        <v/>
      </c>
    </row>
    <row r="3501" spans="1:5" x14ac:dyDescent="0.3">
      <c r="A3501" s="21" t="str">
        <f t="shared" si="54"/>
        <v>.</v>
      </c>
      <c r="D3501" s="44"/>
      <c r="E3501" s="22" t="str">
        <f>IF(D3501&lt;&gt;"",IFERROR(INDEX(Produtos!$C$4:$C$4996,MATCH(D3501,Produtos!$B$4:$B$4996,0)),"Produto não encontrado"),"")</f>
        <v/>
      </c>
    </row>
    <row r="3502" spans="1:5" x14ac:dyDescent="0.3">
      <c r="A3502" s="21" t="str">
        <f t="shared" si="54"/>
        <v>.</v>
      </c>
      <c r="D3502" s="44"/>
      <c r="E3502" s="22" t="str">
        <f>IF(D3502&lt;&gt;"",IFERROR(INDEX(Produtos!$C$4:$C$4996,MATCH(D3502,Produtos!$B$4:$B$4996,0)),"Produto não encontrado"),"")</f>
        <v/>
      </c>
    </row>
    <row r="3503" spans="1:5" x14ac:dyDescent="0.3">
      <c r="A3503" s="21" t="str">
        <f t="shared" si="54"/>
        <v>.</v>
      </c>
      <c r="D3503" s="44"/>
      <c r="E3503" s="22" t="str">
        <f>IF(D3503&lt;&gt;"",IFERROR(INDEX(Produtos!$C$4:$C$4996,MATCH(D3503,Produtos!$B$4:$B$4996,0)),"Produto não encontrado"),"")</f>
        <v/>
      </c>
    </row>
    <row r="3504" spans="1:5" x14ac:dyDescent="0.3">
      <c r="A3504" s="21" t="str">
        <f t="shared" si="54"/>
        <v>.</v>
      </c>
      <c r="D3504" s="44"/>
      <c r="E3504" s="22" t="str">
        <f>IF(D3504&lt;&gt;"",IFERROR(INDEX(Produtos!$C$4:$C$4996,MATCH(D3504,Produtos!$B$4:$B$4996,0)),"Produto não encontrado"),"")</f>
        <v/>
      </c>
    </row>
    <row r="3505" spans="1:5" x14ac:dyDescent="0.3">
      <c r="A3505" s="21" t="str">
        <f t="shared" si="54"/>
        <v>.</v>
      </c>
      <c r="D3505" s="44"/>
      <c r="E3505" s="22" t="str">
        <f>IF(D3505&lt;&gt;"",IFERROR(INDEX(Produtos!$C$4:$C$4996,MATCH(D3505,Produtos!$B$4:$B$4996,0)),"Produto não encontrado"),"")</f>
        <v/>
      </c>
    </row>
    <row r="3506" spans="1:5" x14ac:dyDescent="0.3">
      <c r="A3506" s="21" t="str">
        <f t="shared" si="54"/>
        <v>.</v>
      </c>
      <c r="D3506" s="44"/>
      <c r="E3506" s="22" t="str">
        <f>IF(D3506&lt;&gt;"",IFERROR(INDEX(Produtos!$C$4:$C$4996,MATCH(D3506,Produtos!$B$4:$B$4996,0)),"Produto não encontrado"),"")</f>
        <v/>
      </c>
    </row>
    <row r="3507" spans="1:5" x14ac:dyDescent="0.3">
      <c r="A3507" s="21" t="str">
        <f t="shared" si="54"/>
        <v>.</v>
      </c>
      <c r="D3507" s="44"/>
      <c r="E3507" s="22" t="str">
        <f>IF(D3507&lt;&gt;"",IFERROR(INDEX(Produtos!$C$4:$C$4996,MATCH(D3507,Produtos!$B$4:$B$4996,0)),"Produto não encontrado"),"")</f>
        <v/>
      </c>
    </row>
    <row r="3508" spans="1:5" x14ac:dyDescent="0.3">
      <c r="A3508" s="21" t="str">
        <f t="shared" si="54"/>
        <v>.</v>
      </c>
      <c r="D3508" s="44"/>
      <c r="E3508" s="22" t="str">
        <f>IF(D3508&lt;&gt;"",IFERROR(INDEX(Produtos!$C$4:$C$4996,MATCH(D3508,Produtos!$B$4:$B$4996,0)),"Produto não encontrado"),"")</f>
        <v/>
      </c>
    </row>
    <row r="3509" spans="1:5" x14ac:dyDescent="0.3">
      <c r="A3509" s="21" t="str">
        <f t="shared" si="54"/>
        <v>.</v>
      </c>
      <c r="D3509" s="44"/>
      <c r="E3509" s="22" t="str">
        <f>IF(D3509&lt;&gt;"",IFERROR(INDEX(Produtos!$C$4:$C$4996,MATCH(D3509,Produtos!$B$4:$B$4996,0)),"Produto não encontrado"),"")</f>
        <v/>
      </c>
    </row>
    <row r="3510" spans="1:5" x14ac:dyDescent="0.3">
      <c r="A3510" s="21" t="str">
        <f t="shared" si="54"/>
        <v>.</v>
      </c>
      <c r="D3510" s="44"/>
      <c r="E3510" s="22" t="str">
        <f>IF(D3510&lt;&gt;"",IFERROR(INDEX(Produtos!$C$4:$C$4996,MATCH(D3510,Produtos!$B$4:$B$4996,0)),"Produto não encontrado"),"")</f>
        <v/>
      </c>
    </row>
    <row r="3511" spans="1:5" x14ac:dyDescent="0.3">
      <c r="A3511" s="21" t="str">
        <f t="shared" si="54"/>
        <v>.</v>
      </c>
      <c r="D3511" s="44"/>
      <c r="E3511" s="22" t="str">
        <f>IF(D3511&lt;&gt;"",IFERROR(INDEX(Produtos!$C$4:$C$4996,MATCH(D3511,Produtos!$B$4:$B$4996,0)),"Produto não encontrado"),"")</f>
        <v/>
      </c>
    </row>
    <row r="3512" spans="1:5" x14ac:dyDescent="0.3">
      <c r="A3512" s="21" t="str">
        <f t="shared" si="54"/>
        <v>.</v>
      </c>
      <c r="D3512" s="44"/>
      <c r="E3512" s="22" t="str">
        <f>IF(D3512&lt;&gt;"",IFERROR(INDEX(Produtos!$C$4:$C$4996,MATCH(D3512,Produtos!$B$4:$B$4996,0)),"Produto não encontrado"),"")</f>
        <v/>
      </c>
    </row>
    <row r="3513" spans="1:5" x14ac:dyDescent="0.3">
      <c r="A3513" s="21" t="str">
        <f t="shared" si="54"/>
        <v>.</v>
      </c>
      <c r="D3513" s="44"/>
      <c r="E3513" s="22" t="str">
        <f>IF(D3513&lt;&gt;"",IFERROR(INDEX(Produtos!$C$4:$C$4996,MATCH(D3513,Produtos!$B$4:$B$4996,0)),"Produto não encontrado"),"")</f>
        <v/>
      </c>
    </row>
    <row r="3514" spans="1:5" x14ac:dyDescent="0.3">
      <c r="A3514" s="21" t="str">
        <f t="shared" si="54"/>
        <v>.</v>
      </c>
      <c r="D3514" s="44"/>
      <c r="E3514" s="22" t="str">
        <f>IF(D3514&lt;&gt;"",IFERROR(INDEX(Produtos!$C$4:$C$4996,MATCH(D3514,Produtos!$B$4:$B$4996,0)),"Produto não encontrado"),"")</f>
        <v/>
      </c>
    </row>
    <row r="3515" spans="1:5" x14ac:dyDescent="0.3">
      <c r="A3515" s="21" t="str">
        <f t="shared" si="54"/>
        <v>.</v>
      </c>
      <c r="D3515" s="44"/>
      <c r="E3515" s="22" t="str">
        <f>IF(D3515&lt;&gt;"",IFERROR(INDEX(Produtos!$C$4:$C$4996,MATCH(D3515,Produtos!$B$4:$B$4996,0)),"Produto não encontrado"),"")</f>
        <v/>
      </c>
    </row>
    <row r="3516" spans="1:5" x14ac:dyDescent="0.3">
      <c r="A3516" s="21" t="str">
        <f t="shared" si="54"/>
        <v>.</v>
      </c>
      <c r="D3516" s="44"/>
      <c r="E3516" s="22" t="str">
        <f>IF(D3516&lt;&gt;"",IFERROR(INDEX(Produtos!$C$4:$C$4996,MATCH(D3516,Produtos!$B$4:$B$4996,0)),"Produto não encontrado"),"")</f>
        <v/>
      </c>
    </row>
    <row r="3517" spans="1:5" x14ac:dyDescent="0.3">
      <c r="A3517" s="21" t="str">
        <f t="shared" si="54"/>
        <v>.</v>
      </c>
      <c r="D3517" s="44"/>
      <c r="E3517" s="22" t="str">
        <f>IF(D3517&lt;&gt;"",IFERROR(INDEX(Produtos!$C$4:$C$4996,MATCH(D3517,Produtos!$B$4:$B$4996,0)),"Produto não encontrado"),"")</f>
        <v/>
      </c>
    </row>
    <row r="3518" spans="1:5" x14ac:dyDescent="0.3">
      <c r="A3518" s="21" t="str">
        <f t="shared" si="54"/>
        <v>.</v>
      </c>
      <c r="D3518" s="44"/>
      <c r="E3518" s="22" t="str">
        <f>IF(D3518&lt;&gt;"",IFERROR(INDEX(Produtos!$C$4:$C$4996,MATCH(D3518,Produtos!$B$4:$B$4996,0)),"Produto não encontrado"),"")</f>
        <v/>
      </c>
    </row>
    <row r="3519" spans="1:5" x14ac:dyDescent="0.3">
      <c r="A3519" s="21" t="str">
        <f t="shared" si="54"/>
        <v>.</v>
      </c>
      <c r="D3519" s="44"/>
      <c r="E3519" s="22" t="str">
        <f>IF(D3519&lt;&gt;"",IFERROR(INDEX(Produtos!$C$4:$C$4996,MATCH(D3519,Produtos!$B$4:$B$4996,0)),"Produto não encontrado"),"")</f>
        <v/>
      </c>
    </row>
    <row r="3520" spans="1:5" x14ac:dyDescent="0.3">
      <c r="A3520" s="21" t="str">
        <f t="shared" ref="A3520:A3583" si="55">IF(C3520="Entrada",2,IF(C3520="Saída",1,"."))</f>
        <v>.</v>
      </c>
      <c r="D3520" s="44"/>
      <c r="E3520" s="22" t="str">
        <f>IF(D3520&lt;&gt;"",IFERROR(INDEX(Produtos!$C$4:$C$4996,MATCH(D3520,Produtos!$B$4:$B$4996,0)),"Produto não encontrado"),"")</f>
        <v/>
      </c>
    </row>
    <row r="3521" spans="1:5" x14ac:dyDescent="0.3">
      <c r="A3521" s="21" t="str">
        <f t="shared" si="55"/>
        <v>.</v>
      </c>
      <c r="D3521" s="44"/>
      <c r="E3521" s="22" t="str">
        <f>IF(D3521&lt;&gt;"",IFERROR(INDEX(Produtos!$C$4:$C$4996,MATCH(D3521,Produtos!$B$4:$B$4996,0)),"Produto não encontrado"),"")</f>
        <v/>
      </c>
    </row>
    <row r="3522" spans="1:5" x14ac:dyDescent="0.3">
      <c r="A3522" s="21" t="str">
        <f t="shared" si="55"/>
        <v>.</v>
      </c>
      <c r="D3522" s="44"/>
      <c r="E3522" s="22" t="str">
        <f>IF(D3522&lt;&gt;"",IFERROR(INDEX(Produtos!$C$4:$C$4996,MATCH(D3522,Produtos!$B$4:$B$4996,0)),"Produto não encontrado"),"")</f>
        <v/>
      </c>
    </row>
    <row r="3523" spans="1:5" x14ac:dyDescent="0.3">
      <c r="A3523" s="21" t="str">
        <f t="shared" si="55"/>
        <v>.</v>
      </c>
      <c r="D3523" s="44"/>
      <c r="E3523" s="22" t="str">
        <f>IF(D3523&lt;&gt;"",IFERROR(INDEX(Produtos!$C$4:$C$4996,MATCH(D3523,Produtos!$B$4:$B$4996,0)),"Produto não encontrado"),"")</f>
        <v/>
      </c>
    </row>
    <row r="3524" spans="1:5" x14ac:dyDescent="0.3">
      <c r="A3524" s="21" t="str">
        <f t="shared" si="55"/>
        <v>.</v>
      </c>
      <c r="D3524" s="44"/>
      <c r="E3524" s="22" t="str">
        <f>IF(D3524&lt;&gt;"",IFERROR(INDEX(Produtos!$C$4:$C$4996,MATCH(D3524,Produtos!$B$4:$B$4996,0)),"Produto não encontrado"),"")</f>
        <v/>
      </c>
    </row>
    <row r="3525" spans="1:5" x14ac:dyDescent="0.3">
      <c r="A3525" s="21" t="str">
        <f t="shared" si="55"/>
        <v>.</v>
      </c>
      <c r="D3525" s="44"/>
      <c r="E3525" s="22" t="str">
        <f>IF(D3525&lt;&gt;"",IFERROR(INDEX(Produtos!$C$4:$C$4996,MATCH(D3525,Produtos!$B$4:$B$4996,0)),"Produto não encontrado"),"")</f>
        <v/>
      </c>
    </row>
    <row r="3526" spans="1:5" x14ac:dyDescent="0.3">
      <c r="A3526" s="21" t="str">
        <f t="shared" si="55"/>
        <v>.</v>
      </c>
      <c r="D3526" s="44"/>
      <c r="E3526" s="22" t="str">
        <f>IF(D3526&lt;&gt;"",IFERROR(INDEX(Produtos!$C$4:$C$4996,MATCH(D3526,Produtos!$B$4:$B$4996,0)),"Produto não encontrado"),"")</f>
        <v/>
      </c>
    </row>
    <row r="3527" spans="1:5" x14ac:dyDescent="0.3">
      <c r="A3527" s="21" t="str">
        <f t="shared" si="55"/>
        <v>.</v>
      </c>
      <c r="D3527" s="44"/>
      <c r="E3527" s="22" t="str">
        <f>IF(D3527&lt;&gt;"",IFERROR(INDEX(Produtos!$C$4:$C$4996,MATCH(D3527,Produtos!$B$4:$B$4996,0)),"Produto não encontrado"),"")</f>
        <v/>
      </c>
    </row>
    <row r="3528" spans="1:5" x14ac:dyDescent="0.3">
      <c r="A3528" s="21" t="str">
        <f t="shared" si="55"/>
        <v>.</v>
      </c>
      <c r="D3528" s="44"/>
      <c r="E3528" s="22" t="str">
        <f>IF(D3528&lt;&gt;"",IFERROR(INDEX(Produtos!$C$4:$C$4996,MATCH(D3528,Produtos!$B$4:$B$4996,0)),"Produto não encontrado"),"")</f>
        <v/>
      </c>
    </row>
    <row r="3529" spans="1:5" x14ac:dyDescent="0.3">
      <c r="A3529" s="21" t="str">
        <f t="shared" si="55"/>
        <v>.</v>
      </c>
      <c r="D3529" s="44"/>
      <c r="E3529" s="22" t="str">
        <f>IF(D3529&lt;&gt;"",IFERROR(INDEX(Produtos!$C$4:$C$4996,MATCH(D3529,Produtos!$B$4:$B$4996,0)),"Produto não encontrado"),"")</f>
        <v/>
      </c>
    </row>
    <row r="3530" spans="1:5" x14ac:dyDescent="0.3">
      <c r="A3530" s="21" t="str">
        <f t="shared" si="55"/>
        <v>.</v>
      </c>
      <c r="D3530" s="44"/>
      <c r="E3530" s="22" t="str">
        <f>IF(D3530&lt;&gt;"",IFERROR(INDEX(Produtos!$C$4:$C$4996,MATCH(D3530,Produtos!$B$4:$B$4996,0)),"Produto não encontrado"),"")</f>
        <v/>
      </c>
    </row>
    <row r="3531" spans="1:5" x14ac:dyDescent="0.3">
      <c r="A3531" s="21" t="str">
        <f t="shared" si="55"/>
        <v>.</v>
      </c>
      <c r="D3531" s="44"/>
      <c r="E3531" s="22" t="str">
        <f>IF(D3531&lt;&gt;"",IFERROR(INDEX(Produtos!$C$4:$C$4996,MATCH(D3531,Produtos!$B$4:$B$4996,0)),"Produto não encontrado"),"")</f>
        <v/>
      </c>
    </row>
    <row r="3532" spans="1:5" x14ac:dyDescent="0.3">
      <c r="A3532" s="21" t="str">
        <f t="shared" si="55"/>
        <v>.</v>
      </c>
      <c r="D3532" s="44"/>
      <c r="E3532" s="22" t="str">
        <f>IF(D3532&lt;&gt;"",IFERROR(INDEX(Produtos!$C$4:$C$4996,MATCH(D3532,Produtos!$B$4:$B$4996,0)),"Produto não encontrado"),"")</f>
        <v/>
      </c>
    </row>
    <row r="3533" spans="1:5" x14ac:dyDescent="0.3">
      <c r="A3533" s="21" t="str">
        <f t="shared" si="55"/>
        <v>.</v>
      </c>
      <c r="D3533" s="44"/>
      <c r="E3533" s="22" t="str">
        <f>IF(D3533&lt;&gt;"",IFERROR(INDEX(Produtos!$C$4:$C$4996,MATCH(D3533,Produtos!$B$4:$B$4996,0)),"Produto não encontrado"),"")</f>
        <v/>
      </c>
    </row>
    <row r="3534" spans="1:5" x14ac:dyDescent="0.3">
      <c r="A3534" s="21" t="str">
        <f t="shared" si="55"/>
        <v>.</v>
      </c>
      <c r="D3534" s="44"/>
      <c r="E3534" s="22" t="str">
        <f>IF(D3534&lt;&gt;"",IFERROR(INDEX(Produtos!$C$4:$C$4996,MATCH(D3534,Produtos!$B$4:$B$4996,0)),"Produto não encontrado"),"")</f>
        <v/>
      </c>
    </row>
    <row r="3535" spans="1:5" x14ac:dyDescent="0.3">
      <c r="A3535" s="21" t="str">
        <f t="shared" si="55"/>
        <v>.</v>
      </c>
      <c r="D3535" s="44"/>
      <c r="E3535" s="22" t="str">
        <f>IF(D3535&lt;&gt;"",IFERROR(INDEX(Produtos!$C$4:$C$4996,MATCH(D3535,Produtos!$B$4:$B$4996,0)),"Produto não encontrado"),"")</f>
        <v/>
      </c>
    </row>
    <row r="3536" spans="1:5" x14ac:dyDescent="0.3">
      <c r="A3536" s="21" t="str">
        <f t="shared" si="55"/>
        <v>.</v>
      </c>
      <c r="D3536" s="44"/>
      <c r="E3536" s="22" t="str">
        <f>IF(D3536&lt;&gt;"",IFERROR(INDEX(Produtos!$C$4:$C$4996,MATCH(D3536,Produtos!$B$4:$B$4996,0)),"Produto não encontrado"),"")</f>
        <v/>
      </c>
    </row>
    <row r="3537" spans="1:5" x14ac:dyDescent="0.3">
      <c r="A3537" s="21" t="str">
        <f t="shared" si="55"/>
        <v>.</v>
      </c>
      <c r="D3537" s="44"/>
      <c r="E3537" s="22" t="str">
        <f>IF(D3537&lt;&gt;"",IFERROR(INDEX(Produtos!$C$4:$C$4996,MATCH(D3537,Produtos!$B$4:$B$4996,0)),"Produto não encontrado"),"")</f>
        <v/>
      </c>
    </row>
    <row r="3538" spans="1:5" x14ac:dyDescent="0.3">
      <c r="A3538" s="21" t="str">
        <f t="shared" si="55"/>
        <v>.</v>
      </c>
      <c r="D3538" s="44"/>
      <c r="E3538" s="22" t="str">
        <f>IF(D3538&lt;&gt;"",IFERROR(INDEX(Produtos!$C$4:$C$4996,MATCH(D3538,Produtos!$B$4:$B$4996,0)),"Produto não encontrado"),"")</f>
        <v/>
      </c>
    </row>
    <row r="3539" spans="1:5" x14ac:dyDescent="0.3">
      <c r="A3539" s="21" t="str">
        <f t="shared" si="55"/>
        <v>.</v>
      </c>
      <c r="D3539" s="44"/>
      <c r="E3539" s="22" t="str">
        <f>IF(D3539&lt;&gt;"",IFERROR(INDEX(Produtos!$C$4:$C$4996,MATCH(D3539,Produtos!$B$4:$B$4996,0)),"Produto não encontrado"),"")</f>
        <v/>
      </c>
    </row>
    <row r="3540" spans="1:5" x14ac:dyDescent="0.3">
      <c r="A3540" s="21" t="str">
        <f t="shared" si="55"/>
        <v>.</v>
      </c>
      <c r="D3540" s="44"/>
      <c r="E3540" s="22" t="str">
        <f>IF(D3540&lt;&gt;"",IFERROR(INDEX(Produtos!$C$4:$C$4996,MATCH(D3540,Produtos!$B$4:$B$4996,0)),"Produto não encontrado"),"")</f>
        <v/>
      </c>
    </row>
    <row r="3541" spans="1:5" x14ac:dyDescent="0.3">
      <c r="A3541" s="21" t="str">
        <f t="shared" si="55"/>
        <v>.</v>
      </c>
      <c r="D3541" s="44"/>
      <c r="E3541" s="22" t="str">
        <f>IF(D3541&lt;&gt;"",IFERROR(INDEX(Produtos!$C$4:$C$4996,MATCH(D3541,Produtos!$B$4:$B$4996,0)),"Produto não encontrado"),"")</f>
        <v/>
      </c>
    </row>
    <row r="3542" spans="1:5" x14ac:dyDescent="0.3">
      <c r="A3542" s="21" t="str">
        <f t="shared" si="55"/>
        <v>.</v>
      </c>
      <c r="D3542" s="44"/>
      <c r="E3542" s="22" t="str">
        <f>IF(D3542&lt;&gt;"",IFERROR(INDEX(Produtos!$C$4:$C$4996,MATCH(D3542,Produtos!$B$4:$B$4996,0)),"Produto não encontrado"),"")</f>
        <v/>
      </c>
    </row>
    <row r="3543" spans="1:5" x14ac:dyDescent="0.3">
      <c r="A3543" s="21" t="str">
        <f t="shared" si="55"/>
        <v>.</v>
      </c>
      <c r="D3543" s="44"/>
      <c r="E3543" s="22" t="str">
        <f>IF(D3543&lt;&gt;"",IFERROR(INDEX(Produtos!$C$4:$C$4996,MATCH(D3543,Produtos!$B$4:$B$4996,0)),"Produto não encontrado"),"")</f>
        <v/>
      </c>
    </row>
    <row r="3544" spans="1:5" x14ac:dyDescent="0.3">
      <c r="A3544" s="21" t="str">
        <f t="shared" si="55"/>
        <v>.</v>
      </c>
      <c r="D3544" s="44"/>
      <c r="E3544" s="22" t="str">
        <f>IF(D3544&lt;&gt;"",IFERROR(INDEX(Produtos!$C$4:$C$4996,MATCH(D3544,Produtos!$B$4:$B$4996,0)),"Produto não encontrado"),"")</f>
        <v/>
      </c>
    </row>
    <row r="3545" spans="1:5" x14ac:dyDescent="0.3">
      <c r="A3545" s="21" t="str">
        <f t="shared" si="55"/>
        <v>.</v>
      </c>
      <c r="D3545" s="44"/>
      <c r="E3545" s="22" t="str">
        <f>IF(D3545&lt;&gt;"",IFERROR(INDEX(Produtos!$C$4:$C$4996,MATCH(D3545,Produtos!$B$4:$B$4996,0)),"Produto não encontrado"),"")</f>
        <v/>
      </c>
    </row>
    <row r="3546" spans="1:5" x14ac:dyDescent="0.3">
      <c r="A3546" s="21" t="str">
        <f t="shared" si="55"/>
        <v>.</v>
      </c>
      <c r="D3546" s="44"/>
      <c r="E3546" s="22" t="str">
        <f>IF(D3546&lt;&gt;"",IFERROR(INDEX(Produtos!$C$4:$C$4996,MATCH(D3546,Produtos!$B$4:$B$4996,0)),"Produto não encontrado"),"")</f>
        <v/>
      </c>
    </row>
    <row r="3547" spans="1:5" x14ac:dyDescent="0.3">
      <c r="A3547" s="21" t="str">
        <f t="shared" si="55"/>
        <v>.</v>
      </c>
      <c r="D3547" s="44"/>
      <c r="E3547" s="22" t="str">
        <f>IF(D3547&lt;&gt;"",IFERROR(INDEX(Produtos!$C$4:$C$4996,MATCH(D3547,Produtos!$B$4:$B$4996,0)),"Produto não encontrado"),"")</f>
        <v/>
      </c>
    </row>
    <row r="3548" spans="1:5" x14ac:dyDescent="0.3">
      <c r="A3548" s="21" t="str">
        <f t="shared" si="55"/>
        <v>.</v>
      </c>
      <c r="D3548" s="44"/>
      <c r="E3548" s="22" t="str">
        <f>IF(D3548&lt;&gt;"",IFERROR(INDEX(Produtos!$C$4:$C$4996,MATCH(D3548,Produtos!$B$4:$B$4996,0)),"Produto não encontrado"),"")</f>
        <v/>
      </c>
    </row>
    <row r="3549" spans="1:5" x14ac:dyDescent="0.3">
      <c r="A3549" s="21" t="str">
        <f t="shared" si="55"/>
        <v>.</v>
      </c>
      <c r="D3549" s="44"/>
      <c r="E3549" s="22" t="str">
        <f>IF(D3549&lt;&gt;"",IFERROR(INDEX(Produtos!$C$4:$C$4996,MATCH(D3549,Produtos!$B$4:$B$4996,0)),"Produto não encontrado"),"")</f>
        <v/>
      </c>
    </row>
    <row r="3550" spans="1:5" x14ac:dyDescent="0.3">
      <c r="A3550" s="21" t="str">
        <f t="shared" si="55"/>
        <v>.</v>
      </c>
      <c r="D3550" s="44"/>
      <c r="E3550" s="22" t="str">
        <f>IF(D3550&lt;&gt;"",IFERROR(INDEX(Produtos!$C$4:$C$4996,MATCH(D3550,Produtos!$B$4:$B$4996,0)),"Produto não encontrado"),"")</f>
        <v/>
      </c>
    </row>
    <row r="3551" spans="1:5" x14ac:dyDescent="0.3">
      <c r="A3551" s="21" t="str">
        <f t="shared" si="55"/>
        <v>.</v>
      </c>
      <c r="D3551" s="44"/>
      <c r="E3551" s="22" t="str">
        <f>IF(D3551&lt;&gt;"",IFERROR(INDEX(Produtos!$C$4:$C$4996,MATCH(D3551,Produtos!$B$4:$B$4996,0)),"Produto não encontrado"),"")</f>
        <v/>
      </c>
    </row>
    <row r="3552" spans="1:5" x14ac:dyDescent="0.3">
      <c r="A3552" s="21" t="str">
        <f t="shared" si="55"/>
        <v>.</v>
      </c>
      <c r="D3552" s="44"/>
      <c r="E3552" s="22" t="str">
        <f>IF(D3552&lt;&gt;"",IFERROR(INDEX(Produtos!$C$4:$C$4996,MATCH(D3552,Produtos!$B$4:$B$4996,0)),"Produto não encontrado"),"")</f>
        <v/>
      </c>
    </row>
    <row r="3553" spans="1:5" x14ac:dyDescent="0.3">
      <c r="A3553" s="21" t="str">
        <f t="shared" si="55"/>
        <v>.</v>
      </c>
      <c r="D3553" s="44"/>
      <c r="E3553" s="22" t="str">
        <f>IF(D3553&lt;&gt;"",IFERROR(INDEX(Produtos!$C$4:$C$4996,MATCH(D3553,Produtos!$B$4:$B$4996,0)),"Produto não encontrado"),"")</f>
        <v/>
      </c>
    </row>
    <row r="3554" spans="1:5" x14ac:dyDescent="0.3">
      <c r="A3554" s="21" t="str">
        <f t="shared" si="55"/>
        <v>.</v>
      </c>
      <c r="D3554" s="44"/>
      <c r="E3554" s="22" t="str">
        <f>IF(D3554&lt;&gt;"",IFERROR(INDEX(Produtos!$C$4:$C$4996,MATCH(D3554,Produtos!$B$4:$B$4996,0)),"Produto não encontrado"),"")</f>
        <v/>
      </c>
    </row>
    <row r="3555" spans="1:5" x14ac:dyDescent="0.3">
      <c r="A3555" s="21" t="str">
        <f t="shared" si="55"/>
        <v>.</v>
      </c>
      <c r="D3555" s="44"/>
      <c r="E3555" s="22" t="str">
        <f>IF(D3555&lt;&gt;"",IFERROR(INDEX(Produtos!$C$4:$C$4996,MATCH(D3555,Produtos!$B$4:$B$4996,0)),"Produto não encontrado"),"")</f>
        <v/>
      </c>
    </row>
    <row r="3556" spans="1:5" x14ac:dyDescent="0.3">
      <c r="A3556" s="21" t="str">
        <f t="shared" si="55"/>
        <v>.</v>
      </c>
      <c r="D3556" s="44"/>
      <c r="E3556" s="22" t="str">
        <f>IF(D3556&lt;&gt;"",IFERROR(INDEX(Produtos!$C$4:$C$4996,MATCH(D3556,Produtos!$B$4:$B$4996,0)),"Produto não encontrado"),"")</f>
        <v/>
      </c>
    </row>
    <row r="3557" spans="1:5" x14ac:dyDescent="0.3">
      <c r="A3557" s="21" t="str">
        <f t="shared" si="55"/>
        <v>.</v>
      </c>
      <c r="D3557" s="44"/>
      <c r="E3557" s="22" t="str">
        <f>IF(D3557&lt;&gt;"",IFERROR(INDEX(Produtos!$C$4:$C$4996,MATCH(D3557,Produtos!$B$4:$B$4996,0)),"Produto não encontrado"),"")</f>
        <v/>
      </c>
    </row>
    <row r="3558" spans="1:5" x14ac:dyDescent="0.3">
      <c r="A3558" s="21" t="str">
        <f t="shared" si="55"/>
        <v>.</v>
      </c>
      <c r="D3558" s="44"/>
      <c r="E3558" s="22" t="str">
        <f>IF(D3558&lt;&gt;"",IFERROR(INDEX(Produtos!$C$4:$C$4996,MATCH(D3558,Produtos!$B$4:$B$4996,0)),"Produto não encontrado"),"")</f>
        <v/>
      </c>
    </row>
    <row r="3559" spans="1:5" x14ac:dyDescent="0.3">
      <c r="A3559" s="21" t="str">
        <f t="shared" si="55"/>
        <v>.</v>
      </c>
      <c r="D3559" s="44"/>
      <c r="E3559" s="22" t="str">
        <f>IF(D3559&lt;&gt;"",IFERROR(INDEX(Produtos!$C$4:$C$4996,MATCH(D3559,Produtos!$B$4:$B$4996,0)),"Produto não encontrado"),"")</f>
        <v/>
      </c>
    </row>
    <row r="3560" spans="1:5" x14ac:dyDescent="0.3">
      <c r="A3560" s="21" t="str">
        <f t="shared" si="55"/>
        <v>.</v>
      </c>
      <c r="D3560" s="44"/>
      <c r="E3560" s="22" t="str">
        <f>IF(D3560&lt;&gt;"",IFERROR(INDEX(Produtos!$C$4:$C$4996,MATCH(D3560,Produtos!$B$4:$B$4996,0)),"Produto não encontrado"),"")</f>
        <v/>
      </c>
    </row>
    <row r="3561" spans="1:5" x14ac:dyDescent="0.3">
      <c r="A3561" s="21" t="str">
        <f t="shared" si="55"/>
        <v>.</v>
      </c>
      <c r="D3561" s="44"/>
      <c r="E3561" s="22" t="str">
        <f>IF(D3561&lt;&gt;"",IFERROR(INDEX(Produtos!$C$4:$C$4996,MATCH(D3561,Produtos!$B$4:$B$4996,0)),"Produto não encontrado"),"")</f>
        <v/>
      </c>
    </row>
    <row r="3562" spans="1:5" x14ac:dyDescent="0.3">
      <c r="A3562" s="21" t="str">
        <f t="shared" si="55"/>
        <v>.</v>
      </c>
      <c r="D3562" s="44"/>
      <c r="E3562" s="22" t="str">
        <f>IF(D3562&lt;&gt;"",IFERROR(INDEX(Produtos!$C$4:$C$4996,MATCH(D3562,Produtos!$B$4:$B$4996,0)),"Produto não encontrado"),"")</f>
        <v/>
      </c>
    </row>
    <row r="3563" spans="1:5" x14ac:dyDescent="0.3">
      <c r="A3563" s="21" t="str">
        <f t="shared" si="55"/>
        <v>.</v>
      </c>
      <c r="D3563" s="44"/>
      <c r="E3563" s="22" t="str">
        <f>IF(D3563&lt;&gt;"",IFERROR(INDEX(Produtos!$C$4:$C$4996,MATCH(D3563,Produtos!$B$4:$B$4996,0)),"Produto não encontrado"),"")</f>
        <v/>
      </c>
    </row>
    <row r="3564" spans="1:5" x14ac:dyDescent="0.3">
      <c r="A3564" s="21" t="str">
        <f t="shared" si="55"/>
        <v>.</v>
      </c>
      <c r="D3564" s="44"/>
      <c r="E3564" s="22" t="str">
        <f>IF(D3564&lt;&gt;"",IFERROR(INDEX(Produtos!$C$4:$C$4996,MATCH(D3564,Produtos!$B$4:$B$4996,0)),"Produto não encontrado"),"")</f>
        <v/>
      </c>
    </row>
    <row r="3565" spans="1:5" x14ac:dyDescent="0.3">
      <c r="A3565" s="21" t="str">
        <f t="shared" si="55"/>
        <v>.</v>
      </c>
      <c r="D3565" s="44"/>
      <c r="E3565" s="22" t="str">
        <f>IF(D3565&lt;&gt;"",IFERROR(INDEX(Produtos!$C$4:$C$4996,MATCH(D3565,Produtos!$B$4:$B$4996,0)),"Produto não encontrado"),"")</f>
        <v/>
      </c>
    </row>
    <row r="3566" spans="1:5" x14ac:dyDescent="0.3">
      <c r="A3566" s="21" t="str">
        <f t="shared" si="55"/>
        <v>.</v>
      </c>
      <c r="D3566" s="44"/>
      <c r="E3566" s="22" t="str">
        <f>IF(D3566&lt;&gt;"",IFERROR(INDEX(Produtos!$C$4:$C$4996,MATCH(D3566,Produtos!$B$4:$B$4996,0)),"Produto não encontrado"),"")</f>
        <v/>
      </c>
    </row>
    <row r="3567" spans="1:5" x14ac:dyDescent="0.3">
      <c r="A3567" s="21" t="str">
        <f t="shared" si="55"/>
        <v>.</v>
      </c>
      <c r="D3567" s="44"/>
      <c r="E3567" s="22" t="str">
        <f>IF(D3567&lt;&gt;"",IFERROR(INDEX(Produtos!$C$4:$C$4996,MATCH(D3567,Produtos!$B$4:$B$4996,0)),"Produto não encontrado"),"")</f>
        <v/>
      </c>
    </row>
    <row r="3568" spans="1:5" x14ac:dyDescent="0.3">
      <c r="A3568" s="21" t="str">
        <f t="shared" si="55"/>
        <v>.</v>
      </c>
      <c r="D3568" s="44"/>
      <c r="E3568" s="22" t="str">
        <f>IF(D3568&lt;&gt;"",IFERROR(INDEX(Produtos!$C$4:$C$4996,MATCH(D3568,Produtos!$B$4:$B$4996,0)),"Produto não encontrado"),"")</f>
        <v/>
      </c>
    </row>
    <row r="3569" spans="1:5" x14ac:dyDescent="0.3">
      <c r="A3569" s="21" t="str">
        <f t="shared" si="55"/>
        <v>.</v>
      </c>
      <c r="D3569" s="44"/>
      <c r="E3569" s="22" t="str">
        <f>IF(D3569&lt;&gt;"",IFERROR(INDEX(Produtos!$C$4:$C$4996,MATCH(D3569,Produtos!$B$4:$B$4996,0)),"Produto não encontrado"),"")</f>
        <v/>
      </c>
    </row>
    <row r="3570" spans="1:5" x14ac:dyDescent="0.3">
      <c r="A3570" s="21" t="str">
        <f t="shared" si="55"/>
        <v>.</v>
      </c>
      <c r="D3570" s="44"/>
      <c r="E3570" s="22" t="str">
        <f>IF(D3570&lt;&gt;"",IFERROR(INDEX(Produtos!$C$4:$C$4996,MATCH(D3570,Produtos!$B$4:$B$4996,0)),"Produto não encontrado"),"")</f>
        <v/>
      </c>
    </row>
    <row r="3571" spans="1:5" x14ac:dyDescent="0.3">
      <c r="A3571" s="21" t="str">
        <f t="shared" si="55"/>
        <v>.</v>
      </c>
      <c r="D3571" s="44"/>
      <c r="E3571" s="22" t="str">
        <f>IF(D3571&lt;&gt;"",IFERROR(INDEX(Produtos!$C$4:$C$4996,MATCH(D3571,Produtos!$B$4:$B$4996,0)),"Produto não encontrado"),"")</f>
        <v/>
      </c>
    </row>
    <row r="3572" spans="1:5" x14ac:dyDescent="0.3">
      <c r="A3572" s="21" t="str">
        <f t="shared" si="55"/>
        <v>.</v>
      </c>
      <c r="D3572" s="44"/>
      <c r="E3572" s="22" t="str">
        <f>IF(D3572&lt;&gt;"",IFERROR(INDEX(Produtos!$C$4:$C$4996,MATCH(D3572,Produtos!$B$4:$B$4996,0)),"Produto não encontrado"),"")</f>
        <v/>
      </c>
    </row>
    <row r="3573" spans="1:5" x14ac:dyDescent="0.3">
      <c r="A3573" s="21" t="str">
        <f t="shared" si="55"/>
        <v>.</v>
      </c>
      <c r="D3573" s="44"/>
      <c r="E3573" s="22" t="str">
        <f>IF(D3573&lt;&gt;"",IFERROR(INDEX(Produtos!$C$4:$C$4996,MATCH(D3573,Produtos!$B$4:$B$4996,0)),"Produto não encontrado"),"")</f>
        <v/>
      </c>
    </row>
    <row r="3574" spans="1:5" x14ac:dyDescent="0.3">
      <c r="A3574" s="21" t="str">
        <f t="shared" si="55"/>
        <v>.</v>
      </c>
      <c r="D3574" s="44"/>
      <c r="E3574" s="22" t="str">
        <f>IF(D3574&lt;&gt;"",IFERROR(INDEX(Produtos!$C$4:$C$4996,MATCH(D3574,Produtos!$B$4:$B$4996,0)),"Produto não encontrado"),"")</f>
        <v/>
      </c>
    </row>
    <row r="3575" spans="1:5" x14ac:dyDescent="0.3">
      <c r="A3575" s="21" t="str">
        <f t="shared" si="55"/>
        <v>.</v>
      </c>
      <c r="D3575" s="44"/>
      <c r="E3575" s="22" t="str">
        <f>IF(D3575&lt;&gt;"",IFERROR(INDEX(Produtos!$C$4:$C$4996,MATCH(D3575,Produtos!$B$4:$B$4996,0)),"Produto não encontrado"),"")</f>
        <v/>
      </c>
    </row>
    <row r="3576" spans="1:5" x14ac:dyDescent="0.3">
      <c r="A3576" s="21" t="str">
        <f t="shared" si="55"/>
        <v>.</v>
      </c>
      <c r="D3576" s="44"/>
      <c r="E3576" s="22" t="str">
        <f>IF(D3576&lt;&gt;"",IFERROR(INDEX(Produtos!$C$4:$C$4996,MATCH(D3576,Produtos!$B$4:$B$4996,0)),"Produto não encontrado"),"")</f>
        <v/>
      </c>
    </row>
    <row r="3577" spans="1:5" x14ac:dyDescent="0.3">
      <c r="A3577" s="21" t="str">
        <f t="shared" si="55"/>
        <v>.</v>
      </c>
      <c r="D3577" s="44"/>
      <c r="E3577" s="22" t="str">
        <f>IF(D3577&lt;&gt;"",IFERROR(INDEX(Produtos!$C$4:$C$4996,MATCH(D3577,Produtos!$B$4:$B$4996,0)),"Produto não encontrado"),"")</f>
        <v/>
      </c>
    </row>
    <row r="3578" spans="1:5" x14ac:dyDescent="0.3">
      <c r="A3578" s="21" t="str">
        <f t="shared" si="55"/>
        <v>.</v>
      </c>
      <c r="D3578" s="44"/>
      <c r="E3578" s="22" t="str">
        <f>IF(D3578&lt;&gt;"",IFERROR(INDEX(Produtos!$C$4:$C$4996,MATCH(D3578,Produtos!$B$4:$B$4996,0)),"Produto não encontrado"),"")</f>
        <v/>
      </c>
    </row>
    <row r="3579" spans="1:5" x14ac:dyDescent="0.3">
      <c r="A3579" s="21" t="str">
        <f t="shared" si="55"/>
        <v>.</v>
      </c>
      <c r="D3579" s="44"/>
      <c r="E3579" s="22" t="str">
        <f>IF(D3579&lt;&gt;"",IFERROR(INDEX(Produtos!$C$4:$C$4996,MATCH(D3579,Produtos!$B$4:$B$4996,0)),"Produto não encontrado"),"")</f>
        <v/>
      </c>
    </row>
    <row r="3580" spans="1:5" x14ac:dyDescent="0.3">
      <c r="A3580" s="21" t="str">
        <f t="shared" si="55"/>
        <v>.</v>
      </c>
      <c r="D3580" s="44"/>
      <c r="E3580" s="22" t="str">
        <f>IF(D3580&lt;&gt;"",IFERROR(INDEX(Produtos!$C$4:$C$4996,MATCH(D3580,Produtos!$B$4:$B$4996,0)),"Produto não encontrado"),"")</f>
        <v/>
      </c>
    </row>
    <row r="3581" spans="1:5" x14ac:dyDescent="0.3">
      <c r="A3581" s="21" t="str">
        <f t="shared" si="55"/>
        <v>.</v>
      </c>
      <c r="D3581" s="44"/>
      <c r="E3581" s="22" t="str">
        <f>IF(D3581&lt;&gt;"",IFERROR(INDEX(Produtos!$C$4:$C$4996,MATCH(D3581,Produtos!$B$4:$B$4996,0)),"Produto não encontrado"),"")</f>
        <v/>
      </c>
    </row>
    <row r="3582" spans="1:5" x14ac:dyDescent="0.3">
      <c r="A3582" s="21" t="str">
        <f t="shared" si="55"/>
        <v>.</v>
      </c>
      <c r="D3582" s="44"/>
      <c r="E3582" s="22" t="str">
        <f>IF(D3582&lt;&gt;"",IFERROR(INDEX(Produtos!$C$4:$C$4996,MATCH(D3582,Produtos!$B$4:$B$4996,0)),"Produto não encontrado"),"")</f>
        <v/>
      </c>
    </row>
    <row r="3583" spans="1:5" x14ac:dyDescent="0.3">
      <c r="A3583" s="21" t="str">
        <f t="shared" si="55"/>
        <v>.</v>
      </c>
      <c r="D3583" s="44"/>
      <c r="E3583" s="22" t="str">
        <f>IF(D3583&lt;&gt;"",IFERROR(INDEX(Produtos!$C$4:$C$4996,MATCH(D3583,Produtos!$B$4:$B$4996,0)),"Produto não encontrado"),"")</f>
        <v/>
      </c>
    </row>
    <row r="3584" spans="1:5" x14ac:dyDescent="0.3">
      <c r="A3584" s="21" t="str">
        <f t="shared" ref="A3584:A3647" si="56">IF(C3584="Entrada",2,IF(C3584="Saída",1,"."))</f>
        <v>.</v>
      </c>
      <c r="D3584" s="44"/>
      <c r="E3584" s="22" t="str">
        <f>IF(D3584&lt;&gt;"",IFERROR(INDEX(Produtos!$C$4:$C$4996,MATCH(D3584,Produtos!$B$4:$B$4996,0)),"Produto não encontrado"),"")</f>
        <v/>
      </c>
    </row>
    <row r="3585" spans="1:5" x14ac:dyDescent="0.3">
      <c r="A3585" s="21" t="str">
        <f t="shared" si="56"/>
        <v>.</v>
      </c>
      <c r="D3585" s="44"/>
      <c r="E3585" s="22" t="str">
        <f>IF(D3585&lt;&gt;"",IFERROR(INDEX(Produtos!$C$4:$C$4996,MATCH(D3585,Produtos!$B$4:$B$4996,0)),"Produto não encontrado"),"")</f>
        <v/>
      </c>
    </row>
    <row r="3586" spans="1:5" x14ac:dyDescent="0.3">
      <c r="A3586" s="21" t="str">
        <f t="shared" si="56"/>
        <v>.</v>
      </c>
      <c r="D3586" s="44"/>
      <c r="E3586" s="22" t="str">
        <f>IF(D3586&lt;&gt;"",IFERROR(INDEX(Produtos!$C$4:$C$4996,MATCH(D3586,Produtos!$B$4:$B$4996,0)),"Produto não encontrado"),"")</f>
        <v/>
      </c>
    </row>
    <row r="3587" spans="1:5" x14ac:dyDescent="0.3">
      <c r="A3587" s="21" t="str">
        <f t="shared" si="56"/>
        <v>.</v>
      </c>
      <c r="D3587" s="44"/>
      <c r="E3587" s="22" t="str">
        <f>IF(D3587&lt;&gt;"",IFERROR(INDEX(Produtos!$C$4:$C$4996,MATCH(D3587,Produtos!$B$4:$B$4996,0)),"Produto não encontrado"),"")</f>
        <v/>
      </c>
    </row>
    <row r="3588" spans="1:5" x14ac:dyDescent="0.3">
      <c r="A3588" s="21" t="str">
        <f t="shared" si="56"/>
        <v>.</v>
      </c>
      <c r="D3588" s="44"/>
      <c r="E3588" s="22" t="str">
        <f>IF(D3588&lt;&gt;"",IFERROR(INDEX(Produtos!$C$4:$C$4996,MATCH(D3588,Produtos!$B$4:$B$4996,0)),"Produto não encontrado"),"")</f>
        <v/>
      </c>
    </row>
    <row r="3589" spans="1:5" x14ac:dyDescent="0.3">
      <c r="A3589" s="21" t="str">
        <f t="shared" si="56"/>
        <v>.</v>
      </c>
      <c r="D3589" s="44"/>
      <c r="E3589" s="22" t="str">
        <f>IF(D3589&lt;&gt;"",IFERROR(INDEX(Produtos!$C$4:$C$4996,MATCH(D3589,Produtos!$B$4:$B$4996,0)),"Produto não encontrado"),"")</f>
        <v/>
      </c>
    </row>
    <row r="3590" spans="1:5" x14ac:dyDescent="0.3">
      <c r="A3590" s="21" t="str">
        <f t="shared" si="56"/>
        <v>.</v>
      </c>
      <c r="D3590" s="44"/>
      <c r="E3590" s="22" t="str">
        <f>IF(D3590&lt;&gt;"",IFERROR(INDEX(Produtos!$C$4:$C$4996,MATCH(D3590,Produtos!$B$4:$B$4996,0)),"Produto não encontrado"),"")</f>
        <v/>
      </c>
    </row>
    <row r="3591" spans="1:5" x14ac:dyDescent="0.3">
      <c r="A3591" s="21" t="str">
        <f t="shared" si="56"/>
        <v>.</v>
      </c>
      <c r="D3591" s="44"/>
      <c r="E3591" s="22" t="str">
        <f>IF(D3591&lt;&gt;"",IFERROR(INDEX(Produtos!$C$4:$C$4996,MATCH(D3591,Produtos!$B$4:$B$4996,0)),"Produto não encontrado"),"")</f>
        <v/>
      </c>
    </row>
    <row r="3592" spans="1:5" x14ac:dyDescent="0.3">
      <c r="A3592" s="21" t="str">
        <f t="shared" si="56"/>
        <v>.</v>
      </c>
      <c r="D3592" s="44"/>
      <c r="E3592" s="22" t="str">
        <f>IF(D3592&lt;&gt;"",IFERROR(INDEX(Produtos!$C$4:$C$4996,MATCH(D3592,Produtos!$B$4:$B$4996,0)),"Produto não encontrado"),"")</f>
        <v/>
      </c>
    </row>
    <row r="3593" spans="1:5" x14ac:dyDescent="0.3">
      <c r="A3593" s="21" t="str">
        <f t="shared" si="56"/>
        <v>.</v>
      </c>
      <c r="D3593" s="44"/>
      <c r="E3593" s="22" t="str">
        <f>IF(D3593&lt;&gt;"",IFERROR(INDEX(Produtos!$C$4:$C$4996,MATCH(D3593,Produtos!$B$4:$B$4996,0)),"Produto não encontrado"),"")</f>
        <v/>
      </c>
    </row>
    <row r="3594" spans="1:5" x14ac:dyDescent="0.3">
      <c r="A3594" s="21" t="str">
        <f t="shared" si="56"/>
        <v>.</v>
      </c>
      <c r="D3594" s="44"/>
      <c r="E3594" s="22" t="str">
        <f>IF(D3594&lt;&gt;"",IFERROR(INDEX(Produtos!$C$4:$C$4996,MATCH(D3594,Produtos!$B$4:$B$4996,0)),"Produto não encontrado"),"")</f>
        <v/>
      </c>
    </row>
    <row r="3595" spans="1:5" x14ac:dyDescent="0.3">
      <c r="A3595" s="21" t="str">
        <f t="shared" si="56"/>
        <v>.</v>
      </c>
      <c r="D3595" s="44"/>
      <c r="E3595" s="22" t="str">
        <f>IF(D3595&lt;&gt;"",IFERROR(INDEX(Produtos!$C$4:$C$4996,MATCH(D3595,Produtos!$B$4:$B$4996,0)),"Produto não encontrado"),"")</f>
        <v/>
      </c>
    </row>
    <row r="3596" spans="1:5" x14ac:dyDescent="0.3">
      <c r="A3596" s="21" t="str">
        <f t="shared" si="56"/>
        <v>.</v>
      </c>
      <c r="D3596" s="44"/>
      <c r="E3596" s="22" t="str">
        <f>IF(D3596&lt;&gt;"",IFERROR(INDEX(Produtos!$C$4:$C$4996,MATCH(D3596,Produtos!$B$4:$B$4996,0)),"Produto não encontrado"),"")</f>
        <v/>
      </c>
    </row>
    <row r="3597" spans="1:5" x14ac:dyDescent="0.3">
      <c r="A3597" s="21" t="str">
        <f t="shared" si="56"/>
        <v>.</v>
      </c>
      <c r="D3597" s="44"/>
      <c r="E3597" s="22" t="str">
        <f>IF(D3597&lt;&gt;"",IFERROR(INDEX(Produtos!$C$4:$C$4996,MATCH(D3597,Produtos!$B$4:$B$4996,0)),"Produto não encontrado"),"")</f>
        <v/>
      </c>
    </row>
    <row r="3598" spans="1:5" x14ac:dyDescent="0.3">
      <c r="A3598" s="21" t="str">
        <f t="shared" si="56"/>
        <v>.</v>
      </c>
      <c r="D3598" s="44"/>
      <c r="E3598" s="22" t="str">
        <f>IF(D3598&lt;&gt;"",IFERROR(INDEX(Produtos!$C$4:$C$4996,MATCH(D3598,Produtos!$B$4:$B$4996,0)),"Produto não encontrado"),"")</f>
        <v/>
      </c>
    </row>
    <row r="3599" spans="1:5" x14ac:dyDescent="0.3">
      <c r="A3599" s="21" t="str">
        <f t="shared" si="56"/>
        <v>.</v>
      </c>
      <c r="D3599" s="44"/>
      <c r="E3599" s="22" t="str">
        <f>IF(D3599&lt;&gt;"",IFERROR(INDEX(Produtos!$C$4:$C$4996,MATCH(D3599,Produtos!$B$4:$B$4996,0)),"Produto não encontrado"),"")</f>
        <v/>
      </c>
    </row>
    <row r="3600" spans="1:5" x14ac:dyDescent="0.3">
      <c r="A3600" s="21" t="str">
        <f t="shared" si="56"/>
        <v>.</v>
      </c>
      <c r="D3600" s="44"/>
      <c r="E3600" s="22" t="str">
        <f>IF(D3600&lt;&gt;"",IFERROR(INDEX(Produtos!$C$4:$C$4996,MATCH(D3600,Produtos!$B$4:$B$4996,0)),"Produto não encontrado"),"")</f>
        <v/>
      </c>
    </row>
    <row r="3601" spans="1:5" x14ac:dyDescent="0.3">
      <c r="A3601" s="21" t="str">
        <f t="shared" si="56"/>
        <v>.</v>
      </c>
      <c r="D3601" s="44"/>
      <c r="E3601" s="22" t="str">
        <f>IF(D3601&lt;&gt;"",IFERROR(INDEX(Produtos!$C$4:$C$4996,MATCH(D3601,Produtos!$B$4:$B$4996,0)),"Produto não encontrado"),"")</f>
        <v/>
      </c>
    </row>
    <row r="3602" spans="1:5" x14ac:dyDescent="0.3">
      <c r="A3602" s="21" t="str">
        <f t="shared" si="56"/>
        <v>.</v>
      </c>
      <c r="D3602" s="44"/>
      <c r="E3602" s="22" t="str">
        <f>IF(D3602&lt;&gt;"",IFERROR(INDEX(Produtos!$C$4:$C$4996,MATCH(D3602,Produtos!$B$4:$B$4996,0)),"Produto não encontrado"),"")</f>
        <v/>
      </c>
    </row>
    <row r="3603" spans="1:5" x14ac:dyDescent="0.3">
      <c r="A3603" s="21" t="str">
        <f t="shared" si="56"/>
        <v>.</v>
      </c>
      <c r="D3603" s="44"/>
      <c r="E3603" s="22" t="str">
        <f>IF(D3603&lt;&gt;"",IFERROR(INDEX(Produtos!$C$4:$C$4996,MATCH(D3603,Produtos!$B$4:$B$4996,0)),"Produto não encontrado"),"")</f>
        <v/>
      </c>
    </row>
    <row r="3604" spans="1:5" x14ac:dyDescent="0.3">
      <c r="A3604" s="21" t="str">
        <f t="shared" si="56"/>
        <v>.</v>
      </c>
      <c r="D3604" s="44"/>
      <c r="E3604" s="22" t="str">
        <f>IF(D3604&lt;&gt;"",IFERROR(INDEX(Produtos!$C$4:$C$4996,MATCH(D3604,Produtos!$B$4:$B$4996,0)),"Produto não encontrado"),"")</f>
        <v/>
      </c>
    </row>
    <row r="3605" spans="1:5" x14ac:dyDescent="0.3">
      <c r="A3605" s="21" t="str">
        <f t="shared" si="56"/>
        <v>.</v>
      </c>
      <c r="D3605" s="44"/>
      <c r="E3605" s="22" t="str">
        <f>IF(D3605&lt;&gt;"",IFERROR(INDEX(Produtos!$C$4:$C$4996,MATCH(D3605,Produtos!$B$4:$B$4996,0)),"Produto não encontrado"),"")</f>
        <v/>
      </c>
    </row>
    <row r="3606" spans="1:5" x14ac:dyDescent="0.3">
      <c r="A3606" s="21" t="str">
        <f t="shared" si="56"/>
        <v>.</v>
      </c>
      <c r="D3606" s="44"/>
      <c r="E3606" s="22" t="str">
        <f>IF(D3606&lt;&gt;"",IFERROR(INDEX(Produtos!$C$4:$C$4996,MATCH(D3606,Produtos!$B$4:$B$4996,0)),"Produto não encontrado"),"")</f>
        <v/>
      </c>
    </row>
    <row r="3607" spans="1:5" x14ac:dyDescent="0.3">
      <c r="A3607" s="21" t="str">
        <f t="shared" si="56"/>
        <v>.</v>
      </c>
      <c r="D3607" s="44"/>
      <c r="E3607" s="22" t="str">
        <f>IF(D3607&lt;&gt;"",IFERROR(INDEX(Produtos!$C$4:$C$4996,MATCH(D3607,Produtos!$B$4:$B$4996,0)),"Produto não encontrado"),"")</f>
        <v/>
      </c>
    </row>
    <row r="3608" spans="1:5" x14ac:dyDescent="0.3">
      <c r="A3608" s="21" t="str">
        <f t="shared" si="56"/>
        <v>.</v>
      </c>
      <c r="D3608" s="44"/>
      <c r="E3608" s="22" t="str">
        <f>IF(D3608&lt;&gt;"",IFERROR(INDEX(Produtos!$C$4:$C$4996,MATCH(D3608,Produtos!$B$4:$B$4996,0)),"Produto não encontrado"),"")</f>
        <v/>
      </c>
    </row>
    <row r="3609" spans="1:5" x14ac:dyDescent="0.3">
      <c r="A3609" s="21" t="str">
        <f t="shared" si="56"/>
        <v>.</v>
      </c>
      <c r="D3609" s="44"/>
      <c r="E3609" s="22" t="str">
        <f>IF(D3609&lt;&gt;"",IFERROR(INDEX(Produtos!$C$4:$C$4996,MATCH(D3609,Produtos!$B$4:$B$4996,0)),"Produto não encontrado"),"")</f>
        <v/>
      </c>
    </row>
    <row r="3610" spans="1:5" x14ac:dyDescent="0.3">
      <c r="A3610" s="21" t="str">
        <f t="shared" si="56"/>
        <v>.</v>
      </c>
      <c r="D3610" s="44"/>
      <c r="E3610" s="22" t="str">
        <f>IF(D3610&lt;&gt;"",IFERROR(INDEX(Produtos!$C$4:$C$4996,MATCH(D3610,Produtos!$B$4:$B$4996,0)),"Produto não encontrado"),"")</f>
        <v/>
      </c>
    </row>
    <row r="3611" spans="1:5" x14ac:dyDescent="0.3">
      <c r="A3611" s="21" t="str">
        <f t="shared" si="56"/>
        <v>.</v>
      </c>
      <c r="D3611" s="44"/>
      <c r="E3611" s="22" t="str">
        <f>IF(D3611&lt;&gt;"",IFERROR(INDEX(Produtos!$C$4:$C$4996,MATCH(D3611,Produtos!$B$4:$B$4996,0)),"Produto não encontrado"),"")</f>
        <v/>
      </c>
    </row>
    <row r="3612" spans="1:5" x14ac:dyDescent="0.3">
      <c r="A3612" s="21" t="str">
        <f t="shared" si="56"/>
        <v>.</v>
      </c>
      <c r="D3612" s="44"/>
      <c r="E3612" s="22" t="str">
        <f>IF(D3612&lt;&gt;"",IFERROR(INDEX(Produtos!$C$4:$C$4996,MATCH(D3612,Produtos!$B$4:$B$4996,0)),"Produto não encontrado"),"")</f>
        <v/>
      </c>
    </row>
    <row r="3613" spans="1:5" x14ac:dyDescent="0.3">
      <c r="A3613" s="21" t="str">
        <f t="shared" si="56"/>
        <v>.</v>
      </c>
      <c r="D3613" s="44"/>
      <c r="E3613" s="22" t="str">
        <f>IF(D3613&lt;&gt;"",IFERROR(INDEX(Produtos!$C$4:$C$4996,MATCH(D3613,Produtos!$B$4:$B$4996,0)),"Produto não encontrado"),"")</f>
        <v/>
      </c>
    </row>
    <row r="3614" spans="1:5" x14ac:dyDescent="0.3">
      <c r="A3614" s="21" t="str">
        <f t="shared" si="56"/>
        <v>.</v>
      </c>
      <c r="D3614" s="44"/>
      <c r="E3614" s="22" t="str">
        <f>IF(D3614&lt;&gt;"",IFERROR(INDEX(Produtos!$C$4:$C$4996,MATCH(D3614,Produtos!$B$4:$B$4996,0)),"Produto não encontrado"),"")</f>
        <v/>
      </c>
    </row>
    <row r="3615" spans="1:5" x14ac:dyDescent="0.3">
      <c r="A3615" s="21" t="str">
        <f t="shared" si="56"/>
        <v>.</v>
      </c>
      <c r="D3615" s="44"/>
      <c r="E3615" s="22" t="str">
        <f>IF(D3615&lt;&gt;"",IFERROR(INDEX(Produtos!$C$4:$C$4996,MATCH(D3615,Produtos!$B$4:$B$4996,0)),"Produto não encontrado"),"")</f>
        <v/>
      </c>
    </row>
    <row r="3616" spans="1:5" x14ac:dyDescent="0.3">
      <c r="A3616" s="21" t="str">
        <f t="shared" si="56"/>
        <v>.</v>
      </c>
      <c r="D3616" s="44"/>
      <c r="E3616" s="22" t="str">
        <f>IF(D3616&lt;&gt;"",IFERROR(INDEX(Produtos!$C$4:$C$4996,MATCH(D3616,Produtos!$B$4:$B$4996,0)),"Produto não encontrado"),"")</f>
        <v/>
      </c>
    </row>
    <row r="3617" spans="1:5" x14ac:dyDescent="0.3">
      <c r="A3617" s="21" t="str">
        <f t="shared" si="56"/>
        <v>.</v>
      </c>
      <c r="D3617" s="44"/>
      <c r="E3617" s="22" t="str">
        <f>IF(D3617&lt;&gt;"",IFERROR(INDEX(Produtos!$C$4:$C$4996,MATCH(D3617,Produtos!$B$4:$B$4996,0)),"Produto não encontrado"),"")</f>
        <v/>
      </c>
    </row>
    <row r="3618" spans="1:5" x14ac:dyDescent="0.3">
      <c r="A3618" s="21" t="str">
        <f t="shared" si="56"/>
        <v>.</v>
      </c>
      <c r="D3618" s="44"/>
      <c r="E3618" s="22" t="str">
        <f>IF(D3618&lt;&gt;"",IFERROR(INDEX(Produtos!$C$4:$C$4996,MATCH(D3618,Produtos!$B$4:$B$4996,0)),"Produto não encontrado"),"")</f>
        <v/>
      </c>
    </row>
    <row r="3619" spans="1:5" x14ac:dyDescent="0.3">
      <c r="A3619" s="21" t="str">
        <f t="shared" si="56"/>
        <v>.</v>
      </c>
      <c r="D3619" s="44"/>
      <c r="E3619" s="22" t="str">
        <f>IF(D3619&lt;&gt;"",IFERROR(INDEX(Produtos!$C$4:$C$4996,MATCH(D3619,Produtos!$B$4:$B$4996,0)),"Produto não encontrado"),"")</f>
        <v/>
      </c>
    </row>
    <row r="3620" spans="1:5" x14ac:dyDescent="0.3">
      <c r="A3620" s="21" t="str">
        <f t="shared" si="56"/>
        <v>.</v>
      </c>
      <c r="D3620" s="44"/>
      <c r="E3620" s="22" t="str">
        <f>IF(D3620&lt;&gt;"",IFERROR(INDEX(Produtos!$C$4:$C$4996,MATCH(D3620,Produtos!$B$4:$B$4996,0)),"Produto não encontrado"),"")</f>
        <v/>
      </c>
    </row>
    <row r="3621" spans="1:5" x14ac:dyDescent="0.3">
      <c r="A3621" s="21" t="str">
        <f t="shared" si="56"/>
        <v>.</v>
      </c>
      <c r="D3621" s="44"/>
      <c r="E3621" s="22" t="str">
        <f>IF(D3621&lt;&gt;"",IFERROR(INDEX(Produtos!$C$4:$C$4996,MATCH(D3621,Produtos!$B$4:$B$4996,0)),"Produto não encontrado"),"")</f>
        <v/>
      </c>
    </row>
    <row r="3622" spans="1:5" x14ac:dyDescent="0.3">
      <c r="A3622" s="21" t="str">
        <f t="shared" si="56"/>
        <v>.</v>
      </c>
      <c r="D3622" s="44"/>
      <c r="E3622" s="22" t="str">
        <f>IF(D3622&lt;&gt;"",IFERROR(INDEX(Produtos!$C$4:$C$4996,MATCH(D3622,Produtos!$B$4:$B$4996,0)),"Produto não encontrado"),"")</f>
        <v/>
      </c>
    </row>
    <row r="3623" spans="1:5" x14ac:dyDescent="0.3">
      <c r="A3623" s="21" t="str">
        <f t="shared" si="56"/>
        <v>.</v>
      </c>
      <c r="D3623" s="44"/>
      <c r="E3623" s="22" t="str">
        <f>IF(D3623&lt;&gt;"",IFERROR(INDEX(Produtos!$C$4:$C$4996,MATCH(D3623,Produtos!$B$4:$B$4996,0)),"Produto não encontrado"),"")</f>
        <v/>
      </c>
    </row>
    <row r="3624" spans="1:5" x14ac:dyDescent="0.3">
      <c r="A3624" s="21" t="str">
        <f t="shared" si="56"/>
        <v>.</v>
      </c>
      <c r="D3624" s="44"/>
      <c r="E3624" s="22" t="str">
        <f>IF(D3624&lt;&gt;"",IFERROR(INDEX(Produtos!$C$4:$C$4996,MATCH(D3624,Produtos!$B$4:$B$4996,0)),"Produto não encontrado"),"")</f>
        <v/>
      </c>
    </row>
    <row r="3625" spans="1:5" x14ac:dyDescent="0.3">
      <c r="A3625" s="21" t="str">
        <f t="shared" si="56"/>
        <v>.</v>
      </c>
      <c r="D3625" s="44"/>
      <c r="E3625" s="22" t="str">
        <f>IF(D3625&lt;&gt;"",IFERROR(INDEX(Produtos!$C$4:$C$4996,MATCH(D3625,Produtos!$B$4:$B$4996,0)),"Produto não encontrado"),"")</f>
        <v/>
      </c>
    </row>
    <row r="3626" spans="1:5" x14ac:dyDescent="0.3">
      <c r="A3626" s="21" t="str">
        <f t="shared" si="56"/>
        <v>.</v>
      </c>
      <c r="D3626" s="44"/>
      <c r="E3626" s="22" t="str">
        <f>IF(D3626&lt;&gt;"",IFERROR(INDEX(Produtos!$C$4:$C$4996,MATCH(D3626,Produtos!$B$4:$B$4996,0)),"Produto não encontrado"),"")</f>
        <v/>
      </c>
    </row>
    <row r="3627" spans="1:5" x14ac:dyDescent="0.3">
      <c r="A3627" s="21" t="str">
        <f t="shared" si="56"/>
        <v>.</v>
      </c>
      <c r="D3627" s="44"/>
      <c r="E3627" s="22" t="str">
        <f>IF(D3627&lt;&gt;"",IFERROR(INDEX(Produtos!$C$4:$C$4996,MATCH(D3627,Produtos!$B$4:$B$4996,0)),"Produto não encontrado"),"")</f>
        <v/>
      </c>
    </row>
    <row r="3628" spans="1:5" x14ac:dyDescent="0.3">
      <c r="A3628" s="21" t="str">
        <f t="shared" si="56"/>
        <v>.</v>
      </c>
      <c r="D3628" s="44"/>
      <c r="E3628" s="22" t="str">
        <f>IF(D3628&lt;&gt;"",IFERROR(INDEX(Produtos!$C$4:$C$4996,MATCH(D3628,Produtos!$B$4:$B$4996,0)),"Produto não encontrado"),"")</f>
        <v/>
      </c>
    </row>
    <row r="3629" spans="1:5" x14ac:dyDescent="0.3">
      <c r="A3629" s="21" t="str">
        <f t="shared" si="56"/>
        <v>.</v>
      </c>
      <c r="D3629" s="44"/>
      <c r="E3629" s="22" t="str">
        <f>IF(D3629&lt;&gt;"",IFERROR(INDEX(Produtos!$C$4:$C$4996,MATCH(D3629,Produtos!$B$4:$B$4996,0)),"Produto não encontrado"),"")</f>
        <v/>
      </c>
    </row>
    <row r="3630" spans="1:5" x14ac:dyDescent="0.3">
      <c r="A3630" s="21" t="str">
        <f t="shared" si="56"/>
        <v>.</v>
      </c>
      <c r="D3630" s="44"/>
      <c r="E3630" s="22" t="str">
        <f>IF(D3630&lt;&gt;"",IFERROR(INDEX(Produtos!$C$4:$C$4996,MATCH(D3630,Produtos!$B$4:$B$4996,0)),"Produto não encontrado"),"")</f>
        <v/>
      </c>
    </row>
    <row r="3631" spans="1:5" x14ac:dyDescent="0.3">
      <c r="A3631" s="21" t="str">
        <f t="shared" si="56"/>
        <v>.</v>
      </c>
      <c r="D3631" s="44"/>
      <c r="E3631" s="22" t="str">
        <f>IF(D3631&lt;&gt;"",IFERROR(INDEX(Produtos!$C$4:$C$4996,MATCH(D3631,Produtos!$B$4:$B$4996,0)),"Produto não encontrado"),"")</f>
        <v/>
      </c>
    </row>
    <row r="3632" spans="1:5" x14ac:dyDescent="0.3">
      <c r="A3632" s="21" t="str">
        <f t="shared" si="56"/>
        <v>.</v>
      </c>
      <c r="D3632" s="44"/>
      <c r="E3632" s="22" t="str">
        <f>IF(D3632&lt;&gt;"",IFERROR(INDEX(Produtos!$C$4:$C$4996,MATCH(D3632,Produtos!$B$4:$B$4996,0)),"Produto não encontrado"),"")</f>
        <v/>
      </c>
    </row>
    <row r="3633" spans="1:5" x14ac:dyDescent="0.3">
      <c r="A3633" s="21" t="str">
        <f t="shared" si="56"/>
        <v>.</v>
      </c>
      <c r="D3633" s="44"/>
      <c r="E3633" s="22" t="str">
        <f>IF(D3633&lt;&gt;"",IFERROR(INDEX(Produtos!$C$4:$C$4996,MATCH(D3633,Produtos!$B$4:$B$4996,0)),"Produto não encontrado"),"")</f>
        <v/>
      </c>
    </row>
    <row r="3634" spans="1:5" x14ac:dyDescent="0.3">
      <c r="A3634" s="21" t="str">
        <f t="shared" si="56"/>
        <v>.</v>
      </c>
      <c r="D3634" s="44"/>
      <c r="E3634" s="22" t="str">
        <f>IF(D3634&lt;&gt;"",IFERROR(INDEX(Produtos!$C$4:$C$4996,MATCH(D3634,Produtos!$B$4:$B$4996,0)),"Produto não encontrado"),"")</f>
        <v/>
      </c>
    </row>
    <row r="3635" spans="1:5" x14ac:dyDescent="0.3">
      <c r="A3635" s="21" t="str">
        <f t="shared" si="56"/>
        <v>.</v>
      </c>
      <c r="D3635" s="44"/>
      <c r="E3635" s="22" t="str">
        <f>IF(D3635&lt;&gt;"",IFERROR(INDEX(Produtos!$C$4:$C$4996,MATCH(D3635,Produtos!$B$4:$B$4996,0)),"Produto não encontrado"),"")</f>
        <v/>
      </c>
    </row>
    <row r="3636" spans="1:5" x14ac:dyDescent="0.3">
      <c r="A3636" s="21" t="str">
        <f t="shared" si="56"/>
        <v>.</v>
      </c>
      <c r="D3636" s="44"/>
      <c r="E3636" s="22" t="str">
        <f>IF(D3636&lt;&gt;"",IFERROR(INDEX(Produtos!$C$4:$C$4996,MATCH(D3636,Produtos!$B$4:$B$4996,0)),"Produto não encontrado"),"")</f>
        <v/>
      </c>
    </row>
    <row r="3637" spans="1:5" x14ac:dyDescent="0.3">
      <c r="A3637" s="21" t="str">
        <f t="shared" si="56"/>
        <v>.</v>
      </c>
      <c r="D3637" s="44"/>
      <c r="E3637" s="22" t="str">
        <f>IF(D3637&lt;&gt;"",IFERROR(INDEX(Produtos!$C$4:$C$4996,MATCH(D3637,Produtos!$B$4:$B$4996,0)),"Produto não encontrado"),"")</f>
        <v/>
      </c>
    </row>
    <row r="3638" spans="1:5" x14ac:dyDescent="0.3">
      <c r="A3638" s="21" t="str">
        <f t="shared" si="56"/>
        <v>.</v>
      </c>
      <c r="D3638" s="44"/>
      <c r="E3638" s="22" t="str">
        <f>IF(D3638&lt;&gt;"",IFERROR(INDEX(Produtos!$C$4:$C$4996,MATCH(D3638,Produtos!$B$4:$B$4996,0)),"Produto não encontrado"),"")</f>
        <v/>
      </c>
    </row>
    <row r="3639" spans="1:5" x14ac:dyDescent="0.3">
      <c r="A3639" s="21" t="str">
        <f t="shared" si="56"/>
        <v>.</v>
      </c>
      <c r="D3639" s="44"/>
      <c r="E3639" s="22" t="str">
        <f>IF(D3639&lt;&gt;"",IFERROR(INDEX(Produtos!$C$4:$C$4996,MATCH(D3639,Produtos!$B$4:$B$4996,0)),"Produto não encontrado"),"")</f>
        <v/>
      </c>
    </row>
    <row r="3640" spans="1:5" x14ac:dyDescent="0.3">
      <c r="A3640" s="21" t="str">
        <f t="shared" si="56"/>
        <v>.</v>
      </c>
      <c r="D3640" s="44"/>
      <c r="E3640" s="22" t="str">
        <f>IF(D3640&lt;&gt;"",IFERROR(INDEX(Produtos!$C$4:$C$4996,MATCH(D3640,Produtos!$B$4:$B$4996,0)),"Produto não encontrado"),"")</f>
        <v/>
      </c>
    </row>
    <row r="3641" spans="1:5" x14ac:dyDescent="0.3">
      <c r="A3641" s="21" t="str">
        <f t="shared" si="56"/>
        <v>.</v>
      </c>
      <c r="D3641" s="44"/>
      <c r="E3641" s="22" t="str">
        <f>IF(D3641&lt;&gt;"",IFERROR(INDEX(Produtos!$C$4:$C$4996,MATCH(D3641,Produtos!$B$4:$B$4996,0)),"Produto não encontrado"),"")</f>
        <v/>
      </c>
    </row>
    <row r="3642" spans="1:5" x14ac:dyDescent="0.3">
      <c r="A3642" s="21" t="str">
        <f t="shared" si="56"/>
        <v>.</v>
      </c>
      <c r="D3642" s="44"/>
      <c r="E3642" s="22" t="str">
        <f>IF(D3642&lt;&gt;"",IFERROR(INDEX(Produtos!$C$4:$C$4996,MATCH(D3642,Produtos!$B$4:$B$4996,0)),"Produto não encontrado"),"")</f>
        <v/>
      </c>
    </row>
    <row r="3643" spans="1:5" x14ac:dyDescent="0.3">
      <c r="A3643" s="21" t="str">
        <f t="shared" si="56"/>
        <v>.</v>
      </c>
      <c r="D3643" s="44"/>
      <c r="E3643" s="22" t="str">
        <f>IF(D3643&lt;&gt;"",IFERROR(INDEX(Produtos!$C$4:$C$4996,MATCH(D3643,Produtos!$B$4:$B$4996,0)),"Produto não encontrado"),"")</f>
        <v/>
      </c>
    </row>
    <row r="3644" spans="1:5" x14ac:dyDescent="0.3">
      <c r="A3644" s="21" t="str">
        <f t="shared" si="56"/>
        <v>.</v>
      </c>
      <c r="D3644" s="44"/>
      <c r="E3644" s="22" t="str">
        <f>IF(D3644&lt;&gt;"",IFERROR(INDEX(Produtos!$C$4:$C$4996,MATCH(D3644,Produtos!$B$4:$B$4996,0)),"Produto não encontrado"),"")</f>
        <v/>
      </c>
    </row>
    <row r="3645" spans="1:5" x14ac:dyDescent="0.3">
      <c r="A3645" s="21" t="str">
        <f t="shared" si="56"/>
        <v>.</v>
      </c>
      <c r="D3645" s="44"/>
      <c r="E3645" s="22" t="str">
        <f>IF(D3645&lt;&gt;"",IFERROR(INDEX(Produtos!$C$4:$C$4996,MATCH(D3645,Produtos!$B$4:$B$4996,0)),"Produto não encontrado"),"")</f>
        <v/>
      </c>
    </row>
    <row r="3646" spans="1:5" x14ac:dyDescent="0.3">
      <c r="A3646" s="21" t="str">
        <f t="shared" si="56"/>
        <v>.</v>
      </c>
      <c r="D3646" s="44"/>
      <c r="E3646" s="22" t="str">
        <f>IF(D3646&lt;&gt;"",IFERROR(INDEX(Produtos!$C$4:$C$4996,MATCH(D3646,Produtos!$B$4:$B$4996,0)),"Produto não encontrado"),"")</f>
        <v/>
      </c>
    </row>
    <row r="3647" spans="1:5" x14ac:dyDescent="0.3">
      <c r="A3647" s="21" t="str">
        <f t="shared" si="56"/>
        <v>.</v>
      </c>
      <c r="D3647" s="44"/>
      <c r="E3647" s="22" t="str">
        <f>IF(D3647&lt;&gt;"",IFERROR(INDEX(Produtos!$C$4:$C$4996,MATCH(D3647,Produtos!$B$4:$B$4996,0)),"Produto não encontrado"),"")</f>
        <v/>
      </c>
    </row>
    <row r="3648" spans="1:5" x14ac:dyDescent="0.3">
      <c r="A3648" s="21" t="str">
        <f t="shared" ref="A3648:A3711" si="57">IF(C3648="Entrada",2,IF(C3648="Saída",1,"."))</f>
        <v>.</v>
      </c>
      <c r="D3648" s="44"/>
      <c r="E3648" s="22" t="str">
        <f>IF(D3648&lt;&gt;"",IFERROR(INDEX(Produtos!$C$4:$C$4996,MATCH(D3648,Produtos!$B$4:$B$4996,0)),"Produto não encontrado"),"")</f>
        <v/>
      </c>
    </row>
    <row r="3649" spans="1:5" x14ac:dyDescent="0.3">
      <c r="A3649" s="21" t="str">
        <f t="shared" si="57"/>
        <v>.</v>
      </c>
      <c r="D3649" s="44"/>
      <c r="E3649" s="22" t="str">
        <f>IF(D3649&lt;&gt;"",IFERROR(INDEX(Produtos!$C$4:$C$4996,MATCH(D3649,Produtos!$B$4:$B$4996,0)),"Produto não encontrado"),"")</f>
        <v/>
      </c>
    </row>
    <row r="3650" spans="1:5" x14ac:dyDescent="0.3">
      <c r="A3650" s="21" t="str">
        <f t="shared" si="57"/>
        <v>.</v>
      </c>
      <c r="D3650" s="44"/>
      <c r="E3650" s="22" t="str">
        <f>IF(D3650&lt;&gt;"",IFERROR(INDEX(Produtos!$C$4:$C$4996,MATCH(D3650,Produtos!$B$4:$B$4996,0)),"Produto não encontrado"),"")</f>
        <v/>
      </c>
    </row>
    <row r="3651" spans="1:5" x14ac:dyDescent="0.3">
      <c r="A3651" s="21" t="str">
        <f t="shared" si="57"/>
        <v>.</v>
      </c>
      <c r="D3651" s="44"/>
      <c r="E3651" s="22" t="str">
        <f>IF(D3651&lt;&gt;"",IFERROR(INDEX(Produtos!$C$4:$C$4996,MATCH(D3651,Produtos!$B$4:$B$4996,0)),"Produto não encontrado"),"")</f>
        <v/>
      </c>
    </row>
    <row r="3652" spans="1:5" x14ac:dyDescent="0.3">
      <c r="A3652" s="21" t="str">
        <f t="shared" si="57"/>
        <v>.</v>
      </c>
      <c r="D3652" s="44"/>
      <c r="E3652" s="22" t="str">
        <f>IF(D3652&lt;&gt;"",IFERROR(INDEX(Produtos!$C$4:$C$4996,MATCH(D3652,Produtos!$B$4:$B$4996,0)),"Produto não encontrado"),"")</f>
        <v/>
      </c>
    </row>
    <row r="3653" spans="1:5" x14ac:dyDescent="0.3">
      <c r="A3653" s="21" t="str">
        <f t="shared" si="57"/>
        <v>.</v>
      </c>
      <c r="D3653" s="44"/>
      <c r="E3653" s="22" t="str">
        <f>IF(D3653&lt;&gt;"",IFERROR(INDEX(Produtos!$C$4:$C$4996,MATCH(D3653,Produtos!$B$4:$B$4996,0)),"Produto não encontrado"),"")</f>
        <v/>
      </c>
    </row>
    <row r="3654" spans="1:5" x14ac:dyDescent="0.3">
      <c r="A3654" s="21" t="str">
        <f t="shared" si="57"/>
        <v>.</v>
      </c>
      <c r="D3654" s="44"/>
      <c r="E3654" s="22" t="str">
        <f>IF(D3654&lt;&gt;"",IFERROR(INDEX(Produtos!$C$4:$C$4996,MATCH(D3654,Produtos!$B$4:$B$4996,0)),"Produto não encontrado"),"")</f>
        <v/>
      </c>
    </row>
    <row r="3655" spans="1:5" x14ac:dyDescent="0.3">
      <c r="A3655" s="21" t="str">
        <f t="shared" si="57"/>
        <v>.</v>
      </c>
      <c r="D3655" s="44"/>
      <c r="E3655" s="22" t="str">
        <f>IF(D3655&lt;&gt;"",IFERROR(INDEX(Produtos!$C$4:$C$4996,MATCH(D3655,Produtos!$B$4:$B$4996,0)),"Produto não encontrado"),"")</f>
        <v/>
      </c>
    </row>
    <row r="3656" spans="1:5" x14ac:dyDescent="0.3">
      <c r="A3656" s="21" t="str">
        <f t="shared" si="57"/>
        <v>.</v>
      </c>
      <c r="D3656" s="44"/>
      <c r="E3656" s="22" t="str">
        <f>IF(D3656&lt;&gt;"",IFERROR(INDEX(Produtos!$C$4:$C$4996,MATCH(D3656,Produtos!$B$4:$B$4996,0)),"Produto não encontrado"),"")</f>
        <v/>
      </c>
    </row>
    <row r="3657" spans="1:5" x14ac:dyDescent="0.3">
      <c r="A3657" s="21" t="str">
        <f t="shared" si="57"/>
        <v>.</v>
      </c>
      <c r="D3657" s="44"/>
      <c r="E3657" s="22" t="str">
        <f>IF(D3657&lt;&gt;"",IFERROR(INDEX(Produtos!$C$4:$C$4996,MATCH(D3657,Produtos!$B$4:$B$4996,0)),"Produto não encontrado"),"")</f>
        <v/>
      </c>
    </row>
    <row r="3658" spans="1:5" x14ac:dyDescent="0.3">
      <c r="A3658" s="21" t="str">
        <f t="shared" si="57"/>
        <v>.</v>
      </c>
      <c r="D3658" s="44"/>
      <c r="E3658" s="22" t="str">
        <f>IF(D3658&lt;&gt;"",IFERROR(INDEX(Produtos!$C$4:$C$4996,MATCH(D3658,Produtos!$B$4:$B$4996,0)),"Produto não encontrado"),"")</f>
        <v/>
      </c>
    </row>
    <row r="3659" spans="1:5" x14ac:dyDescent="0.3">
      <c r="A3659" s="21" t="str">
        <f t="shared" si="57"/>
        <v>.</v>
      </c>
      <c r="D3659" s="44"/>
      <c r="E3659" s="22" t="str">
        <f>IF(D3659&lt;&gt;"",IFERROR(INDEX(Produtos!$C$4:$C$4996,MATCH(D3659,Produtos!$B$4:$B$4996,0)),"Produto não encontrado"),"")</f>
        <v/>
      </c>
    </row>
    <row r="3660" spans="1:5" x14ac:dyDescent="0.3">
      <c r="A3660" s="21" t="str">
        <f t="shared" si="57"/>
        <v>.</v>
      </c>
      <c r="D3660" s="44"/>
      <c r="E3660" s="22" t="str">
        <f>IF(D3660&lt;&gt;"",IFERROR(INDEX(Produtos!$C$4:$C$4996,MATCH(D3660,Produtos!$B$4:$B$4996,0)),"Produto não encontrado"),"")</f>
        <v/>
      </c>
    </row>
    <row r="3661" spans="1:5" x14ac:dyDescent="0.3">
      <c r="A3661" s="21" t="str">
        <f t="shared" si="57"/>
        <v>.</v>
      </c>
      <c r="D3661" s="44"/>
      <c r="E3661" s="22" t="str">
        <f>IF(D3661&lt;&gt;"",IFERROR(INDEX(Produtos!$C$4:$C$4996,MATCH(D3661,Produtos!$B$4:$B$4996,0)),"Produto não encontrado"),"")</f>
        <v/>
      </c>
    </row>
    <row r="3662" spans="1:5" x14ac:dyDescent="0.3">
      <c r="A3662" s="21" t="str">
        <f t="shared" si="57"/>
        <v>.</v>
      </c>
      <c r="D3662" s="44"/>
      <c r="E3662" s="22" t="str">
        <f>IF(D3662&lt;&gt;"",IFERROR(INDEX(Produtos!$C$4:$C$4996,MATCH(D3662,Produtos!$B$4:$B$4996,0)),"Produto não encontrado"),"")</f>
        <v/>
      </c>
    </row>
    <row r="3663" spans="1:5" x14ac:dyDescent="0.3">
      <c r="A3663" s="21" t="str">
        <f t="shared" si="57"/>
        <v>.</v>
      </c>
      <c r="D3663" s="44"/>
      <c r="E3663" s="22" t="str">
        <f>IF(D3663&lt;&gt;"",IFERROR(INDEX(Produtos!$C$4:$C$4996,MATCH(D3663,Produtos!$B$4:$B$4996,0)),"Produto não encontrado"),"")</f>
        <v/>
      </c>
    </row>
    <row r="3664" spans="1:5" x14ac:dyDescent="0.3">
      <c r="A3664" s="21" t="str">
        <f t="shared" si="57"/>
        <v>.</v>
      </c>
      <c r="D3664" s="44"/>
      <c r="E3664" s="22" t="str">
        <f>IF(D3664&lt;&gt;"",IFERROR(INDEX(Produtos!$C$4:$C$4996,MATCH(D3664,Produtos!$B$4:$B$4996,0)),"Produto não encontrado"),"")</f>
        <v/>
      </c>
    </row>
    <row r="3665" spans="1:5" x14ac:dyDescent="0.3">
      <c r="A3665" s="21" t="str">
        <f t="shared" si="57"/>
        <v>.</v>
      </c>
      <c r="D3665" s="44"/>
      <c r="E3665" s="22" t="str">
        <f>IF(D3665&lt;&gt;"",IFERROR(INDEX(Produtos!$C$4:$C$4996,MATCH(D3665,Produtos!$B$4:$B$4996,0)),"Produto não encontrado"),"")</f>
        <v/>
      </c>
    </row>
    <row r="3666" spans="1:5" x14ac:dyDescent="0.3">
      <c r="A3666" s="21" t="str">
        <f t="shared" si="57"/>
        <v>.</v>
      </c>
      <c r="D3666" s="44"/>
      <c r="E3666" s="22" t="str">
        <f>IF(D3666&lt;&gt;"",IFERROR(INDEX(Produtos!$C$4:$C$4996,MATCH(D3666,Produtos!$B$4:$B$4996,0)),"Produto não encontrado"),"")</f>
        <v/>
      </c>
    </row>
    <row r="3667" spans="1:5" x14ac:dyDescent="0.3">
      <c r="A3667" s="21" t="str">
        <f t="shared" si="57"/>
        <v>.</v>
      </c>
      <c r="D3667" s="44"/>
      <c r="E3667" s="22" t="str">
        <f>IF(D3667&lt;&gt;"",IFERROR(INDEX(Produtos!$C$4:$C$4996,MATCH(D3667,Produtos!$B$4:$B$4996,0)),"Produto não encontrado"),"")</f>
        <v/>
      </c>
    </row>
    <row r="3668" spans="1:5" x14ac:dyDescent="0.3">
      <c r="A3668" s="21" t="str">
        <f t="shared" si="57"/>
        <v>.</v>
      </c>
      <c r="D3668" s="44"/>
      <c r="E3668" s="22" t="str">
        <f>IF(D3668&lt;&gt;"",IFERROR(INDEX(Produtos!$C$4:$C$4996,MATCH(D3668,Produtos!$B$4:$B$4996,0)),"Produto não encontrado"),"")</f>
        <v/>
      </c>
    </row>
    <row r="3669" spans="1:5" x14ac:dyDescent="0.3">
      <c r="A3669" s="21" t="str">
        <f t="shared" si="57"/>
        <v>.</v>
      </c>
      <c r="D3669" s="44"/>
      <c r="E3669" s="22" t="str">
        <f>IF(D3669&lt;&gt;"",IFERROR(INDEX(Produtos!$C$4:$C$4996,MATCH(D3669,Produtos!$B$4:$B$4996,0)),"Produto não encontrado"),"")</f>
        <v/>
      </c>
    </row>
    <row r="3670" spans="1:5" x14ac:dyDescent="0.3">
      <c r="A3670" s="21" t="str">
        <f t="shared" si="57"/>
        <v>.</v>
      </c>
      <c r="D3670" s="44"/>
      <c r="E3670" s="22" t="str">
        <f>IF(D3670&lt;&gt;"",IFERROR(INDEX(Produtos!$C$4:$C$4996,MATCH(D3670,Produtos!$B$4:$B$4996,0)),"Produto não encontrado"),"")</f>
        <v/>
      </c>
    </row>
    <row r="3671" spans="1:5" x14ac:dyDescent="0.3">
      <c r="A3671" s="21" t="str">
        <f t="shared" si="57"/>
        <v>.</v>
      </c>
      <c r="D3671" s="44"/>
      <c r="E3671" s="22" t="str">
        <f>IF(D3671&lt;&gt;"",IFERROR(INDEX(Produtos!$C$4:$C$4996,MATCH(D3671,Produtos!$B$4:$B$4996,0)),"Produto não encontrado"),"")</f>
        <v/>
      </c>
    </row>
    <row r="3672" spans="1:5" x14ac:dyDescent="0.3">
      <c r="A3672" s="21" t="str">
        <f t="shared" si="57"/>
        <v>.</v>
      </c>
      <c r="D3672" s="44"/>
      <c r="E3672" s="22" t="str">
        <f>IF(D3672&lt;&gt;"",IFERROR(INDEX(Produtos!$C$4:$C$4996,MATCH(D3672,Produtos!$B$4:$B$4996,0)),"Produto não encontrado"),"")</f>
        <v/>
      </c>
    </row>
    <row r="3673" spans="1:5" x14ac:dyDescent="0.3">
      <c r="A3673" s="21" t="str">
        <f t="shared" si="57"/>
        <v>.</v>
      </c>
      <c r="D3673" s="44"/>
      <c r="E3673" s="22" t="str">
        <f>IF(D3673&lt;&gt;"",IFERROR(INDEX(Produtos!$C$4:$C$4996,MATCH(D3673,Produtos!$B$4:$B$4996,0)),"Produto não encontrado"),"")</f>
        <v/>
      </c>
    </row>
    <row r="3674" spans="1:5" x14ac:dyDescent="0.3">
      <c r="A3674" s="21" t="str">
        <f t="shared" si="57"/>
        <v>.</v>
      </c>
      <c r="D3674" s="44"/>
      <c r="E3674" s="22" t="str">
        <f>IF(D3674&lt;&gt;"",IFERROR(INDEX(Produtos!$C$4:$C$4996,MATCH(D3674,Produtos!$B$4:$B$4996,0)),"Produto não encontrado"),"")</f>
        <v/>
      </c>
    </row>
    <row r="3675" spans="1:5" x14ac:dyDescent="0.3">
      <c r="A3675" s="21" t="str">
        <f t="shared" si="57"/>
        <v>.</v>
      </c>
      <c r="D3675" s="44"/>
      <c r="E3675" s="22" t="str">
        <f>IF(D3675&lt;&gt;"",IFERROR(INDEX(Produtos!$C$4:$C$4996,MATCH(D3675,Produtos!$B$4:$B$4996,0)),"Produto não encontrado"),"")</f>
        <v/>
      </c>
    </row>
    <row r="3676" spans="1:5" x14ac:dyDescent="0.3">
      <c r="A3676" s="21" t="str">
        <f t="shared" si="57"/>
        <v>.</v>
      </c>
      <c r="D3676" s="44"/>
      <c r="E3676" s="22" t="str">
        <f>IF(D3676&lt;&gt;"",IFERROR(INDEX(Produtos!$C$4:$C$4996,MATCH(D3676,Produtos!$B$4:$B$4996,0)),"Produto não encontrado"),"")</f>
        <v/>
      </c>
    </row>
    <row r="3677" spans="1:5" x14ac:dyDescent="0.3">
      <c r="A3677" s="21" t="str">
        <f t="shared" si="57"/>
        <v>.</v>
      </c>
      <c r="D3677" s="44"/>
      <c r="E3677" s="22" t="str">
        <f>IF(D3677&lt;&gt;"",IFERROR(INDEX(Produtos!$C$4:$C$4996,MATCH(D3677,Produtos!$B$4:$B$4996,0)),"Produto não encontrado"),"")</f>
        <v/>
      </c>
    </row>
    <row r="3678" spans="1:5" x14ac:dyDescent="0.3">
      <c r="A3678" s="21" t="str">
        <f t="shared" si="57"/>
        <v>.</v>
      </c>
      <c r="D3678" s="44"/>
      <c r="E3678" s="22" t="str">
        <f>IF(D3678&lt;&gt;"",IFERROR(INDEX(Produtos!$C$4:$C$4996,MATCH(D3678,Produtos!$B$4:$B$4996,0)),"Produto não encontrado"),"")</f>
        <v/>
      </c>
    </row>
    <row r="3679" spans="1:5" x14ac:dyDescent="0.3">
      <c r="A3679" s="21" t="str">
        <f t="shared" si="57"/>
        <v>.</v>
      </c>
      <c r="D3679" s="44"/>
      <c r="E3679" s="22" t="str">
        <f>IF(D3679&lt;&gt;"",IFERROR(INDEX(Produtos!$C$4:$C$4996,MATCH(D3679,Produtos!$B$4:$B$4996,0)),"Produto não encontrado"),"")</f>
        <v/>
      </c>
    </row>
    <row r="3680" spans="1:5" x14ac:dyDescent="0.3">
      <c r="A3680" s="21" t="str">
        <f t="shared" si="57"/>
        <v>.</v>
      </c>
      <c r="D3680" s="44"/>
      <c r="E3680" s="22" t="str">
        <f>IF(D3680&lt;&gt;"",IFERROR(INDEX(Produtos!$C$4:$C$4996,MATCH(D3680,Produtos!$B$4:$B$4996,0)),"Produto não encontrado"),"")</f>
        <v/>
      </c>
    </row>
    <row r="3681" spans="1:5" x14ac:dyDescent="0.3">
      <c r="A3681" s="21" t="str">
        <f t="shared" si="57"/>
        <v>.</v>
      </c>
      <c r="D3681" s="44"/>
      <c r="E3681" s="22" t="str">
        <f>IF(D3681&lt;&gt;"",IFERROR(INDEX(Produtos!$C$4:$C$4996,MATCH(D3681,Produtos!$B$4:$B$4996,0)),"Produto não encontrado"),"")</f>
        <v/>
      </c>
    </row>
    <row r="3682" spans="1:5" x14ac:dyDescent="0.3">
      <c r="A3682" s="21" t="str">
        <f t="shared" si="57"/>
        <v>.</v>
      </c>
      <c r="D3682" s="44"/>
      <c r="E3682" s="22" t="str">
        <f>IF(D3682&lt;&gt;"",IFERROR(INDEX(Produtos!$C$4:$C$4996,MATCH(D3682,Produtos!$B$4:$B$4996,0)),"Produto não encontrado"),"")</f>
        <v/>
      </c>
    </row>
    <row r="3683" spans="1:5" x14ac:dyDescent="0.3">
      <c r="A3683" s="21" t="str">
        <f t="shared" si="57"/>
        <v>.</v>
      </c>
      <c r="D3683" s="44"/>
      <c r="E3683" s="22" t="str">
        <f>IF(D3683&lt;&gt;"",IFERROR(INDEX(Produtos!$C$4:$C$4996,MATCH(D3683,Produtos!$B$4:$B$4996,0)),"Produto não encontrado"),"")</f>
        <v/>
      </c>
    </row>
    <row r="3684" spans="1:5" x14ac:dyDescent="0.3">
      <c r="A3684" s="21" t="str">
        <f t="shared" si="57"/>
        <v>.</v>
      </c>
      <c r="D3684" s="44"/>
      <c r="E3684" s="22" t="str">
        <f>IF(D3684&lt;&gt;"",IFERROR(INDEX(Produtos!$C$4:$C$4996,MATCH(D3684,Produtos!$B$4:$B$4996,0)),"Produto não encontrado"),"")</f>
        <v/>
      </c>
    </row>
    <row r="3685" spans="1:5" x14ac:dyDescent="0.3">
      <c r="A3685" s="21" t="str">
        <f t="shared" si="57"/>
        <v>.</v>
      </c>
      <c r="D3685" s="44"/>
      <c r="E3685" s="22" t="str">
        <f>IF(D3685&lt;&gt;"",IFERROR(INDEX(Produtos!$C$4:$C$4996,MATCH(D3685,Produtos!$B$4:$B$4996,0)),"Produto não encontrado"),"")</f>
        <v/>
      </c>
    </row>
    <row r="3686" spans="1:5" x14ac:dyDescent="0.3">
      <c r="A3686" s="21" t="str">
        <f t="shared" si="57"/>
        <v>.</v>
      </c>
      <c r="D3686" s="44"/>
      <c r="E3686" s="22" t="str">
        <f>IF(D3686&lt;&gt;"",IFERROR(INDEX(Produtos!$C$4:$C$4996,MATCH(D3686,Produtos!$B$4:$B$4996,0)),"Produto não encontrado"),"")</f>
        <v/>
      </c>
    </row>
    <row r="3687" spans="1:5" x14ac:dyDescent="0.3">
      <c r="A3687" s="21" t="str">
        <f t="shared" si="57"/>
        <v>.</v>
      </c>
      <c r="D3687" s="44"/>
      <c r="E3687" s="22" t="str">
        <f>IF(D3687&lt;&gt;"",IFERROR(INDEX(Produtos!$C$4:$C$4996,MATCH(D3687,Produtos!$B$4:$B$4996,0)),"Produto não encontrado"),"")</f>
        <v/>
      </c>
    </row>
    <row r="3688" spans="1:5" x14ac:dyDescent="0.3">
      <c r="A3688" s="21" t="str">
        <f t="shared" si="57"/>
        <v>.</v>
      </c>
      <c r="D3688" s="44"/>
      <c r="E3688" s="22" t="str">
        <f>IF(D3688&lt;&gt;"",IFERROR(INDEX(Produtos!$C$4:$C$4996,MATCH(D3688,Produtos!$B$4:$B$4996,0)),"Produto não encontrado"),"")</f>
        <v/>
      </c>
    </row>
    <row r="3689" spans="1:5" x14ac:dyDescent="0.3">
      <c r="A3689" s="21" t="str">
        <f t="shared" si="57"/>
        <v>.</v>
      </c>
      <c r="D3689" s="44"/>
      <c r="E3689" s="22" t="str">
        <f>IF(D3689&lt;&gt;"",IFERROR(INDEX(Produtos!$C$4:$C$4996,MATCH(D3689,Produtos!$B$4:$B$4996,0)),"Produto não encontrado"),"")</f>
        <v/>
      </c>
    </row>
    <row r="3690" spans="1:5" x14ac:dyDescent="0.3">
      <c r="A3690" s="21" t="str">
        <f t="shared" si="57"/>
        <v>.</v>
      </c>
      <c r="D3690" s="44"/>
      <c r="E3690" s="22" t="str">
        <f>IF(D3690&lt;&gt;"",IFERROR(INDEX(Produtos!$C$4:$C$4996,MATCH(D3690,Produtos!$B$4:$B$4996,0)),"Produto não encontrado"),"")</f>
        <v/>
      </c>
    </row>
    <row r="3691" spans="1:5" x14ac:dyDescent="0.3">
      <c r="A3691" s="21" t="str">
        <f t="shared" si="57"/>
        <v>.</v>
      </c>
      <c r="D3691" s="44"/>
      <c r="E3691" s="22" t="str">
        <f>IF(D3691&lt;&gt;"",IFERROR(INDEX(Produtos!$C$4:$C$4996,MATCH(D3691,Produtos!$B$4:$B$4996,0)),"Produto não encontrado"),"")</f>
        <v/>
      </c>
    </row>
    <row r="3692" spans="1:5" x14ac:dyDescent="0.3">
      <c r="A3692" s="21" t="str">
        <f t="shared" si="57"/>
        <v>.</v>
      </c>
      <c r="D3692" s="44"/>
      <c r="E3692" s="22" t="str">
        <f>IF(D3692&lt;&gt;"",IFERROR(INDEX(Produtos!$C$4:$C$4996,MATCH(D3692,Produtos!$B$4:$B$4996,0)),"Produto não encontrado"),"")</f>
        <v/>
      </c>
    </row>
    <row r="3693" spans="1:5" x14ac:dyDescent="0.3">
      <c r="A3693" s="21" t="str">
        <f t="shared" si="57"/>
        <v>.</v>
      </c>
      <c r="D3693" s="44"/>
      <c r="E3693" s="22" t="str">
        <f>IF(D3693&lt;&gt;"",IFERROR(INDEX(Produtos!$C$4:$C$4996,MATCH(D3693,Produtos!$B$4:$B$4996,0)),"Produto não encontrado"),"")</f>
        <v/>
      </c>
    </row>
    <row r="3694" spans="1:5" x14ac:dyDescent="0.3">
      <c r="A3694" s="21" t="str">
        <f t="shared" si="57"/>
        <v>.</v>
      </c>
      <c r="D3694" s="44"/>
      <c r="E3694" s="22" t="str">
        <f>IF(D3694&lt;&gt;"",IFERROR(INDEX(Produtos!$C$4:$C$4996,MATCH(D3694,Produtos!$B$4:$B$4996,0)),"Produto não encontrado"),"")</f>
        <v/>
      </c>
    </row>
    <row r="3695" spans="1:5" x14ac:dyDescent="0.3">
      <c r="A3695" s="21" t="str">
        <f t="shared" si="57"/>
        <v>.</v>
      </c>
      <c r="D3695" s="44"/>
      <c r="E3695" s="22" t="str">
        <f>IF(D3695&lt;&gt;"",IFERROR(INDEX(Produtos!$C$4:$C$4996,MATCH(D3695,Produtos!$B$4:$B$4996,0)),"Produto não encontrado"),"")</f>
        <v/>
      </c>
    </row>
    <row r="3696" spans="1:5" x14ac:dyDescent="0.3">
      <c r="A3696" s="21" t="str">
        <f t="shared" si="57"/>
        <v>.</v>
      </c>
      <c r="D3696" s="44"/>
      <c r="E3696" s="22" t="str">
        <f>IF(D3696&lt;&gt;"",IFERROR(INDEX(Produtos!$C$4:$C$4996,MATCH(D3696,Produtos!$B$4:$B$4996,0)),"Produto não encontrado"),"")</f>
        <v/>
      </c>
    </row>
    <row r="3697" spans="1:5" x14ac:dyDescent="0.3">
      <c r="A3697" s="21" t="str">
        <f t="shared" si="57"/>
        <v>.</v>
      </c>
      <c r="D3697" s="44"/>
      <c r="E3697" s="22" t="str">
        <f>IF(D3697&lt;&gt;"",IFERROR(INDEX(Produtos!$C$4:$C$4996,MATCH(D3697,Produtos!$B$4:$B$4996,0)),"Produto não encontrado"),"")</f>
        <v/>
      </c>
    </row>
    <row r="3698" spans="1:5" x14ac:dyDescent="0.3">
      <c r="A3698" s="21" t="str">
        <f t="shared" si="57"/>
        <v>.</v>
      </c>
      <c r="D3698" s="44"/>
      <c r="E3698" s="22" t="str">
        <f>IF(D3698&lt;&gt;"",IFERROR(INDEX(Produtos!$C$4:$C$4996,MATCH(D3698,Produtos!$B$4:$B$4996,0)),"Produto não encontrado"),"")</f>
        <v/>
      </c>
    </row>
    <row r="3699" spans="1:5" x14ac:dyDescent="0.3">
      <c r="A3699" s="21" t="str">
        <f t="shared" si="57"/>
        <v>.</v>
      </c>
      <c r="D3699" s="44"/>
      <c r="E3699" s="22" t="str">
        <f>IF(D3699&lt;&gt;"",IFERROR(INDEX(Produtos!$C$4:$C$4996,MATCH(D3699,Produtos!$B$4:$B$4996,0)),"Produto não encontrado"),"")</f>
        <v/>
      </c>
    </row>
    <row r="3700" spans="1:5" x14ac:dyDescent="0.3">
      <c r="A3700" s="21" t="str">
        <f t="shared" si="57"/>
        <v>.</v>
      </c>
      <c r="D3700" s="44"/>
      <c r="E3700" s="22" t="str">
        <f>IF(D3700&lt;&gt;"",IFERROR(INDEX(Produtos!$C$4:$C$4996,MATCH(D3700,Produtos!$B$4:$B$4996,0)),"Produto não encontrado"),"")</f>
        <v/>
      </c>
    </row>
    <row r="3701" spans="1:5" x14ac:dyDescent="0.3">
      <c r="A3701" s="21" t="str">
        <f t="shared" si="57"/>
        <v>.</v>
      </c>
      <c r="D3701" s="44"/>
      <c r="E3701" s="22" t="str">
        <f>IF(D3701&lt;&gt;"",IFERROR(INDEX(Produtos!$C$4:$C$4996,MATCH(D3701,Produtos!$B$4:$B$4996,0)),"Produto não encontrado"),"")</f>
        <v/>
      </c>
    </row>
    <row r="3702" spans="1:5" x14ac:dyDescent="0.3">
      <c r="A3702" s="21" t="str">
        <f t="shared" si="57"/>
        <v>.</v>
      </c>
      <c r="D3702" s="44"/>
      <c r="E3702" s="22" t="str">
        <f>IF(D3702&lt;&gt;"",IFERROR(INDEX(Produtos!$C$4:$C$4996,MATCH(D3702,Produtos!$B$4:$B$4996,0)),"Produto não encontrado"),"")</f>
        <v/>
      </c>
    </row>
    <row r="3703" spans="1:5" x14ac:dyDescent="0.3">
      <c r="A3703" s="21" t="str">
        <f t="shared" si="57"/>
        <v>.</v>
      </c>
      <c r="D3703" s="44"/>
      <c r="E3703" s="22" t="str">
        <f>IF(D3703&lt;&gt;"",IFERROR(INDEX(Produtos!$C$4:$C$4996,MATCH(D3703,Produtos!$B$4:$B$4996,0)),"Produto não encontrado"),"")</f>
        <v/>
      </c>
    </row>
    <row r="3704" spans="1:5" x14ac:dyDescent="0.3">
      <c r="A3704" s="21" t="str">
        <f t="shared" si="57"/>
        <v>.</v>
      </c>
      <c r="D3704" s="44"/>
      <c r="E3704" s="22" t="str">
        <f>IF(D3704&lt;&gt;"",IFERROR(INDEX(Produtos!$C$4:$C$4996,MATCH(D3704,Produtos!$B$4:$B$4996,0)),"Produto não encontrado"),"")</f>
        <v/>
      </c>
    </row>
    <row r="3705" spans="1:5" x14ac:dyDescent="0.3">
      <c r="A3705" s="21" t="str">
        <f t="shared" si="57"/>
        <v>.</v>
      </c>
      <c r="D3705" s="44"/>
      <c r="E3705" s="22" t="str">
        <f>IF(D3705&lt;&gt;"",IFERROR(INDEX(Produtos!$C$4:$C$4996,MATCH(D3705,Produtos!$B$4:$B$4996,0)),"Produto não encontrado"),"")</f>
        <v/>
      </c>
    </row>
    <row r="3706" spans="1:5" x14ac:dyDescent="0.3">
      <c r="A3706" s="21" t="str">
        <f t="shared" si="57"/>
        <v>.</v>
      </c>
      <c r="D3706" s="44"/>
      <c r="E3706" s="22" t="str">
        <f>IF(D3706&lt;&gt;"",IFERROR(INDEX(Produtos!$C$4:$C$4996,MATCH(D3706,Produtos!$B$4:$B$4996,0)),"Produto não encontrado"),"")</f>
        <v/>
      </c>
    </row>
    <row r="3707" spans="1:5" x14ac:dyDescent="0.3">
      <c r="A3707" s="21" t="str">
        <f t="shared" si="57"/>
        <v>.</v>
      </c>
      <c r="D3707" s="44"/>
      <c r="E3707" s="22" t="str">
        <f>IF(D3707&lt;&gt;"",IFERROR(INDEX(Produtos!$C$4:$C$4996,MATCH(D3707,Produtos!$B$4:$B$4996,0)),"Produto não encontrado"),"")</f>
        <v/>
      </c>
    </row>
    <row r="3708" spans="1:5" x14ac:dyDescent="0.3">
      <c r="A3708" s="21" t="str">
        <f t="shared" si="57"/>
        <v>.</v>
      </c>
      <c r="D3708" s="44"/>
      <c r="E3708" s="22" t="str">
        <f>IF(D3708&lt;&gt;"",IFERROR(INDEX(Produtos!$C$4:$C$4996,MATCH(D3708,Produtos!$B$4:$B$4996,0)),"Produto não encontrado"),"")</f>
        <v/>
      </c>
    </row>
    <row r="3709" spans="1:5" x14ac:dyDescent="0.3">
      <c r="A3709" s="21" t="str">
        <f t="shared" si="57"/>
        <v>.</v>
      </c>
      <c r="D3709" s="44"/>
      <c r="E3709" s="22" t="str">
        <f>IF(D3709&lt;&gt;"",IFERROR(INDEX(Produtos!$C$4:$C$4996,MATCH(D3709,Produtos!$B$4:$B$4996,0)),"Produto não encontrado"),"")</f>
        <v/>
      </c>
    </row>
    <row r="3710" spans="1:5" x14ac:dyDescent="0.3">
      <c r="A3710" s="21" t="str">
        <f t="shared" si="57"/>
        <v>.</v>
      </c>
      <c r="D3710" s="44"/>
      <c r="E3710" s="22" t="str">
        <f>IF(D3710&lt;&gt;"",IFERROR(INDEX(Produtos!$C$4:$C$4996,MATCH(D3710,Produtos!$B$4:$B$4996,0)),"Produto não encontrado"),"")</f>
        <v/>
      </c>
    </row>
    <row r="3711" spans="1:5" x14ac:dyDescent="0.3">
      <c r="A3711" s="21" t="str">
        <f t="shared" si="57"/>
        <v>.</v>
      </c>
      <c r="D3711" s="44"/>
      <c r="E3711" s="22" t="str">
        <f>IF(D3711&lt;&gt;"",IFERROR(INDEX(Produtos!$C$4:$C$4996,MATCH(D3711,Produtos!$B$4:$B$4996,0)),"Produto não encontrado"),"")</f>
        <v/>
      </c>
    </row>
    <row r="3712" spans="1:5" x14ac:dyDescent="0.3">
      <c r="A3712" s="21" t="str">
        <f t="shared" ref="A3712:A3775" si="58">IF(C3712="Entrada",2,IF(C3712="Saída",1,"."))</f>
        <v>.</v>
      </c>
      <c r="D3712" s="44"/>
      <c r="E3712" s="22" t="str">
        <f>IF(D3712&lt;&gt;"",IFERROR(INDEX(Produtos!$C$4:$C$4996,MATCH(D3712,Produtos!$B$4:$B$4996,0)),"Produto não encontrado"),"")</f>
        <v/>
      </c>
    </row>
    <row r="3713" spans="1:5" x14ac:dyDescent="0.3">
      <c r="A3713" s="21" t="str">
        <f t="shared" si="58"/>
        <v>.</v>
      </c>
      <c r="D3713" s="44"/>
      <c r="E3713" s="22" t="str">
        <f>IF(D3713&lt;&gt;"",IFERROR(INDEX(Produtos!$C$4:$C$4996,MATCH(D3713,Produtos!$B$4:$B$4996,0)),"Produto não encontrado"),"")</f>
        <v/>
      </c>
    </row>
    <row r="3714" spans="1:5" x14ac:dyDescent="0.3">
      <c r="A3714" s="21" t="str">
        <f t="shared" si="58"/>
        <v>.</v>
      </c>
      <c r="D3714" s="44"/>
      <c r="E3714" s="22" t="str">
        <f>IF(D3714&lt;&gt;"",IFERROR(INDEX(Produtos!$C$4:$C$4996,MATCH(D3714,Produtos!$B$4:$B$4996,0)),"Produto não encontrado"),"")</f>
        <v/>
      </c>
    </row>
    <row r="3715" spans="1:5" x14ac:dyDescent="0.3">
      <c r="A3715" s="21" t="str">
        <f t="shared" si="58"/>
        <v>.</v>
      </c>
      <c r="D3715" s="44"/>
      <c r="E3715" s="22" t="str">
        <f>IF(D3715&lt;&gt;"",IFERROR(INDEX(Produtos!$C$4:$C$4996,MATCH(D3715,Produtos!$B$4:$B$4996,0)),"Produto não encontrado"),"")</f>
        <v/>
      </c>
    </row>
    <row r="3716" spans="1:5" x14ac:dyDescent="0.3">
      <c r="A3716" s="21" t="str">
        <f t="shared" si="58"/>
        <v>.</v>
      </c>
      <c r="D3716" s="44"/>
      <c r="E3716" s="22" t="str">
        <f>IF(D3716&lt;&gt;"",IFERROR(INDEX(Produtos!$C$4:$C$4996,MATCH(D3716,Produtos!$B$4:$B$4996,0)),"Produto não encontrado"),"")</f>
        <v/>
      </c>
    </row>
    <row r="3717" spans="1:5" x14ac:dyDescent="0.3">
      <c r="A3717" s="21" t="str">
        <f t="shared" si="58"/>
        <v>.</v>
      </c>
      <c r="D3717" s="44"/>
      <c r="E3717" s="22" t="str">
        <f>IF(D3717&lt;&gt;"",IFERROR(INDEX(Produtos!$C$4:$C$4996,MATCH(D3717,Produtos!$B$4:$B$4996,0)),"Produto não encontrado"),"")</f>
        <v/>
      </c>
    </row>
    <row r="3718" spans="1:5" x14ac:dyDescent="0.3">
      <c r="A3718" s="21" t="str">
        <f t="shared" si="58"/>
        <v>.</v>
      </c>
      <c r="D3718" s="44"/>
      <c r="E3718" s="22" t="str">
        <f>IF(D3718&lt;&gt;"",IFERROR(INDEX(Produtos!$C$4:$C$4996,MATCH(D3718,Produtos!$B$4:$B$4996,0)),"Produto não encontrado"),"")</f>
        <v/>
      </c>
    </row>
    <row r="3719" spans="1:5" x14ac:dyDescent="0.3">
      <c r="A3719" s="21" t="str">
        <f t="shared" si="58"/>
        <v>.</v>
      </c>
      <c r="D3719" s="44"/>
      <c r="E3719" s="22" t="str">
        <f>IF(D3719&lt;&gt;"",IFERROR(INDEX(Produtos!$C$4:$C$4996,MATCH(D3719,Produtos!$B$4:$B$4996,0)),"Produto não encontrado"),"")</f>
        <v/>
      </c>
    </row>
    <row r="3720" spans="1:5" x14ac:dyDescent="0.3">
      <c r="A3720" s="21" t="str">
        <f t="shared" si="58"/>
        <v>.</v>
      </c>
      <c r="D3720" s="44"/>
      <c r="E3720" s="22" t="str">
        <f>IF(D3720&lt;&gt;"",IFERROR(INDEX(Produtos!$C$4:$C$4996,MATCH(D3720,Produtos!$B$4:$B$4996,0)),"Produto não encontrado"),"")</f>
        <v/>
      </c>
    </row>
    <row r="3721" spans="1:5" x14ac:dyDescent="0.3">
      <c r="A3721" s="21" t="str">
        <f t="shared" si="58"/>
        <v>.</v>
      </c>
      <c r="D3721" s="44"/>
      <c r="E3721" s="22" t="str">
        <f>IF(D3721&lt;&gt;"",IFERROR(INDEX(Produtos!$C$4:$C$4996,MATCH(D3721,Produtos!$B$4:$B$4996,0)),"Produto não encontrado"),"")</f>
        <v/>
      </c>
    </row>
    <row r="3722" spans="1:5" x14ac:dyDescent="0.3">
      <c r="A3722" s="21" t="str">
        <f t="shared" si="58"/>
        <v>.</v>
      </c>
      <c r="D3722" s="44"/>
      <c r="E3722" s="22" t="str">
        <f>IF(D3722&lt;&gt;"",IFERROR(INDEX(Produtos!$C$4:$C$4996,MATCH(D3722,Produtos!$B$4:$B$4996,0)),"Produto não encontrado"),"")</f>
        <v/>
      </c>
    </row>
    <row r="3723" spans="1:5" x14ac:dyDescent="0.3">
      <c r="A3723" s="21" t="str">
        <f t="shared" si="58"/>
        <v>.</v>
      </c>
      <c r="D3723" s="44"/>
      <c r="E3723" s="22" t="str">
        <f>IF(D3723&lt;&gt;"",IFERROR(INDEX(Produtos!$C$4:$C$4996,MATCH(D3723,Produtos!$B$4:$B$4996,0)),"Produto não encontrado"),"")</f>
        <v/>
      </c>
    </row>
    <row r="3724" spans="1:5" x14ac:dyDescent="0.3">
      <c r="A3724" s="21" t="str">
        <f t="shared" si="58"/>
        <v>.</v>
      </c>
      <c r="D3724" s="44"/>
      <c r="E3724" s="22" t="str">
        <f>IF(D3724&lt;&gt;"",IFERROR(INDEX(Produtos!$C$4:$C$4996,MATCH(D3724,Produtos!$B$4:$B$4996,0)),"Produto não encontrado"),"")</f>
        <v/>
      </c>
    </row>
    <row r="3725" spans="1:5" x14ac:dyDescent="0.3">
      <c r="A3725" s="21" t="str">
        <f t="shared" si="58"/>
        <v>.</v>
      </c>
      <c r="D3725" s="44"/>
      <c r="E3725" s="22" t="str">
        <f>IF(D3725&lt;&gt;"",IFERROR(INDEX(Produtos!$C$4:$C$4996,MATCH(D3725,Produtos!$B$4:$B$4996,0)),"Produto não encontrado"),"")</f>
        <v/>
      </c>
    </row>
    <row r="3726" spans="1:5" x14ac:dyDescent="0.3">
      <c r="A3726" s="21" t="str">
        <f t="shared" si="58"/>
        <v>.</v>
      </c>
      <c r="D3726" s="44"/>
      <c r="E3726" s="22" t="str">
        <f>IF(D3726&lt;&gt;"",IFERROR(INDEX(Produtos!$C$4:$C$4996,MATCH(D3726,Produtos!$B$4:$B$4996,0)),"Produto não encontrado"),"")</f>
        <v/>
      </c>
    </row>
    <row r="3727" spans="1:5" x14ac:dyDescent="0.3">
      <c r="A3727" s="21" t="str">
        <f t="shared" si="58"/>
        <v>.</v>
      </c>
      <c r="D3727" s="44"/>
      <c r="E3727" s="22" t="str">
        <f>IF(D3727&lt;&gt;"",IFERROR(INDEX(Produtos!$C$4:$C$4996,MATCH(D3727,Produtos!$B$4:$B$4996,0)),"Produto não encontrado"),"")</f>
        <v/>
      </c>
    </row>
    <row r="3728" spans="1:5" x14ac:dyDescent="0.3">
      <c r="A3728" s="21" t="str">
        <f t="shared" si="58"/>
        <v>.</v>
      </c>
      <c r="D3728" s="44"/>
      <c r="E3728" s="22" t="str">
        <f>IF(D3728&lt;&gt;"",IFERROR(INDEX(Produtos!$C$4:$C$4996,MATCH(D3728,Produtos!$B$4:$B$4996,0)),"Produto não encontrado"),"")</f>
        <v/>
      </c>
    </row>
    <row r="3729" spans="1:5" x14ac:dyDescent="0.3">
      <c r="A3729" s="21" t="str">
        <f t="shared" si="58"/>
        <v>.</v>
      </c>
      <c r="D3729" s="44"/>
      <c r="E3729" s="22" t="str">
        <f>IF(D3729&lt;&gt;"",IFERROR(INDEX(Produtos!$C$4:$C$4996,MATCH(D3729,Produtos!$B$4:$B$4996,0)),"Produto não encontrado"),"")</f>
        <v/>
      </c>
    </row>
    <row r="3730" spans="1:5" x14ac:dyDescent="0.3">
      <c r="A3730" s="21" t="str">
        <f t="shared" si="58"/>
        <v>.</v>
      </c>
      <c r="D3730" s="44"/>
      <c r="E3730" s="22" t="str">
        <f>IF(D3730&lt;&gt;"",IFERROR(INDEX(Produtos!$C$4:$C$4996,MATCH(D3730,Produtos!$B$4:$B$4996,0)),"Produto não encontrado"),"")</f>
        <v/>
      </c>
    </row>
    <row r="3731" spans="1:5" x14ac:dyDescent="0.3">
      <c r="A3731" s="21" t="str">
        <f t="shared" si="58"/>
        <v>.</v>
      </c>
      <c r="D3731" s="44"/>
      <c r="E3731" s="22" t="str">
        <f>IF(D3731&lt;&gt;"",IFERROR(INDEX(Produtos!$C$4:$C$4996,MATCH(D3731,Produtos!$B$4:$B$4996,0)),"Produto não encontrado"),"")</f>
        <v/>
      </c>
    </row>
    <row r="3732" spans="1:5" x14ac:dyDescent="0.3">
      <c r="A3732" s="21" t="str">
        <f t="shared" si="58"/>
        <v>.</v>
      </c>
      <c r="D3732" s="44"/>
      <c r="E3732" s="22" t="str">
        <f>IF(D3732&lt;&gt;"",IFERROR(INDEX(Produtos!$C$4:$C$4996,MATCH(D3732,Produtos!$B$4:$B$4996,0)),"Produto não encontrado"),"")</f>
        <v/>
      </c>
    </row>
    <row r="3733" spans="1:5" x14ac:dyDescent="0.3">
      <c r="A3733" s="21" t="str">
        <f t="shared" si="58"/>
        <v>.</v>
      </c>
      <c r="D3733" s="44"/>
      <c r="E3733" s="22" t="str">
        <f>IF(D3733&lt;&gt;"",IFERROR(INDEX(Produtos!$C$4:$C$4996,MATCH(D3733,Produtos!$B$4:$B$4996,0)),"Produto não encontrado"),"")</f>
        <v/>
      </c>
    </row>
    <row r="3734" spans="1:5" x14ac:dyDescent="0.3">
      <c r="A3734" s="21" t="str">
        <f t="shared" si="58"/>
        <v>.</v>
      </c>
      <c r="D3734" s="44"/>
      <c r="E3734" s="22" t="str">
        <f>IF(D3734&lt;&gt;"",IFERROR(INDEX(Produtos!$C$4:$C$4996,MATCH(D3734,Produtos!$B$4:$B$4996,0)),"Produto não encontrado"),"")</f>
        <v/>
      </c>
    </row>
    <row r="3735" spans="1:5" x14ac:dyDescent="0.3">
      <c r="A3735" s="21" t="str">
        <f t="shared" si="58"/>
        <v>.</v>
      </c>
      <c r="D3735" s="44"/>
      <c r="E3735" s="22" t="str">
        <f>IF(D3735&lt;&gt;"",IFERROR(INDEX(Produtos!$C$4:$C$4996,MATCH(D3735,Produtos!$B$4:$B$4996,0)),"Produto não encontrado"),"")</f>
        <v/>
      </c>
    </row>
    <row r="3736" spans="1:5" x14ac:dyDescent="0.3">
      <c r="A3736" s="21" t="str">
        <f t="shared" si="58"/>
        <v>.</v>
      </c>
      <c r="D3736" s="44"/>
      <c r="E3736" s="22" t="str">
        <f>IF(D3736&lt;&gt;"",IFERROR(INDEX(Produtos!$C$4:$C$4996,MATCH(D3736,Produtos!$B$4:$B$4996,0)),"Produto não encontrado"),"")</f>
        <v/>
      </c>
    </row>
    <row r="3737" spans="1:5" x14ac:dyDescent="0.3">
      <c r="A3737" s="21" t="str">
        <f t="shared" si="58"/>
        <v>.</v>
      </c>
      <c r="D3737" s="44"/>
      <c r="E3737" s="22" t="str">
        <f>IF(D3737&lt;&gt;"",IFERROR(INDEX(Produtos!$C$4:$C$4996,MATCH(D3737,Produtos!$B$4:$B$4996,0)),"Produto não encontrado"),"")</f>
        <v/>
      </c>
    </row>
    <row r="3738" spans="1:5" x14ac:dyDescent="0.3">
      <c r="A3738" s="21" t="str">
        <f t="shared" si="58"/>
        <v>.</v>
      </c>
      <c r="D3738" s="44"/>
      <c r="E3738" s="22" t="str">
        <f>IF(D3738&lt;&gt;"",IFERROR(INDEX(Produtos!$C$4:$C$4996,MATCH(D3738,Produtos!$B$4:$B$4996,0)),"Produto não encontrado"),"")</f>
        <v/>
      </c>
    </row>
    <row r="3739" spans="1:5" x14ac:dyDescent="0.3">
      <c r="A3739" s="21" t="str">
        <f t="shared" si="58"/>
        <v>.</v>
      </c>
      <c r="D3739" s="44"/>
      <c r="E3739" s="22" t="str">
        <f>IF(D3739&lt;&gt;"",IFERROR(INDEX(Produtos!$C$4:$C$4996,MATCH(D3739,Produtos!$B$4:$B$4996,0)),"Produto não encontrado"),"")</f>
        <v/>
      </c>
    </row>
    <row r="3740" spans="1:5" x14ac:dyDescent="0.3">
      <c r="A3740" s="21" t="str">
        <f t="shared" si="58"/>
        <v>.</v>
      </c>
      <c r="D3740" s="44"/>
      <c r="E3740" s="22" t="str">
        <f>IF(D3740&lt;&gt;"",IFERROR(INDEX(Produtos!$C$4:$C$4996,MATCH(D3740,Produtos!$B$4:$B$4996,0)),"Produto não encontrado"),"")</f>
        <v/>
      </c>
    </row>
    <row r="3741" spans="1:5" x14ac:dyDescent="0.3">
      <c r="A3741" s="21" t="str">
        <f t="shared" si="58"/>
        <v>.</v>
      </c>
      <c r="D3741" s="44"/>
      <c r="E3741" s="22" t="str">
        <f>IF(D3741&lt;&gt;"",IFERROR(INDEX(Produtos!$C$4:$C$4996,MATCH(D3741,Produtos!$B$4:$B$4996,0)),"Produto não encontrado"),"")</f>
        <v/>
      </c>
    </row>
    <row r="3742" spans="1:5" x14ac:dyDescent="0.3">
      <c r="A3742" s="21" t="str">
        <f t="shared" si="58"/>
        <v>.</v>
      </c>
      <c r="D3742" s="44"/>
      <c r="E3742" s="22" t="str">
        <f>IF(D3742&lt;&gt;"",IFERROR(INDEX(Produtos!$C$4:$C$4996,MATCH(D3742,Produtos!$B$4:$B$4996,0)),"Produto não encontrado"),"")</f>
        <v/>
      </c>
    </row>
    <row r="3743" spans="1:5" x14ac:dyDescent="0.3">
      <c r="A3743" s="21" t="str">
        <f t="shared" si="58"/>
        <v>.</v>
      </c>
      <c r="D3743" s="44"/>
      <c r="E3743" s="22" t="str">
        <f>IF(D3743&lt;&gt;"",IFERROR(INDEX(Produtos!$C$4:$C$4996,MATCH(D3743,Produtos!$B$4:$B$4996,0)),"Produto não encontrado"),"")</f>
        <v/>
      </c>
    </row>
    <row r="3744" spans="1:5" x14ac:dyDescent="0.3">
      <c r="A3744" s="21" t="str">
        <f t="shared" si="58"/>
        <v>.</v>
      </c>
      <c r="D3744" s="44"/>
      <c r="E3744" s="22" t="str">
        <f>IF(D3744&lt;&gt;"",IFERROR(INDEX(Produtos!$C$4:$C$4996,MATCH(D3744,Produtos!$B$4:$B$4996,0)),"Produto não encontrado"),"")</f>
        <v/>
      </c>
    </row>
    <row r="3745" spans="1:5" x14ac:dyDescent="0.3">
      <c r="A3745" s="21" t="str">
        <f t="shared" si="58"/>
        <v>.</v>
      </c>
      <c r="D3745" s="44"/>
      <c r="E3745" s="22" t="str">
        <f>IF(D3745&lt;&gt;"",IFERROR(INDEX(Produtos!$C$4:$C$4996,MATCH(D3745,Produtos!$B$4:$B$4996,0)),"Produto não encontrado"),"")</f>
        <v/>
      </c>
    </row>
    <row r="3746" spans="1:5" x14ac:dyDescent="0.3">
      <c r="A3746" s="21" t="str">
        <f t="shared" si="58"/>
        <v>.</v>
      </c>
      <c r="D3746" s="44"/>
      <c r="E3746" s="22" t="str">
        <f>IF(D3746&lt;&gt;"",IFERROR(INDEX(Produtos!$C$4:$C$4996,MATCH(D3746,Produtos!$B$4:$B$4996,0)),"Produto não encontrado"),"")</f>
        <v/>
      </c>
    </row>
    <row r="3747" spans="1:5" x14ac:dyDescent="0.3">
      <c r="A3747" s="21" t="str">
        <f t="shared" si="58"/>
        <v>.</v>
      </c>
      <c r="D3747" s="44"/>
      <c r="E3747" s="22" t="str">
        <f>IF(D3747&lt;&gt;"",IFERROR(INDEX(Produtos!$C$4:$C$4996,MATCH(D3747,Produtos!$B$4:$B$4996,0)),"Produto não encontrado"),"")</f>
        <v/>
      </c>
    </row>
    <row r="3748" spans="1:5" x14ac:dyDescent="0.3">
      <c r="A3748" s="21" t="str">
        <f t="shared" si="58"/>
        <v>.</v>
      </c>
      <c r="D3748" s="44"/>
      <c r="E3748" s="22" t="str">
        <f>IF(D3748&lt;&gt;"",IFERROR(INDEX(Produtos!$C$4:$C$4996,MATCH(D3748,Produtos!$B$4:$B$4996,0)),"Produto não encontrado"),"")</f>
        <v/>
      </c>
    </row>
    <row r="3749" spans="1:5" x14ac:dyDescent="0.3">
      <c r="A3749" s="21" t="str">
        <f t="shared" si="58"/>
        <v>.</v>
      </c>
      <c r="D3749" s="44"/>
      <c r="E3749" s="22" t="str">
        <f>IF(D3749&lt;&gt;"",IFERROR(INDEX(Produtos!$C$4:$C$4996,MATCH(D3749,Produtos!$B$4:$B$4996,0)),"Produto não encontrado"),"")</f>
        <v/>
      </c>
    </row>
    <row r="3750" spans="1:5" x14ac:dyDescent="0.3">
      <c r="A3750" s="21" t="str">
        <f t="shared" si="58"/>
        <v>.</v>
      </c>
      <c r="D3750" s="44"/>
      <c r="E3750" s="22" t="str">
        <f>IF(D3750&lt;&gt;"",IFERROR(INDEX(Produtos!$C$4:$C$4996,MATCH(D3750,Produtos!$B$4:$B$4996,0)),"Produto não encontrado"),"")</f>
        <v/>
      </c>
    </row>
    <row r="3751" spans="1:5" x14ac:dyDescent="0.3">
      <c r="A3751" s="21" t="str">
        <f t="shared" si="58"/>
        <v>.</v>
      </c>
      <c r="D3751" s="44"/>
      <c r="E3751" s="22" t="str">
        <f>IF(D3751&lt;&gt;"",IFERROR(INDEX(Produtos!$C$4:$C$4996,MATCH(D3751,Produtos!$B$4:$B$4996,0)),"Produto não encontrado"),"")</f>
        <v/>
      </c>
    </row>
    <row r="3752" spans="1:5" x14ac:dyDescent="0.3">
      <c r="A3752" s="21" t="str">
        <f t="shared" si="58"/>
        <v>.</v>
      </c>
      <c r="D3752" s="44"/>
      <c r="E3752" s="22" t="str">
        <f>IF(D3752&lt;&gt;"",IFERROR(INDEX(Produtos!$C$4:$C$4996,MATCH(D3752,Produtos!$B$4:$B$4996,0)),"Produto não encontrado"),"")</f>
        <v/>
      </c>
    </row>
    <row r="3753" spans="1:5" x14ac:dyDescent="0.3">
      <c r="A3753" s="21" t="str">
        <f t="shared" si="58"/>
        <v>.</v>
      </c>
      <c r="D3753" s="44"/>
      <c r="E3753" s="22" t="str">
        <f>IF(D3753&lt;&gt;"",IFERROR(INDEX(Produtos!$C$4:$C$4996,MATCH(D3753,Produtos!$B$4:$B$4996,0)),"Produto não encontrado"),"")</f>
        <v/>
      </c>
    </row>
    <row r="3754" spans="1:5" x14ac:dyDescent="0.3">
      <c r="A3754" s="21" t="str">
        <f t="shared" si="58"/>
        <v>.</v>
      </c>
      <c r="D3754" s="44"/>
      <c r="E3754" s="22" t="str">
        <f>IF(D3754&lt;&gt;"",IFERROR(INDEX(Produtos!$C$4:$C$4996,MATCH(D3754,Produtos!$B$4:$B$4996,0)),"Produto não encontrado"),"")</f>
        <v/>
      </c>
    </row>
    <row r="3755" spans="1:5" x14ac:dyDescent="0.3">
      <c r="A3755" s="21" t="str">
        <f t="shared" si="58"/>
        <v>.</v>
      </c>
      <c r="D3755" s="44"/>
      <c r="E3755" s="22" t="str">
        <f>IF(D3755&lt;&gt;"",IFERROR(INDEX(Produtos!$C$4:$C$4996,MATCH(D3755,Produtos!$B$4:$B$4996,0)),"Produto não encontrado"),"")</f>
        <v/>
      </c>
    </row>
    <row r="3756" spans="1:5" x14ac:dyDescent="0.3">
      <c r="A3756" s="21" t="str">
        <f t="shared" si="58"/>
        <v>.</v>
      </c>
      <c r="D3756" s="44"/>
      <c r="E3756" s="22" t="str">
        <f>IF(D3756&lt;&gt;"",IFERROR(INDEX(Produtos!$C$4:$C$4996,MATCH(D3756,Produtos!$B$4:$B$4996,0)),"Produto não encontrado"),"")</f>
        <v/>
      </c>
    </row>
    <row r="3757" spans="1:5" x14ac:dyDescent="0.3">
      <c r="A3757" s="21" t="str">
        <f t="shared" si="58"/>
        <v>.</v>
      </c>
      <c r="D3757" s="44"/>
      <c r="E3757" s="22" t="str">
        <f>IF(D3757&lt;&gt;"",IFERROR(INDEX(Produtos!$C$4:$C$4996,MATCH(D3757,Produtos!$B$4:$B$4996,0)),"Produto não encontrado"),"")</f>
        <v/>
      </c>
    </row>
    <row r="3758" spans="1:5" x14ac:dyDescent="0.3">
      <c r="A3758" s="21" t="str">
        <f t="shared" si="58"/>
        <v>.</v>
      </c>
      <c r="D3758" s="44"/>
      <c r="E3758" s="22" t="str">
        <f>IF(D3758&lt;&gt;"",IFERROR(INDEX(Produtos!$C$4:$C$4996,MATCH(D3758,Produtos!$B$4:$B$4996,0)),"Produto não encontrado"),"")</f>
        <v/>
      </c>
    </row>
    <row r="3759" spans="1:5" x14ac:dyDescent="0.3">
      <c r="A3759" s="21" t="str">
        <f t="shared" si="58"/>
        <v>.</v>
      </c>
      <c r="D3759" s="44"/>
      <c r="E3759" s="22" t="str">
        <f>IF(D3759&lt;&gt;"",IFERROR(INDEX(Produtos!$C$4:$C$4996,MATCH(D3759,Produtos!$B$4:$B$4996,0)),"Produto não encontrado"),"")</f>
        <v/>
      </c>
    </row>
    <row r="3760" spans="1:5" x14ac:dyDescent="0.3">
      <c r="A3760" s="21" t="str">
        <f t="shared" si="58"/>
        <v>.</v>
      </c>
      <c r="D3760" s="44"/>
      <c r="E3760" s="22" t="str">
        <f>IF(D3760&lt;&gt;"",IFERROR(INDEX(Produtos!$C$4:$C$4996,MATCH(D3760,Produtos!$B$4:$B$4996,0)),"Produto não encontrado"),"")</f>
        <v/>
      </c>
    </row>
    <row r="3761" spans="1:5" x14ac:dyDescent="0.3">
      <c r="A3761" s="21" t="str">
        <f t="shared" si="58"/>
        <v>.</v>
      </c>
      <c r="D3761" s="44"/>
      <c r="E3761" s="22" t="str">
        <f>IF(D3761&lt;&gt;"",IFERROR(INDEX(Produtos!$C$4:$C$4996,MATCH(D3761,Produtos!$B$4:$B$4996,0)),"Produto não encontrado"),"")</f>
        <v/>
      </c>
    </row>
    <row r="3762" spans="1:5" x14ac:dyDescent="0.3">
      <c r="A3762" s="21" t="str">
        <f t="shared" si="58"/>
        <v>.</v>
      </c>
      <c r="D3762" s="44"/>
      <c r="E3762" s="22" t="str">
        <f>IF(D3762&lt;&gt;"",IFERROR(INDEX(Produtos!$C$4:$C$4996,MATCH(D3762,Produtos!$B$4:$B$4996,0)),"Produto não encontrado"),"")</f>
        <v/>
      </c>
    </row>
    <row r="3763" spans="1:5" x14ac:dyDescent="0.3">
      <c r="A3763" s="21" t="str">
        <f t="shared" si="58"/>
        <v>.</v>
      </c>
      <c r="D3763" s="44"/>
      <c r="E3763" s="22" t="str">
        <f>IF(D3763&lt;&gt;"",IFERROR(INDEX(Produtos!$C$4:$C$4996,MATCH(D3763,Produtos!$B$4:$B$4996,0)),"Produto não encontrado"),"")</f>
        <v/>
      </c>
    </row>
    <row r="3764" spans="1:5" x14ac:dyDescent="0.3">
      <c r="A3764" s="21" t="str">
        <f t="shared" si="58"/>
        <v>.</v>
      </c>
      <c r="D3764" s="44"/>
      <c r="E3764" s="22" t="str">
        <f>IF(D3764&lt;&gt;"",IFERROR(INDEX(Produtos!$C$4:$C$4996,MATCH(D3764,Produtos!$B$4:$B$4996,0)),"Produto não encontrado"),"")</f>
        <v/>
      </c>
    </row>
    <row r="3765" spans="1:5" x14ac:dyDescent="0.3">
      <c r="A3765" s="21" t="str">
        <f t="shared" si="58"/>
        <v>.</v>
      </c>
      <c r="D3765" s="44"/>
      <c r="E3765" s="22" t="str">
        <f>IF(D3765&lt;&gt;"",IFERROR(INDEX(Produtos!$C$4:$C$4996,MATCH(D3765,Produtos!$B$4:$B$4996,0)),"Produto não encontrado"),"")</f>
        <v/>
      </c>
    </row>
    <row r="3766" spans="1:5" x14ac:dyDescent="0.3">
      <c r="A3766" s="21" t="str">
        <f t="shared" si="58"/>
        <v>.</v>
      </c>
      <c r="D3766" s="44"/>
      <c r="E3766" s="22" t="str">
        <f>IF(D3766&lt;&gt;"",IFERROR(INDEX(Produtos!$C$4:$C$4996,MATCH(D3766,Produtos!$B$4:$B$4996,0)),"Produto não encontrado"),"")</f>
        <v/>
      </c>
    </row>
    <row r="3767" spans="1:5" x14ac:dyDescent="0.3">
      <c r="A3767" s="21" t="str">
        <f t="shared" si="58"/>
        <v>.</v>
      </c>
      <c r="D3767" s="44"/>
      <c r="E3767" s="22" t="str">
        <f>IF(D3767&lt;&gt;"",IFERROR(INDEX(Produtos!$C$4:$C$4996,MATCH(D3767,Produtos!$B$4:$B$4996,0)),"Produto não encontrado"),"")</f>
        <v/>
      </c>
    </row>
    <row r="3768" spans="1:5" x14ac:dyDescent="0.3">
      <c r="A3768" s="21" t="str">
        <f t="shared" si="58"/>
        <v>.</v>
      </c>
      <c r="D3768" s="44"/>
      <c r="E3768" s="22" t="str">
        <f>IF(D3768&lt;&gt;"",IFERROR(INDEX(Produtos!$C$4:$C$4996,MATCH(D3768,Produtos!$B$4:$B$4996,0)),"Produto não encontrado"),"")</f>
        <v/>
      </c>
    </row>
    <row r="3769" spans="1:5" x14ac:dyDescent="0.3">
      <c r="A3769" s="21" t="str">
        <f t="shared" si="58"/>
        <v>.</v>
      </c>
      <c r="D3769" s="44"/>
      <c r="E3769" s="22" t="str">
        <f>IF(D3769&lt;&gt;"",IFERROR(INDEX(Produtos!$C$4:$C$4996,MATCH(D3769,Produtos!$B$4:$B$4996,0)),"Produto não encontrado"),"")</f>
        <v/>
      </c>
    </row>
    <row r="3770" spans="1:5" x14ac:dyDescent="0.3">
      <c r="A3770" s="21" t="str">
        <f t="shared" si="58"/>
        <v>.</v>
      </c>
      <c r="D3770" s="44"/>
      <c r="E3770" s="22" t="str">
        <f>IF(D3770&lt;&gt;"",IFERROR(INDEX(Produtos!$C$4:$C$4996,MATCH(D3770,Produtos!$B$4:$B$4996,0)),"Produto não encontrado"),"")</f>
        <v/>
      </c>
    </row>
    <row r="3771" spans="1:5" x14ac:dyDescent="0.3">
      <c r="A3771" s="21" t="str">
        <f t="shared" si="58"/>
        <v>.</v>
      </c>
      <c r="D3771" s="44"/>
      <c r="E3771" s="22" t="str">
        <f>IF(D3771&lt;&gt;"",IFERROR(INDEX(Produtos!$C$4:$C$4996,MATCH(D3771,Produtos!$B$4:$B$4996,0)),"Produto não encontrado"),"")</f>
        <v/>
      </c>
    </row>
    <row r="3772" spans="1:5" x14ac:dyDescent="0.3">
      <c r="A3772" s="21" t="str">
        <f t="shared" si="58"/>
        <v>.</v>
      </c>
      <c r="D3772" s="44"/>
      <c r="E3772" s="22" t="str">
        <f>IF(D3772&lt;&gt;"",IFERROR(INDEX(Produtos!$C$4:$C$4996,MATCH(D3772,Produtos!$B$4:$B$4996,0)),"Produto não encontrado"),"")</f>
        <v/>
      </c>
    </row>
    <row r="3773" spans="1:5" x14ac:dyDescent="0.3">
      <c r="A3773" s="21" t="str">
        <f t="shared" si="58"/>
        <v>.</v>
      </c>
      <c r="D3773" s="44"/>
      <c r="E3773" s="22" t="str">
        <f>IF(D3773&lt;&gt;"",IFERROR(INDEX(Produtos!$C$4:$C$4996,MATCH(D3773,Produtos!$B$4:$B$4996,0)),"Produto não encontrado"),"")</f>
        <v/>
      </c>
    </row>
    <row r="3774" spans="1:5" x14ac:dyDescent="0.3">
      <c r="A3774" s="21" t="str">
        <f t="shared" si="58"/>
        <v>.</v>
      </c>
      <c r="D3774" s="44"/>
      <c r="E3774" s="22" t="str">
        <f>IF(D3774&lt;&gt;"",IFERROR(INDEX(Produtos!$C$4:$C$4996,MATCH(D3774,Produtos!$B$4:$B$4996,0)),"Produto não encontrado"),"")</f>
        <v/>
      </c>
    </row>
    <row r="3775" spans="1:5" x14ac:dyDescent="0.3">
      <c r="A3775" s="21" t="str">
        <f t="shared" si="58"/>
        <v>.</v>
      </c>
      <c r="D3775" s="44"/>
      <c r="E3775" s="22" t="str">
        <f>IF(D3775&lt;&gt;"",IFERROR(INDEX(Produtos!$C$4:$C$4996,MATCH(D3775,Produtos!$B$4:$B$4996,0)),"Produto não encontrado"),"")</f>
        <v/>
      </c>
    </row>
    <row r="3776" spans="1:5" x14ac:dyDescent="0.3">
      <c r="A3776" s="21" t="str">
        <f t="shared" ref="A3776:A3839" si="59">IF(C3776="Entrada",2,IF(C3776="Saída",1,"."))</f>
        <v>.</v>
      </c>
      <c r="D3776" s="44"/>
      <c r="E3776" s="22" t="str">
        <f>IF(D3776&lt;&gt;"",IFERROR(INDEX(Produtos!$C$4:$C$4996,MATCH(D3776,Produtos!$B$4:$B$4996,0)),"Produto não encontrado"),"")</f>
        <v/>
      </c>
    </row>
    <row r="3777" spans="1:5" x14ac:dyDescent="0.3">
      <c r="A3777" s="21" t="str">
        <f t="shared" si="59"/>
        <v>.</v>
      </c>
      <c r="D3777" s="44"/>
      <c r="E3777" s="22" t="str">
        <f>IF(D3777&lt;&gt;"",IFERROR(INDEX(Produtos!$C$4:$C$4996,MATCH(D3777,Produtos!$B$4:$B$4996,0)),"Produto não encontrado"),"")</f>
        <v/>
      </c>
    </row>
    <row r="3778" spans="1:5" x14ac:dyDescent="0.3">
      <c r="A3778" s="21" t="str">
        <f t="shared" si="59"/>
        <v>.</v>
      </c>
      <c r="D3778" s="44"/>
      <c r="E3778" s="22" t="str">
        <f>IF(D3778&lt;&gt;"",IFERROR(INDEX(Produtos!$C$4:$C$4996,MATCH(D3778,Produtos!$B$4:$B$4996,0)),"Produto não encontrado"),"")</f>
        <v/>
      </c>
    </row>
    <row r="3779" spans="1:5" x14ac:dyDescent="0.3">
      <c r="A3779" s="21" t="str">
        <f t="shared" si="59"/>
        <v>.</v>
      </c>
      <c r="D3779" s="44"/>
      <c r="E3779" s="22" t="str">
        <f>IF(D3779&lt;&gt;"",IFERROR(INDEX(Produtos!$C$4:$C$4996,MATCH(D3779,Produtos!$B$4:$B$4996,0)),"Produto não encontrado"),"")</f>
        <v/>
      </c>
    </row>
    <row r="3780" spans="1:5" x14ac:dyDescent="0.3">
      <c r="A3780" s="21" t="str">
        <f t="shared" si="59"/>
        <v>.</v>
      </c>
      <c r="D3780" s="44"/>
      <c r="E3780" s="22" t="str">
        <f>IF(D3780&lt;&gt;"",IFERROR(INDEX(Produtos!$C$4:$C$4996,MATCH(D3780,Produtos!$B$4:$B$4996,0)),"Produto não encontrado"),"")</f>
        <v/>
      </c>
    </row>
    <row r="3781" spans="1:5" x14ac:dyDescent="0.3">
      <c r="A3781" s="21" t="str">
        <f t="shared" si="59"/>
        <v>.</v>
      </c>
      <c r="D3781" s="44"/>
      <c r="E3781" s="22" t="str">
        <f>IF(D3781&lt;&gt;"",IFERROR(INDEX(Produtos!$C$4:$C$4996,MATCH(D3781,Produtos!$B$4:$B$4996,0)),"Produto não encontrado"),"")</f>
        <v/>
      </c>
    </row>
    <row r="3782" spans="1:5" x14ac:dyDescent="0.3">
      <c r="A3782" s="21" t="str">
        <f t="shared" si="59"/>
        <v>.</v>
      </c>
      <c r="D3782" s="44"/>
      <c r="E3782" s="22" t="str">
        <f>IF(D3782&lt;&gt;"",IFERROR(INDEX(Produtos!$C$4:$C$4996,MATCH(D3782,Produtos!$B$4:$B$4996,0)),"Produto não encontrado"),"")</f>
        <v/>
      </c>
    </row>
    <row r="3783" spans="1:5" x14ac:dyDescent="0.3">
      <c r="A3783" s="21" t="str">
        <f t="shared" si="59"/>
        <v>.</v>
      </c>
      <c r="D3783" s="44"/>
      <c r="E3783" s="22" t="str">
        <f>IF(D3783&lt;&gt;"",IFERROR(INDEX(Produtos!$C$4:$C$4996,MATCH(D3783,Produtos!$B$4:$B$4996,0)),"Produto não encontrado"),"")</f>
        <v/>
      </c>
    </row>
    <row r="3784" spans="1:5" x14ac:dyDescent="0.3">
      <c r="A3784" s="21" t="str">
        <f t="shared" si="59"/>
        <v>.</v>
      </c>
      <c r="D3784" s="44"/>
      <c r="E3784" s="22" t="str">
        <f>IF(D3784&lt;&gt;"",IFERROR(INDEX(Produtos!$C$4:$C$4996,MATCH(D3784,Produtos!$B$4:$B$4996,0)),"Produto não encontrado"),"")</f>
        <v/>
      </c>
    </row>
    <row r="3785" spans="1:5" x14ac:dyDescent="0.3">
      <c r="A3785" s="21" t="str">
        <f t="shared" si="59"/>
        <v>.</v>
      </c>
      <c r="D3785" s="44"/>
      <c r="E3785" s="22" t="str">
        <f>IF(D3785&lt;&gt;"",IFERROR(INDEX(Produtos!$C$4:$C$4996,MATCH(D3785,Produtos!$B$4:$B$4996,0)),"Produto não encontrado"),"")</f>
        <v/>
      </c>
    </row>
    <row r="3786" spans="1:5" x14ac:dyDescent="0.3">
      <c r="A3786" s="21" t="str">
        <f t="shared" si="59"/>
        <v>.</v>
      </c>
      <c r="D3786" s="44"/>
      <c r="E3786" s="22" t="str">
        <f>IF(D3786&lt;&gt;"",IFERROR(INDEX(Produtos!$C$4:$C$4996,MATCH(D3786,Produtos!$B$4:$B$4996,0)),"Produto não encontrado"),"")</f>
        <v/>
      </c>
    </row>
    <row r="3787" spans="1:5" x14ac:dyDescent="0.3">
      <c r="A3787" s="21" t="str">
        <f t="shared" si="59"/>
        <v>.</v>
      </c>
      <c r="D3787" s="44"/>
      <c r="E3787" s="22" t="str">
        <f>IF(D3787&lt;&gt;"",IFERROR(INDEX(Produtos!$C$4:$C$4996,MATCH(D3787,Produtos!$B$4:$B$4996,0)),"Produto não encontrado"),"")</f>
        <v/>
      </c>
    </row>
    <row r="3788" spans="1:5" x14ac:dyDescent="0.3">
      <c r="A3788" s="21" t="str">
        <f t="shared" si="59"/>
        <v>.</v>
      </c>
      <c r="D3788" s="44"/>
      <c r="E3788" s="22" t="str">
        <f>IF(D3788&lt;&gt;"",IFERROR(INDEX(Produtos!$C$4:$C$4996,MATCH(D3788,Produtos!$B$4:$B$4996,0)),"Produto não encontrado"),"")</f>
        <v/>
      </c>
    </row>
    <row r="3789" spans="1:5" x14ac:dyDescent="0.3">
      <c r="A3789" s="21" t="str">
        <f t="shared" si="59"/>
        <v>.</v>
      </c>
      <c r="D3789" s="44"/>
      <c r="E3789" s="22" t="str">
        <f>IF(D3789&lt;&gt;"",IFERROR(INDEX(Produtos!$C$4:$C$4996,MATCH(D3789,Produtos!$B$4:$B$4996,0)),"Produto não encontrado"),"")</f>
        <v/>
      </c>
    </row>
    <row r="3790" spans="1:5" x14ac:dyDescent="0.3">
      <c r="A3790" s="21" t="str">
        <f t="shared" si="59"/>
        <v>.</v>
      </c>
      <c r="D3790" s="44"/>
      <c r="E3790" s="22" t="str">
        <f>IF(D3790&lt;&gt;"",IFERROR(INDEX(Produtos!$C$4:$C$4996,MATCH(D3790,Produtos!$B$4:$B$4996,0)),"Produto não encontrado"),"")</f>
        <v/>
      </c>
    </row>
    <row r="3791" spans="1:5" x14ac:dyDescent="0.3">
      <c r="A3791" s="21" t="str">
        <f t="shared" si="59"/>
        <v>.</v>
      </c>
      <c r="D3791" s="44"/>
      <c r="E3791" s="22" t="str">
        <f>IF(D3791&lt;&gt;"",IFERROR(INDEX(Produtos!$C$4:$C$4996,MATCH(D3791,Produtos!$B$4:$B$4996,0)),"Produto não encontrado"),"")</f>
        <v/>
      </c>
    </row>
    <row r="3792" spans="1:5" x14ac:dyDescent="0.3">
      <c r="A3792" s="21" t="str">
        <f t="shared" si="59"/>
        <v>.</v>
      </c>
      <c r="D3792" s="44"/>
      <c r="E3792" s="22" t="str">
        <f>IF(D3792&lt;&gt;"",IFERROR(INDEX(Produtos!$C$4:$C$4996,MATCH(D3792,Produtos!$B$4:$B$4996,0)),"Produto não encontrado"),"")</f>
        <v/>
      </c>
    </row>
    <row r="3793" spans="1:5" x14ac:dyDescent="0.3">
      <c r="A3793" s="21" t="str">
        <f t="shared" si="59"/>
        <v>.</v>
      </c>
      <c r="D3793" s="44"/>
      <c r="E3793" s="22" t="str">
        <f>IF(D3793&lt;&gt;"",IFERROR(INDEX(Produtos!$C$4:$C$4996,MATCH(D3793,Produtos!$B$4:$B$4996,0)),"Produto não encontrado"),"")</f>
        <v/>
      </c>
    </row>
    <row r="3794" spans="1:5" x14ac:dyDescent="0.3">
      <c r="A3794" s="21" t="str">
        <f t="shared" si="59"/>
        <v>.</v>
      </c>
      <c r="D3794" s="44"/>
      <c r="E3794" s="22" t="str">
        <f>IF(D3794&lt;&gt;"",IFERROR(INDEX(Produtos!$C$4:$C$4996,MATCH(D3794,Produtos!$B$4:$B$4996,0)),"Produto não encontrado"),"")</f>
        <v/>
      </c>
    </row>
    <row r="3795" spans="1:5" x14ac:dyDescent="0.3">
      <c r="A3795" s="21" t="str">
        <f t="shared" si="59"/>
        <v>.</v>
      </c>
      <c r="D3795" s="44"/>
      <c r="E3795" s="22" t="str">
        <f>IF(D3795&lt;&gt;"",IFERROR(INDEX(Produtos!$C$4:$C$4996,MATCH(D3795,Produtos!$B$4:$B$4996,0)),"Produto não encontrado"),"")</f>
        <v/>
      </c>
    </row>
    <row r="3796" spans="1:5" x14ac:dyDescent="0.3">
      <c r="A3796" s="21" t="str">
        <f t="shared" si="59"/>
        <v>.</v>
      </c>
      <c r="D3796" s="44"/>
      <c r="E3796" s="22" t="str">
        <f>IF(D3796&lt;&gt;"",IFERROR(INDEX(Produtos!$C$4:$C$4996,MATCH(D3796,Produtos!$B$4:$B$4996,0)),"Produto não encontrado"),"")</f>
        <v/>
      </c>
    </row>
    <row r="3797" spans="1:5" x14ac:dyDescent="0.3">
      <c r="A3797" s="21" t="str">
        <f t="shared" si="59"/>
        <v>.</v>
      </c>
      <c r="D3797" s="44"/>
      <c r="E3797" s="22" t="str">
        <f>IF(D3797&lt;&gt;"",IFERROR(INDEX(Produtos!$C$4:$C$4996,MATCH(D3797,Produtos!$B$4:$B$4996,0)),"Produto não encontrado"),"")</f>
        <v/>
      </c>
    </row>
    <row r="3798" spans="1:5" x14ac:dyDescent="0.3">
      <c r="A3798" s="21" t="str">
        <f t="shared" si="59"/>
        <v>.</v>
      </c>
      <c r="D3798" s="44"/>
      <c r="E3798" s="22" t="str">
        <f>IF(D3798&lt;&gt;"",IFERROR(INDEX(Produtos!$C$4:$C$4996,MATCH(D3798,Produtos!$B$4:$B$4996,0)),"Produto não encontrado"),"")</f>
        <v/>
      </c>
    </row>
    <row r="3799" spans="1:5" x14ac:dyDescent="0.3">
      <c r="A3799" s="21" t="str">
        <f t="shared" si="59"/>
        <v>.</v>
      </c>
      <c r="D3799" s="44"/>
      <c r="E3799" s="22" t="str">
        <f>IF(D3799&lt;&gt;"",IFERROR(INDEX(Produtos!$C$4:$C$4996,MATCH(D3799,Produtos!$B$4:$B$4996,0)),"Produto não encontrado"),"")</f>
        <v/>
      </c>
    </row>
    <row r="3800" spans="1:5" x14ac:dyDescent="0.3">
      <c r="A3800" s="21" t="str">
        <f t="shared" si="59"/>
        <v>.</v>
      </c>
      <c r="D3800" s="44"/>
      <c r="E3800" s="22" t="str">
        <f>IF(D3800&lt;&gt;"",IFERROR(INDEX(Produtos!$C$4:$C$4996,MATCH(D3800,Produtos!$B$4:$B$4996,0)),"Produto não encontrado"),"")</f>
        <v/>
      </c>
    </row>
    <row r="3801" spans="1:5" x14ac:dyDescent="0.3">
      <c r="A3801" s="21" t="str">
        <f t="shared" si="59"/>
        <v>.</v>
      </c>
      <c r="D3801" s="44"/>
      <c r="E3801" s="22" t="str">
        <f>IF(D3801&lt;&gt;"",IFERROR(INDEX(Produtos!$C$4:$C$4996,MATCH(D3801,Produtos!$B$4:$B$4996,0)),"Produto não encontrado"),"")</f>
        <v/>
      </c>
    </row>
    <row r="3802" spans="1:5" x14ac:dyDescent="0.3">
      <c r="A3802" s="21" t="str">
        <f t="shared" si="59"/>
        <v>.</v>
      </c>
      <c r="D3802" s="44"/>
      <c r="E3802" s="22" t="str">
        <f>IF(D3802&lt;&gt;"",IFERROR(INDEX(Produtos!$C$4:$C$4996,MATCH(D3802,Produtos!$B$4:$B$4996,0)),"Produto não encontrado"),"")</f>
        <v/>
      </c>
    </row>
    <row r="3803" spans="1:5" x14ac:dyDescent="0.3">
      <c r="A3803" s="21" t="str">
        <f t="shared" si="59"/>
        <v>.</v>
      </c>
      <c r="D3803" s="44"/>
      <c r="E3803" s="22" t="str">
        <f>IF(D3803&lt;&gt;"",IFERROR(INDEX(Produtos!$C$4:$C$4996,MATCH(D3803,Produtos!$B$4:$B$4996,0)),"Produto não encontrado"),"")</f>
        <v/>
      </c>
    </row>
    <row r="3804" spans="1:5" x14ac:dyDescent="0.3">
      <c r="A3804" s="21" t="str">
        <f t="shared" si="59"/>
        <v>.</v>
      </c>
      <c r="D3804" s="44"/>
      <c r="E3804" s="22" t="str">
        <f>IF(D3804&lt;&gt;"",IFERROR(INDEX(Produtos!$C$4:$C$4996,MATCH(D3804,Produtos!$B$4:$B$4996,0)),"Produto não encontrado"),"")</f>
        <v/>
      </c>
    </row>
    <row r="3805" spans="1:5" x14ac:dyDescent="0.3">
      <c r="A3805" s="21" t="str">
        <f t="shared" si="59"/>
        <v>.</v>
      </c>
      <c r="D3805" s="44"/>
      <c r="E3805" s="22" t="str">
        <f>IF(D3805&lt;&gt;"",IFERROR(INDEX(Produtos!$C$4:$C$4996,MATCH(D3805,Produtos!$B$4:$B$4996,0)),"Produto não encontrado"),"")</f>
        <v/>
      </c>
    </row>
    <row r="3806" spans="1:5" x14ac:dyDescent="0.3">
      <c r="A3806" s="21" t="str">
        <f t="shared" si="59"/>
        <v>.</v>
      </c>
      <c r="D3806" s="44"/>
      <c r="E3806" s="22" t="str">
        <f>IF(D3806&lt;&gt;"",IFERROR(INDEX(Produtos!$C$4:$C$4996,MATCH(D3806,Produtos!$B$4:$B$4996,0)),"Produto não encontrado"),"")</f>
        <v/>
      </c>
    </row>
    <row r="3807" spans="1:5" x14ac:dyDescent="0.3">
      <c r="A3807" s="21" t="str">
        <f t="shared" si="59"/>
        <v>.</v>
      </c>
      <c r="D3807" s="44"/>
      <c r="E3807" s="22" t="str">
        <f>IF(D3807&lt;&gt;"",IFERROR(INDEX(Produtos!$C$4:$C$4996,MATCH(D3807,Produtos!$B$4:$B$4996,0)),"Produto não encontrado"),"")</f>
        <v/>
      </c>
    </row>
    <row r="3808" spans="1:5" x14ac:dyDescent="0.3">
      <c r="A3808" s="21" t="str">
        <f t="shared" si="59"/>
        <v>.</v>
      </c>
      <c r="D3808" s="44"/>
      <c r="E3808" s="22" t="str">
        <f>IF(D3808&lt;&gt;"",IFERROR(INDEX(Produtos!$C$4:$C$4996,MATCH(D3808,Produtos!$B$4:$B$4996,0)),"Produto não encontrado"),"")</f>
        <v/>
      </c>
    </row>
    <row r="3809" spans="1:5" x14ac:dyDescent="0.3">
      <c r="A3809" s="21" t="str">
        <f t="shared" si="59"/>
        <v>.</v>
      </c>
      <c r="D3809" s="44"/>
      <c r="E3809" s="22" t="str">
        <f>IF(D3809&lt;&gt;"",IFERROR(INDEX(Produtos!$C$4:$C$4996,MATCH(D3809,Produtos!$B$4:$B$4996,0)),"Produto não encontrado"),"")</f>
        <v/>
      </c>
    </row>
    <row r="3810" spans="1:5" x14ac:dyDescent="0.3">
      <c r="A3810" s="21" t="str">
        <f t="shared" si="59"/>
        <v>.</v>
      </c>
      <c r="D3810" s="44"/>
      <c r="E3810" s="22" t="str">
        <f>IF(D3810&lt;&gt;"",IFERROR(INDEX(Produtos!$C$4:$C$4996,MATCH(D3810,Produtos!$B$4:$B$4996,0)),"Produto não encontrado"),"")</f>
        <v/>
      </c>
    </row>
    <row r="3811" spans="1:5" x14ac:dyDescent="0.3">
      <c r="A3811" s="21" t="str">
        <f t="shared" si="59"/>
        <v>.</v>
      </c>
      <c r="D3811" s="44"/>
      <c r="E3811" s="22" t="str">
        <f>IF(D3811&lt;&gt;"",IFERROR(INDEX(Produtos!$C$4:$C$4996,MATCH(D3811,Produtos!$B$4:$B$4996,0)),"Produto não encontrado"),"")</f>
        <v/>
      </c>
    </row>
    <row r="3812" spans="1:5" x14ac:dyDescent="0.3">
      <c r="A3812" s="21" t="str">
        <f t="shared" si="59"/>
        <v>.</v>
      </c>
      <c r="D3812" s="44"/>
      <c r="E3812" s="22" t="str">
        <f>IF(D3812&lt;&gt;"",IFERROR(INDEX(Produtos!$C$4:$C$4996,MATCH(D3812,Produtos!$B$4:$B$4996,0)),"Produto não encontrado"),"")</f>
        <v/>
      </c>
    </row>
    <row r="3813" spans="1:5" x14ac:dyDescent="0.3">
      <c r="A3813" s="21" t="str">
        <f t="shared" si="59"/>
        <v>.</v>
      </c>
      <c r="D3813" s="44"/>
      <c r="E3813" s="22" t="str">
        <f>IF(D3813&lt;&gt;"",IFERROR(INDEX(Produtos!$C$4:$C$4996,MATCH(D3813,Produtos!$B$4:$B$4996,0)),"Produto não encontrado"),"")</f>
        <v/>
      </c>
    </row>
    <row r="3814" spans="1:5" x14ac:dyDescent="0.3">
      <c r="A3814" s="21" t="str">
        <f t="shared" si="59"/>
        <v>.</v>
      </c>
      <c r="D3814" s="44"/>
      <c r="E3814" s="22" t="str">
        <f>IF(D3814&lt;&gt;"",IFERROR(INDEX(Produtos!$C$4:$C$4996,MATCH(D3814,Produtos!$B$4:$B$4996,0)),"Produto não encontrado"),"")</f>
        <v/>
      </c>
    </row>
    <row r="3815" spans="1:5" x14ac:dyDescent="0.3">
      <c r="A3815" s="21" t="str">
        <f t="shared" si="59"/>
        <v>.</v>
      </c>
      <c r="D3815" s="44"/>
      <c r="E3815" s="22" t="str">
        <f>IF(D3815&lt;&gt;"",IFERROR(INDEX(Produtos!$C$4:$C$4996,MATCH(D3815,Produtos!$B$4:$B$4996,0)),"Produto não encontrado"),"")</f>
        <v/>
      </c>
    </row>
    <row r="3816" spans="1:5" x14ac:dyDescent="0.3">
      <c r="A3816" s="21" t="str">
        <f t="shared" si="59"/>
        <v>.</v>
      </c>
      <c r="D3816" s="44"/>
      <c r="E3816" s="22" t="str">
        <f>IF(D3816&lt;&gt;"",IFERROR(INDEX(Produtos!$C$4:$C$4996,MATCH(D3816,Produtos!$B$4:$B$4996,0)),"Produto não encontrado"),"")</f>
        <v/>
      </c>
    </row>
    <row r="3817" spans="1:5" x14ac:dyDescent="0.3">
      <c r="A3817" s="21" t="str">
        <f t="shared" si="59"/>
        <v>.</v>
      </c>
      <c r="D3817" s="44"/>
      <c r="E3817" s="22" t="str">
        <f>IF(D3817&lt;&gt;"",IFERROR(INDEX(Produtos!$C$4:$C$4996,MATCH(D3817,Produtos!$B$4:$B$4996,0)),"Produto não encontrado"),"")</f>
        <v/>
      </c>
    </row>
    <row r="3818" spans="1:5" x14ac:dyDescent="0.3">
      <c r="A3818" s="21" t="str">
        <f t="shared" si="59"/>
        <v>.</v>
      </c>
      <c r="D3818" s="44"/>
      <c r="E3818" s="22" t="str">
        <f>IF(D3818&lt;&gt;"",IFERROR(INDEX(Produtos!$C$4:$C$4996,MATCH(D3818,Produtos!$B$4:$B$4996,0)),"Produto não encontrado"),"")</f>
        <v/>
      </c>
    </row>
    <row r="3819" spans="1:5" x14ac:dyDescent="0.3">
      <c r="A3819" s="21" t="str">
        <f t="shared" si="59"/>
        <v>.</v>
      </c>
      <c r="D3819" s="44"/>
      <c r="E3819" s="22" t="str">
        <f>IF(D3819&lt;&gt;"",IFERROR(INDEX(Produtos!$C$4:$C$4996,MATCH(D3819,Produtos!$B$4:$B$4996,0)),"Produto não encontrado"),"")</f>
        <v/>
      </c>
    </row>
    <row r="3820" spans="1:5" x14ac:dyDescent="0.3">
      <c r="A3820" s="21" t="str">
        <f t="shared" si="59"/>
        <v>.</v>
      </c>
      <c r="D3820" s="44"/>
      <c r="E3820" s="22" t="str">
        <f>IF(D3820&lt;&gt;"",IFERROR(INDEX(Produtos!$C$4:$C$4996,MATCH(D3820,Produtos!$B$4:$B$4996,0)),"Produto não encontrado"),"")</f>
        <v/>
      </c>
    </row>
    <row r="3821" spans="1:5" x14ac:dyDescent="0.3">
      <c r="A3821" s="21" t="str">
        <f t="shared" si="59"/>
        <v>.</v>
      </c>
      <c r="D3821" s="44"/>
      <c r="E3821" s="22" t="str">
        <f>IF(D3821&lt;&gt;"",IFERROR(INDEX(Produtos!$C$4:$C$4996,MATCH(D3821,Produtos!$B$4:$B$4996,0)),"Produto não encontrado"),"")</f>
        <v/>
      </c>
    </row>
    <row r="3822" spans="1:5" x14ac:dyDescent="0.3">
      <c r="A3822" s="21" t="str">
        <f t="shared" si="59"/>
        <v>.</v>
      </c>
      <c r="D3822" s="44"/>
      <c r="E3822" s="22" t="str">
        <f>IF(D3822&lt;&gt;"",IFERROR(INDEX(Produtos!$C$4:$C$4996,MATCH(D3822,Produtos!$B$4:$B$4996,0)),"Produto não encontrado"),"")</f>
        <v/>
      </c>
    </row>
    <row r="3823" spans="1:5" x14ac:dyDescent="0.3">
      <c r="A3823" s="21" t="str">
        <f t="shared" si="59"/>
        <v>.</v>
      </c>
      <c r="D3823" s="44"/>
      <c r="E3823" s="22" t="str">
        <f>IF(D3823&lt;&gt;"",IFERROR(INDEX(Produtos!$C$4:$C$4996,MATCH(D3823,Produtos!$B$4:$B$4996,0)),"Produto não encontrado"),"")</f>
        <v/>
      </c>
    </row>
    <row r="3824" spans="1:5" x14ac:dyDescent="0.3">
      <c r="A3824" s="21" t="str">
        <f t="shared" si="59"/>
        <v>.</v>
      </c>
      <c r="D3824" s="44"/>
      <c r="E3824" s="22" t="str">
        <f>IF(D3824&lt;&gt;"",IFERROR(INDEX(Produtos!$C$4:$C$4996,MATCH(D3824,Produtos!$B$4:$B$4996,0)),"Produto não encontrado"),"")</f>
        <v/>
      </c>
    </row>
    <row r="3825" spans="1:5" x14ac:dyDescent="0.3">
      <c r="A3825" s="21" t="str">
        <f t="shared" si="59"/>
        <v>.</v>
      </c>
      <c r="D3825" s="44"/>
      <c r="E3825" s="22" t="str">
        <f>IF(D3825&lt;&gt;"",IFERROR(INDEX(Produtos!$C$4:$C$4996,MATCH(D3825,Produtos!$B$4:$B$4996,0)),"Produto não encontrado"),"")</f>
        <v/>
      </c>
    </row>
    <row r="3826" spans="1:5" x14ac:dyDescent="0.3">
      <c r="A3826" s="21" t="str">
        <f t="shared" si="59"/>
        <v>.</v>
      </c>
      <c r="D3826" s="44"/>
      <c r="E3826" s="22" t="str">
        <f>IF(D3826&lt;&gt;"",IFERROR(INDEX(Produtos!$C$4:$C$4996,MATCH(D3826,Produtos!$B$4:$B$4996,0)),"Produto não encontrado"),"")</f>
        <v/>
      </c>
    </row>
    <row r="3827" spans="1:5" x14ac:dyDescent="0.3">
      <c r="A3827" s="21" t="str">
        <f t="shared" si="59"/>
        <v>.</v>
      </c>
      <c r="D3827" s="44"/>
      <c r="E3827" s="22" t="str">
        <f>IF(D3827&lt;&gt;"",IFERROR(INDEX(Produtos!$C$4:$C$4996,MATCH(D3827,Produtos!$B$4:$B$4996,0)),"Produto não encontrado"),"")</f>
        <v/>
      </c>
    </row>
    <row r="3828" spans="1:5" x14ac:dyDescent="0.3">
      <c r="A3828" s="21" t="str">
        <f t="shared" si="59"/>
        <v>.</v>
      </c>
      <c r="D3828" s="44"/>
      <c r="E3828" s="22" t="str">
        <f>IF(D3828&lt;&gt;"",IFERROR(INDEX(Produtos!$C$4:$C$4996,MATCH(D3828,Produtos!$B$4:$B$4996,0)),"Produto não encontrado"),"")</f>
        <v/>
      </c>
    </row>
    <row r="3829" spans="1:5" x14ac:dyDescent="0.3">
      <c r="A3829" s="21" t="str">
        <f t="shared" si="59"/>
        <v>.</v>
      </c>
      <c r="D3829" s="44"/>
      <c r="E3829" s="22" t="str">
        <f>IF(D3829&lt;&gt;"",IFERROR(INDEX(Produtos!$C$4:$C$4996,MATCH(D3829,Produtos!$B$4:$B$4996,0)),"Produto não encontrado"),"")</f>
        <v/>
      </c>
    </row>
    <row r="3830" spans="1:5" x14ac:dyDescent="0.3">
      <c r="A3830" s="21" t="str">
        <f t="shared" si="59"/>
        <v>.</v>
      </c>
      <c r="D3830" s="44"/>
      <c r="E3830" s="22" t="str">
        <f>IF(D3830&lt;&gt;"",IFERROR(INDEX(Produtos!$C$4:$C$4996,MATCH(D3830,Produtos!$B$4:$B$4996,0)),"Produto não encontrado"),"")</f>
        <v/>
      </c>
    </row>
    <row r="3831" spans="1:5" x14ac:dyDescent="0.3">
      <c r="A3831" s="21" t="str">
        <f t="shared" si="59"/>
        <v>.</v>
      </c>
      <c r="D3831" s="44"/>
      <c r="E3831" s="22" t="str">
        <f>IF(D3831&lt;&gt;"",IFERROR(INDEX(Produtos!$C$4:$C$4996,MATCH(D3831,Produtos!$B$4:$B$4996,0)),"Produto não encontrado"),"")</f>
        <v/>
      </c>
    </row>
    <row r="3832" spans="1:5" x14ac:dyDescent="0.3">
      <c r="A3832" s="21" t="str">
        <f t="shared" si="59"/>
        <v>.</v>
      </c>
      <c r="D3832" s="44"/>
      <c r="E3832" s="22" t="str">
        <f>IF(D3832&lt;&gt;"",IFERROR(INDEX(Produtos!$C$4:$C$4996,MATCH(D3832,Produtos!$B$4:$B$4996,0)),"Produto não encontrado"),"")</f>
        <v/>
      </c>
    </row>
    <row r="3833" spans="1:5" x14ac:dyDescent="0.3">
      <c r="A3833" s="21" t="str">
        <f t="shared" si="59"/>
        <v>.</v>
      </c>
      <c r="D3833" s="44"/>
      <c r="E3833" s="22" t="str">
        <f>IF(D3833&lt;&gt;"",IFERROR(INDEX(Produtos!$C$4:$C$4996,MATCH(D3833,Produtos!$B$4:$B$4996,0)),"Produto não encontrado"),"")</f>
        <v/>
      </c>
    </row>
    <row r="3834" spans="1:5" x14ac:dyDescent="0.3">
      <c r="A3834" s="21" t="str">
        <f t="shared" si="59"/>
        <v>.</v>
      </c>
      <c r="D3834" s="44"/>
      <c r="E3834" s="22" t="str">
        <f>IF(D3834&lt;&gt;"",IFERROR(INDEX(Produtos!$C$4:$C$4996,MATCH(D3834,Produtos!$B$4:$B$4996,0)),"Produto não encontrado"),"")</f>
        <v/>
      </c>
    </row>
    <row r="3835" spans="1:5" x14ac:dyDescent="0.3">
      <c r="A3835" s="21" t="str">
        <f t="shared" si="59"/>
        <v>.</v>
      </c>
      <c r="D3835" s="44"/>
      <c r="E3835" s="22" t="str">
        <f>IF(D3835&lt;&gt;"",IFERROR(INDEX(Produtos!$C$4:$C$4996,MATCH(D3835,Produtos!$B$4:$B$4996,0)),"Produto não encontrado"),"")</f>
        <v/>
      </c>
    </row>
    <row r="3836" spans="1:5" x14ac:dyDescent="0.3">
      <c r="A3836" s="21" t="str">
        <f t="shared" si="59"/>
        <v>.</v>
      </c>
      <c r="D3836" s="44"/>
      <c r="E3836" s="22" t="str">
        <f>IF(D3836&lt;&gt;"",IFERROR(INDEX(Produtos!$C$4:$C$4996,MATCH(D3836,Produtos!$B$4:$B$4996,0)),"Produto não encontrado"),"")</f>
        <v/>
      </c>
    </row>
    <row r="3837" spans="1:5" x14ac:dyDescent="0.3">
      <c r="A3837" s="21" t="str">
        <f t="shared" si="59"/>
        <v>.</v>
      </c>
      <c r="D3837" s="44"/>
      <c r="E3837" s="22" t="str">
        <f>IF(D3837&lt;&gt;"",IFERROR(INDEX(Produtos!$C$4:$C$4996,MATCH(D3837,Produtos!$B$4:$B$4996,0)),"Produto não encontrado"),"")</f>
        <v/>
      </c>
    </row>
    <row r="3838" spans="1:5" x14ac:dyDescent="0.3">
      <c r="A3838" s="21" t="str">
        <f t="shared" si="59"/>
        <v>.</v>
      </c>
      <c r="D3838" s="44"/>
      <c r="E3838" s="22" t="str">
        <f>IF(D3838&lt;&gt;"",IFERROR(INDEX(Produtos!$C$4:$C$4996,MATCH(D3838,Produtos!$B$4:$B$4996,0)),"Produto não encontrado"),"")</f>
        <v/>
      </c>
    </row>
    <row r="3839" spans="1:5" x14ac:dyDescent="0.3">
      <c r="A3839" s="21" t="str">
        <f t="shared" si="59"/>
        <v>.</v>
      </c>
      <c r="D3839" s="44"/>
      <c r="E3839" s="22" t="str">
        <f>IF(D3839&lt;&gt;"",IFERROR(INDEX(Produtos!$C$4:$C$4996,MATCH(D3839,Produtos!$B$4:$B$4996,0)),"Produto não encontrado"),"")</f>
        <v/>
      </c>
    </row>
    <row r="3840" spans="1:5" x14ac:dyDescent="0.3">
      <c r="A3840" s="21" t="str">
        <f t="shared" ref="A3840:A3903" si="60">IF(C3840="Entrada",2,IF(C3840="Saída",1,"."))</f>
        <v>.</v>
      </c>
      <c r="D3840" s="44"/>
      <c r="E3840" s="22" t="str">
        <f>IF(D3840&lt;&gt;"",IFERROR(INDEX(Produtos!$C$4:$C$4996,MATCH(D3840,Produtos!$B$4:$B$4996,0)),"Produto não encontrado"),"")</f>
        <v/>
      </c>
    </row>
    <row r="3841" spans="1:5" x14ac:dyDescent="0.3">
      <c r="A3841" s="21" t="str">
        <f t="shared" si="60"/>
        <v>.</v>
      </c>
      <c r="D3841" s="44"/>
      <c r="E3841" s="22" t="str">
        <f>IF(D3841&lt;&gt;"",IFERROR(INDEX(Produtos!$C$4:$C$4996,MATCH(D3841,Produtos!$B$4:$B$4996,0)),"Produto não encontrado"),"")</f>
        <v/>
      </c>
    </row>
    <row r="3842" spans="1:5" x14ac:dyDescent="0.3">
      <c r="A3842" s="21" t="str">
        <f t="shared" si="60"/>
        <v>.</v>
      </c>
      <c r="D3842" s="44"/>
      <c r="E3842" s="22" t="str">
        <f>IF(D3842&lt;&gt;"",IFERROR(INDEX(Produtos!$C$4:$C$4996,MATCH(D3842,Produtos!$B$4:$B$4996,0)),"Produto não encontrado"),"")</f>
        <v/>
      </c>
    </row>
    <row r="3843" spans="1:5" x14ac:dyDescent="0.3">
      <c r="A3843" s="21" t="str">
        <f t="shared" si="60"/>
        <v>.</v>
      </c>
      <c r="D3843" s="44"/>
      <c r="E3843" s="22" t="str">
        <f>IF(D3843&lt;&gt;"",IFERROR(INDEX(Produtos!$C$4:$C$4996,MATCH(D3843,Produtos!$B$4:$B$4996,0)),"Produto não encontrado"),"")</f>
        <v/>
      </c>
    </row>
    <row r="3844" spans="1:5" x14ac:dyDescent="0.3">
      <c r="A3844" s="21" t="str">
        <f t="shared" si="60"/>
        <v>.</v>
      </c>
      <c r="D3844" s="44"/>
      <c r="E3844" s="22" t="str">
        <f>IF(D3844&lt;&gt;"",IFERROR(INDEX(Produtos!$C$4:$C$4996,MATCH(D3844,Produtos!$B$4:$B$4996,0)),"Produto não encontrado"),"")</f>
        <v/>
      </c>
    </row>
    <row r="3845" spans="1:5" x14ac:dyDescent="0.3">
      <c r="A3845" s="21" t="str">
        <f t="shared" si="60"/>
        <v>.</v>
      </c>
      <c r="D3845" s="44"/>
      <c r="E3845" s="22" t="str">
        <f>IF(D3845&lt;&gt;"",IFERROR(INDEX(Produtos!$C$4:$C$4996,MATCH(D3845,Produtos!$B$4:$B$4996,0)),"Produto não encontrado"),"")</f>
        <v/>
      </c>
    </row>
    <row r="3846" spans="1:5" x14ac:dyDescent="0.3">
      <c r="A3846" s="21" t="str">
        <f t="shared" si="60"/>
        <v>.</v>
      </c>
      <c r="D3846" s="44"/>
      <c r="E3846" s="22" t="str">
        <f>IF(D3846&lt;&gt;"",IFERROR(INDEX(Produtos!$C$4:$C$4996,MATCH(D3846,Produtos!$B$4:$B$4996,0)),"Produto não encontrado"),"")</f>
        <v/>
      </c>
    </row>
    <row r="3847" spans="1:5" x14ac:dyDescent="0.3">
      <c r="A3847" s="21" t="str">
        <f t="shared" si="60"/>
        <v>.</v>
      </c>
      <c r="D3847" s="44"/>
      <c r="E3847" s="22" t="str">
        <f>IF(D3847&lt;&gt;"",IFERROR(INDEX(Produtos!$C$4:$C$4996,MATCH(D3847,Produtos!$B$4:$B$4996,0)),"Produto não encontrado"),"")</f>
        <v/>
      </c>
    </row>
    <row r="3848" spans="1:5" x14ac:dyDescent="0.3">
      <c r="A3848" s="21" t="str">
        <f t="shared" si="60"/>
        <v>.</v>
      </c>
      <c r="D3848" s="44"/>
      <c r="E3848" s="22" t="str">
        <f>IF(D3848&lt;&gt;"",IFERROR(INDEX(Produtos!$C$4:$C$4996,MATCH(D3848,Produtos!$B$4:$B$4996,0)),"Produto não encontrado"),"")</f>
        <v/>
      </c>
    </row>
    <row r="3849" spans="1:5" x14ac:dyDescent="0.3">
      <c r="A3849" s="21" t="str">
        <f t="shared" si="60"/>
        <v>.</v>
      </c>
      <c r="D3849" s="44"/>
      <c r="E3849" s="22" t="str">
        <f>IF(D3849&lt;&gt;"",IFERROR(INDEX(Produtos!$C$4:$C$4996,MATCH(D3849,Produtos!$B$4:$B$4996,0)),"Produto não encontrado"),"")</f>
        <v/>
      </c>
    </row>
    <row r="3850" spans="1:5" x14ac:dyDescent="0.3">
      <c r="A3850" s="21" t="str">
        <f t="shared" si="60"/>
        <v>.</v>
      </c>
      <c r="D3850" s="44"/>
      <c r="E3850" s="22" t="str">
        <f>IF(D3850&lt;&gt;"",IFERROR(INDEX(Produtos!$C$4:$C$4996,MATCH(D3850,Produtos!$B$4:$B$4996,0)),"Produto não encontrado"),"")</f>
        <v/>
      </c>
    </row>
    <row r="3851" spans="1:5" x14ac:dyDescent="0.3">
      <c r="A3851" s="21" t="str">
        <f t="shared" si="60"/>
        <v>.</v>
      </c>
      <c r="D3851" s="44"/>
      <c r="E3851" s="22" t="str">
        <f>IF(D3851&lt;&gt;"",IFERROR(INDEX(Produtos!$C$4:$C$4996,MATCH(D3851,Produtos!$B$4:$B$4996,0)),"Produto não encontrado"),"")</f>
        <v/>
      </c>
    </row>
    <row r="3852" spans="1:5" x14ac:dyDescent="0.3">
      <c r="A3852" s="21" t="str">
        <f t="shared" si="60"/>
        <v>.</v>
      </c>
      <c r="D3852" s="44"/>
      <c r="E3852" s="22" t="str">
        <f>IF(D3852&lt;&gt;"",IFERROR(INDEX(Produtos!$C$4:$C$4996,MATCH(D3852,Produtos!$B$4:$B$4996,0)),"Produto não encontrado"),"")</f>
        <v/>
      </c>
    </row>
    <row r="3853" spans="1:5" x14ac:dyDescent="0.3">
      <c r="A3853" s="21" t="str">
        <f t="shared" si="60"/>
        <v>.</v>
      </c>
      <c r="D3853" s="44"/>
      <c r="E3853" s="22" t="str">
        <f>IF(D3853&lt;&gt;"",IFERROR(INDEX(Produtos!$C$4:$C$4996,MATCH(D3853,Produtos!$B$4:$B$4996,0)),"Produto não encontrado"),"")</f>
        <v/>
      </c>
    </row>
    <row r="3854" spans="1:5" x14ac:dyDescent="0.3">
      <c r="A3854" s="21" t="str">
        <f t="shared" si="60"/>
        <v>.</v>
      </c>
      <c r="D3854" s="44"/>
      <c r="E3854" s="22" t="str">
        <f>IF(D3854&lt;&gt;"",IFERROR(INDEX(Produtos!$C$4:$C$4996,MATCH(D3854,Produtos!$B$4:$B$4996,0)),"Produto não encontrado"),"")</f>
        <v/>
      </c>
    </row>
    <row r="3855" spans="1:5" x14ac:dyDescent="0.3">
      <c r="A3855" s="21" t="str">
        <f t="shared" si="60"/>
        <v>.</v>
      </c>
      <c r="D3855" s="44"/>
      <c r="E3855" s="22" t="str">
        <f>IF(D3855&lt;&gt;"",IFERROR(INDEX(Produtos!$C$4:$C$4996,MATCH(D3855,Produtos!$B$4:$B$4996,0)),"Produto não encontrado"),"")</f>
        <v/>
      </c>
    </row>
    <row r="3856" spans="1:5" x14ac:dyDescent="0.3">
      <c r="A3856" s="21" t="str">
        <f t="shared" si="60"/>
        <v>.</v>
      </c>
      <c r="D3856" s="44"/>
      <c r="E3856" s="22" t="str">
        <f>IF(D3856&lt;&gt;"",IFERROR(INDEX(Produtos!$C$4:$C$4996,MATCH(D3856,Produtos!$B$4:$B$4996,0)),"Produto não encontrado"),"")</f>
        <v/>
      </c>
    </row>
    <row r="3857" spans="1:5" x14ac:dyDescent="0.3">
      <c r="A3857" s="21" t="str">
        <f t="shared" si="60"/>
        <v>.</v>
      </c>
      <c r="D3857" s="44"/>
      <c r="E3857" s="22" t="str">
        <f>IF(D3857&lt;&gt;"",IFERROR(INDEX(Produtos!$C$4:$C$4996,MATCH(D3857,Produtos!$B$4:$B$4996,0)),"Produto não encontrado"),"")</f>
        <v/>
      </c>
    </row>
    <row r="3858" spans="1:5" x14ac:dyDescent="0.3">
      <c r="A3858" s="21" t="str">
        <f t="shared" si="60"/>
        <v>.</v>
      </c>
      <c r="D3858" s="44"/>
      <c r="E3858" s="22" t="str">
        <f>IF(D3858&lt;&gt;"",IFERROR(INDEX(Produtos!$C$4:$C$4996,MATCH(D3858,Produtos!$B$4:$B$4996,0)),"Produto não encontrado"),"")</f>
        <v/>
      </c>
    </row>
    <row r="3859" spans="1:5" x14ac:dyDescent="0.3">
      <c r="A3859" s="21" t="str">
        <f t="shared" si="60"/>
        <v>.</v>
      </c>
      <c r="D3859" s="44"/>
      <c r="E3859" s="22" t="str">
        <f>IF(D3859&lt;&gt;"",IFERROR(INDEX(Produtos!$C$4:$C$4996,MATCH(D3859,Produtos!$B$4:$B$4996,0)),"Produto não encontrado"),"")</f>
        <v/>
      </c>
    </row>
    <row r="3860" spans="1:5" x14ac:dyDescent="0.3">
      <c r="A3860" s="21" t="str">
        <f t="shared" si="60"/>
        <v>.</v>
      </c>
      <c r="D3860" s="44"/>
      <c r="E3860" s="22" t="str">
        <f>IF(D3860&lt;&gt;"",IFERROR(INDEX(Produtos!$C$4:$C$4996,MATCH(D3860,Produtos!$B$4:$B$4996,0)),"Produto não encontrado"),"")</f>
        <v/>
      </c>
    </row>
    <row r="3861" spans="1:5" x14ac:dyDescent="0.3">
      <c r="A3861" s="21" t="str">
        <f t="shared" si="60"/>
        <v>.</v>
      </c>
      <c r="D3861" s="44"/>
      <c r="E3861" s="22" t="str">
        <f>IF(D3861&lt;&gt;"",IFERROR(INDEX(Produtos!$C$4:$C$4996,MATCH(D3861,Produtos!$B$4:$B$4996,0)),"Produto não encontrado"),"")</f>
        <v/>
      </c>
    </row>
    <row r="3862" spans="1:5" x14ac:dyDescent="0.3">
      <c r="A3862" s="21" t="str">
        <f t="shared" si="60"/>
        <v>.</v>
      </c>
      <c r="D3862" s="44"/>
      <c r="E3862" s="22" t="str">
        <f>IF(D3862&lt;&gt;"",IFERROR(INDEX(Produtos!$C$4:$C$4996,MATCH(D3862,Produtos!$B$4:$B$4996,0)),"Produto não encontrado"),"")</f>
        <v/>
      </c>
    </row>
    <row r="3863" spans="1:5" x14ac:dyDescent="0.3">
      <c r="A3863" s="21" t="str">
        <f t="shared" si="60"/>
        <v>.</v>
      </c>
      <c r="D3863" s="44"/>
      <c r="E3863" s="22" t="str">
        <f>IF(D3863&lt;&gt;"",IFERROR(INDEX(Produtos!$C$4:$C$4996,MATCH(D3863,Produtos!$B$4:$B$4996,0)),"Produto não encontrado"),"")</f>
        <v/>
      </c>
    </row>
    <row r="3864" spans="1:5" x14ac:dyDescent="0.3">
      <c r="A3864" s="21" t="str">
        <f t="shared" si="60"/>
        <v>.</v>
      </c>
      <c r="D3864" s="44"/>
      <c r="E3864" s="22" t="str">
        <f>IF(D3864&lt;&gt;"",IFERROR(INDEX(Produtos!$C$4:$C$4996,MATCH(D3864,Produtos!$B$4:$B$4996,0)),"Produto não encontrado"),"")</f>
        <v/>
      </c>
    </row>
    <row r="3865" spans="1:5" x14ac:dyDescent="0.3">
      <c r="A3865" s="21" t="str">
        <f t="shared" si="60"/>
        <v>.</v>
      </c>
      <c r="D3865" s="44"/>
      <c r="E3865" s="22" t="str">
        <f>IF(D3865&lt;&gt;"",IFERROR(INDEX(Produtos!$C$4:$C$4996,MATCH(D3865,Produtos!$B$4:$B$4996,0)),"Produto não encontrado"),"")</f>
        <v/>
      </c>
    </row>
    <row r="3866" spans="1:5" x14ac:dyDescent="0.3">
      <c r="A3866" s="21" t="str">
        <f t="shared" si="60"/>
        <v>.</v>
      </c>
      <c r="D3866" s="44"/>
      <c r="E3866" s="22" t="str">
        <f>IF(D3866&lt;&gt;"",IFERROR(INDEX(Produtos!$C$4:$C$4996,MATCH(D3866,Produtos!$B$4:$B$4996,0)),"Produto não encontrado"),"")</f>
        <v/>
      </c>
    </row>
    <row r="3867" spans="1:5" x14ac:dyDescent="0.3">
      <c r="A3867" s="21" t="str">
        <f t="shared" si="60"/>
        <v>.</v>
      </c>
      <c r="D3867" s="44"/>
      <c r="E3867" s="22" t="str">
        <f>IF(D3867&lt;&gt;"",IFERROR(INDEX(Produtos!$C$4:$C$4996,MATCH(D3867,Produtos!$B$4:$B$4996,0)),"Produto não encontrado"),"")</f>
        <v/>
      </c>
    </row>
    <row r="3868" spans="1:5" x14ac:dyDescent="0.3">
      <c r="A3868" s="21" t="str">
        <f t="shared" si="60"/>
        <v>.</v>
      </c>
      <c r="D3868" s="44"/>
      <c r="E3868" s="22" t="str">
        <f>IF(D3868&lt;&gt;"",IFERROR(INDEX(Produtos!$C$4:$C$4996,MATCH(D3868,Produtos!$B$4:$B$4996,0)),"Produto não encontrado"),"")</f>
        <v/>
      </c>
    </row>
    <row r="3869" spans="1:5" x14ac:dyDescent="0.3">
      <c r="A3869" s="21" t="str">
        <f t="shared" si="60"/>
        <v>.</v>
      </c>
      <c r="D3869" s="44"/>
      <c r="E3869" s="22" t="str">
        <f>IF(D3869&lt;&gt;"",IFERROR(INDEX(Produtos!$C$4:$C$4996,MATCH(D3869,Produtos!$B$4:$B$4996,0)),"Produto não encontrado"),"")</f>
        <v/>
      </c>
    </row>
    <row r="3870" spans="1:5" x14ac:dyDescent="0.3">
      <c r="A3870" s="21" t="str">
        <f t="shared" si="60"/>
        <v>.</v>
      </c>
      <c r="D3870" s="44"/>
      <c r="E3870" s="22" t="str">
        <f>IF(D3870&lt;&gt;"",IFERROR(INDEX(Produtos!$C$4:$C$4996,MATCH(D3870,Produtos!$B$4:$B$4996,0)),"Produto não encontrado"),"")</f>
        <v/>
      </c>
    </row>
    <row r="3871" spans="1:5" x14ac:dyDescent="0.3">
      <c r="A3871" s="21" t="str">
        <f t="shared" si="60"/>
        <v>.</v>
      </c>
      <c r="D3871" s="44"/>
      <c r="E3871" s="22" t="str">
        <f>IF(D3871&lt;&gt;"",IFERROR(INDEX(Produtos!$C$4:$C$4996,MATCH(D3871,Produtos!$B$4:$B$4996,0)),"Produto não encontrado"),"")</f>
        <v/>
      </c>
    </row>
    <row r="3872" spans="1:5" x14ac:dyDescent="0.3">
      <c r="A3872" s="21" t="str">
        <f t="shared" si="60"/>
        <v>.</v>
      </c>
      <c r="D3872" s="44"/>
      <c r="E3872" s="22" t="str">
        <f>IF(D3872&lt;&gt;"",IFERROR(INDEX(Produtos!$C$4:$C$4996,MATCH(D3872,Produtos!$B$4:$B$4996,0)),"Produto não encontrado"),"")</f>
        <v/>
      </c>
    </row>
    <row r="3873" spans="1:5" x14ac:dyDescent="0.3">
      <c r="A3873" s="21" t="str">
        <f t="shared" si="60"/>
        <v>.</v>
      </c>
      <c r="D3873" s="44"/>
      <c r="E3873" s="22" t="str">
        <f>IF(D3873&lt;&gt;"",IFERROR(INDEX(Produtos!$C$4:$C$4996,MATCH(D3873,Produtos!$B$4:$B$4996,0)),"Produto não encontrado"),"")</f>
        <v/>
      </c>
    </row>
    <row r="3874" spans="1:5" x14ac:dyDescent="0.3">
      <c r="A3874" s="21" t="str">
        <f t="shared" si="60"/>
        <v>.</v>
      </c>
      <c r="D3874" s="44"/>
      <c r="E3874" s="22" t="str">
        <f>IF(D3874&lt;&gt;"",IFERROR(INDEX(Produtos!$C$4:$C$4996,MATCH(D3874,Produtos!$B$4:$B$4996,0)),"Produto não encontrado"),"")</f>
        <v/>
      </c>
    </row>
    <row r="3875" spans="1:5" x14ac:dyDescent="0.3">
      <c r="A3875" s="21" t="str">
        <f t="shared" si="60"/>
        <v>.</v>
      </c>
      <c r="D3875" s="44"/>
      <c r="E3875" s="22" t="str">
        <f>IF(D3875&lt;&gt;"",IFERROR(INDEX(Produtos!$C$4:$C$4996,MATCH(D3875,Produtos!$B$4:$B$4996,0)),"Produto não encontrado"),"")</f>
        <v/>
      </c>
    </row>
    <row r="3876" spans="1:5" x14ac:dyDescent="0.3">
      <c r="A3876" s="21" t="str">
        <f t="shared" si="60"/>
        <v>.</v>
      </c>
      <c r="D3876" s="44"/>
      <c r="E3876" s="22" t="str">
        <f>IF(D3876&lt;&gt;"",IFERROR(INDEX(Produtos!$C$4:$C$4996,MATCH(D3876,Produtos!$B$4:$B$4996,0)),"Produto não encontrado"),"")</f>
        <v/>
      </c>
    </row>
    <row r="3877" spans="1:5" x14ac:dyDescent="0.3">
      <c r="A3877" s="21" t="str">
        <f t="shared" si="60"/>
        <v>.</v>
      </c>
      <c r="D3877" s="44"/>
      <c r="E3877" s="22" t="str">
        <f>IF(D3877&lt;&gt;"",IFERROR(INDEX(Produtos!$C$4:$C$4996,MATCH(D3877,Produtos!$B$4:$B$4996,0)),"Produto não encontrado"),"")</f>
        <v/>
      </c>
    </row>
    <row r="3878" spans="1:5" x14ac:dyDescent="0.3">
      <c r="A3878" s="21" t="str">
        <f t="shared" si="60"/>
        <v>.</v>
      </c>
      <c r="D3878" s="44"/>
      <c r="E3878" s="22" t="str">
        <f>IF(D3878&lt;&gt;"",IFERROR(INDEX(Produtos!$C$4:$C$4996,MATCH(D3878,Produtos!$B$4:$B$4996,0)),"Produto não encontrado"),"")</f>
        <v/>
      </c>
    </row>
    <row r="3879" spans="1:5" x14ac:dyDescent="0.3">
      <c r="A3879" s="21" t="str">
        <f t="shared" si="60"/>
        <v>.</v>
      </c>
      <c r="D3879" s="44"/>
      <c r="E3879" s="22" t="str">
        <f>IF(D3879&lt;&gt;"",IFERROR(INDEX(Produtos!$C$4:$C$4996,MATCH(D3879,Produtos!$B$4:$B$4996,0)),"Produto não encontrado"),"")</f>
        <v/>
      </c>
    </row>
    <row r="3880" spans="1:5" x14ac:dyDescent="0.3">
      <c r="A3880" s="21" t="str">
        <f t="shared" si="60"/>
        <v>.</v>
      </c>
      <c r="D3880" s="44"/>
      <c r="E3880" s="22" t="str">
        <f>IF(D3880&lt;&gt;"",IFERROR(INDEX(Produtos!$C$4:$C$4996,MATCH(D3880,Produtos!$B$4:$B$4996,0)),"Produto não encontrado"),"")</f>
        <v/>
      </c>
    </row>
    <row r="3881" spans="1:5" x14ac:dyDescent="0.3">
      <c r="A3881" s="21" t="str">
        <f t="shared" si="60"/>
        <v>.</v>
      </c>
      <c r="D3881" s="44"/>
      <c r="E3881" s="22" t="str">
        <f>IF(D3881&lt;&gt;"",IFERROR(INDEX(Produtos!$C$4:$C$4996,MATCH(D3881,Produtos!$B$4:$B$4996,0)),"Produto não encontrado"),"")</f>
        <v/>
      </c>
    </row>
    <row r="3882" spans="1:5" x14ac:dyDescent="0.3">
      <c r="A3882" s="21" t="str">
        <f t="shared" si="60"/>
        <v>.</v>
      </c>
      <c r="D3882" s="44"/>
      <c r="E3882" s="22" t="str">
        <f>IF(D3882&lt;&gt;"",IFERROR(INDEX(Produtos!$C$4:$C$4996,MATCH(D3882,Produtos!$B$4:$B$4996,0)),"Produto não encontrado"),"")</f>
        <v/>
      </c>
    </row>
    <row r="3883" spans="1:5" x14ac:dyDescent="0.3">
      <c r="A3883" s="21" t="str">
        <f t="shared" si="60"/>
        <v>.</v>
      </c>
      <c r="D3883" s="44"/>
      <c r="E3883" s="22" t="str">
        <f>IF(D3883&lt;&gt;"",IFERROR(INDEX(Produtos!$C$4:$C$4996,MATCH(D3883,Produtos!$B$4:$B$4996,0)),"Produto não encontrado"),"")</f>
        <v/>
      </c>
    </row>
    <row r="3884" spans="1:5" x14ac:dyDescent="0.3">
      <c r="A3884" s="21" t="str">
        <f t="shared" si="60"/>
        <v>.</v>
      </c>
      <c r="D3884" s="44"/>
      <c r="E3884" s="22" t="str">
        <f>IF(D3884&lt;&gt;"",IFERROR(INDEX(Produtos!$C$4:$C$4996,MATCH(D3884,Produtos!$B$4:$B$4996,0)),"Produto não encontrado"),"")</f>
        <v/>
      </c>
    </row>
    <row r="3885" spans="1:5" x14ac:dyDescent="0.3">
      <c r="A3885" s="21" t="str">
        <f t="shared" si="60"/>
        <v>.</v>
      </c>
      <c r="D3885" s="44"/>
      <c r="E3885" s="22" t="str">
        <f>IF(D3885&lt;&gt;"",IFERROR(INDEX(Produtos!$C$4:$C$4996,MATCH(D3885,Produtos!$B$4:$B$4996,0)),"Produto não encontrado"),"")</f>
        <v/>
      </c>
    </row>
    <row r="3886" spans="1:5" x14ac:dyDescent="0.3">
      <c r="A3886" s="21" t="str">
        <f t="shared" si="60"/>
        <v>.</v>
      </c>
      <c r="D3886" s="44"/>
      <c r="E3886" s="22" t="str">
        <f>IF(D3886&lt;&gt;"",IFERROR(INDEX(Produtos!$C$4:$C$4996,MATCH(D3886,Produtos!$B$4:$B$4996,0)),"Produto não encontrado"),"")</f>
        <v/>
      </c>
    </row>
    <row r="3887" spans="1:5" x14ac:dyDescent="0.3">
      <c r="A3887" s="21" t="str">
        <f t="shared" si="60"/>
        <v>.</v>
      </c>
      <c r="D3887" s="44"/>
      <c r="E3887" s="22" t="str">
        <f>IF(D3887&lt;&gt;"",IFERROR(INDEX(Produtos!$C$4:$C$4996,MATCH(D3887,Produtos!$B$4:$B$4996,0)),"Produto não encontrado"),"")</f>
        <v/>
      </c>
    </row>
    <row r="3888" spans="1:5" x14ac:dyDescent="0.3">
      <c r="A3888" s="21" t="str">
        <f t="shared" si="60"/>
        <v>.</v>
      </c>
      <c r="D3888" s="44"/>
      <c r="E3888" s="22" t="str">
        <f>IF(D3888&lt;&gt;"",IFERROR(INDEX(Produtos!$C$4:$C$4996,MATCH(D3888,Produtos!$B$4:$B$4996,0)),"Produto não encontrado"),"")</f>
        <v/>
      </c>
    </row>
    <row r="3889" spans="1:5" x14ac:dyDescent="0.3">
      <c r="A3889" s="21" t="str">
        <f t="shared" si="60"/>
        <v>.</v>
      </c>
      <c r="D3889" s="44"/>
      <c r="E3889" s="22" t="str">
        <f>IF(D3889&lt;&gt;"",IFERROR(INDEX(Produtos!$C$4:$C$4996,MATCH(D3889,Produtos!$B$4:$B$4996,0)),"Produto não encontrado"),"")</f>
        <v/>
      </c>
    </row>
    <row r="3890" spans="1:5" x14ac:dyDescent="0.3">
      <c r="A3890" s="21" t="str">
        <f t="shared" si="60"/>
        <v>.</v>
      </c>
      <c r="D3890" s="44"/>
      <c r="E3890" s="22" t="str">
        <f>IF(D3890&lt;&gt;"",IFERROR(INDEX(Produtos!$C$4:$C$4996,MATCH(D3890,Produtos!$B$4:$B$4996,0)),"Produto não encontrado"),"")</f>
        <v/>
      </c>
    </row>
    <row r="3891" spans="1:5" x14ac:dyDescent="0.3">
      <c r="A3891" s="21" t="str">
        <f t="shared" si="60"/>
        <v>.</v>
      </c>
      <c r="D3891" s="44"/>
      <c r="E3891" s="22" t="str">
        <f>IF(D3891&lt;&gt;"",IFERROR(INDEX(Produtos!$C$4:$C$4996,MATCH(D3891,Produtos!$B$4:$B$4996,0)),"Produto não encontrado"),"")</f>
        <v/>
      </c>
    </row>
    <row r="3892" spans="1:5" x14ac:dyDescent="0.3">
      <c r="A3892" s="21" t="str">
        <f t="shared" si="60"/>
        <v>.</v>
      </c>
      <c r="D3892" s="44"/>
      <c r="E3892" s="22" t="str">
        <f>IF(D3892&lt;&gt;"",IFERROR(INDEX(Produtos!$C$4:$C$4996,MATCH(D3892,Produtos!$B$4:$B$4996,0)),"Produto não encontrado"),"")</f>
        <v/>
      </c>
    </row>
    <row r="3893" spans="1:5" x14ac:dyDescent="0.3">
      <c r="A3893" s="21" t="str">
        <f t="shared" si="60"/>
        <v>.</v>
      </c>
      <c r="D3893" s="44"/>
      <c r="E3893" s="22" t="str">
        <f>IF(D3893&lt;&gt;"",IFERROR(INDEX(Produtos!$C$4:$C$4996,MATCH(D3893,Produtos!$B$4:$B$4996,0)),"Produto não encontrado"),"")</f>
        <v/>
      </c>
    </row>
    <row r="3894" spans="1:5" x14ac:dyDescent="0.3">
      <c r="A3894" s="21" t="str">
        <f t="shared" si="60"/>
        <v>.</v>
      </c>
      <c r="D3894" s="44"/>
      <c r="E3894" s="22" t="str">
        <f>IF(D3894&lt;&gt;"",IFERROR(INDEX(Produtos!$C$4:$C$4996,MATCH(D3894,Produtos!$B$4:$B$4996,0)),"Produto não encontrado"),"")</f>
        <v/>
      </c>
    </row>
    <row r="3895" spans="1:5" x14ac:dyDescent="0.3">
      <c r="A3895" s="21" t="str">
        <f t="shared" si="60"/>
        <v>.</v>
      </c>
      <c r="D3895" s="44"/>
      <c r="E3895" s="22" t="str">
        <f>IF(D3895&lt;&gt;"",IFERROR(INDEX(Produtos!$C$4:$C$4996,MATCH(D3895,Produtos!$B$4:$B$4996,0)),"Produto não encontrado"),"")</f>
        <v/>
      </c>
    </row>
    <row r="3896" spans="1:5" x14ac:dyDescent="0.3">
      <c r="A3896" s="21" t="str">
        <f t="shared" si="60"/>
        <v>.</v>
      </c>
      <c r="D3896" s="44"/>
      <c r="E3896" s="22" t="str">
        <f>IF(D3896&lt;&gt;"",IFERROR(INDEX(Produtos!$C$4:$C$4996,MATCH(D3896,Produtos!$B$4:$B$4996,0)),"Produto não encontrado"),"")</f>
        <v/>
      </c>
    </row>
    <row r="3897" spans="1:5" x14ac:dyDescent="0.3">
      <c r="A3897" s="21" t="str">
        <f t="shared" si="60"/>
        <v>.</v>
      </c>
      <c r="D3897" s="44"/>
      <c r="E3897" s="22" t="str">
        <f>IF(D3897&lt;&gt;"",IFERROR(INDEX(Produtos!$C$4:$C$4996,MATCH(D3897,Produtos!$B$4:$B$4996,0)),"Produto não encontrado"),"")</f>
        <v/>
      </c>
    </row>
    <row r="3898" spans="1:5" x14ac:dyDescent="0.3">
      <c r="A3898" s="21" t="str">
        <f t="shared" si="60"/>
        <v>.</v>
      </c>
      <c r="D3898" s="44"/>
      <c r="E3898" s="22" t="str">
        <f>IF(D3898&lt;&gt;"",IFERROR(INDEX(Produtos!$C$4:$C$4996,MATCH(D3898,Produtos!$B$4:$B$4996,0)),"Produto não encontrado"),"")</f>
        <v/>
      </c>
    </row>
    <row r="3899" spans="1:5" x14ac:dyDescent="0.3">
      <c r="A3899" s="21" t="str">
        <f t="shared" si="60"/>
        <v>.</v>
      </c>
      <c r="D3899" s="44"/>
      <c r="E3899" s="22" t="str">
        <f>IF(D3899&lt;&gt;"",IFERROR(INDEX(Produtos!$C$4:$C$4996,MATCH(D3899,Produtos!$B$4:$B$4996,0)),"Produto não encontrado"),"")</f>
        <v/>
      </c>
    </row>
    <row r="3900" spans="1:5" x14ac:dyDescent="0.3">
      <c r="A3900" s="21" t="str">
        <f t="shared" si="60"/>
        <v>.</v>
      </c>
      <c r="D3900" s="44"/>
      <c r="E3900" s="22" t="str">
        <f>IF(D3900&lt;&gt;"",IFERROR(INDEX(Produtos!$C$4:$C$4996,MATCH(D3900,Produtos!$B$4:$B$4996,0)),"Produto não encontrado"),"")</f>
        <v/>
      </c>
    </row>
    <row r="3901" spans="1:5" x14ac:dyDescent="0.3">
      <c r="A3901" s="21" t="str">
        <f t="shared" si="60"/>
        <v>.</v>
      </c>
      <c r="D3901" s="44"/>
      <c r="E3901" s="22" t="str">
        <f>IF(D3901&lt;&gt;"",IFERROR(INDEX(Produtos!$C$4:$C$4996,MATCH(D3901,Produtos!$B$4:$B$4996,0)),"Produto não encontrado"),"")</f>
        <v/>
      </c>
    </row>
    <row r="3902" spans="1:5" x14ac:dyDescent="0.3">
      <c r="A3902" s="21" t="str">
        <f t="shared" si="60"/>
        <v>.</v>
      </c>
      <c r="D3902" s="44"/>
      <c r="E3902" s="22" t="str">
        <f>IF(D3902&lt;&gt;"",IFERROR(INDEX(Produtos!$C$4:$C$4996,MATCH(D3902,Produtos!$B$4:$B$4996,0)),"Produto não encontrado"),"")</f>
        <v/>
      </c>
    </row>
    <row r="3903" spans="1:5" x14ac:dyDescent="0.3">
      <c r="A3903" s="21" t="str">
        <f t="shared" si="60"/>
        <v>.</v>
      </c>
      <c r="D3903" s="44"/>
      <c r="E3903" s="22" t="str">
        <f>IF(D3903&lt;&gt;"",IFERROR(INDEX(Produtos!$C$4:$C$4996,MATCH(D3903,Produtos!$B$4:$B$4996,0)),"Produto não encontrado"),"")</f>
        <v/>
      </c>
    </row>
    <row r="3904" spans="1:5" x14ac:dyDescent="0.3">
      <c r="A3904" s="21" t="str">
        <f t="shared" ref="A3904:A3967" si="61">IF(C3904="Entrada",2,IF(C3904="Saída",1,"."))</f>
        <v>.</v>
      </c>
      <c r="D3904" s="44"/>
      <c r="E3904" s="22" t="str">
        <f>IF(D3904&lt;&gt;"",IFERROR(INDEX(Produtos!$C$4:$C$4996,MATCH(D3904,Produtos!$B$4:$B$4996,0)),"Produto não encontrado"),"")</f>
        <v/>
      </c>
    </row>
    <row r="3905" spans="1:5" x14ac:dyDescent="0.3">
      <c r="A3905" s="21" t="str">
        <f t="shared" si="61"/>
        <v>.</v>
      </c>
      <c r="D3905" s="44"/>
      <c r="E3905" s="22" t="str">
        <f>IF(D3905&lt;&gt;"",IFERROR(INDEX(Produtos!$C$4:$C$4996,MATCH(D3905,Produtos!$B$4:$B$4996,0)),"Produto não encontrado"),"")</f>
        <v/>
      </c>
    </row>
    <row r="3906" spans="1:5" x14ac:dyDescent="0.3">
      <c r="A3906" s="21" t="str">
        <f t="shared" si="61"/>
        <v>.</v>
      </c>
      <c r="D3906" s="44"/>
      <c r="E3906" s="22" t="str">
        <f>IF(D3906&lt;&gt;"",IFERROR(INDEX(Produtos!$C$4:$C$4996,MATCH(D3906,Produtos!$B$4:$B$4996,0)),"Produto não encontrado"),"")</f>
        <v/>
      </c>
    </row>
    <row r="3907" spans="1:5" x14ac:dyDescent="0.3">
      <c r="A3907" s="21" t="str">
        <f t="shared" si="61"/>
        <v>.</v>
      </c>
      <c r="D3907" s="44"/>
      <c r="E3907" s="22" t="str">
        <f>IF(D3907&lt;&gt;"",IFERROR(INDEX(Produtos!$C$4:$C$4996,MATCH(D3907,Produtos!$B$4:$B$4996,0)),"Produto não encontrado"),"")</f>
        <v/>
      </c>
    </row>
    <row r="3908" spans="1:5" x14ac:dyDescent="0.3">
      <c r="A3908" s="21" t="str">
        <f t="shared" si="61"/>
        <v>.</v>
      </c>
      <c r="D3908" s="44"/>
      <c r="E3908" s="22" t="str">
        <f>IF(D3908&lt;&gt;"",IFERROR(INDEX(Produtos!$C$4:$C$4996,MATCH(D3908,Produtos!$B$4:$B$4996,0)),"Produto não encontrado"),"")</f>
        <v/>
      </c>
    </row>
    <row r="3909" spans="1:5" x14ac:dyDescent="0.3">
      <c r="A3909" s="21" t="str">
        <f t="shared" si="61"/>
        <v>.</v>
      </c>
      <c r="D3909" s="44"/>
      <c r="E3909" s="22" t="str">
        <f>IF(D3909&lt;&gt;"",IFERROR(INDEX(Produtos!$C$4:$C$4996,MATCH(D3909,Produtos!$B$4:$B$4996,0)),"Produto não encontrado"),"")</f>
        <v/>
      </c>
    </row>
    <row r="3910" spans="1:5" x14ac:dyDescent="0.3">
      <c r="A3910" s="21" t="str">
        <f t="shared" si="61"/>
        <v>.</v>
      </c>
      <c r="D3910" s="44"/>
      <c r="E3910" s="22" t="str">
        <f>IF(D3910&lt;&gt;"",IFERROR(INDEX(Produtos!$C$4:$C$4996,MATCH(D3910,Produtos!$B$4:$B$4996,0)),"Produto não encontrado"),"")</f>
        <v/>
      </c>
    </row>
    <row r="3911" spans="1:5" x14ac:dyDescent="0.3">
      <c r="A3911" s="21" t="str">
        <f t="shared" si="61"/>
        <v>.</v>
      </c>
      <c r="D3911" s="44"/>
      <c r="E3911" s="22" t="str">
        <f>IF(D3911&lt;&gt;"",IFERROR(INDEX(Produtos!$C$4:$C$4996,MATCH(D3911,Produtos!$B$4:$B$4996,0)),"Produto não encontrado"),"")</f>
        <v/>
      </c>
    </row>
    <row r="3912" spans="1:5" x14ac:dyDescent="0.3">
      <c r="A3912" s="21" t="str">
        <f t="shared" si="61"/>
        <v>.</v>
      </c>
      <c r="D3912" s="44"/>
      <c r="E3912" s="22" t="str">
        <f>IF(D3912&lt;&gt;"",IFERROR(INDEX(Produtos!$C$4:$C$4996,MATCH(D3912,Produtos!$B$4:$B$4996,0)),"Produto não encontrado"),"")</f>
        <v/>
      </c>
    </row>
    <row r="3913" spans="1:5" x14ac:dyDescent="0.3">
      <c r="A3913" s="21" t="str">
        <f t="shared" si="61"/>
        <v>.</v>
      </c>
      <c r="D3913" s="44"/>
      <c r="E3913" s="22" t="str">
        <f>IF(D3913&lt;&gt;"",IFERROR(INDEX(Produtos!$C$4:$C$4996,MATCH(D3913,Produtos!$B$4:$B$4996,0)),"Produto não encontrado"),"")</f>
        <v/>
      </c>
    </row>
    <row r="3914" spans="1:5" x14ac:dyDescent="0.3">
      <c r="A3914" s="21" t="str">
        <f t="shared" si="61"/>
        <v>.</v>
      </c>
      <c r="D3914" s="44"/>
      <c r="E3914" s="22" t="str">
        <f>IF(D3914&lt;&gt;"",IFERROR(INDEX(Produtos!$C$4:$C$4996,MATCH(D3914,Produtos!$B$4:$B$4996,0)),"Produto não encontrado"),"")</f>
        <v/>
      </c>
    </row>
    <row r="3915" spans="1:5" x14ac:dyDescent="0.3">
      <c r="A3915" s="21" t="str">
        <f t="shared" si="61"/>
        <v>.</v>
      </c>
      <c r="D3915" s="44"/>
      <c r="E3915" s="22" t="str">
        <f>IF(D3915&lt;&gt;"",IFERROR(INDEX(Produtos!$C$4:$C$4996,MATCH(D3915,Produtos!$B$4:$B$4996,0)),"Produto não encontrado"),"")</f>
        <v/>
      </c>
    </row>
    <row r="3916" spans="1:5" x14ac:dyDescent="0.3">
      <c r="A3916" s="21" t="str">
        <f t="shared" si="61"/>
        <v>.</v>
      </c>
      <c r="D3916" s="44"/>
      <c r="E3916" s="22" t="str">
        <f>IF(D3916&lt;&gt;"",IFERROR(INDEX(Produtos!$C$4:$C$4996,MATCH(D3916,Produtos!$B$4:$B$4996,0)),"Produto não encontrado"),"")</f>
        <v/>
      </c>
    </row>
    <row r="3917" spans="1:5" x14ac:dyDescent="0.3">
      <c r="A3917" s="21" t="str">
        <f t="shared" si="61"/>
        <v>.</v>
      </c>
      <c r="D3917" s="44"/>
      <c r="E3917" s="22" t="str">
        <f>IF(D3917&lt;&gt;"",IFERROR(INDEX(Produtos!$C$4:$C$4996,MATCH(D3917,Produtos!$B$4:$B$4996,0)),"Produto não encontrado"),"")</f>
        <v/>
      </c>
    </row>
    <row r="3918" spans="1:5" x14ac:dyDescent="0.3">
      <c r="A3918" s="21" t="str">
        <f t="shared" si="61"/>
        <v>.</v>
      </c>
      <c r="D3918" s="44"/>
      <c r="E3918" s="22" t="str">
        <f>IF(D3918&lt;&gt;"",IFERROR(INDEX(Produtos!$C$4:$C$4996,MATCH(D3918,Produtos!$B$4:$B$4996,0)),"Produto não encontrado"),"")</f>
        <v/>
      </c>
    </row>
    <row r="3919" spans="1:5" x14ac:dyDescent="0.3">
      <c r="A3919" s="21" t="str">
        <f t="shared" si="61"/>
        <v>.</v>
      </c>
      <c r="D3919" s="44"/>
      <c r="E3919" s="22" t="str">
        <f>IF(D3919&lt;&gt;"",IFERROR(INDEX(Produtos!$C$4:$C$4996,MATCH(D3919,Produtos!$B$4:$B$4996,0)),"Produto não encontrado"),"")</f>
        <v/>
      </c>
    </row>
    <row r="3920" spans="1:5" x14ac:dyDescent="0.3">
      <c r="A3920" s="21" t="str">
        <f t="shared" si="61"/>
        <v>.</v>
      </c>
      <c r="D3920" s="44"/>
      <c r="E3920" s="22" t="str">
        <f>IF(D3920&lt;&gt;"",IFERROR(INDEX(Produtos!$C$4:$C$4996,MATCH(D3920,Produtos!$B$4:$B$4996,0)),"Produto não encontrado"),"")</f>
        <v/>
      </c>
    </row>
    <row r="3921" spans="1:5" x14ac:dyDescent="0.3">
      <c r="A3921" s="21" t="str">
        <f t="shared" si="61"/>
        <v>.</v>
      </c>
      <c r="D3921" s="44"/>
      <c r="E3921" s="22" t="str">
        <f>IF(D3921&lt;&gt;"",IFERROR(INDEX(Produtos!$C$4:$C$4996,MATCH(D3921,Produtos!$B$4:$B$4996,0)),"Produto não encontrado"),"")</f>
        <v/>
      </c>
    </row>
    <row r="3922" spans="1:5" x14ac:dyDescent="0.3">
      <c r="A3922" s="21" t="str">
        <f t="shared" si="61"/>
        <v>.</v>
      </c>
      <c r="D3922" s="44"/>
      <c r="E3922" s="22" t="str">
        <f>IF(D3922&lt;&gt;"",IFERROR(INDEX(Produtos!$C$4:$C$4996,MATCH(D3922,Produtos!$B$4:$B$4996,0)),"Produto não encontrado"),"")</f>
        <v/>
      </c>
    </row>
    <row r="3923" spans="1:5" x14ac:dyDescent="0.3">
      <c r="A3923" s="21" t="str">
        <f t="shared" si="61"/>
        <v>.</v>
      </c>
      <c r="D3923" s="44"/>
      <c r="E3923" s="22" t="str">
        <f>IF(D3923&lt;&gt;"",IFERROR(INDEX(Produtos!$C$4:$C$4996,MATCH(D3923,Produtos!$B$4:$B$4996,0)),"Produto não encontrado"),"")</f>
        <v/>
      </c>
    </row>
    <row r="3924" spans="1:5" x14ac:dyDescent="0.3">
      <c r="A3924" s="21" t="str">
        <f t="shared" si="61"/>
        <v>.</v>
      </c>
      <c r="D3924" s="44"/>
      <c r="E3924" s="22" t="str">
        <f>IF(D3924&lt;&gt;"",IFERROR(INDEX(Produtos!$C$4:$C$4996,MATCH(D3924,Produtos!$B$4:$B$4996,0)),"Produto não encontrado"),"")</f>
        <v/>
      </c>
    </row>
    <row r="3925" spans="1:5" x14ac:dyDescent="0.3">
      <c r="A3925" s="21" t="str">
        <f t="shared" si="61"/>
        <v>.</v>
      </c>
      <c r="D3925" s="44"/>
      <c r="E3925" s="22" t="str">
        <f>IF(D3925&lt;&gt;"",IFERROR(INDEX(Produtos!$C$4:$C$4996,MATCH(D3925,Produtos!$B$4:$B$4996,0)),"Produto não encontrado"),"")</f>
        <v/>
      </c>
    </row>
    <row r="3926" spans="1:5" x14ac:dyDescent="0.3">
      <c r="A3926" s="21" t="str">
        <f t="shared" si="61"/>
        <v>.</v>
      </c>
      <c r="D3926" s="44"/>
      <c r="E3926" s="22" t="str">
        <f>IF(D3926&lt;&gt;"",IFERROR(INDEX(Produtos!$C$4:$C$4996,MATCH(D3926,Produtos!$B$4:$B$4996,0)),"Produto não encontrado"),"")</f>
        <v/>
      </c>
    </row>
    <row r="3927" spans="1:5" x14ac:dyDescent="0.3">
      <c r="A3927" s="21" t="str">
        <f t="shared" si="61"/>
        <v>.</v>
      </c>
      <c r="D3927" s="44"/>
      <c r="E3927" s="22" t="str">
        <f>IF(D3927&lt;&gt;"",IFERROR(INDEX(Produtos!$C$4:$C$4996,MATCH(D3927,Produtos!$B$4:$B$4996,0)),"Produto não encontrado"),"")</f>
        <v/>
      </c>
    </row>
    <row r="3928" spans="1:5" x14ac:dyDescent="0.3">
      <c r="A3928" s="21" t="str">
        <f t="shared" si="61"/>
        <v>.</v>
      </c>
      <c r="D3928" s="44"/>
      <c r="E3928" s="22" t="str">
        <f>IF(D3928&lt;&gt;"",IFERROR(INDEX(Produtos!$C$4:$C$4996,MATCH(D3928,Produtos!$B$4:$B$4996,0)),"Produto não encontrado"),"")</f>
        <v/>
      </c>
    </row>
    <row r="3929" spans="1:5" x14ac:dyDescent="0.3">
      <c r="A3929" s="21" t="str">
        <f t="shared" si="61"/>
        <v>.</v>
      </c>
      <c r="D3929" s="44"/>
      <c r="E3929" s="22" t="str">
        <f>IF(D3929&lt;&gt;"",IFERROR(INDEX(Produtos!$C$4:$C$4996,MATCH(D3929,Produtos!$B$4:$B$4996,0)),"Produto não encontrado"),"")</f>
        <v/>
      </c>
    </row>
    <row r="3930" spans="1:5" x14ac:dyDescent="0.3">
      <c r="A3930" s="21" t="str">
        <f t="shared" si="61"/>
        <v>.</v>
      </c>
      <c r="D3930" s="44"/>
      <c r="E3930" s="22" t="str">
        <f>IF(D3930&lt;&gt;"",IFERROR(INDEX(Produtos!$C$4:$C$4996,MATCH(D3930,Produtos!$B$4:$B$4996,0)),"Produto não encontrado"),"")</f>
        <v/>
      </c>
    </row>
    <row r="3931" spans="1:5" x14ac:dyDescent="0.3">
      <c r="A3931" s="21" t="str">
        <f t="shared" si="61"/>
        <v>.</v>
      </c>
      <c r="D3931" s="44"/>
      <c r="E3931" s="22" t="str">
        <f>IF(D3931&lt;&gt;"",IFERROR(INDEX(Produtos!$C$4:$C$4996,MATCH(D3931,Produtos!$B$4:$B$4996,0)),"Produto não encontrado"),"")</f>
        <v/>
      </c>
    </row>
    <row r="3932" spans="1:5" x14ac:dyDescent="0.3">
      <c r="A3932" s="21" t="str">
        <f t="shared" si="61"/>
        <v>.</v>
      </c>
      <c r="D3932" s="44"/>
      <c r="E3932" s="22" t="str">
        <f>IF(D3932&lt;&gt;"",IFERROR(INDEX(Produtos!$C$4:$C$4996,MATCH(D3932,Produtos!$B$4:$B$4996,0)),"Produto não encontrado"),"")</f>
        <v/>
      </c>
    </row>
    <row r="3933" spans="1:5" x14ac:dyDescent="0.3">
      <c r="A3933" s="21" t="str">
        <f t="shared" si="61"/>
        <v>.</v>
      </c>
      <c r="D3933" s="44"/>
      <c r="E3933" s="22" t="str">
        <f>IF(D3933&lt;&gt;"",IFERROR(INDEX(Produtos!$C$4:$C$4996,MATCH(D3933,Produtos!$B$4:$B$4996,0)),"Produto não encontrado"),"")</f>
        <v/>
      </c>
    </row>
    <row r="3934" spans="1:5" x14ac:dyDescent="0.3">
      <c r="A3934" s="21" t="str">
        <f t="shared" si="61"/>
        <v>.</v>
      </c>
      <c r="D3934" s="44"/>
      <c r="E3934" s="22" t="str">
        <f>IF(D3934&lt;&gt;"",IFERROR(INDEX(Produtos!$C$4:$C$4996,MATCH(D3934,Produtos!$B$4:$B$4996,0)),"Produto não encontrado"),"")</f>
        <v/>
      </c>
    </row>
    <row r="3935" spans="1:5" x14ac:dyDescent="0.3">
      <c r="A3935" s="21" t="str">
        <f t="shared" si="61"/>
        <v>.</v>
      </c>
      <c r="D3935" s="44"/>
      <c r="E3935" s="22" t="str">
        <f>IF(D3935&lt;&gt;"",IFERROR(INDEX(Produtos!$C$4:$C$4996,MATCH(D3935,Produtos!$B$4:$B$4996,0)),"Produto não encontrado"),"")</f>
        <v/>
      </c>
    </row>
    <row r="3936" spans="1:5" x14ac:dyDescent="0.3">
      <c r="A3936" s="21" t="str">
        <f t="shared" si="61"/>
        <v>.</v>
      </c>
      <c r="D3936" s="44"/>
      <c r="E3936" s="22" t="str">
        <f>IF(D3936&lt;&gt;"",IFERROR(INDEX(Produtos!$C$4:$C$4996,MATCH(D3936,Produtos!$B$4:$B$4996,0)),"Produto não encontrado"),"")</f>
        <v/>
      </c>
    </row>
    <row r="3937" spans="1:5" x14ac:dyDescent="0.3">
      <c r="A3937" s="21" t="str">
        <f t="shared" si="61"/>
        <v>.</v>
      </c>
      <c r="D3937" s="44"/>
      <c r="E3937" s="22" t="str">
        <f>IF(D3937&lt;&gt;"",IFERROR(INDEX(Produtos!$C$4:$C$4996,MATCH(D3937,Produtos!$B$4:$B$4996,0)),"Produto não encontrado"),"")</f>
        <v/>
      </c>
    </row>
    <row r="3938" spans="1:5" x14ac:dyDescent="0.3">
      <c r="A3938" s="21" t="str">
        <f t="shared" si="61"/>
        <v>.</v>
      </c>
      <c r="D3938" s="44"/>
      <c r="E3938" s="22" t="str">
        <f>IF(D3938&lt;&gt;"",IFERROR(INDEX(Produtos!$C$4:$C$4996,MATCH(D3938,Produtos!$B$4:$B$4996,0)),"Produto não encontrado"),"")</f>
        <v/>
      </c>
    </row>
    <row r="3939" spans="1:5" x14ac:dyDescent="0.3">
      <c r="A3939" s="21" t="str">
        <f t="shared" si="61"/>
        <v>.</v>
      </c>
      <c r="D3939" s="44"/>
      <c r="E3939" s="22" t="str">
        <f>IF(D3939&lt;&gt;"",IFERROR(INDEX(Produtos!$C$4:$C$4996,MATCH(D3939,Produtos!$B$4:$B$4996,0)),"Produto não encontrado"),"")</f>
        <v/>
      </c>
    </row>
    <row r="3940" spans="1:5" x14ac:dyDescent="0.3">
      <c r="A3940" s="21" t="str">
        <f t="shared" si="61"/>
        <v>.</v>
      </c>
      <c r="D3940" s="44"/>
      <c r="E3940" s="22" t="str">
        <f>IF(D3940&lt;&gt;"",IFERROR(INDEX(Produtos!$C$4:$C$4996,MATCH(D3940,Produtos!$B$4:$B$4996,0)),"Produto não encontrado"),"")</f>
        <v/>
      </c>
    </row>
    <row r="3941" spans="1:5" x14ac:dyDescent="0.3">
      <c r="A3941" s="21" t="str">
        <f t="shared" si="61"/>
        <v>.</v>
      </c>
      <c r="D3941" s="44"/>
      <c r="E3941" s="22" t="str">
        <f>IF(D3941&lt;&gt;"",IFERROR(INDEX(Produtos!$C$4:$C$4996,MATCH(D3941,Produtos!$B$4:$B$4996,0)),"Produto não encontrado"),"")</f>
        <v/>
      </c>
    </row>
    <row r="3942" spans="1:5" x14ac:dyDescent="0.3">
      <c r="A3942" s="21" t="str">
        <f t="shared" si="61"/>
        <v>.</v>
      </c>
      <c r="D3942" s="44"/>
      <c r="E3942" s="22" t="str">
        <f>IF(D3942&lt;&gt;"",IFERROR(INDEX(Produtos!$C$4:$C$4996,MATCH(D3942,Produtos!$B$4:$B$4996,0)),"Produto não encontrado"),"")</f>
        <v/>
      </c>
    </row>
    <row r="3943" spans="1:5" x14ac:dyDescent="0.3">
      <c r="A3943" s="21" t="str">
        <f t="shared" si="61"/>
        <v>.</v>
      </c>
      <c r="D3943" s="44"/>
      <c r="E3943" s="22" t="str">
        <f>IF(D3943&lt;&gt;"",IFERROR(INDEX(Produtos!$C$4:$C$4996,MATCH(D3943,Produtos!$B$4:$B$4996,0)),"Produto não encontrado"),"")</f>
        <v/>
      </c>
    </row>
    <row r="3944" spans="1:5" x14ac:dyDescent="0.3">
      <c r="A3944" s="21" t="str">
        <f t="shared" si="61"/>
        <v>.</v>
      </c>
      <c r="D3944" s="44"/>
      <c r="E3944" s="22" t="str">
        <f>IF(D3944&lt;&gt;"",IFERROR(INDEX(Produtos!$C$4:$C$4996,MATCH(D3944,Produtos!$B$4:$B$4996,0)),"Produto não encontrado"),"")</f>
        <v/>
      </c>
    </row>
    <row r="3945" spans="1:5" x14ac:dyDescent="0.3">
      <c r="A3945" s="21" t="str">
        <f t="shared" si="61"/>
        <v>.</v>
      </c>
      <c r="D3945" s="44"/>
      <c r="E3945" s="22" t="str">
        <f>IF(D3945&lt;&gt;"",IFERROR(INDEX(Produtos!$C$4:$C$4996,MATCH(D3945,Produtos!$B$4:$B$4996,0)),"Produto não encontrado"),"")</f>
        <v/>
      </c>
    </row>
    <row r="3946" spans="1:5" x14ac:dyDescent="0.3">
      <c r="A3946" s="21" t="str">
        <f t="shared" si="61"/>
        <v>.</v>
      </c>
      <c r="D3946" s="44"/>
      <c r="E3946" s="22" t="str">
        <f>IF(D3946&lt;&gt;"",IFERROR(INDEX(Produtos!$C$4:$C$4996,MATCH(D3946,Produtos!$B$4:$B$4996,0)),"Produto não encontrado"),"")</f>
        <v/>
      </c>
    </row>
    <row r="3947" spans="1:5" x14ac:dyDescent="0.3">
      <c r="A3947" s="21" t="str">
        <f t="shared" si="61"/>
        <v>.</v>
      </c>
      <c r="D3947" s="44"/>
      <c r="E3947" s="22" t="str">
        <f>IF(D3947&lt;&gt;"",IFERROR(INDEX(Produtos!$C$4:$C$4996,MATCH(D3947,Produtos!$B$4:$B$4996,0)),"Produto não encontrado"),"")</f>
        <v/>
      </c>
    </row>
    <row r="3948" spans="1:5" x14ac:dyDescent="0.3">
      <c r="A3948" s="21" t="str">
        <f t="shared" si="61"/>
        <v>.</v>
      </c>
      <c r="D3948" s="44"/>
      <c r="E3948" s="22" t="str">
        <f>IF(D3948&lt;&gt;"",IFERROR(INDEX(Produtos!$C$4:$C$4996,MATCH(D3948,Produtos!$B$4:$B$4996,0)),"Produto não encontrado"),"")</f>
        <v/>
      </c>
    </row>
    <row r="3949" spans="1:5" x14ac:dyDescent="0.3">
      <c r="A3949" s="21" t="str">
        <f t="shared" si="61"/>
        <v>.</v>
      </c>
      <c r="D3949" s="44"/>
      <c r="E3949" s="22" t="str">
        <f>IF(D3949&lt;&gt;"",IFERROR(INDEX(Produtos!$C$4:$C$4996,MATCH(D3949,Produtos!$B$4:$B$4996,0)),"Produto não encontrado"),"")</f>
        <v/>
      </c>
    </row>
    <row r="3950" spans="1:5" x14ac:dyDescent="0.3">
      <c r="A3950" s="21" t="str">
        <f t="shared" si="61"/>
        <v>.</v>
      </c>
      <c r="D3950" s="44"/>
      <c r="E3950" s="22" t="str">
        <f>IF(D3950&lt;&gt;"",IFERROR(INDEX(Produtos!$C$4:$C$4996,MATCH(D3950,Produtos!$B$4:$B$4996,0)),"Produto não encontrado"),"")</f>
        <v/>
      </c>
    </row>
    <row r="3951" spans="1:5" x14ac:dyDescent="0.3">
      <c r="A3951" s="21" t="str">
        <f t="shared" si="61"/>
        <v>.</v>
      </c>
      <c r="D3951" s="44"/>
      <c r="E3951" s="22" t="str">
        <f>IF(D3951&lt;&gt;"",IFERROR(INDEX(Produtos!$C$4:$C$4996,MATCH(D3951,Produtos!$B$4:$B$4996,0)),"Produto não encontrado"),"")</f>
        <v/>
      </c>
    </row>
    <row r="3952" spans="1:5" x14ac:dyDescent="0.3">
      <c r="A3952" s="21" t="str">
        <f t="shared" si="61"/>
        <v>.</v>
      </c>
      <c r="D3952" s="44"/>
      <c r="E3952" s="22" t="str">
        <f>IF(D3952&lt;&gt;"",IFERROR(INDEX(Produtos!$C$4:$C$4996,MATCH(D3952,Produtos!$B$4:$B$4996,0)),"Produto não encontrado"),"")</f>
        <v/>
      </c>
    </row>
    <row r="3953" spans="1:5" x14ac:dyDescent="0.3">
      <c r="A3953" s="21" t="str">
        <f t="shared" si="61"/>
        <v>.</v>
      </c>
      <c r="D3953" s="44"/>
      <c r="E3953" s="22" t="str">
        <f>IF(D3953&lt;&gt;"",IFERROR(INDEX(Produtos!$C$4:$C$4996,MATCH(D3953,Produtos!$B$4:$B$4996,0)),"Produto não encontrado"),"")</f>
        <v/>
      </c>
    </row>
    <row r="3954" spans="1:5" x14ac:dyDescent="0.3">
      <c r="A3954" s="21" t="str">
        <f t="shared" si="61"/>
        <v>.</v>
      </c>
      <c r="D3954" s="44"/>
      <c r="E3954" s="22" t="str">
        <f>IF(D3954&lt;&gt;"",IFERROR(INDEX(Produtos!$C$4:$C$4996,MATCH(D3954,Produtos!$B$4:$B$4996,0)),"Produto não encontrado"),"")</f>
        <v/>
      </c>
    </row>
    <row r="3955" spans="1:5" x14ac:dyDescent="0.3">
      <c r="A3955" s="21" t="str">
        <f t="shared" si="61"/>
        <v>.</v>
      </c>
      <c r="D3955" s="44"/>
      <c r="E3955" s="22" t="str">
        <f>IF(D3955&lt;&gt;"",IFERROR(INDEX(Produtos!$C$4:$C$4996,MATCH(D3955,Produtos!$B$4:$B$4996,0)),"Produto não encontrado"),"")</f>
        <v/>
      </c>
    </row>
    <row r="3956" spans="1:5" x14ac:dyDescent="0.3">
      <c r="A3956" s="21" t="str">
        <f t="shared" si="61"/>
        <v>.</v>
      </c>
      <c r="D3956" s="44"/>
      <c r="E3956" s="22" t="str">
        <f>IF(D3956&lt;&gt;"",IFERROR(INDEX(Produtos!$C$4:$C$4996,MATCH(D3956,Produtos!$B$4:$B$4996,0)),"Produto não encontrado"),"")</f>
        <v/>
      </c>
    </row>
    <row r="3957" spans="1:5" x14ac:dyDescent="0.3">
      <c r="A3957" s="21" t="str">
        <f t="shared" si="61"/>
        <v>.</v>
      </c>
      <c r="D3957" s="44"/>
      <c r="E3957" s="22" t="str">
        <f>IF(D3957&lt;&gt;"",IFERROR(INDEX(Produtos!$C$4:$C$4996,MATCH(D3957,Produtos!$B$4:$B$4996,0)),"Produto não encontrado"),"")</f>
        <v/>
      </c>
    </row>
    <row r="3958" spans="1:5" x14ac:dyDescent="0.3">
      <c r="A3958" s="21" t="str">
        <f t="shared" si="61"/>
        <v>.</v>
      </c>
      <c r="D3958" s="44"/>
      <c r="E3958" s="22" t="str">
        <f>IF(D3958&lt;&gt;"",IFERROR(INDEX(Produtos!$C$4:$C$4996,MATCH(D3958,Produtos!$B$4:$B$4996,0)),"Produto não encontrado"),"")</f>
        <v/>
      </c>
    </row>
    <row r="3959" spans="1:5" x14ac:dyDescent="0.3">
      <c r="A3959" s="21" t="str">
        <f t="shared" si="61"/>
        <v>.</v>
      </c>
      <c r="D3959" s="44"/>
      <c r="E3959" s="22" t="str">
        <f>IF(D3959&lt;&gt;"",IFERROR(INDEX(Produtos!$C$4:$C$4996,MATCH(D3959,Produtos!$B$4:$B$4996,0)),"Produto não encontrado"),"")</f>
        <v/>
      </c>
    </row>
    <row r="3960" spans="1:5" x14ac:dyDescent="0.3">
      <c r="A3960" s="21" t="str">
        <f t="shared" si="61"/>
        <v>.</v>
      </c>
      <c r="D3960" s="44"/>
      <c r="E3960" s="22" t="str">
        <f>IF(D3960&lt;&gt;"",IFERROR(INDEX(Produtos!$C$4:$C$4996,MATCH(D3960,Produtos!$B$4:$B$4996,0)),"Produto não encontrado"),"")</f>
        <v/>
      </c>
    </row>
    <row r="3961" spans="1:5" x14ac:dyDescent="0.3">
      <c r="A3961" s="21" t="str">
        <f t="shared" si="61"/>
        <v>.</v>
      </c>
      <c r="D3961" s="44"/>
      <c r="E3961" s="22" t="str">
        <f>IF(D3961&lt;&gt;"",IFERROR(INDEX(Produtos!$C$4:$C$4996,MATCH(D3961,Produtos!$B$4:$B$4996,0)),"Produto não encontrado"),"")</f>
        <v/>
      </c>
    </row>
    <row r="3962" spans="1:5" x14ac:dyDescent="0.3">
      <c r="A3962" s="21" t="str">
        <f t="shared" si="61"/>
        <v>.</v>
      </c>
      <c r="D3962" s="44"/>
      <c r="E3962" s="22" t="str">
        <f>IF(D3962&lt;&gt;"",IFERROR(INDEX(Produtos!$C$4:$C$4996,MATCH(D3962,Produtos!$B$4:$B$4996,0)),"Produto não encontrado"),"")</f>
        <v/>
      </c>
    </row>
    <row r="3963" spans="1:5" x14ac:dyDescent="0.3">
      <c r="A3963" s="21" t="str">
        <f t="shared" si="61"/>
        <v>.</v>
      </c>
      <c r="D3963" s="44"/>
      <c r="E3963" s="22" t="str">
        <f>IF(D3963&lt;&gt;"",IFERROR(INDEX(Produtos!$C$4:$C$4996,MATCH(D3963,Produtos!$B$4:$B$4996,0)),"Produto não encontrado"),"")</f>
        <v/>
      </c>
    </row>
    <row r="3964" spans="1:5" x14ac:dyDescent="0.3">
      <c r="A3964" s="21" t="str">
        <f t="shared" si="61"/>
        <v>.</v>
      </c>
      <c r="D3964" s="44"/>
      <c r="E3964" s="22" t="str">
        <f>IF(D3964&lt;&gt;"",IFERROR(INDEX(Produtos!$C$4:$C$4996,MATCH(D3964,Produtos!$B$4:$B$4996,0)),"Produto não encontrado"),"")</f>
        <v/>
      </c>
    </row>
    <row r="3965" spans="1:5" x14ac:dyDescent="0.3">
      <c r="A3965" s="21" t="str">
        <f t="shared" si="61"/>
        <v>.</v>
      </c>
      <c r="D3965" s="44"/>
      <c r="E3965" s="22" t="str">
        <f>IF(D3965&lt;&gt;"",IFERROR(INDEX(Produtos!$C$4:$C$4996,MATCH(D3965,Produtos!$B$4:$B$4996,0)),"Produto não encontrado"),"")</f>
        <v/>
      </c>
    </row>
    <row r="3966" spans="1:5" x14ac:dyDescent="0.3">
      <c r="A3966" s="21" t="str">
        <f t="shared" si="61"/>
        <v>.</v>
      </c>
      <c r="D3966" s="44"/>
      <c r="E3966" s="22" t="str">
        <f>IF(D3966&lt;&gt;"",IFERROR(INDEX(Produtos!$C$4:$C$4996,MATCH(D3966,Produtos!$B$4:$B$4996,0)),"Produto não encontrado"),"")</f>
        <v/>
      </c>
    </row>
    <row r="3967" spans="1:5" x14ac:dyDescent="0.3">
      <c r="A3967" s="21" t="str">
        <f t="shared" si="61"/>
        <v>.</v>
      </c>
      <c r="D3967" s="44"/>
      <c r="E3967" s="22" t="str">
        <f>IF(D3967&lt;&gt;"",IFERROR(INDEX(Produtos!$C$4:$C$4996,MATCH(D3967,Produtos!$B$4:$B$4996,0)),"Produto não encontrado"),"")</f>
        <v/>
      </c>
    </row>
    <row r="3968" spans="1:5" x14ac:dyDescent="0.3">
      <c r="A3968" s="21" t="str">
        <f t="shared" ref="A3968:A4031" si="62">IF(C3968="Entrada",2,IF(C3968="Saída",1,"."))</f>
        <v>.</v>
      </c>
      <c r="D3968" s="44"/>
      <c r="E3968" s="22" t="str">
        <f>IF(D3968&lt;&gt;"",IFERROR(INDEX(Produtos!$C$4:$C$4996,MATCH(D3968,Produtos!$B$4:$B$4996,0)),"Produto não encontrado"),"")</f>
        <v/>
      </c>
    </row>
    <row r="3969" spans="1:5" x14ac:dyDescent="0.3">
      <c r="A3969" s="21" t="str">
        <f t="shared" si="62"/>
        <v>.</v>
      </c>
      <c r="D3969" s="44"/>
      <c r="E3969" s="22" t="str">
        <f>IF(D3969&lt;&gt;"",IFERROR(INDEX(Produtos!$C$4:$C$4996,MATCH(D3969,Produtos!$B$4:$B$4996,0)),"Produto não encontrado"),"")</f>
        <v/>
      </c>
    </row>
    <row r="3970" spans="1:5" x14ac:dyDescent="0.3">
      <c r="A3970" s="21" t="str">
        <f t="shared" si="62"/>
        <v>.</v>
      </c>
      <c r="D3970" s="44"/>
      <c r="E3970" s="22" t="str">
        <f>IF(D3970&lt;&gt;"",IFERROR(INDEX(Produtos!$C$4:$C$4996,MATCH(D3970,Produtos!$B$4:$B$4996,0)),"Produto não encontrado"),"")</f>
        <v/>
      </c>
    </row>
    <row r="3971" spans="1:5" x14ac:dyDescent="0.3">
      <c r="A3971" s="21" t="str">
        <f t="shared" si="62"/>
        <v>.</v>
      </c>
      <c r="D3971" s="44"/>
      <c r="E3971" s="22" t="str">
        <f>IF(D3971&lt;&gt;"",IFERROR(INDEX(Produtos!$C$4:$C$4996,MATCH(D3971,Produtos!$B$4:$B$4996,0)),"Produto não encontrado"),"")</f>
        <v/>
      </c>
    </row>
    <row r="3972" spans="1:5" x14ac:dyDescent="0.3">
      <c r="A3972" s="21" t="str">
        <f t="shared" si="62"/>
        <v>.</v>
      </c>
      <c r="D3972" s="44"/>
      <c r="E3972" s="22" t="str">
        <f>IF(D3972&lt;&gt;"",IFERROR(INDEX(Produtos!$C$4:$C$4996,MATCH(D3972,Produtos!$B$4:$B$4996,0)),"Produto não encontrado"),"")</f>
        <v/>
      </c>
    </row>
    <row r="3973" spans="1:5" x14ac:dyDescent="0.3">
      <c r="A3973" s="21" t="str">
        <f t="shared" si="62"/>
        <v>.</v>
      </c>
      <c r="D3973" s="44"/>
      <c r="E3973" s="22" t="str">
        <f>IF(D3973&lt;&gt;"",IFERROR(INDEX(Produtos!$C$4:$C$4996,MATCH(D3973,Produtos!$B$4:$B$4996,0)),"Produto não encontrado"),"")</f>
        <v/>
      </c>
    </row>
    <row r="3974" spans="1:5" x14ac:dyDescent="0.3">
      <c r="A3974" s="21" t="str">
        <f t="shared" si="62"/>
        <v>.</v>
      </c>
      <c r="D3974" s="44"/>
      <c r="E3974" s="22" t="str">
        <f>IF(D3974&lt;&gt;"",IFERROR(INDEX(Produtos!$C$4:$C$4996,MATCH(D3974,Produtos!$B$4:$B$4996,0)),"Produto não encontrado"),"")</f>
        <v/>
      </c>
    </row>
    <row r="3975" spans="1:5" x14ac:dyDescent="0.3">
      <c r="A3975" s="21" t="str">
        <f t="shared" si="62"/>
        <v>.</v>
      </c>
      <c r="D3975" s="44"/>
      <c r="E3975" s="22" t="str">
        <f>IF(D3975&lt;&gt;"",IFERROR(INDEX(Produtos!$C$4:$C$4996,MATCH(D3975,Produtos!$B$4:$B$4996,0)),"Produto não encontrado"),"")</f>
        <v/>
      </c>
    </row>
    <row r="3976" spans="1:5" x14ac:dyDescent="0.3">
      <c r="A3976" s="21" t="str">
        <f t="shared" si="62"/>
        <v>.</v>
      </c>
      <c r="D3976" s="44"/>
      <c r="E3976" s="22" t="str">
        <f>IF(D3976&lt;&gt;"",IFERROR(INDEX(Produtos!$C$4:$C$4996,MATCH(D3976,Produtos!$B$4:$B$4996,0)),"Produto não encontrado"),"")</f>
        <v/>
      </c>
    </row>
    <row r="3977" spans="1:5" x14ac:dyDescent="0.3">
      <c r="A3977" s="21" t="str">
        <f t="shared" si="62"/>
        <v>.</v>
      </c>
      <c r="D3977" s="44"/>
      <c r="E3977" s="22" t="str">
        <f>IF(D3977&lt;&gt;"",IFERROR(INDEX(Produtos!$C$4:$C$4996,MATCH(D3977,Produtos!$B$4:$B$4996,0)),"Produto não encontrado"),"")</f>
        <v/>
      </c>
    </row>
    <row r="3978" spans="1:5" x14ac:dyDescent="0.3">
      <c r="A3978" s="21" t="str">
        <f t="shared" si="62"/>
        <v>.</v>
      </c>
      <c r="D3978" s="44"/>
      <c r="E3978" s="22" t="str">
        <f>IF(D3978&lt;&gt;"",IFERROR(INDEX(Produtos!$C$4:$C$4996,MATCH(D3978,Produtos!$B$4:$B$4996,0)),"Produto não encontrado"),"")</f>
        <v/>
      </c>
    </row>
    <row r="3979" spans="1:5" x14ac:dyDescent="0.3">
      <c r="A3979" s="21" t="str">
        <f t="shared" si="62"/>
        <v>.</v>
      </c>
      <c r="D3979" s="44"/>
      <c r="E3979" s="22" t="str">
        <f>IF(D3979&lt;&gt;"",IFERROR(INDEX(Produtos!$C$4:$C$4996,MATCH(D3979,Produtos!$B$4:$B$4996,0)),"Produto não encontrado"),"")</f>
        <v/>
      </c>
    </row>
    <row r="3980" spans="1:5" x14ac:dyDescent="0.3">
      <c r="A3980" s="21" t="str">
        <f t="shared" si="62"/>
        <v>.</v>
      </c>
      <c r="D3980" s="44"/>
      <c r="E3980" s="22" t="str">
        <f>IF(D3980&lt;&gt;"",IFERROR(INDEX(Produtos!$C$4:$C$4996,MATCH(D3980,Produtos!$B$4:$B$4996,0)),"Produto não encontrado"),"")</f>
        <v/>
      </c>
    </row>
    <row r="3981" spans="1:5" x14ac:dyDescent="0.3">
      <c r="A3981" s="21" t="str">
        <f t="shared" si="62"/>
        <v>.</v>
      </c>
      <c r="D3981" s="44"/>
      <c r="E3981" s="22" t="str">
        <f>IF(D3981&lt;&gt;"",IFERROR(INDEX(Produtos!$C$4:$C$4996,MATCH(D3981,Produtos!$B$4:$B$4996,0)),"Produto não encontrado"),"")</f>
        <v/>
      </c>
    </row>
    <row r="3982" spans="1:5" x14ac:dyDescent="0.3">
      <c r="A3982" s="21" t="str">
        <f t="shared" si="62"/>
        <v>.</v>
      </c>
      <c r="D3982" s="44"/>
      <c r="E3982" s="22" t="str">
        <f>IF(D3982&lt;&gt;"",IFERROR(INDEX(Produtos!$C$4:$C$4996,MATCH(D3982,Produtos!$B$4:$B$4996,0)),"Produto não encontrado"),"")</f>
        <v/>
      </c>
    </row>
    <row r="3983" spans="1:5" x14ac:dyDescent="0.3">
      <c r="A3983" s="21" t="str">
        <f t="shared" si="62"/>
        <v>.</v>
      </c>
      <c r="D3983" s="44"/>
      <c r="E3983" s="22" t="str">
        <f>IF(D3983&lt;&gt;"",IFERROR(INDEX(Produtos!$C$4:$C$4996,MATCH(D3983,Produtos!$B$4:$B$4996,0)),"Produto não encontrado"),"")</f>
        <v/>
      </c>
    </row>
    <row r="3984" spans="1:5" x14ac:dyDescent="0.3">
      <c r="A3984" s="21" t="str">
        <f t="shared" si="62"/>
        <v>.</v>
      </c>
      <c r="D3984" s="44"/>
      <c r="E3984" s="22" t="str">
        <f>IF(D3984&lt;&gt;"",IFERROR(INDEX(Produtos!$C$4:$C$4996,MATCH(D3984,Produtos!$B$4:$B$4996,0)),"Produto não encontrado"),"")</f>
        <v/>
      </c>
    </row>
    <row r="3985" spans="1:5" x14ac:dyDescent="0.3">
      <c r="A3985" s="21" t="str">
        <f t="shared" si="62"/>
        <v>.</v>
      </c>
      <c r="D3985" s="44"/>
      <c r="E3985" s="22" t="str">
        <f>IF(D3985&lt;&gt;"",IFERROR(INDEX(Produtos!$C$4:$C$4996,MATCH(D3985,Produtos!$B$4:$B$4996,0)),"Produto não encontrado"),"")</f>
        <v/>
      </c>
    </row>
    <row r="3986" spans="1:5" x14ac:dyDescent="0.3">
      <c r="A3986" s="21" t="str">
        <f t="shared" si="62"/>
        <v>.</v>
      </c>
      <c r="D3986" s="44"/>
      <c r="E3986" s="22" t="str">
        <f>IF(D3986&lt;&gt;"",IFERROR(INDEX(Produtos!$C$4:$C$4996,MATCH(D3986,Produtos!$B$4:$B$4996,0)),"Produto não encontrado"),"")</f>
        <v/>
      </c>
    </row>
    <row r="3987" spans="1:5" x14ac:dyDescent="0.3">
      <c r="A3987" s="21" t="str">
        <f t="shared" si="62"/>
        <v>.</v>
      </c>
      <c r="D3987" s="44"/>
      <c r="E3987" s="22" t="str">
        <f>IF(D3987&lt;&gt;"",IFERROR(INDEX(Produtos!$C$4:$C$4996,MATCH(D3987,Produtos!$B$4:$B$4996,0)),"Produto não encontrado"),"")</f>
        <v/>
      </c>
    </row>
    <row r="3988" spans="1:5" x14ac:dyDescent="0.3">
      <c r="A3988" s="21" t="str">
        <f t="shared" si="62"/>
        <v>.</v>
      </c>
      <c r="D3988" s="44"/>
      <c r="E3988" s="22" t="str">
        <f>IF(D3988&lt;&gt;"",IFERROR(INDEX(Produtos!$C$4:$C$4996,MATCH(D3988,Produtos!$B$4:$B$4996,0)),"Produto não encontrado"),"")</f>
        <v/>
      </c>
    </row>
    <row r="3989" spans="1:5" x14ac:dyDescent="0.3">
      <c r="A3989" s="21" t="str">
        <f t="shared" si="62"/>
        <v>.</v>
      </c>
      <c r="D3989" s="44"/>
      <c r="E3989" s="22" t="str">
        <f>IF(D3989&lt;&gt;"",IFERROR(INDEX(Produtos!$C$4:$C$4996,MATCH(D3989,Produtos!$B$4:$B$4996,0)),"Produto não encontrado"),"")</f>
        <v/>
      </c>
    </row>
    <row r="3990" spans="1:5" x14ac:dyDescent="0.3">
      <c r="A3990" s="21" t="str">
        <f t="shared" si="62"/>
        <v>.</v>
      </c>
      <c r="D3990" s="44"/>
      <c r="E3990" s="22" t="str">
        <f>IF(D3990&lt;&gt;"",IFERROR(INDEX(Produtos!$C$4:$C$4996,MATCH(D3990,Produtos!$B$4:$B$4996,0)),"Produto não encontrado"),"")</f>
        <v/>
      </c>
    </row>
    <row r="3991" spans="1:5" x14ac:dyDescent="0.3">
      <c r="A3991" s="21" t="str">
        <f t="shared" si="62"/>
        <v>.</v>
      </c>
      <c r="D3991" s="44"/>
      <c r="E3991" s="22" t="str">
        <f>IF(D3991&lt;&gt;"",IFERROR(INDEX(Produtos!$C$4:$C$4996,MATCH(D3991,Produtos!$B$4:$B$4996,0)),"Produto não encontrado"),"")</f>
        <v/>
      </c>
    </row>
    <row r="3992" spans="1:5" x14ac:dyDescent="0.3">
      <c r="A3992" s="21" t="str">
        <f t="shared" si="62"/>
        <v>.</v>
      </c>
      <c r="D3992" s="44"/>
      <c r="E3992" s="22" t="str">
        <f>IF(D3992&lt;&gt;"",IFERROR(INDEX(Produtos!$C$4:$C$4996,MATCH(D3992,Produtos!$B$4:$B$4996,0)),"Produto não encontrado"),"")</f>
        <v/>
      </c>
    </row>
    <row r="3993" spans="1:5" x14ac:dyDescent="0.3">
      <c r="A3993" s="21" t="str">
        <f t="shared" si="62"/>
        <v>.</v>
      </c>
      <c r="D3993" s="44"/>
      <c r="E3993" s="22" t="str">
        <f>IF(D3993&lt;&gt;"",IFERROR(INDEX(Produtos!$C$4:$C$4996,MATCH(D3993,Produtos!$B$4:$B$4996,0)),"Produto não encontrado"),"")</f>
        <v/>
      </c>
    </row>
    <row r="3994" spans="1:5" x14ac:dyDescent="0.3">
      <c r="A3994" s="21" t="str">
        <f t="shared" si="62"/>
        <v>.</v>
      </c>
      <c r="D3994" s="44"/>
      <c r="E3994" s="22" t="str">
        <f>IF(D3994&lt;&gt;"",IFERROR(INDEX(Produtos!$C$4:$C$4996,MATCH(D3994,Produtos!$B$4:$B$4996,0)),"Produto não encontrado"),"")</f>
        <v/>
      </c>
    </row>
    <row r="3995" spans="1:5" x14ac:dyDescent="0.3">
      <c r="A3995" s="21" t="str">
        <f t="shared" si="62"/>
        <v>.</v>
      </c>
      <c r="D3995" s="44"/>
      <c r="E3995" s="22" t="str">
        <f>IF(D3995&lt;&gt;"",IFERROR(INDEX(Produtos!$C$4:$C$4996,MATCH(D3995,Produtos!$B$4:$B$4996,0)),"Produto não encontrado"),"")</f>
        <v/>
      </c>
    </row>
    <row r="3996" spans="1:5" x14ac:dyDescent="0.3">
      <c r="A3996" s="21" t="str">
        <f t="shared" si="62"/>
        <v>.</v>
      </c>
      <c r="D3996" s="44"/>
      <c r="E3996" s="22" t="str">
        <f>IF(D3996&lt;&gt;"",IFERROR(INDEX(Produtos!$C$4:$C$4996,MATCH(D3996,Produtos!$B$4:$B$4996,0)),"Produto não encontrado"),"")</f>
        <v/>
      </c>
    </row>
    <row r="3997" spans="1:5" x14ac:dyDescent="0.3">
      <c r="A3997" s="21" t="str">
        <f t="shared" si="62"/>
        <v>.</v>
      </c>
      <c r="D3997" s="44"/>
      <c r="E3997" s="22" t="str">
        <f>IF(D3997&lt;&gt;"",IFERROR(INDEX(Produtos!$C$4:$C$4996,MATCH(D3997,Produtos!$B$4:$B$4996,0)),"Produto não encontrado"),"")</f>
        <v/>
      </c>
    </row>
    <row r="3998" spans="1:5" x14ac:dyDescent="0.3">
      <c r="A3998" s="21" t="str">
        <f t="shared" si="62"/>
        <v>.</v>
      </c>
      <c r="D3998" s="44"/>
      <c r="E3998" s="22" t="str">
        <f>IF(D3998&lt;&gt;"",IFERROR(INDEX(Produtos!$C$4:$C$4996,MATCH(D3998,Produtos!$B$4:$B$4996,0)),"Produto não encontrado"),"")</f>
        <v/>
      </c>
    </row>
    <row r="3999" spans="1:5" x14ac:dyDescent="0.3">
      <c r="A3999" s="21" t="str">
        <f t="shared" si="62"/>
        <v>.</v>
      </c>
      <c r="D3999" s="44"/>
      <c r="E3999" s="22" t="str">
        <f>IF(D3999&lt;&gt;"",IFERROR(INDEX(Produtos!$C$4:$C$4996,MATCH(D3999,Produtos!$B$4:$B$4996,0)),"Produto não encontrado"),"")</f>
        <v/>
      </c>
    </row>
    <row r="4000" spans="1:5" x14ac:dyDescent="0.3">
      <c r="A4000" s="21" t="str">
        <f t="shared" si="62"/>
        <v>.</v>
      </c>
      <c r="D4000" s="44"/>
      <c r="E4000" s="22" t="str">
        <f>IF(D4000&lt;&gt;"",IFERROR(INDEX(Produtos!$C$4:$C$4996,MATCH(D4000,Produtos!$B$4:$B$4996,0)),"Produto não encontrado"),"")</f>
        <v/>
      </c>
    </row>
    <row r="4001" spans="1:5" x14ac:dyDescent="0.3">
      <c r="A4001" s="21" t="str">
        <f t="shared" si="62"/>
        <v>.</v>
      </c>
      <c r="D4001" s="44"/>
      <c r="E4001" s="22" t="str">
        <f>IF(D4001&lt;&gt;"",IFERROR(INDEX(Produtos!$C$4:$C$4996,MATCH(D4001,Produtos!$B$4:$B$4996,0)),"Produto não encontrado"),"")</f>
        <v/>
      </c>
    </row>
    <row r="4002" spans="1:5" x14ac:dyDescent="0.3">
      <c r="A4002" s="21" t="str">
        <f t="shared" si="62"/>
        <v>.</v>
      </c>
      <c r="D4002" s="44"/>
      <c r="E4002" s="22" t="str">
        <f>IF(D4002&lt;&gt;"",IFERROR(INDEX(Produtos!$C$4:$C$4996,MATCH(D4002,Produtos!$B$4:$B$4996,0)),"Produto não encontrado"),"")</f>
        <v/>
      </c>
    </row>
    <row r="4003" spans="1:5" x14ac:dyDescent="0.3">
      <c r="A4003" s="21" t="str">
        <f t="shared" si="62"/>
        <v>.</v>
      </c>
      <c r="D4003" s="44"/>
      <c r="E4003" s="22" t="str">
        <f>IF(D4003&lt;&gt;"",IFERROR(INDEX(Produtos!$C$4:$C$4996,MATCH(D4003,Produtos!$B$4:$B$4996,0)),"Produto não encontrado"),"")</f>
        <v/>
      </c>
    </row>
    <row r="4004" spans="1:5" x14ac:dyDescent="0.3">
      <c r="A4004" s="21" t="str">
        <f t="shared" si="62"/>
        <v>.</v>
      </c>
      <c r="D4004" s="44"/>
      <c r="E4004" s="22" t="str">
        <f>IF(D4004&lt;&gt;"",IFERROR(INDEX(Produtos!$C$4:$C$4996,MATCH(D4004,Produtos!$B$4:$B$4996,0)),"Produto não encontrado"),"")</f>
        <v/>
      </c>
    </row>
    <row r="4005" spans="1:5" x14ac:dyDescent="0.3">
      <c r="A4005" s="21" t="str">
        <f t="shared" si="62"/>
        <v>.</v>
      </c>
      <c r="D4005" s="44"/>
      <c r="E4005" s="22" t="str">
        <f>IF(D4005&lt;&gt;"",IFERROR(INDEX(Produtos!$C$4:$C$4996,MATCH(D4005,Produtos!$B$4:$B$4996,0)),"Produto não encontrado"),"")</f>
        <v/>
      </c>
    </row>
    <row r="4006" spans="1:5" x14ac:dyDescent="0.3">
      <c r="A4006" s="21" t="str">
        <f t="shared" si="62"/>
        <v>.</v>
      </c>
      <c r="D4006" s="44"/>
      <c r="E4006" s="22" t="str">
        <f>IF(D4006&lt;&gt;"",IFERROR(INDEX(Produtos!$C$4:$C$4996,MATCH(D4006,Produtos!$B$4:$B$4996,0)),"Produto não encontrado"),"")</f>
        <v/>
      </c>
    </row>
    <row r="4007" spans="1:5" x14ac:dyDescent="0.3">
      <c r="A4007" s="21" t="str">
        <f t="shared" si="62"/>
        <v>.</v>
      </c>
      <c r="D4007" s="44"/>
      <c r="E4007" s="22" t="str">
        <f>IF(D4007&lt;&gt;"",IFERROR(INDEX(Produtos!$C$4:$C$4996,MATCH(D4007,Produtos!$B$4:$B$4996,0)),"Produto não encontrado"),"")</f>
        <v/>
      </c>
    </row>
    <row r="4008" spans="1:5" x14ac:dyDescent="0.3">
      <c r="A4008" s="21" t="str">
        <f t="shared" si="62"/>
        <v>.</v>
      </c>
      <c r="D4008" s="44"/>
      <c r="E4008" s="22" t="str">
        <f>IF(D4008&lt;&gt;"",IFERROR(INDEX(Produtos!$C$4:$C$4996,MATCH(D4008,Produtos!$B$4:$B$4996,0)),"Produto não encontrado"),"")</f>
        <v/>
      </c>
    </row>
    <row r="4009" spans="1:5" x14ac:dyDescent="0.3">
      <c r="A4009" s="21" t="str">
        <f t="shared" si="62"/>
        <v>.</v>
      </c>
      <c r="D4009" s="44"/>
      <c r="E4009" s="22" t="str">
        <f>IF(D4009&lt;&gt;"",IFERROR(INDEX(Produtos!$C$4:$C$4996,MATCH(D4009,Produtos!$B$4:$B$4996,0)),"Produto não encontrado"),"")</f>
        <v/>
      </c>
    </row>
    <row r="4010" spans="1:5" x14ac:dyDescent="0.3">
      <c r="A4010" s="21" t="str">
        <f t="shared" si="62"/>
        <v>.</v>
      </c>
      <c r="D4010" s="44"/>
      <c r="E4010" s="22" t="str">
        <f>IF(D4010&lt;&gt;"",IFERROR(INDEX(Produtos!$C$4:$C$4996,MATCH(D4010,Produtos!$B$4:$B$4996,0)),"Produto não encontrado"),"")</f>
        <v/>
      </c>
    </row>
    <row r="4011" spans="1:5" x14ac:dyDescent="0.3">
      <c r="A4011" s="21" t="str">
        <f t="shared" si="62"/>
        <v>.</v>
      </c>
      <c r="D4011" s="44"/>
      <c r="E4011" s="22" t="str">
        <f>IF(D4011&lt;&gt;"",IFERROR(INDEX(Produtos!$C$4:$C$4996,MATCH(D4011,Produtos!$B$4:$B$4996,0)),"Produto não encontrado"),"")</f>
        <v/>
      </c>
    </row>
    <row r="4012" spans="1:5" x14ac:dyDescent="0.3">
      <c r="A4012" s="21" t="str">
        <f t="shared" si="62"/>
        <v>.</v>
      </c>
      <c r="D4012" s="44"/>
      <c r="E4012" s="22" t="str">
        <f>IF(D4012&lt;&gt;"",IFERROR(INDEX(Produtos!$C$4:$C$4996,MATCH(D4012,Produtos!$B$4:$B$4996,0)),"Produto não encontrado"),"")</f>
        <v/>
      </c>
    </row>
    <row r="4013" spans="1:5" x14ac:dyDescent="0.3">
      <c r="A4013" s="21" t="str">
        <f t="shared" si="62"/>
        <v>.</v>
      </c>
      <c r="D4013" s="44"/>
      <c r="E4013" s="22" t="str">
        <f>IF(D4013&lt;&gt;"",IFERROR(INDEX(Produtos!$C$4:$C$4996,MATCH(D4013,Produtos!$B$4:$B$4996,0)),"Produto não encontrado"),"")</f>
        <v/>
      </c>
    </row>
    <row r="4014" spans="1:5" x14ac:dyDescent="0.3">
      <c r="A4014" s="21" t="str">
        <f t="shared" si="62"/>
        <v>.</v>
      </c>
      <c r="D4014" s="44"/>
      <c r="E4014" s="22" t="str">
        <f>IF(D4014&lt;&gt;"",IFERROR(INDEX(Produtos!$C$4:$C$4996,MATCH(D4014,Produtos!$B$4:$B$4996,0)),"Produto não encontrado"),"")</f>
        <v/>
      </c>
    </row>
    <row r="4015" spans="1:5" x14ac:dyDescent="0.3">
      <c r="A4015" s="21" t="str">
        <f t="shared" si="62"/>
        <v>.</v>
      </c>
      <c r="D4015" s="44"/>
      <c r="E4015" s="22" t="str">
        <f>IF(D4015&lt;&gt;"",IFERROR(INDEX(Produtos!$C$4:$C$4996,MATCH(D4015,Produtos!$B$4:$B$4996,0)),"Produto não encontrado"),"")</f>
        <v/>
      </c>
    </row>
    <row r="4016" spans="1:5" x14ac:dyDescent="0.3">
      <c r="A4016" s="21" t="str">
        <f t="shared" si="62"/>
        <v>.</v>
      </c>
      <c r="D4016" s="44"/>
      <c r="E4016" s="22" t="str">
        <f>IF(D4016&lt;&gt;"",IFERROR(INDEX(Produtos!$C$4:$C$4996,MATCH(D4016,Produtos!$B$4:$B$4996,0)),"Produto não encontrado"),"")</f>
        <v/>
      </c>
    </row>
    <row r="4017" spans="1:5" x14ac:dyDescent="0.3">
      <c r="A4017" s="21" t="str">
        <f t="shared" si="62"/>
        <v>.</v>
      </c>
      <c r="D4017" s="44"/>
      <c r="E4017" s="22" t="str">
        <f>IF(D4017&lt;&gt;"",IFERROR(INDEX(Produtos!$C$4:$C$4996,MATCH(D4017,Produtos!$B$4:$B$4996,0)),"Produto não encontrado"),"")</f>
        <v/>
      </c>
    </row>
    <row r="4018" spans="1:5" x14ac:dyDescent="0.3">
      <c r="A4018" s="21" t="str">
        <f t="shared" si="62"/>
        <v>.</v>
      </c>
      <c r="D4018" s="44"/>
      <c r="E4018" s="22" t="str">
        <f>IF(D4018&lt;&gt;"",IFERROR(INDEX(Produtos!$C$4:$C$4996,MATCH(D4018,Produtos!$B$4:$B$4996,0)),"Produto não encontrado"),"")</f>
        <v/>
      </c>
    </row>
    <row r="4019" spans="1:5" x14ac:dyDescent="0.3">
      <c r="A4019" s="21" t="str">
        <f t="shared" si="62"/>
        <v>.</v>
      </c>
      <c r="D4019" s="44"/>
      <c r="E4019" s="22" t="str">
        <f>IF(D4019&lt;&gt;"",IFERROR(INDEX(Produtos!$C$4:$C$4996,MATCH(D4019,Produtos!$B$4:$B$4996,0)),"Produto não encontrado"),"")</f>
        <v/>
      </c>
    </row>
    <row r="4020" spans="1:5" x14ac:dyDescent="0.3">
      <c r="A4020" s="21" t="str">
        <f t="shared" si="62"/>
        <v>.</v>
      </c>
      <c r="D4020" s="44"/>
      <c r="E4020" s="22" t="str">
        <f>IF(D4020&lt;&gt;"",IFERROR(INDEX(Produtos!$C$4:$C$4996,MATCH(D4020,Produtos!$B$4:$B$4996,0)),"Produto não encontrado"),"")</f>
        <v/>
      </c>
    </row>
    <row r="4021" spans="1:5" x14ac:dyDescent="0.3">
      <c r="A4021" s="21" t="str">
        <f t="shared" si="62"/>
        <v>.</v>
      </c>
      <c r="D4021" s="44"/>
      <c r="E4021" s="22" t="str">
        <f>IF(D4021&lt;&gt;"",IFERROR(INDEX(Produtos!$C$4:$C$4996,MATCH(D4021,Produtos!$B$4:$B$4996,0)),"Produto não encontrado"),"")</f>
        <v/>
      </c>
    </row>
    <row r="4022" spans="1:5" x14ac:dyDescent="0.3">
      <c r="A4022" s="21" t="str">
        <f t="shared" si="62"/>
        <v>.</v>
      </c>
      <c r="D4022" s="44"/>
      <c r="E4022" s="22" t="str">
        <f>IF(D4022&lt;&gt;"",IFERROR(INDEX(Produtos!$C$4:$C$4996,MATCH(D4022,Produtos!$B$4:$B$4996,0)),"Produto não encontrado"),"")</f>
        <v/>
      </c>
    </row>
    <row r="4023" spans="1:5" x14ac:dyDescent="0.3">
      <c r="A4023" s="21" t="str">
        <f t="shared" si="62"/>
        <v>.</v>
      </c>
      <c r="D4023" s="44"/>
      <c r="E4023" s="22" t="str">
        <f>IF(D4023&lt;&gt;"",IFERROR(INDEX(Produtos!$C$4:$C$4996,MATCH(D4023,Produtos!$B$4:$B$4996,0)),"Produto não encontrado"),"")</f>
        <v/>
      </c>
    </row>
    <row r="4024" spans="1:5" x14ac:dyDescent="0.3">
      <c r="A4024" s="21" t="str">
        <f t="shared" si="62"/>
        <v>.</v>
      </c>
      <c r="D4024" s="44"/>
      <c r="E4024" s="22" t="str">
        <f>IF(D4024&lt;&gt;"",IFERROR(INDEX(Produtos!$C$4:$C$4996,MATCH(D4024,Produtos!$B$4:$B$4996,0)),"Produto não encontrado"),"")</f>
        <v/>
      </c>
    </row>
    <row r="4025" spans="1:5" x14ac:dyDescent="0.3">
      <c r="A4025" s="21" t="str">
        <f t="shared" si="62"/>
        <v>.</v>
      </c>
      <c r="D4025" s="44"/>
      <c r="E4025" s="22" t="str">
        <f>IF(D4025&lt;&gt;"",IFERROR(INDEX(Produtos!$C$4:$C$4996,MATCH(D4025,Produtos!$B$4:$B$4996,0)),"Produto não encontrado"),"")</f>
        <v/>
      </c>
    </row>
    <row r="4026" spans="1:5" x14ac:dyDescent="0.3">
      <c r="A4026" s="21" t="str">
        <f t="shared" si="62"/>
        <v>.</v>
      </c>
      <c r="D4026" s="44"/>
      <c r="E4026" s="22" t="str">
        <f>IF(D4026&lt;&gt;"",IFERROR(INDEX(Produtos!$C$4:$C$4996,MATCH(D4026,Produtos!$B$4:$B$4996,0)),"Produto não encontrado"),"")</f>
        <v/>
      </c>
    </row>
    <row r="4027" spans="1:5" x14ac:dyDescent="0.3">
      <c r="A4027" s="21" t="str">
        <f t="shared" si="62"/>
        <v>.</v>
      </c>
      <c r="D4027" s="44"/>
      <c r="E4027" s="22" t="str">
        <f>IF(D4027&lt;&gt;"",IFERROR(INDEX(Produtos!$C$4:$C$4996,MATCH(D4027,Produtos!$B$4:$B$4996,0)),"Produto não encontrado"),"")</f>
        <v/>
      </c>
    </row>
    <row r="4028" spans="1:5" x14ac:dyDescent="0.3">
      <c r="A4028" s="21" t="str">
        <f t="shared" si="62"/>
        <v>.</v>
      </c>
      <c r="D4028" s="44"/>
      <c r="E4028" s="22" t="str">
        <f>IF(D4028&lt;&gt;"",IFERROR(INDEX(Produtos!$C$4:$C$4996,MATCH(D4028,Produtos!$B$4:$B$4996,0)),"Produto não encontrado"),"")</f>
        <v/>
      </c>
    </row>
    <row r="4029" spans="1:5" x14ac:dyDescent="0.3">
      <c r="A4029" s="21" t="str">
        <f t="shared" si="62"/>
        <v>.</v>
      </c>
      <c r="D4029" s="44"/>
      <c r="E4029" s="22" t="str">
        <f>IF(D4029&lt;&gt;"",IFERROR(INDEX(Produtos!$C$4:$C$4996,MATCH(D4029,Produtos!$B$4:$B$4996,0)),"Produto não encontrado"),"")</f>
        <v/>
      </c>
    </row>
    <row r="4030" spans="1:5" x14ac:dyDescent="0.3">
      <c r="A4030" s="21" t="str">
        <f t="shared" si="62"/>
        <v>.</v>
      </c>
      <c r="D4030" s="44"/>
      <c r="E4030" s="22" t="str">
        <f>IF(D4030&lt;&gt;"",IFERROR(INDEX(Produtos!$C$4:$C$4996,MATCH(D4030,Produtos!$B$4:$B$4996,0)),"Produto não encontrado"),"")</f>
        <v/>
      </c>
    </row>
    <row r="4031" spans="1:5" x14ac:dyDescent="0.3">
      <c r="A4031" s="21" t="str">
        <f t="shared" si="62"/>
        <v>.</v>
      </c>
      <c r="D4031" s="44"/>
      <c r="E4031" s="22" t="str">
        <f>IF(D4031&lt;&gt;"",IFERROR(INDEX(Produtos!$C$4:$C$4996,MATCH(D4031,Produtos!$B$4:$B$4996,0)),"Produto não encontrado"),"")</f>
        <v/>
      </c>
    </row>
    <row r="4032" spans="1:5" x14ac:dyDescent="0.3">
      <c r="A4032" s="21" t="str">
        <f t="shared" ref="A4032:A4095" si="63">IF(C4032="Entrada",2,IF(C4032="Saída",1,"."))</f>
        <v>.</v>
      </c>
      <c r="D4032" s="44"/>
      <c r="E4032" s="22" t="str">
        <f>IF(D4032&lt;&gt;"",IFERROR(INDEX(Produtos!$C$4:$C$4996,MATCH(D4032,Produtos!$B$4:$B$4996,0)),"Produto não encontrado"),"")</f>
        <v/>
      </c>
    </row>
    <row r="4033" spans="1:5" x14ac:dyDescent="0.3">
      <c r="A4033" s="21" t="str">
        <f t="shared" si="63"/>
        <v>.</v>
      </c>
      <c r="D4033" s="44"/>
      <c r="E4033" s="22" t="str">
        <f>IF(D4033&lt;&gt;"",IFERROR(INDEX(Produtos!$C$4:$C$4996,MATCH(D4033,Produtos!$B$4:$B$4996,0)),"Produto não encontrado"),"")</f>
        <v/>
      </c>
    </row>
    <row r="4034" spans="1:5" x14ac:dyDescent="0.3">
      <c r="A4034" s="21" t="str">
        <f t="shared" si="63"/>
        <v>.</v>
      </c>
      <c r="D4034" s="44"/>
      <c r="E4034" s="22" t="str">
        <f>IF(D4034&lt;&gt;"",IFERROR(INDEX(Produtos!$C$4:$C$4996,MATCH(D4034,Produtos!$B$4:$B$4996,0)),"Produto não encontrado"),"")</f>
        <v/>
      </c>
    </row>
    <row r="4035" spans="1:5" x14ac:dyDescent="0.3">
      <c r="A4035" s="21" t="str">
        <f t="shared" si="63"/>
        <v>.</v>
      </c>
      <c r="D4035" s="44"/>
      <c r="E4035" s="22" t="str">
        <f>IF(D4035&lt;&gt;"",IFERROR(INDEX(Produtos!$C$4:$C$4996,MATCH(D4035,Produtos!$B$4:$B$4996,0)),"Produto não encontrado"),"")</f>
        <v/>
      </c>
    </row>
    <row r="4036" spans="1:5" x14ac:dyDescent="0.3">
      <c r="A4036" s="21" t="str">
        <f t="shared" si="63"/>
        <v>.</v>
      </c>
      <c r="D4036" s="44"/>
      <c r="E4036" s="22" t="str">
        <f>IF(D4036&lt;&gt;"",IFERROR(INDEX(Produtos!$C$4:$C$4996,MATCH(D4036,Produtos!$B$4:$B$4996,0)),"Produto não encontrado"),"")</f>
        <v/>
      </c>
    </row>
    <row r="4037" spans="1:5" x14ac:dyDescent="0.3">
      <c r="A4037" s="21" t="str">
        <f t="shared" si="63"/>
        <v>.</v>
      </c>
      <c r="D4037" s="44"/>
      <c r="E4037" s="22" t="str">
        <f>IF(D4037&lt;&gt;"",IFERROR(INDEX(Produtos!$C$4:$C$4996,MATCH(D4037,Produtos!$B$4:$B$4996,0)),"Produto não encontrado"),"")</f>
        <v/>
      </c>
    </row>
    <row r="4038" spans="1:5" x14ac:dyDescent="0.3">
      <c r="A4038" s="21" t="str">
        <f t="shared" si="63"/>
        <v>.</v>
      </c>
      <c r="D4038" s="44"/>
      <c r="E4038" s="22" t="str">
        <f>IF(D4038&lt;&gt;"",IFERROR(INDEX(Produtos!$C$4:$C$4996,MATCH(D4038,Produtos!$B$4:$B$4996,0)),"Produto não encontrado"),"")</f>
        <v/>
      </c>
    </row>
    <row r="4039" spans="1:5" x14ac:dyDescent="0.3">
      <c r="A4039" s="21" t="str">
        <f t="shared" si="63"/>
        <v>.</v>
      </c>
      <c r="D4039" s="44"/>
      <c r="E4039" s="22" t="str">
        <f>IF(D4039&lt;&gt;"",IFERROR(INDEX(Produtos!$C$4:$C$4996,MATCH(D4039,Produtos!$B$4:$B$4996,0)),"Produto não encontrado"),"")</f>
        <v/>
      </c>
    </row>
    <row r="4040" spans="1:5" x14ac:dyDescent="0.3">
      <c r="A4040" s="21" t="str">
        <f t="shared" si="63"/>
        <v>.</v>
      </c>
      <c r="D4040" s="44"/>
      <c r="E4040" s="22" t="str">
        <f>IF(D4040&lt;&gt;"",IFERROR(INDEX(Produtos!$C$4:$C$4996,MATCH(D4040,Produtos!$B$4:$B$4996,0)),"Produto não encontrado"),"")</f>
        <v/>
      </c>
    </row>
    <row r="4041" spans="1:5" x14ac:dyDescent="0.3">
      <c r="A4041" s="21" t="str">
        <f t="shared" si="63"/>
        <v>.</v>
      </c>
      <c r="D4041" s="44"/>
      <c r="E4041" s="22" t="str">
        <f>IF(D4041&lt;&gt;"",IFERROR(INDEX(Produtos!$C$4:$C$4996,MATCH(D4041,Produtos!$B$4:$B$4996,0)),"Produto não encontrado"),"")</f>
        <v/>
      </c>
    </row>
    <row r="4042" spans="1:5" x14ac:dyDescent="0.3">
      <c r="A4042" s="21" t="str">
        <f t="shared" si="63"/>
        <v>.</v>
      </c>
      <c r="D4042" s="44"/>
      <c r="E4042" s="22" t="str">
        <f>IF(D4042&lt;&gt;"",IFERROR(INDEX(Produtos!$C$4:$C$4996,MATCH(D4042,Produtos!$B$4:$B$4996,0)),"Produto não encontrado"),"")</f>
        <v/>
      </c>
    </row>
    <row r="4043" spans="1:5" x14ac:dyDescent="0.3">
      <c r="A4043" s="21" t="str">
        <f t="shared" si="63"/>
        <v>.</v>
      </c>
      <c r="D4043" s="44"/>
      <c r="E4043" s="22" t="str">
        <f>IF(D4043&lt;&gt;"",IFERROR(INDEX(Produtos!$C$4:$C$4996,MATCH(D4043,Produtos!$B$4:$B$4996,0)),"Produto não encontrado"),"")</f>
        <v/>
      </c>
    </row>
    <row r="4044" spans="1:5" x14ac:dyDescent="0.3">
      <c r="A4044" s="21" t="str">
        <f t="shared" si="63"/>
        <v>.</v>
      </c>
      <c r="D4044" s="44"/>
      <c r="E4044" s="22" t="str">
        <f>IF(D4044&lt;&gt;"",IFERROR(INDEX(Produtos!$C$4:$C$4996,MATCH(D4044,Produtos!$B$4:$B$4996,0)),"Produto não encontrado"),"")</f>
        <v/>
      </c>
    </row>
    <row r="4045" spans="1:5" x14ac:dyDescent="0.3">
      <c r="A4045" s="21" t="str">
        <f t="shared" si="63"/>
        <v>.</v>
      </c>
      <c r="D4045" s="44"/>
      <c r="E4045" s="22" t="str">
        <f>IF(D4045&lt;&gt;"",IFERROR(INDEX(Produtos!$C$4:$C$4996,MATCH(D4045,Produtos!$B$4:$B$4996,0)),"Produto não encontrado"),"")</f>
        <v/>
      </c>
    </row>
    <row r="4046" spans="1:5" x14ac:dyDescent="0.3">
      <c r="A4046" s="21" t="str">
        <f t="shared" si="63"/>
        <v>.</v>
      </c>
      <c r="D4046" s="44"/>
      <c r="E4046" s="22" t="str">
        <f>IF(D4046&lt;&gt;"",IFERROR(INDEX(Produtos!$C$4:$C$4996,MATCH(D4046,Produtos!$B$4:$B$4996,0)),"Produto não encontrado"),"")</f>
        <v/>
      </c>
    </row>
    <row r="4047" spans="1:5" x14ac:dyDescent="0.3">
      <c r="A4047" s="21" t="str">
        <f t="shared" si="63"/>
        <v>.</v>
      </c>
      <c r="D4047" s="44"/>
      <c r="E4047" s="22" t="str">
        <f>IF(D4047&lt;&gt;"",IFERROR(INDEX(Produtos!$C$4:$C$4996,MATCH(D4047,Produtos!$B$4:$B$4996,0)),"Produto não encontrado"),"")</f>
        <v/>
      </c>
    </row>
    <row r="4048" spans="1:5" x14ac:dyDescent="0.3">
      <c r="A4048" s="21" t="str">
        <f t="shared" si="63"/>
        <v>.</v>
      </c>
      <c r="D4048" s="44"/>
      <c r="E4048" s="22" t="str">
        <f>IF(D4048&lt;&gt;"",IFERROR(INDEX(Produtos!$C$4:$C$4996,MATCH(D4048,Produtos!$B$4:$B$4996,0)),"Produto não encontrado"),"")</f>
        <v/>
      </c>
    </row>
    <row r="4049" spans="1:5" x14ac:dyDescent="0.3">
      <c r="A4049" s="21" t="str">
        <f t="shared" si="63"/>
        <v>.</v>
      </c>
      <c r="D4049" s="44"/>
      <c r="E4049" s="22" t="str">
        <f>IF(D4049&lt;&gt;"",IFERROR(INDEX(Produtos!$C$4:$C$4996,MATCH(D4049,Produtos!$B$4:$B$4996,0)),"Produto não encontrado"),"")</f>
        <v/>
      </c>
    </row>
    <row r="4050" spans="1:5" x14ac:dyDescent="0.3">
      <c r="A4050" s="21" t="str">
        <f t="shared" si="63"/>
        <v>.</v>
      </c>
      <c r="D4050" s="44"/>
      <c r="E4050" s="22" t="str">
        <f>IF(D4050&lt;&gt;"",IFERROR(INDEX(Produtos!$C$4:$C$4996,MATCH(D4050,Produtos!$B$4:$B$4996,0)),"Produto não encontrado"),"")</f>
        <v/>
      </c>
    </row>
    <row r="4051" spans="1:5" x14ac:dyDescent="0.3">
      <c r="A4051" s="21" t="str">
        <f t="shared" si="63"/>
        <v>.</v>
      </c>
      <c r="D4051" s="44"/>
      <c r="E4051" s="22" t="str">
        <f>IF(D4051&lt;&gt;"",IFERROR(INDEX(Produtos!$C$4:$C$4996,MATCH(D4051,Produtos!$B$4:$B$4996,0)),"Produto não encontrado"),"")</f>
        <v/>
      </c>
    </row>
    <row r="4052" spans="1:5" x14ac:dyDescent="0.3">
      <c r="A4052" s="21" t="str">
        <f t="shared" si="63"/>
        <v>.</v>
      </c>
      <c r="D4052" s="44"/>
      <c r="E4052" s="22" t="str">
        <f>IF(D4052&lt;&gt;"",IFERROR(INDEX(Produtos!$C$4:$C$4996,MATCH(D4052,Produtos!$B$4:$B$4996,0)),"Produto não encontrado"),"")</f>
        <v/>
      </c>
    </row>
    <row r="4053" spans="1:5" x14ac:dyDescent="0.3">
      <c r="A4053" s="21" t="str">
        <f t="shared" si="63"/>
        <v>.</v>
      </c>
      <c r="D4053" s="44"/>
      <c r="E4053" s="22" t="str">
        <f>IF(D4053&lt;&gt;"",IFERROR(INDEX(Produtos!$C$4:$C$4996,MATCH(D4053,Produtos!$B$4:$B$4996,0)),"Produto não encontrado"),"")</f>
        <v/>
      </c>
    </row>
    <row r="4054" spans="1:5" x14ac:dyDescent="0.3">
      <c r="A4054" s="21" t="str">
        <f t="shared" si="63"/>
        <v>.</v>
      </c>
      <c r="D4054" s="44"/>
      <c r="E4054" s="22" t="str">
        <f>IF(D4054&lt;&gt;"",IFERROR(INDEX(Produtos!$C$4:$C$4996,MATCH(D4054,Produtos!$B$4:$B$4996,0)),"Produto não encontrado"),"")</f>
        <v/>
      </c>
    </row>
    <row r="4055" spans="1:5" x14ac:dyDescent="0.3">
      <c r="A4055" s="21" t="str">
        <f t="shared" si="63"/>
        <v>.</v>
      </c>
      <c r="D4055" s="44"/>
      <c r="E4055" s="22" t="str">
        <f>IF(D4055&lt;&gt;"",IFERROR(INDEX(Produtos!$C$4:$C$4996,MATCH(D4055,Produtos!$B$4:$B$4996,0)),"Produto não encontrado"),"")</f>
        <v/>
      </c>
    </row>
    <row r="4056" spans="1:5" x14ac:dyDescent="0.3">
      <c r="A4056" s="21" t="str">
        <f t="shared" si="63"/>
        <v>.</v>
      </c>
      <c r="D4056" s="44"/>
      <c r="E4056" s="22" t="str">
        <f>IF(D4056&lt;&gt;"",IFERROR(INDEX(Produtos!$C$4:$C$4996,MATCH(D4056,Produtos!$B$4:$B$4996,0)),"Produto não encontrado"),"")</f>
        <v/>
      </c>
    </row>
    <row r="4057" spans="1:5" x14ac:dyDescent="0.3">
      <c r="A4057" s="21" t="str">
        <f t="shared" si="63"/>
        <v>.</v>
      </c>
      <c r="D4057" s="44"/>
      <c r="E4057" s="22" t="str">
        <f>IF(D4057&lt;&gt;"",IFERROR(INDEX(Produtos!$C$4:$C$4996,MATCH(D4057,Produtos!$B$4:$B$4996,0)),"Produto não encontrado"),"")</f>
        <v/>
      </c>
    </row>
    <row r="4058" spans="1:5" x14ac:dyDescent="0.3">
      <c r="A4058" s="21" t="str">
        <f t="shared" si="63"/>
        <v>.</v>
      </c>
      <c r="D4058" s="44"/>
      <c r="E4058" s="22" t="str">
        <f>IF(D4058&lt;&gt;"",IFERROR(INDEX(Produtos!$C$4:$C$4996,MATCH(D4058,Produtos!$B$4:$B$4996,0)),"Produto não encontrado"),"")</f>
        <v/>
      </c>
    </row>
    <row r="4059" spans="1:5" x14ac:dyDescent="0.3">
      <c r="A4059" s="21" t="str">
        <f t="shared" si="63"/>
        <v>.</v>
      </c>
      <c r="D4059" s="44"/>
      <c r="E4059" s="22" t="str">
        <f>IF(D4059&lt;&gt;"",IFERROR(INDEX(Produtos!$C$4:$C$4996,MATCH(D4059,Produtos!$B$4:$B$4996,0)),"Produto não encontrado"),"")</f>
        <v/>
      </c>
    </row>
    <row r="4060" spans="1:5" x14ac:dyDescent="0.3">
      <c r="A4060" s="21" t="str">
        <f t="shared" si="63"/>
        <v>.</v>
      </c>
      <c r="D4060" s="44"/>
      <c r="E4060" s="22" t="str">
        <f>IF(D4060&lt;&gt;"",IFERROR(INDEX(Produtos!$C$4:$C$4996,MATCH(D4060,Produtos!$B$4:$B$4996,0)),"Produto não encontrado"),"")</f>
        <v/>
      </c>
    </row>
    <row r="4061" spans="1:5" x14ac:dyDescent="0.3">
      <c r="A4061" s="21" t="str">
        <f t="shared" si="63"/>
        <v>.</v>
      </c>
      <c r="D4061" s="44"/>
      <c r="E4061" s="22" t="str">
        <f>IF(D4061&lt;&gt;"",IFERROR(INDEX(Produtos!$C$4:$C$4996,MATCH(D4061,Produtos!$B$4:$B$4996,0)),"Produto não encontrado"),"")</f>
        <v/>
      </c>
    </row>
    <row r="4062" spans="1:5" x14ac:dyDescent="0.3">
      <c r="A4062" s="21" t="str">
        <f t="shared" si="63"/>
        <v>.</v>
      </c>
      <c r="D4062" s="44"/>
      <c r="E4062" s="22" t="str">
        <f>IF(D4062&lt;&gt;"",IFERROR(INDEX(Produtos!$C$4:$C$4996,MATCH(D4062,Produtos!$B$4:$B$4996,0)),"Produto não encontrado"),"")</f>
        <v/>
      </c>
    </row>
    <row r="4063" spans="1:5" x14ac:dyDescent="0.3">
      <c r="A4063" s="21" t="str">
        <f t="shared" si="63"/>
        <v>.</v>
      </c>
      <c r="D4063" s="44"/>
      <c r="E4063" s="22" t="str">
        <f>IF(D4063&lt;&gt;"",IFERROR(INDEX(Produtos!$C$4:$C$4996,MATCH(D4063,Produtos!$B$4:$B$4996,0)),"Produto não encontrado"),"")</f>
        <v/>
      </c>
    </row>
    <row r="4064" spans="1:5" x14ac:dyDescent="0.3">
      <c r="A4064" s="21" t="str">
        <f t="shared" si="63"/>
        <v>.</v>
      </c>
      <c r="D4064" s="44"/>
      <c r="E4064" s="22" t="str">
        <f>IF(D4064&lt;&gt;"",IFERROR(INDEX(Produtos!$C$4:$C$4996,MATCH(D4064,Produtos!$B$4:$B$4996,0)),"Produto não encontrado"),"")</f>
        <v/>
      </c>
    </row>
    <row r="4065" spans="1:5" x14ac:dyDescent="0.3">
      <c r="A4065" s="21" t="str">
        <f t="shared" si="63"/>
        <v>.</v>
      </c>
      <c r="D4065" s="44"/>
      <c r="E4065" s="22" t="str">
        <f>IF(D4065&lt;&gt;"",IFERROR(INDEX(Produtos!$C$4:$C$4996,MATCH(D4065,Produtos!$B$4:$B$4996,0)),"Produto não encontrado"),"")</f>
        <v/>
      </c>
    </row>
    <row r="4066" spans="1:5" x14ac:dyDescent="0.3">
      <c r="A4066" s="21" t="str">
        <f t="shared" si="63"/>
        <v>.</v>
      </c>
      <c r="D4066" s="44"/>
      <c r="E4066" s="22" t="str">
        <f>IF(D4066&lt;&gt;"",IFERROR(INDEX(Produtos!$C$4:$C$4996,MATCH(D4066,Produtos!$B$4:$B$4996,0)),"Produto não encontrado"),"")</f>
        <v/>
      </c>
    </row>
    <row r="4067" spans="1:5" x14ac:dyDescent="0.3">
      <c r="A4067" s="21" t="str">
        <f t="shared" si="63"/>
        <v>.</v>
      </c>
      <c r="D4067" s="44"/>
      <c r="E4067" s="22" t="str">
        <f>IF(D4067&lt;&gt;"",IFERROR(INDEX(Produtos!$C$4:$C$4996,MATCH(D4067,Produtos!$B$4:$B$4996,0)),"Produto não encontrado"),"")</f>
        <v/>
      </c>
    </row>
    <row r="4068" spans="1:5" x14ac:dyDescent="0.3">
      <c r="A4068" s="21" t="str">
        <f t="shared" si="63"/>
        <v>.</v>
      </c>
      <c r="D4068" s="44"/>
      <c r="E4068" s="22" t="str">
        <f>IF(D4068&lt;&gt;"",IFERROR(INDEX(Produtos!$C$4:$C$4996,MATCH(D4068,Produtos!$B$4:$B$4996,0)),"Produto não encontrado"),"")</f>
        <v/>
      </c>
    </row>
    <row r="4069" spans="1:5" x14ac:dyDescent="0.3">
      <c r="A4069" s="21" t="str">
        <f t="shared" si="63"/>
        <v>.</v>
      </c>
      <c r="D4069" s="44"/>
      <c r="E4069" s="22" t="str">
        <f>IF(D4069&lt;&gt;"",IFERROR(INDEX(Produtos!$C$4:$C$4996,MATCH(D4069,Produtos!$B$4:$B$4996,0)),"Produto não encontrado"),"")</f>
        <v/>
      </c>
    </row>
    <row r="4070" spans="1:5" x14ac:dyDescent="0.3">
      <c r="A4070" s="21" t="str">
        <f t="shared" si="63"/>
        <v>.</v>
      </c>
      <c r="D4070" s="44"/>
      <c r="E4070" s="22" t="str">
        <f>IF(D4070&lt;&gt;"",IFERROR(INDEX(Produtos!$C$4:$C$4996,MATCH(D4070,Produtos!$B$4:$B$4996,0)),"Produto não encontrado"),"")</f>
        <v/>
      </c>
    </row>
    <row r="4071" spans="1:5" x14ac:dyDescent="0.3">
      <c r="A4071" s="21" t="str">
        <f t="shared" si="63"/>
        <v>.</v>
      </c>
      <c r="D4071" s="44"/>
      <c r="E4071" s="22" t="str">
        <f>IF(D4071&lt;&gt;"",IFERROR(INDEX(Produtos!$C$4:$C$4996,MATCH(D4071,Produtos!$B$4:$B$4996,0)),"Produto não encontrado"),"")</f>
        <v/>
      </c>
    </row>
    <row r="4072" spans="1:5" x14ac:dyDescent="0.3">
      <c r="A4072" s="21" t="str">
        <f t="shared" si="63"/>
        <v>.</v>
      </c>
      <c r="D4072" s="44"/>
      <c r="E4072" s="22" t="str">
        <f>IF(D4072&lt;&gt;"",IFERROR(INDEX(Produtos!$C$4:$C$4996,MATCH(D4072,Produtos!$B$4:$B$4996,0)),"Produto não encontrado"),"")</f>
        <v/>
      </c>
    </row>
    <row r="4073" spans="1:5" x14ac:dyDescent="0.3">
      <c r="A4073" s="21" t="str">
        <f t="shared" si="63"/>
        <v>.</v>
      </c>
      <c r="D4073" s="44"/>
      <c r="E4073" s="22" t="str">
        <f>IF(D4073&lt;&gt;"",IFERROR(INDEX(Produtos!$C$4:$C$4996,MATCH(D4073,Produtos!$B$4:$B$4996,0)),"Produto não encontrado"),"")</f>
        <v/>
      </c>
    </row>
    <row r="4074" spans="1:5" x14ac:dyDescent="0.3">
      <c r="A4074" s="21" t="str">
        <f t="shared" si="63"/>
        <v>.</v>
      </c>
      <c r="D4074" s="44"/>
      <c r="E4074" s="22" t="str">
        <f>IF(D4074&lt;&gt;"",IFERROR(INDEX(Produtos!$C$4:$C$4996,MATCH(D4074,Produtos!$B$4:$B$4996,0)),"Produto não encontrado"),"")</f>
        <v/>
      </c>
    </row>
    <row r="4075" spans="1:5" x14ac:dyDescent="0.3">
      <c r="A4075" s="21" t="str">
        <f t="shared" si="63"/>
        <v>.</v>
      </c>
      <c r="D4075" s="44"/>
      <c r="E4075" s="22" t="str">
        <f>IF(D4075&lt;&gt;"",IFERROR(INDEX(Produtos!$C$4:$C$4996,MATCH(D4075,Produtos!$B$4:$B$4996,0)),"Produto não encontrado"),"")</f>
        <v/>
      </c>
    </row>
    <row r="4076" spans="1:5" x14ac:dyDescent="0.3">
      <c r="A4076" s="21" t="str">
        <f t="shared" si="63"/>
        <v>.</v>
      </c>
      <c r="D4076" s="44"/>
      <c r="E4076" s="22" t="str">
        <f>IF(D4076&lt;&gt;"",IFERROR(INDEX(Produtos!$C$4:$C$4996,MATCH(D4076,Produtos!$B$4:$B$4996,0)),"Produto não encontrado"),"")</f>
        <v/>
      </c>
    </row>
    <row r="4077" spans="1:5" x14ac:dyDescent="0.3">
      <c r="A4077" s="21" t="str">
        <f t="shared" si="63"/>
        <v>.</v>
      </c>
      <c r="D4077" s="44"/>
      <c r="E4077" s="22" t="str">
        <f>IF(D4077&lt;&gt;"",IFERROR(INDEX(Produtos!$C$4:$C$4996,MATCH(D4077,Produtos!$B$4:$B$4996,0)),"Produto não encontrado"),"")</f>
        <v/>
      </c>
    </row>
    <row r="4078" spans="1:5" x14ac:dyDescent="0.3">
      <c r="A4078" s="21" t="str">
        <f t="shared" si="63"/>
        <v>.</v>
      </c>
      <c r="D4078" s="44"/>
      <c r="E4078" s="22" t="str">
        <f>IF(D4078&lt;&gt;"",IFERROR(INDEX(Produtos!$C$4:$C$4996,MATCH(D4078,Produtos!$B$4:$B$4996,0)),"Produto não encontrado"),"")</f>
        <v/>
      </c>
    </row>
    <row r="4079" spans="1:5" x14ac:dyDescent="0.3">
      <c r="A4079" s="21" t="str">
        <f t="shared" si="63"/>
        <v>.</v>
      </c>
      <c r="D4079" s="44"/>
      <c r="E4079" s="22" t="str">
        <f>IF(D4079&lt;&gt;"",IFERROR(INDEX(Produtos!$C$4:$C$4996,MATCH(D4079,Produtos!$B$4:$B$4996,0)),"Produto não encontrado"),"")</f>
        <v/>
      </c>
    </row>
    <row r="4080" spans="1:5" x14ac:dyDescent="0.3">
      <c r="A4080" s="21" t="str">
        <f t="shared" si="63"/>
        <v>.</v>
      </c>
      <c r="D4080" s="44"/>
      <c r="E4080" s="22" t="str">
        <f>IF(D4080&lt;&gt;"",IFERROR(INDEX(Produtos!$C$4:$C$4996,MATCH(D4080,Produtos!$B$4:$B$4996,0)),"Produto não encontrado"),"")</f>
        <v/>
      </c>
    </row>
    <row r="4081" spans="1:5" x14ac:dyDescent="0.3">
      <c r="A4081" s="21" t="str">
        <f t="shared" si="63"/>
        <v>.</v>
      </c>
      <c r="D4081" s="44"/>
      <c r="E4081" s="22" t="str">
        <f>IF(D4081&lt;&gt;"",IFERROR(INDEX(Produtos!$C$4:$C$4996,MATCH(D4081,Produtos!$B$4:$B$4996,0)),"Produto não encontrado"),"")</f>
        <v/>
      </c>
    </row>
    <row r="4082" spans="1:5" x14ac:dyDescent="0.3">
      <c r="A4082" s="21" t="str">
        <f t="shared" si="63"/>
        <v>.</v>
      </c>
      <c r="D4082" s="44"/>
      <c r="E4082" s="22" t="str">
        <f>IF(D4082&lt;&gt;"",IFERROR(INDEX(Produtos!$C$4:$C$4996,MATCH(D4082,Produtos!$B$4:$B$4996,0)),"Produto não encontrado"),"")</f>
        <v/>
      </c>
    </row>
    <row r="4083" spans="1:5" x14ac:dyDescent="0.3">
      <c r="A4083" s="21" t="str">
        <f t="shared" si="63"/>
        <v>.</v>
      </c>
      <c r="D4083" s="44"/>
      <c r="E4083" s="22" t="str">
        <f>IF(D4083&lt;&gt;"",IFERROR(INDEX(Produtos!$C$4:$C$4996,MATCH(D4083,Produtos!$B$4:$B$4996,0)),"Produto não encontrado"),"")</f>
        <v/>
      </c>
    </row>
    <row r="4084" spans="1:5" x14ac:dyDescent="0.3">
      <c r="A4084" s="21" t="str">
        <f t="shared" si="63"/>
        <v>.</v>
      </c>
      <c r="D4084" s="44"/>
      <c r="E4084" s="22" t="str">
        <f>IF(D4084&lt;&gt;"",IFERROR(INDEX(Produtos!$C$4:$C$4996,MATCH(D4084,Produtos!$B$4:$B$4996,0)),"Produto não encontrado"),"")</f>
        <v/>
      </c>
    </row>
    <row r="4085" spans="1:5" x14ac:dyDescent="0.3">
      <c r="A4085" s="21" t="str">
        <f t="shared" si="63"/>
        <v>.</v>
      </c>
      <c r="D4085" s="44"/>
      <c r="E4085" s="22" t="str">
        <f>IF(D4085&lt;&gt;"",IFERROR(INDEX(Produtos!$C$4:$C$4996,MATCH(D4085,Produtos!$B$4:$B$4996,0)),"Produto não encontrado"),"")</f>
        <v/>
      </c>
    </row>
    <row r="4086" spans="1:5" x14ac:dyDescent="0.3">
      <c r="A4086" s="21" t="str">
        <f t="shared" si="63"/>
        <v>.</v>
      </c>
      <c r="D4086" s="44"/>
      <c r="E4086" s="22" t="str">
        <f>IF(D4086&lt;&gt;"",IFERROR(INDEX(Produtos!$C$4:$C$4996,MATCH(D4086,Produtos!$B$4:$B$4996,0)),"Produto não encontrado"),"")</f>
        <v/>
      </c>
    </row>
    <row r="4087" spans="1:5" x14ac:dyDescent="0.3">
      <c r="A4087" s="21" t="str">
        <f t="shared" si="63"/>
        <v>.</v>
      </c>
      <c r="D4087" s="44"/>
      <c r="E4087" s="22" t="str">
        <f>IF(D4087&lt;&gt;"",IFERROR(INDEX(Produtos!$C$4:$C$4996,MATCH(D4087,Produtos!$B$4:$B$4996,0)),"Produto não encontrado"),"")</f>
        <v/>
      </c>
    </row>
    <row r="4088" spans="1:5" x14ac:dyDescent="0.3">
      <c r="A4088" s="21" t="str">
        <f t="shared" si="63"/>
        <v>.</v>
      </c>
      <c r="D4088" s="44"/>
      <c r="E4088" s="22" t="str">
        <f>IF(D4088&lt;&gt;"",IFERROR(INDEX(Produtos!$C$4:$C$4996,MATCH(D4088,Produtos!$B$4:$B$4996,0)),"Produto não encontrado"),"")</f>
        <v/>
      </c>
    </row>
    <row r="4089" spans="1:5" x14ac:dyDescent="0.3">
      <c r="A4089" s="21" t="str">
        <f t="shared" si="63"/>
        <v>.</v>
      </c>
      <c r="D4089" s="44"/>
      <c r="E4089" s="22" t="str">
        <f>IF(D4089&lt;&gt;"",IFERROR(INDEX(Produtos!$C$4:$C$4996,MATCH(D4089,Produtos!$B$4:$B$4996,0)),"Produto não encontrado"),"")</f>
        <v/>
      </c>
    </row>
    <row r="4090" spans="1:5" x14ac:dyDescent="0.3">
      <c r="A4090" s="21" t="str">
        <f t="shared" si="63"/>
        <v>.</v>
      </c>
      <c r="D4090" s="44"/>
      <c r="E4090" s="22" t="str">
        <f>IF(D4090&lt;&gt;"",IFERROR(INDEX(Produtos!$C$4:$C$4996,MATCH(D4090,Produtos!$B$4:$B$4996,0)),"Produto não encontrado"),"")</f>
        <v/>
      </c>
    </row>
    <row r="4091" spans="1:5" x14ac:dyDescent="0.3">
      <c r="A4091" s="21" t="str">
        <f t="shared" si="63"/>
        <v>.</v>
      </c>
      <c r="D4091" s="44"/>
      <c r="E4091" s="22" t="str">
        <f>IF(D4091&lt;&gt;"",IFERROR(INDEX(Produtos!$C$4:$C$4996,MATCH(D4091,Produtos!$B$4:$B$4996,0)),"Produto não encontrado"),"")</f>
        <v/>
      </c>
    </row>
    <row r="4092" spans="1:5" x14ac:dyDescent="0.3">
      <c r="A4092" s="21" t="str">
        <f t="shared" si="63"/>
        <v>.</v>
      </c>
      <c r="D4092" s="44"/>
      <c r="E4092" s="22" t="str">
        <f>IF(D4092&lt;&gt;"",IFERROR(INDEX(Produtos!$C$4:$C$4996,MATCH(D4092,Produtos!$B$4:$B$4996,0)),"Produto não encontrado"),"")</f>
        <v/>
      </c>
    </row>
    <row r="4093" spans="1:5" x14ac:dyDescent="0.3">
      <c r="A4093" s="21" t="str">
        <f t="shared" si="63"/>
        <v>.</v>
      </c>
      <c r="D4093" s="44"/>
      <c r="E4093" s="22" t="str">
        <f>IF(D4093&lt;&gt;"",IFERROR(INDEX(Produtos!$C$4:$C$4996,MATCH(D4093,Produtos!$B$4:$B$4996,0)),"Produto não encontrado"),"")</f>
        <v/>
      </c>
    </row>
    <row r="4094" spans="1:5" x14ac:dyDescent="0.3">
      <c r="A4094" s="21" t="str">
        <f t="shared" si="63"/>
        <v>.</v>
      </c>
      <c r="D4094" s="44"/>
      <c r="E4094" s="22" t="str">
        <f>IF(D4094&lt;&gt;"",IFERROR(INDEX(Produtos!$C$4:$C$4996,MATCH(D4094,Produtos!$B$4:$B$4996,0)),"Produto não encontrado"),"")</f>
        <v/>
      </c>
    </row>
    <row r="4095" spans="1:5" x14ac:dyDescent="0.3">
      <c r="A4095" s="21" t="str">
        <f t="shared" si="63"/>
        <v>.</v>
      </c>
      <c r="D4095" s="44"/>
      <c r="E4095" s="22" t="str">
        <f>IF(D4095&lt;&gt;"",IFERROR(INDEX(Produtos!$C$4:$C$4996,MATCH(D4095,Produtos!$B$4:$B$4996,0)),"Produto não encontrado"),"")</f>
        <v/>
      </c>
    </row>
    <row r="4096" spans="1:5" x14ac:dyDescent="0.3">
      <c r="A4096" s="21" t="str">
        <f t="shared" ref="A4096:A4159" si="64">IF(C4096="Entrada",2,IF(C4096="Saída",1,"."))</f>
        <v>.</v>
      </c>
      <c r="D4096" s="44"/>
      <c r="E4096" s="22" t="str">
        <f>IF(D4096&lt;&gt;"",IFERROR(INDEX(Produtos!$C$4:$C$4996,MATCH(D4096,Produtos!$B$4:$B$4996,0)),"Produto não encontrado"),"")</f>
        <v/>
      </c>
    </row>
    <row r="4097" spans="1:5" x14ac:dyDescent="0.3">
      <c r="A4097" s="21" t="str">
        <f t="shared" si="64"/>
        <v>.</v>
      </c>
      <c r="D4097" s="44"/>
      <c r="E4097" s="22" t="str">
        <f>IF(D4097&lt;&gt;"",IFERROR(INDEX(Produtos!$C$4:$C$4996,MATCH(D4097,Produtos!$B$4:$B$4996,0)),"Produto não encontrado"),"")</f>
        <v/>
      </c>
    </row>
    <row r="4098" spans="1:5" x14ac:dyDescent="0.3">
      <c r="A4098" s="21" t="str">
        <f t="shared" si="64"/>
        <v>.</v>
      </c>
      <c r="D4098" s="44"/>
      <c r="E4098" s="22" t="str">
        <f>IF(D4098&lt;&gt;"",IFERROR(INDEX(Produtos!$C$4:$C$4996,MATCH(D4098,Produtos!$B$4:$B$4996,0)),"Produto não encontrado"),"")</f>
        <v/>
      </c>
    </row>
    <row r="4099" spans="1:5" x14ac:dyDescent="0.3">
      <c r="A4099" s="21" t="str">
        <f t="shared" si="64"/>
        <v>.</v>
      </c>
      <c r="D4099" s="44"/>
      <c r="E4099" s="22" t="str">
        <f>IF(D4099&lt;&gt;"",IFERROR(INDEX(Produtos!$C$4:$C$4996,MATCH(D4099,Produtos!$B$4:$B$4996,0)),"Produto não encontrado"),"")</f>
        <v/>
      </c>
    </row>
    <row r="4100" spans="1:5" x14ac:dyDescent="0.3">
      <c r="A4100" s="21" t="str">
        <f t="shared" si="64"/>
        <v>.</v>
      </c>
      <c r="D4100" s="44"/>
      <c r="E4100" s="22" t="str">
        <f>IF(D4100&lt;&gt;"",IFERROR(INDEX(Produtos!$C$4:$C$4996,MATCH(D4100,Produtos!$B$4:$B$4996,0)),"Produto não encontrado"),"")</f>
        <v/>
      </c>
    </row>
    <row r="4101" spans="1:5" x14ac:dyDescent="0.3">
      <c r="A4101" s="21" t="str">
        <f t="shared" si="64"/>
        <v>.</v>
      </c>
      <c r="D4101" s="44"/>
      <c r="E4101" s="22" t="str">
        <f>IF(D4101&lt;&gt;"",IFERROR(INDEX(Produtos!$C$4:$C$4996,MATCH(D4101,Produtos!$B$4:$B$4996,0)),"Produto não encontrado"),"")</f>
        <v/>
      </c>
    </row>
    <row r="4102" spans="1:5" x14ac:dyDescent="0.3">
      <c r="A4102" s="21" t="str">
        <f t="shared" si="64"/>
        <v>.</v>
      </c>
      <c r="D4102" s="44"/>
      <c r="E4102" s="22" t="str">
        <f>IF(D4102&lt;&gt;"",IFERROR(INDEX(Produtos!$C$4:$C$4996,MATCH(D4102,Produtos!$B$4:$B$4996,0)),"Produto não encontrado"),"")</f>
        <v/>
      </c>
    </row>
    <row r="4103" spans="1:5" x14ac:dyDescent="0.3">
      <c r="A4103" s="21" t="str">
        <f t="shared" si="64"/>
        <v>.</v>
      </c>
      <c r="D4103" s="44"/>
      <c r="E4103" s="22" t="str">
        <f>IF(D4103&lt;&gt;"",IFERROR(INDEX(Produtos!$C$4:$C$4996,MATCH(D4103,Produtos!$B$4:$B$4996,0)),"Produto não encontrado"),"")</f>
        <v/>
      </c>
    </row>
    <row r="4104" spans="1:5" x14ac:dyDescent="0.3">
      <c r="A4104" s="21" t="str">
        <f t="shared" si="64"/>
        <v>.</v>
      </c>
      <c r="D4104" s="44"/>
      <c r="E4104" s="22" t="str">
        <f>IF(D4104&lt;&gt;"",IFERROR(INDEX(Produtos!$C$4:$C$4996,MATCH(D4104,Produtos!$B$4:$B$4996,0)),"Produto não encontrado"),"")</f>
        <v/>
      </c>
    </row>
    <row r="4105" spans="1:5" x14ac:dyDescent="0.3">
      <c r="A4105" s="21" t="str">
        <f t="shared" si="64"/>
        <v>.</v>
      </c>
      <c r="D4105" s="44"/>
      <c r="E4105" s="22" t="str">
        <f>IF(D4105&lt;&gt;"",IFERROR(INDEX(Produtos!$C$4:$C$4996,MATCH(D4105,Produtos!$B$4:$B$4996,0)),"Produto não encontrado"),"")</f>
        <v/>
      </c>
    </row>
    <row r="4106" spans="1:5" x14ac:dyDescent="0.3">
      <c r="A4106" s="21" t="str">
        <f t="shared" si="64"/>
        <v>.</v>
      </c>
      <c r="D4106" s="44"/>
      <c r="E4106" s="22" t="str">
        <f>IF(D4106&lt;&gt;"",IFERROR(INDEX(Produtos!$C$4:$C$4996,MATCH(D4106,Produtos!$B$4:$B$4996,0)),"Produto não encontrado"),"")</f>
        <v/>
      </c>
    </row>
    <row r="4107" spans="1:5" x14ac:dyDescent="0.3">
      <c r="A4107" s="21" t="str">
        <f t="shared" si="64"/>
        <v>.</v>
      </c>
      <c r="D4107" s="44"/>
      <c r="E4107" s="22" t="str">
        <f>IF(D4107&lt;&gt;"",IFERROR(INDEX(Produtos!$C$4:$C$4996,MATCH(D4107,Produtos!$B$4:$B$4996,0)),"Produto não encontrado"),"")</f>
        <v/>
      </c>
    </row>
    <row r="4108" spans="1:5" x14ac:dyDescent="0.3">
      <c r="A4108" s="21" t="str">
        <f t="shared" si="64"/>
        <v>.</v>
      </c>
      <c r="D4108" s="44"/>
      <c r="E4108" s="22" t="str">
        <f>IF(D4108&lt;&gt;"",IFERROR(INDEX(Produtos!$C$4:$C$4996,MATCH(D4108,Produtos!$B$4:$B$4996,0)),"Produto não encontrado"),"")</f>
        <v/>
      </c>
    </row>
    <row r="4109" spans="1:5" x14ac:dyDescent="0.3">
      <c r="A4109" s="21" t="str">
        <f t="shared" si="64"/>
        <v>.</v>
      </c>
      <c r="D4109" s="44"/>
      <c r="E4109" s="22" t="str">
        <f>IF(D4109&lt;&gt;"",IFERROR(INDEX(Produtos!$C$4:$C$4996,MATCH(D4109,Produtos!$B$4:$B$4996,0)),"Produto não encontrado"),"")</f>
        <v/>
      </c>
    </row>
    <row r="4110" spans="1:5" x14ac:dyDescent="0.3">
      <c r="A4110" s="21" t="str">
        <f t="shared" si="64"/>
        <v>.</v>
      </c>
      <c r="D4110" s="44"/>
      <c r="E4110" s="22" t="str">
        <f>IF(D4110&lt;&gt;"",IFERROR(INDEX(Produtos!$C$4:$C$4996,MATCH(D4110,Produtos!$B$4:$B$4996,0)),"Produto não encontrado"),"")</f>
        <v/>
      </c>
    </row>
    <row r="4111" spans="1:5" x14ac:dyDescent="0.3">
      <c r="A4111" s="21" t="str">
        <f t="shared" si="64"/>
        <v>.</v>
      </c>
      <c r="D4111" s="44"/>
      <c r="E4111" s="22" t="str">
        <f>IF(D4111&lt;&gt;"",IFERROR(INDEX(Produtos!$C$4:$C$4996,MATCH(D4111,Produtos!$B$4:$B$4996,0)),"Produto não encontrado"),"")</f>
        <v/>
      </c>
    </row>
    <row r="4112" spans="1:5" x14ac:dyDescent="0.3">
      <c r="A4112" s="21" t="str">
        <f t="shared" si="64"/>
        <v>.</v>
      </c>
      <c r="D4112" s="44"/>
      <c r="E4112" s="22" t="str">
        <f>IF(D4112&lt;&gt;"",IFERROR(INDEX(Produtos!$C$4:$C$4996,MATCH(D4112,Produtos!$B$4:$B$4996,0)),"Produto não encontrado"),"")</f>
        <v/>
      </c>
    </row>
    <row r="4113" spans="1:5" x14ac:dyDescent="0.3">
      <c r="A4113" s="21" t="str">
        <f t="shared" si="64"/>
        <v>.</v>
      </c>
      <c r="D4113" s="44"/>
      <c r="E4113" s="22" t="str">
        <f>IF(D4113&lt;&gt;"",IFERROR(INDEX(Produtos!$C$4:$C$4996,MATCH(D4113,Produtos!$B$4:$B$4996,0)),"Produto não encontrado"),"")</f>
        <v/>
      </c>
    </row>
    <row r="4114" spans="1:5" x14ac:dyDescent="0.3">
      <c r="A4114" s="21" t="str">
        <f t="shared" si="64"/>
        <v>.</v>
      </c>
      <c r="D4114" s="44"/>
      <c r="E4114" s="22" t="str">
        <f>IF(D4114&lt;&gt;"",IFERROR(INDEX(Produtos!$C$4:$C$4996,MATCH(D4114,Produtos!$B$4:$B$4996,0)),"Produto não encontrado"),"")</f>
        <v/>
      </c>
    </row>
    <row r="4115" spans="1:5" x14ac:dyDescent="0.3">
      <c r="A4115" s="21" t="str">
        <f t="shared" si="64"/>
        <v>.</v>
      </c>
      <c r="D4115" s="44"/>
      <c r="E4115" s="22" t="str">
        <f>IF(D4115&lt;&gt;"",IFERROR(INDEX(Produtos!$C$4:$C$4996,MATCH(D4115,Produtos!$B$4:$B$4996,0)),"Produto não encontrado"),"")</f>
        <v/>
      </c>
    </row>
    <row r="4116" spans="1:5" x14ac:dyDescent="0.3">
      <c r="A4116" s="21" t="str">
        <f t="shared" si="64"/>
        <v>.</v>
      </c>
      <c r="D4116" s="44"/>
      <c r="E4116" s="22" t="str">
        <f>IF(D4116&lt;&gt;"",IFERROR(INDEX(Produtos!$C$4:$C$4996,MATCH(D4116,Produtos!$B$4:$B$4996,0)),"Produto não encontrado"),"")</f>
        <v/>
      </c>
    </row>
    <row r="4117" spans="1:5" x14ac:dyDescent="0.3">
      <c r="A4117" s="21" t="str">
        <f t="shared" si="64"/>
        <v>.</v>
      </c>
      <c r="D4117" s="44"/>
      <c r="E4117" s="22" t="str">
        <f>IF(D4117&lt;&gt;"",IFERROR(INDEX(Produtos!$C$4:$C$4996,MATCH(D4117,Produtos!$B$4:$B$4996,0)),"Produto não encontrado"),"")</f>
        <v/>
      </c>
    </row>
    <row r="4118" spans="1:5" x14ac:dyDescent="0.3">
      <c r="A4118" s="21" t="str">
        <f t="shared" si="64"/>
        <v>.</v>
      </c>
      <c r="D4118" s="44"/>
      <c r="E4118" s="22" t="str">
        <f>IF(D4118&lt;&gt;"",IFERROR(INDEX(Produtos!$C$4:$C$4996,MATCH(D4118,Produtos!$B$4:$B$4996,0)),"Produto não encontrado"),"")</f>
        <v/>
      </c>
    </row>
    <row r="4119" spans="1:5" x14ac:dyDescent="0.3">
      <c r="A4119" s="21" t="str">
        <f t="shared" si="64"/>
        <v>.</v>
      </c>
      <c r="D4119" s="44"/>
      <c r="E4119" s="22" t="str">
        <f>IF(D4119&lt;&gt;"",IFERROR(INDEX(Produtos!$C$4:$C$4996,MATCH(D4119,Produtos!$B$4:$B$4996,0)),"Produto não encontrado"),"")</f>
        <v/>
      </c>
    </row>
    <row r="4120" spans="1:5" x14ac:dyDescent="0.3">
      <c r="A4120" s="21" t="str">
        <f t="shared" si="64"/>
        <v>.</v>
      </c>
      <c r="D4120" s="44"/>
      <c r="E4120" s="22" t="str">
        <f>IF(D4120&lt;&gt;"",IFERROR(INDEX(Produtos!$C$4:$C$4996,MATCH(D4120,Produtos!$B$4:$B$4996,0)),"Produto não encontrado"),"")</f>
        <v/>
      </c>
    </row>
    <row r="4121" spans="1:5" x14ac:dyDescent="0.3">
      <c r="A4121" s="21" t="str">
        <f t="shared" si="64"/>
        <v>.</v>
      </c>
      <c r="D4121" s="44"/>
      <c r="E4121" s="22" t="str">
        <f>IF(D4121&lt;&gt;"",IFERROR(INDEX(Produtos!$C$4:$C$4996,MATCH(D4121,Produtos!$B$4:$B$4996,0)),"Produto não encontrado"),"")</f>
        <v/>
      </c>
    </row>
    <row r="4122" spans="1:5" x14ac:dyDescent="0.3">
      <c r="A4122" s="21" t="str">
        <f t="shared" si="64"/>
        <v>.</v>
      </c>
      <c r="D4122" s="44"/>
      <c r="E4122" s="22" t="str">
        <f>IF(D4122&lt;&gt;"",IFERROR(INDEX(Produtos!$C$4:$C$4996,MATCH(D4122,Produtos!$B$4:$B$4996,0)),"Produto não encontrado"),"")</f>
        <v/>
      </c>
    </row>
    <row r="4123" spans="1:5" x14ac:dyDescent="0.3">
      <c r="A4123" s="21" t="str">
        <f t="shared" si="64"/>
        <v>.</v>
      </c>
      <c r="D4123" s="44"/>
      <c r="E4123" s="22" t="str">
        <f>IF(D4123&lt;&gt;"",IFERROR(INDEX(Produtos!$C$4:$C$4996,MATCH(D4123,Produtos!$B$4:$B$4996,0)),"Produto não encontrado"),"")</f>
        <v/>
      </c>
    </row>
    <row r="4124" spans="1:5" x14ac:dyDescent="0.3">
      <c r="A4124" s="21" t="str">
        <f t="shared" si="64"/>
        <v>.</v>
      </c>
      <c r="D4124" s="44"/>
      <c r="E4124" s="22" t="str">
        <f>IF(D4124&lt;&gt;"",IFERROR(INDEX(Produtos!$C$4:$C$4996,MATCH(D4124,Produtos!$B$4:$B$4996,0)),"Produto não encontrado"),"")</f>
        <v/>
      </c>
    </row>
    <row r="4125" spans="1:5" x14ac:dyDescent="0.3">
      <c r="A4125" s="21" t="str">
        <f t="shared" si="64"/>
        <v>.</v>
      </c>
      <c r="D4125" s="44"/>
      <c r="E4125" s="22" t="str">
        <f>IF(D4125&lt;&gt;"",IFERROR(INDEX(Produtos!$C$4:$C$4996,MATCH(D4125,Produtos!$B$4:$B$4996,0)),"Produto não encontrado"),"")</f>
        <v/>
      </c>
    </row>
    <row r="4126" spans="1:5" x14ac:dyDescent="0.3">
      <c r="A4126" s="21" t="str">
        <f t="shared" si="64"/>
        <v>.</v>
      </c>
      <c r="D4126" s="44"/>
      <c r="E4126" s="22" t="str">
        <f>IF(D4126&lt;&gt;"",IFERROR(INDEX(Produtos!$C$4:$C$4996,MATCH(D4126,Produtos!$B$4:$B$4996,0)),"Produto não encontrado"),"")</f>
        <v/>
      </c>
    </row>
    <row r="4127" spans="1:5" x14ac:dyDescent="0.3">
      <c r="A4127" s="21" t="str">
        <f t="shared" si="64"/>
        <v>.</v>
      </c>
      <c r="D4127" s="44"/>
      <c r="E4127" s="22" t="str">
        <f>IF(D4127&lt;&gt;"",IFERROR(INDEX(Produtos!$C$4:$C$4996,MATCH(D4127,Produtos!$B$4:$B$4996,0)),"Produto não encontrado"),"")</f>
        <v/>
      </c>
    </row>
    <row r="4128" spans="1:5" x14ac:dyDescent="0.3">
      <c r="A4128" s="21" t="str">
        <f t="shared" si="64"/>
        <v>.</v>
      </c>
      <c r="D4128" s="44"/>
      <c r="E4128" s="22" t="str">
        <f>IF(D4128&lt;&gt;"",IFERROR(INDEX(Produtos!$C$4:$C$4996,MATCH(D4128,Produtos!$B$4:$B$4996,0)),"Produto não encontrado"),"")</f>
        <v/>
      </c>
    </row>
    <row r="4129" spans="1:5" x14ac:dyDescent="0.3">
      <c r="A4129" s="21" t="str">
        <f t="shared" si="64"/>
        <v>.</v>
      </c>
      <c r="D4129" s="44"/>
      <c r="E4129" s="22" t="str">
        <f>IF(D4129&lt;&gt;"",IFERROR(INDEX(Produtos!$C$4:$C$4996,MATCH(D4129,Produtos!$B$4:$B$4996,0)),"Produto não encontrado"),"")</f>
        <v/>
      </c>
    </row>
    <row r="4130" spans="1:5" x14ac:dyDescent="0.3">
      <c r="A4130" s="21" t="str">
        <f t="shared" si="64"/>
        <v>.</v>
      </c>
      <c r="D4130" s="44"/>
      <c r="E4130" s="22" t="str">
        <f>IF(D4130&lt;&gt;"",IFERROR(INDEX(Produtos!$C$4:$C$4996,MATCH(D4130,Produtos!$B$4:$B$4996,0)),"Produto não encontrado"),"")</f>
        <v/>
      </c>
    </row>
    <row r="4131" spans="1:5" x14ac:dyDescent="0.3">
      <c r="A4131" s="21" t="str">
        <f t="shared" si="64"/>
        <v>.</v>
      </c>
      <c r="D4131" s="44"/>
      <c r="E4131" s="22" t="str">
        <f>IF(D4131&lt;&gt;"",IFERROR(INDEX(Produtos!$C$4:$C$4996,MATCH(D4131,Produtos!$B$4:$B$4996,0)),"Produto não encontrado"),"")</f>
        <v/>
      </c>
    </row>
    <row r="4132" spans="1:5" x14ac:dyDescent="0.3">
      <c r="A4132" s="21" t="str">
        <f t="shared" si="64"/>
        <v>.</v>
      </c>
      <c r="D4132" s="44"/>
      <c r="E4132" s="22" t="str">
        <f>IF(D4132&lt;&gt;"",IFERROR(INDEX(Produtos!$C$4:$C$4996,MATCH(D4132,Produtos!$B$4:$B$4996,0)),"Produto não encontrado"),"")</f>
        <v/>
      </c>
    </row>
    <row r="4133" spans="1:5" x14ac:dyDescent="0.3">
      <c r="A4133" s="21" t="str">
        <f t="shared" si="64"/>
        <v>.</v>
      </c>
      <c r="D4133" s="44"/>
      <c r="E4133" s="22" t="str">
        <f>IF(D4133&lt;&gt;"",IFERROR(INDEX(Produtos!$C$4:$C$4996,MATCH(D4133,Produtos!$B$4:$B$4996,0)),"Produto não encontrado"),"")</f>
        <v/>
      </c>
    </row>
    <row r="4134" spans="1:5" x14ac:dyDescent="0.3">
      <c r="A4134" s="21" t="str">
        <f t="shared" si="64"/>
        <v>.</v>
      </c>
      <c r="D4134" s="44"/>
      <c r="E4134" s="22" t="str">
        <f>IF(D4134&lt;&gt;"",IFERROR(INDEX(Produtos!$C$4:$C$4996,MATCH(D4134,Produtos!$B$4:$B$4996,0)),"Produto não encontrado"),"")</f>
        <v/>
      </c>
    </row>
    <row r="4135" spans="1:5" x14ac:dyDescent="0.3">
      <c r="A4135" s="21" t="str">
        <f t="shared" si="64"/>
        <v>.</v>
      </c>
      <c r="D4135" s="44"/>
      <c r="E4135" s="22" t="str">
        <f>IF(D4135&lt;&gt;"",IFERROR(INDEX(Produtos!$C$4:$C$4996,MATCH(D4135,Produtos!$B$4:$B$4996,0)),"Produto não encontrado"),"")</f>
        <v/>
      </c>
    </row>
    <row r="4136" spans="1:5" x14ac:dyDescent="0.3">
      <c r="A4136" s="21" t="str">
        <f t="shared" si="64"/>
        <v>.</v>
      </c>
      <c r="D4136" s="44"/>
      <c r="E4136" s="22" t="str">
        <f>IF(D4136&lt;&gt;"",IFERROR(INDEX(Produtos!$C$4:$C$4996,MATCH(D4136,Produtos!$B$4:$B$4996,0)),"Produto não encontrado"),"")</f>
        <v/>
      </c>
    </row>
    <row r="4137" spans="1:5" x14ac:dyDescent="0.3">
      <c r="A4137" s="21" t="str">
        <f t="shared" si="64"/>
        <v>.</v>
      </c>
      <c r="D4137" s="44"/>
      <c r="E4137" s="22" t="str">
        <f>IF(D4137&lt;&gt;"",IFERROR(INDEX(Produtos!$C$4:$C$4996,MATCH(D4137,Produtos!$B$4:$B$4996,0)),"Produto não encontrado"),"")</f>
        <v/>
      </c>
    </row>
    <row r="4138" spans="1:5" x14ac:dyDescent="0.3">
      <c r="A4138" s="21" t="str">
        <f t="shared" si="64"/>
        <v>.</v>
      </c>
      <c r="D4138" s="44"/>
      <c r="E4138" s="22" t="str">
        <f>IF(D4138&lt;&gt;"",IFERROR(INDEX(Produtos!$C$4:$C$4996,MATCH(D4138,Produtos!$B$4:$B$4996,0)),"Produto não encontrado"),"")</f>
        <v/>
      </c>
    </row>
    <row r="4139" spans="1:5" x14ac:dyDescent="0.3">
      <c r="A4139" s="21" t="str">
        <f t="shared" si="64"/>
        <v>.</v>
      </c>
      <c r="D4139" s="44"/>
      <c r="E4139" s="22" t="str">
        <f>IF(D4139&lt;&gt;"",IFERROR(INDEX(Produtos!$C$4:$C$4996,MATCH(D4139,Produtos!$B$4:$B$4996,0)),"Produto não encontrado"),"")</f>
        <v/>
      </c>
    </row>
    <row r="4140" spans="1:5" x14ac:dyDescent="0.3">
      <c r="A4140" s="21" t="str">
        <f t="shared" si="64"/>
        <v>.</v>
      </c>
      <c r="D4140" s="44"/>
      <c r="E4140" s="22" t="str">
        <f>IF(D4140&lt;&gt;"",IFERROR(INDEX(Produtos!$C$4:$C$4996,MATCH(D4140,Produtos!$B$4:$B$4996,0)),"Produto não encontrado"),"")</f>
        <v/>
      </c>
    </row>
    <row r="4141" spans="1:5" x14ac:dyDescent="0.3">
      <c r="A4141" s="21" t="str">
        <f t="shared" si="64"/>
        <v>.</v>
      </c>
      <c r="D4141" s="44"/>
      <c r="E4141" s="22" t="str">
        <f>IF(D4141&lt;&gt;"",IFERROR(INDEX(Produtos!$C$4:$C$4996,MATCH(D4141,Produtos!$B$4:$B$4996,0)),"Produto não encontrado"),"")</f>
        <v/>
      </c>
    </row>
    <row r="4142" spans="1:5" x14ac:dyDescent="0.3">
      <c r="A4142" s="21" t="str">
        <f t="shared" si="64"/>
        <v>.</v>
      </c>
      <c r="D4142" s="44"/>
      <c r="E4142" s="22" t="str">
        <f>IF(D4142&lt;&gt;"",IFERROR(INDEX(Produtos!$C$4:$C$4996,MATCH(D4142,Produtos!$B$4:$B$4996,0)),"Produto não encontrado"),"")</f>
        <v/>
      </c>
    </row>
    <row r="4143" spans="1:5" x14ac:dyDescent="0.3">
      <c r="A4143" s="21" t="str">
        <f t="shared" si="64"/>
        <v>.</v>
      </c>
      <c r="D4143" s="44"/>
      <c r="E4143" s="22" t="str">
        <f>IF(D4143&lt;&gt;"",IFERROR(INDEX(Produtos!$C$4:$C$4996,MATCH(D4143,Produtos!$B$4:$B$4996,0)),"Produto não encontrado"),"")</f>
        <v/>
      </c>
    </row>
    <row r="4144" spans="1:5" x14ac:dyDescent="0.3">
      <c r="A4144" s="21" t="str">
        <f t="shared" si="64"/>
        <v>.</v>
      </c>
      <c r="D4144" s="44"/>
      <c r="E4144" s="22" t="str">
        <f>IF(D4144&lt;&gt;"",IFERROR(INDEX(Produtos!$C$4:$C$4996,MATCH(D4144,Produtos!$B$4:$B$4996,0)),"Produto não encontrado"),"")</f>
        <v/>
      </c>
    </row>
    <row r="4145" spans="1:5" x14ac:dyDescent="0.3">
      <c r="A4145" s="21" t="str">
        <f t="shared" si="64"/>
        <v>.</v>
      </c>
      <c r="D4145" s="44"/>
      <c r="E4145" s="22" t="str">
        <f>IF(D4145&lt;&gt;"",IFERROR(INDEX(Produtos!$C$4:$C$4996,MATCH(D4145,Produtos!$B$4:$B$4996,0)),"Produto não encontrado"),"")</f>
        <v/>
      </c>
    </row>
    <row r="4146" spans="1:5" x14ac:dyDescent="0.3">
      <c r="A4146" s="21" t="str">
        <f t="shared" si="64"/>
        <v>.</v>
      </c>
      <c r="D4146" s="44"/>
      <c r="E4146" s="22" t="str">
        <f>IF(D4146&lt;&gt;"",IFERROR(INDEX(Produtos!$C$4:$C$4996,MATCH(D4146,Produtos!$B$4:$B$4996,0)),"Produto não encontrado"),"")</f>
        <v/>
      </c>
    </row>
    <row r="4147" spans="1:5" x14ac:dyDescent="0.3">
      <c r="A4147" s="21" t="str">
        <f t="shared" si="64"/>
        <v>.</v>
      </c>
      <c r="D4147" s="44"/>
      <c r="E4147" s="22" t="str">
        <f>IF(D4147&lt;&gt;"",IFERROR(INDEX(Produtos!$C$4:$C$4996,MATCH(D4147,Produtos!$B$4:$B$4996,0)),"Produto não encontrado"),"")</f>
        <v/>
      </c>
    </row>
    <row r="4148" spans="1:5" x14ac:dyDescent="0.3">
      <c r="A4148" s="21" t="str">
        <f t="shared" si="64"/>
        <v>.</v>
      </c>
      <c r="D4148" s="44"/>
      <c r="E4148" s="22" t="str">
        <f>IF(D4148&lt;&gt;"",IFERROR(INDEX(Produtos!$C$4:$C$4996,MATCH(D4148,Produtos!$B$4:$B$4996,0)),"Produto não encontrado"),"")</f>
        <v/>
      </c>
    </row>
    <row r="4149" spans="1:5" x14ac:dyDescent="0.3">
      <c r="A4149" s="21" t="str">
        <f t="shared" si="64"/>
        <v>.</v>
      </c>
      <c r="D4149" s="44"/>
      <c r="E4149" s="22" t="str">
        <f>IF(D4149&lt;&gt;"",IFERROR(INDEX(Produtos!$C$4:$C$4996,MATCH(D4149,Produtos!$B$4:$B$4996,0)),"Produto não encontrado"),"")</f>
        <v/>
      </c>
    </row>
    <row r="4150" spans="1:5" x14ac:dyDescent="0.3">
      <c r="A4150" s="21" t="str">
        <f t="shared" si="64"/>
        <v>.</v>
      </c>
      <c r="D4150" s="44"/>
      <c r="E4150" s="22" t="str">
        <f>IF(D4150&lt;&gt;"",IFERROR(INDEX(Produtos!$C$4:$C$4996,MATCH(D4150,Produtos!$B$4:$B$4996,0)),"Produto não encontrado"),"")</f>
        <v/>
      </c>
    </row>
    <row r="4151" spans="1:5" x14ac:dyDescent="0.3">
      <c r="A4151" s="21" t="str">
        <f t="shared" si="64"/>
        <v>.</v>
      </c>
      <c r="D4151" s="44"/>
      <c r="E4151" s="22" t="str">
        <f>IF(D4151&lt;&gt;"",IFERROR(INDEX(Produtos!$C$4:$C$4996,MATCH(D4151,Produtos!$B$4:$B$4996,0)),"Produto não encontrado"),"")</f>
        <v/>
      </c>
    </row>
    <row r="4152" spans="1:5" x14ac:dyDescent="0.3">
      <c r="A4152" s="21" t="str">
        <f t="shared" si="64"/>
        <v>.</v>
      </c>
      <c r="D4152" s="44"/>
      <c r="E4152" s="22" t="str">
        <f>IF(D4152&lt;&gt;"",IFERROR(INDEX(Produtos!$C$4:$C$4996,MATCH(D4152,Produtos!$B$4:$B$4996,0)),"Produto não encontrado"),"")</f>
        <v/>
      </c>
    </row>
    <row r="4153" spans="1:5" x14ac:dyDescent="0.3">
      <c r="A4153" s="21" t="str">
        <f t="shared" si="64"/>
        <v>.</v>
      </c>
      <c r="D4153" s="44"/>
      <c r="E4153" s="22" t="str">
        <f>IF(D4153&lt;&gt;"",IFERROR(INDEX(Produtos!$C$4:$C$4996,MATCH(D4153,Produtos!$B$4:$B$4996,0)),"Produto não encontrado"),"")</f>
        <v/>
      </c>
    </row>
    <row r="4154" spans="1:5" x14ac:dyDescent="0.3">
      <c r="A4154" s="21" t="str">
        <f t="shared" si="64"/>
        <v>.</v>
      </c>
      <c r="D4154" s="44"/>
      <c r="E4154" s="22" t="str">
        <f>IF(D4154&lt;&gt;"",IFERROR(INDEX(Produtos!$C$4:$C$4996,MATCH(D4154,Produtos!$B$4:$B$4996,0)),"Produto não encontrado"),"")</f>
        <v/>
      </c>
    </row>
    <row r="4155" spans="1:5" x14ac:dyDescent="0.3">
      <c r="A4155" s="21" t="str">
        <f t="shared" si="64"/>
        <v>.</v>
      </c>
      <c r="D4155" s="44"/>
      <c r="E4155" s="22" t="str">
        <f>IF(D4155&lt;&gt;"",IFERROR(INDEX(Produtos!$C$4:$C$4996,MATCH(D4155,Produtos!$B$4:$B$4996,0)),"Produto não encontrado"),"")</f>
        <v/>
      </c>
    </row>
    <row r="4156" spans="1:5" x14ac:dyDescent="0.3">
      <c r="A4156" s="21" t="str">
        <f t="shared" si="64"/>
        <v>.</v>
      </c>
      <c r="D4156" s="44"/>
      <c r="E4156" s="22" t="str">
        <f>IF(D4156&lt;&gt;"",IFERROR(INDEX(Produtos!$C$4:$C$4996,MATCH(D4156,Produtos!$B$4:$B$4996,0)),"Produto não encontrado"),"")</f>
        <v/>
      </c>
    </row>
    <row r="4157" spans="1:5" x14ac:dyDescent="0.3">
      <c r="A4157" s="21" t="str">
        <f t="shared" si="64"/>
        <v>.</v>
      </c>
      <c r="D4157" s="44"/>
      <c r="E4157" s="22" t="str">
        <f>IF(D4157&lt;&gt;"",IFERROR(INDEX(Produtos!$C$4:$C$4996,MATCH(D4157,Produtos!$B$4:$B$4996,0)),"Produto não encontrado"),"")</f>
        <v/>
      </c>
    </row>
    <row r="4158" spans="1:5" x14ac:dyDescent="0.3">
      <c r="A4158" s="21" t="str">
        <f t="shared" si="64"/>
        <v>.</v>
      </c>
      <c r="D4158" s="44"/>
      <c r="E4158" s="22" t="str">
        <f>IF(D4158&lt;&gt;"",IFERROR(INDEX(Produtos!$C$4:$C$4996,MATCH(D4158,Produtos!$B$4:$B$4996,0)),"Produto não encontrado"),"")</f>
        <v/>
      </c>
    </row>
    <row r="4159" spans="1:5" x14ac:dyDescent="0.3">
      <c r="A4159" s="21" t="str">
        <f t="shared" si="64"/>
        <v>.</v>
      </c>
      <c r="D4159" s="44"/>
      <c r="E4159" s="22" t="str">
        <f>IF(D4159&lt;&gt;"",IFERROR(INDEX(Produtos!$C$4:$C$4996,MATCH(D4159,Produtos!$B$4:$B$4996,0)),"Produto não encontrado"),"")</f>
        <v/>
      </c>
    </row>
    <row r="4160" spans="1:5" x14ac:dyDescent="0.3">
      <c r="A4160" s="21" t="str">
        <f t="shared" ref="A4160:A4223" si="65">IF(C4160="Entrada",2,IF(C4160="Saída",1,"."))</f>
        <v>.</v>
      </c>
      <c r="D4160" s="44"/>
      <c r="E4160" s="22" t="str">
        <f>IF(D4160&lt;&gt;"",IFERROR(INDEX(Produtos!$C$4:$C$4996,MATCH(D4160,Produtos!$B$4:$B$4996,0)),"Produto não encontrado"),"")</f>
        <v/>
      </c>
    </row>
    <row r="4161" spans="1:5" x14ac:dyDescent="0.3">
      <c r="A4161" s="21" t="str">
        <f t="shared" si="65"/>
        <v>.</v>
      </c>
      <c r="D4161" s="44"/>
      <c r="E4161" s="22" t="str">
        <f>IF(D4161&lt;&gt;"",IFERROR(INDEX(Produtos!$C$4:$C$4996,MATCH(D4161,Produtos!$B$4:$B$4996,0)),"Produto não encontrado"),"")</f>
        <v/>
      </c>
    </row>
    <row r="4162" spans="1:5" x14ac:dyDescent="0.3">
      <c r="A4162" s="21" t="str">
        <f t="shared" si="65"/>
        <v>.</v>
      </c>
      <c r="D4162" s="44"/>
      <c r="E4162" s="22" t="str">
        <f>IF(D4162&lt;&gt;"",IFERROR(INDEX(Produtos!$C$4:$C$4996,MATCH(D4162,Produtos!$B$4:$B$4996,0)),"Produto não encontrado"),"")</f>
        <v/>
      </c>
    </row>
    <row r="4163" spans="1:5" x14ac:dyDescent="0.3">
      <c r="A4163" s="21" t="str">
        <f t="shared" si="65"/>
        <v>.</v>
      </c>
      <c r="D4163" s="44"/>
      <c r="E4163" s="22" t="str">
        <f>IF(D4163&lt;&gt;"",IFERROR(INDEX(Produtos!$C$4:$C$4996,MATCH(D4163,Produtos!$B$4:$B$4996,0)),"Produto não encontrado"),"")</f>
        <v/>
      </c>
    </row>
    <row r="4164" spans="1:5" x14ac:dyDescent="0.3">
      <c r="A4164" s="21" t="str">
        <f t="shared" si="65"/>
        <v>.</v>
      </c>
      <c r="D4164" s="44"/>
      <c r="E4164" s="22" t="str">
        <f>IF(D4164&lt;&gt;"",IFERROR(INDEX(Produtos!$C$4:$C$4996,MATCH(D4164,Produtos!$B$4:$B$4996,0)),"Produto não encontrado"),"")</f>
        <v/>
      </c>
    </row>
    <row r="4165" spans="1:5" x14ac:dyDescent="0.3">
      <c r="A4165" s="21" t="str">
        <f t="shared" si="65"/>
        <v>.</v>
      </c>
      <c r="D4165" s="44"/>
      <c r="E4165" s="22" t="str">
        <f>IF(D4165&lt;&gt;"",IFERROR(INDEX(Produtos!$C$4:$C$4996,MATCH(D4165,Produtos!$B$4:$B$4996,0)),"Produto não encontrado"),"")</f>
        <v/>
      </c>
    </row>
    <row r="4166" spans="1:5" x14ac:dyDescent="0.3">
      <c r="A4166" s="21" t="str">
        <f t="shared" si="65"/>
        <v>.</v>
      </c>
      <c r="D4166" s="44"/>
      <c r="E4166" s="22" t="str">
        <f>IF(D4166&lt;&gt;"",IFERROR(INDEX(Produtos!$C$4:$C$4996,MATCH(D4166,Produtos!$B$4:$B$4996,0)),"Produto não encontrado"),"")</f>
        <v/>
      </c>
    </row>
    <row r="4167" spans="1:5" x14ac:dyDescent="0.3">
      <c r="A4167" s="21" t="str">
        <f t="shared" si="65"/>
        <v>.</v>
      </c>
      <c r="D4167" s="44"/>
      <c r="E4167" s="22" t="str">
        <f>IF(D4167&lt;&gt;"",IFERROR(INDEX(Produtos!$C$4:$C$4996,MATCH(D4167,Produtos!$B$4:$B$4996,0)),"Produto não encontrado"),"")</f>
        <v/>
      </c>
    </row>
    <row r="4168" spans="1:5" x14ac:dyDescent="0.3">
      <c r="A4168" s="21" t="str">
        <f t="shared" si="65"/>
        <v>.</v>
      </c>
      <c r="D4168" s="44"/>
      <c r="E4168" s="22" t="str">
        <f>IF(D4168&lt;&gt;"",IFERROR(INDEX(Produtos!$C$4:$C$4996,MATCH(D4168,Produtos!$B$4:$B$4996,0)),"Produto não encontrado"),"")</f>
        <v/>
      </c>
    </row>
    <row r="4169" spans="1:5" x14ac:dyDescent="0.3">
      <c r="A4169" s="21" t="str">
        <f t="shared" si="65"/>
        <v>.</v>
      </c>
      <c r="D4169" s="44"/>
      <c r="E4169" s="22" t="str">
        <f>IF(D4169&lt;&gt;"",IFERROR(INDEX(Produtos!$C$4:$C$4996,MATCH(D4169,Produtos!$B$4:$B$4996,0)),"Produto não encontrado"),"")</f>
        <v/>
      </c>
    </row>
    <row r="4170" spans="1:5" x14ac:dyDescent="0.3">
      <c r="A4170" s="21" t="str">
        <f t="shared" si="65"/>
        <v>.</v>
      </c>
      <c r="D4170" s="44"/>
      <c r="E4170" s="22" t="str">
        <f>IF(D4170&lt;&gt;"",IFERROR(INDEX(Produtos!$C$4:$C$4996,MATCH(D4170,Produtos!$B$4:$B$4996,0)),"Produto não encontrado"),"")</f>
        <v/>
      </c>
    </row>
    <row r="4171" spans="1:5" x14ac:dyDescent="0.3">
      <c r="A4171" s="21" t="str">
        <f t="shared" si="65"/>
        <v>.</v>
      </c>
      <c r="D4171" s="44"/>
      <c r="E4171" s="22" t="str">
        <f>IF(D4171&lt;&gt;"",IFERROR(INDEX(Produtos!$C$4:$C$4996,MATCH(D4171,Produtos!$B$4:$B$4996,0)),"Produto não encontrado"),"")</f>
        <v/>
      </c>
    </row>
    <row r="4172" spans="1:5" x14ac:dyDescent="0.3">
      <c r="A4172" s="21" t="str">
        <f t="shared" si="65"/>
        <v>.</v>
      </c>
      <c r="D4172" s="44"/>
      <c r="E4172" s="22" t="str">
        <f>IF(D4172&lt;&gt;"",IFERROR(INDEX(Produtos!$C$4:$C$4996,MATCH(D4172,Produtos!$B$4:$B$4996,0)),"Produto não encontrado"),"")</f>
        <v/>
      </c>
    </row>
    <row r="4173" spans="1:5" x14ac:dyDescent="0.3">
      <c r="A4173" s="21" t="str">
        <f t="shared" si="65"/>
        <v>.</v>
      </c>
      <c r="D4173" s="44"/>
      <c r="E4173" s="22" t="str">
        <f>IF(D4173&lt;&gt;"",IFERROR(INDEX(Produtos!$C$4:$C$4996,MATCH(D4173,Produtos!$B$4:$B$4996,0)),"Produto não encontrado"),"")</f>
        <v/>
      </c>
    </row>
    <row r="4174" spans="1:5" x14ac:dyDescent="0.3">
      <c r="A4174" s="21" t="str">
        <f t="shared" si="65"/>
        <v>.</v>
      </c>
      <c r="D4174" s="44"/>
      <c r="E4174" s="22" t="str">
        <f>IF(D4174&lt;&gt;"",IFERROR(INDEX(Produtos!$C$4:$C$4996,MATCH(D4174,Produtos!$B$4:$B$4996,0)),"Produto não encontrado"),"")</f>
        <v/>
      </c>
    </row>
    <row r="4175" spans="1:5" x14ac:dyDescent="0.3">
      <c r="A4175" s="21" t="str">
        <f t="shared" si="65"/>
        <v>.</v>
      </c>
      <c r="D4175" s="44"/>
      <c r="E4175" s="22" t="str">
        <f>IF(D4175&lt;&gt;"",IFERROR(INDEX(Produtos!$C$4:$C$4996,MATCH(D4175,Produtos!$B$4:$B$4996,0)),"Produto não encontrado"),"")</f>
        <v/>
      </c>
    </row>
    <row r="4176" spans="1:5" x14ac:dyDescent="0.3">
      <c r="A4176" s="21" t="str">
        <f t="shared" si="65"/>
        <v>.</v>
      </c>
      <c r="D4176" s="44"/>
      <c r="E4176" s="22" t="str">
        <f>IF(D4176&lt;&gt;"",IFERROR(INDEX(Produtos!$C$4:$C$4996,MATCH(D4176,Produtos!$B$4:$B$4996,0)),"Produto não encontrado"),"")</f>
        <v/>
      </c>
    </row>
    <row r="4177" spans="1:5" x14ac:dyDescent="0.3">
      <c r="A4177" s="21" t="str">
        <f t="shared" si="65"/>
        <v>.</v>
      </c>
      <c r="D4177" s="44"/>
      <c r="E4177" s="22" t="str">
        <f>IF(D4177&lt;&gt;"",IFERROR(INDEX(Produtos!$C$4:$C$4996,MATCH(D4177,Produtos!$B$4:$B$4996,0)),"Produto não encontrado"),"")</f>
        <v/>
      </c>
    </row>
    <row r="4178" spans="1:5" x14ac:dyDescent="0.3">
      <c r="A4178" s="21" t="str">
        <f t="shared" si="65"/>
        <v>.</v>
      </c>
      <c r="D4178" s="44"/>
      <c r="E4178" s="22" t="str">
        <f>IF(D4178&lt;&gt;"",IFERROR(INDEX(Produtos!$C$4:$C$4996,MATCH(D4178,Produtos!$B$4:$B$4996,0)),"Produto não encontrado"),"")</f>
        <v/>
      </c>
    </row>
    <row r="4179" spans="1:5" x14ac:dyDescent="0.3">
      <c r="A4179" s="21" t="str">
        <f t="shared" si="65"/>
        <v>.</v>
      </c>
      <c r="D4179" s="44"/>
      <c r="E4179" s="22" t="str">
        <f>IF(D4179&lt;&gt;"",IFERROR(INDEX(Produtos!$C$4:$C$4996,MATCH(D4179,Produtos!$B$4:$B$4996,0)),"Produto não encontrado"),"")</f>
        <v/>
      </c>
    </row>
    <row r="4180" spans="1:5" x14ac:dyDescent="0.3">
      <c r="A4180" s="21" t="str">
        <f t="shared" si="65"/>
        <v>.</v>
      </c>
      <c r="D4180" s="44"/>
      <c r="E4180" s="22" t="str">
        <f>IF(D4180&lt;&gt;"",IFERROR(INDEX(Produtos!$C$4:$C$4996,MATCH(D4180,Produtos!$B$4:$B$4996,0)),"Produto não encontrado"),"")</f>
        <v/>
      </c>
    </row>
    <row r="4181" spans="1:5" x14ac:dyDescent="0.3">
      <c r="A4181" s="21" t="str">
        <f t="shared" si="65"/>
        <v>.</v>
      </c>
      <c r="D4181" s="44"/>
      <c r="E4181" s="22" t="str">
        <f>IF(D4181&lt;&gt;"",IFERROR(INDEX(Produtos!$C$4:$C$4996,MATCH(D4181,Produtos!$B$4:$B$4996,0)),"Produto não encontrado"),"")</f>
        <v/>
      </c>
    </row>
    <row r="4182" spans="1:5" x14ac:dyDescent="0.3">
      <c r="A4182" s="21" t="str">
        <f t="shared" si="65"/>
        <v>.</v>
      </c>
      <c r="D4182" s="44"/>
      <c r="E4182" s="22" t="str">
        <f>IF(D4182&lt;&gt;"",IFERROR(INDEX(Produtos!$C$4:$C$4996,MATCH(D4182,Produtos!$B$4:$B$4996,0)),"Produto não encontrado"),"")</f>
        <v/>
      </c>
    </row>
    <row r="4183" spans="1:5" x14ac:dyDescent="0.3">
      <c r="A4183" s="21" t="str">
        <f t="shared" si="65"/>
        <v>.</v>
      </c>
      <c r="D4183" s="44"/>
      <c r="E4183" s="22" t="str">
        <f>IF(D4183&lt;&gt;"",IFERROR(INDEX(Produtos!$C$4:$C$4996,MATCH(D4183,Produtos!$B$4:$B$4996,0)),"Produto não encontrado"),"")</f>
        <v/>
      </c>
    </row>
    <row r="4184" spans="1:5" x14ac:dyDescent="0.3">
      <c r="A4184" s="21" t="str">
        <f t="shared" si="65"/>
        <v>.</v>
      </c>
      <c r="D4184" s="44"/>
      <c r="E4184" s="22" t="str">
        <f>IF(D4184&lt;&gt;"",IFERROR(INDEX(Produtos!$C$4:$C$4996,MATCH(D4184,Produtos!$B$4:$B$4996,0)),"Produto não encontrado"),"")</f>
        <v/>
      </c>
    </row>
    <row r="4185" spans="1:5" x14ac:dyDescent="0.3">
      <c r="A4185" s="21" t="str">
        <f t="shared" si="65"/>
        <v>.</v>
      </c>
      <c r="D4185" s="44"/>
      <c r="E4185" s="22" t="str">
        <f>IF(D4185&lt;&gt;"",IFERROR(INDEX(Produtos!$C$4:$C$4996,MATCH(D4185,Produtos!$B$4:$B$4996,0)),"Produto não encontrado"),"")</f>
        <v/>
      </c>
    </row>
    <row r="4186" spans="1:5" x14ac:dyDescent="0.3">
      <c r="A4186" s="21" t="str">
        <f t="shared" si="65"/>
        <v>.</v>
      </c>
      <c r="D4186" s="44"/>
      <c r="E4186" s="22" t="str">
        <f>IF(D4186&lt;&gt;"",IFERROR(INDEX(Produtos!$C$4:$C$4996,MATCH(D4186,Produtos!$B$4:$B$4996,0)),"Produto não encontrado"),"")</f>
        <v/>
      </c>
    </row>
    <row r="4187" spans="1:5" x14ac:dyDescent="0.3">
      <c r="A4187" s="21" t="str">
        <f t="shared" si="65"/>
        <v>.</v>
      </c>
      <c r="D4187" s="44"/>
      <c r="E4187" s="22" t="str">
        <f>IF(D4187&lt;&gt;"",IFERROR(INDEX(Produtos!$C$4:$C$4996,MATCH(D4187,Produtos!$B$4:$B$4996,0)),"Produto não encontrado"),"")</f>
        <v/>
      </c>
    </row>
    <row r="4188" spans="1:5" x14ac:dyDescent="0.3">
      <c r="A4188" s="21" t="str">
        <f t="shared" si="65"/>
        <v>.</v>
      </c>
      <c r="D4188" s="44"/>
      <c r="E4188" s="22" t="str">
        <f>IF(D4188&lt;&gt;"",IFERROR(INDEX(Produtos!$C$4:$C$4996,MATCH(D4188,Produtos!$B$4:$B$4996,0)),"Produto não encontrado"),"")</f>
        <v/>
      </c>
    </row>
    <row r="4189" spans="1:5" x14ac:dyDescent="0.3">
      <c r="A4189" s="21" t="str">
        <f t="shared" si="65"/>
        <v>.</v>
      </c>
      <c r="D4189" s="44"/>
      <c r="E4189" s="22" t="str">
        <f>IF(D4189&lt;&gt;"",IFERROR(INDEX(Produtos!$C$4:$C$4996,MATCH(D4189,Produtos!$B$4:$B$4996,0)),"Produto não encontrado"),"")</f>
        <v/>
      </c>
    </row>
    <row r="4190" spans="1:5" x14ac:dyDescent="0.3">
      <c r="A4190" s="21" t="str">
        <f t="shared" si="65"/>
        <v>.</v>
      </c>
      <c r="D4190" s="44"/>
      <c r="E4190" s="22" t="str">
        <f>IF(D4190&lt;&gt;"",IFERROR(INDEX(Produtos!$C$4:$C$4996,MATCH(D4190,Produtos!$B$4:$B$4996,0)),"Produto não encontrado"),"")</f>
        <v/>
      </c>
    </row>
    <row r="4191" spans="1:5" x14ac:dyDescent="0.3">
      <c r="A4191" s="21" t="str">
        <f t="shared" si="65"/>
        <v>.</v>
      </c>
      <c r="D4191" s="44"/>
      <c r="E4191" s="22" t="str">
        <f>IF(D4191&lt;&gt;"",IFERROR(INDEX(Produtos!$C$4:$C$4996,MATCH(D4191,Produtos!$B$4:$B$4996,0)),"Produto não encontrado"),"")</f>
        <v/>
      </c>
    </row>
    <row r="4192" spans="1:5" x14ac:dyDescent="0.3">
      <c r="A4192" s="21" t="str">
        <f t="shared" si="65"/>
        <v>.</v>
      </c>
      <c r="D4192" s="44"/>
      <c r="E4192" s="22" t="str">
        <f>IF(D4192&lt;&gt;"",IFERROR(INDEX(Produtos!$C$4:$C$4996,MATCH(D4192,Produtos!$B$4:$B$4996,0)),"Produto não encontrado"),"")</f>
        <v/>
      </c>
    </row>
    <row r="4193" spans="1:5" x14ac:dyDescent="0.3">
      <c r="A4193" s="21" t="str">
        <f t="shared" si="65"/>
        <v>.</v>
      </c>
      <c r="D4193" s="44"/>
      <c r="E4193" s="22" t="str">
        <f>IF(D4193&lt;&gt;"",IFERROR(INDEX(Produtos!$C$4:$C$4996,MATCH(D4193,Produtos!$B$4:$B$4996,0)),"Produto não encontrado"),"")</f>
        <v/>
      </c>
    </row>
    <row r="4194" spans="1:5" x14ac:dyDescent="0.3">
      <c r="A4194" s="21" t="str">
        <f t="shared" si="65"/>
        <v>.</v>
      </c>
      <c r="D4194" s="44"/>
      <c r="E4194" s="22" t="str">
        <f>IF(D4194&lt;&gt;"",IFERROR(INDEX(Produtos!$C$4:$C$4996,MATCH(D4194,Produtos!$B$4:$B$4996,0)),"Produto não encontrado"),"")</f>
        <v/>
      </c>
    </row>
    <row r="4195" spans="1:5" x14ac:dyDescent="0.3">
      <c r="A4195" s="21" t="str">
        <f t="shared" si="65"/>
        <v>.</v>
      </c>
      <c r="D4195" s="44"/>
      <c r="E4195" s="22" t="str">
        <f>IF(D4195&lt;&gt;"",IFERROR(INDEX(Produtos!$C$4:$C$4996,MATCH(D4195,Produtos!$B$4:$B$4996,0)),"Produto não encontrado"),"")</f>
        <v/>
      </c>
    </row>
    <row r="4196" spans="1:5" x14ac:dyDescent="0.3">
      <c r="A4196" s="21" t="str">
        <f t="shared" si="65"/>
        <v>.</v>
      </c>
      <c r="D4196" s="44"/>
      <c r="E4196" s="22" t="str">
        <f>IF(D4196&lt;&gt;"",IFERROR(INDEX(Produtos!$C$4:$C$4996,MATCH(D4196,Produtos!$B$4:$B$4996,0)),"Produto não encontrado"),"")</f>
        <v/>
      </c>
    </row>
    <row r="4197" spans="1:5" x14ac:dyDescent="0.3">
      <c r="A4197" s="21" t="str">
        <f t="shared" si="65"/>
        <v>.</v>
      </c>
      <c r="D4197" s="44"/>
      <c r="E4197" s="22" t="str">
        <f>IF(D4197&lt;&gt;"",IFERROR(INDEX(Produtos!$C$4:$C$4996,MATCH(D4197,Produtos!$B$4:$B$4996,0)),"Produto não encontrado"),"")</f>
        <v/>
      </c>
    </row>
    <row r="4198" spans="1:5" x14ac:dyDescent="0.3">
      <c r="A4198" s="21" t="str">
        <f t="shared" si="65"/>
        <v>.</v>
      </c>
      <c r="D4198" s="44"/>
      <c r="E4198" s="22" t="str">
        <f>IF(D4198&lt;&gt;"",IFERROR(INDEX(Produtos!$C$4:$C$4996,MATCH(D4198,Produtos!$B$4:$B$4996,0)),"Produto não encontrado"),"")</f>
        <v/>
      </c>
    </row>
    <row r="4199" spans="1:5" x14ac:dyDescent="0.3">
      <c r="A4199" s="21" t="str">
        <f t="shared" si="65"/>
        <v>.</v>
      </c>
      <c r="D4199" s="44"/>
      <c r="E4199" s="22" t="str">
        <f>IF(D4199&lt;&gt;"",IFERROR(INDEX(Produtos!$C$4:$C$4996,MATCH(D4199,Produtos!$B$4:$B$4996,0)),"Produto não encontrado"),"")</f>
        <v/>
      </c>
    </row>
    <row r="4200" spans="1:5" x14ac:dyDescent="0.3">
      <c r="A4200" s="21" t="str">
        <f t="shared" si="65"/>
        <v>.</v>
      </c>
      <c r="D4200" s="44"/>
      <c r="E4200" s="22" t="str">
        <f>IF(D4200&lt;&gt;"",IFERROR(INDEX(Produtos!$C$4:$C$4996,MATCH(D4200,Produtos!$B$4:$B$4996,0)),"Produto não encontrado"),"")</f>
        <v/>
      </c>
    </row>
    <row r="4201" spans="1:5" x14ac:dyDescent="0.3">
      <c r="A4201" s="21" t="str">
        <f t="shared" si="65"/>
        <v>.</v>
      </c>
      <c r="D4201" s="44"/>
      <c r="E4201" s="22" t="str">
        <f>IF(D4201&lt;&gt;"",IFERROR(INDEX(Produtos!$C$4:$C$4996,MATCH(D4201,Produtos!$B$4:$B$4996,0)),"Produto não encontrado"),"")</f>
        <v/>
      </c>
    </row>
    <row r="4202" spans="1:5" x14ac:dyDescent="0.3">
      <c r="A4202" s="21" t="str">
        <f t="shared" si="65"/>
        <v>.</v>
      </c>
      <c r="D4202" s="44"/>
      <c r="E4202" s="22" t="str">
        <f>IF(D4202&lt;&gt;"",IFERROR(INDEX(Produtos!$C$4:$C$4996,MATCH(D4202,Produtos!$B$4:$B$4996,0)),"Produto não encontrado"),"")</f>
        <v/>
      </c>
    </row>
    <row r="4203" spans="1:5" x14ac:dyDescent="0.3">
      <c r="A4203" s="21" t="str">
        <f t="shared" si="65"/>
        <v>.</v>
      </c>
      <c r="D4203" s="44"/>
      <c r="E4203" s="22" t="str">
        <f>IF(D4203&lt;&gt;"",IFERROR(INDEX(Produtos!$C$4:$C$4996,MATCH(D4203,Produtos!$B$4:$B$4996,0)),"Produto não encontrado"),"")</f>
        <v/>
      </c>
    </row>
    <row r="4204" spans="1:5" x14ac:dyDescent="0.3">
      <c r="A4204" s="21" t="str">
        <f t="shared" si="65"/>
        <v>.</v>
      </c>
      <c r="D4204" s="44"/>
      <c r="E4204" s="22" t="str">
        <f>IF(D4204&lt;&gt;"",IFERROR(INDEX(Produtos!$C$4:$C$4996,MATCH(D4204,Produtos!$B$4:$B$4996,0)),"Produto não encontrado"),"")</f>
        <v/>
      </c>
    </row>
    <row r="4205" spans="1:5" x14ac:dyDescent="0.3">
      <c r="A4205" s="21" t="str">
        <f t="shared" si="65"/>
        <v>.</v>
      </c>
      <c r="D4205" s="44"/>
      <c r="E4205" s="22" t="str">
        <f>IF(D4205&lt;&gt;"",IFERROR(INDEX(Produtos!$C$4:$C$4996,MATCH(D4205,Produtos!$B$4:$B$4996,0)),"Produto não encontrado"),"")</f>
        <v/>
      </c>
    </row>
    <row r="4206" spans="1:5" x14ac:dyDescent="0.3">
      <c r="A4206" s="21" t="str">
        <f t="shared" si="65"/>
        <v>.</v>
      </c>
      <c r="D4206" s="44"/>
      <c r="E4206" s="22" t="str">
        <f>IF(D4206&lt;&gt;"",IFERROR(INDEX(Produtos!$C$4:$C$4996,MATCH(D4206,Produtos!$B$4:$B$4996,0)),"Produto não encontrado"),"")</f>
        <v/>
      </c>
    </row>
    <row r="4207" spans="1:5" x14ac:dyDescent="0.3">
      <c r="A4207" s="21" t="str">
        <f t="shared" si="65"/>
        <v>.</v>
      </c>
      <c r="D4207" s="44"/>
      <c r="E4207" s="22" t="str">
        <f>IF(D4207&lt;&gt;"",IFERROR(INDEX(Produtos!$C$4:$C$4996,MATCH(D4207,Produtos!$B$4:$B$4996,0)),"Produto não encontrado"),"")</f>
        <v/>
      </c>
    </row>
    <row r="4208" spans="1:5" x14ac:dyDescent="0.3">
      <c r="A4208" s="21" t="str">
        <f t="shared" si="65"/>
        <v>.</v>
      </c>
      <c r="D4208" s="44"/>
      <c r="E4208" s="22" t="str">
        <f>IF(D4208&lt;&gt;"",IFERROR(INDEX(Produtos!$C$4:$C$4996,MATCH(D4208,Produtos!$B$4:$B$4996,0)),"Produto não encontrado"),"")</f>
        <v/>
      </c>
    </row>
    <row r="4209" spans="1:5" x14ac:dyDescent="0.3">
      <c r="A4209" s="21" t="str">
        <f t="shared" si="65"/>
        <v>.</v>
      </c>
      <c r="D4209" s="44"/>
      <c r="E4209" s="22" t="str">
        <f>IF(D4209&lt;&gt;"",IFERROR(INDEX(Produtos!$C$4:$C$4996,MATCH(D4209,Produtos!$B$4:$B$4996,0)),"Produto não encontrado"),"")</f>
        <v/>
      </c>
    </row>
    <row r="4210" spans="1:5" x14ac:dyDescent="0.3">
      <c r="A4210" s="21" t="str">
        <f t="shared" si="65"/>
        <v>.</v>
      </c>
      <c r="D4210" s="44"/>
      <c r="E4210" s="22" t="str">
        <f>IF(D4210&lt;&gt;"",IFERROR(INDEX(Produtos!$C$4:$C$4996,MATCH(D4210,Produtos!$B$4:$B$4996,0)),"Produto não encontrado"),"")</f>
        <v/>
      </c>
    </row>
    <row r="4211" spans="1:5" x14ac:dyDescent="0.3">
      <c r="A4211" s="21" t="str">
        <f t="shared" si="65"/>
        <v>.</v>
      </c>
      <c r="D4211" s="44"/>
      <c r="E4211" s="22" t="str">
        <f>IF(D4211&lt;&gt;"",IFERROR(INDEX(Produtos!$C$4:$C$4996,MATCH(D4211,Produtos!$B$4:$B$4996,0)),"Produto não encontrado"),"")</f>
        <v/>
      </c>
    </row>
    <row r="4212" spans="1:5" x14ac:dyDescent="0.3">
      <c r="A4212" s="21" t="str">
        <f t="shared" si="65"/>
        <v>.</v>
      </c>
      <c r="D4212" s="44"/>
      <c r="E4212" s="22" t="str">
        <f>IF(D4212&lt;&gt;"",IFERROR(INDEX(Produtos!$C$4:$C$4996,MATCH(D4212,Produtos!$B$4:$B$4996,0)),"Produto não encontrado"),"")</f>
        <v/>
      </c>
    </row>
    <row r="4213" spans="1:5" x14ac:dyDescent="0.3">
      <c r="A4213" s="21" t="str">
        <f t="shared" si="65"/>
        <v>.</v>
      </c>
      <c r="D4213" s="44"/>
      <c r="E4213" s="22" t="str">
        <f>IF(D4213&lt;&gt;"",IFERROR(INDEX(Produtos!$C$4:$C$4996,MATCH(D4213,Produtos!$B$4:$B$4996,0)),"Produto não encontrado"),"")</f>
        <v/>
      </c>
    </row>
    <row r="4214" spans="1:5" x14ac:dyDescent="0.3">
      <c r="A4214" s="21" t="str">
        <f t="shared" si="65"/>
        <v>.</v>
      </c>
      <c r="D4214" s="44"/>
      <c r="E4214" s="22" t="str">
        <f>IF(D4214&lt;&gt;"",IFERROR(INDEX(Produtos!$C$4:$C$4996,MATCH(D4214,Produtos!$B$4:$B$4996,0)),"Produto não encontrado"),"")</f>
        <v/>
      </c>
    </row>
    <row r="4215" spans="1:5" x14ac:dyDescent="0.3">
      <c r="A4215" s="21" t="str">
        <f t="shared" si="65"/>
        <v>.</v>
      </c>
      <c r="D4215" s="44"/>
      <c r="E4215" s="22" t="str">
        <f>IF(D4215&lt;&gt;"",IFERROR(INDEX(Produtos!$C$4:$C$4996,MATCH(D4215,Produtos!$B$4:$B$4996,0)),"Produto não encontrado"),"")</f>
        <v/>
      </c>
    </row>
    <row r="4216" spans="1:5" x14ac:dyDescent="0.3">
      <c r="A4216" s="21" t="str">
        <f t="shared" si="65"/>
        <v>.</v>
      </c>
      <c r="D4216" s="44"/>
      <c r="E4216" s="22" t="str">
        <f>IF(D4216&lt;&gt;"",IFERROR(INDEX(Produtos!$C$4:$C$4996,MATCH(D4216,Produtos!$B$4:$B$4996,0)),"Produto não encontrado"),"")</f>
        <v/>
      </c>
    </row>
    <row r="4217" spans="1:5" x14ac:dyDescent="0.3">
      <c r="A4217" s="21" t="str">
        <f t="shared" si="65"/>
        <v>.</v>
      </c>
      <c r="D4217" s="44"/>
      <c r="E4217" s="22" t="str">
        <f>IF(D4217&lt;&gt;"",IFERROR(INDEX(Produtos!$C$4:$C$4996,MATCH(D4217,Produtos!$B$4:$B$4996,0)),"Produto não encontrado"),"")</f>
        <v/>
      </c>
    </row>
    <row r="4218" spans="1:5" x14ac:dyDescent="0.3">
      <c r="A4218" s="21" t="str">
        <f t="shared" si="65"/>
        <v>.</v>
      </c>
      <c r="D4218" s="44"/>
      <c r="E4218" s="22" t="str">
        <f>IF(D4218&lt;&gt;"",IFERROR(INDEX(Produtos!$C$4:$C$4996,MATCH(D4218,Produtos!$B$4:$B$4996,0)),"Produto não encontrado"),"")</f>
        <v/>
      </c>
    </row>
    <row r="4219" spans="1:5" x14ac:dyDescent="0.3">
      <c r="A4219" s="21" t="str">
        <f t="shared" si="65"/>
        <v>.</v>
      </c>
      <c r="D4219" s="44"/>
      <c r="E4219" s="22" t="str">
        <f>IF(D4219&lt;&gt;"",IFERROR(INDEX(Produtos!$C$4:$C$4996,MATCH(D4219,Produtos!$B$4:$B$4996,0)),"Produto não encontrado"),"")</f>
        <v/>
      </c>
    </row>
    <row r="4220" spans="1:5" x14ac:dyDescent="0.3">
      <c r="A4220" s="21" t="str">
        <f t="shared" si="65"/>
        <v>.</v>
      </c>
      <c r="D4220" s="44"/>
      <c r="E4220" s="22" t="str">
        <f>IF(D4220&lt;&gt;"",IFERROR(INDEX(Produtos!$C$4:$C$4996,MATCH(D4220,Produtos!$B$4:$B$4996,0)),"Produto não encontrado"),"")</f>
        <v/>
      </c>
    </row>
    <row r="4221" spans="1:5" x14ac:dyDescent="0.3">
      <c r="A4221" s="21" t="str">
        <f t="shared" si="65"/>
        <v>.</v>
      </c>
      <c r="D4221" s="44"/>
      <c r="E4221" s="22" t="str">
        <f>IF(D4221&lt;&gt;"",IFERROR(INDEX(Produtos!$C$4:$C$4996,MATCH(D4221,Produtos!$B$4:$B$4996,0)),"Produto não encontrado"),"")</f>
        <v/>
      </c>
    </row>
    <row r="4222" spans="1:5" x14ac:dyDescent="0.3">
      <c r="A4222" s="21" t="str">
        <f t="shared" si="65"/>
        <v>.</v>
      </c>
      <c r="D4222" s="44"/>
      <c r="E4222" s="22" t="str">
        <f>IF(D4222&lt;&gt;"",IFERROR(INDEX(Produtos!$C$4:$C$4996,MATCH(D4222,Produtos!$B$4:$B$4996,0)),"Produto não encontrado"),"")</f>
        <v/>
      </c>
    </row>
    <row r="4223" spans="1:5" x14ac:dyDescent="0.3">
      <c r="A4223" s="21" t="str">
        <f t="shared" si="65"/>
        <v>.</v>
      </c>
      <c r="D4223" s="44"/>
      <c r="E4223" s="22" t="str">
        <f>IF(D4223&lt;&gt;"",IFERROR(INDEX(Produtos!$C$4:$C$4996,MATCH(D4223,Produtos!$B$4:$B$4996,0)),"Produto não encontrado"),"")</f>
        <v/>
      </c>
    </row>
    <row r="4224" spans="1:5" x14ac:dyDescent="0.3">
      <c r="A4224" s="21" t="str">
        <f t="shared" ref="A4224:A4287" si="66">IF(C4224="Entrada",2,IF(C4224="Saída",1,"."))</f>
        <v>.</v>
      </c>
      <c r="D4224" s="44"/>
      <c r="E4224" s="22" t="str">
        <f>IF(D4224&lt;&gt;"",IFERROR(INDEX(Produtos!$C$4:$C$4996,MATCH(D4224,Produtos!$B$4:$B$4996,0)),"Produto não encontrado"),"")</f>
        <v/>
      </c>
    </row>
    <row r="4225" spans="1:5" x14ac:dyDescent="0.3">
      <c r="A4225" s="21" t="str">
        <f t="shared" si="66"/>
        <v>.</v>
      </c>
      <c r="D4225" s="44"/>
      <c r="E4225" s="22" t="str">
        <f>IF(D4225&lt;&gt;"",IFERROR(INDEX(Produtos!$C$4:$C$4996,MATCH(D4225,Produtos!$B$4:$B$4996,0)),"Produto não encontrado"),"")</f>
        <v/>
      </c>
    </row>
    <row r="4226" spans="1:5" x14ac:dyDescent="0.3">
      <c r="A4226" s="21" t="str">
        <f t="shared" si="66"/>
        <v>.</v>
      </c>
      <c r="D4226" s="44"/>
      <c r="E4226" s="22" t="str">
        <f>IF(D4226&lt;&gt;"",IFERROR(INDEX(Produtos!$C$4:$C$4996,MATCH(D4226,Produtos!$B$4:$B$4996,0)),"Produto não encontrado"),"")</f>
        <v/>
      </c>
    </row>
    <row r="4227" spans="1:5" x14ac:dyDescent="0.3">
      <c r="A4227" s="21" t="str">
        <f t="shared" si="66"/>
        <v>.</v>
      </c>
      <c r="D4227" s="44"/>
      <c r="E4227" s="22" t="str">
        <f>IF(D4227&lt;&gt;"",IFERROR(INDEX(Produtos!$C$4:$C$4996,MATCH(D4227,Produtos!$B$4:$B$4996,0)),"Produto não encontrado"),"")</f>
        <v/>
      </c>
    </row>
    <row r="4228" spans="1:5" x14ac:dyDescent="0.3">
      <c r="A4228" s="21" t="str">
        <f t="shared" si="66"/>
        <v>.</v>
      </c>
      <c r="D4228" s="44"/>
      <c r="E4228" s="22" t="str">
        <f>IF(D4228&lt;&gt;"",IFERROR(INDEX(Produtos!$C$4:$C$4996,MATCH(D4228,Produtos!$B$4:$B$4996,0)),"Produto não encontrado"),"")</f>
        <v/>
      </c>
    </row>
    <row r="4229" spans="1:5" x14ac:dyDescent="0.3">
      <c r="A4229" s="21" t="str">
        <f t="shared" si="66"/>
        <v>.</v>
      </c>
      <c r="D4229" s="44"/>
      <c r="E4229" s="22" t="str">
        <f>IF(D4229&lt;&gt;"",IFERROR(INDEX(Produtos!$C$4:$C$4996,MATCH(D4229,Produtos!$B$4:$B$4996,0)),"Produto não encontrado"),"")</f>
        <v/>
      </c>
    </row>
    <row r="4230" spans="1:5" x14ac:dyDescent="0.3">
      <c r="A4230" s="21" t="str">
        <f t="shared" si="66"/>
        <v>.</v>
      </c>
      <c r="D4230" s="44"/>
      <c r="E4230" s="22" t="str">
        <f>IF(D4230&lt;&gt;"",IFERROR(INDEX(Produtos!$C$4:$C$4996,MATCH(D4230,Produtos!$B$4:$B$4996,0)),"Produto não encontrado"),"")</f>
        <v/>
      </c>
    </row>
    <row r="4231" spans="1:5" x14ac:dyDescent="0.3">
      <c r="A4231" s="21" t="str">
        <f t="shared" si="66"/>
        <v>.</v>
      </c>
      <c r="D4231" s="44"/>
      <c r="E4231" s="22" t="str">
        <f>IF(D4231&lt;&gt;"",IFERROR(INDEX(Produtos!$C$4:$C$4996,MATCH(D4231,Produtos!$B$4:$B$4996,0)),"Produto não encontrado"),"")</f>
        <v/>
      </c>
    </row>
    <row r="4232" spans="1:5" x14ac:dyDescent="0.3">
      <c r="A4232" s="21" t="str">
        <f t="shared" si="66"/>
        <v>.</v>
      </c>
      <c r="D4232" s="44"/>
      <c r="E4232" s="22" t="str">
        <f>IF(D4232&lt;&gt;"",IFERROR(INDEX(Produtos!$C$4:$C$4996,MATCH(D4232,Produtos!$B$4:$B$4996,0)),"Produto não encontrado"),"")</f>
        <v/>
      </c>
    </row>
    <row r="4233" spans="1:5" x14ac:dyDescent="0.3">
      <c r="A4233" s="21" t="str">
        <f t="shared" si="66"/>
        <v>.</v>
      </c>
      <c r="D4233" s="44"/>
      <c r="E4233" s="22" t="str">
        <f>IF(D4233&lt;&gt;"",IFERROR(INDEX(Produtos!$C$4:$C$4996,MATCH(D4233,Produtos!$B$4:$B$4996,0)),"Produto não encontrado"),"")</f>
        <v/>
      </c>
    </row>
    <row r="4234" spans="1:5" x14ac:dyDescent="0.3">
      <c r="A4234" s="21" t="str">
        <f t="shared" si="66"/>
        <v>.</v>
      </c>
      <c r="D4234" s="44"/>
      <c r="E4234" s="22" t="str">
        <f>IF(D4234&lt;&gt;"",IFERROR(INDEX(Produtos!$C$4:$C$4996,MATCH(D4234,Produtos!$B$4:$B$4996,0)),"Produto não encontrado"),"")</f>
        <v/>
      </c>
    </row>
    <row r="4235" spans="1:5" x14ac:dyDescent="0.3">
      <c r="A4235" s="21" t="str">
        <f t="shared" si="66"/>
        <v>.</v>
      </c>
      <c r="D4235" s="44"/>
      <c r="E4235" s="22" t="str">
        <f>IF(D4235&lt;&gt;"",IFERROR(INDEX(Produtos!$C$4:$C$4996,MATCH(D4235,Produtos!$B$4:$B$4996,0)),"Produto não encontrado"),"")</f>
        <v/>
      </c>
    </row>
    <row r="4236" spans="1:5" x14ac:dyDescent="0.3">
      <c r="A4236" s="21" t="str">
        <f t="shared" si="66"/>
        <v>.</v>
      </c>
      <c r="D4236" s="44"/>
      <c r="E4236" s="22" t="str">
        <f>IF(D4236&lt;&gt;"",IFERROR(INDEX(Produtos!$C$4:$C$4996,MATCH(D4236,Produtos!$B$4:$B$4996,0)),"Produto não encontrado"),"")</f>
        <v/>
      </c>
    </row>
    <row r="4237" spans="1:5" x14ac:dyDescent="0.3">
      <c r="A4237" s="21" t="str">
        <f t="shared" si="66"/>
        <v>.</v>
      </c>
      <c r="D4237" s="44"/>
      <c r="E4237" s="22" t="str">
        <f>IF(D4237&lt;&gt;"",IFERROR(INDEX(Produtos!$C$4:$C$4996,MATCH(D4237,Produtos!$B$4:$B$4996,0)),"Produto não encontrado"),"")</f>
        <v/>
      </c>
    </row>
    <row r="4238" spans="1:5" x14ac:dyDescent="0.3">
      <c r="A4238" s="21" t="str">
        <f t="shared" si="66"/>
        <v>.</v>
      </c>
      <c r="D4238" s="44"/>
      <c r="E4238" s="22" t="str">
        <f>IF(D4238&lt;&gt;"",IFERROR(INDEX(Produtos!$C$4:$C$4996,MATCH(D4238,Produtos!$B$4:$B$4996,0)),"Produto não encontrado"),"")</f>
        <v/>
      </c>
    </row>
    <row r="4239" spans="1:5" x14ac:dyDescent="0.3">
      <c r="A4239" s="21" t="str">
        <f t="shared" si="66"/>
        <v>.</v>
      </c>
      <c r="D4239" s="44"/>
      <c r="E4239" s="22" t="str">
        <f>IF(D4239&lt;&gt;"",IFERROR(INDEX(Produtos!$C$4:$C$4996,MATCH(D4239,Produtos!$B$4:$B$4996,0)),"Produto não encontrado"),"")</f>
        <v/>
      </c>
    </row>
    <row r="4240" spans="1:5" x14ac:dyDescent="0.3">
      <c r="A4240" s="21" t="str">
        <f t="shared" si="66"/>
        <v>.</v>
      </c>
      <c r="D4240" s="44"/>
      <c r="E4240" s="22" t="str">
        <f>IF(D4240&lt;&gt;"",IFERROR(INDEX(Produtos!$C$4:$C$4996,MATCH(D4240,Produtos!$B$4:$B$4996,0)),"Produto não encontrado"),"")</f>
        <v/>
      </c>
    </row>
    <row r="4241" spans="1:5" x14ac:dyDescent="0.3">
      <c r="A4241" s="21" t="str">
        <f t="shared" si="66"/>
        <v>.</v>
      </c>
      <c r="D4241" s="44"/>
      <c r="E4241" s="22" t="str">
        <f>IF(D4241&lt;&gt;"",IFERROR(INDEX(Produtos!$C$4:$C$4996,MATCH(D4241,Produtos!$B$4:$B$4996,0)),"Produto não encontrado"),"")</f>
        <v/>
      </c>
    </row>
    <row r="4242" spans="1:5" x14ac:dyDescent="0.3">
      <c r="A4242" s="21" t="str">
        <f t="shared" si="66"/>
        <v>.</v>
      </c>
      <c r="D4242" s="44"/>
      <c r="E4242" s="22" t="str">
        <f>IF(D4242&lt;&gt;"",IFERROR(INDEX(Produtos!$C$4:$C$4996,MATCH(D4242,Produtos!$B$4:$B$4996,0)),"Produto não encontrado"),"")</f>
        <v/>
      </c>
    </row>
    <row r="4243" spans="1:5" x14ac:dyDescent="0.3">
      <c r="A4243" s="21" t="str">
        <f t="shared" si="66"/>
        <v>.</v>
      </c>
      <c r="D4243" s="44"/>
      <c r="E4243" s="22" t="str">
        <f>IF(D4243&lt;&gt;"",IFERROR(INDEX(Produtos!$C$4:$C$4996,MATCH(D4243,Produtos!$B$4:$B$4996,0)),"Produto não encontrado"),"")</f>
        <v/>
      </c>
    </row>
    <row r="4244" spans="1:5" x14ac:dyDescent="0.3">
      <c r="A4244" s="21" t="str">
        <f t="shared" si="66"/>
        <v>.</v>
      </c>
      <c r="D4244" s="44"/>
      <c r="E4244" s="22" t="str">
        <f>IF(D4244&lt;&gt;"",IFERROR(INDEX(Produtos!$C$4:$C$4996,MATCH(D4244,Produtos!$B$4:$B$4996,0)),"Produto não encontrado"),"")</f>
        <v/>
      </c>
    </row>
    <row r="4245" spans="1:5" x14ac:dyDescent="0.3">
      <c r="A4245" s="21" t="str">
        <f t="shared" si="66"/>
        <v>.</v>
      </c>
      <c r="D4245" s="44"/>
      <c r="E4245" s="22" t="str">
        <f>IF(D4245&lt;&gt;"",IFERROR(INDEX(Produtos!$C$4:$C$4996,MATCH(D4245,Produtos!$B$4:$B$4996,0)),"Produto não encontrado"),"")</f>
        <v/>
      </c>
    </row>
    <row r="4246" spans="1:5" x14ac:dyDescent="0.3">
      <c r="A4246" s="21" t="str">
        <f t="shared" si="66"/>
        <v>.</v>
      </c>
      <c r="D4246" s="44"/>
      <c r="E4246" s="22" t="str">
        <f>IF(D4246&lt;&gt;"",IFERROR(INDEX(Produtos!$C$4:$C$4996,MATCH(D4246,Produtos!$B$4:$B$4996,0)),"Produto não encontrado"),"")</f>
        <v/>
      </c>
    </row>
    <row r="4247" spans="1:5" x14ac:dyDescent="0.3">
      <c r="A4247" s="21" t="str">
        <f t="shared" si="66"/>
        <v>.</v>
      </c>
      <c r="D4247" s="44"/>
      <c r="E4247" s="22" t="str">
        <f>IF(D4247&lt;&gt;"",IFERROR(INDEX(Produtos!$C$4:$C$4996,MATCH(D4247,Produtos!$B$4:$B$4996,0)),"Produto não encontrado"),"")</f>
        <v/>
      </c>
    </row>
    <row r="4248" spans="1:5" x14ac:dyDescent="0.3">
      <c r="A4248" s="21" t="str">
        <f t="shared" si="66"/>
        <v>.</v>
      </c>
      <c r="D4248" s="44"/>
      <c r="E4248" s="22" t="str">
        <f>IF(D4248&lt;&gt;"",IFERROR(INDEX(Produtos!$C$4:$C$4996,MATCH(D4248,Produtos!$B$4:$B$4996,0)),"Produto não encontrado"),"")</f>
        <v/>
      </c>
    </row>
    <row r="4249" spans="1:5" x14ac:dyDescent="0.3">
      <c r="A4249" s="21" t="str">
        <f t="shared" si="66"/>
        <v>.</v>
      </c>
      <c r="D4249" s="44"/>
      <c r="E4249" s="22" t="str">
        <f>IF(D4249&lt;&gt;"",IFERROR(INDEX(Produtos!$C$4:$C$4996,MATCH(D4249,Produtos!$B$4:$B$4996,0)),"Produto não encontrado"),"")</f>
        <v/>
      </c>
    </row>
    <row r="4250" spans="1:5" x14ac:dyDescent="0.3">
      <c r="A4250" s="21" t="str">
        <f t="shared" si="66"/>
        <v>.</v>
      </c>
      <c r="D4250" s="44"/>
      <c r="E4250" s="22" t="str">
        <f>IF(D4250&lt;&gt;"",IFERROR(INDEX(Produtos!$C$4:$C$4996,MATCH(D4250,Produtos!$B$4:$B$4996,0)),"Produto não encontrado"),"")</f>
        <v/>
      </c>
    </row>
    <row r="4251" spans="1:5" x14ac:dyDescent="0.3">
      <c r="A4251" s="21" t="str">
        <f t="shared" si="66"/>
        <v>.</v>
      </c>
      <c r="D4251" s="44"/>
      <c r="E4251" s="22" t="str">
        <f>IF(D4251&lt;&gt;"",IFERROR(INDEX(Produtos!$C$4:$C$4996,MATCH(D4251,Produtos!$B$4:$B$4996,0)),"Produto não encontrado"),"")</f>
        <v/>
      </c>
    </row>
    <row r="4252" spans="1:5" x14ac:dyDescent="0.3">
      <c r="A4252" s="21" t="str">
        <f t="shared" si="66"/>
        <v>.</v>
      </c>
      <c r="D4252" s="44"/>
      <c r="E4252" s="22" t="str">
        <f>IF(D4252&lt;&gt;"",IFERROR(INDEX(Produtos!$C$4:$C$4996,MATCH(D4252,Produtos!$B$4:$B$4996,0)),"Produto não encontrado"),"")</f>
        <v/>
      </c>
    </row>
    <row r="4253" spans="1:5" x14ac:dyDescent="0.3">
      <c r="A4253" s="21" t="str">
        <f t="shared" si="66"/>
        <v>.</v>
      </c>
      <c r="D4253" s="44"/>
      <c r="E4253" s="22" t="str">
        <f>IF(D4253&lt;&gt;"",IFERROR(INDEX(Produtos!$C$4:$C$4996,MATCH(D4253,Produtos!$B$4:$B$4996,0)),"Produto não encontrado"),"")</f>
        <v/>
      </c>
    </row>
    <row r="4254" spans="1:5" x14ac:dyDescent="0.3">
      <c r="A4254" s="21" t="str">
        <f t="shared" si="66"/>
        <v>.</v>
      </c>
      <c r="D4254" s="44"/>
      <c r="E4254" s="22" t="str">
        <f>IF(D4254&lt;&gt;"",IFERROR(INDEX(Produtos!$C$4:$C$4996,MATCH(D4254,Produtos!$B$4:$B$4996,0)),"Produto não encontrado"),"")</f>
        <v/>
      </c>
    </row>
    <row r="4255" spans="1:5" x14ac:dyDescent="0.3">
      <c r="A4255" s="21" t="str">
        <f t="shared" si="66"/>
        <v>.</v>
      </c>
      <c r="D4255" s="44"/>
      <c r="E4255" s="22" t="str">
        <f>IF(D4255&lt;&gt;"",IFERROR(INDEX(Produtos!$C$4:$C$4996,MATCH(D4255,Produtos!$B$4:$B$4996,0)),"Produto não encontrado"),"")</f>
        <v/>
      </c>
    </row>
    <row r="4256" spans="1:5" x14ac:dyDescent="0.3">
      <c r="A4256" s="21" t="str">
        <f t="shared" si="66"/>
        <v>.</v>
      </c>
      <c r="D4256" s="44"/>
      <c r="E4256" s="22" t="str">
        <f>IF(D4256&lt;&gt;"",IFERROR(INDEX(Produtos!$C$4:$C$4996,MATCH(D4256,Produtos!$B$4:$B$4996,0)),"Produto não encontrado"),"")</f>
        <v/>
      </c>
    </row>
    <row r="4257" spans="1:5" x14ac:dyDescent="0.3">
      <c r="A4257" s="21" t="str">
        <f t="shared" si="66"/>
        <v>.</v>
      </c>
      <c r="D4257" s="44"/>
      <c r="E4257" s="22" t="str">
        <f>IF(D4257&lt;&gt;"",IFERROR(INDEX(Produtos!$C$4:$C$4996,MATCH(D4257,Produtos!$B$4:$B$4996,0)),"Produto não encontrado"),"")</f>
        <v/>
      </c>
    </row>
    <row r="4258" spans="1:5" x14ac:dyDescent="0.3">
      <c r="A4258" s="21" t="str">
        <f t="shared" si="66"/>
        <v>.</v>
      </c>
      <c r="D4258" s="44"/>
      <c r="E4258" s="22" t="str">
        <f>IF(D4258&lt;&gt;"",IFERROR(INDEX(Produtos!$C$4:$C$4996,MATCH(D4258,Produtos!$B$4:$B$4996,0)),"Produto não encontrado"),"")</f>
        <v/>
      </c>
    </row>
    <row r="4259" spans="1:5" x14ac:dyDescent="0.3">
      <c r="A4259" s="21" t="str">
        <f t="shared" si="66"/>
        <v>.</v>
      </c>
      <c r="D4259" s="44"/>
      <c r="E4259" s="22" t="str">
        <f>IF(D4259&lt;&gt;"",IFERROR(INDEX(Produtos!$C$4:$C$4996,MATCH(D4259,Produtos!$B$4:$B$4996,0)),"Produto não encontrado"),"")</f>
        <v/>
      </c>
    </row>
    <row r="4260" spans="1:5" x14ac:dyDescent="0.3">
      <c r="A4260" s="21" t="str">
        <f t="shared" si="66"/>
        <v>.</v>
      </c>
      <c r="D4260" s="44"/>
      <c r="E4260" s="22" t="str">
        <f>IF(D4260&lt;&gt;"",IFERROR(INDEX(Produtos!$C$4:$C$4996,MATCH(D4260,Produtos!$B$4:$B$4996,0)),"Produto não encontrado"),"")</f>
        <v/>
      </c>
    </row>
    <row r="4261" spans="1:5" x14ac:dyDescent="0.3">
      <c r="A4261" s="21" t="str">
        <f t="shared" si="66"/>
        <v>.</v>
      </c>
      <c r="D4261" s="44"/>
      <c r="E4261" s="22" t="str">
        <f>IF(D4261&lt;&gt;"",IFERROR(INDEX(Produtos!$C$4:$C$4996,MATCH(D4261,Produtos!$B$4:$B$4996,0)),"Produto não encontrado"),"")</f>
        <v/>
      </c>
    </row>
    <row r="4262" spans="1:5" x14ac:dyDescent="0.3">
      <c r="A4262" s="21" t="str">
        <f t="shared" si="66"/>
        <v>.</v>
      </c>
      <c r="D4262" s="44"/>
      <c r="E4262" s="22" t="str">
        <f>IF(D4262&lt;&gt;"",IFERROR(INDEX(Produtos!$C$4:$C$4996,MATCH(D4262,Produtos!$B$4:$B$4996,0)),"Produto não encontrado"),"")</f>
        <v/>
      </c>
    </row>
    <row r="4263" spans="1:5" x14ac:dyDescent="0.3">
      <c r="A4263" s="21" t="str">
        <f t="shared" si="66"/>
        <v>.</v>
      </c>
      <c r="D4263" s="44"/>
      <c r="E4263" s="22" t="str">
        <f>IF(D4263&lt;&gt;"",IFERROR(INDEX(Produtos!$C$4:$C$4996,MATCH(D4263,Produtos!$B$4:$B$4996,0)),"Produto não encontrado"),"")</f>
        <v/>
      </c>
    </row>
    <row r="4264" spans="1:5" x14ac:dyDescent="0.3">
      <c r="A4264" s="21" t="str">
        <f t="shared" si="66"/>
        <v>.</v>
      </c>
      <c r="D4264" s="44"/>
      <c r="E4264" s="22" t="str">
        <f>IF(D4264&lt;&gt;"",IFERROR(INDEX(Produtos!$C$4:$C$4996,MATCH(D4264,Produtos!$B$4:$B$4996,0)),"Produto não encontrado"),"")</f>
        <v/>
      </c>
    </row>
    <row r="4265" spans="1:5" x14ac:dyDescent="0.3">
      <c r="A4265" s="21" t="str">
        <f t="shared" si="66"/>
        <v>.</v>
      </c>
      <c r="D4265" s="44"/>
      <c r="E4265" s="22" t="str">
        <f>IF(D4265&lt;&gt;"",IFERROR(INDEX(Produtos!$C$4:$C$4996,MATCH(D4265,Produtos!$B$4:$B$4996,0)),"Produto não encontrado"),"")</f>
        <v/>
      </c>
    </row>
    <row r="4266" spans="1:5" x14ac:dyDescent="0.3">
      <c r="A4266" s="21" t="str">
        <f t="shared" si="66"/>
        <v>.</v>
      </c>
      <c r="D4266" s="44"/>
      <c r="E4266" s="22" t="str">
        <f>IF(D4266&lt;&gt;"",IFERROR(INDEX(Produtos!$C$4:$C$4996,MATCH(D4266,Produtos!$B$4:$B$4996,0)),"Produto não encontrado"),"")</f>
        <v/>
      </c>
    </row>
    <row r="4267" spans="1:5" x14ac:dyDescent="0.3">
      <c r="A4267" s="21" t="str">
        <f t="shared" si="66"/>
        <v>.</v>
      </c>
      <c r="D4267" s="44"/>
      <c r="E4267" s="22" t="str">
        <f>IF(D4267&lt;&gt;"",IFERROR(INDEX(Produtos!$C$4:$C$4996,MATCH(D4267,Produtos!$B$4:$B$4996,0)),"Produto não encontrado"),"")</f>
        <v/>
      </c>
    </row>
    <row r="4268" spans="1:5" x14ac:dyDescent="0.3">
      <c r="A4268" s="21" t="str">
        <f t="shared" si="66"/>
        <v>.</v>
      </c>
      <c r="D4268" s="44"/>
      <c r="E4268" s="22" t="str">
        <f>IF(D4268&lt;&gt;"",IFERROR(INDEX(Produtos!$C$4:$C$4996,MATCH(D4268,Produtos!$B$4:$B$4996,0)),"Produto não encontrado"),"")</f>
        <v/>
      </c>
    </row>
    <row r="4269" spans="1:5" x14ac:dyDescent="0.3">
      <c r="A4269" s="21" t="str">
        <f t="shared" si="66"/>
        <v>.</v>
      </c>
      <c r="D4269" s="44"/>
      <c r="E4269" s="22" t="str">
        <f>IF(D4269&lt;&gt;"",IFERROR(INDEX(Produtos!$C$4:$C$4996,MATCH(D4269,Produtos!$B$4:$B$4996,0)),"Produto não encontrado"),"")</f>
        <v/>
      </c>
    </row>
    <row r="4270" spans="1:5" x14ac:dyDescent="0.3">
      <c r="A4270" s="21" t="str">
        <f t="shared" si="66"/>
        <v>.</v>
      </c>
      <c r="D4270" s="44"/>
      <c r="E4270" s="22" t="str">
        <f>IF(D4270&lt;&gt;"",IFERROR(INDEX(Produtos!$C$4:$C$4996,MATCH(D4270,Produtos!$B$4:$B$4996,0)),"Produto não encontrado"),"")</f>
        <v/>
      </c>
    </row>
    <row r="4271" spans="1:5" x14ac:dyDescent="0.3">
      <c r="A4271" s="21" t="str">
        <f t="shared" si="66"/>
        <v>.</v>
      </c>
      <c r="D4271" s="44"/>
      <c r="E4271" s="22" t="str">
        <f>IF(D4271&lt;&gt;"",IFERROR(INDEX(Produtos!$C$4:$C$4996,MATCH(D4271,Produtos!$B$4:$B$4996,0)),"Produto não encontrado"),"")</f>
        <v/>
      </c>
    </row>
    <row r="4272" spans="1:5" x14ac:dyDescent="0.3">
      <c r="A4272" s="21" t="str">
        <f t="shared" si="66"/>
        <v>.</v>
      </c>
      <c r="D4272" s="44"/>
      <c r="E4272" s="22" t="str">
        <f>IF(D4272&lt;&gt;"",IFERROR(INDEX(Produtos!$C$4:$C$4996,MATCH(D4272,Produtos!$B$4:$B$4996,0)),"Produto não encontrado"),"")</f>
        <v/>
      </c>
    </row>
    <row r="4273" spans="1:5" x14ac:dyDescent="0.3">
      <c r="A4273" s="21" t="str">
        <f t="shared" si="66"/>
        <v>.</v>
      </c>
      <c r="D4273" s="44"/>
      <c r="E4273" s="22" t="str">
        <f>IF(D4273&lt;&gt;"",IFERROR(INDEX(Produtos!$C$4:$C$4996,MATCH(D4273,Produtos!$B$4:$B$4996,0)),"Produto não encontrado"),"")</f>
        <v/>
      </c>
    </row>
    <row r="4274" spans="1:5" x14ac:dyDescent="0.3">
      <c r="A4274" s="21" t="str">
        <f t="shared" si="66"/>
        <v>.</v>
      </c>
      <c r="D4274" s="44"/>
      <c r="E4274" s="22" t="str">
        <f>IF(D4274&lt;&gt;"",IFERROR(INDEX(Produtos!$C$4:$C$4996,MATCH(D4274,Produtos!$B$4:$B$4996,0)),"Produto não encontrado"),"")</f>
        <v/>
      </c>
    </row>
    <row r="4275" spans="1:5" x14ac:dyDescent="0.3">
      <c r="A4275" s="21" t="str">
        <f t="shared" si="66"/>
        <v>.</v>
      </c>
      <c r="D4275" s="44"/>
      <c r="E4275" s="22" t="str">
        <f>IF(D4275&lt;&gt;"",IFERROR(INDEX(Produtos!$C$4:$C$4996,MATCH(D4275,Produtos!$B$4:$B$4996,0)),"Produto não encontrado"),"")</f>
        <v/>
      </c>
    </row>
    <row r="4276" spans="1:5" x14ac:dyDescent="0.3">
      <c r="A4276" s="21" t="str">
        <f t="shared" si="66"/>
        <v>.</v>
      </c>
      <c r="D4276" s="44"/>
      <c r="E4276" s="22" t="str">
        <f>IF(D4276&lt;&gt;"",IFERROR(INDEX(Produtos!$C$4:$C$4996,MATCH(D4276,Produtos!$B$4:$B$4996,0)),"Produto não encontrado"),"")</f>
        <v/>
      </c>
    </row>
    <row r="4277" spans="1:5" x14ac:dyDescent="0.3">
      <c r="A4277" s="21" t="str">
        <f t="shared" si="66"/>
        <v>.</v>
      </c>
      <c r="D4277" s="44"/>
      <c r="E4277" s="22" t="str">
        <f>IF(D4277&lt;&gt;"",IFERROR(INDEX(Produtos!$C$4:$C$4996,MATCH(D4277,Produtos!$B$4:$B$4996,0)),"Produto não encontrado"),"")</f>
        <v/>
      </c>
    </row>
    <row r="4278" spans="1:5" x14ac:dyDescent="0.3">
      <c r="A4278" s="21" t="str">
        <f t="shared" si="66"/>
        <v>.</v>
      </c>
      <c r="D4278" s="44"/>
      <c r="E4278" s="22" t="str">
        <f>IF(D4278&lt;&gt;"",IFERROR(INDEX(Produtos!$C$4:$C$4996,MATCH(D4278,Produtos!$B$4:$B$4996,0)),"Produto não encontrado"),"")</f>
        <v/>
      </c>
    </row>
    <row r="4279" spans="1:5" x14ac:dyDescent="0.3">
      <c r="A4279" s="21" t="str">
        <f t="shared" si="66"/>
        <v>.</v>
      </c>
      <c r="D4279" s="44"/>
      <c r="E4279" s="22" t="str">
        <f>IF(D4279&lt;&gt;"",IFERROR(INDEX(Produtos!$C$4:$C$4996,MATCH(D4279,Produtos!$B$4:$B$4996,0)),"Produto não encontrado"),"")</f>
        <v/>
      </c>
    </row>
    <row r="4280" spans="1:5" x14ac:dyDescent="0.3">
      <c r="A4280" s="21" t="str">
        <f t="shared" si="66"/>
        <v>.</v>
      </c>
      <c r="D4280" s="44"/>
      <c r="E4280" s="22" t="str">
        <f>IF(D4280&lt;&gt;"",IFERROR(INDEX(Produtos!$C$4:$C$4996,MATCH(D4280,Produtos!$B$4:$B$4996,0)),"Produto não encontrado"),"")</f>
        <v/>
      </c>
    </row>
    <row r="4281" spans="1:5" x14ac:dyDescent="0.3">
      <c r="A4281" s="21" t="str">
        <f t="shared" si="66"/>
        <v>.</v>
      </c>
      <c r="D4281" s="44"/>
      <c r="E4281" s="22" t="str">
        <f>IF(D4281&lt;&gt;"",IFERROR(INDEX(Produtos!$C$4:$C$4996,MATCH(D4281,Produtos!$B$4:$B$4996,0)),"Produto não encontrado"),"")</f>
        <v/>
      </c>
    </row>
    <row r="4282" spans="1:5" x14ac:dyDescent="0.3">
      <c r="A4282" s="21" t="str">
        <f t="shared" si="66"/>
        <v>.</v>
      </c>
      <c r="D4282" s="44"/>
      <c r="E4282" s="22" t="str">
        <f>IF(D4282&lt;&gt;"",IFERROR(INDEX(Produtos!$C$4:$C$4996,MATCH(D4282,Produtos!$B$4:$B$4996,0)),"Produto não encontrado"),"")</f>
        <v/>
      </c>
    </row>
    <row r="4283" spans="1:5" x14ac:dyDescent="0.3">
      <c r="A4283" s="21" t="str">
        <f t="shared" si="66"/>
        <v>.</v>
      </c>
      <c r="D4283" s="44"/>
      <c r="E4283" s="22" t="str">
        <f>IF(D4283&lt;&gt;"",IFERROR(INDEX(Produtos!$C$4:$C$4996,MATCH(D4283,Produtos!$B$4:$B$4996,0)),"Produto não encontrado"),"")</f>
        <v/>
      </c>
    </row>
    <row r="4284" spans="1:5" x14ac:dyDescent="0.3">
      <c r="A4284" s="21" t="str">
        <f t="shared" si="66"/>
        <v>.</v>
      </c>
      <c r="D4284" s="44"/>
      <c r="E4284" s="22" t="str">
        <f>IF(D4284&lt;&gt;"",IFERROR(INDEX(Produtos!$C$4:$C$4996,MATCH(D4284,Produtos!$B$4:$B$4996,0)),"Produto não encontrado"),"")</f>
        <v/>
      </c>
    </row>
    <row r="4285" spans="1:5" x14ac:dyDescent="0.3">
      <c r="A4285" s="21" t="str">
        <f t="shared" si="66"/>
        <v>.</v>
      </c>
      <c r="D4285" s="44"/>
      <c r="E4285" s="22" t="str">
        <f>IF(D4285&lt;&gt;"",IFERROR(INDEX(Produtos!$C$4:$C$4996,MATCH(D4285,Produtos!$B$4:$B$4996,0)),"Produto não encontrado"),"")</f>
        <v/>
      </c>
    </row>
    <row r="4286" spans="1:5" x14ac:dyDescent="0.3">
      <c r="A4286" s="21" t="str">
        <f t="shared" si="66"/>
        <v>.</v>
      </c>
      <c r="D4286" s="44"/>
      <c r="E4286" s="22" t="str">
        <f>IF(D4286&lt;&gt;"",IFERROR(INDEX(Produtos!$C$4:$C$4996,MATCH(D4286,Produtos!$B$4:$B$4996,0)),"Produto não encontrado"),"")</f>
        <v/>
      </c>
    </row>
    <row r="4287" spans="1:5" x14ac:dyDescent="0.3">
      <c r="A4287" s="21" t="str">
        <f t="shared" si="66"/>
        <v>.</v>
      </c>
      <c r="D4287" s="44"/>
      <c r="E4287" s="22" t="str">
        <f>IF(D4287&lt;&gt;"",IFERROR(INDEX(Produtos!$C$4:$C$4996,MATCH(D4287,Produtos!$B$4:$B$4996,0)),"Produto não encontrado"),"")</f>
        <v/>
      </c>
    </row>
    <row r="4288" spans="1:5" x14ac:dyDescent="0.3">
      <c r="A4288" s="21" t="str">
        <f t="shared" ref="A4288:A4351" si="67">IF(C4288="Entrada",2,IF(C4288="Saída",1,"."))</f>
        <v>.</v>
      </c>
      <c r="D4288" s="44"/>
      <c r="E4288" s="22" t="str">
        <f>IF(D4288&lt;&gt;"",IFERROR(INDEX(Produtos!$C$4:$C$4996,MATCH(D4288,Produtos!$B$4:$B$4996,0)),"Produto não encontrado"),"")</f>
        <v/>
      </c>
    </row>
    <row r="4289" spans="1:5" x14ac:dyDescent="0.3">
      <c r="A4289" s="21" t="str">
        <f t="shared" si="67"/>
        <v>.</v>
      </c>
      <c r="D4289" s="44"/>
      <c r="E4289" s="22" t="str">
        <f>IF(D4289&lt;&gt;"",IFERROR(INDEX(Produtos!$C$4:$C$4996,MATCH(D4289,Produtos!$B$4:$B$4996,0)),"Produto não encontrado"),"")</f>
        <v/>
      </c>
    </row>
    <row r="4290" spans="1:5" x14ac:dyDescent="0.3">
      <c r="A4290" s="21" t="str">
        <f t="shared" si="67"/>
        <v>.</v>
      </c>
      <c r="D4290" s="44"/>
      <c r="E4290" s="22" t="str">
        <f>IF(D4290&lt;&gt;"",IFERROR(INDEX(Produtos!$C$4:$C$4996,MATCH(D4290,Produtos!$B$4:$B$4996,0)),"Produto não encontrado"),"")</f>
        <v/>
      </c>
    </row>
    <row r="4291" spans="1:5" x14ac:dyDescent="0.3">
      <c r="A4291" s="21" t="str">
        <f t="shared" si="67"/>
        <v>.</v>
      </c>
      <c r="D4291" s="44"/>
      <c r="E4291" s="22" t="str">
        <f>IF(D4291&lt;&gt;"",IFERROR(INDEX(Produtos!$C$4:$C$4996,MATCH(D4291,Produtos!$B$4:$B$4996,0)),"Produto não encontrado"),"")</f>
        <v/>
      </c>
    </row>
    <row r="4292" spans="1:5" x14ac:dyDescent="0.3">
      <c r="A4292" s="21" t="str">
        <f t="shared" si="67"/>
        <v>.</v>
      </c>
      <c r="D4292" s="44"/>
      <c r="E4292" s="22" t="str">
        <f>IF(D4292&lt;&gt;"",IFERROR(INDEX(Produtos!$C$4:$C$4996,MATCH(D4292,Produtos!$B$4:$B$4996,0)),"Produto não encontrado"),"")</f>
        <v/>
      </c>
    </row>
    <row r="4293" spans="1:5" x14ac:dyDescent="0.3">
      <c r="A4293" s="21" t="str">
        <f t="shared" si="67"/>
        <v>.</v>
      </c>
      <c r="D4293" s="44"/>
      <c r="E4293" s="22" t="str">
        <f>IF(D4293&lt;&gt;"",IFERROR(INDEX(Produtos!$C$4:$C$4996,MATCH(D4293,Produtos!$B$4:$B$4996,0)),"Produto não encontrado"),"")</f>
        <v/>
      </c>
    </row>
    <row r="4294" spans="1:5" x14ac:dyDescent="0.3">
      <c r="A4294" s="21" t="str">
        <f t="shared" si="67"/>
        <v>.</v>
      </c>
      <c r="D4294" s="44"/>
      <c r="E4294" s="22" t="str">
        <f>IF(D4294&lt;&gt;"",IFERROR(INDEX(Produtos!$C$4:$C$4996,MATCH(D4294,Produtos!$B$4:$B$4996,0)),"Produto não encontrado"),"")</f>
        <v/>
      </c>
    </row>
    <row r="4295" spans="1:5" x14ac:dyDescent="0.3">
      <c r="A4295" s="21" t="str">
        <f t="shared" si="67"/>
        <v>.</v>
      </c>
      <c r="D4295" s="44"/>
      <c r="E4295" s="22" t="str">
        <f>IF(D4295&lt;&gt;"",IFERROR(INDEX(Produtos!$C$4:$C$4996,MATCH(D4295,Produtos!$B$4:$B$4996,0)),"Produto não encontrado"),"")</f>
        <v/>
      </c>
    </row>
    <row r="4296" spans="1:5" x14ac:dyDescent="0.3">
      <c r="A4296" s="21" t="str">
        <f t="shared" si="67"/>
        <v>.</v>
      </c>
      <c r="D4296" s="44"/>
      <c r="E4296" s="22" t="str">
        <f>IF(D4296&lt;&gt;"",IFERROR(INDEX(Produtos!$C$4:$C$4996,MATCH(D4296,Produtos!$B$4:$B$4996,0)),"Produto não encontrado"),"")</f>
        <v/>
      </c>
    </row>
    <row r="4297" spans="1:5" x14ac:dyDescent="0.3">
      <c r="A4297" s="21" t="str">
        <f t="shared" si="67"/>
        <v>.</v>
      </c>
      <c r="D4297" s="44"/>
      <c r="E4297" s="22" t="str">
        <f>IF(D4297&lt;&gt;"",IFERROR(INDEX(Produtos!$C$4:$C$4996,MATCH(D4297,Produtos!$B$4:$B$4996,0)),"Produto não encontrado"),"")</f>
        <v/>
      </c>
    </row>
    <row r="4298" spans="1:5" x14ac:dyDescent="0.3">
      <c r="A4298" s="21" t="str">
        <f t="shared" si="67"/>
        <v>.</v>
      </c>
      <c r="D4298" s="44"/>
      <c r="E4298" s="22" t="str">
        <f>IF(D4298&lt;&gt;"",IFERROR(INDEX(Produtos!$C$4:$C$4996,MATCH(D4298,Produtos!$B$4:$B$4996,0)),"Produto não encontrado"),"")</f>
        <v/>
      </c>
    </row>
    <row r="4299" spans="1:5" x14ac:dyDescent="0.3">
      <c r="A4299" s="21" t="str">
        <f t="shared" si="67"/>
        <v>.</v>
      </c>
      <c r="D4299" s="44"/>
      <c r="E4299" s="22" t="str">
        <f>IF(D4299&lt;&gt;"",IFERROR(INDEX(Produtos!$C$4:$C$4996,MATCH(D4299,Produtos!$B$4:$B$4996,0)),"Produto não encontrado"),"")</f>
        <v/>
      </c>
    </row>
    <row r="4300" spans="1:5" x14ac:dyDescent="0.3">
      <c r="A4300" s="21" t="str">
        <f t="shared" si="67"/>
        <v>.</v>
      </c>
      <c r="D4300" s="44"/>
      <c r="E4300" s="22" t="str">
        <f>IF(D4300&lt;&gt;"",IFERROR(INDEX(Produtos!$C$4:$C$4996,MATCH(D4300,Produtos!$B$4:$B$4996,0)),"Produto não encontrado"),"")</f>
        <v/>
      </c>
    </row>
    <row r="4301" spans="1:5" x14ac:dyDescent="0.3">
      <c r="A4301" s="21" t="str">
        <f t="shared" si="67"/>
        <v>.</v>
      </c>
      <c r="D4301" s="44"/>
      <c r="E4301" s="22" t="str">
        <f>IF(D4301&lt;&gt;"",IFERROR(INDEX(Produtos!$C$4:$C$4996,MATCH(D4301,Produtos!$B$4:$B$4996,0)),"Produto não encontrado"),"")</f>
        <v/>
      </c>
    </row>
    <row r="4302" spans="1:5" x14ac:dyDescent="0.3">
      <c r="A4302" s="21" t="str">
        <f t="shared" si="67"/>
        <v>.</v>
      </c>
      <c r="D4302" s="44"/>
      <c r="E4302" s="22" t="str">
        <f>IF(D4302&lt;&gt;"",IFERROR(INDEX(Produtos!$C$4:$C$4996,MATCH(D4302,Produtos!$B$4:$B$4996,0)),"Produto não encontrado"),"")</f>
        <v/>
      </c>
    </row>
    <row r="4303" spans="1:5" x14ac:dyDescent="0.3">
      <c r="A4303" s="21" t="str">
        <f t="shared" si="67"/>
        <v>.</v>
      </c>
      <c r="D4303" s="44"/>
      <c r="E4303" s="22" t="str">
        <f>IF(D4303&lt;&gt;"",IFERROR(INDEX(Produtos!$C$4:$C$4996,MATCH(D4303,Produtos!$B$4:$B$4996,0)),"Produto não encontrado"),"")</f>
        <v/>
      </c>
    </row>
    <row r="4304" spans="1:5" x14ac:dyDescent="0.3">
      <c r="A4304" s="21" t="str">
        <f t="shared" si="67"/>
        <v>.</v>
      </c>
      <c r="D4304" s="44"/>
      <c r="E4304" s="22" t="str">
        <f>IF(D4304&lt;&gt;"",IFERROR(INDEX(Produtos!$C$4:$C$4996,MATCH(D4304,Produtos!$B$4:$B$4996,0)),"Produto não encontrado"),"")</f>
        <v/>
      </c>
    </row>
    <row r="4305" spans="1:5" x14ac:dyDescent="0.3">
      <c r="A4305" s="21" t="str">
        <f t="shared" si="67"/>
        <v>.</v>
      </c>
      <c r="D4305" s="44"/>
      <c r="E4305" s="22" t="str">
        <f>IF(D4305&lt;&gt;"",IFERROR(INDEX(Produtos!$C$4:$C$4996,MATCH(D4305,Produtos!$B$4:$B$4996,0)),"Produto não encontrado"),"")</f>
        <v/>
      </c>
    </row>
    <row r="4306" spans="1:5" x14ac:dyDescent="0.3">
      <c r="A4306" s="21" t="str">
        <f t="shared" si="67"/>
        <v>.</v>
      </c>
      <c r="D4306" s="44"/>
      <c r="E4306" s="22" t="str">
        <f>IF(D4306&lt;&gt;"",IFERROR(INDEX(Produtos!$C$4:$C$4996,MATCH(D4306,Produtos!$B$4:$B$4996,0)),"Produto não encontrado"),"")</f>
        <v/>
      </c>
    </row>
    <row r="4307" spans="1:5" x14ac:dyDescent="0.3">
      <c r="A4307" s="21" t="str">
        <f t="shared" si="67"/>
        <v>.</v>
      </c>
      <c r="D4307" s="44"/>
      <c r="E4307" s="22" t="str">
        <f>IF(D4307&lt;&gt;"",IFERROR(INDEX(Produtos!$C$4:$C$4996,MATCH(D4307,Produtos!$B$4:$B$4996,0)),"Produto não encontrado"),"")</f>
        <v/>
      </c>
    </row>
    <row r="4308" spans="1:5" x14ac:dyDescent="0.3">
      <c r="A4308" s="21" t="str">
        <f t="shared" si="67"/>
        <v>.</v>
      </c>
      <c r="D4308" s="44"/>
      <c r="E4308" s="22" t="str">
        <f>IF(D4308&lt;&gt;"",IFERROR(INDEX(Produtos!$C$4:$C$4996,MATCH(D4308,Produtos!$B$4:$B$4996,0)),"Produto não encontrado"),"")</f>
        <v/>
      </c>
    </row>
    <row r="4309" spans="1:5" x14ac:dyDescent="0.3">
      <c r="A4309" s="21" t="str">
        <f t="shared" si="67"/>
        <v>.</v>
      </c>
      <c r="D4309" s="44"/>
      <c r="E4309" s="22" t="str">
        <f>IF(D4309&lt;&gt;"",IFERROR(INDEX(Produtos!$C$4:$C$4996,MATCH(D4309,Produtos!$B$4:$B$4996,0)),"Produto não encontrado"),"")</f>
        <v/>
      </c>
    </row>
    <row r="4310" spans="1:5" x14ac:dyDescent="0.3">
      <c r="A4310" s="21" t="str">
        <f t="shared" si="67"/>
        <v>.</v>
      </c>
      <c r="D4310" s="44"/>
      <c r="E4310" s="22" t="str">
        <f>IF(D4310&lt;&gt;"",IFERROR(INDEX(Produtos!$C$4:$C$4996,MATCH(D4310,Produtos!$B$4:$B$4996,0)),"Produto não encontrado"),"")</f>
        <v/>
      </c>
    </row>
    <row r="4311" spans="1:5" x14ac:dyDescent="0.3">
      <c r="A4311" s="21" t="str">
        <f t="shared" si="67"/>
        <v>.</v>
      </c>
      <c r="D4311" s="44"/>
      <c r="E4311" s="22" t="str">
        <f>IF(D4311&lt;&gt;"",IFERROR(INDEX(Produtos!$C$4:$C$4996,MATCH(D4311,Produtos!$B$4:$B$4996,0)),"Produto não encontrado"),"")</f>
        <v/>
      </c>
    </row>
    <row r="4312" spans="1:5" x14ac:dyDescent="0.3">
      <c r="A4312" s="21" t="str">
        <f t="shared" si="67"/>
        <v>.</v>
      </c>
      <c r="D4312" s="44"/>
      <c r="E4312" s="22" t="str">
        <f>IF(D4312&lt;&gt;"",IFERROR(INDEX(Produtos!$C$4:$C$4996,MATCH(D4312,Produtos!$B$4:$B$4996,0)),"Produto não encontrado"),"")</f>
        <v/>
      </c>
    </row>
    <row r="4313" spans="1:5" x14ac:dyDescent="0.3">
      <c r="A4313" s="21" t="str">
        <f t="shared" si="67"/>
        <v>.</v>
      </c>
      <c r="D4313" s="44"/>
      <c r="E4313" s="22" t="str">
        <f>IF(D4313&lt;&gt;"",IFERROR(INDEX(Produtos!$C$4:$C$4996,MATCH(D4313,Produtos!$B$4:$B$4996,0)),"Produto não encontrado"),"")</f>
        <v/>
      </c>
    </row>
    <row r="4314" spans="1:5" x14ac:dyDescent="0.3">
      <c r="A4314" s="21" t="str">
        <f t="shared" si="67"/>
        <v>.</v>
      </c>
      <c r="D4314" s="44"/>
      <c r="E4314" s="22" t="str">
        <f>IF(D4314&lt;&gt;"",IFERROR(INDEX(Produtos!$C$4:$C$4996,MATCH(D4314,Produtos!$B$4:$B$4996,0)),"Produto não encontrado"),"")</f>
        <v/>
      </c>
    </row>
    <row r="4315" spans="1:5" x14ac:dyDescent="0.3">
      <c r="A4315" s="21" t="str">
        <f t="shared" si="67"/>
        <v>.</v>
      </c>
      <c r="D4315" s="44"/>
      <c r="E4315" s="22" t="str">
        <f>IF(D4315&lt;&gt;"",IFERROR(INDEX(Produtos!$C$4:$C$4996,MATCH(D4315,Produtos!$B$4:$B$4996,0)),"Produto não encontrado"),"")</f>
        <v/>
      </c>
    </row>
    <row r="4316" spans="1:5" x14ac:dyDescent="0.3">
      <c r="A4316" s="21" t="str">
        <f t="shared" si="67"/>
        <v>.</v>
      </c>
      <c r="D4316" s="44"/>
      <c r="E4316" s="22" t="str">
        <f>IF(D4316&lt;&gt;"",IFERROR(INDEX(Produtos!$C$4:$C$4996,MATCH(D4316,Produtos!$B$4:$B$4996,0)),"Produto não encontrado"),"")</f>
        <v/>
      </c>
    </row>
    <row r="4317" spans="1:5" x14ac:dyDescent="0.3">
      <c r="A4317" s="21" t="str">
        <f t="shared" si="67"/>
        <v>.</v>
      </c>
      <c r="D4317" s="44"/>
      <c r="E4317" s="22" t="str">
        <f>IF(D4317&lt;&gt;"",IFERROR(INDEX(Produtos!$C$4:$C$4996,MATCH(D4317,Produtos!$B$4:$B$4996,0)),"Produto não encontrado"),"")</f>
        <v/>
      </c>
    </row>
    <row r="4318" spans="1:5" x14ac:dyDescent="0.3">
      <c r="A4318" s="21" t="str">
        <f t="shared" si="67"/>
        <v>.</v>
      </c>
      <c r="D4318" s="44"/>
      <c r="E4318" s="22" t="str">
        <f>IF(D4318&lt;&gt;"",IFERROR(INDEX(Produtos!$C$4:$C$4996,MATCH(D4318,Produtos!$B$4:$B$4996,0)),"Produto não encontrado"),"")</f>
        <v/>
      </c>
    </row>
    <row r="4319" spans="1:5" x14ac:dyDescent="0.3">
      <c r="A4319" s="21" t="str">
        <f t="shared" si="67"/>
        <v>.</v>
      </c>
      <c r="D4319" s="44"/>
      <c r="E4319" s="22" t="str">
        <f>IF(D4319&lt;&gt;"",IFERROR(INDEX(Produtos!$C$4:$C$4996,MATCH(D4319,Produtos!$B$4:$B$4996,0)),"Produto não encontrado"),"")</f>
        <v/>
      </c>
    </row>
    <row r="4320" spans="1:5" x14ac:dyDescent="0.3">
      <c r="A4320" s="21" t="str">
        <f t="shared" si="67"/>
        <v>.</v>
      </c>
      <c r="D4320" s="44"/>
      <c r="E4320" s="22" t="str">
        <f>IF(D4320&lt;&gt;"",IFERROR(INDEX(Produtos!$C$4:$C$4996,MATCH(D4320,Produtos!$B$4:$B$4996,0)),"Produto não encontrado"),"")</f>
        <v/>
      </c>
    </row>
    <row r="4321" spans="1:5" x14ac:dyDescent="0.3">
      <c r="A4321" s="21" t="str">
        <f t="shared" si="67"/>
        <v>.</v>
      </c>
      <c r="D4321" s="44"/>
      <c r="E4321" s="22" t="str">
        <f>IF(D4321&lt;&gt;"",IFERROR(INDEX(Produtos!$C$4:$C$4996,MATCH(D4321,Produtos!$B$4:$B$4996,0)),"Produto não encontrado"),"")</f>
        <v/>
      </c>
    </row>
    <row r="4322" spans="1:5" x14ac:dyDescent="0.3">
      <c r="A4322" s="21" t="str">
        <f t="shared" si="67"/>
        <v>.</v>
      </c>
      <c r="D4322" s="44"/>
      <c r="E4322" s="22" t="str">
        <f>IF(D4322&lt;&gt;"",IFERROR(INDEX(Produtos!$C$4:$C$4996,MATCH(D4322,Produtos!$B$4:$B$4996,0)),"Produto não encontrado"),"")</f>
        <v/>
      </c>
    </row>
    <row r="4323" spans="1:5" x14ac:dyDescent="0.3">
      <c r="A4323" s="21" t="str">
        <f t="shared" si="67"/>
        <v>.</v>
      </c>
      <c r="D4323" s="44"/>
      <c r="E4323" s="22" t="str">
        <f>IF(D4323&lt;&gt;"",IFERROR(INDEX(Produtos!$C$4:$C$4996,MATCH(D4323,Produtos!$B$4:$B$4996,0)),"Produto não encontrado"),"")</f>
        <v/>
      </c>
    </row>
    <row r="4324" spans="1:5" x14ac:dyDescent="0.3">
      <c r="A4324" s="21" t="str">
        <f t="shared" si="67"/>
        <v>.</v>
      </c>
      <c r="D4324" s="44"/>
      <c r="E4324" s="22" t="str">
        <f>IF(D4324&lt;&gt;"",IFERROR(INDEX(Produtos!$C$4:$C$4996,MATCH(D4324,Produtos!$B$4:$B$4996,0)),"Produto não encontrado"),"")</f>
        <v/>
      </c>
    </row>
    <row r="4325" spans="1:5" x14ac:dyDescent="0.3">
      <c r="A4325" s="21" t="str">
        <f t="shared" si="67"/>
        <v>.</v>
      </c>
      <c r="D4325" s="44"/>
      <c r="E4325" s="22" t="str">
        <f>IF(D4325&lt;&gt;"",IFERROR(INDEX(Produtos!$C$4:$C$4996,MATCH(D4325,Produtos!$B$4:$B$4996,0)),"Produto não encontrado"),"")</f>
        <v/>
      </c>
    </row>
    <row r="4326" spans="1:5" x14ac:dyDescent="0.3">
      <c r="A4326" s="21" t="str">
        <f t="shared" si="67"/>
        <v>.</v>
      </c>
      <c r="D4326" s="44"/>
      <c r="E4326" s="22" t="str">
        <f>IF(D4326&lt;&gt;"",IFERROR(INDEX(Produtos!$C$4:$C$4996,MATCH(D4326,Produtos!$B$4:$B$4996,0)),"Produto não encontrado"),"")</f>
        <v/>
      </c>
    </row>
    <row r="4327" spans="1:5" x14ac:dyDescent="0.3">
      <c r="A4327" s="21" t="str">
        <f t="shared" si="67"/>
        <v>.</v>
      </c>
      <c r="D4327" s="44"/>
      <c r="E4327" s="22" t="str">
        <f>IF(D4327&lt;&gt;"",IFERROR(INDEX(Produtos!$C$4:$C$4996,MATCH(D4327,Produtos!$B$4:$B$4996,0)),"Produto não encontrado"),"")</f>
        <v/>
      </c>
    </row>
    <row r="4328" spans="1:5" x14ac:dyDescent="0.3">
      <c r="A4328" s="21" t="str">
        <f t="shared" si="67"/>
        <v>.</v>
      </c>
      <c r="D4328" s="44"/>
      <c r="E4328" s="22" t="str">
        <f>IF(D4328&lt;&gt;"",IFERROR(INDEX(Produtos!$C$4:$C$4996,MATCH(D4328,Produtos!$B$4:$B$4996,0)),"Produto não encontrado"),"")</f>
        <v/>
      </c>
    </row>
    <row r="4329" spans="1:5" x14ac:dyDescent="0.3">
      <c r="A4329" s="21" t="str">
        <f t="shared" si="67"/>
        <v>.</v>
      </c>
      <c r="D4329" s="44"/>
      <c r="E4329" s="22" t="str">
        <f>IF(D4329&lt;&gt;"",IFERROR(INDEX(Produtos!$C$4:$C$4996,MATCH(D4329,Produtos!$B$4:$B$4996,0)),"Produto não encontrado"),"")</f>
        <v/>
      </c>
    </row>
    <row r="4330" spans="1:5" x14ac:dyDescent="0.3">
      <c r="A4330" s="21" t="str">
        <f t="shared" si="67"/>
        <v>.</v>
      </c>
      <c r="D4330" s="44"/>
      <c r="E4330" s="22" t="str">
        <f>IF(D4330&lt;&gt;"",IFERROR(INDEX(Produtos!$C$4:$C$4996,MATCH(D4330,Produtos!$B$4:$B$4996,0)),"Produto não encontrado"),"")</f>
        <v/>
      </c>
    </row>
    <row r="4331" spans="1:5" x14ac:dyDescent="0.3">
      <c r="A4331" s="21" t="str">
        <f t="shared" si="67"/>
        <v>.</v>
      </c>
      <c r="D4331" s="44"/>
      <c r="E4331" s="22" t="str">
        <f>IF(D4331&lt;&gt;"",IFERROR(INDEX(Produtos!$C$4:$C$4996,MATCH(D4331,Produtos!$B$4:$B$4996,0)),"Produto não encontrado"),"")</f>
        <v/>
      </c>
    </row>
    <row r="4332" spans="1:5" x14ac:dyDescent="0.3">
      <c r="A4332" s="21" t="str">
        <f t="shared" si="67"/>
        <v>.</v>
      </c>
      <c r="D4332" s="44"/>
      <c r="E4332" s="22" t="str">
        <f>IF(D4332&lt;&gt;"",IFERROR(INDEX(Produtos!$C$4:$C$4996,MATCH(D4332,Produtos!$B$4:$B$4996,0)),"Produto não encontrado"),"")</f>
        <v/>
      </c>
    </row>
    <row r="4333" spans="1:5" x14ac:dyDescent="0.3">
      <c r="A4333" s="21" t="str">
        <f t="shared" si="67"/>
        <v>.</v>
      </c>
      <c r="D4333" s="44"/>
      <c r="E4333" s="22" t="str">
        <f>IF(D4333&lt;&gt;"",IFERROR(INDEX(Produtos!$C$4:$C$4996,MATCH(D4333,Produtos!$B$4:$B$4996,0)),"Produto não encontrado"),"")</f>
        <v/>
      </c>
    </row>
    <row r="4334" spans="1:5" x14ac:dyDescent="0.3">
      <c r="A4334" s="21" t="str">
        <f t="shared" si="67"/>
        <v>.</v>
      </c>
      <c r="D4334" s="44"/>
      <c r="E4334" s="22" t="str">
        <f>IF(D4334&lt;&gt;"",IFERROR(INDEX(Produtos!$C$4:$C$4996,MATCH(D4334,Produtos!$B$4:$B$4996,0)),"Produto não encontrado"),"")</f>
        <v/>
      </c>
    </row>
    <row r="4335" spans="1:5" x14ac:dyDescent="0.3">
      <c r="A4335" s="21" t="str">
        <f t="shared" si="67"/>
        <v>.</v>
      </c>
      <c r="D4335" s="44"/>
      <c r="E4335" s="22" t="str">
        <f>IF(D4335&lt;&gt;"",IFERROR(INDEX(Produtos!$C$4:$C$4996,MATCH(D4335,Produtos!$B$4:$B$4996,0)),"Produto não encontrado"),"")</f>
        <v/>
      </c>
    </row>
    <row r="4336" spans="1:5" x14ac:dyDescent="0.3">
      <c r="A4336" s="21" t="str">
        <f t="shared" si="67"/>
        <v>.</v>
      </c>
      <c r="D4336" s="44"/>
      <c r="E4336" s="22" t="str">
        <f>IF(D4336&lt;&gt;"",IFERROR(INDEX(Produtos!$C$4:$C$4996,MATCH(D4336,Produtos!$B$4:$B$4996,0)),"Produto não encontrado"),"")</f>
        <v/>
      </c>
    </row>
    <row r="4337" spans="1:5" x14ac:dyDescent="0.3">
      <c r="A4337" s="21" t="str">
        <f t="shared" si="67"/>
        <v>.</v>
      </c>
      <c r="D4337" s="44"/>
      <c r="E4337" s="22" t="str">
        <f>IF(D4337&lt;&gt;"",IFERROR(INDEX(Produtos!$C$4:$C$4996,MATCH(D4337,Produtos!$B$4:$B$4996,0)),"Produto não encontrado"),"")</f>
        <v/>
      </c>
    </row>
    <row r="4338" spans="1:5" x14ac:dyDescent="0.3">
      <c r="A4338" s="21" t="str">
        <f t="shared" si="67"/>
        <v>.</v>
      </c>
      <c r="D4338" s="44"/>
      <c r="E4338" s="22" t="str">
        <f>IF(D4338&lt;&gt;"",IFERROR(INDEX(Produtos!$C$4:$C$4996,MATCH(D4338,Produtos!$B$4:$B$4996,0)),"Produto não encontrado"),"")</f>
        <v/>
      </c>
    </row>
    <row r="4339" spans="1:5" x14ac:dyDescent="0.3">
      <c r="A4339" s="21" t="str">
        <f t="shared" si="67"/>
        <v>.</v>
      </c>
      <c r="D4339" s="44"/>
      <c r="E4339" s="22" t="str">
        <f>IF(D4339&lt;&gt;"",IFERROR(INDEX(Produtos!$C$4:$C$4996,MATCH(D4339,Produtos!$B$4:$B$4996,0)),"Produto não encontrado"),"")</f>
        <v/>
      </c>
    </row>
    <row r="4340" spans="1:5" x14ac:dyDescent="0.3">
      <c r="A4340" s="21" t="str">
        <f t="shared" si="67"/>
        <v>.</v>
      </c>
      <c r="D4340" s="44"/>
      <c r="E4340" s="22" t="str">
        <f>IF(D4340&lt;&gt;"",IFERROR(INDEX(Produtos!$C$4:$C$4996,MATCH(D4340,Produtos!$B$4:$B$4996,0)),"Produto não encontrado"),"")</f>
        <v/>
      </c>
    </row>
    <row r="4341" spans="1:5" x14ac:dyDescent="0.3">
      <c r="A4341" s="21" t="str">
        <f t="shared" si="67"/>
        <v>.</v>
      </c>
      <c r="D4341" s="44"/>
      <c r="E4341" s="22" t="str">
        <f>IF(D4341&lt;&gt;"",IFERROR(INDEX(Produtos!$C$4:$C$4996,MATCH(D4341,Produtos!$B$4:$B$4996,0)),"Produto não encontrado"),"")</f>
        <v/>
      </c>
    </row>
    <row r="4342" spans="1:5" x14ac:dyDescent="0.3">
      <c r="A4342" s="21" t="str">
        <f t="shared" si="67"/>
        <v>.</v>
      </c>
      <c r="D4342" s="44"/>
      <c r="E4342" s="22" t="str">
        <f>IF(D4342&lt;&gt;"",IFERROR(INDEX(Produtos!$C$4:$C$4996,MATCH(D4342,Produtos!$B$4:$B$4996,0)),"Produto não encontrado"),"")</f>
        <v/>
      </c>
    </row>
    <row r="4343" spans="1:5" x14ac:dyDescent="0.3">
      <c r="A4343" s="21" t="str">
        <f t="shared" si="67"/>
        <v>.</v>
      </c>
      <c r="D4343" s="44"/>
      <c r="E4343" s="22" t="str">
        <f>IF(D4343&lt;&gt;"",IFERROR(INDEX(Produtos!$C$4:$C$4996,MATCH(D4343,Produtos!$B$4:$B$4996,0)),"Produto não encontrado"),"")</f>
        <v/>
      </c>
    </row>
    <row r="4344" spans="1:5" x14ac:dyDescent="0.3">
      <c r="A4344" s="21" t="str">
        <f t="shared" si="67"/>
        <v>.</v>
      </c>
      <c r="D4344" s="44"/>
      <c r="E4344" s="22" t="str">
        <f>IF(D4344&lt;&gt;"",IFERROR(INDEX(Produtos!$C$4:$C$4996,MATCH(D4344,Produtos!$B$4:$B$4996,0)),"Produto não encontrado"),"")</f>
        <v/>
      </c>
    </row>
    <row r="4345" spans="1:5" x14ac:dyDescent="0.3">
      <c r="A4345" s="21" t="str">
        <f t="shared" si="67"/>
        <v>.</v>
      </c>
      <c r="D4345" s="44"/>
      <c r="E4345" s="22" t="str">
        <f>IF(D4345&lt;&gt;"",IFERROR(INDEX(Produtos!$C$4:$C$4996,MATCH(D4345,Produtos!$B$4:$B$4996,0)),"Produto não encontrado"),"")</f>
        <v/>
      </c>
    </row>
    <row r="4346" spans="1:5" x14ac:dyDescent="0.3">
      <c r="A4346" s="21" t="str">
        <f t="shared" si="67"/>
        <v>.</v>
      </c>
      <c r="D4346" s="44"/>
      <c r="E4346" s="22" t="str">
        <f>IF(D4346&lt;&gt;"",IFERROR(INDEX(Produtos!$C$4:$C$4996,MATCH(D4346,Produtos!$B$4:$B$4996,0)),"Produto não encontrado"),"")</f>
        <v/>
      </c>
    </row>
    <row r="4347" spans="1:5" x14ac:dyDescent="0.3">
      <c r="A4347" s="21" t="str">
        <f t="shared" si="67"/>
        <v>.</v>
      </c>
      <c r="D4347" s="44"/>
      <c r="E4347" s="22" t="str">
        <f>IF(D4347&lt;&gt;"",IFERROR(INDEX(Produtos!$C$4:$C$4996,MATCH(D4347,Produtos!$B$4:$B$4996,0)),"Produto não encontrado"),"")</f>
        <v/>
      </c>
    </row>
    <row r="4348" spans="1:5" x14ac:dyDescent="0.3">
      <c r="A4348" s="21" t="str">
        <f t="shared" si="67"/>
        <v>.</v>
      </c>
      <c r="D4348" s="44"/>
      <c r="E4348" s="22" t="str">
        <f>IF(D4348&lt;&gt;"",IFERROR(INDEX(Produtos!$C$4:$C$4996,MATCH(D4348,Produtos!$B$4:$B$4996,0)),"Produto não encontrado"),"")</f>
        <v/>
      </c>
    </row>
    <row r="4349" spans="1:5" x14ac:dyDescent="0.3">
      <c r="A4349" s="21" t="str">
        <f t="shared" si="67"/>
        <v>.</v>
      </c>
      <c r="D4349" s="44"/>
      <c r="E4349" s="22" t="str">
        <f>IF(D4349&lt;&gt;"",IFERROR(INDEX(Produtos!$C$4:$C$4996,MATCH(D4349,Produtos!$B$4:$B$4996,0)),"Produto não encontrado"),"")</f>
        <v/>
      </c>
    </row>
    <row r="4350" spans="1:5" x14ac:dyDescent="0.3">
      <c r="A4350" s="21" t="str">
        <f t="shared" si="67"/>
        <v>.</v>
      </c>
      <c r="D4350" s="44"/>
      <c r="E4350" s="22" t="str">
        <f>IF(D4350&lt;&gt;"",IFERROR(INDEX(Produtos!$C$4:$C$4996,MATCH(D4350,Produtos!$B$4:$B$4996,0)),"Produto não encontrado"),"")</f>
        <v/>
      </c>
    </row>
    <row r="4351" spans="1:5" x14ac:dyDescent="0.3">
      <c r="A4351" s="21" t="str">
        <f t="shared" si="67"/>
        <v>.</v>
      </c>
      <c r="D4351" s="44"/>
      <c r="E4351" s="22" t="str">
        <f>IF(D4351&lt;&gt;"",IFERROR(INDEX(Produtos!$C$4:$C$4996,MATCH(D4351,Produtos!$B$4:$B$4996,0)),"Produto não encontrado"),"")</f>
        <v/>
      </c>
    </row>
    <row r="4352" spans="1:5" x14ac:dyDescent="0.3">
      <c r="A4352" s="21" t="str">
        <f t="shared" ref="A4352:A4415" si="68">IF(C4352="Entrada",2,IF(C4352="Saída",1,"."))</f>
        <v>.</v>
      </c>
      <c r="D4352" s="44"/>
      <c r="E4352" s="22" t="str">
        <f>IF(D4352&lt;&gt;"",IFERROR(INDEX(Produtos!$C$4:$C$4996,MATCH(D4352,Produtos!$B$4:$B$4996,0)),"Produto não encontrado"),"")</f>
        <v/>
      </c>
    </row>
    <row r="4353" spans="1:5" x14ac:dyDescent="0.3">
      <c r="A4353" s="21" t="str">
        <f t="shared" si="68"/>
        <v>.</v>
      </c>
      <c r="D4353" s="44"/>
      <c r="E4353" s="22" t="str">
        <f>IF(D4353&lt;&gt;"",IFERROR(INDEX(Produtos!$C$4:$C$4996,MATCH(D4353,Produtos!$B$4:$B$4996,0)),"Produto não encontrado"),"")</f>
        <v/>
      </c>
    </row>
    <row r="4354" spans="1:5" x14ac:dyDescent="0.3">
      <c r="A4354" s="21" t="str">
        <f t="shared" si="68"/>
        <v>.</v>
      </c>
      <c r="D4354" s="44"/>
      <c r="E4354" s="22" t="str">
        <f>IF(D4354&lt;&gt;"",IFERROR(INDEX(Produtos!$C$4:$C$4996,MATCH(D4354,Produtos!$B$4:$B$4996,0)),"Produto não encontrado"),"")</f>
        <v/>
      </c>
    </row>
    <row r="4355" spans="1:5" x14ac:dyDescent="0.3">
      <c r="A4355" s="21" t="str">
        <f t="shared" si="68"/>
        <v>.</v>
      </c>
      <c r="D4355" s="44"/>
      <c r="E4355" s="22" t="str">
        <f>IF(D4355&lt;&gt;"",IFERROR(INDEX(Produtos!$C$4:$C$4996,MATCH(D4355,Produtos!$B$4:$B$4996,0)),"Produto não encontrado"),"")</f>
        <v/>
      </c>
    </row>
    <row r="4356" spans="1:5" x14ac:dyDescent="0.3">
      <c r="A4356" s="21" t="str">
        <f t="shared" si="68"/>
        <v>.</v>
      </c>
      <c r="D4356" s="44"/>
      <c r="E4356" s="22" t="str">
        <f>IF(D4356&lt;&gt;"",IFERROR(INDEX(Produtos!$C$4:$C$4996,MATCH(D4356,Produtos!$B$4:$B$4996,0)),"Produto não encontrado"),"")</f>
        <v/>
      </c>
    </row>
    <row r="4357" spans="1:5" x14ac:dyDescent="0.3">
      <c r="A4357" s="21" t="str">
        <f t="shared" si="68"/>
        <v>.</v>
      </c>
      <c r="D4357" s="44"/>
      <c r="E4357" s="22" t="str">
        <f>IF(D4357&lt;&gt;"",IFERROR(INDEX(Produtos!$C$4:$C$4996,MATCH(D4357,Produtos!$B$4:$B$4996,0)),"Produto não encontrado"),"")</f>
        <v/>
      </c>
    </row>
    <row r="4358" spans="1:5" x14ac:dyDescent="0.3">
      <c r="A4358" s="21" t="str">
        <f t="shared" si="68"/>
        <v>.</v>
      </c>
      <c r="D4358" s="44"/>
      <c r="E4358" s="22" t="str">
        <f>IF(D4358&lt;&gt;"",IFERROR(INDEX(Produtos!$C$4:$C$4996,MATCH(D4358,Produtos!$B$4:$B$4996,0)),"Produto não encontrado"),"")</f>
        <v/>
      </c>
    </row>
    <row r="4359" spans="1:5" x14ac:dyDescent="0.3">
      <c r="A4359" s="21" t="str">
        <f t="shared" si="68"/>
        <v>.</v>
      </c>
      <c r="D4359" s="44"/>
      <c r="E4359" s="22" t="str">
        <f>IF(D4359&lt;&gt;"",IFERROR(INDEX(Produtos!$C$4:$C$4996,MATCH(D4359,Produtos!$B$4:$B$4996,0)),"Produto não encontrado"),"")</f>
        <v/>
      </c>
    </row>
    <row r="4360" spans="1:5" x14ac:dyDescent="0.3">
      <c r="A4360" s="21" t="str">
        <f t="shared" si="68"/>
        <v>.</v>
      </c>
      <c r="D4360" s="44"/>
      <c r="E4360" s="22" t="str">
        <f>IF(D4360&lt;&gt;"",IFERROR(INDEX(Produtos!$C$4:$C$4996,MATCH(D4360,Produtos!$B$4:$B$4996,0)),"Produto não encontrado"),"")</f>
        <v/>
      </c>
    </row>
    <row r="4361" spans="1:5" x14ac:dyDescent="0.3">
      <c r="A4361" s="21" t="str">
        <f t="shared" si="68"/>
        <v>.</v>
      </c>
      <c r="D4361" s="44"/>
      <c r="E4361" s="22" t="str">
        <f>IF(D4361&lt;&gt;"",IFERROR(INDEX(Produtos!$C$4:$C$4996,MATCH(D4361,Produtos!$B$4:$B$4996,0)),"Produto não encontrado"),"")</f>
        <v/>
      </c>
    </row>
    <row r="4362" spans="1:5" x14ac:dyDescent="0.3">
      <c r="A4362" s="21" t="str">
        <f t="shared" si="68"/>
        <v>.</v>
      </c>
      <c r="D4362" s="44"/>
      <c r="E4362" s="22" t="str">
        <f>IF(D4362&lt;&gt;"",IFERROR(INDEX(Produtos!$C$4:$C$4996,MATCH(D4362,Produtos!$B$4:$B$4996,0)),"Produto não encontrado"),"")</f>
        <v/>
      </c>
    </row>
    <row r="4363" spans="1:5" x14ac:dyDescent="0.3">
      <c r="A4363" s="21" t="str">
        <f t="shared" si="68"/>
        <v>.</v>
      </c>
      <c r="D4363" s="44"/>
      <c r="E4363" s="22" t="str">
        <f>IF(D4363&lt;&gt;"",IFERROR(INDEX(Produtos!$C$4:$C$4996,MATCH(D4363,Produtos!$B$4:$B$4996,0)),"Produto não encontrado"),"")</f>
        <v/>
      </c>
    </row>
    <row r="4364" spans="1:5" x14ac:dyDescent="0.3">
      <c r="A4364" s="21" t="str">
        <f t="shared" si="68"/>
        <v>.</v>
      </c>
      <c r="D4364" s="44"/>
      <c r="E4364" s="22" t="str">
        <f>IF(D4364&lt;&gt;"",IFERROR(INDEX(Produtos!$C$4:$C$4996,MATCH(D4364,Produtos!$B$4:$B$4996,0)),"Produto não encontrado"),"")</f>
        <v/>
      </c>
    </row>
    <row r="4365" spans="1:5" x14ac:dyDescent="0.3">
      <c r="A4365" s="21" t="str">
        <f t="shared" si="68"/>
        <v>.</v>
      </c>
      <c r="D4365" s="44"/>
      <c r="E4365" s="22" t="str">
        <f>IF(D4365&lt;&gt;"",IFERROR(INDEX(Produtos!$C$4:$C$4996,MATCH(D4365,Produtos!$B$4:$B$4996,0)),"Produto não encontrado"),"")</f>
        <v/>
      </c>
    </row>
    <row r="4366" spans="1:5" x14ac:dyDescent="0.3">
      <c r="A4366" s="21" t="str">
        <f t="shared" si="68"/>
        <v>.</v>
      </c>
      <c r="D4366" s="44"/>
      <c r="E4366" s="22" t="str">
        <f>IF(D4366&lt;&gt;"",IFERROR(INDEX(Produtos!$C$4:$C$4996,MATCH(D4366,Produtos!$B$4:$B$4996,0)),"Produto não encontrado"),"")</f>
        <v/>
      </c>
    </row>
    <row r="4367" spans="1:5" x14ac:dyDescent="0.3">
      <c r="A4367" s="21" t="str">
        <f t="shared" si="68"/>
        <v>.</v>
      </c>
      <c r="D4367" s="44"/>
      <c r="E4367" s="22" t="str">
        <f>IF(D4367&lt;&gt;"",IFERROR(INDEX(Produtos!$C$4:$C$4996,MATCH(D4367,Produtos!$B$4:$B$4996,0)),"Produto não encontrado"),"")</f>
        <v/>
      </c>
    </row>
    <row r="4368" spans="1:5" x14ac:dyDescent="0.3">
      <c r="A4368" s="21" t="str">
        <f t="shared" si="68"/>
        <v>.</v>
      </c>
      <c r="D4368" s="44"/>
      <c r="E4368" s="22" t="str">
        <f>IF(D4368&lt;&gt;"",IFERROR(INDEX(Produtos!$C$4:$C$4996,MATCH(D4368,Produtos!$B$4:$B$4996,0)),"Produto não encontrado"),"")</f>
        <v/>
      </c>
    </row>
    <row r="4369" spans="1:5" x14ac:dyDescent="0.3">
      <c r="A4369" s="21" t="str">
        <f t="shared" si="68"/>
        <v>.</v>
      </c>
      <c r="D4369" s="44"/>
      <c r="E4369" s="22" t="str">
        <f>IF(D4369&lt;&gt;"",IFERROR(INDEX(Produtos!$C$4:$C$4996,MATCH(D4369,Produtos!$B$4:$B$4996,0)),"Produto não encontrado"),"")</f>
        <v/>
      </c>
    </row>
    <row r="4370" spans="1:5" x14ac:dyDescent="0.3">
      <c r="A4370" s="21" t="str">
        <f t="shared" si="68"/>
        <v>.</v>
      </c>
      <c r="D4370" s="44"/>
      <c r="E4370" s="22" t="str">
        <f>IF(D4370&lt;&gt;"",IFERROR(INDEX(Produtos!$C$4:$C$4996,MATCH(D4370,Produtos!$B$4:$B$4996,0)),"Produto não encontrado"),"")</f>
        <v/>
      </c>
    </row>
    <row r="4371" spans="1:5" x14ac:dyDescent="0.3">
      <c r="A4371" s="21" t="str">
        <f t="shared" si="68"/>
        <v>.</v>
      </c>
      <c r="D4371" s="44"/>
      <c r="E4371" s="22" t="str">
        <f>IF(D4371&lt;&gt;"",IFERROR(INDEX(Produtos!$C$4:$C$4996,MATCH(D4371,Produtos!$B$4:$B$4996,0)),"Produto não encontrado"),"")</f>
        <v/>
      </c>
    </row>
    <row r="4372" spans="1:5" x14ac:dyDescent="0.3">
      <c r="A4372" s="21" t="str">
        <f t="shared" si="68"/>
        <v>.</v>
      </c>
      <c r="D4372" s="44"/>
      <c r="E4372" s="22" t="str">
        <f>IF(D4372&lt;&gt;"",IFERROR(INDEX(Produtos!$C$4:$C$4996,MATCH(D4372,Produtos!$B$4:$B$4996,0)),"Produto não encontrado"),"")</f>
        <v/>
      </c>
    </row>
    <row r="4373" spans="1:5" x14ac:dyDescent="0.3">
      <c r="A4373" s="21" t="str">
        <f t="shared" si="68"/>
        <v>.</v>
      </c>
      <c r="D4373" s="44"/>
      <c r="E4373" s="22" t="str">
        <f>IF(D4373&lt;&gt;"",IFERROR(INDEX(Produtos!$C$4:$C$4996,MATCH(D4373,Produtos!$B$4:$B$4996,0)),"Produto não encontrado"),"")</f>
        <v/>
      </c>
    </row>
    <row r="4374" spans="1:5" x14ac:dyDescent="0.3">
      <c r="A4374" s="21" t="str">
        <f t="shared" si="68"/>
        <v>.</v>
      </c>
      <c r="D4374" s="44"/>
      <c r="E4374" s="22" t="str">
        <f>IF(D4374&lt;&gt;"",IFERROR(INDEX(Produtos!$C$4:$C$4996,MATCH(D4374,Produtos!$B$4:$B$4996,0)),"Produto não encontrado"),"")</f>
        <v/>
      </c>
    </row>
    <row r="4375" spans="1:5" x14ac:dyDescent="0.3">
      <c r="A4375" s="21" t="str">
        <f t="shared" si="68"/>
        <v>.</v>
      </c>
      <c r="D4375" s="44"/>
      <c r="E4375" s="22" t="str">
        <f>IF(D4375&lt;&gt;"",IFERROR(INDEX(Produtos!$C$4:$C$4996,MATCH(D4375,Produtos!$B$4:$B$4996,0)),"Produto não encontrado"),"")</f>
        <v/>
      </c>
    </row>
    <row r="4376" spans="1:5" x14ac:dyDescent="0.3">
      <c r="A4376" s="21" t="str">
        <f t="shared" si="68"/>
        <v>.</v>
      </c>
      <c r="D4376" s="44"/>
      <c r="E4376" s="22" t="str">
        <f>IF(D4376&lt;&gt;"",IFERROR(INDEX(Produtos!$C$4:$C$4996,MATCH(D4376,Produtos!$B$4:$B$4996,0)),"Produto não encontrado"),"")</f>
        <v/>
      </c>
    </row>
    <row r="4377" spans="1:5" x14ac:dyDescent="0.3">
      <c r="A4377" s="21" t="str">
        <f t="shared" si="68"/>
        <v>.</v>
      </c>
      <c r="D4377" s="44"/>
      <c r="E4377" s="22" t="str">
        <f>IF(D4377&lt;&gt;"",IFERROR(INDEX(Produtos!$C$4:$C$4996,MATCH(D4377,Produtos!$B$4:$B$4996,0)),"Produto não encontrado"),"")</f>
        <v/>
      </c>
    </row>
    <row r="4378" spans="1:5" x14ac:dyDescent="0.3">
      <c r="A4378" s="21" t="str">
        <f t="shared" si="68"/>
        <v>.</v>
      </c>
      <c r="D4378" s="44"/>
      <c r="E4378" s="22" t="str">
        <f>IF(D4378&lt;&gt;"",IFERROR(INDEX(Produtos!$C$4:$C$4996,MATCH(D4378,Produtos!$B$4:$B$4996,0)),"Produto não encontrado"),"")</f>
        <v/>
      </c>
    </row>
    <row r="4379" spans="1:5" x14ac:dyDescent="0.3">
      <c r="A4379" s="21" t="str">
        <f t="shared" si="68"/>
        <v>.</v>
      </c>
      <c r="D4379" s="44"/>
      <c r="E4379" s="22" t="str">
        <f>IF(D4379&lt;&gt;"",IFERROR(INDEX(Produtos!$C$4:$C$4996,MATCH(D4379,Produtos!$B$4:$B$4996,0)),"Produto não encontrado"),"")</f>
        <v/>
      </c>
    </row>
    <row r="4380" spans="1:5" x14ac:dyDescent="0.3">
      <c r="A4380" s="21" t="str">
        <f t="shared" si="68"/>
        <v>.</v>
      </c>
      <c r="D4380" s="44"/>
      <c r="E4380" s="22" t="str">
        <f>IF(D4380&lt;&gt;"",IFERROR(INDEX(Produtos!$C$4:$C$4996,MATCH(D4380,Produtos!$B$4:$B$4996,0)),"Produto não encontrado"),"")</f>
        <v/>
      </c>
    </row>
    <row r="4381" spans="1:5" x14ac:dyDescent="0.3">
      <c r="A4381" s="21" t="str">
        <f t="shared" si="68"/>
        <v>.</v>
      </c>
      <c r="D4381" s="44"/>
      <c r="E4381" s="22" t="str">
        <f>IF(D4381&lt;&gt;"",IFERROR(INDEX(Produtos!$C$4:$C$4996,MATCH(D4381,Produtos!$B$4:$B$4996,0)),"Produto não encontrado"),"")</f>
        <v/>
      </c>
    </row>
    <row r="4382" spans="1:5" x14ac:dyDescent="0.3">
      <c r="A4382" s="21" t="str">
        <f t="shared" si="68"/>
        <v>.</v>
      </c>
      <c r="D4382" s="44"/>
      <c r="E4382" s="22" t="str">
        <f>IF(D4382&lt;&gt;"",IFERROR(INDEX(Produtos!$C$4:$C$4996,MATCH(D4382,Produtos!$B$4:$B$4996,0)),"Produto não encontrado"),"")</f>
        <v/>
      </c>
    </row>
    <row r="4383" spans="1:5" x14ac:dyDescent="0.3">
      <c r="A4383" s="21" t="str">
        <f t="shared" si="68"/>
        <v>.</v>
      </c>
      <c r="D4383" s="44"/>
      <c r="E4383" s="22" t="str">
        <f>IF(D4383&lt;&gt;"",IFERROR(INDEX(Produtos!$C$4:$C$4996,MATCH(D4383,Produtos!$B$4:$B$4996,0)),"Produto não encontrado"),"")</f>
        <v/>
      </c>
    </row>
    <row r="4384" spans="1:5" x14ac:dyDescent="0.3">
      <c r="A4384" s="21" t="str">
        <f t="shared" si="68"/>
        <v>.</v>
      </c>
      <c r="D4384" s="44"/>
      <c r="E4384" s="22" t="str">
        <f>IF(D4384&lt;&gt;"",IFERROR(INDEX(Produtos!$C$4:$C$4996,MATCH(D4384,Produtos!$B$4:$B$4996,0)),"Produto não encontrado"),"")</f>
        <v/>
      </c>
    </row>
    <row r="4385" spans="1:5" x14ac:dyDescent="0.3">
      <c r="A4385" s="21" t="str">
        <f t="shared" si="68"/>
        <v>.</v>
      </c>
      <c r="D4385" s="44"/>
      <c r="E4385" s="22" t="str">
        <f>IF(D4385&lt;&gt;"",IFERROR(INDEX(Produtos!$C$4:$C$4996,MATCH(D4385,Produtos!$B$4:$B$4996,0)),"Produto não encontrado"),"")</f>
        <v/>
      </c>
    </row>
    <row r="4386" spans="1:5" x14ac:dyDescent="0.3">
      <c r="A4386" s="21" t="str">
        <f t="shared" si="68"/>
        <v>.</v>
      </c>
      <c r="D4386" s="44"/>
      <c r="E4386" s="22" t="str">
        <f>IF(D4386&lt;&gt;"",IFERROR(INDEX(Produtos!$C$4:$C$4996,MATCH(D4386,Produtos!$B$4:$B$4996,0)),"Produto não encontrado"),"")</f>
        <v/>
      </c>
    </row>
    <row r="4387" spans="1:5" x14ac:dyDescent="0.3">
      <c r="A4387" s="21" t="str">
        <f t="shared" si="68"/>
        <v>.</v>
      </c>
      <c r="D4387" s="44"/>
      <c r="E4387" s="22" t="str">
        <f>IF(D4387&lt;&gt;"",IFERROR(INDEX(Produtos!$C$4:$C$4996,MATCH(D4387,Produtos!$B$4:$B$4996,0)),"Produto não encontrado"),"")</f>
        <v/>
      </c>
    </row>
    <row r="4388" spans="1:5" x14ac:dyDescent="0.3">
      <c r="A4388" s="21" t="str">
        <f t="shared" si="68"/>
        <v>.</v>
      </c>
      <c r="D4388" s="44"/>
      <c r="E4388" s="22" t="str">
        <f>IF(D4388&lt;&gt;"",IFERROR(INDEX(Produtos!$C$4:$C$4996,MATCH(D4388,Produtos!$B$4:$B$4996,0)),"Produto não encontrado"),"")</f>
        <v/>
      </c>
    </row>
    <row r="4389" spans="1:5" x14ac:dyDescent="0.3">
      <c r="A4389" s="21" t="str">
        <f t="shared" si="68"/>
        <v>.</v>
      </c>
      <c r="D4389" s="44"/>
      <c r="E4389" s="22" t="str">
        <f>IF(D4389&lt;&gt;"",IFERROR(INDEX(Produtos!$C$4:$C$4996,MATCH(D4389,Produtos!$B$4:$B$4996,0)),"Produto não encontrado"),"")</f>
        <v/>
      </c>
    </row>
    <row r="4390" spans="1:5" x14ac:dyDescent="0.3">
      <c r="A4390" s="21" t="str">
        <f t="shared" si="68"/>
        <v>.</v>
      </c>
      <c r="D4390" s="44"/>
      <c r="E4390" s="22" t="str">
        <f>IF(D4390&lt;&gt;"",IFERROR(INDEX(Produtos!$C$4:$C$4996,MATCH(D4390,Produtos!$B$4:$B$4996,0)),"Produto não encontrado"),"")</f>
        <v/>
      </c>
    </row>
    <row r="4391" spans="1:5" x14ac:dyDescent="0.3">
      <c r="A4391" s="21" t="str">
        <f t="shared" si="68"/>
        <v>.</v>
      </c>
      <c r="D4391" s="44"/>
      <c r="E4391" s="22" t="str">
        <f>IF(D4391&lt;&gt;"",IFERROR(INDEX(Produtos!$C$4:$C$4996,MATCH(D4391,Produtos!$B$4:$B$4996,0)),"Produto não encontrado"),"")</f>
        <v/>
      </c>
    </row>
    <row r="4392" spans="1:5" x14ac:dyDescent="0.3">
      <c r="A4392" s="21" t="str">
        <f t="shared" si="68"/>
        <v>.</v>
      </c>
      <c r="D4392" s="44"/>
      <c r="E4392" s="22" t="str">
        <f>IF(D4392&lt;&gt;"",IFERROR(INDEX(Produtos!$C$4:$C$4996,MATCH(D4392,Produtos!$B$4:$B$4996,0)),"Produto não encontrado"),"")</f>
        <v/>
      </c>
    </row>
    <row r="4393" spans="1:5" x14ac:dyDescent="0.3">
      <c r="A4393" s="21" t="str">
        <f t="shared" si="68"/>
        <v>.</v>
      </c>
      <c r="D4393" s="44"/>
      <c r="E4393" s="22" t="str">
        <f>IF(D4393&lt;&gt;"",IFERROR(INDEX(Produtos!$C$4:$C$4996,MATCH(D4393,Produtos!$B$4:$B$4996,0)),"Produto não encontrado"),"")</f>
        <v/>
      </c>
    </row>
    <row r="4394" spans="1:5" x14ac:dyDescent="0.3">
      <c r="A4394" s="21" t="str">
        <f t="shared" si="68"/>
        <v>.</v>
      </c>
      <c r="D4394" s="44"/>
      <c r="E4394" s="22" t="str">
        <f>IF(D4394&lt;&gt;"",IFERROR(INDEX(Produtos!$C$4:$C$4996,MATCH(D4394,Produtos!$B$4:$B$4996,0)),"Produto não encontrado"),"")</f>
        <v/>
      </c>
    </row>
    <row r="4395" spans="1:5" x14ac:dyDescent="0.3">
      <c r="A4395" s="21" t="str">
        <f t="shared" si="68"/>
        <v>.</v>
      </c>
      <c r="D4395" s="44"/>
      <c r="E4395" s="22" t="str">
        <f>IF(D4395&lt;&gt;"",IFERROR(INDEX(Produtos!$C$4:$C$4996,MATCH(D4395,Produtos!$B$4:$B$4996,0)),"Produto não encontrado"),"")</f>
        <v/>
      </c>
    </row>
    <row r="4396" spans="1:5" x14ac:dyDescent="0.3">
      <c r="A4396" s="21" t="str">
        <f t="shared" si="68"/>
        <v>.</v>
      </c>
      <c r="D4396" s="44"/>
      <c r="E4396" s="22" t="str">
        <f>IF(D4396&lt;&gt;"",IFERROR(INDEX(Produtos!$C$4:$C$4996,MATCH(D4396,Produtos!$B$4:$B$4996,0)),"Produto não encontrado"),"")</f>
        <v/>
      </c>
    </row>
    <row r="4397" spans="1:5" x14ac:dyDescent="0.3">
      <c r="A4397" s="21" t="str">
        <f t="shared" si="68"/>
        <v>.</v>
      </c>
      <c r="D4397" s="44"/>
      <c r="E4397" s="22" t="str">
        <f>IF(D4397&lt;&gt;"",IFERROR(INDEX(Produtos!$C$4:$C$4996,MATCH(D4397,Produtos!$B$4:$B$4996,0)),"Produto não encontrado"),"")</f>
        <v/>
      </c>
    </row>
    <row r="4398" spans="1:5" x14ac:dyDescent="0.3">
      <c r="A4398" s="21" t="str">
        <f t="shared" si="68"/>
        <v>.</v>
      </c>
      <c r="D4398" s="44"/>
      <c r="E4398" s="22" t="str">
        <f>IF(D4398&lt;&gt;"",IFERROR(INDEX(Produtos!$C$4:$C$4996,MATCH(D4398,Produtos!$B$4:$B$4996,0)),"Produto não encontrado"),"")</f>
        <v/>
      </c>
    </row>
    <row r="4399" spans="1:5" x14ac:dyDescent="0.3">
      <c r="A4399" s="21" t="str">
        <f t="shared" si="68"/>
        <v>.</v>
      </c>
      <c r="D4399" s="44"/>
      <c r="E4399" s="22" t="str">
        <f>IF(D4399&lt;&gt;"",IFERROR(INDEX(Produtos!$C$4:$C$4996,MATCH(D4399,Produtos!$B$4:$B$4996,0)),"Produto não encontrado"),"")</f>
        <v/>
      </c>
    </row>
    <row r="4400" spans="1:5" x14ac:dyDescent="0.3">
      <c r="A4400" s="21" t="str">
        <f t="shared" si="68"/>
        <v>.</v>
      </c>
      <c r="D4400" s="44"/>
      <c r="E4400" s="22" t="str">
        <f>IF(D4400&lt;&gt;"",IFERROR(INDEX(Produtos!$C$4:$C$4996,MATCH(D4400,Produtos!$B$4:$B$4996,0)),"Produto não encontrado"),"")</f>
        <v/>
      </c>
    </row>
    <row r="4401" spans="1:5" x14ac:dyDescent="0.3">
      <c r="A4401" s="21" t="str">
        <f t="shared" si="68"/>
        <v>.</v>
      </c>
      <c r="D4401" s="44"/>
      <c r="E4401" s="22" t="str">
        <f>IF(D4401&lt;&gt;"",IFERROR(INDEX(Produtos!$C$4:$C$4996,MATCH(D4401,Produtos!$B$4:$B$4996,0)),"Produto não encontrado"),"")</f>
        <v/>
      </c>
    </row>
    <row r="4402" spans="1:5" x14ac:dyDescent="0.3">
      <c r="A4402" s="21" t="str">
        <f t="shared" si="68"/>
        <v>.</v>
      </c>
      <c r="D4402" s="44"/>
      <c r="E4402" s="22" t="str">
        <f>IF(D4402&lt;&gt;"",IFERROR(INDEX(Produtos!$C$4:$C$4996,MATCH(D4402,Produtos!$B$4:$B$4996,0)),"Produto não encontrado"),"")</f>
        <v/>
      </c>
    </row>
    <row r="4403" spans="1:5" x14ac:dyDescent="0.3">
      <c r="A4403" s="21" t="str">
        <f t="shared" si="68"/>
        <v>.</v>
      </c>
      <c r="D4403" s="44"/>
      <c r="E4403" s="22" t="str">
        <f>IF(D4403&lt;&gt;"",IFERROR(INDEX(Produtos!$C$4:$C$4996,MATCH(D4403,Produtos!$B$4:$B$4996,0)),"Produto não encontrado"),"")</f>
        <v/>
      </c>
    </row>
    <row r="4404" spans="1:5" x14ac:dyDescent="0.3">
      <c r="A4404" s="21" t="str">
        <f t="shared" si="68"/>
        <v>.</v>
      </c>
      <c r="D4404" s="44"/>
      <c r="E4404" s="22" t="str">
        <f>IF(D4404&lt;&gt;"",IFERROR(INDEX(Produtos!$C$4:$C$4996,MATCH(D4404,Produtos!$B$4:$B$4996,0)),"Produto não encontrado"),"")</f>
        <v/>
      </c>
    </row>
    <row r="4405" spans="1:5" x14ac:dyDescent="0.3">
      <c r="A4405" s="21" t="str">
        <f t="shared" si="68"/>
        <v>.</v>
      </c>
      <c r="D4405" s="44"/>
      <c r="E4405" s="22" t="str">
        <f>IF(D4405&lt;&gt;"",IFERROR(INDEX(Produtos!$C$4:$C$4996,MATCH(D4405,Produtos!$B$4:$B$4996,0)),"Produto não encontrado"),"")</f>
        <v/>
      </c>
    </row>
    <row r="4406" spans="1:5" x14ac:dyDescent="0.3">
      <c r="A4406" s="21" t="str">
        <f t="shared" si="68"/>
        <v>.</v>
      </c>
      <c r="D4406" s="44"/>
      <c r="E4406" s="22" t="str">
        <f>IF(D4406&lt;&gt;"",IFERROR(INDEX(Produtos!$C$4:$C$4996,MATCH(D4406,Produtos!$B$4:$B$4996,0)),"Produto não encontrado"),"")</f>
        <v/>
      </c>
    </row>
    <row r="4407" spans="1:5" x14ac:dyDescent="0.3">
      <c r="A4407" s="21" t="str">
        <f t="shared" si="68"/>
        <v>.</v>
      </c>
      <c r="D4407" s="44"/>
      <c r="E4407" s="22" t="str">
        <f>IF(D4407&lt;&gt;"",IFERROR(INDEX(Produtos!$C$4:$C$4996,MATCH(D4407,Produtos!$B$4:$B$4996,0)),"Produto não encontrado"),"")</f>
        <v/>
      </c>
    </row>
    <row r="4408" spans="1:5" x14ac:dyDescent="0.3">
      <c r="A4408" s="21" t="str">
        <f t="shared" si="68"/>
        <v>.</v>
      </c>
      <c r="D4408" s="44"/>
      <c r="E4408" s="22" t="str">
        <f>IF(D4408&lt;&gt;"",IFERROR(INDEX(Produtos!$C$4:$C$4996,MATCH(D4408,Produtos!$B$4:$B$4996,0)),"Produto não encontrado"),"")</f>
        <v/>
      </c>
    </row>
    <row r="4409" spans="1:5" x14ac:dyDescent="0.3">
      <c r="A4409" s="21" t="str">
        <f t="shared" si="68"/>
        <v>.</v>
      </c>
      <c r="D4409" s="44"/>
      <c r="E4409" s="22" t="str">
        <f>IF(D4409&lt;&gt;"",IFERROR(INDEX(Produtos!$C$4:$C$4996,MATCH(D4409,Produtos!$B$4:$B$4996,0)),"Produto não encontrado"),"")</f>
        <v/>
      </c>
    </row>
    <row r="4410" spans="1:5" x14ac:dyDescent="0.3">
      <c r="A4410" s="21" t="str">
        <f t="shared" si="68"/>
        <v>.</v>
      </c>
      <c r="D4410" s="44"/>
      <c r="E4410" s="22" t="str">
        <f>IF(D4410&lt;&gt;"",IFERROR(INDEX(Produtos!$C$4:$C$4996,MATCH(D4410,Produtos!$B$4:$B$4996,0)),"Produto não encontrado"),"")</f>
        <v/>
      </c>
    </row>
    <row r="4411" spans="1:5" x14ac:dyDescent="0.3">
      <c r="A4411" s="21" t="str">
        <f t="shared" si="68"/>
        <v>.</v>
      </c>
      <c r="D4411" s="44"/>
      <c r="E4411" s="22" t="str">
        <f>IF(D4411&lt;&gt;"",IFERROR(INDEX(Produtos!$C$4:$C$4996,MATCH(D4411,Produtos!$B$4:$B$4996,0)),"Produto não encontrado"),"")</f>
        <v/>
      </c>
    </row>
    <row r="4412" spans="1:5" x14ac:dyDescent="0.3">
      <c r="A4412" s="21" t="str">
        <f t="shared" si="68"/>
        <v>.</v>
      </c>
      <c r="D4412" s="44"/>
      <c r="E4412" s="22" t="str">
        <f>IF(D4412&lt;&gt;"",IFERROR(INDEX(Produtos!$C$4:$C$4996,MATCH(D4412,Produtos!$B$4:$B$4996,0)),"Produto não encontrado"),"")</f>
        <v/>
      </c>
    </row>
    <row r="4413" spans="1:5" x14ac:dyDescent="0.3">
      <c r="A4413" s="21" t="str">
        <f t="shared" si="68"/>
        <v>.</v>
      </c>
      <c r="D4413" s="44"/>
      <c r="E4413" s="22" t="str">
        <f>IF(D4413&lt;&gt;"",IFERROR(INDEX(Produtos!$C$4:$C$4996,MATCH(D4413,Produtos!$B$4:$B$4996,0)),"Produto não encontrado"),"")</f>
        <v/>
      </c>
    </row>
    <row r="4414" spans="1:5" x14ac:dyDescent="0.3">
      <c r="A4414" s="21" t="str">
        <f t="shared" si="68"/>
        <v>.</v>
      </c>
      <c r="D4414" s="44"/>
      <c r="E4414" s="22" t="str">
        <f>IF(D4414&lt;&gt;"",IFERROR(INDEX(Produtos!$C$4:$C$4996,MATCH(D4414,Produtos!$B$4:$B$4996,0)),"Produto não encontrado"),"")</f>
        <v/>
      </c>
    </row>
    <row r="4415" spans="1:5" x14ac:dyDescent="0.3">
      <c r="A4415" s="21" t="str">
        <f t="shared" si="68"/>
        <v>.</v>
      </c>
      <c r="D4415" s="44"/>
      <c r="E4415" s="22" t="str">
        <f>IF(D4415&lt;&gt;"",IFERROR(INDEX(Produtos!$C$4:$C$4996,MATCH(D4415,Produtos!$B$4:$B$4996,0)),"Produto não encontrado"),"")</f>
        <v/>
      </c>
    </row>
    <row r="4416" spans="1:5" x14ac:dyDescent="0.3">
      <c r="A4416" s="21" t="str">
        <f t="shared" ref="A4416:A4479" si="69">IF(C4416="Entrada",2,IF(C4416="Saída",1,"."))</f>
        <v>.</v>
      </c>
      <c r="D4416" s="44"/>
      <c r="E4416" s="22" t="str">
        <f>IF(D4416&lt;&gt;"",IFERROR(INDEX(Produtos!$C$4:$C$4996,MATCH(D4416,Produtos!$B$4:$B$4996,0)),"Produto não encontrado"),"")</f>
        <v/>
      </c>
    </row>
    <row r="4417" spans="1:5" x14ac:dyDescent="0.3">
      <c r="A4417" s="21" t="str">
        <f t="shared" si="69"/>
        <v>.</v>
      </c>
      <c r="D4417" s="44"/>
      <c r="E4417" s="22" t="str">
        <f>IF(D4417&lt;&gt;"",IFERROR(INDEX(Produtos!$C$4:$C$4996,MATCH(D4417,Produtos!$B$4:$B$4996,0)),"Produto não encontrado"),"")</f>
        <v/>
      </c>
    </row>
    <row r="4418" spans="1:5" x14ac:dyDescent="0.3">
      <c r="A4418" s="21" t="str">
        <f t="shared" si="69"/>
        <v>.</v>
      </c>
      <c r="D4418" s="44"/>
      <c r="E4418" s="22" t="str">
        <f>IF(D4418&lt;&gt;"",IFERROR(INDEX(Produtos!$C$4:$C$4996,MATCH(D4418,Produtos!$B$4:$B$4996,0)),"Produto não encontrado"),"")</f>
        <v/>
      </c>
    </row>
    <row r="4419" spans="1:5" x14ac:dyDescent="0.3">
      <c r="A4419" s="21" t="str">
        <f t="shared" si="69"/>
        <v>.</v>
      </c>
      <c r="D4419" s="44"/>
      <c r="E4419" s="22" t="str">
        <f>IF(D4419&lt;&gt;"",IFERROR(INDEX(Produtos!$C$4:$C$4996,MATCH(D4419,Produtos!$B$4:$B$4996,0)),"Produto não encontrado"),"")</f>
        <v/>
      </c>
    </row>
    <row r="4420" spans="1:5" x14ac:dyDescent="0.3">
      <c r="A4420" s="21" t="str">
        <f t="shared" si="69"/>
        <v>.</v>
      </c>
      <c r="D4420" s="44"/>
      <c r="E4420" s="22" t="str">
        <f>IF(D4420&lt;&gt;"",IFERROR(INDEX(Produtos!$C$4:$C$4996,MATCH(D4420,Produtos!$B$4:$B$4996,0)),"Produto não encontrado"),"")</f>
        <v/>
      </c>
    </row>
    <row r="4421" spans="1:5" x14ac:dyDescent="0.3">
      <c r="A4421" s="21" t="str">
        <f t="shared" si="69"/>
        <v>.</v>
      </c>
      <c r="D4421" s="44"/>
      <c r="E4421" s="22" t="str">
        <f>IF(D4421&lt;&gt;"",IFERROR(INDEX(Produtos!$C$4:$C$4996,MATCH(D4421,Produtos!$B$4:$B$4996,0)),"Produto não encontrado"),"")</f>
        <v/>
      </c>
    </row>
    <row r="4422" spans="1:5" x14ac:dyDescent="0.3">
      <c r="A4422" s="21" t="str">
        <f t="shared" si="69"/>
        <v>.</v>
      </c>
      <c r="D4422" s="44"/>
      <c r="E4422" s="22" t="str">
        <f>IF(D4422&lt;&gt;"",IFERROR(INDEX(Produtos!$C$4:$C$4996,MATCH(D4422,Produtos!$B$4:$B$4996,0)),"Produto não encontrado"),"")</f>
        <v/>
      </c>
    </row>
    <row r="4423" spans="1:5" x14ac:dyDescent="0.3">
      <c r="A4423" s="21" t="str">
        <f t="shared" si="69"/>
        <v>.</v>
      </c>
      <c r="D4423" s="44"/>
      <c r="E4423" s="22" t="str">
        <f>IF(D4423&lt;&gt;"",IFERROR(INDEX(Produtos!$C$4:$C$4996,MATCH(D4423,Produtos!$B$4:$B$4996,0)),"Produto não encontrado"),"")</f>
        <v/>
      </c>
    </row>
    <row r="4424" spans="1:5" x14ac:dyDescent="0.3">
      <c r="A4424" s="21" t="str">
        <f t="shared" si="69"/>
        <v>.</v>
      </c>
      <c r="D4424" s="44"/>
      <c r="E4424" s="22" t="str">
        <f>IF(D4424&lt;&gt;"",IFERROR(INDEX(Produtos!$C$4:$C$4996,MATCH(D4424,Produtos!$B$4:$B$4996,0)),"Produto não encontrado"),"")</f>
        <v/>
      </c>
    </row>
    <row r="4425" spans="1:5" x14ac:dyDescent="0.3">
      <c r="A4425" s="21" t="str">
        <f t="shared" si="69"/>
        <v>.</v>
      </c>
      <c r="D4425" s="44"/>
      <c r="E4425" s="22" t="str">
        <f>IF(D4425&lt;&gt;"",IFERROR(INDEX(Produtos!$C$4:$C$4996,MATCH(D4425,Produtos!$B$4:$B$4996,0)),"Produto não encontrado"),"")</f>
        <v/>
      </c>
    </row>
    <row r="4426" spans="1:5" x14ac:dyDescent="0.3">
      <c r="A4426" s="21" t="str">
        <f t="shared" si="69"/>
        <v>.</v>
      </c>
      <c r="D4426" s="44"/>
      <c r="E4426" s="22" t="str">
        <f>IF(D4426&lt;&gt;"",IFERROR(INDEX(Produtos!$C$4:$C$4996,MATCH(D4426,Produtos!$B$4:$B$4996,0)),"Produto não encontrado"),"")</f>
        <v/>
      </c>
    </row>
    <row r="4427" spans="1:5" x14ac:dyDescent="0.3">
      <c r="A4427" s="21" t="str">
        <f t="shared" si="69"/>
        <v>.</v>
      </c>
      <c r="D4427" s="44"/>
      <c r="E4427" s="22" t="str">
        <f>IF(D4427&lt;&gt;"",IFERROR(INDEX(Produtos!$C$4:$C$4996,MATCH(D4427,Produtos!$B$4:$B$4996,0)),"Produto não encontrado"),"")</f>
        <v/>
      </c>
    </row>
    <row r="4428" spans="1:5" x14ac:dyDescent="0.3">
      <c r="A4428" s="21" t="str">
        <f t="shared" si="69"/>
        <v>.</v>
      </c>
      <c r="D4428" s="44"/>
      <c r="E4428" s="22" t="str">
        <f>IF(D4428&lt;&gt;"",IFERROR(INDEX(Produtos!$C$4:$C$4996,MATCH(D4428,Produtos!$B$4:$B$4996,0)),"Produto não encontrado"),"")</f>
        <v/>
      </c>
    </row>
    <row r="4429" spans="1:5" x14ac:dyDescent="0.3">
      <c r="A4429" s="21" t="str">
        <f t="shared" si="69"/>
        <v>.</v>
      </c>
      <c r="D4429" s="44"/>
      <c r="E4429" s="22" t="str">
        <f>IF(D4429&lt;&gt;"",IFERROR(INDEX(Produtos!$C$4:$C$4996,MATCH(D4429,Produtos!$B$4:$B$4996,0)),"Produto não encontrado"),"")</f>
        <v/>
      </c>
    </row>
    <row r="4430" spans="1:5" x14ac:dyDescent="0.3">
      <c r="A4430" s="21" t="str">
        <f t="shared" si="69"/>
        <v>.</v>
      </c>
      <c r="D4430" s="44"/>
      <c r="E4430" s="22" t="str">
        <f>IF(D4430&lt;&gt;"",IFERROR(INDEX(Produtos!$C$4:$C$4996,MATCH(D4430,Produtos!$B$4:$B$4996,0)),"Produto não encontrado"),"")</f>
        <v/>
      </c>
    </row>
    <row r="4431" spans="1:5" x14ac:dyDescent="0.3">
      <c r="A4431" s="21" t="str">
        <f t="shared" si="69"/>
        <v>.</v>
      </c>
      <c r="D4431" s="44"/>
      <c r="E4431" s="22" t="str">
        <f>IF(D4431&lt;&gt;"",IFERROR(INDEX(Produtos!$C$4:$C$4996,MATCH(D4431,Produtos!$B$4:$B$4996,0)),"Produto não encontrado"),"")</f>
        <v/>
      </c>
    </row>
    <row r="4432" spans="1:5" x14ac:dyDescent="0.3">
      <c r="A4432" s="21" t="str">
        <f t="shared" si="69"/>
        <v>.</v>
      </c>
      <c r="D4432" s="44"/>
      <c r="E4432" s="22" t="str">
        <f>IF(D4432&lt;&gt;"",IFERROR(INDEX(Produtos!$C$4:$C$4996,MATCH(D4432,Produtos!$B$4:$B$4996,0)),"Produto não encontrado"),"")</f>
        <v/>
      </c>
    </row>
    <row r="4433" spans="1:5" x14ac:dyDescent="0.3">
      <c r="A4433" s="21" t="str">
        <f t="shared" si="69"/>
        <v>.</v>
      </c>
      <c r="D4433" s="44"/>
      <c r="E4433" s="22" t="str">
        <f>IF(D4433&lt;&gt;"",IFERROR(INDEX(Produtos!$C$4:$C$4996,MATCH(D4433,Produtos!$B$4:$B$4996,0)),"Produto não encontrado"),"")</f>
        <v/>
      </c>
    </row>
    <row r="4434" spans="1:5" x14ac:dyDescent="0.3">
      <c r="A4434" s="21" t="str">
        <f t="shared" si="69"/>
        <v>.</v>
      </c>
      <c r="D4434" s="44"/>
      <c r="E4434" s="22" t="str">
        <f>IF(D4434&lt;&gt;"",IFERROR(INDEX(Produtos!$C$4:$C$4996,MATCH(D4434,Produtos!$B$4:$B$4996,0)),"Produto não encontrado"),"")</f>
        <v/>
      </c>
    </row>
    <row r="4435" spans="1:5" x14ac:dyDescent="0.3">
      <c r="A4435" s="21" t="str">
        <f t="shared" si="69"/>
        <v>.</v>
      </c>
      <c r="D4435" s="44"/>
      <c r="E4435" s="22" t="str">
        <f>IF(D4435&lt;&gt;"",IFERROR(INDEX(Produtos!$C$4:$C$4996,MATCH(D4435,Produtos!$B$4:$B$4996,0)),"Produto não encontrado"),"")</f>
        <v/>
      </c>
    </row>
    <row r="4436" spans="1:5" x14ac:dyDescent="0.3">
      <c r="A4436" s="21" t="str">
        <f t="shared" si="69"/>
        <v>.</v>
      </c>
      <c r="D4436" s="44"/>
      <c r="E4436" s="22" t="str">
        <f>IF(D4436&lt;&gt;"",IFERROR(INDEX(Produtos!$C$4:$C$4996,MATCH(D4436,Produtos!$B$4:$B$4996,0)),"Produto não encontrado"),"")</f>
        <v/>
      </c>
    </row>
    <row r="4437" spans="1:5" x14ac:dyDescent="0.3">
      <c r="A4437" s="21" t="str">
        <f t="shared" si="69"/>
        <v>.</v>
      </c>
      <c r="D4437" s="44"/>
      <c r="E4437" s="22" t="str">
        <f>IF(D4437&lt;&gt;"",IFERROR(INDEX(Produtos!$C$4:$C$4996,MATCH(D4437,Produtos!$B$4:$B$4996,0)),"Produto não encontrado"),"")</f>
        <v/>
      </c>
    </row>
    <row r="4438" spans="1:5" x14ac:dyDescent="0.3">
      <c r="A4438" s="21" t="str">
        <f t="shared" si="69"/>
        <v>.</v>
      </c>
      <c r="D4438" s="44"/>
      <c r="E4438" s="22" t="str">
        <f>IF(D4438&lt;&gt;"",IFERROR(INDEX(Produtos!$C$4:$C$4996,MATCH(D4438,Produtos!$B$4:$B$4996,0)),"Produto não encontrado"),"")</f>
        <v/>
      </c>
    </row>
    <row r="4439" spans="1:5" x14ac:dyDescent="0.3">
      <c r="A4439" s="21" t="str">
        <f t="shared" si="69"/>
        <v>.</v>
      </c>
      <c r="D4439" s="44"/>
      <c r="E4439" s="22" t="str">
        <f>IF(D4439&lt;&gt;"",IFERROR(INDEX(Produtos!$C$4:$C$4996,MATCH(D4439,Produtos!$B$4:$B$4996,0)),"Produto não encontrado"),"")</f>
        <v/>
      </c>
    </row>
    <row r="4440" spans="1:5" x14ac:dyDescent="0.3">
      <c r="A4440" s="21" t="str">
        <f t="shared" si="69"/>
        <v>.</v>
      </c>
      <c r="D4440" s="44"/>
      <c r="E4440" s="22" t="str">
        <f>IF(D4440&lt;&gt;"",IFERROR(INDEX(Produtos!$C$4:$C$4996,MATCH(D4440,Produtos!$B$4:$B$4996,0)),"Produto não encontrado"),"")</f>
        <v/>
      </c>
    </row>
    <row r="4441" spans="1:5" x14ac:dyDescent="0.3">
      <c r="A4441" s="21" t="str">
        <f t="shared" si="69"/>
        <v>.</v>
      </c>
      <c r="D4441" s="44"/>
      <c r="E4441" s="22" t="str">
        <f>IF(D4441&lt;&gt;"",IFERROR(INDEX(Produtos!$C$4:$C$4996,MATCH(D4441,Produtos!$B$4:$B$4996,0)),"Produto não encontrado"),"")</f>
        <v/>
      </c>
    </row>
    <row r="4442" spans="1:5" x14ac:dyDescent="0.3">
      <c r="A4442" s="21" t="str">
        <f t="shared" si="69"/>
        <v>.</v>
      </c>
      <c r="D4442" s="44"/>
      <c r="E4442" s="22" t="str">
        <f>IF(D4442&lt;&gt;"",IFERROR(INDEX(Produtos!$C$4:$C$4996,MATCH(D4442,Produtos!$B$4:$B$4996,0)),"Produto não encontrado"),"")</f>
        <v/>
      </c>
    </row>
    <row r="4443" spans="1:5" x14ac:dyDescent="0.3">
      <c r="A4443" s="21" t="str">
        <f t="shared" si="69"/>
        <v>.</v>
      </c>
      <c r="D4443" s="44"/>
      <c r="E4443" s="22" t="str">
        <f>IF(D4443&lt;&gt;"",IFERROR(INDEX(Produtos!$C$4:$C$4996,MATCH(D4443,Produtos!$B$4:$B$4996,0)),"Produto não encontrado"),"")</f>
        <v/>
      </c>
    </row>
    <row r="4444" spans="1:5" x14ac:dyDescent="0.3">
      <c r="A4444" s="21" t="str">
        <f t="shared" si="69"/>
        <v>.</v>
      </c>
      <c r="D4444" s="44"/>
      <c r="E4444" s="22" t="str">
        <f>IF(D4444&lt;&gt;"",IFERROR(INDEX(Produtos!$C$4:$C$4996,MATCH(D4444,Produtos!$B$4:$B$4996,0)),"Produto não encontrado"),"")</f>
        <v/>
      </c>
    </row>
    <row r="4445" spans="1:5" x14ac:dyDescent="0.3">
      <c r="A4445" s="21" t="str">
        <f t="shared" si="69"/>
        <v>.</v>
      </c>
      <c r="D4445" s="44"/>
      <c r="E4445" s="22" t="str">
        <f>IF(D4445&lt;&gt;"",IFERROR(INDEX(Produtos!$C$4:$C$4996,MATCH(D4445,Produtos!$B$4:$B$4996,0)),"Produto não encontrado"),"")</f>
        <v/>
      </c>
    </row>
    <row r="4446" spans="1:5" x14ac:dyDescent="0.3">
      <c r="A4446" s="21" t="str">
        <f t="shared" si="69"/>
        <v>.</v>
      </c>
      <c r="D4446" s="44"/>
      <c r="E4446" s="22" t="str">
        <f>IF(D4446&lt;&gt;"",IFERROR(INDEX(Produtos!$C$4:$C$4996,MATCH(D4446,Produtos!$B$4:$B$4996,0)),"Produto não encontrado"),"")</f>
        <v/>
      </c>
    </row>
    <row r="4447" spans="1:5" x14ac:dyDescent="0.3">
      <c r="A4447" s="21" t="str">
        <f t="shared" si="69"/>
        <v>.</v>
      </c>
      <c r="D4447" s="44"/>
      <c r="E4447" s="22" t="str">
        <f>IF(D4447&lt;&gt;"",IFERROR(INDEX(Produtos!$C$4:$C$4996,MATCH(D4447,Produtos!$B$4:$B$4996,0)),"Produto não encontrado"),"")</f>
        <v/>
      </c>
    </row>
    <row r="4448" spans="1:5" x14ac:dyDescent="0.3">
      <c r="A4448" s="21" t="str">
        <f t="shared" si="69"/>
        <v>.</v>
      </c>
      <c r="D4448" s="44"/>
      <c r="E4448" s="22" t="str">
        <f>IF(D4448&lt;&gt;"",IFERROR(INDEX(Produtos!$C$4:$C$4996,MATCH(D4448,Produtos!$B$4:$B$4996,0)),"Produto não encontrado"),"")</f>
        <v/>
      </c>
    </row>
    <row r="4449" spans="1:5" x14ac:dyDescent="0.3">
      <c r="A4449" s="21" t="str">
        <f t="shared" si="69"/>
        <v>.</v>
      </c>
      <c r="D4449" s="44"/>
      <c r="E4449" s="22" t="str">
        <f>IF(D4449&lt;&gt;"",IFERROR(INDEX(Produtos!$C$4:$C$4996,MATCH(D4449,Produtos!$B$4:$B$4996,0)),"Produto não encontrado"),"")</f>
        <v/>
      </c>
    </row>
    <row r="4450" spans="1:5" x14ac:dyDescent="0.3">
      <c r="A4450" s="21" t="str">
        <f t="shared" si="69"/>
        <v>.</v>
      </c>
      <c r="D4450" s="44"/>
      <c r="E4450" s="22" t="str">
        <f>IF(D4450&lt;&gt;"",IFERROR(INDEX(Produtos!$C$4:$C$4996,MATCH(D4450,Produtos!$B$4:$B$4996,0)),"Produto não encontrado"),"")</f>
        <v/>
      </c>
    </row>
    <row r="4451" spans="1:5" x14ac:dyDescent="0.3">
      <c r="A4451" s="21" t="str">
        <f t="shared" si="69"/>
        <v>.</v>
      </c>
      <c r="D4451" s="44"/>
      <c r="E4451" s="22" t="str">
        <f>IF(D4451&lt;&gt;"",IFERROR(INDEX(Produtos!$C$4:$C$4996,MATCH(D4451,Produtos!$B$4:$B$4996,0)),"Produto não encontrado"),"")</f>
        <v/>
      </c>
    </row>
    <row r="4452" spans="1:5" x14ac:dyDescent="0.3">
      <c r="A4452" s="21" t="str">
        <f t="shared" si="69"/>
        <v>.</v>
      </c>
      <c r="D4452" s="44"/>
      <c r="E4452" s="22" t="str">
        <f>IF(D4452&lt;&gt;"",IFERROR(INDEX(Produtos!$C$4:$C$4996,MATCH(D4452,Produtos!$B$4:$B$4996,0)),"Produto não encontrado"),"")</f>
        <v/>
      </c>
    </row>
    <row r="4453" spans="1:5" x14ac:dyDescent="0.3">
      <c r="A4453" s="21" t="str">
        <f t="shared" si="69"/>
        <v>.</v>
      </c>
      <c r="D4453" s="44"/>
      <c r="E4453" s="22" t="str">
        <f>IF(D4453&lt;&gt;"",IFERROR(INDEX(Produtos!$C$4:$C$4996,MATCH(D4453,Produtos!$B$4:$B$4996,0)),"Produto não encontrado"),"")</f>
        <v/>
      </c>
    </row>
    <row r="4454" spans="1:5" x14ac:dyDescent="0.3">
      <c r="A4454" s="21" t="str">
        <f t="shared" si="69"/>
        <v>.</v>
      </c>
      <c r="D4454" s="44"/>
      <c r="E4454" s="22" t="str">
        <f>IF(D4454&lt;&gt;"",IFERROR(INDEX(Produtos!$C$4:$C$4996,MATCH(D4454,Produtos!$B$4:$B$4996,0)),"Produto não encontrado"),"")</f>
        <v/>
      </c>
    </row>
    <row r="4455" spans="1:5" x14ac:dyDescent="0.3">
      <c r="A4455" s="21" t="str">
        <f t="shared" si="69"/>
        <v>.</v>
      </c>
      <c r="D4455" s="44"/>
      <c r="E4455" s="22" t="str">
        <f>IF(D4455&lt;&gt;"",IFERROR(INDEX(Produtos!$C$4:$C$4996,MATCH(D4455,Produtos!$B$4:$B$4996,0)),"Produto não encontrado"),"")</f>
        <v/>
      </c>
    </row>
    <row r="4456" spans="1:5" x14ac:dyDescent="0.3">
      <c r="A4456" s="21" t="str">
        <f t="shared" si="69"/>
        <v>.</v>
      </c>
      <c r="D4456" s="44"/>
      <c r="E4456" s="22" t="str">
        <f>IF(D4456&lt;&gt;"",IFERROR(INDEX(Produtos!$C$4:$C$4996,MATCH(D4456,Produtos!$B$4:$B$4996,0)),"Produto não encontrado"),"")</f>
        <v/>
      </c>
    </row>
    <row r="4457" spans="1:5" x14ac:dyDescent="0.3">
      <c r="A4457" s="21" t="str">
        <f t="shared" si="69"/>
        <v>.</v>
      </c>
      <c r="D4457" s="44"/>
      <c r="E4457" s="22" t="str">
        <f>IF(D4457&lt;&gt;"",IFERROR(INDEX(Produtos!$C$4:$C$4996,MATCH(D4457,Produtos!$B$4:$B$4996,0)),"Produto não encontrado"),"")</f>
        <v/>
      </c>
    </row>
    <row r="4458" spans="1:5" x14ac:dyDescent="0.3">
      <c r="A4458" s="21" t="str">
        <f t="shared" si="69"/>
        <v>.</v>
      </c>
      <c r="D4458" s="44"/>
      <c r="E4458" s="22" t="str">
        <f>IF(D4458&lt;&gt;"",IFERROR(INDEX(Produtos!$C$4:$C$4996,MATCH(D4458,Produtos!$B$4:$B$4996,0)),"Produto não encontrado"),"")</f>
        <v/>
      </c>
    </row>
    <row r="4459" spans="1:5" x14ac:dyDescent="0.3">
      <c r="A4459" s="21" t="str">
        <f t="shared" si="69"/>
        <v>.</v>
      </c>
      <c r="D4459" s="44"/>
      <c r="E4459" s="22" t="str">
        <f>IF(D4459&lt;&gt;"",IFERROR(INDEX(Produtos!$C$4:$C$4996,MATCH(D4459,Produtos!$B$4:$B$4996,0)),"Produto não encontrado"),"")</f>
        <v/>
      </c>
    </row>
    <row r="4460" spans="1:5" x14ac:dyDescent="0.3">
      <c r="A4460" s="21" t="str">
        <f t="shared" si="69"/>
        <v>.</v>
      </c>
      <c r="D4460" s="44"/>
      <c r="E4460" s="22" t="str">
        <f>IF(D4460&lt;&gt;"",IFERROR(INDEX(Produtos!$C$4:$C$4996,MATCH(D4460,Produtos!$B$4:$B$4996,0)),"Produto não encontrado"),"")</f>
        <v/>
      </c>
    </row>
    <row r="4461" spans="1:5" x14ac:dyDescent="0.3">
      <c r="A4461" s="21" t="str">
        <f t="shared" si="69"/>
        <v>.</v>
      </c>
      <c r="D4461" s="44"/>
      <c r="E4461" s="22" t="str">
        <f>IF(D4461&lt;&gt;"",IFERROR(INDEX(Produtos!$C$4:$C$4996,MATCH(D4461,Produtos!$B$4:$B$4996,0)),"Produto não encontrado"),"")</f>
        <v/>
      </c>
    </row>
    <row r="4462" spans="1:5" x14ac:dyDescent="0.3">
      <c r="A4462" s="21" t="str">
        <f t="shared" si="69"/>
        <v>.</v>
      </c>
      <c r="D4462" s="44"/>
      <c r="E4462" s="22" t="str">
        <f>IF(D4462&lt;&gt;"",IFERROR(INDEX(Produtos!$C$4:$C$4996,MATCH(D4462,Produtos!$B$4:$B$4996,0)),"Produto não encontrado"),"")</f>
        <v/>
      </c>
    </row>
    <row r="4463" spans="1:5" x14ac:dyDescent="0.3">
      <c r="A4463" s="21" t="str">
        <f t="shared" si="69"/>
        <v>.</v>
      </c>
      <c r="D4463" s="44"/>
      <c r="E4463" s="22" t="str">
        <f>IF(D4463&lt;&gt;"",IFERROR(INDEX(Produtos!$C$4:$C$4996,MATCH(D4463,Produtos!$B$4:$B$4996,0)),"Produto não encontrado"),"")</f>
        <v/>
      </c>
    </row>
    <row r="4464" spans="1:5" x14ac:dyDescent="0.3">
      <c r="A4464" s="21" t="str">
        <f t="shared" si="69"/>
        <v>.</v>
      </c>
      <c r="D4464" s="44"/>
      <c r="E4464" s="22" t="str">
        <f>IF(D4464&lt;&gt;"",IFERROR(INDEX(Produtos!$C$4:$C$4996,MATCH(D4464,Produtos!$B$4:$B$4996,0)),"Produto não encontrado"),"")</f>
        <v/>
      </c>
    </row>
    <row r="4465" spans="1:5" x14ac:dyDescent="0.3">
      <c r="A4465" s="21" t="str">
        <f t="shared" si="69"/>
        <v>.</v>
      </c>
      <c r="D4465" s="44"/>
      <c r="E4465" s="22" t="str">
        <f>IF(D4465&lt;&gt;"",IFERROR(INDEX(Produtos!$C$4:$C$4996,MATCH(D4465,Produtos!$B$4:$B$4996,0)),"Produto não encontrado"),"")</f>
        <v/>
      </c>
    </row>
    <row r="4466" spans="1:5" x14ac:dyDescent="0.3">
      <c r="A4466" s="21" t="str">
        <f t="shared" si="69"/>
        <v>.</v>
      </c>
      <c r="D4466" s="44"/>
      <c r="E4466" s="22" t="str">
        <f>IF(D4466&lt;&gt;"",IFERROR(INDEX(Produtos!$C$4:$C$4996,MATCH(D4466,Produtos!$B$4:$B$4996,0)),"Produto não encontrado"),"")</f>
        <v/>
      </c>
    </row>
    <row r="4467" spans="1:5" x14ac:dyDescent="0.3">
      <c r="A4467" s="21" t="str">
        <f t="shared" si="69"/>
        <v>.</v>
      </c>
      <c r="D4467" s="44"/>
      <c r="E4467" s="22" t="str">
        <f>IF(D4467&lt;&gt;"",IFERROR(INDEX(Produtos!$C$4:$C$4996,MATCH(D4467,Produtos!$B$4:$B$4996,0)),"Produto não encontrado"),"")</f>
        <v/>
      </c>
    </row>
    <row r="4468" spans="1:5" x14ac:dyDescent="0.3">
      <c r="A4468" s="21" t="str">
        <f t="shared" si="69"/>
        <v>.</v>
      </c>
      <c r="D4468" s="44"/>
      <c r="E4468" s="22" t="str">
        <f>IF(D4468&lt;&gt;"",IFERROR(INDEX(Produtos!$C$4:$C$4996,MATCH(D4468,Produtos!$B$4:$B$4996,0)),"Produto não encontrado"),"")</f>
        <v/>
      </c>
    </row>
    <row r="4469" spans="1:5" x14ac:dyDescent="0.3">
      <c r="A4469" s="21" t="str">
        <f t="shared" si="69"/>
        <v>.</v>
      </c>
      <c r="D4469" s="44"/>
      <c r="E4469" s="22" t="str">
        <f>IF(D4469&lt;&gt;"",IFERROR(INDEX(Produtos!$C$4:$C$4996,MATCH(D4469,Produtos!$B$4:$B$4996,0)),"Produto não encontrado"),"")</f>
        <v/>
      </c>
    </row>
    <row r="4470" spans="1:5" x14ac:dyDescent="0.3">
      <c r="A4470" s="21" t="str">
        <f t="shared" si="69"/>
        <v>.</v>
      </c>
      <c r="D4470" s="44"/>
      <c r="E4470" s="22" t="str">
        <f>IF(D4470&lt;&gt;"",IFERROR(INDEX(Produtos!$C$4:$C$4996,MATCH(D4470,Produtos!$B$4:$B$4996,0)),"Produto não encontrado"),"")</f>
        <v/>
      </c>
    </row>
    <row r="4471" spans="1:5" x14ac:dyDescent="0.3">
      <c r="A4471" s="21" t="str">
        <f t="shared" si="69"/>
        <v>.</v>
      </c>
      <c r="D4471" s="44"/>
      <c r="E4471" s="22" t="str">
        <f>IF(D4471&lt;&gt;"",IFERROR(INDEX(Produtos!$C$4:$C$4996,MATCH(D4471,Produtos!$B$4:$B$4996,0)),"Produto não encontrado"),"")</f>
        <v/>
      </c>
    </row>
    <row r="4472" spans="1:5" x14ac:dyDescent="0.3">
      <c r="A4472" s="21" t="str">
        <f t="shared" si="69"/>
        <v>.</v>
      </c>
      <c r="D4472" s="44"/>
      <c r="E4472" s="22" t="str">
        <f>IF(D4472&lt;&gt;"",IFERROR(INDEX(Produtos!$C$4:$C$4996,MATCH(D4472,Produtos!$B$4:$B$4996,0)),"Produto não encontrado"),"")</f>
        <v/>
      </c>
    </row>
    <row r="4473" spans="1:5" x14ac:dyDescent="0.3">
      <c r="A4473" s="21" t="str">
        <f t="shared" si="69"/>
        <v>.</v>
      </c>
      <c r="D4473" s="44"/>
      <c r="E4473" s="22" t="str">
        <f>IF(D4473&lt;&gt;"",IFERROR(INDEX(Produtos!$C$4:$C$4996,MATCH(D4473,Produtos!$B$4:$B$4996,0)),"Produto não encontrado"),"")</f>
        <v/>
      </c>
    </row>
    <row r="4474" spans="1:5" x14ac:dyDescent="0.3">
      <c r="A4474" s="21" t="str">
        <f t="shared" si="69"/>
        <v>.</v>
      </c>
      <c r="D4474" s="44"/>
      <c r="E4474" s="22" t="str">
        <f>IF(D4474&lt;&gt;"",IFERROR(INDEX(Produtos!$C$4:$C$4996,MATCH(D4474,Produtos!$B$4:$B$4996,0)),"Produto não encontrado"),"")</f>
        <v/>
      </c>
    </row>
    <row r="4475" spans="1:5" x14ac:dyDescent="0.3">
      <c r="A4475" s="21" t="str">
        <f t="shared" si="69"/>
        <v>.</v>
      </c>
      <c r="D4475" s="44"/>
      <c r="E4475" s="22" t="str">
        <f>IF(D4475&lt;&gt;"",IFERROR(INDEX(Produtos!$C$4:$C$4996,MATCH(D4475,Produtos!$B$4:$B$4996,0)),"Produto não encontrado"),"")</f>
        <v/>
      </c>
    </row>
    <row r="4476" spans="1:5" x14ac:dyDescent="0.3">
      <c r="A4476" s="21" t="str">
        <f t="shared" si="69"/>
        <v>.</v>
      </c>
      <c r="D4476" s="44"/>
      <c r="E4476" s="22" t="str">
        <f>IF(D4476&lt;&gt;"",IFERROR(INDEX(Produtos!$C$4:$C$4996,MATCH(D4476,Produtos!$B$4:$B$4996,0)),"Produto não encontrado"),"")</f>
        <v/>
      </c>
    </row>
    <row r="4477" spans="1:5" x14ac:dyDescent="0.3">
      <c r="A4477" s="21" t="str">
        <f t="shared" si="69"/>
        <v>.</v>
      </c>
      <c r="D4477" s="44"/>
      <c r="E4477" s="22" t="str">
        <f>IF(D4477&lt;&gt;"",IFERROR(INDEX(Produtos!$C$4:$C$4996,MATCH(D4477,Produtos!$B$4:$B$4996,0)),"Produto não encontrado"),"")</f>
        <v/>
      </c>
    </row>
    <row r="4478" spans="1:5" x14ac:dyDescent="0.3">
      <c r="A4478" s="21" t="str">
        <f t="shared" si="69"/>
        <v>.</v>
      </c>
      <c r="D4478" s="44"/>
      <c r="E4478" s="22" t="str">
        <f>IF(D4478&lt;&gt;"",IFERROR(INDEX(Produtos!$C$4:$C$4996,MATCH(D4478,Produtos!$B$4:$B$4996,0)),"Produto não encontrado"),"")</f>
        <v/>
      </c>
    </row>
    <row r="4479" spans="1:5" x14ac:dyDescent="0.3">
      <c r="A4479" s="21" t="str">
        <f t="shared" si="69"/>
        <v>.</v>
      </c>
      <c r="D4479" s="44"/>
      <c r="E4479" s="22" t="str">
        <f>IF(D4479&lt;&gt;"",IFERROR(INDEX(Produtos!$C$4:$C$4996,MATCH(D4479,Produtos!$B$4:$B$4996,0)),"Produto não encontrado"),"")</f>
        <v/>
      </c>
    </row>
    <row r="4480" spans="1:5" x14ac:dyDescent="0.3">
      <c r="A4480" s="21" t="str">
        <f t="shared" ref="A4480:A4543" si="70">IF(C4480="Entrada",2,IF(C4480="Saída",1,"."))</f>
        <v>.</v>
      </c>
      <c r="D4480" s="44"/>
      <c r="E4480" s="22" t="str">
        <f>IF(D4480&lt;&gt;"",IFERROR(INDEX(Produtos!$C$4:$C$4996,MATCH(D4480,Produtos!$B$4:$B$4996,0)),"Produto não encontrado"),"")</f>
        <v/>
      </c>
    </row>
    <row r="4481" spans="1:5" x14ac:dyDescent="0.3">
      <c r="A4481" s="21" t="str">
        <f t="shared" si="70"/>
        <v>.</v>
      </c>
      <c r="D4481" s="44"/>
      <c r="E4481" s="22" t="str">
        <f>IF(D4481&lt;&gt;"",IFERROR(INDEX(Produtos!$C$4:$C$4996,MATCH(D4481,Produtos!$B$4:$B$4996,0)),"Produto não encontrado"),"")</f>
        <v/>
      </c>
    </row>
    <row r="4482" spans="1:5" x14ac:dyDescent="0.3">
      <c r="A4482" s="21" t="str">
        <f t="shared" si="70"/>
        <v>.</v>
      </c>
      <c r="D4482" s="44"/>
      <c r="E4482" s="22" t="str">
        <f>IF(D4482&lt;&gt;"",IFERROR(INDEX(Produtos!$C$4:$C$4996,MATCH(D4482,Produtos!$B$4:$B$4996,0)),"Produto não encontrado"),"")</f>
        <v/>
      </c>
    </row>
    <row r="4483" spans="1:5" x14ac:dyDescent="0.3">
      <c r="A4483" s="21" t="str">
        <f t="shared" si="70"/>
        <v>.</v>
      </c>
      <c r="D4483" s="44"/>
      <c r="E4483" s="22" t="str">
        <f>IF(D4483&lt;&gt;"",IFERROR(INDEX(Produtos!$C$4:$C$4996,MATCH(D4483,Produtos!$B$4:$B$4996,0)),"Produto não encontrado"),"")</f>
        <v/>
      </c>
    </row>
    <row r="4484" spans="1:5" x14ac:dyDescent="0.3">
      <c r="A4484" s="21" t="str">
        <f t="shared" si="70"/>
        <v>.</v>
      </c>
      <c r="D4484" s="44"/>
      <c r="E4484" s="22" t="str">
        <f>IF(D4484&lt;&gt;"",IFERROR(INDEX(Produtos!$C$4:$C$4996,MATCH(D4484,Produtos!$B$4:$B$4996,0)),"Produto não encontrado"),"")</f>
        <v/>
      </c>
    </row>
    <row r="4485" spans="1:5" x14ac:dyDescent="0.3">
      <c r="A4485" s="21" t="str">
        <f t="shared" si="70"/>
        <v>.</v>
      </c>
      <c r="D4485" s="44"/>
      <c r="E4485" s="22" t="str">
        <f>IF(D4485&lt;&gt;"",IFERROR(INDEX(Produtos!$C$4:$C$4996,MATCH(D4485,Produtos!$B$4:$B$4996,0)),"Produto não encontrado"),"")</f>
        <v/>
      </c>
    </row>
    <row r="4486" spans="1:5" x14ac:dyDescent="0.3">
      <c r="A4486" s="21" t="str">
        <f t="shared" si="70"/>
        <v>.</v>
      </c>
      <c r="D4486" s="44"/>
      <c r="E4486" s="22" t="str">
        <f>IF(D4486&lt;&gt;"",IFERROR(INDEX(Produtos!$C$4:$C$4996,MATCH(D4486,Produtos!$B$4:$B$4996,0)),"Produto não encontrado"),"")</f>
        <v/>
      </c>
    </row>
    <row r="4487" spans="1:5" x14ac:dyDescent="0.3">
      <c r="A4487" s="21" t="str">
        <f t="shared" si="70"/>
        <v>.</v>
      </c>
      <c r="D4487" s="44"/>
      <c r="E4487" s="22" t="str">
        <f>IF(D4487&lt;&gt;"",IFERROR(INDEX(Produtos!$C$4:$C$4996,MATCH(D4487,Produtos!$B$4:$B$4996,0)),"Produto não encontrado"),"")</f>
        <v/>
      </c>
    </row>
    <row r="4488" spans="1:5" x14ac:dyDescent="0.3">
      <c r="A4488" s="21" t="str">
        <f t="shared" si="70"/>
        <v>.</v>
      </c>
      <c r="D4488" s="44"/>
      <c r="E4488" s="22" t="str">
        <f>IF(D4488&lt;&gt;"",IFERROR(INDEX(Produtos!$C$4:$C$4996,MATCH(D4488,Produtos!$B$4:$B$4996,0)),"Produto não encontrado"),"")</f>
        <v/>
      </c>
    </row>
    <row r="4489" spans="1:5" x14ac:dyDescent="0.3">
      <c r="A4489" s="21" t="str">
        <f t="shared" si="70"/>
        <v>.</v>
      </c>
      <c r="D4489" s="44"/>
      <c r="E4489" s="22" t="str">
        <f>IF(D4489&lt;&gt;"",IFERROR(INDEX(Produtos!$C$4:$C$4996,MATCH(D4489,Produtos!$B$4:$B$4996,0)),"Produto não encontrado"),"")</f>
        <v/>
      </c>
    </row>
    <row r="4490" spans="1:5" x14ac:dyDescent="0.3">
      <c r="A4490" s="21" t="str">
        <f t="shared" si="70"/>
        <v>.</v>
      </c>
      <c r="D4490" s="44"/>
      <c r="E4490" s="22" t="str">
        <f>IF(D4490&lt;&gt;"",IFERROR(INDEX(Produtos!$C$4:$C$4996,MATCH(D4490,Produtos!$B$4:$B$4996,0)),"Produto não encontrado"),"")</f>
        <v/>
      </c>
    </row>
    <row r="4491" spans="1:5" x14ac:dyDescent="0.3">
      <c r="A4491" s="21" t="str">
        <f t="shared" si="70"/>
        <v>.</v>
      </c>
      <c r="D4491" s="44"/>
      <c r="E4491" s="22" t="str">
        <f>IF(D4491&lt;&gt;"",IFERROR(INDEX(Produtos!$C$4:$C$4996,MATCH(D4491,Produtos!$B$4:$B$4996,0)),"Produto não encontrado"),"")</f>
        <v/>
      </c>
    </row>
    <row r="4492" spans="1:5" x14ac:dyDescent="0.3">
      <c r="A4492" s="21" t="str">
        <f t="shared" si="70"/>
        <v>.</v>
      </c>
      <c r="D4492" s="44"/>
      <c r="E4492" s="22" t="str">
        <f>IF(D4492&lt;&gt;"",IFERROR(INDEX(Produtos!$C$4:$C$4996,MATCH(D4492,Produtos!$B$4:$B$4996,0)),"Produto não encontrado"),"")</f>
        <v/>
      </c>
    </row>
    <row r="4493" spans="1:5" x14ac:dyDescent="0.3">
      <c r="A4493" s="21" t="str">
        <f t="shared" si="70"/>
        <v>.</v>
      </c>
      <c r="D4493" s="44"/>
      <c r="E4493" s="22" t="str">
        <f>IF(D4493&lt;&gt;"",IFERROR(INDEX(Produtos!$C$4:$C$4996,MATCH(D4493,Produtos!$B$4:$B$4996,0)),"Produto não encontrado"),"")</f>
        <v/>
      </c>
    </row>
    <row r="4494" spans="1:5" x14ac:dyDescent="0.3">
      <c r="A4494" s="21" t="str">
        <f t="shared" si="70"/>
        <v>.</v>
      </c>
      <c r="D4494" s="44"/>
      <c r="E4494" s="22" t="str">
        <f>IF(D4494&lt;&gt;"",IFERROR(INDEX(Produtos!$C$4:$C$4996,MATCH(D4494,Produtos!$B$4:$B$4996,0)),"Produto não encontrado"),"")</f>
        <v/>
      </c>
    </row>
    <row r="4495" spans="1:5" x14ac:dyDescent="0.3">
      <c r="A4495" s="21" t="str">
        <f t="shared" si="70"/>
        <v>.</v>
      </c>
      <c r="D4495" s="44"/>
      <c r="E4495" s="22" t="str">
        <f>IF(D4495&lt;&gt;"",IFERROR(INDEX(Produtos!$C$4:$C$4996,MATCH(D4495,Produtos!$B$4:$B$4996,0)),"Produto não encontrado"),"")</f>
        <v/>
      </c>
    </row>
    <row r="4496" spans="1:5" x14ac:dyDescent="0.3">
      <c r="A4496" s="21" t="str">
        <f t="shared" si="70"/>
        <v>.</v>
      </c>
      <c r="D4496" s="44"/>
      <c r="E4496" s="22" t="str">
        <f>IF(D4496&lt;&gt;"",IFERROR(INDEX(Produtos!$C$4:$C$4996,MATCH(D4496,Produtos!$B$4:$B$4996,0)),"Produto não encontrado"),"")</f>
        <v/>
      </c>
    </row>
    <row r="4497" spans="1:5" x14ac:dyDescent="0.3">
      <c r="A4497" s="21" t="str">
        <f t="shared" si="70"/>
        <v>.</v>
      </c>
      <c r="D4497" s="44"/>
      <c r="E4497" s="22" t="str">
        <f>IF(D4497&lt;&gt;"",IFERROR(INDEX(Produtos!$C$4:$C$4996,MATCH(D4497,Produtos!$B$4:$B$4996,0)),"Produto não encontrado"),"")</f>
        <v/>
      </c>
    </row>
    <row r="4498" spans="1:5" x14ac:dyDescent="0.3">
      <c r="A4498" s="21" t="str">
        <f t="shared" si="70"/>
        <v>.</v>
      </c>
      <c r="D4498" s="44"/>
      <c r="E4498" s="22" t="str">
        <f>IF(D4498&lt;&gt;"",IFERROR(INDEX(Produtos!$C$4:$C$4996,MATCH(D4498,Produtos!$B$4:$B$4996,0)),"Produto não encontrado"),"")</f>
        <v/>
      </c>
    </row>
    <row r="4499" spans="1:5" x14ac:dyDescent="0.3">
      <c r="A4499" s="21" t="str">
        <f t="shared" si="70"/>
        <v>.</v>
      </c>
      <c r="D4499" s="44"/>
      <c r="E4499" s="22" t="str">
        <f>IF(D4499&lt;&gt;"",IFERROR(INDEX(Produtos!$C$4:$C$4996,MATCH(D4499,Produtos!$B$4:$B$4996,0)),"Produto não encontrado"),"")</f>
        <v/>
      </c>
    </row>
    <row r="4500" spans="1:5" x14ac:dyDescent="0.3">
      <c r="A4500" s="21" t="str">
        <f t="shared" si="70"/>
        <v>.</v>
      </c>
      <c r="D4500" s="44"/>
      <c r="E4500" s="22" t="str">
        <f>IF(D4500&lt;&gt;"",IFERROR(INDEX(Produtos!$C$4:$C$4996,MATCH(D4500,Produtos!$B$4:$B$4996,0)),"Produto não encontrado"),"")</f>
        <v/>
      </c>
    </row>
    <row r="4501" spans="1:5" x14ac:dyDescent="0.3">
      <c r="A4501" s="21" t="str">
        <f t="shared" si="70"/>
        <v>.</v>
      </c>
      <c r="D4501" s="44"/>
      <c r="E4501" s="22" t="str">
        <f>IF(D4501&lt;&gt;"",IFERROR(INDEX(Produtos!$C$4:$C$4996,MATCH(D4501,Produtos!$B$4:$B$4996,0)),"Produto não encontrado"),"")</f>
        <v/>
      </c>
    </row>
    <row r="4502" spans="1:5" x14ac:dyDescent="0.3">
      <c r="A4502" s="21" t="str">
        <f t="shared" si="70"/>
        <v>.</v>
      </c>
      <c r="D4502" s="44"/>
      <c r="E4502" s="22" t="str">
        <f>IF(D4502&lt;&gt;"",IFERROR(INDEX(Produtos!$C$4:$C$4996,MATCH(D4502,Produtos!$B$4:$B$4996,0)),"Produto não encontrado"),"")</f>
        <v/>
      </c>
    </row>
    <row r="4503" spans="1:5" x14ac:dyDescent="0.3">
      <c r="A4503" s="21" t="str">
        <f t="shared" si="70"/>
        <v>.</v>
      </c>
      <c r="D4503" s="44"/>
      <c r="E4503" s="22" t="str">
        <f>IF(D4503&lt;&gt;"",IFERROR(INDEX(Produtos!$C$4:$C$4996,MATCH(D4503,Produtos!$B$4:$B$4996,0)),"Produto não encontrado"),"")</f>
        <v/>
      </c>
    </row>
    <row r="4504" spans="1:5" x14ac:dyDescent="0.3">
      <c r="A4504" s="21" t="str">
        <f t="shared" si="70"/>
        <v>.</v>
      </c>
      <c r="D4504" s="44"/>
      <c r="E4504" s="22" t="str">
        <f>IF(D4504&lt;&gt;"",IFERROR(INDEX(Produtos!$C$4:$C$4996,MATCH(D4504,Produtos!$B$4:$B$4996,0)),"Produto não encontrado"),"")</f>
        <v/>
      </c>
    </row>
    <row r="4505" spans="1:5" x14ac:dyDescent="0.3">
      <c r="A4505" s="21" t="str">
        <f t="shared" si="70"/>
        <v>.</v>
      </c>
      <c r="D4505" s="44"/>
      <c r="E4505" s="22" t="str">
        <f>IF(D4505&lt;&gt;"",IFERROR(INDEX(Produtos!$C$4:$C$4996,MATCH(D4505,Produtos!$B$4:$B$4996,0)),"Produto não encontrado"),"")</f>
        <v/>
      </c>
    </row>
    <row r="4506" spans="1:5" x14ac:dyDescent="0.3">
      <c r="A4506" s="21" t="str">
        <f t="shared" si="70"/>
        <v>.</v>
      </c>
      <c r="D4506" s="44"/>
      <c r="E4506" s="22" t="str">
        <f>IF(D4506&lt;&gt;"",IFERROR(INDEX(Produtos!$C$4:$C$4996,MATCH(D4506,Produtos!$B$4:$B$4996,0)),"Produto não encontrado"),"")</f>
        <v/>
      </c>
    </row>
    <row r="4507" spans="1:5" x14ac:dyDescent="0.3">
      <c r="A4507" s="21" t="str">
        <f t="shared" si="70"/>
        <v>.</v>
      </c>
      <c r="D4507" s="44"/>
      <c r="E4507" s="22" t="str">
        <f>IF(D4507&lt;&gt;"",IFERROR(INDEX(Produtos!$C$4:$C$4996,MATCH(D4507,Produtos!$B$4:$B$4996,0)),"Produto não encontrado"),"")</f>
        <v/>
      </c>
    </row>
    <row r="4508" spans="1:5" x14ac:dyDescent="0.3">
      <c r="A4508" s="21" t="str">
        <f t="shared" si="70"/>
        <v>.</v>
      </c>
      <c r="D4508" s="44"/>
      <c r="E4508" s="22" t="str">
        <f>IF(D4508&lt;&gt;"",IFERROR(INDEX(Produtos!$C$4:$C$4996,MATCH(D4508,Produtos!$B$4:$B$4996,0)),"Produto não encontrado"),"")</f>
        <v/>
      </c>
    </row>
    <row r="4509" spans="1:5" x14ac:dyDescent="0.3">
      <c r="A4509" s="21" t="str">
        <f t="shared" si="70"/>
        <v>.</v>
      </c>
      <c r="D4509" s="44"/>
      <c r="E4509" s="22" t="str">
        <f>IF(D4509&lt;&gt;"",IFERROR(INDEX(Produtos!$C$4:$C$4996,MATCH(D4509,Produtos!$B$4:$B$4996,0)),"Produto não encontrado"),"")</f>
        <v/>
      </c>
    </row>
    <row r="4510" spans="1:5" x14ac:dyDescent="0.3">
      <c r="A4510" s="21" t="str">
        <f t="shared" si="70"/>
        <v>.</v>
      </c>
      <c r="D4510" s="44"/>
      <c r="E4510" s="22" t="str">
        <f>IF(D4510&lt;&gt;"",IFERROR(INDEX(Produtos!$C$4:$C$4996,MATCH(D4510,Produtos!$B$4:$B$4996,0)),"Produto não encontrado"),"")</f>
        <v/>
      </c>
    </row>
    <row r="4511" spans="1:5" x14ac:dyDescent="0.3">
      <c r="A4511" s="21" t="str">
        <f t="shared" si="70"/>
        <v>.</v>
      </c>
      <c r="D4511" s="44"/>
      <c r="E4511" s="22" t="str">
        <f>IF(D4511&lt;&gt;"",IFERROR(INDEX(Produtos!$C$4:$C$4996,MATCH(D4511,Produtos!$B$4:$B$4996,0)),"Produto não encontrado"),"")</f>
        <v/>
      </c>
    </row>
    <row r="4512" spans="1:5" x14ac:dyDescent="0.3">
      <c r="A4512" s="21" t="str">
        <f t="shared" si="70"/>
        <v>.</v>
      </c>
      <c r="D4512" s="44"/>
      <c r="E4512" s="22" t="str">
        <f>IF(D4512&lt;&gt;"",IFERROR(INDEX(Produtos!$C$4:$C$4996,MATCH(D4512,Produtos!$B$4:$B$4996,0)),"Produto não encontrado"),"")</f>
        <v/>
      </c>
    </row>
    <row r="4513" spans="1:5" x14ac:dyDescent="0.3">
      <c r="A4513" s="21" t="str">
        <f t="shared" si="70"/>
        <v>.</v>
      </c>
      <c r="D4513" s="44"/>
      <c r="E4513" s="22" t="str">
        <f>IF(D4513&lt;&gt;"",IFERROR(INDEX(Produtos!$C$4:$C$4996,MATCH(D4513,Produtos!$B$4:$B$4996,0)),"Produto não encontrado"),"")</f>
        <v/>
      </c>
    </row>
    <row r="4514" spans="1:5" x14ac:dyDescent="0.3">
      <c r="A4514" s="21" t="str">
        <f t="shared" si="70"/>
        <v>.</v>
      </c>
      <c r="D4514" s="44"/>
      <c r="E4514" s="22" t="str">
        <f>IF(D4514&lt;&gt;"",IFERROR(INDEX(Produtos!$C$4:$C$4996,MATCH(D4514,Produtos!$B$4:$B$4996,0)),"Produto não encontrado"),"")</f>
        <v/>
      </c>
    </row>
    <row r="4515" spans="1:5" x14ac:dyDescent="0.3">
      <c r="A4515" s="21" t="str">
        <f t="shared" si="70"/>
        <v>.</v>
      </c>
      <c r="D4515" s="44"/>
      <c r="E4515" s="22" t="str">
        <f>IF(D4515&lt;&gt;"",IFERROR(INDEX(Produtos!$C$4:$C$4996,MATCH(D4515,Produtos!$B$4:$B$4996,0)),"Produto não encontrado"),"")</f>
        <v/>
      </c>
    </row>
    <row r="4516" spans="1:5" x14ac:dyDescent="0.3">
      <c r="A4516" s="21" t="str">
        <f t="shared" si="70"/>
        <v>.</v>
      </c>
      <c r="D4516" s="44"/>
      <c r="E4516" s="22" t="str">
        <f>IF(D4516&lt;&gt;"",IFERROR(INDEX(Produtos!$C$4:$C$4996,MATCH(D4516,Produtos!$B$4:$B$4996,0)),"Produto não encontrado"),"")</f>
        <v/>
      </c>
    </row>
    <row r="4517" spans="1:5" x14ac:dyDescent="0.3">
      <c r="A4517" s="21" t="str">
        <f t="shared" si="70"/>
        <v>.</v>
      </c>
      <c r="D4517" s="44"/>
      <c r="E4517" s="22" t="str">
        <f>IF(D4517&lt;&gt;"",IFERROR(INDEX(Produtos!$C$4:$C$4996,MATCH(D4517,Produtos!$B$4:$B$4996,0)),"Produto não encontrado"),"")</f>
        <v/>
      </c>
    </row>
    <row r="4518" spans="1:5" x14ac:dyDescent="0.3">
      <c r="A4518" s="21" t="str">
        <f t="shared" si="70"/>
        <v>.</v>
      </c>
      <c r="D4518" s="44"/>
      <c r="E4518" s="22" t="str">
        <f>IF(D4518&lt;&gt;"",IFERROR(INDEX(Produtos!$C$4:$C$4996,MATCH(D4518,Produtos!$B$4:$B$4996,0)),"Produto não encontrado"),"")</f>
        <v/>
      </c>
    </row>
    <row r="4519" spans="1:5" x14ac:dyDescent="0.3">
      <c r="A4519" s="21" t="str">
        <f t="shared" si="70"/>
        <v>.</v>
      </c>
      <c r="D4519" s="44"/>
      <c r="E4519" s="22" t="str">
        <f>IF(D4519&lt;&gt;"",IFERROR(INDEX(Produtos!$C$4:$C$4996,MATCH(D4519,Produtos!$B$4:$B$4996,0)),"Produto não encontrado"),"")</f>
        <v/>
      </c>
    </row>
    <row r="4520" spans="1:5" x14ac:dyDescent="0.3">
      <c r="A4520" s="21" t="str">
        <f t="shared" si="70"/>
        <v>.</v>
      </c>
      <c r="D4520" s="44"/>
      <c r="E4520" s="22" t="str">
        <f>IF(D4520&lt;&gt;"",IFERROR(INDEX(Produtos!$C$4:$C$4996,MATCH(D4520,Produtos!$B$4:$B$4996,0)),"Produto não encontrado"),"")</f>
        <v/>
      </c>
    </row>
    <row r="4521" spans="1:5" x14ac:dyDescent="0.3">
      <c r="A4521" s="21" t="str">
        <f t="shared" si="70"/>
        <v>.</v>
      </c>
      <c r="D4521" s="44"/>
      <c r="E4521" s="22" t="str">
        <f>IF(D4521&lt;&gt;"",IFERROR(INDEX(Produtos!$C$4:$C$4996,MATCH(D4521,Produtos!$B$4:$B$4996,0)),"Produto não encontrado"),"")</f>
        <v/>
      </c>
    </row>
    <row r="4522" spans="1:5" x14ac:dyDescent="0.3">
      <c r="A4522" s="21" t="str">
        <f t="shared" si="70"/>
        <v>.</v>
      </c>
      <c r="D4522" s="44"/>
      <c r="E4522" s="22" t="str">
        <f>IF(D4522&lt;&gt;"",IFERROR(INDEX(Produtos!$C$4:$C$4996,MATCH(D4522,Produtos!$B$4:$B$4996,0)),"Produto não encontrado"),"")</f>
        <v/>
      </c>
    </row>
    <row r="4523" spans="1:5" x14ac:dyDescent="0.3">
      <c r="A4523" s="21" t="str">
        <f t="shared" si="70"/>
        <v>.</v>
      </c>
      <c r="D4523" s="44"/>
      <c r="E4523" s="22" t="str">
        <f>IF(D4523&lt;&gt;"",IFERROR(INDEX(Produtos!$C$4:$C$4996,MATCH(D4523,Produtos!$B$4:$B$4996,0)),"Produto não encontrado"),"")</f>
        <v/>
      </c>
    </row>
    <row r="4524" spans="1:5" x14ac:dyDescent="0.3">
      <c r="A4524" s="21" t="str">
        <f t="shared" si="70"/>
        <v>.</v>
      </c>
      <c r="D4524" s="44"/>
      <c r="E4524" s="22" t="str">
        <f>IF(D4524&lt;&gt;"",IFERROR(INDEX(Produtos!$C$4:$C$4996,MATCH(D4524,Produtos!$B$4:$B$4996,0)),"Produto não encontrado"),"")</f>
        <v/>
      </c>
    </row>
    <row r="4525" spans="1:5" x14ac:dyDescent="0.3">
      <c r="A4525" s="21" t="str">
        <f t="shared" si="70"/>
        <v>.</v>
      </c>
      <c r="D4525" s="44"/>
      <c r="E4525" s="22" t="str">
        <f>IF(D4525&lt;&gt;"",IFERROR(INDEX(Produtos!$C$4:$C$4996,MATCH(D4525,Produtos!$B$4:$B$4996,0)),"Produto não encontrado"),"")</f>
        <v/>
      </c>
    </row>
    <row r="4526" spans="1:5" x14ac:dyDescent="0.3">
      <c r="A4526" s="21" t="str">
        <f t="shared" si="70"/>
        <v>.</v>
      </c>
      <c r="D4526" s="44"/>
      <c r="E4526" s="22" t="str">
        <f>IF(D4526&lt;&gt;"",IFERROR(INDEX(Produtos!$C$4:$C$4996,MATCH(D4526,Produtos!$B$4:$B$4996,0)),"Produto não encontrado"),"")</f>
        <v/>
      </c>
    </row>
    <row r="4527" spans="1:5" x14ac:dyDescent="0.3">
      <c r="A4527" s="21" t="str">
        <f t="shared" si="70"/>
        <v>.</v>
      </c>
      <c r="D4527" s="44"/>
      <c r="E4527" s="22" t="str">
        <f>IF(D4527&lt;&gt;"",IFERROR(INDEX(Produtos!$C$4:$C$4996,MATCH(D4527,Produtos!$B$4:$B$4996,0)),"Produto não encontrado"),"")</f>
        <v/>
      </c>
    </row>
    <row r="4528" spans="1:5" x14ac:dyDescent="0.3">
      <c r="A4528" s="21" t="str">
        <f t="shared" si="70"/>
        <v>.</v>
      </c>
      <c r="D4528" s="44"/>
      <c r="E4528" s="22" t="str">
        <f>IF(D4528&lt;&gt;"",IFERROR(INDEX(Produtos!$C$4:$C$4996,MATCH(D4528,Produtos!$B$4:$B$4996,0)),"Produto não encontrado"),"")</f>
        <v/>
      </c>
    </row>
    <row r="4529" spans="1:5" x14ac:dyDescent="0.3">
      <c r="A4529" s="21" t="str">
        <f t="shared" si="70"/>
        <v>.</v>
      </c>
      <c r="D4529" s="44"/>
      <c r="E4529" s="22" t="str">
        <f>IF(D4529&lt;&gt;"",IFERROR(INDEX(Produtos!$C$4:$C$4996,MATCH(D4529,Produtos!$B$4:$B$4996,0)),"Produto não encontrado"),"")</f>
        <v/>
      </c>
    </row>
    <row r="4530" spans="1:5" x14ac:dyDescent="0.3">
      <c r="A4530" s="21" t="str">
        <f t="shared" si="70"/>
        <v>.</v>
      </c>
      <c r="D4530" s="44"/>
      <c r="E4530" s="22" t="str">
        <f>IF(D4530&lt;&gt;"",IFERROR(INDEX(Produtos!$C$4:$C$4996,MATCH(D4530,Produtos!$B$4:$B$4996,0)),"Produto não encontrado"),"")</f>
        <v/>
      </c>
    </row>
    <row r="4531" spans="1:5" x14ac:dyDescent="0.3">
      <c r="A4531" s="21" t="str">
        <f t="shared" si="70"/>
        <v>.</v>
      </c>
      <c r="D4531" s="44"/>
      <c r="E4531" s="22" t="str">
        <f>IF(D4531&lt;&gt;"",IFERROR(INDEX(Produtos!$C$4:$C$4996,MATCH(D4531,Produtos!$B$4:$B$4996,0)),"Produto não encontrado"),"")</f>
        <v/>
      </c>
    </row>
    <row r="4532" spans="1:5" x14ac:dyDescent="0.3">
      <c r="A4532" s="21" t="str">
        <f t="shared" si="70"/>
        <v>.</v>
      </c>
      <c r="D4532" s="44"/>
      <c r="E4532" s="22" t="str">
        <f>IF(D4532&lt;&gt;"",IFERROR(INDEX(Produtos!$C$4:$C$4996,MATCH(D4532,Produtos!$B$4:$B$4996,0)),"Produto não encontrado"),"")</f>
        <v/>
      </c>
    </row>
    <row r="4533" spans="1:5" x14ac:dyDescent="0.3">
      <c r="A4533" s="21" t="str">
        <f t="shared" si="70"/>
        <v>.</v>
      </c>
      <c r="D4533" s="44"/>
      <c r="E4533" s="22" t="str">
        <f>IF(D4533&lt;&gt;"",IFERROR(INDEX(Produtos!$C$4:$C$4996,MATCH(D4533,Produtos!$B$4:$B$4996,0)),"Produto não encontrado"),"")</f>
        <v/>
      </c>
    </row>
    <row r="4534" spans="1:5" x14ac:dyDescent="0.3">
      <c r="A4534" s="21" t="str">
        <f t="shared" si="70"/>
        <v>.</v>
      </c>
      <c r="D4534" s="44"/>
      <c r="E4534" s="22" t="str">
        <f>IF(D4534&lt;&gt;"",IFERROR(INDEX(Produtos!$C$4:$C$4996,MATCH(D4534,Produtos!$B$4:$B$4996,0)),"Produto não encontrado"),"")</f>
        <v/>
      </c>
    </row>
    <row r="4535" spans="1:5" x14ac:dyDescent="0.3">
      <c r="A4535" s="21" t="str">
        <f t="shared" si="70"/>
        <v>.</v>
      </c>
      <c r="D4535" s="44"/>
      <c r="E4535" s="22" t="str">
        <f>IF(D4535&lt;&gt;"",IFERROR(INDEX(Produtos!$C$4:$C$4996,MATCH(D4535,Produtos!$B$4:$B$4996,0)),"Produto não encontrado"),"")</f>
        <v/>
      </c>
    </row>
    <row r="4536" spans="1:5" x14ac:dyDescent="0.3">
      <c r="A4536" s="21" t="str">
        <f t="shared" si="70"/>
        <v>.</v>
      </c>
      <c r="D4536" s="44"/>
      <c r="E4536" s="22" t="str">
        <f>IF(D4536&lt;&gt;"",IFERROR(INDEX(Produtos!$C$4:$C$4996,MATCH(D4536,Produtos!$B$4:$B$4996,0)),"Produto não encontrado"),"")</f>
        <v/>
      </c>
    </row>
    <row r="4537" spans="1:5" x14ac:dyDescent="0.3">
      <c r="A4537" s="21" t="str">
        <f t="shared" si="70"/>
        <v>.</v>
      </c>
      <c r="D4537" s="44"/>
      <c r="E4537" s="22" t="str">
        <f>IF(D4537&lt;&gt;"",IFERROR(INDEX(Produtos!$C$4:$C$4996,MATCH(D4537,Produtos!$B$4:$B$4996,0)),"Produto não encontrado"),"")</f>
        <v/>
      </c>
    </row>
    <row r="4538" spans="1:5" x14ac:dyDescent="0.3">
      <c r="A4538" s="21" t="str">
        <f t="shared" si="70"/>
        <v>.</v>
      </c>
      <c r="D4538" s="44"/>
      <c r="E4538" s="22" t="str">
        <f>IF(D4538&lt;&gt;"",IFERROR(INDEX(Produtos!$C$4:$C$4996,MATCH(D4538,Produtos!$B$4:$B$4996,0)),"Produto não encontrado"),"")</f>
        <v/>
      </c>
    </row>
    <row r="4539" spans="1:5" x14ac:dyDescent="0.3">
      <c r="A4539" s="21" t="str">
        <f t="shared" si="70"/>
        <v>.</v>
      </c>
      <c r="D4539" s="44"/>
      <c r="E4539" s="22" t="str">
        <f>IF(D4539&lt;&gt;"",IFERROR(INDEX(Produtos!$C$4:$C$4996,MATCH(D4539,Produtos!$B$4:$B$4996,0)),"Produto não encontrado"),"")</f>
        <v/>
      </c>
    </row>
    <row r="4540" spans="1:5" x14ac:dyDescent="0.3">
      <c r="A4540" s="21" t="str">
        <f t="shared" si="70"/>
        <v>.</v>
      </c>
      <c r="D4540" s="44"/>
      <c r="E4540" s="22" t="str">
        <f>IF(D4540&lt;&gt;"",IFERROR(INDEX(Produtos!$C$4:$C$4996,MATCH(D4540,Produtos!$B$4:$B$4996,0)),"Produto não encontrado"),"")</f>
        <v/>
      </c>
    </row>
    <row r="4541" spans="1:5" x14ac:dyDescent="0.3">
      <c r="A4541" s="21" t="str">
        <f t="shared" si="70"/>
        <v>.</v>
      </c>
      <c r="D4541" s="44"/>
      <c r="E4541" s="22" t="str">
        <f>IF(D4541&lt;&gt;"",IFERROR(INDEX(Produtos!$C$4:$C$4996,MATCH(D4541,Produtos!$B$4:$B$4996,0)),"Produto não encontrado"),"")</f>
        <v/>
      </c>
    </row>
    <row r="4542" spans="1:5" x14ac:dyDescent="0.3">
      <c r="A4542" s="21" t="str">
        <f t="shared" si="70"/>
        <v>.</v>
      </c>
      <c r="D4542" s="44"/>
      <c r="E4542" s="22" t="str">
        <f>IF(D4542&lt;&gt;"",IFERROR(INDEX(Produtos!$C$4:$C$4996,MATCH(D4542,Produtos!$B$4:$B$4996,0)),"Produto não encontrado"),"")</f>
        <v/>
      </c>
    </row>
    <row r="4543" spans="1:5" x14ac:dyDescent="0.3">
      <c r="A4543" s="21" t="str">
        <f t="shared" si="70"/>
        <v>.</v>
      </c>
      <c r="D4543" s="44"/>
      <c r="E4543" s="22" t="str">
        <f>IF(D4543&lt;&gt;"",IFERROR(INDEX(Produtos!$C$4:$C$4996,MATCH(D4543,Produtos!$B$4:$B$4996,0)),"Produto não encontrado"),"")</f>
        <v/>
      </c>
    </row>
    <row r="4544" spans="1:5" x14ac:dyDescent="0.3">
      <c r="A4544" s="21" t="str">
        <f t="shared" ref="A4544:A4607" si="71">IF(C4544="Entrada",2,IF(C4544="Saída",1,"."))</f>
        <v>.</v>
      </c>
      <c r="D4544" s="44"/>
      <c r="E4544" s="22" t="str">
        <f>IF(D4544&lt;&gt;"",IFERROR(INDEX(Produtos!$C$4:$C$4996,MATCH(D4544,Produtos!$B$4:$B$4996,0)),"Produto não encontrado"),"")</f>
        <v/>
      </c>
    </row>
    <row r="4545" spans="1:5" x14ac:dyDescent="0.3">
      <c r="A4545" s="21" t="str">
        <f t="shared" si="71"/>
        <v>.</v>
      </c>
      <c r="D4545" s="44"/>
      <c r="E4545" s="22" t="str">
        <f>IF(D4545&lt;&gt;"",IFERROR(INDEX(Produtos!$C$4:$C$4996,MATCH(D4545,Produtos!$B$4:$B$4996,0)),"Produto não encontrado"),"")</f>
        <v/>
      </c>
    </row>
    <row r="4546" spans="1:5" x14ac:dyDescent="0.3">
      <c r="A4546" s="21" t="str">
        <f t="shared" si="71"/>
        <v>.</v>
      </c>
      <c r="D4546" s="44"/>
      <c r="E4546" s="22" t="str">
        <f>IF(D4546&lt;&gt;"",IFERROR(INDEX(Produtos!$C$4:$C$4996,MATCH(D4546,Produtos!$B$4:$B$4996,0)),"Produto não encontrado"),"")</f>
        <v/>
      </c>
    </row>
    <row r="4547" spans="1:5" x14ac:dyDescent="0.3">
      <c r="A4547" s="21" t="str">
        <f t="shared" si="71"/>
        <v>.</v>
      </c>
      <c r="D4547" s="44"/>
      <c r="E4547" s="22" t="str">
        <f>IF(D4547&lt;&gt;"",IFERROR(INDEX(Produtos!$C$4:$C$4996,MATCH(D4547,Produtos!$B$4:$B$4996,0)),"Produto não encontrado"),"")</f>
        <v/>
      </c>
    </row>
    <row r="4548" spans="1:5" x14ac:dyDescent="0.3">
      <c r="A4548" s="21" t="str">
        <f t="shared" si="71"/>
        <v>.</v>
      </c>
      <c r="D4548" s="44"/>
      <c r="E4548" s="22" t="str">
        <f>IF(D4548&lt;&gt;"",IFERROR(INDEX(Produtos!$C$4:$C$4996,MATCH(D4548,Produtos!$B$4:$B$4996,0)),"Produto não encontrado"),"")</f>
        <v/>
      </c>
    </row>
    <row r="4549" spans="1:5" x14ac:dyDescent="0.3">
      <c r="A4549" s="21" t="str">
        <f t="shared" si="71"/>
        <v>.</v>
      </c>
      <c r="D4549" s="44"/>
      <c r="E4549" s="22" t="str">
        <f>IF(D4549&lt;&gt;"",IFERROR(INDEX(Produtos!$C$4:$C$4996,MATCH(D4549,Produtos!$B$4:$B$4996,0)),"Produto não encontrado"),"")</f>
        <v/>
      </c>
    </row>
    <row r="4550" spans="1:5" x14ac:dyDescent="0.3">
      <c r="A4550" s="21" t="str">
        <f t="shared" si="71"/>
        <v>.</v>
      </c>
      <c r="D4550" s="44"/>
      <c r="E4550" s="22" t="str">
        <f>IF(D4550&lt;&gt;"",IFERROR(INDEX(Produtos!$C$4:$C$4996,MATCH(D4550,Produtos!$B$4:$B$4996,0)),"Produto não encontrado"),"")</f>
        <v/>
      </c>
    </row>
    <row r="4551" spans="1:5" x14ac:dyDescent="0.3">
      <c r="A4551" s="21" t="str">
        <f t="shared" si="71"/>
        <v>.</v>
      </c>
      <c r="D4551" s="44"/>
      <c r="E4551" s="22" t="str">
        <f>IF(D4551&lt;&gt;"",IFERROR(INDEX(Produtos!$C$4:$C$4996,MATCH(D4551,Produtos!$B$4:$B$4996,0)),"Produto não encontrado"),"")</f>
        <v/>
      </c>
    </row>
    <row r="4552" spans="1:5" x14ac:dyDescent="0.3">
      <c r="A4552" s="21" t="str">
        <f t="shared" si="71"/>
        <v>.</v>
      </c>
      <c r="D4552" s="44"/>
      <c r="E4552" s="22" t="str">
        <f>IF(D4552&lt;&gt;"",IFERROR(INDEX(Produtos!$C$4:$C$4996,MATCH(D4552,Produtos!$B$4:$B$4996,0)),"Produto não encontrado"),"")</f>
        <v/>
      </c>
    </row>
    <row r="4553" spans="1:5" x14ac:dyDescent="0.3">
      <c r="A4553" s="21" t="str">
        <f t="shared" si="71"/>
        <v>.</v>
      </c>
      <c r="D4553" s="44"/>
      <c r="E4553" s="22" t="str">
        <f>IF(D4553&lt;&gt;"",IFERROR(INDEX(Produtos!$C$4:$C$4996,MATCH(D4553,Produtos!$B$4:$B$4996,0)),"Produto não encontrado"),"")</f>
        <v/>
      </c>
    </row>
    <row r="4554" spans="1:5" x14ac:dyDescent="0.3">
      <c r="A4554" s="21" t="str">
        <f t="shared" si="71"/>
        <v>.</v>
      </c>
      <c r="D4554" s="44"/>
      <c r="E4554" s="22" t="str">
        <f>IF(D4554&lt;&gt;"",IFERROR(INDEX(Produtos!$C$4:$C$4996,MATCH(D4554,Produtos!$B$4:$B$4996,0)),"Produto não encontrado"),"")</f>
        <v/>
      </c>
    </row>
    <row r="4555" spans="1:5" x14ac:dyDescent="0.3">
      <c r="A4555" s="21" t="str">
        <f t="shared" si="71"/>
        <v>.</v>
      </c>
      <c r="D4555" s="44"/>
      <c r="E4555" s="22" t="str">
        <f>IF(D4555&lt;&gt;"",IFERROR(INDEX(Produtos!$C$4:$C$4996,MATCH(D4555,Produtos!$B$4:$B$4996,0)),"Produto não encontrado"),"")</f>
        <v/>
      </c>
    </row>
    <row r="4556" spans="1:5" x14ac:dyDescent="0.3">
      <c r="A4556" s="21" t="str">
        <f t="shared" si="71"/>
        <v>.</v>
      </c>
      <c r="D4556" s="44"/>
      <c r="E4556" s="22" t="str">
        <f>IF(D4556&lt;&gt;"",IFERROR(INDEX(Produtos!$C$4:$C$4996,MATCH(D4556,Produtos!$B$4:$B$4996,0)),"Produto não encontrado"),"")</f>
        <v/>
      </c>
    </row>
    <row r="4557" spans="1:5" x14ac:dyDescent="0.3">
      <c r="A4557" s="21" t="str">
        <f t="shared" si="71"/>
        <v>.</v>
      </c>
      <c r="D4557" s="44"/>
      <c r="E4557" s="22" t="str">
        <f>IF(D4557&lt;&gt;"",IFERROR(INDEX(Produtos!$C$4:$C$4996,MATCH(D4557,Produtos!$B$4:$B$4996,0)),"Produto não encontrado"),"")</f>
        <v/>
      </c>
    </row>
    <row r="4558" spans="1:5" x14ac:dyDescent="0.3">
      <c r="A4558" s="21" t="str">
        <f t="shared" si="71"/>
        <v>.</v>
      </c>
      <c r="D4558" s="44"/>
      <c r="E4558" s="22" t="str">
        <f>IF(D4558&lt;&gt;"",IFERROR(INDEX(Produtos!$C$4:$C$4996,MATCH(D4558,Produtos!$B$4:$B$4996,0)),"Produto não encontrado"),"")</f>
        <v/>
      </c>
    </row>
    <row r="4559" spans="1:5" x14ac:dyDescent="0.3">
      <c r="A4559" s="21" t="str">
        <f t="shared" si="71"/>
        <v>.</v>
      </c>
      <c r="D4559" s="44"/>
      <c r="E4559" s="22" t="str">
        <f>IF(D4559&lt;&gt;"",IFERROR(INDEX(Produtos!$C$4:$C$4996,MATCH(D4559,Produtos!$B$4:$B$4996,0)),"Produto não encontrado"),"")</f>
        <v/>
      </c>
    </row>
    <row r="4560" spans="1:5" x14ac:dyDescent="0.3">
      <c r="A4560" s="21" t="str">
        <f t="shared" si="71"/>
        <v>.</v>
      </c>
      <c r="D4560" s="44"/>
      <c r="E4560" s="22" t="str">
        <f>IF(D4560&lt;&gt;"",IFERROR(INDEX(Produtos!$C$4:$C$4996,MATCH(D4560,Produtos!$B$4:$B$4996,0)),"Produto não encontrado"),"")</f>
        <v/>
      </c>
    </row>
    <row r="4561" spans="1:5" x14ac:dyDescent="0.3">
      <c r="A4561" s="21" t="str">
        <f t="shared" si="71"/>
        <v>.</v>
      </c>
      <c r="D4561" s="44"/>
      <c r="E4561" s="22" t="str">
        <f>IF(D4561&lt;&gt;"",IFERROR(INDEX(Produtos!$C$4:$C$4996,MATCH(D4561,Produtos!$B$4:$B$4996,0)),"Produto não encontrado"),"")</f>
        <v/>
      </c>
    </row>
    <row r="4562" spans="1:5" x14ac:dyDescent="0.3">
      <c r="A4562" s="21" t="str">
        <f t="shared" si="71"/>
        <v>.</v>
      </c>
      <c r="D4562" s="44"/>
      <c r="E4562" s="22" t="str">
        <f>IF(D4562&lt;&gt;"",IFERROR(INDEX(Produtos!$C$4:$C$4996,MATCH(D4562,Produtos!$B$4:$B$4996,0)),"Produto não encontrado"),"")</f>
        <v/>
      </c>
    </row>
    <row r="4563" spans="1:5" x14ac:dyDescent="0.3">
      <c r="A4563" s="21" t="str">
        <f t="shared" si="71"/>
        <v>.</v>
      </c>
      <c r="D4563" s="44"/>
      <c r="E4563" s="22" t="str">
        <f>IF(D4563&lt;&gt;"",IFERROR(INDEX(Produtos!$C$4:$C$4996,MATCH(D4563,Produtos!$B$4:$B$4996,0)),"Produto não encontrado"),"")</f>
        <v/>
      </c>
    </row>
    <row r="4564" spans="1:5" x14ac:dyDescent="0.3">
      <c r="A4564" s="21" t="str">
        <f t="shared" si="71"/>
        <v>.</v>
      </c>
      <c r="D4564" s="44"/>
      <c r="E4564" s="22" t="str">
        <f>IF(D4564&lt;&gt;"",IFERROR(INDEX(Produtos!$C$4:$C$4996,MATCH(D4564,Produtos!$B$4:$B$4996,0)),"Produto não encontrado"),"")</f>
        <v/>
      </c>
    </row>
    <row r="4565" spans="1:5" x14ac:dyDescent="0.3">
      <c r="A4565" s="21" t="str">
        <f t="shared" si="71"/>
        <v>.</v>
      </c>
      <c r="D4565" s="44"/>
      <c r="E4565" s="22" t="str">
        <f>IF(D4565&lt;&gt;"",IFERROR(INDEX(Produtos!$C$4:$C$4996,MATCH(D4565,Produtos!$B$4:$B$4996,0)),"Produto não encontrado"),"")</f>
        <v/>
      </c>
    </row>
    <row r="4566" spans="1:5" x14ac:dyDescent="0.3">
      <c r="A4566" s="21" t="str">
        <f t="shared" si="71"/>
        <v>.</v>
      </c>
      <c r="D4566" s="44"/>
      <c r="E4566" s="22" t="str">
        <f>IF(D4566&lt;&gt;"",IFERROR(INDEX(Produtos!$C$4:$C$4996,MATCH(D4566,Produtos!$B$4:$B$4996,0)),"Produto não encontrado"),"")</f>
        <v/>
      </c>
    </row>
    <row r="4567" spans="1:5" x14ac:dyDescent="0.3">
      <c r="A4567" s="21" t="str">
        <f t="shared" si="71"/>
        <v>.</v>
      </c>
      <c r="D4567" s="44"/>
      <c r="E4567" s="22" t="str">
        <f>IF(D4567&lt;&gt;"",IFERROR(INDEX(Produtos!$C$4:$C$4996,MATCH(D4567,Produtos!$B$4:$B$4996,0)),"Produto não encontrado"),"")</f>
        <v/>
      </c>
    </row>
    <row r="4568" spans="1:5" x14ac:dyDescent="0.3">
      <c r="A4568" s="21" t="str">
        <f t="shared" si="71"/>
        <v>.</v>
      </c>
      <c r="D4568" s="44"/>
      <c r="E4568" s="22" t="str">
        <f>IF(D4568&lt;&gt;"",IFERROR(INDEX(Produtos!$C$4:$C$4996,MATCH(D4568,Produtos!$B$4:$B$4996,0)),"Produto não encontrado"),"")</f>
        <v/>
      </c>
    </row>
    <row r="4569" spans="1:5" x14ac:dyDescent="0.3">
      <c r="A4569" s="21" t="str">
        <f t="shared" si="71"/>
        <v>.</v>
      </c>
      <c r="D4569" s="44"/>
      <c r="E4569" s="22" t="str">
        <f>IF(D4569&lt;&gt;"",IFERROR(INDEX(Produtos!$C$4:$C$4996,MATCH(D4569,Produtos!$B$4:$B$4996,0)),"Produto não encontrado"),"")</f>
        <v/>
      </c>
    </row>
    <row r="4570" spans="1:5" x14ac:dyDescent="0.3">
      <c r="A4570" s="21" t="str">
        <f t="shared" si="71"/>
        <v>.</v>
      </c>
      <c r="D4570" s="44"/>
      <c r="E4570" s="22" t="str">
        <f>IF(D4570&lt;&gt;"",IFERROR(INDEX(Produtos!$C$4:$C$4996,MATCH(D4570,Produtos!$B$4:$B$4996,0)),"Produto não encontrado"),"")</f>
        <v/>
      </c>
    </row>
    <row r="4571" spans="1:5" x14ac:dyDescent="0.3">
      <c r="A4571" s="21" t="str">
        <f t="shared" si="71"/>
        <v>.</v>
      </c>
      <c r="D4571" s="44"/>
      <c r="E4571" s="22" t="str">
        <f>IF(D4571&lt;&gt;"",IFERROR(INDEX(Produtos!$C$4:$C$4996,MATCH(D4571,Produtos!$B$4:$B$4996,0)),"Produto não encontrado"),"")</f>
        <v/>
      </c>
    </row>
    <row r="4572" spans="1:5" x14ac:dyDescent="0.3">
      <c r="A4572" s="21" t="str">
        <f t="shared" si="71"/>
        <v>.</v>
      </c>
      <c r="D4572" s="44"/>
      <c r="E4572" s="22" t="str">
        <f>IF(D4572&lt;&gt;"",IFERROR(INDEX(Produtos!$C$4:$C$4996,MATCH(D4572,Produtos!$B$4:$B$4996,0)),"Produto não encontrado"),"")</f>
        <v/>
      </c>
    </row>
    <row r="4573" spans="1:5" x14ac:dyDescent="0.3">
      <c r="A4573" s="21" t="str">
        <f t="shared" si="71"/>
        <v>.</v>
      </c>
      <c r="D4573" s="44"/>
      <c r="E4573" s="22" t="str">
        <f>IF(D4573&lt;&gt;"",IFERROR(INDEX(Produtos!$C$4:$C$4996,MATCH(D4573,Produtos!$B$4:$B$4996,0)),"Produto não encontrado"),"")</f>
        <v/>
      </c>
    </row>
    <row r="4574" spans="1:5" x14ac:dyDescent="0.3">
      <c r="A4574" s="21" t="str">
        <f t="shared" si="71"/>
        <v>.</v>
      </c>
      <c r="D4574" s="44"/>
      <c r="E4574" s="22" t="str">
        <f>IF(D4574&lt;&gt;"",IFERROR(INDEX(Produtos!$C$4:$C$4996,MATCH(D4574,Produtos!$B$4:$B$4996,0)),"Produto não encontrado"),"")</f>
        <v/>
      </c>
    </row>
    <row r="4575" spans="1:5" x14ac:dyDescent="0.3">
      <c r="A4575" s="21" t="str">
        <f t="shared" si="71"/>
        <v>.</v>
      </c>
      <c r="D4575" s="44"/>
      <c r="E4575" s="22" t="str">
        <f>IF(D4575&lt;&gt;"",IFERROR(INDEX(Produtos!$C$4:$C$4996,MATCH(D4575,Produtos!$B$4:$B$4996,0)),"Produto não encontrado"),"")</f>
        <v/>
      </c>
    </row>
    <row r="4576" spans="1:5" x14ac:dyDescent="0.3">
      <c r="A4576" s="21" t="str">
        <f t="shared" si="71"/>
        <v>.</v>
      </c>
      <c r="D4576" s="44"/>
      <c r="E4576" s="22" t="str">
        <f>IF(D4576&lt;&gt;"",IFERROR(INDEX(Produtos!$C$4:$C$4996,MATCH(D4576,Produtos!$B$4:$B$4996,0)),"Produto não encontrado"),"")</f>
        <v/>
      </c>
    </row>
    <row r="4577" spans="1:5" x14ac:dyDescent="0.3">
      <c r="A4577" s="21" t="str">
        <f t="shared" si="71"/>
        <v>.</v>
      </c>
      <c r="D4577" s="44"/>
      <c r="E4577" s="22" t="str">
        <f>IF(D4577&lt;&gt;"",IFERROR(INDEX(Produtos!$C$4:$C$4996,MATCH(D4577,Produtos!$B$4:$B$4996,0)),"Produto não encontrado"),"")</f>
        <v/>
      </c>
    </row>
    <row r="4578" spans="1:5" x14ac:dyDescent="0.3">
      <c r="A4578" s="21" t="str">
        <f t="shared" si="71"/>
        <v>.</v>
      </c>
      <c r="D4578" s="44"/>
      <c r="E4578" s="22" t="str">
        <f>IF(D4578&lt;&gt;"",IFERROR(INDEX(Produtos!$C$4:$C$4996,MATCH(D4578,Produtos!$B$4:$B$4996,0)),"Produto não encontrado"),"")</f>
        <v/>
      </c>
    </row>
    <row r="4579" spans="1:5" x14ac:dyDescent="0.3">
      <c r="A4579" s="21" t="str">
        <f t="shared" si="71"/>
        <v>.</v>
      </c>
      <c r="D4579" s="44"/>
      <c r="E4579" s="22" t="str">
        <f>IF(D4579&lt;&gt;"",IFERROR(INDEX(Produtos!$C$4:$C$4996,MATCH(D4579,Produtos!$B$4:$B$4996,0)),"Produto não encontrado"),"")</f>
        <v/>
      </c>
    </row>
    <row r="4580" spans="1:5" x14ac:dyDescent="0.3">
      <c r="A4580" s="21" t="str">
        <f t="shared" si="71"/>
        <v>.</v>
      </c>
      <c r="D4580" s="44"/>
      <c r="E4580" s="22" t="str">
        <f>IF(D4580&lt;&gt;"",IFERROR(INDEX(Produtos!$C$4:$C$4996,MATCH(D4580,Produtos!$B$4:$B$4996,0)),"Produto não encontrado"),"")</f>
        <v/>
      </c>
    </row>
    <row r="4581" spans="1:5" x14ac:dyDescent="0.3">
      <c r="A4581" s="21" t="str">
        <f t="shared" si="71"/>
        <v>.</v>
      </c>
      <c r="D4581" s="44"/>
      <c r="E4581" s="22" t="str">
        <f>IF(D4581&lt;&gt;"",IFERROR(INDEX(Produtos!$C$4:$C$4996,MATCH(D4581,Produtos!$B$4:$B$4996,0)),"Produto não encontrado"),"")</f>
        <v/>
      </c>
    </row>
    <row r="4582" spans="1:5" x14ac:dyDescent="0.3">
      <c r="A4582" s="21" t="str">
        <f t="shared" si="71"/>
        <v>.</v>
      </c>
      <c r="D4582" s="44"/>
      <c r="E4582" s="22" t="str">
        <f>IF(D4582&lt;&gt;"",IFERROR(INDEX(Produtos!$C$4:$C$4996,MATCH(D4582,Produtos!$B$4:$B$4996,0)),"Produto não encontrado"),"")</f>
        <v/>
      </c>
    </row>
    <row r="4583" spans="1:5" x14ac:dyDescent="0.3">
      <c r="A4583" s="21" t="str">
        <f t="shared" si="71"/>
        <v>.</v>
      </c>
      <c r="D4583" s="44"/>
      <c r="E4583" s="22" t="str">
        <f>IF(D4583&lt;&gt;"",IFERROR(INDEX(Produtos!$C$4:$C$4996,MATCH(D4583,Produtos!$B$4:$B$4996,0)),"Produto não encontrado"),"")</f>
        <v/>
      </c>
    </row>
    <row r="4584" spans="1:5" x14ac:dyDescent="0.3">
      <c r="A4584" s="21" t="str">
        <f t="shared" si="71"/>
        <v>.</v>
      </c>
      <c r="D4584" s="44"/>
      <c r="E4584" s="22" t="str">
        <f>IF(D4584&lt;&gt;"",IFERROR(INDEX(Produtos!$C$4:$C$4996,MATCH(D4584,Produtos!$B$4:$B$4996,0)),"Produto não encontrado"),"")</f>
        <v/>
      </c>
    </row>
    <row r="4585" spans="1:5" x14ac:dyDescent="0.3">
      <c r="A4585" s="21" t="str">
        <f t="shared" si="71"/>
        <v>.</v>
      </c>
      <c r="D4585" s="44"/>
      <c r="E4585" s="22" t="str">
        <f>IF(D4585&lt;&gt;"",IFERROR(INDEX(Produtos!$C$4:$C$4996,MATCH(D4585,Produtos!$B$4:$B$4996,0)),"Produto não encontrado"),"")</f>
        <v/>
      </c>
    </row>
    <row r="4586" spans="1:5" x14ac:dyDescent="0.3">
      <c r="A4586" s="21" t="str">
        <f t="shared" si="71"/>
        <v>.</v>
      </c>
      <c r="D4586" s="44"/>
      <c r="E4586" s="22" t="str">
        <f>IF(D4586&lt;&gt;"",IFERROR(INDEX(Produtos!$C$4:$C$4996,MATCH(D4586,Produtos!$B$4:$B$4996,0)),"Produto não encontrado"),"")</f>
        <v/>
      </c>
    </row>
    <row r="4587" spans="1:5" x14ac:dyDescent="0.3">
      <c r="A4587" s="21" t="str">
        <f t="shared" si="71"/>
        <v>.</v>
      </c>
      <c r="D4587" s="44"/>
      <c r="E4587" s="22" t="str">
        <f>IF(D4587&lt;&gt;"",IFERROR(INDEX(Produtos!$C$4:$C$4996,MATCH(D4587,Produtos!$B$4:$B$4996,0)),"Produto não encontrado"),"")</f>
        <v/>
      </c>
    </row>
    <row r="4588" spans="1:5" x14ac:dyDescent="0.3">
      <c r="A4588" s="21" t="str">
        <f t="shared" si="71"/>
        <v>.</v>
      </c>
      <c r="D4588" s="44"/>
      <c r="E4588" s="22" t="str">
        <f>IF(D4588&lt;&gt;"",IFERROR(INDEX(Produtos!$C$4:$C$4996,MATCH(D4588,Produtos!$B$4:$B$4996,0)),"Produto não encontrado"),"")</f>
        <v/>
      </c>
    </row>
    <row r="4589" spans="1:5" x14ac:dyDescent="0.3">
      <c r="A4589" s="21" t="str">
        <f t="shared" si="71"/>
        <v>.</v>
      </c>
      <c r="D4589" s="44"/>
      <c r="E4589" s="22" t="str">
        <f>IF(D4589&lt;&gt;"",IFERROR(INDEX(Produtos!$C$4:$C$4996,MATCH(D4589,Produtos!$B$4:$B$4996,0)),"Produto não encontrado"),"")</f>
        <v/>
      </c>
    </row>
    <row r="4590" spans="1:5" x14ac:dyDescent="0.3">
      <c r="A4590" s="21" t="str">
        <f t="shared" si="71"/>
        <v>.</v>
      </c>
      <c r="D4590" s="44"/>
      <c r="E4590" s="22" t="str">
        <f>IF(D4590&lt;&gt;"",IFERROR(INDEX(Produtos!$C$4:$C$4996,MATCH(D4590,Produtos!$B$4:$B$4996,0)),"Produto não encontrado"),"")</f>
        <v/>
      </c>
    </row>
    <row r="4591" spans="1:5" x14ac:dyDescent="0.3">
      <c r="A4591" s="21" t="str">
        <f t="shared" si="71"/>
        <v>.</v>
      </c>
      <c r="D4591" s="44"/>
      <c r="E4591" s="22" t="str">
        <f>IF(D4591&lt;&gt;"",IFERROR(INDEX(Produtos!$C$4:$C$4996,MATCH(D4591,Produtos!$B$4:$B$4996,0)),"Produto não encontrado"),"")</f>
        <v/>
      </c>
    </row>
    <row r="4592" spans="1:5" x14ac:dyDescent="0.3">
      <c r="A4592" s="21" t="str">
        <f t="shared" si="71"/>
        <v>.</v>
      </c>
      <c r="D4592" s="44"/>
      <c r="E4592" s="22" t="str">
        <f>IF(D4592&lt;&gt;"",IFERROR(INDEX(Produtos!$C$4:$C$4996,MATCH(D4592,Produtos!$B$4:$B$4996,0)),"Produto não encontrado"),"")</f>
        <v/>
      </c>
    </row>
    <row r="4593" spans="1:5" x14ac:dyDescent="0.3">
      <c r="A4593" s="21" t="str">
        <f t="shared" si="71"/>
        <v>.</v>
      </c>
      <c r="D4593" s="44"/>
      <c r="E4593" s="22" t="str">
        <f>IF(D4593&lt;&gt;"",IFERROR(INDEX(Produtos!$C$4:$C$4996,MATCH(D4593,Produtos!$B$4:$B$4996,0)),"Produto não encontrado"),"")</f>
        <v/>
      </c>
    </row>
    <row r="4594" spans="1:5" x14ac:dyDescent="0.3">
      <c r="A4594" s="21" t="str">
        <f t="shared" si="71"/>
        <v>.</v>
      </c>
      <c r="D4594" s="44"/>
      <c r="E4594" s="22" t="str">
        <f>IF(D4594&lt;&gt;"",IFERROR(INDEX(Produtos!$C$4:$C$4996,MATCH(D4594,Produtos!$B$4:$B$4996,0)),"Produto não encontrado"),"")</f>
        <v/>
      </c>
    </row>
    <row r="4595" spans="1:5" x14ac:dyDescent="0.3">
      <c r="A4595" s="21" t="str">
        <f t="shared" si="71"/>
        <v>.</v>
      </c>
      <c r="D4595" s="44"/>
      <c r="E4595" s="22" t="str">
        <f>IF(D4595&lt;&gt;"",IFERROR(INDEX(Produtos!$C$4:$C$4996,MATCH(D4595,Produtos!$B$4:$B$4996,0)),"Produto não encontrado"),"")</f>
        <v/>
      </c>
    </row>
    <row r="4596" spans="1:5" x14ac:dyDescent="0.3">
      <c r="A4596" s="21" t="str">
        <f t="shared" si="71"/>
        <v>.</v>
      </c>
      <c r="D4596" s="44"/>
      <c r="E4596" s="22" t="str">
        <f>IF(D4596&lt;&gt;"",IFERROR(INDEX(Produtos!$C$4:$C$4996,MATCH(D4596,Produtos!$B$4:$B$4996,0)),"Produto não encontrado"),"")</f>
        <v/>
      </c>
    </row>
    <row r="4597" spans="1:5" x14ac:dyDescent="0.3">
      <c r="A4597" s="21" t="str">
        <f t="shared" si="71"/>
        <v>.</v>
      </c>
      <c r="D4597" s="44"/>
      <c r="E4597" s="22" t="str">
        <f>IF(D4597&lt;&gt;"",IFERROR(INDEX(Produtos!$C$4:$C$4996,MATCH(D4597,Produtos!$B$4:$B$4996,0)),"Produto não encontrado"),"")</f>
        <v/>
      </c>
    </row>
    <row r="4598" spans="1:5" x14ac:dyDescent="0.3">
      <c r="A4598" s="21" t="str">
        <f t="shared" si="71"/>
        <v>.</v>
      </c>
      <c r="D4598" s="44"/>
      <c r="E4598" s="22" t="str">
        <f>IF(D4598&lt;&gt;"",IFERROR(INDEX(Produtos!$C$4:$C$4996,MATCH(D4598,Produtos!$B$4:$B$4996,0)),"Produto não encontrado"),"")</f>
        <v/>
      </c>
    </row>
    <row r="4599" spans="1:5" x14ac:dyDescent="0.3">
      <c r="A4599" s="21" t="str">
        <f t="shared" si="71"/>
        <v>.</v>
      </c>
      <c r="D4599" s="44"/>
      <c r="E4599" s="22" t="str">
        <f>IF(D4599&lt;&gt;"",IFERROR(INDEX(Produtos!$C$4:$C$4996,MATCH(D4599,Produtos!$B$4:$B$4996,0)),"Produto não encontrado"),"")</f>
        <v/>
      </c>
    </row>
    <row r="4600" spans="1:5" x14ac:dyDescent="0.3">
      <c r="A4600" s="21" t="str">
        <f t="shared" si="71"/>
        <v>.</v>
      </c>
      <c r="D4600" s="44"/>
      <c r="E4600" s="22" t="str">
        <f>IF(D4600&lt;&gt;"",IFERROR(INDEX(Produtos!$C$4:$C$4996,MATCH(D4600,Produtos!$B$4:$B$4996,0)),"Produto não encontrado"),"")</f>
        <v/>
      </c>
    </row>
    <row r="4601" spans="1:5" x14ac:dyDescent="0.3">
      <c r="A4601" s="21" t="str">
        <f t="shared" si="71"/>
        <v>.</v>
      </c>
      <c r="D4601" s="44"/>
      <c r="E4601" s="22" t="str">
        <f>IF(D4601&lt;&gt;"",IFERROR(INDEX(Produtos!$C$4:$C$4996,MATCH(D4601,Produtos!$B$4:$B$4996,0)),"Produto não encontrado"),"")</f>
        <v/>
      </c>
    </row>
    <row r="4602" spans="1:5" x14ac:dyDescent="0.3">
      <c r="A4602" s="21" t="str">
        <f t="shared" si="71"/>
        <v>.</v>
      </c>
      <c r="D4602" s="44"/>
      <c r="E4602" s="22" t="str">
        <f>IF(D4602&lt;&gt;"",IFERROR(INDEX(Produtos!$C$4:$C$4996,MATCH(D4602,Produtos!$B$4:$B$4996,0)),"Produto não encontrado"),"")</f>
        <v/>
      </c>
    </row>
    <row r="4603" spans="1:5" x14ac:dyDescent="0.3">
      <c r="A4603" s="21" t="str">
        <f t="shared" si="71"/>
        <v>.</v>
      </c>
      <c r="D4603" s="44"/>
      <c r="E4603" s="22" t="str">
        <f>IF(D4603&lt;&gt;"",IFERROR(INDEX(Produtos!$C$4:$C$4996,MATCH(D4603,Produtos!$B$4:$B$4996,0)),"Produto não encontrado"),"")</f>
        <v/>
      </c>
    </row>
    <row r="4604" spans="1:5" x14ac:dyDescent="0.3">
      <c r="A4604" s="21" t="str">
        <f t="shared" si="71"/>
        <v>.</v>
      </c>
      <c r="D4604" s="44"/>
      <c r="E4604" s="22" t="str">
        <f>IF(D4604&lt;&gt;"",IFERROR(INDEX(Produtos!$C$4:$C$4996,MATCH(D4604,Produtos!$B$4:$B$4996,0)),"Produto não encontrado"),"")</f>
        <v/>
      </c>
    </row>
    <row r="4605" spans="1:5" x14ac:dyDescent="0.3">
      <c r="A4605" s="21" t="str">
        <f t="shared" si="71"/>
        <v>.</v>
      </c>
      <c r="D4605" s="44"/>
      <c r="E4605" s="22" t="str">
        <f>IF(D4605&lt;&gt;"",IFERROR(INDEX(Produtos!$C$4:$C$4996,MATCH(D4605,Produtos!$B$4:$B$4996,0)),"Produto não encontrado"),"")</f>
        <v/>
      </c>
    </row>
    <row r="4606" spans="1:5" x14ac:dyDescent="0.3">
      <c r="A4606" s="21" t="str">
        <f t="shared" si="71"/>
        <v>.</v>
      </c>
      <c r="D4606" s="44"/>
      <c r="E4606" s="22" t="str">
        <f>IF(D4606&lt;&gt;"",IFERROR(INDEX(Produtos!$C$4:$C$4996,MATCH(D4606,Produtos!$B$4:$B$4996,0)),"Produto não encontrado"),"")</f>
        <v/>
      </c>
    </row>
    <row r="4607" spans="1:5" x14ac:dyDescent="0.3">
      <c r="A4607" s="21" t="str">
        <f t="shared" si="71"/>
        <v>.</v>
      </c>
      <c r="D4607" s="44"/>
      <c r="E4607" s="22" t="str">
        <f>IF(D4607&lt;&gt;"",IFERROR(INDEX(Produtos!$C$4:$C$4996,MATCH(D4607,Produtos!$B$4:$B$4996,0)),"Produto não encontrado"),"")</f>
        <v/>
      </c>
    </row>
    <row r="4608" spans="1:5" x14ac:dyDescent="0.3">
      <c r="A4608" s="21" t="str">
        <f t="shared" ref="A4608:A4671" si="72">IF(C4608="Entrada",2,IF(C4608="Saída",1,"."))</f>
        <v>.</v>
      </c>
      <c r="D4608" s="44"/>
      <c r="E4608" s="22" t="str">
        <f>IF(D4608&lt;&gt;"",IFERROR(INDEX(Produtos!$C$4:$C$4996,MATCH(D4608,Produtos!$B$4:$B$4996,0)),"Produto não encontrado"),"")</f>
        <v/>
      </c>
    </row>
    <row r="4609" spans="1:5" x14ac:dyDescent="0.3">
      <c r="A4609" s="21" t="str">
        <f t="shared" si="72"/>
        <v>.</v>
      </c>
      <c r="D4609" s="44"/>
      <c r="E4609" s="22" t="str">
        <f>IF(D4609&lt;&gt;"",IFERROR(INDEX(Produtos!$C$4:$C$4996,MATCH(D4609,Produtos!$B$4:$B$4996,0)),"Produto não encontrado"),"")</f>
        <v/>
      </c>
    </row>
    <row r="4610" spans="1:5" x14ac:dyDescent="0.3">
      <c r="A4610" s="21" t="str">
        <f t="shared" si="72"/>
        <v>.</v>
      </c>
      <c r="D4610" s="44"/>
      <c r="E4610" s="22" t="str">
        <f>IF(D4610&lt;&gt;"",IFERROR(INDEX(Produtos!$C$4:$C$4996,MATCH(D4610,Produtos!$B$4:$B$4996,0)),"Produto não encontrado"),"")</f>
        <v/>
      </c>
    </row>
    <row r="4611" spans="1:5" x14ac:dyDescent="0.3">
      <c r="A4611" s="21" t="str">
        <f t="shared" si="72"/>
        <v>.</v>
      </c>
      <c r="D4611" s="44"/>
      <c r="E4611" s="22" t="str">
        <f>IF(D4611&lt;&gt;"",IFERROR(INDEX(Produtos!$C$4:$C$4996,MATCH(D4611,Produtos!$B$4:$B$4996,0)),"Produto não encontrado"),"")</f>
        <v/>
      </c>
    </row>
    <row r="4612" spans="1:5" x14ac:dyDescent="0.3">
      <c r="A4612" s="21" t="str">
        <f t="shared" si="72"/>
        <v>.</v>
      </c>
      <c r="D4612" s="44"/>
      <c r="E4612" s="22" t="str">
        <f>IF(D4612&lt;&gt;"",IFERROR(INDEX(Produtos!$C$4:$C$4996,MATCH(D4612,Produtos!$B$4:$B$4996,0)),"Produto não encontrado"),"")</f>
        <v/>
      </c>
    </row>
    <row r="4613" spans="1:5" x14ac:dyDescent="0.3">
      <c r="A4613" s="21" t="str">
        <f t="shared" si="72"/>
        <v>.</v>
      </c>
      <c r="D4613" s="44"/>
      <c r="E4613" s="22" t="str">
        <f>IF(D4613&lt;&gt;"",IFERROR(INDEX(Produtos!$C$4:$C$4996,MATCH(D4613,Produtos!$B$4:$B$4996,0)),"Produto não encontrado"),"")</f>
        <v/>
      </c>
    </row>
    <row r="4614" spans="1:5" x14ac:dyDescent="0.3">
      <c r="A4614" s="21" t="str">
        <f t="shared" si="72"/>
        <v>.</v>
      </c>
      <c r="D4614" s="44"/>
      <c r="E4614" s="22" t="str">
        <f>IF(D4614&lt;&gt;"",IFERROR(INDEX(Produtos!$C$4:$C$4996,MATCH(D4614,Produtos!$B$4:$B$4996,0)),"Produto não encontrado"),"")</f>
        <v/>
      </c>
    </row>
    <row r="4615" spans="1:5" x14ac:dyDescent="0.3">
      <c r="A4615" s="21" t="str">
        <f t="shared" si="72"/>
        <v>.</v>
      </c>
      <c r="D4615" s="44"/>
      <c r="E4615" s="22" t="str">
        <f>IF(D4615&lt;&gt;"",IFERROR(INDEX(Produtos!$C$4:$C$4996,MATCH(D4615,Produtos!$B$4:$B$4996,0)),"Produto não encontrado"),"")</f>
        <v/>
      </c>
    </row>
    <row r="4616" spans="1:5" x14ac:dyDescent="0.3">
      <c r="A4616" s="21" t="str">
        <f t="shared" si="72"/>
        <v>.</v>
      </c>
      <c r="D4616" s="44"/>
      <c r="E4616" s="22" t="str">
        <f>IF(D4616&lt;&gt;"",IFERROR(INDEX(Produtos!$C$4:$C$4996,MATCH(D4616,Produtos!$B$4:$B$4996,0)),"Produto não encontrado"),"")</f>
        <v/>
      </c>
    </row>
    <row r="4617" spans="1:5" x14ac:dyDescent="0.3">
      <c r="A4617" s="21" t="str">
        <f t="shared" si="72"/>
        <v>.</v>
      </c>
      <c r="D4617" s="44"/>
      <c r="E4617" s="22" t="str">
        <f>IF(D4617&lt;&gt;"",IFERROR(INDEX(Produtos!$C$4:$C$4996,MATCH(D4617,Produtos!$B$4:$B$4996,0)),"Produto não encontrado"),"")</f>
        <v/>
      </c>
    </row>
    <row r="4618" spans="1:5" x14ac:dyDescent="0.3">
      <c r="A4618" s="21" t="str">
        <f t="shared" si="72"/>
        <v>.</v>
      </c>
      <c r="D4618" s="44"/>
      <c r="E4618" s="22" t="str">
        <f>IF(D4618&lt;&gt;"",IFERROR(INDEX(Produtos!$C$4:$C$4996,MATCH(D4618,Produtos!$B$4:$B$4996,0)),"Produto não encontrado"),"")</f>
        <v/>
      </c>
    </row>
    <row r="4619" spans="1:5" x14ac:dyDescent="0.3">
      <c r="A4619" s="21" t="str">
        <f t="shared" si="72"/>
        <v>.</v>
      </c>
      <c r="D4619" s="44"/>
      <c r="E4619" s="22" t="str">
        <f>IF(D4619&lt;&gt;"",IFERROR(INDEX(Produtos!$C$4:$C$4996,MATCH(D4619,Produtos!$B$4:$B$4996,0)),"Produto não encontrado"),"")</f>
        <v/>
      </c>
    </row>
    <row r="4620" spans="1:5" x14ac:dyDescent="0.3">
      <c r="A4620" s="21" t="str">
        <f t="shared" si="72"/>
        <v>.</v>
      </c>
      <c r="D4620" s="44"/>
      <c r="E4620" s="22" t="str">
        <f>IF(D4620&lt;&gt;"",IFERROR(INDEX(Produtos!$C$4:$C$4996,MATCH(D4620,Produtos!$B$4:$B$4996,0)),"Produto não encontrado"),"")</f>
        <v/>
      </c>
    </row>
    <row r="4621" spans="1:5" x14ac:dyDescent="0.3">
      <c r="A4621" s="21" t="str">
        <f t="shared" si="72"/>
        <v>.</v>
      </c>
      <c r="D4621" s="44"/>
      <c r="E4621" s="22" t="str">
        <f>IF(D4621&lt;&gt;"",IFERROR(INDEX(Produtos!$C$4:$C$4996,MATCH(D4621,Produtos!$B$4:$B$4996,0)),"Produto não encontrado"),"")</f>
        <v/>
      </c>
    </row>
    <row r="4622" spans="1:5" x14ac:dyDescent="0.3">
      <c r="A4622" s="21" t="str">
        <f t="shared" si="72"/>
        <v>.</v>
      </c>
      <c r="D4622" s="44"/>
      <c r="E4622" s="22" t="str">
        <f>IF(D4622&lt;&gt;"",IFERROR(INDEX(Produtos!$C$4:$C$4996,MATCH(D4622,Produtos!$B$4:$B$4996,0)),"Produto não encontrado"),"")</f>
        <v/>
      </c>
    </row>
    <row r="4623" spans="1:5" x14ac:dyDescent="0.3">
      <c r="A4623" s="21" t="str">
        <f t="shared" si="72"/>
        <v>.</v>
      </c>
      <c r="D4623" s="44"/>
      <c r="E4623" s="22" t="str">
        <f>IF(D4623&lt;&gt;"",IFERROR(INDEX(Produtos!$C$4:$C$4996,MATCH(D4623,Produtos!$B$4:$B$4996,0)),"Produto não encontrado"),"")</f>
        <v/>
      </c>
    </row>
    <row r="4624" spans="1:5" x14ac:dyDescent="0.3">
      <c r="A4624" s="21" t="str">
        <f t="shared" si="72"/>
        <v>.</v>
      </c>
      <c r="D4624" s="44"/>
      <c r="E4624" s="22" t="str">
        <f>IF(D4624&lt;&gt;"",IFERROR(INDEX(Produtos!$C$4:$C$4996,MATCH(D4624,Produtos!$B$4:$B$4996,0)),"Produto não encontrado"),"")</f>
        <v/>
      </c>
    </row>
    <row r="4625" spans="1:5" x14ac:dyDescent="0.3">
      <c r="A4625" s="21" t="str">
        <f t="shared" si="72"/>
        <v>.</v>
      </c>
      <c r="D4625" s="44"/>
      <c r="E4625" s="22" t="str">
        <f>IF(D4625&lt;&gt;"",IFERROR(INDEX(Produtos!$C$4:$C$4996,MATCH(D4625,Produtos!$B$4:$B$4996,0)),"Produto não encontrado"),"")</f>
        <v/>
      </c>
    </row>
    <row r="4626" spans="1:5" x14ac:dyDescent="0.3">
      <c r="A4626" s="21" t="str">
        <f t="shared" si="72"/>
        <v>.</v>
      </c>
      <c r="D4626" s="44"/>
      <c r="E4626" s="22" t="str">
        <f>IF(D4626&lt;&gt;"",IFERROR(INDEX(Produtos!$C$4:$C$4996,MATCH(D4626,Produtos!$B$4:$B$4996,0)),"Produto não encontrado"),"")</f>
        <v/>
      </c>
    </row>
    <row r="4627" spans="1:5" x14ac:dyDescent="0.3">
      <c r="A4627" s="21" t="str">
        <f t="shared" si="72"/>
        <v>.</v>
      </c>
      <c r="D4627" s="44"/>
      <c r="E4627" s="22" t="str">
        <f>IF(D4627&lt;&gt;"",IFERROR(INDEX(Produtos!$C$4:$C$4996,MATCH(D4627,Produtos!$B$4:$B$4996,0)),"Produto não encontrado"),"")</f>
        <v/>
      </c>
    </row>
    <row r="4628" spans="1:5" x14ac:dyDescent="0.3">
      <c r="A4628" s="21" t="str">
        <f t="shared" si="72"/>
        <v>.</v>
      </c>
      <c r="D4628" s="44"/>
      <c r="E4628" s="22" t="str">
        <f>IF(D4628&lt;&gt;"",IFERROR(INDEX(Produtos!$C$4:$C$4996,MATCH(D4628,Produtos!$B$4:$B$4996,0)),"Produto não encontrado"),"")</f>
        <v/>
      </c>
    </row>
    <row r="4629" spans="1:5" x14ac:dyDescent="0.3">
      <c r="A4629" s="21" t="str">
        <f t="shared" si="72"/>
        <v>.</v>
      </c>
      <c r="D4629" s="44"/>
      <c r="E4629" s="22" t="str">
        <f>IF(D4629&lt;&gt;"",IFERROR(INDEX(Produtos!$C$4:$C$4996,MATCH(D4629,Produtos!$B$4:$B$4996,0)),"Produto não encontrado"),"")</f>
        <v/>
      </c>
    </row>
    <row r="4630" spans="1:5" x14ac:dyDescent="0.3">
      <c r="A4630" s="21" t="str">
        <f t="shared" si="72"/>
        <v>.</v>
      </c>
      <c r="D4630" s="44"/>
      <c r="E4630" s="22" t="str">
        <f>IF(D4630&lt;&gt;"",IFERROR(INDEX(Produtos!$C$4:$C$4996,MATCH(D4630,Produtos!$B$4:$B$4996,0)),"Produto não encontrado"),"")</f>
        <v/>
      </c>
    </row>
    <row r="4631" spans="1:5" x14ac:dyDescent="0.3">
      <c r="A4631" s="21" t="str">
        <f t="shared" si="72"/>
        <v>.</v>
      </c>
      <c r="D4631" s="44"/>
      <c r="E4631" s="22" t="str">
        <f>IF(D4631&lt;&gt;"",IFERROR(INDEX(Produtos!$C$4:$C$4996,MATCH(D4631,Produtos!$B$4:$B$4996,0)),"Produto não encontrado"),"")</f>
        <v/>
      </c>
    </row>
    <row r="4632" spans="1:5" x14ac:dyDescent="0.3">
      <c r="A4632" s="21" t="str">
        <f t="shared" si="72"/>
        <v>.</v>
      </c>
      <c r="D4632" s="44"/>
      <c r="E4632" s="22" t="str">
        <f>IF(D4632&lt;&gt;"",IFERROR(INDEX(Produtos!$C$4:$C$4996,MATCH(D4632,Produtos!$B$4:$B$4996,0)),"Produto não encontrado"),"")</f>
        <v/>
      </c>
    </row>
    <row r="4633" spans="1:5" x14ac:dyDescent="0.3">
      <c r="A4633" s="21" t="str">
        <f t="shared" si="72"/>
        <v>.</v>
      </c>
      <c r="D4633" s="44"/>
      <c r="E4633" s="22" t="str">
        <f>IF(D4633&lt;&gt;"",IFERROR(INDEX(Produtos!$C$4:$C$4996,MATCH(D4633,Produtos!$B$4:$B$4996,0)),"Produto não encontrado"),"")</f>
        <v/>
      </c>
    </row>
    <row r="4634" spans="1:5" x14ac:dyDescent="0.3">
      <c r="A4634" s="21" t="str">
        <f t="shared" si="72"/>
        <v>.</v>
      </c>
      <c r="D4634" s="44"/>
      <c r="E4634" s="22" t="str">
        <f>IF(D4634&lt;&gt;"",IFERROR(INDEX(Produtos!$C$4:$C$4996,MATCH(D4634,Produtos!$B$4:$B$4996,0)),"Produto não encontrado"),"")</f>
        <v/>
      </c>
    </row>
    <row r="4635" spans="1:5" x14ac:dyDescent="0.3">
      <c r="A4635" s="21" t="str">
        <f t="shared" si="72"/>
        <v>.</v>
      </c>
      <c r="D4635" s="44"/>
      <c r="E4635" s="22" t="str">
        <f>IF(D4635&lt;&gt;"",IFERROR(INDEX(Produtos!$C$4:$C$4996,MATCH(D4635,Produtos!$B$4:$B$4996,0)),"Produto não encontrado"),"")</f>
        <v/>
      </c>
    </row>
    <row r="4636" spans="1:5" x14ac:dyDescent="0.3">
      <c r="A4636" s="21" t="str">
        <f t="shared" si="72"/>
        <v>.</v>
      </c>
      <c r="D4636" s="44"/>
      <c r="E4636" s="22" t="str">
        <f>IF(D4636&lt;&gt;"",IFERROR(INDEX(Produtos!$C$4:$C$4996,MATCH(D4636,Produtos!$B$4:$B$4996,0)),"Produto não encontrado"),"")</f>
        <v/>
      </c>
    </row>
    <row r="4637" spans="1:5" x14ac:dyDescent="0.3">
      <c r="A4637" s="21" t="str">
        <f t="shared" si="72"/>
        <v>.</v>
      </c>
      <c r="D4637" s="44"/>
      <c r="E4637" s="22" t="str">
        <f>IF(D4637&lt;&gt;"",IFERROR(INDEX(Produtos!$C$4:$C$4996,MATCH(D4637,Produtos!$B$4:$B$4996,0)),"Produto não encontrado"),"")</f>
        <v/>
      </c>
    </row>
    <row r="4638" spans="1:5" x14ac:dyDescent="0.3">
      <c r="A4638" s="21" t="str">
        <f t="shared" si="72"/>
        <v>.</v>
      </c>
      <c r="D4638" s="44"/>
      <c r="E4638" s="22" t="str">
        <f>IF(D4638&lt;&gt;"",IFERROR(INDEX(Produtos!$C$4:$C$4996,MATCH(D4638,Produtos!$B$4:$B$4996,0)),"Produto não encontrado"),"")</f>
        <v/>
      </c>
    </row>
    <row r="4639" spans="1:5" x14ac:dyDescent="0.3">
      <c r="A4639" s="21" t="str">
        <f t="shared" si="72"/>
        <v>.</v>
      </c>
      <c r="D4639" s="44"/>
      <c r="E4639" s="22" t="str">
        <f>IF(D4639&lt;&gt;"",IFERROR(INDEX(Produtos!$C$4:$C$4996,MATCH(D4639,Produtos!$B$4:$B$4996,0)),"Produto não encontrado"),"")</f>
        <v/>
      </c>
    </row>
    <row r="4640" spans="1:5" x14ac:dyDescent="0.3">
      <c r="A4640" s="21" t="str">
        <f t="shared" si="72"/>
        <v>.</v>
      </c>
      <c r="D4640" s="44"/>
      <c r="E4640" s="22" t="str">
        <f>IF(D4640&lt;&gt;"",IFERROR(INDEX(Produtos!$C$4:$C$4996,MATCH(D4640,Produtos!$B$4:$B$4996,0)),"Produto não encontrado"),"")</f>
        <v/>
      </c>
    </row>
    <row r="4641" spans="1:5" x14ac:dyDescent="0.3">
      <c r="A4641" s="21" t="str">
        <f t="shared" si="72"/>
        <v>.</v>
      </c>
      <c r="D4641" s="44"/>
      <c r="E4641" s="22" t="str">
        <f>IF(D4641&lt;&gt;"",IFERROR(INDEX(Produtos!$C$4:$C$4996,MATCH(D4641,Produtos!$B$4:$B$4996,0)),"Produto não encontrado"),"")</f>
        <v/>
      </c>
    </row>
    <row r="4642" spans="1:5" x14ac:dyDescent="0.3">
      <c r="A4642" s="21" t="str">
        <f t="shared" si="72"/>
        <v>.</v>
      </c>
      <c r="D4642" s="44"/>
      <c r="E4642" s="22" t="str">
        <f>IF(D4642&lt;&gt;"",IFERROR(INDEX(Produtos!$C$4:$C$4996,MATCH(D4642,Produtos!$B$4:$B$4996,0)),"Produto não encontrado"),"")</f>
        <v/>
      </c>
    </row>
    <row r="4643" spans="1:5" x14ac:dyDescent="0.3">
      <c r="A4643" s="21" t="str">
        <f t="shared" si="72"/>
        <v>.</v>
      </c>
      <c r="D4643" s="44"/>
      <c r="E4643" s="22" t="str">
        <f>IF(D4643&lt;&gt;"",IFERROR(INDEX(Produtos!$C$4:$C$4996,MATCH(D4643,Produtos!$B$4:$B$4996,0)),"Produto não encontrado"),"")</f>
        <v/>
      </c>
    </row>
    <row r="4644" spans="1:5" x14ac:dyDescent="0.3">
      <c r="A4644" s="21" t="str">
        <f t="shared" si="72"/>
        <v>.</v>
      </c>
      <c r="D4644" s="44"/>
      <c r="E4644" s="22" t="str">
        <f>IF(D4644&lt;&gt;"",IFERROR(INDEX(Produtos!$C$4:$C$4996,MATCH(D4644,Produtos!$B$4:$B$4996,0)),"Produto não encontrado"),"")</f>
        <v/>
      </c>
    </row>
    <row r="4645" spans="1:5" x14ac:dyDescent="0.3">
      <c r="A4645" s="21" t="str">
        <f t="shared" si="72"/>
        <v>.</v>
      </c>
      <c r="D4645" s="44"/>
      <c r="E4645" s="22" t="str">
        <f>IF(D4645&lt;&gt;"",IFERROR(INDEX(Produtos!$C$4:$C$4996,MATCH(D4645,Produtos!$B$4:$B$4996,0)),"Produto não encontrado"),"")</f>
        <v/>
      </c>
    </row>
    <row r="4646" spans="1:5" x14ac:dyDescent="0.3">
      <c r="A4646" s="21" t="str">
        <f t="shared" si="72"/>
        <v>.</v>
      </c>
      <c r="D4646" s="44"/>
      <c r="E4646" s="22" t="str">
        <f>IF(D4646&lt;&gt;"",IFERROR(INDEX(Produtos!$C$4:$C$4996,MATCH(D4646,Produtos!$B$4:$B$4996,0)),"Produto não encontrado"),"")</f>
        <v/>
      </c>
    </row>
    <row r="4647" spans="1:5" x14ac:dyDescent="0.3">
      <c r="A4647" s="21" t="str">
        <f t="shared" si="72"/>
        <v>.</v>
      </c>
      <c r="D4647" s="44"/>
      <c r="E4647" s="22" t="str">
        <f>IF(D4647&lt;&gt;"",IFERROR(INDEX(Produtos!$C$4:$C$4996,MATCH(D4647,Produtos!$B$4:$B$4996,0)),"Produto não encontrado"),"")</f>
        <v/>
      </c>
    </row>
    <row r="4648" spans="1:5" x14ac:dyDescent="0.3">
      <c r="A4648" s="21" t="str">
        <f t="shared" si="72"/>
        <v>.</v>
      </c>
      <c r="D4648" s="44"/>
      <c r="E4648" s="22" t="str">
        <f>IF(D4648&lt;&gt;"",IFERROR(INDEX(Produtos!$C$4:$C$4996,MATCH(D4648,Produtos!$B$4:$B$4996,0)),"Produto não encontrado"),"")</f>
        <v/>
      </c>
    </row>
    <row r="4649" spans="1:5" x14ac:dyDescent="0.3">
      <c r="A4649" s="21" t="str">
        <f t="shared" si="72"/>
        <v>.</v>
      </c>
      <c r="D4649" s="44"/>
      <c r="E4649" s="22" t="str">
        <f>IF(D4649&lt;&gt;"",IFERROR(INDEX(Produtos!$C$4:$C$4996,MATCH(D4649,Produtos!$B$4:$B$4996,0)),"Produto não encontrado"),"")</f>
        <v/>
      </c>
    </row>
    <row r="4650" spans="1:5" x14ac:dyDescent="0.3">
      <c r="A4650" s="21" t="str">
        <f t="shared" si="72"/>
        <v>.</v>
      </c>
      <c r="D4650" s="44"/>
      <c r="E4650" s="22" t="str">
        <f>IF(D4650&lt;&gt;"",IFERROR(INDEX(Produtos!$C$4:$C$4996,MATCH(D4650,Produtos!$B$4:$B$4996,0)),"Produto não encontrado"),"")</f>
        <v/>
      </c>
    </row>
    <row r="4651" spans="1:5" x14ac:dyDescent="0.3">
      <c r="A4651" s="21" t="str">
        <f t="shared" si="72"/>
        <v>.</v>
      </c>
      <c r="D4651" s="44"/>
      <c r="E4651" s="22" t="str">
        <f>IF(D4651&lt;&gt;"",IFERROR(INDEX(Produtos!$C$4:$C$4996,MATCH(D4651,Produtos!$B$4:$B$4996,0)),"Produto não encontrado"),"")</f>
        <v/>
      </c>
    </row>
    <row r="4652" spans="1:5" x14ac:dyDescent="0.3">
      <c r="A4652" s="21" t="str">
        <f t="shared" si="72"/>
        <v>.</v>
      </c>
      <c r="D4652" s="44"/>
      <c r="E4652" s="22" t="str">
        <f>IF(D4652&lt;&gt;"",IFERROR(INDEX(Produtos!$C$4:$C$4996,MATCH(D4652,Produtos!$B$4:$B$4996,0)),"Produto não encontrado"),"")</f>
        <v/>
      </c>
    </row>
    <row r="4653" spans="1:5" x14ac:dyDescent="0.3">
      <c r="A4653" s="21" t="str">
        <f t="shared" si="72"/>
        <v>.</v>
      </c>
      <c r="D4653" s="44"/>
      <c r="E4653" s="22" t="str">
        <f>IF(D4653&lt;&gt;"",IFERROR(INDEX(Produtos!$C$4:$C$4996,MATCH(D4653,Produtos!$B$4:$B$4996,0)),"Produto não encontrado"),"")</f>
        <v/>
      </c>
    </row>
    <row r="4654" spans="1:5" x14ac:dyDescent="0.3">
      <c r="A4654" s="21" t="str">
        <f t="shared" si="72"/>
        <v>.</v>
      </c>
      <c r="D4654" s="44"/>
      <c r="E4654" s="22" t="str">
        <f>IF(D4654&lt;&gt;"",IFERROR(INDEX(Produtos!$C$4:$C$4996,MATCH(D4654,Produtos!$B$4:$B$4996,0)),"Produto não encontrado"),"")</f>
        <v/>
      </c>
    </row>
    <row r="4655" spans="1:5" x14ac:dyDescent="0.3">
      <c r="A4655" s="21" t="str">
        <f t="shared" si="72"/>
        <v>.</v>
      </c>
      <c r="D4655" s="44"/>
      <c r="E4655" s="22" t="str">
        <f>IF(D4655&lt;&gt;"",IFERROR(INDEX(Produtos!$C$4:$C$4996,MATCH(D4655,Produtos!$B$4:$B$4996,0)),"Produto não encontrado"),"")</f>
        <v/>
      </c>
    </row>
    <row r="4656" spans="1:5" x14ac:dyDescent="0.3">
      <c r="A4656" s="21" t="str">
        <f t="shared" si="72"/>
        <v>.</v>
      </c>
      <c r="D4656" s="44"/>
      <c r="E4656" s="22" t="str">
        <f>IF(D4656&lt;&gt;"",IFERROR(INDEX(Produtos!$C$4:$C$4996,MATCH(D4656,Produtos!$B$4:$B$4996,0)),"Produto não encontrado"),"")</f>
        <v/>
      </c>
    </row>
    <row r="4657" spans="1:5" x14ac:dyDescent="0.3">
      <c r="A4657" s="21" t="str">
        <f t="shared" si="72"/>
        <v>.</v>
      </c>
      <c r="D4657" s="44"/>
      <c r="E4657" s="22" t="str">
        <f>IF(D4657&lt;&gt;"",IFERROR(INDEX(Produtos!$C$4:$C$4996,MATCH(D4657,Produtos!$B$4:$B$4996,0)),"Produto não encontrado"),"")</f>
        <v/>
      </c>
    </row>
    <row r="4658" spans="1:5" x14ac:dyDescent="0.3">
      <c r="A4658" s="21" t="str">
        <f t="shared" si="72"/>
        <v>.</v>
      </c>
      <c r="D4658" s="44"/>
      <c r="E4658" s="22" t="str">
        <f>IF(D4658&lt;&gt;"",IFERROR(INDEX(Produtos!$C$4:$C$4996,MATCH(D4658,Produtos!$B$4:$B$4996,0)),"Produto não encontrado"),"")</f>
        <v/>
      </c>
    </row>
    <row r="4659" spans="1:5" x14ac:dyDescent="0.3">
      <c r="A4659" s="21" t="str">
        <f t="shared" si="72"/>
        <v>.</v>
      </c>
      <c r="D4659" s="44"/>
      <c r="E4659" s="22" t="str">
        <f>IF(D4659&lt;&gt;"",IFERROR(INDEX(Produtos!$C$4:$C$4996,MATCH(D4659,Produtos!$B$4:$B$4996,0)),"Produto não encontrado"),"")</f>
        <v/>
      </c>
    </row>
    <row r="4660" spans="1:5" x14ac:dyDescent="0.3">
      <c r="A4660" s="21" t="str">
        <f t="shared" si="72"/>
        <v>.</v>
      </c>
      <c r="D4660" s="44"/>
      <c r="E4660" s="22" t="str">
        <f>IF(D4660&lt;&gt;"",IFERROR(INDEX(Produtos!$C$4:$C$4996,MATCH(D4660,Produtos!$B$4:$B$4996,0)),"Produto não encontrado"),"")</f>
        <v/>
      </c>
    </row>
    <row r="4661" spans="1:5" x14ac:dyDescent="0.3">
      <c r="A4661" s="21" t="str">
        <f t="shared" si="72"/>
        <v>.</v>
      </c>
      <c r="D4661" s="44"/>
      <c r="E4661" s="22" t="str">
        <f>IF(D4661&lt;&gt;"",IFERROR(INDEX(Produtos!$C$4:$C$4996,MATCH(D4661,Produtos!$B$4:$B$4996,0)),"Produto não encontrado"),"")</f>
        <v/>
      </c>
    </row>
    <row r="4662" spans="1:5" x14ac:dyDescent="0.3">
      <c r="A4662" s="21" t="str">
        <f t="shared" si="72"/>
        <v>.</v>
      </c>
      <c r="D4662" s="44"/>
      <c r="E4662" s="22" t="str">
        <f>IF(D4662&lt;&gt;"",IFERROR(INDEX(Produtos!$C$4:$C$4996,MATCH(D4662,Produtos!$B$4:$B$4996,0)),"Produto não encontrado"),"")</f>
        <v/>
      </c>
    </row>
    <row r="4663" spans="1:5" x14ac:dyDescent="0.3">
      <c r="A4663" s="21" t="str">
        <f t="shared" si="72"/>
        <v>.</v>
      </c>
      <c r="D4663" s="44"/>
      <c r="E4663" s="22" t="str">
        <f>IF(D4663&lt;&gt;"",IFERROR(INDEX(Produtos!$C$4:$C$4996,MATCH(D4663,Produtos!$B$4:$B$4996,0)),"Produto não encontrado"),"")</f>
        <v/>
      </c>
    </row>
    <row r="4664" spans="1:5" x14ac:dyDescent="0.3">
      <c r="A4664" s="21" t="str">
        <f t="shared" si="72"/>
        <v>.</v>
      </c>
      <c r="D4664" s="44"/>
      <c r="E4664" s="22" t="str">
        <f>IF(D4664&lt;&gt;"",IFERROR(INDEX(Produtos!$C$4:$C$4996,MATCH(D4664,Produtos!$B$4:$B$4996,0)),"Produto não encontrado"),"")</f>
        <v/>
      </c>
    </row>
    <row r="4665" spans="1:5" x14ac:dyDescent="0.3">
      <c r="A4665" s="21" t="str">
        <f t="shared" si="72"/>
        <v>.</v>
      </c>
      <c r="D4665" s="44"/>
      <c r="E4665" s="22" t="str">
        <f>IF(D4665&lt;&gt;"",IFERROR(INDEX(Produtos!$C$4:$C$4996,MATCH(D4665,Produtos!$B$4:$B$4996,0)),"Produto não encontrado"),"")</f>
        <v/>
      </c>
    </row>
    <row r="4666" spans="1:5" x14ac:dyDescent="0.3">
      <c r="A4666" s="21" t="str">
        <f t="shared" si="72"/>
        <v>.</v>
      </c>
      <c r="D4666" s="44"/>
      <c r="E4666" s="22" t="str">
        <f>IF(D4666&lt;&gt;"",IFERROR(INDEX(Produtos!$C$4:$C$4996,MATCH(D4666,Produtos!$B$4:$B$4996,0)),"Produto não encontrado"),"")</f>
        <v/>
      </c>
    </row>
    <row r="4667" spans="1:5" x14ac:dyDescent="0.3">
      <c r="A4667" s="21" t="str">
        <f t="shared" si="72"/>
        <v>.</v>
      </c>
      <c r="D4667" s="44"/>
      <c r="E4667" s="22" t="str">
        <f>IF(D4667&lt;&gt;"",IFERROR(INDEX(Produtos!$C$4:$C$4996,MATCH(D4667,Produtos!$B$4:$B$4996,0)),"Produto não encontrado"),"")</f>
        <v/>
      </c>
    </row>
    <row r="4668" spans="1:5" x14ac:dyDescent="0.3">
      <c r="A4668" s="21" t="str">
        <f t="shared" si="72"/>
        <v>.</v>
      </c>
      <c r="D4668" s="44"/>
      <c r="E4668" s="22" t="str">
        <f>IF(D4668&lt;&gt;"",IFERROR(INDEX(Produtos!$C$4:$C$4996,MATCH(D4668,Produtos!$B$4:$B$4996,0)),"Produto não encontrado"),"")</f>
        <v/>
      </c>
    </row>
    <row r="4669" spans="1:5" x14ac:dyDescent="0.3">
      <c r="A4669" s="21" t="str">
        <f t="shared" si="72"/>
        <v>.</v>
      </c>
      <c r="D4669" s="44"/>
      <c r="E4669" s="22" t="str">
        <f>IF(D4669&lt;&gt;"",IFERROR(INDEX(Produtos!$C$4:$C$4996,MATCH(D4669,Produtos!$B$4:$B$4996,0)),"Produto não encontrado"),"")</f>
        <v/>
      </c>
    </row>
    <row r="4670" spans="1:5" x14ac:dyDescent="0.3">
      <c r="A4670" s="21" t="str">
        <f t="shared" si="72"/>
        <v>.</v>
      </c>
      <c r="D4670" s="44"/>
      <c r="E4670" s="22" t="str">
        <f>IF(D4670&lt;&gt;"",IFERROR(INDEX(Produtos!$C$4:$C$4996,MATCH(D4670,Produtos!$B$4:$B$4996,0)),"Produto não encontrado"),"")</f>
        <v/>
      </c>
    </row>
    <row r="4671" spans="1:5" x14ac:dyDescent="0.3">
      <c r="A4671" s="21" t="str">
        <f t="shared" si="72"/>
        <v>.</v>
      </c>
      <c r="D4671" s="44"/>
      <c r="E4671" s="22" t="str">
        <f>IF(D4671&lt;&gt;"",IFERROR(INDEX(Produtos!$C$4:$C$4996,MATCH(D4671,Produtos!$B$4:$B$4996,0)),"Produto não encontrado"),"")</f>
        <v/>
      </c>
    </row>
    <row r="4672" spans="1:5" x14ac:dyDescent="0.3">
      <c r="A4672" s="21" t="str">
        <f t="shared" ref="A4672:A4735" si="73">IF(C4672="Entrada",2,IF(C4672="Saída",1,"."))</f>
        <v>.</v>
      </c>
      <c r="D4672" s="44"/>
      <c r="E4672" s="22" t="str">
        <f>IF(D4672&lt;&gt;"",IFERROR(INDEX(Produtos!$C$4:$C$4996,MATCH(D4672,Produtos!$B$4:$B$4996,0)),"Produto não encontrado"),"")</f>
        <v/>
      </c>
    </row>
    <row r="4673" spans="1:5" x14ac:dyDescent="0.3">
      <c r="A4673" s="21" t="str">
        <f t="shared" si="73"/>
        <v>.</v>
      </c>
      <c r="D4673" s="44"/>
      <c r="E4673" s="22" t="str">
        <f>IF(D4673&lt;&gt;"",IFERROR(INDEX(Produtos!$C$4:$C$4996,MATCH(D4673,Produtos!$B$4:$B$4996,0)),"Produto não encontrado"),"")</f>
        <v/>
      </c>
    </row>
    <row r="4674" spans="1:5" x14ac:dyDescent="0.3">
      <c r="A4674" s="21" t="str">
        <f t="shared" si="73"/>
        <v>.</v>
      </c>
      <c r="D4674" s="44"/>
      <c r="E4674" s="22" t="str">
        <f>IF(D4674&lt;&gt;"",IFERROR(INDEX(Produtos!$C$4:$C$4996,MATCH(D4674,Produtos!$B$4:$B$4996,0)),"Produto não encontrado"),"")</f>
        <v/>
      </c>
    </row>
    <row r="4675" spans="1:5" x14ac:dyDescent="0.3">
      <c r="A4675" s="21" t="str">
        <f t="shared" si="73"/>
        <v>.</v>
      </c>
      <c r="D4675" s="44"/>
      <c r="E4675" s="22" t="str">
        <f>IF(D4675&lt;&gt;"",IFERROR(INDEX(Produtos!$C$4:$C$4996,MATCH(D4675,Produtos!$B$4:$B$4996,0)),"Produto não encontrado"),"")</f>
        <v/>
      </c>
    </row>
    <row r="4676" spans="1:5" x14ac:dyDescent="0.3">
      <c r="A4676" s="21" t="str">
        <f t="shared" si="73"/>
        <v>.</v>
      </c>
      <c r="D4676" s="44"/>
      <c r="E4676" s="22" t="str">
        <f>IF(D4676&lt;&gt;"",IFERROR(INDEX(Produtos!$C$4:$C$4996,MATCH(D4676,Produtos!$B$4:$B$4996,0)),"Produto não encontrado"),"")</f>
        <v/>
      </c>
    </row>
    <row r="4677" spans="1:5" x14ac:dyDescent="0.3">
      <c r="A4677" s="21" t="str">
        <f t="shared" si="73"/>
        <v>.</v>
      </c>
      <c r="D4677" s="44"/>
      <c r="E4677" s="22" t="str">
        <f>IF(D4677&lt;&gt;"",IFERROR(INDEX(Produtos!$C$4:$C$4996,MATCH(D4677,Produtos!$B$4:$B$4996,0)),"Produto não encontrado"),"")</f>
        <v/>
      </c>
    </row>
    <row r="4678" spans="1:5" x14ac:dyDescent="0.3">
      <c r="A4678" s="21" t="str">
        <f t="shared" si="73"/>
        <v>.</v>
      </c>
      <c r="D4678" s="44"/>
      <c r="E4678" s="22" t="str">
        <f>IF(D4678&lt;&gt;"",IFERROR(INDEX(Produtos!$C$4:$C$4996,MATCH(D4678,Produtos!$B$4:$B$4996,0)),"Produto não encontrado"),"")</f>
        <v/>
      </c>
    </row>
    <row r="4679" spans="1:5" x14ac:dyDescent="0.3">
      <c r="A4679" s="21" t="str">
        <f t="shared" si="73"/>
        <v>.</v>
      </c>
      <c r="D4679" s="44"/>
      <c r="E4679" s="22" t="str">
        <f>IF(D4679&lt;&gt;"",IFERROR(INDEX(Produtos!$C$4:$C$4996,MATCH(D4679,Produtos!$B$4:$B$4996,0)),"Produto não encontrado"),"")</f>
        <v/>
      </c>
    </row>
    <row r="4680" spans="1:5" x14ac:dyDescent="0.3">
      <c r="A4680" s="21" t="str">
        <f t="shared" si="73"/>
        <v>.</v>
      </c>
      <c r="D4680" s="44"/>
      <c r="E4680" s="22" t="str">
        <f>IF(D4680&lt;&gt;"",IFERROR(INDEX(Produtos!$C$4:$C$4996,MATCH(D4680,Produtos!$B$4:$B$4996,0)),"Produto não encontrado"),"")</f>
        <v/>
      </c>
    </row>
    <row r="4681" spans="1:5" x14ac:dyDescent="0.3">
      <c r="A4681" s="21" t="str">
        <f t="shared" si="73"/>
        <v>.</v>
      </c>
      <c r="D4681" s="44"/>
      <c r="E4681" s="22" t="str">
        <f>IF(D4681&lt;&gt;"",IFERROR(INDEX(Produtos!$C$4:$C$4996,MATCH(D4681,Produtos!$B$4:$B$4996,0)),"Produto não encontrado"),"")</f>
        <v/>
      </c>
    </row>
    <row r="4682" spans="1:5" x14ac:dyDescent="0.3">
      <c r="A4682" s="21" t="str">
        <f t="shared" si="73"/>
        <v>.</v>
      </c>
      <c r="D4682" s="44"/>
      <c r="E4682" s="22" t="str">
        <f>IF(D4682&lt;&gt;"",IFERROR(INDEX(Produtos!$C$4:$C$4996,MATCH(D4682,Produtos!$B$4:$B$4996,0)),"Produto não encontrado"),"")</f>
        <v/>
      </c>
    </row>
    <row r="4683" spans="1:5" x14ac:dyDescent="0.3">
      <c r="A4683" s="21" t="str">
        <f t="shared" si="73"/>
        <v>.</v>
      </c>
      <c r="D4683" s="44"/>
      <c r="E4683" s="22" t="str">
        <f>IF(D4683&lt;&gt;"",IFERROR(INDEX(Produtos!$C$4:$C$4996,MATCH(D4683,Produtos!$B$4:$B$4996,0)),"Produto não encontrado"),"")</f>
        <v/>
      </c>
    </row>
    <row r="4684" spans="1:5" x14ac:dyDescent="0.3">
      <c r="A4684" s="21" t="str">
        <f t="shared" si="73"/>
        <v>.</v>
      </c>
      <c r="D4684" s="44"/>
      <c r="E4684" s="22" t="str">
        <f>IF(D4684&lt;&gt;"",IFERROR(INDEX(Produtos!$C$4:$C$4996,MATCH(D4684,Produtos!$B$4:$B$4996,0)),"Produto não encontrado"),"")</f>
        <v/>
      </c>
    </row>
    <row r="4685" spans="1:5" x14ac:dyDescent="0.3">
      <c r="A4685" s="21" t="str">
        <f t="shared" si="73"/>
        <v>.</v>
      </c>
      <c r="D4685" s="44"/>
      <c r="E4685" s="22" t="str">
        <f>IF(D4685&lt;&gt;"",IFERROR(INDEX(Produtos!$C$4:$C$4996,MATCH(D4685,Produtos!$B$4:$B$4996,0)),"Produto não encontrado"),"")</f>
        <v/>
      </c>
    </row>
    <row r="4686" spans="1:5" x14ac:dyDescent="0.3">
      <c r="A4686" s="21" t="str">
        <f t="shared" si="73"/>
        <v>.</v>
      </c>
      <c r="D4686" s="44"/>
      <c r="E4686" s="22" t="str">
        <f>IF(D4686&lt;&gt;"",IFERROR(INDEX(Produtos!$C$4:$C$4996,MATCH(D4686,Produtos!$B$4:$B$4996,0)),"Produto não encontrado"),"")</f>
        <v/>
      </c>
    </row>
    <row r="4687" spans="1:5" x14ac:dyDescent="0.3">
      <c r="A4687" s="21" t="str">
        <f t="shared" si="73"/>
        <v>.</v>
      </c>
      <c r="D4687" s="44"/>
      <c r="E4687" s="22" t="str">
        <f>IF(D4687&lt;&gt;"",IFERROR(INDEX(Produtos!$C$4:$C$4996,MATCH(D4687,Produtos!$B$4:$B$4996,0)),"Produto não encontrado"),"")</f>
        <v/>
      </c>
    </row>
    <row r="4688" spans="1:5" x14ac:dyDescent="0.3">
      <c r="A4688" s="21" t="str">
        <f t="shared" si="73"/>
        <v>.</v>
      </c>
      <c r="D4688" s="44"/>
      <c r="E4688" s="22" t="str">
        <f>IF(D4688&lt;&gt;"",IFERROR(INDEX(Produtos!$C$4:$C$4996,MATCH(D4688,Produtos!$B$4:$B$4996,0)),"Produto não encontrado"),"")</f>
        <v/>
      </c>
    </row>
    <row r="4689" spans="1:5" x14ac:dyDescent="0.3">
      <c r="A4689" s="21" t="str">
        <f t="shared" si="73"/>
        <v>.</v>
      </c>
      <c r="D4689" s="44"/>
      <c r="E4689" s="22" t="str">
        <f>IF(D4689&lt;&gt;"",IFERROR(INDEX(Produtos!$C$4:$C$4996,MATCH(D4689,Produtos!$B$4:$B$4996,0)),"Produto não encontrado"),"")</f>
        <v/>
      </c>
    </row>
    <row r="4690" spans="1:5" x14ac:dyDescent="0.3">
      <c r="A4690" s="21" t="str">
        <f t="shared" si="73"/>
        <v>.</v>
      </c>
      <c r="D4690" s="44"/>
      <c r="E4690" s="22" t="str">
        <f>IF(D4690&lt;&gt;"",IFERROR(INDEX(Produtos!$C$4:$C$4996,MATCH(D4690,Produtos!$B$4:$B$4996,0)),"Produto não encontrado"),"")</f>
        <v/>
      </c>
    </row>
    <row r="4691" spans="1:5" x14ac:dyDescent="0.3">
      <c r="A4691" s="21" t="str">
        <f t="shared" si="73"/>
        <v>.</v>
      </c>
      <c r="D4691" s="44"/>
      <c r="E4691" s="22" t="str">
        <f>IF(D4691&lt;&gt;"",IFERROR(INDEX(Produtos!$C$4:$C$4996,MATCH(D4691,Produtos!$B$4:$B$4996,0)),"Produto não encontrado"),"")</f>
        <v/>
      </c>
    </row>
    <row r="4692" spans="1:5" x14ac:dyDescent="0.3">
      <c r="A4692" s="21" t="str">
        <f t="shared" si="73"/>
        <v>.</v>
      </c>
      <c r="D4692" s="44"/>
      <c r="E4692" s="22" t="str">
        <f>IF(D4692&lt;&gt;"",IFERROR(INDEX(Produtos!$C$4:$C$4996,MATCH(D4692,Produtos!$B$4:$B$4996,0)),"Produto não encontrado"),"")</f>
        <v/>
      </c>
    </row>
    <row r="4693" spans="1:5" x14ac:dyDescent="0.3">
      <c r="A4693" s="21" t="str">
        <f t="shared" si="73"/>
        <v>.</v>
      </c>
      <c r="D4693" s="44"/>
      <c r="E4693" s="22" t="str">
        <f>IF(D4693&lt;&gt;"",IFERROR(INDEX(Produtos!$C$4:$C$4996,MATCH(D4693,Produtos!$B$4:$B$4996,0)),"Produto não encontrado"),"")</f>
        <v/>
      </c>
    </row>
    <row r="4694" spans="1:5" x14ac:dyDescent="0.3">
      <c r="A4694" s="21" t="str">
        <f t="shared" si="73"/>
        <v>.</v>
      </c>
      <c r="D4694" s="44"/>
      <c r="E4694" s="22" t="str">
        <f>IF(D4694&lt;&gt;"",IFERROR(INDEX(Produtos!$C$4:$C$4996,MATCH(D4694,Produtos!$B$4:$B$4996,0)),"Produto não encontrado"),"")</f>
        <v/>
      </c>
    </row>
    <row r="4695" spans="1:5" x14ac:dyDescent="0.3">
      <c r="A4695" s="21" t="str">
        <f t="shared" si="73"/>
        <v>.</v>
      </c>
      <c r="D4695" s="44"/>
      <c r="E4695" s="22" t="str">
        <f>IF(D4695&lt;&gt;"",IFERROR(INDEX(Produtos!$C$4:$C$4996,MATCH(D4695,Produtos!$B$4:$B$4996,0)),"Produto não encontrado"),"")</f>
        <v/>
      </c>
    </row>
    <row r="4696" spans="1:5" x14ac:dyDescent="0.3">
      <c r="A4696" s="21" t="str">
        <f t="shared" si="73"/>
        <v>.</v>
      </c>
      <c r="D4696" s="44"/>
      <c r="E4696" s="22" t="str">
        <f>IF(D4696&lt;&gt;"",IFERROR(INDEX(Produtos!$C$4:$C$4996,MATCH(D4696,Produtos!$B$4:$B$4996,0)),"Produto não encontrado"),"")</f>
        <v/>
      </c>
    </row>
    <row r="4697" spans="1:5" x14ac:dyDescent="0.3">
      <c r="A4697" s="21" t="str">
        <f t="shared" si="73"/>
        <v>.</v>
      </c>
      <c r="D4697" s="44"/>
      <c r="E4697" s="22" t="str">
        <f>IF(D4697&lt;&gt;"",IFERROR(INDEX(Produtos!$C$4:$C$4996,MATCH(D4697,Produtos!$B$4:$B$4996,0)),"Produto não encontrado"),"")</f>
        <v/>
      </c>
    </row>
    <row r="4698" spans="1:5" x14ac:dyDescent="0.3">
      <c r="A4698" s="21" t="str">
        <f t="shared" si="73"/>
        <v>.</v>
      </c>
      <c r="D4698" s="44"/>
      <c r="E4698" s="22" t="str">
        <f>IF(D4698&lt;&gt;"",IFERROR(INDEX(Produtos!$C$4:$C$4996,MATCH(D4698,Produtos!$B$4:$B$4996,0)),"Produto não encontrado"),"")</f>
        <v/>
      </c>
    </row>
    <row r="4699" spans="1:5" x14ac:dyDescent="0.3">
      <c r="A4699" s="21" t="str">
        <f t="shared" si="73"/>
        <v>.</v>
      </c>
      <c r="D4699" s="44"/>
      <c r="E4699" s="22" t="str">
        <f>IF(D4699&lt;&gt;"",IFERROR(INDEX(Produtos!$C$4:$C$4996,MATCH(D4699,Produtos!$B$4:$B$4996,0)),"Produto não encontrado"),"")</f>
        <v/>
      </c>
    </row>
    <row r="4700" spans="1:5" x14ac:dyDescent="0.3">
      <c r="A4700" s="21" t="str">
        <f t="shared" si="73"/>
        <v>.</v>
      </c>
      <c r="D4700" s="44"/>
      <c r="E4700" s="22" t="str">
        <f>IF(D4700&lt;&gt;"",IFERROR(INDEX(Produtos!$C$4:$C$4996,MATCH(D4700,Produtos!$B$4:$B$4996,0)),"Produto não encontrado"),"")</f>
        <v/>
      </c>
    </row>
    <row r="4701" spans="1:5" x14ac:dyDescent="0.3">
      <c r="A4701" s="21" t="str">
        <f t="shared" si="73"/>
        <v>.</v>
      </c>
      <c r="D4701" s="44"/>
      <c r="E4701" s="22" t="str">
        <f>IF(D4701&lt;&gt;"",IFERROR(INDEX(Produtos!$C$4:$C$4996,MATCH(D4701,Produtos!$B$4:$B$4996,0)),"Produto não encontrado"),"")</f>
        <v/>
      </c>
    </row>
    <row r="4702" spans="1:5" x14ac:dyDescent="0.3">
      <c r="A4702" s="21" t="str">
        <f t="shared" si="73"/>
        <v>.</v>
      </c>
      <c r="D4702" s="44"/>
      <c r="E4702" s="22" t="str">
        <f>IF(D4702&lt;&gt;"",IFERROR(INDEX(Produtos!$C$4:$C$4996,MATCH(D4702,Produtos!$B$4:$B$4996,0)),"Produto não encontrado"),"")</f>
        <v/>
      </c>
    </row>
    <row r="4703" spans="1:5" x14ac:dyDescent="0.3">
      <c r="A4703" s="21" t="str">
        <f t="shared" si="73"/>
        <v>.</v>
      </c>
      <c r="D4703" s="44"/>
      <c r="E4703" s="22" t="str">
        <f>IF(D4703&lt;&gt;"",IFERROR(INDEX(Produtos!$C$4:$C$4996,MATCH(D4703,Produtos!$B$4:$B$4996,0)),"Produto não encontrado"),"")</f>
        <v/>
      </c>
    </row>
    <row r="4704" spans="1:5" x14ac:dyDescent="0.3">
      <c r="A4704" s="21" t="str">
        <f t="shared" si="73"/>
        <v>.</v>
      </c>
      <c r="D4704" s="44"/>
      <c r="E4704" s="22" t="str">
        <f>IF(D4704&lt;&gt;"",IFERROR(INDEX(Produtos!$C$4:$C$4996,MATCH(D4704,Produtos!$B$4:$B$4996,0)),"Produto não encontrado"),"")</f>
        <v/>
      </c>
    </row>
    <row r="4705" spans="1:5" x14ac:dyDescent="0.3">
      <c r="A4705" s="21" t="str">
        <f t="shared" si="73"/>
        <v>.</v>
      </c>
      <c r="D4705" s="44"/>
      <c r="E4705" s="22" t="str">
        <f>IF(D4705&lt;&gt;"",IFERROR(INDEX(Produtos!$C$4:$C$4996,MATCH(D4705,Produtos!$B$4:$B$4996,0)),"Produto não encontrado"),"")</f>
        <v/>
      </c>
    </row>
    <row r="4706" spans="1:5" x14ac:dyDescent="0.3">
      <c r="A4706" s="21" t="str">
        <f t="shared" si="73"/>
        <v>.</v>
      </c>
      <c r="D4706" s="44"/>
      <c r="E4706" s="22" t="str">
        <f>IF(D4706&lt;&gt;"",IFERROR(INDEX(Produtos!$C$4:$C$4996,MATCH(D4706,Produtos!$B$4:$B$4996,0)),"Produto não encontrado"),"")</f>
        <v/>
      </c>
    </row>
    <row r="4707" spans="1:5" x14ac:dyDescent="0.3">
      <c r="A4707" s="21" t="str">
        <f t="shared" si="73"/>
        <v>.</v>
      </c>
      <c r="D4707" s="44"/>
      <c r="E4707" s="22" t="str">
        <f>IF(D4707&lt;&gt;"",IFERROR(INDEX(Produtos!$C$4:$C$4996,MATCH(D4707,Produtos!$B$4:$B$4996,0)),"Produto não encontrado"),"")</f>
        <v/>
      </c>
    </row>
    <row r="4708" spans="1:5" x14ac:dyDescent="0.3">
      <c r="A4708" s="21" t="str">
        <f t="shared" si="73"/>
        <v>.</v>
      </c>
      <c r="D4708" s="44"/>
      <c r="E4708" s="22" t="str">
        <f>IF(D4708&lt;&gt;"",IFERROR(INDEX(Produtos!$C$4:$C$4996,MATCH(D4708,Produtos!$B$4:$B$4996,0)),"Produto não encontrado"),"")</f>
        <v/>
      </c>
    </row>
    <row r="4709" spans="1:5" x14ac:dyDescent="0.3">
      <c r="A4709" s="21" t="str">
        <f t="shared" si="73"/>
        <v>.</v>
      </c>
      <c r="D4709" s="44"/>
      <c r="E4709" s="22" t="str">
        <f>IF(D4709&lt;&gt;"",IFERROR(INDEX(Produtos!$C$4:$C$4996,MATCH(D4709,Produtos!$B$4:$B$4996,0)),"Produto não encontrado"),"")</f>
        <v/>
      </c>
    </row>
    <row r="4710" spans="1:5" x14ac:dyDescent="0.3">
      <c r="A4710" s="21" t="str">
        <f t="shared" si="73"/>
        <v>.</v>
      </c>
      <c r="D4710" s="44"/>
      <c r="E4710" s="22" t="str">
        <f>IF(D4710&lt;&gt;"",IFERROR(INDEX(Produtos!$C$4:$C$4996,MATCH(D4710,Produtos!$B$4:$B$4996,0)),"Produto não encontrado"),"")</f>
        <v/>
      </c>
    </row>
    <row r="4711" spans="1:5" x14ac:dyDescent="0.3">
      <c r="A4711" s="21" t="str">
        <f t="shared" si="73"/>
        <v>.</v>
      </c>
      <c r="D4711" s="44"/>
      <c r="E4711" s="22" t="str">
        <f>IF(D4711&lt;&gt;"",IFERROR(INDEX(Produtos!$C$4:$C$4996,MATCH(D4711,Produtos!$B$4:$B$4996,0)),"Produto não encontrado"),"")</f>
        <v/>
      </c>
    </row>
    <row r="4712" spans="1:5" x14ac:dyDescent="0.3">
      <c r="A4712" s="21" t="str">
        <f t="shared" si="73"/>
        <v>.</v>
      </c>
      <c r="D4712" s="44"/>
      <c r="E4712" s="22" t="str">
        <f>IF(D4712&lt;&gt;"",IFERROR(INDEX(Produtos!$C$4:$C$4996,MATCH(D4712,Produtos!$B$4:$B$4996,0)),"Produto não encontrado"),"")</f>
        <v/>
      </c>
    </row>
    <row r="4713" spans="1:5" x14ac:dyDescent="0.3">
      <c r="A4713" s="21" t="str">
        <f t="shared" si="73"/>
        <v>.</v>
      </c>
      <c r="D4713" s="44"/>
      <c r="E4713" s="22" t="str">
        <f>IF(D4713&lt;&gt;"",IFERROR(INDEX(Produtos!$C$4:$C$4996,MATCH(D4713,Produtos!$B$4:$B$4996,0)),"Produto não encontrado"),"")</f>
        <v/>
      </c>
    </row>
    <row r="4714" spans="1:5" x14ac:dyDescent="0.3">
      <c r="A4714" s="21" t="str">
        <f t="shared" si="73"/>
        <v>.</v>
      </c>
      <c r="D4714" s="44"/>
      <c r="E4714" s="22" t="str">
        <f>IF(D4714&lt;&gt;"",IFERROR(INDEX(Produtos!$C$4:$C$4996,MATCH(D4714,Produtos!$B$4:$B$4996,0)),"Produto não encontrado"),"")</f>
        <v/>
      </c>
    </row>
    <row r="4715" spans="1:5" x14ac:dyDescent="0.3">
      <c r="A4715" s="21" t="str">
        <f t="shared" si="73"/>
        <v>.</v>
      </c>
      <c r="D4715" s="44"/>
      <c r="E4715" s="22" t="str">
        <f>IF(D4715&lt;&gt;"",IFERROR(INDEX(Produtos!$C$4:$C$4996,MATCH(D4715,Produtos!$B$4:$B$4996,0)),"Produto não encontrado"),"")</f>
        <v/>
      </c>
    </row>
    <row r="4716" spans="1:5" x14ac:dyDescent="0.3">
      <c r="A4716" s="21" t="str">
        <f t="shared" si="73"/>
        <v>.</v>
      </c>
      <c r="D4716" s="44"/>
      <c r="E4716" s="22" t="str">
        <f>IF(D4716&lt;&gt;"",IFERROR(INDEX(Produtos!$C$4:$C$4996,MATCH(D4716,Produtos!$B$4:$B$4996,0)),"Produto não encontrado"),"")</f>
        <v/>
      </c>
    </row>
    <row r="4717" spans="1:5" x14ac:dyDescent="0.3">
      <c r="A4717" s="21" t="str">
        <f t="shared" si="73"/>
        <v>.</v>
      </c>
      <c r="D4717" s="44"/>
      <c r="E4717" s="22" t="str">
        <f>IF(D4717&lt;&gt;"",IFERROR(INDEX(Produtos!$C$4:$C$4996,MATCH(D4717,Produtos!$B$4:$B$4996,0)),"Produto não encontrado"),"")</f>
        <v/>
      </c>
    </row>
    <row r="4718" spans="1:5" x14ac:dyDescent="0.3">
      <c r="A4718" s="21" t="str">
        <f t="shared" si="73"/>
        <v>.</v>
      </c>
      <c r="D4718" s="44"/>
      <c r="E4718" s="22" t="str">
        <f>IF(D4718&lt;&gt;"",IFERROR(INDEX(Produtos!$C$4:$C$4996,MATCH(D4718,Produtos!$B$4:$B$4996,0)),"Produto não encontrado"),"")</f>
        <v/>
      </c>
    </row>
    <row r="4719" spans="1:5" x14ac:dyDescent="0.3">
      <c r="A4719" s="21" t="str">
        <f t="shared" si="73"/>
        <v>.</v>
      </c>
      <c r="D4719" s="44"/>
      <c r="E4719" s="22" t="str">
        <f>IF(D4719&lt;&gt;"",IFERROR(INDEX(Produtos!$C$4:$C$4996,MATCH(D4719,Produtos!$B$4:$B$4996,0)),"Produto não encontrado"),"")</f>
        <v/>
      </c>
    </row>
    <row r="4720" spans="1:5" x14ac:dyDescent="0.3">
      <c r="A4720" s="21" t="str">
        <f t="shared" si="73"/>
        <v>.</v>
      </c>
      <c r="D4720" s="44"/>
      <c r="E4720" s="22" t="str">
        <f>IF(D4720&lt;&gt;"",IFERROR(INDEX(Produtos!$C$4:$C$4996,MATCH(D4720,Produtos!$B$4:$B$4996,0)),"Produto não encontrado"),"")</f>
        <v/>
      </c>
    </row>
    <row r="4721" spans="1:5" x14ac:dyDescent="0.3">
      <c r="A4721" s="21" t="str">
        <f t="shared" si="73"/>
        <v>.</v>
      </c>
      <c r="D4721" s="44"/>
      <c r="E4721" s="22" t="str">
        <f>IF(D4721&lt;&gt;"",IFERROR(INDEX(Produtos!$C$4:$C$4996,MATCH(D4721,Produtos!$B$4:$B$4996,0)),"Produto não encontrado"),"")</f>
        <v/>
      </c>
    </row>
    <row r="4722" spans="1:5" x14ac:dyDescent="0.3">
      <c r="A4722" s="21" t="str">
        <f t="shared" si="73"/>
        <v>.</v>
      </c>
      <c r="D4722" s="44"/>
      <c r="E4722" s="22" t="str">
        <f>IF(D4722&lt;&gt;"",IFERROR(INDEX(Produtos!$C$4:$C$4996,MATCH(D4722,Produtos!$B$4:$B$4996,0)),"Produto não encontrado"),"")</f>
        <v/>
      </c>
    </row>
    <row r="4723" spans="1:5" x14ac:dyDescent="0.3">
      <c r="A4723" s="21" t="str">
        <f t="shared" si="73"/>
        <v>.</v>
      </c>
      <c r="D4723" s="44"/>
      <c r="E4723" s="22" t="str">
        <f>IF(D4723&lt;&gt;"",IFERROR(INDEX(Produtos!$C$4:$C$4996,MATCH(D4723,Produtos!$B$4:$B$4996,0)),"Produto não encontrado"),"")</f>
        <v/>
      </c>
    </row>
    <row r="4724" spans="1:5" x14ac:dyDescent="0.3">
      <c r="A4724" s="21" t="str">
        <f t="shared" si="73"/>
        <v>.</v>
      </c>
      <c r="D4724" s="44"/>
      <c r="E4724" s="22" t="str">
        <f>IF(D4724&lt;&gt;"",IFERROR(INDEX(Produtos!$C$4:$C$4996,MATCH(D4724,Produtos!$B$4:$B$4996,0)),"Produto não encontrado"),"")</f>
        <v/>
      </c>
    </row>
    <row r="4725" spans="1:5" x14ac:dyDescent="0.3">
      <c r="A4725" s="21" t="str">
        <f t="shared" si="73"/>
        <v>.</v>
      </c>
      <c r="D4725" s="44"/>
      <c r="E4725" s="22" t="str">
        <f>IF(D4725&lt;&gt;"",IFERROR(INDEX(Produtos!$C$4:$C$4996,MATCH(D4725,Produtos!$B$4:$B$4996,0)),"Produto não encontrado"),"")</f>
        <v/>
      </c>
    </row>
    <row r="4726" spans="1:5" x14ac:dyDescent="0.3">
      <c r="A4726" s="21" t="str">
        <f t="shared" si="73"/>
        <v>.</v>
      </c>
      <c r="D4726" s="44"/>
      <c r="E4726" s="22" t="str">
        <f>IF(D4726&lt;&gt;"",IFERROR(INDEX(Produtos!$C$4:$C$4996,MATCH(D4726,Produtos!$B$4:$B$4996,0)),"Produto não encontrado"),"")</f>
        <v/>
      </c>
    </row>
    <row r="4727" spans="1:5" x14ac:dyDescent="0.3">
      <c r="A4727" s="21" t="str">
        <f t="shared" si="73"/>
        <v>.</v>
      </c>
      <c r="D4727" s="44"/>
      <c r="E4727" s="22" t="str">
        <f>IF(D4727&lt;&gt;"",IFERROR(INDEX(Produtos!$C$4:$C$4996,MATCH(D4727,Produtos!$B$4:$B$4996,0)),"Produto não encontrado"),"")</f>
        <v/>
      </c>
    </row>
    <row r="4728" spans="1:5" x14ac:dyDescent="0.3">
      <c r="A4728" s="21" t="str">
        <f t="shared" si="73"/>
        <v>.</v>
      </c>
      <c r="D4728" s="44"/>
      <c r="E4728" s="22" t="str">
        <f>IF(D4728&lt;&gt;"",IFERROR(INDEX(Produtos!$C$4:$C$4996,MATCH(D4728,Produtos!$B$4:$B$4996,0)),"Produto não encontrado"),"")</f>
        <v/>
      </c>
    </row>
    <row r="4729" spans="1:5" x14ac:dyDescent="0.3">
      <c r="A4729" s="21" t="str">
        <f t="shared" si="73"/>
        <v>.</v>
      </c>
      <c r="D4729" s="44"/>
      <c r="E4729" s="22" t="str">
        <f>IF(D4729&lt;&gt;"",IFERROR(INDEX(Produtos!$C$4:$C$4996,MATCH(D4729,Produtos!$B$4:$B$4996,0)),"Produto não encontrado"),"")</f>
        <v/>
      </c>
    </row>
    <row r="4730" spans="1:5" x14ac:dyDescent="0.3">
      <c r="A4730" s="21" t="str">
        <f t="shared" si="73"/>
        <v>.</v>
      </c>
      <c r="D4730" s="44"/>
      <c r="E4730" s="22" t="str">
        <f>IF(D4730&lt;&gt;"",IFERROR(INDEX(Produtos!$C$4:$C$4996,MATCH(D4730,Produtos!$B$4:$B$4996,0)),"Produto não encontrado"),"")</f>
        <v/>
      </c>
    </row>
    <row r="4731" spans="1:5" x14ac:dyDescent="0.3">
      <c r="A4731" s="21" t="str">
        <f t="shared" si="73"/>
        <v>.</v>
      </c>
      <c r="D4731" s="44"/>
      <c r="E4731" s="22" t="str">
        <f>IF(D4731&lt;&gt;"",IFERROR(INDEX(Produtos!$C$4:$C$4996,MATCH(D4731,Produtos!$B$4:$B$4996,0)),"Produto não encontrado"),"")</f>
        <v/>
      </c>
    </row>
    <row r="4732" spans="1:5" x14ac:dyDescent="0.3">
      <c r="A4732" s="21" t="str">
        <f t="shared" si="73"/>
        <v>.</v>
      </c>
      <c r="D4732" s="44"/>
      <c r="E4732" s="22" t="str">
        <f>IF(D4732&lt;&gt;"",IFERROR(INDEX(Produtos!$C$4:$C$4996,MATCH(D4732,Produtos!$B$4:$B$4996,0)),"Produto não encontrado"),"")</f>
        <v/>
      </c>
    </row>
    <row r="4733" spans="1:5" x14ac:dyDescent="0.3">
      <c r="A4733" s="21" t="str">
        <f t="shared" si="73"/>
        <v>.</v>
      </c>
      <c r="D4733" s="44"/>
      <c r="E4733" s="22" t="str">
        <f>IF(D4733&lt;&gt;"",IFERROR(INDEX(Produtos!$C$4:$C$4996,MATCH(D4733,Produtos!$B$4:$B$4996,0)),"Produto não encontrado"),"")</f>
        <v/>
      </c>
    </row>
    <row r="4734" spans="1:5" x14ac:dyDescent="0.3">
      <c r="A4734" s="21" t="str">
        <f t="shared" si="73"/>
        <v>.</v>
      </c>
      <c r="D4734" s="44"/>
      <c r="E4734" s="22" t="str">
        <f>IF(D4734&lt;&gt;"",IFERROR(INDEX(Produtos!$C$4:$C$4996,MATCH(D4734,Produtos!$B$4:$B$4996,0)),"Produto não encontrado"),"")</f>
        <v/>
      </c>
    </row>
    <row r="4735" spans="1:5" x14ac:dyDescent="0.3">
      <c r="A4735" s="21" t="str">
        <f t="shared" si="73"/>
        <v>.</v>
      </c>
      <c r="D4735" s="44"/>
      <c r="E4735" s="22" t="str">
        <f>IF(D4735&lt;&gt;"",IFERROR(INDEX(Produtos!$C$4:$C$4996,MATCH(D4735,Produtos!$B$4:$B$4996,0)),"Produto não encontrado"),"")</f>
        <v/>
      </c>
    </row>
    <row r="4736" spans="1:5" x14ac:dyDescent="0.3">
      <c r="A4736" s="21" t="str">
        <f t="shared" ref="A4736:A4799" si="74">IF(C4736="Entrada",2,IF(C4736="Saída",1,"."))</f>
        <v>.</v>
      </c>
      <c r="D4736" s="44"/>
      <c r="E4736" s="22" t="str">
        <f>IF(D4736&lt;&gt;"",IFERROR(INDEX(Produtos!$C$4:$C$4996,MATCH(D4736,Produtos!$B$4:$B$4996,0)),"Produto não encontrado"),"")</f>
        <v/>
      </c>
    </row>
    <row r="4737" spans="1:5" x14ac:dyDescent="0.3">
      <c r="A4737" s="21" t="str">
        <f t="shared" si="74"/>
        <v>.</v>
      </c>
      <c r="D4737" s="44"/>
      <c r="E4737" s="22" t="str">
        <f>IF(D4737&lt;&gt;"",IFERROR(INDEX(Produtos!$C$4:$C$4996,MATCH(D4737,Produtos!$B$4:$B$4996,0)),"Produto não encontrado"),"")</f>
        <v/>
      </c>
    </row>
    <row r="4738" spans="1:5" x14ac:dyDescent="0.3">
      <c r="A4738" s="21" t="str">
        <f t="shared" si="74"/>
        <v>.</v>
      </c>
      <c r="D4738" s="44"/>
      <c r="E4738" s="22" t="str">
        <f>IF(D4738&lt;&gt;"",IFERROR(INDEX(Produtos!$C$4:$C$4996,MATCH(D4738,Produtos!$B$4:$B$4996,0)),"Produto não encontrado"),"")</f>
        <v/>
      </c>
    </row>
    <row r="4739" spans="1:5" x14ac:dyDescent="0.3">
      <c r="A4739" s="21" t="str">
        <f t="shared" si="74"/>
        <v>.</v>
      </c>
      <c r="D4739" s="44"/>
      <c r="E4739" s="22" t="str">
        <f>IF(D4739&lt;&gt;"",IFERROR(INDEX(Produtos!$C$4:$C$4996,MATCH(D4739,Produtos!$B$4:$B$4996,0)),"Produto não encontrado"),"")</f>
        <v/>
      </c>
    </row>
    <row r="4740" spans="1:5" x14ac:dyDescent="0.3">
      <c r="A4740" s="21" t="str">
        <f t="shared" si="74"/>
        <v>.</v>
      </c>
      <c r="D4740" s="44"/>
      <c r="E4740" s="22" t="str">
        <f>IF(D4740&lt;&gt;"",IFERROR(INDEX(Produtos!$C$4:$C$4996,MATCH(D4740,Produtos!$B$4:$B$4996,0)),"Produto não encontrado"),"")</f>
        <v/>
      </c>
    </row>
    <row r="4741" spans="1:5" x14ac:dyDescent="0.3">
      <c r="A4741" s="21" t="str">
        <f t="shared" si="74"/>
        <v>.</v>
      </c>
      <c r="D4741" s="44"/>
      <c r="E4741" s="22" t="str">
        <f>IF(D4741&lt;&gt;"",IFERROR(INDEX(Produtos!$C$4:$C$4996,MATCH(D4741,Produtos!$B$4:$B$4996,0)),"Produto não encontrado"),"")</f>
        <v/>
      </c>
    </row>
    <row r="4742" spans="1:5" x14ac:dyDescent="0.3">
      <c r="A4742" s="21" t="str">
        <f t="shared" si="74"/>
        <v>.</v>
      </c>
      <c r="D4742" s="44"/>
      <c r="E4742" s="22" t="str">
        <f>IF(D4742&lt;&gt;"",IFERROR(INDEX(Produtos!$C$4:$C$4996,MATCH(D4742,Produtos!$B$4:$B$4996,0)),"Produto não encontrado"),"")</f>
        <v/>
      </c>
    </row>
    <row r="4743" spans="1:5" x14ac:dyDescent="0.3">
      <c r="A4743" s="21" t="str">
        <f t="shared" si="74"/>
        <v>.</v>
      </c>
      <c r="D4743" s="44"/>
      <c r="E4743" s="22" t="str">
        <f>IF(D4743&lt;&gt;"",IFERROR(INDEX(Produtos!$C$4:$C$4996,MATCH(D4743,Produtos!$B$4:$B$4996,0)),"Produto não encontrado"),"")</f>
        <v/>
      </c>
    </row>
    <row r="4744" spans="1:5" x14ac:dyDescent="0.3">
      <c r="A4744" s="21" t="str">
        <f t="shared" si="74"/>
        <v>.</v>
      </c>
      <c r="D4744" s="44"/>
      <c r="E4744" s="22" t="str">
        <f>IF(D4744&lt;&gt;"",IFERROR(INDEX(Produtos!$C$4:$C$4996,MATCH(D4744,Produtos!$B$4:$B$4996,0)),"Produto não encontrado"),"")</f>
        <v/>
      </c>
    </row>
    <row r="4745" spans="1:5" x14ac:dyDescent="0.3">
      <c r="A4745" s="21" t="str">
        <f t="shared" si="74"/>
        <v>.</v>
      </c>
      <c r="D4745" s="44"/>
      <c r="E4745" s="22" t="str">
        <f>IF(D4745&lt;&gt;"",IFERROR(INDEX(Produtos!$C$4:$C$4996,MATCH(D4745,Produtos!$B$4:$B$4996,0)),"Produto não encontrado"),"")</f>
        <v/>
      </c>
    </row>
    <row r="4746" spans="1:5" x14ac:dyDescent="0.3">
      <c r="A4746" s="21" t="str">
        <f t="shared" si="74"/>
        <v>.</v>
      </c>
      <c r="D4746" s="44"/>
      <c r="E4746" s="22" t="str">
        <f>IF(D4746&lt;&gt;"",IFERROR(INDEX(Produtos!$C$4:$C$4996,MATCH(D4746,Produtos!$B$4:$B$4996,0)),"Produto não encontrado"),"")</f>
        <v/>
      </c>
    </row>
    <row r="4747" spans="1:5" x14ac:dyDescent="0.3">
      <c r="A4747" s="21" t="str">
        <f t="shared" si="74"/>
        <v>.</v>
      </c>
      <c r="D4747" s="44"/>
      <c r="E4747" s="22" t="str">
        <f>IF(D4747&lt;&gt;"",IFERROR(INDEX(Produtos!$C$4:$C$4996,MATCH(D4747,Produtos!$B$4:$B$4996,0)),"Produto não encontrado"),"")</f>
        <v/>
      </c>
    </row>
    <row r="4748" spans="1:5" x14ac:dyDescent="0.3">
      <c r="A4748" s="21" t="str">
        <f t="shared" si="74"/>
        <v>.</v>
      </c>
      <c r="D4748" s="44"/>
      <c r="E4748" s="22" t="str">
        <f>IF(D4748&lt;&gt;"",IFERROR(INDEX(Produtos!$C$4:$C$4996,MATCH(D4748,Produtos!$B$4:$B$4996,0)),"Produto não encontrado"),"")</f>
        <v/>
      </c>
    </row>
    <row r="4749" spans="1:5" x14ac:dyDescent="0.3">
      <c r="A4749" s="21" t="str">
        <f t="shared" si="74"/>
        <v>.</v>
      </c>
      <c r="D4749" s="44"/>
      <c r="E4749" s="22" t="str">
        <f>IF(D4749&lt;&gt;"",IFERROR(INDEX(Produtos!$C$4:$C$4996,MATCH(D4749,Produtos!$B$4:$B$4996,0)),"Produto não encontrado"),"")</f>
        <v/>
      </c>
    </row>
    <row r="4750" spans="1:5" x14ac:dyDescent="0.3">
      <c r="A4750" s="21" t="str">
        <f t="shared" si="74"/>
        <v>.</v>
      </c>
      <c r="D4750" s="44"/>
      <c r="E4750" s="22" t="str">
        <f>IF(D4750&lt;&gt;"",IFERROR(INDEX(Produtos!$C$4:$C$4996,MATCH(D4750,Produtos!$B$4:$B$4996,0)),"Produto não encontrado"),"")</f>
        <v/>
      </c>
    </row>
    <row r="4751" spans="1:5" x14ac:dyDescent="0.3">
      <c r="A4751" s="21" t="str">
        <f t="shared" si="74"/>
        <v>.</v>
      </c>
      <c r="D4751" s="44"/>
      <c r="E4751" s="22" t="str">
        <f>IF(D4751&lt;&gt;"",IFERROR(INDEX(Produtos!$C$4:$C$4996,MATCH(D4751,Produtos!$B$4:$B$4996,0)),"Produto não encontrado"),"")</f>
        <v/>
      </c>
    </row>
    <row r="4752" spans="1:5" x14ac:dyDescent="0.3">
      <c r="A4752" s="21" t="str">
        <f t="shared" si="74"/>
        <v>.</v>
      </c>
      <c r="D4752" s="44"/>
      <c r="E4752" s="22" t="str">
        <f>IF(D4752&lt;&gt;"",IFERROR(INDEX(Produtos!$C$4:$C$4996,MATCH(D4752,Produtos!$B$4:$B$4996,0)),"Produto não encontrado"),"")</f>
        <v/>
      </c>
    </row>
    <row r="4753" spans="1:5" x14ac:dyDescent="0.3">
      <c r="A4753" s="21" t="str">
        <f t="shared" si="74"/>
        <v>.</v>
      </c>
      <c r="D4753" s="44"/>
      <c r="E4753" s="22" t="str">
        <f>IF(D4753&lt;&gt;"",IFERROR(INDEX(Produtos!$C$4:$C$4996,MATCH(D4753,Produtos!$B$4:$B$4996,0)),"Produto não encontrado"),"")</f>
        <v/>
      </c>
    </row>
    <row r="4754" spans="1:5" x14ac:dyDescent="0.3">
      <c r="A4754" s="21" t="str">
        <f t="shared" si="74"/>
        <v>.</v>
      </c>
      <c r="D4754" s="44"/>
      <c r="E4754" s="22" t="str">
        <f>IF(D4754&lt;&gt;"",IFERROR(INDEX(Produtos!$C$4:$C$4996,MATCH(D4754,Produtos!$B$4:$B$4996,0)),"Produto não encontrado"),"")</f>
        <v/>
      </c>
    </row>
    <row r="4755" spans="1:5" x14ac:dyDescent="0.3">
      <c r="A4755" s="21" t="str">
        <f t="shared" si="74"/>
        <v>.</v>
      </c>
      <c r="D4755" s="44"/>
      <c r="E4755" s="22" t="str">
        <f>IF(D4755&lt;&gt;"",IFERROR(INDEX(Produtos!$C$4:$C$4996,MATCH(D4755,Produtos!$B$4:$B$4996,0)),"Produto não encontrado"),"")</f>
        <v/>
      </c>
    </row>
    <row r="4756" spans="1:5" x14ac:dyDescent="0.3">
      <c r="A4756" s="21" t="str">
        <f t="shared" si="74"/>
        <v>.</v>
      </c>
      <c r="D4756" s="44"/>
      <c r="E4756" s="22" t="str">
        <f>IF(D4756&lt;&gt;"",IFERROR(INDEX(Produtos!$C$4:$C$4996,MATCH(D4756,Produtos!$B$4:$B$4996,0)),"Produto não encontrado"),"")</f>
        <v/>
      </c>
    </row>
    <row r="4757" spans="1:5" x14ac:dyDescent="0.3">
      <c r="A4757" s="21" t="str">
        <f t="shared" si="74"/>
        <v>.</v>
      </c>
      <c r="D4757" s="44"/>
      <c r="E4757" s="22" t="str">
        <f>IF(D4757&lt;&gt;"",IFERROR(INDEX(Produtos!$C$4:$C$4996,MATCH(D4757,Produtos!$B$4:$B$4996,0)),"Produto não encontrado"),"")</f>
        <v/>
      </c>
    </row>
    <row r="4758" spans="1:5" x14ac:dyDescent="0.3">
      <c r="A4758" s="21" t="str">
        <f t="shared" si="74"/>
        <v>.</v>
      </c>
      <c r="D4758" s="44"/>
      <c r="E4758" s="22" t="str">
        <f>IF(D4758&lt;&gt;"",IFERROR(INDEX(Produtos!$C$4:$C$4996,MATCH(D4758,Produtos!$B$4:$B$4996,0)),"Produto não encontrado"),"")</f>
        <v/>
      </c>
    </row>
    <row r="4759" spans="1:5" x14ac:dyDescent="0.3">
      <c r="A4759" s="21" t="str">
        <f t="shared" si="74"/>
        <v>.</v>
      </c>
      <c r="D4759" s="44"/>
      <c r="E4759" s="22" t="str">
        <f>IF(D4759&lt;&gt;"",IFERROR(INDEX(Produtos!$C$4:$C$4996,MATCH(D4759,Produtos!$B$4:$B$4996,0)),"Produto não encontrado"),"")</f>
        <v/>
      </c>
    </row>
    <row r="4760" spans="1:5" x14ac:dyDescent="0.3">
      <c r="A4760" s="21" t="str">
        <f t="shared" si="74"/>
        <v>.</v>
      </c>
      <c r="D4760" s="44"/>
      <c r="E4760" s="22" t="str">
        <f>IF(D4760&lt;&gt;"",IFERROR(INDEX(Produtos!$C$4:$C$4996,MATCH(D4760,Produtos!$B$4:$B$4996,0)),"Produto não encontrado"),"")</f>
        <v/>
      </c>
    </row>
    <row r="4761" spans="1:5" x14ac:dyDescent="0.3">
      <c r="A4761" s="21" t="str">
        <f t="shared" si="74"/>
        <v>.</v>
      </c>
      <c r="D4761" s="44"/>
      <c r="E4761" s="22" t="str">
        <f>IF(D4761&lt;&gt;"",IFERROR(INDEX(Produtos!$C$4:$C$4996,MATCH(D4761,Produtos!$B$4:$B$4996,0)),"Produto não encontrado"),"")</f>
        <v/>
      </c>
    </row>
    <row r="4762" spans="1:5" x14ac:dyDescent="0.3">
      <c r="A4762" s="21" t="str">
        <f t="shared" si="74"/>
        <v>.</v>
      </c>
      <c r="D4762" s="44"/>
      <c r="E4762" s="22" t="str">
        <f>IF(D4762&lt;&gt;"",IFERROR(INDEX(Produtos!$C$4:$C$4996,MATCH(D4762,Produtos!$B$4:$B$4996,0)),"Produto não encontrado"),"")</f>
        <v/>
      </c>
    </row>
    <row r="4763" spans="1:5" x14ac:dyDescent="0.3">
      <c r="A4763" s="21" t="str">
        <f t="shared" si="74"/>
        <v>.</v>
      </c>
      <c r="D4763" s="44"/>
      <c r="E4763" s="22" t="str">
        <f>IF(D4763&lt;&gt;"",IFERROR(INDEX(Produtos!$C$4:$C$4996,MATCH(D4763,Produtos!$B$4:$B$4996,0)),"Produto não encontrado"),"")</f>
        <v/>
      </c>
    </row>
    <row r="4764" spans="1:5" x14ac:dyDescent="0.3">
      <c r="A4764" s="21" t="str">
        <f t="shared" si="74"/>
        <v>.</v>
      </c>
      <c r="D4764" s="44"/>
      <c r="E4764" s="22" t="str">
        <f>IF(D4764&lt;&gt;"",IFERROR(INDEX(Produtos!$C$4:$C$4996,MATCH(D4764,Produtos!$B$4:$B$4996,0)),"Produto não encontrado"),"")</f>
        <v/>
      </c>
    </row>
    <row r="4765" spans="1:5" x14ac:dyDescent="0.3">
      <c r="A4765" s="21" t="str">
        <f t="shared" si="74"/>
        <v>.</v>
      </c>
      <c r="D4765" s="44"/>
      <c r="E4765" s="22" t="str">
        <f>IF(D4765&lt;&gt;"",IFERROR(INDEX(Produtos!$C$4:$C$4996,MATCH(D4765,Produtos!$B$4:$B$4996,0)),"Produto não encontrado"),"")</f>
        <v/>
      </c>
    </row>
    <row r="4766" spans="1:5" x14ac:dyDescent="0.3">
      <c r="A4766" s="21" t="str">
        <f t="shared" si="74"/>
        <v>.</v>
      </c>
      <c r="D4766" s="44"/>
      <c r="E4766" s="22" t="str">
        <f>IF(D4766&lt;&gt;"",IFERROR(INDEX(Produtos!$C$4:$C$4996,MATCH(D4766,Produtos!$B$4:$B$4996,0)),"Produto não encontrado"),"")</f>
        <v/>
      </c>
    </row>
    <row r="4767" spans="1:5" x14ac:dyDescent="0.3">
      <c r="A4767" s="21" t="str">
        <f t="shared" si="74"/>
        <v>.</v>
      </c>
      <c r="D4767" s="44"/>
      <c r="E4767" s="22" t="str">
        <f>IF(D4767&lt;&gt;"",IFERROR(INDEX(Produtos!$C$4:$C$4996,MATCH(D4767,Produtos!$B$4:$B$4996,0)),"Produto não encontrado"),"")</f>
        <v/>
      </c>
    </row>
    <row r="4768" spans="1:5" x14ac:dyDescent="0.3">
      <c r="A4768" s="21" t="str">
        <f t="shared" si="74"/>
        <v>.</v>
      </c>
      <c r="D4768" s="44"/>
      <c r="E4768" s="22" t="str">
        <f>IF(D4768&lt;&gt;"",IFERROR(INDEX(Produtos!$C$4:$C$4996,MATCH(D4768,Produtos!$B$4:$B$4996,0)),"Produto não encontrado"),"")</f>
        <v/>
      </c>
    </row>
    <row r="4769" spans="1:5" x14ac:dyDescent="0.3">
      <c r="A4769" s="21" t="str">
        <f t="shared" si="74"/>
        <v>.</v>
      </c>
      <c r="D4769" s="44"/>
      <c r="E4769" s="22" t="str">
        <f>IF(D4769&lt;&gt;"",IFERROR(INDEX(Produtos!$C$4:$C$4996,MATCH(D4769,Produtos!$B$4:$B$4996,0)),"Produto não encontrado"),"")</f>
        <v/>
      </c>
    </row>
    <row r="4770" spans="1:5" x14ac:dyDescent="0.3">
      <c r="A4770" s="21" t="str">
        <f t="shared" si="74"/>
        <v>.</v>
      </c>
      <c r="D4770" s="44"/>
      <c r="E4770" s="22" t="str">
        <f>IF(D4770&lt;&gt;"",IFERROR(INDEX(Produtos!$C$4:$C$4996,MATCH(D4770,Produtos!$B$4:$B$4996,0)),"Produto não encontrado"),"")</f>
        <v/>
      </c>
    </row>
    <row r="4771" spans="1:5" x14ac:dyDescent="0.3">
      <c r="A4771" s="21" t="str">
        <f t="shared" si="74"/>
        <v>.</v>
      </c>
      <c r="D4771" s="44"/>
      <c r="E4771" s="22" t="str">
        <f>IF(D4771&lt;&gt;"",IFERROR(INDEX(Produtos!$C$4:$C$4996,MATCH(D4771,Produtos!$B$4:$B$4996,0)),"Produto não encontrado"),"")</f>
        <v/>
      </c>
    </row>
    <row r="4772" spans="1:5" x14ac:dyDescent="0.3">
      <c r="A4772" s="21" t="str">
        <f t="shared" si="74"/>
        <v>.</v>
      </c>
      <c r="D4772" s="44"/>
      <c r="E4772" s="22" t="str">
        <f>IF(D4772&lt;&gt;"",IFERROR(INDEX(Produtos!$C$4:$C$4996,MATCH(D4772,Produtos!$B$4:$B$4996,0)),"Produto não encontrado"),"")</f>
        <v/>
      </c>
    </row>
    <row r="4773" spans="1:5" x14ac:dyDescent="0.3">
      <c r="A4773" s="21" t="str">
        <f t="shared" si="74"/>
        <v>.</v>
      </c>
      <c r="D4773" s="44"/>
      <c r="E4773" s="22" t="str">
        <f>IF(D4773&lt;&gt;"",IFERROR(INDEX(Produtos!$C$4:$C$4996,MATCH(D4773,Produtos!$B$4:$B$4996,0)),"Produto não encontrado"),"")</f>
        <v/>
      </c>
    </row>
    <row r="4774" spans="1:5" x14ac:dyDescent="0.3">
      <c r="A4774" s="21" t="str">
        <f t="shared" si="74"/>
        <v>.</v>
      </c>
      <c r="D4774" s="44"/>
      <c r="E4774" s="22" t="str">
        <f>IF(D4774&lt;&gt;"",IFERROR(INDEX(Produtos!$C$4:$C$4996,MATCH(D4774,Produtos!$B$4:$B$4996,0)),"Produto não encontrado"),"")</f>
        <v/>
      </c>
    </row>
    <row r="4775" spans="1:5" x14ac:dyDescent="0.3">
      <c r="A4775" s="21" t="str">
        <f t="shared" si="74"/>
        <v>.</v>
      </c>
      <c r="D4775" s="44"/>
      <c r="E4775" s="22" t="str">
        <f>IF(D4775&lt;&gt;"",IFERROR(INDEX(Produtos!$C$4:$C$4996,MATCH(D4775,Produtos!$B$4:$B$4996,0)),"Produto não encontrado"),"")</f>
        <v/>
      </c>
    </row>
    <row r="4776" spans="1:5" x14ac:dyDescent="0.3">
      <c r="A4776" s="21" t="str">
        <f t="shared" si="74"/>
        <v>.</v>
      </c>
      <c r="D4776" s="44"/>
      <c r="E4776" s="22" t="str">
        <f>IF(D4776&lt;&gt;"",IFERROR(INDEX(Produtos!$C$4:$C$4996,MATCH(D4776,Produtos!$B$4:$B$4996,0)),"Produto não encontrado"),"")</f>
        <v/>
      </c>
    </row>
    <row r="4777" spans="1:5" x14ac:dyDescent="0.3">
      <c r="A4777" s="21" t="str">
        <f t="shared" si="74"/>
        <v>.</v>
      </c>
      <c r="D4777" s="44"/>
      <c r="E4777" s="22" t="str">
        <f>IF(D4777&lt;&gt;"",IFERROR(INDEX(Produtos!$C$4:$C$4996,MATCH(D4777,Produtos!$B$4:$B$4996,0)),"Produto não encontrado"),"")</f>
        <v/>
      </c>
    </row>
    <row r="4778" spans="1:5" x14ac:dyDescent="0.3">
      <c r="A4778" s="21" t="str">
        <f t="shared" si="74"/>
        <v>.</v>
      </c>
      <c r="D4778" s="44"/>
      <c r="E4778" s="22" t="str">
        <f>IF(D4778&lt;&gt;"",IFERROR(INDEX(Produtos!$C$4:$C$4996,MATCH(D4778,Produtos!$B$4:$B$4996,0)),"Produto não encontrado"),"")</f>
        <v/>
      </c>
    </row>
    <row r="4779" spans="1:5" x14ac:dyDescent="0.3">
      <c r="A4779" s="21" t="str">
        <f t="shared" si="74"/>
        <v>.</v>
      </c>
      <c r="D4779" s="44"/>
      <c r="E4779" s="22" t="str">
        <f>IF(D4779&lt;&gt;"",IFERROR(INDEX(Produtos!$C$4:$C$4996,MATCH(D4779,Produtos!$B$4:$B$4996,0)),"Produto não encontrado"),"")</f>
        <v/>
      </c>
    </row>
    <row r="4780" spans="1:5" x14ac:dyDescent="0.3">
      <c r="A4780" s="21" t="str">
        <f t="shared" si="74"/>
        <v>.</v>
      </c>
      <c r="D4780" s="44"/>
      <c r="E4780" s="22" t="str">
        <f>IF(D4780&lt;&gt;"",IFERROR(INDEX(Produtos!$C$4:$C$4996,MATCH(D4780,Produtos!$B$4:$B$4996,0)),"Produto não encontrado"),"")</f>
        <v/>
      </c>
    </row>
    <row r="4781" spans="1:5" x14ac:dyDescent="0.3">
      <c r="A4781" s="21" t="str">
        <f t="shared" si="74"/>
        <v>.</v>
      </c>
      <c r="D4781" s="44"/>
      <c r="E4781" s="22" t="str">
        <f>IF(D4781&lt;&gt;"",IFERROR(INDEX(Produtos!$C$4:$C$4996,MATCH(D4781,Produtos!$B$4:$B$4996,0)),"Produto não encontrado"),"")</f>
        <v/>
      </c>
    </row>
    <row r="4782" spans="1:5" x14ac:dyDescent="0.3">
      <c r="A4782" s="21" t="str">
        <f t="shared" si="74"/>
        <v>.</v>
      </c>
      <c r="D4782" s="44"/>
      <c r="E4782" s="22" t="str">
        <f>IF(D4782&lt;&gt;"",IFERROR(INDEX(Produtos!$C$4:$C$4996,MATCH(D4782,Produtos!$B$4:$B$4996,0)),"Produto não encontrado"),"")</f>
        <v/>
      </c>
    </row>
    <row r="4783" spans="1:5" x14ac:dyDescent="0.3">
      <c r="A4783" s="21" t="str">
        <f t="shared" si="74"/>
        <v>.</v>
      </c>
      <c r="D4783" s="44"/>
      <c r="E4783" s="22" t="str">
        <f>IF(D4783&lt;&gt;"",IFERROR(INDEX(Produtos!$C$4:$C$4996,MATCH(D4783,Produtos!$B$4:$B$4996,0)),"Produto não encontrado"),"")</f>
        <v/>
      </c>
    </row>
    <row r="4784" spans="1:5" x14ac:dyDescent="0.3">
      <c r="A4784" s="21" t="str">
        <f t="shared" si="74"/>
        <v>.</v>
      </c>
      <c r="D4784" s="44"/>
      <c r="E4784" s="22" t="str">
        <f>IF(D4784&lt;&gt;"",IFERROR(INDEX(Produtos!$C$4:$C$4996,MATCH(D4784,Produtos!$B$4:$B$4996,0)),"Produto não encontrado"),"")</f>
        <v/>
      </c>
    </row>
    <row r="4785" spans="1:5" x14ac:dyDescent="0.3">
      <c r="A4785" s="21" t="str">
        <f t="shared" si="74"/>
        <v>.</v>
      </c>
      <c r="D4785" s="44"/>
      <c r="E4785" s="22" t="str">
        <f>IF(D4785&lt;&gt;"",IFERROR(INDEX(Produtos!$C$4:$C$4996,MATCH(D4785,Produtos!$B$4:$B$4996,0)),"Produto não encontrado"),"")</f>
        <v/>
      </c>
    </row>
    <row r="4786" spans="1:5" x14ac:dyDescent="0.3">
      <c r="A4786" s="21" t="str">
        <f t="shared" si="74"/>
        <v>.</v>
      </c>
      <c r="D4786" s="44"/>
      <c r="E4786" s="22" t="str">
        <f>IF(D4786&lt;&gt;"",IFERROR(INDEX(Produtos!$C$4:$C$4996,MATCH(D4786,Produtos!$B$4:$B$4996,0)),"Produto não encontrado"),"")</f>
        <v/>
      </c>
    </row>
    <row r="4787" spans="1:5" x14ac:dyDescent="0.3">
      <c r="A4787" s="21" t="str">
        <f t="shared" si="74"/>
        <v>.</v>
      </c>
      <c r="D4787" s="44"/>
      <c r="E4787" s="22" t="str">
        <f>IF(D4787&lt;&gt;"",IFERROR(INDEX(Produtos!$C$4:$C$4996,MATCH(D4787,Produtos!$B$4:$B$4996,0)),"Produto não encontrado"),"")</f>
        <v/>
      </c>
    </row>
    <row r="4788" spans="1:5" x14ac:dyDescent="0.3">
      <c r="A4788" s="21" t="str">
        <f t="shared" si="74"/>
        <v>.</v>
      </c>
      <c r="D4788" s="44"/>
      <c r="E4788" s="22" t="str">
        <f>IF(D4788&lt;&gt;"",IFERROR(INDEX(Produtos!$C$4:$C$4996,MATCH(D4788,Produtos!$B$4:$B$4996,0)),"Produto não encontrado"),"")</f>
        <v/>
      </c>
    </row>
    <row r="4789" spans="1:5" x14ac:dyDescent="0.3">
      <c r="A4789" s="21" t="str">
        <f t="shared" si="74"/>
        <v>.</v>
      </c>
      <c r="D4789" s="44"/>
      <c r="E4789" s="22" t="str">
        <f>IF(D4789&lt;&gt;"",IFERROR(INDEX(Produtos!$C$4:$C$4996,MATCH(D4789,Produtos!$B$4:$B$4996,0)),"Produto não encontrado"),"")</f>
        <v/>
      </c>
    </row>
    <row r="4790" spans="1:5" x14ac:dyDescent="0.3">
      <c r="A4790" s="21" t="str">
        <f t="shared" si="74"/>
        <v>.</v>
      </c>
      <c r="D4790" s="44"/>
      <c r="E4790" s="22" t="str">
        <f>IF(D4790&lt;&gt;"",IFERROR(INDEX(Produtos!$C$4:$C$4996,MATCH(D4790,Produtos!$B$4:$B$4996,0)),"Produto não encontrado"),"")</f>
        <v/>
      </c>
    </row>
    <row r="4791" spans="1:5" x14ac:dyDescent="0.3">
      <c r="A4791" s="21" t="str">
        <f t="shared" si="74"/>
        <v>.</v>
      </c>
      <c r="D4791" s="44"/>
      <c r="E4791" s="22" t="str">
        <f>IF(D4791&lt;&gt;"",IFERROR(INDEX(Produtos!$C$4:$C$4996,MATCH(D4791,Produtos!$B$4:$B$4996,0)),"Produto não encontrado"),"")</f>
        <v/>
      </c>
    </row>
    <row r="4792" spans="1:5" x14ac:dyDescent="0.3">
      <c r="A4792" s="21" t="str">
        <f t="shared" si="74"/>
        <v>.</v>
      </c>
      <c r="D4792" s="44"/>
      <c r="E4792" s="22" t="str">
        <f>IF(D4792&lt;&gt;"",IFERROR(INDEX(Produtos!$C$4:$C$4996,MATCH(D4792,Produtos!$B$4:$B$4996,0)),"Produto não encontrado"),"")</f>
        <v/>
      </c>
    </row>
    <row r="4793" spans="1:5" x14ac:dyDescent="0.3">
      <c r="A4793" s="21" t="str">
        <f t="shared" si="74"/>
        <v>.</v>
      </c>
      <c r="D4793" s="44"/>
      <c r="E4793" s="22" t="str">
        <f>IF(D4793&lt;&gt;"",IFERROR(INDEX(Produtos!$C$4:$C$4996,MATCH(D4793,Produtos!$B$4:$B$4996,0)),"Produto não encontrado"),"")</f>
        <v/>
      </c>
    </row>
    <row r="4794" spans="1:5" x14ac:dyDescent="0.3">
      <c r="A4794" s="21" t="str">
        <f t="shared" si="74"/>
        <v>.</v>
      </c>
      <c r="D4794" s="44"/>
      <c r="E4794" s="22" t="str">
        <f>IF(D4794&lt;&gt;"",IFERROR(INDEX(Produtos!$C$4:$C$4996,MATCH(D4794,Produtos!$B$4:$B$4996,0)),"Produto não encontrado"),"")</f>
        <v/>
      </c>
    </row>
    <row r="4795" spans="1:5" x14ac:dyDescent="0.3">
      <c r="A4795" s="21" t="str">
        <f t="shared" si="74"/>
        <v>.</v>
      </c>
      <c r="D4795" s="44"/>
      <c r="E4795" s="22" t="str">
        <f>IF(D4795&lt;&gt;"",IFERROR(INDEX(Produtos!$C$4:$C$4996,MATCH(D4795,Produtos!$B$4:$B$4996,0)),"Produto não encontrado"),"")</f>
        <v/>
      </c>
    </row>
    <row r="4796" spans="1:5" x14ac:dyDescent="0.3">
      <c r="A4796" s="21" t="str">
        <f t="shared" si="74"/>
        <v>.</v>
      </c>
      <c r="D4796" s="44"/>
      <c r="E4796" s="22" t="str">
        <f>IF(D4796&lt;&gt;"",IFERROR(INDEX(Produtos!$C$4:$C$4996,MATCH(D4796,Produtos!$B$4:$B$4996,0)),"Produto não encontrado"),"")</f>
        <v/>
      </c>
    </row>
    <row r="4797" spans="1:5" x14ac:dyDescent="0.3">
      <c r="A4797" s="21" t="str">
        <f t="shared" si="74"/>
        <v>.</v>
      </c>
      <c r="D4797" s="44"/>
      <c r="E4797" s="22" t="str">
        <f>IF(D4797&lt;&gt;"",IFERROR(INDEX(Produtos!$C$4:$C$4996,MATCH(D4797,Produtos!$B$4:$B$4996,0)),"Produto não encontrado"),"")</f>
        <v/>
      </c>
    </row>
    <row r="4798" spans="1:5" x14ac:dyDescent="0.3">
      <c r="A4798" s="21" t="str">
        <f t="shared" si="74"/>
        <v>.</v>
      </c>
      <c r="D4798" s="44"/>
      <c r="E4798" s="22" t="str">
        <f>IF(D4798&lt;&gt;"",IFERROR(INDEX(Produtos!$C$4:$C$4996,MATCH(D4798,Produtos!$B$4:$B$4996,0)),"Produto não encontrado"),"")</f>
        <v/>
      </c>
    </row>
    <row r="4799" spans="1:5" x14ac:dyDescent="0.3">
      <c r="A4799" s="21" t="str">
        <f t="shared" si="74"/>
        <v>.</v>
      </c>
      <c r="D4799" s="44"/>
      <c r="E4799" s="22" t="str">
        <f>IF(D4799&lt;&gt;"",IFERROR(INDEX(Produtos!$C$4:$C$4996,MATCH(D4799,Produtos!$B$4:$B$4996,0)),"Produto não encontrado"),"")</f>
        <v/>
      </c>
    </row>
    <row r="4800" spans="1:5" x14ac:dyDescent="0.3">
      <c r="A4800" s="21" t="str">
        <f t="shared" ref="A4800:A4863" si="75">IF(C4800="Entrada",2,IF(C4800="Saída",1,"."))</f>
        <v>.</v>
      </c>
      <c r="D4800" s="44"/>
      <c r="E4800" s="22" t="str">
        <f>IF(D4800&lt;&gt;"",IFERROR(INDEX(Produtos!$C$4:$C$4996,MATCH(D4800,Produtos!$B$4:$B$4996,0)),"Produto não encontrado"),"")</f>
        <v/>
      </c>
    </row>
    <row r="4801" spans="1:5" x14ac:dyDescent="0.3">
      <c r="A4801" s="21" t="str">
        <f t="shared" si="75"/>
        <v>.</v>
      </c>
      <c r="D4801" s="44"/>
      <c r="E4801" s="22" t="str">
        <f>IF(D4801&lt;&gt;"",IFERROR(INDEX(Produtos!$C$4:$C$4996,MATCH(D4801,Produtos!$B$4:$B$4996,0)),"Produto não encontrado"),"")</f>
        <v/>
      </c>
    </row>
    <row r="4802" spans="1:5" x14ac:dyDescent="0.3">
      <c r="A4802" s="21" t="str">
        <f t="shared" si="75"/>
        <v>.</v>
      </c>
      <c r="D4802" s="44"/>
      <c r="E4802" s="22" t="str">
        <f>IF(D4802&lt;&gt;"",IFERROR(INDEX(Produtos!$C$4:$C$4996,MATCH(D4802,Produtos!$B$4:$B$4996,0)),"Produto não encontrado"),"")</f>
        <v/>
      </c>
    </row>
    <row r="4803" spans="1:5" x14ac:dyDescent="0.3">
      <c r="A4803" s="21" t="str">
        <f t="shared" si="75"/>
        <v>.</v>
      </c>
      <c r="D4803" s="44"/>
      <c r="E4803" s="22" t="str">
        <f>IF(D4803&lt;&gt;"",IFERROR(INDEX(Produtos!$C$4:$C$4996,MATCH(D4803,Produtos!$B$4:$B$4996,0)),"Produto não encontrado"),"")</f>
        <v/>
      </c>
    </row>
    <row r="4804" spans="1:5" x14ac:dyDescent="0.3">
      <c r="A4804" s="21" t="str">
        <f t="shared" si="75"/>
        <v>.</v>
      </c>
      <c r="D4804" s="44"/>
      <c r="E4804" s="22" t="str">
        <f>IF(D4804&lt;&gt;"",IFERROR(INDEX(Produtos!$C$4:$C$4996,MATCH(D4804,Produtos!$B$4:$B$4996,0)),"Produto não encontrado"),"")</f>
        <v/>
      </c>
    </row>
    <row r="4805" spans="1:5" x14ac:dyDescent="0.3">
      <c r="A4805" s="21" t="str">
        <f t="shared" si="75"/>
        <v>.</v>
      </c>
      <c r="D4805" s="44"/>
      <c r="E4805" s="22" t="str">
        <f>IF(D4805&lt;&gt;"",IFERROR(INDEX(Produtos!$C$4:$C$4996,MATCH(D4805,Produtos!$B$4:$B$4996,0)),"Produto não encontrado"),"")</f>
        <v/>
      </c>
    </row>
    <row r="4806" spans="1:5" x14ac:dyDescent="0.3">
      <c r="A4806" s="21" t="str">
        <f t="shared" si="75"/>
        <v>.</v>
      </c>
      <c r="D4806" s="44"/>
      <c r="E4806" s="22" t="str">
        <f>IF(D4806&lt;&gt;"",IFERROR(INDEX(Produtos!$C$4:$C$4996,MATCH(D4806,Produtos!$B$4:$B$4996,0)),"Produto não encontrado"),"")</f>
        <v/>
      </c>
    </row>
    <row r="4807" spans="1:5" x14ac:dyDescent="0.3">
      <c r="A4807" s="21" t="str">
        <f t="shared" si="75"/>
        <v>.</v>
      </c>
      <c r="D4807" s="44"/>
      <c r="E4807" s="22" t="str">
        <f>IF(D4807&lt;&gt;"",IFERROR(INDEX(Produtos!$C$4:$C$4996,MATCH(D4807,Produtos!$B$4:$B$4996,0)),"Produto não encontrado"),"")</f>
        <v/>
      </c>
    </row>
    <row r="4808" spans="1:5" x14ac:dyDescent="0.3">
      <c r="A4808" s="21" t="str">
        <f t="shared" si="75"/>
        <v>.</v>
      </c>
      <c r="D4808" s="44"/>
      <c r="E4808" s="22" t="str">
        <f>IF(D4808&lt;&gt;"",IFERROR(INDEX(Produtos!$C$4:$C$4996,MATCH(D4808,Produtos!$B$4:$B$4996,0)),"Produto não encontrado"),"")</f>
        <v/>
      </c>
    </row>
    <row r="4809" spans="1:5" x14ac:dyDescent="0.3">
      <c r="A4809" s="21" t="str">
        <f t="shared" si="75"/>
        <v>.</v>
      </c>
      <c r="D4809" s="44"/>
      <c r="E4809" s="22" t="str">
        <f>IF(D4809&lt;&gt;"",IFERROR(INDEX(Produtos!$C$4:$C$4996,MATCH(D4809,Produtos!$B$4:$B$4996,0)),"Produto não encontrado"),"")</f>
        <v/>
      </c>
    </row>
    <row r="4810" spans="1:5" x14ac:dyDescent="0.3">
      <c r="A4810" s="21" t="str">
        <f t="shared" si="75"/>
        <v>.</v>
      </c>
      <c r="D4810" s="44"/>
      <c r="E4810" s="22" t="str">
        <f>IF(D4810&lt;&gt;"",IFERROR(INDEX(Produtos!$C$4:$C$4996,MATCH(D4810,Produtos!$B$4:$B$4996,0)),"Produto não encontrado"),"")</f>
        <v/>
      </c>
    </row>
    <row r="4811" spans="1:5" x14ac:dyDescent="0.3">
      <c r="A4811" s="21" t="str">
        <f t="shared" si="75"/>
        <v>.</v>
      </c>
      <c r="D4811" s="44"/>
      <c r="E4811" s="22" t="str">
        <f>IF(D4811&lt;&gt;"",IFERROR(INDEX(Produtos!$C$4:$C$4996,MATCH(D4811,Produtos!$B$4:$B$4996,0)),"Produto não encontrado"),"")</f>
        <v/>
      </c>
    </row>
    <row r="4812" spans="1:5" x14ac:dyDescent="0.3">
      <c r="A4812" s="21" t="str">
        <f t="shared" si="75"/>
        <v>.</v>
      </c>
      <c r="D4812" s="44"/>
      <c r="E4812" s="22" t="str">
        <f>IF(D4812&lt;&gt;"",IFERROR(INDEX(Produtos!$C$4:$C$4996,MATCH(D4812,Produtos!$B$4:$B$4996,0)),"Produto não encontrado"),"")</f>
        <v/>
      </c>
    </row>
    <row r="4813" spans="1:5" x14ac:dyDescent="0.3">
      <c r="A4813" s="21" t="str">
        <f t="shared" si="75"/>
        <v>.</v>
      </c>
      <c r="D4813" s="44"/>
      <c r="E4813" s="22" t="str">
        <f>IF(D4813&lt;&gt;"",IFERROR(INDEX(Produtos!$C$4:$C$4996,MATCH(D4813,Produtos!$B$4:$B$4996,0)),"Produto não encontrado"),"")</f>
        <v/>
      </c>
    </row>
    <row r="4814" spans="1:5" x14ac:dyDescent="0.3">
      <c r="A4814" s="21" t="str">
        <f t="shared" si="75"/>
        <v>.</v>
      </c>
      <c r="D4814" s="44"/>
      <c r="E4814" s="22" t="str">
        <f>IF(D4814&lt;&gt;"",IFERROR(INDEX(Produtos!$C$4:$C$4996,MATCH(D4814,Produtos!$B$4:$B$4996,0)),"Produto não encontrado"),"")</f>
        <v/>
      </c>
    </row>
    <row r="4815" spans="1:5" x14ac:dyDescent="0.3">
      <c r="A4815" s="21" t="str">
        <f t="shared" si="75"/>
        <v>.</v>
      </c>
      <c r="D4815" s="44"/>
      <c r="E4815" s="22" t="str">
        <f>IF(D4815&lt;&gt;"",IFERROR(INDEX(Produtos!$C$4:$C$4996,MATCH(D4815,Produtos!$B$4:$B$4996,0)),"Produto não encontrado"),"")</f>
        <v/>
      </c>
    </row>
    <row r="4816" spans="1:5" x14ac:dyDescent="0.3">
      <c r="A4816" s="21" t="str">
        <f t="shared" si="75"/>
        <v>.</v>
      </c>
      <c r="D4816" s="44"/>
      <c r="E4816" s="22" t="str">
        <f>IF(D4816&lt;&gt;"",IFERROR(INDEX(Produtos!$C$4:$C$4996,MATCH(D4816,Produtos!$B$4:$B$4996,0)),"Produto não encontrado"),"")</f>
        <v/>
      </c>
    </row>
    <row r="4817" spans="1:5" x14ac:dyDescent="0.3">
      <c r="A4817" s="21" t="str">
        <f t="shared" si="75"/>
        <v>.</v>
      </c>
      <c r="D4817" s="44"/>
      <c r="E4817" s="22" t="str">
        <f>IF(D4817&lt;&gt;"",IFERROR(INDEX(Produtos!$C$4:$C$4996,MATCH(D4817,Produtos!$B$4:$B$4996,0)),"Produto não encontrado"),"")</f>
        <v/>
      </c>
    </row>
    <row r="4818" spans="1:5" x14ac:dyDescent="0.3">
      <c r="A4818" s="21" t="str">
        <f t="shared" si="75"/>
        <v>.</v>
      </c>
      <c r="D4818" s="44"/>
      <c r="E4818" s="22" t="str">
        <f>IF(D4818&lt;&gt;"",IFERROR(INDEX(Produtos!$C$4:$C$4996,MATCH(D4818,Produtos!$B$4:$B$4996,0)),"Produto não encontrado"),"")</f>
        <v/>
      </c>
    </row>
    <row r="4819" spans="1:5" x14ac:dyDescent="0.3">
      <c r="A4819" s="21" t="str">
        <f t="shared" si="75"/>
        <v>.</v>
      </c>
      <c r="D4819" s="44"/>
      <c r="E4819" s="22" t="str">
        <f>IF(D4819&lt;&gt;"",IFERROR(INDEX(Produtos!$C$4:$C$4996,MATCH(D4819,Produtos!$B$4:$B$4996,0)),"Produto não encontrado"),"")</f>
        <v/>
      </c>
    </row>
    <row r="4820" spans="1:5" x14ac:dyDescent="0.3">
      <c r="A4820" s="21" t="str">
        <f t="shared" si="75"/>
        <v>.</v>
      </c>
      <c r="D4820" s="44"/>
      <c r="E4820" s="22" t="str">
        <f>IF(D4820&lt;&gt;"",IFERROR(INDEX(Produtos!$C$4:$C$4996,MATCH(D4820,Produtos!$B$4:$B$4996,0)),"Produto não encontrado"),"")</f>
        <v/>
      </c>
    </row>
    <row r="4821" spans="1:5" x14ac:dyDescent="0.3">
      <c r="A4821" s="21" t="str">
        <f t="shared" si="75"/>
        <v>.</v>
      </c>
      <c r="D4821" s="44"/>
      <c r="E4821" s="22" t="str">
        <f>IF(D4821&lt;&gt;"",IFERROR(INDEX(Produtos!$C$4:$C$4996,MATCH(D4821,Produtos!$B$4:$B$4996,0)),"Produto não encontrado"),"")</f>
        <v/>
      </c>
    </row>
    <row r="4822" spans="1:5" x14ac:dyDescent="0.3">
      <c r="A4822" s="21" t="str">
        <f t="shared" si="75"/>
        <v>.</v>
      </c>
      <c r="D4822" s="44"/>
      <c r="E4822" s="22" t="str">
        <f>IF(D4822&lt;&gt;"",IFERROR(INDEX(Produtos!$C$4:$C$4996,MATCH(D4822,Produtos!$B$4:$B$4996,0)),"Produto não encontrado"),"")</f>
        <v/>
      </c>
    </row>
    <row r="4823" spans="1:5" x14ac:dyDescent="0.3">
      <c r="A4823" s="21" t="str">
        <f t="shared" si="75"/>
        <v>.</v>
      </c>
      <c r="D4823" s="44"/>
      <c r="E4823" s="22" t="str">
        <f>IF(D4823&lt;&gt;"",IFERROR(INDEX(Produtos!$C$4:$C$4996,MATCH(D4823,Produtos!$B$4:$B$4996,0)),"Produto não encontrado"),"")</f>
        <v/>
      </c>
    </row>
    <row r="4824" spans="1:5" x14ac:dyDescent="0.3">
      <c r="A4824" s="21" t="str">
        <f t="shared" si="75"/>
        <v>.</v>
      </c>
      <c r="D4824" s="44"/>
      <c r="E4824" s="22" t="str">
        <f>IF(D4824&lt;&gt;"",IFERROR(INDEX(Produtos!$C$4:$C$4996,MATCH(D4824,Produtos!$B$4:$B$4996,0)),"Produto não encontrado"),"")</f>
        <v/>
      </c>
    </row>
    <row r="4825" spans="1:5" x14ac:dyDescent="0.3">
      <c r="A4825" s="21" t="str">
        <f t="shared" si="75"/>
        <v>.</v>
      </c>
      <c r="D4825" s="44"/>
      <c r="E4825" s="22" t="str">
        <f>IF(D4825&lt;&gt;"",IFERROR(INDEX(Produtos!$C$4:$C$4996,MATCH(D4825,Produtos!$B$4:$B$4996,0)),"Produto não encontrado"),"")</f>
        <v/>
      </c>
    </row>
    <row r="4826" spans="1:5" x14ac:dyDescent="0.3">
      <c r="A4826" s="21" t="str">
        <f t="shared" si="75"/>
        <v>.</v>
      </c>
      <c r="D4826" s="44"/>
      <c r="E4826" s="22" t="str">
        <f>IF(D4826&lt;&gt;"",IFERROR(INDEX(Produtos!$C$4:$C$4996,MATCH(D4826,Produtos!$B$4:$B$4996,0)),"Produto não encontrado"),"")</f>
        <v/>
      </c>
    </row>
    <row r="4827" spans="1:5" x14ac:dyDescent="0.3">
      <c r="A4827" s="21" t="str">
        <f t="shared" si="75"/>
        <v>.</v>
      </c>
      <c r="D4827" s="44"/>
      <c r="E4827" s="22" t="str">
        <f>IF(D4827&lt;&gt;"",IFERROR(INDEX(Produtos!$C$4:$C$4996,MATCH(D4827,Produtos!$B$4:$B$4996,0)),"Produto não encontrado"),"")</f>
        <v/>
      </c>
    </row>
    <row r="4828" spans="1:5" x14ac:dyDescent="0.3">
      <c r="A4828" s="21" t="str">
        <f t="shared" si="75"/>
        <v>.</v>
      </c>
      <c r="D4828" s="44"/>
      <c r="E4828" s="22" t="str">
        <f>IF(D4828&lt;&gt;"",IFERROR(INDEX(Produtos!$C$4:$C$4996,MATCH(D4828,Produtos!$B$4:$B$4996,0)),"Produto não encontrado"),"")</f>
        <v/>
      </c>
    </row>
    <row r="4829" spans="1:5" x14ac:dyDescent="0.3">
      <c r="A4829" s="21" t="str">
        <f t="shared" si="75"/>
        <v>.</v>
      </c>
      <c r="D4829" s="44"/>
      <c r="E4829" s="22" t="str">
        <f>IF(D4829&lt;&gt;"",IFERROR(INDEX(Produtos!$C$4:$C$4996,MATCH(D4829,Produtos!$B$4:$B$4996,0)),"Produto não encontrado"),"")</f>
        <v/>
      </c>
    </row>
    <row r="4830" spans="1:5" x14ac:dyDescent="0.3">
      <c r="A4830" s="21" t="str">
        <f t="shared" si="75"/>
        <v>.</v>
      </c>
      <c r="D4830" s="44"/>
      <c r="E4830" s="22" t="str">
        <f>IF(D4830&lt;&gt;"",IFERROR(INDEX(Produtos!$C$4:$C$4996,MATCH(D4830,Produtos!$B$4:$B$4996,0)),"Produto não encontrado"),"")</f>
        <v/>
      </c>
    </row>
    <row r="4831" spans="1:5" x14ac:dyDescent="0.3">
      <c r="A4831" s="21" t="str">
        <f t="shared" si="75"/>
        <v>.</v>
      </c>
      <c r="D4831" s="44"/>
      <c r="E4831" s="22" t="str">
        <f>IF(D4831&lt;&gt;"",IFERROR(INDEX(Produtos!$C$4:$C$4996,MATCH(D4831,Produtos!$B$4:$B$4996,0)),"Produto não encontrado"),"")</f>
        <v/>
      </c>
    </row>
    <row r="4832" spans="1:5" x14ac:dyDescent="0.3">
      <c r="A4832" s="21" t="str">
        <f t="shared" si="75"/>
        <v>.</v>
      </c>
      <c r="D4832" s="44"/>
      <c r="E4832" s="22" t="str">
        <f>IF(D4832&lt;&gt;"",IFERROR(INDEX(Produtos!$C$4:$C$4996,MATCH(D4832,Produtos!$B$4:$B$4996,0)),"Produto não encontrado"),"")</f>
        <v/>
      </c>
    </row>
    <row r="4833" spans="1:5" x14ac:dyDescent="0.3">
      <c r="A4833" s="21" t="str">
        <f t="shared" si="75"/>
        <v>.</v>
      </c>
      <c r="D4833" s="44"/>
      <c r="E4833" s="22" t="str">
        <f>IF(D4833&lt;&gt;"",IFERROR(INDEX(Produtos!$C$4:$C$4996,MATCH(D4833,Produtos!$B$4:$B$4996,0)),"Produto não encontrado"),"")</f>
        <v/>
      </c>
    </row>
    <row r="4834" spans="1:5" x14ac:dyDescent="0.3">
      <c r="A4834" s="21" t="str">
        <f t="shared" si="75"/>
        <v>.</v>
      </c>
      <c r="D4834" s="44"/>
      <c r="E4834" s="22" t="str">
        <f>IF(D4834&lt;&gt;"",IFERROR(INDEX(Produtos!$C$4:$C$4996,MATCH(D4834,Produtos!$B$4:$B$4996,0)),"Produto não encontrado"),"")</f>
        <v/>
      </c>
    </row>
    <row r="4835" spans="1:5" x14ac:dyDescent="0.3">
      <c r="A4835" s="21" t="str">
        <f t="shared" si="75"/>
        <v>.</v>
      </c>
      <c r="D4835" s="44"/>
      <c r="E4835" s="22" t="str">
        <f>IF(D4835&lt;&gt;"",IFERROR(INDEX(Produtos!$C$4:$C$4996,MATCH(D4835,Produtos!$B$4:$B$4996,0)),"Produto não encontrado"),"")</f>
        <v/>
      </c>
    </row>
    <row r="4836" spans="1:5" x14ac:dyDescent="0.3">
      <c r="A4836" s="21" t="str">
        <f t="shared" si="75"/>
        <v>.</v>
      </c>
      <c r="D4836" s="44"/>
      <c r="E4836" s="22" t="str">
        <f>IF(D4836&lt;&gt;"",IFERROR(INDEX(Produtos!$C$4:$C$4996,MATCH(D4836,Produtos!$B$4:$B$4996,0)),"Produto não encontrado"),"")</f>
        <v/>
      </c>
    </row>
    <row r="4837" spans="1:5" x14ac:dyDescent="0.3">
      <c r="A4837" s="21" t="str">
        <f t="shared" si="75"/>
        <v>.</v>
      </c>
      <c r="D4837" s="44"/>
      <c r="E4837" s="22" t="str">
        <f>IF(D4837&lt;&gt;"",IFERROR(INDEX(Produtos!$C$4:$C$4996,MATCH(D4837,Produtos!$B$4:$B$4996,0)),"Produto não encontrado"),"")</f>
        <v/>
      </c>
    </row>
    <row r="4838" spans="1:5" x14ac:dyDescent="0.3">
      <c r="A4838" s="21" t="str">
        <f t="shared" si="75"/>
        <v>.</v>
      </c>
      <c r="D4838" s="44"/>
      <c r="E4838" s="22" t="str">
        <f>IF(D4838&lt;&gt;"",IFERROR(INDEX(Produtos!$C$4:$C$4996,MATCH(D4838,Produtos!$B$4:$B$4996,0)),"Produto não encontrado"),"")</f>
        <v/>
      </c>
    </row>
    <row r="4839" spans="1:5" x14ac:dyDescent="0.3">
      <c r="A4839" s="21" t="str">
        <f t="shared" si="75"/>
        <v>.</v>
      </c>
      <c r="D4839" s="44"/>
      <c r="E4839" s="22" t="str">
        <f>IF(D4839&lt;&gt;"",IFERROR(INDEX(Produtos!$C$4:$C$4996,MATCH(D4839,Produtos!$B$4:$B$4996,0)),"Produto não encontrado"),"")</f>
        <v/>
      </c>
    </row>
    <row r="4840" spans="1:5" x14ac:dyDescent="0.3">
      <c r="A4840" s="21" t="str">
        <f t="shared" si="75"/>
        <v>.</v>
      </c>
      <c r="D4840" s="44"/>
      <c r="E4840" s="22" t="str">
        <f>IF(D4840&lt;&gt;"",IFERROR(INDEX(Produtos!$C$4:$C$4996,MATCH(D4840,Produtos!$B$4:$B$4996,0)),"Produto não encontrado"),"")</f>
        <v/>
      </c>
    </row>
    <row r="4841" spans="1:5" x14ac:dyDescent="0.3">
      <c r="A4841" s="21" t="str">
        <f t="shared" si="75"/>
        <v>.</v>
      </c>
      <c r="D4841" s="44"/>
      <c r="E4841" s="22" t="str">
        <f>IF(D4841&lt;&gt;"",IFERROR(INDEX(Produtos!$C$4:$C$4996,MATCH(D4841,Produtos!$B$4:$B$4996,0)),"Produto não encontrado"),"")</f>
        <v/>
      </c>
    </row>
    <row r="4842" spans="1:5" x14ac:dyDescent="0.3">
      <c r="A4842" s="21" t="str">
        <f t="shared" si="75"/>
        <v>.</v>
      </c>
      <c r="D4842" s="44"/>
      <c r="E4842" s="22" t="str">
        <f>IF(D4842&lt;&gt;"",IFERROR(INDEX(Produtos!$C$4:$C$4996,MATCH(D4842,Produtos!$B$4:$B$4996,0)),"Produto não encontrado"),"")</f>
        <v/>
      </c>
    </row>
    <row r="4843" spans="1:5" x14ac:dyDescent="0.3">
      <c r="A4843" s="21" t="str">
        <f t="shared" si="75"/>
        <v>.</v>
      </c>
      <c r="D4843" s="44"/>
      <c r="E4843" s="22" t="str">
        <f>IF(D4843&lt;&gt;"",IFERROR(INDEX(Produtos!$C$4:$C$4996,MATCH(D4843,Produtos!$B$4:$B$4996,0)),"Produto não encontrado"),"")</f>
        <v/>
      </c>
    </row>
    <row r="4844" spans="1:5" x14ac:dyDescent="0.3">
      <c r="A4844" s="21" t="str">
        <f t="shared" si="75"/>
        <v>.</v>
      </c>
      <c r="D4844" s="44"/>
      <c r="E4844" s="22" t="str">
        <f>IF(D4844&lt;&gt;"",IFERROR(INDEX(Produtos!$C$4:$C$4996,MATCH(D4844,Produtos!$B$4:$B$4996,0)),"Produto não encontrado"),"")</f>
        <v/>
      </c>
    </row>
    <row r="4845" spans="1:5" x14ac:dyDescent="0.3">
      <c r="A4845" s="21" t="str">
        <f t="shared" si="75"/>
        <v>.</v>
      </c>
      <c r="D4845" s="44"/>
      <c r="E4845" s="22" t="str">
        <f>IF(D4845&lt;&gt;"",IFERROR(INDEX(Produtos!$C$4:$C$4996,MATCH(D4845,Produtos!$B$4:$B$4996,0)),"Produto não encontrado"),"")</f>
        <v/>
      </c>
    </row>
    <row r="4846" spans="1:5" x14ac:dyDescent="0.3">
      <c r="A4846" s="21" t="str">
        <f t="shared" si="75"/>
        <v>.</v>
      </c>
      <c r="D4846" s="44"/>
      <c r="E4846" s="22" t="str">
        <f>IF(D4846&lt;&gt;"",IFERROR(INDEX(Produtos!$C$4:$C$4996,MATCH(D4846,Produtos!$B$4:$B$4996,0)),"Produto não encontrado"),"")</f>
        <v/>
      </c>
    </row>
    <row r="4847" spans="1:5" x14ac:dyDescent="0.3">
      <c r="A4847" s="21" t="str">
        <f t="shared" si="75"/>
        <v>.</v>
      </c>
      <c r="D4847" s="44"/>
      <c r="E4847" s="22" t="str">
        <f>IF(D4847&lt;&gt;"",IFERROR(INDEX(Produtos!$C$4:$C$4996,MATCH(D4847,Produtos!$B$4:$B$4996,0)),"Produto não encontrado"),"")</f>
        <v/>
      </c>
    </row>
    <row r="4848" spans="1:5" x14ac:dyDescent="0.3">
      <c r="A4848" s="21" t="str">
        <f t="shared" si="75"/>
        <v>.</v>
      </c>
      <c r="D4848" s="44"/>
      <c r="E4848" s="22" t="str">
        <f>IF(D4848&lt;&gt;"",IFERROR(INDEX(Produtos!$C$4:$C$4996,MATCH(D4848,Produtos!$B$4:$B$4996,0)),"Produto não encontrado"),"")</f>
        <v/>
      </c>
    </row>
    <row r="4849" spans="1:5" x14ac:dyDescent="0.3">
      <c r="A4849" s="21" t="str">
        <f t="shared" si="75"/>
        <v>.</v>
      </c>
      <c r="D4849" s="44"/>
      <c r="E4849" s="22" t="str">
        <f>IF(D4849&lt;&gt;"",IFERROR(INDEX(Produtos!$C$4:$C$4996,MATCH(D4849,Produtos!$B$4:$B$4996,0)),"Produto não encontrado"),"")</f>
        <v/>
      </c>
    </row>
    <row r="4850" spans="1:5" x14ac:dyDescent="0.3">
      <c r="A4850" s="21" t="str">
        <f t="shared" si="75"/>
        <v>.</v>
      </c>
      <c r="D4850" s="44"/>
      <c r="E4850" s="22" t="str">
        <f>IF(D4850&lt;&gt;"",IFERROR(INDEX(Produtos!$C$4:$C$4996,MATCH(D4850,Produtos!$B$4:$B$4996,0)),"Produto não encontrado"),"")</f>
        <v/>
      </c>
    </row>
    <row r="4851" spans="1:5" x14ac:dyDescent="0.3">
      <c r="A4851" s="21" t="str">
        <f t="shared" si="75"/>
        <v>.</v>
      </c>
      <c r="D4851" s="44"/>
      <c r="E4851" s="22" t="str">
        <f>IF(D4851&lt;&gt;"",IFERROR(INDEX(Produtos!$C$4:$C$4996,MATCH(D4851,Produtos!$B$4:$B$4996,0)),"Produto não encontrado"),"")</f>
        <v/>
      </c>
    </row>
    <row r="4852" spans="1:5" x14ac:dyDescent="0.3">
      <c r="A4852" s="21" t="str">
        <f t="shared" si="75"/>
        <v>.</v>
      </c>
      <c r="D4852" s="44"/>
      <c r="E4852" s="22" t="str">
        <f>IF(D4852&lt;&gt;"",IFERROR(INDEX(Produtos!$C$4:$C$4996,MATCH(D4852,Produtos!$B$4:$B$4996,0)),"Produto não encontrado"),"")</f>
        <v/>
      </c>
    </row>
    <row r="4853" spans="1:5" x14ac:dyDescent="0.3">
      <c r="A4853" s="21" t="str">
        <f t="shared" si="75"/>
        <v>.</v>
      </c>
      <c r="D4853" s="44"/>
      <c r="E4853" s="22" t="str">
        <f>IF(D4853&lt;&gt;"",IFERROR(INDEX(Produtos!$C$4:$C$4996,MATCH(D4853,Produtos!$B$4:$B$4996,0)),"Produto não encontrado"),"")</f>
        <v/>
      </c>
    </row>
    <row r="4854" spans="1:5" x14ac:dyDescent="0.3">
      <c r="A4854" s="21" t="str">
        <f t="shared" si="75"/>
        <v>.</v>
      </c>
      <c r="D4854" s="44"/>
      <c r="E4854" s="22" t="str">
        <f>IF(D4854&lt;&gt;"",IFERROR(INDEX(Produtos!$C$4:$C$4996,MATCH(D4854,Produtos!$B$4:$B$4996,0)),"Produto não encontrado"),"")</f>
        <v/>
      </c>
    </row>
    <row r="4855" spans="1:5" x14ac:dyDescent="0.3">
      <c r="A4855" s="21" t="str">
        <f t="shared" si="75"/>
        <v>.</v>
      </c>
      <c r="D4855" s="44"/>
      <c r="E4855" s="22" t="str">
        <f>IF(D4855&lt;&gt;"",IFERROR(INDEX(Produtos!$C$4:$C$4996,MATCH(D4855,Produtos!$B$4:$B$4996,0)),"Produto não encontrado"),"")</f>
        <v/>
      </c>
    </row>
    <row r="4856" spans="1:5" x14ac:dyDescent="0.3">
      <c r="A4856" s="21" t="str">
        <f t="shared" si="75"/>
        <v>.</v>
      </c>
      <c r="D4856" s="44"/>
      <c r="E4856" s="22" t="str">
        <f>IF(D4856&lt;&gt;"",IFERROR(INDEX(Produtos!$C$4:$C$4996,MATCH(D4856,Produtos!$B$4:$B$4996,0)),"Produto não encontrado"),"")</f>
        <v/>
      </c>
    </row>
    <row r="4857" spans="1:5" x14ac:dyDescent="0.3">
      <c r="A4857" s="21" t="str">
        <f t="shared" si="75"/>
        <v>.</v>
      </c>
      <c r="D4857" s="44"/>
      <c r="E4857" s="22" t="str">
        <f>IF(D4857&lt;&gt;"",IFERROR(INDEX(Produtos!$C$4:$C$4996,MATCH(D4857,Produtos!$B$4:$B$4996,0)),"Produto não encontrado"),"")</f>
        <v/>
      </c>
    </row>
    <row r="4858" spans="1:5" x14ac:dyDescent="0.3">
      <c r="A4858" s="21" t="str">
        <f t="shared" si="75"/>
        <v>.</v>
      </c>
      <c r="D4858" s="44"/>
      <c r="E4858" s="22" t="str">
        <f>IF(D4858&lt;&gt;"",IFERROR(INDEX(Produtos!$C$4:$C$4996,MATCH(D4858,Produtos!$B$4:$B$4996,0)),"Produto não encontrado"),"")</f>
        <v/>
      </c>
    </row>
    <row r="4859" spans="1:5" x14ac:dyDescent="0.3">
      <c r="A4859" s="21" t="str">
        <f t="shared" si="75"/>
        <v>.</v>
      </c>
      <c r="D4859" s="44"/>
      <c r="E4859" s="22" t="str">
        <f>IF(D4859&lt;&gt;"",IFERROR(INDEX(Produtos!$C$4:$C$4996,MATCH(D4859,Produtos!$B$4:$B$4996,0)),"Produto não encontrado"),"")</f>
        <v/>
      </c>
    </row>
    <row r="4860" spans="1:5" x14ac:dyDescent="0.3">
      <c r="A4860" s="21" t="str">
        <f t="shared" si="75"/>
        <v>.</v>
      </c>
      <c r="D4860" s="44"/>
      <c r="E4860" s="22" t="str">
        <f>IF(D4860&lt;&gt;"",IFERROR(INDEX(Produtos!$C$4:$C$4996,MATCH(D4860,Produtos!$B$4:$B$4996,0)),"Produto não encontrado"),"")</f>
        <v/>
      </c>
    </row>
    <row r="4861" spans="1:5" x14ac:dyDescent="0.3">
      <c r="A4861" s="21" t="str">
        <f t="shared" si="75"/>
        <v>.</v>
      </c>
      <c r="D4861" s="44"/>
      <c r="E4861" s="22" t="str">
        <f>IF(D4861&lt;&gt;"",IFERROR(INDEX(Produtos!$C$4:$C$4996,MATCH(D4861,Produtos!$B$4:$B$4996,0)),"Produto não encontrado"),"")</f>
        <v/>
      </c>
    </row>
    <row r="4862" spans="1:5" x14ac:dyDescent="0.3">
      <c r="A4862" s="21" t="str">
        <f t="shared" si="75"/>
        <v>.</v>
      </c>
      <c r="D4862" s="44"/>
      <c r="E4862" s="22" t="str">
        <f>IF(D4862&lt;&gt;"",IFERROR(INDEX(Produtos!$C$4:$C$4996,MATCH(D4862,Produtos!$B$4:$B$4996,0)),"Produto não encontrado"),"")</f>
        <v/>
      </c>
    </row>
    <row r="4863" spans="1:5" x14ac:dyDescent="0.3">
      <c r="A4863" s="21" t="str">
        <f t="shared" si="75"/>
        <v>.</v>
      </c>
      <c r="D4863" s="44"/>
      <c r="E4863" s="22" t="str">
        <f>IF(D4863&lt;&gt;"",IFERROR(INDEX(Produtos!$C$4:$C$4996,MATCH(D4863,Produtos!$B$4:$B$4996,0)),"Produto não encontrado"),"")</f>
        <v/>
      </c>
    </row>
    <row r="4864" spans="1:5" x14ac:dyDescent="0.3">
      <c r="A4864" s="21" t="str">
        <f t="shared" ref="A4864:A4927" si="76">IF(C4864="Entrada",2,IF(C4864="Saída",1,"."))</f>
        <v>.</v>
      </c>
      <c r="D4864" s="44"/>
      <c r="E4864" s="22" t="str">
        <f>IF(D4864&lt;&gt;"",IFERROR(INDEX(Produtos!$C$4:$C$4996,MATCH(D4864,Produtos!$B$4:$B$4996,0)),"Produto não encontrado"),"")</f>
        <v/>
      </c>
    </row>
    <row r="4865" spans="1:5" x14ac:dyDescent="0.3">
      <c r="A4865" s="21" t="str">
        <f t="shared" si="76"/>
        <v>.</v>
      </c>
      <c r="D4865" s="44"/>
      <c r="E4865" s="22" t="str">
        <f>IF(D4865&lt;&gt;"",IFERROR(INDEX(Produtos!$C$4:$C$4996,MATCH(D4865,Produtos!$B$4:$B$4996,0)),"Produto não encontrado"),"")</f>
        <v/>
      </c>
    </row>
    <row r="4866" spans="1:5" x14ac:dyDescent="0.3">
      <c r="A4866" s="21" t="str">
        <f t="shared" si="76"/>
        <v>.</v>
      </c>
      <c r="D4866" s="44"/>
      <c r="E4866" s="22" t="str">
        <f>IF(D4866&lt;&gt;"",IFERROR(INDEX(Produtos!$C$4:$C$4996,MATCH(D4866,Produtos!$B$4:$B$4996,0)),"Produto não encontrado"),"")</f>
        <v/>
      </c>
    </row>
    <row r="4867" spans="1:5" x14ac:dyDescent="0.3">
      <c r="A4867" s="21" t="str">
        <f t="shared" si="76"/>
        <v>.</v>
      </c>
      <c r="D4867" s="44"/>
      <c r="E4867" s="22" t="str">
        <f>IF(D4867&lt;&gt;"",IFERROR(INDEX(Produtos!$C$4:$C$4996,MATCH(D4867,Produtos!$B$4:$B$4996,0)),"Produto não encontrado"),"")</f>
        <v/>
      </c>
    </row>
    <row r="4868" spans="1:5" x14ac:dyDescent="0.3">
      <c r="A4868" s="21" t="str">
        <f t="shared" si="76"/>
        <v>.</v>
      </c>
      <c r="D4868" s="44"/>
      <c r="E4868" s="22" t="str">
        <f>IF(D4868&lt;&gt;"",IFERROR(INDEX(Produtos!$C$4:$C$4996,MATCH(D4868,Produtos!$B$4:$B$4996,0)),"Produto não encontrado"),"")</f>
        <v/>
      </c>
    </row>
    <row r="4869" spans="1:5" x14ac:dyDescent="0.3">
      <c r="A4869" s="21" t="str">
        <f t="shared" si="76"/>
        <v>.</v>
      </c>
      <c r="D4869" s="44"/>
      <c r="E4869" s="22" t="str">
        <f>IF(D4869&lt;&gt;"",IFERROR(INDEX(Produtos!$C$4:$C$4996,MATCH(D4869,Produtos!$B$4:$B$4996,0)),"Produto não encontrado"),"")</f>
        <v/>
      </c>
    </row>
    <row r="4870" spans="1:5" x14ac:dyDescent="0.3">
      <c r="A4870" s="21" t="str">
        <f t="shared" si="76"/>
        <v>.</v>
      </c>
      <c r="D4870" s="44"/>
      <c r="E4870" s="22" t="str">
        <f>IF(D4870&lt;&gt;"",IFERROR(INDEX(Produtos!$C$4:$C$4996,MATCH(D4870,Produtos!$B$4:$B$4996,0)),"Produto não encontrado"),"")</f>
        <v/>
      </c>
    </row>
    <row r="4871" spans="1:5" x14ac:dyDescent="0.3">
      <c r="A4871" s="21" t="str">
        <f t="shared" si="76"/>
        <v>.</v>
      </c>
      <c r="D4871" s="44"/>
      <c r="E4871" s="22" t="str">
        <f>IF(D4871&lt;&gt;"",IFERROR(INDEX(Produtos!$C$4:$C$4996,MATCH(D4871,Produtos!$B$4:$B$4996,0)),"Produto não encontrado"),"")</f>
        <v/>
      </c>
    </row>
    <row r="4872" spans="1:5" x14ac:dyDescent="0.3">
      <c r="A4872" s="21" t="str">
        <f t="shared" si="76"/>
        <v>.</v>
      </c>
      <c r="D4872" s="44"/>
      <c r="E4872" s="22" t="str">
        <f>IF(D4872&lt;&gt;"",IFERROR(INDEX(Produtos!$C$4:$C$4996,MATCH(D4872,Produtos!$B$4:$B$4996,0)),"Produto não encontrado"),"")</f>
        <v/>
      </c>
    </row>
    <row r="4873" spans="1:5" x14ac:dyDescent="0.3">
      <c r="A4873" s="21" t="str">
        <f t="shared" si="76"/>
        <v>.</v>
      </c>
      <c r="D4873" s="44"/>
      <c r="E4873" s="22" t="str">
        <f>IF(D4873&lt;&gt;"",IFERROR(INDEX(Produtos!$C$4:$C$4996,MATCH(D4873,Produtos!$B$4:$B$4996,0)),"Produto não encontrado"),"")</f>
        <v/>
      </c>
    </row>
    <row r="4874" spans="1:5" x14ac:dyDescent="0.3">
      <c r="A4874" s="21" t="str">
        <f t="shared" si="76"/>
        <v>.</v>
      </c>
      <c r="D4874" s="44"/>
      <c r="E4874" s="22" t="str">
        <f>IF(D4874&lt;&gt;"",IFERROR(INDEX(Produtos!$C$4:$C$4996,MATCH(D4874,Produtos!$B$4:$B$4996,0)),"Produto não encontrado"),"")</f>
        <v/>
      </c>
    </row>
    <row r="4875" spans="1:5" x14ac:dyDescent="0.3">
      <c r="A4875" s="21" t="str">
        <f t="shared" si="76"/>
        <v>.</v>
      </c>
      <c r="D4875" s="44"/>
      <c r="E4875" s="22" t="str">
        <f>IF(D4875&lt;&gt;"",IFERROR(INDEX(Produtos!$C$4:$C$4996,MATCH(D4875,Produtos!$B$4:$B$4996,0)),"Produto não encontrado"),"")</f>
        <v/>
      </c>
    </row>
    <row r="4876" spans="1:5" x14ac:dyDescent="0.3">
      <c r="A4876" s="21" t="str">
        <f t="shared" si="76"/>
        <v>.</v>
      </c>
      <c r="D4876" s="44"/>
      <c r="E4876" s="22" t="str">
        <f>IF(D4876&lt;&gt;"",IFERROR(INDEX(Produtos!$C$4:$C$4996,MATCH(D4876,Produtos!$B$4:$B$4996,0)),"Produto não encontrado"),"")</f>
        <v/>
      </c>
    </row>
    <row r="4877" spans="1:5" x14ac:dyDescent="0.3">
      <c r="A4877" s="21" t="str">
        <f t="shared" si="76"/>
        <v>.</v>
      </c>
      <c r="D4877" s="44"/>
      <c r="E4877" s="22" t="str">
        <f>IF(D4877&lt;&gt;"",IFERROR(INDEX(Produtos!$C$4:$C$4996,MATCH(D4877,Produtos!$B$4:$B$4996,0)),"Produto não encontrado"),"")</f>
        <v/>
      </c>
    </row>
    <row r="4878" spans="1:5" x14ac:dyDescent="0.3">
      <c r="A4878" s="21" t="str">
        <f t="shared" si="76"/>
        <v>.</v>
      </c>
      <c r="D4878" s="44"/>
      <c r="E4878" s="22" t="str">
        <f>IF(D4878&lt;&gt;"",IFERROR(INDEX(Produtos!$C$4:$C$4996,MATCH(D4878,Produtos!$B$4:$B$4996,0)),"Produto não encontrado"),"")</f>
        <v/>
      </c>
    </row>
    <row r="4879" spans="1:5" x14ac:dyDescent="0.3">
      <c r="A4879" s="21" t="str">
        <f t="shared" si="76"/>
        <v>.</v>
      </c>
      <c r="D4879" s="44"/>
      <c r="E4879" s="22" t="str">
        <f>IF(D4879&lt;&gt;"",IFERROR(INDEX(Produtos!$C$4:$C$4996,MATCH(D4879,Produtos!$B$4:$B$4996,0)),"Produto não encontrado"),"")</f>
        <v/>
      </c>
    </row>
    <row r="4880" spans="1:5" x14ac:dyDescent="0.3">
      <c r="A4880" s="21" t="str">
        <f t="shared" si="76"/>
        <v>.</v>
      </c>
      <c r="D4880" s="44"/>
      <c r="E4880" s="22" t="str">
        <f>IF(D4880&lt;&gt;"",IFERROR(INDEX(Produtos!$C$4:$C$4996,MATCH(D4880,Produtos!$B$4:$B$4996,0)),"Produto não encontrado"),"")</f>
        <v/>
      </c>
    </row>
    <row r="4881" spans="1:5" x14ac:dyDescent="0.3">
      <c r="A4881" s="21" t="str">
        <f t="shared" si="76"/>
        <v>.</v>
      </c>
      <c r="D4881" s="44"/>
      <c r="E4881" s="22" t="str">
        <f>IF(D4881&lt;&gt;"",IFERROR(INDEX(Produtos!$C$4:$C$4996,MATCH(D4881,Produtos!$B$4:$B$4996,0)),"Produto não encontrado"),"")</f>
        <v/>
      </c>
    </row>
    <row r="4882" spans="1:5" x14ac:dyDescent="0.3">
      <c r="A4882" s="21" t="str">
        <f t="shared" si="76"/>
        <v>.</v>
      </c>
      <c r="D4882" s="44"/>
      <c r="E4882" s="22" t="str">
        <f>IF(D4882&lt;&gt;"",IFERROR(INDEX(Produtos!$C$4:$C$4996,MATCH(D4882,Produtos!$B$4:$B$4996,0)),"Produto não encontrado"),"")</f>
        <v/>
      </c>
    </row>
    <row r="4883" spans="1:5" x14ac:dyDescent="0.3">
      <c r="A4883" s="21" t="str">
        <f t="shared" si="76"/>
        <v>.</v>
      </c>
      <c r="D4883" s="44"/>
      <c r="E4883" s="22" t="str">
        <f>IF(D4883&lt;&gt;"",IFERROR(INDEX(Produtos!$C$4:$C$4996,MATCH(D4883,Produtos!$B$4:$B$4996,0)),"Produto não encontrado"),"")</f>
        <v/>
      </c>
    </row>
    <row r="4884" spans="1:5" x14ac:dyDescent="0.3">
      <c r="A4884" s="21" t="str">
        <f t="shared" si="76"/>
        <v>.</v>
      </c>
      <c r="D4884" s="44"/>
      <c r="E4884" s="22" t="str">
        <f>IF(D4884&lt;&gt;"",IFERROR(INDEX(Produtos!$C$4:$C$4996,MATCH(D4884,Produtos!$B$4:$B$4996,0)),"Produto não encontrado"),"")</f>
        <v/>
      </c>
    </row>
    <row r="4885" spans="1:5" x14ac:dyDescent="0.3">
      <c r="A4885" s="21" t="str">
        <f t="shared" si="76"/>
        <v>.</v>
      </c>
      <c r="D4885" s="44"/>
      <c r="E4885" s="22" t="str">
        <f>IF(D4885&lt;&gt;"",IFERROR(INDEX(Produtos!$C$4:$C$4996,MATCH(D4885,Produtos!$B$4:$B$4996,0)),"Produto não encontrado"),"")</f>
        <v/>
      </c>
    </row>
    <row r="4886" spans="1:5" x14ac:dyDescent="0.3">
      <c r="A4886" s="21" t="str">
        <f t="shared" si="76"/>
        <v>.</v>
      </c>
      <c r="D4886" s="44"/>
      <c r="E4886" s="22" t="str">
        <f>IF(D4886&lt;&gt;"",IFERROR(INDEX(Produtos!$C$4:$C$4996,MATCH(D4886,Produtos!$B$4:$B$4996,0)),"Produto não encontrado"),"")</f>
        <v/>
      </c>
    </row>
    <row r="4887" spans="1:5" x14ac:dyDescent="0.3">
      <c r="A4887" s="21" t="str">
        <f t="shared" si="76"/>
        <v>.</v>
      </c>
      <c r="D4887" s="44"/>
      <c r="E4887" s="22" t="str">
        <f>IF(D4887&lt;&gt;"",IFERROR(INDEX(Produtos!$C$4:$C$4996,MATCH(D4887,Produtos!$B$4:$B$4996,0)),"Produto não encontrado"),"")</f>
        <v/>
      </c>
    </row>
    <row r="4888" spans="1:5" x14ac:dyDescent="0.3">
      <c r="A4888" s="21" t="str">
        <f t="shared" si="76"/>
        <v>.</v>
      </c>
      <c r="D4888" s="44"/>
      <c r="E4888" s="22" t="str">
        <f>IF(D4888&lt;&gt;"",IFERROR(INDEX(Produtos!$C$4:$C$4996,MATCH(D4888,Produtos!$B$4:$B$4996,0)),"Produto não encontrado"),"")</f>
        <v/>
      </c>
    </row>
    <row r="4889" spans="1:5" x14ac:dyDescent="0.3">
      <c r="A4889" s="21" t="str">
        <f t="shared" si="76"/>
        <v>.</v>
      </c>
      <c r="D4889" s="44"/>
      <c r="E4889" s="22" t="str">
        <f>IF(D4889&lt;&gt;"",IFERROR(INDEX(Produtos!$C$4:$C$4996,MATCH(D4889,Produtos!$B$4:$B$4996,0)),"Produto não encontrado"),"")</f>
        <v/>
      </c>
    </row>
    <row r="4890" spans="1:5" x14ac:dyDescent="0.3">
      <c r="A4890" s="21" t="str">
        <f t="shared" si="76"/>
        <v>.</v>
      </c>
      <c r="D4890" s="44"/>
      <c r="E4890" s="22" t="str">
        <f>IF(D4890&lt;&gt;"",IFERROR(INDEX(Produtos!$C$4:$C$4996,MATCH(D4890,Produtos!$B$4:$B$4996,0)),"Produto não encontrado"),"")</f>
        <v/>
      </c>
    </row>
    <row r="4891" spans="1:5" x14ac:dyDescent="0.3">
      <c r="A4891" s="21" t="str">
        <f t="shared" si="76"/>
        <v>.</v>
      </c>
      <c r="D4891" s="44"/>
      <c r="E4891" s="22" t="str">
        <f>IF(D4891&lt;&gt;"",IFERROR(INDEX(Produtos!$C$4:$C$4996,MATCH(D4891,Produtos!$B$4:$B$4996,0)),"Produto não encontrado"),"")</f>
        <v/>
      </c>
    </row>
    <row r="4892" spans="1:5" x14ac:dyDescent="0.3">
      <c r="A4892" s="21" t="str">
        <f t="shared" si="76"/>
        <v>.</v>
      </c>
      <c r="D4892" s="44"/>
      <c r="E4892" s="22" t="str">
        <f>IF(D4892&lt;&gt;"",IFERROR(INDEX(Produtos!$C$4:$C$4996,MATCH(D4892,Produtos!$B$4:$B$4996,0)),"Produto não encontrado"),"")</f>
        <v/>
      </c>
    </row>
    <row r="4893" spans="1:5" x14ac:dyDescent="0.3">
      <c r="A4893" s="21" t="str">
        <f t="shared" si="76"/>
        <v>.</v>
      </c>
      <c r="D4893" s="44"/>
      <c r="E4893" s="22" t="str">
        <f>IF(D4893&lt;&gt;"",IFERROR(INDEX(Produtos!$C$4:$C$4996,MATCH(D4893,Produtos!$B$4:$B$4996,0)),"Produto não encontrado"),"")</f>
        <v/>
      </c>
    </row>
    <row r="4894" spans="1:5" x14ac:dyDescent="0.3">
      <c r="A4894" s="21" t="str">
        <f t="shared" si="76"/>
        <v>.</v>
      </c>
      <c r="D4894" s="44"/>
      <c r="E4894" s="22" t="str">
        <f>IF(D4894&lt;&gt;"",IFERROR(INDEX(Produtos!$C$4:$C$4996,MATCH(D4894,Produtos!$B$4:$B$4996,0)),"Produto não encontrado"),"")</f>
        <v/>
      </c>
    </row>
    <row r="4895" spans="1:5" x14ac:dyDescent="0.3">
      <c r="A4895" s="21" t="str">
        <f t="shared" si="76"/>
        <v>.</v>
      </c>
      <c r="D4895" s="44"/>
      <c r="E4895" s="22" t="str">
        <f>IF(D4895&lt;&gt;"",IFERROR(INDEX(Produtos!$C$4:$C$4996,MATCH(D4895,Produtos!$B$4:$B$4996,0)),"Produto não encontrado"),"")</f>
        <v/>
      </c>
    </row>
    <row r="4896" spans="1:5" x14ac:dyDescent="0.3">
      <c r="A4896" s="21" t="str">
        <f t="shared" si="76"/>
        <v>.</v>
      </c>
      <c r="D4896" s="44"/>
      <c r="E4896" s="22" t="str">
        <f>IF(D4896&lt;&gt;"",IFERROR(INDEX(Produtos!$C$4:$C$4996,MATCH(D4896,Produtos!$B$4:$B$4996,0)),"Produto não encontrado"),"")</f>
        <v/>
      </c>
    </row>
    <row r="4897" spans="1:5" x14ac:dyDescent="0.3">
      <c r="A4897" s="21" t="str">
        <f t="shared" si="76"/>
        <v>.</v>
      </c>
      <c r="D4897" s="44"/>
      <c r="E4897" s="22" t="str">
        <f>IF(D4897&lt;&gt;"",IFERROR(INDEX(Produtos!$C$4:$C$4996,MATCH(D4897,Produtos!$B$4:$B$4996,0)),"Produto não encontrado"),"")</f>
        <v/>
      </c>
    </row>
    <row r="4898" spans="1:5" x14ac:dyDescent="0.3">
      <c r="A4898" s="21" t="str">
        <f t="shared" si="76"/>
        <v>.</v>
      </c>
      <c r="D4898" s="44"/>
      <c r="E4898" s="22" t="str">
        <f>IF(D4898&lt;&gt;"",IFERROR(INDEX(Produtos!$C$4:$C$4996,MATCH(D4898,Produtos!$B$4:$B$4996,0)),"Produto não encontrado"),"")</f>
        <v/>
      </c>
    </row>
    <row r="4899" spans="1:5" x14ac:dyDescent="0.3">
      <c r="A4899" s="21" t="str">
        <f t="shared" si="76"/>
        <v>.</v>
      </c>
      <c r="D4899" s="44"/>
      <c r="E4899" s="22" t="str">
        <f>IF(D4899&lt;&gt;"",IFERROR(INDEX(Produtos!$C$4:$C$4996,MATCH(D4899,Produtos!$B$4:$B$4996,0)),"Produto não encontrado"),"")</f>
        <v/>
      </c>
    </row>
    <row r="4900" spans="1:5" x14ac:dyDescent="0.3">
      <c r="A4900" s="21" t="str">
        <f t="shared" si="76"/>
        <v>.</v>
      </c>
      <c r="D4900" s="44"/>
      <c r="E4900" s="22" t="str">
        <f>IF(D4900&lt;&gt;"",IFERROR(INDEX(Produtos!$C$4:$C$4996,MATCH(D4900,Produtos!$B$4:$B$4996,0)),"Produto não encontrado"),"")</f>
        <v/>
      </c>
    </row>
    <row r="4901" spans="1:5" x14ac:dyDescent="0.3">
      <c r="A4901" s="21" t="str">
        <f t="shared" si="76"/>
        <v>.</v>
      </c>
      <c r="D4901" s="44"/>
      <c r="E4901" s="22" t="str">
        <f>IF(D4901&lt;&gt;"",IFERROR(INDEX(Produtos!$C$4:$C$4996,MATCH(D4901,Produtos!$B$4:$B$4996,0)),"Produto não encontrado"),"")</f>
        <v/>
      </c>
    </row>
    <row r="4902" spans="1:5" x14ac:dyDescent="0.3">
      <c r="A4902" s="21" t="str">
        <f t="shared" si="76"/>
        <v>.</v>
      </c>
      <c r="D4902" s="44"/>
      <c r="E4902" s="22" t="str">
        <f>IF(D4902&lt;&gt;"",IFERROR(INDEX(Produtos!$C$4:$C$4996,MATCH(D4902,Produtos!$B$4:$B$4996,0)),"Produto não encontrado"),"")</f>
        <v/>
      </c>
    </row>
    <row r="4903" spans="1:5" x14ac:dyDescent="0.3">
      <c r="A4903" s="21" t="str">
        <f t="shared" si="76"/>
        <v>.</v>
      </c>
      <c r="D4903" s="44"/>
      <c r="E4903" s="22" t="str">
        <f>IF(D4903&lt;&gt;"",IFERROR(INDEX(Produtos!$C$4:$C$4996,MATCH(D4903,Produtos!$B$4:$B$4996,0)),"Produto não encontrado"),"")</f>
        <v/>
      </c>
    </row>
    <row r="4904" spans="1:5" x14ac:dyDescent="0.3">
      <c r="A4904" s="21" t="str">
        <f t="shared" si="76"/>
        <v>.</v>
      </c>
      <c r="D4904" s="44"/>
      <c r="E4904" s="22" t="str">
        <f>IF(D4904&lt;&gt;"",IFERROR(INDEX(Produtos!$C$4:$C$4996,MATCH(D4904,Produtos!$B$4:$B$4996,0)),"Produto não encontrado"),"")</f>
        <v/>
      </c>
    </row>
    <row r="4905" spans="1:5" x14ac:dyDescent="0.3">
      <c r="A4905" s="21" t="str">
        <f t="shared" si="76"/>
        <v>.</v>
      </c>
      <c r="D4905" s="44"/>
      <c r="E4905" s="22" t="str">
        <f>IF(D4905&lt;&gt;"",IFERROR(INDEX(Produtos!$C$4:$C$4996,MATCH(D4905,Produtos!$B$4:$B$4996,0)),"Produto não encontrado"),"")</f>
        <v/>
      </c>
    </row>
    <row r="4906" spans="1:5" x14ac:dyDescent="0.3">
      <c r="A4906" s="21" t="str">
        <f t="shared" si="76"/>
        <v>.</v>
      </c>
      <c r="D4906" s="44"/>
      <c r="E4906" s="22" t="str">
        <f>IF(D4906&lt;&gt;"",IFERROR(INDEX(Produtos!$C$4:$C$4996,MATCH(D4906,Produtos!$B$4:$B$4996,0)),"Produto não encontrado"),"")</f>
        <v/>
      </c>
    </row>
    <row r="4907" spans="1:5" x14ac:dyDescent="0.3">
      <c r="A4907" s="21" t="str">
        <f t="shared" si="76"/>
        <v>.</v>
      </c>
      <c r="D4907" s="44"/>
      <c r="E4907" s="22" t="str">
        <f>IF(D4907&lt;&gt;"",IFERROR(INDEX(Produtos!$C$4:$C$4996,MATCH(D4907,Produtos!$B$4:$B$4996,0)),"Produto não encontrado"),"")</f>
        <v/>
      </c>
    </row>
    <row r="4908" spans="1:5" x14ac:dyDescent="0.3">
      <c r="A4908" s="21" t="str">
        <f t="shared" si="76"/>
        <v>.</v>
      </c>
      <c r="D4908" s="44"/>
      <c r="E4908" s="22" t="str">
        <f>IF(D4908&lt;&gt;"",IFERROR(INDEX(Produtos!$C$4:$C$4996,MATCH(D4908,Produtos!$B$4:$B$4996,0)),"Produto não encontrado"),"")</f>
        <v/>
      </c>
    </row>
    <row r="4909" spans="1:5" x14ac:dyDescent="0.3">
      <c r="A4909" s="21" t="str">
        <f t="shared" si="76"/>
        <v>.</v>
      </c>
      <c r="D4909" s="44"/>
      <c r="E4909" s="22" t="str">
        <f>IF(D4909&lt;&gt;"",IFERROR(INDEX(Produtos!$C$4:$C$4996,MATCH(D4909,Produtos!$B$4:$B$4996,0)),"Produto não encontrado"),"")</f>
        <v/>
      </c>
    </row>
    <row r="4910" spans="1:5" x14ac:dyDescent="0.3">
      <c r="A4910" s="21" t="str">
        <f t="shared" si="76"/>
        <v>.</v>
      </c>
      <c r="D4910" s="44"/>
      <c r="E4910" s="22" t="str">
        <f>IF(D4910&lt;&gt;"",IFERROR(INDEX(Produtos!$C$4:$C$4996,MATCH(D4910,Produtos!$B$4:$B$4996,0)),"Produto não encontrado"),"")</f>
        <v/>
      </c>
    </row>
    <row r="4911" spans="1:5" x14ac:dyDescent="0.3">
      <c r="A4911" s="21" t="str">
        <f t="shared" si="76"/>
        <v>.</v>
      </c>
      <c r="D4911" s="44"/>
      <c r="E4911" s="22" t="str">
        <f>IF(D4911&lt;&gt;"",IFERROR(INDEX(Produtos!$C$4:$C$4996,MATCH(D4911,Produtos!$B$4:$B$4996,0)),"Produto não encontrado"),"")</f>
        <v/>
      </c>
    </row>
    <row r="4912" spans="1:5" x14ac:dyDescent="0.3">
      <c r="A4912" s="21" t="str">
        <f t="shared" si="76"/>
        <v>.</v>
      </c>
      <c r="D4912" s="44"/>
      <c r="E4912" s="22" t="str">
        <f>IF(D4912&lt;&gt;"",IFERROR(INDEX(Produtos!$C$4:$C$4996,MATCH(D4912,Produtos!$B$4:$B$4996,0)),"Produto não encontrado"),"")</f>
        <v/>
      </c>
    </row>
    <row r="4913" spans="1:5" x14ac:dyDescent="0.3">
      <c r="A4913" s="21" t="str">
        <f t="shared" si="76"/>
        <v>.</v>
      </c>
      <c r="D4913" s="44"/>
      <c r="E4913" s="22" t="str">
        <f>IF(D4913&lt;&gt;"",IFERROR(INDEX(Produtos!$C$4:$C$4996,MATCH(D4913,Produtos!$B$4:$B$4996,0)),"Produto não encontrado"),"")</f>
        <v/>
      </c>
    </row>
    <row r="4914" spans="1:5" x14ac:dyDescent="0.3">
      <c r="A4914" s="21" t="str">
        <f t="shared" si="76"/>
        <v>.</v>
      </c>
      <c r="D4914" s="44"/>
      <c r="E4914" s="22" t="str">
        <f>IF(D4914&lt;&gt;"",IFERROR(INDEX(Produtos!$C$4:$C$4996,MATCH(D4914,Produtos!$B$4:$B$4996,0)),"Produto não encontrado"),"")</f>
        <v/>
      </c>
    </row>
    <row r="4915" spans="1:5" x14ac:dyDescent="0.3">
      <c r="A4915" s="21" t="str">
        <f t="shared" si="76"/>
        <v>.</v>
      </c>
      <c r="D4915" s="44"/>
      <c r="E4915" s="22" t="str">
        <f>IF(D4915&lt;&gt;"",IFERROR(INDEX(Produtos!$C$4:$C$4996,MATCH(D4915,Produtos!$B$4:$B$4996,0)),"Produto não encontrado"),"")</f>
        <v/>
      </c>
    </row>
    <row r="4916" spans="1:5" x14ac:dyDescent="0.3">
      <c r="A4916" s="21" t="str">
        <f t="shared" si="76"/>
        <v>.</v>
      </c>
      <c r="D4916" s="44"/>
      <c r="E4916" s="22" t="str">
        <f>IF(D4916&lt;&gt;"",IFERROR(INDEX(Produtos!$C$4:$C$4996,MATCH(D4916,Produtos!$B$4:$B$4996,0)),"Produto não encontrado"),"")</f>
        <v/>
      </c>
    </row>
    <row r="4917" spans="1:5" x14ac:dyDescent="0.3">
      <c r="A4917" s="21" t="str">
        <f t="shared" si="76"/>
        <v>.</v>
      </c>
      <c r="D4917" s="44"/>
      <c r="E4917" s="22" t="str">
        <f>IF(D4917&lt;&gt;"",IFERROR(INDEX(Produtos!$C$4:$C$4996,MATCH(D4917,Produtos!$B$4:$B$4996,0)),"Produto não encontrado"),"")</f>
        <v/>
      </c>
    </row>
    <row r="4918" spans="1:5" x14ac:dyDescent="0.3">
      <c r="A4918" s="21" t="str">
        <f t="shared" si="76"/>
        <v>.</v>
      </c>
      <c r="D4918" s="44"/>
      <c r="E4918" s="22" t="str">
        <f>IF(D4918&lt;&gt;"",IFERROR(INDEX(Produtos!$C$4:$C$4996,MATCH(D4918,Produtos!$B$4:$B$4996,0)),"Produto não encontrado"),"")</f>
        <v/>
      </c>
    </row>
    <row r="4919" spans="1:5" x14ac:dyDescent="0.3">
      <c r="A4919" s="21" t="str">
        <f t="shared" si="76"/>
        <v>.</v>
      </c>
      <c r="D4919" s="44"/>
      <c r="E4919" s="22" t="str">
        <f>IF(D4919&lt;&gt;"",IFERROR(INDEX(Produtos!$C$4:$C$4996,MATCH(D4919,Produtos!$B$4:$B$4996,0)),"Produto não encontrado"),"")</f>
        <v/>
      </c>
    </row>
    <row r="4920" spans="1:5" x14ac:dyDescent="0.3">
      <c r="A4920" s="21" t="str">
        <f t="shared" si="76"/>
        <v>.</v>
      </c>
      <c r="D4920" s="44"/>
      <c r="E4920" s="22" t="str">
        <f>IF(D4920&lt;&gt;"",IFERROR(INDEX(Produtos!$C$4:$C$4996,MATCH(D4920,Produtos!$B$4:$B$4996,0)),"Produto não encontrado"),"")</f>
        <v/>
      </c>
    </row>
    <row r="4921" spans="1:5" x14ac:dyDescent="0.3">
      <c r="A4921" s="21" t="str">
        <f t="shared" si="76"/>
        <v>.</v>
      </c>
      <c r="D4921" s="44"/>
      <c r="E4921" s="22" t="str">
        <f>IF(D4921&lt;&gt;"",IFERROR(INDEX(Produtos!$C$4:$C$4996,MATCH(D4921,Produtos!$B$4:$B$4996,0)),"Produto não encontrado"),"")</f>
        <v/>
      </c>
    </row>
    <row r="4922" spans="1:5" x14ac:dyDescent="0.3">
      <c r="A4922" s="21" t="str">
        <f t="shared" si="76"/>
        <v>.</v>
      </c>
      <c r="D4922" s="44"/>
      <c r="E4922" s="22" t="str">
        <f>IF(D4922&lt;&gt;"",IFERROR(INDEX(Produtos!$C$4:$C$4996,MATCH(D4922,Produtos!$B$4:$B$4996,0)),"Produto não encontrado"),"")</f>
        <v/>
      </c>
    </row>
    <row r="4923" spans="1:5" x14ac:dyDescent="0.3">
      <c r="A4923" s="21" t="str">
        <f t="shared" si="76"/>
        <v>.</v>
      </c>
      <c r="D4923" s="44"/>
      <c r="E4923" s="22" t="str">
        <f>IF(D4923&lt;&gt;"",IFERROR(INDEX(Produtos!$C$4:$C$4996,MATCH(D4923,Produtos!$B$4:$B$4996,0)),"Produto não encontrado"),"")</f>
        <v/>
      </c>
    </row>
    <row r="4924" spans="1:5" x14ac:dyDescent="0.3">
      <c r="A4924" s="21" t="str">
        <f t="shared" si="76"/>
        <v>.</v>
      </c>
      <c r="D4924" s="44"/>
      <c r="E4924" s="22" t="str">
        <f>IF(D4924&lt;&gt;"",IFERROR(INDEX(Produtos!$C$4:$C$4996,MATCH(D4924,Produtos!$B$4:$B$4996,0)),"Produto não encontrado"),"")</f>
        <v/>
      </c>
    </row>
    <row r="4925" spans="1:5" x14ac:dyDescent="0.3">
      <c r="A4925" s="21" t="str">
        <f t="shared" si="76"/>
        <v>.</v>
      </c>
      <c r="D4925" s="44"/>
      <c r="E4925" s="22" t="str">
        <f>IF(D4925&lt;&gt;"",IFERROR(INDEX(Produtos!$C$4:$C$4996,MATCH(D4925,Produtos!$B$4:$B$4996,0)),"Produto não encontrado"),"")</f>
        <v/>
      </c>
    </row>
    <row r="4926" spans="1:5" x14ac:dyDescent="0.3">
      <c r="A4926" s="21" t="str">
        <f t="shared" si="76"/>
        <v>.</v>
      </c>
      <c r="D4926" s="44"/>
      <c r="E4926" s="22" t="str">
        <f>IF(D4926&lt;&gt;"",IFERROR(INDEX(Produtos!$C$4:$C$4996,MATCH(D4926,Produtos!$B$4:$B$4996,0)),"Produto não encontrado"),"")</f>
        <v/>
      </c>
    </row>
    <row r="4927" spans="1:5" x14ac:dyDescent="0.3">
      <c r="A4927" s="21" t="str">
        <f t="shared" si="76"/>
        <v>.</v>
      </c>
      <c r="D4927" s="44"/>
      <c r="E4927" s="22" t="str">
        <f>IF(D4927&lt;&gt;"",IFERROR(INDEX(Produtos!$C$4:$C$4996,MATCH(D4927,Produtos!$B$4:$B$4996,0)),"Produto não encontrado"),"")</f>
        <v/>
      </c>
    </row>
    <row r="4928" spans="1:5" x14ac:dyDescent="0.3">
      <c r="A4928" s="21" t="str">
        <f t="shared" ref="A4928:A4991" si="77">IF(C4928="Entrada",2,IF(C4928="Saída",1,"."))</f>
        <v>.</v>
      </c>
      <c r="D4928" s="44"/>
      <c r="E4928" s="22" t="str">
        <f>IF(D4928&lt;&gt;"",IFERROR(INDEX(Produtos!$C$4:$C$4996,MATCH(D4928,Produtos!$B$4:$B$4996,0)),"Produto não encontrado"),"")</f>
        <v/>
      </c>
    </row>
    <row r="4929" spans="1:5" x14ac:dyDescent="0.3">
      <c r="A4929" s="21" t="str">
        <f t="shared" si="77"/>
        <v>.</v>
      </c>
      <c r="D4929" s="44"/>
      <c r="E4929" s="22" t="str">
        <f>IF(D4929&lt;&gt;"",IFERROR(INDEX(Produtos!$C$4:$C$4996,MATCH(D4929,Produtos!$B$4:$B$4996,0)),"Produto não encontrado"),"")</f>
        <v/>
      </c>
    </row>
    <row r="4930" spans="1:5" x14ac:dyDescent="0.3">
      <c r="A4930" s="21" t="str">
        <f t="shared" si="77"/>
        <v>.</v>
      </c>
      <c r="D4930" s="44"/>
      <c r="E4930" s="22" t="str">
        <f>IF(D4930&lt;&gt;"",IFERROR(INDEX(Produtos!$C$4:$C$4996,MATCH(D4930,Produtos!$B$4:$B$4996,0)),"Produto não encontrado"),"")</f>
        <v/>
      </c>
    </row>
    <row r="4931" spans="1:5" x14ac:dyDescent="0.3">
      <c r="A4931" s="21" t="str">
        <f t="shared" si="77"/>
        <v>.</v>
      </c>
      <c r="D4931" s="44"/>
      <c r="E4931" s="22" t="str">
        <f>IF(D4931&lt;&gt;"",IFERROR(INDEX(Produtos!$C$4:$C$4996,MATCH(D4931,Produtos!$B$4:$B$4996,0)),"Produto não encontrado"),"")</f>
        <v/>
      </c>
    </row>
    <row r="4932" spans="1:5" x14ac:dyDescent="0.3">
      <c r="A4932" s="21" t="str">
        <f t="shared" si="77"/>
        <v>.</v>
      </c>
      <c r="D4932" s="44"/>
      <c r="E4932" s="22" t="str">
        <f>IF(D4932&lt;&gt;"",IFERROR(INDEX(Produtos!$C$4:$C$4996,MATCH(D4932,Produtos!$B$4:$B$4996,0)),"Produto não encontrado"),"")</f>
        <v/>
      </c>
    </row>
    <row r="4933" spans="1:5" x14ac:dyDescent="0.3">
      <c r="A4933" s="21" t="str">
        <f t="shared" si="77"/>
        <v>.</v>
      </c>
      <c r="D4933" s="44"/>
      <c r="E4933" s="22" t="str">
        <f>IF(D4933&lt;&gt;"",IFERROR(INDEX(Produtos!$C$4:$C$4996,MATCH(D4933,Produtos!$B$4:$B$4996,0)),"Produto não encontrado"),"")</f>
        <v/>
      </c>
    </row>
    <row r="4934" spans="1:5" x14ac:dyDescent="0.3">
      <c r="A4934" s="21" t="str">
        <f t="shared" si="77"/>
        <v>.</v>
      </c>
      <c r="D4934" s="44"/>
      <c r="E4934" s="22" t="str">
        <f>IF(D4934&lt;&gt;"",IFERROR(INDEX(Produtos!$C$4:$C$4996,MATCH(D4934,Produtos!$B$4:$B$4996,0)),"Produto não encontrado"),"")</f>
        <v/>
      </c>
    </row>
    <row r="4935" spans="1:5" x14ac:dyDescent="0.3">
      <c r="A4935" s="21" t="str">
        <f t="shared" si="77"/>
        <v>.</v>
      </c>
      <c r="D4935" s="44"/>
      <c r="E4935" s="22" t="str">
        <f>IF(D4935&lt;&gt;"",IFERROR(INDEX(Produtos!$C$4:$C$4996,MATCH(D4935,Produtos!$B$4:$B$4996,0)),"Produto não encontrado"),"")</f>
        <v/>
      </c>
    </row>
    <row r="4936" spans="1:5" x14ac:dyDescent="0.3">
      <c r="A4936" s="21" t="str">
        <f t="shared" si="77"/>
        <v>.</v>
      </c>
      <c r="D4936" s="44"/>
      <c r="E4936" s="22" t="str">
        <f>IF(D4936&lt;&gt;"",IFERROR(INDEX(Produtos!$C$4:$C$4996,MATCH(D4936,Produtos!$B$4:$B$4996,0)),"Produto não encontrado"),"")</f>
        <v/>
      </c>
    </row>
    <row r="4937" spans="1:5" x14ac:dyDescent="0.3">
      <c r="A4937" s="21" t="str">
        <f t="shared" si="77"/>
        <v>.</v>
      </c>
      <c r="D4937" s="44"/>
      <c r="E4937" s="22" t="str">
        <f>IF(D4937&lt;&gt;"",IFERROR(INDEX(Produtos!$C$4:$C$4996,MATCH(D4937,Produtos!$B$4:$B$4996,0)),"Produto não encontrado"),"")</f>
        <v/>
      </c>
    </row>
    <row r="4938" spans="1:5" x14ac:dyDescent="0.3">
      <c r="A4938" s="21" t="str">
        <f t="shared" si="77"/>
        <v>.</v>
      </c>
      <c r="D4938" s="44"/>
      <c r="E4938" s="22" t="str">
        <f>IF(D4938&lt;&gt;"",IFERROR(INDEX(Produtos!$C$4:$C$4996,MATCH(D4938,Produtos!$B$4:$B$4996,0)),"Produto não encontrado"),"")</f>
        <v/>
      </c>
    </row>
    <row r="4939" spans="1:5" x14ac:dyDescent="0.3">
      <c r="A4939" s="21" t="str">
        <f t="shared" si="77"/>
        <v>.</v>
      </c>
      <c r="D4939" s="44"/>
      <c r="E4939" s="22" t="str">
        <f>IF(D4939&lt;&gt;"",IFERROR(INDEX(Produtos!$C$4:$C$4996,MATCH(D4939,Produtos!$B$4:$B$4996,0)),"Produto não encontrado"),"")</f>
        <v/>
      </c>
    </row>
    <row r="4940" spans="1:5" x14ac:dyDescent="0.3">
      <c r="A4940" s="21" t="str">
        <f t="shared" si="77"/>
        <v>.</v>
      </c>
      <c r="D4940" s="44"/>
      <c r="E4940" s="22" t="str">
        <f>IF(D4940&lt;&gt;"",IFERROR(INDEX(Produtos!$C$4:$C$4996,MATCH(D4940,Produtos!$B$4:$B$4996,0)),"Produto não encontrado"),"")</f>
        <v/>
      </c>
    </row>
    <row r="4941" spans="1:5" x14ac:dyDescent="0.3">
      <c r="A4941" s="21" t="str">
        <f t="shared" si="77"/>
        <v>.</v>
      </c>
      <c r="D4941" s="44"/>
      <c r="E4941" s="22" t="str">
        <f>IF(D4941&lt;&gt;"",IFERROR(INDEX(Produtos!$C$4:$C$4996,MATCH(D4941,Produtos!$B$4:$B$4996,0)),"Produto não encontrado"),"")</f>
        <v/>
      </c>
    </row>
    <row r="4942" spans="1:5" x14ac:dyDescent="0.3">
      <c r="A4942" s="21" t="str">
        <f t="shared" si="77"/>
        <v>.</v>
      </c>
      <c r="D4942" s="44"/>
      <c r="E4942" s="22" t="str">
        <f>IF(D4942&lt;&gt;"",IFERROR(INDEX(Produtos!$C$4:$C$4996,MATCH(D4942,Produtos!$B$4:$B$4996,0)),"Produto não encontrado"),"")</f>
        <v/>
      </c>
    </row>
    <row r="4943" spans="1:5" x14ac:dyDescent="0.3">
      <c r="A4943" s="21" t="str">
        <f t="shared" si="77"/>
        <v>.</v>
      </c>
      <c r="D4943" s="44"/>
      <c r="E4943" s="22" t="str">
        <f>IF(D4943&lt;&gt;"",IFERROR(INDEX(Produtos!$C$4:$C$4996,MATCH(D4943,Produtos!$B$4:$B$4996,0)),"Produto não encontrado"),"")</f>
        <v/>
      </c>
    </row>
    <row r="4944" spans="1:5" x14ac:dyDescent="0.3">
      <c r="A4944" s="21" t="str">
        <f t="shared" si="77"/>
        <v>.</v>
      </c>
      <c r="D4944" s="44"/>
      <c r="E4944" s="22" t="str">
        <f>IF(D4944&lt;&gt;"",IFERROR(INDEX(Produtos!$C$4:$C$4996,MATCH(D4944,Produtos!$B$4:$B$4996,0)),"Produto não encontrado"),"")</f>
        <v/>
      </c>
    </row>
    <row r="4945" spans="1:5" x14ac:dyDescent="0.3">
      <c r="A4945" s="21" t="str">
        <f t="shared" si="77"/>
        <v>.</v>
      </c>
      <c r="D4945" s="44"/>
      <c r="E4945" s="22" t="str">
        <f>IF(D4945&lt;&gt;"",IFERROR(INDEX(Produtos!$C$4:$C$4996,MATCH(D4945,Produtos!$B$4:$B$4996,0)),"Produto não encontrado"),"")</f>
        <v/>
      </c>
    </row>
    <row r="4946" spans="1:5" x14ac:dyDescent="0.3">
      <c r="A4946" s="21" t="str">
        <f t="shared" si="77"/>
        <v>.</v>
      </c>
      <c r="D4946" s="44"/>
      <c r="E4946" s="22" t="str">
        <f>IF(D4946&lt;&gt;"",IFERROR(INDEX(Produtos!$C$4:$C$4996,MATCH(D4946,Produtos!$B$4:$B$4996,0)),"Produto não encontrado"),"")</f>
        <v/>
      </c>
    </row>
    <row r="4947" spans="1:5" x14ac:dyDescent="0.3">
      <c r="A4947" s="21" t="str">
        <f t="shared" si="77"/>
        <v>.</v>
      </c>
      <c r="D4947" s="44"/>
      <c r="E4947" s="22" t="str">
        <f>IF(D4947&lt;&gt;"",IFERROR(INDEX(Produtos!$C$4:$C$4996,MATCH(D4947,Produtos!$B$4:$B$4996,0)),"Produto não encontrado"),"")</f>
        <v/>
      </c>
    </row>
    <row r="4948" spans="1:5" x14ac:dyDescent="0.3">
      <c r="A4948" s="21" t="str">
        <f t="shared" si="77"/>
        <v>.</v>
      </c>
      <c r="D4948" s="44"/>
      <c r="E4948" s="22" t="str">
        <f>IF(D4948&lt;&gt;"",IFERROR(INDEX(Produtos!$C$4:$C$4996,MATCH(D4948,Produtos!$B$4:$B$4996,0)),"Produto não encontrado"),"")</f>
        <v/>
      </c>
    </row>
    <row r="4949" spans="1:5" x14ac:dyDescent="0.3">
      <c r="A4949" s="21" t="str">
        <f t="shared" si="77"/>
        <v>.</v>
      </c>
      <c r="D4949" s="44"/>
      <c r="E4949" s="22" t="str">
        <f>IF(D4949&lt;&gt;"",IFERROR(INDEX(Produtos!$C$4:$C$4996,MATCH(D4949,Produtos!$B$4:$B$4996,0)),"Produto não encontrado"),"")</f>
        <v/>
      </c>
    </row>
    <row r="4950" spans="1:5" x14ac:dyDescent="0.3">
      <c r="A4950" s="21" t="str">
        <f t="shared" si="77"/>
        <v>.</v>
      </c>
      <c r="D4950" s="44"/>
      <c r="E4950" s="22" t="str">
        <f>IF(D4950&lt;&gt;"",IFERROR(INDEX(Produtos!$C$4:$C$4996,MATCH(D4950,Produtos!$B$4:$B$4996,0)),"Produto não encontrado"),"")</f>
        <v/>
      </c>
    </row>
    <row r="4951" spans="1:5" x14ac:dyDescent="0.3">
      <c r="A4951" s="21" t="str">
        <f t="shared" si="77"/>
        <v>.</v>
      </c>
      <c r="D4951" s="44"/>
      <c r="E4951" s="22" t="str">
        <f>IF(D4951&lt;&gt;"",IFERROR(INDEX(Produtos!$C$4:$C$4996,MATCH(D4951,Produtos!$B$4:$B$4996,0)),"Produto não encontrado"),"")</f>
        <v/>
      </c>
    </row>
    <row r="4952" spans="1:5" x14ac:dyDescent="0.3">
      <c r="A4952" s="21" t="str">
        <f t="shared" si="77"/>
        <v>.</v>
      </c>
      <c r="D4952" s="44"/>
      <c r="E4952" s="22" t="str">
        <f>IF(D4952&lt;&gt;"",IFERROR(INDEX(Produtos!$C$4:$C$4996,MATCH(D4952,Produtos!$B$4:$B$4996,0)),"Produto não encontrado"),"")</f>
        <v/>
      </c>
    </row>
    <row r="4953" spans="1:5" x14ac:dyDescent="0.3">
      <c r="A4953" s="21" t="str">
        <f t="shared" si="77"/>
        <v>.</v>
      </c>
      <c r="D4953" s="44"/>
      <c r="E4953" s="22" t="str">
        <f>IF(D4953&lt;&gt;"",IFERROR(INDEX(Produtos!$C$4:$C$4996,MATCH(D4953,Produtos!$B$4:$B$4996,0)),"Produto não encontrado"),"")</f>
        <v/>
      </c>
    </row>
    <row r="4954" spans="1:5" x14ac:dyDescent="0.3">
      <c r="A4954" s="21" t="str">
        <f t="shared" si="77"/>
        <v>.</v>
      </c>
      <c r="D4954" s="44"/>
      <c r="E4954" s="22" t="str">
        <f>IF(D4954&lt;&gt;"",IFERROR(INDEX(Produtos!$C$4:$C$4996,MATCH(D4954,Produtos!$B$4:$B$4996,0)),"Produto não encontrado"),"")</f>
        <v/>
      </c>
    </row>
    <row r="4955" spans="1:5" x14ac:dyDescent="0.3">
      <c r="A4955" s="21" t="str">
        <f t="shared" si="77"/>
        <v>.</v>
      </c>
      <c r="D4955" s="44"/>
      <c r="E4955" s="22" t="str">
        <f>IF(D4955&lt;&gt;"",IFERROR(INDEX(Produtos!$C$4:$C$4996,MATCH(D4955,Produtos!$B$4:$B$4996,0)),"Produto não encontrado"),"")</f>
        <v/>
      </c>
    </row>
    <row r="4956" spans="1:5" x14ac:dyDescent="0.3">
      <c r="A4956" s="21" t="str">
        <f t="shared" si="77"/>
        <v>.</v>
      </c>
      <c r="D4956" s="44"/>
      <c r="E4956" s="22" t="str">
        <f>IF(D4956&lt;&gt;"",IFERROR(INDEX(Produtos!$C$4:$C$4996,MATCH(D4956,Produtos!$B$4:$B$4996,0)),"Produto não encontrado"),"")</f>
        <v/>
      </c>
    </row>
    <row r="4957" spans="1:5" x14ac:dyDescent="0.3">
      <c r="A4957" s="21" t="str">
        <f t="shared" si="77"/>
        <v>.</v>
      </c>
      <c r="D4957" s="44"/>
      <c r="E4957" s="22" t="str">
        <f>IF(D4957&lt;&gt;"",IFERROR(INDEX(Produtos!$C$4:$C$4996,MATCH(D4957,Produtos!$B$4:$B$4996,0)),"Produto não encontrado"),"")</f>
        <v/>
      </c>
    </row>
    <row r="4958" spans="1:5" x14ac:dyDescent="0.3">
      <c r="A4958" s="21" t="str">
        <f t="shared" si="77"/>
        <v>.</v>
      </c>
      <c r="D4958" s="44"/>
      <c r="E4958" s="22" t="str">
        <f>IF(D4958&lt;&gt;"",IFERROR(INDEX(Produtos!$C$4:$C$4996,MATCH(D4958,Produtos!$B$4:$B$4996,0)),"Produto não encontrado"),"")</f>
        <v/>
      </c>
    </row>
    <row r="4959" spans="1:5" x14ac:dyDescent="0.3">
      <c r="A4959" s="21" t="str">
        <f t="shared" si="77"/>
        <v>.</v>
      </c>
      <c r="D4959" s="44"/>
      <c r="E4959" s="22" t="str">
        <f>IF(D4959&lt;&gt;"",IFERROR(INDEX(Produtos!$C$4:$C$4996,MATCH(D4959,Produtos!$B$4:$B$4996,0)),"Produto não encontrado"),"")</f>
        <v/>
      </c>
    </row>
    <row r="4960" spans="1:5" x14ac:dyDescent="0.3">
      <c r="A4960" s="21" t="str">
        <f t="shared" si="77"/>
        <v>.</v>
      </c>
      <c r="D4960" s="44"/>
      <c r="E4960" s="22" t="str">
        <f>IF(D4960&lt;&gt;"",IFERROR(INDEX(Produtos!$C$4:$C$4996,MATCH(D4960,Produtos!$B$4:$B$4996,0)),"Produto não encontrado"),"")</f>
        <v/>
      </c>
    </row>
    <row r="4961" spans="1:5" x14ac:dyDescent="0.3">
      <c r="A4961" s="21" t="str">
        <f t="shared" si="77"/>
        <v>.</v>
      </c>
      <c r="D4961" s="44"/>
      <c r="E4961" s="22" t="str">
        <f>IF(D4961&lt;&gt;"",IFERROR(INDEX(Produtos!$C$4:$C$4996,MATCH(D4961,Produtos!$B$4:$B$4996,0)),"Produto não encontrado"),"")</f>
        <v/>
      </c>
    </row>
    <row r="4962" spans="1:5" x14ac:dyDescent="0.3">
      <c r="A4962" s="21" t="str">
        <f t="shared" si="77"/>
        <v>.</v>
      </c>
      <c r="D4962" s="44"/>
      <c r="E4962" s="22" t="str">
        <f>IF(D4962&lt;&gt;"",IFERROR(INDEX(Produtos!$C$4:$C$4996,MATCH(D4962,Produtos!$B$4:$B$4996,0)),"Produto não encontrado"),"")</f>
        <v/>
      </c>
    </row>
    <row r="4963" spans="1:5" x14ac:dyDescent="0.3">
      <c r="A4963" s="21" t="str">
        <f t="shared" si="77"/>
        <v>.</v>
      </c>
      <c r="D4963" s="44"/>
      <c r="E4963" s="22" t="str">
        <f>IF(D4963&lt;&gt;"",IFERROR(INDEX(Produtos!$C$4:$C$4996,MATCH(D4963,Produtos!$B$4:$B$4996,0)),"Produto não encontrado"),"")</f>
        <v/>
      </c>
    </row>
    <row r="4964" spans="1:5" x14ac:dyDescent="0.3">
      <c r="A4964" s="21" t="str">
        <f t="shared" si="77"/>
        <v>.</v>
      </c>
      <c r="D4964" s="44"/>
      <c r="E4964" s="22" t="str">
        <f>IF(D4964&lt;&gt;"",IFERROR(INDEX(Produtos!$C$4:$C$4996,MATCH(D4964,Produtos!$B$4:$B$4996,0)),"Produto não encontrado"),"")</f>
        <v/>
      </c>
    </row>
    <row r="4965" spans="1:5" x14ac:dyDescent="0.3">
      <c r="A4965" s="21" t="str">
        <f t="shared" si="77"/>
        <v>.</v>
      </c>
      <c r="D4965" s="44"/>
      <c r="E4965" s="22" t="str">
        <f>IF(D4965&lt;&gt;"",IFERROR(INDEX(Produtos!$C$4:$C$4996,MATCH(D4965,Produtos!$B$4:$B$4996,0)),"Produto não encontrado"),"")</f>
        <v/>
      </c>
    </row>
    <row r="4966" spans="1:5" x14ac:dyDescent="0.3">
      <c r="A4966" s="21" t="str">
        <f t="shared" si="77"/>
        <v>.</v>
      </c>
      <c r="D4966" s="44"/>
      <c r="E4966" s="22" t="str">
        <f>IF(D4966&lt;&gt;"",IFERROR(INDEX(Produtos!$C$4:$C$4996,MATCH(D4966,Produtos!$B$4:$B$4996,0)),"Produto não encontrado"),"")</f>
        <v/>
      </c>
    </row>
    <row r="4967" spans="1:5" x14ac:dyDescent="0.3">
      <c r="A4967" s="21" t="str">
        <f t="shared" si="77"/>
        <v>.</v>
      </c>
      <c r="D4967" s="44"/>
      <c r="E4967" s="22" t="str">
        <f>IF(D4967&lt;&gt;"",IFERROR(INDEX(Produtos!$C$4:$C$4996,MATCH(D4967,Produtos!$B$4:$B$4996,0)),"Produto não encontrado"),"")</f>
        <v/>
      </c>
    </row>
    <row r="4968" spans="1:5" x14ac:dyDescent="0.3">
      <c r="A4968" s="21" t="str">
        <f t="shared" si="77"/>
        <v>.</v>
      </c>
      <c r="D4968" s="44"/>
      <c r="E4968" s="22" t="str">
        <f>IF(D4968&lt;&gt;"",IFERROR(INDEX(Produtos!$C$4:$C$4996,MATCH(D4968,Produtos!$B$4:$B$4996,0)),"Produto não encontrado"),"")</f>
        <v/>
      </c>
    </row>
    <row r="4969" spans="1:5" x14ac:dyDescent="0.3">
      <c r="A4969" s="21" t="str">
        <f t="shared" si="77"/>
        <v>.</v>
      </c>
      <c r="D4969" s="44"/>
      <c r="E4969" s="22" t="str">
        <f>IF(D4969&lt;&gt;"",IFERROR(INDEX(Produtos!$C$4:$C$4996,MATCH(D4969,Produtos!$B$4:$B$4996,0)),"Produto não encontrado"),"")</f>
        <v/>
      </c>
    </row>
    <row r="4970" spans="1:5" x14ac:dyDescent="0.3">
      <c r="A4970" s="21" t="str">
        <f t="shared" si="77"/>
        <v>.</v>
      </c>
      <c r="D4970" s="44"/>
      <c r="E4970" s="22" t="str">
        <f>IF(D4970&lt;&gt;"",IFERROR(INDEX(Produtos!$C$4:$C$4996,MATCH(D4970,Produtos!$B$4:$B$4996,0)),"Produto não encontrado"),"")</f>
        <v/>
      </c>
    </row>
    <row r="4971" spans="1:5" x14ac:dyDescent="0.3">
      <c r="A4971" s="21" t="str">
        <f t="shared" si="77"/>
        <v>.</v>
      </c>
      <c r="D4971" s="44"/>
      <c r="E4971" s="22" t="str">
        <f>IF(D4971&lt;&gt;"",IFERROR(INDEX(Produtos!$C$4:$C$4996,MATCH(D4971,Produtos!$B$4:$B$4996,0)),"Produto não encontrado"),"")</f>
        <v/>
      </c>
    </row>
    <row r="4972" spans="1:5" x14ac:dyDescent="0.3">
      <c r="A4972" s="21" t="str">
        <f t="shared" si="77"/>
        <v>.</v>
      </c>
      <c r="D4972" s="44"/>
      <c r="E4972" s="22" t="str">
        <f>IF(D4972&lt;&gt;"",IFERROR(INDEX(Produtos!$C$4:$C$4996,MATCH(D4972,Produtos!$B$4:$B$4996,0)),"Produto não encontrado"),"")</f>
        <v/>
      </c>
    </row>
    <row r="4973" spans="1:5" x14ac:dyDescent="0.3">
      <c r="A4973" s="21" t="str">
        <f t="shared" si="77"/>
        <v>.</v>
      </c>
      <c r="D4973" s="44"/>
      <c r="E4973" s="22" t="str">
        <f>IF(D4973&lt;&gt;"",IFERROR(INDEX(Produtos!$C$4:$C$4996,MATCH(D4973,Produtos!$B$4:$B$4996,0)),"Produto não encontrado"),"")</f>
        <v/>
      </c>
    </row>
    <row r="4974" spans="1:5" x14ac:dyDescent="0.3">
      <c r="A4974" s="21" t="str">
        <f t="shared" si="77"/>
        <v>.</v>
      </c>
      <c r="D4974" s="44"/>
      <c r="E4974" s="22" t="str">
        <f>IF(D4974&lt;&gt;"",IFERROR(INDEX(Produtos!$C$4:$C$4996,MATCH(D4974,Produtos!$B$4:$B$4996,0)),"Produto não encontrado"),"")</f>
        <v/>
      </c>
    </row>
    <row r="4975" spans="1:5" x14ac:dyDescent="0.3">
      <c r="A4975" s="21" t="str">
        <f t="shared" si="77"/>
        <v>.</v>
      </c>
      <c r="D4975" s="44"/>
      <c r="E4975" s="22" t="str">
        <f>IF(D4975&lt;&gt;"",IFERROR(INDEX(Produtos!$C$4:$C$4996,MATCH(D4975,Produtos!$B$4:$B$4996,0)),"Produto não encontrado"),"")</f>
        <v/>
      </c>
    </row>
    <row r="4976" spans="1:5" x14ac:dyDescent="0.3">
      <c r="A4976" s="21" t="str">
        <f t="shared" si="77"/>
        <v>.</v>
      </c>
      <c r="D4976" s="44"/>
      <c r="E4976" s="22" t="str">
        <f>IF(D4976&lt;&gt;"",IFERROR(INDEX(Produtos!$C$4:$C$4996,MATCH(D4976,Produtos!$B$4:$B$4996,0)),"Produto não encontrado"),"")</f>
        <v/>
      </c>
    </row>
    <row r="4977" spans="1:5" x14ac:dyDescent="0.3">
      <c r="A4977" s="21" t="str">
        <f t="shared" si="77"/>
        <v>.</v>
      </c>
      <c r="D4977" s="44"/>
      <c r="E4977" s="22" t="str">
        <f>IF(D4977&lt;&gt;"",IFERROR(INDEX(Produtos!$C$4:$C$4996,MATCH(D4977,Produtos!$B$4:$B$4996,0)),"Produto não encontrado"),"")</f>
        <v/>
      </c>
    </row>
    <row r="4978" spans="1:5" x14ac:dyDescent="0.3">
      <c r="A4978" s="21" t="str">
        <f t="shared" si="77"/>
        <v>.</v>
      </c>
      <c r="D4978" s="44"/>
      <c r="E4978" s="22" t="str">
        <f>IF(D4978&lt;&gt;"",IFERROR(INDEX(Produtos!$C$4:$C$4996,MATCH(D4978,Produtos!$B$4:$B$4996,0)),"Produto não encontrado"),"")</f>
        <v/>
      </c>
    </row>
    <row r="4979" spans="1:5" x14ac:dyDescent="0.3">
      <c r="A4979" s="21" t="str">
        <f t="shared" si="77"/>
        <v>.</v>
      </c>
      <c r="D4979" s="44"/>
      <c r="E4979" s="22" t="str">
        <f>IF(D4979&lt;&gt;"",IFERROR(INDEX(Produtos!$C$4:$C$4996,MATCH(D4979,Produtos!$B$4:$B$4996,0)),"Produto não encontrado"),"")</f>
        <v/>
      </c>
    </row>
    <row r="4980" spans="1:5" x14ac:dyDescent="0.3">
      <c r="A4980" s="21" t="str">
        <f t="shared" si="77"/>
        <v>.</v>
      </c>
      <c r="D4980" s="44"/>
      <c r="E4980" s="22" t="str">
        <f>IF(D4980&lt;&gt;"",IFERROR(INDEX(Produtos!$C$4:$C$4996,MATCH(D4980,Produtos!$B$4:$B$4996,0)),"Produto não encontrado"),"")</f>
        <v/>
      </c>
    </row>
    <row r="4981" spans="1:5" x14ac:dyDescent="0.3">
      <c r="A4981" s="21" t="str">
        <f t="shared" si="77"/>
        <v>.</v>
      </c>
      <c r="D4981" s="44"/>
      <c r="E4981" s="22" t="str">
        <f>IF(D4981&lt;&gt;"",IFERROR(INDEX(Produtos!$C$4:$C$4996,MATCH(D4981,Produtos!$B$4:$B$4996,0)),"Produto não encontrado"),"")</f>
        <v/>
      </c>
    </row>
    <row r="4982" spans="1:5" x14ac:dyDescent="0.3">
      <c r="A4982" s="21" t="str">
        <f t="shared" si="77"/>
        <v>.</v>
      </c>
      <c r="D4982" s="44"/>
      <c r="E4982" s="22" t="str">
        <f>IF(D4982&lt;&gt;"",IFERROR(INDEX(Produtos!$C$4:$C$4996,MATCH(D4982,Produtos!$B$4:$B$4996,0)),"Produto não encontrado"),"")</f>
        <v/>
      </c>
    </row>
    <row r="4983" spans="1:5" x14ac:dyDescent="0.3">
      <c r="A4983" s="21" t="str">
        <f t="shared" si="77"/>
        <v>.</v>
      </c>
      <c r="D4983" s="44"/>
      <c r="E4983" s="22" t="str">
        <f>IF(D4983&lt;&gt;"",IFERROR(INDEX(Produtos!$C$4:$C$4996,MATCH(D4983,Produtos!$B$4:$B$4996,0)),"Produto não encontrado"),"")</f>
        <v/>
      </c>
    </row>
    <row r="4984" spans="1:5" x14ac:dyDescent="0.3">
      <c r="A4984" s="21" t="str">
        <f t="shared" si="77"/>
        <v>.</v>
      </c>
      <c r="D4984" s="44"/>
      <c r="E4984" s="22" t="str">
        <f>IF(D4984&lt;&gt;"",IFERROR(INDEX(Produtos!$C$4:$C$4996,MATCH(D4984,Produtos!$B$4:$B$4996,0)),"Produto não encontrado"),"")</f>
        <v/>
      </c>
    </row>
    <row r="4985" spans="1:5" x14ac:dyDescent="0.3">
      <c r="A4985" s="21" t="str">
        <f t="shared" si="77"/>
        <v>.</v>
      </c>
      <c r="D4985" s="44"/>
      <c r="E4985" s="22" t="str">
        <f>IF(D4985&lt;&gt;"",IFERROR(INDEX(Produtos!$C$4:$C$4996,MATCH(D4985,Produtos!$B$4:$B$4996,0)),"Produto não encontrado"),"")</f>
        <v/>
      </c>
    </row>
    <row r="4986" spans="1:5" x14ac:dyDescent="0.3">
      <c r="A4986" s="21" t="str">
        <f t="shared" si="77"/>
        <v>.</v>
      </c>
      <c r="D4986" s="44"/>
      <c r="E4986" s="22" t="str">
        <f>IF(D4986&lt;&gt;"",IFERROR(INDEX(Produtos!$C$4:$C$4996,MATCH(D4986,Produtos!$B$4:$B$4996,0)),"Produto não encontrado"),"")</f>
        <v/>
      </c>
    </row>
    <row r="4987" spans="1:5" x14ac:dyDescent="0.3">
      <c r="A4987" s="21" t="str">
        <f t="shared" si="77"/>
        <v>.</v>
      </c>
      <c r="D4987" s="44"/>
      <c r="E4987" s="22" t="str">
        <f>IF(D4987&lt;&gt;"",IFERROR(INDEX(Produtos!$C$4:$C$4996,MATCH(D4987,Produtos!$B$4:$B$4996,0)),"Produto não encontrado"),"")</f>
        <v/>
      </c>
    </row>
    <row r="4988" spans="1:5" x14ac:dyDescent="0.3">
      <c r="A4988" s="21" t="str">
        <f t="shared" si="77"/>
        <v>.</v>
      </c>
      <c r="D4988" s="44"/>
      <c r="E4988" s="22" t="str">
        <f>IF(D4988&lt;&gt;"",IFERROR(INDEX(Produtos!$C$4:$C$4996,MATCH(D4988,Produtos!$B$4:$B$4996,0)),"Produto não encontrado"),"")</f>
        <v/>
      </c>
    </row>
    <row r="4989" spans="1:5" x14ac:dyDescent="0.3">
      <c r="A4989" s="21" t="str">
        <f t="shared" si="77"/>
        <v>.</v>
      </c>
      <c r="D4989" s="44"/>
      <c r="E4989" s="22" t="str">
        <f>IF(D4989&lt;&gt;"",IFERROR(INDEX(Produtos!$C$4:$C$4996,MATCH(D4989,Produtos!$B$4:$B$4996,0)),"Produto não encontrado"),"")</f>
        <v/>
      </c>
    </row>
    <row r="4990" spans="1:5" x14ac:dyDescent="0.3">
      <c r="A4990" s="21" t="str">
        <f t="shared" si="77"/>
        <v>.</v>
      </c>
      <c r="D4990" s="44"/>
      <c r="E4990" s="22" t="str">
        <f>IF(D4990&lt;&gt;"",IFERROR(INDEX(Produtos!$C$4:$C$4996,MATCH(D4990,Produtos!$B$4:$B$4996,0)),"Produto não encontrado"),"")</f>
        <v/>
      </c>
    </row>
    <row r="4991" spans="1:5" x14ac:dyDescent="0.3">
      <c r="A4991" s="21" t="str">
        <f t="shared" si="77"/>
        <v>.</v>
      </c>
      <c r="D4991" s="44"/>
      <c r="E4991" s="22" t="str">
        <f>IF(D4991&lt;&gt;"",IFERROR(INDEX(Produtos!$C$4:$C$4996,MATCH(D4991,Produtos!$B$4:$B$4996,0)),"Produto não encontrado"),"")</f>
        <v/>
      </c>
    </row>
    <row r="4992" spans="1:5" x14ac:dyDescent="0.3">
      <c r="A4992" s="21" t="str">
        <f t="shared" ref="A4992:A5055" si="78">IF(C4992="Entrada",2,IF(C4992="Saída",1,"."))</f>
        <v>.</v>
      </c>
      <c r="D4992" s="44"/>
      <c r="E4992" s="22" t="str">
        <f>IF(D4992&lt;&gt;"",IFERROR(INDEX(Produtos!$C$4:$C$4996,MATCH(D4992,Produtos!$B$4:$B$4996,0)),"Produto não encontrado"),"")</f>
        <v/>
      </c>
    </row>
    <row r="4993" spans="1:5" x14ac:dyDescent="0.3">
      <c r="A4993" s="21" t="str">
        <f t="shared" si="78"/>
        <v>.</v>
      </c>
      <c r="D4993" s="44"/>
      <c r="E4993" s="22" t="str">
        <f>IF(D4993&lt;&gt;"",IFERROR(INDEX(Produtos!$C$4:$C$4996,MATCH(D4993,Produtos!$B$4:$B$4996,0)),"Produto não encontrado"),"")</f>
        <v/>
      </c>
    </row>
    <row r="4994" spans="1:5" x14ac:dyDescent="0.3">
      <c r="A4994" s="21" t="str">
        <f t="shared" si="78"/>
        <v>.</v>
      </c>
      <c r="D4994" s="44"/>
      <c r="E4994" s="22" t="str">
        <f>IF(D4994&lt;&gt;"",IFERROR(INDEX(Produtos!$C$4:$C$4996,MATCH(D4994,Produtos!$B$4:$B$4996,0)),"Produto não encontrado"),"")</f>
        <v/>
      </c>
    </row>
    <row r="4995" spans="1:5" x14ac:dyDescent="0.3">
      <c r="A4995" s="21" t="str">
        <f t="shared" si="78"/>
        <v>.</v>
      </c>
      <c r="D4995" s="44"/>
      <c r="E4995" s="22" t="str">
        <f>IF(D4995&lt;&gt;"",IFERROR(INDEX(Produtos!$C$4:$C$4996,MATCH(D4995,Produtos!$B$4:$B$4996,0)),"Produto não encontrado"),"")</f>
        <v/>
      </c>
    </row>
    <row r="4996" spans="1:5" x14ac:dyDescent="0.3">
      <c r="A4996" s="21" t="str">
        <f t="shared" si="78"/>
        <v>.</v>
      </c>
      <c r="D4996" s="44"/>
      <c r="E4996" s="22" t="str">
        <f>IF(D4996&lt;&gt;"",IFERROR(INDEX(Produtos!$C$4:$C$4996,MATCH(D4996,Produtos!$B$4:$B$4996,0)),"Produto não encontrado"),"")</f>
        <v/>
      </c>
    </row>
    <row r="4997" spans="1:5" x14ac:dyDescent="0.3">
      <c r="A4997" s="21" t="str">
        <f t="shared" si="78"/>
        <v>.</v>
      </c>
      <c r="D4997" s="44"/>
      <c r="E4997" s="22" t="str">
        <f>IF(D4997&lt;&gt;"",IFERROR(INDEX(Produtos!$C$4:$C$4996,MATCH(D4997,Produtos!$B$4:$B$4996,0)),"Produto não encontrado"),"")</f>
        <v/>
      </c>
    </row>
    <row r="4998" spans="1:5" x14ac:dyDescent="0.3">
      <c r="A4998" s="21" t="str">
        <f t="shared" si="78"/>
        <v>.</v>
      </c>
      <c r="D4998" s="44"/>
      <c r="E4998" s="22" t="str">
        <f>IF(D4998&lt;&gt;"",IFERROR(INDEX(Produtos!$C$4:$C$4996,MATCH(D4998,Produtos!$B$4:$B$4996,0)),"Produto não encontrado"),"")</f>
        <v/>
      </c>
    </row>
    <row r="4999" spans="1:5" x14ac:dyDescent="0.3">
      <c r="A4999" s="21" t="str">
        <f t="shared" si="78"/>
        <v>.</v>
      </c>
      <c r="D4999" s="44"/>
      <c r="E4999" s="22" t="str">
        <f>IF(D4999&lt;&gt;"",IFERROR(INDEX(Produtos!$C$4:$C$4996,MATCH(D4999,Produtos!$B$4:$B$4996,0)),"Produto não encontrado"),"")</f>
        <v/>
      </c>
    </row>
    <row r="5000" spans="1:5" x14ac:dyDescent="0.3">
      <c r="A5000" s="21" t="str">
        <f t="shared" si="78"/>
        <v>.</v>
      </c>
      <c r="D5000" s="44"/>
      <c r="E5000" s="22" t="str">
        <f>IF(D5000&lt;&gt;"",IFERROR(INDEX(Produtos!$C$4:$C$4996,MATCH(D5000,Produtos!$B$4:$B$4996,0)),"Produto não encontrado"),"")</f>
        <v/>
      </c>
    </row>
    <row r="5001" spans="1:5" x14ac:dyDescent="0.3">
      <c r="A5001" s="21" t="str">
        <f t="shared" si="78"/>
        <v>.</v>
      </c>
      <c r="D5001" s="44"/>
      <c r="E5001" s="22" t="str">
        <f>IF(D5001&lt;&gt;"",IFERROR(INDEX(Produtos!$C$4:$C$4996,MATCH(D5001,Produtos!$B$4:$B$4996,0)),"Produto não encontrado"),"")</f>
        <v/>
      </c>
    </row>
    <row r="5002" spans="1:5" x14ac:dyDescent="0.3">
      <c r="A5002" s="21" t="str">
        <f t="shared" si="78"/>
        <v>.</v>
      </c>
      <c r="D5002" s="44"/>
      <c r="E5002" s="22" t="str">
        <f>IF(D5002&lt;&gt;"",IFERROR(INDEX(Produtos!$C$4:$C$4996,MATCH(D5002,Produtos!$B$4:$B$4996,0)),"Produto não encontrado"),"")</f>
        <v/>
      </c>
    </row>
    <row r="5003" spans="1:5" x14ac:dyDescent="0.3">
      <c r="A5003" s="21" t="str">
        <f t="shared" si="78"/>
        <v>.</v>
      </c>
      <c r="D5003" s="44"/>
      <c r="E5003" s="22" t="str">
        <f>IF(D5003&lt;&gt;"",IFERROR(INDEX(Produtos!$C$4:$C$4996,MATCH(D5003,Produtos!$B$4:$B$4996,0)),"Produto não encontrado"),"")</f>
        <v/>
      </c>
    </row>
    <row r="5004" spans="1:5" x14ac:dyDescent="0.3">
      <c r="A5004" s="21" t="str">
        <f t="shared" si="78"/>
        <v>.</v>
      </c>
      <c r="D5004" s="44"/>
      <c r="E5004" s="22" t="str">
        <f>IF(D5004&lt;&gt;"",IFERROR(INDEX(Produtos!$C$4:$C$4996,MATCH(D5004,Produtos!$B$4:$B$4996,0)),"Produto não encontrado"),"")</f>
        <v/>
      </c>
    </row>
    <row r="5005" spans="1:5" x14ac:dyDescent="0.3">
      <c r="A5005" s="21" t="str">
        <f t="shared" si="78"/>
        <v>.</v>
      </c>
      <c r="D5005" s="44"/>
      <c r="E5005" s="22" t="str">
        <f>IF(D5005&lt;&gt;"",IFERROR(INDEX(Produtos!$C$4:$C$4996,MATCH(D5005,Produtos!$B$4:$B$4996,0)),"Produto não encontrado"),"")</f>
        <v/>
      </c>
    </row>
    <row r="5006" spans="1:5" x14ac:dyDescent="0.3">
      <c r="A5006" s="21" t="str">
        <f t="shared" si="78"/>
        <v>.</v>
      </c>
      <c r="D5006" s="44"/>
      <c r="E5006" s="22" t="str">
        <f>IF(D5006&lt;&gt;"",IFERROR(INDEX(Produtos!$C$4:$C$4996,MATCH(D5006,Produtos!$B$4:$B$4996,0)),"Produto não encontrado"),"")</f>
        <v/>
      </c>
    </row>
    <row r="5007" spans="1:5" x14ac:dyDescent="0.3">
      <c r="A5007" s="21" t="str">
        <f t="shared" si="78"/>
        <v>.</v>
      </c>
      <c r="D5007" s="44"/>
      <c r="E5007" s="22" t="str">
        <f>IF(D5007&lt;&gt;"",IFERROR(INDEX(Produtos!$C$4:$C$4996,MATCH(D5007,Produtos!$B$4:$B$4996,0)),"Produto não encontrado"),"")</f>
        <v/>
      </c>
    </row>
    <row r="5008" spans="1:5" x14ac:dyDescent="0.3">
      <c r="A5008" s="21" t="str">
        <f t="shared" si="78"/>
        <v>.</v>
      </c>
      <c r="D5008" s="44"/>
      <c r="E5008" s="22" t="str">
        <f>IF(D5008&lt;&gt;"",IFERROR(INDEX(Produtos!$C$4:$C$4996,MATCH(D5008,Produtos!$B$4:$B$4996,0)),"Produto não encontrado"),"")</f>
        <v/>
      </c>
    </row>
    <row r="5009" spans="1:5" x14ac:dyDescent="0.3">
      <c r="A5009" s="21" t="str">
        <f t="shared" si="78"/>
        <v>.</v>
      </c>
      <c r="D5009" s="44"/>
      <c r="E5009" s="22" t="str">
        <f>IF(D5009&lt;&gt;"",IFERROR(INDEX(Produtos!$C$4:$C$4996,MATCH(D5009,Produtos!$B$4:$B$4996,0)),"Produto não encontrado"),"")</f>
        <v/>
      </c>
    </row>
    <row r="5010" spans="1:5" x14ac:dyDescent="0.3">
      <c r="A5010" s="21" t="str">
        <f t="shared" si="78"/>
        <v>.</v>
      </c>
      <c r="D5010" s="44"/>
      <c r="E5010" s="22" t="str">
        <f>IF(D5010&lt;&gt;"",IFERROR(INDEX(Produtos!$C$4:$C$4996,MATCH(D5010,Produtos!$B$4:$B$4996,0)),"Produto não encontrado"),"")</f>
        <v/>
      </c>
    </row>
    <row r="5011" spans="1:5" x14ac:dyDescent="0.3">
      <c r="A5011" s="21" t="str">
        <f t="shared" si="78"/>
        <v>.</v>
      </c>
      <c r="D5011" s="44"/>
      <c r="E5011" s="22" t="str">
        <f>IF(D5011&lt;&gt;"",IFERROR(INDEX(Produtos!$C$4:$C$4996,MATCH(D5011,Produtos!$B$4:$B$4996,0)),"Produto não encontrado"),"")</f>
        <v/>
      </c>
    </row>
    <row r="5012" spans="1:5" x14ac:dyDescent="0.3">
      <c r="A5012" s="21" t="str">
        <f t="shared" si="78"/>
        <v>.</v>
      </c>
      <c r="D5012" s="44"/>
      <c r="E5012" s="22" t="str">
        <f>IF(D5012&lt;&gt;"",IFERROR(INDEX(Produtos!$C$4:$C$4996,MATCH(D5012,Produtos!$B$4:$B$4996,0)),"Produto não encontrado"),"")</f>
        <v/>
      </c>
    </row>
    <row r="5013" spans="1:5" x14ac:dyDescent="0.3">
      <c r="A5013" s="21" t="str">
        <f t="shared" si="78"/>
        <v>.</v>
      </c>
      <c r="D5013" s="44"/>
      <c r="E5013" s="22" t="str">
        <f>IF(D5013&lt;&gt;"",IFERROR(INDEX(Produtos!$C$4:$C$4996,MATCH(D5013,Produtos!$B$4:$B$4996,0)),"Produto não encontrado"),"")</f>
        <v/>
      </c>
    </row>
    <row r="5014" spans="1:5" x14ac:dyDescent="0.3">
      <c r="A5014" s="21" t="str">
        <f t="shared" si="78"/>
        <v>.</v>
      </c>
      <c r="D5014" s="44"/>
      <c r="E5014" s="22" t="str">
        <f>IF(D5014&lt;&gt;"",IFERROR(INDEX(Produtos!$C$4:$C$4996,MATCH(D5014,Produtos!$B$4:$B$4996,0)),"Produto não encontrado"),"")</f>
        <v/>
      </c>
    </row>
    <row r="5015" spans="1:5" x14ac:dyDescent="0.3">
      <c r="A5015" s="21" t="str">
        <f t="shared" si="78"/>
        <v>.</v>
      </c>
      <c r="D5015" s="44"/>
      <c r="E5015" s="22" t="str">
        <f>IF(D5015&lt;&gt;"",IFERROR(INDEX(Produtos!$C$4:$C$4996,MATCH(D5015,Produtos!$B$4:$B$4996,0)),"Produto não encontrado"),"")</f>
        <v/>
      </c>
    </row>
    <row r="5016" spans="1:5" x14ac:dyDescent="0.3">
      <c r="A5016" s="21" t="str">
        <f t="shared" si="78"/>
        <v>.</v>
      </c>
      <c r="D5016" s="44"/>
      <c r="E5016" s="22" t="str">
        <f>IF(D5016&lt;&gt;"",IFERROR(INDEX(Produtos!$C$4:$C$4996,MATCH(D5016,Produtos!$B$4:$B$4996,0)),"Produto não encontrado"),"")</f>
        <v/>
      </c>
    </row>
    <row r="5017" spans="1:5" x14ac:dyDescent="0.3">
      <c r="A5017" s="21" t="str">
        <f t="shared" si="78"/>
        <v>.</v>
      </c>
      <c r="D5017" s="44"/>
      <c r="E5017" s="22" t="str">
        <f>IF(D5017&lt;&gt;"",IFERROR(INDEX(Produtos!$C$4:$C$4996,MATCH(D5017,Produtos!$B$4:$B$4996,0)),"Produto não encontrado"),"")</f>
        <v/>
      </c>
    </row>
    <row r="5018" spans="1:5" x14ac:dyDescent="0.3">
      <c r="A5018" s="21" t="str">
        <f t="shared" si="78"/>
        <v>.</v>
      </c>
      <c r="D5018" s="44"/>
      <c r="E5018" s="22" t="str">
        <f>IF(D5018&lt;&gt;"",IFERROR(INDEX(Produtos!$C$4:$C$4996,MATCH(D5018,Produtos!$B$4:$B$4996,0)),"Produto não encontrado"),"")</f>
        <v/>
      </c>
    </row>
    <row r="5019" spans="1:5" x14ac:dyDescent="0.3">
      <c r="A5019" s="21" t="str">
        <f t="shared" si="78"/>
        <v>.</v>
      </c>
      <c r="D5019" s="44"/>
      <c r="E5019" s="22" t="str">
        <f>IF(D5019&lt;&gt;"",IFERROR(INDEX(Produtos!$C$4:$C$4996,MATCH(D5019,Produtos!$B$4:$B$4996,0)),"Produto não encontrado"),"")</f>
        <v/>
      </c>
    </row>
    <row r="5020" spans="1:5" x14ac:dyDescent="0.3">
      <c r="A5020" s="21" t="str">
        <f t="shared" si="78"/>
        <v>.</v>
      </c>
      <c r="D5020" s="44"/>
      <c r="E5020" s="22" t="str">
        <f>IF(D5020&lt;&gt;"",IFERROR(INDEX(Produtos!$C$4:$C$4996,MATCH(D5020,Produtos!$B$4:$B$4996,0)),"Produto não encontrado"),"")</f>
        <v/>
      </c>
    </row>
    <row r="5021" spans="1:5" x14ac:dyDescent="0.3">
      <c r="A5021" s="21" t="str">
        <f t="shared" si="78"/>
        <v>.</v>
      </c>
      <c r="D5021" s="44"/>
      <c r="E5021" s="22" t="str">
        <f>IF(D5021&lt;&gt;"",IFERROR(INDEX(Produtos!$C$4:$C$4996,MATCH(D5021,Produtos!$B$4:$B$4996,0)),"Produto não encontrado"),"")</f>
        <v/>
      </c>
    </row>
    <row r="5022" spans="1:5" x14ac:dyDescent="0.3">
      <c r="A5022" s="21" t="str">
        <f t="shared" si="78"/>
        <v>.</v>
      </c>
      <c r="D5022" s="44"/>
      <c r="E5022" s="22" t="str">
        <f>IF(D5022&lt;&gt;"",IFERROR(INDEX(Produtos!$C$4:$C$4996,MATCH(D5022,Produtos!$B$4:$B$4996,0)),"Produto não encontrado"),"")</f>
        <v/>
      </c>
    </row>
    <row r="5023" spans="1:5" x14ac:dyDescent="0.3">
      <c r="A5023" s="21" t="str">
        <f t="shared" si="78"/>
        <v>.</v>
      </c>
      <c r="D5023" s="44"/>
      <c r="E5023" s="22" t="str">
        <f>IF(D5023&lt;&gt;"",IFERROR(INDEX(Produtos!$C$4:$C$4996,MATCH(D5023,Produtos!$B$4:$B$4996,0)),"Produto não encontrado"),"")</f>
        <v/>
      </c>
    </row>
    <row r="5024" spans="1:5" x14ac:dyDescent="0.3">
      <c r="A5024" s="21" t="str">
        <f t="shared" si="78"/>
        <v>.</v>
      </c>
      <c r="D5024" s="44"/>
      <c r="E5024" s="22" t="str">
        <f>IF(D5024&lt;&gt;"",IFERROR(INDEX(Produtos!$C$4:$C$4996,MATCH(D5024,Produtos!$B$4:$B$4996,0)),"Produto não encontrado"),"")</f>
        <v/>
      </c>
    </row>
    <row r="5025" spans="1:5" x14ac:dyDescent="0.3">
      <c r="A5025" s="21" t="str">
        <f t="shared" si="78"/>
        <v>.</v>
      </c>
      <c r="D5025" s="44"/>
      <c r="E5025" s="22" t="str">
        <f>IF(D5025&lt;&gt;"",IFERROR(INDEX(Produtos!$C$4:$C$4996,MATCH(D5025,Produtos!$B$4:$B$4996,0)),"Produto não encontrado"),"")</f>
        <v/>
      </c>
    </row>
    <row r="5026" spans="1:5" x14ac:dyDescent="0.3">
      <c r="A5026" s="21" t="str">
        <f t="shared" si="78"/>
        <v>.</v>
      </c>
      <c r="D5026" s="44"/>
      <c r="E5026" s="22" t="str">
        <f>IF(D5026&lt;&gt;"",IFERROR(INDEX(Produtos!$C$4:$C$4996,MATCH(D5026,Produtos!$B$4:$B$4996,0)),"Produto não encontrado"),"")</f>
        <v/>
      </c>
    </row>
    <row r="5027" spans="1:5" x14ac:dyDescent="0.3">
      <c r="A5027" s="21" t="str">
        <f t="shared" si="78"/>
        <v>.</v>
      </c>
      <c r="D5027" s="44"/>
      <c r="E5027" s="22" t="str">
        <f>IF(D5027&lt;&gt;"",IFERROR(INDEX(Produtos!$C$4:$C$4996,MATCH(D5027,Produtos!$B$4:$B$4996,0)),"Produto não encontrado"),"")</f>
        <v/>
      </c>
    </row>
    <row r="5028" spans="1:5" x14ac:dyDescent="0.3">
      <c r="A5028" s="21" t="str">
        <f t="shared" si="78"/>
        <v>.</v>
      </c>
      <c r="D5028" s="44"/>
      <c r="E5028" s="22" t="str">
        <f>IF(D5028&lt;&gt;"",IFERROR(INDEX(Produtos!$C$4:$C$4996,MATCH(D5028,Produtos!$B$4:$B$4996,0)),"Produto não encontrado"),"")</f>
        <v/>
      </c>
    </row>
    <row r="5029" spans="1:5" x14ac:dyDescent="0.3">
      <c r="A5029" s="21" t="str">
        <f t="shared" si="78"/>
        <v>.</v>
      </c>
      <c r="D5029" s="44"/>
      <c r="E5029" s="22" t="str">
        <f>IF(D5029&lt;&gt;"",IFERROR(INDEX(Produtos!$C$4:$C$4996,MATCH(D5029,Produtos!$B$4:$B$4996,0)),"Produto não encontrado"),"")</f>
        <v/>
      </c>
    </row>
    <row r="5030" spans="1:5" x14ac:dyDescent="0.3">
      <c r="A5030" s="21" t="str">
        <f t="shared" si="78"/>
        <v>.</v>
      </c>
      <c r="D5030" s="44"/>
      <c r="E5030" s="22" t="str">
        <f>IF(D5030&lt;&gt;"",IFERROR(INDEX(Produtos!$C$4:$C$4996,MATCH(D5030,Produtos!$B$4:$B$4996,0)),"Produto não encontrado"),"")</f>
        <v/>
      </c>
    </row>
    <row r="5031" spans="1:5" x14ac:dyDescent="0.3">
      <c r="A5031" s="21" t="str">
        <f t="shared" si="78"/>
        <v>.</v>
      </c>
      <c r="D5031" s="44"/>
      <c r="E5031" s="22" t="str">
        <f>IF(D5031&lt;&gt;"",IFERROR(INDEX(Produtos!$C$4:$C$4996,MATCH(D5031,Produtos!$B$4:$B$4996,0)),"Produto não encontrado"),"")</f>
        <v/>
      </c>
    </row>
    <row r="5032" spans="1:5" x14ac:dyDescent="0.3">
      <c r="A5032" s="21" t="str">
        <f t="shared" si="78"/>
        <v>.</v>
      </c>
      <c r="D5032" s="44"/>
      <c r="E5032" s="22" t="str">
        <f>IF(D5032&lt;&gt;"",IFERROR(INDEX(Produtos!$C$4:$C$4996,MATCH(D5032,Produtos!$B$4:$B$4996,0)),"Produto não encontrado"),"")</f>
        <v/>
      </c>
    </row>
    <row r="5033" spans="1:5" x14ac:dyDescent="0.3">
      <c r="A5033" s="21" t="str">
        <f t="shared" si="78"/>
        <v>.</v>
      </c>
      <c r="D5033" s="44"/>
      <c r="E5033" s="22" t="str">
        <f>IF(D5033&lt;&gt;"",IFERROR(INDEX(Produtos!$C$4:$C$4996,MATCH(D5033,Produtos!$B$4:$B$4996,0)),"Produto não encontrado"),"")</f>
        <v/>
      </c>
    </row>
    <row r="5034" spans="1:5" x14ac:dyDescent="0.3">
      <c r="A5034" s="21" t="str">
        <f t="shared" si="78"/>
        <v>.</v>
      </c>
      <c r="D5034" s="44"/>
      <c r="E5034" s="22" t="str">
        <f>IF(D5034&lt;&gt;"",IFERROR(INDEX(Produtos!$C$4:$C$4996,MATCH(D5034,Produtos!$B$4:$B$4996,0)),"Produto não encontrado"),"")</f>
        <v/>
      </c>
    </row>
    <row r="5035" spans="1:5" x14ac:dyDescent="0.3">
      <c r="A5035" s="21" t="str">
        <f t="shared" si="78"/>
        <v>.</v>
      </c>
      <c r="D5035" s="44"/>
      <c r="E5035" s="22" t="str">
        <f>IF(D5035&lt;&gt;"",IFERROR(INDEX(Produtos!$C$4:$C$4996,MATCH(D5035,Produtos!$B$4:$B$4996,0)),"Produto não encontrado"),"")</f>
        <v/>
      </c>
    </row>
    <row r="5036" spans="1:5" x14ac:dyDescent="0.3">
      <c r="A5036" s="21" t="str">
        <f t="shared" si="78"/>
        <v>.</v>
      </c>
      <c r="D5036" s="44"/>
      <c r="E5036" s="22" t="str">
        <f>IF(D5036&lt;&gt;"",IFERROR(INDEX(Produtos!$C$4:$C$4996,MATCH(D5036,Produtos!$B$4:$B$4996,0)),"Produto não encontrado"),"")</f>
        <v/>
      </c>
    </row>
    <row r="5037" spans="1:5" x14ac:dyDescent="0.3">
      <c r="A5037" s="21" t="str">
        <f t="shared" si="78"/>
        <v>.</v>
      </c>
      <c r="D5037" s="44"/>
      <c r="E5037" s="22" t="str">
        <f>IF(D5037&lt;&gt;"",IFERROR(INDEX(Produtos!$C$4:$C$4996,MATCH(D5037,Produtos!$B$4:$B$4996,0)),"Produto não encontrado"),"")</f>
        <v/>
      </c>
    </row>
    <row r="5038" spans="1:5" x14ac:dyDescent="0.3">
      <c r="A5038" s="21" t="str">
        <f t="shared" si="78"/>
        <v>.</v>
      </c>
      <c r="D5038" s="44"/>
      <c r="E5038" s="22" t="str">
        <f>IF(D5038&lt;&gt;"",IFERROR(INDEX(Produtos!$C$4:$C$4996,MATCH(D5038,Produtos!$B$4:$B$4996,0)),"Produto não encontrado"),"")</f>
        <v/>
      </c>
    </row>
    <row r="5039" spans="1:5" x14ac:dyDescent="0.3">
      <c r="A5039" s="21" t="str">
        <f t="shared" si="78"/>
        <v>.</v>
      </c>
      <c r="D5039" s="44"/>
      <c r="E5039" s="22" t="str">
        <f>IF(D5039&lt;&gt;"",IFERROR(INDEX(Produtos!$C$4:$C$4996,MATCH(D5039,Produtos!$B$4:$B$4996,0)),"Produto não encontrado"),"")</f>
        <v/>
      </c>
    </row>
    <row r="5040" spans="1:5" x14ac:dyDescent="0.3">
      <c r="A5040" s="21" t="str">
        <f t="shared" si="78"/>
        <v>.</v>
      </c>
      <c r="D5040" s="44"/>
      <c r="E5040" s="22" t="str">
        <f>IF(D5040&lt;&gt;"",IFERROR(INDEX(Produtos!$C$4:$C$4996,MATCH(D5040,Produtos!$B$4:$B$4996,0)),"Produto não encontrado"),"")</f>
        <v/>
      </c>
    </row>
    <row r="5041" spans="1:5" x14ac:dyDescent="0.3">
      <c r="A5041" s="21" t="str">
        <f t="shared" si="78"/>
        <v>.</v>
      </c>
      <c r="D5041" s="44"/>
      <c r="E5041" s="22" t="str">
        <f>IF(D5041&lt;&gt;"",IFERROR(INDEX(Produtos!$C$4:$C$4996,MATCH(D5041,Produtos!$B$4:$B$4996,0)),"Produto não encontrado"),"")</f>
        <v/>
      </c>
    </row>
    <row r="5042" spans="1:5" x14ac:dyDescent="0.3">
      <c r="A5042" s="21" t="str">
        <f t="shared" si="78"/>
        <v>.</v>
      </c>
      <c r="D5042" s="44"/>
      <c r="E5042" s="22" t="str">
        <f>IF(D5042&lt;&gt;"",IFERROR(INDEX(Produtos!$C$4:$C$4996,MATCH(D5042,Produtos!$B$4:$B$4996,0)),"Produto não encontrado"),"")</f>
        <v/>
      </c>
    </row>
    <row r="5043" spans="1:5" x14ac:dyDescent="0.3">
      <c r="A5043" s="21" t="str">
        <f t="shared" si="78"/>
        <v>.</v>
      </c>
      <c r="D5043" s="44"/>
      <c r="E5043" s="22" t="str">
        <f>IF(D5043&lt;&gt;"",IFERROR(INDEX(Produtos!$C$4:$C$4996,MATCH(D5043,Produtos!$B$4:$B$4996,0)),"Produto não encontrado"),"")</f>
        <v/>
      </c>
    </row>
    <row r="5044" spans="1:5" x14ac:dyDescent="0.3">
      <c r="A5044" s="21" t="str">
        <f t="shared" si="78"/>
        <v>.</v>
      </c>
      <c r="D5044" s="44"/>
      <c r="E5044" s="22" t="str">
        <f>IF(D5044&lt;&gt;"",IFERROR(INDEX(Produtos!$C$4:$C$4996,MATCH(D5044,Produtos!$B$4:$B$4996,0)),"Produto não encontrado"),"")</f>
        <v/>
      </c>
    </row>
    <row r="5045" spans="1:5" x14ac:dyDescent="0.3">
      <c r="A5045" s="21" t="str">
        <f t="shared" si="78"/>
        <v>.</v>
      </c>
      <c r="D5045" s="44"/>
      <c r="E5045" s="22" t="str">
        <f>IF(D5045&lt;&gt;"",IFERROR(INDEX(Produtos!$C$4:$C$4996,MATCH(D5045,Produtos!$B$4:$B$4996,0)),"Produto não encontrado"),"")</f>
        <v/>
      </c>
    </row>
    <row r="5046" spans="1:5" x14ac:dyDescent="0.3">
      <c r="A5046" s="21" t="str">
        <f t="shared" si="78"/>
        <v>.</v>
      </c>
      <c r="D5046" s="44"/>
      <c r="E5046" s="22" t="str">
        <f>IF(D5046&lt;&gt;"",IFERROR(INDEX(Produtos!$C$4:$C$4996,MATCH(D5046,Produtos!$B$4:$B$4996,0)),"Produto não encontrado"),"")</f>
        <v/>
      </c>
    </row>
    <row r="5047" spans="1:5" x14ac:dyDescent="0.3">
      <c r="A5047" s="21" t="str">
        <f t="shared" si="78"/>
        <v>.</v>
      </c>
      <c r="D5047" s="44"/>
      <c r="E5047" s="22" t="str">
        <f>IF(D5047&lt;&gt;"",IFERROR(INDEX(Produtos!$C$4:$C$4996,MATCH(D5047,Produtos!$B$4:$B$4996,0)),"Produto não encontrado"),"")</f>
        <v/>
      </c>
    </row>
    <row r="5048" spans="1:5" x14ac:dyDescent="0.3">
      <c r="A5048" s="21" t="str">
        <f t="shared" si="78"/>
        <v>.</v>
      </c>
      <c r="D5048" s="44"/>
      <c r="E5048" s="22" t="str">
        <f>IF(D5048&lt;&gt;"",IFERROR(INDEX(Produtos!$C$4:$C$4996,MATCH(D5048,Produtos!$B$4:$B$4996,0)),"Produto não encontrado"),"")</f>
        <v/>
      </c>
    </row>
    <row r="5049" spans="1:5" x14ac:dyDescent="0.3">
      <c r="A5049" s="21" t="str">
        <f t="shared" si="78"/>
        <v>.</v>
      </c>
      <c r="D5049" s="44"/>
      <c r="E5049" s="22" t="str">
        <f>IF(D5049&lt;&gt;"",IFERROR(INDEX(Produtos!$C$4:$C$4996,MATCH(D5049,Produtos!$B$4:$B$4996,0)),"Produto não encontrado"),"")</f>
        <v/>
      </c>
    </row>
    <row r="5050" spans="1:5" x14ac:dyDescent="0.3">
      <c r="A5050" s="21" t="str">
        <f t="shared" si="78"/>
        <v>.</v>
      </c>
      <c r="D5050" s="44"/>
      <c r="E5050" s="22" t="str">
        <f>IF(D5050&lt;&gt;"",IFERROR(INDEX(Produtos!$C$4:$C$4996,MATCH(D5050,Produtos!$B$4:$B$4996,0)),"Produto não encontrado"),"")</f>
        <v/>
      </c>
    </row>
    <row r="5051" spans="1:5" x14ac:dyDescent="0.3">
      <c r="A5051" s="21" t="str">
        <f t="shared" si="78"/>
        <v>.</v>
      </c>
      <c r="D5051" s="44"/>
      <c r="E5051" s="22" t="str">
        <f>IF(D5051&lt;&gt;"",IFERROR(INDEX(Produtos!$C$4:$C$4996,MATCH(D5051,Produtos!$B$4:$B$4996,0)),"Produto não encontrado"),"")</f>
        <v/>
      </c>
    </row>
    <row r="5052" spans="1:5" x14ac:dyDescent="0.3">
      <c r="A5052" s="21" t="str">
        <f t="shared" si="78"/>
        <v>.</v>
      </c>
      <c r="D5052" s="44"/>
      <c r="E5052" s="22" t="str">
        <f>IF(D5052&lt;&gt;"",IFERROR(INDEX(Produtos!$C$4:$C$4996,MATCH(D5052,Produtos!$B$4:$B$4996,0)),"Produto não encontrado"),"")</f>
        <v/>
      </c>
    </row>
    <row r="5053" spans="1:5" x14ac:dyDescent="0.3">
      <c r="A5053" s="21" t="str">
        <f t="shared" si="78"/>
        <v>.</v>
      </c>
      <c r="D5053" s="44"/>
      <c r="E5053" s="22" t="str">
        <f>IF(D5053&lt;&gt;"",IFERROR(INDEX(Produtos!$C$4:$C$4996,MATCH(D5053,Produtos!$B$4:$B$4996,0)),"Produto não encontrado"),"")</f>
        <v/>
      </c>
    </row>
    <row r="5054" spans="1:5" x14ac:dyDescent="0.3">
      <c r="A5054" s="21" t="str">
        <f t="shared" si="78"/>
        <v>.</v>
      </c>
      <c r="D5054" s="44"/>
      <c r="E5054" s="22" t="str">
        <f>IF(D5054&lt;&gt;"",IFERROR(INDEX(Produtos!$C$4:$C$4996,MATCH(D5054,Produtos!$B$4:$B$4996,0)),"Produto não encontrado"),"")</f>
        <v/>
      </c>
    </row>
    <row r="5055" spans="1:5" x14ac:dyDescent="0.3">
      <c r="A5055" s="21" t="str">
        <f t="shared" si="78"/>
        <v>.</v>
      </c>
      <c r="D5055" s="44"/>
      <c r="E5055" s="22" t="str">
        <f>IF(D5055&lt;&gt;"",IFERROR(INDEX(Produtos!$C$4:$C$4996,MATCH(D5055,Produtos!$B$4:$B$4996,0)),"Produto não encontrado"),"")</f>
        <v/>
      </c>
    </row>
    <row r="5056" spans="1:5" x14ac:dyDescent="0.3">
      <c r="A5056" s="21" t="str">
        <f t="shared" ref="A5056:A5119" si="79">IF(C5056="Entrada",2,IF(C5056="Saída",1,"."))</f>
        <v>.</v>
      </c>
      <c r="D5056" s="44"/>
      <c r="E5056" s="22" t="str">
        <f>IF(D5056&lt;&gt;"",IFERROR(INDEX(Produtos!$C$4:$C$4996,MATCH(D5056,Produtos!$B$4:$B$4996,0)),"Produto não encontrado"),"")</f>
        <v/>
      </c>
    </row>
    <row r="5057" spans="1:5" x14ac:dyDescent="0.3">
      <c r="A5057" s="21" t="str">
        <f t="shared" si="79"/>
        <v>.</v>
      </c>
      <c r="D5057" s="44"/>
      <c r="E5057" s="22" t="str">
        <f>IF(D5057&lt;&gt;"",IFERROR(INDEX(Produtos!$C$4:$C$4996,MATCH(D5057,Produtos!$B$4:$B$4996,0)),"Produto não encontrado"),"")</f>
        <v/>
      </c>
    </row>
    <row r="5058" spans="1:5" x14ac:dyDescent="0.3">
      <c r="A5058" s="21" t="str">
        <f t="shared" si="79"/>
        <v>.</v>
      </c>
      <c r="D5058" s="44"/>
      <c r="E5058" s="22" t="str">
        <f>IF(D5058&lt;&gt;"",IFERROR(INDEX(Produtos!$C$4:$C$4996,MATCH(D5058,Produtos!$B$4:$B$4996,0)),"Produto não encontrado"),"")</f>
        <v/>
      </c>
    </row>
    <row r="5059" spans="1:5" x14ac:dyDescent="0.3">
      <c r="A5059" s="21" t="str">
        <f t="shared" si="79"/>
        <v>.</v>
      </c>
      <c r="D5059" s="44"/>
      <c r="E5059" s="22" t="str">
        <f>IF(D5059&lt;&gt;"",IFERROR(INDEX(Produtos!$C$4:$C$4996,MATCH(D5059,Produtos!$B$4:$B$4996,0)),"Produto não encontrado"),"")</f>
        <v/>
      </c>
    </row>
    <row r="5060" spans="1:5" x14ac:dyDescent="0.3">
      <c r="A5060" s="21" t="str">
        <f t="shared" si="79"/>
        <v>.</v>
      </c>
      <c r="D5060" s="44"/>
      <c r="E5060" s="22" t="str">
        <f>IF(D5060&lt;&gt;"",IFERROR(INDEX(Produtos!$C$4:$C$4996,MATCH(D5060,Produtos!$B$4:$B$4996,0)),"Produto não encontrado"),"")</f>
        <v/>
      </c>
    </row>
    <row r="5061" spans="1:5" x14ac:dyDescent="0.3">
      <c r="A5061" s="21" t="str">
        <f t="shared" si="79"/>
        <v>.</v>
      </c>
      <c r="D5061" s="44"/>
      <c r="E5061" s="22" t="str">
        <f>IF(D5061&lt;&gt;"",IFERROR(INDEX(Produtos!$C$4:$C$4996,MATCH(D5061,Produtos!$B$4:$B$4996,0)),"Produto não encontrado"),"")</f>
        <v/>
      </c>
    </row>
    <row r="5062" spans="1:5" x14ac:dyDescent="0.3">
      <c r="A5062" s="21" t="str">
        <f t="shared" si="79"/>
        <v>.</v>
      </c>
      <c r="D5062" s="44"/>
      <c r="E5062" s="22" t="str">
        <f>IF(D5062&lt;&gt;"",IFERROR(INDEX(Produtos!$C$4:$C$4996,MATCH(D5062,Produtos!$B$4:$B$4996,0)),"Produto não encontrado"),"")</f>
        <v/>
      </c>
    </row>
    <row r="5063" spans="1:5" x14ac:dyDescent="0.3">
      <c r="A5063" s="21" t="str">
        <f t="shared" si="79"/>
        <v>.</v>
      </c>
      <c r="D5063" s="44"/>
      <c r="E5063" s="22" t="str">
        <f>IF(D5063&lt;&gt;"",IFERROR(INDEX(Produtos!$C$4:$C$4996,MATCH(D5063,Produtos!$B$4:$B$4996,0)),"Produto não encontrado"),"")</f>
        <v/>
      </c>
    </row>
    <row r="5064" spans="1:5" x14ac:dyDescent="0.3">
      <c r="A5064" s="21" t="str">
        <f t="shared" si="79"/>
        <v>.</v>
      </c>
      <c r="D5064" s="44"/>
      <c r="E5064" s="22" t="str">
        <f>IF(D5064&lt;&gt;"",IFERROR(INDEX(Produtos!$C$4:$C$4996,MATCH(D5064,Produtos!$B$4:$B$4996,0)),"Produto não encontrado"),"")</f>
        <v/>
      </c>
    </row>
    <row r="5065" spans="1:5" x14ac:dyDescent="0.3">
      <c r="A5065" s="21" t="str">
        <f t="shared" si="79"/>
        <v>.</v>
      </c>
      <c r="D5065" s="44"/>
      <c r="E5065" s="22" t="str">
        <f>IF(D5065&lt;&gt;"",IFERROR(INDEX(Produtos!$C$4:$C$4996,MATCH(D5065,Produtos!$B$4:$B$4996,0)),"Produto não encontrado"),"")</f>
        <v/>
      </c>
    </row>
    <row r="5066" spans="1:5" x14ac:dyDescent="0.3">
      <c r="A5066" s="21" t="str">
        <f t="shared" si="79"/>
        <v>.</v>
      </c>
      <c r="D5066" s="44"/>
      <c r="E5066" s="22" t="str">
        <f>IF(D5066&lt;&gt;"",IFERROR(INDEX(Produtos!$C$4:$C$4996,MATCH(D5066,Produtos!$B$4:$B$4996,0)),"Produto não encontrado"),"")</f>
        <v/>
      </c>
    </row>
    <row r="5067" spans="1:5" x14ac:dyDescent="0.3">
      <c r="A5067" s="21" t="str">
        <f t="shared" si="79"/>
        <v>.</v>
      </c>
      <c r="D5067" s="44"/>
      <c r="E5067" s="22" t="str">
        <f>IF(D5067&lt;&gt;"",IFERROR(INDEX(Produtos!$C$4:$C$4996,MATCH(D5067,Produtos!$B$4:$B$4996,0)),"Produto não encontrado"),"")</f>
        <v/>
      </c>
    </row>
    <row r="5068" spans="1:5" x14ac:dyDescent="0.3">
      <c r="A5068" s="21" t="str">
        <f t="shared" si="79"/>
        <v>.</v>
      </c>
      <c r="D5068" s="44"/>
      <c r="E5068" s="22" t="str">
        <f>IF(D5068&lt;&gt;"",IFERROR(INDEX(Produtos!$C$4:$C$4996,MATCH(D5068,Produtos!$B$4:$B$4996,0)),"Produto não encontrado"),"")</f>
        <v/>
      </c>
    </row>
    <row r="5069" spans="1:5" x14ac:dyDescent="0.3">
      <c r="A5069" s="21" t="str">
        <f t="shared" si="79"/>
        <v>.</v>
      </c>
      <c r="D5069" s="44"/>
      <c r="E5069" s="22" t="str">
        <f>IF(D5069&lt;&gt;"",IFERROR(INDEX(Produtos!$C$4:$C$4996,MATCH(D5069,Produtos!$B$4:$B$4996,0)),"Produto não encontrado"),"")</f>
        <v/>
      </c>
    </row>
    <row r="5070" spans="1:5" x14ac:dyDescent="0.3">
      <c r="A5070" s="21" t="str">
        <f t="shared" si="79"/>
        <v>.</v>
      </c>
      <c r="D5070" s="44"/>
      <c r="E5070" s="22" t="str">
        <f>IF(D5070&lt;&gt;"",IFERROR(INDEX(Produtos!$C$4:$C$4996,MATCH(D5070,Produtos!$B$4:$B$4996,0)),"Produto não encontrado"),"")</f>
        <v/>
      </c>
    </row>
    <row r="5071" spans="1:5" x14ac:dyDescent="0.3">
      <c r="A5071" s="21" t="str">
        <f t="shared" si="79"/>
        <v>.</v>
      </c>
      <c r="D5071" s="44"/>
      <c r="E5071" s="22" t="str">
        <f>IF(D5071&lt;&gt;"",IFERROR(INDEX(Produtos!$C$4:$C$4996,MATCH(D5071,Produtos!$B$4:$B$4996,0)),"Produto não encontrado"),"")</f>
        <v/>
      </c>
    </row>
    <row r="5072" spans="1:5" x14ac:dyDescent="0.3">
      <c r="A5072" s="21" t="str">
        <f t="shared" si="79"/>
        <v>.</v>
      </c>
      <c r="D5072" s="44"/>
      <c r="E5072" s="22" t="str">
        <f>IF(D5072&lt;&gt;"",IFERROR(INDEX(Produtos!$C$4:$C$4996,MATCH(D5072,Produtos!$B$4:$B$4996,0)),"Produto não encontrado"),"")</f>
        <v/>
      </c>
    </row>
    <row r="5073" spans="1:5" x14ac:dyDescent="0.3">
      <c r="A5073" s="21" t="str">
        <f t="shared" si="79"/>
        <v>.</v>
      </c>
      <c r="D5073" s="44"/>
      <c r="E5073" s="22" t="str">
        <f>IF(D5073&lt;&gt;"",IFERROR(INDEX(Produtos!$C$4:$C$4996,MATCH(D5073,Produtos!$B$4:$B$4996,0)),"Produto não encontrado"),"")</f>
        <v/>
      </c>
    </row>
    <row r="5074" spans="1:5" x14ac:dyDescent="0.3">
      <c r="A5074" s="21" t="str">
        <f t="shared" si="79"/>
        <v>.</v>
      </c>
      <c r="D5074" s="44"/>
      <c r="E5074" s="22" t="str">
        <f>IF(D5074&lt;&gt;"",IFERROR(INDEX(Produtos!$C$4:$C$4996,MATCH(D5074,Produtos!$B$4:$B$4996,0)),"Produto não encontrado"),"")</f>
        <v/>
      </c>
    </row>
    <row r="5075" spans="1:5" x14ac:dyDescent="0.3">
      <c r="A5075" s="21" t="str">
        <f t="shared" si="79"/>
        <v>.</v>
      </c>
      <c r="D5075" s="44"/>
      <c r="E5075" s="22" t="str">
        <f>IF(D5075&lt;&gt;"",IFERROR(INDEX(Produtos!$C$4:$C$4996,MATCH(D5075,Produtos!$B$4:$B$4996,0)),"Produto não encontrado"),"")</f>
        <v/>
      </c>
    </row>
    <row r="5076" spans="1:5" x14ac:dyDescent="0.3">
      <c r="A5076" s="21" t="str">
        <f t="shared" si="79"/>
        <v>.</v>
      </c>
      <c r="D5076" s="44"/>
      <c r="E5076" s="22" t="str">
        <f>IF(D5076&lt;&gt;"",IFERROR(INDEX(Produtos!$C$4:$C$4996,MATCH(D5076,Produtos!$B$4:$B$4996,0)),"Produto não encontrado"),"")</f>
        <v/>
      </c>
    </row>
    <row r="5077" spans="1:5" x14ac:dyDescent="0.3">
      <c r="A5077" s="21" t="str">
        <f t="shared" si="79"/>
        <v>.</v>
      </c>
      <c r="D5077" s="44"/>
      <c r="E5077" s="22" t="str">
        <f>IF(D5077&lt;&gt;"",IFERROR(INDEX(Produtos!$C$4:$C$4996,MATCH(D5077,Produtos!$B$4:$B$4996,0)),"Produto não encontrado"),"")</f>
        <v/>
      </c>
    </row>
    <row r="5078" spans="1:5" x14ac:dyDescent="0.3">
      <c r="A5078" s="21" t="str">
        <f t="shared" si="79"/>
        <v>.</v>
      </c>
      <c r="D5078" s="44"/>
      <c r="E5078" s="22" t="str">
        <f>IF(D5078&lt;&gt;"",IFERROR(INDEX(Produtos!$C$4:$C$4996,MATCH(D5078,Produtos!$B$4:$B$4996,0)),"Produto não encontrado"),"")</f>
        <v/>
      </c>
    </row>
    <row r="5079" spans="1:5" x14ac:dyDescent="0.3">
      <c r="A5079" s="21" t="str">
        <f t="shared" si="79"/>
        <v>.</v>
      </c>
      <c r="D5079" s="44"/>
      <c r="E5079" s="22" t="str">
        <f>IF(D5079&lt;&gt;"",IFERROR(INDEX(Produtos!$C$4:$C$4996,MATCH(D5079,Produtos!$B$4:$B$4996,0)),"Produto não encontrado"),"")</f>
        <v/>
      </c>
    </row>
    <row r="5080" spans="1:5" x14ac:dyDescent="0.3">
      <c r="A5080" s="21" t="str">
        <f t="shared" si="79"/>
        <v>.</v>
      </c>
      <c r="D5080" s="44"/>
      <c r="E5080" s="22" t="str">
        <f>IF(D5080&lt;&gt;"",IFERROR(INDEX(Produtos!$C$4:$C$4996,MATCH(D5080,Produtos!$B$4:$B$4996,0)),"Produto não encontrado"),"")</f>
        <v/>
      </c>
    </row>
    <row r="5081" spans="1:5" x14ac:dyDescent="0.3">
      <c r="A5081" s="21" t="str">
        <f t="shared" si="79"/>
        <v>.</v>
      </c>
      <c r="D5081" s="44"/>
      <c r="E5081" s="22" t="str">
        <f>IF(D5081&lt;&gt;"",IFERROR(INDEX(Produtos!$C$4:$C$4996,MATCH(D5081,Produtos!$B$4:$B$4996,0)),"Produto não encontrado"),"")</f>
        <v/>
      </c>
    </row>
    <row r="5082" spans="1:5" x14ac:dyDescent="0.3">
      <c r="A5082" s="21" t="str">
        <f t="shared" si="79"/>
        <v>.</v>
      </c>
      <c r="D5082" s="44"/>
      <c r="E5082" s="22" t="str">
        <f>IF(D5082&lt;&gt;"",IFERROR(INDEX(Produtos!$C$4:$C$4996,MATCH(D5082,Produtos!$B$4:$B$4996,0)),"Produto não encontrado"),"")</f>
        <v/>
      </c>
    </row>
    <row r="5083" spans="1:5" x14ac:dyDescent="0.3">
      <c r="A5083" s="21" t="str">
        <f t="shared" si="79"/>
        <v>.</v>
      </c>
      <c r="D5083" s="44"/>
      <c r="E5083" s="22" t="str">
        <f>IF(D5083&lt;&gt;"",IFERROR(INDEX(Produtos!$C$4:$C$4996,MATCH(D5083,Produtos!$B$4:$B$4996,0)),"Produto não encontrado"),"")</f>
        <v/>
      </c>
    </row>
    <row r="5084" spans="1:5" x14ac:dyDescent="0.3">
      <c r="A5084" s="21" t="str">
        <f t="shared" si="79"/>
        <v>.</v>
      </c>
      <c r="D5084" s="44"/>
      <c r="E5084" s="22" t="str">
        <f>IF(D5084&lt;&gt;"",IFERROR(INDEX(Produtos!$C$4:$C$4996,MATCH(D5084,Produtos!$B$4:$B$4996,0)),"Produto não encontrado"),"")</f>
        <v/>
      </c>
    </row>
    <row r="5085" spans="1:5" x14ac:dyDescent="0.3">
      <c r="A5085" s="21" t="str">
        <f t="shared" si="79"/>
        <v>.</v>
      </c>
      <c r="D5085" s="44"/>
      <c r="E5085" s="22" t="str">
        <f>IF(D5085&lt;&gt;"",IFERROR(INDEX(Produtos!$C$4:$C$4996,MATCH(D5085,Produtos!$B$4:$B$4996,0)),"Produto não encontrado"),"")</f>
        <v/>
      </c>
    </row>
    <row r="5086" spans="1:5" x14ac:dyDescent="0.3">
      <c r="A5086" s="21" t="str">
        <f t="shared" si="79"/>
        <v>.</v>
      </c>
      <c r="D5086" s="44"/>
      <c r="E5086" s="22" t="str">
        <f>IF(D5086&lt;&gt;"",IFERROR(INDEX(Produtos!$C$4:$C$4996,MATCH(D5086,Produtos!$B$4:$B$4996,0)),"Produto não encontrado"),"")</f>
        <v/>
      </c>
    </row>
    <row r="5087" spans="1:5" x14ac:dyDescent="0.3">
      <c r="A5087" s="21" t="str">
        <f t="shared" si="79"/>
        <v>.</v>
      </c>
      <c r="D5087" s="44"/>
      <c r="E5087" s="22" t="str">
        <f>IF(D5087&lt;&gt;"",IFERROR(INDEX(Produtos!$C$4:$C$4996,MATCH(D5087,Produtos!$B$4:$B$4996,0)),"Produto não encontrado"),"")</f>
        <v/>
      </c>
    </row>
    <row r="5088" spans="1:5" x14ac:dyDescent="0.3">
      <c r="A5088" s="21" t="str">
        <f t="shared" si="79"/>
        <v>.</v>
      </c>
      <c r="D5088" s="44"/>
      <c r="E5088" s="22" t="str">
        <f>IF(D5088&lt;&gt;"",IFERROR(INDEX(Produtos!$C$4:$C$4996,MATCH(D5088,Produtos!$B$4:$B$4996,0)),"Produto não encontrado"),"")</f>
        <v/>
      </c>
    </row>
    <row r="5089" spans="1:5" x14ac:dyDescent="0.3">
      <c r="A5089" s="21" t="str">
        <f t="shared" si="79"/>
        <v>.</v>
      </c>
      <c r="D5089" s="44"/>
      <c r="E5089" s="22" t="str">
        <f>IF(D5089&lt;&gt;"",IFERROR(INDEX(Produtos!$C$4:$C$4996,MATCH(D5089,Produtos!$B$4:$B$4996,0)),"Produto não encontrado"),"")</f>
        <v/>
      </c>
    </row>
    <row r="5090" spans="1:5" x14ac:dyDescent="0.3">
      <c r="A5090" s="21" t="str">
        <f t="shared" si="79"/>
        <v>.</v>
      </c>
      <c r="D5090" s="44"/>
      <c r="E5090" s="22" t="str">
        <f>IF(D5090&lt;&gt;"",IFERROR(INDEX(Produtos!$C$4:$C$4996,MATCH(D5090,Produtos!$B$4:$B$4996,0)),"Produto não encontrado"),"")</f>
        <v/>
      </c>
    </row>
    <row r="5091" spans="1:5" x14ac:dyDescent="0.3">
      <c r="A5091" s="21" t="str">
        <f t="shared" si="79"/>
        <v>.</v>
      </c>
      <c r="D5091" s="44"/>
      <c r="E5091" s="22" t="str">
        <f>IF(D5091&lt;&gt;"",IFERROR(INDEX(Produtos!$C$4:$C$4996,MATCH(D5091,Produtos!$B$4:$B$4996,0)),"Produto não encontrado"),"")</f>
        <v/>
      </c>
    </row>
    <row r="5092" spans="1:5" x14ac:dyDescent="0.3">
      <c r="A5092" s="21" t="str">
        <f t="shared" si="79"/>
        <v>.</v>
      </c>
      <c r="D5092" s="44"/>
      <c r="E5092" s="22" t="str">
        <f>IF(D5092&lt;&gt;"",IFERROR(INDEX(Produtos!$C$4:$C$4996,MATCH(D5092,Produtos!$B$4:$B$4996,0)),"Produto não encontrado"),"")</f>
        <v/>
      </c>
    </row>
    <row r="5093" spans="1:5" x14ac:dyDescent="0.3">
      <c r="A5093" s="21" t="str">
        <f t="shared" si="79"/>
        <v>.</v>
      </c>
      <c r="D5093" s="44"/>
      <c r="E5093" s="22" t="str">
        <f>IF(D5093&lt;&gt;"",IFERROR(INDEX(Produtos!$C$4:$C$4996,MATCH(D5093,Produtos!$B$4:$B$4996,0)),"Produto não encontrado"),"")</f>
        <v/>
      </c>
    </row>
    <row r="5094" spans="1:5" x14ac:dyDescent="0.3">
      <c r="A5094" s="21" t="str">
        <f t="shared" si="79"/>
        <v>.</v>
      </c>
      <c r="D5094" s="44"/>
      <c r="E5094" s="22" t="str">
        <f>IF(D5094&lt;&gt;"",IFERROR(INDEX(Produtos!$C$4:$C$4996,MATCH(D5094,Produtos!$B$4:$B$4996,0)),"Produto não encontrado"),"")</f>
        <v/>
      </c>
    </row>
    <row r="5095" spans="1:5" x14ac:dyDescent="0.3">
      <c r="A5095" s="21" t="str">
        <f t="shared" si="79"/>
        <v>.</v>
      </c>
      <c r="D5095" s="44"/>
      <c r="E5095" s="22" t="str">
        <f>IF(D5095&lt;&gt;"",IFERROR(INDEX(Produtos!$C$4:$C$4996,MATCH(D5095,Produtos!$B$4:$B$4996,0)),"Produto não encontrado"),"")</f>
        <v/>
      </c>
    </row>
    <row r="5096" spans="1:5" x14ac:dyDescent="0.3">
      <c r="A5096" s="21" t="str">
        <f t="shared" si="79"/>
        <v>.</v>
      </c>
      <c r="D5096" s="44"/>
      <c r="E5096" s="22" t="str">
        <f>IF(D5096&lt;&gt;"",IFERROR(INDEX(Produtos!$C$4:$C$4996,MATCH(D5096,Produtos!$B$4:$B$4996,0)),"Produto não encontrado"),"")</f>
        <v/>
      </c>
    </row>
    <row r="5097" spans="1:5" x14ac:dyDescent="0.3">
      <c r="A5097" s="21" t="str">
        <f t="shared" si="79"/>
        <v>.</v>
      </c>
      <c r="D5097" s="44"/>
      <c r="E5097" s="22" t="str">
        <f>IF(D5097&lt;&gt;"",IFERROR(INDEX(Produtos!$C$4:$C$4996,MATCH(D5097,Produtos!$B$4:$B$4996,0)),"Produto não encontrado"),"")</f>
        <v/>
      </c>
    </row>
    <row r="5098" spans="1:5" x14ac:dyDescent="0.3">
      <c r="A5098" s="21" t="str">
        <f t="shared" si="79"/>
        <v>.</v>
      </c>
      <c r="D5098" s="44"/>
      <c r="E5098" s="22" t="str">
        <f>IF(D5098&lt;&gt;"",IFERROR(INDEX(Produtos!$C$4:$C$4996,MATCH(D5098,Produtos!$B$4:$B$4996,0)),"Produto não encontrado"),"")</f>
        <v/>
      </c>
    </row>
    <row r="5099" spans="1:5" x14ac:dyDescent="0.3">
      <c r="A5099" s="21" t="str">
        <f t="shared" si="79"/>
        <v>.</v>
      </c>
      <c r="D5099" s="44"/>
      <c r="E5099" s="22" t="str">
        <f>IF(D5099&lt;&gt;"",IFERROR(INDEX(Produtos!$C$4:$C$4996,MATCH(D5099,Produtos!$B$4:$B$4996,0)),"Produto não encontrado"),"")</f>
        <v/>
      </c>
    </row>
    <row r="5100" spans="1:5" x14ac:dyDescent="0.3">
      <c r="A5100" s="21" t="str">
        <f t="shared" si="79"/>
        <v>.</v>
      </c>
      <c r="D5100" s="44"/>
      <c r="E5100" s="22" t="str">
        <f>IF(D5100&lt;&gt;"",IFERROR(INDEX(Produtos!$C$4:$C$4996,MATCH(D5100,Produtos!$B$4:$B$4996,0)),"Produto não encontrado"),"")</f>
        <v/>
      </c>
    </row>
    <row r="5101" spans="1:5" x14ac:dyDescent="0.3">
      <c r="A5101" s="21" t="str">
        <f t="shared" si="79"/>
        <v>.</v>
      </c>
      <c r="D5101" s="44"/>
      <c r="E5101" s="22" t="str">
        <f>IF(D5101&lt;&gt;"",IFERROR(INDEX(Produtos!$C$4:$C$4996,MATCH(D5101,Produtos!$B$4:$B$4996,0)),"Produto não encontrado"),"")</f>
        <v/>
      </c>
    </row>
    <row r="5102" spans="1:5" x14ac:dyDescent="0.3">
      <c r="A5102" s="21" t="str">
        <f t="shared" si="79"/>
        <v>.</v>
      </c>
      <c r="D5102" s="44"/>
      <c r="E5102" s="22" t="str">
        <f>IF(D5102&lt;&gt;"",IFERROR(INDEX(Produtos!$C$4:$C$4996,MATCH(D5102,Produtos!$B$4:$B$4996,0)),"Produto não encontrado"),"")</f>
        <v/>
      </c>
    </row>
    <row r="5103" spans="1:5" x14ac:dyDescent="0.3">
      <c r="A5103" s="21" t="str">
        <f t="shared" si="79"/>
        <v>.</v>
      </c>
      <c r="D5103" s="44"/>
      <c r="E5103" s="22" t="str">
        <f>IF(D5103&lt;&gt;"",IFERROR(INDEX(Produtos!$C$4:$C$4996,MATCH(D5103,Produtos!$B$4:$B$4996,0)),"Produto não encontrado"),"")</f>
        <v/>
      </c>
    </row>
    <row r="5104" spans="1:5" x14ac:dyDescent="0.3">
      <c r="A5104" s="21" t="str">
        <f t="shared" si="79"/>
        <v>.</v>
      </c>
      <c r="D5104" s="44"/>
      <c r="E5104" s="22" t="str">
        <f>IF(D5104&lt;&gt;"",IFERROR(INDEX(Produtos!$C$4:$C$4996,MATCH(D5104,Produtos!$B$4:$B$4996,0)),"Produto não encontrado"),"")</f>
        <v/>
      </c>
    </row>
    <row r="5105" spans="1:5" x14ac:dyDescent="0.3">
      <c r="A5105" s="21" t="str">
        <f t="shared" si="79"/>
        <v>.</v>
      </c>
      <c r="D5105" s="44"/>
      <c r="E5105" s="22" t="str">
        <f>IF(D5105&lt;&gt;"",IFERROR(INDEX(Produtos!$C$4:$C$4996,MATCH(D5105,Produtos!$B$4:$B$4996,0)),"Produto não encontrado"),"")</f>
        <v/>
      </c>
    </row>
    <row r="5106" spans="1:5" x14ac:dyDescent="0.3">
      <c r="A5106" s="21" t="str">
        <f t="shared" si="79"/>
        <v>.</v>
      </c>
      <c r="D5106" s="44"/>
      <c r="E5106" s="22" t="str">
        <f>IF(D5106&lt;&gt;"",IFERROR(INDEX(Produtos!$C$4:$C$4996,MATCH(D5106,Produtos!$B$4:$B$4996,0)),"Produto não encontrado"),"")</f>
        <v/>
      </c>
    </row>
    <row r="5107" spans="1:5" x14ac:dyDescent="0.3">
      <c r="A5107" s="21" t="str">
        <f t="shared" si="79"/>
        <v>.</v>
      </c>
      <c r="D5107" s="44"/>
      <c r="E5107" s="22" t="str">
        <f>IF(D5107&lt;&gt;"",IFERROR(INDEX(Produtos!$C$4:$C$4996,MATCH(D5107,Produtos!$B$4:$B$4996,0)),"Produto não encontrado"),"")</f>
        <v/>
      </c>
    </row>
    <row r="5108" spans="1:5" x14ac:dyDescent="0.3">
      <c r="A5108" s="21" t="str">
        <f t="shared" si="79"/>
        <v>.</v>
      </c>
      <c r="D5108" s="44"/>
      <c r="E5108" s="22" t="str">
        <f>IF(D5108&lt;&gt;"",IFERROR(INDEX(Produtos!$C$4:$C$4996,MATCH(D5108,Produtos!$B$4:$B$4996,0)),"Produto não encontrado"),"")</f>
        <v/>
      </c>
    </row>
    <row r="5109" spans="1:5" x14ac:dyDescent="0.3">
      <c r="A5109" s="21" t="str">
        <f t="shared" si="79"/>
        <v>.</v>
      </c>
      <c r="D5109" s="44"/>
      <c r="E5109" s="22" t="str">
        <f>IF(D5109&lt;&gt;"",IFERROR(INDEX(Produtos!$C$4:$C$4996,MATCH(D5109,Produtos!$B$4:$B$4996,0)),"Produto não encontrado"),"")</f>
        <v/>
      </c>
    </row>
    <row r="5110" spans="1:5" x14ac:dyDescent="0.3">
      <c r="A5110" s="21" t="str">
        <f t="shared" si="79"/>
        <v>.</v>
      </c>
      <c r="D5110" s="44"/>
      <c r="E5110" s="22" t="str">
        <f>IF(D5110&lt;&gt;"",IFERROR(INDEX(Produtos!$C$4:$C$4996,MATCH(D5110,Produtos!$B$4:$B$4996,0)),"Produto não encontrado"),"")</f>
        <v/>
      </c>
    </row>
    <row r="5111" spans="1:5" x14ac:dyDescent="0.3">
      <c r="A5111" s="21" t="str">
        <f t="shared" si="79"/>
        <v>.</v>
      </c>
      <c r="D5111" s="44"/>
      <c r="E5111" s="22" t="str">
        <f>IF(D5111&lt;&gt;"",IFERROR(INDEX(Produtos!$C$4:$C$4996,MATCH(D5111,Produtos!$B$4:$B$4996,0)),"Produto não encontrado"),"")</f>
        <v/>
      </c>
    </row>
    <row r="5112" spans="1:5" x14ac:dyDescent="0.3">
      <c r="A5112" s="21" t="str">
        <f t="shared" si="79"/>
        <v>.</v>
      </c>
      <c r="D5112" s="44"/>
      <c r="E5112" s="22" t="str">
        <f>IF(D5112&lt;&gt;"",IFERROR(INDEX(Produtos!$C$4:$C$4996,MATCH(D5112,Produtos!$B$4:$B$4996,0)),"Produto não encontrado"),"")</f>
        <v/>
      </c>
    </row>
    <row r="5113" spans="1:5" x14ac:dyDescent="0.3">
      <c r="A5113" s="21" t="str">
        <f t="shared" si="79"/>
        <v>.</v>
      </c>
      <c r="D5113" s="44"/>
      <c r="E5113" s="22" t="str">
        <f>IF(D5113&lt;&gt;"",IFERROR(INDEX(Produtos!$C$4:$C$4996,MATCH(D5113,Produtos!$B$4:$B$4996,0)),"Produto não encontrado"),"")</f>
        <v/>
      </c>
    </row>
    <row r="5114" spans="1:5" x14ac:dyDescent="0.3">
      <c r="A5114" s="21" t="str">
        <f t="shared" si="79"/>
        <v>.</v>
      </c>
      <c r="D5114" s="44"/>
      <c r="E5114" s="22" t="str">
        <f>IF(D5114&lt;&gt;"",IFERROR(INDEX(Produtos!$C$4:$C$4996,MATCH(D5114,Produtos!$B$4:$B$4996,0)),"Produto não encontrado"),"")</f>
        <v/>
      </c>
    </row>
    <row r="5115" spans="1:5" x14ac:dyDescent="0.3">
      <c r="A5115" s="21" t="str">
        <f t="shared" si="79"/>
        <v>.</v>
      </c>
      <c r="D5115" s="44"/>
      <c r="E5115" s="22" t="str">
        <f>IF(D5115&lt;&gt;"",IFERROR(INDEX(Produtos!$C$4:$C$4996,MATCH(D5115,Produtos!$B$4:$B$4996,0)),"Produto não encontrado"),"")</f>
        <v/>
      </c>
    </row>
    <row r="5116" spans="1:5" x14ac:dyDescent="0.3">
      <c r="A5116" s="21" t="str">
        <f t="shared" si="79"/>
        <v>.</v>
      </c>
      <c r="D5116" s="44"/>
      <c r="E5116" s="22" t="str">
        <f>IF(D5116&lt;&gt;"",IFERROR(INDEX(Produtos!$C$4:$C$4996,MATCH(D5116,Produtos!$B$4:$B$4996,0)),"Produto não encontrado"),"")</f>
        <v/>
      </c>
    </row>
    <row r="5117" spans="1:5" x14ac:dyDescent="0.3">
      <c r="A5117" s="21" t="str">
        <f t="shared" si="79"/>
        <v>.</v>
      </c>
      <c r="D5117" s="44"/>
      <c r="E5117" s="22" t="str">
        <f>IF(D5117&lt;&gt;"",IFERROR(INDEX(Produtos!$C$4:$C$4996,MATCH(D5117,Produtos!$B$4:$B$4996,0)),"Produto não encontrado"),"")</f>
        <v/>
      </c>
    </row>
    <row r="5118" spans="1:5" x14ac:dyDescent="0.3">
      <c r="A5118" s="21" t="str">
        <f t="shared" si="79"/>
        <v>.</v>
      </c>
      <c r="D5118" s="44"/>
      <c r="E5118" s="22" t="str">
        <f>IF(D5118&lt;&gt;"",IFERROR(INDEX(Produtos!$C$4:$C$4996,MATCH(D5118,Produtos!$B$4:$B$4996,0)),"Produto não encontrado"),"")</f>
        <v/>
      </c>
    </row>
    <row r="5119" spans="1:5" x14ac:dyDescent="0.3">
      <c r="A5119" s="21" t="str">
        <f t="shared" si="79"/>
        <v>.</v>
      </c>
      <c r="D5119" s="44"/>
      <c r="E5119" s="22" t="str">
        <f>IF(D5119&lt;&gt;"",IFERROR(INDEX(Produtos!$C$4:$C$4996,MATCH(D5119,Produtos!$B$4:$B$4996,0)),"Produto não encontrado"),"")</f>
        <v/>
      </c>
    </row>
    <row r="5120" spans="1:5" x14ac:dyDescent="0.3">
      <c r="A5120" s="21" t="str">
        <f t="shared" ref="A5120:A5183" si="80">IF(C5120="Entrada",2,IF(C5120="Saída",1,"."))</f>
        <v>.</v>
      </c>
      <c r="D5120" s="44"/>
      <c r="E5120" s="22" t="str">
        <f>IF(D5120&lt;&gt;"",IFERROR(INDEX(Produtos!$C$4:$C$4996,MATCH(D5120,Produtos!$B$4:$B$4996,0)),"Produto não encontrado"),"")</f>
        <v/>
      </c>
    </row>
    <row r="5121" spans="1:5" x14ac:dyDescent="0.3">
      <c r="A5121" s="21" t="str">
        <f t="shared" si="80"/>
        <v>.</v>
      </c>
      <c r="D5121" s="44"/>
      <c r="E5121" s="22" t="str">
        <f>IF(D5121&lt;&gt;"",IFERROR(INDEX(Produtos!$C$4:$C$4996,MATCH(D5121,Produtos!$B$4:$B$4996,0)),"Produto não encontrado"),"")</f>
        <v/>
      </c>
    </row>
    <row r="5122" spans="1:5" x14ac:dyDescent="0.3">
      <c r="A5122" s="21" t="str">
        <f t="shared" si="80"/>
        <v>.</v>
      </c>
      <c r="D5122" s="44"/>
      <c r="E5122" s="22" t="str">
        <f>IF(D5122&lt;&gt;"",IFERROR(INDEX(Produtos!$C$4:$C$4996,MATCH(D5122,Produtos!$B$4:$B$4996,0)),"Produto não encontrado"),"")</f>
        <v/>
      </c>
    </row>
    <row r="5123" spans="1:5" x14ac:dyDescent="0.3">
      <c r="A5123" s="21" t="str">
        <f t="shared" si="80"/>
        <v>.</v>
      </c>
      <c r="D5123" s="44"/>
      <c r="E5123" s="22" t="str">
        <f>IF(D5123&lt;&gt;"",IFERROR(INDEX(Produtos!$C$4:$C$4996,MATCH(D5123,Produtos!$B$4:$B$4996,0)),"Produto não encontrado"),"")</f>
        <v/>
      </c>
    </row>
    <row r="5124" spans="1:5" x14ac:dyDescent="0.3">
      <c r="A5124" s="21" t="str">
        <f t="shared" si="80"/>
        <v>.</v>
      </c>
      <c r="D5124" s="44"/>
      <c r="E5124" s="22" t="str">
        <f>IF(D5124&lt;&gt;"",IFERROR(INDEX(Produtos!$C$4:$C$4996,MATCH(D5124,Produtos!$B$4:$B$4996,0)),"Produto não encontrado"),"")</f>
        <v/>
      </c>
    </row>
    <row r="5125" spans="1:5" x14ac:dyDescent="0.3">
      <c r="A5125" s="21" t="str">
        <f t="shared" si="80"/>
        <v>.</v>
      </c>
      <c r="D5125" s="44"/>
      <c r="E5125" s="22" t="str">
        <f>IF(D5125&lt;&gt;"",IFERROR(INDEX(Produtos!$C$4:$C$4996,MATCH(D5125,Produtos!$B$4:$B$4996,0)),"Produto não encontrado"),"")</f>
        <v/>
      </c>
    </row>
    <row r="5126" spans="1:5" x14ac:dyDescent="0.3">
      <c r="A5126" s="21" t="str">
        <f t="shared" si="80"/>
        <v>.</v>
      </c>
      <c r="D5126" s="44"/>
      <c r="E5126" s="22" t="str">
        <f>IF(D5126&lt;&gt;"",IFERROR(INDEX(Produtos!$C$4:$C$4996,MATCH(D5126,Produtos!$B$4:$B$4996,0)),"Produto não encontrado"),"")</f>
        <v/>
      </c>
    </row>
    <row r="5127" spans="1:5" x14ac:dyDescent="0.3">
      <c r="A5127" s="21" t="str">
        <f t="shared" si="80"/>
        <v>.</v>
      </c>
      <c r="D5127" s="44"/>
      <c r="E5127" s="22" t="str">
        <f>IF(D5127&lt;&gt;"",IFERROR(INDEX(Produtos!$C$4:$C$4996,MATCH(D5127,Produtos!$B$4:$B$4996,0)),"Produto não encontrado"),"")</f>
        <v/>
      </c>
    </row>
    <row r="5128" spans="1:5" x14ac:dyDescent="0.3">
      <c r="A5128" s="21" t="str">
        <f t="shared" si="80"/>
        <v>.</v>
      </c>
      <c r="D5128" s="44"/>
      <c r="E5128" s="22" t="str">
        <f>IF(D5128&lt;&gt;"",IFERROR(INDEX(Produtos!$C$4:$C$4996,MATCH(D5128,Produtos!$B$4:$B$4996,0)),"Produto não encontrado"),"")</f>
        <v/>
      </c>
    </row>
    <row r="5129" spans="1:5" x14ac:dyDescent="0.3">
      <c r="A5129" s="21" t="str">
        <f t="shared" si="80"/>
        <v>.</v>
      </c>
      <c r="D5129" s="44"/>
      <c r="E5129" s="22" t="str">
        <f>IF(D5129&lt;&gt;"",IFERROR(INDEX(Produtos!$C$4:$C$4996,MATCH(D5129,Produtos!$B$4:$B$4996,0)),"Produto não encontrado"),"")</f>
        <v/>
      </c>
    </row>
    <row r="5130" spans="1:5" x14ac:dyDescent="0.3">
      <c r="A5130" s="21" t="str">
        <f t="shared" si="80"/>
        <v>.</v>
      </c>
      <c r="D5130" s="44"/>
      <c r="E5130" s="22" t="str">
        <f>IF(D5130&lt;&gt;"",IFERROR(INDEX(Produtos!$C$4:$C$4996,MATCH(D5130,Produtos!$B$4:$B$4996,0)),"Produto não encontrado"),"")</f>
        <v/>
      </c>
    </row>
    <row r="5131" spans="1:5" x14ac:dyDescent="0.3">
      <c r="A5131" s="21" t="str">
        <f t="shared" si="80"/>
        <v>.</v>
      </c>
      <c r="D5131" s="44"/>
      <c r="E5131" s="22" t="str">
        <f>IF(D5131&lt;&gt;"",IFERROR(INDEX(Produtos!$C$4:$C$4996,MATCH(D5131,Produtos!$B$4:$B$4996,0)),"Produto não encontrado"),"")</f>
        <v/>
      </c>
    </row>
    <row r="5132" spans="1:5" x14ac:dyDescent="0.3">
      <c r="A5132" s="21" t="str">
        <f t="shared" si="80"/>
        <v>.</v>
      </c>
      <c r="D5132" s="44"/>
      <c r="E5132" s="22" t="str">
        <f>IF(D5132&lt;&gt;"",IFERROR(INDEX(Produtos!$C$4:$C$4996,MATCH(D5132,Produtos!$B$4:$B$4996,0)),"Produto não encontrado"),"")</f>
        <v/>
      </c>
    </row>
    <row r="5133" spans="1:5" x14ac:dyDescent="0.3">
      <c r="A5133" s="21" t="str">
        <f t="shared" si="80"/>
        <v>.</v>
      </c>
      <c r="D5133" s="44"/>
      <c r="E5133" s="22" t="str">
        <f>IF(D5133&lt;&gt;"",IFERROR(INDEX(Produtos!$C$4:$C$4996,MATCH(D5133,Produtos!$B$4:$B$4996,0)),"Produto não encontrado"),"")</f>
        <v/>
      </c>
    </row>
    <row r="5134" spans="1:5" x14ac:dyDescent="0.3">
      <c r="A5134" s="21" t="str">
        <f t="shared" si="80"/>
        <v>.</v>
      </c>
      <c r="D5134" s="44"/>
      <c r="E5134" s="22" t="str">
        <f>IF(D5134&lt;&gt;"",IFERROR(INDEX(Produtos!$C$4:$C$4996,MATCH(D5134,Produtos!$B$4:$B$4996,0)),"Produto não encontrado"),"")</f>
        <v/>
      </c>
    </row>
    <row r="5135" spans="1:5" x14ac:dyDescent="0.3">
      <c r="A5135" s="21" t="str">
        <f t="shared" si="80"/>
        <v>.</v>
      </c>
      <c r="D5135" s="44"/>
      <c r="E5135" s="22" t="str">
        <f>IF(D5135&lt;&gt;"",IFERROR(INDEX(Produtos!$C$4:$C$4996,MATCH(D5135,Produtos!$B$4:$B$4996,0)),"Produto não encontrado"),"")</f>
        <v/>
      </c>
    </row>
    <row r="5136" spans="1:5" x14ac:dyDescent="0.3">
      <c r="A5136" s="21" t="str">
        <f t="shared" si="80"/>
        <v>.</v>
      </c>
      <c r="D5136" s="44"/>
      <c r="E5136" s="22" t="str">
        <f>IF(D5136&lt;&gt;"",IFERROR(INDEX(Produtos!$C$4:$C$4996,MATCH(D5136,Produtos!$B$4:$B$4996,0)),"Produto não encontrado"),"")</f>
        <v/>
      </c>
    </row>
    <row r="5137" spans="1:5" x14ac:dyDescent="0.3">
      <c r="A5137" s="21" t="str">
        <f t="shared" si="80"/>
        <v>.</v>
      </c>
      <c r="D5137" s="44"/>
      <c r="E5137" s="22" t="str">
        <f>IF(D5137&lt;&gt;"",IFERROR(INDEX(Produtos!$C$4:$C$4996,MATCH(D5137,Produtos!$B$4:$B$4996,0)),"Produto não encontrado"),"")</f>
        <v/>
      </c>
    </row>
    <row r="5138" spans="1:5" x14ac:dyDescent="0.3">
      <c r="A5138" s="21" t="str">
        <f t="shared" si="80"/>
        <v>.</v>
      </c>
      <c r="D5138" s="44"/>
      <c r="E5138" s="22" t="str">
        <f>IF(D5138&lt;&gt;"",IFERROR(INDEX(Produtos!$C$4:$C$4996,MATCH(D5138,Produtos!$B$4:$B$4996,0)),"Produto não encontrado"),"")</f>
        <v/>
      </c>
    </row>
    <row r="5139" spans="1:5" x14ac:dyDescent="0.3">
      <c r="A5139" s="21" t="str">
        <f t="shared" si="80"/>
        <v>.</v>
      </c>
      <c r="D5139" s="44"/>
      <c r="E5139" s="22" t="str">
        <f>IF(D5139&lt;&gt;"",IFERROR(INDEX(Produtos!$C$4:$C$4996,MATCH(D5139,Produtos!$B$4:$B$4996,0)),"Produto não encontrado"),"")</f>
        <v/>
      </c>
    </row>
    <row r="5140" spans="1:5" x14ac:dyDescent="0.3">
      <c r="A5140" s="21" t="str">
        <f t="shared" si="80"/>
        <v>.</v>
      </c>
      <c r="D5140" s="44"/>
      <c r="E5140" s="22" t="str">
        <f>IF(D5140&lt;&gt;"",IFERROR(INDEX(Produtos!$C$4:$C$4996,MATCH(D5140,Produtos!$B$4:$B$4996,0)),"Produto não encontrado"),"")</f>
        <v/>
      </c>
    </row>
    <row r="5141" spans="1:5" x14ac:dyDescent="0.3">
      <c r="A5141" s="21" t="str">
        <f t="shared" si="80"/>
        <v>.</v>
      </c>
      <c r="D5141" s="44"/>
      <c r="E5141" s="22" t="str">
        <f>IF(D5141&lt;&gt;"",IFERROR(INDEX(Produtos!$C$4:$C$4996,MATCH(D5141,Produtos!$B$4:$B$4996,0)),"Produto não encontrado"),"")</f>
        <v/>
      </c>
    </row>
    <row r="5142" spans="1:5" x14ac:dyDescent="0.3">
      <c r="A5142" s="21" t="str">
        <f t="shared" si="80"/>
        <v>.</v>
      </c>
      <c r="D5142" s="44"/>
      <c r="E5142" s="22" t="str">
        <f>IF(D5142&lt;&gt;"",IFERROR(INDEX(Produtos!$C$4:$C$4996,MATCH(D5142,Produtos!$B$4:$B$4996,0)),"Produto não encontrado"),"")</f>
        <v/>
      </c>
    </row>
    <row r="5143" spans="1:5" x14ac:dyDescent="0.3">
      <c r="A5143" s="21" t="str">
        <f t="shared" si="80"/>
        <v>.</v>
      </c>
      <c r="D5143" s="44"/>
      <c r="E5143" s="22" t="str">
        <f>IF(D5143&lt;&gt;"",IFERROR(INDEX(Produtos!$C$4:$C$4996,MATCH(D5143,Produtos!$B$4:$B$4996,0)),"Produto não encontrado"),"")</f>
        <v/>
      </c>
    </row>
    <row r="5144" spans="1:5" x14ac:dyDescent="0.3">
      <c r="A5144" s="21" t="str">
        <f t="shared" si="80"/>
        <v>.</v>
      </c>
      <c r="D5144" s="44"/>
      <c r="E5144" s="22" t="str">
        <f>IF(D5144&lt;&gt;"",IFERROR(INDEX(Produtos!$C$4:$C$4996,MATCH(D5144,Produtos!$B$4:$B$4996,0)),"Produto não encontrado"),"")</f>
        <v/>
      </c>
    </row>
    <row r="5145" spans="1:5" x14ac:dyDescent="0.3">
      <c r="A5145" s="21" t="str">
        <f t="shared" si="80"/>
        <v>.</v>
      </c>
      <c r="D5145" s="44"/>
      <c r="E5145" s="22" t="str">
        <f>IF(D5145&lt;&gt;"",IFERROR(INDEX(Produtos!$C$4:$C$4996,MATCH(D5145,Produtos!$B$4:$B$4996,0)),"Produto não encontrado"),"")</f>
        <v/>
      </c>
    </row>
    <row r="5146" spans="1:5" x14ac:dyDescent="0.3">
      <c r="A5146" s="21" t="str">
        <f t="shared" si="80"/>
        <v>.</v>
      </c>
      <c r="D5146" s="44"/>
      <c r="E5146" s="22" t="str">
        <f>IF(D5146&lt;&gt;"",IFERROR(INDEX(Produtos!$C$4:$C$4996,MATCH(D5146,Produtos!$B$4:$B$4996,0)),"Produto não encontrado"),"")</f>
        <v/>
      </c>
    </row>
    <row r="5147" spans="1:5" x14ac:dyDescent="0.3">
      <c r="A5147" s="21" t="str">
        <f t="shared" si="80"/>
        <v>.</v>
      </c>
      <c r="D5147" s="44"/>
      <c r="E5147" s="22" t="str">
        <f>IF(D5147&lt;&gt;"",IFERROR(INDEX(Produtos!$C$4:$C$4996,MATCH(D5147,Produtos!$B$4:$B$4996,0)),"Produto não encontrado"),"")</f>
        <v/>
      </c>
    </row>
    <row r="5148" spans="1:5" x14ac:dyDescent="0.3">
      <c r="A5148" s="21" t="str">
        <f t="shared" si="80"/>
        <v>.</v>
      </c>
      <c r="D5148" s="44"/>
      <c r="E5148" s="22" t="str">
        <f>IF(D5148&lt;&gt;"",IFERROR(INDEX(Produtos!$C$4:$C$4996,MATCH(D5148,Produtos!$B$4:$B$4996,0)),"Produto não encontrado"),"")</f>
        <v/>
      </c>
    </row>
    <row r="5149" spans="1:5" x14ac:dyDescent="0.3">
      <c r="A5149" s="21" t="str">
        <f t="shared" si="80"/>
        <v>.</v>
      </c>
      <c r="D5149" s="44"/>
      <c r="E5149" s="22" t="str">
        <f>IF(D5149&lt;&gt;"",IFERROR(INDEX(Produtos!$C$4:$C$4996,MATCH(D5149,Produtos!$B$4:$B$4996,0)),"Produto não encontrado"),"")</f>
        <v/>
      </c>
    </row>
    <row r="5150" spans="1:5" x14ac:dyDescent="0.3">
      <c r="A5150" s="21" t="str">
        <f t="shared" si="80"/>
        <v>.</v>
      </c>
      <c r="D5150" s="44"/>
      <c r="E5150" s="22" t="str">
        <f>IF(D5150&lt;&gt;"",IFERROR(INDEX(Produtos!$C$4:$C$4996,MATCH(D5150,Produtos!$B$4:$B$4996,0)),"Produto não encontrado"),"")</f>
        <v/>
      </c>
    </row>
    <row r="5151" spans="1:5" x14ac:dyDescent="0.3">
      <c r="A5151" s="21" t="str">
        <f t="shared" si="80"/>
        <v>.</v>
      </c>
      <c r="D5151" s="44"/>
      <c r="E5151" s="22" t="str">
        <f>IF(D5151&lt;&gt;"",IFERROR(INDEX(Produtos!$C$4:$C$4996,MATCH(D5151,Produtos!$B$4:$B$4996,0)),"Produto não encontrado"),"")</f>
        <v/>
      </c>
    </row>
    <row r="5152" spans="1:5" x14ac:dyDescent="0.3">
      <c r="A5152" s="21" t="str">
        <f t="shared" si="80"/>
        <v>.</v>
      </c>
      <c r="D5152" s="44"/>
      <c r="E5152" s="22" t="str">
        <f>IF(D5152&lt;&gt;"",IFERROR(INDEX(Produtos!$C$4:$C$4996,MATCH(D5152,Produtos!$B$4:$B$4996,0)),"Produto não encontrado"),"")</f>
        <v/>
      </c>
    </row>
    <row r="5153" spans="1:5" x14ac:dyDescent="0.3">
      <c r="A5153" s="21" t="str">
        <f t="shared" si="80"/>
        <v>.</v>
      </c>
      <c r="D5153" s="44"/>
      <c r="E5153" s="22" t="str">
        <f>IF(D5153&lt;&gt;"",IFERROR(INDEX(Produtos!$C$4:$C$4996,MATCH(D5153,Produtos!$B$4:$B$4996,0)),"Produto não encontrado"),"")</f>
        <v/>
      </c>
    </row>
    <row r="5154" spans="1:5" x14ac:dyDescent="0.3">
      <c r="A5154" s="21" t="str">
        <f t="shared" si="80"/>
        <v>.</v>
      </c>
      <c r="D5154" s="44"/>
      <c r="E5154" s="22" t="str">
        <f>IF(D5154&lt;&gt;"",IFERROR(INDEX(Produtos!$C$4:$C$4996,MATCH(D5154,Produtos!$B$4:$B$4996,0)),"Produto não encontrado"),"")</f>
        <v/>
      </c>
    </row>
    <row r="5155" spans="1:5" x14ac:dyDescent="0.3">
      <c r="A5155" s="21" t="str">
        <f t="shared" si="80"/>
        <v>.</v>
      </c>
      <c r="D5155" s="44"/>
      <c r="E5155" s="22" t="str">
        <f>IF(D5155&lt;&gt;"",IFERROR(INDEX(Produtos!$C$4:$C$4996,MATCH(D5155,Produtos!$B$4:$B$4996,0)),"Produto não encontrado"),"")</f>
        <v/>
      </c>
    </row>
    <row r="5156" spans="1:5" x14ac:dyDescent="0.3">
      <c r="A5156" s="21" t="str">
        <f t="shared" si="80"/>
        <v>.</v>
      </c>
      <c r="D5156" s="44"/>
      <c r="E5156" s="22" t="str">
        <f>IF(D5156&lt;&gt;"",IFERROR(INDEX(Produtos!$C$4:$C$4996,MATCH(D5156,Produtos!$B$4:$B$4996,0)),"Produto não encontrado"),"")</f>
        <v/>
      </c>
    </row>
    <row r="5157" spans="1:5" x14ac:dyDescent="0.3">
      <c r="A5157" s="21" t="str">
        <f t="shared" si="80"/>
        <v>.</v>
      </c>
      <c r="D5157" s="44"/>
      <c r="E5157" s="22" t="str">
        <f>IF(D5157&lt;&gt;"",IFERROR(INDEX(Produtos!$C$4:$C$4996,MATCH(D5157,Produtos!$B$4:$B$4996,0)),"Produto não encontrado"),"")</f>
        <v/>
      </c>
    </row>
    <row r="5158" spans="1:5" x14ac:dyDescent="0.3">
      <c r="A5158" s="21" t="str">
        <f t="shared" si="80"/>
        <v>.</v>
      </c>
      <c r="D5158" s="44"/>
      <c r="E5158" s="22" t="str">
        <f>IF(D5158&lt;&gt;"",IFERROR(INDEX(Produtos!$C$4:$C$4996,MATCH(D5158,Produtos!$B$4:$B$4996,0)),"Produto não encontrado"),"")</f>
        <v/>
      </c>
    </row>
    <row r="5159" spans="1:5" x14ac:dyDescent="0.3">
      <c r="A5159" s="21" t="str">
        <f t="shared" si="80"/>
        <v>.</v>
      </c>
      <c r="D5159" s="44"/>
      <c r="E5159" s="22" t="str">
        <f>IF(D5159&lt;&gt;"",IFERROR(INDEX(Produtos!$C$4:$C$4996,MATCH(D5159,Produtos!$B$4:$B$4996,0)),"Produto não encontrado"),"")</f>
        <v/>
      </c>
    </row>
    <row r="5160" spans="1:5" x14ac:dyDescent="0.3">
      <c r="A5160" s="21" t="str">
        <f t="shared" si="80"/>
        <v>.</v>
      </c>
      <c r="D5160" s="44"/>
      <c r="E5160" s="22" t="str">
        <f>IF(D5160&lt;&gt;"",IFERROR(INDEX(Produtos!$C$4:$C$4996,MATCH(D5160,Produtos!$B$4:$B$4996,0)),"Produto não encontrado"),"")</f>
        <v/>
      </c>
    </row>
    <row r="5161" spans="1:5" x14ac:dyDescent="0.3">
      <c r="A5161" s="21" t="str">
        <f t="shared" si="80"/>
        <v>.</v>
      </c>
      <c r="D5161" s="44"/>
      <c r="E5161" s="22" t="str">
        <f>IF(D5161&lt;&gt;"",IFERROR(INDEX(Produtos!$C$4:$C$4996,MATCH(D5161,Produtos!$B$4:$B$4996,0)),"Produto não encontrado"),"")</f>
        <v/>
      </c>
    </row>
    <row r="5162" spans="1:5" x14ac:dyDescent="0.3">
      <c r="A5162" s="21" t="str">
        <f t="shared" si="80"/>
        <v>.</v>
      </c>
      <c r="D5162" s="44"/>
      <c r="E5162" s="22" t="str">
        <f>IF(D5162&lt;&gt;"",IFERROR(INDEX(Produtos!$C$4:$C$4996,MATCH(D5162,Produtos!$B$4:$B$4996,0)),"Produto não encontrado"),"")</f>
        <v/>
      </c>
    </row>
    <row r="5163" spans="1:5" x14ac:dyDescent="0.3">
      <c r="A5163" s="21" t="str">
        <f t="shared" si="80"/>
        <v>.</v>
      </c>
      <c r="D5163" s="44"/>
      <c r="E5163" s="22" t="str">
        <f>IF(D5163&lt;&gt;"",IFERROR(INDEX(Produtos!$C$4:$C$4996,MATCH(D5163,Produtos!$B$4:$B$4996,0)),"Produto não encontrado"),"")</f>
        <v/>
      </c>
    </row>
    <row r="5164" spans="1:5" x14ac:dyDescent="0.3">
      <c r="A5164" s="21" t="str">
        <f t="shared" si="80"/>
        <v>.</v>
      </c>
      <c r="D5164" s="44"/>
      <c r="E5164" s="22" t="str">
        <f>IF(D5164&lt;&gt;"",IFERROR(INDEX(Produtos!$C$4:$C$4996,MATCH(D5164,Produtos!$B$4:$B$4996,0)),"Produto não encontrado"),"")</f>
        <v/>
      </c>
    </row>
    <row r="5165" spans="1:5" x14ac:dyDescent="0.3">
      <c r="A5165" s="21" t="str">
        <f t="shared" si="80"/>
        <v>.</v>
      </c>
      <c r="D5165" s="44"/>
      <c r="E5165" s="22" t="str">
        <f>IF(D5165&lt;&gt;"",IFERROR(INDEX(Produtos!$C$4:$C$4996,MATCH(D5165,Produtos!$B$4:$B$4996,0)),"Produto não encontrado"),"")</f>
        <v/>
      </c>
    </row>
    <row r="5166" spans="1:5" x14ac:dyDescent="0.3">
      <c r="A5166" s="21" t="str">
        <f t="shared" si="80"/>
        <v>.</v>
      </c>
      <c r="D5166" s="44"/>
      <c r="E5166" s="22" t="str">
        <f>IF(D5166&lt;&gt;"",IFERROR(INDEX(Produtos!$C$4:$C$4996,MATCH(D5166,Produtos!$B$4:$B$4996,0)),"Produto não encontrado"),"")</f>
        <v/>
      </c>
    </row>
    <row r="5167" spans="1:5" x14ac:dyDescent="0.3">
      <c r="A5167" s="21" t="str">
        <f t="shared" si="80"/>
        <v>.</v>
      </c>
      <c r="D5167" s="44"/>
      <c r="E5167" s="22" t="str">
        <f>IF(D5167&lt;&gt;"",IFERROR(INDEX(Produtos!$C$4:$C$4996,MATCH(D5167,Produtos!$B$4:$B$4996,0)),"Produto não encontrado"),"")</f>
        <v/>
      </c>
    </row>
    <row r="5168" spans="1:5" x14ac:dyDescent="0.3">
      <c r="A5168" s="21" t="str">
        <f t="shared" si="80"/>
        <v>.</v>
      </c>
      <c r="D5168" s="44"/>
      <c r="E5168" s="22" t="str">
        <f>IF(D5168&lt;&gt;"",IFERROR(INDEX(Produtos!$C$4:$C$4996,MATCH(D5168,Produtos!$B$4:$B$4996,0)),"Produto não encontrado"),"")</f>
        <v/>
      </c>
    </row>
    <row r="5169" spans="1:5" x14ac:dyDescent="0.3">
      <c r="A5169" s="21" t="str">
        <f t="shared" si="80"/>
        <v>.</v>
      </c>
      <c r="D5169" s="44"/>
      <c r="E5169" s="22" t="str">
        <f>IF(D5169&lt;&gt;"",IFERROR(INDEX(Produtos!$C$4:$C$4996,MATCH(D5169,Produtos!$B$4:$B$4996,0)),"Produto não encontrado"),"")</f>
        <v/>
      </c>
    </row>
    <row r="5170" spans="1:5" x14ac:dyDescent="0.3">
      <c r="A5170" s="21" t="str">
        <f t="shared" si="80"/>
        <v>.</v>
      </c>
      <c r="D5170" s="44"/>
      <c r="E5170" s="22" t="str">
        <f>IF(D5170&lt;&gt;"",IFERROR(INDEX(Produtos!$C$4:$C$4996,MATCH(D5170,Produtos!$B$4:$B$4996,0)),"Produto não encontrado"),"")</f>
        <v/>
      </c>
    </row>
    <row r="5171" spans="1:5" x14ac:dyDescent="0.3">
      <c r="A5171" s="21" t="str">
        <f t="shared" si="80"/>
        <v>.</v>
      </c>
      <c r="D5171" s="44"/>
      <c r="E5171" s="22" t="str">
        <f>IF(D5171&lt;&gt;"",IFERROR(INDEX(Produtos!$C$4:$C$4996,MATCH(D5171,Produtos!$B$4:$B$4996,0)),"Produto não encontrado"),"")</f>
        <v/>
      </c>
    </row>
    <row r="5172" spans="1:5" x14ac:dyDescent="0.3">
      <c r="A5172" s="21" t="str">
        <f t="shared" si="80"/>
        <v>.</v>
      </c>
      <c r="D5172" s="44"/>
      <c r="E5172" s="22" t="str">
        <f>IF(D5172&lt;&gt;"",IFERROR(INDEX(Produtos!$C$4:$C$4996,MATCH(D5172,Produtos!$B$4:$B$4996,0)),"Produto não encontrado"),"")</f>
        <v/>
      </c>
    </row>
    <row r="5173" spans="1:5" x14ac:dyDescent="0.3">
      <c r="A5173" s="21" t="str">
        <f t="shared" si="80"/>
        <v>.</v>
      </c>
      <c r="D5173" s="44"/>
      <c r="E5173" s="22" t="str">
        <f>IF(D5173&lt;&gt;"",IFERROR(INDEX(Produtos!$C$4:$C$4996,MATCH(D5173,Produtos!$B$4:$B$4996,0)),"Produto não encontrado"),"")</f>
        <v/>
      </c>
    </row>
    <row r="5174" spans="1:5" x14ac:dyDescent="0.3">
      <c r="A5174" s="21" t="str">
        <f t="shared" si="80"/>
        <v>.</v>
      </c>
      <c r="D5174" s="44"/>
      <c r="E5174" s="22" t="str">
        <f>IF(D5174&lt;&gt;"",IFERROR(INDEX(Produtos!$C$4:$C$4996,MATCH(D5174,Produtos!$B$4:$B$4996,0)),"Produto não encontrado"),"")</f>
        <v/>
      </c>
    </row>
    <row r="5175" spans="1:5" x14ac:dyDescent="0.3">
      <c r="A5175" s="21" t="str">
        <f t="shared" si="80"/>
        <v>.</v>
      </c>
      <c r="D5175" s="44"/>
      <c r="E5175" s="22" t="str">
        <f>IF(D5175&lt;&gt;"",IFERROR(INDEX(Produtos!$C$4:$C$4996,MATCH(D5175,Produtos!$B$4:$B$4996,0)),"Produto não encontrado"),"")</f>
        <v/>
      </c>
    </row>
    <row r="5176" spans="1:5" x14ac:dyDescent="0.3">
      <c r="A5176" s="21" t="str">
        <f t="shared" si="80"/>
        <v>.</v>
      </c>
      <c r="D5176" s="44"/>
      <c r="E5176" s="22" t="str">
        <f>IF(D5176&lt;&gt;"",IFERROR(INDEX(Produtos!$C$4:$C$4996,MATCH(D5176,Produtos!$B$4:$B$4996,0)),"Produto não encontrado"),"")</f>
        <v/>
      </c>
    </row>
    <row r="5177" spans="1:5" x14ac:dyDescent="0.3">
      <c r="A5177" s="21" t="str">
        <f t="shared" si="80"/>
        <v>.</v>
      </c>
      <c r="D5177" s="44"/>
      <c r="E5177" s="22" t="str">
        <f>IF(D5177&lt;&gt;"",IFERROR(INDEX(Produtos!$C$4:$C$4996,MATCH(D5177,Produtos!$B$4:$B$4996,0)),"Produto não encontrado"),"")</f>
        <v/>
      </c>
    </row>
    <row r="5178" spans="1:5" x14ac:dyDescent="0.3">
      <c r="A5178" s="21" t="str">
        <f t="shared" si="80"/>
        <v>.</v>
      </c>
      <c r="D5178" s="44"/>
      <c r="E5178" s="22" t="str">
        <f>IF(D5178&lt;&gt;"",IFERROR(INDEX(Produtos!$C$4:$C$4996,MATCH(D5178,Produtos!$B$4:$B$4996,0)),"Produto não encontrado"),"")</f>
        <v/>
      </c>
    </row>
    <row r="5179" spans="1:5" x14ac:dyDescent="0.3">
      <c r="A5179" s="21" t="str">
        <f t="shared" si="80"/>
        <v>.</v>
      </c>
      <c r="D5179" s="44"/>
      <c r="E5179" s="22" t="str">
        <f>IF(D5179&lt;&gt;"",IFERROR(INDEX(Produtos!$C$4:$C$4996,MATCH(D5179,Produtos!$B$4:$B$4996,0)),"Produto não encontrado"),"")</f>
        <v/>
      </c>
    </row>
    <row r="5180" spans="1:5" x14ac:dyDescent="0.3">
      <c r="A5180" s="21" t="str">
        <f t="shared" si="80"/>
        <v>.</v>
      </c>
      <c r="D5180" s="44"/>
      <c r="E5180" s="22" t="str">
        <f>IF(D5180&lt;&gt;"",IFERROR(INDEX(Produtos!$C$4:$C$4996,MATCH(D5180,Produtos!$B$4:$B$4996,0)),"Produto não encontrado"),"")</f>
        <v/>
      </c>
    </row>
    <row r="5181" spans="1:5" x14ac:dyDescent="0.3">
      <c r="A5181" s="21" t="str">
        <f t="shared" si="80"/>
        <v>.</v>
      </c>
      <c r="D5181" s="44"/>
      <c r="E5181" s="22" t="str">
        <f>IF(D5181&lt;&gt;"",IFERROR(INDEX(Produtos!$C$4:$C$4996,MATCH(D5181,Produtos!$B$4:$B$4996,0)),"Produto não encontrado"),"")</f>
        <v/>
      </c>
    </row>
    <row r="5182" spans="1:5" x14ac:dyDescent="0.3">
      <c r="A5182" s="21" t="str">
        <f t="shared" si="80"/>
        <v>.</v>
      </c>
      <c r="D5182" s="44"/>
      <c r="E5182" s="22" t="str">
        <f>IF(D5182&lt;&gt;"",IFERROR(INDEX(Produtos!$C$4:$C$4996,MATCH(D5182,Produtos!$B$4:$B$4996,0)),"Produto não encontrado"),"")</f>
        <v/>
      </c>
    </row>
    <row r="5183" spans="1:5" x14ac:dyDescent="0.3">
      <c r="A5183" s="21" t="str">
        <f t="shared" si="80"/>
        <v>.</v>
      </c>
      <c r="D5183" s="44"/>
      <c r="E5183" s="22" t="str">
        <f>IF(D5183&lt;&gt;"",IFERROR(INDEX(Produtos!$C$4:$C$4996,MATCH(D5183,Produtos!$B$4:$B$4996,0)),"Produto não encontrado"),"")</f>
        <v/>
      </c>
    </row>
    <row r="5184" spans="1:5" x14ac:dyDescent="0.3">
      <c r="A5184" s="21" t="str">
        <f t="shared" ref="A5184:A5247" si="81">IF(C5184="Entrada",2,IF(C5184="Saída",1,"."))</f>
        <v>.</v>
      </c>
      <c r="D5184" s="44"/>
      <c r="E5184" s="22" t="str">
        <f>IF(D5184&lt;&gt;"",IFERROR(INDEX(Produtos!$C$4:$C$4996,MATCH(D5184,Produtos!$B$4:$B$4996,0)),"Produto não encontrado"),"")</f>
        <v/>
      </c>
    </row>
    <row r="5185" spans="1:5" x14ac:dyDescent="0.3">
      <c r="A5185" s="21" t="str">
        <f t="shared" si="81"/>
        <v>.</v>
      </c>
      <c r="D5185" s="44"/>
      <c r="E5185" s="22" t="str">
        <f>IF(D5185&lt;&gt;"",IFERROR(INDEX(Produtos!$C$4:$C$4996,MATCH(D5185,Produtos!$B$4:$B$4996,0)),"Produto não encontrado"),"")</f>
        <v/>
      </c>
    </row>
    <row r="5186" spans="1:5" x14ac:dyDescent="0.3">
      <c r="A5186" s="21" t="str">
        <f t="shared" si="81"/>
        <v>.</v>
      </c>
      <c r="D5186" s="44"/>
      <c r="E5186" s="22" t="str">
        <f>IF(D5186&lt;&gt;"",IFERROR(INDEX(Produtos!$C$4:$C$4996,MATCH(D5186,Produtos!$B$4:$B$4996,0)),"Produto não encontrado"),"")</f>
        <v/>
      </c>
    </row>
    <row r="5187" spans="1:5" x14ac:dyDescent="0.3">
      <c r="A5187" s="21" t="str">
        <f t="shared" si="81"/>
        <v>.</v>
      </c>
      <c r="D5187" s="44"/>
      <c r="E5187" s="22" t="str">
        <f>IF(D5187&lt;&gt;"",IFERROR(INDEX(Produtos!$C$4:$C$4996,MATCH(D5187,Produtos!$B$4:$B$4996,0)),"Produto não encontrado"),"")</f>
        <v/>
      </c>
    </row>
    <row r="5188" spans="1:5" x14ac:dyDescent="0.3">
      <c r="A5188" s="21" t="str">
        <f t="shared" si="81"/>
        <v>.</v>
      </c>
      <c r="D5188" s="44"/>
      <c r="E5188" s="22" t="str">
        <f>IF(D5188&lt;&gt;"",IFERROR(INDEX(Produtos!$C$4:$C$4996,MATCH(D5188,Produtos!$B$4:$B$4996,0)),"Produto não encontrado"),"")</f>
        <v/>
      </c>
    </row>
    <row r="5189" spans="1:5" x14ac:dyDescent="0.3">
      <c r="A5189" s="21" t="str">
        <f t="shared" si="81"/>
        <v>.</v>
      </c>
      <c r="D5189" s="44"/>
      <c r="E5189" s="22" t="str">
        <f>IF(D5189&lt;&gt;"",IFERROR(INDEX(Produtos!$C$4:$C$4996,MATCH(D5189,Produtos!$B$4:$B$4996,0)),"Produto não encontrado"),"")</f>
        <v/>
      </c>
    </row>
    <row r="5190" spans="1:5" x14ac:dyDescent="0.3">
      <c r="A5190" s="21" t="str">
        <f t="shared" si="81"/>
        <v>.</v>
      </c>
      <c r="D5190" s="44"/>
      <c r="E5190" s="22" t="str">
        <f>IF(D5190&lt;&gt;"",IFERROR(INDEX(Produtos!$C$4:$C$4996,MATCH(D5190,Produtos!$B$4:$B$4996,0)),"Produto não encontrado"),"")</f>
        <v/>
      </c>
    </row>
    <row r="5191" spans="1:5" x14ac:dyDescent="0.3">
      <c r="A5191" s="21" t="str">
        <f t="shared" si="81"/>
        <v>.</v>
      </c>
      <c r="D5191" s="44"/>
      <c r="E5191" s="22" t="str">
        <f>IF(D5191&lt;&gt;"",IFERROR(INDEX(Produtos!$C$4:$C$4996,MATCH(D5191,Produtos!$B$4:$B$4996,0)),"Produto não encontrado"),"")</f>
        <v/>
      </c>
    </row>
    <row r="5192" spans="1:5" x14ac:dyDescent="0.3">
      <c r="A5192" s="21" t="str">
        <f t="shared" si="81"/>
        <v>.</v>
      </c>
      <c r="D5192" s="44"/>
      <c r="E5192" s="22" t="str">
        <f>IF(D5192&lt;&gt;"",IFERROR(INDEX(Produtos!$C$4:$C$4996,MATCH(D5192,Produtos!$B$4:$B$4996,0)),"Produto não encontrado"),"")</f>
        <v/>
      </c>
    </row>
    <row r="5193" spans="1:5" x14ac:dyDescent="0.3">
      <c r="A5193" s="21" t="str">
        <f t="shared" si="81"/>
        <v>.</v>
      </c>
      <c r="D5193" s="44"/>
      <c r="E5193" s="22" t="str">
        <f>IF(D5193&lt;&gt;"",IFERROR(INDEX(Produtos!$C$4:$C$4996,MATCH(D5193,Produtos!$B$4:$B$4996,0)),"Produto não encontrado"),"")</f>
        <v/>
      </c>
    </row>
    <row r="5194" spans="1:5" x14ac:dyDescent="0.3">
      <c r="A5194" s="21" t="str">
        <f t="shared" si="81"/>
        <v>.</v>
      </c>
      <c r="D5194" s="44"/>
      <c r="E5194" s="22" t="str">
        <f>IF(D5194&lt;&gt;"",IFERROR(INDEX(Produtos!$C$4:$C$4996,MATCH(D5194,Produtos!$B$4:$B$4996,0)),"Produto não encontrado"),"")</f>
        <v/>
      </c>
    </row>
    <row r="5195" spans="1:5" x14ac:dyDescent="0.3">
      <c r="A5195" s="21" t="str">
        <f t="shared" si="81"/>
        <v>.</v>
      </c>
      <c r="D5195" s="44"/>
      <c r="E5195" s="22" t="str">
        <f>IF(D5195&lt;&gt;"",IFERROR(INDEX(Produtos!$C$4:$C$4996,MATCH(D5195,Produtos!$B$4:$B$4996,0)),"Produto não encontrado"),"")</f>
        <v/>
      </c>
    </row>
    <row r="5196" spans="1:5" x14ac:dyDescent="0.3">
      <c r="A5196" s="21" t="str">
        <f t="shared" si="81"/>
        <v>.</v>
      </c>
      <c r="D5196" s="44"/>
      <c r="E5196" s="22" t="str">
        <f>IF(D5196&lt;&gt;"",IFERROR(INDEX(Produtos!$C$4:$C$4996,MATCH(D5196,Produtos!$B$4:$B$4996,0)),"Produto não encontrado"),"")</f>
        <v/>
      </c>
    </row>
    <row r="5197" spans="1:5" x14ac:dyDescent="0.3">
      <c r="A5197" s="21" t="str">
        <f t="shared" si="81"/>
        <v>.</v>
      </c>
      <c r="D5197" s="44"/>
      <c r="E5197" s="22" t="str">
        <f>IF(D5197&lt;&gt;"",IFERROR(INDEX(Produtos!$C$4:$C$4996,MATCH(D5197,Produtos!$B$4:$B$4996,0)),"Produto não encontrado"),"")</f>
        <v/>
      </c>
    </row>
    <row r="5198" spans="1:5" x14ac:dyDescent="0.3">
      <c r="A5198" s="21" t="str">
        <f t="shared" si="81"/>
        <v>.</v>
      </c>
      <c r="D5198" s="44"/>
      <c r="E5198" s="22" t="str">
        <f>IF(D5198&lt;&gt;"",IFERROR(INDEX(Produtos!$C$4:$C$4996,MATCH(D5198,Produtos!$B$4:$B$4996,0)),"Produto não encontrado"),"")</f>
        <v/>
      </c>
    </row>
    <row r="5199" spans="1:5" x14ac:dyDescent="0.3">
      <c r="A5199" s="21" t="str">
        <f t="shared" si="81"/>
        <v>.</v>
      </c>
      <c r="D5199" s="44"/>
      <c r="E5199" s="22" t="str">
        <f>IF(D5199&lt;&gt;"",IFERROR(INDEX(Produtos!$C$4:$C$4996,MATCH(D5199,Produtos!$B$4:$B$4996,0)),"Produto não encontrado"),"")</f>
        <v/>
      </c>
    </row>
    <row r="5200" spans="1:5" x14ac:dyDescent="0.3">
      <c r="A5200" s="21" t="str">
        <f t="shared" si="81"/>
        <v>.</v>
      </c>
      <c r="D5200" s="44"/>
      <c r="E5200" s="22" t="str">
        <f>IF(D5200&lt;&gt;"",IFERROR(INDEX(Produtos!$C$4:$C$4996,MATCH(D5200,Produtos!$B$4:$B$4996,0)),"Produto não encontrado"),"")</f>
        <v/>
      </c>
    </row>
    <row r="5201" spans="1:5" x14ac:dyDescent="0.3">
      <c r="A5201" s="21" t="str">
        <f t="shared" si="81"/>
        <v>.</v>
      </c>
      <c r="D5201" s="44"/>
      <c r="E5201" s="22" t="str">
        <f>IF(D5201&lt;&gt;"",IFERROR(INDEX(Produtos!$C$4:$C$4996,MATCH(D5201,Produtos!$B$4:$B$4996,0)),"Produto não encontrado"),"")</f>
        <v/>
      </c>
    </row>
    <row r="5202" spans="1:5" x14ac:dyDescent="0.3">
      <c r="A5202" s="21" t="str">
        <f t="shared" si="81"/>
        <v>.</v>
      </c>
      <c r="D5202" s="44"/>
      <c r="E5202" s="22" t="str">
        <f>IF(D5202&lt;&gt;"",IFERROR(INDEX(Produtos!$C$4:$C$4996,MATCH(D5202,Produtos!$B$4:$B$4996,0)),"Produto não encontrado"),"")</f>
        <v/>
      </c>
    </row>
    <row r="5203" spans="1:5" x14ac:dyDescent="0.3">
      <c r="A5203" s="21" t="str">
        <f t="shared" si="81"/>
        <v>.</v>
      </c>
      <c r="D5203" s="44"/>
      <c r="E5203" s="22" t="str">
        <f>IF(D5203&lt;&gt;"",IFERROR(INDEX(Produtos!$C$4:$C$4996,MATCH(D5203,Produtos!$B$4:$B$4996,0)),"Produto não encontrado"),"")</f>
        <v/>
      </c>
    </row>
    <row r="5204" spans="1:5" x14ac:dyDescent="0.3">
      <c r="A5204" s="21" t="str">
        <f t="shared" si="81"/>
        <v>.</v>
      </c>
      <c r="D5204" s="44"/>
      <c r="E5204" s="22" t="str">
        <f>IF(D5204&lt;&gt;"",IFERROR(INDEX(Produtos!$C$4:$C$4996,MATCH(D5204,Produtos!$B$4:$B$4996,0)),"Produto não encontrado"),"")</f>
        <v/>
      </c>
    </row>
    <row r="5205" spans="1:5" x14ac:dyDescent="0.3">
      <c r="A5205" s="21" t="str">
        <f t="shared" si="81"/>
        <v>.</v>
      </c>
      <c r="D5205" s="44"/>
      <c r="E5205" s="22" t="str">
        <f>IF(D5205&lt;&gt;"",IFERROR(INDEX(Produtos!$C$4:$C$4996,MATCH(D5205,Produtos!$B$4:$B$4996,0)),"Produto não encontrado"),"")</f>
        <v/>
      </c>
    </row>
    <row r="5206" spans="1:5" x14ac:dyDescent="0.3">
      <c r="A5206" s="21" t="str">
        <f t="shared" si="81"/>
        <v>.</v>
      </c>
      <c r="D5206" s="44"/>
      <c r="E5206" s="22" t="str">
        <f>IF(D5206&lt;&gt;"",IFERROR(INDEX(Produtos!$C$4:$C$4996,MATCH(D5206,Produtos!$B$4:$B$4996,0)),"Produto não encontrado"),"")</f>
        <v/>
      </c>
    </row>
    <row r="5207" spans="1:5" x14ac:dyDescent="0.3">
      <c r="A5207" s="21" t="str">
        <f t="shared" si="81"/>
        <v>.</v>
      </c>
      <c r="D5207" s="44"/>
      <c r="E5207" s="22" t="str">
        <f>IF(D5207&lt;&gt;"",IFERROR(INDEX(Produtos!$C$4:$C$4996,MATCH(D5207,Produtos!$B$4:$B$4996,0)),"Produto não encontrado"),"")</f>
        <v/>
      </c>
    </row>
    <row r="5208" spans="1:5" x14ac:dyDescent="0.3">
      <c r="A5208" s="21" t="str">
        <f t="shared" si="81"/>
        <v>.</v>
      </c>
      <c r="D5208" s="44"/>
      <c r="E5208" s="22" t="str">
        <f>IF(D5208&lt;&gt;"",IFERROR(INDEX(Produtos!$C$4:$C$4996,MATCH(D5208,Produtos!$B$4:$B$4996,0)),"Produto não encontrado"),"")</f>
        <v/>
      </c>
    </row>
    <row r="5209" spans="1:5" x14ac:dyDescent="0.3">
      <c r="A5209" s="21" t="str">
        <f t="shared" si="81"/>
        <v>.</v>
      </c>
      <c r="D5209" s="44"/>
      <c r="E5209" s="22" t="str">
        <f>IF(D5209&lt;&gt;"",IFERROR(INDEX(Produtos!$C$4:$C$4996,MATCH(D5209,Produtos!$B$4:$B$4996,0)),"Produto não encontrado"),"")</f>
        <v/>
      </c>
    </row>
    <row r="5210" spans="1:5" x14ac:dyDescent="0.3">
      <c r="A5210" s="21" t="str">
        <f t="shared" si="81"/>
        <v>.</v>
      </c>
      <c r="D5210" s="44"/>
      <c r="E5210" s="22" t="str">
        <f>IF(D5210&lt;&gt;"",IFERROR(INDEX(Produtos!$C$4:$C$4996,MATCH(D5210,Produtos!$B$4:$B$4996,0)),"Produto não encontrado"),"")</f>
        <v/>
      </c>
    </row>
    <row r="5211" spans="1:5" x14ac:dyDescent="0.3">
      <c r="A5211" s="21" t="str">
        <f t="shared" si="81"/>
        <v>.</v>
      </c>
      <c r="D5211" s="44"/>
      <c r="E5211" s="22" t="str">
        <f>IF(D5211&lt;&gt;"",IFERROR(INDEX(Produtos!$C$4:$C$4996,MATCH(D5211,Produtos!$B$4:$B$4996,0)),"Produto não encontrado"),"")</f>
        <v/>
      </c>
    </row>
    <row r="5212" spans="1:5" x14ac:dyDescent="0.3">
      <c r="A5212" s="21" t="str">
        <f t="shared" si="81"/>
        <v>.</v>
      </c>
      <c r="D5212" s="44"/>
      <c r="E5212" s="22" t="str">
        <f>IF(D5212&lt;&gt;"",IFERROR(INDEX(Produtos!$C$4:$C$4996,MATCH(D5212,Produtos!$B$4:$B$4996,0)),"Produto não encontrado"),"")</f>
        <v/>
      </c>
    </row>
    <row r="5213" spans="1:5" x14ac:dyDescent="0.3">
      <c r="A5213" s="21" t="str">
        <f t="shared" si="81"/>
        <v>.</v>
      </c>
      <c r="D5213" s="44"/>
      <c r="E5213" s="22" t="str">
        <f>IF(D5213&lt;&gt;"",IFERROR(INDEX(Produtos!$C$4:$C$4996,MATCH(D5213,Produtos!$B$4:$B$4996,0)),"Produto não encontrado"),"")</f>
        <v/>
      </c>
    </row>
    <row r="5214" spans="1:5" x14ac:dyDescent="0.3">
      <c r="A5214" s="21" t="str">
        <f t="shared" si="81"/>
        <v>.</v>
      </c>
      <c r="D5214" s="44"/>
      <c r="E5214" s="22" t="str">
        <f>IF(D5214&lt;&gt;"",IFERROR(INDEX(Produtos!$C$4:$C$4996,MATCH(D5214,Produtos!$B$4:$B$4996,0)),"Produto não encontrado"),"")</f>
        <v/>
      </c>
    </row>
    <row r="5215" spans="1:5" x14ac:dyDescent="0.3">
      <c r="A5215" s="21" t="str">
        <f t="shared" si="81"/>
        <v>.</v>
      </c>
      <c r="D5215" s="44"/>
      <c r="E5215" s="22" t="str">
        <f>IF(D5215&lt;&gt;"",IFERROR(INDEX(Produtos!$C$4:$C$4996,MATCH(D5215,Produtos!$B$4:$B$4996,0)),"Produto não encontrado"),"")</f>
        <v/>
      </c>
    </row>
    <row r="5216" spans="1:5" x14ac:dyDescent="0.3">
      <c r="A5216" s="21" t="str">
        <f t="shared" si="81"/>
        <v>.</v>
      </c>
      <c r="D5216" s="44"/>
      <c r="E5216" s="22" t="str">
        <f>IF(D5216&lt;&gt;"",IFERROR(INDEX(Produtos!$C$4:$C$4996,MATCH(D5216,Produtos!$B$4:$B$4996,0)),"Produto não encontrado"),"")</f>
        <v/>
      </c>
    </row>
    <row r="5217" spans="1:5" x14ac:dyDescent="0.3">
      <c r="A5217" s="21" t="str">
        <f t="shared" si="81"/>
        <v>.</v>
      </c>
      <c r="D5217" s="44"/>
      <c r="E5217" s="22" t="str">
        <f>IF(D5217&lt;&gt;"",IFERROR(INDEX(Produtos!$C$4:$C$4996,MATCH(D5217,Produtos!$B$4:$B$4996,0)),"Produto não encontrado"),"")</f>
        <v/>
      </c>
    </row>
    <row r="5218" spans="1:5" x14ac:dyDescent="0.3">
      <c r="A5218" s="21" t="str">
        <f t="shared" si="81"/>
        <v>.</v>
      </c>
      <c r="D5218" s="44"/>
      <c r="E5218" s="22" t="str">
        <f>IF(D5218&lt;&gt;"",IFERROR(INDEX(Produtos!$C$4:$C$4996,MATCH(D5218,Produtos!$B$4:$B$4996,0)),"Produto não encontrado"),"")</f>
        <v/>
      </c>
    </row>
    <row r="5219" spans="1:5" x14ac:dyDescent="0.3">
      <c r="A5219" s="21" t="str">
        <f t="shared" si="81"/>
        <v>.</v>
      </c>
      <c r="D5219" s="44"/>
      <c r="E5219" s="22" t="str">
        <f>IF(D5219&lt;&gt;"",IFERROR(INDEX(Produtos!$C$4:$C$4996,MATCH(D5219,Produtos!$B$4:$B$4996,0)),"Produto não encontrado"),"")</f>
        <v/>
      </c>
    </row>
    <row r="5220" spans="1:5" x14ac:dyDescent="0.3">
      <c r="A5220" s="21" t="str">
        <f t="shared" si="81"/>
        <v>.</v>
      </c>
      <c r="D5220" s="44"/>
      <c r="E5220" s="22" t="str">
        <f>IF(D5220&lt;&gt;"",IFERROR(INDEX(Produtos!$C$4:$C$4996,MATCH(D5220,Produtos!$B$4:$B$4996,0)),"Produto não encontrado"),"")</f>
        <v/>
      </c>
    </row>
    <row r="5221" spans="1:5" x14ac:dyDescent="0.3">
      <c r="A5221" s="21" t="str">
        <f t="shared" si="81"/>
        <v>.</v>
      </c>
      <c r="D5221" s="44"/>
      <c r="E5221" s="22" t="str">
        <f>IF(D5221&lt;&gt;"",IFERROR(INDEX(Produtos!$C$4:$C$4996,MATCH(D5221,Produtos!$B$4:$B$4996,0)),"Produto não encontrado"),"")</f>
        <v/>
      </c>
    </row>
    <row r="5222" spans="1:5" x14ac:dyDescent="0.3">
      <c r="A5222" s="21" t="str">
        <f t="shared" si="81"/>
        <v>.</v>
      </c>
      <c r="D5222" s="44"/>
      <c r="E5222" s="22" t="str">
        <f>IF(D5222&lt;&gt;"",IFERROR(INDEX(Produtos!$C$4:$C$4996,MATCH(D5222,Produtos!$B$4:$B$4996,0)),"Produto não encontrado"),"")</f>
        <v/>
      </c>
    </row>
    <row r="5223" spans="1:5" x14ac:dyDescent="0.3">
      <c r="A5223" s="21" t="str">
        <f t="shared" si="81"/>
        <v>.</v>
      </c>
      <c r="D5223" s="44"/>
      <c r="E5223" s="22" t="str">
        <f>IF(D5223&lt;&gt;"",IFERROR(INDEX(Produtos!$C$4:$C$4996,MATCH(D5223,Produtos!$B$4:$B$4996,0)),"Produto não encontrado"),"")</f>
        <v/>
      </c>
    </row>
    <row r="5224" spans="1:5" x14ac:dyDescent="0.3">
      <c r="A5224" s="21" t="str">
        <f t="shared" si="81"/>
        <v>.</v>
      </c>
      <c r="D5224" s="44"/>
      <c r="E5224" s="22" t="str">
        <f>IF(D5224&lt;&gt;"",IFERROR(INDEX(Produtos!$C$4:$C$4996,MATCH(D5224,Produtos!$B$4:$B$4996,0)),"Produto não encontrado"),"")</f>
        <v/>
      </c>
    </row>
    <row r="5225" spans="1:5" x14ac:dyDescent="0.3">
      <c r="A5225" s="21" t="str">
        <f t="shared" si="81"/>
        <v>.</v>
      </c>
      <c r="D5225" s="44"/>
      <c r="E5225" s="22" t="str">
        <f>IF(D5225&lt;&gt;"",IFERROR(INDEX(Produtos!$C$4:$C$4996,MATCH(D5225,Produtos!$B$4:$B$4996,0)),"Produto não encontrado"),"")</f>
        <v/>
      </c>
    </row>
    <row r="5226" spans="1:5" x14ac:dyDescent="0.3">
      <c r="A5226" s="21" t="str">
        <f t="shared" si="81"/>
        <v>.</v>
      </c>
      <c r="D5226" s="44"/>
      <c r="E5226" s="22" t="str">
        <f>IF(D5226&lt;&gt;"",IFERROR(INDEX(Produtos!$C$4:$C$4996,MATCH(D5226,Produtos!$B$4:$B$4996,0)),"Produto não encontrado"),"")</f>
        <v/>
      </c>
    </row>
    <row r="5227" spans="1:5" x14ac:dyDescent="0.3">
      <c r="A5227" s="21" t="str">
        <f t="shared" si="81"/>
        <v>.</v>
      </c>
      <c r="D5227" s="44"/>
      <c r="E5227" s="22" t="str">
        <f>IF(D5227&lt;&gt;"",IFERROR(INDEX(Produtos!$C$4:$C$4996,MATCH(D5227,Produtos!$B$4:$B$4996,0)),"Produto não encontrado"),"")</f>
        <v/>
      </c>
    </row>
    <row r="5228" spans="1:5" x14ac:dyDescent="0.3">
      <c r="A5228" s="21" t="str">
        <f t="shared" si="81"/>
        <v>.</v>
      </c>
      <c r="D5228" s="44"/>
      <c r="E5228" s="22" t="str">
        <f>IF(D5228&lt;&gt;"",IFERROR(INDEX(Produtos!$C$4:$C$4996,MATCH(D5228,Produtos!$B$4:$B$4996,0)),"Produto não encontrado"),"")</f>
        <v/>
      </c>
    </row>
    <row r="5229" spans="1:5" x14ac:dyDescent="0.3">
      <c r="A5229" s="21" t="str">
        <f t="shared" si="81"/>
        <v>.</v>
      </c>
      <c r="D5229" s="44"/>
      <c r="E5229" s="22" t="str">
        <f>IF(D5229&lt;&gt;"",IFERROR(INDEX(Produtos!$C$4:$C$4996,MATCH(D5229,Produtos!$B$4:$B$4996,0)),"Produto não encontrado"),"")</f>
        <v/>
      </c>
    </row>
    <row r="5230" spans="1:5" x14ac:dyDescent="0.3">
      <c r="A5230" s="21" t="str">
        <f t="shared" si="81"/>
        <v>.</v>
      </c>
      <c r="D5230" s="44"/>
      <c r="E5230" s="22" t="str">
        <f>IF(D5230&lt;&gt;"",IFERROR(INDEX(Produtos!$C$4:$C$4996,MATCH(D5230,Produtos!$B$4:$B$4996,0)),"Produto não encontrado"),"")</f>
        <v/>
      </c>
    </row>
    <row r="5231" spans="1:5" x14ac:dyDescent="0.3">
      <c r="A5231" s="21" t="str">
        <f t="shared" si="81"/>
        <v>.</v>
      </c>
      <c r="D5231" s="44"/>
      <c r="E5231" s="22" t="str">
        <f>IF(D5231&lt;&gt;"",IFERROR(INDEX(Produtos!$C$4:$C$4996,MATCH(D5231,Produtos!$B$4:$B$4996,0)),"Produto não encontrado"),"")</f>
        <v/>
      </c>
    </row>
    <row r="5232" spans="1:5" x14ac:dyDescent="0.3">
      <c r="A5232" s="21" t="str">
        <f t="shared" si="81"/>
        <v>.</v>
      </c>
      <c r="D5232" s="44"/>
      <c r="E5232" s="22" t="str">
        <f>IF(D5232&lt;&gt;"",IFERROR(INDEX(Produtos!$C$4:$C$4996,MATCH(D5232,Produtos!$B$4:$B$4996,0)),"Produto não encontrado"),"")</f>
        <v/>
      </c>
    </row>
    <row r="5233" spans="1:5" x14ac:dyDescent="0.3">
      <c r="A5233" s="21" t="str">
        <f t="shared" si="81"/>
        <v>.</v>
      </c>
      <c r="D5233" s="44"/>
      <c r="E5233" s="22" t="str">
        <f>IF(D5233&lt;&gt;"",IFERROR(INDEX(Produtos!$C$4:$C$4996,MATCH(D5233,Produtos!$B$4:$B$4996,0)),"Produto não encontrado"),"")</f>
        <v/>
      </c>
    </row>
    <row r="5234" spans="1:5" x14ac:dyDescent="0.3">
      <c r="A5234" s="21" t="str">
        <f t="shared" si="81"/>
        <v>.</v>
      </c>
      <c r="D5234" s="44"/>
      <c r="E5234" s="22" t="str">
        <f>IF(D5234&lt;&gt;"",IFERROR(INDEX(Produtos!$C$4:$C$4996,MATCH(D5234,Produtos!$B$4:$B$4996,0)),"Produto não encontrado"),"")</f>
        <v/>
      </c>
    </row>
    <row r="5235" spans="1:5" x14ac:dyDescent="0.3">
      <c r="A5235" s="21" t="str">
        <f t="shared" si="81"/>
        <v>.</v>
      </c>
      <c r="D5235" s="44"/>
      <c r="E5235" s="22" t="str">
        <f>IF(D5235&lt;&gt;"",IFERROR(INDEX(Produtos!$C$4:$C$4996,MATCH(D5235,Produtos!$B$4:$B$4996,0)),"Produto não encontrado"),"")</f>
        <v/>
      </c>
    </row>
    <row r="5236" spans="1:5" x14ac:dyDescent="0.3">
      <c r="A5236" s="21" t="str">
        <f t="shared" si="81"/>
        <v>.</v>
      </c>
      <c r="D5236" s="44"/>
      <c r="E5236" s="22" t="str">
        <f>IF(D5236&lt;&gt;"",IFERROR(INDEX(Produtos!$C$4:$C$4996,MATCH(D5236,Produtos!$B$4:$B$4996,0)),"Produto não encontrado"),"")</f>
        <v/>
      </c>
    </row>
    <row r="5237" spans="1:5" x14ac:dyDescent="0.3">
      <c r="A5237" s="21" t="str">
        <f t="shared" si="81"/>
        <v>.</v>
      </c>
      <c r="D5237" s="44"/>
      <c r="E5237" s="22" t="str">
        <f>IF(D5237&lt;&gt;"",IFERROR(INDEX(Produtos!$C$4:$C$4996,MATCH(D5237,Produtos!$B$4:$B$4996,0)),"Produto não encontrado"),"")</f>
        <v/>
      </c>
    </row>
    <row r="5238" spans="1:5" x14ac:dyDescent="0.3">
      <c r="A5238" s="21" t="str">
        <f t="shared" si="81"/>
        <v>.</v>
      </c>
      <c r="D5238" s="44"/>
      <c r="E5238" s="22" t="str">
        <f>IF(D5238&lt;&gt;"",IFERROR(INDEX(Produtos!$C$4:$C$4996,MATCH(D5238,Produtos!$B$4:$B$4996,0)),"Produto não encontrado"),"")</f>
        <v/>
      </c>
    </row>
    <row r="5239" spans="1:5" x14ac:dyDescent="0.3">
      <c r="A5239" s="21" t="str">
        <f t="shared" si="81"/>
        <v>.</v>
      </c>
      <c r="D5239" s="44"/>
      <c r="E5239" s="22" t="str">
        <f>IF(D5239&lt;&gt;"",IFERROR(INDEX(Produtos!$C$4:$C$4996,MATCH(D5239,Produtos!$B$4:$B$4996,0)),"Produto não encontrado"),"")</f>
        <v/>
      </c>
    </row>
    <row r="5240" spans="1:5" x14ac:dyDescent="0.3">
      <c r="A5240" s="21" t="str">
        <f t="shared" si="81"/>
        <v>.</v>
      </c>
      <c r="D5240" s="44"/>
      <c r="E5240" s="22" t="str">
        <f>IF(D5240&lt;&gt;"",IFERROR(INDEX(Produtos!$C$4:$C$4996,MATCH(D5240,Produtos!$B$4:$B$4996,0)),"Produto não encontrado"),"")</f>
        <v/>
      </c>
    </row>
    <row r="5241" spans="1:5" x14ac:dyDescent="0.3">
      <c r="A5241" s="21" t="str">
        <f t="shared" si="81"/>
        <v>.</v>
      </c>
      <c r="D5241" s="44"/>
      <c r="E5241" s="22" t="str">
        <f>IF(D5241&lt;&gt;"",IFERROR(INDEX(Produtos!$C$4:$C$4996,MATCH(D5241,Produtos!$B$4:$B$4996,0)),"Produto não encontrado"),"")</f>
        <v/>
      </c>
    </row>
    <row r="5242" spans="1:5" x14ac:dyDescent="0.3">
      <c r="A5242" s="21" t="str">
        <f t="shared" si="81"/>
        <v>.</v>
      </c>
      <c r="D5242" s="44"/>
      <c r="E5242" s="22" t="str">
        <f>IF(D5242&lt;&gt;"",IFERROR(INDEX(Produtos!$C$4:$C$4996,MATCH(D5242,Produtos!$B$4:$B$4996,0)),"Produto não encontrado"),"")</f>
        <v/>
      </c>
    </row>
    <row r="5243" spans="1:5" x14ac:dyDescent="0.3">
      <c r="A5243" s="21" t="str">
        <f t="shared" si="81"/>
        <v>.</v>
      </c>
      <c r="D5243" s="44"/>
      <c r="E5243" s="22" t="str">
        <f>IF(D5243&lt;&gt;"",IFERROR(INDEX(Produtos!$C$4:$C$4996,MATCH(D5243,Produtos!$B$4:$B$4996,0)),"Produto não encontrado"),"")</f>
        <v/>
      </c>
    </row>
    <row r="5244" spans="1:5" x14ac:dyDescent="0.3">
      <c r="A5244" s="21" t="str">
        <f t="shared" si="81"/>
        <v>.</v>
      </c>
      <c r="D5244" s="44"/>
      <c r="E5244" s="22" t="str">
        <f>IF(D5244&lt;&gt;"",IFERROR(INDEX(Produtos!$C$4:$C$4996,MATCH(D5244,Produtos!$B$4:$B$4996,0)),"Produto não encontrado"),"")</f>
        <v/>
      </c>
    </row>
    <row r="5245" spans="1:5" x14ac:dyDescent="0.3">
      <c r="A5245" s="21" t="str">
        <f t="shared" si="81"/>
        <v>.</v>
      </c>
      <c r="D5245" s="44"/>
      <c r="E5245" s="22" t="str">
        <f>IF(D5245&lt;&gt;"",IFERROR(INDEX(Produtos!$C$4:$C$4996,MATCH(D5245,Produtos!$B$4:$B$4996,0)),"Produto não encontrado"),"")</f>
        <v/>
      </c>
    </row>
    <row r="5246" spans="1:5" x14ac:dyDescent="0.3">
      <c r="A5246" s="21" t="str">
        <f t="shared" si="81"/>
        <v>.</v>
      </c>
      <c r="D5246" s="44"/>
      <c r="E5246" s="22" t="str">
        <f>IF(D5246&lt;&gt;"",IFERROR(INDEX(Produtos!$C$4:$C$4996,MATCH(D5246,Produtos!$B$4:$B$4996,0)),"Produto não encontrado"),"")</f>
        <v/>
      </c>
    </row>
    <row r="5247" spans="1:5" x14ac:dyDescent="0.3">
      <c r="A5247" s="21" t="str">
        <f t="shared" si="81"/>
        <v>.</v>
      </c>
      <c r="D5247" s="44"/>
      <c r="E5247" s="22" t="str">
        <f>IF(D5247&lt;&gt;"",IFERROR(INDEX(Produtos!$C$4:$C$4996,MATCH(D5247,Produtos!$B$4:$B$4996,0)),"Produto não encontrado"),"")</f>
        <v/>
      </c>
    </row>
    <row r="5248" spans="1:5" x14ac:dyDescent="0.3">
      <c r="A5248" s="21" t="str">
        <f t="shared" ref="A5248:A5311" si="82">IF(C5248="Entrada",2,IF(C5248="Saída",1,"."))</f>
        <v>.</v>
      </c>
      <c r="D5248" s="44"/>
      <c r="E5248" s="22" t="str">
        <f>IF(D5248&lt;&gt;"",IFERROR(INDEX(Produtos!$C$4:$C$4996,MATCH(D5248,Produtos!$B$4:$B$4996,0)),"Produto não encontrado"),"")</f>
        <v/>
      </c>
    </row>
    <row r="5249" spans="1:5" x14ac:dyDescent="0.3">
      <c r="A5249" s="21" t="str">
        <f t="shared" si="82"/>
        <v>.</v>
      </c>
      <c r="D5249" s="44"/>
      <c r="E5249" s="22" t="str">
        <f>IF(D5249&lt;&gt;"",IFERROR(INDEX(Produtos!$C$4:$C$4996,MATCH(D5249,Produtos!$B$4:$B$4996,0)),"Produto não encontrado"),"")</f>
        <v/>
      </c>
    </row>
    <row r="5250" spans="1:5" x14ac:dyDescent="0.3">
      <c r="A5250" s="21" t="str">
        <f t="shared" si="82"/>
        <v>.</v>
      </c>
      <c r="D5250" s="44"/>
      <c r="E5250" s="22" t="str">
        <f>IF(D5250&lt;&gt;"",IFERROR(INDEX(Produtos!$C$4:$C$4996,MATCH(D5250,Produtos!$B$4:$B$4996,0)),"Produto não encontrado"),"")</f>
        <v/>
      </c>
    </row>
    <row r="5251" spans="1:5" x14ac:dyDescent="0.3">
      <c r="A5251" s="21" t="str">
        <f t="shared" si="82"/>
        <v>.</v>
      </c>
      <c r="D5251" s="44"/>
      <c r="E5251" s="22" t="str">
        <f>IF(D5251&lt;&gt;"",IFERROR(INDEX(Produtos!$C$4:$C$4996,MATCH(D5251,Produtos!$B$4:$B$4996,0)),"Produto não encontrado"),"")</f>
        <v/>
      </c>
    </row>
    <row r="5252" spans="1:5" x14ac:dyDescent="0.3">
      <c r="A5252" s="21" t="str">
        <f t="shared" si="82"/>
        <v>.</v>
      </c>
      <c r="D5252" s="44"/>
      <c r="E5252" s="22" t="str">
        <f>IF(D5252&lt;&gt;"",IFERROR(INDEX(Produtos!$C$4:$C$4996,MATCH(D5252,Produtos!$B$4:$B$4996,0)),"Produto não encontrado"),"")</f>
        <v/>
      </c>
    </row>
    <row r="5253" spans="1:5" x14ac:dyDescent="0.3">
      <c r="A5253" s="21" t="str">
        <f t="shared" si="82"/>
        <v>.</v>
      </c>
      <c r="D5253" s="44"/>
      <c r="E5253" s="22" t="str">
        <f>IF(D5253&lt;&gt;"",IFERROR(INDEX(Produtos!$C$4:$C$4996,MATCH(D5253,Produtos!$B$4:$B$4996,0)),"Produto não encontrado"),"")</f>
        <v/>
      </c>
    </row>
    <row r="5254" spans="1:5" x14ac:dyDescent="0.3">
      <c r="A5254" s="21" t="str">
        <f t="shared" si="82"/>
        <v>.</v>
      </c>
      <c r="D5254" s="44"/>
      <c r="E5254" s="22" t="str">
        <f>IF(D5254&lt;&gt;"",IFERROR(INDEX(Produtos!$C$4:$C$4996,MATCH(D5254,Produtos!$B$4:$B$4996,0)),"Produto não encontrado"),"")</f>
        <v/>
      </c>
    </row>
    <row r="5255" spans="1:5" x14ac:dyDescent="0.3">
      <c r="A5255" s="21" t="str">
        <f t="shared" si="82"/>
        <v>.</v>
      </c>
      <c r="D5255" s="44"/>
      <c r="E5255" s="22" t="str">
        <f>IF(D5255&lt;&gt;"",IFERROR(INDEX(Produtos!$C$4:$C$4996,MATCH(D5255,Produtos!$B$4:$B$4996,0)),"Produto não encontrado"),"")</f>
        <v/>
      </c>
    </row>
    <row r="5256" spans="1:5" x14ac:dyDescent="0.3">
      <c r="A5256" s="21" t="str">
        <f t="shared" si="82"/>
        <v>.</v>
      </c>
      <c r="D5256" s="44"/>
      <c r="E5256" s="22" t="str">
        <f>IF(D5256&lt;&gt;"",IFERROR(INDEX(Produtos!$C$4:$C$4996,MATCH(D5256,Produtos!$B$4:$B$4996,0)),"Produto não encontrado"),"")</f>
        <v/>
      </c>
    </row>
    <row r="5257" spans="1:5" x14ac:dyDescent="0.3">
      <c r="A5257" s="21" t="str">
        <f t="shared" si="82"/>
        <v>.</v>
      </c>
      <c r="D5257" s="44"/>
      <c r="E5257" s="22" t="str">
        <f>IF(D5257&lt;&gt;"",IFERROR(INDEX(Produtos!$C$4:$C$4996,MATCH(D5257,Produtos!$B$4:$B$4996,0)),"Produto não encontrado"),"")</f>
        <v/>
      </c>
    </row>
    <row r="5258" spans="1:5" x14ac:dyDescent="0.3">
      <c r="A5258" s="21" t="str">
        <f t="shared" si="82"/>
        <v>.</v>
      </c>
      <c r="D5258" s="44"/>
      <c r="E5258" s="22" t="str">
        <f>IF(D5258&lt;&gt;"",IFERROR(INDEX(Produtos!$C$4:$C$4996,MATCH(D5258,Produtos!$B$4:$B$4996,0)),"Produto não encontrado"),"")</f>
        <v/>
      </c>
    </row>
    <row r="5259" spans="1:5" x14ac:dyDescent="0.3">
      <c r="A5259" s="21" t="str">
        <f t="shared" si="82"/>
        <v>.</v>
      </c>
      <c r="D5259" s="44"/>
      <c r="E5259" s="22" t="str">
        <f>IF(D5259&lt;&gt;"",IFERROR(INDEX(Produtos!$C$4:$C$4996,MATCH(D5259,Produtos!$B$4:$B$4996,0)),"Produto não encontrado"),"")</f>
        <v/>
      </c>
    </row>
    <row r="5260" spans="1:5" x14ac:dyDescent="0.3">
      <c r="A5260" s="21" t="str">
        <f t="shared" si="82"/>
        <v>.</v>
      </c>
      <c r="D5260" s="44"/>
      <c r="E5260" s="22" t="str">
        <f>IF(D5260&lt;&gt;"",IFERROR(INDEX(Produtos!$C$4:$C$4996,MATCH(D5260,Produtos!$B$4:$B$4996,0)),"Produto não encontrado"),"")</f>
        <v/>
      </c>
    </row>
    <row r="5261" spans="1:5" x14ac:dyDescent="0.3">
      <c r="A5261" s="21" t="str">
        <f t="shared" si="82"/>
        <v>.</v>
      </c>
      <c r="D5261" s="44"/>
      <c r="E5261" s="22" t="str">
        <f>IF(D5261&lt;&gt;"",IFERROR(INDEX(Produtos!$C$4:$C$4996,MATCH(D5261,Produtos!$B$4:$B$4996,0)),"Produto não encontrado"),"")</f>
        <v/>
      </c>
    </row>
    <row r="5262" spans="1:5" x14ac:dyDescent="0.3">
      <c r="A5262" s="21" t="str">
        <f t="shared" si="82"/>
        <v>.</v>
      </c>
      <c r="D5262" s="44"/>
      <c r="E5262" s="22" t="str">
        <f>IF(D5262&lt;&gt;"",IFERROR(INDEX(Produtos!$C$4:$C$4996,MATCH(D5262,Produtos!$B$4:$B$4996,0)),"Produto não encontrado"),"")</f>
        <v/>
      </c>
    </row>
    <row r="5263" spans="1:5" x14ac:dyDescent="0.3">
      <c r="A5263" s="21" t="str">
        <f t="shared" si="82"/>
        <v>.</v>
      </c>
      <c r="D5263" s="44"/>
      <c r="E5263" s="22" t="str">
        <f>IF(D5263&lt;&gt;"",IFERROR(INDEX(Produtos!$C$4:$C$4996,MATCH(D5263,Produtos!$B$4:$B$4996,0)),"Produto não encontrado"),"")</f>
        <v/>
      </c>
    </row>
    <row r="5264" spans="1:5" x14ac:dyDescent="0.3">
      <c r="A5264" s="21" t="str">
        <f t="shared" si="82"/>
        <v>.</v>
      </c>
      <c r="D5264" s="44"/>
      <c r="E5264" s="22" t="str">
        <f>IF(D5264&lt;&gt;"",IFERROR(INDEX(Produtos!$C$4:$C$4996,MATCH(D5264,Produtos!$B$4:$B$4996,0)),"Produto não encontrado"),"")</f>
        <v/>
      </c>
    </row>
    <row r="5265" spans="1:5" x14ac:dyDescent="0.3">
      <c r="A5265" s="21" t="str">
        <f t="shared" si="82"/>
        <v>.</v>
      </c>
      <c r="D5265" s="44"/>
      <c r="E5265" s="22" t="str">
        <f>IF(D5265&lt;&gt;"",IFERROR(INDEX(Produtos!$C$4:$C$4996,MATCH(D5265,Produtos!$B$4:$B$4996,0)),"Produto não encontrado"),"")</f>
        <v/>
      </c>
    </row>
    <row r="5266" spans="1:5" x14ac:dyDescent="0.3">
      <c r="A5266" s="21" t="str">
        <f t="shared" si="82"/>
        <v>.</v>
      </c>
      <c r="D5266" s="44"/>
      <c r="E5266" s="22" t="str">
        <f>IF(D5266&lt;&gt;"",IFERROR(INDEX(Produtos!$C$4:$C$4996,MATCH(D5266,Produtos!$B$4:$B$4996,0)),"Produto não encontrado"),"")</f>
        <v/>
      </c>
    </row>
    <row r="5267" spans="1:5" x14ac:dyDescent="0.3">
      <c r="A5267" s="21" t="str">
        <f t="shared" si="82"/>
        <v>.</v>
      </c>
      <c r="D5267" s="44"/>
      <c r="E5267" s="22" t="str">
        <f>IF(D5267&lt;&gt;"",IFERROR(INDEX(Produtos!$C$4:$C$4996,MATCH(D5267,Produtos!$B$4:$B$4996,0)),"Produto não encontrado"),"")</f>
        <v/>
      </c>
    </row>
    <row r="5268" spans="1:5" x14ac:dyDescent="0.3">
      <c r="A5268" s="21" t="str">
        <f t="shared" si="82"/>
        <v>.</v>
      </c>
      <c r="D5268" s="44"/>
      <c r="E5268" s="22" t="str">
        <f>IF(D5268&lt;&gt;"",IFERROR(INDEX(Produtos!$C$4:$C$4996,MATCH(D5268,Produtos!$B$4:$B$4996,0)),"Produto não encontrado"),"")</f>
        <v/>
      </c>
    </row>
    <row r="5269" spans="1:5" x14ac:dyDescent="0.3">
      <c r="A5269" s="21" t="str">
        <f t="shared" si="82"/>
        <v>.</v>
      </c>
      <c r="D5269" s="44"/>
      <c r="E5269" s="22" t="str">
        <f>IF(D5269&lt;&gt;"",IFERROR(INDEX(Produtos!$C$4:$C$4996,MATCH(D5269,Produtos!$B$4:$B$4996,0)),"Produto não encontrado"),"")</f>
        <v/>
      </c>
    </row>
    <row r="5270" spans="1:5" x14ac:dyDescent="0.3">
      <c r="A5270" s="21" t="str">
        <f t="shared" si="82"/>
        <v>.</v>
      </c>
      <c r="D5270" s="44"/>
      <c r="E5270" s="22" t="str">
        <f>IF(D5270&lt;&gt;"",IFERROR(INDEX(Produtos!$C$4:$C$4996,MATCH(D5270,Produtos!$B$4:$B$4996,0)),"Produto não encontrado"),"")</f>
        <v/>
      </c>
    </row>
    <row r="5271" spans="1:5" x14ac:dyDescent="0.3">
      <c r="A5271" s="21" t="str">
        <f t="shared" si="82"/>
        <v>.</v>
      </c>
      <c r="D5271" s="44"/>
      <c r="E5271" s="22" t="str">
        <f>IF(D5271&lt;&gt;"",IFERROR(INDEX(Produtos!$C$4:$C$4996,MATCH(D5271,Produtos!$B$4:$B$4996,0)),"Produto não encontrado"),"")</f>
        <v/>
      </c>
    </row>
    <row r="5272" spans="1:5" x14ac:dyDescent="0.3">
      <c r="A5272" s="21" t="str">
        <f t="shared" si="82"/>
        <v>.</v>
      </c>
      <c r="D5272" s="44"/>
      <c r="E5272" s="22" t="str">
        <f>IF(D5272&lt;&gt;"",IFERROR(INDEX(Produtos!$C$4:$C$4996,MATCH(D5272,Produtos!$B$4:$B$4996,0)),"Produto não encontrado"),"")</f>
        <v/>
      </c>
    </row>
    <row r="5273" spans="1:5" x14ac:dyDescent="0.3">
      <c r="A5273" s="21" t="str">
        <f t="shared" si="82"/>
        <v>.</v>
      </c>
      <c r="D5273" s="44"/>
      <c r="E5273" s="22" t="str">
        <f>IF(D5273&lt;&gt;"",IFERROR(INDEX(Produtos!$C$4:$C$4996,MATCH(D5273,Produtos!$B$4:$B$4996,0)),"Produto não encontrado"),"")</f>
        <v/>
      </c>
    </row>
    <row r="5274" spans="1:5" x14ac:dyDescent="0.3">
      <c r="A5274" s="21" t="str">
        <f t="shared" si="82"/>
        <v>.</v>
      </c>
      <c r="D5274" s="44"/>
      <c r="E5274" s="22" t="str">
        <f>IF(D5274&lt;&gt;"",IFERROR(INDEX(Produtos!$C$4:$C$4996,MATCH(D5274,Produtos!$B$4:$B$4996,0)),"Produto não encontrado"),"")</f>
        <v/>
      </c>
    </row>
    <row r="5275" spans="1:5" x14ac:dyDescent="0.3">
      <c r="A5275" s="21" t="str">
        <f t="shared" si="82"/>
        <v>.</v>
      </c>
      <c r="D5275" s="44"/>
      <c r="E5275" s="22" t="str">
        <f>IF(D5275&lt;&gt;"",IFERROR(INDEX(Produtos!$C$4:$C$4996,MATCH(D5275,Produtos!$B$4:$B$4996,0)),"Produto não encontrado"),"")</f>
        <v/>
      </c>
    </row>
    <row r="5276" spans="1:5" x14ac:dyDescent="0.3">
      <c r="A5276" s="21" t="str">
        <f t="shared" si="82"/>
        <v>.</v>
      </c>
      <c r="D5276" s="44"/>
      <c r="E5276" s="22" t="str">
        <f>IF(D5276&lt;&gt;"",IFERROR(INDEX(Produtos!$C$4:$C$4996,MATCH(D5276,Produtos!$B$4:$B$4996,0)),"Produto não encontrado"),"")</f>
        <v/>
      </c>
    </row>
    <row r="5277" spans="1:5" x14ac:dyDescent="0.3">
      <c r="A5277" s="21" t="str">
        <f t="shared" si="82"/>
        <v>.</v>
      </c>
      <c r="D5277" s="44"/>
      <c r="E5277" s="22" t="str">
        <f>IF(D5277&lt;&gt;"",IFERROR(INDEX(Produtos!$C$4:$C$4996,MATCH(D5277,Produtos!$B$4:$B$4996,0)),"Produto não encontrado"),"")</f>
        <v/>
      </c>
    </row>
    <row r="5278" spans="1:5" x14ac:dyDescent="0.3">
      <c r="A5278" s="21" t="str">
        <f t="shared" si="82"/>
        <v>.</v>
      </c>
      <c r="D5278" s="44"/>
      <c r="E5278" s="22" t="str">
        <f>IF(D5278&lt;&gt;"",IFERROR(INDEX(Produtos!$C$4:$C$4996,MATCH(D5278,Produtos!$B$4:$B$4996,0)),"Produto não encontrado"),"")</f>
        <v/>
      </c>
    </row>
    <row r="5279" spans="1:5" x14ac:dyDescent="0.3">
      <c r="A5279" s="21" t="str">
        <f t="shared" si="82"/>
        <v>.</v>
      </c>
      <c r="D5279" s="44"/>
      <c r="E5279" s="22" t="str">
        <f>IF(D5279&lt;&gt;"",IFERROR(INDEX(Produtos!$C$4:$C$4996,MATCH(D5279,Produtos!$B$4:$B$4996,0)),"Produto não encontrado"),"")</f>
        <v/>
      </c>
    </row>
    <row r="5280" spans="1:5" x14ac:dyDescent="0.3">
      <c r="A5280" s="21" t="str">
        <f t="shared" si="82"/>
        <v>.</v>
      </c>
      <c r="D5280" s="44"/>
      <c r="E5280" s="22" t="str">
        <f>IF(D5280&lt;&gt;"",IFERROR(INDEX(Produtos!$C$4:$C$4996,MATCH(D5280,Produtos!$B$4:$B$4996,0)),"Produto não encontrado"),"")</f>
        <v/>
      </c>
    </row>
    <row r="5281" spans="1:5" x14ac:dyDescent="0.3">
      <c r="A5281" s="21" t="str">
        <f t="shared" si="82"/>
        <v>.</v>
      </c>
      <c r="D5281" s="44"/>
      <c r="E5281" s="22" t="str">
        <f>IF(D5281&lt;&gt;"",IFERROR(INDEX(Produtos!$C$4:$C$4996,MATCH(D5281,Produtos!$B$4:$B$4996,0)),"Produto não encontrado"),"")</f>
        <v/>
      </c>
    </row>
    <row r="5282" spans="1:5" x14ac:dyDescent="0.3">
      <c r="A5282" s="21" t="str">
        <f t="shared" si="82"/>
        <v>.</v>
      </c>
      <c r="D5282" s="44"/>
      <c r="E5282" s="22" t="str">
        <f>IF(D5282&lt;&gt;"",IFERROR(INDEX(Produtos!$C$4:$C$4996,MATCH(D5282,Produtos!$B$4:$B$4996,0)),"Produto não encontrado"),"")</f>
        <v/>
      </c>
    </row>
    <row r="5283" spans="1:5" x14ac:dyDescent="0.3">
      <c r="A5283" s="21" t="str">
        <f t="shared" si="82"/>
        <v>.</v>
      </c>
      <c r="D5283" s="44"/>
      <c r="E5283" s="22" t="str">
        <f>IF(D5283&lt;&gt;"",IFERROR(INDEX(Produtos!$C$4:$C$4996,MATCH(D5283,Produtos!$B$4:$B$4996,0)),"Produto não encontrado"),"")</f>
        <v/>
      </c>
    </row>
    <row r="5284" spans="1:5" x14ac:dyDescent="0.3">
      <c r="A5284" s="21" t="str">
        <f t="shared" si="82"/>
        <v>.</v>
      </c>
      <c r="D5284" s="44"/>
      <c r="E5284" s="22" t="str">
        <f>IF(D5284&lt;&gt;"",IFERROR(INDEX(Produtos!$C$4:$C$4996,MATCH(D5284,Produtos!$B$4:$B$4996,0)),"Produto não encontrado"),"")</f>
        <v/>
      </c>
    </row>
    <row r="5285" spans="1:5" x14ac:dyDescent="0.3">
      <c r="A5285" s="21" t="str">
        <f t="shared" si="82"/>
        <v>.</v>
      </c>
      <c r="D5285" s="44"/>
      <c r="E5285" s="22" t="str">
        <f>IF(D5285&lt;&gt;"",IFERROR(INDEX(Produtos!$C$4:$C$4996,MATCH(D5285,Produtos!$B$4:$B$4996,0)),"Produto não encontrado"),"")</f>
        <v/>
      </c>
    </row>
    <row r="5286" spans="1:5" x14ac:dyDescent="0.3">
      <c r="A5286" s="21" t="str">
        <f t="shared" si="82"/>
        <v>.</v>
      </c>
      <c r="D5286" s="44"/>
      <c r="E5286" s="22" t="str">
        <f>IF(D5286&lt;&gt;"",IFERROR(INDEX(Produtos!$C$4:$C$4996,MATCH(D5286,Produtos!$B$4:$B$4996,0)),"Produto não encontrado"),"")</f>
        <v/>
      </c>
    </row>
    <row r="5287" spans="1:5" x14ac:dyDescent="0.3">
      <c r="A5287" s="21" t="str">
        <f t="shared" si="82"/>
        <v>.</v>
      </c>
      <c r="D5287" s="44"/>
      <c r="E5287" s="22" t="str">
        <f>IF(D5287&lt;&gt;"",IFERROR(INDEX(Produtos!$C$4:$C$4996,MATCH(D5287,Produtos!$B$4:$B$4996,0)),"Produto não encontrado"),"")</f>
        <v/>
      </c>
    </row>
    <row r="5288" spans="1:5" x14ac:dyDescent="0.3">
      <c r="A5288" s="21" t="str">
        <f t="shared" si="82"/>
        <v>.</v>
      </c>
      <c r="D5288" s="44"/>
      <c r="E5288" s="22" t="str">
        <f>IF(D5288&lt;&gt;"",IFERROR(INDEX(Produtos!$C$4:$C$4996,MATCH(D5288,Produtos!$B$4:$B$4996,0)),"Produto não encontrado"),"")</f>
        <v/>
      </c>
    </row>
    <row r="5289" spans="1:5" x14ac:dyDescent="0.3">
      <c r="A5289" s="21" t="str">
        <f t="shared" si="82"/>
        <v>.</v>
      </c>
      <c r="D5289" s="44"/>
      <c r="E5289" s="22" t="str">
        <f>IF(D5289&lt;&gt;"",IFERROR(INDEX(Produtos!$C$4:$C$4996,MATCH(D5289,Produtos!$B$4:$B$4996,0)),"Produto não encontrado"),"")</f>
        <v/>
      </c>
    </row>
    <row r="5290" spans="1:5" x14ac:dyDescent="0.3">
      <c r="A5290" s="21" t="str">
        <f t="shared" si="82"/>
        <v>.</v>
      </c>
      <c r="D5290" s="44"/>
      <c r="E5290" s="22" t="str">
        <f>IF(D5290&lt;&gt;"",IFERROR(INDEX(Produtos!$C$4:$C$4996,MATCH(D5290,Produtos!$B$4:$B$4996,0)),"Produto não encontrado"),"")</f>
        <v/>
      </c>
    </row>
    <row r="5291" spans="1:5" x14ac:dyDescent="0.3">
      <c r="A5291" s="21" t="str">
        <f t="shared" si="82"/>
        <v>.</v>
      </c>
      <c r="D5291" s="44"/>
      <c r="E5291" s="22" t="str">
        <f>IF(D5291&lt;&gt;"",IFERROR(INDEX(Produtos!$C$4:$C$4996,MATCH(D5291,Produtos!$B$4:$B$4996,0)),"Produto não encontrado"),"")</f>
        <v/>
      </c>
    </row>
    <row r="5292" spans="1:5" x14ac:dyDescent="0.3">
      <c r="A5292" s="21" t="str">
        <f t="shared" si="82"/>
        <v>.</v>
      </c>
      <c r="D5292" s="44"/>
      <c r="E5292" s="22" t="str">
        <f>IF(D5292&lt;&gt;"",IFERROR(INDEX(Produtos!$C$4:$C$4996,MATCH(D5292,Produtos!$B$4:$B$4996,0)),"Produto não encontrado"),"")</f>
        <v/>
      </c>
    </row>
    <row r="5293" spans="1:5" x14ac:dyDescent="0.3">
      <c r="A5293" s="21" t="str">
        <f t="shared" si="82"/>
        <v>.</v>
      </c>
      <c r="D5293" s="44"/>
      <c r="E5293" s="22" t="str">
        <f>IF(D5293&lt;&gt;"",IFERROR(INDEX(Produtos!$C$4:$C$4996,MATCH(D5293,Produtos!$B$4:$B$4996,0)),"Produto não encontrado"),"")</f>
        <v/>
      </c>
    </row>
    <row r="5294" spans="1:5" x14ac:dyDescent="0.3">
      <c r="A5294" s="21" t="str">
        <f t="shared" si="82"/>
        <v>.</v>
      </c>
      <c r="D5294" s="44"/>
      <c r="E5294" s="22" t="str">
        <f>IF(D5294&lt;&gt;"",IFERROR(INDEX(Produtos!$C$4:$C$4996,MATCH(D5294,Produtos!$B$4:$B$4996,0)),"Produto não encontrado"),"")</f>
        <v/>
      </c>
    </row>
    <row r="5295" spans="1:5" x14ac:dyDescent="0.3">
      <c r="A5295" s="21" t="str">
        <f t="shared" si="82"/>
        <v>.</v>
      </c>
      <c r="D5295" s="44"/>
      <c r="E5295" s="22" t="str">
        <f>IF(D5295&lt;&gt;"",IFERROR(INDEX(Produtos!$C$4:$C$4996,MATCH(D5295,Produtos!$B$4:$B$4996,0)),"Produto não encontrado"),"")</f>
        <v/>
      </c>
    </row>
    <row r="5296" spans="1:5" x14ac:dyDescent="0.3">
      <c r="A5296" s="21" t="str">
        <f t="shared" si="82"/>
        <v>.</v>
      </c>
      <c r="D5296" s="44"/>
      <c r="E5296" s="22" t="str">
        <f>IF(D5296&lt;&gt;"",IFERROR(INDEX(Produtos!$C$4:$C$4996,MATCH(D5296,Produtos!$B$4:$B$4996,0)),"Produto não encontrado"),"")</f>
        <v/>
      </c>
    </row>
    <row r="5297" spans="1:5" x14ac:dyDescent="0.3">
      <c r="A5297" s="21" t="str">
        <f t="shared" si="82"/>
        <v>.</v>
      </c>
      <c r="D5297" s="44"/>
      <c r="E5297" s="22" t="str">
        <f>IF(D5297&lt;&gt;"",IFERROR(INDEX(Produtos!$C$4:$C$4996,MATCH(D5297,Produtos!$B$4:$B$4996,0)),"Produto não encontrado"),"")</f>
        <v/>
      </c>
    </row>
    <row r="5298" spans="1:5" x14ac:dyDescent="0.3">
      <c r="A5298" s="21" t="str">
        <f t="shared" si="82"/>
        <v>.</v>
      </c>
      <c r="D5298" s="44"/>
      <c r="E5298" s="22" t="str">
        <f>IF(D5298&lt;&gt;"",IFERROR(INDEX(Produtos!$C$4:$C$4996,MATCH(D5298,Produtos!$B$4:$B$4996,0)),"Produto não encontrado"),"")</f>
        <v/>
      </c>
    </row>
    <row r="5299" spans="1:5" x14ac:dyDescent="0.3">
      <c r="A5299" s="21" t="str">
        <f t="shared" si="82"/>
        <v>.</v>
      </c>
      <c r="D5299" s="44"/>
      <c r="E5299" s="22" t="str">
        <f>IF(D5299&lt;&gt;"",IFERROR(INDEX(Produtos!$C$4:$C$4996,MATCH(D5299,Produtos!$B$4:$B$4996,0)),"Produto não encontrado"),"")</f>
        <v/>
      </c>
    </row>
    <row r="5300" spans="1:5" x14ac:dyDescent="0.3">
      <c r="A5300" s="21" t="str">
        <f t="shared" si="82"/>
        <v>.</v>
      </c>
      <c r="D5300" s="44"/>
      <c r="E5300" s="22" t="str">
        <f>IF(D5300&lt;&gt;"",IFERROR(INDEX(Produtos!$C$4:$C$4996,MATCH(D5300,Produtos!$B$4:$B$4996,0)),"Produto não encontrado"),"")</f>
        <v/>
      </c>
    </row>
    <row r="5301" spans="1:5" x14ac:dyDescent="0.3">
      <c r="A5301" s="21" t="str">
        <f t="shared" si="82"/>
        <v>.</v>
      </c>
      <c r="D5301" s="44"/>
      <c r="E5301" s="22" t="str">
        <f>IF(D5301&lt;&gt;"",IFERROR(INDEX(Produtos!$C$4:$C$4996,MATCH(D5301,Produtos!$B$4:$B$4996,0)),"Produto não encontrado"),"")</f>
        <v/>
      </c>
    </row>
    <row r="5302" spans="1:5" x14ac:dyDescent="0.3">
      <c r="A5302" s="21" t="str">
        <f t="shared" si="82"/>
        <v>.</v>
      </c>
      <c r="D5302" s="44"/>
      <c r="E5302" s="22" t="str">
        <f>IF(D5302&lt;&gt;"",IFERROR(INDEX(Produtos!$C$4:$C$4996,MATCH(D5302,Produtos!$B$4:$B$4996,0)),"Produto não encontrado"),"")</f>
        <v/>
      </c>
    </row>
    <row r="5303" spans="1:5" x14ac:dyDescent="0.3">
      <c r="A5303" s="21" t="str">
        <f t="shared" si="82"/>
        <v>.</v>
      </c>
      <c r="D5303" s="44"/>
      <c r="E5303" s="22" t="str">
        <f>IF(D5303&lt;&gt;"",IFERROR(INDEX(Produtos!$C$4:$C$4996,MATCH(D5303,Produtos!$B$4:$B$4996,0)),"Produto não encontrado"),"")</f>
        <v/>
      </c>
    </row>
    <row r="5304" spans="1:5" x14ac:dyDescent="0.3">
      <c r="A5304" s="21" t="str">
        <f t="shared" si="82"/>
        <v>.</v>
      </c>
      <c r="D5304" s="44"/>
      <c r="E5304" s="22" t="str">
        <f>IF(D5304&lt;&gt;"",IFERROR(INDEX(Produtos!$C$4:$C$4996,MATCH(D5304,Produtos!$B$4:$B$4996,0)),"Produto não encontrado"),"")</f>
        <v/>
      </c>
    </row>
    <row r="5305" spans="1:5" x14ac:dyDescent="0.3">
      <c r="A5305" s="21" t="str">
        <f t="shared" si="82"/>
        <v>.</v>
      </c>
      <c r="D5305" s="44"/>
      <c r="E5305" s="22" t="str">
        <f>IF(D5305&lt;&gt;"",IFERROR(INDEX(Produtos!$C$4:$C$4996,MATCH(D5305,Produtos!$B$4:$B$4996,0)),"Produto não encontrado"),"")</f>
        <v/>
      </c>
    </row>
    <row r="5306" spans="1:5" x14ac:dyDescent="0.3">
      <c r="A5306" s="21" t="str">
        <f t="shared" si="82"/>
        <v>.</v>
      </c>
      <c r="D5306" s="44"/>
      <c r="E5306" s="22" t="str">
        <f>IF(D5306&lt;&gt;"",IFERROR(INDEX(Produtos!$C$4:$C$4996,MATCH(D5306,Produtos!$B$4:$B$4996,0)),"Produto não encontrado"),"")</f>
        <v/>
      </c>
    </row>
    <row r="5307" spans="1:5" x14ac:dyDescent="0.3">
      <c r="A5307" s="21" t="str">
        <f t="shared" si="82"/>
        <v>.</v>
      </c>
      <c r="D5307" s="44"/>
      <c r="E5307" s="22" t="str">
        <f>IF(D5307&lt;&gt;"",IFERROR(INDEX(Produtos!$C$4:$C$4996,MATCH(D5307,Produtos!$B$4:$B$4996,0)),"Produto não encontrado"),"")</f>
        <v/>
      </c>
    </row>
    <row r="5308" spans="1:5" x14ac:dyDescent="0.3">
      <c r="A5308" s="21" t="str">
        <f t="shared" si="82"/>
        <v>.</v>
      </c>
      <c r="D5308" s="44"/>
      <c r="E5308" s="22" t="str">
        <f>IF(D5308&lt;&gt;"",IFERROR(INDEX(Produtos!$C$4:$C$4996,MATCH(D5308,Produtos!$B$4:$B$4996,0)),"Produto não encontrado"),"")</f>
        <v/>
      </c>
    </row>
    <row r="5309" spans="1:5" x14ac:dyDescent="0.3">
      <c r="A5309" s="21" t="str">
        <f t="shared" si="82"/>
        <v>.</v>
      </c>
      <c r="D5309" s="44"/>
      <c r="E5309" s="22" t="str">
        <f>IF(D5309&lt;&gt;"",IFERROR(INDEX(Produtos!$C$4:$C$4996,MATCH(D5309,Produtos!$B$4:$B$4996,0)),"Produto não encontrado"),"")</f>
        <v/>
      </c>
    </row>
    <row r="5310" spans="1:5" x14ac:dyDescent="0.3">
      <c r="A5310" s="21" t="str">
        <f t="shared" si="82"/>
        <v>.</v>
      </c>
      <c r="D5310" s="44"/>
      <c r="E5310" s="22" t="str">
        <f>IF(D5310&lt;&gt;"",IFERROR(INDEX(Produtos!$C$4:$C$4996,MATCH(D5310,Produtos!$B$4:$B$4996,0)),"Produto não encontrado"),"")</f>
        <v/>
      </c>
    </row>
    <row r="5311" spans="1:5" x14ac:dyDescent="0.3">
      <c r="A5311" s="21" t="str">
        <f t="shared" si="82"/>
        <v>.</v>
      </c>
      <c r="D5311" s="44"/>
      <c r="E5311" s="22" t="str">
        <f>IF(D5311&lt;&gt;"",IFERROR(INDEX(Produtos!$C$4:$C$4996,MATCH(D5311,Produtos!$B$4:$B$4996,0)),"Produto não encontrado"),"")</f>
        <v/>
      </c>
    </row>
    <row r="5312" spans="1:5" x14ac:dyDescent="0.3">
      <c r="A5312" s="21" t="str">
        <f t="shared" ref="A5312:A5375" si="83">IF(C5312="Entrada",2,IF(C5312="Saída",1,"."))</f>
        <v>.</v>
      </c>
      <c r="D5312" s="44"/>
      <c r="E5312" s="22" t="str">
        <f>IF(D5312&lt;&gt;"",IFERROR(INDEX(Produtos!$C$4:$C$4996,MATCH(D5312,Produtos!$B$4:$B$4996,0)),"Produto não encontrado"),"")</f>
        <v/>
      </c>
    </row>
    <row r="5313" spans="1:5" x14ac:dyDescent="0.3">
      <c r="A5313" s="21" t="str">
        <f t="shared" si="83"/>
        <v>.</v>
      </c>
      <c r="D5313" s="44"/>
      <c r="E5313" s="22" t="str">
        <f>IF(D5313&lt;&gt;"",IFERROR(INDEX(Produtos!$C$4:$C$4996,MATCH(D5313,Produtos!$B$4:$B$4996,0)),"Produto não encontrado"),"")</f>
        <v/>
      </c>
    </row>
    <row r="5314" spans="1:5" x14ac:dyDescent="0.3">
      <c r="A5314" s="21" t="str">
        <f t="shared" si="83"/>
        <v>.</v>
      </c>
      <c r="D5314" s="44"/>
      <c r="E5314" s="22" t="str">
        <f>IF(D5314&lt;&gt;"",IFERROR(INDEX(Produtos!$C$4:$C$4996,MATCH(D5314,Produtos!$B$4:$B$4996,0)),"Produto não encontrado"),"")</f>
        <v/>
      </c>
    </row>
    <row r="5315" spans="1:5" x14ac:dyDescent="0.3">
      <c r="A5315" s="21" t="str">
        <f t="shared" si="83"/>
        <v>.</v>
      </c>
      <c r="D5315" s="44"/>
      <c r="E5315" s="22" t="str">
        <f>IF(D5315&lt;&gt;"",IFERROR(INDEX(Produtos!$C$4:$C$4996,MATCH(D5315,Produtos!$B$4:$B$4996,0)),"Produto não encontrado"),"")</f>
        <v/>
      </c>
    </row>
    <row r="5316" spans="1:5" x14ac:dyDescent="0.3">
      <c r="A5316" s="21" t="str">
        <f t="shared" si="83"/>
        <v>.</v>
      </c>
      <c r="D5316" s="44"/>
      <c r="E5316" s="22" t="str">
        <f>IF(D5316&lt;&gt;"",IFERROR(INDEX(Produtos!$C$4:$C$4996,MATCH(D5316,Produtos!$B$4:$B$4996,0)),"Produto não encontrado"),"")</f>
        <v/>
      </c>
    </row>
    <row r="5317" spans="1:5" x14ac:dyDescent="0.3">
      <c r="A5317" s="21" t="str">
        <f t="shared" si="83"/>
        <v>.</v>
      </c>
      <c r="D5317" s="44"/>
      <c r="E5317" s="22" t="str">
        <f>IF(D5317&lt;&gt;"",IFERROR(INDEX(Produtos!$C$4:$C$4996,MATCH(D5317,Produtos!$B$4:$B$4996,0)),"Produto não encontrado"),"")</f>
        <v/>
      </c>
    </row>
    <row r="5318" spans="1:5" x14ac:dyDescent="0.3">
      <c r="A5318" s="21" t="str">
        <f t="shared" si="83"/>
        <v>.</v>
      </c>
      <c r="D5318" s="44"/>
      <c r="E5318" s="22" t="str">
        <f>IF(D5318&lt;&gt;"",IFERROR(INDEX(Produtos!$C$4:$C$4996,MATCH(D5318,Produtos!$B$4:$B$4996,0)),"Produto não encontrado"),"")</f>
        <v/>
      </c>
    </row>
    <row r="5319" spans="1:5" x14ac:dyDescent="0.3">
      <c r="A5319" s="21" t="str">
        <f t="shared" si="83"/>
        <v>.</v>
      </c>
      <c r="D5319" s="44"/>
      <c r="E5319" s="22" t="str">
        <f>IF(D5319&lt;&gt;"",IFERROR(INDEX(Produtos!$C$4:$C$4996,MATCH(D5319,Produtos!$B$4:$B$4996,0)),"Produto não encontrado"),"")</f>
        <v/>
      </c>
    </row>
    <row r="5320" spans="1:5" x14ac:dyDescent="0.3">
      <c r="A5320" s="21" t="str">
        <f t="shared" si="83"/>
        <v>.</v>
      </c>
      <c r="D5320" s="44"/>
      <c r="E5320" s="22" t="str">
        <f>IF(D5320&lt;&gt;"",IFERROR(INDEX(Produtos!$C$4:$C$4996,MATCH(D5320,Produtos!$B$4:$B$4996,0)),"Produto não encontrado"),"")</f>
        <v/>
      </c>
    </row>
    <row r="5321" spans="1:5" x14ac:dyDescent="0.3">
      <c r="A5321" s="21" t="str">
        <f t="shared" si="83"/>
        <v>.</v>
      </c>
      <c r="D5321" s="44"/>
      <c r="E5321" s="22" t="str">
        <f>IF(D5321&lt;&gt;"",IFERROR(INDEX(Produtos!$C$4:$C$4996,MATCH(D5321,Produtos!$B$4:$B$4996,0)),"Produto não encontrado"),"")</f>
        <v/>
      </c>
    </row>
    <row r="5322" spans="1:5" x14ac:dyDescent="0.3">
      <c r="A5322" s="21" t="str">
        <f t="shared" si="83"/>
        <v>.</v>
      </c>
      <c r="D5322" s="44"/>
      <c r="E5322" s="22" t="str">
        <f>IF(D5322&lt;&gt;"",IFERROR(INDEX(Produtos!$C$4:$C$4996,MATCH(D5322,Produtos!$B$4:$B$4996,0)),"Produto não encontrado"),"")</f>
        <v/>
      </c>
    </row>
    <row r="5323" spans="1:5" x14ac:dyDescent="0.3">
      <c r="A5323" s="21" t="str">
        <f t="shared" si="83"/>
        <v>.</v>
      </c>
      <c r="D5323" s="44"/>
      <c r="E5323" s="22" t="str">
        <f>IF(D5323&lt;&gt;"",IFERROR(INDEX(Produtos!$C$4:$C$4996,MATCH(D5323,Produtos!$B$4:$B$4996,0)),"Produto não encontrado"),"")</f>
        <v/>
      </c>
    </row>
    <row r="5324" spans="1:5" x14ac:dyDescent="0.3">
      <c r="A5324" s="21" t="str">
        <f t="shared" si="83"/>
        <v>.</v>
      </c>
      <c r="D5324" s="44"/>
      <c r="E5324" s="22" t="str">
        <f>IF(D5324&lt;&gt;"",IFERROR(INDEX(Produtos!$C$4:$C$4996,MATCH(D5324,Produtos!$B$4:$B$4996,0)),"Produto não encontrado"),"")</f>
        <v/>
      </c>
    </row>
    <row r="5325" spans="1:5" x14ac:dyDescent="0.3">
      <c r="A5325" s="21" t="str">
        <f t="shared" si="83"/>
        <v>.</v>
      </c>
      <c r="D5325" s="44"/>
      <c r="E5325" s="22" t="str">
        <f>IF(D5325&lt;&gt;"",IFERROR(INDEX(Produtos!$C$4:$C$4996,MATCH(D5325,Produtos!$B$4:$B$4996,0)),"Produto não encontrado"),"")</f>
        <v/>
      </c>
    </row>
    <row r="5326" spans="1:5" x14ac:dyDescent="0.3">
      <c r="A5326" s="21" t="str">
        <f t="shared" si="83"/>
        <v>.</v>
      </c>
      <c r="D5326" s="44"/>
      <c r="E5326" s="22" t="str">
        <f>IF(D5326&lt;&gt;"",IFERROR(INDEX(Produtos!$C$4:$C$4996,MATCH(D5326,Produtos!$B$4:$B$4996,0)),"Produto não encontrado"),"")</f>
        <v/>
      </c>
    </row>
    <row r="5327" spans="1:5" x14ac:dyDescent="0.3">
      <c r="A5327" s="21" t="str">
        <f t="shared" si="83"/>
        <v>.</v>
      </c>
      <c r="D5327" s="44"/>
      <c r="E5327" s="22" t="str">
        <f>IF(D5327&lt;&gt;"",IFERROR(INDEX(Produtos!$C$4:$C$4996,MATCH(D5327,Produtos!$B$4:$B$4996,0)),"Produto não encontrado"),"")</f>
        <v/>
      </c>
    </row>
    <row r="5328" spans="1:5" x14ac:dyDescent="0.3">
      <c r="A5328" s="21" t="str">
        <f t="shared" si="83"/>
        <v>.</v>
      </c>
      <c r="D5328" s="44"/>
      <c r="E5328" s="22" t="str">
        <f>IF(D5328&lt;&gt;"",IFERROR(INDEX(Produtos!$C$4:$C$4996,MATCH(D5328,Produtos!$B$4:$B$4996,0)),"Produto não encontrado"),"")</f>
        <v/>
      </c>
    </row>
    <row r="5329" spans="1:5" x14ac:dyDescent="0.3">
      <c r="A5329" s="21" t="str">
        <f t="shared" si="83"/>
        <v>.</v>
      </c>
      <c r="D5329" s="44"/>
      <c r="E5329" s="22" t="str">
        <f>IF(D5329&lt;&gt;"",IFERROR(INDEX(Produtos!$C$4:$C$4996,MATCH(D5329,Produtos!$B$4:$B$4996,0)),"Produto não encontrado"),"")</f>
        <v/>
      </c>
    </row>
    <row r="5330" spans="1:5" x14ac:dyDescent="0.3">
      <c r="A5330" s="21" t="str">
        <f t="shared" si="83"/>
        <v>.</v>
      </c>
      <c r="D5330" s="44"/>
      <c r="E5330" s="22" t="str">
        <f>IF(D5330&lt;&gt;"",IFERROR(INDEX(Produtos!$C$4:$C$4996,MATCH(D5330,Produtos!$B$4:$B$4996,0)),"Produto não encontrado"),"")</f>
        <v/>
      </c>
    </row>
    <row r="5331" spans="1:5" x14ac:dyDescent="0.3">
      <c r="A5331" s="21" t="str">
        <f t="shared" si="83"/>
        <v>.</v>
      </c>
      <c r="D5331" s="44"/>
      <c r="E5331" s="22" t="str">
        <f>IF(D5331&lt;&gt;"",IFERROR(INDEX(Produtos!$C$4:$C$4996,MATCH(D5331,Produtos!$B$4:$B$4996,0)),"Produto não encontrado"),"")</f>
        <v/>
      </c>
    </row>
    <row r="5332" spans="1:5" x14ac:dyDescent="0.3">
      <c r="A5332" s="21" t="str">
        <f t="shared" si="83"/>
        <v>.</v>
      </c>
      <c r="D5332" s="44"/>
      <c r="E5332" s="22" t="str">
        <f>IF(D5332&lt;&gt;"",IFERROR(INDEX(Produtos!$C$4:$C$4996,MATCH(D5332,Produtos!$B$4:$B$4996,0)),"Produto não encontrado"),"")</f>
        <v/>
      </c>
    </row>
    <row r="5333" spans="1:5" x14ac:dyDescent="0.3">
      <c r="A5333" s="21" t="str">
        <f t="shared" si="83"/>
        <v>.</v>
      </c>
      <c r="D5333" s="44"/>
      <c r="E5333" s="22" t="str">
        <f>IF(D5333&lt;&gt;"",IFERROR(INDEX(Produtos!$C$4:$C$4996,MATCH(D5333,Produtos!$B$4:$B$4996,0)),"Produto não encontrado"),"")</f>
        <v/>
      </c>
    </row>
    <row r="5334" spans="1:5" x14ac:dyDescent="0.3">
      <c r="A5334" s="21" t="str">
        <f t="shared" si="83"/>
        <v>.</v>
      </c>
      <c r="D5334" s="44"/>
      <c r="E5334" s="22" t="str">
        <f>IF(D5334&lt;&gt;"",IFERROR(INDEX(Produtos!$C$4:$C$4996,MATCH(D5334,Produtos!$B$4:$B$4996,0)),"Produto não encontrado"),"")</f>
        <v/>
      </c>
    </row>
    <row r="5335" spans="1:5" x14ac:dyDescent="0.3">
      <c r="A5335" s="21" t="str">
        <f t="shared" si="83"/>
        <v>.</v>
      </c>
      <c r="D5335" s="44"/>
      <c r="E5335" s="22" t="str">
        <f>IF(D5335&lt;&gt;"",IFERROR(INDEX(Produtos!$C$4:$C$4996,MATCH(D5335,Produtos!$B$4:$B$4996,0)),"Produto não encontrado"),"")</f>
        <v/>
      </c>
    </row>
    <row r="5336" spans="1:5" x14ac:dyDescent="0.3">
      <c r="A5336" s="21" t="str">
        <f t="shared" si="83"/>
        <v>.</v>
      </c>
      <c r="D5336" s="44"/>
      <c r="E5336" s="22" t="str">
        <f>IF(D5336&lt;&gt;"",IFERROR(INDEX(Produtos!$C$4:$C$4996,MATCH(D5336,Produtos!$B$4:$B$4996,0)),"Produto não encontrado"),"")</f>
        <v/>
      </c>
    </row>
    <row r="5337" spans="1:5" x14ac:dyDescent="0.3">
      <c r="A5337" s="21" t="str">
        <f t="shared" si="83"/>
        <v>.</v>
      </c>
      <c r="D5337" s="44"/>
      <c r="E5337" s="22" t="str">
        <f>IF(D5337&lt;&gt;"",IFERROR(INDEX(Produtos!$C$4:$C$4996,MATCH(D5337,Produtos!$B$4:$B$4996,0)),"Produto não encontrado"),"")</f>
        <v/>
      </c>
    </row>
    <row r="5338" spans="1:5" x14ac:dyDescent="0.3">
      <c r="A5338" s="21" t="str">
        <f t="shared" si="83"/>
        <v>.</v>
      </c>
      <c r="D5338" s="44"/>
      <c r="E5338" s="22" t="str">
        <f>IF(D5338&lt;&gt;"",IFERROR(INDEX(Produtos!$C$4:$C$4996,MATCH(D5338,Produtos!$B$4:$B$4996,0)),"Produto não encontrado"),"")</f>
        <v/>
      </c>
    </row>
    <row r="5339" spans="1:5" x14ac:dyDescent="0.3">
      <c r="A5339" s="21" t="str">
        <f t="shared" si="83"/>
        <v>.</v>
      </c>
      <c r="D5339" s="44"/>
      <c r="E5339" s="22" t="str">
        <f>IF(D5339&lt;&gt;"",IFERROR(INDEX(Produtos!$C$4:$C$4996,MATCH(D5339,Produtos!$B$4:$B$4996,0)),"Produto não encontrado"),"")</f>
        <v/>
      </c>
    </row>
    <row r="5340" spans="1:5" x14ac:dyDescent="0.3">
      <c r="A5340" s="21" t="str">
        <f t="shared" si="83"/>
        <v>.</v>
      </c>
      <c r="D5340" s="44"/>
      <c r="E5340" s="22" t="str">
        <f>IF(D5340&lt;&gt;"",IFERROR(INDEX(Produtos!$C$4:$C$4996,MATCH(D5340,Produtos!$B$4:$B$4996,0)),"Produto não encontrado"),"")</f>
        <v/>
      </c>
    </row>
    <row r="5341" spans="1:5" x14ac:dyDescent="0.3">
      <c r="A5341" s="21" t="str">
        <f t="shared" si="83"/>
        <v>.</v>
      </c>
      <c r="D5341" s="44"/>
      <c r="E5341" s="22" t="str">
        <f>IF(D5341&lt;&gt;"",IFERROR(INDEX(Produtos!$C$4:$C$4996,MATCH(D5341,Produtos!$B$4:$B$4996,0)),"Produto não encontrado"),"")</f>
        <v/>
      </c>
    </row>
    <row r="5342" spans="1:5" x14ac:dyDescent="0.3">
      <c r="A5342" s="21" t="str">
        <f t="shared" si="83"/>
        <v>.</v>
      </c>
      <c r="D5342" s="44"/>
      <c r="E5342" s="22" t="str">
        <f>IF(D5342&lt;&gt;"",IFERROR(INDEX(Produtos!$C$4:$C$4996,MATCH(D5342,Produtos!$B$4:$B$4996,0)),"Produto não encontrado"),"")</f>
        <v/>
      </c>
    </row>
    <row r="5343" spans="1:5" x14ac:dyDescent="0.3">
      <c r="A5343" s="21" t="str">
        <f t="shared" si="83"/>
        <v>.</v>
      </c>
      <c r="D5343" s="44"/>
      <c r="E5343" s="22" t="str">
        <f>IF(D5343&lt;&gt;"",IFERROR(INDEX(Produtos!$C$4:$C$4996,MATCH(D5343,Produtos!$B$4:$B$4996,0)),"Produto não encontrado"),"")</f>
        <v/>
      </c>
    </row>
    <row r="5344" spans="1:5" x14ac:dyDescent="0.3">
      <c r="A5344" s="21" t="str">
        <f t="shared" si="83"/>
        <v>.</v>
      </c>
      <c r="D5344" s="44"/>
      <c r="E5344" s="22" t="str">
        <f>IF(D5344&lt;&gt;"",IFERROR(INDEX(Produtos!$C$4:$C$4996,MATCH(D5344,Produtos!$B$4:$B$4996,0)),"Produto não encontrado"),"")</f>
        <v/>
      </c>
    </row>
    <row r="5345" spans="1:5" x14ac:dyDescent="0.3">
      <c r="A5345" s="21" t="str">
        <f t="shared" si="83"/>
        <v>.</v>
      </c>
      <c r="D5345" s="44"/>
      <c r="E5345" s="22" t="str">
        <f>IF(D5345&lt;&gt;"",IFERROR(INDEX(Produtos!$C$4:$C$4996,MATCH(D5345,Produtos!$B$4:$B$4996,0)),"Produto não encontrado"),"")</f>
        <v/>
      </c>
    </row>
    <row r="5346" spans="1:5" x14ac:dyDescent="0.3">
      <c r="A5346" s="21" t="str">
        <f t="shared" si="83"/>
        <v>.</v>
      </c>
      <c r="D5346" s="44"/>
      <c r="E5346" s="22" t="str">
        <f>IF(D5346&lt;&gt;"",IFERROR(INDEX(Produtos!$C$4:$C$4996,MATCH(D5346,Produtos!$B$4:$B$4996,0)),"Produto não encontrado"),"")</f>
        <v/>
      </c>
    </row>
    <row r="5347" spans="1:5" x14ac:dyDescent="0.3">
      <c r="A5347" s="21" t="str">
        <f t="shared" si="83"/>
        <v>.</v>
      </c>
      <c r="D5347" s="44"/>
      <c r="E5347" s="22" t="str">
        <f>IF(D5347&lt;&gt;"",IFERROR(INDEX(Produtos!$C$4:$C$4996,MATCH(D5347,Produtos!$B$4:$B$4996,0)),"Produto não encontrado"),"")</f>
        <v/>
      </c>
    </row>
    <row r="5348" spans="1:5" x14ac:dyDescent="0.3">
      <c r="A5348" s="21" t="str">
        <f t="shared" si="83"/>
        <v>.</v>
      </c>
      <c r="D5348" s="44"/>
      <c r="E5348" s="22" t="str">
        <f>IF(D5348&lt;&gt;"",IFERROR(INDEX(Produtos!$C$4:$C$4996,MATCH(D5348,Produtos!$B$4:$B$4996,0)),"Produto não encontrado"),"")</f>
        <v/>
      </c>
    </row>
    <row r="5349" spans="1:5" x14ac:dyDescent="0.3">
      <c r="A5349" s="21" t="str">
        <f t="shared" si="83"/>
        <v>.</v>
      </c>
      <c r="D5349" s="44"/>
      <c r="E5349" s="22" t="str">
        <f>IF(D5349&lt;&gt;"",IFERROR(INDEX(Produtos!$C$4:$C$4996,MATCH(D5349,Produtos!$B$4:$B$4996,0)),"Produto não encontrado"),"")</f>
        <v/>
      </c>
    </row>
    <row r="5350" spans="1:5" x14ac:dyDescent="0.3">
      <c r="A5350" s="21" t="str">
        <f t="shared" si="83"/>
        <v>.</v>
      </c>
      <c r="D5350" s="44"/>
      <c r="E5350" s="22" t="str">
        <f>IF(D5350&lt;&gt;"",IFERROR(INDEX(Produtos!$C$4:$C$4996,MATCH(D5350,Produtos!$B$4:$B$4996,0)),"Produto não encontrado"),"")</f>
        <v/>
      </c>
    </row>
    <row r="5351" spans="1:5" x14ac:dyDescent="0.3">
      <c r="A5351" s="21" t="str">
        <f t="shared" si="83"/>
        <v>.</v>
      </c>
      <c r="D5351" s="44"/>
      <c r="E5351" s="22" t="str">
        <f>IF(D5351&lt;&gt;"",IFERROR(INDEX(Produtos!$C$4:$C$4996,MATCH(D5351,Produtos!$B$4:$B$4996,0)),"Produto não encontrado"),"")</f>
        <v/>
      </c>
    </row>
    <row r="5352" spans="1:5" x14ac:dyDescent="0.3">
      <c r="A5352" s="21" t="str">
        <f t="shared" si="83"/>
        <v>.</v>
      </c>
      <c r="D5352" s="44"/>
      <c r="E5352" s="22" t="str">
        <f>IF(D5352&lt;&gt;"",IFERROR(INDEX(Produtos!$C$4:$C$4996,MATCH(D5352,Produtos!$B$4:$B$4996,0)),"Produto não encontrado"),"")</f>
        <v/>
      </c>
    </row>
    <row r="5353" spans="1:5" x14ac:dyDescent="0.3">
      <c r="A5353" s="21" t="str">
        <f t="shared" si="83"/>
        <v>.</v>
      </c>
      <c r="D5353" s="44"/>
      <c r="E5353" s="22" t="str">
        <f>IF(D5353&lt;&gt;"",IFERROR(INDEX(Produtos!$C$4:$C$4996,MATCH(D5353,Produtos!$B$4:$B$4996,0)),"Produto não encontrado"),"")</f>
        <v/>
      </c>
    </row>
    <row r="5354" spans="1:5" x14ac:dyDescent="0.3">
      <c r="A5354" s="21" t="str">
        <f t="shared" si="83"/>
        <v>.</v>
      </c>
      <c r="D5354" s="44"/>
      <c r="E5354" s="22" t="str">
        <f>IF(D5354&lt;&gt;"",IFERROR(INDEX(Produtos!$C$4:$C$4996,MATCH(D5354,Produtos!$B$4:$B$4996,0)),"Produto não encontrado"),"")</f>
        <v/>
      </c>
    </row>
    <row r="5355" spans="1:5" x14ac:dyDescent="0.3">
      <c r="A5355" s="21" t="str">
        <f t="shared" si="83"/>
        <v>.</v>
      </c>
      <c r="D5355" s="44"/>
      <c r="E5355" s="22" t="str">
        <f>IF(D5355&lt;&gt;"",IFERROR(INDEX(Produtos!$C$4:$C$4996,MATCH(D5355,Produtos!$B$4:$B$4996,0)),"Produto não encontrado"),"")</f>
        <v/>
      </c>
    </row>
    <row r="5356" spans="1:5" x14ac:dyDescent="0.3">
      <c r="A5356" s="21" t="str">
        <f t="shared" si="83"/>
        <v>.</v>
      </c>
      <c r="D5356" s="44"/>
      <c r="E5356" s="22" t="str">
        <f>IF(D5356&lt;&gt;"",IFERROR(INDEX(Produtos!$C$4:$C$4996,MATCH(D5356,Produtos!$B$4:$B$4996,0)),"Produto não encontrado"),"")</f>
        <v/>
      </c>
    </row>
    <row r="5357" spans="1:5" x14ac:dyDescent="0.3">
      <c r="A5357" s="21" t="str">
        <f t="shared" si="83"/>
        <v>.</v>
      </c>
      <c r="D5357" s="44"/>
      <c r="E5357" s="22" t="str">
        <f>IF(D5357&lt;&gt;"",IFERROR(INDEX(Produtos!$C$4:$C$4996,MATCH(D5357,Produtos!$B$4:$B$4996,0)),"Produto não encontrado"),"")</f>
        <v/>
      </c>
    </row>
    <row r="5358" spans="1:5" x14ac:dyDescent="0.3">
      <c r="A5358" s="21" t="str">
        <f t="shared" si="83"/>
        <v>.</v>
      </c>
      <c r="D5358" s="44"/>
      <c r="E5358" s="22" t="str">
        <f>IF(D5358&lt;&gt;"",IFERROR(INDEX(Produtos!$C$4:$C$4996,MATCH(D5358,Produtos!$B$4:$B$4996,0)),"Produto não encontrado"),"")</f>
        <v/>
      </c>
    </row>
    <row r="5359" spans="1:5" x14ac:dyDescent="0.3">
      <c r="A5359" s="21" t="str">
        <f t="shared" si="83"/>
        <v>.</v>
      </c>
      <c r="D5359" s="44"/>
      <c r="E5359" s="22" t="str">
        <f>IF(D5359&lt;&gt;"",IFERROR(INDEX(Produtos!$C$4:$C$4996,MATCH(D5359,Produtos!$B$4:$B$4996,0)),"Produto não encontrado"),"")</f>
        <v/>
      </c>
    </row>
    <row r="5360" spans="1:5" x14ac:dyDescent="0.3">
      <c r="A5360" s="21" t="str">
        <f t="shared" si="83"/>
        <v>.</v>
      </c>
      <c r="D5360" s="44"/>
      <c r="E5360" s="22" t="str">
        <f>IF(D5360&lt;&gt;"",IFERROR(INDEX(Produtos!$C$4:$C$4996,MATCH(D5360,Produtos!$B$4:$B$4996,0)),"Produto não encontrado"),"")</f>
        <v/>
      </c>
    </row>
    <row r="5361" spans="1:5" x14ac:dyDescent="0.3">
      <c r="A5361" s="21" t="str">
        <f t="shared" si="83"/>
        <v>.</v>
      </c>
      <c r="D5361" s="44"/>
      <c r="E5361" s="22" t="str">
        <f>IF(D5361&lt;&gt;"",IFERROR(INDEX(Produtos!$C$4:$C$4996,MATCH(D5361,Produtos!$B$4:$B$4996,0)),"Produto não encontrado"),"")</f>
        <v/>
      </c>
    </row>
    <row r="5362" spans="1:5" x14ac:dyDescent="0.3">
      <c r="A5362" s="21" t="str">
        <f t="shared" si="83"/>
        <v>.</v>
      </c>
      <c r="D5362" s="44"/>
      <c r="E5362" s="22" t="str">
        <f>IF(D5362&lt;&gt;"",IFERROR(INDEX(Produtos!$C$4:$C$4996,MATCH(D5362,Produtos!$B$4:$B$4996,0)),"Produto não encontrado"),"")</f>
        <v/>
      </c>
    </row>
    <row r="5363" spans="1:5" x14ac:dyDescent="0.3">
      <c r="A5363" s="21" t="str">
        <f t="shared" si="83"/>
        <v>.</v>
      </c>
      <c r="D5363" s="44"/>
      <c r="E5363" s="22" t="str">
        <f>IF(D5363&lt;&gt;"",IFERROR(INDEX(Produtos!$C$4:$C$4996,MATCH(D5363,Produtos!$B$4:$B$4996,0)),"Produto não encontrado"),"")</f>
        <v/>
      </c>
    </row>
    <row r="5364" spans="1:5" x14ac:dyDescent="0.3">
      <c r="A5364" s="21" t="str">
        <f t="shared" si="83"/>
        <v>.</v>
      </c>
      <c r="D5364" s="44"/>
      <c r="E5364" s="22" t="str">
        <f>IF(D5364&lt;&gt;"",IFERROR(INDEX(Produtos!$C$4:$C$4996,MATCH(D5364,Produtos!$B$4:$B$4996,0)),"Produto não encontrado"),"")</f>
        <v/>
      </c>
    </row>
    <row r="5365" spans="1:5" x14ac:dyDescent="0.3">
      <c r="A5365" s="21" t="str">
        <f t="shared" si="83"/>
        <v>.</v>
      </c>
      <c r="D5365" s="44"/>
      <c r="E5365" s="22" t="str">
        <f>IF(D5365&lt;&gt;"",IFERROR(INDEX(Produtos!$C$4:$C$4996,MATCH(D5365,Produtos!$B$4:$B$4996,0)),"Produto não encontrado"),"")</f>
        <v/>
      </c>
    </row>
    <row r="5366" spans="1:5" x14ac:dyDescent="0.3">
      <c r="A5366" s="21" t="str">
        <f t="shared" si="83"/>
        <v>.</v>
      </c>
      <c r="D5366" s="44"/>
      <c r="E5366" s="22" t="str">
        <f>IF(D5366&lt;&gt;"",IFERROR(INDEX(Produtos!$C$4:$C$4996,MATCH(D5366,Produtos!$B$4:$B$4996,0)),"Produto não encontrado"),"")</f>
        <v/>
      </c>
    </row>
    <row r="5367" spans="1:5" x14ac:dyDescent="0.3">
      <c r="A5367" s="21" t="str">
        <f t="shared" si="83"/>
        <v>.</v>
      </c>
      <c r="D5367" s="44"/>
      <c r="E5367" s="22" t="str">
        <f>IF(D5367&lt;&gt;"",IFERROR(INDEX(Produtos!$C$4:$C$4996,MATCH(D5367,Produtos!$B$4:$B$4996,0)),"Produto não encontrado"),"")</f>
        <v/>
      </c>
    </row>
    <row r="5368" spans="1:5" x14ac:dyDescent="0.3">
      <c r="A5368" s="21" t="str">
        <f t="shared" si="83"/>
        <v>.</v>
      </c>
      <c r="D5368" s="44"/>
      <c r="E5368" s="22" t="str">
        <f>IF(D5368&lt;&gt;"",IFERROR(INDEX(Produtos!$C$4:$C$4996,MATCH(D5368,Produtos!$B$4:$B$4996,0)),"Produto não encontrado"),"")</f>
        <v/>
      </c>
    </row>
    <row r="5369" spans="1:5" x14ac:dyDescent="0.3">
      <c r="A5369" s="21" t="str">
        <f t="shared" si="83"/>
        <v>.</v>
      </c>
      <c r="D5369" s="44"/>
      <c r="E5369" s="22" t="str">
        <f>IF(D5369&lt;&gt;"",IFERROR(INDEX(Produtos!$C$4:$C$4996,MATCH(D5369,Produtos!$B$4:$B$4996,0)),"Produto não encontrado"),"")</f>
        <v/>
      </c>
    </row>
    <row r="5370" spans="1:5" x14ac:dyDescent="0.3">
      <c r="A5370" s="21" t="str">
        <f t="shared" si="83"/>
        <v>.</v>
      </c>
      <c r="D5370" s="44"/>
      <c r="E5370" s="22" t="str">
        <f>IF(D5370&lt;&gt;"",IFERROR(INDEX(Produtos!$C$4:$C$4996,MATCH(D5370,Produtos!$B$4:$B$4996,0)),"Produto não encontrado"),"")</f>
        <v/>
      </c>
    </row>
    <row r="5371" spans="1:5" x14ac:dyDescent="0.3">
      <c r="A5371" s="21" t="str">
        <f t="shared" si="83"/>
        <v>.</v>
      </c>
      <c r="D5371" s="44"/>
      <c r="E5371" s="22" t="str">
        <f>IF(D5371&lt;&gt;"",IFERROR(INDEX(Produtos!$C$4:$C$4996,MATCH(D5371,Produtos!$B$4:$B$4996,0)),"Produto não encontrado"),"")</f>
        <v/>
      </c>
    </row>
    <row r="5372" spans="1:5" x14ac:dyDescent="0.3">
      <c r="A5372" s="21" t="str">
        <f t="shared" si="83"/>
        <v>.</v>
      </c>
      <c r="D5372" s="44"/>
      <c r="E5372" s="22" t="str">
        <f>IF(D5372&lt;&gt;"",IFERROR(INDEX(Produtos!$C$4:$C$4996,MATCH(D5372,Produtos!$B$4:$B$4996,0)),"Produto não encontrado"),"")</f>
        <v/>
      </c>
    </row>
    <row r="5373" spans="1:5" x14ac:dyDescent="0.3">
      <c r="A5373" s="21" t="str">
        <f t="shared" si="83"/>
        <v>.</v>
      </c>
      <c r="D5373" s="44"/>
      <c r="E5373" s="22" t="str">
        <f>IF(D5373&lt;&gt;"",IFERROR(INDEX(Produtos!$C$4:$C$4996,MATCH(D5373,Produtos!$B$4:$B$4996,0)),"Produto não encontrado"),"")</f>
        <v/>
      </c>
    </row>
    <row r="5374" spans="1:5" x14ac:dyDescent="0.3">
      <c r="A5374" s="21" t="str">
        <f t="shared" si="83"/>
        <v>.</v>
      </c>
      <c r="D5374" s="44"/>
      <c r="E5374" s="22" t="str">
        <f>IF(D5374&lt;&gt;"",IFERROR(INDEX(Produtos!$C$4:$C$4996,MATCH(D5374,Produtos!$B$4:$B$4996,0)),"Produto não encontrado"),"")</f>
        <v/>
      </c>
    </row>
    <row r="5375" spans="1:5" x14ac:dyDescent="0.3">
      <c r="A5375" s="21" t="str">
        <f t="shared" si="83"/>
        <v>.</v>
      </c>
      <c r="D5375" s="44"/>
      <c r="E5375" s="22" t="str">
        <f>IF(D5375&lt;&gt;"",IFERROR(INDEX(Produtos!$C$4:$C$4996,MATCH(D5375,Produtos!$B$4:$B$4996,0)),"Produto não encontrado"),"")</f>
        <v/>
      </c>
    </row>
    <row r="5376" spans="1:5" x14ac:dyDescent="0.3">
      <c r="A5376" s="21" t="str">
        <f t="shared" ref="A5376:A5439" si="84">IF(C5376="Entrada",2,IF(C5376="Saída",1,"."))</f>
        <v>.</v>
      </c>
      <c r="D5376" s="44"/>
      <c r="E5376" s="22" t="str">
        <f>IF(D5376&lt;&gt;"",IFERROR(INDEX(Produtos!$C$4:$C$4996,MATCH(D5376,Produtos!$B$4:$B$4996,0)),"Produto não encontrado"),"")</f>
        <v/>
      </c>
    </row>
    <row r="5377" spans="1:5" x14ac:dyDescent="0.3">
      <c r="A5377" s="21" t="str">
        <f t="shared" si="84"/>
        <v>.</v>
      </c>
      <c r="D5377" s="44"/>
      <c r="E5377" s="22" t="str">
        <f>IF(D5377&lt;&gt;"",IFERROR(INDEX(Produtos!$C$4:$C$4996,MATCH(D5377,Produtos!$B$4:$B$4996,0)),"Produto não encontrado"),"")</f>
        <v/>
      </c>
    </row>
    <row r="5378" spans="1:5" x14ac:dyDescent="0.3">
      <c r="A5378" s="21" t="str">
        <f t="shared" si="84"/>
        <v>.</v>
      </c>
      <c r="D5378" s="44"/>
      <c r="E5378" s="22" t="str">
        <f>IF(D5378&lt;&gt;"",IFERROR(INDEX(Produtos!$C$4:$C$4996,MATCH(D5378,Produtos!$B$4:$B$4996,0)),"Produto não encontrado"),"")</f>
        <v/>
      </c>
    </row>
    <row r="5379" spans="1:5" x14ac:dyDescent="0.3">
      <c r="A5379" s="21" t="str">
        <f t="shared" si="84"/>
        <v>.</v>
      </c>
      <c r="D5379" s="44"/>
      <c r="E5379" s="22" t="str">
        <f>IF(D5379&lt;&gt;"",IFERROR(INDEX(Produtos!$C$4:$C$4996,MATCH(D5379,Produtos!$B$4:$B$4996,0)),"Produto não encontrado"),"")</f>
        <v/>
      </c>
    </row>
    <row r="5380" spans="1:5" x14ac:dyDescent="0.3">
      <c r="A5380" s="21" t="str">
        <f t="shared" si="84"/>
        <v>.</v>
      </c>
      <c r="D5380" s="44"/>
      <c r="E5380" s="22" t="str">
        <f>IF(D5380&lt;&gt;"",IFERROR(INDEX(Produtos!$C$4:$C$4996,MATCH(D5380,Produtos!$B$4:$B$4996,0)),"Produto não encontrado"),"")</f>
        <v/>
      </c>
    </row>
    <row r="5381" spans="1:5" x14ac:dyDescent="0.3">
      <c r="A5381" s="21" t="str">
        <f t="shared" si="84"/>
        <v>.</v>
      </c>
      <c r="D5381" s="44"/>
      <c r="E5381" s="22" t="str">
        <f>IF(D5381&lt;&gt;"",IFERROR(INDEX(Produtos!$C$4:$C$4996,MATCH(D5381,Produtos!$B$4:$B$4996,0)),"Produto não encontrado"),"")</f>
        <v/>
      </c>
    </row>
    <row r="5382" spans="1:5" x14ac:dyDescent="0.3">
      <c r="A5382" s="21" t="str">
        <f t="shared" si="84"/>
        <v>.</v>
      </c>
      <c r="D5382" s="44"/>
      <c r="E5382" s="22" t="str">
        <f>IF(D5382&lt;&gt;"",IFERROR(INDEX(Produtos!$C$4:$C$4996,MATCH(D5382,Produtos!$B$4:$B$4996,0)),"Produto não encontrado"),"")</f>
        <v/>
      </c>
    </row>
    <row r="5383" spans="1:5" x14ac:dyDescent="0.3">
      <c r="A5383" s="21" t="str">
        <f t="shared" si="84"/>
        <v>.</v>
      </c>
      <c r="D5383" s="44"/>
      <c r="E5383" s="22" t="str">
        <f>IF(D5383&lt;&gt;"",IFERROR(INDEX(Produtos!$C$4:$C$4996,MATCH(D5383,Produtos!$B$4:$B$4996,0)),"Produto não encontrado"),"")</f>
        <v/>
      </c>
    </row>
    <row r="5384" spans="1:5" x14ac:dyDescent="0.3">
      <c r="A5384" s="21" t="str">
        <f t="shared" si="84"/>
        <v>.</v>
      </c>
      <c r="D5384" s="44"/>
      <c r="E5384" s="22" t="str">
        <f>IF(D5384&lt;&gt;"",IFERROR(INDEX(Produtos!$C$4:$C$4996,MATCH(D5384,Produtos!$B$4:$B$4996,0)),"Produto não encontrado"),"")</f>
        <v/>
      </c>
    </row>
    <row r="5385" spans="1:5" x14ac:dyDescent="0.3">
      <c r="A5385" s="21" t="str">
        <f t="shared" si="84"/>
        <v>.</v>
      </c>
      <c r="D5385" s="44"/>
      <c r="E5385" s="22" t="str">
        <f>IF(D5385&lt;&gt;"",IFERROR(INDEX(Produtos!$C$4:$C$4996,MATCH(D5385,Produtos!$B$4:$B$4996,0)),"Produto não encontrado"),"")</f>
        <v/>
      </c>
    </row>
    <row r="5386" spans="1:5" x14ac:dyDescent="0.3">
      <c r="A5386" s="21" t="str">
        <f t="shared" si="84"/>
        <v>.</v>
      </c>
      <c r="D5386" s="44"/>
      <c r="E5386" s="22" t="str">
        <f>IF(D5386&lt;&gt;"",IFERROR(INDEX(Produtos!$C$4:$C$4996,MATCH(D5386,Produtos!$B$4:$B$4996,0)),"Produto não encontrado"),"")</f>
        <v/>
      </c>
    </row>
    <row r="5387" spans="1:5" x14ac:dyDescent="0.3">
      <c r="A5387" s="21" t="str">
        <f t="shared" si="84"/>
        <v>.</v>
      </c>
      <c r="D5387" s="44"/>
      <c r="E5387" s="22" t="str">
        <f>IF(D5387&lt;&gt;"",IFERROR(INDEX(Produtos!$C$4:$C$4996,MATCH(D5387,Produtos!$B$4:$B$4996,0)),"Produto não encontrado"),"")</f>
        <v/>
      </c>
    </row>
    <row r="5388" spans="1:5" x14ac:dyDescent="0.3">
      <c r="A5388" s="21" t="str">
        <f t="shared" si="84"/>
        <v>.</v>
      </c>
      <c r="D5388" s="44"/>
      <c r="E5388" s="22" t="str">
        <f>IF(D5388&lt;&gt;"",IFERROR(INDEX(Produtos!$C$4:$C$4996,MATCH(D5388,Produtos!$B$4:$B$4996,0)),"Produto não encontrado"),"")</f>
        <v/>
      </c>
    </row>
    <row r="5389" spans="1:5" x14ac:dyDescent="0.3">
      <c r="A5389" s="21" t="str">
        <f t="shared" si="84"/>
        <v>.</v>
      </c>
      <c r="D5389" s="44"/>
      <c r="E5389" s="22" t="str">
        <f>IF(D5389&lt;&gt;"",IFERROR(INDEX(Produtos!$C$4:$C$4996,MATCH(D5389,Produtos!$B$4:$B$4996,0)),"Produto não encontrado"),"")</f>
        <v/>
      </c>
    </row>
    <row r="5390" spans="1:5" x14ac:dyDescent="0.3">
      <c r="A5390" s="21" t="str">
        <f t="shared" si="84"/>
        <v>.</v>
      </c>
      <c r="D5390" s="44"/>
      <c r="E5390" s="22" t="str">
        <f>IF(D5390&lt;&gt;"",IFERROR(INDEX(Produtos!$C$4:$C$4996,MATCH(D5390,Produtos!$B$4:$B$4996,0)),"Produto não encontrado"),"")</f>
        <v/>
      </c>
    </row>
    <row r="5391" spans="1:5" x14ac:dyDescent="0.3">
      <c r="A5391" s="21" t="str">
        <f t="shared" si="84"/>
        <v>.</v>
      </c>
      <c r="D5391" s="44"/>
      <c r="E5391" s="22" t="str">
        <f>IF(D5391&lt;&gt;"",IFERROR(INDEX(Produtos!$C$4:$C$4996,MATCH(D5391,Produtos!$B$4:$B$4996,0)),"Produto não encontrado"),"")</f>
        <v/>
      </c>
    </row>
    <row r="5392" spans="1:5" x14ac:dyDescent="0.3">
      <c r="A5392" s="21" t="str">
        <f t="shared" si="84"/>
        <v>.</v>
      </c>
      <c r="D5392" s="44"/>
      <c r="E5392" s="22" t="str">
        <f>IF(D5392&lt;&gt;"",IFERROR(INDEX(Produtos!$C$4:$C$4996,MATCH(D5392,Produtos!$B$4:$B$4996,0)),"Produto não encontrado"),"")</f>
        <v/>
      </c>
    </row>
    <row r="5393" spans="1:5" x14ac:dyDescent="0.3">
      <c r="A5393" s="21" t="str">
        <f t="shared" si="84"/>
        <v>.</v>
      </c>
      <c r="D5393" s="44"/>
      <c r="E5393" s="22" t="str">
        <f>IF(D5393&lt;&gt;"",IFERROR(INDEX(Produtos!$C$4:$C$4996,MATCH(D5393,Produtos!$B$4:$B$4996,0)),"Produto não encontrado"),"")</f>
        <v/>
      </c>
    </row>
    <row r="5394" spans="1:5" x14ac:dyDescent="0.3">
      <c r="A5394" s="21" t="str">
        <f t="shared" si="84"/>
        <v>.</v>
      </c>
      <c r="D5394" s="44"/>
      <c r="E5394" s="22" t="str">
        <f>IF(D5394&lt;&gt;"",IFERROR(INDEX(Produtos!$C$4:$C$4996,MATCH(D5394,Produtos!$B$4:$B$4996,0)),"Produto não encontrado"),"")</f>
        <v/>
      </c>
    </row>
    <row r="5395" spans="1:5" x14ac:dyDescent="0.3">
      <c r="A5395" s="21" t="str">
        <f t="shared" si="84"/>
        <v>.</v>
      </c>
      <c r="D5395" s="44"/>
      <c r="E5395" s="22" t="str">
        <f>IF(D5395&lt;&gt;"",IFERROR(INDEX(Produtos!$C$4:$C$4996,MATCH(D5395,Produtos!$B$4:$B$4996,0)),"Produto não encontrado"),"")</f>
        <v/>
      </c>
    </row>
    <row r="5396" spans="1:5" x14ac:dyDescent="0.3">
      <c r="A5396" s="21" t="str">
        <f t="shared" si="84"/>
        <v>.</v>
      </c>
      <c r="D5396" s="44"/>
      <c r="E5396" s="22" t="str">
        <f>IF(D5396&lt;&gt;"",IFERROR(INDEX(Produtos!$C$4:$C$4996,MATCH(D5396,Produtos!$B$4:$B$4996,0)),"Produto não encontrado"),"")</f>
        <v/>
      </c>
    </row>
    <row r="5397" spans="1:5" x14ac:dyDescent="0.3">
      <c r="A5397" s="21" t="str">
        <f t="shared" si="84"/>
        <v>.</v>
      </c>
      <c r="D5397" s="44"/>
      <c r="E5397" s="22" t="str">
        <f>IF(D5397&lt;&gt;"",IFERROR(INDEX(Produtos!$C$4:$C$4996,MATCH(D5397,Produtos!$B$4:$B$4996,0)),"Produto não encontrado"),"")</f>
        <v/>
      </c>
    </row>
    <row r="5398" spans="1:5" x14ac:dyDescent="0.3">
      <c r="A5398" s="21" t="str">
        <f t="shared" si="84"/>
        <v>.</v>
      </c>
      <c r="D5398" s="44"/>
      <c r="E5398" s="22" t="str">
        <f>IF(D5398&lt;&gt;"",IFERROR(INDEX(Produtos!$C$4:$C$4996,MATCH(D5398,Produtos!$B$4:$B$4996,0)),"Produto não encontrado"),"")</f>
        <v/>
      </c>
    </row>
    <row r="5399" spans="1:5" x14ac:dyDescent="0.3">
      <c r="A5399" s="21" t="str">
        <f t="shared" si="84"/>
        <v>.</v>
      </c>
      <c r="D5399" s="44"/>
      <c r="E5399" s="22" t="str">
        <f>IF(D5399&lt;&gt;"",IFERROR(INDEX(Produtos!$C$4:$C$4996,MATCH(D5399,Produtos!$B$4:$B$4996,0)),"Produto não encontrado"),"")</f>
        <v/>
      </c>
    </row>
    <row r="5400" spans="1:5" x14ac:dyDescent="0.3">
      <c r="A5400" s="21" t="str">
        <f t="shared" si="84"/>
        <v>.</v>
      </c>
      <c r="D5400" s="44"/>
      <c r="E5400" s="22" t="str">
        <f>IF(D5400&lt;&gt;"",IFERROR(INDEX(Produtos!$C$4:$C$4996,MATCH(D5400,Produtos!$B$4:$B$4996,0)),"Produto não encontrado"),"")</f>
        <v/>
      </c>
    </row>
    <row r="5401" spans="1:5" x14ac:dyDescent="0.3">
      <c r="A5401" s="21" t="str">
        <f t="shared" si="84"/>
        <v>.</v>
      </c>
      <c r="D5401" s="44"/>
      <c r="E5401" s="22" t="str">
        <f>IF(D5401&lt;&gt;"",IFERROR(INDEX(Produtos!$C$4:$C$4996,MATCH(D5401,Produtos!$B$4:$B$4996,0)),"Produto não encontrado"),"")</f>
        <v/>
      </c>
    </row>
    <row r="5402" spans="1:5" x14ac:dyDescent="0.3">
      <c r="A5402" s="21" t="str">
        <f t="shared" si="84"/>
        <v>.</v>
      </c>
      <c r="D5402" s="44"/>
      <c r="E5402" s="22" t="str">
        <f>IF(D5402&lt;&gt;"",IFERROR(INDEX(Produtos!$C$4:$C$4996,MATCH(D5402,Produtos!$B$4:$B$4996,0)),"Produto não encontrado"),"")</f>
        <v/>
      </c>
    </row>
    <row r="5403" spans="1:5" x14ac:dyDescent="0.3">
      <c r="A5403" s="21" t="str">
        <f t="shared" si="84"/>
        <v>.</v>
      </c>
      <c r="D5403" s="44"/>
      <c r="E5403" s="22" t="str">
        <f>IF(D5403&lt;&gt;"",IFERROR(INDEX(Produtos!$C$4:$C$4996,MATCH(D5403,Produtos!$B$4:$B$4996,0)),"Produto não encontrado"),"")</f>
        <v/>
      </c>
    </row>
    <row r="5404" spans="1:5" x14ac:dyDescent="0.3">
      <c r="A5404" s="21" t="str">
        <f t="shared" si="84"/>
        <v>.</v>
      </c>
      <c r="D5404" s="44"/>
      <c r="E5404" s="22" t="str">
        <f>IF(D5404&lt;&gt;"",IFERROR(INDEX(Produtos!$C$4:$C$4996,MATCH(D5404,Produtos!$B$4:$B$4996,0)),"Produto não encontrado"),"")</f>
        <v/>
      </c>
    </row>
    <row r="5405" spans="1:5" x14ac:dyDescent="0.3">
      <c r="A5405" s="21" t="str">
        <f t="shared" si="84"/>
        <v>.</v>
      </c>
      <c r="D5405" s="44"/>
      <c r="E5405" s="22" t="str">
        <f>IF(D5405&lt;&gt;"",IFERROR(INDEX(Produtos!$C$4:$C$4996,MATCH(D5405,Produtos!$B$4:$B$4996,0)),"Produto não encontrado"),"")</f>
        <v/>
      </c>
    </row>
    <row r="5406" spans="1:5" x14ac:dyDescent="0.3">
      <c r="A5406" s="21" t="str">
        <f t="shared" si="84"/>
        <v>.</v>
      </c>
      <c r="D5406" s="44"/>
      <c r="E5406" s="22" t="str">
        <f>IF(D5406&lt;&gt;"",IFERROR(INDEX(Produtos!$C$4:$C$4996,MATCH(D5406,Produtos!$B$4:$B$4996,0)),"Produto não encontrado"),"")</f>
        <v/>
      </c>
    </row>
    <row r="5407" spans="1:5" x14ac:dyDescent="0.3">
      <c r="A5407" s="21" t="str">
        <f t="shared" si="84"/>
        <v>.</v>
      </c>
      <c r="D5407" s="44"/>
      <c r="E5407" s="22" t="str">
        <f>IF(D5407&lt;&gt;"",IFERROR(INDEX(Produtos!$C$4:$C$4996,MATCH(D5407,Produtos!$B$4:$B$4996,0)),"Produto não encontrado"),"")</f>
        <v/>
      </c>
    </row>
    <row r="5408" spans="1:5" x14ac:dyDescent="0.3">
      <c r="A5408" s="21" t="str">
        <f t="shared" si="84"/>
        <v>.</v>
      </c>
      <c r="D5408" s="44"/>
      <c r="E5408" s="22" t="str">
        <f>IF(D5408&lt;&gt;"",IFERROR(INDEX(Produtos!$C$4:$C$4996,MATCH(D5408,Produtos!$B$4:$B$4996,0)),"Produto não encontrado"),"")</f>
        <v/>
      </c>
    </row>
    <row r="5409" spans="1:5" x14ac:dyDescent="0.3">
      <c r="A5409" s="21" t="str">
        <f t="shared" si="84"/>
        <v>.</v>
      </c>
      <c r="D5409" s="44"/>
      <c r="E5409" s="22" t="str">
        <f>IF(D5409&lt;&gt;"",IFERROR(INDEX(Produtos!$C$4:$C$4996,MATCH(D5409,Produtos!$B$4:$B$4996,0)),"Produto não encontrado"),"")</f>
        <v/>
      </c>
    </row>
    <row r="5410" spans="1:5" x14ac:dyDescent="0.3">
      <c r="A5410" s="21" t="str">
        <f t="shared" si="84"/>
        <v>.</v>
      </c>
      <c r="D5410" s="44"/>
      <c r="E5410" s="22" t="str">
        <f>IF(D5410&lt;&gt;"",IFERROR(INDEX(Produtos!$C$4:$C$4996,MATCH(D5410,Produtos!$B$4:$B$4996,0)),"Produto não encontrado"),"")</f>
        <v/>
      </c>
    </row>
    <row r="5411" spans="1:5" x14ac:dyDescent="0.3">
      <c r="A5411" s="21" t="str">
        <f t="shared" si="84"/>
        <v>.</v>
      </c>
      <c r="D5411" s="44"/>
      <c r="E5411" s="22" t="str">
        <f>IF(D5411&lt;&gt;"",IFERROR(INDEX(Produtos!$C$4:$C$4996,MATCH(D5411,Produtos!$B$4:$B$4996,0)),"Produto não encontrado"),"")</f>
        <v/>
      </c>
    </row>
    <row r="5412" spans="1:5" x14ac:dyDescent="0.3">
      <c r="A5412" s="21" t="str">
        <f t="shared" si="84"/>
        <v>.</v>
      </c>
      <c r="D5412" s="44"/>
      <c r="E5412" s="22" t="str">
        <f>IF(D5412&lt;&gt;"",IFERROR(INDEX(Produtos!$C$4:$C$4996,MATCH(D5412,Produtos!$B$4:$B$4996,0)),"Produto não encontrado"),"")</f>
        <v/>
      </c>
    </row>
    <row r="5413" spans="1:5" x14ac:dyDescent="0.3">
      <c r="A5413" s="21" t="str">
        <f t="shared" si="84"/>
        <v>.</v>
      </c>
      <c r="D5413" s="44"/>
      <c r="E5413" s="22" t="str">
        <f>IF(D5413&lt;&gt;"",IFERROR(INDEX(Produtos!$C$4:$C$4996,MATCH(D5413,Produtos!$B$4:$B$4996,0)),"Produto não encontrado"),"")</f>
        <v/>
      </c>
    </row>
    <row r="5414" spans="1:5" x14ac:dyDescent="0.3">
      <c r="A5414" s="21" t="str">
        <f t="shared" si="84"/>
        <v>.</v>
      </c>
      <c r="D5414" s="44"/>
      <c r="E5414" s="22" t="str">
        <f>IF(D5414&lt;&gt;"",IFERROR(INDEX(Produtos!$C$4:$C$4996,MATCH(D5414,Produtos!$B$4:$B$4996,0)),"Produto não encontrado"),"")</f>
        <v/>
      </c>
    </row>
    <row r="5415" spans="1:5" x14ac:dyDescent="0.3">
      <c r="A5415" s="21" t="str">
        <f t="shared" si="84"/>
        <v>.</v>
      </c>
      <c r="D5415" s="44"/>
      <c r="E5415" s="22" t="str">
        <f>IF(D5415&lt;&gt;"",IFERROR(INDEX(Produtos!$C$4:$C$4996,MATCH(D5415,Produtos!$B$4:$B$4996,0)),"Produto não encontrado"),"")</f>
        <v/>
      </c>
    </row>
    <row r="5416" spans="1:5" x14ac:dyDescent="0.3">
      <c r="A5416" s="21" t="str">
        <f t="shared" si="84"/>
        <v>.</v>
      </c>
      <c r="D5416" s="44"/>
      <c r="E5416" s="22" t="str">
        <f>IF(D5416&lt;&gt;"",IFERROR(INDEX(Produtos!$C$4:$C$4996,MATCH(D5416,Produtos!$B$4:$B$4996,0)),"Produto não encontrado"),"")</f>
        <v/>
      </c>
    </row>
    <row r="5417" spans="1:5" x14ac:dyDescent="0.3">
      <c r="A5417" s="21" t="str">
        <f t="shared" si="84"/>
        <v>.</v>
      </c>
      <c r="D5417" s="44"/>
      <c r="E5417" s="22" t="str">
        <f>IF(D5417&lt;&gt;"",IFERROR(INDEX(Produtos!$C$4:$C$4996,MATCH(D5417,Produtos!$B$4:$B$4996,0)),"Produto não encontrado"),"")</f>
        <v/>
      </c>
    </row>
    <row r="5418" spans="1:5" x14ac:dyDescent="0.3">
      <c r="A5418" s="21" t="str">
        <f t="shared" si="84"/>
        <v>.</v>
      </c>
      <c r="D5418" s="44"/>
      <c r="E5418" s="22" t="str">
        <f>IF(D5418&lt;&gt;"",IFERROR(INDEX(Produtos!$C$4:$C$4996,MATCH(D5418,Produtos!$B$4:$B$4996,0)),"Produto não encontrado"),"")</f>
        <v/>
      </c>
    </row>
    <row r="5419" spans="1:5" x14ac:dyDescent="0.3">
      <c r="A5419" s="21" t="str">
        <f t="shared" si="84"/>
        <v>.</v>
      </c>
      <c r="D5419" s="44"/>
      <c r="E5419" s="22" t="str">
        <f>IF(D5419&lt;&gt;"",IFERROR(INDEX(Produtos!$C$4:$C$4996,MATCH(D5419,Produtos!$B$4:$B$4996,0)),"Produto não encontrado"),"")</f>
        <v/>
      </c>
    </row>
    <row r="5420" spans="1:5" x14ac:dyDescent="0.3">
      <c r="A5420" s="21" t="str">
        <f t="shared" si="84"/>
        <v>.</v>
      </c>
      <c r="D5420" s="44"/>
      <c r="E5420" s="22" t="str">
        <f>IF(D5420&lt;&gt;"",IFERROR(INDEX(Produtos!$C$4:$C$4996,MATCH(D5420,Produtos!$B$4:$B$4996,0)),"Produto não encontrado"),"")</f>
        <v/>
      </c>
    </row>
    <row r="5421" spans="1:5" x14ac:dyDescent="0.3">
      <c r="A5421" s="21" t="str">
        <f t="shared" si="84"/>
        <v>.</v>
      </c>
      <c r="D5421" s="44"/>
      <c r="E5421" s="22" t="str">
        <f>IF(D5421&lt;&gt;"",IFERROR(INDEX(Produtos!$C$4:$C$4996,MATCH(D5421,Produtos!$B$4:$B$4996,0)),"Produto não encontrado"),"")</f>
        <v/>
      </c>
    </row>
    <row r="5422" spans="1:5" x14ac:dyDescent="0.3">
      <c r="A5422" s="21" t="str">
        <f t="shared" si="84"/>
        <v>.</v>
      </c>
      <c r="D5422" s="44"/>
      <c r="E5422" s="22" t="str">
        <f>IF(D5422&lt;&gt;"",IFERROR(INDEX(Produtos!$C$4:$C$4996,MATCH(D5422,Produtos!$B$4:$B$4996,0)),"Produto não encontrado"),"")</f>
        <v/>
      </c>
    </row>
    <row r="5423" spans="1:5" x14ac:dyDescent="0.3">
      <c r="A5423" s="21" t="str">
        <f t="shared" si="84"/>
        <v>.</v>
      </c>
      <c r="D5423" s="44"/>
      <c r="E5423" s="22" t="str">
        <f>IF(D5423&lt;&gt;"",IFERROR(INDEX(Produtos!$C$4:$C$4996,MATCH(D5423,Produtos!$B$4:$B$4996,0)),"Produto não encontrado"),"")</f>
        <v/>
      </c>
    </row>
    <row r="5424" spans="1:5" x14ac:dyDescent="0.3">
      <c r="A5424" s="21" t="str">
        <f t="shared" si="84"/>
        <v>.</v>
      </c>
      <c r="D5424" s="44"/>
      <c r="E5424" s="22" t="str">
        <f>IF(D5424&lt;&gt;"",IFERROR(INDEX(Produtos!$C$4:$C$4996,MATCH(D5424,Produtos!$B$4:$B$4996,0)),"Produto não encontrado"),"")</f>
        <v/>
      </c>
    </row>
    <row r="5425" spans="1:5" x14ac:dyDescent="0.3">
      <c r="A5425" s="21" t="str">
        <f t="shared" si="84"/>
        <v>.</v>
      </c>
      <c r="D5425" s="44"/>
      <c r="E5425" s="22" t="str">
        <f>IF(D5425&lt;&gt;"",IFERROR(INDEX(Produtos!$C$4:$C$4996,MATCH(D5425,Produtos!$B$4:$B$4996,0)),"Produto não encontrado"),"")</f>
        <v/>
      </c>
    </row>
    <row r="5426" spans="1:5" x14ac:dyDescent="0.3">
      <c r="A5426" s="21" t="str">
        <f t="shared" si="84"/>
        <v>.</v>
      </c>
      <c r="D5426" s="44"/>
      <c r="E5426" s="22" t="str">
        <f>IF(D5426&lt;&gt;"",IFERROR(INDEX(Produtos!$C$4:$C$4996,MATCH(D5426,Produtos!$B$4:$B$4996,0)),"Produto não encontrado"),"")</f>
        <v/>
      </c>
    </row>
    <row r="5427" spans="1:5" x14ac:dyDescent="0.3">
      <c r="A5427" s="21" t="str">
        <f t="shared" si="84"/>
        <v>.</v>
      </c>
      <c r="D5427" s="44"/>
      <c r="E5427" s="22" t="str">
        <f>IF(D5427&lt;&gt;"",IFERROR(INDEX(Produtos!$C$4:$C$4996,MATCH(D5427,Produtos!$B$4:$B$4996,0)),"Produto não encontrado"),"")</f>
        <v/>
      </c>
    </row>
    <row r="5428" spans="1:5" x14ac:dyDescent="0.3">
      <c r="A5428" s="21" t="str">
        <f t="shared" si="84"/>
        <v>.</v>
      </c>
      <c r="D5428" s="44"/>
      <c r="E5428" s="22" t="str">
        <f>IF(D5428&lt;&gt;"",IFERROR(INDEX(Produtos!$C$4:$C$4996,MATCH(D5428,Produtos!$B$4:$B$4996,0)),"Produto não encontrado"),"")</f>
        <v/>
      </c>
    </row>
    <row r="5429" spans="1:5" x14ac:dyDescent="0.3">
      <c r="A5429" s="21" t="str">
        <f t="shared" si="84"/>
        <v>.</v>
      </c>
      <c r="D5429" s="44"/>
      <c r="E5429" s="22" t="str">
        <f>IF(D5429&lt;&gt;"",IFERROR(INDEX(Produtos!$C$4:$C$4996,MATCH(D5429,Produtos!$B$4:$B$4996,0)),"Produto não encontrado"),"")</f>
        <v/>
      </c>
    </row>
    <row r="5430" spans="1:5" x14ac:dyDescent="0.3">
      <c r="A5430" s="21" t="str">
        <f t="shared" si="84"/>
        <v>.</v>
      </c>
      <c r="D5430" s="44"/>
      <c r="E5430" s="22" t="str">
        <f>IF(D5430&lt;&gt;"",IFERROR(INDEX(Produtos!$C$4:$C$4996,MATCH(D5430,Produtos!$B$4:$B$4996,0)),"Produto não encontrado"),"")</f>
        <v/>
      </c>
    </row>
    <row r="5431" spans="1:5" x14ac:dyDescent="0.3">
      <c r="A5431" s="21" t="str">
        <f t="shared" si="84"/>
        <v>.</v>
      </c>
      <c r="D5431" s="44"/>
      <c r="E5431" s="22" t="str">
        <f>IF(D5431&lt;&gt;"",IFERROR(INDEX(Produtos!$C$4:$C$4996,MATCH(D5431,Produtos!$B$4:$B$4996,0)),"Produto não encontrado"),"")</f>
        <v/>
      </c>
    </row>
    <row r="5432" spans="1:5" x14ac:dyDescent="0.3">
      <c r="A5432" s="21" t="str">
        <f t="shared" si="84"/>
        <v>.</v>
      </c>
      <c r="D5432" s="44"/>
      <c r="E5432" s="22" t="str">
        <f>IF(D5432&lt;&gt;"",IFERROR(INDEX(Produtos!$C$4:$C$4996,MATCH(D5432,Produtos!$B$4:$B$4996,0)),"Produto não encontrado"),"")</f>
        <v/>
      </c>
    </row>
    <row r="5433" spans="1:5" x14ac:dyDescent="0.3">
      <c r="A5433" s="21" t="str">
        <f t="shared" si="84"/>
        <v>.</v>
      </c>
      <c r="D5433" s="44"/>
      <c r="E5433" s="22" t="str">
        <f>IF(D5433&lt;&gt;"",IFERROR(INDEX(Produtos!$C$4:$C$4996,MATCH(D5433,Produtos!$B$4:$B$4996,0)),"Produto não encontrado"),"")</f>
        <v/>
      </c>
    </row>
    <row r="5434" spans="1:5" x14ac:dyDescent="0.3">
      <c r="A5434" s="21" t="str">
        <f t="shared" si="84"/>
        <v>.</v>
      </c>
      <c r="D5434" s="44"/>
      <c r="E5434" s="22" t="str">
        <f>IF(D5434&lt;&gt;"",IFERROR(INDEX(Produtos!$C$4:$C$4996,MATCH(D5434,Produtos!$B$4:$B$4996,0)),"Produto não encontrado"),"")</f>
        <v/>
      </c>
    </row>
    <row r="5435" spans="1:5" x14ac:dyDescent="0.3">
      <c r="A5435" s="21" t="str">
        <f t="shared" si="84"/>
        <v>.</v>
      </c>
      <c r="D5435" s="44"/>
      <c r="E5435" s="22" t="str">
        <f>IF(D5435&lt;&gt;"",IFERROR(INDEX(Produtos!$C$4:$C$4996,MATCH(D5435,Produtos!$B$4:$B$4996,0)),"Produto não encontrado"),"")</f>
        <v/>
      </c>
    </row>
    <row r="5436" spans="1:5" x14ac:dyDescent="0.3">
      <c r="A5436" s="21" t="str">
        <f t="shared" si="84"/>
        <v>.</v>
      </c>
      <c r="D5436" s="44"/>
      <c r="E5436" s="22" t="str">
        <f>IF(D5436&lt;&gt;"",IFERROR(INDEX(Produtos!$C$4:$C$4996,MATCH(D5436,Produtos!$B$4:$B$4996,0)),"Produto não encontrado"),"")</f>
        <v/>
      </c>
    </row>
    <row r="5437" spans="1:5" x14ac:dyDescent="0.3">
      <c r="A5437" s="21" t="str">
        <f t="shared" si="84"/>
        <v>.</v>
      </c>
      <c r="D5437" s="44"/>
      <c r="E5437" s="22" t="str">
        <f>IF(D5437&lt;&gt;"",IFERROR(INDEX(Produtos!$C$4:$C$4996,MATCH(D5437,Produtos!$B$4:$B$4996,0)),"Produto não encontrado"),"")</f>
        <v/>
      </c>
    </row>
    <row r="5438" spans="1:5" x14ac:dyDescent="0.3">
      <c r="A5438" s="21" t="str">
        <f t="shared" si="84"/>
        <v>.</v>
      </c>
      <c r="D5438" s="44"/>
      <c r="E5438" s="22" t="str">
        <f>IF(D5438&lt;&gt;"",IFERROR(INDEX(Produtos!$C$4:$C$4996,MATCH(D5438,Produtos!$B$4:$B$4996,0)),"Produto não encontrado"),"")</f>
        <v/>
      </c>
    </row>
    <row r="5439" spans="1:5" x14ac:dyDescent="0.3">
      <c r="A5439" s="21" t="str">
        <f t="shared" si="84"/>
        <v>.</v>
      </c>
      <c r="D5439" s="44"/>
      <c r="E5439" s="22" t="str">
        <f>IF(D5439&lt;&gt;"",IFERROR(INDEX(Produtos!$C$4:$C$4996,MATCH(D5439,Produtos!$B$4:$B$4996,0)),"Produto não encontrado"),"")</f>
        <v/>
      </c>
    </row>
    <row r="5440" spans="1:5" x14ac:dyDescent="0.3">
      <c r="A5440" s="21" t="str">
        <f t="shared" ref="A5440:A5503" si="85">IF(C5440="Entrada",2,IF(C5440="Saída",1,"."))</f>
        <v>.</v>
      </c>
      <c r="D5440" s="44"/>
      <c r="E5440" s="22" t="str">
        <f>IF(D5440&lt;&gt;"",IFERROR(INDEX(Produtos!$C$4:$C$4996,MATCH(D5440,Produtos!$B$4:$B$4996,0)),"Produto não encontrado"),"")</f>
        <v/>
      </c>
    </row>
    <row r="5441" spans="1:5" x14ac:dyDescent="0.3">
      <c r="A5441" s="21" t="str">
        <f t="shared" si="85"/>
        <v>.</v>
      </c>
      <c r="D5441" s="44"/>
      <c r="E5441" s="22" t="str">
        <f>IF(D5441&lt;&gt;"",IFERROR(INDEX(Produtos!$C$4:$C$4996,MATCH(D5441,Produtos!$B$4:$B$4996,0)),"Produto não encontrado"),"")</f>
        <v/>
      </c>
    </row>
    <row r="5442" spans="1:5" x14ac:dyDescent="0.3">
      <c r="A5442" s="21" t="str">
        <f t="shared" si="85"/>
        <v>.</v>
      </c>
      <c r="D5442" s="44"/>
      <c r="E5442" s="22" t="str">
        <f>IF(D5442&lt;&gt;"",IFERROR(INDEX(Produtos!$C$4:$C$4996,MATCH(D5442,Produtos!$B$4:$B$4996,0)),"Produto não encontrado"),"")</f>
        <v/>
      </c>
    </row>
    <row r="5443" spans="1:5" x14ac:dyDescent="0.3">
      <c r="A5443" s="21" t="str">
        <f t="shared" si="85"/>
        <v>.</v>
      </c>
      <c r="D5443" s="44"/>
      <c r="E5443" s="22" t="str">
        <f>IF(D5443&lt;&gt;"",IFERROR(INDEX(Produtos!$C$4:$C$4996,MATCH(D5443,Produtos!$B$4:$B$4996,0)),"Produto não encontrado"),"")</f>
        <v/>
      </c>
    </row>
    <row r="5444" spans="1:5" x14ac:dyDescent="0.3">
      <c r="A5444" s="21" t="str">
        <f t="shared" si="85"/>
        <v>.</v>
      </c>
      <c r="D5444" s="44"/>
      <c r="E5444" s="22" t="str">
        <f>IF(D5444&lt;&gt;"",IFERROR(INDEX(Produtos!$C$4:$C$4996,MATCH(D5444,Produtos!$B$4:$B$4996,0)),"Produto não encontrado"),"")</f>
        <v/>
      </c>
    </row>
    <row r="5445" spans="1:5" x14ac:dyDescent="0.3">
      <c r="A5445" s="21" t="str">
        <f t="shared" si="85"/>
        <v>.</v>
      </c>
      <c r="D5445" s="44"/>
      <c r="E5445" s="22" t="str">
        <f>IF(D5445&lt;&gt;"",IFERROR(INDEX(Produtos!$C$4:$C$4996,MATCH(D5445,Produtos!$B$4:$B$4996,0)),"Produto não encontrado"),"")</f>
        <v/>
      </c>
    </row>
    <row r="5446" spans="1:5" x14ac:dyDescent="0.3">
      <c r="A5446" s="21" t="str">
        <f t="shared" si="85"/>
        <v>.</v>
      </c>
      <c r="D5446" s="44"/>
      <c r="E5446" s="22" t="str">
        <f>IF(D5446&lt;&gt;"",IFERROR(INDEX(Produtos!$C$4:$C$4996,MATCH(D5446,Produtos!$B$4:$B$4996,0)),"Produto não encontrado"),"")</f>
        <v/>
      </c>
    </row>
    <row r="5447" spans="1:5" x14ac:dyDescent="0.3">
      <c r="A5447" s="21" t="str">
        <f t="shared" si="85"/>
        <v>.</v>
      </c>
      <c r="D5447" s="44"/>
      <c r="E5447" s="22" t="str">
        <f>IF(D5447&lt;&gt;"",IFERROR(INDEX(Produtos!$C$4:$C$4996,MATCH(D5447,Produtos!$B$4:$B$4996,0)),"Produto não encontrado"),"")</f>
        <v/>
      </c>
    </row>
    <row r="5448" spans="1:5" x14ac:dyDescent="0.3">
      <c r="A5448" s="21" t="str">
        <f t="shared" si="85"/>
        <v>.</v>
      </c>
      <c r="D5448" s="44"/>
      <c r="E5448" s="22" t="str">
        <f>IF(D5448&lt;&gt;"",IFERROR(INDEX(Produtos!$C$4:$C$4996,MATCH(D5448,Produtos!$B$4:$B$4996,0)),"Produto não encontrado"),"")</f>
        <v/>
      </c>
    </row>
    <row r="5449" spans="1:5" x14ac:dyDescent="0.3">
      <c r="A5449" s="21" t="str">
        <f t="shared" si="85"/>
        <v>.</v>
      </c>
      <c r="D5449" s="44"/>
      <c r="E5449" s="22" t="str">
        <f>IF(D5449&lt;&gt;"",IFERROR(INDEX(Produtos!$C$4:$C$4996,MATCH(D5449,Produtos!$B$4:$B$4996,0)),"Produto não encontrado"),"")</f>
        <v/>
      </c>
    </row>
    <row r="5450" spans="1:5" x14ac:dyDescent="0.3">
      <c r="A5450" s="21" t="str">
        <f t="shared" si="85"/>
        <v>.</v>
      </c>
      <c r="D5450" s="44"/>
      <c r="E5450" s="22" t="str">
        <f>IF(D5450&lt;&gt;"",IFERROR(INDEX(Produtos!$C$4:$C$4996,MATCH(D5450,Produtos!$B$4:$B$4996,0)),"Produto não encontrado"),"")</f>
        <v/>
      </c>
    </row>
    <row r="5451" spans="1:5" x14ac:dyDescent="0.3">
      <c r="A5451" s="21" t="str">
        <f t="shared" si="85"/>
        <v>.</v>
      </c>
      <c r="D5451" s="44"/>
      <c r="E5451" s="22" t="str">
        <f>IF(D5451&lt;&gt;"",IFERROR(INDEX(Produtos!$C$4:$C$4996,MATCH(D5451,Produtos!$B$4:$B$4996,0)),"Produto não encontrado"),"")</f>
        <v/>
      </c>
    </row>
    <row r="5452" spans="1:5" x14ac:dyDescent="0.3">
      <c r="A5452" s="21" t="str">
        <f t="shared" si="85"/>
        <v>.</v>
      </c>
      <c r="D5452" s="44"/>
      <c r="E5452" s="22" t="str">
        <f>IF(D5452&lt;&gt;"",IFERROR(INDEX(Produtos!$C$4:$C$4996,MATCH(D5452,Produtos!$B$4:$B$4996,0)),"Produto não encontrado"),"")</f>
        <v/>
      </c>
    </row>
    <row r="5453" spans="1:5" x14ac:dyDescent="0.3">
      <c r="A5453" s="21" t="str">
        <f t="shared" si="85"/>
        <v>.</v>
      </c>
      <c r="D5453" s="44"/>
      <c r="E5453" s="22" t="str">
        <f>IF(D5453&lt;&gt;"",IFERROR(INDEX(Produtos!$C$4:$C$4996,MATCH(D5453,Produtos!$B$4:$B$4996,0)),"Produto não encontrado"),"")</f>
        <v/>
      </c>
    </row>
    <row r="5454" spans="1:5" x14ac:dyDescent="0.3">
      <c r="A5454" s="21" t="str">
        <f t="shared" si="85"/>
        <v>.</v>
      </c>
      <c r="D5454" s="44"/>
      <c r="E5454" s="22" t="str">
        <f>IF(D5454&lt;&gt;"",IFERROR(INDEX(Produtos!$C$4:$C$4996,MATCH(D5454,Produtos!$B$4:$B$4996,0)),"Produto não encontrado"),"")</f>
        <v/>
      </c>
    </row>
    <row r="5455" spans="1:5" x14ac:dyDescent="0.3">
      <c r="A5455" s="21" t="str">
        <f t="shared" si="85"/>
        <v>.</v>
      </c>
      <c r="D5455" s="44"/>
      <c r="E5455" s="22" t="str">
        <f>IF(D5455&lt;&gt;"",IFERROR(INDEX(Produtos!$C$4:$C$4996,MATCH(D5455,Produtos!$B$4:$B$4996,0)),"Produto não encontrado"),"")</f>
        <v/>
      </c>
    </row>
    <row r="5456" spans="1:5" x14ac:dyDescent="0.3">
      <c r="A5456" s="21" t="str">
        <f t="shared" si="85"/>
        <v>.</v>
      </c>
      <c r="D5456" s="44"/>
      <c r="E5456" s="22" t="str">
        <f>IF(D5456&lt;&gt;"",IFERROR(INDEX(Produtos!$C$4:$C$4996,MATCH(D5456,Produtos!$B$4:$B$4996,0)),"Produto não encontrado"),"")</f>
        <v/>
      </c>
    </row>
    <row r="5457" spans="1:5" x14ac:dyDescent="0.3">
      <c r="A5457" s="21" t="str">
        <f t="shared" si="85"/>
        <v>.</v>
      </c>
      <c r="D5457" s="44"/>
      <c r="E5457" s="22" t="str">
        <f>IF(D5457&lt;&gt;"",IFERROR(INDEX(Produtos!$C$4:$C$4996,MATCH(D5457,Produtos!$B$4:$B$4996,0)),"Produto não encontrado"),"")</f>
        <v/>
      </c>
    </row>
    <row r="5458" spans="1:5" x14ac:dyDescent="0.3">
      <c r="A5458" s="21" t="str">
        <f t="shared" si="85"/>
        <v>.</v>
      </c>
      <c r="D5458" s="44"/>
      <c r="E5458" s="22" t="str">
        <f>IF(D5458&lt;&gt;"",IFERROR(INDEX(Produtos!$C$4:$C$4996,MATCH(D5458,Produtos!$B$4:$B$4996,0)),"Produto não encontrado"),"")</f>
        <v/>
      </c>
    </row>
    <row r="5459" spans="1:5" x14ac:dyDescent="0.3">
      <c r="A5459" s="21" t="str">
        <f t="shared" si="85"/>
        <v>.</v>
      </c>
      <c r="D5459" s="44"/>
      <c r="E5459" s="22" t="str">
        <f>IF(D5459&lt;&gt;"",IFERROR(INDEX(Produtos!$C$4:$C$4996,MATCH(D5459,Produtos!$B$4:$B$4996,0)),"Produto não encontrado"),"")</f>
        <v/>
      </c>
    </row>
    <row r="5460" spans="1:5" x14ac:dyDescent="0.3">
      <c r="A5460" s="21" t="str">
        <f t="shared" si="85"/>
        <v>.</v>
      </c>
      <c r="D5460" s="44"/>
      <c r="E5460" s="22" t="str">
        <f>IF(D5460&lt;&gt;"",IFERROR(INDEX(Produtos!$C$4:$C$4996,MATCH(D5460,Produtos!$B$4:$B$4996,0)),"Produto não encontrado"),"")</f>
        <v/>
      </c>
    </row>
    <row r="5461" spans="1:5" x14ac:dyDescent="0.3">
      <c r="A5461" s="21" t="str">
        <f t="shared" si="85"/>
        <v>.</v>
      </c>
      <c r="D5461" s="44"/>
      <c r="E5461" s="22" t="str">
        <f>IF(D5461&lt;&gt;"",IFERROR(INDEX(Produtos!$C$4:$C$4996,MATCH(D5461,Produtos!$B$4:$B$4996,0)),"Produto não encontrado"),"")</f>
        <v/>
      </c>
    </row>
    <row r="5462" spans="1:5" x14ac:dyDescent="0.3">
      <c r="A5462" s="21" t="str">
        <f t="shared" si="85"/>
        <v>.</v>
      </c>
      <c r="D5462" s="44"/>
      <c r="E5462" s="22" t="str">
        <f>IF(D5462&lt;&gt;"",IFERROR(INDEX(Produtos!$C$4:$C$4996,MATCH(D5462,Produtos!$B$4:$B$4996,0)),"Produto não encontrado"),"")</f>
        <v/>
      </c>
    </row>
    <row r="5463" spans="1:5" x14ac:dyDescent="0.3">
      <c r="A5463" s="21" t="str">
        <f t="shared" si="85"/>
        <v>.</v>
      </c>
      <c r="D5463" s="44"/>
      <c r="E5463" s="22" t="str">
        <f>IF(D5463&lt;&gt;"",IFERROR(INDEX(Produtos!$C$4:$C$4996,MATCH(D5463,Produtos!$B$4:$B$4996,0)),"Produto não encontrado"),"")</f>
        <v/>
      </c>
    </row>
    <row r="5464" spans="1:5" x14ac:dyDescent="0.3">
      <c r="A5464" s="21" t="str">
        <f t="shared" si="85"/>
        <v>.</v>
      </c>
      <c r="D5464" s="44"/>
      <c r="E5464" s="22" t="str">
        <f>IF(D5464&lt;&gt;"",IFERROR(INDEX(Produtos!$C$4:$C$4996,MATCH(D5464,Produtos!$B$4:$B$4996,0)),"Produto não encontrado"),"")</f>
        <v/>
      </c>
    </row>
    <row r="5465" spans="1:5" x14ac:dyDescent="0.3">
      <c r="A5465" s="21" t="str">
        <f t="shared" si="85"/>
        <v>.</v>
      </c>
      <c r="D5465" s="44"/>
      <c r="E5465" s="22" t="str">
        <f>IF(D5465&lt;&gt;"",IFERROR(INDEX(Produtos!$C$4:$C$4996,MATCH(D5465,Produtos!$B$4:$B$4996,0)),"Produto não encontrado"),"")</f>
        <v/>
      </c>
    </row>
    <row r="5466" spans="1:5" x14ac:dyDescent="0.3">
      <c r="A5466" s="21" t="str">
        <f t="shared" si="85"/>
        <v>.</v>
      </c>
      <c r="D5466" s="44"/>
      <c r="E5466" s="22" t="str">
        <f>IF(D5466&lt;&gt;"",IFERROR(INDEX(Produtos!$C$4:$C$4996,MATCH(D5466,Produtos!$B$4:$B$4996,0)),"Produto não encontrado"),"")</f>
        <v/>
      </c>
    </row>
    <row r="5467" spans="1:5" x14ac:dyDescent="0.3">
      <c r="A5467" s="21" t="str">
        <f t="shared" si="85"/>
        <v>.</v>
      </c>
      <c r="D5467" s="44"/>
      <c r="E5467" s="22" t="str">
        <f>IF(D5467&lt;&gt;"",IFERROR(INDEX(Produtos!$C$4:$C$4996,MATCH(D5467,Produtos!$B$4:$B$4996,0)),"Produto não encontrado"),"")</f>
        <v/>
      </c>
    </row>
    <row r="5468" spans="1:5" x14ac:dyDescent="0.3">
      <c r="A5468" s="21" t="str">
        <f t="shared" si="85"/>
        <v>.</v>
      </c>
      <c r="D5468" s="44"/>
      <c r="E5468" s="22" t="str">
        <f>IF(D5468&lt;&gt;"",IFERROR(INDEX(Produtos!$C$4:$C$4996,MATCH(D5468,Produtos!$B$4:$B$4996,0)),"Produto não encontrado"),"")</f>
        <v/>
      </c>
    </row>
    <row r="5469" spans="1:5" x14ac:dyDescent="0.3">
      <c r="A5469" s="21" t="str">
        <f t="shared" si="85"/>
        <v>.</v>
      </c>
      <c r="D5469" s="44"/>
      <c r="E5469" s="22" t="str">
        <f>IF(D5469&lt;&gt;"",IFERROR(INDEX(Produtos!$C$4:$C$4996,MATCH(D5469,Produtos!$B$4:$B$4996,0)),"Produto não encontrado"),"")</f>
        <v/>
      </c>
    </row>
    <row r="5470" spans="1:5" x14ac:dyDescent="0.3">
      <c r="A5470" s="21" t="str">
        <f t="shared" si="85"/>
        <v>.</v>
      </c>
      <c r="D5470" s="44"/>
      <c r="E5470" s="22" t="str">
        <f>IF(D5470&lt;&gt;"",IFERROR(INDEX(Produtos!$C$4:$C$4996,MATCH(D5470,Produtos!$B$4:$B$4996,0)),"Produto não encontrado"),"")</f>
        <v/>
      </c>
    </row>
    <row r="5471" spans="1:5" x14ac:dyDescent="0.3">
      <c r="A5471" s="21" t="str">
        <f t="shared" si="85"/>
        <v>.</v>
      </c>
      <c r="D5471" s="44"/>
      <c r="E5471" s="22" t="str">
        <f>IF(D5471&lt;&gt;"",IFERROR(INDEX(Produtos!$C$4:$C$4996,MATCH(D5471,Produtos!$B$4:$B$4996,0)),"Produto não encontrado"),"")</f>
        <v/>
      </c>
    </row>
    <row r="5472" spans="1:5" x14ac:dyDescent="0.3">
      <c r="A5472" s="21" t="str">
        <f t="shared" si="85"/>
        <v>.</v>
      </c>
      <c r="D5472" s="44"/>
      <c r="E5472" s="22" t="str">
        <f>IF(D5472&lt;&gt;"",IFERROR(INDEX(Produtos!$C$4:$C$4996,MATCH(D5472,Produtos!$B$4:$B$4996,0)),"Produto não encontrado"),"")</f>
        <v/>
      </c>
    </row>
    <row r="5473" spans="1:5" x14ac:dyDescent="0.3">
      <c r="A5473" s="21" t="str">
        <f t="shared" si="85"/>
        <v>.</v>
      </c>
      <c r="D5473" s="44"/>
      <c r="E5473" s="22" t="str">
        <f>IF(D5473&lt;&gt;"",IFERROR(INDEX(Produtos!$C$4:$C$4996,MATCH(D5473,Produtos!$B$4:$B$4996,0)),"Produto não encontrado"),"")</f>
        <v/>
      </c>
    </row>
    <row r="5474" spans="1:5" x14ac:dyDescent="0.3">
      <c r="A5474" s="21" t="str">
        <f t="shared" si="85"/>
        <v>.</v>
      </c>
      <c r="D5474" s="44"/>
      <c r="E5474" s="22" t="str">
        <f>IF(D5474&lt;&gt;"",IFERROR(INDEX(Produtos!$C$4:$C$4996,MATCH(D5474,Produtos!$B$4:$B$4996,0)),"Produto não encontrado"),"")</f>
        <v/>
      </c>
    </row>
    <row r="5475" spans="1:5" x14ac:dyDescent="0.3">
      <c r="A5475" s="21" t="str">
        <f t="shared" si="85"/>
        <v>.</v>
      </c>
      <c r="D5475" s="44"/>
      <c r="E5475" s="22" t="str">
        <f>IF(D5475&lt;&gt;"",IFERROR(INDEX(Produtos!$C$4:$C$4996,MATCH(D5475,Produtos!$B$4:$B$4996,0)),"Produto não encontrado"),"")</f>
        <v/>
      </c>
    </row>
    <row r="5476" spans="1:5" x14ac:dyDescent="0.3">
      <c r="A5476" s="21" t="str">
        <f t="shared" si="85"/>
        <v>.</v>
      </c>
      <c r="D5476" s="44"/>
      <c r="E5476" s="22" t="str">
        <f>IF(D5476&lt;&gt;"",IFERROR(INDEX(Produtos!$C$4:$C$4996,MATCH(D5476,Produtos!$B$4:$B$4996,0)),"Produto não encontrado"),"")</f>
        <v/>
      </c>
    </row>
    <row r="5477" spans="1:5" x14ac:dyDescent="0.3">
      <c r="A5477" s="21" t="str">
        <f t="shared" si="85"/>
        <v>.</v>
      </c>
      <c r="D5477" s="44"/>
      <c r="E5477" s="22" t="str">
        <f>IF(D5477&lt;&gt;"",IFERROR(INDEX(Produtos!$C$4:$C$4996,MATCH(D5477,Produtos!$B$4:$B$4996,0)),"Produto não encontrado"),"")</f>
        <v/>
      </c>
    </row>
    <row r="5478" spans="1:5" x14ac:dyDescent="0.3">
      <c r="A5478" s="21" t="str">
        <f t="shared" si="85"/>
        <v>.</v>
      </c>
      <c r="D5478" s="44"/>
      <c r="E5478" s="22" t="str">
        <f>IF(D5478&lt;&gt;"",IFERROR(INDEX(Produtos!$C$4:$C$4996,MATCH(D5478,Produtos!$B$4:$B$4996,0)),"Produto não encontrado"),"")</f>
        <v/>
      </c>
    </row>
    <row r="5479" spans="1:5" x14ac:dyDescent="0.3">
      <c r="A5479" s="21" t="str">
        <f t="shared" si="85"/>
        <v>.</v>
      </c>
      <c r="D5479" s="44"/>
      <c r="E5479" s="22" t="str">
        <f>IF(D5479&lt;&gt;"",IFERROR(INDEX(Produtos!$C$4:$C$4996,MATCH(D5479,Produtos!$B$4:$B$4996,0)),"Produto não encontrado"),"")</f>
        <v/>
      </c>
    </row>
    <row r="5480" spans="1:5" x14ac:dyDescent="0.3">
      <c r="A5480" s="21" t="str">
        <f t="shared" si="85"/>
        <v>.</v>
      </c>
      <c r="D5480" s="44"/>
      <c r="E5480" s="22" t="str">
        <f>IF(D5480&lt;&gt;"",IFERROR(INDEX(Produtos!$C$4:$C$4996,MATCH(D5480,Produtos!$B$4:$B$4996,0)),"Produto não encontrado"),"")</f>
        <v/>
      </c>
    </row>
    <row r="5481" spans="1:5" x14ac:dyDescent="0.3">
      <c r="A5481" s="21" t="str">
        <f t="shared" si="85"/>
        <v>.</v>
      </c>
      <c r="D5481" s="44"/>
      <c r="E5481" s="22" t="str">
        <f>IF(D5481&lt;&gt;"",IFERROR(INDEX(Produtos!$C$4:$C$4996,MATCH(D5481,Produtos!$B$4:$B$4996,0)),"Produto não encontrado"),"")</f>
        <v/>
      </c>
    </row>
    <row r="5482" spans="1:5" x14ac:dyDescent="0.3">
      <c r="A5482" s="21" t="str">
        <f t="shared" si="85"/>
        <v>.</v>
      </c>
      <c r="D5482" s="44"/>
      <c r="E5482" s="22" t="str">
        <f>IF(D5482&lt;&gt;"",IFERROR(INDEX(Produtos!$C$4:$C$4996,MATCH(D5482,Produtos!$B$4:$B$4996,0)),"Produto não encontrado"),"")</f>
        <v/>
      </c>
    </row>
    <row r="5483" spans="1:5" x14ac:dyDescent="0.3">
      <c r="A5483" s="21" t="str">
        <f t="shared" si="85"/>
        <v>.</v>
      </c>
      <c r="D5483" s="44"/>
      <c r="E5483" s="22" t="str">
        <f>IF(D5483&lt;&gt;"",IFERROR(INDEX(Produtos!$C$4:$C$4996,MATCH(D5483,Produtos!$B$4:$B$4996,0)),"Produto não encontrado"),"")</f>
        <v/>
      </c>
    </row>
    <row r="5484" spans="1:5" x14ac:dyDescent="0.3">
      <c r="A5484" s="21" t="str">
        <f t="shared" si="85"/>
        <v>.</v>
      </c>
      <c r="D5484" s="44"/>
      <c r="E5484" s="22" t="str">
        <f>IF(D5484&lt;&gt;"",IFERROR(INDEX(Produtos!$C$4:$C$4996,MATCH(D5484,Produtos!$B$4:$B$4996,0)),"Produto não encontrado"),"")</f>
        <v/>
      </c>
    </row>
    <row r="5485" spans="1:5" x14ac:dyDescent="0.3">
      <c r="A5485" s="21" t="str">
        <f t="shared" si="85"/>
        <v>.</v>
      </c>
      <c r="D5485" s="44"/>
      <c r="E5485" s="22" t="str">
        <f>IF(D5485&lt;&gt;"",IFERROR(INDEX(Produtos!$C$4:$C$4996,MATCH(D5485,Produtos!$B$4:$B$4996,0)),"Produto não encontrado"),"")</f>
        <v/>
      </c>
    </row>
    <row r="5486" spans="1:5" x14ac:dyDescent="0.3">
      <c r="A5486" s="21" t="str">
        <f t="shared" si="85"/>
        <v>.</v>
      </c>
      <c r="D5486" s="44"/>
      <c r="E5486" s="22" t="str">
        <f>IF(D5486&lt;&gt;"",IFERROR(INDEX(Produtos!$C$4:$C$4996,MATCH(D5486,Produtos!$B$4:$B$4996,0)),"Produto não encontrado"),"")</f>
        <v/>
      </c>
    </row>
    <row r="5487" spans="1:5" x14ac:dyDescent="0.3">
      <c r="A5487" s="21" t="str">
        <f t="shared" si="85"/>
        <v>.</v>
      </c>
      <c r="D5487" s="44"/>
      <c r="E5487" s="22" t="str">
        <f>IF(D5487&lt;&gt;"",IFERROR(INDEX(Produtos!$C$4:$C$4996,MATCH(D5487,Produtos!$B$4:$B$4996,0)),"Produto não encontrado"),"")</f>
        <v/>
      </c>
    </row>
    <row r="5488" spans="1:5" x14ac:dyDescent="0.3">
      <c r="A5488" s="21" t="str">
        <f t="shared" si="85"/>
        <v>.</v>
      </c>
      <c r="D5488" s="44"/>
      <c r="E5488" s="22" t="str">
        <f>IF(D5488&lt;&gt;"",IFERROR(INDEX(Produtos!$C$4:$C$4996,MATCH(D5488,Produtos!$B$4:$B$4996,0)),"Produto não encontrado"),"")</f>
        <v/>
      </c>
    </row>
    <row r="5489" spans="1:5" x14ac:dyDescent="0.3">
      <c r="A5489" s="21" t="str">
        <f t="shared" si="85"/>
        <v>.</v>
      </c>
      <c r="D5489" s="44"/>
      <c r="E5489" s="22" t="str">
        <f>IF(D5489&lt;&gt;"",IFERROR(INDEX(Produtos!$C$4:$C$4996,MATCH(D5489,Produtos!$B$4:$B$4996,0)),"Produto não encontrado"),"")</f>
        <v/>
      </c>
    </row>
    <row r="5490" spans="1:5" x14ac:dyDescent="0.3">
      <c r="A5490" s="21" t="str">
        <f t="shared" si="85"/>
        <v>.</v>
      </c>
      <c r="D5490" s="44"/>
      <c r="E5490" s="22" t="str">
        <f>IF(D5490&lt;&gt;"",IFERROR(INDEX(Produtos!$C$4:$C$4996,MATCH(D5490,Produtos!$B$4:$B$4996,0)),"Produto não encontrado"),"")</f>
        <v/>
      </c>
    </row>
    <row r="5491" spans="1:5" x14ac:dyDescent="0.3">
      <c r="A5491" s="21" t="str">
        <f t="shared" si="85"/>
        <v>.</v>
      </c>
      <c r="D5491" s="44"/>
      <c r="E5491" s="22" t="str">
        <f>IF(D5491&lt;&gt;"",IFERROR(INDEX(Produtos!$C$4:$C$4996,MATCH(D5491,Produtos!$B$4:$B$4996,0)),"Produto não encontrado"),"")</f>
        <v/>
      </c>
    </row>
    <row r="5492" spans="1:5" x14ac:dyDescent="0.3">
      <c r="A5492" s="21" t="str">
        <f t="shared" si="85"/>
        <v>.</v>
      </c>
      <c r="D5492" s="44"/>
      <c r="E5492" s="22" t="str">
        <f>IF(D5492&lt;&gt;"",IFERROR(INDEX(Produtos!$C$4:$C$4996,MATCH(D5492,Produtos!$B$4:$B$4996,0)),"Produto não encontrado"),"")</f>
        <v/>
      </c>
    </row>
    <row r="5493" spans="1:5" x14ac:dyDescent="0.3">
      <c r="A5493" s="21" t="str">
        <f t="shared" si="85"/>
        <v>.</v>
      </c>
      <c r="D5493" s="44"/>
      <c r="E5493" s="22" t="str">
        <f>IF(D5493&lt;&gt;"",IFERROR(INDEX(Produtos!$C$4:$C$4996,MATCH(D5493,Produtos!$B$4:$B$4996,0)),"Produto não encontrado"),"")</f>
        <v/>
      </c>
    </row>
    <row r="5494" spans="1:5" x14ac:dyDescent="0.3">
      <c r="A5494" s="21" t="str">
        <f t="shared" si="85"/>
        <v>.</v>
      </c>
      <c r="D5494" s="44"/>
      <c r="E5494" s="22" t="str">
        <f>IF(D5494&lt;&gt;"",IFERROR(INDEX(Produtos!$C$4:$C$4996,MATCH(D5494,Produtos!$B$4:$B$4996,0)),"Produto não encontrado"),"")</f>
        <v/>
      </c>
    </row>
    <row r="5495" spans="1:5" x14ac:dyDescent="0.3">
      <c r="A5495" s="21" t="str">
        <f t="shared" si="85"/>
        <v>.</v>
      </c>
      <c r="D5495" s="44"/>
      <c r="E5495" s="22" t="str">
        <f>IF(D5495&lt;&gt;"",IFERROR(INDEX(Produtos!$C$4:$C$4996,MATCH(D5495,Produtos!$B$4:$B$4996,0)),"Produto não encontrado"),"")</f>
        <v/>
      </c>
    </row>
    <row r="5496" spans="1:5" x14ac:dyDescent="0.3">
      <c r="A5496" s="21" t="str">
        <f t="shared" si="85"/>
        <v>.</v>
      </c>
      <c r="D5496" s="44"/>
      <c r="E5496" s="22" t="str">
        <f>IF(D5496&lt;&gt;"",IFERROR(INDEX(Produtos!$C$4:$C$4996,MATCH(D5496,Produtos!$B$4:$B$4996,0)),"Produto não encontrado"),"")</f>
        <v/>
      </c>
    </row>
    <row r="5497" spans="1:5" x14ac:dyDescent="0.3">
      <c r="A5497" s="21" t="str">
        <f t="shared" si="85"/>
        <v>.</v>
      </c>
      <c r="D5497" s="44"/>
      <c r="E5497" s="22" t="str">
        <f>IF(D5497&lt;&gt;"",IFERROR(INDEX(Produtos!$C$4:$C$4996,MATCH(D5497,Produtos!$B$4:$B$4996,0)),"Produto não encontrado"),"")</f>
        <v/>
      </c>
    </row>
    <row r="5498" spans="1:5" x14ac:dyDescent="0.3">
      <c r="A5498" s="21" t="str">
        <f t="shared" si="85"/>
        <v>.</v>
      </c>
      <c r="D5498" s="44"/>
      <c r="E5498" s="22" t="str">
        <f>IF(D5498&lt;&gt;"",IFERROR(INDEX(Produtos!$C$4:$C$4996,MATCH(D5498,Produtos!$B$4:$B$4996,0)),"Produto não encontrado"),"")</f>
        <v/>
      </c>
    </row>
    <row r="5499" spans="1:5" x14ac:dyDescent="0.3">
      <c r="A5499" s="21" t="str">
        <f t="shared" si="85"/>
        <v>.</v>
      </c>
      <c r="D5499" s="44"/>
      <c r="E5499" s="22" t="str">
        <f>IF(D5499&lt;&gt;"",IFERROR(INDEX(Produtos!$C$4:$C$4996,MATCH(D5499,Produtos!$B$4:$B$4996,0)),"Produto não encontrado"),"")</f>
        <v/>
      </c>
    </row>
    <row r="5500" spans="1:5" x14ac:dyDescent="0.3">
      <c r="A5500" s="21" t="str">
        <f t="shared" si="85"/>
        <v>.</v>
      </c>
      <c r="D5500" s="44"/>
      <c r="E5500" s="22" t="str">
        <f>IF(D5500&lt;&gt;"",IFERROR(INDEX(Produtos!$C$4:$C$4996,MATCH(D5500,Produtos!$B$4:$B$4996,0)),"Produto não encontrado"),"")</f>
        <v/>
      </c>
    </row>
    <row r="5501" spans="1:5" x14ac:dyDescent="0.3">
      <c r="A5501" s="21" t="str">
        <f t="shared" si="85"/>
        <v>.</v>
      </c>
      <c r="D5501" s="44"/>
      <c r="E5501" s="22" t="str">
        <f>IF(D5501&lt;&gt;"",IFERROR(INDEX(Produtos!$C$4:$C$4996,MATCH(D5501,Produtos!$B$4:$B$4996,0)),"Produto não encontrado"),"")</f>
        <v/>
      </c>
    </row>
    <row r="5502" spans="1:5" x14ac:dyDescent="0.3">
      <c r="A5502" s="21" t="str">
        <f t="shared" si="85"/>
        <v>.</v>
      </c>
      <c r="D5502" s="44"/>
      <c r="E5502" s="22" t="str">
        <f>IF(D5502&lt;&gt;"",IFERROR(INDEX(Produtos!$C$4:$C$4996,MATCH(D5502,Produtos!$B$4:$B$4996,0)),"Produto não encontrado"),"")</f>
        <v/>
      </c>
    </row>
    <row r="5503" spans="1:5" x14ac:dyDescent="0.3">
      <c r="A5503" s="21" t="str">
        <f t="shared" si="85"/>
        <v>.</v>
      </c>
      <c r="D5503" s="44"/>
      <c r="E5503" s="22" t="str">
        <f>IF(D5503&lt;&gt;"",IFERROR(INDEX(Produtos!$C$4:$C$4996,MATCH(D5503,Produtos!$B$4:$B$4996,0)),"Produto não encontrado"),"")</f>
        <v/>
      </c>
    </row>
    <row r="5504" spans="1:5" x14ac:dyDescent="0.3">
      <c r="A5504" s="21" t="str">
        <f t="shared" ref="A5504:A5567" si="86">IF(C5504="Entrada",2,IF(C5504="Saída",1,"."))</f>
        <v>.</v>
      </c>
      <c r="D5504" s="44"/>
      <c r="E5504" s="22" t="str">
        <f>IF(D5504&lt;&gt;"",IFERROR(INDEX(Produtos!$C$4:$C$4996,MATCH(D5504,Produtos!$B$4:$B$4996,0)),"Produto não encontrado"),"")</f>
        <v/>
      </c>
    </row>
    <row r="5505" spans="1:5" x14ac:dyDescent="0.3">
      <c r="A5505" s="21" t="str">
        <f t="shared" si="86"/>
        <v>.</v>
      </c>
      <c r="D5505" s="44"/>
      <c r="E5505" s="22" t="str">
        <f>IF(D5505&lt;&gt;"",IFERROR(INDEX(Produtos!$C$4:$C$4996,MATCH(D5505,Produtos!$B$4:$B$4996,0)),"Produto não encontrado"),"")</f>
        <v/>
      </c>
    </row>
    <row r="5506" spans="1:5" x14ac:dyDescent="0.3">
      <c r="A5506" s="21" t="str">
        <f t="shared" si="86"/>
        <v>.</v>
      </c>
      <c r="D5506" s="44"/>
      <c r="E5506" s="22" t="str">
        <f>IF(D5506&lt;&gt;"",IFERROR(INDEX(Produtos!$C$4:$C$4996,MATCH(D5506,Produtos!$B$4:$B$4996,0)),"Produto não encontrado"),"")</f>
        <v/>
      </c>
    </row>
    <row r="5507" spans="1:5" x14ac:dyDescent="0.3">
      <c r="A5507" s="21" t="str">
        <f t="shared" si="86"/>
        <v>.</v>
      </c>
      <c r="D5507" s="44"/>
      <c r="E5507" s="22" t="str">
        <f>IF(D5507&lt;&gt;"",IFERROR(INDEX(Produtos!$C$4:$C$4996,MATCH(D5507,Produtos!$B$4:$B$4996,0)),"Produto não encontrado"),"")</f>
        <v/>
      </c>
    </row>
    <row r="5508" spans="1:5" x14ac:dyDescent="0.3">
      <c r="A5508" s="21" t="str">
        <f t="shared" si="86"/>
        <v>.</v>
      </c>
      <c r="D5508" s="44"/>
      <c r="E5508" s="22" t="str">
        <f>IF(D5508&lt;&gt;"",IFERROR(INDEX(Produtos!$C$4:$C$4996,MATCH(D5508,Produtos!$B$4:$B$4996,0)),"Produto não encontrado"),"")</f>
        <v/>
      </c>
    </row>
    <row r="5509" spans="1:5" x14ac:dyDescent="0.3">
      <c r="A5509" s="21" t="str">
        <f t="shared" si="86"/>
        <v>.</v>
      </c>
      <c r="D5509" s="44"/>
      <c r="E5509" s="22" t="str">
        <f>IF(D5509&lt;&gt;"",IFERROR(INDEX(Produtos!$C$4:$C$4996,MATCH(D5509,Produtos!$B$4:$B$4996,0)),"Produto não encontrado"),"")</f>
        <v/>
      </c>
    </row>
    <row r="5510" spans="1:5" x14ac:dyDescent="0.3">
      <c r="A5510" s="21" t="str">
        <f t="shared" si="86"/>
        <v>.</v>
      </c>
      <c r="D5510" s="44"/>
      <c r="E5510" s="22" t="str">
        <f>IF(D5510&lt;&gt;"",IFERROR(INDEX(Produtos!$C$4:$C$4996,MATCH(D5510,Produtos!$B$4:$B$4996,0)),"Produto não encontrado"),"")</f>
        <v/>
      </c>
    </row>
    <row r="5511" spans="1:5" x14ac:dyDescent="0.3">
      <c r="A5511" s="21" t="str">
        <f t="shared" si="86"/>
        <v>.</v>
      </c>
      <c r="D5511" s="44"/>
      <c r="E5511" s="22" t="str">
        <f>IF(D5511&lt;&gt;"",IFERROR(INDEX(Produtos!$C$4:$C$4996,MATCH(D5511,Produtos!$B$4:$B$4996,0)),"Produto não encontrado"),"")</f>
        <v/>
      </c>
    </row>
    <row r="5512" spans="1:5" x14ac:dyDescent="0.3">
      <c r="A5512" s="21" t="str">
        <f t="shared" si="86"/>
        <v>.</v>
      </c>
      <c r="D5512" s="44"/>
      <c r="E5512" s="22" t="str">
        <f>IF(D5512&lt;&gt;"",IFERROR(INDEX(Produtos!$C$4:$C$4996,MATCH(D5512,Produtos!$B$4:$B$4996,0)),"Produto não encontrado"),"")</f>
        <v/>
      </c>
    </row>
    <row r="5513" spans="1:5" x14ac:dyDescent="0.3">
      <c r="A5513" s="21" t="str">
        <f t="shared" si="86"/>
        <v>.</v>
      </c>
      <c r="D5513" s="44"/>
      <c r="E5513" s="22" t="str">
        <f>IF(D5513&lt;&gt;"",IFERROR(INDEX(Produtos!$C$4:$C$4996,MATCH(D5513,Produtos!$B$4:$B$4996,0)),"Produto não encontrado"),"")</f>
        <v/>
      </c>
    </row>
    <row r="5514" spans="1:5" x14ac:dyDescent="0.3">
      <c r="A5514" s="21" t="str">
        <f t="shared" si="86"/>
        <v>.</v>
      </c>
      <c r="D5514" s="44"/>
      <c r="E5514" s="22" t="str">
        <f>IF(D5514&lt;&gt;"",IFERROR(INDEX(Produtos!$C$4:$C$4996,MATCH(D5514,Produtos!$B$4:$B$4996,0)),"Produto não encontrado"),"")</f>
        <v/>
      </c>
    </row>
    <row r="5515" spans="1:5" x14ac:dyDescent="0.3">
      <c r="A5515" s="21" t="str">
        <f t="shared" si="86"/>
        <v>.</v>
      </c>
      <c r="D5515" s="44"/>
      <c r="E5515" s="22" t="str">
        <f>IF(D5515&lt;&gt;"",IFERROR(INDEX(Produtos!$C$4:$C$4996,MATCH(D5515,Produtos!$B$4:$B$4996,0)),"Produto não encontrado"),"")</f>
        <v/>
      </c>
    </row>
    <row r="5516" spans="1:5" x14ac:dyDescent="0.3">
      <c r="A5516" s="21" t="str">
        <f t="shared" si="86"/>
        <v>.</v>
      </c>
      <c r="D5516" s="44"/>
      <c r="E5516" s="22" t="str">
        <f>IF(D5516&lt;&gt;"",IFERROR(INDEX(Produtos!$C$4:$C$4996,MATCH(D5516,Produtos!$B$4:$B$4996,0)),"Produto não encontrado"),"")</f>
        <v/>
      </c>
    </row>
    <row r="5517" spans="1:5" x14ac:dyDescent="0.3">
      <c r="A5517" s="21" t="str">
        <f t="shared" si="86"/>
        <v>.</v>
      </c>
      <c r="D5517" s="44"/>
      <c r="E5517" s="22" t="str">
        <f>IF(D5517&lt;&gt;"",IFERROR(INDEX(Produtos!$C$4:$C$4996,MATCH(D5517,Produtos!$B$4:$B$4996,0)),"Produto não encontrado"),"")</f>
        <v/>
      </c>
    </row>
    <row r="5518" spans="1:5" x14ac:dyDescent="0.3">
      <c r="A5518" s="21" t="str">
        <f t="shared" si="86"/>
        <v>.</v>
      </c>
      <c r="D5518" s="44"/>
      <c r="E5518" s="22" t="str">
        <f>IF(D5518&lt;&gt;"",IFERROR(INDEX(Produtos!$C$4:$C$4996,MATCH(D5518,Produtos!$B$4:$B$4996,0)),"Produto não encontrado"),"")</f>
        <v/>
      </c>
    </row>
    <row r="5519" spans="1:5" x14ac:dyDescent="0.3">
      <c r="A5519" s="21" t="str">
        <f t="shared" si="86"/>
        <v>.</v>
      </c>
      <c r="D5519" s="44"/>
      <c r="E5519" s="22" t="str">
        <f>IF(D5519&lt;&gt;"",IFERROR(INDEX(Produtos!$C$4:$C$4996,MATCH(D5519,Produtos!$B$4:$B$4996,0)),"Produto não encontrado"),"")</f>
        <v/>
      </c>
    </row>
    <row r="5520" spans="1:5" x14ac:dyDescent="0.3">
      <c r="A5520" s="21" t="str">
        <f t="shared" si="86"/>
        <v>.</v>
      </c>
      <c r="D5520" s="44"/>
      <c r="E5520" s="22" t="str">
        <f>IF(D5520&lt;&gt;"",IFERROR(INDEX(Produtos!$C$4:$C$4996,MATCH(D5520,Produtos!$B$4:$B$4996,0)),"Produto não encontrado"),"")</f>
        <v/>
      </c>
    </row>
    <row r="5521" spans="1:5" x14ac:dyDescent="0.3">
      <c r="A5521" s="21" t="str">
        <f t="shared" si="86"/>
        <v>.</v>
      </c>
      <c r="D5521" s="44"/>
      <c r="E5521" s="22" t="str">
        <f>IF(D5521&lt;&gt;"",IFERROR(INDEX(Produtos!$C$4:$C$4996,MATCH(D5521,Produtos!$B$4:$B$4996,0)),"Produto não encontrado"),"")</f>
        <v/>
      </c>
    </row>
    <row r="5522" spans="1:5" x14ac:dyDescent="0.3">
      <c r="A5522" s="21" t="str">
        <f t="shared" si="86"/>
        <v>.</v>
      </c>
      <c r="D5522" s="44"/>
      <c r="E5522" s="22" t="str">
        <f>IF(D5522&lt;&gt;"",IFERROR(INDEX(Produtos!$C$4:$C$4996,MATCH(D5522,Produtos!$B$4:$B$4996,0)),"Produto não encontrado"),"")</f>
        <v/>
      </c>
    </row>
    <row r="5523" spans="1:5" x14ac:dyDescent="0.3">
      <c r="A5523" s="21" t="str">
        <f t="shared" si="86"/>
        <v>.</v>
      </c>
      <c r="D5523" s="44"/>
      <c r="E5523" s="22" t="str">
        <f>IF(D5523&lt;&gt;"",IFERROR(INDEX(Produtos!$C$4:$C$4996,MATCH(D5523,Produtos!$B$4:$B$4996,0)),"Produto não encontrado"),"")</f>
        <v/>
      </c>
    </row>
    <row r="5524" spans="1:5" x14ac:dyDescent="0.3">
      <c r="A5524" s="21" t="str">
        <f t="shared" si="86"/>
        <v>.</v>
      </c>
      <c r="D5524" s="44"/>
      <c r="E5524" s="22" t="str">
        <f>IF(D5524&lt;&gt;"",IFERROR(INDEX(Produtos!$C$4:$C$4996,MATCH(D5524,Produtos!$B$4:$B$4996,0)),"Produto não encontrado"),"")</f>
        <v/>
      </c>
    </row>
    <row r="5525" spans="1:5" x14ac:dyDescent="0.3">
      <c r="A5525" s="21" t="str">
        <f t="shared" si="86"/>
        <v>.</v>
      </c>
      <c r="D5525" s="44"/>
      <c r="E5525" s="22" t="str">
        <f>IF(D5525&lt;&gt;"",IFERROR(INDEX(Produtos!$C$4:$C$4996,MATCH(D5525,Produtos!$B$4:$B$4996,0)),"Produto não encontrado"),"")</f>
        <v/>
      </c>
    </row>
    <row r="5526" spans="1:5" x14ac:dyDescent="0.3">
      <c r="A5526" s="21" t="str">
        <f t="shared" si="86"/>
        <v>.</v>
      </c>
      <c r="D5526" s="44"/>
      <c r="E5526" s="22" t="str">
        <f>IF(D5526&lt;&gt;"",IFERROR(INDEX(Produtos!$C$4:$C$4996,MATCH(D5526,Produtos!$B$4:$B$4996,0)),"Produto não encontrado"),"")</f>
        <v/>
      </c>
    </row>
    <row r="5527" spans="1:5" x14ac:dyDescent="0.3">
      <c r="A5527" s="21" t="str">
        <f t="shared" si="86"/>
        <v>.</v>
      </c>
      <c r="D5527" s="44"/>
      <c r="E5527" s="22" t="str">
        <f>IF(D5527&lt;&gt;"",IFERROR(INDEX(Produtos!$C$4:$C$4996,MATCH(D5527,Produtos!$B$4:$B$4996,0)),"Produto não encontrado"),"")</f>
        <v/>
      </c>
    </row>
    <row r="5528" spans="1:5" x14ac:dyDescent="0.3">
      <c r="A5528" s="21" t="str">
        <f t="shared" si="86"/>
        <v>.</v>
      </c>
      <c r="D5528" s="44"/>
      <c r="E5528" s="22" t="str">
        <f>IF(D5528&lt;&gt;"",IFERROR(INDEX(Produtos!$C$4:$C$4996,MATCH(D5528,Produtos!$B$4:$B$4996,0)),"Produto não encontrado"),"")</f>
        <v/>
      </c>
    </row>
    <row r="5529" spans="1:5" x14ac:dyDescent="0.3">
      <c r="A5529" s="21" t="str">
        <f t="shared" si="86"/>
        <v>.</v>
      </c>
      <c r="D5529" s="44"/>
      <c r="E5529" s="22" t="str">
        <f>IF(D5529&lt;&gt;"",IFERROR(INDEX(Produtos!$C$4:$C$4996,MATCH(D5529,Produtos!$B$4:$B$4996,0)),"Produto não encontrado"),"")</f>
        <v/>
      </c>
    </row>
    <row r="5530" spans="1:5" x14ac:dyDescent="0.3">
      <c r="A5530" s="21" t="str">
        <f t="shared" si="86"/>
        <v>.</v>
      </c>
      <c r="D5530" s="44"/>
      <c r="E5530" s="22" t="str">
        <f>IF(D5530&lt;&gt;"",IFERROR(INDEX(Produtos!$C$4:$C$4996,MATCH(D5530,Produtos!$B$4:$B$4996,0)),"Produto não encontrado"),"")</f>
        <v/>
      </c>
    </row>
    <row r="5531" spans="1:5" x14ac:dyDescent="0.3">
      <c r="A5531" s="21" t="str">
        <f t="shared" si="86"/>
        <v>.</v>
      </c>
      <c r="D5531" s="44"/>
      <c r="E5531" s="22" t="str">
        <f>IF(D5531&lt;&gt;"",IFERROR(INDEX(Produtos!$C$4:$C$4996,MATCH(D5531,Produtos!$B$4:$B$4996,0)),"Produto não encontrado"),"")</f>
        <v/>
      </c>
    </row>
    <row r="5532" spans="1:5" x14ac:dyDescent="0.3">
      <c r="A5532" s="21" t="str">
        <f t="shared" si="86"/>
        <v>.</v>
      </c>
      <c r="D5532" s="44"/>
      <c r="E5532" s="22" t="str">
        <f>IF(D5532&lt;&gt;"",IFERROR(INDEX(Produtos!$C$4:$C$4996,MATCH(D5532,Produtos!$B$4:$B$4996,0)),"Produto não encontrado"),"")</f>
        <v/>
      </c>
    </row>
    <row r="5533" spans="1:5" x14ac:dyDescent="0.3">
      <c r="A5533" s="21" t="str">
        <f t="shared" si="86"/>
        <v>.</v>
      </c>
      <c r="D5533" s="44"/>
      <c r="E5533" s="22" t="str">
        <f>IF(D5533&lt;&gt;"",IFERROR(INDEX(Produtos!$C$4:$C$4996,MATCH(D5533,Produtos!$B$4:$B$4996,0)),"Produto não encontrado"),"")</f>
        <v/>
      </c>
    </row>
    <row r="5534" spans="1:5" x14ac:dyDescent="0.3">
      <c r="A5534" s="21" t="str">
        <f t="shared" si="86"/>
        <v>.</v>
      </c>
      <c r="D5534" s="44"/>
      <c r="E5534" s="22" t="str">
        <f>IF(D5534&lt;&gt;"",IFERROR(INDEX(Produtos!$C$4:$C$4996,MATCH(D5534,Produtos!$B$4:$B$4996,0)),"Produto não encontrado"),"")</f>
        <v/>
      </c>
    </row>
    <row r="5535" spans="1:5" x14ac:dyDescent="0.3">
      <c r="A5535" s="21" t="str">
        <f t="shared" si="86"/>
        <v>.</v>
      </c>
      <c r="D5535" s="44"/>
      <c r="E5535" s="22" t="str">
        <f>IF(D5535&lt;&gt;"",IFERROR(INDEX(Produtos!$C$4:$C$4996,MATCH(D5535,Produtos!$B$4:$B$4996,0)),"Produto não encontrado"),"")</f>
        <v/>
      </c>
    </row>
    <row r="5536" spans="1:5" x14ac:dyDescent="0.3">
      <c r="A5536" s="21" t="str">
        <f t="shared" si="86"/>
        <v>.</v>
      </c>
      <c r="D5536" s="44"/>
      <c r="E5536" s="22" t="str">
        <f>IF(D5536&lt;&gt;"",IFERROR(INDEX(Produtos!$C$4:$C$4996,MATCH(D5536,Produtos!$B$4:$B$4996,0)),"Produto não encontrado"),"")</f>
        <v/>
      </c>
    </row>
    <row r="5537" spans="1:5" x14ac:dyDescent="0.3">
      <c r="A5537" s="21" t="str">
        <f t="shared" si="86"/>
        <v>.</v>
      </c>
      <c r="D5537" s="44"/>
      <c r="E5537" s="22" t="str">
        <f>IF(D5537&lt;&gt;"",IFERROR(INDEX(Produtos!$C$4:$C$4996,MATCH(D5537,Produtos!$B$4:$B$4996,0)),"Produto não encontrado"),"")</f>
        <v/>
      </c>
    </row>
    <row r="5538" spans="1:5" x14ac:dyDescent="0.3">
      <c r="A5538" s="21" t="str">
        <f t="shared" si="86"/>
        <v>.</v>
      </c>
      <c r="D5538" s="44"/>
      <c r="E5538" s="22" t="str">
        <f>IF(D5538&lt;&gt;"",IFERROR(INDEX(Produtos!$C$4:$C$4996,MATCH(D5538,Produtos!$B$4:$B$4996,0)),"Produto não encontrado"),"")</f>
        <v/>
      </c>
    </row>
    <row r="5539" spans="1:5" x14ac:dyDescent="0.3">
      <c r="A5539" s="21" t="str">
        <f t="shared" si="86"/>
        <v>.</v>
      </c>
      <c r="D5539" s="44"/>
      <c r="E5539" s="22" t="str">
        <f>IF(D5539&lt;&gt;"",IFERROR(INDEX(Produtos!$C$4:$C$4996,MATCH(D5539,Produtos!$B$4:$B$4996,0)),"Produto não encontrado"),"")</f>
        <v/>
      </c>
    </row>
    <row r="5540" spans="1:5" x14ac:dyDescent="0.3">
      <c r="A5540" s="21" t="str">
        <f t="shared" si="86"/>
        <v>.</v>
      </c>
      <c r="D5540" s="44"/>
      <c r="E5540" s="22" t="str">
        <f>IF(D5540&lt;&gt;"",IFERROR(INDEX(Produtos!$C$4:$C$4996,MATCH(D5540,Produtos!$B$4:$B$4996,0)),"Produto não encontrado"),"")</f>
        <v/>
      </c>
    </row>
    <row r="5541" spans="1:5" x14ac:dyDescent="0.3">
      <c r="A5541" s="21" t="str">
        <f t="shared" si="86"/>
        <v>.</v>
      </c>
      <c r="D5541" s="44"/>
      <c r="E5541" s="22" t="str">
        <f>IF(D5541&lt;&gt;"",IFERROR(INDEX(Produtos!$C$4:$C$4996,MATCH(D5541,Produtos!$B$4:$B$4996,0)),"Produto não encontrado"),"")</f>
        <v/>
      </c>
    </row>
    <row r="5542" spans="1:5" x14ac:dyDescent="0.3">
      <c r="A5542" s="21" t="str">
        <f t="shared" si="86"/>
        <v>.</v>
      </c>
      <c r="D5542" s="44"/>
      <c r="E5542" s="22" t="str">
        <f>IF(D5542&lt;&gt;"",IFERROR(INDEX(Produtos!$C$4:$C$4996,MATCH(D5542,Produtos!$B$4:$B$4996,0)),"Produto não encontrado"),"")</f>
        <v/>
      </c>
    </row>
    <row r="5543" spans="1:5" x14ac:dyDescent="0.3">
      <c r="A5543" s="21" t="str">
        <f t="shared" si="86"/>
        <v>.</v>
      </c>
      <c r="D5543" s="44"/>
      <c r="E5543" s="22" t="str">
        <f>IF(D5543&lt;&gt;"",IFERROR(INDEX(Produtos!$C$4:$C$4996,MATCH(D5543,Produtos!$B$4:$B$4996,0)),"Produto não encontrado"),"")</f>
        <v/>
      </c>
    </row>
    <row r="5544" spans="1:5" x14ac:dyDescent="0.3">
      <c r="A5544" s="21" t="str">
        <f t="shared" si="86"/>
        <v>.</v>
      </c>
      <c r="D5544" s="44"/>
      <c r="E5544" s="22" t="str">
        <f>IF(D5544&lt;&gt;"",IFERROR(INDEX(Produtos!$C$4:$C$4996,MATCH(D5544,Produtos!$B$4:$B$4996,0)),"Produto não encontrado"),"")</f>
        <v/>
      </c>
    </row>
    <row r="5545" spans="1:5" x14ac:dyDescent="0.3">
      <c r="A5545" s="21" t="str">
        <f t="shared" si="86"/>
        <v>.</v>
      </c>
      <c r="D5545" s="44"/>
      <c r="E5545" s="22" t="str">
        <f>IF(D5545&lt;&gt;"",IFERROR(INDEX(Produtos!$C$4:$C$4996,MATCH(D5545,Produtos!$B$4:$B$4996,0)),"Produto não encontrado"),"")</f>
        <v/>
      </c>
    </row>
    <row r="5546" spans="1:5" x14ac:dyDescent="0.3">
      <c r="A5546" s="21" t="str">
        <f t="shared" si="86"/>
        <v>.</v>
      </c>
      <c r="D5546" s="44"/>
      <c r="E5546" s="22" t="str">
        <f>IF(D5546&lt;&gt;"",IFERROR(INDEX(Produtos!$C$4:$C$4996,MATCH(D5546,Produtos!$B$4:$B$4996,0)),"Produto não encontrado"),"")</f>
        <v/>
      </c>
    </row>
    <row r="5547" spans="1:5" x14ac:dyDescent="0.3">
      <c r="A5547" s="21" t="str">
        <f t="shared" si="86"/>
        <v>.</v>
      </c>
      <c r="D5547" s="44"/>
      <c r="E5547" s="22" t="str">
        <f>IF(D5547&lt;&gt;"",IFERROR(INDEX(Produtos!$C$4:$C$4996,MATCH(D5547,Produtos!$B$4:$B$4996,0)),"Produto não encontrado"),"")</f>
        <v/>
      </c>
    </row>
    <row r="5548" spans="1:5" x14ac:dyDescent="0.3">
      <c r="A5548" s="21" t="str">
        <f t="shared" si="86"/>
        <v>.</v>
      </c>
      <c r="D5548" s="44"/>
      <c r="E5548" s="22" t="str">
        <f>IF(D5548&lt;&gt;"",IFERROR(INDEX(Produtos!$C$4:$C$4996,MATCH(D5548,Produtos!$B$4:$B$4996,0)),"Produto não encontrado"),"")</f>
        <v/>
      </c>
    </row>
    <row r="5549" spans="1:5" x14ac:dyDescent="0.3">
      <c r="A5549" s="21" t="str">
        <f t="shared" si="86"/>
        <v>.</v>
      </c>
      <c r="D5549" s="44"/>
      <c r="E5549" s="22" t="str">
        <f>IF(D5549&lt;&gt;"",IFERROR(INDEX(Produtos!$C$4:$C$4996,MATCH(D5549,Produtos!$B$4:$B$4996,0)),"Produto não encontrado"),"")</f>
        <v/>
      </c>
    </row>
    <row r="5550" spans="1:5" x14ac:dyDescent="0.3">
      <c r="A5550" s="21" t="str">
        <f t="shared" si="86"/>
        <v>.</v>
      </c>
      <c r="D5550" s="44"/>
      <c r="E5550" s="22" t="str">
        <f>IF(D5550&lt;&gt;"",IFERROR(INDEX(Produtos!$C$4:$C$4996,MATCH(D5550,Produtos!$B$4:$B$4996,0)),"Produto não encontrado"),"")</f>
        <v/>
      </c>
    </row>
    <row r="5551" spans="1:5" x14ac:dyDescent="0.3">
      <c r="A5551" s="21" t="str">
        <f t="shared" si="86"/>
        <v>.</v>
      </c>
      <c r="D5551" s="44"/>
      <c r="E5551" s="22" t="str">
        <f>IF(D5551&lt;&gt;"",IFERROR(INDEX(Produtos!$C$4:$C$4996,MATCH(D5551,Produtos!$B$4:$B$4996,0)),"Produto não encontrado"),"")</f>
        <v/>
      </c>
    </row>
    <row r="5552" spans="1:5" x14ac:dyDescent="0.3">
      <c r="A5552" s="21" t="str">
        <f t="shared" si="86"/>
        <v>.</v>
      </c>
      <c r="D5552" s="44"/>
      <c r="E5552" s="22" t="str">
        <f>IF(D5552&lt;&gt;"",IFERROR(INDEX(Produtos!$C$4:$C$4996,MATCH(D5552,Produtos!$B$4:$B$4996,0)),"Produto não encontrado"),"")</f>
        <v/>
      </c>
    </row>
    <row r="5553" spans="1:5" x14ac:dyDescent="0.3">
      <c r="A5553" s="21" t="str">
        <f t="shared" si="86"/>
        <v>.</v>
      </c>
      <c r="D5553" s="44"/>
      <c r="E5553" s="22" t="str">
        <f>IF(D5553&lt;&gt;"",IFERROR(INDEX(Produtos!$C$4:$C$4996,MATCH(D5553,Produtos!$B$4:$B$4996,0)),"Produto não encontrado"),"")</f>
        <v/>
      </c>
    </row>
    <row r="5554" spans="1:5" x14ac:dyDescent="0.3">
      <c r="A5554" s="21" t="str">
        <f t="shared" si="86"/>
        <v>.</v>
      </c>
      <c r="D5554" s="44"/>
      <c r="E5554" s="22" t="str">
        <f>IF(D5554&lt;&gt;"",IFERROR(INDEX(Produtos!$C$4:$C$4996,MATCH(D5554,Produtos!$B$4:$B$4996,0)),"Produto não encontrado"),"")</f>
        <v/>
      </c>
    </row>
    <row r="5555" spans="1:5" x14ac:dyDescent="0.3">
      <c r="A5555" s="21" t="str">
        <f t="shared" si="86"/>
        <v>.</v>
      </c>
      <c r="D5555" s="44"/>
      <c r="E5555" s="22" t="str">
        <f>IF(D5555&lt;&gt;"",IFERROR(INDEX(Produtos!$C$4:$C$4996,MATCH(D5555,Produtos!$B$4:$B$4996,0)),"Produto não encontrado"),"")</f>
        <v/>
      </c>
    </row>
    <row r="5556" spans="1:5" x14ac:dyDescent="0.3">
      <c r="A5556" s="21" t="str">
        <f t="shared" si="86"/>
        <v>.</v>
      </c>
      <c r="D5556" s="44"/>
      <c r="E5556" s="22" t="str">
        <f>IF(D5556&lt;&gt;"",IFERROR(INDEX(Produtos!$C$4:$C$4996,MATCH(D5556,Produtos!$B$4:$B$4996,0)),"Produto não encontrado"),"")</f>
        <v/>
      </c>
    </row>
    <row r="5557" spans="1:5" x14ac:dyDescent="0.3">
      <c r="A5557" s="21" t="str">
        <f t="shared" si="86"/>
        <v>.</v>
      </c>
      <c r="D5557" s="44"/>
      <c r="E5557" s="22" t="str">
        <f>IF(D5557&lt;&gt;"",IFERROR(INDEX(Produtos!$C$4:$C$4996,MATCH(D5557,Produtos!$B$4:$B$4996,0)),"Produto não encontrado"),"")</f>
        <v/>
      </c>
    </row>
    <row r="5558" spans="1:5" x14ac:dyDescent="0.3">
      <c r="A5558" s="21" t="str">
        <f t="shared" si="86"/>
        <v>.</v>
      </c>
      <c r="D5558" s="44"/>
      <c r="E5558" s="22" t="str">
        <f>IF(D5558&lt;&gt;"",IFERROR(INDEX(Produtos!$C$4:$C$4996,MATCH(D5558,Produtos!$B$4:$B$4996,0)),"Produto não encontrado"),"")</f>
        <v/>
      </c>
    </row>
    <row r="5559" spans="1:5" x14ac:dyDescent="0.3">
      <c r="A5559" s="21" t="str">
        <f t="shared" si="86"/>
        <v>.</v>
      </c>
      <c r="D5559" s="44"/>
      <c r="E5559" s="22" t="str">
        <f>IF(D5559&lt;&gt;"",IFERROR(INDEX(Produtos!$C$4:$C$4996,MATCH(D5559,Produtos!$B$4:$B$4996,0)),"Produto não encontrado"),"")</f>
        <v/>
      </c>
    </row>
    <row r="5560" spans="1:5" x14ac:dyDescent="0.3">
      <c r="A5560" s="21" t="str">
        <f t="shared" si="86"/>
        <v>.</v>
      </c>
      <c r="D5560" s="44"/>
      <c r="E5560" s="22" t="str">
        <f>IF(D5560&lt;&gt;"",IFERROR(INDEX(Produtos!$C$4:$C$4996,MATCH(D5560,Produtos!$B$4:$B$4996,0)),"Produto não encontrado"),"")</f>
        <v/>
      </c>
    </row>
    <row r="5561" spans="1:5" x14ac:dyDescent="0.3">
      <c r="A5561" s="21" t="str">
        <f t="shared" si="86"/>
        <v>.</v>
      </c>
      <c r="D5561" s="44"/>
      <c r="E5561" s="22" t="str">
        <f>IF(D5561&lt;&gt;"",IFERROR(INDEX(Produtos!$C$4:$C$4996,MATCH(D5561,Produtos!$B$4:$B$4996,0)),"Produto não encontrado"),"")</f>
        <v/>
      </c>
    </row>
    <row r="5562" spans="1:5" x14ac:dyDescent="0.3">
      <c r="A5562" s="21" t="str">
        <f t="shared" si="86"/>
        <v>.</v>
      </c>
      <c r="D5562" s="44"/>
      <c r="E5562" s="22" t="str">
        <f>IF(D5562&lt;&gt;"",IFERROR(INDEX(Produtos!$C$4:$C$4996,MATCH(D5562,Produtos!$B$4:$B$4996,0)),"Produto não encontrado"),"")</f>
        <v/>
      </c>
    </row>
    <row r="5563" spans="1:5" x14ac:dyDescent="0.3">
      <c r="A5563" s="21" t="str">
        <f t="shared" si="86"/>
        <v>.</v>
      </c>
      <c r="D5563" s="44"/>
      <c r="E5563" s="22" t="str">
        <f>IF(D5563&lt;&gt;"",IFERROR(INDEX(Produtos!$C$4:$C$4996,MATCH(D5563,Produtos!$B$4:$B$4996,0)),"Produto não encontrado"),"")</f>
        <v/>
      </c>
    </row>
    <row r="5564" spans="1:5" x14ac:dyDescent="0.3">
      <c r="A5564" s="21" t="str">
        <f t="shared" si="86"/>
        <v>.</v>
      </c>
      <c r="D5564" s="44"/>
      <c r="E5564" s="22" t="str">
        <f>IF(D5564&lt;&gt;"",IFERROR(INDEX(Produtos!$C$4:$C$4996,MATCH(D5564,Produtos!$B$4:$B$4996,0)),"Produto não encontrado"),"")</f>
        <v/>
      </c>
    </row>
    <row r="5565" spans="1:5" x14ac:dyDescent="0.3">
      <c r="A5565" s="21" t="str">
        <f t="shared" si="86"/>
        <v>.</v>
      </c>
      <c r="D5565" s="44"/>
      <c r="E5565" s="22" t="str">
        <f>IF(D5565&lt;&gt;"",IFERROR(INDEX(Produtos!$C$4:$C$4996,MATCH(D5565,Produtos!$B$4:$B$4996,0)),"Produto não encontrado"),"")</f>
        <v/>
      </c>
    </row>
    <row r="5566" spans="1:5" x14ac:dyDescent="0.3">
      <c r="A5566" s="21" t="str">
        <f t="shared" si="86"/>
        <v>.</v>
      </c>
      <c r="D5566" s="44"/>
      <c r="E5566" s="22" t="str">
        <f>IF(D5566&lt;&gt;"",IFERROR(INDEX(Produtos!$C$4:$C$4996,MATCH(D5566,Produtos!$B$4:$B$4996,0)),"Produto não encontrado"),"")</f>
        <v/>
      </c>
    </row>
    <row r="5567" spans="1:5" x14ac:dyDescent="0.3">
      <c r="A5567" s="21" t="str">
        <f t="shared" si="86"/>
        <v>.</v>
      </c>
      <c r="D5567" s="44"/>
      <c r="E5567" s="22" t="str">
        <f>IF(D5567&lt;&gt;"",IFERROR(INDEX(Produtos!$C$4:$C$4996,MATCH(D5567,Produtos!$B$4:$B$4996,0)),"Produto não encontrado"),"")</f>
        <v/>
      </c>
    </row>
    <row r="5568" spans="1:5" x14ac:dyDescent="0.3">
      <c r="A5568" s="21" t="str">
        <f t="shared" ref="A5568:A5631" si="87">IF(C5568="Entrada",2,IF(C5568="Saída",1,"."))</f>
        <v>.</v>
      </c>
      <c r="D5568" s="44"/>
      <c r="E5568" s="22" t="str">
        <f>IF(D5568&lt;&gt;"",IFERROR(INDEX(Produtos!$C$4:$C$4996,MATCH(D5568,Produtos!$B$4:$B$4996,0)),"Produto não encontrado"),"")</f>
        <v/>
      </c>
    </row>
    <row r="5569" spans="1:5" x14ac:dyDescent="0.3">
      <c r="A5569" s="21" t="str">
        <f t="shared" si="87"/>
        <v>.</v>
      </c>
      <c r="D5569" s="44"/>
      <c r="E5569" s="22" t="str">
        <f>IF(D5569&lt;&gt;"",IFERROR(INDEX(Produtos!$C$4:$C$4996,MATCH(D5569,Produtos!$B$4:$B$4996,0)),"Produto não encontrado"),"")</f>
        <v/>
      </c>
    </row>
    <row r="5570" spans="1:5" x14ac:dyDescent="0.3">
      <c r="A5570" s="21" t="str">
        <f t="shared" si="87"/>
        <v>.</v>
      </c>
      <c r="D5570" s="44"/>
      <c r="E5570" s="22" t="str">
        <f>IF(D5570&lt;&gt;"",IFERROR(INDEX(Produtos!$C$4:$C$4996,MATCH(D5570,Produtos!$B$4:$B$4996,0)),"Produto não encontrado"),"")</f>
        <v/>
      </c>
    </row>
    <row r="5571" spans="1:5" x14ac:dyDescent="0.3">
      <c r="A5571" s="21" t="str">
        <f t="shared" si="87"/>
        <v>.</v>
      </c>
      <c r="D5571" s="44"/>
      <c r="E5571" s="22" t="str">
        <f>IF(D5571&lt;&gt;"",IFERROR(INDEX(Produtos!$C$4:$C$4996,MATCH(D5571,Produtos!$B$4:$B$4996,0)),"Produto não encontrado"),"")</f>
        <v/>
      </c>
    </row>
    <row r="5572" spans="1:5" x14ac:dyDescent="0.3">
      <c r="A5572" s="21" t="str">
        <f t="shared" si="87"/>
        <v>.</v>
      </c>
      <c r="D5572" s="44"/>
      <c r="E5572" s="22" t="str">
        <f>IF(D5572&lt;&gt;"",IFERROR(INDEX(Produtos!$C$4:$C$4996,MATCH(D5572,Produtos!$B$4:$B$4996,0)),"Produto não encontrado"),"")</f>
        <v/>
      </c>
    </row>
    <row r="5573" spans="1:5" x14ac:dyDescent="0.3">
      <c r="A5573" s="21" t="str">
        <f t="shared" si="87"/>
        <v>.</v>
      </c>
      <c r="D5573" s="44"/>
      <c r="E5573" s="22" t="str">
        <f>IF(D5573&lt;&gt;"",IFERROR(INDEX(Produtos!$C$4:$C$4996,MATCH(D5573,Produtos!$B$4:$B$4996,0)),"Produto não encontrado"),"")</f>
        <v/>
      </c>
    </row>
    <row r="5574" spans="1:5" x14ac:dyDescent="0.3">
      <c r="A5574" s="21" t="str">
        <f t="shared" si="87"/>
        <v>.</v>
      </c>
      <c r="D5574" s="44"/>
      <c r="E5574" s="22" t="str">
        <f>IF(D5574&lt;&gt;"",IFERROR(INDEX(Produtos!$C$4:$C$4996,MATCH(D5574,Produtos!$B$4:$B$4996,0)),"Produto não encontrado"),"")</f>
        <v/>
      </c>
    </row>
    <row r="5575" spans="1:5" x14ac:dyDescent="0.3">
      <c r="A5575" s="21" t="str">
        <f t="shared" si="87"/>
        <v>.</v>
      </c>
      <c r="D5575" s="44"/>
      <c r="E5575" s="22" t="str">
        <f>IF(D5575&lt;&gt;"",IFERROR(INDEX(Produtos!$C$4:$C$4996,MATCH(D5575,Produtos!$B$4:$B$4996,0)),"Produto não encontrado"),"")</f>
        <v/>
      </c>
    </row>
    <row r="5576" spans="1:5" x14ac:dyDescent="0.3">
      <c r="A5576" s="21" t="str">
        <f t="shared" si="87"/>
        <v>.</v>
      </c>
      <c r="D5576" s="44"/>
      <c r="E5576" s="22" t="str">
        <f>IF(D5576&lt;&gt;"",IFERROR(INDEX(Produtos!$C$4:$C$4996,MATCH(D5576,Produtos!$B$4:$B$4996,0)),"Produto não encontrado"),"")</f>
        <v/>
      </c>
    </row>
    <row r="5577" spans="1:5" x14ac:dyDescent="0.3">
      <c r="A5577" s="21" t="str">
        <f t="shared" si="87"/>
        <v>.</v>
      </c>
      <c r="D5577" s="44"/>
      <c r="E5577" s="22" t="str">
        <f>IF(D5577&lt;&gt;"",IFERROR(INDEX(Produtos!$C$4:$C$4996,MATCH(D5577,Produtos!$B$4:$B$4996,0)),"Produto não encontrado"),"")</f>
        <v/>
      </c>
    </row>
    <row r="5578" spans="1:5" x14ac:dyDescent="0.3">
      <c r="A5578" s="21" t="str">
        <f t="shared" si="87"/>
        <v>.</v>
      </c>
      <c r="D5578" s="44"/>
      <c r="E5578" s="22" t="str">
        <f>IF(D5578&lt;&gt;"",IFERROR(INDEX(Produtos!$C$4:$C$4996,MATCH(D5578,Produtos!$B$4:$B$4996,0)),"Produto não encontrado"),"")</f>
        <v/>
      </c>
    </row>
    <row r="5579" spans="1:5" x14ac:dyDescent="0.3">
      <c r="A5579" s="21" t="str">
        <f t="shared" si="87"/>
        <v>.</v>
      </c>
      <c r="D5579" s="44"/>
      <c r="E5579" s="22" t="str">
        <f>IF(D5579&lt;&gt;"",IFERROR(INDEX(Produtos!$C$4:$C$4996,MATCH(D5579,Produtos!$B$4:$B$4996,0)),"Produto não encontrado"),"")</f>
        <v/>
      </c>
    </row>
    <row r="5580" spans="1:5" x14ac:dyDescent="0.3">
      <c r="A5580" s="21" t="str">
        <f t="shared" si="87"/>
        <v>.</v>
      </c>
      <c r="D5580" s="44"/>
      <c r="E5580" s="22" t="str">
        <f>IF(D5580&lt;&gt;"",IFERROR(INDEX(Produtos!$C$4:$C$4996,MATCH(D5580,Produtos!$B$4:$B$4996,0)),"Produto não encontrado"),"")</f>
        <v/>
      </c>
    </row>
    <row r="5581" spans="1:5" x14ac:dyDescent="0.3">
      <c r="A5581" s="21" t="str">
        <f t="shared" si="87"/>
        <v>.</v>
      </c>
      <c r="D5581" s="44"/>
      <c r="E5581" s="22" t="str">
        <f>IF(D5581&lt;&gt;"",IFERROR(INDEX(Produtos!$C$4:$C$4996,MATCH(D5581,Produtos!$B$4:$B$4996,0)),"Produto não encontrado"),"")</f>
        <v/>
      </c>
    </row>
    <row r="5582" spans="1:5" x14ac:dyDescent="0.3">
      <c r="A5582" s="21" t="str">
        <f t="shared" si="87"/>
        <v>.</v>
      </c>
      <c r="D5582" s="44"/>
      <c r="E5582" s="22" t="str">
        <f>IF(D5582&lt;&gt;"",IFERROR(INDEX(Produtos!$C$4:$C$4996,MATCH(D5582,Produtos!$B$4:$B$4996,0)),"Produto não encontrado"),"")</f>
        <v/>
      </c>
    </row>
    <row r="5583" spans="1:5" x14ac:dyDescent="0.3">
      <c r="A5583" s="21" t="str">
        <f t="shared" si="87"/>
        <v>.</v>
      </c>
      <c r="D5583" s="44"/>
      <c r="E5583" s="22" t="str">
        <f>IF(D5583&lt;&gt;"",IFERROR(INDEX(Produtos!$C$4:$C$4996,MATCH(D5583,Produtos!$B$4:$B$4996,0)),"Produto não encontrado"),"")</f>
        <v/>
      </c>
    </row>
    <row r="5584" spans="1:5" x14ac:dyDescent="0.3">
      <c r="A5584" s="21" t="str">
        <f t="shared" si="87"/>
        <v>.</v>
      </c>
      <c r="D5584" s="44"/>
      <c r="E5584" s="22" t="str">
        <f>IF(D5584&lt;&gt;"",IFERROR(INDEX(Produtos!$C$4:$C$4996,MATCH(D5584,Produtos!$B$4:$B$4996,0)),"Produto não encontrado"),"")</f>
        <v/>
      </c>
    </row>
    <row r="5585" spans="1:5" x14ac:dyDescent="0.3">
      <c r="A5585" s="21" t="str">
        <f t="shared" si="87"/>
        <v>.</v>
      </c>
      <c r="D5585" s="44"/>
      <c r="E5585" s="22" t="str">
        <f>IF(D5585&lt;&gt;"",IFERROR(INDEX(Produtos!$C$4:$C$4996,MATCH(D5585,Produtos!$B$4:$B$4996,0)),"Produto não encontrado"),"")</f>
        <v/>
      </c>
    </row>
    <row r="5586" spans="1:5" x14ac:dyDescent="0.3">
      <c r="A5586" s="21" t="str">
        <f t="shared" si="87"/>
        <v>.</v>
      </c>
      <c r="D5586" s="44"/>
      <c r="E5586" s="22" t="str">
        <f>IF(D5586&lt;&gt;"",IFERROR(INDEX(Produtos!$C$4:$C$4996,MATCH(D5586,Produtos!$B$4:$B$4996,0)),"Produto não encontrado"),"")</f>
        <v/>
      </c>
    </row>
    <row r="5587" spans="1:5" x14ac:dyDescent="0.3">
      <c r="A5587" s="21" t="str">
        <f t="shared" si="87"/>
        <v>.</v>
      </c>
      <c r="D5587" s="44"/>
      <c r="E5587" s="22" t="str">
        <f>IF(D5587&lt;&gt;"",IFERROR(INDEX(Produtos!$C$4:$C$4996,MATCH(D5587,Produtos!$B$4:$B$4996,0)),"Produto não encontrado"),"")</f>
        <v/>
      </c>
    </row>
    <row r="5588" spans="1:5" x14ac:dyDescent="0.3">
      <c r="A5588" s="21" t="str">
        <f t="shared" si="87"/>
        <v>.</v>
      </c>
      <c r="D5588" s="44"/>
      <c r="E5588" s="22" t="str">
        <f>IF(D5588&lt;&gt;"",IFERROR(INDEX(Produtos!$C$4:$C$4996,MATCH(D5588,Produtos!$B$4:$B$4996,0)),"Produto não encontrado"),"")</f>
        <v/>
      </c>
    </row>
    <row r="5589" spans="1:5" x14ac:dyDescent="0.3">
      <c r="A5589" s="21" t="str">
        <f t="shared" si="87"/>
        <v>.</v>
      </c>
      <c r="D5589" s="44"/>
      <c r="E5589" s="22" t="str">
        <f>IF(D5589&lt;&gt;"",IFERROR(INDEX(Produtos!$C$4:$C$4996,MATCH(D5589,Produtos!$B$4:$B$4996,0)),"Produto não encontrado"),"")</f>
        <v/>
      </c>
    </row>
    <row r="5590" spans="1:5" x14ac:dyDescent="0.3">
      <c r="A5590" s="21" t="str">
        <f t="shared" si="87"/>
        <v>.</v>
      </c>
      <c r="D5590" s="44"/>
      <c r="E5590" s="22" t="str">
        <f>IF(D5590&lt;&gt;"",IFERROR(INDEX(Produtos!$C$4:$C$4996,MATCH(D5590,Produtos!$B$4:$B$4996,0)),"Produto não encontrado"),"")</f>
        <v/>
      </c>
    </row>
    <row r="5591" spans="1:5" x14ac:dyDescent="0.3">
      <c r="A5591" s="21" t="str">
        <f t="shared" si="87"/>
        <v>.</v>
      </c>
      <c r="D5591" s="44"/>
      <c r="E5591" s="22" t="str">
        <f>IF(D5591&lt;&gt;"",IFERROR(INDEX(Produtos!$C$4:$C$4996,MATCH(D5591,Produtos!$B$4:$B$4996,0)),"Produto não encontrado"),"")</f>
        <v/>
      </c>
    </row>
    <row r="5592" spans="1:5" x14ac:dyDescent="0.3">
      <c r="A5592" s="21" t="str">
        <f t="shared" si="87"/>
        <v>.</v>
      </c>
      <c r="D5592" s="44"/>
      <c r="E5592" s="22" t="str">
        <f>IF(D5592&lt;&gt;"",IFERROR(INDEX(Produtos!$C$4:$C$4996,MATCH(D5592,Produtos!$B$4:$B$4996,0)),"Produto não encontrado"),"")</f>
        <v/>
      </c>
    </row>
    <row r="5593" spans="1:5" x14ac:dyDescent="0.3">
      <c r="A5593" s="21" t="str">
        <f t="shared" si="87"/>
        <v>.</v>
      </c>
      <c r="D5593" s="44"/>
      <c r="E5593" s="22" t="str">
        <f>IF(D5593&lt;&gt;"",IFERROR(INDEX(Produtos!$C$4:$C$4996,MATCH(D5593,Produtos!$B$4:$B$4996,0)),"Produto não encontrado"),"")</f>
        <v/>
      </c>
    </row>
    <row r="5594" spans="1:5" x14ac:dyDescent="0.3">
      <c r="A5594" s="21" t="str">
        <f t="shared" si="87"/>
        <v>.</v>
      </c>
      <c r="D5594" s="44"/>
      <c r="E5594" s="22" t="str">
        <f>IF(D5594&lt;&gt;"",IFERROR(INDEX(Produtos!$C$4:$C$4996,MATCH(D5594,Produtos!$B$4:$B$4996,0)),"Produto não encontrado"),"")</f>
        <v/>
      </c>
    </row>
    <row r="5595" spans="1:5" x14ac:dyDescent="0.3">
      <c r="A5595" s="21" t="str">
        <f t="shared" si="87"/>
        <v>.</v>
      </c>
      <c r="D5595" s="44"/>
      <c r="E5595" s="22" t="str">
        <f>IF(D5595&lt;&gt;"",IFERROR(INDEX(Produtos!$C$4:$C$4996,MATCH(D5595,Produtos!$B$4:$B$4996,0)),"Produto não encontrado"),"")</f>
        <v/>
      </c>
    </row>
    <row r="5596" spans="1:5" x14ac:dyDescent="0.3">
      <c r="A5596" s="21" t="str">
        <f t="shared" si="87"/>
        <v>.</v>
      </c>
      <c r="D5596" s="44"/>
      <c r="E5596" s="22" t="str">
        <f>IF(D5596&lt;&gt;"",IFERROR(INDEX(Produtos!$C$4:$C$4996,MATCH(D5596,Produtos!$B$4:$B$4996,0)),"Produto não encontrado"),"")</f>
        <v/>
      </c>
    </row>
    <row r="5597" spans="1:5" x14ac:dyDescent="0.3">
      <c r="A5597" s="21" t="str">
        <f t="shared" si="87"/>
        <v>.</v>
      </c>
      <c r="D5597" s="44"/>
      <c r="E5597" s="22" t="str">
        <f>IF(D5597&lt;&gt;"",IFERROR(INDEX(Produtos!$C$4:$C$4996,MATCH(D5597,Produtos!$B$4:$B$4996,0)),"Produto não encontrado"),"")</f>
        <v/>
      </c>
    </row>
    <row r="5598" spans="1:5" x14ac:dyDescent="0.3">
      <c r="A5598" s="21" t="str">
        <f t="shared" si="87"/>
        <v>.</v>
      </c>
      <c r="D5598" s="44"/>
      <c r="E5598" s="22" t="str">
        <f>IF(D5598&lt;&gt;"",IFERROR(INDEX(Produtos!$C$4:$C$4996,MATCH(D5598,Produtos!$B$4:$B$4996,0)),"Produto não encontrado"),"")</f>
        <v/>
      </c>
    </row>
    <row r="5599" spans="1:5" x14ac:dyDescent="0.3">
      <c r="A5599" s="21" t="str">
        <f t="shared" si="87"/>
        <v>.</v>
      </c>
      <c r="D5599" s="44"/>
      <c r="E5599" s="22" t="str">
        <f>IF(D5599&lt;&gt;"",IFERROR(INDEX(Produtos!$C$4:$C$4996,MATCH(D5599,Produtos!$B$4:$B$4996,0)),"Produto não encontrado"),"")</f>
        <v/>
      </c>
    </row>
    <row r="5600" spans="1:5" x14ac:dyDescent="0.3">
      <c r="A5600" s="21" t="str">
        <f t="shared" si="87"/>
        <v>.</v>
      </c>
      <c r="D5600" s="44"/>
      <c r="E5600" s="22" t="str">
        <f>IF(D5600&lt;&gt;"",IFERROR(INDEX(Produtos!$C$4:$C$4996,MATCH(D5600,Produtos!$B$4:$B$4996,0)),"Produto não encontrado"),"")</f>
        <v/>
      </c>
    </row>
    <row r="5601" spans="1:5" x14ac:dyDescent="0.3">
      <c r="A5601" s="21" t="str">
        <f t="shared" si="87"/>
        <v>.</v>
      </c>
      <c r="D5601" s="44"/>
      <c r="E5601" s="22" t="str">
        <f>IF(D5601&lt;&gt;"",IFERROR(INDEX(Produtos!$C$4:$C$4996,MATCH(D5601,Produtos!$B$4:$B$4996,0)),"Produto não encontrado"),"")</f>
        <v/>
      </c>
    </row>
    <row r="5602" spans="1:5" x14ac:dyDescent="0.3">
      <c r="A5602" s="21" t="str">
        <f t="shared" si="87"/>
        <v>.</v>
      </c>
      <c r="D5602" s="44"/>
      <c r="E5602" s="22" t="str">
        <f>IF(D5602&lt;&gt;"",IFERROR(INDEX(Produtos!$C$4:$C$4996,MATCH(D5602,Produtos!$B$4:$B$4996,0)),"Produto não encontrado"),"")</f>
        <v/>
      </c>
    </row>
    <row r="5603" spans="1:5" x14ac:dyDescent="0.3">
      <c r="A5603" s="21" t="str">
        <f t="shared" si="87"/>
        <v>.</v>
      </c>
      <c r="D5603" s="44"/>
      <c r="E5603" s="22" t="str">
        <f>IF(D5603&lt;&gt;"",IFERROR(INDEX(Produtos!$C$4:$C$4996,MATCH(D5603,Produtos!$B$4:$B$4996,0)),"Produto não encontrado"),"")</f>
        <v/>
      </c>
    </row>
    <row r="5604" spans="1:5" x14ac:dyDescent="0.3">
      <c r="A5604" s="21" t="str">
        <f t="shared" si="87"/>
        <v>.</v>
      </c>
      <c r="D5604" s="44"/>
      <c r="E5604" s="22" t="str">
        <f>IF(D5604&lt;&gt;"",IFERROR(INDEX(Produtos!$C$4:$C$4996,MATCH(D5604,Produtos!$B$4:$B$4996,0)),"Produto não encontrado"),"")</f>
        <v/>
      </c>
    </row>
    <row r="5605" spans="1:5" x14ac:dyDescent="0.3">
      <c r="A5605" s="21" t="str">
        <f t="shared" si="87"/>
        <v>.</v>
      </c>
      <c r="D5605" s="44"/>
      <c r="E5605" s="22" t="str">
        <f>IF(D5605&lt;&gt;"",IFERROR(INDEX(Produtos!$C$4:$C$4996,MATCH(D5605,Produtos!$B$4:$B$4996,0)),"Produto não encontrado"),"")</f>
        <v/>
      </c>
    </row>
    <row r="5606" spans="1:5" x14ac:dyDescent="0.3">
      <c r="A5606" s="21" t="str">
        <f t="shared" si="87"/>
        <v>.</v>
      </c>
      <c r="D5606" s="44"/>
      <c r="E5606" s="22" t="str">
        <f>IF(D5606&lt;&gt;"",IFERROR(INDEX(Produtos!$C$4:$C$4996,MATCH(D5606,Produtos!$B$4:$B$4996,0)),"Produto não encontrado"),"")</f>
        <v/>
      </c>
    </row>
    <row r="5607" spans="1:5" x14ac:dyDescent="0.3">
      <c r="A5607" s="21" t="str">
        <f t="shared" si="87"/>
        <v>.</v>
      </c>
      <c r="D5607" s="44"/>
      <c r="E5607" s="22" t="str">
        <f>IF(D5607&lt;&gt;"",IFERROR(INDEX(Produtos!$C$4:$C$4996,MATCH(D5607,Produtos!$B$4:$B$4996,0)),"Produto não encontrado"),"")</f>
        <v/>
      </c>
    </row>
    <row r="5608" spans="1:5" x14ac:dyDescent="0.3">
      <c r="A5608" s="21" t="str">
        <f t="shared" si="87"/>
        <v>.</v>
      </c>
      <c r="D5608" s="44"/>
      <c r="E5608" s="22" t="str">
        <f>IF(D5608&lt;&gt;"",IFERROR(INDEX(Produtos!$C$4:$C$4996,MATCH(D5608,Produtos!$B$4:$B$4996,0)),"Produto não encontrado"),"")</f>
        <v/>
      </c>
    </row>
    <row r="5609" spans="1:5" x14ac:dyDescent="0.3">
      <c r="A5609" s="21" t="str">
        <f t="shared" si="87"/>
        <v>.</v>
      </c>
      <c r="D5609" s="44"/>
      <c r="E5609" s="22" t="str">
        <f>IF(D5609&lt;&gt;"",IFERROR(INDEX(Produtos!$C$4:$C$4996,MATCH(D5609,Produtos!$B$4:$B$4996,0)),"Produto não encontrado"),"")</f>
        <v/>
      </c>
    </row>
    <row r="5610" spans="1:5" x14ac:dyDescent="0.3">
      <c r="A5610" s="21" t="str">
        <f t="shared" si="87"/>
        <v>.</v>
      </c>
      <c r="D5610" s="44"/>
      <c r="E5610" s="22" t="str">
        <f>IF(D5610&lt;&gt;"",IFERROR(INDEX(Produtos!$C$4:$C$4996,MATCH(D5610,Produtos!$B$4:$B$4996,0)),"Produto não encontrado"),"")</f>
        <v/>
      </c>
    </row>
    <row r="5611" spans="1:5" x14ac:dyDescent="0.3">
      <c r="A5611" s="21" t="str">
        <f t="shared" si="87"/>
        <v>.</v>
      </c>
      <c r="D5611" s="44"/>
      <c r="E5611" s="22" t="str">
        <f>IF(D5611&lt;&gt;"",IFERROR(INDEX(Produtos!$C$4:$C$4996,MATCH(D5611,Produtos!$B$4:$B$4996,0)),"Produto não encontrado"),"")</f>
        <v/>
      </c>
    </row>
    <row r="5612" spans="1:5" x14ac:dyDescent="0.3">
      <c r="A5612" s="21" t="str">
        <f t="shared" si="87"/>
        <v>.</v>
      </c>
      <c r="D5612" s="44"/>
      <c r="E5612" s="22" t="str">
        <f>IF(D5612&lt;&gt;"",IFERROR(INDEX(Produtos!$C$4:$C$4996,MATCH(D5612,Produtos!$B$4:$B$4996,0)),"Produto não encontrado"),"")</f>
        <v/>
      </c>
    </row>
    <row r="5613" spans="1:5" x14ac:dyDescent="0.3">
      <c r="A5613" s="21" t="str">
        <f t="shared" si="87"/>
        <v>.</v>
      </c>
      <c r="D5613" s="44"/>
      <c r="E5613" s="22" t="str">
        <f>IF(D5613&lt;&gt;"",IFERROR(INDEX(Produtos!$C$4:$C$4996,MATCH(D5613,Produtos!$B$4:$B$4996,0)),"Produto não encontrado"),"")</f>
        <v/>
      </c>
    </row>
    <row r="5614" spans="1:5" x14ac:dyDescent="0.3">
      <c r="A5614" s="21" t="str">
        <f t="shared" si="87"/>
        <v>.</v>
      </c>
      <c r="D5614" s="44"/>
      <c r="E5614" s="22" t="str">
        <f>IF(D5614&lt;&gt;"",IFERROR(INDEX(Produtos!$C$4:$C$4996,MATCH(D5614,Produtos!$B$4:$B$4996,0)),"Produto não encontrado"),"")</f>
        <v/>
      </c>
    </row>
    <row r="5615" spans="1:5" x14ac:dyDescent="0.3">
      <c r="A5615" s="21" t="str">
        <f t="shared" si="87"/>
        <v>.</v>
      </c>
      <c r="D5615" s="44"/>
      <c r="E5615" s="22" t="str">
        <f>IF(D5615&lt;&gt;"",IFERROR(INDEX(Produtos!$C$4:$C$4996,MATCH(D5615,Produtos!$B$4:$B$4996,0)),"Produto não encontrado"),"")</f>
        <v/>
      </c>
    </row>
    <row r="5616" spans="1:5" x14ac:dyDescent="0.3">
      <c r="A5616" s="21" t="str">
        <f t="shared" si="87"/>
        <v>.</v>
      </c>
      <c r="D5616" s="44"/>
      <c r="E5616" s="22" t="str">
        <f>IF(D5616&lt;&gt;"",IFERROR(INDEX(Produtos!$C$4:$C$4996,MATCH(D5616,Produtos!$B$4:$B$4996,0)),"Produto não encontrado"),"")</f>
        <v/>
      </c>
    </row>
    <row r="5617" spans="1:5" x14ac:dyDescent="0.3">
      <c r="A5617" s="21" t="str">
        <f t="shared" si="87"/>
        <v>.</v>
      </c>
      <c r="D5617" s="44"/>
      <c r="E5617" s="22" t="str">
        <f>IF(D5617&lt;&gt;"",IFERROR(INDEX(Produtos!$C$4:$C$4996,MATCH(D5617,Produtos!$B$4:$B$4996,0)),"Produto não encontrado"),"")</f>
        <v/>
      </c>
    </row>
    <row r="5618" spans="1:5" x14ac:dyDescent="0.3">
      <c r="A5618" s="21" t="str">
        <f t="shared" si="87"/>
        <v>.</v>
      </c>
      <c r="D5618" s="44"/>
      <c r="E5618" s="22" t="str">
        <f>IF(D5618&lt;&gt;"",IFERROR(INDEX(Produtos!$C$4:$C$4996,MATCH(D5618,Produtos!$B$4:$B$4996,0)),"Produto não encontrado"),"")</f>
        <v/>
      </c>
    </row>
    <row r="5619" spans="1:5" x14ac:dyDescent="0.3">
      <c r="A5619" s="21" t="str">
        <f t="shared" si="87"/>
        <v>.</v>
      </c>
      <c r="D5619" s="44"/>
      <c r="E5619" s="22" t="str">
        <f>IF(D5619&lt;&gt;"",IFERROR(INDEX(Produtos!$C$4:$C$4996,MATCH(D5619,Produtos!$B$4:$B$4996,0)),"Produto não encontrado"),"")</f>
        <v/>
      </c>
    </row>
    <row r="5620" spans="1:5" x14ac:dyDescent="0.3">
      <c r="A5620" s="21" t="str">
        <f t="shared" si="87"/>
        <v>.</v>
      </c>
      <c r="D5620" s="44"/>
      <c r="E5620" s="22" t="str">
        <f>IF(D5620&lt;&gt;"",IFERROR(INDEX(Produtos!$C$4:$C$4996,MATCH(D5620,Produtos!$B$4:$B$4996,0)),"Produto não encontrado"),"")</f>
        <v/>
      </c>
    </row>
    <row r="5621" spans="1:5" x14ac:dyDescent="0.3">
      <c r="A5621" s="21" t="str">
        <f t="shared" si="87"/>
        <v>.</v>
      </c>
      <c r="D5621" s="44"/>
      <c r="E5621" s="22" t="str">
        <f>IF(D5621&lt;&gt;"",IFERROR(INDEX(Produtos!$C$4:$C$4996,MATCH(D5621,Produtos!$B$4:$B$4996,0)),"Produto não encontrado"),"")</f>
        <v/>
      </c>
    </row>
    <row r="5622" spans="1:5" x14ac:dyDescent="0.3">
      <c r="A5622" s="21" t="str">
        <f t="shared" si="87"/>
        <v>.</v>
      </c>
      <c r="D5622" s="44"/>
      <c r="E5622" s="22" t="str">
        <f>IF(D5622&lt;&gt;"",IFERROR(INDEX(Produtos!$C$4:$C$4996,MATCH(D5622,Produtos!$B$4:$B$4996,0)),"Produto não encontrado"),"")</f>
        <v/>
      </c>
    </row>
    <row r="5623" spans="1:5" x14ac:dyDescent="0.3">
      <c r="A5623" s="21" t="str">
        <f t="shared" si="87"/>
        <v>.</v>
      </c>
      <c r="D5623" s="44"/>
      <c r="E5623" s="22" t="str">
        <f>IF(D5623&lt;&gt;"",IFERROR(INDEX(Produtos!$C$4:$C$4996,MATCH(D5623,Produtos!$B$4:$B$4996,0)),"Produto não encontrado"),"")</f>
        <v/>
      </c>
    </row>
    <row r="5624" spans="1:5" x14ac:dyDescent="0.3">
      <c r="A5624" s="21" t="str">
        <f t="shared" si="87"/>
        <v>.</v>
      </c>
      <c r="D5624" s="44"/>
      <c r="E5624" s="22" t="str">
        <f>IF(D5624&lt;&gt;"",IFERROR(INDEX(Produtos!$C$4:$C$4996,MATCH(D5624,Produtos!$B$4:$B$4996,0)),"Produto não encontrado"),"")</f>
        <v/>
      </c>
    </row>
    <row r="5625" spans="1:5" x14ac:dyDescent="0.3">
      <c r="A5625" s="21" t="str">
        <f t="shared" si="87"/>
        <v>.</v>
      </c>
      <c r="D5625" s="44"/>
      <c r="E5625" s="22" t="str">
        <f>IF(D5625&lt;&gt;"",IFERROR(INDEX(Produtos!$C$4:$C$4996,MATCH(D5625,Produtos!$B$4:$B$4996,0)),"Produto não encontrado"),"")</f>
        <v/>
      </c>
    </row>
    <row r="5626" spans="1:5" x14ac:dyDescent="0.3">
      <c r="A5626" s="21" t="str">
        <f t="shared" si="87"/>
        <v>.</v>
      </c>
      <c r="D5626" s="44"/>
      <c r="E5626" s="22" t="str">
        <f>IF(D5626&lt;&gt;"",IFERROR(INDEX(Produtos!$C$4:$C$4996,MATCH(D5626,Produtos!$B$4:$B$4996,0)),"Produto não encontrado"),"")</f>
        <v/>
      </c>
    </row>
    <row r="5627" spans="1:5" x14ac:dyDescent="0.3">
      <c r="A5627" s="21" t="str">
        <f t="shared" si="87"/>
        <v>.</v>
      </c>
      <c r="D5627" s="44"/>
      <c r="E5627" s="22" t="str">
        <f>IF(D5627&lt;&gt;"",IFERROR(INDEX(Produtos!$C$4:$C$4996,MATCH(D5627,Produtos!$B$4:$B$4996,0)),"Produto não encontrado"),"")</f>
        <v/>
      </c>
    </row>
    <row r="5628" spans="1:5" x14ac:dyDescent="0.3">
      <c r="A5628" s="21" t="str">
        <f t="shared" si="87"/>
        <v>.</v>
      </c>
      <c r="D5628" s="44"/>
      <c r="E5628" s="22" t="str">
        <f>IF(D5628&lt;&gt;"",IFERROR(INDEX(Produtos!$C$4:$C$4996,MATCH(D5628,Produtos!$B$4:$B$4996,0)),"Produto não encontrado"),"")</f>
        <v/>
      </c>
    </row>
    <row r="5629" spans="1:5" x14ac:dyDescent="0.3">
      <c r="A5629" s="21" t="str">
        <f t="shared" si="87"/>
        <v>.</v>
      </c>
      <c r="D5629" s="44"/>
      <c r="E5629" s="22" t="str">
        <f>IF(D5629&lt;&gt;"",IFERROR(INDEX(Produtos!$C$4:$C$4996,MATCH(D5629,Produtos!$B$4:$B$4996,0)),"Produto não encontrado"),"")</f>
        <v/>
      </c>
    </row>
    <row r="5630" spans="1:5" x14ac:dyDescent="0.3">
      <c r="A5630" s="21" t="str">
        <f t="shared" si="87"/>
        <v>.</v>
      </c>
      <c r="D5630" s="44"/>
      <c r="E5630" s="22" t="str">
        <f>IF(D5630&lt;&gt;"",IFERROR(INDEX(Produtos!$C$4:$C$4996,MATCH(D5630,Produtos!$B$4:$B$4996,0)),"Produto não encontrado"),"")</f>
        <v/>
      </c>
    </row>
    <row r="5631" spans="1:5" x14ac:dyDescent="0.3">
      <c r="A5631" s="21" t="str">
        <f t="shared" si="87"/>
        <v>.</v>
      </c>
      <c r="D5631" s="44"/>
      <c r="E5631" s="22" t="str">
        <f>IF(D5631&lt;&gt;"",IFERROR(INDEX(Produtos!$C$4:$C$4996,MATCH(D5631,Produtos!$B$4:$B$4996,0)),"Produto não encontrado"),"")</f>
        <v/>
      </c>
    </row>
    <row r="5632" spans="1:5" x14ac:dyDescent="0.3">
      <c r="A5632" s="21" t="str">
        <f t="shared" ref="A5632:A5695" si="88">IF(C5632="Entrada",2,IF(C5632="Saída",1,"."))</f>
        <v>.</v>
      </c>
      <c r="D5632" s="44"/>
      <c r="E5632" s="22" t="str">
        <f>IF(D5632&lt;&gt;"",IFERROR(INDEX(Produtos!$C$4:$C$4996,MATCH(D5632,Produtos!$B$4:$B$4996,0)),"Produto não encontrado"),"")</f>
        <v/>
      </c>
    </row>
    <row r="5633" spans="1:5" x14ac:dyDescent="0.3">
      <c r="A5633" s="21" t="str">
        <f t="shared" si="88"/>
        <v>.</v>
      </c>
      <c r="D5633" s="44"/>
      <c r="E5633" s="22" t="str">
        <f>IF(D5633&lt;&gt;"",IFERROR(INDEX(Produtos!$C$4:$C$4996,MATCH(D5633,Produtos!$B$4:$B$4996,0)),"Produto não encontrado"),"")</f>
        <v/>
      </c>
    </row>
    <row r="5634" spans="1:5" x14ac:dyDescent="0.3">
      <c r="A5634" s="21" t="str">
        <f t="shared" si="88"/>
        <v>.</v>
      </c>
      <c r="D5634" s="44"/>
      <c r="E5634" s="22" t="str">
        <f>IF(D5634&lt;&gt;"",IFERROR(INDEX(Produtos!$C$4:$C$4996,MATCH(D5634,Produtos!$B$4:$B$4996,0)),"Produto não encontrado"),"")</f>
        <v/>
      </c>
    </row>
    <row r="5635" spans="1:5" x14ac:dyDescent="0.3">
      <c r="A5635" s="21" t="str">
        <f t="shared" si="88"/>
        <v>.</v>
      </c>
      <c r="D5635" s="44"/>
      <c r="E5635" s="22" t="str">
        <f>IF(D5635&lt;&gt;"",IFERROR(INDEX(Produtos!$C$4:$C$4996,MATCH(D5635,Produtos!$B$4:$B$4996,0)),"Produto não encontrado"),"")</f>
        <v/>
      </c>
    </row>
    <row r="5636" spans="1:5" x14ac:dyDescent="0.3">
      <c r="A5636" s="21" t="str">
        <f t="shared" si="88"/>
        <v>.</v>
      </c>
      <c r="D5636" s="44"/>
      <c r="E5636" s="22" t="str">
        <f>IF(D5636&lt;&gt;"",IFERROR(INDEX(Produtos!$C$4:$C$4996,MATCH(D5636,Produtos!$B$4:$B$4996,0)),"Produto não encontrado"),"")</f>
        <v/>
      </c>
    </row>
    <row r="5637" spans="1:5" x14ac:dyDescent="0.3">
      <c r="A5637" s="21" t="str">
        <f t="shared" si="88"/>
        <v>.</v>
      </c>
      <c r="D5637" s="44"/>
      <c r="E5637" s="22" t="str">
        <f>IF(D5637&lt;&gt;"",IFERROR(INDEX(Produtos!$C$4:$C$4996,MATCH(D5637,Produtos!$B$4:$B$4996,0)),"Produto não encontrado"),"")</f>
        <v/>
      </c>
    </row>
    <row r="5638" spans="1:5" x14ac:dyDescent="0.3">
      <c r="A5638" s="21" t="str">
        <f t="shared" si="88"/>
        <v>.</v>
      </c>
      <c r="D5638" s="44"/>
      <c r="E5638" s="22" t="str">
        <f>IF(D5638&lt;&gt;"",IFERROR(INDEX(Produtos!$C$4:$C$4996,MATCH(D5638,Produtos!$B$4:$B$4996,0)),"Produto não encontrado"),"")</f>
        <v/>
      </c>
    </row>
    <row r="5639" spans="1:5" x14ac:dyDescent="0.3">
      <c r="A5639" s="21" t="str">
        <f t="shared" si="88"/>
        <v>.</v>
      </c>
      <c r="D5639" s="44"/>
      <c r="E5639" s="22" t="str">
        <f>IF(D5639&lt;&gt;"",IFERROR(INDEX(Produtos!$C$4:$C$4996,MATCH(D5639,Produtos!$B$4:$B$4996,0)),"Produto não encontrado"),"")</f>
        <v/>
      </c>
    </row>
    <row r="5640" spans="1:5" x14ac:dyDescent="0.3">
      <c r="A5640" s="21" t="str">
        <f t="shared" si="88"/>
        <v>.</v>
      </c>
      <c r="D5640" s="44"/>
      <c r="E5640" s="22" t="str">
        <f>IF(D5640&lt;&gt;"",IFERROR(INDEX(Produtos!$C$4:$C$4996,MATCH(D5640,Produtos!$B$4:$B$4996,0)),"Produto não encontrado"),"")</f>
        <v/>
      </c>
    </row>
    <row r="5641" spans="1:5" x14ac:dyDescent="0.3">
      <c r="A5641" s="21" t="str">
        <f t="shared" si="88"/>
        <v>.</v>
      </c>
      <c r="D5641" s="44"/>
      <c r="E5641" s="22" t="str">
        <f>IF(D5641&lt;&gt;"",IFERROR(INDEX(Produtos!$C$4:$C$4996,MATCH(D5641,Produtos!$B$4:$B$4996,0)),"Produto não encontrado"),"")</f>
        <v/>
      </c>
    </row>
    <row r="5642" spans="1:5" x14ac:dyDescent="0.3">
      <c r="A5642" s="21" t="str">
        <f t="shared" si="88"/>
        <v>.</v>
      </c>
      <c r="D5642" s="44"/>
      <c r="E5642" s="22" t="str">
        <f>IF(D5642&lt;&gt;"",IFERROR(INDEX(Produtos!$C$4:$C$4996,MATCH(D5642,Produtos!$B$4:$B$4996,0)),"Produto não encontrado"),"")</f>
        <v/>
      </c>
    </row>
    <row r="5643" spans="1:5" x14ac:dyDescent="0.3">
      <c r="A5643" s="21" t="str">
        <f t="shared" si="88"/>
        <v>.</v>
      </c>
      <c r="D5643" s="44"/>
      <c r="E5643" s="22" t="str">
        <f>IF(D5643&lt;&gt;"",IFERROR(INDEX(Produtos!$C$4:$C$4996,MATCH(D5643,Produtos!$B$4:$B$4996,0)),"Produto não encontrado"),"")</f>
        <v/>
      </c>
    </row>
    <row r="5644" spans="1:5" x14ac:dyDescent="0.3">
      <c r="A5644" s="21" t="str">
        <f t="shared" si="88"/>
        <v>.</v>
      </c>
      <c r="D5644" s="44"/>
      <c r="E5644" s="22" t="str">
        <f>IF(D5644&lt;&gt;"",IFERROR(INDEX(Produtos!$C$4:$C$4996,MATCH(D5644,Produtos!$B$4:$B$4996,0)),"Produto não encontrado"),"")</f>
        <v/>
      </c>
    </row>
    <row r="5645" spans="1:5" x14ac:dyDescent="0.3">
      <c r="A5645" s="21" t="str">
        <f t="shared" si="88"/>
        <v>.</v>
      </c>
      <c r="D5645" s="44"/>
      <c r="E5645" s="22" t="str">
        <f>IF(D5645&lt;&gt;"",IFERROR(INDEX(Produtos!$C$4:$C$4996,MATCH(D5645,Produtos!$B$4:$B$4996,0)),"Produto não encontrado"),"")</f>
        <v/>
      </c>
    </row>
    <row r="5646" spans="1:5" x14ac:dyDescent="0.3">
      <c r="A5646" s="21" t="str">
        <f t="shared" si="88"/>
        <v>.</v>
      </c>
      <c r="D5646" s="44"/>
      <c r="E5646" s="22" t="str">
        <f>IF(D5646&lt;&gt;"",IFERROR(INDEX(Produtos!$C$4:$C$4996,MATCH(D5646,Produtos!$B$4:$B$4996,0)),"Produto não encontrado"),"")</f>
        <v/>
      </c>
    </row>
    <row r="5647" spans="1:5" x14ac:dyDescent="0.3">
      <c r="A5647" s="21" t="str">
        <f t="shared" si="88"/>
        <v>.</v>
      </c>
      <c r="D5647" s="44"/>
      <c r="E5647" s="22" t="str">
        <f>IF(D5647&lt;&gt;"",IFERROR(INDEX(Produtos!$C$4:$C$4996,MATCH(D5647,Produtos!$B$4:$B$4996,0)),"Produto não encontrado"),"")</f>
        <v/>
      </c>
    </row>
    <row r="5648" spans="1:5" x14ac:dyDescent="0.3">
      <c r="A5648" s="21" t="str">
        <f t="shared" si="88"/>
        <v>.</v>
      </c>
      <c r="D5648" s="44"/>
      <c r="E5648" s="22" t="str">
        <f>IF(D5648&lt;&gt;"",IFERROR(INDEX(Produtos!$C$4:$C$4996,MATCH(D5648,Produtos!$B$4:$B$4996,0)),"Produto não encontrado"),"")</f>
        <v/>
      </c>
    </row>
    <row r="5649" spans="1:5" x14ac:dyDescent="0.3">
      <c r="A5649" s="21" t="str">
        <f t="shared" si="88"/>
        <v>.</v>
      </c>
      <c r="D5649" s="44"/>
      <c r="E5649" s="22" t="str">
        <f>IF(D5649&lt;&gt;"",IFERROR(INDEX(Produtos!$C$4:$C$4996,MATCH(D5649,Produtos!$B$4:$B$4996,0)),"Produto não encontrado"),"")</f>
        <v/>
      </c>
    </row>
    <row r="5650" spans="1:5" x14ac:dyDescent="0.3">
      <c r="A5650" s="21" t="str">
        <f t="shared" si="88"/>
        <v>.</v>
      </c>
      <c r="D5650" s="44"/>
      <c r="E5650" s="22" t="str">
        <f>IF(D5650&lt;&gt;"",IFERROR(INDEX(Produtos!$C$4:$C$4996,MATCH(D5650,Produtos!$B$4:$B$4996,0)),"Produto não encontrado"),"")</f>
        <v/>
      </c>
    </row>
    <row r="5651" spans="1:5" x14ac:dyDescent="0.3">
      <c r="A5651" s="21" t="str">
        <f t="shared" si="88"/>
        <v>.</v>
      </c>
      <c r="D5651" s="44"/>
      <c r="E5651" s="22" t="str">
        <f>IF(D5651&lt;&gt;"",IFERROR(INDEX(Produtos!$C$4:$C$4996,MATCH(D5651,Produtos!$B$4:$B$4996,0)),"Produto não encontrado"),"")</f>
        <v/>
      </c>
    </row>
    <row r="5652" spans="1:5" x14ac:dyDescent="0.3">
      <c r="A5652" s="21" t="str">
        <f t="shared" si="88"/>
        <v>.</v>
      </c>
      <c r="D5652" s="44"/>
      <c r="E5652" s="22" t="str">
        <f>IF(D5652&lt;&gt;"",IFERROR(INDEX(Produtos!$C$4:$C$4996,MATCH(D5652,Produtos!$B$4:$B$4996,0)),"Produto não encontrado"),"")</f>
        <v/>
      </c>
    </row>
    <row r="5653" spans="1:5" x14ac:dyDescent="0.3">
      <c r="A5653" s="21" t="str">
        <f t="shared" si="88"/>
        <v>.</v>
      </c>
      <c r="D5653" s="44"/>
      <c r="E5653" s="22" t="str">
        <f>IF(D5653&lt;&gt;"",IFERROR(INDEX(Produtos!$C$4:$C$4996,MATCH(D5653,Produtos!$B$4:$B$4996,0)),"Produto não encontrado"),"")</f>
        <v/>
      </c>
    </row>
    <row r="5654" spans="1:5" x14ac:dyDescent="0.3">
      <c r="A5654" s="21" t="str">
        <f t="shared" si="88"/>
        <v>.</v>
      </c>
      <c r="D5654" s="44"/>
      <c r="E5654" s="22" t="str">
        <f>IF(D5654&lt;&gt;"",IFERROR(INDEX(Produtos!$C$4:$C$4996,MATCH(D5654,Produtos!$B$4:$B$4996,0)),"Produto não encontrado"),"")</f>
        <v/>
      </c>
    </row>
    <row r="5655" spans="1:5" x14ac:dyDescent="0.3">
      <c r="A5655" s="21" t="str">
        <f t="shared" si="88"/>
        <v>.</v>
      </c>
      <c r="D5655" s="44"/>
      <c r="E5655" s="22" t="str">
        <f>IF(D5655&lt;&gt;"",IFERROR(INDEX(Produtos!$C$4:$C$4996,MATCH(D5655,Produtos!$B$4:$B$4996,0)),"Produto não encontrado"),"")</f>
        <v/>
      </c>
    </row>
    <row r="5656" spans="1:5" x14ac:dyDescent="0.3">
      <c r="A5656" s="21" t="str">
        <f t="shared" si="88"/>
        <v>.</v>
      </c>
      <c r="D5656" s="44"/>
      <c r="E5656" s="22" t="str">
        <f>IF(D5656&lt;&gt;"",IFERROR(INDEX(Produtos!$C$4:$C$4996,MATCH(D5656,Produtos!$B$4:$B$4996,0)),"Produto não encontrado"),"")</f>
        <v/>
      </c>
    </row>
    <row r="5657" spans="1:5" x14ac:dyDescent="0.3">
      <c r="A5657" s="21" t="str">
        <f t="shared" si="88"/>
        <v>.</v>
      </c>
      <c r="D5657" s="44"/>
      <c r="E5657" s="22" t="str">
        <f>IF(D5657&lt;&gt;"",IFERROR(INDEX(Produtos!$C$4:$C$4996,MATCH(D5657,Produtos!$B$4:$B$4996,0)),"Produto não encontrado"),"")</f>
        <v/>
      </c>
    </row>
    <row r="5658" spans="1:5" x14ac:dyDescent="0.3">
      <c r="A5658" s="21" t="str">
        <f t="shared" si="88"/>
        <v>.</v>
      </c>
      <c r="D5658" s="44"/>
      <c r="E5658" s="22" t="str">
        <f>IF(D5658&lt;&gt;"",IFERROR(INDEX(Produtos!$C$4:$C$4996,MATCH(D5658,Produtos!$B$4:$B$4996,0)),"Produto não encontrado"),"")</f>
        <v/>
      </c>
    </row>
    <row r="5659" spans="1:5" x14ac:dyDescent="0.3">
      <c r="A5659" s="21" t="str">
        <f t="shared" si="88"/>
        <v>.</v>
      </c>
      <c r="D5659" s="44"/>
      <c r="E5659" s="22" t="str">
        <f>IF(D5659&lt;&gt;"",IFERROR(INDEX(Produtos!$C$4:$C$4996,MATCH(D5659,Produtos!$B$4:$B$4996,0)),"Produto não encontrado"),"")</f>
        <v/>
      </c>
    </row>
    <row r="5660" spans="1:5" x14ac:dyDescent="0.3">
      <c r="A5660" s="21" t="str">
        <f t="shared" si="88"/>
        <v>.</v>
      </c>
      <c r="D5660" s="44"/>
      <c r="E5660" s="22" t="str">
        <f>IF(D5660&lt;&gt;"",IFERROR(INDEX(Produtos!$C$4:$C$4996,MATCH(D5660,Produtos!$B$4:$B$4996,0)),"Produto não encontrado"),"")</f>
        <v/>
      </c>
    </row>
    <row r="5661" spans="1:5" x14ac:dyDescent="0.3">
      <c r="A5661" s="21" t="str">
        <f t="shared" si="88"/>
        <v>.</v>
      </c>
      <c r="D5661" s="44"/>
      <c r="E5661" s="22" t="str">
        <f>IF(D5661&lt;&gt;"",IFERROR(INDEX(Produtos!$C$4:$C$4996,MATCH(D5661,Produtos!$B$4:$B$4996,0)),"Produto não encontrado"),"")</f>
        <v/>
      </c>
    </row>
    <row r="5662" spans="1:5" x14ac:dyDescent="0.3">
      <c r="A5662" s="21" t="str">
        <f t="shared" si="88"/>
        <v>.</v>
      </c>
      <c r="D5662" s="44"/>
      <c r="E5662" s="22" t="str">
        <f>IF(D5662&lt;&gt;"",IFERROR(INDEX(Produtos!$C$4:$C$4996,MATCH(D5662,Produtos!$B$4:$B$4996,0)),"Produto não encontrado"),"")</f>
        <v/>
      </c>
    </row>
    <row r="5663" spans="1:5" x14ac:dyDescent="0.3">
      <c r="A5663" s="21" t="str">
        <f t="shared" si="88"/>
        <v>.</v>
      </c>
      <c r="D5663" s="44"/>
      <c r="E5663" s="22" t="str">
        <f>IF(D5663&lt;&gt;"",IFERROR(INDEX(Produtos!$C$4:$C$4996,MATCH(D5663,Produtos!$B$4:$B$4996,0)),"Produto não encontrado"),"")</f>
        <v/>
      </c>
    </row>
    <row r="5664" spans="1:5" x14ac:dyDescent="0.3">
      <c r="A5664" s="21" t="str">
        <f t="shared" si="88"/>
        <v>.</v>
      </c>
      <c r="D5664" s="44"/>
      <c r="E5664" s="22" t="str">
        <f>IF(D5664&lt;&gt;"",IFERROR(INDEX(Produtos!$C$4:$C$4996,MATCH(D5664,Produtos!$B$4:$B$4996,0)),"Produto não encontrado"),"")</f>
        <v/>
      </c>
    </row>
    <row r="5665" spans="1:5" x14ac:dyDescent="0.3">
      <c r="A5665" s="21" t="str">
        <f t="shared" si="88"/>
        <v>.</v>
      </c>
      <c r="D5665" s="44"/>
      <c r="E5665" s="22" t="str">
        <f>IF(D5665&lt;&gt;"",IFERROR(INDEX(Produtos!$C$4:$C$4996,MATCH(D5665,Produtos!$B$4:$B$4996,0)),"Produto não encontrado"),"")</f>
        <v/>
      </c>
    </row>
    <row r="5666" spans="1:5" x14ac:dyDescent="0.3">
      <c r="A5666" s="21" t="str">
        <f t="shared" si="88"/>
        <v>.</v>
      </c>
      <c r="D5666" s="44"/>
      <c r="E5666" s="22" t="str">
        <f>IF(D5666&lt;&gt;"",IFERROR(INDEX(Produtos!$C$4:$C$4996,MATCH(D5666,Produtos!$B$4:$B$4996,0)),"Produto não encontrado"),"")</f>
        <v/>
      </c>
    </row>
    <row r="5667" spans="1:5" x14ac:dyDescent="0.3">
      <c r="A5667" s="21" t="str">
        <f t="shared" si="88"/>
        <v>.</v>
      </c>
      <c r="D5667" s="44"/>
      <c r="E5667" s="22" t="str">
        <f>IF(D5667&lt;&gt;"",IFERROR(INDEX(Produtos!$C$4:$C$4996,MATCH(D5667,Produtos!$B$4:$B$4996,0)),"Produto não encontrado"),"")</f>
        <v/>
      </c>
    </row>
    <row r="5668" spans="1:5" x14ac:dyDescent="0.3">
      <c r="A5668" s="21" t="str">
        <f t="shared" si="88"/>
        <v>.</v>
      </c>
      <c r="D5668" s="44"/>
      <c r="E5668" s="22" t="str">
        <f>IF(D5668&lt;&gt;"",IFERROR(INDEX(Produtos!$C$4:$C$4996,MATCH(D5668,Produtos!$B$4:$B$4996,0)),"Produto não encontrado"),"")</f>
        <v/>
      </c>
    </row>
    <row r="5669" spans="1:5" x14ac:dyDescent="0.3">
      <c r="A5669" s="21" t="str">
        <f t="shared" si="88"/>
        <v>.</v>
      </c>
      <c r="D5669" s="44"/>
      <c r="E5669" s="22" t="str">
        <f>IF(D5669&lt;&gt;"",IFERROR(INDEX(Produtos!$C$4:$C$4996,MATCH(D5669,Produtos!$B$4:$B$4996,0)),"Produto não encontrado"),"")</f>
        <v/>
      </c>
    </row>
    <row r="5670" spans="1:5" x14ac:dyDescent="0.3">
      <c r="A5670" s="21" t="str">
        <f t="shared" si="88"/>
        <v>.</v>
      </c>
      <c r="D5670" s="44"/>
      <c r="E5670" s="22" t="str">
        <f>IF(D5670&lt;&gt;"",IFERROR(INDEX(Produtos!$C$4:$C$4996,MATCH(D5670,Produtos!$B$4:$B$4996,0)),"Produto não encontrado"),"")</f>
        <v/>
      </c>
    </row>
    <row r="5671" spans="1:5" x14ac:dyDescent="0.3">
      <c r="A5671" s="21" t="str">
        <f t="shared" si="88"/>
        <v>.</v>
      </c>
      <c r="D5671" s="44"/>
      <c r="E5671" s="22" t="str">
        <f>IF(D5671&lt;&gt;"",IFERROR(INDEX(Produtos!$C$4:$C$4996,MATCH(D5671,Produtos!$B$4:$B$4996,0)),"Produto não encontrado"),"")</f>
        <v/>
      </c>
    </row>
    <row r="5672" spans="1:5" x14ac:dyDescent="0.3">
      <c r="A5672" s="21" t="str">
        <f t="shared" si="88"/>
        <v>.</v>
      </c>
      <c r="D5672" s="44"/>
      <c r="E5672" s="22" t="str">
        <f>IF(D5672&lt;&gt;"",IFERROR(INDEX(Produtos!$C$4:$C$4996,MATCH(D5672,Produtos!$B$4:$B$4996,0)),"Produto não encontrado"),"")</f>
        <v/>
      </c>
    </row>
    <row r="5673" spans="1:5" x14ac:dyDescent="0.3">
      <c r="A5673" s="21" t="str">
        <f t="shared" si="88"/>
        <v>.</v>
      </c>
      <c r="D5673" s="44"/>
      <c r="E5673" s="22" t="str">
        <f>IF(D5673&lt;&gt;"",IFERROR(INDEX(Produtos!$C$4:$C$4996,MATCH(D5673,Produtos!$B$4:$B$4996,0)),"Produto não encontrado"),"")</f>
        <v/>
      </c>
    </row>
    <row r="5674" spans="1:5" x14ac:dyDescent="0.3">
      <c r="A5674" s="21" t="str">
        <f t="shared" si="88"/>
        <v>.</v>
      </c>
      <c r="D5674" s="44"/>
      <c r="E5674" s="22" t="str">
        <f>IF(D5674&lt;&gt;"",IFERROR(INDEX(Produtos!$C$4:$C$4996,MATCH(D5674,Produtos!$B$4:$B$4996,0)),"Produto não encontrado"),"")</f>
        <v/>
      </c>
    </row>
    <row r="5675" spans="1:5" x14ac:dyDescent="0.3">
      <c r="A5675" s="21" t="str">
        <f t="shared" si="88"/>
        <v>.</v>
      </c>
      <c r="D5675" s="44"/>
      <c r="E5675" s="22" t="str">
        <f>IF(D5675&lt;&gt;"",IFERROR(INDEX(Produtos!$C$4:$C$4996,MATCH(D5675,Produtos!$B$4:$B$4996,0)),"Produto não encontrado"),"")</f>
        <v/>
      </c>
    </row>
    <row r="5676" spans="1:5" x14ac:dyDescent="0.3">
      <c r="A5676" s="21" t="str">
        <f t="shared" si="88"/>
        <v>.</v>
      </c>
      <c r="D5676" s="44"/>
      <c r="E5676" s="22" t="str">
        <f>IF(D5676&lt;&gt;"",IFERROR(INDEX(Produtos!$C$4:$C$4996,MATCH(D5676,Produtos!$B$4:$B$4996,0)),"Produto não encontrado"),"")</f>
        <v/>
      </c>
    </row>
    <row r="5677" spans="1:5" x14ac:dyDescent="0.3">
      <c r="A5677" s="21" t="str">
        <f t="shared" si="88"/>
        <v>.</v>
      </c>
      <c r="D5677" s="44"/>
      <c r="E5677" s="22" t="str">
        <f>IF(D5677&lt;&gt;"",IFERROR(INDEX(Produtos!$C$4:$C$4996,MATCH(D5677,Produtos!$B$4:$B$4996,0)),"Produto não encontrado"),"")</f>
        <v/>
      </c>
    </row>
    <row r="5678" spans="1:5" x14ac:dyDescent="0.3">
      <c r="A5678" s="21" t="str">
        <f t="shared" si="88"/>
        <v>.</v>
      </c>
      <c r="D5678" s="44"/>
      <c r="E5678" s="22" t="str">
        <f>IF(D5678&lt;&gt;"",IFERROR(INDEX(Produtos!$C$4:$C$4996,MATCH(D5678,Produtos!$B$4:$B$4996,0)),"Produto não encontrado"),"")</f>
        <v/>
      </c>
    </row>
    <row r="5679" spans="1:5" x14ac:dyDescent="0.3">
      <c r="A5679" s="21" t="str">
        <f t="shared" si="88"/>
        <v>.</v>
      </c>
      <c r="D5679" s="44"/>
      <c r="E5679" s="22" t="str">
        <f>IF(D5679&lt;&gt;"",IFERROR(INDEX(Produtos!$C$4:$C$4996,MATCH(D5679,Produtos!$B$4:$B$4996,0)),"Produto não encontrado"),"")</f>
        <v/>
      </c>
    </row>
    <row r="5680" spans="1:5" x14ac:dyDescent="0.3">
      <c r="A5680" s="21" t="str">
        <f t="shared" si="88"/>
        <v>.</v>
      </c>
      <c r="D5680" s="44"/>
      <c r="E5680" s="22" t="str">
        <f>IF(D5680&lt;&gt;"",IFERROR(INDEX(Produtos!$C$4:$C$4996,MATCH(D5680,Produtos!$B$4:$B$4996,0)),"Produto não encontrado"),"")</f>
        <v/>
      </c>
    </row>
    <row r="5681" spans="1:5" x14ac:dyDescent="0.3">
      <c r="A5681" s="21" t="str">
        <f t="shared" si="88"/>
        <v>.</v>
      </c>
      <c r="D5681" s="44"/>
      <c r="E5681" s="22" t="str">
        <f>IF(D5681&lt;&gt;"",IFERROR(INDEX(Produtos!$C$4:$C$4996,MATCH(D5681,Produtos!$B$4:$B$4996,0)),"Produto não encontrado"),"")</f>
        <v/>
      </c>
    </row>
    <row r="5682" spans="1:5" x14ac:dyDescent="0.3">
      <c r="A5682" s="21" t="str">
        <f t="shared" si="88"/>
        <v>.</v>
      </c>
      <c r="D5682" s="44"/>
      <c r="E5682" s="22" t="str">
        <f>IF(D5682&lt;&gt;"",IFERROR(INDEX(Produtos!$C$4:$C$4996,MATCH(D5682,Produtos!$B$4:$B$4996,0)),"Produto não encontrado"),"")</f>
        <v/>
      </c>
    </row>
    <row r="5683" spans="1:5" x14ac:dyDescent="0.3">
      <c r="A5683" s="21" t="str">
        <f t="shared" si="88"/>
        <v>.</v>
      </c>
      <c r="D5683" s="44"/>
      <c r="E5683" s="22" t="str">
        <f>IF(D5683&lt;&gt;"",IFERROR(INDEX(Produtos!$C$4:$C$4996,MATCH(D5683,Produtos!$B$4:$B$4996,0)),"Produto não encontrado"),"")</f>
        <v/>
      </c>
    </row>
    <row r="5684" spans="1:5" x14ac:dyDescent="0.3">
      <c r="A5684" s="21" t="str">
        <f t="shared" si="88"/>
        <v>.</v>
      </c>
      <c r="D5684" s="44"/>
      <c r="E5684" s="22" t="str">
        <f>IF(D5684&lt;&gt;"",IFERROR(INDEX(Produtos!$C$4:$C$4996,MATCH(D5684,Produtos!$B$4:$B$4996,0)),"Produto não encontrado"),"")</f>
        <v/>
      </c>
    </row>
    <row r="5685" spans="1:5" x14ac:dyDescent="0.3">
      <c r="A5685" s="21" t="str">
        <f t="shared" si="88"/>
        <v>.</v>
      </c>
      <c r="D5685" s="44"/>
      <c r="E5685" s="22" t="str">
        <f>IF(D5685&lt;&gt;"",IFERROR(INDEX(Produtos!$C$4:$C$4996,MATCH(D5685,Produtos!$B$4:$B$4996,0)),"Produto não encontrado"),"")</f>
        <v/>
      </c>
    </row>
    <row r="5686" spans="1:5" x14ac:dyDescent="0.3">
      <c r="A5686" s="21" t="str">
        <f t="shared" si="88"/>
        <v>.</v>
      </c>
      <c r="D5686" s="44"/>
      <c r="E5686" s="22" t="str">
        <f>IF(D5686&lt;&gt;"",IFERROR(INDEX(Produtos!$C$4:$C$4996,MATCH(D5686,Produtos!$B$4:$B$4996,0)),"Produto não encontrado"),"")</f>
        <v/>
      </c>
    </row>
    <row r="5687" spans="1:5" x14ac:dyDescent="0.3">
      <c r="A5687" s="21" t="str">
        <f t="shared" si="88"/>
        <v>.</v>
      </c>
      <c r="D5687" s="44"/>
      <c r="E5687" s="22" t="str">
        <f>IF(D5687&lt;&gt;"",IFERROR(INDEX(Produtos!$C$4:$C$4996,MATCH(D5687,Produtos!$B$4:$B$4996,0)),"Produto não encontrado"),"")</f>
        <v/>
      </c>
    </row>
    <row r="5688" spans="1:5" x14ac:dyDescent="0.3">
      <c r="A5688" s="21" t="str">
        <f t="shared" si="88"/>
        <v>.</v>
      </c>
      <c r="D5688" s="44"/>
      <c r="E5688" s="22" t="str">
        <f>IF(D5688&lt;&gt;"",IFERROR(INDEX(Produtos!$C$4:$C$4996,MATCH(D5688,Produtos!$B$4:$B$4996,0)),"Produto não encontrado"),"")</f>
        <v/>
      </c>
    </row>
    <row r="5689" spans="1:5" x14ac:dyDescent="0.3">
      <c r="A5689" s="21" t="str">
        <f t="shared" si="88"/>
        <v>.</v>
      </c>
      <c r="D5689" s="44"/>
      <c r="E5689" s="22" t="str">
        <f>IF(D5689&lt;&gt;"",IFERROR(INDEX(Produtos!$C$4:$C$4996,MATCH(D5689,Produtos!$B$4:$B$4996,0)),"Produto não encontrado"),"")</f>
        <v/>
      </c>
    </row>
    <row r="5690" spans="1:5" x14ac:dyDescent="0.3">
      <c r="A5690" s="21" t="str">
        <f t="shared" si="88"/>
        <v>.</v>
      </c>
      <c r="D5690" s="44"/>
      <c r="E5690" s="22" t="str">
        <f>IF(D5690&lt;&gt;"",IFERROR(INDEX(Produtos!$C$4:$C$4996,MATCH(D5690,Produtos!$B$4:$B$4996,0)),"Produto não encontrado"),"")</f>
        <v/>
      </c>
    </row>
    <row r="5691" spans="1:5" x14ac:dyDescent="0.3">
      <c r="A5691" s="21" t="str">
        <f t="shared" si="88"/>
        <v>.</v>
      </c>
      <c r="D5691" s="44"/>
      <c r="E5691" s="22" t="str">
        <f>IF(D5691&lt;&gt;"",IFERROR(INDEX(Produtos!$C$4:$C$4996,MATCH(D5691,Produtos!$B$4:$B$4996,0)),"Produto não encontrado"),"")</f>
        <v/>
      </c>
    </row>
    <row r="5692" spans="1:5" x14ac:dyDescent="0.3">
      <c r="A5692" s="21" t="str">
        <f t="shared" si="88"/>
        <v>.</v>
      </c>
      <c r="D5692" s="44"/>
      <c r="E5692" s="22" t="str">
        <f>IF(D5692&lt;&gt;"",IFERROR(INDEX(Produtos!$C$4:$C$4996,MATCH(D5692,Produtos!$B$4:$B$4996,0)),"Produto não encontrado"),"")</f>
        <v/>
      </c>
    </row>
    <row r="5693" spans="1:5" x14ac:dyDescent="0.3">
      <c r="A5693" s="21" t="str">
        <f t="shared" si="88"/>
        <v>.</v>
      </c>
      <c r="D5693" s="44"/>
      <c r="E5693" s="22" t="str">
        <f>IF(D5693&lt;&gt;"",IFERROR(INDEX(Produtos!$C$4:$C$4996,MATCH(D5693,Produtos!$B$4:$B$4996,0)),"Produto não encontrado"),"")</f>
        <v/>
      </c>
    </row>
    <row r="5694" spans="1:5" x14ac:dyDescent="0.3">
      <c r="A5694" s="21" t="str">
        <f t="shared" si="88"/>
        <v>.</v>
      </c>
      <c r="D5694" s="44"/>
      <c r="E5694" s="22" t="str">
        <f>IF(D5694&lt;&gt;"",IFERROR(INDEX(Produtos!$C$4:$C$4996,MATCH(D5694,Produtos!$B$4:$B$4996,0)),"Produto não encontrado"),"")</f>
        <v/>
      </c>
    </row>
    <row r="5695" spans="1:5" x14ac:dyDescent="0.3">
      <c r="A5695" s="21" t="str">
        <f t="shared" si="88"/>
        <v>.</v>
      </c>
      <c r="D5695" s="44"/>
      <c r="E5695" s="22" t="str">
        <f>IF(D5695&lt;&gt;"",IFERROR(INDEX(Produtos!$C$4:$C$4996,MATCH(D5695,Produtos!$B$4:$B$4996,0)),"Produto não encontrado"),"")</f>
        <v/>
      </c>
    </row>
    <row r="5696" spans="1:5" x14ac:dyDescent="0.3">
      <c r="A5696" s="21" t="str">
        <f t="shared" ref="A5696:A5759" si="89">IF(C5696="Entrada",2,IF(C5696="Saída",1,"."))</f>
        <v>.</v>
      </c>
      <c r="D5696" s="44"/>
      <c r="E5696" s="22" t="str">
        <f>IF(D5696&lt;&gt;"",IFERROR(INDEX(Produtos!$C$4:$C$4996,MATCH(D5696,Produtos!$B$4:$B$4996,0)),"Produto não encontrado"),"")</f>
        <v/>
      </c>
    </row>
    <row r="5697" spans="1:5" x14ac:dyDescent="0.3">
      <c r="A5697" s="21" t="str">
        <f t="shared" si="89"/>
        <v>.</v>
      </c>
      <c r="D5697" s="44"/>
      <c r="E5697" s="22" t="str">
        <f>IF(D5697&lt;&gt;"",IFERROR(INDEX(Produtos!$C$4:$C$4996,MATCH(D5697,Produtos!$B$4:$B$4996,0)),"Produto não encontrado"),"")</f>
        <v/>
      </c>
    </row>
    <row r="5698" spans="1:5" x14ac:dyDescent="0.3">
      <c r="A5698" s="21" t="str">
        <f t="shared" si="89"/>
        <v>.</v>
      </c>
      <c r="D5698" s="44"/>
      <c r="E5698" s="22" t="str">
        <f>IF(D5698&lt;&gt;"",IFERROR(INDEX(Produtos!$C$4:$C$4996,MATCH(D5698,Produtos!$B$4:$B$4996,0)),"Produto não encontrado"),"")</f>
        <v/>
      </c>
    </row>
    <row r="5699" spans="1:5" x14ac:dyDescent="0.3">
      <c r="A5699" s="21" t="str">
        <f t="shared" si="89"/>
        <v>.</v>
      </c>
      <c r="D5699" s="44"/>
      <c r="E5699" s="22" t="str">
        <f>IF(D5699&lt;&gt;"",IFERROR(INDEX(Produtos!$C$4:$C$4996,MATCH(D5699,Produtos!$B$4:$B$4996,0)),"Produto não encontrado"),"")</f>
        <v/>
      </c>
    </row>
    <row r="5700" spans="1:5" x14ac:dyDescent="0.3">
      <c r="A5700" s="21" t="str">
        <f t="shared" si="89"/>
        <v>.</v>
      </c>
      <c r="D5700" s="44"/>
      <c r="E5700" s="22" t="str">
        <f>IF(D5700&lt;&gt;"",IFERROR(INDEX(Produtos!$C$4:$C$4996,MATCH(D5700,Produtos!$B$4:$B$4996,0)),"Produto não encontrado"),"")</f>
        <v/>
      </c>
    </row>
    <row r="5701" spans="1:5" x14ac:dyDescent="0.3">
      <c r="A5701" s="21" t="str">
        <f t="shared" si="89"/>
        <v>.</v>
      </c>
      <c r="D5701" s="44"/>
      <c r="E5701" s="22" t="str">
        <f>IF(D5701&lt;&gt;"",IFERROR(INDEX(Produtos!$C$4:$C$4996,MATCH(D5701,Produtos!$B$4:$B$4996,0)),"Produto não encontrado"),"")</f>
        <v/>
      </c>
    </row>
    <row r="5702" spans="1:5" x14ac:dyDescent="0.3">
      <c r="A5702" s="21" t="str">
        <f t="shared" si="89"/>
        <v>.</v>
      </c>
      <c r="D5702" s="44"/>
      <c r="E5702" s="22" t="str">
        <f>IF(D5702&lt;&gt;"",IFERROR(INDEX(Produtos!$C$4:$C$4996,MATCH(D5702,Produtos!$B$4:$B$4996,0)),"Produto não encontrado"),"")</f>
        <v/>
      </c>
    </row>
    <row r="5703" spans="1:5" x14ac:dyDescent="0.3">
      <c r="A5703" s="21" t="str">
        <f t="shared" si="89"/>
        <v>.</v>
      </c>
      <c r="D5703" s="44"/>
      <c r="E5703" s="22" t="str">
        <f>IF(D5703&lt;&gt;"",IFERROR(INDEX(Produtos!$C$4:$C$4996,MATCH(D5703,Produtos!$B$4:$B$4996,0)),"Produto não encontrado"),"")</f>
        <v/>
      </c>
    </row>
    <row r="5704" spans="1:5" x14ac:dyDescent="0.3">
      <c r="A5704" s="21" t="str">
        <f t="shared" si="89"/>
        <v>.</v>
      </c>
      <c r="D5704" s="44"/>
      <c r="E5704" s="22" t="str">
        <f>IF(D5704&lt;&gt;"",IFERROR(INDEX(Produtos!$C$4:$C$4996,MATCH(D5704,Produtos!$B$4:$B$4996,0)),"Produto não encontrado"),"")</f>
        <v/>
      </c>
    </row>
    <row r="5705" spans="1:5" x14ac:dyDescent="0.3">
      <c r="A5705" s="21" t="str">
        <f t="shared" si="89"/>
        <v>.</v>
      </c>
      <c r="D5705" s="44"/>
      <c r="E5705" s="22" t="str">
        <f>IF(D5705&lt;&gt;"",IFERROR(INDEX(Produtos!$C$4:$C$4996,MATCH(D5705,Produtos!$B$4:$B$4996,0)),"Produto não encontrado"),"")</f>
        <v/>
      </c>
    </row>
    <row r="5706" spans="1:5" x14ac:dyDescent="0.3">
      <c r="A5706" s="21" t="str">
        <f t="shared" si="89"/>
        <v>.</v>
      </c>
      <c r="D5706" s="44"/>
      <c r="E5706" s="22" t="str">
        <f>IF(D5706&lt;&gt;"",IFERROR(INDEX(Produtos!$C$4:$C$4996,MATCH(D5706,Produtos!$B$4:$B$4996,0)),"Produto não encontrado"),"")</f>
        <v/>
      </c>
    </row>
    <row r="5707" spans="1:5" x14ac:dyDescent="0.3">
      <c r="A5707" s="21" t="str">
        <f t="shared" si="89"/>
        <v>.</v>
      </c>
      <c r="D5707" s="44"/>
      <c r="E5707" s="22" t="str">
        <f>IF(D5707&lt;&gt;"",IFERROR(INDEX(Produtos!$C$4:$C$4996,MATCH(D5707,Produtos!$B$4:$B$4996,0)),"Produto não encontrado"),"")</f>
        <v/>
      </c>
    </row>
    <row r="5708" spans="1:5" x14ac:dyDescent="0.3">
      <c r="A5708" s="21" t="str">
        <f t="shared" si="89"/>
        <v>.</v>
      </c>
      <c r="D5708" s="44"/>
      <c r="E5708" s="22" t="str">
        <f>IF(D5708&lt;&gt;"",IFERROR(INDEX(Produtos!$C$4:$C$4996,MATCH(D5708,Produtos!$B$4:$B$4996,0)),"Produto não encontrado"),"")</f>
        <v/>
      </c>
    </row>
    <row r="5709" spans="1:5" x14ac:dyDescent="0.3">
      <c r="A5709" s="21" t="str">
        <f t="shared" si="89"/>
        <v>.</v>
      </c>
      <c r="D5709" s="44"/>
      <c r="E5709" s="22" t="str">
        <f>IF(D5709&lt;&gt;"",IFERROR(INDEX(Produtos!$C$4:$C$4996,MATCH(D5709,Produtos!$B$4:$B$4996,0)),"Produto não encontrado"),"")</f>
        <v/>
      </c>
    </row>
    <row r="5710" spans="1:5" x14ac:dyDescent="0.3">
      <c r="A5710" s="21" t="str">
        <f t="shared" si="89"/>
        <v>.</v>
      </c>
      <c r="D5710" s="44"/>
      <c r="E5710" s="22" t="str">
        <f>IF(D5710&lt;&gt;"",IFERROR(INDEX(Produtos!$C$4:$C$4996,MATCH(D5710,Produtos!$B$4:$B$4996,0)),"Produto não encontrado"),"")</f>
        <v/>
      </c>
    </row>
    <row r="5711" spans="1:5" x14ac:dyDescent="0.3">
      <c r="A5711" s="21" t="str">
        <f t="shared" si="89"/>
        <v>.</v>
      </c>
      <c r="D5711" s="44"/>
      <c r="E5711" s="22" t="str">
        <f>IF(D5711&lt;&gt;"",IFERROR(INDEX(Produtos!$C$4:$C$4996,MATCH(D5711,Produtos!$B$4:$B$4996,0)),"Produto não encontrado"),"")</f>
        <v/>
      </c>
    </row>
    <row r="5712" spans="1:5" x14ac:dyDescent="0.3">
      <c r="A5712" s="21" t="str">
        <f t="shared" si="89"/>
        <v>.</v>
      </c>
      <c r="D5712" s="44"/>
      <c r="E5712" s="22" t="str">
        <f>IF(D5712&lt;&gt;"",IFERROR(INDEX(Produtos!$C$4:$C$4996,MATCH(D5712,Produtos!$B$4:$B$4996,0)),"Produto não encontrado"),"")</f>
        <v/>
      </c>
    </row>
    <row r="5713" spans="1:5" x14ac:dyDescent="0.3">
      <c r="A5713" s="21" t="str">
        <f t="shared" si="89"/>
        <v>.</v>
      </c>
      <c r="D5713" s="44"/>
      <c r="E5713" s="22" t="str">
        <f>IF(D5713&lt;&gt;"",IFERROR(INDEX(Produtos!$C$4:$C$4996,MATCH(D5713,Produtos!$B$4:$B$4996,0)),"Produto não encontrado"),"")</f>
        <v/>
      </c>
    </row>
    <row r="5714" spans="1:5" x14ac:dyDescent="0.3">
      <c r="A5714" s="21" t="str">
        <f t="shared" si="89"/>
        <v>.</v>
      </c>
      <c r="D5714" s="44"/>
      <c r="E5714" s="22" t="str">
        <f>IF(D5714&lt;&gt;"",IFERROR(INDEX(Produtos!$C$4:$C$4996,MATCH(D5714,Produtos!$B$4:$B$4996,0)),"Produto não encontrado"),"")</f>
        <v/>
      </c>
    </row>
    <row r="5715" spans="1:5" x14ac:dyDescent="0.3">
      <c r="A5715" s="21" t="str">
        <f t="shared" si="89"/>
        <v>.</v>
      </c>
      <c r="D5715" s="44"/>
      <c r="E5715" s="22" t="str">
        <f>IF(D5715&lt;&gt;"",IFERROR(INDEX(Produtos!$C$4:$C$4996,MATCH(D5715,Produtos!$B$4:$B$4996,0)),"Produto não encontrado"),"")</f>
        <v/>
      </c>
    </row>
    <row r="5716" spans="1:5" x14ac:dyDescent="0.3">
      <c r="A5716" s="21" t="str">
        <f t="shared" si="89"/>
        <v>.</v>
      </c>
      <c r="D5716" s="44"/>
      <c r="E5716" s="22" t="str">
        <f>IF(D5716&lt;&gt;"",IFERROR(INDEX(Produtos!$C$4:$C$4996,MATCH(D5716,Produtos!$B$4:$B$4996,0)),"Produto não encontrado"),"")</f>
        <v/>
      </c>
    </row>
    <row r="5717" spans="1:5" x14ac:dyDescent="0.3">
      <c r="A5717" s="21" t="str">
        <f t="shared" si="89"/>
        <v>.</v>
      </c>
      <c r="D5717" s="44"/>
      <c r="E5717" s="22" t="str">
        <f>IF(D5717&lt;&gt;"",IFERROR(INDEX(Produtos!$C$4:$C$4996,MATCH(D5717,Produtos!$B$4:$B$4996,0)),"Produto não encontrado"),"")</f>
        <v/>
      </c>
    </row>
    <row r="5718" spans="1:5" x14ac:dyDescent="0.3">
      <c r="A5718" s="21" t="str">
        <f t="shared" si="89"/>
        <v>.</v>
      </c>
      <c r="D5718" s="44"/>
      <c r="E5718" s="22" t="str">
        <f>IF(D5718&lt;&gt;"",IFERROR(INDEX(Produtos!$C$4:$C$4996,MATCH(D5718,Produtos!$B$4:$B$4996,0)),"Produto não encontrado"),"")</f>
        <v/>
      </c>
    </row>
    <row r="5719" spans="1:5" x14ac:dyDescent="0.3">
      <c r="A5719" s="21" t="str">
        <f t="shared" si="89"/>
        <v>.</v>
      </c>
      <c r="D5719" s="44"/>
      <c r="E5719" s="22" t="str">
        <f>IF(D5719&lt;&gt;"",IFERROR(INDEX(Produtos!$C$4:$C$4996,MATCH(D5719,Produtos!$B$4:$B$4996,0)),"Produto não encontrado"),"")</f>
        <v/>
      </c>
    </row>
    <row r="5720" spans="1:5" x14ac:dyDescent="0.3">
      <c r="A5720" s="21" t="str">
        <f t="shared" si="89"/>
        <v>.</v>
      </c>
      <c r="D5720" s="44"/>
      <c r="E5720" s="22" t="str">
        <f>IF(D5720&lt;&gt;"",IFERROR(INDEX(Produtos!$C$4:$C$4996,MATCH(D5720,Produtos!$B$4:$B$4996,0)),"Produto não encontrado"),"")</f>
        <v/>
      </c>
    </row>
    <row r="5721" spans="1:5" x14ac:dyDescent="0.3">
      <c r="A5721" s="21" t="str">
        <f t="shared" si="89"/>
        <v>.</v>
      </c>
      <c r="D5721" s="44"/>
      <c r="E5721" s="22" t="str">
        <f>IF(D5721&lt;&gt;"",IFERROR(INDEX(Produtos!$C$4:$C$4996,MATCH(D5721,Produtos!$B$4:$B$4996,0)),"Produto não encontrado"),"")</f>
        <v/>
      </c>
    </row>
    <row r="5722" spans="1:5" x14ac:dyDescent="0.3">
      <c r="A5722" s="21" t="str">
        <f t="shared" si="89"/>
        <v>.</v>
      </c>
      <c r="D5722" s="44"/>
      <c r="E5722" s="22" t="str">
        <f>IF(D5722&lt;&gt;"",IFERROR(INDEX(Produtos!$C$4:$C$4996,MATCH(D5722,Produtos!$B$4:$B$4996,0)),"Produto não encontrado"),"")</f>
        <v/>
      </c>
    </row>
    <row r="5723" spans="1:5" x14ac:dyDescent="0.3">
      <c r="A5723" s="21" t="str">
        <f t="shared" si="89"/>
        <v>.</v>
      </c>
      <c r="D5723" s="44"/>
      <c r="E5723" s="22" t="str">
        <f>IF(D5723&lt;&gt;"",IFERROR(INDEX(Produtos!$C$4:$C$4996,MATCH(D5723,Produtos!$B$4:$B$4996,0)),"Produto não encontrado"),"")</f>
        <v/>
      </c>
    </row>
    <row r="5724" spans="1:5" x14ac:dyDescent="0.3">
      <c r="A5724" s="21" t="str">
        <f t="shared" si="89"/>
        <v>.</v>
      </c>
      <c r="D5724" s="44"/>
      <c r="E5724" s="22" t="str">
        <f>IF(D5724&lt;&gt;"",IFERROR(INDEX(Produtos!$C$4:$C$4996,MATCH(D5724,Produtos!$B$4:$B$4996,0)),"Produto não encontrado"),"")</f>
        <v/>
      </c>
    </row>
    <row r="5725" spans="1:5" x14ac:dyDescent="0.3">
      <c r="A5725" s="21" t="str">
        <f t="shared" si="89"/>
        <v>.</v>
      </c>
      <c r="D5725" s="44"/>
      <c r="E5725" s="22" t="str">
        <f>IF(D5725&lt;&gt;"",IFERROR(INDEX(Produtos!$C$4:$C$4996,MATCH(D5725,Produtos!$B$4:$B$4996,0)),"Produto não encontrado"),"")</f>
        <v/>
      </c>
    </row>
    <row r="5726" spans="1:5" x14ac:dyDescent="0.3">
      <c r="A5726" s="21" t="str">
        <f t="shared" si="89"/>
        <v>.</v>
      </c>
      <c r="D5726" s="44"/>
      <c r="E5726" s="22" t="str">
        <f>IF(D5726&lt;&gt;"",IFERROR(INDEX(Produtos!$C$4:$C$4996,MATCH(D5726,Produtos!$B$4:$B$4996,0)),"Produto não encontrado"),"")</f>
        <v/>
      </c>
    </row>
    <row r="5727" spans="1:5" x14ac:dyDescent="0.3">
      <c r="A5727" s="21" t="str">
        <f t="shared" si="89"/>
        <v>.</v>
      </c>
      <c r="D5727" s="44"/>
      <c r="E5727" s="22" t="str">
        <f>IF(D5727&lt;&gt;"",IFERROR(INDEX(Produtos!$C$4:$C$4996,MATCH(D5727,Produtos!$B$4:$B$4996,0)),"Produto não encontrado"),"")</f>
        <v/>
      </c>
    </row>
    <row r="5728" spans="1:5" x14ac:dyDescent="0.3">
      <c r="A5728" s="21" t="str">
        <f t="shared" si="89"/>
        <v>.</v>
      </c>
      <c r="D5728" s="44"/>
      <c r="E5728" s="22" t="str">
        <f>IF(D5728&lt;&gt;"",IFERROR(INDEX(Produtos!$C$4:$C$4996,MATCH(D5728,Produtos!$B$4:$B$4996,0)),"Produto não encontrado"),"")</f>
        <v/>
      </c>
    </row>
    <row r="5729" spans="1:5" x14ac:dyDescent="0.3">
      <c r="A5729" s="21" t="str">
        <f t="shared" si="89"/>
        <v>.</v>
      </c>
      <c r="D5729" s="44"/>
      <c r="E5729" s="22" t="str">
        <f>IF(D5729&lt;&gt;"",IFERROR(INDEX(Produtos!$C$4:$C$4996,MATCH(D5729,Produtos!$B$4:$B$4996,0)),"Produto não encontrado"),"")</f>
        <v/>
      </c>
    </row>
    <row r="5730" spans="1:5" x14ac:dyDescent="0.3">
      <c r="A5730" s="21" t="str">
        <f t="shared" si="89"/>
        <v>.</v>
      </c>
      <c r="D5730" s="44"/>
      <c r="E5730" s="22" t="str">
        <f>IF(D5730&lt;&gt;"",IFERROR(INDEX(Produtos!$C$4:$C$4996,MATCH(D5730,Produtos!$B$4:$B$4996,0)),"Produto não encontrado"),"")</f>
        <v/>
      </c>
    </row>
    <row r="5731" spans="1:5" x14ac:dyDescent="0.3">
      <c r="A5731" s="21" t="str">
        <f t="shared" si="89"/>
        <v>.</v>
      </c>
      <c r="D5731" s="44"/>
      <c r="E5731" s="22" t="str">
        <f>IF(D5731&lt;&gt;"",IFERROR(INDEX(Produtos!$C$4:$C$4996,MATCH(D5731,Produtos!$B$4:$B$4996,0)),"Produto não encontrado"),"")</f>
        <v/>
      </c>
    </row>
    <row r="5732" spans="1:5" x14ac:dyDescent="0.3">
      <c r="A5732" s="21" t="str">
        <f t="shared" si="89"/>
        <v>.</v>
      </c>
      <c r="D5732" s="44"/>
      <c r="E5732" s="22" t="str">
        <f>IF(D5732&lt;&gt;"",IFERROR(INDEX(Produtos!$C$4:$C$4996,MATCH(D5732,Produtos!$B$4:$B$4996,0)),"Produto não encontrado"),"")</f>
        <v/>
      </c>
    </row>
    <row r="5733" spans="1:5" x14ac:dyDescent="0.3">
      <c r="A5733" s="21" t="str">
        <f t="shared" si="89"/>
        <v>.</v>
      </c>
      <c r="D5733" s="44"/>
      <c r="E5733" s="22" t="str">
        <f>IF(D5733&lt;&gt;"",IFERROR(INDEX(Produtos!$C$4:$C$4996,MATCH(D5733,Produtos!$B$4:$B$4996,0)),"Produto não encontrado"),"")</f>
        <v/>
      </c>
    </row>
    <row r="5734" spans="1:5" x14ac:dyDescent="0.3">
      <c r="A5734" s="21" t="str">
        <f t="shared" si="89"/>
        <v>.</v>
      </c>
      <c r="D5734" s="44"/>
      <c r="E5734" s="22" t="str">
        <f>IF(D5734&lt;&gt;"",IFERROR(INDEX(Produtos!$C$4:$C$4996,MATCH(D5734,Produtos!$B$4:$B$4996,0)),"Produto não encontrado"),"")</f>
        <v/>
      </c>
    </row>
    <row r="5735" spans="1:5" x14ac:dyDescent="0.3">
      <c r="A5735" s="21" t="str">
        <f t="shared" si="89"/>
        <v>.</v>
      </c>
      <c r="D5735" s="44"/>
      <c r="E5735" s="22" t="str">
        <f>IF(D5735&lt;&gt;"",IFERROR(INDEX(Produtos!$C$4:$C$4996,MATCH(D5735,Produtos!$B$4:$B$4996,0)),"Produto não encontrado"),"")</f>
        <v/>
      </c>
    </row>
    <row r="5736" spans="1:5" x14ac:dyDescent="0.3">
      <c r="A5736" s="21" t="str">
        <f t="shared" si="89"/>
        <v>.</v>
      </c>
      <c r="D5736" s="44"/>
      <c r="E5736" s="22" t="str">
        <f>IF(D5736&lt;&gt;"",IFERROR(INDEX(Produtos!$C$4:$C$4996,MATCH(D5736,Produtos!$B$4:$B$4996,0)),"Produto não encontrado"),"")</f>
        <v/>
      </c>
    </row>
    <row r="5737" spans="1:5" x14ac:dyDescent="0.3">
      <c r="A5737" s="21" t="str">
        <f t="shared" si="89"/>
        <v>.</v>
      </c>
      <c r="D5737" s="44"/>
      <c r="E5737" s="22" t="str">
        <f>IF(D5737&lt;&gt;"",IFERROR(INDEX(Produtos!$C$4:$C$4996,MATCH(D5737,Produtos!$B$4:$B$4996,0)),"Produto não encontrado"),"")</f>
        <v/>
      </c>
    </row>
    <row r="5738" spans="1:5" x14ac:dyDescent="0.3">
      <c r="A5738" s="21" t="str">
        <f t="shared" si="89"/>
        <v>.</v>
      </c>
      <c r="D5738" s="44"/>
      <c r="E5738" s="22" t="str">
        <f>IF(D5738&lt;&gt;"",IFERROR(INDEX(Produtos!$C$4:$C$4996,MATCH(D5738,Produtos!$B$4:$B$4996,0)),"Produto não encontrado"),"")</f>
        <v/>
      </c>
    </row>
    <row r="5739" spans="1:5" x14ac:dyDescent="0.3">
      <c r="A5739" s="21" t="str">
        <f t="shared" si="89"/>
        <v>.</v>
      </c>
      <c r="D5739" s="44"/>
      <c r="E5739" s="22" t="str">
        <f>IF(D5739&lt;&gt;"",IFERROR(INDEX(Produtos!$C$4:$C$4996,MATCH(D5739,Produtos!$B$4:$B$4996,0)),"Produto não encontrado"),"")</f>
        <v/>
      </c>
    </row>
    <row r="5740" spans="1:5" x14ac:dyDescent="0.3">
      <c r="A5740" s="21" t="str">
        <f t="shared" si="89"/>
        <v>.</v>
      </c>
      <c r="D5740" s="44"/>
      <c r="E5740" s="22" t="str">
        <f>IF(D5740&lt;&gt;"",IFERROR(INDEX(Produtos!$C$4:$C$4996,MATCH(D5740,Produtos!$B$4:$B$4996,0)),"Produto não encontrado"),"")</f>
        <v/>
      </c>
    </row>
    <row r="5741" spans="1:5" x14ac:dyDescent="0.3">
      <c r="A5741" s="21" t="str">
        <f t="shared" si="89"/>
        <v>.</v>
      </c>
      <c r="D5741" s="44"/>
      <c r="E5741" s="22" t="str">
        <f>IF(D5741&lt;&gt;"",IFERROR(INDEX(Produtos!$C$4:$C$4996,MATCH(D5741,Produtos!$B$4:$B$4996,0)),"Produto não encontrado"),"")</f>
        <v/>
      </c>
    </row>
    <row r="5742" spans="1:5" x14ac:dyDescent="0.3">
      <c r="A5742" s="21" t="str">
        <f t="shared" si="89"/>
        <v>.</v>
      </c>
      <c r="D5742" s="44"/>
      <c r="E5742" s="22" t="str">
        <f>IF(D5742&lt;&gt;"",IFERROR(INDEX(Produtos!$C$4:$C$4996,MATCH(D5742,Produtos!$B$4:$B$4996,0)),"Produto não encontrado"),"")</f>
        <v/>
      </c>
    </row>
    <row r="5743" spans="1:5" x14ac:dyDescent="0.3">
      <c r="A5743" s="21" t="str">
        <f t="shared" si="89"/>
        <v>.</v>
      </c>
      <c r="D5743" s="44"/>
      <c r="E5743" s="22" t="str">
        <f>IF(D5743&lt;&gt;"",IFERROR(INDEX(Produtos!$C$4:$C$4996,MATCH(D5743,Produtos!$B$4:$B$4996,0)),"Produto não encontrado"),"")</f>
        <v/>
      </c>
    </row>
    <row r="5744" spans="1:5" x14ac:dyDescent="0.3">
      <c r="A5744" s="21" t="str">
        <f t="shared" si="89"/>
        <v>.</v>
      </c>
      <c r="D5744" s="44"/>
      <c r="E5744" s="22" t="str">
        <f>IF(D5744&lt;&gt;"",IFERROR(INDEX(Produtos!$C$4:$C$4996,MATCH(D5744,Produtos!$B$4:$B$4996,0)),"Produto não encontrado"),"")</f>
        <v/>
      </c>
    </row>
    <row r="5745" spans="1:5" x14ac:dyDescent="0.3">
      <c r="A5745" s="21" t="str">
        <f t="shared" si="89"/>
        <v>.</v>
      </c>
      <c r="D5745" s="44"/>
      <c r="E5745" s="22" t="str">
        <f>IF(D5745&lt;&gt;"",IFERROR(INDEX(Produtos!$C$4:$C$4996,MATCH(D5745,Produtos!$B$4:$B$4996,0)),"Produto não encontrado"),"")</f>
        <v/>
      </c>
    </row>
    <row r="5746" spans="1:5" x14ac:dyDescent="0.3">
      <c r="A5746" s="21" t="str">
        <f t="shared" si="89"/>
        <v>.</v>
      </c>
      <c r="D5746" s="44"/>
      <c r="E5746" s="22" t="str">
        <f>IF(D5746&lt;&gt;"",IFERROR(INDEX(Produtos!$C$4:$C$4996,MATCH(D5746,Produtos!$B$4:$B$4996,0)),"Produto não encontrado"),"")</f>
        <v/>
      </c>
    </row>
    <row r="5747" spans="1:5" x14ac:dyDescent="0.3">
      <c r="A5747" s="21" t="str">
        <f t="shared" si="89"/>
        <v>.</v>
      </c>
      <c r="D5747" s="44"/>
      <c r="E5747" s="22" t="str">
        <f>IF(D5747&lt;&gt;"",IFERROR(INDEX(Produtos!$C$4:$C$4996,MATCH(D5747,Produtos!$B$4:$B$4996,0)),"Produto não encontrado"),"")</f>
        <v/>
      </c>
    </row>
    <row r="5748" spans="1:5" x14ac:dyDescent="0.3">
      <c r="A5748" s="21" t="str">
        <f t="shared" si="89"/>
        <v>.</v>
      </c>
      <c r="D5748" s="44"/>
      <c r="E5748" s="22" t="str">
        <f>IF(D5748&lt;&gt;"",IFERROR(INDEX(Produtos!$C$4:$C$4996,MATCH(D5748,Produtos!$B$4:$B$4996,0)),"Produto não encontrado"),"")</f>
        <v/>
      </c>
    </row>
    <row r="5749" spans="1:5" x14ac:dyDescent="0.3">
      <c r="A5749" s="21" t="str">
        <f t="shared" si="89"/>
        <v>.</v>
      </c>
      <c r="D5749" s="44"/>
      <c r="E5749" s="22" t="str">
        <f>IF(D5749&lt;&gt;"",IFERROR(INDEX(Produtos!$C$4:$C$4996,MATCH(D5749,Produtos!$B$4:$B$4996,0)),"Produto não encontrado"),"")</f>
        <v/>
      </c>
    </row>
    <row r="5750" spans="1:5" x14ac:dyDescent="0.3">
      <c r="A5750" s="21" t="str">
        <f t="shared" si="89"/>
        <v>.</v>
      </c>
      <c r="D5750" s="44"/>
      <c r="E5750" s="22" t="str">
        <f>IF(D5750&lt;&gt;"",IFERROR(INDEX(Produtos!$C$4:$C$4996,MATCH(D5750,Produtos!$B$4:$B$4996,0)),"Produto não encontrado"),"")</f>
        <v/>
      </c>
    </row>
    <row r="5751" spans="1:5" x14ac:dyDescent="0.3">
      <c r="A5751" s="21" t="str">
        <f t="shared" si="89"/>
        <v>.</v>
      </c>
      <c r="D5751" s="44"/>
      <c r="E5751" s="22" t="str">
        <f>IF(D5751&lt;&gt;"",IFERROR(INDEX(Produtos!$C$4:$C$4996,MATCH(D5751,Produtos!$B$4:$B$4996,0)),"Produto não encontrado"),"")</f>
        <v/>
      </c>
    </row>
    <row r="5752" spans="1:5" x14ac:dyDescent="0.3">
      <c r="A5752" s="21" t="str">
        <f t="shared" si="89"/>
        <v>.</v>
      </c>
      <c r="D5752" s="44"/>
      <c r="E5752" s="22" t="str">
        <f>IF(D5752&lt;&gt;"",IFERROR(INDEX(Produtos!$C$4:$C$4996,MATCH(D5752,Produtos!$B$4:$B$4996,0)),"Produto não encontrado"),"")</f>
        <v/>
      </c>
    </row>
    <row r="5753" spans="1:5" x14ac:dyDescent="0.3">
      <c r="A5753" s="21" t="str">
        <f t="shared" si="89"/>
        <v>.</v>
      </c>
      <c r="D5753" s="44"/>
      <c r="E5753" s="22" t="str">
        <f>IF(D5753&lt;&gt;"",IFERROR(INDEX(Produtos!$C$4:$C$4996,MATCH(D5753,Produtos!$B$4:$B$4996,0)),"Produto não encontrado"),"")</f>
        <v/>
      </c>
    </row>
    <row r="5754" spans="1:5" x14ac:dyDescent="0.3">
      <c r="A5754" s="21" t="str">
        <f t="shared" si="89"/>
        <v>.</v>
      </c>
      <c r="D5754" s="44"/>
      <c r="E5754" s="22" t="str">
        <f>IF(D5754&lt;&gt;"",IFERROR(INDEX(Produtos!$C$4:$C$4996,MATCH(D5754,Produtos!$B$4:$B$4996,0)),"Produto não encontrado"),"")</f>
        <v/>
      </c>
    </row>
    <row r="5755" spans="1:5" x14ac:dyDescent="0.3">
      <c r="A5755" s="21" t="str">
        <f t="shared" si="89"/>
        <v>.</v>
      </c>
      <c r="D5755" s="44"/>
      <c r="E5755" s="22" t="str">
        <f>IF(D5755&lt;&gt;"",IFERROR(INDEX(Produtos!$C$4:$C$4996,MATCH(D5755,Produtos!$B$4:$B$4996,0)),"Produto não encontrado"),"")</f>
        <v/>
      </c>
    </row>
    <row r="5756" spans="1:5" x14ac:dyDescent="0.3">
      <c r="A5756" s="21" t="str">
        <f t="shared" si="89"/>
        <v>.</v>
      </c>
      <c r="D5756" s="44"/>
      <c r="E5756" s="22" t="str">
        <f>IF(D5756&lt;&gt;"",IFERROR(INDEX(Produtos!$C$4:$C$4996,MATCH(D5756,Produtos!$B$4:$B$4996,0)),"Produto não encontrado"),"")</f>
        <v/>
      </c>
    </row>
    <row r="5757" spans="1:5" x14ac:dyDescent="0.3">
      <c r="A5757" s="21" t="str">
        <f t="shared" si="89"/>
        <v>.</v>
      </c>
      <c r="D5757" s="44"/>
      <c r="E5757" s="22" t="str">
        <f>IF(D5757&lt;&gt;"",IFERROR(INDEX(Produtos!$C$4:$C$4996,MATCH(D5757,Produtos!$B$4:$B$4996,0)),"Produto não encontrado"),"")</f>
        <v/>
      </c>
    </row>
    <row r="5758" spans="1:5" x14ac:dyDescent="0.3">
      <c r="A5758" s="21" t="str">
        <f t="shared" si="89"/>
        <v>.</v>
      </c>
      <c r="D5758" s="44"/>
      <c r="E5758" s="22" t="str">
        <f>IF(D5758&lt;&gt;"",IFERROR(INDEX(Produtos!$C$4:$C$4996,MATCH(D5758,Produtos!$B$4:$B$4996,0)),"Produto não encontrado"),"")</f>
        <v/>
      </c>
    </row>
    <row r="5759" spans="1:5" x14ac:dyDescent="0.3">
      <c r="A5759" s="21" t="str">
        <f t="shared" si="89"/>
        <v>.</v>
      </c>
      <c r="D5759" s="44"/>
      <c r="E5759" s="22" t="str">
        <f>IF(D5759&lt;&gt;"",IFERROR(INDEX(Produtos!$C$4:$C$4996,MATCH(D5759,Produtos!$B$4:$B$4996,0)),"Produto não encontrado"),"")</f>
        <v/>
      </c>
    </row>
    <row r="5760" spans="1:5" x14ac:dyDescent="0.3">
      <c r="A5760" s="21" t="str">
        <f t="shared" ref="A5760:A5823" si="90">IF(C5760="Entrada",2,IF(C5760="Saída",1,"."))</f>
        <v>.</v>
      </c>
      <c r="D5760" s="44"/>
      <c r="E5760" s="22" t="str">
        <f>IF(D5760&lt;&gt;"",IFERROR(INDEX(Produtos!$C$4:$C$4996,MATCH(D5760,Produtos!$B$4:$B$4996,0)),"Produto não encontrado"),"")</f>
        <v/>
      </c>
    </row>
    <row r="5761" spans="1:5" x14ac:dyDescent="0.3">
      <c r="A5761" s="21" t="str">
        <f t="shared" si="90"/>
        <v>.</v>
      </c>
      <c r="D5761" s="44"/>
      <c r="E5761" s="22" t="str">
        <f>IF(D5761&lt;&gt;"",IFERROR(INDEX(Produtos!$C$4:$C$4996,MATCH(D5761,Produtos!$B$4:$B$4996,0)),"Produto não encontrado"),"")</f>
        <v/>
      </c>
    </row>
    <row r="5762" spans="1:5" x14ac:dyDescent="0.3">
      <c r="A5762" s="21" t="str">
        <f t="shared" si="90"/>
        <v>.</v>
      </c>
      <c r="D5762" s="44"/>
      <c r="E5762" s="22" t="str">
        <f>IF(D5762&lt;&gt;"",IFERROR(INDEX(Produtos!$C$4:$C$4996,MATCH(D5762,Produtos!$B$4:$B$4996,0)),"Produto não encontrado"),"")</f>
        <v/>
      </c>
    </row>
    <row r="5763" spans="1:5" x14ac:dyDescent="0.3">
      <c r="A5763" s="21" t="str">
        <f t="shared" si="90"/>
        <v>.</v>
      </c>
      <c r="D5763" s="44"/>
      <c r="E5763" s="22" t="str">
        <f>IF(D5763&lt;&gt;"",IFERROR(INDEX(Produtos!$C$4:$C$4996,MATCH(D5763,Produtos!$B$4:$B$4996,0)),"Produto não encontrado"),"")</f>
        <v/>
      </c>
    </row>
    <row r="5764" spans="1:5" x14ac:dyDescent="0.3">
      <c r="A5764" s="21" t="str">
        <f t="shared" si="90"/>
        <v>.</v>
      </c>
      <c r="D5764" s="44"/>
      <c r="E5764" s="22" t="str">
        <f>IF(D5764&lt;&gt;"",IFERROR(INDEX(Produtos!$C$4:$C$4996,MATCH(D5764,Produtos!$B$4:$B$4996,0)),"Produto não encontrado"),"")</f>
        <v/>
      </c>
    </row>
    <row r="5765" spans="1:5" x14ac:dyDescent="0.3">
      <c r="A5765" s="21" t="str">
        <f t="shared" si="90"/>
        <v>.</v>
      </c>
      <c r="D5765" s="44"/>
      <c r="E5765" s="22" t="str">
        <f>IF(D5765&lt;&gt;"",IFERROR(INDEX(Produtos!$C$4:$C$4996,MATCH(D5765,Produtos!$B$4:$B$4996,0)),"Produto não encontrado"),"")</f>
        <v/>
      </c>
    </row>
    <row r="5766" spans="1:5" x14ac:dyDescent="0.3">
      <c r="A5766" s="21" t="str">
        <f t="shared" si="90"/>
        <v>.</v>
      </c>
      <c r="D5766" s="44"/>
      <c r="E5766" s="22" t="str">
        <f>IF(D5766&lt;&gt;"",IFERROR(INDEX(Produtos!$C$4:$C$4996,MATCH(D5766,Produtos!$B$4:$B$4996,0)),"Produto não encontrado"),"")</f>
        <v/>
      </c>
    </row>
    <row r="5767" spans="1:5" x14ac:dyDescent="0.3">
      <c r="A5767" s="21" t="str">
        <f t="shared" si="90"/>
        <v>.</v>
      </c>
      <c r="D5767" s="44"/>
      <c r="E5767" s="22" t="str">
        <f>IF(D5767&lt;&gt;"",IFERROR(INDEX(Produtos!$C$4:$C$4996,MATCH(D5767,Produtos!$B$4:$B$4996,0)),"Produto não encontrado"),"")</f>
        <v/>
      </c>
    </row>
    <row r="5768" spans="1:5" x14ac:dyDescent="0.3">
      <c r="A5768" s="21" t="str">
        <f t="shared" si="90"/>
        <v>.</v>
      </c>
      <c r="D5768" s="44"/>
      <c r="E5768" s="22" t="str">
        <f>IF(D5768&lt;&gt;"",IFERROR(INDEX(Produtos!$C$4:$C$4996,MATCH(D5768,Produtos!$B$4:$B$4996,0)),"Produto não encontrado"),"")</f>
        <v/>
      </c>
    </row>
    <row r="5769" spans="1:5" x14ac:dyDescent="0.3">
      <c r="A5769" s="21" t="str">
        <f t="shared" si="90"/>
        <v>.</v>
      </c>
      <c r="D5769" s="44"/>
      <c r="E5769" s="22" t="str">
        <f>IF(D5769&lt;&gt;"",IFERROR(INDEX(Produtos!$C$4:$C$4996,MATCH(D5769,Produtos!$B$4:$B$4996,0)),"Produto não encontrado"),"")</f>
        <v/>
      </c>
    </row>
    <row r="5770" spans="1:5" x14ac:dyDescent="0.3">
      <c r="A5770" s="21" t="str">
        <f t="shared" si="90"/>
        <v>.</v>
      </c>
      <c r="D5770" s="44"/>
      <c r="E5770" s="22" t="str">
        <f>IF(D5770&lt;&gt;"",IFERROR(INDEX(Produtos!$C$4:$C$4996,MATCH(D5770,Produtos!$B$4:$B$4996,0)),"Produto não encontrado"),"")</f>
        <v/>
      </c>
    </row>
    <row r="5771" spans="1:5" x14ac:dyDescent="0.3">
      <c r="A5771" s="21" t="str">
        <f t="shared" si="90"/>
        <v>.</v>
      </c>
      <c r="D5771" s="44"/>
      <c r="E5771" s="22" t="str">
        <f>IF(D5771&lt;&gt;"",IFERROR(INDEX(Produtos!$C$4:$C$4996,MATCH(D5771,Produtos!$B$4:$B$4996,0)),"Produto não encontrado"),"")</f>
        <v/>
      </c>
    </row>
    <row r="5772" spans="1:5" x14ac:dyDescent="0.3">
      <c r="A5772" s="21" t="str">
        <f t="shared" si="90"/>
        <v>.</v>
      </c>
      <c r="D5772" s="44"/>
      <c r="E5772" s="22" t="str">
        <f>IF(D5772&lt;&gt;"",IFERROR(INDEX(Produtos!$C$4:$C$4996,MATCH(D5772,Produtos!$B$4:$B$4996,0)),"Produto não encontrado"),"")</f>
        <v/>
      </c>
    </row>
    <row r="5773" spans="1:5" x14ac:dyDescent="0.3">
      <c r="A5773" s="21" t="str">
        <f t="shared" si="90"/>
        <v>.</v>
      </c>
      <c r="D5773" s="44"/>
      <c r="E5773" s="22" t="str">
        <f>IF(D5773&lt;&gt;"",IFERROR(INDEX(Produtos!$C$4:$C$4996,MATCH(D5773,Produtos!$B$4:$B$4996,0)),"Produto não encontrado"),"")</f>
        <v/>
      </c>
    </row>
    <row r="5774" spans="1:5" x14ac:dyDescent="0.3">
      <c r="A5774" s="21" t="str">
        <f t="shared" si="90"/>
        <v>.</v>
      </c>
      <c r="D5774" s="44"/>
      <c r="E5774" s="22" t="str">
        <f>IF(D5774&lt;&gt;"",IFERROR(INDEX(Produtos!$C$4:$C$4996,MATCH(D5774,Produtos!$B$4:$B$4996,0)),"Produto não encontrado"),"")</f>
        <v/>
      </c>
    </row>
    <row r="5775" spans="1:5" x14ac:dyDescent="0.3">
      <c r="A5775" s="21" t="str">
        <f t="shared" si="90"/>
        <v>.</v>
      </c>
      <c r="D5775" s="44"/>
      <c r="E5775" s="22" t="str">
        <f>IF(D5775&lt;&gt;"",IFERROR(INDEX(Produtos!$C$4:$C$4996,MATCH(D5775,Produtos!$B$4:$B$4996,0)),"Produto não encontrado"),"")</f>
        <v/>
      </c>
    </row>
    <row r="5776" spans="1:5" x14ac:dyDescent="0.3">
      <c r="A5776" s="21" t="str">
        <f t="shared" si="90"/>
        <v>.</v>
      </c>
      <c r="D5776" s="44"/>
      <c r="E5776" s="22" t="str">
        <f>IF(D5776&lt;&gt;"",IFERROR(INDEX(Produtos!$C$4:$C$4996,MATCH(D5776,Produtos!$B$4:$B$4996,0)),"Produto não encontrado"),"")</f>
        <v/>
      </c>
    </row>
    <row r="5777" spans="1:5" x14ac:dyDescent="0.3">
      <c r="A5777" s="21" t="str">
        <f t="shared" si="90"/>
        <v>.</v>
      </c>
      <c r="D5777" s="44"/>
      <c r="E5777" s="22" t="str">
        <f>IF(D5777&lt;&gt;"",IFERROR(INDEX(Produtos!$C$4:$C$4996,MATCH(D5777,Produtos!$B$4:$B$4996,0)),"Produto não encontrado"),"")</f>
        <v/>
      </c>
    </row>
    <row r="5778" spans="1:5" x14ac:dyDescent="0.3">
      <c r="A5778" s="21" t="str">
        <f t="shared" si="90"/>
        <v>.</v>
      </c>
      <c r="D5778" s="44"/>
      <c r="E5778" s="22" t="str">
        <f>IF(D5778&lt;&gt;"",IFERROR(INDEX(Produtos!$C$4:$C$4996,MATCH(D5778,Produtos!$B$4:$B$4996,0)),"Produto não encontrado"),"")</f>
        <v/>
      </c>
    </row>
    <row r="5779" spans="1:5" x14ac:dyDescent="0.3">
      <c r="A5779" s="21" t="str">
        <f t="shared" si="90"/>
        <v>.</v>
      </c>
      <c r="D5779" s="44"/>
      <c r="E5779" s="22" t="str">
        <f>IF(D5779&lt;&gt;"",IFERROR(INDEX(Produtos!$C$4:$C$4996,MATCH(D5779,Produtos!$B$4:$B$4996,0)),"Produto não encontrado"),"")</f>
        <v/>
      </c>
    </row>
    <row r="5780" spans="1:5" x14ac:dyDescent="0.3">
      <c r="A5780" s="21" t="str">
        <f t="shared" si="90"/>
        <v>.</v>
      </c>
      <c r="D5780" s="44"/>
      <c r="E5780" s="22" t="str">
        <f>IF(D5780&lt;&gt;"",IFERROR(INDEX(Produtos!$C$4:$C$4996,MATCH(D5780,Produtos!$B$4:$B$4996,0)),"Produto não encontrado"),"")</f>
        <v/>
      </c>
    </row>
    <row r="5781" spans="1:5" x14ac:dyDescent="0.3">
      <c r="A5781" s="21" t="str">
        <f t="shared" si="90"/>
        <v>.</v>
      </c>
      <c r="D5781" s="44"/>
      <c r="E5781" s="22" t="str">
        <f>IF(D5781&lt;&gt;"",IFERROR(INDEX(Produtos!$C$4:$C$4996,MATCH(D5781,Produtos!$B$4:$B$4996,0)),"Produto não encontrado"),"")</f>
        <v/>
      </c>
    </row>
    <row r="5782" spans="1:5" x14ac:dyDescent="0.3">
      <c r="A5782" s="21" t="str">
        <f t="shared" si="90"/>
        <v>.</v>
      </c>
      <c r="D5782" s="44"/>
      <c r="E5782" s="22" t="str">
        <f>IF(D5782&lt;&gt;"",IFERROR(INDEX(Produtos!$C$4:$C$4996,MATCH(D5782,Produtos!$B$4:$B$4996,0)),"Produto não encontrado"),"")</f>
        <v/>
      </c>
    </row>
    <row r="5783" spans="1:5" x14ac:dyDescent="0.3">
      <c r="A5783" s="21" t="str">
        <f t="shared" si="90"/>
        <v>.</v>
      </c>
      <c r="D5783" s="44"/>
      <c r="E5783" s="22" t="str">
        <f>IF(D5783&lt;&gt;"",IFERROR(INDEX(Produtos!$C$4:$C$4996,MATCH(D5783,Produtos!$B$4:$B$4996,0)),"Produto não encontrado"),"")</f>
        <v/>
      </c>
    </row>
    <row r="5784" spans="1:5" x14ac:dyDescent="0.3">
      <c r="A5784" s="21" t="str">
        <f t="shared" si="90"/>
        <v>.</v>
      </c>
      <c r="D5784" s="44"/>
      <c r="E5784" s="22" t="str">
        <f>IF(D5784&lt;&gt;"",IFERROR(INDEX(Produtos!$C$4:$C$4996,MATCH(D5784,Produtos!$B$4:$B$4996,0)),"Produto não encontrado"),"")</f>
        <v/>
      </c>
    </row>
    <row r="5785" spans="1:5" x14ac:dyDescent="0.3">
      <c r="A5785" s="21" t="str">
        <f t="shared" si="90"/>
        <v>.</v>
      </c>
      <c r="D5785" s="44"/>
      <c r="E5785" s="22" t="str">
        <f>IF(D5785&lt;&gt;"",IFERROR(INDEX(Produtos!$C$4:$C$4996,MATCH(D5785,Produtos!$B$4:$B$4996,0)),"Produto não encontrado"),"")</f>
        <v/>
      </c>
    </row>
    <row r="5786" spans="1:5" x14ac:dyDescent="0.3">
      <c r="A5786" s="21" t="str">
        <f t="shared" si="90"/>
        <v>.</v>
      </c>
      <c r="D5786" s="44"/>
      <c r="E5786" s="22" t="str">
        <f>IF(D5786&lt;&gt;"",IFERROR(INDEX(Produtos!$C$4:$C$4996,MATCH(D5786,Produtos!$B$4:$B$4996,0)),"Produto não encontrado"),"")</f>
        <v/>
      </c>
    </row>
    <row r="5787" spans="1:5" x14ac:dyDescent="0.3">
      <c r="A5787" s="21" t="str">
        <f t="shared" si="90"/>
        <v>.</v>
      </c>
      <c r="D5787" s="44"/>
      <c r="E5787" s="22" t="str">
        <f>IF(D5787&lt;&gt;"",IFERROR(INDEX(Produtos!$C$4:$C$4996,MATCH(D5787,Produtos!$B$4:$B$4996,0)),"Produto não encontrado"),"")</f>
        <v/>
      </c>
    </row>
    <row r="5788" spans="1:5" x14ac:dyDescent="0.3">
      <c r="A5788" s="21" t="str">
        <f t="shared" si="90"/>
        <v>.</v>
      </c>
      <c r="D5788" s="44"/>
      <c r="E5788" s="22" t="str">
        <f>IF(D5788&lt;&gt;"",IFERROR(INDEX(Produtos!$C$4:$C$4996,MATCH(D5788,Produtos!$B$4:$B$4996,0)),"Produto não encontrado"),"")</f>
        <v/>
      </c>
    </row>
    <row r="5789" spans="1:5" x14ac:dyDescent="0.3">
      <c r="A5789" s="21" t="str">
        <f t="shared" si="90"/>
        <v>.</v>
      </c>
      <c r="D5789" s="44"/>
      <c r="E5789" s="22" t="str">
        <f>IF(D5789&lt;&gt;"",IFERROR(INDEX(Produtos!$C$4:$C$4996,MATCH(D5789,Produtos!$B$4:$B$4996,0)),"Produto não encontrado"),"")</f>
        <v/>
      </c>
    </row>
    <row r="5790" spans="1:5" x14ac:dyDescent="0.3">
      <c r="A5790" s="21" t="str">
        <f t="shared" si="90"/>
        <v>.</v>
      </c>
      <c r="D5790" s="44"/>
      <c r="E5790" s="22" t="str">
        <f>IF(D5790&lt;&gt;"",IFERROR(INDEX(Produtos!$C$4:$C$4996,MATCH(D5790,Produtos!$B$4:$B$4996,0)),"Produto não encontrado"),"")</f>
        <v/>
      </c>
    </row>
    <row r="5791" spans="1:5" x14ac:dyDescent="0.3">
      <c r="A5791" s="21" t="str">
        <f t="shared" si="90"/>
        <v>.</v>
      </c>
      <c r="D5791" s="44"/>
      <c r="E5791" s="22" t="str">
        <f>IF(D5791&lt;&gt;"",IFERROR(INDEX(Produtos!$C$4:$C$4996,MATCH(D5791,Produtos!$B$4:$B$4996,0)),"Produto não encontrado"),"")</f>
        <v/>
      </c>
    </row>
    <row r="5792" spans="1:5" x14ac:dyDescent="0.3">
      <c r="A5792" s="21" t="str">
        <f t="shared" si="90"/>
        <v>.</v>
      </c>
      <c r="D5792" s="44"/>
      <c r="E5792" s="22" t="str">
        <f>IF(D5792&lt;&gt;"",IFERROR(INDEX(Produtos!$C$4:$C$4996,MATCH(D5792,Produtos!$B$4:$B$4996,0)),"Produto não encontrado"),"")</f>
        <v/>
      </c>
    </row>
    <row r="5793" spans="1:5" x14ac:dyDescent="0.3">
      <c r="A5793" s="21" t="str">
        <f t="shared" si="90"/>
        <v>.</v>
      </c>
      <c r="D5793" s="44"/>
      <c r="E5793" s="22" t="str">
        <f>IF(D5793&lt;&gt;"",IFERROR(INDEX(Produtos!$C$4:$C$4996,MATCH(D5793,Produtos!$B$4:$B$4996,0)),"Produto não encontrado"),"")</f>
        <v/>
      </c>
    </row>
    <row r="5794" spans="1:5" x14ac:dyDescent="0.3">
      <c r="A5794" s="21" t="str">
        <f t="shared" si="90"/>
        <v>.</v>
      </c>
      <c r="D5794" s="44"/>
      <c r="E5794" s="22" t="str">
        <f>IF(D5794&lt;&gt;"",IFERROR(INDEX(Produtos!$C$4:$C$4996,MATCH(D5794,Produtos!$B$4:$B$4996,0)),"Produto não encontrado"),"")</f>
        <v/>
      </c>
    </row>
    <row r="5795" spans="1:5" x14ac:dyDescent="0.3">
      <c r="A5795" s="21" t="str">
        <f t="shared" si="90"/>
        <v>.</v>
      </c>
      <c r="D5795" s="44"/>
      <c r="E5795" s="22" t="str">
        <f>IF(D5795&lt;&gt;"",IFERROR(INDEX(Produtos!$C$4:$C$4996,MATCH(D5795,Produtos!$B$4:$B$4996,0)),"Produto não encontrado"),"")</f>
        <v/>
      </c>
    </row>
    <row r="5796" spans="1:5" x14ac:dyDescent="0.3">
      <c r="A5796" s="21" t="str">
        <f t="shared" si="90"/>
        <v>.</v>
      </c>
      <c r="D5796" s="44"/>
      <c r="E5796" s="22" t="str">
        <f>IF(D5796&lt;&gt;"",IFERROR(INDEX(Produtos!$C$4:$C$4996,MATCH(D5796,Produtos!$B$4:$B$4996,0)),"Produto não encontrado"),"")</f>
        <v/>
      </c>
    </row>
    <row r="5797" spans="1:5" x14ac:dyDescent="0.3">
      <c r="A5797" s="21" t="str">
        <f t="shared" si="90"/>
        <v>.</v>
      </c>
      <c r="D5797" s="44"/>
      <c r="E5797" s="22" t="str">
        <f>IF(D5797&lt;&gt;"",IFERROR(INDEX(Produtos!$C$4:$C$4996,MATCH(D5797,Produtos!$B$4:$B$4996,0)),"Produto não encontrado"),"")</f>
        <v/>
      </c>
    </row>
    <row r="5798" spans="1:5" x14ac:dyDescent="0.3">
      <c r="A5798" s="21" t="str">
        <f t="shared" si="90"/>
        <v>.</v>
      </c>
      <c r="D5798" s="44"/>
      <c r="E5798" s="22" t="str">
        <f>IF(D5798&lt;&gt;"",IFERROR(INDEX(Produtos!$C$4:$C$4996,MATCH(D5798,Produtos!$B$4:$B$4996,0)),"Produto não encontrado"),"")</f>
        <v/>
      </c>
    </row>
    <row r="5799" spans="1:5" x14ac:dyDescent="0.3">
      <c r="A5799" s="21" t="str">
        <f t="shared" si="90"/>
        <v>.</v>
      </c>
      <c r="D5799" s="44"/>
      <c r="E5799" s="22" t="str">
        <f>IF(D5799&lt;&gt;"",IFERROR(INDEX(Produtos!$C$4:$C$4996,MATCH(D5799,Produtos!$B$4:$B$4996,0)),"Produto não encontrado"),"")</f>
        <v/>
      </c>
    </row>
    <row r="5800" spans="1:5" x14ac:dyDescent="0.3">
      <c r="A5800" s="21" t="str">
        <f t="shared" si="90"/>
        <v>.</v>
      </c>
      <c r="D5800" s="44"/>
      <c r="E5800" s="22" t="str">
        <f>IF(D5800&lt;&gt;"",IFERROR(INDEX(Produtos!$C$4:$C$4996,MATCH(D5800,Produtos!$B$4:$B$4996,0)),"Produto não encontrado"),"")</f>
        <v/>
      </c>
    </row>
    <row r="5801" spans="1:5" x14ac:dyDescent="0.3">
      <c r="A5801" s="21" t="str">
        <f t="shared" si="90"/>
        <v>.</v>
      </c>
      <c r="D5801" s="44"/>
      <c r="E5801" s="22" t="str">
        <f>IF(D5801&lt;&gt;"",IFERROR(INDEX(Produtos!$C$4:$C$4996,MATCH(D5801,Produtos!$B$4:$B$4996,0)),"Produto não encontrado"),"")</f>
        <v/>
      </c>
    </row>
    <row r="5802" spans="1:5" x14ac:dyDescent="0.3">
      <c r="A5802" s="21" t="str">
        <f t="shared" si="90"/>
        <v>.</v>
      </c>
      <c r="D5802" s="44"/>
      <c r="E5802" s="22" t="str">
        <f>IF(D5802&lt;&gt;"",IFERROR(INDEX(Produtos!$C$4:$C$4996,MATCH(D5802,Produtos!$B$4:$B$4996,0)),"Produto não encontrado"),"")</f>
        <v/>
      </c>
    </row>
    <row r="5803" spans="1:5" x14ac:dyDescent="0.3">
      <c r="A5803" s="21" t="str">
        <f t="shared" si="90"/>
        <v>.</v>
      </c>
      <c r="D5803" s="44"/>
      <c r="E5803" s="22" t="str">
        <f>IF(D5803&lt;&gt;"",IFERROR(INDEX(Produtos!$C$4:$C$4996,MATCH(D5803,Produtos!$B$4:$B$4996,0)),"Produto não encontrado"),"")</f>
        <v/>
      </c>
    </row>
    <row r="5804" spans="1:5" x14ac:dyDescent="0.3">
      <c r="A5804" s="21" t="str">
        <f t="shared" si="90"/>
        <v>.</v>
      </c>
      <c r="D5804" s="44"/>
      <c r="E5804" s="22" t="str">
        <f>IF(D5804&lt;&gt;"",IFERROR(INDEX(Produtos!$C$4:$C$4996,MATCH(D5804,Produtos!$B$4:$B$4996,0)),"Produto não encontrado"),"")</f>
        <v/>
      </c>
    </row>
    <row r="5805" spans="1:5" x14ac:dyDescent="0.3">
      <c r="A5805" s="21" t="str">
        <f t="shared" si="90"/>
        <v>.</v>
      </c>
      <c r="D5805" s="44"/>
      <c r="E5805" s="22" t="str">
        <f>IF(D5805&lt;&gt;"",IFERROR(INDEX(Produtos!$C$4:$C$4996,MATCH(D5805,Produtos!$B$4:$B$4996,0)),"Produto não encontrado"),"")</f>
        <v/>
      </c>
    </row>
    <row r="5806" spans="1:5" x14ac:dyDescent="0.3">
      <c r="A5806" s="21" t="str">
        <f t="shared" si="90"/>
        <v>.</v>
      </c>
      <c r="D5806" s="44"/>
      <c r="E5806" s="22" t="str">
        <f>IF(D5806&lt;&gt;"",IFERROR(INDEX(Produtos!$C$4:$C$4996,MATCH(D5806,Produtos!$B$4:$B$4996,0)),"Produto não encontrado"),"")</f>
        <v/>
      </c>
    </row>
    <row r="5807" spans="1:5" x14ac:dyDescent="0.3">
      <c r="A5807" s="21" t="str">
        <f t="shared" si="90"/>
        <v>.</v>
      </c>
      <c r="D5807" s="44"/>
      <c r="E5807" s="22" t="str">
        <f>IF(D5807&lt;&gt;"",IFERROR(INDEX(Produtos!$C$4:$C$4996,MATCH(D5807,Produtos!$B$4:$B$4996,0)),"Produto não encontrado"),"")</f>
        <v/>
      </c>
    </row>
    <row r="5808" spans="1:5" x14ac:dyDescent="0.3">
      <c r="A5808" s="21" t="str">
        <f t="shared" si="90"/>
        <v>.</v>
      </c>
      <c r="D5808" s="44"/>
      <c r="E5808" s="22" t="str">
        <f>IF(D5808&lt;&gt;"",IFERROR(INDEX(Produtos!$C$4:$C$4996,MATCH(D5808,Produtos!$B$4:$B$4996,0)),"Produto não encontrado"),"")</f>
        <v/>
      </c>
    </row>
    <row r="5809" spans="1:5" x14ac:dyDescent="0.3">
      <c r="A5809" s="21" t="str">
        <f t="shared" si="90"/>
        <v>.</v>
      </c>
      <c r="D5809" s="44"/>
      <c r="E5809" s="22" t="str">
        <f>IF(D5809&lt;&gt;"",IFERROR(INDEX(Produtos!$C$4:$C$4996,MATCH(D5809,Produtos!$B$4:$B$4996,0)),"Produto não encontrado"),"")</f>
        <v/>
      </c>
    </row>
    <row r="5810" spans="1:5" x14ac:dyDescent="0.3">
      <c r="A5810" s="21" t="str">
        <f t="shared" si="90"/>
        <v>.</v>
      </c>
      <c r="D5810" s="44"/>
      <c r="E5810" s="22" t="str">
        <f>IF(D5810&lt;&gt;"",IFERROR(INDEX(Produtos!$C$4:$C$4996,MATCH(D5810,Produtos!$B$4:$B$4996,0)),"Produto não encontrado"),"")</f>
        <v/>
      </c>
    </row>
    <row r="5811" spans="1:5" x14ac:dyDescent="0.3">
      <c r="A5811" s="21" t="str">
        <f t="shared" si="90"/>
        <v>.</v>
      </c>
      <c r="D5811" s="44"/>
      <c r="E5811" s="22" t="str">
        <f>IF(D5811&lt;&gt;"",IFERROR(INDEX(Produtos!$C$4:$C$4996,MATCH(D5811,Produtos!$B$4:$B$4996,0)),"Produto não encontrado"),"")</f>
        <v/>
      </c>
    </row>
    <row r="5812" spans="1:5" x14ac:dyDescent="0.3">
      <c r="A5812" s="21" t="str">
        <f t="shared" si="90"/>
        <v>.</v>
      </c>
      <c r="D5812" s="44"/>
      <c r="E5812" s="22" t="str">
        <f>IF(D5812&lt;&gt;"",IFERROR(INDEX(Produtos!$C$4:$C$4996,MATCH(D5812,Produtos!$B$4:$B$4996,0)),"Produto não encontrado"),"")</f>
        <v/>
      </c>
    </row>
    <row r="5813" spans="1:5" x14ac:dyDescent="0.3">
      <c r="A5813" s="21" t="str">
        <f t="shared" si="90"/>
        <v>.</v>
      </c>
      <c r="D5813" s="44"/>
      <c r="E5813" s="22" t="str">
        <f>IF(D5813&lt;&gt;"",IFERROR(INDEX(Produtos!$C$4:$C$4996,MATCH(D5813,Produtos!$B$4:$B$4996,0)),"Produto não encontrado"),"")</f>
        <v/>
      </c>
    </row>
    <row r="5814" spans="1:5" x14ac:dyDescent="0.3">
      <c r="A5814" s="21" t="str">
        <f t="shared" si="90"/>
        <v>.</v>
      </c>
      <c r="D5814" s="44"/>
      <c r="E5814" s="22" t="str">
        <f>IF(D5814&lt;&gt;"",IFERROR(INDEX(Produtos!$C$4:$C$4996,MATCH(D5814,Produtos!$B$4:$B$4996,0)),"Produto não encontrado"),"")</f>
        <v/>
      </c>
    </row>
    <row r="5815" spans="1:5" x14ac:dyDescent="0.3">
      <c r="A5815" s="21" t="str">
        <f t="shared" si="90"/>
        <v>.</v>
      </c>
      <c r="D5815" s="44"/>
      <c r="E5815" s="22" t="str">
        <f>IF(D5815&lt;&gt;"",IFERROR(INDEX(Produtos!$C$4:$C$4996,MATCH(D5815,Produtos!$B$4:$B$4996,0)),"Produto não encontrado"),"")</f>
        <v/>
      </c>
    </row>
    <row r="5816" spans="1:5" x14ac:dyDescent="0.3">
      <c r="A5816" s="21" t="str">
        <f t="shared" si="90"/>
        <v>.</v>
      </c>
      <c r="D5816" s="44"/>
      <c r="E5816" s="22" t="str">
        <f>IF(D5816&lt;&gt;"",IFERROR(INDEX(Produtos!$C$4:$C$4996,MATCH(D5816,Produtos!$B$4:$B$4996,0)),"Produto não encontrado"),"")</f>
        <v/>
      </c>
    </row>
    <row r="5817" spans="1:5" x14ac:dyDescent="0.3">
      <c r="A5817" s="21" t="str">
        <f t="shared" si="90"/>
        <v>.</v>
      </c>
      <c r="D5817" s="44"/>
      <c r="E5817" s="22" t="str">
        <f>IF(D5817&lt;&gt;"",IFERROR(INDEX(Produtos!$C$4:$C$4996,MATCH(D5817,Produtos!$B$4:$B$4996,0)),"Produto não encontrado"),"")</f>
        <v/>
      </c>
    </row>
    <row r="5818" spans="1:5" x14ac:dyDescent="0.3">
      <c r="A5818" s="21" t="str">
        <f t="shared" si="90"/>
        <v>.</v>
      </c>
      <c r="D5818" s="44"/>
      <c r="E5818" s="22" t="str">
        <f>IF(D5818&lt;&gt;"",IFERROR(INDEX(Produtos!$C$4:$C$4996,MATCH(D5818,Produtos!$B$4:$B$4996,0)),"Produto não encontrado"),"")</f>
        <v/>
      </c>
    </row>
    <row r="5819" spans="1:5" x14ac:dyDescent="0.3">
      <c r="A5819" s="21" t="str">
        <f t="shared" si="90"/>
        <v>.</v>
      </c>
      <c r="D5819" s="44"/>
      <c r="E5819" s="22" t="str">
        <f>IF(D5819&lt;&gt;"",IFERROR(INDEX(Produtos!$C$4:$C$4996,MATCH(D5819,Produtos!$B$4:$B$4996,0)),"Produto não encontrado"),"")</f>
        <v/>
      </c>
    </row>
    <row r="5820" spans="1:5" x14ac:dyDescent="0.3">
      <c r="A5820" s="21" t="str">
        <f t="shared" si="90"/>
        <v>.</v>
      </c>
      <c r="D5820" s="44"/>
      <c r="E5820" s="22" t="str">
        <f>IF(D5820&lt;&gt;"",IFERROR(INDEX(Produtos!$C$4:$C$4996,MATCH(D5820,Produtos!$B$4:$B$4996,0)),"Produto não encontrado"),"")</f>
        <v/>
      </c>
    </row>
    <row r="5821" spans="1:5" x14ac:dyDescent="0.3">
      <c r="A5821" s="21" t="str">
        <f t="shared" si="90"/>
        <v>.</v>
      </c>
      <c r="D5821" s="44"/>
      <c r="E5821" s="22" t="str">
        <f>IF(D5821&lt;&gt;"",IFERROR(INDEX(Produtos!$C$4:$C$4996,MATCH(D5821,Produtos!$B$4:$B$4996,0)),"Produto não encontrado"),"")</f>
        <v/>
      </c>
    </row>
    <row r="5822" spans="1:5" x14ac:dyDescent="0.3">
      <c r="A5822" s="21" t="str">
        <f t="shared" si="90"/>
        <v>.</v>
      </c>
      <c r="D5822" s="44"/>
      <c r="E5822" s="22" t="str">
        <f>IF(D5822&lt;&gt;"",IFERROR(INDEX(Produtos!$C$4:$C$4996,MATCH(D5822,Produtos!$B$4:$B$4996,0)),"Produto não encontrado"),"")</f>
        <v/>
      </c>
    </row>
    <row r="5823" spans="1:5" x14ac:dyDescent="0.3">
      <c r="A5823" s="21" t="str">
        <f t="shared" si="90"/>
        <v>.</v>
      </c>
      <c r="D5823" s="44"/>
      <c r="E5823" s="22" t="str">
        <f>IF(D5823&lt;&gt;"",IFERROR(INDEX(Produtos!$C$4:$C$4996,MATCH(D5823,Produtos!$B$4:$B$4996,0)),"Produto não encontrado"),"")</f>
        <v/>
      </c>
    </row>
    <row r="5824" spans="1:5" x14ac:dyDescent="0.3">
      <c r="A5824" s="21" t="str">
        <f t="shared" ref="A5824:A5887" si="91">IF(C5824="Entrada",2,IF(C5824="Saída",1,"."))</f>
        <v>.</v>
      </c>
      <c r="D5824" s="44"/>
      <c r="E5824" s="22" t="str">
        <f>IF(D5824&lt;&gt;"",IFERROR(INDEX(Produtos!$C$4:$C$4996,MATCH(D5824,Produtos!$B$4:$B$4996,0)),"Produto não encontrado"),"")</f>
        <v/>
      </c>
    </row>
    <row r="5825" spans="1:5" x14ac:dyDescent="0.3">
      <c r="A5825" s="21" t="str">
        <f t="shared" si="91"/>
        <v>.</v>
      </c>
      <c r="D5825" s="44"/>
      <c r="E5825" s="22" t="str">
        <f>IF(D5825&lt;&gt;"",IFERROR(INDEX(Produtos!$C$4:$C$4996,MATCH(D5825,Produtos!$B$4:$B$4996,0)),"Produto não encontrado"),"")</f>
        <v/>
      </c>
    </row>
    <row r="5826" spans="1:5" x14ac:dyDescent="0.3">
      <c r="A5826" s="21" t="str">
        <f t="shared" si="91"/>
        <v>.</v>
      </c>
      <c r="D5826" s="44"/>
      <c r="E5826" s="22" t="str">
        <f>IF(D5826&lt;&gt;"",IFERROR(INDEX(Produtos!$C$4:$C$4996,MATCH(D5826,Produtos!$B$4:$B$4996,0)),"Produto não encontrado"),"")</f>
        <v/>
      </c>
    </row>
    <row r="5827" spans="1:5" x14ac:dyDescent="0.3">
      <c r="A5827" s="21" t="str">
        <f t="shared" si="91"/>
        <v>.</v>
      </c>
      <c r="D5827" s="44"/>
      <c r="E5827" s="22" t="str">
        <f>IF(D5827&lt;&gt;"",IFERROR(INDEX(Produtos!$C$4:$C$4996,MATCH(D5827,Produtos!$B$4:$B$4996,0)),"Produto não encontrado"),"")</f>
        <v/>
      </c>
    </row>
    <row r="5828" spans="1:5" x14ac:dyDescent="0.3">
      <c r="A5828" s="21" t="str">
        <f t="shared" si="91"/>
        <v>.</v>
      </c>
      <c r="D5828" s="44"/>
      <c r="E5828" s="22" t="str">
        <f>IF(D5828&lt;&gt;"",IFERROR(INDEX(Produtos!$C$4:$C$4996,MATCH(D5828,Produtos!$B$4:$B$4996,0)),"Produto não encontrado"),"")</f>
        <v/>
      </c>
    </row>
    <row r="5829" spans="1:5" x14ac:dyDescent="0.3">
      <c r="A5829" s="21" t="str">
        <f t="shared" si="91"/>
        <v>.</v>
      </c>
      <c r="D5829" s="44"/>
      <c r="E5829" s="22" t="str">
        <f>IF(D5829&lt;&gt;"",IFERROR(INDEX(Produtos!$C$4:$C$4996,MATCH(D5829,Produtos!$B$4:$B$4996,0)),"Produto não encontrado"),"")</f>
        <v/>
      </c>
    </row>
    <row r="5830" spans="1:5" x14ac:dyDescent="0.3">
      <c r="A5830" s="21" t="str">
        <f t="shared" si="91"/>
        <v>.</v>
      </c>
      <c r="D5830" s="44"/>
      <c r="E5830" s="22" t="str">
        <f>IF(D5830&lt;&gt;"",IFERROR(INDEX(Produtos!$C$4:$C$4996,MATCH(D5830,Produtos!$B$4:$B$4996,0)),"Produto não encontrado"),"")</f>
        <v/>
      </c>
    </row>
    <row r="5831" spans="1:5" x14ac:dyDescent="0.3">
      <c r="A5831" s="21" t="str">
        <f t="shared" si="91"/>
        <v>.</v>
      </c>
      <c r="D5831" s="44"/>
      <c r="E5831" s="22" t="str">
        <f>IF(D5831&lt;&gt;"",IFERROR(INDEX(Produtos!$C$4:$C$4996,MATCH(D5831,Produtos!$B$4:$B$4996,0)),"Produto não encontrado"),"")</f>
        <v/>
      </c>
    </row>
    <row r="5832" spans="1:5" x14ac:dyDescent="0.3">
      <c r="A5832" s="21" t="str">
        <f t="shared" si="91"/>
        <v>.</v>
      </c>
      <c r="D5832" s="44"/>
      <c r="E5832" s="22" t="str">
        <f>IF(D5832&lt;&gt;"",IFERROR(INDEX(Produtos!$C$4:$C$4996,MATCH(D5832,Produtos!$B$4:$B$4996,0)),"Produto não encontrado"),"")</f>
        <v/>
      </c>
    </row>
    <row r="5833" spans="1:5" x14ac:dyDescent="0.3">
      <c r="A5833" s="21" t="str">
        <f t="shared" si="91"/>
        <v>.</v>
      </c>
      <c r="D5833" s="44"/>
      <c r="E5833" s="22" t="str">
        <f>IF(D5833&lt;&gt;"",IFERROR(INDEX(Produtos!$C$4:$C$4996,MATCH(D5833,Produtos!$B$4:$B$4996,0)),"Produto não encontrado"),"")</f>
        <v/>
      </c>
    </row>
    <row r="5834" spans="1:5" x14ac:dyDescent="0.3">
      <c r="A5834" s="21" t="str">
        <f t="shared" si="91"/>
        <v>.</v>
      </c>
      <c r="D5834" s="44"/>
      <c r="E5834" s="22" t="str">
        <f>IF(D5834&lt;&gt;"",IFERROR(INDEX(Produtos!$C$4:$C$4996,MATCH(D5834,Produtos!$B$4:$B$4996,0)),"Produto não encontrado"),"")</f>
        <v/>
      </c>
    </row>
    <row r="5835" spans="1:5" x14ac:dyDescent="0.3">
      <c r="A5835" s="21" t="str">
        <f t="shared" si="91"/>
        <v>.</v>
      </c>
      <c r="D5835" s="44"/>
      <c r="E5835" s="22" t="str">
        <f>IF(D5835&lt;&gt;"",IFERROR(INDEX(Produtos!$C$4:$C$4996,MATCH(D5835,Produtos!$B$4:$B$4996,0)),"Produto não encontrado"),"")</f>
        <v/>
      </c>
    </row>
    <row r="5836" spans="1:5" x14ac:dyDescent="0.3">
      <c r="A5836" s="21" t="str">
        <f t="shared" si="91"/>
        <v>.</v>
      </c>
      <c r="D5836" s="44"/>
      <c r="E5836" s="22" t="str">
        <f>IF(D5836&lt;&gt;"",IFERROR(INDEX(Produtos!$C$4:$C$4996,MATCH(D5836,Produtos!$B$4:$B$4996,0)),"Produto não encontrado"),"")</f>
        <v/>
      </c>
    </row>
    <row r="5837" spans="1:5" x14ac:dyDescent="0.3">
      <c r="A5837" s="21" t="str">
        <f t="shared" si="91"/>
        <v>.</v>
      </c>
      <c r="D5837" s="44"/>
      <c r="E5837" s="22" t="str">
        <f>IF(D5837&lt;&gt;"",IFERROR(INDEX(Produtos!$C$4:$C$4996,MATCH(D5837,Produtos!$B$4:$B$4996,0)),"Produto não encontrado"),"")</f>
        <v/>
      </c>
    </row>
    <row r="5838" spans="1:5" x14ac:dyDescent="0.3">
      <c r="A5838" s="21" t="str">
        <f t="shared" si="91"/>
        <v>.</v>
      </c>
      <c r="D5838" s="44"/>
      <c r="E5838" s="22" t="str">
        <f>IF(D5838&lt;&gt;"",IFERROR(INDEX(Produtos!$C$4:$C$4996,MATCH(D5838,Produtos!$B$4:$B$4996,0)),"Produto não encontrado"),"")</f>
        <v/>
      </c>
    </row>
    <row r="5839" spans="1:5" x14ac:dyDescent="0.3">
      <c r="A5839" s="21" t="str">
        <f t="shared" si="91"/>
        <v>.</v>
      </c>
      <c r="D5839" s="44"/>
      <c r="E5839" s="22" t="str">
        <f>IF(D5839&lt;&gt;"",IFERROR(INDEX(Produtos!$C$4:$C$4996,MATCH(D5839,Produtos!$B$4:$B$4996,0)),"Produto não encontrado"),"")</f>
        <v/>
      </c>
    </row>
    <row r="5840" spans="1:5" x14ac:dyDescent="0.3">
      <c r="A5840" s="21" t="str">
        <f t="shared" si="91"/>
        <v>.</v>
      </c>
      <c r="D5840" s="44"/>
      <c r="E5840" s="22" t="str">
        <f>IF(D5840&lt;&gt;"",IFERROR(INDEX(Produtos!$C$4:$C$4996,MATCH(D5840,Produtos!$B$4:$B$4996,0)),"Produto não encontrado"),"")</f>
        <v/>
      </c>
    </row>
    <row r="5841" spans="1:5" x14ac:dyDescent="0.3">
      <c r="A5841" s="21" t="str">
        <f t="shared" si="91"/>
        <v>.</v>
      </c>
      <c r="D5841" s="44"/>
      <c r="E5841" s="22" t="str">
        <f>IF(D5841&lt;&gt;"",IFERROR(INDEX(Produtos!$C$4:$C$4996,MATCH(D5841,Produtos!$B$4:$B$4996,0)),"Produto não encontrado"),"")</f>
        <v/>
      </c>
    </row>
    <row r="5842" spans="1:5" x14ac:dyDescent="0.3">
      <c r="A5842" s="21" t="str">
        <f t="shared" si="91"/>
        <v>.</v>
      </c>
      <c r="D5842" s="44"/>
      <c r="E5842" s="22" t="str">
        <f>IF(D5842&lt;&gt;"",IFERROR(INDEX(Produtos!$C$4:$C$4996,MATCH(D5842,Produtos!$B$4:$B$4996,0)),"Produto não encontrado"),"")</f>
        <v/>
      </c>
    </row>
    <row r="5843" spans="1:5" x14ac:dyDescent="0.3">
      <c r="A5843" s="21" t="str">
        <f t="shared" si="91"/>
        <v>.</v>
      </c>
      <c r="D5843" s="44"/>
      <c r="E5843" s="22" t="str">
        <f>IF(D5843&lt;&gt;"",IFERROR(INDEX(Produtos!$C$4:$C$4996,MATCH(D5843,Produtos!$B$4:$B$4996,0)),"Produto não encontrado"),"")</f>
        <v/>
      </c>
    </row>
    <row r="5844" spans="1:5" x14ac:dyDescent="0.3">
      <c r="A5844" s="21" t="str">
        <f t="shared" si="91"/>
        <v>.</v>
      </c>
      <c r="D5844" s="44"/>
      <c r="E5844" s="22" t="str">
        <f>IF(D5844&lt;&gt;"",IFERROR(INDEX(Produtos!$C$4:$C$4996,MATCH(D5844,Produtos!$B$4:$B$4996,0)),"Produto não encontrado"),"")</f>
        <v/>
      </c>
    </row>
    <row r="5845" spans="1:5" x14ac:dyDescent="0.3">
      <c r="A5845" s="21" t="str">
        <f t="shared" si="91"/>
        <v>.</v>
      </c>
      <c r="D5845" s="44"/>
      <c r="E5845" s="22" t="str">
        <f>IF(D5845&lt;&gt;"",IFERROR(INDEX(Produtos!$C$4:$C$4996,MATCH(D5845,Produtos!$B$4:$B$4996,0)),"Produto não encontrado"),"")</f>
        <v/>
      </c>
    </row>
    <row r="5846" spans="1:5" x14ac:dyDescent="0.3">
      <c r="A5846" s="21" t="str">
        <f t="shared" si="91"/>
        <v>.</v>
      </c>
      <c r="D5846" s="44"/>
      <c r="E5846" s="22" t="str">
        <f>IF(D5846&lt;&gt;"",IFERROR(INDEX(Produtos!$C$4:$C$4996,MATCH(D5846,Produtos!$B$4:$B$4996,0)),"Produto não encontrado"),"")</f>
        <v/>
      </c>
    </row>
    <row r="5847" spans="1:5" x14ac:dyDescent="0.3">
      <c r="A5847" s="21" t="str">
        <f t="shared" si="91"/>
        <v>.</v>
      </c>
      <c r="D5847" s="44"/>
      <c r="E5847" s="22" t="str">
        <f>IF(D5847&lt;&gt;"",IFERROR(INDEX(Produtos!$C$4:$C$4996,MATCH(D5847,Produtos!$B$4:$B$4996,0)),"Produto não encontrado"),"")</f>
        <v/>
      </c>
    </row>
    <row r="5848" spans="1:5" x14ac:dyDescent="0.3">
      <c r="A5848" s="21" t="str">
        <f t="shared" si="91"/>
        <v>.</v>
      </c>
      <c r="D5848" s="44"/>
      <c r="E5848" s="22" t="str">
        <f>IF(D5848&lt;&gt;"",IFERROR(INDEX(Produtos!$C$4:$C$4996,MATCH(D5848,Produtos!$B$4:$B$4996,0)),"Produto não encontrado"),"")</f>
        <v/>
      </c>
    </row>
    <row r="5849" spans="1:5" x14ac:dyDescent="0.3">
      <c r="A5849" s="21" t="str">
        <f t="shared" si="91"/>
        <v>.</v>
      </c>
      <c r="D5849" s="44"/>
      <c r="E5849" s="22" t="str">
        <f>IF(D5849&lt;&gt;"",IFERROR(INDEX(Produtos!$C$4:$C$4996,MATCH(D5849,Produtos!$B$4:$B$4996,0)),"Produto não encontrado"),"")</f>
        <v/>
      </c>
    </row>
    <row r="5850" spans="1:5" x14ac:dyDescent="0.3">
      <c r="A5850" s="21" t="str">
        <f t="shared" si="91"/>
        <v>.</v>
      </c>
      <c r="D5850" s="44"/>
      <c r="E5850" s="22" t="str">
        <f>IF(D5850&lt;&gt;"",IFERROR(INDEX(Produtos!$C$4:$C$4996,MATCH(D5850,Produtos!$B$4:$B$4996,0)),"Produto não encontrado"),"")</f>
        <v/>
      </c>
    </row>
    <row r="5851" spans="1:5" x14ac:dyDescent="0.3">
      <c r="A5851" s="21" t="str">
        <f t="shared" si="91"/>
        <v>.</v>
      </c>
      <c r="D5851" s="44"/>
      <c r="E5851" s="22" t="str">
        <f>IF(D5851&lt;&gt;"",IFERROR(INDEX(Produtos!$C$4:$C$4996,MATCH(D5851,Produtos!$B$4:$B$4996,0)),"Produto não encontrado"),"")</f>
        <v/>
      </c>
    </row>
    <row r="5852" spans="1:5" x14ac:dyDescent="0.3">
      <c r="A5852" s="21" t="str">
        <f t="shared" si="91"/>
        <v>.</v>
      </c>
      <c r="D5852" s="44"/>
      <c r="E5852" s="22" t="str">
        <f>IF(D5852&lt;&gt;"",IFERROR(INDEX(Produtos!$C$4:$C$4996,MATCH(D5852,Produtos!$B$4:$B$4996,0)),"Produto não encontrado"),"")</f>
        <v/>
      </c>
    </row>
    <row r="5853" spans="1:5" x14ac:dyDescent="0.3">
      <c r="A5853" s="21" t="str">
        <f t="shared" si="91"/>
        <v>.</v>
      </c>
      <c r="D5853" s="44"/>
      <c r="E5853" s="22" t="str">
        <f>IF(D5853&lt;&gt;"",IFERROR(INDEX(Produtos!$C$4:$C$4996,MATCH(D5853,Produtos!$B$4:$B$4996,0)),"Produto não encontrado"),"")</f>
        <v/>
      </c>
    </row>
    <row r="5854" spans="1:5" x14ac:dyDescent="0.3">
      <c r="A5854" s="21" t="str">
        <f t="shared" si="91"/>
        <v>.</v>
      </c>
      <c r="D5854" s="44"/>
      <c r="E5854" s="22" t="str">
        <f>IF(D5854&lt;&gt;"",IFERROR(INDEX(Produtos!$C$4:$C$4996,MATCH(D5854,Produtos!$B$4:$B$4996,0)),"Produto não encontrado"),"")</f>
        <v/>
      </c>
    </row>
    <row r="5855" spans="1:5" x14ac:dyDescent="0.3">
      <c r="A5855" s="21" t="str">
        <f t="shared" si="91"/>
        <v>.</v>
      </c>
      <c r="D5855" s="44"/>
      <c r="E5855" s="22" t="str">
        <f>IF(D5855&lt;&gt;"",IFERROR(INDEX(Produtos!$C$4:$C$4996,MATCH(D5855,Produtos!$B$4:$B$4996,0)),"Produto não encontrado"),"")</f>
        <v/>
      </c>
    </row>
    <row r="5856" spans="1:5" x14ac:dyDescent="0.3">
      <c r="A5856" s="21" t="str">
        <f t="shared" si="91"/>
        <v>.</v>
      </c>
      <c r="D5856" s="44"/>
      <c r="E5856" s="22" t="str">
        <f>IF(D5856&lt;&gt;"",IFERROR(INDEX(Produtos!$C$4:$C$4996,MATCH(D5856,Produtos!$B$4:$B$4996,0)),"Produto não encontrado"),"")</f>
        <v/>
      </c>
    </row>
    <row r="5857" spans="1:5" x14ac:dyDescent="0.3">
      <c r="A5857" s="21" t="str">
        <f t="shared" si="91"/>
        <v>.</v>
      </c>
      <c r="D5857" s="44"/>
      <c r="E5857" s="22" t="str">
        <f>IF(D5857&lt;&gt;"",IFERROR(INDEX(Produtos!$C$4:$C$4996,MATCH(D5857,Produtos!$B$4:$B$4996,0)),"Produto não encontrado"),"")</f>
        <v/>
      </c>
    </row>
    <row r="5858" spans="1:5" x14ac:dyDescent="0.3">
      <c r="A5858" s="21" t="str">
        <f t="shared" si="91"/>
        <v>.</v>
      </c>
      <c r="D5858" s="44"/>
      <c r="E5858" s="22" t="str">
        <f>IF(D5858&lt;&gt;"",IFERROR(INDEX(Produtos!$C$4:$C$4996,MATCH(D5858,Produtos!$B$4:$B$4996,0)),"Produto não encontrado"),"")</f>
        <v/>
      </c>
    </row>
    <row r="5859" spans="1:5" x14ac:dyDescent="0.3">
      <c r="A5859" s="21" t="str">
        <f t="shared" si="91"/>
        <v>.</v>
      </c>
      <c r="D5859" s="44"/>
      <c r="E5859" s="22" t="str">
        <f>IF(D5859&lt;&gt;"",IFERROR(INDEX(Produtos!$C$4:$C$4996,MATCH(D5859,Produtos!$B$4:$B$4996,0)),"Produto não encontrado"),"")</f>
        <v/>
      </c>
    </row>
    <row r="5860" spans="1:5" x14ac:dyDescent="0.3">
      <c r="A5860" s="21" t="str">
        <f t="shared" si="91"/>
        <v>.</v>
      </c>
      <c r="D5860" s="44"/>
      <c r="E5860" s="22" t="str">
        <f>IF(D5860&lt;&gt;"",IFERROR(INDEX(Produtos!$C$4:$C$4996,MATCH(D5860,Produtos!$B$4:$B$4996,0)),"Produto não encontrado"),"")</f>
        <v/>
      </c>
    </row>
    <row r="5861" spans="1:5" x14ac:dyDescent="0.3">
      <c r="A5861" s="21" t="str">
        <f t="shared" si="91"/>
        <v>.</v>
      </c>
      <c r="D5861" s="44"/>
      <c r="E5861" s="22" t="str">
        <f>IF(D5861&lt;&gt;"",IFERROR(INDEX(Produtos!$C$4:$C$4996,MATCH(D5861,Produtos!$B$4:$B$4996,0)),"Produto não encontrado"),"")</f>
        <v/>
      </c>
    </row>
    <row r="5862" spans="1:5" x14ac:dyDescent="0.3">
      <c r="A5862" s="21" t="str">
        <f t="shared" si="91"/>
        <v>.</v>
      </c>
      <c r="D5862" s="44"/>
      <c r="E5862" s="22" t="str">
        <f>IF(D5862&lt;&gt;"",IFERROR(INDEX(Produtos!$C$4:$C$4996,MATCH(D5862,Produtos!$B$4:$B$4996,0)),"Produto não encontrado"),"")</f>
        <v/>
      </c>
    </row>
    <row r="5863" spans="1:5" x14ac:dyDescent="0.3">
      <c r="A5863" s="21" t="str">
        <f t="shared" si="91"/>
        <v>.</v>
      </c>
      <c r="D5863" s="44"/>
      <c r="E5863" s="22" t="str">
        <f>IF(D5863&lt;&gt;"",IFERROR(INDEX(Produtos!$C$4:$C$4996,MATCH(D5863,Produtos!$B$4:$B$4996,0)),"Produto não encontrado"),"")</f>
        <v/>
      </c>
    </row>
    <row r="5864" spans="1:5" x14ac:dyDescent="0.3">
      <c r="A5864" s="21" t="str">
        <f t="shared" si="91"/>
        <v>.</v>
      </c>
      <c r="D5864" s="44"/>
      <c r="E5864" s="22" t="str">
        <f>IF(D5864&lt;&gt;"",IFERROR(INDEX(Produtos!$C$4:$C$4996,MATCH(D5864,Produtos!$B$4:$B$4996,0)),"Produto não encontrado"),"")</f>
        <v/>
      </c>
    </row>
    <row r="5865" spans="1:5" x14ac:dyDescent="0.3">
      <c r="A5865" s="21" t="str">
        <f t="shared" si="91"/>
        <v>.</v>
      </c>
      <c r="D5865" s="44"/>
      <c r="E5865" s="22" t="str">
        <f>IF(D5865&lt;&gt;"",IFERROR(INDEX(Produtos!$C$4:$C$4996,MATCH(D5865,Produtos!$B$4:$B$4996,0)),"Produto não encontrado"),"")</f>
        <v/>
      </c>
    </row>
    <row r="5866" spans="1:5" x14ac:dyDescent="0.3">
      <c r="A5866" s="21" t="str">
        <f t="shared" si="91"/>
        <v>.</v>
      </c>
      <c r="D5866" s="44"/>
      <c r="E5866" s="22" t="str">
        <f>IF(D5866&lt;&gt;"",IFERROR(INDEX(Produtos!$C$4:$C$4996,MATCH(D5866,Produtos!$B$4:$B$4996,0)),"Produto não encontrado"),"")</f>
        <v/>
      </c>
    </row>
    <row r="5867" spans="1:5" x14ac:dyDescent="0.3">
      <c r="A5867" s="21" t="str">
        <f t="shared" si="91"/>
        <v>.</v>
      </c>
      <c r="D5867" s="44"/>
      <c r="E5867" s="22" t="str">
        <f>IF(D5867&lt;&gt;"",IFERROR(INDEX(Produtos!$C$4:$C$4996,MATCH(D5867,Produtos!$B$4:$B$4996,0)),"Produto não encontrado"),"")</f>
        <v/>
      </c>
    </row>
    <row r="5868" spans="1:5" x14ac:dyDescent="0.3">
      <c r="A5868" s="21" t="str">
        <f t="shared" si="91"/>
        <v>.</v>
      </c>
      <c r="D5868" s="44"/>
      <c r="E5868" s="22" t="str">
        <f>IF(D5868&lt;&gt;"",IFERROR(INDEX(Produtos!$C$4:$C$4996,MATCH(D5868,Produtos!$B$4:$B$4996,0)),"Produto não encontrado"),"")</f>
        <v/>
      </c>
    </row>
    <row r="5869" spans="1:5" x14ac:dyDescent="0.3">
      <c r="A5869" s="21" t="str">
        <f t="shared" si="91"/>
        <v>.</v>
      </c>
      <c r="D5869" s="44"/>
      <c r="E5869" s="22" t="str">
        <f>IF(D5869&lt;&gt;"",IFERROR(INDEX(Produtos!$C$4:$C$4996,MATCH(D5869,Produtos!$B$4:$B$4996,0)),"Produto não encontrado"),"")</f>
        <v/>
      </c>
    </row>
    <row r="5870" spans="1:5" x14ac:dyDescent="0.3">
      <c r="A5870" s="21" t="str">
        <f t="shared" si="91"/>
        <v>.</v>
      </c>
      <c r="D5870" s="44"/>
      <c r="E5870" s="22" t="str">
        <f>IF(D5870&lt;&gt;"",IFERROR(INDEX(Produtos!$C$4:$C$4996,MATCH(D5870,Produtos!$B$4:$B$4996,0)),"Produto não encontrado"),"")</f>
        <v/>
      </c>
    </row>
    <row r="5871" spans="1:5" x14ac:dyDescent="0.3">
      <c r="A5871" s="21" t="str">
        <f t="shared" si="91"/>
        <v>.</v>
      </c>
      <c r="D5871" s="44"/>
      <c r="E5871" s="22" t="str">
        <f>IF(D5871&lt;&gt;"",IFERROR(INDEX(Produtos!$C$4:$C$4996,MATCH(D5871,Produtos!$B$4:$B$4996,0)),"Produto não encontrado"),"")</f>
        <v/>
      </c>
    </row>
    <row r="5872" spans="1:5" x14ac:dyDescent="0.3">
      <c r="A5872" s="21" t="str">
        <f t="shared" si="91"/>
        <v>.</v>
      </c>
      <c r="D5872" s="44"/>
      <c r="E5872" s="22" t="str">
        <f>IF(D5872&lt;&gt;"",IFERROR(INDEX(Produtos!$C$4:$C$4996,MATCH(D5872,Produtos!$B$4:$B$4996,0)),"Produto não encontrado"),"")</f>
        <v/>
      </c>
    </row>
    <row r="5873" spans="1:5" x14ac:dyDescent="0.3">
      <c r="A5873" s="21" t="str">
        <f t="shared" si="91"/>
        <v>.</v>
      </c>
      <c r="D5873" s="44"/>
      <c r="E5873" s="22" t="str">
        <f>IF(D5873&lt;&gt;"",IFERROR(INDEX(Produtos!$C$4:$C$4996,MATCH(D5873,Produtos!$B$4:$B$4996,0)),"Produto não encontrado"),"")</f>
        <v/>
      </c>
    </row>
    <row r="5874" spans="1:5" x14ac:dyDescent="0.3">
      <c r="A5874" s="21" t="str">
        <f t="shared" si="91"/>
        <v>.</v>
      </c>
      <c r="D5874" s="44"/>
      <c r="E5874" s="22" t="str">
        <f>IF(D5874&lt;&gt;"",IFERROR(INDEX(Produtos!$C$4:$C$4996,MATCH(D5874,Produtos!$B$4:$B$4996,0)),"Produto não encontrado"),"")</f>
        <v/>
      </c>
    </row>
    <row r="5875" spans="1:5" x14ac:dyDescent="0.3">
      <c r="A5875" s="21" t="str">
        <f t="shared" si="91"/>
        <v>.</v>
      </c>
      <c r="D5875" s="44"/>
      <c r="E5875" s="22" t="str">
        <f>IF(D5875&lt;&gt;"",IFERROR(INDEX(Produtos!$C$4:$C$4996,MATCH(D5875,Produtos!$B$4:$B$4996,0)),"Produto não encontrado"),"")</f>
        <v/>
      </c>
    </row>
    <row r="5876" spans="1:5" x14ac:dyDescent="0.3">
      <c r="A5876" s="21" t="str">
        <f t="shared" si="91"/>
        <v>.</v>
      </c>
      <c r="D5876" s="44"/>
      <c r="E5876" s="22" t="str">
        <f>IF(D5876&lt;&gt;"",IFERROR(INDEX(Produtos!$C$4:$C$4996,MATCH(D5876,Produtos!$B$4:$B$4996,0)),"Produto não encontrado"),"")</f>
        <v/>
      </c>
    </row>
    <row r="5877" spans="1:5" x14ac:dyDescent="0.3">
      <c r="A5877" s="21" t="str">
        <f t="shared" si="91"/>
        <v>.</v>
      </c>
      <c r="D5877" s="44"/>
      <c r="E5877" s="22" t="str">
        <f>IF(D5877&lt;&gt;"",IFERROR(INDEX(Produtos!$C$4:$C$4996,MATCH(D5877,Produtos!$B$4:$B$4996,0)),"Produto não encontrado"),"")</f>
        <v/>
      </c>
    </row>
    <row r="5878" spans="1:5" x14ac:dyDescent="0.3">
      <c r="A5878" s="21" t="str">
        <f t="shared" si="91"/>
        <v>.</v>
      </c>
      <c r="D5878" s="44"/>
      <c r="E5878" s="22" t="str">
        <f>IF(D5878&lt;&gt;"",IFERROR(INDEX(Produtos!$C$4:$C$4996,MATCH(D5878,Produtos!$B$4:$B$4996,0)),"Produto não encontrado"),"")</f>
        <v/>
      </c>
    </row>
    <row r="5879" spans="1:5" x14ac:dyDescent="0.3">
      <c r="A5879" s="21" t="str">
        <f t="shared" si="91"/>
        <v>.</v>
      </c>
      <c r="D5879" s="44"/>
      <c r="E5879" s="22" t="str">
        <f>IF(D5879&lt;&gt;"",IFERROR(INDEX(Produtos!$C$4:$C$4996,MATCH(D5879,Produtos!$B$4:$B$4996,0)),"Produto não encontrado"),"")</f>
        <v/>
      </c>
    </row>
    <row r="5880" spans="1:5" x14ac:dyDescent="0.3">
      <c r="A5880" s="21" t="str">
        <f t="shared" si="91"/>
        <v>.</v>
      </c>
      <c r="D5880" s="44"/>
      <c r="E5880" s="22" t="str">
        <f>IF(D5880&lt;&gt;"",IFERROR(INDEX(Produtos!$C$4:$C$4996,MATCH(D5880,Produtos!$B$4:$B$4996,0)),"Produto não encontrado"),"")</f>
        <v/>
      </c>
    </row>
    <row r="5881" spans="1:5" x14ac:dyDescent="0.3">
      <c r="A5881" s="21" t="str">
        <f t="shared" si="91"/>
        <v>.</v>
      </c>
      <c r="D5881" s="44"/>
      <c r="E5881" s="22" t="str">
        <f>IF(D5881&lt;&gt;"",IFERROR(INDEX(Produtos!$C$4:$C$4996,MATCH(D5881,Produtos!$B$4:$B$4996,0)),"Produto não encontrado"),"")</f>
        <v/>
      </c>
    </row>
    <row r="5882" spans="1:5" x14ac:dyDescent="0.3">
      <c r="A5882" s="21" t="str">
        <f t="shared" si="91"/>
        <v>.</v>
      </c>
      <c r="D5882" s="44"/>
      <c r="E5882" s="22" t="str">
        <f>IF(D5882&lt;&gt;"",IFERROR(INDEX(Produtos!$C$4:$C$4996,MATCH(D5882,Produtos!$B$4:$B$4996,0)),"Produto não encontrado"),"")</f>
        <v/>
      </c>
    </row>
    <row r="5883" spans="1:5" x14ac:dyDescent="0.3">
      <c r="A5883" s="21" t="str">
        <f t="shared" si="91"/>
        <v>.</v>
      </c>
      <c r="D5883" s="44"/>
      <c r="E5883" s="22" t="str">
        <f>IF(D5883&lt;&gt;"",IFERROR(INDEX(Produtos!$C$4:$C$4996,MATCH(D5883,Produtos!$B$4:$B$4996,0)),"Produto não encontrado"),"")</f>
        <v/>
      </c>
    </row>
    <row r="5884" spans="1:5" x14ac:dyDescent="0.3">
      <c r="A5884" s="21" t="str">
        <f t="shared" si="91"/>
        <v>.</v>
      </c>
      <c r="D5884" s="44"/>
      <c r="E5884" s="22" t="str">
        <f>IF(D5884&lt;&gt;"",IFERROR(INDEX(Produtos!$C$4:$C$4996,MATCH(D5884,Produtos!$B$4:$B$4996,0)),"Produto não encontrado"),"")</f>
        <v/>
      </c>
    </row>
    <row r="5885" spans="1:5" x14ac:dyDescent="0.3">
      <c r="A5885" s="21" t="str">
        <f t="shared" si="91"/>
        <v>.</v>
      </c>
      <c r="D5885" s="44"/>
      <c r="E5885" s="22" t="str">
        <f>IF(D5885&lt;&gt;"",IFERROR(INDEX(Produtos!$C$4:$C$4996,MATCH(D5885,Produtos!$B$4:$B$4996,0)),"Produto não encontrado"),"")</f>
        <v/>
      </c>
    </row>
    <row r="5886" spans="1:5" x14ac:dyDescent="0.3">
      <c r="A5886" s="21" t="str">
        <f t="shared" si="91"/>
        <v>.</v>
      </c>
      <c r="D5886" s="44"/>
      <c r="E5886" s="22" t="str">
        <f>IF(D5886&lt;&gt;"",IFERROR(INDEX(Produtos!$C$4:$C$4996,MATCH(D5886,Produtos!$B$4:$B$4996,0)),"Produto não encontrado"),"")</f>
        <v/>
      </c>
    </row>
    <row r="5887" spans="1:5" x14ac:dyDescent="0.3">
      <c r="A5887" s="21" t="str">
        <f t="shared" si="91"/>
        <v>.</v>
      </c>
      <c r="D5887" s="44"/>
      <c r="E5887" s="22" t="str">
        <f>IF(D5887&lt;&gt;"",IFERROR(INDEX(Produtos!$C$4:$C$4996,MATCH(D5887,Produtos!$B$4:$B$4996,0)),"Produto não encontrado"),"")</f>
        <v/>
      </c>
    </row>
    <row r="5888" spans="1:5" x14ac:dyDescent="0.3">
      <c r="A5888" s="21" t="str">
        <f t="shared" ref="A5888:A5951" si="92">IF(C5888="Entrada",2,IF(C5888="Saída",1,"."))</f>
        <v>.</v>
      </c>
      <c r="D5888" s="44"/>
      <c r="E5888" s="22" t="str">
        <f>IF(D5888&lt;&gt;"",IFERROR(INDEX(Produtos!$C$4:$C$4996,MATCH(D5888,Produtos!$B$4:$B$4996,0)),"Produto não encontrado"),"")</f>
        <v/>
      </c>
    </row>
    <row r="5889" spans="1:5" x14ac:dyDescent="0.3">
      <c r="A5889" s="21" t="str">
        <f t="shared" si="92"/>
        <v>.</v>
      </c>
      <c r="D5889" s="44"/>
      <c r="E5889" s="22" t="str">
        <f>IF(D5889&lt;&gt;"",IFERROR(INDEX(Produtos!$C$4:$C$4996,MATCH(D5889,Produtos!$B$4:$B$4996,0)),"Produto não encontrado"),"")</f>
        <v/>
      </c>
    </row>
    <row r="5890" spans="1:5" x14ac:dyDescent="0.3">
      <c r="A5890" s="21" t="str">
        <f t="shared" si="92"/>
        <v>.</v>
      </c>
      <c r="D5890" s="44"/>
      <c r="E5890" s="22" t="str">
        <f>IF(D5890&lt;&gt;"",IFERROR(INDEX(Produtos!$C$4:$C$4996,MATCH(D5890,Produtos!$B$4:$B$4996,0)),"Produto não encontrado"),"")</f>
        <v/>
      </c>
    </row>
    <row r="5891" spans="1:5" x14ac:dyDescent="0.3">
      <c r="A5891" s="21" t="str">
        <f t="shared" si="92"/>
        <v>.</v>
      </c>
      <c r="D5891" s="44"/>
      <c r="E5891" s="22" t="str">
        <f>IF(D5891&lt;&gt;"",IFERROR(INDEX(Produtos!$C$4:$C$4996,MATCH(D5891,Produtos!$B$4:$B$4996,0)),"Produto não encontrado"),"")</f>
        <v/>
      </c>
    </row>
    <row r="5892" spans="1:5" x14ac:dyDescent="0.3">
      <c r="A5892" s="21" t="str">
        <f t="shared" si="92"/>
        <v>.</v>
      </c>
      <c r="D5892" s="44"/>
      <c r="E5892" s="22" t="str">
        <f>IF(D5892&lt;&gt;"",IFERROR(INDEX(Produtos!$C$4:$C$4996,MATCH(D5892,Produtos!$B$4:$B$4996,0)),"Produto não encontrado"),"")</f>
        <v/>
      </c>
    </row>
    <row r="5893" spans="1:5" x14ac:dyDescent="0.3">
      <c r="A5893" s="21" t="str">
        <f t="shared" si="92"/>
        <v>.</v>
      </c>
      <c r="D5893" s="44"/>
      <c r="E5893" s="22" t="str">
        <f>IF(D5893&lt;&gt;"",IFERROR(INDEX(Produtos!$C$4:$C$4996,MATCH(D5893,Produtos!$B$4:$B$4996,0)),"Produto não encontrado"),"")</f>
        <v/>
      </c>
    </row>
    <row r="5894" spans="1:5" x14ac:dyDescent="0.3">
      <c r="A5894" s="21" t="str">
        <f t="shared" si="92"/>
        <v>.</v>
      </c>
      <c r="D5894" s="44"/>
      <c r="E5894" s="22" t="str">
        <f>IF(D5894&lt;&gt;"",IFERROR(INDEX(Produtos!$C$4:$C$4996,MATCH(D5894,Produtos!$B$4:$B$4996,0)),"Produto não encontrado"),"")</f>
        <v/>
      </c>
    </row>
    <row r="5895" spans="1:5" x14ac:dyDescent="0.3">
      <c r="A5895" s="21" t="str">
        <f t="shared" si="92"/>
        <v>.</v>
      </c>
      <c r="D5895" s="44"/>
      <c r="E5895" s="22" t="str">
        <f>IF(D5895&lt;&gt;"",IFERROR(INDEX(Produtos!$C$4:$C$4996,MATCH(D5895,Produtos!$B$4:$B$4996,0)),"Produto não encontrado"),"")</f>
        <v/>
      </c>
    </row>
    <row r="5896" spans="1:5" x14ac:dyDescent="0.3">
      <c r="A5896" s="21" t="str">
        <f t="shared" si="92"/>
        <v>.</v>
      </c>
      <c r="D5896" s="44"/>
      <c r="E5896" s="22" t="str">
        <f>IF(D5896&lt;&gt;"",IFERROR(INDEX(Produtos!$C$4:$C$4996,MATCH(D5896,Produtos!$B$4:$B$4996,0)),"Produto não encontrado"),"")</f>
        <v/>
      </c>
    </row>
    <row r="5897" spans="1:5" x14ac:dyDescent="0.3">
      <c r="A5897" s="21" t="str">
        <f t="shared" si="92"/>
        <v>.</v>
      </c>
      <c r="D5897" s="44"/>
      <c r="E5897" s="22" t="str">
        <f>IF(D5897&lt;&gt;"",IFERROR(INDEX(Produtos!$C$4:$C$4996,MATCH(D5897,Produtos!$B$4:$B$4996,0)),"Produto não encontrado"),"")</f>
        <v/>
      </c>
    </row>
    <row r="5898" spans="1:5" x14ac:dyDescent="0.3">
      <c r="A5898" s="21" t="str">
        <f t="shared" si="92"/>
        <v>.</v>
      </c>
      <c r="D5898" s="44"/>
      <c r="E5898" s="22" t="str">
        <f>IF(D5898&lt;&gt;"",IFERROR(INDEX(Produtos!$C$4:$C$4996,MATCH(D5898,Produtos!$B$4:$B$4996,0)),"Produto não encontrado"),"")</f>
        <v/>
      </c>
    </row>
    <row r="5899" spans="1:5" x14ac:dyDescent="0.3">
      <c r="A5899" s="21" t="str">
        <f t="shared" si="92"/>
        <v>.</v>
      </c>
      <c r="D5899" s="44"/>
      <c r="E5899" s="22" t="str">
        <f>IF(D5899&lt;&gt;"",IFERROR(INDEX(Produtos!$C$4:$C$4996,MATCH(D5899,Produtos!$B$4:$B$4996,0)),"Produto não encontrado"),"")</f>
        <v/>
      </c>
    </row>
    <row r="5900" spans="1:5" x14ac:dyDescent="0.3">
      <c r="A5900" s="21" t="str">
        <f t="shared" si="92"/>
        <v>.</v>
      </c>
      <c r="D5900" s="44"/>
      <c r="E5900" s="22" t="str">
        <f>IF(D5900&lt;&gt;"",IFERROR(INDEX(Produtos!$C$4:$C$4996,MATCH(D5900,Produtos!$B$4:$B$4996,0)),"Produto não encontrado"),"")</f>
        <v/>
      </c>
    </row>
    <row r="5901" spans="1:5" x14ac:dyDescent="0.3">
      <c r="A5901" s="21" t="str">
        <f t="shared" si="92"/>
        <v>.</v>
      </c>
      <c r="D5901" s="44"/>
      <c r="E5901" s="22" t="str">
        <f>IF(D5901&lt;&gt;"",IFERROR(INDEX(Produtos!$C$4:$C$4996,MATCH(D5901,Produtos!$B$4:$B$4996,0)),"Produto não encontrado"),"")</f>
        <v/>
      </c>
    </row>
    <row r="5902" spans="1:5" x14ac:dyDescent="0.3">
      <c r="A5902" s="21" t="str">
        <f t="shared" si="92"/>
        <v>.</v>
      </c>
      <c r="D5902" s="44"/>
      <c r="E5902" s="22" t="str">
        <f>IF(D5902&lt;&gt;"",IFERROR(INDEX(Produtos!$C$4:$C$4996,MATCH(D5902,Produtos!$B$4:$B$4996,0)),"Produto não encontrado"),"")</f>
        <v/>
      </c>
    </row>
    <row r="5903" spans="1:5" x14ac:dyDescent="0.3">
      <c r="A5903" s="21" t="str">
        <f t="shared" si="92"/>
        <v>.</v>
      </c>
      <c r="D5903" s="44"/>
      <c r="E5903" s="22" t="str">
        <f>IF(D5903&lt;&gt;"",IFERROR(INDEX(Produtos!$C$4:$C$4996,MATCH(D5903,Produtos!$B$4:$B$4996,0)),"Produto não encontrado"),"")</f>
        <v/>
      </c>
    </row>
    <row r="5904" spans="1:5" x14ac:dyDescent="0.3">
      <c r="A5904" s="21" t="str">
        <f t="shared" si="92"/>
        <v>.</v>
      </c>
      <c r="D5904" s="44"/>
      <c r="E5904" s="22" t="str">
        <f>IF(D5904&lt;&gt;"",IFERROR(INDEX(Produtos!$C$4:$C$4996,MATCH(D5904,Produtos!$B$4:$B$4996,0)),"Produto não encontrado"),"")</f>
        <v/>
      </c>
    </row>
    <row r="5905" spans="1:5" x14ac:dyDescent="0.3">
      <c r="A5905" s="21" t="str">
        <f t="shared" si="92"/>
        <v>.</v>
      </c>
      <c r="D5905" s="44"/>
      <c r="E5905" s="22" t="str">
        <f>IF(D5905&lt;&gt;"",IFERROR(INDEX(Produtos!$C$4:$C$4996,MATCH(D5905,Produtos!$B$4:$B$4996,0)),"Produto não encontrado"),"")</f>
        <v/>
      </c>
    </row>
    <row r="5906" spans="1:5" x14ac:dyDescent="0.3">
      <c r="A5906" s="21" t="str">
        <f t="shared" si="92"/>
        <v>.</v>
      </c>
      <c r="D5906" s="44"/>
      <c r="E5906" s="22" t="str">
        <f>IF(D5906&lt;&gt;"",IFERROR(INDEX(Produtos!$C$4:$C$4996,MATCH(D5906,Produtos!$B$4:$B$4996,0)),"Produto não encontrado"),"")</f>
        <v/>
      </c>
    </row>
    <row r="5907" spans="1:5" x14ac:dyDescent="0.3">
      <c r="A5907" s="21" t="str">
        <f t="shared" si="92"/>
        <v>.</v>
      </c>
      <c r="D5907" s="44"/>
      <c r="E5907" s="22" t="str">
        <f>IF(D5907&lt;&gt;"",IFERROR(INDEX(Produtos!$C$4:$C$4996,MATCH(D5907,Produtos!$B$4:$B$4996,0)),"Produto não encontrado"),"")</f>
        <v/>
      </c>
    </row>
    <row r="5908" spans="1:5" x14ac:dyDescent="0.3">
      <c r="A5908" s="21" t="str">
        <f t="shared" si="92"/>
        <v>.</v>
      </c>
      <c r="D5908" s="44"/>
      <c r="E5908" s="22" t="str">
        <f>IF(D5908&lt;&gt;"",IFERROR(INDEX(Produtos!$C$4:$C$4996,MATCH(D5908,Produtos!$B$4:$B$4996,0)),"Produto não encontrado"),"")</f>
        <v/>
      </c>
    </row>
    <row r="5909" spans="1:5" x14ac:dyDescent="0.3">
      <c r="A5909" s="21" t="str">
        <f t="shared" si="92"/>
        <v>.</v>
      </c>
      <c r="D5909" s="44"/>
      <c r="E5909" s="22" t="str">
        <f>IF(D5909&lt;&gt;"",IFERROR(INDEX(Produtos!$C$4:$C$4996,MATCH(D5909,Produtos!$B$4:$B$4996,0)),"Produto não encontrado"),"")</f>
        <v/>
      </c>
    </row>
    <row r="5910" spans="1:5" x14ac:dyDescent="0.3">
      <c r="A5910" s="21" t="str">
        <f t="shared" si="92"/>
        <v>.</v>
      </c>
      <c r="D5910" s="44"/>
      <c r="E5910" s="22" t="str">
        <f>IF(D5910&lt;&gt;"",IFERROR(INDEX(Produtos!$C$4:$C$4996,MATCH(D5910,Produtos!$B$4:$B$4996,0)),"Produto não encontrado"),"")</f>
        <v/>
      </c>
    </row>
    <row r="5911" spans="1:5" x14ac:dyDescent="0.3">
      <c r="A5911" s="21" t="str">
        <f t="shared" si="92"/>
        <v>.</v>
      </c>
      <c r="D5911" s="44"/>
      <c r="E5911" s="22" t="str">
        <f>IF(D5911&lt;&gt;"",IFERROR(INDEX(Produtos!$C$4:$C$4996,MATCH(D5911,Produtos!$B$4:$B$4996,0)),"Produto não encontrado"),"")</f>
        <v/>
      </c>
    </row>
    <row r="5912" spans="1:5" x14ac:dyDescent="0.3">
      <c r="A5912" s="21" t="str">
        <f t="shared" si="92"/>
        <v>.</v>
      </c>
      <c r="D5912" s="44"/>
      <c r="E5912" s="22" t="str">
        <f>IF(D5912&lt;&gt;"",IFERROR(INDEX(Produtos!$C$4:$C$4996,MATCH(D5912,Produtos!$B$4:$B$4996,0)),"Produto não encontrado"),"")</f>
        <v/>
      </c>
    </row>
    <row r="5913" spans="1:5" x14ac:dyDescent="0.3">
      <c r="A5913" s="21" t="str">
        <f t="shared" si="92"/>
        <v>.</v>
      </c>
      <c r="D5913" s="44"/>
      <c r="E5913" s="22" t="str">
        <f>IF(D5913&lt;&gt;"",IFERROR(INDEX(Produtos!$C$4:$C$4996,MATCH(D5913,Produtos!$B$4:$B$4996,0)),"Produto não encontrado"),"")</f>
        <v/>
      </c>
    </row>
    <row r="5914" spans="1:5" x14ac:dyDescent="0.3">
      <c r="A5914" s="21" t="str">
        <f t="shared" si="92"/>
        <v>.</v>
      </c>
      <c r="D5914" s="44"/>
      <c r="E5914" s="22" t="str">
        <f>IF(D5914&lt;&gt;"",IFERROR(INDEX(Produtos!$C$4:$C$4996,MATCH(D5914,Produtos!$B$4:$B$4996,0)),"Produto não encontrado"),"")</f>
        <v/>
      </c>
    </row>
    <row r="5915" spans="1:5" x14ac:dyDescent="0.3">
      <c r="A5915" s="21" t="str">
        <f t="shared" si="92"/>
        <v>.</v>
      </c>
      <c r="D5915" s="44"/>
      <c r="E5915" s="22" t="str">
        <f>IF(D5915&lt;&gt;"",IFERROR(INDEX(Produtos!$C$4:$C$4996,MATCH(D5915,Produtos!$B$4:$B$4996,0)),"Produto não encontrado"),"")</f>
        <v/>
      </c>
    </row>
    <row r="5916" spans="1:5" x14ac:dyDescent="0.3">
      <c r="A5916" s="21" t="str">
        <f t="shared" si="92"/>
        <v>.</v>
      </c>
      <c r="D5916" s="44"/>
      <c r="E5916" s="22" t="str">
        <f>IF(D5916&lt;&gt;"",IFERROR(INDEX(Produtos!$C$4:$C$4996,MATCH(D5916,Produtos!$B$4:$B$4996,0)),"Produto não encontrado"),"")</f>
        <v/>
      </c>
    </row>
    <row r="5917" spans="1:5" x14ac:dyDescent="0.3">
      <c r="A5917" s="21" t="str">
        <f t="shared" si="92"/>
        <v>.</v>
      </c>
      <c r="D5917" s="44"/>
      <c r="E5917" s="22" t="str">
        <f>IF(D5917&lt;&gt;"",IFERROR(INDEX(Produtos!$C$4:$C$4996,MATCH(D5917,Produtos!$B$4:$B$4996,0)),"Produto não encontrado"),"")</f>
        <v/>
      </c>
    </row>
    <row r="5918" spans="1:5" x14ac:dyDescent="0.3">
      <c r="A5918" s="21" t="str">
        <f t="shared" si="92"/>
        <v>.</v>
      </c>
      <c r="D5918" s="44"/>
      <c r="E5918" s="22" t="str">
        <f>IF(D5918&lt;&gt;"",IFERROR(INDEX(Produtos!$C$4:$C$4996,MATCH(D5918,Produtos!$B$4:$B$4996,0)),"Produto não encontrado"),"")</f>
        <v/>
      </c>
    </row>
    <row r="5919" spans="1:5" x14ac:dyDescent="0.3">
      <c r="A5919" s="21" t="str">
        <f t="shared" si="92"/>
        <v>.</v>
      </c>
      <c r="D5919" s="44"/>
      <c r="E5919" s="22" t="str">
        <f>IF(D5919&lt;&gt;"",IFERROR(INDEX(Produtos!$C$4:$C$4996,MATCH(D5919,Produtos!$B$4:$B$4996,0)),"Produto não encontrado"),"")</f>
        <v/>
      </c>
    </row>
    <row r="5920" spans="1:5" x14ac:dyDescent="0.3">
      <c r="A5920" s="21" t="str">
        <f t="shared" si="92"/>
        <v>.</v>
      </c>
      <c r="D5920" s="44"/>
      <c r="E5920" s="22" t="str">
        <f>IF(D5920&lt;&gt;"",IFERROR(INDEX(Produtos!$C$4:$C$4996,MATCH(D5920,Produtos!$B$4:$B$4996,0)),"Produto não encontrado"),"")</f>
        <v/>
      </c>
    </row>
    <row r="5921" spans="1:5" x14ac:dyDescent="0.3">
      <c r="A5921" s="21" t="str">
        <f t="shared" si="92"/>
        <v>.</v>
      </c>
      <c r="D5921" s="44"/>
      <c r="E5921" s="22" t="str">
        <f>IF(D5921&lt;&gt;"",IFERROR(INDEX(Produtos!$C$4:$C$4996,MATCH(D5921,Produtos!$B$4:$B$4996,0)),"Produto não encontrado"),"")</f>
        <v/>
      </c>
    </row>
    <row r="5922" spans="1:5" x14ac:dyDescent="0.3">
      <c r="A5922" s="21" t="str">
        <f t="shared" si="92"/>
        <v>.</v>
      </c>
      <c r="D5922" s="44"/>
      <c r="E5922" s="22" t="str">
        <f>IF(D5922&lt;&gt;"",IFERROR(INDEX(Produtos!$C$4:$C$4996,MATCH(D5922,Produtos!$B$4:$B$4996,0)),"Produto não encontrado"),"")</f>
        <v/>
      </c>
    </row>
    <row r="5923" spans="1:5" x14ac:dyDescent="0.3">
      <c r="A5923" s="21" t="str">
        <f t="shared" si="92"/>
        <v>.</v>
      </c>
      <c r="D5923" s="44"/>
      <c r="E5923" s="22" t="str">
        <f>IF(D5923&lt;&gt;"",IFERROR(INDEX(Produtos!$C$4:$C$4996,MATCH(D5923,Produtos!$B$4:$B$4996,0)),"Produto não encontrado"),"")</f>
        <v/>
      </c>
    </row>
    <row r="5924" spans="1:5" x14ac:dyDescent="0.3">
      <c r="A5924" s="21" t="str">
        <f t="shared" si="92"/>
        <v>.</v>
      </c>
      <c r="D5924" s="44"/>
      <c r="E5924" s="22" t="str">
        <f>IF(D5924&lt;&gt;"",IFERROR(INDEX(Produtos!$C$4:$C$4996,MATCH(D5924,Produtos!$B$4:$B$4996,0)),"Produto não encontrado"),"")</f>
        <v/>
      </c>
    </row>
    <row r="5925" spans="1:5" x14ac:dyDescent="0.3">
      <c r="A5925" s="21" t="str">
        <f t="shared" si="92"/>
        <v>.</v>
      </c>
      <c r="D5925" s="44"/>
      <c r="E5925" s="22" t="str">
        <f>IF(D5925&lt;&gt;"",IFERROR(INDEX(Produtos!$C$4:$C$4996,MATCH(D5925,Produtos!$B$4:$B$4996,0)),"Produto não encontrado"),"")</f>
        <v/>
      </c>
    </row>
    <row r="5926" spans="1:5" x14ac:dyDescent="0.3">
      <c r="A5926" s="21" t="str">
        <f t="shared" si="92"/>
        <v>.</v>
      </c>
      <c r="D5926" s="44"/>
      <c r="E5926" s="22" t="str">
        <f>IF(D5926&lt;&gt;"",IFERROR(INDEX(Produtos!$C$4:$C$4996,MATCH(D5926,Produtos!$B$4:$B$4996,0)),"Produto não encontrado"),"")</f>
        <v/>
      </c>
    </row>
    <row r="5927" spans="1:5" x14ac:dyDescent="0.3">
      <c r="A5927" s="21" t="str">
        <f t="shared" si="92"/>
        <v>.</v>
      </c>
      <c r="D5927" s="44"/>
      <c r="E5927" s="22" t="str">
        <f>IF(D5927&lt;&gt;"",IFERROR(INDEX(Produtos!$C$4:$C$4996,MATCH(D5927,Produtos!$B$4:$B$4996,0)),"Produto não encontrado"),"")</f>
        <v/>
      </c>
    </row>
    <row r="5928" spans="1:5" x14ac:dyDescent="0.3">
      <c r="A5928" s="21" t="str">
        <f t="shared" si="92"/>
        <v>.</v>
      </c>
      <c r="D5928" s="44"/>
      <c r="E5928" s="22" t="str">
        <f>IF(D5928&lt;&gt;"",IFERROR(INDEX(Produtos!$C$4:$C$4996,MATCH(D5928,Produtos!$B$4:$B$4996,0)),"Produto não encontrado"),"")</f>
        <v/>
      </c>
    </row>
    <row r="5929" spans="1:5" x14ac:dyDescent="0.3">
      <c r="A5929" s="21" t="str">
        <f t="shared" si="92"/>
        <v>.</v>
      </c>
      <c r="D5929" s="44"/>
      <c r="E5929" s="22" t="str">
        <f>IF(D5929&lt;&gt;"",IFERROR(INDEX(Produtos!$C$4:$C$4996,MATCH(D5929,Produtos!$B$4:$B$4996,0)),"Produto não encontrado"),"")</f>
        <v/>
      </c>
    </row>
    <row r="5930" spans="1:5" x14ac:dyDescent="0.3">
      <c r="A5930" s="21" t="str">
        <f t="shared" si="92"/>
        <v>.</v>
      </c>
      <c r="D5930" s="44"/>
      <c r="E5930" s="22" t="str">
        <f>IF(D5930&lt;&gt;"",IFERROR(INDEX(Produtos!$C$4:$C$4996,MATCH(D5930,Produtos!$B$4:$B$4996,0)),"Produto não encontrado"),"")</f>
        <v/>
      </c>
    </row>
    <row r="5931" spans="1:5" x14ac:dyDescent="0.3">
      <c r="A5931" s="21" t="str">
        <f t="shared" si="92"/>
        <v>.</v>
      </c>
      <c r="D5931" s="44"/>
      <c r="E5931" s="22" t="str">
        <f>IF(D5931&lt;&gt;"",IFERROR(INDEX(Produtos!$C$4:$C$4996,MATCH(D5931,Produtos!$B$4:$B$4996,0)),"Produto não encontrado"),"")</f>
        <v/>
      </c>
    </row>
    <row r="5932" spans="1:5" x14ac:dyDescent="0.3">
      <c r="A5932" s="21" t="str">
        <f t="shared" si="92"/>
        <v>.</v>
      </c>
      <c r="D5932" s="44"/>
      <c r="E5932" s="22" t="str">
        <f>IF(D5932&lt;&gt;"",IFERROR(INDEX(Produtos!$C$4:$C$4996,MATCH(D5932,Produtos!$B$4:$B$4996,0)),"Produto não encontrado"),"")</f>
        <v/>
      </c>
    </row>
    <row r="5933" spans="1:5" x14ac:dyDescent="0.3">
      <c r="A5933" s="21" t="str">
        <f t="shared" si="92"/>
        <v>.</v>
      </c>
      <c r="D5933" s="44"/>
      <c r="E5933" s="22" t="str">
        <f>IF(D5933&lt;&gt;"",IFERROR(INDEX(Produtos!$C$4:$C$4996,MATCH(D5933,Produtos!$B$4:$B$4996,0)),"Produto não encontrado"),"")</f>
        <v/>
      </c>
    </row>
    <row r="5934" spans="1:5" x14ac:dyDescent="0.3">
      <c r="A5934" s="21" t="str">
        <f t="shared" si="92"/>
        <v>.</v>
      </c>
      <c r="D5934" s="44"/>
      <c r="E5934" s="22" t="str">
        <f>IF(D5934&lt;&gt;"",IFERROR(INDEX(Produtos!$C$4:$C$4996,MATCH(D5934,Produtos!$B$4:$B$4996,0)),"Produto não encontrado"),"")</f>
        <v/>
      </c>
    </row>
    <row r="5935" spans="1:5" x14ac:dyDescent="0.3">
      <c r="A5935" s="21" t="str">
        <f t="shared" si="92"/>
        <v>.</v>
      </c>
      <c r="D5935" s="44"/>
      <c r="E5935" s="22" t="str">
        <f>IF(D5935&lt;&gt;"",IFERROR(INDEX(Produtos!$C$4:$C$4996,MATCH(D5935,Produtos!$B$4:$B$4996,0)),"Produto não encontrado"),"")</f>
        <v/>
      </c>
    </row>
    <row r="5936" spans="1:5" x14ac:dyDescent="0.3">
      <c r="A5936" s="21" t="str">
        <f t="shared" si="92"/>
        <v>.</v>
      </c>
      <c r="D5936" s="44"/>
      <c r="E5936" s="22" t="str">
        <f>IF(D5936&lt;&gt;"",IFERROR(INDEX(Produtos!$C$4:$C$4996,MATCH(D5936,Produtos!$B$4:$B$4996,0)),"Produto não encontrado"),"")</f>
        <v/>
      </c>
    </row>
    <row r="5937" spans="1:5" x14ac:dyDescent="0.3">
      <c r="A5937" s="21" t="str">
        <f t="shared" si="92"/>
        <v>.</v>
      </c>
      <c r="D5937" s="44"/>
      <c r="E5937" s="22" t="str">
        <f>IF(D5937&lt;&gt;"",IFERROR(INDEX(Produtos!$C$4:$C$4996,MATCH(D5937,Produtos!$B$4:$B$4996,0)),"Produto não encontrado"),"")</f>
        <v/>
      </c>
    </row>
    <row r="5938" spans="1:5" x14ac:dyDescent="0.3">
      <c r="A5938" s="21" t="str">
        <f t="shared" si="92"/>
        <v>.</v>
      </c>
      <c r="D5938" s="44"/>
      <c r="E5938" s="22" t="str">
        <f>IF(D5938&lt;&gt;"",IFERROR(INDEX(Produtos!$C$4:$C$4996,MATCH(D5938,Produtos!$B$4:$B$4996,0)),"Produto não encontrado"),"")</f>
        <v/>
      </c>
    </row>
    <row r="5939" spans="1:5" x14ac:dyDescent="0.3">
      <c r="A5939" s="21" t="str">
        <f t="shared" si="92"/>
        <v>.</v>
      </c>
      <c r="D5939" s="44"/>
      <c r="E5939" s="22" t="str">
        <f>IF(D5939&lt;&gt;"",IFERROR(INDEX(Produtos!$C$4:$C$4996,MATCH(D5939,Produtos!$B$4:$B$4996,0)),"Produto não encontrado"),"")</f>
        <v/>
      </c>
    </row>
    <row r="5940" spans="1:5" x14ac:dyDescent="0.3">
      <c r="A5940" s="21" t="str">
        <f t="shared" si="92"/>
        <v>.</v>
      </c>
      <c r="D5940" s="44"/>
      <c r="E5940" s="22" t="str">
        <f>IF(D5940&lt;&gt;"",IFERROR(INDEX(Produtos!$C$4:$C$4996,MATCH(D5940,Produtos!$B$4:$B$4996,0)),"Produto não encontrado"),"")</f>
        <v/>
      </c>
    </row>
    <row r="5941" spans="1:5" x14ac:dyDescent="0.3">
      <c r="A5941" s="21" t="str">
        <f t="shared" si="92"/>
        <v>.</v>
      </c>
      <c r="D5941" s="44"/>
      <c r="E5941" s="22" t="str">
        <f>IF(D5941&lt;&gt;"",IFERROR(INDEX(Produtos!$C$4:$C$4996,MATCH(D5941,Produtos!$B$4:$B$4996,0)),"Produto não encontrado"),"")</f>
        <v/>
      </c>
    </row>
    <row r="5942" spans="1:5" x14ac:dyDescent="0.3">
      <c r="A5942" s="21" t="str">
        <f t="shared" si="92"/>
        <v>.</v>
      </c>
      <c r="D5942" s="44"/>
      <c r="E5942" s="22" t="str">
        <f>IF(D5942&lt;&gt;"",IFERROR(INDEX(Produtos!$C$4:$C$4996,MATCH(D5942,Produtos!$B$4:$B$4996,0)),"Produto não encontrado"),"")</f>
        <v/>
      </c>
    </row>
    <row r="5943" spans="1:5" x14ac:dyDescent="0.3">
      <c r="A5943" s="21" t="str">
        <f t="shared" si="92"/>
        <v>.</v>
      </c>
      <c r="D5943" s="44"/>
      <c r="E5943" s="22" t="str">
        <f>IF(D5943&lt;&gt;"",IFERROR(INDEX(Produtos!$C$4:$C$4996,MATCH(D5943,Produtos!$B$4:$B$4996,0)),"Produto não encontrado"),"")</f>
        <v/>
      </c>
    </row>
    <row r="5944" spans="1:5" x14ac:dyDescent="0.3">
      <c r="A5944" s="21" t="str">
        <f t="shared" si="92"/>
        <v>.</v>
      </c>
      <c r="D5944" s="44"/>
      <c r="E5944" s="22" t="str">
        <f>IF(D5944&lt;&gt;"",IFERROR(INDEX(Produtos!$C$4:$C$4996,MATCH(D5944,Produtos!$B$4:$B$4996,0)),"Produto não encontrado"),"")</f>
        <v/>
      </c>
    </row>
    <row r="5945" spans="1:5" x14ac:dyDescent="0.3">
      <c r="A5945" s="21" t="str">
        <f t="shared" si="92"/>
        <v>.</v>
      </c>
      <c r="D5945" s="44"/>
      <c r="E5945" s="22" t="str">
        <f>IF(D5945&lt;&gt;"",IFERROR(INDEX(Produtos!$C$4:$C$4996,MATCH(D5945,Produtos!$B$4:$B$4996,0)),"Produto não encontrado"),"")</f>
        <v/>
      </c>
    </row>
    <row r="5946" spans="1:5" x14ac:dyDescent="0.3">
      <c r="A5946" s="21" t="str">
        <f t="shared" si="92"/>
        <v>.</v>
      </c>
      <c r="D5946" s="44"/>
      <c r="E5946" s="22" t="str">
        <f>IF(D5946&lt;&gt;"",IFERROR(INDEX(Produtos!$C$4:$C$4996,MATCH(D5946,Produtos!$B$4:$B$4996,0)),"Produto não encontrado"),"")</f>
        <v/>
      </c>
    </row>
    <row r="5947" spans="1:5" x14ac:dyDescent="0.3">
      <c r="A5947" s="21" t="str">
        <f t="shared" si="92"/>
        <v>.</v>
      </c>
      <c r="D5947" s="44"/>
      <c r="E5947" s="22" t="str">
        <f>IF(D5947&lt;&gt;"",IFERROR(INDEX(Produtos!$C$4:$C$4996,MATCH(D5947,Produtos!$B$4:$B$4996,0)),"Produto não encontrado"),"")</f>
        <v/>
      </c>
    </row>
    <row r="5948" spans="1:5" x14ac:dyDescent="0.3">
      <c r="A5948" s="21" t="str">
        <f t="shared" si="92"/>
        <v>.</v>
      </c>
      <c r="D5948" s="44"/>
      <c r="E5948" s="22" t="str">
        <f>IF(D5948&lt;&gt;"",IFERROR(INDEX(Produtos!$C$4:$C$4996,MATCH(D5948,Produtos!$B$4:$B$4996,0)),"Produto não encontrado"),"")</f>
        <v/>
      </c>
    </row>
    <row r="5949" spans="1:5" x14ac:dyDescent="0.3">
      <c r="A5949" s="21" t="str">
        <f t="shared" si="92"/>
        <v>.</v>
      </c>
      <c r="D5949" s="44"/>
      <c r="E5949" s="22" t="str">
        <f>IF(D5949&lt;&gt;"",IFERROR(INDEX(Produtos!$C$4:$C$4996,MATCH(D5949,Produtos!$B$4:$B$4996,0)),"Produto não encontrado"),"")</f>
        <v/>
      </c>
    </row>
    <row r="5950" spans="1:5" x14ac:dyDescent="0.3">
      <c r="A5950" s="21" t="str">
        <f t="shared" si="92"/>
        <v>.</v>
      </c>
      <c r="D5950" s="44"/>
      <c r="E5950" s="22" t="str">
        <f>IF(D5950&lt;&gt;"",IFERROR(INDEX(Produtos!$C$4:$C$4996,MATCH(D5950,Produtos!$B$4:$B$4996,0)),"Produto não encontrado"),"")</f>
        <v/>
      </c>
    </row>
    <row r="5951" spans="1:5" x14ac:dyDescent="0.3">
      <c r="A5951" s="21" t="str">
        <f t="shared" si="92"/>
        <v>.</v>
      </c>
      <c r="D5951" s="44"/>
      <c r="E5951" s="22" t="str">
        <f>IF(D5951&lt;&gt;"",IFERROR(INDEX(Produtos!$C$4:$C$4996,MATCH(D5951,Produtos!$B$4:$B$4996,0)),"Produto não encontrado"),"")</f>
        <v/>
      </c>
    </row>
    <row r="5952" spans="1:5" x14ac:dyDescent="0.3">
      <c r="A5952" s="21" t="str">
        <f t="shared" ref="A5952:A6015" si="93">IF(C5952="Entrada",2,IF(C5952="Saída",1,"."))</f>
        <v>.</v>
      </c>
      <c r="D5952" s="44"/>
      <c r="E5952" s="22" t="str">
        <f>IF(D5952&lt;&gt;"",IFERROR(INDEX(Produtos!$C$4:$C$4996,MATCH(D5952,Produtos!$B$4:$B$4996,0)),"Produto não encontrado"),"")</f>
        <v/>
      </c>
    </row>
    <row r="5953" spans="1:5" x14ac:dyDescent="0.3">
      <c r="A5953" s="21" t="str">
        <f t="shared" si="93"/>
        <v>.</v>
      </c>
      <c r="D5953" s="44"/>
      <c r="E5953" s="22" t="str">
        <f>IF(D5953&lt;&gt;"",IFERROR(INDEX(Produtos!$C$4:$C$4996,MATCH(D5953,Produtos!$B$4:$B$4996,0)),"Produto não encontrado"),"")</f>
        <v/>
      </c>
    </row>
    <row r="5954" spans="1:5" x14ac:dyDescent="0.3">
      <c r="A5954" s="21" t="str">
        <f t="shared" si="93"/>
        <v>.</v>
      </c>
      <c r="D5954" s="44"/>
      <c r="E5954" s="22" t="str">
        <f>IF(D5954&lt;&gt;"",IFERROR(INDEX(Produtos!$C$4:$C$4996,MATCH(D5954,Produtos!$B$4:$B$4996,0)),"Produto não encontrado"),"")</f>
        <v/>
      </c>
    </row>
    <row r="5955" spans="1:5" x14ac:dyDescent="0.3">
      <c r="A5955" s="21" t="str">
        <f t="shared" si="93"/>
        <v>.</v>
      </c>
      <c r="D5955" s="44"/>
      <c r="E5955" s="22" t="str">
        <f>IF(D5955&lt;&gt;"",IFERROR(INDEX(Produtos!$C$4:$C$4996,MATCH(D5955,Produtos!$B$4:$B$4996,0)),"Produto não encontrado"),"")</f>
        <v/>
      </c>
    </row>
    <row r="5956" spans="1:5" x14ac:dyDescent="0.3">
      <c r="A5956" s="21" t="str">
        <f t="shared" si="93"/>
        <v>.</v>
      </c>
      <c r="D5956" s="44"/>
      <c r="E5956" s="22" t="str">
        <f>IF(D5956&lt;&gt;"",IFERROR(INDEX(Produtos!$C$4:$C$4996,MATCH(D5956,Produtos!$B$4:$B$4996,0)),"Produto não encontrado"),"")</f>
        <v/>
      </c>
    </row>
    <row r="5957" spans="1:5" x14ac:dyDescent="0.3">
      <c r="A5957" s="21" t="str">
        <f t="shared" si="93"/>
        <v>.</v>
      </c>
      <c r="D5957" s="44"/>
      <c r="E5957" s="22" t="str">
        <f>IF(D5957&lt;&gt;"",IFERROR(INDEX(Produtos!$C$4:$C$4996,MATCH(D5957,Produtos!$B$4:$B$4996,0)),"Produto não encontrado"),"")</f>
        <v/>
      </c>
    </row>
    <row r="5958" spans="1:5" x14ac:dyDescent="0.3">
      <c r="A5958" s="21" t="str">
        <f t="shared" si="93"/>
        <v>.</v>
      </c>
      <c r="D5958" s="44"/>
      <c r="E5958" s="22" t="str">
        <f>IF(D5958&lt;&gt;"",IFERROR(INDEX(Produtos!$C$4:$C$4996,MATCH(D5958,Produtos!$B$4:$B$4996,0)),"Produto não encontrado"),"")</f>
        <v/>
      </c>
    </row>
    <row r="5959" spans="1:5" x14ac:dyDescent="0.3">
      <c r="A5959" s="21" t="str">
        <f t="shared" si="93"/>
        <v>.</v>
      </c>
      <c r="D5959" s="44"/>
      <c r="E5959" s="22" t="str">
        <f>IF(D5959&lt;&gt;"",IFERROR(INDEX(Produtos!$C$4:$C$4996,MATCH(D5959,Produtos!$B$4:$B$4996,0)),"Produto não encontrado"),"")</f>
        <v/>
      </c>
    </row>
    <row r="5960" spans="1:5" x14ac:dyDescent="0.3">
      <c r="A5960" s="21" t="str">
        <f t="shared" si="93"/>
        <v>.</v>
      </c>
      <c r="D5960" s="44"/>
      <c r="E5960" s="22" t="str">
        <f>IF(D5960&lt;&gt;"",IFERROR(INDEX(Produtos!$C$4:$C$4996,MATCH(D5960,Produtos!$B$4:$B$4996,0)),"Produto não encontrado"),"")</f>
        <v/>
      </c>
    </row>
    <row r="5961" spans="1:5" x14ac:dyDescent="0.3">
      <c r="A5961" s="21" t="str">
        <f t="shared" si="93"/>
        <v>.</v>
      </c>
      <c r="D5961" s="44"/>
      <c r="E5961" s="22" t="str">
        <f>IF(D5961&lt;&gt;"",IFERROR(INDEX(Produtos!$C$4:$C$4996,MATCH(D5961,Produtos!$B$4:$B$4996,0)),"Produto não encontrado"),"")</f>
        <v/>
      </c>
    </row>
    <row r="5962" spans="1:5" x14ac:dyDescent="0.3">
      <c r="A5962" s="21" t="str">
        <f t="shared" si="93"/>
        <v>.</v>
      </c>
      <c r="D5962" s="44"/>
      <c r="E5962" s="22" t="str">
        <f>IF(D5962&lt;&gt;"",IFERROR(INDEX(Produtos!$C$4:$C$4996,MATCH(D5962,Produtos!$B$4:$B$4996,0)),"Produto não encontrado"),"")</f>
        <v/>
      </c>
    </row>
    <row r="5963" spans="1:5" x14ac:dyDescent="0.3">
      <c r="A5963" s="21" t="str">
        <f t="shared" si="93"/>
        <v>.</v>
      </c>
      <c r="D5963" s="44"/>
      <c r="E5963" s="22" t="str">
        <f>IF(D5963&lt;&gt;"",IFERROR(INDEX(Produtos!$C$4:$C$4996,MATCH(D5963,Produtos!$B$4:$B$4996,0)),"Produto não encontrado"),"")</f>
        <v/>
      </c>
    </row>
    <row r="5964" spans="1:5" x14ac:dyDescent="0.3">
      <c r="A5964" s="21" t="str">
        <f t="shared" si="93"/>
        <v>.</v>
      </c>
      <c r="D5964" s="44"/>
      <c r="E5964" s="22" t="str">
        <f>IF(D5964&lt;&gt;"",IFERROR(INDEX(Produtos!$C$4:$C$4996,MATCH(D5964,Produtos!$B$4:$B$4996,0)),"Produto não encontrado"),"")</f>
        <v/>
      </c>
    </row>
    <row r="5965" spans="1:5" x14ac:dyDescent="0.3">
      <c r="A5965" s="21" t="str">
        <f t="shared" si="93"/>
        <v>.</v>
      </c>
      <c r="D5965" s="44"/>
      <c r="E5965" s="22" t="str">
        <f>IF(D5965&lt;&gt;"",IFERROR(INDEX(Produtos!$C$4:$C$4996,MATCH(D5965,Produtos!$B$4:$B$4996,0)),"Produto não encontrado"),"")</f>
        <v/>
      </c>
    </row>
    <row r="5966" spans="1:5" x14ac:dyDescent="0.3">
      <c r="A5966" s="21" t="str">
        <f t="shared" si="93"/>
        <v>.</v>
      </c>
      <c r="D5966" s="44"/>
      <c r="E5966" s="22" t="str">
        <f>IF(D5966&lt;&gt;"",IFERROR(INDEX(Produtos!$C$4:$C$4996,MATCH(D5966,Produtos!$B$4:$B$4996,0)),"Produto não encontrado"),"")</f>
        <v/>
      </c>
    </row>
    <row r="5967" spans="1:5" x14ac:dyDescent="0.3">
      <c r="A5967" s="21" t="str">
        <f t="shared" si="93"/>
        <v>.</v>
      </c>
      <c r="D5967" s="44"/>
      <c r="E5967" s="22" t="str">
        <f>IF(D5967&lt;&gt;"",IFERROR(INDEX(Produtos!$C$4:$C$4996,MATCH(D5967,Produtos!$B$4:$B$4996,0)),"Produto não encontrado"),"")</f>
        <v/>
      </c>
    </row>
    <row r="5968" spans="1:5" x14ac:dyDescent="0.3">
      <c r="A5968" s="21" t="str">
        <f t="shared" si="93"/>
        <v>.</v>
      </c>
      <c r="D5968" s="44"/>
      <c r="E5968" s="22" t="str">
        <f>IF(D5968&lt;&gt;"",IFERROR(INDEX(Produtos!$C$4:$C$4996,MATCH(D5968,Produtos!$B$4:$B$4996,0)),"Produto não encontrado"),"")</f>
        <v/>
      </c>
    </row>
    <row r="5969" spans="1:5" x14ac:dyDescent="0.3">
      <c r="A5969" s="21" t="str">
        <f t="shared" si="93"/>
        <v>.</v>
      </c>
      <c r="D5969" s="44"/>
      <c r="E5969" s="22" t="str">
        <f>IF(D5969&lt;&gt;"",IFERROR(INDEX(Produtos!$C$4:$C$4996,MATCH(D5969,Produtos!$B$4:$B$4996,0)),"Produto não encontrado"),"")</f>
        <v/>
      </c>
    </row>
    <row r="5970" spans="1:5" x14ac:dyDescent="0.3">
      <c r="A5970" s="21" t="str">
        <f t="shared" si="93"/>
        <v>.</v>
      </c>
      <c r="D5970" s="44"/>
      <c r="E5970" s="22" t="str">
        <f>IF(D5970&lt;&gt;"",IFERROR(INDEX(Produtos!$C$4:$C$4996,MATCH(D5970,Produtos!$B$4:$B$4996,0)),"Produto não encontrado"),"")</f>
        <v/>
      </c>
    </row>
    <row r="5971" spans="1:5" x14ac:dyDescent="0.3">
      <c r="A5971" s="21" t="str">
        <f t="shared" si="93"/>
        <v>.</v>
      </c>
      <c r="D5971" s="44"/>
      <c r="E5971" s="22" t="str">
        <f>IF(D5971&lt;&gt;"",IFERROR(INDEX(Produtos!$C$4:$C$4996,MATCH(D5971,Produtos!$B$4:$B$4996,0)),"Produto não encontrado"),"")</f>
        <v/>
      </c>
    </row>
    <row r="5972" spans="1:5" x14ac:dyDescent="0.3">
      <c r="A5972" s="21" t="str">
        <f t="shared" si="93"/>
        <v>.</v>
      </c>
      <c r="D5972" s="44"/>
      <c r="E5972" s="22" t="str">
        <f>IF(D5972&lt;&gt;"",IFERROR(INDEX(Produtos!$C$4:$C$4996,MATCH(D5972,Produtos!$B$4:$B$4996,0)),"Produto não encontrado"),"")</f>
        <v/>
      </c>
    </row>
    <row r="5973" spans="1:5" x14ac:dyDescent="0.3">
      <c r="A5973" s="21" t="str">
        <f t="shared" si="93"/>
        <v>.</v>
      </c>
      <c r="D5973" s="44"/>
      <c r="E5973" s="22" t="str">
        <f>IF(D5973&lt;&gt;"",IFERROR(INDEX(Produtos!$C$4:$C$4996,MATCH(D5973,Produtos!$B$4:$B$4996,0)),"Produto não encontrado"),"")</f>
        <v/>
      </c>
    </row>
    <row r="5974" spans="1:5" x14ac:dyDescent="0.3">
      <c r="A5974" s="21" t="str">
        <f t="shared" si="93"/>
        <v>.</v>
      </c>
      <c r="D5974" s="44"/>
      <c r="E5974" s="22" t="str">
        <f>IF(D5974&lt;&gt;"",IFERROR(INDEX(Produtos!$C$4:$C$4996,MATCH(D5974,Produtos!$B$4:$B$4996,0)),"Produto não encontrado"),"")</f>
        <v/>
      </c>
    </row>
    <row r="5975" spans="1:5" x14ac:dyDescent="0.3">
      <c r="A5975" s="21" t="str">
        <f t="shared" si="93"/>
        <v>.</v>
      </c>
      <c r="D5975" s="44"/>
      <c r="E5975" s="22" t="str">
        <f>IF(D5975&lt;&gt;"",IFERROR(INDEX(Produtos!$C$4:$C$4996,MATCH(D5975,Produtos!$B$4:$B$4996,0)),"Produto não encontrado"),"")</f>
        <v/>
      </c>
    </row>
    <row r="5976" spans="1:5" x14ac:dyDescent="0.3">
      <c r="A5976" s="21" t="str">
        <f t="shared" si="93"/>
        <v>.</v>
      </c>
      <c r="D5976" s="44"/>
      <c r="E5976" s="22" t="str">
        <f>IF(D5976&lt;&gt;"",IFERROR(INDEX(Produtos!$C$4:$C$4996,MATCH(D5976,Produtos!$B$4:$B$4996,0)),"Produto não encontrado"),"")</f>
        <v/>
      </c>
    </row>
    <row r="5977" spans="1:5" x14ac:dyDescent="0.3">
      <c r="A5977" s="21" t="str">
        <f t="shared" si="93"/>
        <v>.</v>
      </c>
      <c r="D5977" s="44"/>
      <c r="E5977" s="22" t="str">
        <f>IF(D5977&lt;&gt;"",IFERROR(INDEX(Produtos!$C$4:$C$4996,MATCH(D5977,Produtos!$B$4:$B$4996,0)),"Produto não encontrado"),"")</f>
        <v/>
      </c>
    </row>
    <row r="5978" spans="1:5" x14ac:dyDescent="0.3">
      <c r="A5978" s="21" t="str">
        <f t="shared" si="93"/>
        <v>.</v>
      </c>
      <c r="D5978" s="44"/>
      <c r="E5978" s="22" t="str">
        <f>IF(D5978&lt;&gt;"",IFERROR(INDEX(Produtos!$C$4:$C$4996,MATCH(D5978,Produtos!$B$4:$B$4996,0)),"Produto não encontrado"),"")</f>
        <v/>
      </c>
    </row>
    <row r="5979" spans="1:5" x14ac:dyDescent="0.3">
      <c r="A5979" s="21" t="str">
        <f t="shared" si="93"/>
        <v>.</v>
      </c>
      <c r="D5979" s="44"/>
      <c r="E5979" s="22" t="str">
        <f>IF(D5979&lt;&gt;"",IFERROR(INDEX(Produtos!$C$4:$C$4996,MATCH(D5979,Produtos!$B$4:$B$4996,0)),"Produto não encontrado"),"")</f>
        <v/>
      </c>
    </row>
    <row r="5980" spans="1:5" x14ac:dyDescent="0.3">
      <c r="A5980" s="21" t="str">
        <f t="shared" si="93"/>
        <v>.</v>
      </c>
      <c r="D5980" s="44"/>
      <c r="E5980" s="22" t="str">
        <f>IF(D5980&lt;&gt;"",IFERROR(INDEX(Produtos!$C$4:$C$4996,MATCH(D5980,Produtos!$B$4:$B$4996,0)),"Produto não encontrado"),"")</f>
        <v/>
      </c>
    </row>
    <row r="5981" spans="1:5" x14ac:dyDescent="0.3">
      <c r="A5981" s="21" t="str">
        <f t="shared" si="93"/>
        <v>.</v>
      </c>
      <c r="D5981" s="44"/>
      <c r="E5981" s="22" t="str">
        <f>IF(D5981&lt;&gt;"",IFERROR(INDEX(Produtos!$C$4:$C$4996,MATCH(D5981,Produtos!$B$4:$B$4996,0)),"Produto não encontrado"),"")</f>
        <v/>
      </c>
    </row>
    <row r="5982" spans="1:5" x14ac:dyDescent="0.3">
      <c r="A5982" s="21" t="str">
        <f t="shared" si="93"/>
        <v>.</v>
      </c>
      <c r="D5982" s="44"/>
      <c r="E5982" s="22" t="str">
        <f>IF(D5982&lt;&gt;"",IFERROR(INDEX(Produtos!$C$4:$C$4996,MATCH(D5982,Produtos!$B$4:$B$4996,0)),"Produto não encontrado"),"")</f>
        <v/>
      </c>
    </row>
    <row r="5983" spans="1:5" x14ac:dyDescent="0.3">
      <c r="A5983" s="21" t="str">
        <f t="shared" si="93"/>
        <v>.</v>
      </c>
      <c r="D5983" s="44"/>
      <c r="E5983" s="22" t="str">
        <f>IF(D5983&lt;&gt;"",IFERROR(INDEX(Produtos!$C$4:$C$4996,MATCH(D5983,Produtos!$B$4:$B$4996,0)),"Produto não encontrado"),"")</f>
        <v/>
      </c>
    </row>
    <row r="5984" spans="1:5" x14ac:dyDescent="0.3">
      <c r="A5984" s="21" t="str">
        <f t="shared" si="93"/>
        <v>.</v>
      </c>
      <c r="D5984" s="44"/>
      <c r="E5984" s="22" t="str">
        <f>IF(D5984&lt;&gt;"",IFERROR(INDEX(Produtos!$C$4:$C$4996,MATCH(D5984,Produtos!$B$4:$B$4996,0)),"Produto não encontrado"),"")</f>
        <v/>
      </c>
    </row>
    <row r="5985" spans="1:5" x14ac:dyDescent="0.3">
      <c r="A5985" s="21" t="str">
        <f t="shared" si="93"/>
        <v>.</v>
      </c>
      <c r="D5985" s="44"/>
      <c r="E5985" s="22" t="str">
        <f>IF(D5985&lt;&gt;"",IFERROR(INDEX(Produtos!$C$4:$C$4996,MATCH(D5985,Produtos!$B$4:$B$4996,0)),"Produto não encontrado"),"")</f>
        <v/>
      </c>
    </row>
    <row r="5986" spans="1:5" x14ac:dyDescent="0.3">
      <c r="A5986" s="21" t="str">
        <f t="shared" si="93"/>
        <v>.</v>
      </c>
      <c r="D5986" s="44"/>
      <c r="E5986" s="22" t="str">
        <f>IF(D5986&lt;&gt;"",IFERROR(INDEX(Produtos!$C$4:$C$4996,MATCH(D5986,Produtos!$B$4:$B$4996,0)),"Produto não encontrado"),"")</f>
        <v/>
      </c>
    </row>
    <row r="5987" spans="1:5" x14ac:dyDescent="0.3">
      <c r="A5987" s="21" t="str">
        <f t="shared" si="93"/>
        <v>.</v>
      </c>
      <c r="D5987" s="44"/>
      <c r="E5987" s="22" t="str">
        <f>IF(D5987&lt;&gt;"",IFERROR(INDEX(Produtos!$C$4:$C$4996,MATCH(D5987,Produtos!$B$4:$B$4996,0)),"Produto não encontrado"),"")</f>
        <v/>
      </c>
    </row>
    <row r="5988" spans="1:5" x14ac:dyDescent="0.3">
      <c r="A5988" s="21" t="str">
        <f t="shared" si="93"/>
        <v>.</v>
      </c>
      <c r="D5988" s="44"/>
      <c r="E5988" s="22" t="str">
        <f>IF(D5988&lt;&gt;"",IFERROR(INDEX(Produtos!$C$4:$C$4996,MATCH(D5988,Produtos!$B$4:$B$4996,0)),"Produto não encontrado"),"")</f>
        <v/>
      </c>
    </row>
    <row r="5989" spans="1:5" x14ac:dyDescent="0.3">
      <c r="A5989" s="21" t="str">
        <f t="shared" si="93"/>
        <v>.</v>
      </c>
      <c r="D5989" s="44"/>
      <c r="E5989" s="22" t="str">
        <f>IF(D5989&lt;&gt;"",IFERROR(INDEX(Produtos!$C$4:$C$4996,MATCH(D5989,Produtos!$B$4:$B$4996,0)),"Produto não encontrado"),"")</f>
        <v/>
      </c>
    </row>
    <row r="5990" spans="1:5" x14ac:dyDescent="0.3">
      <c r="A5990" s="21" t="str">
        <f t="shared" si="93"/>
        <v>.</v>
      </c>
      <c r="D5990" s="44"/>
      <c r="E5990" s="22" t="str">
        <f>IF(D5990&lt;&gt;"",IFERROR(INDEX(Produtos!$C$4:$C$4996,MATCH(D5990,Produtos!$B$4:$B$4996,0)),"Produto não encontrado"),"")</f>
        <v/>
      </c>
    </row>
    <row r="5991" spans="1:5" x14ac:dyDescent="0.3">
      <c r="A5991" s="21" t="str">
        <f t="shared" si="93"/>
        <v>.</v>
      </c>
      <c r="D5991" s="44"/>
      <c r="E5991" s="22" t="str">
        <f>IF(D5991&lt;&gt;"",IFERROR(INDEX(Produtos!$C$4:$C$4996,MATCH(D5991,Produtos!$B$4:$B$4996,0)),"Produto não encontrado"),"")</f>
        <v/>
      </c>
    </row>
    <row r="5992" spans="1:5" x14ac:dyDescent="0.3">
      <c r="A5992" s="21" t="str">
        <f t="shared" si="93"/>
        <v>.</v>
      </c>
      <c r="D5992" s="44"/>
      <c r="E5992" s="22" t="str">
        <f>IF(D5992&lt;&gt;"",IFERROR(INDEX(Produtos!$C$4:$C$4996,MATCH(D5992,Produtos!$B$4:$B$4996,0)),"Produto não encontrado"),"")</f>
        <v/>
      </c>
    </row>
    <row r="5993" spans="1:5" x14ac:dyDescent="0.3">
      <c r="A5993" s="21" t="str">
        <f t="shared" si="93"/>
        <v>.</v>
      </c>
      <c r="D5993" s="44"/>
      <c r="E5993" s="22" t="str">
        <f>IF(D5993&lt;&gt;"",IFERROR(INDEX(Produtos!$C$4:$C$4996,MATCH(D5993,Produtos!$B$4:$B$4996,0)),"Produto não encontrado"),"")</f>
        <v/>
      </c>
    </row>
    <row r="5994" spans="1:5" x14ac:dyDescent="0.3">
      <c r="A5994" s="21" t="str">
        <f t="shared" si="93"/>
        <v>.</v>
      </c>
      <c r="D5994" s="44"/>
      <c r="E5994" s="22" t="str">
        <f>IF(D5994&lt;&gt;"",IFERROR(INDEX(Produtos!$C$4:$C$4996,MATCH(D5994,Produtos!$B$4:$B$4996,0)),"Produto não encontrado"),"")</f>
        <v/>
      </c>
    </row>
    <row r="5995" spans="1:5" x14ac:dyDescent="0.3">
      <c r="A5995" s="21" t="str">
        <f t="shared" si="93"/>
        <v>.</v>
      </c>
      <c r="D5995" s="44"/>
      <c r="E5995" s="22" t="str">
        <f>IF(D5995&lt;&gt;"",IFERROR(INDEX(Produtos!$C$4:$C$4996,MATCH(D5995,Produtos!$B$4:$B$4996,0)),"Produto não encontrado"),"")</f>
        <v/>
      </c>
    </row>
    <row r="5996" spans="1:5" x14ac:dyDescent="0.3">
      <c r="A5996" s="21" t="str">
        <f t="shared" si="93"/>
        <v>.</v>
      </c>
      <c r="D5996" s="44"/>
      <c r="E5996" s="22" t="str">
        <f>IF(D5996&lt;&gt;"",IFERROR(INDEX(Produtos!$C$4:$C$4996,MATCH(D5996,Produtos!$B$4:$B$4996,0)),"Produto não encontrado"),"")</f>
        <v/>
      </c>
    </row>
    <row r="5997" spans="1:5" x14ac:dyDescent="0.3">
      <c r="A5997" s="21" t="str">
        <f t="shared" si="93"/>
        <v>.</v>
      </c>
      <c r="D5997" s="44"/>
      <c r="E5997" s="22" t="str">
        <f>IF(D5997&lt;&gt;"",IFERROR(INDEX(Produtos!$C$4:$C$4996,MATCH(D5997,Produtos!$B$4:$B$4996,0)),"Produto não encontrado"),"")</f>
        <v/>
      </c>
    </row>
    <row r="5998" spans="1:5" x14ac:dyDescent="0.3">
      <c r="A5998" s="21" t="str">
        <f t="shared" si="93"/>
        <v>.</v>
      </c>
      <c r="D5998" s="44"/>
      <c r="E5998" s="22" t="str">
        <f>IF(D5998&lt;&gt;"",IFERROR(INDEX(Produtos!$C$4:$C$4996,MATCH(D5998,Produtos!$B$4:$B$4996,0)),"Produto não encontrado"),"")</f>
        <v/>
      </c>
    </row>
    <row r="5999" spans="1:5" x14ac:dyDescent="0.3">
      <c r="A5999" s="21" t="str">
        <f t="shared" si="93"/>
        <v>.</v>
      </c>
      <c r="D5999" s="44"/>
      <c r="E5999" s="22" t="str">
        <f>IF(D5999&lt;&gt;"",IFERROR(INDEX(Produtos!$C$4:$C$4996,MATCH(D5999,Produtos!$B$4:$B$4996,0)),"Produto não encontrado"),"")</f>
        <v/>
      </c>
    </row>
    <row r="6000" spans="1:5" x14ac:dyDescent="0.3">
      <c r="A6000" s="21" t="str">
        <f t="shared" si="93"/>
        <v>.</v>
      </c>
      <c r="D6000" s="44"/>
      <c r="E6000" s="22" t="str">
        <f>IF(D6000&lt;&gt;"",IFERROR(INDEX(Produtos!$C$4:$C$4996,MATCH(D6000,Produtos!$B$4:$B$4996,0)),"Produto não encontrado"),"")</f>
        <v/>
      </c>
    </row>
    <row r="6001" spans="1:5" x14ac:dyDescent="0.3">
      <c r="A6001" s="21" t="str">
        <f t="shared" si="93"/>
        <v>.</v>
      </c>
      <c r="D6001" s="44"/>
      <c r="E6001" s="22" t="str">
        <f>IF(D6001&lt;&gt;"",IFERROR(INDEX(Produtos!$C$4:$C$4996,MATCH(D6001,Produtos!$B$4:$B$4996,0)),"Produto não encontrado"),"")</f>
        <v/>
      </c>
    </row>
    <row r="6002" spans="1:5" x14ac:dyDescent="0.3">
      <c r="A6002" s="21" t="str">
        <f t="shared" si="93"/>
        <v>.</v>
      </c>
      <c r="D6002" s="44"/>
      <c r="E6002" s="22" t="str">
        <f>IF(D6002&lt;&gt;"",IFERROR(INDEX(Produtos!$C$4:$C$4996,MATCH(D6002,Produtos!$B$4:$B$4996,0)),"Produto não encontrado"),"")</f>
        <v/>
      </c>
    </row>
    <row r="6003" spans="1:5" x14ac:dyDescent="0.3">
      <c r="A6003" s="21" t="str">
        <f t="shared" si="93"/>
        <v>.</v>
      </c>
      <c r="D6003" s="44"/>
      <c r="E6003" s="22" t="str">
        <f>IF(D6003&lt;&gt;"",IFERROR(INDEX(Produtos!$C$4:$C$4996,MATCH(D6003,Produtos!$B$4:$B$4996,0)),"Produto não encontrado"),"")</f>
        <v/>
      </c>
    </row>
    <row r="6004" spans="1:5" x14ac:dyDescent="0.3">
      <c r="A6004" s="21" t="str">
        <f t="shared" si="93"/>
        <v>.</v>
      </c>
      <c r="D6004" s="44"/>
      <c r="E6004" s="22" t="str">
        <f>IF(D6004&lt;&gt;"",IFERROR(INDEX(Produtos!$C$4:$C$4996,MATCH(D6004,Produtos!$B$4:$B$4996,0)),"Produto não encontrado"),"")</f>
        <v/>
      </c>
    </row>
    <row r="6005" spans="1:5" x14ac:dyDescent="0.3">
      <c r="A6005" s="21" t="str">
        <f t="shared" si="93"/>
        <v>.</v>
      </c>
      <c r="D6005" s="44"/>
      <c r="E6005" s="22" t="str">
        <f>IF(D6005&lt;&gt;"",IFERROR(INDEX(Produtos!$C$4:$C$4996,MATCH(D6005,Produtos!$B$4:$B$4996,0)),"Produto não encontrado"),"")</f>
        <v/>
      </c>
    </row>
    <row r="6006" spans="1:5" x14ac:dyDescent="0.3">
      <c r="A6006" s="21" t="str">
        <f t="shared" si="93"/>
        <v>.</v>
      </c>
      <c r="D6006" s="44"/>
      <c r="E6006" s="22" t="str">
        <f>IF(D6006&lt;&gt;"",IFERROR(INDEX(Produtos!$C$4:$C$4996,MATCH(D6006,Produtos!$B$4:$B$4996,0)),"Produto não encontrado"),"")</f>
        <v/>
      </c>
    </row>
    <row r="6007" spans="1:5" x14ac:dyDescent="0.3">
      <c r="A6007" s="21" t="str">
        <f t="shared" si="93"/>
        <v>.</v>
      </c>
      <c r="D6007" s="44"/>
      <c r="E6007" s="22" t="str">
        <f>IF(D6007&lt;&gt;"",IFERROR(INDEX(Produtos!$C$4:$C$4996,MATCH(D6007,Produtos!$B$4:$B$4996,0)),"Produto não encontrado"),"")</f>
        <v/>
      </c>
    </row>
    <row r="6008" spans="1:5" x14ac:dyDescent="0.3">
      <c r="A6008" s="21" t="str">
        <f t="shared" si="93"/>
        <v>.</v>
      </c>
      <c r="D6008" s="44"/>
      <c r="E6008" s="22" t="str">
        <f>IF(D6008&lt;&gt;"",IFERROR(INDEX(Produtos!$C$4:$C$4996,MATCH(D6008,Produtos!$B$4:$B$4996,0)),"Produto não encontrado"),"")</f>
        <v/>
      </c>
    </row>
    <row r="6009" spans="1:5" x14ac:dyDescent="0.3">
      <c r="A6009" s="21" t="str">
        <f t="shared" si="93"/>
        <v>.</v>
      </c>
      <c r="D6009" s="44"/>
      <c r="E6009" s="22" t="str">
        <f>IF(D6009&lt;&gt;"",IFERROR(INDEX(Produtos!$C$4:$C$4996,MATCH(D6009,Produtos!$B$4:$B$4996,0)),"Produto não encontrado"),"")</f>
        <v/>
      </c>
    </row>
    <row r="6010" spans="1:5" x14ac:dyDescent="0.3">
      <c r="A6010" s="21" t="str">
        <f t="shared" si="93"/>
        <v>.</v>
      </c>
      <c r="D6010" s="44"/>
      <c r="E6010" s="22" t="str">
        <f>IF(D6010&lt;&gt;"",IFERROR(INDEX(Produtos!$C$4:$C$4996,MATCH(D6010,Produtos!$B$4:$B$4996,0)),"Produto não encontrado"),"")</f>
        <v/>
      </c>
    </row>
    <row r="6011" spans="1:5" x14ac:dyDescent="0.3">
      <c r="A6011" s="21" t="str">
        <f t="shared" si="93"/>
        <v>.</v>
      </c>
      <c r="D6011" s="44"/>
      <c r="E6011" s="22" t="str">
        <f>IF(D6011&lt;&gt;"",IFERROR(INDEX(Produtos!$C$4:$C$4996,MATCH(D6011,Produtos!$B$4:$B$4996,0)),"Produto não encontrado"),"")</f>
        <v/>
      </c>
    </row>
    <row r="6012" spans="1:5" x14ac:dyDescent="0.3">
      <c r="A6012" s="21" t="str">
        <f t="shared" si="93"/>
        <v>.</v>
      </c>
      <c r="D6012" s="44"/>
      <c r="E6012" s="22" t="str">
        <f>IF(D6012&lt;&gt;"",IFERROR(INDEX(Produtos!$C$4:$C$4996,MATCH(D6012,Produtos!$B$4:$B$4996,0)),"Produto não encontrado"),"")</f>
        <v/>
      </c>
    </row>
    <row r="6013" spans="1:5" x14ac:dyDescent="0.3">
      <c r="A6013" s="21" t="str">
        <f t="shared" si="93"/>
        <v>.</v>
      </c>
      <c r="D6013" s="44"/>
      <c r="E6013" s="22" t="str">
        <f>IF(D6013&lt;&gt;"",IFERROR(INDEX(Produtos!$C$4:$C$4996,MATCH(D6013,Produtos!$B$4:$B$4996,0)),"Produto não encontrado"),"")</f>
        <v/>
      </c>
    </row>
    <row r="6014" spans="1:5" x14ac:dyDescent="0.3">
      <c r="A6014" s="21" t="str">
        <f t="shared" si="93"/>
        <v>.</v>
      </c>
      <c r="D6014" s="44"/>
      <c r="E6014" s="22" t="str">
        <f>IF(D6014&lt;&gt;"",IFERROR(INDEX(Produtos!$C$4:$C$4996,MATCH(D6014,Produtos!$B$4:$B$4996,0)),"Produto não encontrado"),"")</f>
        <v/>
      </c>
    </row>
    <row r="6015" spans="1:5" x14ac:dyDescent="0.3">
      <c r="A6015" s="21" t="str">
        <f t="shared" si="93"/>
        <v>.</v>
      </c>
      <c r="D6015" s="44"/>
      <c r="E6015" s="22" t="str">
        <f>IF(D6015&lt;&gt;"",IFERROR(INDEX(Produtos!$C$4:$C$4996,MATCH(D6015,Produtos!$B$4:$B$4996,0)),"Produto não encontrado"),"")</f>
        <v/>
      </c>
    </row>
    <row r="6016" spans="1:5" x14ac:dyDescent="0.3">
      <c r="A6016" s="21" t="str">
        <f t="shared" ref="A6016:A6079" si="94">IF(C6016="Entrada",2,IF(C6016="Saída",1,"."))</f>
        <v>.</v>
      </c>
      <c r="D6016" s="44"/>
      <c r="E6016" s="22" t="str">
        <f>IF(D6016&lt;&gt;"",IFERROR(INDEX(Produtos!$C$4:$C$4996,MATCH(D6016,Produtos!$B$4:$B$4996,0)),"Produto não encontrado"),"")</f>
        <v/>
      </c>
    </row>
    <row r="6017" spans="1:5" x14ac:dyDescent="0.3">
      <c r="A6017" s="21" t="str">
        <f t="shared" si="94"/>
        <v>.</v>
      </c>
      <c r="D6017" s="44"/>
      <c r="E6017" s="22" t="str">
        <f>IF(D6017&lt;&gt;"",IFERROR(INDEX(Produtos!$C$4:$C$4996,MATCH(D6017,Produtos!$B$4:$B$4996,0)),"Produto não encontrado"),"")</f>
        <v/>
      </c>
    </row>
    <row r="6018" spans="1:5" x14ac:dyDescent="0.3">
      <c r="A6018" s="21" t="str">
        <f t="shared" si="94"/>
        <v>.</v>
      </c>
      <c r="D6018" s="44"/>
      <c r="E6018" s="22" t="str">
        <f>IF(D6018&lt;&gt;"",IFERROR(INDEX(Produtos!$C$4:$C$4996,MATCH(D6018,Produtos!$B$4:$B$4996,0)),"Produto não encontrado"),"")</f>
        <v/>
      </c>
    </row>
    <row r="6019" spans="1:5" x14ac:dyDescent="0.3">
      <c r="A6019" s="21" t="str">
        <f t="shared" si="94"/>
        <v>.</v>
      </c>
      <c r="D6019" s="44"/>
      <c r="E6019" s="22" t="str">
        <f>IF(D6019&lt;&gt;"",IFERROR(INDEX(Produtos!$C$4:$C$4996,MATCH(D6019,Produtos!$B$4:$B$4996,0)),"Produto não encontrado"),"")</f>
        <v/>
      </c>
    </row>
    <row r="6020" spans="1:5" x14ac:dyDescent="0.3">
      <c r="A6020" s="21" t="str">
        <f t="shared" si="94"/>
        <v>.</v>
      </c>
      <c r="D6020" s="44"/>
      <c r="E6020" s="22" t="str">
        <f>IF(D6020&lt;&gt;"",IFERROR(INDEX(Produtos!$C$4:$C$4996,MATCH(D6020,Produtos!$B$4:$B$4996,0)),"Produto não encontrado"),"")</f>
        <v/>
      </c>
    </row>
    <row r="6021" spans="1:5" x14ac:dyDescent="0.3">
      <c r="A6021" s="21" t="str">
        <f t="shared" si="94"/>
        <v>.</v>
      </c>
      <c r="D6021" s="44"/>
      <c r="E6021" s="22" t="str">
        <f>IF(D6021&lt;&gt;"",IFERROR(INDEX(Produtos!$C$4:$C$4996,MATCH(D6021,Produtos!$B$4:$B$4996,0)),"Produto não encontrado"),"")</f>
        <v/>
      </c>
    </row>
    <row r="6022" spans="1:5" x14ac:dyDescent="0.3">
      <c r="A6022" s="21" t="str">
        <f t="shared" si="94"/>
        <v>.</v>
      </c>
      <c r="D6022" s="44"/>
      <c r="E6022" s="22" t="str">
        <f>IF(D6022&lt;&gt;"",IFERROR(INDEX(Produtos!$C$4:$C$4996,MATCH(D6022,Produtos!$B$4:$B$4996,0)),"Produto não encontrado"),"")</f>
        <v/>
      </c>
    </row>
    <row r="6023" spans="1:5" x14ac:dyDescent="0.3">
      <c r="A6023" s="21" t="str">
        <f t="shared" si="94"/>
        <v>.</v>
      </c>
      <c r="D6023" s="44"/>
      <c r="E6023" s="22" t="str">
        <f>IF(D6023&lt;&gt;"",IFERROR(INDEX(Produtos!$C$4:$C$4996,MATCH(D6023,Produtos!$B$4:$B$4996,0)),"Produto não encontrado"),"")</f>
        <v/>
      </c>
    </row>
    <row r="6024" spans="1:5" x14ac:dyDescent="0.3">
      <c r="A6024" s="21" t="str">
        <f t="shared" si="94"/>
        <v>.</v>
      </c>
      <c r="D6024" s="44"/>
      <c r="E6024" s="22" t="str">
        <f>IF(D6024&lt;&gt;"",IFERROR(INDEX(Produtos!$C$4:$C$4996,MATCH(D6024,Produtos!$B$4:$B$4996,0)),"Produto não encontrado"),"")</f>
        <v/>
      </c>
    </row>
    <row r="6025" spans="1:5" x14ac:dyDescent="0.3">
      <c r="A6025" s="21" t="str">
        <f t="shared" si="94"/>
        <v>.</v>
      </c>
      <c r="D6025" s="44"/>
      <c r="E6025" s="22" t="str">
        <f>IF(D6025&lt;&gt;"",IFERROR(INDEX(Produtos!$C$4:$C$4996,MATCH(D6025,Produtos!$B$4:$B$4996,0)),"Produto não encontrado"),"")</f>
        <v/>
      </c>
    </row>
    <row r="6026" spans="1:5" x14ac:dyDescent="0.3">
      <c r="A6026" s="21" t="str">
        <f t="shared" si="94"/>
        <v>.</v>
      </c>
      <c r="D6026" s="44"/>
      <c r="E6026" s="22" t="str">
        <f>IF(D6026&lt;&gt;"",IFERROR(INDEX(Produtos!$C$4:$C$4996,MATCH(D6026,Produtos!$B$4:$B$4996,0)),"Produto não encontrado"),"")</f>
        <v/>
      </c>
    </row>
    <row r="6027" spans="1:5" x14ac:dyDescent="0.3">
      <c r="A6027" s="21" t="str">
        <f t="shared" si="94"/>
        <v>.</v>
      </c>
      <c r="D6027" s="44"/>
      <c r="E6027" s="22" t="str">
        <f>IF(D6027&lt;&gt;"",IFERROR(INDEX(Produtos!$C$4:$C$4996,MATCH(D6027,Produtos!$B$4:$B$4996,0)),"Produto não encontrado"),"")</f>
        <v/>
      </c>
    </row>
    <row r="6028" spans="1:5" x14ac:dyDescent="0.3">
      <c r="A6028" s="21" t="str">
        <f t="shared" si="94"/>
        <v>.</v>
      </c>
      <c r="D6028" s="44"/>
      <c r="E6028" s="22" t="str">
        <f>IF(D6028&lt;&gt;"",IFERROR(INDEX(Produtos!$C$4:$C$4996,MATCH(D6028,Produtos!$B$4:$B$4996,0)),"Produto não encontrado"),"")</f>
        <v/>
      </c>
    </row>
    <row r="6029" spans="1:5" x14ac:dyDescent="0.3">
      <c r="A6029" s="21" t="str">
        <f t="shared" si="94"/>
        <v>.</v>
      </c>
      <c r="D6029" s="44"/>
      <c r="E6029" s="22" t="str">
        <f>IF(D6029&lt;&gt;"",IFERROR(INDEX(Produtos!$C$4:$C$4996,MATCH(D6029,Produtos!$B$4:$B$4996,0)),"Produto não encontrado"),"")</f>
        <v/>
      </c>
    </row>
    <row r="6030" spans="1:5" x14ac:dyDescent="0.3">
      <c r="A6030" s="21" t="str">
        <f t="shared" si="94"/>
        <v>.</v>
      </c>
      <c r="D6030" s="44"/>
      <c r="E6030" s="22" t="str">
        <f>IF(D6030&lt;&gt;"",IFERROR(INDEX(Produtos!$C$4:$C$4996,MATCH(D6030,Produtos!$B$4:$B$4996,0)),"Produto não encontrado"),"")</f>
        <v/>
      </c>
    </row>
    <row r="6031" spans="1:5" x14ac:dyDescent="0.3">
      <c r="A6031" s="21" t="str">
        <f t="shared" si="94"/>
        <v>.</v>
      </c>
      <c r="D6031" s="44"/>
      <c r="E6031" s="22" t="str">
        <f>IF(D6031&lt;&gt;"",IFERROR(INDEX(Produtos!$C$4:$C$4996,MATCH(D6031,Produtos!$B$4:$B$4996,0)),"Produto não encontrado"),"")</f>
        <v/>
      </c>
    </row>
    <row r="6032" spans="1:5" x14ac:dyDescent="0.3">
      <c r="A6032" s="21" t="str">
        <f t="shared" si="94"/>
        <v>.</v>
      </c>
      <c r="D6032" s="44"/>
      <c r="E6032" s="22" t="str">
        <f>IF(D6032&lt;&gt;"",IFERROR(INDEX(Produtos!$C$4:$C$4996,MATCH(D6032,Produtos!$B$4:$B$4996,0)),"Produto não encontrado"),"")</f>
        <v/>
      </c>
    </row>
    <row r="6033" spans="1:5" x14ac:dyDescent="0.3">
      <c r="A6033" s="21" t="str">
        <f t="shared" si="94"/>
        <v>.</v>
      </c>
      <c r="D6033" s="44"/>
      <c r="E6033" s="22" t="str">
        <f>IF(D6033&lt;&gt;"",IFERROR(INDEX(Produtos!$C$4:$C$4996,MATCH(D6033,Produtos!$B$4:$B$4996,0)),"Produto não encontrado"),"")</f>
        <v/>
      </c>
    </row>
    <row r="6034" spans="1:5" x14ac:dyDescent="0.3">
      <c r="A6034" s="21" t="str">
        <f t="shared" si="94"/>
        <v>.</v>
      </c>
      <c r="D6034" s="44"/>
      <c r="E6034" s="22" t="str">
        <f>IF(D6034&lt;&gt;"",IFERROR(INDEX(Produtos!$C$4:$C$4996,MATCH(D6034,Produtos!$B$4:$B$4996,0)),"Produto não encontrado"),"")</f>
        <v/>
      </c>
    </row>
    <row r="6035" spans="1:5" x14ac:dyDescent="0.3">
      <c r="A6035" s="21" t="str">
        <f t="shared" si="94"/>
        <v>.</v>
      </c>
      <c r="D6035" s="44"/>
      <c r="E6035" s="22" t="str">
        <f>IF(D6035&lt;&gt;"",IFERROR(INDEX(Produtos!$C$4:$C$4996,MATCH(D6035,Produtos!$B$4:$B$4996,0)),"Produto não encontrado"),"")</f>
        <v/>
      </c>
    </row>
    <row r="6036" spans="1:5" x14ac:dyDescent="0.3">
      <c r="A6036" s="21" t="str">
        <f t="shared" si="94"/>
        <v>.</v>
      </c>
      <c r="D6036" s="44"/>
      <c r="E6036" s="22" t="str">
        <f>IF(D6036&lt;&gt;"",IFERROR(INDEX(Produtos!$C$4:$C$4996,MATCH(D6036,Produtos!$B$4:$B$4996,0)),"Produto não encontrado"),"")</f>
        <v/>
      </c>
    </row>
    <row r="6037" spans="1:5" x14ac:dyDescent="0.3">
      <c r="A6037" s="21" t="str">
        <f t="shared" si="94"/>
        <v>.</v>
      </c>
      <c r="D6037" s="44"/>
      <c r="E6037" s="22" t="str">
        <f>IF(D6037&lt;&gt;"",IFERROR(INDEX(Produtos!$C$4:$C$4996,MATCH(D6037,Produtos!$B$4:$B$4996,0)),"Produto não encontrado"),"")</f>
        <v/>
      </c>
    </row>
    <row r="6038" spans="1:5" x14ac:dyDescent="0.3">
      <c r="A6038" s="21" t="str">
        <f t="shared" si="94"/>
        <v>.</v>
      </c>
      <c r="D6038" s="44"/>
      <c r="E6038" s="22" t="str">
        <f>IF(D6038&lt;&gt;"",IFERROR(INDEX(Produtos!$C$4:$C$4996,MATCH(D6038,Produtos!$B$4:$B$4996,0)),"Produto não encontrado"),"")</f>
        <v/>
      </c>
    </row>
    <row r="6039" spans="1:5" x14ac:dyDescent="0.3">
      <c r="A6039" s="21" t="str">
        <f t="shared" si="94"/>
        <v>.</v>
      </c>
      <c r="D6039" s="44"/>
      <c r="E6039" s="22" t="str">
        <f>IF(D6039&lt;&gt;"",IFERROR(INDEX(Produtos!$C$4:$C$4996,MATCH(D6039,Produtos!$B$4:$B$4996,0)),"Produto não encontrado"),"")</f>
        <v/>
      </c>
    </row>
    <row r="6040" spans="1:5" x14ac:dyDescent="0.3">
      <c r="A6040" s="21" t="str">
        <f t="shared" si="94"/>
        <v>.</v>
      </c>
      <c r="D6040" s="44"/>
      <c r="E6040" s="22" t="str">
        <f>IF(D6040&lt;&gt;"",IFERROR(INDEX(Produtos!$C$4:$C$4996,MATCH(D6040,Produtos!$B$4:$B$4996,0)),"Produto não encontrado"),"")</f>
        <v/>
      </c>
    </row>
    <row r="6041" spans="1:5" x14ac:dyDescent="0.3">
      <c r="A6041" s="21" t="str">
        <f t="shared" si="94"/>
        <v>.</v>
      </c>
      <c r="D6041" s="44"/>
      <c r="E6041" s="22" t="str">
        <f>IF(D6041&lt;&gt;"",IFERROR(INDEX(Produtos!$C$4:$C$4996,MATCH(D6041,Produtos!$B$4:$B$4996,0)),"Produto não encontrado"),"")</f>
        <v/>
      </c>
    </row>
    <row r="6042" spans="1:5" x14ac:dyDescent="0.3">
      <c r="A6042" s="21" t="str">
        <f t="shared" si="94"/>
        <v>.</v>
      </c>
      <c r="D6042" s="44"/>
      <c r="E6042" s="22" t="str">
        <f>IF(D6042&lt;&gt;"",IFERROR(INDEX(Produtos!$C$4:$C$4996,MATCH(D6042,Produtos!$B$4:$B$4996,0)),"Produto não encontrado"),"")</f>
        <v/>
      </c>
    </row>
    <row r="6043" spans="1:5" x14ac:dyDescent="0.3">
      <c r="A6043" s="21" t="str">
        <f t="shared" si="94"/>
        <v>.</v>
      </c>
      <c r="D6043" s="44"/>
      <c r="E6043" s="22" t="str">
        <f>IF(D6043&lt;&gt;"",IFERROR(INDEX(Produtos!$C$4:$C$4996,MATCH(D6043,Produtos!$B$4:$B$4996,0)),"Produto não encontrado"),"")</f>
        <v/>
      </c>
    </row>
    <row r="6044" spans="1:5" x14ac:dyDescent="0.3">
      <c r="A6044" s="21" t="str">
        <f t="shared" si="94"/>
        <v>.</v>
      </c>
      <c r="D6044" s="44"/>
      <c r="E6044" s="22" t="str">
        <f>IF(D6044&lt;&gt;"",IFERROR(INDEX(Produtos!$C$4:$C$4996,MATCH(D6044,Produtos!$B$4:$B$4996,0)),"Produto não encontrado"),"")</f>
        <v/>
      </c>
    </row>
    <row r="6045" spans="1:5" x14ac:dyDescent="0.3">
      <c r="A6045" s="21" t="str">
        <f t="shared" si="94"/>
        <v>.</v>
      </c>
      <c r="D6045" s="44"/>
      <c r="E6045" s="22" t="str">
        <f>IF(D6045&lt;&gt;"",IFERROR(INDEX(Produtos!$C$4:$C$4996,MATCH(D6045,Produtos!$B$4:$B$4996,0)),"Produto não encontrado"),"")</f>
        <v/>
      </c>
    </row>
    <row r="6046" spans="1:5" x14ac:dyDescent="0.3">
      <c r="A6046" s="21" t="str">
        <f t="shared" si="94"/>
        <v>.</v>
      </c>
      <c r="D6046" s="44"/>
      <c r="E6046" s="22" t="str">
        <f>IF(D6046&lt;&gt;"",IFERROR(INDEX(Produtos!$C$4:$C$4996,MATCH(D6046,Produtos!$B$4:$B$4996,0)),"Produto não encontrado"),"")</f>
        <v/>
      </c>
    </row>
    <row r="6047" spans="1:5" x14ac:dyDescent="0.3">
      <c r="A6047" s="21" t="str">
        <f t="shared" si="94"/>
        <v>.</v>
      </c>
      <c r="D6047" s="44"/>
      <c r="E6047" s="22" t="str">
        <f>IF(D6047&lt;&gt;"",IFERROR(INDEX(Produtos!$C$4:$C$4996,MATCH(D6047,Produtos!$B$4:$B$4996,0)),"Produto não encontrado"),"")</f>
        <v/>
      </c>
    </row>
    <row r="6048" spans="1:5" x14ac:dyDescent="0.3">
      <c r="A6048" s="21" t="str">
        <f t="shared" si="94"/>
        <v>.</v>
      </c>
      <c r="D6048" s="44"/>
      <c r="E6048" s="22" t="str">
        <f>IF(D6048&lt;&gt;"",IFERROR(INDEX(Produtos!$C$4:$C$4996,MATCH(D6048,Produtos!$B$4:$B$4996,0)),"Produto não encontrado"),"")</f>
        <v/>
      </c>
    </row>
    <row r="6049" spans="1:5" x14ac:dyDescent="0.3">
      <c r="A6049" s="21" t="str">
        <f t="shared" si="94"/>
        <v>.</v>
      </c>
      <c r="D6049" s="44"/>
      <c r="E6049" s="22" t="str">
        <f>IF(D6049&lt;&gt;"",IFERROR(INDEX(Produtos!$C$4:$C$4996,MATCH(D6049,Produtos!$B$4:$B$4996,0)),"Produto não encontrado"),"")</f>
        <v/>
      </c>
    </row>
    <row r="6050" spans="1:5" x14ac:dyDescent="0.3">
      <c r="A6050" s="21" t="str">
        <f t="shared" si="94"/>
        <v>.</v>
      </c>
      <c r="D6050" s="44"/>
      <c r="E6050" s="22" t="str">
        <f>IF(D6050&lt;&gt;"",IFERROR(INDEX(Produtos!$C$4:$C$4996,MATCH(D6050,Produtos!$B$4:$B$4996,0)),"Produto não encontrado"),"")</f>
        <v/>
      </c>
    </row>
    <row r="6051" spans="1:5" x14ac:dyDescent="0.3">
      <c r="A6051" s="21" t="str">
        <f t="shared" si="94"/>
        <v>.</v>
      </c>
      <c r="D6051" s="44"/>
      <c r="E6051" s="22" t="str">
        <f>IF(D6051&lt;&gt;"",IFERROR(INDEX(Produtos!$C$4:$C$4996,MATCH(D6051,Produtos!$B$4:$B$4996,0)),"Produto não encontrado"),"")</f>
        <v/>
      </c>
    </row>
    <row r="6052" spans="1:5" x14ac:dyDescent="0.3">
      <c r="A6052" s="21" t="str">
        <f t="shared" si="94"/>
        <v>.</v>
      </c>
      <c r="D6052" s="44"/>
      <c r="E6052" s="22" t="str">
        <f>IF(D6052&lt;&gt;"",IFERROR(INDEX(Produtos!$C$4:$C$4996,MATCH(D6052,Produtos!$B$4:$B$4996,0)),"Produto não encontrado"),"")</f>
        <v/>
      </c>
    </row>
    <row r="6053" spans="1:5" x14ac:dyDescent="0.3">
      <c r="A6053" s="21" t="str">
        <f t="shared" si="94"/>
        <v>.</v>
      </c>
      <c r="D6053" s="44"/>
      <c r="E6053" s="22" t="str">
        <f>IF(D6053&lt;&gt;"",IFERROR(INDEX(Produtos!$C$4:$C$4996,MATCH(D6053,Produtos!$B$4:$B$4996,0)),"Produto não encontrado"),"")</f>
        <v/>
      </c>
    </row>
    <row r="6054" spans="1:5" x14ac:dyDescent="0.3">
      <c r="A6054" s="21" t="str">
        <f t="shared" si="94"/>
        <v>.</v>
      </c>
      <c r="D6054" s="44"/>
      <c r="E6054" s="22" t="str">
        <f>IF(D6054&lt;&gt;"",IFERROR(INDEX(Produtos!$C$4:$C$4996,MATCH(D6054,Produtos!$B$4:$B$4996,0)),"Produto não encontrado"),"")</f>
        <v/>
      </c>
    </row>
    <row r="6055" spans="1:5" x14ac:dyDescent="0.3">
      <c r="A6055" s="21" t="str">
        <f t="shared" si="94"/>
        <v>.</v>
      </c>
      <c r="D6055" s="44"/>
      <c r="E6055" s="22" t="str">
        <f>IF(D6055&lt;&gt;"",IFERROR(INDEX(Produtos!$C$4:$C$4996,MATCH(D6055,Produtos!$B$4:$B$4996,0)),"Produto não encontrado"),"")</f>
        <v/>
      </c>
    </row>
    <row r="6056" spans="1:5" x14ac:dyDescent="0.3">
      <c r="A6056" s="21" t="str">
        <f t="shared" si="94"/>
        <v>.</v>
      </c>
      <c r="D6056" s="44"/>
      <c r="E6056" s="22" t="str">
        <f>IF(D6056&lt;&gt;"",IFERROR(INDEX(Produtos!$C$4:$C$4996,MATCH(D6056,Produtos!$B$4:$B$4996,0)),"Produto não encontrado"),"")</f>
        <v/>
      </c>
    </row>
    <row r="6057" spans="1:5" x14ac:dyDescent="0.3">
      <c r="A6057" s="21" t="str">
        <f t="shared" si="94"/>
        <v>.</v>
      </c>
      <c r="D6057" s="44"/>
      <c r="E6057" s="22" t="str">
        <f>IF(D6057&lt;&gt;"",IFERROR(INDEX(Produtos!$C$4:$C$4996,MATCH(D6057,Produtos!$B$4:$B$4996,0)),"Produto não encontrado"),"")</f>
        <v/>
      </c>
    </row>
    <row r="6058" spans="1:5" x14ac:dyDescent="0.3">
      <c r="A6058" s="21" t="str">
        <f t="shared" si="94"/>
        <v>.</v>
      </c>
      <c r="D6058" s="44"/>
      <c r="E6058" s="22" t="str">
        <f>IF(D6058&lt;&gt;"",IFERROR(INDEX(Produtos!$C$4:$C$4996,MATCH(D6058,Produtos!$B$4:$B$4996,0)),"Produto não encontrado"),"")</f>
        <v/>
      </c>
    </row>
    <row r="6059" spans="1:5" x14ac:dyDescent="0.3">
      <c r="A6059" s="21" t="str">
        <f t="shared" si="94"/>
        <v>.</v>
      </c>
      <c r="D6059" s="44"/>
      <c r="E6059" s="22" t="str">
        <f>IF(D6059&lt;&gt;"",IFERROR(INDEX(Produtos!$C$4:$C$4996,MATCH(D6059,Produtos!$B$4:$B$4996,0)),"Produto não encontrado"),"")</f>
        <v/>
      </c>
    </row>
    <row r="6060" spans="1:5" x14ac:dyDescent="0.3">
      <c r="A6060" s="21" t="str">
        <f t="shared" si="94"/>
        <v>.</v>
      </c>
      <c r="D6060" s="44"/>
      <c r="E6060" s="22" t="str">
        <f>IF(D6060&lt;&gt;"",IFERROR(INDEX(Produtos!$C$4:$C$4996,MATCH(D6060,Produtos!$B$4:$B$4996,0)),"Produto não encontrado"),"")</f>
        <v/>
      </c>
    </row>
    <row r="6061" spans="1:5" x14ac:dyDescent="0.3">
      <c r="A6061" s="21" t="str">
        <f t="shared" si="94"/>
        <v>.</v>
      </c>
      <c r="D6061" s="44"/>
      <c r="E6061" s="22" t="str">
        <f>IF(D6061&lt;&gt;"",IFERROR(INDEX(Produtos!$C$4:$C$4996,MATCH(D6061,Produtos!$B$4:$B$4996,0)),"Produto não encontrado"),"")</f>
        <v/>
      </c>
    </row>
    <row r="6062" spans="1:5" x14ac:dyDescent="0.3">
      <c r="A6062" s="21" t="str">
        <f t="shared" si="94"/>
        <v>.</v>
      </c>
      <c r="D6062" s="44"/>
      <c r="E6062" s="22" t="str">
        <f>IF(D6062&lt;&gt;"",IFERROR(INDEX(Produtos!$C$4:$C$4996,MATCH(D6062,Produtos!$B$4:$B$4996,0)),"Produto não encontrado"),"")</f>
        <v/>
      </c>
    </row>
    <row r="6063" spans="1:5" x14ac:dyDescent="0.3">
      <c r="A6063" s="21" t="str">
        <f t="shared" si="94"/>
        <v>.</v>
      </c>
      <c r="D6063" s="44"/>
      <c r="E6063" s="22" t="str">
        <f>IF(D6063&lt;&gt;"",IFERROR(INDEX(Produtos!$C$4:$C$4996,MATCH(D6063,Produtos!$B$4:$B$4996,0)),"Produto não encontrado"),"")</f>
        <v/>
      </c>
    </row>
    <row r="6064" spans="1:5" x14ac:dyDescent="0.3">
      <c r="A6064" s="21" t="str">
        <f t="shared" si="94"/>
        <v>.</v>
      </c>
      <c r="D6064" s="44"/>
      <c r="E6064" s="22" t="str">
        <f>IF(D6064&lt;&gt;"",IFERROR(INDEX(Produtos!$C$4:$C$4996,MATCH(D6064,Produtos!$B$4:$B$4996,0)),"Produto não encontrado"),"")</f>
        <v/>
      </c>
    </row>
    <row r="6065" spans="1:5" x14ac:dyDescent="0.3">
      <c r="A6065" s="21" t="str">
        <f t="shared" si="94"/>
        <v>.</v>
      </c>
      <c r="D6065" s="44"/>
      <c r="E6065" s="22" t="str">
        <f>IF(D6065&lt;&gt;"",IFERROR(INDEX(Produtos!$C$4:$C$4996,MATCH(D6065,Produtos!$B$4:$B$4996,0)),"Produto não encontrado"),"")</f>
        <v/>
      </c>
    </row>
    <row r="6066" spans="1:5" x14ac:dyDescent="0.3">
      <c r="A6066" s="21" t="str">
        <f t="shared" si="94"/>
        <v>.</v>
      </c>
      <c r="D6066" s="44"/>
      <c r="E6066" s="22" t="str">
        <f>IF(D6066&lt;&gt;"",IFERROR(INDEX(Produtos!$C$4:$C$4996,MATCH(D6066,Produtos!$B$4:$B$4996,0)),"Produto não encontrado"),"")</f>
        <v/>
      </c>
    </row>
    <row r="6067" spans="1:5" x14ac:dyDescent="0.3">
      <c r="A6067" s="21" t="str">
        <f t="shared" si="94"/>
        <v>.</v>
      </c>
      <c r="D6067" s="44"/>
      <c r="E6067" s="22" t="str">
        <f>IF(D6067&lt;&gt;"",IFERROR(INDEX(Produtos!$C$4:$C$4996,MATCH(D6067,Produtos!$B$4:$B$4996,0)),"Produto não encontrado"),"")</f>
        <v/>
      </c>
    </row>
    <row r="6068" spans="1:5" x14ac:dyDescent="0.3">
      <c r="A6068" s="21" t="str">
        <f t="shared" si="94"/>
        <v>.</v>
      </c>
      <c r="D6068" s="44"/>
      <c r="E6068" s="22" t="str">
        <f>IF(D6068&lt;&gt;"",IFERROR(INDEX(Produtos!$C$4:$C$4996,MATCH(D6068,Produtos!$B$4:$B$4996,0)),"Produto não encontrado"),"")</f>
        <v/>
      </c>
    </row>
    <row r="6069" spans="1:5" x14ac:dyDescent="0.3">
      <c r="A6069" s="21" t="str">
        <f t="shared" si="94"/>
        <v>.</v>
      </c>
      <c r="D6069" s="44"/>
      <c r="E6069" s="22" t="str">
        <f>IF(D6069&lt;&gt;"",IFERROR(INDEX(Produtos!$C$4:$C$4996,MATCH(D6069,Produtos!$B$4:$B$4996,0)),"Produto não encontrado"),"")</f>
        <v/>
      </c>
    </row>
    <row r="6070" spans="1:5" x14ac:dyDescent="0.3">
      <c r="A6070" s="21" t="str">
        <f t="shared" si="94"/>
        <v>.</v>
      </c>
      <c r="D6070" s="44"/>
      <c r="E6070" s="22" t="str">
        <f>IF(D6070&lt;&gt;"",IFERROR(INDEX(Produtos!$C$4:$C$4996,MATCH(D6070,Produtos!$B$4:$B$4996,0)),"Produto não encontrado"),"")</f>
        <v/>
      </c>
    </row>
    <row r="6071" spans="1:5" x14ac:dyDescent="0.3">
      <c r="A6071" s="21" t="str">
        <f t="shared" si="94"/>
        <v>.</v>
      </c>
      <c r="D6071" s="44"/>
      <c r="E6071" s="22" t="str">
        <f>IF(D6071&lt;&gt;"",IFERROR(INDEX(Produtos!$C$4:$C$4996,MATCH(D6071,Produtos!$B$4:$B$4996,0)),"Produto não encontrado"),"")</f>
        <v/>
      </c>
    </row>
    <row r="6072" spans="1:5" x14ac:dyDescent="0.3">
      <c r="A6072" s="21" t="str">
        <f t="shared" si="94"/>
        <v>.</v>
      </c>
      <c r="D6072" s="44"/>
      <c r="E6072" s="22" t="str">
        <f>IF(D6072&lt;&gt;"",IFERROR(INDEX(Produtos!$C$4:$C$4996,MATCH(D6072,Produtos!$B$4:$B$4996,0)),"Produto não encontrado"),"")</f>
        <v/>
      </c>
    </row>
    <row r="6073" spans="1:5" x14ac:dyDescent="0.3">
      <c r="A6073" s="21" t="str">
        <f t="shared" si="94"/>
        <v>.</v>
      </c>
      <c r="D6073" s="44"/>
      <c r="E6073" s="22" t="str">
        <f>IF(D6073&lt;&gt;"",IFERROR(INDEX(Produtos!$C$4:$C$4996,MATCH(D6073,Produtos!$B$4:$B$4996,0)),"Produto não encontrado"),"")</f>
        <v/>
      </c>
    </row>
    <row r="6074" spans="1:5" x14ac:dyDescent="0.3">
      <c r="A6074" s="21" t="str">
        <f t="shared" si="94"/>
        <v>.</v>
      </c>
      <c r="D6074" s="44"/>
      <c r="E6074" s="22" t="str">
        <f>IF(D6074&lt;&gt;"",IFERROR(INDEX(Produtos!$C$4:$C$4996,MATCH(D6074,Produtos!$B$4:$B$4996,0)),"Produto não encontrado"),"")</f>
        <v/>
      </c>
    </row>
    <row r="6075" spans="1:5" x14ac:dyDescent="0.3">
      <c r="A6075" s="21" t="str">
        <f t="shared" si="94"/>
        <v>.</v>
      </c>
      <c r="D6075" s="44"/>
      <c r="E6075" s="22" t="str">
        <f>IF(D6075&lt;&gt;"",IFERROR(INDEX(Produtos!$C$4:$C$4996,MATCH(D6075,Produtos!$B$4:$B$4996,0)),"Produto não encontrado"),"")</f>
        <v/>
      </c>
    </row>
    <row r="6076" spans="1:5" x14ac:dyDescent="0.3">
      <c r="A6076" s="21" t="str">
        <f t="shared" si="94"/>
        <v>.</v>
      </c>
      <c r="D6076" s="44"/>
      <c r="E6076" s="22" t="str">
        <f>IF(D6076&lt;&gt;"",IFERROR(INDEX(Produtos!$C$4:$C$4996,MATCH(D6076,Produtos!$B$4:$B$4996,0)),"Produto não encontrado"),"")</f>
        <v/>
      </c>
    </row>
    <row r="6077" spans="1:5" x14ac:dyDescent="0.3">
      <c r="A6077" s="21" t="str">
        <f t="shared" si="94"/>
        <v>.</v>
      </c>
      <c r="D6077" s="44"/>
      <c r="E6077" s="22" t="str">
        <f>IF(D6077&lt;&gt;"",IFERROR(INDEX(Produtos!$C$4:$C$4996,MATCH(D6077,Produtos!$B$4:$B$4996,0)),"Produto não encontrado"),"")</f>
        <v/>
      </c>
    </row>
    <row r="6078" spans="1:5" x14ac:dyDescent="0.3">
      <c r="A6078" s="21" t="str">
        <f t="shared" si="94"/>
        <v>.</v>
      </c>
      <c r="D6078" s="44"/>
      <c r="E6078" s="22" t="str">
        <f>IF(D6078&lt;&gt;"",IFERROR(INDEX(Produtos!$C$4:$C$4996,MATCH(D6078,Produtos!$B$4:$B$4996,0)),"Produto não encontrado"),"")</f>
        <v/>
      </c>
    </row>
    <row r="6079" spans="1:5" x14ac:dyDescent="0.3">
      <c r="A6079" s="21" t="str">
        <f t="shared" si="94"/>
        <v>.</v>
      </c>
      <c r="D6079" s="44"/>
      <c r="E6079" s="22" t="str">
        <f>IF(D6079&lt;&gt;"",IFERROR(INDEX(Produtos!$C$4:$C$4996,MATCH(D6079,Produtos!$B$4:$B$4996,0)),"Produto não encontrado"),"")</f>
        <v/>
      </c>
    </row>
    <row r="6080" spans="1:5" x14ac:dyDescent="0.3">
      <c r="A6080" s="21" t="str">
        <f t="shared" ref="A6080:A6143" si="95">IF(C6080="Entrada",2,IF(C6080="Saída",1,"."))</f>
        <v>.</v>
      </c>
      <c r="D6080" s="44"/>
      <c r="E6080" s="22" t="str">
        <f>IF(D6080&lt;&gt;"",IFERROR(INDEX(Produtos!$C$4:$C$4996,MATCH(D6080,Produtos!$B$4:$B$4996,0)),"Produto não encontrado"),"")</f>
        <v/>
      </c>
    </row>
    <row r="6081" spans="1:5" x14ac:dyDescent="0.3">
      <c r="A6081" s="21" t="str">
        <f t="shared" si="95"/>
        <v>.</v>
      </c>
      <c r="D6081" s="44"/>
      <c r="E6081" s="22" t="str">
        <f>IF(D6081&lt;&gt;"",IFERROR(INDEX(Produtos!$C$4:$C$4996,MATCH(D6081,Produtos!$B$4:$B$4996,0)),"Produto não encontrado"),"")</f>
        <v/>
      </c>
    </row>
    <row r="6082" spans="1:5" x14ac:dyDescent="0.3">
      <c r="A6082" s="21" t="str">
        <f t="shared" si="95"/>
        <v>.</v>
      </c>
      <c r="D6082" s="44"/>
      <c r="E6082" s="22" t="str">
        <f>IF(D6082&lt;&gt;"",IFERROR(INDEX(Produtos!$C$4:$C$4996,MATCH(D6082,Produtos!$B$4:$B$4996,0)),"Produto não encontrado"),"")</f>
        <v/>
      </c>
    </row>
    <row r="6083" spans="1:5" x14ac:dyDescent="0.3">
      <c r="A6083" s="21" t="str">
        <f t="shared" si="95"/>
        <v>.</v>
      </c>
      <c r="D6083" s="44"/>
      <c r="E6083" s="22" t="str">
        <f>IF(D6083&lt;&gt;"",IFERROR(INDEX(Produtos!$C$4:$C$4996,MATCH(D6083,Produtos!$B$4:$B$4996,0)),"Produto não encontrado"),"")</f>
        <v/>
      </c>
    </row>
    <row r="6084" spans="1:5" x14ac:dyDescent="0.3">
      <c r="A6084" s="21" t="str">
        <f t="shared" si="95"/>
        <v>.</v>
      </c>
      <c r="D6084" s="44"/>
      <c r="E6084" s="22" t="str">
        <f>IF(D6084&lt;&gt;"",IFERROR(INDEX(Produtos!$C$4:$C$4996,MATCH(D6084,Produtos!$B$4:$B$4996,0)),"Produto não encontrado"),"")</f>
        <v/>
      </c>
    </row>
    <row r="6085" spans="1:5" x14ac:dyDescent="0.3">
      <c r="A6085" s="21" t="str">
        <f t="shared" si="95"/>
        <v>.</v>
      </c>
      <c r="D6085" s="44"/>
      <c r="E6085" s="22" t="str">
        <f>IF(D6085&lt;&gt;"",IFERROR(INDEX(Produtos!$C$4:$C$4996,MATCH(D6085,Produtos!$B$4:$B$4996,0)),"Produto não encontrado"),"")</f>
        <v/>
      </c>
    </row>
    <row r="6086" spans="1:5" x14ac:dyDescent="0.3">
      <c r="A6086" s="21" t="str">
        <f t="shared" si="95"/>
        <v>.</v>
      </c>
      <c r="D6086" s="44"/>
      <c r="E6086" s="22" t="str">
        <f>IF(D6086&lt;&gt;"",IFERROR(INDEX(Produtos!$C$4:$C$4996,MATCH(D6086,Produtos!$B$4:$B$4996,0)),"Produto não encontrado"),"")</f>
        <v/>
      </c>
    </row>
    <row r="6087" spans="1:5" x14ac:dyDescent="0.3">
      <c r="A6087" s="21" t="str">
        <f t="shared" si="95"/>
        <v>.</v>
      </c>
      <c r="D6087" s="44"/>
      <c r="E6087" s="22" t="str">
        <f>IF(D6087&lt;&gt;"",IFERROR(INDEX(Produtos!$C$4:$C$4996,MATCH(D6087,Produtos!$B$4:$B$4996,0)),"Produto não encontrado"),"")</f>
        <v/>
      </c>
    </row>
    <row r="6088" spans="1:5" x14ac:dyDescent="0.3">
      <c r="A6088" s="21" t="str">
        <f t="shared" si="95"/>
        <v>.</v>
      </c>
      <c r="D6088" s="44"/>
      <c r="E6088" s="22" t="str">
        <f>IF(D6088&lt;&gt;"",IFERROR(INDEX(Produtos!$C$4:$C$4996,MATCH(D6088,Produtos!$B$4:$B$4996,0)),"Produto não encontrado"),"")</f>
        <v/>
      </c>
    </row>
    <row r="6089" spans="1:5" x14ac:dyDescent="0.3">
      <c r="A6089" s="21" t="str">
        <f t="shared" si="95"/>
        <v>.</v>
      </c>
      <c r="D6089" s="44"/>
      <c r="E6089" s="22" t="str">
        <f>IF(D6089&lt;&gt;"",IFERROR(INDEX(Produtos!$C$4:$C$4996,MATCH(D6089,Produtos!$B$4:$B$4996,0)),"Produto não encontrado"),"")</f>
        <v/>
      </c>
    </row>
    <row r="6090" spans="1:5" x14ac:dyDescent="0.3">
      <c r="A6090" s="21" t="str">
        <f t="shared" si="95"/>
        <v>.</v>
      </c>
      <c r="D6090" s="44"/>
      <c r="E6090" s="22" t="str">
        <f>IF(D6090&lt;&gt;"",IFERROR(INDEX(Produtos!$C$4:$C$4996,MATCH(D6090,Produtos!$B$4:$B$4996,0)),"Produto não encontrado"),"")</f>
        <v/>
      </c>
    </row>
    <row r="6091" spans="1:5" x14ac:dyDescent="0.3">
      <c r="A6091" s="21" t="str">
        <f t="shared" si="95"/>
        <v>.</v>
      </c>
      <c r="D6091" s="44"/>
      <c r="E6091" s="22" t="str">
        <f>IF(D6091&lt;&gt;"",IFERROR(INDEX(Produtos!$C$4:$C$4996,MATCH(D6091,Produtos!$B$4:$B$4996,0)),"Produto não encontrado"),"")</f>
        <v/>
      </c>
    </row>
    <row r="6092" spans="1:5" x14ac:dyDescent="0.3">
      <c r="A6092" s="21" t="str">
        <f t="shared" si="95"/>
        <v>.</v>
      </c>
      <c r="D6092" s="44"/>
      <c r="E6092" s="22" t="str">
        <f>IF(D6092&lt;&gt;"",IFERROR(INDEX(Produtos!$C$4:$C$4996,MATCH(D6092,Produtos!$B$4:$B$4996,0)),"Produto não encontrado"),"")</f>
        <v/>
      </c>
    </row>
    <row r="6093" spans="1:5" x14ac:dyDescent="0.3">
      <c r="A6093" s="21" t="str">
        <f t="shared" si="95"/>
        <v>.</v>
      </c>
      <c r="D6093" s="44"/>
      <c r="E6093" s="22" t="str">
        <f>IF(D6093&lt;&gt;"",IFERROR(INDEX(Produtos!$C$4:$C$4996,MATCH(D6093,Produtos!$B$4:$B$4996,0)),"Produto não encontrado"),"")</f>
        <v/>
      </c>
    </row>
    <row r="6094" spans="1:5" x14ac:dyDescent="0.3">
      <c r="A6094" s="21" t="str">
        <f t="shared" si="95"/>
        <v>.</v>
      </c>
      <c r="D6094" s="44"/>
      <c r="E6094" s="22" t="str">
        <f>IF(D6094&lt;&gt;"",IFERROR(INDEX(Produtos!$C$4:$C$4996,MATCH(D6094,Produtos!$B$4:$B$4996,0)),"Produto não encontrado"),"")</f>
        <v/>
      </c>
    </row>
    <row r="6095" spans="1:5" x14ac:dyDescent="0.3">
      <c r="A6095" s="21" t="str">
        <f t="shared" si="95"/>
        <v>.</v>
      </c>
      <c r="D6095" s="44"/>
      <c r="E6095" s="22" t="str">
        <f>IF(D6095&lt;&gt;"",IFERROR(INDEX(Produtos!$C$4:$C$4996,MATCH(D6095,Produtos!$B$4:$B$4996,0)),"Produto não encontrado"),"")</f>
        <v/>
      </c>
    </row>
    <row r="6096" spans="1:5" x14ac:dyDescent="0.3">
      <c r="A6096" s="21" t="str">
        <f t="shared" si="95"/>
        <v>.</v>
      </c>
      <c r="D6096" s="44"/>
      <c r="E6096" s="22" t="str">
        <f>IF(D6096&lt;&gt;"",IFERROR(INDEX(Produtos!$C$4:$C$4996,MATCH(D6096,Produtos!$B$4:$B$4996,0)),"Produto não encontrado"),"")</f>
        <v/>
      </c>
    </row>
    <row r="6097" spans="1:5" x14ac:dyDescent="0.3">
      <c r="A6097" s="21" t="str">
        <f t="shared" si="95"/>
        <v>.</v>
      </c>
      <c r="D6097" s="44"/>
      <c r="E6097" s="22" t="str">
        <f>IF(D6097&lt;&gt;"",IFERROR(INDEX(Produtos!$C$4:$C$4996,MATCH(D6097,Produtos!$B$4:$B$4996,0)),"Produto não encontrado"),"")</f>
        <v/>
      </c>
    </row>
    <row r="6098" spans="1:5" x14ac:dyDescent="0.3">
      <c r="A6098" s="21" t="str">
        <f t="shared" si="95"/>
        <v>.</v>
      </c>
      <c r="D6098" s="44"/>
      <c r="E6098" s="22" t="str">
        <f>IF(D6098&lt;&gt;"",IFERROR(INDEX(Produtos!$C$4:$C$4996,MATCH(D6098,Produtos!$B$4:$B$4996,0)),"Produto não encontrado"),"")</f>
        <v/>
      </c>
    </row>
    <row r="6099" spans="1:5" x14ac:dyDescent="0.3">
      <c r="A6099" s="21" t="str">
        <f t="shared" si="95"/>
        <v>.</v>
      </c>
      <c r="D6099" s="44"/>
      <c r="E6099" s="22" t="str">
        <f>IF(D6099&lt;&gt;"",IFERROR(INDEX(Produtos!$C$4:$C$4996,MATCH(D6099,Produtos!$B$4:$B$4996,0)),"Produto não encontrado"),"")</f>
        <v/>
      </c>
    </row>
    <row r="6100" spans="1:5" x14ac:dyDescent="0.3">
      <c r="A6100" s="21" t="str">
        <f t="shared" si="95"/>
        <v>.</v>
      </c>
      <c r="D6100" s="44"/>
      <c r="E6100" s="22" t="str">
        <f>IF(D6100&lt;&gt;"",IFERROR(INDEX(Produtos!$C$4:$C$4996,MATCH(D6100,Produtos!$B$4:$B$4996,0)),"Produto não encontrado"),"")</f>
        <v/>
      </c>
    </row>
    <row r="6101" spans="1:5" x14ac:dyDescent="0.3">
      <c r="A6101" s="21" t="str">
        <f t="shared" si="95"/>
        <v>.</v>
      </c>
      <c r="D6101" s="44"/>
      <c r="E6101" s="22" t="str">
        <f>IF(D6101&lt;&gt;"",IFERROR(INDEX(Produtos!$C$4:$C$4996,MATCH(D6101,Produtos!$B$4:$B$4996,0)),"Produto não encontrado"),"")</f>
        <v/>
      </c>
    </row>
    <row r="6102" spans="1:5" x14ac:dyDescent="0.3">
      <c r="A6102" s="21" t="str">
        <f t="shared" si="95"/>
        <v>.</v>
      </c>
      <c r="D6102" s="44"/>
      <c r="E6102" s="22" t="str">
        <f>IF(D6102&lt;&gt;"",IFERROR(INDEX(Produtos!$C$4:$C$4996,MATCH(D6102,Produtos!$B$4:$B$4996,0)),"Produto não encontrado"),"")</f>
        <v/>
      </c>
    </row>
    <row r="6103" spans="1:5" x14ac:dyDescent="0.3">
      <c r="A6103" s="21" t="str">
        <f t="shared" si="95"/>
        <v>.</v>
      </c>
      <c r="D6103" s="44"/>
      <c r="E6103" s="22" t="str">
        <f>IF(D6103&lt;&gt;"",IFERROR(INDEX(Produtos!$C$4:$C$4996,MATCH(D6103,Produtos!$B$4:$B$4996,0)),"Produto não encontrado"),"")</f>
        <v/>
      </c>
    </row>
    <row r="6104" spans="1:5" x14ac:dyDescent="0.3">
      <c r="A6104" s="21" t="str">
        <f t="shared" si="95"/>
        <v>.</v>
      </c>
      <c r="D6104" s="44"/>
      <c r="E6104" s="22" t="str">
        <f>IF(D6104&lt;&gt;"",IFERROR(INDEX(Produtos!$C$4:$C$4996,MATCH(D6104,Produtos!$B$4:$B$4996,0)),"Produto não encontrado"),"")</f>
        <v/>
      </c>
    </row>
    <row r="6105" spans="1:5" x14ac:dyDescent="0.3">
      <c r="A6105" s="21" t="str">
        <f t="shared" si="95"/>
        <v>.</v>
      </c>
      <c r="D6105" s="44"/>
      <c r="E6105" s="22" t="str">
        <f>IF(D6105&lt;&gt;"",IFERROR(INDEX(Produtos!$C$4:$C$4996,MATCH(D6105,Produtos!$B$4:$B$4996,0)),"Produto não encontrado"),"")</f>
        <v/>
      </c>
    </row>
    <row r="6106" spans="1:5" x14ac:dyDescent="0.3">
      <c r="A6106" s="21" t="str">
        <f t="shared" si="95"/>
        <v>.</v>
      </c>
      <c r="D6106" s="44"/>
      <c r="E6106" s="22" t="str">
        <f>IF(D6106&lt;&gt;"",IFERROR(INDEX(Produtos!$C$4:$C$4996,MATCH(D6106,Produtos!$B$4:$B$4996,0)),"Produto não encontrado"),"")</f>
        <v/>
      </c>
    </row>
    <row r="6107" spans="1:5" x14ac:dyDescent="0.3">
      <c r="A6107" s="21" t="str">
        <f t="shared" si="95"/>
        <v>.</v>
      </c>
      <c r="D6107" s="44"/>
      <c r="E6107" s="22" t="str">
        <f>IF(D6107&lt;&gt;"",IFERROR(INDEX(Produtos!$C$4:$C$4996,MATCH(D6107,Produtos!$B$4:$B$4996,0)),"Produto não encontrado"),"")</f>
        <v/>
      </c>
    </row>
    <row r="6108" spans="1:5" x14ac:dyDescent="0.3">
      <c r="A6108" s="21" t="str">
        <f t="shared" si="95"/>
        <v>.</v>
      </c>
      <c r="D6108" s="44"/>
      <c r="E6108" s="22" t="str">
        <f>IF(D6108&lt;&gt;"",IFERROR(INDEX(Produtos!$C$4:$C$4996,MATCH(D6108,Produtos!$B$4:$B$4996,0)),"Produto não encontrado"),"")</f>
        <v/>
      </c>
    </row>
    <row r="6109" spans="1:5" x14ac:dyDescent="0.3">
      <c r="A6109" s="21" t="str">
        <f t="shared" si="95"/>
        <v>.</v>
      </c>
      <c r="D6109" s="44"/>
      <c r="E6109" s="22" t="str">
        <f>IF(D6109&lt;&gt;"",IFERROR(INDEX(Produtos!$C$4:$C$4996,MATCH(D6109,Produtos!$B$4:$B$4996,0)),"Produto não encontrado"),"")</f>
        <v/>
      </c>
    </row>
    <row r="6110" spans="1:5" x14ac:dyDescent="0.3">
      <c r="A6110" s="21" t="str">
        <f t="shared" si="95"/>
        <v>.</v>
      </c>
      <c r="D6110" s="44"/>
      <c r="E6110" s="22" t="str">
        <f>IF(D6110&lt;&gt;"",IFERROR(INDEX(Produtos!$C$4:$C$4996,MATCH(D6110,Produtos!$B$4:$B$4996,0)),"Produto não encontrado"),"")</f>
        <v/>
      </c>
    </row>
    <row r="6111" spans="1:5" x14ac:dyDescent="0.3">
      <c r="A6111" s="21" t="str">
        <f t="shared" si="95"/>
        <v>.</v>
      </c>
      <c r="D6111" s="44"/>
      <c r="E6111" s="22" t="str">
        <f>IF(D6111&lt;&gt;"",IFERROR(INDEX(Produtos!$C$4:$C$4996,MATCH(D6111,Produtos!$B$4:$B$4996,0)),"Produto não encontrado"),"")</f>
        <v/>
      </c>
    </row>
    <row r="6112" spans="1:5" x14ac:dyDescent="0.3">
      <c r="A6112" s="21" t="str">
        <f t="shared" si="95"/>
        <v>.</v>
      </c>
      <c r="D6112" s="44"/>
      <c r="E6112" s="22" t="str">
        <f>IF(D6112&lt;&gt;"",IFERROR(INDEX(Produtos!$C$4:$C$4996,MATCH(D6112,Produtos!$B$4:$B$4996,0)),"Produto não encontrado"),"")</f>
        <v/>
      </c>
    </row>
    <row r="6113" spans="1:5" x14ac:dyDescent="0.3">
      <c r="A6113" s="21" t="str">
        <f t="shared" si="95"/>
        <v>.</v>
      </c>
      <c r="D6113" s="44"/>
      <c r="E6113" s="22" t="str">
        <f>IF(D6113&lt;&gt;"",IFERROR(INDEX(Produtos!$C$4:$C$4996,MATCH(D6113,Produtos!$B$4:$B$4996,0)),"Produto não encontrado"),"")</f>
        <v/>
      </c>
    </row>
    <row r="6114" spans="1:5" x14ac:dyDescent="0.3">
      <c r="A6114" s="21" t="str">
        <f t="shared" si="95"/>
        <v>.</v>
      </c>
      <c r="D6114" s="44"/>
      <c r="E6114" s="22" t="str">
        <f>IF(D6114&lt;&gt;"",IFERROR(INDEX(Produtos!$C$4:$C$4996,MATCH(D6114,Produtos!$B$4:$B$4996,0)),"Produto não encontrado"),"")</f>
        <v/>
      </c>
    </row>
    <row r="6115" spans="1:5" x14ac:dyDescent="0.3">
      <c r="A6115" s="21" t="str">
        <f t="shared" si="95"/>
        <v>.</v>
      </c>
      <c r="D6115" s="44"/>
      <c r="E6115" s="22" t="str">
        <f>IF(D6115&lt;&gt;"",IFERROR(INDEX(Produtos!$C$4:$C$4996,MATCH(D6115,Produtos!$B$4:$B$4996,0)),"Produto não encontrado"),"")</f>
        <v/>
      </c>
    </row>
    <row r="6116" spans="1:5" x14ac:dyDescent="0.3">
      <c r="A6116" s="21" t="str">
        <f t="shared" si="95"/>
        <v>.</v>
      </c>
      <c r="D6116" s="44"/>
      <c r="E6116" s="22" t="str">
        <f>IF(D6116&lt;&gt;"",IFERROR(INDEX(Produtos!$C$4:$C$4996,MATCH(D6116,Produtos!$B$4:$B$4996,0)),"Produto não encontrado"),"")</f>
        <v/>
      </c>
    </row>
    <row r="6117" spans="1:5" x14ac:dyDescent="0.3">
      <c r="A6117" s="21" t="str">
        <f t="shared" si="95"/>
        <v>.</v>
      </c>
      <c r="D6117" s="44"/>
      <c r="E6117" s="22" t="str">
        <f>IF(D6117&lt;&gt;"",IFERROR(INDEX(Produtos!$C$4:$C$4996,MATCH(D6117,Produtos!$B$4:$B$4996,0)),"Produto não encontrado"),"")</f>
        <v/>
      </c>
    </row>
    <row r="6118" spans="1:5" x14ac:dyDescent="0.3">
      <c r="A6118" s="21" t="str">
        <f t="shared" si="95"/>
        <v>.</v>
      </c>
      <c r="D6118" s="44"/>
      <c r="E6118" s="22" t="str">
        <f>IF(D6118&lt;&gt;"",IFERROR(INDEX(Produtos!$C$4:$C$4996,MATCH(D6118,Produtos!$B$4:$B$4996,0)),"Produto não encontrado"),"")</f>
        <v/>
      </c>
    </row>
    <row r="6119" spans="1:5" x14ac:dyDescent="0.3">
      <c r="A6119" s="21" t="str">
        <f t="shared" si="95"/>
        <v>.</v>
      </c>
      <c r="D6119" s="44"/>
      <c r="E6119" s="22" t="str">
        <f>IF(D6119&lt;&gt;"",IFERROR(INDEX(Produtos!$C$4:$C$4996,MATCH(D6119,Produtos!$B$4:$B$4996,0)),"Produto não encontrado"),"")</f>
        <v/>
      </c>
    </row>
    <row r="6120" spans="1:5" x14ac:dyDescent="0.3">
      <c r="A6120" s="21" t="str">
        <f t="shared" si="95"/>
        <v>.</v>
      </c>
      <c r="D6120" s="44"/>
      <c r="E6120" s="22" t="str">
        <f>IF(D6120&lt;&gt;"",IFERROR(INDEX(Produtos!$C$4:$C$4996,MATCH(D6120,Produtos!$B$4:$B$4996,0)),"Produto não encontrado"),"")</f>
        <v/>
      </c>
    </row>
    <row r="6121" spans="1:5" x14ac:dyDescent="0.3">
      <c r="A6121" s="21" t="str">
        <f t="shared" si="95"/>
        <v>.</v>
      </c>
      <c r="D6121" s="44"/>
      <c r="E6121" s="22" t="str">
        <f>IF(D6121&lt;&gt;"",IFERROR(INDEX(Produtos!$C$4:$C$4996,MATCH(D6121,Produtos!$B$4:$B$4996,0)),"Produto não encontrado"),"")</f>
        <v/>
      </c>
    </row>
    <row r="6122" spans="1:5" x14ac:dyDescent="0.3">
      <c r="A6122" s="21" t="str">
        <f t="shared" si="95"/>
        <v>.</v>
      </c>
      <c r="D6122" s="44"/>
      <c r="E6122" s="22" t="str">
        <f>IF(D6122&lt;&gt;"",IFERROR(INDEX(Produtos!$C$4:$C$4996,MATCH(D6122,Produtos!$B$4:$B$4996,0)),"Produto não encontrado"),"")</f>
        <v/>
      </c>
    </row>
    <row r="6123" spans="1:5" x14ac:dyDescent="0.3">
      <c r="A6123" s="21" t="str">
        <f t="shared" si="95"/>
        <v>.</v>
      </c>
      <c r="D6123" s="44"/>
      <c r="E6123" s="22" t="str">
        <f>IF(D6123&lt;&gt;"",IFERROR(INDEX(Produtos!$C$4:$C$4996,MATCH(D6123,Produtos!$B$4:$B$4996,0)),"Produto não encontrado"),"")</f>
        <v/>
      </c>
    </row>
    <row r="6124" spans="1:5" x14ac:dyDescent="0.3">
      <c r="A6124" s="21" t="str">
        <f t="shared" si="95"/>
        <v>.</v>
      </c>
      <c r="D6124" s="44"/>
      <c r="E6124" s="22" t="str">
        <f>IF(D6124&lt;&gt;"",IFERROR(INDEX(Produtos!$C$4:$C$4996,MATCH(D6124,Produtos!$B$4:$B$4996,0)),"Produto não encontrado"),"")</f>
        <v/>
      </c>
    </row>
    <row r="6125" spans="1:5" x14ac:dyDescent="0.3">
      <c r="A6125" s="21" t="str">
        <f t="shared" si="95"/>
        <v>.</v>
      </c>
      <c r="D6125" s="44"/>
      <c r="E6125" s="22" t="str">
        <f>IF(D6125&lt;&gt;"",IFERROR(INDEX(Produtos!$C$4:$C$4996,MATCH(D6125,Produtos!$B$4:$B$4996,0)),"Produto não encontrado"),"")</f>
        <v/>
      </c>
    </row>
    <row r="6126" spans="1:5" x14ac:dyDescent="0.3">
      <c r="A6126" s="21" t="str">
        <f t="shared" si="95"/>
        <v>.</v>
      </c>
      <c r="D6126" s="44"/>
      <c r="E6126" s="22" t="str">
        <f>IF(D6126&lt;&gt;"",IFERROR(INDEX(Produtos!$C$4:$C$4996,MATCH(D6126,Produtos!$B$4:$B$4996,0)),"Produto não encontrado"),"")</f>
        <v/>
      </c>
    </row>
    <row r="6127" spans="1:5" x14ac:dyDescent="0.3">
      <c r="A6127" s="21" t="str">
        <f t="shared" si="95"/>
        <v>.</v>
      </c>
      <c r="D6127" s="44"/>
      <c r="E6127" s="22" t="str">
        <f>IF(D6127&lt;&gt;"",IFERROR(INDEX(Produtos!$C$4:$C$4996,MATCH(D6127,Produtos!$B$4:$B$4996,0)),"Produto não encontrado"),"")</f>
        <v/>
      </c>
    </row>
    <row r="6128" spans="1:5" x14ac:dyDescent="0.3">
      <c r="A6128" s="21" t="str">
        <f t="shared" si="95"/>
        <v>.</v>
      </c>
      <c r="D6128" s="44"/>
      <c r="E6128" s="22" t="str">
        <f>IF(D6128&lt;&gt;"",IFERROR(INDEX(Produtos!$C$4:$C$4996,MATCH(D6128,Produtos!$B$4:$B$4996,0)),"Produto não encontrado"),"")</f>
        <v/>
      </c>
    </row>
    <row r="6129" spans="1:5" x14ac:dyDescent="0.3">
      <c r="A6129" s="21" t="str">
        <f t="shared" si="95"/>
        <v>.</v>
      </c>
      <c r="D6129" s="44"/>
      <c r="E6129" s="22" t="str">
        <f>IF(D6129&lt;&gt;"",IFERROR(INDEX(Produtos!$C$4:$C$4996,MATCH(D6129,Produtos!$B$4:$B$4996,0)),"Produto não encontrado"),"")</f>
        <v/>
      </c>
    </row>
    <row r="6130" spans="1:5" x14ac:dyDescent="0.3">
      <c r="A6130" s="21" t="str">
        <f t="shared" si="95"/>
        <v>.</v>
      </c>
      <c r="D6130" s="44"/>
      <c r="E6130" s="22" t="str">
        <f>IF(D6130&lt;&gt;"",IFERROR(INDEX(Produtos!$C$4:$C$4996,MATCH(D6130,Produtos!$B$4:$B$4996,0)),"Produto não encontrado"),"")</f>
        <v/>
      </c>
    </row>
    <row r="6131" spans="1:5" x14ac:dyDescent="0.3">
      <c r="A6131" s="21" t="str">
        <f t="shared" si="95"/>
        <v>.</v>
      </c>
      <c r="D6131" s="44"/>
      <c r="E6131" s="22" t="str">
        <f>IF(D6131&lt;&gt;"",IFERROR(INDEX(Produtos!$C$4:$C$4996,MATCH(D6131,Produtos!$B$4:$B$4996,0)),"Produto não encontrado"),"")</f>
        <v/>
      </c>
    </row>
    <row r="6132" spans="1:5" x14ac:dyDescent="0.3">
      <c r="A6132" s="21" t="str">
        <f t="shared" si="95"/>
        <v>.</v>
      </c>
      <c r="D6132" s="44"/>
      <c r="E6132" s="22" t="str">
        <f>IF(D6132&lt;&gt;"",IFERROR(INDEX(Produtos!$C$4:$C$4996,MATCH(D6132,Produtos!$B$4:$B$4996,0)),"Produto não encontrado"),"")</f>
        <v/>
      </c>
    </row>
    <row r="6133" spans="1:5" x14ac:dyDescent="0.3">
      <c r="A6133" s="21" t="str">
        <f t="shared" si="95"/>
        <v>.</v>
      </c>
      <c r="D6133" s="44"/>
      <c r="E6133" s="22" t="str">
        <f>IF(D6133&lt;&gt;"",IFERROR(INDEX(Produtos!$C$4:$C$4996,MATCH(D6133,Produtos!$B$4:$B$4996,0)),"Produto não encontrado"),"")</f>
        <v/>
      </c>
    </row>
    <row r="6134" spans="1:5" x14ac:dyDescent="0.3">
      <c r="A6134" s="21" t="str">
        <f t="shared" si="95"/>
        <v>.</v>
      </c>
      <c r="D6134" s="44"/>
      <c r="E6134" s="22" t="str">
        <f>IF(D6134&lt;&gt;"",IFERROR(INDEX(Produtos!$C$4:$C$4996,MATCH(D6134,Produtos!$B$4:$B$4996,0)),"Produto não encontrado"),"")</f>
        <v/>
      </c>
    </row>
    <row r="6135" spans="1:5" x14ac:dyDescent="0.3">
      <c r="A6135" s="21" t="str">
        <f t="shared" si="95"/>
        <v>.</v>
      </c>
      <c r="D6135" s="44"/>
      <c r="E6135" s="22" t="str">
        <f>IF(D6135&lt;&gt;"",IFERROR(INDEX(Produtos!$C$4:$C$4996,MATCH(D6135,Produtos!$B$4:$B$4996,0)),"Produto não encontrado"),"")</f>
        <v/>
      </c>
    </row>
    <row r="6136" spans="1:5" x14ac:dyDescent="0.3">
      <c r="A6136" s="21" t="str">
        <f t="shared" si="95"/>
        <v>.</v>
      </c>
      <c r="D6136" s="44"/>
      <c r="E6136" s="22" t="str">
        <f>IF(D6136&lt;&gt;"",IFERROR(INDEX(Produtos!$C$4:$C$4996,MATCH(D6136,Produtos!$B$4:$B$4996,0)),"Produto não encontrado"),"")</f>
        <v/>
      </c>
    </row>
    <row r="6137" spans="1:5" x14ac:dyDescent="0.3">
      <c r="A6137" s="21" t="str">
        <f t="shared" si="95"/>
        <v>.</v>
      </c>
      <c r="D6137" s="44"/>
      <c r="E6137" s="22" t="str">
        <f>IF(D6137&lt;&gt;"",IFERROR(INDEX(Produtos!$C$4:$C$4996,MATCH(D6137,Produtos!$B$4:$B$4996,0)),"Produto não encontrado"),"")</f>
        <v/>
      </c>
    </row>
    <row r="6138" spans="1:5" x14ac:dyDescent="0.3">
      <c r="A6138" s="21" t="str">
        <f t="shared" si="95"/>
        <v>.</v>
      </c>
      <c r="D6138" s="44"/>
      <c r="E6138" s="22" t="str">
        <f>IF(D6138&lt;&gt;"",IFERROR(INDEX(Produtos!$C$4:$C$4996,MATCH(D6138,Produtos!$B$4:$B$4996,0)),"Produto não encontrado"),"")</f>
        <v/>
      </c>
    </row>
    <row r="6139" spans="1:5" x14ac:dyDescent="0.3">
      <c r="A6139" s="21" t="str">
        <f t="shared" si="95"/>
        <v>.</v>
      </c>
      <c r="D6139" s="44"/>
      <c r="E6139" s="22" t="str">
        <f>IF(D6139&lt;&gt;"",IFERROR(INDEX(Produtos!$C$4:$C$4996,MATCH(D6139,Produtos!$B$4:$B$4996,0)),"Produto não encontrado"),"")</f>
        <v/>
      </c>
    </row>
    <row r="6140" spans="1:5" x14ac:dyDescent="0.3">
      <c r="A6140" s="21" t="str">
        <f t="shared" si="95"/>
        <v>.</v>
      </c>
      <c r="D6140" s="44"/>
      <c r="E6140" s="22" t="str">
        <f>IF(D6140&lt;&gt;"",IFERROR(INDEX(Produtos!$C$4:$C$4996,MATCH(D6140,Produtos!$B$4:$B$4996,0)),"Produto não encontrado"),"")</f>
        <v/>
      </c>
    </row>
    <row r="6141" spans="1:5" x14ac:dyDescent="0.3">
      <c r="A6141" s="21" t="str">
        <f t="shared" si="95"/>
        <v>.</v>
      </c>
      <c r="D6141" s="44"/>
      <c r="E6141" s="22" t="str">
        <f>IF(D6141&lt;&gt;"",IFERROR(INDEX(Produtos!$C$4:$C$4996,MATCH(D6141,Produtos!$B$4:$B$4996,0)),"Produto não encontrado"),"")</f>
        <v/>
      </c>
    </row>
    <row r="6142" spans="1:5" x14ac:dyDescent="0.3">
      <c r="A6142" s="21" t="str">
        <f t="shared" si="95"/>
        <v>.</v>
      </c>
      <c r="D6142" s="44"/>
      <c r="E6142" s="22" t="str">
        <f>IF(D6142&lt;&gt;"",IFERROR(INDEX(Produtos!$C$4:$C$4996,MATCH(D6142,Produtos!$B$4:$B$4996,0)),"Produto não encontrado"),"")</f>
        <v/>
      </c>
    </row>
    <row r="6143" spans="1:5" x14ac:dyDescent="0.3">
      <c r="A6143" s="21" t="str">
        <f t="shared" si="95"/>
        <v>.</v>
      </c>
      <c r="D6143" s="44"/>
      <c r="E6143" s="22" t="str">
        <f>IF(D6143&lt;&gt;"",IFERROR(INDEX(Produtos!$C$4:$C$4996,MATCH(D6143,Produtos!$B$4:$B$4996,0)),"Produto não encontrado"),"")</f>
        <v/>
      </c>
    </row>
    <row r="6144" spans="1:5" x14ac:dyDescent="0.3">
      <c r="A6144" s="21" t="str">
        <f t="shared" ref="A6144:A6207" si="96">IF(C6144="Entrada",2,IF(C6144="Saída",1,"."))</f>
        <v>.</v>
      </c>
      <c r="D6144" s="44"/>
      <c r="E6144" s="22" t="str">
        <f>IF(D6144&lt;&gt;"",IFERROR(INDEX(Produtos!$C$4:$C$4996,MATCH(D6144,Produtos!$B$4:$B$4996,0)),"Produto não encontrado"),"")</f>
        <v/>
      </c>
    </row>
    <row r="6145" spans="1:5" x14ac:dyDescent="0.3">
      <c r="A6145" s="21" t="str">
        <f t="shared" si="96"/>
        <v>.</v>
      </c>
      <c r="D6145" s="44"/>
      <c r="E6145" s="22" t="str">
        <f>IF(D6145&lt;&gt;"",IFERROR(INDEX(Produtos!$C$4:$C$4996,MATCH(D6145,Produtos!$B$4:$B$4996,0)),"Produto não encontrado"),"")</f>
        <v/>
      </c>
    </row>
    <row r="6146" spans="1:5" x14ac:dyDescent="0.3">
      <c r="A6146" s="21" t="str">
        <f t="shared" si="96"/>
        <v>.</v>
      </c>
      <c r="D6146" s="44"/>
      <c r="E6146" s="22" t="str">
        <f>IF(D6146&lt;&gt;"",IFERROR(INDEX(Produtos!$C$4:$C$4996,MATCH(D6146,Produtos!$B$4:$B$4996,0)),"Produto não encontrado"),"")</f>
        <v/>
      </c>
    </row>
    <row r="6147" spans="1:5" x14ac:dyDescent="0.3">
      <c r="A6147" s="21" t="str">
        <f t="shared" si="96"/>
        <v>.</v>
      </c>
      <c r="D6147" s="44"/>
      <c r="E6147" s="22" t="str">
        <f>IF(D6147&lt;&gt;"",IFERROR(INDEX(Produtos!$C$4:$C$4996,MATCH(D6147,Produtos!$B$4:$B$4996,0)),"Produto não encontrado"),"")</f>
        <v/>
      </c>
    </row>
    <row r="6148" spans="1:5" x14ac:dyDescent="0.3">
      <c r="A6148" s="21" t="str">
        <f t="shared" si="96"/>
        <v>.</v>
      </c>
      <c r="D6148" s="44"/>
      <c r="E6148" s="22" t="str">
        <f>IF(D6148&lt;&gt;"",IFERROR(INDEX(Produtos!$C$4:$C$4996,MATCH(D6148,Produtos!$B$4:$B$4996,0)),"Produto não encontrado"),"")</f>
        <v/>
      </c>
    </row>
    <row r="6149" spans="1:5" x14ac:dyDescent="0.3">
      <c r="A6149" s="21" t="str">
        <f t="shared" si="96"/>
        <v>.</v>
      </c>
      <c r="D6149" s="44"/>
      <c r="E6149" s="22" t="str">
        <f>IF(D6149&lt;&gt;"",IFERROR(INDEX(Produtos!$C$4:$C$4996,MATCH(D6149,Produtos!$B$4:$B$4996,0)),"Produto não encontrado"),"")</f>
        <v/>
      </c>
    </row>
    <row r="6150" spans="1:5" x14ac:dyDescent="0.3">
      <c r="A6150" s="21" t="str">
        <f t="shared" si="96"/>
        <v>.</v>
      </c>
      <c r="D6150" s="44"/>
      <c r="E6150" s="22" t="str">
        <f>IF(D6150&lt;&gt;"",IFERROR(INDEX(Produtos!$C$4:$C$4996,MATCH(D6150,Produtos!$B$4:$B$4996,0)),"Produto não encontrado"),"")</f>
        <v/>
      </c>
    </row>
    <row r="6151" spans="1:5" x14ac:dyDescent="0.3">
      <c r="A6151" s="21" t="str">
        <f t="shared" si="96"/>
        <v>.</v>
      </c>
      <c r="D6151" s="44"/>
      <c r="E6151" s="22" t="str">
        <f>IF(D6151&lt;&gt;"",IFERROR(INDEX(Produtos!$C$4:$C$4996,MATCH(D6151,Produtos!$B$4:$B$4996,0)),"Produto não encontrado"),"")</f>
        <v/>
      </c>
    </row>
    <row r="6152" spans="1:5" x14ac:dyDescent="0.3">
      <c r="A6152" s="21" t="str">
        <f t="shared" si="96"/>
        <v>.</v>
      </c>
      <c r="D6152" s="44"/>
      <c r="E6152" s="22" t="str">
        <f>IF(D6152&lt;&gt;"",IFERROR(INDEX(Produtos!$C$4:$C$4996,MATCH(D6152,Produtos!$B$4:$B$4996,0)),"Produto não encontrado"),"")</f>
        <v/>
      </c>
    </row>
    <row r="6153" spans="1:5" x14ac:dyDescent="0.3">
      <c r="A6153" s="21" t="str">
        <f t="shared" si="96"/>
        <v>.</v>
      </c>
      <c r="D6153" s="44"/>
      <c r="E6153" s="22" t="str">
        <f>IF(D6153&lt;&gt;"",IFERROR(INDEX(Produtos!$C$4:$C$4996,MATCH(D6153,Produtos!$B$4:$B$4996,0)),"Produto não encontrado"),"")</f>
        <v/>
      </c>
    </row>
    <row r="6154" spans="1:5" x14ac:dyDescent="0.3">
      <c r="A6154" s="21" t="str">
        <f t="shared" si="96"/>
        <v>.</v>
      </c>
      <c r="D6154" s="44"/>
      <c r="E6154" s="22" t="str">
        <f>IF(D6154&lt;&gt;"",IFERROR(INDEX(Produtos!$C$4:$C$4996,MATCH(D6154,Produtos!$B$4:$B$4996,0)),"Produto não encontrado"),"")</f>
        <v/>
      </c>
    </row>
    <row r="6155" spans="1:5" x14ac:dyDescent="0.3">
      <c r="A6155" s="21" t="str">
        <f t="shared" si="96"/>
        <v>.</v>
      </c>
      <c r="D6155" s="44"/>
      <c r="E6155" s="22" t="str">
        <f>IF(D6155&lt;&gt;"",IFERROR(INDEX(Produtos!$C$4:$C$4996,MATCH(D6155,Produtos!$B$4:$B$4996,0)),"Produto não encontrado"),"")</f>
        <v/>
      </c>
    </row>
    <row r="6156" spans="1:5" x14ac:dyDescent="0.3">
      <c r="A6156" s="21" t="str">
        <f t="shared" si="96"/>
        <v>.</v>
      </c>
      <c r="D6156" s="44"/>
      <c r="E6156" s="22" t="str">
        <f>IF(D6156&lt;&gt;"",IFERROR(INDEX(Produtos!$C$4:$C$4996,MATCH(D6156,Produtos!$B$4:$B$4996,0)),"Produto não encontrado"),"")</f>
        <v/>
      </c>
    </row>
    <row r="6157" spans="1:5" x14ac:dyDescent="0.3">
      <c r="A6157" s="21" t="str">
        <f t="shared" si="96"/>
        <v>.</v>
      </c>
      <c r="D6157" s="44"/>
      <c r="E6157" s="22" t="str">
        <f>IF(D6157&lt;&gt;"",IFERROR(INDEX(Produtos!$C$4:$C$4996,MATCH(D6157,Produtos!$B$4:$B$4996,0)),"Produto não encontrado"),"")</f>
        <v/>
      </c>
    </row>
    <row r="6158" spans="1:5" x14ac:dyDescent="0.3">
      <c r="A6158" s="21" t="str">
        <f t="shared" si="96"/>
        <v>.</v>
      </c>
      <c r="D6158" s="44"/>
      <c r="E6158" s="22" t="str">
        <f>IF(D6158&lt;&gt;"",IFERROR(INDEX(Produtos!$C$4:$C$4996,MATCH(D6158,Produtos!$B$4:$B$4996,0)),"Produto não encontrado"),"")</f>
        <v/>
      </c>
    </row>
    <row r="6159" spans="1:5" x14ac:dyDescent="0.3">
      <c r="A6159" s="21" t="str">
        <f t="shared" si="96"/>
        <v>.</v>
      </c>
      <c r="D6159" s="44"/>
      <c r="E6159" s="22" t="str">
        <f>IF(D6159&lt;&gt;"",IFERROR(INDEX(Produtos!$C$4:$C$4996,MATCH(D6159,Produtos!$B$4:$B$4996,0)),"Produto não encontrado"),"")</f>
        <v/>
      </c>
    </row>
    <row r="6160" spans="1:5" x14ac:dyDescent="0.3">
      <c r="A6160" s="21" t="str">
        <f t="shared" si="96"/>
        <v>.</v>
      </c>
      <c r="D6160" s="44"/>
      <c r="E6160" s="22" t="str">
        <f>IF(D6160&lt;&gt;"",IFERROR(INDEX(Produtos!$C$4:$C$4996,MATCH(D6160,Produtos!$B$4:$B$4996,0)),"Produto não encontrado"),"")</f>
        <v/>
      </c>
    </row>
    <row r="6161" spans="1:5" x14ac:dyDescent="0.3">
      <c r="A6161" s="21" t="str">
        <f t="shared" si="96"/>
        <v>.</v>
      </c>
      <c r="D6161" s="44"/>
      <c r="E6161" s="22" t="str">
        <f>IF(D6161&lt;&gt;"",IFERROR(INDEX(Produtos!$C$4:$C$4996,MATCH(D6161,Produtos!$B$4:$B$4996,0)),"Produto não encontrado"),"")</f>
        <v/>
      </c>
    </row>
    <row r="6162" spans="1:5" x14ac:dyDescent="0.3">
      <c r="A6162" s="21" t="str">
        <f t="shared" si="96"/>
        <v>.</v>
      </c>
      <c r="D6162" s="44"/>
      <c r="E6162" s="22" t="str">
        <f>IF(D6162&lt;&gt;"",IFERROR(INDEX(Produtos!$C$4:$C$4996,MATCH(D6162,Produtos!$B$4:$B$4996,0)),"Produto não encontrado"),"")</f>
        <v/>
      </c>
    </row>
    <row r="6163" spans="1:5" x14ac:dyDescent="0.3">
      <c r="A6163" s="21" t="str">
        <f t="shared" si="96"/>
        <v>.</v>
      </c>
      <c r="D6163" s="44"/>
      <c r="E6163" s="22" t="str">
        <f>IF(D6163&lt;&gt;"",IFERROR(INDEX(Produtos!$C$4:$C$4996,MATCH(D6163,Produtos!$B$4:$B$4996,0)),"Produto não encontrado"),"")</f>
        <v/>
      </c>
    </row>
    <row r="6164" spans="1:5" x14ac:dyDescent="0.3">
      <c r="A6164" s="21" t="str">
        <f t="shared" si="96"/>
        <v>.</v>
      </c>
      <c r="D6164" s="44"/>
      <c r="E6164" s="22" t="str">
        <f>IF(D6164&lt;&gt;"",IFERROR(INDEX(Produtos!$C$4:$C$4996,MATCH(D6164,Produtos!$B$4:$B$4996,0)),"Produto não encontrado"),"")</f>
        <v/>
      </c>
    </row>
    <row r="6165" spans="1:5" x14ac:dyDescent="0.3">
      <c r="A6165" s="21" t="str">
        <f t="shared" si="96"/>
        <v>.</v>
      </c>
      <c r="D6165" s="44"/>
      <c r="E6165" s="22" t="str">
        <f>IF(D6165&lt;&gt;"",IFERROR(INDEX(Produtos!$C$4:$C$4996,MATCH(D6165,Produtos!$B$4:$B$4996,0)),"Produto não encontrado"),"")</f>
        <v/>
      </c>
    </row>
    <row r="6166" spans="1:5" x14ac:dyDescent="0.3">
      <c r="A6166" s="21" t="str">
        <f t="shared" si="96"/>
        <v>.</v>
      </c>
      <c r="D6166" s="44"/>
      <c r="E6166" s="22" t="str">
        <f>IF(D6166&lt;&gt;"",IFERROR(INDEX(Produtos!$C$4:$C$4996,MATCH(D6166,Produtos!$B$4:$B$4996,0)),"Produto não encontrado"),"")</f>
        <v/>
      </c>
    </row>
    <row r="6167" spans="1:5" x14ac:dyDescent="0.3">
      <c r="A6167" s="21" t="str">
        <f t="shared" si="96"/>
        <v>.</v>
      </c>
      <c r="D6167" s="44"/>
      <c r="E6167" s="22" t="str">
        <f>IF(D6167&lt;&gt;"",IFERROR(INDEX(Produtos!$C$4:$C$4996,MATCH(D6167,Produtos!$B$4:$B$4996,0)),"Produto não encontrado"),"")</f>
        <v/>
      </c>
    </row>
    <row r="6168" spans="1:5" x14ac:dyDescent="0.3">
      <c r="A6168" s="21" t="str">
        <f t="shared" si="96"/>
        <v>.</v>
      </c>
      <c r="D6168" s="44"/>
      <c r="E6168" s="22" t="str">
        <f>IF(D6168&lt;&gt;"",IFERROR(INDEX(Produtos!$C$4:$C$4996,MATCH(D6168,Produtos!$B$4:$B$4996,0)),"Produto não encontrado"),"")</f>
        <v/>
      </c>
    </row>
    <row r="6169" spans="1:5" x14ac:dyDescent="0.3">
      <c r="A6169" s="21" t="str">
        <f t="shared" si="96"/>
        <v>.</v>
      </c>
      <c r="D6169" s="44"/>
      <c r="E6169" s="22" t="str">
        <f>IF(D6169&lt;&gt;"",IFERROR(INDEX(Produtos!$C$4:$C$4996,MATCH(D6169,Produtos!$B$4:$B$4996,0)),"Produto não encontrado"),"")</f>
        <v/>
      </c>
    </row>
    <row r="6170" spans="1:5" x14ac:dyDescent="0.3">
      <c r="A6170" s="21" t="str">
        <f t="shared" si="96"/>
        <v>.</v>
      </c>
      <c r="D6170" s="44"/>
      <c r="E6170" s="22" t="str">
        <f>IF(D6170&lt;&gt;"",IFERROR(INDEX(Produtos!$C$4:$C$4996,MATCH(D6170,Produtos!$B$4:$B$4996,0)),"Produto não encontrado"),"")</f>
        <v/>
      </c>
    </row>
    <row r="6171" spans="1:5" x14ac:dyDescent="0.3">
      <c r="A6171" s="21" t="str">
        <f t="shared" si="96"/>
        <v>.</v>
      </c>
      <c r="D6171" s="44"/>
      <c r="E6171" s="22" t="str">
        <f>IF(D6171&lt;&gt;"",IFERROR(INDEX(Produtos!$C$4:$C$4996,MATCH(D6171,Produtos!$B$4:$B$4996,0)),"Produto não encontrado"),"")</f>
        <v/>
      </c>
    </row>
    <row r="6172" spans="1:5" x14ac:dyDescent="0.3">
      <c r="A6172" s="21" t="str">
        <f t="shared" si="96"/>
        <v>.</v>
      </c>
      <c r="D6172" s="44"/>
      <c r="E6172" s="22" t="str">
        <f>IF(D6172&lt;&gt;"",IFERROR(INDEX(Produtos!$C$4:$C$4996,MATCH(D6172,Produtos!$B$4:$B$4996,0)),"Produto não encontrado"),"")</f>
        <v/>
      </c>
    </row>
    <row r="6173" spans="1:5" x14ac:dyDescent="0.3">
      <c r="A6173" s="21" t="str">
        <f t="shared" si="96"/>
        <v>.</v>
      </c>
      <c r="D6173" s="44"/>
      <c r="E6173" s="22" t="str">
        <f>IF(D6173&lt;&gt;"",IFERROR(INDEX(Produtos!$C$4:$C$4996,MATCH(D6173,Produtos!$B$4:$B$4996,0)),"Produto não encontrado"),"")</f>
        <v/>
      </c>
    </row>
    <row r="6174" spans="1:5" x14ac:dyDescent="0.3">
      <c r="A6174" s="21" t="str">
        <f t="shared" si="96"/>
        <v>.</v>
      </c>
      <c r="D6174" s="44"/>
      <c r="E6174" s="22" t="str">
        <f>IF(D6174&lt;&gt;"",IFERROR(INDEX(Produtos!$C$4:$C$4996,MATCH(D6174,Produtos!$B$4:$B$4996,0)),"Produto não encontrado"),"")</f>
        <v/>
      </c>
    </row>
    <row r="6175" spans="1:5" x14ac:dyDescent="0.3">
      <c r="A6175" s="21" t="str">
        <f t="shared" si="96"/>
        <v>.</v>
      </c>
      <c r="D6175" s="44"/>
      <c r="E6175" s="22" t="str">
        <f>IF(D6175&lt;&gt;"",IFERROR(INDEX(Produtos!$C$4:$C$4996,MATCH(D6175,Produtos!$B$4:$B$4996,0)),"Produto não encontrado"),"")</f>
        <v/>
      </c>
    </row>
    <row r="6176" spans="1:5" x14ac:dyDescent="0.3">
      <c r="A6176" s="21" t="str">
        <f t="shared" si="96"/>
        <v>.</v>
      </c>
      <c r="D6176" s="44"/>
      <c r="E6176" s="22" t="str">
        <f>IF(D6176&lt;&gt;"",IFERROR(INDEX(Produtos!$C$4:$C$4996,MATCH(D6176,Produtos!$B$4:$B$4996,0)),"Produto não encontrado"),"")</f>
        <v/>
      </c>
    </row>
    <row r="6177" spans="1:5" x14ac:dyDescent="0.3">
      <c r="A6177" s="21" t="str">
        <f t="shared" si="96"/>
        <v>.</v>
      </c>
      <c r="D6177" s="44"/>
      <c r="E6177" s="22" t="str">
        <f>IF(D6177&lt;&gt;"",IFERROR(INDEX(Produtos!$C$4:$C$4996,MATCH(D6177,Produtos!$B$4:$B$4996,0)),"Produto não encontrado"),"")</f>
        <v/>
      </c>
    </row>
    <row r="6178" spans="1:5" x14ac:dyDescent="0.3">
      <c r="A6178" s="21" t="str">
        <f t="shared" si="96"/>
        <v>.</v>
      </c>
      <c r="D6178" s="44"/>
      <c r="E6178" s="22" t="str">
        <f>IF(D6178&lt;&gt;"",IFERROR(INDEX(Produtos!$C$4:$C$4996,MATCH(D6178,Produtos!$B$4:$B$4996,0)),"Produto não encontrado"),"")</f>
        <v/>
      </c>
    </row>
    <row r="6179" spans="1:5" x14ac:dyDescent="0.3">
      <c r="A6179" s="21" t="str">
        <f t="shared" si="96"/>
        <v>.</v>
      </c>
      <c r="D6179" s="44"/>
      <c r="E6179" s="22" t="str">
        <f>IF(D6179&lt;&gt;"",IFERROR(INDEX(Produtos!$C$4:$C$4996,MATCH(D6179,Produtos!$B$4:$B$4996,0)),"Produto não encontrado"),"")</f>
        <v/>
      </c>
    </row>
    <row r="6180" spans="1:5" x14ac:dyDescent="0.3">
      <c r="A6180" s="21" t="str">
        <f t="shared" si="96"/>
        <v>.</v>
      </c>
      <c r="D6180" s="44"/>
      <c r="E6180" s="22" t="str">
        <f>IF(D6180&lt;&gt;"",IFERROR(INDEX(Produtos!$C$4:$C$4996,MATCH(D6180,Produtos!$B$4:$B$4996,0)),"Produto não encontrado"),"")</f>
        <v/>
      </c>
    </row>
    <row r="6181" spans="1:5" x14ac:dyDescent="0.3">
      <c r="A6181" s="21" t="str">
        <f t="shared" si="96"/>
        <v>.</v>
      </c>
      <c r="D6181" s="44"/>
      <c r="E6181" s="22" t="str">
        <f>IF(D6181&lt;&gt;"",IFERROR(INDEX(Produtos!$C$4:$C$4996,MATCH(D6181,Produtos!$B$4:$B$4996,0)),"Produto não encontrado"),"")</f>
        <v/>
      </c>
    </row>
    <row r="6182" spans="1:5" x14ac:dyDescent="0.3">
      <c r="A6182" s="21" t="str">
        <f t="shared" si="96"/>
        <v>.</v>
      </c>
      <c r="D6182" s="44"/>
      <c r="E6182" s="22" t="str">
        <f>IF(D6182&lt;&gt;"",IFERROR(INDEX(Produtos!$C$4:$C$4996,MATCH(D6182,Produtos!$B$4:$B$4996,0)),"Produto não encontrado"),"")</f>
        <v/>
      </c>
    </row>
    <row r="6183" spans="1:5" x14ac:dyDescent="0.3">
      <c r="A6183" s="21" t="str">
        <f t="shared" si="96"/>
        <v>.</v>
      </c>
      <c r="D6183" s="44"/>
      <c r="E6183" s="22" t="str">
        <f>IF(D6183&lt;&gt;"",IFERROR(INDEX(Produtos!$C$4:$C$4996,MATCH(D6183,Produtos!$B$4:$B$4996,0)),"Produto não encontrado"),"")</f>
        <v/>
      </c>
    </row>
    <row r="6184" spans="1:5" x14ac:dyDescent="0.3">
      <c r="A6184" s="21" t="str">
        <f t="shared" si="96"/>
        <v>.</v>
      </c>
      <c r="D6184" s="44"/>
      <c r="E6184" s="22" t="str">
        <f>IF(D6184&lt;&gt;"",IFERROR(INDEX(Produtos!$C$4:$C$4996,MATCH(D6184,Produtos!$B$4:$B$4996,0)),"Produto não encontrado"),"")</f>
        <v/>
      </c>
    </row>
    <row r="6185" spans="1:5" x14ac:dyDescent="0.3">
      <c r="A6185" s="21" t="str">
        <f t="shared" si="96"/>
        <v>.</v>
      </c>
      <c r="D6185" s="44"/>
      <c r="E6185" s="22" t="str">
        <f>IF(D6185&lt;&gt;"",IFERROR(INDEX(Produtos!$C$4:$C$4996,MATCH(D6185,Produtos!$B$4:$B$4996,0)),"Produto não encontrado"),"")</f>
        <v/>
      </c>
    </row>
    <row r="6186" spans="1:5" x14ac:dyDescent="0.3">
      <c r="A6186" s="21" t="str">
        <f t="shared" si="96"/>
        <v>.</v>
      </c>
      <c r="D6186" s="44"/>
      <c r="E6186" s="22" t="str">
        <f>IF(D6186&lt;&gt;"",IFERROR(INDEX(Produtos!$C$4:$C$4996,MATCH(D6186,Produtos!$B$4:$B$4996,0)),"Produto não encontrado"),"")</f>
        <v/>
      </c>
    </row>
    <row r="6187" spans="1:5" x14ac:dyDescent="0.3">
      <c r="A6187" s="21" t="str">
        <f t="shared" si="96"/>
        <v>.</v>
      </c>
      <c r="D6187" s="44"/>
      <c r="E6187" s="22" t="str">
        <f>IF(D6187&lt;&gt;"",IFERROR(INDEX(Produtos!$C$4:$C$4996,MATCH(D6187,Produtos!$B$4:$B$4996,0)),"Produto não encontrado"),"")</f>
        <v/>
      </c>
    </row>
    <row r="6188" spans="1:5" x14ac:dyDescent="0.3">
      <c r="A6188" s="21" t="str">
        <f t="shared" si="96"/>
        <v>.</v>
      </c>
      <c r="D6188" s="44"/>
      <c r="E6188" s="22" t="str">
        <f>IF(D6188&lt;&gt;"",IFERROR(INDEX(Produtos!$C$4:$C$4996,MATCH(D6188,Produtos!$B$4:$B$4996,0)),"Produto não encontrado"),"")</f>
        <v/>
      </c>
    </row>
    <row r="6189" spans="1:5" x14ac:dyDescent="0.3">
      <c r="A6189" s="21" t="str">
        <f t="shared" si="96"/>
        <v>.</v>
      </c>
      <c r="D6189" s="44"/>
      <c r="E6189" s="22" t="str">
        <f>IF(D6189&lt;&gt;"",IFERROR(INDEX(Produtos!$C$4:$C$4996,MATCH(D6189,Produtos!$B$4:$B$4996,0)),"Produto não encontrado"),"")</f>
        <v/>
      </c>
    </row>
    <row r="6190" spans="1:5" x14ac:dyDescent="0.3">
      <c r="A6190" s="21" t="str">
        <f t="shared" si="96"/>
        <v>.</v>
      </c>
      <c r="D6190" s="44"/>
      <c r="E6190" s="22" t="str">
        <f>IF(D6190&lt;&gt;"",IFERROR(INDEX(Produtos!$C$4:$C$4996,MATCH(D6190,Produtos!$B$4:$B$4996,0)),"Produto não encontrado"),"")</f>
        <v/>
      </c>
    </row>
    <row r="6191" spans="1:5" x14ac:dyDescent="0.3">
      <c r="A6191" s="21" t="str">
        <f t="shared" si="96"/>
        <v>.</v>
      </c>
      <c r="D6191" s="44"/>
      <c r="E6191" s="22" t="str">
        <f>IF(D6191&lt;&gt;"",IFERROR(INDEX(Produtos!$C$4:$C$4996,MATCH(D6191,Produtos!$B$4:$B$4996,0)),"Produto não encontrado"),"")</f>
        <v/>
      </c>
    </row>
    <row r="6192" spans="1:5" x14ac:dyDescent="0.3">
      <c r="A6192" s="21" t="str">
        <f t="shared" si="96"/>
        <v>.</v>
      </c>
      <c r="D6192" s="44"/>
      <c r="E6192" s="22" t="str">
        <f>IF(D6192&lt;&gt;"",IFERROR(INDEX(Produtos!$C$4:$C$4996,MATCH(D6192,Produtos!$B$4:$B$4996,0)),"Produto não encontrado"),"")</f>
        <v/>
      </c>
    </row>
    <row r="6193" spans="1:5" x14ac:dyDescent="0.3">
      <c r="A6193" s="21" t="str">
        <f t="shared" si="96"/>
        <v>.</v>
      </c>
      <c r="D6193" s="44"/>
      <c r="E6193" s="22" t="str">
        <f>IF(D6193&lt;&gt;"",IFERROR(INDEX(Produtos!$C$4:$C$4996,MATCH(D6193,Produtos!$B$4:$B$4996,0)),"Produto não encontrado"),"")</f>
        <v/>
      </c>
    </row>
    <row r="6194" spans="1:5" x14ac:dyDescent="0.3">
      <c r="A6194" s="21" t="str">
        <f t="shared" si="96"/>
        <v>.</v>
      </c>
      <c r="D6194" s="44"/>
      <c r="E6194" s="22" t="str">
        <f>IF(D6194&lt;&gt;"",IFERROR(INDEX(Produtos!$C$4:$C$4996,MATCH(D6194,Produtos!$B$4:$B$4996,0)),"Produto não encontrado"),"")</f>
        <v/>
      </c>
    </row>
    <row r="6195" spans="1:5" x14ac:dyDescent="0.3">
      <c r="A6195" s="21" t="str">
        <f t="shared" si="96"/>
        <v>.</v>
      </c>
      <c r="D6195" s="44"/>
      <c r="E6195" s="22" t="str">
        <f>IF(D6195&lt;&gt;"",IFERROR(INDEX(Produtos!$C$4:$C$4996,MATCH(D6195,Produtos!$B$4:$B$4996,0)),"Produto não encontrado"),"")</f>
        <v/>
      </c>
    </row>
    <row r="6196" spans="1:5" x14ac:dyDescent="0.3">
      <c r="A6196" s="21" t="str">
        <f t="shared" si="96"/>
        <v>.</v>
      </c>
      <c r="D6196" s="44"/>
      <c r="E6196" s="22" t="str">
        <f>IF(D6196&lt;&gt;"",IFERROR(INDEX(Produtos!$C$4:$C$4996,MATCH(D6196,Produtos!$B$4:$B$4996,0)),"Produto não encontrado"),"")</f>
        <v/>
      </c>
    </row>
    <row r="6197" spans="1:5" x14ac:dyDescent="0.3">
      <c r="A6197" s="21" t="str">
        <f t="shared" si="96"/>
        <v>.</v>
      </c>
      <c r="D6197" s="44"/>
      <c r="E6197" s="22" t="str">
        <f>IF(D6197&lt;&gt;"",IFERROR(INDEX(Produtos!$C$4:$C$4996,MATCH(D6197,Produtos!$B$4:$B$4996,0)),"Produto não encontrado"),"")</f>
        <v/>
      </c>
    </row>
    <row r="6198" spans="1:5" x14ac:dyDescent="0.3">
      <c r="A6198" s="21" t="str">
        <f t="shared" si="96"/>
        <v>.</v>
      </c>
      <c r="D6198" s="44"/>
      <c r="E6198" s="22" t="str">
        <f>IF(D6198&lt;&gt;"",IFERROR(INDEX(Produtos!$C$4:$C$4996,MATCH(D6198,Produtos!$B$4:$B$4996,0)),"Produto não encontrado"),"")</f>
        <v/>
      </c>
    </row>
    <row r="6199" spans="1:5" x14ac:dyDescent="0.3">
      <c r="A6199" s="21" t="str">
        <f t="shared" si="96"/>
        <v>.</v>
      </c>
      <c r="D6199" s="44"/>
      <c r="E6199" s="22" t="str">
        <f>IF(D6199&lt;&gt;"",IFERROR(INDEX(Produtos!$C$4:$C$4996,MATCH(D6199,Produtos!$B$4:$B$4996,0)),"Produto não encontrado"),"")</f>
        <v/>
      </c>
    </row>
    <row r="6200" spans="1:5" x14ac:dyDescent="0.3">
      <c r="A6200" s="21" t="str">
        <f t="shared" si="96"/>
        <v>.</v>
      </c>
      <c r="D6200" s="44"/>
      <c r="E6200" s="22" t="str">
        <f>IF(D6200&lt;&gt;"",IFERROR(INDEX(Produtos!$C$4:$C$4996,MATCH(D6200,Produtos!$B$4:$B$4996,0)),"Produto não encontrado"),"")</f>
        <v/>
      </c>
    </row>
    <row r="6201" spans="1:5" x14ac:dyDescent="0.3">
      <c r="A6201" s="21" t="str">
        <f t="shared" si="96"/>
        <v>.</v>
      </c>
      <c r="D6201" s="44"/>
      <c r="E6201" s="22" t="str">
        <f>IF(D6201&lt;&gt;"",IFERROR(INDEX(Produtos!$C$4:$C$4996,MATCH(D6201,Produtos!$B$4:$B$4996,0)),"Produto não encontrado"),"")</f>
        <v/>
      </c>
    </row>
    <row r="6202" spans="1:5" x14ac:dyDescent="0.3">
      <c r="A6202" s="21" t="str">
        <f t="shared" si="96"/>
        <v>.</v>
      </c>
      <c r="D6202" s="44"/>
      <c r="E6202" s="22" t="str">
        <f>IF(D6202&lt;&gt;"",IFERROR(INDEX(Produtos!$C$4:$C$4996,MATCH(D6202,Produtos!$B$4:$B$4996,0)),"Produto não encontrado"),"")</f>
        <v/>
      </c>
    </row>
    <row r="6203" spans="1:5" x14ac:dyDescent="0.3">
      <c r="A6203" s="21" t="str">
        <f t="shared" si="96"/>
        <v>.</v>
      </c>
      <c r="D6203" s="44"/>
      <c r="E6203" s="22" t="str">
        <f>IF(D6203&lt;&gt;"",IFERROR(INDEX(Produtos!$C$4:$C$4996,MATCH(D6203,Produtos!$B$4:$B$4996,0)),"Produto não encontrado"),"")</f>
        <v/>
      </c>
    </row>
    <row r="6204" spans="1:5" x14ac:dyDescent="0.3">
      <c r="A6204" s="21" t="str">
        <f t="shared" si="96"/>
        <v>.</v>
      </c>
      <c r="D6204" s="44"/>
      <c r="E6204" s="22" t="str">
        <f>IF(D6204&lt;&gt;"",IFERROR(INDEX(Produtos!$C$4:$C$4996,MATCH(D6204,Produtos!$B$4:$B$4996,0)),"Produto não encontrado"),"")</f>
        <v/>
      </c>
    </row>
    <row r="6205" spans="1:5" x14ac:dyDescent="0.3">
      <c r="A6205" s="21" t="str">
        <f t="shared" si="96"/>
        <v>.</v>
      </c>
      <c r="D6205" s="44"/>
      <c r="E6205" s="22" t="str">
        <f>IF(D6205&lt;&gt;"",IFERROR(INDEX(Produtos!$C$4:$C$4996,MATCH(D6205,Produtos!$B$4:$B$4996,0)),"Produto não encontrado"),"")</f>
        <v/>
      </c>
    </row>
    <row r="6206" spans="1:5" x14ac:dyDescent="0.3">
      <c r="A6206" s="21" t="str">
        <f t="shared" si="96"/>
        <v>.</v>
      </c>
      <c r="D6206" s="44"/>
      <c r="E6206" s="22" t="str">
        <f>IF(D6206&lt;&gt;"",IFERROR(INDEX(Produtos!$C$4:$C$4996,MATCH(D6206,Produtos!$B$4:$B$4996,0)),"Produto não encontrado"),"")</f>
        <v/>
      </c>
    </row>
    <row r="6207" spans="1:5" x14ac:dyDescent="0.3">
      <c r="A6207" s="21" t="str">
        <f t="shared" si="96"/>
        <v>.</v>
      </c>
      <c r="D6207" s="44"/>
      <c r="E6207" s="22" t="str">
        <f>IF(D6207&lt;&gt;"",IFERROR(INDEX(Produtos!$C$4:$C$4996,MATCH(D6207,Produtos!$B$4:$B$4996,0)),"Produto não encontrado"),"")</f>
        <v/>
      </c>
    </row>
    <row r="6208" spans="1:5" x14ac:dyDescent="0.3">
      <c r="A6208" s="21" t="str">
        <f t="shared" ref="A6208:A6271" si="97">IF(C6208="Entrada",2,IF(C6208="Saída",1,"."))</f>
        <v>.</v>
      </c>
      <c r="D6208" s="44"/>
      <c r="E6208" s="22" t="str">
        <f>IF(D6208&lt;&gt;"",IFERROR(INDEX(Produtos!$C$4:$C$4996,MATCH(D6208,Produtos!$B$4:$B$4996,0)),"Produto não encontrado"),"")</f>
        <v/>
      </c>
    </row>
    <row r="6209" spans="1:5" x14ac:dyDescent="0.3">
      <c r="A6209" s="21" t="str">
        <f t="shared" si="97"/>
        <v>.</v>
      </c>
      <c r="D6209" s="44"/>
      <c r="E6209" s="22" t="str">
        <f>IF(D6209&lt;&gt;"",IFERROR(INDEX(Produtos!$C$4:$C$4996,MATCH(D6209,Produtos!$B$4:$B$4996,0)),"Produto não encontrado"),"")</f>
        <v/>
      </c>
    </row>
    <row r="6210" spans="1:5" x14ac:dyDescent="0.3">
      <c r="A6210" s="21" t="str">
        <f t="shared" si="97"/>
        <v>.</v>
      </c>
      <c r="D6210" s="44"/>
      <c r="E6210" s="22" t="str">
        <f>IF(D6210&lt;&gt;"",IFERROR(INDEX(Produtos!$C$4:$C$4996,MATCH(D6210,Produtos!$B$4:$B$4996,0)),"Produto não encontrado"),"")</f>
        <v/>
      </c>
    </row>
    <row r="6211" spans="1:5" x14ac:dyDescent="0.3">
      <c r="A6211" s="21" t="str">
        <f t="shared" si="97"/>
        <v>.</v>
      </c>
      <c r="D6211" s="44"/>
      <c r="E6211" s="22" t="str">
        <f>IF(D6211&lt;&gt;"",IFERROR(INDEX(Produtos!$C$4:$C$4996,MATCH(D6211,Produtos!$B$4:$B$4996,0)),"Produto não encontrado"),"")</f>
        <v/>
      </c>
    </row>
    <row r="6212" spans="1:5" x14ac:dyDescent="0.3">
      <c r="A6212" s="21" t="str">
        <f t="shared" si="97"/>
        <v>.</v>
      </c>
      <c r="D6212" s="44"/>
      <c r="E6212" s="22" t="str">
        <f>IF(D6212&lt;&gt;"",IFERROR(INDEX(Produtos!$C$4:$C$4996,MATCH(D6212,Produtos!$B$4:$B$4996,0)),"Produto não encontrado"),"")</f>
        <v/>
      </c>
    </row>
    <row r="6213" spans="1:5" x14ac:dyDescent="0.3">
      <c r="A6213" s="21" t="str">
        <f t="shared" si="97"/>
        <v>.</v>
      </c>
      <c r="D6213" s="44"/>
      <c r="E6213" s="22" t="str">
        <f>IF(D6213&lt;&gt;"",IFERROR(INDEX(Produtos!$C$4:$C$4996,MATCH(D6213,Produtos!$B$4:$B$4996,0)),"Produto não encontrado"),"")</f>
        <v/>
      </c>
    </row>
    <row r="6214" spans="1:5" x14ac:dyDescent="0.3">
      <c r="A6214" s="21" t="str">
        <f t="shared" si="97"/>
        <v>.</v>
      </c>
      <c r="D6214" s="44"/>
      <c r="E6214" s="22" t="str">
        <f>IF(D6214&lt;&gt;"",IFERROR(INDEX(Produtos!$C$4:$C$4996,MATCH(D6214,Produtos!$B$4:$B$4996,0)),"Produto não encontrado"),"")</f>
        <v/>
      </c>
    </row>
    <row r="6215" spans="1:5" x14ac:dyDescent="0.3">
      <c r="A6215" s="21" t="str">
        <f t="shared" si="97"/>
        <v>.</v>
      </c>
      <c r="D6215" s="44"/>
      <c r="E6215" s="22" t="str">
        <f>IF(D6215&lt;&gt;"",IFERROR(INDEX(Produtos!$C$4:$C$4996,MATCH(D6215,Produtos!$B$4:$B$4996,0)),"Produto não encontrado"),"")</f>
        <v/>
      </c>
    </row>
    <row r="6216" spans="1:5" x14ac:dyDescent="0.3">
      <c r="A6216" s="21" t="str">
        <f t="shared" si="97"/>
        <v>.</v>
      </c>
      <c r="D6216" s="44"/>
      <c r="E6216" s="22" t="str">
        <f>IF(D6216&lt;&gt;"",IFERROR(INDEX(Produtos!$C$4:$C$4996,MATCH(D6216,Produtos!$B$4:$B$4996,0)),"Produto não encontrado"),"")</f>
        <v/>
      </c>
    </row>
    <row r="6217" spans="1:5" x14ac:dyDescent="0.3">
      <c r="A6217" s="21" t="str">
        <f t="shared" si="97"/>
        <v>.</v>
      </c>
      <c r="D6217" s="44"/>
      <c r="E6217" s="22" t="str">
        <f>IF(D6217&lt;&gt;"",IFERROR(INDEX(Produtos!$C$4:$C$4996,MATCH(D6217,Produtos!$B$4:$B$4996,0)),"Produto não encontrado"),"")</f>
        <v/>
      </c>
    </row>
    <row r="6218" spans="1:5" x14ac:dyDescent="0.3">
      <c r="A6218" s="21" t="str">
        <f t="shared" si="97"/>
        <v>.</v>
      </c>
      <c r="D6218" s="44"/>
      <c r="E6218" s="22" t="str">
        <f>IF(D6218&lt;&gt;"",IFERROR(INDEX(Produtos!$C$4:$C$4996,MATCH(D6218,Produtos!$B$4:$B$4996,0)),"Produto não encontrado"),"")</f>
        <v/>
      </c>
    </row>
    <row r="6219" spans="1:5" x14ac:dyDescent="0.3">
      <c r="A6219" s="21" t="str">
        <f t="shared" si="97"/>
        <v>.</v>
      </c>
      <c r="D6219" s="44"/>
      <c r="E6219" s="22" t="str">
        <f>IF(D6219&lt;&gt;"",IFERROR(INDEX(Produtos!$C$4:$C$4996,MATCH(D6219,Produtos!$B$4:$B$4996,0)),"Produto não encontrado"),"")</f>
        <v/>
      </c>
    </row>
    <row r="6220" spans="1:5" x14ac:dyDescent="0.3">
      <c r="A6220" s="21" t="str">
        <f t="shared" si="97"/>
        <v>.</v>
      </c>
      <c r="D6220" s="44"/>
      <c r="E6220" s="22" t="str">
        <f>IF(D6220&lt;&gt;"",IFERROR(INDEX(Produtos!$C$4:$C$4996,MATCH(D6220,Produtos!$B$4:$B$4996,0)),"Produto não encontrado"),"")</f>
        <v/>
      </c>
    </row>
    <row r="6221" spans="1:5" x14ac:dyDescent="0.3">
      <c r="A6221" s="21" t="str">
        <f t="shared" si="97"/>
        <v>.</v>
      </c>
      <c r="D6221" s="44"/>
      <c r="E6221" s="22" t="str">
        <f>IF(D6221&lt;&gt;"",IFERROR(INDEX(Produtos!$C$4:$C$4996,MATCH(D6221,Produtos!$B$4:$B$4996,0)),"Produto não encontrado"),"")</f>
        <v/>
      </c>
    </row>
    <row r="6222" spans="1:5" x14ac:dyDescent="0.3">
      <c r="A6222" s="21" t="str">
        <f t="shared" si="97"/>
        <v>.</v>
      </c>
      <c r="D6222" s="44"/>
      <c r="E6222" s="22" t="str">
        <f>IF(D6222&lt;&gt;"",IFERROR(INDEX(Produtos!$C$4:$C$4996,MATCH(D6222,Produtos!$B$4:$B$4996,0)),"Produto não encontrado"),"")</f>
        <v/>
      </c>
    </row>
    <row r="6223" spans="1:5" x14ac:dyDescent="0.3">
      <c r="A6223" s="21" t="str">
        <f t="shared" si="97"/>
        <v>.</v>
      </c>
      <c r="D6223" s="44"/>
      <c r="E6223" s="22" t="str">
        <f>IF(D6223&lt;&gt;"",IFERROR(INDEX(Produtos!$C$4:$C$4996,MATCH(D6223,Produtos!$B$4:$B$4996,0)),"Produto não encontrado"),"")</f>
        <v/>
      </c>
    </row>
    <row r="6224" spans="1:5" x14ac:dyDescent="0.3">
      <c r="A6224" s="21" t="str">
        <f t="shared" si="97"/>
        <v>.</v>
      </c>
      <c r="D6224" s="44"/>
      <c r="E6224" s="22" t="str">
        <f>IF(D6224&lt;&gt;"",IFERROR(INDEX(Produtos!$C$4:$C$4996,MATCH(D6224,Produtos!$B$4:$B$4996,0)),"Produto não encontrado"),"")</f>
        <v/>
      </c>
    </row>
    <row r="6225" spans="1:5" x14ac:dyDescent="0.3">
      <c r="A6225" s="21" t="str">
        <f t="shared" si="97"/>
        <v>.</v>
      </c>
      <c r="D6225" s="44"/>
      <c r="E6225" s="22" t="str">
        <f>IF(D6225&lt;&gt;"",IFERROR(INDEX(Produtos!$C$4:$C$4996,MATCH(D6225,Produtos!$B$4:$B$4996,0)),"Produto não encontrado"),"")</f>
        <v/>
      </c>
    </row>
    <row r="6226" spans="1:5" x14ac:dyDescent="0.3">
      <c r="A6226" s="21" t="str">
        <f t="shared" si="97"/>
        <v>.</v>
      </c>
      <c r="D6226" s="44"/>
      <c r="E6226" s="22" t="str">
        <f>IF(D6226&lt;&gt;"",IFERROR(INDEX(Produtos!$C$4:$C$4996,MATCH(D6226,Produtos!$B$4:$B$4996,0)),"Produto não encontrado"),"")</f>
        <v/>
      </c>
    </row>
    <row r="6227" spans="1:5" x14ac:dyDescent="0.3">
      <c r="A6227" s="21" t="str">
        <f t="shared" si="97"/>
        <v>.</v>
      </c>
      <c r="D6227" s="44"/>
      <c r="E6227" s="22" t="str">
        <f>IF(D6227&lt;&gt;"",IFERROR(INDEX(Produtos!$C$4:$C$4996,MATCH(D6227,Produtos!$B$4:$B$4996,0)),"Produto não encontrado"),"")</f>
        <v/>
      </c>
    </row>
    <row r="6228" spans="1:5" x14ac:dyDescent="0.3">
      <c r="A6228" s="21" t="str">
        <f t="shared" si="97"/>
        <v>.</v>
      </c>
      <c r="D6228" s="44"/>
      <c r="E6228" s="22" t="str">
        <f>IF(D6228&lt;&gt;"",IFERROR(INDEX(Produtos!$C$4:$C$4996,MATCH(D6228,Produtos!$B$4:$B$4996,0)),"Produto não encontrado"),"")</f>
        <v/>
      </c>
    </row>
    <row r="6229" spans="1:5" x14ac:dyDescent="0.3">
      <c r="A6229" s="21" t="str">
        <f t="shared" si="97"/>
        <v>.</v>
      </c>
      <c r="D6229" s="44"/>
      <c r="E6229" s="22" t="str">
        <f>IF(D6229&lt;&gt;"",IFERROR(INDEX(Produtos!$C$4:$C$4996,MATCH(D6229,Produtos!$B$4:$B$4996,0)),"Produto não encontrado"),"")</f>
        <v/>
      </c>
    </row>
    <row r="6230" spans="1:5" x14ac:dyDescent="0.3">
      <c r="A6230" s="21" t="str">
        <f t="shared" si="97"/>
        <v>.</v>
      </c>
      <c r="D6230" s="44"/>
      <c r="E6230" s="22" t="str">
        <f>IF(D6230&lt;&gt;"",IFERROR(INDEX(Produtos!$C$4:$C$4996,MATCH(D6230,Produtos!$B$4:$B$4996,0)),"Produto não encontrado"),"")</f>
        <v/>
      </c>
    </row>
    <row r="6231" spans="1:5" x14ac:dyDescent="0.3">
      <c r="A6231" s="21" t="str">
        <f t="shared" si="97"/>
        <v>.</v>
      </c>
      <c r="D6231" s="44"/>
      <c r="E6231" s="22" t="str">
        <f>IF(D6231&lt;&gt;"",IFERROR(INDEX(Produtos!$C$4:$C$4996,MATCH(D6231,Produtos!$B$4:$B$4996,0)),"Produto não encontrado"),"")</f>
        <v/>
      </c>
    </row>
    <row r="6232" spans="1:5" x14ac:dyDescent="0.3">
      <c r="A6232" s="21" t="str">
        <f t="shared" si="97"/>
        <v>.</v>
      </c>
      <c r="D6232" s="44"/>
      <c r="E6232" s="22" t="str">
        <f>IF(D6232&lt;&gt;"",IFERROR(INDEX(Produtos!$C$4:$C$4996,MATCH(D6232,Produtos!$B$4:$B$4996,0)),"Produto não encontrado"),"")</f>
        <v/>
      </c>
    </row>
    <row r="6233" spans="1:5" x14ac:dyDescent="0.3">
      <c r="A6233" s="21" t="str">
        <f t="shared" si="97"/>
        <v>.</v>
      </c>
      <c r="D6233" s="44"/>
      <c r="E6233" s="22" t="str">
        <f>IF(D6233&lt;&gt;"",IFERROR(INDEX(Produtos!$C$4:$C$4996,MATCH(D6233,Produtos!$B$4:$B$4996,0)),"Produto não encontrado"),"")</f>
        <v/>
      </c>
    </row>
    <row r="6234" spans="1:5" x14ac:dyDescent="0.3">
      <c r="A6234" s="21" t="str">
        <f t="shared" si="97"/>
        <v>.</v>
      </c>
      <c r="D6234" s="44"/>
      <c r="E6234" s="22" t="str">
        <f>IF(D6234&lt;&gt;"",IFERROR(INDEX(Produtos!$C$4:$C$4996,MATCH(D6234,Produtos!$B$4:$B$4996,0)),"Produto não encontrado"),"")</f>
        <v/>
      </c>
    </row>
    <row r="6235" spans="1:5" x14ac:dyDescent="0.3">
      <c r="A6235" s="21" t="str">
        <f t="shared" si="97"/>
        <v>.</v>
      </c>
      <c r="D6235" s="44"/>
      <c r="E6235" s="22" t="str">
        <f>IF(D6235&lt;&gt;"",IFERROR(INDEX(Produtos!$C$4:$C$4996,MATCH(D6235,Produtos!$B$4:$B$4996,0)),"Produto não encontrado"),"")</f>
        <v/>
      </c>
    </row>
    <row r="6236" spans="1:5" x14ac:dyDescent="0.3">
      <c r="A6236" s="21" t="str">
        <f t="shared" si="97"/>
        <v>.</v>
      </c>
      <c r="D6236" s="44"/>
      <c r="E6236" s="22" t="str">
        <f>IF(D6236&lt;&gt;"",IFERROR(INDEX(Produtos!$C$4:$C$4996,MATCH(D6236,Produtos!$B$4:$B$4996,0)),"Produto não encontrado"),"")</f>
        <v/>
      </c>
    </row>
    <row r="6237" spans="1:5" x14ac:dyDescent="0.3">
      <c r="A6237" s="21" t="str">
        <f t="shared" si="97"/>
        <v>.</v>
      </c>
      <c r="D6237" s="44"/>
      <c r="E6237" s="22" t="str">
        <f>IF(D6237&lt;&gt;"",IFERROR(INDEX(Produtos!$C$4:$C$4996,MATCH(D6237,Produtos!$B$4:$B$4996,0)),"Produto não encontrado"),"")</f>
        <v/>
      </c>
    </row>
    <row r="6238" spans="1:5" x14ac:dyDescent="0.3">
      <c r="A6238" s="21" t="str">
        <f t="shared" si="97"/>
        <v>.</v>
      </c>
      <c r="D6238" s="44"/>
      <c r="E6238" s="22" t="str">
        <f>IF(D6238&lt;&gt;"",IFERROR(INDEX(Produtos!$C$4:$C$4996,MATCH(D6238,Produtos!$B$4:$B$4996,0)),"Produto não encontrado"),"")</f>
        <v/>
      </c>
    </row>
    <row r="6239" spans="1:5" x14ac:dyDescent="0.3">
      <c r="A6239" s="21" t="str">
        <f t="shared" si="97"/>
        <v>.</v>
      </c>
      <c r="D6239" s="44"/>
      <c r="E6239" s="22" t="str">
        <f>IF(D6239&lt;&gt;"",IFERROR(INDEX(Produtos!$C$4:$C$4996,MATCH(D6239,Produtos!$B$4:$B$4996,0)),"Produto não encontrado"),"")</f>
        <v/>
      </c>
    </row>
    <row r="6240" spans="1:5" x14ac:dyDescent="0.3">
      <c r="A6240" s="21" t="str">
        <f t="shared" si="97"/>
        <v>.</v>
      </c>
      <c r="D6240" s="44"/>
      <c r="E6240" s="22" t="str">
        <f>IF(D6240&lt;&gt;"",IFERROR(INDEX(Produtos!$C$4:$C$4996,MATCH(D6240,Produtos!$B$4:$B$4996,0)),"Produto não encontrado"),"")</f>
        <v/>
      </c>
    </row>
    <row r="6241" spans="1:5" x14ac:dyDescent="0.3">
      <c r="A6241" s="21" t="str">
        <f t="shared" si="97"/>
        <v>.</v>
      </c>
      <c r="D6241" s="44"/>
      <c r="E6241" s="22" t="str">
        <f>IF(D6241&lt;&gt;"",IFERROR(INDEX(Produtos!$C$4:$C$4996,MATCH(D6241,Produtos!$B$4:$B$4996,0)),"Produto não encontrado"),"")</f>
        <v/>
      </c>
    </row>
    <row r="6242" spans="1:5" x14ac:dyDescent="0.3">
      <c r="A6242" s="21" t="str">
        <f t="shared" si="97"/>
        <v>.</v>
      </c>
      <c r="D6242" s="44"/>
      <c r="E6242" s="22" t="str">
        <f>IF(D6242&lt;&gt;"",IFERROR(INDEX(Produtos!$C$4:$C$4996,MATCH(D6242,Produtos!$B$4:$B$4996,0)),"Produto não encontrado"),"")</f>
        <v/>
      </c>
    </row>
    <row r="6243" spans="1:5" x14ac:dyDescent="0.3">
      <c r="A6243" s="21" t="str">
        <f t="shared" si="97"/>
        <v>.</v>
      </c>
      <c r="D6243" s="44"/>
      <c r="E6243" s="22" t="str">
        <f>IF(D6243&lt;&gt;"",IFERROR(INDEX(Produtos!$C$4:$C$4996,MATCH(D6243,Produtos!$B$4:$B$4996,0)),"Produto não encontrado"),"")</f>
        <v/>
      </c>
    </row>
    <row r="6244" spans="1:5" x14ac:dyDescent="0.3">
      <c r="A6244" s="21" t="str">
        <f t="shared" si="97"/>
        <v>.</v>
      </c>
      <c r="D6244" s="44"/>
      <c r="E6244" s="22" t="str">
        <f>IF(D6244&lt;&gt;"",IFERROR(INDEX(Produtos!$C$4:$C$4996,MATCH(D6244,Produtos!$B$4:$B$4996,0)),"Produto não encontrado"),"")</f>
        <v/>
      </c>
    </row>
    <row r="6245" spans="1:5" x14ac:dyDescent="0.3">
      <c r="A6245" s="21" t="str">
        <f t="shared" si="97"/>
        <v>.</v>
      </c>
      <c r="D6245" s="44"/>
      <c r="E6245" s="22" t="str">
        <f>IF(D6245&lt;&gt;"",IFERROR(INDEX(Produtos!$C$4:$C$4996,MATCH(D6245,Produtos!$B$4:$B$4996,0)),"Produto não encontrado"),"")</f>
        <v/>
      </c>
    </row>
    <row r="6246" spans="1:5" x14ac:dyDescent="0.3">
      <c r="A6246" s="21" t="str">
        <f t="shared" si="97"/>
        <v>.</v>
      </c>
      <c r="D6246" s="44"/>
      <c r="E6246" s="22" t="str">
        <f>IF(D6246&lt;&gt;"",IFERROR(INDEX(Produtos!$C$4:$C$4996,MATCH(D6246,Produtos!$B$4:$B$4996,0)),"Produto não encontrado"),"")</f>
        <v/>
      </c>
    </row>
    <row r="6247" spans="1:5" x14ac:dyDescent="0.3">
      <c r="A6247" s="21" t="str">
        <f t="shared" si="97"/>
        <v>.</v>
      </c>
      <c r="D6247" s="44"/>
      <c r="E6247" s="22" t="str">
        <f>IF(D6247&lt;&gt;"",IFERROR(INDEX(Produtos!$C$4:$C$4996,MATCH(D6247,Produtos!$B$4:$B$4996,0)),"Produto não encontrado"),"")</f>
        <v/>
      </c>
    </row>
    <row r="6248" spans="1:5" x14ac:dyDescent="0.3">
      <c r="A6248" s="21" t="str">
        <f t="shared" si="97"/>
        <v>.</v>
      </c>
      <c r="D6248" s="44"/>
      <c r="E6248" s="22" t="str">
        <f>IF(D6248&lt;&gt;"",IFERROR(INDEX(Produtos!$C$4:$C$4996,MATCH(D6248,Produtos!$B$4:$B$4996,0)),"Produto não encontrado"),"")</f>
        <v/>
      </c>
    </row>
    <row r="6249" spans="1:5" x14ac:dyDescent="0.3">
      <c r="A6249" s="21" t="str">
        <f t="shared" si="97"/>
        <v>.</v>
      </c>
      <c r="D6249" s="44"/>
      <c r="E6249" s="22" t="str">
        <f>IF(D6249&lt;&gt;"",IFERROR(INDEX(Produtos!$C$4:$C$4996,MATCH(D6249,Produtos!$B$4:$B$4996,0)),"Produto não encontrado"),"")</f>
        <v/>
      </c>
    </row>
    <row r="6250" spans="1:5" x14ac:dyDescent="0.3">
      <c r="A6250" s="21" t="str">
        <f t="shared" si="97"/>
        <v>.</v>
      </c>
      <c r="D6250" s="44"/>
      <c r="E6250" s="22" t="str">
        <f>IF(D6250&lt;&gt;"",IFERROR(INDEX(Produtos!$C$4:$C$4996,MATCH(D6250,Produtos!$B$4:$B$4996,0)),"Produto não encontrado"),"")</f>
        <v/>
      </c>
    </row>
    <row r="6251" spans="1:5" x14ac:dyDescent="0.3">
      <c r="A6251" s="21" t="str">
        <f t="shared" si="97"/>
        <v>.</v>
      </c>
      <c r="D6251" s="44"/>
      <c r="E6251" s="22" t="str">
        <f>IF(D6251&lt;&gt;"",IFERROR(INDEX(Produtos!$C$4:$C$4996,MATCH(D6251,Produtos!$B$4:$B$4996,0)),"Produto não encontrado"),"")</f>
        <v/>
      </c>
    </row>
    <row r="6252" spans="1:5" x14ac:dyDescent="0.3">
      <c r="A6252" s="21" t="str">
        <f t="shared" si="97"/>
        <v>.</v>
      </c>
      <c r="D6252" s="44"/>
      <c r="E6252" s="22" t="str">
        <f>IF(D6252&lt;&gt;"",IFERROR(INDEX(Produtos!$C$4:$C$4996,MATCH(D6252,Produtos!$B$4:$B$4996,0)),"Produto não encontrado"),"")</f>
        <v/>
      </c>
    </row>
    <row r="6253" spans="1:5" x14ac:dyDescent="0.3">
      <c r="A6253" s="21" t="str">
        <f t="shared" si="97"/>
        <v>.</v>
      </c>
      <c r="D6253" s="44"/>
      <c r="E6253" s="22" t="str">
        <f>IF(D6253&lt;&gt;"",IFERROR(INDEX(Produtos!$C$4:$C$4996,MATCH(D6253,Produtos!$B$4:$B$4996,0)),"Produto não encontrado"),"")</f>
        <v/>
      </c>
    </row>
    <row r="6254" spans="1:5" x14ac:dyDescent="0.3">
      <c r="A6254" s="21" t="str">
        <f t="shared" si="97"/>
        <v>.</v>
      </c>
      <c r="D6254" s="44"/>
      <c r="E6254" s="22" t="str">
        <f>IF(D6254&lt;&gt;"",IFERROR(INDEX(Produtos!$C$4:$C$4996,MATCH(D6254,Produtos!$B$4:$B$4996,0)),"Produto não encontrado"),"")</f>
        <v/>
      </c>
    </row>
    <row r="6255" spans="1:5" x14ac:dyDescent="0.3">
      <c r="A6255" s="21" t="str">
        <f t="shared" si="97"/>
        <v>.</v>
      </c>
      <c r="D6255" s="44"/>
      <c r="E6255" s="22" t="str">
        <f>IF(D6255&lt;&gt;"",IFERROR(INDEX(Produtos!$C$4:$C$4996,MATCH(D6255,Produtos!$B$4:$B$4996,0)),"Produto não encontrado"),"")</f>
        <v/>
      </c>
    </row>
    <row r="6256" spans="1:5" x14ac:dyDescent="0.3">
      <c r="A6256" s="21" t="str">
        <f t="shared" si="97"/>
        <v>.</v>
      </c>
      <c r="D6256" s="44"/>
      <c r="E6256" s="22" t="str">
        <f>IF(D6256&lt;&gt;"",IFERROR(INDEX(Produtos!$C$4:$C$4996,MATCH(D6256,Produtos!$B$4:$B$4996,0)),"Produto não encontrado"),"")</f>
        <v/>
      </c>
    </row>
    <row r="6257" spans="1:5" x14ac:dyDescent="0.3">
      <c r="A6257" s="21" t="str">
        <f t="shared" si="97"/>
        <v>.</v>
      </c>
      <c r="D6257" s="44"/>
      <c r="E6257" s="22" t="str">
        <f>IF(D6257&lt;&gt;"",IFERROR(INDEX(Produtos!$C$4:$C$4996,MATCH(D6257,Produtos!$B$4:$B$4996,0)),"Produto não encontrado"),"")</f>
        <v/>
      </c>
    </row>
    <row r="6258" spans="1:5" x14ac:dyDescent="0.3">
      <c r="A6258" s="21" t="str">
        <f t="shared" si="97"/>
        <v>.</v>
      </c>
      <c r="D6258" s="44"/>
      <c r="E6258" s="22" t="str">
        <f>IF(D6258&lt;&gt;"",IFERROR(INDEX(Produtos!$C$4:$C$4996,MATCH(D6258,Produtos!$B$4:$B$4996,0)),"Produto não encontrado"),"")</f>
        <v/>
      </c>
    </row>
    <row r="6259" spans="1:5" x14ac:dyDescent="0.3">
      <c r="A6259" s="21" t="str">
        <f t="shared" si="97"/>
        <v>.</v>
      </c>
      <c r="D6259" s="44"/>
      <c r="E6259" s="22" t="str">
        <f>IF(D6259&lt;&gt;"",IFERROR(INDEX(Produtos!$C$4:$C$4996,MATCH(D6259,Produtos!$B$4:$B$4996,0)),"Produto não encontrado"),"")</f>
        <v/>
      </c>
    </row>
    <row r="6260" spans="1:5" x14ac:dyDescent="0.3">
      <c r="A6260" s="21" t="str">
        <f t="shared" si="97"/>
        <v>.</v>
      </c>
      <c r="D6260" s="44"/>
      <c r="E6260" s="22" t="str">
        <f>IF(D6260&lt;&gt;"",IFERROR(INDEX(Produtos!$C$4:$C$4996,MATCH(D6260,Produtos!$B$4:$B$4996,0)),"Produto não encontrado"),"")</f>
        <v/>
      </c>
    </row>
    <row r="6261" spans="1:5" x14ac:dyDescent="0.3">
      <c r="A6261" s="21" t="str">
        <f t="shared" si="97"/>
        <v>.</v>
      </c>
      <c r="D6261" s="44"/>
      <c r="E6261" s="22" t="str">
        <f>IF(D6261&lt;&gt;"",IFERROR(INDEX(Produtos!$C$4:$C$4996,MATCH(D6261,Produtos!$B$4:$B$4996,0)),"Produto não encontrado"),"")</f>
        <v/>
      </c>
    </row>
    <row r="6262" spans="1:5" x14ac:dyDescent="0.3">
      <c r="A6262" s="21" t="str">
        <f t="shared" si="97"/>
        <v>.</v>
      </c>
      <c r="D6262" s="44"/>
      <c r="E6262" s="22" t="str">
        <f>IF(D6262&lt;&gt;"",IFERROR(INDEX(Produtos!$C$4:$C$4996,MATCH(D6262,Produtos!$B$4:$B$4996,0)),"Produto não encontrado"),"")</f>
        <v/>
      </c>
    </row>
    <row r="6263" spans="1:5" x14ac:dyDescent="0.3">
      <c r="A6263" s="21" t="str">
        <f t="shared" si="97"/>
        <v>.</v>
      </c>
      <c r="D6263" s="44"/>
      <c r="E6263" s="22" t="str">
        <f>IF(D6263&lt;&gt;"",IFERROR(INDEX(Produtos!$C$4:$C$4996,MATCH(D6263,Produtos!$B$4:$B$4996,0)),"Produto não encontrado"),"")</f>
        <v/>
      </c>
    </row>
    <row r="6264" spans="1:5" x14ac:dyDescent="0.3">
      <c r="A6264" s="21" t="str">
        <f t="shared" si="97"/>
        <v>.</v>
      </c>
      <c r="D6264" s="44"/>
      <c r="E6264" s="22" t="str">
        <f>IF(D6264&lt;&gt;"",IFERROR(INDEX(Produtos!$C$4:$C$4996,MATCH(D6264,Produtos!$B$4:$B$4996,0)),"Produto não encontrado"),"")</f>
        <v/>
      </c>
    </row>
    <row r="6265" spans="1:5" x14ac:dyDescent="0.3">
      <c r="A6265" s="21" t="str">
        <f t="shared" si="97"/>
        <v>.</v>
      </c>
      <c r="D6265" s="44"/>
      <c r="E6265" s="22" t="str">
        <f>IF(D6265&lt;&gt;"",IFERROR(INDEX(Produtos!$C$4:$C$4996,MATCH(D6265,Produtos!$B$4:$B$4996,0)),"Produto não encontrado"),"")</f>
        <v/>
      </c>
    </row>
    <row r="6266" spans="1:5" x14ac:dyDescent="0.3">
      <c r="A6266" s="21" t="str">
        <f t="shared" si="97"/>
        <v>.</v>
      </c>
      <c r="D6266" s="44"/>
      <c r="E6266" s="22" t="str">
        <f>IF(D6266&lt;&gt;"",IFERROR(INDEX(Produtos!$C$4:$C$4996,MATCH(D6266,Produtos!$B$4:$B$4996,0)),"Produto não encontrado"),"")</f>
        <v/>
      </c>
    </row>
    <row r="6267" spans="1:5" x14ac:dyDescent="0.3">
      <c r="A6267" s="21" t="str">
        <f t="shared" si="97"/>
        <v>.</v>
      </c>
      <c r="D6267" s="44"/>
      <c r="E6267" s="22" t="str">
        <f>IF(D6267&lt;&gt;"",IFERROR(INDEX(Produtos!$C$4:$C$4996,MATCH(D6267,Produtos!$B$4:$B$4996,0)),"Produto não encontrado"),"")</f>
        <v/>
      </c>
    </row>
    <row r="6268" spans="1:5" x14ac:dyDescent="0.3">
      <c r="A6268" s="21" t="str">
        <f t="shared" si="97"/>
        <v>.</v>
      </c>
      <c r="D6268" s="44"/>
      <c r="E6268" s="22" t="str">
        <f>IF(D6268&lt;&gt;"",IFERROR(INDEX(Produtos!$C$4:$C$4996,MATCH(D6268,Produtos!$B$4:$B$4996,0)),"Produto não encontrado"),"")</f>
        <v/>
      </c>
    </row>
    <row r="6269" spans="1:5" x14ac:dyDescent="0.3">
      <c r="A6269" s="21" t="str">
        <f t="shared" si="97"/>
        <v>.</v>
      </c>
      <c r="D6269" s="44"/>
      <c r="E6269" s="22" t="str">
        <f>IF(D6269&lt;&gt;"",IFERROR(INDEX(Produtos!$C$4:$C$4996,MATCH(D6269,Produtos!$B$4:$B$4996,0)),"Produto não encontrado"),"")</f>
        <v/>
      </c>
    </row>
    <row r="6270" spans="1:5" x14ac:dyDescent="0.3">
      <c r="A6270" s="21" t="str">
        <f t="shared" si="97"/>
        <v>.</v>
      </c>
      <c r="D6270" s="44"/>
      <c r="E6270" s="22" t="str">
        <f>IF(D6270&lt;&gt;"",IFERROR(INDEX(Produtos!$C$4:$C$4996,MATCH(D6270,Produtos!$B$4:$B$4996,0)),"Produto não encontrado"),"")</f>
        <v/>
      </c>
    </row>
    <row r="6271" spans="1:5" x14ac:dyDescent="0.3">
      <c r="A6271" s="21" t="str">
        <f t="shared" si="97"/>
        <v>.</v>
      </c>
      <c r="D6271" s="44"/>
      <c r="E6271" s="22" t="str">
        <f>IF(D6271&lt;&gt;"",IFERROR(INDEX(Produtos!$C$4:$C$4996,MATCH(D6271,Produtos!$B$4:$B$4996,0)),"Produto não encontrado"),"")</f>
        <v/>
      </c>
    </row>
    <row r="6272" spans="1:5" x14ac:dyDescent="0.3">
      <c r="A6272" s="21" t="str">
        <f t="shared" ref="A6272:A6335" si="98">IF(C6272="Entrada",2,IF(C6272="Saída",1,"."))</f>
        <v>.</v>
      </c>
      <c r="D6272" s="44"/>
      <c r="E6272" s="22" t="str">
        <f>IF(D6272&lt;&gt;"",IFERROR(INDEX(Produtos!$C$4:$C$4996,MATCH(D6272,Produtos!$B$4:$B$4996,0)),"Produto não encontrado"),"")</f>
        <v/>
      </c>
    </row>
    <row r="6273" spans="1:5" x14ac:dyDescent="0.3">
      <c r="A6273" s="21" t="str">
        <f t="shared" si="98"/>
        <v>.</v>
      </c>
      <c r="D6273" s="44"/>
      <c r="E6273" s="22" t="str">
        <f>IF(D6273&lt;&gt;"",IFERROR(INDEX(Produtos!$C$4:$C$4996,MATCH(D6273,Produtos!$B$4:$B$4996,0)),"Produto não encontrado"),"")</f>
        <v/>
      </c>
    </row>
    <row r="6274" spans="1:5" x14ac:dyDescent="0.3">
      <c r="A6274" s="21" t="str">
        <f t="shared" si="98"/>
        <v>.</v>
      </c>
      <c r="D6274" s="44"/>
      <c r="E6274" s="22" t="str">
        <f>IF(D6274&lt;&gt;"",IFERROR(INDEX(Produtos!$C$4:$C$4996,MATCH(D6274,Produtos!$B$4:$B$4996,0)),"Produto não encontrado"),"")</f>
        <v/>
      </c>
    </row>
    <row r="6275" spans="1:5" x14ac:dyDescent="0.3">
      <c r="A6275" s="21" t="str">
        <f t="shared" si="98"/>
        <v>.</v>
      </c>
      <c r="D6275" s="44"/>
      <c r="E6275" s="22" t="str">
        <f>IF(D6275&lt;&gt;"",IFERROR(INDEX(Produtos!$C$4:$C$4996,MATCH(D6275,Produtos!$B$4:$B$4996,0)),"Produto não encontrado"),"")</f>
        <v/>
      </c>
    </row>
    <row r="6276" spans="1:5" x14ac:dyDescent="0.3">
      <c r="A6276" s="21" t="str">
        <f t="shared" si="98"/>
        <v>.</v>
      </c>
      <c r="D6276" s="44"/>
      <c r="E6276" s="22" t="str">
        <f>IF(D6276&lt;&gt;"",IFERROR(INDEX(Produtos!$C$4:$C$4996,MATCH(D6276,Produtos!$B$4:$B$4996,0)),"Produto não encontrado"),"")</f>
        <v/>
      </c>
    </row>
    <row r="6277" spans="1:5" x14ac:dyDescent="0.3">
      <c r="A6277" s="21" t="str">
        <f t="shared" si="98"/>
        <v>.</v>
      </c>
      <c r="D6277" s="44"/>
      <c r="E6277" s="22" t="str">
        <f>IF(D6277&lt;&gt;"",IFERROR(INDEX(Produtos!$C$4:$C$4996,MATCH(D6277,Produtos!$B$4:$B$4996,0)),"Produto não encontrado"),"")</f>
        <v/>
      </c>
    </row>
    <row r="6278" spans="1:5" x14ac:dyDescent="0.3">
      <c r="A6278" s="21" t="str">
        <f t="shared" si="98"/>
        <v>.</v>
      </c>
      <c r="D6278" s="44"/>
      <c r="E6278" s="22" t="str">
        <f>IF(D6278&lt;&gt;"",IFERROR(INDEX(Produtos!$C$4:$C$4996,MATCH(D6278,Produtos!$B$4:$B$4996,0)),"Produto não encontrado"),"")</f>
        <v/>
      </c>
    </row>
    <row r="6279" spans="1:5" x14ac:dyDescent="0.3">
      <c r="A6279" s="21" t="str">
        <f t="shared" si="98"/>
        <v>.</v>
      </c>
      <c r="D6279" s="44"/>
      <c r="E6279" s="22" t="str">
        <f>IF(D6279&lt;&gt;"",IFERROR(INDEX(Produtos!$C$4:$C$4996,MATCH(D6279,Produtos!$B$4:$B$4996,0)),"Produto não encontrado"),"")</f>
        <v/>
      </c>
    </row>
    <row r="6280" spans="1:5" x14ac:dyDescent="0.3">
      <c r="A6280" s="21" t="str">
        <f t="shared" si="98"/>
        <v>.</v>
      </c>
      <c r="D6280" s="44"/>
      <c r="E6280" s="22" t="str">
        <f>IF(D6280&lt;&gt;"",IFERROR(INDEX(Produtos!$C$4:$C$4996,MATCH(D6280,Produtos!$B$4:$B$4996,0)),"Produto não encontrado"),"")</f>
        <v/>
      </c>
    </row>
    <row r="6281" spans="1:5" x14ac:dyDescent="0.3">
      <c r="A6281" s="21" t="str">
        <f t="shared" si="98"/>
        <v>.</v>
      </c>
      <c r="D6281" s="44"/>
      <c r="E6281" s="22" t="str">
        <f>IF(D6281&lt;&gt;"",IFERROR(INDEX(Produtos!$C$4:$C$4996,MATCH(D6281,Produtos!$B$4:$B$4996,0)),"Produto não encontrado"),"")</f>
        <v/>
      </c>
    </row>
    <row r="6282" spans="1:5" x14ac:dyDescent="0.3">
      <c r="A6282" s="21" t="str">
        <f t="shared" si="98"/>
        <v>.</v>
      </c>
      <c r="D6282" s="44"/>
      <c r="E6282" s="22" t="str">
        <f>IF(D6282&lt;&gt;"",IFERROR(INDEX(Produtos!$C$4:$C$4996,MATCH(D6282,Produtos!$B$4:$B$4996,0)),"Produto não encontrado"),"")</f>
        <v/>
      </c>
    </row>
    <row r="6283" spans="1:5" x14ac:dyDescent="0.3">
      <c r="A6283" s="21" t="str">
        <f t="shared" si="98"/>
        <v>.</v>
      </c>
      <c r="D6283" s="44"/>
      <c r="E6283" s="22" t="str">
        <f>IF(D6283&lt;&gt;"",IFERROR(INDEX(Produtos!$C$4:$C$4996,MATCH(D6283,Produtos!$B$4:$B$4996,0)),"Produto não encontrado"),"")</f>
        <v/>
      </c>
    </row>
    <row r="6284" spans="1:5" x14ac:dyDescent="0.3">
      <c r="A6284" s="21" t="str">
        <f t="shared" si="98"/>
        <v>.</v>
      </c>
      <c r="D6284" s="44"/>
      <c r="E6284" s="22" t="str">
        <f>IF(D6284&lt;&gt;"",IFERROR(INDEX(Produtos!$C$4:$C$4996,MATCH(D6284,Produtos!$B$4:$B$4996,0)),"Produto não encontrado"),"")</f>
        <v/>
      </c>
    </row>
    <row r="6285" spans="1:5" x14ac:dyDescent="0.3">
      <c r="A6285" s="21" t="str">
        <f t="shared" si="98"/>
        <v>.</v>
      </c>
      <c r="D6285" s="44"/>
      <c r="E6285" s="22" t="str">
        <f>IF(D6285&lt;&gt;"",IFERROR(INDEX(Produtos!$C$4:$C$4996,MATCH(D6285,Produtos!$B$4:$B$4996,0)),"Produto não encontrado"),"")</f>
        <v/>
      </c>
    </row>
    <row r="6286" spans="1:5" x14ac:dyDescent="0.3">
      <c r="A6286" s="21" t="str">
        <f t="shared" si="98"/>
        <v>.</v>
      </c>
      <c r="D6286" s="44"/>
      <c r="E6286" s="22" t="str">
        <f>IF(D6286&lt;&gt;"",IFERROR(INDEX(Produtos!$C$4:$C$4996,MATCH(D6286,Produtos!$B$4:$B$4996,0)),"Produto não encontrado"),"")</f>
        <v/>
      </c>
    </row>
    <row r="6287" spans="1:5" x14ac:dyDescent="0.3">
      <c r="A6287" s="21" t="str">
        <f t="shared" si="98"/>
        <v>.</v>
      </c>
      <c r="D6287" s="44"/>
      <c r="E6287" s="22" t="str">
        <f>IF(D6287&lt;&gt;"",IFERROR(INDEX(Produtos!$C$4:$C$4996,MATCH(D6287,Produtos!$B$4:$B$4996,0)),"Produto não encontrado"),"")</f>
        <v/>
      </c>
    </row>
    <row r="6288" spans="1:5" x14ac:dyDescent="0.3">
      <c r="A6288" s="21" t="str">
        <f t="shared" si="98"/>
        <v>.</v>
      </c>
      <c r="D6288" s="44"/>
      <c r="E6288" s="22" t="str">
        <f>IF(D6288&lt;&gt;"",IFERROR(INDEX(Produtos!$C$4:$C$4996,MATCH(D6288,Produtos!$B$4:$B$4996,0)),"Produto não encontrado"),"")</f>
        <v/>
      </c>
    </row>
    <row r="6289" spans="1:5" x14ac:dyDescent="0.3">
      <c r="A6289" s="21" t="str">
        <f t="shared" si="98"/>
        <v>.</v>
      </c>
      <c r="D6289" s="44"/>
      <c r="E6289" s="22" t="str">
        <f>IF(D6289&lt;&gt;"",IFERROR(INDEX(Produtos!$C$4:$C$4996,MATCH(D6289,Produtos!$B$4:$B$4996,0)),"Produto não encontrado"),"")</f>
        <v/>
      </c>
    </row>
    <row r="6290" spans="1:5" x14ac:dyDescent="0.3">
      <c r="A6290" s="21" t="str">
        <f t="shared" si="98"/>
        <v>.</v>
      </c>
      <c r="D6290" s="44"/>
      <c r="E6290" s="22" t="str">
        <f>IF(D6290&lt;&gt;"",IFERROR(INDEX(Produtos!$C$4:$C$4996,MATCH(D6290,Produtos!$B$4:$B$4996,0)),"Produto não encontrado"),"")</f>
        <v/>
      </c>
    </row>
    <row r="6291" spans="1:5" x14ac:dyDescent="0.3">
      <c r="A6291" s="21" t="str">
        <f t="shared" si="98"/>
        <v>.</v>
      </c>
      <c r="D6291" s="44"/>
      <c r="E6291" s="22" t="str">
        <f>IF(D6291&lt;&gt;"",IFERROR(INDEX(Produtos!$C$4:$C$4996,MATCH(D6291,Produtos!$B$4:$B$4996,0)),"Produto não encontrado"),"")</f>
        <v/>
      </c>
    </row>
    <row r="6292" spans="1:5" x14ac:dyDescent="0.3">
      <c r="A6292" s="21" t="str">
        <f t="shared" si="98"/>
        <v>.</v>
      </c>
      <c r="D6292" s="44"/>
      <c r="E6292" s="22" t="str">
        <f>IF(D6292&lt;&gt;"",IFERROR(INDEX(Produtos!$C$4:$C$4996,MATCH(D6292,Produtos!$B$4:$B$4996,0)),"Produto não encontrado"),"")</f>
        <v/>
      </c>
    </row>
    <row r="6293" spans="1:5" x14ac:dyDescent="0.3">
      <c r="A6293" s="21" t="str">
        <f t="shared" si="98"/>
        <v>.</v>
      </c>
      <c r="D6293" s="44"/>
      <c r="E6293" s="22" t="str">
        <f>IF(D6293&lt;&gt;"",IFERROR(INDEX(Produtos!$C$4:$C$4996,MATCH(D6293,Produtos!$B$4:$B$4996,0)),"Produto não encontrado"),"")</f>
        <v/>
      </c>
    </row>
    <row r="6294" spans="1:5" x14ac:dyDescent="0.3">
      <c r="A6294" s="21" t="str">
        <f t="shared" si="98"/>
        <v>.</v>
      </c>
      <c r="D6294" s="44"/>
      <c r="E6294" s="22" t="str">
        <f>IF(D6294&lt;&gt;"",IFERROR(INDEX(Produtos!$C$4:$C$4996,MATCH(D6294,Produtos!$B$4:$B$4996,0)),"Produto não encontrado"),"")</f>
        <v/>
      </c>
    </row>
    <row r="6295" spans="1:5" x14ac:dyDescent="0.3">
      <c r="A6295" s="21" t="str">
        <f t="shared" si="98"/>
        <v>.</v>
      </c>
      <c r="D6295" s="44"/>
      <c r="E6295" s="22" t="str">
        <f>IF(D6295&lt;&gt;"",IFERROR(INDEX(Produtos!$C$4:$C$4996,MATCH(D6295,Produtos!$B$4:$B$4996,0)),"Produto não encontrado"),"")</f>
        <v/>
      </c>
    </row>
    <row r="6296" spans="1:5" x14ac:dyDescent="0.3">
      <c r="A6296" s="21" t="str">
        <f t="shared" si="98"/>
        <v>.</v>
      </c>
      <c r="D6296" s="44"/>
      <c r="E6296" s="22" t="str">
        <f>IF(D6296&lt;&gt;"",IFERROR(INDEX(Produtos!$C$4:$C$4996,MATCH(D6296,Produtos!$B$4:$B$4996,0)),"Produto não encontrado"),"")</f>
        <v/>
      </c>
    </row>
    <row r="6297" spans="1:5" x14ac:dyDescent="0.3">
      <c r="A6297" s="21" t="str">
        <f t="shared" si="98"/>
        <v>.</v>
      </c>
      <c r="D6297" s="44"/>
      <c r="E6297" s="22" t="str">
        <f>IF(D6297&lt;&gt;"",IFERROR(INDEX(Produtos!$C$4:$C$4996,MATCH(D6297,Produtos!$B$4:$B$4996,0)),"Produto não encontrado"),"")</f>
        <v/>
      </c>
    </row>
    <row r="6298" spans="1:5" x14ac:dyDescent="0.3">
      <c r="A6298" s="21" t="str">
        <f t="shared" si="98"/>
        <v>.</v>
      </c>
      <c r="D6298" s="44"/>
      <c r="E6298" s="22" t="str">
        <f>IF(D6298&lt;&gt;"",IFERROR(INDEX(Produtos!$C$4:$C$4996,MATCH(D6298,Produtos!$B$4:$B$4996,0)),"Produto não encontrado"),"")</f>
        <v/>
      </c>
    </row>
    <row r="6299" spans="1:5" x14ac:dyDescent="0.3">
      <c r="A6299" s="21" t="str">
        <f t="shared" si="98"/>
        <v>.</v>
      </c>
      <c r="D6299" s="44"/>
      <c r="E6299" s="22" t="str">
        <f>IF(D6299&lt;&gt;"",IFERROR(INDEX(Produtos!$C$4:$C$4996,MATCH(D6299,Produtos!$B$4:$B$4996,0)),"Produto não encontrado"),"")</f>
        <v/>
      </c>
    </row>
    <row r="6300" spans="1:5" x14ac:dyDescent="0.3">
      <c r="A6300" s="21" t="str">
        <f t="shared" si="98"/>
        <v>.</v>
      </c>
      <c r="D6300" s="44"/>
      <c r="E6300" s="22" t="str">
        <f>IF(D6300&lt;&gt;"",IFERROR(INDEX(Produtos!$C$4:$C$4996,MATCH(D6300,Produtos!$B$4:$B$4996,0)),"Produto não encontrado"),"")</f>
        <v/>
      </c>
    </row>
    <row r="6301" spans="1:5" x14ac:dyDescent="0.3">
      <c r="A6301" s="21" t="str">
        <f t="shared" si="98"/>
        <v>.</v>
      </c>
      <c r="D6301" s="44"/>
      <c r="E6301" s="22" t="str">
        <f>IF(D6301&lt;&gt;"",IFERROR(INDEX(Produtos!$C$4:$C$4996,MATCH(D6301,Produtos!$B$4:$B$4996,0)),"Produto não encontrado"),"")</f>
        <v/>
      </c>
    </row>
    <row r="6302" spans="1:5" x14ac:dyDescent="0.3">
      <c r="A6302" s="21" t="str">
        <f t="shared" si="98"/>
        <v>.</v>
      </c>
      <c r="D6302" s="44"/>
      <c r="E6302" s="22" t="str">
        <f>IF(D6302&lt;&gt;"",IFERROR(INDEX(Produtos!$C$4:$C$4996,MATCH(D6302,Produtos!$B$4:$B$4996,0)),"Produto não encontrado"),"")</f>
        <v/>
      </c>
    </row>
    <row r="6303" spans="1:5" x14ac:dyDescent="0.3">
      <c r="A6303" s="21" t="str">
        <f t="shared" si="98"/>
        <v>.</v>
      </c>
      <c r="D6303" s="44"/>
      <c r="E6303" s="22" t="str">
        <f>IF(D6303&lt;&gt;"",IFERROR(INDEX(Produtos!$C$4:$C$4996,MATCH(D6303,Produtos!$B$4:$B$4996,0)),"Produto não encontrado"),"")</f>
        <v/>
      </c>
    </row>
    <row r="6304" spans="1:5" x14ac:dyDescent="0.3">
      <c r="A6304" s="21" t="str">
        <f t="shared" si="98"/>
        <v>.</v>
      </c>
      <c r="D6304" s="44"/>
      <c r="E6304" s="22" t="str">
        <f>IF(D6304&lt;&gt;"",IFERROR(INDEX(Produtos!$C$4:$C$4996,MATCH(D6304,Produtos!$B$4:$B$4996,0)),"Produto não encontrado"),"")</f>
        <v/>
      </c>
    </row>
    <row r="6305" spans="1:5" x14ac:dyDescent="0.3">
      <c r="A6305" s="21" t="str">
        <f t="shared" si="98"/>
        <v>.</v>
      </c>
      <c r="D6305" s="44"/>
      <c r="E6305" s="22" t="str">
        <f>IF(D6305&lt;&gt;"",IFERROR(INDEX(Produtos!$C$4:$C$4996,MATCH(D6305,Produtos!$B$4:$B$4996,0)),"Produto não encontrado"),"")</f>
        <v/>
      </c>
    </row>
    <row r="6306" spans="1:5" x14ac:dyDescent="0.3">
      <c r="A6306" s="21" t="str">
        <f t="shared" si="98"/>
        <v>.</v>
      </c>
      <c r="D6306" s="44"/>
      <c r="E6306" s="22" t="str">
        <f>IF(D6306&lt;&gt;"",IFERROR(INDEX(Produtos!$C$4:$C$4996,MATCH(D6306,Produtos!$B$4:$B$4996,0)),"Produto não encontrado"),"")</f>
        <v/>
      </c>
    </row>
    <row r="6307" spans="1:5" x14ac:dyDescent="0.3">
      <c r="A6307" s="21" t="str">
        <f t="shared" si="98"/>
        <v>.</v>
      </c>
      <c r="D6307" s="44"/>
      <c r="E6307" s="22" t="str">
        <f>IF(D6307&lt;&gt;"",IFERROR(INDEX(Produtos!$C$4:$C$4996,MATCH(D6307,Produtos!$B$4:$B$4996,0)),"Produto não encontrado"),"")</f>
        <v/>
      </c>
    </row>
    <row r="6308" spans="1:5" x14ac:dyDescent="0.3">
      <c r="A6308" s="21" t="str">
        <f t="shared" si="98"/>
        <v>.</v>
      </c>
      <c r="D6308" s="44"/>
      <c r="E6308" s="22" t="str">
        <f>IF(D6308&lt;&gt;"",IFERROR(INDEX(Produtos!$C$4:$C$4996,MATCH(D6308,Produtos!$B$4:$B$4996,0)),"Produto não encontrado"),"")</f>
        <v/>
      </c>
    </row>
    <row r="6309" spans="1:5" x14ac:dyDescent="0.3">
      <c r="A6309" s="21" t="str">
        <f t="shared" si="98"/>
        <v>.</v>
      </c>
      <c r="D6309" s="44"/>
      <c r="E6309" s="22" t="str">
        <f>IF(D6309&lt;&gt;"",IFERROR(INDEX(Produtos!$C$4:$C$4996,MATCH(D6309,Produtos!$B$4:$B$4996,0)),"Produto não encontrado"),"")</f>
        <v/>
      </c>
    </row>
    <row r="6310" spans="1:5" x14ac:dyDescent="0.3">
      <c r="A6310" s="21" t="str">
        <f t="shared" si="98"/>
        <v>.</v>
      </c>
      <c r="D6310" s="44"/>
      <c r="E6310" s="22" t="str">
        <f>IF(D6310&lt;&gt;"",IFERROR(INDEX(Produtos!$C$4:$C$4996,MATCH(D6310,Produtos!$B$4:$B$4996,0)),"Produto não encontrado"),"")</f>
        <v/>
      </c>
    </row>
    <row r="6311" spans="1:5" x14ac:dyDescent="0.3">
      <c r="A6311" s="21" t="str">
        <f t="shared" si="98"/>
        <v>.</v>
      </c>
      <c r="D6311" s="44"/>
      <c r="E6311" s="22" t="str">
        <f>IF(D6311&lt;&gt;"",IFERROR(INDEX(Produtos!$C$4:$C$4996,MATCH(D6311,Produtos!$B$4:$B$4996,0)),"Produto não encontrado"),"")</f>
        <v/>
      </c>
    </row>
    <row r="6312" spans="1:5" x14ac:dyDescent="0.3">
      <c r="A6312" s="21" t="str">
        <f t="shared" si="98"/>
        <v>.</v>
      </c>
      <c r="D6312" s="44"/>
      <c r="E6312" s="22" t="str">
        <f>IF(D6312&lt;&gt;"",IFERROR(INDEX(Produtos!$C$4:$C$4996,MATCH(D6312,Produtos!$B$4:$B$4996,0)),"Produto não encontrado"),"")</f>
        <v/>
      </c>
    </row>
    <row r="6313" spans="1:5" x14ac:dyDescent="0.3">
      <c r="A6313" s="21" t="str">
        <f t="shared" si="98"/>
        <v>.</v>
      </c>
      <c r="D6313" s="44"/>
      <c r="E6313" s="22" t="str">
        <f>IF(D6313&lt;&gt;"",IFERROR(INDEX(Produtos!$C$4:$C$4996,MATCH(D6313,Produtos!$B$4:$B$4996,0)),"Produto não encontrado"),"")</f>
        <v/>
      </c>
    </row>
    <row r="6314" spans="1:5" x14ac:dyDescent="0.3">
      <c r="A6314" s="21" t="str">
        <f t="shared" si="98"/>
        <v>.</v>
      </c>
      <c r="D6314" s="44"/>
      <c r="E6314" s="22" t="str">
        <f>IF(D6314&lt;&gt;"",IFERROR(INDEX(Produtos!$C$4:$C$4996,MATCH(D6314,Produtos!$B$4:$B$4996,0)),"Produto não encontrado"),"")</f>
        <v/>
      </c>
    </row>
    <row r="6315" spans="1:5" x14ac:dyDescent="0.3">
      <c r="A6315" s="21" t="str">
        <f t="shared" si="98"/>
        <v>.</v>
      </c>
      <c r="D6315" s="44"/>
      <c r="E6315" s="22" t="str">
        <f>IF(D6315&lt;&gt;"",IFERROR(INDEX(Produtos!$C$4:$C$4996,MATCH(D6315,Produtos!$B$4:$B$4996,0)),"Produto não encontrado"),"")</f>
        <v/>
      </c>
    </row>
    <row r="6316" spans="1:5" x14ac:dyDescent="0.3">
      <c r="A6316" s="21" t="str">
        <f t="shared" si="98"/>
        <v>.</v>
      </c>
      <c r="D6316" s="44"/>
      <c r="E6316" s="22" t="str">
        <f>IF(D6316&lt;&gt;"",IFERROR(INDEX(Produtos!$C$4:$C$4996,MATCH(D6316,Produtos!$B$4:$B$4996,0)),"Produto não encontrado"),"")</f>
        <v/>
      </c>
    </row>
    <row r="6317" spans="1:5" x14ac:dyDescent="0.3">
      <c r="A6317" s="21" t="str">
        <f t="shared" si="98"/>
        <v>.</v>
      </c>
      <c r="D6317" s="44"/>
      <c r="E6317" s="22" t="str">
        <f>IF(D6317&lt;&gt;"",IFERROR(INDEX(Produtos!$C$4:$C$4996,MATCH(D6317,Produtos!$B$4:$B$4996,0)),"Produto não encontrado"),"")</f>
        <v/>
      </c>
    </row>
    <row r="6318" spans="1:5" x14ac:dyDescent="0.3">
      <c r="A6318" s="21" t="str">
        <f t="shared" si="98"/>
        <v>.</v>
      </c>
      <c r="D6318" s="44"/>
      <c r="E6318" s="22" t="str">
        <f>IF(D6318&lt;&gt;"",IFERROR(INDEX(Produtos!$C$4:$C$4996,MATCH(D6318,Produtos!$B$4:$B$4996,0)),"Produto não encontrado"),"")</f>
        <v/>
      </c>
    </row>
    <row r="6319" spans="1:5" x14ac:dyDescent="0.3">
      <c r="A6319" s="21" t="str">
        <f t="shared" si="98"/>
        <v>.</v>
      </c>
      <c r="D6319" s="44"/>
      <c r="E6319" s="22" t="str">
        <f>IF(D6319&lt;&gt;"",IFERROR(INDEX(Produtos!$C$4:$C$4996,MATCH(D6319,Produtos!$B$4:$B$4996,0)),"Produto não encontrado"),"")</f>
        <v/>
      </c>
    </row>
    <row r="6320" spans="1:5" x14ac:dyDescent="0.3">
      <c r="A6320" s="21" t="str">
        <f t="shared" si="98"/>
        <v>.</v>
      </c>
      <c r="D6320" s="44"/>
      <c r="E6320" s="22" t="str">
        <f>IF(D6320&lt;&gt;"",IFERROR(INDEX(Produtos!$C$4:$C$4996,MATCH(D6320,Produtos!$B$4:$B$4996,0)),"Produto não encontrado"),"")</f>
        <v/>
      </c>
    </row>
    <row r="6321" spans="1:5" x14ac:dyDescent="0.3">
      <c r="A6321" s="21" t="str">
        <f t="shared" si="98"/>
        <v>.</v>
      </c>
      <c r="D6321" s="44"/>
      <c r="E6321" s="22" t="str">
        <f>IF(D6321&lt;&gt;"",IFERROR(INDEX(Produtos!$C$4:$C$4996,MATCH(D6321,Produtos!$B$4:$B$4996,0)),"Produto não encontrado"),"")</f>
        <v/>
      </c>
    </row>
    <row r="6322" spans="1:5" x14ac:dyDescent="0.3">
      <c r="A6322" s="21" t="str">
        <f t="shared" si="98"/>
        <v>.</v>
      </c>
      <c r="D6322" s="44"/>
      <c r="E6322" s="22" t="str">
        <f>IF(D6322&lt;&gt;"",IFERROR(INDEX(Produtos!$C$4:$C$4996,MATCH(D6322,Produtos!$B$4:$B$4996,0)),"Produto não encontrado"),"")</f>
        <v/>
      </c>
    </row>
    <row r="6323" spans="1:5" x14ac:dyDescent="0.3">
      <c r="A6323" s="21" t="str">
        <f t="shared" si="98"/>
        <v>.</v>
      </c>
      <c r="D6323" s="44"/>
      <c r="E6323" s="22" t="str">
        <f>IF(D6323&lt;&gt;"",IFERROR(INDEX(Produtos!$C$4:$C$4996,MATCH(D6323,Produtos!$B$4:$B$4996,0)),"Produto não encontrado"),"")</f>
        <v/>
      </c>
    </row>
    <row r="6324" spans="1:5" x14ac:dyDescent="0.3">
      <c r="A6324" s="21" t="str">
        <f t="shared" si="98"/>
        <v>.</v>
      </c>
      <c r="D6324" s="44"/>
      <c r="E6324" s="22" t="str">
        <f>IF(D6324&lt;&gt;"",IFERROR(INDEX(Produtos!$C$4:$C$4996,MATCH(D6324,Produtos!$B$4:$B$4996,0)),"Produto não encontrado"),"")</f>
        <v/>
      </c>
    </row>
    <row r="6325" spans="1:5" x14ac:dyDescent="0.3">
      <c r="A6325" s="21" t="str">
        <f t="shared" si="98"/>
        <v>.</v>
      </c>
      <c r="D6325" s="44"/>
      <c r="E6325" s="22" t="str">
        <f>IF(D6325&lt;&gt;"",IFERROR(INDEX(Produtos!$C$4:$C$4996,MATCH(D6325,Produtos!$B$4:$B$4996,0)),"Produto não encontrado"),"")</f>
        <v/>
      </c>
    </row>
    <row r="6326" spans="1:5" x14ac:dyDescent="0.3">
      <c r="A6326" s="21" t="str">
        <f t="shared" si="98"/>
        <v>.</v>
      </c>
      <c r="D6326" s="44"/>
      <c r="E6326" s="22" t="str">
        <f>IF(D6326&lt;&gt;"",IFERROR(INDEX(Produtos!$C$4:$C$4996,MATCH(D6326,Produtos!$B$4:$B$4996,0)),"Produto não encontrado"),"")</f>
        <v/>
      </c>
    </row>
    <row r="6327" spans="1:5" x14ac:dyDescent="0.3">
      <c r="A6327" s="21" t="str">
        <f t="shared" si="98"/>
        <v>.</v>
      </c>
      <c r="D6327" s="44"/>
      <c r="E6327" s="22" t="str">
        <f>IF(D6327&lt;&gt;"",IFERROR(INDEX(Produtos!$C$4:$C$4996,MATCH(D6327,Produtos!$B$4:$B$4996,0)),"Produto não encontrado"),"")</f>
        <v/>
      </c>
    </row>
    <row r="6328" spans="1:5" x14ac:dyDescent="0.3">
      <c r="A6328" s="21" t="str">
        <f t="shared" si="98"/>
        <v>.</v>
      </c>
      <c r="D6328" s="44"/>
      <c r="E6328" s="22" t="str">
        <f>IF(D6328&lt;&gt;"",IFERROR(INDEX(Produtos!$C$4:$C$4996,MATCH(D6328,Produtos!$B$4:$B$4996,0)),"Produto não encontrado"),"")</f>
        <v/>
      </c>
    </row>
    <row r="6329" spans="1:5" x14ac:dyDescent="0.3">
      <c r="A6329" s="21" t="str">
        <f t="shared" si="98"/>
        <v>.</v>
      </c>
      <c r="D6329" s="44"/>
      <c r="E6329" s="22" t="str">
        <f>IF(D6329&lt;&gt;"",IFERROR(INDEX(Produtos!$C$4:$C$4996,MATCH(D6329,Produtos!$B$4:$B$4996,0)),"Produto não encontrado"),"")</f>
        <v/>
      </c>
    </row>
    <row r="6330" spans="1:5" x14ac:dyDescent="0.3">
      <c r="A6330" s="21" t="str">
        <f t="shared" si="98"/>
        <v>.</v>
      </c>
      <c r="D6330" s="44"/>
      <c r="E6330" s="22" t="str">
        <f>IF(D6330&lt;&gt;"",IFERROR(INDEX(Produtos!$C$4:$C$4996,MATCH(D6330,Produtos!$B$4:$B$4996,0)),"Produto não encontrado"),"")</f>
        <v/>
      </c>
    </row>
    <row r="6331" spans="1:5" x14ac:dyDescent="0.3">
      <c r="A6331" s="21" t="str">
        <f t="shared" si="98"/>
        <v>.</v>
      </c>
      <c r="D6331" s="44"/>
      <c r="E6331" s="22" t="str">
        <f>IF(D6331&lt;&gt;"",IFERROR(INDEX(Produtos!$C$4:$C$4996,MATCH(D6331,Produtos!$B$4:$B$4996,0)),"Produto não encontrado"),"")</f>
        <v/>
      </c>
    </row>
    <row r="6332" spans="1:5" x14ac:dyDescent="0.3">
      <c r="A6332" s="21" t="str">
        <f t="shared" si="98"/>
        <v>.</v>
      </c>
      <c r="D6332" s="44"/>
      <c r="E6332" s="22" t="str">
        <f>IF(D6332&lt;&gt;"",IFERROR(INDEX(Produtos!$C$4:$C$4996,MATCH(D6332,Produtos!$B$4:$B$4996,0)),"Produto não encontrado"),"")</f>
        <v/>
      </c>
    </row>
    <row r="6333" spans="1:5" x14ac:dyDescent="0.3">
      <c r="A6333" s="21" t="str">
        <f t="shared" si="98"/>
        <v>.</v>
      </c>
      <c r="D6333" s="44"/>
      <c r="E6333" s="22" t="str">
        <f>IF(D6333&lt;&gt;"",IFERROR(INDEX(Produtos!$C$4:$C$4996,MATCH(D6333,Produtos!$B$4:$B$4996,0)),"Produto não encontrado"),"")</f>
        <v/>
      </c>
    </row>
    <row r="6334" spans="1:5" x14ac:dyDescent="0.3">
      <c r="A6334" s="21" t="str">
        <f t="shared" si="98"/>
        <v>.</v>
      </c>
      <c r="D6334" s="44"/>
      <c r="E6334" s="22" t="str">
        <f>IF(D6334&lt;&gt;"",IFERROR(INDEX(Produtos!$C$4:$C$4996,MATCH(D6334,Produtos!$B$4:$B$4996,0)),"Produto não encontrado"),"")</f>
        <v/>
      </c>
    </row>
    <row r="6335" spans="1:5" x14ac:dyDescent="0.3">
      <c r="A6335" s="21" t="str">
        <f t="shared" si="98"/>
        <v>.</v>
      </c>
      <c r="D6335" s="44"/>
      <c r="E6335" s="22" t="str">
        <f>IF(D6335&lt;&gt;"",IFERROR(INDEX(Produtos!$C$4:$C$4996,MATCH(D6335,Produtos!$B$4:$B$4996,0)),"Produto não encontrado"),"")</f>
        <v/>
      </c>
    </row>
    <row r="6336" spans="1:5" x14ac:dyDescent="0.3">
      <c r="A6336" s="21" t="str">
        <f t="shared" ref="A6336:A6399" si="99">IF(C6336="Entrada",2,IF(C6336="Saída",1,"."))</f>
        <v>.</v>
      </c>
      <c r="D6336" s="44"/>
      <c r="E6336" s="22" t="str">
        <f>IF(D6336&lt;&gt;"",IFERROR(INDEX(Produtos!$C$4:$C$4996,MATCH(D6336,Produtos!$B$4:$B$4996,0)),"Produto não encontrado"),"")</f>
        <v/>
      </c>
    </row>
    <row r="6337" spans="1:5" x14ac:dyDescent="0.3">
      <c r="A6337" s="21" t="str">
        <f t="shared" si="99"/>
        <v>.</v>
      </c>
      <c r="D6337" s="44"/>
      <c r="E6337" s="22" t="str">
        <f>IF(D6337&lt;&gt;"",IFERROR(INDEX(Produtos!$C$4:$C$4996,MATCH(D6337,Produtos!$B$4:$B$4996,0)),"Produto não encontrado"),"")</f>
        <v/>
      </c>
    </row>
    <row r="6338" spans="1:5" x14ac:dyDescent="0.3">
      <c r="A6338" s="21" t="str">
        <f t="shared" si="99"/>
        <v>.</v>
      </c>
      <c r="D6338" s="44"/>
      <c r="E6338" s="22" t="str">
        <f>IF(D6338&lt;&gt;"",IFERROR(INDEX(Produtos!$C$4:$C$4996,MATCH(D6338,Produtos!$B$4:$B$4996,0)),"Produto não encontrado"),"")</f>
        <v/>
      </c>
    </row>
    <row r="6339" spans="1:5" x14ac:dyDescent="0.3">
      <c r="A6339" s="21" t="str">
        <f t="shared" si="99"/>
        <v>.</v>
      </c>
      <c r="D6339" s="44"/>
      <c r="E6339" s="22" t="str">
        <f>IF(D6339&lt;&gt;"",IFERROR(INDEX(Produtos!$C$4:$C$4996,MATCH(D6339,Produtos!$B$4:$B$4996,0)),"Produto não encontrado"),"")</f>
        <v/>
      </c>
    </row>
    <row r="6340" spans="1:5" x14ac:dyDescent="0.3">
      <c r="A6340" s="21" t="str">
        <f t="shared" si="99"/>
        <v>.</v>
      </c>
      <c r="D6340" s="44"/>
      <c r="E6340" s="22" t="str">
        <f>IF(D6340&lt;&gt;"",IFERROR(INDEX(Produtos!$C$4:$C$4996,MATCH(D6340,Produtos!$B$4:$B$4996,0)),"Produto não encontrado"),"")</f>
        <v/>
      </c>
    </row>
    <row r="6341" spans="1:5" x14ac:dyDescent="0.3">
      <c r="A6341" s="21" t="str">
        <f t="shared" si="99"/>
        <v>.</v>
      </c>
      <c r="D6341" s="44"/>
      <c r="E6341" s="22" t="str">
        <f>IF(D6341&lt;&gt;"",IFERROR(INDEX(Produtos!$C$4:$C$4996,MATCH(D6341,Produtos!$B$4:$B$4996,0)),"Produto não encontrado"),"")</f>
        <v/>
      </c>
    </row>
    <row r="6342" spans="1:5" x14ac:dyDescent="0.3">
      <c r="A6342" s="21" t="str">
        <f t="shared" si="99"/>
        <v>.</v>
      </c>
      <c r="D6342" s="44"/>
      <c r="E6342" s="22" t="str">
        <f>IF(D6342&lt;&gt;"",IFERROR(INDEX(Produtos!$C$4:$C$4996,MATCH(D6342,Produtos!$B$4:$B$4996,0)),"Produto não encontrado"),"")</f>
        <v/>
      </c>
    </row>
    <row r="6343" spans="1:5" x14ac:dyDescent="0.3">
      <c r="A6343" s="21" t="str">
        <f t="shared" si="99"/>
        <v>.</v>
      </c>
      <c r="D6343" s="44"/>
      <c r="E6343" s="22" t="str">
        <f>IF(D6343&lt;&gt;"",IFERROR(INDEX(Produtos!$C$4:$C$4996,MATCH(D6343,Produtos!$B$4:$B$4996,0)),"Produto não encontrado"),"")</f>
        <v/>
      </c>
    </row>
    <row r="6344" spans="1:5" x14ac:dyDescent="0.3">
      <c r="A6344" s="21" t="str">
        <f t="shared" si="99"/>
        <v>.</v>
      </c>
      <c r="D6344" s="44"/>
      <c r="E6344" s="22" t="str">
        <f>IF(D6344&lt;&gt;"",IFERROR(INDEX(Produtos!$C$4:$C$4996,MATCH(D6344,Produtos!$B$4:$B$4996,0)),"Produto não encontrado"),"")</f>
        <v/>
      </c>
    </row>
    <row r="6345" spans="1:5" x14ac:dyDescent="0.3">
      <c r="A6345" s="21" t="str">
        <f t="shared" si="99"/>
        <v>.</v>
      </c>
      <c r="D6345" s="44"/>
      <c r="E6345" s="22" t="str">
        <f>IF(D6345&lt;&gt;"",IFERROR(INDEX(Produtos!$C$4:$C$4996,MATCH(D6345,Produtos!$B$4:$B$4996,0)),"Produto não encontrado"),"")</f>
        <v/>
      </c>
    </row>
    <row r="6346" spans="1:5" x14ac:dyDescent="0.3">
      <c r="A6346" s="21" t="str">
        <f t="shared" si="99"/>
        <v>.</v>
      </c>
      <c r="D6346" s="44"/>
      <c r="E6346" s="22" t="str">
        <f>IF(D6346&lt;&gt;"",IFERROR(INDEX(Produtos!$C$4:$C$4996,MATCH(D6346,Produtos!$B$4:$B$4996,0)),"Produto não encontrado"),"")</f>
        <v/>
      </c>
    </row>
    <row r="6347" spans="1:5" x14ac:dyDescent="0.3">
      <c r="A6347" s="21" t="str">
        <f t="shared" si="99"/>
        <v>.</v>
      </c>
      <c r="D6347" s="44"/>
      <c r="E6347" s="22" t="str">
        <f>IF(D6347&lt;&gt;"",IFERROR(INDEX(Produtos!$C$4:$C$4996,MATCH(D6347,Produtos!$B$4:$B$4996,0)),"Produto não encontrado"),"")</f>
        <v/>
      </c>
    </row>
    <row r="6348" spans="1:5" x14ac:dyDescent="0.3">
      <c r="A6348" s="21" t="str">
        <f t="shared" si="99"/>
        <v>.</v>
      </c>
      <c r="D6348" s="44"/>
      <c r="E6348" s="22" t="str">
        <f>IF(D6348&lt;&gt;"",IFERROR(INDEX(Produtos!$C$4:$C$4996,MATCH(D6348,Produtos!$B$4:$B$4996,0)),"Produto não encontrado"),"")</f>
        <v/>
      </c>
    </row>
    <row r="6349" spans="1:5" x14ac:dyDescent="0.3">
      <c r="A6349" s="21" t="str">
        <f t="shared" si="99"/>
        <v>.</v>
      </c>
      <c r="D6349" s="44"/>
      <c r="E6349" s="22" t="str">
        <f>IF(D6349&lt;&gt;"",IFERROR(INDEX(Produtos!$C$4:$C$4996,MATCH(D6349,Produtos!$B$4:$B$4996,0)),"Produto não encontrado"),"")</f>
        <v/>
      </c>
    </row>
    <row r="6350" spans="1:5" x14ac:dyDescent="0.3">
      <c r="A6350" s="21" t="str">
        <f t="shared" si="99"/>
        <v>.</v>
      </c>
      <c r="D6350" s="44"/>
      <c r="E6350" s="22" t="str">
        <f>IF(D6350&lt;&gt;"",IFERROR(INDEX(Produtos!$C$4:$C$4996,MATCH(D6350,Produtos!$B$4:$B$4996,0)),"Produto não encontrado"),"")</f>
        <v/>
      </c>
    </row>
    <row r="6351" spans="1:5" x14ac:dyDescent="0.3">
      <c r="A6351" s="21" t="str">
        <f t="shared" si="99"/>
        <v>.</v>
      </c>
      <c r="D6351" s="44"/>
      <c r="E6351" s="22" t="str">
        <f>IF(D6351&lt;&gt;"",IFERROR(INDEX(Produtos!$C$4:$C$4996,MATCH(D6351,Produtos!$B$4:$B$4996,0)),"Produto não encontrado"),"")</f>
        <v/>
      </c>
    </row>
    <row r="6352" spans="1:5" x14ac:dyDescent="0.3">
      <c r="A6352" s="21" t="str">
        <f t="shared" si="99"/>
        <v>.</v>
      </c>
      <c r="D6352" s="44"/>
      <c r="E6352" s="22" t="str">
        <f>IF(D6352&lt;&gt;"",IFERROR(INDEX(Produtos!$C$4:$C$4996,MATCH(D6352,Produtos!$B$4:$B$4996,0)),"Produto não encontrado"),"")</f>
        <v/>
      </c>
    </row>
    <row r="6353" spans="1:5" x14ac:dyDescent="0.3">
      <c r="A6353" s="21" t="str">
        <f t="shared" si="99"/>
        <v>.</v>
      </c>
      <c r="D6353" s="44"/>
      <c r="E6353" s="22" t="str">
        <f>IF(D6353&lt;&gt;"",IFERROR(INDEX(Produtos!$C$4:$C$4996,MATCH(D6353,Produtos!$B$4:$B$4996,0)),"Produto não encontrado"),"")</f>
        <v/>
      </c>
    </row>
    <row r="6354" spans="1:5" x14ac:dyDescent="0.3">
      <c r="A6354" s="21" t="str">
        <f t="shared" si="99"/>
        <v>.</v>
      </c>
      <c r="D6354" s="44"/>
      <c r="E6354" s="22" t="str">
        <f>IF(D6354&lt;&gt;"",IFERROR(INDEX(Produtos!$C$4:$C$4996,MATCH(D6354,Produtos!$B$4:$B$4996,0)),"Produto não encontrado"),"")</f>
        <v/>
      </c>
    </row>
    <row r="6355" spans="1:5" x14ac:dyDescent="0.3">
      <c r="A6355" s="21" t="str">
        <f t="shared" si="99"/>
        <v>.</v>
      </c>
      <c r="D6355" s="44"/>
      <c r="E6355" s="22" t="str">
        <f>IF(D6355&lt;&gt;"",IFERROR(INDEX(Produtos!$C$4:$C$4996,MATCH(D6355,Produtos!$B$4:$B$4996,0)),"Produto não encontrado"),"")</f>
        <v/>
      </c>
    </row>
    <row r="6356" spans="1:5" x14ac:dyDescent="0.3">
      <c r="A6356" s="21" t="str">
        <f t="shared" si="99"/>
        <v>.</v>
      </c>
      <c r="D6356" s="44"/>
      <c r="E6356" s="22" t="str">
        <f>IF(D6356&lt;&gt;"",IFERROR(INDEX(Produtos!$C$4:$C$4996,MATCH(D6356,Produtos!$B$4:$B$4996,0)),"Produto não encontrado"),"")</f>
        <v/>
      </c>
    </row>
    <row r="6357" spans="1:5" x14ac:dyDescent="0.3">
      <c r="A6357" s="21" t="str">
        <f t="shared" si="99"/>
        <v>.</v>
      </c>
      <c r="D6357" s="44"/>
      <c r="E6357" s="22" t="str">
        <f>IF(D6357&lt;&gt;"",IFERROR(INDEX(Produtos!$C$4:$C$4996,MATCH(D6357,Produtos!$B$4:$B$4996,0)),"Produto não encontrado"),"")</f>
        <v/>
      </c>
    </row>
    <row r="6358" spans="1:5" x14ac:dyDescent="0.3">
      <c r="A6358" s="21" t="str">
        <f t="shared" si="99"/>
        <v>.</v>
      </c>
      <c r="D6358" s="44"/>
      <c r="E6358" s="22" t="str">
        <f>IF(D6358&lt;&gt;"",IFERROR(INDEX(Produtos!$C$4:$C$4996,MATCH(D6358,Produtos!$B$4:$B$4996,0)),"Produto não encontrado"),"")</f>
        <v/>
      </c>
    </row>
    <row r="6359" spans="1:5" x14ac:dyDescent="0.3">
      <c r="A6359" s="21" t="str">
        <f t="shared" si="99"/>
        <v>.</v>
      </c>
      <c r="D6359" s="44"/>
      <c r="E6359" s="22" t="str">
        <f>IF(D6359&lt;&gt;"",IFERROR(INDEX(Produtos!$C$4:$C$4996,MATCH(D6359,Produtos!$B$4:$B$4996,0)),"Produto não encontrado"),"")</f>
        <v/>
      </c>
    </row>
    <row r="6360" spans="1:5" x14ac:dyDescent="0.3">
      <c r="A6360" s="21" t="str">
        <f t="shared" si="99"/>
        <v>.</v>
      </c>
      <c r="D6360" s="44"/>
      <c r="E6360" s="22" t="str">
        <f>IF(D6360&lt;&gt;"",IFERROR(INDEX(Produtos!$C$4:$C$4996,MATCH(D6360,Produtos!$B$4:$B$4996,0)),"Produto não encontrado"),"")</f>
        <v/>
      </c>
    </row>
    <row r="6361" spans="1:5" x14ac:dyDescent="0.3">
      <c r="A6361" s="21" t="str">
        <f t="shared" si="99"/>
        <v>.</v>
      </c>
      <c r="D6361" s="44"/>
      <c r="E6361" s="22" t="str">
        <f>IF(D6361&lt;&gt;"",IFERROR(INDEX(Produtos!$C$4:$C$4996,MATCH(D6361,Produtos!$B$4:$B$4996,0)),"Produto não encontrado"),"")</f>
        <v/>
      </c>
    </row>
    <row r="6362" spans="1:5" x14ac:dyDescent="0.3">
      <c r="A6362" s="21" t="str">
        <f t="shared" si="99"/>
        <v>.</v>
      </c>
      <c r="D6362" s="44"/>
      <c r="E6362" s="22" t="str">
        <f>IF(D6362&lt;&gt;"",IFERROR(INDEX(Produtos!$C$4:$C$4996,MATCH(D6362,Produtos!$B$4:$B$4996,0)),"Produto não encontrado"),"")</f>
        <v/>
      </c>
    </row>
    <row r="6363" spans="1:5" x14ac:dyDescent="0.3">
      <c r="A6363" s="21" t="str">
        <f t="shared" si="99"/>
        <v>.</v>
      </c>
      <c r="D6363" s="44"/>
      <c r="E6363" s="22" t="str">
        <f>IF(D6363&lt;&gt;"",IFERROR(INDEX(Produtos!$C$4:$C$4996,MATCH(D6363,Produtos!$B$4:$B$4996,0)),"Produto não encontrado"),"")</f>
        <v/>
      </c>
    </row>
    <row r="6364" spans="1:5" x14ac:dyDescent="0.3">
      <c r="A6364" s="21" t="str">
        <f t="shared" si="99"/>
        <v>.</v>
      </c>
      <c r="D6364" s="44"/>
      <c r="E6364" s="22" t="str">
        <f>IF(D6364&lt;&gt;"",IFERROR(INDEX(Produtos!$C$4:$C$4996,MATCH(D6364,Produtos!$B$4:$B$4996,0)),"Produto não encontrado"),"")</f>
        <v/>
      </c>
    </row>
    <row r="6365" spans="1:5" x14ac:dyDescent="0.3">
      <c r="A6365" s="21" t="str">
        <f t="shared" si="99"/>
        <v>.</v>
      </c>
      <c r="D6365" s="44"/>
      <c r="E6365" s="22" t="str">
        <f>IF(D6365&lt;&gt;"",IFERROR(INDEX(Produtos!$C$4:$C$4996,MATCH(D6365,Produtos!$B$4:$B$4996,0)),"Produto não encontrado"),"")</f>
        <v/>
      </c>
    </row>
    <row r="6366" spans="1:5" x14ac:dyDescent="0.3">
      <c r="A6366" s="21" t="str">
        <f t="shared" si="99"/>
        <v>.</v>
      </c>
      <c r="D6366" s="44"/>
      <c r="E6366" s="22" t="str">
        <f>IF(D6366&lt;&gt;"",IFERROR(INDEX(Produtos!$C$4:$C$4996,MATCH(D6366,Produtos!$B$4:$B$4996,0)),"Produto não encontrado"),"")</f>
        <v/>
      </c>
    </row>
    <row r="6367" spans="1:5" x14ac:dyDescent="0.3">
      <c r="A6367" s="21" t="str">
        <f t="shared" si="99"/>
        <v>.</v>
      </c>
      <c r="D6367" s="44"/>
      <c r="E6367" s="22" t="str">
        <f>IF(D6367&lt;&gt;"",IFERROR(INDEX(Produtos!$C$4:$C$4996,MATCH(D6367,Produtos!$B$4:$B$4996,0)),"Produto não encontrado"),"")</f>
        <v/>
      </c>
    </row>
    <row r="6368" spans="1:5" x14ac:dyDescent="0.3">
      <c r="A6368" s="21" t="str">
        <f t="shared" si="99"/>
        <v>.</v>
      </c>
      <c r="D6368" s="44"/>
      <c r="E6368" s="22" t="str">
        <f>IF(D6368&lt;&gt;"",IFERROR(INDEX(Produtos!$C$4:$C$4996,MATCH(D6368,Produtos!$B$4:$B$4996,0)),"Produto não encontrado"),"")</f>
        <v/>
      </c>
    </row>
    <row r="6369" spans="1:5" x14ac:dyDescent="0.3">
      <c r="A6369" s="21" t="str">
        <f t="shared" si="99"/>
        <v>.</v>
      </c>
      <c r="D6369" s="44"/>
      <c r="E6369" s="22" t="str">
        <f>IF(D6369&lt;&gt;"",IFERROR(INDEX(Produtos!$C$4:$C$4996,MATCH(D6369,Produtos!$B$4:$B$4996,0)),"Produto não encontrado"),"")</f>
        <v/>
      </c>
    </row>
    <row r="6370" spans="1:5" x14ac:dyDescent="0.3">
      <c r="A6370" s="21" t="str">
        <f t="shared" si="99"/>
        <v>.</v>
      </c>
      <c r="D6370" s="44"/>
      <c r="E6370" s="22" t="str">
        <f>IF(D6370&lt;&gt;"",IFERROR(INDEX(Produtos!$C$4:$C$4996,MATCH(D6370,Produtos!$B$4:$B$4996,0)),"Produto não encontrado"),"")</f>
        <v/>
      </c>
    </row>
    <row r="6371" spans="1:5" x14ac:dyDescent="0.3">
      <c r="A6371" s="21" t="str">
        <f t="shared" si="99"/>
        <v>.</v>
      </c>
      <c r="D6371" s="44"/>
      <c r="E6371" s="22" t="str">
        <f>IF(D6371&lt;&gt;"",IFERROR(INDEX(Produtos!$C$4:$C$4996,MATCH(D6371,Produtos!$B$4:$B$4996,0)),"Produto não encontrado"),"")</f>
        <v/>
      </c>
    </row>
    <row r="6372" spans="1:5" x14ac:dyDescent="0.3">
      <c r="A6372" s="21" t="str">
        <f t="shared" si="99"/>
        <v>.</v>
      </c>
      <c r="D6372" s="44"/>
      <c r="E6372" s="22" t="str">
        <f>IF(D6372&lt;&gt;"",IFERROR(INDEX(Produtos!$C$4:$C$4996,MATCH(D6372,Produtos!$B$4:$B$4996,0)),"Produto não encontrado"),"")</f>
        <v/>
      </c>
    </row>
    <row r="6373" spans="1:5" x14ac:dyDescent="0.3">
      <c r="A6373" s="21" t="str">
        <f t="shared" si="99"/>
        <v>.</v>
      </c>
      <c r="D6373" s="44"/>
      <c r="E6373" s="22" t="str">
        <f>IF(D6373&lt;&gt;"",IFERROR(INDEX(Produtos!$C$4:$C$4996,MATCH(D6373,Produtos!$B$4:$B$4996,0)),"Produto não encontrado"),"")</f>
        <v/>
      </c>
    </row>
    <row r="6374" spans="1:5" x14ac:dyDescent="0.3">
      <c r="A6374" s="21" t="str">
        <f t="shared" si="99"/>
        <v>.</v>
      </c>
      <c r="D6374" s="44"/>
      <c r="E6374" s="22" t="str">
        <f>IF(D6374&lt;&gt;"",IFERROR(INDEX(Produtos!$C$4:$C$4996,MATCH(D6374,Produtos!$B$4:$B$4996,0)),"Produto não encontrado"),"")</f>
        <v/>
      </c>
    </row>
    <row r="6375" spans="1:5" x14ac:dyDescent="0.3">
      <c r="A6375" s="21" t="str">
        <f t="shared" si="99"/>
        <v>.</v>
      </c>
      <c r="D6375" s="44"/>
      <c r="E6375" s="22" t="str">
        <f>IF(D6375&lt;&gt;"",IFERROR(INDEX(Produtos!$C$4:$C$4996,MATCH(D6375,Produtos!$B$4:$B$4996,0)),"Produto não encontrado"),"")</f>
        <v/>
      </c>
    </row>
    <row r="6376" spans="1:5" x14ac:dyDescent="0.3">
      <c r="A6376" s="21" t="str">
        <f t="shared" si="99"/>
        <v>.</v>
      </c>
      <c r="D6376" s="44"/>
      <c r="E6376" s="22" t="str">
        <f>IF(D6376&lt;&gt;"",IFERROR(INDEX(Produtos!$C$4:$C$4996,MATCH(D6376,Produtos!$B$4:$B$4996,0)),"Produto não encontrado"),"")</f>
        <v/>
      </c>
    </row>
    <row r="6377" spans="1:5" x14ac:dyDescent="0.3">
      <c r="A6377" s="21" t="str">
        <f t="shared" si="99"/>
        <v>.</v>
      </c>
      <c r="D6377" s="44"/>
      <c r="E6377" s="22" t="str">
        <f>IF(D6377&lt;&gt;"",IFERROR(INDEX(Produtos!$C$4:$C$4996,MATCH(D6377,Produtos!$B$4:$B$4996,0)),"Produto não encontrado"),"")</f>
        <v/>
      </c>
    </row>
    <row r="6378" spans="1:5" x14ac:dyDescent="0.3">
      <c r="A6378" s="21" t="str">
        <f t="shared" si="99"/>
        <v>.</v>
      </c>
      <c r="D6378" s="44"/>
      <c r="E6378" s="22" t="str">
        <f>IF(D6378&lt;&gt;"",IFERROR(INDEX(Produtos!$C$4:$C$4996,MATCH(D6378,Produtos!$B$4:$B$4996,0)),"Produto não encontrado"),"")</f>
        <v/>
      </c>
    </row>
    <row r="6379" spans="1:5" x14ac:dyDescent="0.3">
      <c r="A6379" s="21" t="str">
        <f t="shared" si="99"/>
        <v>.</v>
      </c>
      <c r="D6379" s="44"/>
      <c r="E6379" s="22" t="str">
        <f>IF(D6379&lt;&gt;"",IFERROR(INDEX(Produtos!$C$4:$C$4996,MATCH(D6379,Produtos!$B$4:$B$4996,0)),"Produto não encontrado"),"")</f>
        <v/>
      </c>
    </row>
    <row r="6380" spans="1:5" x14ac:dyDescent="0.3">
      <c r="A6380" s="21" t="str">
        <f t="shared" si="99"/>
        <v>.</v>
      </c>
      <c r="D6380" s="44"/>
      <c r="E6380" s="22" t="str">
        <f>IF(D6380&lt;&gt;"",IFERROR(INDEX(Produtos!$C$4:$C$4996,MATCH(D6380,Produtos!$B$4:$B$4996,0)),"Produto não encontrado"),"")</f>
        <v/>
      </c>
    </row>
    <row r="6381" spans="1:5" x14ac:dyDescent="0.3">
      <c r="A6381" s="21" t="str">
        <f t="shared" si="99"/>
        <v>.</v>
      </c>
      <c r="D6381" s="44"/>
      <c r="E6381" s="22" t="str">
        <f>IF(D6381&lt;&gt;"",IFERROR(INDEX(Produtos!$C$4:$C$4996,MATCH(D6381,Produtos!$B$4:$B$4996,0)),"Produto não encontrado"),"")</f>
        <v/>
      </c>
    </row>
    <row r="6382" spans="1:5" x14ac:dyDescent="0.3">
      <c r="A6382" s="21" t="str">
        <f t="shared" si="99"/>
        <v>.</v>
      </c>
      <c r="D6382" s="44"/>
      <c r="E6382" s="22" t="str">
        <f>IF(D6382&lt;&gt;"",IFERROR(INDEX(Produtos!$C$4:$C$4996,MATCH(D6382,Produtos!$B$4:$B$4996,0)),"Produto não encontrado"),"")</f>
        <v/>
      </c>
    </row>
    <row r="6383" spans="1:5" x14ac:dyDescent="0.3">
      <c r="A6383" s="21" t="str">
        <f t="shared" si="99"/>
        <v>.</v>
      </c>
      <c r="D6383" s="44"/>
      <c r="E6383" s="22" t="str">
        <f>IF(D6383&lt;&gt;"",IFERROR(INDEX(Produtos!$C$4:$C$4996,MATCH(D6383,Produtos!$B$4:$B$4996,0)),"Produto não encontrado"),"")</f>
        <v/>
      </c>
    </row>
    <row r="6384" spans="1:5" x14ac:dyDescent="0.3">
      <c r="A6384" s="21" t="str">
        <f t="shared" si="99"/>
        <v>.</v>
      </c>
      <c r="D6384" s="44"/>
      <c r="E6384" s="22" t="str">
        <f>IF(D6384&lt;&gt;"",IFERROR(INDEX(Produtos!$C$4:$C$4996,MATCH(D6384,Produtos!$B$4:$B$4996,0)),"Produto não encontrado"),"")</f>
        <v/>
      </c>
    </row>
    <row r="6385" spans="1:5" x14ac:dyDescent="0.3">
      <c r="A6385" s="21" t="str">
        <f t="shared" si="99"/>
        <v>.</v>
      </c>
      <c r="D6385" s="44"/>
      <c r="E6385" s="22" t="str">
        <f>IF(D6385&lt;&gt;"",IFERROR(INDEX(Produtos!$C$4:$C$4996,MATCH(D6385,Produtos!$B$4:$B$4996,0)),"Produto não encontrado"),"")</f>
        <v/>
      </c>
    </row>
    <row r="6386" spans="1:5" x14ac:dyDescent="0.3">
      <c r="A6386" s="21" t="str">
        <f t="shared" si="99"/>
        <v>.</v>
      </c>
      <c r="D6386" s="44"/>
      <c r="E6386" s="22" t="str">
        <f>IF(D6386&lt;&gt;"",IFERROR(INDEX(Produtos!$C$4:$C$4996,MATCH(D6386,Produtos!$B$4:$B$4996,0)),"Produto não encontrado"),"")</f>
        <v/>
      </c>
    </row>
    <row r="6387" spans="1:5" x14ac:dyDescent="0.3">
      <c r="A6387" s="21" t="str">
        <f t="shared" si="99"/>
        <v>.</v>
      </c>
      <c r="D6387" s="44"/>
      <c r="E6387" s="22" t="str">
        <f>IF(D6387&lt;&gt;"",IFERROR(INDEX(Produtos!$C$4:$C$4996,MATCH(D6387,Produtos!$B$4:$B$4996,0)),"Produto não encontrado"),"")</f>
        <v/>
      </c>
    </row>
    <row r="6388" spans="1:5" x14ac:dyDescent="0.3">
      <c r="A6388" s="21" t="str">
        <f t="shared" si="99"/>
        <v>.</v>
      </c>
      <c r="D6388" s="44"/>
      <c r="E6388" s="22" t="str">
        <f>IF(D6388&lt;&gt;"",IFERROR(INDEX(Produtos!$C$4:$C$4996,MATCH(D6388,Produtos!$B$4:$B$4996,0)),"Produto não encontrado"),"")</f>
        <v/>
      </c>
    </row>
    <row r="6389" spans="1:5" x14ac:dyDescent="0.3">
      <c r="A6389" s="21" t="str">
        <f t="shared" si="99"/>
        <v>.</v>
      </c>
      <c r="D6389" s="44"/>
      <c r="E6389" s="22" t="str">
        <f>IF(D6389&lt;&gt;"",IFERROR(INDEX(Produtos!$C$4:$C$4996,MATCH(D6389,Produtos!$B$4:$B$4996,0)),"Produto não encontrado"),"")</f>
        <v/>
      </c>
    </row>
    <row r="6390" spans="1:5" x14ac:dyDescent="0.3">
      <c r="A6390" s="21" t="str">
        <f t="shared" si="99"/>
        <v>.</v>
      </c>
      <c r="D6390" s="44"/>
      <c r="E6390" s="22" t="str">
        <f>IF(D6390&lt;&gt;"",IFERROR(INDEX(Produtos!$C$4:$C$4996,MATCH(D6390,Produtos!$B$4:$B$4996,0)),"Produto não encontrado"),"")</f>
        <v/>
      </c>
    </row>
    <row r="6391" spans="1:5" x14ac:dyDescent="0.3">
      <c r="A6391" s="21" t="str">
        <f t="shared" si="99"/>
        <v>.</v>
      </c>
      <c r="D6391" s="44"/>
      <c r="E6391" s="22" t="str">
        <f>IF(D6391&lt;&gt;"",IFERROR(INDEX(Produtos!$C$4:$C$4996,MATCH(D6391,Produtos!$B$4:$B$4996,0)),"Produto não encontrado"),"")</f>
        <v/>
      </c>
    </row>
    <row r="6392" spans="1:5" x14ac:dyDescent="0.3">
      <c r="A6392" s="21" t="str">
        <f t="shared" si="99"/>
        <v>.</v>
      </c>
      <c r="D6392" s="44"/>
      <c r="E6392" s="22" t="str">
        <f>IF(D6392&lt;&gt;"",IFERROR(INDEX(Produtos!$C$4:$C$4996,MATCH(D6392,Produtos!$B$4:$B$4996,0)),"Produto não encontrado"),"")</f>
        <v/>
      </c>
    </row>
    <row r="6393" spans="1:5" x14ac:dyDescent="0.3">
      <c r="A6393" s="21" t="str">
        <f t="shared" si="99"/>
        <v>.</v>
      </c>
      <c r="D6393" s="44"/>
      <c r="E6393" s="22" t="str">
        <f>IF(D6393&lt;&gt;"",IFERROR(INDEX(Produtos!$C$4:$C$4996,MATCH(D6393,Produtos!$B$4:$B$4996,0)),"Produto não encontrado"),"")</f>
        <v/>
      </c>
    </row>
    <row r="6394" spans="1:5" x14ac:dyDescent="0.3">
      <c r="A6394" s="21" t="str">
        <f t="shared" si="99"/>
        <v>.</v>
      </c>
      <c r="D6394" s="44"/>
      <c r="E6394" s="22" t="str">
        <f>IF(D6394&lt;&gt;"",IFERROR(INDEX(Produtos!$C$4:$C$4996,MATCH(D6394,Produtos!$B$4:$B$4996,0)),"Produto não encontrado"),"")</f>
        <v/>
      </c>
    </row>
    <row r="6395" spans="1:5" x14ac:dyDescent="0.3">
      <c r="A6395" s="21" t="str">
        <f t="shared" si="99"/>
        <v>.</v>
      </c>
      <c r="D6395" s="44"/>
      <c r="E6395" s="22" t="str">
        <f>IF(D6395&lt;&gt;"",IFERROR(INDEX(Produtos!$C$4:$C$4996,MATCH(D6395,Produtos!$B$4:$B$4996,0)),"Produto não encontrado"),"")</f>
        <v/>
      </c>
    </row>
    <row r="6396" spans="1:5" x14ac:dyDescent="0.3">
      <c r="A6396" s="21" t="str">
        <f t="shared" si="99"/>
        <v>.</v>
      </c>
      <c r="D6396" s="44"/>
      <c r="E6396" s="22" t="str">
        <f>IF(D6396&lt;&gt;"",IFERROR(INDEX(Produtos!$C$4:$C$4996,MATCH(D6396,Produtos!$B$4:$B$4996,0)),"Produto não encontrado"),"")</f>
        <v/>
      </c>
    </row>
    <row r="6397" spans="1:5" x14ac:dyDescent="0.3">
      <c r="A6397" s="21" t="str">
        <f t="shared" si="99"/>
        <v>.</v>
      </c>
      <c r="D6397" s="44"/>
      <c r="E6397" s="22" t="str">
        <f>IF(D6397&lt;&gt;"",IFERROR(INDEX(Produtos!$C$4:$C$4996,MATCH(D6397,Produtos!$B$4:$B$4996,0)),"Produto não encontrado"),"")</f>
        <v/>
      </c>
    </row>
    <row r="6398" spans="1:5" x14ac:dyDescent="0.3">
      <c r="A6398" s="21" t="str">
        <f t="shared" si="99"/>
        <v>.</v>
      </c>
      <c r="D6398" s="44"/>
      <c r="E6398" s="22" t="str">
        <f>IF(D6398&lt;&gt;"",IFERROR(INDEX(Produtos!$C$4:$C$4996,MATCH(D6398,Produtos!$B$4:$B$4996,0)),"Produto não encontrado"),"")</f>
        <v/>
      </c>
    </row>
    <row r="6399" spans="1:5" x14ac:dyDescent="0.3">
      <c r="A6399" s="21" t="str">
        <f t="shared" si="99"/>
        <v>.</v>
      </c>
      <c r="D6399" s="44"/>
      <c r="E6399" s="22" t="str">
        <f>IF(D6399&lt;&gt;"",IFERROR(INDEX(Produtos!$C$4:$C$4996,MATCH(D6399,Produtos!$B$4:$B$4996,0)),"Produto não encontrado"),"")</f>
        <v/>
      </c>
    </row>
    <row r="6400" spans="1:5" x14ac:dyDescent="0.3">
      <c r="A6400" s="21" t="str">
        <f t="shared" ref="A6400:A6463" si="100">IF(C6400="Entrada",2,IF(C6400="Saída",1,"."))</f>
        <v>.</v>
      </c>
      <c r="D6400" s="44"/>
      <c r="E6400" s="22" t="str">
        <f>IF(D6400&lt;&gt;"",IFERROR(INDEX(Produtos!$C$4:$C$4996,MATCH(D6400,Produtos!$B$4:$B$4996,0)),"Produto não encontrado"),"")</f>
        <v/>
      </c>
    </row>
    <row r="6401" spans="1:5" x14ac:dyDescent="0.3">
      <c r="A6401" s="21" t="str">
        <f t="shared" si="100"/>
        <v>.</v>
      </c>
      <c r="D6401" s="44"/>
      <c r="E6401" s="22" t="str">
        <f>IF(D6401&lt;&gt;"",IFERROR(INDEX(Produtos!$C$4:$C$4996,MATCH(D6401,Produtos!$B$4:$B$4996,0)),"Produto não encontrado"),"")</f>
        <v/>
      </c>
    </row>
    <row r="6402" spans="1:5" x14ac:dyDescent="0.3">
      <c r="A6402" s="21" t="str">
        <f t="shared" si="100"/>
        <v>.</v>
      </c>
      <c r="D6402" s="44"/>
      <c r="E6402" s="22" t="str">
        <f>IF(D6402&lt;&gt;"",IFERROR(INDEX(Produtos!$C$4:$C$4996,MATCH(D6402,Produtos!$B$4:$B$4996,0)),"Produto não encontrado"),"")</f>
        <v/>
      </c>
    </row>
    <row r="6403" spans="1:5" x14ac:dyDescent="0.3">
      <c r="A6403" s="21" t="str">
        <f t="shared" si="100"/>
        <v>.</v>
      </c>
      <c r="D6403" s="44"/>
      <c r="E6403" s="22" t="str">
        <f>IF(D6403&lt;&gt;"",IFERROR(INDEX(Produtos!$C$4:$C$4996,MATCH(D6403,Produtos!$B$4:$B$4996,0)),"Produto não encontrado"),"")</f>
        <v/>
      </c>
    </row>
    <row r="6404" spans="1:5" x14ac:dyDescent="0.3">
      <c r="A6404" s="21" t="str">
        <f t="shared" si="100"/>
        <v>.</v>
      </c>
      <c r="D6404" s="44"/>
      <c r="E6404" s="22" t="str">
        <f>IF(D6404&lt;&gt;"",IFERROR(INDEX(Produtos!$C$4:$C$4996,MATCH(D6404,Produtos!$B$4:$B$4996,0)),"Produto não encontrado"),"")</f>
        <v/>
      </c>
    </row>
    <row r="6405" spans="1:5" x14ac:dyDescent="0.3">
      <c r="A6405" s="21" t="str">
        <f t="shared" si="100"/>
        <v>.</v>
      </c>
      <c r="D6405" s="44"/>
      <c r="E6405" s="22" t="str">
        <f>IF(D6405&lt;&gt;"",IFERROR(INDEX(Produtos!$C$4:$C$4996,MATCH(D6405,Produtos!$B$4:$B$4996,0)),"Produto não encontrado"),"")</f>
        <v/>
      </c>
    </row>
    <row r="6406" spans="1:5" x14ac:dyDescent="0.3">
      <c r="A6406" s="21" t="str">
        <f t="shared" si="100"/>
        <v>.</v>
      </c>
      <c r="D6406" s="44"/>
      <c r="E6406" s="22" t="str">
        <f>IF(D6406&lt;&gt;"",IFERROR(INDEX(Produtos!$C$4:$C$4996,MATCH(D6406,Produtos!$B$4:$B$4996,0)),"Produto não encontrado"),"")</f>
        <v/>
      </c>
    </row>
    <row r="6407" spans="1:5" x14ac:dyDescent="0.3">
      <c r="A6407" s="21" t="str">
        <f t="shared" si="100"/>
        <v>.</v>
      </c>
      <c r="D6407" s="44"/>
      <c r="E6407" s="22" t="str">
        <f>IF(D6407&lt;&gt;"",IFERROR(INDEX(Produtos!$C$4:$C$4996,MATCH(D6407,Produtos!$B$4:$B$4996,0)),"Produto não encontrado"),"")</f>
        <v/>
      </c>
    </row>
    <row r="6408" spans="1:5" x14ac:dyDescent="0.3">
      <c r="A6408" s="21" t="str">
        <f t="shared" si="100"/>
        <v>.</v>
      </c>
      <c r="D6408" s="44"/>
      <c r="E6408" s="22" t="str">
        <f>IF(D6408&lt;&gt;"",IFERROR(INDEX(Produtos!$C$4:$C$4996,MATCH(D6408,Produtos!$B$4:$B$4996,0)),"Produto não encontrado"),"")</f>
        <v/>
      </c>
    </row>
    <row r="6409" spans="1:5" x14ac:dyDescent="0.3">
      <c r="A6409" s="21" t="str">
        <f t="shared" si="100"/>
        <v>.</v>
      </c>
      <c r="D6409" s="44"/>
      <c r="E6409" s="22" t="str">
        <f>IF(D6409&lt;&gt;"",IFERROR(INDEX(Produtos!$C$4:$C$4996,MATCH(D6409,Produtos!$B$4:$B$4996,0)),"Produto não encontrado"),"")</f>
        <v/>
      </c>
    </row>
    <row r="6410" spans="1:5" x14ac:dyDescent="0.3">
      <c r="A6410" s="21" t="str">
        <f t="shared" si="100"/>
        <v>.</v>
      </c>
      <c r="D6410" s="44"/>
      <c r="E6410" s="22" t="str">
        <f>IF(D6410&lt;&gt;"",IFERROR(INDEX(Produtos!$C$4:$C$4996,MATCH(D6410,Produtos!$B$4:$B$4996,0)),"Produto não encontrado"),"")</f>
        <v/>
      </c>
    </row>
    <row r="6411" spans="1:5" x14ac:dyDescent="0.3">
      <c r="A6411" s="21" t="str">
        <f t="shared" si="100"/>
        <v>.</v>
      </c>
      <c r="D6411" s="44"/>
      <c r="E6411" s="22" t="str">
        <f>IF(D6411&lt;&gt;"",IFERROR(INDEX(Produtos!$C$4:$C$4996,MATCH(D6411,Produtos!$B$4:$B$4996,0)),"Produto não encontrado"),"")</f>
        <v/>
      </c>
    </row>
    <row r="6412" spans="1:5" x14ac:dyDescent="0.3">
      <c r="A6412" s="21" t="str">
        <f t="shared" si="100"/>
        <v>.</v>
      </c>
      <c r="D6412" s="44"/>
      <c r="E6412" s="22" t="str">
        <f>IF(D6412&lt;&gt;"",IFERROR(INDEX(Produtos!$C$4:$C$4996,MATCH(D6412,Produtos!$B$4:$B$4996,0)),"Produto não encontrado"),"")</f>
        <v/>
      </c>
    </row>
    <row r="6413" spans="1:5" x14ac:dyDescent="0.3">
      <c r="A6413" s="21" t="str">
        <f t="shared" si="100"/>
        <v>.</v>
      </c>
      <c r="D6413" s="44"/>
      <c r="E6413" s="22" t="str">
        <f>IF(D6413&lt;&gt;"",IFERROR(INDEX(Produtos!$C$4:$C$4996,MATCH(D6413,Produtos!$B$4:$B$4996,0)),"Produto não encontrado"),"")</f>
        <v/>
      </c>
    </row>
    <row r="6414" spans="1:5" x14ac:dyDescent="0.3">
      <c r="A6414" s="21" t="str">
        <f t="shared" si="100"/>
        <v>.</v>
      </c>
      <c r="D6414" s="44"/>
      <c r="E6414" s="22" t="str">
        <f>IF(D6414&lt;&gt;"",IFERROR(INDEX(Produtos!$C$4:$C$4996,MATCH(D6414,Produtos!$B$4:$B$4996,0)),"Produto não encontrado"),"")</f>
        <v/>
      </c>
    </row>
    <row r="6415" spans="1:5" x14ac:dyDescent="0.3">
      <c r="A6415" s="21" t="str">
        <f t="shared" si="100"/>
        <v>.</v>
      </c>
      <c r="D6415" s="44"/>
      <c r="E6415" s="22" t="str">
        <f>IF(D6415&lt;&gt;"",IFERROR(INDEX(Produtos!$C$4:$C$4996,MATCH(D6415,Produtos!$B$4:$B$4996,0)),"Produto não encontrado"),"")</f>
        <v/>
      </c>
    </row>
    <row r="6416" spans="1:5" x14ac:dyDescent="0.3">
      <c r="A6416" s="21" t="str">
        <f t="shared" si="100"/>
        <v>.</v>
      </c>
      <c r="D6416" s="44"/>
      <c r="E6416" s="22" t="str">
        <f>IF(D6416&lt;&gt;"",IFERROR(INDEX(Produtos!$C$4:$C$4996,MATCH(D6416,Produtos!$B$4:$B$4996,0)),"Produto não encontrado"),"")</f>
        <v/>
      </c>
    </row>
    <row r="6417" spans="1:5" x14ac:dyDescent="0.3">
      <c r="A6417" s="21" t="str">
        <f t="shared" si="100"/>
        <v>.</v>
      </c>
      <c r="D6417" s="44"/>
      <c r="E6417" s="22" t="str">
        <f>IF(D6417&lt;&gt;"",IFERROR(INDEX(Produtos!$C$4:$C$4996,MATCH(D6417,Produtos!$B$4:$B$4996,0)),"Produto não encontrado"),"")</f>
        <v/>
      </c>
    </row>
    <row r="6418" spans="1:5" x14ac:dyDescent="0.3">
      <c r="A6418" s="21" t="str">
        <f t="shared" si="100"/>
        <v>.</v>
      </c>
      <c r="D6418" s="44"/>
      <c r="E6418" s="22" t="str">
        <f>IF(D6418&lt;&gt;"",IFERROR(INDEX(Produtos!$C$4:$C$4996,MATCH(D6418,Produtos!$B$4:$B$4996,0)),"Produto não encontrado"),"")</f>
        <v/>
      </c>
    </row>
    <row r="6419" spans="1:5" x14ac:dyDescent="0.3">
      <c r="A6419" s="21" t="str">
        <f t="shared" si="100"/>
        <v>.</v>
      </c>
      <c r="D6419" s="44"/>
      <c r="E6419" s="22" t="str">
        <f>IF(D6419&lt;&gt;"",IFERROR(INDEX(Produtos!$C$4:$C$4996,MATCH(D6419,Produtos!$B$4:$B$4996,0)),"Produto não encontrado"),"")</f>
        <v/>
      </c>
    </row>
    <row r="6420" spans="1:5" x14ac:dyDescent="0.3">
      <c r="A6420" s="21" t="str">
        <f t="shared" si="100"/>
        <v>.</v>
      </c>
      <c r="D6420" s="44"/>
      <c r="E6420" s="22" t="str">
        <f>IF(D6420&lt;&gt;"",IFERROR(INDEX(Produtos!$C$4:$C$4996,MATCH(D6420,Produtos!$B$4:$B$4996,0)),"Produto não encontrado"),"")</f>
        <v/>
      </c>
    </row>
    <row r="6421" spans="1:5" x14ac:dyDescent="0.3">
      <c r="A6421" s="21" t="str">
        <f t="shared" si="100"/>
        <v>.</v>
      </c>
      <c r="D6421" s="44"/>
      <c r="E6421" s="22" t="str">
        <f>IF(D6421&lt;&gt;"",IFERROR(INDEX(Produtos!$C$4:$C$4996,MATCH(D6421,Produtos!$B$4:$B$4996,0)),"Produto não encontrado"),"")</f>
        <v/>
      </c>
    </row>
    <row r="6422" spans="1:5" x14ac:dyDescent="0.3">
      <c r="A6422" s="21" t="str">
        <f t="shared" si="100"/>
        <v>.</v>
      </c>
      <c r="D6422" s="44"/>
      <c r="E6422" s="22" t="str">
        <f>IF(D6422&lt;&gt;"",IFERROR(INDEX(Produtos!$C$4:$C$4996,MATCH(D6422,Produtos!$B$4:$B$4996,0)),"Produto não encontrado"),"")</f>
        <v/>
      </c>
    </row>
    <row r="6423" spans="1:5" x14ac:dyDescent="0.3">
      <c r="A6423" s="21" t="str">
        <f t="shared" si="100"/>
        <v>.</v>
      </c>
      <c r="D6423" s="44"/>
      <c r="E6423" s="22" t="str">
        <f>IF(D6423&lt;&gt;"",IFERROR(INDEX(Produtos!$C$4:$C$4996,MATCH(D6423,Produtos!$B$4:$B$4996,0)),"Produto não encontrado"),"")</f>
        <v/>
      </c>
    </row>
    <row r="6424" spans="1:5" x14ac:dyDescent="0.3">
      <c r="A6424" s="21" t="str">
        <f t="shared" si="100"/>
        <v>.</v>
      </c>
      <c r="D6424" s="44"/>
      <c r="E6424" s="22" t="str">
        <f>IF(D6424&lt;&gt;"",IFERROR(INDEX(Produtos!$C$4:$C$4996,MATCH(D6424,Produtos!$B$4:$B$4996,0)),"Produto não encontrado"),"")</f>
        <v/>
      </c>
    </row>
    <row r="6425" spans="1:5" x14ac:dyDescent="0.3">
      <c r="A6425" s="21" t="str">
        <f t="shared" si="100"/>
        <v>.</v>
      </c>
      <c r="D6425" s="44"/>
      <c r="E6425" s="22" t="str">
        <f>IF(D6425&lt;&gt;"",IFERROR(INDEX(Produtos!$C$4:$C$4996,MATCH(D6425,Produtos!$B$4:$B$4996,0)),"Produto não encontrado"),"")</f>
        <v/>
      </c>
    </row>
    <row r="6426" spans="1:5" x14ac:dyDescent="0.3">
      <c r="A6426" s="21" t="str">
        <f t="shared" si="100"/>
        <v>.</v>
      </c>
      <c r="D6426" s="44"/>
      <c r="E6426" s="22" t="str">
        <f>IF(D6426&lt;&gt;"",IFERROR(INDEX(Produtos!$C$4:$C$4996,MATCH(D6426,Produtos!$B$4:$B$4996,0)),"Produto não encontrado"),"")</f>
        <v/>
      </c>
    </row>
    <row r="6427" spans="1:5" x14ac:dyDescent="0.3">
      <c r="A6427" s="21" t="str">
        <f t="shared" si="100"/>
        <v>.</v>
      </c>
      <c r="D6427" s="44"/>
      <c r="E6427" s="22" t="str">
        <f>IF(D6427&lt;&gt;"",IFERROR(INDEX(Produtos!$C$4:$C$4996,MATCH(D6427,Produtos!$B$4:$B$4996,0)),"Produto não encontrado"),"")</f>
        <v/>
      </c>
    </row>
    <row r="6428" spans="1:5" x14ac:dyDescent="0.3">
      <c r="A6428" s="21" t="str">
        <f t="shared" si="100"/>
        <v>.</v>
      </c>
      <c r="D6428" s="44"/>
      <c r="E6428" s="22" t="str">
        <f>IF(D6428&lt;&gt;"",IFERROR(INDEX(Produtos!$C$4:$C$4996,MATCH(D6428,Produtos!$B$4:$B$4996,0)),"Produto não encontrado"),"")</f>
        <v/>
      </c>
    </row>
    <row r="6429" spans="1:5" x14ac:dyDescent="0.3">
      <c r="A6429" s="21" t="str">
        <f t="shared" si="100"/>
        <v>.</v>
      </c>
      <c r="D6429" s="44"/>
      <c r="E6429" s="22" t="str">
        <f>IF(D6429&lt;&gt;"",IFERROR(INDEX(Produtos!$C$4:$C$4996,MATCH(D6429,Produtos!$B$4:$B$4996,0)),"Produto não encontrado"),"")</f>
        <v/>
      </c>
    </row>
    <row r="6430" spans="1:5" x14ac:dyDescent="0.3">
      <c r="A6430" s="21" t="str">
        <f t="shared" si="100"/>
        <v>.</v>
      </c>
      <c r="D6430" s="44"/>
      <c r="E6430" s="22" t="str">
        <f>IF(D6430&lt;&gt;"",IFERROR(INDEX(Produtos!$C$4:$C$4996,MATCH(D6430,Produtos!$B$4:$B$4996,0)),"Produto não encontrado"),"")</f>
        <v/>
      </c>
    </row>
    <row r="6431" spans="1:5" x14ac:dyDescent="0.3">
      <c r="A6431" s="21" t="str">
        <f t="shared" si="100"/>
        <v>.</v>
      </c>
      <c r="D6431" s="44"/>
      <c r="E6431" s="22" t="str">
        <f>IF(D6431&lt;&gt;"",IFERROR(INDEX(Produtos!$C$4:$C$4996,MATCH(D6431,Produtos!$B$4:$B$4996,0)),"Produto não encontrado"),"")</f>
        <v/>
      </c>
    </row>
    <row r="6432" spans="1:5" x14ac:dyDescent="0.3">
      <c r="A6432" s="21" t="str">
        <f t="shared" si="100"/>
        <v>.</v>
      </c>
      <c r="D6432" s="44"/>
      <c r="E6432" s="22" t="str">
        <f>IF(D6432&lt;&gt;"",IFERROR(INDEX(Produtos!$C$4:$C$4996,MATCH(D6432,Produtos!$B$4:$B$4996,0)),"Produto não encontrado"),"")</f>
        <v/>
      </c>
    </row>
    <row r="6433" spans="1:5" x14ac:dyDescent="0.3">
      <c r="A6433" s="21" t="str">
        <f t="shared" si="100"/>
        <v>.</v>
      </c>
      <c r="D6433" s="44"/>
      <c r="E6433" s="22" t="str">
        <f>IF(D6433&lt;&gt;"",IFERROR(INDEX(Produtos!$C$4:$C$4996,MATCH(D6433,Produtos!$B$4:$B$4996,0)),"Produto não encontrado"),"")</f>
        <v/>
      </c>
    </row>
    <row r="6434" spans="1:5" x14ac:dyDescent="0.3">
      <c r="A6434" s="21" t="str">
        <f t="shared" si="100"/>
        <v>.</v>
      </c>
      <c r="D6434" s="44"/>
      <c r="E6434" s="22" t="str">
        <f>IF(D6434&lt;&gt;"",IFERROR(INDEX(Produtos!$C$4:$C$4996,MATCH(D6434,Produtos!$B$4:$B$4996,0)),"Produto não encontrado"),"")</f>
        <v/>
      </c>
    </row>
    <row r="6435" spans="1:5" x14ac:dyDescent="0.3">
      <c r="A6435" s="21" t="str">
        <f t="shared" si="100"/>
        <v>.</v>
      </c>
      <c r="D6435" s="44"/>
      <c r="E6435" s="22" t="str">
        <f>IF(D6435&lt;&gt;"",IFERROR(INDEX(Produtos!$C$4:$C$4996,MATCH(D6435,Produtos!$B$4:$B$4996,0)),"Produto não encontrado"),"")</f>
        <v/>
      </c>
    </row>
    <row r="6436" spans="1:5" x14ac:dyDescent="0.3">
      <c r="A6436" s="21" t="str">
        <f t="shared" si="100"/>
        <v>.</v>
      </c>
      <c r="D6436" s="44"/>
      <c r="E6436" s="22" t="str">
        <f>IF(D6436&lt;&gt;"",IFERROR(INDEX(Produtos!$C$4:$C$4996,MATCH(D6436,Produtos!$B$4:$B$4996,0)),"Produto não encontrado"),"")</f>
        <v/>
      </c>
    </row>
    <row r="6437" spans="1:5" x14ac:dyDescent="0.3">
      <c r="A6437" s="21" t="str">
        <f t="shared" si="100"/>
        <v>.</v>
      </c>
      <c r="D6437" s="44"/>
      <c r="E6437" s="22" t="str">
        <f>IF(D6437&lt;&gt;"",IFERROR(INDEX(Produtos!$C$4:$C$4996,MATCH(D6437,Produtos!$B$4:$B$4996,0)),"Produto não encontrado"),"")</f>
        <v/>
      </c>
    </row>
    <row r="6438" spans="1:5" x14ac:dyDescent="0.3">
      <c r="A6438" s="21" t="str">
        <f t="shared" si="100"/>
        <v>.</v>
      </c>
      <c r="D6438" s="44"/>
      <c r="E6438" s="22" t="str">
        <f>IF(D6438&lt;&gt;"",IFERROR(INDEX(Produtos!$C$4:$C$4996,MATCH(D6438,Produtos!$B$4:$B$4996,0)),"Produto não encontrado"),"")</f>
        <v/>
      </c>
    </row>
    <row r="6439" spans="1:5" x14ac:dyDescent="0.3">
      <c r="A6439" s="21" t="str">
        <f t="shared" si="100"/>
        <v>.</v>
      </c>
      <c r="D6439" s="44"/>
      <c r="E6439" s="22" t="str">
        <f>IF(D6439&lt;&gt;"",IFERROR(INDEX(Produtos!$C$4:$C$4996,MATCH(D6439,Produtos!$B$4:$B$4996,0)),"Produto não encontrado"),"")</f>
        <v/>
      </c>
    </row>
    <row r="6440" spans="1:5" x14ac:dyDescent="0.3">
      <c r="A6440" s="21" t="str">
        <f t="shared" si="100"/>
        <v>.</v>
      </c>
      <c r="D6440" s="44"/>
      <c r="E6440" s="22" t="str">
        <f>IF(D6440&lt;&gt;"",IFERROR(INDEX(Produtos!$C$4:$C$4996,MATCH(D6440,Produtos!$B$4:$B$4996,0)),"Produto não encontrado"),"")</f>
        <v/>
      </c>
    </row>
    <row r="6441" spans="1:5" x14ac:dyDescent="0.3">
      <c r="A6441" s="21" t="str">
        <f t="shared" si="100"/>
        <v>.</v>
      </c>
      <c r="D6441" s="44"/>
      <c r="E6441" s="22" t="str">
        <f>IF(D6441&lt;&gt;"",IFERROR(INDEX(Produtos!$C$4:$C$4996,MATCH(D6441,Produtos!$B$4:$B$4996,0)),"Produto não encontrado"),"")</f>
        <v/>
      </c>
    </row>
    <row r="6442" spans="1:5" x14ac:dyDescent="0.3">
      <c r="A6442" s="21" t="str">
        <f t="shared" si="100"/>
        <v>.</v>
      </c>
      <c r="D6442" s="44"/>
      <c r="E6442" s="22" t="str">
        <f>IF(D6442&lt;&gt;"",IFERROR(INDEX(Produtos!$C$4:$C$4996,MATCH(D6442,Produtos!$B$4:$B$4996,0)),"Produto não encontrado"),"")</f>
        <v/>
      </c>
    </row>
    <row r="6443" spans="1:5" x14ac:dyDescent="0.3">
      <c r="A6443" s="21" t="str">
        <f t="shared" si="100"/>
        <v>.</v>
      </c>
      <c r="D6443" s="44"/>
      <c r="E6443" s="22" t="str">
        <f>IF(D6443&lt;&gt;"",IFERROR(INDEX(Produtos!$C$4:$C$4996,MATCH(D6443,Produtos!$B$4:$B$4996,0)),"Produto não encontrado"),"")</f>
        <v/>
      </c>
    </row>
    <row r="6444" spans="1:5" x14ac:dyDescent="0.3">
      <c r="A6444" s="21" t="str">
        <f t="shared" si="100"/>
        <v>.</v>
      </c>
      <c r="D6444" s="44"/>
      <c r="E6444" s="22" t="str">
        <f>IF(D6444&lt;&gt;"",IFERROR(INDEX(Produtos!$C$4:$C$4996,MATCH(D6444,Produtos!$B$4:$B$4996,0)),"Produto não encontrado"),"")</f>
        <v/>
      </c>
    </row>
    <row r="6445" spans="1:5" x14ac:dyDescent="0.3">
      <c r="A6445" s="21" t="str">
        <f t="shared" si="100"/>
        <v>.</v>
      </c>
      <c r="D6445" s="44"/>
      <c r="E6445" s="22" t="str">
        <f>IF(D6445&lt;&gt;"",IFERROR(INDEX(Produtos!$C$4:$C$4996,MATCH(D6445,Produtos!$B$4:$B$4996,0)),"Produto não encontrado"),"")</f>
        <v/>
      </c>
    </row>
    <row r="6446" spans="1:5" x14ac:dyDescent="0.3">
      <c r="A6446" s="21" t="str">
        <f t="shared" si="100"/>
        <v>.</v>
      </c>
      <c r="D6446" s="44"/>
      <c r="E6446" s="22" t="str">
        <f>IF(D6446&lt;&gt;"",IFERROR(INDEX(Produtos!$C$4:$C$4996,MATCH(D6446,Produtos!$B$4:$B$4996,0)),"Produto não encontrado"),"")</f>
        <v/>
      </c>
    </row>
    <row r="6447" spans="1:5" x14ac:dyDescent="0.3">
      <c r="A6447" s="21" t="str">
        <f t="shared" si="100"/>
        <v>.</v>
      </c>
      <c r="D6447" s="44"/>
      <c r="E6447" s="22" t="str">
        <f>IF(D6447&lt;&gt;"",IFERROR(INDEX(Produtos!$C$4:$C$4996,MATCH(D6447,Produtos!$B$4:$B$4996,0)),"Produto não encontrado"),"")</f>
        <v/>
      </c>
    </row>
    <row r="6448" spans="1:5" x14ac:dyDescent="0.3">
      <c r="A6448" s="21" t="str">
        <f t="shared" si="100"/>
        <v>.</v>
      </c>
      <c r="D6448" s="44"/>
      <c r="E6448" s="22" t="str">
        <f>IF(D6448&lt;&gt;"",IFERROR(INDEX(Produtos!$C$4:$C$4996,MATCH(D6448,Produtos!$B$4:$B$4996,0)),"Produto não encontrado"),"")</f>
        <v/>
      </c>
    </row>
    <row r="6449" spans="1:5" x14ac:dyDescent="0.3">
      <c r="A6449" s="21" t="str">
        <f t="shared" si="100"/>
        <v>.</v>
      </c>
      <c r="D6449" s="44"/>
      <c r="E6449" s="22" t="str">
        <f>IF(D6449&lt;&gt;"",IFERROR(INDEX(Produtos!$C$4:$C$4996,MATCH(D6449,Produtos!$B$4:$B$4996,0)),"Produto não encontrado"),"")</f>
        <v/>
      </c>
    </row>
    <row r="6450" spans="1:5" x14ac:dyDescent="0.3">
      <c r="A6450" s="21" t="str">
        <f t="shared" si="100"/>
        <v>.</v>
      </c>
      <c r="D6450" s="44"/>
      <c r="E6450" s="22" t="str">
        <f>IF(D6450&lt;&gt;"",IFERROR(INDEX(Produtos!$C$4:$C$4996,MATCH(D6450,Produtos!$B$4:$B$4996,0)),"Produto não encontrado"),"")</f>
        <v/>
      </c>
    </row>
    <row r="6451" spans="1:5" x14ac:dyDescent="0.3">
      <c r="A6451" s="21" t="str">
        <f t="shared" si="100"/>
        <v>.</v>
      </c>
      <c r="D6451" s="44"/>
      <c r="E6451" s="22" t="str">
        <f>IF(D6451&lt;&gt;"",IFERROR(INDEX(Produtos!$C$4:$C$4996,MATCH(D6451,Produtos!$B$4:$B$4996,0)),"Produto não encontrado"),"")</f>
        <v/>
      </c>
    </row>
    <row r="6452" spans="1:5" x14ac:dyDescent="0.3">
      <c r="A6452" s="21" t="str">
        <f t="shared" si="100"/>
        <v>.</v>
      </c>
      <c r="D6452" s="44"/>
      <c r="E6452" s="22" t="str">
        <f>IF(D6452&lt;&gt;"",IFERROR(INDEX(Produtos!$C$4:$C$4996,MATCH(D6452,Produtos!$B$4:$B$4996,0)),"Produto não encontrado"),"")</f>
        <v/>
      </c>
    </row>
    <row r="6453" spans="1:5" x14ac:dyDescent="0.3">
      <c r="A6453" s="21" t="str">
        <f t="shared" si="100"/>
        <v>.</v>
      </c>
      <c r="D6453" s="44"/>
      <c r="E6453" s="22" t="str">
        <f>IF(D6453&lt;&gt;"",IFERROR(INDEX(Produtos!$C$4:$C$4996,MATCH(D6453,Produtos!$B$4:$B$4996,0)),"Produto não encontrado"),"")</f>
        <v/>
      </c>
    </row>
    <row r="6454" spans="1:5" x14ac:dyDescent="0.3">
      <c r="A6454" s="21" t="str">
        <f t="shared" si="100"/>
        <v>.</v>
      </c>
      <c r="D6454" s="44"/>
      <c r="E6454" s="22" t="str">
        <f>IF(D6454&lt;&gt;"",IFERROR(INDEX(Produtos!$C$4:$C$4996,MATCH(D6454,Produtos!$B$4:$B$4996,0)),"Produto não encontrado"),"")</f>
        <v/>
      </c>
    </row>
    <row r="6455" spans="1:5" x14ac:dyDescent="0.3">
      <c r="A6455" s="21" t="str">
        <f t="shared" si="100"/>
        <v>.</v>
      </c>
      <c r="D6455" s="44"/>
      <c r="E6455" s="22" t="str">
        <f>IF(D6455&lt;&gt;"",IFERROR(INDEX(Produtos!$C$4:$C$4996,MATCH(D6455,Produtos!$B$4:$B$4996,0)),"Produto não encontrado"),"")</f>
        <v/>
      </c>
    </row>
    <row r="6456" spans="1:5" x14ac:dyDescent="0.3">
      <c r="A6456" s="21" t="str">
        <f t="shared" si="100"/>
        <v>.</v>
      </c>
      <c r="D6456" s="44"/>
      <c r="E6456" s="22" t="str">
        <f>IF(D6456&lt;&gt;"",IFERROR(INDEX(Produtos!$C$4:$C$4996,MATCH(D6456,Produtos!$B$4:$B$4996,0)),"Produto não encontrado"),"")</f>
        <v/>
      </c>
    </row>
    <row r="6457" spans="1:5" x14ac:dyDescent="0.3">
      <c r="A6457" s="21" t="str">
        <f t="shared" si="100"/>
        <v>.</v>
      </c>
      <c r="D6457" s="44"/>
      <c r="E6457" s="22" t="str">
        <f>IF(D6457&lt;&gt;"",IFERROR(INDEX(Produtos!$C$4:$C$4996,MATCH(D6457,Produtos!$B$4:$B$4996,0)),"Produto não encontrado"),"")</f>
        <v/>
      </c>
    </row>
    <row r="6458" spans="1:5" x14ac:dyDescent="0.3">
      <c r="A6458" s="21" t="str">
        <f t="shared" si="100"/>
        <v>.</v>
      </c>
      <c r="D6458" s="44"/>
      <c r="E6458" s="22" t="str">
        <f>IF(D6458&lt;&gt;"",IFERROR(INDEX(Produtos!$C$4:$C$4996,MATCH(D6458,Produtos!$B$4:$B$4996,0)),"Produto não encontrado"),"")</f>
        <v/>
      </c>
    </row>
    <row r="6459" spans="1:5" x14ac:dyDescent="0.3">
      <c r="A6459" s="21" t="str">
        <f t="shared" si="100"/>
        <v>.</v>
      </c>
      <c r="D6459" s="44"/>
      <c r="E6459" s="22" t="str">
        <f>IF(D6459&lt;&gt;"",IFERROR(INDEX(Produtos!$C$4:$C$4996,MATCH(D6459,Produtos!$B$4:$B$4996,0)),"Produto não encontrado"),"")</f>
        <v/>
      </c>
    </row>
    <row r="6460" spans="1:5" x14ac:dyDescent="0.3">
      <c r="A6460" s="21" t="str">
        <f t="shared" si="100"/>
        <v>.</v>
      </c>
      <c r="D6460" s="44"/>
      <c r="E6460" s="22" t="str">
        <f>IF(D6460&lt;&gt;"",IFERROR(INDEX(Produtos!$C$4:$C$4996,MATCH(D6460,Produtos!$B$4:$B$4996,0)),"Produto não encontrado"),"")</f>
        <v/>
      </c>
    </row>
    <row r="6461" spans="1:5" x14ac:dyDescent="0.3">
      <c r="A6461" s="21" t="str">
        <f t="shared" si="100"/>
        <v>.</v>
      </c>
      <c r="D6461" s="44"/>
      <c r="E6461" s="22" t="str">
        <f>IF(D6461&lt;&gt;"",IFERROR(INDEX(Produtos!$C$4:$C$4996,MATCH(D6461,Produtos!$B$4:$B$4996,0)),"Produto não encontrado"),"")</f>
        <v/>
      </c>
    </row>
    <row r="6462" spans="1:5" x14ac:dyDescent="0.3">
      <c r="A6462" s="21" t="str">
        <f t="shared" si="100"/>
        <v>.</v>
      </c>
      <c r="D6462" s="44"/>
      <c r="E6462" s="22" t="str">
        <f>IF(D6462&lt;&gt;"",IFERROR(INDEX(Produtos!$C$4:$C$4996,MATCH(D6462,Produtos!$B$4:$B$4996,0)),"Produto não encontrado"),"")</f>
        <v/>
      </c>
    </row>
    <row r="6463" spans="1:5" x14ac:dyDescent="0.3">
      <c r="A6463" s="21" t="str">
        <f t="shared" si="100"/>
        <v>.</v>
      </c>
      <c r="D6463" s="44"/>
      <c r="E6463" s="22" t="str">
        <f>IF(D6463&lt;&gt;"",IFERROR(INDEX(Produtos!$C$4:$C$4996,MATCH(D6463,Produtos!$B$4:$B$4996,0)),"Produto não encontrado"),"")</f>
        <v/>
      </c>
    </row>
    <row r="6464" spans="1:5" x14ac:dyDescent="0.3">
      <c r="A6464" s="21" t="str">
        <f t="shared" ref="A6464:A6527" si="101">IF(C6464="Entrada",2,IF(C6464="Saída",1,"."))</f>
        <v>.</v>
      </c>
      <c r="D6464" s="44"/>
      <c r="E6464" s="22" t="str">
        <f>IF(D6464&lt;&gt;"",IFERROR(INDEX(Produtos!$C$4:$C$4996,MATCH(D6464,Produtos!$B$4:$B$4996,0)),"Produto não encontrado"),"")</f>
        <v/>
      </c>
    </row>
    <row r="6465" spans="1:5" x14ac:dyDescent="0.3">
      <c r="A6465" s="21" t="str">
        <f t="shared" si="101"/>
        <v>.</v>
      </c>
      <c r="D6465" s="44"/>
      <c r="E6465" s="22" t="str">
        <f>IF(D6465&lt;&gt;"",IFERROR(INDEX(Produtos!$C$4:$C$4996,MATCH(D6465,Produtos!$B$4:$B$4996,0)),"Produto não encontrado"),"")</f>
        <v/>
      </c>
    </row>
    <row r="6466" spans="1:5" x14ac:dyDescent="0.3">
      <c r="A6466" s="21" t="str">
        <f t="shared" si="101"/>
        <v>.</v>
      </c>
      <c r="D6466" s="44"/>
      <c r="E6466" s="22" t="str">
        <f>IF(D6466&lt;&gt;"",IFERROR(INDEX(Produtos!$C$4:$C$4996,MATCH(D6466,Produtos!$B$4:$B$4996,0)),"Produto não encontrado"),"")</f>
        <v/>
      </c>
    </row>
    <row r="6467" spans="1:5" x14ac:dyDescent="0.3">
      <c r="A6467" s="21" t="str">
        <f t="shared" si="101"/>
        <v>.</v>
      </c>
      <c r="D6467" s="44"/>
      <c r="E6467" s="22" t="str">
        <f>IF(D6467&lt;&gt;"",IFERROR(INDEX(Produtos!$C$4:$C$4996,MATCH(D6467,Produtos!$B$4:$B$4996,0)),"Produto não encontrado"),"")</f>
        <v/>
      </c>
    </row>
    <row r="6468" spans="1:5" x14ac:dyDescent="0.3">
      <c r="A6468" s="21" t="str">
        <f t="shared" si="101"/>
        <v>.</v>
      </c>
      <c r="D6468" s="44"/>
      <c r="E6468" s="22" t="str">
        <f>IF(D6468&lt;&gt;"",IFERROR(INDEX(Produtos!$C$4:$C$4996,MATCH(D6468,Produtos!$B$4:$B$4996,0)),"Produto não encontrado"),"")</f>
        <v/>
      </c>
    </row>
    <row r="6469" spans="1:5" x14ac:dyDescent="0.3">
      <c r="A6469" s="21" t="str">
        <f t="shared" si="101"/>
        <v>.</v>
      </c>
      <c r="D6469" s="44"/>
      <c r="E6469" s="22" t="str">
        <f>IF(D6469&lt;&gt;"",IFERROR(INDEX(Produtos!$C$4:$C$4996,MATCH(D6469,Produtos!$B$4:$B$4996,0)),"Produto não encontrado"),"")</f>
        <v/>
      </c>
    </row>
    <row r="6470" spans="1:5" x14ac:dyDescent="0.3">
      <c r="A6470" s="21" t="str">
        <f t="shared" si="101"/>
        <v>.</v>
      </c>
      <c r="D6470" s="44"/>
      <c r="E6470" s="22" t="str">
        <f>IF(D6470&lt;&gt;"",IFERROR(INDEX(Produtos!$C$4:$C$4996,MATCH(D6470,Produtos!$B$4:$B$4996,0)),"Produto não encontrado"),"")</f>
        <v/>
      </c>
    </row>
    <row r="6471" spans="1:5" x14ac:dyDescent="0.3">
      <c r="A6471" s="21" t="str">
        <f t="shared" si="101"/>
        <v>.</v>
      </c>
      <c r="D6471" s="44"/>
      <c r="E6471" s="22" t="str">
        <f>IF(D6471&lt;&gt;"",IFERROR(INDEX(Produtos!$C$4:$C$4996,MATCH(D6471,Produtos!$B$4:$B$4996,0)),"Produto não encontrado"),"")</f>
        <v/>
      </c>
    </row>
    <row r="6472" spans="1:5" x14ac:dyDescent="0.3">
      <c r="A6472" s="21" t="str">
        <f t="shared" si="101"/>
        <v>.</v>
      </c>
      <c r="D6472" s="44"/>
      <c r="E6472" s="22" t="str">
        <f>IF(D6472&lt;&gt;"",IFERROR(INDEX(Produtos!$C$4:$C$4996,MATCH(D6472,Produtos!$B$4:$B$4996,0)),"Produto não encontrado"),"")</f>
        <v/>
      </c>
    </row>
    <row r="6473" spans="1:5" x14ac:dyDescent="0.3">
      <c r="A6473" s="21" t="str">
        <f t="shared" si="101"/>
        <v>.</v>
      </c>
      <c r="D6473" s="44"/>
      <c r="E6473" s="22" t="str">
        <f>IF(D6473&lt;&gt;"",IFERROR(INDEX(Produtos!$C$4:$C$4996,MATCH(D6473,Produtos!$B$4:$B$4996,0)),"Produto não encontrado"),"")</f>
        <v/>
      </c>
    </row>
    <row r="6474" spans="1:5" x14ac:dyDescent="0.3">
      <c r="A6474" s="21" t="str">
        <f t="shared" si="101"/>
        <v>.</v>
      </c>
      <c r="D6474" s="44"/>
      <c r="E6474" s="22" t="str">
        <f>IF(D6474&lt;&gt;"",IFERROR(INDEX(Produtos!$C$4:$C$4996,MATCH(D6474,Produtos!$B$4:$B$4996,0)),"Produto não encontrado"),"")</f>
        <v/>
      </c>
    </row>
    <row r="6475" spans="1:5" x14ac:dyDescent="0.3">
      <c r="A6475" s="21" t="str">
        <f t="shared" si="101"/>
        <v>.</v>
      </c>
      <c r="D6475" s="44"/>
      <c r="E6475" s="22" t="str">
        <f>IF(D6475&lt;&gt;"",IFERROR(INDEX(Produtos!$C$4:$C$4996,MATCH(D6475,Produtos!$B$4:$B$4996,0)),"Produto não encontrado"),"")</f>
        <v/>
      </c>
    </row>
    <row r="6476" spans="1:5" x14ac:dyDescent="0.3">
      <c r="A6476" s="21" t="str">
        <f t="shared" si="101"/>
        <v>.</v>
      </c>
      <c r="D6476" s="44"/>
      <c r="E6476" s="22" t="str">
        <f>IF(D6476&lt;&gt;"",IFERROR(INDEX(Produtos!$C$4:$C$4996,MATCH(D6476,Produtos!$B$4:$B$4996,0)),"Produto não encontrado"),"")</f>
        <v/>
      </c>
    </row>
    <row r="6477" spans="1:5" x14ac:dyDescent="0.3">
      <c r="A6477" s="21" t="str">
        <f t="shared" si="101"/>
        <v>.</v>
      </c>
      <c r="D6477" s="44"/>
      <c r="E6477" s="22" t="str">
        <f>IF(D6477&lt;&gt;"",IFERROR(INDEX(Produtos!$C$4:$C$4996,MATCH(D6477,Produtos!$B$4:$B$4996,0)),"Produto não encontrado"),"")</f>
        <v/>
      </c>
    </row>
    <row r="6478" spans="1:5" x14ac:dyDescent="0.3">
      <c r="A6478" s="21" t="str">
        <f t="shared" si="101"/>
        <v>.</v>
      </c>
      <c r="D6478" s="44"/>
      <c r="E6478" s="22" t="str">
        <f>IF(D6478&lt;&gt;"",IFERROR(INDEX(Produtos!$C$4:$C$4996,MATCH(D6478,Produtos!$B$4:$B$4996,0)),"Produto não encontrado"),"")</f>
        <v/>
      </c>
    </row>
    <row r="6479" spans="1:5" x14ac:dyDescent="0.3">
      <c r="A6479" s="21" t="str">
        <f t="shared" si="101"/>
        <v>.</v>
      </c>
      <c r="D6479" s="44"/>
      <c r="E6479" s="22" t="str">
        <f>IF(D6479&lt;&gt;"",IFERROR(INDEX(Produtos!$C$4:$C$4996,MATCH(D6479,Produtos!$B$4:$B$4996,0)),"Produto não encontrado"),"")</f>
        <v/>
      </c>
    </row>
    <row r="6480" spans="1:5" x14ac:dyDescent="0.3">
      <c r="A6480" s="21" t="str">
        <f t="shared" si="101"/>
        <v>.</v>
      </c>
      <c r="D6480" s="44"/>
      <c r="E6480" s="22" t="str">
        <f>IF(D6480&lt;&gt;"",IFERROR(INDEX(Produtos!$C$4:$C$4996,MATCH(D6480,Produtos!$B$4:$B$4996,0)),"Produto não encontrado"),"")</f>
        <v/>
      </c>
    </row>
    <row r="6481" spans="1:5" x14ac:dyDescent="0.3">
      <c r="A6481" s="21" t="str">
        <f t="shared" si="101"/>
        <v>.</v>
      </c>
      <c r="D6481" s="44"/>
      <c r="E6481" s="22" t="str">
        <f>IF(D6481&lt;&gt;"",IFERROR(INDEX(Produtos!$C$4:$C$4996,MATCH(D6481,Produtos!$B$4:$B$4996,0)),"Produto não encontrado"),"")</f>
        <v/>
      </c>
    </row>
    <row r="6482" spans="1:5" x14ac:dyDescent="0.3">
      <c r="A6482" s="21" t="str">
        <f t="shared" si="101"/>
        <v>.</v>
      </c>
      <c r="D6482" s="44"/>
      <c r="E6482" s="22" t="str">
        <f>IF(D6482&lt;&gt;"",IFERROR(INDEX(Produtos!$C$4:$C$4996,MATCH(D6482,Produtos!$B$4:$B$4996,0)),"Produto não encontrado"),"")</f>
        <v/>
      </c>
    </row>
    <row r="6483" spans="1:5" x14ac:dyDescent="0.3">
      <c r="A6483" s="21" t="str">
        <f t="shared" si="101"/>
        <v>.</v>
      </c>
      <c r="D6483" s="44"/>
      <c r="E6483" s="22" t="str">
        <f>IF(D6483&lt;&gt;"",IFERROR(INDEX(Produtos!$C$4:$C$4996,MATCH(D6483,Produtos!$B$4:$B$4996,0)),"Produto não encontrado"),"")</f>
        <v/>
      </c>
    </row>
    <row r="6484" spans="1:5" x14ac:dyDescent="0.3">
      <c r="A6484" s="21" t="str">
        <f t="shared" si="101"/>
        <v>.</v>
      </c>
      <c r="D6484" s="44"/>
      <c r="E6484" s="22" t="str">
        <f>IF(D6484&lt;&gt;"",IFERROR(INDEX(Produtos!$C$4:$C$4996,MATCH(D6484,Produtos!$B$4:$B$4996,0)),"Produto não encontrado"),"")</f>
        <v/>
      </c>
    </row>
    <row r="6485" spans="1:5" x14ac:dyDescent="0.3">
      <c r="A6485" s="21" t="str">
        <f t="shared" si="101"/>
        <v>.</v>
      </c>
      <c r="D6485" s="44"/>
      <c r="E6485" s="22" t="str">
        <f>IF(D6485&lt;&gt;"",IFERROR(INDEX(Produtos!$C$4:$C$4996,MATCH(D6485,Produtos!$B$4:$B$4996,0)),"Produto não encontrado"),"")</f>
        <v/>
      </c>
    </row>
    <row r="6486" spans="1:5" x14ac:dyDescent="0.3">
      <c r="A6486" s="21" t="str">
        <f t="shared" si="101"/>
        <v>.</v>
      </c>
      <c r="D6486" s="44"/>
      <c r="E6486" s="22" t="str">
        <f>IF(D6486&lt;&gt;"",IFERROR(INDEX(Produtos!$C$4:$C$4996,MATCH(D6486,Produtos!$B$4:$B$4996,0)),"Produto não encontrado"),"")</f>
        <v/>
      </c>
    </row>
    <row r="6487" spans="1:5" x14ac:dyDescent="0.3">
      <c r="A6487" s="21" t="str">
        <f t="shared" si="101"/>
        <v>.</v>
      </c>
      <c r="D6487" s="44"/>
      <c r="E6487" s="22" t="str">
        <f>IF(D6487&lt;&gt;"",IFERROR(INDEX(Produtos!$C$4:$C$4996,MATCH(D6487,Produtos!$B$4:$B$4996,0)),"Produto não encontrado"),"")</f>
        <v/>
      </c>
    </row>
    <row r="6488" spans="1:5" x14ac:dyDescent="0.3">
      <c r="A6488" s="21" t="str">
        <f t="shared" si="101"/>
        <v>.</v>
      </c>
      <c r="D6488" s="44"/>
      <c r="E6488" s="22" t="str">
        <f>IF(D6488&lt;&gt;"",IFERROR(INDEX(Produtos!$C$4:$C$4996,MATCH(D6488,Produtos!$B$4:$B$4996,0)),"Produto não encontrado"),"")</f>
        <v/>
      </c>
    </row>
    <row r="6489" spans="1:5" x14ac:dyDescent="0.3">
      <c r="A6489" s="21" t="str">
        <f t="shared" si="101"/>
        <v>.</v>
      </c>
      <c r="D6489" s="44"/>
      <c r="E6489" s="22" t="str">
        <f>IF(D6489&lt;&gt;"",IFERROR(INDEX(Produtos!$C$4:$C$4996,MATCH(D6489,Produtos!$B$4:$B$4996,0)),"Produto não encontrado"),"")</f>
        <v/>
      </c>
    </row>
    <row r="6490" spans="1:5" x14ac:dyDescent="0.3">
      <c r="A6490" s="21" t="str">
        <f t="shared" si="101"/>
        <v>.</v>
      </c>
      <c r="D6490" s="44"/>
      <c r="E6490" s="22" t="str">
        <f>IF(D6490&lt;&gt;"",IFERROR(INDEX(Produtos!$C$4:$C$4996,MATCH(D6490,Produtos!$B$4:$B$4996,0)),"Produto não encontrado"),"")</f>
        <v/>
      </c>
    </row>
    <row r="6491" spans="1:5" x14ac:dyDescent="0.3">
      <c r="A6491" s="21" t="str">
        <f t="shared" si="101"/>
        <v>.</v>
      </c>
      <c r="D6491" s="44"/>
      <c r="E6491" s="22" t="str">
        <f>IF(D6491&lt;&gt;"",IFERROR(INDEX(Produtos!$C$4:$C$4996,MATCH(D6491,Produtos!$B$4:$B$4996,0)),"Produto não encontrado"),"")</f>
        <v/>
      </c>
    </row>
    <row r="6492" spans="1:5" x14ac:dyDescent="0.3">
      <c r="A6492" s="21" t="str">
        <f t="shared" si="101"/>
        <v>.</v>
      </c>
      <c r="D6492" s="44"/>
      <c r="E6492" s="22" t="str">
        <f>IF(D6492&lt;&gt;"",IFERROR(INDEX(Produtos!$C$4:$C$4996,MATCH(D6492,Produtos!$B$4:$B$4996,0)),"Produto não encontrado"),"")</f>
        <v/>
      </c>
    </row>
    <row r="6493" spans="1:5" x14ac:dyDescent="0.3">
      <c r="A6493" s="21" t="str">
        <f t="shared" si="101"/>
        <v>.</v>
      </c>
      <c r="D6493" s="44"/>
      <c r="E6493" s="22" t="str">
        <f>IF(D6493&lt;&gt;"",IFERROR(INDEX(Produtos!$C$4:$C$4996,MATCH(D6493,Produtos!$B$4:$B$4996,0)),"Produto não encontrado"),"")</f>
        <v/>
      </c>
    </row>
    <row r="6494" spans="1:5" x14ac:dyDescent="0.3">
      <c r="A6494" s="21" t="str">
        <f t="shared" si="101"/>
        <v>.</v>
      </c>
      <c r="D6494" s="44"/>
      <c r="E6494" s="22" t="str">
        <f>IF(D6494&lt;&gt;"",IFERROR(INDEX(Produtos!$C$4:$C$4996,MATCH(D6494,Produtos!$B$4:$B$4996,0)),"Produto não encontrado"),"")</f>
        <v/>
      </c>
    </row>
    <row r="6495" spans="1:5" x14ac:dyDescent="0.3">
      <c r="A6495" s="21" t="str">
        <f t="shared" si="101"/>
        <v>.</v>
      </c>
      <c r="D6495" s="44"/>
      <c r="E6495" s="22" t="str">
        <f>IF(D6495&lt;&gt;"",IFERROR(INDEX(Produtos!$C$4:$C$4996,MATCH(D6495,Produtos!$B$4:$B$4996,0)),"Produto não encontrado"),"")</f>
        <v/>
      </c>
    </row>
    <row r="6496" spans="1:5" x14ac:dyDescent="0.3">
      <c r="A6496" s="21" t="str">
        <f t="shared" si="101"/>
        <v>.</v>
      </c>
      <c r="D6496" s="44"/>
      <c r="E6496" s="22" t="str">
        <f>IF(D6496&lt;&gt;"",IFERROR(INDEX(Produtos!$C$4:$C$4996,MATCH(D6496,Produtos!$B$4:$B$4996,0)),"Produto não encontrado"),"")</f>
        <v/>
      </c>
    </row>
    <row r="6497" spans="1:5" x14ac:dyDescent="0.3">
      <c r="A6497" s="21" t="str">
        <f t="shared" si="101"/>
        <v>.</v>
      </c>
      <c r="D6497" s="44"/>
      <c r="E6497" s="22" t="str">
        <f>IF(D6497&lt;&gt;"",IFERROR(INDEX(Produtos!$C$4:$C$4996,MATCH(D6497,Produtos!$B$4:$B$4996,0)),"Produto não encontrado"),"")</f>
        <v/>
      </c>
    </row>
    <row r="6498" spans="1:5" x14ac:dyDescent="0.3">
      <c r="A6498" s="21" t="str">
        <f t="shared" si="101"/>
        <v>.</v>
      </c>
      <c r="D6498" s="44"/>
      <c r="E6498" s="22" t="str">
        <f>IF(D6498&lt;&gt;"",IFERROR(INDEX(Produtos!$C$4:$C$4996,MATCH(D6498,Produtos!$B$4:$B$4996,0)),"Produto não encontrado"),"")</f>
        <v/>
      </c>
    </row>
    <row r="6499" spans="1:5" x14ac:dyDescent="0.3">
      <c r="A6499" s="21" t="str">
        <f t="shared" si="101"/>
        <v>.</v>
      </c>
      <c r="D6499" s="44"/>
      <c r="E6499" s="22" t="str">
        <f>IF(D6499&lt;&gt;"",IFERROR(INDEX(Produtos!$C$4:$C$4996,MATCH(D6499,Produtos!$B$4:$B$4996,0)),"Produto não encontrado"),"")</f>
        <v/>
      </c>
    </row>
    <row r="6500" spans="1:5" x14ac:dyDescent="0.3">
      <c r="A6500" s="21" t="str">
        <f t="shared" si="101"/>
        <v>.</v>
      </c>
      <c r="D6500" s="44"/>
      <c r="E6500" s="22" t="str">
        <f>IF(D6500&lt;&gt;"",IFERROR(INDEX(Produtos!$C$4:$C$4996,MATCH(D6500,Produtos!$B$4:$B$4996,0)),"Produto não encontrado"),"")</f>
        <v/>
      </c>
    </row>
    <row r="6501" spans="1:5" x14ac:dyDescent="0.3">
      <c r="A6501" s="21" t="str">
        <f t="shared" si="101"/>
        <v>.</v>
      </c>
      <c r="D6501" s="44"/>
      <c r="E6501" s="22" t="str">
        <f>IF(D6501&lt;&gt;"",IFERROR(INDEX(Produtos!$C$4:$C$4996,MATCH(D6501,Produtos!$B$4:$B$4996,0)),"Produto não encontrado"),"")</f>
        <v/>
      </c>
    </row>
    <row r="6502" spans="1:5" x14ac:dyDescent="0.3">
      <c r="A6502" s="21" t="str">
        <f t="shared" si="101"/>
        <v>.</v>
      </c>
      <c r="D6502" s="44"/>
      <c r="E6502" s="22" t="str">
        <f>IF(D6502&lt;&gt;"",IFERROR(INDEX(Produtos!$C$4:$C$4996,MATCH(D6502,Produtos!$B$4:$B$4996,0)),"Produto não encontrado"),"")</f>
        <v/>
      </c>
    </row>
    <row r="6503" spans="1:5" x14ac:dyDescent="0.3">
      <c r="A6503" s="21" t="str">
        <f t="shared" si="101"/>
        <v>.</v>
      </c>
      <c r="D6503" s="44"/>
      <c r="E6503" s="22" t="str">
        <f>IF(D6503&lt;&gt;"",IFERROR(INDEX(Produtos!$C$4:$C$4996,MATCH(D6503,Produtos!$B$4:$B$4996,0)),"Produto não encontrado"),"")</f>
        <v/>
      </c>
    </row>
    <row r="6504" spans="1:5" x14ac:dyDescent="0.3">
      <c r="A6504" s="21" t="str">
        <f t="shared" si="101"/>
        <v>.</v>
      </c>
      <c r="D6504" s="44"/>
      <c r="E6504" s="22" t="str">
        <f>IF(D6504&lt;&gt;"",IFERROR(INDEX(Produtos!$C$4:$C$4996,MATCH(D6504,Produtos!$B$4:$B$4996,0)),"Produto não encontrado"),"")</f>
        <v/>
      </c>
    </row>
    <row r="6505" spans="1:5" x14ac:dyDescent="0.3">
      <c r="A6505" s="21" t="str">
        <f t="shared" si="101"/>
        <v>.</v>
      </c>
      <c r="D6505" s="44"/>
      <c r="E6505" s="22" t="str">
        <f>IF(D6505&lt;&gt;"",IFERROR(INDEX(Produtos!$C$4:$C$4996,MATCH(D6505,Produtos!$B$4:$B$4996,0)),"Produto não encontrado"),"")</f>
        <v/>
      </c>
    </row>
    <row r="6506" spans="1:5" x14ac:dyDescent="0.3">
      <c r="A6506" s="21" t="str">
        <f t="shared" si="101"/>
        <v>.</v>
      </c>
      <c r="D6506" s="44"/>
      <c r="E6506" s="22" t="str">
        <f>IF(D6506&lt;&gt;"",IFERROR(INDEX(Produtos!$C$4:$C$4996,MATCH(D6506,Produtos!$B$4:$B$4996,0)),"Produto não encontrado"),"")</f>
        <v/>
      </c>
    </row>
    <row r="6507" spans="1:5" x14ac:dyDescent="0.3">
      <c r="A6507" s="21" t="str">
        <f t="shared" si="101"/>
        <v>.</v>
      </c>
      <c r="D6507" s="44"/>
      <c r="E6507" s="22" t="str">
        <f>IF(D6507&lt;&gt;"",IFERROR(INDEX(Produtos!$C$4:$C$4996,MATCH(D6507,Produtos!$B$4:$B$4996,0)),"Produto não encontrado"),"")</f>
        <v/>
      </c>
    </row>
    <row r="6508" spans="1:5" x14ac:dyDescent="0.3">
      <c r="A6508" s="21" t="str">
        <f t="shared" si="101"/>
        <v>.</v>
      </c>
      <c r="D6508" s="44"/>
      <c r="E6508" s="22" t="str">
        <f>IF(D6508&lt;&gt;"",IFERROR(INDEX(Produtos!$C$4:$C$4996,MATCH(D6508,Produtos!$B$4:$B$4996,0)),"Produto não encontrado"),"")</f>
        <v/>
      </c>
    </row>
    <row r="6509" spans="1:5" x14ac:dyDescent="0.3">
      <c r="A6509" s="21" t="str">
        <f t="shared" si="101"/>
        <v>.</v>
      </c>
      <c r="D6509" s="44"/>
      <c r="E6509" s="22" t="str">
        <f>IF(D6509&lt;&gt;"",IFERROR(INDEX(Produtos!$C$4:$C$4996,MATCH(D6509,Produtos!$B$4:$B$4996,0)),"Produto não encontrado"),"")</f>
        <v/>
      </c>
    </row>
    <row r="6510" spans="1:5" x14ac:dyDescent="0.3">
      <c r="A6510" s="21" t="str">
        <f t="shared" si="101"/>
        <v>.</v>
      </c>
      <c r="D6510" s="44"/>
      <c r="E6510" s="22" t="str">
        <f>IF(D6510&lt;&gt;"",IFERROR(INDEX(Produtos!$C$4:$C$4996,MATCH(D6510,Produtos!$B$4:$B$4996,0)),"Produto não encontrado"),"")</f>
        <v/>
      </c>
    </row>
    <row r="6511" spans="1:5" x14ac:dyDescent="0.3">
      <c r="A6511" s="21" t="str">
        <f t="shared" si="101"/>
        <v>.</v>
      </c>
      <c r="D6511" s="44"/>
      <c r="E6511" s="22" t="str">
        <f>IF(D6511&lt;&gt;"",IFERROR(INDEX(Produtos!$C$4:$C$4996,MATCH(D6511,Produtos!$B$4:$B$4996,0)),"Produto não encontrado"),"")</f>
        <v/>
      </c>
    </row>
    <row r="6512" spans="1:5" x14ac:dyDescent="0.3">
      <c r="A6512" s="21" t="str">
        <f t="shared" si="101"/>
        <v>.</v>
      </c>
      <c r="D6512" s="44"/>
      <c r="E6512" s="22" t="str">
        <f>IF(D6512&lt;&gt;"",IFERROR(INDEX(Produtos!$C$4:$C$4996,MATCH(D6512,Produtos!$B$4:$B$4996,0)),"Produto não encontrado"),"")</f>
        <v/>
      </c>
    </row>
    <row r="6513" spans="1:5" x14ac:dyDescent="0.3">
      <c r="A6513" s="21" t="str">
        <f t="shared" si="101"/>
        <v>.</v>
      </c>
      <c r="D6513" s="44"/>
      <c r="E6513" s="22" t="str">
        <f>IF(D6513&lt;&gt;"",IFERROR(INDEX(Produtos!$C$4:$C$4996,MATCH(D6513,Produtos!$B$4:$B$4996,0)),"Produto não encontrado"),"")</f>
        <v/>
      </c>
    </row>
    <row r="6514" spans="1:5" x14ac:dyDescent="0.3">
      <c r="A6514" s="21" t="str">
        <f t="shared" si="101"/>
        <v>.</v>
      </c>
      <c r="D6514" s="44"/>
      <c r="E6514" s="22" t="str">
        <f>IF(D6514&lt;&gt;"",IFERROR(INDEX(Produtos!$C$4:$C$4996,MATCH(D6514,Produtos!$B$4:$B$4996,0)),"Produto não encontrado"),"")</f>
        <v/>
      </c>
    </row>
    <row r="6515" spans="1:5" x14ac:dyDescent="0.3">
      <c r="A6515" s="21" t="str">
        <f t="shared" si="101"/>
        <v>.</v>
      </c>
      <c r="D6515" s="44"/>
      <c r="E6515" s="22" t="str">
        <f>IF(D6515&lt;&gt;"",IFERROR(INDEX(Produtos!$C$4:$C$4996,MATCH(D6515,Produtos!$B$4:$B$4996,0)),"Produto não encontrado"),"")</f>
        <v/>
      </c>
    </row>
    <row r="6516" spans="1:5" x14ac:dyDescent="0.3">
      <c r="A6516" s="21" t="str">
        <f t="shared" si="101"/>
        <v>.</v>
      </c>
      <c r="D6516" s="44"/>
      <c r="E6516" s="22" t="str">
        <f>IF(D6516&lt;&gt;"",IFERROR(INDEX(Produtos!$C$4:$C$4996,MATCH(D6516,Produtos!$B$4:$B$4996,0)),"Produto não encontrado"),"")</f>
        <v/>
      </c>
    </row>
    <row r="6517" spans="1:5" x14ac:dyDescent="0.3">
      <c r="A6517" s="21" t="str">
        <f t="shared" si="101"/>
        <v>.</v>
      </c>
      <c r="D6517" s="44"/>
      <c r="E6517" s="22" t="str">
        <f>IF(D6517&lt;&gt;"",IFERROR(INDEX(Produtos!$C$4:$C$4996,MATCH(D6517,Produtos!$B$4:$B$4996,0)),"Produto não encontrado"),"")</f>
        <v/>
      </c>
    </row>
    <row r="6518" spans="1:5" x14ac:dyDescent="0.3">
      <c r="A6518" s="21" t="str">
        <f t="shared" si="101"/>
        <v>.</v>
      </c>
      <c r="D6518" s="44"/>
      <c r="E6518" s="22" t="str">
        <f>IF(D6518&lt;&gt;"",IFERROR(INDEX(Produtos!$C$4:$C$4996,MATCH(D6518,Produtos!$B$4:$B$4996,0)),"Produto não encontrado"),"")</f>
        <v/>
      </c>
    </row>
    <row r="6519" spans="1:5" x14ac:dyDescent="0.3">
      <c r="A6519" s="21" t="str">
        <f t="shared" si="101"/>
        <v>.</v>
      </c>
      <c r="D6519" s="44"/>
      <c r="E6519" s="22" t="str">
        <f>IF(D6519&lt;&gt;"",IFERROR(INDEX(Produtos!$C$4:$C$4996,MATCH(D6519,Produtos!$B$4:$B$4996,0)),"Produto não encontrado"),"")</f>
        <v/>
      </c>
    </row>
    <row r="6520" spans="1:5" x14ac:dyDescent="0.3">
      <c r="A6520" s="21" t="str">
        <f t="shared" si="101"/>
        <v>.</v>
      </c>
      <c r="D6520" s="44"/>
      <c r="E6520" s="22" t="str">
        <f>IF(D6520&lt;&gt;"",IFERROR(INDEX(Produtos!$C$4:$C$4996,MATCH(D6520,Produtos!$B$4:$B$4996,0)),"Produto não encontrado"),"")</f>
        <v/>
      </c>
    </row>
    <row r="6521" spans="1:5" x14ac:dyDescent="0.3">
      <c r="A6521" s="21" t="str">
        <f t="shared" si="101"/>
        <v>.</v>
      </c>
      <c r="D6521" s="44"/>
      <c r="E6521" s="22" t="str">
        <f>IF(D6521&lt;&gt;"",IFERROR(INDEX(Produtos!$C$4:$C$4996,MATCH(D6521,Produtos!$B$4:$B$4996,0)),"Produto não encontrado"),"")</f>
        <v/>
      </c>
    </row>
    <row r="6522" spans="1:5" x14ac:dyDescent="0.3">
      <c r="A6522" s="21" t="str">
        <f t="shared" si="101"/>
        <v>.</v>
      </c>
      <c r="D6522" s="44"/>
      <c r="E6522" s="22" t="str">
        <f>IF(D6522&lt;&gt;"",IFERROR(INDEX(Produtos!$C$4:$C$4996,MATCH(D6522,Produtos!$B$4:$B$4996,0)),"Produto não encontrado"),"")</f>
        <v/>
      </c>
    </row>
    <row r="6523" spans="1:5" x14ac:dyDescent="0.3">
      <c r="A6523" s="21" t="str">
        <f t="shared" si="101"/>
        <v>.</v>
      </c>
      <c r="D6523" s="44"/>
      <c r="E6523" s="22" t="str">
        <f>IF(D6523&lt;&gt;"",IFERROR(INDEX(Produtos!$C$4:$C$4996,MATCH(D6523,Produtos!$B$4:$B$4996,0)),"Produto não encontrado"),"")</f>
        <v/>
      </c>
    </row>
    <row r="6524" spans="1:5" x14ac:dyDescent="0.3">
      <c r="A6524" s="21" t="str">
        <f t="shared" si="101"/>
        <v>.</v>
      </c>
      <c r="D6524" s="44"/>
      <c r="E6524" s="22" t="str">
        <f>IF(D6524&lt;&gt;"",IFERROR(INDEX(Produtos!$C$4:$C$4996,MATCH(D6524,Produtos!$B$4:$B$4996,0)),"Produto não encontrado"),"")</f>
        <v/>
      </c>
    </row>
    <row r="6525" spans="1:5" x14ac:dyDescent="0.3">
      <c r="A6525" s="21" t="str">
        <f t="shared" si="101"/>
        <v>.</v>
      </c>
      <c r="D6525" s="44"/>
      <c r="E6525" s="22" t="str">
        <f>IF(D6525&lt;&gt;"",IFERROR(INDEX(Produtos!$C$4:$C$4996,MATCH(D6525,Produtos!$B$4:$B$4996,0)),"Produto não encontrado"),"")</f>
        <v/>
      </c>
    </row>
    <row r="6526" spans="1:5" x14ac:dyDescent="0.3">
      <c r="A6526" s="21" t="str">
        <f t="shared" si="101"/>
        <v>.</v>
      </c>
      <c r="D6526" s="44"/>
      <c r="E6526" s="22" t="str">
        <f>IF(D6526&lt;&gt;"",IFERROR(INDEX(Produtos!$C$4:$C$4996,MATCH(D6526,Produtos!$B$4:$B$4996,0)),"Produto não encontrado"),"")</f>
        <v/>
      </c>
    </row>
    <row r="6527" spans="1:5" x14ac:dyDescent="0.3">
      <c r="A6527" s="21" t="str">
        <f t="shared" si="101"/>
        <v>.</v>
      </c>
      <c r="D6527" s="44"/>
      <c r="E6527" s="22" t="str">
        <f>IF(D6527&lt;&gt;"",IFERROR(INDEX(Produtos!$C$4:$C$4996,MATCH(D6527,Produtos!$B$4:$B$4996,0)),"Produto não encontrado"),"")</f>
        <v/>
      </c>
    </row>
    <row r="6528" spans="1:5" x14ac:dyDescent="0.3">
      <c r="A6528" s="21" t="str">
        <f t="shared" ref="A6528:A6591" si="102">IF(C6528="Entrada",2,IF(C6528="Saída",1,"."))</f>
        <v>.</v>
      </c>
      <c r="D6528" s="44"/>
      <c r="E6528" s="22" t="str">
        <f>IF(D6528&lt;&gt;"",IFERROR(INDEX(Produtos!$C$4:$C$4996,MATCH(D6528,Produtos!$B$4:$B$4996,0)),"Produto não encontrado"),"")</f>
        <v/>
      </c>
    </row>
    <row r="6529" spans="1:5" x14ac:dyDescent="0.3">
      <c r="A6529" s="21" t="str">
        <f t="shared" si="102"/>
        <v>.</v>
      </c>
      <c r="D6529" s="44"/>
      <c r="E6529" s="22" t="str">
        <f>IF(D6529&lt;&gt;"",IFERROR(INDEX(Produtos!$C$4:$C$4996,MATCH(D6529,Produtos!$B$4:$B$4996,0)),"Produto não encontrado"),"")</f>
        <v/>
      </c>
    </row>
    <row r="6530" spans="1:5" x14ac:dyDescent="0.3">
      <c r="A6530" s="21" t="str">
        <f t="shared" si="102"/>
        <v>.</v>
      </c>
      <c r="D6530" s="44"/>
      <c r="E6530" s="22" t="str">
        <f>IF(D6530&lt;&gt;"",IFERROR(INDEX(Produtos!$C$4:$C$4996,MATCH(D6530,Produtos!$B$4:$B$4996,0)),"Produto não encontrado"),"")</f>
        <v/>
      </c>
    </row>
    <row r="6531" spans="1:5" x14ac:dyDescent="0.3">
      <c r="A6531" s="21" t="str">
        <f t="shared" si="102"/>
        <v>.</v>
      </c>
      <c r="D6531" s="44"/>
      <c r="E6531" s="22" t="str">
        <f>IF(D6531&lt;&gt;"",IFERROR(INDEX(Produtos!$C$4:$C$4996,MATCH(D6531,Produtos!$B$4:$B$4996,0)),"Produto não encontrado"),"")</f>
        <v/>
      </c>
    </row>
    <row r="6532" spans="1:5" x14ac:dyDescent="0.3">
      <c r="A6532" s="21" t="str">
        <f t="shared" si="102"/>
        <v>.</v>
      </c>
      <c r="D6532" s="44"/>
      <c r="E6532" s="22" t="str">
        <f>IF(D6532&lt;&gt;"",IFERROR(INDEX(Produtos!$C$4:$C$4996,MATCH(D6532,Produtos!$B$4:$B$4996,0)),"Produto não encontrado"),"")</f>
        <v/>
      </c>
    </row>
    <row r="6533" spans="1:5" x14ac:dyDescent="0.3">
      <c r="A6533" s="21" t="str">
        <f t="shared" si="102"/>
        <v>.</v>
      </c>
      <c r="D6533" s="44"/>
      <c r="E6533" s="22" t="str">
        <f>IF(D6533&lt;&gt;"",IFERROR(INDEX(Produtos!$C$4:$C$4996,MATCH(D6533,Produtos!$B$4:$B$4996,0)),"Produto não encontrado"),"")</f>
        <v/>
      </c>
    </row>
    <row r="6534" spans="1:5" x14ac:dyDescent="0.3">
      <c r="A6534" s="21" t="str">
        <f t="shared" si="102"/>
        <v>.</v>
      </c>
      <c r="D6534" s="44"/>
      <c r="E6534" s="22" t="str">
        <f>IF(D6534&lt;&gt;"",IFERROR(INDEX(Produtos!$C$4:$C$4996,MATCH(D6534,Produtos!$B$4:$B$4996,0)),"Produto não encontrado"),"")</f>
        <v/>
      </c>
    </row>
    <row r="6535" spans="1:5" x14ac:dyDescent="0.3">
      <c r="A6535" s="21" t="str">
        <f t="shared" si="102"/>
        <v>.</v>
      </c>
      <c r="D6535" s="44"/>
      <c r="E6535" s="22" t="str">
        <f>IF(D6535&lt;&gt;"",IFERROR(INDEX(Produtos!$C$4:$C$4996,MATCH(D6535,Produtos!$B$4:$B$4996,0)),"Produto não encontrado"),"")</f>
        <v/>
      </c>
    </row>
    <row r="6536" spans="1:5" x14ac:dyDescent="0.3">
      <c r="A6536" s="21" t="str">
        <f t="shared" si="102"/>
        <v>.</v>
      </c>
      <c r="D6536" s="44"/>
      <c r="E6536" s="22" t="str">
        <f>IF(D6536&lt;&gt;"",IFERROR(INDEX(Produtos!$C$4:$C$4996,MATCH(D6536,Produtos!$B$4:$B$4996,0)),"Produto não encontrado"),"")</f>
        <v/>
      </c>
    </row>
    <row r="6537" spans="1:5" x14ac:dyDescent="0.3">
      <c r="A6537" s="21" t="str">
        <f t="shared" si="102"/>
        <v>.</v>
      </c>
      <c r="D6537" s="44"/>
      <c r="E6537" s="22" t="str">
        <f>IF(D6537&lt;&gt;"",IFERROR(INDEX(Produtos!$C$4:$C$4996,MATCH(D6537,Produtos!$B$4:$B$4996,0)),"Produto não encontrado"),"")</f>
        <v/>
      </c>
    </row>
    <row r="6538" spans="1:5" x14ac:dyDescent="0.3">
      <c r="A6538" s="21" t="str">
        <f t="shared" si="102"/>
        <v>.</v>
      </c>
      <c r="D6538" s="44"/>
      <c r="E6538" s="22" t="str">
        <f>IF(D6538&lt;&gt;"",IFERROR(INDEX(Produtos!$C$4:$C$4996,MATCH(D6538,Produtos!$B$4:$B$4996,0)),"Produto não encontrado"),"")</f>
        <v/>
      </c>
    </row>
    <row r="6539" spans="1:5" x14ac:dyDescent="0.3">
      <c r="A6539" s="21" t="str">
        <f t="shared" si="102"/>
        <v>.</v>
      </c>
      <c r="D6539" s="44"/>
      <c r="E6539" s="22" t="str">
        <f>IF(D6539&lt;&gt;"",IFERROR(INDEX(Produtos!$C$4:$C$4996,MATCH(D6539,Produtos!$B$4:$B$4996,0)),"Produto não encontrado"),"")</f>
        <v/>
      </c>
    </row>
    <row r="6540" spans="1:5" x14ac:dyDescent="0.3">
      <c r="A6540" s="21" t="str">
        <f t="shared" si="102"/>
        <v>.</v>
      </c>
      <c r="D6540" s="44"/>
      <c r="E6540" s="22" t="str">
        <f>IF(D6540&lt;&gt;"",IFERROR(INDEX(Produtos!$C$4:$C$4996,MATCH(D6540,Produtos!$B$4:$B$4996,0)),"Produto não encontrado"),"")</f>
        <v/>
      </c>
    </row>
    <row r="6541" spans="1:5" x14ac:dyDescent="0.3">
      <c r="A6541" s="21" t="str">
        <f t="shared" si="102"/>
        <v>.</v>
      </c>
      <c r="D6541" s="44"/>
      <c r="E6541" s="22" t="str">
        <f>IF(D6541&lt;&gt;"",IFERROR(INDEX(Produtos!$C$4:$C$4996,MATCH(D6541,Produtos!$B$4:$B$4996,0)),"Produto não encontrado"),"")</f>
        <v/>
      </c>
    </row>
    <row r="6542" spans="1:5" x14ac:dyDescent="0.3">
      <c r="A6542" s="21" t="str">
        <f t="shared" si="102"/>
        <v>.</v>
      </c>
      <c r="D6542" s="44"/>
      <c r="E6542" s="22" t="str">
        <f>IF(D6542&lt;&gt;"",IFERROR(INDEX(Produtos!$C$4:$C$4996,MATCH(D6542,Produtos!$B$4:$B$4996,0)),"Produto não encontrado"),"")</f>
        <v/>
      </c>
    </row>
    <row r="6543" spans="1:5" x14ac:dyDescent="0.3">
      <c r="A6543" s="21" t="str">
        <f t="shared" si="102"/>
        <v>.</v>
      </c>
      <c r="D6543" s="44"/>
      <c r="E6543" s="22" t="str">
        <f>IF(D6543&lt;&gt;"",IFERROR(INDEX(Produtos!$C$4:$C$4996,MATCH(D6543,Produtos!$B$4:$B$4996,0)),"Produto não encontrado"),"")</f>
        <v/>
      </c>
    </row>
    <row r="6544" spans="1:5" x14ac:dyDescent="0.3">
      <c r="A6544" s="21" t="str">
        <f t="shared" si="102"/>
        <v>.</v>
      </c>
      <c r="D6544" s="44"/>
      <c r="E6544" s="22" t="str">
        <f>IF(D6544&lt;&gt;"",IFERROR(INDEX(Produtos!$C$4:$C$4996,MATCH(D6544,Produtos!$B$4:$B$4996,0)),"Produto não encontrado"),"")</f>
        <v/>
      </c>
    </row>
    <row r="6545" spans="1:5" x14ac:dyDescent="0.3">
      <c r="A6545" s="21" t="str">
        <f t="shared" si="102"/>
        <v>.</v>
      </c>
      <c r="D6545" s="44"/>
      <c r="E6545" s="22" t="str">
        <f>IF(D6545&lt;&gt;"",IFERROR(INDEX(Produtos!$C$4:$C$4996,MATCH(D6545,Produtos!$B$4:$B$4996,0)),"Produto não encontrado"),"")</f>
        <v/>
      </c>
    </row>
    <row r="6546" spans="1:5" x14ac:dyDescent="0.3">
      <c r="A6546" s="21" t="str">
        <f t="shared" si="102"/>
        <v>.</v>
      </c>
      <c r="D6546" s="44"/>
      <c r="E6546" s="22" t="str">
        <f>IF(D6546&lt;&gt;"",IFERROR(INDEX(Produtos!$C$4:$C$4996,MATCH(D6546,Produtos!$B$4:$B$4996,0)),"Produto não encontrado"),"")</f>
        <v/>
      </c>
    </row>
    <row r="6547" spans="1:5" x14ac:dyDescent="0.3">
      <c r="A6547" s="21" t="str">
        <f t="shared" si="102"/>
        <v>.</v>
      </c>
      <c r="D6547" s="44"/>
      <c r="E6547" s="22" t="str">
        <f>IF(D6547&lt;&gt;"",IFERROR(INDEX(Produtos!$C$4:$C$4996,MATCH(D6547,Produtos!$B$4:$B$4996,0)),"Produto não encontrado"),"")</f>
        <v/>
      </c>
    </row>
    <row r="6548" spans="1:5" x14ac:dyDescent="0.3">
      <c r="A6548" s="21" t="str">
        <f t="shared" si="102"/>
        <v>.</v>
      </c>
      <c r="D6548" s="44"/>
      <c r="E6548" s="22" t="str">
        <f>IF(D6548&lt;&gt;"",IFERROR(INDEX(Produtos!$C$4:$C$4996,MATCH(D6548,Produtos!$B$4:$B$4996,0)),"Produto não encontrado"),"")</f>
        <v/>
      </c>
    </row>
    <row r="6549" spans="1:5" x14ac:dyDescent="0.3">
      <c r="A6549" s="21" t="str">
        <f t="shared" si="102"/>
        <v>.</v>
      </c>
      <c r="D6549" s="44"/>
      <c r="E6549" s="22" t="str">
        <f>IF(D6549&lt;&gt;"",IFERROR(INDEX(Produtos!$C$4:$C$4996,MATCH(D6549,Produtos!$B$4:$B$4996,0)),"Produto não encontrado"),"")</f>
        <v/>
      </c>
    </row>
    <row r="6550" spans="1:5" x14ac:dyDescent="0.3">
      <c r="A6550" s="21" t="str">
        <f t="shared" si="102"/>
        <v>.</v>
      </c>
      <c r="D6550" s="44"/>
      <c r="E6550" s="22" t="str">
        <f>IF(D6550&lt;&gt;"",IFERROR(INDEX(Produtos!$C$4:$C$4996,MATCH(D6550,Produtos!$B$4:$B$4996,0)),"Produto não encontrado"),"")</f>
        <v/>
      </c>
    </row>
    <row r="6551" spans="1:5" x14ac:dyDescent="0.3">
      <c r="A6551" s="21" t="str">
        <f t="shared" si="102"/>
        <v>.</v>
      </c>
      <c r="D6551" s="44"/>
      <c r="E6551" s="22" t="str">
        <f>IF(D6551&lt;&gt;"",IFERROR(INDEX(Produtos!$C$4:$C$4996,MATCH(D6551,Produtos!$B$4:$B$4996,0)),"Produto não encontrado"),"")</f>
        <v/>
      </c>
    </row>
    <row r="6552" spans="1:5" x14ac:dyDescent="0.3">
      <c r="A6552" s="21" t="str">
        <f t="shared" si="102"/>
        <v>.</v>
      </c>
      <c r="D6552" s="44"/>
      <c r="E6552" s="22" t="str">
        <f>IF(D6552&lt;&gt;"",IFERROR(INDEX(Produtos!$C$4:$C$4996,MATCH(D6552,Produtos!$B$4:$B$4996,0)),"Produto não encontrado"),"")</f>
        <v/>
      </c>
    </row>
    <row r="6553" spans="1:5" x14ac:dyDescent="0.3">
      <c r="A6553" s="21" t="str">
        <f t="shared" si="102"/>
        <v>.</v>
      </c>
      <c r="D6553" s="44"/>
      <c r="E6553" s="22" t="str">
        <f>IF(D6553&lt;&gt;"",IFERROR(INDEX(Produtos!$C$4:$C$4996,MATCH(D6553,Produtos!$B$4:$B$4996,0)),"Produto não encontrado"),"")</f>
        <v/>
      </c>
    </row>
    <row r="6554" spans="1:5" x14ac:dyDescent="0.3">
      <c r="A6554" s="21" t="str">
        <f t="shared" si="102"/>
        <v>.</v>
      </c>
      <c r="D6554" s="44"/>
      <c r="E6554" s="22" t="str">
        <f>IF(D6554&lt;&gt;"",IFERROR(INDEX(Produtos!$C$4:$C$4996,MATCH(D6554,Produtos!$B$4:$B$4996,0)),"Produto não encontrado"),"")</f>
        <v/>
      </c>
    </row>
    <row r="6555" spans="1:5" x14ac:dyDescent="0.3">
      <c r="A6555" s="21" t="str">
        <f t="shared" si="102"/>
        <v>.</v>
      </c>
      <c r="D6555" s="44"/>
      <c r="E6555" s="22" t="str">
        <f>IF(D6555&lt;&gt;"",IFERROR(INDEX(Produtos!$C$4:$C$4996,MATCH(D6555,Produtos!$B$4:$B$4996,0)),"Produto não encontrado"),"")</f>
        <v/>
      </c>
    </row>
    <row r="6556" spans="1:5" x14ac:dyDescent="0.3">
      <c r="A6556" s="21" t="str">
        <f t="shared" si="102"/>
        <v>.</v>
      </c>
      <c r="D6556" s="44"/>
      <c r="E6556" s="22" t="str">
        <f>IF(D6556&lt;&gt;"",IFERROR(INDEX(Produtos!$C$4:$C$4996,MATCH(D6556,Produtos!$B$4:$B$4996,0)),"Produto não encontrado"),"")</f>
        <v/>
      </c>
    </row>
    <row r="6557" spans="1:5" x14ac:dyDescent="0.3">
      <c r="A6557" s="21" t="str">
        <f t="shared" si="102"/>
        <v>.</v>
      </c>
      <c r="D6557" s="44"/>
      <c r="E6557" s="22" t="str">
        <f>IF(D6557&lt;&gt;"",IFERROR(INDEX(Produtos!$C$4:$C$4996,MATCH(D6557,Produtos!$B$4:$B$4996,0)),"Produto não encontrado"),"")</f>
        <v/>
      </c>
    </row>
    <row r="6558" spans="1:5" x14ac:dyDescent="0.3">
      <c r="A6558" s="21" t="str">
        <f t="shared" si="102"/>
        <v>.</v>
      </c>
      <c r="D6558" s="44"/>
      <c r="E6558" s="22" t="str">
        <f>IF(D6558&lt;&gt;"",IFERROR(INDEX(Produtos!$C$4:$C$4996,MATCH(D6558,Produtos!$B$4:$B$4996,0)),"Produto não encontrado"),"")</f>
        <v/>
      </c>
    </row>
    <row r="6559" spans="1:5" x14ac:dyDescent="0.3">
      <c r="A6559" s="21" t="str">
        <f t="shared" si="102"/>
        <v>.</v>
      </c>
      <c r="D6559" s="44"/>
      <c r="E6559" s="22" t="str">
        <f>IF(D6559&lt;&gt;"",IFERROR(INDEX(Produtos!$C$4:$C$4996,MATCH(D6559,Produtos!$B$4:$B$4996,0)),"Produto não encontrado"),"")</f>
        <v/>
      </c>
    </row>
    <row r="6560" spans="1:5" x14ac:dyDescent="0.3">
      <c r="A6560" s="21" t="str">
        <f t="shared" si="102"/>
        <v>.</v>
      </c>
      <c r="D6560" s="44"/>
      <c r="E6560" s="22" t="str">
        <f>IF(D6560&lt;&gt;"",IFERROR(INDEX(Produtos!$C$4:$C$4996,MATCH(D6560,Produtos!$B$4:$B$4996,0)),"Produto não encontrado"),"")</f>
        <v/>
      </c>
    </row>
    <row r="6561" spans="1:5" x14ac:dyDescent="0.3">
      <c r="A6561" s="21" t="str">
        <f t="shared" si="102"/>
        <v>.</v>
      </c>
      <c r="D6561" s="44"/>
      <c r="E6561" s="22" t="str">
        <f>IF(D6561&lt;&gt;"",IFERROR(INDEX(Produtos!$C$4:$C$4996,MATCH(D6561,Produtos!$B$4:$B$4996,0)),"Produto não encontrado"),"")</f>
        <v/>
      </c>
    </row>
    <row r="6562" spans="1:5" x14ac:dyDescent="0.3">
      <c r="A6562" s="21" t="str">
        <f t="shared" si="102"/>
        <v>.</v>
      </c>
      <c r="D6562" s="44"/>
      <c r="E6562" s="22" t="str">
        <f>IF(D6562&lt;&gt;"",IFERROR(INDEX(Produtos!$C$4:$C$4996,MATCH(D6562,Produtos!$B$4:$B$4996,0)),"Produto não encontrado"),"")</f>
        <v/>
      </c>
    </row>
    <row r="6563" spans="1:5" x14ac:dyDescent="0.3">
      <c r="A6563" s="21" t="str">
        <f t="shared" si="102"/>
        <v>.</v>
      </c>
      <c r="D6563" s="44"/>
      <c r="E6563" s="22" t="str">
        <f>IF(D6563&lt;&gt;"",IFERROR(INDEX(Produtos!$C$4:$C$4996,MATCH(D6563,Produtos!$B$4:$B$4996,0)),"Produto não encontrado"),"")</f>
        <v/>
      </c>
    </row>
    <row r="6564" spans="1:5" x14ac:dyDescent="0.3">
      <c r="A6564" s="21" t="str">
        <f t="shared" si="102"/>
        <v>.</v>
      </c>
      <c r="D6564" s="44"/>
      <c r="E6564" s="22" t="str">
        <f>IF(D6564&lt;&gt;"",IFERROR(INDEX(Produtos!$C$4:$C$4996,MATCH(D6564,Produtos!$B$4:$B$4996,0)),"Produto não encontrado"),"")</f>
        <v/>
      </c>
    </row>
    <row r="6565" spans="1:5" x14ac:dyDescent="0.3">
      <c r="A6565" s="21" t="str">
        <f t="shared" si="102"/>
        <v>.</v>
      </c>
      <c r="D6565" s="44"/>
      <c r="E6565" s="22" t="str">
        <f>IF(D6565&lt;&gt;"",IFERROR(INDEX(Produtos!$C$4:$C$4996,MATCH(D6565,Produtos!$B$4:$B$4996,0)),"Produto não encontrado"),"")</f>
        <v/>
      </c>
    </row>
    <row r="6566" spans="1:5" x14ac:dyDescent="0.3">
      <c r="A6566" s="21" t="str">
        <f t="shared" si="102"/>
        <v>.</v>
      </c>
      <c r="D6566" s="44"/>
      <c r="E6566" s="22" t="str">
        <f>IF(D6566&lt;&gt;"",IFERROR(INDEX(Produtos!$C$4:$C$4996,MATCH(D6566,Produtos!$B$4:$B$4996,0)),"Produto não encontrado"),"")</f>
        <v/>
      </c>
    </row>
    <row r="6567" spans="1:5" x14ac:dyDescent="0.3">
      <c r="A6567" s="21" t="str">
        <f t="shared" si="102"/>
        <v>.</v>
      </c>
      <c r="D6567" s="44"/>
      <c r="E6567" s="22" t="str">
        <f>IF(D6567&lt;&gt;"",IFERROR(INDEX(Produtos!$C$4:$C$4996,MATCH(D6567,Produtos!$B$4:$B$4996,0)),"Produto não encontrado"),"")</f>
        <v/>
      </c>
    </row>
    <row r="6568" spans="1:5" x14ac:dyDescent="0.3">
      <c r="A6568" s="21" t="str">
        <f t="shared" si="102"/>
        <v>.</v>
      </c>
      <c r="D6568" s="44"/>
      <c r="E6568" s="22" t="str">
        <f>IF(D6568&lt;&gt;"",IFERROR(INDEX(Produtos!$C$4:$C$4996,MATCH(D6568,Produtos!$B$4:$B$4996,0)),"Produto não encontrado"),"")</f>
        <v/>
      </c>
    </row>
    <row r="6569" spans="1:5" x14ac:dyDescent="0.3">
      <c r="A6569" s="21" t="str">
        <f t="shared" si="102"/>
        <v>.</v>
      </c>
      <c r="D6569" s="44"/>
      <c r="E6569" s="22" t="str">
        <f>IF(D6569&lt;&gt;"",IFERROR(INDEX(Produtos!$C$4:$C$4996,MATCH(D6569,Produtos!$B$4:$B$4996,0)),"Produto não encontrado"),"")</f>
        <v/>
      </c>
    </row>
    <row r="6570" spans="1:5" x14ac:dyDescent="0.3">
      <c r="A6570" s="21" t="str">
        <f t="shared" si="102"/>
        <v>.</v>
      </c>
      <c r="D6570" s="44"/>
      <c r="E6570" s="22" t="str">
        <f>IF(D6570&lt;&gt;"",IFERROR(INDEX(Produtos!$C$4:$C$4996,MATCH(D6570,Produtos!$B$4:$B$4996,0)),"Produto não encontrado"),"")</f>
        <v/>
      </c>
    </row>
    <row r="6571" spans="1:5" x14ac:dyDescent="0.3">
      <c r="A6571" s="21" t="str">
        <f t="shared" si="102"/>
        <v>.</v>
      </c>
      <c r="D6571" s="44"/>
      <c r="E6571" s="22" t="str">
        <f>IF(D6571&lt;&gt;"",IFERROR(INDEX(Produtos!$C$4:$C$4996,MATCH(D6571,Produtos!$B$4:$B$4996,0)),"Produto não encontrado"),"")</f>
        <v/>
      </c>
    </row>
    <row r="6572" spans="1:5" x14ac:dyDescent="0.3">
      <c r="A6572" s="21" t="str">
        <f t="shared" si="102"/>
        <v>.</v>
      </c>
      <c r="D6572" s="44"/>
      <c r="E6572" s="22" t="str">
        <f>IF(D6572&lt;&gt;"",IFERROR(INDEX(Produtos!$C$4:$C$4996,MATCH(D6572,Produtos!$B$4:$B$4996,0)),"Produto não encontrado"),"")</f>
        <v/>
      </c>
    </row>
    <row r="6573" spans="1:5" x14ac:dyDescent="0.3">
      <c r="A6573" s="21" t="str">
        <f t="shared" si="102"/>
        <v>.</v>
      </c>
      <c r="D6573" s="44"/>
      <c r="E6573" s="22" t="str">
        <f>IF(D6573&lt;&gt;"",IFERROR(INDEX(Produtos!$C$4:$C$4996,MATCH(D6573,Produtos!$B$4:$B$4996,0)),"Produto não encontrado"),"")</f>
        <v/>
      </c>
    </row>
    <row r="6574" spans="1:5" x14ac:dyDescent="0.3">
      <c r="A6574" s="21" t="str">
        <f t="shared" si="102"/>
        <v>.</v>
      </c>
      <c r="D6574" s="44"/>
      <c r="E6574" s="22" t="str">
        <f>IF(D6574&lt;&gt;"",IFERROR(INDEX(Produtos!$C$4:$C$4996,MATCH(D6574,Produtos!$B$4:$B$4996,0)),"Produto não encontrado"),"")</f>
        <v/>
      </c>
    </row>
    <row r="6575" spans="1:5" x14ac:dyDescent="0.3">
      <c r="A6575" s="21" t="str">
        <f t="shared" si="102"/>
        <v>.</v>
      </c>
      <c r="D6575" s="44"/>
      <c r="E6575" s="22" t="str">
        <f>IF(D6575&lt;&gt;"",IFERROR(INDEX(Produtos!$C$4:$C$4996,MATCH(D6575,Produtos!$B$4:$B$4996,0)),"Produto não encontrado"),"")</f>
        <v/>
      </c>
    </row>
    <row r="6576" spans="1:5" x14ac:dyDescent="0.3">
      <c r="A6576" s="21" t="str">
        <f t="shared" si="102"/>
        <v>.</v>
      </c>
      <c r="D6576" s="44"/>
      <c r="E6576" s="22" t="str">
        <f>IF(D6576&lt;&gt;"",IFERROR(INDEX(Produtos!$C$4:$C$4996,MATCH(D6576,Produtos!$B$4:$B$4996,0)),"Produto não encontrado"),"")</f>
        <v/>
      </c>
    </row>
    <row r="6577" spans="1:5" x14ac:dyDescent="0.3">
      <c r="A6577" s="21" t="str">
        <f t="shared" si="102"/>
        <v>.</v>
      </c>
      <c r="D6577" s="44"/>
      <c r="E6577" s="22" t="str">
        <f>IF(D6577&lt;&gt;"",IFERROR(INDEX(Produtos!$C$4:$C$4996,MATCH(D6577,Produtos!$B$4:$B$4996,0)),"Produto não encontrado"),"")</f>
        <v/>
      </c>
    </row>
    <row r="6578" spans="1:5" x14ac:dyDescent="0.3">
      <c r="A6578" s="21" t="str">
        <f t="shared" si="102"/>
        <v>.</v>
      </c>
      <c r="D6578" s="44"/>
      <c r="E6578" s="22" t="str">
        <f>IF(D6578&lt;&gt;"",IFERROR(INDEX(Produtos!$C$4:$C$4996,MATCH(D6578,Produtos!$B$4:$B$4996,0)),"Produto não encontrado"),"")</f>
        <v/>
      </c>
    </row>
    <row r="6579" spans="1:5" x14ac:dyDescent="0.3">
      <c r="A6579" s="21" t="str">
        <f t="shared" si="102"/>
        <v>.</v>
      </c>
      <c r="D6579" s="44"/>
      <c r="E6579" s="22" t="str">
        <f>IF(D6579&lt;&gt;"",IFERROR(INDEX(Produtos!$C$4:$C$4996,MATCH(D6579,Produtos!$B$4:$B$4996,0)),"Produto não encontrado"),"")</f>
        <v/>
      </c>
    </row>
    <row r="6580" spans="1:5" x14ac:dyDescent="0.3">
      <c r="A6580" s="21" t="str">
        <f t="shared" si="102"/>
        <v>.</v>
      </c>
      <c r="D6580" s="44"/>
      <c r="E6580" s="22" t="str">
        <f>IF(D6580&lt;&gt;"",IFERROR(INDEX(Produtos!$C$4:$C$4996,MATCH(D6580,Produtos!$B$4:$B$4996,0)),"Produto não encontrado"),"")</f>
        <v/>
      </c>
    </row>
    <row r="6581" spans="1:5" x14ac:dyDescent="0.3">
      <c r="A6581" s="21" t="str">
        <f t="shared" si="102"/>
        <v>.</v>
      </c>
      <c r="D6581" s="44"/>
      <c r="E6581" s="22" t="str">
        <f>IF(D6581&lt;&gt;"",IFERROR(INDEX(Produtos!$C$4:$C$4996,MATCH(D6581,Produtos!$B$4:$B$4996,0)),"Produto não encontrado"),"")</f>
        <v/>
      </c>
    </row>
    <row r="6582" spans="1:5" x14ac:dyDescent="0.3">
      <c r="A6582" s="21" t="str">
        <f t="shared" si="102"/>
        <v>.</v>
      </c>
      <c r="D6582" s="44"/>
      <c r="E6582" s="22" t="str">
        <f>IF(D6582&lt;&gt;"",IFERROR(INDEX(Produtos!$C$4:$C$4996,MATCH(D6582,Produtos!$B$4:$B$4996,0)),"Produto não encontrado"),"")</f>
        <v/>
      </c>
    </row>
    <row r="6583" spans="1:5" x14ac:dyDescent="0.3">
      <c r="A6583" s="21" t="str">
        <f t="shared" si="102"/>
        <v>.</v>
      </c>
      <c r="D6583" s="44"/>
      <c r="E6583" s="22" t="str">
        <f>IF(D6583&lt;&gt;"",IFERROR(INDEX(Produtos!$C$4:$C$4996,MATCH(D6583,Produtos!$B$4:$B$4996,0)),"Produto não encontrado"),"")</f>
        <v/>
      </c>
    </row>
    <row r="6584" spans="1:5" x14ac:dyDescent="0.3">
      <c r="A6584" s="21" t="str">
        <f t="shared" si="102"/>
        <v>.</v>
      </c>
      <c r="D6584" s="44"/>
      <c r="E6584" s="22" t="str">
        <f>IF(D6584&lt;&gt;"",IFERROR(INDEX(Produtos!$C$4:$C$4996,MATCH(D6584,Produtos!$B$4:$B$4996,0)),"Produto não encontrado"),"")</f>
        <v/>
      </c>
    </row>
    <row r="6585" spans="1:5" x14ac:dyDescent="0.3">
      <c r="A6585" s="21" t="str">
        <f t="shared" si="102"/>
        <v>.</v>
      </c>
      <c r="D6585" s="44"/>
      <c r="E6585" s="22" t="str">
        <f>IF(D6585&lt;&gt;"",IFERROR(INDEX(Produtos!$C$4:$C$4996,MATCH(D6585,Produtos!$B$4:$B$4996,0)),"Produto não encontrado"),"")</f>
        <v/>
      </c>
    </row>
    <row r="6586" spans="1:5" x14ac:dyDescent="0.3">
      <c r="A6586" s="21" t="str">
        <f t="shared" si="102"/>
        <v>.</v>
      </c>
      <c r="D6586" s="44"/>
      <c r="E6586" s="22" t="str">
        <f>IF(D6586&lt;&gt;"",IFERROR(INDEX(Produtos!$C$4:$C$4996,MATCH(D6586,Produtos!$B$4:$B$4996,0)),"Produto não encontrado"),"")</f>
        <v/>
      </c>
    </row>
    <row r="6587" spans="1:5" x14ac:dyDescent="0.3">
      <c r="A6587" s="21" t="str">
        <f t="shared" si="102"/>
        <v>.</v>
      </c>
      <c r="D6587" s="44"/>
      <c r="E6587" s="22" t="str">
        <f>IF(D6587&lt;&gt;"",IFERROR(INDEX(Produtos!$C$4:$C$4996,MATCH(D6587,Produtos!$B$4:$B$4996,0)),"Produto não encontrado"),"")</f>
        <v/>
      </c>
    </row>
    <row r="6588" spans="1:5" x14ac:dyDescent="0.3">
      <c r="A6588" s="21" t="str">
        <f t="shared" si="102"/>
        <v>.</v>
      </c>
      <c r="D6588" s="44"/>
      <c r="E6588" s="22" t="str">
        <f>IF(D6588&lt;&gt;"",IFERROR(INDEX(Produtos!$C$4:$C$4996,MATCH(D6588,Produtos!$B$4:$B$4996,0)),"Produto não encontrado"),"")</f>
        <v/>
      </c>
    </row>
    <row r="6589" spans="1:5" x14ac:dyDescent="0.3">
      <c r="A6589" s="21" t="str">
        <f t="shared" si="102"/>
        <v>.</v>
      </c>
      <c r="D6589" s="44"/>
      <c r="E6589" s="22" t="str">
        <f>IF(D6589&lt;&gt;"",IFERROR(INDEX(Produtos!$C$4:$C$4996,MATCH(D6589,Produtos!$B$4:$B$4996,0)),"Produto não encontrado"),"")</f>
        <v/>
      </c>
    </row>
    <row r="6590" spans="1:5" x14ac:dyDescent="0.3">
      <c r="A6590" s="21" t="str">
        <f t="shared" si="102"/>
        <v>.</v>
      </c>
      <c r="D6590" s="44"/>
      <c r="E6590" s="22" t="str">
        <f>IF(D6590&lt;&gt;"",IFERROR(INDEX(Produtos!$C$4:$C$4996,MATCH(D6590,Produtos!$B$4:$B$4996,0)),"Produto não encontrado"),"")</f>
        <v/>
      </c>
    </row>
    <row r="6591" spans="1:5" x14ac:dyDescent="0.3">
      <c r="A6591" s="21" t="str">
        <f t="shared" si="102"/>
        <v>.</v>
      </c>
      <c r="D6591" s="44"/>
      <c r="E6591" s="22" t="str">
        <f>IF(D6591&lt;&gt;"",IFERROR(INDEX(Produtos!$C$4:$C$4996,MATCH(D6591,Produtos!$B$4:$B$4996,0)),"Produto não encontrado"),"")</f>
        <v/>
      </c>
    </row>
    <row r="6592" spans="1:5" x14ac:dyDescent="0.3">
      <c r="A6592" s="21" t="str">
        <f t="shared" ref="A6592:A6655" si="103">IF(C6592="Entrada",2,IF(C6592="Saída",1,"."))</f>
        <v>.</v>
      </c>
      <c r="D6592" s="44"/>
      <c r="E6592" s="22" t="str">
        <f>IF(D6592&lt;&gt;"",IFERROR(INDEX(Produtos!$C$4:$C$4996,MATCH(D6592,Produtos!$B$4:$B$4996,0)),"Produto não encontrado"),"")</f>
        <v/>
      </c>
    </row>
    <row r="6593" spans="1:5" x14ac:dyDescent="0.3">
      <c r="A6593" s="21" t="str">
        <f t="shared" si="103"/>
        <v>.</v>
      </c>
      <c r="D6593" s="44"/>
      <c r="E6593" s="22" t="str">
        <f>IF(D6593&lt;&gt;"",IFERROR(INDEX(Produtos!$C$4:$C$4996,MATCH(D6593,Produtos!$B$4:$B$4996,0)),"Produto não encontrado"),"")</f>
        <v/>
      </c>
    </row>
    <row r="6594" spans="1:5" x14ac:dyDescent="0.3">
      <c r="A6594" s="21" t="str">
        <f t="shared" si="103"/>
        <v>.</v>
      </c>
      <c r="D6594" s="44"/>
      <c r="E6594" s="22" t="str">
        <f>IF(D6594&lt;&gt;"",IFERROR(INDEX(Produtos!$C$4:$C$4996,MATCH(D6594,Produtos!$B$4:$B$4996,0)),"Produto não encontrado"),"")</f>
        <v/>
      </c>
    </row>
    <row r="6595" spans="1:5" x14ac:dyDescent="0.3">
      <c r="A6595" s="21" t="str">
        <f t="shared" si="103"/>
        <v>.</v>
      </c>
      <c r="D6595" s="44"/>
      <c r="E6595" s="22" t="str">
        <f>IF(D6595&lt;&gt;"",IFERROR(INDEX(Produtos!$C$4:$C$4996,MATCH(D6595,Produtos!$B$4:$B$4996,0)),"Produto não encontrado"),"")</f>
        <v/>
      </c>
    </row>
    <row r="6596" spans="1:5" x14ac:dyDescent="0.3">
      <c r="A6596" s="21" t="str">
        <f t="shared" si="103"/>
        <v>.</v>
      </c>
      <c r="D6596" s="44"/>
      <c r="E6596" s="22" t="str">
        <f>IF(D6596&lt;&gt;"",IFERROR(INDEX(Produtos!$C$4:$C$4996,MATCH(D6596,Produtos!$B$4:$B$4996,0)),"Produto não encontrado"),"")</f>
        <v/>
      </c>
    </row>
    <row r="6597" spans="1:5" x14ac:dyDescent="0.3">
      <c r="A6597" s="21" t="str">
        <f t="shared" si="103"/>
        <v>.</v>
      </c>
      <c r="D6597" s="44"/>
      <c r="E6597" s="22" t="str">
        <f>IF(D6597&lt;&gt;"",IFERROR(INDEX(Produtos!$C$4:$C$4996,MATCH(D6597,Produtos!$B$4:$B$4996,0)),"Produto não encontrado"),"")</f>
        <v/>
      </c>
    </row>
    <row r="6598" spans="1:5" x14ac:dyDescent="0.3">
      <c r="A6598" s="21" t="str">
        <f t="shared" si="103"/>
        <v>.</v>
      </c>
      <c r="D6598" s="44"/>
      <c r="E6598" s="22" t="str">
        <f>IF(D6598&lt;&gt;"",IFERROR(INDEX(Produtos!$C$4:$C$4996,MATCH(D6598,Produtos!$B$4:$B$4996,0)),"Produto não encontrado"),"")</f>
        <v/>
      </c>
    </row>
    <row r="6599" spans="1:5" x14ac:dyDescent="0.3">
      <c r="A6599" s="21" t="str">
        <f t="shared" si="103"/>
        <v>.</v>
      </c>
      <c r="D6599" s="44"/>
      <c r="E6599" s="22" t="str">
        <f>IF(D6599&lt;&gt;"",IFERROR(INDEX(Produtos!$C$4:$C$4996,MATCH(D6599,Produtos!$B$4:$B$4996,0)),"Produto não encontrado"),"")</f>
        <v/>
      </c>
    </row>
    <row r="6600" spans="1:5" x14ac:dyDescent="0.3">
      <c r="A6600" s="21" t="str">
        <f t="shared" si="103"/>
        <v>.</v>
      </c>
      <c r="D6600" s="44"/>
      <c r="E6600" s="22" t="str">
        <f>IF(D6600&lt;&gt;"",IFERROR(INDEX(Produtos!$C$4:$C$4996,MATCH(D6600,Produtos!$B$4:$B$4996,0)),"Produto não encontrado"),"")</f>
        <v/>
      </c>
    </row>
    <row r="6601" spans="1:5" x14ac:dyDescent="0.3">
      <c r="A6601" s="21" t="str">
        <f t="shared" si="103"/>
        <v>.</v>
      </c>
      <c r="D6601" s="44"/>
      <c r="E6601" s="22" t="str">
        <f>IF(D6601&lt;&gt;"",IFERROR(INDEX(Produtos!$C$4:$C$4996,MATCH(D6601,Produtos!$B$4:$B$4996,0)),"Produto não encontrado"),"")</f>
        <v/>
      </c>
    </row>
    <row r="6602" spans="1:5" x14ac:dyDescent="0.3">
      <c r="A6602" s="21" t="str">
        <f t="shared" si="103"/>
        <v>.</v>
      </c>
      <c r="D6602" s="44"/>
      <c r="E6602" s="22" t="str">
        <f>IF(D6602&lt;&gt;"",IFERROR(INDEX(Produtos!$C$4:$C$4996,MATCH(D6602,Produtos!$B$4:$B$4996,0)),"Produto não encontrado"),"")</f>
        <v/>
      </c>
    </row>
    <row r="6603" spans="1:5" x14ac:dyDescent="0.3">
      <c r="A6603" s="21" t="str">
        <f t="shared" si="103"/>
        <v>.</v>
      </c>
      <c r="D6603" s="44"/>
      <c r="E6603" s="22" t="str">
        <f>IF(D6603&lt;&gt;"",IFERROR(INDEX(Produtos!$C$4:$C$4996,MATCH(D6603,Produtos!$B$4:$B$4996,0)),"Produto não encontrado"),"")</f>
        <v/>
      </c>
    </row>
    <row r="6604" spans="1:5" x14ac:dyDescent="0.3">
      <c r="A6604" s="21" t="str">
        <f t="shared" si="103"/>
        <v>.</v>
      </c>
      <c r="D6604" s="44"/>
      <c r="E6604" s="22" t="str">
        <f>IF(D6604&lt;&gt;"",IFERROR(INDEX(Produtos!$C$4:$C$4996,MATCH(D6604,Produtos!$B$4:$B$4996,0)),"Produto não encontrado"),"")</f>
        <v/>
      </c>
    </row>
    <row r="6605" spans="1:5" x14ac:dyDescent="0.3">
      <c r="A6605" s="21" t="str">
        <f t="shared" si="103"/>
        <v>.</v>
      </c>
      <c r="D6605" s="44"/>
      <c r="E6605" s="22" t="str">
        <f>IF(D6605&lt;&gt;"",IFERROR(INDEX(Produtos!$C$4:$C$4996,MATCH(D6605,Produtos!$B$4:$B$4996,0)),"Produto não encontrado"),"")</f>
        <v/>
      </c>
    </row>
    <row r="6606" spans="1:5" x14ac:dyDescent="0.3">
      <c r="A6606" s="21" t="str">
        <f t="shared" si="103"/>
        <v>.</v>
      </c>
      <c r="D6606" s="44"/>
      <c r="E6606" s="22" t="str">
        <f>IF(D6606&lt;&gt;"",IFERROR(INDEX(Produtos!$C$4:$C$4996,MATCH(D6606,Produtos!$B$4:$B$4996,0)),"Produto não encontrado"),"")</f>
        <v/>
      </c>
    </row>
    <row r="6607" spans="1:5" x14ac:dyDescent="0.3">
      <c r="A6607" s="21" t="str">
        <f t="shared" si="103"/>
        <v>.</v>
      </c>
      <c r="D6607" s="44"/>
      <c r="E6607" s="22" t="str">
        <f>IF(D6607&lt;&gt;"",IFERROR(INDEX(Produtos!$C$4:$C$4996,MATCH(D6607,Produtos!$B$4:$B$4996,0)),"Produto não encontrado"),"")</f>
        <v/>
      </c>
    </row>
    <row r="6608" spans="1:5" x14ac:dyDescent="0.3">
      <c r="A6608" s="21" t="str">
        <f t="shared" si="103"/>
        <v>.</v>
      </c>
      <c r="D6608" s="44"/>
      <c r="E6608" s="22" t="str">
        <f>IF(D6608&lt;&gt;"",IFERROR(INDEX(Produtos!$C$4:$C$4996,MATCH(D6608,Produtos!$B$4:$B$4996,0)),"Produto não encontrado"),"")</f>
        <v/>
      </c>
    </row>
    <row r="6609" spans="1:5" x14ac:dyDescent="0.3">
      <c r="A6609" s="21" t="str">
        <f t="shared" si="103"/>
        <v>.</v>
      </c>
      <c r="D6609" s="44"/>
      <c r="E6609" s="22" t="str">
        <f>IF(D6609&lt;&gt;"",IFERROR(INDEX(Produtos!$C$4:$C$4996,MATCH(D6609,Produtos!$B$4:$B$4996,0)),"Produto não encontrado"),"")</f>
        <v/>
      </c>
    </row>
    <row r="6610" spans="1:5" x14ac:dyDescent="0.3">
      <c r="A6610" s="21" t="str">
        <f t="shared" si="103"/>
        <v>.</v>
      </c>
      <c r="D6610" s="44"/>
      <c r="E6610" s="22" t="str">
        <f>IF(D6610&lt;&gt;"",IFERROR(INDEX(Produtos!$C$4:$C$4996,MATCH(D6610,Produtos!$B$4:$B$4996,0)),"Produto não encontrado"),"")</f>
        <v/>
      </c>
    </row>
    <row r="6611" spans="1:5" x14ac:dyDescent="0.3">
      <c r="A6611" s="21" t="str">
        <f t="shared" si="103"/>
        <v>.</v>
      </c>
      <c r="D6611" s="44"/>
      <c r="E6611" s="22" t="str">
        <f>IF(D6611&lt;&gt;"",IFERROR(INDEX(Produtos!$C$4:$C$4996,MATCH(D6611,Produtos!$B$4:$B$4996,0)),"Produto não encontrado"),"")</f>
        <v/>
      </c>
    </row>
    <row r="6612" spans="1:5" x14ac:dyDescent="0.3">
      <c r="A6612" s="21" t="str">
        <f t="shared" si="103"/>
        <v>.</v>
      </c>
      <c r="D6612" s="44"/>
      <c r="E6612" s="22" t="str">
        <f>IF(D6612&lt;&gt;"",IFERROR(INDEX(Produtos!$C$4:$C$4996,MATCH(D6612,Produtos!$B$4:$B$4996,0)),"Produto não encontrado"),"")</f>
        <v/>
      </c>
    </row>
    <row r="6613" spans="1:5" x14ac:dyDescent="0.3">
      <c r="A6613" s="21" t="str">
        <f t="shared" si="103"/>
        <v>.</v>
      </c>
      <c r="D6613" s="44"/>
      <c r="E6613" s="22" t="str">
        <f>IF(D6613&lt;&gt;"",IFERROR(INDEX(Produtos!$C$4:$C$4996,MATCH(D6613,Produtos!$B$4:$B$4996,0)),"Produto não encontrado"),"")</f>
        <v/>
      </c>
    </row>
    <row r="6614" spans="1:5" x14ac:dyDescent="0.3">
      <c r="A6614" s="21" t="str">
        <f t="shared" si="103"/>
        <v>.</v>
      </c>
      <c r="D6614" s="44"/>
      <c r="E6614" s="22" t="str">
        <f>IF(D6614&lt;&gt;"",IFERROR(INDEX(Produtos!$C$4:$C$4996,MATCH(D6614,Produtos!$B$4:$B$4996,0)),"Produto não encontrado"),"")</f>
        <v/>
      </c>
    </row>
    <row r="6615" spans="1:5" x14ac:dyDescent="0.3">
      <c r="A6615" s="21" t="str">
        <f t="shared" si="103"/>
        <v>.</v>
      </c>
      <c r="D6615" s="44"/>
      <c r="E6615" s="22" t="str">
        <f>IF(D6615&lt;&gt;"",IFERROR(INDEX(Produtos!$C$4:$C$4996,MATCH(D6615,Produtos!$B$4:$B$4996,0)),"Produto não encontrado"),"")</f>
        <v/>
      </c>
    </row>
    <row r="6616" spans="1:5" x14ac:dyDescent="0.3">
      <c r="A6616" s="21" t="str">
        <f t="shared" si="103"/>
        <v>.</v>
      </c>
      <c r="D6616" s="44"/>
      <c r="E6616" s="22" t="str">
        <f>IF(D6616&lt;&gt;"",IFERROR(INDEX(Produtos!$C$4:$C$4996,MATCH(D6616,Produtos!$B$4:$B$4996,0)),"Produto não encontrado"),"")</f>
        <v/>
      </c>
    </row>
    <row r="6617" spans="1:5" x14ac:dyDescent="0.3">
      <c r="A6617" s="21" t="str">
        <f t="shared" si="103"/>
        <v>.</v>
      </c>
      <c r="D6617" s="44"/>
      <c r="E6617" s="22" t="str">
        <f>IF(D6617&lt;&gt;"",IFERROR(INDEX(Produtos!$C$4:$C$4996,MATCH(D6617,Produtos!$B$4:$B$4996,0)),"Produto não encontrado"),"")</f>
        <v/>
      </c>
    </row>
    <row r="6618" spans="1:5" x14ac:dyDescent="0.3">
      <c r="A6618" s="21" t="str">
        <f t="shared" si="103"/>
        <v>.</v>
      </c>
      <c r="D6618" s="44"/>
      <c r="E6618" s="22" t="str">
        <f>IF(D6618&lt;&gt;"",IFERROR(INDEX(Produtos!$C$4:$C$4996,MATCH(D6618,Produtos!$B$4:$B$4996,0)),"Produto não encontrado"),"")</f>
        <v/>
      </c>
    </row>
    <row r="6619" spans="1:5" x14ac:dyDescent="0.3">
      <c r="A6619" s="21" t="str">
        <f t="shared" si="103"/>
        <v>.</v>
      </c>
      <c r="D6619" s="44"/>
      <c r="E6619" s="22" t="str">
        <f>IF(D6619&lt;&gt;"",IFERROR(INDEX(Produtos!$C$4:$C$4996,MATCH(D6619,Produtos!$B$4:$B$4996,0)),"Produto não encontrado"),"")</f>
        <v/>
      </c>
    </row>
    <row r="6620" spans="1:5" x14ac:dyDescent="0.3">
      <c r="A6620" s="21" t="str">
        <f t="shared" si="103"/>
        <v>.</v>
      </c>
      <c r="D6620" s="44"/>
      <c r="E6620" s="22" t="str">
        <f>IF(D6620&lt;&gt;"",IFERROR(INDEX(Produtos!$C$4:$C$4996,MATCH(D6620,Produtos!$B$4:$B$4996,0)),"Produto não encontrado"),"")</f>
        <v/>
      </c>
    </row>
    <row r="6621" spans="1:5" x14ac:dyDescent="0.3">
      <c r="A6621" s="21" t="str">
        <f t="shared" si="103"/>
        <v>.</v>
      </c>
      <c r="D6621" s="44"/>
      <c r="E6621" s="22" t="str">
        <f>IF(D6621&lt;&gt;"",IFERROR(INDEX(Produtos!$C$4:$C$4996,MATCH(D6621,Produtos!$B$4:$B$4996,0)),"Produto não encontrado"),"")</f>
        <v/>
      </c>
    </row>
    <row r="6622" spans="1:5" x14ac:dyDescent="0.3">
      <c r="A6622" s="21" t="str">
        <f t="shared" si="103"/>
        <v>.</v>
      </c>
      <c r="D6622" s="44"/>
      <c r="E6622" s="22" t="str">
        <f>IF(D6622&lt;&gt;"",IFERROR(INDEX(Produtos!$C$4:$C$4996,MATCH(D6622,Produtos!$B$4:$B$4996,0)),"Produto não encontrado"),"")</f>
        <v/>
      </c>
    </row>
    <row r="6623" spans="1:5" x14ac:dyDescent="0.3">
      <c r="A6623" s="21" t="str">
        <f t="shared" si="103"/>
        <v>.</v>
      </c>
      <c r="D6623" s="44"/>
      <c r="E6623" s="22" t="str">
        <f>IF(D6623&lt;&gt;"",IFERROR(INDEX(Produtos!$C$4:$C$4996,MATCH(D6623,Produtos!$B$4:$B$4996,0)),"Produto não encontrado"),"")</f>
        <v/>
      </c>
    </row>
    <row r="6624" spans="1:5" x14ac:dyDescent="0.3">
      <c r="A6624" s="21" t="str">
        <f t="shared" si="103"/>
        <v>.</v>
      </c>
      <c r="D6624" s="44"/>
      <c r="E6624" s="22" t="str">
        <f>IF(D6624&lt;&gt;"",IFERROR(INDEX(Produtos!$C$4:$C$4996,MATCH(D6624,Produtos!$B$4:$B$4996,0)),"Produto não encontrado"),"")</f>
        <v/>
      </c>
    </row>
    <row r="6625" spans="1:5" x14ac:dyDescent="0.3">
      <c r="A6625" s="21" t="str">
        <f t="shared" si="103"/>
        <v>.</v>
      </c>
      <c r="D6625" s="44"/>
      <c r="E6625" s="22" t="str">
        <f>IF(D6625&lt;&gt;"",IFERROR(INDEX(Produtos!$C$4:$C$4996,MATCH(D6625,Produtos!$B$4:$B$4996,0)),"Produto não encontrado"),"")</f>
        <v/>
      </c>
    </row>
    <row r="6626" spans="1:5" x14ac:dyDescent="0.3">
      <c r="A6626" s="21" t="str">
        <f t="shared" si="103"/>
        <v>.</v>
      </c>
      <c r="D6626" s="44"/>
      <c r="E6626" s="22" t="str">
        <f>IF(D6626&lt;&gt;"",IFERROR(INDEX(Produtos!$C$4:$C$4996,MATCH(D6626,Produtos!$B$4:$B$4996,0)),"Produto não encontrado"),"")</f>
        <v/>
      </c>
    </row>
    <row r="6627" spans="1:5" x14ac:dyDescent="0.3">
      <c r="A6627" s="21" t="str">
        <f t="shared" si="103"/>
        <v>.</v>
      </c>
      <c r="D6627" s="44"/>
      <c r="E6627" s="22" t="str">
        <f>IF(D6627&lt;&gt;"",IFERROR(INDEX(Produtos!$C$4:$C$4996,MATCH(D6627,Produtos!$B$4:$B$4996,0)),"Produto não encontrado"),"")</f>
        <v/>
      </c>
    </row>
    <row r="6628" spans="1:5" x14ac:dyDescent="0.3">
      <c r="A6628" s="21" t="str">
        <f t="shared" si="103"/>
        <v>.</v>
      </c>
      <c r="D6628" s="44"/>
      <c r="E6628" s="22" t="str">
        <f>IF(D6628&lt;&gt;"",IFERROR(INDEX(Produtos!$C$4:$C$4996,MATCH(D6628,Produtos!$B$4:$B$4996,0)),"Produto não encontrado"),"")</f>
        <v/>
      </c>
    </row>
    <row r="6629" spans="1:5" x14ac:dyDescent="0.3">
      <c r="A6629" s="21" t="str">
        <f t="shared" si="103"/>
        <v>.</v>
      </c>
      <c r="D6629" s="44"/>
      <c r="E6629" s="22" t="str">
        <f>IF(D6629&lt;&gt;"",IFERROR(INDEX(Produtos!$C$4:$C$4996,MATCH(D6629,Produtos!$B$4:$B$4996,0)),"Produto não encontrado"),"")</f>
        <v/>
      </c>
    </row>
    <row r="6630" spans="1:5" x14ac:dyDescent="0.3">
      <c r="A6630" s="21" t="str">
        <f t="shared" si="103"/>
        <v>.</v>
      </c>
      <c r="D6630" s="44"/>
      <c r="E6630" s="22" t="str">
        <f>IF(D6630&lt;&gt;"",IFERROR(INDEX(Produtos!$C$4:$C$4996,MATCH(D6630,Produtos!$B$4:$B$4996,0)),"Produto não encontrado"),"")</f>
        <v/>
      </c>
    </row>
    <row r="6631" spans="1:5" x14ac:dyDescent="0.3">
      <c r="A6631" s="21" t="str">
        <f t="shared" si="103"/>
        <v>.</v>
      </c>
      <c r="D6631" s="44"/>
      <c r="E6631" s="22" t="str">
        <f>IF(D6631&lt;&gt;"",IFERROR(INDEX(Produtos!$C$4:$C$4996,MATCH(D6631,Produtos!$B$4:$B$4996,0)),"Produto não encontrado"),"")</f>
        <v/>
      </c>
    </row>
    <row r="6632" spans="1:5" x14ac:dyDescent="0.3">
      <c r="A6632" s="21" t="str">
        <f t="shared" si="103"/>
        <v>.</v>
      </c>
      <c r="D6632" s="44"/>
      <c r="E6632" s="22" t="str">
        <f>IF(D6632&lt;&gt;"",IFERROR(INDEX(Produtos!$C$4:$C$4996,MATCH(D6632,Produtos!$B$4:$B$4996,0)),"Produto não encontrado"),"")</f>
        <v/>
      </c>
    </row>
    <row r="6633" spans="1:5" x14ac:dyDescent="0.3">
      <c r="A6633" s="21" t="str">
        <f t="shared" si="103"/>
        <v>.</v>
      </c>
      <c r="D6633" s="44"/>
      <c r="E6633" s="22" t="str">
        <f>IF(D6633&lt;&gt;"",IFERROR(INDEX(Produtos!$C$4:$C$4996,MATCH(D6633,Produtos!$B$4:$B$4996,0)),"Produto não encontrado"),"")</f>
        <v/>
      </c>
    </row>
    <row r="6634" spans="1:5" x14ac:dyDescent="0.3">
      <c r="A6634" s="21" t="str">
        <f t="shared" si="103"/>
        <v>.</v>
      </c>
      <c r="D6634" s="44"/>
      <c r="E6634" s="22" t="str">
        <f>IF(D6634&lt;&gt;"",IFERROR(INDEX(Produtos!$C$4:$C$4996,MATCH(D6634,Produtos!$B$4:$B$4996,0)),"Produto não encontrado"),"")</f>
        <v/>
      </c>
    </row>
    <row r="6635" spans="1:5" x14ac:dyDescent="0.3">
      <c r="A6635" s="21" t="str">
        <f t="shared" si="103"/>
        <v>.</v>
      </c>
      <c r="D6635" s="44"/>
      <c r="E6635" s="22" t="str">
        <f>IF(D6635&lt;&gt;"",IFERROR(INDEX(Produtos!$C$4:$C$4996,MATCH(D6635,Produtos!$B$4:$B$4996,0)),"Produto não encontrado"),"")</f>
        <v/>
      </c>
    </row>
    <row r="6636" spans="1:5" x14ac:dyDescent="0.3">
      <c r="A6636" s="21" t="str">
        <f t="shared" si="103"/>
        <v>.</v>
      </c>
      <c r="D6636" s="44"/>
      <c r="E6636" s="22" t="str">
        <f>IF(D6636&lt;&gt;"",IFERROR(INDEX(Produtos!$C$4:$C$4996,MATCH(D6636,Produtos!$B$4:$B$4996,0)),"Produto não encontrado"),"")</f>
        <v/>
      </c>
    </row>
    <row r="6637" spans="1:5" x14ac:dyDescent="0.3">
      <c r="A6637" s="21" t="str">
        <f t="shared" si="103"/>
        <v>.</v>
      </c>
      <c r="D6637" s="44"/>
      <c r="E6637" s="22" t="str">
        <f>IF(D6637&lt;&gt;"",IFERROR(INDEX(Produtos!$C$4:$C$4996,MATCH(D6637,Produtos!$B$4:$B$4996,0)),"Produto não encontrado"),"")</f>
        <v/>
      </c>
    </row>
    <row r="6638" spans="1:5" x14ac:dyDescent="0.3">
      <c r="A6638" s="21" t="str">
        <f t="shared" si="103"/>
        <v>.</v>
      </c>
      <c r="D6638" s="44"/>
      <c r="E6638" s="22" t="str">
        <f>IF(D6638&lt;&gt;"",IFERROR(INDEX(Produtos!$C$4:$C$4996,MATCH(D6638,Produtos!$B$4:$B$4996,0)),"Produto não encontrado"),"")</f>
        <v/>
      </c>
    </row>
    <row r="6639" spans="1:5" x14ac:dyDescent="0.3">
      <c r="A6639" s="21" t="str">
        <f t="shared" si="103"/>
        <v>.</v>
      </c>
      <c r="D6639" s="44"/>
      <c r="E6639" s="22" t="str">
        <f>IF(D6639&lt;&gt;"",IFERROR(INDEX(Produtos!$C$4:$C$4996,MATCH(D6639,Produtos!$B$4:$B$4996,0)),"Produto não encontrado"),"")</f>
        <v/>
      </c>
    </row>
    <row r="6640" spans="1:5" x14ac:dyDescent="0.3">
      <c r="A6640" s="21" t="str">
        <f t="shared" si="103"/>
        <v>.</v>
      </c>
      <c r="D6640" s="44"/>
      <c r="E6640" s="22" t="str">
        <f>IF(D6640&lt;&gt;"",IFERROR(INDEX(Produtos!$C$4:$C$4996,MATCH(D6640,Produtos!$B$4:$B$4996,0)),"Produto não encontrado"),"")</f>
        <v/>
      </c>
    </row>
    <row r="6641" spans="1:5" x14ac:dyDescent="0.3">
      <c r="A6641" s="21" t="str">
        <f t="shared" si="103"/>
        <v>.</v>
      </c>
      <c r="D6641" s="44"/>
      <c r="E6641" s="22" t="str">
        <f>IF(D6641&lt;&gt;"",IFERROR(INDEX(Produtos!$C$4:$C$4996,MATCH(D6641,Produtos!$B$4:$B$4996,0)),"Produto não encontrado"),"")</f>
        <v/>
      </c>
    </row>
    <row r="6642" spans="1:5" x14ac:dyDescent="0.3">
      <c r="A6642" s="21" t="str">
        <f t="shared" si="103"/>
        <v>.</v>
      </c>
      <c r="D6642" s="44"/>
      <c r="E6642" s="22" t="str">
        <f>IF(D6642&lt;&gt;"",IFERROR(INDEX(Produtos!$C$4:$C$4996,MATCH(D6642,Produtos!$B$4:$B$4996,0)),"Produto não encontrado"),"")</f>
        <v/>
      </c>
    </row>
    <row r="6643" spans="1:5" x14ac:dyDescent="0.3">
      <c r="A6643" s="21" t="str">
        <f t="shared" si="103"/>
        <v>.</v>
      </c>
      <c r="D6643" s="44"/>
      <c r="E6643" s="22" t="str">
        <f>IF(D6643&lt;&gt;"",IFERROR(INDEX(Produtos!$C$4:$C$4996,MATCH(D6643,Produtos!$B$4:$B$4996,0)),"Produto não encontrado"),"")</f>
        <v/>
      </c>
    </row>
    <row r="6644" spans="1:5" x14ac:dyDescent="0.3">
      <c r="A6644" s="21" t="str">
        <f t="shared" si="103"/>
        <v>.</v>
      </c>
      <c r="D6644" s="44"/>
      <c r="E6644" s="22" t="str">
        <f>IF(D6644&lt;&gt;"",IFERROR(INDEX(Produtos!$C$4:$C$4996,MATCH(D6644,Produtos!$B$4:$B$4996,0)),"Produto não encontrado"),"")</f>
        <v/>
      </c>
    </row>
    <row r="6645" spans="1:5" x14ac:dyDescent="0.3">
      <c r="A6645" s="21" t="str">
        <f t="shared" si="103"/>
        <v>.</v>
      </c>
      <c r="D6645" s="44"/>
      <c r="E6645" s="22" t="str">
        <f>IF(D6645&lt;&gt;"",IFERROR(INDEX(Produtos!$C$4:$C$4996,MATCH(D6645,Produtos!$B$4:$B$4996,0)),"Produto não encontrado"),"")</f>
        <v/>
      </c>
    </row>
    <row r="6646" spans="1:5" x14ac:dyDescent="0.3">
      <c r="A6646" s="21" t="str">
        <f t="shared" si="103"/>
        <v>.</v>
      </c>
      <c r="D6646" s="44"/>
      <c r="E6646" s="22" t="str">
        <f>IF(D6646&lt;&gt;"",IFERROR(INDEX(Produtos!$C$4:$C$4996,MATCH(D6646,Produtos!$B$4:$B$4996,0)),"Produto não encontrado"),"")</f>
        <v/>
      </c>
    </row>
    <row r="6647" spans="1:5" x14ac:dyDescent="0.3">
      <c r="A6647" s="21" t="str">
        <f t="shared" si="103"/>
        <v>.</v>
      </c>
      <c r="D6647" s="44"/>
      <c r="E6647" s="22" t="str">
        <f>IF(D6647&lt;&gt;"",IFERROR(INDEX(Produtos!$C$4:$C$4996,MATCH(D6647,Produtos!$B$4:$B$4996,0)),"Produto não encontrado"),"")</f>
        <v/>
      </c>
    </row>
    <row r="6648" spans="1:5" x14ac:dyDescent="0.3">
      <c r="A6648" s="21" t="str">
        <f t="shared" si="103"/>
        <v>.</v>
      </c>
      <c r="D6648" s="44"/>
      <c r="E6648" s="22" t="str">
        <f>IF(D6648&lt;&gt;"",IFERROR(INDEX(Produtos!$C$4:$C$4996,MATCH(D6648,Produtos!$B$4:$B$4996,0)),"Produto não encontrado"),"")</f>
        <v/>
      </c>
    </row>
    <row r="6649" spans="1:5" x14ac:dyDescent="0.3">
      <c r="A6649" s="21" t="str">
        <f t="shared" si="103"/>
        <v>.</v>
      </c>
      <c r="D6649" s="44"/>
      <c r="E6649" s="22" t="str">
        <f>IF(D6649&lt;&gt;"",IFERROR(INDEX(Produtos!$C$4:$C$4996,MATCH(D6649,Produtos!$B$4:$B$4996,0)),"Produto não encontrado"),"")</f>
        <v/>
      </c>
    </row>
    <row r="6650" spans="1:5" x14ac:dyDescent="0.3">
      <c r="A6650" s="21" t="str">
        <f t="shared" si="103"/>
        <v>.</v>
      </c>
      <c r="D6650" s="44"/>
      <c r="E6650" s="22" t="str">
        <f>IF(D6650&lt;&gt;"",IFERROR(INDEX(Produtos!$C$4:$C$4996,MATCH(D6650,Produtos!$B$4:$B$4996,0)),"Produto não encontrado"),"")</f>
        <v/>
      </c>
    </row>
    <row r="6651" spans="1:5" x14ac:dyDescent="0.3">
      <c r="A6651" s="21" t="str">
        <f t="shared" si="103"/>
        <v>.</v>
      </c>
      <c r="D6651" s="44"/>
      <c r="E6651" s="22" t="str">
        <f>IF(D6651&lt;&gt;"",IFERROR(INDEX(Produtos!$C$4:$C$4996,MATCH(D6651,Produtos!$B$4:$B$4996,0)),"Produto não encontrado"),"")</f>
        <v/>
      </c>
    </row>
    <row r="6652" spans="1:5" x14ac:dyDescent="0.3">
      <c r="A6652" s="21" t="str">
        <f t="shared" si="103"/>
        <v>.</v>
      </c>
      <c r="D6652" s="44"/>
      <c r="E6652" s="22" t="str">
        <f>IF(D6652&lt;&gt;"",IFERROR(INDEX(Produtos!$C$4:$C$4996,MATCH(D6652,Produtos!$B$4:$B$4996,0)),"Produto não encontrado"),"")</f>
        <v/>
      </c>
    </row>
    <row r="6653" spans="1:5" x14ac:dyDescent="0.3">
      <c r="A6653" s="21" t="str">
        <f t="shared" si="103"/>
        <v>.</v>
      </c>
      <c r="D6653" s="44"/>
      <c r="E6653" s="22" t="str">
        <f>IF(D6653&lt;&gt;"",IFERROR(INDEX(Produtos!$C$4:$C$4996,MATCH(D6653,Produtos!$B$4:$B$4996,0)),"Produto não encontrado"),"")</f>
        <v/>
      </c>
    </row>
    <row r="6654" spans="1:5" x14ac:dyDescent="0.3">
      <c r="A6654" s="21" t="str">
        <f t="shared" si="103"/>
        <v>.</v>
      </c>
      <c r="D6654" s="44"/>
      <c r="E6654" s="22" t="str">
        <f>IF(D6654&lt;&gt;"",IFERROR(INDEX(Produtos!$C$4:$C$4996,MATCH(D6654,Produtos!$B$4:$B$4996,0)),"Produto não encontrado"),"")</f>
        <v/>
      </c>
    </row>
    <row r="6655" spans="1:5" x14ac:dyDescent="0.3">
      <c r="A6655" s="21" t="str">
        <f t="shared" si="103"/>
        <v>.</v>
      </c>
      <c r="D6655" s="44"/>
      <c r="E6655" s="22" t="str">
        <f>IF(D6655&lt;&gt;"",IFERROR(INDEX(Produtos!$C$4:$C$4996,MATCH(D6655,Produtos!$B$4:$B$4996,0)),"Produto não encontrado"),"")</f>
        <v/>
      </c>
    </row>
    <row r="6656" spans="1:5" x14ac:dyDescent="0.3">
      <c r="A6656" s="21" t="str">
        <f t="shared" ref="A6656:A6719" si="104">IF(C6656="Entrada",2,IF(C6656="Saída",1,"."))</f>
        <v>.</v>
      </c>
      <c r="D6656" s="44"/>
      <c r="E6656" s="22" t="str">
        <f>IF(D6656&lt;&gt;"",IFERROR(INDEX(Produtos!$C$4:$C$4996,MATCH(D6656,Produtos!$B$4:$B$4996,0)),"Produto não encontrado"),"")</f>
        <v/>
      </c>
    </row>
    <row r="6657" spans="1:5" x14ac:dyDescent="0.3">
      <c r="A6657" s="21" t="str">
        <f t="shared" si="104"/>
        <v>.</v>
      </c>
      <c r="D6657" s="44"/>
      <c r="E6657" s="22" t="str">
        <f>IF(D6657&lt;&gt;"",IFERROR(INDEX(Produtos!$C$4:$C$4996,MATCH(D6657,Produtos!$B$4:$B$4996,0)),"Produto não encontrado"),"")</f>
        <v/>
      </c>
    </row>
    <row r="6658" spans="1:5" x14ac:dyDescent="0.3">
      <c r="A6658" s="21" t="str">
        <f t="shared" si="104"/>
        <v>.</v>
      </c>
      <c r="D6658" s="44"/>
      <c r="E6658" s="22" t="str">
        <f>IF(D6658&lt;&gt;"",IFERROR(INDEX(Produtos!$C$4:$C$4996,MATCH(D6658,Produtos!$B$4:$B$4996,0)),"Produto não encontrado"),"")</f>
        <v/>
      </c>
    </row>
    <row r="6659" spans="1:5" x14ac:dyDescent="0.3">
      <c r="A6659" s="21" t="str">
        <f t="shared" si="104"/>
        <v>.</v>
      </c>
      <c r="D6659" s="44"/>
      <c r="E6659" s="22" t="str">
        <f>IF(D6659&lt;&gt;"",IFERROR(INDEX(Produtos!$C$4:$C$4996,MATCH(D6659,Produtos!$B$4:$B$4996,0)),"Produto não encontrado"),"")</f>
        <v/>
      </c>
    </row>
    <row r="6660" spans="1:5" x14ac:dyDescent="0.3">
      <c r="A6660" s="21" t="str">
        <f t="shared" si="104"/>
        <v>.</v>
      </c>
      <c r="D6660" s="44"/>
      <c r="E6660" s="22" t="str">
        <f>IF(D6660&lt;&gt;"",IFERROR(INDEX(Produtos!$C$4:$C$4996,MATCH(D6660,Produtos!$B$4:$B$4996,0)),"Produto não encontrado"),"")</f>
        <v/>
      </c>
    </row>
    <row r="6661" spans="1:5" x14ac:dyDescent="0.3">
      <c r="A6661" s="21" t="str">
        <f t="shared" si="104"/>
        <v>.</v>
      </c>
      <c r="D6661" s="44"/>
      <c r="E6661" s="22" t="str">
        <f>IF(D6661&lt;&gt;"",IFERROR(INDEX(Produtos!$C$4:$C$4996,MATCH(D6661,Produtos!$B$4:$B$4996,0)),"Produto não encontrado"),"")</f>
        <v/>
      </c>
    </row>
    <row r="6662" spans="1:5" x14ac:dyDescent="0.3">
      <c r="A6662" s="21" t="str">
        <f t="shared" si="104"/>
        <v>.</v>
      </c>
      <c r="D6662" s="44"/>
      <c r="E6662" s="22" t="str">
        <f>IF(D6662&lt;&gt;"",IFERROR(INDEX(Produtos!$C$4:$C$4996,MATCH(D6662,Produtos!$B$4:$B$4996,0)),"Produto não encontrado"),"")</f>
        <v/>
      </c>
    </row>
    <row r="6663" spans="1:5" x14ac:dyDescent="0.3">
      <c r="A6663" s="21" t="str">
        <f t="shared" si="104"/>
        <v>.</v>
      </c>
      <c r="D6663" s="44"/>
      <c r="E6663" s="22" t="str">
        <f>IF(D6663&lt;&gt;"",IFERROR(INDEX(Produtos!$C$4:$C$4996,MATCH(D6663,Produtos!$B$4:$B$4996,0)),"Produto não encontrado"),"")</f>
        <v/>
      </c>
    </row>
    <row r="6664" spans="1:5" x14ac:dyDescent="0.3">
      <c r="A6664" s="21" t="str">
        <f t="shared" si="104"/>
        <v>.</v>
      </c>
      <c r="D6664" s="44"/>
      <c r="E6664" s="22" t="str">
        <f>IF(D6664&lt;&gt;"",IFERROR(INDEX(Produtos!$C$4:$C$4996,MATCH(D6664,Produtos!$B$4:$B$4996,0)),"Produto não encontrado"),"")</f>
        <v/>
      </c>
    </row>
    <row r="6665" spans="1:5" x14ac:dyDescent="0.3">
      <c r="A6665" s="21" t="str">
        <f t="shared" si="104"/>
        <v>.</v>
      </c>
      <c r="D6665" s="44"/>
      <c r="E6665" s="22" t="str">
        <f>IF(D6665&lt;&gt;"",IFERROR(INDEX(Produtos!$C$4:$C$4996,MATCH(D6665,Produtos!$B$4:$B$4996,0)),"Produto não encontrado"),"")</f>
        <v/>
      </c>
    </row>
    <row r="6666" spans="1:5" x14ac:dyDescent="0.3">
      <c r="A6666" s="21" t="str">
        <f t="shared" si="104"/>
        <v>.</v>
      </c>
      <c r="D6666" s="44"/>
      <c r="E6666" s="22" t="str">
        <f>IF(D6666&lt;&gt;"",IFERROR(INDEX(Produtos!$C$4:$C$4996,MATCH(D6666,Produtos!$B$4:$B$4996,0)),"Produto não encontrado"),"")</f>
        <v/>
      </c>
    </row>
    <row r="6667" spans="1:5" x14ac:dyDescent="0.3">
      <c r="A6667" s="21" t="str">
        <f t="shared" si="104"/>
        <v>.</v>
      </c>
      <c r="D6667" s="44"/>
      <c r="E6667" s="22" t="str">
        <f>IF(D6667&lt;&gt;"",IFERROR(INDEX(Produtos!$C$4:$C$4996,MATCH(D6667,Produtos!$B$4:$B$4996,0)),"Produto não encontrado"),"")</f>
        <v/>
      </c>
    </row>
    <row r="6668" spans="1:5" x14ac:dyDescent="0.3">
      <c r="A6668" s="21" t="str">
        <f t="shared" si="104"/>
        <v>.</v>
      </c>
      <c r="D6668" s="44"/>
      <c r="E6668" s="22" t="str">
        <f>IF(D6668&lt;&gt;"",IFERROR(INDEX(Produtos!$C$4:$C$4996,MATCH(D6668,Produtos!$B$4:$B$4996,0)),"Produto não encontrado"),"")</f>
        <v/>
      </c>
    </row>
    <row r="6669" spans="1:5" x14ac:dyDescent="0.3">
      <c r="A6669" s="21" t="str">
        <f t="shared" si="104"/>
        <v>.</v>
      </c>
      <c r="D6669" s="44"/>
      <c r="E6669" s="22" t="str">
        <f>IF(D6669&lt;&gt;"",IFERROR(INDEX(Produtos!$C$4:$C$4996,MATCH(D6669,Produtos!$B$4:$B$4996,0)),"Produto não encontrado"),"")</f>
        <v/>
      </c>
    </row>
    <row r="6670" spans="1:5" x14ac:dyDescent="0.3">
      <c r="A6670" s="21" t="str">
        <f t="shared" si="104"/>
        <v>.</v>
      </c>
      <c r="D6670" s="44"/>
      <c r="E6670" s="22" t="str">
        <f>IF(D6670&lt;&gt;"",IFERROR(INDEX(Produtos!$C$4:$C$4996,MATCH(D6670,Produtos!$B$4:$B$4996,0)),"Produto não encontrado"),"")</f>
        <v/>
      </c>
    </row>
    <row r="6671" spans="1:5" x14ac:dyDescent="0.3">
      <c r="A6671" s="21" t="str">
        <f t="shared" si="104"/>
        <v>.</v>
      </c>
      <c r="D6671" s="44"/>
      <c r="E6671" s="22" t="str">
        <f>IF(D6671&lt;&gt;"",IFERROR(INDEX(Produtos!$C$4:$C$4996,MATCH(D6671,Produtos!$B$4:$B$4996,0)),"Produto não encontrado"),"")</f>
        <v/>
      </c>
    </row>
    <row r="6672" spans="1:5" x14ac:dyDescent="0.3">
      <c r="A6672" s="21" t="str">
        <f t="shared" si="104"/>
        <v>.</v>
      </c>
      <c r="D6672" s="44"/>
      <c r="E6672" s="22" t="str">
        <f>IF(D6672&lt;&gt;"",IFERROR(INDEX(Produtos!$C$4:$C$4996,MATCH(D6672,Produtos!$B$4:$B$4996,0)),"Produto não encontrado"),"")</f>
        <v/>
      </c>
    </row>
    <row r="6673" spans="1:5" x14ac:dyDescent="0.3">
      <c r="A6673" s="21" t="str">
        <f t="shared" si="104"/>
        <v>.</v>
      </c>
      <c r="D6673" s="44"/>
      <c r="E6673" s="22" t="str">
        <f>IF(D6673&lt;&gt;"",IFERROR(INDEX(Produtos!$C$4:$C$4996,MATCH(D6673,Produtos!$B$4:$B$4996,0)),"Produto não encontrado"),"")</f>
        <v/>
      </c>
    </row>
    <row r="6674" spans="1:5" x14ac:dyDescent="0.3">
      <c r="A6674" s="21" t="str">
        <f t="shared" si="104"/>
        <v>.</v>
      </c>
      <c r="D6674" s="44"/>
      <c r="E6674" s="22" t="str">
        <f>IF(D6674&lt;&gt;"",IFERROR(INDEX(Produtos!$C$4:$C$4996,MATCH(D6674,Produtos!$B$4:$B$4996,0)),"Produto não encontrado"),"")</f>
        <v/>
      </c>
    </row>
    <row r="6675" spans="1:5" x14ac:dyDescent="0.3">
      <c r="A6675" s="21" t="str">
        <f t="shared" si="104"/>
        <v>.</v>
      </c>
      <c r="D6675" s="44"/>
      <c r="E6675" s="22" t="str">
        <f>IF(D6675&lt;&gt;"",IFERROR(INDEX(Produtos!$C$4:$C$4996,MATCH(D6675,Produtos!$B$4:$B$4996,0)),"Produto não encontrado"),"")</f>
        <v/>
      </c>
    </row>
    <row r="6676" spans="1:5" x14ac:dyDescent="0.3">
      <c r="A6676" s="21" t="str">
        <f t="shared" si="104"/>
        <v>.</v>
      </c>
      <c r="D6676" s="44"/>
      <c r="E6676" s="22" t="str">
        <f>IF(D6676&lt;&gt;"",IFERROR(INDEX(Produtos!$C$4:$C$4996,MATCH(D6676,Produtos!$B$4:$B$4996,0)),"Produto não encontrado"),"")</f>
        <v/>
      </c>
    </row>
    <row r="6677" spans="1:5" x14ac:dyDescent="0.3">
      <c r="A6677" s="21" t="str">
        <f t="shared" si="104"/>
        <v>.</v>
      </c>
      <c r="D6677" s="44"/>
      <c r="E6677" s="22" t="str">
        <f>IF(D6677&lt;&gt;"",IFERROR(INDEX(Produtos!$C$4:$C$4996,MATCH(D6677,Produtos!$B$4:$B$4996,0)),"Produto não encontrado"),"")</f>
        <v/>
      </c>
    </row>
    <row r="6678" spans="1:5" x14ac:dyDescent="0.3">
      <c r="A6678" s="21" t="str">
        <f t="shared" si="104"/>
        <v>.</v>
      </c>
      <c r="D6678" s="44"/>
      <c r="E6678" s="22" t="str">
        <f>IF(D6678&lt;&gt;"",IFERROR(INDEX(Produtos!$C$4:$C$4996,MATCH(D6678,Produtos!$B$4:$B$4996,0)),"Produto não encontrado"),"")</f>
        <v/>
      </c>
    </row>
    <row r="6679" spans="1:5" x14ac:dyDescent="0.3">
      <c r="A6679" s="21" t="str">
        <f t="shared" si="104"/>
        <v>.</v>
      </c>
      <c r="D6679" s="44"/>
      <c r="E6679" s="22" t="str">
        <f>IF(D6679&lt;&gt;"",IFERROR(INDEX(Produtos!$C$4:$C$4996,MATCH(D6679,Produtos!$B$4:$B$4996,0)),"Produto não encontrado"),"")</f>
        <v/>
      </c>
    </row>
    <row r="6680" spans="1:5" x14ac:dyDescent="0.3">
      <c r="A6680" s="21" t="str">
        <f t="shared" si="104"/>
        <v>.</v>
      </c>
      <c r="D6680" s="44"/>
      <c r="E6680" s="22" t="str">
        <f>IF(D6680&lt;&gt;"",IFERROR(INDEX(Produtos!$C$4:$C$4996,MATCH(D6680,Produtos!$B$4:$B$4996,0)),"Produto não encontrado"),"")</f>
        <v/>
      </c>
    </row>
    <row r="6681" spans="1:5" x14ac:dyDescent="0.3">
      <c r="A6681" s="21" t="str">
        <f t="shared" si="104"/>
        <v>.</v>
      </c>
      <c r="D6681" s="44"/>
      <c r="E6681" s="22" t="str">
        <f>IF(D6681&lt;&gt;"",IFERROR(INDEX(Produtos!$C$4:$C$4996,MATCH(D6681,Produtos!$B$4:$B$4996,0)),"Produto não encontrado"),"")</f>
        <v/>
      </c>
    </row>
    <row r="6682" spans="1:5" x14ac:dyDescent="0.3">
      <c r="A6682" s="21" t="str">
        <f t="shared" si="104"/>
        <v>.</v>
      </c>
      <c r="D6682" s="44"/>
      <c r="E6682" s="22" t="str">
        <f>IF(D6682&lt;&gt;"",IFERROR(INDEX(Produtos!$C$4:$C$4996,MATCH(D6682,Produtos!$B$4:$B$4996,0)),"Produto não encontrado"),"")</f>
        <v/>
      </c>
    </row>
    <row r="6683" spans="1:5" x14ac:dyDescent="0.3">
      <c r="A6683" s="21" t="str">
        <f t="shared" si="104"/>
        <v>.</v>
      </c>
      <c r="D6683" s="44"/>
      <c r="E6683" s="22" t="str">
        <f>IF(D6683&lt;&gt;"",IFERROR(INDEX(Produtos!$C$4:$C$4996,MATCH(D6683,Produtos!$B$4:$B$4996,0)),"Produto não encontrado"),"")</f>
        <v/>
      </c>
    </row>
    <row r="6684" spans="1:5" x14ac:dyDescent="0.3">
      <c r="A6684" s="21" t="str">
        <f t="shared" si="104"/>
        <v>.</v>
      </c>
      <c r="D6684" s="44"/>
      <c r="E6684" s="22" t="str">
        <f>IF(D6684&lt;&gt;"",IFERROR(INDEX(Produtos!$C$4:$C$4996,MATCH(D6684,Produtos!$B$4:$B$4996,0)),"Produto não encontrado"),"")</f>
        <v/>
      </c>
    </row>
    <row r="6685" spans="1:5" x14ac:dyDescent="0.3">
      <c r="A6685" s="21" t="str">
        <f t="shared" si="104"/>
        <v>.</v>
      </c>
      <c r="D6685" s="44"/>
      <c r="E6685" s="22" t="str">
        <f>IF(D6685&lt;&gt;"",IFERROR(INDEX(Produtos!$C$4:$C$4996,MATCH(D6685,Produtos!$B$4:$B$4996,0)),"Produto não encontrado"),"")</f>
        <v/>
      </c>
    </row>
    <row r="6686" spans="1:5" x14ac:dyDescent="0.3">
      <c r="A6686" s="21" t="str">
        <f t="shared" si="104"/>
        <v>.</v>
      </c>
      <c r="D6686" s="44"/>
      <c r="E6686" s="22" t="str">
        <f>IF(D6686&lt;&gt;"",IFERROR(INDEX(Produtos!$C$4:$C$4996,MATCH(D6686,Produtos!$B$4:$B$4996,0)),"Produto não encontrado"),"")</f>
        <v/>
      </c>
    </row>
    <row r="6687" spans="1:5" x14ac:dyDescent="0.3">
      <c r="A6687" s="21" t="str">
        <f t="shared" si="104"/>
        <v>.</v>
      </c>
      <c r="D6687" s="44"/>
      <c r="E6687" s="22" t="str">
        <f>IF(D6687&lt;&gt;"",IFERROR(INDEX(Produtos!$C$4:$C$4996,MATCH(D6687,Produtos!$B$4:$B$4996,0)),"Produto não encontrado"),"")</f>
        <v/>
      </c>
    </row>
    <row r="6688" spans="1:5" x14ac:dyDescent="0.3">
      <c r="A6688" s="21" t="str">
        <f t="shared" si="104"/>
        <v>.</v>
      </c>
      <c r="D6688" s="44"/>
      <c r="E6688" s="22" t="str">
        <f>IF(D6688&lt;&gt;"",IFERROR(INDEX(Produtos!$C$4:$C$4996,MATCH(D6688,Produtos!$B$4:$B$4996,0)),"Produto não encontrado"),"")</f>
        <v/>
      </c>
    </row>
    <row r="6689" spans="1:5" x14ac:dyDescent="0.3">
      <c r="A6689" s="21" t="str">
        <f t="shared" si="104"/>
        <v>.</v>
      </c>
      <c r="D6689" s="44"/>
      <c r="E6689" s="22" t="str">
        <f>IF(D6689&lt;&gt;"",IFERROR(INDEX(Produtos!$C$4:$C$4996,MATCH(D6689,Produtos!$B$4:$B$4996,0)),"Produto não encontrado"),"")</f>
        <v/>
      </c>
    </row>
    <row r="6690" spans="1:5" x14ac:dyDescent="0.3">
      <c r="A6690" s="21" t="str">
        <f t="shared" si="104"/>
        <v>.</v>
      </c>
      <c r="D6690" s="44"/>
      <c r="E6690" s="22" t="str">
        <f>IF(D6690&lt;&gt;"",IFERROR(INDEX(Produtos!$C$4:$C$4996,MATCH(D6690,Produtos!$B$4:$B$4996,0)),"Produto não encontrado"),"")</f>
        <v/>
      </c>
    </row>
    <row r="6691" spans="1:5" x14ac:dyDescent="0.3">
      <c r="A6691" s="21" t="str">
        <f t="shared" si="104"/>
        <v>.</v>
      </c>
      <c r="D6691" s="44"/>
      <c r="E6691" s="22" t="str">
        <f>IF(D6691&lt;&gt;"",IFERROR(INDEX(Produtos!$C$4:$C$4996,MATCH(D6691,Produtos!$B$4:$B$4996,0)),"Produto não encontrado"),"")</f>
        <v/>
      </c>
    </row>
    <row r="6692" spans="1:5" x14ac:dyDescent="0.3">
      <c r="A6692" s="21" t="str">
        <f t="shared" si="104"/>
        <v>.</v>
      </c>
      <c r="D6692" s="44"/>
      <c r="E6692" s="22" t="str">
        <f>IF(D6692&lt;&gt;"",IFERROR(INDEX(Produtos!$C$4:$C$4996,MATCH(D6692,Produtos!$B$4:$B$4996,0)),"Produto não encontrado"),"")</f>
        <v/>
      </c>
    </row>
    <row r="6693" spans="1:5" x14ac:dyDescent="0.3">
      <c r="A6693" s="21" t="str">
        <f t="shared" si="104"/>
        <v>.</v>
      </c>
      <c r="D6693" s="44"/>
      <c r="E6693" s="22" t="str">
        <f>IF(D6693&lt;&gt;"",IFERROR(INDEX(Produtos!$C$4:$C$4996,MATCH(D6693,Produtos!$B$4:$B$4996,0)),"Produto não encontrado"),"")</f>
        <v/>
      </c>
    </row>
    <row r="6694" spans="1:5" x14ac:dyDescent="0.3">
      <c r="A6694" s="21" t="str">
        <f t="shared" si="104"/>
        <v>.</v>
      </c>
      <c r="D6694" s="44"/>
      <c r="E6694" s="22" t="str">
        <f>IF(D6694&lt;&gt;"",IFERROR(INDEX(Produtos!$C$4:$C$4996,MATCH(D6694,Produtos!$B$4:$B$4996,0)),"Produto não encontrado"),"")</f>
        <v/>
      </c>
    </row>
    <row r="6695" spans="1:5" x14ac:dyDescent="0.3">
      <c r="A6695" s="21" t="str">
        <f t="shared" si="104"/>
        <v>.</v>
      </c>
      <c r="D6695" s="44"/>
      <c r="E6695" s="22" t="str">
        <f>IF(D6695&lt;&gt;"",IFERROR(INDEX(Produtos!$C$4:$C$4996,MATCH(D6695,Produtos!$B$4:$B$4996,0)),"Produto não encontrado"),"")</f>
        <v/>
      </c>
    </row>
    <row r="6696" spans="1:5" x14ac:dyDescent="0.3">
      <c r="A6696" s="21" t="str">
        <f t="shared" si="104"/>
        <v>.</v>
      </c>
      <c r="D6696" s="44"/>
      <c r="E6696" s="22" t="str">
        <f>IF(D6696&lt;&gt;"",IFERROR(INDEX(Produtos!$C$4:$C$4996,MATCH(D6696,Produtos!$B$4:$B$4996,0)),"Produto não encontrado"),"")</f>
        <v/>
      </c>
    </row>
    <row r="6697" spans="1:5" x14ac:dyDescent="0.3">
      <c r="A6697" s="21" t="str">
        <f t="shared" si="104"/>
        <v>.</v>
      </c>
      <c r="D6697" s="44"/>
      <c r="E6697" s="22" t="str">
        <f>IF(D6697&lt;&gt;"",IFERROR(INDEX(Produtos!$C$4:$C$4996,MATCH(D6697,Produtos!$B$4:$B$4996,0)),"Produto não encontrado"),"")</f>
        <v/>
      </c>
    </row>
    <row r="6698" spans="1:5" x14ac:dyDescent="0.3">
      <c r="A6698" s="21" t="str">
        <f t="shared" si="104"/>
        <v>.</v>
      </c>
      <c r="D6698" s="44"/>
      <c r="E6698" s="22" t="str">
        <f>IF(D6698&lt;&gt;"",IFERROR(INDEX(Produtos!$C$4:$C$4996,MATCH(D6698,Produtos!$B$4:$B$4996,0)),"Produto não encontrado"),"")</f>
        <v/>
      </c>
    </row>
    <row r="6699" spans="1:5" x14ac:dyDescent="0.3">
      <c r="A6699" s="21" t="str">
        <f t="shared" si="104"/>
        <v>.</v>
      </c>
      <c r="D6699" s="44"/>
      <c r="E6699" s="22" t="str">
        <f>IF(D6699&lt;&gt;"",IFERROR(INDEX(Produtos!$C$4:$C$4996,MATCH(D6699,Produtos!$B$4:$B$4996,0)),"Produto não encontrado"),"")</f>
        <v/>
      </c>
    </row>
    <row r="6700" spans="1:5" x14ac:dyDescent="0.3">
      <c r="A6700" s="21" t="str">
        <f t="shared" si="104"/>
        <v>.</v>
      </c>
      <c r="D6700" s="44"/>
      <c r="E6700" s="22" t="str">
        <f>IF(D6700&lt;&gt;"",IFERROR(INDEX(Produtos!$C$4:$C$4996,MATCH(D6700,Produtos!$B$4:$B$4996,0)),"Produto não encontrado"),"")</f>
        <v/>
      </c>
    </row>
    <row r="6701" spans="1:5" x14ac:dyDescent="0.3">
      <c r="A6701" s="21" t="str">
        <f t="shared" si="104"/>
        <v>.</v>
      </c>
      <c r="D6701" s="44"/>
      <c r="E6701" s="22" t="str">
        <f>IF(D6701&lt;&gt;"",IFERROR(INDEX(Produtos!$C$4:$C$4996,MATCH(D6701,Produtos!$B$4:$B$4996,0)),"Produto não encontrado"),"")</f>
        <v/>
      </c>
    </row>
    <row r="6702" spans="1:5" x14ac:dyDescent="0.3">
      <c r="A6702" s="21" t="str">
        <f t="shared" si="104"/>
        <v>.</v>
      </c>
      <c r="D6702" s="44"/>
      <c r="E6702" s="22" t="str">
        <f>IF(D6702&lt;&gt;"",IFERROR(INDEX(Produtos!$C$4:$C$4996,MATCH(D6702,Produtos!$B$4:$B$4996,0)),"Produto não encontrado"),"")</f>
        <v/>
      </c>
    </row>
    <row r="6703" spans="1:5" x14ac:dyDescent="0.3">
      <c r="A6703" s="21" t="str">
        <f t="shared" si="104"/>
        <v>.</v>
      </c>
      <c r="D6703" s="44"/>
      <c r="E6703" s="22" t="str">
        <f>IF(D6703&lt;&gt;"",IFERROR(INDEX(Produtos!$C$4:$C$4996,MATCH(D6703,Produtos!$B$4:$B$4996,0)),"Produto não encontrado"),"")</f>
        <v/>
      </c>
    </row>
    <row r="6704" spans="1:5" x14ac:dyDescent="0.3">
      <c r="A6704" s="21" t="str">
        <f t="shared" si="104"/>
        <v>.</v>
      </c>
      <c r="D6704" s="44"/>
      <c r="E6704" s="22" t="str">
        <f>IF(D6704&lt;&gt;"",IFERROR(INDEX(Produtos!$C$4:$C$4996,MATCH(D6704,Produtos!$B$4:$B$4996,0)),"Produto não encontrado"),"")</f>
        <v/>
      </c>
    </row>
    <row r="6705" spans="1:5" x14ac:dyDescent="0.3">
      <c r="A6705" s="21" t="str">
        <f t="shared" si="104"/>
        <v>.</v>
      </c>
      <c r="D6705" s="44"/>
      <c r="E6705" s="22" t="str">
        <f>IF(D6705&lt;&gt;"",IFERROR(INDEX(Produtos!$C$4:$C$4996,MATCH(D6705,Produtos!$B$4:$B$4996,0)),"Produto não encontrado"),"")</f>
        <v/>
      </c>
    </row>
    <row r="6706" spans="1:5" x14ac:dyDescent="0.3">
      <c r="A6706" s="21" t="str">
        <f t="shared" si="104"/>
        <v>.</v>
      </c>
      <c r="D6706" s="44"/>
      <c r="E6706" s="22" t="str">
        <f>IF(D6706&lt;&gt;"",IFERROR(INDEX(Produtos!$C$4:$C$4996,MATCH(D6706,Produtos!$B$4:$B$4996,0)),"Produto não encontrado"),"")</f>
        <v/>
      </c>
    </row>
    <row r="6707" spans="1:5" x14ac:dyDescent="0.3">
      <c r="A6707" s="21" t="str">
        <f t="shared" si="104"/>
        <v>.</v>
      </c>
      <c r="D6707" s="44"/>
      <c r="E6707" s="22" t="str">
        <f>IF(D6707&lt;&gt;"",IFERROR(INDEX(Produtos!$C$4:$C$4996,MATCH(D6707,Produtos!$B$4:$B$4996,0)),"Produto não encontrado"),"")</f>
        <v/>
      </c>
    </row>
    <row r="6708" spans="1:5" x14ac:dyDescent="0.3">
      <c r="A6708" s="21" t="str">
        <f t="shared" si="104"/>
        <v>.</v>
      </c>
      <c r="D6708" s="44"/>
      <c r="E6708" s="22" t="str">
        <f>IF(D6708&lt;&gt;"",IFERROR(INDEX(Produtos!$C$4:$C$4996,MATCH(D6708,Produtos!$B$4:$B$4996,0)),"Produto não encontrado"),"")</f>
        <v/>
      </c>
    </row>
    <row r="6709" spans="1:5" x14ac:dyDescent="0.3">
      <c r="A6709" s="21" t="str">
        <f t="shared" si="104"/>
        <v>.</v>
      </c>
      <c r="D6709" s="44"/>
      <c r="E6709" s="22" t="str">
        <f>IF(D6709&lt;&gt;"",IFERROR(INDEX(Produtos!$C$4:$C$4996,MATCH(D6709,Produtos!$B$4:$B$4996,0)),"Produto não encontrado"),"")</f>
        <v/>
      </c>
    </row>
    <row r="6710" spans="1:5" x14ac:dyDescent="0.3">
      <c r="A6710" s="21" t="str">
        <f t="shared" si="104"/>
        <v>.</v>
      </c>
      <c r="D6710" s="44"/>
      <c r="E6710" s="22" t="str">
        <f>IF(D6710&lt;&gt;"",IFERROR(INDEX(Produtos!$C$4:$C$4996,MATCH(D6710,Produtos!$B$4:$B$4996,0)),"Produto não encontrado"),"")</f>
        <v/>
      </c>
    </row>
    <row r="6711" spans="1:5" x14ac:dyDescent="0.3">
      <c r="A6711" s="21" t="str">
        <f t="shared" si="104"/>
        <v>.</v>
      </c>
      <c r="D6711" s="44"/>
      <c r="E6711" s="22" t="str">
        <f>IF(D6711&lt;&gt;"",IFERROR(INDEX(Produtos!$C$4:$C$4996,MATCH(D6711,Produtos!$B$4:$B$4996,0)),"Produto não encontrado"),"")</f>
        <v/>
      </c>
    </row>
    <row r="6712" spans="1:5" x14ac:dyDescent="0.3">
      <c r="A6712" s="21" t="str">
        <f t="shared" si="104"/>
        <v>.</v>
      </c>
      <c r="D6712" s="44"/>
      <c r="E6712" s="22" t="str">
        <f>IF(D6712&lt;&gt;"",IFERROR(INDEX(Produtos!$C$4:$C$4996,MATCH(D6712,Produtos!$B$4:$B$4996,0)),"Produto não encontrado"),"")</f>
        <v/>
      </c>
    </row>
    <row r="6713" spans="1:5" x14ac:dyDescent="0.3">
      <c r="A6713" s="21" t="str">
        <f t="shared" si="104"/>
        <v>.</v>
      </c>
      <c r="D6713" s="44"/>
      <c r="E6713" s="22" t="str">
        <f>IF(D6713&lt;&gt;"",IFERROR(INDEX(Produtos!$C$4:$C$4996,MATCH(D6713,Produtos!$B$4:$B$4996,0)),"Produto não encontrado"),"")</f>
        <v/>
      </c>
    </row>
    <row r="6714" spans="1:5" x14ac:dyDescent="0.3">
      <c r="A6714" s="21" t="str">
        <f t="shared" si="104"/>
        <v>.</v>
      </c>
      <c r="D6714" s="44"/>
      <c r="E6714" s="22" t="str">
        <f>IF(D6714&lt;&gt;"",IFERROR(INDEX(Produtos!$C$4:$C$4996,MATCH(D6714,Produtos!$B$4:$B$4996,0)),"Produto não encontrado"),"")</f>
        <v/>
      </c>
    </row>
    <row r="6715" spans="1:5" x14ac:dyDescent="0.3">
      <c r="A6715" s="21" t="str">
        <f t="shared" si="104"/>
        <v>.</v>
      </c>
      <c r="D6715" s="44"/>
      <c r="E6715" s="22" t="str">
        <f>IF(D6715&lt;&gt;"",IFERROR(INDEX(Produtos!$C$4:$C$4996,MATCH(D6715,Produtos!$B$4:$B$4996,0)),"Produto não encontrado"),"")</f>
        <v/>
      </c>
    </row>
    <row r="6716" spans="1:5" x14ac:dyDescent="0.3">
      <c r="A6716" s="21" t="str">
        <f t="shared" si="104"/>
        <v>.</v>
      </c>
      <c r="D6716" s="44"/>
      <c r="E6716" s="22" t="str">
        <f>IF(D6716&lt;&gt;"",IFERROR(INDEX(Produtos!$C$4:$C$4996,MATCH(D6716,Produtos!$B$4:$B$4996,0)),"Produto não encontrado"),"")</f>
        <v/>
      </c>
    </row>
    <row r="6717" spans="1:5" x14ac:dyDescent="0.3">
      <c r="A6717" s="21" t="str">
        <f t="shared" si="104"/>
        <v>.</v>
      </c>
      <c r="D6717" s="44"/>
      <c r="E6717" s="22" t="str">
        <f>IF(D6717&lt;&gt;"",IFERROR(INDEX(Produtos!$C$4:$C$4996,MATCH(D6717,Produtos!$B$4:$B$4996,0)),"Produto não encontrado"),"")</f>
        <v/>
      </c>
    </row>
    <row r="6718" spans="1:5" x14ac:dyDescent="0.3">
      <c r="A6718" s="21" t="str">
        <f t="shared" si="104"/>
        <v>.</v>
      </c>
      <c r="D6718" s="44"/>
      <c r="E6718" s="22" t="str">
        <f>IF(D6718&lt;&gt;"",IFERROR(INDEX(Produtos!$C$4:$C$4996,MATCH(D6718,Produtos!$B$4:$B$4996,0)),"Produto não encontrado"),"")</f>
        <v/>
      </c>
    </row>
    <row r="6719" spans="1:5" x14ac:dyDescent="0.3">
      <c r="A6719" s="21" t="str">
        <f t="shared" si="104"/>
        <v>.</v>
      </c>
      <c r="D6719" s="44"/>
      <c r="E6719" s="22" t="str">
        <f>IF(D6719&lt;&gt;"",IFERROR(INDEX(Produtos!$C$4:$C$4996,MATCH(D6719,Produtos!$B$4:$B$4996,0)),"Produto não encontrado"),"")</f>
        <v/>
      </c>
    </row>
    <row r="6720" spans="1:5" x14ac:dyDescent="0.3">
      <c r="A6720" s="21" t="str">
        <f t="shared" ref="A6720:A6783" si="105">IF(C6720="Entrada",2,IF(C6720="Saída",1,"."))</f>
        <v>.</v>
      </c>
      <c r="D6720" s="44"/>
      <c r="E6720" s="22" t="str">
        <f>IF(D6720&lt;&gt;"",IFERROR(INDEX(Produtos!$C$4:$C$4996,MATCH(D6720,Produtos!$B$4:$B$4996,0)),"Produto não encontrado"),"")</f>
        <v/>
      </c>
    </row>
    <row r="6721" spans="1:5" x14ac:dyDescent="0.3">
      <c r="A6721" s="21" t="str">
        <f t="shared" si="105"/>
        <v>.</v>
      </c>
      <c r="D6721" s="44"/>
      <c r="E6721" s="22" t="str">
        <f>IF(D6721&lt;&gt;"",IFERROR(INDEX(Produtos!$C$4:$C$4996,MATCH(D6721,Produtos!$B$4:$B$4996,0)),"Produto não encontrado"),"")</f>
        <v/>
      </c>
    </row>
    <row r="6722" spans="1:5" x14ac:dyDescent="0.3">
      <c r="A6722" s="21" t="str">
        <f t="shared" si="105"/>
        <v>.</v>
      </c>
      <c r="D6722" s="44"/>
      <c r="E6722" s="22" t="str">
        <f>IF(D6722&lt;&gt;"",IFERROR(INDEX(Produtos!$C$4:$C$4996,MATCH(D6722,Produtos!$B$4:$B$4996,0)),"Produto não encontrado"),"")</f>
        <v/>
      </c>
    </row>
    <row r="6723" spans="1:5" x14ac:dyDescent="0.3">
      <c r="A6723" s="21" t="str">
        <f t="shared" si="105"/>
        <v>.</v>
      </c>
      <c r="D6723" s="44"/>
      <c r="E6723" s="22" t="str">
        <f>IF(D6723&lt;&gt;"",IFERROR(INDEX(Produtos!$C$4:$C$4996,MATCH(D6723,Produtos!$B$4:$B$4996,0)),"Produto não encontrado"),"")</f>
        <v/>
      </c>
    </row>
    <row r="6724" spans="1:5" x14ac:dyDescent="0.3">
      <c r="A6724" s="21" t="str">
        <f t="shared" si="105"/>
        <v>.</v>
      </c>
      <c r="D6724" s="44"/>
      <c r="E6724" s="22" t="str">
        <f>IF(D6724&lt;&gt;"",IFERROR(INDEX(Produtos!$C$4:$C$4996,MATCH(D6724,Produtos!$B$4:$B$4996,0)),"Produto não encontrado"),"")</f>
        <v/>
      </c>
    </row>
    <row r="6725" spans="1:5" x14ac:dyDescent="0.3">
      <c r="A6725" s="21" t="str">
        <f t="shared" si="105"/>
        <v>.</v>
      </c>
      <c r="D6725" s="44"/>
      <c r="E6725" s="22" t="str">
        <f>IF(D6725&lt;&gt;"",IFERROR(INDEX(Produtos!$C$4:$C$4996,MATCH(D6725,Produtos!$B$4:$B$4996,0)),"Produto não encontrado"),"")</f>
        <v/>
      </c>
    </row>
    <row r="6726" spans="1:5" x14ac:dyDescent="0.3">
      <c r="A6726" s="21" t="str">
        <f t="shared" si="105"/>
        <v>.</v>
      </c>
      <c r="D6726" s="44"/>
      <c r="E6726" s="22" t="str">
        <f>IF(D6726&lt;&gt;"",IFERROR(INDEX(Produtos!$C$4:$C$4996,MATCH(D6726,Produtos!$B$4:$B$4996,0)),"Produto não encontrado"),"")</f>
        <v/>
      </c>
    </row>
    <row r="6727" spans="1:5" x14ac:dyDescent="0.3">
      <c r="A6727" s="21" t="str">
        <f t="shared" si="105"/>
        <v>.</v>
      </c>
      <c r="D6727" s="44"/>
      <c r="E6727" s="22" t="str">
        <f>IF(D6727&lt;&gt;"",IFERROR(INDEX(Produtos!$C$4:$C$4996,MATCH(D6727,Produtos!$B$4:$B$4996,0)),"Produto não encontrado"),"")</f>
        <v/>
      </c>
    </row>
    <row r="6728" spans="1:5" x14ac:dyDescent="0.3">
      <c r="A6728" s="21" t="str">
        <f t="shared" si="105"/>
        <v>.</v>
      </c>
      <c r="D6728" s="44"/>
      <c r="E6728" s="22" t="str">
        <f>IF(D6728&lt;&gt;"",IFERROR(INDEX(Produtos!$C$4:$C$4996,MATCH(D6728,Produtos!$B$4:$B$4996,0)),"Produto não encontrado"),"")</f>
        <v/>
      </c>
    </row>
    <row r="6729" spans="1:5" x14ac:dyDescent="0.3">
      <c r="A6729" s="21" t="str">
        <f t="shared" si="105"/>
        <v>.</v>
      </c>
      <c r="D6729" s="44"/>
      <c r="E6729" s="22" t="str">
        <f>IF(D6729&lt;&gt;"",IFERROR(INDEX(Produtos!$C$4:$C$4996,MATCH(D6729,Produtos!$B$4:$B$4996,0)),"Produto não encontrado"),"")</f>
        <v/>
      </c>
    </row>
    <row r="6730" spans="1:5" x14ac:dyDescent="0.3">
      <c r="A6730" s="21" t="str">
        <f t="shared" si="105"/>
        <v>.</v>
      </c>
      <c r="D6730" s="44"/>
      <c r="E6730" s="22" t="str">
        <f>IF(D6730&lt;&gt;"",IFERROR(INDEX(Produtos!$C$4:$C$4996,MATCH(D6730,Produtos!$B$4:$B$4996,0)),"Produto não encontrado"),"")</f>
        <v/>
      </c>
    </row>
    <row r="6731" spans="1:5" x14ac:dyDescent="0.3">
      <c r="A6731" s="21" t="str">
        <f t="shared" si="105"/>
        <v>.</v>
      </c>
      <c r="D6731" s="44"/>
      <c r="E6731" s="22" t="str">
        <f>IF(D6731&lt;&gt;"",IFERROR(INDEX(Produtos!$C$4:$C$4996,MATCH(D6731,Produtos!$B$4:$B$4996,0)),"Produto não encontrado"),"")</f>
        <v/>
      </c>
    </row>
    <row r="6732" spans="1:5" x14ac:dyDescent="0.3">
      <c r="A6732" s="21" t="str">
        <f t="shared" si="105"/>
        <v>.</v>
      </c>
      <c r="D6732" s="44"/>
      <c r="E6732" s="22" t="str">
        <f>IF(D6732&lt;&gt;"",IFERROR(INDEX(Produtos!$C$4:$C$4996,MATCH(D6732,Produtos!$B$4:$B$4996,0)),"Produto não encontrado"),"")</f>
        <v/>
      </c>
    </row>
    <row r="6733" spans="1:5" x14ac:dyDescent="0.3">
      <c r="A6733" s="21" t="str">
        <f t="shared" si="105"/>
        <v>.</v>
      </c>
      <c r="D6733" s="44"/>
      <c r="E6733" s="22" t="str">
        <f>IF(D6733&lt;&gt;"",IFERROR(INDEX(Produtos!$C$4:$C$4996,MATCH(D6733,Produtos!$B$4:$B$4996,0)),"Produto não encontrado"),"")</f>
        <v/>
      </c>
    </row>
    <row r="6734" spans="1:5" x14ac:dyDescent="0.3">
      <c r="A6734" s="21" t="str">
        <f t="shared" si="105"/>
        <v>.</v>
      </c>
      <c r="D6734" s="44"/>
      <c r="E6734" s="22" t="str">
        <f>IF(D6734&lt;&gt;"",IFERROR(INDEX(Produtos!$C$4:$C$4996,MATCH(D6734,Produtos!$B$4:$B$4996,0)),"Produto não encontrado"),"")</f>
        <v/>
      </c>
    </row>
    <row r="6735" spans="1:5" x14ac:dyDescent="0.3">
      <c r="A6735" s="21" t="str">
        <f t="shared" si="105"/>
        <v>.</v>
      </c>
      <c r="D6735" s="44"/>
      <c r="E6735" s="22" t="str">
        <f>IF(D6735&lt;&gt;"",IFERROR(INDEX(Produtos!$C$4:$C$4996,MATCH(D6735,Produtos!$B$4:$B$4996,0)),"Produto não encontrado"),"")</f>
        <v/>
      </c>
    </row>
    <row r="6736" spans="1:5" x14ac:dyDescent="0.3">
      <c r="A6736" s="21" t="str">
        <f t="shared" si="105"/>
        <v>.</v>
      </c>
      <c r="D6736" s="44"/>
      <c r="E6736" s="22" t="str">
        <f>IF(D6736&lt;&gt;"",IFERROR(INDEX(Produtos!$C$4:$C$4996,MATCH(D6736,Produtos!$B$4:$B$4996,0)),"Produto não encontrado"),"")</f>
        <v/>
      </c>
    </row>
    <row r="6737" spans="1:5" x14ac:dyDescent="0.3">
      <c r="A6737" s="21" t="str">
        <f t="shared" si="105"/>
        <v>.</v>
      </c>
      <c r="D6737" s="44"/>
      <c r="E6737" s="22" t="str">
        <f>IF(D6737&lt;&gt;"",IFERROR(INDEX(Produtos!$C$4:$C$4996,MATCH(D6737,Produtos!$B$4:$B$4996,0)),"Produto não encontrado"),"")</f>
        <v/>
      </c>
    </row>
    <row r="6738" spans="1:5" x14ac:dyDescent="0.3">
      <c r="A6738" s="21" t="str">
        <f t="shared" si="105"/>
        <v>.</v>
      </c>
      <c r="D6738" s="44"/>
      <c r="E6738" s="22" t="str">
        <f>IF(D6738&lt;&gt;"",IFERROR(INDEX(Produtos!$C$4:$C$4996,MATCH(D6738,Produtos!$B$4:$B$4996,0)),"Produto não encontrado"),"")</f>
        <v/>
      </c>
    </row>
    <row r="6739" spans="1:5" x14ac:dyDescent="0.3">
      <c r="A6739" s="21" t="str">
        <f t="shared" si="105"/>
        <v>.</v>
      </c>
      <c r="D6739" s="44"/>
      <c r="E6739" s="22" t="str">
        <f>IF(D6739&lt;&gt;"",IFERROR(INDEX(Produtos!$C$4:$C$4996,MATCH(D6739,Produtos!$B$4:$B$4996,0)),"Produto não encontrado"),"")</f>
        <v/>
      </c>
    </row>
    <row r="6740" spans="1:5" x14ac:dyDescent="0.3">
      <c r="A6740" s="21" t="str">
        <f t="shared" si="105"/>
        <v>.</v>
      </c>
      <c r="D6740" s="44"/>
      <c r="E6740" s="22" t="str">
        <f>IF(D6740&lt;&gt;"",IFERROR(INDEX(Produtos!$C$4:$C$4996,MATCH(D6740,Produtos!$B$4:$B$4996,0)),"Produto não encontrado"),"")</f>
        <v/>
      </c>
    </row>
    <row r="6741" spans="1:5" x14ac:dyDescent="0.3">
      <c r="A6741" s="21" t="str">
        <f t="shared" si="105"/>
        <v>.</v>
      </c>
      <c r="D6741" s="44"/>
      <c r="E6741" s="22" t="str">
        <f>IF(D6741&lt;&gt;"",IFERROR(INDEX(Produtos!$C$4:$C$4996,MATCH(D6741,Produtos!$B$4:$B$4996,0)),"Produto não encontrado"),"")</f>
        <v/>
      </c>
    </row>
    <row r="6742" spans="1:5" x14ac:dyDescent="0.3">
      <c r="A6742" s="21" t="str">
        <f t="shared" si="105"/>
        <v>.</v>
      </c>
      <c r="D6742" s="44"/>
      <c r="E6742" s="22" t="str">
        <f>IF(D6742&lt;&gt;"",IFERROR(INDEX(Produtos!$C$4:$C$4996,MATCH(D6742,Produtos!$B$4:$B$4996,0)),"Produto não encontrado"),"")</f>
        <v/>
      </c>
    </row>
    <row r="6743" spans="1:5" x14ac:dyDescent="0.3">
      <c r="A6743" s="21" t="str">
        <f t="shared" si="105"/>
        <v>.</v>
      </c>
      <c r="D6743" s="44"/>
      <c r="E6743" s="22" t="str">
        <f>IF(D6743&lt;&gt;"",IFERROR(INDEX(Produtos!$C$4:$C$4996,MATCH(D6743,Produtos!$B$4:$B$4996,0)),"Produto não encontrado"),"")</f>
        <v/>
      </c>
    </row>
    <row r="6744" spans="1:5" x14ac:dyDescent="0.3">
      <c r="A6744" s="21" t="str">
        <f t="shared" si="105"/>
        <v>.</v>
      </c>
      <c r="D6744" s="44"/>
      <c r="E6744" s="22" t="str">
        <f>IF(D6744&lt;&gt;"",IFERROR(INDEX(Produtos!$C$4:$C$4996,MATCH(D6744,Produtos!$B$4:$B$4996,0)),"Produto não encontrado"),"")</f>
        <v/>
      </c>
    </row>
    <row r="6745" spans="1:5" x14ac:dyDescent="0.3">
      <c r="A6745" s="21" t="str">
        <f t="shared" si="105"/>
        <v>.</v>
      </c>
      <c r="D6745" s="44"/>
      <c r="E6745" s="22" t="str">
        <f>IF(D6745&lt;&gt;"",IFERROR(INDEX(Produtos!$C$4:$C$4996,MATCH(D6745,Produtos!$B$4:$B$4996,0)),"Produto não encontrado"),"")</f>
        <v/>
      </c>
    </row>
    <row r="6746" spans="1:5" x14ac:dyDescent="0.3">
      <c r="A6746" s="21" t="str">
        <f t="shared" si="105"/>
        <v>.</v>
      </c>
      <c r="D6746" s="44"/>
      <c r="E6746" s="22" t="str">
        <f>IF(D6746&lt;&gt;"",IFERROR(INDEX(Produtos!$C$4:$C$4996,MATCH(D6746,Produtos!$B$4:$B$4996,0)),"Produto não encontrado"),"")</f>
        <v/>
      </c>
    </row>
    <row r="6747" spans="1:5" x14ac:dyDescent="0.3">
      <c r="A6747" s="21" t="str">
        <f t="shared" si="105"/>
        <v>.</v>
      </c>
      <c r="D6747" s="44"/>
      <c r="E6747" s="22" t="str">
        <f>IF(D6747&lt;&gt;"",IFERROR(INDEX(Produtos!$C$4:$C$4996,MATCH(D6747,Produtos!$B$4:$B$4996,0)),"Produto não encontrado"),"")</f>
        <v/>
      </c>
    </row>
    <row r="6748" spans="1:5" x14ac:dyDescent="0.3">
      <c r="A6748" s="21" t="str">
        <f t="shared" si="105"/>
        <v>.</v>
      </c>
      <c r="D6748" s="44"/>
      <c r="E6748" s="22" t="str">
        <f>IF(D6748&lt;&gt;"",IFERROR(INDEX(Produtos!$C$4:$C$4996,MATCH(D6748,Produtos!$B$4:$B$4996,0)),"Produto não encontrado"),"")</f>
        <v/>
      </c>
    </row>
    <row r="6749" spans="1:5" x14ac:dyDescent="0.3">
      <c r="A6749" s="21" t="str">
        <f t="shared" si="105"/>
        <v>.</v>
      </c>
      <c r="D6749" s="44"/>
      <c r="E6749" s="22" t="str">
        <f>IF(D6749&lt;&gt;"",IFERROR(INDEX(Produtos!$C$4:$C$4996,MATCH(D6749,Produtos!$B$4:$B$4996,0)),"Produto não encontrado"),"")</f>
        <v/>
      </c>
    </row>
    <row r="6750" spans="1:5" x14ac:dyDescent="0.3">
      <c r="A6750" s="21" t="str">
        <f t="shared" si="105"/>
        <v>.</v>
      </c>
      <c r="D6750" s="44"/>
      <c r="E6750" s="22" t="str">
        <f>IF(D6750&lt;&gt;"",IFERROR(INDEX(Produtos!$C$4:$C$4996,MATCH(D6750,Produtos!$B$4:$B$4996,0)),"Produto não encontrado"),"")</f>
        <v/>
      </c>
    </row>
    <row r="6751" spans="1:5" x14ac:dyDescent="0.3">
      <c r="A6751" s="21" t="str">
        <f t="shared" si="105"/>
        <v>.</v>
      </c>
      <c r="D6751" s="44"/>
      <c r="E6751" s="22" t="str">
        <f>IF(D6751&lt;&gt;"",IFERROR(INDEX(Produtos!$C$4:$C$4996,MATCH(D6751,Produtos!$B$4:$B$4996,0)),"Produto não encontrado"),"")</f>
        <v/>
      </c>
    </row>
    <row r="6752" spans="1:5" x14ac:dyDescent="0.3">
      <c r="A6752" s="21" t="str">
        <f t="shared" si="105"/>
        <v>.</v>
      </c>
      <c r="D6752" s="44"/>
      <c r="E6752" s="22" t="str">
        <f>IF(D6752&lt;&gt;"",IFERROR(INDEX(Produtos!$C$4:$C$4996,MATCH(D6752,Produtos!$B$4:$B$4996,0)),"Produto não encontrado"),"")</f>
        <v/>
      </c>
    </row>
    <row r="6753" spans="1:5" x14ac:dyDescent="0.3">
      <c r="A6753" s="21" t="str">
        <f t="shared" si="105"/>
        <v>.</v>
      </c>
      <c r="D6753" s="44"/>
      <c r="E6753" s="22" t="str">
        <f>IF(D6753&lt;&gt;"",IFERROR(INDEX(Produtos!$C$4:$C$4996,MATCH(D6753,Produtos!$B$4:$B$4996,0)),"Produto não encontrado"),"")</f>
        <v/>
      </c>
    </row>
    <row r="6754" spans="1:5" x14ac:dyDescent="0.3">
      <c r="A6754" s="21" t="str">
        <f t="shared" si="105"/>
        <v>.</v>
      </c>
      <c r="D6754" s="44"/>
      <c r="E6754" s="22" t="str">
        <f>IF(D6754&lt;&gt;"",IFERROR(INDEX(Produtos!$C$4:$C$4996,MATCH(D6754,Produtos!$B$4:$B$4996,0)),"Produto não encontrado"),"")</f>
        <v/>
      </c>
    </row>
    <row r="6755" spans="1:5" x14ac:dyDescent="0.3">
      <c r="A6755" s="21" t="str">
        <f t="shared" si="105"/>
        <v>.</v>
      </c>
      <c r="D6755" s="44"/>
      <c r="E6755" s="22" t="str">
        <f>IF(D6755&lt;&gt;"",IFERROR(INDEX(Produtos!$C$4:$C$4996,MATCH(D6755,Produtos!$B$4:$B$4996,0)),"Produto não encontrado"),"")</f>
        <v/>
      </c>
    </row>
    <row r="6756" spans="1:5" x14ac:dyDescent="0.3">
      <c r="A6756" s="21" t="str">
        <f t="shared" si="105"/>
        <v>.</v>
      </c>
      <c r="D6756" s="44"/>
      <c r="E6756" s="22" t="str">
        <f>IF(D6756&lt;&gt;"",IFERROR(INDEX(Produtos!$C$4:$C$4996,MATCH(D6756,Produtos!$B$4:$B$4996,0)),"Produto não encontrado"),"")</f>
        <v/>
      </c>
    </row>
    <row r="6757" spans="1:5" x14ac:dyDescent="0.3">
      <c r="A6757" s="21" t="str">
        <f t="shared" si="105"/>
        <v>.</v>
      </c>
      <c r="D6757" s="44"/>
      <c r="E6757" s="22" t="str">
        <f>IF(D6757&lt;&gt;"",IFERROR(INDEX(Produtos!$C$4:$C$4996,MATCH(D6757,Produtos!$B$4:$B$4996,0)),"Produto não encontrado"),"")</f>
        <v/>
      </c>
    </row>
    <row r="6758" spans="1:5" x14ac:dyDescent="0.3">
      <c r="A6758" s="21" t="str">
        <f t="shared" si="105"/>
        <v>.</v>
      </c>
      <c r="D6758" s="44"/>
      <c r="E6758" s="22" t="str">
        <f>IF(D6758&lt;&gt;"",IFERROR(INDEX(Produtos!$C$4:$C$4996,MATCH(D6758,Produtos!$B$4:$B$4996,0)),"Produto não encontrado"),"")</f>
        <v/>
      </c>
    </row>
    <row r="6759" spans="1:5" x14ac:dyDescent="0.3">
      <c r="A6759" s="21" t="str">
        <f t="shared" si="105"/>
        <v>.</v>
      </c>
      <c r="D6759" s="44"/>
      <c r="E6759" s="22" t="str">
        <f>IF(D6759&lt;&gt;"",IFERROR(INDEX(Produtos!$C$4:$C$4996,MATCH(D6759,Produtos!$B$4:$B$4996,0)),"Produto não encontrado"),"")</f>
        <v/>
      </c>
    </row>
    <row r="6760" spans="1:5" x14ac:dyDescent="0.3">
      <c r="A6760" s="21" t="str">
        <f t="shared" si="105"/>
        <v>.</v>
      </c>
      <c r="D6760" s="44"/>
      <c r="E6760" s="22" t="str">
        <f>IF(D6760&lt;&gt;"",IFERROR(INDEX(Produtos!$C$4:$C$4996,MATCH(D6760,Produtos!$B$4:$B$4996,0)),"Produto não encontrado"),"")</f>
        <v/>
      </c>
    </row>
    <row r="6761" spans="1:5" x14ac:dyDescent="0.3">
      <c r="A6761" s="21" t="str">
        <f t="shared" si="105"/>
        <v>.</v>
      </c>
      <c r="D6761" s="44"/>
      <c r="E6761" s="22" t="str">
        <f>IF(D6761&lt;&gt;"",IFERROR(INDEX(Produtos!$C$4:$C$4996,MATCH(D6761,Produtos!$B$4:$B$4996,0)),"Produto não encontrado"),"")</f>
        <v/>
      </c>
    </row>
    <row r="6762" spans="1:5" x14ac:dyDescent="0.3">
      <c r="A6762" s="21" t="str">
        <f t="shared" si="105"/>
        <v>.</v>
      </c>
      <c r="D6762" s="44"/>
      <c r="E6762" s="22" t="str">
        <f>IF(D6762&lt;&gt;"",IFERROR(INDEX(Produtos!$C$4:$C$4996,MATCH(D6762,Produtos!$B$4:$B$4996,0)),"Produto não encontrado"),"")</f>
        <v/>
      </c>
    </row>
    <row r="6763" spans="1:5" x14ac:dyDescent="0.3">
      <c r="A6763" s="21" t="str">
        <f t="shared" si="105"/>
        <v>.</v>
      </c>
      <c r="D6763" s="44"/>
      <c r="E6763" s="22" t="str">
        <f>IF(D6763&lt;&gt;"",IFERROR(INDEX(Produtos!$C$4:$C$4996,MATCH(D6763,Produtos!$B$4:$B$4996,0)),"Produto não encontrado"),"")</f>
        <v/>
      </c>
    </row>
    <row r="6764" spans="1:5" x14ac:dyDescent="0.3">
      <c r="A6764" s="21" t="str">
        <f t="shared" si="105"/>
        <v>.</v>
      </c>
      <c r="D6764" s="44"/>
      <c r="E6764" s="22" t="str">
        <f>IF(D6764&lt;&gt;"",IFERROR(INDEX(Produtos!$C$4:$C$4996,MATCH(D6764,Produtos!$B$4:$B$4996,0)),"Produto não encontrado"),"")</f>
        <v/>
      </c>
    </row>
    <row r="6765" spans="1:5" x14ac:dyDescent="0.3">
      <c r="A6765" s="21" t="str">
        <f t="shared" si="105"/>
        <v>.</v>
      </c>
      <c r="D6765" s="44"/>
      <c r="E6765" s="22" t="str">
        <f>IF(D6765&lt;&gt;"",IFERROR(INDEX(Produtos!$C$4:$C$4996,MATCH(D6765,Produtos!$B$4:$B$4996,0)),"Produto não encontrado"),"")</f>
        <v/>
      </c>
    </row>
    <row r="6766" spans="1:5" x14ac:dyDescent="0.3">
      <c r="A6766" s="21" t="str">
        <f t="shared" si="105"/>
        <v>.</v>
      </c>
      <c r="D6766" s="44"/>
      <c r="E6766" s="22" t="str">
        <f>IF(D6766&lt;&gt;"",IFERROR(INDEX(Produtos!$C$4:$C$4996,MATCH(D6766,Produtos!$B$4:$B$4996,0)),"Produto não encontrado"),"")</f>
        <v/>
      </c>
    </row>
    <row r="6767" spans="1:5" x14ac:dyDescent="0.3">
      <c r="A6767" s="21" t="str">
        <f t="shared" si="105"/>
        <v>.</v>
      </c>
      <c r="D6767" s="44"/>
      <c r="E6767" s="22" t="str">
        <f>IF(D6767&lt;&gt;"",IFERROR(INDEX(Produtos!$C$4:$C$4996,MATCH(D6767,Produtos!$B$4:$B$4996,0)),"Produto não encontrado"),"")</f>
        <v/>
      </c>
    </row>
    <row r="6768" spans="1:5" x14ac:dyDescent="0.3">
      <c r="A6768" s="21" t="str">
        <f t="shared" si="105"/>
        <v>.</v>
      </c>
      <c r="D6768" s="44"/>
      <c r="E6768" s="22" t="str">
        <f>IF(D6768&lt;&gt;"",IFERROR(INDEX(Produtos!$C$4:$C$4996,MATCH(D6768,Produtos!$B$4:$B$4996,0)),"Produto não encontrado"),"")</f>
        <v/>
      </c>
    </row>
    <row r="6769" spans="1:5" x14ac:dyDescent="0.3">
      <c r="A6769" s="21" t="str">
        <f t="shared" si="105"/>
        <v>.</v>
      </c>
      <c r="D6769" s="44"/>
      <c r="E6769" s="22" t="str">
        <f>IF(D6769&lt;&gt;"",IFERROR(INDEX(Produtos!$C$4:$C$4996,MATCH(D6769,Produtos!$B$4:$B$4996,0)),"Produto não encontrado"),"")</f>
        <v/>
      </c>
    </row>
    <row r="6770" spans="1:5" x14ac:dyDescent="0.3">
      <c r="A6770" s="21" t="str">
        <f t="shared" si="105"/>
        <v>.</v>
      </c>
      <c r="D6770" s="44"/>
      <c r="E6770" s="22" t="str">
        <f>IF(D6770&lt;&gt;"",IFERROR(INDEX(Produtos!$C$4:$C$4996,MATCH(D6770,Produtos!$B$4:$B$4996,0)),"Produto não encontrado"),"")</f>
        <v/>
      </c>
    </row>
    <row r="6771" spans="1:5" x14ac:dyDescent="0.3">
      <c r="A6771" s="21" t="str">
        <f t="shared" si="105"/>
        <v>.</v>
      </c>
      <c r="D6771" s="44"/>
      <c r="E6771" s="22" t="str">
        <f>IF(D6771&lt;&gt;"",IFERROR(INDEX(Produtos!$C$4:$C$4996,MATCH(D6771,Produtos!$B$4:$B$4996,0)),"Produto não encontrado"),"")</f>
        <v/>
      </c>
    </row>
    <row r="6772" spans="1:5" x14ac:dyDescent="0.3">
      <c r="A6772" s="21" t="str">
        <f t="shared" si="105"/>
        <v>.</v>
      </c>
      <c r="D6772" s="44"/>
      <c r="E6772" s="22" t="str">
        <f>IF(D6772&lt;&gt;"",IFERROR(INDEX(Produtos!$C$4:$C$4996,MATCH(D6772,Produtos!$B$4:$B$4996,0)),"Produto não encontrado"),"")</f>
        <v/>
      </c>
    </row>
    <row r="6773" spans="1:5" x14ac:dyDescent="0.3">
      <c r="A6773" s="21" t="str">
        <f t="shared" si="105"/>
        <v>.</v>
      </c>
      <c r="D6773" s="44"/>
      <c r="E6773" s="22" t="str">
        <f>IF(D6773&lt;&gt;"",IFERROR(INDEX(Produtos!$C$4:$C$4996,MATCH(D6773,Produtos!$B$4:$B$4996,0)),"Produto não encontrado"),"")</f>
        <v/>
      </c>
    </row>
    <row r="6774" spans="1:5" x14ac:dyDescent="0.3">
      <c r="A6774" s="21" t="str">
        <f t="shared" si="105"/>
        <v>.</v>
      </c>
      <c r="D6774" s="44"/>
      <c r="E6774" s="22" t="str">
        <f>IF(D6774&lt;&gt;"",IFERROR(INDEX(Produtos!$C$4:$C$4996,MATCH(D6774,Produtos!$B$4:$B$4996,0)),"Produto não encontrado"),"")</f>
        <v/>
      </c>
    </row>
    <row r="6775" spans="1:5" x14ac:dyDescent="0.3">
      <c r="A6775" s="21" t="str">
        <f t="shared" si="105"/>
        <v>.</v>
      </c>
      <c r="D6775" s="44"/>
      <c r="E6775" s="22" t="str">
        <f>IF(D6775&lt;&gt;"",IFERROR(INDEX(Produtos!$C$4:$C$4996,MATCH(D6775,Produtos!$B$4:$B$4996,0)),"Produto não encontrado"),"")</f>
        <v/>
      </c>
    </row>
    <row r="6776" spans="1:5" x14ac:dyDescent="0.3">
      <c r="A6776" s="21" t="str">
        <f t="shared" si="105"/>
        <v>.</v>
      </c>
      <c r="D6776" s="44"/>
      <c r="E6776" s="22" t="str">
        <f>IF(D6776&lt;&gt;"",IFERROR(INDEX(Produtos!$C$4:$C$4996,MATCH(D6776,Produtos!$B$4:$B$4996,0)),"Produto não encontrado"),"")</f>
        <v/>
      </c>
    </row>
    <row r="6777" spans="1:5" x14ac:dyDescent="0.3">
      <c r="A6777" s="21" t="str">
        <f t="shared" si="105"/>
        <v>.</v>
      </c>
      <c r="D6777" s="44"/>
      <c r="E6777" s="22" t="str">
        <f>IF(D6777&lt;&gt;"",IFERROR(INDEX(Produtos!$C$4:$C$4996,MATCH(D6777,Produtos!$B$4:$B$4996,0)),"Produto não encontrado"),"")</f>
        <v/>
      </c>
    </row>
    <row r="6778" spans="1:5" x14ac:dyDescent="0.3">
      <c r="A6778" s="21" t="str">
        <f t="shared" si="105"/>
        <v>.</v>
      </c>
      <c r="D6778" s="44"/>
      <c r="E6778" s="22" t="str">
        <f>IF(D6778&lt;&gt;"",IFERROR(INDEX(Produtos!$C$4:$C$4996,MATCH(D6778,Produtos!$B$4:$B$4996,0)),"Produto não encontrado"),"")</f>
        <v/>
      </c>
    </row>
    <row r="6779" spans="1:5" x14ac:dyDescent="0.3">
      <c r="A6779" s="21" t="str">
        <f t="shared" si="105"/>
        <v>.</v>
      </c>
      <c r="D6779" s="44"/>
      <c r="E6779" s="22" t="str">
        <f>IF(D6779&lt;&gt;"",IFERROR(INDEX(Produtos!$C$4:$C$4996,MATCH(D6779,Produtos!$B$4:$B$4996,0)),"Produto não encontrado"),"")</f>
        <v/>
      </c>
    </row>
    <row r="6780" spans="1:5" x14ac:dyDescent="0.3">
      <c r="A6780" s="21" t="str">
        <f t="shared" si="105"/>
        <v>.</v>
      </c>
      <c r="D6780" s="44"/>
      <c r="E6780" s="22" t="str">
        <f>IF(D6780&lt;&gt;"",IFERROR(INDEX(Produtos!$C$4:$C$4996,MATCH(D6780,Produtos!$B$4:$B$4996,0)),"Produto não encontrado"),"")</f>
        <v/>
      </c>
    </row>
    <row r="6781" spans="1:5" x14ac:dyDescent="0.3">
      <c r="A6781" s="21" t="str">
        <f t="shared" si="105"/>
        <v>.</v>
      </c>
      <c r="D6781" s="44"/>
      <c r="E6781" s="22" t="str">
        <f>IF(D6781&lt;&gt;"",IFERROR(INDEX(Produtos!$C$4:$C$4996,MATCH(D6781,Produtos!$B$4:$B$4996,0)),"Produto não encontrado"),"")</f>
        <v/>
      </c>
    </row>
    <row r="6782" spans="1:5" x14ac:dyDescent="0.3">
      <c r="A6782" s="21" t="str">
        <f t="shared" si="105"/>
        <v>.</v>
      </c>
      <c r="D6782" s="44"/>
      <c r="E6782" s="22" t="str">
        <f>IF(D6782&lt;&gt;"",IFERROR(INDEX(Produtos!$C$4:$C$4996,MATCH(D6782,Produtos!$B$4:$B$4996,0)),"Produto não encontrado"),"")</f>
        <v/>
      </c>
    </row>
    <row r="6783" spans="1:5" x14ac:dyDescent="0.3">
      <c r="A6783" s="21" t="str">
        <f t="shared" si="105"/>
        <v>.</v>
      </c>
      <c r="D6783" s="44"/>
      <c r="E6783" s="22" t="str">
        <f>IF(D6783&lt;&gt;"",IFERROR(INDEX(Produtos!$C$4:$C$4996,MATCH(D6783,Produtos!$B$4:$B$4996,0)),"Produto não encontrado"),"")</f>
        <v/>
      </c>
    </row>
    <row r="6784" spans="1:5" x14ac:dyDescent="0.3">
      <c r="A6784" s="21" t="str">
        <f t="shared" ref="A6784:A6847" si="106">IF(C6784="Entrada",2,IF(C6784="Saída",1,"."))</f>
        <v>.</v>
      </c>
      <c r="D6784" s="44"/>
      <c r="E6784" s="22" t="str">
        <f>IF(D6784&lt;&gt;"",IFERROR(INDEX(Produtos!$C$4:$C$4996,MATCH(D6784,Produtos!$B$4:$B$4996,0)),"Produto não encontrado"),"")</f>
        <v/>
      </c>
    </row>
    <row r="6785" spans="1:5" x14ac:dyDescent="0.3">
      <c r="A6785" s="21" t="str">
        <f t="shared" si="106"/>
        <v>.</v>
      </c>
      <c r="D6785" s="44"/>
      <c r="E6785" s="22" t="str">
        <f>IF(D6785&lt;&gt;"",IFERROR(INDEX(Produtos!$C$4:$C$4996,MATCH(D6785,Produtos!$B$4:$B$4996,0)),"Produto não encontrado"),"")</f>
        <v/>
      </c>
    </row>
    <row r="6786" spans="1:5" x14ac:dyDescent="0.3">
      <c r="A6786" s="21" t="str">
        <f t="shared" si="106"/>
        <v>.</v>
      </c>
      <c r="D6786" s="44"/>
      <c r="E6786" s="22" t="str">
        <f>IF(D6786&lt;&gt;"",IFERROR(INDEX(Produtos!$C$4:$C$4996,MATCH(D6786,Produtos!$B$4:$B$4996,0)),"Produto não encontrado"),"")</f>
        <v/>
      </c>
    </row>
    <row r="6787" spans="1:5" x14ac:dyDescent="0.3">
      <c r="A6787" s="21" t="str">
        <f t="shared" si="106"/>
        <v>.</v>
      </c>
      <c r="D6787" s="44"/>
      <c r="E6787" s="22" t="str">
        <f>IF(D6787&lt;&gt;"",IFERROR(INDEX(Produtos!$C$4:$C$4996,MATCH(D6787,Produtos!$B$4:$B$4996,0)),"Produto não encontrado"),"")</f>
        <v/>
      </c>
    </row>
    <row r="6788" spans="1:5" x14ac:dyDescent="0.3">
      <c r="A6788" s="21" t="str">
        <f t="shared" si="106"/>
        <v>.</v>
      </c>
      <c r="D6788" s="44"/>
      <c r="E6788" s="22" t="str">
        <f>IF(D6788&lt;&gt;"",IFERROR(INDEX(Produtos!$C$4:$C$4996,MATCH(D6788,Produtos!$B$4:$B$4996,0)),"Produto não encontrado"),"")</f>
        <v/>
      </c>
    </row>
    <row r="6789" spans="1:5" x14ac:dyDescent="0.3">
      <c r="A6789" s="21" t="str">
        <f t="shared" si="106"/>
        <v>.</v>
      </c>
      <c r="D6789" s="44"/>
      <c r="E6789" s="22" t="str">
        <f>IF(D6789&lt;&gt;"",IFERROR(INDEX(Produtos!$C$4:$C$4996,MATCH(D6789,Produtos!$B$4:$B$4996,0)),"Produto não encontrado"),"")</f>
        <v/>
      </c>
    </row>
    <row r="6790" spans="1:5" x14ac:dyDescent="0.3">
      <c r="A6790" s="21" t="str">
        <f t="shared" si="106"/>
        <v>.</v>
      </c>
      <c r="D6790" s="44"/>
      <c r="E6790" s="22" t="str">
        <f>IF(D6790&lt;&gt;"",IFERROR(INDEX(Produtos!$C$4:$C$4996,MATCH(D6790,Produtos!$B$4:$B$4996,0)),"Produto não encontrado"),"")</f>
        <v/>
      </c>
    </row>
    <row r="6791" spans="1:5" x14ac:dyDescent="0.3">
      <c r="A6791" s="21" t="str">
        <f t="shared" si="106"/>
        <v>.</v>
      </c>
      <c r="D6791" s="44"/>
      <c r="E6791" s="22" t="str">
        <f>IF(D6791&lt;&gt;"",IFERROR(INDEX(Produtos!$C$4:$C$4996,MATCH(D6791,Produtos!$B$4:$B$4996,0)),"Produto não encontrado"),"")</f>
        <v/>
      </c>
    </row>
    <row r="6792" spans="1:5" x14ac:dyDescent="0.3">
      <c r="A6792" s="21" t="str">
        <f t="shared" si="106"/>
        <v>.</v>
      </c>
      <c r="D6792" s="44"/>
      <c r="E6792" s="22" t="str">
        <f>IF(D6792&lt;&gt;"",IFERROR(INDEX(Produtos!$C$4:$C$4996,MATCH(D6792,Produtos!$B$4:$B$4996,0)),"Produto não encontrado"),"")</f>
        <v/>
      </c>
    </row>
    <row r="6793" spans="1:5" x14ac:dyDescent="0.3">
      <c r="A6793" s="21" t="str">
        <f t="shared" si="106"/>
        <v>.</v>
      </c>
      <c r="D6793" s="44"/>
      <c r="E6793" s="22" t="str">
        <f>IF(D6793&lt;&gt;"",IFERROR(INDEX(Produtos!$C$4:$C$4996,MATCH(D6793,Produtos!$B$4:$B$4996,0)),"Produto não encontrado"),"")</f>
        <v/>
      </c>
    </row>
    <row r="6794" spans="1:5" x14ac:dyDescent="0.3">
      <c r="A6794" s="21" t="str">
        <f t="shared" si="106"/>
        <v>.</v>
      </c>
      <c r="D6794" s="44"/>
      <c r="E6794" s="22" t="str">
        <f>IF(D6794&lt;&gt;"",IFERROR(INDEX(Produtos!$C$4:$C$4996,MATCH(D6794,Produtos!$B$4:$B$4996,0)),"Produto não encontrado"),"")</f>
        <v/>
      </c>
    </row>
    <row r="6795" spans="1:5" x14ac:dyDescent="0.3">
      <c r="A6795" s="21" t="str">
        <f t="shared" si="106"/>
        <v>.</v>
      </c>
      <c r="D6795" s="44"/>
      <c r="E6795" s="22" t="str">
        <f>IF(D6795&lt;&gt;"",IFERROR(INDEX(Produtos!$C$4:$C$4996,MATCH(D6795,Produtos!$B$4:$B$4996,0)),"Produto não encontrado"),"")</f>
        <v/>
      </c>
    </row>
    <row r="6796" spans="1:5" x14ac:dyDescent="0.3">
      <c r="A6796" s="21" t="str">
        <f t="shared" si="106"/>
        <v>.</v>
      </c>
      <c r="D6796" s="44"/>
      <c r="E6796" s="22" t="str">
        <f>IF(D6796&lt;&gt;"",IFERROR(INDEX(Produtos!$C$4:$C$4996,MATCH(D6796,Produtos!$B$4:$B$4996,0)),"Produto não encontrado"),"")</f>
        <v/>
      </c>
    </row>
    <row r="6797" spans="1:5" x14ac:dyDescent="0.3">
      <c r="A6797" s="21" t="str">
        <f t="shared" si="106"/>
        <v>.</v>
      </c>
      <c r="D6797" s="44"/>
      <c r="E6797" s="22" t="str">
        <f>IF(D6797&lt;&gt;"",IFERROR(INDEX(Produtos!$C$4:$C$4996,MATCH(D6797,Produtos!$B$4:$B$4996,0)),"Produto não encontrado"),"")</f>
        <v/>
      </c>
    </row>
    <row r="6798" spans="1:5" x14ac:dyDescent="0.3">
      <c r="A6798" s="21" t="str">
        <f t="shared" si="106"/>
        <v>.</v>
      </c>
      <c r="D6798" s="44"/>
      <c r="E6798" s="22" t="str">
        <f>IF(D6798&lt;&gt;"",IFERROR(INDEX(Produtos!$C$4:$C$4996,MATCH(D6798,Produtos!$B$4:$B$4996,0)),"Produto não encontrado"),"")</f>
        <v/>
      </c>
    </row>
    <row r="6799" spans="1:5" x14ac:dyDescent="0.3">
      <c r="A6799" s="21" t="str">
        <f t="shared" si="106"/>
        <v>.</v>
      </c>
      <c r="D6799" s="44"/>
      <c r="E6799" s="22" t="str">
        <f>IF(D6799&lt;&gt;"",IFERROR(INDEX(Produtos!$C$4:$C$4996,MATCH(D6799,Produtos!$B$4:$B$4996,0)),"Produto não encontrado"),"")</f>
        <v/>
      </c>
    </row>
    <row r="6800" spans="1:5" x14ac:dyDescent="0.3">
      <c r="A6800" s="21" t="str">
        <f t="shared" si="106"/>
        <v>.</v>
      </c>
      <c r="D6800" s="44"/>
      <c r="E6800" s="22" t="str">
        <f>IF(D6800&lt;&gt;"",IFERROR(INDEX(Produtos!$C$4:$C$4996,MATCH(D6800,Produtos!$B$4:$B$4996,0)),"Produto não encontrado"),"")</f>
        <v/>
      </c>
    </row>
    <row r="6801" spans="1:5" x14ac:dyDescent="0.3">
      <c r="A6801" s="21" t="str">
        <f t="shared" si="106"/>
        <v>.</v>
      </c>
      <c r="D6801" s="44"/>
      <c r="E6801" s="22" t="str">
        <f>IF(D6801&lt;&gt;"",IFERROR(INDEX(Produtos!$C$4:$C$4996,MATCH(D6801,Produtos!$B$4:$B$4996,0)),"Produto não encontrado"),"")</f>
        <v/>
      </c>
    </row>
    <row r="6802" spans="1:5" x14ac:dyDescent="0.3">
      <c r="A6802" s="21" t="str">
        <f t="shared" si="106"/>
        <v>.</v>
      </c>
      <c r="D6802" s="44"/>
      <c r="E6802" s="22" t="str">
        <f>IF(D6802&lt;&gt;"",IFERROR(INDEX(Produtos!$C$4:$C$4996,MATCH(D6802,Produtos!$B$4:$B$4996,0)),"Produto não encontrado"),"")</f>
        <v/>
      </c>
    </row>
    <row r="6803" spans="1:5" x14ac:dyDescent="0.3">
      <c r="A6803" s="21" t="str">
        <f t="shared" si="106"/>
        <v>.</v>
      </c>
      <c r="D6803" s="44"/>
      <c r="E6803" s="22" t="str">
        <f>IF(D6803&lt;&gt;"",IFERROR(INDEX(Produtos!$C$4:$C$4996,MATCH(D6803,Produtos!$B$4:$B$4996,0)),"Produto não encontrado"),"")</f>
        <v/>
      </c>
    </row>
    <row r="6804" spans="1:5" x14ac:dyDescent="0.3">
      <c r="A6804" s="21" t="str">
        <f t="shared" si="106"/>
        <v>.</v>
      </c>
      <c r="D6804" s="44"/>
      <c r="E6804" s="22" t="str">
        <f>IF(D6804&lt;&gt;"",IFERROR(INDEX(Produtos!$C$4:$C$4996,MATCH(D6804,Produtos!$B$4:$B$4996,0)),"Produto não encontrado"),"")</f>
        <v/>
      </c>
    </row>
    <row r="6805" spans="1:5" x14ac:dyDescent="0.3">
      <c r="A6805" s="21" t="str">
        <f t="shared" si="106"/>
        <v>.</v>
      </c>
      <c r="D6805" s="44"/>
      <c r="E6805" s="22" t="str">
        <f>IF(D6805&lt;&gt;"",IFERROR(INDEX(Produtos!$C$4:$C$4996,MATCH(D6805,Produtos!$B$4:$B$4996,0)),"Produto não encontrado"),"")</f>
        <v/>
      </c>
    </row>
    <row r="6806" spans="1:5" x14ac:dyDescent="0.3">
      <c r="A6806" s="21" t="str">
        <f t="shared" si="106"/>
        <v>.</v>
      </c>
      <c r="D6806" s="44"/>
      <c r="E6806" s="22" t="str">
        <f>IF(D6806&lt;&gt;"",IFERROR(INDEX(Produtos!$C$4:$C$4996,MATCH(D6806,Produtos!$B$4:$B$4996,0)),"Produto não encontrado"),"")</f>
        <v/>
      </c>
    </row>
    <row r="6807" spans="1:5" x14ac:dyDescent="0.3">
      <c r="A6807" s="21" t="str">
        <f t="shared" si="106"/>
        <v>.</v>
      </c>
      <c r="D6807" s="44"/>
      <c r="E6807" s="22" t="str">
        <f>IF(D6807&lt;&gt;"",IFERROR(INDEX(Produtos!$C$4:$C$4996,MATCH(D6807,Produtos!$B$4:$B$4996,0)),"Produto não encontrado"),"")</f>
        <v/>
      </c>
    </row>
    <row r="6808" spans="1:5" x14ac:dyDescent="0.3">
      <c r="A6808" s="21" t="str">
        <f t="shared" si="106"/>
        <v>.</v>
      </c>
      <c r="D6808" s="44"/>
      <c r="E6808" s="22" t="str">
        <f>IF(D6808&lt;&gt;"",IFERROR(INDEX(Produtos!$C$4:$C$4996,MATCH(D6808,Produtos!$B$4:$B$4996,0)),"Produto não encontrado"),"")</f>
        <v/>
      </c>
    </row>
    <row r="6809" spans="1:5" x14ac:dyDescent="0.3">
      <c r="A6809" s="21" t="str">
        <f t="shared" si="106"/>
        <v>.</v>
      </c>
      <c r="D6809" s="44"/>
      <c r="E6809" s="22" t="str">
        <f>IF(D6809&lt;&gt;"",IFERROR(INDEX(Produtos!$C$4:$C$4996,MATCH(D6809,Produtos!$B$4:$B$4996,0)),"Produto não encontrado"),"")</f>
        <v/>
      </c>
    </row>
    <row r="6810" spans="1:5" x14ac:dyDescent="0.3">
      <c r="A6810" s="21" t="str">
        <f t="shared" si="106"/>
        <v>.</v>
      </c>
      <c r="D6810" s="44"/>
      <c r="E6810" s="22" t="str">
        <f>IF(D6810&lt;&gt;"",IFERROR(INDEX(Produtos!$C$4:$C$4996,MATCH(D6810,Produtos!$B$4:$B$4996,0)),"Produto não encontrado"),"")</f>
        <v/>
      </c>
    </row>
    <row r="6811" spans="1:5" x14ac:dyDescent="0.3">
      <c r="A6811" s="21" t="str">
        <f t="shared" si="106"/>
        <v>.</v>
      </c>
      <c r="D6811" s="44"/>
      <c r="E6811" s="22" t="str">
        <f>IF(D6811&lt;&gt;"",IFERROR(INDEX(Produtos!$C$4:$C$4996,MATCH(D6811,Produtos!$B$4:$B$4996,0)),"Produto não encontrado"),"")</f>
        <v/>
      </c>
    </row>
    <row r="6812" spans="1:5" x14ac:dyDescent="0.3">
      <c r="A6812" s="21" t="str">
        <f t="shared" si="106"/>
        <v>.</v>
      </c>
      <c r="D6812" s="44"/>
      <c r="E6812" s="22" t="str">
        <f>IF(D6812&lt;&gt;"",IFERROR(INDEX(Produtos!$C$4:$C$4996,MATCH(D6812,Produtos!$B$4:$B$4996,0)),"Produto não encontrado"),"")</f>
        <v/>
      </c>
    </row>
    <row r="6813" spans="1:5" x14ac:dyDescent="0.3">
      <c r="A6813" s="21" t="str">
        <f t="shared" si="106"/>
        <v>.</v>
      </c>
      <c r="D6813" s="44"/>
      <c r="E6813" s="22" t="str">
        <f>IF(D6813&lt;&gt;"",IFERROR(INDEX(Produtos!$C$4:$C$4996,MATCH(D6813,Produtos!$B$4:$B$4996,0)),"Produto não encontrado"),"")</f>
        <v/>
      </c>
    </row>
    <row r="6814" spans="1:5" x14ac:dyDescent="0.3">
      <c r="A6814" s="21" t="str">
        <f t="shared" si="106"/>
        <v>.</v>
      </c>
      <c r="D6814" s="44"/>
      <c r="E6814" s="22" t="str">
        <f>IF(D6814&lt;&gt;"",IFERROR(INDEX(Produtos!$C$4:$C$4996,MATCH(D6814,Produtos!$B$4:$B$4996,0)),"Produto não encontrado"),"")</f>
        <v/>
      </c>
    </row>
    <row r="6815" spans="1:5" x14ac:dyDescent="0.3">
      <c r="A6815" s="21" t="str">
        <f t="shared" si="106"/>
        <v>.</v>
      </c>
      <c r="D6815" s="44"/>
      <c r="E6815" s="22" t="str">
        <f>IF(D6815&lt;&gt;"",IFERROR(INDEX(Produtos!$C$4:$C$4996,MATCH(D6815,Produtos!$B$4:$B$4996,0)),"Produto não encontrado"),"")</f>
        <v/>
      </c>
    </row>
    <row r="6816" spans="1:5" x14ac:dyDescent="0.3">
      <c r="A6816" s="21" t="str">
        <f t="shared" si="106"/>
        <v>.</v>
      </c>
      <c r="D6816" s="44"/>
      <c r="E6816" s="22" t="str">
        <f>IF(D6816&lt;&gt;"",IFERROR(INDEX(Produtos!$C$4:$C$4996,MATCH(D6816,Produtos!$B$4:$B$4996,0)),"Produto não encontrado"),"")</f>
        <v/>
      </c>
    </row>
    <row r="6817" spans="1:5" x14ac:dyDescent="0.3">
      <c r="A6817" s="21" t="str">
        <f t="shared" si="106"/>
        <v>.</v>
      </c>
      <c r="D6817" s="44"/>
      <c r="E6817" s="22" t="str">
        <f>IF(D6817&lt;&gt;"",IFERROR(INDEX(Produtos!$C$4:$C$4996,MATCH(D6817,Produtos!$B$4:$B$4996,0)),"Produto não encontrado"),"")</f>
        <v/>
      </c>
    </row>
    <row r="6818" spans="1:5" x14ac:dyDescent="0.3">
      <c r="A6818" s="21" t="str">
        <f t="shared" si="106"/>
        <v>.</v>
      </c>
      <c r="D6818" s="44"/>
      <c r="E6818" s="22" t="str">
        <f>IF(D6818&lt;&gt;"",IFERROR(INDEX(Produtos!$C$4:$C$4996,MATCH(D6818,Produtos!$B$4:$B$4996,0)),"Produto não encontrado"),"")</f>
        <v/>
      </c>
    </row>
    <row r="6819" spans="1:5" x14ac:dyDescent="0.3">
      <c r="A6819" s="21" t="str">
        <f t="shared" si="106"/>
        <v>.</v>
      </c>
      <c r="D6819" s="44"/>
      <c r="E6819" s="22" t="str">
        <f>IF(D6819&lt;&gt;"",IFERROR(INDEX(Produtos!$C$4:$C$4996,MATCH(D6819,Produtos!$B$4:$B$4996,0)),"Produto não encontrado"),"")</f>
        <v/>
      </c>
    </row>
    <row r="6820" spans="1:5" x14ac:dyDescent="0.3">
      <c r="A6820" s="21" t="str">
        <f t="shared" si="106"/>
        <v>.</v>
      </c>
      <c r="D6820" s="44"/>
      <c r="E6820" s="22" t="str">
        <f>IF(D6820&lt;&gt;"",IFERROR(INDEX(Produtos!$C$4:$C$4996,MATCH(D6820,Produtos!$B$4:$B$4996,0)),"Produto não encontrado"),"")</f>
        <v/>
      </c>
    </row>
    <row r="6821" spans="1:5" x14ac:dyDescent="0.3">
      <c r="A6821" s="21" t="str">
        <f t="shared" si="106"/>
        <v>.</v>
      </c>
      <c r="D6821" s="44"/>
      <c r="E6821" s="22" t="str">
        <f>IF(D6821&lt;&gt;"",IFERROR(INDEX(Produtos!$C$4:$C$4996,MATCH(D6821,Produtos!$B$4:$B$4996,0)),"Produto não encontrado"),"")</f>
        <v/>
      </c>
    </row>
    <row r="6822" spans="1:5" x14ac:dyDescent="0.3">
      <c r="A6822" s="21" t="str">
        <f t="shared" si="106"/>
        <v>.</v>
      </c>
      <c r="D6822" s="44"/>
      <c r="E6822" s="22" t="str">
        <f>IF(D6822&lt;&gt;"",IFERROR(INDEX(Produtos!$C$4:$C$4996,MATCH(D6822,Produtos!$B$4:$B$4996,0)),"Produto não encontrado"),"")</f>
        <v/>
      </c>
    </row>
    <row r="6823" spans="1:5" x14ac:dyDescent="0.3">
      <c r="A6823" s="21" t="str">
        <f t="shared" si="106"/>
        <v>.</v>
      </c>
      <c r="D6823" s="44"/>
      <c r="E6823" s="22" t="str">
        <f>IF(D6823&lt;&gt;"",IFERROR(INDEX(Produtos!$C$4:$C$4996,MATCH(D6823,Produtos!$B$4:$B$4996,0)),"Produto não encontrado"),"")</f>
        <v/>
      </c>
    </row>
    <row r="6824" spans="1:5" x14ac:dyDescent="0.3">
      <c r="A6824" s="21" t="str">
        <f t="shared" si="106"/>
        <v>.</v>
      </c>
      <c r="D6824" s="44"/>
      <c r="E6824" s="22" t="str">
        <f>IF(D6824&lt;&gt;"",IFERROR(INDEX(Produtos!$C$4:$C$4996,MATCH(D6824,Produtos!$B$4:$B$4996,0)),"Produto não encontrado"),"")</f>
        <v/>
      </c>
    </row>
    <row r="6825" spans="1:5" x14ac:dyDescent="0.3">
      <c r="A6825" s="21" t="str">
        <f t="shared" si="106"/>
        <v>.</v>
      </c>
      <c r="D6825" s="44"/>
      <c r="E6825" s="22" t="str">
        <f>IF(D6825&lt;&gt;"",IFERROR(INDEX(Produtos!$C$4:$C$4996,MATCH(D6825,Produtos!$B$4:$B$4996,0)),"Produto não encontrado"),"")</f>
        <v/>
      </c>
    </row>
    <row r="6826" spans="1:5" x14ac:dyDescent="0.3">
      <c r="A6826" s="21" t="str">
        <f t="shared" si="106"/>
        <v>.</v>
      </c>
      <c r="D6826" s="44"/>
      <c r="E6826" s="22" t="str">
        <f>IF(D6826&lt;&gt;"",IFERROR(INDEX(Produtos!$C$4:$C$4996,MATCH(D6826,Produtos!$B$4:$B$4996,0)),"Produto não encontrado"),"")</f>
        <v/>
      </c>
    </row>
    <row r="6827" spans="1:5" x14ac:dyDescent="0.3">
      <c r="A6827" s="21" t="str">
        <f t="shared" si="106"/>
        <v>.</v>
      </c>
      <c r="D6827" s="44"/>
      <c r="E6827" s="22" t="str">
        <f>IF(D6827&lt;&gt;"",IFERROR(INDEX(Produtos!$C$4:$C$4996,MATCH(D6827,Produtos!$B$4:$B$4996,0)),"Produto não encontrado"),"")</f>
        <v/>
      </c>
    </row>
    <row r="6828" spans="1:5" x14ac:dyDescent="0.3">
      <c r="A6828" s="21" t="str">
        <f t="shared" si="106"/>
        <v>.</v>
      </c>
      <c r="D6828" s="44"/>
      <c r="E6828" s="22" t="str">
        <f>IF(D6828&lt;&gt;"",IFERROR(INDEX(Produtos!$C$4:$C$4996,MATCH(D6828,Produtos!$B$4:$B$4996,0)),"Produto não encontrado"),"")</f>
        <v/>
      </c>
    </row>
    <row r="6829" spans="1:5" x14ac:dyDescent="0.3">
      <c r="A6829" s="21" t="str">
        <f t="shared" si="106"/>
        <v>.</v>
      </c>
      <c r="D6829" s="44"/>
      <c r="E6829" s="22" t="str">
        <f>IF(D6829&lt;&gt;"",IFERROR(INDEX(Produtos!$C$4:$C$4996,MATCH(D6829,Produtos!$B$4:$B$4996,0)),"Produto não encontrado"),"")</f>
        <v/>
      </c>
    </row>
    <row r="6830" spans="1:5" x14ac:dyDescent="0.3">
      <c r="A6830" s="21" t="str">
        <f t="shared" si="106"/>
        <v>.</v>
      </c>
      <c r="D6830" s="44"/>
      <c r="E6830" s="22" t="str">
        <f>IF(D6830&lt;&gt;"",IFERROR(INDEX(Produtos!$C$4:$C$4996,MATCH(D6830,Produtos!$B$4:$B$4996,0)),"Produto não encontrado"),"")</f>
        <v/>
      </c>
    </row>
    <row r="6831" spans="1:5" x14ac:dyDescent="0.3">
      <c r="A6831" s="21" t="str">
        <f t="shared" si="106"/>
        <v>.</v>
      </c>
      <c r="D6831" s="44"/>
      <c r="E6831" s="22" t="str">
        <f>IF(D6831&lt;&gt;"",IFERROR(INDEX(Produtos!$C$4:$C$4996,MATCH(D6831,Produtos!$B$4:$B$4996,0)),"Produto não encontrado"),"")</f>
        <v/>
      </c>
    </row>
    <row r="6832" spans="1:5" x14ac:dyDescent="0.3">
      <c r="A6832" s="21" t="str">
        <f t="shared" si="106"/>
        <v>.</v>
      </c>
      <c r="D6832" s="44"/>
      <c r="E6832" s="22" t="str">
        <f>IF(D6832&lt;&gt;"",IFERROR(INDEX(Produtos!$C$4:$C$4996,MATCH(D6832,Produtos!$B$4:$B$4996,0)),"Produto não encontrado"),"")</f>
        <v/>
      </c>
    </row>
    <row r="6833" spans="1:5" x14ac:dyDescent="0.3">
      <c r="A6833" s="21" t="str">
        <f t="shared" si="106"/>
        <v>.</v>
      </c>
      <c r="D6833" s="44"/>
      <c r="E6833" s="22" t="str">
        <f>IF(D6833&lt;&gt;"",IFERROR(INDEX(Produtos!$C$4:$C$4996,MATCH(D6833,Produtos!$B$4:$B$4996,0)),"Produto não encontrado"),"")</f>
        <v/>
      </c>
    </row>
    <row r="6834" spans="1:5" x14ac:dyDescent="0.3">
      <c r="A6834" s="21" t="str">
        <f t="shared" si="106"/>
        <v>.</v>
      </c>
      <c r="D6834" s="44"/>
      <c r="E6834" s="22" t="str">
        <f>IF(D6834&lt;&gt;"",IFERROR(INDEX(Produtos!$C$4:$C$4996,MATCH(D6834,Produtos!$B$4:$B$4996,0)),"Produto não encontrado"),"")</f>
        <v/>
      </c>
    </row>
    <row r="6835" spans="1:5" x14ac:dyDescent="0.3">
      <c r="A6835" s="21" t="str">
        <f t="shared" si="106"/>
        <v>.</v>
      </c>
      <c r="D6835" s="44"/>
      <c r="E6835" s="22" t="str">
        <f>IF(D6835&lt;&gt;"",IFERROR(INDEX(Produtos!$C$4:$C$4996,MATCH(D6835,Produtos!$B$4:$B$4996,0)),"Produto não encontrado"),"")</f>
        <v/>
      </c>
    </row>
    <row r="6836" spans="1:5" x14ac:dyDescent="0.3">
      <c r="A6836" s="21" t="str">
        <f t="shared" si="106"/>
        <v>.</v>
      </c>
      <c r="D6836" s="44"/>
      <c r="E6836" s="22" t="str">
        <f>IF(D6836&lt;&gt;"",IFERROR(INDEX(Produtos!$C$4:$C$4996,MATCH(D6836,Produtos!$B$4:$B$4996,0)),"Produto não encontrado"),"")</f>
        <v/>
      </c>
    </row>
    <row r="6837" spans="1:5" x14ac:dyDescent="0.3">
      <c r="A6837" s="21" t="str">
        <f t="shared" si="106"/>
        <v>.</v>
      </c>
      <c r="D6837" s="44"/>
      <c r="E6837" s="22" t="str">
        <f>IF(D6837&lt;&gt;"",IFERROR(INDEX(Produtos!$C$4:$C$4996,MATCH(D6837,Produtos!$B$4:$B$4996,0)),"Produto não encontrado"),"")</f>
        <v/>
      </c>
    </row>
    <row r="6838" spans="1:5" x14ac:dyDescent="0.3">
      <c r="A6838" s="21" t="str">
        <f t="shared" si="106"/>
        <v>.</v>
      </c>
      <c r="D6838" s="44"/>
      <c r="E6838" s="22" t="str">
        <f>IF(D6838&lt;&gt;"",IFERROR(INDEX(Produtos!$C$4:$C$4996,MATCH(D6838,Produtos!$B$4:$B$4996,0)),"Produto não encontrado"),"")</f>
        <v/>
      </c>
    </row>
    <row r="6839" spans="1:5" x14ac:dyDescent="0.3">
      <c r="A6839" s="21" t="str">
        <f t="shared" si="106"/>
        <v>.</v>
      </c>
      <c r="D6839" s="44"/>
      <c r="E6839" s="22" t="str">
        <f>IF(D6839&lt;&gt;"",IFERROR(INDEX(Produtos!$C$4:$C$4996,MATCH(D6839,Produtos!$B$4:$B$4996,0)),"Produto não encontrado"),"")</f>
        <v/>
      </c>
    </row>
    <row r="6840" spans="1:5" x14ac:dyDescent="0.3">
      <c r="A6840" s="21" t="str">
        <f t="shared" si="106"/>
        <v>.</v>
      </c>
      <c r="D6840" s="44"/>
      <c r="E6840" s="22" t="str">
        <f>IF(D6840&lt;&gt;"",IFERROR(INDEX(Produtos!$C$4:$C$4996,MATCH(D6840,Produtos!$B$4:$B$4996,0)),"Produto não encontrado"),"")</f>
        <v/>
      </c>
    </row>
    <row r="6841" spans="1:5" x14ac:dyDescent="0.3">
      <c r="A6841" s="21" t="str">
        <f t="shared" si="106"/>
        <v>.</v>
      </c>
      <c r="D6841" s="44"/>
      <c r="E6841" s="22" t="str">
        <f>IF(D6841&lt;&gt;"",IFERROR(INDEX(Produtos!$C$4:$C$4996,MATCH(D6841,Produtos!$B$4:$B$4996,0)),"Produto não encontrado"),"")</f>
        <v/>
      </c>
    </row>
    <row r="6842" spans="1:5" x14ac:dyDescent="0.3">
      <c r="A6842" s="21" t="str">
        <f t="shared" si="106"/>
        <v>.</v>
      </c>
      <c r="D6842" s="44"/>
      <c r="E6842" s="22" t="str">
        <f>IF(D6842&lt;&gt;"",IFERROR(INDEX(Produtos!$C$4:$C$4996,MATCH(D6842,Produtos!$B$4:$B$4996,0)),"Produto não encontrado"),"")</f>
        <v/>
      </c>
    </row>
    <row r="6843" spans="1:5" x14ac:dyDescent="0.3">
      <c r="A6843" s="21" t="str">
        <f t="shared" si="106"/>
        <v>.</v>
      </c>
      <c r="D6843" s="44"/>
      <c r="E6843" s="22" t="str">
        <f>IF(D6843&lt;&gt;"",IFERROR(INDEX(Produtos!$C$4:$C$4996,MATCH(D6843,Produtos!$B$4:$B$4996,0)),"Produto não encontrado"),"")</f>
        <v/>
      </c>
    </row>
    <row r="6844" spans="1:5" x14ac:dyDescent="0.3">
      <c r="A6844" s="21" t="str">
        <f t="shared" si="106"/>
        <v>.</v>
      </c>
      <c r="D6844" s="44"/>
      <c r="E6844" s="22" t="str">
        <f>IF(D6844&lt;&gt;"",IFERROR(INDEX(Produtos!$C$4:$C$4996,MATCH(D6844,Produtos!$B$4:$B$4996,0)),"Produto não encontrado"),"")</f>
        <v/>
      </c>
    </row>
    <row r="6845" spans="1:5" x14ac:dyDescent="0.3">
      <c r="A6845" s="21" t="str">
        <f t="shared" si="106"/>
        <v>.</v>
      </c>
      <c r="D6845" s="44"/>
      <c r="E6845" s="22" t="str">
        <f>IF(D6845&lt;&gt;"",IFERROR(INDEX(Produtos!$C$4:$C$4996,MATCH(D6845,Produtos!$B$4:$B$4996,0)),"Produto não encontrado"),"")</f>
        <v/>
      </c>
    </row>
    <row r="6846" spans="1:5" x14ac:dyDescent="0.3">
      <c r="A6846" s="21" t="str">
        <f t="shared" si="106"/>
        <v>.</v>
      </c>
      <c r="D6846" s="44"/>
      <c r="E6846" s="22" t="str">
        <f>IF(D6846&lt;&gt;"",IFERROR(INDEX(Produtos!$C$4:$C$4996,MATCH(D6846,Produtos!$B$4:$B$4996,0)),"Produto não encontrado"),"")</f>
        <v/>
      </c>
    </row>
    <row r="6847" spans="1:5" x14ac:dyDescent="0.3">
      <c r="A6847" s="21" t="str">
        <f t="shared" si="106"/>
        <v>.</v>
      </c>
      <c r="D6847" s="44"/>
      <c r="E6847" s="22" t="str">
        <f>IF(D6847&lt;&gt;"",IFERROR(INDEX(Produtos!$C$4:$C$4996,MATCH(D6847,Produtos!$B$4:$B$4996,0)),"Produto não encontrado"),"")</f>
        <v/>
      </c>
    </row>
    <row r="6848" spans="1:5" x14ac:dyDescent="0.3">
      <c r="A6848" s="21" t="str">
        <f t="shared" ref="A6848:A6911" si="107">IF(C6848="Entrada",2,IF(C6848="Saída",1,"."))</f>
        <v>.</v>
      </c>
      <c r="D6848" s="44"/>
      <c r="E6848" s="22" t="str">
        <f>IF(D6848&lt;&gt;"",IFERROR(INDEX(Produtos!$C$4:$C$4996,MATCH(D6848,Produtos!$B$4:$B$4996,0)),"Produto não encontrado"),"")</f>
        <v/>
      </c>
    </row>
    <row r="6849" spans="1:5" x14ac:dyDescent="0.3">
      <c r="A6849" s="21" t="str">
        <f t="shared" si="107"/>
        <v>.</v>
      </c>
      <c r="D6849" s="44"/>
      <c r="E6849" s="22" t="str">
        <f>IF(D6849&lt;&gt;"",IFERROR(INDEX(Produtos!$C$4:$C$4996,MATCH(D6849,Produtos!$B$4:$B$4996,0)),"Produto não encontrado"),"")</f>
        <v/>
      </c>
    </row>
    <row r="6850" spans="1:5" x14ac:dyDescent="0.3">
      <c r="A6850" s="21" t="str">
        <f t="shared" si="107"/>
        <v>.</v>
      </c>
      <c r="D6850" s="44"/>
      <c r="E6850" s="22" t="str">
        <f>IF(D6850&lt;&gt;"",IFERROR(INDEX(Produtos!$C$4:$C$4996,MATCH(D6850,Produtos!$B$4:$B$4996,0)),"Produto não encontrado"),"")</f>
        <v/>
      </c>
    </row>
    <row r="6851" spans="1:5" x14ac:dyDescent="0.3">
      <c r="A6851" s="21" t="str">
        <f t="shared" si="107"/>
        <v>.</v>
      </c>
      <c r="D6851" s="44"/>
      <c r="E6851" s="22" t="str">
        <f>IF(D6851&lt;&gt;"",IFERROR(INDEX(Produtos!$C$4:$C$4996,MATCH(D6851,Produtos!$B$4:$B$4996,0)),"Produto não encontrado"),"")</f>
        <v/>
      </c>
    </row>
    <row r="6852" spans="1:5" x14ac:dyDescent="0.3">
      <c r="A6852" s="21" t="str">
        <f t="shared" si="107"/>
        <v>.</v>
      </c>
      <c r="D6852" s="44"/>
      <c r="E6852" s="22" t="str">
        <f>IF(D6852&lt;&gt;"",IFERROR(INDEX(Produtos!$C$4:$C$4996,MATCH(D6852,Produtos!$B$4:$B$4996,0)),"Produto não encontrado"),"")</f>
        <v/>
      </c>
    </row>
    <row r="6853" spans="1:5" x14ac:dyDescent="0.3">
      <c r="A6853" s="21" t="str">
        <f t="shared" si="107"/>
        <v>.</v>
      </c>
      <c r="D6853" s="44"/>
      <c r="E6853" s="22" t="str">
        <f>IF(D6853&lt;&gt;"",IFERROR(INDEX(Produtos!$C$4:$C$4996,MATCH(D6853,Produtos!$B$4:$B$4996,0)),"Produto não encontrado"),"")</f>
        <v/>
      </c>
    </row>
    <row r="6854" spans="1:5" x14ac:dyDescent="0.3">
      <c r="A6854" s="21" t="str">
        <f t="shared" si="107"/>
        <v>.</v>
      </c>
      <c r="D6854" s="44"/>
      <c r="E6854" s="22" t="str">
        <f>IF(D6854&lt;&gt;"",IFERROR(INDEX(Produtos!$C$4:$C$4996,MATCH(D6854,Produtos!$B$4:$B$4996,0)),"Produto não encontrado"),"")</f>
        <v/>
      </c>
    </row>
    <row r="6855" spans="1:5" x14ac:dyDescent="0.3">
      <c r="A6855" s="21" t="str">
        <f t="shared" si="107"/>
        <v>.</v>
      </c>
      <c r="D6855" s="44"/>
      <c r="E6855" s="22" t="str">
        <f>IF(D6855&lt;&gt;"",IFERROR(INDEX(Produtos!$C$4:$C$4996,MATCH(D6855,Produtos!$B$4:$B$4996,0)),"Produto não encontrado"),"")</f>
        <v/>
      </c>
    </row>
    <row r="6856" spans="1:5" x14ac:dyDescent="0.3">
      <c r="A6856" s="21" t="str">
        <f t="shared" si="107"/>
        <v>.</v>
      </c>
      <c r="D6856" s="44"/>
      <c r="E6856" s="22" t="str">
        <f>IF(D6856&lt;&gt;"",IFERROR(INDEX(Produtos!$C$4:$C$4996,MATCH(D6856,Produtos!$B$4:$B$4996,0)),"Produto não encontrado"),"")</f>
        <v/>
      </c>
    </row>
    <row r="6857" spans="1:5" x14ac:dyDescent="0.3">
      <c r="A6857" s="21" t="str">
        <f t="shared" si="107"/>
        <v>.</v>
      </c>
      <c r="D6857" s="44"/>
      <c r="E6857" s="22" t="str">
        <f>IF(D6857&lt;&gt;"",IFERROR(INDEX(Produtos!$C$4:$C$4996,MATCH(D6857,Produtos!$B$4:$B$4996,0)),"Produto não encontrado"),"")</f>
        <v/>
      </c>
    </row>
    <row r="6858" spans="1:5" x14ac:dyDescent="0.3">
      <c r="A6858" s="21" t="str">
        <f t="shared" si="107"/>
        <v>.</v>
      </c>
      <c r="D6858" s="44"/>
      <c r="E6858" s="22" t="str">
        <f>IF(D6858&lt;&gt;"",IFERROR(INDEX(Produtos!$C$4:$C$4996,MATCH(D6858,Produtos!$B$4:$B$4996,0)),"Produto não encontrado"),"")</f>
        <v/>
      </c>
    </row>
    <row r="6859" spans="1:5" x14ac:dyDescent="0.3">
      <c r="A6859" s="21" t="str">
        <f t="shared" si="107"/>
        <v>.</v>
      </c>
      <c r="D6859" s="44"/>
      <c r="E6859" s="22" t="str">
        <f>IF(D6859&lt;&gt;"",IFERROR(INDEX(Produtos!$C$4:$C$4996,MATCH(D6859,Produtos!$B$4:$B$4996,0)),"Produto não encontrado"),"")</f>
        <v/>
      </c>
    </row>
    <row r="6860" spans="1:5" x14ac:dyDescent="0.3">
      <c r="A6860" s="21" t="str">
        <f t="shared" si="107"/>
        <v>.</v>
      </c>
      <c r="D6860" s="44"/>
      <c r="E6860" s="22" t="str">
        <f>IF(D6860&lt;&gt;"",IFERROR(INDEX(Produtos!$C$4:$C$4996,MATCH(D6860,Produtos!$B$4:$B$4996,0)),"Produto não encontrado"),"")</f>
        <v/>
      </c>
    </row>
    <row r="6861" spans="1:5" x14ac:dyDescent="0.3">
      <c r="A6861" s="21" t="str">
        <f t="shared" si="107"/>
        <v>.</v>
      </c>
      <c r="D6861" s="44"/>
      <c r="E6861" s="22" t="str">
        <f>IF(D6861&lt;&gt;"",IFERROR(INDEX(Produtos!$C$4:$C$4996,MATCH(D6861,Produtos!$B$4:$B$4996,0)),"Produto não encontrado"),"")</f>
        <v/>
      </c>
    </row>
    <row r="6862" spans="1:5" x14ac:dyDescent="0.3">
      <c r="A6862" s="21" t="str">
        <f t="shared" si="107"/>
        <v>.</v>
      </c>
      <c r="D6862" s="44"/>
      <c r="E6862" s="22" t="str">
        <f>IF(D6862&lt;&gt;"",IFERROR(INDEX(Produtos!$C$4:$C$4996,MATCH(D6862,Produtos!$B$4:$B$4996,0)),"Produto não encontrado"),"")</f>
        <v/>
      </c>
    </row>
    <row r="6863" spans="1:5" x14ac:dyDescent="0.3">
      <c r="A6863" s="21" t="str">
        <f t="shared" si="107"/>
        <v>.</v>
      </c>
      <c r="D6863" s="44"/>
      <c r="E6863" s="22" t="str">
        <f>IF(D6863&lt;&gt;"",IFERROR(INDEX(Produtos!$C$4:$C$4996,MATCH(D6863,Produtos!$B$4:$B$4996,0)),"Produto não encontrado"),"")</f>
        <v/>
      </c>
    </row>
    <row r="6864" spans="1:5" x14ac:dyDescent="0.3">
      <c r="A6864" s="21" t="str">
        <f t="shared" si="107"/>
        <v>.</v>
      </c>
      <c r="D6864" s="44"/>
      <c r="E6864" s="22" t="str">
        <f>IF(D6864&lt;&gt;"",IFERROR(INDEX(Produtos!$C$4:$C$4996,MATCH(D6864,Produtos!$B$4:$B$4996,0)),"Produto não encontrado"),"")</f>
        <v/>
      </c>
    </row>
    <row r="6865" spans="1:5" x14ac:dyDescent="0.3">
      <c r="A6865" s="21" t="str">
        <f t="shared" si="107"/>
        <v>.</v>
      </c>
      <c r="D6865" s="44"/>
      <c r="E6865" s="22" t="str">
        <f>IF(D6865&lt;&gt;"",IFERROR(INDEX(Produtos!$C$4:$C$4996,MATCH(D6865,Produtos!$B$4:$B$4996,0)),"Produto não encontrado"),"")</f>
        <v/>
      </c>
    </row>
    <row r="6866" spans="1:5" x14ac:dyDescent="0.3">
      <c r="A6866" s="21" t="str">
        <f t="shared" si="107"/>
        <v>.</v>
      </c>
      <c r="D6866" s="44"/>
      <c r="E6866" s="22" t="str">
        <f>IF(D6866&lt;&gt;"",IFERROR(INDEX(Produtos!$C$4:$C$4996,MATCH(D6866,Produtos!$B$4:$B$4996,0)),"Produto não encontrado"),"")</f>
        <v/>
      </c>
    </row>
    <row r="6867" spans="1:5" x14ac:dyDescent="0.3">
      <c r="A6867" s="21" t="str">
        <f t="shared" si="107"/>
        <v>.</v>
      </c>
      <c r="D6867" s="44"/>
      <c r="E6867" s="22" t="str">
        <f>IF(D6867&lt;&gt;"",IFERROR(INDEX(Produtos!$C$4:$C$4996,MATCH(D6867,Produtos!$B$4:$B$4996,0)),"Produto não encontrado"),"")</f>
        <v/>
      </c>
    </row>
    <row r="6868" spans="1:5" x14ac:dyDescent="0.3">
      <c r="A6868" s="21" t="str">
        <f t="shared" si="107"/>
        <v>.</v>
      </c>
      <c r="D6868" s="44"/>
      <c r="E6868" s="22" t="str">
        <f>IF(D6868&lt;&gt;"",IFERROR(INDEX(Produtos!$C$4:$C$4996,MATCH(D6868,Produtos!$B$4:$B$4996,0)),"Produto não encontrado"),"")</f>
        <v/>
      </c>
    </row>
    <row r="6869" spans="1:5" x14ac:dyDescent="0.3">
      <c r="A6869" s="21" t="str">
        <f t="shared" si="107"/>
        <v>.</v>
      </c>
      <c r="D6869" s="44"/>
      <c r="E6869" s="22" t="str">
        <f>IF(D6869&lt;&gt;"",IFERROR(INDEX(Produtos!$C$4:$C$4996,MATCH(D6869,Produtos!$B$4:$B$4996,0)),"Produto não encontrado"),"")</f>
        <v/>
      </c>
    </row>
    <row r="6870" spans="1:5" x14ac:dyDescent="0.3">
      <c r="A6870" s="21" t="str">
        <f t="shared" si="107"/>
        <v>.</v>
      </c>
      <c r="D6870" s="44"/>
      <c r="E6870" s="22" t="str">
        <f>IF(D6870&lt;&gt;"",IFERROR(INDEX(Produtos!$C$4:$C$4996,MATCH(D6870,Produtos!$B$4:$B$4996,0)),"Produto não encontrado"),"")</f>
        <v/>
      </c>
    </row>
    <row r="6871" spans="1:5" x14ac:dyDescent="0.3">
      <c r="A6871" s="21" t="str">
        <f t="shared" si="107"/>
        <v>.</v>
      </c>
      <c r="D6871" s="44"/>
      <c r="E6871" s="22" t="str">
        <f>IF(D6871&lt;&gt;"",IFERROR(INDEX(Produtos!$C$4:$C$4996,MATCH(D6871,Produtos!$B$4:$B$4996,0)),"Produto não encontrado"),"")</f>
        <v/>
      </c>
    </row>
    <row r="6872" spans="1:5" x14ac:dyDescent="0.3">
      <c r="A6872" s="21" t="str">
        <f t="shared" si="107"/>
        <v>.</v>
      </c>
      <c r="D6872" s="44"/>
      <c r="E6872" s="22" t="str">
        <f>IF(D6872&lt;&gt;"",IFERROR(INDEX(Produtos!$C$4:$C$4996,MATCH(D6872,Produtos!$B$4:$B$4996,0)),"Produto não encontrado"),"")</f>
        <v/>
      </c>
    </row>
    <row r="6873" spans="1:5" x14ac:dyDescent="0.3">
      <c r="A6873" s="21" t="str">
        <f t="shared" si="107"/>
        <v>.</v>
      </c>
      <c r="D6873" s="44"/>
      <c r="E6873" s="22" t="str">
        <f>IF(D6873&lt;&gt;"",IFERROR(INDEX(Produtos!$C$4:$C$4996,MATCH(D6873,Produtos!$B$4:$B$4996,0)),"Produto não encontrado"),"")</f>
        <v/>
      </c>
    </row>
    <row r="6874" spans="1:5" x14ac:dyDescent="0.3">
      <c r="A6874" s="21" t="str">
        <f t="shared" si="107"/>
        <v>.</v>
      </c>
      <c r="D6874" s="44"/>
      <c r="E6874" s="22" t="str">
        <f>IF(D6874&lt;&gt;"",IFERROR(INDEX(Produtos!$C$4:$C$4996,MATCH(D6874,Produtos!$B$4:$B$4996,0)),"Produto não encontrado"),"")</f>
        <v/>
      </c>
    </row>
    <row r="6875" spans="1:5" x14ac:dyDescent="0.3">
      <c r="A6875" s="21" t="str">
        <f t="shared" si="107"/>
        <v>.</v>
      </c>
      <c r="D6875" s="44"/>
      <c r="E6875" s="22" t="str">
        <f>IF(D6875&lt;&gt;"",IFERROR(INDEX(Produtos!$C$4:$C$4996,MATCH(D6875,Produtos!$B$4:$B$4996,0)),"Produto não encontrado"),"")</f>
        <v/>
      </c>
    </row>
    <row r="6876" spans="1:5" x14ac:dyDescent="0.3">
      <c r="A6876" s="21" t="str">
        <f t="shared" si="107"/>
        <v>.</v>
      </c>
      <c r="D6876" s="44"/>
      <c r="E6876" s="22" t="str">
        <f>IF(D6876&lt;&gt;"",IFERROR(INDEX(Produtos!$C$4:$C$4996,MATCH(D6876,Produtos!$B$4:$B$4996,0)),"Produto não encontrado"),"")</f>
        <v/>
      </c>
    </row>
    <row r="6877" spans="1:5" x14ac:dyDescent="0.3">
      <c r="A6877" s="21" t="str">
        <f t="shared" si="107"/>
        <v>.</v>
      </c>
      <c r="D6877" s="44"/>
      <c r="E6877" s="22" t="str">
        <f>IF(D6877&lt;&gt;"",IFERROR(INDEX(Produtos!$C$4:$C$4996,MATCH(D6877,Produtos!$B$4:$B$4996,0)),"Produto não encontrado"),"")</f>
        <v/>
      </c>
    </row>
    <row r="6878" spans="1:5" x14ac:dyDescent="0.3">
      <c r="A6878" s="21" t="str">
        <f t="shared" si="107"/>
        <v>.</v>
      </c>
      <c r="D6878" s="44"/>
      <c r="E6878" s="22" t="str">
        <f>IF(D6878&lt;&gt;"",IFERROR(INDEX(Produtos!$C$4:$C$4996,MATCH(D6878,Produtos!$B$4:$B$4996,0)),"Produto não encontrado"),"")</f>
        <v/>
      </c>
    </row>
    <row r="6879" spans="1:5" x14ac:dyDescent="0.3">
      <c r="A6879" s="21" t="str">
        <f t="shared" si="107"/>
        <v>.</v>
      </c>
      <c r="D6879" s="44"/>
      <c r="E6879" s="22" t="str">
        <f>IF(D6879&lt;&gt;"",IFERROR(INDEX(Produtos!$C$4:$C$4996,MATCH(D6879,Produtos!$B$4:$B$4996,0)),"Produto não encontrado"),"")</f>
        <v/>
      </c>
    </row>
    <row r="6880" spans="1:5" x14ac:dyDescent="0.3">
      <c r="A6880" s="21" t="str">
        <f t="shared" si="107"/>
        <v>.</v>
      </c>
      <c r="D6880" s="44"/>
      <c r="E6880" s="22" t="str">
        <f>IF(D6880&lt;&gt;"",IFERROR(INDEX(Produtos!$C$4:$C$4996,MATCH(D6880,Produtos!$B$4:$B$4996,0)),"Produto não encontrado"),"")</f>
        <v/>
      </c>
    </row>
    <row r="6881" spans="1:5" x14ac:dyDescent="0.3">
      <c r="A6881" s="21" t="str">
        <f t="shared" si="107"/>
        <v>.</v>
      </c>
      <c r="D6881" s="44"/>
      <c r="E6881" s="22" t="str">
        <f>IF(D6881&lt;&gt;"",IFERROR(INDEX(Produtos!$C$4:$C$4996,MATCH(D6881,Produtos!$B$4:$B$4996,0)),"Produto não encontrado"),"")</f>
        <v/>
      </c>
    </row>
    <row r="6882" spans="1:5" x14ac:dyDescent="0.3">
      <c r="A6882" s="21" t="str">
        <f t="shared" si="107"/>
        <v>.</v>
      </c>
      <c r="D6882" s="44"/>
      <c r="E6882" s="22" t="str">
        <f>IF(D6882&lt;&gt;"",IFERROR(INDEX(Produtos!$C$4:$C$4996,MATCH(D6882,Produtos!$B$4:$B$4996,0)),"Produto não encontrado"),"")</f>
        <v/>
      </c>
    </row>
    <row r="6883" spans="1:5" x14ac:dyDescent="0.3">
      <c r="A6883" s="21" t="str">
        <f t="shared" si="107"/>
        <v>.</v>
      </c>
      <c r="D6883" s="44"/>
      <c r="E6883" s="22" t="str">
        <f>IF(D6883&lt;&gt;"",IFERROR(INDEX(Produtos!$C$4:$C$4996,MATCH(D6883,Produtos!$B$4:$B$4996,0)),"Produto não encontrado"),"")</f>
        <v/>
      </c>
    </row>
    <row r="6884" spans="1:5" x14ac:dyDescent="0.3">
      <c r="A6884" s="21" t="str">
        <f t="shared" si="107"/>
        <v>.</v>
      </c>
      <c r="D6884" s="44"/>
      <c r="E6884" s="22" t="str">
        <f>IF(D6884&lt;&gt;"",IFERROR(INDEX(Produtos!$C$4:$C$4996,MATCH(D6884,Produtos!$B$4:$B$4996,0)),"Produto não encontrado"),"")</f>
        <v/>
      </c>
    </row>
    <row r="6885" spans="1:5" x14ac:dyDescent="0.3">
      <c r="A6885" s="21" t="str">
        <f t="shared" si="107"/>
        <v>.</v>
      </c>
      <c r="D6885" s="44"/>
      <c r="E6885" s="22" t="str">
        <f>IF(D6885&lt;&gt;"",IFERROR(INDEX(Produtos!$C$4:$C$4996,MATCH(D6885,Produtos!$B$4:$B$4996,0)),"Produto não encontrado"),"")</f>
        <v/>
      </c>
    </row>
    <row r="6886" spans="1:5" x14ac:dyDescent="0.3">
      <c r="A6886" s="21" t="str">
        <f t="shared" si="107"/>
        <v>.</v>
      </c>
      <c r="D6886" s="44"/>
      <c r="E6886" s="22" t="str">
        <f>IF(D6886&lt;&gt;"",IFERROR(INDEX(Produtos!$C$4:$C$4996,MATCH(D6886,Produtos!$B$4:$B$4996,0)),"Produto não encontrado"),"")</f>
        <v/>
      </c>
    </row>
    <row r="6887" spans="1:5" x14ac:dyDescent="0.3">
      <c r="A6887" s="21" t="str">
        <f t="shared" si="107"/>
        <v>.</v>
      </c>
      <c r="D6887" s="44"/>
      <c r="E6887" s="22" t="str">
        <f>IF(D6887&lt;&gt;"",IFERROR(INDEX(Produtos!$C$4:$C$4996,MATCH(D6887,Produtos!$B$4:$B$4996,0)),"Produto não encontrado"),"")</f>
        <v/>
      </c>
    </row>
    <row r="6888" spans="1:5" x14ac:dyDescent="0.3">
      <c r="A6888" s="21" t="str">
        <f t="shared" si="107"/>
        <v>.</v>
      </c>
      <c r="D6888" s="44"/>
      <c r="E6888" s="22" t="str">
        <f>IF(D6888&lt;&gt;"",IFERROR(INDEX(Produtos!$C$4:$C$4996,MATCH(D6888,Produtos!$B$4:$B$4996,0)),"Produto não encontrado"),"")</f>
        <v/>
      </c>
    </row>
    <row r="6889" spans="1:5" x14ac:dyDescent="0.3">
      <c r="A6889" s="21" t="str">
        <f t="shared" si="107"/>
        <v>.</v>
      </c>
      <c r="D6889" s="44"/>
      <c r="E6889" s="22" t="str">
        <f>IF(D6889&lt;&gt;"",IFERROR(INDEX(Produtos!$C$4:$C$4996,MATCH(D6889,Produtos!$B$4:$B$4996,0)),"Produto não encontrado"),"")</f>
        <v/>
      </c>
    </row>
    <row r="6890" spans="1:5" x14ac:dyDescent="0.3">
      <c r="A6890" s="21" t="str">
        <f t="shared" si="107"/>
        <v>.</v>
      </c>
      <c r="D6890" s="44"/>
      <c r="E6890" s="22" t="str">
        <f>IF(D6890&lt;&gt;"",IFERROR(INDEX(Produtos!$C$4:$C$4996,MATCH(D6890,Produtos!$B$4:$B$4996,0)),"Produto não encontrado"),"")</f>
        <v/>
      </c>
    </row>
    <row r="6891" spans="1:5" x14ac:dyDescent="0.3">
      <c r="A6891" s="21" t="str">
        <f t="shared" si="107"/>
        <v>.</v>
      </c>
      <c r="D6891" s="44"/>
      <c r="E6891" s="22" t="str">
        <f>IF(D6891&lt;&gt;"",IFERROR(INDEX(Produtos!$C$4:$C$4996,MATCH(D6891,Produtos!$B$4:$B$4996,0)),"Produto não encontrado"),"")</f>
        <v/>
      </c>
    </row>
    <row r="6892" spans="1:5" x14ac:dyDescent="0.3">
      <c r="A6892" s="21" t="str">
        <f t="shared" si="107"/>
        <v>.</v>
      </c>
      <c r="D6892" s="44"/>
      <c r="E6892" s="22" t="str">
        <f>IF(D6892&lt;&gt;"",IFERROR(INDEX(Produtos!$C$4:$C$4996,MATCH(D6892,Produtos!$B$4:$B$4996,0)),"Produto não encontrado"),"")</f>
        <v/>
      </c>
    </row>
    <row r="6893" spans="1:5" x14ac:dyDescent="0.3">
      <c r="A6893" s="21" t="str">
        <f t="shared" si="107"/>
        <v>.</v>
      </c>
      <c r="D6893" s="44"/>
      <c r="E6893" s="22" t="str">
        <f>IF(D6893&lt;&gt;"",IFERROR(INDEX(Produtos!$C$4:$C$4996,MATCH(D6893,Produtos!$B$4:$B$4996,0)),"Produto não encontrado"),"")</f>
        <v/>
      </c>
    </row>
    <row r="6894" spans="1:5" x14ac:dyDescent="0.3">
      <c r="A6894" s="21" t="str">
        <f t="shared" si="107"/>
        <v>.</v>
      </c>
      <c r="D6894" s="44"/>
      <c r="E6894" s="22" t="str">
        <f>IF(D6894&lt;&gt;"",IFERROR(INDEX(Produtos!$C$4:$C$4996,MATCH(D6894,Produtos!$B$4:$B$4996,0)),"Produto não encontrado"),"")</f>
        <v/>
      </c>
    </row>
    <row r="6895" spans="1:5" x14ac:dyDescent="0.3">
      <c r="A6895" s="21" t="str">
        <f t="shared" si="107"/>
        <v>.</v>
      </c>
      <c r="D6895" s="44"/>
      <c r="E6895" s="22" t="str">
        <f>IF(D6895&lt;&gt;"",IFERROR(INDEX(Produtos!$C$4:$C$4996,MATCH(D6895,Produtos!$B$4:$B$4996,0)),"Produto não encontrado"),"")</f>
        <v/>
      </c>
    </row>
    <row r="6896" spans="1:5" x14ac:dyDescent="0.3">
      <c r="A6896" s="21" t="str">
        <f t="shared" si="107"/>
        <v>.</v>
      </c>
      <c r="D6896" s="44"/>
      <c r="E6896" s="22" t="str">
        <f>IF(D6896&lt;&gt;"",IFERROR(INDEX(Produtos!$C$4:$C$4996,MATCH(D6896,Produtos!$B$4:$B$4996,0)),"Produto não encontrado"),"")</f>
        <v/>
      </c>
    </row>
    <row r="6897" spans="1:5" x14ac:dyDescent="0.3">
      <c r="A6897" s="21" t="str">
        <f t="shared" si="107"/>
        <v>.</v>
      </c>
      <c r="D6897" s="44"/>
      <c r="E6897" s="22" t="str">
        <f>IF(D6897&lt;&gt;"",IFERROR(INDEX(Produtos!$C$4:$C$4996,MATCH(D6897,Produtos!$B$4:$B$4996,0)),"Produto não encontrado"),"")</f>
        <v/>
      </c>
    </row>
    <row r="6898" spans="1:5" x14ac:dyDescent="0.3">
      <c r="A6898" s="21" t="str">
        <f t="shared" si="107"/>
        <v>.</v>
      </c>
      <c r="D6898" s="44"/>
      <c r="E6898" s="22" t="str">
        <f>IF(D6898&lt;&gt;"",IFERROR(INDEX(Produtos!$C$4:$C$4996,MATCH(D6898,Produtos!$B$4:$B$4996,0)),"Produto não encontrado"),"")</f>
        <v/>
      </c>
    </row>
    <row r="6899" spans="1:5" x14ac:dyDescent="0.3">
      <c r="A6899" s="21" t="str">
        <f t="shared" si="107"/>
        <v>.</v>
      </c>
      <c r="D6899" s="44"/>
      <c r="E6899" s="22" t="str">
        <f>IF(D6899&lt;&gt;"",IFERROR(INDEX(Produtos!$C$4:$C$4996,MATCH(D6899,Produtos!$B$4:$B$4996,0)),"Produto não encontrado"),"")</f>
        <v/>
      </c>
    </row>
    <row r="6900" spans="1:5" x14ac:dyDescent="0.3">
      <c r="A6900" s="21" t="str">
        <f t="shared" si="107"/>
        <v>.</v>
      </c>
      <c r="D6900" s="44"/>
      <c r="E6900" s="22" t="str">
        <f>IF(D6900&lt;&gt;"",IFERROR(INDEX(Produtos!$C$4:$C$4996,MATCH(D6900,Produtos!$B$4:$B$4996,0)),"Produto não encontrado"),"")</f>
        <v/>
      </c>
    </row>
    <row r="6901" spans="1:5" x14ac:dyDescent="0.3">
      <c r="A6901" s="21" t="str">
        <f t="shared" si="107"/>
        <v>.</v>
      </c>
      <c r="D6901" s="44"/>
      <c r="E6901" s="22" t="str">
        <f>IF(D6901&lt;&gt;"",IFERROR(INDEX(Produtos!$C$4:$C$4996,MATCH(D6901,Produtos!$B$4:$B$4996,0)),"Produto não encontrado"),"")</f>
        <v/>
      </c>
    </row>
    <row r="6902" spans="1:5" x14ac:dyDescent="0.3">
      <c r="A6902" s="21" t="str">
        <f t="shared" si="107"/>
        <v>.</v>
      </c>
      <c r="D6902" s="44"/>
      <c r="E6902" s="22" t="str">
        <f>IF(D6902&lt;&gt;"",IFERROR(INDEX(Produtos!$C$4:$C$4996,MATCH(D6902,Produtos!$B$4:$B$4996,0)),"Produto não encontrado"),"")</f>
        <v/>
      </c>
    </row>
    <row r="6903" spans="1:5" x14ac:dyDescent="0.3">
      <c r="A6903" s="21" t="str">
        <f t="shared" si="107"/>
        <v>.</v>
      </c>
      <c r="D6903" s="44"/>
      <c r="E6903" s="22" t="str">
        <f>IF(D6903&lt;&gt;"",IFERROR(INDEX(Produtos!$C$4:$C$4996,MATCH(D6903,Produtos!$B$4:$B$4996,0)),"Produto não encontrado"),"")</f>
        <v/>
      </c>
    </row>
    <row r="6904" spans="1:5" x14ac:dyDescent="0.3">
      <c r="A6904" s="21" t="str">
        <f t="shared" si="107"/>
        <v>.</v>
      </c>
      <c r="D6904" s="44"/>
      <c r="E6904" s="22" t="str">
        <f>IF(D6904&lt;&gt;"",IFERROR(INDEX(Produtos!$C$4:$C$4996,MATCH(D6904,Produtos!$B$4:$B$4996,0)),"Produto não encontrado"),"")</f>
        <v/>
      </c>
    </row>
    <row r="6905" spans="1:5" x14ac:dyDescent="0.3">
      <c r="A6905" s="21" t="str">
        <f t="shared" si="107"/>
        <v>.</v>
      </c>
      <c r="D6905" s="44"/>
      <c r="E6905" s="22" t="str">
        <f>IF(D6905&lt;&gt;"",IFERROR(INDEX(Produtos!$C$4:$C$4996,MATCH(D6905,Produtos!$B$4:$B$4996,0)),"Produto não encontrado"),"")</f>
        <v/>
      </c>
    </row>
    <row r="6906" spans="1:5" x14ac:dyDescent="0.3">
      <c r="A6906" s="21" t="str">
        <f t="shared" si="107"/>
        <v>.</v>
      </c>
      <c r="D6906" s="44"/>
      <c r="E6906" s="22" t="str">
        <f>IF(D6906&lt;&gt;"",IFERROR(INDEX(Produtos!$C$4:$C$4996,MATCH(D6906,Produtos!$B$4:$B$4996,0)),"Produto não encontrado"),"")</f>
        <v/>
      </c>
    </row>
    <row r="6907" spans="1:5" x14ac:dyDescent="0.3">
      <c r="A6907" s="21" t="str">
        <f t="shared" si="107"/>
        <v>.</v>
      </c>
      <c r="D6907" s="44"/>
      <c r="E6907" s="22" t="str">
        <f>IF(D6907&lt;&gt;"",IFERROR(INDEX(Produtos!$C$4:$C$4996,MATCH(D6907,Produtos!$B$4:$B$4996,0)),"Produto não encontrado"),"")</f>
        <v/>
      </c>
    </row>
    <row r="6908" spans="1:5" x14ac:dyDescent="0.3">
      <c r="A6908" s="21" t="str">
        <f t="shared" si="107"/>
        <v>.</v>
      </c>
      <c r="D6908" s="44"/>
      <c r="E6908" s="22" t="str">
        <f>IF(D6908&lt;&gt;"",IFERROR(INDEX(Produtos!$C$4:$C$4996,MATCH(D6908,Produtos!$B$4:$B$4996,0)),"Produto não encontrado"),"")</f>
        <v/>
      </c>
    </row>
    <row r="6909" spans="1:5" x14ac:dyDescent="0.3">
      <c r="A6909" s="21" t="str">
        <f t="shared" si="107"/>
        <v>.</v>
      </c>
      <c r="D6909" s="44"/>
      <c r="E6909" s="22" t="str">
        <f>IF(D6909&lt;&gt;"",IFERROR(INDEX(Produtos!$C$4:$C$4996,MATCH(D6909,Produtos!$B$4:$B$4996,0)),"Produto não encontrado"),"")</f>
        <v/>
      </c>
    </row>
    <row r="6910" spans="1:5" x14ac:dyDescent="0.3">
      <c r="A6910" s="21" t="str">
        <f t="shared" si="107"/>
        <v>.</v>
      </c>
      <c r="D6910" s="44"/>
      <c r="E6910" s="22" t="str">
        <f>IF(D6910&lt;&gt;"",IFERROR(INDEX(Produtos!$C$4:$C$4996,MATCH(D6910,Produtos!$B$4:$B$4996,0)),"Produto não encontrado"),"")</f>
        <v/>
      </c>
    </row>
    <row r="6911" spans="1:5" x14ac:dyDescent="0.3">
      <c r="A6911" s="21" t="str">
        <f t="shared" si="107"/>
        <v>.</v>
      </c>
      <c r="D6911" s="44"/>
      <c r="E6911" s="22" t="str">
        <f>IF(D6911&lt;&gt;"",IFERROR(INDEX(Produtos!$C$4:$C$4996,MATCH(D6911,Produtos!$B$4:$B$4996,0)),"Produto não encontrado"),"")</f>
        <v/>
      </c>
    </row>
    <row r="6912" spans="1:5" x14ac:dyDescent="0.3">
      <c r="A6912" s="21" t="str">
        <f t="shared" ref="A6912:A6975" si="108">IF(C6912="Entrada",2,IF(C6912="Saída",1,"."))</f>
        <v>.</v>
      </c>
      <c r="D6912" s="44"/>
      <c r="E6912" s="22" t="str">
        <f>IF(D6912&lt;&gt;"",IFERROR(INDEX(Produtos!$C$4:$C$4996,MATCH(D6912,Produtos!$B$4:$B$4996,0)),"Produto não encontrado"),"")</f>
        <v/>
      </c>
    </row>
    <row r="6913" spans="1:5" x14ac:dyDescent="0.3">
      <c r="A6913" s="21" t="str">
        <f t="shared" si="108"/>
        <v>.</v>
      </c>
      <c r="D6913" s="44"/>
      <c r="E6913" s="22" t="str">
        <f>IF(D6913&lt;&gt;"",IFERROR(INDEX(Produtos!$C$4:$C$4996,MATCH(D6913,Produtos!$B$4:$B$4996,0)),"Produto não encontrado"),"")</f>
        <v/>
      </c>
    </row>
    <row r="6914" spans="1:5" x14ac:dyDescent="0.3">
      <c r="A6914" s="21" t="str">
        <f t="shared" si="108"/>
        <v>.</v>
      </c>
      <c r="D6914" s="44"/>
      <c r="E6914" s="22" t="str">
        <f>IF(D6914&lt;&gt;"",IFERROR(INDEX(Produtos!$C$4:$C$4996,MATCH(D6914,Produtos!$B$4:$B$4996,0)),"Produto não encontrado"),"")</f>
        <v/>
      </c>
    </row>
    <row r="6915" spans="1:5" x14ac:dyDescent="0.3">
      <c r="A6915" s="21" t="str">
        <f t="shared" si="108"/>
        <v>.</v>
      </c>
      <c r="D6915" s="44"/>
      <c r="E6915" s="22" t="str">
        <f>IF(D6915&lt;&gt;"",IFERROR(INDEX(Produtos!$C$4:$C$4996,MATCH(D6915,Produtos!$B$4:$B$4996,0)),"Produto não encontrado"),"")</f>
        <v/>
      </c>
    </row>
    <row r="6916" spans="1:5" x14ac:dyDescent="0.3">
      <c r="A6916" s="21" t="str">
        <f t="shared" si="108"/>
        <v>.</v>
      </c>
      <c r="D6916" s="44"/>
      <c r="E6916" s="22" t="str">
        <f>IF(D6916&lt;&gt;"",IFERROR(INDEX(Produtos!$C$4:$C$4996,MATCH(D6916,Produtos!$B$4:$B$4996,0)),"Produto não encontrado"),"")</f>
        <v/>
      </c>
    </row>
    <row r="6917" spans="1:5" x14ac:dyDescent="0.3">
      <c r="A6917" s="21" t="str">
        <f t="shared" si="108"/>
        <v>.</v>
      </c>
      <c r="D6917" s="44"/>
      <c r="E6917" s="22" t="str">
        <f>IF(D6917&lt;&gt;"",IFERROR(INDEX(Produtos!$C$4:$C$4996,MATCH(D6917,Produtos!$B$4:$B$4996,0)),"Produto não encontrado"),"")</f>
        <v/>
      </c>
    </row>
    <row r="6918" spans="1:5" x14ac:dyDescent="0.3">
      <c r="A6918" s="21" t="str">
        <f t="shared" si="108"/>
        <v>.</v>
      </c>
      <c r="D6918" s="44"/>
      <c r="E6918" s="22" t="str">
        <f>IF(D6918&lt;&gt;"",IFERROR(INDEX(Produtos!$C$4:$C$4996,MATCH(D6918,Produtos!$B$4:$B$4996,0)),"Produto não encontrado"),"")</f>
        <v/>
      </c>
    </row>
    <row r="6919" spans="1:5" x14ac:dyDescent="0.3">
      <c r="A6919" s="21" t="str">
        <f t="shared" si="108"/>
        <v>.</v>
      </c>
      <c r="D6919" s="44"/>
      <c r="E6919" s="22" t="str">
        <f>IF(D6919&lt;&gt;"",IFERROR(INDEX(Produtos!$C$4:$C$4996,MATCH(D6919,Produtos!$B$4:$B$4996,0)),"Produto não encontrado"),"")</f>
        <v/>
      </c>
    </row>
    <row r="6920" spans="1:5" x14ac:dyDescent="0.3">
      <c r="A6920" s="21" t="str">
        <f t="shared" si="108"/>
        <v>.</v>
      </c>
      <c r="D6920" s="44"/>
      <c r="E6920" s="22" t="str">
        <f>IF(D6920&lt;&gt;"",IFERROR(INDEX(Produtos!$C$4:$C$4996,MATCH(D6920,Produtos!$B$4:$B$4996,0)),"Produto não encontrado"),"")</f>
        <v/>
      </c>
    </row>
    <row r="6921" spans="1:5" x14ac:dyDescent="0.3">
      <c r="A6921" s="21" t="str">
        <f t="shared" si="108"/>
        <v>.</v>
      </c>
      <c r="D6921" s="44"/>
      <c r="E6921" s="22" t="str">
        <f>IF(D6921&lt;&gt;"",IFERROR(INDEX(Produtos!$C$4:$C$4996,MATCH(D6921,Produtos!$B$4:$B$4996,0)),"Produto não encontrado"),"")</f>
        <v/>
      </c>
    </row>
    <row r="6922" spans="1:5" x14ac:dyDescent="0.3">
      <c r="A6922" s="21" t="str">
        <f t="shared" si="108"/>
        <v>.</v>
      </c>
      <c r="D6922" s="44"/>
      <c r="E6922" s="22" t="str">
        <f>IF(D6922&lt;&gt;"",IFERROR(INDEX(Produtos!$C$4:$C$4996,MATCH(D6922,Produtos!$B$4:$B$4996,0)),"Produto não encontrado"),"")</f>
        <v/>
      </c>
    </row>
    <row r="6923" spans="1:5" x14ac:dyDescent="0.3">
      <c r="A6923" s="21" t="str">
        <f t="shared" si="108"/>
        <v>.</v>
      </c>
      <c r="D6923" s="44"/>
      <c r="E6923" s="22" t="str">
        <f>IF(D6923&lt;&gt;"",IFERROR(INDEX(Produtos!$C$4:$C$4996,MATCH(D6923,Produtos!$B$4:$B$4996,0)),"Produto não encontrado"),"")</f>
        <v/>
      </c>
    </row>
    <row r="6924" spans="1:5" x14ac:dyDescent="0.3">
      <c r="A6924" s="21" t="str">
        <f t="shared" si="108"/>
        <v>.</v>
      </c>
      <c r="D6924" s="44"/>
      <c r="E6924" s="22" t="str">
        <f>IF(D6924&lt;&gt;"",IFERROR(INDEX(Produtos!$C$4:$C$4996,MATCH(D6924,Produtos!$B$4:$B$4996,0)),"Produto não encontrado"),"")</f>
        <v/>
      </c>
    </row>
    <row r="6925" spans="1:5" x14ac:dyDescent="0.3">
      <c r="A6925" s="21" t="str">
        <f t="shared" si="108"/>
        <v>.</v>
      </c>
      <c r="D6925" s="44"/>
      <c r="E6925" s="22" t="str">
        <f>IF(D6925&lt;&gt;"",IFERROR(INDEX(Produtos!$C$4:$C$4996,MATCH(D6925,Produtos!$B$4:$B$4996,0)),"Produto não encontrado"),"")</f>
        <v/>
      </c>
    </row>
    <row r="6926" spans="1:5" x14ac:dyDescent="0.3">
      <c r="A6926" s="21" t="str">
        <f t="shared" si="108"/>
        <v>.</v>
      </c>
      <c r="D6926" s="44"/>
      <c r="E6926" s="22" t="str">
        <f>IF(D6926&lt;&gt;"",IFERROR(INDEX(Produtos!$C$4:$C$4996,MATCH(D6926,Produtos!$B$4:$B$4996,0)),"Produto não encontrado"),"")</f>
        <v/>
      </c>
    </row>
    <row r="6927" spans="1:5" x14ac:dyDescent="0.3">
      <c r="A6927" s="21" t="str">
        <f t="shared" si="108"/>
        <v>.</v>
      </c>
      <c r="D6927" s="44"/>
      <c r="E6927" s="22" t="str">
        <f>IF(D6927&lt;&gt;"",IFERROR(INDEX(Produtos!$C$4:$C$4996,MATCH(D6927,Produtos!$B$4:$B$4996,0)),"Produto não encontrado"),"")</f>
        <v/>
      </c>
    </row>
    <row r="6928" spans="1:5" x14ac:dyDescent="0.3">
      <c r="A6928" s="21" t="str">
        <f t="shared" si="108"/>
        <v>.</v>
      </c>
      <c r="D6928" s="44"/>
      <c r="E6928" s="22" t="str">
        <f>IF(D6928&lt;&gt;"",IFERROR(INDEX(Produtos!$C$4:$C$4996,MATCH(D6928,Produtos!$B$4:$B$4996,0)),"Produto não encontrado"),"")</f>
        <v/>
      </c>
    </row>
    <row r="6929" spans="1:5" x14ac:dyDescent="0.3">
      <c r="A6929" s="21" t="str">
        <f t="shared" si="108"/>
        <v>.</v>
      </c>
      <c r="D6929" s="44"/>
      <c r="E6929" s="22" t="str">
        <f>IF(D6929&lt;&gt;"",IFERROR(INDEX(Produtos!$C$4:$C$4996,MATCH(D6929,Produtos!$B$4:$B$4996,0)),"Produto não encontrado"),"")</f>
        <v/>
      </c>
    </row>
    <row r="6930" spans="1:5" x14ac:dyDescent="0.3">
      <c r="A6930" s="21" t="str">
        <f t="shared" si="108"/>
        <v>.</v>
      </c>
      <c r="D6930" s="44"/>
      <c r="E6930" s="22" t="str">
        <f>IF(D6930&lt;&gt;"",IFERROR(INDEX(Produtos!$C$4:$C$4996,MATCH(D6930,Produtos!$B$4:$B$4996,0)),"Produto não encontrado"),"")</f>
        <v/>
      </c>
    </row>
    <row r="6931" spans="1:5" x14ac:dyDescent="0.3">
      <c r="A6931" s="21" t="str">
        <f t="shared" si="108"/>
        <v>.</v>
      </c>
      <c r="D6931" s="44"/>
      <c r="E6931" s="22" t="str">
        <f>IF(D6931&lt;&gt;"",IFERROR(INDEX(Produtos!$C$4:$C$4996,MATCH(D6931,Produtos!$B$4:$B$4996,0)),"Produto não encontrado"),"")</f>
        <v/>
      </c>
    </row>
    <row r="6932" spans="1:5" x14ac:dyDescent="0.3">
      <c r="A6932" s="21" t="str">
        <f t="shared" si="108"/>
        <v>.</v>
      </c>
      <c r="D6932" s="44"/>
      <c r="E6932" s="22" t="str">
        <f>IF(D6932&lt;&gt;"",IFERROR(INDEX(Produtos!$C$4:$C$4996,MATCH(D6932,Produtos!$B$4:$B$4996,0)),"Produto não encontrado"),"")</f>
        <v/>
      </c>
    </row>
    <row r="6933" spans="1:5" x14ac:dyDescent="0.3">
      <c r="A6933" s="21" t="str">
        <f t="shared" si="108"/>
        <v>.</v>
      </c>
      <c r="D6933" s="44"/>
      <c r="E6933" s="22" t="str">
        <f>IF(D6933&lt;&gt;"",IFERROR(INDEX(Produtos!$C$4:$C$4996,MATCH(D6933,Produtos!$B$4:$B$4996,0)),"Produto não encontrado"),"")</f>
        <v/>
      </c>
    </row>
    <row r="6934" spans="1:5" x14ac:dyDescent="0.3">
      <c r="A6934" s="21" t="str">
        <f t="shared" si="108"/>
        <v>.</v>
      </c>
      <c r="D6934" s="44"/>
      <c r="E6934" s="22" t="str">
        <f>IF(D6934&lt;&gt;"",IFERROR(INDEX(Produtos!$C$4:$C$4996,MATCH(D6934,Produtos!$B$4:$B$4996,0)),"Produto não encontrado"),"")</f>
        <v/>
      </c>
    </row>
    <row r="6935" spans="1:5" x14ac:dyDescent="0.3">
      <c r="A6935" s="21" t="str">
        <f t="shared" si="108"/>
        <v>.</v>
      </c>
      <c r="D6935" s="44"/>
      <c r="E6935" s="22" t="str">
        <f>IF(D6935&lt;&gt;"",IFERROR(INDEX(Produtos!$C$4:$C$4996,MATCH(D6935,Produtos!$B$4:$B$4996,0)),"Produto não encontrado"),"")</f>
        <v/>
      </c>
    </row>
    <row r="6936" spans="1:5" x14ac:dyDescent="0.3">
      <c r="A6936" s="21" t="str">
        <f t="shared" si="108"/>
        <v>.</v>
      </c>
      <c r="D6936" s="44"/>
      <c r="E6936" s="22" t="str">
        <f>IF(D6936&lt;&gt;"",IFERROR(INDEX(Produtos!$C$4:$C$4996,MATCH(D6936,Produtos!$B$4:$B$4996,0)),"Produto não encontrado"),"")</f>
        <v/>
      </c>
    </row>
    <row r="6937" spans="1:5" x14ac:dyDescent="0.3">
      <c r="A6937" s="21" t="str">
        <f t="shared" si="108"/>
        <v>.</v>
      </c>
      <c r="D6937" s="44"/>
      <c r="E6937" s="22" t="str">
        <f>IF(D6937&lt;&gt;"",IFERROR(INDEX(Produtos!$C$4:$C$4996,MATCH(D6937,Produtos!$B$4:$B$4996,0)),"Produto não encontrado"),"")</f>
        <v/>
      </c>
    </row>
    <row r="6938" spans="1:5" x14ac:dyDescent="0.3">
      <c r="A6938" s="21" t="str">
        <f t="shared" si="108"/>
        <v>.</v>
      </c>
      <c r="D6938" s="44"/>
      <c r="E6938" s="22" t="str">
        <f>IF(D6938&lt;&gt;"",IFERROR(INDEX(Produtos!$C$4:$C$4996,MATCH(D6938,Produtos!$B$4:$B$4996,0)),"Produto não encontrado"),"")</f>
        <v/>
      </c>
    </row>
    <row r="6939" spans="1:5" x14ac:dyDescent="0.3">
      <c r="A6939" s="21" t="str">
        <f t="shared" si="108"/>
        <v>.</v>
      </c>
      <c r="D6939" s="44"/>
      <c r="E6939" s="22" t="str">
        <f>IF(D6939&lt;&gt;"",IFERROR(INDEX(Produtos!$C$4:$C$4996,MATCH(D6939,Produtos!$B$4:$B$4996,0)),"Produto não encontrado"),"")</f>
        <v/>
      </c>
    </row>
    <row r="6940" spans="1:5" x14ac:dyDescent="0.3">
      <c r="A6940" s="21" t="str">
        <f t="shared" si="108"/>
        <v>.</v>
      </c>
      <c r="D6940" s="44"/>
      <c r="E6940" s="22" t="str">
        <f>IF(D6940&lt;&gt;"",IFERROR(INDEX(Produtos!$C$4:$C$4996,MATCH(D6940,Produtos!$B$4:$B$4996,0)),"Produto não encontrado"),"")</f>
        <v/>
      </c>
    </row>
    <row r="6941" spans="1:5" x14ac:dyDescent="0.3">
      <c r="A6941" s="21" t="str">
        <f t="shared" si="108"/>
        <v>.</v>
      </c>
      <c r="D6941" s="44"/>
      <c r="E6941" s="22" t="str">
        <f>IF(D6941&lt;&gt;"",IFERROR(INDEX(Produtos!$C$4:$C$4996,MATCH(D6941,Produtos!$B$4:$B$4996,0)),"Produto não encontrado"),"")</f>
        <v/>
      </c>
    </row>
    <row r="6942" spans="1:5" x14ac:dyDescent="0.3">
      <c r="A6942" s="21" t="str">
        <f t="shared" si="108"/>
        <v>.</v>
      </c>
      <c r="D6942" s="44"/>
      <c r="E6942" s="22" t="str">
        <f>IF(D6942&lt;&gt;"",IFERROR(INDEX(Produtos!$C$4:$C$4996,MATCH(D6942,Produtos!$B$4:$B$4996,0)),"Produto não encontrado"),"")</f>
        <v/>
      </c>
    </row>
    <row r="6943" spans="1:5" x14ac:dyDescent="0.3">
      <c r="A6943" s="21" t="str">
        <f t="shared" si="108"/>
        <v>.</v>
      </c>
      <c r="D6943" s="44"/>
      <c r="E6943" s="22" t="str">
        <f>IF(D6943&lt;&gt;"",IFERROR(INDEX(Produtos!$C$4:$C$4996,MATCH(D6943,Produtos!$B$4:$B$4996,0)),"Produto não encontrado"),"")</f>
        <v/>
      </c>
    </row>
    <row r="6944" spans="1:5" x14ac:dyDescent="0.3">
      <c r="A6944" s="21" t="str">
        <f t="shared" si="108"/>
        <v>.</v>
      </c>
      <c r="D6944" s="44"/>
      <c r="E6944" s="22" t="str">
        <f>IF(D6944&lt;&gt;"",IFERROR(INDEX(Produtos!$C$4:$C$4996,MATCH(D6944,Produtos!$B$4:$B$4996,0)),"Produto não encontrado"),"")</f>
        <v/>
      </c>
    </row>
    <row r="6945" spans="1:5" x14ac:dyDescent="0.3">
      <c r="A6945" s="21" t="str">
        <f t="shared" si="108"/>
        <v>.</v>
      </c>
      <c r="D6945" s="44"/>
      <c r="E6945" s="22" t="str">
        <f>IF(D6945&lt;&gt;"",IFERROR(INDEX(Produtos!$C$4:$C$4996,MATCH(D6945,Produtos!$B$4:$B$4996,0)),"Produto não encontrado"),"")</f>
        <v/>
      </c>
    </row>
    <row r="6946" spans="1:5" x14ac:dyDescent="0.3">
      <c r="A6946" s="21" t="str">
        <f t="shared" si="108"/>
        <v>.</v>
      </c>
      <c r="D6946" s="44"/>
      <c r="E6946" s="22" t="str">
        <f>IF(D6946&lt;&gt;"",IFERROR(INDEX(Produtos!$C$4:$C$4996,MATCH(D6946,Produtos!$B$4:$B$4996,0)),"Produto não encontrado"),"")</f>
        <v/>
      </c>
    </row>
    <row r="6947" spans="1:5" x14ac:dyDescent="0.3">
      <c r="A6947" s="21" t="str">
        <f t="shared" si="108"/>
        <v>.</v>
      </c>
      <c r="D6947" s="44"/>
      <c r="E6947" s="22" t="str">
        <f>IF(D6947&lt;&gt;"",IFERROR(INDEX(Produtos!$C$4:$C$4996,MATCH(D6947,Produtos!$B$4:$B$4996,0)),"Produto não encontrado"),"")</f>
        <v/>
      </c>
    </row>
    <row r="6948" spans="1:5" x14ac:dyDescent="0.3">
      <c r="A6948" s="21" t="str">
        <f t="shared" si="108"/>
        <v>.</v>
      </c>
      <c r="D6948" s="44"/>
      <c r="E6948" s="22" t="str">
        <f>IF(D6948&lt;&gt;"",IFERROR(INDEX(Produtos!$C$4:$C$4996,MATCH(D6948,Produtos!$B$4:$B$4996,0)),"Produto não encontrado"),"")</f>
        <v/>
      </c>
    </row>
    <row r="6949" spans="1:5" x14ac:dyDescent="0.3">
      <c r="A6949" s="21" t="str">
        <f t="shared" si="108"/>
        <v>.</v>
      </c>
      <c r="D6949" s="44"/>
      <c r="E6949" s="22" t="str">
        <f>IF(D6949&lt;&gt;"",IFERROR(INDEX(Produtos!$C$4:$C$4996,MATCH(D6949,Produtos!$B$4:$B$4996,0)),"Produto não encontrado"),"")</f>
        <v/>
      </c>
    </row>
    <row r="6950" spans="1:5" x14ac:dyDescent="0.3">
      <c r="A6950" s="21" t="str">
        <f t="shared" si="108"/>
        <v>.</v>
      </c>
      <c r="D6950" s="44"/>
      <c r="E6950" s="22" t="str">
        <f>IF(D6950&lt;&gt;"",IFERROR(INDEX(Produtos!$C$4:$C$4996,MATCH(D6950,Produtos!$B$4:$B$4996,0)),"Produto não encontrado"),"")</f>
        <v/>
      </c>
    </row>
    <row r="6951" spans="1:5" x14ac:dyDescent="0.3">
      <c r="A6951" s="21" t="str">
        <f t="shared" si="108"/>
        <v>.</v>
      </c>
      <c r="D6951" s="44"/>
      <c r="E6951" s="22" t="str">
        <f>IF(D6951&lt;&gt;"",IFERROR(INDEX(Produtos!$C$4:$C$4996,MATCH(D6951,Produtos!$B$4:$B$4996,0)),"Produto não encontrado"),"")</f>
        <v/>
      </c>
    </row>
    <row r="6952" spans="1:5" x14ac:dyDescent="0.3">
      <c r="A6952" s="21" t="str">
        <f t="shared" si="108"/>
        <v>.</v>
      </c>
      <c r="D6952" s="44"/>
      <c r="E6952" s="22" t="str">
        <f>IF(D6952&lt;&gt;"",IFERROR(INDEX(Produtos!$C$4:$C$4996,MATCH(D6952,Produtos!$B$4:$B$4996,0)),"Produto não encontrado"),"")</f>
        <v/>
      </c>
    </row>
    <row r="6953" spans="1:5" x14ac:dyDescent="0.3">
      <c r="A6953" s="21" t="str">
        <f t="shared" si="108"/>
        <v>.</v>
      </c>
      <c r="D6953" s="44"/>
      <c r="E6953" s="22" t="str">
        <f>IF(D6953&lt;&gt;"",IFERROR(INDEX(Produtos!$C$4:$C$4996,MATCH(D6953,Produtos!$B$4:$B$4996,0)),"Produto não encontrado"),"")</f>
        <v/>
      </c>
    </row>
    <row r="6954" spans="1:5" x14ac:dyDescent="0.3">
      <c r="A6954" s="21" t="str">
        <f t="shared" si="108"/>
        <v>.</v>
      </c>
      <c r="D6954" s="44"/>
      <c r="E6954" s="22" t="str">
        <f>IF(D6954&lt;&gt;"",IFERROR(INDEX(Produtos!$C$4:$C$4996,MATCH(D6954,Produtos!$B$4:$B$4996,0)),"Produto não encontrado"),"")</f>
        <v/>
      </c>
    </row>
    <row r="6955" spans="1:5" x14ac:dyDescent="0.3">
      <c r="A6955" s="21" t="str">
        <f t="shared" si="108"/>
        <v>.</v>
      </c>
      <c r="D6955" s="44"/>
      <c r="E6955" s="22" t="str">
        <f>IF(D6955&lt;&gt;"",IFERROR(INDEX(Produtos!$C$4:$C$4996,MATCH(D6955,Produtos!$B$4:$B$4996,0)),"Produto não encontrado"),"")</f>
        <v/>
      </c>
    </row>
    <row r="6956" spans="1:5" x14ac:dyDescent="0.3">
      <c r="A6956" s="21" t="str">
        <f t="shared" si="108"/>
        <v>.</v>
      </c>
      <c r="D6956" s="44"/>
      <c r="E6956" s="22" t="str">
        <f>IF(D6956&lt;&gt;"",IFERROR(INDEX(Produtos!$C$4:$C$4996,MATCH(D6956,Produtos!$B$4:$B$4996,0)),"Produto não encontrado"),"")</f>
        <v/>
      </c>
    </row>
    <row r="6957" spans="1:5" x14ac:dyDescent="0.3">
      <c r="A6957" s="21" t="str">
        <f t="shared" si="108"/>
        <v>.</v>
      </c>
      <c r="D6957" s="44"/>
      <c r="E6957" s="22" t="str">
        <f>IF(D6957&lt;&gt;"",IFERROR(INDEX(Produtos!$C$4:$C$4996,MATCH(D6957,Produtos!$B$4:$B$4996,0)),"Produto não encontrado"),"")</f>
        <v/>
      </c>
    </row>
    <row r="6958" spans="1:5" x14ac:dyDescent="0.3">
      <c r="A6958" s="21" t="str">
        <f t="shared" si="108"/>
        <v>.</v>
      </c>
      <c r="D6958" s="44"/>
      <c r="E6958" s="22" t="str">
        <f>IF(D6958&lt;&gt;"",IFERROR(INDEX(Produtos!$C$4:$C$4996,MATCH(D6958,Produtos!$B$4:$B$4996,0)),"Produto não encontrado"),"")</f>
        <v/>
      </c>
    </row>
    <row r="6959" spans="1:5" x14ac:dyDescent="0.3">
      <c r="A6959" s="21" t="str">
        <f t="shared" si="108"/>
        <v>.</v>
      </c>
      <c r="D6959" s="44"/>
      <c r="E6959" s="22" t="str">
        <f>IF(D6959&lt;&gt;"",IFERROR(INDEX(Produtos!$C$4:$C$4996,MATCH(D6959,Produtos!$B$4:$B$4996,0)),"Produto não encontrado"),"")</f>
        <v/>
      </c>
    </row>
    <row r="6960" spans="1:5" x14ac:dyDescent="0.3">
      <c r="A6960" s="21" t="str">
        <f t="shared" si="108"/>
        <v>.</v>
      </c>
      <c r="D6960" s="44"/>
      <c r="E6960" s="22" t="str">
        <f>IF(D6960&lt;&gt;"",IFERROR(INDEX(Produtos!$C$4:$C$4996,MATCH(D6960,Produtos!$B$4:$B$4996,0)),"Produto não encontrado"),"")</f>
        <v/>
      </c>
    </row>
    <row r="6961" spans="1:5" x14ac:dyDescent="0.3">
      <c r="A6961" s="21" t="str">
        <f t="shared" si="108"/>
        <v>.</v>
      </c>
      <c r="D6961" s="44"/>
      <c r="E6961" s="22" t="str">
        <f>IF(D6961&lt;&gt;"",IFERROR(INDEX(Produtos!$C$4:$C$4996,MATCH(D6961,Produtos!$B$4:$B$4996,0)),"Produto não encontrado"),"")</f>
        <v/>
      </c>
    </row>
    <row r="6962" spans="1:5" x14ac:dyDescent="0.3">
      <c r="A6962" s="21" t="str">
        <f t="shared" si="108"/>
        <v>.</v>
      </c>
      <c r="D6962" s="44"/>
      <c r="E6962" s="22" t="str">
        <f>IF(D6962&lt;&gt;"",IFERROR(INDEX(Produtos!$C$4:$C$4996,MATCH(D6962,Produtos!$B$4:$B$4996,0)),"Produto não encontrado"),"")</f>
        <v/>
      </c>
    </row>
    <row r="6963" spans="1:5" x14ac:dyDescent="0.3">
      <c r="A6963" s="21" t="str">
        <f t="shared" si="108"/>
        <v>.</v>
      </c>
      <c r="D6963" s="44"/>
      <c r="E6963" s="22" t="str">
        <f>IF(D6963&lt;&gt;"",IFERROR(INDEX(Produtos!$C$4:$C$4996,MATCH(D6963,Produtos!$B$4:$B$4996,0)),"Produto não encontrado"),"")</f>
        <v/>
      </c>
    </row>
    <row r="6964" spans="1:5" x14ac:dyDescent="0.3">
      <c r="A6964" s="21" t="str">
        <f t="shared" si="108"/>
        <v>.</v>
      </c>
      <c r="D6964" s="44"/>
      <c r="E6964" s="22" t="str">
        <f>IF(D6964&lt;&gt;"",IFERROR(INDEX(Produtos!$C$4:$C$4996,MATCH(D6964,Produtos!$B$4:$B$4996,0)),"Produto não encontrado"),"")</f>
        <v/>
      </c>
    </row>
    <row r="6965" spans="1:5" x14ac:dyDescent="0.3">
      <c r="A6965" s="21" t="str">
        <f t="shared" si="108"/>
        <v>.</v>
      </c>
      <c r="D6965" s="44"/>
      <c r="E6965" s="22" t="str">
        <f>IF(D6965&lt;&gt;"",IFERROR(INDEX(Produtos!$C$4:$C$4996,MATCH(D6965,Produtos!$B$4:$B$4996,0)),"Produto não encontrado"),"")</f>
        <v/>
      </c>
    </row>
    <row r="6966" spans="1:5" x14ac:dyDescent="0.3">
      <c r="A6966" s="21" t="str">
        <f t="shared" si="108"/>
        <v>.</v>
      </c>
      <c r="D6966" s="44"/>
      <c r="E6966" s="22" t="str">
        <f>IF(D6966&lt;&gt;"",IFERROR(INDEX(Produtos!$C$4:$C$4996,MATCH(D6966,Produtos!$B$4:$B$4996,0)),"Produto não encontrado"),"")</f>
        <v/>
      </c>
    </row>
    <row r="6967" spans="1:5" x14ac:dyDescent="0.3">
      <c r="A6967" s="21" t="str">
        <f t="shared" si="108"/>
        <v>.</v>
      </c>
      <c r="D6967" s="44"/>
      <c r="E6967" s="22" t="str">
        <f>IF(D6967&lt;&gt;"",IFERROR(INDEX(Produtos!$C$4:$C$4996,MATCH(D6967,Produtos!$B$4:$B$4996,0)),"Produto não encontrado"),"")</f>
        <v/>
      </c>
    </row>
    <row r="6968" spans="1:5" x14ac:dyDescent="0.3">
      <c r="A6968" s="21" t="str">
        <f t="shared" si="108"/>
        <v>.</v>
      </c>
      <c r="D6968" s="44"/>
      <c r="E6968" s="22" t="str">
        <f>IF(D6968&lt;&gt;"",IFERROR(INDEX(Produtos!$C$4:$C$4996,MATCH(D6968,Produtos!$B$4:$B$4996,0)),"Produto não encontrado"),"")</f>
        <v/>
      </c>
    </row>
    <row r="6969" spans="1:5" x14ac:dyDescent="0.3">
      <c r="A6969" s="21" t="str">
        <f t="shared" si="108"/>
        <v>.</v>
      </c>
      <c r="D6969" s="44"/>
      <c r="E6969" s="22" t="str">
        <f>IF(D6969&lt;&gt;"",IFERROR(INDEX(Produtos!$C$4:$C$4996,MATCH(D6969,Produtos!$B$4:$B$4996,0)),"Produto não encontrado"),"")</f>
        <v/>
      </c>
    </row>
    <row r="6970" spans="1:5" x14ac:dyDescent="0.3">
      <c r="A6970" s="21" t="str">
        <f t="shared" si="108"/>
        <v>.</v>
      </c>
      <c r="D6970" s="44"/>
      <c r="E6970" s="22" t="str">
        <f>IF(D6970&lt;&gt;"",IFERROR(INDEX(Produtos!$C$4:$C$4996,MATCH(D6970,Produtos!$B$4:$B$4996,0)),"Produto não encontrado"),"")</f>
        <v/>
      </c>
    </row>
    <row r="6971" spans="1:5" x14ac:dyDescent="0.3">
      <c r="A6971" s="21" t="str">
        <f t="shared" si="108"/>
        <v>.</v>
      </c>
      <c r="D6971" s="44"/>
      <c r="E6971" s="22" t="str">
        <f>IF(D6971&lt;&gt;"",IFERROR(INDEX(Produtos!$C$4:$C$4996,MATCH(D6971,Produtos!$B$4:$B$4996,0)),"Produto não encontrado"),"")</f>
        <v/>
      </c>
    </row>
    <row r="6972" spans="1:5" x14ac:dyDescent="0.3">
      <c r="A6972" s="21" t="str">
        <f t="shared" si="108"/>
        <v>.</v>
      </c>
      <c r="D6972" s="44"/>
      <c r="E6972" s="22" t="str">
        <f>IF(D6972&lt;&gt;"",IFERROR(INDEX(Produtos!$C$4:$C$4996,MATCH(D6972,Produtos!$B$4:$B$4996,0)),"Produto não encontrado"),"")</f>
        <v/>
      </c>
    </row>
    <row r="6973" spans="1:5" x14ac:dyDescent="0.3">
      <c r="A6973" s="21" t="str">
        <f t="shared" si="108"/>
        <v>.</v>
      </c>
      <c r="D6973" s="44"/>
      <c r="E6973" s="22" t="str">
        <f>IF(D6973&lt;&gt;"",IFERROR(INDEX(Produtos!$C$4:$C$4996,MATCH(D6973,Produtos!$B$4:$B$4996,0)),"Produto não encontrado"),"")</f>
        <v/>
      </c>
    </row>
    <row r="6974" spans="1:5" x14ac:dyDescent="0.3">
      <c r="A6974" s="21" t="str">
        <f t="shared" si="108"/>
        <v>.</v>
      </c>
      <c r="D6974" s="44"/>
      <c r="E6974" s="22" t="str">
        <f>IF(D6974&lt;&gt;"",IFERROR(INDEX(Produtos!$C$4:$C$4996,MATCH(D6974,Produtos!$B$4:$B$4996,0)),"Produto não encontrado"),"")</f>
        <v/>
      </c>
    </row>
    <row r="6975" spans="1:5" x14ac:dyDescent="0.3">
      <c r="A6975" s="21" t="str">
        <f t="shared" si="108"/>
        <v>.</v>
      </c>
      <c r="D6975" s="44"/>
      <c r="E6975" s="22" t="str">
        <f>IF(D6975&lt;&gt;"",IFERROR(INDEX(Produtos!$C$4:$C$4996,MATCH(D6975,Produtos!$B$4:$B$4996,0)),"Produto não encontrado"),"")</f>
        <v/>
      </c>
    </row>
    <row r="6976" spans="1:5" x14ac:dyDescent="0.3">
      <c r="A6976" s="21" t="str">
        <f t="shared" ref="A6976:A7039" si="109">IF(C6976="Entrada",2,IF(C6976="Saída",1,"."))</f>
        <v>.</v>
      </c>
      <c r="D6976" s="44"/>
      <c r="E6976" s="22" t="str">
        <f>IF(D6976&lt;&gt;"",IFERROR(INDEX(Produtos!$C$4:$C$4996,MATCH(D6976,Produtos!$B$4:$B$4996,0)),"Produto não encontrado"),"")</f>
        <v/>
      </c>
    </row>
    <row r="6977" spans="1:5" x14ac:dyDescent="0.3">
      <c r="A6977" s="21" t="str">
        <f t="shared" si="109"/>
        <v>.</v>
      </c>
      <c r="D6977" s="44"/>
      <c r="E6977" s="22" t="str">
        <f>IF(D6977&lt;&gt;"",IFERROR(INDEX(Produtos!$C$4:$C$4996,MATCH(D6977,Produtos!$B$4:$B$4996,0)),"Produto não encontrado"),"")</f>
        <v/>
      </c>
    </row>
    <row r="6978" spans="1:5" x14ac:dyDescent="0.3">
      <c r="A6978" s="21" t="str">
        <f t="shared" si="109"/>
        <v>.</v>
      </c>
      <c r="D6978" s="44"/>
      <c r="E6978" s="22" t="str">
        <f>IF(D6978&lt;&gt;"",IFERROR(INDEX(Produtos!$C$4:$C$4996,MATCH(D6978,Produtos!$B$4:$B$4996,0)),"Produto não encontrado"),"")</f>
        <v/>
      </c>
    </row>
    <row r="6979" spans="1:5" x14ac:dyDescent="0.3">
      <c r="A6979" s="21" t="str">
        <f t="shared" si="109"/>
        <v>.</v>
      </c>
      <c r="D6979" s="44"/>
      <c r="E6979" s="22" t="str">
        <f>IF(D6979&lt;&gt;"",IFERROR(INDEX(Produtos!$C$4:$C$4996,MATCH(D6979,Produtos!$B$4:$B$4996,0)),"Produto não encontrado"),"")</f>
        <v/>
      </c>
    </row>
    <row r="6980" spans="1:5" x14ac:dyDescent="0.3">
      <c r="A6980" s="21" t="str">
        <f t="shared" si="109"/>
        <v>.</v>
      </c>
      <c r="D6980" s="44"/>
      <c r="E6980" s="22" t="str">
        <f>IF(D6980&lt;&gt;"",IFERROR(INDEX(Produtos!$C$4:$C$4996,MATCH(D6980,Produtos!$B$4:$B$4996,0)),"Produto não encontrado"),"")</f>
        <v/>
      </c>
    </row>
    <row r="6981" spans="1:5" x14ac:dyDescent="0.3">
      <c r="A6981" s="21" t="str">
        <f t="shared" si="109"/>
        <v>.</v>
      </c>
      <c r="D6981" s="44"/>
      <c r="E6981" s="22" t="str">
        <f>IF(D6981&lt;&gt;"",IFERROR(INDEX(Produtos!$C$4:$C$4996,MATCH(D6981,Produtos!$B$4:$B$4996,0)),"Produto não encontrado"),"")</f>
        <v/>
      </c>
    </row>
    <row r="6982" spans="1:5" x14ac:dyDescent="0.3">
      <c r="A6982" s="21" t="str">
        <f t="shared" si="109"/>
        <v>.</v>
      </c>
      <c r="D6982" s="44"/>
      <c r="E6982" s="22" t="str">
        <f>IF(D6982&lt;&gt;"",IFERROR(INDEX(Produtos!$C$4:$C$4996,MATCH(D6982,Produtos!$B$4:$B$4996,0)),"Produto não encontrado"),"")</f>
        <v/>
      </c>
    </row>
    <row r="6983" spans="1:5" x14ac:dyDescent="0.3">
      <c r="A6983" s="21" t="str">
        <f t="shared" si="109"/>
        <v>.</v>
      </c>
      <c r="D6983" s="44"/>
      <c r="E6983" s="22" t="str">
        <f>IF(D6983&lt;&gt;"",IFERROR(INDEX(Produtos!$C$4:$C$4996,MATCH(D6983,Produtos!$B$4:$B$4996,0)),"Produto não encontrado"),"")</f>
        <v/>
      </c>
    </row>
    <row r="6984" spans="1:5" x14ac:dyDescent="0.3">
      <c r="A6984" s="21" t="str">
        <f t="shared" si="109"/>
        <v>.</v>
      </c>
      <c r="D6984" s="44"/>
      <c r="E6984" s="22" t="str">
        <f>IF(D6984&lt;&gt;"",IFERROR(INDEX(Produtos!$C$4:$C$4996,MATCH(D6984,Produtos!$B$4:$B$4996,0)),"Produto não encontrado"),"")</f>
        <v/>
      </c>
    </row>
    <row r="6985" spans="1:5" x14ac:dyDescent="0.3">
      <c r="A6985" s="21" t="str">
        <f t="shared" si="109"/>
        <v>.</v>
      </c>
      <c r="D6985" s="44"/>
      <c r="E6985" s="22" t="str">
        <f>IF(D6985&lt;&gt;"",IFERROR(INDEX(Produtos!$C$4:$C$4996,MATCH(D6985,Produtos!$B$4:$B$4996,0)),"Produto não encontrado"),"")</f>
        <v/>
      </c>
    </row>
    <row r="6986" spans="1:5" x14ac:dyDescent="0.3">
      <c r="A6986" s="21" t="str">
        <f t="shared" si="109"/>
        <v>.</v>
      </c>
      <c r="D6986" s="44"/>
      <c r="E6986" s="22" t="str">
        <f>IF(D6986&lt;&gt;"",IFERROR(INDEX(Produtos!$C$4:$C$4996,MATCH(D6986,Produtos!$B$4:$B$4996,0)),"Produto não encontrado"),"")</f>
        <v/>
      </c>
    </row>
    <row r="6987" spans="1:5" x14ac:dyDescent="0.3">
      <c r="A6987" s="21" t="str">
        <f t="shared" si="109"/>
        <v>.</v>
      </c>
      <c r="D6987" s="44"/>
      <c r="E6987" s="22" t="str">
        <f>IF(D6987&lt;&gt;"",IFERROR(INDEX(Produtos!$C$4:$C$4996,MATCH(D6987,Produtos!$B$4:$B$4996,0)),"Produto não encontrado"),"")</f>
        <v/>
      </c>
    </row>
    <row r="6988" spans="1:5" x14ac:dyDescent="0.3">
      <c r="A6988" s="21" t="str">
        <f t="shared" si="109"/>
        <v>.</v>
      </c>
      <c r="D6988" s="44"/>
      <c r="E6988" s="22" t="str">
        <f>IF(D6988&lt;&gt;"",IFERROR(INDEX(Produtos!$C$4:$C$4996,MATCH(D6988,Produtos!$B$4:$B$4996,0)),"Produto não encontrado"),"")</f>
        <v/>
      </c>
    </row>
    <row r="6989" spans="1:5" x14ac:dyDescent="0.3">
      <c r="A6989" s="21" t="str">
        <f t="shared" si="109"/>
        <v>.</v>
      </c>
      <c r="D6989" s="44"/>
      <c r="E6989" s="22" t="str">
        <f>IF(D6989&lt;&gt;"",IFERROR(INDEX(Produtos!$C$4:$C$4996,MATCH(D6989,Produtos!$B$4:$B$4996,0)),"Produto não encontrado"),"")</f>
        <v/>
      </c>
    </row>
    <row r="6990" spans="1:5" x14ac:dyDescent="0.3">
      <c r="A6990" s="21" t="str">
        <f t="shared" si="109"/>
        <v>.</v>
      </c>
      <c r="D6990" s="44"/>
      <c r="E6990" s="22" t="str">
        <f>IF(D6990&lt;&gt;"",IFERROR(INDEX(Produtos!$C$4:$C$4996,MATCH(D6990,Produtos!$B$4:$B$4996,0)),"Produto não encontrado"),"")</f>
        <v/>
      </c>
    </row>
    <row r="6991" spans="1:5" x14ac:dyDescent="0.3">
      <c r="A6991" s="21" t="str">
        <f t="shared" si="109"/>
        <v>.</v>
      </c>
      <c r="D6991" s="44"/>
      <c r="E6991" s="22" t="str">
        <f>IF(D6991&lt;&gt;"",IFERROR(INDEX(Produtos!$C$4:$C$4996,MATCH(D6991,Produtos!$B$4:$B$4996,0)),"Produto não encontrado"),"")</f>
        <v/>
      </c>
    </row>
    <row r="6992" spans="1:5" x14ac:dyDescent="0.3">
      <c r="A6992" s="21" t="str">
        <f t="shared" si="109"/>
        <v>.</v>
      </c>
      <c r="D6992" s="44"/>
      <c r="E6992" s="22" t="str">
        <f>IF(D6992&lt;&gt;"",IFERROR(INDEX(Produtos!$C$4:$C$4996,MATCH(D6992,Produtos!$B$4:$B$4996,0)),"Produto não encontrado"),"")</f>
        <v/>
      </c>
    </row>
    <row r="6993" spans="1:5" x14ac:dyDescent="0.3">
      <c r="A6993" s="21" t="str">
        <f t="shared" si="109"/>
        <v>.</v>
      </c>
      <c r="D6993" s="44"/>
      <c r="E6993" s="22" t="str">
        <f>IF(D6993&lt;&gt;"",IFERROR(INDEX(Produtos!$C$4:$C$4996,MATCH(D6993,Produtos!$B$4:$B$4996,0)),"Produto não encontrado"),"")</f>
        <v/>
      </c>
    </row>
    <row r="6994" spans="1:5" x14ac:dyDescent="0.3">
      <c r="A6994" s="21" t="str">
        <f t="shared" si="109"/>
        <v>.</v>
      </c>
      <c r="D6994" s="44"/>
      <c r="E6994" s="22" t="str">
        <f>IF(D6994&lt;&gt;"",IFERROR(INDEX(Produtos!$C$4:$C$4996,MATCH(D6994,Produtos!$B$4:$B$4996,0)),"Produto não encontrado"),"")</f>
        <v/>
      </c>
    </row>
    <row r="6995" spans="1:5" x14ac:dyDescent="0.3">
      <c r="A6995" s="21" t="str">
        <f t="shared" si="109"/>
        <v>.</v>
      </c>
      <c r="D6995" s="44"/>
      <c r="E6995" s="22" t="str">
        <f>IF(D6995&lt;&gt;"",IFERROR(INDEX(Produtos!$C$4:$C$4996,MATCH(D6995,Produtos!$B$4:$B$4996,0)),"Produto não encontrado"),"")</f>
        <v/>
      </c>
    </row>
    <row r="6996" spans="1:5" x14ac:dyDescent="0.3">
      <c r="A6996" s="21" t="str">
        <f t="shared" si="109"/>
        <v>.</v>
      </c>
      <c r="D6996" s="44"/>
      <c r="E6996" s="22" t="str">
        <f>IF(D6996&lt;&gt;"",IFERROR(INDEX(Produtos!$C$4:$C$4996,MATCH(D6996,Produtos!$B$4:$B$4996,0)),"Produto não encontrado"),"")</f>
        <v/>
      </c>
    </row>
    <row r="6997" spans="1:5" x14ac:dyDescent="0.3">
      <c r="A6997" s="21" t="str">
        <f t="shared" si="109"/>
        <v>.</v>
      </c>
      <c r="D6997" s="44"/>
      <c r="E6997" s="22" t="str">
        <f>IF(D6997&lt;&gt;"",IFERROR(INDEX(Produtos!$C$4:$C$4996,MATCH(D6997,Produtos!$B$4:$B$4996,0)),"Produto não encontrado"),"")</f>
        <v/>
      </c>
    </row>
    <row r="6998" spans="1:5" x14ac:dyDescent="0.3">
      <c r="A6998" s="21" t="str">
        <f t="shared" si="109"/>
        <v>.</v>
      </c>
      <c r="D6998" s="44"/>
      <c r="E6998" s="22" t="str">
        <f>IF(D6998&lt;&gt;"",IFERROR(INDEX(Produtos!$C$4:$C$4996,MATCH(D6998,Produtos!$B$4:$B$4996,0)),"Produto não encontrado"),"")</f>
        <v/>
      </c>
    </row>
    <row r="6999" spans="1:5" x14ac:dyDescent="0.3">
      <c r="A6999" s="21" t="str">
        <f t="shared" si="109"/>
        <v>.</v>
      </c>
      <c r="D6999" s="44"/>
      <c r="E6999" s="22" t="str">
        <f>IF(D6999&lt;&gt;"",IFERROR(INDEX(Produtos!$C$4:$C$4996,MATCH(D6999,Produtos!$B$4:$B$4996,0)),"Produto não encontrado"),"")</f>
        <v/>
      </c>
    </row>
    <row r="7000" spans="1:5" x14ac:dyDescent="0.3">
      <c r="A7000" s="21" t="str">
        <f t="shared" si="109"/>
        <v>.</v>
      </c>
      <c r="D7000" s="44"/>
      <c r="E7000" s="22" t="str">
        <f>IF(D7000&lt;&gt;"",IFERROR(INDEX(Produtos!$C$4:$C$4996,MATCH(D7000,Produtos!$B$4:$B$4996,0)),"Produto não encontrado"),"")</f>
        <v/>
      </c>
    </row>
    <row r="7001" spans="1:5" x14ac:dyDescent="0.3">
      <c r="A7001" s="21" t="str">
        <f t="shared" si="109"/>
        <v>.</v>
      </c>
      <c r="D7001" s="44"/>
      <c r="E7001" s="22" t="str">
        <f>IF(D7001&lt;&gt;"",IFERROR(INDEX(Produtos!$C$4:$C$4996,MATCH(D7001,Produtos!$B$4:$B$4996,0)),"Produto não encontrado"),"")</f>
        <v/>
      </c>
    </row>
    <row r="7002" spans="1:5" x14ac:dyDescent="0.3">
      <c r="A7002" s="21" t="str">
        <f t="shared" si="109"/>
        <v>.</v>
      </c>
      <c r="D7002" s="44"/>
      <c r="E7002" s="22" t="str">
        <f>IF(D7002&lt;&gt;"",IFERROR(INDEX(Produtos!$C$4:$C$4996,MATCH(D7002,Produtos!$B$4:$B$4996,0)),"Produto não encontrado"),"")</f>
        <v/>
      </c>
    </row>
    <row r="7003" spans="1:5" x14ac:dyDescent="0.3">
      <c r="A7003" s="21" t="str">
        <f t="shared" si="109"/>
        <v>.</v>
      </c>
      <c r="D7003" s="44"/>
      <c r="E7003" s="22" t="str">
        <f>IF(D7003&lt;&gt;"",IFERROR(INDEX(Produtos!$C$4:$C$4996,MATCH(D7003,Produtos!$B$4:$B$4996,0)),"Produto não encontrado"),"")</f>
        <v/>
      </c>
    </row>
    <row r="7004" spans="1:5" x14ac:dyDescent="0.3">
      <c r="A7004" s="21" t="str">
        <f t="shared" si="109"/>
        <v>.</v>
      </c>
      <c r="D7004" s="44"/>
      <c r="E7004" s="22" t="str">
        <f>IF(D7004&lt;&gt;"",IFERROR(INDEX(Produtos!$C$4:$C$4996,MATCH(D7004,Produtos!$B$4:$B$4996,0)),"Produto não encontrado"),"")</f>
        <v/>
      </c>
    </row>
    <row r="7005" spans="1:5" x14ac:dyDescent="0.3">
      <c r="A7005" s="21" t="str">
        <f t="shared" si="109"/>
        <v>.</v>
      </c>
      <c r="D7005" s="44"/>
      <c r="E7005" s="22" t="str">
        <f>IF(D7005&lt;&gt;"",IFERROR(INDEX(Produtos!$C$4:$C$4996,MATCH(D7005,Produtos!$B$4:$B$4996,0)),"Produto não encontrado"),"")</f>
        <v/>
      </c>
    </row>
    <row r="7006" spans="1:5" x14ac:dyDescent="0.3">
      <c r="A7006" s="21" t="str">
        <f t="shared" si="109"/>
        <v>.</v>
      </c>
      <c r="D7006" s="44"/>
      <c r="E7006" s="22" t="str">
        <f>IF(D7006&lt;&gt;"",IFERROR(INDEX(Produtos!$C$4:$C$4996,MATCH(D7006,Produtos!$B$4:$B$4996,0)),"Produto não encontrado"),"")</f>
        <v/>
      </c>
    </row>
    <row r="7007" spans="1:5" x14ac:dyDescent="0.3">
      <c r="A7007" s="21" t="str">
        <f t="shared" si="109"/>
        <v>.</v>
      </c>
      <c r="D7007" s="44"/>
      <c r="E7007" s="22" t="str">
        <f>IF(D7007&lt;&gt;"",IFERROR(INDEX(Produtos!$C$4:$C$4996,MATCH(D7007,Produtos!$B$4:$B$4996,0)),"Produto não encontrado"),"")</f>
        <v/>
      </c>
    </row>
    <row r="7008" spans="1:5" x14ac:dyDescent="0.3">
      <c r="A7008" s="21" t="str">
        <f t="shared" si="109"/>
        <v>.</v>
      </c>
      <c r="D7008" s="44"/>
      <c r="E7008" s="22" t="str">
        <f>IF(D7008&lt;&gt;"",IFERROR(INDEX(Produtos!$C$4:$C$4996,MATCH(D7008,Produtos!$B$4:$B$4996,0)),"Produto não encontrado"),"")</f>
        <v/>
      </c>
    </row>
    <row r="7009" spans="1:5" x14ac:dyDescent="0.3">
      <c r="A7009" s="21" t="str">
        <f t="shared" si="109"/>
        <v>.</v>
      </c>
      <c r="D7009" s="44"/>
      <c r="E7009" s="22" t="str">
        <f>IF(D7009&lt;&gt;"",IFERROR(INDEX(Produtos!$C$4:$C$4996,MATCH(D7009,Produtos!$B$4:$B$4996,0)),"Produto não encontrado"),"")</f>
        <v/>
      </c>
    </row>
    <row r="7010" spans="1:5" x14ac:dyDescent="0.3">
      <c r="A7010" s="21" t="str">
        <f t="shared" si="109"/>
        <v>.</v>
      </c>
      <c r="D7010" s="44"/>
      <c r="E7010" s="22" t="str">
        <f>IF(D7010&lt;&gt;"",IFERROR(INDEX(Produtos!$C$4:$C$4996,MATCH(D7010,Produtos!$B$4:$B$4996,0)),"Produto não encontrado"),"")</f>
        <v/>
      </c>
    </row>
    <row r="7011" spans="1:5" x14ac:dyDescent="0.3">
      <c r="A7011" s="21" t="str">
        <f t="shared" si="109"/>
        <v>.</v>
      </c>
      <c r="D7011" s="44"/>
      <c r="E7011" s="22" t="str">
        <f>IF(D7011&lt;&gt;"",IFERROR(INDEX(Produtos!$C$4:$C$4996,MATCH(D7011,Produtos!$B$4:$B$4996,0)),"Produto não encontrado"),"")</f>
        <v/>
      </c>
    </row>
    <row r="7012" spans="1:5" x14ac:dyDescent="0.3">
      <c r="A7012" s="21" t="str">
        <f t="shared" si="109"/>
        <v>.</v>
      </c>
      <c r="D7012" s="44"/>
      <c r="E7012" s="22" t="str">
        <f>IF(D7012&lt;&gt;"",IFERROR(INDEX(Produtos!$C$4:$C$4996,MATCH(D7012,Produtos!$B$4:$B$4996,0)),"Produto não encontrado"),"")</f>
        <v/>
      </c>
    </row>
    <row r="7013" spans="1:5" x14ac:dyDescent="0.3">
      <c r="A7013" s="21" t="str">
        <f t="shared" si="109"/>
        <v>.</v>
      </c>
      <c r="D7013" s="44"/>
      <c r="E7013" s="22" t="str">
        <f>IF(D7013&lt;&gt;"",IFERROR(INDEX(Produtos!$C$4:$C$4996,MATCH(D7013,Produtos!$B$4:$B$4996,0)),"Produto não encontrado"),"")</f>
        <v/>
      </c>
    </row>
    <row r="7014" spans="1:5" x14ac:dyDescent="0.3">
      <c r="A7014" s="21" t="str">
        <f t="shared" si="109"/>
        <v>.</v>
      </c>
      <c r="D7014" s="44"/>
      <c r="E7014" s="22" t="str">
        <f>IF(D7014&lt;&gt;"",IFERROR(INDEX(Produtos!$C$4:$C$4996,MATCH(D7014,Produtos!$B$4:$B$4996,0)),"Produto não encontrado"),"")</f>
        <v/>
      </c>
    </row>
    <row r="7015" spans="1:5" x14ac:dyDescent="0.3">
      <c r="A7015" s="21" t="str">
        <f t="shared" si="109"/>
        <v>.</v>
      </c>
      <c r="D7015" s="44"/>
      <c r="E7015" s="22" t="str">
        <f>IF(D7015&lt;&gt;"",IFERROR(INDEX(Produtos!$C$4:$C$4996,MATCH(D7015,Produtos!$B$4:$B$4996,0)),"Produto não encontrado"),"")</f>
        <v/>
      </c>
    </row>
    <row r="7016" spans="1:5" x14ac:dyDescent="0.3">
      <c r="A7016" s="21" t="str">
        <f t="shared" si="109"/>
        <v>.</v>
      </c>
      <c r="D7016" s="44"/>
      <c r="E7016" s="22" t="str">
        <f>IF(D7016&lt;&gt;"",IFERROR(INDEX(Produtos!$C$4:$C$4996,MATCH(D7016,Produtos!$B$4:$B$4996,0)),"Produto não encontrado"),"")</f>
        <v/>
      </c>
    </row>
    <row r="7017" spans="1:5" x14ac:dyDescent="0.3">
      <c r="A7017" s="21" t="str">
        <f t="shared" si="109"/>
        <v>.</v>
      </c>
      <c r="D7017" s="44"/>
      <c r="E7017" s="22" t="str">
        <f>IF(D7017&lt;&gt;"",IFERROR(INDEX(Produtos!$C$4:$C$4996,MATCH(D7017,Produtos!$B$4:$B$4996,0)),"Produto não encontrado"),"")</f>
        <v/>
      </c>
    </row>
    <row r="7018" spans="1:5" x14ac:dyDescent="0.3">
      <c r="A7018" s="21" t="str">
        <f t="shared" si="109"/>
        <v>.</v>
      </c>
      <c r="D7018" s="44"/>
      <c r="E7018" s="22" t="str">
        <f>IF(D7018&lt;&gt;"",IFERROR(INDEX(Produtos!$C$4:$C$4996,MATCH(D7018,Produtos!$B$4:$B$4996,0)),"Produto não encontrado"),"")</f>
        <v/>
      </c>
    </row>
    <row r="7019" spans="1:5" x14ac:dyDescent="0.3">
      <c r="A7019" s="21" t="str">
        <f t="shared" si="109"/>
        <v>.</v>
      </c>
      <c r="D7019" s="44"/>
      <c r="E7019" s="22" t="str">
        <f>IF(D7019&lt;&gt;"",IFERROR(INDEX(Produtos!$C$4:$C$4996,MATCH(D7019,Produtos!$B$4:$B$4996,0)),"Produto não encontrado"),"")</f>
        <v/>
      </c>
    </row>
    <row r="7020" spans="1:5" x14ac:dyDescent="0.3">
      <c r="A7020" s="21" t="str">
        <f t="shared" si="109"/>
        <v>.</v>
      </c>
      <c r="D7020" s="44"/>
      <c r="E7020" s="22" t="str">
        <f>IF(D7020&lt;&gt;"",IFERROR(INDEX(Produtos!$C$4:$C$4996,MATCH(D7020,Produtos!$B$4:$B$4996,0)),"Produto não encontrado"),"")</f>
        <v/>
      </c>
    </row>
    <row r="7021" spans="1:5" x14ac:dyDescent="0.3">
      <c r="A7021" s="21" t="str">
        <f t="shared" si="109"/>
        <v>.</v>
      </c>
      <c r="D7021" s="44"/>
      <c r="E7021" s="22" t="str">
        <f>IF(D7021&lt;&gt;"",IFERROR(INDEX(Produtos!$C$4:$C$4996,MATCH(D7021,Produtos!$B$4:$B$4996,0)),"Produto não encontrado"),"")</f>
        <v/>
      </c>
    </row>
    <row r="7022" spans="1:5" x14ac:dyDescent="0.3">
      <c r="A7022" s="21" t="str">
        <f t="shared" si="109"/>
        <v>.</v>
      </c>
      <c r="D7022" s="44"/>
      <c r="E7022" s="22" t="str">
        <f>IF(D7022&lt;&gt;"",IFERROR(INDEX(Produtos!$C$4:$C$4996,MATCH(D7022,Produtos!$B$4:$B$4996,0)),"Produto não encontrado"),"")</f>
        <v/>
      </c>
    </row>
    <row r="7023" spans="1:5" x14ac:dyDescent="0.3">
      <c r="A7023" s="21" t="str">
        <f t="shared" si="109"/>
        <v>.</v>
      </c>
      <c r="D7023" s="44"/>
      <c r="E7023" s="22" t="str">
        <f>IF(D7023&lt;&gt;"",IFERROR(INDEX(Produtos!$C$4:$C$4996,MATCH(D7023,Produtos!$B$4:$B$4996,0)),"Produto não encontrado"),"")</f>
        <v/>
      </c>
    </row>
    <row r="7024" spans="1:5" x14ac:dyDescent="0.3">
      <c r="A7024" s="21" t="str">
        <f t="shared" si="109"/>
        <v>.</v>
      </c>
      <c r="D7024" s="44"/>
      <c r="E7024" s="22" t="str">
        <f>IF(D7024&lt;&gt;"",IFERROR(INDEX(Produtos!$C$4:$C$4996,MATCH(D7024,Produtos!$B$4:$B$4996,0)),"Produto não encontrado"),"")</f>
        <v/>
      </c>
    </row>
    <row r="7025" spans="1:5" x14ac:dyDescent="0.3">
      <c r="A7025" s="21" t="str">
        <f t="shared" si="109"/>
        <v>.</v>
      </c>
      <c r="D7025" s="44"/>
      <c r="E7025" s="22" t="str">
        <f>IF(D7025&lt;&gt;"",IFERROR(INDEX(Produtos!$C$4:$C$4996,MATCH(D7025,Produtos!$B$4:$B$4996,0)),"Produto não encontrado"),"")</f>
        <v/>
      </c>
    </row>
    <row r="7026" spans="1:5" x14ac:dyDescent="0.3">
      <c r="A7026" s="21" t="str">
        <f t="shared" si="109"/>
        <v>.</v>
      </c>
      <c r="D7026" s="44"/>
      <c r="E7026" s="22" t="str">
        <f>IF(D7026&lt;&gt;"",IFERROR(INDEX(Produtos!$C$4:$C$4996,MATCH(D7026,Produtos!$B$4:$B$4996,0)),"Produto não encontrado"),"")</f>
        <v/>
      </c>
    </row>
    <row r="7027" spans="1:5" x14ac:dyDescent="0.3">
      <c r="A7027" s="21" t="str">
        <f t="shared" si="109"/>
        <v>.</v>
      </c>
      <c r="D7027" s="44"/>
      <c r="E7027" s="22" t="str">
        <f>IF(D7027&lt;&gt;"",IFERROR(INDEX(Produtos!$C$4:$C$4996,MATCH(D7027,Produtos!$B$4:$B$4996,0)),"Produto não encontrado"),"")</f>
        <v/>
      </c>
    </row>
    <row r="7028" spans="1:5" x14ac:dyDescent="0.3">
      <c r="A7028" s="21" t="str">
        <f t="shared" si="109"/>
        <v>.</v>
      </c>
      <c r="D7028" s="44"/>
      <c r="E7028" s="22" t="str">
        <f>IF(D7028&lt;&gt;"",IFERROR(INDEX(Produtos!$C$4:$C$4996,MATCH(D7028,Produtos!$B$4:$B$4996,0)),"Produto não encontrado"),"")</f>
        <v/>
      </c>
    </row>
    <row r="7029" spans="1:5" x14ac:dyDescent="0.3">
      <c r="A7029" s="21" t="str">
        <f t="shared" si="109"/>
        <v>.</v>
      </c>
      <c r="D7029" s="44"/>
      <c r="E7029" s="22" t="str">
        <f>IF(D7029&lt;&gt;"",IFERROR(INDEX(Produtos!$C$4:$C$4996,MATCH(D7029,Produtos!$B$4:$B$4996,0)),"Produto não encontrado"),"")</f>
        <v/>
      </c>
    </row>
    <row r="7030" spans="1:5" x14ac:dyDescent="0.3">
      <c r="A7030" s="21" t="str">
        <f t="shared" si="109"/>
        <v>.</v>
      </c>
      <c r="D7030" s="44"/>
      <c r="E7030" s="22" t="str">
        <f>IF(D7030&lt;&gt;"",IFERROR(INDEX(Produtos!$C$4:$C$4996,MATCH(D7030,Produtos!$B$4:$B$4996,0)),"Produto não encontrado"),"")</f>
        <v/>
      </c>
    </row>
    <row r="7031" spans="1:5" x14ac:dyDescent="0.3">
      <c r="A7031" s="21" t="str">
        <f t="shared" si="109"/>
        <v>.</v>
      </c>
      <c r="D7031" s="44"/>
      <c r="E7031" s="22" t="str">
        <f>IF(D7031&lt;&gt;"",IFERROR(INDEX(Produtos!$C$4:$C$4996,MATCH(D7031,Produtos!$B$4:$B$4996,0)),"Produto não encontrado"),"")</f>
        <v/>
      </c>
    </row>
    <row r="7032" spans="1:5" x14ac:dyDescent="0.3">
      <c r="A7032" s="21" t="str">
        <f t="shared" si="109"/>
        <v>.</v>
      </c>
      <c r="D7032" s="44"/>
      <c r="E7032" s="22" t="str">
        <f>IF(D7032&lt;&gt;"",IFERROR(INDEX(Produtos!$C$4:$C$4996,MATCH(D7032,Produtos!$B$4:$B$4996,0)),"Produto não encontrado"),"")</f>
        <v/>
      </c>
    </row>
    <row r="7033" spans="1:5" x14ac:dyDescent="0.3">
      <c r="A7033" s="21" t="str">
        <f t="shared" si="109"/>
        <v>.</v>
      </c>
      <c r="D7033" s="44"/>
      <c r="E7033" s="22" t="str">
        <f>IF(D7033&lt;&gt;"",IFERROR(INDEX(Produtos!$C$4:$C$4996,MATCH(D7033,Produtos!$B$4:$B$4996,0)),"Produto não encontrado"),"")</f>
        <v/>
      </c>
    </row>
    <row r="7034" spans="1:5" x14ac:dyDescent="0.3">
      <c r="A7034" s="21" t="str">
        <f t="shared" si="109"/>
        <v>.</v>
      </c>
      <c r="D7034" s="44"/>
      <c r="E7034" s="22" t="str">
        <f>IF(D7034&lt;&gt;"",IFERROR(INDEX(Produtos!$C$4:$C$4996,MATCH(D7034,Produtos!$B$4:$B$4996,0)),"Produto não encontrado"),"")</f>
        <v/>
      </c>
    </row>
    <row r="7035" spans="1:5" x14ac:dyDescent="0.3">
      <c r="A7035" s="21" t="str">
        <f t="shared" si="109"/>
        <v>.</v>
      </c>
      <c r="D7035" s="44"/>
      <c r="E7035" s="22" t="str">
        <f>IF(D7035&lt;&gt;"",IFERROR(INDEX(Produtos!$C$4:$C$4996,MATCH(D7035,Produtos!$B$4:$B$4996,0)),"Produto não encontrado"),"")</f>
        <v/>
      </c>
    </row>
    <row r="7036" spans="1:5" x14ac:dyDescent="0.3">
      <c r="A7036" s="21" t="str">
        <f t="shared" si="109"/>
        <v>.</v>
      </c>
      <c r="D7036" s="44"/>
      <c r="E7036" s="22" t="str">
        <f>IF(D7036&lt;&gt;"",IFERROR(INDEX(Produtos!$C$4:$C$4996,MATCH(D7036,Produtos!$B$4:$B$4996,0)),"Produto não encontrado"),"")</f>
        <v/>
      </c>
    </row>
    <row r="7037" spans="1:5" x14ac:dyDescent="0.3">
      <c r="A7037" s="21" t="str">
        <f t="shared" si="109"/>
        <v>.</v>
      </c>
      <c r="D7037" s="44"/>
      <c r="E7037" s="22" t="str">
        <f>IF(D7037&lt;&gt;"",IFERROR(INDEX(Produtos!$C$4:$C$4996,MATCH(D7037,Produtos!$B$4:$B$4996,0)),"Produto não encontrado"),"")</f>
        <v/>
      </c>
    </row>
    <row r="7038" spans="1:5" x14ac:dyDescent="0.3">
      <c r="A7038" s="21" t="str">
        <f t="shared" si="109"/>
        <v>.</v>
      </c>
      <c r="D7038" s="44"/>
      <c r="E7038" s="22" t="str">
        <f>IF(D7038&lt;&gt;"",IFERROR(INDEX(Produtos!$C$4:$C$4996,MATCH(D7038,Produtos!$B$4:$B$4996,0)),"Produto não encontrado"),"")</f>
        <v/>
      </c>
    </row>
    <row r="7039" spans="1:5" x14ac:dyDescent="0.3">
      <c r="A7039" s="21" t="str">
        <f t="shared" si="109"/>
        <v>.</v>
      </c>
      <c r="D7039" s="44"/>
      <c r="E7039" s="22" t="str">
        <f>IF(D7039&lt;&gt;"",IFERROR(INDEX(Produtos!$C$4:$C$4996,MATCH(D7039,Produtos!$B$4:$B$4996,0)),"Produto não encontrado"),"")</f>
        <v/>
      </c>
    </row>
    <row r="7040" spans="1:5" x14ac:dyDescent="0.3">
      <c r="A7040" s="21" t="str">
        <f t="shared" ref="A7040:A7103" si="110">IF(C7040="Entrada",2,IF(C7040="Saída",1,"."))</f>
        <v>.</v>
      </c>
      <c r="D7040" s="44"/>
      <c r="E7040" s="22" t="str">
        <f>IF(D7040&lt;&gt;"",IFERROR(INDEX(Produtos!$C$4:$C$4996,MATCH(D7040,Produtos!$B$4:$B$4996,0)),"Produto não encontrado"),"")</f>
        <v/>
      </c>
    </row>
    <row r="7041" spans="1:5" x14ac:dyDescent="0.3">
      <c r="A7041" s="21" t="str">
        <f t="shared" si="110"/>
        <v>.</v>
      </c>
      <c r="D7041" s="44"/>
      <c r="E7041" s="22" t="str">
        <f>IF(D7041&lt;&gt;"",IFERROR(INDEX(Produtos!$C$4:$C$4996,MATCH(D7041,Produtos!$B$4:$B$4996,0)),"Produto não encontrado"),"")</f>
        <v/>
      </c>
    </row>
    <row r="7042" spans="1:5" x14ac:dyDescent="0.3">
      <c r="A7042" s="21" t="str">
        <f t="shared" si="110"/>
        <v>.</v>
      </c>
      <c r="D7042" s="44"/>
      <c r="E7042" s="22" t="str">
        <f>IF(D7042&lt;&gt;"",IFERROR(INDEX(Produtos!$C$4:$C$4996,MATCH(D7042,Produtos!$B$4:$B$4996,0)),"Produto não encontrado"),"")</f>
        <v/>
      </c>
    </row>
    <row r="7043" spans="1:5" x14ac:dyDescent="0.3">
      <c r="A7043" s="21" t="str">
        <f t="shared" si="110"/>
        <v>.</v>
      </c>
      <c r="D7043" s="44"/>
      <c r="E7043" s="22" t="str">
        <f>IF(D7043&lt;&gt;"",IFERROR(INDEX(Produtos!$C$4:$C$4996,MATCH(D7043,Produtos!$B$4:$B$4996,0)),"Produto não encontrado"),"")</f>
        <v/>
      </c>
    </row>
    <row r="7044" spans="1:5" x14ac:dyDescent="0.3">
      <c r="A7044" s="21" t="str">
        <f t="shared" si="110"/>
        <v>.</v>
      </c>
      <c r="D7044" s="44"/>
      <c r="E7044" s="22" t="str">
        <f>IF(D7044&lt;&gt;"",IFERROR(INDEX(Produtos!$C$4:$C$4996,MATCH(D7044,Produtos!$B$4:$B$4996,0)),"Produto não encontrado"),"")</f>
        <v/>
      </c>
    </row>
    <row r="7045" spans="1:5" x14ac:dyDescent="0.3">
      <c r="A7045" s="21" t="str">
        <f t="shared" si="110"/>
        <v>.</v>
      </c>
      <c r="D7045" s="44"/>
      <c r="E7045" s="22" t="str">
        <f>IF(D7045&lt;&gt;"",IFERROR(INDEX(Produtos!$C$4:$C$4996,MATCH(D7045,Produtos!$B$4:$B$4996,0)),"Produto não encontrado"),"")</f>
        <v/>
      </c>
    </row>
    <row r="7046" spans="1:5" x14ac:dyDescent="0.3">
      <c r="A7046" s="21" t="str">
        <f t="shared" si="110"/>
        <v>.</v>
      </c>
      <c r="D7046" s="44"/>
      <c r="E7046" s="22" t="str">
        <f>IF(D7046&lt;&gt;"",IFERROR(INDEX(Produtos!$C$4:$C$4996,MATCH(D7046,Produtos!$B$4:$B$4996,0)),"Produto não encontrado"),"")</f>
        <v/>
      </c>
    </row>
    <row r="7047" spans="1:5" x14ac:dyDescent="0.3">
      <c r="A7047" s="21" t="str">
        <f t="shared" si="110"/>
        <v>.</v>
      </c>
      <c r="D7047" s="44"/>
      <c r="E7047" s="22" t="str">
        <f>IF(D7047&lt;&gt;"",IFERROR(INDEX(Produtos!$C$4:$C$4996,MATCH(D7047,Produtos!$B$4:$B$4996,0)),"Produto não encontrado"),"")</f>
        <v/>
      </c>
    </row>
    <row r="7048" spans="1:5" x14ac:dyDescent="0.3">
      <c r="A7048" s="21" t="str">
        <f t="shared" si="110"/>
        <v>.</v>
      </c>
      <c r="D7048" s="44"/>
      <c r="E7048" s="22" t="str">
        <f>IF(D7048&lt;&gt;"",IFERROR(INDEX(Produtos!$C$4:$C$4996,MATCH(D7048,Produtos!$B$4:$B$4996,0)),"Produto não encontrado"),"")</f>
        <v/>
      </c>
    </row>
    <row r="7049" spans="1:5" x14ac:dyDescent="0.3">
      <c r="A7049" s="21" t="str">
        <f t="shared" si="110"/>
        <v>.</v>
      </c>
      <c r="D7049" s="44"/>
      <c r="E7049" s="22" t="str">
        <f>IF(D7049&lt;&gt;"",IFERROR(INDEX(Produtos!$C$4:$C$4996,MATCH(D7049,Produtos!$B$4:$B$4996,0)),"Produto não encontrado"),"")</f>
        <v/>
      </c>
    </row>
    <row r="7050" spans="1:5" x14ac:dyDescent="0.3">
      <c r="A7050" s="21" t="str">
        <f t="shared" si="110"/>
        <v>.</v>
      </c>
      <c r="D7050" s="44"/>
      <c r="E7050" s="22" t="str">
        <f>IF(D7050&lt;&gt;"",IFERROR(INDEX(Produtos!$C$4:$C$4996,MATCH(D7050,Produtos!$B$4:$B$4996,0)),"Produto não encontrado"),"")</f>
        <v/>
      </c>
    </row>
    <row r="7051" spans="1:5" x14ac:dyDescent="0.3">
      <c r="A7051" s="21" t="str">
        <f t="shared" si="110"/>
        <v>.</v>
      </c>
      <c r="D7051" s="44"/>
      <c r="E7051" s="22" t="str">
        <f>IF(D7051&lt;&gt;"",IFERROR(INDEX(Produtos!$C$4:$C$4996,MATCH(D7051,Produtos!$B$4:$B$4996,0)),"Produto não encontrado"),"")</f>
        <v/>
      </c>
    </row>
    <row r="7052" spans="1:5" x14ac:dyDescent="0.3">
      <c r="A7052" s="21" t="str">
        <f t="shared" si="110"/>
        <v>.</v>
      </c>
      <c r="D7052" s="44"/>
      <c r="E7052" s="22" t="str">
        <f>IF(D7052&lt;&gt;"",IFERROR(INDEX(Produtos!$C$4:$C$4996,MATCH(D7052,Produtos!$B$4:$B$4996,0)),"Produto não encontrado"),"")</f>
        <v/>
      </c>
    </row>
    <row r="7053" spans="1:5" x14ac:dyDescent="0.3">
      <c r="A7053" s="21" t="str">
        <f t="shared" si="110"/>
        <v>.</v>
      </c>
      <c r="D7053" s="44"/>
      <c r="E7053" s="22" t="str">
        <f>IF(D7053&lt;&gt;"",IFERROR(INDEX(Produtos!$C$4:$C$4996,MATCH(D7053,Produtos!$B$4:$B$4996,0)),"Produto não encontrado"),"")</f>
        <v/>
      </c>
    </row>
    <row r="7054" spans="1:5" x14ac:dyDescent="0.3">
      <c r="A7054" s="21" t="str">
        <f t="shared" si="110"/>
        <v>.</v>
      </c>
      <c r="D7054" s="44"/>
      <c r="E7054" s="22" t="str">
        <f>IF(D7054&lt;&gt;"",IFERROR(INDEX(Produtos!$C$4:$C$4996,MATCH(D7054,Produtos!$B$4:$B$4996,0)),"Produto não encontrado"),"")</f>
        <v/>
      </c>
    </row>
    <row r="7055" spans="1:5" x14ac:dyDescent="0.3">
      <c r="A7055" s="21" t="str">
        <f t="shared" si="110"/>
        <v>.</v>
      </c>
      <c r="D7055" s="44"/>
      <c r="E7055" s="22" t="str">
        <f>IF(D7055&lt;&gt;"",IFERROR(INDEX(Produtos!$C$4:$C$4996,MATCH(D7055,Produtos!$B$4:$B$4996,0)),"Produto não encontrado"),"")</f>
        <v/>
      </c>
    </row>
    <row r="7056" spans="1:5" x14ac:dyDescent="0.3">
      <c r="A7056" s="21" t="str">
        <f t="shared" si="110"/>
        <v>.</v>
      </c>
      <c r="D7056" s="44"/>
      <c r="E7056" s="22" t="str">
        <f>IF(D7056&lt;&gt;"",IFERROR(INDEX(Produtos!$C$4:$C$4996,MATCH(D7056,Produtos!$B$4:$B$4996,0)),"Produto não encontrado"),"")</f>
        <v/>
      </c>
    </row>
    <row r="7057" spans="1:5" x14ac:dyDescent="0.3">
      <c r="A7057" s="21" t="str">
        <f t="shared" si="110"/>
        <v>.</v>
      </c>
      <c r="D7057" s="44"/>
      <c r="E7057" s="22" t="str">
        <f>IF(D7057&lt;&gt;"",IFERROR(INDEX(Produtos!$C$4:$C$4996,MATCH(D7057,Produtos!$B$4:$B$4996,0)),"Produto não encontrado"),"")</f>
        <v/>
      </c>
    </row>
    <row r="7058" spans="1:5" x14ac:dyDescent="0.3">
      <c r="A7058" s="21" t="str">
        <f t="shared" si="110"/>
        <v>.</v>
      </c>
      <c r="D7058" s="44"/>
      <c r="E7058" s="22" t="str">
        <f>IF(D7058&lt;&gt;"",IFERROR(INDEX(Produtos!$C$4:$C$4996,MATCH(D7058,Produtos!$B$4:$B$4996,0)),"Produto não encontrado"),"")</f>
        <v/>
      </c>
    </row>
    <row r="7059" spans="1:5" x14ac:dyDescent="0.3">
      <c r="A7059" s="21" t="str">
        <f t="shared" si="110"/>
        <v>.</v>
      </c>
      <c r="D7059" s="44"/>
      <c r="E7059" s="22" t="str">
        <f>IF(D7059&lt;&gt;"",IFERROR(INDEX(Produtos!$C$4:$C$4996,MATCH(D7059,Produtos!$B$4:$B$4996,0)),"Produto não encontrado"),"")</f>
        <v/>
      </c>
    </row>
    <row r="7060" spans="1:5" x14ac:dyDescent="0.3">
      <c r="A7060" s="21" t="str">
        <f t="shared" si="110"/>
        <v>.</v>
      </c>
      <c r="D7060" s="44"/>
      <c r="E7060" s="22" t="str">
        <f>IF(D7060&lt;&gt;"",IFERROR(INDEX(Produtos!$C$4:$C$4996,MATCH(D7060,Produtos!$B$4:$B$4996,0)),"Produto não encontrado"),"")</f>
        <v/>
      </c>
    </row>
    <row r="7061" spans="1:5" x14ac:dyDescent="0.3">
      <c r="A7061" s="21" t="str">
        <f t="shared" si="110"/>
        <v>.</v>
      </c>
      <c r="D7061" s="44"/>
      <c r="E7061" s="22" t="str">
        <f>IF(D7061&lt;&gt;"",IFERROR(INDEX(Produtos!$C$4:$C$4996,MATCH(D7061,Produtos!$B$4:$B$4996,0)),"Produto não encontrado"),"")</f>
        <v/>
      </c>
    </row>
    <row r="7062" spans="1:5" x14ac:dyDescent="0.3">
      <c r="A7062" s="21" t="str">
        <f t="shared" si="110"/>
        <v>.</v>
      </c>
      <c r="D7062" s="44"/>
      <c r="E7062" s="22" t="str">
        <f>IF(D7062&lt;&gt;"",IFERROR(INDEX(Produtos!$C$4:$C$4996,MATCH(D7062,Produtos!$B$4:$B$4996,0)),"Produto não encontrado"),"")</f>
        <v/>
      </c>
    </row>
    <row r="7063" spans="1:5" x14ac:dyDescent="0.3">
      <c r="A7063" s="21" t="str">
        <f t="shared" si="110"/>
        <v>.</v>
      </c>
      <c r="D7063" s="44"/>
      <c r="E7063" s="22" t="str">
        <f>IF(D7063&lt;&gt;"",IFERROR(INDEX(Produtos!$C$4:$C$4996,MATCH(D7063,Produtos!$B$4:$B$4996,0)),"Produto não encontrado"),"")</f>
        <v/>
      </c>
    </row>
    <row r="7064" spans="1:5" x14ac:dyDescent="0.3">
      <c r="A7064" s="21" t="str">
        <f t="shared" si="110"/>
        <v>.</v>
      </c>
      <c r="D7064" s="44"/>
      <c r="E7064" s="22" t="str">
        <f>IF(D7064&lt;&gt;"",IFERROR(INDEX(Produtos!$C$4:$C$4996,MATCH(D7064,Produtos!$B$4:$B$4996,0)),"Produto não encontrado"),"")</f>
        <v/>
      </c>
    </row>
    <row r="7065" spans="1:5" x14ac:dyDescent="0.3">
      <c r="A7065" s="21" t="str">
        <f t="shared" si="110"/>
        <v>.</v>
      </c>
      <c r="D7065" s="44"/>
      <c r="E7065" s="22" t="str">
        <f>IF(D7065&lt;&gt;"",IFERROR(INDEX(Produtos!$C$4:$C$4996,MATCH(D7065,Produtos!$B$4:$B$4996,0)),"Produto não encontrado"),"")</f>
        <v/>
      </c>
    </row>
    <row r="7066" spans="1:5" x14ac:dyDescent="0.3">
      <c r="A7066" s="21" t="str">
        <f t="shared" si="110"/>
        <v>.</v>
      </c>
      <c r="D7066" s="44"/>
      <c r="E7066" s="22" t="str">
        <f>IF(D7066&lt;&gt;"",IFERROR(INDEX(Produtos!$C$4:$C$4996,MATCH(D7066,Produtos!$B$4:$B$4996,0)),"Produto não encontrado"),"")</f>
        <v/>
      </c>
    </row>
    <row r="7067" spans="1:5" x14ac:dyDescent="0.3">
      <c r="A7067" s="21" t="str">
        <f t="shared" si="110"/>
        <v>.</v>
      </c>
      <c r="D7067" s="44"/>
      <c r="E7067" s="22" t="str">
        <f>IF(D7067&lt;&gt;"",IFERROR(INDEX(Produtos!$C$4:$C$4996,MATCH(D7067,Produtos!$B$4:$B$4996,0)),"Produto não encontrado"),"")</f>
        <v/>
      </c>
    </row>
    <row r="7068" spans="1:5" x14ac:dyDescent="0.3">
      <c r="A7068" s="21" t="str">
        <f t="shared" si="110"/>
        <v>.</v>
      </c>
      <c r="D7068" s="44"/>
      <c r="E7068" s="22" t="str">
        <f>IF(D7068&lt;&gt;"",IFERROR(INDEX(Produtos!$C$4:$C$4996,MATCH(D7068,Produtos!$B$4:$B$4996,0)),"Produto não encontrado"),"")</f>
        <v/>
      </c>
    </row>
    <row r="7069" spans="1:5" x14ac:dyDescent="0.3">
      <c r="A7069" s="21" t="str">
        <f t="shared" si="110"/>
        <v>.</v>
      </c>
      <c r="D7069" s="44"/>
      <c r="E7069" s="22" t="str">
        <f>IF(D7069&lt;&gt;"",IFERROR(INDEX(Produtos!$C$4:$C$4996,MATCH(D7069,Produtos!$B$4:$B$4996,0)),"Produto não encontrado"),"")</f>
        <v/>
      </c>
    </row>
    <row r="7070" spans="1:5" x14ac:dyDescent="0.3">
      <c r="A7070" s="21" t="str">
        <f t="shared" si="110"/>
        <v>.</v>
      </c>
      <c r="D7070" s="44"/>
      <c r="E7070" s="22" t="str">
        <f>IF(D7070&lt;&gt;"",IFERROR(INDEX(Produtos!$C$4:$C$4996,MATCH(D7070,Produtos!$B$4:$B$4996,0)),"Produto não encontrado"),"")</f>
        <v/>
      </c>
    </row>
    <row r="7071" spans="1:5" x14ac:dyDescent="0.3">
      <c r="A7071" s="21" t="str">
        <f t="shared" si="110"/>
        <v>.</v>
      </c>
      <c r="D7071" s="44"/>
      <c r="E7071" s="22" t="str">
        <f>IF(D7071&lt;&gt;"",IFERROR(INDEX(Produtos!$C$4:$C$4996,MATCH(D7071,Produtos!$B$4:$B$4996,0)),"Produto não encontrado"),"")</f>
        <v/>
      </c>
    </row>
    <row r="7072" spans="1:5" x14ac:dyDescent="0.3">
      <c r="A7072" s="21" t="str">
        <f t="shared" si="110"/>
        <v>.</v>
      </c>
      <c r="D7072" s="44"/>
      <c r="E7072" s="22" t="str">
        <f>IF(D7072&lt;&gt;"",IFERROR(INDEX(Produtos!$C$4:$C$4996,MATCH(D7072,Produtos!$B$4:$B$4996,0)),"Produto não encontrado"),"")</f>
        <v/>
      </c>
    </row>
    <row r="7073" spans="1:5" x14ac:dyDescent="0.3">
      <c r="A7073" s="21" t="str">
        <f t="shared" si="110"/>
        <v>.</v>
      </c>
      <c r="D7073" s="44"/>
      <c r="E7073" s="22" t="str">
        <f>IF(D7073&lt;&gt;"",IFERROR(INDEX(Produtos!$C$4:$C$4996,MATCH(D7073,Produtos!$B$4:$B$4996,0)),"Produto não encontrado"),"")</f>
        <v/>
      </c>
    </row>
    <row r="7074" spans="1:5" x14ac:dyDescent="0.3">
      <c r="A7074" s="21" t="str">
        <f t="shared" si="110"/>
        <v>.</v>
      </c>
      <c r="D7074" s="44"/>
      <c r="E7074" s="22" t="str">
        <f>IF(D7074&lt;&gt;"",IFERROR(INDEX(Produtos!$C$4:$C$4996,MATCH(D7074,Produtos!$B$4:$B$4996,0)),"Produto não encontrado"),"")</f>
        <v/>
      </c>
    </row>
    <row r="7075" spans="1:5" x14ac:dyDescent="0.3">
      <c r="A7075" s="21" t="str">
        <f t="shared" si="110"/>
        <v>.</v>
      </c>
      <c r="D7075" s="44"/>
      <c r="E7075" s="22" t="str">
        <f>IF(D7075&lt;&gt;"",IFERROR(INDEX(Produtos!$C$4:$C$4996,MATCH(D7075,Produtos!$B$4:$B$4996,0)),"Produto não encontrado"),"")</f>
        <v/>
      </c>
    </row>
    <row r="7076" spans="1:5" x14ac:dyDescent="0.3">
      <c r="A7076" s="21" t="str">
        <f t="shared" si="110"/>
        <v>.</v>
      </c>
      <c r="D7076" s="44"/>
      <c r="E7076" s="22" t="str">
        <f>IF(D7076&lt;&gt;"",IFERROR(INDEX(Produtos!$C$4:$C$4996,MATCH(D7076,Produtos!$B$4:$B$4996,0)),"Produto não encontrado"),"")</f>
        <v/>
      </c>
    </row>
    <row r="7077" spans="1:5" x14ac:dyDescent="0.3">
      <c r="A7077" s="21" t="str">
        <f t="shared" si="110"/>
        <v>.</v>
      </c>
      <c r="D7077" s="44"/>
      <c r="E7077" s="22" t="str">
        <f>IF(D7077&lt;&gt;"",IFERROR(INDEX(Produtos!$C$4:$C$4996,MATCH(D7077,Produtos!$B$4:$B$4996,0)),"Produto não encontrado"),"")</f>
        <v/>
      </c>
    </row>
    <row r="7078" spans="1:5" x14ac:dyDescent="0.3">
      <c r="A7078" s="21" t="str">
        <f t="shared" si="110"/>
        <v>.</v>
      </c>
      <c r="D7078" s="44"/>
      <c r="E7078" s="22" t="str">
        <f>IF(D7078&lt;&gt;"",IFERROR(INDEX(Produtos!$C$4:$C$4996,MATCH(D7078,Produtos!$B$4:$B$4996,0)),"Produto não encontrado"),"")</f>
        <v/>
      </c>
    </row>
    <row r="7079" spans="1:5" x14ac:dyDescent="0.3">
      <c r="A7079" s="21" t="str">
        <f t="shared" si="110"/>
        <v>.</v>
      </c>
      <c r="D7079" s="44"/>
      <c r="E7079" s="22" t="str">
        <f>IF(D7079&lt;&gt;"",IFERROR(INDEX(Produtos!$C$4:$C$4996,MATCH(D7079,Produtos!$B$4:$B$4996,0)),"Produto não encontrado"),"")</f>
        <v/>
      </c>
    </row>
    <row r="7080" spans="1:5" x14ac:dyDescent="0.3">
      <c r="A7080" s="21" t="str">
        <f t="shared" si="110"/>
        <v>.</v>
      </c>
      <c r="D7080" s="44"/>
      <c r="E7080" s="22" t="str">
        <f>IF(D7080&lt;&gt;"",IFERROR(INDEX(Produtos!$C$4:$C$4996,MATCH(D7080,Produtos!$B$4:$B$4996,0)),"Produto não encontrado"),"")</f>
        <v/>
      </c>
    </row>
    <row r="7081" spans="1:5" x14ac:dyDescent="0.3">
      <c r="A7081" s="21" t="str">
        <f t="shared" si="110"/>
        <v>.</v>
      </c>
      <c r="D7081" s="44"/>
      <c r="E7081" s="22" t="str">
        <f>IF(D7081&lt;&gt;"",IFERROR(INDEX(Produtos!$C$4:$C$4996,MATCH(D7081,Produtos!$B$4:$B$4996,0)),"Produto não encontrado"),"")</f>
        <v/>
      </c>
    </row>
    <row r="7082" spans="1:5" x14ac:dyDescent="0.3">
      <c r="A7082" s="21" t="str">
        <f t="shared" si="110"/>
        <v>.</v>
      </c>
      <c r="D7082" s="44"/>
      <c r="E7082" s="22" t="str">
        <f>IF(D7082&lt;&gt;"",IFERROR(INDEX(Produtos!$C$4:$C$4996,MATCH(D7082,Produtos!$B$4:$B$4996,0)),"Produto não encontrado"),"")</f>
        <v/>
      </c>
    </row>
    <row r="7083" spans="1:5" x14ac:dyDescent="0.3">
      <c r="A7083" s="21" t="str">
        <f t="shared" si="110"/>
        <v>.</v>
      </c>
      <c r="D7083" s="44"/>
      <c r="E7083" s="22" t="str">
        <f>IF(D7083&lt;&gt;"",IFERROR(INDEX(Produtos!$C$4:$C$4996,MATCH(D7083,Produtos!$B$4:$B$4996,0)),"Produto não encontrado"),"")</f>
        <v/>
      </c>
    </row>
    <row r="7084" spans="1:5" x14ac:dyDescent="0.3">
      <c r="A7084" s="21" t="str">
        <f t="shared" si="110"/>
        <v>.</v>
      </c>
      <c r="D7084" s="44"/>
      <c r="E7084" s="22" t="str">
        <f>IF(D7084&lt;&gt;"",IFERROR(INDEX(Produtos!$C$4:$C$4996,MATCH(D7084,Produtos!$B$4:$B$4996,0)),"Produto não encontrado"),"")</f>
        <v/>
      </c>
    </row>
    <row r="7085" spans="1:5" x14ac:dyDescent="0.3">
      <c r="A7085" s="21" t="str">
        <f t="shared" si="110"/>
        <v>.</v>
      </c>
      <c r="D7085" s="44"/>
      <c r="E7085" s="22" t="str">
        <f>IF(D7085&lt;&gt;"",IFERROR(INDEX(Produtos!$C$4:$C$4996,MATCH(D7085,Produtos!$B$4:$B$4996,0)),"Produto não encontrado"),"")</f>
        <v/>
      </c>
    </row>
    <row r="7086" spans="1:5" x14ac:dyDescent="0.3">
      <c r="A7086" s="21" t="str">
        <f t="shared" si="110"/>
        <v>.</v>
      </c>
      <c r="D7086" s="44"/>
      <c r="E7086" s="22" t="str">
        <f>IF(D7086&lt;&gt;"",IFERROR(INDEX(Produtos!$C$4:$C$4996,MATCH(D7086,Produtos!$B$4:$B$4996,0)),"Produto não encontrado"),"")</f>
        <v/>
      </c>
    </row>
    <row r="7087" spans="1:5" x14ac:dyDescent="0.3">
      <c r="A7087" s="21" t="str">
        <f t="shared" si="110"/>
        <v>.</v>
      </c>
      <c r="D7087" s="44"/>
      <c r="E7087" s="22" t="str">
        <f>IF(D7087&lt;&gt;"",IFERROR(INDEX(Produtos!$C$4:$C$4996,MATCH(D7087,Produtos!$B$4:$B$4996,0)),"Produto não encontrado"),"")</f>
        <v/>
      </c>
    </row>
    <row r="7088" spans="1:5" x14ac:dyDescent="0.3">
      <c r="A7088" s="21" t="str">
        <f t="shared" si="110"/>
        <v>.</v>
      </c>
      <c r="D7088" s="44"/>
      <c r="E7088" s="22" t="str">
        <f>IF(D7088&lt;&gt;"",IFERROR(INDEX(Produtos!$C$4:$C$4996,MATCH(D7088,Produtos!$B$4:$B$4996,0)),"Produto não encontrado"),"")</f>
        <v/>
      </c>
    </row>
    <row r="7089" spans="1:5" x14ac:dyDescent="0.3">
      <c r="A7089" s="21" t="str">
        <f t="shared" si="110"/>
        <v>.</v>
      </c>
      <c r="D7089" s="44"/>
      <c r="E7089" s="22" t="str">
        <f>IF(D7089&lt;&gt;"",IFERROR(INDEX(Produtos!$C$4:$C$4996,MATCH(D7089,Produtos!$B$4:$B$4996,0)),"Produto não encontrado"),"")</f>
        <v/>
      </c>
    </row>
    <row r="7090" spans="1:5" x14ac:dyDescent="0.3">
      <c r="A7090" s="21" t="str">
        <f t="shared" si="110"/>
        <v>.</v>
      </c>
      <c r="D7090" s="44"/>
      <c r="E7090" s="22" t="str">
        <f>IF(D7090&lt;&gt;"",IFERROR(INDEX(Produtos!$C$4:$C$4996,MATCH(D7090,Produtos!$B$4:$B$4996,0)),"Produto não encontrado"),"")</f>
        <v/>
      </c>
    </row>
    <row r="7091" spans="1:5" x14ac:dyDescent="0.3">
      <c r="A7091" s="21" t="str">
        <f t="shared" si="110"/>
        <v>.</v>
      </c>
      <c r="D7091" s="44"/>
      <c r="E7091" s="22" t="str">
        <f>IF(D7091&lt;&gt;"",IFERROR(INDEX(Produtos!$C$4:$C$4996,MATCH(D7091,Produtos!$B$4:$B$4996,0)),"Produto não encontrado"),"")</f>
        <v/>
      </c>
    </row>
    <row r="7092" spans="1:5" x14ac:dyDescent="0.3">
      <c r="A7092" s="21" t="str">
        <f t="shared" si="110"/>
        <v>.</v>
      </c>
      <c r="D7092" s="44"/>
      <c r="E7092" s="22" t="str">
        <f>IF(D7092&lt;&gt;"",IFERROR(INDEX(Produtos!$C$4:$C$4996,MATCH(D7092,Produtos!$B$4:$B$4996,0)),"Produto não encontrado"),"")</f>
        <v/>
      </c>
    </row>
    <row r="7093" spans="1:5" x14ac:dyDescent="0.3">
      <c r="A7093" s="21" t="str">
        <f t="shared" si="110"/>
        <v>.</v>
      </c>
      <c r="D7093" s="44"/>
      <c r="E7093" s="22" t="str">
        <f>IF(D7093&lt;&gt;"",IFERROR(INDEX(Produtos!$C$4:$C$4996,MATCH(D7093,Produtos!$B$4:$B$4996,0)),"Produto não encontrado"),"")</f>
        <v/>
      </c>
    </row>
    <row r="7094" spans="1:5" x14ac:dyDescent="0.3">
      <c r="A7094" s="21" t="str">
        <f t="shared" si="110"/>
        <v>.</v>
      </c>
      <c r="D7094" s="44"/>
      <c r="E7094" s="22" t="str">
        <f>IF(D7094&lt;&gt;"",IFERROR(INDEX(Produtos!$C$4:$C$4996,MATCH(D7094,Produtos!$B$4:$B$4996,0)),"Produto não encontrado"),"")</f>
        <v/>
      </c>
    </row>
    <row r="7095" spans="1:5" x14ac:dyDescent="0.3">
      <c r="A7095" s="21" t="str">
        <f t="shared" si="110"/>
        <v>.</v>
      </c>
      <c r="D7095" s="44"/>
      <c r="E7095" s="22" t="str">
        <f>IF(D7095&lt;&gt;"",IFERROR(INDEX(Produtos!$C$4:$C$4996,MATCH(D7095,Produtos!$B$4:$B$4996,0)),"Produto não encontrado"),"")</f>
        <v/>
      </c>
    </row>
    <row r="7096" spans="1:5" x14ac:dyDescent="0.3">
      <c r="A7096" s="21" t="str">
        <f t="shared" si="110"/>
        <v>.</v>
      </c>
      <c r="D7096" s="44"/>
      <c r="E7096" s="22" t="str">
        <f>IF(D7096&lt;&gt;"",IFERROR(INDEX(Produtos!$C$4:$C$4996,MATCH(D7096,Produtos!$B$4:$B$4996,0)),"Produto não encontrado"),"")</f>
        <v/>
      </c>
    </row>
    <row r="7097" spans="1:5" x14ac:dyDescent="0.3">
      <c r="A7097" s="21" t="str">
        <f t="shared" si="110"/>
        <v>.</v>
      </c>
      <c r="D7097" s="44"/>
      <c r="E7097" s="22" t="str">
        <f>IF(D7097&lt;&gt;"",IFERROR(INDEX(Produtos!$C$4:$C$4996,MATCH(D7097,Produtos!$B$4:$B$4996,0)),"Produto não encontrado"),"")</f>
        <v/>
      </c>
    </row>
    <row r="7098" spans="1:5" x14ac:dyDescent="0.3">
      <c r="A7098" s="21" t="str">
        <f t="shared" si="110"/>
        <v>.</v>
      </c>
      <c r="D7098" s="44"/>
      <c r="E7098" s="22" t="str">
        <f>IF(D7098&lt;&gt;"",IFERROR(INDEX(Produtos!$C$4:$C$4996,MATCH(D7098,Produtos!$B$4:$B$4996,0)),"Produto não encontrado"),"")</f>
        <v/>
      </c>
    </row>
    <row r="7099" spans="1:5" x14ac:dyDescent="0.3">
      <c r="A7099" s="21" t="str">
        <f t="shared" si="110"/>
        <v>.</v>
      </c>
      <c r="D7099" s="44"/>
      <c r="E7099" s="22" t="str">
        <f>IF(D7099&lt;&gt;"",IFERROR(INDEX(Produtos!$C$4:$C$4996,MATCH(D7099,Produtos!$B$4:$B$4996,0)),"Produto não encontrado"),"")</f>
        <v/>
      </c>
    </row>
    <row r="7100" spans="1:5" x14ac:dyDescent="0.3">
      <c r="A7100" s="21" t="str">
        <f t="shared" si="110"/>
        <v>.</v>
      </c>
      <c r="D7100" s="44"/>
      <c r="E7100" s="22" t="str">
        <f>IF(D7100&lt;&gt;"",IFERROR(INDEX(Produtos!$C$4:$C$4996,MATCH(D7100,Produtos!$B$4:$B$4996,0)),"Produto não encontrado"),"")</f>
        <v/>
      </c>
    </row>
    <row r="7101" spans="1:5" x14ac:dyDescent="0.3">
      <c r="A7101" s="21" t="str">
        <f t="shared" si="110"/>
        <v>.</v>
      </c>
      <c r="D7101" s="44"/>
      <c r="E7101" s="22" t="str">
        <f>IF(D7101&lt;&gt;"",IFERROR(INDEX(Produtos!$C$4:$C$4996,MATCH(D7101,Produtos!$B$4:$B$4996,0)),"Produto não encontrado"),"")</f>
        <v/>
      </c>
    </row>
    <row r="7102" spans="1:5" x14ac:dyDescent="0.3">
      <c r="A7102" s="21" t="str">
        <f t="shared" si="110"/>
        <v>.</v>
      </c>
      <c r="D7102" s="44"/>
      <c r="E7102" s="22" t="str">
        <f>IF(D7102&lt;&gt;"",IFERROR(INDEX(Produtos!$C$4:$C$4996,MATCH(D7102,Produtos!$B$4:$B$4996,0)),"Produto não encontrado"),"")</f>
        <v/>
      </c>
    </row>
    <row r="7103" spans="1:5" x14ac:dyDescent="0.3">
      <c r="A7103" s="21" t="str">
        <f t="shared" si="110"/>
        <v>.</v>
      </c>
      <c r="D7103" s="44"/>
      <c r="E7103" s="22" t="str">
        <f>IF(D7103&lt;&gt;"",IFERROR(INDEX(Produtos!$C$4:$C$4996,MATCH(D7103,Produtos!$B$4:$B$4996,0)),"Produto não encontrado"),"")</f>
        <v/>
      </c>
    </row>
    <row r="7104" spans="1:5" x14ac:dyDescent="0.3">
      <c r="A7104" s="21" t="str">
        <f t="shared" ref="A7104:A7167" si="111">IF(C7104="Entrada",2,IF(C7104="Saída",1,"."))</f>
        <v>.</v>
      </c>
      <c r="D7104" s="44"/>
      <c r="E7104" s="22" t="str">
        <f>IF(D7104&lt;&gt;"",IFERROR(INDEX(Produtos!$C$4:$C$4996,MATCH(D7104,Produtos!$B$4:$B$4996,0)),"Produto não encontrado"),"")</f>
        <v/>
      </c>
    </row>
    <row r="7105" spans="1:5" x14ac:dyDescent="0.3">
      <c r="A7105" s="21" t="str">
        <f t="shared" si="111"/>
        <v>.</v>
      </c>
      <c r="D7105" s="44"/>
      <c r="E7105" s="22" t="str">
        <f>IF(D7105&lt;&gt;"",IFERROR(INDEX(Produtos!$C$4:$C$4996,MATCH(D7105,Produtos!$B$4:$B$4996,0)),"Produto não encontrado"),"")</f>
        <v/>
      </c>
    </row>
    <row r="7106" spans="1:5" x14ac:dyDescent="0.3">
      <c r="A7106" s="21" t="str">
        <f t="shared" si="111"/>
        <v>.</v>
      </c>
      <c r="D7106" s="44"/>
      <c r="E7106" s="22" t="str">
        <f>IF(D7106&lt;&gt;"",IFERROR(INDEX(Produtos!$C$4:$C$4996,MATCH(D7106,Produtos!$B$4:$B$4996,0)),"Produto não encontrado"),"")</f>
        <v/>
      </c>
    </row>
    <row r="7107" spans="1:5" x14ac:dyDescent="0.3">
      <c r="A7107" s="21" t="str">
        <f t="shared" si="111"/>
        <v>.</v>
      </c>
      <c r="D7107" s="44"/>
      <c r="E7107" s="22" t="str">
        <f>IF(D7107&lt;&gt;"",IFERROR(INDEX(Produtos!$C$4:$C$4996,MATCH(D7107,Produtos!$B$4:$B$4996,0)),"Produto não encontrado"),"")</f>
        <v/>
      </c>
    </row>
    <row r="7108" spans="1:5" x14ac:dyDescent="0.3">
      <c r="A7108" s="21" t="str">
        <f t="shared" si="111"/>
        <v>.</v>
      </c>
      <c r="D7108" s="44"/>
      <c r="E7108" s="22" t="str">
        <f>IF(D7108&lt;&gt;"",IFERROR(INDEX(Produtos!$C$4:$C$4996,MATCH(D7108,Produtos!$B$4:$B$4996,0)),"Produto não encontrado"),"")</f>
        <v/>
      </c>
    </row>
    <row r="7109" spans="1:5" x14ac:dyDescent="0.3">
      <c r="A7109" s="21" t="str">
        <f t="shared" si="111"/>
        <v>.</v>
      </c>
      <c r="D7109" s="44"/>
      <c r="E7109" s="22" t="str">
        <f>IF(D7109&lt;&gt;"",IFERROR(INDEX(Produtos!$C$4:$C$4996,MATCH(D7109,Produtos!$B$4:$B$4996,0)),"Produto não encontrado"),"")</f>
        <v/>
      </c>
    </row>
    <row r="7110" spans="1:5" x14ac:dyDescent="0.3">
      <c r="A7110" s="21" t="str">
        <f t="shared" si="111"/>
        <v>.</v>
      </c>
      <c r="D7110" s="44"/>
      <c r="E7110" s="22" t="str">
        <f>IF(D7110&lt;&gt;"",IFERROR(INDEX(Produtos!$C$4:$C$4996,MATCH(D7110,Produtos!$B$4:$B$4996,0)),"Produto não encontrado"),"")</f>
        <v/>
      </c>
    </row>
    <row r="7111" spans="1:5" x14ac:dyDescent="0.3">
      <c r="A7111" s="21" t="str">
        <f t="shared" si="111"/>
        <v>.</v>
      </c>
      <c r="D7111" s="44"/>
      <c r="E7111" s="22" t="str">
        <f>IF(D7111&lt;&gt;"",IFERROR(INDEX(Produtos!$C$4:$C$4996,MATCH(D7111,Produtos!$B$4:$B$4996,0)),"Produto não encontrado"),"")</f>
        <v/>
      </c>
    </row>
    <row r="7112" spans="1:5" x14ac:dyDescent="0.3">
      <c r="A7112" s="21" t="str">
        <f t="shared" si="111"/>
        <v>.</v>
      </c>
      <c r="D7112" s="44"/>
      <c r="E7112" s="22" t="str">
        <f>IF(D7112&lt;&gt;"",IFERROR(INDEX(Produtos!$C$4:$C$4996,MATCH(D7112,Produtos!$B$4:$B$4996,0)),"Produto não encontrado"),"")</f>
        <v/>
      </c>
    </row>
    <row r="7113" spans="1:5" x14ac:dyDescent="0.3">
      <c r="A7113" s="21" t="str">
        <f t="shared" si="111"/>
        <v>.</v>
      </c>
      <c r="D7113" s="44"/>
      <c r="E7113" s="22" t="str">
        <f>IF(D7113&lt;&gt;"",IFERROR(INDEX(Produtos!$C$4:$C$4996,MATCH(D7113,Produtos!$B$4:$B$4996,0)),"Produto não encontrado"),"")</f>
        <v/>
      </c>
    </row>
    <row r="7114" spans="1:5" x14ac:dyDescent="0.3">
      <c r="A7114" s="21" t="str">
        <f t="shared" si="111"/>
        <v>.</v>
      </c>
      <c r="D7114" s="44"/>
      <c r="E7114" s="22" t="str">
        <f>IF(D7114&lt;&gt;"",IFERROR(INDEX(Produtos!$C$4:$C$4996,MATCH(D7114,Produtos!$B$4:$B$4996,0)),"Produto não encontrado"),"")</f>
        <v/>
      </c>
    </row>
    <row r="7115" spans="1:5" x14ac:dyDescent="0.3">
      <c r="A7115" s="21" t="str">
        <f t="shared" si="111"/>
        <v>.</v>
      </c>
      <c r="D7115" s="44"/>
      <c r="E7115" s="22" t="str">
        <f>IF(D7115&lt;&gt;"",IFERROR(INDEX(Produtos!$C$4:$C$4996,MATCH(D7115,Produtos!$B$4:$B$4996,0)),"Produto não encontrado"),"")</f>
        <v/>
      </c>
    </row>
    <row r="7116" spans="1:5" x14ac:dyDescent="0.3">
      <c r="A7116" s="21" t="str">
        <f t="shared" si="111"/>
        <v>.</v>
      </c>
      <c r="D7116" s="44"/>
      <c r="E7116" s="22" t="str">
        <f>IF(D7116&lt;&gt;"",IFERROR(INDEX(Produtos!$C$4:$C$4996,MATCH(D7116,Produtos!$B$4:$B$4996,0)),"Produto não encontrado"),"")</f>
        <v/>
      </c>
    </row>
    <row r="7117" spans="1:5" x14ac:dyDescent="0.3">
      <c r="A7117" s="21" t="str">
        <f t="shared" si="111"/>
        <v>.</v>
      </c>
      <c r="D7117" s="44"/>
      <c r="E7117" s="22" t="str">
        <f>IF(D7117&lt;&gt;"",IFERROR(INDEX(Produtos!$C$4:$C$4996,MATCH(D7117,Produtos!$B$4:$B$4996,0)),"Produto não encontrado"),"")</f>
        <v/>
      </c>
    </row>
    <row r="7118" spans="1:5" x14ac:dyDescent="0.3">
      <c r="A7118" s="21" t="str">
        <f t="shared" si="111"/>
        <v>.</v>
      </c>
      <c r="D7118" s="44"/>
      <c r="E7118" s="22" t="str">
        <f>IF(D7118&lt;&gt;"",IFERROR(INDEX(Produtos!$C$4:$C$4996,MATCH(D7118,Produtos!$B$4:$B$4996,0)),"Produto não encontrado"),"")</f>
        <v/>
      </c>
    </row>
    <row r="7119" spans="1:5" x14ac:dyDescent="0.3">
      <c r="A7119" s="21" t="str">
        <f t="shared" si="111"/>
        <v>.</v>
      </c>
      <c r="D7119" s="44"/>
      <c r="E7119" s="22" t="str">
        <f>IF(D7119&lt;&gt;"",IFERROR(INDEX(Produtos!$C$4:$C$4996,MATCH(D7119,Produtos!$B$4:$B$4996,0)),"Produto não encontrado"),"")</f>
        <v/>
      </c>
    </row>
    <row r="7120" spans="1:5" x14ac:dyDescent="0.3">
      <c r="A7120" s="21" t="str">
        <f t="shared" si="111"/>
        <v>.</v>
      </c>
      <c r="D7120" s="44"/>
      <c r="E7120" s="22" t="str">
        <f>IF(D7120&lt;&gt;"",IFERROR(INDEX(Produtos!$C$4:$C$4996,MATCH(D7120,Produtos!$B$4:$B$4996,0)),"Produto não encontrado"),"")</f>
        <v/>
      </c>
    </row>
    <row r="7121" spans="1:5" x14ac:dyDescent="0.3">
      <c r="A7121" s="21" t="str">
        <f t="shared" si="111"/>
        <v>.</v>
      </c>
      <c r="D7121" s="44"/>
      <c r="E7121" s="22" t="str">
        <f>IF(D7121&lt;&gt;"",IFERROR(INDEX(Produtos!$C$4:$C$4996,MATCH(D7121,Produtos!$B$4:$B$4996,0)),"Produto não encontrado"),"")</f>
        <v/>
      </c>
    </row>
    <row r="7122" spans="1:5" x14ac:dyDescent="0.3">
      <c r="A7122" s="21" t="str">
        <f t="shared" si="111"/>
        <v>.</v>
      </c>
      <c r="D7122" s="44"/>
      <c r="E7122" s="22" t="str">
        <f>IF(D7122&lt;&gt;"",IFERROR(INDEX(Produtos!$C$4:$C$4996,MATCH(D7122,Produtos!$B$4:$B$4996,0)),"Produto não encontrado"),"")</f>
        <v/>
      </c>
    </row>
    <row r="7123" spans="1:5" x14ac:dyDescent="0.3">
      <c r="A7123" s="21" t="str">
        <f t="shared" si="111"/>
        <v>.</v>
      </c>
      <c r="D7123" s="44"/>
      <c r="E7123" s="22" t="str">
        <f>IF(D7123&lt;&gt;"",IFERROR(INDEX(Produtos!$C$4:$C$4996,MATCH(D7123,Produtos!$B$4:$B$4996,0)),"Produto não encontrado"),"")</f>
        <v/>
      </c>
    </row>
    <row r="7124" spans="1:5" x14ac:dyDescent="0.3">
      <c r="A7124" s="21" t="str">
        <f t="shared" si="111"/>
        <v>.</v>
      </c>
      <c r="D7124" s="44"/>
      <c r="E7124" s="22" t="str">
        <f>IF(D7124&lt;&gt;"",IFERROR(INDEX(Produtos!$C$4:$C$4996,MATCH(D7124,Produtos!$B$4:$B$4996,0)),"Produto não encontrado"),"")</f>
        <v/>
      </c>
    </row>
    <row r="7125" spans="1:5" x14ac:dyDescent="0.3">
      <c r="A7125" s="21" t="str">
        <f t="shared" si="111"/>
        <v>.</v>
      </c>
      <c r="D7125" s="44"/>
      <c r="E7125" s="22" t="str">
        <f>IF(D7125&lt;&gt;"",IFERROR(INDEX(Produtos!$C$4:$C$4996,MATCH(D7125,Produtos!$B$4:$B$4996,0)),"Produto não encontrado"),"")</f>
        <v/>
      </c>
    </row>
    <row r="7126" spans="1:5" x14ac:dyDescent="0.3">
      <c r="A7126" s="21" t="str">
        <f t="shared" si="111"/>
        <v>.</v>
      </c>
      <c r="D7126" s="44"/>
      <c r="E7126" s="22" t="str">
        <f>IF(D7126&lt;&gt;"",IFERROR(INDEX(Produtos!$C$4:$C$4996,MATCH(D7126,Produtos!$B$4:$B$4996,0)),"Produto não encontrado"),"")</f>
        <v/>
      </c>
    </row>
    <row r="7127" spans="1:5" x14ac:dyDescent="0.3">
      <c r="A7127" s="21" t="str">
        <f t="shared" si="111"/>
        <v>.</v>
      </c>
      <c r="D7127" s="44"/>
      <c r="E7127" s="22" t="str">
        <f>IF(D7127&lt;&gt;"",IFERROR(INDEX(Produtos!$C$4:$C$4996,MATCH(D7127,Produtos!$B$4:$B$4996,0)),"Produto não encontrado"),"")</f>
        <v/>
      </c>
    </row>
    <row r="7128" spans="1:5" x14ac:dyDescent="0.3">
      <c r="A7128" s="21" t="str">
        <f t="shared" si="111"/>
        <v>.</v>
      </c>
      <c r="D7128" s="44"/>
      <c r="E7128" s="22" t="str">
        <f>IF(D7128&lt;&gt;"",IFERROR(INDEX(Produtos!$C$4:$C$4996,MATCH(D7128,Produtos!$B$4:$B$4996,0)),"Produto não encontrado"),"")</f>
        <v/>
      </c>
    </row>
    <row r="7129" spans="1:5" x14ac:dyDescent="0.3">
      <c r="A7129" s="21" t="str">
        <f t="shared" si="111"/>
        <v>.</v>
      </c>
      <c r="D7129" s="44"/>
      <c r="E7129" s="22" t="str">
        <f>IF(D7129&lt;&gt;"",IFERROR(INDEX(Produtos!$C$4:$C$4996,MATCH(D7129,Produtos!$B$4:$B$4996,0)),"Produto não encontrado"),"")</f>
        <v/>
      </c>
    </row>
    <row r="7130" spans="1:5" x14ac:dyDescent="0.3">
      <c r="A7130" s="21" t="str">
        <f t="shared" si="111"/>
        <v>.</v>
      </c>
      <c r="D7130" s="44"/>
      <c r="E7130" s="22" t="str">
        <f>IF(D7130&lt;&gt;"",IFERROR(INDEX(Produtos!$C$4:$C$4996,MATCH(D7130,Produtos!$B$4:$B$4996,0)),"Produto não encontrado"),"")</f>
        <v/>
      </c>
    </row>
    <row r="7131" spans="1:5" x14ac:dyDescent="0.3">
      <c r="A7131" s="21" t="str">
        <f t="shared" si="111"/>
        <v>.</v>
      </c>
      <c r="D7131" s="44"/>
      <c r="E7131" s="22" t="str">
        <f>IF(D7131&lt;&gt;"",IFERROR(INDEX(Produtos!$C$4:$C$4996,MATCH(D7131,Produtos!$B$4:$B$4996,0)),"Produto não encontrado"),"")</f>
        <v/>
      </c>
    </row>
    <row r="7132" spans="1:5" x14ac:dyDescent="0.3">
      <c r="A7132" s="21" t="str">
        <f t="shared" si="111"/>
        <v>.</v>
      </c>
      <c r="D7132" s="44"/>
      <c r="E7132" s="22" t="str">
        <f>IF(D7132&lt;&gt;"",IFERROR(INDEX(Produtos!$C$4:$C$4996,MATCH(D7132,Produtos!$B$4:$B$4996,0)),"Produto não encontrado"),"")</f>
        <v/>
      </c>
    </row>
    <row r="7133" spans="1:5" x14ac:dyDescent="0.3">
      <c r="A7133" s="21" t="str">
        <f t="shared" si="111"/>
        <v>.</v>
      </c>
      <c r="D7133" s="44"/>
      <c r="E7133" s="22" t="str">
        <f>IF(D7133&lt;&gt;"",IFERROR(INDEX(Produtos!$C$4:$C$4996,MATCH(D7133,Produtos!$B$4:$B$4996,0)),"Produto não encontrado"),"")</f>
        <v/>
      </c>
    </row>
    <row r="7134" spans="1:5" x14ac:dyDescent="0.3">
      <c r="A7134" s="21" t="str">
        <f t="shared" si="111"/>
        <v>.</v>
      </c>
      <c r="D7134" s="44"/>
      <c r="E7134" s="22" t="str">
        <f>IF(D7134&lt;&gt;"",IFERROR(INDEX(Produtos!$C$4:$C$4996,MATCH(D7134,Produtos!$B$4:$B$4996,0)),"Produto não encontrado"),"")</f>
        <v/>
      </c>
    </row>
    <row r="7135" spans="1:5" x14ac:dyDescent="0.3">
      <c r="A7135" s="21" t="str">
        <f t="shared" si="111"/>
        <v>.</v>
      </c>
      <c r="D7135" s="44"/>
      <c r="E7135" s="22" t="str">
        <f>IF(D7135&lt;&gt;"",IFERROR(INDEX(Produtos!$C$4:$C$4996,MATCH(D7135,Produtos!$B$4:$B$4996,0)),"Produto não encontrado"),"")</f>
        <v/>
      </c>
    </row>
    <row r="7136" spans="1:5" x14ac:dyDescent="0.3">
      <c r="A7136" s="21" t="str">
        <f t="shared" si="111"/>
        <v>.</v>
      </c>
      <c r="D7136" s="44"/>
      <c r="E7136" s="22" t="str">
        <f>IF(D7136&lt;&gt;"",IFERROR(INDEX(Produtos!$C$4:$C$4996,MATCH(D7136,Produtos!$B$4:$B$4996,0)),"Produto não encontrado"),"")</f>
        <v/>
      </c>
    </row>
    <row r="7137" spans="1:5" x14ac:dyDescent="0.3">
      <c r="A7137" s="21" t="str">
        <f t="shared" si="111"/>
        <v>.</v>
      </c>
      <c r="D7137" s="44"/>
      <c r="E7137" s="22" t="str">
        <f>IF(D7137&lt;&gt;"",IFERROR(INDEX(Produtos!$C$4:$C$4996,MATCH(D7137,Produtos!$B$4:$B$4996,0)),"Produto não encontrado"),"")</f>
        <v/>
      </c>
    </row>
    <row r="7138" spans="1:5" x14ac:dyDescent="0.3">
      <c r="A7138" s="21" t="str">
        <f t="shared" si="111"/>
        <v>.</v>
      </c>
      <c r="D7138" s="44"/>
      <c r="E7138" s="22" t="str">
        <f>IF(D7138&lt;&gt;"",IFERROR(INDEX(Produtos!$C$4:$C$4996,MATCH(D7138,Produtos!$B$4:$B$4996,0)),"Produto não encontrado"),"")</f>
        <v/>
      </c>
    </row>
    <row r="7139" spans="1:5" x14ac:dyDescent="0.3">
      <c r="A7139" s="21" t="str">
        <f t="shared" si="111"/>
        <v>.</v>
      </c>
      <c r="D7139" s="44"/>
      <c r="E7139" s="22" t="str">
        <f>IF(D7139&lt;&gt;"",IFERROR(INDEX(Produtos!$C$4:$C$4996,MATCH(D7139,Produtos!$B$4:$B$4996,0)),"Produto não encontrado"),"")</f>
        <v/>
      </c>
    </row>
    <row r="7140" spans="1:5" x14ac:dyDescent="0.3">
      <c r="A7140" s="21" t="str">
        <f t="shared" si="111"/>
        <v>.</v>
      </c>
      <c r="D7140" s="44"/>
      <c r="E7140" s="22" t="str">
        <f>IF(D7140&lt;&gt;"",IFERROR(INDEX(Produtos!$C$4:$C$4996,MATCH(D7140,Produtos!$B$4:$B$4996,0)),"Produto não encontrado"),"")</f>
        <v/>
      </c>
    </row>
    <row r="7141" spans="1:5" x14ac:dyDescent="0.3">
      <c r="A7141" s="21" t="str">
        <f t="shared" si="111"/>
        <v>.</v>
      </c>
      <c r="D7141" s="44"/>
      <c r="E7141" s="22" t="str">
        <f>IF(D7141&lt;&gt;"",IFERROR(INDEX(Produtos!$C$4:$C$4996,MATCH(D7141,Produtos!$B$4:$B$4996,0)),"Produto não encontrado"),"")</f>
        <v/>
      </c>
    </row>
    <row r="7142" spans="1:5" x14ac:dyDescent="0.3">
      <c r="A7142" s="21" t="str">
        <f t="shared" si="111"/>
        <v>.</v>
      </c>
      <c r="D7142" s="44"/>
      <c r="E7142" s="22" t="str">
        <f>IF(D7142&lt;&gt;"",IFERROR(INDEX(Produtos!$C$4:$C$4996,MATCH(D7142,Produtos!$B$4:$B$4996,0)),"Produto não encontrado"),"")</f>
        <v/>
      </c>
    </row>
    <row r="7143" spans="1:5" x14ac:dyDescent="0.3">
      <c r="A7143" s="21" t="str">
        <f t="shared" si="111"/>
        <v>.</v>
      </c>
      <c r="D7143" s="44"/>
      <c r="E7143" s="22" t="str">
        <f>IF(D7143&lt;&gt;"",IFERROR(INDEX(Produtos!$C$4:$C$4996,MATCH(D7143,Produtos!$B$4:$B$4996,0)),"Produto não encontrado"),"")</f>
        <v/>
      </c>
    </row>
    <row r="7144" spans="1:5" x14ac:dyDescent="0.3">
      <c r="A7144" s="21" t="str">
        <f t="shared" si="111"/>
        <v>.</v>
      </c>
      <c r="D7144" s="44"/>
      <c r="E7144" s="22" t="str">
        <f>IF(D7144&lt;&gt;"",IFERROR(INDEX(Produtos!$C$4:$C$4996,MATCH(D7144,Produtos!$B$4:$B$4996,0)),"Produto não encontrado"),"")</f>
        <v/>
      </c>
    </row>
    <row r="7145" spans="1:5" x14ac:dyDescent="0.3">
      <c r="A7145" s="21" t="str">
        <f t="shared" si="111"/>
        <v>.</v>
      </c>
      <c r="D7145" s="44"/>
      <c r="E7145" s="22" t="str">
        <f>IF(D7145&lt;&gt;"",IFERROR(INDEX(Produtos!$C$4:$C$4996,MATCH(D7145,Produtos!$B$4:$B$4996,0)),"Produto não encontrado"),"")</f>
        <v/>
      </c>
    </row>
    <row r="7146" spans="1:5" x14ac:dyDescent="0.3">
      <c r="A7146" s="21" t="str">
        <f t="shared" si="111"/>
        <v>.</v>
      </c>
      <c r="D7146" s="44"/>
      <c r="E7146" s="22" t="str">
        <f>IF(D7146&lt;&gt;"",IFERROR(INDEX(Produtos!$C$4:$C$4996,MATCH(D7146,Produtos!$B$4:$B$4996,0)),"Produto não encontrado"),"")</f>
        <v/>
      </c>
    </row>
    <row r="7147" spans="1:5" x14ac:dyDescent="0.3">
      <c r="A7147" s="21" t="str">
        <f t="shared" si="111"/>
        <v>.</v>
      </c>
      <c r="D7147" s="44"/>
      <c r="E7147" s="22" t="str">
        <f>IF(D7147&lt;&gt;"",IFERROR(INDEX(Produtos!$C$4:$C$4996,MATCH(D7147,Produtos!$B$4:$B$4996,0)),"Produto não encontrado"),"")</f>
        <v/>
      </c>
    </row>
    <row r="7148" spans="1:5" x14ac:dyDescent="0.3">
      <c r="A7148" s="21" t="str">
        <f t="shared" si="111"/>
        <v>.</v>
      </c>
      <c r="D7148" s="44"/>
      <c r="E7148" s="22" t="str">
        <f>IF(D7148&lt;&gt;"",IFERROR(INDEX(Produtos!$C$4:$C$4996,MATCH(D7148,Produtos!$B$4:$B$4996,0)),"Produto não encontrado"),"")</f>
        <v/>
      </c>
    </row>
    <row r="7149" spans="1:5" x14ac:dyDescent="0.3">
      <c r="A7149" s="21" t="str">
        <f t="shared" si="111"/>
        <v>.</v>
      </c>
      <c r="D7149" s="44"/>
      <c r="E7149" s="22" t="str">
        <f>IF(D7149&lt;&gt;"",IFERROR(INDEX(Produtos!$C$4:$C$4996,MATCH(D7149,Produtos!$B$4:$B$4996,0)),"Produto não encontrado"),"")</f>
        <v/>
      </c>
    </row>
    <row r="7150" spans="1:5" x14ac:dyDescent="0.3">
      <c r="A7150" s="21" t="str">
        <f t="shared" si="111"/>
        <v>.</v>
      </c>
      <c r="D7150" s="44"/>
      <c r="E7150" s="22" t="str">
        <f>IF(D7150&lt;&gt;"",IFERROR(INDEX(Produtos!$C$4:$C$4996,MATCH(D7150,Produtos!$B$4:$B$4996,0)),"Produto não encontrado"),"")</f>
        <v/>
      </c>
    </row>
    <row r="7151" spans="1:5" x14ac:dyDescent="0.3">
      <c r="A7151" s="21" t="str">
        <f t="shared" si="111"/>
        <v>.</v>
      </c>
      <c r="D7151" s="44"/>
      <c r="E7151" s="22" t="str">
        <f>IF(D7151&lt;&gt;"",IFERROR(INDEX(Produtos!$C$4:$C$4996,MATCH(D7151,Produtos!$B$4:$B$4996,0)),"Produto não encontrado"),"")</f>
        <v/>
      </c>
    </row>
    <row r="7152" spans="1:5" x14ac:dyDescent="0.3">
      <c r="A7152" s="21" t="str">
        <f t="shared" si="111"/>
        <v>.</v>
      </c>
      <c r="D7152" s="44"/>
      <c r="E7152" s="22" t="str">
        <f>IF(D7152&lt;&gt;"",IFERROR(INDEX(Produtos!$C$4:$C$4996,MATCH(D7152,Produtos!$B$4:$B$4996,0)),"Produto não encontrado"),"")</f>
        <v/>
      </c>
    </row>
    <row r="7153" spans="1:5" x14ac:dyDescent="0.3">
      <c r="A7153" s="21" t="str">
        <f t="shared" si="111"/>
        <v>.</v>
      </c>
      <c r="D7153" s="44"/>
      <c r="E7153" s="22" t="str">
        <f>IF(D7153&lt;&gt;"",IFERROR(INDEX(Produtos!$C$4:$C$4996,MATCH(D7153,Produtos!$B$4:$B$4996,0)),"Produto não encontrado"),"")</f>
        <v/>
      </c>
    </row>
    <row r="7154" spans="1:5" x14ac:dyDescent="0.3">
      <c r="A7154" s="21" t="str">
        <f t="shared" si="111"/>
        <v>.</v>
      </c>
      <c r="D7154" s="44"/>
      <c r="E7154" s="22" t="str">
        <f>IF(D7154&lt;&gt;"",IFERROR(INDEX(Produtos!$C$4:$C$4996,MATCH(D7154,Produtos!$B$4:$B$4996,0)),"Produto não encontrado"),"")</f>
        <v/>
      </c>
    </row>
    <row r="7155" spans="1:5" x14ac:dyDescent="0.3">
      <c r="A7155" s="21" t="str">
        <f t="shared" si="111"/>
        <v>.</v>
      </c>
      <c r="D7155" s="44"/>
      <c r="E7155" s="22" t="str">
        <f>IF(D7155&lt;&gt;"",IFERROR(INDEX(Produtos!$C$4:$C$4996,MATCH(D7155,Produtos!$B$4:$B$4996,0)),"Produto não encontrado"),"")</f>
        <v/>
      </c>
    </row>
    <row r="7156" spans="1:5" x14ac:dyDescent="0.3">
      <c r="A7156" s="21" t="str">
        <f t="shared" si="111"/>
        <v>.</v>
      </c>
      <c r="D7156" s="44"/>
      <c r="E7156" s="22" t="str">
        <f>IF(D7156&lt;&gt;"",IFERROR(INDEX(Produtos!$C$4:$C$4996,MATCH(D7156,Produtos!$B$4:$B$4996,0)),"Produto não encontrado"),"")</f>
        <v/>
      </c>
    </row>
    <row r="7157" spans="1:5" x14ac:dyDescent="0.3">
      <c r="A7157" s="21" t="str">
        <f t="shared" si="111"/>
        <v>.</v>
      </c>
      <c r="D7157" s="44"/>
      <c r="E7157" s="22" t="str">
        <f>IF(D7157&lt;&gt;"",IFERROR(INDEX(Produtos!$C$4:$C$4996,MATCH(D7157,Produtos!$B$4:$B$4996,0)),"Produto não encontrado"),"")</f>
        <v/>
      </c>
    </row>
    <row r="7158" spans="1:5" x14ac:dyDescent="0.3">
      <c r="A7158" s="21" t="str">
        <f t="shared" si="111"/>
        <v>.</v>
      </c>
      <c r="D7158" s="44"/>
      <c r="E7158" s="22" t="str">
        <f>IF(D7158&lt;&gt;"",IFERROR(INDEX(Produtos!$C$4:$C$4996,MATCH(D7158,Produtos!$B$4:$B$4996,0)),"Produto não encontrado"),"")</f>
        <v/>
      </c>
    </row>
    <row r="7159" spans="1:5" x14ac:dyDescent="0.3">
      <c r="A7159" s="21" t="str">
        <f t="shared" si="111"/>
        <v>.</v>
      </c>
      <c r="D7159" s="44"/>
      <c r="E7159" s="22" t="str">
        <f>IF(D7159&lt;&gt;"",IFERROR(INDEX(Produtos!$C$4:$C$4996,MATCH(D7159,Produtos!$B$4:$B$4996,0)),"Produto não encontrado"),"")</f>
        <v/>
      </c>
    </row>
    <row r="7160" spans="1:5" x14ac:dyDescent="0.3">
      <c r="A7160" s="21" t="str">
        <f t="shared" si="111"/>
        <v>.</v>
      </c>
      <c r="D7160" s="44"/>
      <c r="E7160" s="22" t="str">
        <f>IF(D7160&lt;&gt;"",IFERROR(INDEX(Produtos!$C$4:$C$4996,MATCH(D7160,Produtos!$B$4:$B$4996,0)),"Produto não encontrado"),"")</f>
        <v/>
      </c>
    </row>
    <row r="7161" spans="1:5" x14ac:dyDescent="0.3">
      <c r="A7161" s="21" t="str">
        <f t="shared" si="111"/>
        <v>.</v>
      </c>
      <c r="D7161" s="44"/>
      <c r="E7161" s="22" t="str">
        <f>IF(D7161&lt;&gt;"",IFERROR(INDEX(Produtos!$C$4:$C$4996,MATCH(D7161,Produtos!$B$4:$B$4996,0)),"Produto não encontrado"),"")</f>
        <v/>
      </c>
    </row>
    <row r="7162" spans="1:5" x14ac:dyDescent="0.3">
      <c r="A7162" s="21" t="str">
        <f t="shared" si="111"/>
        <v>.</v>
      </c>
      <c r="D7162" s="44"/>
      <c r="E7162" s="22" t="str">
        <f>IF(D7162&lt;&gt;"",IFERROR(INDEX(Produtos!$C$4:$C$4996,MATCH(D7162,Produtos!$B$4:$B$4996,0)),"Produto não encontrado"),"")</f>
        <v/>
      </c>
    </row>
    <row r="7163" spans="1:5" x14ac:dyDescent="0.3">
      <c r="A7163" s="21" t="str">
        <f t="shared" si="111"/>
        <v>.</v>
      </c>
      <c r="D7163" s="44"/>
      <c r="E7163" s="22" t="str">
        <f>IF(D7163&lt;&gt;"",IFERROR(INDEX(Produtos!$C$4:$C$4996,MATCH(D7163,Produtos!$B$4:$B$4996,0)),"Produto não encontrado"),"")</f>
        <v/>
      </c>
    </row>
    <row r="7164" spans="1:5" x14ac:dyDescent="0.3">
      <c r="A7164" s="21" t="str">
        <f t="shared" si="111"/>
        <v>.</v>
      </c>
      <c r="D7164" s="44"/>
      <c r="E7164" s="22" t="str">
        <f>IF(D7164&lt;&gt;"",IFERROR(INDEX(Produtos!$C$4:$C$4996,MATCH(D7164,Produtos!$B$4:$B$4996,0)),"Produto não encontrado"),"")</f>
        <v/>
      </c>
    </row>
    <row r="7165" spans="1:5" x14ac:dyDescent="0.3">
      <c r="A7165" s="21" t="str">
        <f t="shared" si="111"/>
        <v>.</v>
      </c>
      <c r="D7165" s="44"/>
      <c r="E7165" s="22" t="str">
        <f>IF(D7165&lt;&gt;"",IFERROR(INDEX(Produtos!$C$4:$C$4996,MATCH(D7165,Produtos!$B$4:$B$4996,0)),"Produto não encontrado"),"")</f>
        <v/>
      </c>
    </row>
    <row r="7166" spans="1:5" x14ac:dyDescent="0.3">
      <c r="A7166" s="21" t="str">
        <f t="shared" si="111"/>
        <v>.</v>
      </c>
      <c r="D7166" s="44"/>
      <c r="E7166" s="22" t="str">
        <f>IF(D7166&lt;&gt;"",IFERROR(INDEX(Produtos!$C$4:$C$4996,MATCH(D7166,Produtos!$B$4:$B$4996,0)),"Produto não encontrado"),"")</f>
        <v/>
      </c>
    </row>
    <row r="7167" spans="1:5" x14ac:dyDescent="0.3">
      <c r="A7167" s="21" t="str">
        <f t="shared" si="111"/>
        <v>.</v>
      </c>
      <c r="D7167" s="44"/>
      <c r="E7167" s="22" t="str">
        <f>IF(D7167&lt;&gt;"",IFERROR(INDEX(Produtos!$C$4:$C$4996,MATCH(D7167,Produtos!$B$4:$B$4996,0)),"Produto não encontrado"),"")</f>
        <v/>
      </c>
    </row>
    <row r="7168" spans="1:5" x14ac:dyDescent="0.3">
      <c r="A7168" s="21" t="str">
        <f t="shared" ref="A7168:A7231" si="112">IF(C7168="Entrada",2,IF(C7168="Saída",1,"."))</f>
        <v>.</v>
      </c>
      <c r="D7168" s="44"/>
      <c r="E7168" s="22" t="str">
        <f>IF(D7168&lt;&gt;"",IFERROR(INDEX(Produtos!$C$4:$C$4996,MATCH(D7168,Produtos!$B$4:$B$4996,0)),"Produto não encontrado"),"")</f>
        <v/>
      </c>
    </row>
    <row r="7169" spans="1:5" x14ac:dyDescent="0.3">
      <c r="A7169" s="21" t="str">
        <f t="shared" si="112"/>
        <v>.</v>
      </c>
      <c r="D7169" s="44"/>
      <c r="E7169" s="22" t="str">
        <f>IF(D7169&lt;&gt;"",IFERROR(INDEX(Produtos!$C$4:$C$4996,MATCH(D7169,Produtos!$B$4:$B$4996,0)),"Produto não encontrado"),"")</f>
        <v/>
      </c>
    </row>
    <row r="7170" spans="1:5" x14ac:dyDescent="0.3">
      <c r="A7170" s="21" t="str">
        <f t="shared" si="112"/>
        <v>.</v>
      </c>
      <c r="D7170" s="44"/>
      <c r="E7170" s="22" t="str">
        <f>IF(D7170&lt;&gt;"",IFERROR(INDEX(Produtos!$C$4:$C$4996,MATCH(D7170,Produtos!$B$4:$B$4996,0)),"Produto não encontrado"),"")</f>
        <v/>
      </c>
    </row>
    <row r="7171" spans="1:5" x14ac:dyDescent="0.3">
      <c r="A7171" s="21" t="str">
        <f t="shared" si="112"/>
        <v>.</v>
      </c>
      <c r="D7171" s="44"/>
      <c r="E7171" s="22" t="str">
        <f>IF(D7171&lt;&gt;"",IFERROR(INDEX(Produtos!$C$4:$C$4996,MATCH(D7171,Produtos!$B$4:$B$4996,0)),"Produto não encontrado"),"")</f>
        <v/>
      </c>
    </row>
    <row r="7172" spans="1:5" x14ac:dyDescent="0.3">
      <c r="A7172" s="21" t="str">
        <f t="shared" si="112"/>
        <v>.</v>
      </c>
      <c r="D7172" s="44"/>
      <c r="E7172" s="22" t="str">
        <f>IF(D7172&lt;&gt;"",IFERROR(INDEX(Produtos!$C$4:$C$4996,MATCH(D7172,Produtos!$B$4:$B$4996,0)),"Produto não encontrado"),"")</f>
        <v/>
      </c>
    </row>
    <row r="7173" spans="1:5" x14ac:dyDescent="0.3">
      <c r="A7173" s="21" t="str">
        <f t="shared" si="112"/>
        <v>.</v>
      </c>
      <c r="D7173" s="44"/>
      <c r="E7173" s="22" t="str">
        <f>IF(D7173&lt;&gt;"",IFERROR(INDEX(Produtos!$C$4:$C$4996,MATCH(D7173,Produtos!$B$4:$B$4996,0)),"Produto não encontrado"),"")</f>
        <v/>
      </c>
    </row>
    <row r="7174" spans="1:5" x14ac:dyDescent="0.3">
      <c r="A7174" s="21" t="str">
        <f t="shared" si="112"/>
        <v>.</v>
      </c>
      <c r="D7174" s="44"/>
      <c r="E7174" s="22" t="str">
        <f>IF(D7174&lt;&gt;"",IFERROR(INDEX(Produtos!$C$4:$C$4996,MATCH(D7174,Produtos!$B$4:$B$4996,0)),"Produto não encontrado"),"")</f>
        <v/>
      </c>
    </row>
    <row r="7175" spans="1:5" x14ac:dyDescent="0.3">
      <c r="A7175" s="21" t="str">
        <f t="shared" si="112"/>
        <v>.</v>
      </c>
      <c r="D7175" s="44"/>
      <c r="E7175" s="22" t="str">
        <f>IF(D7175&lt;&gt;"",IFERROR(INDEX(Produtos!$C$4:$C$4996,MATCH(D7175,Produtos!$B$4:$B$4996,0)),"Produto não encontrado"),"")</f>
        <v/>
      </c>
    </row>
    <row r="7176" spans="1:5" x14ac:dyDescent="0.3">
      <c r="A7176" s="21" t="str">
        <f t="shared" si="112"/>
        <v>.</v>
      </c>
      <c r="D7176" s="44"/>
      <c r="E7176" s="22" t="str">
        <f>IF(D7176&lt;&gt;"",IFERROR(INDEX(Produtos!$C$4:$C$4996,MATCH(D7176,Produtos!$B$4:$B$4996,0)),"Produto não encontrado"),"")</f>
        <v/>
      </c>
    </row>
    <row r="7177" spans="1:5" x14ac:dyDescent="0.3">
      <c r="A7177" s="21" t="str">
        <f t="shared" si="112"/>
        <v>.</v>
      </c>
      <c r="D7177" s="44"/>
      <c r="E7177" s="22" t="str">
        <f>IF(D7177&lt;&gt;"",IFERROR(INDEX(Produtos!$C$4:$C$4996,MATCH(D7177,Produtos!$B$4:$B$4996,0)),"Produto não encontrado"),"")</f>
        <v/>
      </c>
    </row>
    <row r="7178" spans="1:5" x14ac:dyDescent="0.3">
      <c r="A7178" s="21" t="str">
        <f t="shared" si="112"/>
        <v>.</v>
      </c>
      <c r="D7178" s="44"/>
      <c r="E7178" s="22" t="str">
        <f>IF(D7178&lt;&gt;"",IFERROR(INDEX(Produtos!$C$4:$C$4996,MATCH(D7178,Produtos!$B$4:$B$4996,0)),"Produto não encontrado"),"")</f>
        <v/>
      </c>
    </row>
    <row r="7179" spans="1:5" x14ac:dyDescent="0.3">
      <c r="A7179" s="21" t="str">
        <f t="shared" si="112"/>
        <v>.</v>
      </c>
      <c r="D7179" s="44"/>
      <c r="E7179" s="22" t="str">
        <f>IF(D7179&lt;&gt;"",IFERROR(INDEX(Produtos!$C$4:$C$4996,MATCH(D7179,Produtos!$B$4:$B$4996,0)),"Produto não encontrado"),"")</f>
        <v/>
      </c>
    </row>
    <row r="7180" spans="1:5" x14ac:dyDescent="0.3">
      <c r="A7180" s="21" t="str">
        <f t="shared" si="112"/>
        <v>.</v>
      </c>
      <c r="D7180" s="44"/>
      <c r="E7180" s="22" t="str">
        <f>IF(D7180&lt;&gt;"",IFERROR(INDEX(Produtos!$C$4:$C$4996,MATCH(D7180,Produtos!$B$4:$B$4996,0)),"Produto não encontrado"),"")</f>
        <v/>
      </c>
    </row>
    <row r="7181" spans="1:5" x14ac:dyDescent="0.3">
      <c r="A7181" s="21" t="str">
        <f t="shared" si="112"/>
        <v>.</v>
      </c>
      <c r="D7181" s="44"/>
      <c r="E7181" s="22" t="str">
        <f>IF(D7181&lt;&gt;"",IFERROR(INDEX(Produtos!$C$4:$C$4996,MATCH(D7181,Produtos!$B$4:$B$4996,0)),"Produto não encontrado"),"")</f>
        <v/>
      </c>
    </row>
    <row r="7182" spans="1:5" x14ac:dyDescent="0.3">
      <c r="A7182" s="21" t="str">
        <f t="shared" si="112"/>
        <v>.</v>
      </c>
      <c r="D7182" s="44"/>
      <c r="E7182" s="22" t="str">
        <f>IF(D7182&lt;&gt;"",IFERROR(INDEX(Produtos!$C$4:$C$4996,MATCH(D7182,Produtos!$B$4:$B$4996,0)),"Produto não encontrado"),"")</f>
        <v/>
      </c>
    </row>
    <row r="7183" spans="1:5" x14ac:dyDescent="0.3">
      <c r="A7183" s="21" t="str">
        <f t="shared" si="112"/>
        <v>.</v>
      </c>
      <c r="D7183" s="44"/>
      <c r="E7183" s="22" t="str">
        <f>IF(D7183&lt;&gt;"",IFERROR(INDEX(Produtos!$C$4:$C$4996,MATCH(D7183,Produtos!$B$4:$B$4996,0)),"Produto não encontrado"),"")</f>
        <v/>
      </c>
    </row>
    <row r="7184" spans="1:5" x14ac:dyDescent="0.3">
      <c r="A7184" s="21" t="str">
        <f t="shared" si="112"/>
        <v>.</v>
      </c>
      <c r="D7184" s="44"/>
      <c r="E7184" s="22" t="str">
        <f>IF(D7184&lt;&gt;"",IFERROR(INDEX(Produtos!$C$4:$C$4996,MATCH(D7184,Produtos!$B$4:$B$4996,0)),"Produto não encontrado"),"")</f>
        <v/>
      </c>
    </row>
    <row r="7185" spans="1:5" x14ac:dyDescent="0.3">
      <c r="A7185" s="21" t="str">
        <f t="shared" si="112"/>
        <v>.</v>
      </c>
      <c r="D7185" s="44"/>
      <c r="E7185" s="22" t="str">
        <f>IF(D7185&lt;&gt;"",IFERROR(INDEX(Produtos!$C$4:$C$4996,MATCH(D7185,Produtos!$B$4:$B$4996,0)),"Produto não encontrado"),"")</f>
        <v/>
      </c>
    </row>
    <row r="7186" spans="1:5" x14ac:dyDescent="0.3">
      <c r="A7186" s="21" t="str">
        <f t="shared" si="112"/>
        <v>.</v>
      </c>
      <c r="D7186" s="44"/>
      <c r="E7186" s="22" t="str">
        <f>IF(D7186&lt;&gt;"",IFERROR(INDEX(Produtos!$C$4:$C$4996,MATCH(D7186,Produtos!$B$4:$B$4996,0)),"Produto não encontrado"),"")</f>
        <v/>
      </c>
    </row>
    <row r="7187" spans="1:5" x14ac:dyDescent="0.3">
      <c r="A7187" s="21" t="str">
        <f t="shared" si="112"/>
        <v>.</v>
      </c>
      <c r="D7187" s="44"/>
      <c r="E7187" s="22" t="str">
        <f>IF(D7187&lt;&gt;"",IFERROR(INDEX(Produtos!$C$4:$C$4996,MATCH(D7187,Produtos!$B$4:$B$4996,0)),"Produto não encontrado"),"")</f>
        <v/>
      </c>
    </row>
    <row r="7188" spans="1:5" x14ac:dyDescent="0.3">
      <c r="A7188" s="21" t="str">
        <f t="shared" si="112"/>
        <v>.</v>
      </c>
      <c r="D7188" s="44"/>
      <c r="E7188" s="22" t="str">
        <f>IF(D7188&lt;&gt;"",IFERROR(INDEX(Produtos!$C$4:$C$4996,MATCH(D7188,Produtos!$B$4:$B$4996,0)),"Produto não encontrado"),"")</f>
        <v/>
      </c>
    </row>
    <row r="7189" spans="1:5" x14ac:dyDescent="0.3">
      <c r="A7189" s="21" t="str">
        <f t="shared" si="112"/>
        <v>.</v>
      </c>
      <c r="D7189" s="44"/>
      <c r="E7189" s="22" t="str">
        <f>IF(D7189&lt;&gt;"",IFERROR(INDEX(Produtos!$C$4:$C$4996,MATCH(D7189,Produtos!$B$4:$B$4996,0)),"Produto não encontrado"),"")</f>
        <v/>
      </c>
    </row>
    <row r="7190" spans="1:5" x14ac:dyDescent="0.3">
      <c r="A7190" s="21" t="str">
        <f t="shared" si="112"/>
        <v>.</v>
      </c>
      <c r="D7190" s="44"/>
      <c r="E7190" s="22" t="str">
        <f>IF(D7190&lt;&gt;"",IFERROR(INDEX(Produtos!$C$4:$C$4996,MATCH(D7190,Produtos!$B$4:$B$4996,0)),"Produto não encontrado"),"")</f>
        <v/>
      </c>
    </row>
    <row r="7191" spans="1:5" x14ac:dyDescent="0.3">
      <c r="A7191" s="21" t="str">
        <f t="shared" si="112"/>
        <v>.</v>
      </c>
      <c r="D7191" s="44"/>
      <c r="E7191" s="22" t="str">
        <f>IF(D7191&lt;&gt;"",IFERROR(INDEX(Produtos!$C$4:$C$4996,MATCH(D7191,Produtos!$B$4:$B$4996,0)),"Produto não encontrado"),"")</f>
        <v/>
      </c>
    </row>
    <row r="7192" spans="1:5" x14ac:dyDescent="0.3">
      <c r="A7192" s="21" t="str">
        <f t="shared" si="112"/>
        <v>.</v>
      </c>
      <c r="D7192" s="44"/>
      <c r="E7192" s="22" t="str">
        <f>IF(D7192&lt;&gt;"",IFERROR(INDEX(Produtos!$C$4:$C$4996,MATCH(D7192,Produtos!$B$4:$B$4996,0)),"Produto não encontrado"),"")</f>
        <v/>
      </c>
    </row>
    <row r="7193" spans="1:5" x14ac:dyDescent="0.3">
      <c r="A7193" s="21" t="str">
        <f t="shared" si="112"/>
        <v>.</v>
      </c>
      <c r="D7193" s="44"/>
      <c r="E7193" s="22" t="str">
        <f>IF(D7193&lt;&gt;"",IFERROR(INDEX(Produtos!$C$4:$C$4996,MATCH(D7193,Produtos!$B$4:$B$4996,0)),"Produto não encontrado"),"")</f>
        <v/>
      </c>
    </row>
    <row r="7194" spans="1:5" x14ac:dyDescent="0.3">
      <c r="A7194" s="21" t="str">
        <f t="shared" si="112"/>
        <v>.</v>
      </c>
      <c r="D7194" s="44"/>
      <c r="E7194" s="22" t="str">
        <f>IF(D7194&lt;&gt;"",IFERROR(INDEX(Produtos!$C$4:$C$4996,MATCH(D7194,Produtos!$B$4:$B$4996,0)),"Produto não encontrado"),"")</f>
        <v/>
      </c>
    </row>
    <row r="7195" spans="1:5" x14ac:dyDescent="0.3">
      <c r="A7195" s="21" t="str">
        <f t="shared" si="112"/>
        <v>.</v>
      </c>
      <c r="D7195" s="44"/>
      <c r="E7195" s="22" t="str">
        <f>IF(D7195&lt;&gt;"",IFERROR(INDEX(Produtos!$C$4:$C$4996,MATCH(D7195,Produtos!$B$4:$B$4996,0)),"Produto não encontrado"),"")</f>
        <v/>
      </c>
    </row>
    <row r="7196" spans="1:5" x14ac:dyDescent="0.3">
      <c r="A7196" s="21" t="str">
        <f t="shared" si="112"/>
        <v>.</v>
      </c>
      <c r="D7196" s="44"/>
      <c r="E7196" s="22" t="str">
        <f>IF(D7196&lt;&gt;"",IFERROR(INDEX(Produtos!$C$4:$C$4996,MATCH(D7196,Produtos!$B$4:$B$4996,0)),"Produto não encontrado"),"")</f>
        <v/>
      </c>
    </row>
    <row r="7197" spans="1:5" x14ac:dyDescent="0.3">
      <c r="A7197" s="21" t="str">
        <f t="shared" si="112"/>
        <v>.</v>
      </c>
      <c r="D7197" s="44"/>
      <c r="E7197" s="22" t="str">
        <f>IF(D7197&lt;&gt;"",IFERROR(INDEX(Produtos!$C$4:$C$4996,MATCH(D7197,Produtos!$B$4:$B$4996,0)),"Produto não encontrado"),"")</f>
        <v/>
      </c>
    </row>
    <row r="7198" spans="1:5" x14ac:dyDescent="0.3">
      <c r="A7198" s="21" t="str">
        <f t="shared" si="112"/>
        <v>.</v>
      </c>
      <c r="D7198" s="44"/>
      <c r="E7198" s="22" t="str">
        <f>IF(D7198&lt;&gt;"",IFERROR(INDEX(Produtos!$C$4:$C$4996,MATCH(D7198,Produtos!$B$4:$B$4996,0)),"Produto não encontrado"),"")</f>
        <v/>
      </c>
    </row>
    <row r="7199" spans="1:5" x14ac:dyDescent="0.3">
      <c r="A7199" s="21" t="str">
        <f t="shared" si="112"/>
        <v>.</v>
      </c>
      <c r="D7199" s="44"/>
      <c r="E7199" s="22" t="str">
        <f>IF(D7199&lt;&gt;"",IFERROR(INDEX(Produtos!$C$4:$C$4996,MATCH(D7199,Produtos!$B$4:$B$4996,0)),"Produto não encontrado"),"")</f>
        <v/>
      </c>
    </row>
    <row r="7200" spans="1:5" x14ac:dyDescent="0.3">
      <c r="A7200" s="21" t="str">
        <f t="shared" si="112"/>
        <v>.</v>
      </c>
      <c r="D7200" s="44"/>
      <c r="E7200" s="22" t="str">
        <f>IF(D7200&lt;&gt;"",IFERROR(INDEX(Produtos!$C$4:$C$4996,MATCH(D7200,Produtos!$B$4:$B$4996,0)),"Produto não encontrado"),"")</f>
        <v/>
      </c>
    </row>
    <row r="7201" spans="1:5" x14ac:dyDescent="0.3">
      <c r="A7201" s="21" t="str">
        <f t="shared" si="112"/>
        <v>.</v>
      </c>
      <c r="D7201" s="44"/>
      <c r="E7201" s="22" t="str">
        <f>IF(D7201&lt;&gt;"",IFERROR(INDEX(Produtos!$C$4:$C$4996,MATCH(D7201,Produtos!$B$4:$B$4996,0)),"Produto não encontrado"),"")</f>
        <v/>
      </c>
    </row>
    <row r="7202" spans="1:5" x14ac:dyDescent="0.3">
      <c r="A7202" s="21" t="str">
        <f t="shared" si="112"/>
        <v>.</v>
      </c>
      <c r="D7202" s="44"/>
      <c r="E7202" s="22" t="str">
        <f>IF(D7202&lt;&gt;"",IFERROR(INDEX(Produtos!$C$4:$C$4996,MATCH(D7202,Produtos!$B$4:$B$4996,0)),"Produto não encontrado"),"")</f>
        <v/>
      </c>
    </row>
    <row r="7203" spans="1:5" x14ac:dyDescent="0.3">
      <c r="A7203" s="21" t="str">
        <f t="shared" si="112"/>
        <v>.</v>
      </c>
      <c r="D7203" s="44"/>
      <c r="E7203" s="22" t="str">
        <f>IF(D7203&lt;&gt;"",IFERROR(INDEX(Produtos!$C$4:$C$4996,MATCH(D7203,Produtos!$B$4:$B$4996,0)),"Produto não encontrado"),"")</f>
        <v/>
      </c>
    </row>
    <row r="7204" spans="1:5" x14ac:dyDescent="0.3">
      <c r="A7204" s="21" t="str">
        <f t="shared" si="112"/>
        <v>.</v>
      </c>
      <c r="D7204" s="44"/>
      <c r="E7204" s="22" t="str">
        <f>IF(D7204&lt;&gt;"",IFERROR(INDEX(Produtos!$C$4:$C$4996,MATCH(D7204,Produtos!$B$4:$B$4996,0)),"Produto não encontrado"),"")</f>
        <v/>
      </c>
    </row>
    <row r="7205" spans="1:5" x14ac:dyDescent="0.3">
      <c r="A7205" s="21" t="str">
        <f t="shared" si="112"/>
        <v>.</v>
      </c>
      <c r="D7205" s="44"/>
      <c r="E7205" s="22" t="str">
        <f>IF(D7205&lt;&gt;"",IFERROR(INDEX(Produtos!$C$4:$C$4996,MATCH(D7205,Produtos!$B$4:$B$4996,0)),"Produto não encontrado"),"")</f>
        <v/>
      </c>
    </row>
    <row r="7206" spans="1:5" x14ac:dyDescent="0.3">
      <c r="A7206" s="21" t="str">
        <f t="shared" si="112"/>
        <v>.</v>
      </c>
      <c r="D7206" s="44"/>
      <c r="E7206" s="22" t="str">
        <f>IF(D7206&lt;&gt;"",IFERROR(INDEX(Produtos!$C$4:$C$4996,MATCH(D7206,Produtos!$B$4:$B$4996,0)),"Produto não encontrado"),"")</f>
        <v/>
      </c>
    </row>
    <row r="7207" spans="1:5" x14ac:dyDescent="0.3">
      <c r="A7207" s="21" t="str">
        <f t="shared" si="112"/>
        <v>.</v>
      </c>
      <c r="D7207" s="44"/>
      <c r="E7207" s="22" t="str">
        <f>IF(D7207&lt;&gt;"",IFERROR(INDEX(Produtos!$C$4:$C$4996,MATCH(D7207,Produtos!$B$4:$B$4996,0)),"Produto não encontrado"),"")</f>
        <v/>
      </c>
    </row>
    <row r="7208" spans="1:5" x14ac:dyDescent="0.3">
      <c r="A7208" s="21" t="str">
        <f t="shared" si="112"/>
        <v>.</v>
      </c>
      <c r="D7208" s="44"/>
      <c r="E7208" s="22" t="str">
        <f>IF(D7208&lt;&gt;"",IFERROR(INDEX(Produtos!$C$4:$C$4996,MATCH(D7208,Produtos!$B$4:$B$4996,0)),"Produto não encontrado"),"")</f>
        <v/>
      </c>
    </row>
    <row r="7209" spans="1:5" x14ac:dyDescent="0.3">
      <c r="A7209" s="21" t="str">
        <f t="shared" si="112"/>
        <v>.</v>
      </c>
      <c r="D7209" s="44"/>
      <c r="E7209" s="22" t="str">
        <f>IF(D7209&lt;&gt;"",IFERROR(INDEX(Produtos!$C$4:$C$4996,MATCH(D7209,Produtos!$B$4:$B$4996,0)),"Produto não encontrado"),"")</f>
        <v/>
      </c>
    </row>
    <row r="7210" spans="1:5" x14ac:dyDescent="0.3">
      <c r="A7210" s="21" t="str">
        <f t="shared" si="112"/>
        <v>.</v>
      </c>
      <c r="D7210" s="44"/>
      <c r="E7210" s="22" t="str">
        <f>IF(D7210&lt;&gt;"",IFERROR(INDEX(Produtos!$C$4:$C$4996,MATCH(D7210,Produtos!$B$4:$B$4996,0)),"Produto não encontrado"),"")</f>
        <v/>
      </c>
    </row>
    <row r="7211" spans="1:5" x14ac:dyDescent="0.3">
      <c r="A7211" s="21" t="str">
        <f t="shared" si="112"/>
        <v>.</v>
      </c>
      <c r="D7211" s="44"/>
      <c r="E7211" s="22" t="str">
        <f>IF(D7211&lt;&gt;"",IFERROR(INDEX(Produtos!$C$4:$C$4996,MATCH(D7211,Produtos!$B$4:$B$4996,0)),"Produto não encontrado"),"")</f>
        <v/>
      </c>
    </row>
    <row r="7212" spans="1:5" x14ac:dyDescent="0.3">
      <c r="A7212" s="21" t="str">
        <f t="shared" si="112"/>
        <v>.</v>
      </c>
      <c r="D7212" s="44"/>
      <c r="E7212" s="22" t="str">
        <f>IF(D7212&lt;&gt;"",IFERROR(INDEX(Produtos!$C$4:$C$4996,MATCH(D7212,Produtos!$B$4:$B$4996,0)),"Produto não encontrado"),"")</f>
        <v/>
      </c>
    </row>
    <row r="7213" spans="1:5" x14ac:dyDescent="0.3">
      <c r="A7213" s="21" t="str">
        <f t="shared" si="112"/>
        <v>.</v>
      </c>
      <c r="D7213" s="44"/>
      <c r="E7213" s="22" t="str">
        <f>IF(D7213&lt;&gt;"",IFERROR(INDEX(Produtos!$C$4:$C$4996,MATCH(D7213,Produtos!$B$4:$B$4996,0)),"Produto não encontrado"),"")</f>
        <v/>
      </c>
    </row>
    <row r="7214" spans="1:5" x14ac:dyDescent="0.3">
      <c r="A7214" s="21" t="str">
        <f t="shared" si="112"/>
        <v>.</v>
      </c>
      <c r="D7214" s="44"/>
      <c r="E7214" s="22" t="str">
        <f>IF(D7214&lt;&gt;"",IFERROR(INDEX(Produtos!$C$4:$C$4996,MATCH(D7214,Produtos!$B$4:$B$4996,0)),"Produto não encontrado"),"")</f>
        <v/>
      </c>
    </row>
    <row r="7215" spans="1:5" x14ac:dyDescent="0.3">
      <c r="A7215" s="21" t="str">
        <f t="shared" si="112"/>
        <v>.</v>
      </c>
      <c r="D7215" s="44"/>
      <c r="E7215" s="22" t="str">
        <f>IF(D7215&lt;&gt;"",IFERROR(INDEX(Produtos!$C$4:$C$4996,MATCH(D7215,Produtos!$B$4:$B$4996,0)),"Produto não encontrado"),"")</f>
        <v/>
      </c>
    </row>
    <row r="7216" spans="1:5" x14ac:dyDescent="0.3">
      <c r="A7216" s="21" t="str">
        <f t="shared" si="112"/>
        <v>.</v>
      </c>
      <c r="D7216" s="44"/>
      <c r="E7216" s="22" t="str">
        <f>IF(D7216&lt;&gt;"",IFERROR(INDEX(Produtos!$C$4:$C$4996,MATCH(D7216,Produtos!$B$4:$B$4996,0)),"Produto não encontrado"),"")</f>
        <v/>
      </c>
    </row>
    <row r="7217" spans="1:5" x14ac:dyDescent="0.3">
      <c r="A7217" s="21" t="str">
        <f t="shared" si="112"/>
        <v>.</v>
      </c>
      <c r="D7217" s="44"/>
      <c r="E7217" s="22" t="str">
        <f>IF(D7217&lt;&gt;"",IFERROR(INDEX(Produtos!$C$4:$C$4996,MATCH(D7217,Produtos!$B$4:$B$4996,0)),"Produto não encontrado"),"")</f>
        <v/>
      </c>
    </row>
    <row r="7218" spans="1:5" x14ac:dyDescent="0.3">
      <c r="A7218" s="21" t="str">
        <f t="shared" si="112"/>
        <v>.</v>
      </c>
      <c r="D7218" s="44"/>
      <c r="E7218" s="22" t="str">
        <f>IF(D7218&lt;&gt;"",IFERROR(INDEX(Produtos!$C$4:$C$4996,MATCH(D7218,Produtos!$B$4:$B$4996,0)),"Produto não encontrado"),"")</f>
        <v/>
      </c>
    </row>
    <row r="7219" spans="1:5" x14ac:dyDescent="0.3">
      <c r="A7219" s="21" t="str">
        <f t="shared" si="112"/>
        <v>.</v>
      </c>
      <c r="D7219" s="44"/>
      <c r="E7219" s="22" t="str">
        <f>IF(D7219&lt;&gt;"",IFERROR(INDEX(Produtos!$C$4:$C$4996,MATCH(D7219,Produtos!$B$4:$B$4996,0)),"Produto não encontrado"),"")</f>
        <v/>
      </c>
    </row>
    <row r="7220" spans="1:5" x14ac:dyDescent="0.3">
      <c r="A7220" s="21" t="str">
        <f t="shared" si="112"/>
        <v>.</v>
      </c>
      <c r="D7220" s="44"/>
      <c r="E7220" s="22" t="str">
        <f>IF(D7220&lt;&gt;"",IFERROR(INDEX(Produtos!$C$4:$C$4996,MATCH(D7220,Produtos!$B$4:$B$4996,0)),"Produto não encontrado"),"")</f>
        <v/>
      </c>
    </row>
    <row r="7221" spans="1:5" x14ac:dyDescent="0.3">
      <c r="A7221" s="21" t="str">
        <f t="shared" si="112"/>
        <v>.</v>
      </c>
      <c r="D7221" s="44"/>
      <c r="E7221" s="22" t="str">
        <f>IF(D7221&lt;&gt;"",IFERROR(INDEX(Produtos!$C$4:$C$4996,MATCH(D7221,Produtos!$B$4:$B$4996,0)),"Produto não encontrado"),"")</f>
        <v/>
      </c>
    </row>
    <row r="7222" spans="1:5" x14ac:dyDescent="0.3">
      <c r="A7222" s="21" t="str">
        <f t="shared" si="112"/>
        <v>.</v>
      </c>
      <c r="D7222" s="44"/>
      <c r="E7222" s="22" t="str">
        <f>IF(D7222&lt;&gt;"",IFERROR(INDEX(Produtos!$C$4:$C$4996,MATCH(D7222,Produtos!$B$4:$B$4996,0)),"Produto não encontrado"),"")</f>
        <v/>
      </c>
    </row>
    <row r="7223" spans="1:5" x14ac:dyDescent="0.3">
      <c r="A7223" s="21" t="str">
        <f t="shared" si="112"/>
        <v>.</v>
      </c>
      <c r="D7223" s="44"/>
      <c r="E7223" s="22" t="str">
        <f>IF(D7223&lt;&gt;"",IFERROR(INDEX(Produtos!$C$4:$C$4996,MATCH(D7223,Produtos!$B$4:$B$4996,0)),"Produto não encontrado"),"")</f>
        <v/>
      </c>
    </row>
    <row r="7224" spans="1:5" x14ac:dyDescent="0.3">
      <c r="A7224" s="21" t="str">
        <f t="shared" si="112"/>
        <v>.</v>
      </c>
      <c r="D7224" s="44"/>
      <c r="E7224" s="22" t="str">
        <f>IF(D7224&lt;&gt;"",IFERROR(INDEX(Produtos!$C$4:$C$4996,MATCH(D7224,Produtos!$B$4:$B$4996,0)),"Produto não encontrado"),"")</f>
        <v/>
      </c>
    </row>
    <row r="7225" spans="1:5" x14ac:dyDescent="0.3">
      <c r="A7225" s="21" t="str">
        <f t="shared" si="112"/>
        <v>.</v>
      </c>
      <c r="D7225" s="44"/>
      <c r="E7225" s="22" t="str">
        <f>IF(D7225&lt;&gt;"",IFERROR(INDEX(Produtos!$C$4:$C$4996,MATCH(D7225,Produtos!$B$4:$B$4996,0)),"Produto não encontrado"),"")</f>
        <v/>
      </c>
    </row>
    <row r="7226" spans="1:5" x14ac:dyDescent="0.3">
      <c r="A7226" s="21" t="str">
        <f t="shared" si="112"/>
        <v>.</v>
      </c>
      <c r="D7226" s="44"/>
      <c r="E7226" s="22" t="str">
        <f>IF(D7226&lt;&gt;"",IFERROR(INDEX(Produtos!$C$4:$C$4996,MATCH(D7226,Produtos!$B$4:$B$4996,0)),"Produto não encontrado"),"")</f>
        <v/>
      </c>
    </row>
    <row r="7227" spans="1:5" x14ac:dyDescent="0.3">
      <c r="A7227" s="21" t="str">
        <f t="shared" si="112"/>
        <v>.</v>
      </c>
      <c r="D7227" s="44"/>
      <c r="E7227" s="22" t="str">
        <f>IF(D7227&lt;&gt;"",IFERROR(INDEX(Produtos!$C$4:$C$4996,MATCH(D7227,Produtos!$B$4:$B$4996,0)),"Produto não encontrado"),"")</f>
        <v/>
      </c>
    </row>
    <row r="7228" spans="1:5" x14ac:dyDescent="0.3">
      <c r="A7228" s="21" t="str">
        <f t="shared" si="112"/>
        <v>.</v>
      </c>
      <c r="D7228" s="44"/>
      <c r="E7228" s="22" t="str">
        <f>IF(D7228&lt;&gt;"",IFERROR(INDEX(Produtos!$C$4:$C$4996,MATCH(D7228,Produtos!$B$4:$B$4996,0)),"Produto não encontrado"),"")</f>
        <v/>
      </c>
    </row>
    <row r="7229" spans="1:5" x14ac:dyDescent="0.3">
      <c r="A7229" s="21" t="str">
        <f t="shared" si="112"/>
        <v>.</v>
      </c>
      <c r="D7229" s="44"/>
      <c r="E7229" s="22" t="str">
        <f>IF(D7229&lt;&gt;"",IFERROR(INDEX(Produtos!$C$4:$C$4996,MATCH(D7229,Produtos!$B$4:$B$4996,0)),"Produto não encontrado"),"")</f>
        <v/>
      </c>
    </row>
    <row r="7230" spans="1:5" x14ac:dyDescent="0.3">
      <c r="A7230" s="21" t="str">
        <f t="shared" si="112"/>
        <v>.</v>
      </c>
      <c r="D7230" s="44"/>
      <c r="E7230" s="22" t="str">
        <f>IF(D7230&lt;&gt;"",IFERROR(INDEX(Produtos!$C$4:$C$4996,MATCH(D7230,Produtos!$B$4:$B$4996,0)),"Produto não encontrado"),"")</f>
        <v/>
      </c>
    </row>
    <row r="7231" spans="1:5" x14ac:dyDescent="0.3">
      <c r="A7231" s="21" t="str">
        <f t="shared" si="112"/>
        <v>.</v>
      </c>
      <c r="D7231" s="44"/>
      <c r="E7231" s="22" t="str">
        <f>IF(D7231&lt;&gt;"",IFERROR(INDEX(Produtos!$C$4:$C$4996,MATCH(D7231,Produtos!$B$4:$B$4996,0)),"Produto não encontrado"),"")</f>
        <v/>
      </c>
    </row>
    <row r="7232" spans="1:5" x14ac:dyDescent="0.3">
      <c r="A7232" s="21" t="str">
        <f t="shared" ref="A7232:A7295" si="113">IF(C7232="Entrada",2,IF(C7232="Saída",1,"."))</f>
        <v>.</v>
      </c>
      <c r="D7232" s="44"/>
      <c r="E7232" s="22" t="str">
        <f>IF(D7232&lt;&gt;"",IFERROR(INDEX(Produtos!$C$4:$C$4996,MATCH(D7232,Produtos!$B$4:$B$4996,0)),"Produto não encontrado"),"")</f>
        <v/>
      </c>
    </row>
    <row r="7233" spans="1:5" x14ac:dyDescent="0.3">
      <c r="A7233" s="21" t="str">
        <f t="shared" si="113"/>
        <v>.</v>
      </c>
      <c r="D7233" s="44"/>
      <c r="E7233" s="22" t="str">
        <f>IF(D7233&lt;&gt;"",IFERROR(INDEX(Produtos!$C$4:$C$4996,MATCH(D7233,Produtos!$B$4:$B$4996,0)),"Produto não encontrado"),"")</f>
        <v/>
      </c>
    </row>
    <row r="7234" spans="1:5" x14ac:dyDescent="0.3">
      <c r="A7234" s="21" t="str">
        <f t="shared" si="113"/>
        <v>.</v>
      </c>
      <c r="D7234" s="44"/>
      <c r="E7234" s="22" t="str">
        <f>IF(D7234&lt;&gt;"",IFERROR(INDEX(Produtos!$C$4:$C$4996,MATCH(D7234,Produtos!$B$4:$B$4996,0)),"Produto não encontrado"),"")</f>
        <v/>
      </c>
    </row>
    <row r="7235" spans="1:5" x14ac:dyDescent="0.3">
      <c r="A7235" s="21" t="str">
        <f t="shared" si="113"/>
        <v>.</v>
      </c>
      <c r="D7235" s="44"/>
      <c r="E7235" s="22" t="str">
        <f>IF(D7235&lt;&gt;"",IFERROR(INDEX(Produtos!$C$4:$C$4996,MATCH(D7235,Produtos!$B$4:$B$4996,0)),"Produto não encontrado"),"")</f>
        <v/>
      </c>
    </row>
    <row r="7236" spans="1:5" x14ac:dyDescent="0.3">
      <c r="A7236" s="21" t="str">
        <f t="shared" si="113"/>
        <v>.</v>
      </c>
      <c r="D7236" s="44"/>
      <c r="E7236" s="22" t="str">
        <f>IF(D7236&lt;&gt;"",IFERROR(INDEX(Produtos!$C$4:$C$4996,MATCH(D7236,Produtos!$B$4:$B$4996,0)),"Produto não encontrado"),"")</f>
        <v/>
      </c>
    </row>
    <row r="7237" spans="1:5" x14ac:dyDescent="0.3">
      <c r="A7237" s="21" t="str">
        <f t="shared" si="113"/>
        <v>.</v>
      </c>
      <c r="D7237" s="44"/>
      <c r="E7237" s="22" t="str">
        <f>IF(D7237&lt;&gt;"",IFERROR(INDEX(Produtos!$C$4:$C$4996,MATCH(D7237,Produtos!$B$4:$B$4996,0)),"Produto não encontrado"),"")</f>
        <v/>
      </c>
    </row>
    <row r="7238" spans="1:5" x14ac:dyDescent="0.3">
      <c r="A7238" s="21" t="str">
        <f t="shared" si="113"/>
        <v>.</v>
      </c>
      <c r="D7238" s="44"/>
      <c r="E7238" s="22" t="str">
        <f>IF(D7238&lt;&gt;"",IFERROR(INDEX(Produtos!$C$4:$C$4996,MATCH(D7238,Produtos!$B$4:$B$4996,0)),"Produto não encontrado"),"")</f>
        <v/>
      </c>
    </row>
    <row r="7239" spans="1:5" x14ac:dyDescent="0.3">
      <c r="A7239" s="21" t="str">
        <f t="shared" si="113"/>
        <v>.</v>
      </c>
      <c r="D7239" s="44"/>
      <c r="E7239" s="22" t="str">
        <f>IF(D7239&lt;&gt;"",IFERROR(INDEX(Produtos!$C$4:$C$4996,MATCH(D7239,Produtos!$B$4:$B$4996,0)),"Produto não encontrado"),"")</f>
        <v/>
      </c>
    </row>
    <row r="7240" spans="1:5" x14ac:dyDescent="0.3">
      <c r="A7240" s="21" t="str">
        <f t="shared" si="113"/>
        <v>.</v>
      </c>
      <c r="D7240" s="44"/>
      <c r="E7240" s="22" t="str">
        <f>IF(D7240&lt;&gt;"",IFERROR(INDEX(Produtos!$C$4:$C$4996,MATCH(D7240,Produtos!$B$4:$B$4996,0)),"Produto não encontrado"),"")</f>
        <v/>
      </c>
    </row>
    <row r="7241" spans="1:5" x14ac:dyDescent="0.3">
      <c r="A7241" s="21" t="str">
        <f t="shared" si="113"/>
        <v>.</v>
      </c>
      <c r="D7241" s="44"/>
      <c r="E7241" s="22" t="str">
        <f>IF(D7241&lt;&gt;"",IFERROR(INDEX(Produtos!$C$4:$C$4996,MATCH(D7241,Produtos!$B$4:$B$4996,0)),"Produto não encontrado"),"")</f>
        <v/>
      </c>
    </row>
    <row r="7242" spans="1:5" x14ac:dyDescent="0.3">
      <c r="A7242" s="21" t="str">
        <f t="shared" si="113"/>
        <v>.</v>
      </c>
      <c r="D7242" s="44"/>
      <c r="E7242" s="22" t="str">
        <f>IF(D7242&lt;&gt;"",IFERROR(INDEX(Produtos!$C$4:$C$4996,MATCH(D7242,Produtos!$B$4:$B$4996,0)),"Produto não encontrado"),"")</f>
        <v/>
      </c>
    </row>
    <row r="7243" spans="1:5" x14ac:dyDescent="0.3">
      <c r="A7243" s="21" t="str">
        <f t="shared" si="113"/>
        <v>.</v>
      </c>
      <c r="D7243" s="44"/>
      <c r="E7243" s="22" t="str">
        <f>IF(D7243&lt;&gt;"",IFERROR(INDEX(Produtos!$C$4:$C$4996,MATCH(D7243,Produtos!$B$4:$B$4996,0)),"Produto não encontrado"),"")</f>
        <v/>
      </c>
    </row>
    <row r="7244" spans="1:5" x14ac:dyDescent="0.3">
      <c r="A7244" s="21" t="str">
        <f t="shared" si="113"/>
        <v>.</v>
      </c>
      <c r="D7244" s="44"/>
      <c r="E7244" s="22" t="str">
        <f>IF(D7244&lt;&gt;"",IFERROR(INDEX(Produtos!$C$4:$C$4996,MATCH(D7244,Produtos!$B$4:$B$4996,0)),"Produto não encontrado"),"")</f>
        <v/>
      </c>
    </row>
    <row r="7245" spans="1:5" x14ac:dyDescent="0.3">
      <c r="A7245" s="21" t="str">
        <f t="shared" si="113"/>
        <v>.</v>
      </c>
      <c r="D7245" s="44"/>
      <c r="E7245" s="22" t="str">
        <f>IF(D7245&lt;&gt;"",IFERROR(INDEX(Produtos!$C$4:$C$4996,MATCH(D7245,Produtos!$B$4:$B$4996,0)),"Produto não encontrado"),"")</f>
        <v/>
      </c>
    </row>
    <row r="7246" spans="1:5" x14ac:dyDescent="0.3">
      <c r="A7246" s="21" t="str">
        <f t="shared" si="113"/>
        <v>.</v>
      </c>
      <c r="D7246" s="44"/>
      <c r="E7246" s="22" t="str">
        <f>IF(D7246&lt;&gt;"",IFERROR(INDEX(Produtos!$C$4:$C$4996,MATCH(D7246,Produtos!$B$4:$B$4996,0)),"Produto não encontrado"),"")</f>
        <v/>
      </c>
    </row>
    <row r="7247" spans="1:5" x14ac:dyDescent="0.3">
      <c r="A7247" s="21" t="str">
        <f t="shared" si="113"/>
        <v>.</v>
      </c>
      <c r="D7247" s="44"/>
      <c r="E7247" s="22" t="str">
        <f>IF(D7247&lt;&gt;"",IFERROR(INDEX(Produtos!$C$4:$C$4996,MATCH(D7247,Produtos!$B$4:$B$4996,0)),"Produto não encontrado"),"")</f>
        <v/>
      </c>
    </row>
    <row r="7248" spans="1:5" x14ac:dyDescent="0.3">
      <c r="A7248" s="21" t="str">
        <f t="shared" si="113"/>
        <v>.</v>
      </c>
      <c r="D7248" s="44"/>
      <c r="E7248" s="22" t="str">
        <f>IF(D7248&lt;&gt;"",IFERROR(INDEX(Produtos!$C$4:$C$4996,MATCH(D7248,Produtos!$B$4:$B$4996,0)),"Produto não encontrado"),"")</f>
        <v/>
      </c>
    </row>
    <row r="7249" spans="1:5" x14ac:dyDescent="0.3">
      <c r="A7249" s="21" t="str">
        <f t="shared" si="113"/>
        <v>.</v>
      </c>
      <c r="D7249" s="44"/>
      <c r="E7249" s="22" t="str">
        <f>IF(D7249&lt;&gt;"",IFERROR(INDEX(Produtos!$C$4:$C$4996,MATCH(D7249,Produtos!$B$4:$B$4996,0)),"Produto não encontrado"),"")</f>
        <v/>
      </c>
    </row>
    <row r="7250" spans="1:5" x14ac:dyDescent="0.3">
      <c r="A7250" s="21" t="str">
        <f t="shared" si="113"/>
        <v>.</v>
      </c>
      <c r="D7250" s="44"/>
      <c r="E7250" s="22" t="str">
        <f>IF(D7250&lt;&gt;"",IFERROR(INDEX(Produtos!$C$4:$C$4996,MATCH(D7250,Produtos!$B$4:$B$4996,0)),"Produto não encontrado"),"")</f>
        <v/>
      </c>
    </row>
    <row r="7251" spans="1:5" x14ac:dyDescent="0.3">
      <c r="A7251" s="21" t="str">
        <f t="shared" si="113"/>
        <v>.</v>
      </c>
      <c r="D7251" s="44"/>
      <c r="E7251" s="22" t="str">
        <f>IF(D7251&lt;&gt;"",IFERROR(INDEX(Produtos!$C$4:$C$4996,MATCH(D7251,Produtos!$B$4:$B$4996,0)),"Produto não encontrado"),"")</f>
        <v/>
      </c>
    </row>
    <row r="7252" spans="1:5" x14ac:dyDescent="0.3">
      <c r="A7252" s="21" t="str">
        <f t="shared" si="113"/>
        <v>.</v>
      </c>
      <c r="D7252" s="44"/>
      <c r="E7252" s="22" t="str">
        <f>IF(D7252&lt;&gt;"",IFERROR(INDEX(Produtos!$C$4:$C$4996,MATCH(D7252,Produtos!$B$4:$B$4996,0)),"Produto não encontrado"),"")</f>
        <v/>
      </c>
    </row>
    <row r="7253" spans="1:5" x14ac:dyDescent="0.3">
      <c r="A7253" s="21" t="str">
        <f t="shared" si="113"/>
        <v>.</v>
      </c>
      <c r="D7253" s="44"/>
      <c r="E7253" s="22" t="str">
        <f>IF(D7253&lt;&gt;"",IFERROR(INDEX(Produtos!$C$4:$C$4996,MATCH(D7253,Produtos!$B$4:$B$4996,0)),"Produto não encontrado"),"")</f>
        <v/>
      </c>
    </row>
    <row r="7254" spans="1:5" x14ac:dyDescent="0.3">
      <c r="A7254" s="21" t="str">
        <f t="shared" si="113"/>
        <v>.</v>
      </c>
      <c r="D7254" s="44"/>
      <c r="E7254" s="22" t="str">
        <f>IF(D7254&lt;&gt;"",IFERROR(INDEX(Produtos!$C$4:$C$4996,MATCH(D7254,Produtos!$B$4:$B$4996,0)),"Produto não encontrado"),"")</f>
        <v/>
      </c>
    </row>
    <row r="7255" spans="1:5" x14ac:dyDescent="0.3">
      <c r="A7255" s="21" t="str">
        <f t="shared" si="113"/>
        <v>.</v>
      </c>
      <c r="D7255" s="44"/>
      <c r="E7255" s="22" t="str">
        <f>IF(D7255&lt;&gt;"",IFERROR(INDEX(Produtos!$C$4:$C$4996,MATCH(D7255,Produtos!$B$4:$B$4996,0)),"Produto não encontrado"),"")</f>
        <v/>
      </c>
    </row>
    <row r="7256" spans="1:5" x14ac:dyDescent="0.3">
      <c r="A7256" s="21" t="str">
        <f t="shared" si="113"/>
        <v>.</v>
      </c>
      <c r="D7256" s="44"/>
      <c r="E7256" s="22" t="str">
        <f>IF(D7256&lt;&gt;"",IFERROR(INDEX(Produtos!$C$4:$C$4996,MATCH(D7256,Produtos!$B$4:$B$4996,0)),"Produto não encontrado"),"")</f>
        <v/>
      </c>
    </row>
    <row r="7257" spans="1:5" x14ac:dyDescent="0.3">
      <c r="A7257" s="21" t="str">
        <f t="shared" si="113"/>
        <v>.</v>
      </c>
      <c r="D7257" s="44"/>
      <c r="E7257" s="22" t="str">
        <f>IF(D7257&lt;&gt;"",IFERROR(INDEX(Produtos!$C$4:$C$4996,MATCH(D7257,Produtos!$B$4:$B$4996,0)),"Produto não encontrado"),"")</f>
        <v/>
      </c>
    </row>
    <row r="7258" spans="1:5" x14ac:dyDescent="0.3">
      <c r="A7258" s="21" t="str">
        <f t="shared" si="113"/>
        <v>.</v>
      </c>
      <c r="D7258" s="44"/>
      <c r="E7258" s="22" t="str">
        <f>IF(D7258&lt;&gt;"",IFERROR(INDEX(Produtos!$C$4:$C$4996,MATCH(D7258,Produtos!$B$4:$B$4996,0)),"Produto não encontrado"),"")</f>
        <v/>
      </c>
    </row>
    <row r="7259" spans="1:5" x14ac:dyDescent="0.3">
      <c r="A7259" s="21" t="str">
        <f t="shared" si="113"/>
        <v>.</v>
      </c>
      <c r="D7259" s="44"/>
      <c r="E7259" s="22" t="str">
        <f>IF(D7259&lt;&gt;"",IFERROR(INDEX(Produtos!$C$4:$C$4996,MATCH(D7259,Produtos!$B$4:$B$4996,0)),"Produto não encontrado"),"")</f>
        <v/>
      </c>
    </row>
    <row r="7260" spans="1:5" x14ac:dyDescent="0.3">
      <c r="A7260" s="21" t="str">
        <f t="shared" si="113"/>
        <v>.</v>
      </c>
      <c r="D7260" s="44"/>
      <c r="E7260" s="22" t="str">
        <f>IF(D7260&lt;&gt;"",IFERROR(INDEX(Produtos!$C$4:$C$4996,MATCH(D7260,Produtos!$B$4:$B$4996,0)),"Produto não encontrado"),"")</f>
        <v/>
      </c>
    </row>
    <row r="7261" spans="1:5" x14ac:dyDescent="0.3">
      <c r="A7261" s="21" t="str">
        <f t="shared" si="113"/>
        <v>.</v>
      </c>
      <c r="D7261" s="44"/>
      <c r="E7261" s="22" t="str">
        <f>IF(D7261&lt;&gt;"",IFERROR(INDEX(Produtos!$C$4:$C$4996,MATCH(D7261,Produtos!$B$4:$B$4996,0)),"Produto não encontrado"),"")</f>
        <v/>
      </c>
    </row>
    <row r="7262" spans="1:5" x14ac:dyDescent="0.3">
      <c r="A7262" s="21" t="str">
        <f t="shared" si="113"/>
        <v>.</v>
      </c>
      <c r="D7262" s="44"/>
      <c r="E7262" s="22" t="str">
        <f>IF(D7262&lt;&gt;"",IFERROR(INDEX(Produtos!$C$4:$C$4996,MATCH(D7262,Produtos!$B$4:$B$4996,0)),"Produto não encontrado"),"")</f>
        <v/>
      </c>
    </row>
    <row r="7263" spans="1:5" x14ac:dyDescent="0.3">
      <c r="A7263" s="21" t="str">
        <f t="shared" si="113"/>
        <v>.</v>
      </c>
      <c r="D7263" s="44"/>
      <c r="E7263" s="22" t="str">
        <f>IF(D7263&lt;&gt;"",IFERROR(INDEX(Produtos!$C$4:$C$4996,MATCH(D7263,Produtos!$B$4:$B$4996,0)),"Produto não encontrado"),"")</f>
        <v/>
      </c>
    </row>
    <row r="7264" spans="1:5" x14ac:dyDescent="0.3">
      <c r="A7264" s="21" t="str">
        <f t="shared" si="113"/>
        <v>.</v>
      </c>
      <c r="D7264" s="44"/>
      <c r="E7264" s="22" t="str">
        <f>IF(D7264&lt;&gt;"",IFERROR(INDEX(Produtos!$C$4:$C$4996,MATCH(D7264,Produtos!$B$4:$B$4996,0)),"Produto não encontrado"),"")</f>
        <v/>
      </c>
    </row>
    <row r="7265" spans="1:5" x14ac:dyDescent="0.3">
      <c r="A7265" s="21" t="str">
        <f t="shared" si="113"/>
        <v>.</v>
      </c>
      <c r="D7265" s="44"/>
      <c r="E7265" s="22" t="str">
        <f>IF(D7265&lt;&gt;"",IFERROR(INDEX(Produtos!$C$4:$C$4996,MATCH(D7265,Produtos!$B$4:$B$4996,0)),"Produto não encontrado"),"")</f>
        <v/>
      </c>
    </row>
    <row r="7266" spans="1:5" x14ac:dyDescent="0.3">
      <c r="A7266" s="21" t="str">
        <f t="shared" si="113"/>
        <v>.</v>
      </c>
      <c r="D7266" s="44"/>
      <c r="E7266" s="22" t="str">
        <f>IF(D7266&lt;&gt;"",IFERROR(INDEX(Produtos!$C$4:$C$4996,MATCH(D7266,Produtos!$B$4:$B$4996,0)),"Produto não encontrado"),"")</f>
        <v/>
      </c>
    </row>
    <row r="7267" spans="1:5" x14ac:dyDescent="0.3">
      <c r="A7267" s="21" t="str">
        <f t="shared" si="113"/>
        <v>.</v>
      </c>
      <c r="D7267" s="44"/>
      <c r="E7267" s="22" t="str">
        <f>IF(D7267&lt;&gt;"",IFERROR(INDEX(Produtos!$C$4:$C$4996,MATCH(D7267,Produtos!$B$4:$B$4996,0)),"Produto não encontrado"),"")</f>
        <v/>
      </c>
    </row>
    <row r="7268" spans="1:5" x14ac:dyDescent="0.3">
      <c r="A7268" s="21" t="str">
        <f t="shared" si="113"/>
        <v>.</v>
      </c>
      <c r="D7268" s="44"/>
      <c r="E7268" s="22" t="str">
        <f>IF(D7268&lt;&gt;"",IFERROR(INDEX(Produtos!$C$4:$C$4996,MATCH(D7268,Produtos!$B$4:$B$4996,0)),"Produto não encontrado"),"")</f>
        <v/>
      </c>
    </row>
    <row r="7269" spans="1:5" x14ac:dyDescent="0.3">
      <c r="A7269" s="21" t="str">
        <f t="shared" si="113"/>
        <v>.</v>
      </c>
      <c r="D7269" s="44"/>
      <c r="E7269" s="22" t="str">
        <f>IF(D7269&lt;&gt;"",IFERROR(INDEX(Produtos!$C$4:$C$4996,MATCH(D7269,Produtos!$B$4:$B$4996,0)),"Produto não encontrado"),"")</f>
        <v/>
      </c>
    </row>
    <row r="7270" spans="1:5" x14ac:dyDescent="0.3">
      <c r="A7270" s="21" t="str">
        <f t="shared" si="113"/>
        <v>.</v>
      </c>
      <c r="D7270" s="44"/>
      <c r="E7270" s="22" t="str">
        <f>IF(D7270&lt;&gt;"",IFERROR(INDEX(Produtos!$C$4:$C$4996,MATCH(D7270,Produtos!$B$4:$B$4996,0)),"Produto não encontrado"),"")</f>
        <v/>
      </c>
    </row>
    <row r="7271" spans="1:5" x14ac:dyDescent="0.3">
      <c r="A7271" s="21" t="str">
        <f t="shared" si="113"/>
        <v>.</v>
      </c>
      <c r="D7271" s="44"/>
      <c r="E7271" s="22" t="str">
        <f>IF(D7271&lt;&gt;"",IFERROR(INDEX(Produtos!$C$4:$C$4996,MATCH(D7271,Produtos!$B$4:$B$4996,0)),"Produto não encontrado"),"")</f>
        <v/>
      </c>
    </row>
    <row r="7272" spans="1:5" x14ac:dyDescent="0.3">
      <c r="A7272" s="21" t="str">
        <f t="shared" si="113"/>
        <v>.</v>
      </c>
      <c r="D7272" s="44"/>
      <c r="E7272" s="22" t="str">
        <f>IF(D7272&lt;&gt;"",IFERROR(INDEX(Produtos!$C$4:$C$4996,MATCH(D7272,Produtos!$B$4:$B$4996,0)),"Produto não encontrado"),"")</f>
        <v/>
      </c>
    </row>
    <row r="7273" spans="1:5" x14ac:dyDescent="0.3">
      <c r="A7273" s="21" t="str">
        <f t="shared" si="113"/>
        <v>.</v>
      </c>
      <c r="D7273" s="44"/>
      <c r="E7273" s="22" t="str">
        <f>IF(D7273&lt;&gt;"",IFERROR(INDEX(Produtos!$C$4:$C$4996,MATCH(D7273,Produtos!$B$4:$B$4996,0)),"Produto não encontrado"),"")</f>
        <v/>
      </c>
    </row>
    <row r="7274" spans="1:5" x14ac:dyDescent="0.3">
      <c r="A7274" s="21" t="str">
        <f t="shared" si="113"/>
        <v>.</v>
      </c>
      <c r="D7274" s="44"/>
      <c r="E7274" s="22" t="str">
        <f>IF(D7274&lt;&gt;"",IFERROR(INDEX(Produtos!$C$4:$C$4996,MATCH(D7274,Produtos!$B$4:$B$4996,0)),"Produto não encontrado"),"")</f>
        <v/>
      </c>
    </row>
    <row r="7275" spans="1:5" x14ac:dyDescent="0.3">
      <c r="A7275" s="21" t="str">
        <f t="shared" si="113"/>
        <v>.</v>
      </c>
      <c r="D7275" s="44"/>
      <c r="E7275" s="22" t="str">
        <f>IF(D7275&lt;&gt;"",IFERROR(INDEX(Produtos!$C$4:$C$4996,MATCH(D7275,Produtos!$B$4:$B$4996,0)),"Produto não encontrado"),"")</f>
        <v/>
      </c>
    </row>
    <row r="7276" spans="1:5" x14ac:dyDescent="0.3">
      <c r="A7276" s="21" t="str">
        <f t="shared" si="113"/>
        <v>.</v>
      </c>
      <c r="D7276" s="44"/>
      <c r="E7276" s="22" t="str">
        <f>IF(D7276&lt;&gt;"",IFERROR(INDEX(Produtos!$C$4:$C$4996,MATCH(D7276,Produtos!$B$4:$B$4996,0)),"Produto não encontrado"),"")</f>
        <v/>
      </c>
    </row>
    <row r="7277" spans="1:5" x14ac:dyDescent="0.3">
      <c r="A7277" s="21" t="str">
        <f t="shared" si="113"/>
        <v>.</v>
      </c>
      <c r="D7277" s="44"/>
      <c r="E7277" s="22" t="str">
        <f>IF(D7277&lt;&gt;"",IFERROR(INDEX(Produtos!$C$4:$C$4996,MATCH(D7277,Produtos!$B$4:$B$4996,0)),"Produto não encontrado"),"")</f>
        <v/>
      </c>
    </row>
    <row r="7278" spans="1:5" x14ac:dyDescent="0.3">
      <c r="A7278" s="21" t="str">
        <f t="shared" si="113"/>
        <v>.</v>
      </c>
      <c r="D7278" s="44"/>
      <c r="E7278" s="22" t="str">
        <f>IF(D7278&lt;&gt;"",IFERROR(INDEX(Produtos!$C$4:$C$4996,MATCH(D7278,Produtos!$B$4:$B$4996,0)),"Produto não encontrado"),"")</f>
        <v/>
      </c>
    </row>
    <row r="7279" spans="1:5" x14ac:dyDescent="0.3">
      <c r="A7279" s="21" t="str">
        <f t="shared" si="113"/>
        <v>.</v>
      </c>
      <c r="D7279" s="44"/>
      <c r="E7279" s="22" t="str">
        <f>IF(D7279&lt;&gt;"",IFERROR(INDEX(Produtos!$C$4:$C$4996,MATCH(D7279,Produtos!$B$4:$B$4996,0)),"Produto não encontrado"),"")</f>
        <v/>
      </c>
    </row>
    <row r="7280" spans="1:5" x14ac:dyDescent="0.3">
      <c r="A7280" s="21" t="str">
        <f t="shared" si="113"/>
        <v>.</v>
      </c>
      <c r="D7280" s="44"/>
      <c r="E7280" s="22" t="str">
        <f>IF(D7280&lt;&gt;"",IFERROR(INDEX(Produtos!$C$4:$C$4996,MATCH(D7280,Produtos!$B$4:$B$4996,0)),"Produto não encontrado"),"")</f>
        <v/>
      </c>
    </row>
    <row r="7281" spans="1:5" x14ac:dyDescent="0.3">
      <c r="A7281" s="21" t="str">
        <f t="shared" si="113"/>
        <v>.</v>
      </c>
      <c r="D7281" s="44"/>
      <c r="E7281" s="22" t="str">
        <f>IF(D7281&lt;&gt;"",IFERROR(INDEX(Produtos!$C$4:$C$4996,MATCH(D7281,Produtos!$B$4:$B$4996,0)),"Produto não encontrado"),"")</f>
        <v/>
      </c>
    </row>
    <row r="7282" spans="1:5" x14ac:dyDescent="0.3">
      <c r="A7282" s="21" t="str">
        <f t="shared" si="113"/>
        <v>.</v>
      </c>
      <c r="D7282" s="44"/>
      <c r="E7282" s="22" t="str">
        <f>IF(D7282&lt;&gt;"",IFERROR(INDEX(Produtos!$C$4:$C$4996,MATCH(D7282,Produtos!$B$4:$B$4996,0)),"Produto não encontrado"),"")</f>
        <v/>
      </c>
    </row>
    <row r="7283" spans="1:5" x14ac:dyDescent="0.3">
      <c r="A7283" s="21" t="str">
        <f t="shared" si="113"/>
        <v>.</v>
      </c>
      <c r="D7283" s="44"/>
      <c r="E7283" s="22" t="str">
        <f>IF(D7283&lt;&gt;"",IFERROR(INDEX(Produtos!$C$4:$C$4996,MATCH(D7283,Produtos!$B$4:$B$4996,0)),"Produto não encontrado"),"")</f>
        <v/>
      </c>
    </row>
    <row r="7284" spans="1:5" x14ac:dyDescent="0.3">
      <c r="A7284" s="21" t="str">
        <f t="shared" si="113"/>
        <v>.</v>
      </c>
      <c r="D7284" s="44"/>
      <c r="E7284" s="22" t="str">
        <f>IF(D7284&lt;&gt;"",IFERROR(INDEX(Produtos!$C$4:$C$4996,MATCH(D7284,Produtos!$B$4:$B$4996,0)),"Produto não encontrado"),"")</f>
        <v/>
      </c>
    </row>
    <row r="7285" spans="1:5" x14ac:dyDescent="0.3">
      <c r="A7285" s="21" t="str">
        <f t="shared" si="113"/>
        <v>.</v>
      </c>
      <c r="D7285" s="44"/>
      <c r="E7285" s="22" t="str">
        <f>IF(D7285&lt;&gt;"",IFERROR(INDEX(Produtos!$C$4:$C$4996,MATCH(D7285,Produtos!$B$4:$B$4996,0)),"Produto não encontrado"),"")</f>
        <v/>
      </c>
    </row>
    <row r="7286" spans="1:5" x14ac:dyDescent="0.3">
      <c r="A7286" s="21" t="str">
        <f t="shared" si="113"/>
        <v>.</v>
      </c>
      <c r="D7286" s="44"/>
      <c r="E7286" s="22" t="str">
        <f>IF(D7286&lt;&gt;"",IFERROR(INDEX(Produtos!$C$4:$C$4996,MATCH(D7286,Produtos!$B$4:$B$4996,0)),"Produto não encontrado"),"")</f>
        <v/>
      </c>
    </row>
    <row r="7287" spans="1:5" x14ac:dyDescent="0.3">
      <c r="A7287" s="21" t="str">
        <f t="shared" si="113"/>
        <v>.</v>
      </c>
      <c r="D7287" s="44"/>
      <c r="E7287" s="22" t="str">
        <f>IF(D7287&lt;&gt;"",IFERROR(INDEX(Produtos!$C$4:$C$4996,MATCH(D7287,Produtos!$B$4:$B$4996,0)),"Produto não encontrado"),"")</f>
        <v/>
      </c>
    </row>
    <row r="7288" spans="1:5" x14ac:dyDescent="0.3">
      <c r="A7288" s="21" t="str">
        <f t="shared" si="113"/>
        <v>.</v>
      </c>
      <c r="D7288" s="44"/>
      <c r="E7288" s="22" t="str">
        <f>IF(D7288&lt;&gt;"",IFERROR(INDEX(Produtos!$C$4:$C$4996,MATCH(D7288,Produtos!$B$4:$B$4996,0)),"Produto não encontrado"),"")</f>
        <v/>
      </c>
    </row>
    <row r="7289" spans="1:5" x14ac:dyDescent="0.3">
      <c r="A7289" s="21" t="str">
        <f t="shared" si="113"/>
        <v>.</v>
      </c>
      <c r="D7289" s="44"/>
      <c r="E7289" s="22" t="str">
        <f>IF(D7289&lt;&gt;"",IFERROR(INDEX(Produtos!$C$4:$C$4996,MATCH(D7289,Produtos!$B$4:$B$4996,0)),"Produto não encontrado"),"")</f>
        <v/>
      </c>
    </row>
    <row r="7290" spans="1:5" x14ac:dyDescent="0.3">
      <c r="A7290" s="21" t="str">
        <f t="shared" si="113"/>
        <v>.</v>
      </c>
      <c r="D7290" s="44"/>
      <c r="E7290" s="22" t="str">
        <f>IF(D7290&lt;&gt;"",IFERROR(INDEX(Produtos!$C$4:$C$4996,MATCH(D7290,Produtos!$B$4:$B$4996,0)),"Produto não encontrado"),"")</f>
        <v/>
      </c>
    </row>
    <row r="7291" spans="1:5" x14ac:dyDescent="0.3">
      <c r="A7291" s="21" t="str">
        <f t="shared" si="113"/>
        <v>.</v>
      </c>
      <c r="D7291" s="44"/>
      <c r="E7291" s="22" t="str">
        <f>IF(D7291&lt;&gt;"",IFERROR(INDEX(Produtos!$C$4:$C$4996,MATCH(D7291,Produtos!$B$4:$B$4996,0)),"Produto não encontrado"),"")</f>
        <v/>
      </c>
    </row>
    <row r="7292" spans="1:5" x14ac:dyDescent="0.3">
      <c r="A7292" s="21" t="str">
        <f t="shared" si="113"/>
        <v>.</v>
      </c>
      <c r="D7292" s="44"/>
      <c r="E7292" s="22" t="str">
        <f>IF(D7292&lt;&gt;"",IFERROR(INDEX(Produtos!$C$4:$C$4996,MATCH(D7292,Produtos!$B$4:$B$4996,0)),"Produto não encontrado"),"")</f>
        <v/>
      </c>
    </row>
    <row r="7293" spans="1:5" x14ac:dyDescent="0.3">
      <c r="A7293" s="21" t="str">
        <f t="shared" si="113"/>
        <v>.</v>
      </c>
      <c r="D7293" s="44"/>
      <c r="E7293" s="22" t="str">
        <f>IF(D7293&lt;&gt;"",IFERROR(INDEX(Produtos!$C$4:$C$4996,MATCH(D7293,Produtos!$B$4:$B$4996,0)),"Produto não encontrado"),"")</f>
        <v/>
      </c>
    </row>
    <row r="7294" spans="1:5" x14ac:dyDescent="0.3">
      <c r="A7294" s="21" t="str">
        <f t="shared" si="113"/>
        <v>.</v>
      </c>
      <c r="D7294" s="44"/>
      <c r="E7294" s="22" t="str">
        <f>IF(D7294&lt;&gt;"",IFERROR(INDEX(Produtos!$C$4:$C$4996,MATCH(D7294,Produtos!$B$4:$B$4996,0)),"Produto não encontrado"),"")</f>
        <v/>
      </c>
    </row>
    <row r="7295" spans="1:5" x14ac:dyDescent="0.3">
      <c r="A7295" s="21" t="str">
        <f t="shared" si="113"/>
        <v>.</v>
      </c>
      <c r="D7295" s="44"/>
      <c r="E7295" s="22" t="str">
        <f>IF(D7295&lt;&gt;"",IFERROR(INDEX(Produtos!$C$4:$C$4996,MATCH(D7295,Produtos!$B$4:$B$4996,0)),"Produto não encontrado"),"")</f>
        <v/>
      </c>
    </row>
    <row r="7296" spans="1:5" x14ac:dyDescent="0.3">
      <c r="A7296" s="21" t="str">
        <f t="shared" ref="A7296:A7359" si="114">IF(C7296="Entrada",2,IF(C7296="Saída",1,"."))</f>
        <v>.</v>
      </c>
      <c r="D7296" s="44"/>
      <c r="E7296" s="22" t="str">
        <f>IF(D7296&lt;&gt;"",IFERROR(INDEX(Produtos!$C$4:$C$4996,MATCH(D7296,Produtos!$B$4:$B$4996,0)),"Produto não encontrado"),"")</f>
        <v/>
      </c>
    </row>
    <row r="7297" spans="1:5" x14ac:dyDescent="0.3">
      <c r="A7297" s="21" t="str">
        <f t="shared" si="114"/>
        <v>.</v>
      </c>
      <c r="D7297" s="44"/>
      <c r="E7297" s="22" t="str">
        <f>IF(D7297&lt;&gt;"",IFERROR(INDEX(Produtos!$C$4:$C$4996,MATCH(D7297,Produtos!$B$4:$B$4996,0)),"Produto não encontrado"),"")</f>
        <v/>
      </c>
    </row>
    <row r="7298" spans="1:5" x14ac:dyDescent="0.3">
      <c r="A7298" s="21" t="str">
        <f t="shared" si="114"/>
        <v>.</v>
      </c>
      <c r="D7298" s="44"/>
      <c r="E7298" s="22" t="str">
        <f>IF(D7298&lt;&gt;"",IFERROR(INDEX(Produtos!$C$4:$C$4996,MATCH(D7298,Produtos!$B$4:$B$4996,0)),"Produto não encontrado"),"")</f>
        <v/>
      </c>
    </row>
    <row r="7299" spans="1:5" x14ac:dyDescent="0.3">
      <c r="A7299" s="21" t="str">
        <f t="shared" si="114"/>
        <v>.</v>
      </c>
      <c r="D7299" s="44"/>
      <c r="E7299" s="22" t="str">
        <f>IF(D7299&lt;&gt;"",IFERROR(INDEX(Produtos!$C$4:$C$4996,MATCH(D7299,Produtos!$B$4:$B$4996,0)),"Produto não encontrado"),"")</f>
        <v/>
      </c>
    </row>
    <row r="7300" spans="1:5" x14ac:dyDescent="0.3">
      <c r="A7300" s="21" t="str">
        <f t="shared" si="114"/>
        <v>.</v>
      </c>
      <c r="D7300" s="44"/>
      <c r="E7300" s="22" t="str">
        <f>IF(D7300&lt;&gt;"",IFERROR(INDEX(Produtos!$C$4:$C$4996,MATCH(D7300,Produtos!$B$4:$B$4996,0)),"Produto não encontrado"),"")</f>
        <v/>
      </c>
    </row>
    <row r="7301" spans="1:5" x14ac:dyDescent="0.3">
      <c r="A7301" s="21" t="str">
        <f t="shared" si="114"/>
        <v>.</v>
      </c>
      <c r="D7301" s="44"/>
      <c r="E7301" s="22" t="str">
        <f>IF(D7301&lt;&gt;"",IFERROR(INDEX(Produtos!$C$4:$C$4996,MATCH(D7301,Produtos!$B$4:$B$4996,0)),"Produto não encontrado"),"")</f>
        <v/>
      </c>
    </row>
    <row r="7302" spans="1:5" x14ac:dyDescent="0.3">
      <c r="A7302" s="21" t="str">
        <f t="shared" si="114"/>
        <v>.</v>
      </c>
      <c r="D7302" s="44"/>
      <c r="E7302" s="22" t="str">
        <f>IF(D7302&lt;&gt;"",IFERROR(INDEX(Produtos!$C$4:$C$4996,MATCH(D7302,Produtos!$B$4:$B$4996,0)),"Produto não encontrado"),"")</f>
        <v/>
      </c>
    </row>
    <row r="7303" spans="1:5" x14ac:dyDescent="0.3">
      <c r="A7303" s="21" t="str">
        <f t="shared" si="114"/>
        <v>.</v>
      </c>
      <c r="D7303" s="44"/>
      <c r="E7303" s="22" t="str">
        <f>IF(D7303&lt;&gt;"",IFERROR(INDEX(Produtos!$C$4:$C$4996,MATCH(D7303,Produtos!$B$4:$B$4996,0)),"Produto não encontrado"),"")</f>
        <v/>
      </c>
    </row>
    <row r="7304" spans="1:5" x14ac:dyDescent="0.3">
      <c r="A7304" s="21" t="str">
        <f t="shared" si="114"/>
        <v>.</v>
      </c>
      <c r="D7304" s="44"/>
      <c r="E7304" s="22" t="str">
        <f>IF(D7304&lt;&gt;"",IFERROR(INDEX(Produtos!$C$4:$C$4996,MATCH(D7304,Produtos!$B$4:$B$4996,0)),"Produto não encontrado"),"")</f>
        <v/>
      </c>
    </row>
    <row r="7305" spans="1:5" x14ac:dyDescent="0.3">
      <c r="A7305" s="21" t="str">
        <f t="shared" si="114"/>
        <v>.</v>
      </c>
      <c r="D7305" s="44"/>
      <c r="E7305" s="22" t="str">
        <f>IF(D7305&lt;&gt;"",IFERROR(INDEX(Produtos!$C$4:$C$4996,MATCH(D7305,Produtos!$B$4:$B$4996,0)),"Produto não encontrado"),"")</f>
        <v/>
      </c>
    </row>
    <row r="7306" spans="1:5" x14ac:dyDescent="0.3">
      <c r="A7306" s="21" t="str">
        <f t="shared" si="114"/>
        <v>.</v>
      </c>
      <c r="D7306" s="44"/>
      <c r="E7306" s="22" t="str">
        <f>IF(D7306&lt;&gt;"",IFERROR(INDEX(Produtos!$C$4:$C$4996,MATCH(D7306,Produtos!$B$4:$B$4996,0)),"Produto não encontrado"),"")</f>
        <v/>
      </c>
    </row>
    <row r="7307" spans="1:5" x14ac:dyDescent="0.3">
      <c r="A7307" s="21" t="str">
        <f t="shared" si="114"/>
        <v>.</v>
      </c>
      <c r="D7307" s="44"/>
      <c r="E7307" s="22" t="str">
        <f>IF(D7307&lt;&gt;"",IFERROR(INDEX(Produtos!$C$4:$C$4996,MATCH(D7307,Produtos!$B$4:$B$4996,0)),"Produto não encontrado"),"")</f>
        <v/>
      </c>
    </row>
    <row r="7308" spans="1:5" x14ac:dyDescent="0.3">
      <c r="A7308" s="21" t="str">
        <f t="shared" si="114"/>
        <v>.</v>
      </c>
      <c r="D7308" s="44"/>
      <c r="E7308" s="22" t="str">
        <f>IF(D7308&lt;&gt;"",IFERROR(INDEX(Produtos!$C$4:$C$4996,MATCH(D7308,Produtos!$B$4:$B$4996,0)),"Produto não encontrado"),"")</f>
        <v/>
      </c>
    </row>
    <row r="7309" spans="1:5" x14ac:dyDescent="0.3">
      <c r="A7309" s="21" t="str">
        <f t="shared" si="114"/>
        <v>.</v>
      </c>
      <c r="D7309" s="44"/>
      <c r="E7309" s="22" t="str">
        <f>IF(D7309&lt;&gt;"",IFERROR(INDEX(Produtos!$C$4:$C$4996,MATCH(D7309,Produtos!$B$4:$B$4996,0)),"Produto não encontrado"),"")</f>
        <v/>
      </c>
    </row>
    <row r="7310" spans="1:5" x14ac:dyDescent="0.3">
      <c r="A7310" s="21" t="str">
        <f t="shared" si="114"/>
        <v>.</v>
      </c>
      <c r="D7310" s="44"/>
      <c r="E7310" s="22" t="str">
        <f>IF(D7310&lt;&gt;"",IFERROR(INDEX(Produtos!$C$4:$C$4996,MATCH(D7310,Produtos!$B$4:$B$4996,0)),"Produto não encontrado"),"")</f>
        <v/>
      </c>
    </row>
    <row r="7311" spans="1:5" x14ac:dyDescent="0.3">
      <c r="A7311" s="21" t="str">
        <f t="shared" si="114"/>
        <v>.</v>
      </c>
      <c r="D7311" s="44"/>
      <c r="E7311" s="22" t="str">
        <f>IF(D7311&lt;&gt;"",IFERROR(INDEX(Produtos!$C$4:$C$4996,MATCH(D7311,Produtos!$B$4:$B$4996,0)),"Produto não encontrado"),"")</f>
        <v/>
      </c>
    </row>
    <row r="7312" spans="1:5" x14ac:dyDescent="0.3">
      <c r="A7312" s="21" t="str">
        <f t="shared" si="114"/>
        <v>.</v>
      </c>
      <c r="D7312" s="44"/>
      <c r="E7312" s="22" t="str">
        <f>IF(D7312&lt;&gt;"",IFERROR(INDEX(Produtos!$C$4:$C$4996,MATCH(D7312,Produtos!$B$4:$B$4996,0)),"Produto não encontrado"),"")</f>
        <v/>
      </c>
    </row>
    <row r="7313" spans="1:5" x14ac:dyDescent="0.3">
      <c r="A7313" s="21" t="str">
        <f t="shared" si="114"/>
        <v>.</v>
      </c>
      <c r="D7313" s="44"/>
      <c r="E7313" s="22" t="str">
        <f>IF(D7313&lt;&gt;"",IFERROR(INDEX(Produtos!$C$4:$C$4996,MATCH(D7313,Produtos!$B$4:$B$4996,0)),"Produto não encontrado"),"")</f>
        <v/>
      </c>
    </row>
    <row r="7314" spans="1:5" x14ac:dyDescent="0.3">
      <c r="A7314" s="21" t="str">
        <f t="shared" si="114"/>
        <v>.</v>
      </c>
      <c r="D7314" s="44"/>
      <c r="E7314" s="22" t="str">
        <f>IF(D7314&lt;&gt;"",IFERROR(INDEX(Produtos!$C$4:$C$4996,MATCH(D7314,Produtos!$B$4:$B$4996,0)),"Produto não encontrado"),"")</f>
        <v/>
      </c>
    </row>
    <row r="7315" spans="1:5" x14ac:dyDescent="0.3">
      <c r="A7315" s="21" t="str">
        <f t="shared" si="114"/>
        <v>.</v>
      </c>
      <c r="D7315" s="44"/>
      <c r="E7315" s="22" t="str">
        <f>IF(D7315&lt;&gt;"",IFERROR(INDEX(Produtos!$C$4:$C$4996,MATCH(D7315,Produtos!$B$4:$B$4996,0)),"Produto não encontrado"),"")</f>
        <v/>
      </c>
    </row>
    <row r="7316" spans="1:5" x14ac:dyDescent="0.3">
      <c r="A7316" s="21" t="str">
        <f t="shared" si="114"/>
        <v>.</v>
      </c>
      <c r="D7316" s="44"/>
      <c r="E7316" s="22" t="str">
        <f>IF(D7316&lt;&gt;"",IFERROR(INDEX(Produtos!$C$4:$C$4996,MATCH(D7316,Produtos!$B$4:$B$4996,0)),"Produto não encontrado"),"")</f>
        <v/>
      </c>
    </row>
    <row r="7317" spans="1:5" x14ac:dyDescent="0.3">
      <c r="A7317" s="21" t="str">
        <f t="shared" si="114"/>
        <v>.</v>
      </c>
      <c r="D7317" s="44"/>
      <c r="E7317" s="22" t="str">
        <f>IF(D7317&lt;&gt;"",IFERROR(INDEX(Produtos!$C$4:$C$4996,MATCH(D7317,Produtos!$B$4:$B$4996,0)),"Produto não encontrado"),"")</f>
        <v/>
      </c>
    </row>
    <row r="7318" spans="1:5" x14ac:dyDescent="0.3">
      <c r="A7318" s="21" t="str">
        <f t="shared" si="114"/>
        <v>.</v>
      </c>
      <c r="D7318" s="44"/>
      <c r="E7318" s="22" t="str">
        <f>IF(D7318&lt;&gt;"",IFERROR(INDEX(Produtos!$C$4:$C$4996,MATCH(D7318,Produtos!$B$4:$B$4996,0)),"Produto não encontrado"),"")</f>
        <v/>
      </c>
    </row>
    <row r="7319" spans="1:5" x14ac:dyDescent="0.3">
      <c r="A7319" s="21" t="str">
        <f t="shared" si="114"/>
        <v>.</v>
      </c>
      <c r="D7319" s="44"/>
      <c r="E7319" s="22" t="str">
        <f>IF(D7319&lt;&gt;"",IFERROR(INDEX(Produtos!$C$4:$C$4996,MATCH(D7319,Produtos!$B$4:$B$4996,0)),"Produto não encontrado"),"")</f>
        <v/>
      </c>
    </row>
    <row r="7320" spans="1:5" x14ac:dyDescent="0.3">
      <c r="A7320" s="21" t="str">
        <f t="shared" si="114"/>
        <v>.</v>
      </c>
      <c r="D7320" s="44"/>
      <c r="E7320" s="22" t="str">
        <f>IF(D7320&lt;&gt;"",IFERROR(INDEX(Produtos!$C$4:$C$4996,MATCH(D7320,Produtos!$B$4:$B$4996,0)),"Produto não encontrado"),"")</f>
        <v/>
      </c>
    </row>
    <row r="7321" spans="1:5" x14ac:dyDescent="0.3">
      <c r="A7321" s="21" t="str">
        <f t="shared" si="114"/>
        <v>.</v>
      </c>
      <c r="D7321" s="44"/>
      <c r="E7321" s="22" t="str">
        <f>IF(D7321&lt;&gt;"",IFERROR(INDEX(Produtos!$C$4:$C$4996,MATCH(D7321,Produtos!$B$4:$B$4996,0)),"Produto não encontrado"),"")</f>
        <v/>
      </c>
    </row>
    <row r="7322" spans="1:5" x14ac:dyDescent="0.3">
      <c r="A7322" s="21" t="str">
        <f t="shared" si="114"/>
        <v>.</v>
      </c>
      <c r="D7322" s="44"/>
      <c r="E7322" s="22" t="str">
        <f>IF(D7322&lt;&gt;"",IFERROR(INDEX(Produtos!$C$4:$C$4996,MATCH(D7322,Produtos!$B$4:$B$4996,0)),"Produto não encontrado"),"")</f>
        <v/>
      </c>
    </row>
    <row r="7323" spans="1:5" x14ac:dyDescent="0.3">
      <c r="A7323" s="21" t="str">
        <f t="shared" si="114"/>
        <v>.</v>
      </c>
      <c r="D7323" s="44"/>
      <c r="E7323" s="22" t="str">
        <f>IF(D7323&lt;&gt;"",IFERROR(INDEX(Produtos!$C$4:$C$4996,MATCH(D7323,Produtos!$B$4:$B$4996,0)),"Produto não encontrado"),"")</f>
        <v/>
      </c>
    </row>
    <row r="7324" spans="1:5" x14ac:dyDescent="0.3">
      <c r="A7324" s="21" t="str">
        <f t="shared" si="114"/>
        <v>.</v>
      </c>
      <c r="D7324" s="44"/>
      <c r="E7324" s="22" t="str">
        <f>IF(D7324&lt;&gt;"",IFERROR(INDEX(Produtos!$C$4:$C$4996,MATCH(D7324,Produtos!$B$4:$B$4996,0)),"Produto não encontrado"),"")</f>
        <v/>
      </c>
    </row>
    <row r="7325" spans="1:5" x14ac:dyDescent="0.3">
      <c r="A7325" s="21" t="str">
        <f t="shared" si="114"/>
        <v>.</v>
      </c>
      <c r="D7325" s="44"/>
      <c r="E7325" s="22" t="str">
        <f>IF(D7325&lt;&gt;"",IFERROR(INDEX(Produtos!$C$4:$C$4996,MATCH(D7325,Produtos!$B$4:$B$4996,0)),"Produto não encontrado"),"")</f>
        <v/>
      </c>
    </row>
    <row r="7326" spans="1:5" x14ac:dyDescent="0.3">
      <c r="A7326" s="21" t="str">
        <f t="shared" si="114"/>
        <v>.</v>
      </c>
      <c r="D7326" s="44"/>
      <c r="E7326" s="22" t="str">
        <f>IF(D7326&lt;&gt;"",IFERROR(INDEX(Produtos!$C$4:$C$4996,MATCH(D7326,Produtos!$B$4:$B$4996,0)),"Produto não encontrado"),"")</f>
        <v/>
      </c>
    </row>
    <row r="7327" spans="1:5" x14ac:dyDescent="0.3">
      <c r="A7327" s="21" t="str">
        <f t="shared" si="114"/>
        <v>.</v>
      </c>
      <c r="D7327" s="44"/>
      <c r="E7327" s="22" t="str">
        <f>IF(D7327&lt;&gt;"",IFERROR(INDEX(Produtos!$C$4:$C$4996,MATCH(D7327,Produtos!$B$4:$B$4996,0)),"Produto não encontrado"),"")</f>
        <v/>
      </c>
    </row>
    <row r="7328" spans="1:5" x14ac:dyDescent="0.3">
      <c r="A7328" s="21" t="str">
        <f t="shared" si="114"/>
        <v>.</v>
      </c>
      <c r="D7328" s="44"/>
      <c r="E7328" s="22" t="str">
        <f>IF(D7328&lt;&gt;"",IFERROR(INDEX(Produtos!$C$4:$C$4996,MATCH(D7328,Produtos!$B$4:$B$4996,0)),"Produto não encontrado"),"")</f>
        <v/>
      </c>
    </row>
    <row r="7329" spans="1:5" x14ac:dyDescent="0.3">
      <c r="A7329" s="21" t="str">
        <f t="shared" si="114"/>
        <v>.</v>
      </c>
      <c r="D7329" s="44"/>
      <c r="E7329" s="22" t="str">
        <f>IF(D7329&lt;&gt;"",IFERROR(INDEX(Produtos!$C$4:$C$4996,MATCH(D7329,Produtos!$B$4:$B$4996,0)),"Produto não encontrado"),"")</f>
        <v/>
      </c>
    </row>
    <row r="7330" spans="1:5" x14ac:dyDescent="0.3">
      <c r="A7330" s="21" t="str">
        <f t="shared" si="114"/>
        <v>.</v>
      </c>
      <c r="D7330" s="44"/>
      <c r="E7330" s="22" t="str">
        <f>IF(D7330&lt;&gt;"",IFERROR(INDEX(Produtos!$C$4:$C$4996,MATCH(D7330,Produtos!$B$4:$B$4996,0)),"Produto não encontrado"),"")</f>
        <v/>
      </c>
    </row>
    <row r="7331" spans="1:5" x14ac:dyDescent="0.3">
      <c r="A7331" s="21" t="str">
        <f t="shared" si="114"/>
        <v>.</v>
      </c>
      <c r="D7331" s="44"/>
      <c r="E7331" s="22" t="str">
        <f>IF(D7331&lt;&gt;"",IFERROR(INDEX(Produtos!$C$4:$C$4996,MATCH(D7331,Produtos!$B$4:$B$4996,0)),"Produto não encontrado"),"")</f>
        <v/>
      </c>
    </row>
    <row r="7332" spans="1:5" x14ac:dyDescent="0.3">
      <c r="A7332" s="21" t="str">
        <f t="shared" si="114"/>
        <v>.</v>
      </c>
      <c r="D7332" s="44"/>
      <c r="E7332" s="22" t="str">
        <f>IF(D7332&lt;&gt;"",IFERROR(INDEX(Produtos!$C$4:$C$4996,MATCH(D7332,Produtos!$B$4:$B$4996,0)),"Produto não encontrado"),"")</f>
        <v/>
      </c>
    </row>
    <row r="7333" spans="1:5" x14ac:dyDescent="0.3">
      <c r="A7333" s="21" t="str">
        <f t="shared" si="114"/>
        <v>.</v>
      </c>
      <c r="D7333" s="44"/>
      <c r="E7333" s="22" t="str">
        <f>IF(D7333&lt;&gt;"",IFERROR(INDEX(Produtos!$C$4:$C$4996,MATCH(D7333,Produtos!$B$4:$B$4996,0)),"Produto não encontrado"),"")</f>
        <v/>
      </c>
    </row>
    <row r="7334" spans="1:5" x14ac:dyDescent="0.3">
      <c r="A7334" s="21" t="str">
        <f t="shared" si="114"/>
        <v>.</v>
      </c>
      <c r="D7334" s="44"/>
      <c r="E7334" s="22" t="str">
        <f>IF(D7334&lt;&gt;"",IFERROR(INDEX(Produtos!$C$4:$C$4996,MATCH(D7334,Produtos!$B$4:$B$4996,0)),"Produto não encontrado"),"")</f>
        <v/>
      </c>
    </row>
    <row r="7335" spans="1:5" x14ac:dyDescent="0.3">
      <c r="A7335" s="21" t="str">
        <f t="shared" si="114"/>
        <v>.</v>
      </c>
      <c r="D7335" s="44"/>
      <c r="E7335" s="22" t="str">
        <f>IF(D7335&lt;&gt;"",IFERROR(INDEX(Produtos!$C$4:$C$4996,MATCH(D7335,Produtos!$B$4:$B$4996,0)),"Produto não encontrado"),"")</f>
        <v/>
      </c>
    </row>
    <row r="7336" spans="1:5" x14ac:dyDescent="0.3">
      <c r="A7336" s="21" t="str">
        <f t="shared" si="114"/>
        <v>.</v>
      </c>
      <c r="D7336" s="44"/>
      <c r="E7336" s="22" t="str">
        <f>IF(D7336&lt;&gt;"",IFERROR(INDEX(Produtos!$C$4:$C$4996,MATCH(D7336,Produtos!$B$4:$B$4996,0)),"Produto não encontrado"),"")</f>
        <v/>
      </c>
    </row>
    <row r="7337" spans="1:5" x14ac:dyDescent="0.3">
      <c r="A7337" s="21" t="str">
        <f t="shared" si="114"/>
        <v>.</v>
      </c>
      <c r="D7337" s="44"/>
      <c r="E7337" s="22" t="str">
        <f>IF(D7337&lt;&gt;"",IFERROR(INDEX(Produtos!$C$4:$C$4996,MATCH(D7337,Produtos!$B$4:$B$4996,0)),"Produto não encontrado"),"")</f>
        <v/>
      </c>
    </row>
    <row r="7338" spans="1:5" x14ac:dyDescent="0.3">
      <c r="A7338" s="21" t="str">
        <f t="shared" si="114"/>
        <v>.</v>
      </c>
      <c r="D7338" s="44"/>
      <c r="E7338" s="22" t="str">
        <f>IF(D7338&lt;&gt;"",IFERROR(INDEX(Produtos!$C$4:$C$4996,MATCH(D7338,Produtos!$B$4:$B$4996,0)),"Produto não encontrado"),"")</f>
        <v/>
      </c>
    </row>
    <row r="7339" spans="1:5" x14ac:dyDescent="0.3">
      <c r="A7339" s="21" t="str">
        <f t="shared" si="114"/>
        <v>.</v>
      </c>
      <c r="D7339" s="44"/>
      <c r="E7339" s="22" t="str">
        <f>IF(D7339&lt;&gt;"",IFERROR(INDEX(Produtos!$C$4:$C$4996,MATCH(D7339,Produtos!$B$4:$B$4996,0)),"Produto não encontrado"),"")</f>
        <v/>
      </c>
    </row>
    <row r="7340" spans="1:5" x14ac:dyDescent="0.3">
      <c r="A7340" s="21" t="str">
        <f t="shared" si="114"/>
        <v>.</v>
      </c>
      <c r="D7340" s="44"/>
      <c r="E7340" s="22" t="str">
        <f>IF(D7340&lt;&gt;"",IFERROR(INDEX(Produtos!$C$4:$C$4996,MATCH(D7340,Produtos!$B$4:$B$4996,0)),"Produto não encontrado"),"")</f>
        <v/>
      </c>
    </row>
    <row r="7341" spans="1:5" x14ac:dyDescent="0.3">
      <c r="A7341" s="21" t="str">
        <f t="shared" si="114"/>
        <v>.</v>
      </c>
      <c r="D7341" s="44"/>
      <c r="E7341" s="22" t="str">
        <f>IF(D7341&lt;&gt;"",IFERROR(INDEX(Produtos!$C$4:$C$4996,MATCH(D7341,Produtos!$B$4:$B$4996,0)),"Produto não encontrado"),"")</f>
        <v/>
      </c>
    </row>
    <row r="7342" spans="1:5" x14ac:dyDescent="0.3">
      <c r="A7342" s="21" t="str">
        <f t="shared" si="114"/>
        <v>.</v>
      </c>
      <c r="D7342" s="44"/>
      <c r="E7342" s="22" t="str">
        <f>IF(D7342&lt;&gt;"",IFERROR(INDEX(Produtos!$C$4:$C$4996,MATCH(D7342,Produtos!$B$4:$B$4996,0)),"Produto não encontrado"),"")</f>
        <v/>
      </c>
    </row>
    <row r="7343" spans="1:5" x14ac:dyDescent="0.3">
      <c r="A7343" s="21" t="str">
        <f t="shared" si="114"/>
        <v>.</v>
      </c>
      <c r="D7343" s="44"/>
      <c r="E7343" s="22" t="str">
        <f>IF(D7343&lt;&gt;"",IFERROR(INDEX(Produtos!$C$4:$C$4996,MATCH(D7343,Produtos!$B$4:$B$4996,0)),"Produto não encontrado"),"")</f>
        <v/>
      </c>
    </row>
    <row r="7344" spans="1:5" x14ac:dyDescent="0.3">
      <c r="A7344" s="21" t="str">
        <f t="shared" si="114"/>
        <v>.</v>
      </c>
      <c r="D7344" s="44"/>
      <c r="E7344" s="22" t="str">
        <f>IF(D7344&lt;&gt;"",IFERROR(INDEX(Produtos!$C$4:$C$4996,MATCH(D7344,Produtos!$B$4:$B$4996,0)),"Produto não encontrado"),"")</f>
        <v/>
      </c>
    </row>
    <row r="7345" spans="1:5" x14ac:dyDescent="0.3">
      <c r="A7345" s="21" t="str">
        <f t="shared" si="114"/>
        <v>.</v>
      </c>
      <c r="D7345" s="44"/>
      <c r="E7345" s="22" t="str">
        <f>IF(D7345&lt;&gt;"",IFERROR(INDEX(Produtos!$C$4:$C$4996,MATCH(D7345,Produtos!$B$4:$B$4996,0)),"Produto não encontrado"),"")</f>
        <v/>
      </c>
    </row>
    <row r="7346" spans="1:5" x14ac:dyDescent="0.3">
      <c r="A7346" s="21" t="str">
        <f t="shared" si="114"/>
        <v>.</v>
      </c>
      <c r="D7346" s="44"/>
      <c r="E7346" s="22" t="str">
        <f>IF(D7346&lt;&gt;"",IFERROR(INDEX(Produtos!$C$4:$C$4996,MATCH(D7346,Produtos!$B$4:$B$4996,0)),"Produto não encontrado"),"")</f>
        <v/>
      </c>
    </row>
    <row r="7347" spans="1:5" x14ac:dyDescent="0.3">
      <c r="A7347" s="21" t="str">
        <f t="shared" si="114"/>
        <v>.</v>
      </c>
      <c r="D7347" s="44"/>
      <c r="E7347" s="22" t="str">
        <f>IF(D7347&lt;&gt;"",IFERROR(INDEX(Produtos!$C$4:$C$4996,MATCH(D7347,Produtos!$B$4:$B$4996,0)),"Produto não encontrado"),"")</f>
        <v/>
      </c>
    </row>
    <row r="7348" spans="1:5" x14ac:dyDescent="0.3">
      <c r="A7348" s="21" t="str">
        <f t="shared" si="114"/>
        <v>.</v>
      </c>
      <c r="D7348" s="44"/>
      <c r="E7348" s="22" t="str">
        <f>IF(D7348&lt;&gt;"",IFERROR(INDEX(Produtos!$C$4:$C$4996,MATCH(D7348,Produtos!$B$4:$B$4996,0)),"Produto não encontrado"),"")</f>
        <v/>
      </c>
    </row>
    <row r="7349" spans="1:5" x14ac:dyDescent="0.3">
      <c r="A7349" s="21" t="str">
        <f t="shared" si="114"/>
        <v>.</v>
      </c>
      <c r="D7349" s="44"/>
      <c r="E7349" s="22" t="str">
        <f>IF(D7349&lt;&gt;"",IFERROR(INDEX(Produtos!$C$4:$C$4996,MATCH(D7349,Produtos!$B$4:$B$4996,0)),"Produto não encontrado"),"")</f>
        <v/>
      </c>
    </row>
    <row r="7350" spans="1:5" x14ac:dyDescent="0.3">
      <c r="A7350" s="21" t="str">
        <f t="shared" si="114"/>
        <v>.</v>
      </c>
      <c r="D7350" s="44"/>
      <c r="E7350" s="22" t="str">
        <f>IF(D7350&lt;&gt;"",IFERROR(INDEX(Produtos!$C$4:$C$4996,MATCH(D7350,Produtos!$B$4:$B$4996,0)),"Produto não encontrado"),"")</f>
        <v/>
      </c>
    </row>
    <row r="7351" spans="1:5" x14ac:dyDescent="0.3">
      <c r="A7351" s="21" t="str">
        <f t="shared" si="114"/>
        <v>.</v>
      </c>
      <c r="D7351" s="44"/>
      <c r="E7351" s="22" t="str">
        <f>IF(D7351&lt;&gt;"",IFERROR(INDEX(Produtos!$C$4:$C$4996,MATCH(D7351,Produtos!$B$4:$B$4996,0)),"Produto não encontrado"),"")</f>
        <v/>
      </c>
    </row>
    <row r="7352" spans="1:5" x14ac:dyDescent="0.3">
      <c r="A7352" s="21" t="str">
        <f t="shared" si="114"/>
        <v>.</v>
      </c>
      <c r="D7352" s="44"/>
      <c r="E7352" s="22" t="str">
        <f>IF(D7352&lt;&gt;"",IFERROR(INDEX(Produtos!$C$4:$C$4996,MATCH(D7352,Produtos!$B$4:$B$4996,0)),"Produto não encontrado"),"")</f>
        <v/>
      </c>
    </row>
    <row r="7353" spans="1:5" x14ac:dyDescent="0.3">
      <c r="A7353" s="21" t="str">
        <f t="shared" si="114"/>
        <v>.</v>
      </c>
      <c r="D7353" s="44"/>
      <c r="E7353" s="22" t="str">
        <f>IF(D7353&lt;&gt;"",IFERROR(INDEX(Produtos!$C$4:$C$4996,MATCH(D7353,Produtos!$B$4:$B$4996,0)),"Produto não encontrado"),"")</f>
        <v/>
      </c>
    </row>
    <row r="7354" spans="1:5" x14ac:dyDescent="0.3">
      <c r="A7354" s="21" t="str">
        <f t="shared" si="114"/>
        <v>.</v>
      </c>
      <c r="D7354" s="44"/>
      <c r="E7354" s="22" t="str">
        <f>IF(D7354&lt;&gt;"",IFERROR(INDEX(Produtos!$C$4:$C$4996,MATCH(D7354,Produtos!$B$4:$B$4996,0)),"Produto não encontrado"),"")</f>
        <v/>
      </c>
    </row>
    <row r="7355" spans="1:5" x14ac:dyDescent="0.3">
      <c r="A7355" s="21" t="str">
        <f t="shared" si="114"/>
        <v>.</v>
      </c>
      <c r="D7355" s="44"/>
      <c r="E7355" s="22" t="str">
        <f>IF(D7355&lt;&gt;"",IFERROR(INDEX(Produtos!$C$4:$C$4996,MATCH(D7355,Produtos!$B$4:$B$4996,0)),"Produto não encontrado"),"")</f>
        <v/>
      </c>
    </row>
    <row r="7356" spans="1:5" x14ac:dyDescent="0.3">
      <c r="A7356" s="21" t="str">
        <f t="shared" si="114"/>
        <v>.</v>
      </c>
      <c r="D7356" s="44"/>
      <c r="E7356" s="22" t="str">
        <f>IF(D7356&lt;&gt;"",IFERROR(INDEX(Produtos!$C$4:$C$4996,MATCH(D7356,Produtos!$B$4:$B$4996,0)),"Produto não encontrado"),"")</f>
        <v/>
      </c>
    </row>
    <row r="7357" spans="1:5" x14ac:dyDescent="0.3">
      <c r="A7357" s="21" t="str">
        <f t="shared" si="114"/>
        <v>.</v>
      </c>
      <c r="D7357" s="44"/>
      <c r="E7357" s="22" t="str">
        <f>IF(D7357&lt;&gt;"",IFERROR(INDEX(Produtos!$C$4:$C$4996,MATCH(D7357,Produtos!$B$4:$B$4996,0)),"Produto não encontrado"),"")</f>
        <v/>
      </c>
    </row>
    <row r="7358" spans="1:5" x14ac:dyDescent="0.3">
      <c r="A7358" s="21" t="str">
        <f t="shared" si="114"/>
        <v>.</v>
      </c>
      <c r="D7358" s="44"/>
      <c r="E7358" s="22" t="str">
        <f>IF(D7358&lt;&gt;"",IFERROR(INDEX(Produtos!$C$4:$C$4996,MATCH(D7358,Produtos!$B$4:$B$4996,0)),"Produto não encontrado"),"")</f>
        <v/>
      </c>
    </row>
    <row r="7359" spans="1:5" x14ac:dyDescent="0.3">
      <c r="A7359" s="21" t="str">
        <f t="shared" si="114"/>
        <v>.</v>
      </c>
      <c r="D7359" s="44"/>
      <c r="E7359" s="22" t="str">
        <f>IF(D7359&lt;&gt;"",IFERROR(INDEX(Produtos!$C$4:$C$4996,MATCH(D7359,Produtos!$B$4:$B$4996,0)),"Produto não encontrado"),"")</f>
        <v/>
      </c>
    </row>
    <row r="7360" spans="1:5" x14ac:dyDescent="0.3">
      <c r="A7360" s="21" t="str">
        <f t="shared" ref="A7360:A7423" si="115">IF(C7360="Entrada",2,IF(C7360="Saída",1,"."))</f>
        <v>.</v>
      </c>
      <c r="D7360" s="44"/>
      <c r="E7360" s="22" t="str">
        <f>IF(D7360&lt;&gt;"",IFERROR(INDEX(Produtos!$C$4:$C$4996,MATCH(D7360,Produtos!$B$4:$B$4996,0)),"Produto não encontrado"),"")</f>
        <v/>
      </c>
    </row>
    <row r="7361" spans="1:5" x14ac:dyDescent="0.3">
      <c r="A7361" s="21" t="str">
        <f t="shared" si="115"/>
        <v>.</v>
      </c>
      <c r="D7361" s="44"/>
      <c r="E7361" s="22" t="str">
        <f>IF(D7361&lt;&gt;"",IFERROR(INDEX(Produtos!$C$4:$C$4996,MATCH(D7361,Produtos!$B$4:$B$4996,0)),"Produto não encontrado"),"")</f>
        <v/>
      </c>
    </row>
    <row r="7362" spans="1:5" x14ac:dyDescent="0.3">
      <c r="A7362" s="21" t="str">
        <f t="shared" si="115"/>
        <v>.</v>
      </c>
      <c r="D7362" s="44"/>
      <c r="E7362" s="22" t="str">
        <f>IF(D7362&lt;&gt;"",IFERROR(INDEX(Produtos!$C$4:$C$4996,MATCH(D7362,Produtos!$B$4:$B$4996,0)),"Produto não encontrado"),"")</f>
        <v/>
      </c>
    </row>
    <row r="7363" spans="1:5" x14ac:dyDescent="0.3">
      <c r="A7363" s="21" t="str">
        <f t="shared" si="115"/>
        <v>.</v>
      </c>
      <c r="D7363" s="44"/>
      <c r="E7363" s="22" t="str">
        <f>IF(D7363&lt;&gt;"",IFERROR(INDEX(Produtos!$C$4:$C$4996,MATCH(D7363,Produtos!$B$4:$B$4996,0)),"Produto não encontrado"),"")</f>
        <v/>
      </c>
    </row>
    <row r="7364" spans="1:5" x14ac:dyDescent="0.3">
      <c r="A7364" s="21" t="str">
        <f t="shared" si="115"/>
        <v>.</v>
      </c>
      <c r="D7364" s="44"/>
      <c r="E7364" s="22" t="str">
        <f>IF(D7364&lt;&gt;"",IFERROR(INDEX(Produtos!$C$4:$C$4996,MATCH(D7364,Produtos!$B$4:$B$4996,0)),"Produto não encontrado"),"")</f>
        <v/>
      </c>
    </row>
    <row r="7365" spans="1:5" x14ac:dyDescent="0.3">
      <c r="A7365" s="21" t="str">
        <f t="shared" si="115"/>
        <v>.</v>
      </c>
      <c r="D7365" s="44"/>
      <c r="E7365" s="22" t="str">
        <f>IF(D7365&lt;&gt;"",IFERROR(INDEX(Produtos!$C$4:$C$4996,MATCH(D7365,Produtos!$B$4:$B$4996,0)),"Produto não encontrado"),"")</f>
        <v/>
      </c>
    </row>
    <row r="7366" spans="1:5" x14ac:dyDescent="0.3">
      <c r="A7366" s="21" t="str">
        <f t="shared" si="115"/>
        <v>.</v>
      </c>
      <c r="D7366" s="44"/>
      <c r="E7366" s="22" t="str">
        <f>IF(D7366&lt;&gt;"",IFERROR(INDEX(Produtos!$C$4:$C$4996,MATCH(D7366,Produtos!$B$4:$B$4996,0)),"Produto não encontrado"),"")</f>
        <v/>
      </c>
    </row>
    <row r="7367" spans="1:5" x14ac:dyDescent="0.3">
      <c r="A7367" s="21" t="str">
        <f t="shared" si="115"/>
        <v>.</v>
      </c>
      <c r="D7367" s="44"/>
      <c r="E7367" s="22" t="str">
        <f>IF(D7367&lt;&gt;"",IFERROR(INDEX(Produtos!$C$4:$C$4996,MATCH(D7367,Produtos!$B$4:$B$4996,0)),"Produto não encontrado"),"")</f>
        <v/>
      </c>
    </row>
    <row r="7368" spans="1:5" x14ac:dyDescent="0.3">
      <c r="A7368" s="21" t="str">
        <f t="shared" si="115"/>
        <v>.</v>
      </c>
      <c r="D7368" s="44"/>
      <c r="E7368" s="22" t="str">
        <f>IF(D7368&lt;&gt;"",IFERROR(INDEX(Produtos!$C$4:$C$4996,MATCH(D7368,Produtos!$B$4:$B$4996,0)),"Produto não encontrado"),"")</f>
        <v/>
      </c>
    </row>
    <row r="7369" spans="1:5" x14ac:dyDescent="0.3">
      <c r="A7369" s="21" t="str">
        <f t="shared" si="115"/>
        <v>.</v>
      </c>
      <c r="D7369" s="44"/>
      <c r="E7369" s="22" t="str">
        <f>IF(D7369&lt;&gt;"",IFERROR(INDEX(Produtos!$C$4:$C$4996,MATCH(D7369,Produtos!$B$4:$B$4996,0)),"Produto não encontrado"),"")</f>
        <v/>
      </c>
    </row>
    <row r="7370" spans="1:5" x14ac:dyDescent="0.3">
      <c r="A7370" s="21" t="str">
        <f t="shared" si="115"/>
        <v>.</v>
      </c>
      <c r="D7370" s="44"/>
      <c r="E7370" s="22" t="str">
        <f>IF(D7370&lt;&gt;"",IFERROR(INDEX(Produtos!$C$4:$C$4996,MATCH(D7370,Produtos!$B$4:$B$4996,0)),"Produto não encontrado"),"")</f>
        <v/>
      </c>
    </row>
    <row r="7371" spans="1:5" x14ac:dyDescent="0.3">
      <c r="A7371" s="21" t="str">
        <f t="shared" si="115"/>
        <v>.</v>
      </c>
      <c r="D7371" s="44"/>
      <c r="E7371" s="22" t="str">
        <f>IF(D7371&lt;&gt;"",IFERROR(INDEX(Produtos!$C$4:$C$4996,MATCH(D7371,Produtos!$B$4:$B$4996,0)),"Produto não encontrado"),"")</f>
        <v/>
      </c>
    </row>
    <row r="7372" spans="1:5" x14ac:dyDescent="0.3">
      <c r="A7372" s="21" t="str">
        <f t="shared" si="115"/>
        <v>.</v>
      </c>
      <c r="D7372" s="44"/>
      <c r="E7372" s="22" t="str">
        <f>IF(D7372&lt;&gt;"",IFERROR(INDEX(Produtos!$C$4:$C$4996,MATCH(D7372,Produtos!$B$4:$B$4996,0)),"Produto não encontrado"),"")</f>
        <v/>
      </c>
    </row>
    <row r="7373" spans="1:5" x14ac:dyDescent="0.3">
      <c r="A7373" s="21" t="str">
        <f t="shared" si="115"/>
        <v>.</v>
      </c>
      <c r="D7373" s="44"/>
      <c r="E7373" s="22" t="str">
        <f>IF(D7373&lt;&gt;"",IFERROR(INDEX(Produtos!$C$4:$C$4996,MATCH(D7373,Produtos!$B$4:$B$4996,0)),"Produto não encontrado"),"")</f>
        <v/>
      </c>
    </row>
    <row r="7374" spans="1:5" x14ac:dyDescent="0.3">
      <c r="A7374" s="21" t="str">
        <f t="shared" si="115"/>
        <v>.</v>
      </c>
      <c r="D7374" s="44"/>
      <c r="E7374" s="22" t="str">
        <f>IF(D7374&lt;&gt;"",IFERROR(INDEX(Produtos!$C$4:$C$4996,MATCH(D7374,Produtos!$B$4:$B$4996,0)),"Produto não encontrado"),"")</f>
        <v/>
      </c>
    </row>
    <row r="7375" spans="1:5" x14ac:dyDescent="0.3">
      <c r="A7375" s="21" t="str">
        <f t="shared" si="115"/>
        <v>.</v>
      </c>
      <c r="D7375" s="44"/>
      <c r="E7375" s="22" t="str">
        <f>IF(D7375&lt;&gt;"",IFERROR(INDEX(Produtos!$C$4:$C$4996,MATCH(D7375,Produtos!$B$4:$B$4996,0)),"Produto não encontrado"),"")</f>
        <v/>
      </c>
    </row>
    <row r="7376" spans="1:5" x14ac:dyDescent="0.3">
      <c r="A7376" s="21" t="str">
        <f t="shared" si="115"/>
        <v>.</v>
      </c>
      <c r="D7376" s="44"/>
      <c r="E7376" s="22" t="str">
        <f>IF(D7376&lt;&gt;"",IFERROR(INDEX(Produtos!$C$4:$C$4996,MATCH(D7376,Produtos!$B$4:$B$4996,0)),"Produto não encontrado"),"")</f>
        <v/>
      </c>
    </row>
    <row r="7377" spans="1:5" x14ac:dyDescent="0.3">
      <c r="A7377" s="21" t="str">
        <f t="shared" si="115"/>
        <v>.</v>
      </c>
      <c r="D7377" s="44"/>
      <c r="E7377" s="22" t="str">
        <f>IF(D7377&lt;&gt;"",IFERROR(INDEX(Produtos!$C$4:$C$4996,MATCH(D7377,Produtos!$B$4:$B$4996,0)),"Produto não encontrado"),"")</f>
        <v/>
      </c>
    </row>
    <row r="7378" spans="1:5" x14ac:dyDescent="0.3">
      <c r="A7378" s="21" t="str">
        <f t="shared" si="115"/>
        <v>.</v>
      </c>
      <c r="D7378" s="44"/>
      <c r="E7378" s="22" t="str">
        <f>IF(D7378&lt;&gt;"",IFERROR(INDEX(Produtos!$C$4:$C$4996,MATCH(D7378,Produtos!$B$4:$B$4996,0)),"Produto não encontrado"),"")</f>
        <v/>
      </c>
    </row>
    <row r="7379" spans="1:5" x14ac:dyDescent="0.3">
      <c r="A7379" s="21" t="str">
        <f t="shared" si="115"/>
        <v>.</v>
      </c>
      <c r="D7379" s="44"/>
      <c r="E7379" s="22" t="str">
        <f>IF(D7379&lt;&gt;"",IFERROR(INDEX(Produtos!$C$4:$C$4996,MATCH(D7379,Produtos!$B$4:$B$4996,0)),"Produto não encontrado"),"")</f>
        <v/>
      </c>
    </row>
    <row r="7380" spans="1:5" x14ac:dyDescent="0.3">
      <c r="A7380" s="21" t="str">
        <f t="shared" si="115"/>
        <v>.</v>
      </c>
      <c r="D7380" s="44"/>
      <c r="E7380" s="22" t="str">
        <f>IF(D7380&lt;&gt;"",IFERROR(INDEX(Produtos!$C$4:$C$4996,MATCH(D7380,Produtos!$B$4:$B$4996,0)),"Produto não encontrado"),"")</f>
        <v/>
      </c>
    </row>
    <row r="7381" spans="1:5" x14ac:dyDescent="0.3">
      <c r="A7381" s="21" t="str">
        <f t="shared" si="115"/>
        <v>.</v>
      </c>
      <c r="D7381" s="44"/>
      <c r="E7381" s="22" t="str">
        <f>IF(D7381&lt;&gt;"",IFERROR(INDEX(Produtos!$C$4:$C$4996,MATCH(D7381,Produtos!$B$4:$B$4996,0)),"Produto não encontrado"),"")</f>
        <v/>
      </c>
    </row>
    <row r="7382" spans="1:5" x14ac:dyDescent="0.3">
      <c r="A7382" s="21" t="str">
        <f t="shared" si="115"/>
        <v>.</v>
      </c>
      <c r="D7382" s="44"/>
      <c r="E7382" s="22" t="str">
        <f>IF(D7382&lt;&gt;"",IFERROR(INDEX(Produtos!$C$4:$C$4996,MATCH(D7382,Produtos!$B$4:$B$4996,0)),"Produto não encontrado"),"")</f>
        <v/>
      </c>
    </row>
    <row r="7383" spans="1:5" x14ac:dyDescent="0.3">
      <c r="A7383" s="21" t="str">
        <f t="shared" si="115"/>
        <v>.</v>
      </c>
      <c r="D7383" s="44"/>
      <c r="E7383" s="22" t="str">
        <f>IF(D7383&lt;&gt;"",IFERROR(INDEX(Produtos!$C$4:$C$4996,MATCH(D7383,Produtos!$B$4:$B$4996,0)),"Produto não encontrado"),"")</f>
        <v/>
      </c>
    </row>
    <row r="7384" spans="1:5" x14ac:dyDescent="0.3">
      <c r="A7384" s="21" t="str">
        <f t="shared" si="115"/>
        <v>.</v>
      </c>
      <c r="D7384" s="44"/>
      <c r="E7384" s="22" t="str">
        <f>IF(D7384&lt;&gt;"",IFERROR(INDEX(Produtos!$C$4:$C$4996,MATCH(D7384,Produtos!$B$4:$B$4996,0)),"Produto não encontrado"),"")</f>
        <v/>
      </c>
    </row>
    <row r="7385" spans="1:5" x14ac:dyDescent="0.3">
      <c r="A7385" s="21" t="str">
        <f t="shared" si="115"/>
        <v>.</v>
      </c>
      <c r="D7385" s="44"/>
      <c r="E7385" s="22" t="str">
        <f>IF(D7385&lt;&gt;"",IFERROR(INDEX(Produtos!$C$4:$C$4996,MATCH(D7385,Produtos!$B$4:$B$4996,0)),"Produto não encontrado"),"")</f>
        <v/>
      </c>
    </row>
    <row r="7386" spans="1:5" x14ac:dyDescent="0.3">
      <c r="A7386" s="21" t="str">
        <f t="shared" si="115"/>
        <v>.</v>
      </c>
      <c r="D7386" s="44"/>
      <c r="E7386" s="22" t="str">
        <f>IF(D7386&lt;&gt;"",IFERROR(INDEX(Produtos!$C$4:$C$4996,MATCH(D7386,Produtos!$B$4:$B$4996,0)),"Produto não encontrado"),"")</f>
        <v/>
      </c>
    </row>
    <row r="7387" spans="1:5" x14ac:dyDescent="0.3">
      <c r="A7387" s="21" t="str">
        <f t="shared" si="115"/>
        <v>.</v>
      </c>
      <c r="D7387" s="44"/>
      <c r="E7387" s="22" t="str">
        <f>IF(D7387&lt;&gt;"",IFERROR(INDEX(Produtos!$C$4:$C$4996,MATCH(D7387,Produtos!$B$4:$B$4996,0)),"Produto não encontrado"),"")</f>
        <v/>
      </c>
    </row>
    <row r="7388" spans="1:5" x14ac:dyDescent="0.3">
      <c r="A7388" s="21" t="str">
        <f t="shared" si="115"/>
        <v>.</v>
      </c>
      <c r="D7388" s="44"/>
      <c r="E7388" s="22" t="str">
        <f>IF(D7388&lt;&gt;"",IFERROR(INDEX(Produtos!$C$4:$C$4996,MATCH(D7388,Produtos!$B$4:$B$4996,0)),"Produto não encontrado"),"")</f>
        <v/>
      </c>
    </row>
    <row r="7389" spans="1:5" x14ac:dyDescent="0.3">
      <c r="A7389" s="21" t="str">
        <f t="shared" si="115"/>
        <v>.</v>
      </c>
      <c r="D7389" s="44"/>
      <c r="E7389" s="22" t="str">
        <f>IF(D7389&lt;&gt;"",IFERROR(INDEX(Produtos!$C$4:$C$4996,MATCH(D7389,Produtos!$B$4:$B$4996,0)),"Produto não encontrado"),"")</f>
        <v/>
      </c>
    </row>
    <row r="7390" spans="1:5" x14ac:dyDescent="0.3">
      <c r="A7390" s="21" t="str">
        <f t="shared" si="115"/>
        <v>.</v>
      </c>
      <c r="D7390" s="44"/>
      <c r="E7390" s="22" t="str">
        <f>IF(D7390&lt;&gt;"",IFERROR(INDEX(Produtos!$C$4:$C$4996,MATCH(D7390,Produtos!$B$4:$B$4996,0)),"Produto não encontrado"),"")</f>
        <v/>
      </c>
    </row>
    <row r="7391" spans="1:5" x14ac:dyDescent="0.3">
      <c r="A7391" s="21" t="str">
        <f t="shared" si="115"/>
        <v>.</v>
      </c>
      <c r="D7391" s="44"/>
      <c r="E7391" s="22" t="str">
        <f>IF(D7391&lt;&gt;"",IFERROR(INDEX(Produtos!$C$4:$C$4996,MATCH(D7391,Produtos!$B$4:$B$4996,0)),"Produto não encontrado"),"")</f>
        <v/>
      </c>
    </row>
    <row r="7392" spans="1:5" x14ac:dyDescent="0.3">
      <c r="A7392" s="21" t="str">
        <f t="shared" si="115"/>
        <v>.</v>
      </c>
      <c r="D7392" s="44"/>
      <c r="E7392" s="22" t="str">
        <f>IF(D7392&lt;&gt;"",IFERROR(INDEX(Produtos!$C$4:$C$4996,MATCH(D7392,Produtos!$B$4:$B$4996,0)),"Produto não encontrado"),"")</f>
        <v/>
      </c>
    </row>
    <row r="7393" spans="1:5" x14ac:dyDescent="0.3">
      <c r="A7393" s="21" t="str">
        <f t="shared" si="115"/>
        <v>.</v>
      </c>
      <c r="D7393" s="44"/>
      <c r="E7393" s="22" t="str">
        <f>IF(D7393&lt;&gt;"",IFERROR(INDEX(Produtos!$C$4:$C$4996,MATCH(D7393,Produtos!$B$4:$B$4996,0)),"Produto não encontrado"),"")</f>
        <v/>
      </c>
    </row>
    <row r="7394" spans="1:5" x14ac:dyDescent="0.3">
      <c r="A7394" s="21" t="str">
        <f t="shared" si="115"/>
        <v>.</v>
      </c>
      <c r="D7394" s="44"/>
      <c r="E7394" s="22" t="str">
        <f>IF(D7394&lt;&gt;"",IFERROR(INDEX(Produtos!$C$4:$C$4996,MATCH(D7394,Produtos!$B$4:$B$4996,0)),"Produto não encontrado"),"")</f>
        <v/>
      </c>
    </row>
    <row r="7395" spans="1:5" x14ac:dyDescent="0.3">
      <c r="A7395" s="21" t="str">
        <f t="shared" si="115"/>
        <v>.</v>
      </c>
      <c r="D7395" s="44"/>
      <c r="E7395" s="22" t="str">
        <f>IF(D7395&lt;&gt;"",IFERROR(INDEX(Produtos!$C$4:$C$4996,MATCH(D7395,Produtos!$B$4:$B$4996,0)),"Produto não encontrado"),"")</f>
        <v/>
      </c>
    </row>
    <row r="7396" spans="1:5" x14ac:dyDescent="0.3">
      <c r="A7396" s="21" t="str">
        <f t="shared" si="115"/>
        <v>.</v>
      </c>
      <c r="D7396" s="44"/>
      <c r="E7396" s="22" t="str">
        <f>IF(D7396&lt;&gt;"",IFERROR(INDEX(Produtos!$C$4:$C$4996,MATCH(D7396,Produtos!$B$4:$B$4996,0)),"Produto não encontrado"),"")</f>
        <v/>
      </c>
    </row>
    <row r="7397" spans="1:5" x14ac:dyDescent="0.3">
      <c r="A7397" s="21" t="str">
        <f t="shared" si="115"/>
        <v>.</v>
      </c>
      <c r="D7397" s="44"/>
      <c r="E7397" s="22" t="str">
        <f>IF(D7397&lt;&gt;"",IFERROR(INDEX(Produtos!$C$4:$C$4996,MATCH(D7397,Produtos!$B$4:$B$4996,0)),"Produto não encontrado"),"")</f>
        <v/>
      </c>
    </row>
    <row r="7398" spans="1:5" x14ac:dyDescent="0.3">
      <c r="A7398" s="21" t="str">
        <f t="shared" si="115"/>
        <v>.</v>
      </c>
      <c r="D7398" s="44"/>
      <c r="E7398" s="22" t="str">
        <f>IF(D7398&lt;&gt;"",IFERROR(INDEX(Produtos!$C$4:$C$4996,MATCH(D7398,Produtos!$B$4:$B$4996,0)),"Produto não encontrado"),"")</f>
        <v/>
      </c>
    </row>
    <row r="7399" spans="1:5" x14ac:dyDescent="0.3">
      <c r="A7399" s="21" t="str">
        <f t="shared" si="115"/>
        <v>.</v>
      </c>
      <c r="D7399" s="44"/>
      <c r="E7399" s="22" t="str">
        <f>IF(D7399&lt;&gt;"",IFERROR(INDEX(Produtos!$C$4:$C$4996,MATCH(D7399,Produtos!$B$4:$B$4996,0)),"Produto não encontrado"),"")</f>
        <v/>
      </c>
    </row>
    <row r="7400" spans="1:5" x14ac:dyDescent="0.3">
      <c r="A7400" s="21" t="str">
        <f t="shared" si="115"/>
        <v>.</v>
      </c>
      <c r="D7400" s="44"/>
      <c r="E7400" s="22" t="str">
        <f>IF(D7400&lt;&gt;"",IFERROR(INDEX(Produtos!$C$4:$C$4996,MATCH(D7400,Produtos!$B$4:$B$4996,0)),"Produto não encontrado"),"")</f>
        <v/>
      </c>
    </row>
    <row r="7401" spans="1:5" x14ac:dyDescent="0.3">
      <c r="A7401" s="21" t="str">
        <f t="shared" si="115"/>
        <v>.</v>
      </c>
      <c r="D7401" s="44"/>
      <c r="E7401" s="22" t="str">
        <f>IF(D7401&lt;&gt;"",IFERROR(INDEX(Produtos!$C$4:$C$4996,MATCH(D7401,Produtos!$B$4:$B$4996,0)),"Produto não encontrado"),"")</f>
        <v/>
      </c>
    </row>
    <row r="7402" spans="1:5" x14ac:dyDescent="0.3">
      <c r="A7402" s="21" t="str">
        <f t="shared" si="115"/>
        <v>.</v>
      </c>
      <c r="D7402" s="44"/>
      <c r="E7402" s="22" t="str">
        <f>IF(D7402&lt;&gt;"",IFERROR(INDEX(Produtos!$C$4:$C$4996,MATCH(D7402,Produtos!$B$4:$B$4996,0)),"Produto não encontrado"),"")</f>
        <v/>
      </c>
    </row>
    <row r="7403" spans="1:5" x14ac:dyDescent="0.3">
      <c r="A7403" s="21" t="str">
        <f t="shared" si="115"/>
        <v>.</v>
      </c>
      <c r="D7403" s="44"/>
      <c r="E7403" s="22" t="str">
        <f>IF(D7403&lt;&gt;"",IFERROR(INDEX(Produtos!$C$4:$C$4996,MATCH(D7403,Produtos!$B$4:$B$4996,0)),"Produto não encontrado"),"")</f>
        <v/>
      </c>
    </row>
    <row r="7404" spans="1:5" x14ac:dyDescent="0.3">
      <c r="A7404" s="21" t="str">
        <f t="shared" si="115"/>
        <v>.</v>
      </c>
      <c r="D7404" s="44"/>
      <c r="E7404" s="22" t="str">
        <f>IF(D7404&lt;&gt;"",IFERROR(INDEX(Produtos!$C$4:$C$4996,MATCH(D7404,Produtos!$B$4:$B$4996,0)),"Produto não encontrado"),"")</f>
        <v/>
      </c>
    </row>
    <row r="7405" spans="1:5" x14ac:dyDescent="0.3">
      <c r="A7405" s="21" t="str">
        <f t="shared" si="115"/>
        <v>.</v>
      </c>
      <c r="D7405" s="44"/>
      <c r="E7405" s="22" t="str">
        <f>IF(D7405&lt;&gt;"",IFERROR(INDEX(Produtos!$C$4:$C$4996,MATCH(D7405,Produtos!$B$4:$B$4996,0)),"Produto não encontrado"),"")</f>
        <v/>
      </c>
    </row>
    <row r="7406" spans="1:5" x14ac:dyDescent="0.3">
      <c r="A7406" s="21" t="str">
        <f t="shared" si="115"/>
        <v>.</v>
      </c>
      <c r="D7406" s="44"/>
      <c r="E7406" s="22" t="str">
        <f>IF(D7406&lt;&gt;"",IFERROR(INDEX(Produtos!$C$4:$C$4996,MATCH(D7406,Produtos!$B$4:$B$4996,0)),"Produto não encontrado"),"")</f>
        <v/>
      </c>
    </row>
    <row r="7407" spans="1:5" x14ac:dyDescent="0.3">
      <c r="A7407" s="21" t="str">
        <f t="shared" si="115"/>
        <v>.</v>
      </c>
      <c r="D7407" s="44"/>
      <c r="E7407" s="22" t="str">
        <f>IF(D7407&lt;&gt;"",IFERROR(INDEX(Produtos!$C$4:$C$4996,MATCH(D7407,Produtos!$B$4:$B$4996,0)),"Produto não encontrado"),"")</f>
        <v/>
      </c>
    </row>
    <row r="7408" spans="1:5" x14ac:dyDescent="0.3">
      <c r="A7408" s="21" t="str">
        <f t="shared" si="115"/>
        <v>.</v>
      </c>
      <c r="D7408" s="44"/>
      <c r="E7408" s="22" t="str">
        <f>IF(D7408&lt;&gt;"",IFERROR(INDEX(Produtos!$C$4:$C$4996,MATCH(D7408,Produtos!$B$4:$B$4996,0)),"Produto não encontrado"),"")</f>
        <v/>
      </c>
    </row>
    <row r="7409" spans="1:5" x14ac:dyDescent="0.3">
      <c r="A7409" s="21" t="str">
        <f t="shared" si="115"/>
        <v>.</v>
      </c>
      <c r="D7409" s="44"/>
      <c r="E7409" s="22" t="str">
        <f>IF(D7409&lt;&gt;"",IFERROR(INDEX(Produtos!$C$4:$C$4996,MATCH(D7409,Produtos!$B$4:$B$4996,0)),"Produto não encontrado"),"")</f>
        <v/>
      </c>
    </row>
    <row r="7410" spans="1:5" x14ac:dyDescent="0.3">
      <c r="A7410" s="21" t="str">
        <f t="shared" si="115"/>
        <v>.</v>
      </c>
      <c r="D7410" s="44"/>
      <c r="E7410" s="22" t="str">
        <f>IF(D7410&lt;&gt;"",IFERROR(INDEX(Produtos!$C$4:$C$4996,MATCH(D7410,Produtos!$B$4:$B$4996,0)),"Produto não encontrado"),"")</f>
        <v/>
      </c>
    </row>
    <row r="7411" spans="1:5" x14ac:dyDescent="0.3">
      <c r="A7411" s="21" t="str">
        <f t="shared" si="115"/>
        <v>.</v>
      </c>
      <c r="D7411" s="44"/>
      <c r="E7411" s="22" t="str">
        <f>IF(D7411&lt;&gt;"",IFERROR(INDEX(Produtos!$C$4:$C$4996,MATCH(D7411,Produtos!$B$4:$B$4996,0)),"Produto não encontrado"),"")</f>
        <v/>
      </c>
    </row>
    <row r="7412" spans="1:5" x14ac:dyDescent="0.3">
      <c r="A7412" s="21" t="str">
        <f t="shared" si="115"/>
        <v>.</v>
      </c>
      <c r="D7412" s="44"/>
      <c r="E7412" s="22" t="str">
        <f>IF(D7412&lt;&gt;"",IFERROR(INDEX(Produtos!$C$4:$C$4996,MATCH(D7412,Produtos!$B$4:$B$4996,0)),"Produto não encontrado"),"")</f>
        <v/>
      </c>
    </row>
    <row r="7413" spans="1:5" x14ac:dyDescent="0.3">
      <c r="A7413" s="21" t="str">
        <f t="shared" si="115"/>
        <v>.</v>
      </c>
      <c r="D7413" s="44"/>
      <c r="E7413" s="22" t="str">
        <f>IF(D7413&lt;&gt;"",IFERROR(INDEX(Produtos!$C$4:$C$4996,MATCH(D7413,Produtos!$B$4:$B$4996,0)),"Produto não encontrado"),"")</f>
        <v/>
      </c>
    </row>
    <row r="7414" spans="1:5" x14ac:dyDescent="0.3">
      <c r="A7414" s="21" t="str">
        <f t="shared" si="115"/>
        <v>.</v>
      </c>
      <c r="D7414" s="44"/>
      <c r="E7414" s="22" t="str">
        <f>IF(D7414&lt;&gt;"",IFERROR(INDEX(Produtos!$C$4:$C$4996,MATCH(D7414,Produtos!$B$4:$B$4996,0)),"Produto não encontrado"),"")</f>
        <v/>
      </c>
    </row>
    <row r="7415" spans="1:5" x14ac:dyDescent="0.3">
      <c r="A7415" s="21" t="str">
        <f t="shared" si="115"/>
        <v>.</v>
      </c>
      <c r="D7415" s="44"/>
      <c r="E7415" s="22" t="str">
        <f>IF(D7415&lt;&gt;"",IFERROR(INDEX(Produtos!$C$4:$C$4996,MATCH(D7415,Produtos!$B$4:$B$4996,0)),"Produto não encontrado"),"")</f>
        <v/>
      </c>
    </row>
    <row r="7416" spans="1:5" x14ac:dyDescent="0.3">
      <c r="A7416" s="21" t="str">
        <f t="shared" si="115"/>
        <v>.</v>
      </c>
      <c r="D7416" s="44"/>
      <c r="E7416" s="22" t="str">
        <f>IF(D7416&lt;&gt;"",IFERROR(INDEX(Produtos!$C$4:$C$4996,MATCH(D7416,Produtos!$B$4:$B$4996,0)),"Produto não encontrado"),"")</f>
        <v/>
      </c>
    </row>
    <row r="7417" spans="1:5" x14ac:dyDescent="0.3">
      <c r="A7417" s="21" t="str">
        <f t="shared" si="115"/>
        <v>.</v>
      </c>
      <c r="D7417" s="44"/>
      <c r="E7417" s="22" t="str">
        <f>IF(D7417&lt;&gt;"",IFERROR(INDEX(Produtos!$C$4:$C$4996,MATCH(D7417,Produtos!$B$4:$B$4996,0)),"Produto não encontrado"),"")</f>
        <v/>
      </c>
    </row>
    <row r="7418" spans="1:5" x14ac:dyDescent="0.3">
      <c r="A7418" s="21" t="str">
        <f t="shared" si="115"/>
        <v>.</v>
      </c>
      <c r="D7418" s="44"/>
      <c r="E7418" s="22" t="str">
        <f>IF(D7418&lt;&gt;"",IFERROR(INDEX(Produtos!$C$4:$C$4996,MATCH(D7418,Produtos!$B$4:$B$4996,0)),"Produto não encontrado"),"")</f>
        <v/>
      </c>
    </row>
    <row r="7419" spans="1:5" x14ac:dyDescent="0.3">
      <c r="A7419" s="21" t="str">
        <f t="shared" si="115"/>
        <v>.</v>
      </c>
      <c r="D7419" s="44"/>
      <c r="E7419" s="22" t="str">
        <f>IF(D7419&lt;&gt;"",IFERROR(INDEX(Produtos!$C$4:$C$4996,MATCH(D7419,Produtos!$B$4:$B$4996,0)),"Produto não encontrado"),"")</f>
        <v/>
      </c>
    </row>
    <row r="7420" spans="1:5" x14ac:dyDescent="0.3">
      <c r="A7420" s="21" t="str">
        <f t="shared" si="115"/>
        <v>.</v>
      </c>
      <c r="D7420" s="44"/>
      <c r="E7420" s="22" t="str">
        <f>IF(D7420&lt;&gt;"",IFERROR(INDEX(Produtos!$C$4:$C$4996,MATCH(D7420,Produtos!$B$4:$B$4996,0)),"Produto não encontrado"),"")</f>
        <v/>
      </c>
    </row>
    <row r="7421" spans="1:5" x14ac:dyDescent="0.3">
      <c r="A7421" s="21" t="str">
        <f t="shared" si="115"/>
        <v>.</v>
      </c>
      <c r="D7421" s="44"/>
      <c r="E7421" s="22" t="str">
        <f>IF(D7421&lt;&gt;"",IFERROR(INDEX(Produtos!$C$4:$C$4996,MATCH(D7421,Produtos!$B$4:$B$4996,0)),"Produto não encontrado"),"")</f>
        <v/>
      </c>
    </row>
    <row r="7422" spans="1:5" x14ac:dyDescent="0.3">
      <c r="A7422" s="21" t="str">
        <f t="shared" si="115"/>
        <v>.</v>
      </c>
      <c r="D7422" s="44"/>
      <c r="E7422" s="22" t="str">
        <f>IF(D7422&lt;&gt;"",IFERROR(INDEX(Produtos!$C$4:$C$4996,MATCH(D7422,Produtos!$B$4:$B$4996,0)),"Produto não encontrado"),"")</f>
        <v/>
      </c>
    </row>
    <row r="7423" spans="1:5" x14ac:dyDescent="0.3">
      <c r="A7423" s="21" t="str">
        <f t="shared" si="115"/>
        <v>.</v>
      </c>
      <c r="D7423" s="44"/>
      <c r="E7423" s="22" t="str">
        <f>IF(D7423&lt;&gt;"",IFERROR(INDEX(Produtos!$C$4:$C$4996,MATCH(D7423,Produtos!$B$4:$B$4996,0)),"Produto não encontrado"),"")</f>
        <v/>
      </c>
    </row>
    <row r="7424" spans="1:5" x14ac:dyDescent="0.3">
      <c r="A7424" s="21" t="str">
        <f t="shared" ref="A7424:A7487" si="116">IF(C7424="Entrada",2,IF(C7424="Saída",1,"."))</f>
        <v>.</v>
      </c>
      <c r="D7424" s="44"/>
      <c r="E7424" s="22" t="str">
        <f>IF(D7424&lt;&gt;"",IFERROR(INDEX(Produtos!$C$4:$C$4996,MATCH(D7424,Produtos!$B$4:$B$4996,0)),"Produto não encontrado"),"")</f>
        <v/>
      </c>
    </row>
    <row r="7425" spans="1:5" x14ac:dyDescent="0.3">
      <c r="A7425" s="21" t="str">
        <f t="shared" si="116"/>
        <v>.</v>
      </c>
      <c r="D7425" s="44"/>
      <c r="E7425" s="22" t="str">
        <f>IF(D7425&lt;&gt;"",IFERROR(INDEX(Produtos!$C$4:$C$4996,MATCH(D7425,Produtos!$B$4:$B$4996,0)),"Produto não encontrado"),"")</f>
        <v/>
      </c>
    </row>
    <row r="7426" spans="1:5" x14ac:dyDescent="0.3">
      <c r="A7426" s="21" t="str">
        <f t="shared" si="116"/>
        <v>.</v>
      </c>
      <c r="D7426" s="44"/>
      <c r="E7426" s="22" t="str">
        <f>IF(D7426&lt;&gt;"",IFERROR(INDEX(Produtos!$C$4:$C$4996,MATCH(D7426,Produtos!$B$4:$B$4996,0)),"Produto não encontrado"),"")</f>
        <v/>
      </c>
    </row>
    <row r="7427" spans="1:5" x14ac:dyDescent="0.3">
      <c r="A7427" s="21" t="str">
        <f t="shared" si="116"/>
        <v>.</v>
      </c>
      <c r="D7427" s="44"/>
      <c r="E7427" s="22" t="str">
        <f>IF(D7427&lt;&gt;"",IFERROR(INDEX(Produtos!$C$4:$C$4996,MATCH(D7427,Produtos!$B$4:$B$4996,0)),"Produto não encontrado"),"")</f>
        <v/>
      </c>
    </row>
    <row r="7428" spans="1:5" x14ac:dyDescent="0.3">
      <c r="A7428" s="21" t="str">
        <f t="shared" si="116"/>
        <v>.</v>
      </c>
      <c r="D7428" s="44"/>
      <c r="E7428" s="22" t="str">
        <f>IF(D7428&lt;&gt;"",IFERROR(INDEX(Produtos!$C$4:$C$4996,MATCH(D7428,Produtos!$B$4:$B$4996,0)),"Produto não encontrado"),"")</f>
        <v/>
      </c>
    </row>
    <row r="7429" spans="1:5" x14ac:dyDescent="0.3">
      <c r="A7429" s="21" t="str">
        <f t="shared" si="116"/>
        <v>.</v>
      </c>
      <c r="D7429" s="44"/>
      <c r="E7429" s="22" t="str">
        <f>IF(D7429&lt;&gt;"",IFERROR(INDEX(Produtos!$C$4:$C$4996,MATCH(D7429,Produtos!$B$4:$B$4996,0)),"Produto não encontrado"),"")</f>
        <v/>
      </c>
    </row>
    <row r="7430" spans="1:5" x14ac:dyDescent="0.3">
      <c r="A7430" s="21" t="str">
        <f t="shared" si="116"/>
        <v>.</v>
      </c>
      <c r="D7430" s="44"/>
      <c r="E7430" s="22" t="str">
        <f>IF(D7430&lt;&gt;"",IFERROR(INDEX(Produtos!$C$4:$C$4996,MATCH(D7430,Produtos!$B$4:$B$4996,0)),"Produto não encontrado"),"")</f>
        <v/>
      </c>
    </row>
    <row r="7431" spans="1:5" x14ac:dyDescent="0.3">
      <c r="A7431" s="21" t="str">
        <f t="shared" si="116"/>
        <v>.</v>
      </c>
      <c r="D7431" s="44"/>
      <c r="E7431" s="22" t="str">
        <f>IF(D7431&lt;&gt;"",IFERROR(INDEX(Produtos!$C$4:$C$4996,MATCH(D7431,Produtos!$B$4:$B$4996,0)),"Produto não encontrado"),"")</f>
        <v/>
      </c>
    </row>
    <row r="7432" spans="1:5" x14ac:dyDescent="0.3">
      <c r="A7432" s="21" t="str">
        <f t="shared" si="116"/>
        <v>.</v>
      </c>
      <c r="D7432" s="44"/>
      <c r="E7432" s="22" t="str">
        <f>IF(D7432&lt;&gt;"",IFERROR(INDEX(Produtos!$C$4:$C$4996,MATCH(D7432,Produtos!$B$4:$B$4996,0)),"Produto não encontrado"),"")</f>
        <v/>
      </c>
    </row>
    <row r="7433" spans="1:5" x14ac:dyDescent="0.3">
      <c r="A7433" s="21" t="str">
        <f t="shared" si="116"/>
        <v>.</v>
      </c>
      <c r="D7433" s="44"/>
      <c r="E7433" s="22" t="str">
        <f>IF(D7433&lt;&gt;"",IFERROR(INDEX(Produtos!$C$4:$C$4996,MATCH(D7433,Produtos!$B$4:$B$4996,0)),"Produto não encontrado"),"")</f>
        <v/>
      </c>
    </row>
    <row r="7434" spans="1:5" x14ac:dyDescent="0.3">
      <c r="A7434" s="21" t="str">
        <f t="shared" si="116"/>
        <v>.</v>
      </c>
      <c r="D7434" s="44"/>
      <c r="E7434" s="22" t="str">
        <f>IF(D7434&lt;&gt;"",IFERROR(INDEX(Produtos!$C$4:$C$4996,MATCH(D7434,Produtos!$B$4:$B$4996,0)),"Produto não encontrado"),"")</f>
        <v/>
      </c>
    </row>
    <row r="7435" spans="1:5" x14ac:dyDescent="0.3">
      <c r="A7435" s="21" t="str">
        <f t="shared" si="116"/>
        <v>.</v>
      </c>
      <c r="D7435" s="44"/>
      <c r="E7435" s="22" t="str">
        <f>IF(D7435&lt;&gt;"",IFERROR(INDEX(Produtos!$C$4:$C$4996,MATCH(D7435,Produtos!$B$4:$B$4996,0)),"Produto não encontrado"),"")</f>
        <v/>
      </c>
    </row>
    <row r="7436" spans="1:5" x14ac:dyDescent="0.3">
      <c r="A7436" s="21" t="str">
        <f t="shared" si="116"/>
        <v>.</v>
      </c>
      <c r="D7436" s="44"/>
      <c r="E7436" s="22" t="str">
        <f>IF(D7436&lt;&gt;"",IFERROR(INDEX(Produtos!$C$4:$C$4996,MATCH(D7436,Produtos!$B$4:$B$4996,0)),"Produto não encontrado"),"")</f>
        <v/>
      </c>
    </row>
    <row r="7437" spans="1:5" x14ac:dyDescent="0.3">
      <c r="A7437" s="21" t="str">
        <f t="shared" si="116"/>
        <v>.</v>
      </c>
      <c r="D7437" s="44"/>
      <c r="E7437" s="22" t="str">
        <f>IF(D7437&lt;&gt;"",IFERROR(INDEX(Produtos!$C$4:$C$4996,MATCH(D7437,Produtos!$B$4:$B$4996,0)),"Produto não encontrado"),"")</f>
        <v/>
      </c>
    </row>
    <row r="7438" spans="1:5" x14ac:dyDescent="0.3">
      <c r="A7438" s="21" t="str">
        <f t="shared" si="116"/>
        <v>.</v>
      </c>
      <c r="D7438" s="44"/>
      <c r="E7438" s="22" t="str">
        <f>IF(D7438&lt;&gt;"",IFERROR(INDEX(Produtos!$C$4:$C$4996,MATCH(D7438,Produtos!$B$4:$B$4996,0)),"Produto não encontrado"),"")</f>
        <v/>
      </c>
    </row>
    <row r="7439" spans="1:5" x14ac:dyDescent="0.3">
      <c r="A7439" s="21" t="str">
        <f t="shared" si="116"/>
        <v>.</v>
      </c>
      <c r="D7439" s="44"/>
      <c r="E7439" s="22" t="str">
        <f>IF(D7439&lt;&gt;"",IFERROR(INDEX(Produtos!$C$4:$C$4996,MATCH(D7439,Produtos!$B$4:$B$4996,0)),"Produto não encontrado"),"")</f>
        <v/>
      </c>
    </row>
    <row r="7440" spans="1:5" x14ac:dyDescent="0.3">
      <c r="A7440" s="21" t="str">
        <f t="shared" si="116"/>
        <v>.</v>
      </c>
      <c r="D7440" s="44"/>
      <c r="E7440" s="22" t="str">
        <f>IF(D7440&lt;&gt;"",IFERROR(INDEX(Produtos!$C$4:$C$4996,MATCH(D7440,Produtos!$B$4:$B$4996,0)),"Produto não encontrado"),"")</f>
        <v/>
      </c>
    </row>
    <row r="7441" spans="1:5" x14ac:dyDescent="0.3">
      <c r="A7441" s="21" t="str">
        <f t="shared" si="116"/>
        <v>.</v>
      </c>
      <c r="D7441" s="44"/>
      <c r="E7441" s="22" t="str">
        <f>IF(D7441&lt;&gt;"",IFERROR(INDEX(Produtos!$C$4:$C$4996,MATCH(D7441,Produtos!$B$4:$B$4996,0)),"Produto não encontrado"),"")</f>
        <v/>
      </c>
    </row>
    <row r="7442" spans="1:5" x14ac:dyDescent="0.3">
      <c r="A7442" s="21" t="str">
        <f t="shared" si="116"/>
        <v>.</v>
      </c>
      <c r="D7442" s="44"/>
      <c r="E7442" s="22" t="str">
        <f>IF(D7442&lt;&gt;"",IFERROR(INDEX(Produtos!$C$4:$C$4996,MATCH(D7442,Produtos!$B$4:$B$4996,0)),"Produto não encontrado"),"")</f>
        <v/>
      </c>
    </row>
    <row r="7443" spans="1:5" x14ac:dyDescent="0.3">
      <c r="A7443" s="21" t="str">
        <f t="shared" si="116"/>
        <v>.</v>
      </c>
      <c r="D7443" s="44"/>
      <c r="E7443" s="22" t="str">
        <f>IF(D7443&lt;&gt;"",IFERROR(INDEX(Produtos!$C$4:$C$4996,MATCH(D7443,Produtos!$B$4:$B$4996,0)),"Produto não encontrado"),"")</f>
        <v/>
      </c>
    </row>
    <row r="7444" spans="1:5" x14ac:dyDescent="0.3">
      <c r="A7444" s="21" t="str">
        <f t="shared" si="116"/>
        <v>.</v>
      </c>
      <c r="D7444" s="44"/>
      <c r="E7444" s="22" t="str">
        <f>IF(D7444&lt;&gt;"",IFERROR(INDEX(Produtos!$C$4:$C$4996,MATCH(D7444,Produtos!$B$4:$B$4996,0)),"Produto não encontrado"),"")</f>
        <v/>
      </c>
    </row>
    <row r="7445" spans="1:5" x14ac:dyDescent="0.3">
      <c r="A7445" s="21" t="str">
        <f t="shared" si="116"/>
        <v>.</v>
      </c>
      <c r="D7445" s="44"/>
      <c r="E7445" s="22" t="str">
        <f>IF(D7445&lt;&gt;"",IFERROR(INDEX(Produtos!$C$4:$C$4996,MATCH(D7445,Produtos!$B$4:$B$4996,0)),"Produto não encontrado"),"")</f>
        <v/>
      </c>
    </row>
    <row r="7446" spans="1:5" x14ac:dyDescent="0.3">
      <c r="A7446" s="21" t="str">
        <f t="shared" si="116"/>
        <v>.</v>
      </c>
      <c r="D7446" s="44"/>
      <c r="E7446" s="22" t="str">
        <f>IF(D7446&lt;&gt;"",IFERROR(INDEX(Produtos!$C$4:$C$4996,MATCH(D7446,Produtos!$B$4:$B$4996,0)),"Produto não encontrado"),"")</f>
        <v/>
      </c>
    </row>
    <row r="7447" spans="1:5" x14ac:dyDescent="0.3">
      <c r="A7447" s="21" t="str">
        <f t="shared" si="116"/>
        <v>.</v>
      </c>
      <c r="D7447" s="44"/>
      <c r="E7447" s="22" t="str">
        <f>IF(D7447&lt;&gt;"",IFERROR(INDEX(Produtos!$C$4:$C$4996,MATCH(D7447,Produtos!$B$4:$B$4996,0)),"Produto não encontrado"),"")</f>
        <v/>
      </c>
    </row>
    <row r="7448" spans="1:5" x14ac:dyDescent="0.3">
      <c r="A7448" s="21" t="str">
        <f t="shared" si="116"/>
        <v>.</v>
      </c>
      <c r="D7448" s="44"/>
      <c r="E7448" s="22" t="str">
        <f>IF(D7448&lt;&gt;"",IFERROR(INDEX(Produtos!$C$4:$C$4996,MATCH(D7448,Produtos!$B$4:$B$4996,0)),"Produto não encontrado"),"")</f>
        <v/>
      </c>
    </row>
    <row r="7449" spans="1:5" x14ac:dyDescent="0.3">
      <c r="A7449" s="21" t="str">
        <f t="shared" si="116"/>
        <v>.</v>
      </c>
      <c r="D7449" s="44"/>
      <c r="E7449" s="22" t="str">
        <f>IF(D7449&lt;&gt;"",IFERROR(INDEX(Produtos!$C$4:$C$4996,MATCH(D7449,Produtos!$B$4:$B$4996,0)),"Produto não encontrado"),"")</f>
        <v/>
      </c>
    </row>
    <row r="7450" spans="1:5" x14ac:dyDescent="0.3">
      <c r="A7450" s="21" t="str">
        <f t="shared" si="116"/>
        <v>.</v>
      </c>
      <c r="D7450" s="44"/>
      <c r="E7450" s="22" t="str">
        <f>IF(D7450&lt;&gt;"",IFERROR(INDEX(Produtos!$C$4:$C$4996,MATCH(D7450,Produtos!$B$4:$B$4996,0)),"Produto não encontrado"),"")</f>
        <v/>
      </c>
    </row>
    <row r="7451" spans="1:5" x14ac:dyDescent="0.3">
      <c r="A7451" s="21" t="str">
        <f t="shared" si="116"/>
        <v>.</v>
      </c>
      <c r="D7451" s="44"/>
      <c r="E7451" s="22" t="str">
        <f>IF(D7451&lt;&gt;"",IFERROR(INDEX(Produtos!$C$4:$C$4996,MATCH(D7451,Produtos!$B$4:$B$4996,0)),"Produto não encontrado"),"")</f>
        <v/>
      </c>
    </row>
    <row r="7452" spans="1:5" x14ac:dyDescent="0.3">
      <c r="A7452" s="21" t="str">
        <f t="shared" si="116"/>
        <v>.</v>
      </c>
      <c r="D7452" s="44"/>
      <c r="E7452" s="22" t="str">
        <f>IF(D7452&lt;&gt;"",IFERROR(INDEX(Produtos!$C$4:$C$4996,MATCH(D7452,Produtos!$B$4:$B$4996,0)),"Produto não encontrado"),"")</f>
        <v/>
      </c>
    </row>
    <row r="7453" spans="1:5" x14ac:dyDescent="0.3">
      <c r="A7453" s="21" t="str">
        <f t="shared" si="116"/>
        <v>.</v>
      </c>
      <c r="D7453" s="44"/>
      <c r="E7453" s="22" t="str">
        <f>IF(D7453&lt;&gt;"",IFERROR(INDEX(Produtos!$C$4:$C$4996,MATCH(D7453,Produtos!$B$4:$B$4996,0)),"Produto não encontrado"),"")</f>
        <v/>
      </c>
    </row>
    <row r="7454" spans="1:5" x14ac:dyDescent="0.3">
      <c r="A7454" s="21" t="str">
        <f t="shared" si="116"/>
        <v>.</v>
      </c>
      <c r="D7454" s="44"/>
      <c r="E7454" s="22" t="str">
        <f>IF(D7454&lt;&gt;"",IFERROR(INDEX(Produtos!$C$4:$C$4996,MATCH(D7454,Produtos!$B$4:$B$4996,0)),"Produto não encontrado"),"")</f>
        <v/>
      </c>
    </row>
    <row r="7455" spans="1:5" x14ac:dyDescent="0.3">
      <c r="A7455" s="21" t="str">
        <f t="shared" si="116"/>
        <v>.</v>
      </c>
      <c r="D7455" s="44"/>
      <c r="E7455" s="22" t="str">
        <f>IF(D7455&lt;&gt;"",IFERROR(INDEX(Produtos!$C$4:$C$4996,MATCH(D7455,Produtos!$B$4:$B$4996,0)),"Produto não encontrado"),"")</f>
        <v/>
      </c>
    </row>
    <row r="7456" spans="1:5" x14ac:dyDescent="0.3">
      <c r="A7456" s="21" t="str">
        <f t="shared" si="116"/>
        <v>.</v>
      </c>
      <c r="D7456" s="44"/>
      <c r="E7456" s="22" t="str">
        <f>IF(D7456&lt;&gt;"",IFERROR(INDEX(Produtos!$C$4:$C$4996,MATCH(D7456,Produtos!$B$4:$B$4996,0)),"Produto não encontrado"),"")</f>
        <v/>
      </c>
    </row>
    <row r="7457" spans="1:5" x14ac:dyDescent="0.3">
      <c r="A7457" s="21" t="str">
        <f t="shared" si="116"/>
        <v>.</v>
      </c>
      <c r="D7457" s="44"/>
      <c r="E7457" s="22" t="str">
        <f>IF(D7457&lt;&gt;"",IFERROR(INDEX(Produtos!$C$4:$C$4996,MATCH(D7457,Produtos!$B$4:$B$4996,0)),"Produto não encontrado"),"")</f>
        <v/>
      </c>
    </row>
    <row r="7458" spans="1:5" x14ac:dyDescent="0.3">
      <c r="A7458" s="21" t="str">
        <f t="shared" si="116"/>
        <v>.</v>
      </c>
      <c r="D7458" s="44"/>
      <c r="E7458" s="22" t="str">
        <f>IF(D7458&lt;&gt;"",IFERROR(INDEX(Produtos!$C$4:$C$4996,MATCH(D7458,Produtos!$B$4:$B$4996,0)),"Produto não encontrado"),"")</f>
        <v/>
      </c>
    </row>
    <row r="7459" spans="1:5" x14ac:dyDescent="0.3">
      <c r="A7459" s="21" t="str">
        <f t="shared" si="116"/>
        <v>.</v>
      </c>
      <c r="D7459" s="44"/>
      <c r="E7459" s="22" t="str">
        <f>IF(D7459&lt;&gt;"",IFERROR(INDEX(Produtos!$C$4:$C$4996,MATCH(D7459,Produtos!$B$4:$B$4996,0)),"Produto não encontrado"),"")</f>
        <v/>
      </c>
    </row>
    <row r="7460" spans="1:5" x14ac:dyDescent="0.3">
      <c r="A7460" s="21" t="str">
        <f t="shared" si="116"/>
        <v>.</v>
      </c>
      <c r="D7460" s="44"/>
      <c r="E7460" s="22" t="str">
        <f>IF(D7460&lt;&gt;"",IFERROR(INDEX(Produtos!$C$4:$C$4996,MATCH(D7460,Produtos!$B$4:$B$4996,0)),"Produto não encontrado"),"")</f>
        <v/>
      </c>
    </row>
    <row r="7461" spans="1:5" x14ac:dyDescent="0.3">
      <c r="A7461" s="21" t="str">
        <f t="shared" si="116"/>
        <v>.</v>
      </c>
      <c r="D7461" s="44"/>
      <c r="E7461" s="22" t="str">
        <f>IF(D7461&lt;&gt;"",IFERROR(INDEX(Produtos!$C$4:$C$4996,MATCH(D7461,Produtos!$B$4:$B$4996,0)),"Produto não encontrado"),"")</f>
        <v/>
      </c>
    </row>
    <row r="7462" spans="1:5" x14ac:dyDescent="0.3">
      <c r="A7462" s="21" t="str">
        <f t="shared" si="116"/>
        <v>.</v>
      </c>
      <c r="D7462" s="44"/>
      <c r="E7462" s="22" t="str">
        <f>IF(D7462&lt;&gt;"",IFERROR(INDEX(Produtos!$C$4:$C$4996,MATCH(D7462,Produtos!$B$4:$B$4996,0)),"Produto não encontrado"),"")</f>
        <v/>
      </c>
    </row>
    <row r="7463" spans="1:5" x14ac:dyDescent="0.3">
      <c r="A7463" s="21" t="str">
        <f t="shared" si="116"/>
        <v>.</v>
      </c>
      <c r="D7463" s="44"/>
      <c r="E7463" s="22" t="str">
        <f>IF(D7463&lt;&gt;"",IFERROR(INDEX(Produtos!$C$4:$C$4996,MATCH(D7463,Produtos!$B$4:$B$4996,0)),"Produto não encontrado"),"")</f>
        <v/>
      </c>
    </row>
    <row r="7464" spans="1:5" x14ac:dyDescent="0.3">
      <c r="A7464" s="21" t="str">
        <f t="shared" si="116"/>
        <v>.</v>
      </c>
      <c r="D7464" s="44"/>
      <c r="E7464" s="22" t="str">
        <f>IF(D7464&lt;&gt;"",IFERROR(INDEX(Produtos!$C$4:$C$4996,MATCH(D7464,Produtos!$B$4:$B$4996,0)),"Produto não encontrado"),"")</f>
        <v/>
      </c>
    </row>
    <row r="7465" spans="1:5" x14ac:dyDescent="0.3">
      <c r="A7465" s="21" t="str">
        <f t="shared" si="116"/>
        <v>.</v>
      </c>
      <c r="D7465" s="44"/>
      <c r="E7465" s="22" t="str">
        <f>IF(D7465&lt;&gt;"",IFERROR(INDEX(Produtos!$C$4:$C$4996,MATCH(D7465,Produtos!$B$4:$B$4996,0)),"Produto não encontrado"),"")</f>
        <v/>
      </c>
    </row>
    <row r="7466" spans="1:5" x14ac:dyDescent="0.3">
      <c r="A7466" s="21" t="str">
        <f t="shared" si="116"/>
        <v>.</v>
      </c>
      <c r="D7466" s="44"/>
      <c r="E7466" s="22" t="str">
        <f>IF(D7466&lt;&gt;"",IFERROR(INDEX(Produtos!$C$4:$C$4996,MATCH(D7466,Produtos!$B$4:$B$4996,0)),"Produto não encontrado"),"")</f>
        <v/>
      </c>
    </row>
    <row r="7467" spans="1:5" x14ac:dyDescent="0.3">
      <c r="A7467" s="21" t="str">
        <f t="shared" si="116"/>
        <v>.</v>
      </c>
      <c r="D7467" s="44"/>
      <c r="E7467" s="22" t="str">
        <f>IF(D7467&lt;&gt;"",IFERROR(INDEX(Produtos!$C$4:$C$4996,MATCH(D7467,Produtos!$B$4:$B$4996,0)),"Produto não encontrado"),"")</f>
        <v/>
      </c>
    </row>
    <row r="7468" spans="1:5" x14ac:dyDescent="0.3">
      <c r="A7468" s="21" t="str">
        <f t="shared" si="116"/>
        <v>.</v>
      </c>
      <c r="D7468" s="44"/>
      <c r="E7468" s="22" t="str">
        <f>IF(D7468&lt;&gt;"",IFERROR(INDEX(Produtos!$C$4:$C$4996,MATCH(D7468,Produtos!$B$4:$B$4996,0)),"Produto não encontrado"),"")</f>
        <v/>
      </c>
    </row>
    <row r="7469" spans="1:5" x14ac:dyDescent="0.3">
      <c r="A7469" s="21" t="str">
        <f t="shared" si="116"/>
        <v>.</v>
      </c>
      <c r="D7469" s="44"/>
      <c r="E7469" s="22" t="str">
        <f>IF(D7469&lt;&gt;"",IFERROR(INDEX(Produtos!$C$4:$C$4996,MATCH(D7469,Produtos!$B$4:$B$4996,0)),"Produto não encontrado"),"")</f>
        <v/>
      </c>
    </row>
    <row r="7470" spans="1:5" x14ac:dyDescent="0.3">
      <c r="A7470" s="21" t="str">
        <f t="shared" si="116"/>
        <v>.</v>
      </c>
      <c r="D7470" s="44"/>
      <c r="E7470" s="22" t="str">
        <f>IF(D7470&lt;&gt;"",IFERROR(INDEX(Produtos!$C$4:$C$4996,MATCH(D7470,Produtos!$B$4:$B$4996,0)),"Produto não encontrado"),"")</f>
        <v/>
      </c>
    </row>
    <row r="7471" spans="1:5" x14ac:dyDescent="0.3">
      <c r="A7471" s="21" t="str">
        <f t="shared" si="116"/>
        <v>.</v>
      </c>
      <c r="D7471" s="44"/>
      <c r="E7471" s="22" t="str">
        <f>IF(D7471&lt;&gt;"",IFERROR(INDEX(Produtos!$C$4:$C$4996,MATCH(D7471,Produtos!$B$4:$B$4996,0)),"Produto não encontrado"),"")</f>
        <v/>
      </c>
    </row>
    <row r="7472" spans="1:5" x14ac:dyDescent="0.3">
      <c r="A7472" s="21" t="str">
        <f t="shared" si="116"/>
        <v>.</v>
      </c>
      <c r="D7472" s="44"/>
      <c r="E7472" s="22" t="str">
        <f>IF(D7472&lt;&gt;"",IFERROR(INDEX(Produtos!$C$4:$C$4996,MATCH(D7472,Produtos!$B$4:$B$4996,0)),"Produto não encontrado"),"")</f>
        <v/>
      </c>
    </row>
    <row r="7473" spans="1:5" x14ac:dyDescent="0.3">
      <c r="A7473" s="21" t="str">
        <f t="shared" si="116"/>
        <v>.</v>
      </c>
      <c r="D7473" s="44"/>
      <c r="E7473" s="22" t="str">
        <f>IF(D7473&lt;&gt;"",IFERROR(INDEX(Produtos!$C$4:$C$4996,MATCH(D7473,Produtos!$B$4:$B$4996,0)),"Produto não encontrado"),"")</f>
        <v/>
      </c>
    </row>
    <row r="7474" spans="1:5" x14ac:dyDescent="0.3">
      <c r="A7474" s="21" t="str">
        <f t="shared" si="116"/>
        <v>.</v>
      </c>
      <c r="D7474" s="44"/>
      <c r="E7474" s="22" t="str">
        <f>IF(D7474&lt;&gt;"",IFERROR(INDEX(Produtos!$C$4:$C$4996,MATCH(D7474,Produtos!$B$4:$B$4996,0)),"Produto não encontrado"),"")</f>
        <v/>
      </c>
    </row>
    <row r="7475" spans="1:5" x14ac:dyDescent="0.3">
      <c r="A7475" s="21" t="str">
        <f t="shared" si="116"/>
        <v>.</v>
      </c>
      <c r="D7475" s="44"/>
      <c r="E7475" s="22" t="str">
        <f>IF(D7475&lt;&gt;"",IFERROR(INDEX(Produtos!$C$4:$C$4996,MATCH(D7475,Produtos!$B$4:$B$4996,0)),"Produto não encontrado"),"")</f>
        <v/>
      </c>
    </row>
    <row r="7476" spans="1:5" x14ac:dyDescent="0.3">
      <c r="A7476" s="21" t="str">
        <f t="shared" si="116"/>
        <v>.</v>
      </c>
      <c r="D7476" s="44"/>
      <c r="E7476" s="22" t="str">
        <f>IF(D7476&lt;&gt;"",IFERROR(INDEX(Produtos!$C$4:$C$4996,MATCH(D7476,Produtos!$B$4:$B$4996,0)),"Produto não encontrado"),"")</f>
        <v/>
      </c>
    </row>
    <row r="7477" spans="1:5" x14ac:dyDescent="0.3">
      <c r="A7477" s="21" t="str">
        <f t="shared" si="116"/>
        <v>.</v>
      </c>
      <c r="D7477" s="44"/>
      <c r="E7477" s="22" t="str">
        <f>IF(D7477&lt;&gt;"",IFERROR(INDEX(Produtos!$C$4:$C$4996,MATCH(D7477,Produtos!$B$4:$B$4996,0)),"Produto não encontrado"),"")</f>
        <v/>
      </c>
    </row>
    <row r="7478" spans="1:5" x14ac:dyDescent="0.3">
      <c r="A7478" s="21" t="str">
        <f t="shared" si="116"/>
        <v>.</v>
      </c>
      <c r="D7478" s="44"/>
      <c r="E7478" s="22" t="str">
        <f>IF(D7478&lt;&gt;"",IFERROR(INDEX(Produtos!$C$4:$C$4996,MATCH(D7478,Produtos!$B$4:$B$4996,0)),"Produto não encontrado"),"")</f>
        <v/>
      </c>
    </row>
    <row r="7479" spans="1:5" x14ac:dyDescent="0.3">
      <c r="A7479" s="21" t="str">
        <f t="shared" si="116"/>
        <v>.</v>
      </c>
      <c r="D7479" s="44"/>
      <c r="E7479" s="22" t="str">
        <f>IF(D7479&lt;&gt;"",IFERROR(INDEX(Produtos!$C$4:$C$4996,MATCH(D7479,Produtos!$B$4:$B$4996,0)),"Produto não encontrado"),"")</f>
        <v/>
      </c>
    </row>
    <row r="7480" spans="1:5" x14ac:dyDescent="0.3">
      <c r="A7480" s="21" t="str">
        <f t="shared" si="116"/>
        <v>.</v>
      </c>
      <c r="D7480" s="44"/>
      <c r="E7480" s="22" t="str">
        <f>IF(D7480&lt;&gt;"",IFERROR(INDEX(Produtos!$C$4:$C$4996,MATCH(D7480,Produtos!$B$4:$B$4996,0)),"Produto não encontrado"),"")</f>
        <v/>
      </c>
    </row>
    <row r="7481" spans="1:5" x14ac:dyDescent="0.3">
      <c r="A7481" s="21" t="str">
        <f t="shared" si="116"/>
        <v>.</v>
      </c>
      <c r="D7481" s="44"/>
      <c r="E7481" s="22" t="str">
        <f>IF(D7481&lt;&gt;"",IFERROR(INDEX(Produtos!$C$4:$C$4996,MATCH(D7481,Produtos!$B$4:$B$4996,0)),"Produto não encontrado"),"")</f>
        <v/>
      </c>
    </row>
    <row r="7482" spans="1:5" x14ac:dyDescent="0.3">
      <c r="A7482" s="21" t="str">
        <f t="shared" si="116"/>
        <v>.</v>
      </c>
      <c r="D7482" s="44"/>
      <c r="E7482" s="22" t="str">
        <f>IF(D7482&lt;&gt;"",IFERROR(INDEX(Produtos!$C$4:$C$4996,MATCH(D7482,Produtos!$B$4:$B$4996,0)),"Produto não encontrado"),"")</f>
        <v/>
      </c>
    </row>
    <row r="7483" spans="1:5" x14ac:dyDescent="0.3">
      <c r="A7483" s="21" t="str">
        <f t="shared" si="116"/>
        <v>.</v>
      </c>
      <c r="D7483" s="44"/>
      <c r="E7483" s="22" t="str">
        <f>IF(D7483&lt;&gt;"",IFERROR(INDEX(Produtos!$C$4:$C$4996,MATCH(D7483,Produtos!$B$4:$B$4996,0)),"Produto não encontrado"),"")</f>
        <v/>
      </c>
    </row>
    <row r="7484" spans="1:5" x14ac:dyDescent="0.3">
      <c r="A7484" s="21" t="str">
        <f t="shared" si="116"/>
        <v>.</v>
      </c>
      <c r="D7484" s="44"/>
      <c r="E7484" s="22" t="str">
        <f>IF(D7484&lt;&gt;"",IFERROR(INDEX(Produtos!$C$4:$C$4996,MATCH(D7484,Produtos!$B$4:$B$4996,0)),"Produto não encontrado"),"")</f>
        <v/>
      </c>
    </row>
    <row r="7485" spans="1:5" x14ac:dyDescent="0.3">
      <c r="A7485" s="21" t="str">
        <f t="shared" si="116"/>
        <v>.</v>
      </c>
      <c r="D7485" s="44"/>
      <c r="E7485" s="22" t="str">
        <f>IF(D7485&lt;&gt;"",IFERROR(INDEX(Produtos!$C$4:$C$4996,MATCH(D7485,Produtos!$B$4:$B$4996,0)),"Produto não encontrado"),"")</f>
        <v/>
      </c>
    </row>
    <row r="7486" spans="1:5" x14ac:dyDescent="0.3">
      <c r="A7486" s="21" t="str">
        <f t="shared" si="116"/>
        <v>.</v>
      </c>
      <c r="D7486" s="44"/>
      <c r="E7486" s="22" t="str">
        <f>IF(D7486&lt;&gt;"",IFERROR(INDEX(Produtos!$C$4:$C$4996,MATCH(D7486,Produtos!$B$4:$B$4996,0)),"Produto não encontrado"),"")</f>
        <v/>
      </c>
    </row>
    <row r="7487" spans="1:5" x14ac:dyDescent="0.3">
      <c r="A7487" s="21" t="str">
        <f t="shared" si="116"/>
        <v>.</v>
      </c>
      <c r="D7487" s="44"/>
      <c r="E7487" s="22" t="str">
        <f>IF(D7487&lt;&gt;"",IFERROR(INDEX(Produtos!$C$4:$C$4996,MATCH(D7487,Produtos!$B$4:$B$4996,0)),"Produto não encontrado"),"")</f>
        <v/>
      </c>
    </row>
    <row r="7488" spans="1:5" x14ac:dyDescent="0.3">
      <c r="A7488" s="21" t="str">
        <f t="shared" ref="A7488:A7551" si="117">IF(C7488="Entrada",2,IF(C7488="Saída",1,"."))</f>
        <v>.</v>
      </c>
      <c r="D7488" s="44"/>
      <c r="E7488" s="22" t="str">
        <f>IF(D7488&lt;&gt;"",IFERROR(INDEX(Produtos!$C$4:$C$4996,MATCH(D7488,Produtos!$B$4:$B$4996,0)),"Produto não encontrado"),"")</f>
        <v/>
      </c>
    </row>
    <row r="7489" spans="1:5" x14ac:dyDescent="0.3">
      <c r="A7489" s="21" t="str">
        <f t="shared" si="117"/>
        <v>.</v>
      </c>
      <c r="D7489" s="44"/>
      <c r="E7489" s="22" t="str">
        <f>IF(D7489&lt;&gt;"",IFERROR(INDEX(Produtos!$C$4:$C$4996,MATCH(D7489,Produtos!$B$4:$B$4996,0)),"Produto não encontrado"),"")</f>
        <v/>
      </c>
    </row>
    <row r="7490" spans="1:5" x14ac:dyDescent="0.3">
      <c r="A7490" s="21" t="str">
        <f t="shared" si="117"/>
        <v>.</v>
      </c>
      <c r="D7490" s="44"/>
      <c r="E7490" s="22" t="str">
        <f>IF(D7490&lt;&gt;"",IFERROR(INDEX(Produtos!$C$4:$C$4996,MATCH(D7490,Produtos!$B$4:$B$4996,0)),"Produto não encontrado"),"")</f>
        <v/>
      </c>
    </row>
    <row r="7491" spans="1:5" x14ac:dyDescent="0.3">
      <c r="A7491" s="21" t="str">
        <f t="shared" si="117"/>
        <v>.</v>
      </c>
      <c r="D7491" s="44"/>
      <c r="E7491" s="22" t="str">
        <f>IF(D7491&lt;&gt;"",IFERROR(INDEX(Produtos!$C$4:$C$4996,MATCH(D7491,Produtos!$B$4:$B$4996,0)),"Produto não encontrado"),"")</f>
        <v/>
      </c>
    </row>
    <row r="7492" spans="1:5" x14ac:dyDescent="0.3">
      <c r="A7492" s="21" t="str">
        <f t="shared" si="117"/>
        <v>.</v>
      </c>
      <c r="D7492" s="44"/>
      <c r="E7492" s="22" t="str">
        <f>IF(D7492&lt;&gt;"",IFERROR(INDEX(Produtos!$C$4:$C$4996,MATCH(D7492,Produtos!$B$4:$B$4996,0)),"Produto não encontrado"),"")</f>
        <v/>
      </c>
    </row>
    <row r="7493" spans="1:5" x14ac:dyDescent="0.3">
      <c r="A7493" s="21" t="str">
        <f t="shared" si="117"/>
        <v>.</v>
      </c>
      <c r="D7493" s="44"/>
      <c r="E7493" s="22" t="str">
        <f>IF(D7493&lt;&gt;"",IFERROR(INDEX(Produtos!$C$4:$C$4996,MATCH(D7493,Produtos!$B$4:$B$4996,0)),"Produto não encontrado"),"")</f>
        <v/>
      </c>
    </row>
    <row r="7494" spans="1:5" x14ac:dyDescent="0.3">
      <c r="A7494" s="21" t="str">
        <f t="shared" si="117"/>
        <v>.</v>
      </c>
      <c r="D7494" s="44"/>
      <c r="E7494" s="22" t="str">
        <f>IF(D7494&lt;&gt;"",IFERROR(INDEX(Produtos!$C$4:$C$4996,MATCH(D7494,Produtos!$B$4:$B$4996,0)),"Produto não encontrado"),"")</f>
        <v/>
      </c>
    </row>
    <row r="7495" spans="1:5" x14ac:dyDescent="0.3">
      <c r="A7495" s="21" t="str">
        <f t="shared" si="117"/>
        <v>.</v>
      </c>
      <c r="D7495" s="44"/>
      <c r="E7495" s="22" t="str">
        <f>IF(D7495&lt;&gt;"",IFERROR(INDEX(Produtos!$C$4:$C$4996,MATCH(D7495,Produtos!$B$4:$B$4996,0)),"Produto não encontrado"),"")</f>
        <v/>
      </c>
    </row>
    <row r="7496" spans="1:5" x14ac:dyDescent="0.3">
      <c r="A7496" s="21" t="str">
        <f t="shared" si="117"/>
        <v>.</v>
      </c>
      <c r="D7496" s="44"/>
      <c r="E7496" s="22" t="str">
        <f>IF(D7496&lt;&gt;"",IFERROR(INDEX(Produtos!$C$4:$C$4996,MATCH(D7496,Produtos!$B$4:$B$4996,0)),"Produto não encontrado"),"")</f>
        <v/>
      </c>
    </row>
    <row r="7497" spans="1:5" x14ac:dyDescent="0.3">
      <c r="A7497" s="21" t="str">
        <f t="shared" si="117"/>
        <v>.</v>
      </c>
      <c r="D7497" s="44"/>
      <c r="E7497" s="22" t="str">
        <f>IF(D7497&lt;&gt;"",IFERROR(INDEX(Produtos!$C$4:$C$4996,MATCH(D7497,Produtos!$B$4:$B$4996,0)),"Produto não encontrado"),"")</f>
        <v/>
      </c>
    </row>
    <row r="7498" spans="1:5" x14ac:dyDescent="0.3">
      <c r="A7498" s="21" t="str">
        <f t="shared" si="117"/>
        <v>.</v>
      </c>
      <c r="D7498" s="44"/>
      <c r="E7498" s="22" t="str">
        <f>IF(D7498&lt;&gt;"",IFERROR(INDEX(Produtos!$C$4:$C$4996,MATCH(D7498,Produtos!$B$4:$B$4996,0)),"Produto não encontrado"),"")</f>
        <v/>
      </c>
    </row>
    <row r="7499" spans="1:5" x14ac:dyDescent="0.3">
      <c r="A7499" s="21" t="str">
        <f t="shared" si="117"/>
        <v>.</v>
      </c>
      <c r="D7499" s="44"/>
      <c r="E7499" s="22" t="str">
        <f>IF(D7499&lt;&gt;"",IFERROR(INDEX(Produtos!$C$4:$C$4996,MATCH(D7499,Produtos!$B$4:$B$4996,0)),"Produto não encontrado"),"")</f>
        <v/>
      </c>
    </row>
    <row r="7500" spans="1:5" x14ac:dyDescent="0.3">
      <c r="A7500" s="21" t="str">
        <f t="shared" si="117"/>
        <v>.</v>
      </c>
      <c r="D7500" s="44"/>
      <c r="E7500" s="22" t="str">
        <f>IF(D7500&lt;&gt;"",IFERROR(INDEX(Produtos!$C$4:$C$4996,MATCH(D7500,Produtos!$B$4:$B$4996,0)),"Produto não encontrado"),"")</f>
        <v/>
      </c>
    </row>
    <row r="7501" spans="1:5" x14ac:dyDescent="0.3">
      <c r="A7501" s="21" t="str">
        <f t="shared" si="117"/>
        <v>.</v>
      </c>
      <c r="D7501" s="44"/>
      <c r="E7501" s="22" t="str">
        <f>IF(D7501&lt;&gt;"",IFERROR(INDEX(Produtos!$C$4:$C$4996,MATCH(D7501,Produtos!$B$4:$B$4996,0)),"Produto não encontrado"),"")</f>
        <v/>
      </c>
    </row>
    <row r="7502" spans="1:5" x14ac:dyDescent="0.3">
      <c r="A7502" s="21" t="str">
        <f t="shared" si="117"/>
        <v>.</v>
      </c>
      <c r="D7502" s="44"/>
      <c r="E7502" s="22" t="str">
        <f>IF(D7502&lt;&gt;"",IFERROR(INDEX(Produtos!$C$4:$C$4996,MATCH(D7502,Produtos!$B$4:$B$4996,0)),"Produto não encontrado"),"")</f>
        <v/>
      </c>
    </row>
    <row r="7503" spans="1:5" x14ac:dyDescent="0.3">
      <c r="A7503" s="21" t="str">
        <f t="shared" si="117"/>
        <v>.</v>
      </c>
      <c r="D7503" s="44"/>
      <c r="E7503" s="22" t="str">
        <f>IF(D7503&lt;&gt;"",IFERROR(INDEX(Produtos!$C$4:$C$4996,MATCH(D7503,Produtos!$B$4:$B$4996,0)),"Produto não encontrado"),"")</f>
        <v/>
      </c>
    </row>
    <row r="7504" spans="1:5" x14ac:dyDescent="0.3">
      <c r="A7504" s="21" t="str">
        <f t="shared" si="117"/>
        <v>.</v>
      </c>
      <c r="D7504" s="44"/>
      <c r="E7504" s="22" t="str">
        <f>IF(D7504&lt;&gt;"",IFERROR(INDEX(Produtos!$C$4:$C$4996,MATCH(D7504,Produtos!$B$4:$B$4996,0)),"Produto não encontrado"),"")</f>
        <v/>
      </c>
    </row>
    <row r="7505" spans="1:5" x14ac:dyDescent="0.3">
      <c r="A7505" s="21" t="str">
        <f t="shared" si="117"/>
        <v>.</v>
      </c>
      <c r="D7505" s="44"/>
      <c r="E7505" s="22" t="str">
        <f>IF(D7505&lt;&gt;"",IFERROR(INDEX(Produtos!$C$4:$C$4996,MATCH(D7505,Produtos!$B$4:$B$4996,0)),"Produto não encontrado"),"")</f>
        <v/>
      </c>
    </row>
    <row r="7506" spans="1:5" x14ac:dyDescent="0.3">
      <c r="A7506" s="21" t="str">
        <f t="shared" si="117"/>
        <v>.</v>
      </c>
      <c r="D7506" s="44"/>
      <c r="E7506" s="22" t="str">
        <f>IF(D7506&lt;&gt;"",IFERROR(INDEX(Produtos!$C$4:$C$4996,MATCH(D7506,Produtos!$B$4:$B$4996,0)),"Produto não encontrado"),"")</f>
        <v/>
      </c>
    </row>
    <row r="7507" spans="1:5" x14ac:dyDescent="0.3">
      <c r="A7507" s="21" t="str">
        <f t="shared" si="117"/>
        <v>.</v>
      </c>
      <c r="D7507" s="44"/>
      <c r="E7507" s="22" t="str">
        <f>IF(D7507&lt;&gt;"",IFERROR(INDEX(Produtos!$C$4:$C$4996,MATCH(D7507,Produtos!$B$4:$B$4996,0)),"Produto não encontrado"),"")</f>
        <v/>
      </c>
    </row>
    <row r="7508" spans="1:5" x14ac:dyDescent="0.3">
      <c r="A7508" s="21" t="str">
        <f t="shared" si="117"/>
        <v>.</v>
      </c>
      <c r="D7508" s="44"/>
      <c r="E7508" s="22" t="str">
        <f>IF(D7508&lt;&gt;"",IFERROR(INDEX(Produtos!$C$4:$C$4996,MATCH(D7508,Produtos!$B$4:$B$4996,0)),"Produto não encontrado"),"")</f>
        <v/>
      </c>
    </row>
    <row r="7509" spans="1:5" x14ac:dyDescent="0.3">
      <c r="A7509" s="21" t="str">
        <f t="shared" si="117"/>
        <v>.</v>
      </c>
      <c r="D7509" s="44"/>
      <c r="E7509" s="22" t="str">
        <f>IF(D7509&lt;&gt;"",IFERROR(INDEX(Produtos!$C$4:$C$4996,MATCH(D7509,Produtos!$B$4:$B$4996,0)),"Produto não encontrado"),"")</f>
        <v/>
      </c>
    </row>
    <row r="7510" spans="1:5" x14ac:dyDescent="0.3">
      <c r="A7510" s="21" t="str">
        <f t="shared" si="117"/>
        <v>.</v>
      </c>
      <c r="D7510" s="44"/>
      <c r="E7510" s="22" t="str">
        <f>IF(D7510&lt;&gt;"",IFERROR(INDEX(Produtos!$C$4:$C$4996,MATCH(D7510,Produtos!$B$4:$B$4996,0)),"Produto não encontrado"),"")</f>
        <v/>
      </c>
    </row>
    <row r="7511" spans="1:5" x14ac:dyDescent="0.3">
      <c r="A7511" s="21" t="str">
        <f t="shared" si="117"/>
        <v>.</v>
      </c>
      <c r="D7511" s="44"/>
      <c r="E7511" s="22" t="str">
        <f>IF(D7511&lt;&gt;"",IFERROR(INDEX(Produtos!$C$4:$C$4996,MATCH(D7511,Produtos!$B$4:$B$4996,0)),"Produto não encontrado"),"")</f>
        <v/>
      </c>
    </row>
    <row r="7512" spans="1:5" x14ac:dyDescent="0.3">
      <c r="A7512" s="21" t="str">
        <f t="shared" si="117"/>
        <v>.</v>
      </c>
      <c r="D7512" s="44"/>
      <c r="E7512" s="22" t="str">
        <f>IF(D7512&lt;&gt;"",IFERROR(INDEX(Produtos!$C$4:$C$4996,MATCH(D7512,Produtos!$B$4:$B$4996,0)),"Produto não encontrado"),"")</f>
        <v/>
      </c>
    </row>
    <row r="7513" spans="1:5" x14ac:dyDescent="0.3">
      <c r="A7513" s="21" t="str">
        <f t="shared" si="117"/>
        <v>.</v>
      </c>
      <c r="D7513" s="44"/>
      <c r="E7513" s="22" t="str">
        <f>IF(D7513&lt;&gt;"",IFERROR(INDEX(Produtos!$C$4:$C$4996,MATCH(D7513,Produtos!$B$4:$B$4996,0)),"Produto não encontrado"),"")</f>
        <v/>
      </c>
    </row>
    <row r="7514" spans="1:5" x14ac:dyDescent="0.3">
      <c r="A7514" s="21" t="str">
        <f t="shared" si="117"/>
        <v>.</v>
      </c>
      <c r="D7514" s="44"/>
      <c r="E7514" s="22" t="str">
        <f>IF(D7514&lt;&gt;"",IFERROR(INDEX(Produtos!$C$4:$C$4996,MATCH(D7514,Produtos!$B$4:$B$4996,0)),"Produto não encontrado"),"")</f>
        <v/>
      </c>
    </row>
    <row r="7515" spans="1:5" x14ac:dyDescent="0.3">
      <c r="A7515" s="21" t="str">
        <f t="shared" si="117"/>
        <v>.</v>
      </c>
      <c r="D7515" s="44"/>
      <c r="E7515" s="22" t="str">
        <f>IF(D7515&lt;&gt;"",IFERROR(INDEX(Produtos!$C$4:$C$4996,MATCH(D7515,Produtos!$B$4:$B$4996,0)),"Produto não encontrado"),"")</f>
        <v/>
      </c>
    </row>
    <row r="7516" spans="1:5" x14ac:dyDescent="0.3">
      <c r="A7516" s="21" t="str">
        <f t="shared" si="117"/>
        <v>.</v>
      </c>
      <c r="D7516" s="44"/>
      <c r="E7516" s="22" t="str">
        <f>IF(D7516&lt;&gt;"",IFERROR(INDEX(Produtos!$C$4:$C$4996,MATCH(D7516,Produtos!$B$4:$B$4996,0)),"Produto não encontrado"),"")</f>
        <v/>
      </c>
    </row>
    <row r="7517" spans="1:5" x14ac:dyDescent="0.3">
      <c r="A7517" s="21" t="str">
        <f t="shared" si="117"/>
        <v>.</v>
      </c>
      <c r="D7517" s="44"/>
      <c r="E7517" s="22" t="str">
        <f>IF(D7517&lt;&gt;"",IFERROR(INDEX(Produtos!$C$4:$C$4996,MATCH(D7517,Produtos!$B$4:$B$4996,0)),"Produto não encontrado"),"")</f>
        <v/>
      </c>
    </row>
    <row r="7518" spans="1:5" x14ac:dyDescent="0.3">
      <c r="A7518" s="21" t="str">
        <f t="shared" si="117"/>
        <v>.</v>
      </c>
      <c r="D7518" s="44"/>
      <c r="E7518" s="22" t="str">
        <f>IF(D7518&lt;&gt;"",IFERROR(INDEX(Produtos!$C$4:$C$4996,MATCH(D7518,Produtos!$B$4:$B$4996,0)),"Produto não encontrado"),"")</f>
        <v/>
      </c>
    </row>
    <row r="7519" spans="1:5" x14ac:dyDescent="0.3">
      <c r="A7519" s="21" t="str">
        <f t="shared" si="117"/>
        <v>.</v>
      </c>
      <c r="D7519" s="44"/>
      <c r="E7519" s="22" t="str">
        <f>IF(D7519&lt;&gt;"",IFERROR(INDEX(Produtos!$C$4:$C$4996,MATCH(D7519,Produtos!$B$4:$B$4996,0)),"Produto não encontrado"),"")</f>
        <v/>
      </c>
    </row>
    <row r="7520" spans="1:5" x14ac:dyDescent="0.3">
      <c r="A7520" s="21" t="str">
        <f t="shared" si="117"/>
        <v>.</v>
      </c>
      <c r="D7520" s="44"/>
      <c r="E7520" s="22" t="str">
        <f>IF(D7520&lt;&gt;"",IFERROR(INDEX(Produtos!$C$4:$C$4996,MATCH(D7520,Produtos!$B$4:$B$4996,0)),"Produto não encontrado"),"")</f>
        <v/>
      </c>
    </row>
    <row r="7521" spans="1:5" x14ac:dyDescent="0.3">
      <c r="A7521" s="21" t="str">
        <f t="shared" si="117"/>
        <v>.</v>
      </c>
      <c r="D7521" s="44"/>
      <c r="E7521" s="22" t="str">
        <f>IF(D7521&lt;&gt;"",IFERROR(INDEX(Produtos!$C$4:$C$4996,MATCH(D7521,Produtos!$B$4:$B$4996,0)),"Produto não encontrado"),"")</f>
        <v/>
      </c>
    </row>
    <row r="7522" spans="1:5" x14ac:dyDescent="0.3">
      <c r="A7522" s="21" t="str">
        <f t="shared" si="117"/>
        <v>.</v>
      </c>
      <c r="D7522" s="44"/>
      <c r="E7522" s="22" t="str">
        <f>IF(D7522&lt;&gt;"",IFERROR(INDEX(Produtos!$C$4:$C$4996,MATCH(D7522,Produtos!$B$4:$B$4996,0)),"Produto não encontrado"),"")</f>
        <v/>
      </c>
    </row>
    <row r="7523" spans="1:5" x14ac:dyDescent="0.3">
      <c r="A7523" s="21" t="str">
        <f t="shared" si="117"/>
        <v>.</v>
      </c>
      <c r="D7523" s="44"/>
      <c r="E7523" s="22" t="str">
        <f>IF(D7523&lt;&gt;"",IFERROR(INDEX(Produtos!$C$4:$C$4996,MATCH(D7523,Produtos!$B$4:$B$4996,0)),"Produto não encontrado"),"")</f>
        <v/>
      </c>
    </row>
    <row r="7524" spans="1:5" x14ac:dyDescent="0.3">
      <c r="A7524" s="21" t="str">
        <f t="shared" si="117"/>
        <v>.</v>
      </c>
      <c r="D7524" s="44"/>
      <c r="E7524" s="22" t="str">
        <f>IF(D7524&lt;&gt;"",IFERROR(INDEX(Produtos!$C$4:$C$4996,MATCH(D7524,Produtos!$B$4:$B$4996,0)),"Produto não encontrado"),"")</f>
        <v/>
      </c>
    </row>
    <row r="7525" spans="1:5" x14ac:dyDescent="0.3">
      <c r="A7525" s="21" t="str">
        <f t="shared" si="117"/>
        <v>.</v>
      </c>
      <c r="D7525" s="44"/>
      <c r="E7525" s="22" t="str">
        <f>IF(D7525&lt;&gt;"",IFERROR(INDEX(Produtos!$C$4:$C$4996,MATCH(D7525,Produtos!$B$4:$B$4996,0)),"Produto não encontrado"),"")</f>
        <v/>
      </c>
    </row>
    <row r="7526" spans="1:5" x14ac:dyDescent="0.3">
      <c r="A7526" s="21" t="str">
        <f t="shared" si="117"/>
        <v>.</v>
      </c>
      <c r="D7526" s="44"/>
      <c r="E7526" s="22" t="str">
        <f>IF(D7526&lt;&gt;"",IFERROR(INDEX(Produtos!$C$4:$C$4996,MATCH(D7526,Produtos!$B$4:$B$4996,0)),"Produto não encontrado"),"")</f>
        <v/>
      </c>
    </row>
    <row r="7527" spans="1:5" x14ac:dyDescent="0.3">
      <c r="A7527" s="21" t="str">
        <f t="shared" si="117"/>
        <v>.</v>
      </c>
      <c r="D7527" s="44"/>
      <c r="E7527" s="22" t="str">
        <f>IF(D7527&lt;&gt;"",IFERROR(INDEX(Produtos!$C$4:$C$4996,MATCH(D7527,Produtos!$B$4:$B$4996,0)),"Produto não encontrado"),"")</f>
        <v/>
      </c>
    </row>
    <row r="7528" spans="1:5" x14ac:dyDescent="0.3">
      <c r="A7528" s="21" t="str">
        <f t="shared" si="117"/>
        <v>.</v>
      </c>
      <c r="D7528" s="44"/>
      <c r="E7528" s="22" t="str">
        <f>IF(D7528&lt;&gt;"",IFERROR(INDEX(Produtos!$C$4:$C$4996,MATCH(D7528,Produtos!$B$4:$B$4996,0)),"Produto não encontrado"),"")</f>
        <v/>
      </c>
    </row>
    <row r="7529" spans="1:5" x14ac:dyDescent="0.3">
      <c r="A7529" s="21" t="str">
        <f t="shared" si="117"/>
        <v>.</v>
      </c>
      <c r="D7529" s="44"/>
      <c r="E7529" s="22" t="str">
        <f>IF(D7529&lt;&gt;"",IFERROR(INDEX(Produtos!$C$4:$C$4996,MATCH(D7529,Produtos!$B$4:$B$4996,0)),"Produto não encontrado"),"")</f>
        <v/>
      </c>
    </row>
    <row r="7530" spans="1:5" x14ac:dyDescent="0.3">
      <c r="A7530" s="21" t="str">
        <f t="shared" si="117"/>
        <v>.</v>
      </c>
      <c r="D7530" s="44"/>
      <c r="E7530" s="22" t="str">
        <f>IF(D7530&lt;&gt;"",IFERROR(INDEX(Produtos!$C$4:$C$4996,MATCH(D7530,Produtos!$B$4:$B$4996,0)),"Produto não encontrado"),"")</f>
        <v/>
      </c>
    </row>
    <row r="7531" spans="1:5" x14ac:dyDescent="0.3">
      <c r="A7531" s="21" t="str">
        <f t="shared" si="117"/>
        <v>.</v>
      </c>
      <c r="D7531" s="44"/>
      <c r="E7531" s="22" t="str">
        <f>IF(D7531&lt;&gt;"",IFERROR(INDEX(Produtos!$C$4:$C$4996,MATCH(D7531,Produtos!$B$4:$B$4996,0)),"Produto não encontrado"),"")</f>
        <v/>
      </c>
    </row>
    <row r="7532" spans="1:5" x14ac:dyDescent="0.3">
      <c r="A7532" s="21" t="str">
        <f t="shared" si="117"/>
        <v>.</v>
      </c>
      <c r="D7532" s="44"/>
      <c r="E7532" s="22" t="str">
        <f>IF(D7532&lt;&gt;"",IFERROR(INDEX(Produtos!$C$4:$C$4996,MATCH(D7532,Produtos!$B$4:$B$4996,0)),"Produto não encontrado"),"")</f>
        <v/>
      </c>
    </row>
    <row r="7533" spans="1:5" x14ac:dyDescent="0.3">
      <c r="A7533" s="21" t="str">
        <f t="shared" si="117"/>
        <v>.</v>
      </c>
      <c r="D7533" s="44"/>
      <c r="E7533" s="22" t="str">
        <f>IF(D7533&lt;&gt;"",IFERROR(INDEX(Produtos!$C$4:$C$4996,MATCH(D7533,Produtos!$B$4:$B$4996,0)),"Produto não encontrado"),"")</f>
        <v/>
      </c>
    </row>
    <row r="7534" spans="1:5" x14ac:dyDescent="0.3">
      <c r="A7534" s="21" t="str">
        <f t="shared" si="117"/>
        <v>.</v>
      </c>
      <c r="D7534" s="44"/>
      <c r="E7534" s="22" t="str">
        <f>IF(D7534&lt;&gt;"",IFERROR(INDEX(Produtos!$C$4:$C$4996,MATCH(D7534,Produtos!$B$4:$B$4996,0)),"Produto não encontrado"),"")</f>
        <v/>
      </c>
    </row>
    <row r="7535" spans="1:5" x14ac:dyDescent="0.3">
      <c r="A7535" s="21" t="str">
        <f t="shared" si="117"/>
        <v>.</v>
      </c>
      <c r="D7535" s="44"/>
      <c r="E7535" s="22" t="str">
        <f>IF(D7535&lt;&gt;"",IFERROR(INDEX(Produtos!$C$4:$C$4996,MATCH(D7535,Produtos!$B$4:$B$4996,0)),"Produto não encontrado"),"")</f>
        <v/>
      </c>
    </row>
    <row r="7536" spans="1:5" x14ac:dyDescent="0.3">
      <c r="A7536" s="21" t="str">
        <f t="shared" si="117"/>
        <v>.</v>
      </c>
      <c r="D7536" s="44"/>
      <c r="E7536" s="22" t="str">
        <f>IF(D7536&lt;&gt;"",IFERROR(INDEX(Produtos!$C$4:$C$4996,MATCH(D7536,Produtos!$B$4:$B$4996,0)),"Produto não encontrado"),"")</f>
        <v/>
      </c>
    </row>
    <row r="7537" spans="1:5" x14ac:dyDescent="0.3">
      <c r="A7537" s="21" t="str">
        <f t="shared" si="117"/>
        <v>.</v>
      </c>
      <c r="D7537" s="44"/>
      <c r="E7537" s="22" t="str">
        <f>IF(D7537&lt;&gt;"",IFERROR(INDEX(Produtos!$C$4:$C$4996,MATCH(D7537,Produtos!$B$4:$B$4996,0)),"Produto não encontrado"),"")</f>
        <v/>
      </c>
    </row>
    <row r="7538" spans="1:5" x14ac:dyDescent="0.3">
      <c r="A7538" s="21" t="str">
        <f t="shared" si="117"/>
        <v>.</v>
      </c>
      <c r="D7538" s="44"/>
      <c r="E7538" s="22" t="str">
        <f>IF(D7538&lt;&gt;"",IFERROR(INDEX(Produtos!$C$4:$C$4996,MATCH(D7538,Produtos!$B$4:$B$4996,0)),"Produto não encontrado"),"")</f>
        <v/>
      </c>
    </row>
    <row r="7539" spans="1:5" x14ac:dyDescent="0.3">
      <c r="A7539" s="21" t="str">
        <f t="shared" si="117"/>
        <v>.</v>
      </c>
      <c r="D7539" s="44"/>
      <c r="E7539" s="22" t="str">
        <f>IF(D7539&lt;&gt;"",IFERROR(INDEX(Produtos!$C$4:$C$4996,MATCH(D7539,Produtos!$B$4:$B$4996,0)),"Produto não encontrado"),"")</f>
        <v/>
      </c>
    </row>
    <row r="7540" spans="1:5" x14ac:dyDescent="0.3">
      <c r="A7540" s="21" t="str">
        <f t="shared" si="117"/>
        <v>.</v>
      </c>
      <c r="D7540" s="44"/>
      <c r="E7540" s="22" t="str">
        <f>IF(D7540&lt;&gt;"",IFERROR(INDEX(Produtos!$C$4:$C$4996,MATCH(D7540,Produtos!$B$4:$B$4996,0)),"Produto não encontrado"),"")</f>
        <v/>
      </c>
    </row>
    <row r="7541" spans="1:5" x14ac:dyDescent="0.3">
      <c r="A7541" s="21" t="str">
        <f t="shared" si="117"/>
        <v>.</v>
      </c>
      <c r="D7541" s="44"/>
      <c r="E7541" s="22" t="str">
        <f>IF(D7541&lt;&gt;"",IFERROR(INDEX(Produtos!$C$4:$C$4996,MATCH(D7541,Produtos!$B$4:$B$4996,0)),"Produto não encontrado"),"")</f>
        <v/>
      </c>
    </row>
    <row r="7542" spans="1:5" x14ac:dyDescent="0.3">
      <c r="A7542" s="21" t="str">
        <f t="shared" si="117"/>
        <v>.</v>
      </c>
      <c r="D7542" s="44"/>
      <c r="E7542" s="22" t="str">
        <f>IF(D7542&lt;&gt;"",IFERROR(INDEX(Produtos!$C$4:$C$4996,MATCH(D7542,Produtos!$B$4:$B$4996,0)),"Produto não encontrado"),"")</f>
        <v/>
      </c>
    </row>
    <row r="7543" spans="1:5" x14ac:dyDescent="0.3">
      <c r="A7543" s="21" t="str">
        <f t="shared" si="117"/>
        <v>.</v>
      </c>
      <c r="D7543" s="44"/>
      <c r="E7543" s="22" t="str">
        <f>IF(D7543&lt;&gt;"",IFERROR(INDEX(Produtos!$C$4:$C$4996,MATCH(D7543,Produtos!$B$4:$B$4996,0)),"Produto não encontrado"),"")</f>
        <v/>
      </c>
    </row>
    <row r="7544" spans="1:5" x14ac:dyDescent="0.3">
      <c r="A7544" s="21" t="str">
        <f t="shared" si="117"/>
        <v>.</v>
      </c>
      <c r="D7544" s="44"/>
      <c r="E7544" s="22" t="str">
        <f>IF(D7544&lt;&gt;"",IFERROR(INDEX(Produtos!$C$4:$C$4996,MATCH(D7544,Produtos!$B$4:$B$4996,0)),"Produto não encontrado"),"")</f>
        <v/>
      </c>
    </row>
    <row r="7545" spans="1:5" x14ac:dyDescent="0.3">
      <c r="A7545" s="21" t="str">
        <f t="shared" si="117"/>
        <v>.</v>
      </c>
      <c r="D7545" s="44"/>
      <c r="E7545" s="22" t="str">
        <f>IF(D7545&lt;&gt;"",IFERROR(INDEX(Produtos!$C$4:$C$4996,MATCH(D7545,Produtos!$B$4:$B$4996,0)),"Produto não encontrado"),"")</f>
        <v/>
      </c>
    </row>
    <row r="7546" spans="1:5" x14ac:dyDescent="0.3">
      <c r="A7546" s="21" t="str">
        <f t="shared" si="117"/>
        <v>.</v>
      </c>
      <c r="D7546" s="44"/>
      <c r="E7546" s="22" t="str">
        <f>IF(D7546&lt;&gt;"",IFERROR(INDEX(Produtos!$C$4:$C$4996,MATCH(D7546,Produtos!$B$4:$B$4996,0)),"Produto não encontrado"),"")</f>
        <v/>
      </c>
    </row>
    <row r="7547" spans="1:5" x14ac:dyDescent="0.3">
      <c r="A7547" s="21" t="str">
        <f t="shared" si="117"/>
        <v>.</v>
      </c>
      <c r="D7547" s="44"/>
      <c r="E7547" s="22" t="str">
        <f>IF(D7547&lt;&gt;"",IFERROR(INDEX(Produtos!$C$4:$C$4996,MATCH(D7547,Produtos!$B$4:$B$4996,0)),"Produto não encontrado"),"")</f>
        <v/>
      </c>
    </row>
    <row r="7548" spans="1:5" x14ac:dyDescent="0.3">
      <c r="A7548" s="21" t="str">
        <f t="shared" si="117"/>
        <v>.</v>
      </c>
      <c r="D7548" s="44"/>
      <c r="E7548" s="22" t="str">
        <f>IF(D7548&lt;&gt;"",IFERROR(INDEX(Produtos!$C$4:$C$4996,MATCH(D7548,Produtos!$B$4:$B$4996,0)),"Produto não encontrado"),"")</f>
        <v/>
      </c>
    </row>
    <row r="7549" spans="1:5" x14ac:dyDescent="0.3">
      <c r="A7549" s="21" t="str">
        <f t="shared" si="117"/>
        <v>.</v>
      </c>
      <c r="D7549" s="44"/>
      <c r="E7549" s="22" t="str">
        <f>IF(D7549&lt;&gt;"",IFERROR(INDEX(Produtos!$C$4:$C$4996,MATCH(D7549,Produtos!$B$4:$B$4996,0)),"Produto não encontrado"),"")</f>
        <v/>
      </c>
    </row>
    <row r="7550" spans="1:5" x14ac:dyDescent="0.3">
      <c r="A7550" s="21" t="str">
        <f t="shared" si="117"/>
        <v>.</v>
      </c>
      <c r="D7550" s="44"/>
      <c r="E7550" s="22" t="str">
        <f>IF(D7550&lt;&gt;"",IFERROR(INDEX(Produtos!$C$4:$C$4996,MATCH(D7550,Produtos!$B$4:$B$4996,0)),"Produto não encontrado"),"")</f>
        <v/>
      </c>
    </row>
    <row r="7551" spans="1:5" x14ac:dyDescent="0.3">
      <c r="A7551" s="21" t="str">
        <f t="shared" si="117"/>
        <v>.</v>
      </c>
      <c r="D7551" s="44"/>
      <c r="E7551" s="22" t="str">
        <f>IF(D7551&lt;&gt;"",IFERROR(INDEX(Produtos!$C$4:$C$4996,MATCH(D7551,Produtos!$B$4:$B$4996,0)),"Produto não encontrado"),"")</f>
        <v/>
      </c>
    </row>
    <row r="7552" spans="1:5" x14ac:dyDescent="0.3">
      <c r="A7552" s="21" t="str">
        <f t="shared" ref="A7552:A7615" si="118">IF(C7552="Entrada",2,IF(C7552="Saída",1,"."))</f>
        <v>.</v>
      </c>
      <c r="D7552" s="44"/>
      <c r="E7552" s="22" t="str">
        <f>IF(D7552&lt;&gt;"",IFERROR(INDEX(Produtos!$C$4:$C$4996,MATCH(D7552,Produtos!$B$4:$B$4996,0)),"Produto não encontrado"),"")</f>
        <v/>
      </c>
    </row>
    <row r="7553" spans="1:5" x14ac:dyDescent="0.3">
      <c r="A7553" s="21" t="str">
        <f t="shared" si="118"/>
        <v>.</v>
      </c>
      <c r="D7553" s="44"/>
      <c r="E7553" s="22" t="str">
        <f>IF(D7553&lt;&gt;"",IFERROR(INDEX(Produtos!$C$4:$C$4996,MATCH(D7553,Produtos!$B$4:$B$4996,0)),"Produto não encontrado"),"")</f>
        <v/>
      </c>
    </row>
    <row r="7554" spans="1:5" x14ac:dyDescent="0.3">
      <c r="A7554" s="21" t="str">
        <f t="shared" si="118"/>
        <v>.</v>
      </c>
      <c r="D7554" s="44"/>
      <c r="E7554" s="22" t="str">
        <f>IF(D7554&lt;&gt;"",IFERROR(INDEX(Produtos!$C$4:$C$4996,MATCH(D7554,Produtos!$B$4:$B$4996,0)),"Produto não encontrado"),"")</f>
        <v/>
      </c>
    </row>
    <row r="7555" spans="1:5" x14ac:dyDescent="0.3">
      <c r="A7555" s="21" t="str">
        <f t="shared" si="118"/>
        <v>.</v>
      </c>
      <c r="D7555" s="44"/>
      <c r="E7555" s="22" t="str">
        <f>IF(D7555&lt;&gt;"",IFERROR(INDEX(Produtos!$C$4:$C$4996,MATCH(D7555,Produtos!$B$4:$B$4996,0)),"Produto não encontrado"),"")</f>
        <v/>
      </c>
    </row>
    <row r="7556" spans="1:5" x14ac:dyDescent="0.3">
      <c r="A7556" s="21" t="str">
        <f t="shared" si="118"/>
        <v>.</v>
      </c>
      <c r="D7556" s="44"/>
      <c r="E7556" s="22" t="str">
        <f>IF(D7556&lt;&gt;"",IFERROR(INDEX(Produtos!$C$4:$C$4996,MATCH(D7556,Produtos!$B$4:$B$4996,0)),"Produto não encontrado"),"")</f>
        <v/>
      </c>
    </row>
    <row r="7557" spans="1:5" x14ac:dyDescent="0.3">
      <c r="A7557" s="21" t="str">
        <f t="shared" si="118"/>
        <v>.</v>
      </c>
      <c r="D7557" s="44"/>
      <c r="E7557" s="22" t="str">
        <f>IF(D7557&lt;&gt;"",IFERROR(INDEX(Produtos!$C$4:$C$4996,MATCH(D7557,Produtos!$B$4:$B$4996,0)),"Produto não encontrado"),"")</f>
        <v/>
      </c>
    </row>
    <row r="7558" spans="1:5" x14ac:dyDescent="0.3">
      <c r="A7558" s="21" t="str">
        <f t="shared" si="118"/>
        <v>.</v>
      </c>
      <c r="D7558" s="44"/>
      <c r="E7558" s="22" t="str">
        <f>IF(D7558&lt;&gt;"",IFERROR(INDEX(Produtos!$C$4:$C$4996,MATCH(D7558,Produtos!$B$4:$B$4996,0)),"Produto não encontrado"),"")</f>
        <v/>
      </c>
    </row>
    <row r="7559" spans="1:5" x14ac:dyDescent="0.3">
      <c r="A7559" s="21" t="str">
        <f t="shared" si="118"/>
        <v>.</v>
      </c>
      <c r="D7559" s="44"/>
      <c r="E7559" s="22" t="str">
        <f>IF(D7559&lt;&gt;"",IFERROR(INDEX(Produtos!$C$4:$C$4996,MATCH(D7559,Produtos!$B$4:$B$4996,0)),"Produto não encontrado"),"")</f>
        <v/>
      </c>
    </row>
    <row r="7560" spans="1:5" x14ac:dyDescent="0.3">
      <c r="A7560" s="21" t="str">
        <f t="shared" si="118"/>
        <v>.</v>
      </c>
      <c r="D7560" s="44"/>
      <c r="E7560" s="22" t="str">
        <f>IF(D7560&lt;&gt;"",IFERROR(INDEX(Produtos!$C$4:$C$4996,MATCH(D7560,Produtos!$B$4:$B$4996,0)),"Produto não encontrado"),"")</f>
        <v/>
      </c>
    </row>
    <row r="7561" spans="1:5" x14ac:dyDescent="0.3">
      <c r="A7561" s="21" t="str">
        <f t="shared" si="118"/>
        <v>.</v>
      </c>
      <c r="D7561" s="44"/>
      <c r="E7561" s="22" t="str">
        <f>IF(D7561&lt;&gt;"",IFERROR(INDEX(Produtos!$C$4:$C$4996,MATCH(D7561,Produtos!$B$4:$B$4996,0)),"Produto não encontrado"),"")</f>
        <v/>
      </c>
    </row>
    <row r="7562" spans="1:5" x14ac:dyDescent="0.3">
      <c r="A7562" s="21" t="str">
        <f t="shared" si="118"/>
        <v>.</v>
      </c>
      <c r="D7562" s="44"/>
      <c r="E7562" s="22" t="str">
        <f>IF(D7562&lt;&gt;"",IFERROR(INDEX(Produtos!$C$4:$C$4996,MATCH(D7562,Produtos!$B$4:$B$4996,0)),"Produto não encontrado"),"")</f>
        <v/>
      </c>
    </row>
    <row r="7563" spans="1:5" x14ac:dyDescent="0.3">
      <c r="A7563" s="21" t="str">
        <f t="shared" si="118"/>
        <v>.</v>
      </c>
      <c r="D7563" s="44"/>
      <c r="E7563" s="22" t="str">
        <f>IF(D7563&lt;&gt;"",IFERROR(INDEX(Produtos!$C$4:$C$4996,MATCH(D7563,Produtos!$B$4:$B$4996,0)),"Produto não encontrado"),"")</f>
        <v/>
      </c>
    </row>
    <row r="7564" spans="1:5" x14ac:dyDescent="0.3">
      <c r="A7564" s="21" t="str">
        <f t="shared" si="118"/>
        <v>.</v>
      </c>
      <c r="D7564" s="44"/>
      <c r="E7564" s="22" t="str">
        <f>IF(D7564&lt;&gt;"",IFERROR(INDEX(Produtos!$C$4:$C$4996,MATCH(D7564,Produtos!$B$4:$B$4996,0)),"Produto não encontrado"),"")</f>
        <v/>
      </c>
    </row>
    <row r="7565" spans="1:5" x14ac:dyDescent="0.3">
      <c r="A7565" s="21" t="str">
        <f t="shared" si="118"/>
        <v>.</v>
      </c>
      <c r="D7565" s="44"/>
      <c r="E7565" s="22" t="str">
        <f>IF(D7565&lt;&gt;"",IFERROR(INDEX(Produtos!$C$4:$C$4996,MATCH(D7565,Produtos!$B$4:$B$4996,0)),"Produto não encontrado"),"")</f>
        <v/>
      </c>
    </row>
    <row r="7566" spans="1:5" x14ac:dyDescent="0.3">
      <c r="A7566" s="21" t="str">
        <f t="shared" si="118"/>
        <v>.</v>
      </c>
      <c r="D7566" s="44"/>
      <c r="E7566" s="22" t="str">
        <f>IF(D7566&lt;&gt;"",IFERROR(INDEX(Produtos!$C$4:$C$4996,MATCH(D7566,Produtos!$B$4:$B$4996,0)),"Produto não encontrado"),"")</f>
        <v/>
      </c>
    </row>
    <row r="7567" spans="1:5" x14ac:dyDescent="0.3">
      <c r="A7567" s="21" t="str">
        <f t="shared" si="118"/>
        <v>.</v>
      </c>
      <c r="D7567" s="44"/>
      <c r="E7567" s="22" t="str">
        <f>IF(D7567&lt;&gt;"",IFERROR(INDEX(Produtos!$C$4:$C$4996,MATCH(D7567,Produtos!$B$4:$B$4996,0)),"Produto não encontrado"),"")</f>
        <v/>
      </c>
    </row>
    <row r="7568" spans="1:5" x14ac:dyDescent="0.3">
      <c r="A7568" s="21" t="str">
        <f t="shared" si="118"/>
        <v>.</v>
      </c>
      <c r="D7568" s="44"/>
      <c r="E7568" s="22" t="str">
        <f>IF(D7568&lt;&gt;"",IFERROR(INDEX(Produtos!$C$4:$C$4996,MATCH(D7568,Produtos!$B$4:$B$4996,0)),"Produto não encontrado"),"")</f>
        <v/>
      </c>
    </row>
    <row r="7569" spans="1:5" x14ac:dyDescent="0.3">
      <c r="A7569" s="21" t="str">
        <f t="shared" si="118"/>
        <v>.</v>
      </c>
      <c r="D7569" s="44"/>
      <c r="E7569" s="22" t="str">
        <f>IF(D7569&lt;&gt;"",IFERROR(INDEX(Produtos!$C$4:$C$4996,MATCH(D7569,Produtos!$B$4:$B$4996,0)),"Produto não encontrado"),"")</f>
        <v/>
      </c>
    </row>
    <row r="7570" spans="1:5" x14ac:dyDescent="0.3">
      <c r="A7570" s="21" t="str">
        <f t="shared" si="118"/>
        <v>.</v>
      </c>
      <c r="D7570" s="44"/>
      <c r="E7570" s="22" t="str">
        <f>IF(D7570&lt;&gt;"",IFERROR(INDEX(Produtos!$C$4:$C$4996,MATCH(D7570,Produtos!$B$4:$B$4996,0)),"Produto não encontrado"),"")</f>
        <v/>
      </c>
    </row>
    <row r="7571" spans="1:5" x14ac:dyDescent="0.3">
      <c r="A7571" s="21" t="str">
        <f t="shared" si="118"/>
        <v>.</v>
      </c>
      <c r="D7571" s="44"/>
      <c r="E7571" s="22" t="str">
        <f>IF(D7571&lt;&gt;"",IFERROR(INDEX(Produtos!$C$4:$C$4996,MATCH(D7571,Produtos!$B$4:$B$4996,0)),"Produto não encontrado"),"")</f>
        <v/>
      </c>
    </row>
    <row r="7572" spans="1:5" x14ac:dyDescent="0.3">
      <c r="A7572" s="21" t="str">
        <f t="shared" si="118"/>
        <v>.</v>
      </c>
      <c r="D7572" s="44"/>
      <c r="E7572" s="22" t="str">
        <f>IF(D7572&lt;&gt;"",IFERROR(INDEX(Produtos!$C$4:$C$4996,MATCH(D7572,Produtos!$B$4:$B$4996,0)),"Produto não encontrado"),"")</f>
        <v/>
      </c>
    </row>
    <row r="7573" spans="1:5" x14ac:dyDescent="0.3">
      <c r="A7573" s="21" t="str">
        <f t="shared" si="118"/>
        <v>.</v>
      </c>
      <c r="D7573" s="44"/>
      <c r="E7573" s="22" t="str">
        <f>IF(D7573&lt;&gt;"",IFERROR(INDEX(Produtos!$C$4:$C$4996,MATCH(D7573,Produtos!$B$4:$B$4996,0)),"Produto não encontrado"),"")</f>
        <v/>
      </c>
    </row>
    <row r="7574" spans="1:5" x14ac:dyDescent="0.3">
      <c r="A7574" s="21" t="str">
        <f t="shared" si="118"/>
        <v>.</v>
      </c>
      <c r="D7574" s="44"/>
      <c r="E7574" s="22" t="str">
        <f>IF(D7574&lt;&gt;"",IFERROR(INDEX(Produtos!$C$4:$C$4996,MATCH(D7574,Produtos!$B$4:$B$4996,0)),"Produto não encontrado"),"")</f>
        <v/>
      </c>
    </row>
    <row r="7575" spans="1:5" x14ac:dyDescent="0.3">
      <c r="A7575" s="21" t="str">
        <f t="shared" si="118"/>
        <v>.</v>
      </c>
      <c r="D7575" s="44"/>
      <c r="E7575" s="22" t="str">
        <f>IF(D7575&lt;&gt;"",IFERROR(INDEX(Produtos!$C$4:$C$4996,MATCH(D7575,Produtos!$B$4:$B$4996,0)),"Produto não encontrado"),"")</f>
        <v/>
      </c>
    </row>
    <row r="7576" spans="1:5" x14ac:dyDescent="0.3">
      <c r="A7576" s="21" t="str">
        <f t="shared" si="118"/>
        <v>.</v>
      </c>
      <c r="D7576" s="44"/>
      <c r="E7576" s="22" t="str">
        <f>IF(D7576&lt;&gt;"",IFERROR(INDEX(Produtos!$C$4:$C$4996,MATCH(D7576,Produtos!$B$4:$B$4996,0)),"Produto não encontrado"),"")</f>
        <v/>
      </c>
    </row>
    <row r="7577" spans="1:5" x14ac:dyDescent="0.3">
      <c r="A7577" s="21" t="str">
        <f t="shared" si="118"/>
        <v>.</v>
      </c>
      <c r="D7577" s="44"/>
      <c r="E7577" s="22" t="str">
        <f>IF(D7577&lt;&gt;"",IFERROR(INDEX(Produtos!$C$4:$C$4996,MATCH(D7577,Produtos!$B$4:$B$4996,0)),"Produto não encontrado"),"")</f>
        <v/>
      </c>
    </row>
    <row r="7578" spans="1:5" x14ac:dyDescent="0.3">
      <c r="A7578" s="21" t="str">
        <f t="shared" si="118"/>
        <v>.</v>
      </c>
      <c r="D7578" s="44"/>
      <c r="E7578" s="22" t="str">
        <f>IF(D7578&lt;&gt;"",IFERROR(INDEX(Produtos!$C$4:$C$4996,MATCH(D7578,Produtos!$B$4:$B$4996,0)),"Produto não encontrado"),"")</f>
        <v/>
      </c>
    </row>
    <row r="7579" spans="1:5" x14ac:dyDescent="0.3">
      <c r="A7579" s="21" t="str">
        <f t="shared" si="118"/>
        <v>.</v>
      </c>
      <c r="D7579" s="44"/>
      <c r="E7579" s="22" t="str">
        <f>IF(D7579&lt;&gt;"",IFERROR(INDEX(Produtos!$C$4:$C$4996,MATCH(D7579,Produtos!$B$4:$B$4996,0)),"Produto não encontrado"),"")</f>
        <v/>
      </c>
    </row>
    <row r="7580" spans="1:5" x14ac:dyDescent="0.3">
      <c r="A7580" s="21" t="str">
        <f t="shared" si="118"/>
        <v>.</v>
      </c>
      <c r="D7580" s="44"/>
      <c r="E7580" s="22" t="str">
        <f>IF(D7580&lt;&gt;"",IFERROR(INDEX(Produtos!$C$4:$C$4996,MATCH(D7580,Produtos!$B$4:$B$4996,0)),"Produto não encontrado"),"")</f>
        <v/>
      </c>
    </row>
    <row r="7581" spans="1:5" x14ac:dyDescent="0.3">
      <c r="A7581" s="21" t="str">
        <f t="shared" si="118"/>
        <v>.</v>
      </c>
      <c r="D7581" s="44"/>
      <c r="E7581" s="22" t="str">
        <f>IF(D7581&lt;&gt;"",IFERROR(INDEX(Produtos!$C$4:$C$4996,MATCH(D7581,Produtos!$B$4:$B$4996,0)),"Produto não encontrado"),"")</f>
        <v/>
      </c>
    </row>
    <row r="7582" spans="1:5" x14ac:dyDescent="0.3">
      <c r="A7582" s="21" t="str">
        <f t="shared" si="118"/>
        <v>.</v>
      </c>
      <c r="D7582" s="44"/>
      <c r="E7582" s="22" t="str">
        <f>IF(D7582&lt;&gt;"",IFERROR(INDEX(Produtos!$C$4:$C$4996,MATCH(D7582,Produtos!$B$4:$B$4996,0)),"Produto não encontrado"),"")</f>
        <v/>
      </c>
    </row>
    <row r="7583" spans="1:5" x14ac:dyDescent="0.3">
      <c r="A7583" s="21" t="str">
        <f t="shared" si="118"/>
        <v>.</v>
      </c>
      <c r="D7583" s="44"/>
      <c r="E7583" s="22" t="str">
        <f>IF(D7583&lt;&gt;"",IFERROR(INDEX(Produtos!$C$4:$C$4996,MATCH(D7583,Produtos!$B$4:$B$4996,0)),"Produto não encontrado"),"")</f>
        <v/>
      </c>
    </row>
    <row r="7584" spans="1:5" x14ac:dyDescent="0.3">
      <c r="A7584" s="21" t="str">
        <f t="shared" si="118"/>
        <v>.</v>
      </c>
      <c r="D7584" s="44"/>
      <c r="E7584" s="22" t="str">
        <f>IF(D7584&lt;&gt;"",IFERROR(INDEX(Produtos!$C$4:$C$4996,MATCH(D7584,Produtos!$B$4:$B$4996,0)),"Produto não encontrado"),"")</f>
        <v/>
      </c>
    </row>
    <row r="7585" spans="1:5" x14ac:dyDescent="0.3">
      <c r="A7585" s="21" t="str">
        <f t="shared" si="118"/>
        <v>.</v>
      </c>
      <c r="D7585" s="44"/>
      <c r="E7585" s="22" t="str">
        <f>IF(D7585&lt;&gt;"",IFERROR(INDEX(Produtos!$C$4:$C$4996,MATCH(D7585,Produtos!$B$4:$B$4996,0)),"Produto não encontrado"),"")</f>
        <v/>
      </c>
    </row>
    <row r="7586" spans="1:5" x14ac:dyDescent="0.3">
      <c r="A7586" s="21" t="str">
        <f t="shared" si="118"/>
        <v>.</v>
      </c>
      <c r="D7586" s="44"/>
      <c r="E7586" s="22" t="str">
        <f>IF(D7586&lt;&gt;"",IFERROR(INDEX(Produtos!$C$4:$C$4996,MATCH(D7586,Produtos!$B$4:$B$4996,0)),"Produto não encontrado"),"")</f>
        <v/>
      </c>
    </row>
    <row r="7587" spans="1:5" x14ac:dyDescent="0.3">
      <c r="A7587" s="21" t="str">
        <f t="shared" si="118"/>
        <v>.</v>
      </c>
      <c r="D7587" s="44"/>
      <c r="E7587" s="22" t="str">
        <f>IF(D7587&lt;&gt;"",IFERROR(INDEX(Produtos!$C$4:$C$4996,MATCH(D7587,Produtos!$B$4:$B$4996,0)),"Produto não encontrado"),"")</f>
        <v/>
      </c>
    </row>
    <row r="7588" spans="1:5" x14ac:dyDescent="0.3">
      <c r="A7588" s="21" t="str">
        <f t="shared" si="118"/>
        <v>.</v>
      </c>
      <c r="D7588" s="44"/>
      <c r="E7588" s="22" t="str">
        <f>IF(D7588&lt;&gt;"",IFERROR(INDEX(Produtos!$C$4:$C$4996,MATCH(D7588,Produtos!$B$4:$B$4996,0)),"Produto não encontrado"),"")</f>
        <v/>
      </c>
    </row>
    <row r="7589" spans="1:5" x14ac:dyDescent="0.3">
      <c r="A7589" s="21" t="str">
        <f t="shared" si="118"/>
        <v>.</v>
      </c>
      <c r="D7589" s="44"/>
      <c r="E7589" s="22" t="str">
        <f>IF(D7589&lt;&gt;"",IFERROR(INDEX(Produtos!$C$4:$C$4996,MATCH(D7589,Produtos!$B$4:$B$4996,0)),"Produto não encontrado"),"")</f>
        <v/>
      </c>
    </row>
    <row r="7590" spans="1:5" x14ac:dyDescent="0.3">
      <c r="A7590" s="21" t="str">
        <f t="shared" si="118"/>
        <v>.</v>
      </c>
      <c r="D7590" s="44"/>
      <c r="E7590" s="22" t="str">
        <f>IF(D7590&lt;&gt;"",IFERROR(INDEX(Produtos!$C$4:$C$4996,MATCH(D7590,Produtos!$B$4:$B$4996,0)),"Produto não encontrado"),"")</f>
        <v/>
      </c>
    </row>
    <row r="7591" spans="1:5" x14ac:dyDescent="0.3">
      <c r="A7591" s="21" t="str">
        <f t="shared" si="118"/>
        <v>.</v>
      </c>
      <c r="D7591" s="44"/>
      <c r="E7591" s="22" t="str">
        <f>IF(D7591&lt;&gt;"",IFERROR(INDEX(Produtos!$C$4:$C$4996,MATCH(D7591,Produtos!$B$4:$B$4996,0)),"Produto não encontrado"),"")</f>
        <v/>
      </c>
    </row>
    <row r="7592" spans="1:5" x14ac:dyDescent="0.3">
      <c r="A7592" s="21" t="str">
        <f t="shared" si="118"/>
        <v>.</v>
      </c>
      <c r="D7592" s="44"/>
      <c r="E7592" s="22" t="str">
        <f>IF(D7592&lt;&gt;"",IFERROR(INDEX(Produtos!$C$4:$C$4996,MATCH(D7592,Produtos!$B$4:$B$4996,0)),"Produto não encontrado"),"")</f>
        <v/>
      </c>
    </row>
    <row r="7593" spans="1:5" x14ac:dyDescent="0.3">
      <c r="A7593" s="21" t="str">
        <f t="shared" si="118"/>
        <v>.</v>
      </c>
      <c r="D7593" s="44"/>
      <c r="E7593" s="22" t="str">
        <f>IF(D7593&lt;&gt;"",IFERROR(INDEX(Produtos!$C$4:$C$4996,MATCH(D7593,Produtos!$B$4:$B$4996,0)),"Produto não encontrado"),"")</f>
        <v/>
      </c>
    </row>
    <row r="7594" spans="1:5" x14ac:dyDescent="0.3">
      <c r="A7594" s="21" t="str">
        <f t="shared" si="118"/>
        <v>.</v>
      </c>
      <c r="D7594" s="44"/>
      <c r="E7594" s="22" t="str">
        <f>IF(D7594&lt;&gt;"",IFERROR(INDEX(Produtos!$C$4:$C$4996,MATCH(D7594,Produtos!$B$4:$B$4996,0)),"Produto não encontrado"),"")</f>
        <v/>
      </c>
    </row>
    <row r="7595" spans="1:5" x14ac:dyDescent="0.3">
      <c r="A7595" s="21" t="str">
        <f t="shared" si="118"/>
        <v>.</v>
      </c>
      <c r="D7595" s="44"/>
      <c r="E7595" s="22" t="str">
        <f>IF(D7595&lt;&gt;"",IFERROR(INDEX(Produtos!$C$4:$C$4996,MATCH(D7595,Produtos!$B$4:$B$4996,0)),"Produto não encontrado"),"")</f>
        <v/>
      </c>
    </row>
    <row r="7596" spans="1:5" x14ac:dyDescent="0.3">
      <c r="A7596" s="21" t="str">
        <f t="shared" si="118"/>
        <v>.</v>
      </c>
      <c r="D7596" s="44"/>
      <c r="E7596" s="22" t="str">
        <f>IF(D7596&lt;&gt;"",IFERROR(INDEX(Produtos!$C$4:$C$4996,MATCH(D7596,Produtos!$B$4:$B$4996,0)),"Produto não encontrado"),"")</f>
        <v/>
      </c>
    </row>
    <row r="7597" spans="1:5" x14ac:dyDescent="0.3">
      <c r="A7597" s="21" t="str">
        <f t="shared" si="118"/>
        <v>.</v>
      </c>
      <c r="D7597" s="44"/>
      <c r="E7597" s="22" t="str">
        <f>IF(D7597&lt;&gt;"",IFERROR(INDEX(Produtos!$C$4:$C$4996,MATCH(D7597,Produtos!$B$4:$B$4996,0)),"Produto não encontrado"),"")</f>
        <v/>
      </c>
    </row>
    <row r="7598" spans="1:5" x14ac:dyDescent="0.3">
      <c r="A7598" s="21" t="str">
        <f t="shared" si="118"/>
        <v>.</v>
      </c>
      <c r="D7598" s="44"/>
      <c r="E7598" s="22" t="str">
        <f>IF(D7598&lt;&gt;"",IFERROR(INDEX(Produtos!$C$4:$C$4996,MATCH(D7598,Produtos!$B$4:$B$4996,0)),"Produto não encontrado"),"")</f>
        <v/>
      </c>
    </row>
    <row r="7599" spans="1:5" x14ac:dyDescent="0.3">
      <c r="A7599" s="21" t="str">
        <f t="shared" si="118"/>
        <v>.</v>
      </c>
      <c r="D7599" s="44"/>
      <c r="E7599" s="22" t="str">
        <f>IF(D7599&lt;&gt;"",IFERROR(INDEX(Produtos!$C$4:$C$4996,MATCH(D7599,Produtos!$B$4:$B$4996,0)),"Produto não encontrado"),"")</f>
        <v/>
      </c>
    </row>
    <row r="7600" spans="1:5" x14ac:dyDescent="0.3">
      <c r="A7600" s="21" t="str">
        <f t="shared" si="118"/>
        <v>.</v>
      </c>
      <c r="D7600" s="44"/>
      <c r="E7600" s="22" t="str">
        <f>IF(D7600&lt;&gt;"",IFERROR(INDEX(Produtos!$C$4:$C$4996,MATCH(D7600,Produtos!$B$4:$B$4996,0)),"Produto não encontrado"),"")</f>
        <v/>
      </c>
    </row>
    <row r="7601" spans="1:5" x14ac:dyDescent="0.3">
      <c r="A7601" s="21" t="str">
        <f t="shared" si="118"/>
        <v>.</v>
      </c>
      <c r="D7601" s="44"/>
      <c r="E7601" s="22" t="str">
        <f>IF(D7601&lt;&gt;"",IFERROR(INDEX(Produtos!$C$4:$C$4996,MATCH(D7601,Produtos!$B$4:$B$4996,0)),"Produto não encontrado"),"")</f>
        <v/>
      </c>
    </row>
    <row r="7602" spans="1:5" x14ac:dyDescent="0.3">
      <c r="A7602" s="21" t="str">
        <f t="shared" si="118"/>
        <v>.</v>
      </c>
      <c r="D7602" s="44"/>
      <c r="E7602" s="22" t="str">
        <f>IF(D7602&lt;&gt;"",IFERROR(INDEX(Produtos!$C$4:$C$4996,MATCH(D7602,Produtos!$B$4:$B$4996,0)),"Produto não encontrado"),"")</f>
        <v/>
      </c>
    </row>
    <row r="7603" spans="1:5" x14ac:dyDescent="0.3">
      <c r="A7603" s="21" t="str">
        <f t="shared" si="118"/>
        <v>.</v>
      </c>
      <c r="D7603" s="44"/>
      <c r="E7603" s="22" t="str">
        <f>IF(D7603&lt;&gt;"",IFERROR(INDEX(Produtos!$C$4:$C$4996,MATCH(D7603,Produtos!$B$4:$B$4996,0)),"Produto não encontrado"),"")</f>
        <v/>
      </c>
    </row>
    <row r="7604" spans="1:5" x14ac:dyDescent="0.3">
      <c r="A7604" s="21" t="str">
        <f t="shared" si="118"/>
        <v>.</v>
      </c>
      <c r="D7604" s="44"/>
      <c r="E7604" s="22" t="str">
        <f>IF(D7604&lt;&gt;"",IFERROR(INDEX(Produtos!$C$4:$C$4996,MATCH(D7604,Produtos!$B$4:$B$4996,0)),"Produto não encontrado"),"")</f>
        <v/>
      </c>
    </row>
    <row r="7605" spans="1:5" x14ac:dyDescent="0.3">
      <c r="A7605" s="21" t="str">
        <f t="shared" si="118"/>
        <v>.</v>
      </c>
      <c r="D7605" s="44"/>
      <c r="E7605" s="22" t="str">
        <f>IF(D7605&lt;&gt;"",IFERROR(INDEX(Produtos!$C$4:$C$4996,MATCH(D7605,Produtos!$B$4:$B$4996,0)),"Produto não encontrado"),"")</f>
        <v/>
      </c>
    </row>
    <row r="7606" spans="1:5" x14ac:dyDescent="0.3">
      <c r="A7606" s="21" t="str">
        <f t="shared" si="118"/>
        <v>.</v>
      </c>
      <c r="D7606" s="44"/>
      <c r="E7606" s="22" t="str">
        <f>IF(D7606&lt;&gt;"",IFERROR(INDEX(Produtos!$C$4:$C$4996,MATCH(D7606,Produtos!$B$4:$B$4996,0)),"Produto não encontrado"),"")</f>
        <v/>
      </c>
    </row>
    <row r="7607" spans="1:5" x14ac:dyDescent="0.3">
      <c r="A7607" s="21" t="str">
        <f t="shared" si="118"/>
        <v>.</v>
      </c>
      <c r="D7607" s="44"/>
      <c r="E7607" s="22" t="str">
        <f>IF(D7607&lt;&gt;"",IFERROR(INDEX(Produtos!$C$4:$C$4996,MATCH(D7607,Produtos!$B$4:$B$4996,0)),"Produto não encontrado"),"")</f>
        <v/>
      </c>
    </row>
    <row r="7608" spans="1:5" x14ac:dyDescent="0.3">
      <c r="A7608" s="21" t="str">
        <f t="shared" si="118"/>
        <v>.</v>
      </c>
      <c r="D7608" s="44"/>
      <c r="E7608" s="22" t="str">
        <f>IF(D7608&lt;&gt;"",IFERROR(INDEX(Produtos!$C$4:$C$4996,MATCH(D7608,Produtos!$B$4:$B$4996,0)),"Produto não encontrado"),"")</f>
        <v/>
      </c>
    </row>
    <row r="7609" spans="1:5" x14ac:dyDescent="0.3">
      <c r="A7609" s="21" t="str">
        <f t="shared" si="118"/>
        <v>.</v>
      </c>
      <c r="D7609" s="44"/>
      <c r="E7609" s="22" t="str">
        <f>IF(D7609&lt;&gt;"",IFERROR(INDEX(Produtos!$C$4:$C$4996,MATCH(D7609,Produtos!$B$4:$B$4996,0)),"Produto não encontrado"),"")</f>
        <v/>
      </c>
    </row>
    <row r="7610" spans="1:5" x14ac:dyDescent="0.3">
      <c r="A7610" s="21" t="str">
        <f t="shared" si="118"/>
        <v>.</v>
      </c>
      <c r="D7610" s="44"/>
      <c r="E7610" s="22" t="str">
        <f>IF(D7610&lt;&gt;"",IFERROR(INDEX(Produtos!$C$4:$C$4996,MATCH(D7610,Produtos!$B$4:$B$4996,0)),"Produto não encontrado"),"")</f>
        <v/>
      </c>
    </row>
    <row r="7611" spans="1:5" x14ac:dyDescent="0.3">
      <c r="A7611" s="21" t="str">
        <f t="shared" si="118"/>
        <v>.</v>
      </c>
      <c r="D7611" s="44"/>
      <c r="E7611" s="22" t="str">
        <f>IF(D7611&lt;&gt;"",IFERROR(INDEX(Produtos!$C$4:$C$4996,MATCH(D7611,Produtos!$B$4:$B$4996,0)),"Produto não encontrado"),"")</f>
        <v/>
      </c>
    </row>
    <row r="7612" spans="1:5" x14ac:dyDescent="0.3">
      <c r="A7612" s="21" t="str">
        <f t="shared" si="118"/>
        <v>.</v>
      </c>
      <c r="D7612" s="44"/>
      <c r="E7612" s="22" t="str">
        <f>IF(D7612&lt;&gt;"",IFERROR(INDEX(Produtos!$C$4:$C$4996,MATCH(D7612,Produtos!$B$4:$B$4996,0)),"Produto não encontrado"),"")</f>
        <v/>
      </c>
    </row>
    <row r="7613" spans="1:5" x14ac:dyDescent="0.3">
      <c r="A7613" s="21" t="str">
        <f t="shared" si="118"/>
        <v>.</v>
      </c>
      <c r="D7613" s="44"/>
      <c r="E7613" s="22" t="str">
        <f>IF(D7613&lt;&gt;"",IFERROR(INDEX(Produtos!$C$4:$C$4996,MATCH(D7613,Produtos!$B$4:$B$4996,0)),"Produto não encontrado"),"")</f>
        <v/>
      </c>
    </row>
    <row r="7614" spans="1:5" x14ac:dyDescent="0.3">
      <c r="A7614" s="21" t="str">
        <f t="shared" si="118"/>
        <v>.</v>
      </c>
      <c r="D7614" s="44"/>
      <c r="E7614" s="22" t="str">
        <f>IF(D7614&lt;&gt;"",IFERROR(INDEX(Produtos!$C$4:$C$4996,MATCH(D7614,Produtos!$B$4:$B$4996,0)),"Produto não encontrado"),"")</f>
        <v/>
      </c>
    </row>
    <row r="7615" spans="1:5" x14ac:dyDescent="0.3">
      <c r="A7615" s="21" t="str">
        <f t="shared" si="118"/>
        <v>.</v>
      </c>
      <c r="D7615" s="44"/>
      <c r="E7615" s="22" t="str">
        <f>IF(D7615&lt;&gt;"",IFERROR(INDEX(Produtos!$C$4:$C$4996,MATCH(D7615,Produtos!$B$4:$B$4996,0)),"Produto não encontrado"),"")</f>
        <v/>
      </c>
    </row>
    <row r="7616" spans="1:5" x14ac:dyDescent="0.3">
      <c r="A7616" s="21" t="str">
        <f t="shared" ref="A7616:A7679" si="119">IF(C7616="Entrada",2,IF(C7616="Saída",1,"."))</f>
        <v>.</v>
      </c>
      <c r="D7616" s="44"/>
      <c r="E7616" s="22" t="str">
        <f>IF(D7616&lt;&gt;"",IFERROR(INDEX(Produtos!$C$4:$C$4996,MATCH(D7616,Produtos!$B$4:$B$4996,0)),"Produto não encontrado"),"")</f>
        <v/>
      </c>
    </row>
    <row r="7617" spans="1:5" x14ac:dyDescent="0.3">
      <c r="A7617" s="21" t="str">
        <f t="shared" si="119"/>
        <v>.</v>
      </c>
      <c r="D7617" s="44"/>
      <c r="E7617" s="22" t="str">
        <f>IF(D7617&lt;&gt;"",IFERROR(INDEX(Produtos!$C$4:$C$4996,MATCH(D7617,Produtos!$B$4:$B$4996,0)),"Produto não encontrado"),"")</f>
        <v/>
      </c>
    </row>
    <row r="7618" spans="1:5" x14ac:dyDescent="0.3">
      <c r="A7618" s="21" t="str">
        <f t="shared" si="119"/>
        <v>.</v>
      </c>
      <c r="D7618" s="44"/>
      <c r="E7618" s="22" t="str">
        <f>IF(D7618&lt;&gt;"",IFERROR(INDEX(Produtos!$C$4:$C$4996,MATCH(D7618,Produtos!$B$4:$B$4996,0)),"Produto não encontrado"),"")</f>
        <v/>
      </c>
    </row>
    <row r="7619" spans="1:5" x14ac:dyDescent="0.3">
      <c r="A7619" s="21" t="str">
        <f t="shared" si="119"/>
        <v>.</v>
      </c>
      <c r="D7619" s="44"/>
      <c r="E7619" s="22" t="str">
        <f>IF(D7619&lt;&gt;"",IFERROR(INDEX(Produtos!$C$4:$C$4996,MATCH(D7619,Produtos!$B$4:$B$4996,0)),"Produto não encontrado"),"")</f>
        <v/>
      </c>
    </row>
    <row r="7620" spans="1:5" x14ac:dyDescent="0.3">
      <c r="A7620" s="21" t="str">
        <f t="shared" si="119"/>
        <v>.</v>
      </c>
      <c r="D7620" s="44"/>
      <c r="E7620" s="22" t="str">
        <f>IF(D7620&lt;&gt;"",IFERROR(INDEX(Produtos!$C$4:$C$4996,MATCH(D7620,Produtos!$B$4:$B$4996,0)),"Produto não encontrado"),"")</f>
        <v/>
      </c>
    </row>
    <row r="7621" spans="1:5" x14ac:dyDescent="0.3">
      <c r="A7621" s="21" t="str">
        <f t="shared" si="119"/>
        <v>.</v>
      </c>
      <c r="D7621" s="44"/>
      <c r="E7621" s="22" t="str">
        <f>IF(D7621&lt;&gt;"",IFERROR(INDEX(Produtos!$C$4:$C$4996,MATCH(D7621,Produtos!$B$4:$B$4996,0)),"Produto não encontrado"),"")</f>
        <v/>
      </c>
    </row>
    <row r="7622" spans="1:5" x14ac:dyDescent="0.3">
      <c r="A7622" s="21" t="str">
        <f t="shared" si="119"/>
        <v>.</v>
      </c>
      <c r="D7622" s="44"/>
      <c r="E7622" s="22" t="str">
        <f>IF(D7622&lt;&gt;"",IFERROR(INDEX(Produtos!$C$4:$C$4996,MATCH(D7622,Produtos!$B$4:$B$4996,0)),"Produto não encontrado"),"")</f>
        <v/>
      </c>
    </row>
    <row r="7623" spans="1:5" x14ac:dyDescent="0.3">
      <c r="A7623" s="21" t="str">
        <f t="shared" si="119"/>
        <v>.</v>
      </c>
      <c r="D7623" s="44"/>
      <c r="E7623" s="22" t="str">
        <f>IF(D7623&lt;&gt;"",IFERROR(INDEX(Produtos!$C$4:$C$4996,MATCH(D7623,Produtos!$B$4:$B$4996,0)),"Produto não encontrado"),"")</f>
        <v/>
      </c>
    </row>
    <row r="7624" spans="1:5" x14ac:dyDescent="0.3">
      <c r="A7624" s="21" t="str">
        <f t="shared" si="119"/>
        <v>.</v>
      </c>
      <c r="D7624" s="44"/>
      <c r="E7624" s="22" t="str">
        <f>IF(D7624&lt;&gt;"",IFERROR(INDEX(Produtos!$C$4:$C$4996,MATCH(D7624,Produtos!$B$4:$B$4996,0)),"Produto não encontrado"),"")</f>
        <v/>
      </c>
    </row>
    <row r="7625" spans="1:5" x14ac:dyDescent="0.3">
      <c r="A7625" s="21" t="str">
        <f t="shared" si="119"/>
        <v>.</v>
      </c>
      <c r="D7625" s="44"/>
      <c r="E7625" s="22" t="str">
        <f>IF(D7625&lt;&gt;"",IFERROR(INDEX(Produtos!$C$4:$C$4996,MATCH(D7625,Produtos!$B$4:$B$4996,0)),"Produto não encontrado"),"")</f>
        <v/>
      </c>
    </row>
    <row r="7626" spans="1:5" x14ac:dyDescent="0.3">
      <c r="A7626" s="21" t="str">
        <f t="shared" si="119"/>
        <v>.</v>
      </c>
      <c r="D7626" s="44"/>
      <c r="E7626" s="22" t="str">
        <f>IF(D7626&lt;&gt;"",IFERROR(INDEX(Produtos!$C$4:$C$4996,MATCH(D7626,Produtos!$B$4:$B$4996,0)),"Produto não encontrado"),"")</f>
        <v/>
      </c>
    </row>
    <row r="7627" spans="1:5" x14ac:dyDescent="0.3">
      <c r="A7627" s="21" t="str">
        <f t="shared" si="119"/>
        <v>.</v>
      </c>
      <c r="D7627" s="44"/>
      <c r="E7627" s="22" t="str">
        <f>IF(D7627&lt;&gt;"",IFERROR(INDEX(Produtos!$C$4:$C$4996,MATCH(D7627,Produtos!$B$4:$B$4996,0)),"Produto não encontrado"),"")</f>
        <v/>
      </c>
    </row>
    <row r="7628" spans="1:5" x14ac:dyDescent="0.3">
      <c r="A7628" s="21" t="str">
        <f t="shared" si="119"/>
        <v>.</v>
      </c>
      <c r="D7628" s="44"/>
      <c r="E7628" s="22" t="str">
        <f>IF(D7628&lt;&gt;"",IFERROR(INDEX(Produtos!$C$4:$C$4996,MATCH(D7628,Produtos!$B$4:$B$4996,0)),"Produto não encontrado"),"")</f>
        <v/>
      </c>
    </row>
    <row r="7629" spans="1:5" x14ac:dyDescent="0.3">
      <c r="A7629" s="21" t="str">
        <f t="shared" si="119"/>
        <v>.</v>
      </c>
      <c r="D7629" s="44"/>
      <c r="E7629" s="22" t="str">
        <f>IF(D7629&lt;&gt;"",IFERROR(INDEX(Produtos!$C$4:$C$4996,MATCH(D7629,Produtos!$B$4:$B$4996,0)),"Produto não encontrado"),"")</f>
        <v/>
      </c>
    </row>
    <row r="7630" spans="1:5" x14ac:dyDescent="0.3">
      <c r="A7630" s="21" t="str">
        <f t="shared" si="119"/>
        <v>.</v>
      </c>
      <c r="D7630" s="44"/>
      <c r="E7630" s="22" t="str">
        <f>IF(D7630&lt;&gt;"",IFERROR(INDEX(Produtos!$C$4:$C$4996,MATCH(D7630,Produtos!$B$4:$B$4996,0)),"Produto não encontrado"),"")</f>
        <v/>
      </c>
    </row>
    <row r="7631" spans="1:5" x14ac:dyDescent="0.3">
      <c r="A7631" s="21" t="str">
        <f t="shared" si="119"/>
        <v>.</v>
      </c>
      <c r="D7631" s="44"/>
      <c r="E7631" s="22" t="str">
        <f>IF(D7631&lt;&gt;"",IFERROR(INDEX(Produtos!$C$4:$C$4996,MATCH(D7631,Produtos!$B$4:$B$4996,0)),"Produto não encontrado"),"")</f>
        <v/>
      </c>
    </row>
    <row r="7632" spans="1:5" x14ac:dyDescent="0.3">
      <c r="A7632" s="21" t="str">
        <f t="shared" si="119"/>
        <v>.</v>
      </c>
      <c r="D7632" s="44"/>
      <c r="E7632" s="22" t="str">
        <f>IF(D7632&lt;&gt;"",IFERROR(INDEX(Produtos!$C$4:$C$4996,MATCH(D7632,Produtos!$B$4:$B$4996,0)),"Produto não encontrado"),"")</f>
        <v/>
      </c>
    </row>
    <row r="7633" spans="1:5" x14ac:dyDescent="0.3">
      <c r="A7633" s="21" t="str">
        <f t="shared" si="119"/>
        <v>.</v>
      </c>
      <c r="D7633" s="44"/>
      <c r="E7633" s="22" t="str">
        <f>IF(D7633&lt;&gt;"",IFERROR(INDEX(Produtos!$C$4:$C$4996,MATCH(D7633,Produtos!$B$4:$B$4996,0)),"Produto não encontrado"),"")</f>
        <v/>
      </c>
    </row>
    <row r="7634" spans="1:5" x14ac:dyDescent="0.3">
      <c r="A7634" s="21" t="str">
        <f t="shared" si="119"/>
        <v>.</v>
      </c>
      <c r="D7634" s="44"/>
      <c r="E7634" s="22" t="str">
        <f>IF(D7634&lt;&gt;"",IFERROR(INDEX(Produtos!$C$4:$C$4996,MATCH(D7634,Produtos!$B$4:$B$4996,0)),"Produto não encontrado"),"")</f>
        <v/>
      </c>
    </row>
    <row r="7635" spans="1:5" x14ac:dyDescent="0.3">
      <c r="A7635" s="21" t="str">
        <f t="shared" si="119"/>
        <v>.</v>
      </c>
      <c r="D7635" s="44"/>
      <c r="E7635" s="22" t="str">
        <f>IF(D7635&lt;&gt;"",IFERROR(INDEX(Produtos!$C$4:$C$4996,MATCH(D7635,Produtos!$B$4:$B$4996,0)),"Produto não encontrado"),"")</f>
        <v/>
      </c>
    </row>
    <row r="7636" spans="1:5" x14ac:dyDescent="0.3">
      <c r="A7636" s="21" t="str">
        <f t="shared" si="119"/>
        <v>.</v>
      </c>
      <c r="D7636" s="44"/>
      <c r="E7636" s="22" t="str">
        <f>IF(D7636&lt;&gt;"",IFERROR(INDEX(Produtos!$C$4:$C$4996,MATCH(D7636,Produtos!$B$4:$B$4996,0)),"Produto não encontrado"),"")</f>
        <v/>
      </c>
    </row>
    <row r="7637" spans="1:5" x14ac:dyDescent="0.3">
      <c r="A7637" s="21" t="str">
        <f t="shared" si="119"/>
        <v>.</v>
      </c>
      <c r="D7637" s="44"/>
      <c r="E7637" s="22" t="str">
        <f>IF(D7637&lt;&gt;"",IFERROR(INDEX(Produtos!$C$4:$C$4996,MATCH(D7637,Produtos!$B$4:$B$4996,0)),"Produto não encontrado"),"")</f>
        <v/>
      </c>
    </row>
    <row r="7638" spans="1:5" x14ac:dyDescent="0.3">
      <c r="A7638" s="21" t="str">
        <f t="shared" si="119"/>
        <v>.</v>
      </c>
      <c r="D7638" s="44"/>
      <c r="E7638" s="22" t="str">
        <f>IF(D7638&lt;&gt;"",IFERROR(INDEX(Produtos!$C$4:$C$4996,MATCH(D7638,Produtos!$B$4:$B$4996,0)),"Produto não encontrado"),"")</f>
        <v/>
      </c>
    </row>
    <row r="7639" spans="1:5" x14ac:dyDescent="0.3">
      <c r="A7639" s="21" t="str">
        <f t="shared" si="119"/>
        <v>.</v>
      </c>
      <c r="D7639" s="44"/>
      <c r="E7639" s="22" t="str">
        <f>IF(D7639&lt;&gt;"",IFERROR(INDEX(Produtos!$C$4:$C$4996,MATCH(D7639,Produtos!$B$4:$B$4996,0)),"Produto não encontrado"),"")</f>
        <v/>
      </c>
    </row>
    <row r="7640" spans="1:5" x14ac:dyDescent="0.3">
      <c r="A7640" s="21" t="str">
        <f t="shared" si="119"/>
        <v>.</v>
      </c>
      <c r="D7640" s="44"/>
      <c r="E7640" s="22" t="str">
        <f>IF(D7640&lt;&gt;"",IFERROR(INDEX(Produtos!$C$4:$C$4996,MATCH(D7640,Produtos!$B$4:$B$4996,0)),"Produto não encontrado"),"")</f>
        <v/>
      </c>
    </row>
    <row r="7641" spans="1:5" x14ac:dyDescent="0.3">
      <c r="A7641" s="21" t="str">
        <f t="shared" si="119"/>
        <v>.</v>
      </c>
      <c r="D7641" s="44"/>
      <c r="E7641" s="22" t="str">
        <f>IF(D7641&lt;&gt;"",IFERROR(INDEX(Produtos!$C$4:$C$4996,MATCH(D7641,Produtos!$B$4:$B$4996,0)),"Produto não encontrado"),"")</f>
        <v/>
      </c>
    </row>
    <row r="7642" spans="1:5" x14ac:dyDescent="0.3">
      <c r="A7642" s="21" t="str">
        <f t="shared" si="119"/>
        <v>.</v>
      </c>
      <c r="D7642" s="44"/>
      <c r="E7642" s="22" t="str">
        <f>IF(D7642&lt;&gt;"",IFERROR(INDEX(Produtos!$C$4:$C$4996,MATCH(D7642,Produtos!$B$4:$B$4996,0)),"Produto não encontrado"),"")</f>
        <v/>
      </c>
    </row>
    <row r="7643" spans="1:5" x14ac:dyDescent="0.3">
      <c r="A7643" s="21" t="str">
        <f t="shared" si="119"/>
        <v>.</v>
      </c>
      <c r="D7643" s="44"/>
      <c r="E7643" s="22" t="str">
        <f>IF(D7643&lt;&gt;"",IFERROR(INDEX(Produtos!$C$4:$C$4996,MATCH(D7643,Produtos!$B$4:$B$4996,0)),"Produto não encontrado"),"")</f>
        <v/>
      </c>
    </row>
    <row r="7644" spans="1:5" x14ac:dyDescent="0.3">
      <c r="A7644" s="21" t="str">
        <f t="shared" si="119"/>
        <v>.</v>
      </c>
      <c r="D7644" s="44"/>
      <c r="E7644" s="22" t="str">
        <f>IF(D7644&lt;&gt;"",IFERROR(INDEX(Produtos!$C$4:$C$4996,MATCH(D7644,Produtos!$B$4:$B$4996,0)),"Produto não encontrado"),"")</f>
        <v/>
      </c>
    </row>
    <row r="7645" spans="1:5" x14ac:dyDescent="0.3">
      <c r="A7645" s="21" t="str">
        <f t="shared" si="119"/>
        <v>.</v>
      </c>
      <c r="D7645" s="44"/>
      <c r="E7645" s="22" t="str">
        <f>IF(D7645&lt;&gt;"",IFERROR(INDEX(Produtos!$C$4:$C$4996,MATCH(D7645,Produtos!$B$4:$B$4996,0)),"Produto não encontrado"),"")</f>
        <v/>
      </c>
    </row>
    <row r="7646" spans="1:5" x14ac:dyDescent="0.3">
      <c r="A7646" s="21" t="str">
        <f t="shared" si="119"/>
        <v>.</v>
      </c>
      <c r="D7646" s="44"/>
      <c r="E7646" s="22" t="str">
        <f>IF(D7646&lt;&gt;"",IFERROR(INDEX(Produtos!$C$4:$C$4996,MATCH(D7646,Produtos!$B$4:$B$4996,0)),"Produto não encontrado"),"")</f>
        <v/>
      </c>
    </row>
    <row r="7647" spans="1:5" x14ac:dyDescent="0.3">
      <c r="A7647" s="21" t="str">
        <f t="shared" si="119"/>
        <v>.</v>
      </c>
      <c r="D7647" s="44"/>
      <c r="E7647" s="22" t="str">
        <f>IF(D7647&lt;&gt;"",IFERROR(INDEX(Produtos!$C$4:$C$4996,MATCH(D7647,Produtos!$B$4:$B$4996,0)),"Produto não encontrado"),"")</f>
        <v/>
      </c>
    </row>
    <row r="7648" spans="1:5" x14ac:dyDescent="0.3">
      <c r="A7648" s="21" t="str">
        <f t="shared" si="119"/>
        <v>.</v>
      </c>
      <c r="D7648" s="44"/>
      <c r="E7648" s="22" t="str">
        <f>IF(D7648&lt;&gt;"",IFERROR(INDEX(Produtos!$C$4:$C$4996,MATCH(D7648,Produtos!$B$4:$B$4996,0)),"Produto não encontrado"),"")</f>
        <v/>
      </c>
    </row>
    <row r="7649" spans="1:5" x14ac:dyDescent="0.3">
      <c r="A7649" s="21" t="str">
        <f t="shared" si="119"/>
        <v>.</v>
      </c>
      <c r="D7649" s="44"/>
      <c r="E7649" s="22" t="str">
        <f>IF(D7649&lt;&gt;"",IFERROR(INDEX(Produtos!$C$4:$C$4996,MATCH(D7649,Produtos!$B$4:$B$4996,0)),"Produto não encontrado"),"")</f>
        <v/>
      </c>
    </row>
    <row r="7650" spans="1:5" x14ac:dyDescent="0.3">
      <c r="A7650" s="21" t="str">
        <f t="shared" si="119"/>
        <v>.</v>
      </c>
      <c r="D7650" s="44"/>
      <c r="E7650" s="22" t="str">
        <f>IF(D7650&lt;&gt;"",IFERROR(INDEX(Produtos!$C$4:$C$4996,MATCH(D7650,Produtos!$B$4:$B$4996,0)),"Produto não encontrado"),"")</f>
        <v/>
      </c>
    </row>
    <row r="7651" spans="1:5" x14ac:dyDescent="0.3">
      <c r="A7651" s="21" t="str">
        <f t="shared" si="119"/>
        <v>.</v>
      </c>
      <c r="D7651" s="44"/>
      <c r="E7651" s="22" t="str">
        <f>IF(D7651&lt;&gt;"",IFERROR(INDEX(Produtos!$C$4:$C$4996,MATCH(D7651,Produtos!$B$4:$B$4996,0)),"Produto não encontrado"),"")</f>
        <v/>
      </c>
    </row>
    <row r="7652" spans="1:5" x14ac:dyDescent="0.3">
      <c r="A7652" s="21" t="str">
        <f t="shared" si="119"/>
        <v>.</v>
      </c>
      <c r="D7652" s="44"/>
      <c r="E7652" s="22" t="str">
        <f>IF(D7652&lt;&gt;"",IFERROR(INDEX(Produtos!$C$4:$C$4996,MATCH(D7652,Produtos!$B$4:$B$4996,0)),"Produto não encontrado"),"")</f>
        <v/>
      </c>
    </row>
    <row r="7653" spans="1:5" x14ac:dyDescent="0.3">
      <c r="A7653" s="21" t="str">
        <f t="shared" si="119"/>
        <v>.</v>
      </c>
      <c r="D7653" s="44"/>
      <c r="E7653" s="22" t="str">
        <f>IF(D7653&lt;&gt;"",IFERROR(INDEX(Produtos!$C$4:$C$4996,MATCH(D7653,Produtos!$B$4:$B$4996,0)),"Produto não encontrado"),"")</f>
        <v/>
      </c>
    </row>
    <row r="7654" spans="1:5" x14ac:dyDescent="0.3">
      <c r="A7654" s="21" t="str">
        <f t="shared" si="119"/>
        <v>.</v>
      </c>
      <c r="D7654" s="44"/>
      <c r="E7654" s="22" t="str">
        <f>IF(D7654&lt;&gt;"",IFERROR(INDEX(Produtos!$C$4:$C$4996,MATCH(D7654,Produtos!$B$4:$B$4996,0)),"Produto não encontrado"),"")</f>
        <v/>
      </c>
    </row>
    <row r="7655" spans="1:5" x14ac:dyDescent="0.3">
      <c r="A7655" s="21" t="str">
        <f t="shared" si="119"/>
        <v>.</v>
      </c>
      <c r="D7655" s="44"/>
      <c r="E7655" s="22" t="str">
        <f>IF(D7655&lt;&gt;"",IFERROR(INDEX(Produtos!$C$4:$C$4996,MATCH(D7655,Produtos!$B$4:$B$4996,0)),"Produto não encontrado"),"")</f>
        <v/>
      </c>
    </row>
    <row r="7656" spans="1:5" x14ac:dyDescent="0.3">
      <c r="A7656" s="21" t="str">
        <f t="shared" si="119"/>
        <v>.</v>
      </c>
      <c r="D7656" s="44"/>
      <c r="E7656" s="22" t="str">
        <f>IF(D7656&lt;&gt;"",IFERROR(INDEX(Produtos!$C$4:$C$4996,MATCH(D7656,Produtos!$B$4:$B$4996,0)),"Produto não encontrado"),"")</f>
        <v/>
      </c>
    </row>
    <row r="7657" spans="1:5" x14ac:dyDescent="0.3">
      <c r="A7657" s="21" t="str">
        <f t="shared" si="119"/>
        <v>.</v>
      </c>
      <c r="D7657" s="44"/>
      <c r="E7657" s="22" t="str">
        <f>IF(D7657&lt;&gt;"",IFERROR(INDEX(Produtos!$C$4:$C$4996,MATCH(D7657,Produtos!$B$4:$B$4996,0)),"Produto não encontrado"),"")</f>
        <v/>
      </c>
    </row>
    <row r="7658" spans="1:5" x14ac:dyDescent="0.3">
      <c r="A7658" s="21" t="str">
        <f t="shared" si="119"/>
        <v>.</v>
      </c>
      <c r="D7658" s="44"/>
      <c r="E7658" s="22" t="str">
        <f>IF(D7658&lt;&gt;"",IFERROR(INDEX(Produtos!$C$4:$C$4996,MATCH(D7658,Produtos!$B$4:$B$4996,0)),"Produto não encontrado"),"")</f>
        <v/>
      </c>
    </row>
    <row r="7659" spans="1:5" x14ac:dyDescent="0.3">
      <c r="A7659" s="21" t="str">
        <f t="shared" si="119"/>
        <v>.</v>
      </c>
      <c r="D7659" s="44"/>
      <c r="E7659" s="22" t="str">
        <f>IF(D7659&lt;&gt;"",IFERROR(INDEX(Produtos!$C$4:$C$4996,MATCH(D7659,Produtos!$B$4:$B$4996,0)),"Produto não encontrado"),"")</f>
        <v/>
      </c>
    </row>
    <row r="7660" spans="1:5" x14ac:dyDescent="0.3">
      <c r="A7660" s="21" t="str">
        <f t="shared" si="119"/>
        <v>.</v>
      </c>
      <c r="D7660" s="44"/>
      <c r="E7660" s="22" t="str">
        <f>IF(D7660&lt;&gt;"",IFERROR(INDEX(Produtos!$C$4:$C$4996,MATCH(D7660,Produtos!$B$4:$B$4996,0)),"Produto não encontrado"),"")</f>
        <v/>
      </c>
    </row>
    <row r="7661" spans="1:5" x14ac:dyDescent="0.3">
      <c r="A7661" s="21" t="str">
        <f t="shared" si="119"/>
        <v>.</v>
      </c>
      <c r="D7661" s="44"/>
      <c r="E7661" s="22" t="str">
        <f>IF(D7661&lt;&gt;"",IFERROR(INDEX(Produtos!$C$4:$C$4996,MATCH(D7661,Produtos!$B$4:$B$4996,0)),"Produto não encontrado"),"")</f>
        <v/>
      </c>
    </row>
    <row r="7662" spans="1:5" x14ac:dyDescent="0.3">
      <c r="A7662" s="21" t="str">
        <f t="shared" si="119"/>
        <v>.</v>
      </c>
      <c r="D7662" s="44"/>
      <c r="E7662" s="22" t="str">
        <f>IF(D7662&lt;&gt;"",IFERROR(INDEX(Produtos!$C$4:$C$4996,MATCH(D7662,Produtos!$B$4:$B$4996,0)),"Produto não encontrado"),"")</f>
        <v/>
      </c>
    </row>
    <row r="7663" spans="1:5" x14ac:dyDescent="0.3">
      <c r="A7663" s="21" t="str">
        <f t="shared" si="119"/>
        <v>.</v>
      </c>
      <c r="D7663" s="44"/>
      <c r="E7663" s="22" t="str">
        <f>IF(D7663&lt;&gt;"",IFERROR(INDEX(Produtos!$C$4:$C$4996,MATCH(D7663,Produtos!$B$4:$B$4996,0)),"Produto não encontrado"),"")</f>
        <v/>
      </c>
    </row>
    <row r="7664" spans="1:5" x14ac:dyDescent="0.3">
      <c r="A7664" s="21" t="str">
        <f t="shared" si="119"/>
        <v>.</v>
      </c>
      <c r="D7664" s="44"/>
      <c r="E7664" s="22" t="str">
        <f>IF(D7664&lt;&gt;"",IFERROR(INDEX(Produtos!$C$4:$C$4996,MATCH(D7664,Produtos!$B$4:$B$4996,0)),"Produto não encontrado"),"")</f>
        <v/>
      </c>
    </row>
    <row r="7665" spans="1:5" x14ac:dyDescent="0.3">
      <c r="A7665" s="21" t="str">
        <f t="shared" si="119"/>
        <v>.</v>
      </c>
      <c r="D7665" s="44"/>
      <c r="E7665" s="22" t="str">
        <f>IF(D7665&lt;&gt;"",IFERROR(INDEX(Produtos!$C$4:$C$4996,MATCH(D7665,Produtos!$B$4:$B$4996,0)),"Produto não encontrado"),"")</f>
        <v/>
      </c>
    </row>
    <row r="7666" spans="1:5" x14ac:dyDescent="0.3">
      <c r="A7666" s="21" t="str">
        <f t="shared" si="119"/>
        <v>.</v>
      </c>
      <c r="D7666" s="44"/>
      <c r="E7666" s="22" t="str">
        <f>IF(D7666&lt;&gt;"",IFERROR(INDEX(Produtos!$C$4:$C$4996,MATCH(D7666,Produtos!$B$4:$B$4996,0)),"Produto não encontrado"),"")</f>
        <v/>
      </c>
    </row>
    <row r="7667" spans="1:5" x14ac:dyDescent="0.3">
      <c r="A7667" s="21" t="str">
        <f t="shared" si="119"/>
        <v>.</v>
      </c>
      <c r="D7667" s="44"/>
      <c r="E7667" s="22" t="str">
        <f>IF(D7667&lt;&gt;"",IFERROR(INDEX(Produtos!$C$4:$C$4996,MATCH(D7667,Produtos!$B$4:$B$4996,0)),"Produto não encontrado"),"")</f>
        <v/>
      </c>
    </row>
    <row r="7668" spans="1:5" x14ac:dyDescent="0.3">
      <c r="A7668" s="21" t="str">
        <f t="shared" si="119"/>
        <v>.</v>
      </c>
      <c r="D7668" s="44"/>
      <c r="E7668" s="22" t="str">
        <f>IF(D7668&lt;&gt;"",IFERROR(INDEX(Produtos!$C$4:$C$4996,MATCH(D7668,Produtos!$B$4:$B$4996,0)),"Produto não encontrado"),"")</f>
        <v/>
      </c>
    </row>
    <row r="7669" spans="1:5" x14ac:dyDescent="0.3">
      <c r="A7669" s="21" t="str">
        <f t="shared" si="119"/>
        <v>.</v>
      </c>
      <c r="D7669" s="44"/>
      <c r="E7669" s="22" t="str">
        <f>IF(D7669&lt;&gt;"",IFERROR(INDEX(Produtos!$C$4:$C$4996,MATCH(D7669,Produtos!$B$4:$B$4996,0)),"Produto não encontrado"),"")</f>
        <v/>
      </c>
    </row>
    <row r="7670" spans="1:5" x14ac:dyDescent="0.3">
      <c r="A7670" s="21" t="str">
        <f t="shared" si="119"/>
        <v>.</v>
      </c>
      <c r="D7670" s="44"/>
      <c r="E7670" s="22" t="str">
        <f>IF(D7670&lt;&gt;"",IFERROR(INDEX(Produtos!$C$4:$C$4996,MATCH(D7670,Produtos!$B$4:$B$4996,0)),"Produto não encontrado"),"")</f>
        <v/>
      </c>
    </row>
    <row r="7671" spans="1:5" x14ac:dyDescent="0.3">
      <c r="A7671" s="21" t="str">
        <f t="shared" si="119"/>
        <v>.</v>
      </c>
      <c r="D7671" s="44"/>
      <c r="E7671" s="22" t="str">
        <f>IF(D7671&lt;&gt;"",IFERROR(INDEX(Produtos!$C$4:$C$4996,MATCH(D7671,Produtos!$B$4:$B$4996,0)),"Produto não encontrado"),"")</f>
        <v/>
      </c>
    </row>
    <row r="7672" spans="1:5" x14ac:dyDescent="0.3">
      <c r="A7672" s="21" t="str">
        <f t="shared" si="119"/>
        <v>.</v>
      </c>
      <c r="D7672" s="44"/>
      <c r="E7672" s="22" t="str">
        <f>IF(D7672&lt;&gt;"",IFERROR(INDEX(Produtos!$C$4:$C$4996,MATCH(D7672,Produtos!$B$4:$B$4996,0)),"Produto não encontrado"),"")</f>
        <v/>
      </c>
    </row>
    <row r="7673" spans="1:5" x14ac:dyDescent="0.3">
      <c r="A7673" s="21" t="str">
        <f t="shared" si="119"/>
        <v>.</v>
      </c>
      <c r="D7673" s="44"/>
      <c r="E7673" s="22" t="str">
        <f>IF(D7673&lt;&gt;"",IFERROR(INDEX(Produtos!$C$4:$C$4996,MATCH(D7673,Produtos!$B$4:$B$4996,0)),"Produto não encontrado"),"")</f>
        <v/>
      </c>
    </row>
    <row r="7674" spans="1:5" x14ac:dyDescent="0.3">
      <c r="A7674" s="21" t="str">
        <f t="shared" si="119"/>
        <v>.</v>
      </c>
      <c r="D7674" s="44"/>
      <c r="E7674" s="22" t="str">
        <f>IF(D7674&lt;&gt;"",IFERROR(INDEX(Produtos!$C$4:$C$4996,MATCH(D7674,Produtos!$B$4:$B$4996,0)),"Produto não encontrado"),"")</f>
        <v/>
      </c>
    </row>
    <row r="7675" spans="1:5" x14ac:dyDescent="0.3">
      <c r="A7675" s="21" t="str">
        <f t="shared" si="119"/>
        <v>.</v>
      </c>
      <c r="D7675" s="44"/>
      <c r="E7675" s="22" t="str">
        <f>IF(D7675&lt;&gt;"",IFERROR(INDEX(Produtos!$C$4:$C$4996,MATCH(D7675,Produtos!$B$4:$B$4996,0)),"Produto não encontrado"),"")</f>
        <v/>
      </c>
    </row>
    <row r="7676" spans="1:5" x14ac:dyDescent="0.3">
      <c r="A7676" s="21" t="str">
        <f t="shared" si="119"/>
        <v>.</v>
      </c>
      <c r="D7676" s="44"/>
      <c r="E7676" s="22" t="str">
        <f>IF(D7676&lt;&gt;"",IFERROR(INDEX(Produtos!$C$4:$C$4996,MATCH(D7676,Produtos!$B$4:$B$4996,0)),"Produto não encontrado"),"")</f>
        <v/>
      </c>
    </row>
    <row r="7677" spans="1:5" x14ac:dyDescent="0.3">
      <c r="A7677" s="21" t="str">
        <f t="shared" si="119"/>
        <v>.</v>
      </c>
      <c r="D7677" s="44"/>
      <c r="E7677" s="22" t="str">
        <f>IF(D7677&lt;&gt;"",IFERROR(INDEX(Produtos!$C$4:$C$4996,MATCH(D7677,Produtos!$B$4:$B$4996,0)),"Produto não encontrado"),"")</f>
        <v/>
      </c>
    </row>
    <row r="7678" spans="1:5" x14ac:dyDescent="0.3">
      <c r="A7678" s="21" t="str">
        <f t="shared" si="119"/>
        <v>.</v>
      </c>
      <c r="D7678" s="44"/>
      <c r="E7678" s="22" t="str">
        <f>IF(D7678&lt;&gt;"",IFERROR(INDEX(Produtos!$C$4:$C$4996,MATCH(D7678,Produtos!$B$4:$B$4996,0)),"Produto não encontrado"),"")</f>
        <v/>
      </c>
    </row>
    <row r="7679" spans="1:5" x14ac:dyDescent="0.3">
      <c r="A7679" s="21" t="str">
        <f t="shared" si="119"/>
        <v>.</v>
      </c>
      <c r="D7679" s="44"/>
      <c r="E7679" s="22" t="str">
        <f>IF(D7679&lt;&gt;"",IFERROR(INDEX(Produtos!$C$4:$C$4996,MATCH(D7679,Produtos!$B$4:$B$4996,0)),"Produto não encontrado"),"")</f>
        <v/>
      </c>
    </row>
    <row r="7680" spans="1:5" x14ac:dyDescent="0.3">
      <c r="A7680" s="21" t="str">
        <f t="shared" ref="A7680:A7743" si="120">IF(C7680="Entrada",2,IF(C7680="Saída",1,"."))</f>
        <v>.</v>
      </c>
      <c r="D7680" s="44"/>
      <c r="E7680" s="22" t="str">
        <f>IF(D7680&lt;&gt;"",IFERROR(INDEX(Produtos!$C$4:$C$4996,MATCH(D7680,Produtos!$B$4:$B$4996,0)),"Produto não encontrado"),"")</f>
        <v/>
      </c>
    </row>
    <row r="7681" spans="1:5" x14ac:dyDescent="0.3">
      <c r="A7681" s="21" t="str">
        <f t="shared" si="120"/>
        <v>.</v>
      </c>
      <c r="D7681" s="44"/>
      <c r="E7681" s="22" t="str">
        <f>IF(D7681&lt;&gt;"",IFERROR(INDEX(Produtos!$C$4:$C$4996,MATCH(D7681,Produtos!$B$4:$B$4996,0)),"Produto não encontrado"),"")</f>
        <v/>
      </c>
    </row>
    <row r="7682" spans="1:5" x14ac:dyDescent="0.3">
      <c r="A7682" s="21" t="str">
        <f t="shared" si="120"/>
        <v>.</v>
      </c>
      <c r="D7682" s="44"/>
      <c r="E7682" s="22" t="str">
        <f>IF(D7682&lt;&gt;"",IFERROR(INDEX(Produtos!$C$4:$C$4996,MATCH(D7682,Produtos!$B$4:$B$4996,0)),"Produto não encontrado"),"")</f>
        <v/>
      </c>
    </row>
    <row r="7683" spans="1:5" x14ac:dyDescent="0.3">
      <c r="A7683" s="21" t="str">
        <f t="shared" si="120"/>
        <v>.</v>
      </c>
      <c r="D7683" s="44"/>
      <c r="E7683" s="22" t="str">
        <f>IF(D7683&lt;&gt;"",IFERROR(INDEX(Produtos!$C$4:$C$4996,MATCH(D7683,Produtos!$B$4:$B$4996,0)),"Produto não encontrado"),"")</f>
        <v/>
      </c>
    </row>
    <row r="7684" spans="1:5" x14ac:dyDescent="0.3">
      <c r="A7684" s="21" t="str">
        <f t="shared" si="120"/>
        <v>.</v>
      </c>
      <c r="D7684" s="44"/>
      <c r="E7684" s="22" t="str">
        <f>IF(D7684&lt;&gt;"",IFERROR(INDEX(Produtos!$C$4:$C$4996,MATCH(D7684,Produtos!$B$4:$B$4996,0)),"Produto não encontrado"),"")</f>
        <v/>
      </c>
    </row>
    <row r="7685" spans="1:5" x14ac:dyDescent="0.3">
      <c r="A7685" s="21" t="str">
        <f t="shared" si="120"/>
        <v>.</v>
      </c>
      <c r="D7685" s="44"/>
      <c r="E7685" s="22" t="str">
        <f>IF(D7685&lt;&gt;"",IFERROR(INDEX(Produtos!$C$4:$C$4996,MATCH(D7685,Produtos!$B$4:$B$4996,0)),"Produto não encontrado"),"")</f>
        <v/>
      </c>
    </row>
    <row r="7686" spans="1:5" x14ac:dyDescent="0.3">
      <c r="A7686" s="21" t="str">
        <f t="shared" si="120"/>
        <v>.</v>
      </c>
      <c r="D7686" s="44"/>
      <c r="E7686" s="22" t="str">
        <f>IF(D7686&lt;&gt;"",IFERROR(INDEX(Produtos!$C$4:$C$4996,MATCH(D7686,Produtos!$B$4:$B$4996,0)),"Produto não encontrado"),"")</f>
        <v/>
      </c>
    </row>
    <row r="7687" spans="1:5" x14ac:dyDescent="0.3">
      <c r="A7687" s="21" t="str">
        <f t="shared" si="120"/>
        <v>.</v>
      </c>
      <c r="D7687" s="44"/>
      <c r="E7687" s="22" t="str">
        <f>IF(D7687&lt;&gt;"",IFERROR(INDEX(Produtos!$C$4:$C$4996,MATCH(D7687,Produtos!$B$4:$B$4996,0)),"Produto não encontrado"),"")</f>
        <v/>
      </c>
    </row>
    <row r="7688" spans="1:5" x14ac:dyDescent="0.3">
      <c r="A7688" s="21" t="str">
        <f t="shared" si="120"/>
        <v>.</v>
      </c>
      <c r="D7688" s="44"/>
      <c r="E7688" s="22" t="str">
        <f>IF(D7688&lt;&gt;"",IFERROR(INDEX(Produtos!$C$4:$C$4996,MATCH(D7688,Produtos!$B$4:$B$4996,0)),"Produto não encontrado"),"")</f>
        <v/>
      </c>
    </row>
    <row r="7689" spans="1:5" x14ac:dyDescent="0.3">
      <c r="A7689" s="21" t="str">
        <f t="shared" si="120"/>
        <v>.</v>
      </c>
      <c r="D7689" s="44"/>
      <c r="E7689" s="22" t="str">
        <f>IF(D7689&lt;&gt;"",IFERROR(INDEX(Produtos!$C$4:$C$4996,MATCH(D7689,Produtos!$B$4:$B$4996,0)),"Produto não encontrado"),"")</f>
        <v/>
      </c>
    </row>
    <row r="7690" spans="1:5" x14ac:dyDescent="0.3">
      <c r="A7690" s="21" t="str">
        <f t="shared" si="120"/>
        <v>.</v>
      </c>
      <c r="D7690" s="44"/>
      <c r="E7690" s="22" t="str">
        <f>IF(D7690&lt;&gt;"",IFERROR(INDEX(Produtos!$C$4:$C$4996,MATCH(D7690,Produtos!$B$4:$B$4996,0)),"Produto não encontrado"),"")</f>
        <v/>
      </c>
    </row>
    <row r="7691" spans="1:5" x14ac:dyDescent="0.3">
      <c r="A7691" s="21" t="str">
        <f t="shared" si="120"/>
        <v>.</v>
      </c>
      <c r="D7691" s="44"/>
      <c r="E7691" s="22" t="str">
        <f>IF(D7691&lt;&gt;"",IFERROR(INDEX(Produtos!$C$4:$C$4996,MATCH(D7691,Produtos!$B$4:$B$4996,0)),"Produto não encontrado"),"")</f>
        <v/>
      </c>
    </row>
    <row r="7692" spans="1:5" x14ac:dyDescent="0.3">
      <c r="A7692" s="21" t="str">
        <f t="shared" si="120"/>
        <v>.</v>
      </c>
      <c r="D7692" s="44"/>
      <c r="E7692" s="22" t="str">
        <f>IF(D7692&lt;&gt;"",IFERROR(INDEX(Produtos!$C$4:$C$4996,MATCH(D7692,Produtos!$B$4:$B$4996,0)),"Produto não encontrado"),"")</f>
        <v/>
      </c>
    </row>
    <row r="7693" spans="1:5" x14ac:dyDescent="0.3">
      <c r="A7693" s="21" t="str">
        <f t="shared" si="120"/>
        <v>.</v>
      </c>
      <c r="D7693" s="44"/>
      <c r="E7693" s="22" t="str">
        <f>IF(D7693&lt;&gt;"",IFERROR(INDEX(Produtos!$C$4:$C$4996,MATCH(D7693,Produtos!$B$4:$B$4996,0)),"Produto não encontrado"),"")</f>
        <v/>
      </c>
    </row>
    <row r="7694" spans="1:5" x14ac:dyDescent="0.3">
      <c r="A7694" s="21" t="str">
        <f t="shared" si="120"/>
        <v>.</v>
      </c>
      <c r="D7694" s="44"/>
      <c r="E7694" s="22" t="str">
        <f>IF(D7694&lt;&gt;"",IFERROR(INDEX(Produtos!$C$4:$C$4996,MATCH(D7694,Produtos!$B$4:$B$4996,0)),"Produto não encontrado"),"")</f>
        <v/>
      </c>
    </row>
    <row r="7695" spans="1:5" x14ac:dyDescent="0.3">
      <c r="A7695" s="21" t="str">
        <f t="shared" si="120"/>
        <v>.</v>
      </c>
      <c r="D7695" s="44"/>
      <c r="E7695" s="22" t="str">
        <f>IF(D7695&lt;&gt;"",IFERROR(INDEX(Produtos!$C$4:$C$4996,MATCH(D7695,Produtos!$B$4:$B$4996,0)),"Produto não encontrado"),"")</f>
        <v/>
      </c>
    </row>
    <row r="7696" spans="1:5" x14ac:dyDescent="0.3">
      <c r="A7696" s="21" t="str">
        <f t="shared" si="120"/>
        <v>.</v>
      </c>
      <c r="D7696" s="44"/>
      <c r="E7696" s="22" t="str">
        <f>IF(D7696&lt;&gt;"",IFERROR(INDEX(Produtos!$C$4:$C$4996,MATCH(D7696,Produtos!$B$4:$B$4996,0)),"Produto não encontrado"),"")</f>
        <v/>
      </c>
    </row>
    <row r="7697" spans="1:5" x14ac:dyDescent="0.3">
      <c r="A7697" s="21" t="str">
        <f t="shared" si="120"/>
        <v>.</v>
      </c>
      <c r="D7697" s="44"/>
      <c r="E7697" s="22" t="str">
        <f>IF(D7697&lt;&gt;"",IFERROR(INDEX(Produtos!$C$4:$C$4996,MATCH(D7697,Produtos!$B$4:$B$4996,0)),"Produto não encontrado"),"")</f>
        <v/>
      </c>
    </row>
    <row r="7698" spans="1:5" x14ac:dyDescent="0.3">
      <c r="A7698" s="21" t="str">
        <f t="shared" si="120"/>
        <v>.</v>
      </c>
      <c r="D7698" s="44"/>
      <c r="E7698" s="22" t="str">
        <f>IF(D7698&lt;&gt;"",IFERROR(INDEX(Produtos!$C$4:$C$4996,MATCH(D7698,Produtos!$B$4:$B$4996,0)),"Produto não encontrado"),"")</f>
        <v/>
      </c>
    </row>
    <row r="7699" spans="1:5" x14ac:dyDescent="0.3">
      <c r="A7699" s="21" t="str">
        <f t="shared" si="120"/>
        <v>.</v>
      </c>
      <c r="D7699" s="44"/>
      <c r="E7699" s="22" t="str">
        <f>IF(D7699&lt;&gt;"",IFERROR(INDEX(Produtos!$C$4:$C$4996,MATCH(D7699,Produtos!$B$4:$B$4996,0)),"Produto não encontrado"),"")</f>
        <v/>
      </c>
    </row>
    <row r="7700" spans="1:5" x14ac:dyDescent="0.3">
      <c r="A7700" s="21" t="str">
        <f t="shared" si="120"/>
        <v>.</v>
      </c>
      <c r="D7700" s="44"/>
      <c r="E7700" s="22" t="str">
        <f>IF(D7700&lt;&gt;"",IFERROR(INDEX(Produtos!$C$4:$C$4996,MATCH(D7700,Produtos!$B$4:$B$4996,0)),"Produto não encontrado"),"")</f>
        <v/>
      </c>
    </row>
    <row r="7701" spans="1:5" x14ac:dyDescent="0.3">
      <c r="A7701" s="21" t="str">
        <f t="shared" si="120"/>
        <v>.</v>
      </c>
      <c r="D7701" s="44"/>
      <c r="E7701" s="22" t="str">
        <f>IF(D7701&lt;&gt;"",IFERROR(INDEX(Produtos!$C$4:$C$4996,MATCH(D7701,Produtos!$B$4:$B$4996,0)),"Produto não encontrado"),"")</f>
        <v/>
      </c>
    </row>
    <row r="7702" spans="1:5" x14ac:dyDescent="0.3">
      <c r="A7702" s="21" t="str">
        <f t="shared" si="120"/>
        <v>.</v>
      </c>
      <c r="D7702" s="44"/>
      <c r="E7702" s="22" t="str">
        <f>IF(D7702&lt;&gt;"",IFERROR(INDEX(Produtos!$C$4:$C$4996,MATCH(D7702,Produtos!$B$4:$B$4996,0)),"Produto não encontrado"),"")</f>
        <v/>
      </c>
    </row>
    <row r="7703" spans="1:5" x14ac:dyDescent="0.3">
      <c r="A7703" s="21" t="str">
        <f t="shared" si="120"/>
        <v>.</v>
      </c>
      <c r="D7703" s="44"/>
      <c r="E7703" s="22" t="str">
        <f>IF(D7703&lt;&gt;"",IFERROR(INDEX(Produtos!$C$4:$C$4996,MATCH(D7703,Produtos!$B$4:$B$4996,0)),"Produto não encontrado"),"")</f>
        <v/>
      </c>
    </row>
    <row r="7704" spans="1:5" x14ac:dyDescent="0.3">
      <c r="A7704" s="21" t="str">
        <f t="shared" si="120"/>
        <v>.</v>
      </c>
      <c r="D7704" s="44"/>
      <c r="E7704" s="22" t="str">
        <f>IF(D7704&lt;&gt;"",IFERROR(INDEX(Produtos!$C$4:$C$4996,MATCH(D7704,Produtos!$B$4:$B$4996,0)),"Produto não encontrado"),"")</f>
        <v/>
      </c>
    </row>
    <row r="7705" spans="1:5" x14ac:dyDescent="0.3">
      <c r="A7705" s="21" t="str">
        <f t="shared" si="120"/>
        <v>.</v>
      </c>
      <c r="D7705" s="44"/>
      <c r="E7705" s="22" t="str">
        <f>IF(D7705&lt;&gt;"",IFERROR(INDEX(Produtos!$C$4:$C$4996,MATCH(D7705,Produtos!$B$4:$B$4996,0)),"Produto não encontrado"),"")</f>
        <v/>
      </c>
    </row>
    <row r="7706" spans="1:5" x14ac:dyDescent="0.3">
      <c r="A7706" s="21" t="str">
        <f t="shared" si="120"/>
        <v>.</v>
      </c>
      <c r="D7706" s="44"/>
      <c r="E7706" s="22" t="str">
        <f>IF(D7706&lt;&gt;"",IFERROR(INDEX(Produtos!$C$4:$C$4996,MATCH(D7706,Produtos!$B$4:$B$4996,0)),"Produto não encontrado"),"")</f>
        <v/>
      </c>
    </row>
    <row r="7707" spans="1:5" x14ac:dyDescent="0.3">
      <c r="A7707" s="21" t="str">
        <f t="shared" si="120"/>
        <v>.</v>
      </c>
      <c r="D7707" s="44"/>
      <c r="E7707" s="22" t="str">
        <f>IF(D7707&lt;&gt;"",IFERROR(INDEX(Produtos!$C$4:$C$4996,MATCH(D7707,Produtos!$B$4:$B$4996,0)),"Produto não encontrado"),"")</f>
        <v/>
      </c>
    </row>
    <row r="7708" spans="1:5" x14ac:dyDescent="0.3">
      <c r="A7708" s="21" t="str">
        <f t="shared" si="120"/>
        <v>.</v>
      </c>
      <c r="D7708" s="44"/>
      <c r="E7708" s="22" t="str">
        <f>IF(D7708&lt;&gt;"",IFERROR(INDEX(Produtos!$C$4:$C$4996,MATCH(D7708,Produtos!$B$4:$B$4996,0)),"Produto não encontrado"),"")</f>
        <v/>
      </c>
    </row>
    <row r="7709" spans="1:5" x14ac:dyDescent="0.3">
      <c r="A7709" s="21" t="str">
        <f t="shared" si="120"/>
        <v>.</v>
      </c>
      <c r="D7709" s="44"/>
      <c r="E7709" s="22" t="str">
        <f>IF(D7709&lt;&gt;"",IFERROR(INDEX(Produtos!$C$4:$C$4996,MATCH(D7709,Produtos!$B$4:$B$4996,0)),"Produto não encontrado"),"")</f>
        <v/>
      </c>
    </row>
    <row r="7710" spans="1:5" x14ac:dyDescent="0.3">
      <c r="A7710" s="21" t="str">
        <f t="shared" si="120"/>
        <v>.</v>
      </c>
      <c r="D7710" s="44"/>
      <c r="E7710" s="22" t="str">
        <f>IF(D7710&lt;&gt;"",IFERROR(INDEX(Produtos!$C$4:$C$4996,MATCH(D7710,Produtos!$B$4:$B$4996,0)),"Produto não encontrado"),"")</f>
        <v/>
      </c>
    </row>
    <row r="7711" spans="1:5" x14ac:dyDescent="0.3">
      <c r="A7711" s="21" t="str">
        <f t="shared" si="120"/>
        <v>.</v>
      </c>
      <c r="D7711" s="44"/>
      <c r="E7711" s="22" t="str">
        <f>IF(D7711&lt;&gt;"",IFERROR(INDEX(Produtos!$C$4:$C$4996,MATCH(D7711,Produtos!$B$4:$B$4996,0)),"Produto não encontrado"),"")</f>
        <v/>
      </c>
    </row>
    <row r="7712" spans="1:5" x14ac:dyDescent="0.3">
      <c r="A7712" s="21" t="str">
        <f t="shared" si="120"/>
        <v>.</v>
      </c>
      <c r="D7712" s="44"/>
      <c r="E7712" s="22" t="str">
        <f>IF(D7712&lt;&gt;"",IFERROR(INDEX(Produtos!$C$4:$C$4996,MATCH(D7712,Produtos!$B$4:$B$4996,0)),"Produto não encontrado"),"")</f>
        <v/>
      </c>
    </row>
    <row r="7713" spans="1:5" x14ac:dyDescent="0.3">
      <c r="A7713" s="21" t="str">
        <f t="shared" si="120"/>
        <v>.</v>
      </c>
      <c r="D7713" s="44"/>
      <c r="E7713" s="22" t="str">
        <f>IF(D7713&lt;&gt;"",IFERROR(INDEX(Produtos!$C$4:$C$4996,MATCH(D7713,Produtos!$B$4:$B$4996,0)),"Produto não encontrado"),"")</f>
        <v/>
      </c>
    </row>
    <row r="7714" spans="1:5" x14ac:dyDescent="0.3">
      <c r="A7714" s="21" t="str">
        <f t="shared" si="120"/>
        <v>.</v>
      </c>
      <c r="D7714" s="44"/>
      <c r="E7714" s="22" t="str">
        <f>IF(D7714&lt;&gt;"",IFERROR(INDEX(Produtos!$C$4:$C$4996,MATCH(D7714,Produtos!$B$4:$B$4996,0)),"Produto não encontrado"),"")</f>
        <v/>
      </c>
    </row>
    <row r="7715" spans="1:5" x14ac:dyDescent="0.3">
      <c r="A7715" s="21" t="str">
        <f t="shared" si="120"/>
        <v>.</v>
      </c>
      <c r="D7715" s="44"/>
      <c r="E7715" s="22" t="str">
        <f>IF(D7715&lt;&gt;"",IFERROR(INDEX(Produtos!$C$4:$C$4996,MATCH(D7715,Produtos!$B$4:$B$4996,0)),"Produto não encontrado"),"")</f>
        <v/>
      </c>
    </row>
    <row r="7716" spans="1:5" x14ac:dyDescent="0.3">
      <c r="A7716" s="21" t="str">
        <f t="shared" si="120"/>
        <v>.</v>
      </c>
      <c r="D7716" s="44"/>
      <c r="E7716" s="22" t="str">
        <f>IF(D7716&lt;&gt;"",IFERROR(INDEX(Produtos!$C$4:$C$4996,MATCH(D7716,Produtos!$B$4:$B$4996,0)),"Produto não encontrado"),"")</f>
        <v/>
      </c>
    </row>
    <row r="7717" spans="1:5" x14ac:dyDescent="0.3">
      <c r="A7717" s="21" t="str">
        <f t="shared" si="120"/>
        <v>.</v>
      </c>
      <c r="D7717" s="44"/>
      <c r="E7717" s="22" t="str">
        <f>IF(D7717&lt;&gt;"",IFERROR(INDEX(Produtos!$C$4:$C$4996,MATCH(D7717,Produtos!$B$4:$B$4996,0)),"Produto não encontrado"),"")</f>
        <v/>
      </c>
    </row>
    <row r="7718" spans="1:5" x14ac:dyDescent="0.3">
      <c r="A7718" s="21" t="str">
        <f t="shared" si="120"/>
        <v>.</v>
      </c>
      <c r="D7718" s="44"/>
      <c r="E7718" s="22" t="str">
        <f>IF(D7718&lt;&gt;"",IFERROR(INDEX(Produtos!$C$4:$C$4996,MATCH(D7718,Produtos!$B$4:$B$4996,0)),"Produto não encontrado"),"")</f>
        <v/>
      </c>
    </row>
    <row r="7719" spans="1:5" x14ac:dyDescent="0.3">
      <c r="A7719" s="21" t="str">
        <f t="shared" si="120"/>
        <v>.</v>
      </c>
      <c r="D7719" s="44"/>
      <c r="E7719" s="22" t="str">
        <f>IF(D7719&lt;&gt;"",IFERROR(INDEX(Produtos!$C$4:$C$4996,MATCH(D7719,Produtos!$B$4:$B$4996,0)),"Produto não encontrado"),"")</f>
        <v/>
      </c>
    </row>
    <row r="7720" spans="1:5" x14ac:dyDescent="0.3">
      <c r="A7720" s="21" t="str">
        <f t="shared" si="120"/>
        <v>.</v>
      </c>
      <c r="D7720" s="44"/>
      <c r="E7720" s="22" t="str">
        <f>IF(D7720&lt;&gt;"",IFERROR(INDEX(Produtos!$C$4:$C$4996,MATCH(D7720,Produtos!$B$4:$B$4996,0)),"Produto não encontrado"),"")</f>
        <v/>
      </c>
    </row>
    <row r="7721" spans="1:5" x14ac:dyDescent="0.3">
      <c r="A7721" s="21" t="str">
        <f t="shared" si="120"/>
        <v>.</v>
      </c>
      <c r="D7721" s="44"/>
      <c r="E7721" s="22" t="str">
        <f>IF(D7721&lt;&gt;"",IFERROR(INDEX(Produtos!$C$4:$C$4996,MATCH(D7721,Produtos!$B$4:$B$4996,0)),"Produto não encontrado"),"")</f>
        <v/>
      </c>
    </row>
    <row r="7722" spans="1:5" x14ac:dyDescent="0.3">
      <c r="A7722" s="21" t="str">
        <f t="shared" si="120"/>
        <v>.</v>
      </c>
      <c r="D7722" s="44"/>
      <c r="E7722" s="22" t="str">
        <f>IF(D7722&lt;&gt;"",IFERROR(INDEX(Produtos!$C$4:$C$4996,MATCH(D7722,Produtos!$B$4:$B$4996,0)),"Produto não encontrado"),"")</f>
        <v/>
      </c>
    </row>
    <row r="7723" spans="1:5" x14ac:dyDescent="0.3">
      <c r="A7723" s="21" t="str">
        <f t="shared" si="120"/>
        <v>.</v>
      </c>
      <c r="D7723" s="44"/>
      <c r="E7723" s="22" t="str">
        <f>IF(D7723&lt;&gt;"",IFERROR(INDEX(Produtos!$C$4:$C$4996,MATCH(D7723,Produtos!$B$4:$B$4996,0)),"Produto não encontrado"),"")</f>
        <v/>
      </c>
    </row>
    <row r="7724" spans="1:5" x14ac:dyDescent="0.3">
      <c r="A7724" s="21" t="str">
        <f t="shared" si="120"/>
        <v>.</v>
      </c>
      <c r="D7724" s="44"/>
      <c r="E7724" s="22" t="str">
        <f>IF(D7724&lt;&gt;"",IFERROR(INDEX(Produtos!$C$4:$C$4996,MATCH(D7724,Produtos!$B$4:$B$4996,0)),"Produto não encontrado"),"")</f>
        <v/>
      </c>
    </row>
    <row r="7725" spans="1:5" x14ac:dyDescent="0.3">
      <c r="A7725" s="21" t="str">
        <f t="shared" si="120"/>
        <v>.</v>
      </c>
      <c r="D7725" s="44"/>
      <c r="E7725" s="22" t="str">
        <f>IF(D7725&lt;&gt;"",IFERROR(INDEX(Produtos!$C$4:$C$4996,MATCH(D7725,Produtos!$B$4:$B$4996,0)),"Produto não encontrado"),"")</f>
        <v/>
      </c>
    </row>
    <row r="7726" spans="1:5" x14ac:dyDescent="0.3">
      <c r="A7726" s="21" t="str">
        <f t="shared" si="120"/>
        <v>.</v>
      </c>
      <c r="D7726" s="44"/>
      <c r="E7726" s="22" t="str">
        <f>IF(D7726&lt;&gt;"",IFERROR(INDEX(Produtos!$C$4:$C$4996,MATCH(D7726,Produtos!$B$4:$B$4996,0)),"Produto não encontrado"),"")</f>
        <v/>
      </c>
    </row>
    <row r="7727" spans="1:5" x14ac:dyDescent="0.3">
      <c r="A7727" s="21" t="str">
        <f t="shared" si="120"/>
        <v>.</v>
      </c>
      <c r="D7727" s="44"/>
      <c r="E7727" s="22" t="str">
        <f>IF(D7727&lt;&gt;"",IFERROR(INDEX(Produtos!$C$4:$C$4996,MATCH(D7727,Produtos!$B$4:$B$4996,0)),"Produto não encontrado"),"")</f>
        <v/>
      </c>
    </row>
    <row r="7728" spans="1:5" x14ac:dyDescent="0.3">
      <c r="A7728" s="21" t="str">
        <f t="shared" si="120"/>
        <v>.</v>
      </c>
      <c r="D7728" s="44"/>
      <c r="E7728" s="22" t="str">
        <f>IF(D7728&lt;&gt;"",IFERROR(INDEX(Produtos!$C$4:$C$4996,MATCH(D7728,Produtos!$B$4:$B$4996,0)),"Produto não encontrado"),"")</f>
        <v/>
      </c>
    </row>
    <row r="7729" spans="1:5" x14ac:dyDescent="0.3">
      <c r="A7729" s="21" t="str">
        <f t="shared" si="120"/>
        <v>.</v>
      </c>
      <c r="D7729" s="44"/>
      <c r="E7729" s="22" t="str">
        <f>IF(D7729&lt;&gt;"",IFERROR(INDEX(Produtos!$C$4:$C$4996,MATCH(D7729,Produtos!$B$4:$B$4996,0)),"Produto não encontrado"),"")</f>
        <v/>
      </c>
    </row>
    <row r="7730" spans="1:5" x14ac:dyDescent="0.3">
      <c r="A7730" s="21" t="str">
        <f t="shared" si="120"/>
        <v>.</v>
      </c>
      <c r="D7730" s="44"/>
      <c r="E7730" s="22" t="str">
        <f>IF(D7730&lt;&gt;"",IFERROR(INDEX(Produtos!$C$4:$C$4996,MATCH(D7730,Produtos!$B$4:$B$4996,0)),"Produto não encontrado"),"")</f>
        <v/>
      </c>
    </row>
    <row r="7731" spans="1:5" x14ac:dyDescent="0.3">
      <c r="A7731" s="21" t="str">
        <f t="shared" si="120"/>
        <v>.</v>
      </c>
      <c r="D7731" s="44"/>
      <c r="E7731" s="22" t="str">
        <f>IF(D7731&lt;&gt;"",IFERROR(INDEX(Produtos!$C$4:$C$4996,MATCH(D7731,Produtos!$B$4:$B$4996,0)),"Produto não encontrado"),"")</f>
        <v/>
      </c>
    </row>
    <row r="7732" spans="1:5" x14ac:dyDescent="0.3">
      <c r="A7732" s="21" t="str">
        <f t="shared" si="120"/>
        <v>.</v>
      </c>
      <c r="D7732" s="44"/>
      <c r="E7732" s="22" t="str">
        <f>IF(D7732&lt;&gt;"",IFERROR(INDEX(Produtos!$C$4:$C$4996,MATCH(D7732,Produtos!$B$4:$B$4996,0)),"Produto não encontrado"),"")</f>
        <v/>
      </c>
    </row>
    <row r="7733" spans="1:5" x14ac:dyDescent="0.3">
      <c r="A7733" s="21" t="str">
        <f t="shared" si="120"/>
        <v>.</v>
      </c>
      <c r="D7733" s="44"/>
      <c r="E7733" s="22" t="str">
        <f>IF(D7733&lt;&gt;"",IFERROR(INDEX(Produtos!$C$4:$C$4996,MATCH(D7733,Produtos!$B$4:$B$4996,0)),"Produto não encontrado"),"")</f>
        <v/>
      </c>
    </row>
    <row r="7734" spans="1:5" x14ac:dyDescent="0.3">
      <c r="A7734" s="21" t="str">
        <f t="shared" si="120"/>
        <v>.</v>
      </c>
      <c r="D7734" s="44"/>
      <c r="E7734" s="22" t="str">
        <f>IF(D7734&lt;&gt;"",IFERROR(INDEX(Produtos!$C$4:$C$4996,MATCH(D7734,Produtos!$B$4:$B$4996,0)),"Produto não encontrado"),"")</f>
        <v/>
      </c>
    </row>
    <row r="7735" spans="1:5" x14ac:dyDescent="0.3">
      <c r="A7735" s="21" t="str">
        <f t="shared" si="120"/>
        <v>.</v>
      </c>
      <c r="D7735" s="44"/>
      <c r="E7735" s="22" t="str">
        <f>IF(D7735&lt;&gt;"",IFERROR(INDEX(Produtos!$C$4:$C$4996,MATCH(D7735,Produtos!$B$4:$B$4996,0)),"Produto não encontrado"),"")</f>
        <v/>
      </c>
    </row>
    <row r="7736" spans="1:5" x14ac:dyDescent="0.3">
      <c r="A7736" s="21" t="str">
        <f t="shared" si="120"/>
        <v>.</v>
      </c>
      <c r="D7736" s="44"/>
      <c r="E7736" s="22" t="str">
        <f>IF(D7736&lt;&gt;"",IFERROR(INDEX(Produtos!$C$4:$C$4996,MATCH(D7736,Produtos!$B$4:$B$4996,0)),"Produto não encontrado"),"")</f>
        <v/>
      </c>
    </row>
    <row r="7737" spans="1:5" x14ac:dyDescent="0.3">
      <c r="A7737" s="21" t="str">
        <f t="shared" si="120"/>
        <v>.</v>
      </c>
      <c r="D7737" s="44"/>
      <c r="E7737" s="22" t="str">
        <f>IF(D7737&lt;&gt;"",IFERROR(INDEX(Produtos!$C$4:$C$4996,MATCH(D7737,Produtos!$B$4:$B$4996,0)),"Produto não encontrado"),"")</f>
        <v/>
      </c>
    </row>
    <row r="7738" spans="1:5" x14ac:dyDescent="0.3">
      <c r="A7738" s="21" t="str">
        <f t="shared" si="120"/>
        <v>.</v>
      </c>
      <c r="D7738" s="44"/>
      <c r="E7738" s="22" t="str">
        <f>IF(D7738&lt;&gt;"",IFERROR(INDEX(Produtos!$C$4:$C$4996,MATCH(D7738,Produtos!$B$4:$B$4996,0)),"Produto não encontrado"),"")</f>
        <v/>
      </c>
    </row>
    <row r="7739" spans="1:5" x14ac:dyDescent="0.3">
      <c r="A7739" s="21" t="str">
        <f t="shared" si="120"/>
        <v>.</v>
      </c>
      <c r="D7739" s="44"/>
      <c r="E7739" s="22" t="str">
        <f>IF(D7739&lt;&gt;"",IFERROR(INDEX(Produtos!$C$4:$C$4996,MATCH(D7739,Produtos!$B$4:$B$4996,0)),"Produto não encontrado"),"")</f>
        <v/>
      </c>
    </row>
    <row r="7740" spans="1:5" x14ac:dyDescent="0.3">
      <c r="A7740" s="21" t="str">
        <f t="shared" si="120"/>
        <v>.</v>
      </c>
      <c r="D7740" s="44"/>
      <c r="E7740" s="22" t="str">
        <f>IF(D7740&lt;&gt;"",IFERROR(INDEX(Produtos!$C$4:$C$4996,MATCH(D7740,Produtos!$B$4:$B$4996,0)),"Produto não encontrado"),"")</f>
        <v/>
      </c>
    </row>
    <row r="7741" spans="1:5" x14ac:dyDescent="0.3">
      <c r="A7741" s="21" t="str">
        <f t="shared" si="120"/>
        <v>.</v>
      </c>
      <c r="D7741" s="44"/>
      <c r="E7741" s="22" t="str">
        <f>IF(D7741&lt;&gt;"",IFERROR(INDEX(Produtos!$C$4:$C$4996,MATCH(D7741,Produtos!$B$4:$B$4996,0)),"Produto não encontrado"),"")</f>
        <v/>
      </c>
    </row>
    <row r="7742" spans="1:5" x14ac:dyDescent="0.3">
      <c r="A7742" s="21" t="str">
        <f t="shared" si="120"/>
        <v>.</v>
      </c>
      <c r="D7742" s="44"/>
      <c r="E7742" s="22" t="str">
        <f>IF(D7742&lt;&gt;"",IFERROR(INDEX(Produtos!$C$4:$C$4996,MATCH(D7742,Produtos!$B$4:$B$4996,0)),"Produto não encontrado"),"")</f>
        <v/>
      </c>
    </row>
    <row r="7743" spans="1:5" x14ac:dyDescent="0.3">
      <c r="A7743" s="21" t="str">
        <f t="shared" si="120"/>
        <v>.</v>
      </c>
      <c r="D7743" s="44"/>
      <c r="E7743" s="22" t="str">
        <f>IF(D7743&lt;&gt;"",IFERROR(INDEX(Produtos!$C$4:$C$4996,MATCH(D7743,Produtos!$B$4:$B$4996,0)),"Produto não encontrado"),"")</f>
        <v/>
      </c>
    </row>
    <row r="7744" spans="1:5" x14ac:dyDescent="0.3">
      <c r="A7744" s="21" t="str">
        <f t="shared" ref="A7744:A7807" si="121">IF(C7744="Entrada",2,IF(C7744="Saída",1,"."))</f>
        <v>.</v>
      </c>
      <c r="D7744" s="44"/>
      <c r="E7744" s="22" t="str">
        <f>IF(D7744&lt;&gt;"",IFERROR(INDEX(Produtos!$C$4:$C$4996,MATCH(D7744,Produtos!$B$4:$B$4996,0)),"Produto não encontrado"),"")</f>
        <v/>
      </c>
    </row>
    <row r="7745" spans="1:5" x14ac:dyDescent="0.3">
      <c r="A7745" s="21" t="str">
        <f t="shared" si="121"/>
        <v>.</v>
      </c>
      <c r="D7745" s="44"/>
      <c r="E7745" s="22" t="str">
        <f>IF(D7745&lt;&gt;"",IFERROR(INDEX(Produtos!$C$4:$C$4996,MATCH(D7745,Produtos!$B$4:$B$4996,0)),"Produto não encontrado"),"")</f>
        <v/>
      </c>
    </row>
    <row r="7746" spans="1:5" x14ac:dyDescent="0.3">
      <c r="A7746" s="21" t="str">
        <f t="shared" si="121"/>
        <v>.</v>
      </c>
      <c r="D7746" s="44"/>
      <c r="E7746" s="22" t="str">
        <f>IF(D7746&lt;&gt;"",IFERROR(INDEX(Produtos!$C$4:$C$4996,MATCH(D7746,Produtos!$B$4:$B$4996,0)),"Produto não encontrado"),"")</f>
        <v/>
      </c>
    </row>
    <row r="7747" spans="1:5" x14ac:dyDescent="0.3">
      <c r="A7747" s="21" t="str">
        <f t="shared" si="121"/>
        <v>.</v>
      </c>
      <c r="D7747" s="44"/>
      <c r="E7747" s="22" t="str">
        <f>IF(D7747&lt;&gt;"",IFERROR(INDEX(Produtos!$C$4:$C$4996,MATCH(D7747,Produtos!$B$4:$B$4996,0)),"Produto não encontrado"),"")</f>
        <v/>
      </c>
    </row>
    <row r="7748" spans="1:5" x14ac:dyDescent="0.3">
      <c r="A7748" s="21" t="str">
        <f t="shared" si="121"/>
        <v>.</v>
      </c>
      <c r="D7748" s="44"/>
      <c r="E7748" s="22" t="str">
        <f>IF(D7748&lt;&gt;"",IFERROR(INDEX(Produtos!$C$4:$C$4996,MATCH(D7748,Produtos!$B$4:$B$4996,0)),"Produto não encontrado"),"")</f>
        <v/>
      </c>
    </row>
    <row r="7749" spans="1:5" x14ac:dyDescent="0.3">
      <c r="A7749" s="21" t="str">
        <f t="shared" si="121"/>
        <v>.</v>
      </c>
      <c r="D7749" s="44"/>
      <c r="E7749" s="22" t="str">
        <f>IF(D7749&lt;&gt;"",IFERROR(INDEX(Produtos!$C$4:$C$4996,MATCH(D7749,Produtos!$B$4:$B$4996,0)),"Produto não encontrado"),"")</f>
        <v/>
      </c>
    </row>
    <row r="7750" spans="1:5" x14ac:dyDescent="0.3">
      <c r="A7750" s="21" t="str">
        <f t="shared" si="121"/>
        <v>.</v>
      </c>
      <c r="D7750" s="44"/>
      <c r="E7750" s="22" t="str">
        <f>IF(D7750&lt;&gt;"",IFERROR(INDEX(Produtos!$C$4:$C$4996,MATCH(D7750,Produtos!$B$4:$B$4996,0)),"Produto não encontrado"),"")</f>
        <v/>
      </c>
    </row>
    <row r="7751" spans="1:5" x14ac:dyDescent="0.3">
      <c r="A7751" s="21" t="str">
        <f t="shared" si="121"/>
        <v>.</v>
      </c>
      <c r="D7751" s="44"/>
      <c r="E7751" s="22" t="str">
        <f>IF(D7751&lt;&gt;"",IFERROR(INDEX(Produtos!$C$4:$C$4996,MATCH(D7751,Produtos!$B$4:$B$4996,0)),"Produto não encontrado"),"")</f>
        <v/>
      </c>
    </row>
    <row r="7752" spans="1:5" x14ac:dyDescent="0.3">
      <c r="A7752" s="21" t="str">
        <f t="shared" si="121"/>
        <v>.</v>
      </c>
      <c r="D7752" s="44"/>
      <c r="E7752" s="22" t="str">
        <f>IF(D7752&lt;&gt;"",IFERROR(INDEX(Produtos!$C$4:$C$4996,MATCH(D7752,Produtos!$B$4:$B$4996,0)),"Produto não encontrado"),"")</f>
        <v/>
      </c>
    </row>
    <row r="7753" spans="1:5" x14ac:dyDescent="0.3">
      <c r="A7753" s="21" t="str">
        <f t="shared" si="121"/>
        <v>.</v>
      </c>
      <c r="D7753" s="44"/>
      <c r="E7753" s="22" t="str">
        <f>IF(D7753&lt;&gt;"",IFERROR(INDEX(Produtos!$C$4:$C$4996,MATCH(D7753,Produtos!$B$4:$B$4996,0)),"Produto não encontrado"),"")</f>
        <v/>
      </c>
    </row>
    <row r="7754" spans="1:5" x14ac:dyDescent="0.3">
      <c r="A7754" s="21" t="str">
        <f t="shared" si="121"/>
        <v>.</v>
      </c>
      <c r="D7754" s="44"/>
      <c r="E7754" s="22" t="str">
        <f>IF(D7754&lt;&gt;"",IFERROR(INDEX(Produtos!$C$4:$C$4996,MATCH(D7754,Produtos!$B$4:$B$4996,0)),"Produto não encontrado"),"")</f>
        <v/>
      </c>
    </row>
    <row r="7755" spans="1:5" x14ac:dyDescent="0.3">
      <c r="A7755" s="21" t="str">
        <f t="shared" si="121"/>
        <v>.</v>
      </c>
      <c r="D7755" s="44"/>
      <c r="E7755" s="22" t="str">
        <f>IF(D7755&lt;&gt;"",IFERROR(INDEX(Produtos!$C$4:$C$4996,MATCH(D7755,Produtos!$B$4:$B$4996,0)),"Produto não encontrado"),"")</f>
        <v/>
      </c>
    </row>
    <row r="7756" spans="1:5" x14ac:dyDescent="0.3">
      <c r="A7756" s="21" t="str">
        <f t="shared" si="121"/>
        <v>.</v>
      </c>
      <c r="D7756" s="44"/>
      <c r="E7756" s="22" t="str">
        <f>IF(D7756&lt;&gt;"",IFERROR(INDEX(Produtos!$C$4:$C$4996,MATCH(D7756,Produtos!$B$4:$B$4996,0)),"Produto não encontrado"),"")</f>
        <v/>
      </c>
    </row>
    <row r="7757" spans="1:5" x14ac:dyDescent="0.3">
      <c r="A7757" s="21" t="str">
        <f t="shared" si="121"/>
        <v>.</v>
      </c>
      <c r="D7757" s="44"/>
      <c r="E7757" s="22" t="str">
        <f>IF(D7757&lt;&gt;"",IFERROR(INDEX(Produtos!$C$4:$C$4996,MATCH(D7757,Produtos!$B$4:$B$4996,0)),"Produto não encontrado"),"")</f>
        <v/>
      </c>
    </row>
    <row r="7758" spans="1:5" x14ac:dyDescent="0.3">
      <c r="A7758" s="21" t="str">
        <f t="shared" si="121"/>
        <v>.</v>
      </c>
      <c r="D7758" s="44"/>
      <c r="E7758" s="22" t="str">
        <f>IF(D7758&lt;&gt;"",IFERROR(INDEX(Produtos!$C$4:$C$4996,MATCH(D7758,Produtos!$B$4:$B$4996,0)),"Produto não encontrado"),"")</f>
        <v/>
      </c>
    </row>
    <row r="7759" spans="1:5" x14ac:dyDescent="0.3">
      <c r="A7759" s="21" t="str">
        <f t="shared" si="121"/>
        <v>.</v>
      </c>
      <c r="D7759" s="44"/>
      <c r="E7759" s="22" t="str">
        <f>IF(D7759&lt;&gt;"",IFERROR(INDEX(Produtos!$C$4:$C$4996,MATCH(D7759,Produtos!$B$4:$B$4996,0)),"Produto não encontrado"),"")</f>
        <v/>
      </c>
    </row>
    <row r="7760" spans="1:5" x14ac:dyDescent="0.3">
      <c r="A7760" s="21" t="str">
        <f t="shared" si="121"/>
        <v>.</v>
      </c>
      <c r="D7760" s="44"/>
      <c r="E7760" s="22" t="str">
        <f>IF(D7760&lt;&gt;"",IFERROR(INDEX(Produtos!$C$4:$C$4996,MATCH(D7760,Produtos!$B$4:$B$4996,0)),"Produto não encontrado"),"")</f>
        <v/>
      </c>
    </row>
    <row r="7761" spans="1:5" x14ac:dyDescent="0.3">
      <c r="A7761" s="21" t="str">
        <f t="shared" si="121"/>
        <v>.</v>
      </c>
      <c r="D7761" s="44"/>
      <c r="E7761" s="22" t="str">
        <f>IF(D7761&lt;&gt;"",IFERROR(INDEX(Produtos!$C$4:$C$4996,MATCH(D7761,Produtos!$B$4:$B$4996,0)),"Produto não encontrado"),"")</f>
        <v/>
      </c>
    </row>
    <row r="7762" spans="1:5" x14ac:dyDescent="0.3">
      <c r="A7762" s="21" t="str">
        <f t="shared" si="121"/>
        <v>.</v>
      </c>
      <c r="D7762" s="44"/>
      <c r="E7762" s="22" t="str">
        <f>IF(D7762&lt;&gt;"",IFERROR(INDEX(Produtos!$C$4:$C$4996,MATCH(D7762,Produtos!$B$4:$B$4996,0)),"Produto não encontrado"),"")</f>
        <v/>
      </c>
    </row>
    <row r="7763" spans="1:5" x14ac:dyDescent="0.3">
      <c r="A7763" s="21" t="str">
        <f t="shared" si="121"/>
        <v>.</v>
      </c>
      <c r="D7763" s="44"/>
      <c r="E7763" s="22" t="str">
        <f>IF(D7763&lt;&gt;"",IFERROR(INDEX(Produtos!$C$4:$C$4996,MATCH(D7763,Produtos!$B$4:$B$4996,0)),"Produto não encontrado"),"")</f>
        <v/>
      </c>
    </row>
    <row r="7764" spans="1:5" x14ac:dyDescent="0.3">
      <c r="A7764" s="21" t="str">
        <f t="shared" si="121"/>
        <v>.</v>
      </c>
      <c r="D7764" s="44"/>
      <c r="E7764" s="22" t="str">
        <f>IF(D7764&lt;&gt;"",IFERROR(INDEX(Produtos!$C$4:$C$4996,MATCH(D7764,Produtos!$B$4:$B$4996,0)),"Produto não encontrado"),"")</f>
        <v/>
      </c>
    </row>
    <row r="7765" spans="1:5" x14ac:dyDescent="0.3">
      <c r="A7765" s="21" t="str">
        <f t="shared" si="121"/>
        <v>.</v>
      </c>
      <c r="D7765" s="44"/>
      <c r="E7765" s="22" t="str">
        <f>IF(D7765&lt;&gt;"",IFERROR(INDEX(Produtos!$C$4:$C$4996,MATCH(D7765,Produtos!$B$4:$B$4996,0)),"Produto não encontrado"),"")</f>
        <v/>
      </c>
    </row>
    <row r="7766" spans="1:5" x14ac:dyDescent="0.3">
      <c r="A7766" s="21" t="str">
        <f t="shared" si="121"/>
        <v>.</v>
      </c>
      <c r="D7766" s="44"/>
      <c r="E7766" s="22" t="str">
        <f>IF(D7766&lt;&gt;"",IFERROR(INDEX(Produtos!$C$4:$C$4996,MATCH(D7766,Produtos!$B$4:$B$4996,0)),"Produto não encontrado"),"")</f>
        <v/>
      </c>
    </row>
    <row r="7767" spans="1:5" x14ac:dyDescent="0.3">
      <c r="A7767" s="21" t="str">
        <f t="shared" si="121"/>
        <v>.</v>
      </c>
      <c r="D7767" s="44"/>
      <c r="E7767" s="22" t="str">
        <f>IF(D7767&lt;&gt;"",IFERROR(INDEX(Produtos!$C$4:$C$4996,MATCH(D7767,Produtos!$B$4:$B$4996,0)),"Produto não encontrado"),"")</f>
        <v/>
      </c>
    </row>
    <row r="7768" spans="1:5" x14ac:dyDescent="0.3">
      <c r="A7768" s="21" t="str">
        <f t="shared" si="121"/>
        <v>.</v>
      </c>
      <c r="D7768" s="44"/>
      <c r="E7768" s="22" t="str">
        <f>IF(D7768&lt;&gt;"",IFERROR(INDEX(Produtos!$C$4:$C$4996,MATCH(D7768,Produtos!$B$4:$B$4996,0)),"Produto não encontrado"),"")</f>
        <v/>
      </c>
    </row>
    <row r="7769" spans="1:5" x14ac:dyDescent="0.3">
      <c r="A7769" s="21" t="str">
        <f t="shared" si="121"/>
        <v>.</v>
      </c>
      <c r="D7769" s="44"/>
      <c r="E7769" s="22" t="str">
        <f>IF(D7769&lt;&gt;"",IFERROR(INDEX(Produtos!$C$4:$C$4996,MATCH(D7769,Produtos!$B$4:$B$4996,0)),"Produto não encontrado"),"")</f>
        <v/>
      </c>
    </row>
    <row r="7770" spans="1:5" x14ac:dyDescent="0.3">
      <c r="A7770" s="21" t="str">
        <f t="shared" si="121"/>
        <v>.</v>
      </c>
      <c r="D7770" s="44"/>
      <c r="E7770" s="22" t="str">
        <f>IF(D7770&lt;&gt;"",IFERROR(INDEX(Produtos!$C$4:$C$4996,MATCH(D7770,Produtos!$B$4:$B$4996,0)),"Produto não encontrado"),"")</f>
        <v/>
      </c>
    </row>
    <row r="7771" spans="1:5" x14ac:dyDescent="0.3">
      <c r="A7771" s="21" t="str">
        <f t="shared" si="121"/>
        <v>.</v>
      </c>
      <c r="D7771" s="44"/>
      <c r="E7771" s="22" t="str">
        <f>IF(D7771&lt;&gt;"",IFERROR(INDEX(Produtos!$C$4:$C$4996,MATCH(D7771,Produtos!$B$4:$B$4996,0)),"Produto não encontrado"),"")</f>
        <v/>
      </c>
    </row>
    <row r="7772" spans="1:5" x14ac:dyDescent="0.3">
      <c r="A7772" s="21" t="str">
        <f t="shared" si="121"/>
        <v>.</v>
      </c>
      <c r="D7772" s="44"/>
      <c r="E7772" s="22" t="str">
        <f>IF(D7772&lt;&gt;"",IFERROR(INDEX(Produtos!$C$4:$C$4996,MATCH(D7772,Produtos!$B$4:$B$4996,0)),"Produto não encontrado"),"")</f>
        <v/>
      </c>
    </row>
    <row r="7773" spans="1:5" x14ac:dyDescent="0.3">
      <c r="A7773" s="21" t="str">
        <f t="shared" si="121"/>
        <v>.</v>
      </c>
      <c r="D7773" s="44"/>
      <c r="E7773" s="22" t="str">
        <f>IF(D7773&lt;&gt;"",IFERROR(INDEX(Produtos!$C$4:$C$4996,MATCH(D7773,Produtos!$B$4:$B$4996,0)),"Produto não encontrado"),"")</f>
        <v/>
      </c>
    </row>
    <row r="7774" spans="1:5" x14ac:dyDescent="0.3">
      <c r="A7774" s="21" t="str">
        <f t="shared" si="121"/>
        <v>.</v>
      </c>
      <c r="D7774" s="44"/>
      <c r="E7774" s="22" t="str">
        <f>IF(D7774&lt;&gt;"",IFERROR(INDEX(Produtos!$C$4:$C$4996,MATCH(D7774,Produtos!$B$4:$B$4996,0)),"Produto não encontrado"),"")</f>
        <v/>
      </c>
    </row>
    <row r="7775" spans="1:5" x14ac:dyDescent="0.3">
      <c r="A7775" s="21" t="str">
        <f t="shared" si="121"/>
        <v>.</v>
      </c>
      <c r="D7775" s="44"/>
      <c r="E7775" s="22" t="str">
        <f>IF(D7775&lt;&gt;"",IFERROR(INDEX(Produtos!$C$4:$C$4996,MATCH(D7775,Produtos!$B$4:$B$4996,0)),"Produto não encontrado"),"")</f>
        <v/>
      </c>
    </row>
    <row r="7776" spans="1:5" x14ac:dyDescent="0.3">
      <c r="A7776" s="21" t="str">
        <f t="shared" si="121"/>
        <v>.</v>
      </c>
      <c r="D7776" s="44"/>
      <c r="E7776" s="22" t="str">
        <f>IF(D7776&lt;&gt;"",IFERROR(INDEX(Produtos!$C$4:$C$4996,MATCH(D7776,Produtos!$B$4:$B$4996,0)),"Produto não encontrado"),"")</f>
        <v/>
      </c>
    </row>
    <row r="7777" spans="1:5" x14ac:dyDescent="0.3">
      <c r="A7777" s="21" t="str">
        <f t="shared" si="121"/>
        <v>.</v>
      </c>
      <c r="D7777" s="44"/>
      <c r="E7777" s="22" t="str">
        <f>IF(D7777&lt;&gt;"",IFERROR(INDEX(Produtos!$C$4:$C$4996,MATCH(D7777,Produtos!$B$4:$B$4996,0)),"Produto não encontrado"),"")</f>
        <v/>
      </c>
    </row>
    <row r="7778" spans="1:5" x14ac:dyDescent="0.3">
      <c r="A7778" s="21" t="str">
        <f t="shared" si="121"/>
        <v>.</v>
      </c>
      <c r="D7778" s="44"/>
      <c r="E7778" s="22" t="str">
        <f>IF(D7778&lt;&gt;"",IFERROR(INDEX(Produtos!$C$4:$C$4996,MATCH(D7778,Produtos!$B$4:$B$4996,0)),"Produto não encontrado"),"")</f>
        <v/>
      </c>
    </row>
    <row r="7779" spans="1:5" x14ac:dyDescent="0.3">
      <c r="A7779" s="21" t="str">
        <f t="shared" si="121"/>
        <v>.</v>
      </c>
      <c r="D7779" s="44"/>
      <c r="E7779" s="22" t="str">
        <f>IF(D7779&lt;&gt;"",IFERROR(INDEX(Produtos!$C$4:$C$4996,MATCH(D7779,Produtos!$B$4:$B$4996,0)),"Produto não encontrado"),"")</f>
        <v/>
      </c>
    </row>
    <row r="7780" spans="1:5" x14ac:dyDescent="0.3">
      <c r="A7780" s="21" t="str">
        <f t="shared" si="121"/>
        <v>.</v>
      </c>
      <c r="D7780" s="44"/>
      <c r="E7780" s="22" t="str">
        <f>IF(D7780&lt;&gt;"",IFERROR(INDEX(Produtos!$C$4:$C$4996,MATCH(D7780,Produtos!$B$4:$B$4996,0)),"Produto não encontrado"),"")</f>
        <v/>
      </c>
    </row>
    <row r="7781" spans="1:5" x14ac:dyDescent="0.3">
      <c r="A7781" s="21" t="str">
        <f t="shared" si="121"/>
        <v>.</v>
      </c>
      <c r="D7781" s="44"/>
      <c r="E7781" s="22" t="str">
        <f>IF(D7781&lt;&gt;"",IFERROR(INDEX(Produtos!$C$4:$C$4996,MATCH(D7781,Produtos!$B$4:$B$4996,0)),"Produto não encontrado"),"")</f>
        <v/>
      </c>
    </row>
    <row r="7782" spans="1:5" x14ac:dyDescent="0.3">
      <c r="A7782" s="21" t="str">
        <f t="shared" si="121"/>
        <v>.</v>
      </c>
      <c r="D7782" s="44"/>
      <c r="E7782" s="22" t="str">
        <f>IF(D7782&lt;&gt;"",IFERROR(INDEX(Produtos!$C$4:$C$4996,MATCH(D7782,Produtos!$B$4:$B$4996,0)),"Produto não encontrado"),"")</f>
        <v/>
      </c>
    </row>
    <row r="7783" spans="1:5" x14ac:dyDescent="0.3">
      <c r="A7783" s="21" t="str">
        <f t="shared" si="121"/>
        <v>.</v>
      </c>
      <c r="D7783" s="44"/>
      <c r="E7783" s="22" t="str">
        <f>IF(D7783&lt;&gt;"",IFERROR(INDEX(Produtos!$C$4:$C$4996,MATCH(D7783,Produtos!$B$4:$B$4996,0)),"Produto não encontrado"),"")</f>
        <v/>
      </c>
    </row>
    <row r="7784" spans="1:5" x14ac:dyDescent="0.3">
      <c r="A7784" s="21" t="str">
        <f t="shared" si="121"/>
        <v>.</v>
      </c>
      <c r="D7784" s="44"/>
      <c r="E7784" s="22" t="str">
        <f>IF(D7784&lt;&gt;"",IFERROR(INDEX(Produtos!$C$4:$C$4996,MATCH(D7784,Produtos!$B$4:$B$4996,0)),"Produto não encontrado"),"")</f>
        <v/>
      </c>
    </row>
    <row r="7785" spans="1:5" x14ac:dyDescent="0.3">
      <c r="A7785" s="21" t="str">
        <f t="shared" si="121"/>
        <v>.</v>
      </c>
      <c r="D7785" s="44"/>
      <c r="E7785" s="22" t="str">
        <f>IF(D7785&lt;&gt;"",IFERROR(INDEX(Produtos!$C$4:$C$4996,MATCH(D7785,Produtos!$B$4:$B$4996,0)),"Produto não encontrado"),"")</f>
        <v/>
      </c>
    </row>
    <row r="7786" spans="1:5" x14ac:dyDescent="0.3">
      <c r="A7786" s="21" t="str">
        <f t="shared" si="121"/>
        <v>.</v>
      </c>
      <c r="D7786" s="44"/>
      <c r="E7786" s="22" t="str">
        <f>IF(D7786&lt;&gt;"",IFERROR(INDEX(Produtos!$C$4:$C$4996,MATCH(D7786,Produtos!$B$4:$B$4996,0)),"Produto não encontrado"),"")</f>
        <v/>
      </c>
    </row>
    <row r="7787" spans="1:5" x14ac:dyDescent="0.3">
      <c r="A7787" s="21" t="str">
        <f t="shared" si="121"/>
        <v>.</v>
      </c>
      <c r="D7787" s="44"/>
      <c r="E7787" s="22" t="str">
        <f>IF(D7787&lt;&gt;"",IFERROR(INDEX(Produtos!$C$4:$C$4996,MATCH(D7787,Produtos!$B$4:$B$4996,0)),"Produto não encontrado"),"")</f>
        <v/>
      </c>
    </row>
    <row r="7788" spans="1:5" x14ac:dyDescent="0.3">
      <c r="A7788" s="21" t="str">
        <f t="shared" si="121"/>
        <v>.</v>
      </c>
      <c r="D7788" s="44"/>
      <c r="E7788" s="22" t="str">
        <f>IF(D7788&lt;&gt;"",IFERROR(INDEX(Produtos!$C$4:$C$4996,MATCH(D7788,Produtos!$B$4:$B$4996,0)),"Produto não encontrado"),"")</f>
        <v/>
      </c>
    </row>
    <row r="7789" spans="1:5" x14ac:dyDescent="0.3">
      <c r="A7789" s="21" t="str">
        <f t="shared" si="121"/>
        <v>.</v>
      </c>
      <c r="D7789" s="44"/>
      <c r="E7789" s="22" t="str">
        <f>IF(D7789&lt;&gt;"",IFERROR(INDEX(Produtos!$C$4:$C$4996,MATCH(D7789,Produtos!$B$4:$B$4996,0)),"Produto não encontrado"),"")</f>
        <v/>
      </c>
    </row>
    <row r="7790" spans="1:5" x14ac:dyDescent="0.3">
      <c r="A7790" s="21" t="str">
        <f t="shared" si="121"/>
        <v>.</v>
      </c>
      <c r="D7790" s="44"/>
      <c r="E7790" s="22" t="str">
        <f>IF(D7790&lt;&gt;"",IFERROR(INDEX(Produtos!$C$4:$C$4996,MATCH(D7790,Produtos!$B$4:$B$4996,0)),"Produto não encontrado"),"")</f>
        <v/>
      </c>
    </row>
    <row r="7791" spans="1:5" x14ac:dyDescent="0.3">
      <c r="A7791" s="21" t="str">
        <f t="shared" si="121"/>
        <v>.</v>
      </c>
      <c r="D7791" s="44"/>
      <c r="E7791" s="22" t="str">
        <f>IF(D7791&lt;&gt;"",IFERROR(INDEX(Produtos!$C$4:$C$4996,MATCH(D7791,Produtos!$B$4:$B$4996,0)),"Produto não encontrado"),"")</f>
        <v/>
      </c>
    </row>
    <row r="7792" spans="1:5" x14ac:dyDescent="0.3">
      <c r="A7792" s="21" t="str">
        <f t="shared" si="121"/>
        <v>.</v>
      </c>
      <c r="D7792" s="44"/>
      <c r="E7792" s="22" t="str">
        <f>IF(D7792&lt;&gt;"",IFERROR(INDEX(Produtos!$C$4:$C$4996,MATCH(D7792,Produtos!$B$4:$B$4996,0)),"Produto não encontrado"),"")</f>
        <v/>
      </c>
    </row>
    <row r="7793" spans="1:5" x14ac:dyDescent="0.3">
      <c r="A7793" s="21" t="str">
        <f t="shared" si="121"/>
        <v>.</v>
      </c>
      <c r="D7793" s="44"/>
      <c r="E7793" s="22" t="str">
        <f>IF(D7793&lt;&gt;"",IFERROR(INDEX(Produtos!$C$4:$C$4996,MATCH(D7793,Produtos!$B$4:$B$4996,0)),"Produto não encontrado"),"")</f>
        <v/>
      </c>
    </row>
    <row r="7794" spans="1:5" x14ac:dyDescent="0.3">
      <c r="A7794" s="21" t="str">
        <f t="shared" si="121"/>
        <v>.</v>
      </c>
      <c r="D7794" s="44"/>
      <c r="E7794" s="22" t="str">
        <f>IF(D7794&lt;&gt;"",IFERROR(INDEX(Produtos!$C$4:$C$4996,MATCH(D7794,Produtos!$B$4:$B$4996,0)),"Produto não encontrado"),"")</f>
        <v/>
      </c>
    </row>
    <row r="7795" spans="1:5" x14ac:dyDescent="0.3">
      <c r="A7795" s="21" t="str">
        <f t="shared" si="121"/>
        <v>.</v>
      </c>
      <c r="D7795" s="44"/>
      <c r="E7795" s="22" t="str">
        <f>IF(D7795&lt;&gt;"",IFERROR(INDEX(Produtos!$C$4:$C$4996,MATCH(D7795,Produtos!$B$4:$B$4996,0)),"Produto não encontrado"),"")</f>
        <v/>
      </c>
    </row>
    <row r="7796" spans="1:5" x14ac:dyDescent="0.3">
      <c r="A7796" s="21" t="str">
        <f t="shared" si="121"/>
        <v>.</v>
      </c>
      <c r="D7796" s="44"/>
      <c r="E7796" s="22" t="str">
        <f>IF(D7796&lt;&gt;"",IFERROR(INDEX(Produtos!$C$4:$C$4996,MATCH(D7796,Produtos!$B$4:$B$4996,0)),"Produto não encontrado"),"")</f>
        <v/>
      </c>
    </row>
    <row r="7797" spans="1:5" x14ac:dyDescent="0.3">
      <c r="A7797" s="21" t="str">
        <f t="shared" si="121"/>
        <v>.</v>
      </c>
      <c r="D7797" s="44"/>
      <c r="E7797" s="22" t="str">
        <f>IF(D7797&lt;&gt;"",IFERROR(INDEX(Produtos!$C$4:$C$4996,MATCH(D7797,Produtos!$B$4:$B$4996,0)),"Produto não encontrado"),"")</f>
        <v/>
      </c>
    </row>
    <row r="7798" spans="1:5" x14ac:dyDescent="0.3">
      <c r="A7798" s="21" t="str">
        <f t="shared" si="121"/>
        <v>.</v>
      </c>
      <c r="D7798" s="44"/>
      <c r="E7798" s="22" t="str">
        <f>IF(D7798&lt;&gt;"",IFERROR(INDEX(Produtos!$C$4:$C$4996,MATCH(D7798,Produtos!$B$4:$B$4996,0)),"Produto não encontrado"),"")</f>
        <v/>
      </c>
    </row>
    <row r="7799" spans="1:5" x14ac:dyDescent="0.3">
      <c r="A7799" s="21" t="str">
        <f t="shared" si="121"/>
        <v>.</v>
      </c>
      <c r="D7799" s="44"/>
      <c r="E7799" s="22" t="str">
        <f>IF(D7799&lt;&gt;"",IFERROR(INDEX(Produtos!$C$4:$C$4996,MATCH(D7799,Produtos!$B$4:$B$4996,0)),"Produto não encontrado"),"")</f>
        <v/>
      </c>
    </row>
    <row r="7800" spans="1:5" x14ac:dyDescent="0.3">
      <c r="A7800" s="21" t="str">
        <f t="shared" si="121"/>
        <v>.</v>
      </c>
      <c r="D7800" s="44"/>
      <c r="E7800" s="22" t="str">
        <f>IF(D7800&lt;&gt;"",IFERROR(INDEX(Produtos!$C$4:$C$4996,MATCH(D7800,Produtos!$B$4:$B$4996,0)),"Produto não encontrado"),"")</f>
        <v/>
      </c>
    </row>
    <row r="7801" spans="1:5" x14ac:dyDescent="0.3">
      <c r="A7801" s="21" t="str">
        <f t="shared" si="121"/>
        <v>.</v>
      </c>
      <c r="D7801" s="44"/>
      <c r="E7801" s="22" t="str">
        <f>IF(D7801&lt;&gt;"",IFERROR(INDEX(Produtos!$C$4:$C$4996,MATCH(D7801,Produtos!$B$4:$B$4996,0)),"Produto não encontrado"),"")</f>
        <v/>
      </c>
    </row>
    <row r="7802" spans="1:5" x14ac:dyDescent="0.3">
      <c r="A7802" s="21" t="str">
        <f t="shared" si="121"/>
        <v>.</v>
      </c>
      <c r="D7802" s="44"/>
      <c r="E7802" s="22" t="str">
        <f>IF(D7802&lt;&gt;"",IFERROR(INDEX(Produtos!$C$4:$C$4996,MATCH(D7802,Produtos!$B$4:$B$4996,0)),"Produto não encontrado"),"")</f>
        <v/>
      </c>
    </row>
    <row r="7803" spans="1:5" x14ac:dyDescent="0.3">
      <c r="A7803" s="21" t="str">
        <f t="shared" si="121"/>
        <v>.</v>
      </c>
      <c r="D7803" s="44"/>
      <c r="E7803" s="22" t="str">
        <f>IF(D7803&lt;&gt;"",IFERROR(INDEX(Produtos!$C$4:$C$4996,MATCH(D7803,Produtos!$B$4:$B$4996,0)),"Produto não encontrado"),"")</f>
        <v/>
      </c>
    </row>
    <row r="7804" spans="1:5" x14ac:dyDescent="0.3">
      <c r="A7804" s="21" t="str">
        <f t="shared" si="121"/>
        <v>.</v>
      </c>
      <c r="D7804" s="44"/>
      <c r="E7804" s="22" t="str">
        <f>IF(D7804&lt;&gt;"",IFERROR(INDEX(Produtos!$C$4:$C$4996,MATCH(D7804,Produtos!$B$4:$B$4996,0)),"Produto não encontrado"),"")</f>
        <v/>
      </c>
    </row>
    <row r="7805" spans="1:5" x14ac:dyDescent="0.3">
      <c r="A7805" s="21" t="str">
        <f t="shared" si="121"/>
        <v>.</v>
      </c>
      <c r="D7805" s="44"/>
      <c r="E7805" s="22" t="str">
        <f>IF(D7805&lt;&gt;"",IFERROR(INDEX(Produtos!$C$4:$C$4996,MATCH(D7805,Produtos!$B$4:$B$4996,0)),"Produto não encontrado"),"")</f>
        <v/>
      </c>
    </row>
    <row r="7806" spans="1:5" x14ac:dyDescent="0.3">
      <c r="A7806" s="21" t="str">
        <f t="shared" si="121"/>
        <v>.</v>
      </c>
      <c r="D7806" s="44"/>
      <c r="E7806" s="22" t="str">
        <f>IF(D7806&lt;&gt;"",IFERROR(INDEX(Produtos!$C$4:$C$4996,MATCH(D7806,Produtos!$B$4:$B$4996,0)),"Produto não encontrado"),"")</f>
        <v/>
      </c>
    </row>
    <row r="7807" spans="1:5" x14ac:dyDescent="0.3">
      <c r="A7807" s="21" t="str">
        <f t="shared" si="121"/>
        <v>.</v>
      </c>
      <c r="D7807" s="44"/>
      <c r="E7807" s="22" t="str">
        <f>IF(D7807&lt;&gt;"",IFERROR(INDEX(Produtos!$C$4:$C$4996,MATCH(D7807,Produtos!$B$4:$B$4996,0)),"Produto não encontrado"),"")</f>
        <v/>
      </c>
    </row>
    <row r="7808" spans="1:5" x14ac:dyDescent="0.3">
      <c r="A7808" s="21" t="str">
        <f t="shared" ref="A7808:A7871" si="122">IF(C7808="Entrada",2,IF(C7808="Saída",1,"."))</f>
        <v>.</v>
      </c>
      <c r="D7808" s="44"/>
      <c r="E7808" s="22" t="str">
        <f>IF(D7808&lt;&gt;"",IFERROR(INDEX(Produtos!$C$4:$C$4996,MATCH(D7808,Produtos!$B$4:$B$4996,0)),"Produto não encontrado"),"")</f>
        <v/>
      </c>
    </row>
    <row r="7809" spans="1:5" x14ac:dyDescent="0.3">
      <c r="A7809" s="21" t="str">
        <f t="shared" si="122"/>
        <v>.</v>
      </c>
      <c r="D7809" s="44"/>
      <c r="E7809" s="22" t="str">
        <f>IF(D7809&lt;&gt;"",IFERROR(INDEX(Produtos!$C$4:$C$4996,MATCH(D7809,Produtos!$B$4:$B$4996,0)),"Produto não encontrado"),"")</f>
        <v/>
      </c>
    </row>
    <row r="7810" spans="1:5" x14ac:dyDescent="0.3">
      <c r="A7810" s="21" t="str">
        <f t="shared" si="122"/>
        <v>.</v>
      </c>
      <c r="D7810" s="44"/>
      <c r="E7810" s="22" t="str">
        <f>IF(D7810&lt;&gt;"",IFERROR(INDEX(Produtos!$C$4:$C$4996,MATCH(D7810,Produtos!$B$4:$B$4996,0)),"Produto não encontrado"),"")</f>
        <v/>
      </c>
    </row>
    <row r="7811" spans="1:5" x14ac:dyDescent="0.3">
      <c r="A7811" s="21" t="str">
        <f t="shared" si="122"/>
        <v>.</v>
      </c>
      <c r="D7811" s="44"/>
      <c r="E7811" s="22" t="str">
        <f>IF(D7811&lt;&gt;"",IFERROR(INDEX(Produtos!$C$4:$C$4996,MATCH(D7811,Produtos!$B$4:$B$4996,0)),"Produto não encontrado"),"")</f>
        <v/>
      </c>
    </row>
    <row r="7812" spans="1:5" x14ac:dyDescent="0.3">
      <c r="A7812" s="21" t="str">
        <f t="shared" si="122"/>
        <v>.</v>
      </c>
      <c r="D7812" s="44"/>
      <c r="E7812" s="22" t="str">
        <f>IF(D7812&lt;&gt;"",IFERROR(INDEX(Produtos!$C$4:$C$4996,MATCH(D7812,Produtos!$B$4:$B$4996,0)),"Produto não encontrado"),"")</f>
        <v/>
      </c>
    </row>
    <row r="7813" spans="1:5" x14ac:dyDescent="0.3">
      <c r="A7813" s="21" t="str">
        <f t="shared" si="122"/>
        <v>.</v>
      </c>
      <c r="D7813" s="44"/>
      <c r="E7813" s="22" t="str">
        <f>IF(D7813&lt;&gt;"",IFERROR(INDEX(Produtos!$C$4:$C$4996,MATCH(D7813,Produtos!$B$4:$B$4996,0)),"Produto não encontrado"),"")</f>
        <v/>
      </c>
    </row>
    <row r="7814" spans="1:5" x14ac:dyDescent="0.3">
      <c r="A7814" s="21" t="str">
        <f t="shared" si="122"/>
        <v>.</v>
      </c>
      <c r="D7814" s="44"/>
      <c r="E7814" s="22" t="str">
        <f>IF(D7814&lt;&gt;"",IFERROR(INDEX(Produtos!$C$4:$C$4996,MATCH(D7814,Produtos!$B$4:$B$4996,0)),"Produto não encontrado"),"")</f>
        <v/>
      </c>
    </row>
    <row r="7815" spans="1:5" x14ac:dyDescent="0.3">
      <c r="A7815" s="21" t="str">
        <f t="shared" si="122"/>
        <v>.</v>
      </c>
      <c r="D7815" s="44"/>
      <c r="E7815" s="22" t="str">
        <f>IF(D7815&lt;&gt;"",IFERROR(INDEX(Produtos!$C$4:$C$4996,MATCH(D7815,Produtos!$B$4:$B$4996,0)),"Produto não encontrado"),"")</f>
        <v/>
      </c>
    </row>
    <row r="7816" spans="1:5" x14ac:dyDescent="0.3">
      <c r="A7816" s="21" t="str">
        <f t="shared" si="122"/>
        <v>.</v>
      </c>
      <c r="D7816" s="44"/>
      <c r="E7816" s="22" t="str">
        <f>IF(D7816&lt;&gt;"",IFERROR(INDEX(Produtos!$C$4:$C$4996,MATCH(D7816,Produtos!$B$4:$B$4996,0)),"Produto não encontrado"),"")</f>
        <v/>
      </c>
    </row>
    <row r="7817" spans="1:5" x14ac:dyDescent="0.3">
      <c r="A7817" s="21" t="str">
        <f t="shared" si="122"/>
        <v>.</v>
      </c>
      <c r="D7817" s="44"/>
      <c r="E7817" s="22" t="str">
        <f>IF(D7817&lt;&gt;"",IFERROR(INDEX(Produtos!$C$4:$C$4996,MATCH(D7817,Produtos!$B$4:$B$4996,0)),"Produto não encontrado"),"")</f>
        <v/>
      </c>
    </row>
    <row r="7818" spans="1:5" x14ac:dyDescent="0.3">
      <c r="A7818" s="21" t="str">
        <f t="shared" si="122"/>
        <v>.</v>
      </c>
      <c r="D7818" s="44"/>
      <c r="E7818" s="22" t="str">
        <f>IF(D7818&lt;&gt;"",IFERROR(INDEX(Produtos!$C$4:$C$4996,MATCH(D7818,Produtos!$B$4:$B$4996,0)),"Produto não encontrado"),"")</f>
        <v/>
      </c>
    </row>
    <row r="7819" spans="1:5" x14ac:dyDescent="0.3">
      <c r="A7819" s="21" t="str">
        <f t="shared" si="122"/>
        <v>.</v>
      </c>
      <c r="D7819" s="44"/>
      <c r="E7819" s="22" t="str">
        <f>IF(D7819&lt;&gt;"",IFERROR(INDEX(Produtos!$C$4:$C$4996,MATCH(D7819,Produtos!$B$4:$B$4996,0)),"Produto não encontrado"),"")</f>
        <v/>
      </c>
    </row>
    <row r="7820" spans="1:5" x14ac:dyDescent="0.3">
      <c r="A7820" s="21" t="str">
        <f t="shared" si="122"/>
        <v>.</v>
      </c>
      <c r="D7820" s="44"/>
      <c r="E7820" s="22" t="str">
        <f>IF(D7820&lt;&gt;"",IFERROR(INDEX(Produtos!$C$4:$C$4996,MATCH(D7820,Produtos!$B$4:$B$4996,0)),"Produto não encontrado"),"")</f>
        <v/>
      </c>
    </row>
    <row r="7821" spans="1:5" x14ac:dyDescent="0.3">
      <c r="A7821" s="21" t="str">
        <f t="shared" si="122"/>
        <v>.</v>
      </c>
      <c r="D7821" s="44"/>
      <c r="E7821" s="22" t="str">
        <f>IF(D7821&lt;&gt;"",IFERROR(INDEX(Produtos!$C$4:$C$4996,MATCH(D7821,Produtos!$B$4:$B$4996,0)),"Produto não encontrado"),"")</f>
        <v/>
      </c>
    </row>
    <row r="7822" spans="1:5" x14ac:dyDescent="0.3">
      <c r="A7822" s="21" t="str">
        <f t="shared" si="122"/>
        <v>.</v>
      </c>
      <c r="D7822" s="44"/>
      <c r="E7822" s="22" t="str">
        <f>IF(D7822&lt;&gt;"",IFERROR(INDEX(Produtos!$C$4:$C$4996,MATCH(D7822,Produtos!$B$4:$B$4996,0)),"Produto não encontrado"),"")</f>
        <v/>
      </c>
    </row>
    <row r="7823" spans="1:5" x14ac:dyDescent="0.3">
      <c r="A7823" s="21" t="str">
        <f t="shared" si="122"/>
        <v>.</v>
      </c>
      <c r="D7823" s="44"/>
      <c r="E7823" s="22" t="str">
        <f>IF(D7823&lt;&gt;"",IFERROR(INDEX(Produtos!$C$4:$C$4996,MATCH(D7823,Produtos!$B$4:$B$4996,0)),"Produto não encontrado"),"")</f>
        <v/>
      </c>
    </row>
    <row r="7824" spans="1:5" x14ac:dyDescent="0.3">
      <c r="A7824" s="21" t="str">
        <f t="shared" si="122"/>
        <v>.</v>
      </c>
      <c r="D7824" s="44"/>
      <c r="E7824" s="22" t="str">
        <f>IF(D7824&lt;&gt;"",IFERROR(INDEX(Produtos!$C$4:$C$4996,MATCH(D7824,Produtos!$B$4:$B$4996,0)),"Produto não encontrado"),"")</f>
        <v/>
      </c>
    </row>
    <row r="7825" spans="1:5" x14ac:dyDescent="0.3">
      <c r="A7825" s="21" t="str">
        <f t="shared" si="122"/>
        <v>.</v>
      </c>
      <c r="D7825" s="44"/>
      <c r="E7825" s="22" t="str">
        <f>IF(D7825&lt;&gt;"",IFERROR(INDEX(Produtos!$C$4:$C$4996,MATCH(D7825,Produtos!$B$4:$B$4996,0)),"Produto não encontrado"),"")</f>
        <v/>
      </c>
    </row>
    <row r="7826" spans="1:5" x14ac:dyDescent="0.3">
      <c r="A7826" s="21" t="str">
        <f t="shared" si="122"/>
        <v>.</v>
      </c>
      <c r="D7826" s="44"/>
      <c r="E7826" s="22" t="str">
        <f>IF(D7826&lt;&gt;"",IFERROR(INDEX(Produtos!$C$4:$C$4996,MATCH(D7826,Produtos!$B$4:$B$4996,0)),"Produto não encontrado"),"")</f>
        <v/>
      </c>
    </row>
    <row r="7827" spans="1:5" x14ac:dyDescent="0.3">
      <c r="A7827" s="21" t="str">
        <f t="shared" si="122"/>
        <v>.</v>
      </c>
      <c r="D7827" s="44"/>
      <c r="E7827" s="22" t="str">
        <f>IF(D7827&lt;&gt;"",IFERROR(INDEX(Produtos!$C$4:$C$4996,MATCH(D7827,Produtos!$B$4:$B$4996,0)),"Produto não encontrado"),"")</f>
        <v/>
      </c>
    </row>
    <row r="7828" spans="1:5" x14ac:dyDescent="0.3">
      <c r="A7828" s="21" t="str">
        <f t="shared" si="122"/>
        <v>.</v>
      </c>
      <c r="D7828" s="44"/>
      <c r="E7828" s="22" t="str">
        <f>IF(D7828&lt;&gt;"",IFERROR(INDEX(Produtos!$C$4:$C$4996,MATCH(D7828,Produtos!$B$4:$B$4996,0)),"Produto não encontrado"),"")</f>
        <v/>
      </c>
    </row>
    <row r="7829" spans="1:5" x14ac:dyDescent="0.3">
      <c r="A7829" s="21" t="str">
        <f t="shared" si="122"/>
        <v>.</v>
      </c>
      <c r="D7829" s="44"/>
      <c r="E7829" s="22" t="str">
        <f>IF(D7829&lt;&gt;"",IFERROR(INDEX(Produtos!$C$4:$C$4996,MATCH(D7829,Produtos!$B$4:$B$4996,0)),"Produto não encontrado"),"")</f>
        <v/>
      </c>
    </row>
    <row r="7830" spans="1:5" x14ac:dyDescent="0.3">
      <c r="A7830" s="21" t="str">
        <f t="shared" si="122"/>
        <v>.</v>
      </c>
      <c r="D7830" s="44"/>
      <c r="E7830" s="22" t="str">
        <f>IF(D7830&lt;&gt;"",IFERROR(INDEX(Produtos!$C$4:$C$4996,MATCH(D7830,Produtos!$B$4:$B$4996,0)),"Produto não encontrado"),"")</f>
        <v/>
      </c>
    </row>
    <row r="7831" spans="1:5" x14ac:dyDescent="0.3">
      <c r="A7831" s="21" t="str">
        <f t="shared" si="122"/>
        <v>.</v>
      </c>
      <c r="D7831" s="44"/>
      <c r="E7831" s="22" t="str">
        <f>IF(D7831&lt;&gt;"",IFERROR(INDEX(Produtos!$C$4:$C$4996,MATCH(D7831,Produtos!$B$4:$B$4996,0)),"Produto não encontrado"),"")</f>
        <v/>
      </c>
    </row>
    <row r="7832" spans="1:5" x14ac:dyDescent="0.3">
      <c r="A7832" s="21" t="str">
        <f t="shared" si="122"/>
        <v>.</v>
      </c>
      <c r="D7832" s="44"/>
      <c r="E7832" s="22" t="str">
        <f>IF(D7832&lt;&gt;"",IFERROR(INDEX(Produtos!$C$4:$C$4996,MATCH(D7832,Produtos!$B$4:$B$4996,0)),"Produto não encontrado"),"")</f>
        <v/>
      </c>
    </row>
    <row r="7833" spans="1:5" x14ac:dyDescent="0.3">
      <c r="A7833" s="21" t="str">
        <f t="shared" si="122"/>
        <v>.</v>
      </c>
      <c r="D7833" s="44"/>
      <c r="E7833" s="22" t="str">
        <f>IF(D7833&lt;&gt;"",IFERROR(INDEX(Produtos!$C$4:$C$4996,MATCH(D7833,Produtos!$B$4:$B$4996,0)),"Produto não encontrado"),"")</f>
        <v/>
      </c>
    </row>
    <row r="7834" spans="1:5" x14ac:dyDescent="0.3">
      <c r="A7834" s="21" t="str">
        <f t="shared" si="122"/>
        <v>.</v>
      </c>
      <c r="D7834" s="44"/>
      <c r="E7834" s="22" t="str">
        <f>IF(D7834&lt;&gt;"",IFERROR(INDEX(Produtos!$C$4:$C$4996,MATCH(D7834,Produtos!$B$4:$B$4996,0)),"Produto não encontrado"),"")</f>
        <v/>
      </c>
    </row>
    <row r="7835" spans="1:5" x14ac:dyDescent="0.3">
      <c r="A7835" s="21" t="str">
        <f t="shared" si="122"/>
        <v>.</v>
      </c>
      <c r="D7835" s="44"/>
      <c r="E7835" s="22" t="str">
        <f>IF(D7835&lt;&gt;"",IFERROR(INDEX(Produtos!$C$4:$C$4996,MATCH(D7835,Produtos!$B$4:$B$4996,0)),"Produto não encontrado"),"")</f>
        <v/>
      </c>
    </row>
    <row r="7836" spans="1:5" x14ac:dyDescent="0.3">
      <c r="A7836" s="21" t="str">
        <f t="shared" si="122"/>
        <v>.</v>
      </c>
      <c r="D7836" s="44"/>
      <c r="E7836" s="22" t="str">
        <f>IF(D7836&lt;&gt;"",IFERROR(INDEX(Produtos!$C$4:$C$4996,MATCH(D7836,Produtos!$B$4:$B$4996,0)),"Produto não encontrado"),"")</f>
        <v/>
      </c>
    </row>
    <row r="7837" spans="1:5" x14ac:dyDescent="0.3">
      <c r="A7837" s="21" t="str">
        <f t="shared" si="122"/>
        <v>.</v>
      </c>
      <c r="D7837" s="44"/>
      <c r="E7837" s="22" t="str">
        <f>IF(D7837&lt;&gt;"",IFERROR(INDEX(Produtos!$C$4:$C$4996,MATCH(D7837,Produtos!$B$4:$B$4996,0)),"Produto não encontrado"),"")</f>
        <v/>
      </c>
    </row>
    <row r="7838" spans="1:5" x14ac:dyDescent="0.3">
      <c r="A7838" s="21" t="str">
        <f t="shared" si="122"/>
        <v>.</v>
      </c>
      <c r="D7838" s="44"/>
      <c r="E7838" s="22" t="str">
        <f>IF(D7838&lt;&gt;"",IFERROR(INDEX(Produtos!$C$4:$C$4996,MATCH(D7838,Produtos!$B$4:$B$4996,0)),"Produto não encontrado"),"")</f>
        <v/>
      </c>
    </row>
    <row r="7839" spans="1:5" x14ac:dyDescent="0.3">
      <c r="A7839" s="21" t="str">
        <f t="shared" si="122"/>
        <v>.</v>
      </c>
      <c r="D7839" s="44"/>
      <c r="E7839" s="22" t="str">
        <f>IF(D7839&lt;&gt;"",IFERROR(INDEX(Produtos!$C$4:$C$4996,MATCH(D7839,Produtos!$B$4:$B$4996,0)),"Produto não encontrado"),"")</f>
        <v/>
      </c>
    </row>
    <row r="7840" spans="1:5" x14ac:dyDescent="0.3">
      <c r="A7840" s="21" t="str">
        <f t="shared" si="122"/>
        <v>.</v>
      </c>
      <c r="D7840" s="44"/>
      <c r="E7840" s="22" t="str">
        <f>IF(D7840&lt;&gt;"",IFERROR(INDEX(Produtos!$C$4:$C$4996,MATCH(D7840,Produtos!$B$4:$B$4996,0)),"Produto não encontrado"),"")</f>
        <v/>
      </c>
    </row>
    <row r="7841" spans="1:5" x14ac:dyDescent="0.3">
      <c r="A7841" s="21" t="str">
        <f t="shared" si="122"/>
        <v>.</v>
      </c>
      <c r="D7841" s="44"/>
      <c r="E7841" s="22" t="str">
        <f>IF(D7841&lt;&gt;"",IFERROR(INDEX(Produtos!$C$4:$C$4996,MATCH(D7841,Produtos!$B$4:$B$4996,0)),"Produto não encontrado"),"")</f>
        <v/>
      </c>
    </row>
    <row r="7842" spans="1:5" x14ac:dyDescent="0.3">
      <c r="A7842" s="21" t="str">
        <f t="shared" si="122"/>
        <v>.</v>
      </c>
      <c r="D7842" s="44"/>
      <c r="E7842" s="22" t="str">
        <f>IF(D7842&lt;&gt;"",IFERROR(INDEX(Produtos!$C$4:$C$4996,MATCH(D7842,Produtos!$B$4:$B$4996,0)),"Produto não encontrado"),"")</f>
        <v/>
      </c>
    </row>
    <row r="7843" spans="1:5" x14ac:dyDescent="0.3">
      <c r="A7843" s="21" t="str">
        <f t="shared" si="122"/>
        <v>.</v>
      </c>
      <c r="D7843" s="44"/>
      <c r="E7843" s="22" t="str">
        <f>IF(D7843&lt;&gt;"",IFERROR(INDEX(Produtos!$C$4:$C$4996,MATCH(D7843,Produtos!$B$4:$B$4996,0)),"Produto não encontrado"),"")</f>
        <v/>
      </c>
    </row>
    <row r="7844" spans="1:5" x14ac:dyDescent="0.3">
      <c r="A7844" s="21" t="str">
        <f t="shared" si="122"/>
        <v>.</v>
      </c>
      <c r="D7844" s="44"/>
      <c r="E7844" s="22" t="str">
        <f>IF(D7844&lt;&gt;"",IFERROR(INDEX(Produtos!$C$4:$C$4996,MATCH(D7844,Produtos!$B$4:$B$4996,0)),"Produto não encontrado"),"")</f>
        <v/>
      </c>
    </row>
    <row r="7845" spans="1:5" x14ac:dyDescent="0.3">
      <c r="A7845" s="21" t="str">
        <f t="shared" si="122"/>
        <v>.</v>
      </c>
      <c r="D7845" s="44"/>
      <c r="E7845" s="22" t="str">
        <f>IF(D7845&lt;&gt;"",IFERROR(INDEX(Produtos!$C$4:$C$4996,MATCH(D7845,Produtos!$B$4:$B$4996,0)),"Produto não encontrado"),"")</f>
        <v/>
      </c>
    </row>
    <row r="7846" spans="1:5" x14ac:dyDescent="0.3">
      <c r="A7846" s="21" t="str">
        <f t="shared" si="122"/>
        <v>.</v>
      </c>
      <c r="D7846" s="44"/>
      <c r="E7846" s="22" t="str">
        <f>IF(D7846&lt;&gt;"",IFERROR(INDEX(Produtos!$C$4:$C$4996,MATCH(D7846,Produtos!$B$4:$B$4996,0)),"Produto não encontrado"),"")</f>
        <v/>
      </c>
    </row>
    <row r="7847" spans="1:5" x14ac:dyDescent="0.3">
      <c r="A7847" s="21" t="str">
        <f t="shared" si="122"/>
        <v>.</v>
      </c>
      <c r="D7847" s="44"/>
      <c r="E7847" s="22" t="str">
        <f>IF(D7847&lt;&gt;"",IFERROR(INDEX(Produtos!$C$4:$C$4996,MATCH(D7847,Produtos!$B$4:$B$4996,0)),"Produto não encontrado"),"")</f>
        <v/>
      </c>
    </row>
    <row r="7848" spans="1:5" x14ac:dyDescent="0.3">
      <c r="A7848" s="21" t="str">
        <f t="shared" si="122"/>
        <v>.</v>
      </c>
      <c r="D7848" s="44"/>
      <c r="E7848" s="22" t="str">
        <f>IF(D7848&lt;&gt;"",IFERROR(INDEX(Produtos!$C$4:$C$4996,MATCH(D7848,Produtos!$B$4:$B$4996,0)),"Produto não encontrado"),"")</f>
        <v/>
      </c>
    </row>
    <row r="7849" spans="1:5" x14ac:dyDescent="0.3">
      <c r="A7849" s="21" t="str">
        <f t="shared" si="122"/>
        <v>.</v>
      </c>
      <c r="D7849" s="44"/>
      <c r="E7849" s="22" t="str">
        <f>IF(D7849&lt;&gt;"",IFERROR(INDEX(Produtos!$C$4:$C$4996,MATCH(D7849,Produtos!$B$4:$B$4996,0)),"Produto não encontrado"),"")</f>
        <v/>
      </c>
    </row>
    <row r="7850" spans="1:5" x14ac:dyDescent="0.3">
      <c r="A7850" s="21" t="str">
        <f t="shared" si="122"/>
        <v>.</v>
      </c>
      <c r="D7850" s="44"/>
      <c r="E7850" s="22" t="str">
        <f>IF(D7850&lt;&gt;"",IFERROR(INDEX(Produtos!$C$4:$C$4996,MATCH(D7850,Produtos!$B$4:$B$4996,0)),"Produto não encontrado"),"")</f>
        <v/>
      </c>
    </row>
    <row r="7851" spans="1:5" x14ac:dyDescent="0.3">
      <c r="A7851" s="21" t="str">
        <f t="shared" si="122"/>
        <v>.</v>
      </c>
      <c r="D7851" s="44"/>
      <c r="E7851" s="22" t="str">
        <f>IF(D7851&lt;&gt;"",IFERROR(INDEX(Produtos!$C$4:$C$4996,MATCH(D7851,Produtos!$B$4:$B$4996,0)),"Produto não encontrado"),"")</f>
        <v/>
      </c>
    </row>
    <row r="7852" spans="1:5" x14ac:dyDescent="0.3">
      <c r="A7852" s="21" t="str">
        <f t="shared" si="122"/>
        <v>.</v>
      </c>
      <c r="D7852" s="44"/>
      <c r="E7852" s="22" t="str">
        <f>IF(D7852&lt;&gt;"",IFERROR(INDEX(Produtos!$C$4:$C$4996,MATCH(D7852,Produtos!$B$4:$B$4996,0)),"Produto não encontrado"),"")</f>
        <v/>
      </c>
    </row>
    <row r="7853" spans="1:5" x14ac:dyDescent="0.3">
      <c r="A7853" s="21" t="str">
        <f t="shared" si="122"/>
        <v>.</v>
      </c>
      <c r="D7853" s="44"/>
      <c r="E7853" s="22" t="str">
        <f>IF(D7853&lt;&gt;"",IFERROR(INDEX(Produtos!$C$4:$C$4996,MATCH(D7853,Produtos!$B$4:$B$4996,0)),"Produto não encontrado"),"")</f>
        <v/>
      </c>
    </row>
    <row r="7854" spans="1:5" x14ac:dyDescent="0.3">
      <c r="A7854" s="21" t="str">
        <f t="shared" si="122"/>
        <v>.</v>
      </c>
      <c r="D7854" s="44"/>
      <c r="E7854" s="22" t="str">
        <f>IF(D7854&lt;&gt;"",IFERROR(INDEX(Produtos!$C$4:$C$4996,MATCH(D7854,Produtos!$B$4:$B$4996,0)),"Produto não encontrado"),"")</f>
        <v/>
      </c>
    </row>
    <row r="7855" spans="1:5" x14ac:dyDescent="0.3">
      <c r="A7855" s="21" t="str">
        <f t="shared" si="122"/>
        <v>.</v>
      </c>
      <c r="D7855" s="44"/>
      <c r="E7855" s="22" t="str">
        <f>IF(D7855&lt;&gt;"",IFERROR(INDEX(Produtos!$C$4:$C$4996,MATCH(D7855,Produtos!$B$4:$B$4996,0)),"Produto não encontrado"),"")</f>
        <v/>
      </c>
    </row>
    <row r="7856" spans="1:5" x14ac:dyDescent="0.3">
      <c r="A7856" s="21" t="str">
        <f t="shared" si="122"/>
        <v>.</v>
      </c>
      <c r="D7856" s="44"/>
      <c r="E7856" s="22" t="str">
        <f>IF(D7856&lt;&gt;"",IFERROR(INDEX(Produtos!$C$4:$C$4996,MATCH(D7856,Produtos!$B$4:$B$4996,0)),"Produto não encontrado"),"")</f>
        <v/>
      </c>
    </row>
    <row r="7857" spans="1:5" x14ac:dyDescent="0.3">
      <c r="A7857" s="21" t="str">
        <f t="shared" si="122"/>
        <v>.</v>
      </c>
      <c r="D7857" s="44"/>
      <c r="E7857" s="22" t="str">
        <f>IF(D7857&lt;&gt;"",IFERROR(INDEX(Produtos!$C$4:$C$4996,MATCH(D7857,Produtos!$B$4:$B$4996,0)),"Produto não encontrado"),"")</f>
        <v/>
      </c>
    </row>
    <row r="7858" spans="1:5" x14ac:dyDescent="0.3">
      <c r="A7858" s="21" t="str">
        <f t="shared" si="122"/>
        <v>.</v>
      </c>
      <c r="D7858" s="44"/>
      <c r="E7858" s="22" t="str">
        <f>IF(D7858&lt;&gt;"",IFERROR(INDEX(Produtos!$C$4:$C$4996,MATCH(D7858,Produtos!$B$4:$B$4996,0)),"Produto não encontrado"),"")</f>
        <v/>
      </c>
    </row>
    <row r="7859" spans="1:5" x14ac:dyDescent="0.3">
      <c r="A7859" s="21" t="str">
        <f t="shared" si="122"/>
        <v>.</v>
      </c>
      <c r="D7859" s="44"/>
      <c r="E7859" s="22" t="str">
        <f>IF(D7859&lt;&gt;"",IFERROR(INDEX(Produtos!$C$4:$C$4996,MATCH(D7859,Produtos!$B$4:$B$4996,0)),"Produto não encontrado"),"")</f>
        <v/>
      </c>
    </row>
    <row r="7860" spans="1:5" x14ac:dyDescent="0.3">
      <c r="A7860" s="21" t="str">
        <f t="shared" si="122"/>
        <v>.</v>
      </c>
      <c r="D7860" s="44"/>
      <c r="E7860" s="22" t="str">
        <f>IF(D7860&lt;&gt;"",IFERROR(INDEX(Produtos!$C$4:$C$4996,MATCH(D7860,Produtos!$B$4:$B$4996,0)),"Produto não encontrado"),"")</f>
        <v/>
      </c>
    </row>
    <row r="7861" spans="1:5" x14ac:dyDescent="0.3">
      <c r="A7861" s="21" t="str">
        <f t="shared" si="122"/>
        <v>.</v>
      </c>
      <c r="D7861" s="44"/>
      <c r="E7861" s="22" t="str">
        <f>IF(D7861&lt;&gt;"",IFERROR(INDEX(Produtos!$C$4:$C$4996,MATCH(D7861,Produtos!$B$4:$B$4996,0)),"Produto não encontrado"),"")</f>
        <v/>
      </c>
    </row>
    <row r="7862" spans="1:5" x14ac:dyDescent="0.3">
      <c r="A7862" s="21" t="str">
        <f t="shared" si="122"/>
        <v>.</v>
      </c>
      <c r="D7862" s="44"/>
      <c r="E7862" s="22" t="str">
        <f>IF(D7862&lt;&gt;"",IFERROR(INDEX(Produtos!$C$4:$C$4996,MATCH(D7862,Produtos!$B$4:$B$4996,0)),"Produto não encontrado"),"")</f>
        <v/>
      </c>
    </row>
    <row r="7863" spans="1:5" x14ac:dyDescent="0.3">
      <c r="A7863" s="21" t="str">
        <f t="shared" si="122"/>
        <v>.</v>
      </c>
      <c r="D7863" s="44"/>
      <c r="E7863" s="22" t="str">
        <f>IF(D7863&lt;&gt;"",IFERROR(INDEX(Produtos!$C$4:$C$4996,MATCH(D7863,Produtos!$B$4:$B$4996,0)),"Produto não encontrado"),"")</f>
        <v/>
      </c>
    </row>
    <row r="7864" spans="1:5" x14ac:dyDescent="0.3">
      <c r="A7864" s="21" t="str">
        <f t="shared" si="122"/>
        <v>.</v>
      </c>
      <c r="D7864" s="44"/>
      <c r="E7864" s="22" t="str">
        <f>IF(D7864&lt;&gt;"",IFERROR(INDEX(Produtos!$C$4:$C$4996,MATCH(D7864,Produtos!$B$4:$B$4996,0)),"Produto não encontrado"),"")</f>
        <v/>
      </c>
    </row>
    <row r="7865" spans="1:5" x14ac:dyDescent="0.3">
      <c r="A7865" s="21" t="str">
        <f t="shared" si="122"/>
        <v>.</v>
      </c>
      <c r="D7865" s="44"/>
      <c r="E7865" s="22" t="str">
        <f>IF(D7865&lt;&gt;"",IFERROR(INDEX(Produtos!$C$4:$C$4996,MATCH(D7865,Produtos!$B$4:$B$4996,0)),"Produto não encontrado"),"")</f>
        <v/>
      </c>
    </row>
    <row r="7866" spans="1:5" x14ac:dyDescent="0.3">
      <c r="A7866" s="21" t="str">
        <f t="shared" si="122"/>
        <v>.</v>
      </c>
      <c r="D7866" s="44"/>
      <c r="E7866" s="22" t="str">
        <f>IF(D7866&lt;&gt;"",IFERROR(INDEX(Produtos!$C$4:$C$4996,MATCH(D7866,Produtos!$B$4:$B$4996,0)),"Produto não encontrado"),"")</f>
        <v/>
      </c>
    </row>
    <row r="7867" spans="1:5" x14ac:dyDescent="0.3">
      <c r="A7867" s="21" t="str">
        <f t="shared" si="122"/>
        <v>.</v>
      </c>
      <c r="D7867" s="44"/>
      <c r="E7867" s="22" t="str">
        <f>IF(D7867&lt;&gt;"",IFERROR(INDEX(Produtos!$C$4:$C$4996,MATCH(D7867,Produtos!$B$4:$B$4996,0)),"Produto não encontrado"),"")</f>
        <v/>
      </c>
    </row>
    <row r="7868" spans="1:5" x14ac:dyDescent="0.3">
      <c r="A7868" s="21" t="str">
        <f t="shared" si="122"/>
        <v>.</v>
      </c>
      <c r="D7868" s="44"/>
      <c r="E7868" s="22" t="str">
        <f>IF(D7868&lt;&gt;"",IFERROR(INDEX(Produtos!$C$4:$C$4996,MATCH(D7868,Produtos!$B$4:$B$4996,0)),"Produto não encontrado"),"")</f>
        <v/>
      </c>
    </row>
    <row r="7869" spans="1:5" x14ac:dyDescent="0.3">
      <c r="A7869" s="21" t="str">
        <f t="shared" si="122"/>
        <v>.</v>
      </c>
      <c r="D7869" s="44"/>
      <c r="E7869" s="22" t="str">
        <f>IF(D7869&lt;&gt;"",IFERROR(INDEX(Produtos!$C$4:$C$4996,MATCH(D7869,Produtos!$B$4:$B$4996,0)),"Produto não encontrado"),"")</f>
        <v/>
      </c>
    </row>
    <row r="7870" spans="1:5" x14ac:dyDescent="0.3">
      <c r="A7870" s="21" t="str">
        <f t="shared" si="122"/>
        <v>.</v>
      </c>
      <c r="D7870" s="44"/>
      <c r="E7870" s="22" t="str">
        <f>IF(D7870&lt;&gt;"",IFERROR(INDEX(Produtos!$C$4:$C$4996,MATCH(D7870,Produtos!$B$4:$B$4996,0)),"Produto não encontrado"),"")</f>
        <v/>
      </c>
    </row>
    <row r="7871" spans="1:5" x14ac:dyDescent="0.3">
      <c r="A7871" s="21" t="str">
        <f t="shared" si="122"/>
        <v>.</v>
      </c>
      <c r="D7871" s="44"/>
      <c r="E7871" s="22" t="str">
        <f>IF(D7871&lt;&gt;"",IFERROR(INDEX(Produtos!$C$4:$C$4996,MATCH(D7871,Produtos!$B$4:$B$4996,0)),"Produto não encontrado"),"")</f>
        <v/>
      </c>
    </row>
    <row r="7872" spans="1:5" x14ac:dyDescent="0.3">
      <c r="A7872" s="21" t="str">
        <f t="shared" ref="A7872:A7935" si="123">IF(C7872="Entrada",2,IF(C7872="Saída",1,"."))</f>
        <v>.</v>
      </c>
      <c r="D7872" s="44"/>
      <c r="E7872" s="22" t="str">
        <f>IF(D7872&lt;&gt;"",IFERROR(INDEX(Produtos!$C$4:$C$4996,MATCH(D7872,Produtos!$B$4:$B$4996,0)),"Produto não encontrado"),"")</f>
        <v/>
      </c>
    </row>
    <row r="7873" spans="1:5" x14ac:dyDescent="0.3">
      <c r="A7873" s="21" t="str">
        <f t="shared" si="123"/>
        <v>.</v>
      </c>
      <c r="D7873" s="44"/>
      <c r="E7873" s="22" t="str">
        <f>IF(D7873&lt;&gt;"",IFERROR(INDEX(Produtos!$C$4:$C$4996,MATCH(D7873,Produtos!$B$4:$B$4996,0)),"Produto não encontrado"),"")</f>
        <v/>
      </c>
    </row>
    <row r="7874" spans="1:5" x14ac:dyDescent="0.3">
      <c r="A7874" s="21" t="str">
        <f t="shared" si="123"/>
        <v>.</v>
      </c>
      <c r="D7874" s="44"/>
      <c r="E7874" s="22" t="str">
        <f>IF(D7874&lt;&gt;"",IFERROR(INDEX(Produtos!$C$4:$C$4996,MATCH(D7874,Produtos!$B$4:$B$4996,0)),"Produto não encontrado"),"")</f>
        <v/>
      </c>
    </row>
    <row r="7875" spans="1:5" x14ac:dyDescent="0.3">
      <c r="A7875" s="21" t="str">
        <f t="shared" si="123"/>
        <v>.</v>
      </c>
      <c r="D7875" s="44"/>
      <c r="E7875" s="22" t="str">
        <f>IF(D7875&lt;&gt;"",IFERROR(INDEX(Produtos!$C$4:$C$4996,MATCH(D7875,Produtos!$B$4:$B$4996,0)),"Produto não encontrado"),"")</f>
        <v/>
      </c>
    </row>
    <row r="7876" spans="1:5" x14ac:dyDescent="0.3">
      <c r="A7876" s="21" t="str">
        <f t="shared" si="123"/>
        <v>.</v>
      </c>
      <c r="D7876" s="44"/>
      <c r="E7876" s="22" t="str">
        <f>IF(D7876&lt;&gt;"",IFERROR(INDEX(Produtos!$C$4:$C$4996,MATCH(D7876,Produtos!$B$4:$B$4996,0)),"Produto não encontrado"),"")</f>
        <v/>
      </c>
    </row>
    <row r="7877" spans="1:5" x14ac:dyDescent="0.3">
      <c r="A7877" s="21" t="str">
        <f t="shared" si="123"/>
        <v>.</v>
      </c>
      <c r="D7877" s="44"/>
      <c r="E7877" s="22" t="str">
        <f>IF(D7877&lt;&gt;"",IFERROR(INDEX(Produtos!$C$4:$C$4996,MATCH(D7877,Produtos!$B$4:$B$4996,0)),"Produto não encontrado"),"")</f>
        <v/>
      </c>
    </row>
    <row r="7878" spans="1:5" x14ac:dyDescent="0.3">
      <c r="A7878" s="21" t="str">
        <f t="shared" si="123"/>
        <v>.</v>
      </c>
      <c r="D7878" s="44"/>
      <c r="E7878" s="22" t="str">
        <f>IF(D7878&lt;&gt;"",IFERROR(INDEX(Produtos!$C$4:$C$4996,MATCH(D7878,Produtos!$B$4:$B$4996,0)),"Produto não encontrado"),"")</f>
        <v/>
      </c>
    </row>
    <row r="7879" spans="1:5" x14ac:dyDescent="0.3">
      <c r="A7879" s="21" t="str">
        <f t="shared" si="123"/>
        <v>.</v>
      </c>
      <c r="D7879" s="44"/>
      <c r="E7879" s="22" t="str">
        <f>IF(D7879&lt;&gt;"",IFERROR(INDEX(Produtos!$C$4:$C$4996,MATCH(D7879,Produtos!$B$4:$B$4996,0)),"Produto não encontrado"),"")</f>
        <v/>
      </c>
    </row>
    <row r="7880" spans="1:5" x14ac:dyDescent="0.3">
      <c r="A7880" s="21" t="str">
        <f t="shared" si="123"/>
        <v>.</v>
      </c>
      <c r="D7880" s="44"/>
      <c r="E7880" s="22" t="str">
        <f>IF(D7880&lt;&gt;"",IFERROR(INDEX(Produtos!$C$4:$C$4996,MATCH(D7880,Produtos!$B$4:$B$4996,0)),"Produto não encontrado"),"")</f>
        <v/>
      </c>
    </row>
    <row r="7881" spans="1:5" x14ac:dyDescent="0.3">
      <c r="A7881" s="21" t="str">
        <f t="shared" si="123"/>
        <v>.</v>
      </c>
      <c r="D7881" s="44"/>
      <c r="E7881" s="22" t="str">
        <f>IF(D7881&lt;&gt;"",IFERROR(INDEX(Produtos!$C$4:$C$4996,MATCH(D7881,Produtos!$B$4:$B$4996,0)),"Produto não encontrado"),"")</f>
        <v/>
      </c>
    </row>
    <row r="7882" spans="1:5" x14ac:dyDescent="0.3">
      <c r="A7882" s="21" t="str">
        <f t="shared" si="123"/>
        <v>.</v>
      </c>
      <c r="D7882" s="44"/>
      <c r="E7882" s="22" t="str">
        <f>IF(D7882&lt;&gt;"",IFERROR(INDEX(Produtos!$C$4:$C$4996,MATCH(D7882,Produtos!$B$4:$B$4996,0)),"Produto não encontrado"),"")</f>
        <v/>
      </c>
    </row>
    <row r="7883" spans="1:5" x14ac:dyDescent="0.3">
      <c r="A7883" s="21" t="str">
        <f t="shared" si="123"/>
        <v>.</v>
      </c>
      <c r="D7883" s="44"/>
      <c r="E7883" s="22" t="str">
        <f>IF(D7883&lt;&gt;"",IFERROR(INDEX(Produtos!$C$4:$C$4996,MATCH(D7883,Produtos!$B$4:$B$4996,0)),"Produto não encontrado"),"")</f>
        <v/>
      </c>
    </row>
    <row r="7884" spans="1:5" x14ac:dyDescent="0.3">
      <c r="A7884" s="21" t="str">
        <f t="shared" si="123"/>
        <v>.</v>
      </c>
      <c r="D7884" s="44"/>
      <c r="E7884" s="22" t="str">
        <f>IF(D7884&lt;&gt;"",IFERROR(INDEX(Produtos!$C$4:$C$4996,MATCH(D7884,Produtos!$B$4:$B$4996,0)),"Produto não encontrado"),"")</f>
        <v/>
      </c>
    </row>
    <row r="7885" spans="1:5" x14ac:dyDescent="0.3">
      <c r="A7885" s="21" t="str">
        <f t="shared" si="123"/>
        <v>.</v>
      </c>
      <c r="D7885" s="44"/>
      <c r="E7885" s="22" t="str">
        <f>IF(D7885&lt;&gt;"",IFERROR(INDEX(Produtos!$C$4:$C$4996,MATCH(D7885,Produtos!$B$4:$B$4996,0)),"Produto não encontrado"),"")</f>
        <v/>
      </c>
    </row>
    <row r="7886" spans="1:5" x14ac:dyDescent="0.3">
      <c r="A7886" s="21" t="str">
        <f t="shared" si="123"/>
        <v>.</v>
      </c>
      <c r="D7886" s="44"/>
      <c r="E7886" s="22" t="str">
        <f>IF(D7886&lt;&gt;"",IFERROR(INDEX(Produtos!$C$4:$C$4996,MATCH(D7886,Produtos!$B$4:$B$4996,0)),"Produto não encontrado"),"")</f>
        <v/>
      </c>
    </row>
    <row r="7887" spans="1:5" x14ac:dyDescent="0.3">
      <c r="A7887" s="21" t="str">
        <f t="shared" si="123"/>
        <v>.</v>
      </c>
      <c r="D7887" s="44"/>
      <c r="E7887" s="22" t="str">
        <f>IF(D7887&lt;&gt;"",IFERROR(INDEX(Produtos!$C$4:$C$4996,MATCH(D7887,Produtos!$B$4:$B$4996,0)),"Produto não encontrado"),"")</f>
        <v/>
      </c>
    </row>
    <row r="7888" spans="1:5" x14ac:dyDescent="0.3">
      <c r="A7888" s="21" t="str">
        <f t="shared" si="123"/>
        <v>.</v>
      </c>
      <c r="D7888" s="44"/>
      <c r="E7888" s="22" t="str">
        <f>IF(D7888&lt;&gt;"",IFERROR(INDEX(Produtos!$C$4:$C$4996,MATCH(D7888,Produtos!$B$4:$B$4996,0)),"Produto não encontrado"),"")</f>
        <v/>
      </c>
    </row>
    <row r="7889" spans="1:5" x14ac:dyDescent="0.3">
      <c r="A7889" s="21" t="str">
        <f t="shared" si="123"/>
        <v>.</v>
      </c>
      <c r="D7889" s="44"/>
      <c r="E7889" s="22" t="str">
        <f>IF(D7889&lt;&gt;"",IFERROR(INDEX(Produtos!$C$4:$C$4996,MATCH(D7889,Produtos!$B$4:$B$4996,0)),"Produto não encontrado"),"")</f>
        <v/>
      </c>
    </row>
    <row r="7890" spans="1:5" x14ac:dyDescent="0.3">
      <c r="A7890" s="21" t="str">
        <f t="shared" si="123"/>
        <v>.</v>
      </c>
      <c r="D7890" s="44"/>
      <c r="E7890" s="22" t="str">
        <f>IF(D7890&lt;&gt;"",IFERROR(INDEX(Produtos!$C$4:$C$4996,MATCH(D7890,Produtos!$B$4:$B$4996,0)),"Produto não encontrado"),"")</f>
        <v/>
      </c>
    </row>
    <row r="7891" spans="1:5" x14ac:dyDescent="0.3">
      <c r="A7891" s="21" t="str">
        <f t="shared" si="123"/>
        <v>.</v>
      </c>
      <c r="D7891" s="44"/>
      <c r="E7891" s="22" t="str">
        <f>IF(D7891&lt;&gt;"",IFERROR(INDEX(Produtos!$C$4:$C$4996,MATCH(D7891,Produtos!$B$4:$B$4996,0)),"Produto não encontrado"),"")</f>
        <v/>
      </c>
    </row>
    <row r="7892" spans="1:5" x14ac:dyDescent="0.3">
      <c r="A7892" s="21" t="str">
        <f t="shared" si="123"/>
        <v>.</v>
      </c>
      <c r="D7892" s="44"/>
      <c r="E7892" s="22" t="str">
        <f>IF(D7892&lt;&gt;"",IFERROR(INDEX(Produtos!$C$4:$C$4996,MATCH(D7892,Produtos!$B$4:$B$4996,0)),"Produto não encontrado"),"")</f>
        <v/>
      </c>
    </row>
    <row r="7893" spans="1:5" x14ac:dyDescent="0.3">
      <c r="A7893" s="21" t="str">
        <f t="shared" si="123"/>
        <v>.</v>
      </c>
      <c r="D7893" s="44"/>
      <c r="E7893" s="22" t="str">
        <f>IF(D7893&lt;&gt;"",IFERROR(INDEX(Produtos!$C$4:$C$4996,MATCH(D7893,Produtos!$B$4:$B$4996,0)),"Produto não encontrado"),"")</f>
        <v/>
      </c>
    </row>
    <row r="7894" spans="1:5" x14ac:dyDescent="0.3">
      <c r="A7894" s="21" t="str">
        <f t="shared" si="123"/>
        <v>.</v>
      </c>
      <c r="D7894" s="44"/>
      <c r="E7894" s="22" t="str">
        <f>IF(D7894&lt;&gt;"",IFERROR(INDEX(Produtos!$C$4:$C$4996,MATCH(D7894,Produtos!$B$4:$B$4996,0)),"Produto não encontrado"),"")</f>
        <v/>
      </c>
    </row>
    <row r="7895" spans="1:5" x14ac:dyDescent="0.3">
      <c r="A7895" s="21" t="str">
        <f t="shared" si="123"/>
        <v>.</v>
      </c>
      <c r="D7895" s="44"/>
      <c r="E7895" s="22" t="str">
        <f>IF(D7895&lt;&gt;"",IFERROR(INDEX(Produtos!$C$4:$C$4996,MATCH(D7895,Produtos!$B$4:$B$4996,0)),"Produto não encontrado"),"")</f>
        <v/>
      </c>
    </row>
    <row r="7896" spans="1:5" x14ac:dyDescent="0.3">
      <c r="A7896" s="21" t="str">
        <f t="shared" si="123"/>
        <v>.</v>
      </c>
      <c r="D7896" s="44"/>
      <c r="E7896" s="22" t="str">
        <f>IF(D7896&lt;&gt;"",IFERROR(INDEX(Produtos!$C$4:$C$4996,MATCH(D7896,Produtos!$B$4:$B$4996,0)),"Produto não encontrado"),"")</f>
        <v/>
      </c>
    </row>
    <row r="7897" spans="1:5" x14ac:dyDescent="0.3">
      <c r="A7897" s="21" t="str">
        <f t="shared" si="123"/>
        <v>.</v>
      </c>
      <c r="D7897" s="44"/>
      <c r="E7897" s="22" t="str">
        <f>IF(D7897&lt;&gt;"",IFERROR(INDEX(Produtos!$C$4:$C$4996,MATCH(D7897,Produtos!$B$4:$B$4996,0)),"Produto não encontrado"),"")</f>
        <v/>
      </c>
    </row>
    <row r="7898" spans="1:5" x14ac:dyDescent="0.3">
      <c r="A7898" s="21" t="str">
        <f t="shared" si="123"/>
        <v>.</v>
      </c>
      <c r="D7898" s="44"/>
      <c r="E7898" s="22" t="str">
        <f>IF(D7898&lt;&gt;"",IFERROR(INDEX(Produtos!$C$4:$C$4996,MATCH(D7898,Produtos!$B$4:$B$4996,0)),"Produto não encontrado"),"")</f>
        <v/>
      </c>
    </row>
    <row r="7899" spans="1:5" x14ac:dyDescent="0.3">
      <c r="A7899" s="21" t="str">
        <f t="shared" si="123"/>
        <v>.</v>
      </c>
      <c r="D7899" s="44"/>
      <c r="E7899" s="22" t="str">
        <f>IF(D7899&lt;&gt;"",IFERROR(INDEX(Produtos!$C$4:$C$4996,MATCH(D7899,Produtos!$B$4:$B$4996,0)),"Produto não encontrado"),"")</f>
        <v/>
      </c>
    </row>
    <row r="7900" spans="1:5" x14ac:dyDescent="0.3">
      <c r="A7900" s="21" t="str">
        <f t="shared" si="123"/>
        <v>.</v>
      </c>
      <c r="D7900" s="44"/>
      <c r="E7900" s="22" t="str">
        <f>IF(D7900&lt;&gt;"",IFERROR(INDEX(Produtos!$C$4:$C$4996,MATCH(D7900,Produtos!$B$4:$B$4996,0)),"Produto não encontrado"),"")</f>
        <v/>
      </c>
    </row>
    <row r="7901" spans="1:5" x14ac:dyDescent="0.3">
      <c r="A7901" s="21" t="str">
        <f t="shared" si="123"/>
        <v>.</v>
      </c>
      <c r="D7901" s="44"/>
      <c r="E7901" s="22" t="str">
        <f>IF(D7901&lt;&gt;"",IFERROR(INDEX(Produtos!$C$4:$C$4996,MATCH(D7901,Produtos!$B$4:$B$4996,0)),"Produto não encontrado"),"")</f>
        <v/>
      </c>
    </row>
    <row r="7902" spans="1:5" x14ac:dyDescent="0.3">
      <c r="A7902" s="21" t="str">
        <f t="shared" si="123"/>
        <v>.</v>
      </c>
      <c r="D7902" s="44"/>
      <c r="E7902" s="22" t="str">
        <f>IF(D7902&lt;&gt;"",IFERROR(INDEX(Produtos!$C$4:$C$4996,MATCH(D7902,Produtos!$B$4:$B$4996,0)),"Produto não encontrado"),"")</f>
        <v/>
      </c>
    </row>
    <row r="7903" spans="1:5" x14ac:dyDescent="0.3">
      <c r="A7903" s="21" t="str">
        <f t="shared" si="123"/>
        <v>.</v>
      </c>
      <c r="D7903" s="44"/>
      <c r="E7903" s="22" t="str">
        <f>IF(D7903&lt;&gt;"",IFERROR(INDEX(Produtos!$C$4:$C$4996,MATCH(D7903,Produtos!$B$4:$B$4996,0)),"Produto não encontrado"),"")</f>
        <v/>
      </c>
    </row>
    <row r="7904" spans="1:5" x14ac:dyDescent="0.3">
      <c r="A7904" s="21" t="str">
        <f t="shared" si="123"/>
        <v>.</v>
      </c>
      <c r="D7904" s="44"/>
      <c r="E7904" s="22" t="str">
        <f>IF(D7904&lt;&gt;"",IFERROR(INDEX(Produtos!$C$4:$C$4996,MATCH(D7904,Produtos!$B$4:$B$4996,0)),"Produto não encontrado"),"")</f>
        <v/>
      </c>
    </row>
    <row r="7905" spans="1:5" x14ac:dyDescent="0.3">
      <c r="A7905" s="21" t="str">
        <f t="shared" si="123"/>
        <v>.</v>
      </c>
      <c r="D7905" s="44"/>
      <c r="E7905" s="22" t="str">
        <f>IF(D7905&lt;&gt;"",IFERROR(INDEX(Produtos!$C$4:$C$4996,MATCH(D7905,Produtos!$B$4:$B$4996,0)),"Produto não encontrado"),"")</f>
        <v/>
      </c>
    </row>
    <row r="7906" spans="1:5" x14ac:dyDescent="0.3">
      <c r="A7906" s="21" t="str">
        <f t="shared" si="123"/>
        <v>.</v>
      </c>
      <c r="D7906" s="44"/>
      <c r="E7906" s="22" t="str">
        <f>IF(D7906&lt;&gt;"",IFERROR(INDEX(Produtos!$C$4:$C$4996,MATCH(D7906,Produtos!$B$4:$B$4996,0)),"Produto não encontrado"),"")</f>
        <v/>
      </c>
    </row>
    <row r="7907" spans="1:5" x14ac:dyDescent="0.3">
      <c r="A7907" s="21" t="str">
        <f t="shared" si="123"/>
        <v>.</v>
      </c>
      <c r="D7907" s="44"/>
      <c r="E7907" s="22" t="str">
        <f>IF(D7907&lt;&gt;"",IFERROR(INDEX(Produtos!$C$4:$C$4996,MATCH(D7907,Produtos!$B$4:$B$4996,0)),"Produto não encontrado"),"")</f>
        <v/>
      </c>
    </row>
    <row r="7908" spans="1:5" x14ac:dyDescent="0.3">
      <c r="A7908" s="21" t="str">
        <f t="shared" si="123"/>
        <v>.</v>
      </c>
      <c r="D7908" s="44"/>
      <c r="E7908" s="22" t="str">
        <f>IF(D7908&lt;&gt;"",IFERROR(INDEX(Produtos!$C$4:$C$4996,MATCH(D7908,Produtos!$B$4:$B$4996,0)),"Produto não encontrado"),"")</f>
        <v/>
      </c>
    </row>
    <row r="7909" spans="1:5" x14ac:dyDescent="0.3">
      <c r="A7909" s="21" t="str">
        <f t="shared" si="123"/>
        <v>.</v>
      </c>
      <c r="D7909" s="44"/>
      <c r="E7909" s="22" t="str">
        <f>IF(D7909&lt;&gt;"",IFERROR(INDEX(Produtos!$C$4:$C$4996,MATCH(D7909,Produtos!$B$4:$B$4996,0)),"Produto não encontrado"),"")</f>
        <v/>
      </c>
    </row>
    <row r="7910" spans="1:5" x14ac:dyDescent="0.3">
      <c r="A7910" s="21" t="str">
        <f t="shared" si="123"/>
        <v>.</v>
      </c>
      <c r="D7910" s="44"/>
      <c r="E7910" s="22" t="str">
        <f>IF(D7910&lt;&gt;"",IFERROR(INDEX(Produtos!$C$4:$C$4996,MATCH(D7910,Produtos!$B$4:$B$4996,0)),"Produto não encontrado"),"")</f>
        <v/>
      </c>
    </row>
    <row r="7911" spans="1:5" x14ac:dyDescent="0.3">
      <c r="A7911" s="21" t="str">
        <f t="shared" si="123"/>
        <v>.</v>
      </c>
      <c r="D7911" s="44"/>
      <c r="E7911" s="22" t="str">
        <f>IF(D7911&lt;&gt;"",IFERROR(INDEX(Produtos!$C$4:$C$4996,MATCH(D7911,Produtos!$B$4:$B$4996,0)),"Produto não encontrado"),"")</f>
        <v/>
      </c>
    </row>
    <row r="7912" spans="1:5" x14ac:dyDescent="0.3">
      <c r="A7912" s="21" t="str">
        <f t="shared" si="123"/>
        <v>.</v>
      </c>
      <c r="D7912" s="44"/>
      <c r="E7912" s="22" t="str">
        <f>IF(D7912&lt;&gt;"",IFERROR(INDEX(Produtos!$C$4:$C$4996,MATCH(D7912,Produtos!$B$4:$B$4996,0)),"Produto não encontrado"),"")</f>
        <v/>
      </c>
    </row>
    <row r="7913" spans="1:5" x14ac:dyDescent="0.3">
      <c r="A7913" s="21" t="str">
        <f t="shared" si="123"/>
        <v>.</v>
      </c>
      <c r="D7913" s="44"/>
      <c r="E7913" s="22" t="str">
        <f>IF(D7913&lt;&gt;"",IFERROR(INDEX(Produtos!$C$4:$C$4996,MATCH(D7913,Produtos!$B$4:$B$4996,0)),"Produto não encontrado"),"")</f>
        <v/>
      </c>
    </row>
    <row r="7914" spans="1:5" x14ac:dyDescent="0.3">
      <c r="A7914" s="21" t="str">
        <f t="shared" si="123"/>
        <v>.</v>
      </c>
      <c r="D7914" s="44"/>
      <c r="E7914" s="22" t="str">
        <f>IF(D7914&lt;&gt;"",IFERROR(INDEX(Produtos!$C$4:$C$4996,MATCH(D7914,Produtos!$B$4:$B$4996,0)),"Produto não encontrado"),"")</f>
        <v/>
      </c>
    </row>
    <row r="7915" spans="1:5" x14ac:dyDescent="0.3">
      <c r="A7915" s="21" t="str">
        <f t="shared" si="123"/>
        <v>.</v>
      </c>
      <c r="D7915" s="44"/>
      <c r="E7915" s="22" t="str">
        <f>IF(D7915&lt;&gt;"",IFERROR(INDEX(Produtos!$C$4:$C$4996,MATCH(D7915,Produtos!$B$4:$B$4996,0)),"Produto não encontrado"),"")</f>
        <v/>
      </c>
    </row>
    <row r="7916" spans="1:5" x14ac:dyDescent="0.3">
      <c r="A7916" s="21" t="str">
        <f t="shared" si="123"/>
        <v>.</v>
      </c>
      <c r="D7916" s="44"/>
      <c r="E7916" s="22" t="str">
        <f>IF(D7916&lt;&gt;"",IFERROR(INDEX(Produtos!$C$4:$C$4996,MATCH(D7916,Produtos!$B$4:$B$4996,0)),"Produto não encontrado"),"")</f>
        <v/>
      </c>
    </row>
    <row r="7917" spans="1:5" x14ac:dyDescent="0.3">
      <c r="A7917" s="21" t="str">
        <f t="shared" si="123"/>
        <v>.</v>
      </c>
      <c r="D7917" s="44"/>
      <c r="E7917" s="22" t="str">
        <f>IF(D7917&lt;&gt;"",IFERROR(INDEX(Produtos!$C$4:$C$4996,MATCH(D7917,Produtos!$B$4:$B$4996,0)),"Produto não encontrado"),"")</f>
        <v/>
      </c>
    </row>
    <row r="7918" spans="1:5" x14ac:dyDescent="0.3">
      <c r="A7918" s="21" t="str">
        <f t="shared" si="123"/>
        <v>.</v>
      </c>
      <c r="D7918" s="44"/>
      <c r="E7918" s="22" t="str">
        <f>IF(D7918&lt;&gt;"",IFERROR(INDEX(Produtos!$C$4:$C$4996,MATCH(D7918,Produtos!$B$4:$B$4996,0)),"Produto não encontrado"),"")</f>
        <v/>
      </c>
    </row>
    <row r="7919" spans="1:5" x14ac:dyDescent="0.3">
      <c r="A7919" s="21" t="str">
        <f t="shared" si="123"/>
        <v>.</v>
      </c>
      <c r="D7919" s="44"/>
      <c r="E7919" s="22" t="str">
        <f>IF(D7919&lt;&gt;"",IFERROR(INDEX(Produtos!$C$4:$C$4996,MATCH(D7919,Produtos!$B$4:$B$4996,0)),"Produto não encontrado"),"")</f>
        <v/>
      </c>
    </row>
    <row r="7920" spans="1:5" x14ac:dyDescent="0.3">
      <c r="A7920" s="21" t="str">
        <f t="shared" si="123"/>
        <v>.</v>
      </c>
      <c r="D7920" s="44"/>
      <c r="E7920" s="22" t="str">
        <f>IF(D7920&lt;&gt;"",IFERROR(INDEX(Produtos!$C$4:$C$4996,MATCH(D7920,Produtos!$B$4:$B$4996,0)),"Produto não encontrado"),"")</f>
        <v/>
      </c>
    </row>
    <row r="7921" spans="1:5" x14ac:dyDescent="0.3">
      <c r="A7921" s="21" t="str">
        <f t="shared" si="123"/>
        <v>.</v>
      </c>
      <c r="D7921" s="44"/>
      <c r="E7921" s="22" t="str">
        <f>IF(D7921&lt;&gt;"",IFERROR(INDEX(Produtos!$C$4:$C$4996,MATCH(D7921,Produtos!$B$4:$B$4996,0)),"Produto não encontrado"),"")</f>
        <v/>
      </c>
    </row>
    <row r="7922" spans="1:5" x14ac:dyDescent="0.3">
      <c r="A7922" s="21" t="str">
        <f t="shared" si="123"/>
        <v>.</v>
      </c>
      <c r="D7922" s="44"/>
      <c r="E7922" s="22" t="str">
        <f>IF(D7922&lt;&gt;"",IFERROR(INDEX(Produtos!$C$4:$C$4996,MATCH(D7922,Produtos!$B$4:$B$4996,0)),"Produto não encontrado"),"")</f>
        <v/>
      </c>
    </row>
    <row r="7923" spans="1:5" x14ac:dyDescent="0.3">
      <c r="A7923" s="21" t="str">
        <f t="shared" si="123"/>
        <v>.</v>
      </c>
      <c r="D7923" s="44"/>
      <c r="E7923" s="22" t="str">
        <f>IF(D7923&lt;&gt;"",IFERROR(INDEX(Produtos!$C$4:$C$4996,MATCH(D7923,Produtos!$B$4:$B$4996,0)),"Produto não encontrado"),"")</f>
        <v/>
      </c>
    </row>
    <row r="7924" spans="1:5" x14ac:dyDescent="0.3">
      <c r="A7924" s="21" t="str">
        <f t="shared" si="123"/>
        <v>.</v>
      </c>
      <c r="D7924" s="44"/>
      <c r="E7924" s="22" t="str">
        <f>IF(D7924&lt;&gt;"",IFERROR(INDEX(Produtos!$C$4:$C$4996,MATCH(D7924,Produtos!$B$4:$B$4996,0)),"Produto não encontrado"),"")</f>
        <v/>
      </c>
    </row>
    <row r="7925" spans="1:5" x14ac:dyDescent="0.3">
      <c r="A7925" s="21" t="str">
        <f t="shared" si="123"/>
        <v>.</v>
      </c>
      <c r="D7925" s="44"/>
      <c r="E7925" s="22" t="str">
        <f>IF(D7925&lt;&gt;"",IFERROR(INDEX(Produtos!$C$4:$C$4996,MATCH(D7925,Produtos!$B$4:$B$4996,0)),"Produto não encontrado"),"")</f>
        <v/>
      </c>
    </row>
    <row r="7926" spans="1:5" x14ac:dyDescent="0.3">
      <c r="A7926" s="21" t="str">
        <f t="shared" si="123"/>
        <v>.</v>
      </c>
      <c r="D7926" s="44"/>
      <c r="E7926" s="22" t="str">
        <f>IF(D7926&lt;&gt;"",IFERROR(INDEX(Produtos!$C$4:$C$4996,MATCH(D7926,Produtos!$B$4:$B$4996,0)),"Produto não encontrado"),"")</f>
        <v/>
      </c>
    </row>
    <row r="7927" spans="1:5" x14ac:dyDescent="0.3">
      <c r="A7927" s="21" t="str">
        <f t="shared" si="123"/>
        <v>.</v>
      </c>
      <c r="D7927" s="44"/>
      <c r="E7927" s="22" t="str">
        <f>IF(D7927&lt;&gt;"",IFERROR(INDEX(Produtos!$C$4:$C$4996,MATCH(D7927,Produtos!$B$4:$B$4996,0)),"Produto não encontrado"),"")</f>
        <v/>
      </c>
    </row>
    <row r="7928" spans="1:5" x14ac:dyDescent="0.3">
      <c r="A7928" s="21" t="str">
        <f t="shared" si="123"/>
        <v>.</v>
      </c>
      <c r="D7928" s="44"/>
      <c r="E7928" s="22" t="str">
        <f>IF(D7928&lt;&gt;"",IFERROR(INDEX(Produtos!$C$4:$C$4996,MATCH(D7928,Produtos!$B$4:$B$4996,0)),"Produto não encontrado"),"")</f>
        <v/>
      </c>
    </row>
    <row r="7929" spans="1:5" x14ac:dyDescent="0.3">
      <c r="A7929" s="21" t="str">
        <f t="shared" si="123"/>
        <v>.</v>
      </c>
      <c r="D7929" s="44"/>
      <c r="E7929" s="22" t="str">
        <f>IF(D7929&lt;&gt;"",IFERROR(INDEX(Produtos!$C$4:$C$4996,MATCH(D7929,Produtos!$B$4:$B$4996,0)),"Produto não encontrado"),"")</f>
        <v/>
      </c>
    </row>
    <row r="7930" spans="1:5" x14ac:dyDescent="0.3">
      <c r="A7930" s="21" t="str">
        <f t="shared" si="123"/>
        <v>.</v>
      </c>
      <c r="D7930" s="44"/>
      <c r="E7930" s="22" t="str">
        <f>IF(D7930&lt;&gt;"",IFERROR(INDEX(Produtos!$C$4:$C$4996,MATCH(D7930,Produtos!$B$4:$B$4996,0)),"Produto não encontrado"),"")</f>
        <v/>
      </c>
    </row>
    <row r="7931" spans="1:5" x14ac:dyDescent="0.3">
      <c r="A7931" s="21" t="str">
        <f t="shared" si="123"/>
        <v>.</v>
      </c>
      <c r="D7931" s="44"/>
      <c r="E7931" s="22" t="str">
        <f>IF(D7931&lt;&gt;"",IFERROR(INDEX(Produtos!$C$4:$C$4996,MATCH(D7931,Produtos!$B$4:$B$4996,0)),"Produto não encontrado"),"")</f>
        <v/>
      </c>
    </row>
    <row r="7932" spans="1:5" x14ac:dyDescent="0.3">
      <c r="A7932" s="21" t="str">
        <f t="shared" si="123"/>
        <v>.</v>
      </c>
      <c r="D7932" s="44"/>
      <c r="E7932" s="22" t="str">
        <f>IF(D7932&lt;&gt;"",IFERROR(INDEX(Produtos!$C$4:$C$4996,MATCH(D7932,Produtos!$B$4:$B$4996,0)),"Produto não encontrado"),"")</f>
        <v/>
      </c>
    </row>
    <row r="7933" spans="1:5" x14ac:dyDescent="0.3">
      <c r="A7933" s="21" t="str">
        <f t="shared" si="123"/>
        <v>.</v>
      </c>
      <c r="D7933" s="44"/>
      <c r="E7933" s="22" t="str">
        <f>IF(D7933&lt;&gt;"",IFERROR(INDEX(Produtos!$C$4:$C$4996,MATCH(D7933,Produtos!$B$4:$B$4996,0)),"Produto não encontrado"),"")</f>
        <v/>
      </c>
    </row>
    <row r="7934" spans="1:5" x14ac:dyDescent="0.3">
      <c r="A7934" s="21" t="str">
        <f t="shared" si="123"/>
        <v>.</v>
      </c>
      <c r="D7934" s="44"/>
      <c r="E7934" s="22" t="str">
        <f>IF(D7934&lt;&gt;"",IFERROR(INDEX(Produtos!$C$4:$C$4996,MATCH(D7934,Produtos!$B$4:$B$4996,0)),"Produto não encontrado"),"")</f>
        <v/>
      </c>
    </row>
    <row r="7935" spans="1:5" x14ac:dyDescent="0.3">
      <c r="A7935" s="21" t="str">
        <f t="shared" si="123"/>
        <v>.</v>
      </c>
      <c r="D7935" s="44"/>
      <c r="E7935" s="22" t="str">
        <f>IF(D7935&lt;&gt;"",IFERROR(INDEX(Produtos!$C$4:$C$4996,MATCH(D7935,Produtos!$B$4:$B$4996,0)),"Produto não encontrado"),"")</f>
        <v/>
      </c>
    </row>
    <row r="7936" spans="1:5" x14ac:dyDescent="0.3">
      <c r="A7936" s="21" t="str">
        <f t="shared" ref="A7936:A7999" si="124">IF(C7936="Entrada",2,IF(C7936="Saída",1,"."))</f>
        <v>.</v>
      </c>
      <c r="D7936" s="44"/>
      <c r="E7936" s="22" t="str">
        <f>IF(D7936&lt;&gt;"",IFERROR(INDEX(Produtos!$C$4:$C$4996,MATCH(D7936,Produtos!$B$4:$B$4996,0)),"Produto não encontrado"),"")</f>
        <v/>
      </c>
    </row>
    <row r="7937" spans="1:5" x14ac:dyDescent="0.3">
      <c r="A7937" s="21" t="str">
        <f t="shared" si="124"/>
        <v>.</v>
      </c>
      <c r="D7937" s="44"/>
      <c r="E7937" s="22" t="str">
        <f>IF(D7937&lt;&gt;"",IFERROR(INDEX(Produtos!$C$4:$C$4996,MATCH(D7937,Produtos!$B$4:$B$4996,0)),"Produto não encontrado"),"")</f>
        <v/>
      </c>
    </row>
    <row r="7938" spans="1:5" x14ac:dyDescent="0.3">
      <c r="A7938" s="21" t="str">
        <f t="shared" si="124"/>
        <v>.</v>
      </c>
      <c r="D7938" s="44"/>
      <c r="E7938" s="22" t="str">
        <f>IF(D7938&lt;&gt;"",IFERROR(INDEX(Produtos!$C$4:$C$4996,MATCH(D7938,Produtos!$B$4:$B$4996,0)),"Produto não encontrado"),"")</f>
        <v/>
      </c>
    </row>
    <row r="7939" spans="1:5" x14ac:dyDescent="0.3">
      <c r="A7939" s="21" t="str">
        <f t="shared" si="124"/>
        <v>.</v>
      </c>
      <c r="D7939" s="44"/>
      <c r="E7939" s="22" t="str">
        <f>IF(D7939&lt;&gt;"",IFERROR(INDEX(Produtos!$C$4:$C$4996,MATCH(D7939,Produtos!$B$4:$B$4996,0)),"Produto não encontrado"),"")</f>
        <v/>
      </c>
    </row>
    <row r="7940" spans="1:5" x14ac:dyDescent="0.3">
      <c r="A7940" s="21" t="str">
        <f t="shared" si="124"/>
        <v>.</v>
      </c>
      <c r="D7940" s="44"/>
      <c r="E7940" s="22" t="str">
        <f>IF(D7940&lt;&gt;"",IFERROR(INDEX(Produtos!$C$4:$C$4996,MATCH(D7940,Produtos!$B$4:$B$4996,0)),"Produto não encontrado"),"")</f>
        <v/>
      </c>
    </row>
    <row r="7941" spans="1:5" x14ac:dyDescent="0.3">
      <c r="A7941" s="21" t="str">
        <f t="shared" si="124"/>
        <v>.</v>
      </c>
      <c r="D7941" s="44"/>
      <c r="E7941" s="22" t="str">
        <f>IF(D7941&lt;&gt;"",IFERROR(INDEX(Produtos!$C$4:$C$4996,MATCH(D7941,Produtos!$B$4:$B$4996,0)),"Produto não encontrado"),"")</f>
        <v/>
      </c>
    </row>
    <row r="7942" spans="1:5" x14ac:dyDescent="0.3">
      <c r="A7942" s="21" t="str">
        <f t="shared" si="124"/>
        <v>.</v>
      </c>
      <c r="D7942" s="44"/>
      <c r="E7942" s="22" t="str">
        <f>IF(D7942&lt;&gt;"",IFERROR(INDEX(Produtos!$C$4:$C$4996,MATCH(D7942,Produtos!$B$4:$B$4996,0)),"Produto não encontrado"),"")</f>
        <v/>
      </c>
    </row>
    <row r="7943" spans="1:5" x14ac:dyDescent="0.3">
      <c r="A7943" s="21" t="str">
        <f t="shared" si="124"/>
        <v>.</v>
      </c>
      <c r="D7943" s="44"/>
      <c r="E7943" s="22" t="str">
        <f>IF(D7943&lt;&gt;"",IFERROR(INDEX(Produtos!$C$4:$C$4996,MATCH(D7943,Produtos!$B$4:$B$4996,0)),"Produto não encontrado"),"")</f>
        <v/>
      </c>
    </row>
    <row r="7944" spans="1:5" x14ac:dyDescent="0.3">
      <c r="A7944" s="21" t="str">
        <f t="shared" si="124"/>
        <v>.</v>
      </c>
      <c r="D7944" s="44"/>
      <c r="E7944" s="22" t="str">
        <f>IF(D7944&lt;&gt;"",IFERROR(INDEX(Produtos!$C$4:$C$4996,MATCH(D7944,Produtos!$B$4:$B$4996,0)),"Produto não encontrado"),"")</f>
        <v/>
      </c>
    </row>
    <row r="7945" spans="1:5" x14ac:dyDescent="0.3">
      <c r="A7945" s="21" t="str">
        <f t="shared" si="124"/>
        <v>.</v>
      </c>
      <c r="D7945" s="44"/>
      <c r="E7945" s="22" t="str">
        <f>IF(D7945&lt;&gt;"",IFERROR(INDEX(Produtos!$C$4:$C$4996,MATCH(D7945,Produtos!$B$4:$B$4996,0)),"Produto não encontrado"),"")</f>
        <v/>
      </c>
    </row>
    <row r="7946" spans="1:5" x14ac:dyDescent="0.3">
      <c r="A7946" s="21" t="str">
        <f t="shared" si="124"/>
        <v>.</v>
      </c>
      <c r="D7946" s="44"/>
      <c r="E7946" s="22" t="str">
        <f>IF(D7946&lt;&gt;"",IFERROR(INDEX(Produtos!$C$4:$C$4996,MATCH(D7946,Produtos!$B$4:$B$4996,0)),"Produto não encontrado"),"")</f>
        <v/>
      </c>
    </row>
    <row r="7947" spans="1:5" x14ac:dyDescent="0.3">
      <c r="A7947" s="21" t="str">
        <f t="shared" si="124"/>
        <v>.</v>
      </c>
      <c r="D7947" s="44"/>
      <c r="E7947" s="22" t="str">
        <f>IF(D7947&lt;&gt;"",IFERROR(INDEX(Produtos!$C$4:$C$4996,MATCH(D7947,Produtos!$B$4:$B$4996,0)),"Produto não encontrado"),"")</f>
        <v/>
      </c>
    </row>
    <row r="7948" spans="1:5" x14ac:dyDescent="0.3">
      <c r="A7948" s="21" t="str">
        <f t="shared" si="124"/>
        <v>.</v>
      </c>
      <c r="D7948" s="44"/>
      <c r="E7948" s="22" t="str">
        <f>IF(D7948&lt;&gt;"",IFERROR(INDEX(Produtos!$C$4:$C$4996,MATCH(D7948,Produtos!$B$4:$B$4996,0)),"Produto não encontrado"),"")</f>
        <v/>
      </c>
    </row>
    <row r="7949" spans="1:5" x14ac:dyDescent="0.3">
      <c r="A7949" s="21" t="str">
        <f t="shared" si="124"/>
        <v>.</v>
      </c>
      <c r="D7949" s="44"/>
      <c r="E7949" s="22" t="str">
        <f>IF(D7949&lt;&gt;"",IFERROR(INDEX(Produtos!$C$4:$C$4996,MATCH(D7949,Produtos!$B$4:$B$4996,0)),"Produto não encontrado"),"")</f>
        <v/>
      </c>
    </row>
    <row r="7950" spans="1:5" x14ac:dyDescent="0.3">
      <c r="A7950" s="21" t="str">
        <f t="shared" si="124"/>
        <v>.</v>
      </c>
      <c r="D7950" s="44"/>
      <c r="E7950" s="22" t="str">
        <f>IF(D7950&lt;&gt;"",IFERROR(INDEX(Produtos!$C$4:$C$4996,MATCH(D7950,Produtos!$B$4:$B$4996,0)),"Produto não encontrado"),"")</f>
        <v/>
      </c>
    </row>
    <row r="7951" spans="1:5" x14ac:dyDescent="0.3">
      <c r="A7951" s="21" t="str">
        <f t="shared" si="124"/>
        <v>.</v>
      </c>
      <c r="D7951" s="44"/>
      <c r="E7951" s="22" t="str">
        <f>IF(D7951&lt;&gt;"",IFERROR(INDEX(Produtos!$C$4:$C$4996,MATCH(D7951,Produtos!$B$4:$B$4996,0)),"Produto não encontrado"),"")</f>
        <v/>
      </c>
    </row>
    <row r="7952" spans="1:5" x14ac:dyDescent="0.3">
      <c r="A7952" s="21" t="str">
        <f t="shared" si="124"/>
        <v>.</v>
      </c>
      <c r="D7952" s="44"/>
      <c r="E7952" s="22" t="str">
        <f>IF(D7952&lt;&gt;"",IFERROR(INDEX(Produtos!$C$4:$C$4996,MATCH(D7952,Produtos!$B$4:$B$4996,0)),"Produto não encontrado"),"")</f>
        <v/>
      </c>
    </row>
    <row r="7953" spans="1:5" x14ac:dyDescent="0.3">
      <c r="A7953" s="21" t="str">
        <f t="shared" si="124"/>
        <v>.</v>
      </c>
      <c r="D7953" s="44"/>
      <c r="E7953" s="22" t="str">
        <f>IF(D7953&lt;&gt;"",IFERROR(INDEX(Produtos!$C$4:$C$4996,MATCH(D7953,Produtos!$B$4:$B$4996,0)),"Produto não encontrado"),"")</f>
        <v/>
      </c>
    </row>
    <row r="7954" spans="1:5" x14ac:dyDescent="0.3">
      <c r="A7954" s="21" t="str">
        <f t="shared" si="124"/>
        <v>.</v>
      </c>
      <c r="D7954" s="44"/>
      <c r="E7954" s="22" t="str">
        <f>IF(D7954&lt;&gt;"",IFERROR(INDEX(Produtos!$C$4:$C$4996,MATCH(D7954,Produtos!$B$4:$B$4996,0)),"Produto não encontrado"),"")</f>
        <v/>
      </c>
    </row>
    <row r="7955" spans="1:5" x14ac:dyDescent="0.3">
      <c r="A7955" s="21" t="str">
        <f t="shared" si="124"/>
        <v>.</v>
      </c>
      <c r="D7955" s="44"/>
      <c r="E7955" s="22" t="str">
        <f>IF(D7955&lt;&gt;"",IFERROR(INDEX(Produtos!$C$4:$C$4996,MATCH(D7955,Produtos!$B$4:$B$4996,0)),"Produto não encontrado"),"")</f>
        <v/>
      </c>
    </row>
    <row r="7956" spans="1:5" x14ac:dyDescent="0.3">
      <c r="A7956" s="21" t="str">
        <f t="shared" si="124"/>
        <v>.</v>
      </c>
      <c r="D7956" s="44"/>
      <c r="E7956" s="22" t="str">
        <f>IF(D7956&lt;&gt;"",IFERROR(INDEX(Produtos!$C$4:$C$4996,MATCH(D7956,Produtos!$B$4:$B$4996,0)),"Produto não encontrado"),"")</f>
        <v/>
      </c>
    </row>
    <row r="7957" spans="1:5" x14ac:dyDescent="0.3">
      <c r="A7957" s="21" t="str">
        <f t="shared" si="124"/>
        <v>.</v>
      </c>
      <c r="D7957" s="44"/>
      <c r="E7957" s="22" t="str">
        <f>IF(D7957&lt;&gt;"",IFERROR(INDEX(Produtos!$C$4:$C$4996,MATCH(D7957,Produtos!$B$4:$B$4996,0)),"Produto não encontrado"),"")</f>
        <v/>
      </c>
    </row>
    <row r="7958" spans="1:5" x14ac:dyDescent="0.3">
      <c r="A7958" s="21" t="str">
        <f t="shared" si="124"/>
        <v>.</v>
      </c>
      <c r="D7958" s="44"/>
      <c r="E7958" s="22" t="str">
        <f>IF(D7958&lt;&gt;"",IFERROR(INDEX(Produtos!$C$4:$C$4996,MATCH(D7958,Produtos!$B$4:$B$4996,0)),"Produto não encontrado"),"")</f>
        <v/>
      </c>
    </row>
    <row r="7959" spans="1:5" x14ac:dyDescent="0.3">
      <c r="A7959" s="21" t="str">
        <f t="shared" si="124"/>
        <v>.</v>
      </c>
      <c r="D7959" s="44"/>
      <c r="E7959" s="22" t="str">
        <f>IF(D7959&lt;&gt;"",IFERROR(INDEX(Produtos!$C$4:$C$4996,MATCH(D7959,Produtos!$B$4:$B$4996,0)),"Produto não encontrado"),"")</f>
        <v/>
      </c>
    </row>
    <row r="7960" spans="1:5" x14ac:dyDescent="0.3">
      <c r="A7960" s="21" t="str">
        <f t="shared" si="124"/>
        <v>.</v>
      </c>
      <c r="D7960" s="44"/>
      <c r="E7960" s="22" t="str">
        <f>IF(D7960&lt;&gt;"",IFERROR(INDEX(Produtos!$C$4:$C$4996,MATCH(D7960,Produtos!$B$4:$B$4996,0)),"Produto não encontrado"),"")</f>
        <v/>
      </c>
    </row>
    <row r="7961" spans="1:5" x14ac:dyDescent="0.3">
      <c r="A7961" s="21" t="str">
        <f t="shared" si="124"/>
        <v>.</v>
      </c>
      <c r="D7961" s="44"/>
      <c r="E7961" s="22" t="str">
        <f>IF(D7961&lt;&gt;"",IFERROR(INDEX(Produtos!$C$4:$C$4996,MATCH(D7961,Produtos!$B$4:$B$4996,0)),"Produto não encontrado"),"")</f>
        <v/>
      </c>
    </row>
    <row r="7962" spans="1:5" x14ac:dyDescent="0.3">
      <c r="A7962" s="21" t="str">
        <f t="shared" si="124"/>
        <v>.</v>
      </c>
      <c r="D7962" s="44"/>
      <c r="E7962" s="22" t="str">
        <f>IF(D7962&lt;&gt;"",IFERROR(INDEX(Produtos!$C$4:$C$4996,MATCH(D7962,Produtos!$B$4:$B$4996,0)),"Produto não encontrado"),"")</f>
        <v/>
      </c>
    </row>
    <row r="7963" spans="1:5" x14ac:dyDescent="0.3">
      <c r="A7963" s="21" t="str">
        <f t="shared" si="124"/>
        <v>.</v>
      </c>
      <c r="D7963" s="44"/>
      <c r="E7963" s="22" t="str">
        <f>IF(D7963&lt;&gt;"",IFERROR(INDEX(Produtos!$C$4:$C$4996,MATCH(D7963,Produtos!$B$4:$B$4996,0)),"Produto não encontrado"),"")</f>
        <v/>
      </c>
    </row>
    <row r="7964" spans="1:5" x14ac:dyDescent="0.3">
      <c r="A7964" s="21" t="str">
        <f t="shared" si="124"/>
        <v>.</v>
      </c>
      <c r="D7964" s="44"/>
      <c r="E7964" s="22" t="str">
        <f>IF(D7964&lt;&gt;"",IFERROR(INDEX(Produtos!$C$4:$C$4996,MATCH(D7964,Produtos!$B$4:$B$4996,0)),"Produto não encontrado"),"")</f>
        <v/>
      </c>
    </row>
    <row r="7965" spans="1:5" x14ac:dyDescent="0.3">
      <c r="A7965" s="21" t="str">
        <f t="shared" si="124"/>
        <v>.</v>
      </c>
      <c r="D7965" s="44"/>
      <c r="E7965" s="22" t="str">
        <f>IF(D7965&lt;&gt;"",IFERROR(INDEX(Produtos!$C$4:$C$4996,MATCH(D7965,Produtos!$B$4:$B$4996,0)),"Produto não encontrado"),"")</f>
        <v/>
      </c>
    </row>
    <row r="7966" spans="1:5" x14ac:dyDescent="0.3">
      <c r="A7966" s="21" t="str">
        <f t="shared" si="124"/>
        <v>.</v>
      </c>
      <c r="D7966" s="44"/>
      <c r="E7966" s="22" t="str">
        <f>IF(D7966&lt;&gt;"",IFERROR(INDEX(Produtos!$C$4:$C$4996,MATCH(D7966,Produtos!$B$4:$B$4996,0)),"Produto não encontrado"),"")</f>
        <v/>
      </c>
    </row>
    <row r="7967" spans="1:5" x14ac:dyDescent="0.3">
      <c r="A7967" s="21" t="str">
        <f t="shared" si="124"/>
        <v>.</v>
      </c>
      <c r="D7967" s="44"/>
      <c r="E7967" s="22" t="str">
        <f>IF(D7967&lt;&gt;"",IFERROR(INDEX(Produtos!$C$4:$C$4996,MATCH(D7967,Produtos!$B$4:$B$4996,0)),"Produto não encontrado"),"")</f>
        <v/>
      </c>
    </row>
    <row r="7968" spans="1:5" x14ac:dyDescent="0.3">
      <c r="A7968" s="21" t="str">
        <f t="shared" si="124"/>
        <v>.</v>
      </c>
      <c r="D7968" s="44"/>
      <c r="E7968" s="22" t="str">
        <f>IF(D7968&lt;&gt;"",IFERROR(INDEX(Produtos!$C$4:$C$4996,MATCH(D7968,Produtos!$B$4:$B$4996,0)),"Produto não encontrado"),"")</f>
        <v/>
      </c>
    </row>
    <row r="7969" spans="1:5" x14ac:dyDescent="0.3">
      <c r="A7969" s="21" t="str">
        <f t="shared" si="124"/>
        <v>.</v>
      </c>
      <c r="D7969" s="44"/>
      <c r="E7969" s="22" t="str">
        <f>IF(D7969&lt;&gt;"",IFERROR(INDEX(Produtos!$C$4:$C$4996,MATCH(D7969,Produtos!$B$4:$B$4996,0)),"Produto não encontrado"),"")</f>
        <v/>
      </c>
    </row>
    <row r="7970" spans="1:5" x14ac:dyDescent="0.3">
      <c r="A7970" s="21" t="str">
        <f t="shared" si="124"/>
        <v>.</v>
      </c>
      <c r="D7970" s="44"/>
      <c r="E7970" s="22" t="str">
        <f>IF(D7970&lt;&gt;"",IFERROR(INDEX(Produtos!$C$4:$C$4996,MATCH(D7970,Produtos!$B$4:$B$4996,0)),"Produto não encontrado"),"")</f>
        <v/>
      </c>
    </row>
    <row r="7971" spans="1:5" x14ac:dyDescent="0.3">
      <c r="A7971" s="21" t="str">
        <f t="shared" si="124"/>
        <v>.</v>
      </c>
      <c r="D7971" s="44"/>
      <c r="E7971" s="22" t="str">
        <f>IF(D7971&lt;&gt;"",IFERROR(INDEX(Produtos!$C$4:$C$4996,MATCH(D7971,Produtos!$B$4:$B$4996,0)),"Produto não encontrado"),"")</f>
        <v/>
      </c>
    </row>
    <row r="7972" spans="1:5" x14ac:dyDescent="0.3">
      <c r="A7972" s="21" t="str">
        <f t="shared" si="124"/>
        <v>.</v>
      </c>
      <c r="D7972" s="44"/>
      <c r="E7972" s="22" t="str">
        <f>IF(D7972&lt;&gt;"",IFERROR(INDEX(Produtos!$C$4:$C$4996,MATCH(D7972,Produtos!$B$4:$B$4996,0)),"Produto não encontrado"),"")</f>
        <v/>
      </c>
    </row>
    <row r="7973" spans="1:5" x14ac:dyDescent="0.3">
      <c r="A7973" s="21" t="str">
        <f t="shared" si="124"/>
        <v>.</v>
      </c>
      <c r="D7973" s="44"/>
      <c r="E7973" s="22" t="str">
        <f>IF(D7973&lt;&gt;"",IFERROR(INDEX(Produtos!$C$4:$C$4996,MATCH(D7973,Produtos!$B$4:$B$4996,0)),"Produto não encontrado"),"")</f>
        <v/>
      </c>
    </row>
    <row r="7974" spans="1:5" x14ac:dyDescent="0.3">
      <c r="A7974" s="21" t="str">
        <f t="shared" si="124"/>
        <v>.</v>
      </c>
      <c r="D7974" s="44"/>
      <c r="E7974" s="22" t="str">
        <f>IF(D7974&lt;&gt;"",IFERROR(INDEX(Produtos!$C$4:$C$4996,MATCH(D7974,Produtos!$B$4:$B$4996,0)),"Produto não encontrado"),"")</f>
        <v/>
      </c>
    </row>
    <row r="7975" spans="1:5" x14ac:dyDescent="0.3">
      <c r="A7975" s="21" t="str">
        <f t="shared" si="124"/>
        <v>.</v>
      </c>
      <c r="D7975" s="44"/>
      <c r="E7975" s="22" t="str">
        <f>IF(D7975&lt;&gt;"",IFERROR(INDEX(Produtos!$C$4:$C$4996,MATCH(D7975,Produtos!$B$4:$B$4996,0)),"Produto não encontrado"),"")</f>
        <v/>
      </c>
    </row>
    <row r="7976" spans="1:5" x14ac:dyDescent="0.3">
      <c r="A7976" s="21" t="str">
        <f t="shared" si="124"/>
        <v>.</v>
      </c>
      <c r="D7976" s="44"/>
      <c r="E7976" s="22" t="str">
        <f>IF(D7976&lt;&gt;"",IFERROR(INDEX(Produtos!$C$4:$C$4996,MATCH(D7976,Produtos!$B$4:$B$4996,0)),"Produto não encontrado"),"")</f>
        <v/>
      </c>
    </row>
    <row r="7977" spans="1:5" x14ac:dyDescent="0.3">
      <c r="A7977" s="21" t="str">
        <f t="shared" si="124"/>
        <v>.</v>
      </c>
      <c r="D7977" s="44"/>
      <c r="E7977" s="22" t="str">
        <f>IF(D7977&lt;&gt;"",IFERROR(INDEX(Produtos!$C$4:$C$4996,MATCH(D7977,Produtos!$B$4:$B$4996,0)),"Produto não encontrado"),"")</f>
        <v/>
      </c>
    </row>
    <row r="7978" spans="1:5" x14ac:dyDescent="0.3">
      <c r="A7978" s="21" t="str">
        <f t="shared" si="124"/>
        <v>.</v>
      </c>
      <c r="D7978" s="44"/>
      <c r="E7978" s="22" t="str">
        <f>IF(D7978&lt;&gt;"",IFERROR(INDEX(Produtos!$C$4:$C$4996,MATCH(D7978,Produtos!$B$4:$B$4996,0)),"Produto não encontrado"),"")</f>
        <v/>
      </c>
    </row>
    <row r="7979" spans="1:5" x14ac:dyDescent="0.3">
      <c r="A7979" s="21" t="str">
        <f t="shared" si="124"/>
        <v>.</v>
      </c>
      <c r="D7979" s="44"/>
      <c r="E7979" s="22" t="str">
        <f>IF(D7979&lt;&gt;"",IFERROR(INDEX(Produtos!$C$4:$C$4996,MATCH(D7979,Produtos!$B$4:$B$4996,0)),"Produto não encontrado"),"")</f>
        <v/>
      </c>
    </row>
    <row r="7980" spans="1:5" x14ac:dyDescent="0.3">
      <c r="A7980" s="21" t="str">
        <f t="shared" si="124"/>
        <v>.</v>
      </c>
      <c r="D7980" s="44"/>
      <c r="E7980" s="22" t="str">
        <f>IF(D7980&lt;&gt;"",IFERROR(INDEX(Produtos!$C$4:$C$4996,MATCH(D7980,Produtos!$B$4:$B$4996,0)),"Produto não encontrado"),"")</f>
        <v/>
      </c>
    </row>
    <row r="7981" spans="1:5" x14ac:dyDescent="0.3">
      <c r="A7981" s="21" t="str">
        <f t="shared" si="124"/>
        <v>.</v>
      </c>
      <c r="D7981" s="44"/>
      <c r="E7981" s="22" t="str">
        <f>IF(D7981&lt;&gt;"",IFERROR(INDEX(Produtos!$C$4:$C$4996,MATCH(D7981,Produtos!$B$4:$B$4996,0)),"Produto não encontrado"),"")</f>
        <v/>
      </c>
    </row>
    <row r="7982" spans="1:5" x14ac:dyDescent="0.3">
      <c r="A7982" s="21" t="str">
        <f t="shared" si="124"/>
        <v>.</v>
      </c>
      <c r="D7982" s="44"/>
      <c r="E7982" s="22" t="str">
        <f>IF(D7982&lt;&gt;"",IFERROR(INDEX(Produtos!$C$4:$C$4996,MATCH(D7982,Produtos!$B$4:$B$4996,0)),"Produto não encontrado"),"")</f>
        <v/>
      </c>
    </row>
    <row r="7983" spans="1:5" x14ac:dyDescent="0.3">
      <c r="A7983" s="21" t="str">
        <f t="shared" si="124"/>
        <v>.</v>
      </c>
      <c r="D7983" s="44"/>
      <c r="E7983" s="22" t="str">
        <f>IF(D7983&lt;&gt;"",IFERROR(INDEX(Produtos!$C$4:$C$4996,MATCH(D7983,Produtos!$B$4:$B$4996,0)),"Produto não encontrado"),"")</f>
        <v/>
      </c>
    </row>
    <row r="7984" spans="1:5" x14ac:dyDescent="0.3">
      <c r="A7984" s="21" t="str">
        <f t="shared" si="124"/>
        <v>.</v>
      </c>
      <c r="D7984" s="44"/>
      <c r="E7984" s="22" t="str">
        <f>IF(D7984&lt;&gt;"",IFERROR(INDEX(Produtos!$C$4:$C$4996,MATCH(D7984,Produtos!$B$4:$B$4996,0)),"Produto não encontrado"),"")</f>
        <v/>
      </c>
    </row>
    <row r="7985" spans="1:5" x14ac:dyDescent="0.3">
      <c r="A7985" s="21" t="str">
        <f t="shared" si="124"/>
        <v>.</v>
      </c>
      <c r="D7985" s="44"/>
      <c r="E7985" s="22" t="str">
        <f>IF(D7985&lt;&gt;"",IFERROR(INDEX(Produtos!$C$4:$C$4996,MATCH(D7985,Produtos!$B$4:$B$4996,0)),"Produto não encontrado"),"")</f>
        <v/>
      </c>
    </row>
    <row r="7986" spans="1:5" x14ac:dyDescent="0.3">
      <c r="A7986" s="21" t="str">
        <f t="shared" si="124"/>
        <v>.</v>
      </c>
      <c r="D7986" s="44"/>
      <c r="E7986" s="22" t="str">
        <f>IF(D7986&lt;&gt;"",IFERROR(INDEX(Produtos!$C$4:$C$4996,MATCH(D7986,Produtos!$B$4:$B$4996,0)),"Produto não encontrado"),"")</f>
        <v/>
      </c>
    </row>
    <row r="7987" spans="1:5" x14ac:dyDescent="0.3">
      <c r="A7987" s="21" t="str">
        <f t="shared" si="124"/>
        <v>.</v>
      </c>
      <c r="D7987" s="44"/>
      <c r="E7987" s="22" t="str">
        <f>IF(D7987&lt;&gt;"",IFERROR(INDEX(Produtos!$C$4:$C$4996,MATCH(D7987,Produtos!$B$4:$B$4996,0)),"Produto não encontrado"),"")</f>
        <v/>
      </c>
    </row>
    <row r="7988" spans="1:5" x14ac:dyDescent="0.3">
      <c r="A7988" s="21" t="str">
        <f t="shared" si="124"/>
        <v>.</v>
      </c>
      <c r="D7988" s="44"/>
      <c r="E7988" s="22" t="str">
        <f>IF(D7988&lt;&gt;"",IFERROR(INDEX(Produtos!$C$4:$C$4996,MATCH(D7988,Produtos!$B$4:$B$4996,0)),"Produto não encontrado"),"")</f>
        <v/>
      </c>
    </row>
    <row r="7989" spans="1:5" x14ac:dyDescent="0.3">
      <c r="A7989" s="21" t="str">
        <f t="shared" si="124"/>
        <v>.</v>
      </c>
      <c r="D7989" s="44"/>
      <c r="E7989" s="22" t="str">
        <f>IF(D7989&lt;&gt;"",IFERROR(INDEX(Produtos!$C$4:$C$4996,MATCH(D7989,Produtos!$B$4:$B$4996,0)),"Produto não encontrado"),"")</f>
        <v/>
      </c>
    </row>
    <row r="7990" spans="1:5" x14ac:dyDescent="0.3">
      <c r="A7990" s="21" t="str">
        <f t="shared" si="124"/>
        <v>.</v>
      </c>
      <c r="D7990" s="44"/>
      <c r="E7990" s="22" t="str">
        <f>IF(D7990&lt;&gt;"",IFERROR(INDEX(Produtos!$C$4:$C$4996,MATCH(D7990,Produtos!$B$4:$B$4996,0)),"Produto não encontrado"),"")</f>
        <v/>
      </c>
    </row>
    <row r="7991" spans="1:5" x14ac:dyDescent="0.3">
      <c r="A7991" s="21" t="str">
        <f t="shared" si="124"/>
        <v>.</v>
      </c>
      <c r="D7991" s="44"/>
      <c r="E7991" s="22" t="str">
        <f>IF(D7991&lt;&gt;"",IFERROR(INDEX(Produtos!$C$4:$C$4996,MATCH(D7991,Produtos!$B$4:$B$4996,0)),"Produto não encontrado"),"")</f>
        <v/>
      </c>
    </row>
    <row r="7992" spans="1:5" x14ac:dyDescent="0.3">
      <c r="A7992" s="21" t="str">
        <f t="shared" si="124"/>
        <v>.</v>
      </c>
      <c r="D7992" s="44"/>
      <c r="E7992" s="22" t="str">
        <f>IF(D7992&lt;&gt;"",IFERROR(INDEX(Produtos!$C$4:$C$4996,MATCH(D7992,Produtos!$B$4:$B$4996,0)),"Produto não encontrado"),"")</f>
        <v/>
      </c>
    </row>
    <row r="7993" spans="1:5" x14ac:dyDescent="0.3">
      <c r="A7993" s="21" t="str">
        <f t="shared" si="124"/>
        <v>.</v>
      </c>
      <c r="D7993" s="44"/>
      <c r="E7993" s="22" t="str">
        <f>IF(D7993&lt;&gt;"",IFERROR(INDEX(Produtos!$C$4:$C$4996,MATCH(D7993,Produtos!$B$4:$B$4996,0)),"Produto não encontrado"),"")</f>
        <v/>
      </c>
    </row>
    <row r="7994" spans="1:5" x14ac:dyDescent="0.3">
      <c r="A7994" s="21" t="str">
        <f t="shared" si="124"/>
        <v>.</v>
      </c>
      <c r="D7994" s="44"/>
      <c r="E7994" s="22" t="str">
        <f>IF(D7994&lt;&gt;"",IFERROR(INDEX(Produtos!$C$4:$C$4996,MATCH(D7994,Produtos!$B$4:$B$4996,0)),"Produto não encontrado"),"")</f>
        <v/>
      </c>
    </row>
    <row r="7995" spans="1:5" x14ac:dyDescent="0.3">
      <c r="A7995" s="21" t="str">
        <f t="shared" si="124"/>
        <v>.</v>
      </c>
      <c r="D7995" s="44"/>
      <c r="E7995" s="22" t="str">
        <f>IF(D7995&lt;&gt;"",IFERROR(INDEX(Produtos!$C$4:$C$4996,MATCH(D7995,Produtos!$B$4:$B$4996,0)),"Produto não encontrado"),"")</f>
        <v/>
      </c>
    </row>
    <row r="7996" spans="1:5" x14ac:dyDescent="0.3">
      <c r="A7996" s="21" t="str">
        <f t="shared" si="124"/>
        <v>.</v>
      </c>
      <c r="D7996" s="44"/>
      <c r="E7996" s="22" t="str">
        <f>IF(D7996&lt;&gt;"",IFERROR(INDEX(Produtos!$C$4:$C$4996,MATCH(D7996,Produtos!$B$4:$B$4996,0)),"Produto não encontrado"),"")</f>
        <v/>
      </c>
    </row>
    <row r="7997" spans="1:5" x14ac:dyDescent="0.3">
      <c r="A7997" s="21" t="str">
        <f t="shared" si="124"/>
        <v>.</v>
      </c>
      <c r="D7997" s="44"/>
      <c r="E7997" s="22" t="str">
        <f>IF(D7997&lt;&gt;"",IFERROR(INDEX(Produtos!$C$4:$C$4996,MATCH(D7997,Produtos!$B$4:$B$4996,0)),"Produto não encontrado"),"")</f>
        <v/>
      </c>
    </row>
    <row r="7998" spans="1:5" x14ac:dyDescent="0.3">
      <c r="A7998" s="21" t="str">
        <f t="shared" si="124"/>
        <v>.</v>
      </c>
      <c r="D7998" s="44"/>
      <c r="E7998" s="22" t="str">
        <f>IF(D7998&lt;&gt;"",IFERROR(INDEX(Produtos!$C$4:$C$4996,MATCH(D7998,Produtos!$B$4:$B$4996,0)),"Produto não encontrado"),"")</f>
        <v/>
      </c>
    </row>
    <row r="7999" spans="1:5" x14ac:dyDescent="0.3">
      <c r="A7999" s="21" t="str">
        <f t="shared" si="124"/>
        <v>.</v>
      </c>
      <c r="D7999" s="44"/>
      <c r="E7999" s="22" t="str">
        <f>IF(D7999&lt;&gt;"",IFERROR(INDEX(Produtos!$C$4:$C$4996,MATCH(D7999,Produtos!$B$4:$B$4996,0)),"Produto não encontrado"),"")</f>
        <v/>
      </c>
    </row>
    <row r="8000" spans="1:5" x14ac:dyDescent="0.3">
      <c r="A8000" s="21" t="str">
        <f t="shared" ref="A8000:A8063" si="125">IF(C8000="Entrada",2,IF(C8000="Saída",1,"."))</f>
        <v>.</v>
      </c>
      <c r="D8000" s="44"/>
      <c r="E8000" s="22" t="str">
        <f>IF(D8000&lt;&gt;"",IFERROR(INDEX(Produtos!$C$4:$C$4996,MATCH(D8000,Produtos!$B$4:$B$4996,0)),"Produto não encontrado"),"")</f>
        <v/>
      </c>
    </row>
    <row r="8001" spans="1:5" x14ac:dyDescent="0.3">
      <c r="A8001" s="21" t="str">
        <f t="shared" si="125"/>
        <v>.</v>
      </c>
      <c r="D8001" s="44"/>
      <c r="E8001" s="22" t="str">
        <f>IF(D8001&lt;&gt;"",IFERROR(INDEX(Produtos!$C$4:$C$4996,MATCH(D8001,Produtos!$B$4:$B$4996,0)),"Produto não encontrado"),"")</f>
        <v/>
      </c>
    </row>
    <row r="8002" spans="1:5" x14ac:dyDescent="0.3">
      <c r="A8002" s="21" t="str">
        <f t="shared" si="125"/>
        <v>.</v>
      </c>
      <c r="D8002" s="44"/>
      <c r="E8002" s="22" t="str">
        <f>IF(D8002&lt;&gt;"",IFERROR(INDEX(Produtos!$C$4:$C$4996,MATCH(D8002,Produtos!$B$4:$B$4996,0)),"Produto não encontrado"),"")</f>
        <v/>
      </c>
    </row>
    <row r="8003" spans="1:5" x14ac:dyDescent="0.3">
      <c r="A8003" s="21" t="str">
        <f t="shared" si="125"/>
        <v>.</v>
      </c>
      <c r="D8003" s="44"/>
      <c r="E8003" s="22" t="str">
        <f>IF(D8003&lt;&gt;"",IFERROR(INDEX(Produtos!$C$4:$C$4996,MATCH(D8003,Produtos!$B$4:$B$4996,0)),"Produto não encontrado"),"")</f>
        <v/>
      </c>
    </row>
    <row r="8004" spans="1:5" x14ac:dyDescent="0.3">
      <c r="A8004" s="21" t="str">
        <f t="shared" si="125"/>
        <v>.</v>
      </c>
      <c r="D8004" s="44"/>
      <c r="E8004" s="22" t="str">
        <f>IF(D8004&lt;&gt;"",IFERROR(INDEX(Produtos!$C$4:$C$4996,MATCH(D8004,Produtos!$B$4:$B$4996,0)),"Produto não encontrado"),"")</f>
        <v/>
      </c>
    </row>
    <row r="8005" spans="1:5" x14ac:dyDescent="0.3">
      <c r="A8005" s="21" t="str">
        <f t="shared" si="125"/>
        <v>.</v>
      </c>
      <c r="D8005" s="44"/>
      <c r="E8005" s="22" t="str">
        <f>IF(D8005&lt;&gt;"",IFERROR(INDEX(Produtos!$C$4:$C$4996,MATCH(D8005,Produtos!$B$4:$B$4996,0)),"Produto não encontrado"),"")</f>
        <v/>
      </c>
    </row>
    <row r="8006" spans="1:5" x14ac:dyDescent="0.3">
      <c r="A8006" s="21" t="str">
        <f t="shared" si="125"/>
        <v>.</v>
      </c>
      <c r="D8006" s="44"/>
      <c r="E8006" s="22" t="str">
        <f>IF(D8006&lt;&gt;"",IFERROR(INDEX(Produtos!$C$4:$C$4996,MATCH(D8006,Produtos!$B$4:$B$4996,0)),"Produto não encontrado"),"")</f>
        <v/>
      </c>
    </row>
    <row r="8007" spans="1:5" x14ac:dyDescent="0.3">
      <c r="A8007" s="21" t="str">
        <f t="shared" si="125"/>
        <v>.</v>
      </c>
      <c r="D8007" s="44"/>
      <c r="E8007" s="22" t="str">
        <f>IF(D8007&lt;&gt;"",IFERROR(INDEX(Produtos!$C$4:$C$4996,MATCH(D8007,Produtos!$B$4:$B$4996,0)),"Produto não encontrado"),"")</f>
        <v/>
      </c>
    </row>
    <row r="8008" spans="1:5" x14ac:dyDescent="0.3">
      <c r="A8008" s="21" t="str">
        <f t="shared" si="125"/>
        <v>.</v>
      </c>
      <c r="D8008" s="44"/>
      <c r="E8008" s="22" t="str">
        <f>IF(D8008&lt;&gt;"",IFERROR(INDEX(Produtos!$C$4:$C$4996,MATCH(D8008,Produtos!$B$4:$B$4996,0)),"Produto não encontrado"),"")</f>
        <v/>
      </c>
    </row>
    <row r="8009" spans="1:5" x14ac:dyDescent="0.3">
      <c r="A8009" s="21" t="str">
        <f t="shared" si="125"/>
        <v>.</v>
      </c>
      <c r="D8009" s="44"/>
      <c r="E8009" s="22" t="str">
        <f>IF(D8009&lt;&gt;"",IFERROR(INDEX(Produtos!$C$4:$C$4996,MATCH(D8009,Produtos!$B$4:$B$4996,0)),"Produto não encontrado"),"")</f>
        <v/>
      </c>
    </row>
    <row r="8010" spans="1:5" x14ac:dyDescent="0.3">
      <c r="A8010" s="21" t="str">
        <f t="shared" si="125"/>
        <v>.</v>
      </c>
      <c r="D8010" s="44"/>
      <c r="E8010" s="22" t="str">
        <f>IF(D8010&lt;&gt;"",IFERROR(INDEX(Produtos!$C$4:$C$4996,MATCH(D8010,Produtos!$B$4:$B$4996,0)),"Produto não encontrado"),"")</f>
        <v/>
      </c>
    </row>
    <row r="8011" spans="1:5" x14ac:dyDescent="0.3">
      <c r="A8011" s="21" t="str">
        <f t="shared" si="125"/>
        <v>.</v>
      </c>
      <c r="D8011" s="44"/>
      <c r="E8011" s="22" t="str">
        <f>IF(D8011&lt;&gt;"",IFERROR(INDEX(Produtos!$C$4:$C$4996,MATCH(D8011,Produtos!$B$4:$B$4996,0)),"Produto não encontrado"),"")</f>
        <v/>
      </c>
    </row>
    <row r="8012" spans="1:5" x14ac:dyDescent="0.3">
      <c r="A8012" s="21" t="str">
        <f t="shared" si="125"/>
        <v>.</v>
      </c>
      <c r="D8012" s="44"/>
      <c r="E8012" s="22" t="str">
        <f>IF(D8012&lt;&gt;"",IFERROR(INDEX(Produtos!$C$4:$C$4996,MATCH(D8012,Produtos!$B$4:$B$4996,0)),"Produto não encontrado"),"")</f>
        <v/>
      </c>
    </row>
    <row r="8013" spans="1:5" x14ac:dyDescent="0.3">
      <c r="A8013" s="21" t="str">
        <f t="shared" si="125"/>
        <v>.</v>
      </c>
      <c r="D8013" s="44"/>
      <c r="E8013" s="22" t="str">
        <f>IF(D8013&lt;&gt;"",IFERROR(INDEX(Produtos!$C$4:$C$4996,MATCH(D8013,Produtos!$B$4:$B$4996,0)),"Produto não encontrado"),"")</f>
        <v/>
      </c>
    </row>
    <row r="8014" spans="1:5" x14ac:dyDescent="0.3">
      <c r="A8014" s="21" t="str">
        <f t="shared" si="125"/>
        <v>.</v>
      </c>
      <c r="D8014" s="44"/>
      <c r="E8014" s="22" t="str">
        <f>IF(D8014&lt;&gt;"",IFERROR(INDEX(Produtos!$C$4:$C$4996,MATCH(D8014,Produtos!$B$4:$B$4996,0)),"Produto não encontrado"),"")</f>
        <v/>
      </c>
    </row>
    <row r="8015" spans="1:5" x14ac:dyDescent="0.3">
      <c r="A8015" s="21" t="str">
        <f t="shared" si="125"/>
        <v>.</v>
      </c>
      <c r="D8015" s="44"/>
      <c r="E8015" s="22" t="str">
        <f>IF(D8015&lt;&gt;"",IFERROR(INDEX(Produtos!$C$4:$C$4996,MATCH(D8015,Produtos!$B$4:$B$4996,0)),"Produto não encontrado"),"")</f>
        <v/>
      </c>
    </row>
    <row r="8016" spans="1:5" x14ac:dyDescent="0.3">
      <c r="A8016" s="21" t="str">
        <f t="shared" si="125"/>
        <v>.</v>
      </c>
      <c r="D8016" s="44"/>
      <c r="E8016" s="22" t="str">
        <f>IF(D8016&lt;&gt;"",IFERROR(INDEX(Produtos!$C$4:$C$4996,MATCH(D8016,Produtos!$B$4:$B$4996,0)),"Produto não encontrado"),"")</f>
        <v/>
      </c>
    </row>
    <row r="8017" spans="1:5" x14ac:dyDescent="0.3">
      <c r="A8017" s="21" t="str">
        <f t="shared" si="125"/>
        <v>.</v>
      </c>
      <c r="D8017" s="44"/>
      <c r="E8017" s="22" t="str">
        <f>IF(D8017&lt;&gt;"",IFERROR(INDEX(Produtos!$C$4:$C$4996,MATCH(D8017,Produtos!$B$4:$B$4996,0)),"Produto não encontrado"),"")</f>
        <v/>
      </c>
    </row>
    <row r="8018" spans="1:5" x14ac:dyDescent="0.3">
      <c r="A8018" s="21" t="str">
        <f t="shared" si="125"/>
        <v>.</v>
      </c>
      <c r="D8018" s="44"/>
      <c r="E8018" s="22" t="str">
        <f>IF(D8018&lt;&gt;"",IFERROR(INDEX(Produtos!$C$4:$C$4996,MATCH(D8018,Produtos!$B$4:$B$4996,0)),"Produto não encontrado"),"")</f>
        <v/>
      </c>
    </row>
    <row r="8019" spans="1:5" x14ac:dyDescent="0.3">
      <c r="A8019" s="21" t="str">
        <f t="shared" si="125"/>
        <v>.</v>
      </c>
      <c r="D8019" s="44"/>
      <c r="E8019" s="22" t="str">
        <f>IF(D8019&lt;&gt;"",IFERROR(INDEX(Produtos!$C$4:$C$4996,MATCH(D8019,Produtos!$B$4:$B$4996,0)),"Produto não encontrado"),"")</f>
        <v/>
      </c>
    </row>
    <row r="8020" spans="1:5" x14ac:dyDescent="0.3">
      <c r="A8020" s="21" t="str">
        <f t="shared" si="125"/>
        <v>.</v>
      </c>
      <c r="D8020" s="44"/>
      <c r="E8020" s="22" t="str">
        <f>IF(D8020&lt;&gt;"",IFERROR(INDEX(Produtos!$C$4:$C$4996,MATCH(D8020,Produtos!$B$4:$B$4996,0)),"Produto não encontrado"),"")</f>
        <v/>
      </c>
    </row>
    <row r="8021" spans="1:5" x14ac:dyDescent="0.3">
      <c r="A8021" s="21" t="str">
        <f t="shared" si="125"/>
        <v>.</v>
      </c>
      <c r="D8021" s="44"/>
      <c r="E8021" s="22" t="str">
        <f>IF(D8021&lt;&gt;"",IFERROR(INDEX(Produtos!$C$4:$C$4996,MATCH(D8021,Produtos!$B$4:$B$4996,0)),"Produto não encontrado"),"")</f>
        <v/>
      </c>
    </row>
    <row r="8022" spans="1:5" x14ac:dyDescent="0.3">
      <c r="A8022" s="21" t="str">
        <f t="shared" si="125"/>
        <v>.</v>
      </c>
      <c r="D8022" s="44"/>
      <c r="E8022" s="22" t="str">
        <f>IF(D8022&lt;&gt;"",IFERROR(INDEX(Produtos!$C$4:$C$4996,MATCH(D8022,Produtos!$B$4:$B$4996,0)),"Produto não encontrado"),"")</f>
        <v/>
      </c>
    </row>
    <row r="8023" spans="1:5" x14ac:dyDescent="0.3">
      <c r="A8023" s="21" t="str">
        <f t="shared" si="125"/>
        <v>.</v>
      </c>
      <c r="D8023" s="44"/>
      <c r="E8023" s="22" t="str">
        <f>IF(D8023&lt;&gt;"",IFERROR(INDEX(Produtos!$C$4:$C$4996,MATCH(D8023,Produtos!$B$4:$B$4996,0)),"Produto não encontrado"),"")</f>
        <v/>
      </c>
    </row>
    <row r="8024" spans="1:5" x14ac:dyDescent="0.3">
      <c r="A8024" s="21" t="str">
        <f t="shared" si="125"/>
        <v>.</v>
      </c>
      <c r="D8024" s="44"/>
      <c r="E8024" s="22" t="str">
        <f>IF(D8024&lt;&gt;"",IFERROR(INDEX(Produtos!$C$4:$C$4996,MATCH(D8024,Produtos!$B$4:$B$4996,0)),"Produto não encontrado"),"")</f>
        <v/>
      </c>
    </row>
    <row r="8025" spans="1:5" x14ac:dyDescent="0.3">
      <c r="A8025" s="21" t="str">
        <f t="shared" si="125"/>
        <v>.</v>
      </c>
      <c r="D8025" s="44"/>
      <c r="E8025" s="22" t="str">
        <f>IF(D8025&lt;&gt;"",IFERROR(INDEX(Produtos!$C$4:$C$4996,MATCH(D8025,Produtos!$B$4:$B$4996,0)),"Produto não encontrado"),"")</f>
        <v/>
      </c>
    </row>
    <row r="8026" spans="1:5" x14ac:dyDescent="0.3">
      <c r="A8026" s="21" t="str">
        <f t="shared" si="125"/>
        <v>.</v>
      </c>
      <c r="D8026" s="44"/>
      <c r="E8026" s="22" t="str">
        <f>IF(D8026&lt;&gt;"",IFERROR(INDEX(Produtos!$C$4:$C$4996,MATCH(D8026,Produtos!$B$4:$B$4996,0)),"Produto não encontrado"),"")</f>
        <v/>
      </c>
    </row>
    <row r="8027" spans="1:5" x14ac:dyDescent="0.3">
      <c r="A8027" s="21" t="str">
        <f t="shared" si="125"/>
        <v>.</v>
      </c>
      <c r="D8027" s="44"/>
      <c r="E8027" s="22" t="str">
        <f>IF(D8027&lt;&gt;"",IFERROR(INDEX(Produtos!$C$4:$C$4996,MATCH(D8027,Produtos!$B$4:$B$4996,0)),"Produto não encontrado"),"")</f>
        <v/>
      </c>
    </row>
    <row r="8028" spans="1:5" x14ac:dyDescent="0.3">
      <c r="A8028" s="21" t="str">
        <f t="shared" si="125"/>
        <v>.</v>
      </c>
      <c r="D8028" s="44"/>
      <c r="E8028" s="22" t="str">
        <f>IF(D8028&lt;&gt;"",IFERROR(INDEX(Produtos!$C$4:$C$4996,MATCH(D8028,Produtos!$B$4:$B$4996,0)),"Produto não encontrado"),"")</f>
        <v/>
      </c>
    </row>
    <row r="8029" spans="1:5" x14ac:dyDescent="0.3">
      <c r="A8029" s="21" t="str">
        <f t="shared" si="125"/>
        <v>.</v>
      </c>
      <c r="D8029" s="44"/>
      <c r="E8029" s="22" t="str">
        <f>IF(D8029&lt;&gt;"",IFERROR(INDEX(Produtos!$C$4:$C$4996,MATCH(D8029,Produtos!$B$4:$B$4996,0)),"Produto não encontrado"),"")</f>
        <v/>
      </c>
    </row>
    <row r="8030" spans="1:5" x14ac:dyDescent="0.3">
      <c r="A8030" s="21" t="str">
        <f t="shared" si="125"/>
        <v>.</v>
      </c>
      <c r="D8030" s="44"/>
      <c r="E8030" s="22" t="str">
        <f>IF(D8030&lt;&gt;"",IFERROR(INDEX(Produtos!$C$4:$C$4996,MATCH(D8030,Produtos!$B$4:$B$4996,0)),"Produto não encontrado"),"")</f>
        <v/>
      </c>
    </row>
    <row r="8031" spans="1:5" x14ac:dyDescent="0.3">
      <c r="A8031" s="21" t="str">
        <f t="shared" si="125"/>
        <v>.</v>
      </c>
      <c r="D8031" s="44"/>
      <c r="E8031" s="22" t="str">
        <f>IF(D8031&lt;&gt;"",IFERROR(INDEX(Produtos!$C$4:$C$4996,MATCH(D8031,Produtos!$B$4:$B$4996,0)),"Produto não encontrado"),"")</f>
        <v/>
      </c>
    </row>
    <row r="8032" spans="1:5" x14ac:dyDescent="0.3">
      <c r="A8032" s="21" t="str">
        <f t="shared" si="125"/>
        <v>.</v>
      </c>
      <c r="D8032" s="44"/>
      <c r="E8032" s="22" t="str">
        <f>IF(D8032&lt;&gt;"",IFERROR(INDEX(Produtos!$C$4:$C$4996,MATCH(D8032,Produtos!$B$4:$B$4996,0)),"Produto não encontrado"),"")</f>
        <v/>
      </c>
    </row>
    <row r="8033" spans="1:5" x14ac:dyDescent="0.3">
      <c r="A8033" s="21" t="str">
        <f t="shared" si="125"/>
        <v>.</v>
      </c>
      <c r="D8033" s="44"/>
      <c r="E8033" s="22" t="str">
        <f>IF(D8033&lt;&gt;"",IFERROR(INDEX(Produtos!$C$4:$C$4996,MATCH(D8033,Produtos!$B$4:$B$4996,0)),"Produto não encontrado"),"")</f>
        <v/>
      </c>
    </row>
    <row r="8034" spans="1:5" x14ac:dyDescent="0.3">
      <c r="A8034" s="21" t="str">
        <f t="shared" si="125"/>
        <v>.</v>
      </c>
      <c r="D8034" s="44"/>
      <c r="E8034" s="22" t="str">
        <f>IF(D8034&lt;&gt;"",IFERROR(INDEX(Produtos!$C$4:$C$4996,MATCH(D8034,Produtos!$B$4:$B$4996,0)),"Produto não encontrado"),"")</f>
        <v/>
      </c>
    </row>
    <row r="8035" spans="1:5" x14ac:dyDescent="0.3">
      <c r="A8035" s="21" t="str">
        <f t="shared" si="125"/>
        <v>.</v>
      </c>
      <c r="D8035" s="44"/>
      <c r="E8035" s="22" t="str">
        <f>IF(D8035&lt;&gt;"",IFERROR(INDEX(Produtos!$C$4:$C$4996,MATCH(D8035,Produtos!$B$4:$B$4996,0)),"Produto não encontrado"),"")</f>
        <v/>
      </c>
    </row>
    <row r="8036" spans="1:5" x14ac:dyDescent="0.3">
      <c r="A8036" s="21" t="str">
        <f t="shared" si="125"/>
        <v>.</v>
      </c>
      <c r="D8036" s="44"/>
      <c r="E8036" s="22" t="str">
        <f>IF(D8036&lt;&gt;"",IFERROR(INDEX(Produtos!$C$4:$C$4996,MATCH(D8036,Produtos!$B$4:$B$4996,0)),"Produto não encontrado"),"")</f>
        <v/>
      </c>
    </row>
    <row r="8037" spans="1:5" x14ac:dyDescent="0.3">
      <c r="A8037" s="21" t="str">
        <f t="shared" si="125"/>
        <v>.</v>
      </c>
      <c r="D8037" s="44"/>
      <c r="E8037" s="22" t="str">
        <f>IF(D8037&lt;&gt;"",IFERROR(INDEX(Produtos!$C$4:$C$4996,MATCH(D8037,Produtos!$B$4:$B$4996,0)),"Produto não encontrado"),"")</f>
        <v/>
      </c>
    </row>
    <row r="8038" spans="1:5" x14ac:dyDescent="0.3">
      <c r="A8038" s="21" t="str">
        <f t="shared" si="125"/>
        <v>.</v>
      </c>
      <c r="D8038" s="44"/>
      <c r="E8038" s="22" t="str">
        <f>IF(D8038&lt;&gt;"",IFERROR(INDEX(Produtos!$C$4:$C$4996,MATCH(D8038,Produtos!$B$4:$B$4996,0)),"Produto não encontrado"),"")</f>
        <v/>
      </c>
    </row>
    <row r="8039" spans="1:5" x14ac:dyDescent="0.3">
      <c r="A8039" s="21" t="str">
        <f t="shared" si="125"/>
        <v>.</v>
      </c>
      <c r="D8039" s="44"/>
      <c r="E8039" s="22" t="str">
        <f>IF(D8039&lt;&gt;"",IFERROR(INDEX(Produtos!$C$4:$C$4996,MATCH(D8039,Produtos!$B$4:$B$4996,0)),"Produto não encontrado"),"")</f>
        <v/>
      </c>
    </row>
    <row r="8040" spans="1:5" x14ac:dyDescent="0.3">
      <c r="A8040" s="21" t="str">
        <f t="shared" si="125"/>
        <v>.</v>
      </c>
      <c r="D8040" s="44"/>
      <c r="E8040" s="22" t="str">
        <f>IF(D8040&lt;&gt;"",IFERROR(INDEX(Produtos!$C$4:$C$4996,MATCH(D8040,Produtos!$B$4:$B$4996,0)),"Produto não encontrado"),"")</f>
        <v/>
      </c>
    </row>
    <row r="8041" spans="1:5" x14ac:dyDescent="0.3">
      <c r="A8041" s="21" t="str">
        <f t="shared" si="125"/>
        <v>.</v>
      </c>
      <c r="D8041" s="44"/>
      <c r="E8041" s="22" t="str">
        <f>IF(D8041&lt;&gt;"",IFERROR(INDEX(Produtos!$C$4:$C$4996,MATCH(D8041,Produtos!$B$4:$B$4996,0)),"Produto não encontrado"),"")</f>
        <v/>
      </c>
    </row>
    <row r="8042" spans="1:5" x14ac:dyDescent="0.3">
      <c r="A8042" s="21" t="str">
        <f t="shared" si="125"/>
        <v>.</v>
      </c>
      <c r="D8042" s="44"/>
      <c r="E8042" s="22" t="str">
        <f>IF(D8042&lt;&gt;"",IFERROR(INDEX(Produtos!$C$4:$C$4996,MATCH(D8042,Produtos!$B$4:$B$4996,0)),"Produto não encontrado"),"")</f>
        <v/>
      </c>
    </row>
    <row r="8043" spans="1:5" x14ac:dyDescent="0.3">
      <c r="A8043" s="21" t="str">
        <f t="shared" si="125"/>
        <v>.</v>
      </c>
      <c r="D8043" s="44"/>
      <c r="E8043" s="22" t="str">
        <f>IF(D8043&lt;&gt;"",IFERROR(INDEX(Produtos!$C$4:$C$4996,MATCH(D8043,Produtos!$B$4:$B$4996,0)),"Produto não encontrado"),"")</f>
        <v/>
      </c>
    </row>
    <row r="8044" spans="1:5" x14ac:dyDescent="0.3">
      <c r="A8044" s="21" t="str">
        <f t="shared" si="125"/>
        <v>.</v>
      </c>
      <c r="D8044" s="44"/>
      <c r="E8044" s="22" t="str">
        <f>IF(D8044&lt;&gt;"",IFERROR(INDEX(Produtos!$C$4:$C$4996,MATCH(D8044,Produtos!$B$4:$B$4996,0)),"Produto não encontrado"),"")</f>
        <v/>
      </c>
    </row>
    <row r="8045" spans="1:5" x14ac:dyDescent="0.3">
      <c r="A8045" s="21" t="str">
        <f t="shared" si="125"/>
        <v>.</v>
      </c>
      <c r="D8045" s="44"/>
      <c r="E8045" s="22" t="str">
        <f>IF(D8045&lt;&gt;"",IFERROR(INDEX(Produtos!$C$4:$C$4996,MATCH(D8045,Produtos!$B$4:$B$4996,0)),"Produto não encontrado"),"")</f>
        <v/>
      </c>
    </row>
    <row r="8046" spans="1:5" x14ac:dyDescent="0.3">
      <c r="A8046" s="21" t="str">
        <f t="shared" si="125"/>
        <v>.</v>
      </c>
      <c r="D8046" s="44"/>
      <c r="E8046" s="22" t="str">
        <f>IF(D8046&lt;&gt;"",IFERROR(INDEX(Produtos!$C$4:$C$4996,MATCH(D8046,Produtos!$B$4:$B$4996,0)),"Produto não encontrado"),"")</f>
        <v/>
      </c>
    </row>
    <row r="8047" spans="1:5" x14ac:dyDescent="0.3">
      <c r="A8047" s="21" t="str">
        <f t="shared" si="125"/>
        <v>.</v>
      </c>
      <c r="D8047" s="44"/>
      <c r="E8047" s="22" t="str">
        <f>IF(D8047&lt;&gt;"",IFERROR(INDEX(Produtos!$C$4:$C$4996,MATCH(D8047,Produtos!$B$4:$B$4996,0)),"Produto não encontrado"),"")</f>
        <v/>
      </c>
    </row>
    <row r="8048" spans="1:5" x14ac:dyDescent="0.3">
      <c r="A8048" s="21" t="str">
        <f t="shared" si="125"/>
        <v>.</v>
      </c>
      <c r="D8048" s="44"/>
      <c r="E8048" s="22" t="str">
        <f>IF(D8048&lt;&gt;"",IFERROR(INDEX(Produtos!$C$4:$C$4996,MATCH(D8048,Produtos!$B$4:$B$4996,0)),"Produto não encontrado"),"")</f>
        <v/>
      </c>
    </row>
    <row r="8049" spans="1:5" x14ac:dyDescent="0.3">
      <c r="A8049" s="21" t="str">
        <f t="shared" si="125"/>
        <v>.</v>
      </c>
      <c r="D8049" s="44"/>
      <c r="E8049" s="22" t="str">
        <f>IF(D8049&lt;&gt;"",IFERROR(INDEX(Produtos!$C$4:$C$4996,MATCH(D8049,Produtos!$B$4:$B$4996,0)),"Produto não encontrado"),"")</f>
        <v/>
      </c>
    </row>
    <row r="8050" spans="1:5" x14ac:dyDescent="0.3">
      <c r="A8050" s="21" t="str">
        <f t="shared" si="125"/>
        <v>.</v>
      </c>
      <c r="D8050" s="44"/>
      <c r="E8050" s="22" t="str">
        <f>IF(D8050&lt;&gt;"",IFERROR(INDEX(Produtos!$C$4:$C$4996,MATCH(D8050,Produtos!$B$4:$B$4996,0)),"Produto não encontrado"),"")</f>
        <v/>
      </c>
    </row>
    <row r="8051" spans="1:5" x14ac:dyDescent="0.3">
      <c r="A8051" s="21" t="str">
        <f t="shared" si="125"/>
        <v>.</v>
      </c>
      <c r="D8051" s="44"/>
      <c r="E8051" s="22" t="str">
        <f>IF(D8051&lt;&gt;"",IFERROR(INDEX(Produtos!$C$4:$C$4996,MATCH(D8051,Produtos!$B$4:$B$4996,0)),"Produto não encontrado"),"")</f>
        <v/>
      </c>
    </row>
    <row r="8052" spans="1:5" x14ac:dyDescent="0.3">
      <c r="A8052" s="21" t="str">
        <f t="shared" si="125"/>
        <v>.</v>
      </c>
      <c r="D8052" s="44"/>
      <c r="E8052" s="22" t="str">
        <f>IF(D8052&lt;&gt;"",IFERROR(INDEX(Produtos!$C$4:$C$4996,MATCH(D8052,Produtos!$B$4:$B$4996,0)),"Produto não encontrado"),"")</f>
        <v/>
      </c>
    </row>
    <row r="8053" spans="1:5" x14ac:dyDescent="0.3">
      <c r="A8053" s="21" t="str">
        <f t="shared" si="125"/>
        <v>.</v>
      </c>
      <c r="D8053" s="44"/>
      <c r="E8053" s="22" t="str">
        <f>IF(D8053&lt;&gt;"",IFERROR(INDEX(Produtos!$C$4:$C$4996,MATCH(D8053,Produtos!$B$4:$B$4996,0)),"Produto não encontrado"),"")</f>
        <v/>
      </c>
    </row>
    <row r="8054" spans="1:5" x14ac:dyDescent="0.3">
      <c r="A8054" s="21" t="str">
        <f t="shared" si="125"/>
        <v>.</v>
      </c>
      <c r="D8054" s="44"/>
      <c r="E8054" s="22" t="str">
        <f>IF(D8054&lt;&gt;"",IFERROR(INDEX(Produtos!$C$4:$C$4996,MATCH(D8054,Produtos!$B$4:$B$4996,0)),"Produto não encontrado"),"")</f>
        <v/>
      </c>
    </row>
    <row r="8055" spans="1:5" x14ac:dyDescent="0.3">
      <c r="A8055" s="21" t="str">
        <f t="shared" si="125"/>
        <v>.</v>
      </c>
      <c r="D8055" s="44"/>
      <c r="E8055" s="22" t="str">
        <f>IF(D8055&lt;&gt;"",IFERROR(INDEX(Produtos!$C$4:$C$4996,MATCH(D8055,Produtos!$B$4:$B$4996,0)),"Produto não encontrado"),"")</f>
        <v/>
      </c>
    </row>
    <row r="8056" spans="1:5" x14ac:dyDescent="0.3">
      <c r="A8056" s="21" t="str">
        <f t="shared" si="125"/>
        <v>.</v>
      </c>
      <c r="D8056" s="44"/>
      <c r="E8056" s="22" t="str">
        <f>IF(D8056&lt;&gt;"",IFERROR(INDEX(Produtos!$C$4:$C$4996,MATCH(D8056,Produtos!$B$4:$B$4996,0)),"Produto não encontrado"),"")</f>
        <v/>
      </c>
    </row>
    <row r="8057" spans="1:5" x14ac:dyDescent="0.3">
      <c r="A8057" s="21" t="str">
        <f t="shared" si="125"/>
        <v>.</v>
      </c>
      <c r="D8057" s="44"/>
      <c r="E8057" s="22" t="str">
        <f>IF(D8057&lt;&gt;"",IFERROR(INDEX(Produtos!$C$4:$C$4996,MATCH(D8057,Produtos!$B$4:$B$4996,0)),"Produto não encontrado"),"")</f>
        <v/>
      </c>
    </row>
    <row r="8058" spans="1:5" x14ac:dyDescent="0.3">
      <c r="A8058" s="21" t="str">
        <f t="shared" si="125"/>
        <v>.</v>
      </c>
      <c r="D8058" s="44"/>
      <c r="E8058" s="22" t="str">
        <f>IF(D8058&lt;&gt;"",IFERROR(INDEX(Produtos!$C$4:$C$4996,MATCH(D8058,Produtos!$B$4:$B$4996,0)),"Produto não encontrado"),"")</f>
        <v/>
      </c>
    </row>
    <row r="8059" spans="1:5" x14ac:dyDescent="0.3">
      <c r="A8059" s="21" t="str">
        <f t="shared" si="125"/>
        <v>.</v>
      </c>
      <c r="D8059" s="44"/>
      <c r="E8059" s="22" t="str">
        <f>IF(D8059&lt;&gt;"",IFERROR(INDEX(Produtos!$C$4:$C$4996,MATCH(D8059,Produtos!$B$4:$B$4996,0)),"Produto não encontrado"),"")</f>
        <v/>
      </c>
    </row>
    <row r="8060" spans="1:5" x14ac:dyDescent="0.3">
      <c r="A8060" s="21" t="str">
        <f t="shared" si="125"/>
        <v>.</v>
      </c>
      <c r="D8060" s="44"/>
      <c r="E8060" s="22" t="str">
        <f>IF(D8060&lt;&gt;"",IFERROR(INDEX(Produtos!$C$4:$C$4996,MATCH(D8060,Produtos!$B$4:$B$4996,0)),"Produto não encontrado"),"")</f>
        <v/>
      </c>
    </row>
    <row r="8061" spans="1:5" x14ac:dyDescent="0.3">
      <c r="A8061" s="21" t="str">
        <f t="shared" si="125"/>
        <v>.</v>
      </c>
      <c r="D8061" s="44"/>
      <c r="E8061" s="22" t="str">
        <f>IF(D8061&lt;&gt;"",IFERROR(INDEX(Produtos!$C$4:$C$4996,MATCH(D8061,Produtos!$B$4:$B$4996,0)),"Produto não encontrado"),"")</f>
        <v/>
      </c>
    </row>
    <row r="8062" spans="1:5" x14ac:dyDescent="0.3">
      <c r="A8062" s="21" t="str">
        <f t="shared" si="125"/>
        <v>.</v>
      </c>
      <c r="D8062" s="44"/>
      <c r="E8062" s="22" t="str">
        <f>IF(D8062&lt;&gt;"",IFERROR(INDEX(Produtos!$C$4:$C$4996,MATCH(D8062,Produtos!$B$4:$B$4996,0)),"Produto não encontrado"),"")</f>
        <v/>
      </c>
    </row>
    <row r="8063" spans="1:5" x14ac:dyDescent="0.3">
      <c r="A8063" s="21" t="str">
        <f t="shared" si="125"/>
        <v>.</v>
      </c>
      <c r="D8063" s="44"/>
      <c r="E8063" s="22" t="str">
        <f>IF(D8063&lt;&gt;"",IFERROR(INDEX(Produtos!$C$4:$C$4996,MATCH(D8063,Produtos!$B$4:$B$4996,0)),"Produto não encontrado"),"")</f>
        <v/>
      </c>
    </row>
    <row r="8064" spans="1:5" x14ac:dyDescent="0.3">
      <c r="A8064" s="21" t="str">
        <f t="shared" ref="A8064:A8127" si="126">IF(C8064="Entrada",2,IF(C8064="Saída",1,"."))</f>
        <v>.</v>
      </c>
      <c r="D8064" s="44"/>
      <c r="E8064" s="22" t="str">
        <f>IF(D8064&lt;&gt;"",IFERROR(INDEX(Produtos!$C$4:$C$4996,MATCH(D8064,Produtos!$B$4:$B$4996,0)),"Produto não encontrado"),"")</f>
        <v/>
      </c>
    </row>
    <row r="8065" spans="1:5" x14ac:dyDescent="0.3">
      <c r="A8065" s="21" t="str">
        <f t="shared" si="126"/>
        <v>.</v>
      </c>
      <c r="D8065" s="44"/>
      <c r="E8065" s="22" t="str">
        <f>IF(D8065&lt;&gt;"",IFERROR(INDEX(Produtos!$C$4:$C$4996,MATCH(D8065,Produtos!$B$4:$B$4996,0)),"Produto não encontrado"),"")</f>
        <v/>
      </c>
    </row>
    <row r="8066" spans="1:5" x14ac:dyDescent="0.3">
      <c r="A8066" s="21" t="str">
        <f t="shared" si="126"/>
        <v>.</v>
      </c>
      <c r="D8066" s="44"/>
      <c r="E8066" s="22" t="str">
        <f>IF(D8066&lt;&gt;"",IFERROR(INDEX(Produtos!$C$4:$C$4996,MATCH(D8066,Produtos!$B$4:$B$4996,0)),"Produto não encontrado"),"")</f>
        <v/>
      </c>
    </row>
    <row r="8067" spans="1:5" x14ac:dyDescent="0.3">
      <c r="A8067" s="21" t="str">
        <f t="shared" si="126"/>
        <v>.</v>
      </c>
      <c r="D8067" s="44"/>
      <c r="E8067" s="22" t="str">
        <f>IF(D8067&lt;&gt;"",IFERROR(INDEX(Produtos!$C$4:$C$4996,MATCH(D8067,Produtos!$B$4:$B$4996,0)),"Produto não encontrado"),"")</f>
        <v/>
      </c>
    </row>
    <row r="8068" spans="1:5" x14ac:dyDescent="0.3">
      <c r="A8068" s="21" t="str">
        <f t="shared" si="126"/>
        <v>.</v>
      </c>
      <c r="D8068" s="44"/>
      <c r="E8068" s="22" t="str">
        <f>IF(D8068&lt;&gt;"",IFERROR(INDEX(Produtos!$C$4:$C$4996,MATCH(D8068,Produtos!$B$4:$B$4996,0)),"Produto não encontrado"),"")</f>
        <v/>
      </c>
    </row>
    <row r="8069" spans="1:5" x14ac:dyDescent="0.3">
      <c r="A8069" s="21" t="str">
        <f t="shared" si="126"/>
        <v>.</v>
      </c>
      <c r="D8069" s="44"/>
      <c r="E8069" s="22" t="str">
        <f>IF(D8069&lt;&gt;"",IFERROR(INDEX(Produtos!$C$4:$C$4996,MATCH(D8069,Produtos!$B$4:$B$4996,0)),"Produto não encontrado"),"")</f>
        <v/>
      </c>
    </row>
    <row r="8070" spans="1:5" x14ac:dyDescent="0.3">
      <c r="A8070" s="21" t="str">
        <f t="shared" si="126"/>
        <v>.</v>
      </c>
      <c r="D8070" s="44"/>
      <c r="E8070" s="22" t="str">
        <f>IF(D8070&lt;&gt;"",IFERROR(INDEX(Produtos!$C$4:$C$4996,MATCH(D8070,Produtos!$B$4:$B$4996,0)),"Produto não encontrado"),"")</f>
        <v/>
      </c>
    </row>
    <row r="8071" spans="1:5" x14ac:dyDescent="0.3">
      <c r="A8071" s="21" t="str">
        <f t="shared" si="126"/>
        <v>.</v>
      </c>
      <c r="D8071" s="44"/>
      <c r="E8071" s="22" t="str">
        <f>IF(D8071&lt;&gt;"",IFERROR(INDEX(Produtos!$C$4:$C$4996,MATCH(D8071,Produtos!$B$4:$B$4996,0)),"Produto não encontrado"),"")</f>
        <v/>
      </c>
    </row>
    <row r="8072" spans="1:5" x14ac:dyDescent="0.3">
      <c r="A8072" s="21" t="str">
        <f t="shared" si="126"/>
        <v>.</v>
      </c>
      <c r="D8072" s="44"/>
      <c r="E8072" s="22" t="str">
        <f>IF(D8072&lt;&gt;"",IFERROR(INDEX(Produtos!$C$4:$C$4996,MATCH(D8072,Produtos!$B$4:$B$4996,0)),"Produto não encontrado"),"")</f>
        <v/>
      </c>
    </row>
    <row r="8073" spans="1:5" x14ac:dyDescent="0.3">
      <c r="A8073" s="21" t="str">
        <f t="shared" si="126"/>
        <v>.</v>
      </c>
      <c r="D8073" s="44"/>
      <c r="E8073" s="22" t="str">
        <f>IF(D8073&lt;&gt;"",IFERROR(INDEX(Produtos!$C$4:$C$4996,MATCH(D8073,Produtos!$B$4:$B$4996,0)),"Produto não encontrado"),"")</f>
        <v/>
      </c>
    </row>
    <row r="8074" spans="1:5" x14ac:dyDescent="0.3">
      <c r="A8074" s="21" t="str">
        <f t="shared" si="126"/>
        <v>.</v>
      </c>
      <c r="D8074" s="44"/>
      <c r="E8074" s="22" t="str">
        <f>IF(D8074&lt;&gt;"",IFERROR(INDEX(Produtos!$C$4:$C$4996,MATCH(D8074,Produtos!$B$4:$B$4996,0)),"Produto não encontrado"),"")</f>
        <v/>
      </c>
    </row>
    <row r="8075" spans="1:5" x14ac:dyDescent="0.3">
      <c r="A8075" s="21" t="str">
        <f t="shared" si="126"/>
        <v>.</v>
      </c>
      <c r="D8075" s="44"/>
      <c r="E8075" s="22" t="str">
        <f>IF(D8075&lt;&gt;"",IFERROR(INDEX(Produtos!$C$4:$C$4996,MATCH(D8075,Produtos!$B$4:$B$4996,0)),"Produto não encontrado"),"")</f>
        <v/>
      </c>
    </row>
    <row r="8076" spans="1:5" x14ac:dyDescent="0.3">
      <c r="A8076" s="21" t="str">
        <f t="shared" si="126"/>
        <v>.</v>
      </c>
      <c r="D8076" s="44"/>
      <c r="E8076" s="22" t="str">
        <f>IF(D8076&lt;&gt;"",IFERROR(INDEX(Produtos!$C$4:$C$4996,MATCH(D8076,Produtos!$B$4:$B$4996,0)),"Produto não encontrado"),"")</f>
        <v/>
      </c>
    </row>
    <row r="8077" spans="1:5" x14ac:dyDescent="0.3">
      <c r="A8077" s="21" t="str">
        <f t="shared" si="126"/>
        <v>.</v>
      </c>
      <c r="D8077" s="44"/>
      <c r="E8077" s="22" t="str">
        <f>IF(D8077&lt;&gt;"",IFERROR(INDEX(Produtos!$C$4:$C$4996,MATCH(D8077,Produtos!$B$4:$B$4996,0)),"Produto não encontrado"),"")</f>
        <v/>
      </c>
    </row>
    <row r="8078" spans="1:5" x14ac:dyDescent="0.3">
      <c r="A8078" s="21" t="str">
        <f t="shared" si="126"/>
        <v>.</v>
      </c>
      <c r="D8078" s="44"/>
      <c r="E8078" s="22" t="str">
        <f>IF(D8078&lt;&gt;"",IFERROR(INDEX(Produtos!$C$4:$C$4996,MATCH(D8078,Produtos!$B$4:$B$4996,0)),"Produto não encontrado"),"")</f>
        <v/>
      </c>
    </row>
    <row r="8079" spans="1:5" x14ac:dyDescent="0.3">
      <c r="A8079" s="21" t="str">
        <f t="shared" si="126"/>
        <v>.</v>
      </c>
      <c r="D8079" s="44"/>
      <c r="E8079" s="22" t="str">
        <f>IF(D8079&lt;&gt;"",IFERROR(INDEX(Produtos!$C$4:$C$4996,MATCH(D8079,Produtos!$B$4:$B$4996,0)),"Produto não encontrado"),"")</f>
        <v/>
      </c>
    </row>
    <row r="8080" spans="1:5" x14ac:dyDescent="0.3">
      <c r="A8080" s="21" t="str">
        <f t="shared" si="126"/>
        <v>.</v>
      </c>
      <c r="D8080" s="44"/>
      <c r="E8080" s="22" t="str">
        <f>IF(D8080&lt;&gt;"",IFERROR(INDEX(Produtos!$C$4:$C$4996,MATCH(D8080,Produtos!$B$4:$B$4996,0)),"Produto não encontrado"),"")</f>
        <v/>
      </c>
    </row>
    <row r="8081" spans="1:5" x14ac:dyDescent="0.3">
      <c r="A8081" s="21" t="str">
        <f t="shared" si="126"/>
        <v>.</v>
      </c>
      <c r="D8081" s="44"/>
      <c r="E8081" s="22" t="str">
        <f>IF(D8081&lt;&gt;"",IFERROR(INDEX(Produtos!$C$4:$C$4996,MATCH(D8081,Produtos!$B$4:$B$4996,0)),"Produto não encontrado"),"")</f>
        <v/>
      </c>
    </row>
    <row r="8082" spans="1:5" x14ac:dyDescent="0.3">
      <c r="A8082" s="21" t="str">
        <f t="shared" si="126"/>
        <v>.</v>
      </c>
      <c r="D8082" s="44"/>
      <c r="E8082" s="22" t="str">
        <f>IF(D8082&lt;&gt;"",IFERROR(INDEX(Produtos!$C$4:$C$4996,MATCH(D8082,Produtos!$B$4:$B$4996,0)),"Produto não encontrado"),"")</f>
        <v/>
      </c>
    </row>
    <row r="8083" spans="1:5" x14ac:dyDescent="0.3">
      <c r="A8083" s="21" t="str">
        <f t="shared" si="126"/>
        <v>.</v>
      </c>
      <c r="D8083" s="44"/>
      <c r="E8083" s="22" t="str">
        <f>IF(D8083&lt;&gt;"",IFERROR(INDEX(Produtos!$C$4:$C$4996,MATCH(D8083,Produtos!$B$4:$B$4996,0)),"Produto não encontrado"),"")</f>
        <v/>
      </c>
    </row>
    <row r="8084" spans="1:5" x14ac:dyDescent="0.3">
      <c r="A8084" s="21" t="str">
        <f t="shared" si="126"/>
        <v>.</v>
      </c>
      <c r="D8084" s="44"/>
      <c r="E8084" s="22" t="str">
        <f>IF(D8084&lt;&gt;"",IFERROR(INDEX(Produtos!$C$4:$C$4996,MATCH(D8084,Produtos!$B$4:$B$4996,0)),"Produto não encontrado"),"")</f>
        <v/>
      </c>
    </row>
    <row r="8085" spans="1:5" x14ac:dyDescent="0.3">
      <c r="A8085" s="21" t="str">
        <f t="shared" si="126"/>
        <v>.</v>
      </c>
      <c r="D8085" s="44"/>
      <c r="E8085" s="22" t="str">
        <f>IF(D8085&lt;&gt;"",IFERROR(INDEX(Produtos!$C$4:$C$4996,MATCH(D8085,Produtos!$B$4:$B$4996,0)),"Produto não encontrado"),"")</f>
        <v/>
      </c>
    </row>
    <row r="8086" spans="1:5" x14ac:dyDescent="0.3">
      <c r="A8086" s="21" t="str">
        <f t="shared" si="126"/>
        <v>.</v>
      </c>
      <c r="D8086" s="44"/>
      <c r="E8086" s="22" t="str">
        <f>IF(D8086&lt;&gt;"",IFERROR(INDEX(Produtos!$C$4:$C$4996,MATCH(D8086,Produtos!$B$4:$B$4996,0)),"Produto não encontrado"),"")</f>
        <v/>
      </c>
    </row>
    <row r="8087" spans="1:5" x14ac:dyDescent="0.3">
      <c r="A8087" s="21" t="str">
        <f t="shared" si="126"/>
        <v>.</v>
      </c>
      <c r="D8087" s="44"/>
      <c r="E8087" s="22" t="str">
        <f>IF(D8087&lt;&gt;"",IFERROR(INDEX(Produtos!$C$4:$C$4996,MATCH(D8087,Produtos!$B$4:$B$4996,0)),"Produto não encontrado"),"")</f>
        <v/>
      </c>
    </row>
    <row r="8088" spans="1:5" x14ac:dyDescent="0.3">
      <c r="A8088" s="21" t="str">
        <f t="shared" si="126"/>
        <v>.</v>
      </c>
      <c r="D8088" s="44"/>
      <c r="E8088" s="22" t="str">
        <f>IF(D8088&lt;&gt;"",IFERROR(INDEX(Produtos!$C$4:$C$4996,MATCH(D8088,Produtos!$B$4:$B$4996,0)),"Produto não encontrado"),"")</f>
        <v/>
      </c>
    </row>
    <row r="8089" spans="1:5" x14ac:dyDescent="0.3">
      <c r="A8089" s="21" t="str">
        <f t="shared" si="126"/>
        <v>.</v>
      </c>
      <c r="D8089" s="44"/>
      <c r="E8089" s="22" t="str">
        <f>IF(D8089&lt;&gt;"",IFERROR(INDEX(Produtos!$C$4:$C$4996,MATCH(D8089,Produtos!$B$4:$B$4996,0)),"Produto não encontrado"),"")</f>
        <v/>
      </c>
    </row>
    <row r="8090" spans="1:5" x14ac:dyDescent="0.3">
      <c r="A8090" s="21" t="str">
        <f t="shared" si="126"/>
        <v>.</v>
      </c>
      <c r="D8090" s="44"/>
      <c r="E8090" s="22" t="str">
        <f>IF(D8090&lt;&gt;"",IFERROR(INDEX(Produtos!$C$4:$C$4996,MATCH(D8090,Produtos!$B$4:$B$4996,0)),"Produto não encontrado"),"")</f>
        <v/>
      </c>
    </row>
    <row r="8091" spans="1:5" x14ac:dyDescent="0.3">
      <c r="A8091" s="21" t="str">
        <f t="shared" si="126"/>
        <v>.</v>
      </c>
      <c r="D8091" s="44"/>
      <c r="E8091" s="22" t="str">
        <f>IF(D8091&lt;&gt;"",IFERROR(INDEX(Produtos!$C$4:$C$4996,MATCH(D8091,Produtos!$B$4:$B$4996,0)),"Produto não encontrado"),"")</f>
        <v/>
      </c>
    </row>
    <row r="8092" spans="1:5" x14ac:dyDescent="0.3">
      <c r="A8092" s="21" t="str">
        <f t="shared" si="126"/>
        <v>.</v>
      </c>
      <c r="D8092" s="44"/>
      <c r="E8092" s="22" t="str">
        <f>IF(D8092&lt;&gt;"",IFERROR(INDEX(Produtos!$C$4:$C$4996,MATCH(D8092,Produtos!$B$4:$B$4996,0)),"Produto não encontrado"),"")</f>
        <v/>
      </c>
    </row>
    <row r="8093" spans="1:5" x14ac:dyDescent="0.3">
      <c r="A8093" s="21" t="str">
        <f t="shared" si="126"/>
        <v>.</v>
      </c>
      <c r="D8093" s="44"/>
      <c r="E8093" s="22" t="str">
        <f>IF(D8093&lt;&gt;"",IFERROR(INDEX(Produtos!$C$4:$C$4996,MATCH(D8093,Produtos!$B$4:$B$4996,0)),"Produto não encontrado"),"")</f>
        <v/>
      </c>
    </row>
    <row r="8094" spans="1:5" x14ac:dyDescent="0.3">
      <c r="A8094" s="21" t="str">
        <f t="shared" si="126"/>
        <v>.</v>
      </c>
      <c r="D8094" s="44"/>
      <c r="E8094" s="22" t="str">
        <f>IF(D8094&lt;&gt;"",IFERROR(INDEX(Produtos!$C$4:$C$4996,MATCH(D8094,Produtos!$B$4:$B$4996,0)),"Produto não encontrado"),"")</f>
        <v/>
      </c>
    </row>
    <row r="8095" spans="1:5" x14ac:dyDescent="0.3">
      <c r="A8095" s="21" t="str">
        <f t="shared" si="126"/>
        <v>.</v>
      </c>
      <c r="D8095" s="44"/>
      <c r="E8095" s="22" t="str">
        <f>IF(D8095&lt;&gt;"",IFERROR(INDEX(Produtos!$C$4:$C$4996,MATCH(D8095,Produtos!$B$4:$B$4996,0)),"Produto não encontrado"),"")</f>
        <v/>
      </c>
    </row>
    <row r="8096" spans="1:5" x14ac:dyDescent="0.3">
      <c r="A8096" s="21" t="str">
        <f t="shared" si="126"/>
        <v>.</v>
      </c>
      <c r="D8096" s="44"/>
      <c r="E8096" s="22" t="str">
        <f>IF(D8096&lt;&gt;"",IFERROR(INDEX(Produtos!$C$4:$C$4996,MATCH(D8096,Produtos!$B$4:$B$4996,0)),"Produto não encontrado"),"")</f>
        <v/>
      </c>
    </row>
    <row r="8097" spans="1:5" x14ac:dyDescent="0.3">
      <c r="A8097" s="21" t="str">
        <f t="shared" si="126"/>
        <v>.</v>
      </c>
      <c r="D8097" s="44"/>
      <c r="E8097" s="22" t="str">
        <f>IF(D8097&lt;&gt;"",IFERROR(INDEX(Produtos!$C$4:$C$4996,MATCH(D8097,Produtos!$B$4:$B$4996,0)),"Produto não encontrado"),"")</f>
        <v/>
      </c>
    </row>
    <row r="8098" spans="1:5" x14ac:dyDescent="0.3">
      <c r="A8098" s="21" t="str">
        <f t="shared" si="126"/>
        <v>.</v>
      </c>
      <c r="D8098" s="44"/>
      <c r="E8098" s="22" t="str">
        <f>IF(D8098&lt;&gt;"",IFERROR(INDEX(Produtos!$C$4:$C$4996,MATCH(D8098,Produtos!$B$4:$B$4996,0)),"Produto não encontrado"),"")</f>
        <v/>
      </c>
    </row>
    <row r="8099" spans="1:5" x14ac:dyDescent="0.3">
      <c r="A8099" s="21" t="str">
        <f t="shared" si="126"/>
        <v>.</v>
      </c>
      <c r="D8099" s="44"/>
      <c r="E8099" s="22" t="str">
        <f>IF(D8099&lt;&gt;"",IFERROR(INDEX(Produtos!$C$4:$C$4996,MATCH(D8099,Produtos!$B$4:$B$4996,0)),"Produto não encontrado"),"")</f>
        <v/>
      </c>
    </row>
    <row r="8100" spans="1:5" x14ac:dyDescent="0.3">
      <c r="A8100" s="21" t="str">
        <f t="shared" si="126"/>
        <v>.</v>
      </c>
      <c r="D8100" s="44"/>
      <c r="E8100" s="22" t="str">
        <f>IF(D8100&lt;&gt;"",IFERROR(INDEX(Produtos!$C$4:$C$4996,MATCH(D8100,Produtos!$B$4:$B$4996,0)),"Produto não encontrado"),"")</f>
        <v/>
      </c>
    </row>
    <row r="8101" spans="1:5" x14ac:dyDescent="0.3">
      <c r="A8101" s="21" t="str">
        <f t="shared" si="126"/>
        <v>.</v>
      </c>
      <c r="D8101" s="44"/>
      <c r="E8101" s="22" t="str">
        <f>IF(D8101&lt;&gt;"",IFERROR(INDEX(Produtos!$C$4:$C$4996,MATCH(D8101,Produtos!$B$4:$B$4996,0)),"Produto não encontrado"),"")</f>
        <v/>
      </c>
    </row>
    <row r="8102" spans="1:5" x14ac:dyDescent="0.3">
      <c r="A8102" s="21" t="str">
        <f t="shared" si="126"/>
        <v>.</v>
      </c>
      <c r="D8102" s="44"/>
      <c r="E8102" s="22" t="str">
        <f>IF(D8102&lt;&gt;"",IFERROR(INDEX(Produtos!$C$4:$C$4996,MATCH(D8102,Produtos!$B$4:$B$4996,0)),"Produto não encontrado"),"")</f>
        <v/>
      </c>
    </row>
    <row r="8103" spans="1:5" x14ac:dyDescent="0.3">
      <c r="A8103" s="21" t="str">
        <f t="shared" si="126"/>
        <v>.</v>
      </c>
      <c r="D8103" s="44"/>
      <c r="E8103" s="22" t="str">
        <f>IF(D8103&lt;&gt;"",IFERROR(INDEX(Produtos!$C$4:$C$4996,MATCH(D8103,Produtos!$B$4:$B$4996,0)),"Produto não encontrado"),"")</f>
        <v/>
      </c>
    </row>
    <row r="8104" spans="1:5" x14ac:dyDescent="0.3">
      <c r="A8104" s="21" t="str">
        <f t="shared" si="126"/>
        <v>.</v>
      </c>
      <c r="D8104" s="44"/>
      <c r="E8104" s="22" t="str">
        <f>IF(D8104&lt;&gt;"",IFERROR(INDEX(Produtos!$C$4:$C$4996,MATCH(D8104,Produtos!$B$4:$B$4996,0)),"Produto não encontrado"),"")</f>
        <v/>
      </c>
    </row>
    <row r="8105" spans="1:5" x14ac:dyDescent="0.3">
      <c r="A8105" s="21" t="str">
        <f t="shared" si="126"/>
        <v>.</v>
      </c>
      <c r="D8105" s="44"/>
      <c r="E8105" s="22" t="str">
        <f>IF(D8105&lt;&gt;"",IFERROR(INDEX(Produtos!$C$4:$C$4996,MATCH(D8105,Produtos!$B$4:$B$4996,0)),"Produto não encontrado"),"")</f>
        <v/>
      </c>
    </row>
    <row r="8106" spans="1:5" x14ac:dyDescent="0.3">
      <c r="A8106" s="21" t="str">
        <f t="shared" si="126"/>
        <v>.</v>
      </c>
      <c r="D8106" s="44"/>
      <c r="E8106" s="22" t="str">
        <f>IF(D8106&lt;&gt;"",IFERROR(INDEX(Produtos!$C$4:$C$4996,MATCH(D8106,Produtos!$B$4:$B$4996,0)),"Produto não encontrado"),"")</f>
        <v/>
      </c>
    </row>
    <row r="8107" spans="1:5" x14ac:dyDescent="0.3">
      <c r="A8107" s="21" t="str">
        <f t="shared" si="126"/>
        <v>.</v>
      </c>
      <c r="D8107" s="44"/>
      <c r="E8107" s="22" t="str">
        <f>IF(D8107&lt;&gt;"",IFERROR(INDEX(Produtos!$C$4:$C$4996,MATCH(D8107,Produtos!$B$4:$B$4996,0)),"Produto não encontrado"),"")</f>
        <v/>
      </c>
    </row>
    <row r="8108" spans="1:5" x14ac:dyDescent="0.3">
      <c r="A8108" s="21" t="str">
        <f t="shared" si="126"/>
        <v>.</v>
      </c>
      <c r="D8108" s="44"/>
      <c r="E8108" s="22" t="str">
        <f>IF(D8108&lt;&gt;"",IFERROR(INDEX(Produtos!$C$4:$C$4996,MATCH(D8108,Produtos!$B$4:$B$4996,0)),"Produto não encontrado"),"")</f>
        <v/>
      </c>
    </row>
    <row r="8109" spans="1:5" x14ac:dyDescent="0.3">
      <c r="A8109" s="21" t="str">
        <f t="shared" si="126"/>
        <v>.</v>
      </c>
      <c r="D8109" s="44"/>
      <c r="E8109" s="22" t="str">
        <f>IF(D8109&lt;&gt;"",IFERROR(INDEX(Produtos!$C$4:$C$4996,MATCH(D8109,Produtos!$B$4:$B$4996,0)),"Produto não encontrado"),"")</f>
        <v/>
      </c>
    </row>
    <row r="8110" spans="1:5" x14ac:dyDescent="0.3">
      <c r="A8110" s="21" t="str">
        <f t="shared" si="126"/>
        <v>.</v>
      </c>
      <c r="D8110" s="44"/>
      <c r="E8110" s="22" t="str">
        <f>IF(D8110&lt;&gt;"",IFERROR(INDEX(Produtos!$C$4:$C$4996,MATCH(D8110,Produtos!$B$4:$B$4996,0)),"Produto não encontrado"),"")</f>
        <v/>
      </c>
    </row>
    <row r="8111" spans="1:5" x14ac:dyDescent="0.3">
      <c r="A8111" s="21" t="str">
        <f t="shared" si="126"/>
        <v>.</v>
      </c>
      <c r="D8111" s="44"/>
      <c r="E8111" s="22" t="str">
        <f>IF(D8111&lt;&gt;"",IFERROR(INDEX(Produtos!$C$4:$C$4996,MATCH(D8111,Produtos!$B$4:$B$4996,0)),"Produto não encontrado"),"")</f>
        <v/>
      </c>
    </row>
    <row r="8112" spans="1:5" x14ac:dyDescent="0.3">
      <c r="A8112" s="21" t="str">
        <f t="shared" si="126"/>
        <v>.</v>
      </c>
      <c r="D8112" s="44"/>
      <c r="E8112" s="22" t="str">
        <f>IF(D8112&lt;&gt;"",IFERROR(INDEX(Produtos!$C$4:$C$4996,MATCH(D8112,Produtos!$B$4:$B$4996,0)),"Produto não encontrado"),"")</f>
        <v/>
      </c>
    </row>
    <row r="8113" spans="1:5" x14ac:dyDescent="0.3">
      <c r="A8113" s="21" t="str">
        <f t="shared" si="126"/>
        <v>.</v>
      </c>
      <c r="D8113" s="44"/>
      <c r="E8113" s="22" t="str">
        <f>IF(D8113&lt;&gt;"",IFERROR(INDEX(Produtos!$C$4:$C$4996,MATCH(D8113,Produtos!$B$4:$B$4996,0)),"Produto não encontrado"),"")</f>
        <v/>
      </c>
    </row>
    <row r="8114" spans="1:5" x14ac:dyDescent="0.3">
      <c r="A8114" s="21" t="str">
        <f t="shared" si="126"/>
        <v>.</v>
      </c>
      <c r="D8114" s="44"/>
      <c r="E8114" s="22" t="str">
        <f>IF(D8114&lt;&gt;"",IFERROR(INDEX(Produtos!$C$4:$C$4996,MATCH(D8114,Produtos!$B$4:$B$4996,0)),"Produto não encontrado"),"")</f>
        <v/>
      </c>
    </row>
    <row r="8115" spans="1:5" x14ac:dyDescent="0.3">
      <c r="A8115" s="21" t="str">
        <f t="shared" si="126"/>
        <v>.</v>
      </c>
      <c r="D8115" s="44"/>
      <c r="E8115" s="22" t="str">
        <f>IF(D8115&lt;&gt;"",IFERROR(INDEX(Produtos!$C$4:$C$4996,MATCH(D8115,Produtos!$B$4:$B$4996,0)),"Produto não encontrado"),"")</f>
        <v/>
      </c>
    </row>
    <row r="8116" spans="1:5" x14ac:dyDescent="0.3">
      <c r="A8116" s="21" t="str">
        <f t="shared" si="126"/>
        <v>.</v>
      </c>
      <c r="D8116" s="44"/>
      <c r="E8116" s="22" t="str">
        <f>IF(D8116&lt;&gt;"",IFERROR(INDEX(Produtos!$C$4:$C$4996,MATCH(D8116,Produtos!$B$4:$B$4996,0)),"Produto não encontrado"),"")</f>
        <v/>
      </c>
    </row>
    <row r="8117" spans="1:5" x14ac:dyDescent="0.3">
      <c r="A8117" s="21" t="str">
        <f t="shared" si="126"/>
        <v>.</v>
      </c>
      <c r="D8117" s="44"/>
      <c r="E8117" s="22" t="str">
        <f>IF(D8117&lt;&gt;"",IFERROR(INDEX(Produtos!$C$4:$C$4996,MATCH(D8117,Produtos!$B$4:$B$4996,0)),"Produto não encontrado"),"")</f>
        <v/>
      </c>
    </row>
    <row r="8118" spans="1:5" x14ac:dyDescent="0.3">
      <c r="A8118" s="21" t="str">
        <f t="shared" si="126"/>
        <v>.</v>
      </c>
      <c r="D8118" s="44"/>
      <c r="E8118" s="22" t="str">
        <f>IF(D8118&lt;&gt;"",IFERROR(INDEX(Produtos!$C$4:$C$4996,MATCH(D8118,Produtos!$B$4:$B$4996,0)),"Produto não encontrado"),"")</f>
        <v/>
      </c>
    </row>
    <row r="8119" spans="1:5" x14ac:dyDescent="0.3">
      <c r="A8119" s="21" t="str">
        <f t="shared" si="126"/>
        <v>.</v>
      </c>
      <c r="D8119" s="44"/>
      <c r="E8119" s="22" t="str">
        <f>IF(D8119&lt;&gt;"",IFERROR(INDEX(Produtos!$C$4:$C$4996,MATCH(D8119,Produtos!$B$4:$B$4996,0)),"Produto não encontrado"),"")</f>
        <v/>
      </c>
    </row>
    <row r="8120" spans="1:5" x14ac:dyDescent="0.3">
      <c r="A8120" s="21" t="str">
        <f t="shared" si="126"/>
        <v>.</v>
      </c>
      <c r="D8120" s="44"/>
      <c r="E8120" s="22" t="str">
        <f>IF(D8120&lt;&gt;"",IFERROR(INDEX(Produtos!$C$4:$C$4996,MATCH(D8120,Produtos!$B$4:$B$4996,0)),"Produto não encontrado"),"")</f>
        <v/>
      </c>
    </row>
    <row r="8121" spans="1:5" x14ac:dyDescent="0.3">
      <c r="A8121" s="21" t="str">
        <f t="shared" si="126"/>
        <v>.</v>
      </c>
      <c r="D8121" s="44"/>
      <c r="E8121" s="22" t="str">
        <f>IF(D8121&lt;&gt;"",IFERROR(INDEX(Produtos!$C$4:$C$4996,MATCH(D8121,Produtos!$B$4:$B$4996,0)),"Produto não encontrado"),"")</f>
        <v/>
      </c>
    </row>
    <row r="8122" spans="1:5" x14ac:dyDescent="0.3">
      <c r="A8122" s="21" t="str">
        <f t="shared" si="126"/>
        <v>.</v>
      </c>
      <c r="D8122" s="44"/>
      <c r="E8122" s="22" t="str">
        <f>IF(D8122&lt;&gt;"",IFERROR(INDEX(Produtos!$C$4:$C$4996,MATCH(D8122,Produtos!$B$4:$B$4996,0)),"Produto não encontrado"),"")</f>
        <v/>
      </c>
    </row>
    <row r="8123" spans="1:5" x14ac:dyDescent="0.3">
      <c r="A8123" s="21" t="str">
        <f t="shared" si="126"/>
        <v>.</v>
      </c>
      <c r="D8123" s="44"/>
      <c r="E8123" s="22" t="str">
        <f>IF(D8123&lt;&gt;"",IFERROR(INDEX(Produtos!$C$4:$C$4996,MATCH(D8123,Produtos!$B$4:$B$4996,0)),"Produto não encontrado"),"")</f>
        <v/>
      </c>
    </row>
    <row r="8124" spans="1:5" x14ac:dyDescent="0.3">
      <c r="A8124" s="21" t="str">
        <f t="shared" si="126"/>
        <v>.</v>
      </c>
      <c r="D8124" s="44"/>
      <c r="E8124" s="22" t="str">
        <f>IF(D8124&lt;&gt;"",IFERROR(INDEX(Produtos!$C$4:$C$4996,MATCH(D8124,Produtos!$B$4:$B$4996,0)),"Produto não encontrado"),"")</f>
        <v/>
      </c>
    </row>
    <row r="8125" spans="1:5" x14ac:dyDescent="0.3">
      <c r="A8125" s="21" t="str">
        <f t="shared" si="126"/>
        <v>.</v>
      </c>
      <c r="D8125" s="44"/>
      <c r="E8125" s="22" t="str">
        <f>IF(D8125&lt;&gt;"",IFERROR(INDEX(Produtos!$C$4:$C$4996,MATCH(D8125,Produtos!$B$4:$B$4996,0)),"Produto não encontrado"),"")</f>
        <v/>
      </c>
    </row>
    <row r="8126" spans="1:5" x14ac:dyDescent="0.3">
      <c r="A8126" s="21" t="str">
        <f t="shared" si="126"/>
        <v>.</v>
      </c>
      <c r="D8126" s="44"/>
      <c r="E8126" s="22" t="str">
        <f>IF(D8126&lt;&gt;"",IFERROR(INDEX(Produtos!$C$4:$C$4996,MATCH(D8126,Produtos!$B$4:$B$4996,0)),"Produto não encontrado"),"")</f>
        <v/>
      </c>
    </row>
    <row r="8127" spans="1:5" x14ac:dyDescent="0.3">
      <c r="A8127" s="21" t="str">
        <f t="shared" si="126"/>
        <v>.</v>
      </c>
      <c r="D8127" s="44"/>
      <c r="E8127" s="22" t="str">
        <f>IF(D8127&lt;&gt;"",IFERROR(INDEX(Produtos!$C$4:$C$4996,MATCH(D8127,Produtos!$B$4:$B$4996,0)),"Produto não encontrado"),"")</f>
        <v/>
      </c>
    </row>
    <row r="8128" spans="1:5" x14ac:dyDescent="0.3">
      <c r="A8128" s="21" t="str">
        <f t="shared" ref="A8128:A8191" si="127">IF(C8128="Entrada",2,IF(C8128="Saída",1,"."))</f>
        <v>.</v>
      </c>
      <c r="D8128" s="44"/>
      <c r="E8128" s="22" t="str">
        <f>IF(D8128&lt;&gt;"",IFERROR(INDEX(Produtos!$C$4:$C$4996,MATCH(D8128,Produtos!$B$4:$B$4996,0)),"Produto não encontrado"),"")</f>
        <v/>
      </c>
    </row>
    <row r="8129" spans="1:5" x14ac:dyDescent="0.3">
      <c r="A8129" s="21" t="str">
        <f t="shared" si="127"/>
        <v>.</v>
      </c>
      <c r="D8129" s="44"/>
      <c r="E8129" s="22" t="str">
        <f>IF(D8129&lt;&gt;"",IFERROR(INDEX(Produtos!$C$4:$C$4996,MATCH(D8129,Produtos!$B$4:$B$4996,0)),"Produto não encontrado"),"")</f>
        <v/>
      </c>
    </row>
    <row r="8130" spans="1:5" x14ac:dyDescent="0.3">
      <c r="A8130" s="21" t="str">
        <f t="shared" si="127"/>
        <v>.</v>
      </c>
      <c r="D8130" s="44"/>
      <c r="E8130" s="22" t="str">
        <f>IF(D8130&lt;&gt;"",IFERROR(INDEX(Produtos!$C$4:$C$4996,MATCH(D8130,Produtos!$B$4:$B$4996,0)),"Produto não encontrado"),"")</f>
        <v/>
      </c>
    </row>
    <row r="8131" spans="1:5" x14ac:dyDescent="0.3">
      <c r="A8131" s="21" t="str">
        <f t="shared" si="127"/>
        <v>.</v>
      </c>
      <c r="D8131" s="44"/>
      <c r="E8131" s="22" t="str">
        <f>IF(D8131&lt;&gt;"",IFERROR(INDEX(Produtos!$C$4:$C$4996,MATCH(D8131,Produtos!$B$4:$B$4996,0)),"Produto não encontrado"),"")</f>
        <v/>
      </c>
    </row>
    <row r="8132" spans="1:5" x14ac:dyDescent="0.3">
      <c r="A8132" s="21" t="str">
        <f t="shared" si="127"/>
        <v>.</v>
      </c>
      <c r="D8132" s="44"/>
      <c r="E8132" s="22" t="str">
        <f>IF(D8132&lt;&gt;"",IFERROR(INDEX(Produtos!$C$4:$C$4996,MATCH(D8132,Produtos!$B$4:$B$4996,0)),"Produto não encontrado"),"")</f>
        <v/>
      </c>
    </row>
    <row r="8133" spans="1:5" x14ac:dyDescent="0.3">
      <c r="A8133" s="21" t="str">
        <f t="shared" si="127"/>
        <v>.</v>
      </c>
      <c r="D8133" s="44"/>
      <c r="E8133" s="22" t="str">
        <f>IF(D8133&lt;&gt;"",IFERROR(INDEX(Produtos!$C$4:$C$4996,MATCH(D8133,Produtos!$B$4:$B$4996,0)),"Produto não encontrado"),"")</f>
        <v/>
      </c>
    </row>
    <row r="8134" spans="1:5" x14ac:dyDescent="0.3">
      <c r="A8134" s="21" t="str">
        <f t="shared" si="127"/>
        <v>.</v>
      </c>
      <c r="D8134" s="44"/>
      <c r="E8134" s="22" t="str">
        <f>IF(D8134&lt;&gt;"",IFERROR(INDEX(Produtos!$C$4:$C$4996,MATCH(D8134,Produtos!$B$4:$B$4996,0)),"Produto não encontrado"),"")</f>
        <v/>
      </c>
    </row>
    <row r="8135" spans="1:5" x14ac:dyDescent="0.3">
      <c r="A8135" s="21" t="str">
        <f t="shared" si="127"/>
        <v>.</v>
      </c>
      <c r="D8135" s="44"/>
      <c r="E8135" s="22" t="str">
        <f>IF(D8135&lt;&gt;"",IFERROR(INDEX(Produtos!$C$4:$C$4996,MATCH(D8135,Produtos!$B$4:$B$4996,0)),"Produto não encontrado"),"")</f>
        <v/>
      </c>
    </row>
    <row r="8136" spans="1:5" x14ac:dyDescent="0.3">
      <c r="A8136" s="21" t="str">
        <f t="shared" si="127"/>
        <v>.</v>
      </c>
      <c r="D8136" s="44"/>
      <c r="E8136" s="22" t="str">
        <f>IF(D8136&lt;&gt;"",IFERROR(INDEX(Produtos!$C$4:$C$4996,MATCH(D8136,Produtos!$B$4:$B$4996,0)),"Produto não encontrado"),"")</f>
        <v/>
      </c>
    </row>
    <row r="8137" spans="1:5" x14ac:dyDescent="0.3">
      <c r="A8137" s="21" t="str">
        <f t="shared" si="127"/>
        <v>.</v>
      </c>
      <c r="D8137" s="44"/>
      <c r="E8137" s="22" t="str">
        <f>IF(D8137&lt;&gt;"",IFERROR(INDEX(Produtos!$C$4:$C$4996,MATCH(D8137,Produtos!$B$4:$B$4996,0)),"Produto não encontrado"),"")</f>
        <v/>
      </c>
    </row>
    <row r="8138" spans="1:5" x14ac:dyDescent="0.3">
      <c r="A8138" s="21" t="str">
        <f t="shared" si="127"/>
        <v>.</v>
      </c>
      <c r="D8138" s="44"/>
      <c r="E8138" s="22" t="str">
        <f>IF(D8138&lt;&gt;"",IFERROR(INDEX(Produtos!$C$4:$C$4996,MATCH(D8138,Produtos!$B$4:$B$4996,0)),"Produto não encontrado"),"")</f>
        <v/>
      </c>
    </row>
    <row r="8139" spans="1:5" x14ac:dyDescent="0.3">
      <c r="A8139" s="21" t="str">
        <f t="shared" si="127"/>
        <v>.</v>
      </c>
      <c r="D8139" s="44"/>
      <c r="E8139" s="22" t="str">
        <f>IF(D8139&lt;&gt;"",IFERROR(INDEX(Produtos!$C$4:$C$4996,MATCH(D8139,Produtos!$B$4:$B$4996,0)),"Produto não encontrado"),"")</f>
        <v/>
      </c>
    </row>
    <row r="8140" spans="1:5" x14ac:dyDescent="0.3">
      <c r="A8140" s="21" t="str">
        <f t="shared" si="127"/>
        <v>.</v>
      </c>
      <c r="D8140" s="44"/>
      <c r="E8140" s="22" t="str">
        <f>IF(D8140&lt;&gt;"",IFERROR(INDEX(Produtos!$C$4:$C$4996,MATCH(D8140,Produtos!$B$4:$B$4996,0)),"Produto não encontrado"),"")</f>
        <v/>
      </c>
    </row>
    <row r="8141" spans="1:5" x14ac:dyDescent="0.3">
      <c r="A8141" s="21" t="str">
        <f t="shared" si="127"/>
        <v>.</v>
      </c>
      <c r="D8141" s="44"/>
      <c r="E8141" s="22" t="str">
        <f>IF(D8141&lt;&gt;"",IFERROR(INDEX(Produtos!$C$4:$C$4996,MATCH(D8141,Produtos!$B$4:$B$4996,0)),"Produto não encontrado"),"")</f>
        <v/>
      </c>
    </row>
    <row r="8142" spans="1:5" x14ac:dyDescent="0.3">
      <c r="A8142" s="21" t="str">
        <f t="shared" si="127"/>
        <v>.</v>
      </c>
      <c r="D8142" s="44"/>
      <c r="E8142" s="22" t="str">
        <f>IF(D8142&lt;&gt;"",IFERROR(INDEX(Produtos!$C$4:$C$4996,MATCH(D8142,Produtos!$B$4:$B$4996,0)),"Produto não encontrado"),"")</f>
        <v/>
      </c>
    </row>
    <row r="8143" spans="1:5" x14ac:dyDescent="0.3">
      <c r="A8143" s="21" t="str">
        <f t="shared" si="127"/>
        <v>.</v>
      </c>
      <c r="D8143" s="44"/>
      <c r="E8143" s="22" t="str">
        <f>IF(D8143&lt;&gt;"",IFERROR(INDEX(Produtos!$C$4:$C$4996,MATCH(D8143,Produtos!$B$4:$B$4996,0)),"Produto não encontrado"),"")</f>
        <v/>
      </c>
    </row>
    <row r="8144" spans="1:5" x14ac:dyDescent="0.3">
      <c r="A8144" s="21" t="str">
        <f t="shared" si="127"/>
        <v>.</v>
      </c>
      <c r="D8144" s="44"/>
      <c r="E8144" s="22" t="str">
        <f>IF(D8144&lt;&gt;"",IFERROR(INDEX(Produtos!$C$4:$C$4996,MATCH(D8144,Produtos!$B$4:$B$4996,0)),"Produto não encontrado"),"")</f>
        <v/>
      </c>
    </row>
    <row r="8145" spans="1:5" x14ac:dyDescent="0.3">
      <c r="A8145" s="21" t="str">
        <f t="shared" si="127"/>
        <v>.</v>
      </c>
      <c r="D8145" s="44"/>
      <c r="E8145" s="22" t="str">
        <f>IF(D8145&lt;&gt;"",IFERROR(INDEX(Produtos!$C$4:$C$4996,MATCH(D8145,Produtos!$B$4:$B$4996,0)),"Produto não encontrado"),"")</f>
        <v/>
      </c>
    </row>
    <row r="8146" spans="1:5" x14ac:dyDescent="0.3">
      <c r="A8146" s="21" t="str">
        <f t="shared" si="127"/>
        <v>.</v>
      </c>
      <c r="D8146" s="44"/>
      <c r="E8146" s="22" t="str">
        <f>IF(D8146&lt;&gt;"",IFERROR(INDEX(Produtos!$C$4:$C$4996,MATCH(D8146,Produtos!$B$4:$B$4996,0)),"Produto não encontrado"),"")</f>
        <v/>
      </c>
    </row>
    <row r="8147" spans="1:5" x14ac:dyDescent="0.3">
      <c r="A8147" s="21" t="str">
        <f t="shared" si="127"/>
        <v>.</v>
      </c>
      <c r="D8147" s="44"/>
      <c r="E8147" s="22" t="str">
        <f>IF(D8147&lt;&gt;"",IFERROR(INDEX(Produtos!$C$4:$C$4996,MATCH(D8147,Produtos!$B$4:$B$4996,0)),"Produto não encontrado"),"")</f>
        <v/>
      </c>
    </row>
    <row r="8148" spans="1:5" x14ac:dyDescent="0.3">
      <c r="A8148" s="21" t="str">
        <f t="shared" si="127"/>
        <v>.</v>
      </c>
      <c r="D8148" s="44"/>
      <c r="E8148" s="22" t="str">
        <f>IF(D8148&lt;&gt;"",IFERROR(INDEX(Produtos!$C$4:$C$4996,MATCH(D8148,Produtos!$B$4:$B$4996,0)),"Produto não encontrado"),"")</f>
        <v/>
      </c>
    </row>
    <row r="8149" spans="1:5" x14ac:dyDescent="0.3">
      <c r="A8149" s="21" t="str">
        <f t="shared" si="127"/>
        <v>.</v>
      </c>
      <c r="D8149" s="44"/>
      <c r="E8149" s="22" t="str">
        <f>IF(D8149&lt;&gt;"",IFERROR(INDEX(Produtos!$C$4:$C$4996,MATCH(D8149,Produtos!$B$4:$B$4996,0)),"Produto não encontrado"),"")</f>
        <v/>
      </c>
    </row>
    <row r="8150" spans="1:5" x14ac:dyDescent="0.3">
      <c r="A8150" s="21" t="str">
        <f t="shared" si="127"/>
        <v>.</v>
      </c>
      <c r="D8150" s="44"/>
      <c r="E8150" s="22" t="str">
        <f>IF(D8150&lt;&gt;"",IFERROR(INDEX(Produtos!$C$4:$C$4996,MATCH(D8150,Produtos!$B$4:$B$4996,0)),"Produto não encontrado"),"")</f>
        <v/>
      </c>
    </row>
    <row r="8151" spans="1:5" x14ac:dyDescent="0.3">
      <c r="A8151" s="21" t="str">
        <f t="shared" si="127"/>
        <v>.</v>
      </c>
      <c r="D8151" s="44"/>
      <c r="E8151" s="22" t="str">
        <f>IF(D8151&lt;&gt;"",IFERROR(INDEX(Produtos!$C$4:$C$4996,MATCH(D8151,Produtos!$B$4:$B$4996,0)),"Produto não encontrado"),"")</f>
        <v/>
      </c>
    </row>
    <row r="8152" spans="1:5" x14ac:dyDescent="0.3">
      <c r="A8152" s="21" t="str">
        <f t="shared" si="127"/>
        <v>.</v>
      </c>
      <c r="D8152" s="44"/>
      <c r="E8152" s="22" t="str">
        <f>IF(D8152&lt;&gt;"",IFERROR(INDEX(Produtos!$C$4:$C$4996,MATCH(D8152,Produtos!$B$4:$B$4996,0)),"Produto não encontrado"),"")</f>
        <v/>
      </c>
    </row>
    <row r="8153" spans="1:5" x14ac:dyDescent="0.3">
      <c r="A8153" s="21" t="str">
        <f t="shared" si="127"/>
        <v>.</v>
      </c>
      <c r="D8153" s="44"/>
      <c r="E8153" s="22" t="str">
        <f>IF(D8153&lt;&gt;"",IFERROR(INDEX(Produtos!$C$4:$C$4996,MATCH(D8153,Produtos!$B$4:$B$4996,0)),"Produto não encontrado"),"")</f>
        <v/>
      </c>
    </row>
    <row r="8154" spans="1:5" x14ac:dyDescent="0.3">
      <c r="A8154" s="21" t="str">
        <f t="shared" si="127"/>
        <v>.</v>
      </c>
      <c r="D8154" s="44"/>
      <c r="E8154" s="22" t="str">
        <f>IF(D8154&lt;&gt;"",IFERROR(INDEX(Produtos!$C$4:$C$4996,MATCH(D8154,Produtos!$B$4:$B$4996,0)),"Produto não encontrado"),"")</f>
        <v/>
      </c>
    </row>
    <row r="8155" spans="1:5" x14ac:dyDescent="0.3">
      <c r="A8155" s="21" t="str">
        <f t="shared" si="127"/>
        <v>.</v>
      </c>
      <c r="D8155" s="44"/>
      <c r="E8155" s="22" t="str">
        <f>IF(D8155&lt;&gt;"",IFERROR(INDEX(Produtos!$C$4:$C$4996,MATCH(D8155,Produtos!$B$4:$B$4996,0)),"Produto não encontrado"),"")</f>
        <v/>
      </c>
    </row>
    <row r="8156" spans="1:5" x14ac:dyDescent="0.3">
      <c r="A8156" s="21" t="str">
        <f t="shared" si="127"/>
        <v>.</v>
      </c>
      <c r="D8156" s="44"/>
      <c r="E8156" s="22" t="str">
        <f>IF(D8156&lt;&gt;"",IFERROR(INDEX(Produtos!$C$4:$C$4996,MATCH(D8156,Produtos!$B$4:$B$4996,0)),"Produto não encontrado"),"")</f>
        <v/>
      </c>
    </row>
    <row r="8157" spans="1:5" x14ac:dyDescent="0.3">
      <c r="A8157" s="21" t="str">
        <f t="shared" si="127"/>
        <v>.</v>
      </c>
      <c r="D8157" s="44"/>
      <c r="E8157" s="22" t="str">
        <f>IF(D8157&lt;&gt;"",IFERROR(INDEX(Produtos!$C$4:$C$4996,MATCH(D8157,Produtos!$B$4:$B$4996,0)),"Produto não encontrado"),"")</f>
        <v/>
      </c>
    </row>
    <row r="8158" spans="1:5" x14ac:dyDescent="0.3">
      <c r="A8158" s="21" t="str">
        <f t="shared" si="127"/>
        <v>.</v>
      </c>
      <c r="D8158" s="44"/>
      <c r="E8158" s="22" t="str">
        <f>IF(D8158&lt;&gt;"",IFERROR(INDEX(Produtos!$C$4:$C$4996,MATCH(D8158,Produtos!$B$4:$B$4996,0)),"Produto não encontrado"),"")</f>
        <v/>
      </c>
    </row>
    <row r="8159" spans="1:5" x14ac:dyDescent="0.3">
      <c r="A8159" s="21" t="str">
        <f t="shared" si="127"/>
        <v>.</v>
      </c>
      <c r="D8159" s="44"/>
      <c r="E8159" s="22" t="str">
        <f>IF(D8159&lt;&gt;"",IFERROR(INDEX(Produtos!$C$4:$C$4996,MATCH(D8159,Produtos!$B$4:$B$4996,0)),"Produto não encontrado"),"")</f>
        <v/>
      </c>
    </row>
    <row r="8160" spans="1:5" x14ac:dyDescent="0.3">
      <c r="A8160" s="21" t="str">
        <f t="shared" si="127"/>
        <v>.</v>
      </c>
      <c r="D8160" s="44"/>
      <c r="E8160" s="22" t="str">
        <f>IF(D8160&lt;&gt;"",IFERROR(INDEX(Produtos!$C$4:$C$4996,MATCH(D8160,Produtos!$B$4:$B$4996,0)),"Produto não encontrado"),"")</f>
        <v/>
      </c>
    </row>
    <row r="8161" spans="1:5" x14ac:dyDescent="0.3">
      <c r="A8161" s="21" t="str">
        <f t="shared" si="127"/>
        <v>.</v>
      </c>
      <c r="D8161" s="44"/>
      <c r="E8161" s="22" t="str">
        <f>IF(D8161&lt;&gt;"",IFERROR(INDEX(Produtos!$C$4:$C$4996,MATCH(D8161,Produtos!$B$4:$B$4996,0)),"Produto não encontrado"),"")</f>
        <v/>
      </c>
    </row>
    <row r="8162" spans="1:5" x14ac:dyDescent="0.3">
      <c r="A8162" s="21" t="str">
        <f t="shared" si="127"/>
        <v>.</v>
      </c>
      <c r="D8162" s="44"/>
      <c r="E8162" s="22" t="str">
        <f>IF(D8162&lt;&gt;"",IFERROR(INDEX(Produtos!$C$4:$C$4996,MATCH(D8162,Produtos!$B$4:$B$4996,0)),"Produto não encontrado"),"")</f>
        <v/>
      </c>
    </row>
    <row r="8163" spans="1:5" x14ac:dyDescent="0.3">
      <c r="A8163" s="21" t="str">
        <f t="shared" si="127"/>
        <v>.</v>
      </c>
      <c r="D8163" s="44"/>
      <c r="E8163" s="22" t="str">
        <f>IF(D8163&lt;&gt;"",IFERROR(INDEX(Produtos!$C$4:$C$4996,MATCH(D8163,Produtos!$B$4:$B$4996,0)),"Produto não encontrado"),"")</f>
        <v/>
      </c>
    </row>
    <row r="8164" spans="1:5" x14ac:dyDescent="0.3">
      <c r="A8164" s="21" t="str">
        <f t="shared" si="127"/>
        <v>.</v>
      </c>
      <c r="D8164" s="44"/>
      <c r="E8164" s="22" t="str">
        <f>IF(D8164&lt;&gt;"",IFERROR(INDEX(Produtos!$C$4:$C$4996,MATCH(D8164,Produtos!$B$4:$B$4996,0)),"Produto não encontrado"),"")</f>
        <v/>
      </c>
    </row>
    <row r="8165" spans="1:5" x14ac:dyDescent="0.3">
      <c r="A8165" s="21" t="str">
        <f t="shared" si="127"/>
        <v>.</v>
      </c>
      <c r="D8165" s="44"/>
      <c r="E8165" s="22" t="str">
        <f>IF(D8165&lt;&gt;"",IFERROR(INDEX(Produtos!$C$4:$C$4996,MATCH(D8165,Produtos!$B$4:$B$4996,0)),"Produto não encontrado"),"")</f>
        <v/>
      </c>
    </row>
    <row r="8166" spans="1:5" x14ac:dyDescent="0.3">
      <c r="A8166" s="21" t="str">
        <f t="shared" si="127"/>
        <v>.</v>
      </c>
      <c r="D8166" s="44"/>
      <c r="E8166" s="22" t="str">
        <f>IF(D8166&lt;&gt;"",IFERROR(INDEX(Produtos!$C$4:$C$4996,MATCH(D8166,Produtos!$B$4:$B$4996,0)),"Produto não encontrado"),"")</f>
        <v/>
      </c>
    </row>
    <row r="8167" spans="1:5" x14ac:dyDescent="0.3">
      <c r="A8167" s="21" t="str">
        <f t="shared" si="127"/>
        <v>.</v>
      </c>
      <c r="D8167" s="44"/>
      <c r="E8167" s="22" t="str">
        <f>IF(D8167&lt;&gt;"",IFERROR(INDEX(Produtos!$C$4:$C$4996,MATCH(D8167,Produtos!$B$4:$B$4996,0)),"Produto não encontrado"),"")</f>
        <v/>
      </c>
    </row>
    <row r="8168" spans="1:5" x14ac:dyDescent="0.3">
      <c r="A8168" s="21" t="str">
        <f t="shared" si="127"/>
        <v>.</v>
      </c>
      <c r="D8168" s="44"/>
      <c r="E8168" s="22" t="str">
        <f>IF(D8168&lt;&gt;"",IFERROR(INDEX(Produtos!$C$4:$C$4996,MATCH(D8168,Produtos!$B$4:$B$4996,0)),"Produto não encontrado"),"")</f>
        <v/>
      </c>
    </row>
    <row r="8169" spans="1:5" x14ac:dyDescent="0.3">
      <c r="A8169" s="21" t="str">
        <f t="shared" si="127"/>
        <v>.</v>
      </c>
      <c r="D8169" s="44"/>
      <c r="E8169" s="22" t="str">
        <f>IF(D8169&lt;&gt;"",IFERROR(INDEX(Produtos!$C$4:$C$4996,MATCH(D8169,Produtos!$B$4:$B$4996,0)),"Produto não encontrado"),"")</f>
        <v/>
      </c>
    </row>
    <row r="8170" spans="1:5" x14ac:dyDescent="0.3">
      <c r="A8170" s="21" t="str">
        <f t="shared" si="127"/>
        <v>.</v>
      </c>
      <c r="D8170" s="44"/>
      <c r="E8170" s="22" t="str">
        <f>IF(D8170&lt;&gt;"",IFERROR(INDEX(Produtos!$C$4:$C$4996,MATCH(D8170,Produtos!$B$4:$B$4996,0)),"Produto não encontrado"),"")</f>
        <v/>
      </c>
    </row>
    <row r="8171" spans="1:5" x14ac:dyDescent="0.3">
      <c r="A8171" s="21" t="str">
        <f t="shared" si="127"/>
        <v>.</v>
      </c>
      <c r="D8171" s="44"/>
      <c r="E8171" s="22" t="str">
        <f>IF(D8171&lt;&gt;"",IFERROR(INDEX(Produtos!$C$4:$C$4996,MATCH(D8171,Produtos!$B$4:$B$4996,0)),"Produto não encontrado"),"")</f>
        <v/>
      </c>
    </row>
    <row r="8172" spans="1:5" x14ac:dyDescent="0.3">
      <c r="A8172" s="21" t="str">
        <f t="shared" si="127"/>
        <v>.</v>
      </c>
      <c r="D8172" s="44"/>
      <c r="E8172" s="22" t="str">
        <f>IF(D8172&lt;&gt;"",IFERROR(INDEX(Produtos!$C$4:$C$4996,MATCH(D8172,Produtos!$B$4:$B$4996,0)),"Produto não encontrado"),"")</f>
        <v/>
      </c>
    </row>
    <row r="8173" spans="1:5" x14ac:dyDescent="0.3">
      <c r="A8173" s="21" t="str">
        <f t="shared" si="127"/>
        <v>.</v>
      </c>
      <c r="D8173" s="44"/>
      <c r="E8173" s="22" t="str">
        <f>IF(D8173&lt;&gt;"",IFERROR(INDEX(Produtos!$C$4:$C$4996,MATCH(D8173,Produtos!$B$4:$B$4996,0)),"Produto não encontrado"),"")</f>
        <v/>
      </c>
    </row>
    <row r="8174" spans="1:5" x14ac:dyDescent="0.3">
      <c r="A8174" s="21" t="str">
        <f t="shared" si="127"/>
        <v>.</v>
      </c>
      <c r="D8174" s="44"/>
      <c r="E8174" s="22" t="str">
        <f>IF(D8174&lt;&gt;"",IFERROR(INDEX(Produtos!$C$4:$C$4996,MATCH(D8174,Produtos!$B$4:$B$4996,0)),"Produto não encontrado"),"")</f>
        <v/>
      </c>
    </row>
    <row r="8175" spans="1:5" x14ac:dyDescent="0.3">
      <c r="A8175" s="21" t="str">
        <f t="shared" si="127"/>
        <v>.</v>
      </c>
      <c r="D8175" s="44"/>
      <c r="E8175" s="22" t="str">
        <f>IF(D8175&lt;&gt;"",IFERROR(INDEX(Produtos!$C$4:$C$4996,MATCH(D8175,Produtos!$B$4:$B$4996,0)),"Produto não encontrado"),"")</f>
        <v/>
      </c>
    </row>
    <row r="8176" spans="1:5" x14ac:dyDescent="0.3">
      <c r="A8176" s="21" t="str">
        <f t="shared" si="127"/>
        <v>.</v>
      </c>
      <c r="D8176" s="44"/>
      <c r="E8176" s="22" t="str">
        <f>IF(D8176&lt;&gt;"",IFERROR(INDEX(Produtos!$C$4:$C$4996,MATCH(D8176,Produtos!$B$4:$B$4996,0)),"Produto não encontrado"),"")</f>
        <v/>
      </c>
    </row>
    <row r="8177" spans="1:5" x14ac:dyDescent="0.3">
      <c r="A8177" s="21" t="str">
        <f t="shared" si="127"/>
        <v>.</v>
      </c>
      <c r="D8177" s="44"/>
      <c r="E8177" s="22" t="str">
        <f>IF(D8177&lt;&gt;"",IFERROR(INDEX(Produtos!$C$4:$C$4996,MATCH(D8177,Produtos!$B$4:$B$4996,0)),"Produto não encontrado"),"")</f>
        <v/>
      </c>
    </row>
    <row r="8178" spans="1:5" x14ac:dyDescent="0.3">
      <c r="A8178" s="21" t="str">
        <f t="shared" si="127"/>
        <v>.</v>
      </c>
      <c r="D8178" s="44"/>
      <c r="E8178" s="22" t="str">
        <f>IF(D8178&lt;&gt;"",IFERROR(INDEX(Produtos!$C$4:$C$4996,MATCH(D8178,Produtos!$B$4:$B$4996,0)),"Produto não encontrado"),"")</f>
        <v/>
      </c>
    </row>
    <row r="8179" spans="1:5" x14ac:dyDescent="0.3">
      <c r="A8179" s="21" t="str">
        <f t="shared" si="127"/>
        <v>.</v>
      </c>
      <c r="D8179" s="44"/>
      <c r="E8179" s="22" t="str">
        <f>IF(D8179&lt;&gt;"",IFERROR(INDEX(Produtos!$C$4:$C$4996,MATCH(D8179,Produtos!$B$4:$B$4996,0)),"Produto não encontrado"),"")</f>
        <v/>
      </c>
    </row>
    <row r="8180" spans="1:5" x14ac:dyDescent="0.3">
      <c r="A8180" s="21" t="str">
        <f t="shared" si="127"/>
        <v>.</v>
      </c>
      <c r="D8180" s="44"/>
      <c r="E8180" s="22" t="str">
        <f>IF(D8180&lt;&gt;"",IFERROR(INDEX(Produtos!$C$4:$C$4996,MATCH(D8180,Produtos!$B$4:$B$4996,0)),"Produto não encontrado"),"")</f>
        <v/>
      </c>
    </row>
    <row r="8181" spans="1:5" x14ac:dyDescent="0.3">
      <c r="A8181" s="21" t="str">
        <f t="shared" si="127"/>
        <v>.</v>
      </c>
      <c r="D8181" s="44"/>
      <c r="E8181" s="22" t="str">
        <f>IF(D8181&lt;&gt;"",IFERROR(INDEX(Produtos!$C$4:$C$4996,MATCH(D8181,Produtos!$B$4:$B$4996,0)),"Produto não encontrado"),"")</f>
        <v/>
      </c>
    </row>
    <row r="8182" spans="1:5" x14ac:dyDescent="0.3">
      <c r="A8182" s="21" t="str">
        <f t="shared" si="127"/>
        <v>.</v>
      </c>
      <c r="D8182" s="44"/>
      <c r="E8182" s="22" t="str">
        <f>IF(D8182&lt;&gt;"",IFERROR(INDEX(Produtos!$C$4:$C$4996,MATCH(D8182,Produtos!$B$4:$B$4996,0)),"Produto não encontrado"),"")</f>
        <v/>
      </c>
    </row>
    <row r="8183" spans="1:5" x14ac:dyDescent="0.3">
      <c r="A8183" s="21" t="str">
        <f t="shared" si="127"/>
        <v>.</v>
      </c>
      <c r="D8183" s="44"/>
      <c r="E8183" s="22" t="str">
        <f>IF(D8183&lt;&gt;"",IFERROR(INDEX(Produtos!$C$4:$C$4996,MATCH(D8183,Produtos!$B$4:$B$4996,0)),"Produto não encontrado"),"")</f>
        <v/>
      </c>
    </row>
    <row r="8184" spans="1:5" x14ac:dyDescent="0.3">
      <c r="A8184" s="21" t="str">
        <f t="shared" si="127"/>
        <v>.</v>
      </c>
      <c r="D8184" s="44"/>
      <c r="E8184" s="22" t="str">
        <f>IF(D8184&lt;&gt;"",IFERROR(INDEX(Produtos!$C$4:$C$4996,MATCH(D8184,Produtos!$B$4:$B$4996,0)),"Produto não encontrado"),"")</f>
        <v/>
      </c>
    </row>
    <row r="8185" spans="1:5" x14ac:dyDescent="0.3">
      <c r="A8185" s="21" t="str">
        <f t="shared" si="127"/>
        <v>.</v>
      </c>
      <c r="D8185" s="44"/>
      <c r="E8185" s="22" t="str">
        <f>IF(D8185&lt;&gt;"",IFERROR(INDEX(Produtos!$C$4:$C$4996,MATCH(D8185,Produtos!$B$4:$B$4996,0)),"Produto não encontrado"),"")</f>
        <v/>
      </c>
    </row>
    <row r="8186" spans="1:5" x14ac:dyDescent="0.3">
      <c r="A8186" s="21" t="str">
        <f t="shared" si="127"/>
        <v>.</v>
      </c>
      <c r="D8186" s="44"/>
      <c r="E8186" s="22" t="str">
        <f>IF(D8186&lt;&gt;"",IFERROR(INDEX(Produtos!$C$4:$C$4996,MATCH(D8186,Produtos!$B$4:$B$4996,0)),"Produto não encontrado"),"")</f>
        <v/>
      </c>
    </row>
    <row r="8187" spans="1:5" x14ac:dyDescent="0.3">
      <c r="A8187" s="21" t="str">
        <f t="shared" si="127"/>
        <v>.</v>
      </c>
      <c r="D8187" s="44"/>
      <c r="E8187" s="22" t="str">
        <f>IF(D8187&lt;&gt;"",IFERROR(INDEX(Produtos!$C$4:$C$4996,MATCH(D8187,Produtos!$B$4:$B$4996,0)),"Produto não encontrado"),"")</f>
        <v/>
      </c>
    </row>
    <row r="8188" spans="1:5" x14ac:dyDescent="0.3">
      <c r="A8188" s="21" t="str">
        <f t="shared" si="127"/>
        <v>.</v>
      </c>
      <c r="D8188" s="44"/>
      <c r="E8188" s="22" t="str">
        <f>IF(D8188&lt;&gt;"",IFERROR(INDEX(Produtos!$C$4:$C$4996,MATCH(D8188,Produtos!$B$4:$B$4996,0)),"Produto não encontrado"),"")</f>
        <v/>
      </c>
    </row>
    <row r="8189" spans="1:5" x14ac:dyDescent="0.3">
      <c r="A8189" s="21" t="str">
        <f t="shared" si="127"/>
        <v>.</v>
      </c>
      <c r="D8189" s="44"/>
      <c r="E8189" s="22" t="str">
        <f>IF(D8189&lt;&gt;"",IFERROR(INDEX(Produtos!$C$4:$C$4996,MATCH(D8189,Produtos!$B$4:$B$4996,0)),"Produto não encontrado"),"")</f>
        <v/>
      </c>
    </row>
    <row r="8190" spans="1:5" x14ac:dyDescent="0.3">
      <c r="A8190" s="21" t="str">
        <f t="shared" si="127"/>
        <v>.</v>
      </c>
      <c r="D8190" s="44"/>
      <c r="E8190" s="22" t="str">
        <f>IF(D8190&lt;&gt;"",IFERROR(INDEX(Produtos!$C$4:$C$4996,MATCH(D8190,Produtos!$B$4:$B$4996,0)),"Produto não encontrado"),"")</f>
        <v/>
      </c>
    </row>
    <row r="8191" spans="1:5" x14ac:dyDescent="0.3">
      <c r="A8191" s="21" t="str">
        <f t="shared" si="127"/>
        <v>.</v>
      </c>
      <c r="D8191" s="44"/>
      <c r="E8191" s="22" t="str">
        <f>IF(D8191&lt;&gt;"",IFERROR(INDEX(Produtos!$C$4:$C$4996,MATCH(D8191,Produtos!$B$4:$B$4996,0)),"Produto não encontrado"),"")</f>
        <v/>
      </c>
    </row>
    <row r="8192" spans="1:5" x14ac:dyDescent="0.3">
      <c r="A8192" s="21" t="str">
        <f t="shared" ref="A8192:A8255" si="128">IF(C8192="Entrada",2,IF(C8192="Saída",1,"."))</f>
        <v>.</v>
      </c>
      <c r="D8192" s="44"/>
      <c r="E8192" s="22" t="str">
        <f>IF(D8192&lt;&gt;"",IFERROR(INDEX(Produtos!$C$4:$C$4996,MATCH(D8192,Produtos!$B$4:$B$4996,0)),"Produto não encontrado"),"")</f>
        <v/>
      </c>
    </row>
    <row r="8193" spans="1:5" x14ac:dyDescent="0.3">
      <c r="A8193" s="21" t="str">
        <f t="shared" si="128"/>
        <v>.</v>
      </c>
      <c r="D8193" s="44"/>
      <c r="E8193" s="22" t="str">
        <f>IF(D8193&lt;&gt;"",IFERROR(INDEX(Produtos!$C$4:$C$4996,MATCH(D8193,Produtos!$B$4:$B$4996,0)),"Produto não encontrado"),"")</f>
        <v/>
      </c>
    </row>
    <row r="8194" spans="1:5" x14ac:dyDescent="0.3">
      <c r="A8194" s="21" t="str">
        <f t="shared" si="128"/>
        <v>.</v>
      </c>
      <c r="D8194" s="44"/>
      <c r="E8194" s="22" t="str">
        <f>IF(D8194&lt;&gt;"",IFERROR(INDEX(Produtos!$C$4:$C$4996,MATCH(D8194,Produtos!$B$4:$B$4996,0)),"Produto não encontrado"),"")</f>
        <v/>
      </c>
    </row>
    <row r="8195" spans="1:5" x14ac:dyDescent="0.3">
      <c r="A8195" s="21" t="str">
        <f t="shared" si="128"/>
        <v>.</v>
      </c>
      <c r="D8195" s="44"/>
      <c r="E8195" s="22" t="str">
        <f>IF(D8195&lt;&gt;"",IFERROR(INDEX(Produtos!$C$4:$C$4996,MATCH(D8195,Produtos!$B$4:$B$4996,0)),"Produto não encontrado"),"")</f>
        <v/>
      </c>
    </row>
    <row r="8196" spans="1:5" x14ac:dyDescent="0.3">
      <c r="A8196" s="21" t="str">
        <f t="shared" si="128"/>
        <v>.</v>
      </c>
      <c r="D8196" s="44"/>
      <c r="E8196" s="22" t="str">
        <f>IF(D8196&lt;&gt;"",IFERROR(INDEX(Produtos!$C$4:$C$4996,MATCH(D8196,Produtos!$B$4:$B$4996,0)),"Produto não encontrado"),"")</f>
        <v/>
      </c>
    </row>
    <row r="8197" spans="1:5" x14ac:dyDescent="0.3">
      <c r="A8197" s="21" t="str">
        <f t="shared" si="128"/>
        <v>.</v>
      </c>
      <c r="D8197" s="44"/>
      <c r="E8197" s="22" t="str">
        <f>IF(D8197&lt;&gt;"",IFERROR(INDEX(Produtos!$C$4:$C$4996,MATCH(D8197,Produtos!$B$4:$B$4996,0)),"Produto não encontrado"),"")</f>
        <v/>
      </c>
    </row>
    <row r="8198" spans="1:5" x14ac:dyDescent="0.3">
      <c r="A8198" s="21" t="str">
        <f t="shared" si="128"/>
        <v>.</v>
      </c>
      <c r="D8198" s="44"/>
      <c r="E8198" s="22" t="str">
        <f>IF(D8198&lt;&gt;"",IFERROR(INDEX(Produtos!$C$4:$C$4996,MATCH(D8198,Produtos!$B$4:$B$4996,0)),"Produto não encontrado"),"")</f>
        <v/>
      </c>
    </row>
    <row r="8199" spans="1:5" x14ac:dyDescent="0.3">
      <c r="A8199" s="21" t="str">
        <f t="shared" si="128"/>
        <v>.</v>
      </c>
      <c r="D8199" s="44"/>
      <c r="E8199" s="22" t="str">
        <f>IF(D8199&lt;&gt;"",IFERROR(INDEX(Produtos!$C$4:$C$4996,MATCH(D8199,Produtos!$B$4:$B$4996,0)),"Produto não encontrado"),"")</f>
        <v/>
      </c>
    </row>
    <row r="8200" spans="1:5" x14ac:dyDescent="0.3">
      <c r="A8200" s="21" t="str">
        <f t="shared" si="128"/>
        <v>.</v>
      </c>
      <c r="D8200" s="44"/>
      <c r="E8200" s="22" t="str">
        <f>IF(D8200&lt;&gt;"",IFERROR(INDEX(Produtos!$C$4:$C$4996,MATCH(D8200,Produtos!$B$4:$B$4996,0)),"Produto não encontrado"),"")</f>
        <v/>
      </c>
    </row>
    <row r="8201" spans="1:5" x14ac:dyDescent="0.3">
      <c r="A8201" s="21" t="str">
        <f t="shared" si="128"/>
        <v>.</v>
      </c>
      <c r="D8201" s="44"/>
      <c r="E8201" s="22" t="str">
        <f>IF(D8201&lt;&gt;"",IFERROR(INDEX(Produtos!$C$4:$C$4996,MATCH(D8201,Produtos!$B$4:$B$4996,0)),"Produto não encontrado"),"")</f>
        <v/>
      </c>
    </row>
    <row r="8202" spans="1:5" x14ac:dyDescent="0.3">
      <c r="A8202" s="21" t="str">
        <f t="shared" si="128"/>
        <v>.</v>
      </c>
      <c r="D8202" s="44"/>
      <c r="E8202" s="22" t="str">
        <f>IF(D8202&lt;&gt;"",IFERROR(INDEX(Produtos!$C$4:$C$4996,MATCH(D8202,Produtos!$B$4:$B$4996,0)),"Produto não encontrado"),"")</f>
        <v/>
      </c>
    </row>
    <row r="8203" spans="1:5" x14ac:dyDescent="0.3">
      <c r="A8203" s="21" t="str">
        <f t="shared" si="128"/>
        <v>.</v>
      </c>
      <c r="D8203" s="44"/>
      <c r="E8203" s="22" t="str">
        <f>IF(D8203&lt;&gt;"",IFERROR(INDEX(Produtos!$C$4:$C$4996,MATCH(D8203,Produtos!$B$4:$B$4996,0)),"Produto não encontrado"),"")</f>
        <v/>
      </c>
    </row>
    <row r="8204" spans="1:5" x14ac:dyDescent="0.3">
      <c r="A8204" s="21" t="str">
        <f t="shared" si="128"/>
        <v>.</v>
      </c>
      <c r="D8204" s="44"/>
      <c r="E8204" s="22" t="str">
        <f>IF(D8204&lt;&gt;"",IFERROR(INDEX(Produtos!$C$4:$C$4996,MATCH(D8204,Produtos!$B$4:$B$4996,0)),"Produto não encontrado"),"")</f>
        <v/>
      </c>
    </row>
    <row r="8205" spans="1:5" x14ac:dyDescent="0.3">
      <c r="A8205" s="21" t="str">
        <f t="shared" si="128"/>
        <v>.</v>
      </c>
      <c r="D8205" s="44"/>
      <c r="E8205" s="22" t="str">
        <f>IF(D8205&lt;&gt;"",IFERROR(INDEX(Produtos!$C$4:$C$4996,MATCH(D8205,Produtos!$B$4:$B$4996,0)),"Produto não encontrado"),"")</f>
        <v/>
      </c>
    </row>
    <row r="8206" spans="1:5" x14ac:dyDescent="0.3">
      <c r="A8206" s="21" t="str">
        <f t="shared" si="128"/>
        <v>.</v>
      </c>
      <c r="D8206" s="44"/>
      <c r="E8206" s="22" t="str">
        <f>IF(D8206&lt;&gt;"",IFERROR(INDEX(Produtos!$C$4:$C$4996,MATCH(D8206,Produtos!$B$4:$B$4996,0)),"Produto não encontrado"),"")</f>
        <v/>
      </c>
    </row>
    <row r="8207" spans="1:5" x14ac:dyDescent="0.3">
      <c r="A8207" s="21" t="str">
        <f t="shared" si="128"/>
        <v>.</v>
      </c>
      <c r="D8207" s="44"/>
      <c r="E8207" s="22" t="str">
        <f>IF(D8207&lt;&gt;"",IFERROR(INDEX(Produtos!$C$4:$C$4996,MATCH(D8207,Produtos!$B$4:$B$4996,0)),"Produto não encontrado"),"")</f>
        <v/>
      </c>
    </row>
    <row r="8208" spans="1:5" x14ac:dyDescent="0.3">
      <c r="A8208" s="21" t="str">
        <f t="shared" si="128"/>
        <v>.</v>
      </c>
      <c r="D8208" s="44"/>
      <c r="E8208" s="22" t="str">
        <f>IF(D8208&lt;&gt;"",IFERROR(INDEX(Produtos!$C$4:$C$4996,MATCH(D8208,Produtos!$B$4:$B$4996,0)),"Produto não encontrado"),"")</f>
        <v/>
      </c>
    </row>
    <row r="8209" spans="1:5" x14ac:dyDescent="0.3">
      <c r="A8209" s="21" t="str">
        <f t="shared" si="128"/>
        <v>.</v>
      </c>
      <c r="D8209" s="44"/>
      <c r="E8209" s="22" t="str">
        <f>IF(D8209&lt;&gt;"",IFERROR(INDEX(Produtos!$C$4:$C$4996,MATCH(D8209,Produtos!$B$4:$B$4996,0)),"Produto não encontrado"),"")</f>
        <v/>
      </c>
    </row>
    <row r="8210" spans="1:5" x14ac:dyDescent="0.3">
      <c r="A8210" s="21" t="str">
        <f t="shared" si="128"/>
        <v>.</v>
      </c>
      <c r="D8210" s="44"/>
      <c r="E8210" s="22" t="str">
        <f>IF(D8210&lt;&gt;"",IFERROR(INDEX(Produtos!$C$4:$C$4996,MATCH(D8210,Produtos!$B$4:$B$4996,0)),"Produto não encontrado"),"")</f>
        <v/>
      </c>
    </row>
    <row r="8211" spans="1:5" x14ac:dyDescent="0.3">
      <c r="A8211" s="21" t="str">
        <f t="shared" si="128"/>
        <v>.</v>
      </c>
      <c r="D8211" s="44"/>
      <c r="E8211" s="22" t="str">
        <f>IF(D8211&lt;&gt;"",IFERROR(INDEX(Produtos!$C$4:$C$4996,MATCH(D8211,Produtos!$B$4:$B$4996,0)),"Produto não encontrado"),"")</f>
        <v/>
      </c>
    </row>
    <row r="8212" spans="1:5" x14ac:dyDescent="0.3">
      <c r="A8212" s="21" t="str">
        <f t="shared" si="128"/>
        <v>.</v>
      </c>
      <c r="D8212" s="44"/>
      <c r="E8212" s="22" t="str">
        <f>IF(D8212&lt;&gt;"",IFERROR(INDEX(Produtos!$C$4:$C$4996,MATCH(D8212,Produtos!$B$4:$B$4996,0)),"Produto não encontrado"),"")</f>
        <v/>
      </c>
    </row>
    <row r="8213" spans="1:5" x14ac:dyDescent="0.3">
      <c r="A8213" s="21" t="str">
        <f t="shared" si="128"/>
        <v>.</v>
      </c>
      <c r="D8213" s="44"/>
      <c r="E8213" s="22" t="str">
        <f>IF(D8213&lt;&gt;"",IFERROR(INDEX(Produtos!$C$4:$C$4996,MATCH(D8213,Produtos!$B$4:$B$4996,0)),"Produto não encontrado"),"")</f>
        <v/>
      </c>
    </row>
    <row r="8214" spans="1:5" x14ac:dyDescent="0.3">
      <c r="A8214" s="21" t="str">
        <f t="shared" si="128"/>
        <v>.</v>
      </c>
      <c r="D8214" s="44"/>
      <c r="E8214" s="22" t="str">
        <f>IF(D8214&lt;&gt;"",IFERROR(INDEX(Produtos!$C$4:$C$4996,MATCH(D8214,Produtos!$B$4:$B$4996,0)),"Produto não encontrado"),"")</f>
        <v/>
      </c>
    </row>
    <row r="8215" spans="1:5" x14ac:dyDescent="0.3">
      <c r="A8215" s="21" t="str">
        <f t="shared" si="128"/>
        <v>.</v>
      </c>
      <c r="D8215" s="44"/>
      <c r="E8215" s="22" t="str">
        <f>IF(D8215&lt;&gt;"",IFERROR(INDEX(Produtos!$C$4:$C$4996,MATCH(D8215,Produtos!$B$4:$B$4996,0)),"Produto não encontrado"),"")</f>
        <v/>
      </c>
    </row>
    <row r="8216" spans="1:5" x14ac:dyDescent="0.3">
      <c r="A8216" s="21" t="str">
        <f t="shared" si="128"/>
        <v>.</v>
      </c>
      <c r="D8216" s="44"/>
      <c r="E8216" s="22" t="str">
        <f>IF(D8216&lt;&gt;"",IFERROR(INDEX(Produtos!$C$4:$C$4996,MATCH(D8216,Produtos!$B$4:$B$4996,0)),"Produto não encontrado"),"")</f>
        <v/>
      </c>
    </row>
    <row r="8217" spans="1:5" x14ac:dyDescent="0.3">
      <c r="A8217" s="21" t="str">
        <f t="shared" si="128"/>
        <v>.</v>
      </c>
      <c r="D8217" s="44"/>
      <c r="E8217" s="22" t="str">
        <f>IF(D8217&lt;&gt;"",IFERROR(INDEX(Produtos!$C$4:$C$4996,MATCH(D8217,Produtos!$B$4:$B$4996,0)),"Produto não encontrado"),"")</f>
        <v/>
      </c>
    </row>
    <row r="8218" spans="1:5" x14ac:dyDescent="0.3">
      <c r="A8218" s="21" t="str">
        <f t="shared" si="128"/>
        <v>.</v>
      </c>
      <c r="D8218" s="44"/>
      <c r="E8218" s="22" t="str">
        <f>IF(D8218&lt;&gt;"",IFERROR(INDEX(Produtos!$C$4:$C$4996,MATCH(D8218,Produtos!$B$4:$B$4996,0)),"Produto não encontrado"),"")</f>
        <v/>
      </c>
    </row>
    <row r="8219" spans="1:5" x14ac:dyDescent="0.3">
      <c r="A8219" s="21" t="str">
        <f t="shared" si="128"/>
        <v>.</v>
      </c>
      <c r="D8219" s="44"/>
      <c r="E8219" s="22" t="str">
        <f>IF(D8219&lt;&gt;"",IFERROR(INDEX(Produtos!$C$4:$C$4996,MATCH(D8219,Produtos!$B$4:$B$4996,0)),"Produto não encontrado"),"")</f>
        <v/>
      </c>
    </row>
    <row r="8220" spans="1:5" x14ac:dyDescent="0.3">
      <c r="A8220" s="21" t="str">
        <f t="shared" si="128"/>
        <v>.</v>
      </c>
      <c r="D8220" s="44"/>
      <c r="E8220" s="22" t="str">
        <f>IF(D8220&lt;&gt;"",IFERROR(INDEX(Produtos!$C$4:$C$4996,MATCH(D8220,Produtos!$B$4:$B$4996,0)),"Produto não encontrado"),"")</f>
        <v/>
      </c>
    </row>
    <row r="8221" spans="1:5" x14ac:dyDescent="0.3">
      <c r="A8221" s="21" t="str">
        <f t="shared" si="128"/>
        <v>.</v>
      </c>
      <c r="D8221" s="44"/>
      <c r="E8221" s="22" t="str">
        <f>IF(D8221&lt;&gt;"",IFERROR(INDEX(Produtos!$C$4:$C$4996,MATCH(D8221,Produtos!$B$4:$B$4996,0)),"Produto não encontrado"),"")</f>
        <v/>
      </c>
    </row>
    <row r="8222" spans="1:5" x14ac:dyDescent="0.3">
      <c r="A8222" s="21" t="str">
        <f t="shared" si="128"/>
        <v>.</v>
      </c>
      <c r="D8222" s="44"/>
      <c r="E8222" s="22" t="str">
        <f>IF(D8222&lt;&gt;"",IFERROR(INDEX(Produtos!$C$4:$C$4996,MATCH(D8222,Produtos!$B$4:$B$4996,0)),"Produto não encontrado"),"")</f>
        <v/>
      </c>
    </row>
    <row r="8223" spans="1:5" x14ac:dyDescent="0.3">
      <c r="A8223" s="21" t="str">
        <f t="shared" si="128"/>
        <v>.</v>
      </c>
      <c r="D8223" s="44"/>
      <c r="E8223" s="22" t="str">
        <f>IF(D8223&lt;&gt;"",IFERROR(INDEX(Produtos!$C$4:$C$4996,MATCH(D8223,Produtos!$B$4:$B$4996,0)),"Produto não encontrado"),"")</f>
        <v/>
      </c>
    </row>
    <row r="8224" spans="1:5" x14ac:dyDescent="0.3">
      <c r="A8224" s="21" t="str">
        <f t="shared" si="128"/>
        <v>.</v>
      </c>
      <c r="D8224" s="44"/>
      <c r="E8224" s="22" t="str">
        <f>IF(D8224&lt;&gt;"",IFERROR(INDEX(Produtos!$C$4:$C$4996,MATCH(D8224,Produtos!$B$4:$B$4996,0)),"Produto não encontrado"),"")</f>
        <v/>
      </c>
    </row>
    <row r="8225" spans="1:5" x14ac:dyDescent="0.3">
      <c r="A8225" s="21" t="str">
        <f t="shared" si="128"/>
        <v>.</v>
      </c>
      <c r="D8225" s="44"/>
      <c r="E8225" s="22" t="str">
        <f>IF(D8225&lt;&gt;"",IFERROR(INDEX(Produtos!$C$4:$C$4996,MATCH(D8225,Produtos!$B$4:$B$4996,0)),"Produto não encontrado"),"")</f>
        <v/>
      </c>
    </row>
    <row r="8226" spans="1:5" x14ac:dyDescent="0.3">
      <c r="A8226" s="21" t="str">
        <f t="shared" si="128"/>
        <v>.</v>
      </c>
      <c r="D8226" s="44"/>
      <c r="E8226" s="22" t="str">
        <f>IF(D8226&lt;&gt;"",IFERROR(INDEX(Produtos!$C$4:$C$4996,MATCH(D8226,Produtos!$B$4:$B$4996,0)),"Produto não encontrado"),"")</f>
        <v/>
      </c>
    </row>
    <row r="8227" spans="1:5" x14ac:dyDescent="0.3">
      <c r="A8227" s="21" t="str">
        <f t="shared" si="128"/>
        <v>.</v>
      </c>
      <c r="D8227" s="44"/>
      <c r="E8227" s="22" t="str">
        <f>IF(D8227&lt;&gt;"",IFERROR(INDEX(Produtos!$C$4:$C$4996,MATCH(D8227,Produtos!$B$4:$B$4996,0)),"Produto não encontrado"),"")</f>
        <v/>
      </c>
    </row>
    <row r="8228" spans="1:5" x14ac:dyDescent="0.3">
      <c r="A8228" s="21" t="str">
        <f t="shared" si="128"/>
        <v>.</v>
      </c>
      <c r="D8228" s="44"/>
      <c r="E8228" s="22" t="str">
        <f>IF(D8228&lt;&gt;"",IFERROR(INDEX(Produtos!$C$4:$C$4996,MATCH(D8228,Produtos!$B$4:$B$4996,0)),"Produto não encontrado"),"")</f>
        <v/>
      </c>
    </row>
    <row r="8229" spans="1:5" x14ac:dyDescent="0.3">
      <c r="A8229" s="21" t="str">
        <f t="shared" si="128"/>
        <v>.</v>
      </c>
      <c r="D8229" s="44"/>
      <c r="E8229" s="22" t="str">
        <f>IF(D8229&lt;&gt;"",IFERROR(INDEX(Produtos!$C$4:$C$4996,MATCH(D8229,Produtos!$B$4:$B$4996,0)),"Produto não encontrado"),"")</f>
        <v/>
      </c>
    </row>
    <row r="8230" spans="1:5" x14ac:dyDescent="0.3">
      <c r="A8230" s="21" t="str">
        <f t="shared" si="128"/>
        <v>.</v>
      </c>
      <c r="D8230" s="44"/>
      <c r="E8230" s="22" t="str">
        <f>IF(D8230&lt;&gt;"",IFERROR(INDEX(Produtos!$C$4:$C$4996,MATCH(D8230,Produtos!$B$4:$B$4996,0)),"Produto não encontrado"),"")</f>
        <v/>
      </c>
    </row>
    <row r="8231" spans="1:5" x14ac:dyDescent="0.3">
      <c r="A8231" s="21" t="str">
        <f t="shared" si="128"/>
        <v>.</v>
      </c>
      <c r="D8231" s="44"/>
      <c r="E8231" s="22" t="str">
        <f>IF(D8231&lt;&gt;"",IFERROR(INDEX(Produtos!$C$4:$C$4996,MATCH(D8231,Produtos!$B$4:$B$4996,0)),"Produto não encontrado"),"")</f>
        <v/>
      </c>
    </row>
    <row r="8232" spans="1:5" x14ac:dyDescent="0.3">
      <c r="A8232" s="21" t="str">
        <f t="shared" si="128"/>
        <v>.</v>
      </c>
      <c r="D8232" s="44"/>
      <c r="E8232" s="22" t="str">
        <f>IF(D8232&lt;&gt;"",IFERROR(INDEX(Produtos!$C$4:$C$4996,MATCH(D8232,Produtos!$B$4:$B$4996,0)),"Produto não encontrado"),"")</f>
        <v/>
      </c>
    </row>
    <row r="8233" spans="1:5" x14ac:dyDescent="0.3">
      <c r="A8233" s="21" t="str">
        <f t="shared" si="128"/>
        <v>.</v>
      </c>
      <c r="D8233" s="44"/>
      <c r="E8233" s="22" t="str">
        <f>IF(D8233&lt;&gt;"",IFERROR(INDEX(Produtos!$C$4:$C$4996,MATCH(D8233,Produtos!$B$4:$B$4996,0)),"Produto não encontrado"),"")</f>
        <v/>
      </c>
    </row>
    <row r="8234" spans="1:5" x14ac:dyDescent="0.3">
      <c r="A8234" s="21" t="str">
        <f t="shared" si="128"/>
        <v>.</v>
      </c>
      <c r="D8234" s="44"/>
      <c r="E8234" s="22" t="str">
        <f>IF(D8234&lt;&gt;"",IFERROR(INDEX(Produtos!$C$4:$C$4996,MATCH(D8234,Produtos!$B$4:$B$4996,0)),"Produto não encontrado"),"")</f>
        <v/>
      </c>
    </row>
    <row r="8235" spans="1:5" x14ac:dyDescent="0.3">
      <c r="A8235" s="21" t="str">
        <f t="shared" si="128"/>
        <v>.</v>
      </c>
      <c r="D8235" s="44"/>
      <c r="E8235" s="22" t="str">
        <f>IF(D8235&lt;&gt;"",IFERROR(INDEX(Produtos!$C$4:$C$4996,MATCH(D8235,Produtos!$B$4:$B$4996,0)),"Produto não encontrado"),"")</f>
        <v/>
      </c>
    </row>
    <row r="8236" spans="1:5" x14ac:dyDescent="0.3">
      <c r="A8236" s="21" t="str">
        <f t="shared" si="128"/>
        <v>.</v>
      </c>
      <c r="D8236" s="44"/>
      <c r="E8236" s="22" t="str">
        <f>IF(D8236&lt;&gt;"",IFERROR(INDEX(Produtos!$C$4:$C$4996,MATCH(D8236,Produtos!$B$4:$B$4996,0)),"Produto não encontrado"),"")</f>
        <v/>
      </c>
    </row>
    <row r="8237" spans="1:5" x14ac:dyDescent="0.3">
      <c r="A8237" s="21" t="str">
        <f t="shared" si="128"/>
        <v>.</v>
      </c>
      <c r="D8237" s="44"/>
      <c r="E8237" s="22" t="str">
        <f>IF(D8237&lt;&gt;"",IFERROR(INDEX(Produtos!$C$4:$C$4996,MATCH(D8237,Produtos!$B$4:$B$4996,0)),"Produto não encontrado"),"")</f>
        <v/>
      </c>
    </row>
    <row r="8238" spans="1:5" x14ac:dyDescent="0.3">
      <c r="A8238" s="21" t="str">
        <f t="shared" si="128"/>
        <v>.</v>
      </c>
      <c r="D8238" s="44"/>
      <c r="E8238" s="22" t="str">
        <f>IF(D8238&lt;&gt;"",IFERROR(INDEX(Produtos!$C$4:$C$4996,MATCH(D8238,Produtos!$B$4:$B$4996,0)),"Produto não encontrado"),"")</f>
        <v/>
      </c>
    </row>
    <row r="8239" spans="1:5" x14ac:dyDescent="0.3">
      <c r="A8239" s="21" t="str">
        <f t="shared" si="128"/>
        <v>.</v>
      </c>
      <c r="D8239" s="44"/>
      <c r="E8239" s="22" t="str">
        <f>IF(D8239&lt;&gt;"",IFERROR(INDEX(Produtos!$C$4:$C$4996,MATCH(D8239,Produtos!$B$4:$B$4996,0)),"Produto não encontrado"),"")</f>
        <v/>
      </c>
    </row>
    <row r="8240" spans="1:5" x14ac:dyDescent="0.3">
      <c r="A8240" s="21" t="str">
        <f t="shared" si="128"/>
        <v>.</v>
      </c>
      <c r="D8240" s="44"/>
      <c r="E8240" s="22" t="str">
        <f>IF(D8240&lt;&gt;"",IFERROR(INDEX(Produtos!$C$4:$C$4996,MATCH(D8240,Produtos!$B$4:$B$4996,0)),"Produto não encontrado"),"")</f>
        <v/>
      </c>
    </row>
    <row r="8241" spans="1:5" x14ac:dyDescent="0.3">
      <c r="A8241" s="21" t="str">
        <f t="shared" si="128"/>
        <v>.</v>
      </c>
      <c r="D8241" s="44"/>
      <c r="E8241" s="22" t="str">
        <f>IF(D8241&lt;&gt;"",IFERROR(INDEX(Produtos!$C$4:$C$4996,MATCH(D8241,Produtos!$B$4:$B$4996,0)),"Produto não encontrado"),"")</f>
        <v/>
      </c>
    </row>
    <row r="8242" spans="1:5" x14ac:dyDescent="0.3">
      <c r="A8242" s="21" t="str">
        <f t="shared" si="128"/>
        <v>.</v>
      </c>
      <c r="D8242" s="44"/>
      <c r="E8242" s="22" t="str">
        <f>IF(D8242&lt;&gt;"",IFERROR(INDEX(Produtos!$C$4:$C$4996,MATCH(D8242,Produtos!$B$4:$B$4996,0)),"Produto não encontrado"),"")</f>
        <v/>
      </c>
    </row>
    <row r="8243" spans="1:5" x14ac:dyDescent="0.3">
      <c r="A8243" s="21" t="str">
        <f t="shared" si="128"/>
        <v>.</v>
      </c>
      <c r="D8243" s="44"/>
      <c r="E8243" s="22" t="str">
        <f>IF(D8243&lt;&gt;"",IFERROR(INDEX(Produtos!$C$4:$C$4996,MATCH(D8243,Produtos!$B$4:$B$4996,0)),"Produto não encontrado"),"")</f>
        <v/>
      </c>
    </row>
    <row r="8244" spans="1:5" x14ac:dyDescent="0.3">
      <c r="A8244" s="21" t="str">
        <f t="shared" si="128"/>
        <v>.</v>
      </c>
      <c r="D8244" s="44"/>
      <c r="E8244" s="22" t="str">
        <f>IF(D8244&lt;&gt;"",IFERROR(INDEX(Produtos!$C$4:$C$4996,MATCH(D8244,Produtos!$B$4:$B$4996,0)),"Produto não encontrado"),"")</f>
        <v/>
      </c>
    </row>
    <row r="8245" spans="1:5" x14ac:dyDescent="0.3">
      <c r="A8245" s="21" t="str">
        <f t="shared" si="128"/>
        <v>.</v>
      </c>
      <c r="D8245" s="44"/>
      <c r="E8245" s="22" t="str">
        <f>IF(D8245&lt;&gt;"",IFERROR(INDEX(Produtos!$C$4:$C$4996,MATCH(D8245,Produtos!$B$4:$B$4996,0)),"Produto não encontrado"),"")</f>
        <v/>
      </c>
    </row>
    <row r="8246" spans="1:5" x14ac:dyDescent="0.3">
      <c r="A8246" s="21" t="str">
        <f t="shared" si="128"/>
        <v>.</v>
      </c>
      <c r="D8246" s="44"/>
      <c r="E8246" s="22" t="str">
        <f>IF(D8246&lt;&gt;"",IFERROR(INDEX(Produtos!$C$4:$C$4996,MATCH(D8246,Produtos!$B$4:$B$4996,0)),"Produto não encontrado"),"")</f>
        <v/>
      </c>
    </row>
    <row r="8247" spans="1:5" x14ac:dyDescent="0.3">
      <c r="A8247" s="21" t="str">
        <f t="shared" si="128"/>
        <v>.</v>
      </c>
      <c r="D8247" s="44"/>
      <c r="E8247" s="22" t="str">
        <f>IF(D8247&lt;&gt;"",IFERROR(INDEX(Produtos!$C$4:$C$4996,MATCH(D8247,Produtos!$B$4:$B$4996,0)),"Produto não encontrado"),"")</f>
        <v/>
      </c>
    </row>
    <row r="8248" spans="1:5" x14ac:dyDescent="0.3">
      <c r="A8248" s="21" t="str">
        <f t="shared" si="128"/>
        <v>.</v>
      </c>
      <c r="D8248" s="44"/>
      <c r="E8248" s="22" t="str">
        <f>IF(D8248&lt;&gt;"",IFERROR(INDEX(Produtos!$C$4:$C$4996,MATCH(D8248,Produtos!$B$4:$B$4996,0)),"Produto não encontrado"),"")</f>
        <v/>
      </c>
    </row>
    <row r="8249" spans="1:5" x14ac:dyDescent="0.3">
      <c r="A8249" s="21" t="str">
        <f t="shared" si="128"/>
        <v>.</v>
      </c>
      <c r="D8249" s="44"/>
      <c r="E8249" s="22" t="str">
        <f>IF(D8249&lt;&gt;"",IFERROR(INDEX(Produtos!$C$4:$C$4996,MATCH(D8249,Produtos!$B$4:$B$4996,0)),"Produto não encontrado"),"")</f>
        <v/>
      </c>
    </row>
    <row r="8250" spans="1:5" x14ac:dyDescent="0.3">
      <c r="A8250" s="21" t="str">
        <f t="shared" si="128"/>
        <v>.</v>
      </c>
      <c r="D8250" s="44"/>
      <c r="E8250" s="22" t="str">
        <f>IF(D8250&lt;&gt;"",IFERROR(INDEX(Produtos!$C$4:$C$4996,MATCH(D8250,Produtos!$B$4:$B$4996,0)),"Produto não encontrado"),"")</f>
        <v/>
      </c>
    </row>
    <row r="8251" spans="1:5" x14ac:dyDescent="0.3">
      <c r="A8251" s="21" t="str">
        <f t="shared" si="128"/>
        <v>.</v>
      </c>
      <c r="D8251" s="44"/>
      <c r="E8251" s="22" t="str">
        <f>IF(D8251&lt;&gt;"",IFERROR(INDEX(Produtos!$C$4:$C$4996,MATCH(D8251,Produtos!$B$4:$B$4996,0)),"Produto não encontrado"),"")</f>
        <v/>
      </c>
    </row>
    <row r="8252" spans="1:5" x14ac:dyDescent="0.3">
      <c r="A8252" s="21" t="str">
        <f t="shared" si="128"/>
        <v>.</v>
      </c>
      <c r="D8252" s="44"/>
      <c r="E8252" s="22" t="str">
        <f>IF(D8252&lt;&gt;"",IFERROR(INDEX(Produtos!$C$4:$C$4996,MATCH(D8252,Produtos!$B$4:$B$4996,0)),"Produto não encontrado"),"")</f>
        <v/>
      </c>
    </row>
    <row r="8253" spans="1:5" x14ac:dyDescent="0.3">
      <c r="A8253" s="21" t="str">
        <f t="shared" si="128"/>
        <v>.</v>
      </c>
      <c r="D8253" s="44"/>
      <c r="E8253" s="22" t="str">
        <f>IF(D8253&lt;&gt;"",IFERROR(INDEX(Produtos!$C$4:$C$4996,MATCH(D8253,Produtos!$B$4:$B$4996,0)),"Produto não encontrado"),"")</f>
        <v/>
      </c>
    </row>
    <row r="8254" spans="1:5" x14ac:dyDescent="0.3">
      <c r="A8254" s="21" t="str">
        <f t="shared" si="128"/>
        <v>.</v>
      </c>
      <c r="D8254" s="44"/>
      <c r="E8254" s="22" t="str">
        <f>IF(D8254&lt;&gt;"",IFERROR(INDEX(Produtos!$C$4:$C$4996,MATCH(D8254,Produtos!$B$4:$B$4996,0)),"Produto não encontrado"),"")</f>
        <v/>
      </c>
    </row>
    <row r="8255" spans="1:5" x14ac:dyDescent="0.3">
      <c r="A8255" s="21" t="str">
        <f t="shared" si="128"/>
        <v>.</v>
      </c>
      <c r="D8255" s="44"/>
      <c r="E8255" s="22" t="str">
        <f>IF(D8255&lt;&gt;"",IFERROR(INDEX(Produtos!$C$4:$C$4996,MATCH(D8255,Produtos!$B$4:$B$4996,0)),"Produto não encontrado"),"")</f>
        <v/>
      </c>
    </row>
    <row r="8256" spans="1:5" x14ac:dyDescent="0.3">
      <c r="A8256" s="21" t="str">
        <f t="shared" ref="A8256:A8319" si="129">IF(C8256="Entrada",2,IF(C8256="Saída",1,"."))</f>
        <v>.</v>
      </c>
      <c r="D8256" s="44"/>
      <c r="E8256" s="22" t="str">
        <f>IF(D8256&lt;&gt;"",IFERROR(INDEX(Produtos!$C$4:$C$4996,MATCH(D8256,Produtos!$B$4:$B$4996,0)),"Produto não encontrado"),"")</f>
        <v/>
      </c>
    </row>
    <row r="8257" spans="1:5" x14ac:dyDescent="0.3">
      <c r="A8257" s="21" t="str">
        <f t="shared" si="129"/>
        <v>.</v>
      </c>
      <c r="D8257" s="44"/>
      <c r="E8257" s="22" t="str">
        <f>IF(D8257&lt;&gt;"",IFERROR(INDEX(Produtos!$C$4:$C$4996,MATCH(D8257,Produtos!$B$4:$B$4996,0)),"Produto não encontrado"),"")</f>
        <v/>
      </c>
    </row>
    <row r="8258" spans="1:5" x14ac:dyDescent="0.3">
      <c r="A8258" s="21" t="str">
        <f t="shared" si="129"/>
        <v>.</v>
      </c>
      <c r="D8258" s="44"/>
      <c r="E8258" s="22" t="str">
        <f>IF(D8258&lt;&gt;"",IFERROR(INDEX(Produtos!$C$4:$C$4996,MATCH(D8258,Produtos!$B$4:$B$4996,0)),"Produto não encontrado"),"")</f>
        <v/>
      </c>
    </row>
    <row r="8259" spans="1:5" x14ac:dyDescent="0.3">
      <c r="A8259" s="21" t="str">
        <f t="shared" si="129"/>
        <v>.</v>
      </c>
      <c r="D8259" s="44"/>
      <c r="E8259" s="22" t="str">
        <f>IF(D8259&lt;&gt;"",IFERROR(INDEX(Produtos!$C$4:$C$4996,MATCH(D8259,Produtos!$B$4:$B$4996,0)),"Produto não encontrado"),"")</f>
        <v/>
      </c>
    </row>
    <row r="8260" spans="1:5" x14ac:dyDescent="0.3">
      <c r="A8260" s="21" t="str">
        <f t="shared" si="129"/>
        <v>.</v>
      </c>
      <c r="D8260" s="44"/>
      <c r="E8260" s="22" t="str">
        <f>IF(D8260&lt;&gt;"",IFERROR(INDEX(Produtos!$C$4:$C$4996,MATCH(D8260,Produtos!$B$4:$B$4996,0)),"Produto não encontrado"),"")</f>
        <v/>
      </c>
    </row>
    <row r="8261" spans="1:5" x14ac:dyDescent="0.3">
      <c r="A8261" s="21" t="str">
        <f t="shared" si="129"/>
        <v>.</v>
      </c>
      <c r="D8261" s="44"/>
      <c r="E8261" s="22" t="str">
        <f>IF(D8261&lt;&gt;"",IFERROR(INDEX(Produtos!$C$4:$C$4996,MATCH(D8261,Produtos!$B$4:$B$4996,0)),"Produto não encontrado"),"")</f>
        <v/>
      </c>
    </row>
    <row r="8262" spans="1:5" x14ac:dyDescent="0.3">
      <c r="A8262" s="21" t="str">
        <f t="shared" si="129"/>
        <v>.</v>
      </c>
      <c r="D8262" s="44"/>
      <c r="E8262" s="22" t="str">
        <f>IF(D8262&lt;&gt;"",IFERROR(INDEX(Produtos!$C$4:$C$4996,MATCH(D8262,Produtos!$B$4:$B$4996,0)),"Produto não encontrado"),"")</f>
        <v/>
      </c>
    </row>
    <row r="8263" spans="1:5" x14ac:dyDescent="0.3">
      <c r="A8263" s="21" t="str">
        <f t="shared" si="129"/>
        <v>.</v>
      </c>
      <c r="D8263" s="44"/>
      <c r="E8263" s="22" t="str">
        <f>IF(D8263&lt;&gt;"",IFERROR(INDEX(Produtos!$C$4:$C$4996,MATCH(D8263,Produtos!$B$4:$B$4996,0)),"Produto não encontrado"),"")</f>
        <v/>
      </c>
    </row>
    <row r="8264" spans="1:5" x14ac:dyDescent="0.3">
      <c r="A8264" s="21" t="str">
        <f t="shared" si="129"/>
        <v>.</v>
      </c>
      <c r="D8264" s="44"/>
      <c r="E8264" s="22" t="str">
        <f>IF(D8264&lt;&gt;"",IFERROR(INDEX(Produtos!$C$4:$C$4996,MATCH(D8264,Produtos!$B$4:$B$4996,0)),"Produto não encontrado"),"")</f>
        <v/>
      </c>
    </row>
    <row r="8265" spans="1:5" x14ac:dyDescent="0.3">
      <c r="A8265" s="21" t="str">
        <f t="shared" si="129"/>
        <v>.</v>
      </c>
      <c r="D8265" s="44"/>
      <c r="E8265" s="22" t="str">
        <f>IF(D8265&lt;&gt;"",IFERROR(INDEX(Produtos!$C$4:$C$4996,MATCH(D8265,Produtos!$B$4:$B$4996,0)),"Produto não encontrado"),"")</f>
        <v/>
      </c>
    </row>
    <row r="8266" spans="1:5" x14ac:dyDescent="0.3">
      <c r="A8266" s="21" t="str">
        <f t="shared" si="129"/>
        <v>.</v>
      </c>
      <c r="D8266" s="44"/>
      <c r="E8266" s="22" t="str">
        <f>IF(D8266&lt;&gt;"",IFERROR(INDEX(Produtos!$C$4:$C$4996,MATCH(D8266,Produtos!$B$4:$B$4996,0)),"Produto não encontrado"),"")</f>
        <v/>
      </c>
    </row>
    <row r="8267" spans="1:5" x14ac:dyDescent="0.3">
      <c r="A8267" s="21" t="str">
        <f t="shared" si="129"/>
        <v>.</v>
      </c>
      <c r="D8267" s="44"/>
      <c r="E8267" s="22" t="str">
        <f>IF(D8267&lt;&gt;"",IFERROR(INDEX(Produtos!$C$4:$C$4996,MATCH(D8267,Produtos!$B$4:$B$4996,0)),"Produto não encontrado"),"")</f>
        <v/>
      </c>
    </row>
    <row r="8268" spans="1:5" x14ac:dyDescent="0.3">
      <c r="A8268" s="21" t="str">
        <f t="shared" si="129"/>
        <v>.</v>
      </c>
      <c r="D8268" s="44"/>
      <c r="E8268" s="22" t="str">
        <f>IF(D8268&lt;&gt;"",IFERROR(INDEX(Produtos!$C$4:$C$4996,MATCH(D8268,Produtos!$B$4:$B$4996,0)),"Produto não encontrado"),"")</f>
        <v/>
      </c>
    </row>
    <row r="8269" spans="1:5" x14ac:dyDescent="0.3">
      <c r="A8269" s="21" t="str">
        <f t="shared" si="129"/>
        <v>.</v>
      </c>
      <c r="D8269" s="44"/>
      <c r="E8269" s="22" t="str">
        <f>IF(D8269&lt;&gt;"",IFERROR(INDEX(Produtos!$C$4:$C$4996,MATCH(D8269,Produtos!$B$4:$B$4996,0)),"Produto não encontrado"),"")</f>
        <v/>
      </c>
    </row>
    <row r="8270" spans="1:5" x14ac:dyDescent="0.3">
      <c r="A8270" s="21" t="str">
        <f t="shared" si="129"/>
        <v>.</v>
      </c>
      <c r="D8270" s="44"/>
      <c r="E8270" s="22" t="str">
        <f>IF(D8270&lt;&gt;"",IFERROR(INDEX(Produtos!$C$4:$C$4996,MATCH(D8270,Produtos!$B$4:$B$4996,0)),"Produto não encontrado"),"")</f>
        <v/>
      </c>
    </row>
    <row r="8271" spans="1:5" x14ac:dyDescent="0.3">
      <c r="A8271" s="21" t="str">
        <f t="shared" si="129"/>
        <v>.</v>
      </c>
      <c r="D8271" s="44"/>
      <c r="E8271" s="22" t="str">
        <f>IF(D8271&lt;&gt;"",IFERROR(INDEX(Produtos!$C$4:$C$4996,MATCH(D8271,Produtos!$B$4:$B$4996,0)),"Produto não encontrado"),"")</f>
        <v/>
      </c>
    </row>
    <row r="8272" spans="1:5" x14ac:dyDescent="0.3">
      <c r="A8272" s="21" t="str">
        <f t="shared" si="129"/>
        <v>.</v>
      </c>
      <c r="D8272" s="44"/>
      <c r="E8272" s="22" t="str">
        <f>IF(D8272&lt;&gt;"",IFERROR(INDEX(Produtos!$C$4:$C$4996,MATCH(D8272,Produtos!$B$4:$B$4996,0)),"Produto não encontrado"),"")</f>
        <v/>
      </c>
    </row>
    <row r="8273" spans="1:5" x14ac:dyDescent="0.3">
      <c r="A8273" s="21" t="str">
        <f t="shared" si="129"/>
        <v>.</v>
      </c>
      <c r="D8273" s="44"/>
      <c r="E8273" s="22" t="str">
        <f>IF(D8273&lt;&gt;"",IFERROR(INDEX(Produtos!$C$4:$C$4996,MATCH(D8273,Produtos!$B$4:$B$4996,0)),"Produto não encontrado"),"")</f>
        <v/>
      </c>
    </row>
    <row r="8274" spans="1:5" x14ac:dyDescent="0.3">
      <c r="A8274" s="21" t="str">
        <f t="shared" si="129"/>
        <v>.</v>
      </c>
      <c r="D8274" s="44"/>
      <c r="E8274" s="22" t="str">
        <f>IF(D8274&lt;&gt;"",IFERROR(INDEX(Produtos!$C$4:$C$4996,MATCH(D8274,Produtos!$B$4:$B$4996,0)),"Produto não encontrado"),"")</f>
        <v/>
      </c>
    </row>
    <row r="8275" spans="1:5" x14ac:dyDescent="0.3">
      <c r="A8275" s="21" t="str">
        <f t="shared" si="129"/>
        <v>.</v>
      </c>
      <c r="D8275" s="44"/>
      <c r="E8275" s="22" t="str">
        <f>IF(D8275&lt;&gt;"",IFERROR(INDEX(Produtos!$C$4:$C$4996,MATCH(D8275,Produtos!$B$4:$B$4996,0)),"Produto não encontrado"),"")</f>
        <v/>
      </c>
    </row>
    <row r="8276" spans="1:5" x14ac:dyDescent="0.3">
      <c r="A8276" s="21" t="str">
        <f t="shared" si="129"/>
        <v>.</v>
      </c>
      <c r="D8276" s="44"/>
      <c r="E8276" s="22" t="str">
        <f>IF(D8276&lt;&gt;"",IFERROR(INDEX(Produtos!$C$4:$C$4996,MATCH(D8276,Produtos!$B$4:$B$4996,0)),"Produto não encontrado"),"")</f>
        <v/>
      </c>
    </row>
    <row r="8277" spans="1:5" x14ac:dyDescent="0.3">
      <c r="A8277" s="21" t="str">
        <f t="shared" si="129"/>
        <v>.</v>
      </c>
      <c r="D8277" s="44"/>
      <c r="E8277" s="22" t="str">
        <f>IF(D8277&lt;&gt;"",IFERROR(INDEX(Produtos!$C$4:$C$4996,MATCH(D8277,Produtos!$B$4:$B$4996,0)),"Produto não encontrado"),"")</f>
        <v/>
      </c>
    </row>
    <row r="8278" spans="1:5" x14ac:dyDescent="0.3">
      <c r="A8278" s="21" t="str">
        <f t="shared" si="129"/>
        <v>.</v>
      </c>
      <c r="D8278" s="44"/>
      <c r="E8278" s="22" t="str">
        <f>IF(D8278&lt;&gt;"",IFERROR(INDEX(Produtos!$C$4:$C$4996,MATCH(D8278,Produtos!$B$4:$B$4996,0)),"Produto não encontrado"),"")</f>
        <v/>
      </c>
    </row>
    <row r="8279" spans="1:5" x14ac:dyDescent="0.3">
      <c r="A8279" s="21" t="str">
        <f t="shared" si="129"/>
        <v>.</v>
      </c>
      <c r="D8279" s="44"/>
      <c r="E8279" s="22" t="str">
        <f>IF(D8279&lt;&gt;"",IFERROR(INDEX(Produtos!$C$4:$C$4996,MATCH(D8279,Produtos!$B$4:$B$4996,0)),"Produto não encontrado"),"")</f>
        <v/>
      </c>
    </row>
    <row r="8280" spans="1:5" x14ac:dyDescent="0.3">
      <c r="A8280" s="21" t="str">
        <f t="shared" si="129"/>
        <v>.</v>
      </c>
      <c r="D8280" s="44"/>
      <c r="E8280" s="22" t="str">
        <f>IF(D8280&lt;&gt;"",IFERROR(INDEX(Produtos!$C$4:$C$4996,MATCH(D8280,Produtos!$B$4:$B$4996,0)),"Produto não encontrado"),"")</f>
        <v/>
      </c>
    </row>
    <row r="8281" spans="1:5" x14ac:dyDescent="0.3">
      <c r="A8281" s="21" t="str">
        <f t="shared" si="129"/>
        <v>.</v>
      </c>
      <c r="D8281" s="44"/>
      <c r="E8281" s="22" t="str">
        <f>IF(D8281&lt;&gt;"",IFERROR(INDEX(Produtos!$C$4:$C$4996,MATCH(D8281,Produtos!$B$4:$B$4996,0)),"Produto não encontrado"),"")</f>
        <v/>
      </c>
    </row>
    <row r="8282" spans="1:5" x14ac:dyDescent="0.3">
      <c r="A8282" s="21" t="str">
        <f t="shared" si="129"/>
        <v>.</v>
      </c>
      <c r="D8282" s="44"/>
      <c r="E8282" s="22" t="str">
        <f>IF(D8282&lt;&gt;"",IFERROR(INDEX(Produtos!$C$4:$C$4996,MATCH(D8282,Produtos!$B$4:$B$4996,0)),"Produto não encontrado"),"")</f>
        <v/>
      </c>
    </row>
    <row r="8283" spans="1:5" x14ac:dyDescent="0.3">
      <c r="A8283" s="21" t="str">
        <f t="shared" si="129"/>
        <v>.</v>
      </c>
      <c r="D8283" s="44"/>
      <c r="E8283" s="22" t="str">
        <f>IF(D8283&lt;&gt;"",IFERROR(INDEX(Produtos!$C$4:$C$4996,MATCH(D8283,Produtos!$B$4:$B$4996,0)),"Produto não encontrado"),"")</f>
        <v/>
      </c>
    </row>
    <row r="8284" spans="1:5" x14ac:dyDescent="0.3">
      <c r="A8284" s="21" t="str">
        <f t="shared" si="129"/>
        <v>.</v>
      </c>
      <c r="D8284" s="44"/>
      <c r="E8284" s="22" t="str">
        <f>IF(D8284&lt;&gt;"",IFERROR(INDEX(Produtos!$C$4:$C$4996,MATCH(D8284,Produtos!$B$4:$B$4996,0)),"Produto não encontrado"),"")</f>
        <v/>
      </c>
    </row>
    <row r="8285" spans="1:5" x14ac:dyDescent="0.3">
      <c r="A8285" s="21" t="str">
        <f t="shared" si="129"/>
        <v>.</v>
      </c>
      <c r="D8285" s="44"/>
      <c r="E8285" s="22" t="str">
        <f>IF(D8285&lt;&gt;"",IFERROR(INDEX(Produtos!$C$4:$C$4996,MATCH(D8285,Produtos!$B$4:$B$4996,0)),"Produto não encontrado"),"")</f>
        <v/>
      </c>
    </row>
    <row r="8286" spans="1:5" x14ac:dyDescent="0.3">
      <c r="A8286" s="21" t="str">
        <f t="shared" si="129"/>
        <v>.</v>
      </c>
      <c r="D8286" s="44"/>
      <c r="E8286" s="22" t="str">
        <f>IF(D8286&lt;&gt;"",IFERROR(INDEX(Produtos!$C$4:$C$4996,MATCH(D8286,Produtos!$B$4:$B$4996,0)),"Produto não encontrado"),"")</f>
        <v/>
      </c>
    </row>
    <row r="8287" spans="1:5" x14ac:dyDescent="0.3">
      <c r="A8287" s="21" t="str">
        <f t="shared" si="129"/>
        <v>.</v>
      </c>
      <c r="D8287" s="44"/>
      <c r="E8287" s="22" t="str">
        <f>IF(D8287&lt;&gt;"",IFERROR(INDEX(Produtos!$C$4:$C$4996,MATCH(D8287,Produtos!$B$4:$B$4996,0)),"Produto não encontrado"),"")</f>
        <v/>
      </c>
    </row>
    <row r="8288" spans="1:5" x14ac:dyDescent="0.3">
      <c r="A8288" s="21" t="str">
        <f t="shared" si="129"/>
        <v>.</v>
      </c>
      <c r="D8288" s="44"/>
      <c r="E8288" s="22" t="str">
        <f>IF(D8288&lt;&gt;"",IFERROR(INDEX(Produtos!$C$4:$C$4996,MATCH(D8288,Produtos!$B$4:$B$4996,0)),"Produto não encontrado"),"")</f>
        <v/>
      </c>
    </row>
    <row r="8289" spans="1:5" x14ac:dyDescent="0.3">
      <c r="A8289" s="21" t="str">
        <f t="shared" si="129"/>
        <v>.</v>
      </c>
      <c r="D8289" s="44"/>
      <c r="E8289" s="22" t="str">
        <f>IF(D8289&lt;&gt;"",IFERROR(INDEX(Produtos!$C$4:$C$4996,MATCH(D8289,Produtos!$B$4:$B$4996,0)),"Produto não encontrado"),"")</f>
        <v/>
      </c>
    </row>
    <row r="8290" spans="1:5" x14ac:dyDescent="0.3">
      <c r="A8290" s="21" t="str">
        <f t="shared" si="129"/>
        <v>.</v>
      </c>
      <c r="D8290" s="44"/>
      <c r="E8290" s="22" t="str">
        <f>IF(D8290&lt;&gt;"",IFERROR(INDEX(Produtos!$C$4:$C$4996,MATCH(D8290,Produtos!$B$4:$B$4996,0)),"Produto não encontrado"),"")</f>
        <v/>
      </c>
    </row>
    <row r="8291" spans="1:5" x14ac:dyDescent="0.3">
      <c r="A8291" s="21" t="str">
        <f t="shared" si="129"/>
        <v>.</v>
      </c>
      <c r="D8291" s="44"/>
      <c r="E8291" s="22" t="str">
        <f>IF(D8291&lt;&gt;"",IFERROR(INDEX(Produtos!$C$4:$C$4996,MATCH(D8291,Produtos!$B$4:$B$4996,0)),"Produto não encontrado"),"")</f>
        <v/>
      </c>
    </row>
    <row r="8292" spans="1:5" x14ac:dyDescent="0.3">
      <c r="A8292" s="21" t="str">
        <f t="shared" si="129"/>
        <v>.</v>
      </c>
      <c r="D8292" s="44"/>
      <c r="E8292" s="22" t="str">
        <f>IF(D8292&lt;&gt;"",IFERROR(INDEX(Produtos!$C$4:$C$4996,MATCH(D8292,Produtos!$B$4:$B$4996,0)),"Produto não encontrado"),"")</f>
        <v/>
      </c>
    </row>
    <row r="8293" spans="1:5" x14ac:dyDescent="0.3">
      <c r="A8293" s="21" t="str">
        <f t="shared" si="129"/>
        <v>.</v>
      </c>
      <c r="D8293" s="44"/>
      <c r="E8293" s="22" t="str">
        <f>IF(D8293&lt;&gt;"",IFERROR(INDEX(Produtos!$C$4:$C$4996,MATCH(D8293,Produtos!$B$4:$B$4996,0)),"Produto não encontrado"),"")</f>
        <v/>
      </c>
    </row>
    <row r="8294" spans="1:5" x14ac:dyDescent="0.3">
      <c r="A8294" s="21" t="str">
        <f t="shared" si="129"/>
        <v>.</v>
      </c>
      <c r="D8294" s="44"/>
      <c r="E8294" s="22" t="str">
        <f>IF(D8294&lt;&gt;"",IFERROR(INDEX(Produtos!$C$4:$C$4996,MATCH(D8294,Produtos!$B$4:$B$4996,0)),"Produto não encontrado"),"")</f>
        <v/>
      </c>
    </row>
    <row r="8295" spans="1:5" x14ac:dyDescent="0.3">
      <c r="A8295" s="21" t="str">
        <f t="shared" si="129"/>
        <v>.</v>
      </c>
      <c r="D8295" s="44"/>
      <c r="E8295" s="22" t="str">
        <f>IF(D8295&lt;&gt;"",IFERROR(INDEX(Produtos!$C$4:$C$4996,MATCH(D8295,Produtos!$B$4:$B$4996,0)),"Produto não encontrado"),"")</f>
        <v/>
      </c>
    </row>
    <row r="8296" spans="1:5" x14ac:dyDescent="0.3">
      <c r="A8296" s="21" t="str">
        <f t="shared" si="129"/>
        <v>.</v>
      </c>
      <c r="D8296" s="44"/>
      <c r="E8296" s="22" t="str">
        <f>IF(D8296&lt;&gt;"",IFERROR(INDEX(Produtos!$C$4:$C$4996,MATCH(D8296,Produtos!$B$4:$B$4996,0)),"Produto não encontrado"),"")</f>
        <v/>
      </c>
    </row>
    <row r="8297" spans="1:5" x14ac:dyDescent="0.3">
      <c r="A8297" s="21" t="str">
        <f t="shared" si="129"/>
        <v>.</v>
      </c>
      <c r="D8297" s="44"/>
      <c r="E8297" s="22" t="str">
        <f>IF(D8297&lt;&gt;"",IFERROR(INDEX(Produtos!$C$4:$C$4996,MATCH(D8297,Produtos!$B$4:$B$4996,0)),"Produto não encontrado"),"")</f>
        <v/>
      </c>
    </row>
    <row r="8298" spans="1:5" x14ac:dyDescent="0.3">
      <c r="A8298" s="21" t="str">
        <f t="shared" si="129"/>
        <v>.</v>
      </c>
      <c r="D8298" s="44"/>
      <c r="E8298" s="22" t="str">
        <f>IF(D8298&lt;&gt;"",IFERROR(INDEX(Produtos!$C$4:$C$4996,MATCH(D8298,Produtos!$B$4:$B$4996,0)),"Produto não encontrado"),"")</f>
        <v/>
      </c>
    </row>
    <row r="8299" spans="1:5" x14ac:dyDescent="0.3">
      <c r="A8299" s="21" t="str">
        <f t="shared" si="129"/>
        <v>.</v>
      </c>
      <c r="D8299" s="44"/>
      <c r="E8299" s="22" t="str">
        <f>IF(D8299&lt;&gt;"",IFERROR(INDEX(Produtos!$C$4:$C$4996,MATCH(D8299,Produtos!$B$4:$B$4996,0)),"Produto não encontrado"),"")</f>
        <v/>
      </c>
    </row>
    <row r="8300" spans="1:5" x14ac:dyDescent="0.3">
      <c r="A8300" s="21" t="str">
        <f t="shared" si="129"/>
        <v>.</v>
      </c>
      <c r="D8300" s="44"/>
      <c r="E8300" s="22" t="str">
        <f>IF(D8300&lt;&gt;"",IFERROR(INDEX(Produtos!$C$4:$C$4996,MATCH(D8300,Produtos!$B$4:$B$4996,0)),"Produto não encontrado"),"")</f>
        <v/>
      </c>
    </row>
    <row r="8301" spans="1:5" x14ac:dyDescent="0.3">
      <c r="A8301" s="21" t="str">
        <f t="shared" si="129"/>
        <v>.</v>
      </c>
      <c r="D8301" s="44"/>
      <c r="E8301" s="22" t="str">
        <f>IF(D8301&lt;&gt;"",IFERROR(INDEX(Produtos!$C$4:$C$4996,MATCH(D8301,Produtos!$B$4:$B$4996,0)),"Produto não encontrado"),"")</f>
        <v/>
      </c>
    </row>
    <row r="8302" spans="1:5" x14ac:dyDescent="0.3">
      <c r="A8302" s="21" t="str">
        <f t="shared" si="129"/>
        <v>.</v>
      </c>
      <c r="D8302" s="44"/>
      <c r="E8302" s="22" t="str">
        <f>IF(D8302&lt;&gt;"",IFERROR(INDEX(Produtos!$C$4:$C$4996,MATCH(D8302,Produtos!$B$4:$B$4996,0)),"Produto não encontrado"),"")</f>
        <v/>
      </c>
    </row>
    <row r="8303" spans="1:5" x14ac:dyDescent="0.3">
      <c r="A8303" s="21" t="str">
        <f t="shared" si="129"/>
        <v>.</v>
      </c>
      <c r="D8303" s="44"/>
      <c r="E8303" s="22" t="str">
        <f>IF(D8303&lt;&gt;"",IFERROR(INDEX(Produtos!$C$4:$C$4996,MATCH(D8303,Produtos!$B$4:$B$4996,0)),"Produto não encontrado"),"")</f>
        <v/>
      </c>
    </row>
    <row r="8304" spans="1:5" x14ac:dyDescent="0.3">
      <c r="A8304" s="21" t="str">
        <f t="shared" si="129"/>
        <v>.</v>
      </c>
      <c r="D8304" s="44"/>
      <c r="E8304" s="22" t="str">
        <f>IF(D8304&lt;&gt;"",IFERROR(INDEX(Produtos!$C$4:$C$4996,MATCH(D8304,Produtos!$B$4:$B$4996,0)),"Produto não encontrado"),"")</f>
        <v/>
      </c>
    </row>
    <row r="8305" spans="1:5" x14ac:dyDescent="0.3">
      <c r="A8305" s="21" t="str">
        <f t="shared" si="129"/>
        <v>.</v>
      </c>
      <c r="D8305" s="44"/>
      <c r="E8305" s="22" t="str">
        <f>IF(D8305&lt;&gt;"",IFERROR(INDEX(Produtos!$C$4:$C$4996,MATCH(D8305,Produtos!$B$4:$B$4996,0)),"Produto não encontrado"),"")</f>
        <v/>
      </c>
    </row>
    <row r="8306" spans="1:5" x14ac:dyDescent="0.3">
      <c r="A8306" s="21" t="str">
        <f t="shared" si="129"/>
        <v>.</v>
      </c>
      <c r="D8306" s="44"/>
      <c r="E8306" s="22" t="str">
        <f>IF(D8306&lt;&gt;"",IFERROR(INDEX(Produtos!$C$4:$C$4996,MATCH(D8306,Produtos!$B$4:$B$4996,0)),"Produto não encontrado"),"")</f>
        <v/>
      </c>
    </row>
    <row r="8307" spans="1:5" x14ac:dyDescent="0.3">
      <c r="A8307" s="21" t="str">
        <f t="shared" si="129"/>
        <v>.</v>
      </c>
      <c r="D8307" s="44"/>
      <c r="E8307" s="22" t="str">
        <f>IF(D8307&lt;&gt;"",IFERROR(INDEX(Produtos!$C$4:$C$4996,MATCH(D8307,Produtos!$B$4:$B$4996,0)),"Produto não encontrado"),"")</f>
        <v/>
      </c>
    </row>
    <row r="8308" spans="1:5" x14ac:dyDescent="0.3">
      <c r="A8308" s="21" t="str">
        <f t="shared" si="129"/>
        <v>.</v>
      </c>
      <c r="D8308" s="44"/>
      <c r="E8308" s="22" t="str">
        <f>IF(D8308&lt;&gt;"",IFERROR(INDEX(Produtos!$C$4:$C$4996,MATCH(D8308,Produtos!$B$4:$B$4996,0)),"Produto não encontrado"),"")</f>
        <v/>
      </c>
    </row>
    <row r="8309" spans="1:5" x14ac:dyDescent="0.3">
      <c r="A8309" s="21" t="str">
        <f t="shared" si="129"/>
        <v>.</v>
      </c>
      <c r="D8309" s="44"/>
      <c r="E8309" s="22" t="str">
        <f>IF(D8309&lt;&gt;"",IFERROR(INDEX(Produtos!$C$4:$C$4996,MATCH(D8309,Produtos!$B$4:$B$4996,0)),"Produto não encontrado"),"")</f>
        <v/>
      </c>
    </row>
    <row r="8310" spans="1:5" x14ac:dyDescent="0.3">
      <c r="A8310" s="21" t="str">
        <f t="shared" si="129"/>
        <v>.</v>
      </c>
      <c r="D8310" s="44"/>
      <c r="E8310" s="22" t="str">
        <f>IF(D8310&lt;&gt;"",IFERROR(INDEX(Produtos!$C$4:$C$4996,MATCH(D8310,Produtos!$B$4:$B$4996,0)),"Produto não encontrado"),"")</f>
        <v/>
      </c>
    </row>
    <row r="8311" spans="1:5" x14ac:dyDescent="0.3">
      <c r="A8311" s="21" t="str">
        <f t="shared" si="129"/>
        <v>.</v>
      </c>
      <c r="D8311" s="44"/>
      <c r="E8311" s="22" t="str">
        <f>IF(D8311&lt;&gt;"",IFERROR(INDEX(Produtos!$C$4:$C$4996,MATCH(D8311,Produtos!$B$4:$B$4996,0)),"Produto não encontrado"),"")</f>
        <v/>
      </c>
    </row>
    <row r="8312" spans="1:5" x14ac:dyDescent="0.3">
      <c r="A8312" s="21" t="str">
        <f t="shared" si="129"/>
        <v>.</v>
      </c>
      <c r="D8312" s="44"/>
      <c r="E8312" s="22" t="str">
        <f>IF(D8312&lt;&gt;"",IFERROR(INDEX(Produtos!$C$4:$C$4996,MATCH(D8312,Produtos!$B$4:$B$4996,0)),"Produto não encontrado"),"")</f>
        <v/>
      </c>
    </row>
    <row r="8313" spans="1:5" x14ac:dyDescent="0.3">
      <c r="A8313" s="21" t="str">
        <f t="shared" si="129"/>
        <v>.</v>
      </c>
      <c r="D8313" s="44"/>
      <c r="E8313" s="22" t="str">
        <f>IF(D8313&lt;&gt;"",IFERROR(INDEX(Produtos!$C$4:$C$4996,MATCH(D8313,Produtos!$B$4:$B$4996,0)),"Produto não encontrado"),"")</f>
        <v/>
      </c>
    </row>
    <row r="8314" spans="1:5" x14ac:dyDescent="0.3">
      <c r="A8314" s="21" t="str">
        <f t="shared" si="129"/>
        <v>.</v>
      </c>
      <c r="D8314" s="44"/>
      <c r="E8314" s="22" t="str">
        <f>IF(D8314&lt;&gt;"",IFERROR(INDEX(Produtos!$C$4:$C$4996,MATCH(D8314,Produtos!$B$4:$B$4996,0)),"Produto não encontrado"),"")</f>
        <v/>
      </c>
    </row>
    <row r="8315" spans="1:5" x14ac:dyDescent="0.3">
      <c r="A8315" s="21" t="str">
        <f t="shared" si="129"/>
        <v>.</v>
      </c>
      <c r="D8315" s="44"/>
      <c r="E8315" s="22" t="str">
        <f>IF(D8315&lt;&gt;"",IFERROR(INDEX(Produtos!$C$4:$C$4996,MATCH(D8315,Produtos!$B$4:$B$4996,0)),"Produto não encontrado"),"")</f>
        <v/>
      </c>
    </row>
    <row r="8316" spans="1:5" x14ac:dyDescent="0.3">
      <c r="A8316" s="21" t="str">
        <f t="shared" si="129"/>
        <v>.</v>
      </c>
      <c r="D8316" s="44"/>
      <c r="E8316" s="22" t="str">
        <f>IF(D8316&lt;&gt;"",IFERROR(INDEX(Produtos!$C$4:$C$4996,MATCH(D8316,Produtos!$B$4:$B$4996,0)),"Produto não encontrado"),"")</f>
        <v/>
      </c>
    </row>
    <row r="8317" spans="1:5" x14ac:dyDescent="0.3">
      <c r="A8317" s="21" t="str">
        <f t="shared" si="129"/>
        <v>.</v>
      </c>
      <c r="D8317" s="44"/>
      <c r="E8317" s="22" t="str">
        <f>IF(D8317&lt;&gt;"",IFERROR(INDEX(Produtos!$C$4:$C$4996,MATCH(D8317,Produtos!$B$4:$B$4996,0)),"Produto não encontrado"),"")</f>
        <v/>
      </c>
    </row>
    <row r="8318" spans="1:5" x14ac:dyDescent="0.3">
      <c r="A8318" s="21" t="str">
        <f t="shared" si="129"/>
        <v>.</v>
      </c>
      <c r="D8318" s="44"/>
      <c r="E8318" s="22" t="str">
        <f>IF(D8318&lt;&gt;"",IFERROR(INDEX(Produtos!$C$4:$C$4996,MATCH(D8318,Produtos!$B$4:$B$4996,0)),"Produto não encontrado"),"")</f>
        <v/>
      </c>
    </row>
    <row r="8319" spans="1:5" x14ac:dyDescent="0.3">
      <c r="A8319" s="21" t="str">
        <f t="shared" si="129"/>
        <v>.</v>
      </c>
      <c r="D8319" s="44"/>
      <c r="E8319" s="22" t="str">
        <f>IF(D8319&lt;&gt;"",IFERROR(INDEX(Produtos!$C$4:$C$4996,MATCH(D8319,Produtos!$B$4:$B$4996,0)),"Produto não encontrado"),"")</f>
        <v/>
      </c>
    </row>
    <row r="8320" spans="1:5" x14ac:dyDescent="0.3">
      <c r="A8320" s="21" t="str">
        <f t="shared" ref="A8320:A8383" si="130">IF(C8320="Entrada",2,IF(C8320="Saída",1,"."))</f>
        <v>.</v>
      </c>
      <c r="D8320" s="44"/>
      <c r="E8320" s="22" t="str">
        <f>IF(D8320&lt;&gt;"",IFERROR(INDEX(Produtos!$C$4:$C$4996,MATCH(D8320,Produtos!$B$4:$B$4996,0)),"Produto não encontrado"),"")</f>
        <v/>
      </c>
    </row>
    <row r="8321" spans="1:5" x14ac:dyDescent="0.3">
      <c r="A8321" s="21" t="str">
        <f t="shared" si="130"/>
        <v>.</v>
      </c>
      <c r="D8321" s="44"/>
      <c r="E8321" s="22" t="str">
        <f>IF(D8321&lt;&gt;"",IFERROR(INDEX(Produtos!$C$4:$C$4996,MATCH(D8321,Produtos!$B$4:$B$4996,0)),"Produto não encontrado"),"")</f>
        <v/>
      </c>
    </row>
    <row r="8322" spans="1:5" x14ac:dyDescent="0.3">
      <c r="A8322" s="21" t="str">
        <f t="shared" si="130"/>
        <v>.</v>
      </c>
      <c r="D8322" s="44"/>
      <c r="E8322" s="22" t="str">
        <f>IF(D8322&lt;&gt;"",IFERROR(INDEX(Produtos!$C$4:$C$4996,MATCH(D8322,Produtos!$B$4:$B$4996,0)),"Produto não encontrado"),"")</f>
        <v/>
      </c>
    </row>
    <row r="8323" spans="1:5" x14ac:dyDescent="0.3">
      <c r="A8323" s="21" t="str">
        <f t="shared" si="130"/>
        <v>.</v>
      </c>
      <c r="D8323" s="44"/>
      <c r="E8323" s="22" t="str">
        <f>IF(D8323&lt;&gt;"",IFERROR(INDEX(Produtos!$C$4:$C$4996,MATCH(D8323,Produtos!$B$4:$B$4996,0)),"Produto não encontrado"),"")</f>
        <v/>
      </c>
    </row>
    <row r="8324" spans="1:5" x14ac:dyDescent="0.3">
      <c r="A8324" s="21" t="str">
        <f t="shared" si="130"/>
        <v>.</v>
      </c>
      <c r="D8324" s="44"/>
      <c r="E8324" s="22" t="str">
        <f>IF(D8324&lt;&gt;"",IFERROR(INDEX(Produtos!$C$4:$C$4996,MATCH(D8324,Produtos!$B$4:$B$4996,0)),"Produto não encontrado"),"")</f>
        <v/>
      </c>
    </row>
    <row r="8325" spans="1:5" x14ac:dyDescent="0.3">
      <c r="A8325" s="21" t="str">
        <f t="shared" si="130"/>
        <v>.</v>
      </c>
      <c r="D8325" s="44"/>
      <c r="E8325" s="22" t="str">
        <f>IF(D8325&lt;&gt;"",IFERROR(INDEX(Produtos!$C$4:$C$4996,MATCH(D8325,Produtos!$B$4:$B$4996,0)),"Produto não encontrado"),"")</f>
        <v/>
      </c>
    </row>
    <row r="8326" spans="1:5" x14ac:dyDescent="0.3">
      <c r="A8326" s="21" t="str">
        <f t="shared" si="130"/>
        <v>.</v>
      </c>
      <c r="D8326" s="44"/>
      <c r="E8326" s="22" t="str">
        <f>IF(D8326&lt;&gt;"",IFERROR(INDEX(Produtos!$C$4:$C$4996,MATCH(D8326,Produtos!$B$4:$B$4996,0)),"Produto não encontrado"),"")</f>
        <v/>
      </c>
    </row>
    <row r="8327" spans="1:5" x14ac:dyDescent="0.3">
      <c r="A8327" s="21" t="str">
        <f t="shared" si="130"/>
        <v>.</v>
      </c>
      <c r="D8327" s="44"/>
      <c r="E8327" s="22" t="str">
        <f>IF(D8327&lt;&gt;"",IFERROR(INDEX(Produtos!$C$4:$C$4996,MATCH(D8327,Produtos!$B$4:$B$4996,0)),"Produto não encontrado"),"")</f>
        <v/>
      </c>
    </row>
    <row r="8328" spans="1:5" x14ac:dyDescent="0.3">
      <c r="A8328" s="21" t="str">
        <f t="shared" si="130"/>
        <v>.</v>
      </c>
      <c r="D8328" s="44"/>
      <c r="E8328" s="22" t="str">
        <f>IF(D8328&lt;&gt;"",IFERROR(INDEX(Produtos!$C$4:$C$4996,MATCH(D8328,Produtos!$B$4:$B$4996,0)),"Produto não encontrado"),"")</f>
        <v/>
      </c>
    </row>
    <row r="8329" spans="1:5" x14ac:dyDescent="0.3">
      <c r="A8329" s="21" t="str">
        <f t="shared" si="130"/>
        <v>.</v>
      </c>
      <c r="D8329" s="44"/>
      <c r="E8329" s="22" t="str">
        <f>IF(D8329&lt;&gt;"",IFERROR(INDEX(Produtos!$C$4:$C$4996,MATCH(D8329,Produtos!$B$4:$B$4996,0)),"Produto não encontrado"),"")</f>
        <v/>
      </c>
    </row>
    <row r="8330" spans="1:5" x14ac:dyDescent="0.3">
      <c r="A8330" s="21" t="str">
        <f t="shared" si="130"/>
        <v>.</v>
      </c>
      <c r="D8330" s="44"/>
      <c r="E8330" s="22" t="str">
        <f>IF(D8330&lt;&gt;"",IFERROR(INDEX(Produtos!$C$4:$C$4996,MATCH(D8330,Produtos!$B$4:$B$4996,0)),"Produto não encontrado"),"")</f>
        <v/>
      </c>
    </row>
    <row r="8331" spans="1:5" x14ac:dyDescent="0.3">
      <c r="A8331" s="21" t="str">
        <f t="shared" si="130"/>
        <v>.</v>
      </c>
      <c r="D8331" s="44"/>
      <c r="E8331" s="22" t="str">
        <f>IF(D8331&lt;&gt;"",IFERROR(INDEX(Produtos!$C$4:$C$4996,MATCH(D8331,Produtos!$B$4:$B$4996,0)),"Produto não encontrado"),"")</f>
        <v/>
      </c>
    </row>
    <row r="8332" spans="1:5" x14ac:dyDescent="0.3">
      <c r="A8332" s="21" t="str">
        <f t="shared" si="130"/>
        <v>.</v>
      </c>
      <c r="D8332" s="44"/>
      <c r="E8332" s="22" t="str">
        <f>IF(D8332&lt;&gt;"",IFERROR(INDEX(Produtos!$C$4:$C$4996,MATCH(D8332,Produtos!$B$4:$B$4996,0)),"Produto não encontrado"),"")</f>
        <v/>
      </c>
    </row>
    <row r="8333" spans="1:5" x14ac:dyDescent="0.3">
      <c r="A8333" s="21" t="str">
        <f t="shared" si="130"/>
        <v>.</v>
      </c>
      <c r="D8333" s="44"/>
      <c r="E8333" s="22" t="str">
        <f>IF(D8333&lt;&gt;"",IFERROR(INDEX(Produtos!$C$4:$C$4996,MATCH(D8333,Produtos!$B$4:$B$4996,0)),"Produto não encontrado"),"")</f>
        <v/>
      </c>
    </row>
    <row r="8334" spans="1:5" x14ac:dyDescent="0.3">
      <c r="A8334" s="21" t="str">
        <f t="shared" si="130"/>
        <v>.</v>
      </c>
      <c r="D8334" s="44"/>
      <c r="E8334" s="22" t="str">
        <f>IF(D8334&lt;&gt;"",IFERROR(INDEX(Produtos!$C$4:$C$4996,MATCH(D8334,Produtos!$B$4:$B$4996,0)),"Produto não encontrado"),"")</f>
        <v/>
      </c>
    </row>
    <row r="8335" spans="1:5" x14ac:dyDescent="0.3">
      <c r="A8335" s="21" t="str">
        <f t="shared" si="130"/>
        <v>.</v>
      </c>
      <c r="D8335" s="44"/>
      <c r="E8335" s="22" t="str">
        <f>IF(D8335&lt;&gt;"",IFERROR(INDEX(Produtos!$C$4:$C$4996,MATCH(D8335,Produtos!$B$4:$B$4996,0)),"Produto não encontrado"),"")</f>
        <v/>
      </c>
    </row>
    <row r="8336" spans="1:5" x14ac:dyDescent="0.3">
      <c r="A8336" s="21" t="str">
        <f t="shared" si="130"/>
        <v>.</v>
      </c>
      <c r="D8336" s="44"/>
      <c r="E8336" s="22" t="str">
        <f>IF(D8336&lt;&gt;"",IFERROR(INDEX(Produtos!$C$4:$C$4996,MATCH(D8336,Produtos!$B$4:$B$4996,0)),"Produto não encontrado"),"")</f>
        <v/>
      </c>
    </row>
    <row r="8337" spans="1:5" x14ac:dyDescent="0.3">
      <c r="A8337" s="21" t="str">
        <f t="shared" si="130"/>
        <v>.</v>
      </c>
      <c r="D8337" s="44"/>
      <c r="E8337" s="22" t="str">
        <f>IF(D8337&lt;&gt;"",IFERROR(INDEX(Produtos!$C$4:$C$4996,MATCH(D8337,Produtos!$B$4:$B$4996,0)),"Produto não encontrado"),"")</f>
        <v/>
      </c>
    </row>
    <row r="8338" spans="1:5" x14ac:dyDescent="0.3">
      <c r="A8338" s="21" t="str">
        <f t="shared" si="130"/>
        <v>.</v>
      </c>
      <c r="D8338" s="44"/>
      <c r="E8338" s="22" t="str">
        <f>IF(D8338&lt;&gt;"",IFERROR(INDEX(Produtos!$C$4:$C$4996,MATCH(D8338,Produtos!$B$4:$B$4996,0)),"Produto não encontrado"),"")</f>
        <v/>
      </c>
    </row>
    <row r="8339" spans="1:5" x14ac:dyDescent="0.3">
      <c r="A8339" s="21" t="str">
        <f t="shared" si="130"/>
        <v>.</v>
      </c>
      <c r="D8339" s="44"/>
      <c r="E8339" s="22" t="str">
        <f>IF(D8339&lt;&gt;"",IFERROR(INDEX(Produtos!$C$4:$C$4996,MATCH(D8339,Produtos!$B$4:$B$4996,0)),"Produto não encontrado"),"")</f>
        <v/>
      </c>
    </row>
    <row r="8340" spans="1:5" x14ac:dyDescent="0.3">
      <c r="A8340" s="21" t="str">
        <f t="shared" si="130"/>
        <v>.</v>
      </c>
      <c r="D8340" s="44"/>
      <c r="E8340" s="22" t="str">
        <f>IF(D8340&lt;&gt;"",IFERROR(INDEX(Produtos!$C$4:$C$4996,MATCH(D8340,Produtos!$B$4:$B$4996,0)),"Produto não encontrado"),"")</f>
        <v/>
      </c>
    </row>
    <row r="8341" spans="1:5" x14ac:dyDescent="0.3">
      <c r="A8341" s="21" t="str">
        <f t="shared" si="130"/>
        <v>.</v>
      </c>
      <c r="D8341" s="44"/>
      <c r="E8341" s="22" t="str">
        <f>IF(D8341&lt;&gt;"",IFERROR(INDEX(Produtos!$C$4:$C$4996,MATCH(D8341,Produtos!$B$4:$B$4996,0)),"Produto não encontrado"),"")</f>
        <v/>
      </c>
    </row>
    <row r="8342" spans="1:5" x14ac:dyDescent="0.3">
      <c r="A8342" s="21" t="str">
        <f t="shared" si="130"/>
        <v>.</v>
      </c>
      <c r="D8342" s="44"/>
      <c r="E8342" s="22" t="str">
        <f>IF(D8342&lt;&gt;"",IFERROR(INDEX(Produtos!$C$4:$C$4996,MATCH(D8342,Produtos!$B$4:$B$4996,0)),"Produto não encontrado"),"")</f>
        <v/>
      </c>
    </row>
    <row r="8343" spans="1:5" x14ac:dyDescent="0.3">
      <c r="A8343" s="21" t="str">
        <f t="shared" si="130"/>
        <v>.</v>
      </c>
      <c r="D8343" s="44"/>
      <c r="E8343" s="22" t="str">
        <f>IF(D8343&lt;&gt;"",IFERROR(INDEX(Produtos!$C$4:$C$4996,MATCH(D8343,Produtos!$B$4:$B$4996,0)),"Produto não encontrado"),"")</f>
        <v/>
      </c>
    </row>
    <row r="8344" spans="1:5" x14ac:dyDescent="0.3">
      <c r="A8344" s="21" t="str">
        <f t="shared" si="130"/>
        <v>.</v>
      </c>
      <c r="D8344" s="44"/>
      <c r="E8344" s="22" t="str">
        <f>IF(D8344&lt;&gt;"",IFERROR(INDEX(Produtos!$C$4:$C$4996,MATCH(D8344,Produtos!$B$4:$B$4996,0)),"Produto não encontrado"),"")</f>
        <v/>
      </c>
    </row>
    <row r="8345" spans="1:5" x14ac:dyDescent="0.3">
      <c r="A8345" s="21" t="str">
        <f t="shared" si="130"/>
        <v>.</v>
      </c>
      <c r="D8345" s="44"/>
      <c r="E8345" s="22" t="str">
        <f>IF(D8345&lt;&gt;"",IFERROR(INDEX(Produtos!$C$4:$C$4996,MATCH(D8345,Produtos!$B$4:$B$4996,0)),"Produto não encontrado"),"")</f>
        <v/>
      </c>
    </row>
    <row r="8346" spans="1:5" x14ac:dyDescent="0.3">
      <c r="A8346" s="21" t="str">
        <f t="shared" si="130"/>
        <v>.</v>
      </c>
      <c r="D8346" s="44"/>
      <c r="E8346" s="22" t="str">
        <f>IF(D8346&lt;&gt;"",IFERROR(INDEX(Produtos!$C$4:$C$4996,MATCH(D8346,Produtos!$B$4:$B$4996,0)),"Produto não encontrado"),"")</f>
        <v/>
      </c>
    </row>
    <row r="8347" spans="1:5" x14ac:dyDescent="0.3">
      <c r="A8347" s="21" t="str">
        <f t="shared" si="130"/>
        <v>.</v>
      </c>
      <c r="D8347" s="44"/>
      <c r="E8347" s="22" t="str">
        <f>IF(D8347&lt;&gt;"",IFERROR(INDEX(Produtos!$C$4:$C$4996,MATCH(D8347,Produtos!$B$4:$B$4996,0)),"Produto não encontrado"),"")</f>
        <v/>
      </c>
    </row>
    <row r="8348" spans="1:5" x14ac:dyDescent="0.3">
      <c r="A8348" s="21" t="str">
        <f t="shared" si="130"/>
        <v>.</v>
      </c>
      <c r="D8348" s="44"/>
      <c r="E8348" s="22" t="str">
        <f>IF(D8348&lt;&gt;"",IFERROR(INDEX(Produtos!$C$4:$C$4996,MATCH(D8348,Produtos!$B$4:$B$4996,0)),"Produto não encontrado"),"")</f>
        <v/>
      </c>
    </row>
    <row r="8349" spans="1:5" x14ac:dyDescent="0.3">
      <c r="A8349" s="21" t="str">
        <f t="shared" si="130"/>
        <v>.</v>
      </c>
      <c r="D8349" s="44"/>
      <c r="E8349" s="22" t="str">
        <f>IF(D8349&lt;&gt;"",IFERROR(INDEX(Produtos!$C$4:$C$4996,MATCH(D8349,Produtos!$B$4:$B$4996,0)),"Produto não encontrado"),"")</f>
        <v/>
      </c>
    </row>
    <row r="8350" spans="1:5" x14ac:dyDescent="0.3">
      <c r="A8350" s="21" t="str">
        <f t="shared" si="130"/>
        <v>.</v>
      </c>
      <c r="D8350" s="44"/>
      <c r="E8350" s="22" t="str">
        <f>IF(D8350&lt;&gt;"",IFERROR(INDEX(Produtos!$C$4:$C$4996,MATCH(D8350,Produtos!$B$4:$B$4996,0)),"Produto não encontrado"),"")</f>
        <v/>
      </c>
    </row>
    <row r="8351" spans="1:5" x14ac:dyDescent="0.3">
      <c r="A8351" s="21" t="str">
        <f t="shared" si="130"/>
        <v>.</v>
      </c>
      <c r="D8351" s="44"/>
      <c r="E8351" s="22" t="str">
        <f>IF(D8351&lt;&gt;"",IFERROR(INDEX(Produtos!$C$4:$C$4996,MATCH(D8351,Produtos!$B$4:$B$4996,0)),"Produto não encontrado"),"")</f>
        <v/>
      </c>
    </row>
    <row r="8352" spans="1:5" x14ac:dyDescent="0.3">
      <c r="A8352" s="21" t="str">
        <f t="shared" si="130"/>
        <v>.</v>
      </c>
      <c r="D8352" s="44"/>
      <c r="E8352" s="22" t="str">
        <f>IF(D8352&lt;&gt;"",IFERROR(INDEX(Produtos!$C$4:$C$4996,MATCH(D8352,Produtos!$B$4:$B$4996,0)),"Produto não encontrado"),"")</f>
        <v/>
      </c>
    </row>
    <row r="8353" spans="1:5" x14ac:dyDescent="0.3">
      <c r="A8353" s="21" t="str">
        <f t="shared" si="130"/>
        <v>.</v>
      </c>
      <c r="D8353" s="44"/>
      <c r="E8353" s="22" t="str">
        <f>IF(D8353&lt;&gt;"",IFERROR(INDEX(Produtos!$C$4:$C$4996,MATCH(D8353,Produtos!$B$4:$B$4996,0)),"Produto não encontrado"),"")</f>
        <v/>
      </c>
    </row>
    <row r="8354" spans="1:5" x14ac:dyDescent="0.3">
      <c r="A8354" s="21" t="str">
        <f t="shared" si="130"/>
        <v>.</v>
      </c>
      <c r="D8354" s="44"/>
      <c r="E8354" s="22" t="str">
        <f>IF(D8354&lt;&gt;"",IFERROR(INDEX(Produtos!$C$4:$C$4996,MATCH(D8354,Produtos!$B$4:$B$4996,0)),"Produto não encontrado"),"")</f>
        <v/>
      </c>
    </row>
    <row r="8355" spans="1:5" x14ac:dyDescent="0.3">
      <c r="A8355" s="21" t="str">
        <f t="shared" si="130"/>
        <v>.</v>
      </c>
      <c r="D8355" s="44"/>
      <c r="E8355" s="22" t="str">
        <f>IF(D8355&lt;&gt;"",IFERROR(INDEX(Produtos!$C$4:$C$4996,MATCH(D8355,Produtos!$B$4:$B$4996,0)),"Produto não encontrado"),"")</f>
        <v/>
      </c>
    </row>
    <row r="8356" spans="1:5" x14ac:dyDescent="0.3">
      <c r="A8356" s="21" t="str">
        <f t="shared" si="130"/>
        <v>.</v>
      </c>
      <c r="D8356" s="44"/>
      <c r="E8356" s="22" t="str">
        <f>IF(D8356&lt;&gt;"",IFERROR(INDEX(Produtos!$C$4:$C$4996,MATCH(D8356,Produtos!$B$4:$B$4996,0)),"Produto não encontrado"),"")</f>
        <v/>
      </c>
    </row>
    <row r="8357" spans="1:5" x14ac:dyDescent="0.3">
      <c r="A8357" s="21" t="str">
        <f t="shared" si="130"/>
        <v>.</v>
      </c>
      <c r="D8357" s="44"/>
      <c r="E8357" s="22" t="str">
        <f>IF(D8357&lt;&gt;"",IFERROR(INDEX(Produtos!$C$4:$C$4996,MATCH(D8357,Produtos!$B$4:$B$4996,0)),"Produto não encontrado"),"")</f>
        <v/>
      </c>
    </row>
    <row r="8358" spans="1:5" x14ac:dyDescent="0.3">
      <c r="A8358" s="21" t="str">
        <f t="shared" si="130"/>
        <v>.</v>
      </c>
      <c r="D8358" s="44"/>
      <c r="E8358" s="22" t="str">
        <f>IF(D8358&lt;&gt;"",IFERROR(INDEX(Produtos!$C$4:$C$4996,MATCH(D8358,Produtos!$B$4:$B$4996,0)),"Produto não encontrado"),"")</f>
        <v/>
      </c>
    </row>
    <row r="8359" spans="1:5" x14ac:dyDescent="0.3">
      <c r="A8359" s="21" t="str">
        <f t="shared" si="130"/>
        <v>.</v>
      </c>
      <c r="D8359" s="44"/>
      <c r="E8359" s="22" t="str">
        <f>IF(D8359&lt;&gt;"",IFERROR(INDEX(Produtos!$C$4:$C$4996,MATCH(D8359,Produtos!$B$4:$B$4996,0)),"Produto não encontrado"),"")</f>
        <v/>
      </c>
    </row>
    <row r="8360" spans="1:5" x14ac:dyDescent="0.3">
      <c r="A8360" s="21" t="str">
        <f t="shared" si="130"/>
        <v>.</v>
      </c>
      <c r="D8360" s="44"/>
      <c r="E8360" s="22" t="str">
        <f>IF(D8360&lt;&gt;"",IFERROR(INDEX(Produtos!$C$4:$C$4996,MATCH(D8360,Produtos!$B$4:$B$4996,0)),"Produto não encontrado"),"")</f>
        <v/>
      </c>
    </row>
    <row r="8361" spans="1:5" x14ac:dyDescent="0.3">
      <c r="A8361" s="21" t="str">
        <f t="shared" si="130"/>
        <v>.</v>
      </c>
      <c r="D8361" s="44"/>
      <c r="E8361" s="22" t="str">
        <f>IF(D8361&lt;&gt;"",IFERROR(INDEX(Produtos!$C$4:$C$4996,MATCH(D8361,Produtos!$B$4:$B$4996,0)),"Produto não encontrado"),"")</f>
        <v/>
      </c>
    </row>
    <row r="8362" spans="1:5" x14ac:dyDescent="0.3">
      <c r="A8362" s="21" t="str">
        <f t="shared" si="130"/>
        <v>.</v>
      </c>
      <c r="D8362" s="44"/>
      <c r="E8362" s="22" t="str">
        <f>IF(D8362&lt;&gt;"",IFERROR(INDEX(Produtos!$C$4:$C$4996,MATCH(D8362,Produtos!$B$4:$B$4996,0)),"Produto não encontrado"),"")</f>
        <v/>
      </c>
    </row>
    <row r="8363" spans="1:5" x14ac:dyDescent="0.3">
      <c r="A8363" s="21" t="str">
        <f t="shared" si="130"/>
        <v>.</v>
      </c>
      <c r="D8363" s="44"/>
      <c r="E8363" s="22" t="str">
        <f>IF(D8363&lt;&gt;"",IFERROR(INDEX(Produtos!$C$4:$C$4996,MATCH(D8363,Produtos!$B$4:$B$4996,0)),"Produto não encontrado"),"")</f>
        <v/>
      </c>
    </row>
    <row r="8364" spans="1:5" x14ac:dyDescent="0.3">
      <c r="A8364" s="21" t="str">
        <f t="shared" si="130"/>
        <v>.</v>
      </c>
      <c r="D8364" s="44"/>
      <c r="E8364" s="22" t="str">
        <f>IF(D8364&lt;&gt;"",IFERROR(INDEX(Produtos!$C$4:$C$4996,MATCH(D8364,Produtos!$B$4:$B$4996,0)),"Produto não encontrado"),"")</f>
        <v/>
      </c>
    </row>
    <row r="8365" spans="1:5" x14ac:dyDescent="0.3">
      <c r="A8365" s="21" t="str">
        <f t="shared" si="130"/>
        <v>.</v>
      </c>
      <c r="D8365" s="44"/>
      <c r="E8365" s="22" t="str">
        <f>IF(D8365&lt;&gt;"",IFERROR(INDEX(Produtos!$C$4:$C$4996,MATCH(D8365,Produtos!$B$4:$B$4996,0)),"Produto não encontrado"),"")</f>
        <v/>
      </c>
    </row>
    <row r="8366" spans="1:5" x14ac:dyDescent="0.3">
      <c r="A8366" s="21" t="str">
        <f t="shared" si="130"/>
        <v>.</v>
      </c>
      <c r="D8366" s="44"/>
      <c r="E8366" s="22" t="str">
        <f>IF(D8366&lt;&gt;"",IFERROR(INDEX(Produtos!$C$4:$C$4996,MATCH(D8366,Produtos!$B$4:$B$4996,0)),"Produto não encontrado"),"")</f>
        <v/>
      </c>
    </row>
    <row r="8367" spans="1:5" x14ac:dyDescent="0.3">
      <c r="A8367" s="21" t="str">
        <f t="shared" si="130"/>
        <v>.</v>
      </c>
      <c r="D8367" s="44"/>
      <c r="E8367" s="22" t="str">
        <f>IF(D8367&lt;&gt;"",IFERROR(INDEX(Produtos!$C$4:$C$4996,MATCH(D8367,Produtos!$B$4:$B$4996,0)),"Produto não encontrado"),"")</f>
        <v/>
      </c>
    </row>
    <row r="8368" spans="1:5" x14ac:dyDescent="0.3">
      <c r="A8368" s="21" t="str">
        <f t="shared" si="130"/>
        <v>.</v>
      </c>
      <c r="D8368" s="44"/>
      <c r="E8368" s="22" t="str">
        <f>IF(D8368&lt;&gt;"",IFERROR(INDEX(Produtos!$C$4:$C$4996,MATCH(D8368,Produtos!$B$4:$B$4996,0)),"Produto não encontrado"),"")</f>
        <v/>
      </c>
    </row>
    <row r="8369" spans="1:5" x14ac:dyDescent="0.3">
      <c r="A8369" s="21" t="str">
        <f t="shared" si="130"/>
        <v>.</v>
      </c>
      <c r="D8369" s="44"/>
      <c r="E8369" s="22" t="str">
        <f>IF(D8369&lt;&gt;"",IFERROR(INDEX(Produtos!$C$4:$C$4996,MATCH(D8369,Produtos!$B$4:$B$4996,0)),"Produto não encontrado"),"")</f>
        <v/>
      </c>
    </row>
    <row r="8370" spans="1:5" x14ac:dyDescent="0.3">
      <c r="A8370" s="21" t="str">
        <f t="shared" si="130"/>
        <v>.</v>
      </c>
      <c r="D8370" s="44"/>
      <c r="E8370" s="22" t="str">
        <f>IF(D8370&lt;&gt;"",IFERROR(INDEX(Produtos!$C$4:$C$4996,MATCH(D8370,Produtos!$B$4:$B$4996,0)),"Produto não encontrado"),"")</f>
        <v/>
      </c>
    </row>
    <row r="8371" spans="1:5" x14ac:dyDescent="0.3">
      <c r="A8371" s="21" t="str">
        <f t="shared" si="130"/>
        <v>.</v>
      </c>
      <c r="D8371" s="44"/>
      <c r="E8371" s="22" t="str">
        <f>IF(D8371&lt;&gt;"",IFERROR(INDEX(Produtos!$C$4:$C$4996,MATCH(D8371,Produtos!$B$4:$B$4996,0)),"Produto não encontrado"),"")</f>
        <v/>
      </c>
    </row>
    <row r="8372" spans="1:5" x14ac:dyDescent="0.3">
      <c r="A8372" s="21" t="str">
        <f t="shared" si="130"/>
        <v>.</v>
      </c>
      <c r="D8372" s="44"/>
      <c r="E8372" s="22" t="str">
        <f>IF(D8372&lt;&gt;"",IFERROR(INDEX(Produtos!$C$4:$C$4996,MATCH(D8372,Produtos!$B$4:$B$4996,0)),"Produto não encontrado"),"")</f>
        <v/>
      </c>
    </row>
    <row r="8373" spans="1:5" x14ac:dyDescent="0.3">
      <c r="A8373" s="21" t="str">
        <f t="shared" si="130"/>
        <v>.</v>
      </c>
      <c r="D8373" s="44"/>
      <c r="E8373" s="22" t="str">
        <f>IF(D8373&lt;&gt;"",IFERROR(INDEX(Produtos!$C$4:$C$4996,MATCH(D8373,Produtos!$B$4:$B$4996,0)),"Produto não encontrado"),"")</f>
        <v/>
      </c>
    </row>
    <row r="8374" spans="1:5" x14ac:dyDescent="0.3">
      <c r="A8374" s="21" t="str">
        <f t="shared" si="130"/>
        <v>.</v>
      </c>
      <c r="D8374" s="44"/>
      <c r="E8374" s="22" t="str">
        <f>IF(D8374&lt;&gt;"",IFERROR(INDEX(Produtos!$C$4:$C$4996,MATCH(D8374,Produtos!$B$4:$B$4996,0)),"Produto não encontrado"),"")</f>
        <v/>
      </c>
    </row>
    <row r="8375" spans="1:5" x14ac:dyDescent="0.3">
      <c r="A8375" s="21" t="str">
        <f t="shared" si="130"/>
        <v>.</v>
      </c>
      <c r="D8375" s="44"/>
      <c r="E8375" s="22" t="str">
        <f>IF(D8375&lt;&gt;"",IFERROR(INDEX(Produtos!$C$4:$C$4996,MATCH(D8375,Produtos!$B$4:$B$4996,0)),"Produto não encontrado"),"")</f>
        <v/>
      </c>
    </row>
    <row r="8376" spans="1:5" x14ac:dyDescent="0.3">
      <c r="A8376" s="21" t="str">
        <f t="shared" si="130"/>
        <v>.</v>
      </c>
      <c r="D8376" s="44"/>
      <c r="E8376" s="22" t="str">
        <f>IF(D8376&lt;&gt;"",IFERROR(INDEX(Produtos!$C$4:$C$4996,MATCH(D8376,Produtos!$B$4:$B$4996,0)),"Produto não encontrado"),"")</f>
        <v/>
      </c>
    </row>
    <row r="8377" spans="1:5" x14ac:dyDescent="0.3">
      <c r="A8377" s="21" t="str">
        <f t="shared" si="130"/>
        <v>.</v>
      </c>
      <c r="D8377" s="44"/>
      <c r="E8377" s="22" t="str">
        <f>IF(D8377&lt;&gt;"",IFERROR(INDEX(Produtos!$C$4:$C$4996,MATCH(D8377,Produtos!$B$4:$B$4996,0)),"Produto não encontrado"),"")</f>
        <v/>
      </c>
    </row>
    <row r="8378" spans="1:5" x14ac:dyDescent="0.3">
      <c r="A8378" s="21" t="str">
        <f t="shared" si="130"/>
        <v>.</v>
      </c>
      <c r="D8378" s="44"/>
      <c r="E8378" s="22" t="str">
        <f>IF(D8378&lt;&gt;"",IFERROR(INDEX(Produtos!$C$4:$C$4996,MATCH(D8378,Produtos!$B$4:$B$4996,0)),"Produto não encontrado"),"")</f>
        <v/>
      </c>
    </row>
    <row r="8379" spans="1:5" x14ac:dyDescent="0.3">
      <c r="A8379" s="21" t="str">
        <f t="shared" si="130"/>
        <v>.</v>
      </c>
      <c r="D8379" s="44"/>
      <c r="E8379" s="22" t="str">
        <f>IF(D8379&lt;&gt;"",IFERROR(INDEX(Produtos!$C$4:$C$4996,MATCH(D8379,Produtos!$B$4:$B$4996,0)),"Produto não encontrado"),"")</f>
        <v/>
      </c>
    </row>
    <row r="8380" spans="1:5" x14ac:dyDescent="0.3">
      <c r="A8380" s="21" t="str">
        <f t="shared" si="130"/>
        <v>.</v>
      </c>
      <c r="D8380" s="44"/>
      <c r="E8380" s="22" t="str">
        <f>IF(D8380&lt;&gt;"",IFERROR(INDEX(Produtos!$C$4:$C$4996,MATCH(D8380,Produtos!$B$4:$B$4996,0)),"Produto não encontrado"),"")</f>
        <v/>
      </c>
    </row>
    <row r="8381" spans="1:5" x14ac:dyDescent="0.3">
      <c r="A8381" s="21" t="str">
        <f t="shared" si="130"/>
        <v>.</v>
      </c>
      <c r="D8381" s="44"/>
      <c r="E8381" s="22" t="str">
        <f>IF(D8381&lt;&gt;"",IFERROR(INDEX(Produtos!$C$4:$C$4996,MATCH(D8381,Produtos!$B$4:$B$4996,0)),"Produto não encontrado"),"")</f>
        <v/>
      </c>
    </row>
    <row r="8382" spans="1:5" x14ac:dyDescent="0.3">
      <c r="A8382" s="21" t="str">
        <f t="shared" si="130"/>
        <v>.</v>
      </c>
      <c r="D8382" s="44"/>
      <c r="E8382" s="22" t="str">
        <f>IF(D8382&lt;&gt;"",IFERROR(INDEX(Produtos!$C$4:$C$4996,MATCH(D8382,Produtos!$B$4:$B$4996,0)),"Produto não encontrado"),"")</f>
        <v/>
      </c>
    </row>
    <row r="8383" spans="1:5" x14ac:dyDescent="0.3">
      <c r="A8383" s="21" t="str">
        <f t="shared" si="130"/>
        <v>.</v>
      </c>
      <c r="D8383" s="44"/>
      <c r="E8383" s="22" t="str">
        <f>IF(D8383&lt;&gt;"",IFERROR(INDEX(Produtos!$C$4:$C$4996,MATCH(D8383,Produtos!$B$4:$B$4996,0)),"Produto não encontrado"),"")</f>
        <v/>
      </c>
    </row>
    <row r="8384" spans="1:5" x14ac:dyDescent="0.3">
      <c r="A8384" s="21" t="str">
        <f t="shared" ref="A8384:A8447" si="131">IF(C8384="Entrada",2,IF(C8384="Saída",1,"."))</f>
        <v>.</v>
      </c>
      <c r="D8384" s="44"/>
      <c r="E8384" s="22" t="str">
        <f>IF(D8384&lt;&gt;"",IFERROR(INDEX(Produtos!$C$4:$C$4996,MATCH(D8384,Produtos!$B$4:$B$4996,0)),"Produto não encontrado"),"")</f>
        <v/>
      </c>
    </row>
    <row r="8385" spans="1:5" x14ac:dyDescent="0.3">
      <c r="A8385" s="21" t="str">
        <f t="shared" si="131"/>
        <v>.</v>
      </c>
      <c r="D8385" s="44"/>
      <c r="E8385" s="22" t="str">
        <f>IF(D8385&lt;&gt;"",IFERROR(INDEX(Produtos!$C$4:$C$4996,MATCH(D8385,Produtos!$B$4:$B$4996,0)),"Produto não encontrado"),"")</f>
        <v/>
      </c>
    </row>
    <row r="8386" spans="1:5" x14ac:dyDescent="0.3">
      <c r="A8386" s="21" t="str">
        <f t="shared" si="131"/>
        <v>.</v>
      </c>
      <c r="D8386" s="44"/>
      <c r="E8386" s="22" t="str">
        <f>IF(D8386&lt;&gt;"",IFERROR(INDEX(Produtos!$C$4:$C$4996,MATCH(D8386,Produtos!$B$4:$B$4996,0)),"Produto não encontrado"),"")</f>
        <v/>
      </c>
    </row>
    <row r="8387" spans="1:5" x14ac:dyDescent="0.3">
      <c r="A8387" s="21" t="str">
        <f t="shared" si="131"/>
        <v>.</v>
      </c>
      <c r="D8387" s="44"/>
      <c r="E8387" s="22" t="str">
        <f>IF(D8387&lt;&gt;"",IFERROR(INDEX(Produtos!$C$4:$C$4996,MATCH(D8387,Produtos!$B$4:$B$4996,0)),"Produto não encontrado"),"")</f>
        <v/>
      </c>
    </row>
    <row r="8388" spans="1:5" x14ac:dyDescent="0.3">
      <c r="A8388" s="21" t="str">
        <f t="shared" si="131"/>
        <v>.</v>
      </c>
      <c r="D8388" s="44"/>
      <c r="E8388" s="22" t="str">
        <f>IF(D8388&lt;&gt;"",IFERROR(INDEX(Produtos!$C$4:$C$4996,MATCH(D8388,Produtos!$B$4:$B$4996,0)),"Produto não encontrado"),"")</f>
        <v/>
      </c>
    </row>
    <row r="8389" spans="1:5" x14ac:dyDescent="0.3">
      <c r="A8389" s="21" t="str">
        <f t="shared" si="131"/>
        <v>.</v>
      </c>
      <c r="D8389" s="44"/>
      <c r="E8389" s="22" t="str">
        <f>IF(D8389&lt;&gt;"",IFERROR(INDEX(Produtos!$C$4:$C$4996,MATCH(D8389,Produtos!$B$4:$B$4996,0)),"Produto não encontrado"),"")</f>
        <v/>
      </c>
    </row>
    <row r="8390" spans="1:5" x14ac:dyDescent="0.3">
      <c r="A8390" s="21" t="str">
        <f t="shared" si="131"/>
        <v>.</v>
      </c>
      <c r="D8390" s="44"/>
      <c r="E8390" s="22" t="str">
        <f>IF(D8390&lt;&gt;"",IFERROR(INDEX(Produtos!$C$4:$C$4996,MATCH(D8390,Produtos!$B$4:$B$4996,0)),"Produto não encontrado"),"")</f>
        <v/>
      </c>
    </row>
    <row r="8391" spans="1:5" x14ac:dyDescent="0.3">
      <c r="A8391" s="21" t="str">
        <f t="shared" si="131"/>
        <v>.</v>
      </c>
      <c r="D8391" s="44"/>
      <c r="E8391" s="22" t="str">
        <f>IF(D8391&lt;&gt;"",IFERROR(INDEX(Produtos!$C$4:$C$4996,MATCH(D8391,Produtos!$B$4:$B$4996,0)),"Produto não encontrado"),"")</f>
        <v/>
      </c>
    </row>
    <row r="8392" spans="1:5" x14ac:dyDescent="0.3">
      <c r="A8392" s="21" t="str">
        <f t="shared" si="131"/>
        <v>.</v>
      </c>
      <c r="D8392" s="44"/>
      <c r="E8392" s="22" t="str">
        <f>IF(D8392&lt;&gt;"",IFERROR(INDEX(Produtos!$C$4:$C$4996,MATCH(D8392,Produtos!$B$4:$B$4996,0)),"Produto não encontrado"),"")</f>
        <v/>
      </c>
    </row>
    <row r="8393" spans="1:5" x14ac:dyDescent="0.3">
      <c r="A8393" s="21" t="str">
        <f t="shared" si="131"/>
        <v>.</v>
      </c>
      <c r="D8393" s="44"/>
      <c r="E8393" s="22" t="str">
        <f>IF(D8393&lt;&gt;"",IFERROR(INDEX(Produtos!$C$4:$C$4996,MATCH(D8393,Produtos!$B$4:$B$4996,0)),"Produto não encontrado"),"")</f>
        <v/>
      </c>
    </row>
    <row r="8394" spans="1:5" x14ac:dyDescent="0.3">
      <c r="A8394" s="21" t="str">
        <f t="shared" si="131"/>
        <v>.</v>
      </c>
      <c r="D8394" s="44"/>
      <c r="E8394" s="22" t="str">
        <f>IF(D8394&lt;&gt;"",IFERROR(INDEX(Produtos!$C$4:$C$4996,MATCH(D8394,Produtos!$B$4:$B$4996,0)),"Produto não encontrado"),"")</f>
        <v/>
      </c>
    </row>
    <row r="8395" spans="1:5" x14ac:dyDescent="0.3">
      <c r="A8395" s="21" t="str">
        <f t="shared" si="131"/>
        <v>.</v>
      </c>
      <c r="D8395" s="44"/>
      <c r="E8395" s="22" t="str">
        <f>IF(D8395&lt;&gt;"",IFERROR(INDEX(Produtos!$C$4:$C$4996,MATCH(D8395,Produtos!$B$4:$B$4996,0)),"Produto não encontrado"),"")</f>
        <v/>
      </c>
    </row>
    <row r="8396" spans="1:5" x14ac:dyDescent="0.3">
      <c r="A8396" s="21" t="str">
        <f t="shared" si="131"/>
        <v>.</v>
      </c>
      <c r="D8396" s="44"/>
      <c r="E8396" s="22" t="str">
        <f>IF(D8396&lt;&gt;"",IFERROR(INDEX(Produtos!$C$4:$C$4996,MATCH(D8396,Produtos!$B$4:$B$4996,0)),"Produto não encontrado"),"")</f>
        <v/>
      </c>
    </row>
    <row r="8397" spans="1:5" x14ac:dyDescent="0.3">
      <c r="A8397" s="21" t="str">
        <f t="shared" si="131"/>
        <v>.</v>
      </c>
      <c r="D8397" s="44"/>
      <c r="E8397" s="22" t="str">
        <f>IF(D8397&lt;&gt;"",IFERROR(INDEX(Produtos!$C$4:$C$4996,MATCH(D8397,Produtos!$B$4:$B$4996,0)),"Produto não encontrado"),"")</f>
        <v/>
      </c>
    </row>
    <row r="8398" spans="1:5" x14ac:dyDescent="0.3">
      <c r="A8398" s="21" t="str">
        <f t="shared" si="131"/>
        <v>.</v>
      </c>
      <c r="D8398" s="44"/>
      <c r="E8398" s="22" t="str">
        <f>IF(D8398&lt;&gt;"",IFERROR(INDEX(Produtos!$C$4:$C$4996,MATCH(D8398,Produtos!$B$4:$B$4996,0)),"Produto não encontrado"),"")</f>
        <v/>
      </c>
    </row>
    <row r="8399" spans="1:5" x14ac:dyDescent="0.3">
      <c r="A8399" s="21" t="str">
        <f t="shared" si="131"/>
        <v>.</v>
      </c>
      <c r="D8399" s="44"/>
      <c r="E8399" s="22" t="str">
        <f>IF(D8399&lt;&gt;"",IFERROR(INDEX(Produtos!$C$4:$C$4996,MATCH(D8399,Produtos!$B$4:$B$4996,0)),"Produto não encontrado"),"")</f>
        <v/>
      </c>
    </row>
    <row r="8400" spans="1:5" x14ac:dyDescent="0.3">
      <c r="A8400" s="21" t="str">
        <f t="shared" si="131"/>
        <v>.</v>
      </c>
      <c r="D8400" s="44"/>
      <c r="E8400" s="22" t="str">
        <f>IF(D8400&lt;&gt;"",IFERROR(INDEX(Produtos!$C$4:$C$4996,MATCH(D8400,Produtos!$B$4:$B$4996,0)),"Produto não encontrado"),"")</f>
        <v/>
      </c>
    </row>
    <row r="8401" spans="1:5" x14ac:dyDescent="0.3">
      <c r="A8401" s="21" t="str">
        <f t="shared" si="131"/>
        <v>.</v>
      </c>
      <c r="D8401" s="44"/>
      <c r="E8401" s="22" t="str">
        <f>IF(D8401&lt;&gt;"",IFERROR(INDEX(Produtos!$C$4:$C$4996,MATCH(D8401,Produtos!$B$4:$B$4996,0)),"Produto não encontrado"),"")</f>
        <v/>
      </c>
    </row>
    <row r="8402" spans="1:5" x14ac:dyDescent="0.3">
      <c r="A8402" s="21" t="str">
        <f t="shared" si="131"/>
        <v>.</v>
      </c>
      <c r="D8402" s="44"/>
      <c r="E8402" s="22" t="str">
        <f>IF(D8402&lt;&gt;"",IFERROR(INDEX(Produtos!$C$4:$C$4996,MATCH(D8402,Produtos!$B$4:$B$4996,0)),"Produto não encontrado"),"")</f>
        <v/>
      </c>
    </row>
    <row r="8403" spans="1:5" x14ac:dyDescent="0.3">
      <c r="A8403" s="21" t="str">
        <f t="shared" si="131"/>
        <v>.</v>
      </c>
      <c r="D8403" s="44"/>
      <c r="E8403" s="22" t="str">
        <f>IF(D8403&lt;&gt;"",IFERROR(INDEX(Produtos!$C$4:$C$4996,MATCH(D8403,Produtos!$B$4:$B$4996,0)),"Produto não encontrado"),"")</f>
        <v/>
      </c>
    </row>
    <row r="8404" spans="1:5" x14ac:dyDescent="0.3">
      <c r="A8404" s="21" t="str">
        <f t="shared" si="131"/>
        <v>.</v>
      </c>
      <c r="D8404" s="44"/>
      <c r="E8404" s="22" t="str">
        <f>IF(D8404&lt;&gt;"",IFERROR(INDEX(Produtos!$C$4:$C$4996,MATCH(D8404,Produtos!$B$4:$B$4996,0)),"Produto não encontrado"),"")</f>
        <v/>
      </c>
    </row>
    <row r="8405" spans="1:5" x14ac:dyDescent="0.3">
      <c r="A8405" s="21" t="str">
        <f t="shared" si="131"/>
        <v>.</v>
      </c>
      <c r="D8405" s="44"/>
      <c r="E8405" s="22" t="str">
        <f>IF(D8405&lt;&gt;"",IFERROR(INDEX(Produtos!$C$4:$C$4996,MATCH(D8405,Produtos!$B$4:$B$4996,0)),"Produto não encontrado"),"")</f>
        <v/>
      </c>
    </row>
    <row r="8406" spans="1:5" x14ac:dyDescent="0.3">
      <c r="A8406" s="21" t="str">
        <f t="shared" si="131"/>
        <v>.</v>
      </c>
      <c r="D8406" s="44"/>
      <c r="E8406" s="22" t="str">
        <f>IF(D8406&lt;&gt;"",IFERROR(INDEX(Produtos!$C$4:$C$4996,MATCH(D8406,Produtos!$B$4:$B$4996,0)),"Produto não encontrado"),"")</f>
        <v/>
      </c>
    </row>
    <row r="8407" spans="1:5" x14ac:dyDescent="0.3">
      <c r="A8407" s="21" t="str">
        <f t="shared" si="131"/>
        <v>.</v>
      </c>
      <c r="D8407" s="44"/>
      <c r="E8407" s="22" t="str">
        <f>IF(D8407&lt;&gt;"",IFERROR(INDEX(Produtos!$C$4:$C$4996,MATCH(D8407,Produtos!$B$4:$B$4996,0)),"Produto não encontrado"),"")</f>
        <v/>
      </c>
    </row>
    <row r="8408" spans="1:5" x14ac:dyDescent="0.3">
      <c r="A8408" s="21" t="str">
        <f t="shared" si="131"/>
        <v>.</v>
      </c>
      <c r="D8408" s="44"/>
      <c r="E8408" s="22" t="str">
        <f>IF(D8408&lt;&gt;"",IFERROR(INDEX(Produtos!$C$4:$C$4996,MATCH(D8408,Produtos!$B$4:$B$4996,0)),"Produto não encontrado"),"")</f>
        <v/>
      </c>
    </row>
    <row r="8409" spans="1:5" x14ac:dyDescent="0.3">
      <c r="A8409" s="21" t="str">
        <f t="shared" si="131"/>
        <v>.</v>
      </c>
      <c r="D8409" s="44"/>
      <c r="E8409" s="22" t="str">
        <f>IF(D8409&lt;&gt;"",IFERROR(INDEX(Produtos!$C$4:$C$4996,MATCH(D8409,Produtos!$B$4:$B$4996,0)),"Produto não encontrado"),"")</f>
        <v/>
      </c>
    </row>
    <row r="8410" spans="1:5" x14ac:dyDescent="0.3">
      <c r="A8410" s="21" t="str">
        <f t="shared" si="131"/>
        <v>.</v>
      </c>
      <c r="D8410" s="44"/>
      <c r="E8410" s="22" t="str">
        <f>IF(D8410&lt;&gt;"",IFERROR(INDEX(Produtos!$C$4:$C$4996,MATCH(D8410,Produtos!$B$4:$B$4996,0)),"Produto não encontrado"),"")</f>
        <v/>
      </c>
    </row>
    <row r="8411" spans="1:5" x14ac:dyDescent="0.3">
      <c r="A8411" s="21" t="str">
        <f t="shared" si="131"/>
        <v>.</v>
      </c>
      <c r="D8411" s="44"/>
      <c r="E8411" s="22" t="str">
        <f>IF(D8411&lt;&gt;"",IFERROR(INDEX(Produtos!$C$4:$C$4996,MATCH(D8411,Produtos!$B$4:$B$4996,0)),"Produto não encontrado"),"")</f>
        <v/>
      </c>
    </row>
    <row r="8412" spans="1:5" x14ac:dyDescent="0.3">
      <c r="A8412" s="21" t="str">
        <f t="shared" si="131"/>
        <v>.</v>
      </c>
      <c r="D8412" s="44"/>
      <c r="E8412" s="22" t="str">
        <f>IF(D8412&lt;&gt;"",IFERROR(INDEX(Produtos!$C$4:$C$4996,MATCH(D8412,Produtos!$B$4:$B$4996,0)),"Produto não encontrado"),"")</f>
        <v/>
      </c>
    </row>
    <row r="8413" spans="1:5" x14ac:dyDescent="0.3">
      <c r="A8413" s="21" t="str">
        <f t="shared" si="131"/>
        <v>.</v>
      </c>
      <c r="D8413" s="44"/>
      <c r="E8413" s="22" t="str">
        <f>IF(D8413&lt;&gt;"",IFERROR(INDEX(Produtos!$C$4:$C$4996,MATCH(D8413,Produtos!$B$4:$B$4996,0)),"Produto não encontrado"),"")</f>
        <v/>
      </c>
    </row>
    <row r="8414" spans="1:5" x14ac:dyDescent="0.3">
      <c r="A8414" s="21" t="str">
        <f t="shared" si="131"/>
        <v>.</v>
      </c>
      <c r="D8414" s="44"/>
      <c r="E8414" s="22" t="str">
        <f>IF(D8414&lt;&gt;"",IFERROR(INDEX(Produtos!$C$4:$C$4996,MATCH(D8414,Produtos!$B$4:$B$4996,0)),"Produto não encontrado"),"")</f>
        <v/>
      </c>
    </row>
    <row r="8415" spans="1:5" x14ac:dyDescent="0.3">
      <c r="A8415" s="21" t="str">
        <f t="shared" si="131"/>
        <v>.</v>
      </c>
      <c r="D8415" s="44"/>
      <c r="E8415" s="22" t="str">
        <f>IF(D8415&lt;&gt;"",IFERROR(INDEX(Produtos!$C$4:$C$4996,MATCH(D8415,Produtos!$B$4:$B$4996,0)),"Produto não encontrado"),"")</f>
        <v/>
      </c>
    </row>
    <row r="8416" spans="1:5" x14ac:dyDescent="0.3">
      <c r="A8416" s="21" t="str">
        <f t="shared" si="131"/>
        <v>.</v>
      </c>
      <c r="D8416" s="44"/>
      <c r="E8416" s="22" t="str">
        <f>IF(D8416&lt;&gt;"",IFERROR(INDEX(Produtos!$C$4:$C$4996,MATCH(D8416,Produtos!$B$4:$B$4996,0)),"Produto não encontrado"),"")</f>
        <v/>
      </c>
    </row>
    <row r="8417" spans="1:5" x14ac:dyDescent="0.3">
      <c r="A8417" s="21" t="str">
        <f t="shared" si="131"/>
        <v>.</v>
      </c>
      <c r="D8417" s="44"/>
      <c r="E8417" s="22" t="str">
        <f>IF(D8417&lt;&gt;"",IFERROR(INDEX(Produtos!$C$4:$C$4996,MATCH(D8417,Produtos!$B$4:$B$4996,0)),"Produto não encontrado"),"")</f>
        <v/>
      </c>
    </row>
    <row r="8418" spans="1:5" x14ac:dyDescent="0.3">
      <c r="A8418" s="21" t="str">
        <f t="shared" si="131"/>
        <v>.</v>
      </c>
      <c r="D8418" s="44"/>
      <c r="E8418" s="22" t="str">
        <f>IF(D8418&lt;&gt;"",IFERROR(INDEX(Produtos!$C$4:$C$4996,MATCH(D8418,Produtos!$B$4:$B$4996,0)),"Produto não encontrado"),"")</f>
        <v/>
      </c>
    </row>
    <row r="8419" spans="1:5" x14ac:dyDescent="0.3">
      <c r="A8419" s="21" t="str">
        <f t="shared" si="131"/>
        <v>.</v>
      </c>
      <c r="D8419" s="44"/>
      <c r="E8419" s="22" t="str">
        <f>IF(D8419&lt;&gt;"",IFERROR(INDEX(Produtos!$C$4:$C$4996,MATCH(D8419,Produtos!$B$4:$B$4996,0)),"Produto não encontrado"),"")</f>
        <v/>
      </c>
    </row>
    <row r="8420" spans="1:5" x14ac:dyDescent="0.3">
      <c r="A8420" s="21" t="str">
        <f t="shared" si="131"/>
        <v>.</v>
      </c>
      <c r="D8420" s="44"/>
      <c r="E8420" s="22" t="str">
        <f>IF(D8420&lt;&gt;"",IFERROR(INDEX(Produtos!$C$4:$C$4996,MATCH(D8420,Produtos!$B$4:$B$4996,0)),"Produto não encontrado"),"")</f>
        <v/>
      </c>
    </row>
    <row r="8421" spans="1:5" x14ac:dyDescent="0.3">
      <c r="A8421" s="21" t="str">
        <f t="shared" si="131"/>
        <v>.</v>
      </c>
      <c r="D8421" s="44"/>
      <c r="E8421" s="22" t="str">
        <f>IF(D8421&lt;&gt;"",IFERROR(INDEX(Produtos!$C$4:$C$4996,MATCH(D8421,Produtos!$B$4:$B$4996,0)),"Produto não encontrado"),"")</f>
        <v/>
      </c>
    </row>
    <row r="8422" spans="1:5" x14ac:dyDescent="0.3">
      <c r="A8422" s="21" t="str">
        <f t="shared" si="131"/>
        <v>.</v>
      </c>
      <c r="D8422" s="44"/>
      <c r="E8422" s="22" t="str">
        <f>IF(D8422&lt;&gt;"",IFERROR(INDEX(Produtos!$C$4:$C$4996,MATCH(D8422,Produtos!$B$4:$B$4996,0)),"Produto não encontrado"),"")</f>
        <v/>
      </c>
    </row>
    <row r="8423" spans="1:5" x14ac:dyDescent="0.3">
      <c r="A8423" s="21" t="str">
        <f t="shared" si="131"/>
        <v>.</v>
      </c>
      <c r="D8423" s="44"/>
      <c r="E8423" s="22" t="str">
        <f>IF(D8423&lt;&gt;"",IFERROR(INDEX(Produtos!$C$4:$C$4996,MATCH(D8423,Produtos!$B$4:$B$4996,0)),"Produto não encontrado"),"")</f>
        <v/>
      </c>
    </row>
    <row r="8424" spans="1:5" x14ac:dyDescent="0.3">
      <c r="A8424" s="21" t="str">
        <f t="shared" si="131"/>
        <v>.</v>
      </c>
      <c r="D8424" s="44"/>
      <c r="E8424" s="22" t="str">
        <f>IF(D8424&lt;&gt;"",IFERROR(INDEX(Produtos!$C$4:$C$4996,MATCH(D8424,Produtos!$B$4:$B$4996,0)),"Produto não encontrado"),"")</f>
        <v/>
      </c>
    </row>
    <row r="8425" spans="1:5" x14ac:dyDescent="0.3">
      <c r="A8425" s="21" t="str">
        <f t="shared" si="131"/>
        <v>.</v>
      </c>
      <c r="D8425" s="44"/>
      <c r="E8425" s="22" t="str">
        <f>IF(D8425&lt;&gt;"",IFERROR(INDEX(Produtos!$C$4:$C$4996,MATCH(D8425,Produtos!$B$4:$B$4996,0)),"Produto não encontrado"),"")</f>
        <v/>
      </c>
    </row>
    <row r="8426" spans="1:5" x14ac:dyDescent="0.3">
      <c r="A8426" s="21" t="str">
        <f t="shared" si="131"/>
        <v>.</v>
      </c>
      <c r="D8426" s="44"/>
      <c r="E8426" s="22" t="str">
        <f>IF(D8426&lt;&gt;"",IFERROR(INDEX(Produtos!$C$4:$C$4996,MATCH(D8426,Produtos!$B$4:$B$4996,0)),"Produto não encontrado"),"")</f>
        <v/>
      </c>
    </row>
    <row r="8427" spans="1:5" x14ac:dyDescent="0.3">
      <c r="A8427" s="21" t="str">
        <f t="shared" si="131"/>
        <v>.</v>
      </c>
      <c r="D8427" s="44"/>
      <c r="E8427" s="22" t="str">
        <f>IF(D8427&lt;&gt;"",IFERROR(INDEX(Produtos!$C$4:$C$4996,MATCH(D8427,Produtos!$B$4:$B$4996,0)),"Produto não encontrado"),"")</f>
        <v/>
      </c>
    </row>
    <row r="8428" spans="1:5" x14ac:dyDescent="0.3">
      <c r="A8428" s="21" t="str">
        <f t="shared" si="131"/>
        <v>.</v>
      </c>
      <c r="D8428" s="44"/>
      <c r="E8428" s="22" t="str">
        <f>IF(D8428&lt;&gt;"",IFERROR(INDEX(Produtos!$C$4:$C$4996,MATCH(D8428,Produtos!$B$4:$B$4996,0)),"Produto não encontrado"),"")</f>
        <v/>
      </c>
    </row>
    <row r="8429" spans="1:5" x14ac:dyDescent="0.3">
      <c r="A8429" s="21" t="str">
        <f t="shared" si="131"/>
        <v>.</v>
      </c>
      <c r="D8429" s="44"/>
      <c r="E8429" s="22" t="str">
        <f>IF(D8429&lt;&gt;"",IFERROR(INDEX(Produtos!$C$4:$C$4996,MATCH(D8429,Produtos!$B$4:$B$4996,0)),"Produto não encontrado"),"")</f>
        <v/>
      </c>
    </row>
    <row r="8430" spans="1:5" x14ac:dyDescent="0.3">
      <c r="A8430" s="21" t="str">
        <f t="shared" si="131"/>
        <v>.</v>
      </c>
      <c r="D8430" s="44"/>
      <c r="E8430" s="22" t="str">
        <f>IF(D8430&lt;&gt;"",IFERROR(INDEX(Produtos!$C$4:$C$4996,MATCH(D8430,Produtos!$B$4:$B$4996,0)),"Produto não encontrado"),"")</f>
        <v/>
      </c>
    </row>
    <row r="8431" spans="1:5" x14ac:dyDescent="0.3">
      <c r="A8431" s="21" t="str">
        <f t="shared" si="131"/>
        <v>.</v>
      </c>
      <c r="D8431" s="44"/>
      <c r="E8431" s="22" t="str">
        <f>IF(D8431&lt;&gt;"",IFERROR(INDEX(Produtos!$C$4:$C$4996,MATCH(D8431,Produtos!$B$4:$B$4996,0)),"Produto não encontrado"),"")</f>
        <v/>
      </c>
    </row>
    <row r="8432" spans="1:5" x14ac:dyDescent="0.3">
      <c r="A8432" s="21" t="str">
        <f t="shared" si="131"/>
        <v>.</v>
      </c>
      <c r="D8432" s="44"/>
      <c r="E8432" s="22" t="str">
        <f>IF(D8432&lt;&gt;"",IFERROR(INDEX(Produtos!$C$4:$C$4996,MATCH(D8432,Produtos!$B$4:$B$4996,0)),"Produto não encontrado"),"")</f>
        <v/>
      </c>
    </row>
    <row r="8433" spans="1:5" x14ac:dyDescent="0.3">
      <c r="A8433" s="21" t="str">
        <f t="shared" si="131"/>
        <v>.</v>
      </c>
      <c r="D8433" s="44"/>
      <c r="E8433" s="22" t="str">
        <f>IF(D8433&lt;&gt;"",IFERROR(INDEX(Produtos!$C$4:$C$4996,MATCH(D8433,Produtos!$B$4:$B$4996,0)),"Produto não encontrado"),"")</f>
        <v/>
      </c>
    </row>
    <row r="8434" spans="1:5" x14ac:dyDescent="0.3">
      <c r="A8434" s="21" t="str">
        <f t="shared" si="131"/>
        <v>.</v>
      </c>
      <c r="D8434" s="44"/>
      <c r="E8434" s="22" t="str">
        <f>IF(D8434&lt;&gt;"",IFERROR(INDEX(Produtos!$C$4:$C$4996,MATCH(D8434,Produtos!$B$4:$B$4996,0)),"Produto não encontrado"),"")</f>
        <v/>
      </c>
    </row>
    <row r="8435" spans="1:5" x14ac:dyDescent="0.3">
      <c r="A8435" s="21" t="str">
        <f t="shared" si="131"/>
        <v>.</v>
      </c>
      <c r="D8435" s="44"/>
      <c r="E8435" s="22" t="str">
        <f>IF(D8435&lt;&gt;"",IFERROR(INDEX(Produtos!$C$4:$C$4996,MATCH(D8435,Produtos!$B$4:$B$4996,0)),"Produto não encontrado"),"")</f>
        <v/>
      </c>
    </row>
    <row r="8436" spans="1:5" x14ac:dyDescent="0.3">
      <c r="A8436" s="21" t="str">
        <f t="shared" si="131"/>
        <v>.</v>
      </c>
      <c r="D8436" s="44"/>
      <c r="E8436" s="22" t="str">
        <f>IF(D8436&lt;&gt;"",IFERROR(INDEX(Produtos!$C$4:$C$4996,MATCH(D8436,Produtos!$B$4:$B$4996,0)),"Produto não encontrado"),"")</f>
        <v/>
      </c>
    </row>
    <row r="8437" spans="1:5" x14ac:dyDescent="0.3">
      <c r="A8437" s="21" t="str">
        <f t="shared" si="131"/>
        <v>.</v>
      </c>
      <c r="D8437" s="44"/>
      <c r="E8437" s="22" t="str">
        <f>IF(D8437&lt;&gt;"",IFERROR(INDEX(Produtos!$C$4:$C$4996,MATCH(D8437,Produtos!$B$4:$B$4996,0)),"Produto não encontrado"),"")</f>
        <v/>
      </c>
    </row>
    <row r="8438" spans="1:5" x14ac:dyDescent="0.3">
      <c r="A8438" s="21" t="str">
        <f t="shared" si="131"/>
        <v>.</v>
      </c>
      <c r="D8438" s="44"/>
      <c r="E8438" s="22" t="str">
        <f>IF(D8438&lt;&gt;"",IFERROR(INDEX(Produtos!$C$4:$C$4996,MATCH(D8438,Produtos!$B$4:$B$4996,0)),"Produto não encontrado"),"")</f>
        <v/>
      </c>
    </row>
    <row r="8439" spans="1:5" x14ac:dyDescent="0.3">
      <c r="A8439" s="21" t="str">
        <f t="shared" si="131"/>
        <v>.</v>
      </c>
      <c r="D8439" s="44"/>
      <c r="E8439" s="22" t="str">
        <f>IF(D8439&lt;&gt;"",IFERROR(INDEX(Produtos!$C$4:$C$4996,MATCH(D8439,Produtos!$B$4:$B$4996,0)),"Produto não encontrado"),"")</f>
        <v/>
      </c>
    </row>
    <row r="8440" spans="1:5" x14ac:dyDescent="0.3">
      <c r="A8440" s="21" t="str">
        <f t="shared" si="131"/>
        <v>.</v>
      </c>
      <c r="D8440" s="44"/>
      <c r="E8440" s="22" t="str">
        <f>IF(D8440&lt;&gt;"",IFERROR(INDEX(Produtos!$C$4:$C$4996,MATCH(D8440,Produtos!$B$4:$B$4996,0)),"Produto não encontrado"),"")</f>
        <v/>
      </c>
    </row>
    <row r="8441" spans="1:5" x14ac:dyDescent="0.3">
      <c r="A8441" s="21" t="str">
        <f t="shared" si="131"/>
        <v>.</v>
      </c>
      <c r="D8441" s="44"/>
      <c r="E8441" s="22" t="str">
        <f>IF(D8441&lt;&gt;"",IFERROR(INDEX(Produtos!$C$4:$C$4996,MATCH(D8441,Produtos!$B$4:$B$4996,0)),"Produto não encontrado"),"")</f>
        <v/>
      </c>
    </row>
    <row r="8442" spans="1:5" x14ac:dyDescent="0.3">
      <c r="A8442" s="21" t="str">
        <f t="shared" si="131"/>
        <v>.</v>
      </c>
      <c r="D8442" s="44"/>
      <c r="E8442" s="22" t="str">
        <f>IF(D8442&lt;&gt;"",IFERROR(INDEX(Produtos!$C$4:$C$4996,MATCH(D8442,Produtos!$B$4:$B$4996,0)),"Produto não encontrado"),"")</f>
        <v/>
      </c>
    </row>
    <row r="8443" spans="1:5" x14ac:dyDescent="0.3">
      <c r="A8443" s="21" t="str">
        <f t="shared" si="131"/>
        <v>.</v>
      </c>
      <c r="D8443" s="44"/>
      <c r="E8443" s="22" t="str">
        <f>IF(D8443&lt;&gt;"",IFERROR(INDEX(Produtos!$C$4:$C$4996,MATCH(D8443,Produtos!$B$4:$B$4996,0)),"Produto não encontrado"),"")</f>
        <v/>
      </c>
    </row>
    <row r="8444" spans="1:5" x14ac:dyDescent="0.3">
      <c r="A8444" s="21" t="str">
        <f t="shared" si="131"/>
        <v>.</v>
      </c>
      <c r="D8444" s="44"/>
      <c r="E8444" s="22" t="str">
        <f>IF(D8444&lt;&gt;"",IFERROR(INDEX(Produtos!$C$4:$C$4996,MATCH(D8444,Produtos!$B$4:$B$4996,0)),"Produto não encontrado"),"")</f>
        <v/>
      </c>
    </row>
    <row r="8445" spans="1:5" x14ac:dyDescent="0.3">
      <c r="A8445" s="21" t="str">
        <f t="shared" si="131"/>
        <v>.</v>
      </c>
      <c r="D8445" s="44"/>
      <c r="E8445" s="22" t="str">
        <f>IF(D8445&lt;&gt;"",IFERROR(INDEX(Produtos!$C$4:$C$4996,MATCH(D8445,Produtos!$B$4:$B$4996,0)),"Produto não encontrado"),"")</f>
        <v/>
      </c>
    </row>
    <row r="8446" spans="1:5" x14ac:dyDescent="0.3">
      <c r="A8446" s="21" t="str">
        <f t="shared" si="131"/>
        <v>.</v>
      </c>
      <c r="D8446" s="44"/>
      <c r="E8446" s="22" t="str">
        <f>IF(D8446&lt;&gt;"",IFERROR(INDEX(Produtos!$C$4:$C$4996,MATCH(D8446,Produtos!$B$4:$B$4996,0)),"Produto não encontrado"),"")</f>
        <v/>
      </c>
    </row>
    <row r="8447" spans="1:5" x14ac:dyDescent="0.3">
      <c r="A8447" s="21" t="str">
        <f t="shared" si="131"/>
        <v>.</v>
      </c>
      <c r="D8447" s="44"/>
      <c r="E8447" s="22" t="str">
        <f>IF(D8447&lt;&gt;"",IFERROR(INDEX(Produtos!$C$4:$C$4996,MATCH(D8447,Produtos!$B$4:$B$4996,0)),"Produto não encontrado"),"")</f>
        <v/>
      </c>
    </row>
    <row r="8448" spans="1:5" x14ac:dyDescent="0.3">
      <c r="A8448" s="21" t="str">
        <f t="shared" ref="A8448:A8511" si="132">IF(C8448="Entrada",2,IF(C8448="Saída",1,"."))</f>
        <v>.</v>
      </c>
      <c r="D8448" s="44"/>
      <c r="E8448" s="22" t="str">
        <f>IF(D8448&lt;&gt;"",IFERROR(INDEX(Produtos!$C$4:$C$4996,MATCH(D8448,Produtos!$B$4:$B$4996,0)),"Produto não encontrado"),"")</f>
        <v/>
      </c>
    </row>
    <row r="8449" spans="1:5" x14ac:dyDescent="0.3">
      <c r="A8449" s="21" t="str">
        <f t="shared" si="132"/>
        <v>.</v>
      </c>
      <c r="D8449" s="44"/>
      <c r="E8449" s="22" t="str">
        <f>IF(D8449&lt;&gt;"",IFERROR(INDEX(Produtos!$C$4:$C$4996,MATCH(D8449,Produtos!$B$4:$B$4996,0)),"Produto não encontrado"),"")</f>
        <v/>
      </c>
    </row>
    <row r="8450" spans="1:5" x14ac:dyDescent="0.3">
      <c r="A8450" s="21" t="str">
        <f t="shared" si="132"/>
        <v>.</v>
      </c>
      <c r="D8450" s="44"/>
      <c r="E8450" s="22" t="str">
        <f>IF(D8450&lt;&gt;"",IFERROR(INDEX(Produtos!$C$4:$C$4996,MATCH(D8450,Produtos!$B$4:$B$4996,0)),"Produto não encontrado"),"")</f>
        <v/>
      </c>
    </row>
    <row r="8451" spans="1:5" x14ac:dyDescent="0.3">
      <c r="A8451" s="21" t="str">
        <f t="shared" si="132"/>
        <v>.</v>
      </c>
      <c r="D8451" s="44"/>
      <c r="E8451" s="22" t="str">
        <f>IF(D8451&lt;&gt;"",IFERROR(INDEX(Produtos!$C$4:$C$4996,MATCH(D8451,Produtos!$B$4:$B$4996,0)),"Produto não encontrado"),"")</f>
        <v/>
      </c>
    </row>
    <row r="8452" spans="1:5" x14ac:dyDescent="0.3">
      <c r="A8452" s="21" t="str">
        <f t="shared" si="132"/>
        <v>.</v>
      </c>
      <c r="D8452" s="44"/>
      <c r="E8452" s="22" t="str">
        <f>IF(D8452&lt;&gt;"",IFERROR(INDEX(Produtos!$C$4:$C$4996,MATCH(D8452,Produtos!$B$4:$B$4996,0)),"Produto não encontrado"),"")</f>
        <v/>
      </c>
    </row>
    <row r="8453" spans="1:5" x14ac:dyDescent="0.3">
      <c r="A8453" s="21" t="str">
        <f t="shared" si="132"/>
        <v>.</v>
      </c>
      <c r="D8453" s="44"/>
      <c r="E8453" s="22" t="str">
        <f>IF(D8453&lt;&gt;"",IFERROR(INDEX(Produtos!$C$4:$C$4996,MATCH(D8453,Produtos!$B$4:$B$4996,0)),"Produto não encontrado"),"")</f>
        <v/>
      </c>
    </row>
    <row r="8454" spans="1:5" x14ac:dyDescent="0.3">
      <c r="A8454" s="21" t="str">
        <f t="shared" si="132"/>
        <v>.</v>
      </c>
      <c r="D8454" s="44"/>
      <c r="E8454" s="22" t="str">
        <f>IF(D8454&lt;&gt;"",IFERROR(INDEX(Produtos!$C$4:$C$4996,MATCH(D8454,Produtos!$B$4:$B$4996,0)),"Produto não encontrado"),"")</f>
        <v/>
      </c>
    </row>
    <row r="8455" spans="1:5" x14ac:dyDescent="0.3">
      <c r="A8455" s="21" t="str">
        <f t="shared" si="132"/>
        <v>.</v>
      </c>
      <c r="D8455" s="44"/>
      <c r="E8455" s="22" t="str">
        <f>IF(D8455&lt;&gt;"",IFERROR(INDEX(Produtos!$C$4:$C$4996,MATCH(D8455,Produtos!$B$4:$B$4996,0)),"Produto não encontrado"),"")</f>
        <v/>
      </c>
    </row>
    <row r="8456" spans="1:5" x14ac:dyDescent="0.3">
      <c r="A8456" s="21" t="str">
        <f t="shared" si="132"/>
        <v>.</v>
      </c>
      <c r="D8456" s="44"/>
      <c r="E8456" s="22" t="str">
        <f>IF(D8456&lt;&gt;"",IFERROR(INDEX(Produtos!$C$4:$C$4996,MATCH(D8456,Produtos!$B$4:$B$4996,0)),"Produto não encontrado"),"")</f>
        <v/>
      </c>
    </row>
    <row r="8457" spans="1:5" x14ac:dyDescent="0.3">
      <c r="A8457" s="21" t="str">
        <f t="shared" si="132"/>
        <v>.</v>
      </c>
      <c r="D8457" s="44"/>
      <c r="E8457" s="22" t="str">
        <f>IF(D8457&lt;&gt;"",IFERROR(INDEX(Produtos!$C$4:$C$4996,MATCH(D8457,Produtos!$B$4:$B$4996,0)),"Produto não encontrado"),"")</f>
        <v/>
      </c>
    </row>
    <row r="8458" spans="1:5" x14ac:dyDescent="0.3">
      <c r="A8458" s="21" t="str">
        <f t="shared" si="132"/>
        <v>.</v>
      </c>
      <c r="D8458" s="44"/>
      <c r="E8458" s="22" t="str">
        <f>IF(D8458&lt;&gt;"",IFERROR(INDEX(Produtos!$C$4:$C$4996,MATCH(D8458,Produtos!$B$4:$B$4996,0)),"Produto não encontrado"),"")</f>
        <v/>
      </c>
    </row>
    <row r="8459" spans="1:5" x14ac:dyDescent="0.3">
      <c r="A8459" s="21" t="str">
        <f t="shared" si="132"/>
        <v>.</v>
      </c>
      <c r="D8459" s="44"/>
      <c r="E8459" s="22" t="str">
        <f>IF(D8459&lt;&gt;"",IFERROR(INDEX(Produtos!$C$4:$C$4996,MATCH(D8459,Produtos!$B$4:$B$4996,0)),"Produto não encontrado"),"")</f>
        <v/>
      </c>
    </row>
    <row r="8460" spans="1:5" x14ac:dyDescent="0.3">
      <c r="A8460" s="21" t="str">
        <f t="shared" si="132"/>
        <v>.</v>
      </c>
      <c r="D8460" s="44"/>
      <c r="E8460" s="22" t="str">
        <f>IF(D8460&lt;&gt;"",IFERROR(INDEX(Produtos!$C$4:$C$4996,MATCH(D8460,Produtos!$B$4:$B$4996,0)),"Produto não encontrado"),"")</f>
        <v/>
      </c>
    </row>
    <row r="8461" spans="1:5" x14ac:dyDescent="0.3">
      <c r="A8461" s="21" t="str">
        <f t="shared" si="132"/>
        <v>.</v>
      </c>
      <c r="D8461" s="44"/>
      <c r="E8461" s="22" t="str">
        <f>IF(D8461&lt;&gt;"",IFERROR(INDEX(Produtos!$C$4:$C$4996,MATCH(D8461,Produtos!$B$4:$B$4996,0)),"Produto não encontrado"),"")</f>
        <v/>
      </c>
    </row>
    <row r="8462" spans="1:5" x14ac:dyDescent="0.3">
      <c r="A8462" s="21" t="str">
        <f t="shared" si="132"/>
        <v>.</v>
      </c>
      <c r="D8462" s="44"/>
      <c r="E8462" s="22" t="str">
        <f>IF(D8462&lt;&gt;"",IFERROR(INDEX(Produtos!$C$4:$C$4996,MATCH(D8462,Produtos!$B$4:$B$4996,0)),"Produto não encontrado"),"")</f>
        <v/>
      </c>
    </row>
    <row r="8463" spans="1:5" x14ac:dyDescent="0.3">
      <c r="A8463" s="21" t="str">
        <f t="shared" si="132"/>
        <v>.</v>
      </c>
      <c r="D8463" s="44"/>
      <c r="E8463" s="22" t="str">
        <f>IF(D8463&lt;&gt;"",IFERROR(INDEX(Produtos!$C$4:$C$4996,MATCH(D8463,Produtos!$B$4:$B$4996,0)),"Produto não encontrado"),"")</f>
        <v/>
      </c>
    </row>
    <row r="8464" spans="1:5" x14ac:dyDescent="0.3">
      <c r="A8464" s="21" t="str">
        <f t="shared" si="132"/>
        <v>.</v>
      </c>
      <c r="D8464" s="44"/>
      <c r="E8464" s="22" t="str">
        <f>IF(D8464&lt;&gt;"",IFERROR(INDEX(Produtos!$C$4:$C$4996,MATCH(D8464,Produtos!$B$4:$B$4996,0)),"Produto não encontrado"),"")</f>
        <v/>
      </c>
    </row>
    <row r="8465" spans="1:5" x14ac:dyDescent="0.3">
      <c r="A8465" s="21" t="str">
        <f t="shared" si="132"/>
        <v>.</v>
      </c>
      <c r="D8465" s="44"/>
      <c r="E8465" s="22" t="str">
        <f>IF(D8465&lt;&gt;"",IFERROR(INDEX(Produtos!$C$4:$C$4996,MATCH(D8465,Produtos!$B$4:$B$4996,0)),"Produto não encontrado"),"")</f>
        <v/>
      </c>
    </row>
    <row r="8466" spans="1:5" x14ac:dyDescent="0.3">
      <c r="A8466" s="21" t="str">
        <f t="shared" si="132"/>
        <v>.</v>
      </c>
      <c r="D8466" s="44"/>
      <c r="E8466" s="22" t="str">
        <f>IF(D8466&lt;&gt;"",IFERROR(INDEX(Produtos!$C$4:$C$4996,MATCH(D8466,Produtos!$B$4:$B$4996,0)),"Produto não encontrado"),"")</f>
        <v/>
      </c>
    </row>
    <row r="8467" spans="1:5" x14ac:dyDescent="0.3">
      <c r="A8467" s="21" t="str">
        <f t="shared" si="132"/>
        <v>.</v>
      </c>
      <c r="D8467" s="44"/>
      <c r="E8467" s="22" t="str">
        <f>IF(D8467&lt;&gt;"",IFERROR(INDEX(Produtos!$C$4:$C$4996,MATCH(D8467,Produtos!$B$4:$B$4996,0)),"Produto não encontrado"),"")</f>
        <v/>
      </c>
    </row>
    <row r="8468" spans="1:5" x14ac:dyDescent="0.3">
      <c r="A8468" s="21" t="str">
        <f t="shared" si="132"/>
        <v>.</v>
      </c>
      <c r="D8468" s="44"/>
      <c r="E8468" s="22" t="str">
        <f>IF(D8468&lt;&gt;"",IFERROR(INDEX(Produtos!$C$4:$C$4996,MATCH(D8468,Produtos!$B$4:$B$4996,0)),"Produto não encontrado"),"")</f>
        <v/>
      </c>
    </row>
    <row r="8469" spans="1:5" x14ac:dyDescent="0.3">
      <c r="A8469" s="21" t="str">
        <f t="shared" si="132"/>
        <v>.</v>
      </c>
      <c r="D8469" s="44"/>
      <c r="E8469" s="22" t="str">
        <f>IF(D8469&lt;&gt;"",IFERROR(INDEX(Produtos!$C$4:$C$4996,MATCH(D8469,Produtos!$B$4:$B$4996,0)),"Produto não encontrado"),"")</f>
        <v/>
      </c>
    </row>
    <row r="8470" spans="1:5" x14ac:dyDescent="0.3">
      <c r="A8470" s="21" t="str">
        <f t="shared" si="132"/>
        <v>.</v>
      </c>
      <c r="D8470" s="44"/>
      <c r="E8470" s="22" t="str">
        <f>IF(D8470&lt;&gt;"",IFERROR(INDEX(Produtos!$C$4:$C$4996,MATCH(D8470,Produtos!$B$4:$B$4996,0)),"Produto não encontrado"),"")</f>
        <v/>
      </c>
    </row>
    <row r="8471" spans="1:5" x14ac:dyDescent="0.3">
      <c r="A8471" s="21" t="str">
        <f t="shared" si="132"/>
        <v>.</v>
      </c>
      <c r="D8471" s="44"/>
      <c r="E8471" s="22" t="str">
        <f>IF(D8471&lt;&gt;"",IFERROR(INDEX(Produtos!$C$4:$C$4996,MATCH(D8471,Produtos!$B$4:$B$4996,0)),"Produto não encontrado"),"")</f>
        <v/>
      </c>
    </row>
    <row r="8472" spans="1:5" x14ac:dyDescent="0.3">
      <c r="A8472" s="21" t="str">
        <f t="shared" si="132"/>
        <v>.</v>
      </c>
      <c r="D8472" s="44"/>
      <c r="E8472" s="22" t="str">
        <f>IF(D8472&lt;&gt;"",IFERROR(INDEX(Produtos!$C$4:$C$4996,MATCH(D8472,Produtos!$B$4:$B$4996,0)),"Produto não encontrado"),"")</f>
        <v/>
      </c>
    </row>
    <row r="8473" spans="1:5" x14ac:dyDescent="0.3">
      <c r="A8473" s="21" t="str">
        <f t="shared" si="132"/>
        <v>.</v>
      </c>
      <c r="D8473" s="44"/>
      <c r="E8473" s="22" t="str">
        <f>IF(D8473&lt;&gt;"",IFERROR(INDEX(Produtos!$C$4:$C$4996,MATCH(D8473,Produtos!$B$4:$B$4996,0)),"Produto não encontrado"),"")</f>
        <v/>
      </c>
    </row>
    <row r="8474" spans="1:5" x14ac:dyDescent="0.3">
      <c r="A8474" s="21" t="str">
        <f t="shared" si="132"/>
        <v>.</v>
      </c>
      <c r="D8474" s="44"/>
      <c r="E8474" s="22" t="str">
        <f>IF(D8474&lt;&gt;"",IFERROR(INDEX(Produtos!$C$4:$C$4996,MATCH(D8474,Produtos!$B$4:$B$4996,0)),"Produto não encontrado"),"")</f>
        <v/>
      </c>
    </row>
    <row r="8475" spans="1:5" x14ac:dyDescent="0.3">
      <c r="A8475" s="21" t="str">
        <f t="shared" si="132"/>
        <v>.</v>
      </c>
      <c r="D8475" s="44"/>
      <c r="E8475" s="22" t="str">
        <f>IF(D8475&lt;&gt;"",IFERROR(INDEX(Produtos!$C$4:$C$4996,MATCH(D8475,Produtos!$B$4:$B$4996,0)),"Produto não encontrado"),"")</f>
        <v/>
      </c>
    </row>
    <row r="8476" spans="1:5" x14ac:dyDescent="0.3">
      <c r="A8476" s="21" t="str">
        <f t="shared" si="132"/>
        <v>.</v>
      </c>
      <c r="D8476" s="44"/>
      <c r="E8476" s="22" t="str">
        <f>IF(D8476&lt;&gt;"",IFERROR(INDEX(Produtos!$C$4:$C$4996,MATCH(D8476,Produtos!$B$4:$B$4996,0)),"Produto não encontrado"),"")</f>
        <v/>
      </c>
    </row>
    <row r="8477" spans="1:5" x14ac:dyDescent="0.3">
      <c r="A8477" s="21" t="str">
        <f t="shared" si="132"/>
        <v>.</v>
      </c>
      <c r="D8477" s="44"/>
      <c r="E8477" s="22" t="str">
        <f>IF(D8477&lt;&gt;"",IFERROR(INDEX(Produtos!$C$4:$C$4996,MATCH(D8477,Produtos!$B$4:$B$4996,0)),"Produto não encontrado"),"")</f>
        <v/>
      </c>
    </row>
    <row r="8478" spans="1:5" x14ac:dyDescent="0.3">
      <c r="A8478" s="21" t="str">
        <f t="shared" si="132"/>
        <v>.</v>
      </c>
      <c r="D8478" s="44"/>
      <c r="E8478" s="22" t="str">
        <f>IF(D8478&lt;&gt;"",IFERROR(INDEX(Produtos!$C$4:$C$4996,MATCH(D8478,Produtos!$B$4:$B$4996,0)),"Produto não encontrado"),"")</f>
        <v/>
      </c>
    </row>
    <row r="8479" spans="1:5" x14ac:dyDescent="0.3">
      <c r="A8479" s="21" t="str">
        <f t="shared" si="132"/>
        <v>.</v>
      </c>
      <c r="D8479" s="44"/>
      <c r="E8479" s="22" t="str">
        <f>IF(D8479&lt;&gt;"",IFERROR(INDEX(Produtos!$C$4:$C$4996,MATCH(D8479,Produtos!$B$4:$B$4996,0)),"Produto não encontrado"),"")</f>
        <v/>
      </c>
    </row>
    <row r="8480" spans="1:5" x14ac:dyDescent="0.3">
      <c r="A8480" s="21" t="str">
        <f t="shared" si="132"/>
        <v>.</v>
      </c>
      <c r="D8480" s="44"/>
      <c r="E8480" s="22" t="str">
        <f>IF(D8480&lt;&gt;"",IFERROR(INDEX(Produtos!$C$4:$C$4996,MATCH(D8480,Produtos!$B$4:$B$4996,0)),"Produto não encontrado"),"")</f>
        <v/>
      </c>
    </row>
    <row r="8481" spans="1:5" x14ac:dyDescent="0.3">
      <c r="A8481" s="21" t="str">
        <f t="shared" si="132"/>
        <v>.</v>
      </c>
      <c r="D8481" s="44"/>
      <c r="E8481" s="22" t="str">
        <f>IF(D8481&lt;&gt;"",IFERROR(INDEX(Produtos!$C$4:$C$4996,MATCH(D8481,Produtos!$B$4:$B$4996,0)),"Produto não encontrado"),"")</f>
        <v/>
      </c>
    </row>
    <row r="8482" spans="1:5" x14ac:dyDescent="0.3">
      <c r="A8482" s="21" t="str">
        <f t="shared" si="132"/>
        <v>.</v>
      </c>
      <c r="D8482" s="44"/>
      <c r="E8482" s="22" t="str">
        <f>IF(D8482&lt;&gt;"",IFERROR(INDEX(Produtos!$C$4:$C$4996,MATCH(D8482,Produtos!$B$4:$B$4996,0)),"Produto não encontrado"),"")</f>
        <v/>
      </c>
    </row>
    <row r="8483" spans="1:5" x14ac:dyDescent="0.3">
      <c r="A8483" s="21" t="str">
        <f t="shared" si="132"/>
        <v>.</v>
      </c>
      <c r="D8483" s="44"/>
      <c r="E8483" s="22" t="str">
        <f>IF(D8483&lt;&gt;"",IFERROR(INDEX(Produtos!$C$4:$C$4996,MATCH(D8483,Produtos!$B$4:$B$4996,0)),"Produto não encontrado"),"")</f>
        <v/>
      </c>
    </row>
    <row r="8484" spans="1:5" x14ac:dyDescent="0.3">
      <c r="A8484" s="21" t="str">
        <f t="shared" si="132"/>
        <v>.</v>
      </c>
      <c r="D8484" s="44"/>
      <c r="E8484" s="22" t="str">
        <f>IF(D8484&lt;&gt;"",IFERROR(INDEX(Produtos!$C$4:$C$4996,MATCH(D8484,Produtos!$B$4:$B$4996,0)),"Produto não encontrado"),"")</f>
        <v/>
      </c>
    </row>
    <row r="8485" spans="1:5" x14ac:dyDescent="0.3">
      <c r="A8485" s="21" t="str">
        <f t="shared" si="132"/>
        <v>.</v>
      </c>
      <c r="D8485" s="44"/>
      <c r="E8485" s="22" t="str">
        <f>IF(D8485&lt;&gt;"",IFERROR(INDEX(Produtos!$C$4:$C$4996,MATCH(D8485,Produtos!$B$4:$B$4996,0)),"Produto não encontrado"),"")</f>
        <v/>
      </c>
    </row>
    <row r="8486" spans="1:5" x14ac:dyDescent="0.3">
      <c r="A8486" s="21" t="str">
        <f t="shared" si="132"/>
        <v>.</v>
      </c>
      <c r="D8486" s="44"/>
      <c r="E8486" s="22" t="str">
        <f>IF(D8486&lt;&gt;"",IFERROR(INDEX(Produtos!$C$4:$C$4996,MATCH(D8486,Produtos!$B$4:$B$4996,0)),"Produto não encontrado"),"")</f>
        <v/>
      </c>
    </row>
    <row r="8487" spans="1:5" x14ac:dyDescent="0.3">
      <c r="A8487" s="21" t="str">
        <f t="shared" si="132"/>
        <v>.</v>
      </c>
      <c r="D8487" s="44"/>
      <c r="E8487" s="22" t="str">
        <f>IF(D8487&lt;&gt;"",IFERROR(INDEX(Produtos!$C$4:$C$4996,MATCH(D8487,Produtos!$B$4:$B$4996,0)),"Produto não encontrado"),"")</f>
        <v/>
      </c>
    </row>
    <row r="8488" spans="1:5" x14ac:dyDescent="0.3">
      <c r="A8488" s="21" t="str">
        <f t="shared" si="132"/>
        <v>.</v>
      </c>
      <c r="D8488" s="44"/>
      <c r="E8488" s="22" t="str">
        <f>IF(D8488&lt;&gt;"",IFERROR(INDEX(Produtos!$C$4:$C$4996,MATCH(D8488,Produtos!$B$4:$B$4996,0)),"Produto não encontrado"),"")</f>
        <v/>
      </c>
    </row>
    <row r="8489" spans="1:5" x14ac:dyDescent="0.3">
      <c r="A8489" s="21" t="str">
        <f t="shared" si="132"/>
        <v>.</v>
      </c>
      <c r="D8489" s="44"/>
      <c r="E8489" s="22" t="str">
        <f>IF(D8489&lt;&gt;"",IFERROR(INDEX(Produtos!$C$4:$C$4996,MATCH(D8489,Produtos!$B$4:$B$4996,0)),"Produto não encontrado"),"")</f>
        <v/>
      </c>
    </row>
    <row r="8490" spans="1:5" x14ac:dyDescent="0.3">
      <c r="A8490" s="21" t="str">
        <f t="shared" si="132"/>
        <v>.</v>
      </c>
      <c r="D8490" s="44"/>
      <c r="E8490" s="22" t="str">
        <f>IF(D8490&lt;&gt;"",IFERROR(INDEX(Produtos!$C$4:$C$4996,MATCH(D8490,Produtos!$B$4:$B$4996,0)),"Produto não encontrado"),"")</f>
        <v/>
      </c>
    </row>
    <row r="8491" spans="1:5" x14ac:dyDescent="0.3">
      <c r="A8491" s="21" t="str">
        <f t="shared" si="132"/>
        <v>.</v>
      </c>
      <c r="D8491" s="44"/>
      <c r="E8491" s="22" t="str">
        <f>IF(D8491&lt;&gt;"",IFERROR(INDEX(Produtos!$C$4:$C$4996,MATCH(D8491,Produtos!$B$4:$B$4996,0)),"Produto não encontrado"),"")</f>
        <v/>
      </c>
    </row>
    <row r="8492" spans="1:5" x14ac:dyDescent="0.3">
      <c r="A8492" s="21" t="str">
        <f t="shared" si="132"/>
        <v>.</v>
      </c>
      <c r="D8492" s="44"/>
      <c r="E8492" s="22" t="str">
        <f>IF(D8492&lt;&gt;"",IFERROR(INDEX(Produtos!$C$4:$C$4996,MATCH(D8492,Produtos!$B$4:$B$4996,0)),"Produto não encontrado"),"")</f>
        <v/>
      </c>
    </row>
    <row r="8493" spans="1:5" x14ac:dyDescent="0.3">
      <c r="A8493" s="21" t="str">
        <f t="shared" si="132"/>
        <v>.</v>
      </c>
      <c r="D8493" s="44"/>
      <c r="E8493" s="22" t="str">
        <f>IF(D8493&lt;&gt;"",IFERROR(INDEX(Produtos!$C$4:$C$4996,MATCH(D8493,Produtos!$B$4:$B$4996,0)),"Produto não encontrado"),"")</f>
        <v/>
      </c>
    </row>
    <row r="8494" spans="1:5" x14ac:dyDescent="0.3">
      <c r="A8494" s="21" t="str">
        <f t="shared" si="132"/>
        <v>.</v>
      </c>
      <c r="D8494" s="44"/>
      <c r="E8494" s="22" t="str">
        <f>IF(D8494&lt;&gt;"",IFERROR(INDEX(Produtos!$C$4:$C$4996,MATCH(D8494,Produtos!$B$4:$B$4996,0)),"Produto não encontrado"),"")</f>
        <v/>
      </c>
    </row>
    <row r="8495" spans="1:5" x14ac:dyDescent="0.3">
      <c r="A8495" s="21" t="str">
        <f t="shared" si="132"/>
        <v>.</v>
      </c>
      <c r="D8495" s="44"/>
      <c r="E8495" s="22" t="str">
        <f>IF(D8495&lt;&gt;"",IFERROR(INDEX(Produtos!$C$4:$C$4996,MATCH(D8495,Produtos!$B$4:$B$4996,0)),"Produto não encontrado"),"")</f>
        <v/>
      </c>
    </row>
    <row r="8496" spans="1:5" x14ac:dyDescent="0.3">
      <c r="A8496" s="21" t="str">
        <f t="shared" si="132"/>
        <v>.</v>
      </c>
      <c r="D8496" s="44"/>
      <c r="E8496" s="22" t="str">
        <f>IF(D8496&lt;&gt;"",IFERROR(INDEX(Produtos!$C$4:$C$4996,MATCH(D8496,Produtos!$B$4:$B$4996,0)),"Produto não encontrado"),"")</f>
        <v/>
      </c>
    </row>
    <row r="8497" spans="1:5" x14ac:dyDescent="0.3">
      <c r="A8497" s="21" t="str">
        <f t="shared" si="132"/>
        <v>.</v>
      </c>
      <c r="D8497" s="44"/>
      <c r="E8497" s="22" t="str">
        <f>IF(D8497&lt;&gt;"",IFERROR(INDEX(Produtos!$C$4:$C$4996,MATCH(D8497,Produtos!$B$4:$B$4996,0)),"Produto não encontrado"),"")</f>
        <v/>
      </c>
    </row>
    <row r="8498" spans="1:5" x14ac:dyDescent="0.3">
      <c r="A8498" s="21" t="str">
        <f t="shared" si="132"/>
        <v>.</v>
      </c>
      <c r="D8498" s="44"/>
      <c r="E8498" s="22" t="str">
        <f>IF(D8498&lt;&gt;"",IFERROR(INDEX(Produtos!$C$4:$C$4996,MATCH(D8498,Produtos!$B$4:$B$4996,0)),"Produto não encontrado"),"")</f>
        <v/>
      </c>
    </row>
    <row r="8499" spans="1:5" x14ac:dyDescent="0.3">
      <c r="A8499" s="21" t="str">
        <f t="shared" si="132"/>
        <v>.</v>
      </c>
      <c r="D8499" s="44"/>
      <c r="E8499" s="22" t="str">
        <f>IF(D8499&lt;&gt;"",IFERROR(INDEX(Produtos!$C$4:$C$4996,MATCH(D8499,Produtos!$B$4:$B$4996,0)),"Produto não encontrado"),"")</f>
        <v/>
      </c>
    </row>
    <row r="8500" spans="1:5" x14ac:dyDescent="0.3">
      <c r="A8500" s="21" t="str">
        <f t="shared" si="132"/>
        <v>.</v>
      </c>
      <c r="D8500" s="44"/>
      <c r="E8500" s="22" t="str">
        <f>IF(D8500&lt;&gt;"",IFERROR(INDEX(Produtos!$C$4:$C$4996,MATCH(D8500,Produtos!$B$4:$B$4996,0)),"Produto não encontrado"),"")</f>
        <v/>
      </c>
    </row>
    <row r="8501" spans="1:5" x14ac:dyDescent="0.3">
      <c r="A8501" s="21" t="str">
        <f t="shared" si="132"/>
        <v>.</v>
      </c>
      <c r="D8501" s="44"/>
      <c r="E8501" s="22" t="str">
        <f>IF(D8501&lt;&gt;"",IFERROR(INDEX(Produtos!$C$4:$C$4996,MATCH(D8501,Produtos!$B$4:$B$4996,0)),"Produto não encontrado"),"")</f>
        <v/>
      </c>
    </row>
    <row r="8502" spans="1:5" x14ac:dyDescent="0.3">
      <c r="A8502" s="21" t="str">
        <f t="shared" si="132"/>
        <v>.</v>
      </c>
      <c r="D8502" s="44"/>
      <c r="E8502" s="22" t="str">
        <f>IF(D8502&lt;&gt;"",IFERROR(INDEX(Produtos!$C$4:$C$4996,MATCH(D8502,Produtos!$B$4:$B$4996,0)),"Produto não encontrado"),"")</f>
        <v/>
      </c>
    </row>
    <row r="8503" spans="1:5" x14ac:dyDescent="0.3">
      <c r="A8503" s="21" t="str">
        <f t="shared" si="132"/>
        <v>.</v>
      </c>
      <c r="D8503" s="44"/>
      <c r="E8503" s="22" t="str">
        <f>IF(D8503&lt;&gt;"",IFERROR(INDEX(Produtos!$C$4:$C$4996,MATCH(D8503,Produtos!$B$4:$B$4996,0)),"Produto não encontrado"),"")</f>
        <v/>
      </c>
    </row>
    <row r="8504" spans="1:5" x14ac:dyDescent="0.3">
      <c r="A8504" s="21" t="str">
        <f t="shared" si="132"/>
        <v>.</v>
      </c>
      <c r="D8504" s="44"/>
      <c r="E8504" s="22" t="str">
        <f>IF(D8504&lt;&gt;"",IFERROR(INDEX(Produtos!$C$4:$C$4996,MATCH(D8504,Produtos!$B$4:$B$4996,0)),"Produto não encontrado"),"")</f>
        <v/>
      </c>
    </row>
    <row r="8505" spans="1:5" x14ac:dyDescent="0.3">
      <c r="A8505" s="21" t="str">
        <f t="shared" si="132"/>
        <v>.</v>
      </c>
      <c r="D8505" s="44"/>
      <c r="E8505" s="22" t="str">
        <f>IF(D8505&lt;&gt;"",IFERROR(INDEX(Produtos!$C$4:$C$4996,MATCH(D8505,Produtos!$B$4:$B$4996,0)),"Produto não encontrado"),"")</f>
        <v/>
      </c>
    </row>
    <row r="8506" spans="1:5" x14ac:dyDescent="0.3">
      <c r="A8506" s="21" t="str">
        <f t="shared" si="132"/>
        <v>.</v>
      </c>
      <c r="D8506" s="44"/>
      <c r="E8506" s="22" t="str">
        <f>IF(D8506&lt;&gt;"",IFERROR(INDEX(Produtos!$C$4:$C$4996,MATCH(D8506,Produtos!$B$4:$B$4996,0)),"Produto não encontrado"),"")</f>
        <v/>
      </c>
    </row>
    <row r="8507" spans="1:5" x14ac:dyDescent="0.3">
      <c r="A8507" s="21" t="str">
        <f t="shared" si="132"/>
        <v>.</v>
      </c>
      <c r="D8507" s="44"/>
      <c r="E8507" s="22" t="str">
        <f>IF(D8507&lt;&gt;"",IFERROR(INDEX(Produtos!$C$4:$C$4996,MATCH(D8507,Produtos!$B$4:$B$4996,0)),"Produto não encontrado"),"")</f>
        <v/>
      </c>
    </row>
    <row r="8508" spans="1:5" x14ac:dyDescent="0.3">
      <c r="A8508" s="21" t="str">
        <f t="shared" si="132"/>
        <v>.</v>
      </c>
      <c r="D8508" s="44"/>
      <c r="E8508" s="22" t="str">
        <f>IF(D8508&lt;&gt;"",IFERROR(INDEX(Produtos!$C$4:$C$4996,MATCH(D8508,Produtos!$B$4:$B$4996,0)),"Produto não encontrado"),"")</f>
        <v/>
      </c>
    </row>
    <row r="8509" spans="1:5" x14ac:dyDescent="0.3">
      <c r="A8509" s="21" t="str">
        <f t="shared" si="132"/>
        <v>.</v>
      </c>
      <c r="D8509" s="44"/>
      <c r="E8509" s="22" t="str">
        <f>IF(D8509&lt;&gt;"",IFERROR(INDEX(Produtos!$C$4:$C$4996,MATCH(D8509,Produtos!$B$4:$B$4996,0)),"Produto não encontrado"),"")</f>
        <v/>
      </c>
    </row>
    <row r="8510" spans="1:5" x14ac:dyDescent="0.3">
      <c r="A8510" s="21" t="str">
        <f t="shared" si="132"/>
        <v>.</v>
      </c>
      <c r="D8510" s="44"/>
      <c r="E8510" s="22" t="str">
        <f>IF(D8510&lt;&gt;"",IFERROR(INDEX(Produtos!$C$4:$C$4996,MATCH(D8510,Produtos!$B$4:$B$4996,0)),"Produto não encontrado"),"")</f>
        <v/>
      </c>
    </row>
    <row r="8511" spans="1:5" x14ac:dyDescent="0.3">
      <c r="A8511" s="21" t="str">
        <f t="shared" si="132"/>
        <v>.</v>
      </c>
      <c r="D8511" s="44"/>
      <c r="E8511" s="22" t="str">
        <f>IF(D8511&lt;&gt;"",IFERROR(INDEX(Produtos!$C$4:$C$4996,MATCH(D8511,Produtos!$B$4:$B$4996,0)),"Produto não encontrado"),"")</f>
        <v/>
      </c>
    </row>
    <row r="8512" spans="1:5" x14ac:dyDescent="0.3">
      <c r="A8512" s="21" t="str">
        <f t="shared" ref="A8512:A8575" si="133">IF(C8512="Entrada",2,IF(C8512="Saída",1,"."))</f>
        <v>.</v>
      </c>
      <c r="D8512" s="44"/>
      <c r="E8512" s="22" t="str">
        <f>IF(D8512&lt;&gt;"",IFERROR(INDEX(Produtos!$C$4:$C$4996,MATCH(D8512,Produtos!$B$4:$B$4996,0)),"Produto não encontrado"),"")</f>
        <v/>
      </c>
    </row>
    <row r="8513" spans="1:5" x14ac:dyDescent="0.3">
      <c r="A8513" s="21" t="str">
        <f t="shared" si="133"/>
        <v>.</v>
      </c>
      <c r="D8513" s="44"/>
      <c r="E8513" s="22" t="str">
        <f>IF(D8513&lt;&gt;"",IFERROR(INDEX(Produtos!$C$4:$C$4996,MATCH(D8513,Produtos!$B$4:$B$4996,0)),"Produto não encontrado"),"")</f>
        <v/>
      </c>
    </row>
    <row r="8514" spans="1:5" x14ac:dyDescent="0.3">
      <c r="A8514" s="21" t="str">
        <f t="shared" si="133"/>
        <v>.</v>
      </c>
      <c r="D8514" s="44"/>
      <c r="E8514" s="22" t="str">
        <f>IF(D8514&lt;&gt;"",IFERROR(INDEX(Produtos!$C$4:$C$4996,MATCH(D8514,Produtos!$B$4:$B$4996,0)),"Produto não encontrado"),"")</f>
        <v/>
      </c>
    </row>
    <row r="8515" spans="1:5" x14ac:dyDescent="0.3">
      <c r="A8515" s="21" t="str">
        <f t="shared" si="133"/>
        <v>.</v>
      </c>
      <c r="D8515" s="44"/>
      <c r="E8515" s="22" t="str">
        <f>IF(D8515&lt;&gt;"",IFERROR(INDEX(Produtos!$C$4:$C$4996,MATCH(D8515,Produtos!$B$4:$B$4996,0)),"Produto não encontrado"),"")</f>
        <v/>
      </c>
    </row>
    <row r="8516" spans="1:5" x14ac:dyDescent="0.3">
      <c r="A8516" s="21" t="str">
        <f t="shared" si="133"/>
        <v>.</v>
      </c>
      <c r="D8516" s="44"/>
      <c r="E8516" s="22" t="str">
        <f>IF(D8516&lt;&gt;"",IFERROR(INDEX(Produtos!$C$4:$C$4996,MATCH(D8516,Produtos!$B$4:$B$4996,0)),"Produto não encontrado"),"")</f>
        <v/>
      </c>
    </row>
    <row r="8517" spans="1:5" x14ac:dyDescent="0.3">
      <c r="A8517" s="21" t="str">
        <f t="shared" si="133"/>
        <v>.</v>
      </c>
      <c r="D8517" s="44"/>
      <c r="E8517" s="22" t="str">
        <f>IF(D8517&lt;&gt;"",IFERROR(INDEX(Produtos!$C$4:$C$4996,MATCH(D8517,Produtos!$B$4:$B$4996,0)),"Produto não encontrado"),"")</f>
        <v/>
      </c>
    </row>
    <row r="8518" spans="1:5" x14ac:dyDescent="0.3">
      <c r="A8518" s="21" t="str">
        <f t="shared" si="133"/>
        <v>.</v>
      </c>
      <c r="D8518" s="44"/>
      <c r="E8518" s="22" t="str">
        <f>IF(D8518&lt;&gt;"",IFERROR(INDEX(Produtos!$C$4:$C$4996,MATCH(D8518,Produtos!$B$4:$B$4996,0)),"Produto não encontrado"),"")</f>
        <v/>
      </c>
    </row>
    <row r="8519" spans="1:5" x14ac:dyDescent="0.3">
      <c r="A8519" s="21" t="str">
        <f t="shared" si="133"/>
        <v>.</v>
      </c>
      <c r="D8519" s="44"/>
      <c r="E8519" s="22" t="str">
        <f>IF(D8519&lt;&gt;"",IFERROR(INDEX(Produtos!$C$4:$C$4996,MATCH(D8519,Produtos!$B$4:$B$4996,0)),"Produto não encontrado"),"")</f>
        <v/>
      </c>
    </row>
    <row r="8520" spans="1:5" x14ac:dyDescent="0.3">
      <c r="A8520" s="21" t="str">
        <f t="shared" si="133"/>
        <v>.</v>
      </c>
      <c r="D8520" s="44"/>
      <c r="E8520" s="22" t="str">
        <f>IF(D8520&lt;&gt;"",IFERROR(INDEX(Produtos!$C$4:$C$4996,MATCH(D8520,Produtos!$B$4:$B$4996,0)),"Produto não encontrado"),"")</f>
        <v/>
      </c>
    </row>
    <row r="8521" spans="1:5" x14ac:dyDescent="0.3">
      <c r="A8521" s="21" t="str">
        <f t="shared" si="133"/>
        <v>.</v>
      </c>
      <c r="D8521" s="44"/>
      <c r="E8521" s="22" t="str">
        <f>IF(D8521&lt;&gt;"",IFERROR(INDEX(Produtos!$C$4:$C$4996,MATCH(D8521,Produtos!$B$4:$B$4996,0)),"Produto não encontrado"),"")</f>
        <v/>
      </c>
    </row>
    <row r="8522" spans="1:5" x14ac:dyDescent="0.3">
      <c r="A8522" s="21" t="str">
        <f t="shared" si="133"/>
        <v>.</v>
      </c>
      <c r="D8522" s="44"/>
      <c r="E8522" s="22" t="str">
        <f>IF(D8522&lt;&gt;"",IFERROR(INDEX(Produtos!$C$4:$C$4996,MATCH(D8522,Produtos!$B$4:$B$4996,0)),"Produto não encontrado"),"")</f>
        <v/>
      </c>
    </row>
    <row r="8523" spans="1:5" x14ac:dyDescent="0.3">
      <c r="A8523" s="21" t="str">
        <f t="shared" si="133"/>
        <v>.</v>
      </c>
      <c r="D8523" s="44"/>
      <c r="E8523" s="22" t="str">
        <f>IF(D8523&lt;&gt;"",IFERROR(INDEX(Produtos!$C$4:$C$4996,MATCH(D8523,Produtos!$B$4:$B$4996,0)),"Produto não encontrado"),"")</f>
        <v/>
      </c>
    </row>
    <row r="8524" spans="1:5" x14ac:dyDescent="0.3">
      <c r="A8524" s="21" t="str">
        <f t="shared" si="133"/>
        <v>.</v>
      </c>
      <c r="D8524" s="44"/>
      <c r="E8524" s="22" t="str">
        <f>IF(D8524&lt;&gt;"",IFERROR(INDEX(Produtos!$C$4:$C$4996,MATCH(D8524,Produtos!$B$4:$B$4996,0)),"Produto não encontrado"),"")</f>
        <v/>
      </c>
    </row>
    <row r="8525" spans="1:5" x14ac:dyDescent="0.3">
      <c r="A8525" s="21" t="str">
        <f t="shared" si="133"/>
        <v>.</v>
      </c>
      <c r="D8525" s="44"/>
      <c r="E8525" s="22" t="str">
        <f>IF(D8525&lt;&gt;"",IFERROR(INDEX(Produtos!$C$4:$C$4996,MATCH(D8525,Produtos!$B$4:$B$4996,0)),"Produto não encontrado"),"")</f>
        <v/>
      </c>
    </row>
    <row r="8526" spans="1:5" x14ac:dyDescent="0.3">
      <c r="A8526" s="21" t="str">
        <f t="shared" si="133"/>
        <v>.</v>
      </c>
      <c r="D8526" s="44"/>
      <c r="E8526" s="22" t="str">
        <f>IF(D8526&lt;&gt;"",IFERROR(INDEX(Produtos!$C$4:$C$4996,MATCH(D8526,Produtos!$B$4:$B$4996,0)),"Produto não encontrado"),"")</f>
        <v/>
      </c>
    </row>
    <row r="8527" spans="1:5" x14ac:dyDescent="0.3">
      <c r="A8527" s="21" t="str">
        <f t="shared" si="133"/>
        <v>.</v>
      </c>
      <c r="D8527" s="44"/>
      <c r="E8527" s="22" t="str">
        <f>IF(D8527&lt;&gt;"",IFERROR(INDEX(Produtos!$C$4:$C$4996,MATCH(D8527,Produtos!$B$4:$B$4996,0)),"Produto não encontrado"),"")</f>
        <v/>
      </c>
    </row>
    <row r="8528" spans="1:5" x14ac:dyDescent="0.3">
      <c r="A8528" s="21" t="str">
        <f t="shared" si="133"/>
        <v>.</v>
      </c>
      <c r="D8528" s="44"/>
      <c r="E8528" s="22" t="str">
        <f>IF(D8528&lt;&gt;"",IFERROR(INDEX(Produtos!$C$4:$C$4996,MATCH(D8528,Produtos!$B$4:$B$4996,0)),"Produto não encontrado"),"")</f>
        <v/>
      </c>
    </row>
    <row r="8529" spans="1:5" x14ac:dyDescent="0.3">
      <c r="A8529" s="21" t="str">
        <f t="shared" si="133"/>
        <v>.</v>
      </c>
      <c r="D8529" s="44"/>
      <c r="E8529" s="22" t="str">
        <f>IF(D8529&lt;&gt;"",IFERROR(INDEX(Produtos!$C$4:$C$4996,MATCH(D8529,Produtos!$B$4:$B$4996,0)),"Produto não encontrado"),"")</f>
        <v/>
      </c>
    </row>
    <row r="8530" spans="1:5" x14ac:dyDescent="0.3">
      <c r="A8530" s="21" t="str">
        <f t="shared" si="133"/>
        <v>.</v>
      </c>
      <c r="D8530" s="44"/>
      <c r="E8530" s="22" t="str">
        <f>IF(D8530&lt;&gt;"",IFERROR(INDEX(Produtos!$C$4:$C$4996,MATCH(D8530,Produtos!$B$4:$B$4996,0)),"Produto não encontrado"),"")</f>
        <v/>
      </c>
    </row>
    <row r="8531" spans="1:5" x14ac:dyDescent="0.3">
      <c r="A8531" s="21" t="str">
        <f t="shared" si="133"/>
        <v>.</v>
      </c>
      <c r="D8531" s="44"/>
      <c r="E8531" s="22" t="str">
        <f>IF(D8531&lt;&gt;"",IFERROR(INDEX(Produtos!$C$4:$C$4996,MATCH(D8531,Produtos!$B$4:$B$4996,0)),"Produto não encontrado"),"")</f>
        <v/>
      </c>
    </row>
    <row r="8532" spans="1:5" x14ac:dyDescent="0.3">
      <c r="A8532" s="21" t="str">
        <f t="shared" si="133"/>
        <v>.</v>
      </c>
      <c r="D8532" s="44"/>
      <c r="E8532" s="22" t="str">
        <f>IF(D8532&lt;&gt;"",IFERROR(INDEX(Produtos!$C$4:$C$4996,MATCH(D8532,Produtos!$B$4:$B$4996,0)),"Produto não encontrado"),"")</f>
        <v/>
      </c>
    </row>
    <row r="8533" spans="1:5" x14ac:dyDescent="0.3">
      <c r="A8533" s="21" t="str">
        <f t="shared" si="133"/>
        <v>.</v>
      </c>
      <c r="D8533" s="44"/>
      <c r="E8533" s="22" t="str">
        <f>IF(D8533&lt;&gt;"",IFERROR(INDEX(Produtos!$C$4:$C$4996,MATCH(D8533,Produtos!$B$4:$B$4996,0)),"Produto não encontrado"),"")</f>
        <v/>
      </c>
    </row>
    <row r="8534" spans="1:5" x14ac:dyDescent="0.3">
      <c r="A8534" s="21" t="str">
        <f t="shared" si="133"/>
        <v>.</v>
      </c>
      <c r="D8534" s="44"/>
      <c r="E8534" s="22" t="str">
        <f>IF(D8534&lt;&gt;"",IFERROR(INDEX(Produtos!$C$4:$C$4996,MATCH(D8534,Produtos!$B$4:$B$4996,0)),"Produto não encontrado"),"")</f>
        <v/>
      </c>
    </row>
    <row r="8535" spans="1:5" x14ac:dyDescent="0.3">
      <c r="A8535" s="21" t="str">
        <f t="shared" si="133"/>
        <v>.</v>
      </c>
      <c r="D8535" s="44"/>
      <c r="E8535" s="22" t="str">
        <f>IF(D8535&lt;&gt;"",IFERROR(INDEX(Produtos!$C$4:$C$4996,MATCH(D8535,Produtos!$B$4:$B$4996,0)),"Produto não encontrado"),"")</f>
        <v/>
      </c>
    </row>
    <row r="8536" spans="1:5" x14ac:dyDescent="0.3">
      <c r="A8536" s="21" t="str">
        <f t="shared" si="133"/>
        <v>.</v>
      </c>
      <c r="D8536" s="44"/>
      <c r="E8536" s="22" t="str">
        <f>IF(D8536&lt;&gt;"",IFERROR(INDEX(Produtos!$C$4:$C$4996,MATCH(D8536,Produtos!$B$4:$B$4996,0)),"Produto não encontrado"),"")</f>
        <v/>
      </c>
    </row>
    <row r="8537" spans="1:5" x14ac:dyDescent="0.3">
      <c r="A8537" s="21" t="str">
        <f t="shared" si="133"/>
        <v>.</v>
      </c>
      <c r="D8537" s="44"/>
      <c r="E8537" s="22" t="str">
        <f>IF(D8537&lt;&gt;"",IFERROR(INDEX(Produtos!$C$4:$C$4996,MATCH(D8537,Produtos!$B$4:$B$4996,0)),"Produto não encontrado"),"")</f>
        <v/>
      </c>
    </row>
    <row r="8538" spans="1:5" x14ac:dyDescent="0.3">
      <c r="A8538" s="21" t="str">
        <f t="shared" si="133"/>
        <v>.</v>
      </c>
      <c r="D8538" s="44"/>
      <c r="E8538" s="22" t="str">
        <f>IF(D8538&lt;&gt;"",IFERROR(INDEX(Produtos!$C$4:$C$4996,MATCH(D8538,Produtos!$B$4:$B$4996,0)),"Produto não encontrado"),"")</f>
        <v/>
      </c>
    </row>
    <row r="8539" spans="1:5" x14ac:dyDescent="0.3">
      <c r="A8539" s="21" t="str">
        <f t="shared" si="133"/>
        <v>.</v>
      </c>
      <c r="D8539" s="44"/>
      <c r="E8539" s="22" t="str">
        <f>IF(D8539&lt;&gt;"",IFERROR(INDEX(Produtos!$C$4:$C$4996,MATCH(D8539,Produtos!$B$4:$B$4996,0)),"Produto não encontrado"),"")</f>
        <v/>
      </c>
    </row>
    <row r="8540" spans="1:5" x14ac:dyDescent="0.3">
      <c r="A8540" s="21" t="str">
        <f t="shared" si="133"/>
        <v>.</v>
      </c>
      <c r="D8540" s="44"/>
      <c r="E8540" s="22" t="str">
        <f>IF(D8540&lt;&gt;"",IFERROR(INDEX(Produtos!$C$4:$C$4996,MATCH(D8540,Produtos!$B$4:$B$4996,0)),"Produto não encontrado"),"")</f>
        <v/>
      </c>
    </row>
    <row r="8541" spans="1:5" x14ac:dyDescent="0.3">
      <c r="A8541" s="21" t="str">
        <f t="shared" si="133"/>
        <v>.</v>
      </c>
      <c r="D8541" s="44"/>
      <c r="E8541" s="22" t="str">
        <f>IF(D8541&lt;&gt;"",IFERROR(INDEX(Produtos!$C$4:$C$4996,MATCH(D8541,Produtos!$B$4:$B$4996,0)),"Produto não encontrado"),"")</f>
        <v/>
      </c>
    </row>
    <row r="8542" spans="1:5" x14ac:dyDescent="0.3">
      <c r="A8542" s="21" t="str">
        <f t="shared" si="133"/>
        <v>.</v>
      </c>
      <c r="D8542" s="44"/>
      <c r="E8542" s="22" t="str">
        <f>IF(D8542&lt;&gt;"",IFERROR(INDEX(Produtos!$C$4:$C$4996,MATCH(D8542,Produtos!$B$4:$B$4996,0)),"Produto não encontrado"),"")</f>
        <v/>
      </c>
    </row>
    <row r="8543" spans="1:5" x14ac:dyDescent="0.3">
      <c r="A8543" s="21" t="str">
        <f t="shared" si="133"/>
        <v>.</v>
      </c>
      <c r="D8543" s="44"/>
      <c r="E8543" s="22" t="str">
        <f>IF(D8543&lt;&gt;"",IFERROR(INDEX(Produtos!$C$4:$C$4996,MATCH(D8543,Produtos!$B$4:$B$4996,0)),"Produto não encontrado"),"")</f>
        <v/>
      </c>
    </row>
    <row r="8544" spans="1:5" x14ac:dyDescent="0.3">
      <c r="A8544" s="21" t="str">
        <f t="shared" si="133"/>
        <v>.</v>
      </c>
      <c r="D8544" s="44"/>
      <c r="E8544" s="22" t="str">
        <f>IF(D8544&lt;&gt;"",IFERROR(INDEX(Produtos!$C$4:$C$4996,MATCH(D8544,Produtos!$B$4:$B$4996,0)),"Produto não encontrado"),"")</f>
        <v/>
      </c>
    </row>
    <row r="8545" spans="1:5" x14ac:dyDescent="0.3">
      <c r="A8545" s="21" t="str">
        <f t="shared" si="133"/>
        <v>.</v>
      </c>
      <c r="D8545" s="44"/>
      <c r="E8545" s="22" t="str">
        <f>IF(D8545&lt;&gt;"",IFERROR(INDEX(Produtos!$C$4:$C$4996,MATCH(D8545,Produtos!$B$4:$B$4996,0)),"Produto não encontrado"),"")</f>
        <v/>
      </c>
    </row>
    <row r="8546" spans="1:5" x14ac:dyDescent="0.3">
      <c r="A8546" s="21" t="str">
        <f t="shared" si="133"/>
        <v>.</v>
      </c>
      <c r="D8546" s="44"/>
      <c r="E8546" s="22" t="str">
        <f>IF(D8546&lt;&gt;"",IFERROR(INDEX(Produtos!$C$4:$C$4996,MATCH(D8546,Produtos!$B$4:$B$4996,0)),"Produto não encontrado"),"")</f>
        <v/>
      </c>
    </row>
    <row r="8547" spans="1:5" x14ac:dyDescent="0.3">
      <c r="A8547" s="21" t="str">
        <f t="shared" si="133"/>
        <v>.</v>
      </c>
      <c r="D8547" s="44"/>
      <c r="E8547" s="22" t="str">
        <f>IF(D8547&lt;&gt;"",IFERROR(INDEX(Produtos!$C$4:$C$4996,MATCH(D8547,Produtos!$B$4:$B$4996,0)),"Produto não encontrado"),"")</f>
        <v/>
      </c>
    </row>
    <row r="8548" spans="1:5" x14ac:dyDescent="0.3">
      <c r="A8548" s="21" t="str">
        <f t="shared" si="133"/>
        <v>.</v>
      </c>
      <c r="D8548" s="44"/>
      <c r="E8548" s="22" t="str">
        <f>IF(D8548&lt;&gt;"",IFERROR(INDEX(Produtos!$C$4:$C$4996,MATCH(D8548,Produtos!$B$4:$B$4996,0)),"Produto não encontrado"),"")</f>
        <v/>
      </c>
    </row>
    <row r="8549" spans="1:5" x14ac:dyDescent="0.3">
      <c r="A8549" s="21" t="str">
        <f t="shared" si="133"/>
        <v>.</v>
      </c>
      <c r="D8549" s="44"/>
      <c r="E8549" s="22" t="str">
        <f>IF(D8549&lt;&gt;"",IFERROR(INDEX(Produtos!$C$4:$C$4996,MATCH(D8549,Produtos!$B$4:$B$4996,0)),"Produto não encontrado"),"")</f>
        <v/>
      </c>
    </row>
    <row r="8550" spans="1:5" x14ac:dyDescent="0.3">
      <c r="A8550" s="21" t="str">
        <f t="shared" si="133"/>
        <v>.</v>
      </c>
      <c r="D8550" s="44"/>
      <c r="E8550" s="22" t="str">
        <f>IF(D8550&lt;&gt;"",IFERROR(INDEX(Produtos!$C$4:$C$4996,MATCH(D8550,Produtos!$B$4:$B$4996,0)),"Produto não encontrado"),"")</f>
        <v/>
      </c>
    </row>
    <row r="8551" spans="1:5" x14ac:dyDescent="0.3">
      <c r="A8551" s="21" t="str">
        <f t="shared" si="133"/>
        <v>.</v>
      </c>
      <c r="D8551" s="44"/>
      <c r="E8551" s="22" t="str">
        <f>IF(D8551&lt;&gt;"",IFERROR(INDEX(Produtos!$C$4:$C$4996,MATCH(D8551,Produtos!$B$4:$B$4996,0)),"Produto não encontrado"),"")</f>
        <v/>
      </c>
    </row>
    <row r="8552" spans="1:5" x14ac:dyDescent="0.3">
      <c r="A8552" s="21" t="str">
        <f t="shared" si="133"/>
        <v>.</v>
      </c>
      <c r="D8552" s="44"/>
      <c r="E8552" s="22" t="str">
        <f>IF(D8552&lt;&gt;"",IFERROR(INDEX(Produtos!$C$4:$C$4996,MATCH(D8552,Produtos!$B$4:$B$4996,0)),"Produto não encontrado"),"")</f>
        <v/>
      </c>
    </row>
    <row r="8553" spans="1:5" x14ac:dyDescent="0.3">
      <c r="A8553" s="21" t="str">
        <f t="shared" si="133"/>
        <v>.</v>
      </c>
      <c r="D8553" s="44"/>
      <c r="E8553" s="22" t="str">
        <f>IF(D8553&lt;&gt;"",IFERROR(INDEX(Produtos!$C$4:$C$4996,MATCH(D8553,Produtos!$B$4:$B$4996,0)),"Produto não encontrado"),"")</f>
        <v/>
      </c>
    </row>
    <row r="8554" spans="1:5" x14ac:dyDescent="0.3">
      <c r="A8554" s="21" t="str">
        <f t="shared" si="133"/>
        <v>.</v>
      </c>
      <c r="D8554" s="44"/>
      <c r="E8554" s="22" t="str">
        <f>IF(D8554&lt;&gt;"",IFERROR(INDEX(Produtos!$C$4:$C$4996,MATCH(D8554,Produtos!$B$4:$B$4996,0)),"Produto não encontrado"),"")</f>
        <v/>
      </c>
    </row>
    <row r="8555" spans="1:5" x14ac:dyDescent="0.3">
      <c r="A8555" s="21" t="str">
        <f t="shared" si="133"/>
        <v>.</v>
      </c>
      <c r="D8555" s="44"/>
      <c r="E8555" s="22" t="str">
        <f>IF(D8555&lt;&gt;"",IFERROR(INDEX(Produtos!$C$4:$C$4996,MATCH(D8555,Produtos!$B$4:$B$4996,0)),"Produto não encontrado"),"")</f>
        <v/>
      </c>
    </row>
    <row r="8556" spans="1:5" x14ac:dyDescent="0.3">
      <c r="A8556" s="21" t="str">
        <f t="shared" si="133"/>
        <v>.</v>
      </c>
      <c r="D8556" s="44"/>
      <c r="E8556" s="22" t="str">
        <f>IF(D8556&lt;&gt;"",IFERROR(INDEX(Produtos!$C$4:$C$4996,MATCH(D8556,Produtos!$B$4:$B$4996,0)),"Produto não encontrado"),"")</f>
        <v/>
      </c>
    </row>
    <row r="8557" spans="1:5" x14ac:dyDescent="0.3">
      <c r="A8557" s="21" t="str">
        <f t="shared" si="133"/>
        <v>.</v>
      </c>
      <c r="D8557" s="44"/>
      <c r="E8557" s="22" t="str">
        <f>IF(D8557&lt;&gt;"",IFERROR(INDEX(Produtos!$C$4:$C$4996,MATCH(D8557,Produtos!$B$4:$B$4996,0)),"Produto não encontrado"),"")</f>
        <v/>
      </c>
    </row>
    <row r="8558" spans="1:5" x14ac:dyDescent="0.3">
      <c r="A8558" s="21" t="str">
        <f t="shared" si="133"/>
        <v>.</v>
      </c>
      <c r="D8558" s="44"/>
      <c r="E8558" s="22" t="str">
        <f>IF(D8558&lt;&gt;"",IFERROR(INDEX(Produtos!$C$4:$C$4996,MATCH(D8558,Produtos!$B$4:$B$4996,0)),"Produto não encontrado"),"")</f>
        <v/>
      </c>
    </row>
    <row r="8559" spans="1:5" x14ac:dyDescent="0.3">
      <c r="A8559" s="21" t="str">
        <f t="shared" si="133"/>
        <v>.</v>
      </c>
      <c r="D8559" s="44"/>
      <c r="E8559" s="22" t="str">
        <f>IF(D8559&lt;&gt;"",IFERROR(INDEX(Produtos!$C$4:$C$4996,MATCH(D8559,Produtos!$B$4:$B$4996,0)),"Produto não encontrado"),"")</f>
        <v/>
      </c>
    </row>
    <row r="8560" spans="1:5" x14ac:dyDescent="0.3">
      <c r="A8560" s="21" t="str">
        <f t="shared" si="133"/>
        <v>.</v>
      </c>
      <c r="D8560" s="44"/>
      <c r="E8560" s="22" t="str">
        <f>IF(D8560&lt;&gt;"",IFERROR(INDEX(Produtos!$C$4:$C$4996,MATCH(D8560,Produtos!$B$4:$B$4996,0)),"Produto não encontrado"),"")</f>
        <v/>
      </c>
    </row>
    <row r="8561" spans="1:5" x14ac:dyDescent="0.3">
      <c r="A8561" s="21" t="str">
        <f t="shared" si="133"/>
        <v>.</v>
      </c>
      <c r="D8561" s="44"/>
      <c r="E8561" s="22" t="str">
        <f>IF(D8561&lt;&gt;"",IFERROR(INDEX(Produtos!$C$4:$C$4996,MATCH(D8561,Produtos!$B$4:$B$4996,0)),"Produto não encontrado"),"")</f>
        <v/>
      </c>
    </row>
    <row r="8562" spans="1:5" x14ac:dyDescent="0.3">
      <c r="A8562" s="21" t="str">
        <f t="shared" si="133"/>
        <v>.</v>
      </c>
      <c r="D8562" s="44"/>
      <c r="E8562" s="22" t="str">
        <f>IF(D8562&lt;&gt;"",IFERROR(INDEX(Produtos!$C$4:$C$4996,MATCH(D8562,Produtos!$B$4:$B$4996,0)),"Produto não encontrado"),"")</f>
        <v/>
      </c>
    </row>
    <row r="8563" spans="1:5" x14ac:dyDescent="0.3">
      <c r="A8563" s="21" t="str">
        <f t="shared" si="133"/>
        <v>.</v>
      </c>
      <c r="D8563" s="44"/>
      <c r="E8563" s="22" t="str">
        <f>IF(D8563&lt;&gt;"",IFERROR(INDEX(Produtos!$C$4:$C$4996,MATCH(D8563,Produtos!$B$4:$B$4996,0)),"Produto não encontrado"),"")</f>
        <v/>
      </c>
    </row>
    <row r="8564" spans="1:5" x14ac:dyDescent="0.3">
      <c r="A8564" s="21" t="str">
        <f t="shared" si="133"/>
        <v>.</v>
      </c>
      <c r="D8564" s="44"/>
      <c r="E8564" s="22" t="str">
        <f>IF(D8564&lt;&gt;"",IFERROR(INDEX(Produtos!$C$4:$C$4996,MATCH(D8564,Produtos!$B$4:$B$4996,0)),"Produto não encontrado"),"")</f>
        <v/>
      </c>
    </row>
    <row r="8565" spans="1:5" x14ac:dyDescent="0.3">
      <c r="A8565" s="21" t="str">
        <f t="shared" si="133"/>
        <v>.</v>
      </c>
      <c r="D8565" s="44"/>
      <c r="E8565" s="22" t="str">
        <f>IF(D8565&lt;&gt;"",IFERROR(INDEX(Produtos!$C$4:$C$4996,MATCH(D8565,Produtos!$B$4:$B$4996,0)),"Produto não encontrado"),"")</f>
        <v/>
      </c>
    </row>
    <row r="8566" spans="1:5" x14ac:dyDescent="0.3">
      <c r="A8566" s="21" t="str">
        <f t="shared" si="133"/>
        <v>.</v>
      </c>
      <c r="D8566" s="44"/>
      <c r="E8566" s="22" t="str">
        <f>IF(D8566&lt;&gt;"",IFERROR(INDEX(Produtos!$C$4:$C$4996,MATCH(D8566,Produtos!$B$4:$B$4996,0)),"Produto não encontrado"),"")</f>
        <v/>
      </c>
    </row>
    <row r="8567" spans="1:5" x14ac:dyDescent="0.3">
      <c r="A8567" s="21" t="str">
        <f t="shared" si="133"/>
        <v>.</v>
      </c>
      <c r="D8567" s="44"/>
      <c r="E8567" s="22" t="str">
        <f>IF(D8567&lt;&gt;"",IFERROR(INDEX(Produtos!$C$4:$C$4996,MATCH(D8567,Produtos!$B$4:$B$4996,0)),"Produto não encontrado"),"")</f>
        <v/>
      </c>
    </row>
    <row r="8568" spans="1:5" x14ac:dyDescent="0.3">
      <c r="A8568" s="21" t="str">
        <f t="shared" si="133"/>
        <v>.</v>
      </c>
      <c r="D8568" s="44"/>
      <c r="E8568" s="22" t="str">
        <f>IF(D8568&lt;&gt;"",IFERROR(INDEX(Produtos!$C$4:$C$4996,MATCH(D8568,Produtos!$B$4:$B$4996,0)),"Produto não encontrado"),"")</f>
        <v/>
      </c>
    </row>
    <row r="8569" spans="1:5" x14ac:dyDescent="0.3">
      <c r="A8569" s="21" t="str">
        <f t="shared" si="133"/>
        <v>.</v>
      </c>
      <c r="D8569" s="44"/>
      <c r="E8569" s="22" t="str">
        <f>IF(D8569&lt;&gt;"",IFERROR(INDEX(Produtos!$C$4:$C$4996,MATCH(D8569,Produtos!$B$4:$B$4996,0)),"Produto não encontrado"),"")</f>
        <v/>
      </c>
    </row>
    <row r="8570" spans="1:5" x14ac:dyDescent="0.3">
      <c r="A8570" s="21" t="str">
        <f t="shared" si="133"/>
        <v>.</v>
      </c>
      <c r="D8570" s="44"/>
      <c r="E8570" s="22" t="str">
        <f>IF(D8570&lt;&gt;"",IFERROR(INDEX(Produtos!$C$4:$C$4996,MATCH(D8570,Produtos!$B$4:$B$4996,0)),"Produto não encontrado"),"")</f>
        <v/>
      </c>
    </row>
    <row r="8571" spans="1:5" x14ac:dyDescent="0.3">
      <c r="A8571" s="21" t="str">
        <f t="shared" si="133"/>
        <v>.</v>
      </c>
      <c r="D8571" s="44"/>
      <c r="E8571" s="22" t="str">
        <f>IF(D8571&lt;&gt;"",IFERROR(INDEX(Produtos!$C$4:$C$4996,MATCH(D8571,Produtos!$B$4:$B$4996,0)),"Produto não encontrado"),"")</f>
        <v/>
      </c>
    </row>
    <row r="8572" spans="1:5" x14ac:dyDescent="0.3">
      <c r="A8572" s="21" t="str">
        <f t="shared" si="133"/>
        <v>.</v>
      </c>
      <c r="D8572" s="44"/>
      <c r="E8572" s="22" t="str">
        <f>IF(D8572&lt;&gt;"",IFERROR(INDEX(Produtos!$C$4:$C$4996,MATCH(D8572,Produtos!$B$4:$B$4996,0)),"Produto não encontrado"),"")</f>
        <v/>
      </c>
    </row>
    <row r="8573" spans="1:5" x14ac:dyDescent="0.3">
      <c r="A8573" s="21" t="str">
        <f t="shared" si="133"/>
        <v>.</v>
      </c>
      <c r="D8573" s="44"/>
      <c r="E8573" s="22" t="str">
        <f>IF(D8573&lt;&gt;"",IFERROR(INDEX(Produtos!$C$4:$C$4996,MATCH(D8573,Produtos!$B$4:$B$4996,0)),"Produto não encontrado"),"")</f>
        <v/>
      </c>
    </row>
    <row r="8574" spans="1:5" x14ac:dyDescent="0.3">
      <c r="A8574" s="21" t="str">
        <f t="shared" si="133"/>
        <v>.</v>
      </c>
      <c r="D8574" s="44"/>
      <c r="E8574" s="22" t="str">
        <f>IF(D8574&lt;&gt;"",IFERROR(INDEX(Produtos!$C$4:$C$4996,MATCH(D8574,Produtos!$B$4:$B$4996,0)),"Produto não encontrado"),"")</f>
        <v/>
      </c>
    </row>
    <row r="8575" spans="1:5" x14ac:dyDescent="0.3">
      <c r="A8575" s="21" t="str">
        <f t="shared" si="133"/>
        <v>.</v>
      </c>
      <c r="D8575" s="44"/>
      <c r="E8575" s="22" t="str">
        <f>IF(D8575&lt;&gt;"",IFERROR(INDEX(Produtos!$C$4:$C$4996,MATCH(D8575,Produtos!$B$4:$B$4996,0)),"Produto não encontrado"),"")</f>
        <v/>
      </c>
    </row>
    <row r="8576" spans="1:5" x14ac:dyDescent="0.3">
      <c r="A8576" s="21" t="str">
        <f t="shared" ref="A8576:A8639" si="134">IF(C8576="Entrada",2,IF(C8576="Saída",1,"."))</f>
        <v>.</v>
      </c>
      <c r="D8576" s="44"/>
      <c r="E8576" s="22" t="str">
        <f>IF(D8576&lt;&gt;"",IFERROR(INDEX(Produtos!$C$4:$C$4996,MATCH(D8576,Produtos!$B$4:$B$4996,0)),"Produto não encontrado"),"")</f>
        <v/>
      </c>
    </row>
    <row r="8577" spans="1:5" x14ac:dyDescent="0.3">
      <c r="A8577" s="21" t="str">
        <f t="shared" si="134"/>
        <v>.</v>
      </c>
      <c r="D8577" s="44"/>
      <c r="E8577" s="22" t="str">
        <f>IF(D8577&lt;&gt;"",IFERROR(INDEX(Produtos!$C$4:$C$4996,MATCH(D8577,Produtos!$B$4:$B$4996,0)),"Produto não encontrado"),"")</f>
        <v/>
      </c>
    </row>
    <row r="8578" spans="1:5" x14ac:dyDescent="0.3">
      <c r="A8578" s="21" t="str">
        <f t="shared" si="134"/>
        <v>.</v>
      </c>
      <c r="D8578" s="44"/>
      <c r="E8578" s="22" t="str">
        <f>IF(D8578&lt;&gt;"",IFERROR(INDEX(Produtos!$C$4:$C$4996,MATCH(D8578,Produtos!$B$4:$B$4996,0)),"Produto não encontrado"),"")</f>
        <v/>
      </c>
    </row>
    <row r="8579" spans="1:5" x14ac:dyDescent="0.3">
      <c r="A8579" s="21" t="str">
        <f t="shared" si="134"/>
        <v>.</v>
      </c>
      <c r="D8579" s="44"/>
      <c r="E8579" s="22" t="str">
        <f>IF(D8579&lt;&gt;"",IFERROR(INDEX(Produtos!$C$4:$C$4996,MATCH(D8579,Produtos!$B$4:$B$4996,0)),"Produto não encontrado"),"")</f>
        <v/>
      </c>
    </row>
    <row r="8580" spans="1:5" x14ac:dyDescent="0.3">
      <c r="A8580" s="21" t="str">
        <f t="shared" si="134"/>
        <v>.</v>
      </c>
      <c r="D8580" s="44"/>
      <c r="E8580" s="22" t="str">
        <f>IF(D8580&lt;&gt;"",IFERROR(INDEX(Produtos!$C$4:$C$4996,MATCH(D8580,Produtos!$B$4:$B$4996,0)),"Produto não encontrado"),"")</f>
        <v/>
      </c>
    </row>
    <row r="8581" spans="1:5" x14ac:dyDescent="0.3">
      <c r="A8581" s="21" t="str">
        <f t="shared" si="134"/>
        <v>.</v>
      </c>
      <c r="D8581" s="44"/>
      <c r="E8581" s="22" t="str">
        <f>IF(D8581&lt;&gt;"",IFERROR(INDEX(Produtos!$C$4:$C$4996,MATCH(D8581,Produtos!$B$4:$B$4996,0)),"Produto não encontrado"),"")</f>
        <v/>
      </c>
    </row>
    <row r="8582" spans="1:5" x14ac:dyDescent="0.3">
      <c r="A8582" s="21" t="str">
        <f t="shared" si="134"/>
        <v>.</v>
      </c>
      <c r="D8582" s="44"/>
      <c r="E8582" s="22" t="str">
        <f>IF(D8582&lt;&gt;"",IFERROR(INDEX(Produtos!$C$4:$C$4996,MATCH(D8582,Produtos!$B$4:$B$4996,0)),"Produto não encontrado"),"")</f>
        <v/>
      </c>
    </row>
    <row r="8583" spans="1:5" x14ac:dyDescent="0.3">
      <c r="A8583" s="21" t="str">
        <f t="shared" si="134"/>
        <v>.</v>
      </c>
      <c r="D8583" s="44"/>
      <c r="E8583" s="22" t="str">
        <f>IF(D8583&lt;&gt;"",IFERROR(INDEX(Produtos!$C$4:$C$4996,MATCH(D8583,Produtos!$B$4:$B$4996,0)),"Produto não encontrado"),"")</f>
        <v/>
      </c>
    </row>
    <row r="8584" spans="1:5" x14ac:dyDescent="0.3">
      <c r="A8584" s="21" t="str">
        <f t="shared" si="134"/>
        <v>.</v>
      </c>
      <c r="D8584" s="44"/>
      <c r="E8584" s="22" t="str">
        <f>IF(D8584&lt;&gt;"",IFERROR(INDEX(Produtos!$C$4:$C$4996,MATCH(D8584,Produtos!$B$4:$B$4996,0)),"Produto não encontrado"),"")</f>
        <v/>
      </c>
    </row>
    <row r="8585" spans="1:5" x14ac:dyDescent="0.3">
      <c r="A8585" s="21" t="str">
        <f t="shared" si="134"/>
        <v>.</v>
      </c>
      <c r="D8585" s="44"/>
      <c r="E8585" s="22" t="str">
        <f>IF(D8585&lt;&gt;"",IFERROR(INDEX(Produtos!$C$4:$C$4996,MATCH(D8585,Produtos!$B$4:$B$4996,0)),"Produto não encontrado"),"")</f>
        <v/>
      </c>
    </row>
    <row r="8586" spans="1:5" x14ac:dyDescent="0.3">
      <c r="A8586" s="21" t="str">
        <f t="shared" si="134"/>
        <v>.</v>
      </c>
      <c r="D8586" s="44"/>
      <c r="E8586" s="22" t="str">
        <f>IF(D8586&lt;&gt;"",IFERROR(INDEX(Produtos!$C$4:$C$4996,MATCH(D8586,Produtos!$B$4:$B$4996,0)),"Produto não encontrado"),"")</f>
        <v/>
      </c>
    </row>
    <row r="8587" spans="1:5" x14ac:dyDescent="0.3">
      <c r="A8587" s="21" t="str">
        <f t="shared" si="134"/>
        <v>.</v>
      </c>
      <c r="D8587" s="44"/>
      <c r="E8587" s="22" t="str">
        <f>IF(D8587&lt;&gt;"",IFERROR(INDEX(Produtos!$C$4:$C$4996,MATCH(D8587,Produtos!$B$4:$B$4996,0)),"Produto não encontrado"),"")</f>
        <v/>
      </c>
    </row>
    <row r="8588" spans="1:5" x14ac:dyDescent="0.3">
      <c r="A8588" s="21" t="str">
        <f t="shared" si="134"/>
        <v>.</v>
      </c>
      <c r="D8588" s="44"/>
      <c r="E8588" s="22" t="str">
        <f>IF(D8588&lt;&gt;"",IFERROR(INDEX(Produtos!$C$4:$C$4996,MATCH(D8588,Produtos!$B$4:$B$4996,0)),"Produto não encontrado"),"")</f>
        <v/>
      </c>
    </row>
    <row r="8589" spans="1:5" x14ac:dyDescent="0.3">
      <c r="A8589" s="21" t="str">
        <f t="shared" si="134"/>
        <v>.</v>
      </c>
      <c r="D8589" s="44"/>
      <c r="E8589" s="22" t="str">
        <f>IF(D8589&lt;&gt;"",IFERROR(INDEX(Produtos!$C$4:$C$4996,MATCH(D8589,Produtos!$B$4:$B$4996,0)),"Produto não encontrado"),"")</f>
        <v/>
      </c>
    </row>
    <row r="8590" spans="1:5" x14ac:dyDescent="0.3">
      <c r="A8590" s="21" t="str">
        <f t="shared" si="134"/>
        <v>.</v>
      </c>
      <c r="D8590" s="44"/>
      <c r="E8590" s="22" t="str">
        <f>IF(D8590&lt;&gt;"",IFERROR(INDEX(Produtos!$C$4:$C$4996,MATCH(D8590,Produtos!$B$4:$B$4996,0)),"Produto não encontrado"),"")</f>
        <v/>
      </c>
    </row>
    <row r="8591" spans="1:5" x14ac:dyDescent="0.3">
      <c r="A8591" s="21" t="str">
        <f t="shared" si="134"/>
        <v>.</v>
      </c>
      <c r="D8591" s="44"/>
      <c r="E8591" s="22" t="str">
        <f>IF(D8591&lt;&gt;"",IFERROR(INDEX(Produtos!$C$4:$C$4996,MATCH(D8591,Produtos!$B$4:$B$4996,0)),"Produto não encontrado"),"")</f>
        <v/>
      </c>
    </row>
    <row r="8592" spans="1:5" x14ac:dyDescent="0.3">
      <c r="A8592" s="21" t="str">
        <f t="shared" si="134"/>
        <v>.</v>
      </c>
      <c r="D8592" s="44"/>
      <c r="E8592" s="22" t="str">
        <f>IF(D8592&lt;&gt;"",IFERROR(INDEX(Produtos!$C$4:$C$4996,MATCH(D8592,Produtos!$B$4:$B$4996,0)),"Produto não encontrado"),"")</f>
        <v/>
      </c>
    </row>
    <row r="8593" spans="1:5" x14ac:dyDescent="0.3">
      <c r="A8593" s="21" t="str">
        <f t="shared" si="134"/>
        <v>.</v>
      </c>
      <c r="D8593" s="44"/>
      <c r="E8593" s="22" t="str">
        <f>IF(D8593&lt;&gt;"",IFERROR(INDEX(Produtos!$C$4:$C$4996,MATCH(D8593,Produtos!$B$4:$B$4996,0)),"Produto não encontrado"),"")</f>
        <v/>
      </c>
    </row>
    <row r="8594" spans="1:5" x14ac:dyDescent="0.3">
      <c r="A8594" s="21" t="str">
        <f t="shared" si="134"/>
        <v>.</v>
      </c>
      <c r="D8594" s="44"/>
      <c r="E8594" s="22" t="str">
        <f>IF(D8594&lt;&gt;"",IFERROR(INDEX(Produtos!$C$4:$C$4996,MATCH(D8594,Produtos!$B$4:$B$4996,0)),"Produto não encontrado"),"")</f>
        <v/>
      </c>
    </row>
    <row r="8595" spans="1:5" x14ac:dyDescent="0.3">
      <c r="A8595" s="21" t="str">
        <f t="shared" si="134"/>
        <v>.</v>
      </c>
      <c r="D8595" s="44"/>
      <c r="E8595" s="22" t="str">
        <f>IF(D8595&lt;&gt;"",IFERROR(INDEX(Produtos!$C$4:$C$4996,MATCH(D8595,Produtos!$B$4:$B$4996,0)),"Produto não encontrado"),"")</f>
        <v/>
      </c>
    </row>
    <row r="8596" spans="1:5" x14ac:dyDescent="0.3">
      <c r="A8596" s="21" t="str">
        <f t="shared" si="134"/>
        <v>.</v>
      </c>
      <c r="D8596" s="44"/>
      <c r="E8596" s="22" t="str">
        <f>IF(D8596&lt;&gt;"",IFERROR(INDEX(Produtos!$C$4:$C$4996,MATCH(D8596,Produtos!$B$4:$B$4996,0)),"Produto não encontrado"),"")</f>
        <v/>
      </c>
    </row>
    <row r="8597" spans="1:5" x14ac:dyDescent="0.3">
      <c r="A8597" s="21" t="str">
        <f t="shared" si="134"/>
        <v>.</v>
      </c>
      <c r="D8597" s="44"/>
      <c r="E8597" s="22" t="str">
        <f>IF(D8597&lt;&gt;"",IFERROR(INDEX(Produtos!$C$4:$C$4996,MATCH(D8597,Produtos!$B$4:$B$4996,0)),"Produto não encontrado"),"")</f>
        <v/>
      </c>
    </row>
    <row r="8598" spans="1:5" x14ac:dyDescent="0.3">
      <c r="A8598" s="21" t="str">
        <f t="shared" si="134"/>
        <v>.</v>
      </c>
      <c r="D8598" s="44"/>
      <c r="E8598" s="22" t="str">
        <f>IF(D8598&lt;&gt;"",IFERROR(INDEX(Produtos!$C$4:$C$4996,MATCH(D8598,Produtos!$B$4:$B$4996,0)),"Produto não encontrado"),"")</f>
        <v/>
      </c>
    </row>
    <row r="8599" spans="1:5" x14ac:dyDescent="0.3">
      <c r="A8599" s="21" t="str">
        <f t="shared" si="134"/>
        <v>.</v>
      </c>
      <c r="D8599" s="44"/>
      <c r="E8599" s="22" t="str">
        <f>IF(D8599&lt;&gt;"",IFERROR(INDEX(Produtos!$C$4:$C$4996,MATCH(D8599,Produtos!$B$4:$B$4996,0)),"Produto não encontrado"),"")</f>
        <v/>
      </c>
    </row>
    <row r="8600" spans="1:5" x14ac:dyDescent="0.3">
      <c r="A8600" s="21" t="str">
        <f t="shared" si="134"/>
        <v>.</v>
      </c>
      <c r="D8600" s="44"/>
      <c r="E8600" s="22" t="str">
        <f>IF(D8600&lt;&gt;"",IFERROR(INDEX(Produtos!$C$4:$C$4996,MATCH(D8600,Produtos!$B$4:$B$4996,0)),"Produto não encontrado"),"")</f>
        <v/>
      </c>
    </row>
    <row r="8601" spans="1:5" x14ac:dyDescent="0.3">
      <c r="A8601" s="21" t="str">
        <f t="shared" si="134"/>
        <v>.</v>
      </c>
      <c r="D8601" s="44"/>
      <c r="E8601" s="22" t="str">
        <f>IF(D8601&lt;&gt;"",IFERROR(INDEX(Produtos!$C$4:$C$4996,MATCH(D8601,Produtos!$B$4:$B$4996,0)),"Produto não encontrado"),"")</f>
        <v/>
      </c>
    </row>
    <row r="8602" spans="1:5" x14ac:dyDescent="0.3">
      <c r="A8602" s="21" t="str">
        <f t="shared" si="134"/>
        <v>.</v>
      </c>
      <c r="D8602" s="44"/>
      <c r="E8602" s="22" t="str">
        <f>IF(D8602&lt;&gt;"",IFERROR(INDEX(Produtos!$C$4:$C$4996,MATCH(D8602,Produtos!$B$4:$B$4996,0)),"Produto não encontrado"),"")</f>
        <v/>
      </c>
    </row>
    <row r="8603" spans="1:5" x14ac:dyDescent="0.3">
      <c r="A8603" s="21" t="str">
        <f t="shared" si="134"/>
        <v>.</v>
      </c>
      <c r="D8603" s="44"/>
      <c r="E8603" s="22" t="str">
        <f>IF(D8603&lt;&gt;"",IFERROR(INDEX(Produtos!$C$4:$C$4996,MATCH(D8603,Produtos!$B$4:$B$4996,0)),"Produto não encontrado"),"")</f>
        <v/>
      </c>
    </row>
    <row r="8604" spans="1:5" x14ac:dyDescent="0.3">
      <c r="A8604" s="21" t="str">
        <f t="shared" si="134"/>
        <v>.</v>
      </c>
      <c r="D8604" s="44"/>
      <c r="E8604" s="22" t="str">
        <f>IF(D8604&lt;&gt;"",IFERROR(INDEX(Produtos!$C$4:$C$4996,MATCH(D8604,Produtos!$B$4:$B$4996,0)),"Produto não encontrado"),"")</f>
        <v/>
      </c>
    </row>
    <row r="8605" spans="1:5" x14ac:dyDescent="0.3">
      <c r="A8605" s="21" t="str">
        <f t="shared" si="134"/>
        <v>.</v>
      </c>
      <c r="D8605" s="44"/>
      <c r="E8605" s="22" t="str">
        <f>IF(D8605&lt;&gt;"",IFERROR(INDEX(Produtos!$C$4:$C$4996,MATCH(D8605,Produtos!$B$4:$B$4996,0)),"Produto não encontrado"),"")</f>
        <v/>
      </c>
    </row>
    <row r="8606" spans="1:5" x14ac:dyDescent="0.3">
      <c r="A8606" s="21" t="str">
        <f t="shared" si="134"/>
        <v>.</v>
      </c>
      <c r="D8606" s="44"/>
      <c r="E8606" s="22" t="str">
        <f>IF(D8606&lt;&gt;"",IFERROR(INDEX(Produtos!$C$4:$C$4996,MATCH(D8606,Produtos!$B$4:$B$4996,0)),"Produto não encontrado"),"")</f>
        <v/>
      </c>
    </row>
    <row r="8607" spans="1:5" x14ac:dyDescent="0.3">
      <c r="A8607" s="21" t="str">
        <f t="shared" si="134"/>
        <v>.</v>
      </c>
      <c r="D8607" s="44"/>
      <c r="E8607" s="22" t="str">
        <f>IF(D8607&lt;&gt;"",IFERROR(INDEX(Produtos!$C$4:$C$4996,MATCH(D8607,Produtos!$B$4:$B$4996,0)),"Produto não encontrado"),"")</f>
        <v/>
      </c>
    </row>
    <row r="8608" spans="1:5" x14ac:dyDescent="0.3">
      <c r="A8608" s="21" t="str">
        <f t="shared" si="134"/>
        <v>.</v>
      </c>
      <c r="D8608" s="44"/>
      <c r="E8608" s="22" t="str">
        <f>IF(D8608&lt;&gt;"",IFERROR(INDEX(Produtos!$C$4:$C$4996,MATCH(D8608,Produtos!$B$4:$B$4996,0)),"Produto não encontrado"),"")</f>
        <v/>
      </c>
    </row>
    <row r="8609" spans="1:5" x14ac:dyDescent="0.3">
      <c r="A8609" s="21" t="str">
        <f t="shared" si="134"/>
        <v>.</v>
      </c>
      <c r="D8609" s="44"/>
      <c r="E8609" s="22" t="str">
        <f>IF(D8609&lt;&gt;"",IFERROR(INDEX(Produtos!$C$4:$C$4996,MATCH(D8609,Produtos!$B$4:$B$4996,0)),"Produto não encontrado"),"")</f>
        <v/>
      </c>
    </row>
    <row r="8610" spans="1:5" x14ac:dyDescent="0.3">
      <c r="A8610" s="21" t="str">
        <f t="shared" si="134"/>
        <v>.</v>
      </c>
      <c r="D8610" s="44"/>
      <c r="E8610" s="22" t="str">
        <f>IF(D8610&lt;&gt;"",IFERROR(INDEX(Produtos!$C$4:$C$4996,MATCH(D8610,Produtos!$B$4:$B$4996,0)),"Produto não encontrado"),"")</f>
        <v/>
      </c>
    </row>
    <row r="8611" spans="1:5" x14ac:dyDescent="0.3">
      <c r="A8611" s="21" t="str">
        <f t="shared" si="134"/>
        <v>.</v>
      </c>
      <c r="D8611" s="44"/>
      <c r="E8611" s="22" t="str">
        <f>IF(D8611&lt;&gt;"",IFERROR(INDEX(Produtos!$C$4:$C$4996,MATCH(D8611,Produtos!$B$4:$B$4996,0)),"Produto não encontrado"),"")</f>
        <v/>
      </c>
    </row>
    <row r="8612" spans="1:5" x14ac:dyDescent="0.3">
      <c r="A8612" s="21" t="str">
        <f t="shared" si="134"/>
        <v>.</v>
      </c>
      <c r="D8612" s="44"/>
      <c r="E8612" s="22" t="str">
        <f>IF(D8612&lt;&gt;"",IFERROR(INDEX(Produtos!$C$4:$C$4996,MATCH(D8612,Produtos!$B$4:$B$4996,0)),"Produto não encontrado"),"")</f>
        <v/>
      </c>
    </row>
    <row r="8613" spans="1:5" x14ac:dyDescent="0.3">
      <c r="A8613" s="21" t="str">
        <f t="shared" si="134"/>
        <v>.</v>
      </c>
      <c r="D8613" s="44"/>
      <c r="E8613" s="22" t="str">
        <f>IF(D8613&lt;&gt;"",IFERROR(INDEX(Produtos!$C$4:$C$4996,MATCH(D8613,Produtos!$B$4:$B$4996,0)),"Produto não encontrado"),"")</f>
        <v/>
      </c>
    </row>
    <row r="8614" spans="1:5" x14ac:dyDescent="0.3">
      <c r="A8614" s="21" t="str">
        <f t="shared" si="134"/>
        <v>.</v>
      </c>
      <c r="D8614" s="44"/>
      <c r="E8614" s="22" t="str">
        <f>IF(D8614&lt;&gt;"",IFERROR(INDEX(Produtos!$C$4:$C$4996,MATCH(D8614,Produtos!$B$4:$B$4996,0)),"Produto não encontrado"),"")</f>
        <v/>
      </c>
    </row>
    <row r="8615" spans="1:5" x14ac:dyDescent="0.3">
      <c r="A8615" s="21" t="str">
        <f t="shared" si="134"/>
        <v>.</v>
      </c>
      <c r="D8615" s="44"/>
      <c r="E8615" s="22" t="str">
        <f>IF(D8615&lt;&gt;"",IFERROR(INDEX(Produtos!$C$4:$C$4996,MATCH(D8615,Produtos!$B$4:$B$4996,0)),"Produto não encontrado"),"")</f>
        <v/>
      </c>
    </row>
    <row r="8616" spans="1:5" x14ac:dyDescent="0.3">
      <c r="A8616" s="21" t="str">
        <f t="shared" si="134"/>
        <v>.</v>
      </c>
      <c r="D8616" s="44"/>
      <c r="E8616" s="22" t="str">
        <f>IF(D8616&lt;&gt;"",IFERROR(INDEX(Produtos!$C$4:$C$4996,MATCH(D8616,Produtos!$B$4:$B$4996,0)),"Produto não encontrado"),"")</f>
        <v/>
      </c>
    </row>
    <row r="8617" spans="1:5" x14ac:dyDescent="0.3">
      <c r="A8617" s="21" t="str">
        <f t="shared" si="134"/>
        <v>.</v>
      </c>
      <c r="D8617" s="44"/>
      <c r="E8617" s="22" t="str">
        <f>IF(D8617&lt;&gt;"",IFERROR(INDEX(Produtos!$C$4:$C$4996,MATCH(D8617,Produtos!$B$4:$B$4996,0)),"Produto não encontrado"),"")</f>
        <v/>
      </c>
    </row>
    <row r="8618" spans="1:5" x14ac:dyDescent="0.3">
      <c r="A8618" s="21" t="str">
        <f t="shared" si="134"/>
        <v>.</v>
      </c>
      <c r="D8618" s="44"/>
      <c r="E8618" s="22" t="str">
        <f>IF(D8618&lt;&gt;"",IFERROR(INDEX(Produtos!$C$4:$C$4996,MATCH(D8618,Produtos!$B$4:$B$4996,0)),"Produto não encontrado"),"")</f>
        <v/>
      </c>
    </row>
    <row r="8619" spans="1:5" x14ac:dyDescent="0.3">
      <c r="A8619" s="21" t="str">
        <f t="shared" si="134"/>
        <v>.</v>
      </c>
      <c r="D8619" s="44"/>
      <c r="E8619" s="22" t="str">
        <f>IF(D8619&lt;&gt;"",IFERROR(INDEX(Produtos!$C$4:$C$4996,MATCH(D8619,Produtos!$B$4:$B$4996,0)),"Produto não encontrado"),"")</f>
        <v/>
      </c>
    </row>
    <row r="8620" spans="1:5" x14ac:dyDescent="0.3">
      <c r="A8620" s="21" t="str">
        <f t="shared" si="134"/>
        <v>.</v>
      </c>
      <c r="D8620" s="44"/>
      <c r="E8620" s="22" t="str">
        <f>IF(D8620&lt;&gt;"",IFERROR(INDEX(Produtos!$C$4:$C$4996,MATCH(D8620,Produtos!$B$4:$B$4996,0)),"Produto não encontrado"),"")</f>
        <v/>
      </c>
    </row>
    <row r="8621" spans="1:5" x14ac:dyDescent="0.3">
      <c r="A8621" s="21" t="str">
        <f t="shared" si="134"/>
        <v>.</v>
      </c>
      <c r="D8621" s="44"/>
      <c r="E8621" s="22" t="str">
        <f>IF(D8621&lt;&gt;"",IFERROR(INDEX(Produtos!$C$4:$C$4996,MATCH(D8621,Produtos!$B$4:$B$4996,0)),"Produto não encontrado"),"")</f>
        <v/>
      </c>
    </row>
    <row r="8622" spans="1:5" x14ac:dyDescent="0.3">
      <c r="A8622" s="21" t="str">
        <f t="shared" si="134"/>
        <v>.</v>
      </c>
      <c r="D8622" s="44"/>
      <c r="E8622" s="22" t="str">
        <f>IF(D8622&lt;&gt;"",IFERROR(INDEX(Produtos!$C$4:$C$4996,MATCH(D8622,Produtos!$B$4:$B$4996,0)),"Produto não encontrado"),"")</f>
        <v/>
      </c>
    </row>
    <row r="8623" spans="1:5" x14ac:dyDescent="0.3">
      <c r="A8623" s="21" t="str">
        <f t="shared" si="134"/>
        <v>.</v>
      </c>
      <c r="D8623" s="44"/>
      <c r="E8623" s="22" t="str">
        <f>IF(D8623&lt;&gt;"",IFERROR(INDEX(Produtos!$C$4:$C$4996,MATCH(D8623,Produtos!$B$4:$B$4996,0)),"Produto não encontrado"),"")</f>
        <v/>
      </c>
    </row>
    <row r="8624" spans="1:5" x14ac:dyDescent="0.3">
      <c r="A8624" s="21" t="str">
        <f t="shared" si="134"/>
        <v>.</v>
      </c>
      <c r="D8624" s="44"/>
      <c r="E8624" s="22" t="str">
        <f>IF(D8624&lt;&gt;"",IFERROR(INDEX(Produtos!$C$4:$C$4996,MATCH(D8624,Produtos!$B$4:$B$4996,0)),"Produto não encontrado"),"")</f>
        <v/>
      </c>
    </row>
    <row r="8625" spans="1:5" x14ac:dyDescent="0.3">
      <c r="A8625" s="21" t="str">
        <f t="shared" si="134"/>
        <v>.</v>
      </c>
      <c r="D8625" s="44"/>
      <c r="E8625" s="22" t="str">
        <f>IF(D8625&lt;&gt;"",IFERROR(INDEX(Produtos!$C$4:$C$4996,MATCH(D8625,Produtos!$B$4:$B$4996,0)),"Produto não encontrado"),"")</f>
        <v/>
      </c>
    </row>
    <row r="8626" spans="1:5" x14ac:dyDescent="0.3">
      <c r="A8626" s="21" t="str">
        <f t="shared" si="134"/>
        <v>.</v>
      </c>
      <c r="D8626" s="44"/>
      <c r="E8626" s="22" t="str">
        <f>IF(D8626&lt;&gt;"",IFERROR(INDEX(Produtos!$C$4:$C$4996,MATCH(D8626,Produtos!$B$4:$B$4996,0)),"Produto não encontrado"),"")</f>
        <v/>
      </c>
    </row>
    <row r="8627" spans="1:5" x14ac:dyDescent="0.3">
      <c r="A8627" s="21" t="str">
        <f t="shared" si="134"/>
        <v>.</v>
      </c>
      <c r="D8627" s="44"/>
      <c r="E8627" s="22" t="str">
        <f>IF(D8627&lt;&gt;"",IFERROR(INDEX(Produtos!$C$4:$C$4996,MATCH(D8627,Produtos!$B$4:$B$4996,0)),"Produto não encontrado"),"")</f>
        <v/>
      </c>
    </row>
    <row r="8628" spans="1:5" x14ac:dyDescent="0.3">
      <c r="A8628" s="21" t="str">
        <f t="shared" si="134"/>
        <v>.</v>
      </c>
      <c r="D8628" s="44"/>
      <c r="E8628" s="22" t="str">
        <f>IF(D8628&lt;&gt;"",IFERROR(INDEX(Produtos!$C$4:$C$4996,MATCH(D8628,Produtos!$B$4:$B$4996,0)),"Produto não encontrado"),"")</f>
        <v/>
      </c>
    </row>
    <row r="8629" spans="1:5" x14ac:dyDescent="0.3">
      <c r="A8629" s="21" t="str">
        <f t="shared" si="134"/>
        <v>.</v>
      </c>
      <c r="D8629" s="44"/>
      <c r="E8629" s="22" t="str">
        <f>IF(D8629&lt;&gt;"",IFERROR(INDEX(Produtos!$C$4:$C$4996,MATCH(D8629,Produtos!$B$4:$B$4996,0)),"Produto não encontrado"),"")</f>
        <v/>
      </c>
    </row>
    <row r="8630" spans="1:5" x14ac:dyDescent="0.3">
      <c r="A8630" s="21" t="str">
        <f t="shared" si="134"/>
        <v>.</v>
      </c>
      <c r="D8630" s="44"/>
      <c r="E8630" s="22" t="str">
        <f>IF(D8630&lt;&gt;"",IFERROR(INDEX(Produtos!$C$4:$C$4996,MATCH(D8630,Produtos!$B$4:$B$4996,0)),"Produto não encontrado"),"")</f>
        <v/>
      </c>
    </row>
    <row r="8631" spans="1:5" x14ac:dyDescent="0.3">
      <c r="A8631" s="21" t="str">
        <f t="shared" si="134"/>
        <v>.</v>
      </c>
      <c r="D8631" s="44"/>
      <c r="E8631" s="22" t="str">
        <f>IF(D8631&lt;&gt;"",IFERROR(INDEX(Produtos!$C$4:$C$4996,MATCH(D8631,Produtos!$B$4:$B$4996,0)),"Produto não encontrado"),"")</f>
        <v/>
      </c>
    </row>
    <row r="8632" spans="1:5" x14ac:dyDescent="0.3">
      <c r="A8632" s="21" t="str">
        <f t="shared" si="134"/>
        <v>.</v>
      </c>
      <c r="D8632" s="44"/>
      <c r="E8632" s="22" t="str">
        <f>IF(D8632&lt;&gt;"",IFERROR(INDEX(Produtos!$C$4:$C$4996,MATCH(D8632,Produtos!$B$4:$B$4996,0)),"Produto não encontrado"),"")</f>
        <v/>
      </c>
    </row>
    <row r="8633" spans="1:5" x14ac:dyDescent="0.3">
      <c r="A8633" s="21" t="str">
        <f t="shared" si="134"/>
        <v>.</v>
      </c>
      <c r="D8633" s="44"/>
      <c r="E8633" s="22" t="str">
        <f>IF(D8633&lt;&gt;"",IFERROR(INDEX(Produtos!$C$4:$C$4996,MATCH(D8633,Produtos!$B$4:$B$4996,0)),"Produto não encontrado"),"")</f>
        <v/>
      </c>
    </row>
    <row r="8634" spans="1:5" x14ac:dyDescent="0.3">
      <c r="A8634" s="21" t="str">
        <f t="shared" si="134"/>
        <v>.</v>
      </c>
      <c r="D8634" s="44"/>
      <c r="E8634" s="22" t="str">
        <f>IF(D8634&lt;&gt;"",IFERROR(INDEX(Produtos!$C$4:$C$4996,MATCH(D8634,Produtos!$B$4:$B$4996,0)),"Produto não encontrado"),"")</f>
        <v/>
      </c>
    </row>
    <row r="8635" spans="1:5" x14ac:dyDescent="0.3">
      <c r="A8635" s="21" t="str">
        <f t="shared" si="134"/>
        <v>.</v>
      </c>
      <c r="D8635" s="44"/>
      <c r="E8635" s="22" t="str">
        <f>IF(D8635&lt;&gt;"",IFERROR(INDEX(Produtos!$C$4:$C$4996,MATCH(D8635,Produtos!$B$4:$B$4996,0)),"Produto não encontrado"),"")</f>
        <v/>
      </c>
    </row>
    <row r="8636" spans="1:5" x14ac:dyDescent="0.3">
      <c r="A8636" s="21" t="str">
        <f t="shared" si="134"/>
        <v>.</v>
      </c>
      <c r="D8636" s="44"/>
      <c r="E8636" s="22" t="str">
        <f>IF(D8636&lt;&gt;"",IFERROR(INDEX(Produtos!$C$4:$C$4996,MATCH(D8636,Produtos!$B$4:$B$4996,0)),"Produto não encontrado"),"")</f>
        <v/>
      </c>
    </row>
    <row r="8637" spans="1:5" x14ac:dyDescent="0.3">
      <c r="A8637" s="21" t="str">
        <f t="shared" si="134"/>
        <v>.</v>
      </c>
      <c r="D8637" s="44"/>
      <c r="E8637" s="22" t="str">
        <f>IF(D8637&lt;&gt;"",IFERROR(INDEX(Produtos!$C$4:$C$4996,MATCH(D8637,Produtos!$B$4:$B$4996,0)),"Produto não encontrado"),"")</f>
        <v/>
      </c>
    </row>
    <row r="8638" spans="1:5" x14ac:dyDescent="0.3">
      <c r="A8638" s="21" t="str">
        <f t="shared" si="134"/>
        <v>.</v>
      </c>
      <c r="D8638" s="44"/>
      <c r="E8638" s="22" t="str">
        <f>IF(D8638&lt;&gt;"",IFERROR(INDEX(Produtos!$C$4:$C$4996,MATCH(D8638,Produtos!$B$4:$B$4996,0)),"Produto não encontrado"),"")</f>
        <v/>
      </c>
    </row>
    <row r="8639" spans="1:5" x14ac:dyDescent="0.3">
      <c r="A8639" s="21" t="str">
        <f t="shared" si="134"/>
        <v>.</v>
      </c>
      <c r="D8639" s="44"/>
      <c r="E8639" s="22" t="str">
        <f>IF(D8639&lt;&gt;"",IFERROR(INDEX(Produtos!$C$4:$C$4996,MATCH(D8639,Produtos!$B$4:$B$4996,0)),"Produto não encontrado"),"")</f>
        <v/>
      </c>
    </row>
    <row r="8640" spans="1:5" x14ac:dyDescent="0.3">
      <c r="A8640" s="21" t="str">
        <f t="shared" ref="A8640:A8703" si="135">IF(C8640="Entrada",2,IF(C8640="Saída",1,"."))</f>
        <v>.</v>
      </c>
      <c r="D8640" s="44"/>
      <c r="E8640" s="22" t="str">
        <f>IF(D8640&lt;&gt;"",IFERROR(INDEX(Produtos!$C$4:$C$4996,MATCH(D8640,Produtos!$B$4:$B$4996,0)),"Produto não encontrado"),"")</f>
        <v/>
      </c>
    </row>
    <row r="8641" spans="1:5" x14ac:dyDescent="0.3">
      <c r="A8641" s="21" t="str">
        <f t="shared" si="135"/>
        <v>.</v>
      </c>
      <c r="D8641" s="44"/>
      <c r="E8641" s="22" t="str">
        <f>IF(D8641&lt;&gt;"",IFERROR(INDEX(Produtos!$C$4:$C$4996,MATCH(D8641,Produtos!$B$4:$B$4996,0)),"Produto não encontrado"),"")</f>
        <v/>
      </c>
    </row>
    <row r="8642" spans="1:5" x14ac:dyDescent="0.3">
      <c r="A8642" s="21" t="str">
        <f t="shared" si="135"/>
        <v>.</v>
      </c>
      <c r="D8642" s="44"/>
      <c r="E8642" s="22" t="str">
        <f>IF(D8642&lt;&gt;"",IFERROR(INDEX(Produtos!$C$4:$C$4996,MATCH(D8642,Produtos!$B$4:$B$4996,0)),"Produto não encontrado"),"")</f>
        <v/>
      </c>
    </row>
    <row r="8643" spans="1:5" x14ac:dyDescent="0.3">
      <c r="A8643" s="21" t="str">
        <f t="shared" si="135"/>
        <v>.</v>
      </c>
      <c r="D8643" s="44"/>
      <c r="E8643" s="22" t="str">
        <f>IF(D8643&lt;&gt;"",IFERROR(INDEX(Produtos!$C$4:$C$4996,MATCH(D8643,Produtos!$B$4:$B$4996,0)),"Produto não encontrado"),"")</f>
        <v/>
      </c>
    </row>
    <row r="8644" spans="1:5" x14ac:dyDescent="0.3">
      <c r="A8644" s="21" t="str">
        <f t="shared" si="135"/>
        <v>.</v>
      </c>
      <c r="D8644" s="44"/>
      <c r="E8644" s="22" t="str">
        <f>IF(D8644&lt;&gt;"",IFERROR(INDEX(Produtos!$C$4:$C$4996,MATCH(D8644,Produtos!$B$4:$B$4996,0)),"Produto não encontrado"),"")</f>
        <v/>
      </c>
    </row>
    <row r="8645" spans="1:5" x14ac:dyDescent="0.3">
      <c r="A8645" s="21" t="str">
        <f t="shared" si="135"/>
        <v>.</v>
      </c>
      <c r="D8645" s="44"/>
      <c r="E8645" s="22" t="str">
        <f>IF(D8645&lt;&gt;"",IFERROR(INDEX(Produtos!$C$4:$C$4996,MATCH(D8645,Produtos!$B$4:$B$4996,0)),"Produto não encontrado"),"")</f>
        <v/>
      </c>
    </row>
    <row r="8646" spans="1:5" x14ac:dyDescent="0.3">
      <c r="A8646" s="21" t="str">
        <f t="shared" si="135"/>
        <v>.</v>
      </c>
      <c r="D8646" s="44"/>
      <c r="E8646" s="22" t="str">
        <f>IF(D8646&lt;&gt;"",IFERROR(INDEX(Produtos!$C$4:$C$4996,MATCH(D8646,Produtos!$B$4:$B$4996,0)),"Produto não encontrado"),"")</f>
        <v/>
      </c>
    </row>
    <row r="8647" spans="1:5" x14ac:dyDescent="0.3">
      <c r="A8647" s="21" t="str">
        <f t="shared" si="135"/>
        <v>.</v>
      </c>
      <c r="D8647" s="44"/>
      <c r="E8647" s="22" t="str">
        <f>IF(D8647&lt;&gt;"",IFERROR(INDEX(Produtos!$C$4:$C$4996,MATCH(D8647,Produtos!$B$4:$B$4996,0)),"Produto não encontrado"),"")</f>
        <v/>
      </c>
    </row>
    <row r="8648" spans="1:5" x14ac:dyDescent="0.3">
      <c r="A8648" s="21" t="str">
        <f t="shared" si="135"/>
        <v>.</v>
      </c>
      <c r="D8648" s="44"/>
      <c r="E8648" s="22" t="str">
        <f>IF(D8648&lt;&gt;"",IFERROR(INDEX(Produtos!$C$4:$C$4996,MATCH(D8648,Produtos!$B$4:$B$4996,0)),"Produto não encontrado"),"")</f>
        <v/>
      </c>
    </row>
    <row r="8649" spans="1:5" x14ac:dyDescent="0.3">
      <c r="A8649" s="21" t="str">
        <f t="shared" si="135"/>
        <v>.</v>
      </c>
      <c r="D8649" s="44"/>
      <c r="E8649" s="22" t="str">
        <f>IF(D8649&lt;&gt;"",IFERROR(INDEX(Produtos!$C$4:$C$4996,MATCH(D8649,Produtos!$B$4:$B$4996,0)),"Produto não encontrado"),"")</f>
        <v/>
      </c>
    </row>
    <row r="8650" spans="1:5" x14ac:dyDescent="0.3">
      <c r="A8650" s="21" t="str">
        <f t="shared" si="135"/>
        <v>.</v>
      </c>
      <c r="D8650" s="44"/>
      <c r="E8650" s="22" t="str">
        <f>IF(D8650&lt;&gt;"",IFERROR(INDEX(Produtos!$C$4:$C$4996,MATCH(D8650,Produtos!$B$4:$B$4996,0)),"Produto não encontrado"),"")</f>
        <v/>
      </c>
    </row>
    <row r="8651" spans="1:5" x14ac:dyDescent="0.3">
      <c r="A8651" s="21" t="str">
        <f t="shared" si="135"/>
        <v>.</v>
      </c>
      <c r="D8651" s="44"/>
      <c r="E8651" s="22" t="str">
        <f>IF(D8651&lt;&gt;"",IFERROR(INDEX(Produtos!$C$4:$C$4996,MATCH(D8651,Produtos!$B$4:$B$4996,0)),"Produto não encontrado"),"")</f>
        <v/>
      </c>
    </row>
    <row r="8652" spans="1:5" x14ac:dyDescent="0.3">
      <c r="A8652" s="21" t="str">
        <f t="shared" si="135"/>
        <v>.</v>
      </c>
      <c r="D8652" s="44"/>
      <c r="E8652" s="22" t="str">
        <f>IF(D8652&lt;&gt;"",IFERROR(INDEX(Produtos!$C$4:$C$4996,MATCH(D8652,Produtos!$B$4:$B$4996,0)),"Produto não encontrado"),"")</f>
        <v/>
      </c>
    </row>
    <row r="8653" spans="1:5" x14ac:dyDescent="0.3">
      <c r="A8653" s="21" t="str">
        <f t="shared" si="135"/>
        <v>.</v>
      </c>
      <c r="D8653" s="44"/>
      <c r="E8653" s="22" t="str">
        <f>IF(D8653&lt;&gt;"",IFERROR(INDEX(Produtos!$C$4:$C$4996,MATCH(D8653,Produtos!$B$4:$B$4996,0)),"Produto não encontrado"),"")</f>
        <v/>
      </c>
    </row>
    <row r="8654" spans="1:5" x14ac:dyDescent="0.3">
      <c r="A8654" s="21" t="str">
        <f t="shared" si="135"/>
        <v>.</v>
      </c>
      <c r="D8654" s="44"/>
      <c r="E8654" s="22" t="str">
        <f>IF(D8654&lt;&gt;"",IFERROR(INDEX(Produtos!$C$4:$C$4996,MATCH(D8654,Produtos!$B$4:$B$4996,0)),"Produto não encontrado"),"")</f>
        <v/>
      </c>
    </row>
    <row r="8655" spans="1:5" x14ac:dyDescent="0.3">
      <c r="A8655" s="21" t="str">
        <f t="shared" si="135"/>
        <v>.</v>
      </c>
      <c r="D8655" s="44"/>
      <c r="E8655" s="22" t="str">
        <f>IF(D8655&lt;&gt;"",IFERROR(INDEX(Produtos!$C$4:$C$4996,MATCH(D8655,Produtos!$B$4:$B$4996,0)),"Produto não encontrado"),"")</f>
        <v/>
      </c>
    </row>
    <row r="8656" spans="1:5" x14ac:dyDescent="0.3">
      <c r="A8656" s="21" t="str">
        <f t="shared" si="135"/>
        <v>.</v>
      </c>
      <c r="D8656" s="44"/>
      <c r="E8656" s="22" t="str">
        <f>IF(D8656&lt;&gt;"",IFERROR(INDEX(Produtos!$C$4:$C$4996,MATCH(D8656,Produtos!$B$4:$B$4996,0)),"Produto não encontrado"),"")</f>
        <v/>
      </c>
    </row>
    <row r="8657" spans="1:5" x14ac:dyDescent="0.3">
      <c r="A8657" s="21" t="str">
        <f t="shared" si="135"/>
        <v>.</v>
      </c>
      <c r="D8657" s="44"/>
      <c r="E8657" s="22" t="str">
        <f>IF(D8657&lt;&gt;"",IFERROR(INDEX(Produtos!$C$4:$C$4996,MATCH(D8657,Produtos!$B$4:$B$4996,0)),"Produto não encontrado"),"")</f>
        <v/>
      </c>
    </row>
    <row r="8658" spans="1:5" x14ac:dyDescent="0.3">
      <c r="A8658" s="21" t="str">
        <f t="shared" si="135"/>
        <v>.</v>
      </c>
      <c r="D8658" s="44"/>
      <c r="E8658" s="22" t="str">
        <f>IF(D8658&lt;&gt;"",IFERROR(INDEX(Produtos!$C$4:$C$4996,MATCH(D8658,Produtos!$B$4:$B$4996,0)),"Produto não encontrado"),"")</f>
        <v/>
      </c>
    </row>
    <row r="8659" spans="1:5" x14ac:dyDescent="0.3">
      <c r="A8659" s="21" t="str">
        <f t="shared" si="135"/>
        <v>.</v>
      </c>
      <c r="D8659" s="44"/>
      <c r="E8659" s="22" t="str">
        <f>IF(D8659&lt;&gt;"",IFERROR(INDEX(Produtos!$C$4:$C$4996,MATCH(D8659,Produtos!$B$4:$B$4996,0)),"Produto não encontrado"),"")</f>
        <v/>
      </c>
    </row>
    <row r="8660" spans="1:5" x14ac:dyDescent="0.3">
      <c r="A8660" s="21" t="str">
        <f t="shared" si="135"/>
        <v>.</v>
      </c>
      <c r="D8660" s="44"/>
      <c r="E8660" s="22" t="str">
        <f>IF(D8660&lt;&gt;"",IFERROR(INDEX(Produtos!$C$4:$C$4996,MATCH(D8660,Produtos!$B$4:$B$4996,0)),"Produto não encontrado"),"")</f>
        <v/>
      </c>
    </row>
    <row r="8661" spans="1:5" x14ac:dyDescent="0.3">
      <c r="A8661" s="21" t="str">
        <f t="shared" si="135"/>
        <v>.</v>
      </c>
      <c r="D8661" s="44"/>
      <c r="E8661" s="22" t="str">
        <f>IF(D8661&lt;&gt;"",IFERROR(INDEX(Produtos!$C$4:$C$4996,MATCH(D8661,Produtos!$B$4:$B$4996,0)),"Produto não encontrado"),"")</f>
        <v/>
      </c>
    </row>
    <row r="8662" spans="1:5" x14ac:dyDescent="0.3">
      <c r="A8662" s="21" t="str">
        <f t="shared" si="135"/>
        <v>.</v>
      </c>
      <c r="D8662" s="44"/>
      <c r="E8662" s="22" t="str">
        <f>IF(D8662&lt;&gt;"",IFERROR(INDEX(Produtos!$C$4:$C$4996,MATCH(D8662,Produtos!$B$4:$B$4996,0)),"Produto não encontrado"),"")</f>
        <v/>
      </c>
    </row>
    <row r="8663" spans="1:5" x14ac:dyDescent="0.3">
      <c r="A8663" s="21" t="str">
        <f t="shared" si="135"/>
        <v>.</v>
      </c>
      <c r="D8663" s="44"/>
      <c r="E8663" s="22" t="str">
        <f>IF(D8663&lt;&gt;"",IFERROR(INDEX(Produtos!$C$4:$C$4996,MATCH(D8663,Produtos!$B$4:$B$4996,0)),"Produto não encontrado"),"")</f>
        <v/>
      </c>
    </row>
    <row r="8664" spans="1:5" x14ac:dyDescent="0.3">
      <c r="A8664" s="21" t="str">
        <f t="shared" si="135"/>
        <v>.</v>
      </c>
      <c r="D8664" s="44"/>
      <c r="E8664" s="22" t="str">
        <f>IF(D8664&lt;&gt;"",IFERROR(INDEX(Produtos!$C$4:$C$4996,MATCH(D8664,Produtos!$B$4:$B$4996,0)),"Produto não encontrado"),"")</f>
        <v/>
      </c>
    </row>
    <row r="8665" spans="1:5" x14ac:dyDescent="0.3">
      <c r="A8665" s="21" t="str">
        <f t="shared" si="135"/>
        <v>.</v>
      </c>
      <c r="D8665" s="44"/>
      <c r="E8665" s="22" t="str">
        <f>IF(D8665&lt;&gt;"",IFERROR(INDEX(Produtos!$C$4:$C$4996,MATCH(D8665,Produtos!$B$4:$B$4996,0)),"Produto não encontrado"),"")</f>
        <v/>
      </c>
    </row>
    <row r="8666" spans="1:5" x14ac:dyDescent="0.3">
      <c r="A8666" s="21" t="str">
        <f t="shared" si="135"/>
        <v>.</v>
      </c>
      <c r="D8666" s="44"/>
      <c r="E8666" s="22" t="str">
        <f>IF(D8666&lt;&gt;"",IFERROR(INDEX(Produtos!$C$4:$C$4996,MATCH(D8666,Produtos!$B$4:$B$4996,0)),"Produto não encontrado"),"")</f>
        <v/>
      </c>
    </row>
    <row r="8667" spans="1:5" x14ac:dyDescent="0.3">
      <c r="A8667" s="21" t="str">
        <f t="shared" si="135"/>
        <v>.</v>
      </c>
      <c r="D8667" s="44"/>
      <c r="E8667" s="22" t="str">
        <f>IF(D8667&lt;&gt;"",IFERROR(INDEX(Produtos!$C$4:$C$4996,MATCH(D8667,Produtos!$B$4:$B$4996,0)),"Produto não encontrado"),"")</f>
        <v/>
      </c>
    </row>
    <row r="8668" spans="1:5" x14ac:dyDescent="0.3">
      <c r="A8668" s="21" t="str">
        <f t="shared" si="135"/>
        <v>.</v>
      </c>
      <c r="D8668" s="44"/>
      <c r="E8668" s="22" t="str">
        <f>IF(D8668&lt;&gt;"",IFERROR(INDEX(Produtos!$C$4:$C$4996,MATCH(D8668,Produtos!$B$4:$B$4996,0)),"Produto não encontrado"),"")</f>
        <v/>
      </c>
    </row>
    <row r="8669" spans="1:5" x14ac:dyDescent="0.3">
      <c r="A8669" s="21" t="str">
        <f t="shared" si="135"/>
        <v>.</v>
      </c>
      <c r="D8669" s="44"/>
      <c r="E8669" s="22" t="str">
        <f>IF(D8669&lt;&gt;"",IFERROR(INDEX(Produtos!$C$4:$C$4996,MATCH(D8669,Produtos!$B$4:$B$4996,0)),"Produto não encontrado"),"")</f>
        <v/>
      </c>
    </row>
    <row r="8670" spans="1:5" x14ac:dyDescent="0.3">
      <c r="A8670" s="21" t="str">
        <f t="shared" si="135"/>
        <v>.</v>
      </c>
      <c r="D8670" s="44"/>
      <c r="E8670" s="22" t="str">
        <f>IF(D8670&lt;&gt;"",IFERROR(INDEX(Produtos!$C$4:$C$4996,MATCH(D8670,Produtos!$B$4:$B$4996,0)),"Produto não encontrado"),"")</f>
        <v/>
      </c>
    </row>
    <row r="8671" spans="1:5" x14ac:dyDescent="0.3">
      <c r="A8671" s="21" t="str">
        <f t="shared" si="135"/>
        <v>.</v>
      </c>
      <c r="D8671" s="44"/>
      <c r="E8671" s="22" t="str">
        <f>IF(D8671&lt;&gt;"",IFERROR(INDEX(Produtos!$C$4:$C$4996,MATCH(D8671,Produtos!$B$4:$B$4996,0)),"Produto não encontrado"),"")</f>
        <v/>
      </c>
    </row>
    <row r="8672" spans="1:5" x14ac:dyDescent="0.3">
      <c r="A8672" s="21" t="str">
        <f t="shared" si="135"/>
        <v>.</v>
      </c>
      <c r="D8672" s="44"/>
      <c r="E8672" s="22" t="str">
        <f>IF(D8672&lt;&gt;"",IFERROR(INDEX(Produtos!$C$4:$C$4996,MATCH(D8672,Produtos!$B$4:$B$4996,0)),"Produto não encontrado"),"")</f>
        <v/>
      </c>
    </row>
    <row r="8673" spans="1:5" x14ac:dyDescent="0.3">
      <c r="A8673" s="21" t="str">
        <f t="shared" si="135"/>
        <v>.</v>
      </c>
      <c r="D8673" s="44"/>
      <c r="E8673" s="22" t="str">
        <f>IF(D8673&lt;&gt;"",IFERROR(INDEX(Produtos!$C$4:$C$4996,MATCH(D8673,Produtos!$B$4:$B$4996,0)),"Produto não encontrado"),"")</f>
        <v/>
      </c>
    </row>
    <row r="8674" spans="1:5" x14ac:dyDescent="0.3">
      <c r="A8674" s="21" t="str">
        <f t="shared" si="135"/>
        <v>.</v>
      </c>
      <c r="D8674" s="44"/>
      <c r="E8674" s="22" t="str">
        <f>IF(D8674&lt;&gt;"",IFERROR(INDEX(Produtos!$C$4:$C$4996,MATCH(D8674,Produtos!$B$4:$B$4996,0)),"Produto não encontrado"),"")</f>
        <v/>
      </c>
    </row>
    <row r="8675" spans="1:5" x14ac:dyDescent="0.3">
      <c r="A8675" s="21" t="str">
        <f t="shared" si="135"/>
        <v>.</v>
      </c>
      <c r="D8675" s="44"/>
      <c r="E8675" s="22" t="str">
        <f>IF(D8675&lt;&gt;"",IFERROR(INDEX(Produtos!$C$4:$C$4996,MATCH(D8675,Produtos!$B$4:$B$4996,0)),"Produto não encontrado"),"")</f>
        <v/>
      </c>
    </row>
    <row r="8676" spans="1:5" x14ac:dyDescent="0.3">
      <c r="A8676" s="21" t="str">
        <f t="shared" si="135"/>
        <v>.</v>
      </c>
      <c r="D8676" s="44"/>
      <c r="E8676" s="22" t="str">
        <f>IF(D8676&lt;&gt;"",IFERROR(INDEX(Produtos!$C$4:$C$4996,MATCH(D8676,Produtos!$B$4:$B$4996,0)),"Produto não encontrado"),"")</f>
        <v/>
      </c>
    </row>
    <row r="8677" spans="1:5" x14ac:dyDescent="0.3">
      <c r="A8677" s="21" t="str">
        <f t="shared" si="135"/>
        <v>.</v>
      </c>
      <c r="D8677" s="44"/>
      <c r="E8677" s="22" t="str">
        <f>IF(D8677&lt;&gt;"",IFERROR(INDEX(Produtos!$C$4:$C$4996,MATCH(D8677,Produtos!$B$4:$B$4996,0)),"Produto não encontrado"),"")</f>
        <v/>
      </c>
    </row>
    <row r="8678" spans="1:5" x14ac:dyDescent="0.3">
      <c r="A8678" s="21" t="str">
        <f t="shared" si="135"/>
        <v>.</v>
      </c>
      <c r="D8678" s="44"/>
      <c r="E8678" s="22" t="str">
        <f>IF(D8678&lt;&gt;"",IFERROR(INDEX(Produtos!$C$4:$C$4996,MATCH(D8678,Produtos!$B$4:$B$4996,0)),"Produto não encontrado"),"")</f>
        <v/>
      </c>
    </row>
    <row r="8679" spans="1:5" x14ac:dyDescent="0.3">
      <c r="A8679" s="21" t="str">
        <f t="shared" si="135"/>
        <v>.</v>
      </c>
      <c r="D8679" s="44"/>
      <c r="E8679" s="22" t="str">
        <f>IF(D8679&lt;&gt;"",IFERROR(INDEX(Produtos!$C$4:$C$4996,MATCH(D8679,Produtos!$B$4:$B$4996,0)),"Produto não encontrado"),"")</f>
        <v/>
      </c>
    </row>
    <row r="8680" spans="1:5" x14ac:dyDescent="0.3">
      <c r="A8680" s="21" t="str">
        <f t="shared" si="135"/>
        <v>.</v>
      </c>
      <c r="D8680" s="44"/>
      <c r="E8680" s="22" t="str">
        <f>IF(D8680&lt;&gt;"",IFERROR(INDEX(Produtos!$C$4:$C$4996,MATCH(D8680,Produtos!$B$4:$B$4996,0)),"Produto não encontrado"),"")</f>
        <v/>
      </c>
    </row>
    <row r="8681" spans="1:5" x14ac:dyDescent="0.3">
      <c r="A8681" s="21" t="str">
        <f t="shared" si="135"/>
        <v>.</v>
      </c>
      <c r="D8681" s="44"/>
      <c r="E8681" s="22" t="str">
        <f>IF(D8681&lt;&gt;"",IFERROR(INDEX(Produtos!$C$4:$C$4996,MATCH(D8681,Produtos!$B$4:$B$4996,0)),"Produto não encontrado"),"")</f>
        <v/>
      </c>
    </row>
    <row r="8682" spans="1:5" x14ac:dyDescent="0.3">
      <c r="A8682" s="21" t="str">
        <f t="shared" si="135"/>
        <v>.</v>
      </c>
      <c r="D8682" s="44"/>
      <c r="E8682" s="22" t="str">
        <f>IF(D8682&lt;&gt;"",IFERROR(INDEX(Produtos!$C$4:$C$4996,MATCH(D8682,Produtos!$B$4:$B$4996,0)),"Produto não encontrado"),"")</f>
        <v/>
      </c>
    </row>
    <row r="8683" spans="1:5" x14ac:dyDescent="0.3">
      <c r="A8683" s="21" t="str">
        <f t="shared" si="135"/>
        <v>.</v>
      </c>
      <c r="D8683" s="44"/>
      <c r="E8683" s="22" t="str">
        <f>IF(D8683&lt;&gt;"",IFERROR(INDEX(Produtos!$C$4:$C$4996,MATCH(D8683,Produtos!$B$4:$B$4996,0)),"Produto não encontrado"),"")</f>
        <v/>
      </c>
    </row>
    <row r="8684" spans="1:5" x14ac:dyDescent="0.3">
      <c r="A8684" s="21" t="str">
        <f t="shared" si="135"/>
        <v>.</v>
      </c>
      <c r="D8684" s="44"/>
      <c r="E8684" s="22" t="str">
        <f>IF(D8684&lt;&gt;"",IFERROR(INDEX(Produtos!$C$4:$C$4996,MATCH(D8684,Produtos!$B$4:$B$4996,0)),"Produto não encontrado"),"")</f>
        <v/>
      </c>
    </row>
    <row r="8685" spans="1:5" x14ac:dyDescent="0.3">
      <c r="A8685" s="21" t="str">
        <f t="shared" si="135"/>
        <v>.</v>
      </c>
      <c r="D8685" s="44"/>
      <c r="E8685" s="22" t="str">
        <f>IF(D8685&lt;&gt;"",IFERROR(INDEX(Produtos!$C$4:$C$4996,MATCH(D8685,Produtos!$B$4:$B$4996,0)),"Produto não encontrado"),"")</f>
        <v/>
      </c>
    </row>
    <row r="8686" spans="1:5" x14ac:dyDescent="0.3">
      <c r="A8686" s="21" t="str">
        <f t="shared" si="135"/>
        <v>.</v>
      </c>
      <c r="D8686" s="44"/>
      <c r="E8686" s="22" t="str">
        <f>IF(D8686&lt;&gt;"",IFERROR(INDEX(Produtos!$C$4:$C$4996,MATCH(D8686,Produtos!$B$4:$B$4996,0)),"Produto não encontrado"),"")</f>
        <v/>
      </c>
    </row>
    <row r="8687" spans="1:5" x14ac:dyDescent="0.3">
      <c r="A8687" s="21" t="str">
        <f t="shared" si="135"/>
        <v>.</v>
      </c>
      <c r="D8687" s="44"/>
      <c r="E8687" s="22" t="str">
        <f>IF(D8687&lt;&gt;"",IFERROR(INDEX(Produtos!$C$4:$C$4996,MATCH(D8687,Produtos!$B$4:$B$4996,0)),"Produto não encontrado"),"")</f>
        <v/>
      </c>
    </row>
    <row r="8688" spans="1:5" x14ac:dyDescent="0.3">
      <c r="A8688" s="21" t="str">
        <f t="shared" si="135"/>
        <v>.</v>
      </c>
      <c r="D8688" s="44"/>
      <c r="E8688" s="22" t="str">
        <f>IF(D8688&lt;&gt;"",IFERROR(INDEX(Produtos!$C$4:$C$4996,MATCH(D8688,Produtos!$B$4:$B$4996,0)),"Produto não encontrado"),"")</f>
        <v/>
      </c>
    </row>
    <row r="8689" spans="1:5" x14ac:dyDescent="0.3">
      <c r="A8689" s="21" t="str">
        <f t="shared" si="135"/>
        <v>.</v>
      </c>
      <c r="D8689" s="44"/>
      <c r="E8689" s="22" t="str">
        <f>IF(D8689&lt;&gt;"",IFERROR(INDEX(Produtos!$C$4:$C$4996,MATCH(D8689,Produtos!$B$4:$B$4996,0)),"Produto não encontrado"),"")</f>
        <v/>
      </c>
    </row>
    <row r="8690" spans="1:5" x14ac:dyDescent="0.3">
      <c r="A8690" s="21" t="str">
        <f t="shared" si="135"/>
        <v>.</v>
      </c>
      <c r="D8690" s="44"/>
      <c r="E8690" s="22" t="str">
        <f>IF(D8690&lt;&gt;"",IFERROR(INDEX(Produtos!$C$4:$C$4996,MATCH(D8690,Produtos!$B$4:$B$4996,0)),"Produto não encontrado"),"")</f>
        <v/>
      </c>
    </row>
    <row r="8691" spans="1:5" x14ac:dyDescent="0.3">
      <c r="A8691" s="21" t="str">
        <f t="shared" si="135"/>
        <v>.</v>
      </c>
      <c r="D8691" s="44"/>
      <c r="E8691" s="22" t="str">
        <f>IF(D8691&lt;&gt;"",IFERROR(INDEX(Produtos!$C$4:$C$4996,MATCH(D8691,Produtos!$B$4:$B$4996,0)),"Produto não encontrado"),"")</f>
        <v/>
      </c>
    </row>
    <row r="8692" spans="1:5" x14ac:dyDescent="0.3">
      <c r="A8692" s="21" t="str">
        <f t="shared" si="135"/>
        <v>.</v>
      </c>
      <c r="D8692" s="44"/>
      <c r="E8692" s="22" t="str">
        <f>IF(D8692&lt;&gt;"",IFERROR(INDEX(Produtos!$C$4:$C$4996,MATCH(D8692,Produtos!$B$4:$B$4996,0)),"Produto não encontrado"),"")</f>
        <v/>
      </c>
    </row>
    <row r="8693" spans="1:5" x14ac:dyDescent="0.3">
      <c r="A8693" s="21" t="str">
        <f t="shared" si="135"/>
        <v>.</v>
      </c>
      <c r="D8693" s="44"/>
      <c r="E8693" s="22" t="str">
        <f>IF(D8693&lt;&gt;"",IFERROR(INDEX(Produtos!$C$4:$C$4996,MATCH(D8693,Produtos!$B$4:$B$4996,0)),"Produto não encontrado"),"")</f>
        <v/>
      </c>
    </row>
    <row r="8694" spans="1:5" x14ac:dyDescent="0.3">
      <c r="A8694" s="21" t="str">
        <f t="shared" si="135"/>
        <v>.</v>
      </c>
      <c r="D8694" s="44"/>
      <c r="E8694" s="22" t="str">
        <f>IF(D8694&lt;&gt;"",IFERROR(INDEX(Produtos!$C$4:$C$4996,MATCH(D8694,Produtos!$B$4:$B$4996,0)),"Produto não encontrado"),"")</f>
        <v/>
      </c>
    </row>
    <row r="8695" spans="1:5" x14ac:dyDescent="0.3">
      <c r="A8695" s="21" t="str">
        <f t="shared" si="135"/>
        <v>.</v>
      </c>
      <c r="D8695" s="44"/>
      <c r="E8695" s="22" t="str">
        <f>IF(D8695&lt;&gt;"",IFERROR(INDEX(Produtos!$C$4:$C$4996,MATCH(D8695,Produtos!$B$4:$B$4996,0)),"Produto não encontrado"),"")</f>
        <v/>
      </c>
    </row>
    <row r="8696" spans="1:5" x14ac:dyDescent="0.3">
      <c r="A8696" s="21" t="str">
        <f t="shared" si="135"/>
        <v>.</v>
      </c>
      <c r="D8696" s="44"/>
      <c r="E8696" s="22" t="str">
        <f>IF(D8696&lt;&gt;"",IFERROR(INDEX(Produtos!$C$4:$C$4996,MATCH(D8696,Produtos!$B$4:$B$4996,0)),"Produto não encontrado"),"")</f>
        <v/>
      </c>
    </row>
    <row r="8697" spans="1:5" x14ac:dyDescent="0.3">
      <c r="A8697" s="21" t="str">
        <f t="shared" si="135"/>
        <v>.</v>
      </c>
      <c r="D8697" s="44"/>
      <c r="E8697" s="22" t="str">
        <f>IF(D8697&lt;&gt;"",IFERROR(INDEX(Produtos!$C$4:$C$4996,MATCH(D8697,Produtos!$B$4:$B$4996,0)),"Produto não encontrado"),"")</f>
        <v/>
      </c>
    </row>
    <row r="8698" spans="1:5" x14ac:dyDescent="0.3">
      <c r="A8698" s="21" t="str">
        <f t="shared" si="135"/>
        <v>.</v>
      </c>
      <c r="D8698" s="44"/>
      <c r="E8698" s="22" t="str">
        <f>IF(D8698&lt;&gt;"",IFERROR(INDEX(Produtos!$C$4:$C$4996,MATCH(D8698,Produtos!$B$4:$B$4996,0)),"Produto não encontrado"),"")</f>
        <v/>
      </c>
    </row>
    <row r="8699" spans="1:5" x14ac:dyDescent="0.3">
      <c r="A8699" s="21" t="str">
        <f t="shared" si="135"/>
        <v>.</v>
      </c>
      <c r="D8699" s="44"/>
      <c r="E8699" s="22" t="str">
        <f>IF(D8699&lt;&gt;"",IFERROR(INDEX(Produtos!$C$4:$C$4996,MATCH(D8699,Produtos!$B$4:$B$4996,0)),"Produto não encontrado"),"")</f>
        <v/>
      </c>
    </row>
    <row r="8700" spans="1:5" x14ac:dyDescent="0.3">
      <c r="A8700" s="21" t="str">
        <f t="shared" si="135"/>
        <v>.</v>
      </c>
      <c r="D8700" s="44"/>
      <c r="E8700" s="22" t="str">
        <f>IF(D8700&lt;&gt;"",IFERROR(INDEX(Produtos!$C$4:$C$4996,MATCH(D8700,Produtos!$B$4:$B$4996,0)),"Produto não encontrado"),"")</f>
        <v/>
      </c>
    </row>
    <row r="8701" spans="1:5" x14ac:dyDescent="0.3">
      <c r="A8701" s="21" t="str">
        <f t="shared" si="135"/>
        <v>.</v>
      </c>
      <c r="D8701" s="44"/>
      <c r="E8701" s="22" t="str">
        <f>IF(D8701&lt;&gt;"",IFERROR(INDEX(Produtos!$C$4:$C$4996,MATCH(D8701,Produtos!$B$4:$B$4996,0)),"Produto não encontrado"),"")</f>
        <v/>
      </c>
    </row>
    <row r="8702" spans="1:5" x14ac:dyDescent="0.3">
      <c r="A8702" s="21" t="str">
        <f t="shared" si="135"/>
        <v>.</v>
      </c>
      <c r="D8702" s="44"/>
      <c r="E8702" s="22" t="str">
        <f>IF(D8702&lt;&gt;"",IFERROR(INDEX(Produtos!$C$4:$C$4996,MATCH(D8702,Produtos!$B$4:$B$4996,0)),"Produto não encontrado"),"")</f>
        <v/>
      </c>
    </row>
    <row r="8703" spans="1:5" x14ac:dyDescent="0.3">
      <c r="A8703" s="21" t="str">
        <f t="shared" si="135"/>
        <v>.</v>
      </c>
      <c r="D8703" s="44"/>
      <c r="E8703" s="22" t="str">
        <f>IF(D8703&lt;&gt;"",IFERROR(INDEX(Produtos!$C$4:$C$4996,MATCH(D8703,Produtos!$B$4:$B$4996,0)),"Produto não encontrado"),"")</f>
        <v/>
      </c>
    </row>
    <row r="8704" spans="1:5" x14ac:dyDescent="0.3">
      <c r="A8704" s="21" t="str">
        <f t="shared" ref="A8704:A8767" si="136">IF(C8704="Entrada",2,IF(C8704="Saída",1,"."))</f>
        <v>.</v>
      </c>
      <c r="D8704" s="44"/>
      <c r="E8704" s="22" t="str">
        <f>IF(D8704&lt;&gt;"",IFERROR(INDEX(Produtos!$C$4:$C$4996,MATCH(D8704,Produtos!$B$4:$B$4996,0)),"Produto não encontrado"),"")</f>
        <v/>
      </c>
    </row>
    <row r="8705" spans="1:5" x14ac:dyDescent="0.3">
      <c r="A8705" s="21" t="str">
        <f t="shared" si="136"/>
        <v>.</v>
      </c>
      <c r="D8705" s="44"/>
      <c r="E8705" s="22" t="str">
        <f>IF(D8705&lt;&gt;"",IFERROR(INDEX(Produtos!$C$4:$C$4996,MATCH(D8705,Produtos!$B$4:$B$4996,0)),"Produto não encontrado"),"")</f>
        <v/>
      </c>
    </row>
    <row r="8706" spans="1:5" x14ac:dyDescent="0.3">
      <c r="A8706" s="21" t="str">
        <f t="shared" si="136"/>
        <v>.</v>
      </c>
      <c r="D8706" s="44"/>
      <c r="E8706" s="22" t="str">
        <f>IF(D8706&lt;&gt;"",IFERROR(INDEX(Produtos!$C$4:$C$4996,MATCH(D8706,Produtos!$B$4:$B$4996,0)),"Produto não encontrado"),"")</f>
        <v/>
      </c>
    </row>
    <row r="8707" spans="1:5" x14ac:dyDescent="0.3">
      <c r="A8707" s="21" t="str">
        <f t="shared" si="136"/>
        <v>.</v>
      </c>
      <c r="D8707" s="44"/>
      <c r="E8707" s="22" t="str">
        <f>IF(D8707&lt;&gt;"",IFERROR(INDEX(Produtos!$C$4:$C$4996,MATCH(D8707,Produtos!$B$4:$B$4996,0)),"Produto não encontrado"),"")</f>
        <v/>
      </c>
    </row>
    <row r="8708" spans="1:5" x14ac:dyDescent="0.3">
      <c r="A8708" s="21" t="str">
        <f t="shared" si="136"/>
        <v>.</v>
      </c>
      <c r="D8708" s="44"/>
      <c r="E8708" s="22" t="str">
        <f>IF(D8708&lt;&gt;"",IFERROR(INDEX(Produtos!$C$4:$C$4996,MATCH(D8708,Produtos!$B$4:$B$4996,0)),"Produto não encontrado"),"")</f>
        <v/>
      </c>
    </row>
    <row r="8709" spans="1:5" x14ac:dyDescent="0.3">
      <c r="A8709" s="21" t="str">
        <f t="shared" si="136"/>
        <v>.</v>
      </c>
      <c r="D8709" s="44"/>
      <c r="E8709" s="22" t="str">
        <f>IF(D8709&lt;&gt;"",IFERROR(INDEX(Produtos!$C$4:$C$4996,MATCH(D8709,Produtos!$B$4:$B$4996,0)),"Produto não encontrado"),"")</f>
        <v/>
      </c>
    </row>
    <row r="8710" spans="1:5" x14ac:dyDescent="0.3">
      <c r="A8710" s="21" t="str">
        <f t="shared" si="136"/>
        <v>.</v>
      </c>
      <c r="D8710" s="44"/>
      <c r="E8710" s="22" t="str">
        <f>IF(D8710&lt;&gt;"",IFERROR(INDEX(Produtos!$C$4:$C$4996,MATCH(D8710,Produtos!$B$4:$B$4996,0)),"Produto não encontrado"),"")</f>
        <v/>
      </c>
    </row>
    <row r="8711" spans="1:5" x14ac:dyDescent="0.3">
      <c r="A8711" s="21" t="str">
        <f t="shared" si="136"/>
        <v>.</v>
      </c>
      <c r="D8711" s="44"/>
      <c r="E8711" s="22" t="str">
        <f>IF(D8711&lt;&gt;"",IFERROR(INDEX(Produtos!$C$4:$C$4996,MATCH(D8711,Produtos!$B$4:$B$4996,0)),"Produto não encontrado"),"")</f>
        <v/>
      </c>
    </row>
    <row r="8712" spans="1:5" x14ac:dyDescent="0.3">
      <c r="A8712" s="21" t="str">
        <f t="shared" si="136"/>
        <v>.</v>
      </c>
      <c r="D8712" s="44"/>
      <c r="E8712" s="22" t="str">
        <f>IF(D8712&lt;&gt;"",IFERROR(INDEX(Produtos!$C$4:$C$4996,MATCH(D8712,Produtos!$B$4:$B$4996,0)),"Produto não encontrado"),"")</f>
        <v/>
      </c>
    </row>
    <row r="8713" spans="1:5" x14ac:dyDescent="0.3">
      <c r="A8713" s="21" t="str">
        <f t="shared" si="136"/>
        <v>.</v>
      </c>
      <c r="D8713" s="44"/>
      <c r="E8713" s="22" t="str">
        <f>IF(D8713&lt;&gt;"",IFERROR(INDEX(Produtos!$C$4:$C$4996,MATCH(D8713,Produtos!$B$4:$B$4996,0)),"Produto não encontrado"),"")</f>
        <v/>
      </c>
    </row>
    <row r="8714" spans="1:5" x14ac:dyDescent="0.3">
      <c r="A8714" s="21" t="str">
        <f t="shared" si="136"/>
        <v>.</v>
      </c>
      <c r="D8714" s="44"/>
      <c r="E8714" s="22" t="str">
        <f>IF(D8714&lt;&gt;"",IFERROR(INDEX(Produtos!$C$4:$C$4996,MATCH(D8714,Produtos!$B$4:$B$4996,0)),"Produto não encontrado"),"")</f>
        <v/>
      </c>
    </row>
    <row r="8715" spans="1:5" x14ac:dyDescent="0.3">
      <c r="A8715" s="21" t="str">
        <f t="shared" si="136"/>
        <v>.</v>
      </c>
      <c r="D8715" s="44"/>
      <c r="E8715" s="22" t="str">
        <f>IF(D8715&lt;&gt;"",IFERROR(INDEX(Produtos!$C$4:$C$4996,MATCH(D8715,Produtos!$B$4:$B$4996,0)),"Produto não encontrado"),"")</f>
        <v/>
      </c>
    </row>
    <row r="8716" spans="1:5" x14ac:dyDescent="0.3">
      <c r="A8716" s="21" t="str">
        <f t="shared" si="136"/>
        <v>.</v>
      </c>
      <c r="D8716" s="44"/>
      <c r="E8716" s="22" t="str">
        <f>IF(D8716&lt;&gt;"",IFERROR(INDEX(Produtos!$C$4:$C$4996,MATCH(D8716,Produtos!$B$4:$B$4996,0)),"Produto não encontrado"),"")</f>
        <v/>
      </c>
    </row>
    <row r="8717" spans="1:5" x14ac:dyDescent="0.3">
      <c r="A8717" s="21" t="str">
        <f t="shared" si="136"/>
        <v>.</v>
      </c>
      <c r="D8717" s="44"/>
      <c r="E8717" s="22" t="str">
        <f>IF(D8717&lt;&gt;"",IFERROR(INDEX(Produtos!$C$4:$C$4996,MATCH(D8717,Produtos!$B$4:$B$4996,0)),"Produto não encontrado"),"")</f>
        <v/>
      </c>
    </row>
    <row r="8718" spans="1:5" x14ac:dyDescent="0.3">
      <c r="A8718" s="21" t="str">
        <f t="shared" si="136"/>
        <v>.</v>
      </c>
      <c r="D8718" s="44"/>
      <c r="E8718" s="22" t="str">
        <f>IF(D8718&lt;&gt;"",IFERROR(INDEX(Produtos!$C$4:$C$4996,MATCH(D8718,Produtos!$B$4:$B$4996,0)),"Produto não encontrado"),"")</f>
        <v/>
      </c>
    </row>
    <row r="8719" spans="1:5" x14ac:dyDescent="0.3">
      <c r="A8719" s="21" t="str">
        <f t="shared" si="136"/>
        <v>.</v>
      </c>
      <c r="D8719" s="44"/>
      <c r="E8719" s="22" t="str">
        <f>IF(D8719&lt;&gt;"",IFERROR(INDEX(Produtos!$C$4:$C$4996,MATCH(D8719,Produtos!$B$4:$B$4996,0)),"Produto não encontrado"),"")</f>
        <v/>
      </c>
    </row>
    <row r="8720" spans="1:5" x14ac:dyDescent="0.3">
      <c r="A8720" s="21" t="str">
        <f t="shared" si="136"/>
        <v>.</v>
      </c>
      <c r="D8720" s="44"/>
      <c r="E8720" s="22" t="str">
        <f>IF(D8720&lt;&gt;"",IFERROR(INDEX(Produtos!$C$4:$C$4996,MATCH(D8720,Produtos!$B$4:$B$4996,0)),"Produto não encontrado"),"")</f>
        <v/>
      </c>
    </row>
    <row r="8721" spans="1:5" x14ac:dyDescent="0.3">
      <c r="A8721" s="21" t="str">
        <f t="shared" si="136"/>
        <v>.</v>
      </c>
      <c r="D8721" s="44"/>
      <c r="E8721" s="22" t="str">
        <f>IF(D8721&lt;&gt;"",IFERROR(INDEX(Produtos!$C$4:$C$4996,MATCH(D8721,Produtos!$B$4:$B$4996,0)),"Produto não encontrado"),"")</f>
        <v/>
      </c>
    </row>
    <row r="8722" spans="1:5" x14ac:dyDescent="0.3">
      <c r="A8722" s="21" t="str">
        <f t="shared" si="136"/>
        <v>.</v>
      </c>
      <c r="D8722" s="44"/>
      <c r="E8722" s="22" t="str">
        <f>IF(D8722&lt;&gt;"",IFERROR(INDEX(Produtos!$C$4:$C$4996,MATCH(D8722,Produtos!$B$4:$B$4996,0)),"Produto não encontrado"),"")</f>
        <v/>
      </c>
    </row>
    <row r="8723" spans="1:5" x14ac:dyDescent="0.3">
      <c r="A8723" s="21" t="str">
        <f t="shared" si="136"/>
        <v>.</v>
      </c>
      <c r="D8723" s="44"/>
      <c r="E8723" s="22" t="str">
        <f>IF(D8723&lt;&gt;"",IFERROR(INDEX(Produtos!$C$4:$C$4996,MATCH(D8723,Produtos!$B$4:$B$4996,0)),"Produto não encontrado"),"")</f>
        <v/>
      </c>
    </row>
    <row r="8724" spans="1:5" x14ac:dyDescent="0.3">
      <c r="A8724" s="21" t="str">
        <f t="shared" si="136"/>
        <v>.</v>
      </c>
      <c r="D8724" s="44"/>
      <c r="E8724" s="22" t="str">
        <f>IF(D8724&lt;&gt;"",IFERROR(INDEX(Produtos!$C$4:$C$4996,MATCH(D8724,Produtos!$B$4:$B$4996,0)),"Produto não encontrado"),"")</f>
        <v/>
      </c>
    </row>
    <row r="8725" spans="1:5" x14ac:dyDescent="0.3">
      <c r="A8725" s="21" t="str">
        <f t="shared" si="136"/>
        <v>.</v>
      </c>
      <c r="D8725" s="44"/>
      <c r="E8725" s="22" t="str">
        <f>IF(D8725&lt;&gt;"",IFERROR(INDEX(Produtos!$C$4:$C$4996,MATCH(D8725,Produtos!$B$4:$B$4996,0)),"Produto não encontrado"),"")</f>
        <v/>
      </c>
    </row>
    <row r="8726" spans="1:5" x14ac:dyDescent="0.3">
      <c r="A8726" s="21" t="str">
        <f t="shared" si="136"/>
        <v>.</v>
      </c>
      <c r="D8726" s="44"/>
      <c r="E8726" s="22" t="str">
        <f>IF(D8726&lt;&gt;"",IFERROR(INDEX(Produtos!$C$4:$C$4996,MATCH(D8726,Produtos!$B$4:$B$4996,0)),"Produto não encontrado"),"")</f>
        <v/>
      </c>
    </row>
    <row r="8727" spans="1:5" x14ac:dyDescent="0.3">
      <c r="A8727" s="21" t="str">
        <f t="shared" si="136"/>
        <v>.</v>
      </c>
      <c r="D8727" s="44"/>
      <c r="E8727" s="22" t="str">
        <f>IF(D8727&lt;&gt;"",IFERROR(INDEX(Produtos!$C$4:$C$4996,MATCH(D8727,Produtos!$B$4:$B$4996,0)),"Produto não encontrado"),"")</f>
        <v/>
      </c>
    </row>
    <row r="8728" spans="1:5" x14ac:dyDescent="0.3">
      <c r="A8728" s="21" t="str">
        <f t="shared" si="136"/>
        <v>.</v>
      </c>
      <c r="D8728" s="44"/>
      <c r="E8728" s="22" t="str">
        <f>IF(D8728&lt;&gt;"",IFERROR(INDEX(Produtos!$C$4:$C$4996,MATCH(D8728,Produtos!$B$4:$B$4996,0)),"Produto não encontrado"),"")</f>
        <v/>
      </c>
    </row>
    <row r="8729" spans="1:5" x14ac:dyDescent="0.3">
      <c r="A8729" s="21" t="str">
        <f t="shared" si="136"/>
        <v>.</v>
      </c>
      <c r="D8729" s="44"/>
      <c r="E8729" s="22" t="str">
        <f>IF(D8729&lt;&gt;"",IFERROR(INDEX(Produtos!$C$4:$C$4996,MATCH(D8729,Produtos!$B$4:$B$4996,0)),"Produto não encontrado"),"")</f>
        <v/>
      </c>
    </row>
    <row r="8730" spans="1:5" x14ac:dyDescent="0.3">
      <c r="A8730" s="21" t="str">
        <f t="shared" si="136"/>
        <v>.</v>
      </c>
      <c r="D8730" s="44"/>
      <c r="E8730" s="22" t="str">
        <f>IF(D8730&lt;&gt;"",IFERROR(INDEX(Produtos!$C$4:$C$4996,MATCH(D8730,Produtos!$B$4:$B$4996,0)),"Produto não encontrado"),"")</f>
        <v/>
      </c>
    </row>
    <row r="8731" spans="1:5" x14ac:dyDescent="0.3">
      <c r="A8731" s="21" t="str">
        <f t="shared" si="136"/>
        <v>.</v>
      </c>
      <c r="D8731" s="44"/>
      <c r="E8731" s="22" t="str">
        <f>IF(D8731&lt;&gt;"",IFERROR(INDEX(Produtos!$C$4:$C$4996,MATCH(D8731,Produtos!$B$4:$B$4996,0)),"Produto não encontrado"),"")</f>
        <v/>
      </c>
    </row>
    <row r="8732" spans="1:5" x14ac:dyDescent="0.3">
      <c r="A8732" s="21" t="str">
        <f t="shared" si="136"/>
        <v>.</v>
      </c>
      <c r="D8732" s="44"/>
      <c r="E8732" s="22" t="str">
        <f>IF(D8732&lt;&gt;"",IFERROR(INDEX(Produtos!$C$4:$C$4996,MATCH(D8732,Produtos!$B$4:$B$4996,0)),"Produto não encontrado"),"")</f>
        <v/>
      </c>
    </row>
    <row r="8733" spans="1:5" x14ac:dyDescent="0.3">
      <c r="A8733" s="21" t="str">
        <f t="shared" si="136"/>
        <v>.</v>
      </c>
      <c r="D8733" s="44"/>
      <c r="E8733" s="22" t="str">
        <f>IF(D8733&lt;&gt;"",IFERROR(INDEX(Produtos!$C$4:$C$4996,MATCH(D8733,Produtos!$B$4:$B$4996,0)),"Produto não encontrado"),"")</f>
        <v/>
      </c>
    </row>
    <row r="8734" spans="1:5" x14ac:dyDescent="0.3">
      <c r="A8734" s="21" t="str">
        <f t="shared" si="136"/>
        <v>.</v>
      </c>
      <c r="D8734" s="44"/>
      <c r="E8734" s="22" t="str">
        <f>IF(D8734&lt;&gt;"",IFERROR(INDEX(Produtos!$C$4:$C$4996,MATCH(D8734,Produtos!$B$4:$B$4996,0)),"Produto não encontrado"),"")</f>
        <v/>
      </c>
    </row>
    <row r="8735" spans="1:5" x14ac:dyDescent="0.3">
      <c r="A8735" s="21" t="str">
        <f t="shared" si="136"/>
        <v>.</v>
      </c>
      <c r="D8735" s="44"/>
      <c r="E8735" s="22" t="str">
        <f>IF(D8735&lt;&gt;"",IFERROR(INDEX(Produtos!$C$4:$C$4996,MATCH(D8735,Produtos!$B$4:$B$4996,0)),"Produto não encontrado"),"")</f>
        <v/>
      </c>
    </row>
    <row r="8736" spans="1:5" x14ac:dyDescent="0.3">
      <c r="A8736" s="21" t="str">
        <f t="shared" si="136"/>
        <v>.</v>
      </c>
      <c r="D8736" s="44"/>
      <c r="E8736" s="22" t="str">
        <f>IF(D8736&lt;&gt;"",IFERROR(INDEX(Produtos!$C$4:$C$4996,MATCH(D8736,Produtos!$B$4:$B$4996,0)),"Produto não encontrado"),"")</f>
        <v/>
      </c>
    </row>
    <row r="8737" spans="1:5" x14ac:dyDescent="0.3">
      <c r="A8737" s="21" t="str">
        <f t="shared" si="136"/>
        <v>.</v>
      </c>
      <c r="D8737" s="44"/>
      <c r="E8737" s="22" t="str">
        <f>IF(D8737&lt;&gt;"",IFERROR(INDEX(Produtos!$C$4:$C$4996,MATCH(D8737,Produtos!$B$4:$B$4996,0)),"Produto não encontrado"),"")</f>
        <v/>
      </c>
    </row>
    <row r="8738" spans="1:5" x14ac:dyDescent="0.3">
      <c r="A8738" s="21" t="str">
        <f t="shared" si="136"/>
        <v>.</v>
      </c>
      <c r="D8738" s="44"/>
      <c r="E8738" s="22" t="str">
        <f>IF(D8738&lt;&gt;"",IFERROR(INDEX(Produtos!$C$4:$C$4996,MATCH(D8738,Produtos!$B$4:$B$4996,0)),"Produto não encontrado"),"")</f>
        <v/>
      </c>
    </row>
    <row r="8739" spans="1:5" x14ac:dyDescent="0.3">
      <c r="A8739" s="21" t="str">
        <f t="shared" si="136"/>
        <v>.</v>
      </c>
      <c r="D8739" s="44"/>
      <c r="E8739" s="22" t="str">
        <f>IF(D8739&lt;&gt;"",IFERROR(INDEX(Produtos!$C$4:$C$4996,MATCH(D8739,Produtos!$B$4:$B$4996,0)),"Produto não encontrado"),"")</f>
        <v/>
      </c>
    </row>
    <row r="8740" spans="1:5" x14ac:dyDescent="0.3">
      <c r="A8740" s="21" t="str">
        <f t="shared" si="136"/>
        <v>.</v>
      </c>
      <c r="D8740" s="44"/>
      <c r="E8740" s="22" t="str">
        <f>IF(D8740&lt;&gt;"",IFERROR(INDEX(Produtos!$C$4:$C$4996,MATCH(D8740,Produtos!$B$4:$B$4996,0)),"Produto não encontrado"),"")</f>
        <v/>
      </c>
    </row>
    <row r="8741" spans="1:5" x14ac:dyDescent="0.3">
      <c r="A8741" s="21" t="str">
        <f t="shared" si="136"/>
        <v>.</v>
      </c>
      <c r="D8741" s="44"/>
      <c r="E8741" s="22" t="str">
        <f>IF(D8741&lt;&gt;"",IFERROR(INDEX(Produtos!$C$4:$C$4996,MATCH(D8741,Produtos!$B$4:$B$4996,0)),"Produto não encontrado"),"")</f>
        <v/>
      </c>
    </row>
    <row r="8742" spans="1:5" x14ac:dyDescent="0.3">
      <c r="A8742" s="21" t="str">
        <f t="shared" si="136"/>
        <v>.</v>
      </c>
      <c r="D8742" s="44"/>
      <c r="E8742" s="22" t="str">
        <f>IF(D8742&lt;&gt;"",IFERROR(INDEX(Produtos!$C$4:$C$4996,MATCH(D8742,Produtos!$B$4:$B$4996,0)),"Produto não encontrado"),"")</f>
        <v/>
      </c>
    </row>
    <row r="8743" spans="1:5" x14ac:dyDescent="0.3">
      <c r="A8743" s="21" t="str">
        <f t="shared" si="136"/>
        <v>.</v>
      </c>
      <c r="D8743" s="44"/>
      <c r="E8743" s="22" t="str">
        <f>IF(D8743&lt;&gt;"",IFERROR(INDEX(Produtos!$C$4:$C$4996,MATCH(D8743,Produtos!$B$4:$B$4996,0)),"Produto não encontrado"),"")</f>
        <v/>
      </c>
    </row>
    <row r="8744" spans="1:5" x14ac:dyDescent="0.3">
      <c r="A8744" s="21" t="str">
        <f t="shared" si="136"/>
        <v>.</v>
      </c>
      <c r="D8744" s="44"/>
      <c r="E8744" s="22" t="str">
        <f>IF(D8744&lt;&gt;"",IFERROR(INDEX(Produtos!$C$4:$C$4996,MATCH(D8744,Produtos!$B$4:$B$4996,0)),"Produto não encontrado"),"")</f>
        <v/>
      </c>
    </row>
    <row r="8745" spans="1:5" x14ac:dyDescent="0.3">
      <c r="A8745" s="21" t="str">
        <f t="shared" si="136"/>
        <v>.</v>
      </c>
      <c r="D8745" s="44"/>
      <c r="E8745" s="22" t="str">
        <f>IF(D8745&lt;&gt;"",IFERROR(INDEX(Produtos!$C$4:$C$4996,MATCH(D8745,Produtos!$B$4:$B$4996,0)),"Produto não encontrado"),"")</f>
        <v/>
      </c>
    </row>
    <row r="8746" spans="1:5" x14ac:dyDescent="0.3">
      <c r="A8746" s="21" t="str">
        <f t="shared" si="136"/>
        <v>.</v>
      </c>
      <c r="D8746" s="44"/>
      <c r="E8746" s="22" t="str">
        <f>IF(D8746&lt;&gt;"",IFERROR(INDEX(Produtos!$C$4:$C$4996,MATCH(D8746,Produtos!$B$4:$B$4996,0)),"Produto não encontrado"),"")</f>
        <v/>
      </c>
    </row>
    <row r="8747" spans="1:5" x14ac:dyDescent="0.3">
      <c r="A8747" s="21" t="str">
        <f t="shared" si="136"/>
        <v>.</v>
      </c>
      <c r="D8747" s="44"/>
      <c r="E8747" s="22" t="str">
        <f>IF(D8747&lt;&gt;"",IFERROR(INDEX(Produtos!$C$4:$C$4996,MATCH(D8747,Produtos!$B$4:$B$4996,0)),"Produto não encontrado"),"")</f>
        <v/>
      </c>
    </row>
    <row r="8748" spans="1:5" x14ac:dyDescent="0.3">
      <c r="A8748" s="21" t="str">
        <f t="shared" si="136"/>
        <v>.</v>
      </c>
      <c r="D8748" s="44"/>
      <c r="E8748" s="22" t="str">
        <f>IF(D8748&lt;&gt;"",IFERROR(INDEX(Produtos!$C$4:$C$4996,MATCH(D8748,Produtos!$B$4:$B$4996,0)),"Produto não encontrado"),"")</f>
        <v/>
      </c>
    </row>
    <row r="8749" spans="1:5" x14ac:dyDescent="0.3">
      <c r="A8749" s="21" t="str">
        <f t="shared" si="136"/>
        <v>.</v>
      </c>
      <c r="D8749" s="44"/>
      <c r="E8749" s="22" t="str">
        <f>IF(D8749&lt;&gt;"",IFERROR(INDEX(Produtos!$C$4:$C$4996,MATCH(D8749,Produtos!$B$4:$B$4996,0)),"Produto não encontrado"),"")</f>
        <v/>
      </c>
    </row>
    <row r="8750" spans="1:5" x14ac:dyDescent="0.3">
      <c r="A8750" s="21" t="str">
        <f t="shared" si="136"/>
        <v>.</v>
      </c>
      <c r="D8750" s="44"/>
      <c r="E8750" s="22" t="str">
        <f>IF(D8750&lt;&gt;"",IFERROR(INDEX(Produtos!$C$4:$C$4996,MATCH(D8750,Produtos!$B$4:$B$4996,0)),"Produto não encontrado"),"")</f>
        <v/>
      </c>
    </row>
    <row r="8751" spans="1:5" x14ac:dyDescent="0.3">
      <c r="A8751" s="21" t="str">
        <f t="shared" si="136"/>
        <v>.</v>
      </c>
      <c r="D8751" s="44"/>
      <c r="E8751" s="22" t="str">
        <f>IF(D8751&lt;&gt;"",IFERROR(INDEX(Produtos!$C$4:$C$4996,MATCH(D8751,Produtos!$B$4:$B$4996,0)),"Produto não encontrado"),"")</f>
        <v/>
      </c>
    </row>
    <row r="8752" spans="1:5" x14ac:dyDescent="0.3">
      <c r="A8752" s="21" t="str">
        <f t="shared" si="136"/>
        <v>.</v>
      </c>
      <c r="D8752" s="44"/>
      <c r="E8752" s="22" t="str">
        <f>IF(D8752&lt;&gt;"",IFERROR(INDEX(Produtos!$C$4:$C$4996,MATCH(D8752,Produtos!$B$4:$B$4996,0)),"Produto não encontrado"),"")</f>
        <v/>
      </c>
    </row>
    <row r="8753" spans="1:5" x14ac:dyDescent="0.3">
      <c r="A8753" s="21" t="str">
        <f t="shared" si="136"/>
        <v>.</v>
      </c>
      <c r="D8753" s="44"/>
      <c r="E8753" s="22" t="str">
        <f>IF(D8753&lt;&gt;"",IFERROR(INDEX(Produtos!$C$4:$C$4996,MATCH(D8753,Produtos!$B$4:$B$4996,0)),"Produto não encontrado"),"")</f>
        <v/>
      </c>
    </row>
    <row r="8754" spans="1:5" x14ac:dyDescent="0.3">
      <c r="A8754" s="21" t="str">
        <f t="shared" si="136"/>
        <v>.</v>
      </c>
      <c r="D8754" s="44"/>
      <c r="E8754" s="22" t="str">
        <f>IF(D8754&lt;&gt;"",IFERROR(INDEX(Produtos!$C$4:$C$4996,MATCH(D8754,Produtos!$B$4:$B$4996,0)),"Produto não encontrado"),"")</f>
        <v/>
      </c>
    </row>
    <row r="8755" spans="1:5" x14ac:dyDescent="0.3">
      <c r="A8755" s="21" t="str">
        <f t="shared" si="136"/>
        <v>.</v>
      </c>
      <c r="D8755" s="44"/>
      <c r="E8755" s="22" t="str">
        <f>IF(D8755&lt;&gt;"",IFERROR(INDEX(Produtos!$C$4:$C$4996,MATCH(D8755,Produtos!$B$4:$B$4996,0)),"Produto não encontrado"),"")</f>
        <v/>
      </c>
    </row>
    <row r="8756" spans="1:5" x14ac:dyDescent="0.3">
      <c r="A8756" s="21" t="str">
        <f t="shared" si="136"/>
        <v>.</v>
      </c>
      <c r="D8756" s="44"/>
      <c r="E8756" s="22" t="str">
        <f>IF(D8756&lt;&gt;"",IFERROR(INDEX(Produtos!$C$4:$C$4996,MATCH(D8756,Produtos!$B$4:$B$4996,0)),"Produto não encontrado"),"")</f>
        <v/>
      </c>
    </row>
    <row r="8757" spans="1:5" x14ac:dyDescent="0.3">
      <c r="A8757" s="21" t="str">
        <f t="shared" si="136"/>
        <v>.</v>
      </c>
      <c r="D8757" s="44"/>
      <c r="E8757" s="22" t="str">
        <f>IF(D8757&lt;&gt;"",IFERROR(INDEX(Produtos!$C$4:$C$4996,MATCH(D8757,Produtos!$B$4:$B$4996,0)),"Produto não encontrado"),"")</f>
        <v/>
      </c>
    </row>
    <row r="8758" spans="1:5" x14ac:dyDescent="0.3">
      <c r="A8758" s="21" t="str">
        <f t="shared" si="136"/>
        <v>.</v>
      </c>
      <c r="D8758" s="44"/>
      <c r="E8758" s="22" t="str">
        <f>IF(D8758&lt;&gt;"",IFERROR(INDEX(Produtos!$C$4:$C$4996,MATCH(D8758,Produtos!$B$4:$B$4996,0)),"Produto não encontrado"),"")</f>
        <v/>
      </c>
    </row>
    <row r="8759" spans="1:5" x14ac:dyDescent="0.3">
      <c r="A8759" s="21" t="str">
        <f t="shared" si="136"/>
        <v>.</v>
      </c>
      <c r="D8759" s="44"/>
      <c r="E8759" s="22" t="str">
        <f>IF(D8759&lt;&gt;"",IFERROR(INDEX(Produtos!$C$4:$C$4996,MATCH(D8759,Produtos!$B$4:$B$4996,0)),"Produto não encontrado"),"")</f>
        <v/>
      </c>
    </row>
    <row r="8760" spans="1:5" x14ac:dyDescent="0.3">
      <c r="A8760" s="21" t="str">
        <f t="shared" si="136"/>
        <v>.</v>
      </c>
      <c r="D8760" s="44"/>
      <c r="E8760" s="22" t="str">
        <f>IF(D8760&lt;&gt;"",IFERROR(INDEX(Produtos!$C$4:$C$4996,MATCH(D8760,Produtos!$B$4:$B$4996,0)),"Produto não encontrado"),"")</f>
        <v/>
      </c>
    </row>
    <row r="8761" spans="1:5" x14ac:dyDescent="0.3">
      <c r="A8761" s="21" t="str">
        <f t="shared" si="136"/>
        <v>.</v>
      </c>
      <c r="D8761" s="44"/>
      <c r="E8761" s="22" t="str">
        <f>IF(D8761&lt;&gt;"",IFERROR(INDEX(Produtos!$C$4:$C$4996,MATCH(D8761,Produtos!$B$4:$B$4996,0)),"Produto não encontrado"),"")</f>
        <v/>
      </c>
    </row>
    <row r="8762" spans="1:5" x14ac:dyDescent="0.3">
      <c r="A8762" s="21" t="str">
        <f t="shared" si="136"/>
        <v>.</v>
      </c>
      <c r="D8762" s="44"/>
      <c r="E8762" s="22" t="str">
        <f>IF(D8762&lt;&gt;"",IFERROR(INDEX(Produtos!$C$4:$C$4996,MATCH(D8762,Produtos!$B$4:$B$4996,0)),"Produto não encontrado"),"")</f>
        <v/>
      </c>
    </row>
    <row r="8763" spans="1:5" x14ac:dyDescent="0.3">
      <c r="A8763" s="21" t="str">
        <f t="shared" si="136"/>
        <v>.</v>
      </c>
      <c r="D8763" s="44"/>
      <c r="E8763" s="22" t="str">
        <f>IF(D8763&lt;&gt;"",IFERROR(INDEX(Produtos!$C$4:$C$4996,MATCH(D8763,Produtos!$B$4:$B$4996,0)),"Produto não encontrado"),"")</f>
        <v/>
      </c>
    </row>
    <row r="8764" spans="1:5" x14ac:dyDescent="0.3">
      <c r="A8764" s="21" t="str">
        <f t="shared" si="136"/>
        <v>.</v>
      </c>
      <c r="D8764" s="44"/>
      <c r="E8764" s="22" t="str">
        <f>IF(D8764&lt;&gt;"",IFERROR(INDEX(Produtos!$C$4:$C$4996,MATCH(D8764,Produtos!$B$4:$B$4996,0)),"Produto não encontrado"),"")</f>
        <v/>
      </c>
    </row>
    <row r="8765" spans="1:5" x14ac:dyDescent="0.3">
      <c r="A8765" s="21" t="str">
        <f t="shared" si="136"/>
        <v>.</v>
      </c>
      <c r="D8765" s="44"/>
      <c r="E8765" s="22" t="str">
        <f>IF(D8765&lt;&gt;"",IFERROR(INDEX(Produtos!$C$4:$C$4996,MATCH(D8765,Produtos!$B$4:$B$4996,0)),"Produto não encontrado"),"")</f>
        <v/>
      </c>
    </row>
    <row r="8766" spans="1:5" x14ac:dyDescent="0.3">
      <c r="A8766" s="21" t="str">
        <f t="shared" si="136"/>
        <v>.</v>
      </c>
      <c r="D8766" s="44"/>
      <c r="E8766" s="22" t="str">
        <f>IF(D8766&lt;&gt;"",IFERROR(INDEX(Produtos!$C$4:$C$4996,MATCH(D8766,Produtos!$B$4:$B$4996,0)),"Produto não encontrado"),"")</f>
        <v/>
      </c>
    </row>
    <row r="8767" spans="1:5" x14ac:dyDescent="0.3">
      <c r="A8767" s="21" t="str">
        <f t="shared" si="136"/>
        <v>.</v>
      </c>
      <c r="D8767" s="44"/>
      <c r="E8767" s="22" t="str">
        <f>IF(D8767&lt;&gt;"",IFERROR(INDEX(Produtos!$C$4:$C$4996,MATCH(D8767,Produtos!$B$4:$B$4996,0)),"Produto não encontrado"),"")</f>
        <v/>
      </c>
    </row>
    <row r="8768" spans="1:5" x14ac:dyDescent="0.3">
      <c r="A8768" s="21" t="str">
        <f t="shared" ref="A8768:A8831" si="137">IF(C8768="Entrada",2,IF(C8768="Saída",1,"."))</f>
        <v>.</v>
      </c>
      <c r="D8768" s="44"/>
      <c r="E8768" s="22" t="str">
        <f>IF(D8768&lt;&gt;"",IFERROR(INDEX(Produtos!$C$4:$C$4996,MATCH(D8768,Produtos!$B$4:$B$4996,0)),"Produto não encontrado"),"")</f>
        <v/>
      </c>
    </row>
    <row r="8769" spans="1:5" x14ac:dyDescent="0.3">
      <c r="A8769" s="21" t="str">
        <f t="shared" si="137"/>
        <v>.</v>
      </c>
      <c r="D8769" s="44"/>
      <c r="E8769" s="22" t="str">
        <f>IF(D8769&lt;&gt;"",IFERROR(INDEX(Produtos!$C$4:$C$4996,MATCH(D8769,Produtos!$B$4:$B$4996,0)),"Produto não encontrado"),"")</f>
        <v/>
      </c>
    </row>
    <row r="8770" spans="1:5" x14ac:dyDescent="0.3">
      <c r="A8770" s="21" t="str">
        <f t="shared" si="137"/>
        <v>.</v>
      </c>
      <c r="D8770" s="44"/>
      <c r="E8770" s="22" t="str">
        <f>IF(D8770&lt;&gt;"",IFERROR(INDEX(Produtos!$C$4:$C$4996,MATCH(D8770,Produtos!$B$4:$B$4996,0)),"Produto não encontrado"),"")</f>
        <v/>
      </c>
    </row>
    <row r="8771" spans="1:5" x14ac:dyDescent="0.3">
      <c r="A8771" s="21" t="str">
        <f t="shared" si="137"/>
        <v>.</v>
      </c>
      <c r="D8771" s="44"/>
      <c r="E8771" s="22" t="str">
        <f>IF(D8771&lt;&gt;"",IFERROR(INDEX(Produtos!$C$4:$C$4996,MATCH(D8771,Produtos!$B$4:$B$4996,0)),"Produto não encontrado"),"")</f>
        <v/>
      </c>
    </row>
    <row r="8772" spans="1:5" x14ac:dyDescent="0.3">
      <c r="A8772" s="21" t="str">
        <f t="shared" si="137"/>
        <v>.</v>
      </c>
      <c r="D8772" s="44"/>
      <c r="E8772" s="22" t="str">
        <f>IF(D8772&lt;&gt;"",IFERROR(INDEX(Produtos!$C$4:$C$4996,MATCH(D8772,Produtos!$B$4:$B$4996,0)),"Produto não encontrado"),"")</f>
        <v/>
      </c>
    </row>
    <row r="8773" spans="1:5" x14ac:dyDescent="0.3">
      <c r="A8773" s="21" t="str">
        <f t="shared" si="137"/>
        <v>.</v>
      </c>
      <c r="D8773" s="44"/>
      <c r="E8773" s="22" t="str">
        <f>IF(D8773&lt;&gt;"",IFERROR(INDEX(Produtos!$C$4:$C$4996,MATCH(D8773,Produtos!$B$4:$B$4996,0)),"Produto não encontrado"),"")</f>
        <v/>
      </c>
    </row>
    <row r="8774" spans="1:5" x14ac:dyDescent="0.3">
      <c r="A8774" s="21" t="str">
        <f t="shared" si="137"/>
        <v>.</v>
      </c>
      <c r="D8774" s="44"/>
      <c r="E8774" s="22" t="str">
        <f>IF(D8774&lt;&gt;"",IFERROR(INDEX(Produtos!$C$4:$C$4996,MATCH(D8774,Produtos!$B$4:$B$4996,0)),"Produto não encontrado"),"")</f>
        <v/>
      </c>
    </row>
    <row r="8775" spans="1:5" x14ac:dyDescent="0.3">
      <c r="A8775" s="21" t="str">
        <f t="shared" si="137"/>
        <v>.</v>
      </c>
      <c r="D8775" s="44"/>
      <c r="E8775" s="22" t="str">
        <f>IF(D8775&lt;&gt;"",IFERROR(INDEX(Produtos!$C$4:$C$4996,MATCH(D8775,Produtos!$B$4:$B$4996,0)),"Produto não encontrado"),"")</f>
        <v/>
      </c>
    </row>
    <row r="8776" spans="1:5" x14ac:dyDescent="0.3">
      <c r="A8776" s="21" t="str">
        <f t="shared" si="137"/>
        <v>.</v>
      </c>
      <c r="D8776" s="44"/>
      <c r="E8776" s="22" t="str">
        <f>IF(D8776&lt;&gt;"",IFERROR(INDEX(Produtos!$C$4:$C$4996,MATCH(D8776,Produtos!$B$4:$B$4996,0)),"Produto não encontrado"),"")</f>
        <v/>
      </c>
    </row>
    <row r="8777" spans="1:5" x14ac:dyDescent="0.3">
      <c r="A8777" s="21" t="str">
        <f t="shared" si="137"/>
        <v>.</v>
      </c>
      <c r="D8777" s="44"/>
      <c r="E8777" s="22" t="str">
        <f>IF(D8777&lt;&gt;"",IFERROR(INDEX(Produtos!$C$4:$C$4996,MATCH(D8777,Produtos!$B$4:$B$4996,0)),"Produto não encontrado"),"")</f>
        <v/>
      </c>
    </row>
    <row r="8778" spans="1:5" x14ac:dyDescent="0.3">
      <c r="A8778" s="21" t="str">
        <f t="shared" si="137"/>
        <v>.</v>
      </c>
      <c r="D8778" s="44"/>
      <c r="E8778" s="22" t="str">
        <f>IF(D8778&lt;&gt;"",IFERROR(INDEX(Produtos!$C$4:$C$4996,MATCH(D8778,Produtos!$B$4:$B$4996,0)),"Produto não encontrado"),"")</f>
        <v/>
      </c>
    </row>
    <row r="8779" spans="1:5" x14ac:dyDescent="0.3">
      <c r="A8779" s="21" t="str">
        <f t="shared" si="137"/>
        <v>.</v>
      </c>
      <c r="D8779" s="44"/>
      <c r="E8779" s="22" t="str">
        <f>IF(D8779&lt;&gt;"",IFERROR(INDEX(Produtos!$C$4:$C$4996,MATCH(D8779,Produtos!$B$4:$B$4996,0)),"Produto não encontrado"),"")</f>
        <v/>
      </c>
    </row>
    <row r="8780" spans="1:5" x14ac:dyDescent="0.3">
      <c r="A8780" s="21" t="str">
        <f t="shared" si="137"/>
        <v>.</v>
      </c>
      <c r="D8780" s="44"/>
      <c r="E8780" s="22" t="str">
        <f>IF(D8780&lt;&gt;"",IFERROR(INDEX(Produtos!$C$4:$C$4996,MATCH(D8780,Produtos!$B$4:$B$4996,0)),"Produto não encontrado"),"")</f>
        <v/>
      </c>
    </row>
    <row r="8781" spans="1:5" x14ac:dyDescent="0.3">
      <c r="A8781" s="21" t="str">
        <f t="shared" si="137"/>
        <v>.</v>
      </c>
      <c r="D8781" s="44"/>
      <c r="E8781" s="22" t="str">
        <f>IF(D8781&lt;&gt;"",IFERROR(INDEX(Produtos!$C$4:$C$4996,MATCH(D8781,Produtos!$B$4:$B$4996,0)),"Produto não encontrado"),"")</f>
        <v/>
      </c>
    </row>
    <row r="8782" spans="1:5" x14ac:dyDescent="0.3">
      <c r="A8782" s="21" t="str">
        <f t="shared" si="137"/>
        <v>.</v>
      </c>
      <c r="D8782" s="44"/>
      <c r="E8782" s="22" t="str">
        <f>IF(D8782&lt;&gt;"",IFERROR(INDEX(Produtos!$C$4:$C$4996,MATCH(D8782,Produtos!$B$4:$B$4996,0)),"Produto não encontrado"),"")</f>
        <v/>
      </c>
    </row>
    <row r="8783" spans="1:5" x14ac:dyDescent="0.3">
      <c r="A8783" s="21" t="str">
        <f t="shared" si="137"/>
        <v>.</v>
      </c>
      <c r="D8783" s="44"/>
      <c r="E8783" s="22" t="str">
        <f>IF(D8783&lt;&gt;"",IFERROR(INDEX(Produtos!$C$4:$C$4996,MATCH(D8783,Produtos!$B$4:$B$4996,0)),"Produto não encontrado"),"")</f>
        <v/>
      </c>
    </row>
    <row r="8784" spans="1:5" x14ac:dyDescent="0.3">
      <c r="A8784" s="21" t="str">
        <f t="shared" si="137"/>
        <v>.</v>
      </c>
      <c r="D8784" s="44"/>
      <c r="E8784" s="22" t="str">
        <f>IF(D8784&lt;&gt;"",IFERROR(INDEX(Produtos!$C$4:$C$4996,MATCH(D8784,Produtos!$B$4:$B$4996,0)),"Produto não encontrado"),"")</f>
        <v/>
      </c>
    </row>
    <row r="8785" spans="1:5" x14ac:dyDescent="0.3">
      <c r="A8785" s="21" t="str">
        <f t="shared" si="137"/>
        <v>.</v>
      </c>
      <c r="D8785" s="44"/>
      <c r="E8785" s="22" t="str">
        <f>IF(D8785&lt;&gt;"",IFERROR(INDEX(Produtos!$C$4:$C$4996,MATCH(D8785,Produtos!$B$4:$B$4996,0)),"Produto não encontrado"),"")</f>
        <v/>
      </c>
    </row>
    <row r="8786" spans="1:5" x14ac:dyDescent="0.3">
      <c r="A8786" s="21" t="str">
        <f t="shared" si="137"/>
        <v>.</v>
      </c>
      <c r="D8786" s="44"/>
      <c r="E8786" s="22" t="str">
        <f>IF(D8786&lt;&gt;"",IFERROR(INDEX(Produtos!$C$4:$C$4996,MATCH(D8786,Produtos!$B$4:$B$4996,0)),"Produto não encontrado"),"")</f>
        <v/>
      </c>
    </row>
    <row r="8787" spans="1:5" x14ac:dyDescent="0.3">
      <c r="A8787" s="21" t="str">
        <f t="shared" si="137"/>
        <v>.</v>
      </c>
      <c r="D8787" s="44"/>
      <c r="E8787" s="22" t="str">
        <f>IF(D8787&lt;&gt;"",IFERROR(INDEX(Produtos!$C$4:$C$4996,MATCH(D8787,Produtos!$B$4:$B$4996,0)),"Produto não encontrado"),"")</f>
        <v/>
      </c>
    </row>
    <row r="8788" spans="1:5" x14ac:dyDescent="0.3">
      <c r="A8788" s="21" t="str">
        <f t="shared" si="137"/>
        <v>.</v>
      </c>
      <c r="D8788" s="44"/>
      <c r="E8788" s="22" t="str">
        <f>IF(D8788&lt;&gt;"",IFERROR(INDEX(Produtos!$C$4:$C$4996,MATCH(D8788,Produtos!$B$4:$B$4996,0)),"Produto não encontrado"),"")</f>
        <v/>
      </c>
    </row>
    <row r="8789" spans="1:5" x14ac:dyDescent="0.3">
      <c r="A8789" s="21" t="str">
        <f t="shared" si="137"/>
        <v>.</v>
      </c>
      <c r="D8789" s="44"/>
      <c r="E8789" s="22" t="str">
        <f>IF(D8789&lt;&gt;"",IFERROR(INDEX(Produtos!$C$4:$C$4996,MATCH(D8789,Produtos!$B$4:$B$4996,0)),"Produto não encontrado"),"")</f>
        <v/>
      </c>
    </row>
    <row r="8790" spans="1:5" x14ac:dyDescent="0.3">
      <c r="A8790" s="21" t="str">
        <f t="shared" si="137"/>
        <v>.</v>
      </c>
      <c r="D8790" s="44"/>
      <c r="E8790" s="22" t="str">
        <f>IF(D8790&lt;&gt;"",IFERROR(INDEX(Produtos!$C$4:$C$4996,MATCH(D8790,Produtos!$B$4:$B$4996,0)),"Produto não encontrado"),"")</f>
        <v/>
      </c>
    </row>
    <row r="8791" spans="1:5" x14ac:dyDescent="0.3">
      <c r="A8791" s="21" t="str">
        <f t="shared" si="137"/>
        <v>.</v>
      </c>
      <c r="D8791" s="44"/>
      <c r="E8791" s="22" t="str">
        <f>IF(D8791&lt;&gt;"",IFERROR(INDEX(Produtos!$C$4:$C$4996,MATCH(D8791,Produtos!$B$4:$B$4996,0)),"Produto não encontrado"),"")</f>
        <v/>
      </c>
    </row>
    <row r="8792" spans="1:5" x14ac:dyDescent="0.3">
      <c r="A8792" s="21" t="str">
        <f t="shared" si="137"/>
        <v>.</v>
      </c>
      <c r="D8792" s="44"/>
      <c r="E8792" s="22" t="str">
        <f>IF(D8792&lt;&gt;"",IFERROR(INDEX(Produtos!$C$4:$C$4996,MATCH(D8792,Produtos!$B$4:$B$4996,0)),"Produto não encontrado"),"")</f>
        <v/>
      </c>
    </row>
    <row r="8793" spans="1:5" x14ac:dyDescent="0.3">
      <c r="A8793" s="21" t="str">
        <f t="shared" si="137"/>
        <v>.</v>
      </c>
      <c r="D8793" s="44"/>
      <c r="E8793" s="22" t="str">
        <f>IF(D8793&lt;&gt;"",IFERROR(INDEX(Produtos!$C$4:$C$4996,MATCH(D8793,Produtos!$B$4:$B$4996,0)),"Produto não encontrado"),"")</f>
        <v/>
      </c>
    </row>
    <row r="8794" spans="1:5" x14ac:dyDescent="0.3">
      <c r="A8794" s="21" t="str">
        <f t="shared" si="137"/>
        <v>.</v>
      </c>
      <c r="D8794" s="44"/>
      <c r="E8794" s="22" t="str">
        <f>IF(D8794&lt;&gt;"",IFERROR(INDEX(Produtos!$C$4:$C$4996,MATCH(D8794,Produtos!$B$4:$B$4996,0)),"Produto não encontrado"),"")</f>
        <v/>
      </c>
    </row>
    <row r="8795" spans="1:5" x14ac:dyDescent="0.3">
      <c r="A8795" s="21" t="str">
        <f t="shared" si="137"/>
        <v>.</v>
      </c>
      <c r="D8795" s="44"/>
      <c r="E8795" s="22" t="str">
        <f>IF(D8795&lt;&gt;"",IFERROR(INDEX(Produtos!$C$4:$C$4996,MATCH(D8795,Produtos!$B$4:$B$4996,0)),"Produto não encontrado"),"")</f>
        <v/>
      </c>
    </row>
    <row r="8796" spans="1:5" x14ac:dyDescent="0.3">
      <c r="A8796" s="21" t="str">
        <f t="shared" si="137"/>
        <v>.</v>
      </c>
      <c r="D8796" s="44"/>
      <c r="E8796" s="22" t="str">
        <f>IF(D8796&lt;&gt;"",IFERROR(INDEX(Produtos!$C$4:$C$4996,MATCH(D8796,Produtos!$B$4:$B$4996,0)),"Produto não encontrado"),"")</f>
        <v/>
      </c>
    </row>
    <row r="8797" spans="1:5" x14ac:dyDescent="0.3">
      <c r="A8797" s="21" t="str">
        <f t="shared" si="137"/>
        <v>.</v>
      </c>
      <c r="D8797" s="44"/>
      <c r="E8797" s="22" t="str">
        <f>IF(D8797&lt;&gt;"",IFERROR(INDEX(Produtos!$C$4:$C$4996,MATCH(D8797,Produtos!$B$4:$B$4996,0)),"Produto não encontrado"),"")</f>
        <v/>
      </c>
    </row>
    <row r="8798" spans="1:5" x14ac:dyDescent="0.3">
      <c r="A8798" s="21" t="str">
        <f t="shared" si="137"/>
        <v>.</v>
      </c>
      <c r="D8798" s="44"/>
      <c r="E8798" s="22" t="str">
        <f>IF(D8798&lt;&gt;"",IFERROR(INDEX(Produtos!$C$4:$C$4996,MATCH(D8798,Produtos!$B$4:$B$4996,0)),"Produto não encontrado"),"")</f>
        <v/>
      </c>
    </row>
    <row r="8799" spans="1:5" x14ac:dyDescent="0.3">
      <c r="A8799" s="21" t="str">
        <f t="shared" si="137"/>
        <v>.</v>
      </c>
      <c r="D8799" s="44"/>
      <c r="E8799" s="22" t="str">
        <f>IF(D8799&lt;&gt;"",IFERROR(INDEX(Produtos!$C$4:$C$4996,MATCH(D8799,Produtos!$B$4:$B$4996,0)),"Produto não encontrado"),"")</f>
        <v/>
      </c>
    </row>
    <row r="8800" spans="1:5" x14ac:dyDescent="0.3">
      <c r="A8800" s="21" t="str">
        <f t="shared" si="137"/>
        <v>.</v>
      </c>
      <c r="D8800" s="44"/>
      <c r="E8800" s="22" t="str">
        <f>IF(D8800&lt;&gt;"",IFERROR(INDEX(Produtos!$C$4:$C$4996,MATCH(D8800,Produtos!$B$4:$B$4996,0)),"Produto não encontrado"),"")</f>
        <v/>
      </c>
    </row>
    <row r="8801" spans="1:5" x14ac:dyDescent="0.3">
      <c r="A8801" s="21" t="str">
        <f t="shared" si="137"/>
        <v>.</v>
      </c>
      <c r="D8801" s="44"/>
      <c r="E8801" s="22" t="str">
        <f>IF(D8801&lt;&gt;"",IFERROR(INDEX(Produtos!$C$4:$C$4996,MATCH(D8801,Produtos!$B$4:$B$4996,0)),"Produto não encontrado"),"")</f>
        <v/>
      </c>
    </row>
    <row r="8802" spans="1:5" x14ac:dyDescent="0.3">
      <c r="A8802" s="21" t="str">
        <f t="shared" si="137"/>
        <v>.</v>
      </c>
      <c r="D8802" s="44"/>
      <c r="E8802" s="22" t="str">
        <f>IF(D8802&lt;&gt;"",IFERROR(INDEX(Produtos!$C$4:$C$4996,MATCH(D8802,Produtos!$B$4:$B$4996,0)),"Produto não encontrado"),"")</f>
        <v/>
      </c>
    </row>
    <row r="8803" spans="1:5" x14ac:dyDescent="0.3">
      <c r="A8803" s="21" t="str">
        <f t="shared" si="137"/>
        <v>.</v>
      </c>
      <c r="D8803" s="44"/>
      <c r="E8803" s="22" t="str">
        <f>IF(D8803&lt;&gt;"",IFERROR(INDEX(Produtos!$C$4:$C$4996,MATCH(D8803,Produtos!$B$4:$B$4996,0)),"Produto não encontrado"),"")</f>
        <v/>
      </c>
    </row>
    <row r="8804" spans="1:5" x14ac:dyDescent="0.3">
      <c r="A8804" s="21" t="str">
        <f t="shared" si="137"/>
        <v>.</v>
      </c>
      <c r="D8804" s="44"/>
      <c r="E8804" s="22" t="str">
        <f>IF(D8804&lt;&gt;"",IFERROR(INDEX(Produtos!$C$4:$C$4996,MATCH(D8804,Produtos!$B$4:$B$4996,0)),"Produto não encontrado"),"")</f>
        <v/>
      </c>
    </row>
    <row r="8805" spans="1:5" x14ac:dyDescent="0.3">
      <c r="A8805" s="21" t="str">
        <f t="shared" si="137"/>
        <v>.</v>
      </c>
      <c r="D8805" s="44"/>
      <c r="E8805" s="22" t="str">
        <f>IF(D8805&lt;&gt;"",IFERROR(INDEX(Produtos!$C$4:$C$4996,MATCH(D8805,Produtos!$B$4:$B$4996,0)),"Produto não encontrado"),"")</f>
        <v/>
      </c>
    </row>
    <row r="8806" spans="1:5" x14ac:dyDescent="0.3">
      <c r="A8806" s="21" t="str">
        <f t="shared" si="137"/>
        <v>.</v>
      </c>
      <c r="D8806" s="44"/>
      <c r="E8806" s="22" t="str">
        <f>IF(D8806&lt;&gt;"",IFERROR(INDEX(Produtos!$C$4:$C$4996,MATCH(D8806,Produtos!$B$4:$B$4996,0)),"Produto não encontrado"),"")</f>
        <v/>
      </c>
    </row>
    <row r="8807" spans="1:5" x14ac:dyDescent="0.3">
      <c r="A8807" s="21" t="str">
        <f t="shared" si="137"/>
        <v>.</v>
      </c>
      <c r="D8807" s="44"/>
      <c r="E8807" s="22" t="str">
        <f>IF(D8807&lt;&gt;"",IFERROR(INDEX(Produtos!$C$4:$C$4996,MATCH(D8807,Produtos!$B$4:$B$4996,0)),"Produto não encontrado"),"")</f>
        <v/>
      </c>
    </row>
    <row r="8808" spans="1:5" x14ac:dyDescent="0.3">
      <c r="A8808" s="21" t="str">
        <f t="shared" si="137"/>
        <v>.</v>
      </c>
      <c r="D8808" s="44"/>
      <c r="E8808" s="22" t="str">
        <f>IF(D8808&lt;&gt;"",IFERROR(INDEX(Produtos!$C$4:$C$4996,MATCH(D8808,Produtos!$B$4:$B$4996,0)),"Produto não encontrado"),"")</f>
        <v/>
      </c>
    </row>
    <row r="8809" spans="1:5" x14ac:dyDescent="0.3">
      <c r="A8809" s="21" t="str">
        <f t="shared" si="137"/>
        <v>.</v>
      </c>
      <c r="D8809" s="44"/>
      <c r="E8809" s="22" t="str">
        <f>IF(D8809&lt;&gt;"",IFERROR(INDEX(Produtos!$C$4:$C$4996,MATCH(D8809,Produtos!$B$4:$B$4996,0)),"Produto não encontrado"),"")</f>
        <v/>
      </c>
    </row>
    <row r="8810" spans="1:5" x14ac:dyDescent="0.3">
      <c r="A8810" s="21" t="str">
        <f t="shared" si="137"/>
        <v>.</v>
      </c>
      <c r="D8810" s="44"/>
      <c r="E8810" s="22" t="str">
        <f>IF(D8810&lt;&gt;"",IFERROR(INDEX(Produtos!$C$4:$C$4996,MATCH(D8810,Produtos!$B$4:$B$4996,0)),"Produto não encontrado"),"")</f>
        <v/>
      </c>
    </row>
    <row r="8811" spans="1:5" x14ac:dyDescent="0.3">
      <c r="A8811" s="21" t="str">
        <f t="shared" si="137"/>
        <v>.</v>
      </c>
      <c r="D8811" s="44"/>
      <c r="E8811" s="22" t="str">
        <f>IF(D8811&lt;&gt;"",IFERROR(INDEX(Produtos!$C$4:$C$4996,MATCH(D8811,Produtos!$B$4:$B$4996,0)),"Produto não encontrado"),"")</f>
        <v/>
      </c>
    </row>
    <row r="8812" spans="1:5" x14ac:dyDescent="0.3">
      <c r="A8812" s="21" t="str">
        <f t="shared" si="137"/>
        <v>.</v>
      </c>
      <c r="D8812" s="44"/>
      <c r="E8812" s="22" t="str">
        <f>IF(D8812&lt;&gt;"",IFERROR(INDEX(Produtos!$C$4:$C$4996,MATCH(D8812,Produtos!$B$4:$B$4996,0)),"Produto não encontrado"),"")</f>
        <v/>
      </c>
    </row>
    <row r="8813" spans="1:5" x14ac:dyDescent="0.3">
      <c r="A8813" s="21" t="str">
        <f t="shared" si="137"/>
        <v>.</v>
      </c>
      <c r="D8813" s="44"/>
      <c r="E8813" s="22" t="str">
        <f>IF(D8813&lt;&gt;"",IFERROR(INDEX(Produtos!$C$4:$C$4996,MATCH(D8813,Produtos!$B$4:$B$4996,0)),"Produto não encontrado"),"")</f>
        <v/>
      </c>
    </row>
    <row r="8814" spans="1:5" x14ac:dyDescent="0.3">
      <c r="A8814" s="21" t="str">
        <f t="shared" si="137"/>
        <v>.</v>
      </c>
      <c r="D8814" s="44"/>
      <c r="E8814" s="22" t="str">
        <f>IF(D8814&lt;&gt;"",IFERROR(INDEX(Produtos!$C$4:$C$4996,MATCH(D8814,Produtos!$B$4:$B$4996,0)),"Produto não encontrado"),"")</f>
        <v/>
      </c>
    </row>
    <row r="8815" spans="1:5" x14ac:dyDescent="0.3">
      <c r="A8815" s="21" t="str">
        <f t="shared" si="137"/>
        <v>.</v>
      </c>
      <c r="D8815" s="44"/>
      <c r="E8815" s="22" t="str">
        <f>IF(D8815&lt;&gt;"",IFERROR(INDEX(Produtos!$C$4:$C$4996,MATCH(D8815,Produtos!$B$4:$B$4996,0)),"Produto não encontrado"),"")</f>
        <v/>
      </c>
    </row>
    <row r="8816" spans="1:5" x14ac:dyDescent="0.3">
      <c r="A8816" s="21" t="str">
        <f t="shared" si="137"/>
        <v>.</v>
      </c>
      <c r="D8816" s="44"/>
      <c r="E8816" s="22" t="str">
        <f>IF(D8816&lt;&gt;"",IFERROR(INDEX(Produtos!$C$4:$C$4996,MATCH(D8816,Produtos!$B$4:$B$4996,0)),"Produto não encontrado"),"")</f>
        <v/>
      </c>
    </row>
    <row r="8817" spans="1:5" x14ac:dyDescent="0.3">
      <c r="A8817" s="21" t="str">
        <f t="shared" si="137"/>
        <v>.</v>
      </c>
      <c r="D8817" s="44"/>
      <c r="E8817" s="22" t="str">
        <f>IF(D8817&lt;&gt;"",IFERROR(INDEX(Produtos!$C$4:$C$4996,MATCH(D8817,Produtos!$B$4:$B$4996,0)),"Produto não encontrado"),"")</f>
        <v/>
      </c>
    </row>
    <row r="8818" spans="1:5" x14ac:dyDescent="0.3">
      <c r="A8818" s="21" t="str">
        <f t="shared" si="137"/>
        <v>.</v>
      </c>
      <c r="D8818" s="44"/>
      <c r="E8818" s="22" t="str">
        <f>IF(D8818&lt;&gt;"",IFERROR(INDEX(Produtos!$C$4:$C$4996,MATCH(D8818,Produtos!$B$4:$B$4996,0)),"Produto não encontrado"),"")</f>
        <v/>
      </c>
    </row>
    <row r="8819" spans="1:5" x14ac:dyDescent="0.3">
      <c r="A8819" s="21" t="str">
        <f t="shared" si="137"/>
        <v>.</v>
      </c>
      <c r="D8819" s="44"/>
      <c r="E8819" s="22" t="str">
        <f>IF(D8819&lt;&gt;"",IFERROR(INDEX(Produtos!$C$4:$C$4996,MATCH(D8819,Produtos!$B$4:$B$4996,0)),"Produto não encontrado"),"")</f>
        <v/>
      </c>
    </row>
    <row r="8820" spans="1:5" x14ac:dyDescent="0.3">
      <c r="A8820" s="21" t="str">
        <f t="shared" si="137"/>
        <v>.</v>
      </c>
      <c r="D8820" s="44"/>
      <c r="E8820" s="22" t="str">
        <f>IF(D8820&lt;&gt;"",IFERROR(INDEX(Produtos!$C$4:$C$4996,MATCH(D8820,Produtos!$B$4:$B$4996,0)),"Produto não encontrado"),"")</f>
        <v/>
      </c>
    </row>
    <row r="8821" spans="1:5" x14ac:dyDescent="0.3">
      <c r="A8821" s="21" t="str">
        <f t="shared" si="137"/>
        <v>.</v>
      </c>
      <c r="D8821" s="44"/>
      <c r="E8821" s="22" t="str">
        <f>IF(D8821&lt;&gt;"",IFERROR(INDEX(Produtos!$C$4:$C$4996,MATCH(D8821,Produtos!$B$4:$B$4996,0)),"Produto não encontrado"),"")</f>
        <v/>
      </c>
    </row>
    <row r="8822" spans="1:5" x14ac:dyDescent="0.3">
      <c r="A8822" s="21" t="str">
        <f t="shared" si="137"/>
        <v>.</v>
      </c>
      <c r="D8822" s="44"/>
      <c r="E8822" s="22" t="str">
        <f>IF(D8822&lt;&gt;"",IFERROR(INDEX(Produtos!$C$4:$C$4996,MATCH(D8822,Produtos!$B$4:$B$4996,0)),"Produto não encontrado"),"")</f>
        <v/>
      </c>
    </row>
    <row r="8823" spans="1:5" x14ac:dyDescent="0.3">
      <c r="A8823" s="21" t="str">
        <f t="shared" si="137"/>
        <v>.</v>
      </c>
      <c r="D8823" s="44"/>
      <c r="E8823" s="22" t="str">
        <f>IF(D8823&lt;&gt;"",IFERROR(INDEX(Produtos!$C$4:$C$4996,MATCH(D8823,Produtos!$B$4:$B$4996,0)),"Produto não encontrado"),"")</f>
        <v/>
      </c>
    </row>
    <row r="8824" spans="1:5" x14ac:dyDescent="0.3">
      <c r="A8824" s="21" t="str">
        <f t="shared" si="137"/>
        <v>.</v>
      </c>
      <c r="D8824" s="44"/>
      <c r="E8824" s="22" t="str">
        <f>IF(D8824&lt;&gt;"",IFERROR(INDEX(Produtos!$C$4:$C$4996,MATCH(D8824,Produtos!$B$4:$B$4996,0)),"Produto não encontrado"),"")</f>
        <v/>
      </c>
    </row>
    <row r="8825" spans="1:5" x14ac:dyDescent="0.3">
      <c r="A8825" s="21" t="str">
        <f t="shared" si="137"/>
        <v>.</v>
      </c>
      <c r="D8825" s="44"/>
      <c r="E8825" s="22" t="str">
        <f>IF(D8825&lt;&gt;"",IFERROR(INDEX(Produtos!$C$4:$C$4996,MATCH(D8825,Produtos!$B$4:$B$4996,0)),"Produto não encontrado"),"")</f>
        <v/>
      </c>
    </row>
    <row r="8826" spans="1:5" x14ac:dyDescent="0.3">
      <c r="A8826" s="21" t="str">
        <f t="shared" si="137"/>
        <v>.</v>
      </c>
      <c r="D8826" s="44"/>
      <c r="E8826" s="22" t="str">
        <f>IF(D8826&lt;&gt;"",IFERROR(INDEX(Produtos!$C$4:$C$4996,MATCH(D8826,Produtos!$B$4:$B$4996,0)),"Produto não encontrado"),"")</f>
        <v/>
      </c>
    </row>
    <row r="8827" spans="1:5" x14ac:dyDescent="0.3">
      <c r="A8827" s="21" t="str">
        <f t="shared" si="137"/>
        <v>.</v>
      </c>
      <c r="D8827" s="44"/>
      <c r="E8827" s="22" t="str">
        <f>IF(D8827&lt;&gt;"",IFERROR(INDEX(Produtos!$C$4:$C$4996,MATCH(D8827,Produtos!$B$4:$B$4996,0)),"Produto não encontrado"),"")</f>
        <v/>
      </c>
    </row>
    <row r="8828" spans="1:5" x14ac:dyDescent="0.3">
      <c r="A8828" s="21" t="str">
        <f t="shared" si="137"/>
        <v>.</v>
      </c>
      <c r="D8828" s="44"/>
      <c r="E8828" s="22" t="str">
        <f>IF(D8828&lt;&gt;"",IFERROR(INDEX(Produtos!$C$4:$C$4996,MATCH(D8828,Produtos!$B$4:$B$4996,0)),"Produto não encontrado"),"")</f>
        <v/>
      </c>
    </row>
    <row r="8829" spans="1:5" x14ac:dyDescent="0.3">
      <c r="A8829" s="21" t="str">
        <f t="shared" si="137"/>
        <v>.</v>
      </c>
      <c r="D8829" s="44"/>
      <c r="E8829" s="22" t="str">
        <f>IF(D8829&lt;&gt;"",IFERROR(INDEX(Produtos!$C$4:$C$4996,MATCH(D8829,Produtos!$B$4:$B$4996,0)),"Produto não encontrado"),"")</f>
        <v/>
      </c>
    </row>
    <row r="8830" spans="1:5" x14ac:dyDescent="0.3">
      <c r="A8830" s="21" t="str">
        <f t="shared" si="137"/>
        <v>.</v>
      </c>
      <c r="D8830" s="44"/>
      <c r="E8830" s="22" t="str">
        <f>IF(D8830&lt;&gt;"",IFERROR(INDEX(Produtos!$C$4:$C$4996,MATCH(D8830,Produtos!$B$4:$B$4996,0)),"Produto não encontrado"),"")</f>
        <v/>
      </c>
    </row>
    <row r="8831" spans="1:5" x14ac:dyDescent="0.3">
      <c r="A8831" s="21" t="str">
        <f t="shared" si="137"/>
        <v>.</v>
      </c>
      <c r="D8831" s="44"/>
      <c r="E8831" s="22" t="str">
        <f>IF(D8831&lt;&gt;"",IFERROR(INDEX(Produtos!$C$4:$C$4996,MATCH(D8831,Produtos!$B$4:$B$4996,0)),"Produto não encontrado"),"")</f>
        <v/>
      </c>
    </row>
    <row r="8832" spans="1:5" x14ac:dyDescent="0.3">
      <c r="A8832" s="21" t="str">
        <f t="shared" ref="A8832:A8895" si="138">IF(C8832="Entrada",2,IF(C8832="Saída",1,"."))</f>
        <v>.</v>
      </c>
      <c r="D8832" s="44"/>
      <c r="E8832" s="22" t="str">
        <f>IF(D8832&lt;&gt;"",IFERROR(INDEX(Produtos!$C$4:$C$4996,MATCH(D8832,Produtos!$B$4:$B$4996,0)),"Produto não encontrado"),"")</f>
        <v/>
      </c>
    </row>
    <row r="8833" spans="1:5" x14ac:dyDescent="0.3">
      <c r="A8833" s="21" t="str">
        <f t="shared" si="138"/>
        <v>.</v>
      </c>
      <c r="D8833" s="44"/>
      <c r="E8833" s="22" t="str">
        <f>IF(D8833&lt;&gt;"",IFERROR(INDEX(Produtos!$C$4:$C$4996,MATCH(D8833,Produtos!$B$4:$B$4996,0)),"Produto não encontrado"),"")</f>
        <v/>
      </c>
    </row>
    <row r="8834" spans="1:5" x14ac:dyDescent="0.3">
      <c r="A8834" s="21" t="str">
        <f t="shared" si="138"/>
        <v>.</v>
      </c>
      <c r="D8834" s="44"/>
      <c r="E8834" s="22" t="str">
        <f>IF(D8834&lt;&gt;"",IFERROR(INDEX(Produtos!$C$4:$C$4996,MATCH(D8834,Produtos!$B$4:$B$4996,0)),"Produto não encontrado"),"")</f>
        <v/>
      </c>
    </row>
    <row r="8835" spans="1:5" x14ac:dyDescent="0.3">
      <c r="A8835" s="21" t="str">
        <f t="shared" si="138"/>
        <v>.</v>
      </c>
      <c r="D8835" s="44"/>
      <c r="E8835" s="22" t="str">
        <f>IF(D8835&lt;&gt;"",IFERROR(INDEX(Produtos!$C$4:$C$4996,MATCH(D8835,Produtos!$B$4:$B$4996,0)),"Produto não encontrado"),"")</f>
        <v/>
      </c>
    </row>
    <row r="8836" spans="1:5" x14ac:dyDescent="0.3">
      <c r="A8836" s="21" t="str">
        <f t="shared" si="138"/>
        <v>.</v>
      </c>
      <c r="D8836" s="44"/>
      <c r="E8836" s="22" t="str">
        <f>IF(D8836&lt;&gt;"",IFERROR(INDEX(Produtos!$C$4:$C$4996,MATCH(D8836,Produtos!$B$4:$B$4996,0)),"Produto não encontrado"),"")</f>
        <v/>
      </c>
    </row>
    <row r="8837" spans="1:5" x14ac:dyDescent="0.3">
      <c r="A8837" s="21" t="str">
        <f t="shared" si="138"/>
        <v>.</v>
      </c>
      <c r="D8837" s="44"/>
      <c r="E8837" s="22" t="str">
        <f>IF(D8837&lt;&gt;"",IFERROR(INDEX(Produtos!$C$4:$C$4996,MATCH(D8837,Produtos!$B$4:$B$4996,0)),"Produto não encontrado"),"")</f>
        <v/>
      </c>
    </row>
    <row r="8838" spans="1:5" x14ac:dyDescent="0.3">
      <c r="A8838" s="21" t="str">
        <f t="shared" si="138"/>
        <v>.</v>
      </c>
      <c r="D8838" s="44"/>
      <c r="E8838" s="22" t="str">
        <f>IF(D8838&lt;&gt;"",IFERROR(INDEX(Produtos!$C$4:$C$4996,MATCH(D8838,Produtos!$B$4:$B$4996,0)),"Produto não encontrado"),"")</f>
        <v/>
      </c>
    </row>
    <row r="8839" spans="1:5" x14ac:dyDescent="0.3">
      <c r="A8839" s="21" t="str">
        <f t="shared" si="138"/>
        <v>.</v>
      </c>
      <c r="D8839" s="44"/>
      <c r="E8839" s="22" t="str">
        <f>IF(D8839&lt;&gt;"",IFERROR(INDEX(Produtos!$C$4:$C$4996,MATCH(D8839,Produtos!$B$4:$B$4996,0)),"Produto não encontrado"),"")</f>
        <v/>
      </c>
    </row>
    <row r="8840" spans="1:5" x14ac:dyDescent="0.3">
      <c r="A8840" s="21" t="str">
        <f t="shared" si="138"/>
        <v>.</v>
      </c>
      <c r="D8840" s="44"/>
      <c r="E8840" s="22" t="str">
        <f>IF(D8840&lt;&gt;"",IFERROR(INDEX(Produtos!$C$4:$C$4996,MATCH(D8840,Produtos!$B$4:$B$4996,0)),"Produto não encontrado"),"")</f>
        <v/>
      </c>
    </row>
    <row r="8841" spans="1:5" x14ac:dyDescent="0.3">
      <c r="A8841" s="21" t="str">
        <f t="shared" si="138"/>
        <v>.</v>
      </c>
      <c r="D8841" s="44"/>
      <c r="E8841" s="22" t="str">
        <f>IF(D8841&lt;&gt;"",IFERROR(INDEX(Produtos!$C$4:$C$4996,MATCH(D8841,Produtos!$B$4:$B$4996,0)),"Produto não encontrado"),"")</f>
        <v/>
      </c>
    </row>
    <row r="8842" spans="1:5" x14ac:dyDescent="0.3">
      <c r="A8842" s="21" t="str">
        <f t="shared" si="138"/>
        <v>.</v>
      </c>
      <c r="D8842" s="44"/>
      <c r="E8842" s="22" t="str">
        <f>IF(D8842&lt;&gt;"",IFERROR(INDEX(Produtos!$C$4:$C$4996,MATCH(D8842,Produtos!$B$4:$B$4996,0)),"Produto não encontrado"),"")</f>
        <v/>
      </c>
    </row>
    <row r="8843" spans="1:5" x14ac:dyDescent="0.3">
      <c r="A8843" s="21" t="str">
        <f t="shared" si="138"/>
        <v>.</v>
      </c>
      <c r="D8843" s="44"/>
      <c r="E8843" s="22" t="str">
        <f>IF(D8843&lt;&gt;"",IFERROR(INDEX(Produtos!$C$4:$C$4996,MATCH(D8843,Produtos!$B$4:$B$4996,0)),"Produto não encontrado"),"")</f>
        <v/>
      </c>
    </row>
    <row r="8844" spans="1:5" x14ac:dyDescent="0.3">
      <c r="A8844" s="21" t="str">
        <f t="shared" si="138"/>
        <v>.</v>
      </c>
      <c r="D8844" s="44"/>
      <c r="E8844" s="22" t="str">
        <f>IF(D8844&lt;&gt;"",IFERROR(INDEX(Produtos!$C$4:$C$4996,MATCH(D8844,Produtos!$B$4:$B$4996,0)),"Produto não encontrado"),"")</f>
        <v/>
      </c>
    </row>
    <row r="8845" spans="1:5" x14ac:dyDescent="0.3">
      <c r="A8845" s="21" t="str">
        <f t="shared" si="138"/>
        <v>.</v>
      </c>
      <c r="D8845" s="44"/>
      <c r="E8845" s="22" t="str">
        <f>IF(D8845&lt;&gt;"",IFERROR(INDEX(Produtos!$C$4:$C$4996,MATCH(D8845,Produtos!$B$4:$B$4996,0)),"Produto não encontrado"),"")</f>
        <v/>
      </c>
    </row>
    <row r="8846" spans="1:5" x14ac:dyDescent="0.3">
      <c r="A8846" s="21" t="str">
        <f t="shared" si="138"/>
        <v>.</v>
      </c>
      <c r="D8846" s="44"/>
      <c r="E8846" s="22" t="str">
        <f>IF(D8846&lt;&gt;"",IFERROR(INDEX(Produtos!$C$4:$C$4996,MATCH(D8846,Produtos!$B$4:$B$4996,0)),"Produto não encontrado"),"")</f>
        <v/>
      </c>
    </row>
    <row r="8847" spans="1:5" x14ac:dyDescent="0.3">
      <c r="A8847" s="21" t="str">
        <f t="shared" si="138"/>
        <v>.</v>
      </c>
      <c r="D8847" s="44"/>
      <c r="E8847" s="22" t="str">
        <f>IF(D8847&lt;&gt;"",IFERROR(INDEX(Produtos!$C$4:$C$4996,MATCH(D8847,Produtos!$B$4:$B$4996,0)),"Produto não encontrado"),"")</f>
        <v/>
      </c>
    </row>
    <row r="8848" spans="1:5" x14ac:dyDescent="0.3">
      <c r="A8848" s="21" t="str">
        <f t="shared" si="138"/>
        <v>.</v>
      </c>
      <c r="D8848" s="44"/>
      <c r="E8848" s="22" t="str">
        <f>IF(D8848&lt;&gt;"",IFERROR(INDEX(Produtos!$C$4:$C$4996,MATCH(D8848,Produtos!$B$4:$B$4996,0)),"Produto não encontrado"),"")</f>
        <v/>
      </c>
    </row>
    <row r="8849" spans="1:5" x14ac:dyDescent="0.3">
      <c r="A8849" s="21" t="str">
        <f t="shared" si="138"/>
        <v>.</v>
      </c>
      <c r="D8849" s="44"/>
      <c r="E8849" s="22" t="str">
        <f>IF(D8849&lt;&gt;"",IFERROR(INDEX(Produtos!$C$4:$C$4996,MATCH(D8849,Produtos!$B$4:$B$4996,0)),"Produto não encontrado"),"")</f>
        <v/>
      </c>
    </row>
    <row r="8850" spans="1:5" x14ac:dyDescent="0.3">
      <c r="A8850" s="21" t="str">
        <f t="shared" si="138"/>
        <v>.</v>
      </c>
      <c r="D8850" s="44"/>
      <c r="E8850" s="22" t="str">
        <f>IF(D8850&lt;&gt;"",IFERROR(INDEX(Produtos!$C$4:$C$4996,MATCH(D8850,Produtos!$B$4:$B$4996,0)),"Produto não encontrado"),"")</f>
        <v/>
      </c>
    </row>
    <row r="8851" spans="1:5" x14ac:dyDescent="0.3">
      <c r="A8851" s="21" t="str">
        <f t="shared" si="138"/>
        <v>.</v>
      </c>
      <c r="D8851" s="44"/>
      <c r="E8851" s="22" t="str">
        <f>IF(D8851&lt;&gt;"",IFERROR(INDEX(Produtos!$C$4:$C$4996,MATCH(D8851,Produtos!$B$4:$B$4996,0)),"Produto não encontrado"),"")</f>
        <v/>
      </c>
    </row>
    <row r="8852" spans="1:5" x14ac:dyDescent="0.3">
      <c r="A8852" s="21" t="str">
        <f t="shared" si="138"/>
        <v>.</v>
      </c>
      <c r="D8852" s="44"/>
      <c r="E8852" s="22" t="str">
        <f>IF(D8852&lt;&gt;"",IFERROR(INDEX(Produtos!$C$4:$C$4996,MATCH(D8852,Produtos!$B$4:$B$4996,0)),"Produto não encontrado"),"")</f>
        <v/>
      </c>
    </row>
    <row r="8853" spans="1:5" x14ac:dyDescent="0.3">
      <c r="A8853" s="21" t="str">
        <f t="shared" si="138"/>
        <v>.</v>
      </c>
      <c r="D8853" s="44"/>
      <c r="E8853" s="22" t="str">
        <f>IF(D8853&lt;&gt;"",IFERROR(INDEX(Produtos!$C$4:$C$4996,MATCH(D8853,Produtos!$B$4:$B$4996,0)),"Produto não encontrado"),"")</f>
        <v/>
      </c>
    </row>
    <row r="8854" spans="1:5" x14ac:dyDescent="0.3">
      <c r="A8854" s="21" t="str">
        <f t="shared" si="138"/>
        <v>.</v>
      </c>
      <c r="D8854" s="44"/>
      <c r="E8854" s="22" t="str">
        <f>IF(D8854&lt;&gt;"",IFERROR(INDEX(Produtos!$C$4:$C$4996,MATCH(D8854,Produtos!$B$4:$B$4996,0)),"Produto não encontrado"),"")</f>
        <v/>
      </c>
    </row>
    <row r="8855" spans="1:5" x14ac:dyDescent="0.3">
      <c r="A8855" s="21" t="str">
        <f t="shared" si="138"/>
        <v>.</v>
      </c>
      <c r="D8855" s="44"/>
      <c r="E8855" s="22" t="str">
        <f>IF(D8855&lt;&gt;"",IFERROR(INDEX(Produtos!$C$4:$C$4996,MATCH(D8855,Produtos!$B$4:$B$4996,0)),"Produto não encontrado"),"")</f>
        <v/>
      </c>
    </row>
    <row r="8856" spans="1:5" x14ac:dyDescent="0.3">
      <c r="A8856" s="21" t="str">
        <f t="shared" si="138"/>
        <v>.</v>
      </c>
      <c r="D8856" s="44"/>
      <c r="E8856" s="22" t="str">
        <f>IF(D8856&lt;&gt;"",IFERROR(INDEX(Produtos!$C$4:$C$4996,MATCH(D8856,Produtos!$B$4:$B$4996,0)),"Produto não encontrado"),"")</f>
        <v/>
      </c>
    </row>
    <row r="8857" spans="1:5" x14ac:dyDescent="0.3">
      <c r="A8857" s="21" t="str">
        <f t="shared" si="138"/>
        <v>.</v>
      </c>
      <c r="D8857" s="44"/>
      <c r="E8857" s="22" t="str">
        <f>IF(D8857&lt;&gt;"",IFERROR(INDEX(Produtos!$C$4:$C$4996,MATCH(D8857,Produtos!$B$4:$B$4996,0)),"Produto não encontrado"),"")</f>
        <v/>
      </c>
    </row>
    <row r="8858" spans="1:5" x14ac:dyDescent="0.3">
      <c r="A8858" s="21" t="str">
        <f t="shared" si="138"/>
        <v>.</v>
      </c>
      <c r="D8858" s="44"/>
      <c r="E8858" s="22" t="str">
        <f>IF(D8858&lt;&gt;"",IFERROR(INDEX(Produtos!$C$4:$C$4996,MATCH(D8858,Produtos!$B$4:$B$4996,0)),"Produto não encontrado"),"")</f>
        <v/>
      </c>
    </row>
    <row r="8859" spans="1:5" x14ac:dyDescent="0.3">
      <c r="A8859" s="21" t="str">
        <f t="shared" si="138"/>
        <v>.</v>
      </c>
      <c r="D8859" s="44"/>
      <c r="E8859" s="22" t="str">
        <f>IF(D8859&lt;&gt;"",IFERROR(INDEX(Produtos!$C$4:$C$4996,MATCH(D8859,Produtos!$B$4:$B$4996,0)),"Produto não encontrado"),"")</f>
        <v/>
      </c>
    </row>
    <row r="8860" spans="1:5" x14ac:dyDescent="0.3">
      <c r="A8860" s="21" t="str">
        <f t="shared" si="138"/>
        <v>.</v>
      </c>
      <c r="D8860" s="44"/>
      <c r="E8860" s="22" t="str">
        <f>IF(D8860&lt;&gt;"",IFERROR(INDEX(Produtos!$C$4:$C$4996,MATCH(D8860,Produtos!$B$4:$B$4996,0)),"Produto não encontrado"),"")</f>
        <v/>
      </c>
    </row>
    <row r="8861" spans="1:5" x14ac:dyDescent="0.3">
      <c r="A8861" s="21" t="str">
        <f t="shared" si="138"/>
        <v>.</v>
      </c>
      <c r="D8861" s="44"/>
      <c r="E8861" s="22" t="str">
        <f>IF(D8861&lt;&gt;"",IFERROR(INDEX(Produtos!$C$4:$C$4996,MATCH(D8861,Produtos!$B$4:$B$4996,0)),"Produto não encontrado"),"")</f>
        <v/>
      </c>
    </row>
    <row r="8862" spans="1:5" x14ac:dyDescent="0.3">
      <c r="A8862" s="21" t="str">
        <f t="shared" si="138"/>
        <v>.</v>
      </c>
      <c r="D8862" s="44"/>
      <c r="E8862" s="22" t="str">
        <f>IF(D8862&lt;&gt;"",IFERROR(INDEX(Produtos!$C$4:$C$4996,MATCH(D8862,Produtos!$B$4:$B$4996,0)),"Produto não encontrado"),"")</f>
        <v/>
      </c>
    </row>
    <row r="8863" spans="1:5" x14ac:dyDescent="0.3">
      <c r="A8863" s="21" t="str">
        <f t="shared" si="138"/>
        <v>.</v>
      </c>
      <c r="D8863" s="44"/>
      <c r="E8863" s="22" t="str">
        <f>IF(D8863&lt;&gt;"",IFERROR(INDEX(Produtos!$C$4:$C$4996,MATCH(D8863,Produtos!$B$4:$B$4996,0)),"Produto não encontrado"),"")</f>
        <v/>
      </c>
    </row>
    <row r="8864" spans="1:5" x14ac:dyDescent="0.3">
      <c r="A8864" s="21" t="str">
        <f t="shared" si="138"/>
        <v>.</v>
      </c>
      <c r="D8864" s="44"/>
      <c r="E8864" s="22" t="str">
        <f>IF(D8864&lt;&gt;"",IFERROR(INDEX(Produtos!$C$4:$C$4996,MATCH(D8864,Produtos!$B$4:$B$4996,0)),"Produto não encontrado"),"")</f>
        <v/>
      </c>
    </row>
    <row r="8865" spans="1:5" x14ac:dyDescent="0.3">
      <c r="A8865" s="21" t="str">
        <f t="shared" si="138"/>
        <v>.</v>
      </c>
      <c r="D8865" s="44"/>
      <c r="E8865" s="22" t="str">
        <f>IF(D8865&lt;&gt;"",IFERROR(INDEX(Produtos!$C$4:$C$4996,MATCH(D8865,Produtos!$B$4:$B$4996,0)),"Produto não encontrado"),"")</f>
        <v/>
      </c>
    </row>
    <row r="8866" spans="1:5" x14ac:dyDescent="0.3">
      <c r="A8866" s="21" t="str">
        <f t="shared" si="138"/>
        <v>.</v>
      </c>
      <c r="D8866" s="44"/>
      <c r="E8866" s="22" t="str">
        <f>IF(D8866&lt;&gt;"",IFERROR(INDEX(Produtos!$C$4:$C$4996,MATCH(D8866,Produtos!$B$4:$B$4996,0)),"Produto não encontrado"),"")</f>
        <v/>
      </c>
    </row>
    <row r="8867" spans="1:5" x14ac:dyDescent="0.3">
      <c r="A8867" s="21" t="str">
        <f t="shared" si="138"/>
        <v>.</v>
      </c>
      <c r="D8867" s="44"/>
      <c r="E8867" s="22" t="str">
        <f>IF(D8867&lt;&gt;"",IFERROR(INDEX(Produtos!$C$4:$C$4996,MATCH(D8867,Produtos!$B$4:$B$4996,0)),"Produto não encontrado"),"")</f>
        <v/>
      </c>
    </row>
    <row r="8868" spans="1:5" x14ac:dyDescent="0.3">
      <c r="A8868" s="21" t="str">
        <f t="shared" si="138"/>
        <v>.</v>
      </c>
      <c r="D8868" s="44"/>
      <c r="E8868" s="22" t="str">
        <f>IF(D8868&lt;&gt;"",IFERROR(INDEX(Produtos!$C$4:$C$4996,MATCH(D8868,Produtos!$B$4:$B$4996,0)),"Produto não encontrado"),"")</f>
        <v/>
      </c>
    </row>
    <row r="8869" spans="1:5" x14ac:dyDescent="0.3">
      <c r="A8869" s="21" t="str">
        <f t="shared" si="138"/>
        <v>.</v>
      </c>
      <c r="D8869" s="44"/>
      <c r="E8869" s="22" t="str">
        <f>IF(D8869&lt;&gt;"",IFERROR(INDEX(Produtos!$C$4:$C$4996,MATCH(D8869,Produtos!$B$4:$B$4996,0)),"Produto não encontrado"),"")</f>
        <v/>
      </c>
    </row>
    <row r="8870" spans="1:5" x14ac:dyDescent="0.3">
      <c r="A8870" s="21" t="str">
        <f t="shared" si="138"/>
        <v>.</v>
      </c>
      <c r="D8870" s="44"/>
      <c r="E8870" s="22" t="str">
        <f>IF(D8870&lt;&gt;"",IFERROR(INDEX(Produtos!$C$4:$C$4996,MATCH(D8870,Produtos!$B$4:$B$4996,0)),"Produto não encontrado"),"")</f>
        <v/>
      </c>
    </row>
    <row r="8871" spans="1:5" x14ac:dyDescent="0.3">
      <c r="A8871" s="21" t="str">
        <f t="shared" si="138"/>
        <v>.</v>
      </c>
      <c r="D8871" s="44"/>
      <c r="E8871" s="22" t="str">
        <f>IF(D8871&lt;&gt;"",IFERROR(INDEX(Produtos!$C$4:$C$4996,MATCH(D8871,Produtos!$B$4:$B$4996,0)),"Produto não encontrado"),"")</f>
        <v/>
      </c>
    </row>
    <row r="8872" spans="1:5" x14ac:dyDescent="0.3">
      <c r="A8872" s="21" t="str">
        <f t="shared" si="138"/>
        <v>.</v>
      </c>
      <c r="D8872" s="44"/>
      <c r="E8872" s="22" t="str">
        <f>IF(D8872&lt;&gt;"",IFERROR(INDEX(Produtos!$C$4:$C$4996,MATCH(D8872,Produtos!$B$4:$B$4996,0)),"Produto não encontrado"),"")</f>
        <v/>
      </c>
    </row>
    <row r="8873" spans="1:5" x14ac:dyDescent="0.3">
      <c r="A8873" s="21" t="str">
        <f t="shared" si="138"/>
        <v>.</v>
      </c>
      <c r="D8873" s="44"/>
      <c r="E8873" s="22" t="str">
        <f>IF(D8873&lt;&gt;"",IFERROR(INDEX(Produtos!$C$4:$C$4996,MATCH(D8873,Produtos!$B$4:$B$4996,0)),"Produto não encontrado"),"")</f>
        <v/>
      </c>
    </row>
    <row r="8874" spans="1:5" x14ac:dyDescent="0.3">
      <c r="A8874" s="21" t="str">
        <f t="shared" si="138"/>
        <v>.</v>
      </c>
      <c r="D8874" s="44"/>
      <c r="E8874" s="22" t="str">
        <f>IF(D8874&lt;&gt;"",IFERROR(INDEX(Produtos!$C$4:$C$4996,MATCH(D8874,Produtos!$B$4:$B$4996,0)),"Produto não encontrado"),"")</f>
        <v/>
      </c>
    </row>
    <row r="8875" spans="1:5" x14ac:dyDescent="0.3">
      <c r="A8875" s="21" t="str">
        <f t="shared" si="138"/>
        <v>.</v>
      </c>
      <c r="D8875" s="44"/>
      <c r="E8875" s="22" t="str">
        <f>IF(D8875&lt;&gt;"",IFERROR(INDEX(Produtos!$C$4:$C$4996,MATCH(D8875,Produtos!$B$4:$B$4996,0)),"Produto não encontrado"),"")</f>
        <v/>
      </c>
    </row>
    <row r="8876" spans="1:5" x14ac:dyDescent="0.3">
      <c r="A8876" s="21" t="str">
        <f t="shared" si="138"/>
        <v>.</v>
      </c>
      <c r="D8876" s="44"/>
      <c r="E8876" s="22" t="str">
        <f>IF(D8876&lt;&gt;"",IFERROR(INDEX(Produtos!$C$4:$C$4996,MATCH(D8876,Produtos!$B$4:$B$4996,0)),"Produto não encontrado"),"")</f>
        <v/>
      </c>
    </row>
    <row r="8877" spans="1:5" x14ac:dyDescent="0.3">
      <c r="A8877" s="21" t="str">
        <f t="shared" si="138"/>
        <v>.</v>
      </c>
      <c r="D8877" s="44"/>
      <c r="E8877" s="22" t="str">
        <f>IF(D8877&lt;&gt;"",IFERROR(INDEX(Produtos!$C$4:$C$4996,MATCH(D8877,Produtos!$B$4:$B$4996,0)),"Produto não encontrado"),"")</f>
        <v/>
      </c>
    </row>
    <row r="8878" spans="1:5" x14ac:dyDescent="0.3">
      <c r="A8878" s="21" t="str">
        <f t="shared" si="138"/>
        <v>.</v>
      </c>
      <c r="D8878" s="44"/>
      <c r="E8878" s="22" t="str">
        <f>IF(D8878&lt;&gt;"",IFERROR(INDEX(Produtos!$C$4:$C$4996,MATCH(D8878,Produtos!$B$4:$B$4996,0)),"Produto não encontrado"),"")</f>
        <v/>
      </c>
    </row>
    <row r="8879" spans="1:5" x14ac:dyDescent="0.3">
      <c r="A8879" s="21" t="str">
        <f t="shared" si="138"/>
        <v>.</v>
      </c>
      <c r="D8879" s="44"/>
      <c r="E8879" s="22" t="str">
        <f>IF(D8879&lt;&gt;"",IFERROR(INDEX(Produtos!$C$4:$C$4996,MATCH(D8879,Produtos!$B$4:$B$4996,0)),"Produto não encontrado"),"")</f>
        <v/>
      </c>
    </row>
    <row r="8880" spans="1:5" x14ac:dyDescent="0.3">
      <c r="A8880" s="21" t="str">
        <f t="shared" si="138"/>
        <v>.</v>
      </c>
      <c r="D8880" s="44"/>
      <c r="E8880" s="22" t="str">
        <f>IF(D8880&lt;&gt;"",IFERROR(INDEX(Produtos!$C$4:$C$4996,MATCH(D8880,Produtos!$B$4:$B$4996,0)),"Produto não encontrado"),"")</f>
        <v/>
      </c>
    </row>
    <row r="8881" spans="1:5" x14ac:dyDescent="0.3">
      <c r="A8881" s="21" t="str">
        <f t="shared" si="138"/>
        <v>.</v>
      </c>
      <c r="D8881" s="44"/>
      <c r="E8881" s="22" t="str">
        <f>IF(D8881&lt;&gt;"",IFERROR(INDEX(Produtos!$C$4:$C$4996,MATCH(D8881,Produtos!$B$4:$B$4996,0)),"Produto não encontrado"),"")</f>
        <v/>
      </c>
    </row>
    <row r="8882" spans="1:5" x14ac:dyDescent="0.3">
      <c r="A8882" s="21" t="str">
        <f t="shared" si="138"/>
        <v>.</v>
      </c>
      <c r="D8882" s="44"/>
      <c r="E8882" s="22" t="str">
        <f>IF(D8882&lt;&gt;"",IFERROR(INDEX(Produtos!$C$4:$C$4996,MATCH(D8882,Produtos!$B$4:$B$4996,0)),"Produto não encontrado"),"")</f>
        <v/>
      </c>
    </row>
    <row r="8883" spans="1:5" x14ac:dyDescent="0.3">
      <c r="A8883" s="21" t="str">
        <f t="shared" si="138"/>
        <v>.</v>
      </c>
      <c r="D8883" s="44"/>
      <c r="E8883" s="22" t="str">
        <f>IF(D8883&lt;&gt;"",IFERROR(INDEX(Produtos!$C$4:$C$4996,MATCH(D8883,Produtos!$B$4:$B$4996,0)),"Produto não encontrado"),"")</f>
        <v/>
      </c>
    </row>
    <row r="8884" spans="1:5" x14ac:dyDescent="0.3">
      <c r="A8884" s="21" t="str">
        <f t="shared" si="138"/>
        <v>.</v>
      </c>
      <c r="D8884" s="44"/>
      <c r="E8884" s="22" t="str">
        <f>IF(D8884&lt;&gt;"",IFERROR(INDEX(Produtos!$C$4:$C$4996,MATCH(D8884,Produtos!$B$4:$B$4996,0)),"Produto não encontrado"),"")</f>
        <v/>
      </c>
    </row>
    <row r="8885" spans="1:5" x14ac:dyDescent="0.3">
      <c r="A8885" s="21" t="str">
        <f t="shared" si="138"/>
        <v>.</v>
      </c>
      <c r="D8885" s="44"/>
      <c r="E8885" s="22" t="str">
        <f>IF(D8885&lt;&gt;"",IFERROR(INDEX(Produtos!$C$4:$C$4996,MATCH(D8885,Produtos!$B$4:$B$4996,0)),"Produto não encontrado"),"")</f>
        <v/>
      </c>
    </row>
    <row r="8886" spans="1:5" x14ac:dyDescent="0.3">
      <c r="A8886" s="21" t="str">
        <f t="shared" si="138"/>
        <v>.</v>
      </c>
      <c r="D8886" s="44"/>
      <c r="E8886" s="22" t="str">
        <f>IF(D8886&lt;&gt;"",IFERROR(INDEX(Produtos!$C$4:$C$4996,MATCH(D8886,Produtos!$B$4:$B$4996,0)),"Produto não encontrado"),"")</f>
        <v/>
      </c>
    </row>
    <row r="8887" spans="1:5" x14ac:dyDescent="0.3">
      <c r="A8887" s="21" t="str">
        <f t="shared" si="138"/>
        <v>.</v>
      </c>
      <c r="D8887" s="44"/>
      <c r="E8887" s="22" t="str">
        <f>IF(D8887&lt;&gt;"",IFERROR(INDEX(Produtos!$C$4:$C$4996,MATCH(D8887,Produtos!$B$4:$B$4996,0)),"Produto não encontrado"),"")</f>
        <v/>
      </c>
    </row>
    <row r="8888" spans="1:5" x14ac:dyDescent="0.3">
      <c r="A8888" s="21" t="str">
        <f t="shared" si="138"/>
        <v>.</v>
      </c>
      <c r="D8888" s="44"/>
      <c r="E8888" s="22" t="str">
        <f>IF(D8888&lt;&gt;"",IFERROR(INDEX(Produtos!$C$4:$C$4996,MATCH(D8888,Produtos!$B$4:$B$4996,0)),"Produto não encontrado"),"")</f>
        <v/>
      </c>
    </row>
    <row r="8889" spans="1:5" x14ac:dyDescent="0.3">
      <c r="A8889" s="21" t="str">
        <f t="shared" si="138"/>
        <v>.</v>
      </c>
      <c r="D8889" s="44"/>
      <c r="E8889" s="22" t="str">
        <f>IF(D8889&lt;&gt;"",IFERROR(INDEX(Produtos!$C$4:$C$4996,MATCH(D8889,Produtos!$B$4:$B$4996,0)),"Produto não encontrado"),"")</f>
        <v/>
      </c>
    </row>
    <row r="8890" spans="1:5" x14ac:dyDescent="0.3">
      <c r="A8890" s="21" t="str">
        <f t="shared" si="138"/>
        <v>.</v>
      </c>
      <c r="D8890" s="44"/>
      <c r="E8890" s="22" t="str">
        <f>IF(D8890&lt;&gt;"",IFERROR(INDEX(Produtos!$C$4:$C$4996,MATCH(D8890,Produtos!$B$4:$B$4996,0)),"Produto não encontrado"),"")</f>
        <v/>
      </c>
    </row>
    <row r="8891" spans="1:5" x14ac:dyDescent="0.3">
      <c r="A8891" s="21" t="str">
        <f t="shared" si="138"/>
        <v>.</v>
      </c>
      <c r="D8891" s="44"/>
      <c r="E8891" s="22" t="str">
        <f>IF(D8891&lt;&gt;"",IFERROR(INDEX(Produtos!$C$4:$C$4996,MATCH(D8891,Produtos!$B$4:$B$4996,0)),"Produto não encontrado"),"")</f>
        <v/>
      </c>
    </row>
    <row r="8892" spans="1:5" x14ac:dyDescent="0.3">
      <c r="A8892" s="21" t="str">
        <f t="shared" si="138"/>
        <v>.</v>
      </c>
      <c r="D8892" s="44"/>
      <c r="E8892" s="22" t="str">
        <f>IF(D8892&lt;&gt;"",IFERROR(INDEX(Produtos!$C$4:$C$4996,MATCH(D8892,Produtos!$B$4:$B$4996,0)),"Produto não encontrado"),"")</f>
        <v/>
      </c>
    </row>
    <row r="8893" spans="1:5" x14ac:dyDescent="0.3">
      <c r="A8893" s="21" t="str">
        <f t="shared" si="138"/>
        <v>.</v>
      </c>
      <c r="D8893" s="44"/>
      <c r="E8893" s="22" t="str">
        <f>IF(D8893&lt;&gt;"",IFERROR(INDEX(Produtos!$C$4:$C$4996,MATCH(D8893,Produtos!$B$4:$B$4996,0)),"Produto não encontrado"),"")</f>
        <v/>
      </c>
    </row>
    <row r="8894" spans="1:5" x14ac:dyDescent="0.3">
      <c r="A8894" s="21" t="str">
        <f t="shared" si="138"/>
        <v>.</v>
      </c>
      <c r="D8894" s="44"/>
      <c r="E8894" s="22" t="str">
        <f>IF(D8894&lt;&gt;"",IFERROR(INDEX(Produtos!$C$4:$C$4996,MATCH(D8894,Produtos!$B$4:$B$4996,0)),"Produto não encontrado"),"")</f>
        <v/>
      </c>
    </row>
    <row r="8895" spans="1:5" x14ac:dyDescent="0.3">
      <c r="A8895" s="21" t="str">
        <f t="shared" si="138"/>
        <v>.</v>
      </c>
      <c r="D8895" s="44"/>
      <c r="E8895" s="22" t="str">
        <f>IF(D8895&lt;&gt;"",IFERROR(INDEX(Produtos!$C$4:$C$4996,MATCH(D8895,Produtos!$B$4:$B$4996,0)),"Produto não encontrado"),"")</f>
        <v/>
      </c>
    </row>
    <row r="8896" spans="1:5" x14ac:dyDescent="0.3">
      <c r="A8896" s="21" t="str">
        <f t="shared" ref="A8896:A8959" si="139">IF(C8896="Entrada",2,IF(C8896="Saída",1,"."))</f>
        <v>.</v>
      </c>
      <c r="D8896" s="44"/>
      <c r="E8896" s="22" t="str">
        <f>IF(D8896&lt;&gt;"",IFERROR(INDEX(Produtos!$C$4:$C$4996,MATCH(D8896,Produtos!$B$4:$B$4996,0)),"Produto não encontrado"),"")</f>
        <v/>
      </c>
    </row>
    <row r="8897" spans="1:5" x14ac:dyDescent="0.3">
      <c r="A8897" s="21" t="str">
        <f t="shared" si="139"/>
        <v>.</v>
      </c>
      <c r="D8897" s="44"/>
      <c r="E8897" s="22" t="str">
        <f>IF(D8897&lt;&gt;"",IFERROR(INDEX(Produtos!$C$4:$C$4996,MATCH(D8897,Produtos!$B$4:$B$4996,0)),"Produto não encontrado"),"")</f>
        <v/>
      </c>
    </row>
    <row r="8898" spans="1:5" x14ac:dyDescent="0.3">
      <c r="A8898" s="21" t="str">
        <f t="shared" si="139"/>
        <v>.</v>
      </c>
      <c r="D8898" s="44"/>
      <c r="E8898" s="22" t="str">
        <f>IF(D8898&lt;&gt;"",IFERROR(INDEX(Produtos!$C$4:$C$4996,MATCH(D8898,Produtos!$B$4:$B$4996,0)),"Produto não encontrado"),"")</f>
        <v/>
      </c>
    </row>
    <row r="8899" spans="1:5" x14ac:dyDescent="0.3">
      <c r="A8899" s="21" t="str">
        <f t="shared" si="139"/>
        <v>.</v>
      </c>
      <c r="D8899" s="44"/>
      <c r="E8899" s="22" t="str">
        <f>IF(D8899&lt;&gt;"",IFERROR(INDEX(Produtos!$C$4:$C$4996,MATCH(D8899,Produtos!$B$4:$B$4996,0)),"Produto não encontrado"),"")</f>
        <v/>
      </c>
    </row>
    <row r="8900" spans="1:5" x14ac:dyDescent="0.3">
      <c r="A8900" s="21" t="str">
        <f t="shared" si="139"/>
        <v>.</v>
      </c>
      <c r="D8900" s="44"/>
      <c r="E8900" s="22" t="str">
        <f>IF(D8900&lt;&gt;"",IFERROR(INDEX(Produtos!$C$4:$C$4996,MATCH(D8900,Produtos!$B$4:$B$4996,0)),"Produto não encontrado"),"")</f>
        <v/>
      </c>
    </row>
    <row r="8901" spans="1:5" x14ac:dyDescent="0.3">
      <c r="A8901" s="21" t="str">
        <f t="shared" si="139"/>
        <v>.</v>
      </c>
      <c r="D8901" s="44"/>
      <c r="E8901" s="22" t="str">
        <f>IF(D8901&lt;&gt;"",IFERROR(INDEX(Produtos!$C$4:$C$4996,MATCH(D8901,Produtos!$B$4:$B$4996,0)),"Produto não encontrado"),"")</f>
        <v/>
      </c>
    </row>
    <row r="8902" spans="1:5" x14ac:dyDescent="0.3">
      <c r="A8902" s="21" t="str">
        <f t="shared" si="139"/>
        <v>.</v>
      </c>
      <c r="D8902" s="44"/>
      <c r="E8902" s="22" t="str">
        <f>IF(D8902&lt;&gt;"",IFERROR(INDEX(Produtos!$C$4:$C$4996,MATCH(D8902,Produtos!$B$4:$B$4996,0)),"Produto não encontrado"),"")</f>
        <v/>
      </c>
    </row>
    <row r="8903" spans="1:5" x14ac:dyDescent="0.3">
      <c r="A8903" s="21" t="str">
        <f t="shared" si="139"/>
        <v>.</v>
      </c>
      <c r="D8903" s="44"/>
      <c r="E8903" s="22" t="str">
        <f>IF(D8903&lt;&gt;"",IFERROR(INDEX(Produtos!$C$4:$C$4996,MATCH(D8903,Produtos!$B$4:$B$4996,0)),"Produto não encontrado"),"")</f>
        <v/>
      </c>
    </row>
    <row r="8904" spans="1:5" x14ac:dyDescent="0.3">
      <c r="A8904" s="21" t="str">
        <f t="shared" si="139"/>
        <v>.</v>
      </c>
      <c r="D8904" s="44"/>
      <c r="E8904" s="22" t="str">
        <f>IF(D8904&lt;&gt;"",IFERROR(INDEX(Produtos!$C$4:$C$4996,MATCH(D8904,Produtos!$B$4:$B$4996,0)),"Produto não encontrado"),"")</f>
        <v/>
      </c>
    </row>
    <row r="8905" spans="1:5" x14ac:dyDescent="0.3">
      <c r="A8905" s="21" t="str">
        <f t="shared" si="139"/>
        <v>.</v>
      </c>
      <c r="D8905" s="44"/>
      <c r="E8905" s="22" t="str">
        <f>IF(D8905&lt;&gt;"",IFERROR(INDEX(Produtos!$C$4:$C$4996,MATCH(D8905,Produtos!$B$4:$B$4996,0)),"Produto não encontrado"),"")</f>
        <v/>
      </c>
    </row>
    <row r="8906" spans="1:5" x14ac:dyDescent="0.3">
      <c r="A8906" s="21" t="str">
        <f t="shared" si="139"/>
        <v>.</v>
      </c>
      <c r="D8906" s="44"/>
      <c r="E8906" s="22" t="str">
        <f>IF(D8906&lt;&gt;"",IFERROR(INDEX(Produtos!$C$4:$C$4996,MATCH(D8906,Produtos!$B$4:$B$4996,0)),"Produto não encontrado"),"")</f>
        <v/>
      </c>
    </row>
    <row r="8907" spans="1:5" x14ac:dyDescent="0.3">
      <c r="A8907" s="21" t="str">
        <f t="shared" si="139"/>
        <v>.</v>
      </c>
      <c r="D8907" s="44"/>
      <c r="E8907" s="22" t="str">
        <f>IF(D8907&lt;&gt;"",IFERROR(INDEX(Produtos!$C$4:$C$4996,MATCH(D8907,Produtos!$B$4:$B$4996,0)),"Produto não encontrado"),"")</f>
        <v/>
      </c>
    </row>
    <row r="8908" spans="1:5" x14ac:dyDescent="0.3">
      <c r="A8908" s="21" t="str">
        <f t="shared" si="139"/>
        <v>.</v>
      </c>
      <c r="D8908" s="44"/>
      <c r="E8908" s="22" t="str">
        <f>IF(D8908&lt;&gt;"",IFERROR(INDEX(Produtos!$C$4:$C$4996,MATCH(D8908,Produtos!$B$4:$B$4996,0)),"Produto não encontrado"),"")</f>
        <v/>
      </c>
    </row>
    <row r="8909" spans="1:5" x14ac:dyDescent="0.3">
      <c r="A8909" s="21" t="str">
        <f t="shared" si="139"/>
        <v>.</v>
      </c>
      <c r="D8909" s="44"/>
      <c r="E8909" s="22" t="str">
        <f>IF(D8909&lt;&gt;"",IFERROR(INDEX(Produtos!$C$4:$C$4996,MATCH(D8909,Produtos!$B$4:$B$4996,0)),"Produto não encontrado"),"")</f>
        <v/>
      </c>
    </row>
    <row r="8910" spans="1:5" x14ac:dyDescent="0.3">
      <c r="A8910" s="21" t="str">
        <f t="shared" si="139"/>
        <v>.</v>
      </c>
      <c r="D8910" s="44"/>
      <c r="E8910" s="22" t="str">
        <f>IF(D8910&lt;&gt;"",IFERROR(INDEX(Produtos!$C$4:$C$4996,MATCH(D8910,Produtos!$B$4:$B$4996,0)),"Produto não encontrado"),"")</f>
        <v/>
      </c>
    </row>
    <row r="8911" spans="1:5" x14ac:dyDescent="0.3">
      <c r="A8911" s="21" t="str">
        <f t="shared" si="139"/>
        <v>.</v>
      </c>
      <c r="D8911" s="44"/>
      <c r="E8911" s="22" t="str">
        <f>IF(D8911&lt;&gt;"",IFERROR(INDEX(Produtos!$C$4:$C$4996,MATCH(D8911,Produtos!$B$4:$B$4996,0)),"Produto não encontrado"),"")</f>
        <v/>
      </c>
    </row>
    <row r="8912" spans="1:5" x14ac:dyDescent="0.3">
      <c r="A8912" s="21" t="str">
        <f t="shared" si="139"/>
        <v>.</v>
      </c>
      <c r="D8912" s="44"/>
      <c r="E8912" s="22" t="str">
        <f>IF(D8912&lt;&gt;"",IFERROR(INDEX(Produtos!$C$4:$C$4996,MATCH(D8912,Produtos!$B$4:$B$4996,0)),"Produto não encontrado"),"")</f>
        <v/>
      </c>
    </row>
    <row r="8913" spans="1:5" x14ac:dyDescent="0.3">
      <c r="A8913" s="21" t="str">
        <f t="shared" si="139"/>
        <v>.</v>
      </c>
      <c r="D8913" s="44"/>
      <c r="E8913" s="22" t="str">
        <f>IF(D8913&lt;&gt;"",IFERROR(INDEX(Produtos!$C$4:$C$4996,MATCH(D8913,Produtos!$B$4:$B$4996,0)),"Produto não encontrado"),"")</f>
        <v/>
      </c>
    </row>
    <row r="8914" spans="1:5" x14ac:dyDescent="0.3">
      <c r="A8914" s="21" t="str">
        <f t="shared" si="139"/>
        <v>.</v>
      </c>
      <c r="D8914" s="44"/>
      <c r="E8914" s="22" t="str">
        <f>IF(D8914&lt;&gt;"",IFERROR(INDEX(Produtos!$C$4:$C$4996,MATCH(D8914,Produtos!$B$4:$B$4996,0)),"Produto não encontrado"),"")</f>
        <v/>
      </c>
    </row>
    <row r="8915" spans="1:5" x14ac:dyDescent="0.3">
      <c r="A8915" s="21" t="str">
        <f t="shared" si="139"/>
        <v>.</v>
      </c>
      <c r="D8915" s="44"/>
      <c r="E8915" s="22" t="str">
        <f>IF(D8915&lt;&gt;"",IFERROR(INDEX(Produtos!$C$4:$C$4996,MATCH(D8915,Produtos!$B$4:$B$4996,0)),"Produto não encontrado"),"")</f>
        <v/>
      </c>
    </row>
    <row r="8916" spans="1:5" x14ac:dyDescent="0.3">
      <c r="A8916" s="21" t="str">
        <f t="shared" si="139"/>
        <v>.</v>
      </c>
      <c r="D8916" s="44"/>
      <c r="E8916" s="22" t="str">
        <f>IF(D8916&lt;&gt;"",IFERROR(INDEX(Produtos!$C$4:$C$4996,MATCH(D8916,Produtos!$B$4:$B$4996,0)),"Produto não encontrado"),"")</f>
        <v/>
      </c>
    </row>
    <row r="8917" spans="1:5" x14ac:dyDescent="0.3">
      <c r="A8917" s="21" t="str">
        <f t="shared" si="139"/>
        <v>.</v>
      </c>
      <c r="D8917" s="44"/>
      <c r="E8917" s="22" t="str">
        <f>IF(D8917&lt;&gt;"",IFERROR(INDEX(Produtos!$C$4:$C$4996,MATCH(D8917,Produtos!$B$4:$B$4996,0)),"Produto não encontrado"),"")</f>
        <v/>
      </c>
    </row>
    <row r="8918" spans="1:5" x14ac:dyDescent="0.3">
      <c r="A8918" s="21" t="str">
        <f t="shared" si="139"/>
        <v>.</v>
      </c>
      <c r="D8918" s="44"/>
      <c r="E8918" s="22" t="str">
        <f>IF(D8918&lt;&gt;"",IFERROR(INDEX(Produtos!$C$4:$C$4996,MATCH(D8918,Produtos!$B$4:$B$4996,0)),"Produto não encontrado"),"")</f>
        <v/>
      </c>
    </row>
    <row r="8919" spans="1:5" x14ac:dyDescent="0.3">
      <c r="A8919" s="21" t="str">
        <f t="shared" si="139"/>
        <v>.</v>
      </c>
      <c r="D8919" s="44"/>
      <c r="E8919" s="22" t="str">
        <f>IF(D8919&lt;&gt;"",IFERROR(INDEX(Produtos!$C$4:$C$4996,MATCH(D8919,Produtos!$B$4:$B$4996,0)),"Produto não encontrado"),"")</f>
        <v/>
      </c>
    </row>
    <row r="8920" spans="1:5" x14ac:dyDescent="0.3">
      <c r="A8920" s="21" t="str">
        <f t="shared" si="139"/>
        <v>.</v>
      </c>
      <c r="D8920" s="44"/>
      <c r="E8920" s="22" t="str">
        <f>IF(D8920&lt;&gt;"",IFERROR(INDEX(Produtos!$C$4:$C$4996,MATCH(D8920,Produtos!$B$4:$B$4996,0)),"Produto não encontrado"),"")</f>
        <v/>
      </c>
    </row>
    <row r="8921" spans="1:5" x14ac:dyDescent="0.3">
      <c r="A8921" s="21" t="str">
        <f t="shared" si="139"/>
        <v>.</v>
      </c>
      <c r="D8921" s="44"/>
      <c r="E8921" s="22" t="str">
        <f>IF(D8921&lt;&gt;"",IFERROR(INDEX(Produtos!$C$4:$C$4996,MATCH(D8921,Produtos!$B$4:$B$4996,0)),"Produto não encontrado"),"")</f>
        <v/>
      </c>
    </row>
    <row r="8922" spans="1:5" x14ac:dyDescent="0.3">
      <c r="A8922" s="21" t="str">
        <f t="shared" si="139"/>
        <v>.</v>
      </c>
      <c r="D8922" s="44"/>
      <c r="E8922" s="22" t="str">
        <f>IF(D8922&lt;&gt;"",IFERROR(INDEX(Produtos!$C$4:$C$4996,MATCH(D8922,Produtos!$B$4:$B$4996,0)),"Produto não encontrado"),"")</f>
        <v/>
      </c>
    </row>
    <row r="8923" spans="1:5" x14ac:dyDescent="0.3">
      <c r="A8923" s="21" t="str">
        <f t="shared" si="139"/>
        <v>.</v>
      </c>
      <c r="D8923" s="44"/>
      <c r="E8923" s="22" t="str">
        <f>IF(D8923&lt;&gt;"",IFERROR(INDEX(Produtos!$C$4:$C$4996,MATCH(D8923,Produtos!$B$4:$B$4996,0)),"Produto não encontrado"),"")</f>
        <v/>
      </c>
    </row>
    <row r="8924" spans="1:5" x14ac:dyDescent="0.3">
      <c r="A8924" s="21" t="str">
        <f t="shared" si="139"/>
        <v>.</v>
      </c>
      <c r="D8924" s="44"/>
      <c r="E8924" s="22" t="str">
        <f>IF(D8924&lt;&gt;"",IFERROR(INDEX(Produtos!$C$4:$C$4996,MATCH(D8924,Produtos!$B$4:$B$4996,0)),"Produto não encontrado"),"")</f>
        <v/>
      </c>
    </row>
    <row r="8925" spans="1:5" x14ac:dyDescent="0.3">
      <c r="A8925" s="21" t="str">
        <f t="shared" si="139"/>
        <v>.</v>
      </c>
      <c r="D8925" s="44"/>
      <c r="E8925" s="22" t="str">
        <f>IF(D8925&lt;&gt;"",IFERROR(INDEX(Produtos!$C$4:$C$4996,MATCH(D8925,Produtos!$B$4:$B$4996,0)),"Produto não encontrado"),"")</f>
        <v/>
      </c>
    </row>
    <row r="8926" spans="1:5" x14ac:dyDescent="0.3">
      <c r="A8926" s="21" t="str">
        <f t="shared" si="139"/>
        <v>.</v>
      </c>
      <c r="D8926" s="44"/>
      <c r="E8926" s="22" t="str">
        <f>IF(D8926&lt;&gt;"",IFERROR(INDEX(Produtos!$C$4:$C$4996,MATCH(D8926,Produtos!$B$4:$B$4996,0)),"Produto não encontrado"),"")</f>
        <v/>
      </c>
    </row>
    <row r="8927" spans="1:5" x14ac:dyDescent="0.3">
      <c r="A8927" s="21" t="str">
        <f t="shared" si="139"/>
        <v>.</v>
      </c>
      <c r="D8927" s="44"/>
      <c r="E8927" s="22" t="str">
        <f>IF(D8927&lt;&gt;"",IFERROR(INDEX(Produtos!$C$4:$C$4996,MATCH(D8927,Produtos!$B$4:$B$4996,0)),"Produto não encontrado"),"")</f>
        <v/>
      </c>
    </row>
    <row r="8928" spans="1:5" x14ac:dyDescent="0.3">
      <c r="A8928" s="21" t="str">
        <f t="shared" si="139"/>
        <v>.</v>
      </c>
      <c r="D8928" s="44"/>
      <c r="E8928" s="22" t="str">
        <f>IF(D8928&lt;&gt;"",IFERROR(INDEX(Produtos!$C$4:$C$4996,MATCH(D8928,Produtos!$B$4:$B$4996,0)),"Produto não encontrado"),"")</f>
        <v/>
      </c>
    </row>
    <row r="8929" spans="1:5" x14ac:dyDescent="0.3">
      <c r="A8929" s="21" t="str">
        <f t="shared" si="139"/>
        <v>.</v>
      </c>
      <c r="D8929" s="44"/>
      <c r="E8929" s="22" t="str">
        <f>IF(D8929&lt;&gt;"",IFERROR(INDEX(Produtos!$C$4:$C$4996,MATCH(D8929,Produtos!$B$4:$B$4996,0)),"Produto não encontrado"),"")</f>
        <v/>
      </c>
    </row>
    <row r="8930" spans="1:5" x14ac:dyDescent="0.3">
      <c r="A8930" s="21" t="str">
        <f t="shared" si="139"/>
        <v>.</v>
      </c>
      <c r="D8930" s="44"/>
      <c r="E8930" s="22" t="str">
        <f>IF(D8930&lt;&gt;"",IFERROR(INDEX(Produtos!$C$4:$C$4996,MATCH(D8930,Produtos!$B$4:$B$4996,0)),"Produto não encontrado"),"")</f>
        <v/>
      </c>
    </row>
    <row r="8931" spans="1:5" x14ac:dyDescent="0.3">
      <c r="A8931" s="21" t="str">
        <f t="shared" si="139"/>
        <v>.</v>
      </c>
      <c r="D8931" s="44"/>
      <c r="E8931" s="22" t="str">
        <f>IF(D8931&lt;&gt;"",IFERROR(INDEX(Produtos!$C$4:$C$4996,MATCH(D8931,Produtos!$B$4:$B$4996,0)),"Produto não encontrado"),"")</f>
        <v/>
      </c>
    </row>
    <row r="8932" spans="1:5" x14ac:dyDescent="0.3">
      <c r="A8932" s="21" t="str">
        <f t="shared" si="139"/>
        <v>.</v>
      </c>
      <c r="D8932" s="44"/>
      <c r="E8932" s="22" t="str">
        <f>IF(D8932&lt;&gt;"",IFERROR(INDEX(Produtos!$C$4:$C$4996,MATCH(D8932,Produtos!$B$4:$B$4996,0)),"Produto não encontrado"),"")</f>
        <v/>
      </c>
    </row>
    <row r="8933" spans="1:5" x14ac:dyDescent="0.3">
      <c r="A8933" s="21" t="str">
        <f t="shared" si="139"/>
        <v>.</v>
      </c>
      <c r="D8933" s="44"/>
      <c r="E8933" s="22" t="str">
        <f>IF(D8933&lt;&gt;"",IFERROR(INDEX(Produtos!$C$4:$C$4996,MATCH(D8933,Produtos!$B$4:$B$4996,0)),"Produto não encontrado"),"")</f>
        <v/>
      </c>
    </row>
    <row r="8934" spans="1:5" x14ac:dyDescent="0.3">
      <c r="A8934" s="21" t="str">
        <f t="shared" si="139"/>
        <v>.</v>
      </c>
      <c r="D8934" s="44"/>
      <c r="E8934" s="22" t="str">
        <f>IF(D8934&lt;&gt;"",IFERROR(INDEX(Produtos!$C$4:$C$4996,MATCH(D8934,Produtos!$B$4:$B$4996,0)),"Produto não encontrado"),"")</f>
        <v/>
      </c>
    </row>
    <row r="8935" spans="1:5" x14ac:dyDescent="0.3">
      <c r="A8935" s="21" t="str">
        <f t="shared" si="139"/>
        <v>.</v>
      </c>
      <c r="D8935" s="44"/>
      <c r="E8935" s="22" t="str">
        <f>IF(D8935&lt;&gt;"",IFERROR(INDEX(Produtos!$C$4:$C$4996,MATCH(D8935,Produtos!$B$4:$B$4996,0)),"Produto não encontrado"),"")</f>
        <v/>
      </c>
    </row>
    <row r="8936" spans="1:5" x14ac:dyDescent="0.3">
      <c r="A8936" s="21" t="str">
        <f t="shared" si="139"/>
        <v>.</v>
      </c>
      <c r="D8936" s="44"/>
      <c r="E8936" s="22" t="str">
        <f>IF(D8936&lt;&gt;"",IFERROR(INDEX(Produtos!$C$4:$C$4996,MATCH(D8936,Produtos!$B$4:$B$4996,0)),"Produto não encontrado"),"")</f>
        <v/>
      </c>
    </row>
    <row r="8937" spans="1:5" x14ac:dyDescent="0.3">
      <c r="A8937" s="21" t="str">
        <f t="shared" si="139"/>
        <v>.</v>
      </c>
      <c r="D8937" s="44"/>
      <c r="E8937" s="22" t="str">
        <f>IF(D8937&lt;&gt;"",IFERROR(INDEX(Produtos!$C$4:$C$4996,MATCH(D8937,Produtos!$B$4:$B$4996,0)),"Produto não encontrado"),"")</f>
        <v/>
      </c>
    </row>
    <row r="8938" spans="1:5" x14ac:dyDescent="0.3">
      <c r="A8938" s="21" t="str">
        <f t="shared" si="139"/>
        <v>.</v>
      </c>
      <c r="D8938" s="44"/>
      <c r="E8938" s="22" t="str">
        <f>IF(D8938&lt;&gt;"",IFERROR(INDEX(Produtos!$C$4:$C$4996,MATCH(D8938,Produtos!$B$4:$B$4996,0)),"Produto não encontrado"),"")</f>
        <v/>
      </c>
    </row>
    <row r="8939" spans="1:5" x14ac:dyDescent="0.3">
      <c r="A8939" s="21" t="str">
        <f t="shared" si="139"/>
        <v>.</v>
      </c>
      <c r="D8939" s="44"/>
      <c r="E8939" s="22" t="str">
        <f>IF(D8939&lt;&gt;"",IFERROR(INDEX(Produtos!$C$4:$C$4996,MATCH(D8939,Produtos!$B$4:$B$4996,0)),"Produto não encontrado"),"")</f>
        <v/>
      </c>
    </row>
    <row r="8940" spans="1:5" x14ac:dyDescent="0.3">
      <c r="A8940" s="21" t="str">
        <f t="shared" si="139"/>
        <v>.</v>
      </c>
      <c r="D8940" s="44"/>
      <c r="E8940" s="22" t="str">
        <f>IF(D8940&lt;&gt;"",IFERROR(INDEX(Produtos!$C$4:$C$4996,MATCH(D8940,Produtos!$B$4:$B$4996,0)),"Produto não encontrado"),"")</f>
        <v/>
      </c>
    </row>
    <row r="8941" spans="1:5" x14ac:dyDescent="0.3">
      <c r="A8941" s="21" t="str">
        <f t="shared" si="139"/>
        <v>.</v>
      </c>
      <c r="D8941" s="44"/>
      <c r="E8941" s="22" t="str">
        <f>IF(D8941&lt;&gt;"",IFERROR(INDEX(Produtos!$C$4:$C$4996,MATCH(D8941,Produtos!$B$4:$B$4996,0)),"Produto não encontrado"),"")</f>
        <v/>
      </c>
    </row>
    <row r="8942" spans="1:5" x14ac:dyDescent="0.3">
      <c r="A8942" s="21" t="str">
        <f t="shared" si="139"/>
        <v>.</v>
      </c>
      <c r="D8942" s="44"/>
      <c r="E8942" s="22" t="str">
        <f>IF(D8942&lt;&gt;"",IFERROR(INDEX(Produtos!$C$4:$C$4996,MATCH(D8942,Produtos!$B$4:$B$4996,0)),"Produto não encontrado"),"")</f>
        <v/>
      </c>
    </row>
    <row r="8943" spans="1:5" x14ac:dyDescent="0.3">
      <c r="A8943" s="21" t="str">
        <f t="shared" si="139"/>
        <v>.</v>
      </c>
      <c r="D8943" s="44"/>
      <c r="E8943" s="22" t="str">
        <f>IF(D8943&lt;&gt;"",IFERROR(INDEX(Produtos!$C$4:$C$4996,MATCH(D8943,Produtos!$B$4:$B$4996,0)),"Produto não encontrado"),"")</f>
        <v/>
      </c>
    </row>
    <row r="8944" spans="1:5" x14ac:dyDescent="0.3">
      <c r="A8944" s="21" t="str">
        <f t="shared" si="139"/>
        <v>.</v>
      </c>
      <c r="D8944" s="44"/>
      <c r="E8944" s="22" t="str">
        <f>IF(D8944&lt;&gt;"",IFERROR(INDEX(Produtos!$C$4:$C$4996,MATCH(D8944,Produtos!$B$4:$B$4996,0)),"Produto não encontrado"),"")</f>
        <v/>
      </c>
    </row>
    <row r="8945" spans="1:5" x14ac:dyDescent="0.3">
      <c r="A8945" s="21" t="str">
        <f t="shared" si="139"/>
        <v>.</v>
      </c>
      <c r="D8945" s="44"/>
      <c r="E8945" s="22" t="str">
        <f>IF(D8945&lt;&gt;"",IFERROR(INDEX(Produtos!$C$4:$C$4996,MATCH(D8945,Produtos!$B$4:$B$4996,0)),"Produto não encontrado"),"")</f>
        <v/>
      </c>
    </row>
    <row r="8946" spans="1:5" x14ac:dyDescent="0.3">
      <c r="A8946" s="21" t="str">
        <f t="shared" si="139"/>
        <v>.</v>
      </c>
      <c r="D8946" s="44"/>
      <c r="E8946" s="22" t="str">
        <f>IF(D8946&lt;&gt;"",IFERROR(INDEX(Produtos!$C$4:$C$4996,MATCH(D8946,Produtos!$B$4:$B$4996,0)),"Produto não encontrado"),"")</f>
        <v/>
      </c>
    </row>
    <row r="8947" spans="1:5" x14ac:dyDescent="0.3">
      <c r="A8947" s="21" t="str">
        <f t="shared" si="139"/>
        <v>.</v>
      </c>
      <c r="D8947" s="44"/>
      <c r="E8947" s="22" t="str">
        <f>IF(D8947&lt;&gt;"",IFERROR(INDEX(Produtos!$C$4:$C$4996,MATCH(D8947,Produtos!$B$4:$B$4996,0)),"Produto não encontrado"),"")</f>
        <v/>
      </c>
    </row>
    <row r="8948" spans="1:5" x14ac:dyDescent="0.3">
      <c r="A8948" s="21" t="str">
        <f t="shared" si="139"/>
        <v>.</v>
      </c>
      <c r="D8948" s="44"/>
      <c r="E8948" s="22" t="str">
        <f>IF(D8948&lt;&gt;"",IFERROR(INDEX(Produtos!$C$4:$C$4996,MATCH(D8948,Produtos!$B$4:$B$4996,0)),"Produto não encontrado"),"")</f>
        <v/>
      </c>
    </row>
    <row r="8949" spans="1:5" x14ac:dyDescent="0.3">
      <c r="A8949" s="21" t="str">
        <f t="shared" si="139"/>
        <v>.</v>
      </c>
      <c r="D8949" s="44"/>
      <c r="E8949" s="22" t="str">
        <f>IF(D8949&lt;&gt;"",IFERROR(INDEX(Produtos!$C$4:$C$4996,MATCH(D8949,Produtos!$B$4:$B$4996,0)),"Produto não encontrado"),"")</f>
        <v/>
      </c>
    </row>
    <row r="8950" spans="1:5" x14ac:dyDescent="0.3">
      <c r="A8950" s="21" t="str">
        <f t="shared" si="139"/>
        <v>.</v>
      </c>
      <c r="D8950" s="44"/>
      <c r="E8950" s="22" t="str">
        <f>IF(D8950&lt;&gt;"",IFERROR(INDEX(Produtos!$C$4:$C$4996,MATCH(D8950,Produtos!$B$4:$B$4996,0)),"Produto não encontrado"),"")</f>
        <v/>
      </c>
    </row>
    <row r="8951" spans="1:5" x14ac:dyDescent="0.3">
      <c r="A8951" s="21" t="str">
        <f t="shared" si="139"/>
        <v>.</v>
      </c>
      <c r="D8951" s="44"/>
      <c r="E8951" s="22" t="str">
        <f>IF(D8951&lt;&gt;"",IFERROR(INDEX(Produtos!$C$4:$C$4996,MATCH(D8951,Produtos!$B$4:$B$4996,0)),"Produto não encontrado"),"")</f>
        <v/>
      </c>
    </row>
    <row r="8952" spans="1:5" x14ac:dyDescent="0.3">
      <c r="A8952" s="21" t="str">
        <f t="shared" si="139"/>
        <v>.</v>
      </c>
      <c r="D8952" s="44"/>
      <c r="E8952" s="22" t="str">
        <f>IF(D8952&lt;&gt;"",IFERROR(INDEX(Produtos!$C$4:$C$4996,MATCH(D8952,Produtos!$B$4:$B$4996,0)),"Produto não encontrado"),"")</f>
        <v/>
      </c>
    </row>
    <row r="8953" spans="1:5" x14ac:dyDescent="0.3">
      <c r="A8953" s="21" t="str">
        <f t="shared" si="139"/>
        <v>.</v>
      </c>
      <c r="D8953" s="44"/>
      <c r="E8953" s="22" t="str">
        <f>IF(D8953&lt;&gt;"",IFERROR(INDEX(Produtos!$C$4:$C$4996,MATCH(D8953,Produtos!$B$4:$B$4996,0)),"Produto não encontrado"),"")</f>
        <v/>
      </c>
    </row>
    <row r="8954" spans="1:5" x14ac:dyDescent="0.3">
      <c r="A8954" s="21" t="str">
        <f t="shared" si="139"/>
        <v>.</v>
      </c>
      <c r="D8954" s="44"/>
      <c r="E8954" s="22" t="str">
        <f>IF(D8954&lt;&gt;"",IFERROR(INDEX(Produtos!$C$4:$C$4996,MATCH(D8954,Produtos!$B$4:$B$4996,0)),"Produto não encontrado"),"")</f>
        <v/>
      </c>
    </row>
    <row r="8955" spans="1:5" x14ac:dyDescent="0.3">
      <c r="A8955" s="21" t="str">
        <f t="shared" si="139"/>
        <v>.</v>
      </c>
      <c r="D8955" s="44"/>
      <c r="E8955" s="22" t="str">
        <f>IF(D8955&lt;&gt;"",IFERROR(INDEX(Produtos!$C$4:$C$4996,MATCH(D8955,Produtos!$B$4:$B$4996,0)),"Produto não encontrado"),"")</f>
        <v/>
      </c>
    </row>
    <row r="8956" spans="1:5" x14ac:dyDescent="0.3">
      <c r="A8956" s="21" t="str">
        <f t="shared" si="139"/>
        <v>.</v>
      </c>
      <c r="D8956" s="44"/>
      <c r="E8956" s="22" t="str">
        <f>IF(D8956&lt;&gt;"",IFERROR(INDEX(Produtos!$C$4:$C$4996,MATCH(D8956,Produtos!$B$4:$B$4996,0)),"Produto não encontrado"),"")</f>
        <v/>
      </c>
    </row>
    <row r="8957" spans="1:5" x14ac:dyDescent="0.3">
      <c r="A8957" s="21" t="str">
        <f t="shared" si="139"/>
        <v>.</v>
      </c>
      <c r="D8957" s="44"/>
      <c r="E8957" s="22" t="str">
        <f>IF(D8957&lt;&gt;"",IFERROR(INDEX(Produtos!$C$4:$C$4996,MATCH(D8957,Produtos!$B$4:$B$4996,0)),"Produto não encontrado"),"")</f>
        <v/>
      </c>
    </row>
    <row r="8958" spans="1:5" x14ac:dyDescent="0.3">
      <c r="A8958" s="21" t="str">
        <f t="shared" si="139"/>
        <v>.</v>
      </c>
      <c r="D8958" s="44"/>
      <c r="E8958" s="22" t="str">
        <f>IF(D8958&lt;&gt;"",IFERROR(INDEX(Produtos!$C$4:$C$4996,MATCH(D8958,Produtos!$B$4:$B$4996,0)),"Produto não encontrado"),"")</f>
        <v/>
      </c>
    </row>
    <row r="8959" spans="1:5" x14ac:dyDescent="0.3">
      <c r="A8959" s="21" t="str">
        <f t="shared" si="139"/>
        <v>.</v>
      </c>
      <c r="D8959" s="44"/>
      <c r="E8959" s="22" t="str">
        <f>IF(D8959&lt;&gt;"",IFERROR(INDEX(Produtos!$C$4:$C$4996,MATCH(D8959,Produtos!$B$4:$B$4996,0)),"Produto não encontrado"),"")</f>
        <v/>
      </c>
    </row>
    <row r="8960" spans="1:5" x14ac:dyDescent="0.3">
      <c r="A8960" s="21" t="str">
        <f t="shared" ref="A8960:A9023" si="140">IF(C8960="Entrada",2,IF(C8960="Saída",1,"."))</f>
        <v>.</v>
      </c>
      <c r="D8960" s="44"/>
      <c r="E8960" s="22" t="str">
        <f>IF(D8960&lt;&gt;"",IFERROR(INDEX(Produtos!$C$4:$C$4996,MATCH(D8960,Produtos!$B$4:$B$4996,0)),"Produto não encontrado"),"")</f>
        <v/>
      </c>
    </row>
    <row r="8961" spans="1:5" x14ac:dyDescent="0.3">
      <c r="A8961" s="21" t="str">
        <f t="shared" si="140"/>
        <v>.</v>
      </c>
      <c r="D8961" s="44"/>
      <c r="E8961" s="22" t="str">
        <f>IF(D8961&lt;&gt;"",IFERROR(INDEX(Produtos!$C$4:$C$4996,MATCH(D8961,Produtos!$B$4:$B$4996,0)),"Produto não encontrado"),"")</f>
        <v/>
      </c>
    </row>
    <row r="8962" spans="1:5" x14ac:dyDescent="0.3">
      <c r="A8962" s="21" t="str">
        <f t="shared" si="140"/>
        <v>.</v>
      </c>
      <c r="D8962" s="44"/>
      <c r="E8962" s="22" t="str">
        <f>IF(D8962&lt;&gt;"",IFERROR(INDEX(Produtos!$C$4:$C$4996,MATCH(D8962,Produtos!$B$4:$B$4996,0)),"Produto não encontrado"),"")</f>
        <v/>
      </c>
    </row>
    <row r="8963" spans="1:5" x14ac:dyDescent="0.3">
      <c r="A8963" s="21" t="str">
        <f t="shared" si="140"/>
        <v>.</v>
      </c>
      <c r="D8963" s="44"/>
      <c r="E8963" s="22" t="str">
        <f>IF(D8963&lt;&gt;"",IFERROR(INDEX(Produtos!$C$4:$C$4996,MATCH(D8963,Produtos!$B$4:$B$4996,0)),"Produto não encontrado"),"")</f>
        <v/>
      </c>
    </row>
    <row r="8964" spans="1:5" x14ac:dyDescent="0.3">
      <c r="A8964" s="21" t="str">
        <f t="shared" si="140"/>
        <v>.</v>
      </c>
      <c r="D8964" s="44"/>
      <c r="E8964" s="22" t="str">
        <f>IF(D8964&lt;&gt;"",IFERROR(INDEX(Produtos!$C$4:$C$4996,MATCH(D8964,Produtos!$B$4:$B$4996,0)),"Produto não encontrado"),"")</f>
        <v/>
      </c>
    </row>
    <row r="8965" spans="1:5" x14ac:dyDescent="0.3">
      <c r="A8965" s="21" t="str">
        <f t="shared" si="140"/>
        <v>.</v>
      </c>
      <c r="D8965" s="44"/>
      <c r="E8965" s="22" t="str">
        <f>IF(D8965&lt;&gt;"",IFERROR(INDEX(Produtos!$C$4:$C$4996,MATCH(D8965,Produtos!$B$4:$B$4996,0)),"Produto não encontrado"),"")</f>
        <v/>
      </c>
    </row>
    <row r="8966" spans="1:5" x14ac:dyDescent="0.3">
      <c r="A8966" s="21" t="str">
        <f t="shared" si="140"/>
        <v>.</v>
      </c>
      <c r="D8966" s="44"/>
      <c r="E8966" s="22" t="str">
        <f>IF(D8966&lt;&gt;"",IFERROR(INDEX(Produtos!$C$4:$C$4996,MATCH(D8966,Produtos!$B$4:$B$4996,0)),"Produto não encontrado"),"")</f>
        <v/>
      </c>
    </row>
    <row r="8967" spans="1:5" x14ac:dyDescent="0.3">
      <c r="A8967" s="21" t="str">
        <f t="shared" si="140"/>
        <v>.</v>
      </c>
      <c r="D8967" s="44"/>
      <c r="E8967" s="22" t="str">
        <f>IF(D8967&lt;&gt;"",IFERROR(INDEX(Produtos!$C$4:$C$4996,MATCH(D8967,Produtos!$B$4:$B$4996,0)),"Produto não encontrado"),"")</f>
        <v/>
      </c>
    </row>
    <row r="8968" spans="1:5" x14ac:dyDescent="0.3">
      <c r="A8968" s="21" t="str">
        <f t="shared" si="140"/>
        <v>.</v>
      </c>
      <c r="D8968" s="44"/>
      <c r="E8968" s="22" t="str">
        <f>IF(D8968&lt;&gt;"",IFERROR(INDEX(Produtos!$C$4:$C$4996,MATCH(D8968,Produtos!$B$4:$B$4996,0)),"Produto não encontrado"),"")</f>
        <v/>
      </c>
    </row>
    <row r="8969" spans="1:5" x14ac:dyDescent="0.3">
      <c r="A8969" s="21" t="str">
        <f t="shared" si="140"/>
        <v>.</v>
      </c>
      <c r="D8969" s="44"/>
      <c r="E8969" s="22" t="str">
        <f>IF(D8969&lt;&gt;"",IFERROR(INDEX(Produtos!$C$4:$C$4996,MATCH(D8969,Produtos!$B$4:$B$4996,0)),"Produto não encontrado"),"")</f>
        <v/>
      </c>
    </row>
    <row r="8970" spans="1:5" x14ac:dyDescent="0.3">
      <c r="A8970" s="21" t="str">
        <f t="shared" si="140"/>
        <v>.</v>
      </c>
      <c r="D8970" s="44"/>
      <c r="E8970" s="22" t="str">
        <f>IF(D8970&lt;&gt;"",IFERROR(INDEX(Produtos!$C$4:$C$4996,MATCH(D8970,Produtos!$B$4:$B$4996,0)),"Produto não encontrado"),"")</f>
        <v/>
      </c>
    </row>
    <row r="8971" spans="1:5" x14ac:dyDescent="0.3">
      <c r="A8971" s="21" t="str">
        <f t="shared" si="140"/>
        <v>.</v>
      </c>
      <c r="D8971" s="44"/>
      <c r="E8971" s="22" t="str">
        <f>IF(D8971&lt;&gt;"",IFERROR(INDEX(Produtos!$C$4:$C$4996,MATCH(D8971,Produtos!$B$4:$B$4996,0)),"Produto não encontrado"),"")</f>
        <v/>
      </c>
    </row>
    <row r="8972" spans="1:5" x14ac:dyDescent="0.3">
      <c r="A8972" s="21" t="str">
        <f t="shared" si="140"/>
        <v>.</v>
      </c>
      <c r="D8972" s="44"/>
      <c r="E8972" s="22" t="str">
        <f>IF(D8972&lt;&gt;"",IFERROR(INDEX(Produtos!$C$4:$C$4996,MATCH(D8972,Produtos!$B$4:$B$4996,0)),"Produto não encontrado"),"")</f>
        <v/>
      </c>
    </row>
    <row r="8973" spans="1:5" x14ac:dyDescent="0.3">
      <c r="A8973" s="21" t="str">
        <f t="shared" si="140"/>
        <v>.</v>
      </c>
      <c r="D8973" s="44"/>
      <c r="E8973" s="22" t="str">
        <f>IF(D8973&lt;&gt;"",IFERROR(INDEX(Produtos!$C$4:$C$4996,MATCH(D8973,Produtos!$B$4:$B$4996,0)),"Produto não encontrado"),"")</f>
        <v/>
      </c>
    </row>
    <row r="8974" spans="1:5" x14ac:dyDescent="0.3">
      <c r="A8974" s="21" t="str">
        <f t="shared" si="140"/>
        <v>.</v>
      </c>
      <c r="D8974" s="44"/>
      <c r="E8974" s="22" t="str">
        <f>IF(D8974&lt;&gt;"",IFERROR(INDEX(Produtos!$C$4:$C$4996,MATCH(D8974,Produtos!$B$4:$B$4996,0)),"Produto não encontrado"),"")</f>
        <v/>
      </c>
    </row>
    <row r="8975" spans="1:5" x14ac:dyDescent="0.3">
      <c r="A8975" s="21" t="str">
        <f t="shared" si="140"/>
        <v>.</v>
      </c>
      <c r="D8975" s="44"/>
      <c r="E8975" s="22" t="str">
        <f>IF(D8975&lt;&gt;"",IFERROR(INDEX(Produtos!$C$4:$C$4996,MATCH(D8975,Produtos!$B$4:$B$4996,0)),"Produto não encontrado"),"")</f>
        <v/>
      </c>
    </row>
    <row r="8976" spans="1:5" x14ac:dyDescent="0.3">
      <c r="A8976" s="21" t="str">
        <f t="shared" si="140"/>
        <v>.</v>
      </c>
      <c r="D8976" s="44"/>
      <c r="E8976" s="22" t="str">
        <f>IF(D8976&lt;&gt;"",IFERROR(INDEX(Produtos!$C$4:$C$4996,MATCH(D8976,Produtos!$B$4:$B$4996,0)),"Produto não encontrado"),"")</f>
        <v/>
      </c>
    </row>
    <row r="8977" spans="1:5" x14ac:dyDescent="0.3">
      <c r="A8977" s="21" t="str">
        <f t="shared" si="140"/>
        <v>.</v>
      </c>
      <c r="D8977" s="44"/>
      <c r="E8977" s="22" t="str">
        <f>IF(D8977&lt;&gt;"",IFERROR(INDEX(Produtos!$C$4:$C$4996,MATCH(D8977,Produtos!$B$4:$B$4996,0)),"Produto não encontrado"),"")</f>
        <v/>
      </c>
    </row>
    <row r="8978" spans="1:5" x14ac:dyDescent="0.3">
      <c r="A8978" s="21" t="str">
        <f t="shared" si="140"/>
        <v>.</v>
      </c>
      <c r="D8978" s="44"/>
      <c r="E8978" s="22" t="str">
        <f>IF(D8978&lt;&gt;"",IFERROR(INDEX(Produtos!$C$4:$C$4996,MATCH(D8978,Produtos!$B$4:$B$4996,0)),"Produto não encontrado"),"")</f>
        <v/>
      </c>
    </row>
    <row r="8979" spans="1:5" x14ac:dyDescent="0.3">
      <c r="A8979" s="21" t="str">
        <f t="shared" si="140"/>
        <v>.</v>
      </c>
      <c r="D8979" s="44"/>
      <c r="E8979" s="22" t="str">
        <f>IF(D8979&lt;&gt;"",IFERROR(INDEX(Produtos!$C$4:$C$4996,MATCH(D8979,Produtos!$B$4:$B$4996,0)),"Produto não encontrado"),"")</f>
        <v/>
      </c>
    </row>
    <row r="8980" spans="1:5" x14ac:dyDescent="0.3">
      <c r="A8980" s="21" t="str">
        <f t="shared" si="140"/>
        <v>.</v>
      </c>
      <c r="D8980" s="44"/>
      <c r="E8980" s="22" t="str">
        <f>IF(D8980&lt;&gt;"",IFERROR(INDEX(Produtos!$C$4:$C$4996,MATCH(D8980,Produtos!$B$4:$B$4996,0)),"Produto não encontrado"),"")</f>
        <v/>
      </c>
    </row>
    <row r="8981" spans="1:5" x14ac:dyDescent="0.3">
      <c r="A8981" s="21" t="str">
        <f t="shared" si="140"/>
        <v>.</v>
      </c>
      <c r="D8981" s="44"/>
      <c r="E8981" s="22" t="str">
        <f>IF(D8981&lt;&gt;"",IFERROR(INDEX(Produtos!$C$4:$C$4996,MATCH(D8981,Produtos!$B$4:$B$4996,0)),"Produto não encontrado"),"")</f>
        <v/>
      </c>
    </row>
    <row r="8982" spans="1:5" x14ac:dyDescent="0.3">
      <c r="A8982" s="21" t="str">
        <f t="shared" si="140"/>
        <v>.</v>
      </c>
      <c r="D8982" s="44"/>
      <c r="E8982" s="22" t="str">
        <f>IF(D8982&lt;&gt;"",IFERROR(INDEX(Produtos!$C$4:$C$4996,MATCH(D8982,Produtos!$B$4:$B$4996,0)),"Produto não encontrado"),"")</f>
        <v/>
      </c>
    </row>
    <row r="8983" spans="1:5" x14ac:dyDescent="0.3">
      <c r="A8983" s="21" t="str">
        <f t="shared" si="140"/>
        <v>.</v>
      </c>
      <c r="D8983" s="44"/>
      <c r="E8983" s="22" t="str">
        <f>IF(D8983&lt;&gt;"",IFERROR(INDEX(Produtos!$C$4:$C$4996,MATCH(D8983,Produtos!$B$4:$B$4996,0)),"Produto não encontrado"),"")</f>
        <v/>
      </c>
    </row>
    <row r="8984" spans="1:5" x14ac:dyDescent="0.3">
      <c r="A8984" s="21" t="str">
        <f t="shared" si="140"/>
        <v>.</v>
      </c>
      <c r="D8984" s="44"/>
      <c r="E8984" s="22" t="str">
        <f>IF(D8984&lt;&gt;"",IFERROR(INDEX(Produtos!$C$4:$C$4996,MATCH(D8984,Produtos!$B$4:$B$4996,0)),"Produto não encontrado"),"")</f>
        <v/>
      </c>
    </row>
    <row r="8985" spans="1:5" x14ac:dyDescent="0.3">
      <c r="A8985" s="21" t="str">
        <f t="shared" si="140"/>
        <v>.</v>
      </c>
      <c r="D8985" s="44"/>
      <c r="E8985" s="22" t="str">
        <f>IF(D8985&lt;&gt;"",IFERROR(INDEX(Produtos!$C$4:$C$4996,MATCH(D8985,Produtos!$B$4:$B$4996,0)),"Produto não encontrado"),"")</f>
        <v/>
      </c>
    </row>
    <row r="8986" spans="1:5" x14ac:dyDescent="0.3">
      <c r="A8986" s="21" t="str">
        <f t="shared" si="140"/>
        <v>.</v>
      </c>
      <c r="D8986" s="44"/>
      <c r="E8986" s="22" t="str">
        <f>IF(D8986&lt;&gt;"",IFERROR(INDEX(Produtos!$C$4:$C$4996,MATCH(D8986,Produtos!$B$4:$B$4996,0)),"Produto não encontrado"),"")</f>
        <v/>
      </c>
    </row>
    <row r="8987" spans="1:5" x14ac:dyDescent="0.3">
      <c r="A8987" s="21" t="str">
        <f t="shared" si="140"/>
        <v>.</v>
      </c>
      <c r="D8987" s="44"/>
      <c r="E8987" s="22" t="str">
        <f>IF(D8987&lt;&gt;"",IFERROR(INDEX(Produtos!$C$4:$C$4996,MATCH(D8987,Produtos!$B$4:$B$4996,0)),"Produto não encontrado"),"")</f>
        <v/>
      </c>
    </row>
    <row r="8988" spans="1:5" x14ac:dyDescent="0.3">
      <c r="A8988" s="21" t="str">
        <f t="shared" si="140"/>
        <v>.</v>
      </c>
      <c r="D8988" s="44"/>
      <c r="E8988" s="22" t="str">
        <f>IF(D8988&lt;&gt;"",IFERROR(INDEX(Produtos!$C$4:$C$4996,MATCH(D8988,Produtos!$B$4:$B$4996,0)),"Produto não encontrado"),"")</f>
        <v/>
      </c>
    </row>
    <row r="8989" spans="1:5" x14ac:dyDescent="0.3">
      <c r="A8989" s="21" t="str">
        <f t="shared" si="140"/>
        <v>.</v>
      </c>
      <c r="D8989" s="44"/>
      <c r="E8989" s="22" t="str">
        <f>IF(D8989&lt;&gt;"",IFERROR(INDEX(Produtos!$C$4:$C$4996,MATCH(D8989,Produtos!$B$4:$B$4996,0)),"Produto não encontrado"),"")</f>
        <v/>
      </c>
    </row>
    <row r="8990" spans="1:5" x14ac:dyDescent="0.3">
      <c r="A8990" s="21" t="str">
        <f t="shared" si="140"/>
        <v>.</v>
      </c>
      <c r="D8990" s="44"/>
      <c r="E8990" s="22" t="str">
        <f>IF(D8990&lt;&gt;"",IFERROR(INDEX(Produtos!$C$4:$C$4996,MATCH(D8990,Produtos!$B$4:$B$4996,0)),"Produto não encontrado"),"")</f>
        <v/>
      </c>
    </row>
    <row r="8991" spans="1:5" x14ac:dyDescent="0.3">
      <c r="A8991" s="21" t="str">
        <f t="shared" si="140"/>
        <v>.</v>
      </c>
      <c r="D8991" s="44"/>
      <c r="E8991" s="22" t="str">
        <f>IF(D8991&lt;&gt;"",IFERROR(INDEX(Produtos!$C$4:$C$4996,MATCH(D8991,Produtos!$B$4:$B$4996,0)),"Produto não encontrado"),"")</f>
        <v/>
      </c>
    </row>
    <row r="8992" spans="1:5" x14ac:dyDescent="0.3">
      <c r="A8992" s="21" t="str">
        <f t="shared" si="140"/>
        <v>.</v>
      </c>
      <c r="D8992" s="44"/>
      <c r="E8992" s="22" t="str">
        <f>IF(D8992&lt;&gt;"",IFERROR(INDEX(Produtos!$C$4:$C$4996,MATCH(D8992,Produtos!$B$4:$B$4996,0)),"Produto não encontrado"),"")</f>
        <v/>
      </c>
    </row>
    <row r="8993" spans="1:5" x14ac:dyDescent="0.3">
      <c r="A8993" s="21" t="str">
        <f t="shared" si="140"/>
        <v>.</v>
      </c>
      <c r="D8993" s="44"/>
      <c r="E8993" s="22" t="str">
        <f>IF(D8993&lt;&gt;"",IFERROR(INDEX(Produtos!$C$4:$C$4996,MATCH(D8993,Produtos!$B$4:$B$4996,0)),"Produto não encontrado"),"")</f>
        <v/>
      </c>
    </row>
    <row r="8994" spans="1:5" x14ac:dyDescent="0.3">
      <c r="A8994" s="21" t="str">
        <f t="shared" si="140"/>
        <v>.</v>
      </c>
      <c r="D8994" s="44"/>
      <c r="E8994" s="22" t="str">
        <f>IF(D8994&lt;&gt;"",IFERROR(INDEX(Produtos!$C$4:$C$4996,MATCH(D8994,Produtos!$B$4:$B$4996,0)),"Produto não encontrado"),"")</f>
        <v/>
      </c>
    </row>
    <row r="8995" spans="1:5" x14ac:dyDescent="0.3">
      <c r="A8995" s="21" t="str">
        <f t="shared" si="140"/>
        <v>.</v>
      </c>
      <c r="D8995" s="44"/>
      <c r="E8995" s="22" t="str">
        <f>IF(D8995&lt;&gt;"",IFERROR(INDEX(Produtos!$C$4:$C$4996,MATCH(D8995,Produtos!$B$4:$B$4996,0)),"Produto não encontrado"),"")</f>
        <v/>
      </c>
    </row>
    <row r="8996" spans="1:5" x14ac:dyDescent="0.3">
      <c r="A8996" s="21" t="str">
        <f t="shared" si="140"/>
        <v>.</v>
      </c>
      <c r="D8996" s="44"/>
      <c r="E8996" s="22" t="str">
        <f>IF(D8996&lt;&gt;"",IFERROR(INDEX(Produtos!$C$4:$C$4996,MATCH(D8996,Produtos!$B$4:$B$4996,0)),"Produto não encontrado"),"")</f>
        <v/>
      </c>
    </row>
    <row r="8997" spans="1:5" x14ac:dyDescent="0.3">
      <c r="A8997" s="21" t="str">
        <f t="shared" si="140"/>
        <v>.</v>
      </c>
      <c r="D8997" s="44"/>
      <c r="E8997" s="22" t="str">
        <f>IF(D8997&lt;&gt;"",IFERROR(INDEX(Produtos!$C$4:$C$4996,MATCH(D8997,Produtos!$B$4:$B$4996,0)),"Produto não encontrado"),"")</f>
        <v/>
      </c>
    </row>
    <row r="8998" spans="1:5" x14ac:dyDescent="0.3">
      <c r="A8998" s="21" t="str">
        <f t="shared" si="140"/>
        <v>.</v>
      </c>
      <c r="D8998" s="44"/>
      <c r="E8998" s="22" t="str">
        <f>IF(D8998&lt;&gt;"",IFERROR(INDEX(Produtos!$C$4:$C$4996,MATCH(D8998,Produtos!$B$4:$B$4996,0)),"Produto não encontrado"),"")</f>
        <v/>
      </c>
    </row>
    <row r="8999" spans="1:5" x14ac:dyDescent="0.3">
      <c r="A8999" s="21" t="str">
        <f t="shared" si="140"/>
        <v>.</v>
      </c>
      <c r="D8999" s="44"/>
      <c r="E8999" s="22" t="str">
        <f>IF(D8999&lt;&gt;"",IFERROR(INDEX(Produtos!$C$4:$C$4996,MATCH(D8999,Produtos!$B$4:$B$4996,0)),"Produto não encontrado"),"")</f>
        <v/>
      </c>
    </row>
    <row r="9000" spans="1:5" x14ac:dyDescent="0.3">
      <c r="A9000" s="21" t="str">
        <f t="shared" si="140"/>
        <v>.</v>
      </c>
      <c r="D9000" s="44"/>
      <c r="E9000" s="22" t="str">
        <f>IF(D9000&lt;&gt;"",IFERROR(INDEX(Produtos!$C$4:$C$4996,MATCH(D9000,Produtos!$B$4:$B$4996,0)),"Produto não encontrado"),"")</f>
        <v/>
      </c>
    </row>
    <row r="9001" spans="1:5" x14ac:dyDescent="0.3">
      <c r="A9001" s="21" t="str">
        <f t="shared" si="140"/>
        <v>.</v>
      </c>
      <c r="D9001" s="44"/>
      <c r="E9001" s="22" t="str">
        <f>IF(D9001&lt;&gt;"",IFERROR(INDEX(Produtos!$C$4:$C$4996,MATCH(D9001,Produtos!$B$4:$B$4996,0)),"Produto não encontrado"),"")</f>
        <v/>
      </c>
    </row>
    <row r="9002" spans="1:5" x14ac:dyDescent="0.3">
      <c r="A9002" s="21" t="str">
        <f t="shared" si="140"/>
        <v>.</v>
      </c>
      <c r="D9002" s="44"/>
      <c r="E9002" s="22" t="str">
        <f>IF(D9002&lt;&gt;"",IFERROR(INDEX(Produtos!$C$4:$C$4996,MATCH(D9002,Produtos!$B$4:$B$4996,0)),"Produto não encontrado"),"")</f>
        <v/>
      </c>
    </row>
    <row r="9003" spans="1:5" x14ac:dyDescent="0.3">
      <c r="A9003" s="21" t="str">
        <f t="shared" si="140"/>
        <v>.</v>
      </c>
      <c r="D9003" s="44"/>
      <c r="E9003" s="22" t="str">
        <f>IF(D9003&lt;&gt;"",IFERROR(INDEX(Produtos!$C$4:$C$4996,MATCH(D9003,Produtos!$B$4:$B$4996,0)),"Produto não encontrado"),"")</f>
        <v/>
      </c>
    </row>
    <row r="9004" spans="1:5" x14ac:dyDescent="0.3">
      <c r="A9004" s="21" t="str">
        <f t="shared" si="140"/>
        <v>.</v>
      </c>
      <c r="D9004" s="44"/>
      <c r="E9004" s="22" t="str">
        <f>IF(D9004&lt;&gt;"",IFERROR(INDEX(Produtos!$C$4:$C$4996,MATCH(D9004,Produtos!$B$4:$B$4996,0)),"Produto não encontrado"),"")</f>
        <v/>
      </c>
    </row>
    <row r="9005" spans="1:5" x14ac:dyDescent="0.3">
      <c r="A9005" s="21" t="str">
        <f t="shared" si="140"/>
        <v>.</v>
      </c>
      <c r="D9005" s="44"/>
      <c r="E9005" s="22" t="str">
        <f>IF(D9005&lt;&gt;"",IFERROR(INDEX(Produtos!$C$4:$C$4996,MATCH(D9005,Produtos!$B$4:$B$4996,0)),"Produto não encontrado"),"")</f>
        <v/>
      </c>
    </row>
    <row r="9006" spans="1:5" x14ac:dyDescent="0.3">
      <c r="A9006" s="21" t="str">
        <f t="shared" si="140"/>
        <v>.</v>
      </c>
      <c r="D9006" s="44"/>
      <c r="E9006" s="22" t="str">
        <f>IF(D9006&lt;&gt;"",IFERROR(INDEX(Produtos!$C$4:$C$4996,MATCH(D9006,Produtos!$B$4:$B$4996,0)),"Produto não encontrado"),"")</f>
        <v/>
      </c>
    </row>
    <row r="9007" spans="1:5" x14ac:dyDescent="0.3">
      <c r="A9007" s="21" t="str">
        <f t="shared" si="140"/>
        <v>.</v>
      </c>
      <c r="D9007" s="44"/>
      <c r="E9007" s="22" t="str">
        <f>IF(D9007&lt;&gt;"",IFERROR(INDEX(Produtos!$C$4:$C$4996,MATCH(D9007,Produtos!$B$4:$B$4996,0)),"Produto não encontrado"),"")</f>
        <v/>
      </c>
    </row>
    <row r="9008" spans="1:5" x14ac:dyDescent="0.3">
      <c r="A9008" s="21" t="str">
        <f t="shared" si="140"/>
        <v>.</v>
      </c>
      <c r="D9008" s="44"/>
      <c r="E9008" s="22" t="str">
        <f>IF(D9008&lt;&gt;"",IFERROR(INDEX(Produtos!$C$4:$C$4996,MATCH(D9008,Produtos!$B$4:$B$4996,0)),"Produto não encontrado"),"")</f>
        <v/>
      </c>
    </row>
    <row r="9009" spans="1:5" x14ac:dyDescent="0.3">
      <c r="A9009" s="21" t="str">
        <f t="shared" si="140"/>
        <v>.</v>
      </c>
      <c r="D9009" s="44"/>
      <c r="E9009" s="22" t="str">
        <f>IF(D9009&lt;&gt;"",IFERROR(INDEX(Produtos!$C$4:$C$4996,MATCH(D9009,Produtos!$B$4:$B$4996,0)),"Produto não encontrado"),"")</f>
        <v/>
      </c>
    </row>
    <row r="9010" spans="1:5" x14ac:dyDescent="0.3">
      <c r="A9010" s="21" t="str">
        <f t="shared" si="140"/>
        <v>.</v>
      </c>
      <c r="D9010" s="44"/>
      <c r="E9010" s="22" t="str">
        <f>IF(D9010&lt;&gt;"",IFERROR(INDEX(Produtos!$C$4:$C$4996,MATCH(D9010,Produtos!$B$4:$B$4996,0)),"Produto não encontrado"),"")</f>
        <v/>
      </c>
    </row>
    <row r="9011" spans="1:5" x14ac:dyDescent="0.3">
      <c r="A9011" s="21" t="str">
        <f t="shared" si="140"/>
        <v>.</v>
      </c>
      <c r="D9011" s="44"/>
      <c r="E9011" s="22" t="str">
        <f>IF(D9011&lt;&gt;"",IFERROR(INDEX(Produtos!$C$4:$C$4996,MATCH(D9011,Produtos!$B$4:$B$4996,0)),"Produto não encontrado"),"")</f>
        <v/>
      </c>
    </row>
    <row r="9012" spans="1:5" x14ac:dyDescent="0.3">
      <c r="A9012" s="21" t="str">
        <f t="shared" si="140"/>
        <v>.</v>
      </c>
      <c r="D9012" s="44"/>
      <c r="E9012" s="22" t="str">
        <f>IF(D9012&lt;&gt;"",IFERROR(INDEX(Produtos!$C$4:$C$4996,MATCH(D9012,Produtos!$B$4:$B$4996,0)),"Produto não encontrado"),"")</f>
        <v/>
      </c>
    </row>
    <row r="9013" spans="1:5" x14ac:dyDescent="0.3">
      <c r="A9013" s="21" t="str">
        <f t="shared" si="140"/>
        <v>.</v>
      </c>
      <c r="D9013" s="44"/>
      <c r="E9013" s="22" t="str">
        <f>IF(D9013&lt;&gt;"",IFERROR(INDEX(Produtos!$C$4:$C$4996,MATCH(D9013,Produtos!$B$4:$B$4996,0)),"Produto não encontrado"),"")</f>
        <v/>
      </c>
    </row>
    <row r="9014" spans="1:5" x14ac:dyDescent="0.3">
      <c r="A9014" s="21" t="str">
        <f t="shared" si="140"/>
        <v>.</v>
      </c>
      <c r="D9014" s="44"/>
      <c r="E9014" s="22" t="str">
        <f>IF(D9014&lt;&gt;"",IFERROR(INDEX(Produtos!$C$4:$C$4996,MATCH(D9014,Produtos!$B$4:$B$4996,0)),"Produto não encontrado"),"")</f>
        <v/>
      </c>
    </row>
    <row r="9015" spans="1:5" x14ac:dyDescent="0.3">
      <c r="A9015" s="21" t="str">
        <f t="shared" si="140"/>
        <v>.</v>
      </c>
      <c r="D9015" s="44"/>
      <c r="E9015" s="22" t="str">
        <f>IF(D9015&lt;&gt;"",IFERROR(INDEX(Produtos!$C$4:$C$4996,MATCH(D9015,Produtos!$B$4:$B$4996,0)),"Produto não encontrado"),"")</f>
        <v/>
      </c>
    </row>
    <row r="9016" spans="1:5" x14ac:dyDescent="0.3">
      <c r="A9016" s="21" t="str">
        <f t="shared" si="140"/>
        <v>.</v>
      </c>
      <c r="D9016" s="44"/>
      <c r="E9016" s="22" t="str">
        <f>IF(D9016&lt;&gt;"",IFERROR(INDEX(Produtos!$C$4:$C$4996,MATCH(D9016,Produtos!$B$4:$B$4996,0)),"Produto não encontrado"),"")</f>
        <v/>
      </c>
    </row>
    <row r="9017" spans="1:5" x14ac:dyDescent="0.3">
      <c r="A9017" s="21" t="str">
        <f t="shared" si="140"/>
        <v>.</v>
      </c>
      <c r="D9017" s="44"/>
      <c r="E9017" s="22" t="str">
        <f>IF(D9017&lt;&gt;"",IFERROR(INDEX(Produtos!$C$4:$C$4996,MATCH(D9017,Produtos!$B$4:$B$4996,0)),"Produto não encontrado"),"")</f>
        <v/>
      </c>
    </row>
    <row r="9018" spans="1:5" x14ac:dyDescent="0.3">
      <c r="A9018" s="21" t="str">
        <f t="shared" si="140"/>
        <v>.</v>
      </c>
      <c r="D9018" s="44"/>
      <c r="E9018" s="22" t="str">
        <f>IF(D9018&lt;&gt;"",IFERROR(INDEX(Produtos!$C$4:$C$4996,MATCH(D9018,Produtos!$B$4:$B$4996,0)),"Produto não encontrado"),"")</f>
        <v/>
      </c>
    </row>
    <row r="9019" spans="1:5" x14ac:dyDescent="0.3">
      <c r="A9019" s="21" t="str">
        <f t="shared" si="140"/>
        <v>.</v>
      </c>
      <c r="D9019" s="44"/>
      <c r="E9019" s="22" t="str">
        <f>IF(D9019&lt;&gt;"",IFERROR(INDEX(Produtos!$C$4:$C$4996,MATCH(D9019,Produtos!$B$4:$B$4996,0)),"Produto não encontrado"),"")</f>
        <v/>
      </c>
    </row>
    <row r="9020" spans="1:5" x14ac:dyDescent="0.3">
      <c r="A9020" s="21" t="str">
        <f t="shared" si="140"/>
        <v>.</v>
      </c>
      <c r="D9020" s="44"/>
      <c r="E9020" s="22" t="str">
        <f>IF(D9020&lt;&gt;"",IFERROR(INDEX(Produtos!$C$4:$C$4996,MATCH(D9020,Produtos!$B$4:$B$4996,0)),"Produto não encontrado"),"")</f>
        <v/>
      </c>
    </row>
    <row r="9021" spans="1:5" x14ac:dyDescent="0.3">
      <c r="A9021" s="21" t="str">
        <f t="shared" si="140"/>
        <v>.</v>
      </c>
      <c r="D9021" s="44"/>
      <c r="E9021" s="22" t="str">
        <f>IF(D9021&lt;&gt;"",IFERROR(INDEX(Produtos!$C$4:$C$4996,MATCH(D9021,Produtos!$B$4:$B$4996,0)),"Produto não encontrado"),"")</f>
        <v/>
      </c>
    </row>
    <row r="9022" spans="1:5" x14ac:dyDescent="0.3">
      <c r="A9022" s="21" t="str">
        <f t="shared" si="140"/>
        <v>.</v>
      </c>
      <c r="D9022" s="44"/>
      <c r="E9022" s="22" t="str">
        <f>IF(D9022&lt;&gt;"",IFERROR(INDEX(Produtos!$C$4:$C$4996,MATCH(D9022,Produtos!$B$4:$B$4996,0)),"Produto não encontrado"),"")</f>
        <v/>
      </c>
    </row>
    <row r="9023" spans="1:5" x14ac:dyDescent="0.3">
      <c r="A9023" s="21" t="str">
        <f t="shared" si="140"/>
        <v>.</v>
      </c>
      <c r="D9023" s="44"/>
      <c r="E9023" s="22" t="str">
        <f>IF(D9023&lt;&gt;"",IFERROR(INDEX(Produtos!$C$4:$C$4996,MATCH(D9023,Produtos!$B$4:$B$4996,0)),"Produto não encontrado"),"")</f>
        <v/>
      </c>
    </row>
    <row r="9024" spans="1:5" x14ac:dyDescent="0.3">
      <c r="A9024" s="21" t="str">
        <f t="shared" ref="A9024:A9087" si="141">IF(C9024="Entrada",2,IF(C9024="Saída",1,"."))</f>
        <v>.</v>
      </c>
      <c r="D9024" s="44"/>
      <c r="E9024" s="22" t="str">
        <f>IF(D9024&lt;&gt;"",IFERROR(INDEX(Produtos!$C$4:$C$4996,MATCH(D9024,Produtos!$B$4:$B$4996,0)),"Produto não encontrado"),"")</f>
        <v/>
      </c>
    </row>
    <row r="9025" spans="1:5" x14ac:dyDescent="0.3">
      <c r="A9025" s="21" t="str">
        <f t="shared" si="141"/>
        <v>.</v>
      </c>
      <c r="D9025" s="44"/>
      <c r="E9025" s="22" t="str">
        <f>IF(D9025&lt;&gt;"",IFERROR(INDEX(Produtos!$C$4:$C$4996,MATCH(D9025,Produtos!$B$4:$B$4996,0)),"Produto não encontrado"),"")</f>
        <v/>
      </c>
    </row>
    <row r="9026" spans="1:5" x14ac:dyDescent="0.3">
      <c r="A9026" s="21" t="str">
        <f t="shared" si="141"/>
        <v>.</v>
      </c>
      <c r="D9026" s="44"/>
      <c r="E9026" s="22" t="str">
        <f>IF(D9026&lt;&gt;"",IFERROR(INDEX(Produtos!$C$4:$C$4996,MATCH(D9026,Produtos!$B$4:$B$4996,0)),"Produto não encontrado"),"")</f>
        <v/>
      </c>
    </row>
    <row r="9027" spans="1:5" x14ac:dyDescent="0.3">
      <c r="A9027" s="21" t="str">
        <f t="shared" si="141"/>
        <v>.</v>
      </c>
      <c r="D9027" s="44"/>
      <c r="E9027" s="22" t="str">
        <f>IF(D9027&lt;&gt;"",IFERROR(INDEX(Produtos!$C$4:$C$4996,MATCH(D9027,Produtos!$B$4:$B$4996,0)),"Produto não encontrado"),"")</f>
        <v/>
      </c>
    </row>
    <row r="9028" spans="1:5" x14ac:dyDescent="0.3">
      <c r="A9028" s="21" t="str">
        <f t="shared" si="141"/>
        <v>.</v>
      </c>
      <c r="D9028" s="44"/>
      <c r="E9028" s="22" t="str">
        <f>IF(D9028&lt;&gt;"",IFERROR(INDEX(Produtos!$C$4:$C$4996,MATCH(D9028,Produtos!$B$4:$B$4996,0)),"Produto não encontrado"),"")</f>
        <v/>
      </c>
    </row>
    <row r="9029" spans="1:5" x14ac:dyDescent="0.3">
      <c r="A9029" s="21" t="str">
        <f t="shared" si="141"/>
        <v>.</v>
      </c>
      <c r="D9029" s="44"/>
      <c r="E9029" s="22" t="str">
        <f>IF(D9029&lt;&gt;"",IFERROR(INDEX(Produtos!$C$4:$C$4996,MATCH(D9029,Produtos!$B$4:$B$4996,0)),"Produto não encontrado"),"")</f>
        <v/>
      </c>
    </row>
    <row r="9030" spans="1:5" x14ac:dyDescent="0.3">
      <c r="A9030" s="21" t="str">
        <f t="shared" si="141"/>
        <v>.</v>
      </c>
      <c r="D9030" s="44"/>
      <c r="E9030" s="22" t="str">
        <f>IF(D9030&lt;&gt;"",IFERROR(INDEX(Produtos!$C$4:$C$4996,MATCH(D9030,Produtos!$B$4:$B$4996,0)),"Produto não encontrado"),"")</f>
        <v/>
      </c>
    </row>
    <row r="9031" spans="1:5" x14ac:dyDescent="0.3">
      <c r="A9031" s="21" t="str">
        <f t="shared" si="141"/>
        <v>.</v>
      </c>
      <c r="D9031" s="44"/>
      <c r="E9031" s="22" t="str">
        <f>IF(D9031&lt;&gt;"",IFERROR(INDEX(Produtos!$C$4:$C$4996,MATCH(D9031,Produtos!$B$4:$B$4996,0)),"Produto não encontrado"),"")</f>
        <v/>
      </c>
    </row>
    <row r="9032" spans="1:5" x14ac:dyDescent="0.3">
      <c r="A9032" s="21" t="str">
        <f t="shared" si="141"/>
        <v>.</v>
      </c>
      <c r="D9032" s="44"/>
      <c r="E9032" s="22" t="str">
        <f>IF(D9032&lt;&gt;"",IFERROR(INDEX(Produtos!$C$4:$C$4996,MATCH(D9032,Produtos!$B$4:$B$4996,0)),"Produto não encontrado"),"")</f>
        <v/>
      </c>
    </row>
    <row r="9033" spans="1:5" x14ac:dyDescent="0.3">
      <c r="A9033" s="21" t="str">
        <f t="shared" si="141"/>
        <v>.</v>
      </c>
      <c r="D9033" s="44"/>
      <c r="E9033" s="22" t="str">
        <f>IF(D9033&lt;&gt;"",IFERROR(INDEX(Produtos!$C$4:$C$4996,MATCH(D9033,Produtos!$B$4:$B$4996,0)),"Produto não encontrado"),"")</f>
        <v/>
      </c>
    </row>
    <row r="9034" spans="1:5" x14ac:dyDescent="0.3">
      <c r="A9034" s="21" t="str">
        <f t="shared" si="141"/>
        <v>.</v>
      </c>
      <c r="D9034" s="44"/>
      <c r="E9034" s="22" t="str">
        <f>IF(D9034&lt;&gt;"",IFERROR(INDEX(Produtos!$C$4:$C$4996,MATCH(D9034,Produtos!$B$4:$B$4996,0)),"Produto não encontrado"),"")</f>
        <v/>
      </c>
    </row>
    <row r="9035" spans="1:5" x14ac:dyDescent="0.3">
      <c r="A9035" s="21" t="str">
        <f t="shared" si="141"/>
        <v>.</v>
      </c>
      <c r="D9035" s="44"/>
      <c r="E9035" s="22" t="str">
        <f>IF(D9035&lt;&gt;"",IFERROR(INDEX(Produtos!$C$4:$C$4996,MATCH(D9035,Produtos!$B$4:$B$4996,0)),"Produto não encontrado"),"")</f>
        <v/>
      </c>
    </row>
    <row r="9036" spans="1:5" x14ac:dyDescent="0.3">
      <c r="A9036" s="21" t="str">
        <f t="shared" si="141"/>
        <v>.</v>
      </c>
      <c r="D9036" s="44"/>
      <c r="E9036" s="22" t="str">
        <f>IF(D9036&lt;&gt;"",IFERROR(INDEX(Produtos!$C$4:$C$4996,MATCH(D9036,Produtos!$B$4:$B$4996,0)),"Produto não encontrado"),"")</f>
        <v/>
      </c>
    </row>
    <row r="9037" spans="1:5" x14ac:dyDescent="0.3">
      <c r="A9037" s="21" t="str">
        <f t="shared" si="141"/>
        <v>.</v>
      </c>
      <c r="D9037" s="44"/>
      <c r="E9037" s="22" t="str">
        <f>IF(D9037&lt;&gt;"",IFERROR(INDEX(Produtos!$C$4:$C$4996,MATCH(D9037,Produtos!$B$4:$B$4996,0)),"Produto não encontrado"),"")</f>
        <v/>
      </c>
    </row>
    <row r="9038" spans="1:5" x14ac:dyDescent="0.3">
      <c r="A9038" s="21" t="str">
        <f t="shared" si="141"/>
        <v>.</v>
      </c>
      <c r="D9038" s="44"/>
      <c r="E9038" s="22" t="str">
        <f>IF(D9038&lt;&gt;"",IFERROR(INDEX(Produtos!$C$4:$C$4996,MATCH(D9038,Produtos!$B$4:$B$4996,0)),"Produto não encontrado"),"")</f>
        <v/>
      </c>
    </row>
    <row r="9039" spans="1:5" x14ac:dyDescent="0.3">
      <c r="A9039" s="21" t="str">
        <f t="shared" si="141"/>
        <v>.</v>
      </c>
      <c r="D9039" s="44"/>
      <c r="E9039" s="22" t="str">
        <f>IF(D9039&lt;&gt;"",IFERROR(INDEX(Produtos!$C$4:$C$4996,MATCH(D9039,Produtos!$B$4:$B$4996,0)),"Produto não encontrado"),"")</f>
        <v/>
      </c>
    </row>
    <row r="9040" spans="1:5" x14ac:dyDescent="0.3">
      <c r="A9040" s="21" t="str">
        <f t="shared" si="141"/>
        <v>.</v>
      </c>
      <c r="D9040" s="44"/>
      <c r="E9040" s="22" t="str">
        <f>IF(D9040&lt;&gt;"",IFERROR(INDEX(Produtos!$C$4:$C$4996,MATCH(D9040,Produtos!$B$4:$B$4996,0)),"Produto não encontrado"),"")</f>
        <v/>
      </c>
    </row>
    <row r="9041" spans="1:5" x14ac:dyDescent="0.3">
      <c r="A9041" s="21" t="str">
        <f t="shared" si="141"/>
        <v>.</v>
      </c>
      <c r="D9041" s="44"/>
      <c r="E9041" s="22" t="str">
        <f>IF(D9041&lt;&gt;"",IFERROR(INDEX(Produtos!$C$4:$C$4996,MATCH(D9041,Produtos!$B$4:$B$4996,0)),"Produto não encontrado"),"")</f>
        <v/>
      </c>
    </row>
    <row r="9042" spans="1:5" x14ac:dyDescent="0.3">
      <c r="A9042" s="21" t="str">
        <f t="shared" si="141"/>
        <v>.</v>
      </c>
      <c r="D9042" s="44"/>
      <c r="E9042" s="22" t="str">
        <f>IF(D9042&lt;&gt;"",IFERROR(INDEX(Produtos!$C$4:$C$4996,MATCH(D9042,Produtos!$B$4:$B$4996,0)),"Produto não encontrado"),"")</f>
        <v/>
      </c>
    </row>
    <row r="9043" spans="1:5" x14ac:dyDescent="0.3">
      <c r="A9043" s="21" t="str">
        <f t="shared" si="141"/>
        <v>.</v>
      </c>
      <c r="D9043" s="44"/>
      <c r="E9043" s="22" t="str">
        <f>IF(D9043&lt;&gt;"",IFERROR(INDEX(Produtos!$C$4:$C$4996,MATCH(D9043,Produtos!$B$4:$B$4996,0)),"Produto não encontrado"),"")</f>
        <v/>
      </c>
    </row>
    <row r="9044" spans="1:5" x14ac:dyDescent="0.3">
      <c r="A9044" s="21" t="str">
        <f t="shared" si="141"/>
        <v>.</v>
      </c>
      <c r="D9044" s="44"/>
      <c r="E9044" s="22" t="str">
        <f>IF(D9044&lt;&gt;"",IFERROR(INDEX(Produtos!$C$4:$C$4996,MATCH(D9044,Produtos!$B$4:$B$4996,0)),"Produto não encontrado"),"")</f>
        <v/>
      </c>
    </row>
    <row r="9045" spans="1:5" x14ac:dyDescent="0.3">
      <c r="A9045" s="21" t="str">
        <f t="shared" si="141"/>
        <v>.</v>
      </c>
      <c r="D9045" s="44"/>
      <c r="E9045" s="22" t="str">
        <f>IF(D9045&lt;&gt;"",IFERROR(INDEX(Produtos!$C$4:$C$4996,MATCH(D9045,Produtos!$B$4:$B$4996,0)),"Produto não encontrado"),"")</f>
        <v/>
      </c>
    </row>
    <row r="9046" spans="1:5" x14ac:dyDescent="0.3">
      <c r="A9046" s="21" t="str">
        <f t="shared" si="141"/>
        <v>.</v>
      </c>
      <c r="D9046" s="44"/>
      <c r="E9046" s="22" t="str">
        <f>IF(D9046&lt;&gt;"",IFERROR(INDEX(Produtos!$C$4:$C$4996,MATCH(D9046,Produtos!$B$4:$B$4996,0)),"Produto não encontrado"),"")</f>
        <v/>
      </c>
    </row>
    <row r="9047" spans="1:5" x14ac:dyDescent="0.3">
      <c r="A9047" s="21" t="str">
        <f t="shared" si="141"/>
        <v>.</v>
      </c>
      <c r="D9047" s="44"/>
      <c r="E9047" s="22" t="str">
        <f>IF(D9047&lt;&gt;"",IFERROR(INDEX(Produtos!$C$4:$C$4996,MATCH(D9047,Produtos!$B$4:$B$4996,0)),"Produto não encontrado"),"")</f>
        <v/>
      </c>
    </row>
    <row r="9048" spans="1:5" x14ac:dyDescent="0.3">
      <c r="A9048" s="21" t="str">
        <f t="shared" si="141"/>
        <v>.</v>
      </c>
      <c r="D9048" s="44"/>
      <c r="E9048" s="22" t="str">
        <f>IF(D9048&lt;&gt;"",IFERROR(INDEX(Produtos!$C$4:$C$4996,MATCH(D9048,Produtos!$B$4:$B$4996,0)),"Produto não encontrado"),"")</f>
        <v/>
      </c>
    </row>
    <row r="9049" spans="1:5" x14ac:dyDescent="0.3">
      <c r="A9049" s="21" t="str">
        <f t="shared" si="141"/>
        <v>.</v>
      </c>
      <c r="D9049" s="44"/>
      <c r="E9049" s="22" t="str">
        <f>IF(D9049&lt;&gt;"",IFERROR(INDEX(Produtos!$C$4:$C$4996,MATCH(D9049,Produtos!$B$4:$B$4996,0)),"Produto não encontrado"),"")</f>
        <v/>
      </c>
    </row>
    <row r="9050" spans="1:5" x14ac:dyDescent="0.3">
      <c r="A9050" s="21" t="str">
        <f t="shared" si="141"/>
        <v>.</v>
      </c>
      <c r="D9050" s="44"/>
      <c r="E9050" s="22" t="str">
        <f>IF(D9050&lt;&gt;"",IFERROR(INDEX(Produtos!$C$4:$C$4996,MATCH(D9050,Produtos!$B$4:$B$4996,0)),"Produto não encontrado"),"")</f>
        <v/>
      </c>
    </row>
    <row r="9051" spans="1:5" x14ac:dyDescent="0.3">
      <c r="A9051" s="21" t="str">
        <f t="shared" si="141"/>
        <v>.</v>
      </c>
      <c r="D9051" s="44"/>
      <c r="E9051" s="22" t="str">
        <f>IF(D9051&lt;&gt;"",IFERROR(INDEX(Produtos!$C$4:$C$4996,MATCH(D9051,Produtos!$B$4:$B$4996,0)),"Produto não encontrado"),"")</f>
        <v/>
      </c>
    </row>
    <row r="9052" spans="1:5" x14ac:dyDescent="0.3">
      <c r="A9052" s="21" t="str">
        <f t="shared" si="141"/>
        <v>.</v>
      </c>
      <c r="D9052" s="44"/>
      <c r="E9052" s="22" t="str">
        <f>IF(D9052&lt;&gt;"",IFERROR(INDEX(Produtos!$C$4:$C$4996,MATCH(D9052,Produtos!$B$4:$B$4996,0)),"Produto não encontrado"),"")</f>
        <v/>
      </c>
    </row>
    <row r="9053" spans="1:5" x14ac:dyDescent="0.3">
      <c r="A9053" s="21" t="str">
        <f t="shared" si="141"/>
        <v>.</v>
      </c>
      <c r="D9053" s="44"/>
      <c r="E9053" s="22" t="str">
        <f>IF(D9053&lt;&gt;"",IFERROR(INDEX(Produtos!$C$4:$C$4996,MATCH(D9053,Produtos!$B$4:$B$4996,0)),"Produto não encontrado"),"")</f>
        <v/>
      </c>
    </row>
    <row r="9054" spans="1:5" x14ac:dyDescent="0.3">
      <c r="A9054" s="21" t="str">
        <f t="shared" si="141"/>
        <v>.</v>
      </c>
      <c r="D9054" s="44"/>
      <c r="E9054" s="22" t="str">
        <f>IF(D9054&lt;&gt;"",IFERROR(INDEX(Produtos!$C$4:$C$4996,MATCH(D9054,Produtos!$B$4:$B$4996,0)),"Produto não encontrado"),"")</f>
        <v/>
      </c>
    </row>
    <row r="9055" spans="1:5" x14ac:dyDescent="0.3">
      <c r="A9055" s="21" t="str">
        <f t="shared" si="141"/>
        <v>.</v>
      </c>
      <c r="D9055" s="44"/>
      <c r="E9055" s="22" t="str">
        <f>IF(D9055&lt;&gt;"",IFERROR(INDEX(Produtos!$C$4:$C$4996,MATCH(D9055,Produtos!$B$4:$B$4996,0)),"Produto não encontrado"),"")</f>
        <v/>
      </c>
    </row>
    <row r="9056" spans="1:5" x14ac:dyDescent="0.3">
      <c r="A9056" s="21" t="str">
        <f t="shared" si="141"/>
        <v>.</v>
      </c>
      <c r="D9056" s="44"/>
      <c r="E9056" s="22" t="str">
        <f>IF(D9056&lt;&gt;"",IFERROR(INDEX(Produtos!$C$4:$C$4996,MATCH(D9056,Produtos!$B$4:$B$4996,0)),"Produto não encontrado"),"")</f>
        <v/>
      </c>
    </row>
    <row r="9057" spans="1:5" x14ac:dyDescent="0.3">
      <c r="A9057" s="21" t="str">
        <f t="shared" si="141"/>
        <v>.</v>
      </c>
      <c r="D9057" s="44"/>
      <c r="E9057" s="22" t="str">
        <f>IF(D9057&lt;&gt;"",IFERROR(INDEX(Produtos!$C$4:$C$4996,MATCH(D9057,Produtos!$B$4:$B$4996,0)),"Produto não encontrado"),"")</f>
        <v/>
      </c>
    </row>
    <row r="9058" spans="1:5" x14ac:dyDescent="0.3">
      <c r="A9058" s="21" t="str">
        <f t="shared" si="141"/>
        <v>.</v>
      </c>
      <c r="D9058" s="44"/>
      <c r="E9058" s="22" t="str">
        <f>IF(D9058&lt;&gt;"",IFERROR(INDEX(Produtos!$C$4:$C$4996,MATCH(D9058,Produtos!$B$4:$B$4996,0)),"Produto não encontrado"),"")</f>
        <v/>
      </c>
    </row>
    <row r="9059" spans="1:5" x14ac:dyDescent="0.3">
      <c r="A9059" s="21" t="str">
        <f t="shared" si="141"/>
        <v>.</v>
      </c>
      <c r="D9059" s="44"/>
      <c r="E9059" s="22" t="str">
        <f>IF(D9059&lt;&gt;"",IFERROR(INDEX(Produtos!$C$4:$C$4996,MATCH(D9059,Produtos!$B$4:$B$4996,0)),"Produto não encontrado"),"")</f>
        <v/>
      </c>
    </row>
    <row r="9060" spans="1:5" x14ac:dyDescent="0.3">
      <c r="A9060" s="21" t="str">
        <f t="shared" si="141"/>
        <v>.</v>
      </c>
      <c r="D9060" s="44"/>
      <c r="E9060" s="22" t="str">
        <f>IF(D9060&lt;&gt;"",IFERROR(INDEX(Produtos!$C$4:$C$4996,MATCH(D9060,Produtos!$B$4:$B$4996,0)),"Produto não encontrado"),"")</f>
        <v/>
      </c>
    </row>
    <row r="9061" spans="1:5" x14ac:dyDescent="0.3">
      <c r="A9061" s="21" t="str">
        <f t="shared" si="141"/>
        <v>.</v>
      </c>
      <c r="D9061" s="44"/>
      <c r="E9061" s="22" t="str">
        <f>IF(D9061&lt;&gt;"",IFERROR(INDEX(Produtos!$C$4:$C$4996,MATCH(D9061,Produtos!$B$4:$B$4996,0)),"Produto não encontrado"),"")</f>
        <v/>
      </c>
    </row>
    <row r="9062" spans="1:5" x14ac:dyDescent="0.3">
      <c r="A9062" s="21" t="str">
        <f t="shared" si="141"/>
        <v>.</v>
      </c>
      <c r="D9062" s="44"/>
      <c r="E9062" s="22" t="str">
        <f>IF(D9062&lt;&gt;"",IFERROR(INDEX(Produtos!$C$4:$C$4996,MATCH(D9062,Produtos!$B$4:$B$4996,0)),"Produto não encontrado"),"")</f>
        <v/>
      </c>
    </row>
    <row r="9063" spans="1:5" x14ac:dyDescent="0.3">
      <c r="A9063" s="21" t="str">
        <f t="shared" si="141"/>
        <v>.</v>
      </c>
      <c r="D9063" s="44"/>
      <c r="E9063" s="22" t="str">
        <f>IF(D9063&lt;&gt;"",IFERROR(INDEX(Produtos!$C$4:$C$4996,MATCH(D9063,Produtos!$B$4:$B$4996,0)),"Produto não encontrado"),"")</f>
        <v/>
      </c>
    </row>
    <row r="9064" spans="1:5" x14ac:dyDescent="0.3">
      <c r="A9064" s="21" t="str">
        <f t="shared" si="141"/>
        <v>.</v>
      </c>
      <c r="D9064" s="44"/>
      <c r="E9064" s="22" t="str">
        <f>IF(D9064&lt;&gt;"",IFERROR(INDEX(Produtos!$C$4:$C$4996,MATCH(D9064,Produtos!$B$4:$B$4996,0)),"Produto não encontrado"),"")</f>
        <v/>
      </c>
    </row>
    <row r="9065" spans="1:5" x14ac:dyDescent="0.3">
      <c r="A9065" s="21" t="str">
        <f t="shared" si="141"/>
        <v>.</v>
      </c>
      <c r="D9065" s="44"/>
      <c r="E9065" s="22" t="str">
        <f>IF(D9065&lt;&gt;"",IFERROR(INDEX(Produtos!$C$4:$C$4996,MATCH(D9065,Produtos!$B$4:$B$4996,0)),"Produto não encontrado"),"")</f>
        <v/>
      </c>
    </row>
    <row r="9066" spans="1:5" x14ac:dyDescent="0.3">
      <c r="A9066" s="21" t="str">
        <f t="shared" si="141"/>
        <v>.</v>
      </c>
      <c r="D9066" s="44"/>
      <c r="E9066" s="22" t="str">
        <f>IF(D9066&lt;&gt;"",IFERROR(INDEX(Produtos!$C$4:$C$4996,MATCH(D9066,Produtos!$B$4:$B$4996,0)),"Produto não encontrado"),"")</f>
        <v/>
      </c>
    </row>
    <row r="9067" spans="1:5" x14ac:dyDescent="0.3">
      <c r="A9067" s="21" t="str">
        <f t="shared" si="141"/>
        <v>.</v>
      </c>
      <c r="D9067" s="44"/>
      <c r="E9067" s="22" t="str">
        <f>IF(D9067&lt;&gt;"",IFERROR(INDEX(Produtos!$C$4:$C$4996,MATCH(D9067,Produtos!$B$4:$B$4996,0)),"Produto não encontrado"),"")</f>
        <v/>
      </c>
    </row>
    <row r="9068" spans="1:5" x14ac:dyDescent="0.3">
      <c r="A9068" s="21" t="str">
        <f t="shared" si="141"/>
        <v>.</v>
      </c>
      <c r="D9068" s="44"/>
      <c r="E9068" s="22" t="str">
        <f>IF(D9068&lt;&gt;"",IFERROR(INDEX(Produtos!$C$4:$C$4996,MATCH(D9068,Produtos!$B$4:$B$4996,0)),"Produto não encontrado"),"")</f>
        <v/>
      </c>
    </row>
    <row r="9069" spans="1:5" x14ac:dyDescent="0.3">
      <c r="A9069" s="21" t="str">
        <f t="shared" si="141"/>
        <v>.</v>
      </c>
      <c r="D9069" s="44"/>
      <c r="E9069" s="22" t="str">
        <f>IF(D9069&lt;&gt;"",IFERROR(INDEX(Produtos!$C$4:$C$4996,MATCH(D9069,Produtos!$B$4:$B$4996,0)),"Produto não encontrado"),"")</f>
        <v/>
      </c>
    </row>
    <row r="9070" spans="1:5" x14ac:dyDescent="0.3">
      <c r="A9070" s="21" t="str">
        <f t="shared" si="141"/>
        <v>.</v>
      </c>
      <c r="D9070" s="44"/>
      <c r="E9070" s="22" t="str">
        <f>IF(D9070&lt;&gt;"",IFERROR(INDEX(Produtos!$C$4:$C$4996,MATCH(D9070,Produtos!$B$4:$B$4996,0)),"Produto não encontrado"),"")</f>
        <v/>
      </c>
    </row>
    <row r="9071" spans="1:5" x14ac:dyDescent="0.3">
      <c r="A9071" s="21" t="str">
        <f t="shared" si="141"/>
        <v>.</v>
      </c>
      <c r="D9071" s="44"/>
      <c r="E9071" s="22" t="str">
        <f>IF(D9071&lt;&gt;"",IFERROR(INDEX(Produtos!$C$4:$C$4996,MATCH(D9071,Produtos!$B$4:$B$4996,0)),"Produto não encontrado"),"")</f>
        <v/>
      </c>
    </row>
    <row r="9072" spans="1:5" x14ac:dyDescent="0.3">
      <c r="A9072" s="21" t="str">
        <f t="shared" si="141"/>
        <v>.</v>
      </c>
      <c r="D9072" s="44"/>
      <c r="E9072" s="22" t="str">
        <f>IF(D9072&lt;&gt;"",IFERROR(INDEX(Produtos!$C$4:$C$4996,MATCH(D9072,Produtos!$B$4:$B$4996,0)),"Produto não encontrado"),"")</f>
        <v/>
      </c>
    </row>
    <row r="9073" spans="1:5" x14ac:dyDescent="0.3">
      <c r="A9073" s="21" t="str">
        <f t="shared" si="141"/>
        <v>.</v>
      </c>
      <c r="D9073" s="44"/>
      <c r="E9073" s="22" t="str">
        <f>IF(D9073&lt;&gt;"",IFERROR(INDEX(Produtos!$C$4:$C$4996,MATCH(D9073,Produtos!$B$4:$B$4996,0)),"Produto não encontrado"),"")</f>
        <v/>
      </c>
    </row>
    <row r="9074" spans="1:5" x14ac:dyDescent="0.3">
      <c r="A9074" s="21" t="str">
        <f t="shared" si="141"/>
        <v>.</v>
      </c>
      <c r="D9074" s="44"/>
      <c r="E9074" s="22" t="str">
        <f>IF(D9074&lt;&gt;"",IFERROR(INDEX(Produtos!$C$4:$C$4996,MATCH(D9074,Produtos!$B$4:$B$4996,0)),"Produto não encontrado"),"")</f>
        <v/>
      </c>
    </row>
    <row r="9075" spans="1:5" x14ac:dyDescent="0.3">
      <c r="A9075" s="21" t="str">
        <f t="shared" si="141"/>
        <v>.</v>
      </c>
      <c r="D9075" s="44"/>
      <c r="E9075" s="22" t="str">
        <f>IF(D9075&lt;&gt;"",IFERROR(INDEX(Produtos!$C$4:$C$4996,MATCH(D9075,Produtos!$B$4:$B$4996,0)),"Produto não encontrado"),"")</f>
        <v/>
      </c>
    </row>
    <row r="9076" spans="1:5" x14ac:dyDescent="0.3">
      <c r="A9076" s="21" t="str">
        <f t="shared" si="141"/>
        <v>.</v>
      </c>
      <c r="D9076" s="44"/>
      <c r="E9076" s="22" t="str">
        <f>IF(D9076&lt;&gt;"",IFERROR(INDEX(Produtos!$C$4:$C$4996,MATCH(D9076,Produtos!$B$4:$B$4996,0)),"Produto não encontrado"),"")</f>
        <v/>
      </c>
    </row>
    <row r="9077" spans="1:5" x14ac:dyDescent="0.3">
      <c r="A9077" s="21" t="str">
        <f t="shared" si="141"/>
        <v>.</v>
      </c>
      <c r="D9077" s="44"/>
      <c r="E9077" s="22" t="str">
        <f>IF(D9077&lt;&gt;"",IFERROR(INDEX(Produtos!$C$4:$C$4996,MATCH(D9077,Produtos!$B$4:$B$4996,0)),"Produto não encontrado"),"")</f>
        <v/>
      </c>
    </row>
    <row r="9078" spans="1:5" x14ac:dyDescent="0.3">
      <c r="A9078" s="21" t="str">
        <f t="shared" si="141"/>
        <v>.</v>
      </c>
      <c r="D9078" s="44"/>
      <c r="E9078" s="22" t="str">
        <f>IF(D9078&lt;&gt;"",IFERROR(INDEX(Produtos!$C$4:$C$4996,MATCH(D9078,Produtos!$B$4:$B$4996,0)),"Produto não encontrado"),"")</f>
        <v/>
      </c>
    </row>
    <row r="9079" spans="1:5" x14ac:dyDescent="0.3">
      <c r="A9079" s="21" t="str">
        <f t="shared" si="141"/>
        <v>.</v>
      </c>
      <c r="D9079" s="44"/>
      <c r="E9079" s="22" t="str">
        <f>IF(D9079&lt;&gt;"",IFERROR(INDEX(Produtos!$C$4:$C$4996,MATCH(D9079,Produtos!$B$4:$B$4996,0)),"Produto não encontrado"),"")</f>
        <v/>
      </c>
    </row>
    <row r="9080" spans="1:5" x14ac:dyDescent="0.3">
      <c r="A9080" s="21" t="str">
        <f t="shared" si="141"/>
        <v>.</v>
      </c>
      <c r="D9080" s="44"/>
      <c r="E9080" s="22" t="str">
        <f>IF(D9080&lt;&gt;"",IFERROR(INDEX(Produtos!$C$4:$C$4996,MATCH(D9080,Produtos!$B$4:$B$4996,0)),"Produto não encontrado"),"")</f>
        <v/>
      </c>
    </row>
    <row r="9081" spans="1:5" x14ac:dyDescent="0.3">
      <c r="A9081" s="21" t="str">
        <f t="shared" si="141"/>
        <v>.</v>
      </c>
      <c r="D9081" s="44"/>
      <c r="E9081" s="22" t="str">
        <f>IF(D9081&lt;&gt;"",IFERROR(INDEX(Produtos!$C$4:$C$4996,MATCH(D9081,Produtos!$B$4:$B$4996,0)),"Produto não encontrado"),"")</f>
        <v/>
      </c>
    </row>
    <row r="9082" spans="1:5" x14ac:dyDescent="0.3">
      <c r="A9082" s="21" t="str">
        <f t="shared" si="141"/>
        <v>.</v>
      </c>
      <c r="D9082" s="44"/>
      <c r="E9082" s="22" t="str">
        <f>IF(D9082&lt;&gt;"",IFERROR(INDEX(Produtos!$C$4:$C$4996,MATCH(D9082,Produtos!$B$4:$B$4996,0)),"Produto não encontrado"),"")</f>
        <v/>
      </c>
    </row>
    <row r="9083" spans="1:5" x14ac:dyDescent="0.3">
      <c r="A9083" s="21" t="str">
        <f t="shared" si="141"/>
        <v>.</v>
      </c>
      <c r="D9083" s="44"/>
      <c r="E9083" s="22" t="str">
        <f>IF(D9083&lt;&gt;"",IFERROR(INDEX(Produtos!$C$4:$C$4996,MATCH(D9083,Produtos!$B$4:$B$4996,0)),"Produto não encontrado"),"")</f>
        <v/>
      </c>
    </row>
    <row r="9084" spans="1:5" x14ac:dyDescent="0.3">
      <c r="A9084" s="21" t="str">
        <f t="shared" si="141"/>
        <v>.</v>
      </c>
      <c r="D9084" s="44"/>
      <c r="E9084" s="22" t="str">
        <f>IF(D9084&lt;&gt;"",IFERROR(INDEX(Produtos!$C$4:$C$4996,MATCH(D9084,Produtos!$B$4:$B$4996,0)),"Produto não encontrado"),"")</f>
        <v/>
      </c>
    </row>
    <row r="9085" spans="1:5" x14ac:dyDescent="0.3">
      <c r="A9085" s="21" t="str">
        <f t="shared" si="141"/>
        <v>.</v>
      </c>
      <c r="D9085" s="44"/>
      <c r="E9085" s="22" t="str">
        <f>IF(D9085&lt;&gt;"",IFERROR(INDEX(Produtos!$C$4:$C$4996,MATCH(D9085,Produtos!$B$4:$B$4996,0)),"Produto não encontrado"),"")</f>
        <v/>
      </c>
    </row>
    <row r="9086" spans="1:5" x14ac:dyDescent="0.3">
      <c r="A9086" s="21" t="str">
        <f t="shared" si="141"/>
        <v>.</v>
      </c>
      <c r="D9086" s="44"/>
      <c r="E9086" s="22" t="str">
        <f>IF(D9086&lt;&gt;"",IFERROR(INDEX(Produtos!$C$4:$C$4996,MATCH(D9086,Produtos!$B$4:$B$4996,0)),"Produto não encontrado"),"")</f>
        <v/>
      </c>
    </row>
    <row r="9087" spans="1:5" x14ac:dyDescent="0.3">
      <c r="A9087" s="21" t="str">
        <f t="shared" si="141"/>
        <v>.</v>
      </c>
      <c r="D9087" s="44"/>
      <c r="E9087" s="22" t="str">
        <f>IF(D9087&lt;&gt;"",IFERROR(INDEX(Produtos!$C$4:$C$4996,MATCH(D9087,Produtos!$B$4:$B$4996,0)),"Produto não encontrado"),"")</f>
        <v/>
      </c>
    </row>
    <row r="9088" spans="1:5" x14ac:dyDescent="0.3">
      <c r="A9088" s="21" t="str">
        <f t="shared" ref="A9088:A9151" si="142">IF(C9088="Entrada",2,IF(C9088="Saída",1,"."))</f>
        <v>.</v>
      </c>
      <c r="D9088" s="44"/>
      <c r="E9088" s="22" t="str">
        <f>IF(D9088&lt;&gt;"",IFERROR(INDEX(Produtos!$C$4:$C$4996,MATCH(D9088,Produtos!$B$4:$B$4996,0)),"Produto não encontrado"),"")</f>
        <v/>
      </c>
    </row>
    <row r="9089" spans="1:5" x14ac:dyDescent="0.3">
      <c r="A9089" s="21" t="str">
        <f t="shared" si="142"/>
        <v>.</v>
      </c>
      <c r="D9089" s="44"/>
      <c r="E9089" s="22" t="str">
        <f>IF(D9089&lt;&gt;"",IFERROR(INDEX(Produtos!$C$4:$C$4996,MATCH(D9089,Produtos!$B$4:$B$4996,0)),"Produto não encontrado"),"")</f>
        <v/>
      </c>
    </row>
    <row r="9090" spans="1:5" x14ac:dyDescent="0.3">
      <c r="A9090" s="21" t="str">
        <f t="shared" si="142"/>
        <v>.</v>
      </c>
      <c r="D9090" s="44"/>
      <c r="E9090" s="22" t="str">
        <f>IF(D9090&lt;&gt;"",IFERROR(INDEX(Produtos!$C$4:$C$4996,MATCH(D9090,Produtos!$B$4:$B$4996,0)),"Produto não encontrado"),"")</f>
        <v/>
      </c>
    </row>
    <row r="9091" spans="1:5" x14ac:dyDescent="0.3">
      <c r="A9091" s="21" t="str">
        <f t="shared" si="142"/>
        <v>.</v>
      </c>
      <c r="D9091" s="44"/>
      <c r="E9091" s="22" t="str">
        <f>IF(D9091&lt;&gt;"",IFERROR(INDEX(Produtos!$C$4:$C$4996,MATCH(D9091,Produtos!$B$4:$B$4996,0)),"Produto não encontrado"),"")</f>
        <v/>
      </c>
    </row>
    <row r="9092" spans="1:5" x14ac:dyDescent="0.3">
      <c r="A9092" s="21" t="str">
        <f t="shared" si="142"/>
        <v>.</v>
      </c>
      <c r="D9092" s="44"/>
      <c r="E9092" s="22" t="str">
        <f>IF(D9092&lt;&gt;"",IFERROR(INDEX(Produtos!$C$4:$C$4996,MATCH(D9092,Produtos!$B$4:$B$4996,0)),"Produto não encontrado"),"")</f>
        <v/>
      </c>
    </row>
    <row r="9093" spans="1:5" x14ac:dyDescent="0.3">
      <c r="A9093" s="21" t="str">
        <f t="shared" si="142"/>
        <v>.</v>
      </c>
      <c r="D9093" s="44"/>
      <c r="E9093" s="22" t="str">
        <f>IF(D9093&lt;&gt;"",IFERROR(INDEX(Produtos!$C$4:$C$4996,MATCH(D9093,Produtos!$B$4:$B$4996,0)),"Produto não encontrado"),"")</f>
        <v/>
      </c>
    </row>
    <row r="9094" spans="1:5" x14ac:dyDescent="0.3">
      <c r="A9094" s="21" t="str">
        <f t="shared" si="142"/>
        <v>.</v>
      </c>
      <c r="D9094" s="44"/>
      <c r="E9094" s="22" t="str">
        <f>IF(D9094&lt;&gt;"",IFERROR(INDEX(Produtos!$C$4:$C$4996,MATCH(D9094,Produtos!$B$4:$B$4996,0)),"Produto não encontrado"),"")</f>
        <v/>
      </c>
    </row>
    <row r="9095" spans="1:5" x14ac:dyDescent="0.3">
      <c r="A9095" s="21" t="str">
        <f t="shared" si="142"/>
        <v>.</v>
      </c>
      <c r="D9095" s="44"/>
      <c r="E9095" s="22" t="str">
        <f>IF(D9095&lt;&gt;"",IFERROR(INDEX(Produtos!$C$4:$C$4996,MATCH(D9095,Produtos!$B$4:$B$4996,0)),"Produto não encontrado"),"")</f>
        <v/>
      </c>
    </row>
    <row r="9096" spans="1:5" x14ac:dyDescent="0.3">
      <c r="A9096" s="21" t="str">
        <f t="shared" si="142"/>
        <v>.</v>
      </c>
      <c r="D9096" s="44"/>
      <c r="E9096" s="22" t="str">
        <f>IF(D9096&lt;&gt;"",IFERROR(INDEX(Produtos!$C$4:$C$4996,MATCH(D9096,Produtos!$B$4:$B$4996,0)),"Produto não encontrado"),"")</f>
        <v/>
      </c>
    </row>
    <row r="9097" spans="1:5" x14ac:dyDescent="0.3">
      <c r="A9097" s="21" t="str">
        <f t="shared" si="142"/>
        <v>.</v>
      </c>
      <c r="D9097" s="44"/>
      <c r="E9097" s="22" t="str">
        <f>IF(D9097&lt;&gt;"",IFERROR(INDEX(Produtos!$C$4:$C$4996,MATCH(D9097,Produtos!$B$4:$B$4996,0)),"Produto não encontrado"),"")</f>
        <v/>
      </c>
    </row>
    <row r="9098" spans="1:5" x14ac:dyDescent="0.3">
      <c r="A9098" s="21" t="str">
        <f t="shared" si="142"/>
        <v>.</v>
      </c>
      <c r="D9098" s="44"/>
      <c r="E9098" s="22" t="str">
        <f>IF(D9098&lt;&gt;"",IFERROR(INDEX(Produtos!$C$4:$C$4996,MATCH(D9098,Produtos!$B$4:$B$4996,0)),"Produto não encontrado"),"")</f>
        <v/>
      </c>
    </row>
    <row r="9099" spans="1:5" x14ac:dyDescent="0.3">
      <c r="A9099" s="21" t="str">
        <f t="shared" si="142"/>
        <v>.</v>
      </c>
      <c r="D9099" s="44"/>
      <c r="E9099" s="22" t="str">
        <f>IF(D9099&lt;&gt;"",IFERROR(INDEX(Produtos!$C$4:$C$4996,MATCH(D9099,Produtos!$B$4:$B$4996,0)),"Produto não encontrado"),"")</f>
        <v/>
      </c>
    </row>
    <row r="9100" spans="1:5" x14ac:dyDescent="0.3">
      <c r="A9100" s="21" t="str">
        <f t="shared" si="142"/>
        <v>.</v>
      </c>
      <c r="D9100" s="44"/>
      <c r="E9100" s="22" t="str">
        <f>IF(D9100&lt;&gt;"",IFERROR(INDEX(Produtos!$C$4:$C$4996,MATCH(D9100,Produtos!$B$4:$B$4996,0)),"Produto não encontrado"),"")</f>
        <v/>
      </c>
    </row>
    <row r="9101" spans="1:5" x14ac:dyDescent="0.3">
      <c r="A9101" s="21" t="str">
        <f t="shared" si="142"/>
        <v>.</v>
      </c>
      <c r="D9101" s="44"/>
      <c r="E9101" s="22" t="str">
        <f>IF(D9101&lt;&gt;"",IFERROR(INDEX(Produtos!$C$4:$C$4996,MATCH(D9101,Produtos!$B$4:$B$4996,0)),"Produto não encontrado"),"")</f>
        <v/>
      </c>
    </row>
    <row r="9102" spans="1:5" x14ac:dyDescent="0.3">
      <c r="A9102" s="21" t="str">
        <f t="shared" si="142"/>
        <v>.</v>
      </c>
      <c r="D9102" s="44"/>
      <c r="E9102" s="22" t="str">
        <f>IF(D9102&lt;&gt;"",IFERROR(INDEX(Produtos!$C$4:$C$4996,MATCH(D9102,Produtos!$B$4:$B$4996,0)),"Produto não encontrado"),"")</f>
        <v/>
      </c>
    </row>
    <row r="9103" spans="1:5" x14ac:dyDescent="0.3">
      <c r="A9103" s="21" t="str">
        <f t="shared" si="142"/>
        <v>.</v>
      </c>
      <c r="D9103" s="44"/>
      <c r="E9103" s="22" t="str">
        <f>IF(D9103&lt;&gt;"",IFERROR(INDEX(Produtos!$C$4:$C$4996,MATCH(D9103,Produtos!$B$4:$B$4996,0)),"Produto não encontrado"),"")</f>
        <v/>
      </c>
    </row>
    <row r="9104" spans="1:5" x14ac:dyDescent="0.3">
      <c r="A9104" s="21" t="str">
        <f t="shared" si="142"/>
        <v>.</v>
      </c>
      <c r="D9104" s="44"/>
      <c r="E9104" s="22" t="str">
        <f>IF(D9104&lt;&gt;"",IFERROR(INDEX(Produtos!$C$4:$C$4996,MATCH(D9104,Produtos!$B$4:$B$4996,0)),"Produto não encontrado"),"")</f>
        <v/>
      </c>
    </row>
    <row r="9105" spans="1:5" x14ac:dyDescent="0.3">
      <c r="A9105" s="21" t="str">
        <f t="shared" si="142"/>
        <v>.</v>
      </c>
      <c r="D9105" s="44"/>
      <c r="E9105" s="22" t="str">
        <f>IF(D9105&lt;&gt;"",IFERROR(INDEX(Produtos!$C$4:$C$4996,MATCH(D9105,Produtos!$B$4:$B$4996,0)),"Produto não encontrado"),"")</f>
        <v/>
      </c>
    </row>
    <row r="9106" spans="1:5" x14ac:dyDescent="0.3">
      <c r="A9106" s="21" t="str">
        <f t="shared" si="142"/>
        <v>.</v>
      </c>
      <c r="D9106" s="44"/>
      <c r="E9106" s="22" t="str">
        <f>IF(D9106&lt;&gt;"",IFERROR(INDEX(Produtos!$C$4:$C$4996,MATCH(D9106,Produtos!$B$4:$B$4996,0)),"Produto não encontrado"),"")</f>
        <v/>
      </c>
    </row>
    <row r="9107" spans="1:5" x14ac:dyDescent="0.3">
      <c r="A9107" s="21" t="str">
        <f t="shared" si="142"/>
        <v>.</v>
      </c>
      <c r="D9107" s="44"/>
      <c r="E9107" s="22" t="str">
        <f>IF(D9107&lt;&gt;"",IFERROR(INDEX(Produtos!$C$4:$C$4996,MATCH(D9107,Produtos!$B$4:$B$4996,0)),"Produto não encontrado"),"")</f>
        <v/>
      </c>
    </row>
    <row r="9108" spans="1:5" x14ac:dyDescent="0.3">
      <c r="A9108" s="21" t="str">
        <f t="shared" si="142"/>
        <v>.</v>
      </c>
      <c r="D9108" s="44"/>
      <c r="E9108" s="22" t="str">
        <f>IF(D9108&lt;&gt;"",IFERROR(INDEX(Produtos!$C$4:$C$4996,MATCH(D9108,Produtos!$B$4:$B$4996,0)),"Produto não encontrado"),"")</f>
        <v/>
      </c>
    </row>
    <row r="9109" spans="1:5" x14ac:dyDescent="0.3">
      <c r="A9109" s="21" t="str">
        <f t="shared" si="142"/>
        <v>.</v>
      </c>
      <c r="D9109" s="44"/>
      <c r="E9109" s="22" t="str">
        <f>IF(D9109&lt;&gt;"",IFERROR(INDEX(Produtos!$C$4:$C$4996,MATCH(D9109,Produtos!$B$4:$B$4996,0)),"Produto não encontrado"),"")</f>
        <v/>
      </c>
    </row>
    <row r="9110" spans="1:5" x14ac:dyDescent="0.3">
      <c r="A9110" s="21" t="str">
        <f t="shared" si="142"/>
        <v>.</v>
      </c>
      <c r="D9110" s="44"/>
      <c r="E9110" s="22" t="str">
        <f>IF(D9110&lt;&gt;"",IFERROR(INDEX(Produtos!$C$4:$C$4996,MATCH(D9110,Produtos!$B$4:$B$4996,0)),"Produto não encontrado"),"")</f>
        <v/>
      </c>
    </row>
    <row r="9111" spans="1:5" x14ac:dyDescent="0.3">
      <c r="A9111" s="21" t="str">
        <f t="shared" si="142"/>
        <v>.</v>
      </c>
      <c r="D9111" s="44"/>
      <c r="E9111" s="22" t="str">
        <f>IF(D9111&lt;&gt;"",IFERROR(INDEX(Produtos!$C$4:$C$4996,MATCH(D9111,Produtos!$B$4:$B$4996,0)),"Produto não encontrado"),"")</f>
        <v/>
      </c>
    </row>
    <row r="9112" spans="1:5" x14ac:dyDescent="0.3">
      <c r="A9112" s="21" t="str">
        <f t="shared" si="142"/>
        <v>.</v>
      </c>
      <c r="D9112" s="44"/>
      <c r="E9112" s="22" t="str">
        <f>IF(D9112&lt;&gt;"",IFERROR(INDEX(Produtos!$C$4:$C$4996,MATCH(D9112,Produtos!$B$4:$B$4996,0)),"Produto não encontrado"),"")</f>
        <v/>
      </c>
    </row>
    <row r="9113" spans="1:5" x14ac:dyDescent="0.3">
      <c r="A9113" s="21" t="str">
        <f t="shared" si="142"/>
        <v>.</v>
      </c>
      <c r="D9113" s="44"/>
      <c r="E9113" s="22" t="str">
        <f>IF(D9113&lt;&gt;"",IFERROR(INDEX(Produtos!$C$4:$C$4996,MATCH(D9113,Produtos!$B$4:$B$4996,0)),"Produto não encontrado"),"")</f>
        <v/>
      </c>
    </row>
    <row r="9114" spans="1:5" x14ac:dyDescent="0.3">
      <c r="A9114" s="21" t="str">
        <f t="shared" si="142"/>
        <v>.</v>
      </c>
      <c r="D9114" s="44"/>
      <c r="E9114" s="22" t="str">
        <f>IF(D9114&lt;&gt;"",IFERROR(INDEX(Produtos!$C$4:$C$4996,MATCH(D9114,Produtos!$B$4:$B$4996,0)),"Produto não encontrado"),"")</f>
        <v/>
      </c>
    </row>
    <row r="9115" spans="1:5" x14ac:dyDescent="0.3">
      <c r="A9115" s="21" t="str">
        <f t="shared" si="142"/>
        <v>.</v>
      </c>
      <c r="D9115" s="44"/>
      <c r="E9115" s="22" t="str">
        <f>IF(D9115&lt;&gt;"",IFERROR(INDEX(Produtos!$C$4:$C$4996,MATCH(D9115,Produtos!$B$4:$B$4996,0)),"Produto não encontrado"),"")</f>
        <v/>
      </c>
    </row>
    <row r="9116" spans="1:5" x14ac:dyDescent="0.3">
      <c r="A9116" s="21" t="str">
        <f t="shared" si="142"/>
        <v>.</v>
      </c>
      <c r="D9116" s="44"/>
      <c r="E9116" s="22" t="str">
        <f>IF(D9116&lt;&gt;"",IFERROR(INDEX(Produtos!$C$4:$C$4996,MATCH(D9116,Produtos!$B$4:$B$4996,0)),"Produto não encontrado"),"")</f>
        <v/>
      </c>
    </row>
    <row r="9117" spans="1:5" x14ac:dyDescent="0.3">
      <c r="A9117" s="21" t="str">
        <f t="shared" si="142"/>
        <v>.</v>
      </c>
      <c r="D9117" s="44"/>
      <c r="E9117" s="22" t="str">
        <f>IF(D9117&lt;&gt;"",IFERROR(INDEX(Produtos!$C$4:$C$4996,MATCH(D9117,Produtos!$B$4:$B$4996,0)),"Produto não encontrado"),"")</f>
        <v/>
      </c>
    </row>
    <row r="9118" spans="1:5" x14ac:dyDescent="0.3">
      <c r="A9118" s="21" t="str">
        <f t="shared" si="142"/>
        <v>.</v>
      </c>
      <c r="D9118" s="44"/>
      <c r="E9118" s="22" t="str">
        <f>IF(D9118&lt;&gt;"",IFERROR(INDEX(Produtos!$C$4:$C$4996,MATCH(D9118,Produtos!$B$4:$B$4996,0)),"Produto não encontrado"),"")</f>
        <v/>
      </c>
    </row>
    <row r="9119" spans="1:5" x14ac:dyDescent="0.3">
      <c r="A9119" s="21" t="str">
        <f t="shared" si="142"/>
        <v>.</v>
      </c>
      <c r="D9119" s="44"/>
      <c r="E9119" s="22" t="str">
        <f>IF(D9119&lt;&gt;"",IFERROR(INDEX(Produtos!$C$4:$C$4996,MATCH(D9119,Produtos!$B$4:$B$4996,0)),"Produto não encontrado"),"")</f>
        <v/>
      </c>
    </row>
    <row r="9120" spans="1:5" x14ac:dyDescent="0.3">
      <c r="A9120" s="21" t="str">
        <f t="shared" si="142"/>
        <v>.</v>
      </c>
      <c r="D9120" s="44"/>
      <c r="E9120" s="22" t="str">
        <f>IF(D9120&lt;&gt;"",IFERROR(INDEX(Produtos!$C$4:$C$4996,MATCH(D9120,Produtos!$B$4:$B$4996,0)),"Produto não encontrado"),"")</f>
        <v/>
      </c>
    </row>
    <row r="9121" spans="1:5" x14ac:dyDescent="0.3">
      <c r="A9121" s="21" t="str">
        <f t="shared" si="142"/>
        <v>.</v>
      </c>
      <c r="D9121" s="44"/>
      <c r="E9121" s="22" t="str">
        <f>IF(D9121&lt;&gt;"",IFERROR(INDEX(Produtos!$C$4:$C$4996,MATCH(D9121,Produtos!$B$4:$B$4996,0)),"Produto não encontrado"),"")</f>
        <v/>
      </c>
    </row>
    <row r="9122" spans="1:5" x14ac:dyDescent="0.3">
      <c r="A9122" s="21" t="str">
        <f t="shared" si="142"/>
        <v>.</v>
      </c>
      <c r="D9122" s="44"/>
      <c r="E9122" s="22" t="str">
        <f>IF(D9122&lt;&gt;"",IFERROR(INDEX(Produtos!$C$4:$C$4996,MATCH(D9122,Produtos!$B$4:$B$4996,0)),"Produto não encontrado"),"")</f>
        <v/>
      </c>
    </row>
    <row r="9123" spans="1:5" x14ac:dyDescent="0.3">
      <c r="A9123" s="21" t="str">
        <f t="shared" si="142"/>
        <v>.</v>
      </c>
      <c r="D9123" s="44"/>
      <c r="E9123" s="22" t="str">
        <f>IF(D9123&lt;&gt;"",IFERROR(INDEX(Produtos!$C$4:$C$4996,MATCH(D9123,Produtos!$B$4:$B$4996,0)),"Produto não encontrado"),"")</f>
        <v/>
      </c>
    </row>
    <row r="9124" spans="1:5" x14ac:dyDescent="0.3">
      <c r="A9124" s="21" t="str">
        <f t="shared" si="142"/>
        <v>.</v>
      </c>
      <c r="D9124" s="44"/>
      <c r="E9124" s="22" t="str">
        <f>IF(D9124&lt;&gt;"",IFERROR(INDEX(Produtos!$C$4:$C$4996,MATCH(D9124,Produtos!$B$4:$B$4996,0)),"Produto não encontrado"),"")</f>
        <v/>
      </c>
    </row>
    <row r="9125" spans="1:5" x14ac:dyDescent="0.3">
      <c r="A9125" s="21" t="str">
        <f t="shared" si="142"/>
        <v>.</v>
      </c>
      <c r="D9125" s="44"/>
      <c r="E9125" s="22" t="str">
        <f>IF(D9125&lt;&gt;"",IFERROR(INDEX(Produtos!$C$4:$C$4996,MATCH(D9125,Produtos!$B$4:$B$4996,0)),"Produto não encontrado"),"")</f>
        <v/>
      </c>
    </row>
    <row r="9126" spans="1:5" x14ac:dyDescent="0.3">
      <c r="A9126" s="21" t="str">
        <f t="shared" si="142"/>
        <v>.</v>
      </c>
      <c r="D9126" s="44"/>
      <c r="E9126" s="22" t="str">
        <f>IF(D9126&lt;&gt;"",IFERROR(INDEX(Produtos!$C$4:$C$4996,MATCH(D9126,Produtos!$B$4:$B$4996,0)),"Produto não encontrado"),"")</f>
        <v/>
      </c>
    </row>
    <row r="9127" spans="1:5" x14ac:dyDescent="0.3">
      <c r="A9127" s="21" t="str">
        <f t="shared" si="142"/>
        <v>.</v>
      </c>
      <c r="D9127" s="44"/>
      <c r="E9127" s="22" t="str">
        <f>IF(D9127&lt;&gt;"",IFERROR(INDEX(Produtos!$C$4:$C$4996,MATCH(D9127,Produtos!$B$4:$B$4996,0)),"Produto não encontrado"),"")</f>
        <v/>
      </c>
    </row>
    <row r="9128" spans="1:5" x14ac:dyDescent="0.3">
      <c r="A9128" s="21" t="str">
        <f t="shared" si="142"/>
        <v>.</v>
      </c>
      <c r="D9128" s="44"/>
      <c r="E9128" s="22" t="str">
        <f>IF(D9128&lt;&gt;"",IFERROR(INDEX(Produtos!$C$4:$C$4996,MATCH(D9128,Produtos!$B$4:$B$4996,0)),"Produto não encontrado"),"")</f>
        <v/>
      </c>
    </row>
    <row r="9129" spans="1:5" x14ac:dyDescent="0.3">
      <c r="A9129" s="21" t="str">
        <f t="shared" si="142"/>
        <v>.</v>
      </c>
      <c r="D9129" s="44"/>
      <c r="E9129" s="22" t="str">
        <f>IF(D9129&lt;&gt;"",IFERROR(INDEX(Produtos!$C$4:$C$4996,MATCH(D9129,Produtos!$B$4:$B$4996,0)),"Produto não encontrado"),"")</f>
        <v/>
      </c>
    </row>
    <row r="9130" spans="1:5" x14ac:dyDescent="0.3">
      <c r="A9130" s="21" t="str">
        <f t="shared" si="142"/>
        <v>.</v>
      </c>
      <c r="D9130" s="44"/>
      <c r="E9130" s="22" t="str">
        <f>IF(D9130&lt;&gt;"",IFERROR(INDEX(Produtos!$C$4:$C$4996,MATCH(D9130,Produtos!$B$4:$B$4996,0)),"Produto não encontrado"),"")</f>
        <v/>
      </c>
    </row>
    <row r="9131" spans="1:5" x14ac:dyDescent="0.3">
      <c r="A9131" s="21" t="str">
        <f t="shared" si="142"/>
        <v>.</v>
      </c>
      <c r="D9131" s="44"/>
      <c r="E9131" s="22" t="str">
        <f>IF(D9131&lt;&gt;"",IFERROR(INDEX(Produtos!$C$4:$C$4996,MATCH(D9131,Produtos!$B$4:$B$4996,0)),"Produto não encontrado"),"")</f>
        <v/>
      </c>
    </row>
    <row r="9132" spans="1:5" x14ac:dyDescent="0.3">
      <c r="A9132" s="21" t="str">
        <f t="shared" si="142"/>
        <v>.</v>
      </c>
      <c r="D9132" s="44"/>
      <c r="E9132" s="22" t="str">
        <f>IF(D9132&lt;&gt;"",IFERROR(INDEX(Produtos!$C$4:$C$4996,MATCH(D9132,Produtos!$B$4:$B$4996,0)),"Produto não encontrado"),"")</f>
        <v/>
      </c>
    </row>
    <row r="9133" spans="1:5" x14ac:dyDescent="0.3">
      <c r="A9133" s="21" t="str">
        <f t="shared" si="142"/>
        <v>.</v>
      </c>
      <c r="D9133" s="44"/>
      <c r="E9133" s="22" t="str">
        <f>IF(D9133&lt;&gt;"",IFERROR(INDEX(Produtos!$C$4:$C$4996,MATCH(D9133,Produtos!$B$4:$B$4996,0)),"Produto não encontrado"),"")</f>
        <v/>
      </c>
    </row>
    <row r="9134" spans="1:5" x14ac:dyDescent="0.3">
      <c r="A9134" s="21" t="str">
        <f t="shared" si="142"/>
        <v>.</v>
      </c>
      <c r="D9134" s="44"/>
      <c r="E9134" s="22" t="str">
        <f>IF(D9134&lt;&gt;"",IFERROR(INDEX(Produtos!$C$4:$C$4996,MATCH(D9134,Produtos!$B$4:$B$4996,0)),"Produto não encontrado"),"")</f>
        <v/>
      </c>
    </row>
    <row r="9135" spans="1:5" x14ac:dyDescent="0.3">
      <c r="A9135" s="21" t="str">
        <f t="shared" si="142"/>
        <v>.</v>
      </c>
      <c r="D9135" s="44"/>
      <c r="E9135" s="22" t="str">
        <f>IF(D9135&lt;&gt;"",IFERROR(INDEX(Produtos!$C$4:$C$4996,MATCH(D9135,Produtos!$B$4:$B$4996,0)),"Produto não encontrado"),"")</f>
        <v/>
      </c>
    </row>
    <row r="9136" spans="1:5" x14ac:dyDescent="0.3">
      <c r="A9136" s="21" t="str">
        <f t="shared" si="142"/>
        <v>.</v>
      </c>
      <c r="D9136" s="44"/>
      <c r="E9136" s="22" t="str">
        <f>IF(D9136&lt;&gt;"",IFERROR(INDEX(Produtos!$C$4:$C$4996,MATCH(D9136,Produtos!$B$4:$B$4996,0)),"Produto não encontrado"),"")</f>
        <v/>
      </c>
    </row>
    <row r="9137" spans="1:5" x14ac:dyDescent="0.3">
      <c r="A9137" s="21" t="str">
        <f t="shared" si="142"/>
        <v>.</v>
      </c>
      <c r="D9137" s="44"/>
      <c r="E9137" s="22" t="str">
        <f>IF(D9137&lt;&gt;"",IFERROR(INDEX(Produtos!$C$4:$C$4996,MATCH(D9137,Produtos!$B$4:$B$4996,0)),"Produto não encontrado"),"")</f>
        <v/>
      </c>
    </row>
    <row r="9138" spans="1:5" x14ac:dyDescent="0.3">
      <c r="A9138" s="21" t="str">
        <f t="shared" si="142"/>
        <v>.</v>
      </c>
      <c r="D9138" s="44"/>
      <c r="E9138" s="22" t="str">
        <f>IF(D9138&lt;&gt;"",IFERROR(INDEX(Produtos!$C$4:$C$4996,MATCH(D9138,Produtos!$B$4:$B$4996,0)),"Produto não encontrado"),"")</f>
        <v/>
      </c>
    </row>
    <row r="9139" spans="1:5" x14ac:dyDescent="0.3">
      <c r="A9139" s="21" t="str">
        <f t="shared" si="142"/>
        <v>.</v>
      </c>
      <c r="D9139" s="44"/>
      <c r="E9139" s="22" t="str">
        <f>IF(D9139&lt;&gt;"",IFERROR(INDEX(Produtos!$C$4:$C$4996,MATCH(D9139,Produtos!$B$4:$B$4996,0)),"Produto não encontrado"),"")</f>
        <v/>
      </c>
    </row>
    <row r="9140" spans="1:5" x14ac:dyDescent="0.3">
      <c r="A9140" s="21" t="str">
        <f t="shared" si="142"/>
        <v>.</v>
      </c>
      <c r="D9140" s="44"/>
      <c r="E9140" s="22" t="str">
        <f>IF(D9140&lt;&gt;"",IFERROR(INDEX(Produtos!$C$4:$C$4996,MATCH(D9140,Produtos!$B$4:$B$4996,0)),"Produto não encontrado"),"")</f>
        <v/>
      </c>
    </row>
    <row r="9141" spans="1:5" x14ac:dyDescent="0.3">
      <c r="A9141" s="21" t="str">
        <f t="shared" si="142"/>
        <v>.</v>
      </c>
      <c r="D9141" s="44"/>
      <c r="E9141" s="22" t="str">
        <f>IF(D9141&lt;&gt;"",IFERROR(INDEX(Produtos!$C$4:$C$4996,MATCH(D9141,Produtos!$B$4:$B$4996,0)),"Produto não encontrado"),"")</f>
        <v/>
      </c>
    </row>
    <row r="9142" spans="1:5" x14ac:dyDescent="0.3">
      <c r="A9142" s="21" t="str">
        <f t="shared" si="142"/>
        <v>.</v>
      </c>
      <c r="D9142" s="44"/>
      <c r="E9142" s="22" t="str">
        <f>IF(D9142&lt;&gt;"",IFERROR(INDEX(Produtos!$C$4:$C$4996,MATCH(D9142,Produtos!$B$4:$B$4996,0)),"Produto não encontrado"),"")</f>
        <v/>
      </c>
    </row>
    <row r="9143" spans="1:5" x14ac:dyDescent="0.3">
      <c r="A9143" s="21" t="str">
        <f t="shared" si="142"/>
        <v>.</v>
      </c>
      <c r="D9143" s="44"/>
      <c r="E9143" s="22" t="str">
        <f>IF(D9143&lt;&gt;"",IFERROR(INDEX(Produtos!$C$4:$C$4996,MATCH(D9143,Produtos!$B$4:$B$4996,0)),"Produto não encontrado"),"")</f>
        <v/>
      </c>
    </row>
    <row r="9144" spans="1:5" x14ac:dyDescent="0.3">
      <c r="A9144" s="21" t="str">
        <f t="shared" si="142"/>
        <v>.</v>
      </c>
      <c r="D9144" s="44"/>
      <c r="E9144" s="22" t="str">
        <f>IF(D9144&lt;&gt;"",IFERROR(INDEX(Produtos!$C$4:$C$4996,MATCH(D9144,Produtos!$B$4:$B$4996,0)),"Produto não encontrado"),"")</f>
        <v/>
      </c>
    </row>
    <row r="9145" spans="1:5" x14ac:dyDescent="0.3">
      <c r="A9145" s="21" t="str">
        <f t="shared" si="142"/>
        <v>.</v>
      </c>
      <c r="D9145" s="44"/>
      <c r="E9145" s="22" t="str">
        <f>IF(D9145&lt;&gt;"",IFERROR(INDEX(Produtos!$C$4:$C$4996,MATCH(D9145,Produtos!$B$4:$B$4996,0)),"Produto não encontrado"),"")</f>
        <v/>
      </c>
    </row>
    <row r="9146" spans="1:5" x14ac:dyDescent="0.3">
      <c r="A9146" s="21" t="str">
        <f t="shared" si="142"/>
        <v>.</v>
      </c>
      <c r="D9146" s="44"/>
      <c r="E9146" s="22" t="str">
        <f>IF(D9146&lt;&gt;"",IFERROR(INDEX(Produtos!$C$4:$C$4996,MATCH(D9146,Produtos!$B$4:$B$4996,0)),"Produto não encontrado"),"")</f>
        <v/>
      </c>
    </row>
    <row r="9147" spans="1:5" x14ac:dyDescent="0.3">
      <c r="A9147" s="21" t="str">
        <f t="shared" si="142"/>
        <v>.</v>
      </c>
      <c r="D9147" s="44"/>
      <c r="E9147" s="22" t="str">
        <f>IF(D9147&lt;&gt;"",IFERROR(INDEX(Produtos!$C$4:$C$4996,MATCH(D9147,Produtos!$B$4:$B$4996,0)),"Produto não encontrado"),"")</f>
        <v/>
      </c>
    </row>
    <row r="9148" spans="1:5" x14ac:dyDescent="0.3">
      <c r="A9148" s="21" t="str">
        <f t="shared" si="142"/>
        <v>.</v>
      </c>
      <c r="D9148" s="44"/>
      <c r="E9148" s="22" t="str">
        <f>IF(D9148&lt;&gt;"",IFERROR(INDEX(Produtos!$C$4:$C$4996,MATCH(D9148,Produtos!$B$4:$B$4996,0)),"Produto não encontrado"),"")</f>
        <v/>
      </c>
    </row>
    <row r="9149" spans="1:5" x14ac:dyDescent="0.3">
      <c r="A9149" s="21" t="str">
        <f t="shared" si="142"/>
        <v>.</v>
      </c>
      <c r="D9149" s="44"/>
      <c r="E9149" s="22" t="str">
        <f>IF(D9149&lt;&gt;"",IFERROR(INDEX(Produtos!$C$4:$C$4996,MATCH(D9149,Produtos!$B$4:$B$4996,0)),"Produto não encontrado"),"")</f>
        <v/>
      </c>
    </row>
    <row r="9150" spans="1:5" x14ac:dyDescent="0.3">
      <c r="A9150" s="21" t="str">
        <f t="shared" si="142"/>
        <v>.</v>
      </c>
      <c r="D9150" s="44"/>
      <c r="E9150" s="22" t="str">
        <f>IF(D9150&lt;&gt;"",IFERROR(INDEX(Produtos!$C$4:$C$4996,MATCH(D9150,Produtos!$B$4:$B$4996,0)),"Produto não encontrado"),"")</f>
        <v/>
      </c>
    </row>
    <row r="9151" spans="1:5" x14ac:dyDescent="0.3">
      <c r="A9151" s="21" t="str">
        <f t="shared" si="142"/>
        <v>.</v>
      </c>
      <c r="D9151" s="44"/>
      <c r="E9151" s="22" t="str">
        <f>IF(D9151&lt;&gt;"",IFERROR(INDEX(Produtos!$C$4:$C$4996,MATCH(D9151,Produtos!$B$4:$B$4996,0)),"Produto não encontrado"),"")</f>
        <v/>
      </c>
    </row>
    <row r="9152" spans="1:5" x14ac:dyDescent="0.3">
      <c r="A9152" s="21" t="str">
        <f t="shared" ref="A9152:A9215" si="143">IF(C9152="Entrada",2,IF(C9152="Saída",1,"."))</f>
        <v>.</v>
      </c>
      <c r="D9152" s="44"/>
      <c r="E9152" s="22" t="str">
        <f>IF(D9152&lt;&gt;"",IFERROR(INDEX(Produtos!$C$4:$C$4996,MATCH(D9152,Produtos!$B$4:$B$4996,0)),"Produto não encontrado"),"")</f>
        <v/>
      </c>
    </row>
    <row r="9153" spans="1:5" x14ac:dyDescent="0.3">
      <c r="A9153" s="21" t="str">
        <f t="shared" si="143"/>
        <v>.</v>
      </c>
      <c r="D9153" s="44"/>
      <c r="E9153" s="22" t="str">
        <f>IF(D9153&lt;&gt;"",IFERROR(INDEX(Produtos!$C$4:$C$4996,MATCH(D9153,Produtos!$B$4:$B$4996,0)),"Produto não encontrado"),"")</f>
        <v/>
      </c>
    </row>
    <row r="9154" spans="1:5" x14ac:dyDescent="0.3">
      <c r="A9154" s="21" t="str">
        <f t="shared" si="143"/>
        <v>.</v>
      </c>
      <c r="D9154" s="44"/>
      <c r="E9154" s="22" t="str">
        <f>IF(D9154&lt;&gt;"",IFERROR(INDEX(Produtos!$C$4:$C$4996,MATCH(D9154,Produtos!$B$4:$B$4996,0)),"Produto não encontrado"),"")</f>
        <v/>
      </c>
    </row>
    <row r="9155" spans="1:5" x14ac:dyDescent="0.3">
      <c r="A9155" s="21" t="str">
        <f t="shared" si="143"/>
        <v>.</v>
      </c>
      <c r="D9155" s="44"/>
      <c r="E9155" s="22" t="str">
        <f>IF(D9155&lt;&gt;"",IFERROR(INDEX(Produtos!$C$4:$C$4996,MATCH(D9155,Produtos!$B$4:$B$4996,0)),"Produto não encontrado"),"")</f>
        <v/>
      </c>
    </row>
    <row r="9156" spans="1:5" x14ac:dyDescent="0.3">
      <c r="A9156" s="21" t="str">
        <f t="shared" si="143"/>
        <v>.</v>
      </c>
      <c r="D9156" s="44"/>
      <c r="E9156" s="22" t="str">
        <f>IF(D9156&lt;&gt;"",IFERROR(INDEX(Produtos!$C$4:$C$4996,MATCH(D9156,Produtos!$B$4:$B$4996,0)),"Produto não encontrado"),"")</f>
        <v/>
      </c>
    </row>
    <row r="9157" spans="1:5" x14ac:dyDescent="0.3">
      <c r="A9157" s="21" t="str">
        <f t="shared" si="143"/>
        <v>.</v>
      </c>
      <c r="D9157" s="44"/>
      <c r="E9157" s="22" t="str">
        <f>IF(D9157&lt;&gt;"",IFERROR(INDEX(Produtos!$C$4:$C$4996,MATCH(D9157,Produtos!$B$4:$B$4996,0)),"Produto não encontrado"),"")</f>
        <v/>
      </c>
    </row>
    <row r="9158" spans="1:5" x14ac:dyDescent="0.3">
      <c r="A9158" s="21" t="str">
        <f t="shared" si="143"/>
        <v>.</v>
      </c>
      <c r="D9158" s="44"/>
      <c r="E9158" s="22" t="str">
        <f>IF(D9158&lt;&gt;"",IFERROR(INDEX(Produtos!$C$4:$C$4996,MATCH(D9158,Produtos!$B$4:$B$4996,0)),"Produto não encontrado"),"")</f>
        <v/>
      </c>
    </row>
    <row r="9159" spans="1:5" x14ac:dyDescent="0.3">
      <c r="A9159" s="21" t="str">
        <f t="shared" si="143"/>
        <v>.</v>
      </c>
      <c r="D9159" s="44"/>
      <c r="E9159" s="22" t="str">
        <f>IF(D9159&lt;&gt;"",IFERROR(INDEX(Produtos!$C$4:$C$4996,MATCH(D9159,Produtos!$B$4:$B$4996,0)),"Produto não encontrado"),"")</f>
        <v/>
      </c>
    </row>
    <row r="9160" spans="1:5" x14ac:dyDescent="0.3">
      <c r="A9160" s="21" t="str">
        <f t="shared" si="143"/>
        <v>.</v>
      </c>
      <c r="D9160" s="44"/>
      <c r="E9160" s="22" t="str">
        <f>IF(D9160&lt;&gt;"",IFERROR(INDEX(Produtos!$C$4:$C$4996,MATCH(D9160,Produtos!$B$4:$B$4996,0)),"Produto não encontrado"),"")</f>
        <v/>
      </c>
    </row>
    <row r="9161" spans="1:5" x14ac:dyDescent="0.3">
      <c r="A9161" s="21" t="str">
        <f t="shared" si="143"/>
        <v>.</v>
      </c>
      <c r="D9161" s="44"/>
      <c r="E9161" s="22" t="str">
        <f>IF(D9161&lt;&gt;"",IFERROR(INDEX(Produtos!$C$4:$C$4996,MATCH(D9161,Produtos!$B$4:$B$4996,0)),"Produto não encontrado"),"")</f>
        <v/>
      </c>
    </row>
    <row r="9162" spans="1:5" x14ac:dyDescent="0.3">
      <c r="A9162" s="21" t="str">
        <f t="shared" si="143"/>
        <v>.</v>
      </c>
      <c r="D9162" s="44"/>
      <c r="E9162" s="22" t="str">
        <f>IF(D9162&lt;&gt;"",IFERROR(INDEX(Produtos!$C$4:$C$4996,MATCH(D9162,Produtos!$B$4:$B$4996,0)),"Produto não encontrado"),"")</f>
        <v/>
      </c>
    </row>
    <row r="9163" spans="1:5" x14ac:dyDescent="0.3">
      <c r="A9163" s="21" t="str">
        <f t="shared" si="143"/>
        <v>.</v>
      </c>
      <c r="D9163" s="44"/>
      <c r="E9163" s="22" t="str">
        <f>IF(D9163&lt;&gt;"",IFERROR(INDEX(Produtos!$C$4:$C$4996,MATCH(D9163,Produtos!$B$4:$B$4996,0)),"Produto não encontrado"),"")</f>
        <v/>
      </c>
    </row>
    <row r="9164" spans="1:5" x14ac:dyDescent="0.3">
      <c r="A9164" s="21" t="str">
        <f t="shared" si="143"/>
        <v>.</v>
      </c>
      <c r="D9164" s="44"/>
      <c r="E9164" s="22" t="str">
        <f>IF(D9164&lt;&gt;"",IFERROR(INDEX(Produtos!$C$4:$C$4996,MATCH(D9164,Produtos!$B$4:$B$4996,0)),"Produto não encontrado"),"")</f>
        <v/>
      </c>
    </row>
    <row r="9165" spans="1:5" x14ac:dyDescent="0.3">
      <c r="A9165" s="21" t="str">
        <f t="shared" si="143"/>
        <v>.</v>
      </c>
      <c r="D9165" s="44"/>
      <c r="E9165" s="22" t="str">
        <f>IF(D9165&lt;&gt;"",IFERROR(INDEX(Produtos!$C$4:$C$4996,MATCH(D9165,Produtos!$B$4:$B$4996,0)),"Produto não encontrado"),"")</f>
        <v/>
      </c>
    </row>
    <row r="9166" spans="1:5" x14ac:dyDescent="0.3">
      <c r="A9166" s="21" t="str">
        <f t="shared" si="143"/>
        <v>.</v>
      </c>
      <c r="D9166" s="44"/>
      <c r="E9166" s="22" t="str">
        <f>IF(D9166&lt;&gt;"",IFERROR(INDEX(Produtos!$C$4:$C$4996,MATCH(D9166,Produtos!$B$4:$B$4996,0)),"Produto não encontrado"),"")</f>
        <v/>
      </c>
    </row>
    <row r="9167" spans="1:5" x14ac:dyDescent="0.3">
      <c r="A9167" s="21" t="str">
        <f t="shared" si="143"/>
        <v>.</v>
      </c>
      <c r="D9167" s="44"/>
      <c r="E9167" s="22" t="str">
        <f>IF(D9167&lt;&gt;"",IFERROR(INDEX(Produtos!$C$4:$C$4996,MATCH(D9167,Produtos!$B$4:$B$4996,0)),"Produto não encontrado"),"")</f>
        <v/>
      </c>
    </row>
    <row r="9168" spans="1:5" x14ac:dyDescent="0.3">
      <c r="A9168" s="21" t="str">
        <f t="shared" si="143"/>
        <v>.</v>
      </c>
      <c r="D9168" s="44"/>
      <c r="E9168" s="22" t="str">
        <f>IF(D9168&lt;&gt;"",IFERROR(INDEX(Produtos!$C$4:$C$4996,MATCH(D9168,Produtos!$B$4:$B$4996,0)),"Produto não encontrado"),"")</f>
        <v/>
      </c>
    </row>
    <row r="9169" spans="1:5" x14ac:dyDescent="0.3">
      <c r="A9169" s="21" t="str">
        <f t="shared" si="143"/>
        <v>.</v>
      </c>
      <c r="D9169" s="44"/>
      <c r="E9169" s="22" t="str">
        <f>IF(D9169&lt;&gt;"",IFERROR(INDEX(Produtos!$C$4:$C$4996,MATCH(D9169,Produtos!$B$4:$B$4996,0)),"Produto não encontrado"),"")</f>
        <v/>
      </c>
    </row>
    <row r="9170" spans="1:5" x14ac:dyDescent="0.3">
      <c r="A9170" s="21" t="str">
        <f t="shared" si="143"/>
        <v>.</v>
      </c>
      <c r="D9170" s="44"/>
      <c r="E9170" s="22" t="str">
        <f>IF(D9170&lt;&gt;"",IFERROR(INDEX(Produtos!$C$4:$C$4996,MATCH(D9170,Produtos!$B$4:$B$4996,0)),"Produto não encontrado"),"")</f>
        <v/>
      </c>
    </row>
    <row r="9171" spans="1:5" x14ac:dyDescent="0.3">
      <c r="A9171" s="21" t="str">
        <f t="shared" si="143"/>
        <v>.</v>
      </c>
      <c r="D9171" s="44"/>
      <c r="E9171" s="22" t="str">
        <f>IF(D9171&lt;&gt;"",IFERROR(INDEX(Produtos!$C$4:$C$4996,MATCH(D9171,Produtos!$B$4:$B$4996,0)),"Produto não encontrado"),"")</f>
        <v/>
      </c>
    </row>
    <row r="9172" spans="1:5" x14ac:dyDescent="0.3">
      <c r="A9172" s="21" t="str">
        <f t="shared" si="143"/>
        <v>.</v>
      </c>
      <c r="D9172" s="44"/>
      <c r="E9172" s="22" t="str">
        <f>IF(D9172&lt;&gt;"",IFERROR(INDEX(Produtos!$C$4:$C$4996,MATCH(D9172,Produtos!$B$4:$B$4996,0)),"Produto não encontrado"),"")</f>
        <v/>
      </c>
    </row>
    <row r="9173" spans="1:5" x14ac:dyDescent="0.3">
      <c r="A9173" s="21" t="str">
        <f t="shared" si="143"/>
        <v>.</v>
      </c>
      <c r="D9173" s="44"/>
      <c r="E9173" s="22" t="str">
        <f>IF(D9173&lt;&gt;"",IFERROR(INDEX(Produtos!$C$4:$C$4996,MATCH(D9173,Produtos!$B$4:$B$4996,0)),"Produto não encontrado"),"")</f>
        <v/>
      </c>
    </row>
    <row r="9174" spans="1:5" x14ac:dyDescent="0.3">
      <c r="A9174" s="21" t="str">
        <f t="shared" si="143"/>
        <v>.</v>
      </c>
      <c r="D9174" s="44"/>
      <c r="E9174" s="22" t="str">
        <f>IF(D9174&lt;&gt;"",IFERROR(INDEX(Produtos!$C$4:$C$4996,MATCH(D9174,Produtos!$B$4:$B$4996,0)),"Produto não encontrado"),"")</f>
        <v/>
      </c>
    </row>
    <row r="9175" spans="1:5" x14ac:dyDescent="0.3">
      <c r="A9175" s="21" t="str">
        <f t="shared" si="143"/>
        <v>.</v>
      </c>
      <c r="D9175" s="44"/>
      <c r="E9175" s="22" t="str">
        <f>IF(D9175&lt;&gt;"",IFERROR(INDEX(Produtos!$C$4:$C$4996,MATCH(D9175,Produtos!$B$4:$B$4996,0)),"Produto não encontrado"),"")</f>
        <v/>
      </c>
    </row>
    <row r="9176" spans="1:5" x14ac:dyDescent="0.3">
      <c r="A9176" s="21" t="str">
        <f t="shared" si="143"/>
        <v>.</v>
      </c>
      <c r="D9176" s="44"/>
      <c r="E9176" s="22" t="str">
        <f>IF(D9176&lt;&gt;"",IFERROR(INDEX(Produtos!$C$4:$C$4996,MATCH(D9176,Produtos!$B$4:$B$4996,0)),"Produto não encontrado"),"")</f>
        <v/>
      </c>
    </row>
    <row r="9177" spans="1:5" x14ac:dyDescent="0.3">
      <c r="A9177" s="21" t="str">
        <f t="shared" si="143"/>
        <v>.</v>
      </c>
      <c r="D9177" s="44"/>
      <c r="E9177" s="22" t="str">
        <f>IF(D9177&lt;&gt;"",IFERROR(INDEX(Produtos!$C$4:$C$4996,MATCH(D9177,Produtos!$B$4:$B$4996,0)),"Produto não encontrado"),"")</f>
        <v/>
      </c>
    </row>
    <row r="9178" spans="1:5" x14ac:dyDescent="0.3">
      <c r="A9178" s="21" t="str">
        <f t="shared" si="143"/>
        <v>.</v>
      </c>
      <c r="D9178" s="44"/>
      <c r="E9178" s="22" t="str">
        <f>IF(D9178&lt;&gt;"",IFERROR(INDEX(Produtos!$C$4:$C$4996,MATCH(D9178,Produtos!$B$4:$B$4996,0)),"Produto não encontrado"),"")</f>
        <v/>
      </c>
    </row>
    <row r="9179" spans="1:5" x14ac:dyDescent="0.3">
      <c r="A9179" s="21" t="str">
        <f t="shared" si="143"/>
        <v>.</v>
      </c>
      <c r="D9179" s="44"/>
      <c r="E9179" s="22" t="str">
        <f>IF(D9179&lt;&gt;"",IFERROR(INDEX(Produtos!$C$4:$C$4996,MATCH(D9179,Produtos!$B$4:$B$4996,0)),"Produto não encontrado"),"")</f>
        <v/>
      </c>
    </row>
    <row r="9180" spans="1:5" x14ac:dyDescent="0.3">
      <c r="A9180" s="21" t="str">
        <f t="shared" si="143"/>
        <v>.</v>
      </c>
      <c r="D9180" s="44"/>
      <c r="E9180" s="22" t="str">
        <f>IF(D9180&lt;&gt;"",IFERROR(INDEX(Produtos!$C$4:$C$4996,MATCH(D9180,Produtos!$B$4:$B$4996,0)),"Produto não encontrado"),"")</f>
        <v/>
      </c>
    </row>
    <row r="9181" spans="1:5" x14ac:dyDescent="0.3">
      <c r="A9181" s="21" t="str">
        <f t="shared" si="143"/>
        <v>.</v>
      </c>
      <c r="D9181" s="44"/>
      <c r="E9181" s="22" t="str">
        <f>IF(D9181&lt;&gt;"",IFERROR(INDEX(Produtos!$C$4:$C$4996,MATCH(D9181,Produtos!$B$4:$B$4996,0)),"Produto não encontrado"),"")</f>
        <v/>
      </c>
    </row>
    <row r="9182" spans="1:5" x14ac:dyDescent="0.3">
      <c r="A9182" s="21" t="str">
        <f t="shared" si="143"/>
        <v>.</v>
      </c>
      <c r="D9182" s="44"/>
      <c r="E9182" s="22" t="str">
        <f>IF(D9182&lt;&gt;"",IFERROR(INDEX(Produtos!$C$4:$C$4996,MATCH(D9182,Produtos!$B$4:$B$4996,0)),"Produto não encontrado"),"")</f>
        <v/>
      </c>
    </row>
    <row r="9183" spans="1:5" x14ac:dyDescent="0.3">
      <c r="A9183" s="21" t="str">
        <f t="shared" si="143"/>
        <v>.</v>
      </c>
      <c r="D9183" s="44"/>
      <c r="E9183" s="22" t="str">
        <f>IF(D9183&lt;&gt;"",IFERROR(INDEX(Produtos!$C$4:$C$4996,MATCH(D9183,Produtos!$B$4:$B$4996,0)),"Produto não encontrado"),"")</f>
        <v/>
      </c>
    </row>
    <row r="9184" spans="1:5" x14ac:dyDescent="0.3">
      <c r="A9184" s="21" t="str">
        <f t="shared" si="143"/>
        <v>.</v>
      </c>
      <c r="D9184" s="44"/>
      <c r="E9184" s="22" t="str">
        <f>IF(D9184&lt;&gt;"",IFERROR(INDEX(Produtos!$C$4:$C$4996,MATCH(D9184,Produtos!$B$4:$B$4996,0)),"Produto não encontrado"),"")</f>
        <v/>
      </c>
    </row>
    <row r="9185" spans="1:5" x14ac:dyDescent="0.3">
      <c r="A9185" s="21" t="str">
        <f t="shared" si="143"/>
        <v>.</v>
      </c>
      <c r="D9185" s="44"/>
      <c r="E9185" s="22" t="str">
        <f>IF(D9185&lt;&gt;"",IFERROR(INDEX(Produtos!$C$4:$C$4996,MATCH(D9185,Produtos!$B$4:$B$4996,0)),"Produto não encontrado"),"")</f>
        <v/>
      </c>
    </row>
    <row r="9186" spans="1:5" x14ac:dyDescent="0.3">
      <c r="A9186" s="21" t="str">
        <f t="shared" si="143"/>
        <v>.</v>
      </c>
      <c r="D9186" s="44"/>
      <c r="E9186" s="22" t="str">
        <f>IF(D9186&lt;&gt;"",IFERROR(INDEX(Produtos!$C$4:$C$4996,MATCH(D9186,Produtos!$B$4:$B$4996,0)),"Produto não encontrado"),"")</f>
        <v/>
      </c>
    </row>
    <row r="9187" spans="1:5" x14ac:dyDescent="0.3">
      <c r="A9187" s="21" t="str">
        <f t="shared" si="143"/>
        <v>.</v>
      </c>
      <c r="D9187" s="44"/>
      <c r="E9187" s="22" t="str">
        <f>IF(D9187&lt;&gt;"",IFERROR(INDEX(Produtos!$C$4:$C$4996,MATCH(D9187,Produtos!$B$4:$B$4996,0)),"Produto não encontrado"),"")</f>
        <v/>
      </c>
    </row>
    <row r="9188" spans="1:5" x14ac:dyDescent="0.3">
      <c r="A9188" s="21" t="str">
        <f t="shared" si="143"/>
        <v>.</v>
      </c>
      <c r="D9188" s="44"/>
      <c r="E9188" s="22" t="str">
        <f>IF(D9188&lt;&gt;"",IFERROR(INDEX(Produtos!$C$4:$C$4996,MATCH(D9188,Produtos!$B$4:$B$4996,0)),"Produto não encontrado"),"")</f>
        <v/>
      </c>
    </row>
    <row r="9189" spans="1:5" x14ac:dyDescent="0.3">
      <c r="A9189" s="21" t="str">
        <f t="shared" si="143"/>
        <v>.</v>
      </c>
      <c r="D9189" s="44"/>
      <c r="E9189" s="22" t="str">
        <f>IF(D9189&lt;&gt;"",IFERROR(INDEX(Produtos!$C$4:$C$4996,MATCH(D9189,Produtos!$B$4:$B$4996,0)),"Produto não encontrado"),"")</f>
        <v/>
      </c>
    </row>
    <row r="9190" spans="1:5" x14ac:dyDescent="0.3">
      <c r="A9190" s="21" t="str">
        <f t="shared" si="143"/>
        <v>.</v>
      </c>
      <c r="D9190" s="44"/>
      <c r="E9190" s="22" t="str">
        <f>IF(D9190&lt;&gt;"",IFERROR(INDEX(Produtos!$C$4:$C$4996,MATCH(D9190,Produtos!$B$4:$B$4996,0)),"Produto não encontrado"),"")</f>
        <v/>
      </c>
    </row>
    <row r="9191" spans="1:5" x14ac:dyDescent="0.3">
      <c r="A9191" s="21" t="str">
        <f t="shared" si="143"/>
        <v>.</v>
      </c>
      <c r="D9191" s="44"/>
      <c r="E9191" s="22" t="str">
        <f>IF(D9191&lt;&gt;"",IFERROR(INDEX(Produtos!$C$4:$C$4996,MATCH(D9191,Produtos!$B$4:$B$4996,0)),"Produto não encontrado"),"")</f>
        <v/>
      </c>
    </row>
    <row r="9192" spans="1:5" x14ac:dyDescent="0.3">
      <c r="A9192" s="21" t="str">
        <f t="shared" si="143"/>
        <v>.</v>
      </c>
      <c r="D9192" s="44"/>
      <c r="E9192" s="22" t="str">
        <f>IF(D9192&lt;&gt;"",IFERROR(INDEX(Produtos!$C$4:$C$4996,MATCH(D9192,Produtos!$B$4:$B$4996,0)),"Produto não encontrado"),"")</f>
        <v/>
      </c>
    </row>
    <row r="9193" spans="1:5" x14ac:dyDescent="0.3">
      <c r="A9193" s="21" t="str">
        <f t="shared" si="143"/>
        <v>.</v>
      </c>
      <c r="D9193" s="44"/>
      <c r="E9193" s="22" t="str">
        <f>IF(D9193&lt;&gt;"",IFERROR(INDEX(Produtos!$C$4:$C$4996,MATCH(D9193,Produtos!$B$4:$B$4996,0)),"Produto não encontrado"),"")</f>
        <v/>
      </c>
    </row>
    <row r="9194" spans="1:5" x14ac:dyDescent="0.3">
      <c r="A9194" s="21" t="str">
        <f t="shared" si="143"/>
        <v>.</v>
      </c>
      <c r="D9194" s="44"/>
      <c r="E9194" s="22" t="str">
        <f>IF(D9194&lt;&gt;"",IFERROR(INDEX(Produtos!$C$4:$C$4996,MATCH(D9194,Produtos!$B$4:$B$4996,0)),"Produto não encontrado"),"")</f>
        <v/>
      </c>
    </row>
    <row r="9195" spans="1:5" x14ac:dyDescent="0.3">
      <c r="A9195" s="21" t="str">
        <f t="shared" si="143"/>
        <v>.</v>
      </c>
      <c r="D9195" s="44"/>
      <c r="E9195" s="22" t="str">
        <f>IF(D9195&lt;&gt;"",IFERROR(INDEX(Produtos!$C$4:$C$4996,MATCH(D9195,Produtos!$B$4:$B$4996,0)),"Produto não encontrado"),"")</f>
        <v/>
      </c>
    </row>
    <row r="9196" spans="1:5" x14ac:dyDescent="0.3">
      <c r="A9196" s="21" t="str">
        <f t="shared" si="143"/>
        <v>.</v>
      </c>
      <c r="D9196" s="44"/>
      <c r="E9196" s="22" t="str">
        <f>IF(D9196&lt;&gt;"",IFERROR(INDEX(Produtos!$C$4:$C$4996,MATCH(D9196,Produtos!$B$4:$B$4996,0)),"Produto não encontrado"),"")</f>
        <v/>
      </c>
    </row>
    <row r="9197" spans="1:5" x14ac:dyDescent="0.3">
      <c r="A9197" s="21" t="str">
        <f t="shared" si="143"/>
        <v>.</v>
      </c>
      <c r="D9197" s="44"/>
      <c r="E9197" s="22" t="str">
        <f>IF(D9197&lt;&gt;"",IFERROR(INDEX(Produtos!$C$4:$C$4996,MATCH(D9197,Produtos!$B$4:$B$4996,0)),"Produto não encontrado"),"")</f>
        <v/>
      </c>
    </row>
    <row r="9198" spans="1:5" x14ac:dyDescent="0.3">
      <c r="A9198" s="21" t="str">
        <f t="shared" si="143"/>
        <v>.</v>
      </c>
      <c r="D9198" s="44"/>
      <c r="E9198" s="22" t="str">
        <f>IF(D9198&lt;&gt;"",IFERROR(INDEX(Produtos!$C$4:$C$4996,MATCH(D9198,Produtos!$B$4:$B$4996,0)),"Produto não encontrado"),"")</f>
        <v/>
      </c>
    </row>
    <row r="9199" spans="1:5" x14ac:dyDescent="0.3">
      <c r="A9199" s="21" t="str">
        <f t="shared" si="143"/>
        <v>.</v>
      </c>
      <c r="D9199" s="44"/>
      <c r="E9199" s="22" t="str">
        <f>IF(D9199&lt;&gt;"",IFERROR(INDEX(Produtos!$C$4:$C$4996,MATCH(D9199,Produtos!$B$4:$B$4996,0)),"Produto não encontrado"),"")</f>
        <v/>
      </c>
    </row>
    <row r="9200" spans="1:5" x14ac:dyDescent="0.3">
      <c r="A9200" s="21" t="str">
        <f t="shared" si="143"/>
        <v>.</v>
      </c>
      <c r="D9200" s="44"/>
      <c r="E9200" s="22" t="str">
        <f>IF(D9200&lt;&gt;"",IFERROR(INDEX(Produtos!$C$4:$C$4996,MATCH(D9200,Produtos!$B$4:$B$4996,0)),"Produto não encontrado"),"")</f>
        <v/>
      </c>
    </row>
    <row r="9201" spans="1:5" x14ac:dyDescent="0.3">
      <c r="A9201" s="21" t="str">
        <f t="shared" si="143"/>
        <v>.</v>
      </c>
      <c r="D9201" s="44"/>
      <c r="E9201" s="22" t="str">
        <f>IF(D9201&lt;&gt;"",IFERROR(INDEX(Produtos!$C$4:$C$4996,MATCH(D9201,Produtos!$B$4:$B$4996,0)),"Produto não encontrado"),"")</f>
        <v/>
      </c>
    </row>
    <row r="9202" spans="1:5" x14ac:dyDescent="0.3">
      <c r="A9202" s="21" t="str">
        <f t="shared" si="143"/>
        <v>.</v>
      </c>
      <c r="D9202" s="44"/>
      <c r="E9202" s="22" t="str">
        <f>IF(D9202&lt;&gt;"",IFERROR(INDEX(Produtos!$C$4:$C$4996,MATCH(D9202,Produtos!$B$4:$B$4996,0)),"Produto não encontrado"),"")</f>
        <v/>
      </c>
    </row>
    <row r="9203" spans="1:5" x14ac:dyDescent="0.3">
      <c r="A9203" s="21" t="str">
        <f t="shared" si="143"/>
        <v>.</v>
      </c>
      <c r="D9203" s="44"/>
      <c r="E9203" s="22" t="str">
        <f>IF(D9203&lt;&gt;"",IFERROR(INDEX(Produtos!$C$4:$C$4996,MATCH(D9203,Produtos!$B$4:$B$4996,0)),"Produto não encontrado"),"")</f>
        <v/>
      </c>
    </row>
    <row r="9204" spans="1:5" x14ac:dyDescent="0.3">
      <c r="A9204" s="21" t="str">
        <f t="shared" si="143"/>
        <v>.</v>
      </c>
      <c r="D9204" s="44"/>
      <c r="E9204" s="22" t="str">
        <f>IF(D9204&lt;&gt;"",IFERROR(INDEX(Produtos!$C$4:$C$4996,MATCH(D9204,Produtos!$B$4:$B$4996,0)),"Produto não encontrado"),"")</f>
        <v/>
      </c>
    </row>
    <row r="9205" spans="1:5" x14ac:dyDescent="0.3">
      <c r="A9205" s="21" t="str">
        <f t="shared" si="143"/>
        <v>.</v>
      </c>
      <c r="D9205" s="44"/>
      <c r="E9205" s="22" t="str">
        <f>IF(D9205&lt;&gt;"",IFERROR(INDEX(Produtos!$C$4:$C$4996,MATCH(D9205,Produtos!$B$4:$B$4996,0)),"Produto não encontrado"),"")</f>
        <v/>
      </c>
    </row>
    <row r="9206" spans="1:5" x14ac:dyDescent="0.3">
      <c r="A9206" s="21" t="str">
        <f t="shared" si="143"/>
        <v>.</v>
      </c>
      <c r="D9206" s="44"/>
      <c r="E9206" s="22" t="str">
        <f>IF(D9206&lt;&gt;"",IFERROR(INDEX(Produtos!$C$4:$C$4996,MATCH(D9206,Produtos!$B$4:$B$4996,0)),"Produto não encontrado"),"")</f>
        <v/>
      </c>
    </row>
    <row r="9207" spans="1:5" x14ac:dyDescent="0.3">
      <c r="A9207" s="21" t="str">
        <f t="shared" si="143"/>
        <v>.</v>
      </c>
      <c r="D9207" s="44"/>
      <c r="E9207" s="22" t="str">
        <f>IF(D9207&lt;&gt;"",IFERROR(INDEX(Produtos!$C$4:$C$4996,MATCH(D9207,Produtos!$B$4:$B$4996,0)),"Produto não encontrado"),"")</f>
        <v/>
      </c>
    </row>
    <row r="9208" spans="1:5" x14ac:dyDescent="0.3">
      <c r="A9208" s="21" t="str">
        <f t="shared" si="143"/>
        <v>.</v>
      </c>
      <c r="D9208" s="44"/>
      <c r="E9208" s="22" t="str">
        <f>IF(D9208&lt;&gt;"",IFERROR(INDEX(Produtos!$C$4:$C$4996,MATCH(D9208,Produtos!$B$4:$B$4996,0)),"Produto não encontrado"),"")</f>
        <v/>
      </c>
    </row>
    <row r="9209" spans="1:5" x14ac:dyDescent="0.3">
      <c r="A9209" s="21" t="str">
        <f t="shared" si="143"/>
        <v>.</v>
      </c>
      <c r="D9209" s="44"/>
      <c r="E9209" s="22" t="str">
        <f>IF(D9209&lt;&gt;"",IFERROR(INDEX(Produtos!$C$4:$C$4996,MATCH(D9209,Produtos!$B$4:$B$4996,0)),"Produto não encontrado"),"")</f>
        <v/>
      </c>
    </row>
    <row r="9210" spans="1:5" x14ac:dyDescent="0.3">
      <c r="A9210" s="21" t="str">
        <f t="shared" si="143"/>
        <v>.</v>
      </c>
      <c r="D9210" s="44"/>
      <c r="E9210" s="22" t="str">
        <f>IF(D9210&lt;&gt;"",IFERROR(INDEX(Produtos!$C$4:$C$4996,MATCH(D9210,Produtos!$B$4:$B$4996,0)),"Produto não encontrado"),"")</f>
        <v/>
      </c>
    </row>
    <row r="9211" spans="1:5" x14ac:dyDescent="0.3">
      <c r="A9211" s="21" t="str">
        <f t="shared" si="143"/>
        <v>.</v>
      </c>
      <c r="D9211" s="44"/>
      <c r="E9211" s="22" t="str">
        <f>IF(D9211&lt;&gt;"",IFERROR(INDEX(Produtos!$C$4:$C$4996,MATCH(D9211,Produtos!$B$4:$B$4996,0)),"Produto não encontrado"),"")</f>
        <v/>
      </c>
    </row>
    <row r="9212" spans="1:5" x14ac:dyDescent="0.3">
      <c r="A9212" s="21" t="str">
        <f t="shared" si="143"/>
        <v>.</v>
      </c>
      <c r="D9212" s="44"/>
      <c r="E9212" s="22" t="str">
        <f>IF(D9212&lt;&gt;"",IFERROR(INDEX(Produtos!$C$4:$C$4996,MATCH(D9212,Produtos!$B$4:$B$4996,0)),"Produto não encontrado"),"")</f>
        <v/>
      </c>
    </row>
    <row r="9213" spans="1:5" x14ac:dyDescent="0.3">
      <c r="A9213" s="21" t="str">
        <f t="shared" si="143"/>
        <v>.</v>
      </c>
      <c r="D9213" s="44"/>
      <c r="E9213" s="22" t="str">
        <f>IF(D9213&lt;&gt;"",IFERROR(INDEX(Produtos!$C$4:$C$4996,MATCH(D9213,Produtos!$B$4:$B$4996,0)),"Produto não encontrado"),"")</f>
        <v/>
      </c>
    </row>
    <row r="9214" spans="1:5" x14ac:dyDescent="0.3">
      <c r="A9214" s="21" t="str">
        <f t="shared" si="143"/>
        <v>.</v>
      </c>
      <c r="D9214" s="44"/>
      <c r="E9214" s="22" t="str">
        <f>IF(D9214&lt;&gt;"",IFERROR(INDEX(Produtos!$C$4:$C$4996,MATCH(D9214,Produtos!$B$4:$B$4996,0)),"Produto não encontrado"),"")</f>
        <v/>
      </c>
    </row>
    <row r="9215" spans="1:5" x14ac:dyDescent="0.3">
      <c r="A9215" s="21" t="str">
        <f t="shared" si="143"/>
        <v>.</v>
      </c>
      <c r="D9215" s="44"/>
      <c r="E9215" s="22" t="str">
        <f>IF(D9215&lt;&gt;"",IFERROR(INDEX(Produtos!$C$4:$C$4996,MATCH(D9215,Produtos!$B$4:$B$4996,0)),"Produto não encontrado"),"")</f>
        <v/>
      </c>
    </row>
    <row r="9216" spans="1:5" x14ac:dyDescent="0.3">
      <c r="A9216" s="21" t="str">
        <f t="shared" ref="A9216:A9279" si="144">IF(C9216="Entrada",2,IF(C9216="Saída",1,"."))</f>
        <v>.</v>
      </c>
      <c r="D9216" s="44"/>
      <c r="E9216" s="22" t="str">
        <f>IF(D9216&lt;&gt;"",IFERROR(INDEX(Produtos!$C$4:$C$4996,MATCH(D9216,Produtos!$B$4:$B$4996,0)),"Produto não encontrado"),"")</f>
        <v/>
      </c>
    </row>
    <row r="9217" spans="1:5" x14ac:dyDescent="0.3">
      <c r="A9217" s="21" t="str">
        <f t="shared" si="144"/>
        <v>.</v>
      </c>
      <c r="D9217" s="44"/>
      <c r="E9217" s="22" t="str">
        <f>IF(D9217&lt;&gt;"",IFERROR(INDEX(Produtos!$C$4:$C$4996,MATCH(D9217,Produtos!$B$4:$B$4996,0)),"Produto não encontrado"),"")</f>
        <v/>
      </c>
    </row>
    <row r="9218" spans="1:5" x14ac:dyDescent="0.3">
      <c r="A9218" s="21" t="str">
        <f t="shared" si="144"/>
        <v>.</v>
      </c>
      <c r="D9218" s="44"/>
      <c r="E9218" s="22" t="str">
        <f>IF(D9218&lt;&gt;"",IFERROR(INDEX(Produtos!$C$4:$C$4996,MATCH(D9218,Produtos!$B$4:$B$4996,0)),"Produto não encontrado"),"")</f>
        <v/>
      </c>
    </row>
    <row r="9219" spans="1:5" x14ac:dyDescent="0.3">
      <c r="A9219" s="21" t="str">
        <f t="shared" si="144"/>
        <v>.</v>
      </c>
      <c r="D9219" s="44"/>
      <c r="E9219" s="22" t="str">
        <f>IF(D9219&lt;&gt;"",IFERROR(INDEX(Produtos!$C$4:$C$4996,MATCH(D9219,Produtos!$B$4:$B$4996,0)),"Produto não encontrado"),"")</f>
        <v/>
      </c>
    </row>
    <row r="9220" spans="1:5" x14ac:dyDescent="0.3">
      <c r="A9220" s="21" t="str">
        <f t="shared" si="144"/>
        <v>.</v>
      </c>
      <c r="D9220" s="44"/>
      <c r="E9220" s="22" t="str">
        <f>IF(D9220&lt;&gt;"",IFERROR(INDEX(Produtos!$C$4:$C$4996,MATCH(D9220,Produtos!$B$4:$B$4996,0)),"Produto não encontrado"),"")</f>
        <v/>
      </c>
    </row>
    <row r="9221" spans="1:5" x14ac:dyDescent="0.3">
      <c r="A9221" s="21" t="str">
        <f t="shared" si="144"/>
        <v>.</v>
      </c>
      <c r="D9221" s="44"/>
      <c r="E9221" s="22" t="str">
        <f>IF(D9221&lt;&gt;"",IFERROR(INDEX(Produtos!$C$4:$C$4996,MATCH(D9221,Produtos!$B$4:$B$4996,0)),"Produto não encontrado"),"")</f>
        <v/>
      </c>
    </row>
    <row r="9222" spans="1:5" x14ac:dyDescent="0.3">
      <c r="A9222" s="21" t="str">
        <f t="shared" si="144"/>
        <v>.</v>
      </c>
      <c r="D9222" s="44"/>
      <c r="E9222" s="22" t="str">
        <f>IF(D9222&lt;&gt;"",IFERROR(INDEX(Produtos!$C$4:$C$4996,MATCH(D9222,Produtos!$B$4:$B$4996,0)),"Produto não encontrado"),"")</f>
        <v/>
      </c>
    </row>
    <row r="9223" spans="1:5" x14ac:dyDescent="0.3">
      <c r="A9223" s="21" t="str">
        <f t="shared" si="144"/>
        <v>.</v>
      </c>
      <c r="D9223" s="44"/>
      <c r="E9223" s="22" t="str">
        <f>IF(D9223&lt;&gt;"",IFERROR(INDEX(Produtos!$C$4:$C$4996,MATCH(D9223,Produtos!$B$4:$B$4996,0)),"Produto não encontrado"),"")</f>
        <v/>
      </c>
    </row>
    <row r="9224" spans="1:5" x14ac:dyDescent="0.3">
      <c r="A9224" s="21" t="str">
        <f t="shared" si="144"/>
        <v>.</v>
      </c>
      <c r="D9224" s="44"/>
      <c r="E9224" s="22" t="str">
        <f>IF(D9224&lt;&gt;"",IFERROR(INDEX(Produtos!$C$4:$C$4996,MATCH(D9224,Produtos!$B$4:$B$4996,0)),"Produto não encontrado"),"")</f>
        <v/>
      </c>
    </row>
    <row r="9225" spans="1:5" x14ac:dyDescent="0.3">
      <c r="A9225" s="21" t="str">
        <f t="shared" si="144"/>
        <v>.</v>
      </c>
      <c r="D9225" s="44"/>
      <c r="E9225" s="22" t="str">
        <f>IF(D9225&lt;&gt;"",IFERROR(INDEX(Produtos!$C$4:$C$4996,MATCH(D9225,Produtos!$B$4:$B$4996,0)),"Produto não encontrado"),"")</f>
        <v/>
      </c>
    </row>
    <row r="9226" spans="1:5" x14ac:dyDescent="0.3">
      <c r="A9226" s="21" t="str">
        <f t="shared" si="144"/>
        <v>.</v>
      </c>
      <c r="D9226" s="44"/>
      <c r="E9226" s="22" t="str">
        <f>IF(D9226&lt;&gt;"",IFERROR(INDEX(Produtos!$C$4:$C$4996,MATCH(D9226,Produtos!$B$4:$B$4996,0)),"Produto não encontrado"),"")</f>
        <v/>
      </c>
    </row>
    <row r="9227" spans="1:5" x14ac:dyDescent="0.3">
      <c r="A9227" s="21" t="str">
        <f t="shared" si="144"/>
        <v>.</v>
      </c>
      <c r="D9227" s="44"/>
      <c r="E9227" s="22" t="str">
        <f>IF(D9227&lt;&gt;"",IFERROR(INDEX(Produtos!$C$4:$C$4996,MATCH(D9227,Produtos!$B$4:$B$4996,0)),"Produto não encontrado"),"")</f>
        <v/>
      </c>
    </row>
    <row r="9228" spans="1:5" x14ac:dyDescent="0.3">
      <c r="A9228" s="21" t="str">
        <f t="shared" si="144"/>
        <v>.</v>
      </c>
      <c r="D9228" s="44"/>
      <c r="E9228" s="22" t="str">
        <f>IF(D9228&lt;&gt;"",IFERROR(INDEX(Produtos!$C$4:$C$4996,MATCH(D9228,Produtos!$B$4:$B$4996,0)),"Produto não encontrado"),"")</f>
        <v/>
      </c>
    </row>
    <row r="9229" spans="1:5" x14ac:dyDescent="0.3">
      <c r="A9229" s="21" t="str">
        <f t="shared" si="144"/>
        <v>.</v>
      </c>
      <c r="D9229" s="44"/>
      <c r="E9229" s="22" t="str">
        <f>IF(D9229&lt;&gt;"",IFERROR(INDEX(Produtos!$C$4:$C$4996,MATCH(D9229,Produtos!$B$4:$B$4996,0)),"Produto não encontrado"),"")</f>
        <v/>
      </c>
    </row>
    <row r="9230" spans="1:5" x14ac:dyDescent="0.3">
      <c r="A9230" s="21" t="str">
        <f t="shared" si="144"/>
        <v>.</v>
      </c>
      <c r="D9230" s="44"/>
      <c r="E9230" s="22" t="str">
        <f>IF(D9230&lt;&gt;"",IFERROR(INDEX(Produtos!$C$4:$C$4996,MATCH(D9230,Produtos!$B$4:$B$4996,0)),"Produto não encontrado"),"")</f>
        <v/>
      </c>
    </row>
    <row r="9231" spans="1:5" x14ac:dyDescent="0.3">
      <c r="A9231" s="21" t="str">
        <f t="shared" si="144"/>
        <v>.</v>
      </c>
      <c r="D9231" s="44"/>
      <c r="E9231" s="22" t="str">
        <f>IF(D9231&lt;&gt;"",IFERROR(INDEX(Produtos!$C$4:$C$4996,MATCH(D9231,Produtos!$B$4:$B$4996,0)),"Produto não encontrado"),"")</f>
        <v/>
      </c>
    </row>
    <row r="9232" spans="1:5" x14ac:dyDescent="0.3">
      <c r="A9232" s="21" t="str">
        <f t="shared" si="144"/>
        <v>.</v>
      </c>
      <c r="D9232" s="44"/>
      <c r="E9232" s="22" t="str">
        <f>IF(D9232&lt;&gt;"",IFERROR(INDEX(Produtos!$C$4:$C$4996,MATCH(D9232,Produtos!$B$4:$B$4996,0)),"Produto não encontrado"),"")</f>
        <v/>
      </c>
    </row>
    <row r="9233" spans="1:5" x14ac:dyDescent="0.3">
      <c r="A9233" s="21" t="str">
        <f t="shared" si="144"/>
        <v>.</v>
      </c>
      <c r="D9233" s="44"/>
      <c r="E9233" s="22" t="str">
        <f>IF(D9233&lt;&gt;"",IFERROR(INDEX(Produtos!$C$4:$C$4996,MATCH(D9233,Produtos!$B$4:$B$4996,0)),"Produto não encontrado"),"")</f>
        <v/>
      </c>
    </row>
    <row r="9234" spans="1:5" x14ac:dyDescent="0.3">
      <c r="A9234" s="21" t="str">
        <f t="shared" si="144"/>
        <v>.</v>
      </c>
      <c r="D9234" s="44"/>
      <c r="E9234" s="22" t="str">
        <f>IF(D9234&lt;&gt;"",IFERROR(INDEX(Produtos!$C$4:$C$4996,MATCH(D9234,Produtos!$B$4:$B$4996,0)),"Produto não encontrado"),"")</f>
        <v/>
      </c>
    </row>
    <row r="9235" spans="1:5" x14ac:dyDescent="0.3">
      <c r="A9235" s="21" t="str">
        <f t="shared" si="144"/>
        <v>.</v>
      </c>
      <c r="D9235" s="44"/>
      <c r="E9235" s="22" t="str">
        <f>IF(D9235&lt;&gt;"",IFERROR(INDEX(Produtos!$C$4:$C$4996,MATCH(D9235,Produtos!$B$4:$B$4996,0)),"Produto não encontrado"),"")</f>
        <v/>
      </c>
    </row>
    <row r="9236" spans="1:5" x14ac:dyDescent="0.3">
      <c r="A9236" s="21" t="str">
        <f t="shared" si="144"/>
        <v>.</v>
      </c>
      <c r="D9236" s="44"/>
      <c r="E9236" s="22" t="str">
        <f>IF(D9236&lt;&gt;"",IFERROR(INDEX(Produtos!$C$4:$C$4996,MATCH(D9236,Produtos!$B$4:$B$4996,0)),"Produto não encontrado"),"")</f>
        <v/>
      </c>
    </row>
    <row r="9237" spans="1:5" x14ac:dyDescent="0.3">
      <c r="A9237" s="21" t="str">
        <f t="shared" si="144"/>
        <v>.</v>
      </c>
      <c r="D9237" s="44"/>
      <c r="E9237" s="22" t="str">
        <f>IF(D9237&lt;&gt;"",IFERROR(INDEX(Produtos!$C$4:$C$4996,MATCH(D9237,Produtos!$B$4:$B$4996,0)),"Produto não encontrado"),"")</f>
        <v/>
      </c>
    </row>
    <row r="9238" spans="1:5" x14ac:dyDescent="0.3">
      <c r="A9238" s="21" t="str">
        <f t="shared" si="144"/>
        <v>.</v>
      </c>
      <c r="D9238" s="44"/>
      <c r="E9238" s="22" t="str">
        <f>IF(D9238&lt;&gt;"",IFERROR(INDEX(Produtos!$C$4:$C$4996,MATCH(D9238,Produtos!$B$4:$B$4996,0)),"Produto não encontrado"),"")</f>
        <v/>
      </c>
    </row>
    <row r="9239" spans="1:5" x14ac:dyDescent="0.3">
      <c r="A9239" s="21" t="str">
        <f t="shared" si="144"/>
        <v>.</v>
      </c>
      <c r="D9239" s="44"/>
      <c r="E9239" s="22" t="str">
        <f>IF(D9239&lt;&gt;"",IFERROR(INDEX(Produtos!$C$4:$C$4996,MATCH(D9239,Produtos!$B$4:$B$4996,0)),"Produto não encontrado"),"")</f>
        <v/>
      </c>
    </row>
    <row r="9240" spans="1:5" x14ac:dyDescent="0.3">
      <c r="A9240" s="21" t="str">
        <f t="shared" si="144"/>
        <v>.</v>
      </c>
      <c r="D9240" s="44"/>
      <c r="E9240" s="22" t="str">
        <f>IF(D9240&lt;&gt;"",IFERROR(INDEX(Produtos!$C$4:$C$4996,MATCH(D9240,Produtos!$B$4:$B$4996,0)),"Produto não encontrado"),"")</f>
        <v/>
      </c>
    </row>
    <row r="9241" spans="1:5" x14ac:dyDescent="0.3">
      <c r="A9241" s="21" t="str">
        <f t="shared" si="144"/>
        <v>.</v>
      </c>
      <c r="D9241" s="44"/>
      <c r="E9241" s="22" t="str">
        <f>IF(D9241&lt;&gt;"",IFERROR(INDEX(Produtos!$C$4:$C$4996,MATCH(D9241,Produtos!$B$4:$B$4996,0)),"Produto não encontrado"),"")</f>
        <v/>
      </c>
    </row>
    <row r="9242" spans="1:5" x14ac:dyDescent="0.3">
      <c r="A9242" s="21" t="str">
        <f t="shared" si="144"/>
        <v>.</v>
      </c>
      <c r="D9242" s="44"/>
      <c r="E9242" s="22" t="str">
        <f>IF(D9242&lt;&gt;"",IFERROR(INDEX(Produtos!$C$4:$C$4996,MATCH(D9242,Produtos!$B$4:$B$4996,0)),"Produto não encontrado"),"")</f>
        <v/>
      </c>
    </row>
    <row r="9243" spans="1:5" x14ac:dyDescent="0.3">
      <c r="A9243" s="21" t="str">
        <f t="shared" si="144"/>
        <v>.</v>
      </c>
      <c r="D9243" s="44"/>
      <c r="E9243" s="22" t="str">
        <f>IF(D9243&lt;&gt;"",IFERROR(INDEX(Produtos!$C$4:$C$4996,MATCH(D9243,Produtos!$B$4:$B$4996,0)),"Produto não encontrado"),"")</f>
        <v/>
      </c>
    </row>
    <row r="9244" spans="1:5" x14ac:dyDescent="0.3">
      <c r="A9244" s="21" t="str">
        <f t="shared" si="144"/>
        <v>.</v>
      </c>
      <c r="D9244" s="44"/>
      <c r="E9244" s="22" t="str">
        <f>IF(D9244&lt;&gt;"",IFERROR(INDEX(Produtos!$C$4:$C$4996,MATCH(D9244,Produtos!$B$4:$B$4996,0)),"Produto não encontrado"),"")</f>
        <v/>
      </c>
    </row>
    <row r="9245" spans="1:5" x14ac:dyDescent="0.3">
      <c r="A9245" s="21" t="str">
        <f t="shared" si="144"/>
        <v>.</v>
      </c>
      <c r="D9245" s="44"/>
      <c r="E9245" s="22" t="str">
        <f>IF(D9245&lt;&gt;"",IFERROR(INDEX(Produtos!$C$4:$C$4996,MATCH(D9245,Produtos!$B$4:$B$4996,0)),"Produto não encontrado"),"")</f>
        <v/>
      </c>
    </row>
    <row r="9246" spans="1:5" x14ac:dyDescent="0.3">
      <c r="A9246" s="21" t="str">
        <f t="shared" si="144"/>
        <v>.</v>
      </c>
      <c r="D9246" s="44"/>
      <c r="E9246" s="22" t="str">
        <f>IF(D9246&lt;&gt;"",IFERROR(INDEX(Produtos!$C$4:$C$4996,MATCH(D9246,Produtos!$B$4:$B$4996,0)),"Produto não encontrado"),"")</f>
        <v/>
      </c>
    </row>
    <row r="9247" spans="1:5" x14ac:dyDescent="0.3">
      <c r="A9247" s="21" t="str">
        <f t="shared" si="144"/>
        <v>.</v>
      </c>
      <c r="D9247" s="44"/>
      <c r="E9247" s="22" t="str">
        <f>IF(D9247&lt;&gt;"",IFERROR(INDEX(Produtos!$C$4:$C$4996,MATCH(D9247,Produtos!$B$4:$B$4996,0)),"Produto não encontrado"),"")</f>
        <v/>
      </c>
    </row>
    <row r="9248" spans="1:5" x14ac:dyDescent="0.3">
      <c r="A9248" s="21" t="str">
        <f t="shared" si="144"/>
        <v>.</v>
      </c>
      <c r="D9248" s="44"/>
      <c r="E9248" s="22" t="str">
        <f>IF(D9248&lt;&gt;"",IFERROR(INDEX(Produtos!$C$4:$C$4996,MATCH(D9248,Produtos!$B$4:$B$4996,0)),"Produto não encontrado"),"")</f>
        <v/>
      </c>
    </row>
    <row r="9249" spans="1:5" x14ac:dyDescent="0.3">
      <c r="A9249" s="21" t="str">
        <f t="shared" si="144"/>
        <v>.</v>
      </c>
      <c r="D9249" s="44"/>
      <c r="E9249" s="22" t="str">
        <f>IF(D9249&lt;&gt;"",IFERROR(INDEX(Produtos!$C$4:$C$4996,MATCH(D9249,Produtos!$B$4:$B$4996,0)),"Produto não encontrado"),"")</f>
        <v/>
      </c>
    </row>
    <row r="9250" spans="1:5" x14ac:dyDescent="0.3">
      <c r="A9250" s="21" t="str">
        <f t="shared" si="144"/>
        <v>.</v>
      </c>
      <c r="D9250" s="44"/>
      <c r="E9250" s="22" t="str">
        <f>IF(D9250&lt;&gt;"",IFERROR(INDEX(Produtos!$C$4:$C$4996,MATCH(D9250,Produtos!$B$4:$B$4996,0)),"Produto não encontrado"),"")</f>
        <v/>
      </c>
    </row>
    <row r="9251" spans="1:5" x14ac:dyDescent="0.3">
      <c r="A9251" s="21" t="str">
        <f t="shared" si="144"/>
        <v>.</v>
      </c>
      <c r="D9251" s="44"/>
      <c r="E9251" s="22" t="str">
        <f>IF(D9251&lt;&gt;"",IFERROR(INDEX(Produtos!$C$4:$C$4996,MATCH(D9251,Produtos!$B$4:$B$4996,0)),"Produto não encontrado"),"")</f>
        <v/>
      </c>
    </row>
    <row r="9252" spans="1:5" x14ac:dyDescent="0.3">
      <c r="A9252" s="21" t="str">
        <f t="shared" si="144"/>
        <v>.</v>
      </c>
      <c r="D9252" s="44"/>
      <c r="E9252" s="22" t="str">
        <f>IF(D9252&lt;&gt;"",IFERROR(INDEX(Produtos!$C$4:$C$4996,MATCH(D9252,Produtos!$B$4:$B$4996,0)),"Produto não encontrado"),"")</f>
        <v/>
      </c>
    </row>
    <row r="9253" spans="1:5" x14ac:dyDescent="0.3">
      <c r="A9253" s="21" t="str">
        <f t="shared" si="144"/>
        <v>.</v>
      </c>
      <c r="D9253" s="44"/>
      <c r="E9253" s="22" t="str">
        <f>IF(D9253&lt;&gt;"",IFERROR(INDEX(Produtos!$C$4:$C$4996,MATCH(D9253,Produtos!$B$4:$B$4996,0)),"Produto não encontrado"),"")</f>
        <v/>
      </c>
    </row>
    <row r="9254" spans="1:5" x14ac:dyDescent="0.3">
      <c r="A9254" s="21" t="str">
        <f t="shared" si="144"/>
        <v>.</v>
      </c>
      <c r="D9254" s="44"/>
      <c r="E9254" s="22" t="str">
        <f>IF(D9254&lt;&gt;"",IFERROR(INDEX(Produtos!$C$4:$C$4996,MATCH(D9254,Produtos!$B$4:$B$4996,0)),"Produto não encontrado"),"")</f>
        <v/>
      </c>
    </row>
    <row r="9255" spans="1:5" x14ac:dyDescent="0.3">
      <c r="A9255" s="21" t="str">
        <f t="shared" si="144"/>
        <v>.</v>
      </c>
      <c r="D9255" s="44"/>
      <c r="E9255" s="22" t="str">
        <f>IF(D9255&lt;&gt;"",IFERROR(INDEX(Produtos!$C$4:$C$4996,MATCH(D9255,Produtos!$B$4:$B$4996,0)),"Produto não encontrado"),"")</f>
        <v/>
      </c>
    </row>
    <row r="9256" spans="1:5" x14ac:dyDescent="0.3">
      <c r="A9256" s="21" t="str">
        <f t="shared" si="144"/>
        <v>.</v>
      </c>
      <c r="D9256" s="44"/>
      <c r="E9256" s="22" t="str">
        <f>IF(D9256&lt;&gt;"",IFERROR(INDEX(Produtos!$C$4:$C$4996,MATCH(D9256,Produtos!$B$4:$B$4996,0)),"Produto não encontrado"),"")</f>
        <v/>
      </c>
    </row>
    <row r="9257" spans="1:5" x14ac:dyDescent="0.3">
      <c r="A9257" s="21" t="str">
        <f t="shared" si="144"/>
        <v>.</v>
      </c>
      <c r="D9257" s="44"/>
      <c r="E9257" s="22" t="str">
        <f>IF(D9257&lt;&gt;"",IFERROR(INDEX(Produtos!$C$4:$C$4996,MATCH(D9257,Produtos!$B$4:$B$4996,0)),"Produto não encontrado"),"")</f>
        <v/>
      </c>
    </row>
    <row r="9258" spans="1:5" x14ac:dyDescent="0.3">
      <c r="A9258" s="21" t="str">
        <f t="shared" si="144"/>
        <v>.</v>
      </c>
      <c r="D9258" s="44"/>
      <c r="E9258" s="22" t="str">
        <f>IF(D9258&lt;&gt;"",IFERROR(INDEX(Produtos!$C$4:$C$4996,MATCH(D9258,Produtos!$B$4:$B$4996,0)),"Produto não encontrado"),"")</f>
        <v/>
      </c>
    </row>
    <row r="9259" spans="1:5" x14ac:dyDescent="0.3">
      <c r="A9259" s="21" t="str">
        <f t="shared" si="144"/>
        <v>.</v>
      </c>
      <c r="D9259" s="44"/>
      <c r="E9259" s="22" t="str">
        <f>IF(D9259&lt;&gt;"",IFERROR(INDEX(Produtos!$C$4:$C$4996,MATCH(D9259,Produtos!$B$4:$B$4996,0)),"Produto não encontrado"),"")</f>
        <v/>
      </c>
    </row>
    <row r="9260" spans="1:5" x14ac:dyDescent="0.3">
      <c r="A9260" s="21" t="str">
        <f t="shared" si="144"/>
        <v>.</v>
      </c>
      <c r="D9260" s="44"/>
      <c r="E9260" s="22" t="str">
        <f>IF(D9260&lt;&gt;"",IFERROR(INDEX(Produtos!$C$4:$C$4996,MATCH(D9260,Produtos!$B$4:$B$4996,0)),"Produto não encontrado"),"")</f>
        <v/>
      </c>
    </row>
    <row r="9261" spans="1:5" x14ac:dyDescent="0.3">
      <c r="A9261" s="21" t="str">
        <f t="shared" si="144"/>
        <v>.</v>
      </c>
      <c r="D9261" s="44"/>
      <c r="E9261" s="22" t="str">
        <f>IF(D9261&lt;&gt;"",IFERROR(INDEX(Produtos!$C$4:$C$4996,MATCH(D9261,Produtos!$B$4:$B$4996,0)),"Produto não encontrado"),"")</f>
        <v/>
      </c>
    </row>
    <row r="9262" spans="1:5" x14ac:dyDescent="0.3">
      <c r="A9262" s="21" t="str">
        <f t="shared" si="144"/>
        <v>.</v>
      </c>
      <c r="D9262" s="44"/>
      <c r="E9262" s="22" t="str">
        <f>IF(D9262&lt;&gt;"",IFERROR(INDEX(Produtos!$C$4:$C$4996,MATCH(D9262,Produtos!$B$4:$B$4996,0)),"Produto não encontrado"),"")</f>
        <v/>
      </c>
    </row>
    <row r="9263" spans="1:5" x14ac:dyDescent="0.3">
      <c r="A9263" s="21" t="str">
        <f t="shared" si="144"/>
        <v>.</v>
      </c>
      <c r="D9263" s="44"/>
      <c r="E9263" s="22" t="str">
        <f>IF(D9263&lt;&gt;"",IFERROR(INDEX(Produtos!$C$4:$C$4996,MATCH(D9263,Produtos!$B$4:$B$4996,0)),"Produto não encontrado"),"")</f>
        <v/>
      </c>
    </row>
    <row r="9264" spans="1:5" x14ac:dyDescent="0.3">
      <c r="A9264" s="21" t="str">
        <f t="shared" si="144"/>
        <v>.</v>
      </c>
      <c r="D9264" s="44"/>
      <c r="E9264" s="22" t="str">
        <f>IF(D9264&lt;&gt;"",IFERROR(INDEX(Produtos!$C$4:$C$4996,MATCH(D9264,Produtos!$B$4:$B$4996,0)),"Produto não encontrado"),"")</f>
        <v/>
      </c>
    </row>
    <row r="9265" spans="1:5" x14ac:dyDescent="0.3">
      <c r="A9265" s="21" t="str">
        <f t="shared" si="144"/>
        <v>.</v>
      </c>
      <c r="D9265" s="44"/>
      <c r="E9265" s="22" t="str">
        <f>IF(D9265&lt;&gt;"",IFERROR(INDEX(Produtos!$C$4:$C$4996,MATCH(D9265,Produtos!$B$4:$B$4996,0)),"Produto não encontrado"),"")</f>
        <v/>
      </c>
    </row>
    <row r="9266" spans="1:5" x14ac:dyDescent="0.3">
      <c r="A9266" s="21" t="str">
        <f t="shared" si="144"/>
        <v>.</v>
      </c>
      <c r="D9266" s="44"/>
      <c r="E9266" s="22" t="str">
        <f>IF(D9266&lt;&gt;"",IFERROR(INDEX(Produtos!$C$4:$C$4996,MATCH(D9266,Produtos!$B$4:$B$4996,0)),"Produto não encontrado"),"")</f>
        <v/>
      </c>
    </row>
    <row r="9267" spans="1:5" x14ac:dyDescent="0.3">
      <c r="A9267" s="21" t="str">
        <f t="shared" si="144"/>
        <v>.</v>
      </c>
      <c r="D9267" s="44"/>
      <c r="E9267" s="22" t="str">
        <f>IF(D9267&lt;&gt;"",IFERROR(INDEX(Produtos!$C$4:$C$4996,MATCH(D9267,Produtos!$B$4:$B$4996,0)),"Produto não encontrado"),"")</f>
        <v/>
      </c>
    </row>
    <row r="9268" spans="1:5" x14ac:dyDescent="0.3">
      <c r="A9268" s="21" t="str">
        <f t="shared" si="144"/>
        <v>.</v>
      </c>
      <c r="D9268" s="44"/>
      <c r="E9268" s="22" t="str">
        <f>IF(D9268&lt;&gt;"",IFERROR(INDEX(Produtos!$C$4:$C$4996,MATCH(D9268,Produtos!$B$4:$B$4996,0)),"Produto não encontrado"),"")</f>
        <v/>
      </c>
    </row>
    <row r="9269" spans="1:5" x14ac:dyDescent="0.3">
      <c r="A9269" s="21" t="str">
        <f t="shared" si="144"/>
        <v>.</v>
      </c>
      <c r="D9269" s="44"/>
      <c r="E9269" s="22" t="str">
        <f>IF(D9269&lt;&gt;"",IFERROR(INDEX(Produtos!$C$4:$C$4996,MATCH(D9269,Produtos!$B$4:$B$4996,0)),"Produto não encontrado"),"")</f>
        <v/>
      </c>
    </row>
    <row r="9270" spans="1:5" x14ac:dyDescent="0.3">
      <c r="A9270" s="21" t="str">
        <f t="shared" si="144"/>
        <v>.</v>
      </c>
      <c r="D9270" s="44"/>
      <c r="E9270" s="22" t="str">
        <f>IF(D9270&lt;&gt;"",IFERROR(INDEX(Produtos!$C$4:$C$4996,MATCH(D9270,Produtos!$B$4:$B$4996,0)),"Produto não encontrado"),"")</f>
        <v/>
      </c>
    </row>
    <row r="9271" spans="1:5" x14ac:dyDescent="0.3">
      <c r="A9271" s="21" t="str">
        <f t="shared" si="144"/>
        <v>.</v>
      </c>
      <c r="D9271" s="44"/>
      <c r="E9271" s="22" t="str">
        <f>IF(D9271&lt;&gt;"",IFERROR(INDEX(Produtos!$C$4:$C$4996,MATCH(D9271,Produtos!$B$4:$B$4996,0)),"Produto não encontrado"),"")</f>
        <v/>
      </c>
    </row>
    <row r="9272" spans="1:5" x14ac:dyDescent="0.3">
      <c r="A9272" s="21" t="str">
        <f t="shared" si="144"/>
        <v>.</v>
      </c>
      <c r="D9272" s="44"/>
      <c r="E9272" s="22" t="str">
        <f>IF(D9272&lt;&gt;"",IFERROR(INDEX(Produtos!$C$4:$C$4996,MATCH(D9272,Produtos!$B$4:$B$4996,0)),"Produto não encontrado"),"")</f>
        <v/>
      </c>
    </row>
    <row r="9273" spans="1:5" x14ac:dyDescent="0.3">
      <c r="A9273" s="21" t="str">
        <f t="shared" si="144"/>
        <v>.</v>
      </c>
      <c r="D9273" s="44"/>
      <c r="E9273" s="22" t="str">
        <f>IF(D9273&lt;&gt;"",IFERROR(INDEX(Produtos!$C$4:$C$4996,MATCH(D9273,Produtos!$B$4:$B$4996,0)),"Produto não encontrado"),"")</f>
        <v/>
      </c>
    </row>
    <row r="9274" spans="1:5" x14ac:dyDescent="0.3">
      <c r="A9274" s="21" t="str">
        <f t="shared" si="144"/>
        <v>.</v>
      </c>
      <c r="D9274" s="44"/>
      <c r="E9274" s="22" t="str">
        <f>IF(D9274&lt;&gt;"",IFERROR(INDEX(Produtos!$C$4:$C$4996,MATCH(D9274,Produtos!$B$4:$B$4996,0)),"Produto não encontrado"),"")</f>
        <v/>
      </c>
    </row>
    <row r="9275" spans="1:5" x14ac:dyDescent="0.3">
      <c r="A9275" s="21" t="str">
        <f t="shared" si="144"/>
        <v>.</v>
      </c>
      <c r="D9275" s="44"/>
      <c r="E9275" s="22" t="str">
        <f>IF(D9275&lt;&gt;"",IFERROR(INDEX(Produtos!$C$4:$C$4996,MATCH(D9275,Produtos!$B$4:$B$4996,0)),"Produto não encontrado"),"")</f>
        <v/>
      </c>
    </row>
    <row r="9276" spans="1:5" x14ac:dyDescent="0.3">
      <c r="A9276" s="21" t="str">
        <f t="shared" si="144"/>
        <v>.</v>
      </c>
      <c r="D9276" s="44"/>
      <c r="E9276" s="22" t="str">
        <f>IF(D9276&lt;&gt;"",IFERROR(INDEX(Produtos!$C$4:$C$4996,MATCH(D9276,Produtos!$B$4:$B$4996,0)),"Produto não encontrado"),"")</f>
        <v/>
      </c>
    </row>
    <row r="9277" spans="1:5" x14ac:dyDescent="0.3">
      <c r="A9277" s="21" t="str">
        <f t="shared" si="144"/>
        <v>.</v>
      </c>
      <c r="D9277" s="44"/>
      <c r="E9277" s="22" t="str">
        <f>IF(D9277&lt;&gt;"",IFERROR(INDEX(Produtos!$C$4:$C$4996,MATCH(D9277,Produtos!$B$4:$B$4996,0)),"Produto não encontrado"),"")</f>
        <v/>
      </c>
    </row>
    <row r="9278" spans="1:5" x14ac:dyDescent="0.3">
      <c r="A9278" s="21" t="str">
        <f t="shared" si="144"/>
        <v>.</v>
      </c>
      <c r="D9278" s="44"/>
      <c r="E9278" s="22" t="str">
        <f>IF(D9278&lt;&gt;"",IFERROR(INDEX(Produtos!$C$4:$C$4996,MATCH(D9278,Produtos!$B$4:$B$4996,0)),"Produto não encontrado"),"")</f>
        <v/>
      </c>
    </row>
    <row r="9279" spans="1:5" x14ac:dyDescent="0.3">
      <c r="A9279" s="21" t="str">
        <f t="shared" si="144"/>
        <v>.</v>
      </c>
      <c r="D9279" s="44"/>
      <c r="E9279" s="22" t="str">
        <f>IF(D9279&lt;&gt;"",IFERROR(INDEX(Produtos!$C$4:$C$4996,MATCH(D9279,Produtos!$B$4:$B$4996,0)),"Produto não encontrado"),"")</f>
        <v/>
      </c>
    </row>
    <row r="9280" spans="1:5" x14ac:dyDescent="0.3">
      <c r="A9280" s="21" t="str">
        <f t="shared" ref="A9280:A9343" si="145">IF(C9280="Entrada",2,IF(C9280="Saída",1,"."))</f>
        <v>.</v>
      </c>
      <c r="D9280" s="44"/>
      <c r="E9280" s="22" t="str">
        <f>IF(D9280&lt;&gt;"",IFERROR(INDEX(Produtos!$C$4:$C$4996,MATCH(D9280,Produtos!$B$4:$B$4996,0)),"Produto não encontrado"),"")</f>
        <v/>
      </c>
    </row>
    <row r="9281" spans="1:5" x14ac:dyDescent="0.3">
      <c r="A9281" s="21" t="str">
        <f t="shared" si="145"/>
        <v>.</v>
      </c>
      <c r="D9281" s="44"/>
      <c r="E9281" s="22" t="str">
        <f>IF(D9281&lt;&gt;"",IFERROR(INDEX(Produtos!$C$4:$C$4996,MATCH(D9281,Produtos!$B$4:$B$4996,0)),"Produto não encontrado"),"")</f>
        <v/>
      </c>
    </row>
    <row r="9282" spans="1:5" x14ac:dyDescent="0.3">
      <c r="A9282" s="21" t="str">
        <f t="shared" si="145"/>
        <v>.</v>
      </c>
      <c r="D9282" s="44"/>
      <c r="E9282" s="22" t="str">
        <f>IF(D9282&lt;&gt;"",IFERROR(INDEX(Produtos!$C$4:$C$4996,MATCH(D9282,Produtos!$B$4:$B$4996,0)),"Produto não encontrado"),"")</f>
        <v/>
      </c>
    </row>
    <row r="9283" spans="1:5" x14ac:dyDescent="0.3">
      <c r="A9283" s="21" t="str">
        <f t="shared" si="145"/>
        <v>.</v>
      </c>
      <c r="D9283" s="44"/>
      <c r="E9283" s="22" t="str">
        <f>IF(D9283&lt;&gt;"",IFERROR(INDEX(Produtos!$C$4:$C$4996,MATCH(D9283,Produtos!$B$4:$B$4996,0)),"Produto não encontrado"),"")</f>
        <v/>
      </c>
    </row>
    <row r="9284" spans="1:5" x14ac:dyDescent="0.3">
      <c r="A9284" s="21" t="str">
        <f t="shared" si="145"/>
        <v>.</v>
      </c>
      <c r="D9284" s="44"/>
      <c r="E9284" s="22" t="str">
        <f>IF(D9284&lt;&gt;"",IFERROR(INDEX(Produtos!$C$4:$C$4996,MATCH(D9284,Produtos!$B$4:$B$4996,0)),"Produto não encontrado"),"")</f>
        <v/>
      </c>
    </row>
    <row r="9285" spans="1:5" x14ac:dyDescent="0.3">
      <c r="A9285" s="21" t="str">
        <f t="shared" si="145"/>
        <v>.</v>
      </c>
      <c r="D9285" s="44"/>
      <c r="E9285" s="22" t="str">
        <f>IF(D9285&lt;&gt;"",IFERROR(INDEX(Produtos!$C$4:$C$4996,MATCH(D9285,Produtos!$B$4:$B$4996,0)),"Produto não encontrado"),"")</f>
        <v/>
      </c>
    </row>
    <row r="9286" spans="1:5" x14ac:dyDescent="0.3">
      <c r="A9286" s="21" t="str">
        <f t="shared" si="145"/>
        <v>.</v>
      </c>
      <c r="D9286" s="44"/>
      <c r="E9286" s="22" t="str">
        <f>IF(D9286&lt;&gt;"",IFERROR(INDEX(Produtos!$C$4:$C$4996,MATCH(D9286,Produtos!$B$4:$B$4996,0)),"Produto não encontrado"),"")</f>
        <v/>
      </c>
    </row>
    <row r="9287" spans="1:5" x14ac:dyDescent="0.3">
      <c r="A9287" s="21" t="str">
        <f t="shared" si="145"/>
        <v>.</v>
      </c>
      <c r="D9287" s="44"/>
      <c r="E9287" s="22" t="str">
        <f>IF(D9287&lt;&gt;"",IFERROR(INDEX(Produtos!$C$4:$C$4996,MATCH(D9287,Produtos!$B$4:$B$4996,0)),"Produto não encontrado"),"")</f>
        <v/>
      </c>
    </row>
    <row r="9288" spans="1:5" x14ac:dyDescent="0.3">
      <c r="A9288" s="21" t="str">
        <f t="shared" si="145"/>
        <v>.</v>
      </c>
      <c r="D9288" s="44"/>
      <c r="E9288" s="22" t="str">
        <f>IF(D9288&lt;&gt;"",IFERROR(INDEX(Produtos!$C$4:$C$4996,MATCH(D9288,Produtos!$B$4:$B$4996,0)),"Produto não encontrado"),"")</f>
        <v/>
      </c>
    </row>
    <row r="9289" spans="1:5" x14ac:dyDescent="0.3">
      <c r="A9289" s="21" t="str">
        <f t="shared" si="145"/>
        <v>.</v>
      </c>
      <c r="D9289" s="44"/>
      <c r="E9289" s="22" t="str">
        <f>IF(D9289&lt;&gt;"",IFERROR(INDEX(Produtos!$C$4:$C$4996,MATCH(D9289,Produtos!$B$4:$B$4996,0)),"Produto não encontrado"),"")</f>
        <v/>
      </c>
    </row>
    <row r="9290" spans="1:5" x14ac:dyDescent="0.3">
      <c r="A9290" s="21" t="str">
        <f t="shared" si="145"/>
        <v>.</v>
      </c>
      <c r="D9290" s="44"/>
      <c r="E9290" s="22" t="str">
        <f>IF(D9290&lt;&gt;"",IFERROR(INDEX(Produtos!$C$4:$C$4996,MATCH(D9290,Produtos!$B$4:$B$4996,0)),"Produto não encontrado"),"")</f>
        <v/>
      </c>
    </row>
    <row r="9291" spans="1:5" x14ac:dyDescent="0.3">
      <c r="A9291" s="21" t="str">
        <f t="shared" si="145"/>
        <v>.</v>
      </c>
      <c r="D9291" s="44"/>
      <c r="E9291" s="22" t="str">
        <f>IF(D9291&lt;&gt;"",IFERROR(INDEX(Produtos!$C$4:$C$4996,MATCH(D9291,Produtos!$B$4:$B$4996,0)),"Produto não encontrado"),"")</f>
        <v/>
      </c>
    </row>
    <row r="9292" spans="1:5" x14ac:dyDescent="0.3">
      <c r="A9292" s="21" t="str">
        <f t="shared" si="145"/>
        <v>.</v>
      </c>
      <c r="D9292" s="44"/>
      <c r="E9292" s="22" t="str">
        <f>IF(D9292&lt;&gt;"",IFERROR(INDEX(Produtos!$C$4:$C$4996,MATCH(D9292,Produtos!$B$4:$B$4996,0)),"Produto não encontrado"),"")</f>
        <v/>
      </c>
    </row>
    <row r="9293" spans="1:5" x14ac:dyDescent="0.3">
      <c r="A9293" s="21" t="str">
        <f t="shared" si="145"/>
        <v>.</v>
      </c>
      <c r="D9293" s="44"/>
      <c r="E9293" s="22" t="str">
        <f>IF(D9293&lt;&gt;"",IFERROR(INDEX(Produtos!$C$4:$C$4996,MATCH(D9293,Produtos!$B$4:$B$4996,0)),"Produto não encontrado"),"")</f>
        <v/>
      </c>
    </row>
    <row r="9294" spans="1:5" x14ac:dyDescent="0.3">
      <c r="A9294" s="21" t="str">
        <f t="shared" si="145"/>
        <v>.</v>
      </c>
      <c r="D9294" s="44"/>
      <c r="E9294" s="22" t="str">
        <f>IF(D9294&lt;&gt;"",IFERROR(INDEX(Produtos!$C$4:$C$4996,MATCH(D9294,Produtos!$B$4:$B$4996,0)),"Produto não encontrado"),"")</f>
        <v/>
      </c>
    </row>
    <row r="9295" spans="1:5" x14ac:dyDescent="0.3">
      <c r="A9295" s="21" t="str">
        <f t="shared" si="145"/>
        <v>.</v>
      </c>
      <c r="D9295" s="44"/>
      <c r="E9295" s="22" t="str">
        <f>IF(D9295&lt;&gt;"",IFERROR(INDEX(Produtos!$C$4:$C$4996,MATCH(D9295,Produtos!$B$4:$B$4996,0)),"Produto não encontrado"),"")</f>
        <v/>
      </c>
    </row>
    <row r="9296" spans="1:5" x14ac:dyDescent="0.3">
      <c r="A9296" s="21" t="str">
        <f t="shared" si="145"/>
        <v>.</v>
      </c>
      <c r="D9296" s="44"/>
      <c r="E9296" s="22" t="str">
        <f>IF(D9296&lt;&gt;"",IFERROR(INDEX(Produtos!$C$4:$C$4996,MATCH(D9296,Produtos!$B$4:$B$4996,0)),"Produto não encontrado"),"")</f>
        <v/>
      </c>
    </row>
    <row r="9297" spans="1:5" x14ac:dyDescent="0.3">
      <c r="A9297" s="21" t="str">
        <f t="shared" si="145"/>
        <v>.</v>
      </c>
      <c r="D9297" s="44"/>
      <c r="E9297" s="22" t="str">
        <f>IF(D9297&lt;&gt;"",IFERROR(INDEX(Produtos!$C$4:$C$4996,MATCH(D9297,Produtos!$B$4:$B$4996,0)),"Produto não encontrado"),"")</f>
        <v/>
      </c>
    </row>
    <row r="9298" spans="1:5" x14ac:dyDescent="0.3">
      <c r="A9298" s="21" t="str">
        <f t="shared" si="145"/>
        <v>.</v>
      </c>
      <c r="D9298" s="44"/>
      <c r="E9298" s="22" t="str">
        <f>IF(D9298&lt;&gt;"",IFERROR(INDEX(Produtos!$C$4:$C$4996,MATCH(D9298,Produtos!$B$4:$B$4996,0)),"Produto não encontrado"),"")</f>
        <v/>
      </c>
    </row>
    <row r="9299" spans="1:5" x14ac:dyDescent="0.3">
      <c r="A9299" s="21" t="str">
        <f t="shared" si="145"/>
        <v>.</v>
      </c>
      <c r="D9299" s="44"/>
      <c r="E9299" s="22" t="str">
        <f>IF(D9299&lt;&gt;"",IFERROR(INDEX(Produtos!$C$4:$C$4996,MATCH(D9299,Produtos!$B$4:$B$4996,0)),"Produto não encontrado"),"")</f>
        <v/>
      </c>
    </row>
    <row r="9300" spans="1:5" x14ac:dyDescent="0.3">
      <c r="A9300" s="21" t="str">
        <f t="shared" si="145"/>
        <v>.</v>
      </c>
      <c r="D9300" s="44"/>
      <c r="E9300" s="22" t="str">
        <f>IF(D9300&lt;&gt;"",IFERROR(INDEX(Produtos!$C$4:$C$4996,MATCH(D9300,Produtos!$B$4:$B$4996,0)),"Produto não encontrado"),"")</f>
        <v/>
      </c>
    </row>
    <row r="9301" spans="1:5" x14ac:dyDescent="0.3">
      <c r="A9301" s="21" t="str">
        <f t="shared" si="145"/>
        <v>.</v>
      </c>
      <c r="D9301" s="44"/>
      <c r="E9301" s="22" t="str">
        <f>IF(D9301&lt;&gt;"",IFERROR(INDEX(Produtos!$C$4:$C$4996,MATCH(D9301,Produtos!$B$4:$B$4996,0)),"Produto não encontrado"),"")</f>
        <v/>
      </c>
    </row>
    <row r="9302" spans="1:5" x14ac:dyDescent="0.3">
      <c r="A9302" s="21" t="str">
        <f t="shared" si="145"/>
        <v>.</v>
      </c>
      <c r="D9302" s="44"/>
      <c r="E9302" s="22" t="str">
        <f>IF(D9302&lt;&gt;"",IFERROR(INDEX(Produtos!$C$4:$C$4996,MATCH(D9302,Produtos!$B$4:$B$4996,0)),"Produto não encontrado"),"")</f>
        <v/>
      </c>
    </row>
    <row r="9303" spans="1:5" x14ac:dyDescent="0.3">
      <c r="A9303" s="21" t="str">
        <f t="shared" si="145"/>
        <v>.</v>
      </c>
      <c r="D9303" s="44"/>
      <c r="E9303" s="22" t="str">
        <f>IF(D9303&lt;&gt;"",IFERROR(INDEX(Produtos!$C$4:$C$4996,MATCH(D9303,Produtos!$B$4:$B$4996,0)),"Produto não encontrado"),"")</f>
        <v/>
      </c>
    </row>
    <row r="9304" spans="1:5" x14ac:dyDescent="0.3">
      <c r="A9304" s="21" t="str">
        <f t="shared" si="145"/>
        <v>.</v>
      </c>
      <c r="D9304" s="44"/>
      <c r="E9304" s="22" t="str">
        <f>IF(D9304&lt;&gt;"",IFERROR(INDEX(Produtos!$C$4:$C$4996,MATCH(D9304,Produtos!$B$4:$B$4996,0)),"Produto não encontrado"),"")</f>
        <v/>
      </c>
    </row>
    <row r="9305" spans="1:5" x14ac:dyDescent="0.3">
      <c r="A9305" s="21" t="str">
        <f t="shared" si="145"/>
        <v>.</v>
      </c>
      <c r="D9305" s="44"/>
      <c r="E9305" s="22" t="str">
        <f>IF(D9305&lt;&gt;"",IFERROR(INDEX(Produtos!$C$4:$C$4996,MATCH(D9305,Produtos!$B$4:$B$4996,0)),"Produto não encontrado"),"")</f>
        <v/>
      </c>
    </row>
    <row r="9306" spans="1:5" x14ac:dyDescent="0.3">
      <c r="A9306" s="21" t="str">
        <f t="shared" si="145"/>
        <v>.</v>
      </c>
      <c r="D9306" s="44"/>
      <c r="E9306" s="22" t="str">
        <f>IF(D9306&lt;&gt;"",IFERROR(INDEX(Produtos!$C$4:$C$4996,MATCH(D9306,Produtos!$B$4:$B$4996,0)),"Produto não encontrado"),"")</f>
        <v/>
      </c>
    </row>
    <row r="9307" spans="1:5" x14ac:dyDescent="0.3">
      <c r="A9307" s="21" t="str">
        <f t="shared" si="145"/>
        <v>.</v>
      </c>
      <c r="D9307" s="44"/>
      <c r="E9307" s="22" t="str">
        <f>IF(D9307&lt;&gt;"",IFERROR(INDEX(Produtos!$C$4:$C$4996,MATCH(D9307,Produtos!$B$4:$B$4996,0)),"Produto não encontrado"),"")</f>
        <v/>
      </c>
    </row>
    <row r="9308" spans="1:5" x14ac:dyDescent="0.3">
      <c r="A9308" s="21" t="str">
        <f t="shared" si="145"/>
        <v>.</v>
      </c>
      <c r="D9308" s="44"/>
      <c r="E9308" s="22" t="str">
        <f>IF(D9308&lt;&gt;"",IFERROR(INDEX(Produtos!$C$4:$C$4996,MATCH(D9308,Produtos!$B$4:$B$4996,0)),"Produto não encontrado"),"")</f>
        <v/>
      </c>
    </row>
    <row r="9309" spans="1:5" x14ac:dyDescent="0.3">
      <c r="A9309" s="21" t="str">
        <f t="shared" si="145"/>
        <v>.</v>
      </c>
      <c r="D9309" s="44"/>
      <c r="E9309" s="22" t="str">
        <f>IF(D9309&lt;&gt;"",IFERROR(INDEX(Produtos!$C$4:$C$4996,MATCH(D9309,Produtos!$B$4:$B$4996,0)),"Produto não encontrado"),"")</f>
        <v/>
      </c>
    </row>
    <row r="9310" spans="1:5" x14ac:dyDescent="0.3">
      <c r="A9310" s="21" t="str">
        <f t="shared" si="145"/>
        <v>.</v>
      </c>
      <c r="D9310" s="44"/>
      <c r="E9310" s="22" t="str">
        <f>IF(D9310&lt;&gt;"",IFERROR(INDEX(Produtos!$C$4:$C$4996,MATCH(D9310,Produtos!$B$4:$B$4996,0)),"Produto não encontrado"),"")</f>
        <v/>
      </c>
    </row>
    <row r="9311" spans="1:5" x14ac:dyDescent="0.3">
      <c r="A9311" s="21" t="str">
        <f t="shared" si="145"/>
        <v>.</v>
      </c>
      <c r="D9311" s="44"/>
      <c r="E9311" s="22" t="str">
        <f>IF(D9311&lt;&gt;"",IFERROR(INDEX(Produtos!$C$4:$C$4996,MATCH(D9311,Produtos!$B$4:$B$4996,0)),"Produto não encontrado"),"")</f>
        <v/>
      </c>
    </row>
    <row r="9312" spans="1:5" x14ac:dyDescent="0.3">
      <c r="A9312" s="21" t="str">
        <f t="shared" si="145"/>
        <v>.</v>
      </c>
      <c r="D9312" s="44"/>
      <c r="E9312" s="22" t="str">
        <f>IF(D9312&lt;&gt;"",IFERROR(INDEX(Produtos!$C$4:$C$4996,MATCH(D9312,Produtos!$B$4:$B$4996,0)),"Produto não encontrado"),"")</f>
        <v/>
      </c>
    </row>
    <row r="9313" spans="1:5" x14ac:dyDescent="0.3">
      <c r="A9313" s="21" t="str">
        <f t="shared" si="145"/>
        <v>.</v>
      </c>
      <c r="D9313" s="44"/>
      <c r="E9313" s="22" t="str">
        <f>IF(D9313&lt;&gt;"",IFERROR(INDEX(Produtos!$C$4:$C$4996,MATCH(D9313,Produtos!$B$4:$B$4996,0)),"Produto não encontrado"),"")</f>
        <v/>
      </c>
    </row>
    <row r="9314" spans="1:5" x14ac:dyDescent="0.3">
      <c r="A9314" s="21" t="str">
        <f t="shared" si="145"/>
        <v>.</v>
      </c>
      <c r="D9314" s="44"/>
      <c r="E9314" s="22" t="str">
        <f>IF(D9314&lt;&gt;"",IFERROR(INDEX(Produtos!$C$4:$C$4996,MATCH(D9314,Produtos!$B$4:$B$4996,0)),"Produto não encontrado"),"")</f>
        <v/>
      </c>
    </row>
    <row r="9315" spans="1:5" x14ac:dyDescent="0.3">
      <c r="A9315" s="21" t="str">
        <f t="shared" si="145"/>
        <v>.</v>
      </c>
      <c r="D9315" s="44"/>
      <c r="E9315" s="22" t="str">
        <f>IF(D9315&lt;&gt;"",IFERROR(INDEX(Produtos!$C$4:$C$4996,MATCH(D9315,Produtos!$B$4:$B$4996,0)),"Produto não encontrado"),"")</f>
        <v/>
      </c>
    </row>
    <row r="9316" spans="1:5" x14ac:dyDescent="0.3">
      <c r="A9316" s="21" t="str">
        <f t="shared" si="145"/>
        <v>.</v>
      </c>
      <c r="D9316" s="44"/>
      <c r="E9316" s="22" t="str">
        <f>IF(D9316&lt;&gt;"",IFERROR(INDEX(Produtos!$C$4:$C$4996,MATCH(D9316,Produtos!$B$4:$B$4996,0)),"Produto não encontrado"),"")</f>
        <v/>
      </c>
    </row>
    <row r="9317" spans="1:5" x14ac:dyDescent="0.3">
      <c r="A9317" s="21" t="str">
        <f t="shared" si="145"/>
        <v>.</v>
      </c>
      <c r="D9317" s="44"/>
      <c r="E9317" s="22" t="str">
        <f>IF(D9317&lt;&gt;"",IFERROR(INDEX(Produtos!$C$4:$C$4996,MATCH(D9317,Produtos!$B$4:$B$4996,0)),"Produto não encontrado"),"")</f>
        <v/>
      </c>
    </row>
    <row r="9318" spans="1:5" x14ac:dyDescent="0.3">
      <c r="A9318" s="21" t="str">
        <f t="shared" si="145"/>
        <v>.</v>
      </c>
      <c r="D9318" s="44"/>
      <c r="E9318" s="22" t="str">
        <f>IF(D9318&lt;&gt;"",IFERROR(INDEX(Produtos!$C$4:$C$4996,MATCH(D9318,Produtos!$B$4:$B$4996,0)),"Produto não encontrado"),"")</f>
        <v/>
      </c>
    </row>
    <row r="9319" spans="1:5" x14ac:dyDescent="0.3">
      <c r="A9319" s="21" t="str">
        <f t="shared" si="145"/>
        <v>.</v>
      </c>
      <c r="D9319" s="44"/>
      <c r="E9319" s="22" t="str">
        <f>IF(D9319&lt;&gt;"",IFERROR(INDEX(Produtos!$C$4:$C$4996,MATCH(D9319,Produtos!$B$4:$B$4996,0)),"Produto não encontrado"),"")</f>
        <v/>
      </c>
    </row>
    <row r="9320" spans="1:5" x14ac:dyDescent="0.3">
      <c r="A9320" s="21" t="str">
        <f t="shared" si="145"/>
        <v>.</v>
      </c>
      <c r="D9320" s="44"/>
      <c r="E9320" s="22" t="str">
        <f>IF(D9320&lt;&gt;"",IFERROR(INDEX(Produtos!$C$4:$C$4996,MATCH(D9320,Produtos!$B$4:$B$4996,0)),"Produto não encontrado"),"")</f>
        <v/>
      </c>
    </row>
    <row r="9321" spans="1:5" x14ac:dyDescent="0.3">
      <c r="A9321" s="21" t="str">
        <f t="shared" si="145"/>
        <v>.</v>
      </c>
      <c r="D9321" s="44"/>
      <c r="E9321" s="22" t="str">
        <f>IF(D9321&lt;&gt;"",IFERROR(INDEX(Produtos!$C$4:$C$4996,MATCH(D9321,Produtos!$B$4:$B$4996,0)),"Produto não encontrado"),"")</f>
        <v/>
      </c>
    </row>
    <row r="9322" spans="1:5" x14ac:dyDescent="0.3">
      <c r="A9322" s="21" t="str">
        <f t="shared" si="145"/>
        <v>.</v>
      </c>
      <c r="D9322" s="44"/>
      <c r="E9322" s="22" t="str">
        <f>IF(D9322&lt;&gt;"",IFERROR(INDEX(Produtos!$C$4:$C$4996,MATCH(D9322,Produtos!$B$4:$B$4996,0)),"Produto não encontrado"),"")</f>
        <v/>
      </c>
    </row>
    <row r="9323" spans="1:5" x14ac:dyDescent="0.3">
      <c r="A9323" s="21" t="str">
        <f t="shared" si="145"/>
        <v>.</v>
      </c>
      <c r="D9323" s="44"/>
      <c r="E9323" s="22" t="str">
        <f>IF(D9323&lt;&gt;"",IFERROR(INDEX(Produtos!$C$4:$C$4996,MATCH(D9323,Produtos!$B$4:$B$4996,0)),"Produto não encontrado"),"")</f>
        <v/>
      </c>
    </row>
    <row r="9324" spans="1:5" x14ac:dyDescent="0.3">
      <c r="A9324" s="21" t="str">
        <f t="shared" si="145"/>
        <v>.</v>
      </c>
      <c r="D9324" s="44"/>
      <c r="E9324" s="22" t="str">
        <f>IF(D9324&lt;&gt;"",IFERROR(INDEX(Produtos!$C$4:$C$4996,MATCH(D9324,Produtos!$B$4:$B$4996,0)),"Produto não encontrado"),"")</f>
        <v/>
      </c>
    </row>
    <row r="9325" spans="1:5" x14ac:dyDescent="0.3">
      <c r="A9325" s="21" t="str">
        <f t="shared" si="145"/>
        <v>.</v>
      </c>
      <c r="D9325" s="44"/>
      <c r="E9325" s="22" t="str">
        <f>IF(D9325&lt;&gt;"",IFERROR(INDEX(Produtos!$C$4:$C$4996,MATCH(D9325,Produtos!$B$4:$B$4996,0)),"Produto não encontrado"),"")</f>
        <v/>
      </c>
    </row>
    <row r="9326" spans="1:5" x14ac:dyDescent="0.3">
      <c r="A9326" s="21" t="str">
        <f t="shared" si="145"/>
        <v>.</v>
      </c>
      <c r="D9326" s="44"/>
      <c r="E9326" s="22" t="str">
        <f>IF(D9326&lt;&gt;"",IFERROR(INDEX(Produtos!$C$4:$C$4996,MATCH(D9326,Produtos!$B$4:$B$4996,0)),"Produto não encontrado"),"")</f>
        <v/>
      </c>
    </row>
    <row r="9327" spans="1:5" x14ac:dyDescent="0.3">
      <c r="A9327" s="21" t="str">
        <f t="shared" si="145"/>
        <v>.</v>
      </c>
      <c r="D9327" s="44"/>
      <c r="E9327" s="22" t="str">
        <f>IF(D9327&lt;&gt;"",IFERROR(INDEX(Produtos!$C$4:$C$4996,MATCH(D9327,Produtos!$B$4:$B$4996,0)),"Produto não encontrado"),"")</f>
        <v/>
      </c>
    </row>
    <row r="9328" spans="1:5" x14ac:dyDescent="0.3">
      <c r="A9328" s="21" t="str">
        <f t="shared" si="145"/>
        <v>.</v>
      </c>
      <c r="D9328" s="44"/>
      <c r="E9328" s="22" t="str">
        <f>IF(D9328&lt;&gt;"",IFERROR(INDEX(Produtos!$C$4:$C$4996,MATCH(D9328,Produtos!$B$4:$B$4996,0)),"Produto não encontrado"),"")</f>
        <v/>
      </c>
    </row>
    <row r="9329" spans="1:5" x14ac:dyDescent="0.3">
      <c r="A9329" s="21" t="str">
        <f t="shared" si="145"/>
        <v>.</v>
      </c>
      <c r="D9329" s="44"/>
      <c r="E9329" s="22" t="str">
        <f>IF(D9329&lt;&gt;"",IFERROR(INDEX(Produtos!$C$4:$C$4996,MATCH(D9329,Produtos!$B$4:$B$4996,0)),"Produto não encontrado"),"")</f>
        <v/>
      </c>
    </row>
    <row r="9330" spans="1:5" x14ac:dyDescent="0.3">
      <c r="A9330" s="21" t="str">
        <f t="shared" si="145"/>
        <v>.</v>
      </c>
      <c r="D9330" s="44"/>
      <c r="E9330" s="22" t="str">
        <f>IF(D9330&lt;&gt;"",IFERROR(INDEX(Produtos!$C$4:$C$4996,MATCH(D9330,Produtos!$B$4:$B$4996,0)),"Produto não encontrado"),"")</f>
        <v/>
      </c>
    </row>
    <row r="9331" spans="1:5" x14ac:dyDescent="0.3">
      <c r="A9331" s="21" t="str">
        <f t="shared" si="145"/>
        <v>.</v>
      </c>
      <c r="D9331" s="44"/>
      <c r="E9331" s="22" t="str">
        <f>IF(D9331&lt;&gt;"",IFERROR(INDEX(Produtos!$C$4:$C$4996,MATCH(D9331,Produtos!$B$4:$B$4996,0)),"Produto não encontrado"),"")</f>
        <v/>
      </c>
    </row>
    <row r="9332" spans="1:5" x14ac:dyDescent="0.3">
      <c r="A9332" s="21" t="str">
        <f t="shared" si="145"/>
        <v>.</v>
      </c>
      <c r="D9332" s="44"/>
      <c r="E9332" s="22" t="str">
        <f>IF(D9332&lt;&gt;"",IFERROR(INDEX(Produtos!$C$4:$C$4996,MATCH(D9332,Produtos!$B$4:$B$4996,0)),"Produto não encontrado"),"")</f>
        <v/>
      </c>
    </row>
    <row r="9333" spans="1:5" x14ac:dyDescent="0.3">
      <c r="A9333" s="21" t="str">
        <f t="shared" si="145"/>
        <v>.</v>
      </c>
      <c r="D9333" s="44"/>
      <c r="E9333" s="22" t="str">
        <f>IF(D9333&lt;&gt;"",IFERROR(INDEX(Produtos!$C$4:$C$4996,MATCH(D9333,Produtos!$B$4:$B$4996,0)),"Produto não encontrado"),"")</f>
        <v/>
      </c>
    </row>
    <row r="9334" spans="1:5" x14ac:dyDescent="0.3">
      <c r="A9334" s="21" t="str">
        <f t="shared" si="145"/>
        <v>.</v>
      </c>
      <c r="D9334" s="44"/>
      <c r="E9334" s="22" t="str">
        <f>IF(D9334&lt;&gt;"",IFERROR(INDEX(Produtos!$C$4:$C$4996,MATCH(D9334,Produtos!$B$4:$B$4996,0)),"Produto não encontrado"),"")</f>
        <v/>
      </c>
    </row>
    <row r="9335" spans="1:5" x14ac:dyDescent="0.3">
      <c r="A9335" s="21" t="str">
        <f t="shared" si="145"/>
        <v>.</v>
      </c>
      <c r="D9335" s="44"/>
      <c r="E9335" s="22" t="str">
        <f>IF(D9335&lt;&gt;"",IFERROR(INDEX(Produtos!$C$4:$C$4996,MATCH(D9335,Produtos!$B$4:$B$4996,0)),"Produto não encontrado"),"")</f>
        <v/>
      </c>
    </row>
    <row r="9336" spans="1:5" x14ac:dyDescent="0.3">
      <c r="A9336" s="21" t="str">
        <f t="shared" si="145"/>
        <v>.</v>
      </c>
      <c r="D9336" s="44"/>
      <c r="E9336" s="22" t="str">
        <f>IF(D9336&lt;&gt;"",IFERROR(INDEX(Produtos!$C$4:$C$4996,MATCH(D9336,Produtos!$B$4:$B$4996,0)),"Produto não encontrado"),"")</f>
        <v/>
      </c>
    </row>
    <row r="9337" spans="1:5" x14ac:dyDescent="0.3">
      <c r="A9337" s="21" t="str">
        <f t="shared" si="145"/>
        <v>.</v>
      </c>
      <c r="D9337" s="44"/>
      <c r="E9337" s="22" t="str">
        <f>IF(D9337&lt;&gt;"",IFERROR(INDEX(Produtos!$C$4:$C$4996,MATCH(D9337,Produtos!$B$4:$B$4996,0)),"Produto não encontrado"),"")</f>
        <v/>
      </c>
    </row>
    <row r="9338" spans="1:5" x14ac:dyDescent="0.3">
      <c r="A9338" s="21" t="str">
        <f t="shared" si="145"/>
        <v>.</v>
      </c>
      <c r="D9338" s="44"/>
      <c r="E9338" s="22" t="str">
        <f>IF(D9338&lt;&gt;"",IFERROR(INDEX(Produtos!$C$4:$C$4996,MATCH(D9338,Produtos!$B$4:$B$4996,0)),"Produto não encontrado"),"")</f>
        <v/>
      </c>
    </row>
    <row r="9339" spans="1:5" x14ac:dyDescent="0.3">
      <c r="A9339" s="21" t="str">
        <f t="shared" si="145"/>
        <v>.</v>
      </c>
      <c r="D9339" s="44"/>
      <c r="E9339" s="22" t="str">
        <f>IF(D9339&lt;&gt;"",IFERROR(INDEX(Produtos!$C$4:$C$4996,MATCH(D9339,Produtos!$B$4:$B$4996,0)),"Produto não encontrado"),"")</f>
        <v/>
      </c>
    </row>
    <row r="9340" spans="1:5" x14ac:dyDescent="0.3">
      <c r="A9340" s="21" t="str">
        <f t="shared" si="145"/>
        <v>.</v>
      </c>
      <c r="D9340" s="44"/>
      <c r="E9340" s="22" t="str">
        <f>IF(D9340&lt;&gt;"",IFERROR(INDEX(Produtos!$C$4:$C$4996,MATCH(D9340,Produtos!$B$4:$B$4996,0)),"Produto não encontrado"),"")</f>
        <v/>
      </c>
    </row>
    <row r="9341" spans="1:5" x14ac:dyDescent="0.3">
      <c r="A9341" s="21" t="str">
        <f t="shared" si="145"/>
        <v>.</v>
      </c>
      <c r="D9341" s="44"/>
      <c r="E9341" s="22" t="str">
        <f>IF(D9341&lt;&gt;"",IFERROR(INDEX(Produtos!$C$4:$C$4996,MATCH(D9341,Produtos!$B$4:$B$4996,0)),"Produto não encontrado"),"")</f>
        <v/>
      </c>
    </row>
    <row r="9342" spans="1:5" x14ac:dyDescent="0.3">
      <c r="A9342" s="21" t="str">
        <f t="shared" si="145"/>
        <v>.</v>
      </c>
      <c r="D9342" s="44"/>
      <c r="E9342" s="22" t="str">
        <f>IF(D9342&lt;&gt;"",IFERROR(INDEX(Produtos!$C$4:$C$4996,MATCH(D9342,Produtos!$B$4:$B$4996,0)),"Produto não encontrado"),"")</f>
        <v/>
      </c>
    </row>
    <row r="9343" spans="1:5" x14ac:dyDescent="0.3">
      <c r="A9343" s="21" t="str">
        <f t="shared" si="145"/>
        <v>.</v>
      </c>
      <c r="D9343" s="44"/>
      <c r="E9343" s="22" t="str">
        <f>IF(D9343&lt;&gt;"",IFERROR(INDEX(Produtos!$C$4:$C$4996,MATCH(D9343,Produtos!$B$4:$B$4996,0)),"Produto não encontrado"),"")</f>
        <v/>
      </c>
    </row>
    <row r="9344" spans="1:5" x14ac:dyDescent="0.3">
      <c r="A9344" s="21" t="str">
        <f t="shared" ref="A9344:A9407" si="146">IF(C9344="Entrada",2,IF(C9344="Saída",1,"."))</f>
        <v>.</v>
      </c>
      <c r="D9344" s="44"/>
      <c r="E9344" s="22" t="str">
        <f>IF(D9344&lt;&gt;"",IFERROR(INDEX(Produtos!$C$4:$C$4996,MATCH(D9344,Produtos!$B$4:$B$4996,0)),"Produto não encontrado"),"")</f>
        <v/>
      </c>
    </row>
    <row r="9345" spans="1:5" x14ac:dyDescent="0.3">
      <c r="A9345" s="21" t="str">
        <f t="shared" si="146"/>
        <v>.</v>
      </c>
      <c r="D9345" s="44"/>
      <c r="E9345" s="22" t="str">
        <f>IF(D9345&lt;&gt;"",IFERROR(INDEX(Produtos!$C$4:$C$4996,MATCH(D9345,Produtos!$B$4:$B$4996,0)),"Produto não encontrado"),"")</f>
        <v/>
      </c>
    </row>
    <row r="9346" spans="1:5" x14ac:dyDescent="0.3">
      <c r="A9346" s="21" t="str">
        <f t="shared" si="146"/>
        <v>.</v>
      </c>
      <c r="D9346" s="44"/>
      <c r="E9346" s="22" t="str">
        <f>IF(D9346&lt;&gt;"",IFERROR(INDEX(Produtos!$C$4:$C$4996,MATCH(D9346,Produtos!$B$4:$B$4996,0)),"Produto não encontrado"),"")</f>
        <v/>
      </c>
    </row>
    <row r="9347" spans="1:5" x14ac:dyDescent="0.3">
      <c r="A9347" s="21" t="str">
        <f t="shared" si="146"/>
        <v>.</v>
      </c>
      <c r="D9347" s="44"/>
      <c r="E9347" s="22" t="str">
        <f>IF(D9347&lt;&gt;"",IFERROR(INDEX(Produtos!$C$4:$C$4996,MATCH(D9347,Produtos!$B$4:$B$4996,0)),"Produto não encontrado"),"")</f>
        <v/>
      </c>
    </row>
    <row r="9348" spans="1:5" x14ac:dyDescent="0.3">
      <c r="A9348" s="21" t="str">
        <f t="shared" si="146"/>
        <v>.</v>
      </c>
      <c r="D9348" s="44"/>
      <c r="E9348" s="22" t="str">
        <f>IF(D9348&lt;&gt;"",IFERROR(INDEX(Produtos!$C$4:$C$4996,MATCH(D9348,Produtos!$B$4:$B$4996,0)),"Produto não encontrado"),"")</f>
        <v/>
      </c>
    </row>
    <row r="9349" spans="1:5" x14ac:dyDescent="0.3">
      <c r="A9349" s="21" t="str">
        <f t="shared" si="146"/>
        <v>.</v>
      </c>
      <c r="D9349" s="44"/>
      <c r="E9349" s="22" t="str">
        <f>IF(D9349&lt;&gt;"",IFERROR(INDEX(Produtos!$C$4:$C$4996,MATCH(D9349,Produtos!$B$4:$B$4996,0)),"Produto não encontrado"),"")</f>
        <v/>
      </c>
    </row>
    <row r="9350" spans="1:5" x14ac:dyDescent="0.3">
      <c r="A9350" s="21" t="str">
        <f t="shared" si="146"/>
        <v>.</v>
      </c>
      <c r="D9350" s="44"/>
      <c r="E9350" s="22" t="str">
        <f>IF(D9350&lt;&gt;"",IFERROR(INDEX(Produtos!$C$4:$C$4996,MATCH(D9350,Produtos!$B$4:$B$4996,0)),"Produto não encontrado"),"")</f>
        <v/>
      </c>
    </row>
    <row r="9351" spans="1:5" x14ac:dyDescent="0.3">
      <c r="A9351" s="21" t="str">
        <f t="shared" si="146"/>
        <v>.</v>
      </c>
      <c r="D9351" s="44"/>
      <c r="E9351" s="22" t="str">
        <f>IF(D9351&lt;&gt;"",IFERROR(INDEX(Produtos!$C$4:$C$4996,MATCH(D9351,Produtos!$B$4:$B$4996,0)),"Produto não encontrado"),"")</f>
        <v/>
      </c>
    </row>
    <row r="9352" spans="1:5" x14ac:dyDescent="0.3">
      <c r="A9352" s="21" t="str">
        <f t="shared" si="146"/>
        <v>.</v>
      </c>
      <c r="D9352" s="44"/>
      <c r="E9352" s="22" t="str">
        <f>IF(D9352&lt;&gt;"",IFERROR(INDEX(Produtos!$C$4:$C$4996,MATCH(D9352,Produtos!$B$4:$B$4996,0)),"Produto não encontrado"),"")</f>
        <v/>
      </c>
    </row>
    <row r="9353" spans="1:5" x14ac:dyDescent="0.3">
      <c r="A9353" s="21" t="str">
        <f t="shared" si="146"/>
        <v>.</v>
      </c>
      <c r="D9353" s="44"/>
      <c r="E9353" s="22" t="str">
        <f>IF(D9353&lt;&gt;"",IFERROR(INDEX(Produtos!$C$4:$C$4996,MATCH(D9353,Produtos!$B$4:$B$4996,0)),"Produto não encontrado"),"")</f>
        <v/>
      </c>
    </row>
    <row r="9354" spans="1:5" x14ac:dyDescent="0.3">
      <c r="A9354" s="21" t="str">
        <f t="shared" si="146"/>
        <v>.</v>
      </c>
      <c r="D9354" s="44"/>
      <c r="E9354" s="22" t="str">
        <f>IF(D9354&lt;&gt;"",IFERROR(INDEX(Produtos!$C$4:$C$4996,MATCH(D9354,Produtos!$B$4:$B$4996,0)),"Produto não encontrado"),"")</f>
        <v/>
      </c>
    </row>
    <row r="9355" spans="1:5" x14ac:dyDescent="0.3">
      <c r="A9355" s="21" t="str">
        <f t="shared" si="146"/>
        <v>.</v>
      </c>
      <c r="D9355" s="44"/>
      <c r="E9355" s="22" t="str">
        <f>IF(D9355&lt;&gt;"",IFERROR(INDEX(Produtos!$C$4:$C$4996,MATCH(D9355,Produtos!$B$4:$B$4996,0)),"Produto não encontrado"),"")</f>
        <v/>
      </c>
    </row>
    <row r="9356" spans="1:5" x14ac:dyDescent="0.3">
      <c r="A9356" s="21" t="str">
        <f t="shared" si="146"/>
        <v>.</v>
      </c>
      <c r="D9356" s="44"/>
      <c r="E9356" s="22" t="str">
        <f>IF(D9356&lt;&gt;"",IFERROR(INDEX(Produtos!$C$4:$C$4996,MATCH(D9356,Produtos!$B$4:$B$4996,0)),"Produto não encontrado"),"")</f>
        <v/>
      </c>
    </row>
    <row r="9357" spans="1:5" x14ac:dyDescent="0.3">
      <c r="A9357" s="21" t="str">
        <f t="shared" si="146"/>
        <v>.</v>
      </c>
      <c r="D9357" s="44"/>
      <c r="E9357" s="22" t="str">
        <f>IF(D9357&lt;&gt;"",IFERROR(INDEX(Produtos!$C$4:$C$4996,MATCH(D9357,Produtos!$B$4:$B$4996,0)),"Produto não encontrado"),"")</f>
        <v/>
      </c>
    </row>
    <row r="9358" spans="1:5" x14ac:dyDescent="0.3">
      <c r="A9358" s="21" t="str">
        <f t="shared" si="146"/>
        <v>.</v>
      </c>
      <c r="D9358" s="44"/>
      <c r="E9358" s="22" t="str">
        <f>IF(D9358&lt;&gt;"",IFERROR(INDEX(Produtos!$C$4:$C$4996,MATCH(D9358,Produtos!$B$4:$B$4996,0)),"Produto não encontrado"),"")</f>
        <v/>
      </c>
    </row>
    <row r="9359" spans="1:5" x14ac:dyDescent="0.3">
      <c r="A9359" s="21" t="str">
        <f t="shared" si="146"/>
        <v>.</v>
      </c>
      <c r="D9359" s="44"/>
      <c r="E9359" s="22" t="str">
        <f>IF(D9359&lt;&gt;"",IFERROR(INDEX(Produtos!$C$4:$C$4996,MATCH(D9359,Produtos!$B$4:$B$4996,0)),"Produto não encontrado"),"")</f>
        <v/>
      </c>
    </row>
    <row r="9360" spans="1:5" x14ac:dyDescent="0.3">
      <c r="A9360" s="21" t="str">
        <f t="shared" si="146"/>
        <v>.</v>
      </c>
      <c r="D9360" s="44"/>
      <c r="E9360" s="22" t="str">
        <f>IF(D9360&lt;&gt;"",IFERROR(INDEX(Produtos!$C$4:$C$4996,MATCH(D9360,Produtos!$B$4:$B$4996,0)),"Produto não encontrado"),"")</f>
        <v/>
      </c>
    </row>
    <row r="9361" spans="1:5" x14ac:dyDescent="0.3">
      <c r="A9361" s="21" t="str">
        <f t="shared" si="146"/>
        <v>.</v>
      </c>
      <c r="D9361" s="44"/>
      <c r="E9361" s="22" t="str">
        <f>IF(D9361&lt;&gt;"",IFERROR(INDEX(Produtos!$C$4:$C$4996,MATCH(D9361,Produtos!$B$4:$B$4996,0)),"Produto não encontrado"),"")</f>
        <v/>
      </c>
    </row>
    <row r="9362" spans="1:5" x14ac:dyDescent="0.3">
      <c r="A9362" s="21" t="str">
        <f t="shared" si="146"/>
        <v>.</v>
      </c>
      <c r="D9362" s="44"/>
      <c r="E9362" s="22" t="str">
        <f>IF(D9362&lt;&gt;"",IFERROR(INDEX(Produtos!$C$4:$C$4996,MATCH(D9362,Produtos!$B$4:$B$4996,0)),"Produto não encontrado"),"")</f>
        <v/>
      </c>
    </row>
    <row r="9363" spans="1:5" x14ac:dyDescent="0.3">
      <c r="A9363" s="21" t="str">
        <f t="shared" si="146"/>
        <v>.</v>
      </c>
      <c r="D9363" s="44"/>
      <c r="E9363" s="22" t="str">
        <f>IF(D9363&lt;&gt;"",IFERROR(INDEX(Produtos!$C$4:$C$4996,MATCH(D9363,Produtos!$B$4:$B$4996,0)),"Produto não encontrado"),"")</f>
        <v/>
      </c>
    </row>
    <row r="9364" spans="1:5" x14ac:dyDescent="0.3">
      <c r="A9364" s="21" t="str">
        <f t="shared" si="146"/>
        <v>.</v>
      </c>
      <c r="D9364" s="44"/>
      <c r="E9364" s="22" t="str">
        <f>IF(D9364&lt;&gt;"",IFERROR(INDEX(Produtos!$C$4:$C$4996,MATCH(D9364,Produtos!$B$4:$B$4996,0)),"Produto não encontrado"),"")</f>
        <v/>
      </c>
    </row>
    <row r="9365" spans="1:5" x14ac:dyDescent="0.3">
      <c r="A9365" s="21" t="str">
        <f t="shared" si="146"/>
        <v>.</v>
      </c>
      <c r="D9365" s="44"/>
      <c r="E9365" s="22" t="str">
        <f>IF(D9365&lt;&gt;"",IFERROR(INDEX(Produtos!$C$4:$C$4996,MATCH(D9365,Produtos!$B$4:$B$4996,0)),"Produto não encontrado"),"")</f>
        <v/>
      </c>
    </row>
    <row r="9366" spans="1:5" x14ac:dyDescent="0.3">
      <c r="A9366" s="21" t="str">
        <f t="shared" si="146"/>
        <v>.</v>
      </c>
      <c r="D9366" s="44"/>
      <c r="E9366" s="22" t="str">
        <f>IF(D9366&lt;&gt;"",IFERROR(INDEX(Produtos!$C$4:$C$4996,MATCH(D9366,Produtos!$B$4:$B$4996,0)),"Produto não encontrado"),"")</f>
        <v/>
      </c>
    </row>
    <row r="9367" spans="1:5" x14ac:dyDescent="0.3">
      <c r="A9367" s="21" t="str">
        <f t="shared" si="146"/>
        <v>.</v>
      </c>
      <c r="D9367" s="44"/>
      <c r="E9367" s="22" t="str">
        <f>IF(D9367&lt;&gt;"",IFERROR(INDEX(Produtos!$C$4:$C$4996,MATCH(D9367,Produtos!$B$4:$B$4996,0)),"Produto não encontrado"),"")</f>
        <v/>
      </c>
    </row>
    <row r="9368" spans="1:5" x14ac:dyDescent="0.3">
      <c r="A9368" s="21" t="str">
        <f t="shared" si="146"/>
        <v>.</v>
      </c>
      <c r="D9368" s="44"/>
      <c r="E9368" s="22" t="str">
        <f>IF(D9368&lt;&gt;"",IFERROR(INDEX(Produtos!$C$4:$C$4996,MATCH(D9368,Produtos!$B$4:$B$4996,0)),"Produto não encontrado"),"")</f>
        <v/>
      </c>
    </row>
    <row r="9369" spans="1:5" x14ac:dyDescent="0.3">
      <c r="A9369" s="21" t="str">
        <f t="shared" si="146"/>
        <v>.</v>
      </c>
      <c r="D9369" s="44"/>
      <c r="E9369" s="22" t="str">
        <f>IF(D9369&lt;&gt;"",IFERROR(INDEX(Produtos!$C$4:$C$4996,MATCH(D9369,Produtos!$B$4:$B$4996,0)),"Produto não encontrado"),"")</f>
        <v/>
      </c>
    </row>
    <row r="9370" spans="1:5" x14ac:dyDescent="0.3">
      <c r="A9370" s="21" t="str">
        <f t="shared" si="146"/>
        <v>.</v>
      </c>
      <c r="D9370" s="44"/>
      <c r="E9370" s="22" t="str">
        <f>IF(D9370&lt;&gt;"",IFERROR(INDEX(Produtos!$C$4:$C$4996,MATCH(D9370,Produtos!$B$4:$B$4996,0)),"Produto não encontrado"),"")</f>
        <v/>
      </c>
    </row>
    <row r="9371" spans="1:5" x14ac:dyDescent="0.3">
      <c r="A9371" s="21" t="str">
        <f t="shared" si="146"/>
        <v>.</v>
      </c>
      <c r="D9371" s="44"/>
      <c r="E9371" s="22" t="str">
        <f>IF(D9371&lt;&gt;"",IFERROR(INDEX(Produtos!$C$4:$C$4996,MATCH(D9371,Produtos!$B$4:$B$4996,0)),"Produto não encontrado"),"")</f>
        <v/>
      </c>
    </row>
    <row r="9372" spans="1:5" x14ac:dyDescent="0.3">
      <c r="A9372" s="21" t="str">
        <f t="shared" si="146"/>
        <v>.</v>
      </c>
      <c r="D9372" s="44"/>
      <c r="E9372" s="22" t="str">
        <f>IF(D9372&lt;&gt;"",IFERROR(INDEX(Produtos!$C$4:$C$4996,MATCH(D9372,Produtos!$B$4:$B$4996,0)),"Produto não encontrado"),"")</f>
        <v/>
      </c>
    </row>
    <row r="9373" spans="1:5" x14ac:dyDescent="0.3">
      <c r="A9373" s="21" t="str">
        <f t="shared" si="146"/>
        <v>.</v>
      </c>
      <c r="D9373" s="44"/>
      <c r="E9373" s="22" t="str">
        <f>IF(D9373&lt;&gt;"",IFERROR(INDEX(Produtos!$C$4:$C$4996,MATCH(D9373,Produtos!$B$4:$B$4996,0)),"Produto não encontrado"),"")</f>
        <v/>
      </c>
    </row>
    <row r="9374" spans="1:5" x14ac:dyDescent="0.3">
      <c r="A9374" s="21" t="str">
        <f t="shared" si="146"/>
        <v>.</v>
      </c>
      <c r="D9374" s="44"/>
      <c r="E9374" s="22" t="str">
        <f>IF(D9374&lt;&gt;"",IFERROR(INDEX(Produtos!$C$4:$C$4996,MATCH(D9374,Produtos!$B$4:$B$4996,0)),"Produto não encontrado"),"")</f>
        <v/>
      </c>
    </row>
    <row r="9375" spans="1:5" x14ac:dyDescent="0.3">
      <c r="A9375" s="21" t="str">
        <f t="shared" si="146"/>
        <v>.</v>
      </c>
      <c r="D9375" s="44"/>
      <c r="E9375" s="22" t="str">
        <f>IF(D9375&lt;&gt;"",IFERROR(INDEX(Produtos!$C$4:$C$4996,MATCH(D9375,Produtos!$B$4:$B$4996,0)),"Produto não encontrado"),"")</f>
        <v/>
      </c>
    </row>
    <row r="9376" spans="1:5" x14ac:dyDescent="0.3">
      <c r="A9376" s="21" t="str">
        <f t="shared" si="146"/>
        <v>.</v>
      </c>
      <c r="D9376" s="44"/>
      <c r="E9376" s="22" t="str">
        <f>IF(D9376&lt;&gt;"",IFERROR(INDEX(Produtos!$C$4:$C$4996,MATCH(D9376,Produtos!$B$4:$B$4996,0)),"Produto não encontrado"),"")</f>
        <v/>
      </c>
    </row>
    <row r="9377" spans="1:5" x14ac:dyDescent="0.3">
      <c r="A9377" s="21" t="str">
        <f t="shared" si="146"/>
        <v>.</v>
      </c>
      <c r="D9377" s="44"/>
      <c r="E9377" s="22" t="str">
        <f>IF(D9377&lt;&gt;"",IFERROR(INDEX(Produtos!$C$4:$C$4996,MATCH(D9377,Produtos!$B$4:$B$4996,0)),"Produto não encontrado"),"")</f>
        <v/>
      </c>
    </row>
    <row r="9378" spans="1:5" x14ac:dyDescent="0.3">
      <c r="A9378" s="21" t="str">
        <f t="shared" si="146"/>
        <v>.</v>
      </c>
      <c r="D9378" s="44"/>
      <c r="E9378" s="22" t="str">
        <f>IF(D9378&lt;&gt;"",IFERROR(INDEX(Produtos!$C$4:$C$4996,MATCH(D9378,Produtos!$B$4:$B$4996,0)),"Produto não encontrado"),"")</f>
        <v/>
      </c>
    </row>
    <row r="9379" spans="1:5" x14ac:dyDescent="0.3">
      <c r="A9379" s="21" t="str">
        <f t="shared" si="146"/>
        <v>.</v>
      </c>
      <c r="D9379" s="44"/>
      <c r="E9379" s="22" t="str">
        <f>IF(D9379&lt;&gt;"",IFERROR(INDEX(Produtos!$C$4:$C$4996,MATCH(D9379,Produtos!$B$4:$B$4996,0)),"Produto não encontrado"),"")</f>
        <v/>
      </c>
    </row>
    <row r="9380" spans="1:5" x14ac:dyDescent="0.3">
      <c r="A9380" s="21" t="str">
        <f t="shared" si="146"/>
        <v>.</v>
      </c>
      <c r="D9380" s="44"/>
      <c r="E9380" s="22" t="str">
        <f>IF(D9380&lt;&gt;"",IFERROR(INDEX(Produtos!$C$4:$C$4996,MATCH(D9380,Produtos!$B$4:$B$4996,0)),"Produto não encontrado"),"")</f>
        <v/>
      </c>
    </row>
    <row r="9381" spans="1:5" x14ac:dyDescent="0.3">
      <c r="A9381" s="21" t="str">
        <f t="shared" si="146"/>
        <v>.</v>
      </c>
      <c r="D9381" s="44"/>
      <c r="E9381" s="22" t="str">
        <f>IF(D9381&lt;&gt;"",IFERROR(INDEX(Produtos!$C$4:$C$4996,MATCH(D9381,Produtos!$B$4:$B$4996,0)),"Produto não encontrado"),"")</f>
        <v/>
      </c>
    </row>
    <row r="9382" spans="1:5" x14ac:dyDescent="0.3">
      <c r="A9382" s="21" t="str">
        <f t="shared" si="146"/>
        <v>.</v>
      </c>
      <c r="D9382" s="44"/>
      <c r="E9382" s="22" t="str">
        <f>IF(D9382&lt;&gt;"",IFERROR(INDEX(Produtos!$C$4:$C$4996,MATCH(D9382,Produtos!$B$4:$B$4996,0)),"Produto não encontrado"),"")</f>
        <v/>
      </c>
    </row>
    <row r="9383" spans="1:5" x14ac:dyDescent="0.3">
      <c r="A9383" s="21" t="str">
        <f t="shared" si="146"/>
        <v>.</v>
      </c>
      <c r="D9383" s="44"/>
      <c r="E9383" s="22" t="str">
        <f>IF(D9383&lt;&gt;"",IFERROR(INDEX(Produtos!$C$4:$C$4996,MATCH(D9383,Produtos!$B$4:$B$4996,0)),"Produto não encontrado"),"")</f>
        <v/>
      </c>
    </row>
    <row r="9384" spans="1:5" x14ac:dyDescent="0.3">
      <c r="A9384" s="21" t="str">
        <f t="shared" si="146"/>
        <v>.</v>
      </c>
      <c r="D9384" s="44"/>
      <c r="E9384" s="22" t="str">
        <f>IF(D9384&lt;&gt;"",IFERROR(INDEX(Produtos!$C$4:$C$4996,MATCH(D9384,Produtos!$B$4:$B$4996,0)),"Produto não encontrado"),"")</f>
        <v/>
      </c>
    </row>
    <row r="9385" spans="1:5" x14ac:dyDescent="0.3">
      <c r="A9385" s="21" t="str">
        <f t="shared" si="146"/>
        <v>.</v>
      </c>
      <c r="D9385" s="44"/>
      <c r="E9385" s="22" t="str">
        <f>IF(D9385&lt;&gt;"",IFERROR(INDEX(Produtos!$C$4:$C$4996,MATCH(D9385,Produtos!$B$4:$B$4996,0)),"Produto não encontrado"),"")</f>
        <v/>
      </c>
    </row>
    <row r="9386" spans="1:5" x14ac:dyDescent="0.3">
      <c r="A9386" s="21" t="str">
        <f t="shared" si="146"/>
        <v>.</v>
      </c>
      <c r="D9386" s="44"/>
      <c r="E9386" s="22" t="str">
        <f>IF(D9386&lt;&gt;"",IFERROR(INDEX(Produtos!$C$4:$C$4996,MATCH(D9386,Produtos!$B$4:$B$4996,0)),"Produto não encontrado"),"")</f>
        <v/>
      </c>
    </row>
    <row r="9387" spans="1:5" x14ac:dyDescent="0.3">
      <c r="A9387" s="21" t="str">
        <f t="shared" si="146"/>
        <v>.</v>
      </c>
      <c r="D9387" s="44"/>
      <c r="E9387" s="22" t="str">
        <f>IF(D9387&lt;&gt;"",IFERROR(INDEX(Produtos!$C$4:$C$4996,MATCH(D9387,Produtos!$B$4:$B$4996,0)),"Produto não encontrado"),"")</f>
        <v/>
      </c>
    </row>
    <row r="9388" spans="1:5" x14ac:dyDescent="0.3">
      <c r="A9388" s="21" t="str">
        <f t="shared" si="146"/>
        <v>.</v>
      </c>
      <c r="D9388" s="44"/>
      <c r="E9388" s="22" t="str">
        <f>IF(D9388&lt;&gt;"",IFERROR(INDEX(Produtos!$C$4:$C$4996,MATCH(D9388,Produtos!$B$4:$B$4996,0)),"Produto não encontrado"),"")</f>
        <v/>
      </c>
    </row>
    <row r="9389" spans="1:5" x14ac:dyDescent="0.3">
      <c r="A9389" s="21" t="str">
        <f t="shared" si="146"/>
        <v>.</v>
      </c>
      <c r="D9389" s="44"/>
      <c r="E9389" s="22" t="str">
        <f>IF(D9389&lt;&gt;"",IFERROR(INDEX(Produtos!$C$4:$C$4996,MATCH(D9389,Produtos!$B$4:$B$4996,0)),"Produto não encontrado"),"")</f>
        <v/>
      </c>
    </row>
    <row r="9390" spans="1:5" x14ac:dyDescent="0.3">
      <c r="A9390" s="21" t="str">
        <f t="shared" si="146"/>
        <v>.</v>
      </c>
      <c r="D9390" s="44"/>
      <c r="E9390" s="22" t="str">
        <f>IF(D9390&lt;&gt;"",IFERROR(INDEX(Produtos!$C$4:$C$4996,MATCH(D9390,Produtos!$B$4:$B$4996,0)),"Produto não encontrado"),"")</f>
        <v/>
      </c>
    </row>
    <row r="9391" spans="1:5" x14ac:dyDescent="0.3">
      <c r="A9391" s="21" t="str">
        <f t="shared" si="146"/>
        <v>.</v>
      </c>
      <c r="D9391" s="44"/>
      <c r="E9391" s="22" t="str">
        <f>IF(D9391&lt;&gt;"",IFERROR(INDEX(Produtos!$C$4:$C$4996,MATCH(D9391,Produtos!$B$4:$B$4996,0)),"Produto não encontrado"),"")</f>
        <v/>
      </c>
    </row>
    <row r="9392" spans="1:5" x14ac:dyDescent="0.3">
      <c r="A9392" s="21" t="str">
        <f t="shared" si="146"/>
        <v>.</v>
      </c>
      <c r="D9392" s="44"/>
      <c r="E9392" s="22" t="str">
        <f>IF(D9392&lt;&gt;"",IFERROR(INDEX(Produtos!$C$4:$C$4996,MATCH(D9392,Produtos!$B$4:$B$4996,0)),"Produto não encontrado"),"")</f>
        <v/>
      </c>
    </row>
    <row r="9393" spans="1:5" x14ac:dyDescent="0.3">
      <c r="A9393" s="21" t="str">
        <f t="shared" si="146"/>
        <v>.</v>
      </c>
      <c r="D9393" s="44"/>
      <c r="E9393" s="22" t="str">
        <f>IF(D9393&lt;&gt;"",IFERROR(INDEX(Produtos!$C$4:$C$4996,MATCH(D9393,Produtos!$B$4:$B$4996,0)),"Produto não encontrado"),"")</f>
        <v/>
      </c>
    </row>
    <row r="9394" spans="1:5" x14ac:dyDescent="0.3">
      <c r="A9394" s="21" t="str">
        <f t="shared" si="146"/>
        <v>.</v>
      </c>
      <c r="D9394" s="44"/>
      <c r="E9394" s="22" t="str">
        <f>IF(D9394&lt;&gt;"",IFERROR(INDEX(Produtos!$C$4:$C$4996,MATCH(D9394,Produtos!$B$4:$B$4996,0)),"Produto não encontrado"),"")</f>
        <v/>
      </c>
    </row>
    <row r="9395" spans="1:5" x14ac:dyDescent="0.3">
      <c r="A9395" s="21" t="str">
        <f t="shared" si="146"/>
        <v>.</v>
      </c>
      <c r="D9395" s="44"/>
      <c r="E9395" s="22" t="str">
        <f>IF(D9395&lt;&gt;"",IFERROR(INDEX(Produtos!$C$4:$C$4996,MATCH(D9395,Produtos!$B$4:$B$4996,0)),"Produto não encontrado"),"")</f>
        <v/>
      </c>
    </row>
    <row r="9396" spans="1:5" x14ac:dyDescent="0.3">
      <c r="A9396" s="21" t="str">
        <f t="shared" si="146"/>
        <v>.</v>
      </c>
      <c r="D9396" s="44"/>
      <c r="E9396" s="22" t="str">
        <f>IF(D9396&lt;&gt;"",IFERROR(INDEX(Produtos!$C$4:$C$4996,MATCH(D9396,Produtos!$B$4:$B$4996,0)),"Produto não encontrado"),"")</f>
        <v/>
      </c>
    </row>
    <row r="9397" spans="1:5" x14ac:dyDescent="0.3">
      <c r="A9397" s="21" t="str">
        <f t="shared" si="146"/>
        <v>.</v>
      </c>
      <c r="D9397" s="44"/>
      <c r="E9397" s="22" t="str">
        <f>IF(D9397&lt;&gt;"",IFERROR(INDEX(Produtos!$C$4:$C$4996,MATCH(D9397,Produtos!$B$4:$B$4996,0)),"Produto não encontrado"),"")</f>
        <v/>
      </c>
    </row>
    <row r="9398" spans="1:5" x14ac:dyDescent="0.3">
      <c r="A9398" s="21" t="str">
        <f t="shared" si="146"/>
        <v>.</v>
      </c>
      <c r="D9398" s="44"/>
      <c r="E9398" s="22" t="str">
        <f>IF(D9398&lt;&gt;"",IFERROR(INDEX(Produtos!$C$4:$C$4996,MATCH(D9398,Produtos!$B$4:$B$4996,0)),"Produto não encontrado"),"")</f>
        <v/>
      </c>
    </row>
    <row r="9399" spans="1:5" x14ac:dyDescent="0.3">
      <c r="A9399" s="21" t="str">
        <f t="shared" si="146"/>
        <v>.</v>
      </c>
      <c r="D9399" s="44"/>
      <c r="E9399" s="22" t="str">
        <f>IF(D9399&lt;&gt;"",IFERROR(INDEX(Produtos!$C$4:$C$4996,MATCH(D9399,Produtos!$B$4:$B$4996,0)),"Produto não encontrado"),"")</f>
        <v/>
      </c>
    </row>
    <row r="9400" spans="1:5" x14ac:dyDescent="0.3">
      <c r="A9400" s="21" t="str">
        <f t="shared" si="146"/>
        <v>.</v>
      </c>
      <c r="D9400" s="44"/>
      <c r="E9400" s="22" t="str">
        <f>IF(D9400&lt;&gt;"",IFERROR(INDEX(Produtos!$C$4:$C$4996,MATCH(D9400,Produtos!$B$4:$B$4996,0)),"Produto não encontrado"),"")</f>
        <v/>
      </c>
    </row>
    <row r="9401" spans="1:5" x14ac:dyDescent="0.3">
      <c r="A9401" s="21" t="str">
        <f t="shared" si="146"/>
        <v>.</v>
      </c>
      <c r="D9401" s="44"/>
      <c r="E9401" s="22" t="str">
        <f>IF(D9401&lt;&gt;"",IFERROR(INDEX(Produtos!$C$4:$C$4996,MATCH(D9401,Produtos!$B$4:$B$4996,0)),"Produto não encontrado"),"")</f>
        <v/>
      </c>
    </row>
    <row r="9402" spans="1:5" x14ac:dyDescent="0.3">
      <c r="A9402" s="21" t="str">
        <f t="shared" si="146"/>
        <v>.</v>
      </c>
      <c r="D9402" s="44"/>
      <c r="E9402" s="22" t="str">
        <f>IF(D9402&lt;&gt;"",IFERROR(INDEX(Produtos!$C$4:$C$4996,MATCH(D9402,Produtos!$B$4:$B$4996,0)),"Produto não encontrado"),"")</f>
        <v/>
      </c>
    </row>
    <row r="9403" spans="1:5" x14ac:dyDescent="0.3">
      <c r="A9403" s="21" t="str">
        <f t="shared" si="146"/>
        <v>.</v>
      </c>
      <c r="D9403" s="44"/>
      <c r="E9403" s="22" t="str">
        <f>IF(D9403&lt;&gt;"",IFERROR(INDEX(Produtos!$C$4:$C$4996,MATCH(D9403,Produtos!$B$4:$B$4996,0)),"Produto não encontrado"),"")</f>
        <v/>
      </c>
    </row>
    <row r="9404" spans="1:5" x14ac:dyDescent="0.3">
      <c r="A9404" s="21" t="str">
        <f t="shared" si="146"/>
        <v>.</v>
      </c>
      <c r="D9404" s="44"/>
      <c r="E9404" s="22" t="str">
        <f>IF(D9404&lt;&gt;"",IFERROR(INDEX(Produtos!$C$4:$C$4996,MATCH(D9404,Produtos!$B$4:$B$4996,0)),"Produto não encontrado"),"")</f>
        <v/>
      </c>
    </row>
    <row r="9405" spans="1:5" x14ac:dyDescent="0.3">
      <c r="A9405" s="21" t="str">
        <f t="shared" si="146"/>
        <v>.</v>
      </c>
      <c r="D9405" s="44"/>
      <c r="E9405" s="22" t="str">
        <f>IF(D9405&lt;&gt;"",IFERROR(INDEX(Produtos!$C$4:$C$4996,MATCH(D9405,Produtos!$B$4:$B$4996,0)),"Produto não encontrado"),"")</f>
        <v/>
      </c>
    </row>
    <row r="9406" spans="1:5" x14ac:dyDescent="0.3">
      <c r="A9406" s="21" t="str">
        <f t="shared" si="146"/>
        <v>.</v>
      </c>
      <c r="D9406" s="44"/>
      <c r="E9406" s="22" t="str">
        <f>IF(D9406&lt;&gt;"",IFERROR(INDEX(Produtos!$C$4:$C$4996,MATCH(D9406,Produtos!$B$4:$B$4996,0)),"Produto não encontrado"),"")</f>
        <v/>
      </c>
    </row>
    <row r="9407" spans="1:5" x14ac:dyDescent="0.3">
      <c r="A9407" s="21" t="str">
        <f t="shared" si="146"/>
        <v>.</v>
      </c>
      <c r="D9407" s="44"/>
      <c r="E9407" s="22" t="str">
        <f>IF(D9407&lt;&gt;"",IFERROR(INDEX(Produtos!$C$4:$C$4996,MATCH(D9407,Produtos!$B$4:$B$4996,0)),"Produto não encontrado"),"")</f>
        <v/>
      </c>
    </row>
    <row r="9408" spans="1:5" x14ac:dyDescent="0.3">
      <c r="A9408" s="21" t="str">
        <f t="shared" ref="A9408:A9471" si="147">IF(C9408="Entrada",2,IF(C9408="Saída",1,"."))</f>
        <v>.</v>
      </c>
      <c r="D9408" s="44"/>
      <c r="E9408" s="22" t="str">
        <f>IF(D9408&lt;&gt;"",IFERROR(INDEX(Produtos!$C$4:$C$4996,MATCH(D9408,Produtos!$B$4:$B$4996,0)),"Produto não encontrado"),"")</f>
        <v/>
      </c>
    </row>
    <row r="9409" spans="1:5" x14ac:dyDescent="0.3">
      <c r="A9409" s="21" t="str">
        <f t="shared" si="147"/>
        <v>.</v>
      </c>
      <c r="D9409" s="44"/>
      <c r="E9409" s="22" t="str">
        <f>IF(D9409&lt;&gt;"",IFERROR(INDEX(Produtos!$C$4:$C$4996,MATCH(D9409,Produtos!$B$4:$B$4996,0)),"Produto não encontrado"),"")</f>
        <v/>
      </c>
    </row>
    <row r="9410" spans="1:5" x14ac:dyDescent="0.3">
      <c r="A9410" s="21" t="str">
        <f t="shared" si="147"/>
        <v>.</v>
      </c>
      <c r="D9410" s="44"/>
      <c r="E9410" s="22" t="str">
        <f>IF(D9410&lt;&gt;"",IFERROR(INDEX(Produtos!$C$4:$C$4996,MATCH(D9410,Produtos!$B$4:$B$4996,0)),"Produto não encontrado"),"")</f>
        <v/>
      </c>
    </row>
    <row r="9411" spans="1:5" x14ac:dyDescent="0.3">
      <c r="A9411" s="21" t="str">
        <f t="shared" si="147"/>
        <v>.</v>
      </c>
      <c r="D9411" s="44"/>
      <c r="E9411" s="22" t="str">
        <f>IF(D9411&lt;&gt;"",IFERROR(INDEX(Produtos!$C$4:$C$4996,MATCH(D9411,Produtos!$B$4:$B$4996,0)),"Produto não encontrado"),"")</f>
        <v/>
      </c>
    </row>
    <row r="9412" spans="1:5" x14ac:dyDescent="0.3">
      <c r="A9412" s="21" t="str">
        <f t="shared" si="147"/>
        <v>.</v>
      </c>
      <c r="D9412" s="44"/>
      <c r="E9412" s="22" t="str">
        <f>IF(D9412&lt;&gt;"",IFERROR(INDEX(Produtos!$C$4:$C$4996,MATCH(D9412,Produtos!$B$4:$B$4996,0)),"Produto não encontrado"),"")</f>
        <v/>
      </c>
    </row>
    <row r="9413" spans="1:5" x14ac:dyDescent="0.3">
      <c r="A9413" s="21" t="str">
        <f t="shared" si="147"/>
        <v>.</v>
      </c>
      <c r="D9413" s="44"/>
      <c r="E9413" s="22" t="str">
        <f>IF(D9413&lt;&gt;"",IFERROR(INDEX(Produtos!$C$4:$C$4996,MATCH(D9413,Produtos!$B$4:$B$4996,0)),"Produto não encontrado"),"")</f>
        <v/>
      </c>
    </row>
    <row r="9414" spans="1:5" x14ac:dyDescent="0.3">
      <c r="A9414" s="21" t="str">
        <f t="shared" si="147"/>
        <v>.</v>
      </c>
      <c r="D9414" s="44"/>
      <c r="E9414" s="22" t="str">
        <f>IF(D9414&lt;&gt;"",IFERROR(INDEX(Produtos!$C$4:$C$4996,MATCH(D9414,Produtos!$B$4:$B$4996,0)),"Produto não encontrado"),"")</f>
        <v/>
      </c>
    </row>
    <row r="9415" spans="1:5" x14ac:dyDescent="0.3">
      <c r="A9415" s="21" t="str">
        <f t="shared" si="147"/>
        <v>.</v>
      </c>
      <c r="D9415" s="44"/>
      <c r="E9415" s="22" t="str">
        <f>IF(D9415&lt;&gt;"",IFERROR(INDEX(Produtos!$C$4:$C$4996,MATCH(D9415,Produtos!$B$4:$B$4996,0)),"Produto não encontrado"),"")</f>
        <v/>
      </c>
    </row>
    <row r="9416" spans="1:5" x14ac:dyDescent="0.3">
      <c r="A9416" s="21" t="str">
        <f t="shared" si="147"/>
        <v>.</v>
      </c>
      <c r="D9416" s="44"/>
      <c r="E9416" s="22" t="str">
        <f>IF(D9416&lt;&gt;"",IFERROR(INDEX(Produtos!$C$4:$C$4996,MATCH(D9416,Produtos!$B$4:$B$4996,0)),"Produto não encontrado"),"")</f>
        <v/>
      </c>
    </row>
    <row r="9417" spans="1:5" x14ac:dyDescent="0.3">
      <c r="A9417" s="21" t="str">
        <f t="shared" si="147"/>
        <v>.</v>
      </c>
      <c r="D9417" s="44"/>
      <c r="E9417" s="22" t="str">
        <f>IF(D9417&lt;&gt;"",IFERROR(INDEX(Produtos!$C$4:$C$4996,MATCH(D9417,Produtos!$B$4:$B$4996,0)),"Produto não encontrado"),"")</f>
        <v/>
      </c>
    </row>
    <row r="9418" spans="1:5" x14ac:dyDescent="0.3">
      <c r="A9418" s="21" t="str">
        <f t="shared" si="147"/>
        <v>.</v>
      </c>
      <c r="D9418" s="44"/>
      <c r="E9418" s="22" t="str">
        <f>IF(D9418&lt;&gt;"",IFERROR(INDEX(Produtos!$C$4:$C$4996,MATCH(D9418,Produtos!$B$4:$B$4996,0)),"Produto não encontrado"),"")</f>
        <v/>
      </c>
    </row>
    <row r="9419" spans="1:5" x14ac:dyDescent="0.3">
      <c r="A9419" s="21" t="str">
        <f t="shared" si="147"/>
        <v>.</v>
      </c>
      <c r="D9419" s="44"/>
      <c r="E9419" s="22" t="str">
        <f>IF(D9419&lt;&gt;"",IFERROR(INDEX(Produtos!$C$4:$C$4996,MATCH(D9419,Produtos!$B$4:$B$4996,0)),"Produto não encontrado"),"")</f>
        <v/>
      </c>
    </row>
    <row r="9420" spans="1:5" x14ac:dyDescent="0.3">
      <c r="A9420" s="21" t="str">
        <f t="shared" si="147"/>
        <v>.</v>
      </c>
      <c r="D9420" s="44"/>
      <c r="E9420" s="22" t="str">
        <f>IF(D9420&lt;&gt;"",IFERROR(INDEX(Produtos!$C$4:$C$4996,MATCH(D9420,Produtos!$B$4:$B$4996,0)),"Produto não encontrado"),"")</f>
        <v/>
      </c>
    </row>
    <row r="9421" spans="1:5" x14ac:dyDescent="0.3">
      <c r="A9421" s="21" t="str">
        <f t="shared" si="147"/>
        <v>.</v>
      </c>
      <c r="D9421" s="44"/>
      <c r="E9421" s="22" t="str">
        <f>IF(D9421&lt;&gt;"",IFERROR(INDEX(Produtos!$C$4:$C$4996,MATCH(D9421,Produtos!$B$4:$B$4996,0)),"Produto não encontrado"),"")</f>
        <v/>
      </c>
    </row>
    <row r="9422" spans="1:5" x14ac:dyDescent="0.3">
      <c r="A9422" s="21" t="str">
        <f t="shared" si="147"/>
        <v>.</v>
      </c>
      <c r="D9422" s="44"/>
      <c r="E9422" s="22" t="str">
        <f>IF(D9422&lt;&gt;"",IFERROR(INDEX(Produtos!$C$4:$C$4996,MATCH(D9422,Produtos!$B$4:$B$4996,0)),"Produto não encontrado"),"")</f>
        <v/>
      </c>
    </row>
    <row r="9423" spans="1:5" x14ac:dyDescent="0.3">
      <c r="A9423" s="21" t="str">
        <f t="shared" si="147"/>
        <v>.</v>
      </c>
      <c r="D9423" s="44"/>
      <c r="E9423" s="22" t="str">
        <f>IF(D9423&lt;&gt;"",IFERROR(INDEX(Produtos!$C$4:$C$4996,MATCH(D9423,Produtos!$B$4:$B$4996,0)),"Produto não encontrado"),"")</f>
        <v/>
      </c>
    </row>
    <row r="9424" spans="1:5" x14ac:dyDescent="0.3">
      <c r="A9424" s="21" t="str">
        <f t="shared" si="147"/>
        <v>.</v>
      </c>
      <c r="D9424" s="44"/>
      <c r="E9424" s="22" t="str">
        <f>IF(D9424&lt;&gt;"",IFERROR(INDEX(Produtos!$C$4:$C$4996,MATCH(D9424,Produtos!$B$4:$B$4996,0)),"Produto não encontrado"),"")</f>
        <v/>
      </c>
    </row>
    <row r="9425" spans="1:5" x14ac:dyDescent="0.3">
      <c r="A9425" s="21" t="str">
        <f t="shared" si="147"/>
        <v>.</v>
      </c>
      <c r="D9425" s="44"/>
      <c r="E9425" s="22" t="str">
        <f>IF(D9425&lt;&gt;"",IFERROR(INDEX(Produtos!$C$4:$C$4996,MATCH(D9425,Produtos!$B$4:$B$4996,0)),"Produto não encontrado"),"")</f>
        <v/>
      </c>
    </row>
    <row r="9426" spans="1:5" x14ac:dyDescent="0.3">
      <c r="A9426" s="21" t="str">
        <f t="shared" si="147"/>
        <v>.</v>
      </c>
      <c r="D9426" s="44"/>
      <c r="E9426" s="22" t="str">
        <f>IF(D9426&lt;&gt;"",IFERROR(INDEX(Produtos!$C$4:$C$4996,MATCH(D9426,Produtos!$B$4:$B$4996,0)),"Produto não encontrado"),"")</f>
        <v/>
      </c>
    </row>
    <row r="9427" spans="1:5" x14ac:dyDescent="0.3">
      <c r="A9427" s="21" t="str">
        <f t="shared" si="147"/>
        <v>.</v>
      </c>
      <c r="D9427" s="44"/>
      <c r="E9427" s="22" t="str">
        <f>IF(D9427&lt;&gt;"",IFERROR(INDEX(Produtos!$C$4:$C$4996,MATCH(D9427,Produtos!$B$4:$B$4996,0)),"Produto não encontrado"),"")</f>
        <v/>
      </c>
    </row>
    <row r="9428" spans="1:5" x14ac:dyDescent="0.3">
      <c r="A9428" s="21" t="str">
        <f t="shared" si="147"/>
        <v>.</v>
      </c>
      <c r="D9428" s="44"/>
      <c r="E9428" s="22" t="str">
        <f>IF(D9428&lt;&gt;"",IFERROR(INDEX(Produtos!$C$4:$C$4996,MATCH(D9428,Produtos!$B$4:$B$4996,0)),"Produto não encontrado"),"")</f>
        <v/>
      </c>
    </row>
    <row r="9429" spans="1:5" x14ac:dyDescent="0.3">
      <c r="A9429" s="21" t="str">
        <f t="shared" si="147"/>
        <v>.</v>
      </c>
      <c r="D9429" s="44"/>
      <c r="E9429" s="22" t="str">
        <f>IF(D9429&lt;&gt;"",IFERROR(INDEX(Produtos!$C$4:$C$4996,MATCH(D9429,Produtos!$B$4:$B$4996,0)),"Produto não encontrado"),"")</f>
        <v/>
      </c>
    </row>
    <row r="9430" spans="1:5" x14ac:dyDescent="0.3">
      <c r="A9430" s="21" t="str">
        <f t="shared" si="147"/>
        <v>.</v>
      </c>
      <c r="D9430" s="44"/>
      <c r="E9430" s="22" t="str">
        <f>IF(D9430&lt;&gt;"",IFERROR(INDEX(Produtos!$C$4:$C$4996,MATCH(D9430,Produtos!$B$4:$B$4996,0)),"Produto não encontrado"),"")</f>
        <v/>
      </c>
    </row>
    <row r="9431" spans="1:5" x14ac:dyDescent="0.3">
      <c r="A9431" s="21" t="str">
        <f t="shared" si="147"/>
        <v>.</v>
      </c>
      <c r="D9431" s="44"/>
      <c r="E9431" s="22" t="str">
        <f>IF(D9431&lt;&gt;"",IFERROR(INDEX(Produtos!$C$4:$C$4996,MATCH(D9431,Produtos!$B$4:$B$4996,0)),"Produto não encontrado"),"")</f>
        <v/>
      </c>
    </row>
    <row r="9432" spans="1:5" x14ac:dyDescent="0.3">
      <c r="A9432" s="21" t="str">
        <f t="shared" si="147"/>
        <v>.</v>
      </c>
      <c r="D9432" s="44"/>
      <c r="E9432" s="22" t="str">
        <f>IF(D9432&lt;&gt;"",IFERROR(INDEX(Produtos!$C$4:$C$4996,MATCH(D9432,Produtos!$B$4:$B$4996,0)),"Produto não encontrado"),"")</f>
        <v/>
      </c>
    </row>
    <row r="9433" spans="1:5" x14ac:dyDescent="0.3">
      <c r="A9433" s="21" t="str">
        <f t="shared" si="147"/>
        <v>.</v>
      </c>
      <c r="D9433" s="44"/>
      <c r="E9433" s="22" t="str">
        <f>IF(D9433&lt;&gt;"",IFERROR(INDEX(Produtos!$C$4:$C$4996,MATCH(D9433,Produtos!$B$4:$B$4996,0)),"Produto não encontrado"),"")</f>
        <v/>
      </c>
    </row>
    <row r="9434" spans="1:5" x14ac:dyDescent="0.3">
      <c r="A9434" s="21" t="str">
        <f t="shared" si="147"/>
        <v>.</v>
      </c>
      <c r="D9434" s="44"/>
      <c r="E9434" s="22" t="str">
        <f>IF(D9434&lt;&gt;"",IFERROR(INDEX(Produtos!$C$4:$C$4996,MATCH(D9434,Produtos!$B$4:$B$4996,0)),"Produto não encontrado"),"")</f>
        <v/>
      </c>
    </row>
    <row r="9435" spans="1:5" x14ac:dyDescent="0.3">
      <c r="A9435" s="21" t="str">
        <f t="shared" si="147"/>
        <v>.</v>
      </c>
      <c r="D9435" s="44"/>
      <c r="E9435" s="22" t="str">
        <f>IF(D9435&lt;&gt;"",IFERROR(INDEX(Produtos!$C$4:$C$4996,MATCH(D9435,Produtos!$B$4:$B$4996,0)),"Produto não encontrado"),"")</f>
        <v/>
      </c>
    </row>
    <row r="9436" spans="1:5" x14ac:dyDescent="0.3">
      <c r="A9436" s="21" t="str">
        <f t="shared" si="147"/>
        <v>.</v>
      </c>
      <c r="D9436" s="44"/>
      <c r="E9436" s="22" t="str">
        <f>IF(D9436&lt;&gt;"",IFERROR(INDEX(Produtos!$C$4:$C$4996,MATCH(D9436,Produtos!$B$4:$B$4996,0)),"Produto não encontrado"),"")</f>
        <v/>
      </c>
    </row>
    <row r="9437" spans="1:5" x14ac:dyDescent="0.3">
      <c r="A9437" s="21" t="str">
        <f t="shared" si="147"/>
        <v>.</v>
      </c>
      <c r="D9437" s="44"/>
      <c r="E9437" s="22" t="str">
        <f>IF(D9437&lt;&gt;"",IFERROR(INDEX(Produtos!$C$4:$C$4996,MATCH(D9437,Produtos!$B$4:$B$4996,0)),"Produto não encontrado"),"")</f>
        <v/>
      </c>
    </row>
    <row r="9438" spans="1:5" x14ac:dyDescent="0.3">
      <c r="A9438" s="21" t="str">
        <f t="shared" si="147"/>
        <v>.</v>
      </c>
      <c r="D9438" s="44"/>
      <c r="E9438" s="22" t="str">
        <f>IF(D9438&lt;&gt;"",IFERROR(INDEX(Produtos!$C$4:$C$4996,MATCH(D9438,Produtos!$B$4:$B$4996,0)),"Produto não encontrado"),"")</f>
        <v/>
      </c>
    </row>
    <row r="9439" spans="1:5" x14ac:dyDescent="0.3">
      <c r="A9439" s="21" t="str">
        <f t="shared" si="147"/>
        <v>.</v>
      </c>
      <c r="D9439" s="44"/>
      <c r="E9439" s="22" t="str">
        <f>IF(D9439&lt;&gt;"",IFERROR(INDEX(Produtos!$C$4:$C$4996,MATCH(D9439,Produtos!$B$4:$B$4996,0)),"Produto não encontrado"),"")</f>
        <v/>
      </c>
    </row>
    <row r="9440" spans="1:5" x14ac:dyDescent="0.3">
      <c r="A9440" s="21" t="str">
        <f t="shared" si="147"/>
        <v>.</v>
      </c>
      <c r="D9440" s="44"/>
      <c r="E9440" s="22" t="str">
        <f>IF(D9440&lt;&gt;"",IFERROR(INDEX(Produtos!$C$4:$C$4996,MATCH(D9440,Produtos!$B$4:$B$4996,0)),"Produto não encontrado"),"")</f>
        <v/>
      </c>
    </row>
    <row r="9441" spans="1:5" x14ac:dyDescent="0.3">
      <c r="A9441" s="21" t="str">
        <f t="shared" si="147"/>
        <v>.</v>
      </c>
      <c r="D9441" s="44"/>
      <c r="E9441" s="22" t="str">
        <f>IF(D9441&lt;&gt;"",IFERROR(INDEX(Produtos!$C$4:$C$4996,MATCH(D9441,Produtos!$B$4:$B$4996,0)),"Produto não encontrado"),"")</f>
        <v/>
      </c>
    </row>
    <row r="9442" spans="1:5" x14ac:dyDescent="0.3">
      <c r="A9442" s="21" t="str">
        <f t="shared" si="147"/>
        <v>.</v>
      </c>
      <c r="D9442" s="44"/>
      <c r="E9442" s="22" t="str">
        <f>IF(D9442&lt;&gt;"",IFERROR(INDEX(Produtos!$C$4:$C$4996,MATCH(D9442,Produtos!$B$4:$B$4996,0)),"Produto não encontrado"),"")</f>
        <v/>
      </c>
    </row>
    <row r="9443" spans="1:5" x14ac:dyDescent="0.3">
      <c r="A9443" s="21" t="str">
        <f t="shared" si="147"/>
        <v>.</v>
      </c>
      <c r="D9443" s="44"/>
      <c r="E9443" s="22" t="str">
        <f>IF(D9443&lt;&gt;"",IFERROR(INDEX(Produtos!$C$4:$C$4996,MATCH(D9443,Produtos!$B$4:$B$4996,0)),"Produto não encontrado"),"")</f>
        <v/>
      </c>
    </row>
    <row r="9444" spans="1:5" x14ac:dyDescent="0.3">
      <c r="A9444" s="21" t="str">
        <f t="shared" si="147"/>
        <v>.</v>
      </c>
      <c r="D9444" s="44"/>
      <c r="E9444" s="22" t="str">
        <f>IF(D9444&lt;&gt;"",IFERROR(INDEX(Produtos!$C$4:$C$4996,MATCH(D9444,Produtos!$B$4:$B$4996,0)),"Produto não encontrado"),"")</f>
        <v/>
      </c>
    </row>
    <row r="9445" spans="1:5" x14ac:dyDescent="0.3">
      <c r="A9445" s="21" t="str">
        <f t="shared" si="147"/>
        <v>.</v>
      </c>
      <c r="D9445" s="44"/>
      <c r="E9445" s="22" t="str">
        <f>IF(D9445&lt;&gt;"",IFERROR(INDEX(Produtos!$C$4:$C$4996,MATCH(D9445,Produtos!$B$4:$B$4996,0)),"Produto não encontrado"),"")</f>
        <v/>
      </c>
    </row>
    <row r="9446" spans="1:5" x14ac:dyDescent="0.3">
      <c r="A9446" s="21" t="str">
        <f t="shared" si="147"/>
        <v>.</v>
      </c>
      <c r="D9446" s="44"/>
      <c r="E9446" s="22" t="str">
        <f>IF(D9446&lt;&gt;"",IFERROR(INDEX(Produtos!$C$4:$C$4996,MATCH(D9446,Produtos!$B$4:$B$4996,0)),"Produto não encontrado"),"")</f>
        <v/>
      </c>
    </row>
    <row r="9447" spans="1:5" x14ac:dyDescent="0.3">
      <c r="A9447" s="21" t="str">
        <f t="shared" si="147"/>
        <v>.</v>
      </c>
      <c r="D9447" s="44"/>
      <c r="E9447" s="22" t="str">
        <f>IF(D9447&lt;&gt;"",IFERROR(INDEX(Produtos!$C$4:$C$4996,MATCH(D9447,Produtos!$B$4:$B$4996,0)),"Produto não encontrado"),"")</f>
        <v/>
      </c>
    </row>
    <row r="9448" spans="1:5" x14ac:dyDescent="0.3">
      <c r="A9448" s="21" t="str">
        <f t="shared" si="147"/>
        <v>.</v>
      </c>
      <c r="D9448" s="44"/>
      <c r="E9448" s="22" t="str">
        <f>IF(D9448&lt;&gt;"",IFERROR(INDEX(Produtos!$C$4:$C$4996,MATCH(D9448,Produtos!$B$4:$B$4996,0)),"Produto não encontrado"),"")</f>
        <v/>
      </c>
    </row>
    <row r="9449" spans="1:5" x14ac:dyDescent="0.3">
      <c r="A9449" s="21" t="str">
        <f t="shared" si="147"/>
        <v>.</v>
      </c>
      <c r="D9449" s="44"/>
      <c r="E9449" s="22" t="str">
        <f>IF(D9449&lt;&gt;"",IFERROR(INDEX(Produtos!$C$4:$C$4996,MATCH(D9449,Produtos!$B$4:$B$4996,0)),"Produto não encontrado"),"")</f>
        <v/>
      </c>
    </row>
    <row r="9450" spans="1:5" x14ac:dyDescent="0.3">
      <c r="A9450" s="21" t="str">
        <f t="shared" si="147"/>
        <v>.</v>
      </c>
      <c r="D9450" s="44"/>
      <c r="E9450" s="22" t="str">
        <f>IF(D9450&lt;&gt;"",IFERROR(INDEX(Produtos!$C$4:$C$4996,MATCH(D9450,Produtos!$B$4:$B$4996,0)),"Produto não encontrado"),"")</f>
        <v/>
      </c>
    </row>
    <row r="9451" spans="1:5" x14ac:dyDescent="0.3">
      <c r="A9451" s="21" t="str">
        <f t="shared" si="147"/>
        <v>.</v>
      </c>
      <c r="D9451" s="44"/>
      <c r="E9451" s="22" t="str">
        <f>IF(D9451&lt;&gt;"",IFERROR(INDEX(Produtos!$C$4:$C$4996,MATCH(D9451,Produtos!$B$4:$B$4996,0)),"Produto não encontrado"),"")</f>
        <v/>
      </c>
    </row>
    <row r="9452" spans="1:5" x14ac:dyDescent="0.3">
      <c r="A9452" s="21" t="str">
        <f t="shared" si="147"/>
        <v>.</v>
      </c>
      <c r="D9452" s="44"/>
      <c r="E9452" s="22" t="str">
        <f>IF(D9452&lt;&gt;"",IFERROR(INDEX(Produtos!$C$4:$C$4996,MATCH(D9452,Produtos!$B$4:$B$4996,0)),"Produto não encontrado"),"")</f>
        <v/>
      </c>
    </row>
    <row r="9453" spans="1:5" x14ac:dyDescent="0.3">
      <c r="A9453" s="21" t="str">
        <f t="shared" si="147"/>
        <v>.</v>
      </c>
      <c r="D9453" s="44"/>
      <c r="E9453" s="22" t="str">
        <f>IF(D9453&lt;&gt;"",IFERROR(INDEX(Produtos!$C$4:$C$4996,MATCH(D9453,Produtos!$B$4:$B$4996,0)),"Produto não encontrado"),"")</f>
        <v/>
      </c>
    </row>
    <row r="9454" spans="1:5" x14ac:dyDescent="0.3">
      <c r="A9454" s="21" t="str">
        <f t="shared" si="147"/>
        <v>.</v>
      </c>
      <c r="D9454" s="44"/>
      <c r="E9454" s="22" t="str">
        <f>IF(D9454&lt;&gt;"",IFERROR(INDEX(Produtos!$C$4:$C$4996,MATCH(D9454,Produtos!$B$4:$B$4996,0)),"Produto não encontrado"),"")</f>
        <v/>
      </c>
    </row>
    <row r="9455" spans="1:5" x14ac:dyDescent="0.3">
      <c r="A9455" s="21" t="str">
        <f t="shared" si="147"/>
        <v>.</v>
      </c>
      <c r="D9455" s="44"/>
      <c r="E9455" s="22" t="str">
        <f>IF(D9455&lt;&gt;"",IFERROR(INDEX(Produtos!$C$4:$C$4996,MATCH(D9455,Produtos!$B$4:$B$4996,0)),"Produto não encontrado"),"")</f>
        <v/>
      </c>
    </row>
    <row r="9456" spans="1:5" x14ac:dyDescent="0.3">
      <c r="A9456" s="21" t="str">
        <f t="shared" si="147"/>
        <v>.</v>
      </c>
      <c r="D9456" s="44"/>
      <c r="E9456" s="22" t="str">
        <f>IF(D9456&lt;&gt;"",IFERROR(INDEX(Produtos!$C$4:$C$4996,MATCH(D9456,Produtos!$B$4:$B$4996,0)),"Produto não encontrado"),"")</f>
        <v/>
      </c>
    </row>
    <row r="9457" spans="1:5" x14ac:dyDescent="0.3">
      <c r="A9457" s="21" t="str">
        <f t="shared" si="147"/>
        <v>.</v>
      </c>
      <c r="D9457" s="44"/>
      <c r="E9457" s="22" t="str">
        <f>IF(D9457&lt;&gt;"",IFERROR(INDEX(Produtos!$C$4:$C$4996,MATCH(D9457,Produtos!$B$4:$B$4996,0)),"Produto não encontrado"),"")</f>
        <v/>
      </c>
    </row>
    <row r="9458" spans="1:5" x14ac:dyDescent="0.3">
      <c r="A9458" s="21" t="str">
        <f t="shared" si="147"/>
        <v>.</v>
      </c>
      <c r="D9458" s="44"/>
      <c r="E9458" s="22" t="str">
        <f>IF(D9458&lt;&gt;"",IFERROR(INDEX(Produtos!$C$4:$C$4996,MATCH(D9458,Produtos!$B$4:$B$4996,0)),"Produto não encontrado"),"")</f>
        <v/>
      </c>
    </row>
    <row r="9459" spans="1:5" x14ac:dyDescent="0.3">
      <c r="A9459" s="21" t="str">
        <f t="shared" si="147"/>
        <v>.</v>
      </c>
      <c r="D9459" s="44"/>
      <c r="E9459" s="22" t="str">
        <f>IF(D9459&lt;&gt;"",IFERROR(INDEX(Produtos!$C$4:$C$4996,MATCH(D9459,Produtos!$B$4:$B$4996,0)),"Produto não encontrado"),"")</f>
        <v/>
      </c>
    </row>
    <row r="9460" spans="1:5" x14ac:dyDescent="0.3">
      <c r="A9460" s="21" t="str">
        <f t="shared" si="147"/>
        <v>.</v>
      </c>
      <c r="D9460" s="44"/>
      <c r="E9460" s="22" t="str">
        <f>IF(D9460&lt;&gt;"",IFERROR(INDEX(Produtos!$C$4:$C$4996,MATCH(D9460,Produtos!$B$4:$B$4996,0)),"Produto não encontrado"),"")</f>
        <v/>
      </c>
    </row>
    <row r="9461" spans="1:5" x14ac:dyDescent="0.3">
      <c r="A9461" s="21" t="str">
        <f t="shared" si="147"/>
        <v>.</v>
      </c>
      <c r="D9461" s="44"/>
      <c r="E9461" s="22" t="str">
        <f>IF(D9461&lt;&gt;"",IFERROR(INDEX(Produtos!$C$4:$C$4996,MATCH(D9461,Produtos!$B$4:$B$4996,0)),"Produto não encontrado"),"")</f>
        <v/>
      </c>
    </row>
    <row r="9462" spans="1:5" x14ac:dyDescent="0.3">
      <c r="A9462" s="21" t="str">
        <f t="shared" si="147"/>
        <v>.</v>
      </c>
      <c r="D9462" s="44"/>
      <c r="E9462" s="22" t="str">
        <f>IF(D9462&lt;&gt;"",IFERROR(INDEX(Produtos!$C$4:$C$4996,MATCH(D9462,Produtos!$B$4:$B$4996,0)),"Produto não encontrado"),"")</f>
        <v/>
      </c>
    </row>
    <row r="9463" spans="1:5" x14ac:dyDescent="0.3">
      <c r="A9463" s="21" t="str">
        <f t="shared" si="147"/>
        <v>.</v>
      </c>
      <c r="D9463" s="44"/>
      <c r="E9463" s="22" t="str">
        <f>IF(D9463&lt;&gt;"",IFERROR(INDEX(Produtos!$C$4:$C$4996,MATCH(D9463,Produtos!$B$4:$B$4996,0)),"Produto não encontrado"),"")</f>
        <v/>
      </c>
    </row>
    <row r="9464" spans="1:5" x14ac:dyDescent="0.3">
      <c r="A9464" s="21" t="str">
        <f t="shared" si="147"/>
        <v>.</v>
      </c>
      <c r="D9464" s="44"/>
      <c r="E9464" s="22" t="str">
        <f>IF(D9464&lt;&gt;"",IFERROR(INDEX(Produtos!$C$4:$C$4996,MATCH(D9464,Produtos!$B$4:$B$4996,0)),"Produto não encontrado"),"")</f>
        <v/>
      </c>
    </row>
    <row r="9465" spans="1:5" x14ac:dyDescent="0.3">
      <c r="A9465" s="21" t="str">
        <f t="shared" si="147"/>
        <v>.</v>
      </c>
      <c r="D9465" s="44"/>
      <c r="E9465" s="22" t="str">
        <f>IF(D9465&lt;&gt;"",IFERROR(INDEX(Produtos!$C$4:$C$4996,MATCH(D9465,Produtos!$B$4:$B$4996,0)),"Produto não encontrado"),"")</f>
        <v/>
      </c>
    </row>
    <row r="9466" spans="1:5" x14ac:dyDescent="0.3">
      <c r="A9466" s="21" t="str">
        <f t="shared" si="147"/>
        <v>.</v>
      </c>
      <c r="D9466" s="44"/>
      <c r="E9466" s="22" t="str">
        <f>IF(D9466&lt;&gt;"",IFERROR(INDEX(Produtos!$C$4:$C$4996,MATCH(D9466,Produtos!$B$4:$B$4996,0)),"Produto não encontrado"),"")</f>
        <v/>
      </c>
    </row>
    <row r="9467" spans="1:5" x14ac:dyDescent="0.3">
      <c r="A9467" s="21" t="str">
        <f t="shared" si="147"/>
        <v>.</v>
      </c>
      <c r="D9467" s="44"/>
      <c r="E9467" s="22" t="str">
        <f>IF(D9467&lt;&gt;"",IFERROR(INDEX(Produtos!$C$4:$C$4996,MATCH(D9467,Produtos!$B$4:$B$4996,0)),"Produto não encontrado"),"")</f>
        <v/>
      </c>
    </row>
    <row r="9468" spans="1:5" x14ac:dyDescent="0.3">
      <c r="A9468" s="21" t="str">
        <f t="shared" si="147"/>
        <v>.</v>
      </c>
      <c r="D9468" s="44"/>
      <c r="E9468" s="22" t="str">
        <f>IF(D9468&lt;&gt;"",IFERROR(INDEX(Produtos!$C$4:$C$4996,MATCH(D9468,Produtos!$B$4:$B$4996,0)),"Produto não encontrado"),"")</f>
        <v/>
      </c>
    </row>
    <row r="9469" spans="1:5" x14ac:dyDescent="0.3">
      <c r="A9469" s="21" t="str">
        <f t="shared" si="147"/>
        <v>.</v>
      </c>
      <c r="D9469" s="44"/>
      <c r="E9469" s="22" t="str">
        <f>IF(D9469&lt;&gt;"",IFERROR(INDEX(Produtos!$C$4:$C$4996,MATCH(D9469,Produtos!$B$4:$B$4996,0)),"Produto não encontrado"),"")</f>
        <v/>
      </c>
    </row>
    <row r="9470" spans="1:5" x14ac:dyDescent="0.3">
      <c r="A9470" s="21" t="str">
        <f t="shared" si="147"/>
        <v>.</v>
      </c>
      <c r="D9470" s="44"/>
      <c r="E9470" s="22" t="str">
        <f>IF(D9470&lt;&gt;"",IFERROR(INDEX(Produtos!$C$4:$C$4996,MATCH(D9470,Produtos!$B$4:$B$4996,0)),"Produto não encontrado"),"")</f>
        <v/>
      </c>
    </row>
    <row r="9471" spans="1:5" x14ac:dyDescent="0.3">
      <c r="A9471" s="21" t="str">
        <f t="shared" si="147"/>
        <v>.</v>
      </c>
      <c r="D9471" s="44"/>
      <c r="E9471" s="22" t="str">
        <f>IF(D9471&lt;&gt;"",IFERROR(INDEX(Produtos!$C$4:$C$4996,MATCH(D9471,Produtos!$B$4:$B$4996,0)),"Produto não encontrado"),"")</f>
        <v/>
      </c>
    </row>
    <row r="9472" spans="1:5" x14ac:dyDescent="0.3">
      <c r="A9472" s="21" t="str">
        <f t="shared" ref="A9472:A9535" si="148">IF(C9472="Entrada",2,IF(C9472="Saída",1,"."))</f>
        <v>.</v>
      </c>
      <c r="D9472" s="44"/>
      <c r="E9472" s="22" t="str">
        <f>IF(D9472&lt;&gt;"",IFERROR(INDEX(Produtos!$C$4:$C$4996,MATCH(D9472,Produtos!$B$4:$B$4996,0)),"Produto não encontrado"),"")</f>
        <v/>
      </c>
    </row>
    <row r="9473" spans="1:5" x14ac:dyDescent="0.3">
      <c r="A9473" s="21" t="str">
        <f t="shared" si="148"/>
        <v>.</v>
      </c>
      <c r="D9473" s="44"/>
      <c r="E9473" s="22" t="str">
        <f>IF(D9473&lt;&gt;"",IFERROR(INDEX(Produtos!$C$4:$C$4996,MATCH(D9473,Produtos!$B$4:$B$4996,0)),"Produto não encontrado"),"")</f>
        <v/>
      </c>
    </row>
    <row r="9474" spans="1:5" x14ac:dyDescent="0.3">
      <c r="A9474" s="21" t="str">
        <f t="shared" si="148"/>
        <v>.</v>
      </c>
      <c r="D9474" s="44"/>
      <c r="E9474" s="22" t="str">
        <f>IF(D9474&lt;&gt;"",IFERROR(INDEX(Produtos!$C$4:$C$4996,MATCH(D9474,Produtos!$B$4:$B$4996,0)),"Produto não encontrado"),"")</f>
        <v/>
      </c>
    </row>
    <row r="9475" spans="1:5" x14ac:dyDescent="0.3">
      <c r="A9475" s="21" t="str">
        <f t="shared" si="148"/>
        <v>.</v>
      </c>
      <c r="D9475" s="44"/>
      <c r="E9475" s="22" t="str">
        <f>IF(D9475&lt;&gt;"",IFERROR(INDEX(Produtos!$C$4:$C$4996,MATCH(D9475,Produtos!$B$4:$B$4996,0)),"Produto não encontrado"),"")</f>
        <v/>
      </c>
    </row>
    <row r="9476" spans="1:5" x14ac:dyDescent="0.3">
      <c r="A9476" s="21" t="str">
        <f t="shared" si="148"/>
        <v>.</v>
      </c>
      <c r="D9476" s="44"/>
      <c r="E9476" s="22" t="str">
        <f>IF(D9476&lt;&gt;"",IFERROR(INDEX(Produtos!$C$4:$C$4996,MATCH(D9476,Produtos!$B$4:$B$4996,0)),"Produto não encontrado"),"")</f>
        <v/>
      </c>
    </row>
    <row r="9477" spans="1:5" x14ac:dyDescent="0.3">
      <c r="A9477" s="21" t="str">
        <f t="shared" si="148"/>
        <v>.</v>
      </c>
      <c r="D9477" s="44"/>
      <c r="E9477" s="22" t="str">
        <f>IF(D9477&lt;&gt;"",IFERROR(INDEX(Produtos!$C$4:$C$4996,MATCH(D9477,Produtos!$B$4:$B$4996,0)),"Produto não encontrado"),"")</f>
        <v/>
      </c>
    </row>
    <row r="9478" spans="1:5" x14ac:dyDescent="0.3">
      <c r="A9478" s="21" t="str">
        <f t="shared" si="148"/>
        <v>.</v>
      </c>
      <c r="D9478" s="44"/>
      <c r="E9478" s="22" t="str">
        <f>IF(D9478&lt;&gt;"",IFERROR(INDEX(Produtos!$C$4:$C$4996,MATCH(D9478,Produtos!$B$4:$B$4996,0)),"Produto não encontrado"),"")</f>
        <v/>
      </c>
    </row>
    <row r="9479" spans="1:5" x14ac:dyDescent="0.3">
      <c r="A9479" s="21" t="str">
        <f t="shared" si="148"/>
        <v>.</v>
      </c>
      <c r="D9479" s="44"/>
      <c r="E9479" s="22" t="str">
        <f>IF(D9479&lt;&gt;"",IFERROR(INDEX(Produtos!$C$4:$C$4996,MATCH(D9479,Produtos!$B$4:$B$4996,0)),"Produto não encontrado"),"")</f>
        <v/>
      </c>
    </row>
    <row r="9480" spans="1:5" x14ac:dyDescent="0.3">
      <c r="A9480" s="21" t="str">
        <f t="shared" si="148"/>
        <v>.</v>
      </c>
      <c r="D9480" s="44"/>
      <c r="E9480" s="22" t="str">
        <f>IF(D9480&lt;&gt;"",IFERROR(INDEX(Produtos!$C$4:$C$4996,MATCH(D9480,Produtos!$B$4:$B$4996,0)),"Produto não encontrado"),"")</f>
        <v/>
      </c>
    </row>
    <row r="9481" spans="1:5" x14ac:dyDescent="0.3">
      <c r="A9481" s="21" t="str">
        <f t="shared" si="148"/>
        <v>.</v>
      </c>
      <c r="D9481" s="44"/>
      <c r="E9481" s="22" t="str">
        <f>IF(D9481&lt;&gt;"",IFERROR(INDEX(Produtos!$C$4:$C$4996,MATCH(D9481,Produtos!$B$4:$B$4996,0)),"Produto não encontrado"),"")</f>
        <v/>
      </c>
    </row>
    <row r="9482" spans="1:5" x14ac:dyDescent="0.3">
      <c r="A9482" s="21" t="str">
        <f t="shared" si="148"/>
        <v>.</v>
      </c>
      <c r="D9482" s="44"/>
      <c r="E9482" s="22" t="str">
        <f>IF(D9482&lt;&gt;"",IFERROR(INDEX(Produtos!$C$4:$C$4996,MATCH(D9482,Produtos!$B$4:$B$4996,0)),"Produto não encontrado"),"")</f>
        <v/>
      </c>
    </row>
    <row r="9483" spans="1:5" x14ac:dyDescent="0.3">
      <c r="A9483" s="21" t="str">
        <f t="shared" si="148"/>
        <v>.</v>
      </c>
      <c r="D9483" s="44"/>
      <c r="E9483" s="22" t="str">
        <f>IF(D9483&lt;&gt;"",IFERROR(INDEX(Produtos!$C$4:$C$4996,MATCH(D9483,Produtos!$B$4:$B$4996,0)),"Produto não encontrado"),"")</f>
        <v/>
      </c>
    </row>
    <row r="9484" spans="1:5" x14ac:dyDescent="0.3">
      <c r="A9484" s="21" t="str">
        <f t="shared" si="148"/>
        <v>.</v>
      </c>
      <c r="D9484" s="44"/>
      <c r="E9484" s="22" t="str">
        <f>IF(D9484&lt;&gt;"",IFERROR(INDEX(Produtos!$C$4:$C$4996,MATCH(D9484,Produtos!$B$4:$B$4996,0)),"Produto não encontrado"),"")</f>
        <v/>
      </c>
    </row>
    <row r="9485" spans="1:5" x14ac:dyDescent="0.3">
      <c r="A9485" s="21" t="str">
        <f t="shared" si="148"/>
        <v>.</v>
      </c>
      <c r="D9485" s="44"/>
      <c r="E9485" s="22" t="str">
        <f>IF(D9485&lt;&gt;"",IFERROR(INDEX(Produtos!$C$4:$C$4996,MATCH(D9485,Produtos!$B$4:$B$4996,0)),"Produto não encontrado"),"")</f>
        <v/>
      </c>
    </row>
    <row r="9486" spans="1:5" x14ac:dyDescent="0.3">
      <c r="A9486" s="21" t="str">
        <f t="shared" si="148"/>
        <v>.</v>
      </c>
      <c r="D9486" s="44"/>
      <c r="E9486" s="22" t="str">
        <f>IF(D9486&lt;&gt;"",IFERROR(INDEX(Produtos!$C$4:$C$4996,MATCH(D9486,Produtos!$B$4:$B$4996,0)),"Produto não encontrado"),"")</f>
        <v/>
      </c>
    </row>
    <row r="9487" spans="1:5" x14ac:dyDescent="0.3">
      <c r="A9487" s="21" t="str">
        <f t="shared" si="148"/>
        <v>.</v>
      </c>
      <c r="D9487" s="44"/>
      <c r="E9487" s="22" t="str">
        <f>IF(D9487&lt;&gt;"",IFERROR(INDEX(Produtos!$C$4:$C$4996,MATCH(D9487,Produtos!$B$4:$B$4996,0)),"Produto não encontrado"),"")</f>
        <v/>
      </c>
    </row>
    <row r="9488" spans="1:5" x14ac:dyDescent="0.3">
      <c r="A9488" s="21" t="str">
        <f t="shared" si="148"/>
        <v>.</v>
      </c>
      <c r="D9488" s="44"/>
      <c r="E9488" s="22" t="str">
        <f>IF(D9488&lt;&gt;"",IFERROR(INDEX(Produtos!$C$4:$C$4996,MATCH(D9488,Produtos!$B$4:$B$4996,0)),"Produto não encontrado"),"")</f>
        <v/>
      </c>
    </row>
    <row r="9489" spans="1:5" x14ac:dyDescent="0.3">
      <c r="A9489" s="21" t="str">
        <f t="shared" si="148"/>
        <v>.</v>
      </c>
      <c r="D9489" s="44"/>
      <c r="E9489" s="22" t="str">
        <f>IF(D9489&lt;&gt;"",IFERROR(INDEX(Produtos!$C$4:$C$4996,MATCH(D9489,Produtos!$B$4:$B$4996,0)),"Produto não encontrado"),"")</f>
        <v/>
      </c>
    </row>
    <row r="9490" spans="1:5" x14ac:dyDescent="0.3">
      <c r="A9490" s="21" t="str">
        <f t="shared" si="148"/>
        <v>.</v>
      </c>
      <c r="D9490" s="44"/>
      <c r="E9490" s="22" t="str">
        <f>IF(D9490&lt;&gt;"",IFERROR(INDEX(Produtos!$C$4:$C$4996,MATCH(D9490,Produtos!$B$4:$B$4996,0)),"Produto não encontrado"),"")</f>
        <v/>
      </c>
    </row>
    <row r="9491" spans="1:5" x14ac:dyDescent="0.3">
      <c r="A9491" s="21" t="str">
        <f t="shared" si="148"/>
        <v>.</v>
      </c>
      <c r="D9491" s="44"/>
      <c r="E9491" s="22" t="str">
        <f>IF(D9491&lt;&gt;"",IFERROR(INDEX(Produtos!$C$4:$C$4996,MATCH(D9491,Produtos!$B$4:$B$4996,0)),"Produto não encontrado"),"")</f>
        <v/>
      </c>
    </row>
    <row r="9492" spans="1:5" x14ac:dyDescent="0.3">
      <c r="A9492" s="21" t="str">
        <f t="shared" si="148"/>
        <v>.</v>
      </c>
      <c r="D9492" s="44"/>
      <c r="E9492" s="22" t="str">
        <f>IF(D9492&lt;&gt;"",IFERROR(INDEX(Produtos!$C$4:$C$4996,MATCH(D9492,Produtos!$B$4:$B$4996,0)),"Produto não encontrado"),"")</f>
        <v/>
      </c>
    </row>
    <row r="9493" spans="1:5" x14ac:dyDescent="0.3">
      <c r="A9493" s="21" t="str">
        <f t="shared" si="148"/>
        <v>.</v>
      </c>
      <c r="D9493" s="44"/>
      <c r="E9493" s="22" t="str">
        <f>IF(D9493&lt;&gt;"",IFERROR(INDEX(Produtos!$C$4:$C$4996,MATCH(D9493,Produtos!$B$4:$B$4996,0)),"Produto não encontrado"),"")</f>
        <v/>
      </c>
    </row>
    <row r="9494" spans="1:5" x14ac:dyDescent="0.3">
      <c r="A9494" s="21" t="str">
        <f t="shared" si="148"/>
        <v>.</v>
      </c>
      <c r="D9494" s="44"/>
      <c r="E9494" s="22" t="str">
        <f>IF(D9494&lt;&gt;"",IFERROR(INDEX(Produtos!$C$4:$C$4996,MATCH(D9494,Produtos!$B$4:$B$4996,0)),"Produto não encontrado"),"")</f>
        <v/>
      </c>
    </row>
    <row r="9495" spans="1:5" x14ac:dyDescent="0.3">
      <c r="A9495" s="21" t="str">
        <f t="shared" si="148"/>
        <v>.</v>
      </c>
      <c r="D9495" s="44"/>
      <c r="E9495" s="22" t="str">
        <f>IF(D9495&lt;&gt;"",IFERROR(INDEX(Produtos!$C$4:$C$4996,MATCH(D9495,Produtos!$B$4:$B$4996,0)),"Produto não encontrado"),"")</f>
        <v/>
      </c>
    </row>
    <row r="9496" spans="1:5" x14ac:dyDescent="0.3">
      <c r="A9496" s="21" t="str">
        <f t="shared" si="148"/>
        <v>.</v>
      </c>
      <c r="D9496" s="44"/>
      <c r="E9496" s="22" t="str">
        <f>IF(D9496&lt;&gt;"",IFERROR(INDEX(Produtos!$C$4:$C$4996,MATCH(D9496,Produtos!$B$4:$B$4996,0)),"Produto não encontrado"),"")</f>
        <v/>
      </c>
    </row>
    <row r="9497" spans="1:5" x14ac:dyDescent="0.3">
      <c r="A9497" s="21" t="str">
        <f t="shared" si="148"/>
        <v>.</v>
      </c>
      <c r="D9497" s="44"/>
      <c r="E9497" s="22" t="str">
        <f>IF(D9497&lt;&gt;"",IFERROR(INDEX(Produtos!$C$4:$C$4996,MATCH(D9497,Produtos!$B$4:$B$4996,0)),"Produto não encontrado"),"")</f>
        <v/>
      </c>
    </row>
    <row r="9498" spans="1:5" x14ac:dyDescent="0.3">
      <c r="A9498" s="21" t="str">
        <f t="shared" si="148"/>
        <v>.</v>
      </c>
      <c r="D9498" s="44"/>
      <c r="E9498" s="22" t="str">
        <f>IF(D9498&lt;&gt;"",IFERROR(INDEX(Produtos!$C$4:$C$4996,MATCH(D9498,Produtos!$B$4:$B$4996,0)),"Produto não encontrado"),"")</f>
        <v/>
      </c>
    </row>
    <row r="9499" spans="1:5" x14ac:dyDescent="0.3">
      <c r="A9499" s="21" t="str">
        <f t="shared" si="148"/>
        <v>.</v>
      </c>
      <c r="D9499" s="44"/>
      <c r="E9499" s="22" t="str">
        <f>IF(D9499&lt;&gt;"",IFERROR(INDEX(Produtos!$C$4:$C$4996,MATCH(D9499,Produtos!$B$4:$B$4996,0)),"Produto não encontrado"),"")</f>
        <v/>
      </c>
    </row>
    <row r="9500" spans="1:5" x14ac:dyDescent="0.3">
      <c r="A9500" s="21" t="str">
        <f t="shared" si="148"/>
        <v>.</v>
      </c>
      <c r="D9500" s="44"/>
      <c r="E9500" s="22" t="str">
        <f>IF(D9500&lt;&gt;"",IFERROR(INDEX(Produtos!$C$4:$C$4996,MATCH(D9500,Produtos!$B$4:$B$4996,0)),"Produto não encontrado"),"")</f>
        <v/>
      </c>
    </row>
    <row r="9501" spans="1:5" x14ac:dyDescent="0.3">
      <c r="A9501" s="21" t="str">
        <f t="shared" si="148"/>
        <v>.</v>
      </c>
      <c r="D9501" s="44"/>
      <c r="E9501" s="22" t="str">
        <f>IF(D9501&lt;&gt;"",IFERROR(INDEX(Produtos!$C$4:$C$4996,MATCH(D9501,Produtos!$B$4:$B$4996,0)),"Produto não encontrado"),"")</f>
        <v/>
      </c>
    </row>
    <row r="9502" spans="1:5" x14ac:dyDescent="0.3">
      <c r="A9502" s="21" t="str">
        <f t="shared" si="148"/>
        <v>.</v>
      </c>
      <c r="D9502" s="44"/>
      <c r="E9502" s="22" t="str">
        <f>IF(D9502&lt;&gt;"",IFERROR(INDEX(Produtos!$C$4:$C$4996,MATCH(D9502,Produtos!$B$4:$B$4996,0)),"Produto não encontrado"),"")</f>
        <v/>
      </c>
    </row>
    <row r="9503" spans="1:5" x14ac:dyDescent="0.3">
      <c r="A9503" s="21" t="str">
        <f t="shared" si="148"/>
        <v>.</v>
      </c>
      <c r="D9503" s="44"/>
      <c r="E9503" s="22" t="str">
        <f>IF(D9503&lt;&gt;"",IFERROR(INDEX(Produtos!$C$4:$C$4996,MATCH(D9503,Produtos!$B$4:$B$4996,0)),"Produto não encontrado"),"")</f>
        <v/>
      </c>
    </row>
    <row r="9504" spans="1:5" x14ac:dyDescent="0.3">
      <c r="A9504" s="21" t="str">
        <f t="shared" si="148"/>
        <v>.</v>
      </c>
      <c r="D9504" s="44"/>
      <c r="E9504" s="22" t="str">
        <f>IF(D9504&lt;&gt;"",IFERROR(INDEX(Produtos!$C$4:$C$4996,MATCH(D9504,Produtos!$B$4:$B$4996,0)),"Produto não encontrado"),"")</f>
        <v/>
      </c>
    </row>
    <row r="9505" spans="1:5" x14ac:dyDescent="0.3">
      <c r="A9505" s="21" t="str">
        <f t="shared" si="148"/>
        <v>.</v>
      </c>
      <c r="D9505" s="44"/>
      <c r="E9505" s="22" t="str">
        <f>IF(D9505&lt;&gt;"",IFERROR(INDEX(Produtos!$C$4:$C$4996,MATCH(D9505,Produtos!$B$4:$B$4996,0)),"Produto não encontrado"),"")</f>
        <v/>
      </c>
    </row>
    <row r="9506" spans="1:5" x14ac:dyDescent="0.3">
      <c r="A9506" s="21" t="str">
        <f t="shared" si="148"/>
        <v>.</v>
      </c>
      <c r="D9506" s="44"/>
      <c r="E9506" s="22" t="str">
        <f>IF(D9506&lt;&gt;"",IFERROR(INDEX(Produtos!$C$4:$C$4996,MATCH(D9506,Produtos!$B$4:$B$4996,0)),"Produto não encontrado"),"")</f>
        <v/>
      </c>
    </row>
    <row r="9507" spans="1:5" x14ac:dyDescent="0.3">
      <c r="A9507" s="21" t="str">
        <f t="shared" si="148"/>
        <v>.</v>
      </c>
      <c r="D9507" s="44"/>
      <c r="E9507" s="22" t="str">
        <f>IF(D9507&lt;&gt;"",IFERROR(INDEX(Produtos!$C$4:$C$4996,MATCH(D9507,Produtos!$B$4:$B$4996,0)),"Produto não encontrado"),"")</f>
        <v/>
      </c>
    </row>
    <row r="9508" spans="1:5" x14ac:dyDescent="0.3">
      <c r="A9508" s="21" t="str">
        <f t="shared" si="148"/>
        <v>.</v>
      </c>
      <c r="D9508" s="44"/>
      <c r="E9508" s="22" t="str">
        <f>IF(D9508&lt;&gt;"",IFERROR(INDEX(Produtos!$C$4:$C$4996,MATCH(D9508,Produtos!$B$4:$B$4996,0)),"Produto não encontrado"),"")</f>
        <v/>
      </c>
    </row>
    <row r="9509" spans="1:5" x14ac:dyDescent="0.3">
      <c r="A9509" s="21" t="str">
        <f t="shared" si="148"/>
        <v>.</v>
      </c>
      <c r="D9509" s="44"/>
      <c r="E9509" s="22" t="str">
        <f>IF(D9509&lt;&gt;"",IFERROR(INDEX(Produtos!$C$4:$C$4996,MATCH(D9509,Produtos!$B$4:$B$4996,0)),"Produto não encontrado"),"")</f>
        <v/>
      </c>
    </row>
    <row r="9510" spans="1:5" x14ac:dyDescent="0.3">
      <c r="A9510" s="21" t="str">
        <f t="shared" si="148"/>
        <v>.</v>
      </c>
      <c r="D9510" s="44"/>
      <c r="E9510" s="22" t="str">
        <f>IF(D9510&lt;&gt;"",IFERROR(INDEX(Produtos!$C$4:$C$4996,MATCH(D9510,Produtos!$B$4:$B$4996,0)),"Produto não encontrado"),"")</f>
        <v/>
      </c>
    </row>
    <row r="9511" spans="1:5" x14ac:dyDescent="0.3">
      <c r="A9511" s="21" t="str">
        <f t="shared" si="148"/>
        <v>.</v>
      </c>
      <c r="D9511" s="44"/>
      <c r="E9511" s="22" t="str">
        <f>IF(D9511&lt;&gt;"",IFERROR(INDEX(Produtos!$C$4:$C$4996,MATCH(D9511,Produtos!$B$4:$B$4996,0)),"Produto não encontrado"),"")</f>
        <v/>
      </c>
    </row>
    <row r="9512" spans="1:5" x14ac:dyDescent="0.3">
      <c r="A9512" s="21" t="str">
        <f t="shared" si="148"/>
        <v>.</v>
      </c>
      <c r="D9512" s="44"/>
      <c r="E9512" s="22" t="str">
        <f>IF(D9512&lt;&gt;"",IFERROR(INDEX(Produtos!$C$4:$C$4996,MATCH(D9512,Produtos!$B$4:$B$4996,0)),"Produto não encontrado"),"")</f>
        <v/>
      </c>
    </row>
    <row r="9513" spans="1:5" x14ac:dyDescent="0.3">
      <c r="A9513" s="21" t="str">
        <f t="shared" si="148"/>
        <v>.</v>
      </c>
      <c r="D9513" s="44"/>
      <c r="E9513" s="22" t="str">
        <f>IF(D9513&lt;&gt;"",IFERROR(INDEX(Produtos!$C$4:$C$4996,MATCH(D9513,Produtos!$B$4:$B$4996,0)),"Produto não encontrado"),"")</f>
        <v/>
      </c>
    </row>
    <row r="9514" spans="1:5" x14ac:dyDescent="0.3">
      <c r="A9514" s="21" t="str">
        <f t="shared" si="148"/>
        <v>.</v>
      </c>
      <c r="D9514" s="44"/>
      <c r="E9514" s="22" t="str">
        <f>IF(D9514&lt;&gt;"",IFERROR(INDEX(Produtos!$C$4:$C$4996,MATCH(D9514,Produtos!$B$4:$B$4996,0)),"Produto não encontrado"),"")</f>
        <v/>
      </c>
    </row>
    <row r="9515" spans="1:5" x14ac:dyDescent="0.3">
      <c r="A9515" s="21" t="str">
        <f t="shared" si="148"/>
        <v>.</v>
      </c>
      <c r="D9515" s="44"/>
      <c r="E9515" s="22" t="str">
        <f>IF(D9515&lt;&gt;"",IFERROR(INDEX(Produtos!$C$4:$C$4996,MATCH(D9515,Produtos!$B$4:$B$4996,0)),"Produto não encontrado"),"")</f>
        <v/>
      </c>
    </row>
    <row r="9516" spans="1:5" x14ac:dyDescent="0.3">
      <c r="A9516" s="21" t="str">
        <f t="shared" si="148"/>
        <v>.</v>
      </c>
      <c r="D9516" s="44"/>
      <c r="E9516" s="22" t="str">
        <f>IF(D9516&lt;&gt;"",IFERROR(INDEX(Produtos!$C$4:$C$4996,MATCH(D9516,Produtos!$B$4:$B$4996,0)),"Produto não encontrado"),"")</f>
        <v/>
      </c>
    </row>
    <row r="9517" spans="1:5" x14ac:dyDescent="0.3">
      <c r="A9517" s="21" t="str">
        <f t="shared" si="148"/>
        <v>.</v>
      </c>
      <c r="D9517" s="44"/>
      <c r="E9517" s="22" t="str">
        <f>IF(D9517&lt;&gt;"",IFERROR(INDEX(Produtos!$C$4:$C$4996,MATCH(D9517,Produtos!$B$4:$B$4996,0)),"Produto não encontrado"),"")</f>
        <v/>
      </c>
    </row>
    <row r="9518" spans="1:5" x14ac:dyDescent="0.3">
      <c r="A9518" s="21" t="str">
        <f t="shared" si="148"/>
        <v>.</v>
      </c>
      <c r="D9518" s="44"/>
      <c r="E9518" s="22" t="str">
        <f>IF(D9518&lt;&gt;"",IFERROR(INDEX(Produtos!$C$4:$C$4996,MATCH(D9518,Produtos!$B$4:$B$4996,0)),"Produto não encontrado"),"")</f>
        <v/>
      </c>
    </row>
    <row r="9519" spans="1:5" x14ac:dyDescent="0.3">
      <c r="A9519" s="21" t="str">
        <f t="shared" si="148"/>
        <v>.</v>
      </c>
      <c r="D9519" s="44"/>
      <c r="E9519" s="22" t="str">
        <f>IF(D9519&lt;&gt;"",IFERROR(INDEX(Produtos!$C$4:$C$4996,MATCH(D9519,Produtos!$B$4:$B$4996,0)),"Produto não encontrado"),"")</f>
        <v/>
      </c>
    </row>
    <row r="9520" spans="1:5" x14ac:dyDescent="0.3">
      <c r="A9520" s="21" t="str">
        <f t="shared" si="148"/>
        <v>.</v>
      </c>
      <c r="D9520" s="44"/>
      <c r="E9520" s="22" t="str">
        <f>IF(D9520&lt;&gt;"",IFERROR(INDEX(Produtos!$C$4:$C$4996,MATCH(D9520,Produtos!$B$4:$B$4996,0)),"Produto não encontrado"),"")</f>
        <v/>
      </c>
    </row>
    <row r="9521" spans="1:5" x14ac:dyDescent="0.3">
      <c r="A9521" s="21" t="str">
        <f t="shared" si="148"/>
        <v>.</v>
      </c>
      <c r="D9521" s="44"/>
      <c r="E9521" s="22" t="str">
        <f>IF(D9521&lt;&gt;"",IFERROR(INDEX(Produtos!$C$4:$C$4996,MATCH(D9521,Produtos!$B$4:$B$4996,0)),"Produto não encontrado"),"")</f>
        <v/>
      </c>
    </row>
    <row r="9522" spans="1:5" x14ac:dyDescent="0.3">
      <c r="A9522" s="21" t="str">
        <f t="shared" si="148"/>
        <v>.</v>
      </c>
      <c r="D9522" s="44"/>
      <c r="E9522" s="22" t="str">
        <f>IF(D9522&lt;&gt;"",IFERROR(INDEX(Produtos!$C$4:$C$4996,MATCH(D9522,Produtos!$B$4:$B$4996,0)),"Produto não encontrado"),"")</f>
        <v/>
      </c>
    </row>
    <row r="9523" spans="1:5" x14ac:dyDescent="0.3">
      <c r="A9523" s="21" t="str">
        <f t="shared" si="148"/>
        <v>.</v>
      </c>
      <c r="D9523" s="44"/>
      <c r="E9523" s="22" t="str">
        <f>IF(D9523&lt;&gt;"",IFERROR(INDEX(Produtos!$C$4:$C$4996,MATCH(D9523,Produtos!$B$4:$B$4996,0)),"Produto não encontrado"),"")</f>
        <v/>
      </c>
    </row>
    <row r="9524" spans="1:5" x14ac:dyDescent="0.3">
      <c r="A9524" s="21" t="str">
        <f t="shared" si="148"/>
        <v>.</v>
      </c>
      <c r="D9524" s="44"/>
      <c r="E9524" s="22" t="str">
        <f>IF(D9524&lt;&gt;"",IFERROR(INDEX(Produtos!$C$4:$C$4996,MATCH(D9524,Produtos!$B$4:$B$4996,0)),"Produto não encontrado"),"")</f>
        <v/>
      </c>
    </row>
    <row r="9525" spans="1:5" x14ac:dyDescent="0.3">
      <c r="A9525" s="21" t="str">
        <f t="shared" si="148"/>
        <v>.</v>
      </c>
      <c r="D9525" s="44"/>
      <c r="E9525" s="22" t="str">
        <f>IF(D9525&lt;&gt;"",IFERROR(INDEX(Produtos!$C$4:$C$4996,MATCH(D9525,Produtos!$B$4:$B$4996,0)),"Produto não encontrado"),"")</f>
        <v/>
      </c>
    </row>
    <row r="9526" spans="1:5" x14ac:dyDescent="0.3">
      <c r="A9526" s="21" t="str">
        <f t="shared" si="148"/>
        <v>.</v>
      </c>
      <c r="D9526" s="44"/>
      <c r="E9526" s="22" t="str">
        <f>IF(D9526&lt;&gt;"",IFERROR(INDEX(Produtos!$C$4:$C$4996,MATCH(D9526,Produtos!$B$4:$B$4996,0)),"Produto não encontrado"),"")</f>
        <v/>
      </c>
    </row>
    <row r="9527" spans="1:5" x14ac:dyDescent="0.3">
      <c r="A9527" s="21" t="str">
        <f t="shared" si="148"/>
        <v>.</v>
      </c>
      <c r="D9527" s="44"/>
      <c r="E9527" s="22" t="str">
        <f>IF(D9527&lt;&gt;"",IFERROR(INDEX(Produtos!$C$4:$C$4996,MATCH(D9527,Produtos!$B$4:$B$4996,0)),"Produto não encontrado"),"")</f>
        <v/>
      </c>
    </row>
    <row r="9528" spans="1:5" x14ac:dyDescent="0.3">
      <c r="A9528" s="21" t="str">
        <f t="shared" si="148"/>
        <v>.</v>
      </c>
      <c r="D9528" s="44"/>
      <c r="E9528" s="22" t="str">
        <f>IF(D9528&lt;&gt;"",IFERROR(INDEX(Produtos!$C$4:$C$4996,MATCH(D9528,Produtos!$B$4:$B$4996,0)),"Produto não encontrado"),"")</f>
        <v/>
      </c>
    </row>
    <row r="9529" spans="1:5" x14ac:dyDescent="0.3">
      <c r="A9529" s="21" t="str">
        <f t="shared" si="148"/>
        <v>.</v>
      </c>
      <c r="D9529" s="44"/>
      <c r="E9529" s="22" t="str">
        <f>IF(D9529&lt;&gt;"",IFERROR(INDEX(Produtos!$C$4:$C$4996,MATCH(D9529,Produtos!$B$4:$B$4996,0)),"Produto não encontrado"),"")</f>
        <v/>
      </c>
    </row>
    <row r="9530" spans="1:5" x14ac:dyDescent="0.3">
      <c r="A9530" s="21" t="str">
        <f t="shared" si="148"/>
        <v>.</v>
      </c>
      <c r="D9530" s="44"/>
      <c r="E9530" s="22" t="str">
        <f>IF(D9530&lt;&gt;"",IFERROR(INDEX(Produtos!$C$4:$C$4996,MATCH(D9530,Produtos!$B$4:$B$4996,0)),"Produto não encontrado"),"")</f>
        <v/>
      </c>
    </row>
    <row r="9531" spans="1:5" x14ac:dyDescent="0.3">
      <c r="A9531" s="21" t="str">
        <f t="shared" si="148"/>
        <v>.</v>
      </c>
      <c r="D9531" s="44"/>
      <c r="E9531" s="22" t="str">
        <f>IF(D9531&lt;&gt;"",IFERROR(INDEX(Produtos!$C$4:$C$4996,MATCH(D9531,Produtos!$B$4:$B$4996,0)),"Produto não encontrado"),"")</f>
        <v/>
      </c>
    </row>
    <row r="9532" spans="1:5" x14ac:dyDescent="0.3">
      <c r="A9532" s="21" t="str">
        <f t="shared" si="148"/>
        <v>.</v>
      </c>
      <c r="D9532" s="44"/>
      <c r="E9532" s="22" t="str">
        <f>IF(D9532&lt;&gt;"",IFERROR(INDEX(Produtos!$C$4:$C$4996,MATCH(D9532,Produtos!$B$4:$B$4996,0)),"Produto não encontrado"),"")</f>
        <v/>
      </c>
    </row>
    <row r="9533" spans="1:5" x14ac:dyDescent="0.3">
      <c r="A9533" s="21" t="str">
        <f t="shared" si="148"/>
        <v>.</v>
      </c>
      <c r="D9533" s="44"/>
      <c r="E9533" s="22" t="str">
        <f>IF(D9533&lt;&gt;"",IFERROR(INDEX(Produtos!$C$4:$C$4996,MATCH(D9533,Produtos!$B$4:$B$4996,0)),"Produto não encontrado"),"")</f>
        <v/>
      </c>
    </row>
    <row r="9534" spans="1:5" x14ac:dyDescent="0.3">
      <c r="A9534" s="21" t="str">
        <f t="shared" si="148"/>
        <v>.</v>
      </c>
      <c r="D9534" s="44"/>
      <c r="E9534" s="22" t="str">
        <f>IF(D9534&lt;&gt;"",IFERROR(INDEX(Produtos!$C$4:$C$4996,MATCH(D9534,Produtos!$B$4:$B$4996,0)),"Produto não encontrado"),"")</f>
        <v/>
      </c>
    </row>
    <row r="9535" spans="1:5" x14ac:dyDescent="0.3">
      <c r="A9535" s="21" t="str">
        <f t="shared" si="148"/>
        <v>.</v>
      </c>
      <c r="D9535" s="44"/>
      <c r="E9535" s="22" t="str">
        <f>IF(D9535&lt;&gt;"",IFERROR(INDEX(Produtos!$C$4:$C$4996,MATCH(D9535,Produtos!$B$4:$B$4996,0)),"Produto não encontrado"),"")</f>
        <v/>
      </c>
    </row>
    <row r="9536" spans="1:5" x14ac:dyDescent="0.3">
      <c r="A9536" s="21" t="str">
        <f t="shared" ref="A9536:A9599" si="149">IF(C9536="Entrada",2,IF(C9536="Saída",1,"."))</f>
        <v>.</v>
      </c>
      <c r="D9536" s="44"/>
      <c r="E9536" s="22" t="str">
        <f>IF(D9536&lt;&gt;"",IFERROR(INDEX(Produtos!$C$4:$C$4996,MATCH(D9536,Produtos!$B$4:$B$4996,0)),"Produto não encontrado"),"")</f>
        <v/>
      </c>
    </row>
    <row r="9537" spans="1:5" x14ac:dyDescent="0.3">
      <c r="A9537" s="21" t="str">
        <f t="shared" si="149"/>
        <v>.</v>
      </c>
      <c r="D9537" s="44"/>
      <c r="E9537" s="22" t="str">
        <f>IF(D9537&lt;&gt;"",IFERROR(INDEX(Produtos!$C$4:$C$4996,MATCH(D9537,Produtos!$B$4:$B$4996,0)),"Produto não encontrado"),"")</f>
        <v/>
      </c>
    </row>
    <row r="9538" spans="1:5" x14ac:dyDescent="0.3">
      <c r="A9538" s="21" t="str">
        <f t="shared" si="149"/>
        <v>.</v>
      </c>
      <c r="D9538" s="44"/>
      <c r="E9538" s="22" t="str">
        <f>IF(D9538&lt;&gt;"",IFERROR(INDEX(Produtos!$C$4:$C$4996,MATCH(D9538,Produtos!$B$4:$B$4996,0)),"Produto não encontrado"),"")</f>
        <v/>
      </c>
    </row>
    <row r="9539" spans="1:5" x14ac:dyDescent="0.3">
      <c r="A9539" s="21" t="str">
        <f t="shared" si="149"/>
        <v>.</v>
      </c>
      <c r="D9539" s="44"/>
      <c r="E9539" s="22" t="str">
        <f>IF(D9539&lt;&gt;"",IFERROR(INDEX(Produtos!$C$4:$C$4996,MATCH(D9539,Produtos!$B$4:$B$4996,0)),"Produto não encontrado"),"")</f>
        <v/>
      </c>
    </row>
    <row r="9540" spans="1:5" x14ac:dyDescent="0.3">
      <c r="A9540" s="21" t="str">
        <f t="shared" si="149"/>
        <v>.</v>
      </c>
      <c r="D9540" s="44"/>
      <c r="E9540" s="22" t="str">
        <f>IF(D9540&lt;&gt;"",IFERROR(INDEX(Produtos!$C$4:$C$4996,MATCH(D9540,Produtos!$B$4:$B$4996,0)),"Produto não encontrado"),"")</f>
        <v/>
      </c>
    </row>
    <row r="9541" spans="1:5" x14ac:dyDescent="0.3">
      <c r="A9541" s="21" t="str">
        <f t="shared" si="149"/>
        <v>.</v>
      </c>
      <c r="D9541" s="44"/>
      <c r="E9541" s="22" t="str">
        <f>IF(D9541&lt;&gt;"",IFERROR(INDEX(Produtos!$C$4:$C$4996,MATCH(D9541,Produtos!$B$4:$B$4996,0)),"Produto não encontrado"),"")</f>
        <v/>
      </c>
    </row>
    <row r="9542" spans="1:5" x14ac:dyDescent="0.3">
      <c r="A9542" s="21" t="str">
        <f t="shared" si="149"/>
        <v>.</v>
      </c>
      <c r="D9542" s="44"/>
      <c r="E9542" s="22" t="str">
        <f>IF(D9542&lt;&gt;"",IFERROR(INDEX(Produtos!$C$4:$C$4996,MATCH(D9542,Produtos!$B$4:$B$4996,0)),"Produto não encontrado"),"")</f>
        <v/>
      </c>
    </row>
    <row r="9543" spans="1:5" x14ac:dyDescent="0.3">
      <c r="A9543" s="21" t="str">
        <f t="shared" si="149"/>
        <v>.</v>
      </c>
      <c r="D9543" s="44"/>
      <c r="E9543" s="22" t="str">
        <f>IF(D9543&lt;&gt;"",IFERROR(INDEX(Produtos!$C$4:$C$4996,MATCH(D9543,Produtos!$B$4:$B$4996,0)),"Produto não encontrado"),"")</f>
        <v/>
      </c>
    </row>
    <row r="9544" spans="1:5" x14ac:dyDescent="0.3">
      <c r="A9544" s="21" t="str">
        <f t="shared" si="149"/>
        <v>.</v>
      </c>
      <c r="D9544" s="44"/>
      <c r="E9544" s="22" t="str">
        <f>IF(D9544&lt;&gt;"",IFERROR(INDEX(Produtos!$C$4:$C$4996,MATCH(D9544,Produtos!$B$4:$B$4996,0)),"Produto não encontrado"),"")</f>
        <v/>
      </c>
    </row>
    <row r="9545" spans="1:5" x14ac:dyDescent="0.3">
      <c r="A9545" s="21" t="str">
        <f t="shared" si="149"/>
        <v>.</v>
      </c>
      <c r="D9545" s="44"/>
      <c r="E9545" s="22" t="str">
        <f>IF(D9545&lt;&gt;"",IFERROR(INDEX(Produtos!$C$4:$C$4996,MATCH(D9545,Produtos!$B$4:$B$4996,0)),"Produto não encontrado"),"")</f>
        <v/>
      </c>
    </row>
    <row r="9546" spans="1:5" x14ac:dyDescent="0.3">
      <c r="A9546" s="21" t="str">
        <f t="shared" si="149"/>
        <v>.</v>
      </c>
      <c r="D9546" s="44"/>
      <c r="E9546" s="22" t="str">
        <f>IF(D9546&lt;&gt;"",IFERROR(INDEX(Produtos!$C$4:$C$4996,MATCH(D9546,Produtos!$B$4:$B$4996,0)),"Produto não encontrado"),"")</f>
        <v/>
      </c>
    </row>
    <row r="9547" spans="1:5" x14ac:dyDescent="0.3">
      <c r="A9547" s="21" t="str">
        <f t="shared" si="149"/>
        <v>.</v>
      </c>
      <c r="D9547" s="44"/>
      <c r="E9547" s="22" t="str">
        <f>IF(D9547&lt;&gt;"",IFERROR(INDEX(Produtos!$C$4:$C$4996,MATCH(D9547,Produtos!$B$4:$B$4996,0)),"Produto não encontrado"),"")</f>
        <v/>
      </c>
    </row>
    <row r="9548" spans="1:5" x14ac:dyDescent="0.3">
      <c r="A9548" s="21" t="str">
        <f t="shared" si="149"/>
        <v>.</v>
      </c>
      <c r="D9548" s="44"/>
      <c r="E9548" s="22" t="str">
        <f>IF(D9548&lt;&gt;"",IFERROR(INDEX(Produtos!$C$4:$C$4996,MATCH(D9548,Produtos!$B$4:$B$4996,0)),"Produto não encontrado"),"")</f>
        <v/>
      </c>
    </row>
    <row r="9549" spans="1:5" x14ac:dyDescent="0.3">
      <c r="A9549" s="21" t="str">
        <f t="shared" si="149"/>
        <v>.</v>
      </c>
      <c r="D9549" s="44"/>
      <c r="E9549" s="22" t="str">
        <f>IF(D9549&lt;&gt;"",IFERROR(INDEX(Produtos!$C$4:$C$4996,MATCH(D9549,Produtos!$B$4:$B$4996,0)),"Produto não encontrado"),"")</f>
        <v/>
      </c>
    </row>
    <row r="9550" spans="1:5" x14ac:dyDescent="0.3">
      <c r="A9550" s="21" t="str">
        <f t="shared" si="149"/>
        <v>.</v>
      </c>
      <c r="D9550" s="44"/>
      <c r="E9550" s="22" t="str">
        <f>IF(D9550&lt;&gt;"",IFERROR(INDEX(Produtos!$C$4:$C$4996,MATCH(D9550,Produtos!$B$4:$B$4996,0)),"Produto não encontrado"),"")</f>
        <v/>
      </c>
    </row>
    <row r="9551" spans="1:5" x14ac:dyDescent="0.3">
      <c r="A9551" s="21" t="str">
        <f t="shared" si="149"/>
        <v>.</v>
      </c>
      <c r="D9551" s="44"/>
      <c r="E9551" s="22" t="str">
        <f>IF(D9551&lt;&gt;"",IFERROR(INDEX(Produtos!$C$4:$C$4996,MATCH(D9551,Produtos!$B$4:$B$4996,0)),"Produto não encontrado"),"")</f>
        <v/>
      </c>
    </row>
    <row r="9552" spans="1:5" x14ac:dyDescent="0.3">
      <c r="A9552" s="21" t="str">
        <f t="shared" si="149"/>
        <v>.</v>
      </c>
      <c r="D9552" s="44"/>
      <c r="E9552" s="22" t="str">
        <f>IF(D9552&lt;&gt;"",IFERROR(INDEX(Produtos!$C$4:$C$4996,MATCH(D9552,Produtos!$B$4:$B$4996,0)),"Produto não encontrado"),"")</f>
        <v/>
      </c>
    </row>
    <row r="9553" spans="1:5" x14ac:dyDescent="0.3">
      <c r="A9553" s="21" t="str">
        <f t="shared" si="149"/>
        <v>.</v>
      </c>
      <c r="D9553" s="44"/>
      <c r="E9553" s="22" t="str">
        <f>IF(D9553&lt;&gt;"",IFERROR(INDEX(Produtos!$C$4:$C$4996,MATCH(D9553,Produtos!$B$4:$B$4996,0)),"Produto não encontrado"),"")</f>
        <v/>
      </c>
    </row>
    <row r="9554" spans="1:5" x14ac:dyDescent="0.3">
      <c r="A9554" s="21" t="str">
        <f t="shared" si="149"/>
        <v>.</v>
      </c>
      <c r="D9554" s="44"/>
      <c r="E9554" s="22" t="str">
        <f>IF(D9554&lt;&gt;"",IFERROR(INDEX(Produtos!$C$4:$C$4996,MATCH(D9554,Produtos!$B$4:$B$4996,0)),"Produto não encontrado"),"")</f>
        <v/>
      </c>
    </row>
    <row r="9555" spans="1:5" x14ac:dyDescent="0.3">
      <c r="A9555" s="21" t="str">
        <f t="shared" si="149"/>
        <v>.</v>
      </c>
      <c r="D9555" s="44"/>
      <c r="E9555" s="22" t="str">
        <f>IF(D9555&lt;&gt;"",IFERROR(INDEX(Produtos!$C$4:$C$4996,MATCH(D9555,Produtos!$B$4:$B$4996,0)),"Produto não encontrado"),"")</f>
        <v/>
      </c>
    </row>
    <row r="9556" spans="1:5" x14ac:dyDescent="0.3">
      <c r="A9556" s="21" t="str">
        <f t="shared" si="149"/>
        <v>.</v>
      </c>
      <c r="D9556" s="44"/>
      <c r="E9556" s="22" t="str">
        <f>IF(D9556&lt;&gt;"",IFERROR(INDEX(Produtos!$C$4:$C$4996,MATCH(D9556,Produtos!$B$4:$B$4996,0)),"Produto não encontrado"),"")</f>
        <v/>
      </c>
    </row>
    <row r="9557" spans="1:5" x14ac:dyDescent="0.3">
      <c r="A9557" s="21" t="str">
        <f t="shared" si="149"/>
        <v>.</v>
      </c>
      <c r="D9557" s="44"/>
      <c r="E9557" s="22" t="str">
        <f>IF(D9557&lt;&gt;"",IFERROR(INDEX(Produtos!$C$4:$C$4996,MATCH(D9557,Produtos!$B$4:$B$4996,0)),"Produto não encontrado"),"")</f>
        <v/>
      </c>
    </row>
    <row r="9558" spans="1:5" x14ac:dyDescent="0.3">
      <c r="A9558" s="21" t="str">
        <f t="shared" si="149"/>
        <v>.</v>
      </c>
      <c r="D9558" s="44"/>
      <c r="E9558" s="22" t="str">
        <f>IF(D9558&lt;&gt;"",IFERROR(INDEX(Produtos!$C$4:$C$4996,MATCH(D9558,Produtos!$B$4:$B$4996,0)),"Produto não encontrado"),"")</f>
        <v/>
      </c>
    </row>
    <row r="9559" spans="1:5" x14ac:dyDescent="0.3">
      <c r="A9559" s="21" t="str">
        <f t="shared" si="149"/>
        <v>.</v>
      </c>
      <c r="D9559" s="44"/>
      <c r="E9559" s="22" t="str">
        <f>IF(D9559&lt;&gt;"",IFERROR(INDEX(Produtos!$C$4:$C$4996,MATCH(D9559,Produtos!$B$4:$B$4996,0)),"Produto não encontrado"),"")</f>
        <v/>
      </c>
    </row>
    <row r="9560" spans="1:5" x14ac:dyDescent="0.3">
      <c r="A9560" s="21" t="str">
        <f t="shared" si="149"/>
        <v>.</v>
      </c>
      <c r="D9560" s="44"/>
      <c r="E9560" s="22" t="str">
        <f>IF(D9560&lt;&gt;"",IFERROR(INDEX(Produtos!$C$4:$C$4996,MATCH(D9560,Produtos!$B$4:$B$4996,0)),"Produto não encontrado"),"")</f>
        <v/>
      </c>
    </row>
    <row r="9561" spans="1:5" x14ac:dyDescent="0.3">
      <c r="A9561" s="21" t="str">
        <f t="shared" si="149"/>
        <v>.</v>
      </c>
      <c r="D9561" s="44"/>
      <c r="E9561" s="22" t="str">
        <f>IF(D9561&lt;&gt;"",IFERROR(INDEX(Produtos!$C$4:$C$4996,MATCH(D9561,Produtos!$B$4:$B$4996,0)),"Produto não encontrado"),"")</f>
        <v/>
      </c>
    </row>
    <row r="9562" spans="1:5" x14ac:dyDescent="0.3">
      <c r="A9562" s="21" t="str">
        <f t="shared" si="149"/>
        <v>.</v>
      </c>
      <c r="D9562" s="44"/>
      <c r="E9562" s="22" t="str">
        <f>IF(D9562&lt;&gt;"",IFERROR(INDEX(Produtos!$C$4:$C$4996,MATCH(D9562,Produtos!$B$4:$B$4996,0)),"Produto não encontrado"),"")</f>
        <v/>
      </c>
    </row>
    <row r="9563" spans="1:5" x14ac:dyDescent="0.3">
      <c r="A9563" s="21" t="str">
        <f t="shared" si="149"/>
        <v>.</v>
      </c>
      <c r="D9563" s="44"/>
      <c r="E9563" s="22" t="str">
        <f>IF(D9563&lt;&gt;"",IFERROR(INDEX(Produtos!$C$4:$C$4996,MATCH(D9563,Produtos!$B$4:$B$4996,0)),"Produto não encontrado"),"")</f>
        <v/>
      </c>
    </row>
    <row r="9564" spans="1:5" x14ac:dyDescent="0.3">
      <c r="A9564" s="21" t="str">
        <f t="shared" si="149"/>
        <v>.</v>
      </c>
      <c r="D9564" s="44"/>
      <c r="E9564" s="22" t="str">
        <f>IF(D9564&lt;&gt;"",IFERROR(INDEX(Produtos!$C$4:$C$4996,MATCH(D9564,Produtos!$B$4:$B$4996,0)),"Produto não encontrado"),"")</f>
        <v/>
      </c>
    </row>
    <row r="9565" spans="1:5" x14ac:dyDescent="0.3">
      <c r="A9565" s="21" t="str">
        <f t="shared" si="149"/>
        <v>.</v>
      </c>
      <c r="D9565" s="44"/>
      <c r="E9565" s="22" t="str">
        <f>IF(D9565&lt;&gt;"",IFERROR(INDEX(Produtos!$C$4:$C$4996,MATCH(D9565,Produtos!$B$4:$B$4996,0)),"Produto não encontrado"),"")</f>
        <v/>
      </c>
    </row>
    <row r="9566" spans="1:5" x14ac:dyDescent="0.3">
      <c r="A9566" s="21" t="str">
        <f t="shared" si="149"/>
        <v>.</v>
      </c>
      <c r="D9566" s="44"/>
      <c r="E9566" s="22" t="str">
        <f>IF(D9566&lt;&gt;"",IFERROR(INDEX(Produtos!$C$4:$C$4996,MATCH(D9566,Produtos!$B$4:$B$4996,0)),"Produto não encontrado"),"")</f>
        <v/>
      </c>
    </row>
    <row r="9567" spans="1:5" x14ac:dyDescent="0.3">
      <c r="A9567" s="21" t="str">
        <f t="shared" si="149"/>
        <v>.</v>
      </c>
      <c r="D9567" s="44"/>
      <c r="E9567" s="22" t="str">
        <f>IF(D9567&lt;&gt;"",IFERROR(INDEX(Produtos!$C$4:$C$4996,MATCH(D9567,Produtos!$B$4:$B$4996,0)),"Produto não encontrado"),"")</f>
        <v/>
      </c>
    </row>
    <row r="9568" spans="1:5" x14ac:dyDescent="0.3">
      <c r="A9568" s="21" t="str">
        <f t="shared" si="149"/>
        <v>.</v>
      </c>
      <c r="D9568" s="44"/>
      <c r="E9568" s="22" t="str">
        <f>IF(D9568&lt;&gt;"",IFERROR(INDEX(Produtos!$C$4:$C$4996,MATCH(D9568,Produtos!$B$4:$B$4996,0)),"Produto não encontrado"),"")</f>
        <v/>
      </c>
    </row>
    <row r="9569" spans="1:5" x14ac:dyDescent="0.3">
      <c r="A9569" s="21" t="str">
        <f t="shared" si="149"/>
        <v>.</v>
      </c>
      <c r="D9569" s="44"/>
      <c r="E9569" s="22" t="str">
        <f>IF(D9569&lt;&gt;"",IFERROR(INDEX(Produtos!$C$4:$C$4996,MATCH(D9569,Produtos!$B$4:$B$4996,0)),"Produto não encontrado"),"")</f>
        <v/>
      </c>
    </row>
    <row r="9570" spans="1:5" x14ac:dyDescent="0.3">
      <c r="A9570" s="21" t="str">
        <f t="shared" si="149"/>
        <v>.</v>
      </c>
      <c r="D9570" s="44"/>
      <c r="E9570" s="22" t="str">
        <f>IF(D9570&lt;&gt;"",IFERROR(INDEX(Produtos!$C$4:$C$4996,MATCH(D9570,Produtos!$B$4:$B$4996,0)),"Produto não encontrado"),"")</f>
        <v/>
      </c>
    </row>
    <row r="9571" spans="1:5" x14ac:dyDescent="0.3">
      <c r="A9571" s="21" t="str">
        <f t="shared" si="149"/>
        <v>.</v>
      </c>
      <c r="D9571" s="44"/>
      <c r="E9571" s="22" t="str">
        <f>IF(D9571&lt;&gt;"",IFERROR(INDEX(Produtos!$C$4:$C$4996,MATCH(D9571,Produtos!$B$4:$B$4996,0)),"Produto não encontrado"),"")</f>
        <v/>
      </c>
    </row>
    <row r="9572" spans="1:5" x14ac:dyDescent="0.3">
      <c r="A9572" s="21" t="str">
        <f t="shared" si="149"/>
        <v>.</v>
      </c>
      <c r="D9572" s="44"/>
      <c r="E9572" s="22" t="str">
        <f>IF(D9572&lt;&gt;"",IFERROR(INDEX(Produtos!$C$4:$C$4996,MATCH(D9572,Produtos!$B$4:$B$4996,0)),"Produto não encontrado"),"")</f>
        <v/>
      </c>
    </row>
    <row r="9573" spans="1:5" x14ac:dyDescent="0.3">
      <c r="A9573" s="21" t="str">
        <f t="shared" si="149"/>
        <v>.</v>
      </c>
      <c r="D9573" s="44"/>
      <c r="E9573" s="22" t="str">
        <f>IF(D9573&lt;&gt;"",IFERROR(INDEX(Produtos!$C$4:$C$4996,MATCH(D9573,Produtos!$B$4:$B$4996,0)),"Produto não encontrado"),"")</f>
        <v/>
      </c>
    </row>
    <row r="9574" spans="1:5" x14ac:dyDescent="0.3">
      <c r="A9574" s="21" t="str">
        <f t="shared" si="149"/>
        <v>.</v>
      </c>
      <c r="D9574" s="44"/>
      <c r="E9574" s="22" t="str">
        <f>IF(D9574&lt;&gt;"",IFERROR(INDEX(Produtos!$C$4:$C$4996,MATCH(D9574,Produtos!$B$4:$B$4996,0)),"Produto não encontrado"),"")</f>
        <v/>
      </c>
    </row>
    <row r="9575" spans="1:5" x14ac:dyDescent="0.3">
      <c r="A9575" s="21" t="str">
        <f t="shared" si="149"/>
        <v>.</v>
      </c>
      <c r="D9575" s="44"/>
      <c r="E9575" s="22" t="str">
        <f>IF(D9575&lt;&gt;"",IFERROR(INDEX(Produtos!$C$4:$C$4996,MATCH(D9575,Produtos!$B$4:$B$4996,0)),"Produto não encontrado"),"")</f>
        <v/>
      </c>
    </row>
    <row r="9576" spans="1:5" x14ac:dyDescent="0.3">
      <c r="A9576" s="21" t="str">
        <f t="shared" si="149"/>
        <v>.</v>
      </c>
      <c r="D9576" s="44"/>
      <c r="E9576" s="22" t="str">
        <f>IF(D9576&lt;&gt;"",IFERROR(INDEX(Produtos!$C$4:$C$4996,MATCH(D9576,Produtos!$B$4:$B$4996,0)),"Produto não encontrado"),"")</f>
        <v/>
      </c>
    </row>
    <row r="9577" spans="1:5" x14ac:dyDescent="0.3">
      <c r="A9577" s="21" t="str">
        <f t="shared" si="149"/>
        <v>.</v>
      </c>
      <c r="D9577" s="44"/>
      <c r="E9577" s="22" t="str">
        <f>IF(D9577&lt;&gt;"",IFERROR(INDEX(Produtos!$C$4:$C$4996,MATCH(D9577,Produtos!$B$4:$B$4996,0)),"Produto não encontrado"),"")</f>
        <v/>
      </c>
    </row>
    <row r="9578" spans="1:5" x14ac:dyDescent="0.3">
      <c r="A9578" s="21" t="str">
        <f t="shared" si="149"/>
        <v>.</v>
      </c>
      <c r="D9578" s="44"/>
      <c r="E9578" s="22" t="str">
        <f>IF(D9578&lt;&gt;"",IFERROR(INDEX(Produtos!$C$4:$C$4996,MATCH(D9578,Produtos!$B$4:$B$4996,0)),"Produto não encontrado"),"")</f>
        <v/>
      </c>
    </row>
    <row r="9579" spans="1:5" x14ac:dyDescent="0.3">
      <c r="A9579" s="21" t="str">
        <f t="shared" si="149"/>
        <v>.</v>
      </c>
      <c r="D9579" s="44"/>
      <c r="E9579" s="22" t="str">
        <f>IF(D9579&lt;&gt;"",IFERROR(INDEX(Produtos!$C$4:$C$4996,MATCH(D9579,Produtos!$B$4:$B$4996,0)),"Produto não encontrado"),"")</f>
        <v/>
      </c>
    </row>
    <row r="9580" spans="1:5" x14ac:dyDescent="0.3">
      <c r="A9580" s="21" t="str">
        <f t="shared" si="149"/>
        <v>.</v>
      </c>
      <c r="D9580" s="44"/>
      <c r="E9580" s="22" t="str">
        <f>IF(D9580&lt;&gt;"",IFERROR(INDEX(Produtos!$C$4:$C$4996,MATCH(D9580,Produtos!$B$4:$B$4996,0)),"Produto não encontrado"),"")</f>
        <v/>
      </c>
    </row>
    <row r="9581" spans="1:5" x14ac:dyDescent="0.3">
      <c r="A9581" s="21" t="str">
        <f t="shared" si="149"/>
        <v>.</v>
      </c>
      <c r="D9581" s="44"/>
      <c r="E9581" s="22" t="str">
        <f>IF(D9581&lt;&gt;"",IFERROR(INDEX(Produtos!$C$4:$C$4996,MATCH(D9581,Produtos!$B$4:$B$4996,0)),"Produto não encontrado"),"")</f>
        <v/>
      </c>
    </row>
    <row r="9582" spans="1:5" x14ac:dyDescent="0.3">
      <c r="A9582" s="21" t="str">
        <f t="shared" si="149"/>
        <v>.</v>
      </c>
      <c r="D9582" s="44"/>
      <c r="E9582" s="22" t="str">
        <f>IF(D9582&lt;&gt;"",IFERROR(INDEX(Produtos!$C$4:$C$4996,MATCH(D9582,Produtos!$B$4:$B$4996,0)),"Produto não encontrado"),"")</f>
        <v/>
      </c>
    </row>
    <row r="9583" spans="1:5" x14ac:dyDescent="0.3">
      <c r="A9583" s="21" t="str">
        <f t="shared" si="149"/>
        <v>.</v>
      </c>
      <c r="D9583" s="44"/>
      <c r="E9583" s="22" t="str">
        <f>IF(D9583&lt;&gt;"",IFERROR(INDEX(Produtos!$C$4:$C$4996,MATCH(D9583,Produtos!$B$4:$B$4996,0)),"Produto não encontrado"),"")</f>
        <v/>
      </c>
    </row>
    <row r="9584" spans="1:5" x14ac:dyDescent="0.3">
      <c r="A9584" s="21" t="str">
        <f t="shared" si="149"/>
        <v>.</v>
      </c>
      <c r="D9584" s="44"/>
      <c r="E9584" s="22" t="str">
        <f>IF(D9584&lt;&gt;"",IFERROR(INDEX(Produtos!$C$4:$C$4996,MATCH(D9584,Produtos!$B$4:$B$4996,0)),"Produto não encontrado"),"")</f>
        <v/>
      </c>
    </row>
    <row r="9585" spans="1:5" x14ac:dyDescent="0.3">
      <c r="A9585" s="21" t="str">
        <f t="shared" si="149"/>
        <v>.</v>
      </c>
      <c r="D9585" s="44"/>
      <c r="E9585" s="22" t="str">
        <f>IF(D9585&lt;&gt;"",IFERROR(INDEX(Produtos!$C$4:$C$4996,MATCH(D9585,Produtos!$B$4:$B$4996,0)),"Produto não encontrado"),"")</f>
        <v/>
      </c>
    </row>
    <row r="9586" spans="1:5" x14ac:dyDescent="0.3">
      <c r="A9586" s="21" t="str">
        <f t="shared" si="149"/>
        <v>.</v>
      </c>
      <c r="D9586" s="44"/>
      <c r="E9586" s="22" t="str">
        <f>IF(D9586&lt;&gt;"",IFERROR(INDEX(Produtos!$C$4:$C$4996,MATCH(D9586,Produtos!$B$4:$B$4996,0)),"Produto não encontrado"),"")</f>
        <v/>
      </c>
    </row>
    <row r="9587" spans="1:5" x14ac:dyDescent="0.3">
      <c r="A9587" s="21" t="str">
        <f t="shared" si="149"/>
        <v>.</v>
      </c>
      <c r="D9587" s="44"/>
      <c r="E9587" s="22" t="str">
        <f>IF(D9587&lt;&gt;"",IFERROR(INDEX(Produtos!$C$4:$C$4996,MATCH(D9587,Produtos!$B$4:$B$4996,0)),"Produto não encontrado"),"")</f>
        <v/>
      </c>
    </row>
    <row r="9588" spans="1:5" x14ac:dyDescent="0.3">
      <c r="A9588" s="21" t="str">
        <f t="shared" si="149"/>
        <v>.</v>
      </c>
      <c r="D9588" s="44"/>
      <c r="E9588" s="22" t="str">
        <f>IF(D9588&lt;&gt;"",IFERROR(INDEX(Produtos!$C$4:$C$4996,MATCH(D9588,Produtos!$B$4:$B$4996,0)),"Produto não encontrado"),"")</f>
        <v/>
      </c>
    </row>
    <row r="9589" spans="1:5" x14ac:dyDescent="0.3">
      <c r="A9589" s="21" t="str">
        <f t="shared" si="149"/>
        <v>.</v>
      </c>
      <c r="D9589" s="44"/>
      <c r="E9589" s="22" t="str">
        <f>IF(D9589&lt;&gt;"",IFERROR(INDEX(Produtos!$C$4:$C$4996,MATCH(D9589,Produtos!$B$4:$B$4996,0)),"Produto não encontrado"),"")</f>
        <v/>
      </c>
    </row>
    <row r="9590" spans="1:5" x14ac:dyDescent="0.3">
      <c r="A9590" s="21" t="str">
        <f t="shared" si="149"/>
        <v>.</v>
      </c>
      <c r="D9590" s="44"/>
      <c r="E9590" s="22" t="str">
        <f>IF(D9590&lt;&gt;"",IFERROR(INDEX(Produtos!$C$4:$C$4996,MATCH(D9590,Produtos!$B$4:$B$4996,0)),"Produto não encontrado"),"")</f>
        <v/>
      </c>
    </row>
    <row r="9591" spans="1:5" x14ac:dyDescent="0.3">
      <c r="A9591" s="21" t="str">
        <f t="shared" si="149"/>
        <v>.</v>
      </c>
      <c r="D9591" s="44"/>
      <c r="E9591" s="22" t="str">
        <f>IF(D9591&lt;&gt;"",IFERROR(INDEX(Produtos!$C$4:$C$4996,MATCH(D9591,Produtos!$B$4:$B$4996,0)),"Produto não encontrado"),"")</f>
        <v/>
      </c>
    </row>
    <row r="9592" spans="1:5" x14ac:dyDescent="0.3">
      <c r="A9592" s="21" t="str">
        <f t="shared" si="149"/>
        <v>.</v>
      </c>
      <c r="D9592" s="44"/>
      <c r="E9592" s="22" t="str">
        <f>IF(D9592&lt;&gt;"",IFERROR(INDEX(Produtos!$C$4:$C$4996,MATCH(D9592,Produtos!$B$4:$B$4996,0)),"Produto não encontrado"),"")</f>
        <v/>
      </c>
    </row>
    <row r="9593" spans="1:5" x14ac:dyDescent="0.3">
      <c r="A9593" s="21" t="str">
        <f t="shared" si="149"/>
        <v>.</v>
      </c>
      <c r="D9593" s="44"/>
      <c r="E9593" s="22" t="str">
        <f>IF(D9593&lt;&gt;"",IFERROR(INDEX(Produtos!$C$4:$C$4996,MATCH(D9593,Produtos!$B$4:$B$4996,0)),"Produto não encontrado"),"")</f>
        <v/>
      </c>
    </row>
    <row r="9594" spans="1:5" x14ac:dyDescent="0.3">
      <c r="A9594" s="21" t="str">
        <f t="shared" si="149"/>
        <v>.</v>
      </c>
      <c r="D9594" s="44"/>
      <c r="E9594" s="22" t="str">
        <f>IF(D9594&lt;&gt;"",IFERROR(INDEX(Produtos!$C$4:$C$4996,MATCH(D9594,Produtos!$B$4:$B$4996,0)),"Produto não encontrado"),"")</f>
        <v/>
      </c>
    </row>
    <row r="9595" spans="1:5" x14ac:dyDescent="0.3">
      <c r="A9595" s="21" t="str">
        <f t="shared" si="149"/>
        <v>.</v>
      </c>
      <c r="D9595" s="44"/>
      <c r="E9595" s="22" t="str">
        <f>IF(D9595&lt;&gt;"",IFERROR(INDEX(Produtos!$C$4:$C$4996,MATCH(D9595,Produtos!$B$4:$B$4996,0)),"Produto não encontrado"),"")</f>
        <v/>
      </c>
    </row>
    <row r="9596" spans="1:5" x14ac:dyDescent="0.3">
      <c r="A9596" s="21" t="str">
        <f t="shared" si="149"/>
        <v>.</v>
      </c>
      <c r="D9596" s="44"/>
      <c r="E9596" s="22" t="str">
        <f>IF(D9596&lt;&gt;"",IFERROR(INDEX(Produtos!$C$4:$C$4996,MATCH(D9596,Produtos!$B$4:$B$4996,0)),"Produto não encontrado"),"")</f>
        <v/>
      </c>
    </row>
    <row r="9597" spans="1:5" x14ac:dyDescent="0.3">
      <c r="A9597" s="21" t="str">
        <f t="shared" si="149"/>
        <v>.</v>
      </c>
      <c r="D9597" s="44"/>
      <c r="E9597" s="22" t="str">
        <f>IF(D9597&lt;&gt;"",IFERROR(INDEX(Produtos!$C$4:$C$4996,MATCH(D9597,Produtos!$B$4:$B$4996,0)),"Produto não encontrado"),"")</f>
        <v/>
      </c>
    </row>
    <row r="9598" spans="1:5" x14ac:dyDescent="0.3">
      <c r="A9598" s="21" t="str">
        <f t="shared" si="149"/>
        <v>.</v>
      </c>
      <c r="D9598" s="44"/>
      <c r="E9598" s="22" t="str">
        <f>IF(D9598&lt;&gt;"",IFERROR(INDEX(Produtos!$C$4:$C$4996,MATCH(D9598,Produtos!$B$4:$B$4996,0)),"Produto não encontrado"),"")</f>
        <v/>
      </c>
    </row>
    <row r="9599" spans="1:5" x14ac:dyDescent="0.3">
      <c r="A9599" s="21" t="str">
        <f t="shared" si="149"/>
        <v>.</v>
      </c>
      <c r="D9599" s="44"/>
      <c r="E9599" s="22" t="str">
        <f>IF(D9599&lt;&gt;"",IFERROR(INDEX(Produtos!$C$4:$C$4996,MATCH(D9599,Produtos!$B$4:$B$4996,0)),"Produto não encontrado"),"")</f>
        <v/>
      </c>
    </row>
    <row r="9600" spans="1:5" x14ac:dyDescent="0.3">
      <c r="A9600" s="21" t="str">
        <f t="shared" ref="A9600:A9663" si="150">IF(C9600="Entrada",2,IF(C9600="Saída",1,"."))</f>
        <v>.</v>
      </c>
      <c r="D9600" s="44"/>
      <c r="E9600" s="22" t="str">
        <f>IF(D9600&lt;&gt;"",IFERROR(INDEX(Produtos!$C$4:$C$4996,MATCH(D9600,Produtos!$B$4:$B$4996,0)),"Produto não encontrado"),"")</f>
        <v/>
      </c>
    </row>
    <row r="9601" spans="1:5" x14ac:dyDescent="0.3">
      <c r="A9601" s="21" t="str">
        <f t="shared" si="150"/>
        <v>.</v>
      </c>
      <c r="D9601" s="44"/>
      <c r="E9601" s="22" t="str">
        <f>IF(D9601&lt;&gt;"",IFERROR(INDEX(Produtos!$C$4:$C$4996,MATCH(D9601,Produtos!$B$4:$B$4996,0)),"Produto não encontrado"),"")</f>
        <v/>
      </c>
    </row>
    <row r="9602" spans="1:5" x14ac:dyDescent="0.3">
      <c r="A9602" s="21" t="str">
        <f t="shared" si="150"/>
        <v>.</v>
      </c>
      <c r="D9602" s="44"/>
      <c r="E9602" s="22" t="str">
        <f>IF(D9602&lt;&gt;"",IFERROR(INDEX(Produtos!$C$4:$C$4996,MATCH(D9602,Produtos!$B$4:$B$4996,0)),"Produto não encontrado"),"")</f>
        <v/>
      </c>
    </row>
    <row r="9603" spans="1:5" x14ac:dyDescent="0.3">
      <c r="A9603" s="21" t="str">
        <f t="shared" si="150"/>
        <v>.</v>
      </c>
      <c r="D9603" s="44"/>
      <c r="E9603" s="22" t="str">
        <f>IF(D9603&lt;&gt;"",IFERROR(INDEX(Produtos!$C$4:$C$4996,MATCH(D9603,Produtos!$B$4:$B$4996,0)),"Produto não encontrado"),"")</f>
        <v/>
      </c>
    </row>
    <row r="9604" spans="1:5" x14ac:dyDescent="0.3">
      <c r="A9604" s="21" t="str">
        <f t="shared" si="150"/>
        <v>.</v>
      </c>
      <c r="D9604" s="44"/>
      <c r="E9604" s="22" t="str">
        <f>IF(D9604&lt;&gt;"",IFERROR(INDEX(Produtos!$C$4:$C$4996,MATCH(D9604,Produtos!$B$4:$B$4996,0)),"Produto não encontrado"),"")</f>
        <v/>
      </c>
    </row>
    <row r="9605" spans="1:5" x14ac:dyDescent="0.3">
      <c r="A9605" s="21" t="str">
        <f t="shared" si="150"/>
        <v>.</v>
      </c>
      <c r="D9605" s="44"/>
      <c r="E9605" s="22" t="str">
        <f>IF(D9605&lt;&gt;"",IFERROR(INDEX(Produtos!$C$4:$C$4996,MATCH(D9605,Produtos!$B$4:$B$4996,0)),"Produto não encontrado"),"")</f>
        <v/>
      </c>
    </row>
    <row r="9606" spans="1:5" x14ac:dyDescent="0.3">
      <c r="A9606" s="21" t="str">
        <f t="shared" si="150"/>
        <v>.</v>
      </c>
      <c r="D9606" s="44"/>
      <c r="E9606" s="22" t="str">
        <f>IF(D9606&lt;&gt;"",IFERROR(INDEX(Produtos!$C$4:$C$4996,MATCH(D9606,Produtos!$B$4:$B$4996,0)),"Produto não encontrado"),"")</f>
        <v/>
      </c>
    </row>
    <row r="9607" spans="1:5" x14ac:dyDescent="0.3">
      <c r="A9607" s="21" t="str">
        <f t="shared" si="150"/>
        <v>.</v>
      </c>
      <c r="D9607" s="44"/>
      <c r="E9607" s="22" t="str">
        <f>IF(D9607&lt;&gt;"",IFERROR(INDEX(Produtos!$C$4:$C$4996,MATCH(D9607,Produtos!$B$4:$B$4996,0)),"Produto não encontrado"),"")</f>
        <v/>
      </c>
    </row>
    <row r="9608" spans="1:5" x14ac:dyDescent="0.3">
      <c r="A9608" s="21" t="str">
        <f t="shared" si="150"/>
        <v>.</v>
      </c>
      <c r="D9608" s="44"/>
      <c r="E9608" s="22" t="str">
        <f>IF(D9608&lt;&gt;"",IFERROR(INDEX(Produtos!$C$4:$C$4996,MATCH(D9608,Produtos!$B$4:$B$4996,0)),"Produto não encontrado"),"")</f>
        <v/>
      </c>
    </row>
    <row r="9609" spans="1:5" x14ac:dyDescent="0.3">
      <c r="A9609" s="21" t="str">
        <f t="shared" si="150"/>
        <v>.</v>
      </c>
      <c r="D9609" s="44"/>
      <c r="E9609" s="22" t="str">
        <f>IF(D9609&lt;&gt;"",IFERROR(INDEX(Produtos!$C$4:$C$4996,MATCH(D9609,Produtos!$B$4:$B$4996,0)),"Produto não encontrado"),"")</f>
        <v/>
      </c>
    </row>
    <row r="9610" spans="1:5" x14ac:dyDescent="0.3">
      <c r="A9610" s="21" t="str">
        <f t="shared" si="150"/>
        <v>.</v>
      </c>
      <c r="D9610" s="44"/>
      <c r="E9610" s="22" t="str">
        <f>IF(D9610&lt;&gt;"",IFERROR(INDEX(Produtos!$C$4:$C$4996,MATCH(D9610,Produtos!$B$4:$B$4996,0)),"Produto não encontrado"),"")</f>
        <v/>
      </c>
    </row>
    <row r="9611" spans="1:5" x14ac:dyDescent="0.3">
      <c r="A9611" s="21" t="str">
        <f t="shared" si="150"/>
        <v>.</v>
      </c>
      <c r="D9611" s="44"/>
      <c r="E9611" s="22" t="str">
        <f>IF(D9611&lt;&gt;"",IFERROR(INDEX(Produtos!$C$4:$C$4996,MATCH(D9611,Produtos!$B$4:$B$4996,0)),"Produto não encontrado"),"")</f>
        <v/>
      </c>
    </row>
    <row r="9612" spans="1:5" x14ac:dyDescent="0.3">
      <c r="A9612" s="21" t="str">
        <f t="shared" si="150"/>
        <v>.</v>
      </c>
      <c r="D9612" s="44"/>
      <c r="E9612" s="22" t="str">
        <f>IF(D9612&lt;&gt;"",IFERROR(INDEX(Produtos!$C$4:$C$4996,MATCH(D9612,Produtos!$B$4:$B$4996,0)),"Produto não encontrado"),"")</f>
        <v/>
      </c>
    </row>
    <row r="9613" spans="1:5" x14ac:dyDescent="0.3">
      <c r="A9613" s="21" t="str">
        <f t="shared" si="150"/>
        <v>.</v>
      </c>
      <c r="D9613" s="44"/>
      <c r="E9613" s="22" t="str">
        <f>IF(D9613&lt;&gt;"",IFERROR(INDEX(Produtos!$C$4:$C$4996,MATCH(D9613,Produtos!$B$4:$B$4996,0)),"Produto não encontrado"),"")</f>
        <v/>
      </c>
    </row>
    <row r="9614" spans="1:5" x14ac:dyDescent="0.3">
      <c r="A9614" s="21" t="str">
        <f t="shared" si="150"/>
        <v>.</v>
      </c>
      <c r="D9614" s="44"/>
      <c r="E9614" s="22" t="str">
        <f>IF(D9614&lt;&gt;"",IFERROR(INDEX(Produtos!$C$4:$C$4996,MATCH(D9614,Produtos!$B$4:$B$4996,0)),"Produto não encontrado"),"")</f>
        <v/>
      </c>
    </row>
    <row r="9615" spans="1:5" x14ac:dyDescent="0.3">
      <c r="A9615" s="21" t="str">
        <f t="shared" si="150"/>
        <v>.</v>
      </c>
      <c r="D9615" s="44"/>
      <c r="E9615" s="22" t="str">
        <f>IF(D9615&lt;&gt;"",IFERROR(INDEX(Produtos!$C$4:$C$4996,MATCH(D9615,Produtos!$B$4:$B$4996,0)),"Produto não encontrado"),"")</f>
        <v/>
      </c>
    </row>
    <row r="9616" spans="1:5" x14ac:dyDescent="0.3">
      <c r="A9616" s="21" t="str">
        <f t="shared" si="150"/>
        <v>.</v>
      </c>
      <c r="D9616" s="44"/>
      <c r="E9616" s="22" t="str">
        <f>IF(D9616&lt;&gt;"",IFERROR(INDEX(Produtos!$C$4:$C$4996,MATCH(D9616,Produtos!$B$4:$B$4996,0)),"Produto não encontrado"),"")</f>
        <v/>
      </c>
    </row>
    <row r="9617" spans="1:5" x14ac:dyDescent="0.3">
      <c r="A9617" s="21" t="str">
        <f t="shared" si="150"/>
        <v>.</v>
      </c>
      <c r="D9617" s="44"/>
      <c r="E9617" s="22" t="str">
        <f>IF(D9617&lt;&gt;"",IFERROR(INDEX(Produtos!$C$4:$C$4996,MATCH(D9617,Produtos!$B$4:$B$4996,0)),"Produto não encontrado"),"")</f>
        <v/>
      </c>
    </row>
    <row r="9618" spans="1:5" x14ac:dyDescent="0.3">
      <c r="A9618" s="21" t="str">
        <f t="shared" si="150"/>
        <v>.</v>
      </c>
      <c r="D9618" s="44"/>
      <c r="E9618" s="22" t="str">
        <f>IF(D9618&lt;&gt;"",IFERROR(INDEX(Produtos!$C$4:$C$4996,MATCH(D9618,Produtos!$B$4:$B$4996,0)),"Produto não encontrado"),"")</f>
        <v/>
      </c>
    </row>
    <row r="9619" spans="1:5" x14ac:dyDescent="0.3">
      <c r="A9619" s="21" t="str">
        <f t="shared" si="150"/>
        <v>.</v>
      </c>
      <c r="D9619" s="44"/>
      <c r="E9619" s="22" t="str">
        <f>IF(D9619&lt;&gt;"",IFERROR(INDEX(Produtos!$C$4:$C$4996,MATCH(D9619,Produtos!$B$4:$B$4996,0)),"Produto não encontrado"),"")</f>
        <v/>
      </c>
    </row>
    <row r="9620" spans="1:5" x14ac:dyDescent="0.3">
      <c r="A9620" s="21" t="str">
        <f t="shared" si="150"/>
        <v>.</v>
      </c>
      <c r="D9620" s="44"/>
      <c r="E9620" s="22" t="str">
        <f>IF(D9620&lt;&gt;"",IFERROR(INDEX(Produtos!$C$4:$C$4996,MATCH(D9620,Produtos!$B$4:$B$4996,0)),"Produto não encontrado"),"")</f>
        <v/>
      </c>
    </row>
    <row r="9621" spans="1:5" x14ac:dyDescent="0.3">
      <c r="A9621" s="21" t="str">
        <f t="shared" si="150"/>
        <v>.</v>
      </c>
      <c r="D9621" s="44"/>
      <c r="E9621" s="22" t="str">
        <f>IF(D9621&lt;&gt;"",IFERROR(INDEX(Produtos!$C$4:$C$4996,MATCH(D9621,Produtos!$B$4:$B$4996,0)),"Produto não encontrado"),"")</f>
        <v/>
      </c>
    </row>
    <row r="9622" spans="1:5" x14ac:dyDescent="0.3">
      <c r="A9622" s="21" t="str">
        <f t="shared" si="150"/>
        <v>.</v>
      </c>
      <c r="D9622" s="44"/>
      <c r="E9622" s="22" t="str">
        <f>IF(D9622&lt;&gt;"",IFERROR(INDEX(Produtos!$C$4:$C$4996,MATCH(D9622,Produtos!$B$4:$B$4996,0)),"Produto não encontrado"),"")</f>
        <v/>
      </c>
    </row>
    <row r="9623" spans="1:5" x14ac:dyDescent="0.3">
      <c r="A9623" s="21" t="str">
        <f t="shared" si="150"/>
        <v>.</v>
      </c>
      <c r="D9623" s="44"/>
      <c r="E9623" s="22" t="str">
        <f>IF(D9623&lt;&gt;"",IFERROR(INDEX(Produtos!$C$4:$C$4996,MATCH(D9623,Produtos!$B$4:$B$4996,0)),"Produto não encontrado"),"")</f>
        <v/>
      </c>
    </row>
    <row r="9624" spans="1:5" x14ac:dyDescent="0.3">
      <c r="A9624" s="21" t="str">
        <f t="shared" si="150"/>
        <v>.</v>
      </c>
      <c r="D9624" s="44"/>
      <c r="E9624" s="22" t="str">
        <f>IF(D9624&lt;&gt;"",IFERROR(INDEX(Produtos!$C$4:$C$4996,MATCH(D9624,Produtos!$B$4:$B$4996,0)),"Produto não encontrado"),"")</f>
        <v/>
      </c>
    </row>
    <row r="9625" spans="1:5" x14ac:dyDescent="0.3">
      <c r="A9625" s="21" t="str">
        <f t="shared" si="150"/>
        <v>.</v>
      </c>
      <c r="D9625" s="44"/>
      <c r="E9625" s="22" t="str">
        <f>IF(D9625&lt;&gt;"",IFERROR(INDEX(Produtos!$C$4:$C$4996,MATCH(D9625,Produtos!$B$4:$B$4996,0)),"Produto não encontrado"),"")</f>
        <v/>
      </c>
    </row>
    <row r="9626" spans="1:5" x14ac:dyDescent="0.3">
      <c r="A9626" s="21" t="str">
        <f t="shared" si="150"/>
        <v>.</v>
      </c>
      <c r="D9626" s="44"/>
      <c r="E9626" s="22" t="str">
        <f>IF(D9626&lt;&gt;"",IFERROR(INDEX(Produtos!$C$4:$C$4996,MATCH(D9626,Produtos!$B$4:$B$4996,0)),"Produto não encontrado"),"")</f>
        <v/>
      </c>
    </row>
    <row r="9627" spans="1:5" x14ac:dyDescent="0.3">
      <c r="A9627" s="21" t="str">
        <f t="shared" si="150"/>
        <v>.</v>
      </c>
      <c r="D9627" s="44"/>
      <c r="E9627" s="22" t="str">
        <f>IF(D9627&lt;&gt;"",IFERROR(INDEX(Produtos!$C$4:$C$4996,MATCH(D9627,Produtos!$B$4:$B$4996,0)),"Produto não encontrado"),"")</f>
        <v/>
      </c>
    </row>
    <row r="9628" spans="1:5" x14ac:dyDescent="0.3">
      <c r="A9628" s="21" t="str">
        <f t="shared" si="150"/>
        <v>.</v>
      </c>
      <c r="D9628" s="44"/>
      <c r="E9628" s="22" t="str">
        <f>IF(D9628&lt;&gt;"",IFERROR(INDEX(Produtos!$C$4:$C$4996,MATCH(D9628,Produtos!$B$4:$B$4996,0)),"Produto não encontrado"),"")</f>
        <v/>
      </c>
    </row>
    <row r="9629" spans="1:5" x14ac:dyDescent="0.3">
      <c r="A9629" s="21" t="str">
        <f t="shared" si="150"/>
        <v>.</v>
      </c>
      <c r="D9629" s="44"/>
      <c r="E9629" s="22" t="str">
        <f>IF(D9629&lt;&gt;"",IFERROR(INDEX(Produtos!$C$4:$C$4996,MATCH(D9629,Produtos!$B$4:$B$4996,0)),"Produto não encontrado"),"")</f>
        <v/>
      </c>
    </row>
    <row r="9630" spans="1:5" x14ac:dyDescent="0.3">
      <c r="A9630" s="21" t="str">
        <f t="shared" si="150"/>
        <v>.</v>
      </c>
      <c r="D9630" s="44"/>
      <c r="E9630" s="22" t="str">
        <f>IF(D9630&lt;&gt;"",IFERROR(INDEX(Produtos!$C$4:$C$4996,MATCH(D9630,Produtos!$B$4:$B$4996,0)),"Produto não encontrado"),"")</f>
        <v/>
      </c>
    </row>
    <row r="9631" spans="1:5" x14ac:dyDescent="0.3">
      <c r="A9631" s="21" t="str">
        <f t="shared" si="150"/>
        <v>.</v>
      </c>
      <c r="D9631" s="44"/>
      <c r="E9631" s="22" t="str">
        <f>IF(D9631&lt;&gt;"",IFERROR(INDEX(Produtos!$C$4:$C$4996,MATCH(D9631,Produtos!$B$4:$B$4996,0)),"Produto não encontrado"),"")</f>
        <v/>
      </c>
    </row>
    <row r="9632" spans="1:5" x14ac:dyDescent="0.3">
      <c r="A9632" s="21" t="str">
        <f t="shared" si="150"/>
        <v>.</v>
      </c>
      <c r="D9632" s="44"/>
      <c r="E9632" s="22" t="str">
        <f>IF(D9632&lt;&gt;"",IFERROR(INDEX(Produtos!$C$4:$C$4996,MATCH(D9632,Produtos!$B$4:$B$4996,0)),"Produto não encontrado"),"")</f>
        <v/>
      </c>
    </row>
    <row r="9633" spans="1:5" x14ac:dyDescent="0.3">
      <c r="A9633" s="21" t="str">
        <f t="shared" si="150"/>
        <v>.</v>
      </c>
      <c r="D9633" s="44"/>
      <c r="E9633" s="22" t="str">
        <f>IF(D9633&lt;&gt;"",IFERROR(INDEX(Produtos!$C$4:$C$4996,MATCH(D9633,Produtos!$B$4:$B$4996,0)),"Produto não encontrado"),"")</f>
        <v/>
      </c>
    </row>
    <row r="9634" spans="1:5" x14ac:dyDescent="0.3">
      <c r="A9634" s="21" t="str">
        <f t="shared" si="150"/>
        <v>.</v>
      </c>
      <c r="D9634" s="44"/>
      <c r="E9634" s="22" t="str">
        <f>IF(D9634&lt;&gt;"",IFERROR(INDEX(Produtos!$C$4:$C$4996,MATCH(D9634,Produtos!$B$4:$B$4996,0)),"Produto não encontrado"),"")</f>
        <v/>
      </c>
    </row>
    <row r="9635" spans="1:5" x14ac:dyDescent="0.3">
      <c r="A9635" s="21" t="str">
        <f t="shared" si="150"/>
        <v>.</v>
      </c>
      <c r="D9635" s="44"/>
      <c r="E9635" s="22" t="str">
        <f>IF(D9635&lt;&gt;"",IFERROR(INDEX(Produtos!$C$4:$C$4996,MATCH(D9635,Produtos!$B$4:$B$4996,0)),"Produto não encontrado"),"")</f>
        <v/>
      </c>
    </row>
    <row r="9636" spans="1:5" x14ac:dyDescent="0.3">
      <c r="A9636" s="21" t="str">
        <f t="shared" si="150"/>
        <v>.</v>
      </c>
      <c r="D9636" s="44"/>
      <c r="E9636" s="22" t="str">
        <f>IF(D9636&lt;&gt;"",IFERROR(INDEX(Produtos!$C$4:$C$4996,MATCH(D9636,Produtos!$B$4:$B$4996,0)),"Produto não encontrado"),"")</f>
        <v/>
      </c>
    </row>
    <row r="9637" spans="1:5" x14ac:dyDescent="0.3">
      <c r="A9637" s="21" t="str">
        <f t="shared" si="150"/>
        <v>.</v>
      </c>
      <c r="D9637" s="44"/>
      <c r="E9637" s="22" t="str">
        <f>IF(D9637&lt;&gt;"",IFERROR(INDEX(Produtos!$C$4:$C$4996,MATCH(D9637,Produtos!$B$4:$B$4996,0)),"Produto não encontrado"),"")</f>
        <v/>
      </c>
    </row>
    <row r="9638" spans="1:5" x14ac:dyDescent="0.3">
      <c r="A9638" s="21" t="str">
        <f t="shared" si="150"/>
        <v>.</v>
      </c>
      <c r="D9638" s="44"/>
      <c r="E9638" s="22" t="str">
        <f>IF(D9638&lt;&gt;"",IFERROR(INDEX(Produtos!$C$4:$C$4996,MATCH(D9638,Produtos!$B$4:$B$4996,0)),"Produto não encontrado"),"")</f>
        <v/>
      </c>
    </row>
    <row r="9639" spans="1:5" x14ac:dyDescent="0.3">
      <c r="A9639" s="21" t="str">
        <f t="shared" si="150"/>
        <v>.</v>
      </c>
      <c r="D9639" s="44"/>
      <c r="E9639" s="22" t="str">
        <f>IF(D9639&lt;&gt;"",IFERROR(INDEX(Produtos!$C$4:$C$4996,MATCH(D9639,Produtos!$B$4:$B$4996,0)),"Produto não encontrado"),"")</f>
        <v/>
      </c>
    </row>
    <row r="9640" spans="1:5" x14ac:dyDescent="0.3">
      <c r="A9640" s="21" t="str">
        <f t="shared" si="150"/>
        <v>.</v>
      </c>
      <c r="D9640" s="44"/>
      <c r="E9640" s="22" t="str">
        <f>IF(D9640&lt;&gt;"",IFERROR(INDEX(Produtos!$C$4:$C$4996,MATCH(D9640,Produtos!$B$4:$B$4996,0)),"Produto não encontrado"),"")</f>
        <v/>
      </c>
    </row>
    <row r="9641" spans="1:5" x14ac:dyDescent="0.3">
      <c r="A9641" s="21" t="str">
        <f t="shared" si="150"/>
        <v>.</v>
      </c>
      <c r="D9641" s="44"/>
      <c r="E9641" s="22" t="str">
        <f>IF(D9641&lt;&gt;"",IFERROR(INDEX(Produtos!$C$4:$C$4996,MATCH(D9641,Produtos!$B$4:$B$4996,0)),"Produto não encontrado"),"")</f>
        <v/>
      </c>
    </row>
    <row r="9642" spans="1:5" x14ac:dyDescent="0.3">
      <c r="A9642" s="21" t="str">
        <f t="shared" si="150"/>
        <v>.</v>
      </c>
      <c r="D9642" s="44"/>
      <c r="E9642" s="22" t="str">
        <f>IF(D9642&lt;&gt;"",IFERROR(INDEX(Produtos!$C$4:$C$4996,MATCH(D9642,Produtos!$B$4:$B$4996,0)),"Produto não encontrado"),"")</f>
        <v/>
      </c>
    </row>
    <row r="9643" spans="1:5" x14ac:dyDescent="0.3">
      <c r="A9643" s="21" t="str">
        <f t="shared" si="150"/>
        <v>.</v>
      </c>
      <c r="D9643" s="44"/>
      <c r="E9643" s="22" t="str">
        <f>IF(D9643&lt;&gt;"",IFERROR(INDEX(Produtos!$C$4:$C$4996,MATCH(D9643,Produtos!$B$4:$B$4996,0)),"Produto não encontrado"),"")</f>
        <v/>
      </c>
    </row>
    <row r="9644" spans="1:5" x14ac:dyDescent="0.3">
      <c r="A9644" s="21" t="str">
        <f t="shared" si="150"/>
        <v>.</v>
      </c>
      <c r="D9644" s="44"/>
      <c r="E9644" s="22" t="str">
        <f>IF(D9644&lt;&gt;"",IFERROR(INDEX(Produtos!$C$4:$C$4996,MATCH(D9644,Produtos!$B$4:$B$4996,0)),"Produto não encontrado"),"")</f>
        <v/>
      </c>
    </row>
    <row r="9645" spans="1:5" x14ac:dyDescent="0.3">
      <c r="A9645" s="21" t="str">
        <f t="shared" si="150"/>
        <v>.</v>
      </c>
      <c r="D9645" s="44"/>
      <c r="E9645" s="22" t="str">
        <f>IF(D9645&lt;&gt;"",IFERROR(INDEX(Produtos!$C$4:$C$4996,MATCH(D9645,Produtos!$B$4:$B$4996,0)),"Produto não encontrado"),"")</f>
        <v/>
      </c>
    </row>
    <row r="9646" spans="1:5" x14ac:dyDescent="0.3">
      <c r="A9646" s="21" t="str">
        <f t="shared" si="150"/>
        <v>.</v>
      </c>
      <c r="D9646" s="44"/>
      <c r="E9646" s="22" t="str">
        <f>IF(D9646&lt;&gt;"",IFERROR(INDEX(Produtos!$C$4:$C$4996,MATCH(D9646,Produtos!$B$4:$B$4996,0)),"Produto não encontrado"),"")</f>
        <v/>
      </c>
    </row>
    <row r="9647" spans="1:5" x14ac:dyDescent="0.3">
      <c r="A9647" s="21" t="str">
        <f t="shared" si="150"/>
        <v>.</v>
      </c>
      <c r="D9647" s="44"/>
      <c r="E9647" s="22" t="str">
        <f>IF(D9647&lt;&gt;"",IFERROR(INDEX(Produtos!$C$4:$C$4996,MATCH(D9647,Produtos!$B$4:$B$4996,0)),"Produto não encontrado"),"")</f>
        <v/>
      </c>
    </row>
    <row r="9648" spans="1:5" x14ac:dyDescent="0.3">
      <c r="A9648" s="21" t="str">
        <f t="shared" si="150"/>
        <v>.</v>
      </c>
      <c r="D9648" s="44"/>
      <c r="E9648" s="22" t="str">
        <f>IF(D9648&lt;&gt;"",IFERROR(INDEX(Produtos!$C$4:$C$4996,MATCH(D9648,Produtos!$B$4:$B$4996,0)),"Produto não encontrado"),"")</f>
        <v/>
      </c>
    </row>
    <row r="9649" spans="1:5" x14ac:dyDescent="0.3">
      <c r="A9649" s="21" t="str">
        <f t="shared" si="150"/>
        <v>.</v>
      </c>
      <c r="D9649" s="44"/>
      <c r="E9649" s="22" t="str">
        <f>IF(D9649&lt;&gt;"",IFERROR(INDEX(Produtos!$C$4:$C$4996,MATCH(D9649,Produtos!$B$4:$B$4996,0)),"Produto não encontrado"),"")</f>
        <v/>
      </c>
    </row>
    <row r="9650" spans="1:5" x14ac:dyDescent="0.3">
      <c r="A9650" s="21" t="str">
        <f t="shared" si="150"/>
        <v>.</v>
      </c>
      <c r="D9650" s="44"/>
      <c r="E9650" s="22" t="str">
        <f>IF(D9650&lt;&gt;"",IFERROR(INDEX(Produtos!$C$4:$C$4996,MATCH(D9650,Produtos!$B$4:$B$4996,0)),"Produto não encontrado"),"")</f>
        <v/>
      </c>
    </row>
    <row r="9651" spans="1:5" x14ac:dyDescent="0.3">
      <c r="A9651" s="21" t="str">
        <f t="shared" si="150"/>
        <v>.</v>
      </c>
      <c r="D9651" s="44"/>
      <c r="E9651" s="22" t="str">
        <f>IF(D9651&lt;&gt;"",IFERROR(INDEX(Produtos!$C$4:$C$4996,MATCH(D9651,Produtos!$B$4:$B$4996,0)),"Produto não encontrado"),"")</f>
        <v/>
      </c>
    </row>
    <row r="9652" spans="1:5" x14ac:dyDescent="0.3">
      <c r="A9652" s="21" t="str">
        <f t="shared" si="150"/>
        <v>.</v>
      </c>
      <c r="D9652" s="44"/>
      <c r="E9652" s="22" t="str">
        <f>IF(D9652&lt;&gt;"",IFERROR(INDEX(Produtos!$C$4:$C$4996,MATCH(D9652,Produtos!$B$4:$B$4996,0)),"Produto não encontrado"),"")</f>
        <v/>
      </c>
    </row>
    <row r="9653" spans="1:5" x14ac:dyDescent="0.3">
      <c r="A9653" s="21" t="str">
        <f t="shared" si="150"/>
        <v>.</v>
      </c>
      <c r="D9653" s="44"/>
      <c r="E9653" s="22" t="str">
        <f>IF(D9653&lt;&gt;"",IFERROR(INDEX(Produtos!$C$4:$C$4996,MATCH(D9653,Produtos!$B$4:$B$4996,0)),"Produto não encontrado"),"")</f>
        <v/>
      </c>
    </row>
    <row r="9654" spans="1:5" x14ac:dyDescent="0.3">
      <c r="A9654" s="21" t="str">
        <f t="shared" si="150"/>
        <v>.</v>
      </c>
      <c r="D9654" s="44"/>
      <c r="E9654" s="22" t="str">
        <f>IF(D9654&lt;&gt;"",IFERROR(INDEX(Produtos!$C$4:$C$4996,MATCH(D9654,Produtos!$B$4:$B$4996,0)),"Produto não encontrado"),"")</f>
        <v/>
      </c>
    </row>
    <row r="9655" spans="1:5" x14ac:dyDescent="0.3">
      <c r="A9655" s="21" t="str">
        <f t="shared" si="150"/>
        <v>.</v>
      </c>
      <c r="D9655" s="44"/>
      <c r="E9655" s="22" t="str">
        <f>IF(D9655&lt;&gt;"",IFERROR(INDEX(Produtos!$C$4:$C$4996,MATCH(D9655,Produtos!$B$4:$B$4996,0)),"Produto não encontrado"),"")</f>
        <v/>
      </c>
    </row>
    <row r="9656" spans="1:5" x14ac:dyDescent="0.3">
      <c r="A9656" s="21" t="str">
        <f t="shared" si="150"/>
        <v>.</v>
      </c>
      <c r="D9656" s="44"/>
      <c r="E9656" s="22" t="str">
        <f>IF(D9656&lt;&gt;"",IFERROR(INDEX(Produtos!$C$4:$C$4996,MATCH(D9656,Produtos!$B$4:$B$4996,0)),"Produto não encontrado"),"")</f>
        <v/>
      </c>
    </row>
    <row r="9657" spans="1:5" x14ac:dyDescent="0.3">
      <c r="A9657" s="21" t="str">
        <f t="shared" si="150"/>
        <v>.</v>
      </c>
      <c r="D9657" s="44"/>
      <c r="E9657" s="22" t="str">
        <f>IF(D9657&lt;&gt;"",IFERROR(INDEX(Produtos!$C$4:$C$4996,MATCH(D9657,Produtos!$B$4:$B$4996,0)),"Produto não encontrado"),"")</f>
        <v/>
      </c>
    </row>
    <row r="9658" spans="1:5" x14ac:dyDescent="0.3">
      <c r="A9658" s="21" t="str">
        <f t="shared" si="150"/>
        <v>.</v>
      </c>
      <c r="D9658" s="44"/>
      <c r="E9658" s="22" t="str">
        <f>IF(D9658&lt;&gt;"",IFERROR(INDEX(Produtos!$C$4:$C$4996,MATCH(D9658,Produtos!$B$4:$B$4996,0)),"Produto não encontrado"),"")</f>
        <v/>
      </c>
    </row>
    <row r="9659" spans="1:5" x14ac:dyDescent="0.3">
      <c r="A9659" s="21" t="str">
        <f t="shared" si="150"/>
        <v>.</v>
      </c>
      <c r="D9659" s="44"/>
      <c r="E9659" s="22" t="str">
        <f>IF(D9659&lt;&gt;"",IFERROR(INDEX(Produtos!$C$4:$C$4996,MATCH(D9659,Produtos!$B$4:$B$4996,0)),"Produto não encontrado"),"")</f>
        <v/>
      </c>
    </row>
    <row r="9660" spans="1:5" x14ac:dyDescent="0.3">
      <c r="A9660" s="21" t="str">
        <f t="shared" si="150"/>
        <v>.</v>
      </c>
      <c r="D9660" s="44"/>
      <c r="E9660" s="22" t="str">
        <f>IF(D9660&lt;&gt;"",IFERROR(INDEX(Produtos!$C$4:$C$4996,MATCH(D9660,Produtos!$B$4:$B$4996,0)),"Produto não encontrado"),"")</f>
        <v/>
      </c>
    </row>
    <row r="9661" spans="1:5" x14ac:dyDescent="0.3">
      <c r="A9661" s="21" t="str">
        <f t="shared" si="150"/>
        <v>.</v>
      </c>
      <c r="D9661" s="44"/>
      <c r="E9661" s="22" t="str">
        <f>IF(D9661&lt;&gt;"",IFERROR(INDEX(Produtos!$C$4:$C$4996,MATCH(D9661,Produtos!$B$4:$B$4996,0)),"Produto não encontrado"),"")</f>
        <v/>
      </c>
    </row>
    <row r="9662" spans="1:5" x14ac:dyDescent="0.3">
      <c r="A9662" s="21" t="str">
        <f t="shared" si="150"/>
        <v>.</v>
      </c>
      <c r="D9662" s="44"/>
      <c r="E9662" s="22" t="str">
        <f>IF(D9662&lt;&gt;"",IFERROR(INDEX(Produtos!$C$4:$C$4996,MATCH(D9662,Produtos!$B$4:$B$4996,0)),"Produto não encontrado"),"")</f>
        <v/>
      </c>
    </row>
    <row r="9663" spans="1:5" x14ac:dyDescent="0.3">
      <c r="A9663" s="21" t="str">
        <f t="shared" si="150"/>
        <v>.</v>
      </c>
      <c r="D9663" s="44"/>
      <c r="E9663" s="22" t="str">
        <f>IF(D9663&lt;&gt;"",IFERROR(INDEX(Produtos!$C$4:$C$4996,MATCH(D9663,Produtos!$B$4:$B$4996,0)),"Produto não encontrado"),"")</f>
        <v/>
      </c>
    </row>
    <row r="9664" spans="1:5" x14ac:dyDescent="0.3">
      <c r="A9664" s="21" t="str">
        <f t="shared" ref="A9664:A9727" si="151">IF(C9664="Entrada",2,IF(C9664="Saída",1,"."))</f>
        <v>.</v>
      </c>
      <c r="D9664" s="44"/>
      <c r="E9664" s="22" t="str">
        <f>IF(D9664&lt;&gt;"",IFERROR(INDEX(Produtos!$C$4:$C$4996,MATCH(D9664,Produtos!$B$4:$B$4996,0)),"Produto não encontrado"),"")</f>
        <v/>
      </c>
    </row>
    <row r="9665" spans="1:5" x14ac:dyDescent="0.3">
      <c r="A9665" s="21" t="str">
        <f t="shared" si="151"/>
        <v>.</v>
      </c>
      <c r="D9665" s="44"/>
      <c r="E9665" s="22" t="str">
        <f>IF(D9665&lt;&gt;"",IFERROR(INDEX(Produtos!$C$4:$C$4996,MATCH(D9665,Produtos!$B$4:$B$4996,0)),"Produto não encontrado"),"")</f>
        <v/>
      </c>
    </row>
    <row r="9666" spans="1:5" x14ac:dyDescent="0.3">
      <c r="A9666" s="21" t="str">
        <f t="shared" si="151"/>
        <v>.</v>
      </c>
      <c r="D9666" s="44"/>
      <c r="E9666" s="22" t="str">
        <f>IF(D9666&lt;&gt;"",IFERROR(INDEX(Produtos!$C$4:$C$4996,MATCH(D9666,Produtos!$B$4:$B$4996,0)),"Produto não encontrado"),"")</f>
        <v/>
      </c>
    </row>
    <row r="9667" spans="1:5" x14ac:dyDescent="0.3">
      <c r="A9667" s="21" t="str">
        <f t="shared" si="151"/>
        <v>.</v>
      </c>
      <c r="D9667" s="44"/>
      <c r="E9667" s="22" t="str">
        <f>IF(D9667&lt;&gt;"",IFERROR(INDEX(Produtos!$C$4:$C$4996,MATCH(D9667,Produtos!$B$4:$B$4996,0)),"Produto não encontrado"),"")</f>
        <v/>
      </c>
    </row>
    <row r="9668" spans="1:5" x14ac:dyDescent="0.3">
      <c r="A9668" s="21" t="str">
        <f t="shared" si="151"/>
        <v>.</v>
      </c>
      <c r="D9668" s="44"/>
      <c r="E9668" s="22" t="str">
        <f>IF(D9668&lt;&gt;"",IFERROR(INDEX(Produtos!$C$4:$C$4996,MATCH(D9668,Produtos!$B$4:$B$4996,0)),"Produto não encontrado"),"")</f>
        <v/>
      </c>
    </row>
    <row r="9669" spans="1:5" x14ac:dyDescent="0.3">
      <c r="A9669" s="21" t="str">
        <f t="shared" si="151"/>
        <v>.</v>
      </c>
      <c r="D9669" s="44"/>
      <c r="E9669" s="22" t="str">
        <f>IF(D9669&lt;&gt;"",IFERROR(INDEX(Produtos!$C$4:$C$4996,MATCH(D9669,Produtos!$B$4:$B$4996,0)),"Produto não encontrado"),"")</f>
        <v/>
      </c>
    </row>
    <row r="9670" spans="1:5" x14ac:dyDescent="0.3">
      <c r="A9670" s="21" t="str">
        <f t="shared" si="151"/>
        <v>.</v>
      </c>
      <c r="D9670" s="44"/>
      <c r="E9670" s="22" t="str">
        <f>IF(D9670&lt;&gt;"",IFERROR(INDEX(Produtos!$C$4:$C$4996,MATCH(D9670,Produtos!$B$4:$B$4996,0)),"Produto não encontrado"),"")</f>
        <v/>
      </c>
    </row>
    <row r="9671" spans="1:5" x14ac:dyDescent="0.3">
      <c r="A9671" s="21" t="str">
        <f t="shared" si="151"/>
        <v>.</v>
      </c>
      <c r="D9671" s="44"/>
      <c r="E9671" s="22" t="str">
        <f>IF(D9671&lt;&gt;"",IFERROR(INDEX(Produtos!$C$4:$C$4996,MATCH(D9671,Produtos!$B$4:$B$4996,0)),"Produto não encontrado"),"")</f>
        <v/>
      </c>
    </row>
    <row r="9672" spans="1:5" x14ac:dyDescent="0.3">
      <c r="A9672" s="21" t="str">
        <f t="shared" si="151"/>
        <v>.</v>
      </c>
      <c r="D9672" s="44"/>
      <c r="E9672" s="22" t="str">
        <f>IF(D9672&lt;&gt;"",IFERROR(INDEX(Produtos!$C$4:$C$4996,MATCH(D9672,Produtos!$B$4:$B$4996,0)),"Produto não encontrado"),"")</f>
        <v/>
      </c>
    </row>
    <row r="9673" spans="1:5" x14ac:dyDescent="0.3">
      <c r="A9673" s="21" t="str">
        <f t="shared" si="151"/>
        <v>.</v>
      </c>
      <c r="D9673" s="44"/>
      <c r="E9673" s="22" t="str">
        <f>IF(D9673&lt;&gt;"",IFERROR(INDEX(Produtos!$C$4:$C$4996,MATCH(D9673,Produtos!$B$4:$B$4996,0)),"Produto não encontrado"),"")</f>
        <v/>
      </c>
    </row>
    <row r="9674" spans="1:5" x14ac:dyDescent="0.3">
      <c r="A9674" s="21" t="str">
        <f t="shared" si="151"/>
        <v>.</v>
      </c>
      <c r="D9674" s="44"/>
      <c r="E9674" s="22" t="str">
        <f>IF(D9674&lt;&gt;"",IFERROR(INDEX(Produtos!$C$4:$C$4996,MATCH(D9674,Produtos!$B$4:$B$4996,0)),"Produto não encontrado"),"")</f>
        <v/>
      </c>
    </row>
    <row r="9675" spans="1:5" x14ac:dyDescent="0.3">
      <c r="A9675" s="21" t="str">
        <f t="shared" si="151"/>
        <v>.</v>
      </c>
      <c r="D9675" s="44"/>
      <c r="E9675" s="22" t="str">
        <f>IF(D9675&lt;&gt;"",IFERROR(INDEX(Produtos!$C$4:$C$4996,MATCH(D9675,Produtos!$B$4:$B$4996,0)),"Produto não encontrado"),"")</f>
        <v/>
      </c>
    </row>
    <row r="9676" spans="1:5" x14ac:dyDescent="0.3">
      <c r="A9676" s="21" t="str">
        <f t="shared" si="151"/>
        <v>.</v>
      </c>
      <c r="D9676" s="44"/>
      <c r="E9676" s="22" t="str">
        <f>IF(D9676&lt;&gt;"",IFERROR(INDEX(Produtos!$C$4:$C$4996,MATCH(D9676,Produtos!$B$4:$B$4996,0)),"Produto não encontrado"),"")</f>
        <v/>
      </c>
    </row>
    <row r="9677" spans="1:5" x14ac:dyDescent="0.3">
      <c r="A9677" s="21" t="str">
        <f t="shared" si="151"/>
        <v>.</v>
      </c>
      <c r="D9677" s="44"/>
      <c r="E9677" s="22" t="str">
        <f>IF(D9677&lt;&gt;"",IFERROR(INDEX(Produtos!$C$4:$C$4996,MATCH(D9677,Produtos!$B$4:$B$4996,0)),"Produto não encontrado"),"")</f>
        <v/>
      </c>
    </row>
    <row r="9678" spans="1:5" x14ac:dyDescent="0.3">
      <c r="A9678" s="21" t="str">
        <f t="shared" si="151"/>
        <v>.</v>
      </c>
      <c r="D9678" s="44"/>
      <c r="E9678" s="22" t="str">
        <f>IF(D9678&lt;&gt;"",IFERROR(INDEX(Produtos!$C$4:$C$4996,MATCH(D9678,Produtos!$B$4:$B$4996,0)),"Produto não encontrado"),"")</f>
        <v/>
      </c>
    </row>
    <row r="9679" spans="1:5" x14ac:dyDescent="0.3">
      <c r="A9679" s="21" t="str">
        <f t="shared" si="151"/>
        <v>.</v>
      </c>
      <c r="D9679" s="44"/>
      <c r="E9679" s="22" t="str">
        <f>IF(D9679&lt;&gt;"",IFERROR(INDEX(Produtos!$C$4:$C$4996,MATCH(D9679,Produtos!$B$4:$B$4996,0)),"Produto não encontrado"),"")</f>
        <v/>
      </c>
    </row>
    <row r="9680" spans="1:5" x14ac:dyDescent="0.3">
      <c r="A9680" s="21" t="str">
        <f t="shared" si="151"/>
        <v>.</v>
      </c>
      <c r="D9680" s="44"/>
      <c r="E9680" s="22" t="str">
        <f>IF(D9680&lt;&gt;"",IFERROR(INDEX(Produtos!$C$4:$C$4996,MATCH(D9680,Produtos!$B$4:$B$4996,0)),"Produto não encontrado"),"")</f>
        <v/>
      </c>
    </row>
    <row r="9681" spans="1:5" x14ac:dyDescent="0.3">
      <c r="A9681" s="21" t="str">
        <f t="shared" si="151"/>
        <v>.</v>
      </c>
      <c r="D9681" s="44"/>
      <c r="E9681" s="22" t="str">
        <f>IF(D9681&lt;&gt;"",IFERROR(INDEX(Produtos!$C$4:$C$4996,MATCH(D9681,Produtos!$B$4:$B$4996,0)),"Produto não encontrado"),"")</f>
        <v/>
      </c>
    </row>
    <row r="9682" spans="1:5" x14ac:dyDescent="0.3">
      <c r="A9682" s="21" t="str">
        <f t="shared" si="151"/>
        <v>.</v>
      </c>
      <c r="D9682" s="44"/>
      <c r="E9682" s="22" t="str">
        <f>IF(D9682&lt;&gt;"",IFERROR(INDEX(Produtos!$C$4:$C$4996,MATCH(D9682,Produtos!$B$4:$B$4996,0)),"Produto não encontrado"),"")</f>
        <v/>
      </c>
    </row>
    <row r="9683" spans="1:5" x14ac:dyDescent="0.3">
      <c r="A9683" s="21" t="str">
        <f t="shared" si="151"/>
        <v>.</v>
      </c>
      <c r="D9683" s="44"/>
      <c r="E9683" s="22" t="str">
        <f>IF(D9683&lt;&gt;"",IFERROR(INDEX(Produtos!$C$4:$C$4996,MATCH(D9683,Produtos!$B$4:$B$4996,0)),"Produto não encontrado"),"")</f>
        <v/>
      </c>
    </row>
    <row r="9684" spans="1:5" x14ac:dyDescent="0.3">
      <c r="A9684" s="21" t="str">
        <f t="shared" si="151"/>
        <v>.</v>
      </c>
      <c r="D9684" s="44"/>
      <c r="E9684" s="22" t="str">
        <f>IF(D9684&lt;&gt;"",IFERROR(INDEX(Produtos!$C$4:$C$4996,MATCH(D9684,Produtos!$B$4:$B$4996,0)),"Produto não encontrado"),"")</f>
        <v/>
      </c>
    </row>
    <row r="9685" spans="1:5" x14ac:dyDescent="0.3">
      <c r="A9685" s="21" t="str">
        <f t="shared" si="151"/>
        <v>.</v>
      </c>
      <c r="D9685" s="44"/>
      <c r="E9685" s="22" t="str">
        <f>IF(D9685&lt;&gt;"",IFERROR(INDEX(Produtos!$C$4:$C$4996,MATCH(D9685,Produtos!$B$4:$B$4996,0)),"Produto não encontrado"),"")</f>
        <v/>
      </c>
    </row>
    <row r="9686" spans="1:5" x14ac:dyDescent="0.3">
      <c r="A9686" s="21" t="str">
        <f t="shared" si="151"/>
        <v>.</v>
      </c>
      <c r="D9686" s="44"/>
      <c r="E9686" s="22" t="str">
        <f>IF(D9686&lt;&gt;"",IFERROR(INDEX(Produtos!$C$4:$C$4996,MATCH(D9686,Produtos!$B$4:$B$4996,0)),"Produto não encontrado"),"")</f>
        <v/>
      </c>
    </row>
    <row r="9687" spans="1:5" x14ac:dyDescent="0.3">
      <c r="A9687" s="21" t="str">
        <f t="shared" si="151"/>
        <v>.</v>
      </c>
      <c r="D9687" s="44"/>
      <c r="E9687" s="22" t="str">
        <f>IF(D9687&lt;&gt;"",IFERROR(INDEX(Produtos!$C$4:$C$4996,MATCH(D9687,Produtos!$B$4:$B$4996,0)),"Produto não encontrado"),"")</f>
        <v/>
      </c>
    </row>
    <row r="9688" spans="1:5" x14ac:dyDescent="0.3">
      <c r="A9688" s="21" t="str">
        <f t="shared" si="151"/>
        <v>.</v>
      </c>
      <c r="D9688" s="44"/>
      <c r="E9688" s="22" t="str">
        <f>IF(D9688&lt;&gt;"",IFERROR(INDEX(Produtos!$C$4:$C$4996,MATCH(D9688,Produtos!$B$4:$B$4996,0)),"Produto não encontrado"),"")</f>
        <v/>
      </c>
    </row>
    <row r="9689" spans="1:5" x14ac:dyDescent="0.3">
      <c r="A9689" s="21" t="str">
        <f t="shared" si="151"/>
        <v>.</v>
      </c>
      <c r="D9689" s="44"/>
      <c r="E9689" s="22" t="str">
        <f>IF(D9689&lt;&gt;"",IFERROR(INDEX(Produtos!$C$4:$C$4996,MATCH(D9689,Produtos!$B$4:$B$4996,0)),"Produto não encontrado"),"")</f>
        <v/>
      </c>
    </row>
    <row r="9690" spans="1:5" x14ac:dyDescent="0.3">
      <c r="A9690" s="21" t="str">
        <f t="shared" si="151"/>
        <v>.</v>
      </c>
      <c r="D9690" s="44"/>
      <c r="E9690" s="22" t="str">
        <f>IF(D9690&lt;&gt;"",IFERROR(INDEX(Produtos!$C$4:$C$4996,MATCH(D9690,Produtos!$B$4:$B$4996,0)),"Produto não encontrado"),"")</f>
        <v/>
      </c>
    </row>
    <row r="9691" spans="1:5" x14ac:dyDescent="0.3">
      <c r="A9691" s="21" t="str">
        <f t="shared" si="151"/>
        <v>.</v>
      </c>
      <c r="D9691" s="44"/>
      <c r="E9691" s="22" t="str">
        <f>IF(D9691&lt;&gt;"",IFERROR(INDEX(Produtos!$C$4:$C$4996,MATCH(D9691,Produtos!$B$4:$B$4996,0)),"Produto não encontrado"),"")</f>
        <v/>
      </c>
    </row>
    <row r="9692" spans="1:5" x14ac:dyDescent="0.3">
      <c r="A9692" s="21" t="str">
        <f t="shared" si="151"/>
        <v>.</v>
      </c>
      <c r="D9692" s="44"/>
      <c r="E9692" s="22" t="str">
        <f>IF(D9692&lt;&gt;"",IFERROR(INDEX(Produtos!$C$4:$C$4996,MATCH(D9692,Produtos!$B$4:$B$4996,0)),"Produto não encontrado"),"")</f>
        <v/>
      </c>
    </row>
    <row r="9693" spans="1:5" x14ac:dyDescent="0.3">
      <c r="A9693" s="21" t="str">
        <f t="shared" si="151"/>
        <v>.</v>
      </c>
      <c r="D9693" s="44"/>
      <c r="E9693" s="22" t="str">
        <f>IF(D9693&lt;&gt;"",IFERROR(INDEX(Produtos!$C$4:$C$4996,MATCH(D9693,Produtos!$B$4:$B$4996,0)),"Produto não encontrado"),"")</f>
        <v/>
      </c>
    </row>
    <row r="9694" spans="1:5" x14ac:dyDescent="0.3">
      <c r="A9694" s="21" t="str">
        <f t="shared" si="151"/>
        <v>.</v>
      </c>
      <c r="D9694" s="44"/>
      <c r="E9694" s="22" t="str">
        <f>IF(D9694&lt;&gt;"",IFERROR(INDEX(Produtos!$C$4:$C$4996,MATCH(D9694,Produtos!$B$4:$B$4996,0)),"Produto não encontrado"),"")</f>
        <v/>
      </c>
    </row>
    <row r="9695" spans="1:5" x14ac:dyDescent="0.3">
      <c r="A9695" s="21" t="str">
        <f t="shared" si="151"/>
        <v>.</v>
      </c>
      <c r="D9695" s="44"/>
      <c r="E9695" s="22" t="str">
        <f>IF(D9695&lt;&gt;"",IFERROR(INDEX(Produtos!$C$4:$C$4996,MATCH(D9695,Produtos!$B$4:$B$4996,0)),"Produto não encontrado"),"")</f>
        <v/>
      </c>
    </row>
    <row r="9696" spans="1:5" x14ac:dyDescent="0.3">
      <c r="A9696" s="21" t="str">
        <f t="shared" si="151"/>
        <v>.</v>
      </c>
      <c r="D9696" s="44"/>
      <c r="E9696" s="22" t="str">
        <f>IF(D9696&lt;&gt;"",IFERROR(INDEX(Produtos!$C$4:$C$4996,MATCH(D9696,Produtos!$B$4:$B$4996,0)),"Produto não encontrado"),"")</f>
        <v/>
      </c>
    </row>
    <row r="9697" spans="1:5" x14ac:dyDescent="0.3">
      <c r="A9697" s="21" t="str">
        <f t="shared" si="151"/>
        <v>.</v>
      </c>
      <c r="D9697" s="44"/>
      <c r="E9697" s="22" t="str">
        <f>IF(D9697&lt;&gt;"",IFERROR(INDEX(Produtos!$C$4:$C$4996,MATCH(D9697,Produtos!$B$4:$B$4996,0)),"Produto não encontrado"),"")</f>
        <v/>
      </c>
    </row>
    <row r="9698" spans="1:5" x14ac:dyDescent="0.3">
      <c r="A9698" s="21" t="str">
        <f t="shared" si="151"/>
        <v>.</v>
      </c>
      <c r="D9698" s="44"/>
      <c r="E9698" s="22" t="str">
        <f>IF(D9698&lt;&gt;"",IFERROR(INDEX(Produtos!$C$4:$C$4996,MATCH(D9698,Produtos!$B$4:$B$4996,0)),"Produto não encontrado"),"")</f>
        <v/>
      </c>
    </row>
    <row r="9699" spans="1:5" x14ac:dyDescent="0.3">
      <c r="A9699" s="21" t="str">
        <f t="shared" si="151"/>
        <v>.</v>
      </c>
      <c r="D9699" s="44"/>
      <c r="E9699" s="22" t="str">
        <f>IF(D9699&lt;&gt;"",IFERROR(INDEX(Produtos!$C$4:$C$4996,MATCH(D9699,Produtos!$B$4:$B$4996,0)),"Produto não encontrado"),"")</f>
        <v/>
      </c>
    </row>
    <row r="9700" spans="1:5" x14ac:dyDescent="0.3">
      <c r="A9700" s="21" t="str">
        <f t="shared" si="151"/>
        <v>.</v>
      </c>
      <c r="D9700" s="44"/>
      <c r="E9700" s="22" t="str">
        <f>IF(D9700&lt;&gt;"",IFERROR(INDEX(Produtos!$C$4:$C$4996,MATCH(D9700,Produtos!$B$4:$B$4996,0)),"Produto não encontrado"),"")</f>
        <v/>
      </c>
    </row>
    <row r="9701" spans="1:5" x14ac:dyDescent="0.3">
      <c r="A9701" s="21" t="str">
        <f t="shared" si="151"/>
        <v>.</v>
      </c>
      <c r="D9701" s="44"/>
      <c r="E9701" s="22" t="str">
        <f>IF(D9701&lt;&gt;"",IFERROR(INDEX(Produtos!$C$4:$C$4996,MATCH(D9701,Produtos!$B$4:$B$4996,0)),"Produto não encontrado"),"")</f>
        <v/>
      </c>
    </row>
    <row r="9702" spans="1:5" x14ac:dyDescent="0.3">
      <c r="A9702" s="21" t="str">
        <f t="shared" si="151"/>
        <v>.</v>
      </c>
      <c r="D9702" s="44"/>
      <c r="E9702" s="22" t="str">
        <f>IF(D9702&lt;&gt;"",IFERROR(INDEX(Produtos!$C$4:$C$4996,MATCH(D9702,Produtos!$B$4:$B$4996,0)),"Produto não encontrado"),"")</f>
        <v/>
      </c>
    </row>
    <row r="9703" spans="1:5" x14ac:dyDescent="0.3">
      <c r="A9703" s="21" t="str">
        <f t="shared" si="151"/>
        <v>.</v>
      </c>
      <c r="D9703" s="44"/>
      <c r="E9703" s="22" t="str">
        <f>IF(D9703&lt;&gt;"",IFERROR(INDEX(Produtos!$C$4:$C$4996,MATCH(D9703,Produtos!$B$4:$B$4996,0)),"Produto não encontrado"),"")</f>
        <v/>
      </c>
    </row>
    <row r="9704" spans="1:5" x14ac:dyDescent="0.3">
      <c r="A9704" s="21" t="str">
        <f t="shared" si="151"/>
        <v>.</v>
      </c>
      <c r="D9704" s="44"/>
      <c r="E9704" s="22" t="str">
        <f>IF(D9704&lt;&gt;"",IFERROR(INDEX(Produtos!$C$4:$C$4996,MATCH(D9704,Produtos!$B$4:$B$4996,0)),"Produto não encontrado"),"")</f>
        <v/>
      </c>
    </row>
    <row r="9705" spans="1:5" x14ac:dyDescent="0.3">
      <c r="A9705" s="21" t="str">
        <f t="shared" si="151"/>
        <v>.</v>
      </c>
      <c r="D9705" s="44"/>
      <c r="E9705" s="22" t="str">
        <f>IF(D9705&lt;&gt;"",IFERROR(INDEX(Produtos!$C$4:$C$4996,MATCH(D9705,Produtos!$B$4:$B$4996,0)),"Produto não encontrado"),"")</f>
        <v/>
      </c>
    </row>
    <row r="9706" spans="1:5" x14ac:dyDescent="0.3">
      <c r="A9706" s="21" t="str">
        <f t="shared" si="151"/>
        <v>.</v>
      </c>
      <c r="D9706" s="44"/>
      <c r="E9706" s="22" t="str">
        <f>IF(D9706&lt;&gt;"",IFERROR(INDEX(Produtos!$C$4:$C$4996,MATCH(D9706,Produtos!$B$4:$B$4996,0)),"Produto não encontrado"),"")</f>
        <v/>
      </c>
    </row>
    <row r="9707" spans="1:5" x14ac:dyDescent="0.3">
      <c r="A9707" s="21" t="str">
        <f t="shared" si="151"/>
        <v>.</v>
      </c>
      <c r="D9707" s="44"/>
      <c r="E9707" s="22" t="str">
        <f>IF(D9707&lt;&gt;"",IFERROR(INDEX(Produtos!$C$4:$C$4996,MATCH(D9707,Produtos!$B$4:$B$4996,0)),"Produto não encontrado"),"")</f>
        <v/>
      </c>
    </row>
    <row r="9708" spans="1:5" x14ac:dyDescent="0.3">
      <c r="A9708" s="21" t="str">
        <f t="shared" si="151"/>
        <v>.</v>
      </c>
      <c r="D9708" s="44"/>
      <c r="E9708" s="22" t="str">
        <f>IF(D9708&lt;&gt;"",IFERROR(INDEX(Produtos!$C$4:$C$4996,MATCH(D9708,Produtos!$B$4:$B$4996,0)),"Produto não encontrado"),"")</f>
        <v/>
      </c>
    </row>
    <row r="9709" spans="1:5" x14ac:dyDescent="0.3">
      <c r="A9709" s="21" t="str">
        <f t="shared" si="151"/>
        <v>.</v>
      </c>
      <c r="D9709" s="44"/>
      <c r="E9709" s="22" t="str">
        <f>IF(D9709&lt;&gt;"",IFERROR(INDEX(Produtos!$C$4:$C$4996,MATCH(D9709,Produtos!$B$4:$B$4996,0)),"Produto não encontrado"),"")</f>
        <v/>
      </c>
    </row>
    <row r="9710" spans="1:5" x14ac:dyDescent="0.3">
      <c r="A9710" s="21" t="str">
        <f t="shared" si="151"/>
        <v>.</v>
      </c>
      <c r="D9710" s="44"/>
      <c r="E9710" s="22" t="str">
        <f>IF(D9710&lt;&gt;"",IFERROR(INDEX(Produtos!$C$4:$C$4996,MATCH(D9710,Produtos!$B$4:$B$4996,0)),"Produto não encontrado"),"")</f>
        <v/>
      </c>
    </row>
    <row r="9711" spans="1:5" x14ac:dyDescent="0.3">
      <c r="A9711" s="21" t="str">
        <f t="shared" si="151"/>
        <v>.</v>
      </c>
      <c r="D9711" s="44"/>
      <c r="E9711" s="22" t="str">
        <f>IF(D9711&lt;&gt;"",IFERROR(INDEX(Produtos!$C$4:$C$4996,MATCH(D9711,Produtos!$B$4:$B$4996,0)),"Produto não encontrado"),"")</f>
        <v/>
      </c>
    </row>
    <row r="9712" spans="1:5" x14ac:dyDescent="0.3">
      <c r="A9712" s="21" t="str">
        <f t="shared" si="151"/>
        <v>.</v>
      </c>
      <c r="D9712" s="44"/>
      <c r="E9712" s="22" t="str">
        <f>IF(D9712&lt;&gt;"",IFERROR(INDEX(Produtos!$C$4:$C$4996,MATCH(D9712,Produtos!$B$4:$B$4996,0)),"Produto não encontrado"),"")</f>
        <v/>
      </c>
    </row>
    <row r="9713" spans="1:5" x14ac:dyDescent="0.3">
      <c r="A9713" s="21" t="str">
        <f t="shared" si="151"/>
        <v>.</v>
      </c>
      <c r="D9713" s="44"/>
      <c r="E9713" s="22" t="str">
        <f>IF(D9713&lt;&gt;"",IFERROR(INDEX(Produtos!$C$4:$C$4996,MATCH(D9713,Produtos!$B$4:$B$4996,0)),"Produto não encontrado"),"")</f>
        <v/>
      </c>
    </row>
    <row r="9714" spans="1:5" x14ac:dyDescent="0.3">
      <c r="A9714" s="21" t="str">
        <f t="shared" si="151"/>
        <v>.</v>
      </c>
      <c r="D9714" s="44"/>
      <c r="E9714" s="22" t="str">
        <f>IF(D9714&lt;&gt;"",IFERROR(INDEX(Produtos!$C$4:$C$4996,MATCH(D9714,Produtos!$B$4:$B$4996,0)),"Produto não encontrado"),"")</f>
        <v/>
      </c>
    </row>
    <row r="9715" spans="1:5" x14ac:dyDescent="0.3">
      <c r="A9715" s="21" t="str">
        <f t="shared" si="151"/>
        <v>.</v>
      </c>
      <c r="D9715" s="44"/>
      <c r="E9715" s="22" t="str">
        <f>IF(D9715&lt;&gt;"",IFERROR(INDEX(Produtos!$C$4:$C$4996,MATCH(D9715,Produtos!$B$4:$B$4996,0)),"Produto não encontrado"),"")</f>
        <v/>
      </c>
    </row>
    <row r="9716" spans="1:5" x14ac:dyDescent="0.3">
      <c r="A9716" s="21" t="str">
        <f t="shared" si="151"/>
        <v>.</v>
      </c>
      <c r="D9716" s="44"/>
      <c r="E9716" s="22" t="str">
        <f>IF(D9716&lt;&gt;"",IFERROR(INDEX(Produtos!$C$4:$C$4996,MATCH(D9716,Produtos!$B$4:$B$4996,0)),"Produto não encontrado"),"")</f>
        <v/>
      </c>
    </row>
    <row r="9717" spans="1:5" x14ac:dyDescent="0.3">
      <c r="A9717" s="21" t="str">
        <f t="shared" si="151"/>
        <v>.</v>
      </c>
      <c r="D9717" s="44"/>
      <c r="E9717" s="22" t="str">
        <f>IF(D9717&lt;&gt;"",IFERROR(INDEX(Produtos!$C$4:$C$4996,MATCH(D9717,Produtos!$B$4:$B$4996,0)),"Produto não encontrado"),"")</f>
        <v/>
      </c>
    </row>
    <row r="9718" spans="1:5" x14ac:dyDescent="0.3">
      <c r="A9718" s="21" t="str">
        <f t="shared" si="151"/>
        <v>.</v>
      </c>
      <c r="D9718" s="44"/>
      <c r="E9718" s="22" t="str">
        <f>IF(D9718&lt;&gt;"",IFERROR(INDEX(Produtos!$C$4:$C$4996,MATCH(D9718,Produtos!$B$4:$B$4996,0)),"Produto não encontrado"),"")</f>
        <v/>
      </c>
    </row>
    <row r="9719" spans="1:5" x14ac:dyDescent="0.3">
      <c r="A9719" s="21" t="str">
        <f t="shared" si="151"/>
        <v>.</v>
      </c>
      <c r="D9719" s="44"/>
      <c r="E9719" s="22" t="str">
        <f>IF(D9719&lt;&gt;"",IFERROR(INDEX(Produtos!$C$4:$C$4996,MATCH(D9719,Produtos!$B$4:$B$4996,0)),"Produto não encontrado"),"")</f>
        <v/>
      </c>
    </row>
    <row r="9720" spans="1:5" x14ac:dyDescent="0.3">
      <c r="A9720" s="21" t="str">
        <f t="shared" si="151"/>
        <v>.</v>
      </c>
      <c r="D9720" s="44"/>
      <c r="E9720" s="22" t="str">
        <f>IF(D9720&lt;&gt;"",IFERROR(INDEX(Produtos!$C$4:$C$4996,MATCH(D9720,Produtos!$B$4:$B$4996,0)),"Produto não encontrado"),"")</f>
        <v/>
      </c>
    </row>
    <row r="9721" spans="1:5" x14ac:dyDescent="0.3">
      <c r="A9721" s="21" t="str">
        <f t="shared" si="151"/>
        <v>.</v>
      </c>
      <c r="D9721" s="44"/>
      <c r="E9721" s="22" t="str">
        <f>IF(D9721&lt;&gt;"",IFERROR(INDEX(Produtos!$C$4:$C$4996,MATCH(D9721,Produtos!$B$4:$B$4996,0)),"Produto não encontrado"),"")</f>
        <v/>
      </c>
    </row>
    <row r="9722" spans="1:5" x14ac:dyDescent="0.3">
      <c r="A9722" s="21" t="str">
        <f t="shared" si="151"/>
        <v>.</v>
      </c>
      <c r="D9722" s="44"/>
      <c r="E9722" s="22" t="str">
        <f>IF(D9722&lt;&gt;"",IFERROR(INDEX(Produtos!$C$4:$C$4996,MATCH(D9722,Produtos!$B$4:$B$4996,0)),"Produto não encontrado"),"")</f>
        <v/>
      </c>
    </row>
    <row r="9723" spans="1:5" x14ac:dyDescent="0.3">
      <c r="A9723" s="21" t="str">
        <f t="shared" si="151"/>
        <v>.</v>
      </c>
      <c r="D9723" s="44"/>
      <c r="E9723" s="22" t="str">
        <f>IF(D9723&lt;&gt;"",IFERROR(INDEX(Produtos!$C$4:$C$4996,MATCH(D9723,Produtos!$B$4:$B$4996,0)),"Produto não encontrado"),"")</f>
        <v/>
      </c>
    </row>
    <row r="9724" spans="1:5" x14ac:dyDescent="0.3">
      <c r="A9724" s="21" t="str">
        <f t="shared" si="151"/>
        <v>.</v>
      </c>
      <c r="D9724" s="44"/>
      <c r="E9724" s="22" t="str">
        <f>IF(D9724&lt;&gt;"",IFERROR(INDEX(Produtos!$C$4:$C$4996,MATCH(D9724,Produtos!$B$4:$B$4996,0)),"Produto não encontrado"),"")</f>
        <v/>
      </c>
    </row>
    <row r="9725" spans="1:5" x14ac:dyDescent="0.3">
      <c r="A9725" s="21" t="str">
        <f t="shared" si="151"/>
        <v>.</v>
      </c>
      <c r="D9725" s="44"/>
      <c r="E9725" s="22" t="str">
        <f>IF(D9725&lt;&gt;"",IFERROR(INDEX(Produtos!$C$4:$C$4996,MATCH(D9725,Produtos!$B$4:$B$4996,0)),"Produto não encontrado"),"")</f>
        <v/>
      </c>
    </row>
    <row r="9726" spans="1:5" x14ac:dyDescent="0.3">
      <c r="A9726" s="21" t="str">
        <f t="shared" si="151"/>
        <v>.</v>
      </c>
      <c r="D9726" s="44"/>
      <c r="E9726" s="22" t="str">
        <f>IF(D9726&lt;&gt;"",IFERROR(INDEX(Produtos!$C$4:$C$4996,MATCH(D9726,Produtos!$B$4:$B$4996,0)),"Produto não encontrado"),"")</f>
        <v/>
      </c>
    </row>
    <row r="9727" spans="1:5" x14ac:dyDescent="0.3">
      <c r="A9727" s="21" t="str">
        <f t="shared" si="151"/>
        <v>.</v>
      </c>
      <c r="D9727" s="44"/>
      <c r="E9727" s="22" t="str">
        <f>IF(D9727&lt;&gt;"",IFERROR(INDEX(Produtos!$C$4:$C$4996,MATCH(D9727,Produtos!$B$4:$B$4996,0)),"Produto não encontrado"),"")</f>
        <v/>
      </c>
    </row>
    <row r="9728" spans="1:5" x14ac:dyDescent="0.3">
      <c r="A9728" s="21" t="str">
        <f t="shared" ref="A9728:A9791" si="152">IF(C9728="Entrada",2,IF(C9728="Saída",1,"."))</f>
        <v>.</v>
      </c>
      <c r="D9728" s="44"/>
      <c r="E9728" s="22" t="str">
        <f>IF(D9728&lt;&gt;"",IFERROR(INDEX(Produtos!$C$4:$C$4996,MATCH(D9728,Produtos!$B$4:$B$4996,0)),"Produto não encontrado"),"")</f>
        <v/>
      </c>
    </row>
    <row r="9729" spans="1:5" x14ac:dyDescent="0.3">
      <c r="A9729" s="21" t="str">
        <f t="shared" si="152"/>
        <v>.</v>
      </c>
      <c r="D9729" s="44"/>
      <c r="E9729" s="22" t="str">
        <f>IF(D9729&lt;&gt;"",IFERROR(INDEX(Produtos!$C$4:$C$4996,MATCH(D9729,Produtos!$B$4:$B$4996,0)),"Produto não encontrado"),"")</f>
        <v/>
      </c>
    </row>
    <row r="9730" spans="1:5" x14ac:dyDescent="0.3">
      <c r="A9730" s="21" t="str">
        <f t="shared" si="152"/>
        <v>.</v>
      </c>
      <c r="D9730" s="44"/>
      <c r="E9730" s="22" t="str">
        <f>IF(D9730&lt;&gt;"",IFERROR(INDEX(Produtos!$C$4:$C$4996,MATCH(D9730,Produtos!$B$4:$B$4996,0)),"Produto não encontrado"),"")</f>
        <v/>
      </c>
    </row>
    <row r="9731" spans="1:5" x14ac:dyDescent="0.3">
      <c r="A9731" s="21" t="str">
        <f t="shared" si="152"/>
        <v>.</v>
      </c>
      <c r="D9731" s="44"/>
      <c r="E9731" s="22" t="str">
        <f>IF(D9731&lt;&gt;"",IFERROR(INDEX(Produtos!$C$4:$C$4996,MATCH(D9731,Produtos!$B$4:$B$4996,0)),"Produto não encontrado"),"")</f>
        <v/>
      </c>
    </row>
    <row r="9732" spans="1:5" x14ac:dyDescent="0.3">
      <c r="A9732" s="21" t="str">
        <f t="shared" si="152"/>
        <v>.</v>
      </c>
      <c r="D9732" s="44"/>
      <c r="E9732" s="22" t="str">
        <f>IF(D9732&lt;&gt;"",IFERROR(INDEX(Produtos!$C$4:$C$4996,MATCH(D9732,Produtos!$B$4:$B$4996,0)),"Produto não encontrado"),"")</f>
        <v/>
      </c>
    </row>
    <row r="9733" spans="1:5" x14ac:dyDescent="0.3">
      <c r="A9733" s="21" t="str">
        <f t="shared" si="152"/>
        <v>.</v>
      </c>
      <c r="D9733" s="44"/>
      <c r="E9733" s="22" t="str">
        <f>IF(D9733&lt;&gt;"",IFERROR(INDEX(Produtos!$C$4:$C$4996,MATCH(D9733,Produtos!$B$4:$B$4996,0)),"Produto não encontrado"),"")</f>
        <v/>
      </c>
    </row>
    <row r="9734" spans="1:5" x14ac:dyDescent="0.3">
      <c r="A9734" s="21" t="str">
        <f t="shared" si="152"/>
        <v>.</v>
      </c>
      <c r="D9734" s="44"/>
      <c r="E9734" s="22" t="str">
        <f>IF(D9734&lt;&gt;"",IFERROR(INDEX(Produtos!$C$4:$C$4996,MATCH(D9734,Produtos!$B$4:$B$4996,0)),"Produto não encontrado"),"")</f>
        <v/>
      </c>
    </row>
    <row r="9735" spans="1:5" x14ac:dyDescent="0.3">
      <c r="A9735" s="21" t="str">
        <f t="shared" si="152"/>
        <v>.</v>
      </c>
      <c r="D9735" s="44"/>
      <c r="E9735" s="22" t="str">
        <f>IF(D9735&lt;&gt;"",IFERROR(INDEX(Produtos!$C$4:$C$4996,MATCH(D9735,Produtos!$B$4:$B$4996,0)),"Produto não encontrado"),"")</f>
        <v/>
      </c>
    </row>
    <row r="9736" spans="1:5" x14ac:dyDescent="0.3">
      <c r="A9736" s="21" t="str">
        <f t="shared" si="152"/>
        <v>.</v>
      </c>
      <c r="D9736" s="44"/>
      <c r="E9736" s="22" t="str">
        <f>IF(D9736&lt;&gt;"",IFERROR(INDEX(Produtos!$C$4:$C$4996,MATCH(D9736,Produtos!$B$4:$B$4996,0)),"Produto não encontrado"),"")</f>
        <v/>
      </c>
    </row>
    <row r="9737" spans="1:5" x14ac:dyDescent="0.3">
      <c r="A9737" s="21" t="str">
        <f t="shared" si="152"/>
        <v>.</v>
      </c>
      <c r="D9737" s="44"/>
      <c r="E9737" s="22" t="str">
        <f>IF(D9737&lt;&gt;"",IFERROR(INDEX(Produtos!$C$4:$C$4996,MATCH(D9737,Produtos!$B$4:$B$4996,0)),"Produto não encontrado"),"")</f>
        <v/>
      </c>
    </row>
    <row r="9738" spans="1:5" x14ac:dyDescent="0.3">
      <c r="A9738" s="21" t="str">
        <f t="shared" si="152"/>
        <v>.</v>
      </c>
      <c r="D9738" s="44"/>
      <c r="E9738" s="22" t="str">
        <f>IF(D9738&lt;&gt;"",IFERROR(INDEX(Produtos!$C$4:$C$4996,MATCH(D9738,Produtos!$B$4:$B$4996,0)),"Produto não encontrado"),"")</f>
        <v/>
      </c>
    </row>
    <row r="9739" spans="1:5" x14ac:dyDescent="0.3">
      <c r="A9739" s="21" t="str">
        <f t="shared" si="152"/>
        <v>.</v>
      </c>
      <c r="D9739" s="44"/>
      <c r="E9739" s="22" t="str">
        <f>IF(D9739&lt;&gt;"",IFERROR(INDEX(Produtos!$C$4:$C$4996,MATCH(D9739,Produtos!$B$4:$B$4996,0)),"Produto não encontrado"),"")</f>
        <v/>
      </c>
    </row>
    <row r="9740" spans="1:5" x14ac:dyDescent="0.3">
      <c r="A9740" s="21" t="str">
        <f t="shared" si="152"/>
        <v>.</v>
      </c>
      <c r="D9740" s="44"/>
      <c r="E9740" s="22" t="str">
        <f>IF(D9740&lt;&gt;"",IFERROR(INDEX(Produtos!$C$4:$C$4996,MATCH(D9740,Produtos!$B$4:$B$4996,0)),"Produto não encontrado"),"")</f>
        <v/>
      </c>
    </row>
    <row r="9741" spans="1:5" x14ac:dyDescent="0.3">
      <c r="A9741" s="21" t="str">
        <f t="shared" si="152"/>
        <v>.</v>
      </c>
      <c r="D9741" s="44"/>
      <c r="E9741" s="22" t="str">
        <f>IF(D9741&lt;&gt;"",IFERROR(INDEX(Produtos!$C$4:$C$4996,MATCH(D9741,Produtos!$B$4:$B$4996,0)),"Produto não encontrado"),"")</f>
        <v/>
      </c>
    </row>
    <row r="9742" spans="1:5" x14ac:dyDescent="0.3">
      <c r="A9742" s="21" t="str">
        <f t="shared" si="152"/>
        <v>.</v>
      </c>
      <c r="D9742" s="44"/>
      <c r="E9742" s="22" t="str">
        <f>IF(D9742&lt;&gt;"",IFERROR(INDEX(Produtos!$C$4:$C$4996,MATCH(D9742,Produtos!$B$4:$B$4996,0)),"Produto não encontrado"),"")</f>
        <v/>
      </c>
    </row>
    <row r="9743" spans="1:5" x14ac:dyDescent="0.3">
      <c r="A9743" s="21" t="str">
        <f t="shared" si="152"/>
        <v>.</v>
      </c>
      <c r="D9743" s="44"/>
      <c r="E9743" s="22" t="str">
        <f>IF(D9743&lt;&gt;"",IFERROR(INDEX(Produtos!$C$4:$C$4996,MATCH(D9743,Produtos!$B$4:$B$4996,0)),"Produto não encontrado"),"")</f>
        <v/>
      </c>
    </row>
    <row r="9744" spans="1:5" x14ac:dyDescent="0.3">
      <c r="A9744" s="21" t="str">
        <f t="shared" si="152"/>
        <v>.</v>
      </c>
      <c r="D9744" s="44"/>
      <c r="E9744" s="22" t="str">
        <f>IF(D9744&lt;&gt;"",IFERROR(INDEX(Produtos!$C$4:$C$4996,MATCH(D9744,Produtos!$B$4:$B$4996,0)),"Produto não encontrado"),"")</f>
        <v/>
      </c>
    </row>
    <row r="9745" spans="1:5" x14ac:dyDescent="0.3">
      <c r="A9745" s="21" t="str">
        <f t="shared" si="152"/>
        <v>.</v>
      </c>
      <c r="D9745" s="44"/>
      <c r="E9745" s="22" t="str">
        <f>IF(D9745&lt;&gt;"",IFERROR(INDEX(Produtos!$C$4:$C$4996,MATCH(D9745,Produtos!$B$4:$B$4996,0)),"Produto não encontrado"),"")</f>
        <v/>
      </c>
    </row>
    <row r="9746" spans="1:5" x14ac:dyDescent="0.3">
      <c r="A9746" s="21" t="str">
        <f t="shared" si="152"/>
        <v>.</v>
      </c>
      <c r="D9746" s="44"/>
      <c r="E9746" s="22" t="str">
        <f>IF(D9746&lt;&gt;"",IFERROR(INDEX(Produtos!$C$4:$C$4996,MATCH(D9746,Produtos!$B$4:$B$4996,0)),"Produto não encontrado"),"")</f>
        <v/>
      </c>
    </row>
    <row r="9747" spans="1:5" x14ac:dyDescent="0.3">
      <c r="A9747" s="21" t="str">
        <f t="shared" si="152"/>
        <v>.</v>
      </c>
      <c r="D9747" s="44"/>
      <c r="E9747" s="22" t="str">
        <f>IF(D9747&lt;&gt;"",IFERROR(INDEX(Produtos!$C$4:$C$4996,MATCH(D9747,Produtos!$B$4:$B$4996,0)),"Produto não encontrado"),"")</f>
        <v/>
      </c>
    </row>
    <row r="9748" spans="1:5" x14ac:dyDescent="0.3">
      <c r="A9748" s="21" t="str">
        <f t="shared" si="152"/>
        <v>.</v>
      </c>
      <c r="D9748" s="44"/>
      <c r="E9748" s="22" t="str">
        <f>IF(D9748&lt;&gt;"",IFERROR(INDEX(Produtos!$C$4:$C$4996,MATCH(D9748,Produtos!$B$4:$B$4996,0)),"Produto não encontrado"),"")</f>
        <v/>
      </c>
    </row>
    <row r="9749" spans="1:5" x14ac:dyDescent="0.3">
      <c r="A9749" s="21" t="str">
        <f t="shared" si="152"/>
        <v>.</v>
      </c>
      <c r="D9749" s="44"/>
      <c r="E9749" s="22" t="str">
        <f>IF(D9749&lt;&gt;"",IFERROR(INDEX(Produtos!$C$4:$C$4996,MATCH(D9749,Produtos!$B$4:$B$4996,0)),"Produto não encontrado"),"")</f>
        <v/>
      </c>
    </row>
    <row r="9750" spans="1:5" x14ac:dyDescent="0.3">
      <c r="A9750" s="21" t="str">
        <f t="shared" si="152"/>
        <v>.</v>
      </c>
      <c r="D9750" s="44"/>
      <c r="E9750" s="22" t="str">
        <f>IF(D9750&lt;&gt;"",IFERROR(INDEX(Produtos!$C$4:$C$4996,MATCH(D9750,Produtos!$B$4:$B$4996,0)),"Produto não encontrado"),"")</f>
        <v/>
      </c>
    </row>
    <row r="9751" spans="1:5" x14ac:dyDescent="0.3">
      <c r="A9751" s="21" t="str">
        <f t="shared" si="152"/>
        <v>.</v>
      </c>
      <c r="D9751" s="44"/>
      <c r="E9751" s="22" t="str">
        <f>IF(D9751&lt;&gt;"",IFERROR(INDEX(Produtos!$C$4:$C$4996,MATCH(D9751,Produtos!$B$4:$B$4996,0)),"Produto não encontrado"),"")</f>
        <v/>
      </c>
    </row>
    <row r="9752" spans="1:5" x14ac:dyDescent="0.3">
      <c r="A9752" s="21" t="str">
        <f t="shared" si="152"/>
        <v>.</v>
      </c>
      <c r="D9752" s="44"/>
      <c r="E9752" s="22" t="str">
        <f>IF(D9752&lt;&gt;"",IFERROR(INDEX(Produtos!$C$4:$C$4996,MATCH(D9752,Produtos!$B$4:$B$4996,0)),"Produto não encontrado"),"")</f>
        <v/>
      </c>
    </row>
    <row r="9753" spans="1:5" x14ac:dyDescent="0.3">
      <c r="A9753" s="21" t="str">
        <f t="shared" si="152"/>
        <v>.</v>
      </c>
      <c r="D9753" s="44"/>
      <c r="E9753" s="22" t="str">
        <f>IF(D9753&lt;&gt;"",IFERROR(INDEX(Produtos!$C$4:$C$4996,MATCH(D9753,Produtos!$B$4:$B$4996,0)),"Produto não encontrado"),"")</f>
        <v/>
      </c>
    </row>
    <row r="9754" spans="1:5" x14ac:dyDescent="0.3">
      <c r="A9754" s="21" t="str">
        <f t="shared" si="152"/>
        <v>.</v>
      </c>
      <c r="D9754" s="44"/>
      <c r="E9754" s="22" t="str">
        <f>IF(D9754&lt;&gt;"",IFERROR(INDEX(Produtos!$C$4:$C$4996,MATCH(D9754,Produtos!$B$4:$B$4996,0)),"Produto não encontrado"),"")</f>
        <v/>
      </c>
    </row>
    <row r="9755" spans="1:5" x14ac:dyDescent="0.3">
      <c r="A9755" s="21" t="str">
        <f t="shared" si="152"/>
        <v>.</v>
      </c>
      <c r="D9755" s="44"/>
      <c r="E9755" s="22" t="str">
        <f>IF(D9755&lt;&gt;"",IFERROR(INDEX(Produtos!$C$4:$C$4996,MATCH(D9755,Produtos!$B$4:$B$4996,0)),"Produto não encontrado"),"")</f>
        <v/>
      </c>
    </row>
    <row r="9756" spans="1:5" x14ac:dyDescent="0.3">
      <c r="A9756" s="21" t="str">
        <f t="shared" si="152"/>
        <v>.</v>
      </c>
      <c r="D9756" s="44"/>
      <c r="E9756" s="22" t="str">
        <f>IF(D9756&lt;&gt;"",IFERROR(INDEX(Produtos!$C$4:$C$4996,MATCH(D9756,Produtos!$B$4:$B$4996,0)),"Produto não encontrado"),"")</f>
        <v/>
      </c>
    </row>
    <row r="9757" spans="1:5" x14ac:dyDescent="0.3">
      <c r="A9757" s="21" t="str">
        <f t="shared" si="152"/>
        <v>.</v>
      </c>
      <c r="D9757" s="44"/>
      <c r="E9757" s="22" t="str">
        <f>IF(D9757&lt;&gt;"",IFERROR(INDEX(Produtos!$C$4:$C$4996,MATCH(D9757,Produtos!$B$4:$B$4996,0)),"Produto não encontrado"),"")</f>
        <v/>
      </c>
    </row>
    <row r="9758" spans="1:5" x14ac:dyDescent="0.3">
      <c r="A9758" s="21" t="str">
        <f t="shared" si="152"/>
        <v>.</v>
      </c>
      <c r="D9758" s="44"/>
      <c r="E9758" s="22" t="str">
        <f>IF(D9758&lt;&gt;"",IFERROR(INDEX(Produtos!$C$4:$C$4996,MATCH(D9758,Produtos!$B$4:$B$4996,0)),"Produto não encontrado"),"")</f>
        <v/>
      </c>
    </row>
    <row r="9759" spans="1:5" x14ac:dyDescent="0.3">
      <c r="A9759" s="21" t="str">
        <f t="shared" si="152"/>
        <v>.</v>
      </c>
      <c r="D9759" s="44"/>
      <c r="E9759" s="22" t="str">
        <f>IF(D9759&lt;&gt;"",IFERROR(INDEX(Produtos!$C$4:$C$4996,MATCH(D9759,Produtos!$B$4:$B$4996,0)),"Produto não encontrado"),"")</f>
        <v/>
      </c>
    </row>
    <row r="9760" spans="1:5" x14ac:dyDescent="0.3">
      <c r="A9760" s="21" t="str">
        <f t="shared" si="152"/>
        <v>.</v>
      </c>
      <c r="D9760" s="44"/>
      <c r="E9760" s="22" t="str">
        <f>IF(D9760&lt;&gt;"",IFERROR(INDEX(Produtos!$C$4:$C$4996,MATCH(D9760,Produtos!$B$4:$B$4996,0)),"Produto não encontrado"),"")</f>
        <v/>
      </c>
    </row>
    <row r="9761" spans="1:5" x14ac:dyDescent="0.3">
      <c r="A9761" s="21" t="str">
        <f t="shared" si="152"/>
        <v>.</v>
      </c>
      <c r="D9761" s="44"/>
      <c r="E9761" s="22" t="str">
        <f>IF(D9761&lt;&gt;"",IFERROR(INDEX(Produtos!$C$4:$C$4996,MATCH(D9761,Produtos!$B$4:$B$4996,0)),"Produto não encontrado"),"")</f>
        <v/>
      </c>
    </row>
    <row r="9762" spans="1:5" x14ac:dyDescent="0.3">
      <c r="A9762" s="21" t="str">
        <f t="shared" si="152"/>
        <v>.</v>
      </c>
      <c r="D9762" s="44"/>
      <c r="E9762" s="22" t="str">
        <f>IF(D9762&lt;&gt;"",IFERROR(INDEX(Produtos!$C$4:$C$4996,MATCH(D9762,Produtos!$B$4:$B$4996,0)),"Produto não encontrado"),"")</f>
        <v/>
      </c>
    </row>
    <row r="9763" spans="1:5" x14ac:dyDescent="0.3">
      <c r="A9763" s="21" t="str">
        <f t="shared" si="152"/>
        <v>.</v>
      </c>
      <c r="D9763" s="44"/>
      <c r="E9763" s="22" t="str">
        <f>IF(D9763&lt;&gt;"",IFERROR(INDEX(Produtos!$C$4:$C$4996,MATCH(D9763,Produtos!$B$4:$B$4996,0)),"Produto não encontrado"),"")</f>
        <v/>
      </c>
    </row>
    <row r="9764" spans="1:5" x14ac:dyDescent="0.3">
      <c r="A9764" s="21" t="str">
        <f t="shared" si="152"/>
        <v>.</v>
      </c>
      <c r="D9764" s="44"/>
      <c r="E9764" s="22" t="str">
        <f>IF(D9764&lt;&gt;"",IFERROR(INDEX(Produtos!$C$4:$C$4996,MATCH(D9764,Produtos!$B$4:$B$4996,0)),"Produto não encontrado"),"")</f>
        <v/>
      </c>
    </row>
    <row r="9765" spans="1:5" x14ac:dyDescent="0.3">
      <c r="A9765" s="21" t="str">
        <f t="shared" si="152"/>
        <v>.</v>
      </c>
      <c r="D9765" s="44"/>
      <c r="E9765" s="22" t="str">
        <f>IF(D9765&lt;&gt;"",IFERROR(INDEX(Produtos!$C$4:$C$4996,MATCH(D9765,Produtos!$B$4:$B$4996,0)),"Produto não encontrado"),"")</f>
        <v/>
      </c>
    </row>
    <row r="9766" spans="1:5" x14ac:dyDescent="0.3">
      <c r="A9766" s="21" t="str">
        <f t="shared" si="152"/>
        <v>.</v>
      </c>
      <c r="D9766" s="44"/>
      <c r="E9766" s="22" t="str">
        <f>IF(D9766&lt;&gt;"",IFERROR(INDEX(Produtos!$C$4:$C$4996,MATCH(D9766,Produtos!$B$4:$B$4996,0)),"Produto não encontrado"),"")</f>
        <v/>
      </c>
    </row>
    <row r="9767" spans="1:5" x14ac:dyDescent="0.3">
      <c r="A9767" s="21" t="str">
        <f t="shared" si="152"/>
        <v>.</v>
      </c>
      <c r="D9767" s="44"/>
      <c r="E9767" s="22" t="str">
        <f>IF(D9767&lt;&gt;"",IFERROR(INDEX(Produtos!$C$4:$C$4996,MATCH(D9767,Produtos!$B$4:$B$4996,0)),"Produto não encontrado"),"")</f>
        <v/>
      </c>
    </row>
    <row r="9768" spans="1:5" x14ac:dyDescent="0.3">
      <c r="A9768" s="21" t="str">
        <f t="shared" si="152"/>
        <v>.</v>
      </c>
      <c r="D9768" s="44"/>
      <c r="E9768" s="22" t="str">
        <f>IF(D9768&lt;&gt;"",IFERROR(INDEX(Produtos!$C$4:$C$4996,MATCH(D9768,Produtos!$B$4:$B$4996,0)),"Produto não encontrado"),"")</f>
        <v/>
      </c>
    </row>
    <row r="9769" spans="1:5" x14ac:dyDescent="0.3">
      <c r="A9769" s="21" t="str">
        <f t="shared" si="152"/>
        <v>.</v>
      </c>
      <c r="D9769" s="44"/>
      <c r="E9769" s="22" t="str">
        <f>IF(D9769&lt;&gt;"",IFERROR(INDEX(Produtos!$C$4:$C$4996,MATCH(D9769,Produtos!$B$4:$B$4996,0)),"Produto não encontrado"),"")</f>
        <v/>
      </c>
    </row>
    <row r="9770" spans="1:5" x14ac:dyDescent="0.3">
      <c r="A9770" s="21" t="str">
        <f t="shared" si="152"/>
        <v>.</v>
      </c>
      <c r="D9770" s="44"/>
      <c r="E9770" s="22" t="str">
        <f>IF(D9770&lt;&gt;"",IFERROR(INDEX(Produtos!$C$4:$C$4996,MATCH(D9770,Produtos!$B$4:$B$4996,0)),"Produto não encontrado"),"")</f>
        <v/>
      </c>
    </row>
    <row r="9771" spans="1:5" x14ac:dyDescent="0.3">
      <c r="A9771" s="21" t="str">
        <f t="shared" si="152"/>
        <v>.</v>
      </c>
      <c r="D9771" s="44"/>
      <c r="E9771" s="22" t="str">
        <f>IF(D9771&lt;&gt;"",IFERROR(INDEX(Produtos!$C$4:$C$4996,MATCH(D9771,Produtos!$B$4:$B$4996,0)),"Produto não encontrado"),"")</f>
        <v/>
      </c>
    </row>
    <row r="9772" spans="1:5" x14ac:dyDescent="0.3">
      <c r="A9772" s="21" t="str">
        <f t="shared" si="152"/>
        <v>.</v>
      </c>
      <c r="D9772" s="44"/>
      <c r="E9772" s="22" t="str">
        <f>IF(D9772&lt;&gt;"",IFERROR(INDEX(Produtos!$C$4:$C$4996,MATCH(D9772,Produtos!$B$4:$B$4996,0)),"Produto não encontrado"),"")</f>
        <v/>
      </c>
    </row>
    <row r="9773" spans="1:5" x14ac:dyDescent="0.3">
      <c r="A9773" s="21" t="str">
        <f t="shared" si="152"/>
        <v>.</v>
      </c>
      <c r="D9773" s="44"/>
      <c r="E9773" s="22" t="str">
        <f>IF(D9773&lt;&gt;"",IFERROR(INDEX(Produtos!$C$4:$C$4996,MATCH(D9773,Produtos!$B$4:$B$4996,0)),"Produto não encontrado"),"")</f>
        <v/>
      </c>
    </row>
    <row r="9774" spans="1:5" x14ac:dyDescent="0.3">
      <c r="A9774" s="21" t="str">
        <f t="shared" si="152"/>
        <v>.</v>
      </c>
      <c r="D9774" s="44"/>
      <c r="E9774" s="22" t="str">
        <f>IF(D9774&lt;&gt;"",IFERROR(INDEX(Produtos!$C$4:$C$4996,MATCH(D9774,Produtos!$B$4:$B$4996,0)),"Produto não encontrado"),"")</f>
        <v/>
      </c>
    </row>
    <row r="9775" spans="1:5" x14ac:dyDescent="0.3">
      <c r="A9775" s="21" t="str">
        <f t="shared" si="152"/>
        <v>.</v>
      </c>
      <c r="D9775" s="44"/>
      <c r="E9775" s="22" t="str">
        <f>IF(D9775&lt;&gt;"",IFERROR(INDEX(Produtos!$C$4:$C$4996,MATCH(D9775,Produtos!$B$4:$B$4996,0)),"Produto não encontrado"),"")</f>
        <v/>
      </c>
    </row>
    <row r="9776" spans="1:5" x14ac:dyDescent="0.3">
      <c r="A9776" s="21" t="str">
        <f t="shared" si="152"/>
        <v>.</v>
      </c>
      <c r="D9776" s="44"/>
      <c r="E9776" s="22" t="str">
        <f>IF(D9776&lt;&gt;"",IFERROR(INDEX(Produtos!$C$4:$C$4996,MATCH(D9776,Produtos!$B$4:$B$4996,0)),"Produto não encontrado"),"")</f>
        <v/>
      </c>
    </row>
    <row r="9777" spans="1:5" x14ac:dyDescent="0.3">
      <c r="A9777" s="21" t="str">
        <f t="shared" si="152"/>
        <v>.</v>
      </c>
      <c r="D9777" s="44"/>
      <c r="E9777" s="22" t="str">
        <f>IF(D9777&lt;&gt;"",IFERROR(INDEX(Produtos!$C$4:$C$4996,MATCH(D9777,Produtos!$B$4:$B$4996,0)),"Produto não encontrado"),"")</f>
        <v/>
      </c>
    </row>
    <row r="9778" spans="1:5" x14ac:dyDescent="0.3">
      <c r="A9778" s="21" t="str">
        <f t="shared" si="152"/>
        <v>.</v>
      </c>
      <c r="D9778" s="44"/>
      <c r="E9778" s="22" t="str">
        <f>IF(D9778&lt;&gt;"",IFERROR(INDEX(Produtos!$C$4:$C$4996,MATCH(D9778,Produtos!$B$4:$B$4996,0)),"Produto não encontrado"),"")</f>
        <v/>
      </c>
    </row>
    <row r="9779" spans="1:5" x14ac:dyDescent="0.3">
      <c r="A9779" s="21" t="str">
        <f t="shared" si="152"/>
        <v>.</v>
      </c>
      <c r="D9779" s="44"/>
      <c r="E9779" s="22" t="str">
        <f>IF(D9779&lt;&gt;"",IFERROR(INDEX(Produtos!$C$4:$C$4996,MATCH(D9779,Produtos!$B$4:$B$4996,0)),"Produto não encontrado"),"")</f>
        <v/>
      </c>
    </row>
    <row r="9780" spans="1:5" x14ac:dyDescent="0.3">
      <c r="A9780" s="21" t="str">
        <f t="shared" si="152"/>
        <v>.</v>
      </c>
      <c r="D9780" s="44"/>
      <c r="E9780" s="22" t="str">
        <f>IF(D9780&lt;&gt;"",IFERROR(INDEX(Produtos!$C$4:$C$4996,MATCH(D9780,Produtos!$B$4:$B$4996,0)),"Produto não encontrado"),"")</f>
        <v/>
      </c>
    </row>
    <row r="9781" spans="1:5" x14ac:dyDescent="0.3">
      <c r="A9781" s="21" t="str">
        <f t="shared" si="152"/>
        <v>.</v>
      </c>
      <c r="D9781" s="44"/>
      <c r="E9781" s="22" t="str">
        <f>IF(D9781&lt;&gt;"",IFERROR(INDEX(Produtos!$C$4:$C$4996,MATCH(D9781,Produtos!$B$4:$B$4996,0)),"Produto não encontrado"),"")</f>
        <v/>
      </c>
    </row>
    <row r="9782" spans="1:5" x14ac:dyDescent="0.3">
      <c r="A9782" s="21" t="str">
        <f t="shared" si="152"/>
        <v>.</v>
      </c>
      <c r="D9782" s="44"/>
      <c r="E9782" s="22" t="str">
        <f>IF(D9782&lt;&gt;"",IFERROR(INDEX(Produtos!$C$4:$C$4996,MATCH(D9782,Produtos!$B$4:$B$4996,0)),"Produto não encontrado"),"")</f>
        <v/>
      </c>
    </row>
    <row r="9783" spans="1:5" x14ac:dyDescent="0.3">
      <c r="A9783" s="21" t="str">
        <f t="shared" si="152"/>
        <v>.</v>
      </c>
      <c r="D9783" s="44"/>
      <c r="E9783" s="22" t="str">
        <f>IF(D9783&lt;&gt;"",IFERROR(INDEX(Produtos!$C$4:$C$4996,MATCH(D9783,Produtos!$B$4:$B$4996,0)),"Produto não encontrado"),"")</f>
        <v/>
      </c>
    </row>
    <row r="9784" spans="1:5" x14ac:dyDescent="0.3">
      <c r="A9784" s="21" t="str">
        <f t="shared" si="152"/>
        <v>.</v>
      </c>
      <c r="D9784" s="44"/>
      <c r="E9784" s="22" t="str">
        <f>IF(D9784&lt;&gt;"",IFERROR(INDEX(Produtos!$C$4:$C$4996,MATCH(D9784,Produtos!$B$4:$B$4996,0)),"Produto não encontrado"),"")</f>
        <v/>
      </c>
    </row>
    <row r="9785" spans="1:5" x14ac:dyDescent="0.3">
      <c r="A9785" s="21" t="str">
        <f t="shared" si="152"/>
        <v>.</v>
      </c>
      <c r="D9785" s="44"/>
      <c r="E9785" s="22" t="str">
        <f>IF(D9785&lt;&gt;"",IFERROR(INDEX(Produtos!$C$4:$C$4996,MATCH(D9785,Produtos!$B$4:$B$4996,0)),"Produto não encontrado"),"")</f>
        <v/>
      </c>
    </row>
    <row r="9786" spans="1:5" x14ac:dyDescent="0.3">
      <c r="A9786" s="21" t="str">
        <f t="shared" si="152"/>
        <v>.</v>
      </c>
      <c r="D9786" s="44"/>
      <c r="E9786" s="22" t="str">
        <f>IF(D9786&lt;&gt;"",IFERROR(INDEX(Produtos!$C$4:$C$4996,MATCH(D9786,Produtos!$B$4:$B$4996,0)),"Produto não encontrado"),"")</f>
        <v/>
      </c>
    </row>
    <row r="9787" spans="1:5" x14ac:dyDescent="0.3">
      <c r="A9787" s="21" t="str">
        <f t="shared" si="152"/>
        <v>.</v>
      </c>
      <c r="D9787" s="44"/>
      <c r="E9787" s="22" t="str">
        <f>IF(D9787&lt;&gt;"",IFERROR(INDEX(Produtos!$C$4:$C$4996,MATCH(D9787,Produtos!$B$4:$B$4996,0)),"Produto não encontrado"),"")</f>
        <v/>
      </c>
    </row>
    <row r="9788" spans="1:5" x14ac:dyDescent="0.3">
      <c r="A9788" s="21" t="str">
        <f t="shared" si="152"/>
        <v>.</v>
      </c>
      <c r="D9788" s="44"/>
      <c r="E9788" s="22" t="str">
        <f>IF(D9788&lt;&gt;"",IFERROR(INDEX(Produtos!$C$4:$C$4996,MATCH(D9788,Produtos!$B$4:$B$4996,0)),"Produto não encontrado"),"")</f>
        <v/>
      </c>
    </row>
    <row r="9789" spans="1:5" x14ac:dyDescent="0.3">
      <c r="A9789" s="21" t="str">
        <f t="shared" si="152"/>
        <v>.</v>
      </c>
      <c r="D9789" s="44"/>
      <c r="E9789" s="22" t="str">
        <f>IF(D9789&lt;&gt;"",IFERROR(INDEX(Produtos!$C$4:$C$4996,MATCH(D9789,Produtos!$B$4:$B$4996,0)),"Produto não encontrado"),"")</f>
        <v/>
      </c>
    </row>
    <row r="9790" spans="1:5" x14ac:dyDescent="0.3">
      <c r="A9790" s="21" t="str">
        <f t="shared" si="152"/>
        <v>.</v>
      </c>
      <c r="D9790" s="44"/>
      <c r="E9790" s="22" t="str">
        <f>IF(D9790&lt;&gt;"",IFERROR(INDEX(Produtos!$C$4:$C$4996,MATCH(D9790,Produtos!$B$4:$B$4996,0)),"Produto não encontrado"),"")</f>
        <v/>
      </c>
    </row>
    <row r="9791" spans="1:5" x14ac:dyDescent="0.3">
      <c r="A9791" s="21" t="str">
        <f t="shared" si="152"/>
        <v>.</v>
      </c>
      <c r="D9791" s="44"/>
      <c r="E9791" s="22" t="str">
        <f>IF(D9791&lt;&gt;"",IFERROR(INDEX(Produtos!$C$4:$C$4996,MATCH(D9791,Produtos!$B$4:$B$4996,0)),"Produto não encontrado"),"")</f>
        <v/>
      </c>
    </row>
    <row r="9792" spans="1:5" x14ac:dyDescent="0.3">
      <c r="A9792" s="21" t="str">
        <f t="shared" ref="A9792:A9855" si="153">IF(C9792="Entrada",2,IF(C9792="Saída",1,"."))</f>
        <v>.</v>
      </c>
      <c r="D9792" s="44"/>
      <c r="E9792" s="22" t="str">
        <f>IF(D9792&lt;&gt;"",IFERROR(INDEX(Produtos!$C$4:$C$4996,MATCH(D9792,Produtos!$B$4:$B$4996,0)),"Produto não encontrado"),"")</f>
        <v/>
      </c>
    </row>
    <row r="9793" spans="1:5" x14ac:dyDescent="0.3">
      <c r="A9793" s="21" t="str">
        <f t="shared" si="153"/>
        <v>.</v>
      </c>
      <c r="D9793" s="44"/>
      <c r="E9793" s="22" t="str">
        <f>IF(D9793&lt;&gt;"",IFERROR(INDEX(Produtos!$C$4:$C$4996,MATCH(D9793,Produtos!$B$4:$B$4996,0)),"Produto não encontrado"),"")</f>
        <v/>
      </c>
    </row>
    <row r="9794" spans="1:5" x14ac:dyDescent="0.3">
      <c r="A9794" s="21" t="str">
        <f t="shared" si="153"/>
        <v>.</v>
      </c>
      <c r="D9794" s="44"/>
      <c r="E9794" s="22" t="str">
        <f>IF(D9794&lt;&gt;"",IFERROR(INDEX(Produtos!$C$4:$C$4996,MATCH(D9794,Produtos!$B$4:$B$4996,0)),"Produto não encontrado"),"")</f>
        <v/>
      </c>
    </row>
    <row r="9795" spans="1:5" x14ac:dyDescent="0.3">
      <c r="A9795" s="21" t="str">
        <f t="shared" si="153"/>
        <v>.</v>
      </c>
      <c r="D9795" s="44"/>
      <c r="E9795" s="22" t="str">
        <f>IF(D9795&lt;&gt;"",IFERROR(INDEX(Produtos!$C$4:$C$4996,MATCH(D9795,Produtos!$B$4:$B$4996,0)),"Produto não encontrado"),"")</f>
        <v/>
      </c>
    </row>
    <row r="9796" spans="1:5" x14ac:dyDescent="0.3">
      <c r="A9796" s="21" t="str">
        <f t="shared" si="153"/>
        <v>.</v>
      </c>
      <c r="D9796" s="44"/>
      <c r="E9796" s="22" t="str">
        <f>IF(D9796&lt;&gt;"",IFERROR(INDEX(Produtos!$C$4:$C$4996,MATCH(D9796,Produtos!$B$4:$B$4996,0)),"Produto não encontrado"),"")</f>
        <v/>
      </c>
    </row>
    <row r="9797" spans="1:5" x14ac:dyDescent="0.3">
      <c r="A9797" s="21" t="str">
        <f t="shared" si="153"/>
        <v>.</v>
      </c>
      <c r="D9797" s="44"/>
      <c r="E9797" s="22" t="str">
        <f>IF(D9797&lt;&gt;"",IFERROR(INDEX(Produtos!$C$4:$C$4996,MATCH(D9797,Produtos!$B$4:$B$4996,0)),"Produto não encontrado"),"")</f>
        <v/>
      </c>
    </row>
    <row r="9798" spans="1:5" x14ac:dyDescent="0.3">
      <c r="A9798" s="21" t="str">
        <f t="shared" si="153"/>
        <v>.</v>
      </c>
      <c r="D9798" s="44"/>
      <c r="E9798" s="22" t="str">
        <f>IF(D9798&lt;&gt;"",IFERROR(INDEX(Produtos!$C$4:$C$4996,MATCH(D9798,Produtos!$B$4:$B$4996,0)),"Produto não encontrado"),"")</f>
        <v/>
      </c>
    </row>
    <row r="9799" spans="1:5" x14ac:dyDescent="0.3">
      <c r="A9799" s="21" t="str">
        <f t="shared" si="153"/>
        <v>.</v>
      </c>
      <c r="D9799" s="44"/>
      <c r="E9799" s="22" t="str">
        <f>IF(D9799&lt;&gt;"",IFERROR(INDEX(Produtos!$C$4:$C$4996,MATCH(D9799,Produtos!$B$4:$B$4996,0)),"Produto não encontrado"),"")</f>
        <v/>
      </c>
    </row>
    <row r="9800" spans="1:5" x14ac:dyDescent="0.3">
      <c r="A9800" s="21" t="str">
        <f t="shared" si="153"/>
        <v>.</v>
      </c>
      <c r="D9800" s="44"/>
      <c r="E9800" s="22" t="str">
        <f>IF(D9800&lt;&gt;"",IFERROR(INDEX(Produtos!$C$4:$C$4996,MATCH(D9800,Produtos!$B$4:$B$4996,0)),"Produto não encontrado"),"")</f>
        <v/>
      </c>
    </row>
    <row r="9801" spans="1:5" x14ac:dyDescent="0.3">
      <c r="A9801" s="21" t="str">
        <f t="shared" si="153"/>
        <v>.</v>
      </c>
      <c r="D9801" s="44"/>
      <c r="E9801" s="22" t="str">
        <f>IF(D9801&lt;&gt;"",IFERROR(INDEX(Produtos!$C$4:$C$4996,MATCH(D9801,Produtos!$B$4:$B$4996,0)),"Produto não encontrado"),"")</f>
        <v/>
      </c>
    </row>
    <row r="9802" spans="1:5" x14ac:dyDescent="0.3">
      <c r="A9802" s="21" t="str">
        <f t="shared" si="153"/>
        <v>.</v>
      </c>
      <c r="D9802" s="44"/>
      <c r="E9802" s="22" t="str">
        <f>IF(D9802&lt;&gt;"",IFERROR(INDEX(Produtos!$C$4:$C$4996,MATCH(D9802,Produtos!$B$4:$B$4996,0)),"Produto não encontrado"),"")</f>
        <v/>
      </c>
    </row>
    <row r="9803" spans="1:5" x14ac:dyDescent="0.3">
      <c r="A9803" s="21" t="str">
        <f t="shared" si="153"/>
        <v>.</v>
      </c>
      <c r="D9803" s="44"/>
      <c r="E9803" s="22" t="str">
        <f>IF(D9803&lt;&gt;"",IFERROR(INDEX(Produtos!$C$4:$C$4996,MATCH(D9803,Produtos!$B$4:$B$4996,0)),"Produto não encontrado"),"")</f>
        <v/>
      </c>
    </row>
    <row r="9804" spans="1:5" x14ac:dyDescent="0.3">
      <c r="A9804" s="21" t="str">
        <f t="shared" si="153"/>
        <v>.</v>
      </c>
      <c r="D9804" s="44"/>
      <c r="E9804" s="22" t="str">
        <f>IF(D9804&lt;&gt;"",IFERROR(INDEX(Produtos!$C$4:$C$4996,MATCH(D9804,Produtos!$B$4:$B$4996,0)),"Produto não encontrado"),"")</f>
        <v/>
      </c>
    </row>
    <row r="9805" spans="1:5" x14ac:dyDescent="0.3">
      <c r="A9805" s="21" t="str">
        <f t="shared" si="153"/>
        <v>.</v>
      </c>
      <c r="D9805" s="44"/>
      <c r="E9805" s="22" t="str">
        <f>IF(D9805&lt;&gt;"",IFERROR(INDEX(Produtos!$C$4:$C$4996,MATCH(D9805,Produtos!$B$4:$B$4996,0)),"Produto não encontrado"),"")</f>
        <v/>
      </c>
    </row>
    <row r="9806" spans="1:5" x14ac:dyDescent="0.3">
      <c r="A9806" s="21" t="str">
        <f t="shared" si="153"/>
        <v>.</v>
      </c>
      <c r="D9806" s="44"/>
      <c r="E9806" s="22" t="str">
        <f>IF(D9806&lt;&gt;"",IFERROR(INDEX(Produtos!$C$4:$C$4996,MATCH(D9806,Produtos!$B$4:$B$4996,0)),"Produto não encontrado"),"")</f>
        <v/>
      </c>
    </row>
    <row r="9807" spans="1:5" x14ac:dyDescent="0.3">
      <c r="A9807" s="21" t="str">
        <f t="shared" si="153"/>
        <v>.</v>
      </c>
      <c r="D9807" s="44"/>
      <c r="E9807" s="22" t="str">
        <f>IF(D9807&lt;&gt;"",IFERROR(INDEX(Produtos!$C$4:$C$4996,MATCH(D9807,Produtos!$B$4:$B$4996,0)),"Produto não encontrado"),"")</f>
        <v/>
      </c>
    </row>
    <row r="9808" spans="1:5" x14ac:dyDescent="0.3">
      <c r="A9808" s="21" t="str">
        <f t="shared" si="153"/>
        <v>.</v>
      </c>
      <c r="D9808" s="44"/>
      <c r="E9808" s="22" t="str">
        <f>IF(D9808&lt;&gt;"",IFERROR(INDEX(Produtos!$C$4:$C$4996,MATCH(D9808,Produtos!$B$4:$B$4996,0)),"Produto não encontrado"),"")</f>
        <v/>
      </c>
    </row>
    <row r="9809" spans="1:5" x14ac:dyDescent="0.3">
      <c r="A9809" s="21" t="str">
        <f t="shared" si="153"/>
        <v>.</v>
      </c>
      <c r="D9809" s="44"/>
      <c r="E9809" s="22" t="str">
        <f>IF(D9809&lt;&gt;"",IFERROR(INDEX(Produtos!$C$4:$C$4996,MATCH(D9809,Produtos!$B$4:$B$4996,0)),"Produto não encontrado"),"")</f>
        <v/>
      </c>
    </row>
    <row r="9810" spans="1:5" x14ac:dyDescent="0.3">
      <c r="A9810" s="21" t="str">
        <f t="shared" si="153"/>
        <v>.</v>
      </c>
      <c r="D9810" s="44"/>
      <c r="E9810" s="22" t="str">
        <f>IF(D9810&lt;&gt;"",IFERROR(INDEX(Produtos!$C$4:$C$4996,MATCH(D9810,Produtos!$B$4:$B$4996,0)),"Produto não encontrado"),"")</f>
        <v/>
      </c>
    </row>
    <row r="9811" spans="1:5" x14ac:dyDescent="0.3">
      <c r="A9811" s="21" t="str">
        <f t="shared" si="153"/>
        <v>.</v>
      </c>
      <c r="D9811" s="44"/>
      <c r="E9811" s="22" t="str">
        <f>IF(D9811&lt;&gt;"",IFERROR(INDEX(Produtos!$C$4:$C$4996,MATCH(D9811,Produtos!$B$4:$B$4996,0)),"Produto não encontrado"),"")</f>
        <v/>
      </c>
    </row>
    <row r="9812" spans="1:5" x14ac:dyDescent="0.3">
      <c r="A9812" s="21" t="str">
        <f t="shared" si="153"/>
        <v>.</v>
      </c>
      <c r="D9812" s="44"/>
      <c r="E9812" s="22" t="str">
        <f>IF(D9812&lt;&gt;"",IFERROR(INDEX(Produtos!$C$4:$C$4996,MATCH(D9812,Produtos!$B$4:$B$4996,0)),"Produto não encontrado"),"")</f>
        <v/>
      </c>
    </row>
    <row r="9813" spans="1:5" x14ac:dyDescent="0.3">
      <c r="A9813" s="21" t="str">
        <f t="shared" si="153"/>
        <v>.</v>
      </c>
      <c r="D9813" s="44"/>
      <c r="E9813" s="22" t="str">
        <f>IF(D9813&lt;&gt;"",IFERROR(INDEX(Produtos!$C$4:$C$4996,MATCH(D9813,Produtos!$B$4:$B$4996,0)),"Produto não encontrado"),"")</f>
        <v/>
      </c>
    </row>
    <row r="9814" spans="1:5" x14ac:dyDescent="0.3">
      <c r="A9814" s="21" t="str">
        <f t="shared" si="153"/>
        <v>.</v>
      </c>
      <c r="D9814" s="44"/>
      <c r="E9814" s="22" t="str">
        <f>IF(D9814&lt;&gt;"",IFERROR(INDEX(Produtos!$C$4:$C$4996,MATCH(D9814,Produtos!$B$4:$B$4996,0)),"Produto não encontrado"),"")</f>
        <v/>
      </c>
    </row>
    <row r="9815" spans="1:5" x14ac:dyDescent="0.3">
      <c r="A9815" s="21" t="str">
        <f t="shared" si="153"/>
        <v>.</v>
      </c>
      <c r="D9815" s="44"/>
      <c r="E9815" s="22" t="str">
        <f>IF(D9815&lt;&gt;"",IFERROR(INDEX(Produtos!$C$4:$C$4996,MATCH(D9815,Produtos!$B$4:$B$4996,0)),"Produto não encontrado"),"")</f>
        <v/>
      </c>
    </row>
    <row r="9816" spans="1:5" x14ac:dyDescent="0.3">
      <c r="A9816" s="21" t="str">
        <f t="shared" si="153"/>
        <v>.</v>
      </c>
      <c r="D9816" s="44"/>
      <c r="E9816" s="22" t="str">
        <f>IF(D9816&lt;&gt;"",IFERROR(INDEX(Produtos!$C$4:$C$4996,MATCH(D9816,Produtos!$B$4:$B$4996,0)),"Produto não encontrado"),"")</f>
        <v/>
      </c>
    </row>
    <row r="9817" spans="1:5" x14ac:dyDescent="0.3">
      <c r="A9817" s="21" t="str">
        <f t="shared" si="153"/>
        <v>.</v>
      </c>
      <c r="D9817" s="44"/>
      <c r="E9817" s="22" t="str">
        <f>IF(D9817&lt;&gt;"",IFERROR(INDEX(Produtos!$C$4:$C$4996,MATCH(D9817,Produtos!$B$4:$B$4996,0)),"Produto não encontrado"),"")</f>
        <v/>
      </c>
    </row>
    <row r="9818" spans="1:5" x14ac:dyDescent="0.3">
      <c r="A9818" s="21" t="str">
        <f t="shared" si="153"/>
        <v>.</v>
      </c>
      <c r="D9818" s="44"/>
      <c r="E9818" s="22" t="str">
        <f>IF(D9818&lt;&gt;"",IFERROR(INDEX(Produtos!$C$4:$C$4996,MATCH(D9818,Produtos!$B$4:$B$4996,0)),"Produto não encontrado"),"")</f>
        <v/>
      </c>
    </row>
    <row r="9819" spans="1:5" x14ac:dyDescent="0.3">
      <c r="A9819" s="21" t="str">
        <f t="shared" si="153"/>
        <v>.</v>
      </c>
      <c r="D9819" s="44"/>
      <c r="E9819" s="22" t="str">
        <f>IF(D9819&lt;&gt;"",IFERROR(INDEX(Produtos!$C$4:$C$4996,MATCH(D9819,Produtos!$B$4:$B$4996,0)),"Produto não encontrado"),"")</f>
        <v/>
      </c>
    </row>
    <row r="9820" spans="1:5" x14ac:dyDescent="0.3">
      <c r="A9820" s="21" t="str">
        <f t="shared" si="153"/>
        <v>.</v>
      </c>
      <c r="D9820" s="44"/>
      <c r="E9820" s="22" t="str">
        <f>IF(D9820&lt;&gt;"",IFERROR(INDEX(Produtos!$C$4:$C$4996,MATCH(D9820,Produtos!$B$4:$B$4996,0)),"Produto não encontrado"),"")</f>
        <v/>
      </c>
    </row>
    <row r="9821" spans="1:5" x14ac:dyDescent="0.3">
      <c r="A9821" s="21" t="str">
        <f t="shared" si="153"/>
        <v>.</v>
      </c>
      <c r="D9821" s="44"/>
      <c r="E9821" s="22" t="str">
        <f>IF(D9821&lt;&gt;"",IFERROR(INDEX(Produtos!$C$4:$C$4996,MATCH(D9821,Produtos!$B$4:$B$4996,0)),"Produto não encontrado"),"")</f>
        <v/>
      </c>
    </row>
    <row r="9822" spans="1:5" x14ac:dyDescent="0.3">
      <c r="A9822" s="21" t="str">
        <f t="shared" si="153"/>
        <v>.</v>
      </c>
      <c r="D9822" s="44"/>
      <c r="E9822" s="22" t="str">
        <f>IF(D9822&lt;&gt;"",IFERROR(INDEX(Produtos!$C$4:$C$4996,MATCH(D9822,Produtos!$B$4:$B$4996,0)),"Produto não encontrado"),"")</f>
        <v/>
      </c>
    </row>
    <row r="9823" spans="1:5" x14ac:dyDescent="0.3">
      <c r="A9823" s="21" t="str">
        <f t="shared" si="153"/>
        <v>.</v>
      </c>
      <c r="D9823" s="44"/>
      <c r="E9823" s="22" t="str">
        <f>IF(D9823&lt;&gt;"",IFERROR(INDEX(Produtos!$C$4:$C$4996,MATCH(D9823,Produtos!$B$4:$B$4996,0)),"Produto não encontrado"),"")</f>
        <v/>
      </c>
    </row>
    <row r="9824" spans="1:5" x14ac:dyDescent="0.3">
      <c r="A9824" s="21" t="str">
        <f t="shared" si="153"/>
        <v>.</v>
      </c>
      <c r="D9824" s="44"/>
      <c r="E9824" s="22" t="str">
        <f>IF(D9824&lt;&gt;"",IFERROR(INDEX(Produtos!$C$4:$C$4996,MATCH(D9824,Produtos!$B$4:$B$4996,0)),"Produto não encontrado"),"")</f>
        <v/>
      </c>
    </row>
    <row r="9825" spans="1:5" x14ac:dyDescent="0.3">
      <c r="A9825" s="21" t="str">
        <f t="shared" si="153"/>
        <v>.</v>
      </c>
      <c r="D9825" s="44"/>
      <c r="E9825" s="22" t="str">
        <f>IF(D9825&lt;&gt;"",IFERROR(INDEX(Produtos!$C$4:$C$4996,MATCH(D9825,Produtos!$B$4:$B$4996,0)),"Produto não encontrado"),"")</f>
        <v/>
      </c>
    </row>
    <row r="9826" spans="1:5" x14ac:dyDescent="0.3">
      <c r="A9826" s="21" t="str">
        <f t="shared" si="153"/>
        <v>.</v>
      </c>
      <c r="D9826" s="44"/>
      <c r="E9826" s="22" t="str">
        <f>IF(D9826&lt;&gt;"",IFERROR(INDEX(Produtos!$C$4:$C$4996,MATCH(D9826,Produtos!$B$4:$B$4996,0)),"Produto não encontrado"),"")</f>
        <v/>
      </c>
    </row>
    <row r="9827" spans="1:5" x14ac:dyDescent="0.3">
      <c r="A9827" s="21" t="str">
        <f t="shared" si="153"/>
        <v>.</v>
      </c>
      <c r="D9827" s="44"/>
      <c r="E9827" s="22" t="str">
        <f>IF(D9827&lt;&gt;"",IFERROR(INDEX(Produtos!$C$4:$C$4996,MATCH(D9827,Produtos!$B$4:$B$4996,0)),"Produto não encontrado"),"")</f>
        <v/>
      </c>
    </row>
    <row r="9828" spans="1:5" x14ac:dyDescent="0.3">
      <c r="A9828" s="21" t="str">
        <f t="shared" si="153"/>
        <v>.</v>
      </c>
      <c r="D9828" s="44"/>
      <c r="E9828" s="22" t="str">
        <f>IF(D9828&lt;&gt;"",IFERROR(INDEX(Produtos!$C$4:$C$4996,MATCH(D9828,Produtos!$B$4:$B$4996,0)),"Produto não encontrado"),"")</f>
        <v/>
      </c>
    </row>
    <row r="9829" spans="1:5" x14ac:dyDescent="0.3">
      <c r="A9829" s="21" t="str">
        <f t="shared" si="153"/>
        <v>.</v>
      </c>
      <c r="D9829" s="44"/>
      <c r="E9829" s="22" t="str">
        <f>IF(D9829&lt;&gt;"",IFERROR(INDEX(Produtos!$C$4:$C$4996,MATCH(D9829,Produtos!$B$4:$B$4996,0)),"Produto não encontrado"),"")</f>
        <v/>
      </c>
    </row>
    <row r="9830" spans="1:5" x14ac:dyDescent="0.3">
      <c r="A9830" s="21" t="str">
        <f t="shared" si="153"/>
        <v>.</v>
      </c>
      <c r="D9830" s="44"/>
      <c r="E9830" s="22" t="str">
        <f>IF(D9830&lt;&gt;"",IFERROR(INDEX(Produtos!$C$4:$C$4996,MATCH(D9830,Produtos!$B$4:$B$4996,0)),"Produto não encontrado"),"")</f>
        <v/>
      </c>
    </row>
    <row r="9831" spans="1:5" x14ac:dyDescent="0.3">
      <c r="A9831" s="21" t="str">
        <f t="shared" si="153"/>
        <v>.</v>
      </c>
      <c r="D9831" s="44"/>
      <c r="E9831" s="22" t="str">
        <f>IF(D9831&lt;&gt;"",IFERROR(INDEX(Produtos!$C$4:$C$4996,MATCH(D9831,Produtos!$B$4:$B$4996,0)),"Produto não encontrado"),"")</f>
        <v/>
      </c>
    </row>
    <row r="9832" spans="1:5" x14ac:dyDescent="0.3">
      <c r="A9832" s="21" t="str">
        <f t="shared" si="153"/>
        <v>.</v>
      </c>
      <c r="D9832" s="44"/>
      <c r="E9832" s="22" t="str">
        <f>IF(D9832&lt;&gt;"",IFERROR(INDEX(Produtos!$C$4:$C$4996,MATCH(D9832,Produtos!$B$4:$B$4996,0)),"Produto não encontrado"),"")</f>
        <v/>
      </c>
    </row>
    <row r="9833" spans="1:5" x14ac:dyDescent="0.3">
      <c r="A9833" s="21" t="str">
        <f t="shared" si="153"/>
        <v>.</v>
      </c>
      <c r="D9833" s="44"/>
      <c r="E9833" s="22" t="str">
        <f>IF(D9833&lt;&gt;"",IFERROR(INDEX(Produtos!$C$4:$C$4996,MATCH(D9833,Produtos!$B$4:$B$4996,0)),"Produto não encontrado"),"")</f>
        <v/>
      </c>
    </row>
    <row r="9834" spans="1:5" x14ac:dyDescent="0.3">
      <c r="A9834" s="21" t="str">
        <f t="shared" si="153"/>
        <v>.</v>
      </c>
      <c r="D9834" s="44"/>
      <c r="E9834" s="22" t="str">
        <f>IF(D9834&lt;&gt;"",IFERROR(INDEX(Produtos!$C$4:$C$4996,MATCH(D9834,Produtos!$B$4:$B$4996,0)),"Produto não encontrado"),"")</f>
        <v/>
      </c>
    </row>
    <row r="9835" spans="1:5" x14ac:dyDescent="0.3">
      <c r="A9835" s="21" t="str">
        <f t="shared" si="153"/>
        <v>.</v>
      </c>
      <c r="D9835" s="44"/>
      <c r="E9835" s="22" t="str">
        <f>IF(D9835&lt;&gt;"",IFERROR(INDEX(Produtos!$C$4:$C$4996,MATCH(D9835,Produtos!$B$4:$B$4996,0)),"Produto não encontrado"),"")</f>
        <v/>
      </c>
    </row>
    <row r="9836" spans="1:5" x14ac:dyDescent="0.3">
      <c r="A9836" s="21" t="str">
        <f t="shared" si="153"/>
        <v>.</v>
      </c>
      <c r="D9836" s="44"/>
      <c r="E9836" s="22" t="str">
        <f>IF(D9836&lt;&gt;"",IFERROR(INDEX(Produtos!$C$4:$C$4996,MATCH(D9836,Produtos!$B$4:$B$4996,0)),"Produto não encontrado"),"")</f>
        <v/>
      </c>
    </row>
    <row r="9837" spans="1:5" x14ac:dyDescent="0.3">
      <c r="A9837" s="21" t="str">
        <f t="shared" si="153"/>
        <v>.</v>
      </c>
      <c r="D9837" s="44"/>
      <c r="E9837" s="22" t="str">
        <f>IF(D9837&lt;&gt;"",IFERROR(INDEX(Produtos!$C$4:$C$4996,MATCH(D9837,Produtos!$B$4:$B$4996,0)),"Produto não encontrado"),"")</f>
        <v/>
      </c>
    </row>
    <row r="9838" spans="1:5" x14ac:dyDescent="0.3">
      <c r="A9838" s="21" t="str">
        <f t="shared" si="153"/>
        <v>.</v>
      </c>
      <c r="D9838" s="44"/>
      <c r="E9838" s="22" t="str">
        <f>IF(D9838&lt;&gt;"",IFERROR(INDEX(Produtos!$C$4:$C$4996,MATCH(D9838,Produtos!$B$4:$B$4996,0)),"Produto não encontrado"),"")</f>
        <v/>
      </c>
    </row>
    <row r="9839" spans="1:5" x14ac:dyDescent="0.3">
      <c r="A9839" s="21" t="str">
        <f t="shared" si="153"/>
        <v>.</v>
      </c>
      <c r="D9839" s="44"/>
      <c r="E9839" s="22" t="str">
        <f>IF(D9839&lt;&gt;"",IFERROR(INDEX(Produtos!$C$4:$C$4996,MATCH(D9839,Produtos!$B$4:$B$4996,0)),"Produto não encontrado"),"")</f>
        <v/>
      </c>
    </row>
    <row r="9840" spans="1:5" x14ac:dyDescent="0.3">
      <c r="A9840" s="21" t="str">
        <f t="shared" si="153"/>
        <v>.</v>
      </c>
      <c r="D9840" s="44"/>
      <c r="E9840" s="22" t="str">
        <f>IF(D9840&lt;&gt;"",IFERROR(INDEX(Produtos!$C$4:$C$4996,MATCH(D9840,Produtos!$B$4:$B$4996,0)),"Produto não encontrado"),"")</f>
        <v/>
      </c>
    </row>
    <row r="9841" spans="1:5" x14ac:dyDescent="0.3">
      <c r="A9841" s="21" t="str">
        <f t="shared" si="153"/>
        <v>.</v>
      </c>
      <c r="D9841" s="44"/>
      <c r="E9841" s="22" t="str">
        <f>IF(D9841&lt;&gt;"",IFERROR(INDEX(Produtos!$C$4:$C$4996,MATCH(D9841,Produtos!$B$4:$B$4996,0)),"Produto não encontrado"),"")</f>
        <v/>
      </c>
    </row>
    <row r="9842" spans="1:5" x14ac:dyDescent="0.3">
      <c r="A9842" s="21" t="str">
        <f t="shared" si="153"/>
        <v>.</v>
      </c>
      <c r="D9842" s="44"/>
      <c r="E9842" s="22" t="str">
        <f>IF(D9842&lt;&gt;"",IFERROR(INDEX(Produtos!$C$4:$C$4996,MATCH(D9842,Produtos!$B$4:$B$4996,0)),"Produto não encontrado"),"")</f>
        <v/>
      </c>
    </row>
    <row r="9843" spans="1:5" x14ac:dyDescent="0.3">
      <c r="A9843" s="21" t="str">
        <f t="shared" si="153"/>
        <v>.</v>
      </c>
      <c r="D9843" s="44"/>
      <c r="E9843" s="22" t="str">
        <f>IF(D9843&lt;&gt;"",IFERROR(INDEX(Produtos!$C$4:$C$4996,MATCH(D9843,Produtos!$B$4:$B$4996,0)),"Produto não encontrado"),"")</f>
        <v/>
      </c>
    </row>
    <row r="9844" spans="1:5" x14ac:dyDescent="0.3">
      <c r="A9844" s="21" t="str">
        <f t="shared" si="153"/>
        <v>.</v>
      </c>
      <c r="D9844" s="44"/>
      <c r="E9844" s="22" t="str">
        <f>IF(D9844&lt;&gt;"",IFERROR(INDEX(Produtos!$C$4:$C$4996,MATCH(D9844,Produtos!$B$4:$B$4996,0)),"Produto não encontrado"),"")</f>
        <v/>
      </c>
    </row>
    <row r="9845" spans="1:5" x14ac:dyDescent="0.3">
      <c r="A9845" s="21" t="str">
        <f t="shared" si="153"/>
        <v>.</v>
      </c>
      <c r="D9845" s="44"/>
      <c r="E9845" s="22" t="str">
        <f>IF(D9845&lt;&gt;"",IFERROR(INDEX(Produtos!$C$4:$C$4996,MATCH(D9845,Produtos!$B$4:$B$4996,0)),"Produto não encontrado"),"")</f>
        <v/>
      </c>
    </row>
    <row r="9846" spans="1:5" x14ac:dyDescent="0.3">
      <c r="A9846" s="21" t="str">
        <f t="shared" si="153"/>
        <v>.</v>
      </c>
      <c r="D9846" s="44"/>
      <c r="E9846" s="22" t="str">
        <f>IF(D9846&lt;&gt;"",IFERROR(INDEX(Produtos!$C$4:$C$4996,MATCH(D9846,Produtos!$B$4:$B$4996,0)),"Produto não encontrado"),"")</f>
        <v/>
      </c>
    </row>
    <row r="9847" spans="1:5" x14ac:dyDescent="0.3">
      <c r="A9847" s="21" t="str">
        <f t="shared" si="153"/>
        <v>.</v>
      </c>
      <c r="D9847" s="44"/>
      <c r="E9847" s="22" t="str">
        <f>IF(D9847&lt;&gt;"",IFERROR(INDEX(Produtos!$C$4:$C$4996,MATCH(D9847,Produtos!$B$4:$B$4996,0)),"Produto não encontrado"),"")</f>
        <v/>
      </c>
    </row>
    <row r="9848" spans="1:5" x14ac:dyDescent="0.3">
      <c r="A9848" s="21" t="str">
        <f t="shared" si="153"/>
        <v>.</v>
      </c>
      <c r="D9848" s="44"/>
      <c r="E9848" s="22" t="str">
        <f>IF(D9848&lt;&gt;"",IFERROR(INDEX(Produtos!$C$4:$C$4996,MATCH(D9848,Produtos!$B$4:$B$4996,0)),"Produto não encontrado"),"")</f>
        <v/>
      </c>
    </row>
    <row r="9849" spans="1:5" x14ac:dyDescent="0.3">
      <c r="A9849" s="21" t="str">
        <f t="shared" si="153"/>
        <v>.</v>
      </c>
      <c r="D9849" s="44"/>
      <c r="E9849" s="22" t="str">
        <f>IF(D9849&lt;&gt;"",IFERROR(INDEX(Produtos!$C$4:$C$4996,MATCH(D9849,Produtos!$B$4:$B$4996,0)),"Produto não encontrado"),"")</f>
        <v/>
      </c>
    </row>
    <row r="9850" spans="1:5" x14ac:dyDescent="0.3">
      <c r="A9850" s="21" t="str">
        <f t="shared" si="153"/>
        <v>.</v>
      </c>
      <c r="D9850" s="44"/>
      <c r="E9850" s="22" t="str">
        <f>IF(D9850&lt;&gt;"",IFERROR(INDEX(Produtos!$C$4:$C$4996,MATCH(D9850,Produtos!$B$4:$B$4996,0)),"Produto não encontrado"),"")</f>
        <v/>
      </c>
    </row>
    <row r="9851" spans="1:5" x14ac:dyDescent="0.3">
      <c r="A9851" s="21" t="str">
        <f t="shared" si="153"/>
        <v>.</v>
      </c>
      <c r="D9851" s="44"/>
      <c r="E9851" s="22" t="str">
        <f>IF(D9851&lt;&gt;"",IFERROR(INDEX(Produtos!$C$4:$C$4996,MATCH(D9851,Produtos!$B$4:$B$4996,0)),"Produto não encontrado"),"")</f>
        <v/>
      </c>
    </row>
    <row r="9852" spans="1:5" x14ac:dyDescent="0.3">
      <c r="A9852" s="21" t="str">
        <f t="shared" si="153"/>
        <v>.</v>
      </c>
      <c r="D9852" s="44"/>
      <c r="E9852" s="22" t="str">
        <f>IF(D9852&lt;&gt;"",IFERROR(INDEX(Produtos!$C$4:$C$4996,MATCH(D9852,Produtos!$B$4:$B$4996,0)),"Produto não encontrado"),"")</f>
        <v/>
      </c>
    </row>
    <row r="9853" spans="1:5" x14ac:dyDescent="0.3">
      <c r="A9853" s="21" t="str">
        <f t="shared" si="153"/>
        <v>.</v>
      </c>
      <c r="D9853" s="44"/>
      <c r="E9853" s="22" t="str">
        <f>IF(D9853&lt;&gt;"",IFERROR(INDEX(Produtos!$C$4:$C$4996,MATCH(D9853,Produtos!$B$4:$B$4996,0)),"Produto não encontrado"),"")</f>
        <v/>
      </c>
    </row>
    <row r="9854" spans="1:5" x14ac:dyDescent="0.3">
      <c r="A9854" s="21" t="str">
        <f t="shared" si="153"/>
        <v>.</v>
      </c>
      <c r="D9854" s="44"/>
      <c r="E9854" s="22" t="str">
        <f>IF(D9854&lt;&gt;"",IFERROR(INDEX(Produtos!$C$4:$C$4996,MATCH(D9854,Produtos!$B$4:$B$4996,0)),"Produto não encontrado"),"")</f>
        <v/>
      </c>
    </row>
    <row r="9855" spans="1:5" x14ac:dyDescent="0.3">
      <c r="A9855" s="21" t="str">
        <f t="shared" si="153"/>
        <v>.</v>
      </c>
      <c r="D9855" s="44"/>
      <c r="E9855" s="22" t="str">
        <f>IF(D9855&lt;&gt;"",IFERROR(INDEX(Produtos!$C$4:$C$4996,MATCH(D9855,Produtos!$B$4:$B$4996,0)),"Produto não encontrado"),"")</f>
        <v/>
      </c>
    </row>
    <row r="9856" spans="1:5" x14ac:dyDescent="0.3">
      <c r="A9856" s="21" t="str">
        <f t="shared" ref="A9856:A9919" si="154">IF(C9856="Entrada",2,IF(C9856="Saída",1,"."))</f>
        <v>.</v>
      </c>
      <c r="D9856" s="44"/>
      <c r="E9856" s="22" t="str">
        <f>IF(D9856&lt;&gt;"",IFERROR(INDEX(Produtos!$C$4:$C$4996,MATCH(D9856,Produtos!$B$4:$B$4996,0)),"Produto não encontrado"),"")</f>
        <v/>
      </c>
    </row>
    <row r="9857" spans="1:5" x14ac:dyDescent="0.3">
      <c r="A9857" s="21" t="str">
        <f t="shared" si="154"/>
        <v>.</v>
      </c>
      <c r="D9857" s="44"/>
      <c r="E9857" s="22" t="str">
        <f>IF(D9857&lt;&gt;"",IFERROR(INDEX(Produtos!$C$4:$C$4996,MATCH(D9857,Produtos!$B$4:$B$4996,0)),"Produto não encontrado"),"")</f>
        <v/>
      </c>
    </row>
    <row r="9858" spans="1:5" x14ac:dyDescent="0.3">
      <c r="A9858" s="21" t="str">
        <f t="shared" si="154"/>
        <v>.</v>
      </c>
      <c r="D9858" s="44"/>
      <c r="E9858" s="22" t="str">
        <f>IF(D9858&lt;&gt;"",IFERROR(INDEX(Produtos!$C$4:$C$4996,MATCH(D9858,Produtos!$B$4:$B$4996,0)),"Produto não encontrado"),"")</f>
        <v/>
      </c>
    </row>
    <row r="9859" spans="1:5" x14ac:dyDescent="0.3">
      <c r="A9859" s="21" t="str">
        <f t="shared" si="154"/>
        <v>.</v>
      </c>
      <c r="D9859" s="44"/>
      <c r="E9859" s="22" t="str">
        <f>IF(D9859&lt;&gt;"",IFERROR(INDEX(Produtos!$C$4:$C$4996,MATCH(D9859,Produtos!$B$4:$B$4996,0)),"Produto não encontrado"),"")</f>
        <v/>
      </c>
    </row>
    <row r="9860" spans="1:5" x14ac:dyDescent="0.3">
      <c r="A9860" s="21" t="str">
        <f t="shared" si="154"/>
        <v>.</v>
      </c>
      <c r="D9860" s="44"/>
      <c r="E9860" s="22" t="str">
        <f>IF(D9860&lt;&gt;"",IFERROR(INDEX(Produtos!$C$4:$C$4996,MATCH(D9860,Produtos!$B$4:$B$4996,0)),"Produto não encontrado"),"")</f>
        <v/>
      </c>
    </row>
    <row r="9861" spans="1:5" x14ac:dyDescent="0.3">
      <c r="A9861" s="21" t="str">
        <f t="shared" si="154"/>
        <v>.</v>
      </c>
      <c r="D9861" s="44"/>
      <c r="E9861" s="22" t="str">
        <f>IF(D9861&lt;&gt;"",IFERROR(INDEX(Produtos!$C$4:$C$4996,MATCH(D9861,Produtos!$B$4:$B$4996,0)),"Produto não encontrado"),"")</f>
        <v/>
      </c>
    </row>
    <row r="9862" spans="1:5" x14ac:dyDescent="0.3">
      <c r="A9862" s="21" t="str">
        <f t="shared" si="154"/>
        <v>.</v>
      </c>
      <c r="D9862" s="44"/>
      <c r="E9862" s="22" t="str">
        <f>IF(D9862&lt;&gt;"",IFERROR(INDEX(Produtos!$C$4:$C$4996,MATCH(D9862,Produtos!$B$4:$B$4996,0)),"Produto não encontrado"),"")</f>
        <v/>
      </c>
    </row>
    <row r="9863" spans="1:5" x14ac:dyDescent="0.3">
      <c r="A9863" s="21" t="str">
        <f t="shared" si="154"/>
        <v>.</v>
      </c>
      <c r="D9863" s="44"/>
      <c r="E9863" s="22" t="str">
        <f>IF(D9863&lt;&gt;"",IFERROR(INDEX(Produtos!$C$4:$C$4996,MATCH(D9863,Produtos!$B$4:$B$4996,0)),"Produto não encontrado"),"")</f>
        <v/>
      </c>
    </row>
    <row r="9864" spans="1:5" x14ac:dyDescent="0.3">
      <c r="A9864" s="21" t="str">
        <f t="shared" si="154"/>
        <v>.</v>
      </c>
      <c r="D9864" s="44"/>
      <c r="E9864" s="22" t="str">
        <f>IF(D9864&lt;&gt;"",IFERROR(INDEX(Produtos!$C$4:$C$4996,MATCH(D9864,Produtos!$B$4:$B$4996,0)),"Produto não encontrado"),"")</f>
        <v/>
      </c>
    </row>
    <row r="9865" spans="1:5" x14ac:dyDescent="0.3">
      <c r="A9865" s="21" t="str">
        <f t="shared" si="154"/>
        <v>.</v>
      </c>
      <c r="D9865" s="44"/>
      <c r="E9865" s="22" t="str">
        <f>IF(D9865&lt;&gt;"",IFERROR(INDEX(Produtos!$C$4:$C$4996,MATCH(D9865,Produtos!$B$4:$B$4996,0)),"Produto não encontrado"),"")</f>
        <v/>
      </c>
    </row>
    <row r="9866" spans="1:5" x14ac:dyDescent="0.3">
      <c r="A9866" s="21" t="str">
        <f t="shared" si="154"/>
        <v>.</v>
      </c>
      <c r="D9866" s="44"/>
      <c r="E9866" s="22" t="str">
        <f>IF(D9866&lt;&gt;"",IFERROR(INDEX(Produtos!$C$4:$C$4996,MATCH(D9866,Produtos!$B$4:$B$4996,0)),"Produto não encontrado"),"")</f>
        <v/>
      </c>
    </row>
    <row r="9867" spans="1:5" x14ac:dyDescent="0.3">
      <c r="A9867" s="21" t="str">
        <f t="shared" si="154"/>
        <v>.</v>
      </c>
      <c r="D9867" s="44"/>
      <c r="E9867" s="22" t="str">
        <f>IF(D9867&lt;&gt;"",IFERROR(INDEX(Produtos!$C$4:$C$4996,MATCH(D9867,Produtos!$B$4:$B$4996,0)),"Produto não encontrado"),"")</f>
        <v/>
      </c>
    </row>
    <row r="9868" spans="1:5" x14ac:dyDescent="0.3">
      <c r="A9868" s="21" t="str">
        <f t="shared" si="154"/>
        <v>.</v>
      </c>
      <c r="D9868" s="44"/>
      <c r="E9868" s="22" t="str">
        <f>IF(D9868&lt;&gt;"",IFERROR(INDEX(Produtos!$C$4:$C$4996,MATCH(D9868,Produtos!$B$4:$B$4996,0)),"Produto não encontrado"),"")</f>
        <v/>
      </c>
    </row>
    <row r="9869" spans="1:5" x14ac:dyDescent="0.3">
      <c r="A9869" s="21" t="str">
        <f t="shared" si="154"/>
        <v>.</v>
      </c>
      <c r="D9869" s="44"/>
      <c r="E9869" s="22" t="str">
        <f>IF(D9869&lt;&gt;"",IFERROR(INDEX(Produtos!$C$4:$C$4996,MATCH(D9869,Produtos!$B$4:$B$4996,0)),"Produto não encontrado"),"")</f>
        <v/>
      </c>
    </row>
    <row r="9870" spans="1:5" x14ac:dyDescent="0.3">
      <c r="A9870" s="21" t="str">
        <f t="shared" si="154"/>
        <v>.</v>
      </c>
      <c r="D9870" s="44"/>
      <c r="E9870" s="22" t="str">
        <f>IF(D9870&lt;&gt;"",IFERROR(INDEX(Produtos!$C$4:$C$4996,MATCH(D9870,Produtos!$B$4:$B$4996,0)),"Produto não encontrado"),"")</f>
        <v/>
      </c>
    </row>
    <row r="9871" spans="1:5" x14ac:dyDescent="0.3">
      <c r="A9871" s="21" t="str">
        <f t="shared" si="154"/>
        <v>.</v>
      </c>
      <c r="D9871" s="44"/>
      <c r="E9871" s="22" t="str">
        <f>IF(D9871&lt;&gt;"",IFERROR(INDEX(Produtos!$C$4:$C$4996,MATCH(D9871,Produtos!$B$4:$B$4996,0)),"Produto não encontrado"),"")</f>
        <v/>
      </c>
    </row>
    <row r="9872" spans="1:5" x14ac:dyDescent="0.3">
      <c r="A9872" s="21" t="str">
        <f t="shared" si="154"/>
        <v>.</v>
      </c>
      <c r="D9872" s="44"/>
      <c r="E9872" s="22" t="str">
        <f>IF(D9872&lt;&gt;"",IFERROR(INDEX(Produtos!$C$4:$C$4996,MATCH(D9872,Produtos!$B$4:$B$4996,0)),"Produto não encontrado"),"")</f>
        <v/>
      </c>
    </row>
    <row r="9873" spans="1:5" x14ac:dyDescent="0.3">
      <c r="A9873" s="21" t="str">
        <f t="shared" si="154"/>
        <v>.</v>
      </c>
      <c r="D9873" s="44"/>
      <c r="E9873" s="22" t="str">
        <f>IF(D9873&lt;&gt;"",IFERROR(INDEX(Produtos!$C$4:$C$4996,MATCH(D9873,Produtos!$B$4:$B$4996,0)),"Produto não encontrado"),"")</f>
        <v/>
      </c>
    </row>
    <row r="9874" spans="1:5" x14ac:dyDescent="0.3">
      <c r="A9874" s="21" t="str">
        <f t="shared" si="154"/>
        <v>.</v>
      </c>
      <c r="D9874" s="44"/>
      <c r="E9874" s="22" t="str">
        <f>IF(D9874&lt;&gt;"",IFERROR(INDEX(Produtos!$C$4:$C$4996,MATCH(D9874,Produtos!$B$4:$B$4996,0)),"Produto não encontrado"),"")</f>
        <v/>
      </c>
    </row>
    <row r="9875" spans="1:5" x14ac:dyDescent="0.3">
      <c r="A9875" s="21" t="str">
        <f t="shared" si="154"/>
        <v>.</v>
      </c>
      <c r="D9875" s="44"/>
      <c r="E9875" s="22" t="str">
        <f>IF(D9875&lt;&gt;"",IFERROR(INDEX(Produtos!$C$4:$C$4996,MATCH(D9875,Produtos!$B$4:$B$4996,0)),"Produto não encontrado"),"")</f>
        <v/>
      </c>
    </row>
    <row r="9876" spans="1:5" x14ac:dyDescent="0.3">
      <c r="A9876" s="21" t="str">
        <f t="shared" si="154"/>
        <v>.</v>
      </c>
      <c r="D9876" s="44"/>
      <c r="E9876" s="22" t="str">
        <f>IF(D9876&lt;&gt;"",IFERROR(INDEX(Produtos!$C$4:$C$4996,MATCH(D9876,Produtos!$B$4:$B$4996,0)),"Produto não encontrado"),"")</f>
        <v/>
      </c>
    </row>
    <row r="9877" spans="1:5" x14ac:dyDescent="0.3">
      <c r="A9877" s="21" t="str">
        <f t="shared" si="154"/>
        <v>.</v>
      </c>
      <c r="D9877" s="44"/>
      <c r="E9877" s="22" t="str">
        <f>IF(D9877&lt;&gt;"",IFERROR(INDEX(Produtos!$C$4:$C$4996,MATCH(D9877,Produtos!$B$4:$B$4996,0)),"Produto não encontrado"),"")</f>
        <v/>
      </c>
    </row>
    <row r="9878" spans="1:5" x14ac:dyDescent="0.3">
      <c r="A9878" s="21" t="str">
        <f t="shared" si="154"/>
        <v>.</v>
      </c>
      <c r="D9878" s="44"/>
      <c r="E9878" s="22" t="str">
        <f>IF(D9878&lt;&gt;"",IFERROR(INDEX(Produtos!$C$4:$C$4996,MATCH(D9878,Produtos!$B$4:$B$4996,0)),"Produto não encontrado"),"")</f>
        <v/>
      </c>
    </row>
    <row r="9879" spans="1:5" x14ac:dyDescent="0.3">
      <c r="A9879" s="21" t="str">
        <f t="shared" si="154"/>
        <v>.</v>
      </c>
      <c r="D9879" s="44"/>
      <c r="E9879" s="22" t="str">
        <f>IF(D9879&lt;&gt;"",IFERROR(INDEX(Produtos!$C$4:$C$4996,MATCH(D9879,Produtos!$B$4:$B$4996,0)),"Produto não encontrado"),"")</f>
        <v/>
      </c>
    </row>
    <row r="9880" spans="1:5" x14ac:dyDescent="0.3">
      <c r="A9880" s="21" t="str">
        <f t="shared" si="154"/>
        <v>.</v>
      </c>
      <c r="D9880" s="44"/>
      <c r="E9880" s="22" t="str">
        <f>IF(D9880&lt;&gt;"",IFERROR(INDEX(Produtos!$C$4:$C$4996,MATCH(D9880,Produtos!$B$4:$B$4996,0)),"Produto não encontrado"),"")</f>
        <v/>
      </c>
    </row>
    <row r="9881" spans="1:5" x14ac:dyDescent="0.3">
      <c r="A9881" s="21" t="str">
        <f t="shared" si="154"/>
        <v>.</v>
      </c>
      <c r="D9881" s="44"/>
      <c r="E9881" s="22" t="str">
        <f>IF(D9881&lt;&gt;"",IFERROR(INDEX(Produtos!$C$4:$C$4996,MATCH(D9881,Produtos!$B$4:$B$4996,0)),"Produto não encontrado"),"")</f>
        <v/>
      </c>
    </row>
    <row r="9882" spans="1:5" x14ac:dyDescent="0.3">
      <c r="A9882" s="21" t="str">
        <f t="shared" si="154"/>
        <v>.</v>
      </c>
      <c r="D9882" s="44"/>
      <c r="E9882" s="22" t="str">
        <f>IF(D9882&lt;&gt;"",IFERROR(INDEX(Produtos!$C$4:$C$4996,MATCH(D9882,Produtos!$B$4:$B$4996,0)),"Produto não encontrado"),"")</f>
        <v/>
      </c>
    </row>
    <row r="9883" spans="1:5" x14ac:dyDescent="0.3">
      <c r="A9883" s="21" t="str">
        <f t="shared" si="154"/>
        <v>.</v>
      </c>
      <c r="D9883" s="44"/>
      <c r="E9883" s="22" t="str">
        <f>IF(D9883&lt;&gt;"",IFERROR(INDEX(Produtos!$C$4:$C$4996,MATCH(D9883,Produtos!$B$4:$B$4996,0)),"Produto não encontrado"),"")</f>
        <v/>
      </c>
    </row>
    <row r="9884" spans="1:5" x14ac:dyDescent="0.3">
      <c r="A9884" s="21" t="str">
        <f t="shared" si="154"/>
        <v>.</v>
      </c>
      <c r="D9884" s="44"/>
      <c r="E9884" s="22" t="str">
        <f>IF(D9884&lt;&gt;"",IFERROR(INDEX(Produtos!$C$4:$C$4996,MATCH(D9884,Produtos!$B$4:$B$4996,0)),"Produto não encontrado"),"")</f>
        <v/>
      </c>
    </row>
    <row r="9885" spans="1:5" x14ac:dyDescent="0.3">
      <c r="A9885" s="21" t="str">
        <f t="shared" si="154"/>
        <v>.</v>
      </c>
      <c r="D9885" s="44"/>
      <c r="E9885" s="22" t="str">
        <f>IF(D9885&lt;&gt;"",IFERROR(INDEX(Produtos!$C$4:$C$4996,MATCH(D9885,Produtos!$B$4:$B$4996,0)),"Produto não encontrado"),"")</f>
        <v/>
      </c>
    </row>
    <row r="9886" spans="1:5" x14ac:dyDescent="0.3">
      <c r="A9886" s="21" t="str">
        <f t="shared" si="154"/>
        <v>.</v>
      </c>
      <c r="D9886" s="44"/>
      <c r="E9886" s="22" t="str">
        <f>IF(D9886&lt;&gt;"",IFERROR(INDEX(Produtos!$C$4:$C$4996,MATCH(D9886,Produtos!$B$4:$B$4996,0)),"Produto não encontrado"),"")</f>
        <v/>
      </c>
    </row>
    <row r="9887" spans="1:5" x14ac:dyDescent="0.3">
      <c r="A9887" s="21" t="str">
        <f t="shared" si="154"/>
        <v>.</v>
      </c>
      <c r="D9887" s="44"/>
      <c r="E9887" s="22" t="str">
        <f>IF(D9887&lt;&gt;"",IFERROR(INDEX(Produtos!$C$4:$C$4996,MATCH(D9887,Produtos!$B$4:$B$4996,0)),"Produto não encontrado"),"")</f>
        <v/>
      </c>
    </row>
    <row r="9888" spans="1:5" x14ac:dyDescent="0.3">
      <c r="A9888" s="21" t="str">
        <f t="shared" si="154"/>
        <v>.</v>
      </c>
      <c r="D9888" s="44"/>
      <c r="E9888" s="22" t="str">
        <f>IF(D9888&lt;&gt;"",IFERROR(INDEX(Produtos!$C$4:$C$4996,MATCH(D9888,Produtos!$B$4:$B$4996,0)),"Produto não encontrado"),"")</f>
        <v/>
      </c>
    </row>
    <row r="9889" spans="1:5" x14ac:dyDescent="0.3">
      <c r="A9889" s="21" t="str">
        <f t="shared" si="154"/>
        <v>.</v>
      </c>
      <c r="D9889" s="44"/>
      <c r="E9889" s="22" t="str">
        <f>IF(D9889&lt;&gt;"",IFERROR(INDEX(Produtos!$C$4:$C$4996,MATCH(D9889,Produtos!$B$4:$B$4996,0)),"Produto não encontrado"),"")</f>
        <v/>
      </c>
    </row>
    <row r="9890" spans="1:5" x14ac:dyDescent="0.3">
      <c r="A9890" s="21" t="str">
        <f t="shared" si="154"/>
        <v>.</v>
      </c>
      <c r="D9890" s="44"/>
      <c r="E9890" s="22" t="str">
        <f>IF(D9890&lt;&gt;"",IFERROR(INDEX(Produtos!$C$4:$C$4996,MATCH(D9890,Produtos!$B$4:$B$4996,0)),"Produto não encontrado"),"")</f>
        <v/>
      </c>
    </row>
    <row r="9891" spans="1:5" x14ac:dyDescent="0.3">
      <c r="A9891" s="21" t="str">
        <f t="shared" si="154"/>
        <v>.</v>
      </c>
      <c r="D9891" s="44"/>
      <c r="E9891" s="22" t="str">
        <f>IF(D9891&lt;&gt;"",IFERROR(INDEX(Produtos!$C$4:$C$4996,MATCH(D9891,Produtos!$B$4:$B$4996,0)),"Produto não encontrado"),"")</f>
        <v/>
      </c>
    </row>
    <row r="9892" spans="1:5" x14ac:dyDescent="0.3">
      <c r="A9892" s="21" t="str">
        <f t="shared" si="154"/>
        <v>.</v>
      </c>
      <c r="D9892" s="44"/>
      <c r="E9892" s="22" t="str">
        <f>IF(D9892&lt;&gt;"",IFERROR(INDEX(Produtos!$C$4:$C$4996,MATCH(D9892,Produtos!$B$4:$B$4996,0)),"Produto não encontrado"),"")</f>
        <v/>
      </c>
    </row>
    <row r="9893" spans="1:5" x14ac:dyDescent="0.3">
      <c r="A9893" s="21" t="str">
        <f t="shared" si="154"/>
        <v>.</v>
      </c>
      <c r="D9893" s="44"/>
      <c r="E9893" s="22" t="str">
        <f>IF(D9893&lt;&gt;"",IFERROR(INDEX(Produtos!$C$4:$C$4996,MATCH(D9893,Produtos!$B$4:$B$4996,0)),"Produto não encontrado"),"")</f>
        <v/>
      </c>
    </row>
    <row r="9894" spans="1:5" x14ac:dyDescent="0.3">
      <c r="A9894" s="21" t="str">
        <f t="shared" si="154"/>
        <v>.</v>
      </c>
      <c r="D9894" s="44"/>
      <c r="E9894" s="22" t="str">
        <f>IF(D9894&lt;&gt;"",IFERROR(INDEX(Produtos!$C$4:$C$4996,MATCH(D9894,Produtos!$B$4:$B$4996,0)),"Produto não encontrado"),"")</f>
        <v/>
      </c>
    </row>
    <row r="9895" spans="1:5" x14ac:dyDescent="0.3">
      <c r="A9895" s="21" t="str">
        <f t="shared" si="154"/>
        <v>.</v>
      </c>
      <c r="D9895" s="44"/>
      <c r="E9895" s="22" t="str">
        <f>IF(D9895&lt;&gt;"",IFERROR(INDEX(Produtos!$C$4:$C$4996,MATCH(D9895,Produtos!$B$4:$B$4996,0)),"Produto não encontrado"),"")</f>
        <v/>
      </c>
    </row>
    <row r="9896" spans="1:5" x14ac:dyDescent="0.3">
      <c r="A9896" s="21" t="str">
        <f t="shared" si="154"/>
        <v>.</v>
      </c>
      <c r="D9896" s="44"/>
      <c r="E9896" s="22" t="str">
        <f>IF(D9896&lt;&gt;"",IFERROR(INDEX(Produtos!$C$4:$C$4996,MATCH(D9896,Produtos!$B$4:$B$4996,0)),"Produto não encontrado"),"")</f>
        <v/>
      </c>
    </row>
    <row r="9897" spans="1:5" x14ac:dyDescent="0.3">
      <c r="A9897" s="21" t="str">
        <f t="shared" si="154"/>
        <v>.</v>
      </c>
      <c r="D9897" s="44"/>
      <c r="E9897" s="22" t="str">
        <f>IF(D9897&lt;&gt;"",IFERROR(INDEX(Produtos!$C$4:$C$4996,MATCH(D9897,Produtos!$B$4:$B$4996,0)),"Produto não encontrado"),"")</f>
        <v/>
      </c>
    </row>
    <row r="9898" spans="1:5" x14ac:dyDescent="0.3">
      <c r="A9898" s="21" t="str">
        <f t="shared" si="154"/>
        <v>.</v>
      </c>
      <c r="D9898" s="44"/>
      <c r="E9898" s="22" t="str">
        <f>IF(D9898&lt;&gt;"",IFERROR(INDEX(Produtos!$C$4:$C$4996,MATCH(D9898,Produtos!$B$4:$B$4996,0)),"Produto não encontrado"),"")</f>
        <v/>
      </c>
    </row>
    <row r="9899" spans="1:5" x14ac:dyDescent="0.3">
      <c r="A9899" s="21" t="str">
        <f t="shared" si="154"/>
        <v>.</v>
      </c>
      <c r="D9899" s="44"/>
      <c r="E9899" s="22" t="str">
        <f>IF(D9899&lt;&gt;"",IFERROR(INDEX(Produtos!$C$4:$C$4996,MATCH(D9899,Produtos!$B$4:$B$4996,0)),"Produto não encontrado"),"")</f>
        <v/>
      </c>
    </row>
    <row r="9900" spans="1:5" x14ac:dyDescent="0.3">
      <c r="A9900" s="21" t="str">
        <f t="shared" si="154"/>
        <v>.</v>
      </c>
      <c r="D9900" s="44"/>
      <c r="E9900" s="22" t="str">
        <f>IF(D9900&lt;&gt;"",IFERROR(INDEX(Produtos!$C$4:$C$4996,MATCH(D9900,Produtos!$B$4:$B$4996,0)),"Produto não encontrado"),"")</f>
        <v/>
      </c>
    </row>
    <row r="9901" spans="1:5" x14ac:dyDescent="0.3">
      <c r="A9901" s="21" t="str">
        <f t="shared" si="154"/>
        <v>.</v>
      </c>
      <c r="D9901" s="44"/>
      <c r="E9901" s="22" t="str">
        <f>IF(D9901&lt;&gt;"",IFERROR(INDEX(Produtos!$C$4:$C$4996,MATCH(D9901,Produtos!$B$4:$B$4996,0)),"Produto não encontrado"),"")</f>
        <v/>
      </c>
    </row>
    <row r="9902" spans="1:5" x14ac:dyDescent="0.3">
      <c r="A9902" s="21" t="str">
        <f t="shared" si="154"/>
        <v>.</v>
      </c>
      <c r="D9902" s="44"/>
      <c r="E9902" s="22" t="str">
        <f>IF(D9902&lt;&gt;"",IFERROR(INDEX(Produtos!$C$4:$C$4996,MATCH(D9902,Produtos!$B$4:$B$4996,0)),"Produto não encontrado"),"")</f>
        <v/>
      </c>
    </row>
    <row r="9903" spans="1:5" x14ac:dyDescent="0.3">
      <c r="A9903" s="21" t="str">
        <f t="shared" si="154"/>
        <v>.</v>
      </c>
      <c r="D9903" s="44"/>
      <c r="E9903" s="22" t="str">
        <f>IF(D9903&lt;&gt;"",IFERROR(INDEX(Produtos!$C$4:$C$4996,MATCH(D9903,Produtos!$B$4:$B$4996,0)),"Produto não encontrado"),"")</f>
        <v/>
      </c>
    </row>
    <row r="9904" spans="1:5" x14ac:dyDescent="0.3">
      <c r="A9904" s="21" t="str">
        <f t="shared" si="154"/>
        <v>.</v>
      </c>
      <c r="D9904" s="44"/>
      <c r="E9904" s="22" t="str">
        <f>IF(D9904&lt;&gt;"",IFERROR(INDEX(Produtos!$C$4:$C$4996,MATCH(D9904,Produtos!$B$4:$B$4996,0)),"Produto não encontrado"),"")</f>
        <v/>
      </c>
    </row>
    <row r="9905" spans="1:5" x14ac:dyDescent="0.3">
      <c r="A9905" s="21" t="str">
        <f t="shared" si="154"/>
        <v>.</v>
      </c>
      <c r="D9905" s="44"/>
      <c r="E9905" s="22" t="str">
        <f>IF(D9905&lt;&gt;"",IFERROR(INDEX(Produtos!$C$4:$C$4996,MATCH(D9905,Produtos!$B$4:$B$4996,0)),"Produto não encontrado"),"")</f>
        <v/>
      </c>
    </row>
    <row r="9906" spans="1:5" x14ac:dyDescent="0.3">
      <c r="A9906" s="21" t="str">
        <f t="shared" si="154"/>
        <v>.</v>
      </c>
      <c r="D9906" s="44"/>
      <c r="E9906" s="22" t="str">
        <f>IF(D9906&lt;&gt;"",IFERROR(INDEX(Produtos!$C$4:$C$4996,MATCH(D9906,Produtos!$B$4:$B$4996,0)),"Produto não encontrado"),"")</f>
        <v/>
      </c>
    </row>
    <row r="9907" spans="1:5" x14ac:dyDescent="0.3">
      <c r="A9907" s="21" t="str">
        <f t="shared" si="154"/>
        <v>.</v>
      </c>
      <c r="D9907" s="44"/>
      <c r="E9907" s="22" t="str">
        <f>IF(D9907&lt;&gt;"",IFERROR(INDEX(Produtos!$C$4:$C$4996,MATCH(D9907,Produtos!$B$4:$B$4996,0)),"Produto não encontrado"),"")</f>
        <v/>
      </c>
    </row>
    <row r="9908" spans="1:5" x14ac:dyDescent="0.3">
      <c r="A9908" s="21" t="str">
        <f t="shared" si="154"/>
        <v>.</v>
      </c>
      <c r="D9908" s="44"/>
      <c r="E9908" s="22" t="str">
        <f>IF(D9908&lt;&gt;"",IFERROR(INDEX(Produtos!$C$4:$C$4996,MATCH(D9908,Produtos!$B$4:$B$4996,0)),"Produto não encontrado"),"")</f>
        <v/>
      </c>
    </row>
    <row r="9909" spans="1:5" x14ac:dyDescent="0.3">
      <c r="A9909" s="21" t="str">
        <f t="shared" si="154"/>
        <v>.</v>
      </c>
      <c r="D9909" s="44"/>
      <c r="E9909" s="22" t="str">
        <f>IF(D9909&lt;&gt;"",IFERROR(INDEX(Produtos!$C$4:$C$4996,MATCH(D9909,Produtos!$B$4:$B$4996,0)),"Produto não encontrado"),"")</f>
        <v/>
      </c>
    </row>
    <row r="9910" spans="1:5" x14ac:dyDescent="0.3">
      <c r="A9910" s="21" t="str">
        <f t="shared" si="154"/>
        <v>.</v>
      </c>
      <c r="D9910" s="44"/>
      <c r="E9910" s="22" t="str">
        <f>IF(D9910&lt;&gt;"",IFERROR(INDEX(Produtos!$C$4:$C$4996,MATCH(D9910,Produtos!$B$4:$B$4996,0)),"Produto não encontrado"),"")</f>
        <v/>
      </c>
    </row>
    <row r="9911" spans="1:5" x14ac:dyDescent="0.3">
      <c r="A9911" s="21" t="str">
        <f t="shared" si="154"/>
        <v>.</v>
      </c>
      <c r="D9911" s="44"/>
      <c r="E9911" s="22" t="str">
        <f>IF(D9911&lt;&gt;"",IFERROR(INDEX(Produtos!$C$4:$C$4996,MATCH(D9911,Produtos!$B$4:$B$4996,0)),"Produto não encontrado"),"")</f>
        <v/>
      </c>
    </row>
    <row r="9912" spans="1:5" x14ac:dyDescent="0.3">
      <c r="A9912" s="21" t="str">
        <f t="shared" si="154"/>
        <v>.</v>
      </c>
      <c r="D9912" s="44"/>
      <c r="E9912" s="22" t="str">
        <f>IF(D9912&lt;&gt;"",IFERROR(INDEX(Produtos!$C$4:$C$4996,MATCH(D9912,Produtos!$B$4:$B$4996,0)),"Produto não encontrado"),"")</f>
        <v/>
      </c>
    </row>
    <row r="9913" spans="1:5" x14ac:dyDescent="0.3">
      <c r="A9913" s="21" t="str">
        <f t="shared" si="154"/>
        <v>.</v>
      </c>
      <c r="D9913" s="44"/>
      <c r="E9913" s="22" t="str">
        <f>IF(D9913&lt;&gt;"",IFERROR(INDEX(Produtos!$C$4:$C$4996,MATCH(D9913,Produtos!$B$4:$B$4996,0)),"Produto não encontrado"),"")</f>
        <v/>
      </c>
    </row>
    <row r="9914" spans="1:5" x14ac:dyDescent="0.3">
      <c r="A9914" s="21" t="str">
        <f t="shared" si="154"/>
        <v>.</v>
      </c>
      <c r="D9914" s="44"/>
      <c r="E9914" s="22" t="str">
        <f>IF(D9914&lt;&gt;"",IFERROR(INDEX(Produtos!$C$4:$C$4996,MATCH(D9914,Produtos!$B$4:$B$4996,0)),"Produto não encontrado"),"")</f>
        <v/>
      </c>
    </row>
    <row r="9915" spans="1:5" x14ac:dyDescent="0.3">
      <c r="A9915" s="21" t="str">
        <f t="shared" si="154"/>
        <v>.</v>
      </c>
      <c r="D9915" s="44"/>
      <c r="E9915" s="22" t="str">
        <f>IF(D9915&lt;&gt;"",IFERROR(INDEX(Produtos!$C$4:$C$4996,MATCH(D9915,Produtos!$B$4:$B$4996,0)),"Produto não encontrado"),"")</f>
        <v/>
      </c>
    </row>
    <row r="9916" spans="1:5" x14ac:dyDescent="0.3">
      <c r="A9916" s="21" t="str">
        <f t="shared" si="154"/>
        <v>.</v>
      </c>
      <c r="D9916" s="44"/>
      <c r="E9916" s="22" t="str">
        <f>IF(D9916&lt;&gt;"",IFERROR(INDEX(Produtos!$C$4:$C$4996,MATCH(D9916,Produtos!$B$4:$B$4996,0)),"Produto não encontrado"),"")</f>
        <v/>
      </c>
    </row>
    <row r="9917" spans="1:5" x14ac:dyDescent="0.3">
      <c r="A9917" s="21" t="str">
        <f t="shared" si="154"/>
        <v>.</v>
      </c>
      <c r="D9917" s="44"/>
      <c r="E9917" s="22" t="str">
        <f>IF(D9917&lt;&gt;"",IFERROR(INDEX(Produtos!$C$4:$C$4996,MATCH(D9917,Produtos!$B$4:$B$4996,0)),"Produto não encontrado"),"")</f>
        <v/>
      </c>
    </row>
    <row r="9918" spans="1:5" x14ac:dyDescent="0.3">
      <c r="A9918" s="21" t="str">
        <f t="shared" si="154"/>
        <v>.</v>
      </c>
      <c r="D9918" s="44"/>
      <c r="E9918" s="22" t="str">
        <f>IF(D9918&lt;&gt;"",IFERROR(INDEX(Produtos!$C$4:$C$4996,MATCH(D9918,Produtos!$B$4:$B$4996,0)),"Produto não encontrado"),"")</f>
        <v/>
      </c>
    </row>
    <row r="9919" spans="1:5" x14ac:dyDescent="0.3">
      <c r="A9919" s="21" t="str">
        <f t="shared" si="154"/>
        <v>.</v>
      </c>
      <c r="D9919" s="44"/>
      <c r="E9919" s="22" t="str">
        <f>IF(D9919&lt;&gt;"",IFERROR(INDEX(Produtos!$C$4:$C$4996,MATCH(D9919,Produtos!$B$4:$B$4996,0)),"Produto não encontrado"),"")</f>
        <v/>
      </c>
    </row>
    <row r="9920" spans="1:5" x14ac:dyDescent="0.3">
      <c r="A9920" s="21" t="str">
        <f t="shared" ref="A9920:A9983" si="155">IF(C9920="Entrada",2,IF(C9920="Saída",1,"."))</f>
        <v>.</v>
      </c>
      <c r="D9920" s="44"/>
      <c r="E9920" s="22" t="str">
        <f>IF(D9920&lt;&gt;"",IFERROR(INDEX(Produtos!$C$4:$C$4996,MATCH(D9920,Produtos!$B$4:$B$4996,0)),"Produto não encontrado"),"")</f>
        <v/>
      </c>
    </row>
    <row r="9921" spans="1:5" x14ac:dyDescent="0.3">
      <c r="A9921" s="21" t="str">
        <f t="shared" si="155"/>
        <v>.</v>
      </c>
      <c r="D9921" s="44"/>
      <c r="E9921" s="22" t="str">
        <f>IF(D9921&lt;&gt;"",IFERROR(INDEX(Produtos!$C$4:$C$4996,MATCH(D9921,Produtos!$B$4:$B$4996,0)),"Produto não encontrado"),"")</f>
        <v/>
      </c>
    </row>
    <row r="9922" spans="1:5" x14ac:dyDescent="0.3">
      <c r="A9922" s="21" t="str">
        <f t="shared" si="155"/>
        <v>.</v>
      </c>
      <c r="D9922" s="44"/>
      <c r="E9922" s="22" t="str">
        <f>IF(D9922&lt;&gt;"",IFERROR(INDEX(Produtos!$C$4:$C$4996,MATCH(D9922,Produtos!$B$4:$B$4996,0)),"Produto não encontrado"),"")</f>
        <v/>
      </c>
    </row>
    <row r="9923" spans="1:5" x14ac:dyDescent="0.3">
      <c r="A9923" s="21" t="str">
        <f t="shared" si="155"/>
        <v>.</v>
      </c>
      <c r="D9923" s="44"/>
      <c r="E9923" s="22" t="str">
        <f>IF(D9923&lt;&gt;"",IFERROR(INDEX(Produtos!$C$4:$C$4996,MATCH(D9923,Produtos!$B$4:$B$4996,0)),"Produto não encontrado"),"")</f>
        <v/>
      </c>
    </row>
    <row r="9924" spans="1:5" x14ac:dyDescent="0.3">
      <c r="A9924" s="21" t="str">
        <f t="shared" si="155"/>
        <v>.</v>
      </c>
      <c r="D9924" s="44"/>
      <c r="E9924" s="22" t="str">
        <f>IF(D9924&lt;&gt;"",IFERROR(INDEX(Produtos!$C$4:$C$4996,MATCH(D9924,Produtos!$B$4:$B$4996,0)),"Produto não encontrado"),"")</f>
        <v/>
      </c>
    </row>
    <row r="9925" spans="1:5" x14ac:dyDescent="0.3">
      <c r="A9925" s="21" t="str">
        <f t="shared" si="155"/>
        <v>.</v>
      </c>
      <c r="D9925" s="44"/>
      <c r="E9925" s="22" t="str">
        <f>IF(D9925&lt;&gt;"",IFERROR(INDEX(Produtos!$C$4:$C$4996,MATCH(D9925,Produtos!$B$4:$B$4996,0)),"Produto não encontrado"),"")</f>
        <v/>
      </c>
    </row>
    <row r="9926" spans="1:5" x14ac:dyDescent="0.3">
      <c r="A9926" s="21" t="str">
        <f t="shared" si="155"/>
        <v>.</v>
      </c>
      <c r="D9926" s="44"/>
      <c r="E9926" s="22" t="str">
        <f>IF(D9926&lt;&gt;"",IFERROR(INDEX(Produtos!$C$4:$C$4996,MATCH(D9926,Produtos!$B$4:$B$4996,0)),"Produto não encontrado"),"")</f>
        <v/>
      </c>
    </row>
    <row r="9927" spans="1:5" x14ac:dyDescent="0.3">
      <c r="A9927" s="21" t="str">
        <f t="shared" si="155"/>
        <v>.</v>
      </c>
      <c r="D9927" s="44"/>
      <c r="E9927" s="22" t="str">
        <f>IF(D9927&lt;&gt;"",IFERROR(INDEX(Produtos!$C$4:$C$4996,MATCH(D9927,Produtos!$B$4:$B$4996,0)),"Produto não encontrado"),"")</f>
        <v/>
      </c>
    </row>
    <row r="9928" spans="1:5" x14ac:dyDescent="0.3">
      <c r="A9928" s="21" t="str">
        <f t="shared" si="155"/>
        <v>.</v>
      </c>
      <c r="D9928" s="44"/>
      <c r="E9928" s="22" t="str">
        <f>IF(D9928&lt;&gt;"",IFERROR(INDEX(Produtos!$C$4:$C$4996,MATCH(D9928,Produtos!$B$4:$B$4996,0)),"Produto não encontrado"),"")</f>
        <v/>
      </c>
    </row>
    <row r="9929" spans="1:5" x14ac:dyDescent="0.3">
      <c r="A9929" s="21" t="str">
        <f t="shared" si="155"/>
        <v>.</v>
      </c>
      <c r="D9929" s="44"/>
      <c r="E9929" s="22" t="str">
        <f>IF(D9929&lt;&gt;"",IFERROR(INDEX(Produtos!$C$4:$C$4996,MATCH(D9929,Produtos!$B$4:$B$4996,0)),"Produto não encontrado"),"")</f>
        <v/>
      </c>
    </row>
    <row r="9930" spans="1:5" x14ac:dyDescent="0.3">
      <c r="A9930" s="21" t="str">
        <f t="shared" si="155"/>
        <v>.</v>
      </c>
      <c r="D9930" s="44"/>
      <c r="E9930" s="22" t="str">
        <f>IF(D9930&lt;&gt;"",IFERROR(INDEX(Produtos!$C$4:$C$4996,MATCH(D9930,Produtos!$B$4:$B$4996,0)),"Produto não encontrado"),"")</f>
        <v/>
      </c>
    </row>
    <row r="9931" spans="1:5" x14ac:dyDescent="0.3">
      <c r="A9931" s="21" t="str">
        <f t="shared" si="155"/>
        <v>.</v>
      </c>
      <c r="D9931" s="44"/>
      <c r="E9931" s="22" t="str">
        <f>IF(D9931&lt;&gt;"",IFERROR(INDEX(Produtos!$C$4:$C$4996,MATCH(D9931,Produtos!$B$4:$B$4996,0)),"Produto não encontrado"),"")</f>
        <v/>
      </c>
    </row>
    <row r="9932" spans="1:5" x14ac:dyDescent="0.3">
      <c r="A9932" s="21" t="str">
        <f t="shared" si="155"/>
        <v>.</v>
      </c>
      <c r="D9932" s="44"/>
      <c r="E9932" s="22" t="str">
        <f>IF(D9932&lt;&gt;"",IFERROR(INDEX(Produtos!$C$4:$C$4996,MATCH(D9932,Produtos!$B$4:$B$4996,0)),"Produto não encontrado"),"")</f>
        <v/>
      </c>
    </row>
    <row r="9933" spans="1:5" x14ac:dyDescent="0.3">
      <c r="A9933" s="21" t="str">
        <f t="shared" si="155"/>
        <v>.</v>
      </c>
      <c r="D9933" s="44"/>
      <c r="E9933" s="22" t="str">
        <f>IF(D9933&lt;&gt;"",IFERROR(INDEX(Produtos!$C$4:$C$4996,MATCH(D9933,Produtos!$B$4:$B$4996,0)),"Produto não encontrado"),"")</f>
        <v/>
      </c>
    </row>
    <row r="9934" spans="1:5" x14ac:dyDescent="0.3">
      <c r="A9934" s="21" t="str">
        <f t="shared" si="155"/>
        <v>.</v>
      </c>
      <c r="D9934" s="44"/>
      <c r="E9934" s="22" t="str">
        <f>IF(D9934&lt;&gt;"",IFERROR(INDEX(Produtos!$C$4:$C$4996,MATCH(D9934,Produtos!$B$4:$B$4996,0)),"Produto não encontrado"),"")</f>
        <v/>
      </c>
    </row>
    <row r="9935" spans="1:5" x14ac:dyDescent="0.3">
      <c r="A9935" s="21" t="str">
        <f t="shared" si="155"/>
        <v>.</v>
      </c>
      <c r="D9935" s="44"/>
      <c r="E9935" s="22" t="str">
        <f>IF(D9935&lt;&gt;"",IFERROR(INDEX(Produtos!$C$4:$C$4996,MATCH(D9935,Produtos!$B$4:$B$4996,0)),"Produto não encontrado"),"")</f>
        <v/>
      </c>
    </row>
    <row r="9936" spans="1:5" x14ac:dyDescent="0.3">
      <c r="A9936" s="21" t="str">
        <f t="shared" si="155"/>
        <v>.</v>
      </c>
      <c r="D9936" s="44"/>
      <c r="E9936" s="22" t="str">
        <f>IF(D9936&lt;&gt;"",IFERROR(INDEX(Produtos!$C$4:$C$4996,MATCH(D9936,Produtos!$B$4:$B$4996,0)),"Produto não encontrado"),"")</f>
        <v/>
      </c>
    </row>
    <row r="9937" spans="1:5" x14ac:dyDescent="0.3">
      <c r="A9937" s="21" t="str">
        <f t="shared" si="155"/>
        <v>.</v>
      </c>
      <c r="D9937" s="44"/>
      <c r="E9937" s="22" t="str">
        <f>IF(D9937&lt;&gt;"",IFERROR(INDEX(Produtos!$C$4:$C$4996,MATCH(D9937,Produtos!$B$4:$B$4996,0)),"Produto não encontrado"),"")</f>
        <v/>
      </c>
    </row>
    <row r="9938" spans="1:5" x14ac:dyDescent="0.3">
      <c r="A9938" s="21" t="str">
        <f t="shared" si="155"/>
        <v>.</v>
      </c>
      <c r="D9938" s="44"/>
      <c r="E9938" s="22" t="str">
        <f>IF(D9938&lt;&gt;"",IFERROR(INDEX(Produtos!$C$4:$C$4996,MATCH(D9938,Produtos!$B$4:$B$4996,0)),"Produto não encontrado"),"")</f>
        <v/>
      </c>
    </row>
    <row r="9939" spans="1:5" x14ac:dyDescent="0.3">
      <c r="A9939" s="21" t="str">
        <f t="shared" si="155"/>
        <v>.</v>
      </c>
      <c r="D9939" s="44"/>
      <c r="E9939" s="22" t="str">
        <f>IF(D9939&lt;&gt;"",IFERROR(INDEX(Produtos!$C$4:$C$4996,MATCH(D9939,Produtos!$B$4:$B$4996,0)),"Produto não encontrado"),"")</f>
        <v/>
      </c>
    </row>
    <row r="9940" spans="1:5" x14ac:dyDescent="0.3">
      <c r="A9940" s="21" t="str">
        <f t="shared" si="155"/>
        <v>.</v>
      </c>
      <c r="D9940" s="44"/>
      <c r="E9940" s="22" t="str">
        <f>IF(D9940&lt;&gt;"",IFERROR(INDEX(Produtos!$C$4:$C$4996,MATCH(D9940,Produtos!$B$4:$B$4996,0)),"Produto não encontrado"),"")</f>
        <v/>
      </c>
    </row>
    <row r="9941" spans="1:5" x14ac:dyDescent="0.3">
      <c r="A9941" s="21" t="str">
        <f t="shared" si="155"/>
        <v>.</v>
      </c>
      <c r="D9941" s="44"/>
      <c r="E9941" s="22" t="str">
        <f>IF(D9941&lt;&gt;"",IFERROR(INDEX(Produtos!$C$4:$C$4996,MATCH(D9941,Produtos!$B$4:$B$4996,0)),"Produto não encontrado"),"")</f>
        <v/>
      </c>
    </row>
    <row r="9942" spans="1:5" x14ac:dyDescent="0.3">
      <c r="A9942" s="21" t="str">
        <f t="shared" si="155"/>
        <v>.</v>
      </c>
      <c r="D9942" s="44"/>
      <c r="E9942" s="22" t="str">
        <f>IF(D9942&lt;&gt;"",IFERROR(INDEX(Produtos!$C$4:$C$4996,MATCH(D9942,Produtos!$B$4:$B$4996,0)),"Produto não encontrado"),"")</f>
        <v/>
      </c>
    </row>
    <row r="9943" spans="1:5" x14ac:dyDescent="0.3">
      <c r="A9943" s="21" t="str">
        <f t="shared" si="155"/>
        <v>.</v>
      </c>
      <c r="D9943" s="44"/>
      <c r="E9943" s="22" t="str">
        <f>IF(D9943&lt;&gt;"",IFERROR(INDEX(Produtos!$C$4:$C$4996,MATCH(D9943,Produtos!$B$4:$B$4996,0)),"Produto não encontrado"),"")</f>
        <v/>
      </c>
    </row>
    <row r="9944" spans="1:5" x14ac:dyDescent="0.3">
      <c r="A9944" s="21" t="str">
        <f t="shared" si="155"/>
        <v>.</v>
      </c>
      <c r="D9944" s="44"/>
      <c r="E9944" s="22" t="str">
        <f>IF(D9944&lt;&gt;"",IFERROR(INDEX(Produtos!$C$4:$C$4996,MATCH(D9944,Produtos!$B$4:$B$4996,0)),"Produto não encontrado"),"")</f>
        <v/>
      </c>
    </row>
    <row r="9945" spans="1:5" x14ac:dyDescent="0.3">
      <c r="A9945" s="21" t="str">
        <f t="shared" si="155"/>
        <v>.</v>
      </c>
      <c r="D9945" s="44"/>
      <c r="E9945" s="22" t="str">
        <f>IF(D9945&lt;&gt;"",IFERROR(INDEX(Produtos!$C$4:$C$4996,MATCH(D9945,Produtos!$B$4:$B$4996,0)),"Produto não encontrado"),"")</f>
        <v/>
      </c>
    </row>
    <row r="9946" spans="1:5" x14ac:dyDescent="0.3">
      <c r="A9946" s="21" t="str">
        <f t="shared" si="155"/>
        <v>.</v>
      </c>
      <c r="D9946" s="44"/>
      <c r="E9946" s="22" t="str">
        <f>IF(D9946&lt;&gt;"",IFERROR(INDEX(Produtos!$C$4:$C$4996,MATCH(D9946,Produtos!$B$4:$B$4996,0)),"Produto não encontrado"),"")</f>
        <v/>
      </c>
    </row>
    <row r="9947" spans="1:5" x14ac:dyDescent="0.3">
      <c r="A9947" s="21" t="str">
        <f t="shared" si="155"/>
        <v>.</v>
      </c>
      <c r="D9947" s="44"/>
      <c r="E9947" s="22" t="str">
        <f>IF(D9947&lt;&gt;"",IFERROR(INDEX(Produtos!$C$4:$C$4996,MATCH(D9947,Produtos!$B$4:$B$4996,0)),"Produto não encontrado"),"")</f>
        <v/>
      </c>
    </row>
    <row r="9948" spans="1:5" x14ac:dyDescent="0.3">
      <c r="A9948" s="21" t="str">
        <f t="shared" si="155"/>
        <v>.</v>
      </c>
      <c r="D9948" s="44"/>
      <c r="E9948" s="22" t="str">
        <f>IF(D9948&lt;&gt;"",IFERROR(INDEX(Produtos!$C$4:$C$4996,MATCH(D9948,Produtos!$B$4:$B$4996,0)),"Produto não encontrado"),"")</f>
        <v/>
      </c>
    </row>
    <row r="9949" spans="1:5" x14ac:dyDescent="0.3">
      <c r="A9949" s="21" t="str">
        <f t="shared" si="155"/>
        <v>.</v>
      </c>
      <c r="D9949" s="44"/>
      <c r="E9949" s="22" t="str">
        <f>IF(D9949&lt;&gt;"",IFERROR(INDEX(Produtos!$C$4:$C$4996,MATCH(D9949,Produtos!$B$4:$B$4996,0)),"Produto não encontrado"),"")</f>
        <v/>
      </c>
    </row>
    <row r="9950" spans="1:5" x14ac:dyDescent="0.3">
      <c r="A9950" s="21" t="str">
        <f t="shared" si="155"/>
        <v>.</v>
      </c>
      <c r="D9950" s="44"/>
      <c r="E9950" s="22" t="str">
        <f>IF(D9950&lt;&gt;"",IFERROR(INDEX(Produtos!$C$4:$C$4996,MATCH(D9950,Produtos!$B$4:$B$4996,0)),"Produto não encontrado"),"")</f>
        <v/>
      </c>
    </row>
    <row r="9951" spans="1:5" x14ac:dyDescent="0.3">
      <c r="A9951" s="21" t="str">
        <f t="shared" si="155"/>
        <v>.</v>
      </c>
      <c r="D9951" s="44"/>
      <c r="E9951" s="22" t="str">
        <f>IF(D9951&lt;&gt;"",IFERROR(INDEX(Produtos!$C$4:$C$4996,MATCH(D9951,Produtos!$B$4:$B$4996,0)),"Produto não encontrado"),"")</f>
        <v/>
      </c>
    </row>
    <row r="9952" spans="1:5" x14ac:dyDescent="0.3">
      <c r="A9952" s="21" t="str">
        <f t="shared" si="155"/>
        <v>.</v>
      </c>
      <c r="D9952" s="44"/>
      <c r="E9952" s="22" t="str">
        <f>IF(D9952&lt;&gt;"",IFERROR(INDEX(Produtos!$C$4:$C$4996,MATCH(D9952,Produtos!$B$4:$B$4996,0)),"Produto não encontrado"),"")</f>
        <v/>
      </c>
    </row>
    <row r="9953" spans="1:5" x14ac:dyDescent="0.3">
      <c r="A9953" s="21" t="str">
        <f t="shared" si="155"/>
        <v>.</v>
      </c>
      <c r="D9953" s="44"/>
      <c r="E9953" s="22" t="str">
        <f>IF(D9953&lt;&gt;"",IFERROR(INDEX(Produtos!$C$4:$C$4996,MATCH(D9953,Produtos!$B$4:$B$4996,0)),"Produto não encontrado"),"")</f>
        <v/>
      </c>
    </row>
    <row r="9954" spans="1:5" x14ac:dyDescent="0.3">
      <c r="A9954" s="21" t="str">
        <f t="shared" si="155"/>
        <v>.</v>
      </c>
      <c r="D9954" s="44"/>
      <c r="E9954" s="22" t="str">
        <f>IF(D9954&lt;&gt;"",IFERROR(INDEX(Produtos!$C$4:$C$4996,MATCH(D9954,Produtos!$B$4:$B$4996,0)),"Produto não encontrado"),"")</f>
        <v/>
      </c>
    </row>
    <row r="9955" spans="1:5" x14ac:dyDescent="0.3">
      <c r="A9955" s="21" t="str">
        <f t="shared" si="155"/>
        <v>.</v>
      </c>
      <c r="D9955" s="44"/>
      <c r="E9955" s="22" t="str">
        <f>IF(D9955&lt;&gt;"",IFERROR(INDEX(Produtos!$C$4:$C$4996,MATCH(D9955,Produtos!$B$4:$B$4996,0)),"Produto não encontrado"),"")</f>
        <v/>
      </c>
    </row>
    <row r="9956" spans="1:5" x14ac:dyDescent="0.3">
      <c r="A9956" s="21" t="str">
        <f t="shared" si="155"/>
        <v>.</v>
      </c>
      <c r="D9956" s="44"/>
      <c r="E9956" s="22" t="str">
        <f>IF(D9956&lt;&gt;"",IFERROR(INDEX(Produtos!$C$4:$C$4996,MATCH(D9956,Produtos!$B$4:$B$4996,0)),"Produto não encontrado"),"")</f>
        <v/>
      </c>
    </row>
    <row r="9957" spans="1:5" x14ac:dyDescent="0.3">
      <c r="A9957" s="21" t="str">
        <f t="shared" si="155"/>
        <v>.</v>
      </c>
      <c r="D9957" s="44"/>
      <c r="E9957" s="22" t="str">
        <f>IF(D9957&lt;&gt;"",IFERROR(INDEX(Produtos!$C$4:$C$4996,MATCH(D9957,Produtos!$B$4:$B$4996,0)),"Produto não encontrado"),"")</f>
        <v/>
      </c>
    </row>
    <row r="9958" spans="1:5" x14ac:dyDescent="0.3">
      <c r="A9958" s="21" t="str">
        <f t="shared" si="155"/>
        <v>.</v>
      </c>
      <c r="D9958" s="44"/>
      <c r="E9958" s="22" t="str">
        <f>IF(D9958&lt;&gt;"",IFERROR(INDEX(Produtos!$C$4:$C$4996,MATCH(D9958,Produtos!$B$4:$B$4996,0)),"Produto não encontrado"),"")</f>
        <v/>
      </c>
    </row>
    <row r="9959" spans="1:5" x14ac:dyDescent="0.3">
      <c r="A9959" s="21" t="str">
        <f t="shared" si="155"/>
        <v>.</v>
      </c>
      <c r="D9959" s="44"/>
      <c r="E9959" s="22" t="str">
        <f>IF(D9959&lt;&gt;"",IFERROR(INDEX(Produtos!$C$4:$C$4996,MATCH(D9959,Produtos!$B$4:$B$4996,0)),"Produto não encontrado"),"")</f>
        <v/>
      </c>
    </row>
    <row r="9960" spans="1:5" x14ac:dyDescent="0.3">
      <c r="A9960" s="21" t="str">
        <f t="shared" si="155"/>
        <v>.</v>
      </c>
      <c r="D9960" s="44"/>
      <c r="E9960" s="22" t="str">
        <f>IF(D9960&lt;&gt;"",IFERROR(INDEX(Produtos!$C$4:$C$4996,MATCH(D9960,Produtos!$B$4:$B$4996,0)),"Produto não encontrado"),"")</f>
        <v/>
      </c>
    </row>
    <row r="9961" spans="1:5" x14ac:dyDescent="0.3">
      <c r="A9961" s="21" t="str">
        <f t="shared" si="155"/>
        <v>.</v>
      </c>
      <c r="D9961" s="44"/>
      <c r="E9961" s="22" t="str">
        <f>IF(D9961&lt;&gt;"",IFERROR(INDEX(Produtos!$C$4:$C$4996,MATCH(D9961,Produtos!$B$4:$B$4996,0)),"Produto não encontrado"),"")</f>
        <v/>
      </c>
    </row>
    <row r="9962" spans="1:5" x14ac:dyDescent="0.3">
      <c r="A9962" s="21" t="str">
        <f t="shared" si="155"/>
        <v>.</v>
      </c>
      <c r="D9962" s="44"/>
      <c r="E9962" s="22" t="str">
        <f>IF(D9962&lt;&gt;"",IFERROR(INDEX(Produtos!$C$4:$C$4996,MATCH(D9962,Produtos!$B$4:$B$4996,0)),"Produto não encontrado"),"")</f>
        <v/>
      </c>
    </row>
    <row r="9963" spans="1:5" x14ac:dyDescent="0.3">
      <c r="A9963" s="21" t="str">
        <f t="shared" si="155"/>
        <v>.</v>
      </c>
      <c r="D9963" s="44"/>
      <c r="E9963" s="22" t="str">
        <f>IF(D9963&lt;&gt;"",IFERROR(INDEX(Produtos!$C$4:$C$4996,MATCH(D9963,Produtos!$B$4:$B$4996,0)),"Produto não encontrado"),"")</f>
        <v/>
      </c>
    </row>
    <row r="9964" spans="1:5" x14ac:dyDescent="0.3">
      <c r="A9964" s="21" t="str">
        <f t="shared" si="155"/>
        <v>.</v>
      </c>
      <c r="D9964" s="44"/>
      <c r="E9964" s="22" t="str">
        <f>IF(D9964&lt;&gt;"",IFERROR(INDEX(Produtos!$C$4:$C$4996,MATCH(D9964,Produtos!$B$4:$B$4996,0)),"Produto não encontrado"),"")</f>
        <v/>
      </c>
    </row>
    <row r="9965" spans="1:5" x14ac:dyDescent="0.3">
      <c r="A9965" s="21" t="str">
        <f t="shared" si="155"/>
        <v>.</v>
      </c>
      <c r="D9965" s="44"/>
      <c r="E9965" s="22" t="str">
        <f>IF(D9965&lt;&gt;"",IFERROR(INDEX(Produtos!$C$4:$C$4996,MATCH(D9965,Produtos!$B$4:$B$4996,0)),"Produto não encontrado"),"")</f>
        <v/>
      </c>
    </row>
    <row r="9966" spans="1:5" x14ac:dyDescent="0.3">
      <c r="A9966" s="21" t="str">
        <f t="shared" si="155"/>
        <v>.</v>
      </c>
      <c r="D9966" s="44"/>
      <c r="E9966" s="22" t="str">
        <f>IF(D9966&lt;&gt;"",IFERROR(INDEX(Produtos!$C$4:$C$4996,MATCH(D9966,Produtos!$B$4:$B$4996,0)),"Produto não encontrado"),"")</f>
        <v/>
      </c>
    </row>
    <row r="9967" spans="1:5" x14ac:dyDescent="0.3">
      <c r="A9967" s="21" t="str">
        <f t="shared" si="155"/>
        <v>.</v>
      </c>
      <c r="D9967" s="44"/>
      <c r="E9967" s="22" t="str">
        <f>IF(D9967&lt;&gt;"",IFERROR(INDEX(Produtos!$C$4:$C$4996,MATCH(D9967,Produtos!$B$4:$B$4996,0)),"Produto não encontrado"),"")</f>
        <v/>
      </c>
    </row>
    <row r="9968" spans="1:5" x14ac:dyDescent="0.3">
      <c r="A9968" s="21" t="str">
        <f t="shared" si="155"/>
        <v>.</v>
      </c>
      <c r="D9968" s="44"/>
      <c r="E9968" s="22" t="str">
        <f>IF(D9968&lt;&gt;"",IFERROR(INDEX(Produtos!$C$4:$C$4996,MATCH(D9968,Produtos!$B$4:$B$4996,0)),"Produto não encontrado"),"")</f>
        <v/>
      </c>
    </row>
    <row r="9969" spans="1:5" x14ac:dyDescent="0.3">
      <c r="A9969" s="21" t="str">
        <f t="shared" si="155"/>
        <v>.</v>
      </c>
      <c r="D9969" s="44"/>
      <c r="E9969" s="22" t="str">
        <f>IF(D9969&lt;&gt;"",IFERROR(INDEX(Produtos!$C$4:$C$4996,MATCH(D9969,Produtos!$B$4:$B$4996,0)),"Produto não encontrado"),"")</f>
        <v/>
      </c>
    </row>
    <row r="9970" spans="1:5" x14ac:dyDescent="0.3">
      <c r="A9970" s="21" t="str">
        <f t="shared" si="155"/>
        <v>.</v>
      </c>
      <c r="D9970" s="44"/>
      <c r="E9970" s="22" t="str">
        <f>IF(D9970&lt;&gt;"",IFERROR(INDEX(Produtos!$C$4:$C$4996,MATCH(D9970,Produtos!$B$4:$B$4996,0)),"Produto não encontrado"),"")</f>
        <v/>
      </c>
    </row>
    <row r="9971" spans="1:5" x14ac:dyDescent="0.3">
      <c r="A9971" s="21" t="str">
        <f t="shared" si="155"/>
        <v>.</v>
      </c>
      <c r="D9971" s="44"/>
      <c r="E9971" s="22" t="str">
        <f>IF(D9971&lt;&gt;"",IFERROR(INDEX(Produtos!$C$4:$C$4996,MATCH(D9971,Produtos!$B$4:$B$4996,0)),"Produto não encontrado"),"")</f>
        <v/>
      </c>
    </row>
    <row r="9972" spans="1:5" x14ac:dyDescent="0.3">
      <c r="A9972" s="21" t="str">
        <f t="shared" si="155"/>
        <v>.</v>
      </c>
      <c r="D9972" s="44"/>
      <c r="E9972" s="22" t="str">
        <f>IF(D9972&lt;&gt;"",IFERROR(INDEX(Produtos!$C$4:$C$4996,MATCH(D9972,Produtos!$B$4:$B$4996,0)),"Produto não encontrado"),"")</f>
        <v/>
      </c>
    </row>
    <row r="9973" spans="1:5" x14ac:dyDescent="0.3">
      <c r="A9973" s="21" t="str">
        <f t="shared" si="155"/>
        <v>.</v>
      </c>
      <c r="D9973" s="44"/>
      <c r="E9973" s="22" t="str">
        <f>IF(D9973&lt;&gt;"",IFERROR(INDEX(Produtos!$C$4:$C$4996,MATCH(D9973,Produtos!$B$4:$B$4996,0)),"Produto não encontrado"),"")</f>
        <v/>
      </c>
    </row>
    <row r="9974" spans="1:5" x14ac:dyDescent="0.3">
      <c r="A9974" s="21" t="str">
        <f t="shared" si="155"/>
        <v>.</v>
      </c>
      <c r="D9974" s="44"/>
      <c r="E9974" s="22" t="str">
        <f>IF(D9974&lt;&gt;"",IFERROR(INDEX(Produtos!$C$4:$C$4996,MATCH(D9974,Produtos!$B$4:$B$4996,0)),"Produto não encontrado"),"")</f>
        <v/>
      </c>
    </row>
    <row r="9975" spans="1:5" x14ac:dyDescent="0.3">
      <c r="A9975" s="21" t="str">
        <f t="shared" si="155"/>
        <v>.</v>
      </c>
      <c r="D9975" s="44"/>
      <c r="E9975" s="22" t="str">
        <f>IF(D9975&lt;&gt;"",IFERROR(INDEX(Produtos!$C$4:$C$4996,MATCH(D9975,Produtos!$B$4:$B$4996,0)),"Produto não encontrado"),"")</f>
        <v/>
      </c>
    </row>
    <row r="9976" spans="1:5" x14ac:dyDescent="0.3">
      <c r="A9976" s="21" t="str">
        <f t="shared" si="155"/>
        <v>.</v>
      </c>
      <c r="D9976" s="44"/>
      <c r="E9976" s="22" t="str">
        <f>IF(D9976&lt;&gt;"",IFERROR(INDEX(Produtos!$C$4:$C$4996,MATCH(D9976,Produtos!$B$4:$B$4996,0)),"Produto não encontrado"),"")</f>
        <v/>
      </c>
    </row>
    <row r="9977" spans="1:5" x14ac:dyDescent="0.3">
      <c r="A9977" s="21" t="str">
        <f t="shared" si="155"/>
        <v>.</v>
      </c>
      <c r="D9977" s="44"/>
      <c r="E9977" s="22" t="str">
        <f>IF(D9977&lt;&gt;"",IFERROR(INDEX(Produtos!$C$4:$C$4996,MATCH(D9977,Produtos!$B$4:$B$4996,0)),"Produto não encontrado"),"")</f>
        <v/>
      </c>
    </row>
    <row r="9978" spans="1:5" x14ac:dyDescent="0.3">
      <c r="A9978" s="21" t="str">
        <f t="shared" si="155"/>
        <v>.</v>
      </c>
      <c r="D9978" s="44"/>
      <c r="E9978" s="22" t="str">
        <f>IF(D9978&lt;&gt;"",IFERROR(INDEX(Produtos!$C$4:$C$4996,MATCH(D9978,Produtos!$B$4:$B$4996,0)),"Produto não encontrado"),"")</f>
        <v/>
      </c>
    </row>
    <row r="9979" spans="1:5" x14ac:dyDescent="0.3">
      <c r="A9979" s="21" t="str">
        <f t="shared" si="155"/>
        <v>.</v>
      </c>
      <c r="D9979" s="44"/>
      <c r="E9979" s="22" t="str">
        <f>IF(D9979&lt;&gt;"",IFERROR(INDEX(Produtos!$C$4:$C$4996,MATCH(D9979,Produtos!$B$4:$B$4996,0)),"Produto não encontrado"),"")</f>
        <v/>
      </c>
    </row>
    <row r="9980" spans="1:5" x14ac:dyDescent="0.3">
      <c r="A9980" s="21" t="str">
        <f t="shared" si="155"/>
        <v>.</v>
      </c>
      <c r="D9980" s="44"/>
      <c r="E9980" s="22" t="str">
        <f>IF(D9980&lt;&gt;"",IFERROR(INDEX(Produtos!$C$4:$C$4996,MATCH(D9980,Produtos!$B$4:$B$4996,0)),"Produto não encontrado"),"")</f>
        <v/>
      </c>
    </row>
    <row r="9981" spans="1:5" x14ac:dyDescent="0.3">
      <c r="A9981" s="21" t="str">
        <f t="shared" si="155"/>
        <v>.</v>
      </c>
      <c r="D9981" s="44"/>
      <c r="E9981" s="22" t="str">
        <f>IF(D9981&lt;&gt;"",IFERROR(INDEX(Produtos!$C$4:$C$4996,MATCH(D9981,Produtos!$B$4:$B$4996,0)),"Produto não encontrado"),"")</f>
        <v/>
      </c>
    </row>
    <row r="9982" spans="1:5" x14ac:dyDescent="0.3">
      <c r="A9982" s="21" t="str">
        <f t="shared" si="155"/>
        <v>.</v>
      </c>
      <c r="D9982" s="44"/>
      <c r="E9982" s="22" t="str">
        <f>IF(D9982&lt;&gt;"",IFERROR(INDEX(Produtos!$C$4:$C$4996,MATCH(D9982,Produtos!$B$4:$B$4996,0)),"Produto não encontrado"),"")</f>
        <v/>
      </c>
    </row>
    <row r="9983" spans="1:5" x14ac:dyDescent="0.3">
      <c r="A9983" s="21" t="str">
        <f t="shared" si="155"/>
        <v>.</v>
      </c>
      <c r="D9983" s="44"/>
      <c r="E9983" s="22" t="str">
        <f>IF(D9983&lt;&gt;"",IFERROR(INDEX(Produtos!$C$4:$C$4996,MATCH(D9983,Produtos!$B$4:$B$4996,0)),"Produto não encontrado"),"")</f>
        <v/>
      </c>
    </row>
    <row r="9984" spans="1:5" x14ac:dyDescent="0.3">
      <c r="A9984" s="21" t="str">
        <f t="shared" ref="A9984:A9996" si="156">IF(C9984="Entrada",2,IF(C9984="Saída",1,"."))</f>
        <v>.</v>
      </c>
      <c r="D9984" s="44"/>
      <c r="E9984" s="22" t="str">
        <f>IF(D9984&lt;&gt;"",IFERROR(INDEX(Produtos!$C$4:$C$4996,MATCH(D9984,Produtos!$B$4:$B$4996,0)),"Produto não encontrado"),"")</f>
        <v/>
      </c>
    </row>
    <row r="9985" spans="1:5" x14ac:dyDescent="0.3">
      <c r="A9985" s="21" t="str">
        <f t="shared" si="156"/>
        <v>.</v>
      </c>
      <c r="D9985" s="44"/>
      <c r="E9985" s="22" t="str">
        <f>IF(D9985&lt;&gt;"",IFERROR(INDEX(Produtos!$C$4:$C$4996,MATCH(D9985,Produtos!$B$4:$B$4996,0)),"Produto não encontrado"),"")</f>
        <v/>
      </c>
    </row>
    <row r="9986" spans="1:5" x14ac:dyDescent="0.3">
      <c r="A9986" s="21" t="str">
        <f t="shared" si="156"/>
        <v>.</v>
      </c>
      <c r="D9986" s="44"/>
      <c r="E9986" s="22" t="str">
        <f>IF(D9986&lt;&gt;"",IFERROR(INDEX(Produtos!$C$4:$C$4996,MATCH(D9986,Produtos!$B$4:$B$4996,0)),"Produto não encontrado"),"")</f>
        <v/>
      </c>
    </row>
    <row r="9987" spans="1:5" x14ac:dyDescent="0.3">
      <c r="A9987" s="21" t="str">
        <f t="shared" si="156"/>
        <v>.</v>
      </c>
      <c r="D9987" s="44"/>
      <c r="E9987" s="22" t="str">
        <f>IF(D9987&lt;&gt;"",IFERROR(INDEX(Produtos!$C$4:$C$4996,MATCH(D9987,Produtos!$B$4:$B$4996,0)),"Produto não encontrado"),"")</f>
        <v/>
      </c>
    </row>
    <row r="9988" spans="1:5" x14ac:dyDescent="0.3">
      <c r="A9988" s="21" t="str">
        <f t="shared" si="156"/>
        <v>.</v>
      </c>
      <c r="D9988" s="44"/>
      <c r="E9988" s="22" t="str">
        <f>IF(D9988&lt;&gt;"",IFERROR(INDEX(Produtos!$C$4:$C$4996,MATCH(D9988,Produtos!$B$4:$B$4996,0)),"Produto não encontrado"),"")</f>
        <v/>
      </c>
    </row>
    <row r="9989" spans="1:5" x14ac:dyDescent="0.3">
      <c r="A9989" s="21" t="str">
        <f t="shared" si="156"/>
        <v>.</v>
      </c>
      <c r="D9989" s="44"/>
      <c r="E9989" s="22" t="str">
        <f>IF(D9989&lt;&gt;"",IFERROR(INDEX(Produtos!$C$4:$C$4996,MATCH(D9989,Produtos!$B$4:$B$4996,0)),"Produto não encontrado"),"")</f>
        <v/>
      </c>
    </row>
    <row r="9990" spans="1:5" x14ac:dyDescent="0.3">
      <c r="A9990" s="21" t="str">
        <f t="shared" si="156"/>
        <v>.</v>
      </c>
      <c r="D9990" s="44"/>
      <c r="E9990" s="22" t="str">
        <f>IF(D9990&lt;&gt;"",IFERROR(INDEX(Produtos!$C$4:$C$4996,MATCH(D9990,Produtos!$B$4:$B$4996,0)),"Produto não encontrado"),"")</f>
        <v/>
      </c>
    </row>
    <row r="9991" spans="1:5" x14ac:dyDescent="0.3">
      <c r="A9991" s="21" t="str">
        <f t="shared" si="156"/>
        <v>.</v>
      </c>
      <c r="D9991" s="44"/>
      <c r="E9991" s="22" t="str">
        <f>IF(D9991&lt;&gt;"",IFERROR(INDEX(Produtos!$C$4:$C$4996,MATCH(D9991,Produtos!$B$4:$B$4996,0)),"Produto não encontrado"),"")</f>
        <v/>
      </c>
    </row>
    <row r="9992" spans="1:5" x14ac:dyDescent="0.3">
      <c r="A9992" s="21" t="str">
        <f t="shared" si="156"/>
        <v>.</v>
      </c>
      <c r="D9992" s="44"/>
      <c r="E9992" s="22" t="str">
        <f>IF(D9992&lt;&gt;"",IFERROR(INDEX(Produtos!$C$4:$C$4996,MATCH(D9992,Produtos!$B$4:$B$4996,0)),"Produto não encontrado"),"")</f>
        <v/>
      </c>
    </row>
    <row r="9993" spans="1:5" x14ac:dyDescent="0.3">
      <c r="A9993" s="21" t="str">
        <f t="shared" si="156"/>
        <v>.</v>
      </c>
      <c r="D9993" s="44"/>
      <c r="E9993" s="22" t="str">
        <f>IF(D9993&lt;&gt;"",IFERROR(INDEX(Produtos!$C$4:$C$4996,MATCH(D9993,Produtos!$B$4:$B$4996,0)),"Produto não encontrado"),"")</f>
        <v/>
      </c>
    </row>
    <row r="9994" spans="1:5" x14ac:dyDescent="0.3">
      <c r="A9994" s="21" t="str">
        <f t="shared" si="156"/>
        <v>.</v>
      </c>
      <c r="D9994" s="44"/>
      <c r="E9994" s="22" t="str">
        <f>IF(D9994&lt;&gt;"",IFERROR(INDEX(Produtos!$C$4:$C$4996,MATCH(D9994,Produtos!$B$4:$B$4996,0)),"Produto não encontrado"),"")</f>
        <v/>
      </c>
    </row>
    <row r="9995" spans="1:5" x14ac:dyDescent="0.3">
      <c r="A9995" s="21" t="str">
        <f t="shared" si="156"/>
        <v>.</v>
      </c>
      <c r="D9995" s="44"/>
      <c r="E9995" s="22" t="str">
        <f>IF(D9995&lt;&gt;"",IFERROR(INDEX(Produtos!$C$4:$C$4996,MATCH(D9995,Produtos!$B$4:$B$4996,0)),"Produto não encontrado"),"")</f>
        <v/>
      </c>
    </row>
    <row r="9996" spans="1:5" x14ac:dyDescent="0.3">
      <c r="A9996" s="21" t="str">
        <f t="shared" si="156"/>
        <v>.</v>
      </c>
      <c r="D9996" s="44"/>
      <c r="E9996" s="22" t="str">
        <f>IF(D9996&lt;&gt;"",IFERROR(INDEX(Produtos!$C$4:$C$4996,MATCH(D9996,Produtos!$B$4:$B$4996,0)),"Produto não encontrado"),"")</f>
        <v/>
      </c>
    </row>
  </sheetData>
  <mergeCells count="2">
    <mergeCell ref="A2:F2"/>
    <mergeCell ref="A1:F1"/>
  </mergeCells>
  <phoneticPr fontId="11" type="noConversion"/>
  <conditionalFormatting sqref="B820">
    <cfRule type="expression" dxfId="9" priority="32">
      <formula>$C819="Saída"</formula>
    </cfRule>
    <cfRule type="expression" dxfId="8" priority="33">
      <formula>$C819="Entrada"</formula>
    </cfRule>
  </conditionalFormatting>
  <conditionalFormatting sqref="B4:F810 C811:F823 B811:B824 B824:F9996">
    <cfRule type="expression" dxfId="7" priority="2">
      <formula>$C4="Saída"</formula>
    </cfRule>
    <cfRule type="expression" dxfId="6" priority="3">
      <formula>$C4="Entrada"</formula>
    </cfRule>
  </conditionalFormatting>
  <dataValidations count="3">
    <dataValidation type="list" allowBlank="1" showErrorMessage="1" errorTitle="Tipo Inválido" error="Selecione Entrada ou Saída" sqref="C4:C9996" xr:uid="{FDC3CCF1-A7A1-4917-9C71-48A006C8184C}">
      <formula1>"Entrada,Saída"</formula1>
    </dataValidation>
    <dataValidation allowBlank="1" sqref="D3:D1048576" xr:uid="{B1B1B55A-1700-44E2-ACF9-EBD4EAED9956}"/>
    <dataValidation type="list" allowBlank="1" showDropDown="1" showErrorMessage="1" errorTitle="Informação Inválida" error="Essa coluna não deve ser alterada manualmente" sqref="A4:A9996" xr:uid="{A942DB7E-5A09-40EE-935D-6749D9B1FED7}">
      <formula1>".,1,2"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9" id="{53983403-1557-48F7-85E2-8568F4D55AA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 gte="0">
                <xm:f>2</xm:f>
              </x14:cfvo>
              <x14:cfIcon iconSet="3Arrows" iconId="0"/>
              <x14:cfIcon iconSet="3Arrows" iconId="2"/>
              <x14:cfIcon iconSet="3Arrows" iconId="2"/>
            </x14:iconSet>
          </x14:cfRule>
          <xm:sqref>A4:A9996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ErrorMessage="1" errorTitle="Quantidade Inválida" error="Não há saldo suficiente para essa movimentação" xr:uid="{1EECC797-8C46-4E2E-BF38-8EA2416C54BB}">
          <x14:formula1>
            <xm:f>COUNTIF(Produtos!$E$4:$E$4996,"&lt;0")=0</xm:f>
          </x14:formula1>
          <xm:sqref>F4:F9996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912E-C2F2-4B6F-8799-C3B3752A6BB8}">
  <dimension ref="A1:M45"/>
  <sheetViews>
    <sheetView showGridLines="0" topLeftCell="A21" zoomScaleNormal="100" workbookViewId="0">
      <selection activeCell="C25" sqref="C25"/>
    </sheetView>
  </sheetViews>
  <sheetFormatPr defaultColWidth="9.109375" defaultRowHeight="14.4" x14ac:dyDescent="0.3"/>
  <cols>
    <col min="1" max="1" width="2.6640625" style="6" customWidth="1"/>
    <col min="2" max="3" width="15.77734375" style="6" customWidth="1"/>
    <col min="4" max="4" width="4.6640625" style="6" customWidth="1"/>
    <col min="5" max="6" width="15.77734375" style="6" customWidth="1"/>
    <col min="7" max="7" width="4.6640625" style="6" customWidth="1"/>
    <col min="8" max="8" width="16.6640625" style="6" customWidth="1"/>
    <col min="9" max="9" width="14.6640625" style="6" customWidth="1"/>
    <col min="10" max="10" width="4.6640625" style="6" customWidth="1"/>
    <col min="11" max="12" width="15.77734375" style="6" customWidth="1"/>
    <col min="13" max="13" width="2.6640625" style="6" customWidth="1"/>
    <col min="14" max="16384" width="9.109375" style="6"/>
  </cols>
  <sheetData>
    <row r="1" spans="1:13" s="7" customFormat="1" ht="21" x14ac:dyDescent="0.3">
      <c r="A1" s="4"/>
      <c r="B1" s="47" t="s">
        <v>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"/>
    </row>
    <row r="2" spans="1:13" ht="20.100000000000001" customHeight="1" x14ac:dyDescent="0.3">
      <c r="A2" s="1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1"/>
    </row>
    <row r="3" spans="1:13" s="8" customFormat="1" ht="35.1" customHeight="1" x14ac:dyDescent="0.3">
      <c r="A3" s="5"/>
      <c r="B3" s="53" t="s">
        <v>33</v>
      </c>
      <c r="C3" s="53"/>
      <c r="D3" s="52"/>
      <c r="E3" s="55" t="s">
        <v>34</v>
      </c>
      <c r="F3" s="55"/>
      <c r="G3" s="52"/>
      <c r="H3" s="62" t="s">
        <v>36</v>
      </c>
      <c r="I3" s="62"/>
      <c r="J3" s="59"/>
      <c r="K3" s="64" t="s">
        <v>35</v>
      </c>
      <c r="L3" s="64"/>
      <c r="M3" s="5"/>
    </row>
    <row r="4" spans="1:13" ht="35.1" customHeight="1" x14ac:dyDescent="0.3">
      <c r="A4" s="1"/>
      <c r="B4" s="54">
        <f>COUNTA(Produtos!$C$4:$C$4996)</f>
        <v>28</v>
      </c>
      <c r="C4" s="54"/>
      <c r="D4" s="52"/>
      <c r="E4" s="61">
        <f>COUNTIF(Produtos!$F$4:$F$4996,"Saldo disponível")</f>
        <v>21</v>
      </c>
      <c r="F4" s="61"/>
      <c r="G4" s="52"/>
      <c r="H4" s="63">
        <f>COUNTIF(Produtos!$F$4:$F$4996,"Saldo abaixo do mínimo")</f>
        <v>7</v>
      </c>
      <c r="I4" s="63"/>
      <c r="J4" s="59"/>
      <c r="K4" s="65">
        <f>COUNTIF(Produtos!$F$4:$F$4996,"Saldo zerado")</f>
        <v>0</v>
      </c>
      <c r="L4" s="65"/>
      <c r="M4" s="1"/>
    </row>
    <row r="5" spans="1:13" ht="30" customHeight="1" x14ac:dyDescent="0.3">
      <c r="A5" s="1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1"/>
    </row>
    <row r="6" spans="1:13" ht="21" x14ac:dyDescent="0.3">
      <c r="A6" s="1"/>
      <c r="B6" s="48" t="s">
        <v>37</v>
      </c>
      <c r="C6" s="48"/>
      <c r="D6" s="48"/>
      <c r="E6" s="48"/>
      <c r="F6" s="48"/>
      <c r="G6" s="48"/>
      <c r="H6" s="48"/>
      <c r="I6" s="48"/>
      <c r="J6" s="48"/>
      <c r="K6" s="48"/>
      <c r="L6" s="34">
        <v>2026</v>
      </c>
      <c r="M6" s="1"/>
    </row>
    <row r="7" spans="1:13" ht="15" customHeight="1" x14ac:dyDescent="0.3">
      <c r="A7" s="9"/>
      <c r="B7" s="9"/>
      <c r="C7" s="31"/>
      <c r="D7" s="31"/>
      <c r="E7" s="31"/>
      <c r="F7" s="31"/>
      <c r="G7" s="31"/>
      <c r="H7" s="31"/>
      <c r="I7" s="31"/>
      <c r="J7" s="31"/>
      <c r="K7" s="31"/>
      <c r="L7" s="31"/>
      <c r="M7" s="9"/>
    </row>
    <row r="8" spans="1:13" x14ac:dyDescent="0.3">
      <c r="A8" s="1"/>
      <c r="B8" s="1"/>
      <c r="C8" s="23" t="s">
        <v>8</v>
      </c>
      <c r="D8" s="1"/>
      <c r="E8" s="1"/>
      <c r="F8" s="9">
        <f>SUMIFS(Movimentos!$F$4:$F$9996,Movimentos!$B$4:$B$9996,"&gt;="&amp;DATE($L$6,MONTH(1&amp;C8),1),Movimentos!$B$4:$B$9996,"&lt;="&amp;EOMONTH(DATE($L$6,MONTH(1&amp;C8),1),0),Movimentos!$C$4:$C$9996,"Entrada")</f>
        <v>0</v>
      </c>
      <c r="G8" s="1"/>
      <c r="H8" s="1"/>
      <c r="I8" s="24">
        <f>SUMIFS(Movimentos!$F$4:$F$9996,Movimentos!$B$4:$B$9996,"&gt;="&amp;DATE($L$6,MONTH(1&amp;C8),1),Movimentos!$B$4:$B$9996,"&lt;="&amp;EOMONTH(DATE($L$6,MONTH(1&amp;C8),1),0),Movimentos!$C$4:$C$9996,"Saída")</f>
        <v>263</v>
      </c>
      <c r="J8" s="1"/>
      <c r="K8" s="1"/>
      <c r="L8" s="1"/>
      <c r="M8" s="1"/>
    </row>
    <row r="9" spans="1:13" x14ac:dyDescent="0.3">
      <c r="A9" s="1"/>
      <c r="B9" s="1"/>
      <c r="C9" s="23" t="s">
        <v>9</v>
      </c>
      <c r="D9" s="1"/>
      <c r="E9" s="1"/>
      <c r="F9" s="9">
        <f>SUMIFS(Movimentos!$F$4:$F$9996,Movimentos!$B$4:$B$9996,"&gt;="&amp;DATE($L$6,MONTH(1&amp;C9),1),Movimentos!$B$4:$B$9996,"&lt;="&amp;EOMONTH(DATE($L$6,MONTH(1&amp;C9),1),0),Movimentos!$C$4:$C$9996,"Entrada")</f>
        <v>5478</v>
      </c>
      <c r="G9" s="1"/>
      <c r="H9" s="1"/>
      <c r="I9" s="24">
        <f>SUMIFS(Movimentos!$F$4:$F$9996,Movimentos!$B$4:$B$9996,"&gt;="&amp;DATE($L$6,MONTH(1&amp;C9),1),Movimentos!$B$4:$B$9996,"&lt;="&amp;EOMONTH(DATE($L$6,MONTH(1&amp;C9),1),0),Movimentos!$C$4:$C$9996,"Saída")</f>
        <v>1972</v>
      </c>
      <c r="J9" s="1"/>
      <c r="K9" s="1"/>
      <c r="L9" s="1"/>
      <c r="M9" s="1"/>
    </row>
    <row r="10" spans="1:13" x14ac:dyDescent="0.3">
      <c r="A10" s="1"/>
      <c r="B10" s="1"/>
      <c r="C10" s="23" t="s">
        <v>10</v>
      </c>
      <c r="D10" s="1"/>
      <c r="E10" s="1"/>
      <c r="F10" s="9">
        <f>SUMIFS(Movimentos!$F$4:$F$9996,Movimentos!$B$4:$B$9996,"&gt;="&amp;DATE($L$6,MONTH(1&amp;C10),1),Movimentos!$B$4:$B$9996,"&lt;="&amp;EOMONTH(DATE($L$6,MONTH(1&amp;C10),1),0),Movimentos!$C$4:$C$9996,"Entrada")</f>
        <v>109921</v>
      </c>
      <c r="G10" s="1"/>
      <c r="H10" s="1"/>
      <c r="I10" s="24">
        <f>SUMIFS(Movimentos!$F$4:$F$9996,Movimentos!$B$4:$B$9996,"&gt;="&amp;DATE($L$6,MONTH(1&amp;C10),1),Movimentos!$B$4:$B$9996,"&lt;="&amp;EOMONTH(DATE($L$6,MONTH(1&amp;C10),1),0),Movimentos!$C$4:$C$9996,"Saída")</f>
        <v>13582</v>
      </c>
      <c r="J10" s="1"/>
      <c r="K10" s="1"/>
      <c r="L10" s="1"/>
      <c r="M10" s="1"/>
    </row>
    <row r="11" spans="1:13" x14ac:dyDescent="0.3">
      <c r="A11" s="1"/>
      <c r="B11" s="1"/>
      <c r="C11" s="23" t="s">
        <v>11</v>
      </c>
      <c r="D11" s="1"/>
      <c r="E11" s="1"/>
      <c r="F11" s="9">
        <f>SUMIFS(Movimentos!$F$4:$F$9996,Movimentos!$B$4:$B$9996,"&gt;="&amp;DATE($L$6,MONTH(1&amp;C11),1),Movimentos!$B$4:$B$9996,"&lt;="&amp;EOMONTH(DATE($L$6,MONTH(1&amp;C11),1),0),Movimentos!$C$4:$C$9996,"Entrada")</f>
        <v>3212</v>
      </c>
      <c r="G11" s="1"/>
      <c r="H11" s="1"/>
      <c r="I11" s="24">
        <f>SUMIFS(Movimentos!$F$4:$F$9996,Movimentos!$B$4:$B$9996,"&gt;="&amp;DATE($L$6,MONTH(1&amp;C11),1),Movimentos!$B$4:$B$9996,"&lt;="&amp;EOMONTH(DATE($L$6,MONTH(1&amp;C11),1),0),Movimentos!$C$4:$C$9996,"Saída")</f>
        <v>15170</v>
      </c>
      <c r="J11" s="1"/>
      <c r="K11" s="1"/>
      <c r="L11" s="1"/>
      <c r="M11" s="1"/>
    </row>
    <row r="12" spans="1:13" x14ac:dyDescent="0.3">
      <c r="A12" s="1"/>
      <c r="B12" s="1"/>
      <c r="C12" s="23" t="s">
        <v>12</v>
      </c>
      <c r="D12" s="1"/>
      <c r="E12" s="1"/>
      <c r="F12" s="9">
        <f>SUMIFS(Movimentos!$F$4:$F$9996,Movimentos!$B$4:$B$9996,"&gt;="&amp;DATE($L$6,MONTH(1&amp;C12),1),Movimentos!$B$4:$B$9996,"&lt;="&amp;EOMONTH(DATE($L$6,MONTH(1&amp;C12),1),0),Movimentos!$C$4:$C$9996,"Entrada")</f>
        <v>0</v>
      </c>
      <c r="G12" s="1"/>
      <c r="H12" s="1"/>
      <c r="I12" s="24">
        <f>SUMIFS(Movimentos!$F$4:$F$9996,Movimentos!$B$4:$B$9996,"&gt;="&amp;DATE($L$6,MONTH(1&amp;C12),1),Movimentos!$B$4:$B$9996,"&lt;="&amp;EOMONTH(DATE($L$6,MONTH(1&amp;C12),1),0),Movimentos!$C$4:$C$9996,"Saída")</f>
        <v>0</v>
      </c>
      <c r="J12" s="1"/>
      <c r="K12" s="1"/>
      <c r="L12" s="1"/>
      <c r="M12" s="1"/>
    </row>
    <row r="13" spans="1:13" x14ac:dyDescent="0.3">
      <c r="A13" s="1"/>
      <c r="B13" s="1"/>
      <c r="C13" s="23" t="s">
        <v>13</v>
      </c>
      <c r="D13" s="1"/>
      <c r="E13" s="1"/>
      <c r="F13" s="9">
        <f>SUMIFS(Movimentos!$F$4:$F$9996,Movimentos!$B$4:$B$9996,"&gt;="&amp;DATE($L$6,MONTH(1&amp;C13),1),Movimentos!$B$4:$B$9996,"&lt;="&amp;EOMONTH(DATE($L$6,MONTH(1&amp;C13),1),0),Movimentos!$C$4:$C$9996,"Entrada")</f>
        <v>0</v>
      </c>
      <c r="G13" s="1"/>
      <c r="H13" s="1"/>
      <c r="I13" s="24">
        <f>SUMIFS(Movimentos!$F$4:$F$9996,Movimentos!$B$4:$B$9996,"&gt;="&amp;DATE($L$6,MONTH(1&amp;C13),1),Movimentos!$B$4:$B$9996,"&lt;="&amp;EOMONTH(DATE($L$6,MONTH(1&amp;C13),1),0),Movimentos!$C$4:$C$9996,"Saída")</f>
        <v>0</v>
      </c>
      <c r="J13" s="1"/>
      <c r="K13" s="1"/>
      <c r="L13" s="1"/>
      <c r="M13" s="1"/>
    </row>
    <row r="14" spans="1:13" x14ac:dyDescent="0.3">
      <c r="A14" s="1"/>
      <c r="B14" s="1"/>
      <c r="C14" s="23" t="s">
        <v>14</v>
      </c>
      <c r="D14" s="1"/>
      <c r="E14" s="1"/>
      <c r="F14" s="9">
        <f>SUMIFS(Movimentos!$F$4:$F$9996,Movimentos!$B$4:$B$9996,"&gt;="&amp;DATE($L$6,MONTH(1&amp;C14),1),Movimentos!$B$4:$B$9996,"&lt;="&amp;EOMONTH(DATE($L$6,MONTH(1&amp;C14),1),0),Movimentos!$C$4:$C$9996,"Entrada")</f>
        <v>0</v>
      </c>
      <c r="G14" s="1"/>
      <c r="H14" s="1"/>
      <c r="I14" s="24">
        <f>SUMIFS(Movimentos!$F$4:$F$9996,Movimentos!$B$4:$B$9996,"&gt;="&amp;DATE($L$6,MONTH(1&amp;C14),1),Movimentos!$B$4:$B$9996,"&lt;="&amp;EOMONTH(DATE($L$6,MONTH(1&amp;C14),1),0),Movimentos!$C$4:$C$9996,"Saída")</f>
        <v>0</v>
      </c>
      <c r="J14" s="1"/>
      <c r="K14" s="1"/>
      <c r="L14" s="1"/>
      <c r="M14" s="1"/>
    </row>
    <row r="15" spans="1:13" x14ac:dyDescent="0.3">
      <c r="A15" s="1"/>
      <c r="B15" s="1"/>
      <c r="C15" s="23" t="s">
        <v>15</v>
      </c>
      <c r="D15" s="1"/>
      <c r="E15" s="1"/>
      <c r="F15" s="9">
        <f>SUMIFS(Movimentos!$F$4:$F$9996,Movimentos!$B$4:$B$9996,"&gt;="&amp;DATE($L$6,MONTH(1&amp;C15),1),Movimentos!$B$4:$B$9996,"&lt;="&amp;EOMONTH(DATE($L$6,MONTH(1&amp;C15),1),0),Movimentos!$C$4:$C$9996,"Entrada")</f>
        <v>0</v>
      </c>
      <c r="G15" s="1"/>
      <c r="H15" s="1"/>
      <c r="I15" s="24">
        <f>SUMIFS(Movimentos!$F$4:$F$9996,Movimentos!$B$4:$B$9996,"&gt;="&amp;DATE($L$6,MONTH(1&amp;C15),1),Movimentos!$B$4:$B$9996,"&lt;="&amp;EOMONTH(DATE($L$6,MONTH(1&amp;C15),1),0),Movimentos!$C$4:$C$9996,"Saída")</f>
        <v>0</v>
      </c>
      <c r="J15" s="1"/>
      <c r="K15" s="1"/>
      <c r="L15" s="1"/>
      <c r="M15" s="1"/>
    </row>
    <row r="16" spans="1:13" x14ac:dyDescent="0.3">
      <c r="A16" s="1"/>
      <c r="B16" s="1"/>
      <c r="C16" s="23" t="s">
        <v>16</v>
      </c>
      <c r="D16" s="1"/>
      <c r="E16" s="1"/>
      <c r="F16" s="9">
        <f>SUMIFS(Movimentos!$F$4:$F$9996,Movimentos!$B$4:$B$9996,"&gt;="&amp;DATE($L$6,MONTH(1&amp;C16),1),Movimentos!$B$4:$B$9996,"&lt;="&amp;EOMONTH(DATE($L$6,MONTH(1&amp;C16),1),0),Movimentos!$C$4:$C$9996,"Entrada")</f>
        <v>0</v>
      </c>
      <c r="G16" s="1"/>
      <c r="H16" s="1"/>
      <c r="I16" s="24">
        <f>SUMIFS(Movimentos!$F$4:$F$9996,Movimentos!$B$4:$B$9996,"&gt;="&amp;DATE($L$6,MONTH(1&amp;C16),1),Movimentos!$B$4:$B$9996,"&lt;="&amp;EOMONTH(DATE($L$6,MONTH(1&amp;C16),1),0),Movimentos!$C$4:$C$9996,"Saída")</f>
        <v>0</v>
      </c>
      <c r="J16" s="1"/>
      <c r="K16" s="1"/>
      <c r="L16" s="1"/>
      <c r="M16" s="1"/>
    </row>
    <row r="17" spans="1:13" x14ac:dyDescent="0.3">
      <c r="A17" s="1"/>
      <c r="B17" s="1"/>
      <c r="C17" s="23" t="s">
        <v>17</v>
      </c>
      <c r="D17" s="1"/>
      <c r="E17" s="1"/>
      <c r="F17" s="9">
        <f>SUMIFS(Movimentos!$F$4:$F$9996,Movimentos!$B$4:$B$9996,"&gt;="&amp;DATE($L$6,MONTH(1&amp;C17),1),Movimentos!$B$4:$B$9996,"&lt;="&amp;EOMONTH(DATE($L$6,MONTH(1&amp;C17),1),0),Movimentos!$C$4:$C$9996,"Entrada")</f>
        <v>0</v>
      </c>
      <c r="G17" s="1"/>
      <c r="H17" s="1"/>
      <c r="I17" s="24">
        <f>SUMIFS(Movimentos!$F$4:$F$9996,Movimentos!$B$4:$B$9996,"&gt;="&amp;DATE($L$6,MONTH(1&amp;C17),1),Movimentos!$B$4:$B$9996,"&lt;="&amp;EOMONTH(DATE($L$6,MONTH(1&amp;C17),1),0),Movimentos!$C$4:$C$9996,"Saída")</f>
        <v>0</v>
      </c>
      <c r="J17" s="1"/>
      <c r="K17" s="1"/>
      <c r="L17" s="1"/>
      <c r="M17" s="1"/>
    </row>
    <row r="18" spans="1:13" x14ac:dyDescent="0.3">
      <c r="A18" s="1"/>
      <c r="B18" s="1"/>
      <c r="C18" s="23" t="s">
        <v>18</v>
      </c>
      <c r="D18" s="1"/>
      <c r="E18" s="1"/>
      <c r="F18" s="9">
        <f>SUMIFS(Movimentos!$F$4:$F$9996,Movimentos!$B$4:$B$9996,"&gt;="&amp;DATE($L$6,MONTH(1&amp;C18),1),Movimentos!$B$4:$B$9996,"&lt;="&amp;EOMONTH(DATE($L$6,MONTH(1&amp;C18),1),0),Movimentos!$C$4:$C$9996,"Entrada")</f>
        <v>0</v>
      </c>
      <c r="G18" s="1"/>
      <c r="H18" s="1"/>
      <c r="I18" s="24">
        <f>SUMIFS(Movimentos!$F$4:$F$9996,Movimentos!$B$4:$B$9996,"&gt;="&amp;DATE($L$6,MONTH(1&amp;C18),1),Movimentos!$B$4:$B$9996,"&lt;="&amp;EOMONTH(DATE($L$6,MONTH(1&amp;C18),1),0),Movimentos!$C$4:$C$9996,"Saída")</f>
        <v>0</v>
      </c>
      <c r="J18" s="1"/>
      <c r="K18" s="1"/>
      <c r="L18" s="1"/>
      <c r="M18" s="1"/>
    </row>
    <row r="19" spans="1:13" x14ac:dyDescent="0.3">
      <c r="A19" s="1"/>
      <c r="B19" s="1"/>
      <c r="C19" s="23" t="s">
        <v>19</v>
      </c>
      <c r="D19" s="1"/>
      <c r="E19" s="1"/>
      <c r="F19" s="9">
        <f>SUMIFS(Movimentos!$F$4:$F$9996,Movimentos!$B$4:$B$9996,"&gt;="&amp;DATE($L$6,MONTH(1&amp;C19),1),Movimentos!$B$4:$B$9996,"&lt;="&amp;EOMONTH(DATE($L$6,MONTH(1&amp;C19),1),0),Movimentos!$C$4:$C$9996,"Entrada")</f>
        <v>0</v>
      </c>
      <c r="G19" s="1"/>
      <c r="H19" s="1"/>
      <c r="I19" s="24">
        <f>SUMIFS(Movimentos!$F$4:$F$9996,Movimentos!$B$4:$B$9996,"&gt;="&amp;DATE($L$6,MONTH(1&amp;C19),1),Movimentos!$B$4:$B$9996,"&lt;="&amp;EOMONTH(DATE($L$6,MONTH(1&amp;C19),1),0),Movimentos!$C$4:$C$9996,"Saída")</f>
        <v>0</v>
      </c>
      <c r="J19" s="1"/>
      <c r="K19" s="1"/>
      <c r="L19" s="1"/>
      <c r="M19" s="1"/>
    </row>
    <row r="20" spans="1: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9.9" customHeight="1" x14ac:dyDescent="0.3">
      <c r="A21" s="1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"/>
    </row>
    <row r="22" spans="1:13" ht="18" x14ac:dyDescent="0.3">
      <c r="A22" s="1"/>
      <c r="B22" s="48" t="s">
        <v>38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1"/>
    </row>
    <row r="23" spans="1:13" x14ac:dyDescent="0.3">
      <c r="A23" s="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9"/>
    </row>
    <row r="24" spans="1:13" x14ac:dyDescent="0.3">
      <c r="A24" s="9"/>
      <c r="B24" s="26" t="s">
        <v>30</v>
      </c>
      <c r="C24" s="43" t="s">
        <v>57</v>
      </c>
      <c r="D24" s="25"/>
      <c r="E24" s="29" t="s">
        <v>43</v>
      </c>
      <c r="F24" s="50" t="str">
        <f>IF($C$24&lt;&gt;"",IFERROR(INDEX(Produtos!$F$4:$F$4996,MATCH($C$24,Produtos!$B$4:$B$4996,0)),"Produto não encontrado"),"")</f>
        <v>Saldo disponível</v>
      </c>
      <c r="G24" s="50"/>
      <c r="H24" s="50"/>
      <c r="I24" s="9"/>
      <c r="J24" s="9"/>
      <c r="K24" s="9"/>
      <c r="L24" s="9"/>
      <c r="M24" s="9"/>
    </row>
    <row r="25" spans="1:13" x14ac:dyDescent="0.3">
      <c r="A25" s="9"/>
      <c r="B25" s="25"/>
      <c r="C25" s="9"/>
      <c r="D25" s="25"/>
      <c r="E25" s="25"/>
      <c r="F25" s="25"/>
      <c r="G25" s="25"/>
      <c r="H25" s="25"/>
      <c r="I25" s="9"/>
      <c r="J25" s="9"/>
      <c r="K25" s="9"/>
      <c r="L25" s="9"/>
      <c r="M25" s="9"/>
    </row>
    <row r="26" spans="1:13" x14ac:dyDescent="0.3">
      <c r="A26" s="9"/>
      <c r="B26" s="26" t="s">
        <v>31</v>
      </c>
      <c r="C26" s="51" t="str">
        <f>IF($C$24&lt;&gt;"",IFERROR(INDEX(Produtos!$C$4:$C$4996,MATCH($C$24,Produtos!$B$4:$B$4996,0)),"Produto não encontrado"),"")</f>
        <v>TUBO PEAD ESGOTO D 355</v>
      </c>
      <c r="D26" s="51"/>
      <c r="E26" s="51"/>
      <c r="F26" s="51"/>
      <c r="G26" s="9"/>
      <c r="H26" s="26" t="s">
        <v>32</v>
      </c>
      <c r="I26" s="27">
        <f>IF($C$24&lt;&gt;"",IFERROR(INDEX(Produtos!$E$4:$E$4996,MATCH($C$24,Produtos!$B$4:$B$4996,0)),""),"")</f>
        <v>389</v>
      </c>
      <c r="J26" s="9"/>
      <c r="K26" s="9"/>
      <c r="L26" s="9"/>
      <c r="M26" s="9"/>
    </row>
    <row r="27" spans="1:13" x14ac:dyDescent="0.3">
      <c r="A27" s="9"/>
      <c r="B27" s="25"/>
      <c r="C27" s="9"/>
      <c r="D27" s="25"/>
      <c r="E27" s="25"/>
      <c r="F27" s="25"/>
      <c r="G27" s="25"/>
      <c r="H27" s="25"/>
      <c r="I27" s="9"/>
      <c r="J27" s="9"/>
      <c r="K27" s="9"/>
      <c r="L27" s="9"/>
      <c r="M27" s="9"/>
    </row>
    <row r="28" spans="1:13" x14ac:dyDescent="0.3">
      <c r="A28" s="9"/>
      <c r="B28" s="26" t="s">
        <v>39</v>
      </c>
      <c r="C28" s="32">
        <f>IF($C$24&lt;&gt;"",SUMIFS(Movimentos!$F$4:$F$9996,Movimentos!$D$4:$D$9996,$C$24,Movimentos!$C$4:$C$9996,"Entrada"),"")</f>
        <v>1096</v>
      </c>
      <c r="D28" s="9"/>
      <c r="E28" s="29" t="s">
        <v>40</v>
      </c>
      <c r="F28" s="33">
        <f>IF($C$24&lt;&gt;"",SUMIFS(Movimentos!$F$4:$F$9996,Movimentos!$D$4:$D$9996,$C$24,Movimentos!$C$4:$C$9996,"Saída"),"")</f>
        <v>707</v>
      </c>
      <c r="G28" s="25"/>
      <c r="H28" s="26" t="s">
        <v>41</v>
      </c>
      <c r="I28" s="28">
        <f>IF($C$24&lt;&gt;"",IFERROR(INDEX(Produtos!$D$4:$D$4996,MATCH($C$24,Produtos!$B$4:$B$4996,0)),""),"")</f>
        <v>200</v>
      </c>
      <c r="J28" s="9"/>
      <c r="K28" s="9"/>
      <c r="L28" s="9"/>
      <c r="M28" s="9"/>
    </row>
    <row r="29" spans="1:13" ht="20.100000000000001" customHeight="1" x14ac:dyDescent="0.3">
      <c r="A29" s="9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9"/>
    </row>
    <row r="30" spans="1:13" s="30" customFormat="1" ht="15.6" x14ac:dyDescent="0.3">
      <c r="A30" s="35"/>
      <c r="B30" s="49" t="s">
        <v>42</v>
      </c>
      <c r="C30" s="49"/>
      <c r="D30" s="49"/>
      <c r="E30" s="49"/>
      <c r="F30" s="49"/>
      <c r="G30" s="49"/>
      <c r="H30" s="49"/>
      <c r="I30" s="49"/>
      <c r="J30" s="49"/>
      <c r="K30" s="49"/>
      <c r="L30" s="36">
        <v>2026</v>
      </c>
      <c r="M30" s="35"/>
    </row>
    <row r="31" spans="1:13" ht="15" customHeight="1" x14ac:dyDescent="0.3">
      <c r="A31" s="9"/>
      <c r="B31" s="9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9"/>
    </row>
    <row r="32" spans="1:13" x14ac:dyDescent="0.3">
      <c r="A32" s="1"/>
      <c r="B32" s="1"/>
      <c r="C32" s="23" t="s">
        <v>8</v>
      </c>
      <c r="D32" s="1"/>
      <c r="E32" s="1"/>
      <c r="F32" s="9">
        <f>SUMIFS(Movimentos!$F$4:$F$9996,Movimentos!$B$4:$B$9996,"&gt;="&amp;DATE($L$30,MONTH(1&amp;C32),1),Movimentos!$B$4:$B$9996,"&lt;="&amp;EOMONTH(DATE($L$30,MONTH(1&amp;C32),1),0),Movimentos!$D$4:$D$9996,$C$24,Movimentos!$C$4:$C$9996,"Entrada")</f>
        <v>0</v>
      </c>
      <c r="G32" s="1"/>
      <c r="H32" s="1"/>
      <c r="I32" s="24">
        <f>SUMIFS(Movimentos!$F$4:$F$9996,Movimentos!$B$4:$B$9996,"&gt;="&amp;DATE($L$30,MONTH(1&amp;C32),1),Movimentos!$B$4:$B$9996,"&lt;="&amp;EOMONTH(DATE($L$30,MONTH(1&amp;C32),1),0),Movimentos!$D$4:$D$9996,$C$24,Movimentos!$C$4:$C$9996,"Saída")</f>
        <v>95</v>
      </c>
      <c r="J32" s="1"/>
      <c r="K32" s="1"/>
      <c r="L32" s="1"/>
      <c r="M32" s="1"/>
    </row>
    <row r="33" spans="1:13" x14ac:dyDescent="0.3">
      <c r="A33" s="1"/>
      <c r="B33" s="1"/>
      <c r="C33" s="23" t="s">
        <v>9</v>
      </c>
      <c r="D33" s="1"/>
      <c r="E33" s="1"/>
      <c r="F33" s="9">
        <f>SUMIFS(Movimentos!$F$4:$F$9996,Movimentos!$B$4:$B$9996,"&gt;="&amp;DATE($L$30,MONTH(1&amp;C33),1),Movimentos!$B$4:$B$9996,"&lt;="&amp;EOMONTH(DATE($L$30,MONTH(1&amp;C33),1),0),Movimentos!$D$4:$D$9996,$C$24,Movimentos!$C$4:$C$9996,"Entrada")</f>
        <v>1096</v>
      </c>
      <c r="G33" s="1"/>
      <c r="H33" s="1"/>
      <c r="I33" s="24">
        <f>SUMIFS(Movimentos!$F$4:$F$9996,Movimentos!$B$4:$B$9996,"&gt;="&amp;DATE($L$30,MONTH(1&amp;C33),1),Movimentos!$B$4:$B$9996,"&lt;="&amp;EOMONTH(DATE($L$30,MONTH(1&amp;C33),1),0),Movimentos!$D$4:$D$9996,$C$24,Movimentos!$C$4:$C$9996,"Saída")</f>
        <v>275</v>
      </c>
      <c r="J33" s="1"/>
      <c r="K33" s="1"/>
      <c r="L33" s="1"/>
      <c r="M33" s="1"/>
    </row>
    <row r="34" spans="1:13" x14ac:dyDescent="0.3">
      <c r="A34" s="1"/>
      <c r="B34" s="1"/>
      <c r="C34" s="23" t="s">
        <v>10</v>
      </c>
      <c r="D34" s="1"/>
      <c r="E34" s="1"/>
      <c r="F34" s="9">
        <f>SUMIFS(Movimentos!$F$4:$F$9996,Movimentos!$B$4:$B$9996,"&gt;="&amp;DATE($L$30,MONTH(1&amp;C34),1),Movimentos!$B$4:$B$9996,"&lt;="&amp;EOMONTH(DATE($L$30,MONTH(1&amp;C34),1),0),Movimentos!$D$4:$D$9996,$C$24,Movimentos!$C$4:$C$9996,"Entrada")</f>
        <v>0</v>
      </c>
      <c r="G34" s="1"/>
      <c r="H34" s="1"/>
      <c r="I34" s="24">
        <f>SUMIFS(Movimentos!$F$4:$F$9996,Movimentos!$B$4:$B$9996,"&gt;="&amp;DATE($L$30,MONTH(1&amp;C34),1),Movimentos!$B$4:$B$9996,"&lt;="&amp;EOMONTH(DATE($L$30,MONTH(1&amp;C34),1),0),Movimentos!$D$4:$D$9996,$C$24,Movimentos!$C$4:$C$9996,"Saída")</f>
        <v>237</v>
      </c>
      <c r="J34" s="1"/>
      <c r="K34" s="1"/>
      <c r="L34" s="1"/>
      <c r="M34" s="1"/>
    </row>
    <row r="35" spans="1:13" x14ac:dyDescent="0.3">
      <c r="A35" s="1"/>
      <c r="B35" s="1"/>
      <c r="C35" s="23" t="s">
        <v>11</v>
      </c>
      <c r="D35" s="1"/>
      <c r="E35" s="1"/>
      <c r="F35" s="9">
        <f>SUMIFS(Movimentos!$F$4:$F$9996,Movimentos!$B$4:$B$9996,"&gt;="&amp;DATE($L$30,MONTH(1&amp;C35),1),Movimentos!$B$4:$B$9996,"&lt;="&amp;EOMONTH(DATE($L$30,MONTH(1&amp;C35),1),0),Movimentos!$D$4:$D$9996,$C$24,Movimentos!$C$4:$C$9996,"Entrada")</f>
        <v>0</v>
      </c>
      <c r="G35" s="1"/>
      <c r="H35" s="1"/>
      <c r="I35" s="24">
        <f>SUMIFS(Movimentos!$F$4:$F$9996,Movimentos!$B$4:$B$9996,"&gt;="&amp;DATE($L$30,MONTH(1&amp;C35),1),Movimentos!$B$4:$B$9996,"&lt;="&amp;EOMONTH(DATE($L$30,MONTH(1&amp;C35),1),0),Movimentos!$D$4:$D$9996,$C$24,Movimentos!$C$4:$C$9996,"Saída")</f>
        <v>100</v>
      </c>
      <c r="J35" s="1"/>
      <c r="K35" s="1"/>
      <c r="L35" s="1"/>
      <c r="M35" s="1"/>
    </row>
    <row r="36" spans="1:13" x14ac:dyDescent="0.3">
      <c r="A36" s="1"/>
      <c r="B36" s="1"/>
      <c r="C36" s="23" t="s">
        <v>12</v>
      </c>
      <c r="D36" s="1"/>
      <c r="E36" s="1"/>
      <c r="F36" s="9">
        <f>SUMIFS(Movimentos!$F$4:$F$9996,Movimentos!$B$4:$B$9996,"&gt;="&amp;DATE($L$30,MONTH(1&amp;C36),1),Movimentos!$B$4:$B$9996,"&lt;="&amp;EOMONTH(DATE($L$30,MONTH(1&amp;C36),1),0),Movimentos!$D$4:$D$9996,$C$24,Movimentos!$C$4:$C$9996,"Entrada")</f>
        <v>0</v>
      </c>
      <c r="G36" s="1"/>
      <c r="H36" s="1"/>
      <c r="I36" s="24">
        <f>SUMIFS(Movimentos!$F$4:$F$9996,Movimentos!$B$4:$B$9996,"&gt;="&amp;DATE($L$30,MONTH(1&amp;C36),1),Movimentos!$B$4:$B$9996,"&lt;="&amp;EOMONTH(DATE($L$30,MONTH(1&amp;C36),1),0),Movimentos!$D$4:$D$9996,$C$24,Movimentos!$C$4:$C$9996,"Saída")</f>
        <v>0</v>
      </c>
      <c r="J36" s="1"/>
      <c r="K36" s="1"/>
      <c r="L36" s="1"/>
      <c r="M36" s="1"/>
    </row>
    <row r="37" spans="1:13" x14ac:dyDescent="0.3">
      <c r="A37" s="1"/>
      <c r="B37" s="1"/>
      <c r="C37" s="23" t="s">
        <v>13</v>
      </c>
      <c r="D37" s="1"/>
      <c r="E37" s="1"/>
      <c r="F37" s="9">
        <f>SUMIFS(Movimentos!$F$4:$F$9996,Movimentos!$B$4:$B$9996,"&gt;="&amp;DATE($L$30,MONTH(1&amp;C37),1),Movimentos!$B$4:$B$9996,"&lt;="&amp;EOMONTH(DATE($L$30,MONTH(1&amp;C37),1),0),Movimentos!$D$4:$D$9996,$C$24,Movimentos!$C$4:$C$9996,"Entrada")</f>
        <v>0</v>
      </c>
      <c r="G37" s="1"/>
      <c r="H37" s="1"/>
      <c r="I37" s="24">
        <f>SUMIFS(Movimentos!$F$4:$F$9996,Movimentos!$B$4:$B$9996,"&gt;="&amp;DATE($L$30,MONTH(1&amp;C37),1),Movimentos!$B$4:$B$9996,"&lt;="&amp;EOMONTH(DATE($L$30,MONTH(1&amp;C37),1),0),Movimentos!$D$4:$D$9996,$C$24,Movimentos!$C$4:$C$9996,"Saída")</f>
        <v>0</v>
      </c>
      <c r="J37" s="1"/>
      <c r="K37" s="1"/>
      <c r="L37" s="1"/>
      <c r="M37" s="1"/>
    </row>
    <row r="38" spans="1:13" x14ac:dyDescent="0.3">
      <c r="A38" s="1"/>
      <c r="B38" s="1"/>
      <c r="C38" s="23" t="s">
        <v>14</v>
      </c>
      <c r="D38" s="1"/>
      <c r="E38" s="1"/>
      <c r="F38" s="9">
        <f>SUMIFS(Movimentos!$F$4:$F$9996,Movimentos!$B$4:$B$9996,"&gt;="&amp;DATE($L$30,MONTH(1&amp;C38),1),Movimentos!$B$4:$B$9996,"&lt;="&amp;EOMONTH(DATE($L$30,MONTH(1&amp;C38),1),0),Movimentos!$D$4:$D$9996,$C$24,Movimentos!$C$4:$C$9996,"Entrada")</f>
        <v>0</v>
      </c>
      <c r="G38" s="1"/>
      <c r="H38" s="1"/>
      <c r="I38" s="24">
        <f>SUMIFS(Movimentos!$F$4:$F$9996,Movimentos!$B$4:$B$9996,"&gt;="&amp;DATE($L$30,MONTH(1&amp;C38),1),Movimentos!$B$4:$B$9996,"&lt;="&amp;EOMONTH(DATE($L$30,MONTH(1&amp;C38),1),0),Movimentos!$D$4:$D$9996,$C$24,Movimentos!$C$4:$C$9996,"Saída")</f>
        <v>0</v>
      </c>
      <c r="J38" s="1"/>
      <c r="K38" s="1"/>
      <c r="L38" s="1"/>
      <c r="M38" s="1"/>
    </row>
    <row r="39" spans="1:13" x14ac:dyDescent="0.3">
      <c r="A39" s="1"/>
      <c r="B39" s="1"/>
      <c r="C39" s="23" t="s">
        <v>15</v>
      </c>
      <c r="D39" s="1"/>
      <c r="E39" s="1"/>
      <c r="F39" s="9">
        <f>SUMIFS(Movimentos!$F$4:$F$9996,Movimentos!$B$4:$B$9996,"&gt;="&amp;DATE($L$30,MONTH(1&amp;C39),1),Movimentos!$B$4:$B$9996,"&lt;="&amp;EOMONTH(DATE($L$30,MONTH(1&amp;C39),1),0),Movimentos!$D$4:$D$9996,$C$24,Movimentos!$C$4:$C$9996,"Entrada")</f>
        <v>0</v>
      </c>
      <c r="G39" s="1"/>
      <c r="H39" s="1"/>
      <c r="I39" s="24">
        <f>SUMIFS(Movimentos!$F$4:$F$9996,Movimentos!$B$4:$B$9996,"&gt;="&amp;DATE($L$30,MONTH(1&amp;C39),1),Movimentos!$B$4:$B$9996,"&lt;="&amp;EOMONTH(DATE($L$30,MONTH(1&amp;C39),1),0),Movimentos!$D$4:$D$9996,$C$24,Movimentos!$C$4:$C$9996,"Saída")</f>
        <v>0</v>
      </c>
      <c r="J39" s="1"/>
      <c r="K39" s="1"/>
      <c r="L39" s="1"/>
      <c r="M39" s="1"/>
    </row>
    <row r="40" spans="1:13" x14ac:dyDescent="0.3">
      <c r="A40" s="1"/>
      <c r="B40" s="1"/>
      <c r="C40" s="23" t="s">
        <v>16</v>
      </c>
      <c r="D40" s="1"/>
      <c r="E40" s="1"/>
      <c r="F40" s="9">
        <f>SUMIFS(Movimentos!$F$4:$F$9996,Movimentos!$B$4:$B$9996,"&gt;="&amp;DATE($L$30,MONTH(1&amp;C40),1),Movimentos!$B$4:$B$9996,"&lt;="&amp;EOMONTH(DATE($L$30,MONTH(1&amp;C40),1),0),Movimentos!$D$4:$D$9996,$C$24,Movimentos!$C$4:$C$9996,"Entrada")</f>
        <v>0</v>
      </c>
      <c r="G40" s="1"/>
      <c r="H40" s="1"/>
      <c r="I40" s="24">
        <f>SUMIFS(Movimentos!$F$4:$F$9996,Movimentos!$B$4:$B$9996,"&gt;="&amp;DATE($L$30,MONTH(1&amp;C40),1),Movimentos!$B$4:$B$9996,"&lt;="&amp;EOMONTH(DATE($L$30,MONTH(1&amp;C40),1),0),Movimentos!$D$4:$D$9996,$C$24,Movimentos!$C$4:$C$9996,"Saída")</f>
        <v>0</v>
      </c>
      <c r="J40" s="1"/>
      <c r="K40" s="1"/>
      <c r="L40" s="1"/>
      <c r="M40" s="1"/>
    </row>
    <row r="41" spans="1:13" x14ac:dyDescent="0.3">
      <c r="A41" s="1"/>
      <c r="B41" s="1"/>
      <c r="C41" s="23" t="s">
        <v>17</v>
      </c>
      <c r="D41" s="1"/>
      <c r="E41" s="1"/>
      <c r="F41" s="9">
        <f>SUMIFS(Movimentos!$F$4:$F$9996,Movimentos!$B$4:$B$9996,"&gt;="&amp;DATE($L$30,MONTH(1&amp;C41),1),Movimentos!$B$4:$B$9996,"&lt;="&amp;EOMONTH(DATE($L$30,MONTH(1&amp;C41),1),0),Movimentos!$D$4:$D$9996,$C$24,Movimentos!$C$4:$C$9996,"Entrada")</f>
        <v>0</v>
      </c>
      <c r="G41" s="1"/>
      <c r="H41" s="1"/>
      <c r="I41" s="24">
        <f>SUMIFS(Movimentos!$F$4:$F$9996,Movimentos!$B$4:$B$9996,"&gt;="&amp;DATE($L$30,MONTH(1&amp;C41),1),Movimentos!$B$4:$B$9996,"&lt;="&amp;EOMONTH(DATE($L$30,MONTH(1&amp;C41),1),0),Movimentos!$D$4:$D$9996,$C$24,Movimentos!$C$4:$C$9996,"Saída")</f>
        <v>0</v>
      </c>
      <c r="J41" s="1"/>
      <c r="K41" s="1"/>
      <c r="L41" s="1"/>
      <c r="M41" s="1"/>
    </row>
    <row r="42" spans="1:13" x14ac:dyDescent="0.3">
      <c r="A42" s="1"/>
      <c r="B42" s="1"/>
      <c r="C42" s="23" t="s">
        <v>18</v>
      </c>
      <c r="D42" s="1"/>
      <c r="E42" s="1"/>
      <c r="F42" s="9">
        <f>SUMIFS(Movimentos!$F$4:$F$9996,Movimentos!$B$4:$B$9996,"&gt;="&amp;DATE($L$30,MONTH(1&amp;C42),1),Movimentos!$B$4:$B$9996,"&lt;="&amp;EOMONTH(DATE($L$30,MONTH(1&amp;C42),1),0),Movimentos!$D$4:$D$9996,$C$24,Movimentos!$C$4:$C$9996,"Entrada")</f>
        <v>0</v>
      </c>
      <c r="G42" s="1"/>
      <c r="H42" s="1"/>
      <c r="I42" s="24">
        <f>SUMIFS(Movimentos!$F$4:$F$9996,Movimentos!$B$4:$B$9996,"&gt;="&amp;DATE($L$30,MONTH(1&amp;C42),1),Movimentos!$B$4:$B$9996,"&lt;="&amp;EOMONTH(DATE($L$30,MONTH(1&amp;C42),1),0),Movimentos!$D$4:$D$9996,$C$24,Movimentos!$C$4:$C$9996,"Saída")</f>
        <v>0</v>
      </c>
      <c r="J42" s="1"/>
      <c r="K42" s="1"/>
      <c r="L42" s="1"/>
      <c r="M42" s="1"/>
    </row>
    <row r="43" spans="1:13" x14ac:dyDescent="0.3">
      <c r="A43" s="1"/>
      <c r="B43" s="1"/>
      <c r="C43" s="23" t="s">
        <v>19</v>
      </c>
      <c r="D43" s="1"/>
      <c r="E43" s="1"/>
      <c r="F43" s="9">
        <f>SUMIFS(Movimentos!$F$4:$F$9996,Movimentos!$B$4:$B$9996,"&gt;="&amp;DATE($L$30,MONTH(1&amp;C43),1),Movimentos!$B$4:$B$9996,"&lt;="&amp;EOMONTH(DATE($L$30,MONTH(1&amp;C43),1),0),Movimentos!$D$4:$D$9996,$C$24,Movimentos!$C$4:$C$9996,"Entrada")</f>
        <v>0</v>
      </c>
      <c r="G43" s="1"/>
      <c r="H43" s="1"/>
      <c r="I43" s="24">
        <f>SUMIFS(Movimentos!$F$4:$F$9996,Movimentos!$B$4:$B$9996,"&gt;="&amp;DATE($L$30,MONTH(1&amp;C43),1),Movimentos!$B$4:$B$9996,"&lt;="&amp;EOMONTH(DATE($L$30,MONTH(1&amp;C43),1),0),Movimentos!$D$4:$D$9996,$C$24,Movimentos!$C$4:$C$9996,"Saída")</f>
        <v>0</v>
      </c>
      <c r="J43" s="1"/>
      <c r="K43" s="1"/>
      <c r="L43" s="1"/>
      <c r="M43" s="1"/>
    </row>
    <row r="44" spans="1:1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30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</sheetData>
  <mergeCells count="22">
    <mergeCell ref="B23:L23"/>
    <mergeCell ref="E4:F4"/>
    <mergeCell ref="H3:I3"/>
    <mergeCell ref="H4:I4"/>
    <mergeCell ref="K3:L3"/>
    <mergeCell ref="K4:L4"/>
    <mergeCell ref="B1:L1"/>
    <mergeCell ref="B6:K6"/>
    <mergeCell ref="B30:K30"/>
    <mergeCell ref="F24:H24"/>
    <mergeCell ref="C26:F26"/>
    <mergeCell ref="D3:D4"/>
    <mergeCell ref="G3:G4"/>
    <mergeCell ref="B3:C3"/>
    <mergeCell ref="B4:C4"/>
    <mergeCell ref="B22:L22"/>
    <mergeCell ref="E3:F3"/>
    <mergeCell ref="B29:L29"/>
    <mergeCell ref="B2:L2"/>
    <mergeCell ref="B5:L5"/>
    <mergeCell ref="J3:J4"/>
    <mergeCell ref="B21:L21"/>
  </mergeCells>
  <phoneticPr fontId="11" type="noConversion"/>
  <conditionalFormatting sqref="F24">
    <cfRule type="cellIs" dxfId="5" priority="1" operator="equal">
      <formula>"Saldo disponível"</formula>
    </cfRule>
    <cfRule type="cellIs" dxfId="4" priority="2" operator="equal">
      <formula>"Saldo abaixo do mínimo"</formula>
    </cfRule>
    <cfRule type="cellIs" dxfId="3" priority="3" operator="equal">
      <formula>"Saldo zerado"</formula>
    </cfRule>
  </conditionalFormatting>
  <conditionalFormatting sqref="I26">
    <cfRule type="cellIs" dxfId="2" priority="10" operator="equal">
      <formula>0</formula>
    </cfRule>
    <cfRule type="cellIs" dxfId="1" priority="11" operator="lessThan">
      <formula>$F28</formula>
    </cfRule>
    <cfRule type="cellIs" dxfId="0" priority="12" operator="greaterThan">
      <formula>0</formula>
    </cfRule>
  </conditionalFormatting>
  <pageMargins left="0.25" right="0.25" top="0.75" bottom="0.75" header="0.3" footer="0.3"/>
  <pageSetup paperSize="9" scale="68" orientation="portrait" r:id="rId1"/>
  <rowBreaks count="1" manualBreakCount="1">
    <brk id="45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CE553B75952F439B47A2ACEFA2BB9D" ma:contentTypeVersion="1" ma:contentTypeDescription="Create a new document." ma:contentTypeScope="" ma:versionID="aa8857ef004dbba12a43663122787190">
  <xsd:schema xmlns:xsd="http://www.w3.org/2001/XMLSchema" xmlns:xs="http://www.w3.org/2001/XMLSchema" xmlns:p="http://schemas.microsoft.com/office/2006/metadata/properties" xmlns:ns3="994eab41-91bb-4f95-a34a-5920cfcb6369" targetNamespace="http://schemas.microsoft.com/office/2006/metadata/properties" ma:root="true" ma:fieldsID="a850e287ea812125c0251e604d99d392" ns3:_="">
    <xsd:import namespace="994eab41-91bb-4f95-a34a-5920cfcb63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eab41-91bb-4f95-a34a-5920cfcb63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5A3891-732D-4700-B90F-4DD2A718E1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758FF1-5B7B-4B60-957A-CD5BA1BE1F98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994eab41-91bb-4f95-a34a-5920cfcb6369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939D0CF-5ADE-4D59-9748-699213EAF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4eab41-91bb-4f95-a34a-5920cfcb63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Instruções</vt:lpstr>
      <vt:lpstr>Produtos</vt:lpstr>
      <vt:lpstr>Movimentos</vt:lpstr>
      <vt:lpstr>Resumo</vt:lpstr>
      <vt:lpstr>Resumo!Area_de_impressao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Gonçalves Correa de Oliveira</dc:creator>
  <cp:lastModifiedBy>Cleulton Marcio Goncalves Freire</cp:lastModifiedBy>
  <cp:lastPrinted>2026-03-16T18:13:23Z</cp:lastPrinted>
  <dcterms:created xsi:type="dcterms:W3CDTF">2015-06-05T18:19:34Z</dcterms:created>
  <dcterms:modified xsi:type="dcterms:W3CDTF">2026-04-27T10:04:41Z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0x010100A2CE553B75952F439B47A2ACEFA2BB9D</vt:lpwstr>
  </property>
</Properties>
</file>