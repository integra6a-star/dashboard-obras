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B3201084-D6CB-45F5-AA24-265FB3B68E58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BASE_DASH_EXTENSAO" sheetId="1" r:id="rId1"/>
    <sheet name="EAP_PRODUCAO" sheetId="2" r:id="rId2"/>
  </sheets>
  <definedNames>
    <definedName name="_xlnm._FilterDatabase" localSheetId="0" hidden="1">BASE_DASH_EXTENSAO!#REF!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9" i="1" l="1"/>
  <c r="F19" i="1"/>
  <c r="P19" i="1"/>
  <c r="F16" i="1"/>
  <c r="P16" i="1"/>
  <c r="F14" i="1"/>
  <c r="P14" i="1"/>
  <c r="V80" i="1"/>
  <c r="X178" i="1" l="1"/>
  <c r="X179" i="1"/>
  <c r="X168" i="1" l="1"/>
  <c r="X73" i="1"/>
  <c r="V156" i="1"/>
  <c r="U156" i="1"/>
  <c r="U158" i="1"/>
</calcChain>
</file>

<file path=xl/sharedStrings.xml><?xml version="1.0" encoding="utf-8"?>
<sst xmlns="http://schemas.openxmlformats.org/spreadsheetml/2006/main" count="634" uniqueCount="121">
  <si>
    <t>Obra</t>
  </si>
  <si>
    <t>Bloco</t>
  </si>
  <si>
    <t>Tipo_Extensao</t>
  </si>
  <si>
    <t>Extensao_Planejada_m</t>
  </si>
  <si>
    <t>Extensao_Executada_m</t>
  </si>
  <si>
    <t>CTS BANDEIRANTES</t>
  </si>
  <si>
    <t>HDD</t>
  </si>
  <si>
    <t>VCA</t>
  </si>
  <si>
    <t xml:space="preserve">CTS JD. MIRIAM </t>
  </si>
  <si>
    <t>CTS JD. BENFICA</t>
  </si>
  <si>
    <t>CTS JD. LOURDES</t>
  </si>
  <si>
    <t>RCE F. SOUTOMAIOR</t>
  </si>
  <si>
    <t>CTS CONCEIÇÃO</t>
  </si>
  <si>
    <t>CTS DOROTÉIA</t>
  </si>
  <si>
    <t>CTS MAR DE CORAL</t>
  </si>
  <si>
    <t>CTS JARAGUÁ</t>
  </si>
  <si>
    <t>RCE SÃO LUCAS</t>
  </si>
  <si>
    <t>RCE AV. BARÃO L. ARARIBA</t>
  </si>
  <si>
    <t>PV</t>
  </si>
  <si>
    <t>Profundidade_PV_m</t>
  </si>
  <si>
    <t>Economias prevista</t>
  </si>
  <si>
    <t>Economias Recebidas</t>
  </si>
  <si>
    <t>CTS ÁGUA VERMELHA - MD</t>
  </si>
  <si>
    <t>CTS ÁGUA VERMELHA - ME</t>
  </si>
  <si>
    <t>CTS DOMINGOS JOÃO DE CARVALHO</t>
  </si>
  <si>
    <t>REMANEJAMENTO ITI 15</t>
  </si>
  <si>
    <t>RCE RUA PREFEITO TAKUNE KOIKE</t>
  </si>
  <si>
    <t>RCE ESTRADA DOS BANDEIRANTES</t>
  </si>
  <si>
    <t>RCE RUA IGARAÇU</t>
  </si>
  <si>
    <t>RCE RUA AMÉRICO MACHADO - ELIS R</t>
  </si>
  <si>
    <t xml:space="preserve">RCE RUA CARMEM COSTA </t>
  </si>
  <si>
    <t>RCE RUA MARIA DAS GRAÇAS SILVA</t>
  </si>
  <si>
    <t>EEE TRÊS MENINAS</t>
  </si>
  <si>
    <t xml:space="preserve">LINHA DE RECALQUE TRÊS MENINAS </t>
  </si>
  <si>
    <t>INTERL. TRÊS MENINAS</t>
  </si>
  <si>
    <t xml:space="preserve">CTS JD. HELENA </t>
  </si>
  <si>
    <t>CTS TRÊS MENINAS AUX.</t>
  </si>
  <si>
    <t xml:space="preserve">RCE RUA DOS GIRASSÓIS </t>
  </si>
  <si>
    <t>RCE AV. FERNANDO PACHECO JORDÃO</t>
  </si>
  <si>
    <t xml:space="preserve">RCE AV. MARECHAL TITO </t>
  </si>
  <si>
    <t xml:space="preserve">RCE EUCLIDES DA FONSECA </t>
  </si>
  <si>
    <t xml:space="preserve">INTERL. CÓRREGO LEGEADO </t>
  </si>
  <si>
    <t xml:space="preserve">RCE RUA TERRA SEM MALES </t>
  </si>
  <si>
    <t xml:space="preserve">INTERL. RUA AYRTON SENNA </t>
  </si>
  <si>
    <t xml:space="preserve">RCE TERRA PROMETIDA </t>
  </si>
  <si>
    <t>REC/ INTERL. AV. RIO MIRAÍ</t>
  </si>
  <si>
    <t xml:space="preserve">REC JD. SÃO MARTINHO </t>
  </si>
  <si>
    <t xml:space="preserve">RCE BORBOLETA AMARELA </t>
  </si>
  <si>
    <t xml:space="preserve">CTS LUIZ BOTELHO MOURÃO </t>
  </si>
  <si>
    <t xml:space="preserve">RCE RUA ALTO JURUÁ </t>
  </si>
  <si>
    <t>RCE AV. DOM JOÃO NERY</t>
  </si>
  <si>
    <t xml:space="preserve">INTERL. RUA JOÃO LIMA DA SILVA </t>
  </si>
  <si>
    <t xml:space="preserve">INTERL. RUA ÁGUA BOA E JOSÉ ELIAS </t>
  </si>
  <si>
    <t xml:space="preserve">RCE COMUNIDADE JD. UNIÃO </t>
  </si>
  <si>
    <t xml:space="preserve">RCE TRAV. DOS JESUITAS </t>
  </si>
  <si>
    <t>RCE COMPLEMENTAR RUA ELIAS SLEIMAN</t>
  </si>
  <si>
    <t>RCE AV. PRESIDENTE TANCREDO DE A. NEVES</t>
  </si>
  <si>
    <t>RCE AV. PRESIDENTE TANCREDO DE A. NEVES 1</t>
  </si>
  <si>
    <t>RCE AV. PRESIDENTE TANCREDO DE A. NEVES 2</t>
  </si>
  <si>
    <t>RCE ELVIRA DE ARAUJO</t>
  </si>
  <si>
    <t xml:space="preserve">RCE RUA JOSÉ MILITÃO </t>
  </si>
  <si>
    <t>RCE VIELA DA RUA INÊS SABINO</t>
  </si>
  <si>
    <t>RCE COMUNIDADE RAUZITO</t>
  </si>
  <si>
    <t>RCE F. SOUTOMAIOR B</t>
  </si>
  <si>
    <t>RCE F. SOUTOMAIOR D</t>
  </si>
  <si>
    <t>RCE F. SOUTOMAIOR C</t>
  </si>
  <si>
    <t>produção março 2025</t>
  </si>
  <si>
    <t>produção Abril 2025</t>
  </si>
  <si>
    <t>produção Abril 2026</t>
  </si>
  <si>
    <t>produção Julho 2025</t>
  </si>
  <si>
    <t>produção Maio 2025</t>
  </si>
  <si>
    <t>produção Junho 2025</t>
  </si>
  <si>
    <t>produção Agosto 2025</t>
  </si>
  <si>
    <t>produção Setembro 2025</t>
  </si>
  <si>
    <t>produção Outubro 2025</t>
  </si>
  <si>
    <t>produção Novembro 2025</t>
  </si>
  <si>
    <t>produção Dezembro 2025</t>
  </si>
  <si>
    <t>produção Janeiro 2026</t>
  </si>
  <si>
    <t>produção Fevereiro 2026</t>
  </si>
  <si>
    <t>produção Março 2026</t>
  </si>
  <si>
    <t>produção Maio 2026</t>
  </si>
  <si>
    <t>produção Junho 2026</t>
  </si>
  <si>
    <t>produção Julho 2026</t>
  </si>
  <si>
    <t>produção Agosto 2026</t>
  </si>
  <si>
    <t>produção Setembro 2026</t>
  </si>
  <si>
    <t>produção Outubro 2026</t>
  </si>
  <si>
    <t>produção Novembro 2026</t>
  </si>
  <si>
    <t>produção Dezembro 2026</t>
  </si>
  <si>
    <t xml:space="preserve"> 35/36</t>
  </si>
  <si>
    <t xml:space="preserve"> 72 A</t>
  </si>
  <si>
    <t xml:space="preserve"> 72 B</t>
  </si>
  <si>
    <t xml:space="preserve"> 72 C</t>
  </si>
  <si>
    <t xml:space="preserve"> 72 D</t>
  </si>
  <si>
    <t>RCE SÃO JOÃO</t>
  </si>
  <si>
    <t>RCE JOÃO CANZI</t>
  </si>
  <si>
    <t>RCE  JD.HELOISA</t>
  </si>
  <si>
    <t xml:space="preserve">RCE - RUA MARIA DOS SANTOS MACHADO </t>
  </si>
  <si>
    <t>Ano</t>
  </si>
  <si>
    <t>Mes</t>
  </si>
  <si>
    <t>EAP</t>
  </si>
  <si>
    <t>Produzido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</si>
  <si>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</si>
  <si>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</si>
  <si>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</si>
  <si>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</si>
  <si>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</si>
  <si>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</si>
  <si>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</si>
  <si>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</si>
  <si>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</si>
  <si>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</si>
  <si>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</si>
  <si>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</si>
  <si>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Status</t>
  </si>
  <si>
    <t>concluido</t>
  </si>
  <si>
    <t>em andamento</t>
  </si>
  <si>
    <t>Data</t>
  </si>
  <si>
    <t xml:space="preserve">CTS TRÊS MENINAS </t>
  </si>
  <si>
    <t>CTS JOÃO CANZI</t>
  </si>
  <si>
    <t>CT LAGEADO MONTANTE</t>
  </si>
  <si>
    <t>concuido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</si>
</sst>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2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base_dash_extensao" displayName="tb_base_dash_extensao" ref="B1:AF217">
  <autoFilter ref="B1:AF217" xr:uid="{00000000-0009-0000-0100-000001000000}"/>
  <sortState xmlns:xlrd2="http://schemas.microsoft.com/office/spreadsheetml/2017/richdata2" ref="B2:AF217">
    <sortCondition ref="C1:C217"/>
  </sortState>
  <tableColumns count="31">
    <tableColumn id="1" xr3:uid="{00000000-0010-0000-0000-000001000000}" name="Obra"/>
    <tableColumn id="2" xr3:uid="{00000000-0010-0000-0000-000002000000}" name="Bloco"/>
    <tableColumn id="3" xr3:uid="{00000000-0010-0000-0000-000003000000}" name="Tipo_Extensao"/>
    <tableColumn id="4" xr3:uid="{00000000-0010-0000-0000-000004000000}" name="Extensao_Planejada_m"/>
    <tableColumn id="5" xr3:uid="{00000000-0010-0000-0000-000005000000}" name="Extensao_Executada_m" dataDxfId="21"/>
    <tableColumn id="6" xr3:uid="{6BB83A0A-92EF-4D0A-89EF-C6F503D3B7CB}" name="PV"/>
    <tableColumn id="7" xr3:uid="{16D84CF1-E783-4000-847C-89A0C712ADDD}" name="Profundidade_PV_m"/>
    <tableColumn id="8" xr3:uid="{CCC7E282-906C-4070-A05D-0C12B88259D5}" name="Economias prevista"/>
    <tableColumn id="9" xr3:uid="{141F879B-3CB0-49C0-B696-841DCF5BEDB4}" name="Economias Recebidas"/>
    <tableColumn id="10" xr3:uid="{C0195FBC-3466-4999-8402-DBEE3F7978C5}" name="produção março 2025"/>
    <tableColumn id="11" xr3:uid="{9560D17C-B2DC-4B87-9E68-8B0334D1A5F1}" name="produção Abril 2025" dataDxfId="20"/>
    <tableColumn id="12" xr3:uid="{2CC935E5-AE57-401D-B0B9-16AA7CE547C9}" name="produção Maio 2025" dataDxfId="19"/>
    <tableColumn id="13" xr3:uid="{D4A32E48-58F4-4347-A22F-3EC617F115ED}" name="produção Junho 2025" dataDxfId="18"/>
    <tableColumn id="14" xr3:uid="{FD08EE1C-24D6-435D-BFB5-DE8525365C0B}" name="produção Julho 2025" dataDxfId="17"/>
    <tableColumn id="15" xr3:uid="{0E3143BC-7DD4-42C2-9632-F4C84435B02B}" name="produção Agosto 2025" dataDxfId="16"/>
    <tableColumn id="16" xr3:uid="{1A595E00-BFE2-4CB2-88ED-7BAD72BCDC1D}" name="produção Setembro 2025" dataDxfId="15"/>
    <tableColumn id="17" xr3:uid="{8A59EA87-2170-4E3A-8757-7A5746B89A12}" name="produção Outubro 2025" dataDxfId="14"/>
    <tableColumn id="18" xr3:uid="{E9DBE3BD-B4AB-4971-9574-0FF7FA5803DD}" name="produção Novembro 2025" dataDxfId="13"/>
    <tableColumn id="19" xr3:uid="{1D73A10C-A301-48D5-96BD-32A1DB452BFA}" name="produção Dezembro 2025" dataDxfId="12"/>
    <tableColumn id="20" xr3:uid="{D518955F-FB3C-479D-B0A0-C858B4EE0CF2}" name="produção Janeiro 2026" dataDxfId="11"/>
    <tableColumn id="21" xr3:uid="{2643BDE6-67AE-4701-982B-BBA15C7E24D7}" name="produção Fevereiro 2026" dataDxfId="10"/>
    <tableColumn id="22" xr3:uid="{25EDB414-06AF-467B-BEAF-CBFA34B0E3FE}" name="produção Março 2026" dataDxfId="9"/>
    <tableColumn id="23" xr3:uid="{ACC94B2B-3C05-4E69-BC1D-31E6BC6BF41F}" name="produção Abril 2026" dataDxfId="8"/>
    <tableColumn id="24" xr3:uid="{434478D3-9DE1-40FA-BAE2-5B310B23261F}" name="produção Maio 2026" dataDxfId="7"/>
    <tableColumn id="25" xr3:uid="{F969BF45-8403-448D-ADFE-D1E4B359F4FC}" name="produção Junho 2026" dataDxfId="6"/>
    <tableColumn id="26" xr3:uid="{3190B8C0-F461-4D5F-9042-D3DA4392D852}" name="produção Julho 2026" dataDxfId="5"/>
    <tableColumn id="27" xr3:uid="{1296E3F8-3AB4-4A3B-8378-6F3E29C9E2CA}" name="produção Agosto 2026" dataDxfId="4"/>
    <tableColumn id="28" xr3:uid="{8DDEDC24-3476-4DA6-AF25-63FF4B848894}" name="produção Setembro 2026" dataDxfId="3"/>
    <tableColumn id="29" xr3:uid="{CCF3E2AD-2E1F-42BE-8A16-B57AE967B62C}" name="produção Outubro 2026" dataDxfId="2"/>
    <tableColumn id="30" xr3:uid="{AEDAF9C8-4CB3-46E6-9E05-502560E49621}" name="produção Novembro 2026" dataDxfId="1"/>
    <tableColumn id="31" xr3:uid="{224F4735-9E51-4718-AB11-1FC679A00B87}" name="produção Dezembro 202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7"/>
  <sheetViews>
    <sheetView tabSelected="1" topLeftCell="B1" zoomScale="70" zoomScaleNormal="70" workbookViewId="0">
      <pane ySplit="1" topLeftCell="A164" activePane="bottomLeft" state="frozen"/>
      <selection pane="bottomLeft" activeCell="Y1" sqref="Y1:Y1048576"/>
    </sheetView>
  </sheetViews>
  <sheetFormatPr defaultRowHeight="14.4" x14ac:dyDescent="0.3"/>
  <cols>
    <col min="1" max="1" width="15" bestFit="1" customWidth="1"/>
    <col min="2" max="2" width="48.21875" bestFit="1" customWidth="1"/>
    <col min="3" max="3" width="15" customWidth="1"/>
    <col min="4" max="4" width="18" customWidth="1"/>
    <col min="5" max="5" width="22" customWidth="1"/>
    <col min="6" max="6" width="22" style="5" customWidth="1"/>
    <col min="7" max="7" width="8" customWidth="1"/>
    <col min="8" max="8" width="8.88671875" customWidth="1"/>
    <col min="9" max="9" width="26.5546875" customWidth="1"/>
    <col min="10" max="10" width="10.44140625" customWidth="1"/>
    <col min="11" max="12" width="7.6640625" customWidth="1"/>
    <col min="13" max="13" width="14" customWidth="1"/>
    <col min="14" max="15" width="7.6640625" customWidth="1"/>
    <col min="16" max="16" width="14.5546875" customWidth="1"/>
    <col min="17" max="32" width="7.6640625" customWidth="1"/>
    <col min="33" max="33" width="14.5546875" bestFit="1" customWidth="1"/>
  </cols>
  <sheetData>
    <row r="1" spans="1:33" x14ac:dyDescent="0.3">
      <c r="A1" t="s">
        <v>116</v>
      </c>
      <c r="B1" t="s">
        <v>0</v>
      </c>
      <c r="C1" t="s">
        <v>1</v>
      </c>
      <c r="D1" t="s">
        <v>2</v>
      </c>
      <c r="E1" t="s">
        <v>3</v>
      </c>
      <c r="F1" s="5" t="s">
        <v>4</v>
      </c>
      <c r="G1" t="s">
        <v>18</v>
      </c>
      <c r="H1" t="s">
        <v>19</v>
      </c>
      <c r="I1" t="s">
        <v>20</v>
      </c>
      <c r="J1" t="s">
        <v>21</v>
      </c>
      <c r="K1" t="s">
        <v>66</v>
      </c>
      <c r="L1" t="s">
        <v>67</v>
      </c>
      <c r="M1" t="s">
        <v>70</v>
      </c>
      <c r="N1" t="s">
        <v>71</v>
      </c>
      <c r="O1" t="s">
        <v>69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68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113</v>
      </c>
    </row>
    <row r="2" spans="1:33" x14ac:dyDescent="0.3">
      <c r="B2" s="5" t="s">
        <v>24</v>
      </c>
      <c r="C2">
        <v>1</v>
      </c>
      <c r="D2" t="s">
        <v>6</v>
      </c>
      <c r="E2">
        <v>156.30000000000001</v>
      </c>
      <c r="F2" s="5">
        <v>162.59</v>
      </c>
      <c r="G2">
        <v>10</v>
      </c>
      <c r="L2" s="6"/>
      <c r="M2" s="8">
        <v>162.59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t="s">
        <v>114</v>
      </c>
    </row>
    <row r="3" spans="1:33" x14ac:dyDescent="0.3">
      <c r="B3" s="5" t="s">
        <v>24</v>
      </c>
      <c r="C3">
        <v>1</v>
      </c>
      <c r="D3" t="s">
        <v>7</v>
      </c>
      <c r="E3">
        <v>37.4</v>
      </c>
      <c r="F3" s="5">
        <v>6.19</v>
      </c>
      <c r="L3" s="6"/>
      <c r="M3" s="8">
        <v>6.19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t="s">
        <v>114</v>
      </c>
    </row>
    <row r="4" spans="1:33" x14ac:dyDescent="0.3">
      <c r="B4" s="5" t="s">
        <v>24</v>
      </c>
      <c r="C4">
        <v>2</v>
      </c>
      <c r="D4" t="s">
        <v>6</v>
      </c>
      <c r="F4" s="5">
        <v>59.64</v>
      </c>
      <c r="G4">
        <v>1</v>
      </c>
      <c r="L4" s="6"/>
      <c r="M4" s="8">
        <v>47.94</v>
      </c>
      <c r="N4" s="8">
        <v>11.7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t="s">
        <v>114</v>
      </c>
    </row>
    <row r="5" spans="1:33" x14ac:dyDescent="0.3">
      <c r="B5" s="5" t="s">
        <v>24</v>
      </c>
      <c r="C5">
        <v>2</v>
      </c>
      <c r="D5" t="s">
        <v>7</v>
      </c>
      <c r="E5">
        <v>108.9</v>
      </c>
      <c r="F5" s="5">
        <v>47.5</v>
      </c>
      <c r="L5" s="8">
        <v>47.5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t="s">
        <v>114</v>
      </c>
    </row>
    <row r="6" spans="1:33" x14ac:dyDescent="0.3">
      <c r="B6" s="5" t="s">
        <v>24</v>
      </c>
      <c r="C6">
        <v>3</v>
      </c>
      <c r="D6" t="s">
        <v>6</v>
      </c>
      <c r="F6" s="5">
        <v>105.6</v>
      </c>
      <c r="G6">
        <v>1</v>
      </c>
      <c r="L6" s="6"/>
      <c r="M6" s="8">
        <v>105.6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t="s">
        <v>114</v>
      </c>
    </row>
    <row r="7" spans="1:33" x14ac:dyDescent="0.3">
      <c r="B7" s="5" t="s">
        <v>24</v>
      </c>
      <c r="C7">
        <v>3</v>
      </c>
      <c r="D7" t="s">
        <v>7</v>
      </c>
      <c r="E7">
        <v>112.7</v>
      </c>
      <c r="F7" s="5">
        <v>2.2999999999999998</v>
      </c>
      <c r="L7" s="6"/>
      <c r="M7" s="6"/>
      <c r="N7" s="8">
        <v>2.2999999999999998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t="s">
        <v>114</v>
      </c>
    </row>
    <row r="8" spans="1:33" x14ac:dyDescent="0.3">
      <c r="B8" s="5" t="s">
        <v>24</v>
      </c>
      <c r="C8">
        <v>4</v>
      </c>
      <c r="D8" t="s">
        <v>6</v>
      </c>
      <c r="E8">
        <v>109.9</v>
      </c>
      <c r="F8" s="5">
        <v>131.43</v>
      </c>
      <c r="G8">
        <v>2</v>
      </c>
      <c r="L8" s="6"/>
      <c r="M8" s="8">
        <v>66.83</v>
      </c>
      <c r="N8" s="8">
        <v>64.599999999999994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t="s">
        <v>114</v>
      </c>
    </row>
    <row r="9" spans="1:33" x14ac:dyDescent="0.3">
      <c r="B9" s="5" t="s">
        <v>24</v>
      </c>
      <c r="C9">
        <v>4</v>
      </c>
      <c r="D9" t="s">
        <v>7</v>
      </c>
      <c r="E9">
        <v>18.8</v>
      </c>
      <c r="I9">
        <v>2305</v>
      </c>
      <c r="J9">
        <v>2706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t="s">
        <v>114</v>
      </c>
    </row>
    <row r="10" spans="1:33" x14ac:dyDescent="0.3">
      <c r="B10" s="5" t="s">
        <v>8</v>
      </c>
      <c r="C10">
        <v>5</v>
      </c>
      <c r="D10" t="s">
        <v>6</v>
      </c>
      <c r="E10">
        <v>0</v>
      </c>
      <c r="F10" s="5">
        <v>523.65499999999997</v>
      </c>
      <c r="G10">
        <v>47</v>
      </c>
      <c r="H10">
        <v>136.19</v>
      </c>
      <c r="I10">
        <v>797</v>
      </c>
      <c r="J10">
        <v>599</v>
      </c>
      <c r="L10" s="6"/>
      <c r="M10" s="6"/>
      <c r="N10" s="8">
        <v>217.93</v>
      </c>
      <c r="O10" s="8">
        <v>305.72500000000002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t="s">
        <v>114</v>
      </c>
    </row>
    <row r="11" spans="1:33" x14ac:dyDescent="0.3">
      <c r="B11" s="5" t="s">
        <v>8</v>
      </c>
      <c r="C11">
        <v>5</v>
      </c>
      <c r="D11" t="s">
        <v>7</v>
      </c>
      <c r="E11">
        <v>469.7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t="s">
        <v>114</v>
      </c>
    </row>
    <row r="12" spans="1:33" x14ac:dyDescent="0.3">
      <c r="B12" s="5" t="s">
        <v>8</v>
      </c>
      <c r="C12">
        <v>6</v>
      </c>
      <c r="D12" t="s">
        <v>6</v>
      </c>
      <c r="E12">
        <v>124.2</v>
      </c>
      <c r="F12" s="5">
        <v>342.71</v>
      </c>
      <c r="I12">
        <v>91</v>
      </c>
      <c r="J12">
        <v>595</v>
      </c>
      <c r="L12" s="6"/>
      <c r="M12" s="6"/>
      <c r="N12" s="6"/>
      <c r="O12" s="8">
        <v>134.10499999999999</v>
      </c>
      <c r="P12" s="8">
        <v>208.60499999999999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t="s">
        <v>114</v>
      </c>
    </row>
    <row r="13" spans="1:33" x14ac:dyDescent="0.3">
      <c r="B13" s="5" t="s">
        <v>8</v>
      </c>
      <c r="C13">
        <v>6</v>
      </c>
      <c r="D13" t="s">
        <v>7</v>
      </c>
      <c r="E13">
        <v>83</v>
      </c>
      <c r="F13" s="5">
        <v>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t="s">
        <v>114</v>
      </c>
    </row>
    <row r="14" spans="1:33" x14ac:dyDescent="0.3">
      <c r="B14" s="5" t="s">
        <v>8</v>
      </c>
      <c r="C14">
        <v>7</v>
      </c>
      <c r="D14" t="s">
        <v>6</v>
      </c>
      <c r="E14">
        <v>240.7</v>
      </c>
      <c r="F14" s="5">
        <f>tb_base_dash_extensao[[#This Row],[produção Agosto 2025]]</f>
        <v>159.47499999999999</v>
      </c>
      <c r="I14">
        <v>589</v>
      </c>
      <c r="J14">
        <v>109</v>
      </c>
      <c r="L14" s="6"/>
      <c r="M14" s="6"/>
      <c r="N14" s="6"/>
      <c r="O14" s="6"/>
      <c r="P14" s="8">
        <f>231.85-72.375</f>
        <v>159.47499999999999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t="s">
        <v>114</v>
      </c>
    </row>
    <row r="15" spans="1:33" x14ac:dyDescent="0.3">
      <c r="B15" s="5" t="s">
        <v>8</v>
      </c>
      <c r="C15">
        <v>7</v>
      </c>
      <c r="D15" t="s">
        <v>7</v>
      </c>
      <c r="E15">
        <v>118.5</v>
      </c>
      <c r="F15" s="5">
        <v>4.0599999999999996</v>
      </c>
      <c r="L15" s="6"/>
      <c r="M15" s="6"/>
      <c r="N15" s="6"/>
      <c r="O15" s="6"/>
      <c r="P15" s="8">
        <v>4.0599999999999996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t="s">
        <v>114</v>
      </c>
    </row>
    <row r="16" spans="1:33" x14ac:dyDescent="0.3">
      <c r="B16" s="5" t="s">
        <v>8</v>
      </c>
      <c r="C16">
        <v>8</v>
      </c>
      <c r="D16" t="s">
        <v>6</v>
      </c>
      <c r="E16">
        <v>0</v>
      </c>
      <c r="F16" s="5">
        <f>tb_base_dash_extensao[[#This Row],[produção Agosto 2025]]+tb_base_dash_extensao[[#This Row],[produção Setembro 2025]]</f>
        <v>295.33500000000004</v>
      </c>
      <c r="I16">
        <v>614</v>
      </c>
      <c r="J16">
        <v>3229</v>
      </c>
      <c r="L16" s="6"/>
      <c r="M16" s="6"/>
      <c r="N16" s="6"/>
      <c r="O16" s="6"/>
      <c r="P16" s="8">
        <f>132.27-72.375</f>
        <v>59.89500000000001</v>
      </c>
      <c r="Q16" s="8">
        <v>235.44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t="s">
        <v>114</v>
      </c>
    </row>
    <row r="17" spans="2:33" x14ac:dyDescent="0.3">
      <c r="B17" s="5" t="s">
        <v>8</v>
      </c>
      <c r="C17">
        <v>8</v>
      </c>
      <c r="D17" t="s">
        <v>7</v>
      </c>
      <c r="E17">
        <v>232.1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t="s">
        <v>114</v>
      </c>
    </row>
    <row r="18" spans="2:33" x14ac:dyDescent="0.3">
      <c r="B18" s="5" t="s">
        <v>8</v>
      </c>
      <c r="C18">
        <v>9</v>
      </c>
      <c r="D18" t="s">
        <v>6</v>
      </c>
      <c r="E18">
        <v>70.5</v>
      </c>
      <c r="F18" s="5">
        <v>253.94</v>
      </c>
      <c r="I18">
        <v>2964</v>
      </c>
      <c r="J18">
        <v>42</v>
      </c>
      <c r="L18" s="6"/>
      <c r="M18" s="6"/>
      <c r="N18" s="6"/>
      <c r="O18" s="6"/>
      <c r="P18" s="6"/>
      <c r="Q18" s="6">
        <v>253.94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t="s">
        <v>114</v>
      </c>
    </row>
    <row r="19" spans="2:33" x14ac:dyDescent="0.3">
      <c r="B19" s="5" t="s">
        <v>8</v>
      </c>
      <c r="C19">
        <v>9</v>
      </c>
      <c r="D19" t="s">
        <v>7</v>
      </c>
      <c r="E19">
        <v>754</v>
      </c>
      <c r="F19" s="5">
        <f>tb_base_dash_extensao[[#This Row],[produção Agosto 2025]]+tb_base_dash_extensao[[#This Row],[produção Setembro 2025]]+tb_base_dash_extensao[[#This Row],[produção Dezembro 2025]]</f>
        <v>373.08500000000004</v>
      </c>
      <c r="L19" s="6"/>
      <c r="M19" s="6"/>
      <c r="N19" s="6"/>
      <c r="O19" s="6"/>
      <c r="P19" s="6">
        <f>242.97-72.375</f>
        <v>170.595</v>
      </c>
      <c r="Q19" s="6">
        <v>148.49</v>
      </c>
      <c r="R19" s="6"/>
      <c r="S19" s="6"/>
      <c r="T19" s="6">
        <v>54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t="s">
        <v>114</v>
      </c>
    </row>
    <row r="20" spans="2:33" x14ac:dyDescent="0.3">
      <c r="B20" s="5" t="s">
        <v>13</v>
      </c>
      <c r="C20">
        <v>10</v>
      </c>
      <c r="D20" t="s">
        <v>6</v>
      </c>
      <c r="E20">
        <v>971</v>
      </c>
      <c r="F20" s="5">
        <v>192.04</v>
      </c>
      <c r="G20">
        <v>8</v>
      </c>
      <c r="H20">
        <v>26.74</v>
      </c>
      <c r="I20">
        <v>322</v>
      </c>
      <c r="J20">
        <v>661</v>
      </c>
      <c r="L20" s="6"/>
      <c r="M20" s="6"/>
      <c r="N20" s="6"/>
      <c r="O20" s="6"/>
      <c r="P20" s="6"/>
      <c r="Q20" s="6"/>
      <c r="R20" s="6">
        <v>192.04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t="s">
        <v>114</v>
      </c>
    </row>
    <row r="21" spans="2:33" x14ac:dyDescent="0.3">
      <c r="B21" s="5" t="s">
        <v>13</v>
      </c>
      <c r="C21">
        <v>10</v>
      </c>
      <c r="D21" t="s">
        <v>7</v>
      </c>
      <c r="E21">
        <v>262</v>
      </c>
      <c r="F21" s="5">
        <v>19.91</v>
      </c>
      <c r="L21" s="6"/>
      <c r="M21" s="6"/>
      <c r="N21" s="6"/>
      <c r="O21" s="6"/>
      <c r="P21" s="6"/>
      <c r="Q21" s="6"/>
      <c r="R21" s="6">
        <v>19.91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t="s">
        <v>114</v>
      </c>
    </row>
    <row r="22" spans="2:33" x14ac:dyDescent="0.3">
      <c r="B22" s="5" t="s">
        <v>13</v>
      </c>
      <c r="C22">
        <v>11</v>
      </c>
      <c r="D22" t="s">
        <v>6</v>
      </c>
      <c r="E22">
        <v>155.4</v>
      </c>
      <c r="F22" s="5">
        <v>259.3</v>
      </c>
      <c r="I22">
        <v>723</v>
      </c>
      <c r="J22">
        <v>270</v>
      </c>
      <c r="L22" s="6"/>
      <c r="M22" s="6"/>
      <c r="N22" s="6"/>
      <c r="O22" s="6"/>
      <c r="P22" s="6"/>
      <c r="Q22" s="6"/>
      <c r="R22" s="6">
        <v>259.3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t="s">
        <v>114</v>
      </c>
    </row>
    <row r="23" spans="2:33" x14ac:dyDescent="0.3">
      <c r="B23" s="5" t="s">
        <v>13</v>
      </c>
      <c r="C23">
        <v>11</v>
      </c>
      <c r="D23" t="s">
        <v>7</v>
      </c>
      <c r="E23">
        <v>132.69999999999999</v>
      </c>
      <c r="F23" s="5">
        <v>39.75</v>
      </c>
      <c r="L23" s="6"/>
      <c r="M23" s="6"/>
      <c r="N23" s="6"/>
      <c r="O23" s="6"/>
      <c r="P23" s="6"/>
      <c r="Q23" s="6"/>
      <c r="R23" s="6">
        <v>39.75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t="s">
        <v>114</v>
      </c>
    </row>
    <row r="24" spans="2:33" x14ac:dyDescent="0.3">
      <c r="B24" t="s">
        <v>25</v>
      </c>
      <c r="C24">
        <v>12</v>
      </c>
      <c r="D24" t="s">
        <v>6</v>
      </c>
      <c r="E24">
        <v>457</v>
      </c>
      <c r="I24">
        <v>43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t="s">
        <v>115</v>
      </c>
    </row>
    <row r="25" spans="2:33" x14ac:dyDescent="0.3">
      <c r="B25" t="s">
        <v>25</v>
      </c>
      <c r="C25">
        <v>12</v>
      </c>
      <c r="D25" t="s">
        <v>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t="s">
        <v>115</v>
      </c>
    </row>
    <row r="26" spans="2:33" x14ac:dyDescent="0.3">
      <c r="B26" t="s">
        <v>26</v>
      </c>
      <c r="C26">
        <v>12</v>
      </c>
      <c r="D26" t="s">
        <v>6</v>
      </c>
      <c r="E26">
        <v>137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2:33" x14ac:dyDescent="0.3">
      <c r="B27" t="s">
        <v>26</v>
      </c>
      <c r="C27">
        <v>12</v>
      </c>
      <c r="D27" t="s">
        <v>7</v>
      </c>
      <c r="E27">
        <v>636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2:33" x14ac:dyDescent="0.3">
      <c r="B28" t="s">
        <v>27</v>
      </c>
      <c r="C28">
        <v>12</v>
      </c>
      <c r="D28" t="s">
        <v>6</v>
      </c>
      <c r="E28">
        <v>20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2:33" x14ac:dyDescent="0.3">
      <c r="B29" t="s">
        <v>27</v>
      </c>
      <c r="C29">
        <v>12</v>
      </c>
      <c r="D29" t="s">
        <v>7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2:33" x14ac:dyDescent="0.3">
      <c r="B30" t="s">
        <v>28</v>
      </c>
      <c r="C30">
        <v>12</v>
      </c>
      <c r="D30" t="s">
        <v>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2:33" x14ac:dyDescent="0.3">
      <c r="B31" t="s">
        <v>28</v>
      </c>
      <c r="C31">
        <v>12</v>
      </c>
      <c r="D31" t="s">
        <v>7</v>
      </c>
      <c r="E31">
        <v>110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2:33" x14ac:dyDescent="0.3">
      <c r="B32" t="s">
        <v>29</v>
      </c>
      <c r="C32">
        <v>12</v>
      </c>
      <c r="D32" t="s">
        <v>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2:32" x14ac:dyDescent="0.3">
      <c r="B33" t="s">
        <v>29</v>
      </c>
      <c r="C33">
        <v>12</v>
      </c>
      <c r="D33" t="s">
        <v>7</v>
      </c>
      <c r="E33">
        <v>55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2:32" x14ac:dyDescent="0.3">
      <c r="B34" t="s">
        <v>30</v>
      </c>
      <c r="C34">
        <v>12</v>
      </c>
      <c r="D34" t="s">
        <v>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2:32" x14ac:dyDescent="0.3">
      <c r="B35" t="s">
        <v>30</v>
      </c>
      <c r="C35">
        <v>12</v>
      </c>
      <c r="D35" t="s">
        <v>7</v>
      </c>
      <c r="E35">
        <v>34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2:32" x14ac:dyDescent="0.3">
      <c r="B36" t="s">
        <v>31</v>
      </c>
      <c r="C36">
        <v>12</v>
      </c>
      <c r="D36" t="s">
        <v>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2:32" x14ac:dyDescent="0.3">
      <c r="B37" t="s">
        <v>31</v>
      </c>
      <c r="C37">
        <v>12</v>
      </c>
      <c r="D37" t="s">
        <v>7</v>
      </c>
      <c r="E37">
        <v>17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2:32" x14ac:dyDescent="0.3">
      <c r="B38" t="s">
        <v>32</v>
      </c>
      <c r="C38">
        <v>13</v>
      </c>
      <c r="D38" t="s">
        <v>6</v>
      </c>
      <c r="I38">
        <v>11130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2:32" x14ac:dyDescent="0.3">
      <c r="B39" t="s">
        <v>32</v>
      </c>
      <c r="C39">
        <v>13</v>
      </c>
      <c r="D39" t="s">
        <v>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2:32" x14ac:dyDescent="0.3">
      <c r="B40" t="s">
        <v>33</v>
      </c>
      <c r="C40">
        <v>13</v>
      </c>
      <c r="D40" t="s">
        <v>6</v>
      </c>
      <c r="E40">
        <v>1787.905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2:32" x14ac:dyDescent="0.3">
      <c r="B41" t="s">
        <v>33</v>
      </c>
      <c r="C41">
        <v>13</v>
      </c>
      <c r="D41" t="s">
        <v>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2:32" x14ac:dyDescent="0.3">
      <c r="B42" t="s">
        <v>117</v>
      </c>
      <c r="C42">
        <v>13</v>
      </c>
      <c r="D42" t="s">
        <v>6</v>
      </c>
      <c r="E42">
        <v>1583.28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2:32" x14ac:dyDescent="0.3">
      <c r="B43" t="s">
        <v>117</v>
      </c>
      <c r="C43">
        <v>13</v>
      </c>
      <c r="D43" t="s">
        <v>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2:32" x14ac:dyDescent="0.3">
      <c r="B44" t="s">
        <v>34</v>
      </c>
      <c r="C44">
        <v>13</v>
      </c>
      <c r="D44" t="s">
        <v>6</v>
      </c>
      <c r="E44">
        <v>699.23500000000001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2:32" x14ac:dyDescent="0.3">
      <c r="B45" t="s">
        <v>34</v>
      </c>
      <c r="C45">
        <v>13</v>
      </c>
      <c r="D45" t="s">
        <v>7</v>
      </c>
      <c r="E45">
        <v>166.2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2:32" x14ac:dyDescent="0.3">
      <c r="B46" t="s">
        <v>35</v>
      </c>
      <c r="C46">
        <v>13</v>
      </c>
      <c r="D46" t="s">
        <v>6</v>
      </c>
      <c r="E46">
        <v>820.2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2:32" x14ac:dyDescent="0.3">
      <c r="B47" t="s">
        <v>35</v>
      </c>
      <c r="C47">
        <v>13</v>
      </c>
      <c r="D47" t="s">
        <v>7</v>
      </c>
      <c r="E47">
        <v>191.4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2:32" x14ac:dyDescent="0.3">
      <c r="B48" t="s">
        <v>36</v>
      </c>
      <c r="C48">
        <v>13</v>
      </c>
      <c r="D48" t="s">
        <v>6</v>
      </c>
      <c r="E48">
        <v>165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2:33" x14ac:dyDescent="0.3">
      <c r="B49" t="s">
        <v>36</v>
      </c>
      <c r="C49">
        <v>13</v>
      </c>
      <c r="D49" t="s">
        <v>7</v>
      </c>
      <c r="E49">
        <v>43.5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2:33" x14ac:dyDescent="0.3">
      <c r="B50" t="s">
        <v>37</v>
      </c>
      <c r="C50">
        <v>13</v>
      </c>
      <c r="D50" t="s">
        <v>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2:33" x14ac:dyDescent="0.3">
      <c r="B51" t="s">
        <v>37</v>
      </c>
      <c r="C51">
        <v>13</v>
      </c>
      <c r="D51" t="s">
        <v>7</v>
      </c>
      <c r="E51">
        <v>201.5</v>
      </c>
      <c r="K51" s="4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2:33" x14ac:dyDescent="0.3">
      <c r="B52" s="5" t="s">
        <v>10</v>
      </c>
      <c r="C52">
        <v>14</v>
      </c>
      <c r="D52" t="s">
        <v>6</v>
      </c>
      <c r="E52">
        <v>267</v>
      </c>
      <c r="F52" s="5">
        <v>400</v>
      </c>
      <c r="I52">
        <v>41</v>
      </c>
      <c r="J52">
        <v>39</v>
      </c>
      <c r="K52" s="4"/>
      <c r="L52" s="6"/>
      <c r="M52" s="6"/>
      <c r="N52" s="6"/>
      <c r="O52" s="6"/>
      <c r="P52" s="6"/>
      <c r="Q52" s="6"/>
      <c r="R52" s="6">
        <v>75</v>
      </c>
      <c r="S52" s="6">
        <v>325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t="s">
        <v>114</v>
      </c>
    </row>
    <row r="53" spans="2:33" x14ac:dyDescent="0.3">
      <c r="B53" s="5" t="s">
        <v>10</v>
      </c>
      <c r="C53">
        <v>14</v>
      </c>
      <c r="D53" t="s">
        <v>7</v>
      </c>
      <c r="E53">
        <v>233.1</v>
      </c>
      <c r="F53" s="5">
        <v>0</v>
      </c>
      <c r="K53" s="4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t="s">
        <v>114</v>
      </c>
    </row>
    <row r="54" spans="2:33" x14ac:dyDescent="0.3">
      <c r="B54" s="5" t="s">
        <v>10</v>
      </c>
      <c r="C54">
        <v>15</v>
      </c>
      <c r="D54" t="s">
        <v>6</v>
      </c>
      <c r="E54">
        <v>0</v>
      </c>
      <c r="F54" s="5">
        <v>157.69999999999999</v>
      </c>
      <c r="I54">
        <v>464</v>
      </c>
      <c r="J54">
        <v>523</v>
      </c>
      <c r="K54" s="4"/>
      <c r="L54" s="6"/>
      <c r="M54" s="6"/>
      <c r="N54" s="6"/>
      <c r="O54" s="6"/>
      <c r="P54" s="6"/>
      <c r="Q54" s="6"/>
      <c r="R54" s="6"/>
      <c r="S54" s="6"/>
      <c r="T54" s="6">
        <v>35</v>
      </c>
      <c r="U54" s="6">
        <v>122.7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t="s">
        <v>114</v>
      </c>
    </row>
    <row r="55" spans="2:33" x14ac:dyDescent="0.3">
      <c r="B55" s="5" t="s">
        <v>10</v>
      </c>
      <c r="C55">
        <v>15</v>
      </c>
      <c r="D55" t="s">
        <v>7</v>
      </c>
      <c r="E55">
        <v>243.8</v>
      </c>
      <c r="F55" s="5">
        <v>0</v>
      </c>
      <c r="K55" s="4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t="s">
        <v>114</v>
      </c>
    </row>
    <row r="56" spans="2:33" x14ac:dyDescent="0.3">
      <c r="B56" s="5" t="s">
        <v>10</v>
      </c>
      <c r="C56">
        <v>16</v>
      </c>
      <c r="D56" t="s">
        <v>6</v>
      </c>
      <c r="E56">
        <v>0</v>
      </c>
      <c r="F56" s="5">
        <v>341.71499999999997</v>
      </c>
      <c r="I56">
        <v>2139</v>
      </c>
      <c r="J56">
        <v>2126</v>
      </c>
      <c r="K56" s="4"/>
      <c r="L56" s="6"/>
      <c r="M56" s="6"/>
      <c r="N56" s="6"/>
      <c r="O56" s="6"/>
      <c r="P56" s="6"/>
      <c r="Q56" s="6"/>
      <c r="R56" s="6"/>
      <c r="S56" s="6">
        <v>220</v>
      </c>
      <c r="T56" s="6">
        <v>121.715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t="s">
        <v>114</v>
      </c>
    </row>
    <row r="57" spans="2:33" x14ac:dyDescent="0.3">
      <c r="B57" s="5" t="s">
        <v>10</v>
      </c>
      <c r="C57">
        <v>16</v>
      </c>
      <c r="D57" t="s">
        <v>7</v>
      </c>
      <c r="E57">
        <v>276.10000000000002</v>
      </c>
      <c r="F57" s="5">
        <v>13.17</v>
      </c>
      <c r="K57" s="4"/>
      <c r="L57" s="6"/>
      <c r="M57" s="6"/>
      <c r="N57" s="6"/>
      <c r="O57" s="6"/>
      <c r="P57" s="6"/>
      <c r="Q57" s="6"/>
      <c r="R57" s="6"/>
      <c r="S57" s="6"/>
      <c r="T57" s="6">
        <v>13.17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t="s">
        <v>114</v>
      </c>
    </row>
    <row r="58" spans="2:33" x14ac:dyDescent="0.3">
      <c r="B58" s="5" t="s">
        <v>10</v>
      </c>
      <c r="C58">
        <v>17</v>
      </c>
      <c r="D58" t="s">
        <v>6</v>
      </c>
      <c r="F58" s="5">
        <v>43.015000000000001</v>
      </c>
      <c r="I58">
        <v>208</v>
      </c>
      <c r="J58">
        <v>191</v>
      </c>
      <c r="K58" s="4"/>
      <c r="L58" s="6"/>
      <c r="M58" s="6"/>
      <c r="N58" s="6"/>
      <c r="O58" s="6"/>
      <c r="P58" s="6"/>
      <c r="Q58" s="6"/>
      <c r="R58" s="6"/>
      <c r="S58" s="6"/>
      <c r="T58" s="6">
        <v>43.015000000000001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t="s">
        <v>114</v>
      </c>
    </row>
    <row r="59" spans="2:33" x14ac:dyDescent="0.3">
      <c r="B59" s="5" t="s">
        <v>10</v>
      </c>
      <c r="C59">
        <v>17</v>
      </c>
      <c r="D59" t="s">
        <v>7</v>
      </c>
      <c r="E59">
        <v>83.2</v>
      </c>
      <c r="F59" s="5">
        <v>51.05</v>
      </c>
      <c r="K59" s="4"/>
      <c r="L59" s="6"/>
      <c r="M59" s="6"/>
      <c r="N59" s="6"/>
      <c r="O59" s="6"/>
      <c r="P59" s="6"/>
      <c r="Q59" s="6"/>
      <c r="R59" s="6"/>
      <c r="S59" s="6">
        <v>51.05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t="s">
        <v>114</v>
      </c>
    </row>
    <row r="60" spans="2:33" x14ac:dyDescent="0.3">
      <c r="B60" s="5" t="s">
        <v>9</v>
      </c>
      <c r="C60">
        <v>18</v>
      </c>
      <c r="D60" t="s">
        <v>6</v>
      </c>
      <c r="E60">
        <v>65.5</v>
      </c>
      <c r="F60" s="5">
        <v>288.26</v>
      </c>
      <c r="G60">
        <v>17</v>
      </c>
      <c r="H60">
        <v>51.09</v>
      </c>
      <c r="I60">
        <v>139</v>
      </c>
      <c r="J60">
        <v>109</v>
      </c>
      <c r="K60" s="4"/>
      <c r="L60" s="6"/>
      <c r="M60" s="6"/>
      <c r="N60" s="6"/>
      <c r="O60" s="6"/>
      <c r="P60" s="6"/>
      <c r="Q60" s="6">
        <v>288.26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t="s">
        <v>114</v>
      </c>
    </row>
    <row r="61" spans="2:33" x14ac:dyDescent="0.3">
      <c r="B61" s="5" t="s">
        <v>9</v>
      </c>
      <c r="C61">
        <v>18</v>
      </c>
      <c r="D61" t="s">
        <v>7</v>
      </c>
      <c r="E61">
        <v>245.5</v>
      </c>
      <c r="F61" s="5">
        <v>32.85</v>
      </c>
      <c r="K61" s="4"/>
      <c r="L61" s="6"/>
      <c r="M61" s="6"/>
      <c r="N61" s="6"/>
      <c r="O61" s="6"/>
      <c r="P61" s="6"/>
      <c r="Q61" s="6">
        <v>32.85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t="s">
        <v>114</v>
      </c>
    </row>
    <row r="62" spans="2:33" x14ac:dyDescent="0.3">
      <c r="B62" s="5" t="s">
        <v>9</v>
      </c>
      <c r="C62">
        <v>19</v>
      </c>
      <c r="D62" t="s">
        <v>6</v>
      </c>
      <c r="E62">
        <v>412</v>
      </c>
      <c r="F62" s="5">
        <v>223.29</v>
      </c>
      <c r="I62">
        <v>219</v>
      </c>
      <c r="J62">
        <v>188</v>
      </c>
      <c r="K62" s="4"/>
      <c r="L62" s="6"/>
      <c r="M62" s="6"/>
      <c r="N62" s="6"/>
      <c r="O62" s="6"/>
      <c r="P62" s="6"/>
      <c r="Q62" s="6"/>
      <c r="R62" s="6">
        <v>223.29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t="s">
        <v>114</v>
      </c>
    </row>
    <row r="63" spans="2:33" x14ac:dyDescent="0.3">
      <c r="B63" s="5" t="s">
        <v>9</v>
      </c>
      <c r="C63">
        <v>19</v>
      </c>
      <c r="D63" t="s">
        <v>7</v>
      </c>
      <c r="E63">
        <v>95.7</v>
      </c>
      <c r="F63" s="5">
        <v>26.66</v>
      </c>
      <c r="K63" s="4"/>
      <c r="L63" s="6"/>
      <c r="M63" s="6"/>
      <c r="N63" s="6"/>
      <c r="O63" s="6"/>
      <c r="P63" s="6"/>
      <c r="Q63" s="6">
        <v>26.66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t="s">
        <v>114</v>
      </c>
    </row>
    <row r="64" spans="2:33" x14ac:dyDescent="0.3">
      <c r="B64" s="5" t="s">
        <v>9</v>
      </c>
      <c r="C64">
        <v>20</v>
      </c>
      <c r="D64" t="s">
        <v>6</v>
      </c>
      <c r="E64">
        <v>163.4</v>
      </c>
      <c r="F64" s="5">
        <v>159.63</v>
      </c>
      <c r="I64">
        <v>848</v>
      </c>
      <c r="J64">
        <v>860</v>
      </c>
      <c r="K64" s="4"/>
      <c r="L64" s="6"/>
      <c r="M64" s="6"/>
      <c r="N64" s="6"/>
      <c r="O64" s="6"/>
      <c r="P64" s="6"/>
      <c r="Q64" s="6"/>
      <c r="R64" s="6"/>
      <c r="S64" s="6">
        <v>59.73</v>
      </c>
      <c r="T64" s="6">
        <v>99.9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t="s">
        <v>114</v>
      </c>
    </row>
    <row r="65" spans="2:33" x14ac:dyDescent="0.3">
      <c r="B65" s="5" t="s">
        <v>9</v>
      </c>
      <c r="C65">
        <v>20</v>
      </c>
      <c r="D65" t="s">
        <v>7</v>
      </c>
      <c r="E65">
        <v>24</v>
      </c>
      <c r="F65" s="5">
        <v>31.4</v>
      </c>
      <c r="K65" s="4"/>
      <c r="L65" s="6"/>
      <c r="M65" s="6"/>
      <c r="N65" s="6"/>
      <c r="O65" s="6"/>
      <c r="P65" s="6"/>
      <c r="Q65" s="6">
        <v>31.4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t="s">
        <v>114</v>
      </c>
    </row>
    <row r="66" spans="2:33" x14ac:dyDescent="0.3">
      <c r="B66" s="5" t="s">
        <v>5</v>
      </c>
      <c r="C66">
        <v>21</v>
      </c>
      <c r="D66" t="s">
        <v>6</v>
      </c>
      <c r="E66">
        <v>475.4</v>
      </c>
      <c r="F66" s="5">
        <v>1229.95</v>
      </c>
      <c r="G66">
        <v>19</v>
      </c>
      <c r="H66">
        <v>92.92</v>
      </c>
      <c r="I66">
        <v>78</v>
      </c>
      <c r="J66">
        <v>72</v>
      </c>
      <c r="K66" s="4"/>
      <c r="L66" s="6"/>
      <c r="M66" s="6"/>
      <c r="N66" s="6">
        <v>68</v>
      </c>
      <c r="O66" s="6">
        <v>621.84500000000003</v>
      </c>
      <c r="P66" s="6">
        <v>354.52499999999998</v>
      </c>
      <c r="Q66" s="6">
        <v>67.900000000000006</v>
      </c>
      <c r="R66" s="6">
        <v>117.68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t="s">
        <v>114</v>
      </c>
    </row>
    <row r="67" spans="2:33" x14ac:dyDescent="0.3">
      <c r="B67" s="5" t="s">
        <v>5</v>
      </c>
      <c r="C67">
        <v>21</v>
      </c>
      <c r="D67" t="s">
        <v>7</v>
      </c>
      <c r="E67">
        <v>771.1</v>
      </c>
      <c r="F67" s="5">
        <v>0</v>
      </c>
      <c r="K67" s="4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t="s">
        <v>114</v>
      </c>
    </row>
    <row r="68" spans="2:33" x14ac:dyDescent="0.3">
      <c r="B68" s="5" t="s">
        <v>5</v>
      </c>
      <c r="C68">
        <v>22</v>
      </c>
      <c r="D68" t="s">
        <v>6</v>
      </c>
      <c r="E68">
        <v>59.5</v>
      </c>
      <c r="F68" s="5">
        <v>328.75</v>
      </c>
      <c r="G68">
        <v>6</v>
      </c>
      <c r="H68">
        <v>16.16</v>
      </c>
      <c r="I68">
        <v>471</v>
      </c>
      <c r="J68">
        <v>338</v>
      </c>
      <c r="K68" s="4"/>
      <c r="L68" s="6"/>
      <c r="M68" s="6"/>
      <c r="N68" s="6"/>
      <c r="O68" s="6"/>
      <c r="P68" s="6">
        <v>328.75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t="s">
        <v>114</v>
      </c>
    </row>
    <row r="69" spans="2:33" x14ac:dyDescent="0.3">
      <c r="B69" s="5" t="s">
        <v>5</v>
      </c>
      <c r="C69">
        <v>22</v>
      </c>
      <c r="D69" t="s">
        <v>7</v>
      </c>
      <c r="E69">
        <v>216</v>
      </c>
      <c r="F69" s="5">
        <v>0</v>
      </c>
      <c r="K69" s="4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t="s">
        <v>114</v>
      </c>
    </row>
    <row r="70" spans="2:33" x14ac:dyDescent="0.3">
      <c r="B70" s="5" t="s">
        <v>5</v>
      </c>
      <c r="C70">
        <v>23</v>
      </c>
      <c r="D70" t="s">
        <v>6</v>
      </c>
      <c r="E70">
        <v>352.8</v>
      </c>
      <c r="F70" s="5">
        <v>384.67</v>
      </c>
      <c r="G70">
        <v>7</v>
      </c>
      <c r="H70">
        <v>24.74</v>
      </c>
      <c r="I70">
        <v>987</v>
      </c>
      <c r="J70">
        <v>901</v>
      </c>
      <c r="K70" s="4"/>
      <c r="L70" s="6"/>
      <c r="M70" s="6"/>
      <c r="N70" s="6"/>
      <c r="O70" s="6"/>
      <c r="P70" s="6">
        <v>247.93</v>
      </c>
      <c r="Q70" s="6">
        <v>136.74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t="s">
        <v>114</v>
      </c>
    </row>
    <row r="71" spans="2:33" x14ac:dyDescent="0.3">
      <c r="B71" s="5" t="s">
        <v>5</v>
      </c>
      <c r="C71">
        <v>23</v>
      </c>
      <c r="D71" t="s">
        <v>7</v>
      </c>
      <c r="E71">
        <v>254.9</v>
      </c>
      <c r="F71" s="5">
        <v>20.32</v>
      </c>
      <c r="K71" s="4"/>
      <c r="L71" s="6"/>
      <c r="M71" s="6"/>
      <c r="N71" s="6"/>
      <c r="O71" s="6"/>
      <c r="P71" s="6"/>
      <c r="Q71" s="6">
        <v>20.32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t="s">
        <v>114</v>
      </c>
    </row>
    <row r="72" spans="2:33" x14ac:dyDescent="0.3">
      <c r="B72" s="5" t="s">
        <v>12</v>
      </c>
      <c r="C72">
        <v>24</v>
      </c>
      <c r="D72" t="s">
        <v>6</v>
      </c>
      <c r="E72">
        <v>207.5</v>
      </c>
      <c r="F72" s="5">
        <v>197.8</v>
      </c>
      <c r="I72">
        <v>1801</v>
      </c>
      <c r="K72" s="4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>
        <v>197.8</v>
      </c>
      <c r="Y72" s="6"/>
      <c r="Z72" s="6"/>
      <c r="AA72" s="6"/>
      <c r="AB72" s="6"/>
      <c r="AC72" s="6"/>
      <c r="AD72" s="6"/>
      <c r="AE72" s="6"/>
      <c r="AF72" s="6"/>
      <c r="AG72" t="s">
        <v>114</v>
      </c>
    </row>
    <row r="73" spans="2:33" x14ac:dyDescent="0.3">
      <c r="B73" s="5" t="s">
        <v>12</v>
      </c>
      <c r="C73">
        <v>24</v>
      </c>
      <c r="D73" t="s">
        <v>7</v>
      </c>
      <c r="E73">
        <v>95</v>
      </c>
      <c r="F73" s="5">
        <v>10.73</v>
      </c>
      <c r="K73" s="4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>
        <f>6.22+4.51</f>
        <v>10.73</v>
      </c>
      <c r="Y73" s="6"/>
      <c r="Z73" s="6"/>
      <c r="AA73" s="6"/>
      <c r="AB73" s="6"/>
      <c r="AC73" s="6"/>
      <c r="AD73" s="6"/>
      <c r="AE73" s="6"/>
      <c r="AF73" s="6"/>
      <c r="AG73" t="s">
        <v>114</v>
      </c>
    </row>
    <row r="74" spans="2:33" x14ac:dyDescent="0.3">
      <c r="B74" s="5" t="s">
        <v>12</v>
      </c>
      <c r="C74">
        <v>25</v>
      </c>
      <c r="D74" t="s">
        <v>6</v>
      </c>
      <c r="E74">
        <v>315.5</v>
      </c>
      <c r="F74" s="5">
        <v>545.34</v>
      </c>
      <c r="I74">
        <v>168</v>
      </c>
      <c r="K74" s="4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545.34</v>
      </c>
      <c r="X74" s="6"/>
      <c r="Y74" s="6"/>
      <c r="Z74" s="6"/>
      <c r="AA74" s="6"/>
      <c r="AB74" s="6"/>
      <c r="AC74" s="6"/>
      <c r="AD74" s="6"/>
      <c r="AE74" s="6"/>
      <c r="AF74" s="6"/>
      <c r="AG74" t="s">
        <v>114</v>
      </c>
    </row>
    <row r="75" spans="2:33" x14ac:dyDescent="0.3">
      <c r="B75" s="5" t="s">
        <v>12</v>
      </c>
      <c r="C75">
        <v>25</v>
      </c>
      <c r="D75" t="s">
        <v>7</v>
      </c>
      <c r="E75">
        <v>194.5</v>
      </c>
      <c r="F75" s="5">
        <v>12.02</v>
      </c>
      <c r="K75" s="4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>
        <v>12.02</v>
      </c>
      <c r="X75" s="6"/>
      <c r="Y75" s="6"/>
      <c r="Z75" s="6"/>
      <c r="AA75" s="6"/>
      <c r="AB75" s="6"/>
      <c r="AC75" s="6"/>
      <c r="AD75" s="6"/>
      <c r="AE75" s="6"/>
      <c r="AF75" s="6"/>
      <c r="AG75" t="s">
        <v>114</v>
      </c>
    </row>
    <row r="76" spans="2:33" x14ac:dyDescent="0.3">
      <c r="B76" s="5" t="s">
        <v>15</v>
      </c>
      <c r="C76">
        <v>26</v>
      </c>
      <c r="D76" t="s">
        <v>6</v>
      </c>
      <c r="E76">
        <v>31.9</v>
      </c>
      <c r="F76" s="5">
        <v>384.37</v>
      </c>
      <c r="I76">
        <v>1302</v>
      </c>
      <c r="J76">
        <v>1152</v>
      </c>
      <c r="L76" s="6"/>
      <c r="M76" s="6"/>
      <c r="N76" s="6"/>
      <c r="O76" s="6"/>
      <c r="P76" s="6"/>
      <c r="Q76" s="6"/>
      <c r="R76" s="6"/>
      <c r="S76" s="6"/>
      <c r="T76" s="6"/>
      <c r="U76" s="6">
        <v>384.37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t="s">
        <v>114</v>
      </c>
    </row>
    <row r="77" spans="2:33" x14ac:dyDescent="0.3">
      <c r="B77" s="5" t="s">
        <v>15</v>
      </c>
      <c r="C77">
        <v>26</v>
      </c>
      <c r="D77" t="s">
        <v>7</v>
      </c>
      <c r="E77">
        <v>600.73</v>
      </c>
      <c r="F77" s="5">
        <v>23.8</v>
      </c>
      <c r="L77" s="6"/>
      <c r="M77" s="6"/>
      <c r="N77" s="6"/>
      <c r="O77" s="6"/>
      <c r="P77" s="6"/>
      <c r="Q77" s="6"/>
      <c r="R77" s="6"/>
      <c r="S77" s="6"/>
      <c r="T77" s="6"/>
      <c r="U77" s="6">
        <v>23.8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t="s">
        <v>114</v>
      </c>
    </row>
    <row r="78" spans="2:33" x14ac:dyDescent="0.3">
      <c r="B78" s="5" t="s">
        <v>23</v>
      </c>
      <c r="C78">
        <v>27</v>
      </c>
      <c r="D78" t="s">
        <v>6</v>
      </c>
      <c r="F78" s="5">
        <v>91.21</v>
      </c>
      <c r="I78">
        <v>2885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20.95</v>
      </c>
      <c r="W78" s="6"/>
      <c r="X78" s="6">
        <v>70.260000000000005</v>
      </c>
      <c r="Y78" s="6"/>
      <c r="Z78" s="6"/>
      <c r="AA78" s="6"/>
      <c r="AB78" s="6"/>
      <c r="AC78" s="6"/>
      <c r="AD78" s="6"/>
      <c r="AE78" s="6"/>
      <c r="AF78" s="6"/>
      <c r="AG78" t="s">
        <v>114</v>
      </c>
    </row>
    <row r="79" spans="2:33" x14ac:dyDescent="0.3">
      <c r="B79" s="5" t="s">
        <v>23</v>
      </c>
      <c r="C79">
        <v>27</v>
      </c>
      <c r="D79" t="s">
        <v>7</v>
      </c>
      <c r="E79">
        <v>100.5</v>
      </c>
      <c r="F79" s="5">
        <v>10.06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8.06</v>
      </c>
      <c r="W79" s="6"/>
      <c r="X79" s="6">
        <v>2</v>
      </c>
      <c r="Y79" s="6"/>
      <c r="Z79" s="6"/>
      <c r="AA79" s="6"/>
      <c r="AB79" s="6"/>
      <c r="AC79" s="6"/>
      <c r="AD79" s="6"/>
      <c r="AE79" s="6"/>
      <c r="AF79" s="6"/>
      <c r="AG79" t="s">
        <v>114</v>
      </c>
    </row>
    <row r="80" spans="2:33" x14ac:dyDescent="0.3">
      <c r="B80" s="5" t="s">
        <v>23</v>
      </c>
      <c r="C80">
        <v>28</v>
      </c>
      <c r="D80" t="s">
        <v>6</v>
      </c>
      <c r="F80" s="5">
        <v>230.72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f>230.02-55.56</f>
        <v>174.46</v>
      </c>
      <c r="W80" s="6">
        <v>56.26</v>
      </c>
      <c r="X80" s="6"/>
      <c r="Y80" s="6"/>
      <c r="Z80" s="6"/>
      <c r="AA80" s="6"/>
      <c r="AB80" s="6"/>
      <c r="AC80" s="6"/>
      <c r="AD80" s="6"/>
      <c r="AE80" s="6"/>
      <c r="AF80" s="6"/>
      <c r="AG80" t="s">
        <v>114</v>
      </c>
    </row>
    <row r="81" spans="2:33" x14ac:dyDescent="0.3">
      <c r="B81" s="5" t="s">
        <v>23</v>
      </c>
      <c r="C81">
        <v>28</v>
      </c>
      <c r="D81" t="s">
        <v>7</v>
      </c>
      <c r="E81">
        <v>210.02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t="s">
        <v>114</v>
      </c>
    </row>
    <row r="82" spans="2:33" x14ac:dyDescent="0.3">
      <c r="B82" s="5" t="s">
        <v>23</v>
      </c>
      <c r="C82">
        <v>29</v>
      </c>
      <c r="D82" t="s">
        <v>6</v>
      </c>
      <c r="F82" s="5">
        <v>35.5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35.5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t="s">
        <v>114</v>
      </c>
    </row>
    <row r="83" spans="2:33" x14ac:dyDescent="0.3">
      <c r="B83" s="5" t="s">
        <v>23</v>
      </c>
      <c r="C83">
        <v>29</v>
      </c>
      <c r="D83" t="s">
        <v>7</v>
      </c>
      <c r="E83">
        <v>57.5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t="s">
        <v>114</v>
      </c>
    </row>
    <row r="84" spans="2:33" x14ac:dyDescent="0.3">
      <c r="B84" s="5" t="s">
        <v>23</v>
      </c>
      <c r="C84">
        <v>30</v>
      </c>
      <c r="D84" t="s">
        <v>6</v>
      </c>
      <c r="F84" s="5">
        <v>36.979999999999997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36.979999999999997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t="s">
        <v>114</v>
      </c>
    </row>
    <row r="85" spans="2:33" x14ac:dyDescent="0.3">
      <c r="B85" s="5" t="s">
        <v>23</v>
      </c>
      <c r="C85">
        <v>30</v>
      </c>
      <c r="D85" t="s">
        <v>7</v>
      </c>
      <c r="E85">
        <v>56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t="s">
        <v>114</v>
      </c>
    </row>
    <row r="86" spans="2:33" x14ac:dyDescent="0.3">
      <c r="B86" s="5" t="s">
        <v>23</v>
      </c>
      <c r="C86">
        <v>31</v>
      </c>
      <c r="D86" t="s">
        <v>6</v>
      </c>
      <c r="F86" s="5">
        <v>39.04</v>
      </c>
      <c r="J86">
        <v>628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39.04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t="s">
        <v>114</v>
      </c>
    </row>
    <row r="87" spans="2:33" x14ac:dyDescent="0.3">
      <c r="B87" s="5" t="s">
        <v>23</v>
      </c>
      <c r="C87">
        <v>31</v>
      </c>
      <c r="D87" t="s">
        <v>7</v>
      </c>
      <c r="E87">
        <v>39.5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t="s">
        <v>114</v>
      </c>
    </row>
    <row r="88" spans="2:33" x14ac:dyDescent="0.3">
      <c r="B88" s="5" t="s">
        <v>23</v>
      </c>
      <c r="C88">
        <v>32</v>
      </c>
      <c r="D88" t="s">
        <v>6</v>
      </c>
      <c r="F88" s="5">
        <v>34.42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34.42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t="s">
        <v>114</v>
      </c>
    </row>
    <row r="89" spans="2:33" x14ac:dyDescent="0.3">
      <c r="B89" s="5" t="s">
        <v>23</v>
      </c>
      <c r="C89">
        <v>32</v>
      </c>
      <c r="D89" t="s">
        <v>7</v>
      </c>
      <c r="E89">
        <v>63.5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t="s">
        <v>114</v>
      </c>
    </row>
    <row r="90" spans="2:33" x14ac:dyDescent="0.3">
      <c r="B90" s="5" t="s">
        <v>23</v>
      </c>
      <c r="C90">
        <v>33</v>
      </c>
      <c r="D90" t="s">
        <v>6</v>
      </c>
      <c r="F90" s="5">
        <v>34.119999999999997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34.119999999999997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t="s">
        <v>114</v>
      </c>
    </row>
    <row r="91" spans="2:33" x14ac:dyDescent="0.3">
      <c r="B91" s="5" t="s">
        <v>23</v>
      </c>
      <c r="C91">
        <v>33</v>
      </c>
      <c r="D91" t="s">
        <v>7</v>
      </c>
      <c r="E91">
        <v>67.5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t="s">
        <v>114</v>
      </c>
    </row>
    <row r="92" spans="2:33" x14ac:dyDescent="0.3">
      <c r="B92" s="5" t="s">
        <v>23</v>
      </c>
      <c r="C92">
        <v>34</v>
      </c>
      <c r="D92" t="s">
        <v>6</v>
      </c>
      <c r="F92" s="5">
        <v>32.11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32.11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t="s">
        <v>114</v>
      </c>
    </row>
    <row r="93" spans="2:33" x14ac:dyDescent="0.3">
      <c r="B93" s="5" t="s">
        <v>23</v>
      </c>
      <c r="C93">
        <v>34</v>
      </c>
      <c r="D93" t="s">
        <v>7</v>
      </c>
      <c r="E93">
        <v>67.5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t="s">
        <v>114</v>
      </c>
    </row>
    <row r="94" spans="2:33" x14ac:dyDescent="0.3">
      <c r="B94" s="5" t="s">
        <v>23</v>
      </c>
      <c r="C94">
        <v>37</v>
      </c>
      <c r="D94" t="s">
        <v>6</v>
      </c>
      <c r="F94" s="5">
        <v>35.9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35.9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t="s">
        <v>114</v>
      </c>
    </row>
    <row r="95" spans="2:33" x14ac:dyDescent="0.3">
      <c r="B95" s="5" t="s">
        <v>23</v>
      </c>
      <c r="C95">
        <v>37</v>
      </c>
      <c r="D95" t="s">
        <v>7</v>
      </c>
      <c r="E95">
        <v>84.5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t="s">
        <v>114</v>
      </c>
    </row>
    <row r="96" spans="2:33" x14ac:dyDescent="0.3">
      <c r="B96" s="5" t="s">
        <v>23</v>
      </c>
      <c r="C96">
        <v>38</v>
      </c>
      <c r="D96" t="s">
        <v>6</v>
      </c>
      <c r="E96">
        <v>39</v>
      </c>
      <c r="F96" s="5">
        <v>32.19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32.19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t="s">
        <v>114</v>
      </c>
    </row>
    <row r="97" spans="2:33" x14ac:dyDescent="0.3">
      <c r="B97" s="5" t="s">
        <v>23</v>
      </c>
      <c r="C97">
        <v>38</v>
      </c>
      <c r="D97" t="s">
        <v>7</v>
      </c>
      <c r="E97">
        <v>114.5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t="s">
        <v>114</v>
      </c>
    </row>
    <row r="98" spans="2:33" x14ac:dyDescent="0.3">
      <c r="B98" s="5" t="s">
        <v>23</v>
      </c>
      <c r="C98">
        <v>39</v>
      </c>
      <c r="D98" t="s">
        <v>6</v>
      </c>
      <c r="E98">
        <v>35</v>
      </c>
      <c r="F98" s="5">
        <v>76.599999999999994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37.72</v>
      </c>
      <c r="W98" s="6">
        <v>38.880000000000003</v>
      </c>
      <c r="X98" s="6"/>
      <c r="Y98" s="6"/>
      <c r="Z98" s="6"/>
      <c r="AA98" s="6"/>
      <c r="AB98" s="6"/>
      <c r="AC98" s="6"/>
      <c r="AD98" s="6"/>
      <c r="AE98" s="6"/>
      <c r="AF98" s="6"/>
      <c r="AG98" t="s">
        <v>114</v>
      </c>
    </row>
    <row r="99" spans="2:33" x14ac:dyDescent="0.3">
      <c r="B99" s="5" t="s">
        <v>23</v>
      </c>
      <c r="C99">
        <v>39</v>
      </c>
      <c r="D99" t="s">
        <v>7</v>
      </c>
      <c r="E99">
        <v>58.5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t="s">
        <v>114</v>
      </c>
    </row>
    <row r="100" spans="2:33" x14ac:dyDescent="0.3">
      <c r="B100" s="5" t="s">
        <v>23</v>
      </c>
      <c r="C100">
        <v>40</v>
      </c>
      <c r="D100" t="s">
        <v>6</v>
      </c>
      <c r="E100">
        <v>61.5</v>
      </c>
      <c r="F100" s="5">
        <v>84.62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36.840000000000003</v>
      </c>
      <c r="W100" s="6">
        <v>47.78</v>
      </c>
      <c r="X100" s="6"/>
      <c r="Y100" s="6"/>
      <c r="Z100" s="6"/>
      <c r="AA100" s="6"/>
      <c r="AB100" s="6"/>
      <c r="AC100" s="6"/>
      <c r="AD100" s="6"/>
      <c r="AE100" s="6"/>
      <c r="AF100" s="6"/>
      <c r="AG100" t="s">
        <v>114</v>
      </c>
    </row>
    <row r="101" spans="2:33" x14ac:dyDescent="0.3">
      <c r="B101" s="5" t="s">
        <v>23</v>
      </c>
      <c r="C101">
        <v>40</v>
      </c>
      <c r="D101" t="s">
        <v>7</v>
      </c>
      <c r="E101">
        <v>37.5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t="s">
        <v>114</v>
      </c>
    </row>
    <row r="102" spans="2:33" x14ac:dyDescent="0.3">
      <c r="B102" s="5" t="s">
        <v>23</v>
      </c>
      <c r="C102">
        <v>41</v>
      </c>
      <c r="D102" t="s">
        <v>6</v>
      </c>
      <c r="E102">
        <v>65.5</v>
      </c>
      <c r="F102" s="5">
        <v>35.5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35.5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t="s">
        <v>114</v>
      </c>
    </row>
    <row r="103" spans="2:33" x14ac:dyDescent="0.3">
      <c r="B103" s="5" t="s">
        <v>23</v>
      </c>
      <c r="C103">
        <v>41</v>
      </c>
      <c r="D103" t="s">
        <v>7</v>
      </c>
      <c r="E103">
        <v>32.5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t="s">
        <v>114</v>
      </c>
    </row>
    <row r="104" spans="2:33" x14ac:dyDescent="0.3">
      <c r="B104" s="5" t="s">
        <v>23</v>
      </c>
      <c r="C104">
        <v>42</v>
      </c>
      <c r="D104" t="s">
        <v>6</v>
      </c>
      <c r="E104">
        <v>91.5</v>
      </c>
      <c r="F104" s="5">
        <v>34.380000000000003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>
        <v>34.380000000000003</v>
      </c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t="s">
        <v>114</v>
      </c>
    </row>
    <row r="105" spans="2:33" ht="15" customHeight="1" x14ac:dyDescent="0.3">
      <c r="B105" s="5" t="s">
        <v>23</v>
      </c>
      <c r="C105">
        <v>42</v>
      </c>
      <c r="D105" t="s">
        <v>7</v>
      </c>
      <c r="E105">
        <v>5.5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t="s">
        <v>114</v>
      </c>
    </row>
    <row r="106" spans="2:33" x14ac:dyDescent="0.3">
      <c r="B106" s="5" t="s">
        <v>23</v>
      </c>
      <c r="C106">
        <v>43</v>
      </c>
      <c r="D106" t="s">
        <v>6</v>
      </c>
      <c r="E106">
        <v>198</v>
      </c>
      <c r="F106" s="5">
        <v>167.19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>
        <v>43.97</v>
      </c>
      <c r="W106" s="6">
        <v>123.22</v>
      </c>
      <c r="X106" s="6"/>
      <c r="Y106" s="6"/>
      <c r="Z106" s="6"/>
      <c r="AA106" s="6"/>
      <c r="AB106" s="6"/>
      <c r="AC106" s="6"/>
      <c r="AD106" s="6"/>
      <c r="AE106" s="6"/>
      <c r="AF106" s="6"/>
      <c r="AG106" t="s">
        <v>114</v>
      </c>
    </row>
    <row r="107" spans="2:33" x14ac:dyDescent="0.3">
      <c r="B107" s="5" t="s">
        <v>23</v>
      </c>
      <c r="C107">
        <v>43</v>
      </c>
      <c r="D107" t="s">
        <v>7</v>
      </c>
      <c r="E107">
        <v>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t="s">
        <v>114</v>
      </c>
    </row>
    <row r="108" spans="2:33" x14ac:dyDescent="0.3">
      <c r="B108" s="5" t="s">
        <v>23</v>
      </c>
      <c r="C108">
        <v>44</v>
      </c>
      <c r="D108" t="s">
        <v>6</v>
      </c>
      <c r="E108">
        <v>75</v>
      </c>
      <c r="F108" s="5">
        <v>189</v>
      </c>
      <c r="J108">
        <v>531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>
        <v>189</v>
      </c>
      <c r="X108" s="6"/>
      <c r="Y108" s="6"/>
      <c r="Z108" s="6"/>
      <c r="AA108" s="6"/>
      <c r="AB108" s="6"/>
      <c r="AC108" s="6"/>
      <c r="AD108" s="6"/>
      <c r="AE108" s="6"/>
      <c r="AF108" s="6"/>
      <c r="AG108" t="s">
        <v>114</v>
      </c>
    </row>
    <row r="109" spans="2:33" x14ac:dyDescent="0.3">
      <c r="B109" s="5" t="s">
        <v>23</v>
      </c>
      <c r="C109">
        <v>44</v>
      </c>
      <c r="D109" t="s">
        <v>7</v>
      </c>
      <c r="E109">
        <v>48.5</v>
      </c>
      <c r="F109" s="5">
        <v>70.930000000000007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>
        <v>70.930000000000007</v>
      </c>
      <c r="X109" s="6"/>
      <c r="Y109" s="6"/>
      <c r="Z109" s="6"/>
      <c r="AA109" s="6"/>
      <c r="AB109" s="6"/>
      <c r="AC109" s="6"/>
      <c r="AD109" s="6"/>
      <c r="AE109" s="6"/>
      <c r="AF109" s="6"/>
      <c r="AG109" t="s">
        <v>114</v>
      </c>
    </row>
    <row r="110" spans="2:33" x14ac:dyDescent="0.3">
      <c r="B110" s="5" t="s">
        <v>22</v>
      </c>
      <c r="C110">
        <v>45</v>
      </c>
      <c r="D110" t="s">
        <v>6</v>
      </c>
      <c r="E110">
        <v>298</v>
      </c>
      <c r="F110" s="5">
        <v>363.85</v>
      </c>
      <c r="I110">
        <v>223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>
        <v>329.56</v>
      </c>
      <c r="W110" s="6">
        <v>34.29</v>
      </c>
      <c r="X110" s="6"/>
      <c r="Y110" s="6"/>
      <c r="Z110" s="6"/>
      <c r="AA110" s="6"/>
      <c r="AB110" s="6"/>
      <c r="AC110" s="6"/>
      <c r="AD110" s="6"/>
      <c r="AE110" s="6"/>
      <c r="AF110" s="6"/>
      <c r="AG110" t="s">
        <v>114</v>
      </c>
    </row>
    <row r="111" spans="2:33" x14ac:dyDescent="0.3">
      <c r="B111" s="5" t="s">
        <v>22</v>
      </c>
      <c r="C111">
        <v>45</v>
      </c>
      <c r="D111" t="s">
        <v>7</v>
      </c>
      <c r="E111">
        <v>113.5</v>
      </c>
      <c r="F111" s="5">
        <v>19.84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>
        <v>19.84</v>
      </c>
      <c r="Y111" s="6"/>
      <c r="Z111" s="6"/>
      <c r="AA111" s="6"/>
      <c r="AB111" s="6"/>
      <c r="AC111" s="6"/>
      <c r="AD111" s="6"/>
      <c r="AE111" s="6"/>
      <c r="AF111" s="6"/>
      <c r="AG111" t="s">
        <v>114</v>
      </c>
    </row>
    <row r="112" spans="2:33" x14ac:dyDescent="0.3">
      <c r="B112" s="5" t="s">
        <v>22</v>
      </c>
      <c r="C112">
        <v>46</v>
      </c>
      <c r="D112" t="s">
        <v>6</v>
      </c>
      <c r="E112">
        <v>88</v>
      </c>
      <c r="F112" s="5">
        <v>89.05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>
        <v>32.99</v>
      </c>
      <c r="W112" s="6">
        <v>56.06</v>
      </c>
      <c r="X112" s="6"/>
      <c r="Y112" s="6"/>
      <c r="Z112" s="6"/>
      <c r="AA112" s="6"/>
      <c r="AB112" s="6"/>
      <c r="AC112" s="6"/>
      <c r="AD112" s="6"/>
      <c r="AE112" s="6"/>
      <c r="AF112" s="6"/>
      <c r="AG112" t="s">
        <v>114</v>
      </c>
    </row>
    <row r="113" spans="2:33" x14ac:dyDescent="0.3">
      <c r="B113" s="5" t="s">
        <v>22</v>
      </c>
      <c r="C113">
        <v>46</v>
      </c>
      <c r="D113" t="s">
        <v>7</v>
      </c>
      <c r="E113">
        <v>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t="s">
        <v>114</v>
      </c>
    </row>
    <row r="114" spans="2:33" x14ac:dyDescent="0.3">
      <c r="B114" s="5" t="s">
        <v>22</v>
      </c>
      <c r="C114">
        <v>47</v>
      </c>
      <c r="D114" t="s">
        <v>6</v>
      </c>
      <c r="E114">
        <v>68.5</v>
      </c>
      <c r="F114" s="5">
        <v>35.479999999999997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>
        <v>35.479999999999997</v>
      </c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t="s">
        <v>114</v>
      </c>
    </row>
    <row r="115" spans="2:33" x14ac:dyDescent="0.3">
      <c r="B115" s="5" t="s">
        <v>22</v>
      </c>
      <c r="C115">
        <v>47</v>
      </c>
      <c r="D115" t="s">
        <v>7</v>
      </c>
      <c r="E115">
        <v>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t="s">
        <v>114</v>
      </c>
    </row>
    <row r="116" spans="2:33" x14ac:dyDescent="0.3">
      <c r="B116" s="5" t="s">
        <v>22</v>
      </c>
      <c r="C116">
        <v>48</v>
      </c>
      <c r="D116" t="s">
        <v>6</v>
      </c>
      <c r="E116">
        <v>216.5</v>
      </c>
      <c r="F116" s="5">
        <v>206.17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>
        <v>129.66999999999999</v>
      </c>
      <c r="W116" s="6">
        <v>76.5</v>
      </c>
      <c r="X116" s="6"/>
      <c r="Y116" s="6"/>
      <c r="Z116" s="6"/>
      <c r="AA116" s="6"/>
      <c r="AB116" s="6"/>
      <c r="AC116" s="6"/>
      <c r="AD116" s="6"/>
      <c r="AE116" s="6"/>
      <c r="AF116" s="6"/>
      <c r="AG116" t="s">
        <v>114</v>
      </c>
    </row>
    <row r="117" spans="2:33" x14ac:dyDescent="0.3">
      <c r="B117" s="5" t="s">
        <v>22</v>
      </c>
      <c r="C117">
        <v>48</v>
      </c>
      <c r="D117" t="s">
        <v>7</v>
      </c>
      <c r="E117">
        <v>86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t="s">
        <v>114</v>
      </c>
    </row>
    <row r="118" spans="2:33" x14ac:dyDescent="0.3">
      <c r="B118" s="5" t="s">
        <v>22</v>
      </c>
      <c r="C118">
        <v>49</v>
      </c>
      <c r="D118" t="s">
        <v>6</v>
      </c>
      <c r="E118">
        <v>68</v>
      </c>
      <c r="F118" s="5">
        <v>97.16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>
        <v>68.16</v>
      </c>
      <c r="W118" s="6">
        <v>29</v>
      </c>
      <c r="X118" s="6"/>
      <c r="Y118" s="6"/>
      <c r="Z118" s="6"/>
      <c r="AA118" s="6"/>
      <c r="AB118" s="6"/>
      <c r="AC118" s="6"/>
      <c r="AD118" s="6"/>
      <c r="AE118" s="6"/>
      <c r="AF118" s="6"/>
      <c r="AG118" t="s">
        <v>114</v>
      </c>
    </row>
    <row r="119" spans="2:33" x14ac:dyDescent="0.3">
      <c r="B119" s="5" t="s">
        <v>22</v>
      </c>
      <c r="C119">
        <v>49</v>
      </c>
      <c r="D119" t="s">
        <v>7</v>
      </c>
      <c r="E119">
        <v>40.5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t="s">
        <v>114</v>
      </c>
    </row>
    <row r="120" spans="2:33" x14ac:dyDescent="0.3">
      <c r="B120" s="5" t="s">
        <v>22</v>
      </c>
      <c r="C120">
        <v>50</v>
      </c>
      <c r="D120" t="s">
        <v>6</v>
      </c>
      <c r="E120">
        <v>87.5</v>
      </c>
      <c r="F120" s="5">
        <v>35.42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>
        <v>35.42</v>
      </c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t="s">
        <v>114</v>
      </c>
    </row>
    <row r="121" spans="2:33" x14ac:dyDescent="0.3">
      <c r="B121" s="5" t="s">
        <v>22</v>
      </c>
      <c r="C121">
        <v>50</v>
      </c>
      <c r="D121" t="s">
        <v>7</v>
      </c>
      <c r="E121">
        <v>2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t="s">
        <v>114</v>
      </c>
    </row>
    <row r="122" spans="2:33" x14ac:dyDescent="0.3">
      <c r="B122" s="5" t="s">
        <v>22</v>
      </c>
      <c r="C122">
        <v>51</v>
      </c>
      <c r="D122" t="s">
        <v>6</v>
      </c>
      <c r="E122">
        <v>84.5</v>
      </c>
      <c r="F122" s="5">
        <v>34.409999999999997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>
        <v>34.409999999999997</v>
      </c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t="s">
        <v>114</v>
      </c>
    </row>
    <row r="123" spans="2:33" x14ac:dyDescent="0.3">
      <c r="B123" s="5" t="s">
        <v>22</v>
      </c>
      <c r="C123">
        <v>51</v>
      </c>
      <c r="D123" t="s">
        <v>7</v>
      </c>
      <c r="E123">
        <v>2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t="s">
        <v>114</v>
      </c>
    </row>
    <row r="124" spans="2:33" x14ac:dyDescent="0.3">
      <c r="B124" s="5" t="s">
        <v>22</v>
      </c>
      <c r="C124">
        <v>52</v>
      </c>
      <c r="D124" t="s">
        <v>6</v>
      </c>
      <c r="E124">
        <v>109</v>
      </c>
      <c r="F124" s="5">
        <v>47.44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>
        <v>47.44</v>
      </c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t="s">
        <v>114</v>
      </c>
    </row>
    <row r="125" spans="2:33" x14ac:dyDescent="0.3">
      <c r="B125" s="5" t="s">
        <v>22</v>
      </c>
      <c r="C125">
        <v>52</v>
      </c>
      <c r="D125" t="s">
        <v>7</v>
      </c>
      <c r="E125">
        <v>9.5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t="s">
        <v>114</v>
      </c>
    </row>
    <row r="126" spans="2:33" x14ac:dyDescent="0.3">
      <c r="B126" s="5" t="s">
        <v>22</v>
      </c>
      <c r="C126">
        <v>53</v>
      </c>
      <c r="D126" t="s">
        <v>6</v>
      </c>
      <c r="E126">
        <v>255</v>
      </c>
      <c r="F126" s="5">
        <v>255.86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>
        <v>67.05</v>
      </c>
      <c r="W126" s="6"/>
      <c r="X126" s="6">
        <v>188.81</v>
      </c>
      <c r="Y126" s="6"/>
      <c r="Z126" s="6"/>
      <c r="AA126" s="6"/>
      <c r="AB126" s="6"/>
      <c r="AC126" s="6"/>
      <c r="AD126" s="6"/>
      <c r="AE126" s="6"/>
      <c r="AF126" s="6"/>
      <c r="AG126" t="s">
        <v>114</v>
      </c>
    </row>
    <row r="127" spans="2:33" x14ac:dyDescent="0.3">
      <c r="B127" s="5" t="s">
        <v>22</v>
      </c>
      <c r="C127">
        <v>53</v>
      </c>
      <c r="D127" t="s">
        <v>7</v>
      </c>
      <c r="E127">
        <v>144</v>
      </c>
      <c r="F127" s="5">
        <v>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t="s">
        <v>114</v>
      </c>
    </row>
    <row r="128" spans="2:33" x14ac:dyDescent="0.3">
      <c r="B128" s="5" t="s">
        <v>119</v>
      </c>
      <c r="C128">
        <v>54</v>
      </c>
      <c r="D128" t="s">
        <v>6</v>
      </c>
      <c r="E128">
        <v>451.5</v>
      </c>
      <c r="F128" s="5">
        <v>445.49</v>
      </c>
      <c r="G128">
        <v>32</v>
      </c>
      <c r="H128">
        <v>186.84</v>
      </c>
      <c r="I128">
        <v>443</v>
      </c>
      <c r="J128">
        <v>2397</v>
      </c>
      <c r="L128" s="6"/>
      <c r="M128" s="6"/>
      <c r="N128" s="6"/>
      <c r="O128" s="6"/>
      <c r="P128" s="6"/>
      <c r="Q128" s="6"/>
      <c r="R128" s="6"/>
      <c r="S128" s="6">
        <v>162.16499999999999</v>
      </c>
      <c r="T128" s="6">
        <v>283.32499999999999</v>
      </c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t="s">
        <v>114</v>
      </c>
    </row>
    <row r="129" spans="2:33" x14ac:dyDescent="0.3">
      <c r="B129" s="5" t="s">
        <v>119</v>
      </c>
      <c r="C129">
        <v>54</v>
      </c>
      <c r="D129" t="s">
        <v>7</v>
      </c>
      <c r="E129">
        <v>144.5</v>
      </c>
      <c r="F129" s="5">
        <v>75.599999999999994</v>
      </c>
      <c r="L129" s="6"/>
      <c r="M129" s="6"/>
      <c r="N129" s="6"/>
      <c r="O129" s="6"/>
      <c r="P129" s="6"/>
      <c r="Q129" s="6"/>
      <c r="R129" s="6"/>
      <c r="S129" s="6"/>
      <c r="T129" s="6">
        <v>75.599999999999994</v>
      </c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t="s">
        <v>114</v>
      </c>
    </row>
    <row r="130" spans="2:33" x14ac:dyDescent="0.3">
      <c r="B130" s="5" t="s">
        <v>119</v>
      </c>
      <c r="C130">
        <v>55</v>
      </c>
      <c r="D130" t="s">
        <v>6</v>
      </c>
      <c r="E130">
        <v>451.5</v>
      </c>
      <c r="F130" s="5">
        <v>629.14</v>
      </c>
      <c r="I130">
        <v>788</v>
      </c>
      <c r="L130" s="6"/>
      <c r="M130" s="6"/>
      <c r="N130" s="6"/>
      <c r="O130" s="6"/>
      <c r="P130" s="6"/>
      <c r="Q130" s="6"/>
      <c r="R130" s="6"/>
      <c r="S130" s="6"/>
      <c r="T130" s="6">
        <v>629.14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t="s">
        <v>114</v>
      </c>
    </row>
    <row r="131" spans="2:33" x14ac:dyDescent="0.3">
      <c r="B131" s="5" t="s">
        <v>119</v>
      </c>
      <c r="C131">
        <v>55</v>
      </c>
      <c r="D131" t="s">
        <v>7</v>
      </c>
      <c r="E131">
        <v>144.5</v>
      </c>
      <c r="F131" s="5">
        <v>37.89</v>
      </c>
      <c r="L131" s="6"/>
      <c r="M131" s="6"/>
      <c r="N131" s="6"/>
      <c r="O131" s="6"/>
      <c r="P131" s="6"/>
      <c r="Q131" s="6"/>
      <c r="R131" s="6"/>
      <c r="S131" s="6"/>
      <c r="T131" s="6">
        <v>37.89</v>
      </c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t="s">
        <v>114</v>
      </c>
    </row>
    <row r="132" spans="2:33" x14ac:dyDescent="0.3">
      <c r="B132" s="5" t="s">
        <v>119</v>
      </c>
      <c r="C132">
        <v>56</v>
      </c>
      <c r="D132" t="s">
        <v>6</v>
      </c>
      <c r="E132">
        <v>322</v>
      </c>
      <c r="F132" s="5">
        <v>108.02</v>
      </c>
      <c r="I132">
        <v>654</v>
      </c>
      <c r="L132" s="6"/>
      <c r="M132" s="6"/>
      <c r="N132" s="6"/>
      <c r="O132" s="6"/>
      <c r="P132" s="6"/>
      <c r="Q132" s="6"/>
      <c r="R132" s="6"/>
      <c r="S132" s="6"/>
      <c r="T132" s="6">
        <v>108.02</v>
      </c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t="s">
        <v>114</v>
      </c>
    </row>
    <row r="133" spans="2:33" x14ac:dyDescent="0.3">
      <c r="B133" s="5" t="s">
        <v>119</v>
      </c>
      <c r="C133">
        <v>56</v>
      </c>
      <c r="D133" t="s">
        <v>7</v>
      </c>
      <c r="E133">
        <v>100</v>
      </c>
      <c r="F133" s="5">
        <v>1.55</v>
      </c>
      <c r="L133" s="6"/>
      <c r="M133" s="6"/>
      <c r="N133" s="6"/>
      <c r="O133" s="6"/>
      <c r="P133" s="6"/>
      <c r="Q133" s="6"/>
      <c r="R133" s="6"/>
      <c r="S133" s="6"/>
      <c r="T133" s="6">
        <v>1.55</v>
      </c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t="s">
        <v>114</v>
      </c>
    </row>
    <row r="134" spans="2:33" x14ac:dyDescent="0.3">
      <c r="B134" t="s">
        <v>17</v>
      </c>
      <c r="C134">
        <v>57</v>
      </c>
      <c r="D134" t="s">
        <v>6</v>
      </c>
      <c r="E134">
        <v>0</v>
      </c>
      <c r="F134" s="5">
        <v>296.60000000000002</v>
      </c>
      <c r="I134">
        <v>511</v>
      </c>
      <c r="J134">
        <v>393</v>
      </c>
      <c r="L134" s="6"/>
      <c r="M134" s="6"/>
      <c r="N134" s="6"/>
      <c r="O134" s="6"/>
      <c r="P134" s="6"/>
      <c r="Q134" s="6"/>
      <c r="R134" s="6">
        <v>296.60000000000002</v>
      </c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t="s">
        <v>114</v>
      </c>
    </row>
    <row r="135" spans="2:33" x14ac:dyDescent="0.3">
      <c r="B135" t="s">
        <v>17</v>
      </c>
      <c r="C135">
        <v>57</v>
      </c>
      <c r="D135" t="s">
        <v>7</v>
      </c>
      <c r="E135">
        <v>437</v>
      </c>
      <c r="F135" s="5">
        <v>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t="s">
        <v>114</v>
      </c>
    </row>
    <row r="136" spans="2:33" x14ac:dyDescent="0.3">
      <c r="B136" t="s">
        <v>17</v>
      </c>
      <c r="C136">
        <v>58</v>
      </c>
      <c r="D136" t="s">
        <v>6</v>
      </c>
      <c r="E136">
        <v>141.5</v>
      </c>
      <c r="F136" s="5">
        <v>204.3</v>
      </c>
      <c r="I136">
        <v>118</v>
      </c>
      <c r="L136" s="6"/>
      <c r="M136" s="6"/>
      <c r="N136" s="6"/>
      <c r="O136" s="6"/>
      <c r="P136" s="6"/>
      <c r="Q136" s="6"/>
      <c r="R136" s="6">
        <v>102.5</v>
      </c>
      <c r="S136" s="6"/>
      <c r="T136" s="6"/>
      <c r="U136" s="6">
        <v>28.8</v>
      </c>
      <c r="V136" s="6">
        <v>73</v>
      </c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t="s">
        <v>115</v>
      </c>
    </row>
    <row r="137" spans="2:33" x14ac:dyDescent="0.3">
      <c r="B137" t="s">
        <v>17</v>
      </c>
      <c r="C137">
        <v>58</v>
      </c>
      <c r="D137" t="s">
        <v>7</v>
      </c>
      <c r="E137">
        <v>70.5</v>
      </c>
      <c r="F137" s="5">
        <v>48</v>
      </c>
      <c r="L137" s="6"/>
      <c r="M137" s="6"/>
      <c r="N137" s="6"/>
      <c r="O137" s="6"/>
      <c r="P137" s="6"/>
      <c r="Q137" s="6"/>
      <c r="R137" s="6">
        <v>16</v>
      </c>
      <c r="S137" s="6"/>
      <c r="T137" s="6"/>
      <c r="U137" s="6"/>
      <c r="V137" s="6">
        <v>32</v>
      </c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t="s">
        <v>115</v>
      </c>
    </row>
    <row r="138" spans="2:33" x14ac:dyDescent="0.3">
      <c r="B138" s="5" t="s">
        <v>38</v>
      </c>
      <c r="C138">
        <v>59</v>
      </c>
      <c r="D138" t="s">
        <v>6</v>
      </c>
      <c r="E138">
        <v>75.5</v>
      </c>
      <c r="F138" s="5">
        <v>220.59</v>
      </c>
      <c r="I138">
        <v>2295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7">
        <v>220.59</v>
      </c>
      <c r="Y138" s="6"/>
      <c r="Z138" s="6"/>
      <c r="AA138" s="6"/>
      <c r="AB138" s="6"/>
      <c r="AC138" s="6"/>
      <c r="AD138" s="6"/>
      <c r="AE138" s="6"/>
      <c r="AF138" s="6"/>
      <c r="AG138" t="s">
        <v>114</v>
      </c>
    </row>
    <row r="139" spans="2:33" x14ac:dyDescent="0.3">
      <c r="B139" s="5" t="s">
        <v>38</v>
      </c>
      <c r="C139">
        <v>59</v>
      </c>
      <c r="D139" t="s">
        <v>7</v>
      </c>
      <c r="E139">
        <v>130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t="s">
        <v>114</v>
      </c>
    </row>
    <row r="140" spans="2:33" x14ac:dyDescent="0.3">
      <c r="B140" t="s">
        <v>39</v>
      </c>
      <c r="C140">
        <v>60</v>
      </c>
      <c r="D140" t="s">
        <v>6</v>
      </c>
      <c r="E140">
        <v>174</v>
      </c>
      <c r="I140">
        <v>220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2:33" x14ac:dyDescent="0.3">
      <c r="B141" t="s">
        <v>39</v>
      </c>
      <c r="C141">
        <v>60</v>
      </c>
      <c r="D141" t="s">
        <v>7</v>
      </c>
      <c r="E141">
        <v>415.5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2:33" x14ac:dyDescent="0.3">
      <c r="B142" t="s">
        <v>40</v>
      </c>
      <c r="C142">
        <v>60</v>
      </c>
      <c r="D142" t="s">
        <v>6</v>
      </c>
      <c r="E142">
        <v>28.85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2:33" x14ac:dyDescent="0.3">
      <c r="B143" t="s">
        <v>40</v>
      </c>
      <c r="C143">
        <v>60</v>
      </c>
      <c r="D143" t="s">
        <v>7</v>
      </c>
      <c r="E143">
        <v>138.24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2:33" x14ac:dyDescent="0.3">
      <c r="B144" t="s">
        <v>16</v>
      </c>
      <c r="C144">
        <v>61</v>
      </c>
      <c r="D144" t="s">
        <v>6</v>
      </c>
      <c r="E144">
        <v>0</v>
      </c>
      <c r="F144" s="5">
        <v>0</v>
      </c>
      <c r="I144">
        <v>94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t="s">
        <v>115</v>
      </c>
    </row>
    <row r="145" spans="2:33" x14ac:dyDescent="0.3">
      <c r="B145" t="s">
        <v>16</v>
      </c>
      <c r="C145">
        <v>61</v>
      </c>
      <c r="D145" t="s">
        <v>7</v>
      </c>
      <c r="E145">
        <v>1799.2</v>
      </c>
      <c r="F145" s="5">
        <v>81</v>
      </c>
      <c r="L145" s="6"/>
      <c r="M145" s="6"/>
      <c r="N145" s="6"/>
      <c r="O145" s="6"/>
      <c r="P145" s="6"/>
      <c r="Q145" s="6"/>
      <c r="R145" s="6"/>
      <c r="S145" s="6"/>
      <c r="T145" s="6"/>
      <c r="U145" s="6">
        <v>9</v>
      </c>
      <c r="V145" s="6"/>
      <c r="W145" s="6"/>
      <c r="X145" s="6"/>
      <c r="Y145" s="6">
        <v>72</v>
      </c>
      <c r="Z145" s="6"/>
      <c r="AA145" s="6"/>
      <c r="AB145" s="6"/>
      <c r="AC145" s="6"/>
      <c r="AD145" s="6"/>
      <c r="AE145" s="6"/>
      <c r="AF145" s="6"/>
      <c r="AG145" t="s">
        <v>115</v>
      </c>
    </row>
    <row r="146" spans="2:33" x14ac:dyDescent="0.3">
      <c r="B146" t="s">
        <v>41</v>
      </c>
      <c r="C146">
        <v>61</v>
      </c>
      <c r="D146" t="s">
        <v>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2:33" x14ac:dyDescent="0.3">
      <c r="B147" t="s">
        <v>41</v>
      </c>
      <c r="C147">
        <v>61</v>
      </c>
      <c r="D147" t="s">
        <v>7</v>
      </c>
      <c r="E147">
        <v>109.8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2:33" x14ac:dyDescent="0.3">
      <c r="B148" t="s">
        <v>42</v>
      </c>
      <c r="C148">
        <v>26</v>
      </c>
      <c r="D148" t="s">
        <v>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2:33" x14ac:dyDescent="0.3">
      <c r="B149" t="s">
        <v>42</v>
      </c>
      <c r="C149">
        <v>26</v>
      </c>
      <c r="D149" t="s">
        <v>7</v>
      </c>
      <c r="E149">
        <v>220.48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2:33" x14ac:dyDescent="0.3">
      <c r="B150" t="s">
        <v>43</v>
      </c>
      <c r="C150">
        <v>62</v>
      </c>
      <c r="D150" t="s">
        <v>6</v>
      </c>
      <c r="I150">
        <v>32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2:33" x14ac:dyDescent="0.3">
      <c r="B151" t="s">
        <v>43</v>
      </c>
      <c r="C151">
        <v>62</v>
      </c>
      <c r="D151" t="s">
        <v>7</v>
      </c>
      <c r="E151">
        <v>59.5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2:33" x14ac:dyDescent="0.3">
      <c r="B152" t="s">
        <v>44</v>
      </c>
      <c r="C152">
        <v>63</v>
      </c>
      <c r="D152" t="s">
        <v>6</v>
      </c>
      <c r="I152">
        <v>1180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2:33" x14ac:dyDescent="0.3">
      <c r="B153" t="s">
        <v>44</v>
      </c>
      <c r="C153">
        <v>63</v>
      </c>
      <c r="D153" t="s">
        <v>7</v>
      </c>
      <c r="E153">
        <v>382.5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2:33" x14ac:dyDescent="0.3">
      <c r="B154" t="s">
        <v>45</v>
      </c>
      <c r="C154">
        <v>63</v>
      </c>
      <c r="D154" t="s">
        <v>6</v>
      </c>
      <c r="E154">
        <v>418.5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2:33" x14ac:dyDescent="0.3">
      <c r="B155" t="s">
        <v>45</v>
      </c>
      <c r="C155">
        <v>63</v>
      </c>
      <c r="D155" t="s">
        <v>7</v>
      </c>
      <c r="E155">
        <v>441.5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2:33" x14ac:dyDescent="0.3">
      <c r="B156" s="5" t="s">
        <v>14</v>
      </c>
      <c r="C156">
        <v>64</v>
      </c>
      <c r="D156" t="s">
        <v>6</v>
      </c>
      <c r="E156">
        <v>240.4</v>
      </c>
      <c r="F156" s="5">
        <v>582.63</v>
      </c>
      <c r="G156">
        <v>18</v>
      </c>
      <c r="H156">
        <v>61.47</v>
      </c>
      <c r="I156">
        <v>1989</v>
      </c>
      <c r="J156">
        <v>1901</v>
      </c>
      <c r="L156" s="6"/>
      <c r="M156" s="6"/>
      <c r="N156" s="6"/>
      <c r="O156" s="6"/>
      <c r="P156" s="6"/>
      <c r="Q156" s="6"/>
      <c r="R156" s="6"/>
      <c r="S156" s="6"/>
      <c r="T156" s="6"/>
      <c r="U156" s="6">
        <f>528.5-68.36</f>
        <v>460.14</v>
      </c>
      <c r="V156" s="6">
        <f>52.4-0.15</f>
        <v>52.25</v>
      </c>
      <c r="W156" s="6"/>
      <c r="X156" s="6">
        <v>70.239999999999995</v>
      </c>
      <c r="Y156" s="6"/>
      <c r="Z156" s="6"/>
      <c r="AA156" s="6"/>
      <c r="AB156" s="6"/>
      <c r="AC156" s="6"/>
      <c r="AD156" s="6"/>
      <c r="AE156" s="6"/>
      <c r="AF156" s="6"/>
      <c r="AG156" t="s">
        <v>120</v>
      </c>
    </row>
    <row r="157" spans="2:33" x14ac:dyDescent="0.3">
      <c r="B157" s="5" t="s">
        <v>14</v>
      </c>
      <c r="C157">
        <v>64</v>
      </c>
      <c r="D157" t="s">
        <v>7</v>
      </c>
      <c r="E157">
        <v>976.24</v>
      </c>
      <c r="F157" s="5">
        <v>91.31</v>
      </c>
      <c r="L157" s="6"/>
      <c r="M157" s="6"/>
      <c r="N157" s="6"/>
      <c r="O157" s="6"/>
      <c r="P157" s="6"/>
      <c r="Q157" s="6"/>
      <c r="R157" s="6"/>
      <c r="S157" s="6"/>
      <c r="T157" s="6"/>
      <c r="U157" s="6">
        <v>42.7</v>
      </c>
      <c r="V157" s="6"/>
      <c r="W157" s="6">
        <v>39.799999999999997</v>
      </c>
      <c r="X157" s="6">
        <v>8.81</v>
      </c>
      <c r="Y157" s="6">
        <v>70.84</v>
      </c>
      <c r="Z157" s="6"/>
      <c r="AA157" s="6"/>
      <c r="AB157" s="6"/>
      <c r="AC157" s="6"/>
      <c r="AD157" s="6"/>
      <c r="AE157" s="6"/>
      <c r="AF157" s="6"/>
      <c r="AG157" t="s">
        <v>120</v>
      </c>
    </row>
    <row r="158" spans="2:33" x14ac:dyDescent="0.3">
      <c r="B158" s="5" t="s">
        <v>14</v>
      </c>
      <c r="C158">
        <v>65</v>
      </c>
      <c r="D158" t="s">
        <v>6</v>
      </c>
      <c r="E158">
        <v>286</v>
      </c>
      <c r="F158" s="5">
        <v>374.7</v>
      </c>
      <c r="G158">
        <v>8</v>
      </c>
      <c r="H158">
        <v>28.55</v>
      </c>
      <c r="I158">
        <v>574</v>
      </c>
      <c r="J158">
        <v>822</v>
      </c>
      <c r="L158" s="6"/>
      <c r="M158" s="6"/>
      <c r="N158" s="6"/>
      <c r="O158" s="6"/>
      <c r="P158" s="6"/>
      <c r="Q158" s="6"/>
      <c r="R158" s="6"/>
      <c r="S158" s="6"/>
      <c r="T158" s="6"/>
      <c r="U158" s="6">
        <f>67.2+51</f>
        <v>118.2</v>
      </c>
      <c r="V158" s="6">
        <v>256.5</v>
      </c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t="s">
        <v>120</v>
      </c>
    </row>
    <row r="159" spans="2:33" x14ac:dyDescent="0.3">
      <c r="B159" s="5" t="s">
        <v>14</v>
      </c>
      <c r="C159">
        <v>65</v>
      </c>
      <c r="D159" t="s">
        <v>7</v>
      </c>
      <c r="E159">
        <v>566.29999999999995</v>
      </c>
      <c r="F159" s="5">
        <v>65.599999999999994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>
        <v>65.599999999999994</v>
      </c>
      <c r="X159" s="6"/>
      <c r="Y159" s="6">
        <f>14.84+38.87+23.3</f>
        <v>77.009999999999991</v>
      </c>
      <c r="Z159" s="6"/>
      <c r="AA159" s="6"/>
      <c r="AB159" s="6"/>
      <c r="AC159" s="6"/>
      <c r="AD159" s="6"/>
      <c r="AE159" s="6"/>
      <c r="AF159" s="6"/>
      <c r="AG159" t="s">
        <v>120</v>
      </c>
    </row>
    <row r="160" spans="2:33" x14ac:dyDescent="0.3">
      <c r="B160" s="5" t="s">
        <v>14</v>
      </c>
      <c r="C160">
        <v>66</v>
      </c>
      <c r="D160" t="s">
        <v>6</v>
      </c>
      <c r="F160" s="5">
        <v>207.4</v>
      </c>
      <c r="G160">
        <v>7</v>
      </c>
      <c r="H160">
        <v>21.76</v>
      </c>
      <c r="I160">
        <v>597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>
        <v>207.4</v>
      </c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t="s">
        <v>120</v>
      </c>
    </row>
    <row r="161" spans="2:33" x14ac:dyDescent="0.3">
      <c r="B161" s="5" t="s">
        <v>14</v>
      </c>
      <c r="C161">
        <v>66</v>
      </c>
      <c r="D161" t="s">
        <v>7</v>
      </c>
      <c r="E161">
        <v>116.6</v>
      </c>
      <c r="F161" s="5">
        <v>2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>
        <v>2</v>
      </c>
      <c r="X161" s="6"/>
      <c r="Y161" s="6"/>
      <c r="Z161" s="6"/>
      <c r="AA161" s="6"/>
      <c r="AB161" s="6"/>
      <c r="AC161" s="6"/>
      <c r="AD161" s="6"/>
      <c r="AE161" s="6"/>
      <c r="AF161" s="6"/>
      <c r="AG161" t="s">
        <v>120</v>
      </c>
    </row>
    <row r="162" spans="2:33" x14ac:dyDescent="0.3">
      <c r="B162" t="s">
        <v>46</v>
      </c>
      <c r="C162">
        <v>67</v>
      </c>
      <c r="D162" t="s">
        <v>6</v>
      </c>
      <c r="E162">
        <v>772.07</v>
      </c>
      <c r="I162">
        <v>785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2:33" x14ac:dyDescent="0.3">
      <c r="B163" t="s">
        <v>46</v>
      </c>
      <c r="C163">
        <v>67</v>
      </c>
      <c r="D163" t="s">
        <v>7</v>
      </c>
      <c r="E163">
        <v>894.97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2:33" x14ac:dyDescent="0.3">
      <c r="B164" t="s">
        <v>47</v>
      </c>
      <c r="C164">
        <v>68</v>
      </c>
      <c r="D164" t="s">
        <v>6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2:33" x14ac:dyDescent="0.3">
      <c r="B165" t="s">
        <v>47</v>
      </c>
      <c r="C165">
        <v>68</v>
      </c>
      <c r="D165" t="s">
        <v>7</v>
      </c>
      <c r="E165">
        <v>747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2:33" x14ac:dyDescent="0.3">
      <c r="B166" s="5" t="s">
        <v>48</v>
      </c>
      <c r="C166">
        <v>69</v>
      </c>
      <c r="D166" t="s">
        <v>6</v>
      </c>
      <c r="E166">
        <v>205.65</v>
      </c>
      <c r="F166" s="5">
        <v>76.400000000000006</v>
      </c>
      <c r="I166">
        <v>288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>
        <v>76.400000000000006</v>
      </c>
      <c r="Y166" s="6"/>
      <c r="Z166" s="6"/>
      <c r="AA166" s="6"/>
      <c r="AB166" s="6"/>
      <c r="AC166" s="6"/>
      <c r="AD166" s="6"/>
      <c r="AE166" s="6"/>
      <c r="AF166" s="6"/>
      <c r="AG166" t="s">
        <v>114</v>
      </c>
    </row>
    <row r="167" spans="2:33" x14ac:dyDescent="0.3">
      <c r="B167" s="5" t="s">
        <v>48</v>
      </c>
      <c r="C167">
        <v>69</v>
      </c>
      <c r="D167" t="s">
        <v>7</v>
      </c>
      <c r="E167">
        <v>59.6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t="s">
        <v>114</v>
      </c>
    </row>
    <row r="168" spans="2:33" x14ac:dyDescent="0.3">
      <c r="B168" s="5" t="s">
        <v>48</v>
      </c>
      <c r="C168">
        <v>70</v>
      </c>
      <c r="D168" t="s">
        <v>6</v>
      </c>
      <c r="E168">
        <v>62.5</v>
      </c>
      <c r="F168" s="5">
        <v>344.13</v>
      </c>
      <c r="I168">
        <v>415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>
        <v>81.8</v>
      </c>
      <c r="X168" s="6">
        <f>42+158.17+61.95+0.21</f>
        <v>262.33</v>
      </c>
      <c r="Y168" s="6"/>
      <c r="Z168" s="6"/>
      <c r="AA168" s="6"/>
      <c r="AB168" s="6"/>
      <c r="AC168" s="6"/>
      <c r="AD168" s="6"/>
      <c r="AE168" s="6"/>
      <c r="AF168" s="6"/>
      <c r="AG168" t="s">
        <v>114</v>
      </c>
    </row>
    <row r="169" spans="2:33" x14ac:dyDescent="0.3">
      <c r="B169" s="5" t="s">
        <v>48</v>
      </c>
      <c r="C169">
        <v>70</v>
      </c>
      <c r="D169" t="s">
        <v>7</v>
      </c>
      <c r="E169">
        <v>63</v>
      </c>
      <c r="F169" s="5">
        <v>40.9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>
        <v>47.56</v>
      </c>
      <c r="Y169" s="6"/>
      <c r="Z169" s="6"/>
      <c r="AA169" s="6"/>
      <c r="AB169" s="6"/>
      <c r="AC169" s="6"/>
      <c r="AD169" s="6"/>
      <c r="AE169" s="6"/>
      <c r="AF169" s="6"/>
      <c r="AG169" t="s">
        <v>114</v>
      </c>
    </row>
    <row r="170" spans="2:33" x14ac:dyDescent="0.3">
      <c r="B170" t="s">
        <v>49</v>
      </c>
      <c r="C170">
        <v>71</v>
      </c>
      <c r="D170" t="s">
        <v>6</v>
      </c>
      <c r="E170">
        <v>217</v>
      </c>
      <c r="I170">
        <v>141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2:33" x14ac:dyDescent="0.3">
      <c r="B171" t="s">
        <v>49</v>
      </c>
      <c r="C171">
        <v>71</v>
      </c>
      <c r="D171" t="s">
        <v>7</v>
      </c>
      <c r="E171">
        <v>28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2:33" x14ac:dyDescent="0.3">
      <c r="B172" t="s">
        <v>50</v>
      </c>
      <c r="C172">
        <v>71</v>
      </c>
      <c r="D172" t="s">
        <v>6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2:33" x14ac:dyDescent="0.3">
      <c r="B173" t="s">
        <v>50</v>
      </c>
      <c r="C173">
        <v>71</v>
      </c>
      <c r="D173" t="s">
        <v>7</v>
      </c>
      <c r="E173">
        <v>125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2:33" x14ac:dyDescent="0.3">
      <c r="B174" t="s">
        <v>51</v>
      </c>
      <c r="C174">
        <v>73</v>
      </c>
      <c r="D174" t="s">
        <v>6</v>
      </c>
      <c r="E174">
        <v>131.30000000000001</v>
      </c>
      <c r="I174">
        <v>134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2:33" x14ac:dyDescent="0.3">
      <c r="B175" t="s">
        <v>51</v>
      </c>
      <c r="C175">
        <v>73</v>
      </c>
      <c r="D175" t="s">
        <v>7</v>
      </c>
      <c r="E175">
        <v>15.2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2:33" x14ac:dyDescent="0.3">
      <c r="B176" t="s">
        <v>95</v>
      </c>
      <c r="C176">
        <v>74</v>
      </c>
      <c r="D176" t="s">
        <v>6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2:33" x14ac:dyDescent="0.3">
      <c r="B177" t="s">
        <v>95</v>
      </c>
      <c r="C177">
        <v>74</v>
      </c>
      <c r="D177" t="s">
        <v>7</v>
      </c>
      <c r="E177">
        <v>1021.03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2:33" x14ac:dyDescent="0.3">
      <c r="B178" s="5" t="s">
        <v>52</v>
      </c>
      <c r="C178">
        <v>74</v>
      </c>
      <c r="D178" t="s">
        <v>6</v>
      </c>
      <c r="E178">
        <v>341.2</v>
      </c>
      <c r="F178" s="5">
        <v>145.88</v>
      </c>
      <c r="I178">
        <v>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>
        <v>78.180000000000007</v>
      </c>
      <c r="X178" s="6">
        <f>18.75+12+36.95</f>
        <v>67.7</v>
      </c>
      <c r="Y178" s="6"/>
      <c r="Z178" s="6"/>
      <c r="AA178" s="6"/>
      <c r="AB178" s="6"/>
      <c r="AC178" s="6"/>
      <c r="AD178" s="6"/>
      <c r="AE178" s="6"/>
      <c r="AF178" s="6"/>
      <c r="AG178" t="s">
        <v>114</v>
      </c>
    </row>
    <row r="179" spans="2:33" x14ac:dyDescent="0.3">
      <c r="B179" s="5" t="s">
        <v>52</v>
      </c>
      <c r="C179">
        <v>74</v>
      </c>
      <c r="D179" t="s">
        <v>7</v>
      </c>
      <c r="E179">
        <v>83.8</v>
      </c>
      <c r="F179" s="5">
        <v>55.83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>
        <f>34.75+6.11+14.97</f>
        <v>55.83</v>
      </c>
      <c r="Y179" s="6"/>
      <c r="Z179" s="6"/>
      <c r="AA179" s="6"/>
      <c r="AB179" s="6"/>
      <c r="AC179" s="6"/>
      <c r="AD179" s="6"/>
      <c r="AE179" s="6"/>
      <c r="AF179" s="6"/>
      <c r="AG179" t="s">
        <v>114</v>
      </c>
    </row>
    <row r="180" spans="2:33" x14ac:dyDescent="0.3">
      <c r="B180" t="s">
        <v>53</v>
      </c>
      <c r="C180">
        <v>75</v>
      </c>
      <c r="D180" t="s">
        <v>6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2:33" x14ac:dyDescent="0.3">
      <c r="B181" t="s">
        <v>53</v>
      </c>
      <c r="C181">
        <v>75</v>
      </c>
      <c r="D181" t="s">
        <v>7</v>
      </c>
      <c r="E181">
        <v>226.5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2:33" x14ac:dyDescent="0.3">
      <c r="B182" t="s">
        <v>54</v>
      </c>
      <c r="C182">
        <v>75</v>
      </c>
      <c r="D182" t="s">
        <v>6</v>
      </c>
      <c r="E182">
        <v>375</v>
      </c>
      <c r="I182">
        <v>87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2:33" x14ac:dyDescent="0.3">
      <c r="B183" t="s">
        <v>54</v>
      </c>
      <c r="C183">
        <v>75</v>
      </c>
      <c r="D183" t="s">
        <v>7</v>
      </c>
      <c r="E183">
        <v>244.5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2:33" x14ac:dyDescent="0.3">
      <c r="B184" t="s">
        <v>55</v>
      </c>
      <c r="C184">
        <v>75</v>
      </c>
      <c r="D184" t="s">
        <v>6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2:33" x14ac:dyDescent="0.3">
      <c r="B185" t="s">
        <v>55</v>
      </c>
      <c r="C185">
        <v>75</v>
      </c>
      <c r="D185" t="s">
        <v>7</v>
      </c>
      <c r="E185">
        <v>338.5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2:33" x14ac:dyDescent="0.3">
      <c r="B186" t="s">
        <v>56</v>
      </c>
      <c r="C186">
        <v>75</v>
      </c>
      <c r="D186" t="s">
        <v>6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2:33" x14ac:dyDescent="0.3">
      <c r="B187" t="s">
        <v>56</v>
      </c>
      <c r="C187">
        <v>75</v>
      </c>
      <c r="D187" t="s">
        <v>7</v>
      </c>
      <c r="E187">
        <v>238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2:33" x14ac:dyDescent="0.3">
      <c r="B188" t="s">
        <v>57</v>
      </c>
      <c r="C188">
        <v>75</v>
      </c>
      <c r="D188" t="s">
        <v>6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2:33" x14ac:dyDescent="0.3">
      <c r="B189" t="s">
        <v>57</v>
      </c>
      <c r="C189">
        <v>75</v>
      </c>
      <c r="D189" t="s">
        <v>7</v>
      </c>
      <c r="E189">
        <v>69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2:33" x14ac:dyDescent="0.3">
      <c r="B190" t="s">
        <v>58</v>
      </c>
      <c r="C190">
        <v>75</v>
      </c>
      <c r="D190" t="s">
        <v>6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2:33" x14ac:dyDescent="0.3">
      <c r="B191" t="s">
        <v>58</v>
      </c>
      <c r="C191">
        <v>75</v>
      </c>
      <c r="D191" t="s">
        <v>7</v>
      </c>
      <c r="E191">
        <v>140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2:33" x14ac:dyDescent="0.3">
      <c r="B192" t="s">
        <v>118</v>
      </c>
      <c r="C192">
        <v>75</v>
      </c>
      <c r="D192" t="s">
        <v>6</v>
      </c>
      <c r="F192" s="5">
        <v>268.02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>
        <v>268.02</v>
      </c>
      <c r="Z192" s="6"/>
      <c r="AA192" s="6"/>
      <c r="AB192" s="6"/>
      <c r="AC192" s="6"/>
      <c r="AD192" s="6"/>
      <c r="AE192" s="6"/>
      <c r="AF192" s="6"/>
      <c r="AG192" t="s">
        <v>115</v>
      </c>
    </row>
    <row r="193" spans="2:33" x14ac:dyDescent="0.3">
      <c r="B193" t="s">
        <v>118</v>
      </c>
      <c r="C193">
        <v>75</v>
      </c>
      <c r="D193" t="s">
        <v>7</v>
      </c>
      <c r="E193">
        <v>858.5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2:33" x14ac:dyDescent="0.3">
      <c r="B194" t="s">
        <v>94</v>
      </c>
      <c r="C194">
        <v>75</v>
      </c>
      <c r="D194" t="s">
        <v>6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2:33" x14ac:dyDescent="0.3">
      <c r="B195" t="s">
        <v>94</v>
      </c>
      <c r="C195">
        <v>75</v>
      </c>
      <c r="D195" t="s">
        <v>7</v>
      </c>
      <c r="E195">
        <v>168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2:33" x14ac:dyDescent="0.3">
      <c r="B196" t="s">
        <v>59</v>
      </c>
      <c r="C196">
        <v>75</v>
      </c>
      <c r="D196" t="s">
        <v>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2:33" x14ac:dyDescent="0.3">
      <c r="B197" t="s">
        <v>59</v>
      </c>
      <c r="C197">
        <v>75</v>
      </c>
      <c r="D197" t="s">
        <v>7</v>
      </c>
      <c r="E197">
        <v>180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2:33" x14ac:dyDescent="0.3">
      <c r="B198" t="s">
        <v>60</v>
      </c>
      <c r="C198">
        <v>76</v>
      </c>
      <c r="D198" t="s">
        <v>6</v>
      </c>
      <c r="I198">
        <v>182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2:33" x14ac:dyDescent="0.3">
      <c r="B199" t="s">
        <v>60</v>
      </c>
      <c r="C199">
        <v>76</v>
      </c>
      <c r="D199" t="s">
        <v>7</v>
      </c>
      <c r="E199">
        <v>238.52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2:33" x14ac:dyDescent="0.3">
      <c r="B200" t="s">
        <v>61</v>
      </c>
      <c r="C200">
        <v>76</v>
      </c>
      <c r="D200" t="s">
        <v>6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2:33" x14ac:dyDescent="0.3">
      <c r="B201" t="s">
        <v>61</v>
      </c>
      <c r="C201">
        <v>76</v>
      </c>
      <c r="D201" t="s">
        <v>7</v>
      </c>
      <c r="E201">
        <v>229.5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2:33" x14ac:dyDescent="0.3">
      <c r="B202" t="s">
        <v>62</v>
      </c>
      <c r="C202">
        <v>76</v>
      </c>
      <c r="D202" t="s">
        <v>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2:33" x14ac:dyDescent="0.3">
      <c r="B203" t="s">
        <v>62</v>
      </c>
      <c r="C203">
        <v>76</v>
      </c>
      <c r="D203" t="s">
        <v>7</v>
      </c>
      <c r="E203">
        <v>1566.27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spans="2:33" x14ac:dyDescent="0.3">
      <c r="B204" t="s">
        <v>93</v>
      </c>
      <c r="C204">
        <v>76</v>
      </c>
      <c r="D204" t="s">
        <v>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t="s">
        <v>115</v>
      </c>
    </row>
    <row r="205" spans="2:33" x14ac:dyDescent="0.3">
      <c r="B205" t="s">
        <v>93</v>
      </c>
      <c r="C205">
        <v>76</v>
      </c>
      <c r="D205" t="s">
        <v>7</v>
      </c>
      <c r="E205">
        <v>95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t="s">
        <v>115</v>
      </c>
    </row>
    <row r="206" spans="2:33" x14ac:dyDescent="0.3">
      <c r="B206" s="5" t="s">
        <v>23</v>
      </c>
      <c r="C206" s="1" t="s">
        <v>88</v>
      </c>
      <c r="D206" t="s">
        <v>6</v>
      </c>
      <c r="E206">
        <v>0</v>
      </c>
      <c r="F206" s="5">
        <v>34.57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>
        <v>34.57</v>
      </c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t="s">
        <v>114</v>
      </c>
    </row>
    <row r="207" spans="2:33" x14ac:dyDescent="0.3">
      <c r="B207" s="5" t="s">
        <v>23</v>
      </c>
      <c r="C207" s="1" t="s">
        <v>88</v>
      </c>
      <c r="D207" t="s">
        <v>7</v>
      </c>
      <c r="E207">
        <v>158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t="s">
        <v>114</v>
      </c>
    </row>
    <row r="208" spans="2:33" x14ac:dyDescent="0.3">
      <c r="B208" t="s">
        <v>11</v>
      </c>
      <c r="C208" s="1" t="s">
        <v>89</v>
      </c>
      <c r="D208" t="s">
        <v>6</v>
      </c>
      <c r="E208">
        <v>351</v>
      </c>
      <c r="F208" s="5">
        <v>300.68</v>
      </c>
      <c r="I208">
        <v>8</v>
      </c>
      <c r="J208">
        <v>27</v>
      </c>
      <c r="L208" s="6"/>
      <c r="M208" s="6"/>
      <c r="N208" s="6"/>
      <c r="O208" s="6"/>
      <c r="P208" s="6"/>
      <c r="Q208" s="6"/>
      <c r="R208" s="6"/>
      <c r="S208" s="6">
        <v>300.68</v>
      </c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t="s">
        <v>114</v>
      </c>
    </row>
    <row r="209" spans="2:33" x14ac:dyDescent="0.3">
      <c r="B209" t="s">
        <v>11</v>
      </c>
      <c r="C209" s="1" t="s">
        <v>89</v>
      </c>
      <c r="D209" t="s">
        <v>7</v>
      </c>
      <c r="E209">
        <v>152</v>
      </c>
      <c r="F209" s="5">
        <v>337.46</v>
      </c>
      <c r="L209" s="6"/>
      <c r="M209" s="6"/>
      <c r="N209" s="6"/>
      <c r="O209" s="6"/>
      <c r="P209" s="6"/>
      <c r="Q209" s="6">
        <v>127.69</v>
      </c>
      <c r="R209" s="6"/>
      <c r="S209" s="6"/>
      <c r="T209" s="6"/>
      <c r="U209" s="6"/>
      <c r="V209" s="6"/>
      <c r="W209" s="6">
        <v>42</v>
      </c>
      <c r="X209" s="6">
        <v>167.77</v>
      </c>
      <c r="Y209" s="6"/>
      <c r="Z209" s="6"/>
      <c r="AA209" s="6"/>
      <c r="AB209" s="6"/>
      <c r="AC209" s="6"/>
      <c r="AD209" s="6"/>
      <c r="AE209" s="6"/>
      <c r="AF209" s="6"/>
      <c r="AG209" t="s">
        <v>114</v>
      </c>
    </row>
    <row r="210" spans="2:33" x14ac:dyDescent="0.3">
      <c r="B210" t="s">
        <v>63</v>
      </c>
      <c r="C210" s="1" t="s">
        <v>90</v>
      </c>
      <c r="D210" t="s">
        <v>6</v>
      </c>
      <c r="E210">
        <v>100.2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2:33" x14ac:dyDescent="0.3">
      <c r="B211" t="s">
        <v>63</v>
      </c>
      <c r="C211" s="1" t="s">
        <v>90</v>
      </c>
      <c r="D211" t="s">
        <v>7</v>
      </c>
      <c r="E211">
        <v>253.5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2:33" x14ac:dyDescent="0.3">
      <c r="B212" t="s">
        <v>65</v>
      </c>
      <c r="C212" s="1" t="s">
        <v>91</v>
      </c>
      <c r="D212" t="s">
        <v>6</v>
      </c>
      <c r="E212">
        <v>89.9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2:33" x14ac:dyDescent="0.3">
      <c r="B213" t="s">
        <v>65</v>
      </c>
      <c r="C213" s="1" t="s">
        <v>91</v>
      </c>
      <c r="D213" t="s">
        <v>7</v>
      </c>
      <c r="E213">
        <v>322.2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2:33" x14ac:dyDescent="0.3">
      <c r="B214" t="s">
        <v>64</v>
      </c>
      <c r="C214" s="1" t="s">
        <v>92</v>
      </c>
      <c r="D214" t="s">
        <v>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spans="2:33" x14ac:dyDescent="0.3">
      <c r="B215" t="s">
        <v>64</v>
      </c>
      <c r="C215" s="1" t="s">
        <v>92</v>
      </c>
      <c r="D215" t="s">
        <v>7</v>
      </c>
      <c r="E215">
        <v>129.80000000000001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2:33" x14ac:dyDescent="0.3">
      <c r="B216" t="s">
        <v>96</v>
      </c>
      <c r="C216" s="1">
        <v>12</v>
      </c>
      <c r="D216" t="s">
        <v>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spans="2:33" x14ac:dyDescent="0.3">
      <c r="B217" t="s">
        <v>96</v>
      </c>
      <c r="C217" s="1">
        <v>12</v>
      </c>
      <c r="D217" t="s">
        <v>7</v>
      </c>
      <c r="E217">
        <v>205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</sheetData>
  <autoFilter ref="A1" xr:uid="{00000000-0001-0000-0000-000000000000}"/>
  <phoneticPr fontId="1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B20D-368F-4B56-83D6-7E9238F3C577}">
  <dimension ref="B2:E24"/>
  <sheetViews>
    <sheetView workbookViewId="0">
      <selection activeCell="L11" sqref="L11"/>
    </sheetView>
  </sheetViews>
  <sheetFormatPr defaultRowHeight="14.4" x14ac:dyDescent="0.3"/>
  <cols>
    <col min="2" max="2" width="9.109375" customWidth="1"/>
    <col min="3" max="3" width="9.88671875" customWidth="1"/>
    <col min="4" max="4" width="12" customWidth="1"/>
    <col min="5" max="5" width="13.21875" customWidth="1"/>
  </cols>
  <sheetData>
    <row r="2" spans="2:5" x14ac:dyDescent="0.3">
      <c r="B2" s="2" t="s">
        <v>97</v>
      </c>
      <c r="C2" s="2" t="s">
        <v>98</v>
      </c>
      <c r="D2" s="2" t="s">
        <v>99</v>
      </c>
      <c r="E2" s="2" t="s">
        <v>100</v>
      </c>
    </row>
    <row r="3" spans="2:5" x14ac:dyDescent="0.3">
      <c r="B3" s="3">
        <v>2025</v>
      </c>
      <c r="C3" s="3" t="s">
        <v>103</v>
      </c>
      <c r="D3" s="3">
        <v>0</v>
      </c>
      <c r="E3" s="3">
        <v>0</v>
      </c>
    </row>
    <row r="4" spans="2:5" x14ac:dyDescent="0.3">
      <c r="B4" s="3">
        <v>2025</v>
      </c>
      <c r="C4" s="3" t="s">
        <v>104</v>
      </c>
      <c r="D4" s="3">
        <v>0</v>
      </c>
      <c r="E4" s="3">
        <v>47.5</v>
      </c>
    </row>
    <row r="5" spans="2:5" x14ac:dyDescent="0.3">
      <c r="B5" s="3">
        <v>2025</v>
      </c>
      <c r="C5" s="3" t="s">
        <v>105</v>
      </c>
      <c r="D5" s="3">
        <v>193.7</v>
      </c>
      <c r="E5" s="3">
        <v>389.15</v>
      </c>
    </row>
    <row r="6" spans="2:5" x14ac:dyDescent="0.3">
      <c r="B6" s="3">
        <v>2025</v>
      </c>
      <c r="C6" s="3" t="s">
        <v>106</v>
      </c>
      <c r="D6">
        <v>221.6</v>
      </c>
      <c r="E6">
        <v>340.32</v>
      </c>
    </row>
    <row r="7" spans="2:5" x14ac:dyDescent="0.3">
      <c r="B7" s="3">
        <v>2025</v>
      </c>
      <c r="C7" s="3" t="s">
        <v>107</v>
      </c>
      <c r="D7">
        <v>469.7</v>
      </c>
      <c r="E7" s="3">
        <v>1063.675</v>
      </c>
    </row>
    <row r="8" spans="2:5" x14ac:dyDescent="0.3">
      <c r="B8" s="3">
        <v>2025</v>
      </c>
      <c r="C8" s="3" t="s">
        <v>108</v>
      </c>
      <c r="D8" s="3">
        <v>207.2</v>
      </c>
      <c r="E8" s="3">
        <v>1754.96</v>
      </c>
    </row>
    <row r="9" spans="2:5" x14ac:dyDescent="0.3">
      <c r="B9" s="3">
        <v>2025</v>
      </c>
      <c r="C9" s="3" t="s">
        <v>109</v>
      </c>
      <c r="D9" s="3">
        <v>128.69999999999999</v>
      </c>
      <c r="E9" s="3">
        <v>1353.83</v>
      </c>
    </row>
    <row r="10" spans="2:5" x14ac:dyDescent="0.3">
      <c r="B10" s="3">
        <v>2025</v>
      </c>
      <c r="C10" s="3" t="s">
        <v>110</v>
      </c>
      <c r="D10" s="3">
        <v>0</v>
      </c>
      <c r="E10" s="3">
        <v>1163</v>
      </c>
    </row>
    <row r="11" spans="2:5" x14ac:dyDescent="0.3">
      <c r="B11" s="3">
        <v>2025</v>
      </c>
      <c r="C11" s="3" t="s">
        <v>111</v>
      </c>
      <c r="D11">
        <v>232.1</v>
      </c>
      <c r="E11" s="3">
        <v>1097.665</v>
      </c>
    </row>
    <row r="12" spans="2:5" x14ac:dyDescent="0.3">
      <c r="B12" s="3">
        <v>2025</v>
      </c>
      <c r="C12" s="3" t="s">
        <v>112</v>
      </c>
      <c r="D12">
        <v>1184.3</v>
      </c>
      <c r="E12" s="3">
        <v>1453.7249999999999</v>
      </c>
    </row>
    <row r="13" spans="2:5" x14ac:dyDescent="0.3">
      <c r="B13" s="3">
        <v>2026</v>
      </c>
      <c r="C13" s="3" t="s">
        <v>101</v>
      </c>
      <c r="D13">
        <v>778.79</v>
      </c>
      <c r="E13" s="3">
        <v>1246.3699999999999</v>
      </c>
    </row>
    <row r="14" spans="2:5" x14ac:dyDescent="0.3">
      <c r="B14" s="3">
        <v>2026</v>
      </c>
      <c r="C14" s="3" t="s">
        <v>102</v>
      </c>
      <c r="D14">
        <v>204.3</v>
      </c>
      <c r="E14" s="3">
        <v>2130.9699999999998</v>
      </c>
    </row>
    <row r="15" spans="2:5" x14ac:dyDescent="0.3">
      <c r="B15" s="3">
        <v>2026</v>
      </c>
      <c r="C15" s="3" t="s">
        <v>103</v>
      </c>
      <c r="D15">
        <v>1414.27</v>
      </c>
      <c r="E15" s="3">
        <v>572.65</v>
      </c>
    </row>
    <row r="16" spans="2:5" x14ac:dyDescent="0.3">
      <c r="B16" s="3">
        <v>2026</v>
      </c>
      <c r="C16" s="3" t="s">
        <v>104</v>
      </c>
      <c r="D16">
        <v>380</v>
      </c>
    </row>
    <row r="17" spans="2:4" x14ac:dyDescent="0.3">
      <c r="B17" s="3">
        <v>2026</v>
      </c>
      <c r="C17" s="3" t="s">
        <v>105</v>
      </c>
      <c r="D17">
        <v>8518.33</v>
      </c>
    </row>
    <row r="18" spans="2:4" x14ac:dyDescent="0.3">
      <c r="B18" s="3">
        <v>2026</v>
      </c>
      <c r="C18" s="3" t="s">
        <v>106</v>
      </c>
      <c r="D18">
        <v>3478.7</v>
      </c>
    </row>
    <row r="19" spans="2:4" x14ac:dyDescent="0.3">
      <c r="B19" s="3">
        <v>2026</v>
      </c>
      <c r="C19" s="3" t="s">
        <v>107</v>
      </c>
      <c r="D19">
        <v>3922.69</v>
      </c>
    </row>
    <row r="20" spans="2:4" x14ac:dyDescent="0.3">
      <c r="B20" s="3">
        <v>2026</v>
      </c>
      <c r="C20" s="3" t="s">
        <v>108</v>
      </c>
      <c r="D20">
        <v>2092.8000000000002</v>
      </c>
    </row>
    <row r="21" spans="2:4" x14ac:dyDescent="0.3">
      <c r="B21" s="3">
        <v>2026</v>
      </c>
      <c r="C21" s="3" t="s">
        <v>109</v>
      </c>
      <c r="D21">
        <v>2921.7</v>
      </c>
    </row>
    <row r="22" spans="2:4" x14ac:dyDescent="0.3">
      <c r="B22" s="3">
        <v>2026</v>
      </c>
      <c r="C22" s="3" t="s">
        <v>110</v>
      </c>
      <c r="D22">
        <v>4013.2</v>
      </c>
    </row>
    <row r="23" spans="2:4" x14ac:dyDescent="0.3">
      <c r="B23" s="3">
        <v>2026</v>
      </c>
      <c r="C23" s="3" t="s">
        <v>111</v>
      </c>
      <c r="D23">
        <v>3521.42</v>
      </c>
    </row>
    <row r="24" spans="2:4" x14ac:dyDescent="0.3">
      <c r="B24" s="3">
        <v>2026</v>
      </c>
      <c r="C24" s="3" t="s">
        <v>112</v>
      </c>
      <c r="D24">
        <v>3268.08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BASE_DASH_EXTENSAO</vt:lpstr>
      <vt:lpstr>EAP_PRODUCAO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2026-02-17T21:58:51Z</dcterms:created>
  <dcterms:modified xsi:type="dcterms:W3CDTF">2026-05-18T16:38:27Z</dcterms:modified>
</cp:coreProperties>
</file>