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ownloads\"/>
    </mc:Choice>
  </mc:AlternateContent>
  <xr:revisionPtr revIDLastSave="0" documentId="13_ncr:1_{2F597AAD-517E-4496-998A-A04EF00CA987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LEIA-ME" sheetId="1" r:id="rId1"/>
    <sheet name="OBRAS" sheetId="2" r:id="rId2"/>
    <sheet name="PONTOS" sheetId="3" r:id="rId3"/>
    <sheet name="TRECHOS" sheetId="4" r:id="rId4"/>
    <sheet name="RESUMO" sheetId="5" r:id="rId5"/>
    <sheet name="VALIDACA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5" l="1"/>
  <c r="B9" i="5"/>
  <c r="B8" i="5"/>
  <c r="B7" i="5"/>
  <c r="B6" i="5"/>
  <c r="B5" i="5"/>
  <c r="B4" i="5"/>
  <c r="B3" i="5"/>
</calcChain>
</file>

<file path=xl/sharedStrings.xml><?xml version="1.0" encoding="utf-8"?>
<sst xmlns="http://schemas.openxmlformats.org/spreadsheetml/2006/main" count="4862" uniqueCount="1144">
  <si>
    <t>PLANILHA BASE DO MAPA MULTI-OBRA</t>
  </si>
  <si>
    <t>Como usar</t>
  </si>
  <si>
    <t>1) Alimente as abas OBRAS, PONTOS e TRECHOS.</t>
  </si>
  <si>
    <t>2) Para criar um novo trecho, cadastre os PVs/PIs na aba PONTOS e depois crie a linha na aba TRECHOS informando pv_inicio e pv_fim.</t>
  </si>
  <si>
    <t>3) Coordenadas: use UTM SIRGAS 2000 / zona 23S nas colunas coord_n e coord_e. Se latitude/longitude estiverem vazias, o mapa converte automaticamente.</t>
  </si>
  <si>
    <t>4) Rode o arquivo atualizar_e_abrir.bat. Ele gera dados_mapa.json e abre o mapa no navegador.</t>
  </si>
  <si>
    <t>5) Status aceitos: não iniciada, em andamento, concluída, projetado.</t>
  </si>
  <si>
    <t>6) Métodos: Método Não Destrutivo - MND ou Vala a Céu Aberto - VCA.</t>
  </si>
  <si>
    <t>obra_id</t>
  </si>
  <si>
    <t>nome_obra</t>
  </si>
  <si>
    <t>tipo</t>
  </si>
  <si>
    <t>subtitulo</t>
  </si>
  <si>
    <t>ativa</t>
  </si>
  <si>
    <t>agua</t>
  </si>
  <si>
    <t>CTS Água Vermelha ME</t>
  </si>
  <si>
    <t>CTS</t>
  </si>
  <si>
    <t>Base real do shape: SIRGAS 2000 / UTM zona 23S convertida para latitude/longitude.</t>
  </si>
  <si>
    <t>SIM</t>
  </si>
  <si>
    <t>rce</t>
  </si>
  <si>
    <t>RCE Francisco Souto Maior - Trecho II</t>
  </si>
  <si>
    <t>RCE</t>
  </si>
  <si>
    <t>conceicao</t>
  </si>
  <si>
    <t>CTS Conceição</t>
  </si>
  <si>
    <t>Base criada a partir dos PDFs de Ordem de Serviço: linhas retas entre PVs com coordenadas UTM convertidas para latitude/longitude.</t>
  </si>
  <si>
    <t>agua_md</t>
  </si>
  <si>
    <t>CTSÁgua Vermelha MD</t>
  </si>
  <si>
    <t>Base criada a partir dos PDFs: linhas retas entre PVs/PIs com coordenadas UTM convertidas para latitude/longitude.</t>
  </si>
  <si>
    <t>agua_boa</t>
  </si>
  <si>
    <t>CTS Água Boa</t>
  </si>
  <si>
    <t>Base criada a partir dos PDFs: linhas retas entre PVs com coordenadas UTM convertidas para latitude/longitude.</t>
  </si>
  <si>
    <t>pacheco</t>
  </si>
  <si>
    <t>RCE Pacheco Jordão</t>
  </si>
  <si>
    <t>luis_botelho</t>
  </si>
  <si>
    <t>CTS Luis Botelho Mourão</t>
  </si>
  <si>
    <t>lageado_montante_bl54_55_56</t>
  </si>
  <si>
    <t>CT Lageado Montante BL54 - BL55 - BL56</t>
  </si>
  <si>
    <t>Base criada a partir do PDF CONFERÊNCIA.TRECH.pdf: linhas retas entre PVs/PIs com coordenadas UTM convertidas para latitude/longitude.</t>
  </si>
  <si>
    <t>rce_souto_maior</t>
  </si>
  <si>
    <t>RCE Souto Maior</t>
  </si>
  <si>
    <t>ct_domingos</t>
  </si>
  <si>
    <t>CTS Domingos João de Carvalho</t>
  </si>
  <si>
    <t>Base criada a partir do PDF D.REL. CONFERÊNCIA CT DOMINGOS - BL01 A BL04.R01.</t>
  </si>
  <si>
    <t>cts_bandeirantes</t>
  </si>
  <si>
    <t>CTS Bandeirantes</t>
  </si>
  <si>
    <t>Base real adicionada a partir dos shapefiles enviados em SHAPES.zip.</t>
  </si>
  <si>
    <t>ct_jaragua</t>
  </si>
  <si>
    <t>CTS Jaraguá</t>
  </si>
  <si>
    <t>rce_barao_luis_de_arariba</t>
  </si>
  <si>
    <t>RCE Barão Luis de Arariba</t>
  </si>
  <si>
    <t>rede_se_liga_na_rede_lourdes</t>
  </si>
  <si>
    <t>Rede Se Liga na Rede - Lourdes</t>
  </si>
  <si>
    <t>ct_jardim_miriam_blocos_05_a_09</t>
  </si>
  <si>
    <t>CTS Jardim Miriam Blocos 05 a 09</t>
  </si>
  <si>
    <t>ct_miriam_bloco_09</t>
  </si>
  <si>
    <t>CTS Miriam Bloco 09</t>
  </si>
  <si>
    <t>Registro integrado ao CT Jardim Miriam Blocos 05 a 09 para evitar duplicidade no filtro.</t>
  </si>
  <si>
    <t>NÃO</t>
  </si>
  <si>
    <t>cts_doroteia</t>
  </si>
  <si>
    <t>CTS Dorotéia</t>
  </si>
  <si>
    <t>cts_jardim_lourdes</t>
  </si>
  <si>
    <t>CTS Jardim Lourdes</t>
  </si>
  <si>
    <t>cts_mar_de_coral</t>
  </si>
  <si>
    <t>CTS Mar de Coral</t>
  </si>
  <si>
    <t>ct_benfica</t>
  </si>
  <si>
    <t>CTS Benfica</t>
  </si>
  <si>
    <t>tipo_ponto</t>
  </si>
  <si>
    <t>ponto_id</t>
  </si>
  <si>
    <t>nome_ponto</t>
  </si>
  <si>
    <t>coord_n</t>
  </si>
  <si>
    <t>coord_e</t>
  </si>
  <si>
    <t>latitude</t>
  </si>
  <si>
    <t>longitude</t>
  </si>
  <si>
    <t>cota_tampa</t>
  </si>
  <si>
    <t>cota_fundo</t>
  </si>
  <si>
    <t>profundidade_m</t>
  </si>
  <si>
    <t>observacao</t>
  </si>
  <si>
    <t>PV</t>
  </si>
  <si>
    <t>PV-001</t>
  </si>
  <si>
    <t>PV-E1</t>
  </si>
  <si>
    <t>PV-002</t>
  </si>
  <si>
    <t>PV-E03</t>
  </si>
  <si>
    <t>PV-003</t>
  </si>
  <si>
    <t>PV-E5</t>
  </si>
  <si>
    <t>PV-004</t>
  </si>
  <si>
    <t>PV-E7</t>
  </si>
  <si>
    <t>PV-005</t>
  </si>
  <si>
    <t>PV-E10</t>
  </si>
  <si>
    <t>PV-006</t>
  </si>
  <si>
    <t>PV-E11</t>
  </si>
  <si>
    <t>PV-007</t>
  </si>
  <si>
    <t>PV-E12</t>
  </si>
  <si>
    <t>PV-008</t>
  </si>
  <si>
    <t>PV-E13</t>
  </si>
  <si>
    <t>PV-009</t>
  </si>
  <si>
    <t>PV-E15</t>
  </si>
  <si>
    <t>PV-010</t>
  </si>
  <si>
    <t>PV-E17</t>
  </si>
  <si>
    <t>PV-011</t>
  </si>
  <si>
    <t>PV-E18</t>
  </si>
  <si>
    <t>PV-012</t>
  </si>
  <si>
    <t>PV-E21</t>
  </si>
  <si>
    <t>PV-013</t>
  </si>
  <si>
    <t>PV-E23</t>
  </si>
  <si>
    <t>PV-014</t>
  </si>
  <si>
    <t>PV-E25</t>
  </si>
  <si>
    <t>PV-015</t>
  </si>
  <si>
    <t>PV-E25.1</t>
  </si>
  <si>
    <t>PV-016</t>
  </si>
  <si>
    <t>PV-E25.2</t>
  </si>
  <si>
    <t>PV-017</t>
  </si>
  <si>
    <t>PV-E0</t>
  </si>
  <si>
    <t>PV-018</t>
  </si>
  <si>
    <t>PV-E4</t>
  </si>
  <si>
    <t>PV-019</t>
  </si>
  <si>
    <t>PV-E6</t>
  </si>
  <si>
    <t>PV-020</t>
  </si>
  <si>
    <t>PV-E16</t>
  </si>
  <si>
    <t>PV-021</t>
  </si>
  <si>
    <t>PV-E19</t>
  </si>
  <si>
    <t>PV-022</t>
  </si>
  <si>
    <t>PV-E22</t>
  </si>
  <si>
    <t>PV-023</t>
  </si>
  <si>
    <t>PV-E24</t>
  </si>
  <si>
    <t>PV-024</t>
  </si>
  <si>
    <t>PV-E1.1</t>
  </si>
  <si>
    <t>PV-025</t>
  </si>
  <si>
    <t>PV-E17.1</t>
  </si>
  <si>
    <t>PV-026</t>
  </si>
  <si>
    <t>PV-E21.1</t>
  </si>
  <si>
    <t>PV-027</t>
  </si>
  <si>
    <t>PV-E16.1</t>
  </si>
  <si>
    <t>PV-028</t>
  </si>
  <si>
    <t>PV-E18.1</t>
  </si>
  <si>
    <t>PI</t>
  </si>
  <si>
    <t>PI-001</t>
  </si>
  <si>
    <t>PIE-E1.2</t>
  </si>
  <si>
    <t>PI-002</t>
  </si>
  <si>
    <t>PV-E17.2</t>
  </si>
  <si>
    <t>PI-003</t>
  </si>
  <si>
    <t>PI-E21.2</t>
  </si>
  <si>
    <t>PI-004</t>
  </si>
  <si>
    <t>PI-E21.3</t>
  </si>
  <si>
    <t>FSM-PV-001</t>
  </si>
  <si>
    <t>PVE-4.1</t>
  </si>
  <si>
    <t>FSM-PV-002</t>
  </si>
  <si>
    <t>PV-4.4</t>
  </si>
  <si>
    <t>FSM-PV-003</t>
  </si>
  <si>
    <t>PV-4.5</t>
  </si>
  <si>
    <t>FSM-PV-004</t>
  </si>
  <si>
    <t>PV-4.6</t>
  </si>
  <si>
    <t>FSM-PI-001</t>
  </si>
  <si>
    <t>PI-4.2</t>
  </si>
  <si>
    <t>FSM-PI-002</t>
  </si>
  <si>
    <t>PI-4.3</t>
  </si>
  <si>
    <t>FSM-PI-003</t>
  </si>
  <si>
    <t>PIE-12</t>
  </si>
  <si>
    <t>CONC-PV-001</t>
  </si>
  <si>
    <t>PVE-01</t>
  </si>
  <si>
    <t>PDF Ordem de Serviço</t>
  </si>
  <si>
    <t>CONC-PV-002</t>
  </si>
  <si>
    <t>PV-01</t>
  </si>
  <si>
    <t>CONC-PV-003</t>
  </si>
  <si>
    <t>PV-02</t>
  </si>
  <si>
    <t>CONC-PV-004</t>
  </si>
  <si>
    <t>PV-04</t>
  </si>
  <si>
    <t>CONC-PV-005</t>
  </si>
  <si>
    <t>PV-06</t>
  </si>
  <si>
    <t>CONC-PV-006</t>
  </si>
  <si>
    <t>PV-08</t>
  </si>
  <si>
    <t>CONC-PV-007</t>
  </si>
  <si>
    <t>PV-09</t>
  </si>
  <si>
    <t>CONC-PV-008</t>
  </si>
  <si>
    <t>PV-10.1</t>
  </si>
  <si>
    <t>CONC-PV-009</t>
  </si>
  <si>
    <t>PV-09.1</t>
  </si>
  <si>
    <t>CONC-PV-010</t>
  </si>
  <si>
    <t>PV-10</t>
  </si>
  <si>
    <t>CONC-PV-011</t>
  </si>
  <si>
    <t>PV-10.2</t>
  </si>
  <si>
    <t>CONC-PV-012</t>
  </si>
  <si>
    <t>PV-11</t>
  </si>
  <si>
    <t>AVMD-PV-001</t>
  </si>
  <si>
    <t>PVD-02</t>
  </si>
  <si>
    <t>AVMD-PV-002</t>
  </si>
  <si>
    <t>PVD-03</t>
  </si>
  <si>
    <t>AVMD-PV-003</t>
  </si>
  <si>
    <t>PVD-04</t>
  </si>
  <si>
    <t>AVMD-PV-004</t>
  </si>
  <si>
    <t>PVD-05</t>
  </si>
  <si>
    <t>AVMD-PV-005</t>
  </si>
  <si>
    <t>PVE-D0</t>
  </si>
  <si>
    <t>AVMD-PV-006</t>
  </si>
  <si>
    <t>PVD-06</t>
  </si>
  <si>
    <t>AVMD-PV-007</t>
  </si>
  <si>
    <t>PVD-07</t>
  </si>
  <si>
    <t>AVMD-PV-008</t>
  </si>
  <si>
    <t>PVD-08</t>
  </si>
  <si>
    <t>AVMD-PV-009</t>
  </si>
  <si>
    <t>PVD-09</t>
  </si>
  <si>
    <t>AVMD-PV-010</t>
  </si>
  <si>
    <t>PVD-10</t>
  </si>
  <si>
    <t>AVMD-PV-011</t>
  </si>
  <si>
    <t>PVD-11</t>
  </si>
  <si>
    <t>AVMD-PV-012</t>
  </si>
  <si>
    <t>PVD-12</t>
  </si>
  <si>
    <t>AVMD-PV-013</t>
  </si>
  <si>
    <t>PVD-13</t>
  </si>
  <si>
    <t>AVMD-PV-014</t>
  </si>
  <si>
    <t>PVD-14</t>
  </si>
  <si>
    <t>AVMD-PV-015</t>
  </si>
  <si>
    <t>PVD-16</t>
  </si>
  <si>
    <t>AVMD-PV-016</t>
  </si>
  <si>
    <t>PVD-17</t>
  </si>
  <si>
    <t>AVMD-PV-017</t>
  </si>
  <si>
    <t>PVD-18</t>
  </si>
  <si>
    <t>AVMD-PV-018</t>
  </si>
  <si>
    <t>PVD-19</t>
  </si>
  <si>
    <t>AVMD-PV-019</t>
  </si>
  <si>
    <t>PV-D10.1</t>
  </si>
  <si>
    <t>AVMD-PV-020</t>
  </si>
  <si>
    <t>PVD-13.1</t>
  </si>
  <si>
    <t>AVMD-PV-021</t>
  </si>
  <si>
    <t>PVD-06.1</t>
  </si>
  <si>
    <t>AVMD-PI-001</t>
  </si>
  <si>
    <t>PI-D7.3</t>
  </si>
  <si>
    <t>AVMD-PI-002</t>
  </si>
  <si>
    <t>PID-10.2</t>
  </si>
  <si>
    <t>ABOA-PV-001</t>
  </si>
  <si>
    <t>ABOA-PV-002</t>
  </si>
  <si>
    <t>PV-03</t>
  </si>
  <si>
    <t>ABOA-PV-003</t>
  </si>
  <si>
    <t>PACH-PV-001</t>
  </si>
  <si>
    <t>PV-00</t>
  </si>
  <si>
    <t>PACH-PV-002</t>
  </si>
  <si>
    <t>PACH-PV-003</t>
  </si>
  <si>
    <t>PACH-PV-004</t>
  </si>
  <si>
    <t>PV-04.1</t>
  </si>
  <si>
    <t>LBM-PV-001</t>
  </si>
  <si>
    <t>LBM-PV-002</t>
  </si>
  <si>
    <t>PV-05</t>
  </si>
  <si>
    <t>LBM-PV-003</t>
  </si>
  <si>
    <t>LBM-PV-004</t>
  </si>
  <si>
    <t>PV-07</t>
  </si>
  <si>
    <t>LBM-PV-005</t>
  </si>
  <si>
    <t>LBM-PV-006</t>
  </si>
  <si>
    <t>LAG-PV-001</t>
  </si>
  <si>
    <t>PV-01A</t>
  </si>
  <si>
    <t>CONFERÊNCIA.TRECH.pdf</t>
  </si>
  <si>
    <t>LAG-PV-002</t>
  </si>
  <si>
    <t>PV-01B</t>
  </si>
  <si>
    <t>LAG-PV-003</t>
  </si>
  <si>
    <t>PV-01C</t>
  </si>
  <si>
    <t>LAG-PV-004</t>
  </si>
  <si>
    <t>PV-01D</t>
  </si>
  <si>
    <t>LAG-PV-005</t>
  </si>
  <si>
    <t>PV-01E</t>
  </si>
  <si>
    <t>LAG-PV-006</t>
  </si>
  <si>
    <t>LAG-PV-007</t>
  </si>
  <si>
    <t>LAG-PV-008</t>
  </si>
  <si>
    <t>LAG-PV-009</t>
  </si>
  <si>
    <t>LAG-PV-010</t>
  </si>
  <si>
    <t>LAG-PV-011</t>
  </si>
  <si>
    <t>LAG-PV-012</t>
  </si>
  <si>
    <t>LAG-PV-013</t>
  </si>
  <si>
    <t>PV-12</t>
  </si>
  <si>
    <t>LAG-PV-014</t>
  </si>
  <si>
    <t>PV-16</t>
  </si>
  <si>
    <t>LAG-PV-015</t>
  </si>
  <si>
    <t>PV-18</t>
  </si>
  <si>
    <t>LAG-PV-016</t>
  </si>
  <si>
    <t>PV-19</t>
  </si>
  <si>
    <t>LAG-PV-017</t>
  </si>
  <si>
    <t>PV-03.1</t>
  </si>
  <si>
    <t>LAG-PI-018</t>
  </si>
  <si>
    <t>PI-03.2</t>
  </si>
  <si>
    <t>LAG-PV-019</t>
  </si>
  <si>
    <t>LAG-PV-020</t>
  </si>
  <si>
    <t>PVE-04.2</t>
  </si>
  <si>
    <t>LAG-PV-021</t>
  </si>
  <si>
    <t>PV-05.1</t>
  </si>
  <si>
    <t>LAG-PV-022</t>
  </si>
  <si>
    <t>PV-07.1</t>
  </si>
  <si>
    <t>LAG-PI-023</t>
  </si>
  <si>
    <t>PI-07.2</t>
  </si>
  <si>
    <t>LAG-PV-024</t>
  </si>
  <si>
    <t>PV-08.1</t>
  </si>
  <si>
    <t>LAG-PV-025</t>
  </si>
  <si>
    <t>PV-12.1</t>
  </si>
  <si>
    <t>LAG-PV-026</t>
  </si>
  <si>
    <t>PVE-12.2</t>
  </si>
  <si>
    <t>LAG-PV-027</t>
  </si>
  <si>
    <t>PV-16.1</t>
  </si>
  <si>
    <t>LAG-PV-028</t>
  </si>
  <si>
    <t>PV-18.1</t>
  </si>
  <si>
    <t>LAG-PV-029</t>
  </si>
  <si>
    <t>PV-19.1</t>
  </si>
  <si>
    <t>PV-2</t>
  </si>
  <si>
    <t>PV-3</t>
  </si>
  <si>
    <t>PV-4</t>
  </si>
  <si>
    <t>PV-5</t>
  </si>
  <si>
    <t>PV-5.1</t>
  </si>
  <si>
    <t>Conforme projeto, considerar o número do PV como 5.1, uma vez que o campo não aceita caracteres especiais.</t>
  </si>
  <si>
    <t>PI-7.2</t>
  </si>
  <si>
    <t>Conforme projeto, considerar o número do PI como 7.2, uma vez que o campo não aceita caracteres especiais.</t>
  </si>
  <si>
    <t>PI-5.3</t>
  </si>
  <si>
    <t>Conforme projeto, considerar o número do PI como 5.3, uma vez que o campo não aceita caracteres especiais.</t>
  </si>
  <si>
    <t>PI-7</t>
  </si>
  <si>
    <t>PI-7.1</t>
  </si>
  <si>
    <t>Conforme projeto, considerar o número do PI como 7.1, uma vez que o campo não aceita caracteres especiais.</t>
  </si>
  <si>
    <t>PI-7.3</t>
  </si>
  <si>
    <t>Conforme projeto, considerar o número do PI como 7.3, uma vez que o campo não aceita caracteres especiais.</t>
  </si>
  <si>
    <t>PI-5.2</t>
  </si>
  <si>
    <t>Conforme projeto, considerar o número do PI como 5.2, uma vez que o campo não aceita caracteres especiais.</t>
  </si>
  <si>
    <t>PI-1</t>
  </si>
  <si>
    <t>Importado do PDF CT Domingos - PV-02</t>
  </si>
  <si>
    <t>Importado do PDF CT Domingos - PV-03</t>
  </si>
  <si>
    <t>Importado do PDF CT Domingos - PV-04</t>
  </si>
  <si>
    <t>Importado do PDF CT Domingos - PV-05</t>
  </si>
  <si>
    <t>Importado do PDF CT Domingos - PV-12</t>
  </si>
  <si>
    <t>PIE-16</t>
  </si>
  <si>
    <t>Importado do PDF CT Domingos - PIE-16</t>
  </si>
  <si>
    <t>PV-13A</t>
  </si>
  <si>
    <t>Importado do PDF CT Domingos - PV-13A</t>
  </si>
  <si>
    <t>PI-14.1</t>
  </si>
  <si>
    <t>Importado do PDF CT Domingos - PI-14.1</t>
  </si>
  <si>
    <t>PIE-13</t>
  </si>
  <si>
    <t>Importado do PDF CT Domingos - PIE-13</t>
  </si>
  <si>
    <t>Importado do PDF CT Domingos - PV-06</t>
  </si>
  <si>
    <t>PV-17</t>
  </si>
  <si>
    <t>Importado do PDF CT Domingos - PV-17</t>
  </si>
  <si>
    <t>PI-20</t>
  </si>
  <si>
    <t>Importado do PDF CT Domingos - PI-20</t>
  </si>
  <si>
    <t>Importado do PDF CT Domingos - PV-18</t>
  </si>
  <si>
    <t>PI-19</t>
  </si>
  <si>
    <t>Importado do PDF CT Domingos - PI-19</t>
  </si>
  <si>
    <t>PI-18.1</t>
  </si>
  <si>
    <t>Importado do PDF CT Domingos - PI-18.1</t>
  </si>
  <si>
    <t>Importado do PDF CT Domingos - PV-07</t>
  </si>
  <si>
    <t>PV-21</t>
  </si>
  <si>
    <t>Importado do PDF CT Domingos - PV-21</t>
  </si>
  <si>
    <t>PV-22</t>
  </si>
  <si>
    <t>Importado do PDF CT Domingos - PV-22</t>
  </si>
  <si>
    <t>PI-23</t>
  </si>
  <si>
    <t>Importado do PDF CT Domingos - PI-23</t>
  </si>
  <si>
    <t>Importado do PDF CT Domingos - PV-08</t>
  </si>
  <si>
    <t>Importado do PDF CT Domingos - PV-09</t>
  </si>
  <si>
    <t>Importado do PDF CT Domingos - PV-10</t>
  </si>
  <si>
    <t>PI-24</t>
  </si>
  <si>
    <t>Importado do PDF CT Domingos - PI-24</t>
  </si>
  <si>
    <t>PIE-09.1</t>
  </si>
  <si>
    <t>Importado do PDF CT Domingos - PIE-09.1</t>
  </si>
  <si>
    <t>PIE-11</t>
  </si>
  <si>
    <t>Importado do PDF CT Domingos - PIE-11</t>
  </si>
  <si>
    <t>PI-39</t>
  </si>
  <si>
    <t>PI-251</t>
  </si>
  <si>
    <t>Conforme projeto, considerar o número do PV como 25.1, uma vez que o campo não aceita caracteres especiais.</t>
  </si>
  <si>
    <t>PI-252</t>
  </si>
  <si>
    <t>Conforme projeto, considerar o número do PV como 25.2, uma vez que o campo não aceita caracteres especiais.</t>
  </si>
  <si>
    <t>PV-9</t>
  </si>
  <si>
    <t>PV-6</t>
  </si>
  <si>
    <t>PV-7</t>
  </si>
  <si>
    <t>PV-42</t>
  </si>
  <si>
    <t>PV-1</t>
  </si>
  <si>
    <t>PV-30</t>
  </si>
  <si>
    <t>PV-38</t>
  </si>
  <si>
    <t>PV-37</t>
  </si>
  <si>
    <t>PV-35</t>
  </si>
  <si>
    <t>PV-34</t>
  </si>
  <si>
    <t>PV-32</t>
  </si>
  <si>
    <t>PV-26</t>
  </si>
  <si>
    <t>PV-25</t>
  </si>
  <si>
    <t>PV-23</t>
  </si>
  <si>
    <t>PV-48</t>
  </si>
  <si>
    <t>PV-20</t>
  </si>
  <si>
    <t>PV-13</t>
  </si>
  <si>
    <t>PV-14</t>
  </si>
  <si>
    <t>PIE-10</t>
  </si>
  <si>
    <t>PIE-5</t>
  </si>
  <si>
    <t>PIE-19</t>
  </si>
  <si>
    <t>PIE-1</t>
  </si>
  <si>
    <t>PV-8</t>
  </si>
  <si>
    <t>PVE-1</t>
  </si>
  <si>
    <t>PT-001</t>
  </si>
  <si>
    <t>Ponto gerado automaticamente pela extremidade da rede.</t>
  </si>
  <si>
    <t>PT-002</t>
  </si>
  <si>
    <t>PI-181</t>
  </si>
  <si>
    <t>Conforme Projeto, considerar o PI 181 como 18.1, uma vez que o campo não aceita caracteres especiais.</t>
  </si>
  <si>
    <t>PI-182</t>
  </si>
  <si>
    <t>Conforme Projeto, considerar o PI 182 como 18.2, uma vez que o campo não aceita caracteres especiais.</t>
  </si>
  <si>
    <t>PI-183</t>
  </si>
  <si>
    <t>Conforme projeto, considerar o PI 183 como 18.3, uma vez que o campo não aceita caracteres especiais.</t>
  </si>
  <si>
    <t>PI-171</t>
  </si>
  <si>
    <t>Conforme Projeto, considerar o PI 171 como 17.1, uma vez que o campo não aceita caracteres especiais.</t>
  </si>
  <si>
    <t>PI-34</t>
  </si>
  <si>
    <t>PV-111</t>
  </si>
  <si>
    <t>Conforme projeto, considerar o PV 111 como 11.1, uma vez que o campo não aceita caracteres especiais.</t>
  </si>
  <si>
    <t>PV-27</t>
  </si>
  <si>
    <t>PV-49</t>
  </si>
  <si>
    <t>PV-491</t>
  </si>
  <si>
    <t>Conforme projeto, considerar o PV 491 como 49.1, uma vez que o campo não aceita caracteres especiais.</t>
  </si>
  <si>
    <t>PV-33</t>
  </si>
  <si>
    <t>PV-39</t>
  </si>
  <si>
    <t>PV-44</t>
  </si>
  <si>
    <t>PV-47</t>
  </si>
  <si>
    <t>PV-43</t>
  </si>
  <si>
    <t>PI-62</t>
  </si>
  <si>
    <t>PI-61</t>
  </si>
  <si>
    <t>PI-641</t>
  </si>
  <si>
    <t>Conforme projeto, considerar o número do PI como 64.1, uma vez que o campo não aceita caracteres especiais.</t>
  </si>
  <si>
    <t>PI-64</t>
  </si>
  <si>
    <t>PV-50</t>
  </si>
  <si>
    <t>PV-64</t>
  </si>
  <si>
    <t>PV-52</t>
  </si>
  <si>
    <t>PV-51</t>
  </si>
  <si>
    <t>PV-59</t>
  </si>
  <si>
    <t>PV-54</t>
  </si>
  <si>
    <t>PV-56</t>
  </si>
  <si>
    <t>PV-57</t>
  </si>
  <si>
    <t>PV-55</t>
  </si>
  <si>
    <t>PI-81</t>
  </si>
  <si>
    <t>Conforme projeto, considerar o numero do PI como 17.1 pois o campo não aceita caracteres especiais.</t>
  </si>
  <si>
    <t>Conforme projeto, considerar o número do PV como 2A, uma vez que o campo não aceita caracteres alfanuméricos.</t>
  </si>
  <si>
    <t>PV-121</t>
  </si>
  <si>
    <t>Conforme projeto, considerar o número do PV como 12.1, uma vez que o campo não aceita caracteres espeiciais.</t>
  </si>
  <si>
    <t>PV-251</t>
  </si>
  <si>
    <t>PV-24</t>
  </si>
  <si>
    <t>PV-41</t>
  </si>
  <si>
    <t>Conforme projeto, considerar o número do PV como 4.1, uma vez que o campo não aceita caracteres especiais.</t>
  </si>
  <si>
    <t>PV-15</t>
  </si>
  <si>
    <t>PV-40</t>
  </si>
  <si>
    <t>PV-46</t>
  </si>
  <si>
    <t>Conforme projeto, considerar o número do PV como 22A, uma vez que o campo não aceita caracteres espeicias.</t>
  </si>
  <si>
    <t>Conforme projeto, considerar o número do PV como 5.1, uma vez que o campo não aceita caracteres espeicias.</t>
  </si>
  <si>
    <t>PV-191</t>
  </si>
  <si>
    <t>Conforme projeto, considerar o número do PV como 16.1, uma vez que o campo não aceita caracteres espeicias.</t>
  </si>
  <si>
    <t>PV-36</t>
  </si>
  <si>
    <t>PV-421</t>
  </si>
  <si>
    <t>PV-45</t>
  </si>
  <si>
    <t>PV-221</t>
  </si>
  <si>
    <t>Conforme projeto, considerar o número do PV como 22.1, uma vez que o campo não aceita caracteres espeicias.</t>
  </si>
  <si>
    <t>PV-161</t>
  </si>
  <si>
    <t>PI-12</t>
  </si>
  <si>
    <t>PI-13</t>
  </si>
  <si>
    <t>PI-191</t>
  </si>
  <si>
    <t>Considerar o número do PI como 19.1</t>
  </si>
  <si>
    <t>Considerar o número do PV como 11A</t>
  </si>
  <si>
    <t>PV-171</t>
  </si>
  <si>
    <t>Considerar o número do PV como 17.1</t>
  </si>
  <si>
    <t>PDF OS HDD 25/04/2026 - Rua Jerônimo Pedroso de Barros</t>
  </si>
  <si>
    <t>PDF OS HDD 25/04/2026 - PV-05.1 convertido para PV-51 conforme padrão da planilha</t>
  </si>
  <si>
    <t>PV-5.9</t>
  </si>
  <si>
    <t>Coordenada informada no Google Earth. ID tratado como PV-59 para manter padrão da planilha; nome exibido PV-5.9.</t>
  </si>
  <si>
    <t>trecho_id</t>
  </si>
  <si>
    <t>trecho_nome</t>
  </si>
  <si>
    <t>pv_inicio</t>
  </si>
  <si>
    <t>pv_fim</t>
  </si>
  <si>
    <t>material</t>
  </si>
  <si>
    <t>dn</t>
  </si>
  <si>
    <t>metodo</t>
  </si>
  <si>
    <t>extensao_m</t>
  </si>
  <si>
    <t>prof_inicial_m</t>
  </si>
  <si>
    <t>prof_final_m</t>
  </si>
  <si>
    <t>prof_max_m</t>
  </si>
  <si>
    <t>status</t>
  </si>
  <si>
    <t>lat_inicio</t>
  </si>
  <si>
    <t>lon_inicio</t>
  </si>
  <si>
    <t>lat_fim</t>
  </si>
  <si>
    <t>lon_fim</t>
  </si>
  <si>
    <t>AV-001</t>
  </si>
  <si>
    <t>PV-E25.1 - PV-E25</t>
  </si>
  <si>
    <t>PVC</t>
  </si>
  <si>
    <t>Vala a Céu Aberto - VCA</t>
  </si>
  <si>
    <t>concluída</t>
  </si>
  <si>
    <t>AV-002</t>
  </si>
  <si>
    <t>PV-E18 - PV-E17</t>
  </si>
  <si>
    <t>PEAD</t>
  </si>
  <si>
    <t>Método Não Destrutivo - MND</t>
  </si>
  <si>
    <t>AV-003</t>
  </si>
  <si>
    <t>PV-E15 - PV-E13</t>
  </si>
  <si>
    <t>AV-004</t>
  </si>
  <si>
    <t>PV-E13 - PV-E12</t>
  </si>
  <si>
    <t>AV-005</t>
  </si>
  <si>
    <t>PV-E12 - PV-E11</t>
  </si>
  <si>
    <t>AV-006</t>
  </si>
  <si>
    <t>PV-E11 - PV-E10</t>
  </si>
  <si>
    <t>AV-007</t>
  </si>
  <si>
    <t>PV-E10 - PV-E7</t>
  </si>
  <si>
    <t>AV-008</t>
  </si>
  <si>
    <t>PV-E03 - PV-E1</t>
  </si>
  <si>
    <t>AV-009</t>
  </si>
  <si>
    <t>PV-E1 - PV-E0</t>
  </si>
  <si>
    <t>AV-010</t>
  </si>
  <si>
    <t>PV-E7 - PV-E6</t>
  </si>
  <si>
    <t>AV-011</t>
  </si>
  <si>
    <t>PV-E6 - PV-E5</t>
  </si>
  <si>
    <t>AV-012</t>
  </si>
  <si>
    <t>PV-E5 - PV-E4</t>
  </si>
  <si>
    <t>AV-013</t>
  </si>
  <si>
    <t>PV-E4 - PV-E03</t>
  </si>
  <si>
    <t>AV-014</t>
  </si>
  <si>
    <t>PV-E17 - PV-E16</t>
  </si>
  <si>
    <t>AV-015</t>
  </si>
  <si>
    <t>PV-E16 - PV-E15</t>
  </si>
  <si>
    <t>AV-016</t>
  </si>
  <si>
    <t>PV-E19 - PV-E18</t>
  </si>
  <si>
    <t>AV-017</t>
  </si>
  <si>
    <t>PV-E23 - PV-E22</t>
  </si>
  <si>
    <t>AV-018</t>
  </si>
  <si>
    <t>PV-E25 - PV-E24</t>
  </si>
  <si>
    <t>AV-019</t>
  </si>
  <si>
    <t>PV-E24 - PV-E23</t>
  </si>
  <si>
    <t>AV-020</t>
  </si>
  <si>
    <t>PV-E1.1 - PV-E1</t>
  </si>
  <si>
    <t>AV-021</t>
  </si>
  <si>
    <t>PIE-E1.2 - PV-E1.1</t>
  </si>
  <si>
    <t>AV-022</t>
  </si>
  <si>
    <t>PV-E25.2 - PV-E25</t>
  </si>
  <si>
    <t>AV-023</t>
  </si>
  <si>
    <t>PV-E17.2 - PV-E17.1</t>
  </si>
  <si>
    <t>AV-024</t>
  </si>
  <si>
    <t>PV-E17.1 - PV-E17</t>
  </si>
  <si>
    <t>AV-025</t>
  </si>
  <si>
    <t>PI-E21.2 - PI-E21.3</t>
  </si>
  <si>
    <t>AV-026</t>
  </si>
  <si>
    <t>PI-E21.3 - PV-E21.1</t>
  </si>
  <si>
    <t>AV-027</t>
  </si>
  <si>
    <t>PV-E16.1 - PV-E16</t>
  </si>
  <si>
    <t>AV-028</t>
  </si>
  <si>
    <t>PV-E21 - PV-E19</t>
  </si>
  <si>
    <t>AV-029</t>
  </si>
  <si>
    <t>PV-E21.1 - PV-E21</t>
  </si>
  <si>
    <t>AV-030</t>
  </si>
  <si>
    <t>PV-E22 - PV-E21</t>
  </si>
  <si>
    <t>AV-031</t>
  </si>
  <si>
    <t>PV-E18.1 - PV-E18</t>
  </si>
  <si>
    <t>FSM-001</t>
  </si>
  <si>
    <t>PI-4.3 - PI-4.2</t>
  </si>
  <si>
    <t>FSM-002</t>
  </si>
  <si>
    <t>PI-4.2 - PVE-4.1</t>
  </si>
  <si>
    <t>FSM-003</t>
  </si>
  <si>
    <t>PV-4.4 - PV-4.5</t>
  </si>
  <si>
    <t>FSM-004</t>
  </si>
  <si>
    <t>PV-4.5 - PV-4.6</t>
  </si>
  <si>
    <t>FSM-005</t>
  </si>
  <si>
    <t>PV-4.6 - PIE-12</t>
  </si>
  <si>
    <t>CONC-001</t>
  </si>
  <si>
    <t>PVE-01 - PV-01</t>
  </si>
  <si>
    <t>01.CT CONCEIÇÃO_PVE-01 A PV-01.R1(1).pdf</t>
  </si>
  <si>
    <t>CONC-002</t>
  </si>
  <si>
    <t>PV-01 - PV-02</t>
  </si>
  <si>
    <t>02.CT CONCEIÇÃO_PV-01 A PV-02.pdf</t>
  </si>
  <si>
    <t>CONC-003</t>
  </si>
  <si>
    <t>PV-02 - PV-04</t>
  </si>
  <si>
    <t>03.CT CONCEIÇÃO_PV-02 A PV-04.R2.pdf</t>
  </si>
  <si>
    <t>CONC-004</t>
  </si>
  <si>
    <t>PV-04 - PV-06</t>
  </si>
  <si>
    <t>04.CT CONCEIÇÃO_PV-04 A PV-06.R1.pdf</t>
  </si>
  <si>
    <t>CONC-005</t>
  </si>
  <si>
    <t>PV-06 - PV-08</t>
  </si>
  <si>
    <t>06.CT CONCEIÇÃO_PV-06 A PV-08.pdf</t>
  </si>
  <si>
    <t>CONC-006</t>
  </si>
  <si>
    <t>PV-08 - PV-09</t>
  </si>
  <si>
    <t>07.CT CONCEIÇÃO_PV-08 A PV-09.pdf</t>
  </si>
  <si>
    <t>CONC-007</t>
  </si>
  <si>
    <t>PV-09 - PV-10.1</t>
  </si>
  <si>
    <t>08.CT CONCEIÇÃO_PV-09 A PV-10.1.pdf</t>
  </si>
  <si>
    <t>CONC-008</t>
  </si>
  <si>
    <t>PV-09.1 - PV-10.1</t>
  </si>
  <si>
    <t>08.CT CONCEIÇÃO_PV-09.1 A PV-10.1.pdf</t>
  </si>
  <si>
    <t>CONC-009</t>
  </si>
  <si>
    <t>PV-10 - PV-10.1</t>
  </si>
  <si>
    <t>09.CT CONCEIÇÃO_PV-10 A PV-10.1.pdf</t>
  </si>
  <si>
    <t>CONC-010</t>
  </si>
  <si>
    <t>PV-10.1 - PV-10.2</t>
  </si>
  <si>
    <t>10.CT CONCEIÇÃO_PV-10.1 A PV-10.2.R01.pdf</t>
  </si>
  <si>
    <t>CONC-011</t>
  </si>
  <si>
    <t>PV-10 - PV-11</t>
  </si>
  <si>
    <t>11.CT CONCEIÇÃO_PV-10 A PV-11.pdf</t>
  </si>
  <si>
    <t>AVMD-001</t>
  </si>
  <si>
    <t>PVD-02 - PVD-03</t>
  </si>
  <si>
    <t>01.CT AGUA VERMELHA MD_PVD-02 A PVD-03.pdf</t>
  </si>
  <si>
    <t>AVMD-002</t>
  </si>
  <si>
    <t>PVD-03 - PVD-04</t>
  </si>
  <si>
    <t>01.CT AGUA VERMELHA MD_PVD-03 A PVD-04.pdf</t>
  </si>
  <si>
    <t>AVMD-003</t>
  </si>
  <si>
    <t>PVD-04 - PVD-05</t>
  </si>
  <si>
    <t>01.CT AGUA VERMELHA MD_PVD-04 AO PVD-05.pdf</t>
  </si>
  <si>
    <t>AVMD-004</t>
  </si>
  <si>
    <t>PVE-D0 - PVD-02</t>
  </si>
  <si>
    <t>01.CT AGUA VERMELHA MD_PVE-D0 A PVD-02.pdf</t>
  </si>
  <si>
    <t>AVMD-005</t>
  </si>
  <si>
    <t>PVD-05 - PVD-06</t>
  </si>
  <si>
    <t>05.CT AGUA VERMELHA MD_PVD-05 AO PVD-06.pdf</t>
  </si>
  <si>
    <t>AVMD-006</t>
  </si>
  <si>
    <t>PVD-06 - PVD-07</t>
  </si>
  <si>
    <t>06.CT AGUA VERMELHA MD_PVD-06 AO PVD-07.pdf</t>
  </si>
  <si>
    <t>AVMD-007</t>
  </si>
  <si>
    <t>PVD-07 - PVD-08</t>
  </si>
  <si>
    <t>07.CT AGUA VERMELHA MD_PVD-07 AO PVD-08.pdf</t>
  </si>
  <si>
    <t>AVMD-008</t>
  </si>
  <si>
    <t>PVD-08 - PVD-09</t>
  </si>
  <si>
    <t>08.CT AGUA VERMELHA MD_PVD-08 AO PVD-09.pdf</t>
  </si>
  <si>
    <t>AVMD-009</t>
  </si>
  <si>
    <t>PVD-09 - PVD-10</t>
  </si>
  <si>
    <t>09.CT AGUA VERMELHA MD_PVD-09 AO PVD-10.pdf</t>
  </si>
  <si>
    <t>AVMD-010</t>
  </si>
  <si>
    <t>PVD-10 - PVD-11</t>
  </si>
  <si>
    <t>10.CT AGUA VERMELHA MD_PVD-10 AO PVD-11.pdf</t>
  </si>
  <si>
    <t>AVMD-011</t>
  </si>
  <si>
    <t>PVD-11 - PVD-12</t>
  </si>
  <si>
    <t>10.CT AGUA VERMELHA MD_PVD-11 AO PVD-12.pdf</t>
  </si>
  <si>
    <t>AVMD-012</t>
  </si>
  <si>
    <t>PVD-12 - PVD-13</t>
  </si>
  <si>
    <t>10.CT AGUA VERMELHA MD_PVD-12 AO PVD-13.pdf</t>
  </si>
  <si>
    <t>AVMD-013</t>
  </si>
  <si>
    <t>PVD-13 - PVD-14</t>
  </si>
  <si>
    <t>11.CT AGUA VERMELHA MD_PVD-13 AO PVD-14.pdf</t>
  </si>
  <si>
    <t>AVMD-014</t>
  </si>
  <si>
    <t>PVD-14 - PVD-16</t>
  </si>
  <si>
    <t>11.CT AGUA VERMELHA MD_PVD-14 AO PVD-16.pdf</t>
  </si>
  <si>
    <t>AVMD-015</t>
  </si>
  <si>
    <t>PVD-16 - PVD-17</t>
  </si>
  <si>
    <t>12.CT AGUA VERMELHA MD_PVD-16 AO PVD-17.pdf</t>
  </si>
  <si>
    <t>AVMD-016</t>
  </si>
  <si>
    <t>PVD-17 - PVD-18</t>
  </si>
  <si>
    <t>12.CT AGUA VERMELHA MD_PVD-17 AO PVD-18.pdf</t>
  </si>
  <si>
    <t>AVMD-017</t>
  </si>
  <si>
    <t>PVD-18 - PVD-19</t>
  </si>
  <si>
    <t>12.CT AGUA VERMELHA MD_PVD-18 AO PVD-19.pdf</t>
  </si>
  <si>
    <t>AVMD-018</t>
  </si>
  <si>
    <t>PVD-07 - PI-D7.3</t>
  </si>
  <si>
    <t>13.CT AGUA VERMELHA MD_PVD-07 AO PI-D07.3.pdf</t>
  </si>
  <si>
    <t>AVMD-019</t>
  </si>
  <si>
    <t>PVD-10 - PV-D10.1</t>
  </si>
  <si>
    <t>FL.19.CT AGUA VERMELHA MD_PVD-10 AO PVD-10.1.pdf</t>
  </si>
  <si>
    <t>AVMD-020</t>
  </si>
  <si>
    <t>PV-D10.1 - PID-10.2</t>
  </si>
  <si>
    <t>FL.20.CT AGUA VERMELHA MD_PVD-10.1 AO PID-10.2.pdf</t>
  </si>
  <si>
    <t>AVMD-021</t>
  </si>
  <si>
    <t>PVD-13 - PVD-13.1</t>
  </si>
  <si>
    <t>FL.21.CT AGUA VERMELHA MD_PVD-13 AO PVD-13.1.pdf</t>
  </si>
  <si>
    <t>AVMD-022</t>
  </si>
  <si>
    <t>PVD-06 - PVD-06.1</t>
  </si>
  <si>
    <t>FL.22.CT AGUA VERMELHA MD_PVD-06 AO PVD-06.1.pdf</t>
  </si>
  <si>
    <t>ABOA-001</t>
  </si>
  <si>
    <t>PVE-01 - PV-03</t>
  </si>
  <si>
    <t>FL.01.PLANO DE FURO_AGUA_BOA_PVE-01 AO PV-03.pdf</t>
  </si>
  <si>
    <t>ABOA-002</t>
  </si>
  <si>
    <t>PV-03 - PV-04</t>
  </si>
  <si>
    <t>FL.02.PLANO DE FURO_AGUA_BOA_PV-03 AO PV-04.pdf</t>
  </si>
  <si>
    <t>PACH-001</t>
  </si>
  <si>
    <t>PV-00 - PV-02</t>
  </si>
  <si>
    <t>01.RCE PACHECO JORDÃO_PV-00 AO PV-02.pdf</t>
  </si>
  <si>
    <t>PACH-002</t>
  </si>
  <si>
    <t>PV-02 - PV-03</t>
  </si>
  <si>
    <t>02.RCE PACHECO JORDÃO_PV-02 AO PV-03.pdf</t>
  </si>
  <si>
    <t>PACH-003</t>
  </si>
  <si>
    <t>PV-03 - PV-04.1</t>
  </si>
  <si>
    <t>03.RCE PACHECO JORDÃO_PV-03 AO PV-04.1.pdf</t>
  </si>
  <si>
    <t>LBM-001</t>
  </si>
  <si>
    <t>PV-04 - PV-05</t>
  </si>
  <si>
    <t>CT LUIS BOTELHO MOURÃO - FL.01.PLANO DE FURO_PV-04 AO PV-05.pdf</t>
  </si>
  <si>
    <t>LBM-002</t>
  </si>
  <si>
    <t>PV-05 - PV-06</t>
  </si>
  <si>
    <t>CT LUIS BOTELHO MOURÃO - FL.02.PLANO DE FURO_PV-05 AO PV-06.pdf</t>
  </si>
  <si>
    <t>LBM-003</t>
  </si>
  <si>
    <t>PV-06 - PV-07</t>
  </si>
  <si>
    <t>CT LUIS BOTELHO MOURÃO - FL.03.PLANO DE FURO_PV-06 AO PV-07.pdf</t>
  </si>
  <si>
    <t>LBM-004</t>
  </si>
  <si>
    <t>CT LUIS BOTELHO MOURÃO - FL.04.PLANO DE FURO_PV-02 AO PV-04.pdf</t>
  </si>
  <si>
    <t>LBM-005</t>
  </si>
  <si>
    <t>PV-07 - PV-08</t>
  </si>
  <si>
    <t>CT LUIS BOTELHO MOURÃO - FL.05.PLANO DE FURO_PV-07 AO PV-08_R02.pdf</t>
  </si>
  <si>
    <t>LAG-001</t>
  </si>
  <si>
    <t>PV-01A - PV-01B</t>
  </si>
  <si>
    <t>Gerado a partir do PDF CONFERÊNCIA.TRECH.pdf</t>
  </si>
  <si>
    <t>LAG-002</t>
  </si>
  <si>
    <t>PV-01B - PV-01C</t>
  </si>
  <si>
    <t>LAG-003</t>
  </si>
  <si>
    <t>PV-01C - PV-01D</t>
  </si>
  <si>
    <t>LAG-004</t>
  </si>
  <si>
    <t>PV-01D - PV-01E</t>
  </si>
  <si>
    <t>LAG-005</t>
  </si>
  <si>
    <t>PV-01E - PV-01</t>
  </si>
  <si>
    <t>LAG-006</t>
  </si>
  <si>
    <t>PV-01 - PV-03</t>
  </si>
  <si>
    <t>LAG-007</t>
  </si>
  <si>
    <t>LAG-008</t>
  </si>
  <si>
    <t>LAG-009</t>
  </si>
  <si>
    <t>PV-05 - PV-07</t>
  </si>
  <si>
    <t>LAG-010</t>
  </si>
  <si>
    <t>LAG-011</t>
  </si>
  <si>
    <t>PV-08 - PV-10</t>
  </si>
  <si>
    <t>LAG-012</t>
  </si>
  <si>
    <t>PV-10 - PV-12</t>
  </si>
  <si>
    <t>LAG-013</t>
  </si>
  <si>
    <t>PV-12 - PV-16</t>
  </si>
  <si>
    <t>LAG-014</t>
  </si>
  <si>
    <t>PV-16 - PV-18</t>
  </si>
  <si>
    <t>LAG-015</t>
  </si>
  <si>
    <t>PV-18 - PV-19</t>
  </si>
  <si>
    <t>LAG-016</t>
  </si>
  <si>
    <t>PV-03 - PV-03.1</t>
  </si>
  <si>
    <t>LAG-017</t>
  </si>
  <si>
    <t>PV-03.1 - PI-03.2</t>
  </si>
  <si>
    <t>LAG-018</t>
  </si>
  <si>
    <t>PV-04 - PV-04.1</t>
  </si>
  <si>
    <t>LAG-019</t>
  </si>
  <si>
    <t>PV-04.1 - PVE-04.2</t>
  </si>
  <si>
    <t>LAG-020</t>
  </si>
  <si>
    <t>PV-05 - PV-05.1</t>
  </si>
  <si>
    <t>LAG-021</t>
  </si>
  <si>
    <t>PV-07 - PV-07.1</t>
  </si>
  <si>
    <t>LAG-022</t>
  </si>
  <si>
    <t>PV-07.1 - PI-07.2</t>
  </si>
  <si>
    <t>LAG-023</t>
  </si>
  <si>
    <t>PV-08 - PV-08.1</t>
  </si>
  <si>
    <t>LAG-024</t>
  </si>
  <si>
    <t>PV-12 - PV-12.1</t>
  </si>
  <si>
    <t>LAG-025</t>
  </si>
  <si>
    <t>PV-12.1 - PVE-12.2</t>
  </si>
  <si>
    <t>LAG-026</t>
  </si>
  <si>
    <t>PV-16 - PV-16.1</t>
  </si>
  <si>
    <t>LAG-027</t>
  </si>
  <si>
    <t>PV-18 - PV-18.1</t>
  </si>
  <si>
    <t>LAG-028</t>
  </si>
  <si>
    <t>PV-19 - PV-19.1</t>
  </si>
  <si>
    <t>SM-001</t>
  </si>
  <si>
    <t>PI-7.3 - PI-7.2</t>
  </si>
  <si>
    <t>SM-002</t>
  </si>
  <si>
    <t>PI-7.2 - PI-7.1</t>
  </si>
  <si>
    <t>SM-003</t>
  </si>
  <si>
    <t>PI-7.1 - PI-7</t>
  </si>
  <si>
    <t>SM-004</t>
  </si>
  <si>
    <t>PI-5.2 - PV-5.1</t>
  </si>
  <si>
    <t>SM-005</t>
  </si>
  <si>
    <t>PI-5.3 - PI-5.2</t>
  </si>
  <si>
    <t>SM-006</t>
  </si>
  <si>
    <t>PV-4 - PV-3</t>
  </si>
  <si>
    <t>SM-007</t>
  </si>
  <si>
    <t>PV-3 - PV-2</t>
  </si>
  <si>
    <t>SM-008</t>
  </si>
  <si>
    <t>PV-2 - PI-1</t>
  </si>
  <si>
    <t>SM-009</t>
  </si>
  <si>
    <t>PV-5.1 - PV-5</t>
  </si>
  <si>
    <t>SM-010</t>
  </si>
  <si>
    <t>PI-7 - PV-5.1</t>
  </si>
  <si>
    <t>SM-011</t>
  </si>
  <si>
    <t>PV-5 - PV-4</t>
  </si>
  <si>
    <t>SM-012</t>
  </si>
  <si>
    <t>PI-1 - PONTO FINAL</t>
  </si>
  <si>
    <t>DJC-001</t>
  </si>
  <si>
    <t>Concreto</t>
  </si>
  <si>
    <t>Outros</t>
  </si>
  <si>
    <t>Bloco 01 | Declividade 0.0508</t>
  </si>
  <si>
    <t>DJC-002</t>
  </si>
  <si>
    <t>Bloco 01 | Declividade 0.0108</t>
  </si>
  <si>
    <t>DJC-003</t>
  </si>
  <si>
    <t>Bloco 01 | Declividade 0.0048</t>
  </si>
  <si>
    <t>DJC-004</t>
  </si>
  <si>
    <t>PV-05 - PV-12</t>
  </si>
  <si>
    <t>Bloco 01 | Declividade 0.0191</t>
  </si>
  <si>
    <t>DJC-005</t>
  </si>
  <si>
    <t>PV-12 - PIE-16</t>
  </si>
  <si>
    <t>Bloco 01 | Declividade 0.1367</t>
  </si>
  <si>
    <t>DJC-006</t>
  </si>
  <si>
    <t>PV-12 - PV-13A</t>
  </si>
  <si>
    <t>Bloco 01 | Declividade 0.0012</t>
  </si>
  <si>
    <t>DJC-007</t>
  </si>
  <si>
    <t>PV-13A - PI-14.1</t>
  </si>
  <si>
    <t>Bloco 01 | Declividade 0.164</t>
  </si>
  <si>
    <t>DJC-008</t>
  </si>
  <si>
    <t>PV-13A - PIE-13</t>
  </si>
  <si>
    <t>Bloco 01 | Declividade 0.0742</t>
  </si>
  <si>
    <t>DJC-009</t>
  </si>
  <si>
    <t>Bloco 02 | Declividade 0.0032</t>
  </si>
  <si>
    <t>DJC-010</t>
  </si>
  <si>
    <t>PV-06 - PV-17</t>
  </si>
  <si>
    <t>Bloco 02 | Declividade 0.0104</t>
  </si>
  <si>
    <t>DJC-011</t>
  </si>
  <si>
    <t>PV-17 - PI-20</t>
  </si>
  <si>
    <t>Bloco 02 | Declividade 0.0284</t>
  </si>
  <si>
    <t>DJC-012</t>
  </si>
  <si>
    <t>PV-17 - PV-18</t>
  </si>
  <si>
    <t>Bloco 02 | Declividade 0.0254</t>
  </si>
  <si>
    <t>DJC-013</t>
  </si>
  <si>
    <t>PV-18 - PI-19</t>
  </si>
  <si>
    <t>Bloco 02 | Declividade 0.0862</t>
  </si>
  <si>
    <t>DJC-014</t>
  </si>
  <si>
    <t>PV-18 - PI-18.1</t>
  </si>
  <si>
    <t>Bloco 02 | Declividade 0.0276</t>
  </si>
  <si>
    <t>DJC-015</t>
  </si>
  <si>
    <t>Bloco 03 | Declividade 0.0069</t>
  </si>
  <si>
    <t>DJC-016</t>
  </si>
  <si>
    <t>PV-07 - PV-21</t>
  </si>
  <si>
    <t>Bloco 03 | Declividade 0.0164</t>
  </si>
  <si>
    <t>DJC-017</t>
  </si>
  <si>
    <t>PV-21 - PV-22</t>
  </si>
  <si>
    <t>Bloco 03 | Declividade 0.015</t>
  </si>
  <si>
    <t>DJC-018</t>
  </si>
  <si>
    <t>PV-22 - PI-23</t>
  </si>
  <si>
    <t>Bloco 03 | Declividade 0.1059</t>
  </si>
  <si>
    <t>DJC-019</t>
  </si>
  <si>
    <t>Bloco 04 | Declividade 0.0053</t>
  </si>
  <si>
    <t>DJC-020</t>
  </si>
  <si>
    <t>Bloco 04 | Declividade 0.0091</t>
  </si>
  <si>
    <t>DJC-021</t>
  </si>
  <si>
    <t>PV-09 - PV-10</t>
  </si>
  <si>
    <t>Bloco 04 | Declividade 0.008</t>
  </si>
  <si>
    <t>DJC-022</t>
  </si>
  <si>
    <t>PV-09 - PI-24</t>
  </si>
  <si>
    <t>Bloco 04 | Declividade 0.0113</t>
  </si>
  <si>
    <t>DJC-023</t>
  </si>
  <si>
    <t>PV-09 - PIE-09.1</t>
  </si>
  <si>
    <t>Bloco 04 | Declividade 0.0531</t>
  </si>
  <si>
    <t>DJC-024</t>
  </si>
  <si>
    <t>PV-10 - PIE-11</t>
  </si>
  <si>
    <t>Bloco 04 | Declividade 0.0845</t>
  </si>
  <si>
    <t>CTS_-001</t>
  </si>
  <si>
    <t>PV-48 - PV-20</t>
  </si>
  <si>
    <t>CTS_-002</t>
  </si>
  <si>
    <t>PV-34 - PV-32</t>
  </si>
  <si>
    <t>CTS_-003</t>
  </si>
  <si>
    <t>PV-35 - PV-34</t>
  </si>
  <si>
    <t>CTS_-004</t>
  </si>
  <si>
    <t>PI-251 - PV-25</t>
  </si>
  <si>
    <t>CTS_-005</t>
  </si>
  <si>
    <t>PV-26 - PV-26</t>
  </si>
  <si>
    <t>CTS_-006</t>
  </si>
  <si>
    <t>PI-252 - PI-251</t>
  </si>
  <si>
    <t>CTS_-007</t>
  </si>
  <si>
    <t>PI-39 - PV-38</t>
  </si>
  <si>
    <t>CTS_-008</t>
  </si>
  <si>
    <t>PV-2 - PV-1</t>
  </si>
  <si>
    <t>CTS_-009</t>
  </si>
  <si>
    <t>CTS_-010</t>
  </si>
  <si>
    <t>CTS_-011</t>
  </si>
  <si>
    <t>PV-42 - PV-7</t>
  </si>
  <si>
    <t>CTS_-012</t>
  </si>
  <si>
    <t>PV-9 - PV-7</t>
  </si>
  <si>
    <t>CTS_-013</t>
  </si>
  <si>
    <t>PV-11 - PV-9</t>
  </si>
  <si>
    <t>CTS_-014</t>
  </si>
  <si>
    <t>PV-12 - PV-11</t>
  </si>
  <si>
    <t>CTS_-015</t>
  </si>
  <si>
    <t>PV-13 - PV-12</t>
  </si>
  <si>
    <t>CTS_-016</t>
  </si>
  <si>
    <t>PV-14 - PV-13</t>
  </si>
  <si>
    <t>CTS_-017</t>
  </si>
  <si>
    <t>PV-17 - PV-16</t>
  </si>
  <si>
    <t>CTS_-018</t>
  </si>
  <si>
    <t>PV-18 - PV-17</t>
  </si>
  <si>
    <t>CTS_-019</t>
  </si>
  <si>
    <t>PV-19 - PV-18</t>
  </si>
  <si>
    <t>CTS_-020</t>
  </si>
  <si>
    <t>PV-20 - PV-19</t>
  </si>
  <si>
    <t>CTS_-021</t>
  </si>
  <si>
    <t>PV-22 - PV-20</t>
  </si>
  <si>
    <t>CTS_-022</t>
  </si>
  <si>
    <t>PV-23 - PV-22</t>
  </si>
  <si>
    <t>CTS_-023</t>
  </si>
  <si>
    <t>PV-25 - PV-23</t>
  </si>
  <si>
    <t>CTS_-024</t>
  </si>
  <si>
    <t>PV-26 - PV-25</t>
  </si>
  <si>
    <t>CTS_-025</t>
  </si>
  <si>
    <t>PV-30 - PV-26</t>
  </si>
  <si>
    <t>CTS_-026</t>
  </si>
  <si>
    <t>PV-32 - PV-30</t>
  </si>
  <si>
    <t>CTS_-027</t>
  </si>
  <si>
    <t>PV-37 - PV-35</t>
  </si>
  <si>
    <t>CTS_-028</t>
  </si>
  <si>
    <t>PV-38 - PV-37</t>
  </si>
  <si>
    <t>CTS_-029</t>
  </si>
  <si>
    <t>PV-42 - PV-42</t>
  </si>
  <si>
    <t>CTS_-030</t>
  </si>
  <si>
    <t>CTS_-031</t>
  </si>
  <si>
    <t>PV-6 - PV-5</t>
  </si>
  <si>
    <t>CTS_-032</t>
  </si>
  <si>
    <t>PV-7 - PV-6</t>
  </si>
  <si>
    <t>CTS_-033</t>
  </si>
  <si>
    <t>PV-1 - PV-1</t>
  </si>
  <si>
    <t>CTS_-034</t>
  </si>
  <si>
    <t>PV-16 - PV-14</t>
  </si>
  <si>
    <t>CTS_-035</t>
  </si>
  <si>
    <t>PV-48 - PV-48</t>
  </si>
  <si>
    <t>CT_J-001</t>
  </si>
  <si>
    <t>CT_J-002</t>
  </si>
  <si>
    <t>CT_J-003</t>
  </si>
  <si>
    <t>PV-9 - PV-8</t>
  </si>
  <si>
    <t>CT_J-004</t>
  </si>
  <si>
    <t>PV-10 - PV-9</t>
  </si>
  <si>
    <t>CT_J-005</t>
  </si>
  <si>
    <t>PV-11 - PV-10</t>
  </si>
  <si>
    <t>CT_J-006</t>
  </si>
  <si>
    <t>CT_J-007</t>
  </si>
  <si>
    <t>PIE-19 - PV-11</t>
  </si>
  <si>
    <t>CT_J-008</t>
  </si>
  <si>
    <t>PIE-1 - PV-11</t>
  </si>
  <si>
    <t>CT_J-009</t>
  </si>
  <si>
    <t>PIE-10 - PV-4</t>
  </si>
  <si>
    <t>CT_J-010</t>
  </si>
  <si>
    <t>PIE-5 - PV-8</t>
  </si>
  <si>
    <t>CT_J-011</t>
  </si>
  <si>
    <t>PV-4 - PV-2</t>
  </si>
  <si>
    <t>CT_J-012</t>
  </si>
  <si>
    <t>PV-8 - PV-5</t>
  </si>
  <si>
    <t>RCE_-001</t>
  </si>
  <si>
    <t>PV-001 - PT-001</t>
  </si>
  <si>
    <t>Não informado</t>
  </si>
  <si>
    <t>VRT-C3-ALI-LINHA DE EIXO</t>
  </si>
  <si>
    <t>RCE_-002</t>
  </si>
  <si>
    <t>PV-002 - PV-001</t>
  </si>
  <si>
    <t>RCE_-003</t>
  </si>
  <si>
    <t>PV-003 - PV-002</t>
  </si>
  <si>
    <t>RCE_-004</t>
  </si>
  <si>
    <t>PV-007 - PV-003</t>
  </si>
  <si>
    <t>RCE_-005</t>
  </si>
  <si>
    <t>PV-008 - PV-007</t>
  </si>
  <si>
    <t>RCE_-006</t>
  </si>
  <si>
    <t>PV-010 - PV-008</t>
  </si>
  <si>
    <t>RCE_-007</t>
  </si>
  <si>
    <t>PV-011 - PV-010</t>
  </si>
  <si>
    <t>RCE_-008</t>
  </si>
  <si>
    <t>PV-012 - PV-011</t>
  </si>
  <si>
    <t>RCE_-009</t>
  </si>
  <si>
    <t>PV-013 - PV-012</t>
  </si>
  <si>
    <t>RCE_-010</t>
  </si>
  <si>
    <t>PV-015 - PV-013</t>
  </si>
  <si>
    <t>RCE_-011</t>
  </si>
  <si>
    <t>PV-004 - PV-003</t>
  </si>
  <si>
    <t>RCE_-012</t>
  </si>
  <si>
    <t>PV-006 - PV-004</t>
  </si>
  <si>
    <t>RCE_-013</t>
  </si>
  <si>
    <t>PV-005 - PV-004</t>
  </si>
  <si>
    <t>RCE_-014</t>
  </si>
  <si>
    <t>PV-009 - PV-008</t>
  </si>
  <si>
    <t>RCE_-015</t>
  </si>
  <si>
    <t>PV-014 - PV-013</t>
  </si>
  <si>
    <t>PV-43 - PV-30</t>
  </si>
  <si>
    <t>não iniciada</t>
  </si>
  <si>
    <t>PV-33 - PV-9</t>
  </si>
  <si>
    <t>PV-2 - PV-2</t>
  </si>
  <si>
    <t>PV-8 - PV-7</t>
  </si>
  <si>
    <t>PI-34 - PV-33</t>
  </si>
  <si>
    <t>CT_J-013</t>
  </si>
  <si>
    <t>PV-35 - PV-14</t>
  </si>
  <si>
    <t>CT_J-014</t>
  </si>
  <si>
    <t>PV-35 - PV-35</t>
  </si>
  <si>
    <t>CT_J-015</t>
  </si>
  <si>
    <t>PV-14 - PV-12</t>
  </si>
  <si>
    <t>CT_J-016</t>
  </si>
  <si>
    <t>PV-12 - PV-111</t>
  </si>
  <si>
    <t>CT_J-017</t>
  </si>
  <si>
    <t>PV-111 - PV-11</t>
  </si>
  <si>
    <t>CT_J-018</t>
  </si>
  <si>
    <t>CT_J-019</t>
  </si>
  <si>
    <t>CT_J-020</t>
  </si>
  <si>
    <t>PV-21 - PV-20</t>
  </si>
  <si>
    <t>CT_J-021</t>
  </si>
  <si>
    <t>PV-22 - PV-21</t>
  </si>
  <si>
    <t>CT_J-022</t>
  </si>
  <si>
    <t>CT_J-023</t>
  </si>
  <si>
    <t>CT_J-024</t>
  </si>
  <si>
    <t>PV-27 - PV-26</t>
  </si>
  <si>
    <t>CT_J-025</t>
  </si>
  <si>
    <t>PV-27 - PV-27</t>
  </si>
  <si>
    <t>CT_J-026</t>
  </si>
  <si>
    <t>PV-30 - PV-27</t>
  </si>
  <si>
    <t>CT_J-027</t>
  </si>
  <si>
    <t>PV-47 - PT-001</t>
  </si>
  <si>
    <t>CT_J-028</t>
  </si>
  <si>
    <t>PV-48 - PV-47</t>
  </si>
  <si>
    <t>CT_J-029</t>
  </si>
  <si>
    <t>PV-49 - PV-48</t>
  </si>
  <si>
    <t>CT_J-030</t>
  </si>
  <si>
    <t>PV-491 - PV-49</t>
  </si>
  <si>
    <t>CT_J-031</t>
  </si>
  <si>
    <t>CT_J-032</t>
  </si>
  <si>
    <t>CT_J-033</t>
  </si>
  <si>
    <t>CT_J-034</t>
  </si>
  <si>
    <t>PV-44 - PV-26</t>
  </si>
  <si>
    <t>CT_J-035</t>
  </si>
  <si>
    <t>PV-39 - PV-25</t>
  </si>
  <si>
    <t>CT_J-036</t>
  </si>
  <si>
    <t>PV-39 - PV-39</t>
  </si>
  <si>
    <t>CT_J-037</t>
  </si>
  <si>
    <t>PV-44 - PV-44</t>
  </si>
  <si>
    <t>CT_J-038</t>
  </si>
  <si>
    <t>PI-181 - PV-18</t>
  </si>
  <si>
    <t>CT_J-039</t>
  </si>
  <si>
    <t>PI-182 - PV-18</t>
  </si>
  <si>
    <t>CT_J-040</t>
  </si>
  <si>
    <t>PI-183 - PI-182</t>
  </si>
  <si>
    <t>CT_J-041</t>
  </si>
  <si>
    <t>PI-171 - PV-17</t>
  </si>
  <si>
    <t>CT_J-042</t>
  </si>
  <si>
    <t>PI-183 - PI-171</t>
  </si>
  <si>
    <t>CT_M-001</t>
  </si>
  <si>
    <t>PV-50 - PT-001</t>
  </si>
  <si>
    <t>CT_M-002</t>
  </si>
  <si>
    <t>PV-57 - PV-56</t>
  </si>
  <si>
    <t>CT_M-003</t>
  </si>
  <si>
    <t>PI-62 - PI-61</t>
  </si>
  <si>
    <t>CT_M-004</t>
  </si>
  <si>
    <t>PV-54 - PV-52</t>
  </si>
  <si>
    <t>CT_M-005</t>
  </si>
  <si>
    <t>PV-64 - PV-54</t>
  </si>
  <si>
    <t>CT_M-006</t>
  </si>
  <si>
    <t>PV-51 - PV-50</t>
  </si>
  <si>
    <t>CT_M-007</t>
  </si>
  <si>
    <t>PI-61 - PV-52</t>
  </si>
  <si>
    <t>CT_M-008</t>
  </si>
  <si>
    <t>PV-52 - PV-51</t>
  </si>
  <si>
    <t>CT_M-009</t>
  </si>
  <si>
    <t>PV-59 - PV-57</t>
  </si>
  <si>
    <t>CT_M-010</t>
  </si>
  <si>
    <t>PV-59 - PV-59</t>
  </si>
  <si>
    <t>CT_M-011</t>
  </si>
  <si>
    <t>PV-55 - PV-54</t>
  </si>
  <si>
    <t>CT_M-012</t>
  </si>
  <si>
    <t>PV-56 - PV-55</t>
  </si>
  <si>
    <t>CT_M-013</t>
  </si>
  <si>
    <t>PI-64 - PI-641</t>
  </si>
  <si>
    <t>CT_M-014</t>
  </si>
  <si>
    <t>PI-64 - PV-64</t>
  </si>
  <si>
    <t>PV-6 - PV-4</t>
  </si>
  <si>
    <t>PV-8 - PV-6</t>
  </si>
  <si>
    <t>PV-12 - PV-10</t>
  </si>
  <si>
    <t>PV-19 - PV-12</t>
  </si>
  <si>
    <t>PV-19 - PV-19</t>
  </si>
  <si>
    <t>PV-12 - PV-12</t>
  </si>
  <si>
    <t>PI-81 - PV-8</t>
  </si>
  <si>
    <t>PV-6 - PV-6</t>
  </si>
  <si>
    <t>PV-3 - PV-3</t>
  </si>
  <si>
    <t>PV-41 - PV-4</t>
  </si>
  <si>
    <t>PV-41 - PV-41</t>
  </si>
  <si>
    <t>PV-10 - PV-8</t>
  </si>
  <si>
    <t>PV-20 - PV-17</t>
  </si>
  <si>
    <t>PV-17 - PV-14</t>
  </si>
  <si>
    <t>PV-23 - PV-21</t>
  </si>
  <si>
    <t>PV-24 - PV-23</t>
  </si>
  <si>
    <t>PV-25 - PV-24</t>
  </si>
  <si>
    <t>PV-251 - PV-25</t>
  </si>
  <si>
    <t>PV-2 - PT-001</t>
  </si>
  <si>
    <t>PV-121 - PV-12</t>
  </si>
  <si>
    <t>PV-51 - PV-5</t>
  </si>
  <si>
    <t>PV-15 - PV-13</t>
  </si>
  <si>
    <t>PV-16 - PV-15</t>
  </si>
  <si>
    <t>PV-19 - PV-16</t>
  </si>
  <si>
    <t>PV-22 - PV-19</t>
  </si>
  <si>
    <t>PV-51 - PV-51</t>
  </si>
  <si>
    <t>PV-1 - PT-001</t>
  </si>
  <si>
    <t>PV-40 - PV-40</t>
  </si>
  <si>
    <t>PV-46 - PV-46</t>
  </si>
  <si>
    <t>PV-46 - PV-45</t>
  </si>
  <si>
    <t>PV-45 - PV-44</t>
  </si>
  <si>
    <t>PV-44 - PV-43</t>
  </si>
  <si>
    <t>PV-43 - PV-42</t>
  </si>
  <si>
    <t>PV-42 - PV-41</t>
  </si>
  <si>
    <t>PV-36 - PV-33</t>
  </si>
  <si>
    <t>PV-36 - PV-36</t>
  </si>
  <si>
    <t>PV-40 - PV-36</t>
  </si>
  <si>
    <t>PV-41 - PV-40</t>
  </si>
  <si>
    <t>PV-161 - PV-16</t>
  </si>
  <si>
    <t>PV-30 - PV-25</t>
  </si>
  <si>
    <t>PV-33 - PV-30</t>
  </si>
  <si>
    <t>PV-22 - PV-22</t>
  </si>
  <si>
    <t>CTS_-036</t>
  </si>
  <si>
    <t>PV-421 - PV-42</t>
  </si>
  <si>
    <t>CTS_-037</t>
  </si>
  <si>
    <t>PV-191 - PV-19</t>
  </si>
  <si>
    <t>CTS_-038</t>
  </si>
  <si>
    <t>PV-191 - PV-191</t>
  </si>
  <si>
    <t>CTS_-039</t>
  </si>
  <si>
    <t>CTS_-040</t>
  </si>
  <si>
    <t>PV-221 - PV-22</t>
  </si>
  <si>
    <t>CTS_-041</t>
  </si>
  <si>
    <t>PV-221 - PV-221</t>
  </si>
  <si>
    <t>CTS_-042</t>
  </si>
  <si>
    <t>CT_B-001</t>
  </si>
  <si>
    <t>CT_B-002</t>
  </si>
  <si>
    <t>CT_B-003</t>
  </si>
  <si>
    <t>PV-9 - PV-6</t>
  </si>
  <si>
    <t>CT_B-004</t>
  </si>
  <si>
    <t>PV-11 - PV-11</t>
  </si>
  <si>
    <t>CT_B-005</t>
  </si>
  <si>
    <t>PV-19 - PV-10</t>
  </si>
  <si>
    <t>CT_B-006</t>
  </si>
  <si>
    <t>PT-001 - PV-19</t>
  </si>
  <si>
    <t>CT_B-007</t>
  </si>
  <si>
    <t>PI-191 - PV-19</t>
  </si>
  <si>
    <t>CT_B-008</t>
  </si>
  <si>
    <t>PI-13 - PI-12</t>
  </si>
  <si>
    <t>CT_B-009</t>
  </si>
  <si>
    <t>PI-12 - PV-11</t>
  </si>
  <si>
    <t>CT_B-010</t>
  </si>
  <si>
    <t>PI-13 - PI-13</t>
  </si>
  <si>
    <t>CT_B-011</t>
  </si>
  <si>
    <t>PI-12 - PI-12</t>
  </si>
  <si>
    <t>CT_B-012</t>
  </si>
  <si>
    <t>CT_B-013</t>
  </si>
  <si>
    <t>CT_B-014</t>
  </si>
  <si>
    <t>PV-4 - PV-4</t>
  </si>
  <si>
    <t>CT_B-015</t>
  </si>
  <si>
    <t>PV-18 - PV-18</t>
  </si>
  <si>
    <t>CT_B-016</t>
  </si>
  <si>
    <t>CT_B-017</t>
  </si>
  <si>
    <t>CT_B-018</t>
  </si>
  <si>
    <t>PV-2 - PT-002</t>
  </si>
  <si>
    <t>CT_B-019</t>
  </si>
  <si>
    <t>CT_B-020</t>
  </si>
  <si>
    <t>PV-171 - PV-171</t>
  </si>
  <si>
    <t>CT_B-021</t>
  </si>
  <si>
    <t>PV-171 - PV-2</t>
  </si>
  <si>
    <t>CT_B-022</t>
  </si>
  <si>
    <t>PV-18 - PV-3</t>
  </si>
  <si>
    <t>CTS_-043</t>
  </si>
  <si>
    <t>PDF OS HDD 25/04/2026 - trecho PVE-01 a PV-05.1; PV-05.1 tratado como PV-51</t>
  </si>
  <si>
    <t>CTS_-044</t>
  </si>
  <si>
    <t>Extensão calculada em linha reta entre PV-5.9 e PV-51, pois não foi fornecida a geometria/traçado real da rede.</t>
  </si>
  <si>
    <t>RESUMO DA PLANILHA BASE</t>
  </si>
  <si>
    <t>Indicador</t>
  </si>
  <si>
    <t>Valor</t>
  </si>
  <si>
    <t>Total de obras</t>
  </si>
  <si>
    <t>Total de trechos</t>
  </si>
  <si>
    <t>Extensão total (m)</t>
  </si>
  <si>
    <t>Total MND (m)</t>
  </si>
  <si>
    <t>Total VCA (m)</t>
  </si>
  <si>
    <t>Total PV</t>
  </si>
  <si>
    <t>Total PI</t>
  </si>
  <si>
    <t>Maior profundidade</t>
  </si>
  <si>
    <t>Obras adicionadas via SHAPES.zip</t>
  </si>
  <si>
    <t>Pontos adicionados</t>
  </si>
  <si>
    <t>Trechos adicionados</t>
  </si>
  <si>
    <t>VALIDAÇÃO DA PLANILHA BASE DO MAPA</t>
  </si>
  <si>
    <t>Arquivo corrigido para padronizar obra_id nas abas OBRAS, PONTOS e TRECHOS.</t>
  </si>
  <si>
    <t>obra_id_original</t>
  </si>
  <si>
    <t>obra_id_padronizado</t>
  </si>
  <si>
    <t>qtd_pontos</t>
  </si>
  <si>
    <t>qtd_trechos</t>
  </si>
  <si>
    <t>OK</t>
  </si>
  <si>
    <t>PV-5.8</t>
  </si>
  <si>
    <t>PV-5.8 - PV-5.9</t>
  </si>
  <si>
    <t>PVE-01 - PV-5.9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</si>
</sst>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b/>
      <sz val="16"/>
      <color rgb="FFFFFFFF"/>
      <name val="Calibri"/>
    </font>
    <font>
      <b/>
      <sz val="13"/>
      <color rgb="FF0F2F6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</font>
    <font>
      <b/>
      <sz val="14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F2F6F"/>
      </patternFill>
    </fill>
    <fill>
      <patternFill patternType="solid">
        <fgColor rgb="FF1F4E78"/>
      </patternFill>
    </fill>
    <fill>
      <patternFill patternType="solid">
        <fgColor rgb="FFEAF2FF"/>
      </patternFill>
    </fill>
  </fills>
  <borders count="4">
    <border>
      <left/>
      <right/>
      <top/>
      <bottom/>
      <diagonal/>
    </border>
    <border>
      <left style="thin">
        <color rgb="FFD7E1F0"/>
      </left>
      <right style="thin">
        <color rgb="FFD7E1F0"/>
      </right>
      <top style="thin">
        <color rgb="FFD7E1F0"/>
      </top>
      <bottom style="thin">
        <color rgb="FFD7E1F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16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wrapText="1"/>
    </xf>
    <xf numFmtId="0" fontId="3" fillId="3" borderId="1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4" fontId="0" fillId="0" borderId="2" xfId="0" applyNumberFormat="1" applyBorder="1" applyAlignment="1">
      <alignment vertical="center"/>
    </xf>
    <xf numFmtId="0" fontId="4" fillId="3" borderId="1" xfId="0" applyFont="1" applyFill="1" applyBorder="1"/>
    <xf numFmtId="0" fontId="4" fillId="0" borderId="1" xfId="0" applyFont="1" applyBorder="1" applyAlignment="1">
      <alignment vertical="top"/>
    </xf>
    <xf numFmtId="0" fontId="4" fillId="0" borderId="0" xfId="0" applyFont="1" applyBorder="1"/>
    <xf numFmtId="0" fontId="6" fillId="0" borderId="0" xfId="0" applyFont="1" applyBorder="1"/>
    <xf numFmtId="0" fontId="5" fillId="4" borderId="0" xfId="0" applyFont="1" applyFill="1" applyBorder="1"/>
    <xf numFmtId="0" fontId="1" fillId="2" borderId="3" xfId="0" applyFont="1" applyFill="1"/>
    <xf numFmtId="0" fontId="0" fillId="0" borderId="3" xfId="0"/>
    <xf numFmtId="0" fontId="4" fillId="2" borderId="3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sqref="A1:H1"/>
    </sheetView>
  </sheetViews>
  <sheetFormatPr defaultRowHeight="14.4" x14ac:dyDescent="0.3"/>
  <cols>
    <col min="1" max="1" width="110" customWidth="1"/>
  </cols>
  <sheetData>
    <row r="1" spans="1:8" ht="21" customHeight="1" x14ac:dyDescent="0.4">
      <c r="A1" s="13" t="s">
        <v>0</v>
      </c>
      <c r="B1" s="14"/>
      <c r="C1" s="14"/>
      <c r="D1" s="14"/>
      <c r="E1" s="14"/>
      <c r="F1" s="14"/>
      <c r="G1" s="14"/>
      <c r="H1" s="14"/>
    </row>
    <row r="3" spans="1:8" ht="17.399999999999999" customHeight="1" x14ac:dyDescent="0.35">
      <c r="A3" s="1" t="s">
        <v>1</v>
      </c>
    </row>
    <row r="4" spans="1:8" x14ac:dyDescent="0.3">
      <c r="A4" s="2" t="s">
        <v>2</v>
      </c>
    </row>
    <row r="5" spans="1:8" ht="28.8" customHeight="1" x14ac:dyDescent="0.3">
      <c r="A5" s="2" t="s">
        <v>3</v>
      </c>
    </row>
    <row r="6" spans="1:8" ht="28.8" customHeight="1" x14ac:dyDescent="0.3">
      <c r="A6" s="2" t="s">
        <v>4</v>
      </c>
    </row>
    <row r="7" spans="1:8" x14ac:dyDescent="0.3">
      <c r="A7" s="2" t="s">
        <v>5</v>
      </c>
    </row>
    <row r="8" spans="1:8" x14ac:dyDescent="0.3">
      <c r="A8" s="2" t="s">
        <v>6</v>
      </c>
    </row>
    <row r="9" spans="1:8" x14ac:dyDescent="0.3">
      <c r="A9" s="2" t="s">
        <v>7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workbookViewId="0"/>
  </sheetViews>
  <sheetFormatPr defaultRowHeight="14.4" x14ac:dyDescent="0.3"/>
  <cols>
    <col min="1" max="1" width="22" customWidth="1"/>
    <col min="2" max="2" width="38" customWidth="1"/>
    <col min="3" max="3" width="12" customWidth="1"/>
    <col min="4" max="4" width="75" customWidth="1"/>
    <col min="5" max="5" width="12" customWidth="1"/>
  </cols>
  <sheetData>
    <row r="1" spans="1:5" x14ac:dyDescent="0.3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</row>
    <row r="2" spans="1:5" x14ac:dyDescent="0.3">
      <c r="A2" s="6" t="s">
        <v>13</v>
      </c>
      <c r="B2" s="6" t="s">
        <v>14</v>
      </c>
      <c r="C2" s="6" t="s">
        <v>15</v>
      </c>
      <c r="D2" s="6" t="s">
        <v>16</v>
      </c>
      <c r="E2" s="6" t="s">
        <v>17</v>
      </c>
    </row>
    <row r="3" spans="1:5" x14ac:dyDescent="0.3">
      <c r="A3" s="6" t="s">
        <v>18</v>
      </c>
      <c r="B3" s="6" t="s">
        <v>19</v>
      </c>
      <c r="C3" s="6" t="s">
        <v>20</v>
      </c>
      <c r="D3" s="6" t="s">
        <v>16</v>
      </c>
      <c r="E3" s="6" t="s">
        <v>17</v>
      </c>
    </row>
    <row r="4" spans="1:5" x14ac:dyDescent="0.3">
      <c r="A4" s="6" t="s">
        <v>21</v>
      </c>
      <c r="B4" s="6" t="s">
        <v>22</v>
      </c>
      <c r="C4" s="6" t="s">
        <v>15</v>
      </c>
      <c r="D4" s="6" t="s">
        <v>23</v>
      </c>
      <c r="E4" s="6" t="s">
        <v>17</v>
      </c>
    </row>
    <row r="5" spans="1:5" x14ac:dyDescent="0.3">
      <c r="A5" s="6" t="s">
        <v>24</v>
      </c>
      <c r="B5" s="6" t="s">
        <v>25</v>
      </c>
      <c r="C5" s="6" t="s">
        <v>15</v>
      </c>
      <c r="D5" s="6" t="s">
        <v>26</v>
      </c>
      <c r="E5" s="6" t="s">
        <v>17</v>
      </c>
    </row>
    <row r="6" spans="1:5" x14ac:dyDescent="0.3">
      <c r="A6" s="6" t="s">
        <v>27</v>
      </c>
      <c r="B6" s="6" t="s">
        <v>28</v>
      </c>
      <c r="C6" s="6" t="s">
        <v>15</v>
      </c>
      <c r="D6" s="6" t="s">
        <v>29</v>
      </c>
      <c r="E6" s="6" t="s">
        <v>17</v>
      </c>
    </row>
    <row r="7" spans="1:5" x14ac:dyDescent="0.3">
      <c r="A7" s="6" t="s">
        <v>30</v>
      </c>
      <c r="B7" s="6" t="s">
        <v>31</v>
      </c>
      <c r="C7" s="6" t="s">
        <v>20</v>
      </c>
      <c r="D7" s="6" t="s">
        <v>29</v>
      </c>
      <c r="E7" s="6" t="s">
        <v>17</v>
      </c>
    </row>
    <row r="8" spans="1:5" x14ac:dyDescent="0.3">
      <c r="A8" s="6" t="s">
        <v>32</v>
      </c>
      <c r="B8" s="6" t="s">
        <v>33</v>
      </c>
      <c r="C8" s="6" t="s">
        <v>15</v>
      </c>
      <c r="D8" s="6" t="s">
        <v>29</v>
      </c>
      <c r="E8" s="6" t="s">
        <v>17</v>
      </c>
    </row>
    <row r="9" spans="1:5" x14ac:dyDescent="0.3">
      <c r="A9" s="6" t="s">
        <v>34</v>
      </c>
      <c r="B9" s="6" t="s">
        <v>35</v>
      </c>
      <c r="C9" s="6" t="s">
        <v>15</v>
      </c>
      <c r="D9" s="6" t="s">
        <v>36</v>
      </c>
      <c r="E9" s="6" t="s">
        <v>17</v>
      </c>
    </row>
    <row r="10" spans="1:5" x14ac:dyDescent="0.3">
      <c r="A10" s="6" t="s">
        <v>37</v>
      </c>
      <c r="B10" s="6" t="s">
        <v>38</v>
      </c>
      <c r="C10" s="6" t="s">
        <v>20</v>
      </c>
      <c r="D10" s="6" t="s">
        <v>16</v>
      </c>
      <c r="E10" s="6" t="s">
        <v>17</v>
      </c>
    </row>
    <row r="11" spans="1:5" x14ac:dyDescent="0.3">
      <c r="A11" s="6" t="s">
        <v>39</v>
      </c>
      <c r="B11" s="6" t="s">
        <v>40</v>
      </c>
      <c r="C11" s="6" t="s">
        <v>15</v>
      </c>
      <c r="D11" s="6" t="s">
        <v>41</v>
      </c>
      <c r="E11" s="6" t="s">
        <v>17</v>
      </c>
    </row>
    <row r="12" spans="1:5" x14ac:dyDescent="0.3">
      <c r="A12" s="6" t="s">
        <v>42</v>
      </c>
      <c r="B12" s="6" t="s">
        <v>43</v>
      </c>
      <c r="C12" s="6" t="s">
        <v>15</v>
      </c>
      <c r="D12" s="6" t="s">
        <v>44</v>
      </c>
      <c r="E12" s="6" t="s">
        <v>17</v>
      </c>
    </row>
    <row r="13" spans="1:5" x14ac:dyDescent="0.3">
      <c r="A13" s="6" t="s">
        <v>45</v>
      </c>
      <c r="B13" s="6" t="s">
        <v>46</v>
      </c>
      <c r="C13" s="6" t="s">
        <v>15</v>
      </c>
      <c r="D13" s="6" t="s">
        <v>44</v>
      </c>
      <c r="E13" s="6" t="s">
        <v>17</v>
      </c>
    </row>
    <row r="14" spans="1:5" x14ac:dyDescent="0.3">
      <c r="A14" s="6" t="s">
        <v>47</v>
      </c>
      <c r="B14" s="6" t="s">
        <v>48</v>
      </c>
      <c r="C14" s="6" t="s">
        <v>20</v>
      </c>
      <c r="D14" s="6" t="s">
        <v>44</v>
      </c>
      <c r="E14" s="6" t="s">
        <v>17</v>
      </c>
    </row>
    <row r="15" spans="1:5" x14ac:dyDescent="0.3">
      <c r="A15" s="6" t="s">
        <v>49</v>
      </c>
      <c r="B15" s="6" t="s">
        <v>50</v>
      </c>
      <c r="C15" s="6" t="s">
        <v>20</v>
      </c>
      <c r="D15" s="6" t="s">
        <v>44</v>
      </c>
      <c r="E15" s="6" t="s">
        <v>17</v>
      </c>
    </row>
    <row r="16" spans="1:5" x14ac:dyDescent="0.3">
      <c r="A16" s="6" t="s">
        <v>51</v>
      </c>
      <c r="B16" s="6" t="s">
        <v>52</v>
      </c>
      <c r="C16" s="6" t="s">
        <v>15</v>
      </c>
      <c r="D16" s="6" t="s">
        <v>44</v>
      </c>
      <c r="E16" s="6" t="s">
        <v>17</v>
      </c>
    </row>
    <row r="17" spans="1:5" x14ac:dyDescent="0.3">
      <c r="A17" s="6" t="s">
        <v>53</v>
      </c>
      <c r="B17" s="6" t="s">
        <v>54</v>
      </c>
      <c r="C17" s="6" t="s">
        <v>15</v>
      </c>
      <c r="D17" s="6" t="s">
        <v>55</v>
      </c>
      <c r="E17" s="6" t="s">
        <v>56</v>
      </c>
    </row>
    <row r="18" spans="1:5" x14ac:dyDescent="0.3">
      <c r="A18" s="6" t="s">
        <v>57</v>
      </c>
      <c r="B18" s="6" t="s">
        <v>58</v>
      </c>
      <c r="C18" s="6" t="s">
        <v>15</v>
      </c>
      <c r="D18" s="6" t="s">
        <v>44</v>
      </c>
      <c r="E18" s="6" t="s">
        <v>17</v>
      </c>
    </row>
    <row r="19" spans="1:5" x14ac:dyDescent="0.3">
      <c r="A19" s="6" t="s">
        <v>59</v>
      </c>
      <c r="B19" s="6" t="s">
        <v>60</v>
      </c>
      <c r="C19" s="6" t="s">
        <v>15</v>
      </c>
      <c r="D19" s="6" t="s">
        <v>44</v>
      </c>
      <c r="E19" s="6" t="s">
        <v>17</v>
      </c>
    </row>
    <row r="20" spans="1:5" x14ac:dyDescent="0.3">
      <c r="A20" s="6" t="s">
        <v>61</v>
      </c>
      <c r="B20" s="6" t="s">
        <v>62</v>
      </c>
      <c r="C20" s="6" t="s">
        <v>15</v>
      </c>
      <c r="D20" s="6" t="s">
        <v>44</v>
      </c>
      <c r="E20" s="6" t="s">
        <v>17</v>
      </c>
    </row>
    <row r="21" spans="1:5" x14ac:dyDescent="0.3">
      <c r="A21" s="6" t="s">
        <v>63</v>
      </c>
      <c r="B21" s="6" t="s">
        <v>64</v>
      </c>
      <c r="C21" s="6" t="s">
        <v>15</v>
      </c>
      <c r="D21" s="6" t="s">
        <v>44</v>
      </c>
      <c r="E21" s="6" t="s">
        <v>17</v>
      </c>
    </row>
  </sheetData>
  <dataValidations count="1">
    <dataValidation type="list" allowBlank="1" sqref="E2:E2000" xr:uid="{00000000-0002-0000-0100-000000000000}">
      <formula1>"SIM,NÃO"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52"/>
  <sheetViews>
    <sheetView topLeftCell="A334" workbookViewId="0">
      <selection activeCell="D365" sqref="D365"/>
    </sheetView>
  </sheetViews>
  <sheetFormatPr defaultRowHeight="14.4" x14ac:dyDescent="0.3"/>
  <cols>
    <col min="1" max="1" width="31.88671875" customWidth="1"/>
    <col min="2" max="2" width="12" customWidth="1"/>
    <col min="3" max="3" width="16" customWidth="1"/>
    <col min="4" max="4" width="20" customWidth="1"/>
    <col min="5" max="6" width="16" customWidth="1"/>
    <col min="7" max="10" width="14" customWidth="1"/>
    <col min="11" max="11" width="16" customWidth="1"/>
    <col min="12" max="12" width="46" customWidth="1"/>
  </cols>
  <sheetData>
    <row r="1" spans="1:12" x14ac:dyDescent="0.3">
      <c r="A1" s="5" t="s">
        <v>8</v>
      </c>
      <c r="B1" s="5" t="s">
        <v>65</v>
      </c>
      <c r="C1" s="5" t="s">
        <v>66</v>
      </c>
      <c r="D1" s="5" t="s">
        <v>67</v>
      </c>
      <c r="E1" s="5" t="s">
        <v>68</v>
      </c>
      <c r="F1" s="5" t="s">
        <v>69</v>
      </c>
      <c r="G1" s="5" t="s">
        <v>70</v>
      </c>
      <c r="H1" s="5" t="s">
        <v>71</v>
      </c>
      <c r="I1" s="5" t="s">
        <v>72</v>
      </c>
      <c r="J1" s="5" t="s">
        <v>73</v>
      </c>
      <c r="K1" s="5" t="s">
        <v>74</v>
      </c>
      <c r="L1" s="5" t="s">
        <v>75</v>
      </c>
    </row>
    <row r="2" spans="1:12" x14ac:dyDescent="0.3">
      <c r="A2" s="6" t="s">
        <v>13</v>
      </c>
      <c r="B2" s="6" t="s">
        <v>76</v>
      </c>
      <c r="C2" s="6" t="s">
        <v>77</v>
      </c>
      <c r="D2" s="6" t="s">
        <v>78</v>
      </c>
      <c r="E2" s="7">
        <v>7398841.9869999997</v>
      </c>
      <c r="F2" s="7">
        <v>355185.739</v>
      </c>
      <c r="G2" s="7">
        <v>-23.514194</v>
      </c>
      <c r="H2" s="7">
        <v>-46.418407199999997</v>
      </c>
      <c r="I2" s="7">
        <v>758.822</v>
      </c>
      <c r="J2" s="7">
        <v>755.72199999999998</v>
      </c>
      <c r="K2" s="7">
        <v>3.1</v>
      </c>
      <c r="L2" s="6" t="s">
        <v>78</v>
      </c>
    </row>
    <row r="3" spans="1:12" x14ac:dyDescent="0.3">
      <c r="A3" s="6" t="s">
        <v>13</v>
      </c>
      <c r="B3" s="6" t="s">
        <v>76</v>
      </c>
      <c r="C3" s="6" t="s">
        <v>79</v>
      </c>
      <c r="D3" s="6" t="s">
        <v>80</v>
      </c>
      <c r="E3" s="7">
        <v>7398788.5810000002</v>
      </c>
      <c r="F3" s="7">
        <v>355183.33</v>
      </c>
      <c r="G3" s="7">
        <v>-23.514676000000001</v>
      </c>
      <c r="H3" s="7">
        <v>-46.418435899999999</v>
      </c>
      <c r="I3" s="7">
        <v>759.25699999999995</v>
      </c>
      <c r="J3" s="7">
        <v>756.58699999999999</v>
      </c>
      <c r="K3" s="7">
        <v>2.67</v>
      </c>
      <c r="L3" s="6" t="s">
        <v>80</v>
      </c>
    </row>
    <row r="4" spans="1:12" x14ac:dyDescent="0.3">
      <c r="A4" s="6" t="s">
        <v>13</v>
      </c>
      <c r="B4" s="6" t="s">
        <v>76</v>
      </c>
      <c r="C4" s="6" t="s">
        <v>81</v>
      </c>
      <c r="D4" s="6" t="s">
        <v>82</v>
      </c>
      <c r="E4" s="7">
        <v>7398694.9950000001</v>
      </c>
      <c r="F4" s="7">
        <v>355201.80499999999</v>
      </c>
      <c r="G4" s="7">
        <v>-23.515522799999999</v>
      </c>
      <c r="H4" s="7">
        <v>-46.418264100000002</v>
      </c>
      <c r="I4" s="7">
        <v>759.91399999999999</v>
      </c>
      <c r="J4" s="7">
        <v>757.08399999999995</v>
      </c>
      <c r="K4" s="7">
        <v>2.83</v>
      </c>
      <c r="L4" s="6" t="s">
        <v>82</v>
      </c>
    </row>
    <row r="5" spans="1:12" x14ac:dyDescent="0.3">
      <c r="A5" s="6" t="s">
        <v>13</v>
      </c>
      <c r="B5" s="6" t="s">
        <v>76</v>
      </c>
      <c r="C5" s="6" t="s">
        <v>83</v>
      </c>
      <c r="D5" s="6" t="s">
        <v>84</v>
      </c>
      <c r="E5" s="7">
        <v>7398601.3360000001</v>
      </c>
      <c r="F5" s="7">
        <v>355231.60800000001</v>
      </c>
      <c r="G5" s="7">
        <v>-23.516371199999998</v>
      </c>
      <c r="H5" s="7">
        <v>-46.417981300000001</v>
      </c>
      <c r="I5" s="7">
        <v>760.64200000000005</v>
      </c>
      <c r="J5" s="7">
        <v>757.53200000000004</v>
      </c>
      <c r="K5" s="7">
        <v>3.11</v>
      </c>
      <c r="L5" s="6" t="s">
        <v>84</v>
      </c>
    </row>
    <row r="6" spans="1:12" x14ac:dyDescent="0.3">
      <c r="A6" s="6" t="s">
        <v>13</v>
      </c>
      <c r="B6" s="6" t="s">
        <v>76</v>
      </c>
      <c r="C6" s="6" t="s">
        <v>85</v>
      </c>
      <c r="D6" s="6" t="s">
        <v>86</v>
      </c>
      <c r="E6" s="7">
        <v>7398533.8949999996</v>
      </c>
      <c r="F6" s="7">
        <v>355262.821</v>
      </c>
      <c r="G6" s="7">
        <v>-23.516983</v>
      </c>
      <c r="H6" s="7">
        <v>-46.4176821</v>
      </c>
      <c r="I6" s="7">
        <v>761.26199999999994</v>
      </c>
      <c r="J6" s="7">
        <v>758.26199999999994</v>
      </c>
      <c r="K6" s="6">
        <v>3</v>
      </c>
      <c r="L6" s="6" t="s">
        <v>86</v>
      </c>
    </row>
    <row r="7" spans="1:12" x14ac:dyDescent="0.3">
      <c r="A7" s="6" t="s">
        <v>13</v>
      </c>
      <c r="B7" s="6" t="s">
        <v>76</v>
      </c>
      <c r="C7" s="6" t="s">
        <v>87</v>
      </c>
      <c r="D7" s="6" t="s">
        <v>88</v>
      </c>
      <c r="E7" s="7">
        <v>7398505.0710000005</v>
      </c>
      <c r="F7" s="7">
        <v>355281.52799999999</v>
      </c>
      <c r="G7" s="7">
        <v>-23.517244900000001</v>
      </c>
      <c r="H7" s="7">
        <v>-46.417501700000003</v>
      </c>
      <c r="I7" s="7">
        <v>761.505</v>
      </c>
      <c r="J7" s="7">
        <v>758.58500000000004</v>
      </c>
      <c r="K7" s="7">
        <v>2.92</v>
      </c>
      <c r="L7" s="6" t="s">
        <v>88</v>
      </c>
    </row>
    <row r="8" spans="1:12" x14ac:dyDescent="0.3">
      <c r="A8" s="6" t="s">
        <v>13</v>
      </c>
      <c r="B8" s="6" t="s">
        <v>76</v>
      </c>
      <c r="C8" s="6" t="s">
        <v>89</v>
      </c>
      <c r="D8" s="6" t="s">
        <v>90</v>
      </c>
      <c r="E8" s="7">
        <v>7398475.7589999996</v>
      </c>
      <c r="F8" s="7">
        <v>355298.23499999999</v>
      </c>
      <c r="G8" s="7">
        <v>-23.5175111</v>
      </c>
      <c r="H8" s="7">
        <v>-46.417341</v>
      </c>
      <c r="I8" s="7">
        <v>761.81399999999996</v>
      </c>
      <c r="J8" s="7">
        <v>758.88400000000001</v>
      </c>
      <c r="K8" s="7">
        <v>2.93</v>
      </c>
      <c r="L8" s="6" t="s">
        <v>90</v>
      </c>
    </row>
    <row r="9" spans="1:12" x14ac:dyDescent="0.3">
      <c r="A9" s="6" t="s">
        <v>13</v>
      </c>
      <c r="B9" s="6" t="s">
        <v>76</v>
      </c>
      <c r="C9" s="6" t="s">
        <v>91</v>
      </c>
      <c r="D9" s="6" t="s">
        <v>92</v>
      </c>
      <c r="E9" s="7">
        <v>7398448.0130000003</v>
      </c>
      <c r="F9" s="7">
        <v>355313.91499999998</v>
      </c>
      <c r="G9" s="7">
        <v>-23.517762999999999</v>
      </c>
      <c r="H9" s="7">
        <v>-46.417190099999999</v>
      </c>
      <c r="I9" s="7">
        <v>762.26199999999994</v>
      </c>
      <c r="J9" s="7">
        <v>759.36199999999997</v>
      </c>
      <c r="K9" s="7">
        <v>2.9</v>
      </c>
      <c r="L9" s="6" t="s">
        <v>92</v>
      </c>
    </row>
    <row r="10" spans="1:12" x14ac:dyDescent="0.3">
      <c r="A10" s="6" t="s">
        <v>13</v>
      </c>
      <c r="B10" s="6" t="s">
        <v>76</v>
      </c>
      <c r="C10" s="6" t="s">
        <v>93</v>
      </c>
      <c r="D10" s="6" t="s">
        <v>94</v>
      </c>
      <c r="E10" s="7">
        <v>7398382.8250000002</v>
      </c>
      <c r="F10" s="7">
        <v>355342.75799999997</v>
      </c>
      <c r="G10" s="7">
        <v>-23.518354299999999</v>
      </c>
      <c r="H10" s="7">
        <v>-46.416913999999998</v>
      </c>
      <c r="I10" s="7">
        <v>762.98699999999997</v>
      </c>
      <c r="J10" s="7">
        <v>759.76700000000005</v>
      </c>
      <c r="K10" s="7">
        <v>3.22</v>
      </c>
      <c r="L10" s="6" t="s">
        <v>94</v>
      </c>
    </row>
    <row r="11" spans="1:12" x14ac:dyDescent="0.3">
      <c r="A11" s="6" t="s">
        <v>13</v>
      </c>
      <c r="B11" s="6" t="s">
        <v>76</v>
      </c>
      <c r="C11" s="6" t="s">
        <v>95</v>
      </c>
      <c r="D11" s="6" t="s">
        <v>96</v>
      </c>
      <c r="E11" s="7">
        <v>7398319.0590000004</v>
      </c>
      <c r="F11" s="7">
        <v>355364.81800000003</v>
      </c>
      <c r="G11" s="7">
        <v>-23.518932</v>
      </c>
      <c r="H11" s="7">
        <v>-46.416704099999997</v>
      </c>
      <c r="I11" s="7">
        <v>764.20699999999999</v>
      </c>
      <c r="J11" s="7">
        <v>760.48699999999997</v>
      </c>
      <c r="K11" s="7">
        <v>3.72</v>
      </c>
      <c r="L11" s="6" t="s">
        <v>96</v>
      </c>
    </row>
    <row r="12" spans="1:12" x14ac:dyDescent="0.3">
      <c r="A12" s="6" t="s">
        <v>13</v>
      </c>
      <c r="B12" s="6" t="s">
        <v>76</v>
      </c>
      <c r="C12" s="6" t="s">
        <v>97</v>
      </c>
      <c r="D12" s="6" t="s">
        <v>98</v>
      </c>
      <c r="E12" s="7">
        <v>7398285.6270000003</v>
      </c>
      <c r="F12" s="7">
        <v>355384.82799999998</v>
      </c>
      <c r="G12" s="7">
        <v>-23.519235699999999</v>
      </c>
      <c r="H12" s="7">
        <v>-46.416511399999997</v>
      </c>
      <c r="I12" s="7">
        <v>764.52599999999995</v>
      </c>
      <c r="J12" s="7">
        <v>760.96600000000001</v>
      </c>
      <c r="K12" s="7">
        <v>3.56</v>
      </c>
      <c r="L12" s="6" t="s">
        <v>98</v>
      </c>
    </row>
    <row r="13" spans="1:12" x14ac:dyDescent="0.3">
      <c r="A13" s="6" t="s">
        <v>13</v>
      </c>
      <c r="B13" s="6" t="s">
        <v>76</v>
      </c>
      <c r="C13" s="6" t="s">
        <v>99</v>
      </c>
      <c r="D13" s="6" t="s">
        <v>100</v>
      </c>
      <c r="E13" s="7">
        <v>7398179.716</v>
      </c>
      <c r="F13" s="7">
        <v>355421.87099999998</v>
      </c>
      <c r="G13" s="7">
        <v>-23.520195399999999</v>
      </c>
      <c r="H13" s="7">
        <v>-46.416158799999998</v>
      </c>
      <c r="I13" s="7">
        <v>767.16399999999999</v>
      </c>
      <c r="J13" s="7">
        <v>762.50400000000002</v>
      </c>
      <c r="K13" s="7">
        <v>4.66</v>
      </c>
      <c r="L13" s="6" t="s">
        <v>100</v>
      </c>
    </row>
    <row r="14" spans="1:12" x14ac:dyDescent="0.3">
      <c r="A14" s="6" t="s">
        <v>13</v>
      </c>
      <c r="B14" s="6" t="s">
        <v>76</v>
      </c>
      <c r="C14" s="6" t="s">
        <v>101</v>
      </c>
      <c r="D14" s="6" t="s">
        <v>102</v>
      </c>
      <c r="E14" s="7">
        <v>7398045.1869999999</v>
      </c>
      <c r="F14" s="7">
        <v>355421.29300000001</v>
      </c>
      <c r="G14" s="7">
        <v>-23.521410199999998</v>
      </c>
      <c r="H14" s="7">
        <v>-46.416177500000003</v>
      </c>
      <c r="I14" s="7">
        <v>770.85500000000002</v>
      </c>
      <c r="J14" s="7">
        <v>766.78499999999997</v>
      </c>
      <c r="K14" s="7">
        <v>4.07</v>
      </c>
      <c r="L14" s="6" t="s">
        <v>102</v>
      </c>
    </row>
    <row r="15" spans="1:12" x14ac:dyDescent="0.3">
      <c r="A15" s="6" t="s">
        <v>13</v>
      </c>
      <c r="B15" s="6" t="s">
        <v>76</v>
      </c>
      <c r="C15" s="6" t="s">
        <v>103</v>
      </c>
      <c r="D15" s="6" t="s">
        <v>104</v>
      </c>
      <c r="E15" s="7">
        <v>7397930.0120000001</v>
      </c>
      <c r="F15" s="7">
        <v>355414.68</v>
      </c>
      <c r="G15" s="7">
        <v>-23.522449600000002</v>
      </c>
      <c r="H15" s="7">
        <v>-46.416253400000002</v>
      </c>
      <c r="I15" s="7">
        <v>769.91099999999994</v>
      </c>
      <c r="J15" s="7">
        <v>767.76099999999997</v>
      </c>
      <c r="K15" s="7">
        <v>2.15</v>
      </c>
      <c r="L15" s="6" t="s">
        <v>104</v>
      </c>
    </row>
    <row r="16" spans="1:12" x14ac:dyDescent="0.3">
      <c r="A16" s="6" t="s">
        <v>13</v>
      </c>
      <c r="B16" s="6" t="s">
        <v>76</v>
      </c>
      <c r="C16" s="6" t="s">
        <v>105</v>
      </c>
      <c r="D16" s="6" t="s">
        <v>106</v>
      </c>
      <c r="E16" s="7">
        <v>7397926.8159999996</v>
      </c>
      <c r="F16" s="7">
        <v>355414.25599999999</v>
      </c>
      <c r="G16" s="7">
        <v>-23.522478400000001</v>
      </c>
      <c r="H16" s="7">
        <v>-46.416257899999998</v>
      </c>
      <c r="I16" s="7">
        <v>769.899</v>
      </c>
      <c r="J16" s="7">
        <v>768.29899999999998</v>
      </c>
      <c r="K16" s="7">
        <v>1.6</v>
      </c>
      <c r="L16" s="6" t="s">
        <v>106</v>
      </c>
    </row>
    <row r="17" spans="1:12" x14ac:dyDescent="0.3">
      <c r="A17" s="6" t="s">
        <v>13</v>
      </c>
      <c r="B17" s="6" t="s">
        <v>76</v>
      </c>
      <c r="C17" s="6" t="s">
        <v>107</v>
      </c>
      <c r="D17" s="6" t="s">
        <v>108</v>
      </c>
      <c r="E17" s="7">
        <v>7398000.909</v>
      </c>
      <c r="F17" s="7">
        <v>355416.88</v>
      </c>
      <c r="G17" s="7">
        <v>-23.521809600000001</v>
      </c>
      <c r="H17" s="7">
        <v>-46.416224999999997</v>
      </c>
      <c r="I17" s="7">
        <v>770.75400000000002</v>
      </c>
      <c r="J17" s="7">
        <v>768.71400000000006</v>
      </c>
      <c r="K17" s="7">
        <v>2.04</v>
      </c>
      <c r="L17" s="6" t="s">
        <v>108</v>
      </c>
    </row>
    <row r="18" spans="1:12" x14ac:dyDescent="0.3">
      <c r="A18" s="6" t="s">
        <v>13</v>
      </c>
      <c r="B18" s="6" t="s">
        <v>76</v>
      </c>
      <c r="C18" s="6" t="s">
        <v>109</v>
      </c>
      <c r="D18" s="6" t="s">
        <v>110</v>
      </c>
      <c r="E18" s="7">
        <v>7398840.8569999998</v>
      </c>
      <c r="F18" s="7">
        <v>355206.223</v>
      </c>
      <c r="G18" s="7">
        <v>-23.514206000000001</v>
      </c>
      <c r="H18" s="7">
        <v>-46.418206699999999</v>
      </c>
      <c r="I18" s="7">
        <v>759.03200000000004</v>
      </c>
      <c r="J18" s="7">
        <v>755.71199999999999</v>
      </c>
      <c r="K18" s="7">
        <v>3.32</v>
      </c>
      <c r="L18" s="6" t="s">
        <v>110</v>
      </c>
    </row>
    <row r="19" spans="1:12" x14ac:dyDescent="0.3">
      <c r="A19" s="6" t="s">
        <v>13</v>
      </c>
      <c r="B19" s="6" t="s">
        <v>76</v>
      </c>
      <c r="C19" s="6" t="s">
        <v>111</v>
      </c>
      <c r="D19" s="6" t="s">
        <v>112</v>
      </c>
      <c r="E19" s="7">
        <v>7398747.9989999998</v>
      </c>
      <c r="F19" s="7">
        <v>355190.98599999998</v>
      </c>
      <c r="G19" s="7">
        <v>-23.515043200000001</v>
      </c>
      <c r="H19" s="7">
        <v>-46.4183649</v>
      </c>
      <c r="I19" s="7">
        <v>759.57799999999997</v>
      </c>
      <c r="J19" s="7">
        <v>756.73800000000006</v>
      </c>
      <c r="K19" s="7">
        <v>2.84</v>
      </c>
      <c r="L19" s="6" t="s">
        <v>112</v>
      </c>
    </row>
    <row r="20" spans="1:12" x14ac:dyDescent="0.3">
      <c r="A20" s="6" t="s">
        <v>13</v>
      </c>
      <c r="B20" s="6" t="s">
        <v>76</v>
      </c>
      <c r="C20" s="6" t="s">
        <v>113</v>
      </c>
      <c r="D20" s="6" t="s">
        <v>114</v>
      </c>
      <c r="E20" s="7">
        <v>7398621.1380000003</v>
      </c>
      <c r="F20" s="7">
        <v>355224.76799999998</v>
      </c>
      <c r="G20" s="7">
        <v>-23.516191800000001</v>
      </c>
      <c r="H20" s="7">
        <v>-46.4180463</v>
      </c>
      <c r="I20" s="7">
        <v>760.53700000000003</v>
      </c>
      <c r="J20" s="7">
        <v>757.52700000000004</v>
      </c>
      <c r="K20" s="7">
        <v>3.01</v>
      </c>
      <c r="L20" s="6" t="s">
        <v>114</v>
      </c>
    </row>
    <row r="21" spans="1:12" x14ac:dyDescent="0.3">
      <c r="A21" s="6" t="s">
        <v>13</v>
      </c>
      <c r="B21" s="6" t="s">
        <v>76</v>
      </c>
      <c r="C21" s="6" t="s">
        <v>115</v>
      </c>
      <c r="D21" s="6" t="s">
        <v>116</v>
      </c>
      <c r="E21" s="7">
        <v>7398352.3289999999</v>
      </c>
      <c r="F21" s="7">
        <v>355353.99400000001</v>
      </c>
      <c r="G21" s="7">
        <v>-23.518630600000002</v>
      </c>
      <c r="H21" s="7">
        <v>-46.416806899999997</v>
      </c>
      <c r="I21" s="7">
        <v>763.63599999999997</v>
      </c>
      <c r="J21" s="7">
        <v>760.346</v>
      </c>
      <c r="K21" s="7">
        <v>3.29</v>
      </c>
      <c r="L21" s="6" t="s">
        <v>116</v>
      </c>
    </row>
    <row r="22" spans="1:12" x14ac:dyDescent="0.3">
      <c r="A22" s="6" t="s">
        <v>13</v>
      </c>
      <c r="B22" s="6" t="s">
        <v>76</v>
      </c>
      <c r="C22" s="6" t="s">
        <v>117</v>
      </c>
      <c r="D22" s="6" t="s">
        <v>118</v>
      </c>
      <c r="E22" s="7">
        <v>7398249.977</v>
      </c>
      <c r="F22" s="7">
        <v>355402.61800000002</v>
      </c>
      <c r="G22" s="7">
        <v>-23.5195592</v>
      </c>
      <c r="H22" s="7">
        <v>-46.416340599999998</v>
      </c>
      <c r="I22" s="7">
        <v>765.43299999999999</v>
      </c>
      <c r="J22" s="7">
        <v>761.65300000000002</v>
      </c>
      <c r="K22" s="7">
        <v>3.78</v>
      </c>
      <c r="L22" s="6" t="s">
        <v>118</v>
      </c>
    </row>
    <row r="23" spans="1:12" x14ac:dyDescent="0.3">
      <c r="A23" s="6" t="s">
        <v>13</v>
      </c>
      <c r="B23" s="6" t="s">
        <v>76</v>
      </c>
      <c r="C23" s="6" t="s">
        <v>119</v>
      </c>
      <c r="D23" s="6" t="s">
        <v>120</v>
      </c>
      <c r="E23" s="7">
        <v>7398119.0520000001</v>
      </c>
      <c r="F23" s="7">
        <v>355423.02399999998</v>
      </c>
      <c r="G23" s="7">
        <v>-23.520743299999999</v>
      </c>
      <c r="H23" s="7">
        <v>-46.416153399999999</v>
      </c>
      <c r="I23" s="7">
        <v>769.56200000000001</v>
      </c>
      <c r="J23" s="7">
        <v>765.43200000000002</v>
      </c>
      <c r="K23" s="7">
        <v>4.13</v>
      </c>
      <c r="L23" s="6" t="s">
        <v>120</v>
      </c>
    </row>
    <row r="24" spans="1:12" x14ac:dyDescent="0.3">
      <c r="A24" s="6" t="s">
        <v>13</v>
      </c>
      <c r="B24" s="6" t="s">
        <v>76</v>
      </c>
      <c r="C24" s="6" t="s">
        <v>121</v>
      </c>
      <c r="D24" s="6" t="s">
        <v>122</v>
      </c>
      <c r="E24" s="7">
        <v>7397991.9919999996</v>
      </c>
      <c r="F24" s="7">
        <v>355418.701</v>
      </c>
      <c r="G24" s="7">
        <v>-23.521890299999999</v>
      </c>
      <c r="H24" s="7">
        <v>-46.416207999999997</v>
      </c>
      <c r="I24" s="7">
        <v>770.66800000000001</v>
      </c>
      <c r="J24" s="7">
        <v>767.01800000000003</v>
      </c>
      <c r="K24" s="7">
        <v>3.65</v>
      </c>
      <c r="L24" s="6" t="s">
        <v>122</v>
      </c>
    </row>
    <row r="25" spans="1:12" x14ac:dyDescent="0.3">
      <c r="A25" s="6" t="s">
        <v>13</v>
      </c>
      <c r="B25" s="6" t="s">
        <v>76</v>
      </c>
      <c r="C25" s="6" t="s">
        <v>123</v>
      </c>
      <c r="D25" s="6" t="s">
        <v>124</v>
      </c>
      <c r="E25" s="7">
        <v>7398912.0039999997</v>
      </c>
      <c r="F25" s="7">
        <v>355182.174</v>
      </c>
      <c r="G25" s="7">
        <v>-23.5135614</v>
      </c>
      <c r="H25" s="7">
        <v>-46.418435299999999</v>
      </c>
      <c r="I25" s="7">
        <v>758.452</v>
      </c>
      <c r="J25" s="7">
        <v>756.85199999999998</v>
      </c>
      <c r="K25" s="7">
        <v>1.6</v>
      </c>
      <c r="L25" s="6" t="s">
        <v>124</v>
      </c>
    </row>
    <row r="26" spans="1:12" x14ac:dyDescent="0.3">
      <c r="A26" s="6" t="s">
        <v>13</v>
      </c>
      <c r="B26" s="6" t="s">
        <v>76</v>
      </c>
      <c r="C26" s="6" t="s">
        <v>125</v>
      </c>
      <c r="D26" s="6" t="s">
        <v>126</v>
      </c>
      <c r="E26" s="7">
        <v>7398331.0360000003</v>
      </c>
      <c r="F26" s="7">
        <v>355401.68599999999</v>
      </c>
      <c r="G26" s="7">
        <v>-23.5188272</v>
      </c>
      <c r="H26" s="7">
        <v>-46.416341899999999</v>
      </c>
      <c r="I26" s="7">
        <v>763.14400000000001</v>
      </c>
      <c r="J26" s="7">
        <v>761.26400000000001</v>
      </c>
      <c r="K26" s="7">
        <v>1.88</v>
      </c>
      <c r="L26" s="6" t="s">
        <v>126</v>
      </c>
    </row>
    <row r="27" spans="1:12" x14ac:dyDescent="0.3">
      <c r="A27" s="6" t="s">
        <v>13</v>
      </c>
      <c r="B27" s="6" t="s">
        <v>76</v>
      </c>
      <c r="C27" s="6" t="s">
        <v>127</v>
      </c>
      <c r="D27" s="6" t="s">
        <v>128</v>
      </c>
      <c r="E27" s="7">
        <v>7398190.2259999998</v>
      </c>
      <c r="F27" s="7">
        <v>355467.41499999998</v>
      </c>
      <c r="G27" s="7">
        <v>-23.5201046</v>
      </c>
      <c r="H27" s="7">
        <v>-46.415711799999997</v>
      </c>
      <c r="I27" s="7">
        <v>764.92600000000004</v>
      </c>
      <c r="J27" s="7">
        <v>763.03599999999994</v>
      </c>
      <c r="K27" s="7">
        <v>1.89</v>
      </c>
      <c r="L27" s="6" t="s">
        <v>128</v>
      </c>
    </row>
    <row r="28" spans="1:12" x14ac:dyDescent="0.3">
      <c r="A28" s="6" t="s">
        <v>13</v>
      </c>
      <c r="B28" s="6" t="s">
        <v>76</v>
      </c>
      <c r="C28" s="6" t="s">
        <v>129</v>
      </c>
      <c r="D28" s="6" t="s">
        <v>130</v>
      </c>
      <c r="E28" s="7">
        <v>7398366.6969999997</v>
      </c>
      <c r="F28" s="7">
        <v>355388.44300000003</v>
      </c>
      <c r="G28" s="7">
        <v>-23.518504</v>
      </c>
      <c r="H28" s="7">
        <v>-46.416468100000003</v>
      </c>
      <c r="I28" s="7">
        <v>763.52099999999996</v>
      </c>
      <c r="J28" s="7">
        <v>761.70100000000002</v>
      </c>
      <c r="K28" s="7">
        <v>1.82</v>
      </c>
      <c r="L28" s="6" t="s">
        <v>130</v>
      </c>
    </row>
    <row r="29" spans="1:12" x14ac:dyDescent="0.3">
      <c r="A29" s="6" t="s">
        <v>13</v>
      </c>
      <c r="B29" s="6" t="s">
        <v>76</v>
      </c>
      <c r="C29" s="6" t="s">
        <v>131</v>
      </c>
      <c r="D29" s="6" t="s">
        <v>132</v>
      </c>
      <c r="E29" s="7">
        <v>7398305.7939999998</v>
      </c>
      <c r="F29" s="7">
        <v>355428.02899999998</v>
      </c>
      <c r="G29" s="7">
        <v>-23.519057499999999</v>
      </c>
      <c r="H29" s="7">
        <v>-46.416086399999998</v>
      </c>
      <c r="I29" s="7">
        <v>764.52800000000002</v>
      </c>
      <c r="J29" s="7">
        <v>763.03800000000001</v>
      </c>
      <c r="K29" s="7">
        <v>1.49</v>
      </c>
      <c r="L29" s="6" t="s">
        <v>132</v>
      </c>
    </row>
    <row r="30" spans="1:12" x14ac:dyDescent="0.3">
      <c r="A30" s="6" t="s">
        <v>13</v>
      </c>
      <c r="B30" s="6" t="s">
        <v>133</v>
      </c>
      <c r="C30" s="6" t="s">
        <v>134</v>
      </c>
      <c r="D30" s="6" t="s">
        <v>135</v>
      </c>
      <c r="E30" s="7">
        <v>7398912.477</v>
      </c>
      <c r="F30" s="7">
        <v>355183.21799999999</v>
      </c>
      <c r="G30" s="7">
        <v>-23.513557200000001</v>
      </c>
      <c r="H30" s="7">
        <v>-46.418424999999999</v>
      </c>
      <c r="I30" s="7">
        <v>758.43799999999999</v>
      </c>
      <c r="J30" s="7">
        <v>757.11800000000005</v>
      </c>
      <c r="K30" s="7">
        <v>1.32</v>
      </c>
      <c r="L30" s="6" t="s">
        <v>135</v>
      </c>
    </row>
    <row r="31" spans="1:12" x14ac:dyDescent="0.3">
      <c r="A31" s="6" t="s">
        <v>13</v>
      </c>
      <c r="B31" s="6" t="s">
        <v>133</v>
      </c>
      <c r="C31" s="6" t="s">
        <v>136</v>
      </c>
      <c r="D31" s="6" t="s">
        <v>137</v>
      </c>
      <c r="E31" s="7">
        <v>7398333.2589999996</v>
      </c>
      <c r="F31" s="7">
        <v>355400.44300000003</v>
      </c>
      <c r="G31" s="7">
        <v>-23.518806999999999</v>
      </c>
      <c r="H31" s="7">
        <v>-46.416353899999997</v>
      </c>
      <c r="I31" s="7">
        <v>763.13699999999994</v>
      </c>
      <c r="J31" s="7">
        <v>762.20699999999999</v>
      </c>
      <c r="K31" s="7">
        <v>0.93</v>
      </c>
      <c r="L31" s="6" t="s">
        <v>137</v>
      </c>
    </row>
    <row r="32" spans="1:12" x14ac:dyDescent="0.3">
      <c r="A32" s="6" t="s">
        <v>13</v>
      </c>
      <c r="B32" s="6" t="s">
        <v>133</v>
      </c>
      <c r="C32" s="6" t="s">
        <v>138</v>
      </c>
      <c r="D32" s="6" t="s">
        <v>139</v>
      </c>
      <c r="E32" s="7">
        <v>7398194.4960000003</v>
      </c>
      <c r="F32" s="7">
        <v>355467.69699999999</v>
      </c>
      <c r="G32" s="7">
        <v>-23.520066</v>
      </c>
      <c r="H32" s="7">
        <v>-46.415708700000003</v>
      </c>
      <c r="I32" s="7">
        <v>764.88599999999997</v>
      </c>
      <c r="J32" s="7">
        <v>764.27599999999995</v>
      </c>
      <c r="K32" s="7">
        <v>0.61</v>
      </c>
      <c r="L32" s="6" t="s">
        <v>139</v>
      </c>
    </row>
    <row r="33" spans="1:12" x14ac:dyDescent="0.3">
      <c r="A33" s="6" t="s">
        <v>13</v>
      </c>
      <c r="B33" s="6" t="s">
        <v>133</v>
      </c>
      <c r="C33" s="6" t="s">
        <v>140</v>
      </c>
      <c r="D33" s="6" t="s">
        <v>141</v>
      </c>
      <c r="E33" s="7">
        <v>7398191.1940000001</v>
      </c>
      <c r="F33" s="7">
        <v>355467.61499999999</v>
      </c>
      <c r="G33" s="7">
        <v>-23.5200958</v>
      </c>
      <c r="H33" s="7">
        <v>-46.415709800000002</v>
      </c>
      <c r="I33" s="7">
        <v>764.904</v>
      </c>
      <c r="J33" s="7">
        <v>763.53399999999999</v>
      </c>
      <c r="K33" s="7">
        <v>1.37</v>
      </c>
      <c r="L33" s="6" t="s">
        <v>141</v>
      </c>
    </row>
    <row r="34" spans="1:12" x14ac:dyDescent="0.3">
      <c r="A34" s="6" t="s">
        <v>18</v>
      </c>
      <c r="B34" s="6" t="s">
        <v>76</v>
      </c>
      <c r="C34" s="6" t="s">
        <v>142</v>
      </c>
      <c r="D34" s="6" t="s">
        <v>143</v>
      </c>
      <c r="E34" s="7">
        <v>7397834.8909999998</v>
      </c>
      <c r="F34" s="7">
        <v>358450.17050000001</v>
      </c>
      <c r="G34" s="7">
        <v>-23.523576204649221</v>
      </c>
      <c r="H34" s="7">
        <v>-46.386535748682967</v>
      </c>
      <c r="I34" s="7">
        <v>814.61599999999999</v>
      </c>
      <c r="J34" s="7">
        <v>811.17</v>
      </c>
      <c r="K34" s="7">
        <v>3.45</v>
      </c>
      <c r="L34" s="6" t="s">
        <v>143</v>
      </c>
    </row>
    <row r="35" spans="1:12" x14ac:dyDescent="0.3">
      <c r="A35" s="6" t="s">
        <v>18</v>
      </c>
      <c r="B35" s="6" t="s">
        <v>76</v>
      </c>
      <c r="C35" s="6" t="s">
        <v>144</v>
      </c>
      <c r="D35" s="6" t="s">
        <v>145</v>
      </c>
      <c r="E35" s="7">
        <v>7397821.2167999996</v>
      </c>
      <c r="F35" s="7">
        <v>358550.96580000001</v>
      </c>
      <c r="G35" s="7">
        <v>-23.52370847526354</v>
      </c>
      <c r="H35" s="7">
        <v>-46.385549936324821</v>
      </c>
      <c r="I35" s="7">
        <v>813.84199999999998</v>
      </c>
      <c r="J35" s="7">
        <v>812.69200000000001</v>
      </c>
      <c r="K35" s="7">
        <v>1.1499999999999999</v>
      </c>
      <c r="L35" s="6" t="s">
        <v>145</v>
      </c>
    </row>
    <row r="36" spans="1:12" x14ac:dyDescent="0.3">
      <c r="A36" s="6" t="s">
        <v>18</v>
      </c>
      <c r="B36" s="6" t="s">
        <v>76</v>
      </c>
      <c r="C36" s="6" t="s">
        <v>146</v>
      </c>
      <c r="D36" s="6" t="s">
        <v>147</v>
      </c>
      <c r="E36" s="7">
        <v>7397844.7588999998</v>
      </c>
      <c r="F36" s="7">
        <v>358573.06900000002</v>
      </c>
      <c r="G36" s="7">
        <v>-23.52349781228359</v>
      </c>
      <c r="H36" s="7">
        <v>-46.385331250405009</v>
      </c>
      <c r="I36" s="7">
        <v>813.72799999999995</v>
      </c>
      <c r="J36" s="7">
        <v>812.49800000000005</v>
      </c>
      <c r="K36" s="7">
        <v>1.23</v>
      </c>
      <c r="L36" s="6" t="s">
        <v>147</v>
      </c>
    </row>
    <row r="37" spans="1:12" x14ac:dyDescent="0.3">
      <c r="A37" s="6" t="s">
        <v>18</v>
      </c>
      <c r="B37" s="6" t="s">
        <v>76</v>
      </c>
      <c r="C37" s="6" t="s">
        <v>148</v>
      </c>
      <c r="D37" s="6" t="s">
        <v>149</v>
      </c>
      <c r="E37" s="7">
        <v>7397867.2529999996</v>
      </c>
      <c r="F37" s="7">
        <v>358585.24400000001</v>
      </c>
      <c r="G37" s="7">
        <v>-23.523295747360521</v>
      </c>
      <c r="H37" s="7">
        <v>-46.385209892569947</v>
      </c>
      <c r="I37" s="7">
        <v>813.90700000000004</v>
      </c>
      <c r="J37" s="7">
        <v>812.30700000000002</v>
      </c>
      <c r="K37" s="7">
        <v>1.6</v>
      </c>
      <c r="L37" s="6" t="s">
        <v>149</v>
      </c>
    </row>
    <row r="38" spans="1:12" x14ac:dyDescent="0.3">
      <c r="A38" s="6" t="s">
        <v>18</v>
      </c>
      <c r="B38" s="6" t="s">
        <v>133</v>
      </c>
      <c r="C38" s="6" t="s">
        <v>150</v>
      </c>
      <c r="D38" s="6" t="s">
        <v>151</v>
      </c>
      <c r="E38" s="7">
        <v>7397815.6314000003</v>
      </c>
      <c r="F38" s="7">
        <v>358511.10810000001</v>
      </c>
      <c r="G38" s="7">
        <v>-23.523755437376259</v>
      </c>
      <c r="H38" s="7">
        <v>-46.38594079802948</v>
      </c>
      <c r="I38" s="7">
        <v>813.64599999999996</v>
      </c>
      <c r="J38" s="7">
        <v>812.34</v>
      </c>
      <c r="K38" s="7">
        <v>1.31</v>
      </c>
      <c r="L38" s="6" t="s">
        <v>151</v>
      </c>
    </row>
    <row r="39" spans="1:12" x14ac:dyDescent="0.3">
      <c r="A39" s="6" t="s">
        <v>18</v>
      </c>
      <c r="B39" s="6" t="s">
        <v>133</v>
      </c>
      <c r="C39" s="6" t="s">
        <v>152</v>
      </c>
      <c r="D39" s="6" t="s">
        <v>153</v>
      </c>
      <c r="E39" s="7">
        <v>7397820.3340999996</v>
      </c>
      <c r="F39" s="7">
        <v>358545.44140000001</v>
      </c>
      <c r="G39" s="7">
        <v>-23.523715964610769</v>
      </c>
      <c r="H39" s="7">
        <v>-46.385604121210292</v>
      </c>
      <c r="I39" s="7">
        <v>813.99400000000003</v>
      </c>
      <c r="J39" s="7">
        <v>813.22400000000005</v>
      </c>
      <c r="K39" s="7">
        <v>0.77</v>
      </c>
      <c r="L39" s="6" t="s">
        <v>153</v>
      </c>
    </row>
    <row r="40" spans="1:12" x14ac:dyDescent="0.3">
      <c r="A40" s="6" t="s">
        <v>18</v>
      </c>
      <c r="B40" s="6" t="s">
        <v>133</v>
      </c>
      <c r="C40" s="6" t="s">
        <v>154</v>
      </c>
      <c r="D40" s="6" t="s">
        <v>155</v>
      </c>
      <c r="E40" s="7">
        <v>7397868.3899999997</v>
      </c>
      <c r="F40" s="7">
        <v>358596.52299999999</v>
      </c>
      <c r="G40" s="7">
        <v>-23.523286462987819</v>
      </c>
      <c r="H40" s="7">
        <v>-46.385099328186982</v>
      </c>
      <c r="I40" s="7">
        <v>813.25</v>
      </c>
      <c r="J40" s="7">
        <v>812.21</v>
      </c>
      <c r="K40" s="7">
        <v>1.04</v>
      </c>
      <c r="L40" s="6" t="s">
        <v>155</v>
      </c>
    </row>
    <row r="41" spans="1:12" x14ac:dyDescent="0.3">
      <c r="A41" s="6" t="s">
        <v>21</v>
      </c>
      <c r="B41" s="6" t="s">
        <v>76</v>
      </c>
      <c r="C41" s="6" t="s">
        <v>156</v>
      </c>
      <c r="D41" s="6" t="s">
        <v>157</v>
      </c>
      <c r="E41" s="7">
        <v>7397593.0250000004</v>
      </c>
      <c r="F41" s="7">
        <v>357370.63500000001</v>
      </c>
      <c r="G41" s="7">
        <v>-23.525665799999999</v>
      </c>
      <c r="H41" s="7">
        <v>-46.397130799999999</v>
      </c>
      <c r="I41" s="6"/>
      <c r="J41" s="6"/>
      <c r="K41" s="6"/>
      <c r="L41" s="6" t="s">
        <v>158</v>
      </c>
    </row>
    <row r="42" spans="1:12" x14ac:dyDescent="0.3">
      <c r="A42" s="6" t="s">
        <v>21</v>
      </c>
      <c r="B42" s="6" t="s">
        <v>76</v>
      </c>
      <c r="C42" s="6" t="s">
        <v>159</v>
      </c>
      <c r="D42" s="6" t="s">
        <v>160</v>
      </c>
      <c r="E42" s="7">
        <v>7397548.5199999996</v>
      </c>
      <c r="F42" s="7">
        <v>357357.37</v>
      </c>
      <c r="G42" s="7">
        <v>-23.526066499999999</v>
      </c>
      <c r="H42" s="7">
        <v>-46.397264999999997</v>
      </c>
      <c r="I42" s="6"/>
      <c r="J42" s="6"/>
      <c r="K42" s="6"/>
      <c r="L42" s="6" t="s">
        <v>158</v>
      </c>
    </row>
    <row r="43" spans="1:12" x14ac:dyDescent="0.3">
      <c r="A43" s="6" t="s">
        <v>21</v>
      </c>
      <c r="B43" s="6" t="s">
        <v>76</v>
      </c>
      <c r="C43" s="6" t="s">
        <v>161</v>
      </c>
      <c r="D43" s="6" t="s">
        <v>162</v>
      </c>
      <c r="E43" s="7">
        <v>7397471.8779999996</v>
      </c>
      <c r="F43" s="7">
        <v>357346.272</v>
      </c>
      <c r="G43" s="7">
        <v>-23.5267576</v>
      </c>
      <c r="H43" s="7">
        <v>-46.397381000000003</v>
      </c>
      <c r="I43" s="6"/>
      <c r="J43" s="6"/>
      <c r="K43" s="6"/>
      <c r="L43" s="6" t="s">
        <v>158</v>
      </c>
    </row>
    <row r="44" spans="1:12" x14ac:dyDescent="0.3">
      <c r="A44" s="6" t="s">
        <v>21</v>
      </c>
      <c r="B44" s="6" t="s">
        <v>76</v>
      </c>
      <c r="C44" s="6" t="s">
        <v>163</v>
      </c>
      <c r="D44" s="6" t="s">
        <v>164</v>
      </c>
      <c r="E44" s="7">
        <v>7397533.6090000002</v>
      </c>
      <c r="F44" s="7">
        <v>357296.76899999997</v>
      </c>
      <c r="G44" s="7">
        <v>-23.5261958</v>
      </c>
      <c r="H44" s="7">
        <v>-46.3978599</v>
      </c>
      <c r="I44" s="6"/>
      <c r="J44" s="6"/>
      <c r="K44" s="6"/>
      <c r="L44" s="6" t="s">
        <v>158</v>
      </c>
    </row>
    <row r="45" spans="1:12" x14ac:dyDescent="0.3">
      <c r="A45" s="6" t="s">
        <v>21</v>
      </c>
      <c r="B45" s="6" t="s">
        <v>76</v>
      </c>
      <c r="C45" s="6" t="s">
        <v>165</v>
      </c>
      <c r="D45" s="6" t="s">
        <v>166</v>
      </c>
      <c r="E45" s="7">
        <v>7397600.2319999998</v>
      </c>
      <c r="F45" s="7">
        <v>357230.93</v>
      </c>
      <c r="G45" s="7">
        <v>-23.5255884</v>
      </c>
      <c r="H45" s="7">
        <v>-46.3984983</v>
      </c>
      <c r="I45" s="6"/>
      <c r="J45" s="6"/>
      <c r="K45" s="6"/>
      <c r="L45" s="6" t="s">
        <v>158</v>
      </c>
    </row>
    <row r="46" spans="1:12" x14ac:dyDescent="0.3">
      <c r="A46" s="6" t="s">
        <v>21</v>
      </c>
      <c r="B46" s="6" t="s">
        <v>76</v>
      </c>
      <c r="C46" s="6" t="s">
        <v>167</v>
      </c>
      <c r="D46" s="6" t="s">
        <v>168</v>
      </c>
      <c r="E46" s="7">
        <v>7397560.5839999998</v>
      </c>
      <c r="F46" s="7">
        <v>357161.92700000003</v>
      </c>
      <c r="G46" s="7">
        <v>-23.525940299999998</v>
      </c>
      <c r="H46" s="7">
        <v>-46.399177899999998</v>
      </c>
      <c r="I46" s="6"/>
      <c r="J46" s="6"/>
      <c r="K46" s="6"/>
      <c r="L46" s="6" t="s">
        <v>158</v>
      </c>
    </row>
    <row r="47" spans="1:12" x14ac:dyDescent="0.3">
      <c r="A47" s="6" t="s">
        <v>21</v>
      </c>
      <c r="B47" s="6" t="s">
        <v>76</v>
      </c>
      <c r="C47" s="6" t="s">
        <v>169</v>
      </c>
      <c r="D47" s="6" t="s">
        <v>170</v>
      </c>
      <c r="E47" s="7">
        <v>7397523.6009999998</v>
      </c>
      <c r="F47" s="7">
        <v>357091.05499999999</v>
      </c>
      <c r="G47" s="7">
        <v>-23.526268099999999</v>
      </c>
      <c r="H47" s="7">
        <v>-46.3998755</v>
      </c>
      <c r="I47" s="6"/>
      <c r="J47" s="6"/>
      <c r="K47" s="6"/>
      <c r="L47" s="6" t="s">
        <v>158</v>
      </c>
    </row>
    <row r="48" spans="1:12" x14ac:dyDescent="0.3">
      <c r="A48" s="6" t="s">
        <v>21</v>
      </c>
      <c r="B48" s="6" t="s">
        <v>76</v>
      </c>
      <c r="C48" s="6" t="s">
        <v>171</v>
      </c>
      <c r="D48" s="6" t="s">
        <v>172</v>
      </c>
      <c r="E48" s="7">
        <v>7397442.9139999999</v>
      </c>
      <c r="F48" s="7">
        <v>356944.38799999998</v>
      </c>
      <c r="G48" s="7">
        <v>-23.526983699999999</v>
      </c>
      <c r="H48" s="7">
        <v>-46.401319600000001</v>
      </c>
      <c r="I48" s="6"/>
      <c r="J48" s="6"/>
      <c r="K48" s="6"/>
      <c r="L48" s="6" t="s">
        <v>158</v>
      </c>
    </row>
    <row r="49" spans="1:12" x14ac:dyDescent="0.3">
      <c r="A49" s="6" t="s">
        <v>21</v>
      </c>
      <c r="B49" s="6" t="s">
        <v>76</v>
      </c>
      <c r="C49" s="6" t="s">
        <v>173</v>
      </c>
      <c r="D49" s="6" t="s">
        <v>174</v>
      </c>
      <c r="E49" s="7">
        <v>7397501.7479999997</v>
      </c>
      <c r="F49" s="7">
        <v>357051.462</v>
      </c>
      <c r="G49" s="7">
        <v>-23.526461900000001</v>
      </c>
      <c r="H49" s="7">
        <v>-46.400265300000001</v>
      </c>
      <c r="I49" s="6"/>
      <c r="J49" s="6"/>
      <c r="K49" s="6"/>
      <c r="L49" s="6" t="s">
        <v>158</v>
      </c>
    </row>
    <row r="50" spans="1:12" x14ac:dyDescent="0.3">
      <c r="A50" s="6" t="s">
        <v>21</v>
      </c>
      <c r="B50" s="6" t="s">
        <v>76</v>
      </c>
      <c r="C50" s="6" t="s">
        <v>175</v>
      </c>
      <c r="D50" s="6" t="s">
        <v>176</v>
      </c>
      <c r="E50" s="7">
        <v>7397480.8689999999</v>
      </c>
      <c r="F50" s="7">
        <v>357014.386</v>
      </c>
      <c r="G50" s="7">
        <v>-23.526647199999999</v>
      </c>
      <c r="H50" s="7">
        <v>-46.400630399999997</v>
      </c>
      <c r="I50" s="6"/>
      <c r="J50" s="6"/>
      <c r="K50" s="6"/>
      <c r="L50" s="6" t="s">
        <v>158</v>
      </c>
    </row>
    <row r="51" spans="1:12" x14ac:dyDescent="0.3">
      <c r="A51" s="6" t="s">
        <v>21</v>
      </c>
      <c r="B51" s="6" t="s">
        <v>76</v>
      </c>
      <c r="C51" s="6" t="s">
        <v>177</v>
      </c>
      <c r="D51" s="6" t="s">
        <v>178</v>
      </c>
      <c r="E51" s="7">
        <v>7397418.9879999999</v>
      </c>
      <c r="F51" s="7">
        <v>356958.77899999998</v>
      </c>
      <c r="G51" s="7">
        <v>-23.527201099999999</v>
      </c>
      <c r="H51" s="7">
        <v>-46.4011809</v>
      </c>
      <c r="I51" s="6"/>
      <c r="J51" s="6"/>
      <c r="K51" s="6"/>
      <c r="L51" s="6" t="s">
        <v>158</v>
      </c>
    </row>
    <row r="52" spans="1:12" x14ac:dyDescent="0.3">
      <c r="A52" s="6" t="s">
        <v>21</v>
      </c>
      <c r="B52" s="6" t="s">
        <v>76</v>
      </c>
      <c r="C52" s="6" t="s">
        <v>179</v>
      </c>
      <c r="D52" s="6" t="s">
        <v>180</v>
      </c>
      <c r="E52" s="7">
        <v>7397463.318</v>
      </c>
      <c r="F52" s="7">
        <v>357021.68900000001</v>
      </c>
      <c r="G52" s="7">
        <v>-23.526806300000001</v>
      </c>
      <c r="H52" s="7">
        <v>-46.400560599999999</v>
      </c>
      <c r="I52" s="6"/>
      <c r="J52" s="6"/>
      <c r="K52" s="6"/>
      <c r="L52" s="6" t="s">
        <v>158</v>
      </c>
    </row>
    <row r="53" spans="1:12" x14ac:dyDescent="0.3">
      <c r="A53" s="6" t="s">
        <v>24</v>
      </c>
      <c r="B53" s="6" t="s">
        <v>76</v>
      </c>
      <c r="C53" s="6" t="s">
        <v>181</v>
      </c>
      <c r="D53" s="6" t="s">
        <v>182</v>
      </c>
      <c r="E53" s="7">
        <v>7398829.5190000003</v>
      </c>
      <c r="F53" s="7">
        <v>355263.19799999997</v>
      </c>
      <c r="G53" s="7">
        <v>-23.5143135</v>
      </c>
      <c r="H53" s="7">
        <v>-46.417649900000001</v>
      </c>
      <c r="I53" s="6"/>
      <c r="J53" s="6"/>
      <c r="K53" s="6"/>
      <c r="L53" s="6" t="s">
        <v>158</v>
      </c>
    </row>
    <row r="54" spans="1:12" x14ac:dyDescent="0.3">
      <c r="A54" s="6" t="s">
        <v>24</v>
      </c>
      <c r="B54" s="6" t="s">
        <v>76</v>
      </c>
      <c r="C54" s="6" t="s">
        <v>183</v>
      </c>
      <c r="D54" s="6" t="s">
        <v>184</v>
      </c>
      <c r="E54" s="7">
        <v>7398772.5810000002</v>
      </c>
      <c r="F54" s="7">
        <v>355281.07900000003</v>
      </c>
      <c r="G54" s="7">
        <v>-23.514829200000001</v>
      </c>
      <c r="H54" s="7">
        <v>-46.417480300000001</v>
      </c>
      <c r="I54" s="6"/>
      <c r="J54" s="6"/>
      <c r="K54" s="6"/>
      <c r="L54" s="6" t="s">
        <v>158</v>
      </c>
    </row>
    <row r="55" spans="1:12" x14ac:dyDescent="0.3">
      <c r="A55" s="6" t="s">
        <v>24</v>
      </c>
      <c r="B55" s="6" t="s">
        <v>76</v>
      </c>
      <c r="C55" s="6" t="s">
        <v>185</v>
      </c>
      <c r="D55" s="6" t="s">
        <v>186</v>
      </c>
      <c r="E55" s="7">
        <v>7398721.585</v>
      </c>
      <c r="F55" s="7">
        <v>355301.40899999999</v>
      </c>
      <c r="G55" s="7">
        <v>-23.515291600000001</v>
      </c>
      <c r="H55" s="7">
        <v>-46.417286099999998</v>
      </c>
      <c r="I55" s="6"/>
      <c r="J55" s="6"/>
      <c r="K55" s="6"/>
      <c r="L55" s="6" t="s">
        <v>158</v>
      </c>
    </row>
    <row r="56" spans="1:12" x14ac:dyDescent="0.3">
      <c r="A56" s="6" t="s">
        <v>24</v>
      </c>
      <c r="B56" s="6" t="s">
        <v>76</v>
      </c>
      <c r="C56" s="6" t="s">
        <v>187</v>
      </c>
      <c r="D56" s="6" t="s">
        <v>188</v>
      </c>
      <c r="E56" s="7">
        <v>7398670.0020000003</v>
      </c>
      <c r="F56" s="7">
        <v>355321.76500000001</v>
      </c>
      <c r="G56" s="7">
        <v>-23.515759200000002</v>
      </c>
      <c r="H56" s="7">
        <v>-46.417091800000001</v>
      </c>
      <c r="I56" s="6"/>
      <c r="J56" s="6"/>
      <c r="K56" s="6"/>
      <c r="L56" s="6" t="s">
        <v>158</v>
      </c>
    </row>
    <row r="57" spans="1:12" x14ac:dyDescent="0.3">
      <c r="A57" s="6" t="s">
        <v>24</v>
      </c>
      <c r="B57" s="6" t="s">
        <v>76</v>
      </c>
      <c r="C57" s="6" t="s">
        <v>189</v>
      </c>
      <c r="D57" s="6" t="s">
        <v>190</v>
      </c>
      <c r="E57" s="7">
        <v>7398842.3219999997</v>
      </c>
      <c r="F57" s="7">
        <v>355224.46500000003</v>
      </c>
      <c r="G57" s="7">
        <v>-23.514194400000001</v>
      </c>
      <c r="H57" s="7">
        <v>-46.418027899999998</v>
      </c>
      <c r="I57" s="6"/>
      <c r="J57" s="6"/>
      <c r="K57" s="6"/>
      <c r="L57" s="6" t="s">
        <v>158</v>
      </c>
    </row>
    <row r="58" spans="1:12" x14ac:dyDescent="0.3">
      <c r="A58" s="6" t="s">
        <v>24</v>
      </c>
      <c r="B58" s="6" t="s">
        <v>76</v>
      </c>
      <c r="C58" s="6" t="s">
        <v>191</v>
      </c>
      <c r="D58" s="6" t="s">
        <v>192</v>
      </c>
      <c r="E58" s="7">
        <v>7398621.8080000002</v>
      </c>
      <c r="F58" s="7">
        <v>355340.52299999999</v>
      </c>
      <c r="G58" s="7">
        <v>-23.516196000000001</v>
      </c>
      <c r="H58" s="7">
        <v>-46.416912699999997</v>
      </c>
      <c r="I58" s="6"/>
      <c r="J58" s="6"/>
      <c r="K58" s="6"/>
      <c r="L58" s="6" t="s">
        <v>158</v>
      </c>
    </row>
    <row r="59" spans="1:12" x14ac:dyDescent="0.3">
      <c r="A59" s="6" t="s">
        <v>24</v>
      </c>
      <c r="B59" s="6" t="s">
        <v>76</v>
      </c>
      <c r="C59" s="6" t="s">
        <v>193</v>
      </c>
      <c r="D59" s="6" t="s">
        <v>194</v>
      </c>
      <c r="E59" s="7">
        <v>7398559.3859999999</v>
      </c>
      <c r="F59" s="7">
        <v>355365.005</v>
      </c>
      <c r="G59" s="7">
        <v>-23.516761899999999</v>
      </c>
      <c r="H59" s="7">
        <v>-46.416679000000002</v>
      </c>
      <c r="I59" s="6"/>
      <c r="J59" s="6"/>
      <c r="K59" s="6"/>
      <c r="L59" s="6" t="s">
        <v>158</v>
      </c>
    </row>
    <row r="60" spans="1:12" x14ac:dyDescent="0.3">
      <c r="A60" s="6" t="s">
        <v>24</v>
      </c>
      <c r="B60" s="6" t="s">
        <v>76</v>
      </c>
      <c r="C60" s="6" t="s">
        <v>195</v>
      </c>
      <c r="D60" s="6" t="s">
        <v>196</v>
      </c>
      <c r="E60" s="7">
        <v>7398530.5580000002</v>
      </c>
      <c r="F60" s="7">
        <v>355381.06199999998</v>
      </c>
      <c r="G60" s="7">
        <v>-23.517023600000002</v>
      </c>
      <c r="H60" s="7">
        <v>-46.416524600000002</v>
      </c>
      <c r="I60" s="6"/>
      <c r="J60" s="6"/>
      <c r="K60" s="6"/>
      <c r="L60" s="6" t="s">
        <v>158</v>
      </c>
    </row>
    <row r="61" spans="1:12" x14ac:dyDescent="0.3">
      <c r="A61" s="6" t="s">
        <v>24</v>
      </c>
      <c r="B61" s="6" t="s">
        <v>76</v>
      </c>
      <c r="C61" s="6" t="s">
        <v>197</v>
      </c>
      <c r="D61" s="6" t="s">
        <v>198</v>
      </c>
      <c r="E61" s="7">
        <v>7398500.5089999996</v>
      </c>
      <c r="F61" s="7">
        <v>355399.93</v>
      </c>
      <c r="G61" s="7">
        <v>-23.517296699999999</v>
      </c>
      <c r="H61" s="7">
        <v>-46.416342700000001</v>
      </c>
      <c r="I61" s="6"/>
      <c r="J61" s="6"/>
      <c r="K61" s="6"/>
      <c r="L61" s="6" t="s">
        <v>158</v>
      </c>
    </row>
    <row r="62" spans="1:12" x14ac:dyDescent="0.3">
      <c r="A62" s="6" t="s">
        <v>24</v>
      </c>
      <c r="B62" s="6" t="s">
        <v>76</v>
      </c>
      <c r="C62" s="6" t="s">
        <v>199</v>
      </c>
      <c r="D62" s="6" t="s">
        <v>200</v>
      </c>
      <c r="E62" s="7">
        <v>7398471.5710000005</v>
      </c>
      <c r="F62" s="7">
        <v>355417.90600000002</v>
      </c>
      <c r="G62" s="7">
        <v>-23.517559599999998</v>
      </c>
      <c r="H62" s="7">
        <v>-46.416169500000002</v>
      </c>
      <c r="I62" s="6"/>
      <c r="J62" s="6"/>
      <c r="K62" s="6"/>
      <c r="L62" s="6" t="s">
        <v>158</v>
      </c>
    </row>
    <row r="63" spans="1:12" x14ac:dyDescent="0.3">
      <c r="A63" s="6" t="s">
        <v>24</v>
      </c>
      <c r="B63" s="6" t="s">
        <v>76</v>
      </c>
      <c r="C63" s="6" t="s">
        <v>201</v>
      </c>
      <c r="D63" s="6" t="s">
        <v>202</v>
      </c>
      <c r="E63" s="7">
        <v>7398442.6859999998</v>
      </c>
      <c r="F63" s="7">
        <v>355436.02799999999</v>
      </c>
      <c r="G63" s="7">
        <v>-23.517821999999999</v>
      </c>
      <c r="H63" s="7">
        <v>-46.4159948</v>
      </c>
      <c r="I63" s="6"/>
      <c r="J63" s="6"/>
      <c r="K63" s="6"/>
      <c r="L63" s="6" t="s">
        <v>158</v>
      </c>
    </row>
    <row r="64" spans="1:12" x14ac:dyDescent="0.3">
      <c r="A64" s="6" t="s">
        <v>24</v>
      </c>
      <c r="B64" s="6" t="s">
        <v>76</v>
      </c>
      <c r="C64" s="6" t="s">
        <v>203</v>
      </c>
      <c r="D64" s="6" t="s">
        <v>204</v>
      </c>
      <c r="E64" s="7">
        <v>7398412.2340000002</v>
      </c>
      <c r="F64" s="7">
        <v>355454.70299999998</v>
      </c>
      <c r="G64" s="7">
        <v>-23.518098699999999</v>
      </c>
      <c r="H64" s="7">
        <v>-46.415814900000001</v>
      </c>
      <c r="I64" s="6"/>
      <c r="J64" s="6"/>
      <c r="K64" s="6"/>
      <c r="L64" s="6" t="s">
        <v>158</v>
      </c>
    </row>
    <row r="65" spans="1:12" x14ac:dyDescent="0.3">
      <c r="A65" s="6" t="s">
        <v>24</v>
      </c>
      <c r="B65" s="6" t="s">
        <v>76</v>
      </c>
      <c r="C65" s="6" t="s">
        <v>205</v>
      </c>
      <c r="D65" s="6" t="s">
        <v>206</v>
      </c>
      <c r="E65" s="7">
        <v>7398383.051</v>
      </c>
      <c r="F65" s="7">
        <v>355472.94099999999</v>
      </c>
      <c r="G65" s="7">
        <v>-23.518363799999999</v>
      </c>
      <c r="H65" s="7">
        <v>-46.4156391</v>
      </c>
      <c r="I65" s="6"/>
      <c r="J65" s="6"/>
      <c r="K65" s="6"/>
      <c r="L65" s="6" t="s">
        <v>158</v>
      </c>
    </row>
    <row r="66" spans="1:12" x14ac:dyDescent="0.3">
      <c r="A66" s="6" t="s">
        <v>24</v>
      </c>
      <c r="B66" s="6" t="s">
        <v>76</v>
      </c>
      <c r="C66" s="6" t="s">
        <v>207</v>
      </c>
      <c r="D66" s="6" t="s">
        <v>208</v>
      </c>
      <c r="E66" s="7">
        <v>7398345.7019999996</v>
      </c>
      <c r="F66" s="7">
        <v>355505.033</v>
      </c>
      <c r="G66" s="7">
        <v>-23.518703899999998</v>
      </c>
      <c r="H66" s="7">
        <v>-46.4153284</v>
      </c>
      <c r="I66" s="6"/>
      <c r="J66" s="6"/>
      <c r="K66" s="6"/>
      <c r="L66" s="6" t="s">
        <v>158</v>
      </c>
    </row>
    <row r="67" spans="1:12" x14ac:dyDescent="0.3">
      <c r="A67" s="6" t="s">
        <v>24</v>
      </c>
      <c r="B67" s="6" t="s">
        <v>76</v>
      </c>
      <c r="C67" s="6" t="s">
        <v>209</v>
      </c>
      <c r="D67" s="6" t="s">
        <v>210</v>
      </c>
      <c r="E67" s="7">
        <v>7398301.4740000004</v>
      </c>
      <c r="F67" s="7">
        <v>355575.52100000001</v>
      </c>
      <c r="G67" s="7">
        <v>-23.5191096</v>
      </c>
      <c r="H67" s="7">
        <v>-46.414642399999998</v>
      </c>
      <c r="I67" s="6"/>
      <c r="J67" s="6"/>
      <c r="K67" s="6"/>
      <c r="L67" s="6" t="s">
        <v>158</v>
      </c>
    </row>
    <row r="68" spans="1:12" x14ac:dyDescent="0.3">
      <c r="A68" s="6" t="s">
        <v>24</v>
      </c>
      <c r="B68" s="6" t="s">
        <v>76</v>
      </c>
      <c r="C68" s="6" t="s">
        <v>211</v>
      </c>
      <c r="D68" s="6" t="s">
        <v>212</v>
      </c>
      <c r="E68" s="7">
        <v>7398250.8660000004</v>
      </c>
      <c r="F68" s="7">
        <v>355534.51</v>
      </c>
      <c r="G68" s="7">
        <v>-23.5195629</v>
      </c>
      <c r="H68" s="7">
        <v>-46.415048900000002</v>
      </c>
      <c r="I68" s="6"/>
      <c r="J68" s="6"/>
      <c r="K68" s="6"/>
      <c r="L68" s="6" t="s">
        <v>158</v>
      </c>
    </row>
    <row r="69" spans="1:12" x14ac:dyDescent="0.3">
      <c r="A69" s="6" t="s">
        <v>24</v>
      </c>
      <c r="B69" s="6" t="s">
        <v>76</v>
      </c>
      <c r="C69" s="6" t="s">
        <v>213</v>
      </c>
      <c r="D69" s="6" t="s">
        <v>214</v>
      </c>
      <c r="E69" s="7">
        <v>7398234.8190000001</v>
      </c>
      <c r="F69" s="7">
        <v>355521.98800000001</v>
      </c>
      <c r="G69" s="7">
        <v>-23.5197067</v>
      </c>
      <c r="H69" s="7">
        <v>-46.415173099999997</v>
      </c>
      <c r="I69" s="6"/>
      <c r="J69" s="6"/>
      <c r="K69" s="6"/>
      <c r="L69" s="6" t="s">
        <v>158</v>
      </c>
    </row>
    <row r="70" spans="1:12" x14ac:dyDescent="0.3">
      <c r="A70" s="6" t="s">
        <v>24</v>
      </c>
      <c r="B70" s="6" t="s">
        <v>76</v>
      </c>
      <c r="C70" s="6" t="s">
        <v>215</v>
      </c>
      <c r="D70" s="6" t="s">
        <v>216</v>
      </c>
      <c r="E70" s="7">
        <v>7398196.9699999997</v>
      </c>
      <c r="F70" s="7">
        <v>355499.79700000002</v>
      </c>
      <c r="G70" s="7">
        <v>-23.520046499999999</v>
      </c>
      <c r="H70" s="7">
        <v>-46.4153941</v>
      </c>
      <c r="I70" s="6"/>
      <c r="J70" s="6"/>
      <c r="K70" s="6"/>
      <c r="L70" s="6" t="s">
        <v>158</v>
      </c>
    </row>
    <row r="71" spans="1:12" x14ac:dyDescent="0.3">
      <c r="A71" s="6" t="s">
        <v>24</v>
      </c>
      <c r="B71" s="6" t="s">
        <v>76</v>
      </c>
      <c r="C71" s="6" t="s">
        <v>217</v>
      </c>
      <c r="D71" s="6" t="s">
        <v>218</v>
      </c>
      <c r="E71" s="7">
        <v>7398458.5980000002</v>
      </c>
      <c r="F71" s="7">
        <v>355392.03399999999</v>
      </c>
      <c r="G71" s="7">
        <v>-23.517674400000001</v>
      </c>
      <c r="H71" s="7">
        <v>-46.4164241</v>
      </c>
      <c r="I71" s="6"/>
      <c r="J71" s="6"/>
      <c r="K71" s="6"/>
      <c r="L71" s="6" t="s">
        <v>158</v>
      </c>
    </row>
    <row r="72" spans="1:12" x14ac:dyDescent="0.3">
      <c r="A72" s="6" t="s">
        <v>24</v>
      </c>
      <c r="B72" s="6" t="s">
        <v>76</v>
      </c>
      <c r="C72" s="6" t="s">
        <v>219</v>
      </c>
      <c r="D72" s="6" t="s">
        <v>220</v>
      </c>
      <c r="E72" s="7">
        <v>7398368.9850000003</v>
      </c>
      <c r="F72" s="7">
        <v>355448.64</v>
      </c>
      <c r="G72" s="7">
        <v>-23.518488699999999</v>
      </c>
      <c r="H72" s="7">
        <v>-46.415878399999997</v>
      </c>
      <c r="I72" s="6"/>
      <c r="J72" s="6"/>
      <c r="K72" s="6"/>
      <c r="L72" s="6" t="s">
        <v>158</v>
      </c>
    </row>
    <row r="73" spans="1:12" x14ac:dyDescent="0.3">
      <c r="A73" s="6" t="s">
        <v>24</v>
      </c>
      <c r="B73" s="6" t="s">
        <v>76</v>
      </c>
      <c r="C73" s="6" t="s">
        <v>221</v>
      </c>
      <c r="D73" s="6" t="s">
        <v>222</v>
      </c>
      <c r="E73" s="7">
        <v>7398606.9210000001</v>
      </c>
      <c r="F73" s="7">
        <v>355309.80499999999</v>
      </c>
      <c r="G73" s="7">
        <v>-23.516327700000001</v>
      </c>
      <c r="H73" s="7">
        <v>-46.417214999999999</v>
      </c>
      <c r="I73" s="6"/>
      <c r="J73" s="6"/>
      <c r="K73" s="6"/>
      <c r="L73" s="6" t="s">
        <v>158</v>
      </c>
    </row>
    <row r="74" spans="1:12" x14ac:dyDescent="0.3">
      <c r="A74" s="6" t="s">
        <v>24</v>
      </c>
      <c r="B74" s="6" t="s">
        <v>133</v>
      </c>
      <c r="C74" s="6" t="s">
        <v>223</v>
      </c>
      <c r="D74" s="6" t="s">
        <v>224</v>
      </c>
      <c r="E74" s="7">
        <v>7398534.6670000004</v>
      </c>
      <c r="F74" s="7">
        <v>355314.853</v>
      </c>
      <c r="G74" s="7">
        <v>-23.5169806</v>
      </c>
      <c r="H74" s="7">
        <v>-46.4171725</v>
      </c>
      <c r="I74" s="6"/>
      <c r="J74" s="6"/>
      <c r="K74" s="6"/>
      <c r="L74" s="6" t="s">
        <v>158</v>
      </c>
    </row>
    <row r="75" spans="1:12" x14ac:dyDescent="0.3">
      <c r="A75" s="6" t="s">
        <v>24</v>
      </c>
      <c r="B75" s="6" t="s">
        <v>133</v>
      </c>
      <c r="C75" s="6" t="s">
        <v>225</v>
      </c>
      <c r="D75" s="6" t="s">
        <v>226</v>
      </c>
      <c r="E75" s="7">
        <v>7398448.0719999997</v>
      </c>
      <c r="F75" s="7">
        <v>355375.31900000002</v>
      </c>
      <c r="G75" s="7">
        <v>-23.517768</v>
      </c>
      <c r="H75" s="7">
        <v>-46.4165888</v>
      </c>
      <c r="I75" s="6"/>
      <c r="J75" s="6"/>
      <c r="K75" s="6"/>
      <c r="L75" s="6" t="s">
        <v>158</v>
      </c>
    </row>
    <row r="76" spans="1:12" x14ac:dyDescent="0.3">
      <c r="A76" s="6" t="s">
        <v>27</v>
      </c>
      <c r="B76" s="6" t="s">
        <v>76</v>
      </c>
      <c r="C76" s="6" t="s">
        <v>227</v>
      </c>
      <c r="D76" s="6" t="s">
        <v>157</v>
      </c>
      <c r="E76" s="7">
        <v>7397640.4419999998</v>
      </c>
      <c r="F76" s="7">
        <v>355410.761</v>
      </c>
      <c r="G76" s="7">
        <v>-23.525064100000002</v>
      </c>
      <c r="H76" s="7">
        <v>-46.416319799999997</v>
      </c>
      <c r="I76" s="6"/>
      <c r="J76" s="6"/>
      <c r="K76" s="6"/>
      <c r="L76" s="6" t="s">
        <v>158</v>
      </c>
    </row>
    <row r="77" spans="1:12" x14ac:dyDescent="0.3">
      <c r="A77" s="6" t="s">
        <v>27</v>
      </c>
      <c r="B77" s="6" t="s">
        <v>76</v>
      </c>
      <c r="C77" s="6" t="s">
        <v>228</v>
      </c>
      <c r="D77" s="6" t="s">
        <v>229</v>
      </c>
      <c r="E77" s="7">
        <v>7397562.5140000004</v>
      </c>
      <c r="F77" s="7">
        <v>355410.96299999999</v>
      </c>
      <c r="G77" s="7">
        <v>-23.525767800000001</v>
      </c>
      <c r="H77" s="7">
        <v>-46.416325299999997</v>
      </c>
      <c r="I77" s="6"/>
      <c r="J77" s="6"/>
      <c r="K77" s="6"/>
      <c r="L77" s="6" t="s">
        <v>158</v>
      </c>
    </row>
    <row r="78" spans="1:12" x14ac:dyDescent="0.3">
      <c r="A78" s="6" t="s">
        <v>27</v>
      </c>
      <c r="B78" s="6" t="s">
        <v>76</v>
      </c>
      <c r="C78" s="6" t="s">
        <v>230</v>
      </c>
      <c r="D78" s="6" t="s">
        <v>164</v>
      </c>
      <c r="E78" s="7">
        <v>7397558.2029999997</v>
      </c>
      <c r="F78" s="7">
        <v>355440.49699999997</v>
      </c>
      <c r="G78" s="7">
        <v>-23.5258094</v>
      </c>
      <c r="H78" s="7">
        <v>-46.416036499999997</v>
      </c>
      <c r="I78" s="6"/>
      <c r="J78" s="6"/>
      <c r="K78" s="6"/>
      <c r="L78" s="6" t="s">
        <v>158</v>
      </c>
    </row>
    <row r="79" spans="1:12" x14ac:dyDescent="0.3">
      <c r="A79" s="6" t="s">
        <v>30</v>
      </c>
      <c r="B79" s="6" t="s">
        <v>76</v>
      </c>
      <c r="C79" s="6" t="s">
        <v>231</v>
      </c>
      <c r="D79" s="6" t="s">
        <v>232</v>
      </c>
      <c r="E79" s="7">
        <v>7401009.4230000004</v>
      </c>
      <c r="F79" s="7">
        <v>358489.60399999999</v>
      </c>
      <c r="G79" s="7">
        <v>-23.494913</v>
      </c>
      <c r="H79" s="7">
        <v>-46.3858496</v>
      </c>
      <c r="I79" s="6"/>
      <c r="J79" s="6"/>
      <c r="K79" s="6"/>
      <c r="L79" s="6" t="s">
        <v>158</v>
      </c>
    </row>
    <row r="80" spans="1:12" x14ac:dyDescent="0.3">
      <c r="A80" s="6" t="s">
        <v>30</v>
      </c>
      <c r="B80" s="6" t="s">
        <v>76</v>
      </c>
      <c r="C80" s="6" t="s">
        <v>233</v>
      </c>
      <c r="D80" s="6" t="s">
        <v>162</v>
      </c>
      <c r="E80" s="7">
        <v>7400960.5350000001</v>
      </c>
      <c r="F80" s="7">
        <v>358445.71</v>
      </c>
      <c r="G80" s="7">
        <v>-23.495350599999998</v>
      </c>
      <c r="H80" s="7">
        <v>-46.386283900000002</v>
      </c>
      <c r="I80" s="6"/>
      <c r="J80" s="6"/>
      <c r="K80" s="6"/>
      <c r="L80" s="6" t="s">
        <v>158</v>
      </c>
    </row>
    <row r="81" spans="1:12" x14ac:dyDescent="0.3">
      <c r="A81" s="6" t="s">
        <v>30</v>
      </c>
      <c r="B81" s="6" t="s">
        <v>76</v>
      </c>
      <c r="C81" s="6" t="s">
        <v>234</v>
      </c>
      <c r="D81" s="6" t="s">
        <v>229</v>
      </c>
      <c r="E81" s="7">
        <v>7400916.2779999999</v>
      </c>
      <c r="F81" s="7">
        <v>358509.26</v>
      </c>
      <c r="G81" s="7">
        <v>-23.495755800000001</v>
      </c>
      <c r="H81" s="7">
        <v>-46.385665899999999</v>
      </c>
      <c r="I81" s="6"/>
      <c r="J81" s="6"/>
      <c r="K81" s="6"/>
      <c r="L81" s="6" t="s">
        <v>158</v>
      </c>
    </row>
    <row r="82" spans="1:12" x14ac:dyDescent="0.3">
      <c r="A82" s="6" t="s">
        <v>30</v>
      </c>
      <c r="B82" s="6" t="s">
        <v>76</v>
      </c>
      <c r="C82" s="6" t="s">
        <v>235</v>
      </c>
      <c r="D82" s="6" t="s">
        <v>236</v>
      </c>
      <c r="E82" s="7">
        <v>7400877.2290000003</v>
      </c>
      <c r="F82" s="7">
        <v>358565.29499999998</v>
      </c>
      <c r="G82" s="7">
        <v>-23.496113300000001</v>
      </c>
      <c r="H82" s="7">
        <v>-46.385120899999997</v>
      </c>
      <c r="I82" s="6"/>
      <c r="J82" s="6"/>
      <c r="K82" s="6"/>
      <c r="L82" s="6" t="s">
        <v>158</v>
      </c>
    </row>
    <row r="83" spans="1:12" x14ac:dyDescent="0.3">
      <c r="A83" s="6" t="s">
        <v>32</v>
      </c>
      <c r="B83" s="6" t="s">
        <v>76</v>
      </c>
      <c r="C83" s="6" t="s">
        <v>237</v>
      </c>
      <c r="D83" s="6" t="s">
        <v>164</v>
      </c>
      <c r="E83" s="7">
        <v>7402301.142</v>
      </c>
      <c r="F83" s="7">
        <v>358163.06900000002</v>
      </c>
      <c r="G83" s="7">
        <v>-23.483219999999999</v>
      </c>
      <c r="H83" s="7">
        <v>-46.388924500000002</v>
      </c>
      <c r="I83" s="6"/>
      <c r="J83" s="6"/>
      <c r="K83" s="6"/>
      <c r="L83" s="6" t="s">
        <v>158</v>
      </c>
    </row>
    <row r="84" spans="1:12" x14ac:dyDescent="0.3">
      <c r="A84" s="6" t="s">
        <v>32</v>
      </c>
      <c r="B84" s="6" t="s">
        <v>76</v>
      </c>
      <c r="C84" s="6" t="s">
        <v>238</v>
      </c>
      <c r="D84" s="6" t="s">
        <v>239</v>
      </c>
      <c r="E84" s="7">
        <v>7402330.7580000004</v>
      </c>
      <c r="F84" s="7">
        <v>358228.54200000002</v>
      </c>
      <c r="G84" s="7">
        <v>-23.4829583</v>
      </c>
      <c r="H84" s="7">
        <v>-46.388280700000003</v>
      </c>
      <c r="I84" s="6"/>
      <c r="J84" s="6"/>
      <c r="K84" s="6"/>
      <c r="L84" s="6" t="s">
        <v>158</v>
      </c>
    </row>
    <row r="85" spans="1:12" x14ac:dyDescent="0.3">
      <c r="A85" s="6" t="s">
        <v>32</v>
      </c>
      <c r="B85" s="6" t="s">
        <v>76</v>
      </c>
      <c r="C85" s="6" t="s">
        <v>240</v>
      </c>
      <c r="D85" s="6" t="s">
        <v>166</v>
      </c>
      <c r="E85" s="7">
        <v>7402268.1950000003</v>
      </c>
      <c r="F85" s="7">
        <v>358272.63900000002</v>
      </c>
      <c r="G85" s="7">
        <v>-23.4835271</v>
      </c>
      <c r="H85" s="7">
        <v>-46.387854900000001</v>
      </c>
      <c r="I85" s="6"/>
      <c r="J85" s="6"/>
      <c r="K85" s="6"/>
      <c r="L85" s="6" t="s">
        <v>158</v>
      </c>
    </row>
    <row r="86" spans="1:12" x14ac:dyDescent="0.3">
      <c r="A86" s="6" t="s">
        <v>32</v>
      </c>
      <c r="B86" s="6" t="s">
        <v>76</v>
      </c>
      <c r="C86" s="6" t="s">
        <v>241</v>
      </c>
      <c r="D86" s="6" t="s">
        <v>242</v>
      </c>
      <c r="E86" s="7">
        <v>7402228.4910000004</v>
      </c>
      <c r="F86" s="7">
        <v>358302.18800000002</v>
      </c>
      <c r="G86" s="7">
        <v>-23.483888199999999</v>
      </c>
      <c r="H86" s="7">
        <v>-46.387569300000003</v>
      </c>
      <c r="I86" s="6"/>
      <c r="J86" s="6"/>
      <c r="K86" s="6"/>
      <c r="L86" s="6" t="s">
        <v>158</v>
      </c>
    </row>
    <row r="87" spans="1:12" x14ac:dyDescent="0.3">
      <c r="A87" s="6" t="s">
        <v>32</v>
      </c>
      <c r="B87" s="6" t="s">
        <v>76</v>
      </c>
      <c r="C87" s="6" t="s">
        <v>243</v>
      </c>
      <c r="D87" s="6" t="s">
        <v>162</v>
      </c>
      <c r="E87" s="7">
        <v>7402405.4220000003</v>
      </c>
      <c r="F87" s="7">
        <v>358044.38199999998</v>
      </c>
      <c r="G87" s="7">
        <v>-23.482268000000001</v>
      </c>
      <c r="H87" s="7">
        <v>-46.390076499999999</v>
      </c>
      <c r="I87" s="6"/>
      <c r="J87" s="6"/>
      <c r="K87" s="6"/>
      <c r="L87" s="6" t="s">
        <v>158</v>
      </c>
    </row>
    <row r="88" spans="1:12" x14ac:dyDescent="0.3">
      <c r="A88" s="6" t="s">
        <v>32</v>
      </c>
      <c r="B88" s="6" t="s">
        <v>76</v>
      </c>
      <c r="C88" s="6" t="s">
        <v>244</v>
      </c>
      <c r="D88" s="6" t="s">
        <v>168</v>
      </c>
      <c r="E88" s="7">
        <v>7402191.3739999998</v>
      </c>
      <c r="F88" s="7">
        <v>358252.58299999998</v>
      </c>
      <c r="G88" s="7">
        <v>-23.484219</v>
      </c>
      <c r="H88" s="7">
        <v>-46.3880585</v>
      </c>
      <c r="I88" s="6"/>
      <c r="J88" s="6"/>
      <c r="K88" s="6"/>
      <c r="L88" s="6" t="s">
        <v>158</v>
      </c>
    </row>
    <row r="89" spans="1:12" x14ac:dyDescent="0.3">
      <c r="A89" s="6" t="s">
        <v>34</v>
      </c>
      <c r="B89" s="6" t="s">
        <v>76</v>
      </c>
      <c r="C89" s="6" t="s">
        <v>245</v>
      </c>
      <c r="D89" s="6" t="s">
        <v>246</v>
      </c>
      <c r="E89" s="7">
        <v>7396824.574</v>
      </c>
      <c r="F89" s="7">
        <v>357631.45699999999</v>
      </c>
      <c r="G89" s="7">
        <v>-23.5326278916049</v>
      </c>
      <c r="H89" s="7">
        <v>-46.394649688907528</v>
      </c>
      <c r="I89" s="7">
        <v>762.16399999999999</v>
      </c>
      <c r="J89" s="7">
        <v>760.16399999999999</v>
      </c>
      <c r="K89" s="6">
        <v>2</v>
      </c>
      <c r="L89" s="6" t="s">
        <v>247</v>
      </c>
    </row>
    <row r="90" spans="1:12" x14ac:dyDescent="0.3">
      <c r="A90" s="6" t="s">
        <v>34</v>
      </c>
      <c r="B90" s="6" t="s">
        <v>76</v>
      </c>
      <c r="C90" s="6" t="s">
        <v>248</v>
      </c>
      <c r="D90" s="6" t="s">
        <v>249</v>
      </c>
      <c r="E90" s="7">
        <v>7396770.2170000002</v>
      </c>
      <c r="F90" s="7">
        <v>357645.82699999999</v>
      </c>
      <c r="G90" s="7">
        <v>-23.53312000459179</v>
      </c>
      <c r="H90" s="7">
        <v>-46.394514126473538</v>
      </c>
      <c r="I90" s="7">
        <v>763.53300000000002</v>
      </c>
      <c r="J90" s="7">
        <v>761.84299999999996</v>
      </c>
      <c r="K90" s="7">
        <v>1.69</v>
      </c>
      <c r="L90" s="6" t="s">
        <v>247</v>
      </c>
    </row>
    <row r="91" spans="1:12" x14ac:dyDescent="0.3">
      <c r="A91" s="6" t="s">
        <v>34</v>
      </c>
      <c r="B91" s="6" t="s">
        <v>76</v>
      </c>
      <c r="C91" s="6" t="s">
        <v>250</v>
      </c>
      <c r="D91" s="6" t="s">
        <v>251</v>
      </c>
      <c r="E91" s="7">
        <v>7396732.0379999997</v>
      </c>
      <c r="F91" s="7">
        <v>357657.34299999999</v>
      </c>
      <c r="G91" s="7">
        <v>-23.53346577729172</v>
      </c>
      <c r="H91" s="7">
        <v>-46.39440497485721</v>
      </c>
      <c r="I91" s="7">
        <v>764.78800000000001</v>
      </c>
      <c r="J91" s="7">
        <v>763.43799999999999</v>
      </c>
      <c r="K91" s="7">
        <v>1.35</v>
      </c>
      <c r="L91" s="6" t="s">
        <v>247</v>
      </c>
    </row>
    <row r="92" spans="1:12" x14ac:dyDescent="0.3">
      <c r="A92" s="6" t="s">
        <v>34</v>
      </c>
      <c r="B92" s="6" t="s">
        <v>76</v>
      </c>
      <c r="C92" s="6" t="s">
        <v>252</v>
      </c>
      <c r="D92" s="6" t="s">
        <v>253</v>
      </c>
      <c r="E92" s="7">
        <v>7396668.0319999997</v>
      </c>
      <c r="F92" s="7">
        <v>357679.84499999997</v>
      </c>
      <c r="G92" s="7">
        <v>-23.534045735623351</v>
      </c>
      <c r="H92" s="7">
        <v>-46.394190685187283</v>
      </c>
      <c r="I92" s="7">
        <v>767.87300000000005</v>
      </c>
      <c r="J92" s="7">
        <v>765.94299999999998</v>
      </c>
      <c r="K92" s="7">
        <v>1.93</v>
      </c>
      <c r="L92" s="6" t="s">
        <v>247</v>
      </c>
    </row>
    <row r="93" spans="1:12" x14ac:dyDescent="0.3">
      <c r="A93" s="6" t="s">
        <v>34</v>
      </c>
      <c r="B93" s="6" t="s">
        <v>76</v>
      </c>
      <c r="C93" s="6" t="s">
        <v>254</v>
      </c>
      <c r="D93" s="6" t="s">
        <v>255</v>
      </c>
      <c r="E93" s="7">
        <v>7396612.6140000001</v>
      </c>
      <c r="F93" s="7">
        <v>357713.364</v>
      </c>
      <c r="G93" s="7">
        <v>-23.534549109444569</v>
      </c>
      <c r="H93" s="7">
        <v>-46.393867676588513</v>
      </c>
      <c r="I93" s="7">
        <v>768.60500000000002</v>
      </c>
      <c r="J93" s="7">
        <v>766.38499999999999</v>
      </c>
      <c r="K93" s="7">
        <v>2.2200000000000002</v>
      </c>
      <c r="L93" s="6" t="s">
        <v>247</v>
      </c>
    </row>
    <row r="94" spans="1:12" x14ac:dyDescent="0.3">
      <c r="A94" s="6" t="s">
        <v>34</v>
      </c>
      <c r="B94" s="6" t="s">
        <v>76</v>
      </c>
      <c r="C94" s="6" t="s">
        <v>256</v>
      </c>
      <c r="D94" s="6" t="s">
        <v>160</v>
      </c>
      <c r="E94" s="7">
        <v>7396599.4879999999</v>
      </c>
      <c r="F94" s="7">
        <v>357725.41399999999</v>
      </c>
      <c r="G94" s="7">
        <v>-23.534668696341239</v>
      </c>
      <c r="H94" s="7">
        <v>-46.393750908484463</v>
      </c>
      <c r="I94" s="7">
        <v>769.55700000000002</v>
      </c>
      <c r="J94" s="7">
        <v>767.11699999999996</v>
      </c>
      <c r="K94" s="7">
        <v>2.44</v>
      </c>
      <c r="L94" s="6" t="s">
        <v>247</v>
      </c>
    </row>
    <row r="95" spans="1:12" x14ac:dyDescent="0.3">
      <c r="A95" s="6" t="s">
        <v>34</v>
      </c>
      <c r="B95" s="6" t="s">
        <v>76</v>
      </c>
      <c r="C95" s="6" t="s">
        <v>257</v>
      </c>
      <c r="D95" s="6" t="s">
        <v>229</v>
      </c>
      <c r="E95" s="7">
        <v>7396503.4720000001</v>
      </c>
      <c r="F95" s="7">
        <v>357725.94699999999</v>
      </c>
      <c r="G95" s="7">
        <v>-23.535535781660151</v>
      </c>
      <c r="H95" s="7">
        <v>-46.393754824461297</v>
      </c>
      <c r="I95" s="7">
        <v>771.221</v>
      </c>
      <c r="J95" s="7">
        <v>767.33100000000002</v>
      </c>
      <c r="K95" s="7">
        <v>3.89</v>
      </c>
      <c r="L95" s="6" t="s">
        <v>247</v>
      </c>
    </row>
    <row r="96" spans="1:12" x14ac:dyDescent="0.3">
      <c r="A96" s="6" t="s">
        <v>34</v>
      </c>
      <c r="B96" s="6" t="s">
        <v>76</v>
      </c>
      <c r="C96" s="6" t="s">
        <v>258</v>
      </c>
      <c r="D96" s="6" t="s">
        <v>164</v>
      </c>
      <c r="E96" s="7">
        <v>7396443.8899999997</v>
      </c>
      <c r="F96" s="7">
        <v>357734.39600000001</v>
      </c>
      <c r="G96" s="7">
        <v>-23.536074557061418</v>
      </c>
      <c r="H96" s="7">
        <v>-46.393677744048787</v>
      </c>
      <c r="I96" s="7">
        <v>772.86400000000003</v>
      </c>
      <c r="J96" s="7">
        <v>768.49400000000003</v>
      </c>
      <c r="K96" s="7">
        <v>4.37</v>
      </c>
      <c r="L96" s="6" t="s">
        <v>247</v>
      </c>
    </row>
    <row r="97" spans="1:12" x14ac:dyDescent="0.3">
      <c r="A97" s="6" t="s">
        <v>34</v>
      </c>
      <c r="B97" s="6" t="s">
        <v>76</v>
      </c>
      <c r="C97" s="6" t="s">
        <v>259</v>
      </c>
      <c r="D97" s="6" t="s">
        <v>239</v>
      </c>
      <c r="E97" s="7">
        <v>7396387.7869999995</v>
      </c>
      <c r="F97" s="7">
        <v>357735.74699999997</v>
      </c>
      <c r="G97" s="7">
        <v>-23.536581293839099</v>
      </c>
      <c r="H97" s="7">
        <v>-46.393669850604603</v>
      </c>
      <c r="I97" s="7">
        <v>773.23400000000004</v>
      </c>
      <c r="J97" s="7">
        <v>769.96400000000006</v>
      </c>
      <c r="K97" s="7">
        <v>3.27</v>
      </c>
      <c r="L97" s="6" t="s">
        <v>247</v>
      </c>
    </row>
    <row r="98" spans="1:12" x14ac:dyDescent="0.3">
      <c r="A98" s="6" t="s">
        <v>34</v>
      </c>
      <c r="B98" s="6" t="s">
        <v>76</v>
      </c>
      <c r="C98" s="6" t="s">
        <v>260</v>
      </c>
      <c r="D98" s="6" t="s">
        <v>242</v>
      </c>
      <c r="E98" s="7">
        <v>7396315.9570000004</v>
      </c>
      <c r="F98" s="7">
        <v>357741.739</v>
      </c>
      <c r="G98" s="7">
        <v>-23.5372304548352</v>
      </c>
      <c r="H98" s="7">
        <v>-46.393617999096797</v>
      </c>
      <c r="I98" s="7">
        <v>775.11099999999999</v>
      </c>
      <c r="J98" s="7">
        <v>771.11099999999999</v>
      </c>
      <c r="K98" s="6">
        <v>4</v>
      </c>
      <c r="L98" s="6" t="s">
        <v>247</v>
      </c>
    </row>
    <row r="99" spans="1:12" x14ac:dyDescent="0.3">
      <c r="A99" s="6" t="s">
        <v>34</v>
      </c>
      <c r="B99" s="6" t="s">
        <v>76</v>
      </c>
      <c r="C99" s="6" t="s">
        <v>261</v>
      </c>
      <c r="D99" s="6" t="s">
        <v>168</v>
      </c>
      <c r="E99" s="7">
        <v>7396256.4040000001</v>
      </c>
      <c r="F99" s="7">
        <v>357761.83899999998</v>
      </c>
      <c r="G99" s="7">
        <v>-23.53776999032625</v>
      </c>
      <c r="H99" s="7">
        <v>-46.39342680270682</v>
      </c>
      <c r="I99" s="7">
        <v>776.226</v>
      </c>
      <c r="J99" s="7">
        <v>771.42600000000004</v>
      </c>
      <c r="K99" s="7">
        <v>4.8</v>
      </c>
      <c r="L99" s="6" t="s">
        <v>247</v>
      </c>
    </row>
    <row r="100" spans="1:12" x14ac:dyDescent="0.3">
      <c r="A100" s="6" t="s">
        <v>34</v>
      </c>
      <c r="B100" s="6" t="s">
        <v>76</v>
      </c>
      <c r="C100" s="6" t="s">
        <v>262</v>
      </c>
      <c r="D100" s="6" t="s">
        <v>176</v>
      </c>
      <c r="E100" s="7">
        <v>7396180.1059999997</v>
      </c>
      <c r="F100" s="7">
        <v>357794.04100000003</v>
      </c>
      <c r="G100" s="7">
        <v>-23.538461796826791</v>
      </c>
      <c r="H100" s="7">
        <v>-46.393118667987821</v>
      </c>
      <c r="I100" s="7">
        <v>779.77200000000005</v>
      </c>
      <c r="J100" s="7">
        <v>775.39200000000005</v>
      </c>
      <c r="K100" s="7">
        <v>4.38</v>
      </c>
      <c r="L100" s="6" t="s">
        <v>247</v>
      </c>
    </row>
    <row r="101" spans="1:12" x14ac:dyDescent="0.3">
      <c r="A101" s="6" t="s">
        <v>34</v>
      </c>
      <c r="B101" s="6" t="s">
        <v>76</v>
      </c>
      <c r="C101" s="6" t="s">
        <v>263</v>
      </c>
      <c r="D101" s="6" t="s">
        <v>264</v>
      </c>
      <c r="E101" s="7">
        <v>7396101.2620000001</v>
      </c>
      <c r="F101" s="7">
        <v>357839.22700000001</v>
      </c>
      <c r="G101" s="7">
        <v>-23.539177732030961</v>
      </c>
      <c r="H101" s="7">
        <v>-46.392683603256813</v>
      </c>
      <c r="I101" s="7">
        <v>780.46199999999999</v>
      </c>
      <c r="J101" s="7">
        <v>776.24199999999996</v>
      </c>
      <c r="K101" s="7">
        <v>4.22</v>
      </c>
      <c r="L101" s="6" t="s">
        <v>247</v>
      </c>
    </row>
    <row r="102" spans="1:12" x14ac:dyDescent="0.3">
      <c r="A102" s="6" t="s">
        <v>34</v>
      </c>
      <c r="B102" s="6" t="s">
        <v>76</v>
      </c>
      <c r="C102" s="6" t="s">
        <v>265</v>
      </c>
      <c r="D102" s="6" t="s">
        <v>266</v>
      </c>
      <c r="E102" s="7">
        <v>7396031.4539999999</v>
      </c>
      <c r="F102" s="7">
        <v>357851.8</v>
      </c>
      <c r="G102" s="7">
        <v>-23.539809210804211</v>
      </c>
      <c r="H102" s="7">
        <v>-46.392567097741733</v>
      </c>
      <c r="I102" s="7">
        <v>782.32600000000002</v>
      </c>
      <c r="J102" s="7">
        <v>777.42600000000004</v>
      </c>
      <c r="K102" s="7">
        <v>4.9000000000000004</v>
      </c>
      <c r="L102" s="6" t="s">
        <v>247</v>
      </c>
    </row>
    <row r="103" spans="1:12" x14ac:dyDescent="0.3">
      <c r="A103" s="6" t="s">
        <v>34</v>
      </c>
      <c r="B103" s="6" t="s">
        <v>76</v>
      </c>
      <c r="C103" s="6" t="s">
        <v>267</v>
      </c>
      <c r="D103" s="6" t="s">
        <v>268</v>
      </c>
      <c r="E103" s="7">
        <v>7395984.3459999999</v>
      </c>
      <c r="F103" s="7">
        <v>357892.52</v>
      </c>
      <c r="G103" s="7">
        <v>-23.540238172520599</v>
      </c>
      <c r="H103" s="7">
        <v>-46.392172750576698</v>
      </c>
      <c r="I103" s="7">
        <v>783.43499999999995</v>
      </c>
      <c r="J103" s="7">
        <v>779.03499999999997</v>
      </c>
      <c r="K103" s="7">
        <v>4.4000000000000004</v>
      </c>
      <c r="L103" s="6" t="s">
        <v>247</v>
      </c>
    </row>
    <row r="104" spans="1:12" x14ac:dyDescent="0.3">
      <c r="A104" s="6" t="s">
        <v>34</v>
      </c>
      <c r="B104" s="6" t="s">
        <v>76</v>
      </c>
      <c r="C104" s="6" t="s">
        <v>269</v>
      </c>
      <c r="D104" s="6" t="s">
        <v>270</v>
      </c>
      <c r="E104" s="7">
        <v>7395924.7599999998</v>
      </c>
      <c r="F104" s="7">
        <v>357940.89600000001</v>
      </c>
      <c r="G104" s="7">
        <v>-23.54078048237465</v>
      </c>
      <c r="H104" s="7">
        <v>-46.391704600778667</v>
      </c>
      <c r="I104" s="7">
        <v>786.66899999999998</v>
      </c>
      <c r="J104" s="7">
        <v>782.65899999999999</v>
      </c>
      <c r="K104" s="7">
        <v>4.01</v>
      </c>
      <c r="L104" s="6" t="s">
        <v>247</v>
      </c>
    </row>
    <row r="105" spans="1:12" x14ac:dyDescent="0.3">
      <c r="A105" s="6" t="s">
        <v>34</v>
      </c>
      <c r="B105" s="6" t="s">
        <v>76</v>
      </c>
      <c r="C105" s="6" t="s">
        <v>271</v>
      </c>
      <c r="D105" s="6" t="s">
        <v>272</v>
      </c>
      <c r="E105" s="7">
        <v>7396507.7060000002</v>
      </c>
      <c r="F105" s="7">
        <v>357702.45699999999</v>
      </c>
      <c r="G105" s="7">
        <v>-23.535495487001871</v>
      </c>
      <c r="H105" s="7">
        <v>-46.393984483001361</v>
      </c>
      <c r="I105" s="7">
        <v>770.50400000000002</v>
      </c>
      <c r="J105" s="7">
        <v>768.93399999999997</v>
      </c>
      <c r="K105" s="7">
        <v>1.57</v>
      </c>
      <c r="L105" s="6" t="s">
        <v>247</v>
      </c>
    </row>
    <row r="106" spans="1:12" x14ac:dyDescent="0.3">
      <c r="A106" s="6" t="s">
        <v>34</v>
      </c>
      <c r="B106" s="6" t="s">
        <v>133</v>
      </c>
      <c r="C106" s="6" t="s">
        <v>273</v>
      </c>
      <c r="D106" s="6" t="s">
        <v>274</v>
      </c>
      <c r="E106" s="7">
        <v>7396520.835</v>
      </c>
      <c r="F106" s="7">
        <v>357678.87699999998</v>
      </c>
      <c r="G106" s="7">
        <v>-23.535374860977232</v>
      </c>
      <c r="H106" s="7">
        <v>-46.39421417616888</v>
      </c>
      <c r="I106" s="7">
        <v>770.88599999999997</v>
      </c>
      <c r="J106" s="7">
        <v>769.57600000000002</v>
      </c>
      <c r="K106" s="7">
        <v>1.31</v>
      </c>
      <c r="L106" s="6" t="s">
        <v>247</v>
      </c>
    </row>
    <row r="107" spans="1:12" x14ac:dyDescent="0.3">
      <c r="A107" s="6" t="s">
        <v>34</v>
      </c>
      <c r="B107" s="6" t="s">
        <v>76</v>
      </c>
      <c r="C107" s="6" t="s">
        <v>275</v>
      </c>
      <c r="D107" s="6" t="s">
        <v>236</v>
      </c>
      <c r="E107" s="7">
        <v>7396445.5549999997</v>
      </c>
      <c r="F107" s="7">
        <v>357713.21899999998</v>
      </c>
      <c r="G107" s="7">
        <v>-23.53605766386822</v>
      </c>
      <c r="H107" s="7">
        <v>-46.393884994376727</v>
      </c>
      <c r="I107" s="7">
        <v>772.27800000000002</v>
      </c>
      <c r="J107" s="7">
        <v>768.95799999999997</v>
      </c>
      <c r="K107" s="7">
        <v>3.32</v>
      </c>
      <c r="L107" s="6" t="s">
        <v>247</v>
      </c>
    </row>
    <row r="108" spans="1:12" x14ac:dyDescent="0.3">
      <c r="A108" s="6" t="s">
        <v>34</v>
      </c>
      <c r="B108" s="6" t="s">
        <v>76</v>
      </c>
      <c r="C108" s="6" t="s">
        <v>276</v>
      </c>
      <c r="D108" s="6" t="s">
        <v>277</v>
      </c>
      <c r="E108" s="7">
        <v>7396444.0860000001</v>
      </c>
      <c r="F108" s="7">
        <v>357708.45600000001</v>
      </c>
      <c r="G108" s="7">
        <v>-23.536070511222899</v>
      </c>
      <c r="H108" s="7">
        <v>-46.393931783273203</v>
      </c>
      <c r="I108" s="7">
        <v>772.51599999999996</v>
      </c>
      <c r="J108" s="7">
        <v>770.51599999999996</v>
      </c>
      <c r="K108" s="6">
        <v>2</v>
      </c>
      <c r="L108" s="6" t="s">
        <v>247</v>
      </c>
    </row>
    <row r="109" spans="1:12" x14ac:dyDescent="0.3">
      <c r="A109" s="6" t="s">
        <v>34</v>
      </c>
      <c r="B109" s="6" t="s">
        <v>76</v>
      </c>
      <c r="C109" s="6" t="s">
        <v>278</v>
      </c>
      <c r="D109" s="6" t="s">
        <v>279</v>
      </c>
      <c r="E109" s="7">
        <v>7396387.5619999999</v>
      </c>
      <c r="F109" s="7">
        <v>357719.70899999997</v>
      </c>
      <c r="G109" s="7">
        <v>-23.536581918504041</v>
      </c>
      <c r="H109" s="7">
        <v>-46.393826949732833</v>
      </c>
      <c r="I109" s="7">
        <v>773.06500000000005</v>
      </c>
      <c r="J109" s="7">
        <v>770.10500000000002</v>
      </c>
      <c r="K109" s="7">
        <v>2.96</v>
      </c>
      <c r="L109" s="6" t="s">
        <v>247</v>
      </c>
    </row>
    <row r="110" spans="1:12" x14ac:dyDescent="0.3">
      <c r="A110" s="6" t="s">
        <v>34</v>
      </c>
      <c r="B110" s="6" t="s">
        <v>76</v>
      </c>
      <c r="C110" s="6" t="s">
        <v>280</v>
      </c>
      <c r="D110" s="6" t="s">
        <v>281</v>
      </c>
      <c r="E110" s="7">
        <v>7396311.9119999995</v>
      </c>
      <c r="F110" s="7">
        <v>357719.71600000001</v>
      </c>
      <c r="G110" s="7">
        <v>-23.537265049527729</v>
      </c>
      <c r="H110" s="7">
        <v>-46.393834080493427</v>
      </c>
      <c r="I110" s="7">
        <v>774.85400000000004</v>
      </c>
      <c r="J110" s="7">
        <v>771.93399999999997</v>
      </c>
      <c r="K110" s="7">
        <v>2.92</v>
      </c>
      <c r="L110" s="6" t="s">
        <v>247</v>
      </c>
    </row>
    <row r="111" spans="1:12" x14ac:dyDescent="0.3">
      <c r="A111" s="6" t="s">
        <v>34</v>
      </c>
      <c r="B111" s="6" t="s">
        <v>133</v>
      </c>
      <c r="C111" s="6" t="s">
        <v>282</v>
      </c>
      <c r="D111" s="6" t="s">
        <v>283</v>
      </c>
      <c r="E111" s="7">
        <v>7396307.4850000003</v>
      </c>
      <c r="F111" s="7">
        <v>357715.6</v>
      </c>
      <c r="G111" s="7">
        <v>-23.537304664812911</v>
      </c>
      <c r="H111" s="7">
        <v>-46.393874814521602</v>
      </c>
      <c r="I111" s="7">
        <v>774.95</v>
      </c>
      <c r="J111" s="7">
        <v>773.95</v>
      </c>
      <c r="K111" s="6">
        <v>1</v>
      </c>
      <c r="L111" s="6" t="s">
        <v>247</v>
      </c>
    </row>
    <row r="112" spans="1:12" x14ac:dyDescent="0.3">
      <c r="A112" s="6" t="s">
        <v>34</v>
      </c>
      <c r="B112" s="6" t="s">
        <v>76</v>
      </c>
      <c r="C112" s="6" t="s">
        <v>284</v>
      </c>
      <c r="D112" s="6" t="s">
        <v>285</v>
      </c>
      <c r="E112" s="7">
        <v>7396251.5719999997</v>
      </c>
      <c r="F112" s="7">
        <v>357744.19400000002</v>
      </c>
      <c r="G112" s="7">
        <v>-23.537812076060089</v>
      </c>
      <c r="H112" s="7">
        <v>-46.393600080891758</v>
      </c>
      <c r="I112" s="7">
        <v>774.44399999999996</v>
      </c>
      <c r="J112" s="7">
        <v>771.82399999999996</v>
      </c>
      <c r="K112" s="7">
        <v>2.62</v>
      </c>
      <c r="L112" s="6" t="s">
        <v>247</v>
      </c>
    </row>
    <row r="113" spans="1:12" x14ac:dyDescent="0.3">
      <c r="A113" s="6" t="s">
        <v>34</v>
      </c>
      <c r="B113" s="6" t="s">
        <v>76</v>
      </c>
      <c r="C113" s="6" t="s">
        <v>286</v>
      </c>
      <c r="D113" s="6" t="s">
        <v>287</v>
      </c>
      <c r="E113" s="7">
        <v>7396095.574</v>
      </c>
      <c r="F113" s="7">
        <v>357826.08299999998</v>
      </c>
      <c r="G113" s="7">
        <v>-23.539227942998352</v>
      </c>
      <c r="H113" s="7">
        <v>-46.392812880408918</v>
      </c>
      <c r="I113" s="7">
        <v>779.53200000000004</v>
      </c>
      <c r="J113" s="7">
        <v>776.76199999999994</v>
      </c>
      <c r="K113" s="7">
        <v>2.77</v>
      </c>
      <c r="L113" s="6" t="s">
        <v>247</v>
      </c>
    </row>
    <row r="114" spans="1:12" x14ac:dyDescent="0.3">
      <c r="A114" s="6" t="s">
        <v>34</v>
      </c>
      <c r="B114" s="6" t="s">
        <v>76</v>
      </c>
      <c r="C114" s="6" t="s">
        <v>288</v>
      </c>
      <c r="D114" s="6" t="s">
        <v>289</v>
      </c>
      <c r="E114" s="7">
        <v>7396095.4879999999</v>
      </c>
      <c r="F114" s="7">
        <v>357824.52899999998</v>
      </c>
      <c r="G114" s="7">
        <v>-23.539228583324721</v>
      </c>
      <c r="H114" s="7">
        <v>-46.392828108924483</v>
      </c>
      <c r="I114" s="7">
        <v>779.4</v>
      </c>
      <c r="J114" s="7">
        <v>777.42</v>
      </c>
      <c r="K114" s="7">
        <v>1.98</v>
      </c>
      <c r="L114" s="6" t="s">
        <v>247</v>
      </c>
    </row>
    <row r="115" spans="1:12" x14ac:dyDescent="0.3">
      <c r="A115" s="6" t="s">
        <v>34</v>
      </c>
      <c r="B115" s="6" t="s">
        <v>76</v>
      </c>
      <c r="C115" s="6" t="s">
        <v>290</v>
      </c>
      <c r="D115" s="6" t="s">
        <v>291</v>
      </c>
      <c r="E115" s="7">
        <v>7396024.1330000004</v>
      </c>
      <c r="F115" s="7">
        <v>357841.46500000003</v>
      </c>
      <c r="G115" s="7">
        <v>-23.539874414360121</v>
      </c>
      <c r="H115" s="7">
        <v>-46.392669018473534</v>
      </c>
      <c r="I115" s="7">
        <v>781.61599999999999</v>
      </c>
      <c r="J115" s="7">
        <v>778.61599999999999</v>
      </c>
      <c r="K115" s="6">
        <v>3</v>
      </c>
      <c r="L115" s="6" t="s">
        <v>247</v>
      </c>
    </row>
    <row r="116" spans="1:12" x14ac:dyDescent="0.3">
      <c r="A116" s="6" t="s">
        <v>34</v>
      </c>
      <c r="B116" s="6" t="s">
        <v>76</v>
      </c>
      <c r="C116" s="6" t="s">
        <v>292</v>
      </c>
      <c r="D116" s="6" t="s">
        <v>293</v>
      </c>
      <c r="E116" s="7">
        <v>7395976.8119999999</v>
      </c>
      <c r="F116" s="7">
        <v>357884.21399999998</v>
      </c>
      <c r="G116" s="7">
        <v>-23.540305477600469</v>
      </c>
      <c r="H116" s="7">
        <v>-46.3922548189284</v>
      </c>
      <c r="I116" s="7">
        <v>782.94399999999996</v>
      </c>
      <c r="J116" s="7">
        <v>780.29399999999998</v>
      </c>
      <c r="K116" s="7">
        <v>2.65</v>
      </c>
      <c r="L116" s="6" t="s">
        <v>247</v>
      </c>
    </row>
    <row r="117" spans="1:12" x14ac:dyDescent="0.3">
      <c r="A117" s="6" t="s">
        <v>34</v>
      </c>
      <c r="B117" s="6" t="s">
        <v>76</v>
      </c>
      <c r="C117" s="6" t="s">
        <v>294</v>
      </c>
      <c r="D117" s="6" t="s">
        <v>295</v>
      </c>
      <c r="E117" s="7">
        <v>7395905.0820000004</v>
      </c>
      <c r="F117" s="7">
        <v>357924.48499999999</v>
      </c>
      <c r="G117" s="7">
        <v>-23.54095673955473</v>
      </c>
      <c r="H117" s="7">
        <v>-46.391867207322441</v>
      </c>
      <c r="I117" s="7">
        <v>787.72199999999998</v>
      </c>
      <c r="J117" s="7">
        <v>784.52200000000005</v>
      </c>
      <c r="K117" s="7">
        <v>3.2</v>
      </c>
      <c r="L117" s="6" t="s">
        <v>247</v>
      </c>
    </row>
    <row r="118" spans="1:12" x14ac:dyDescent="0.3">
      <c r="A118" s="6" t="s">
        <v>37</v>
      </c>
      <c r="B118" s="6" t="s">
        <v>76</v>
      </c>
      <c r="C118" s="6" t="s">
        <v>296</v>
      </c>
      <c r="D118" s="6" t="s">
        <v>296</v>
      </c>
      <c r="E118" s="7">
        <v>7397760.4009999996</v>
      </c>
      <c r="F118" s="7">
        <v>358285.462</v>
      </c>
      <c r="G118" s="7">
        <v>-23.524234499999999</v>
      </c>
      <c r="H118" s="7">
        <v>-46.3881558</v>
      </c>
      <c r="I118" s="7">
        <v>806.73199999999997</v>
      </c>
      <c r="J118" s="7">
        <v>801.01199999999994</v>
      </c>
      <c r="K118" s="7">
        <v>5.72</v>
      </c>
      <c r="L118" s="6"/>
    </row>
    <row r="119" spans="1:12" x14ac:dyDescent="0.3">
      <c r="A119" s="6" t="s">
        <v>37</v>
      </c>
      <c r="B119" s="6" t="s">
        <v>76</v>
      </c>
      <c r="C119" s="6" t="s">
        <v>297</v>
      </c>
      <c r="D119" s="6" t="s">
        <v>297</v>
      </c>
      <c r="E119" s="7">
        <v>7397785.5190000003</v>
      </c>
      <c r="F119" s="7">
        <v>358355.18099999998</v>
      </c>
      <c r="G119" s="7">
        <v>-23.524013799999999</v>
      </c>
      <c r="H119" s="7">
        <v>-46.387470700000002</v>
      </c>
      <c r="I119" s="7">
        <v>811.21500000000003</v>
      </c>
      <c r="J119" s="7">
        <v>801.81500000000005</v>
      </c>
      <c r="K119" s="7">
        <v>9.4</v>
      </c>
      <c r="L119" s="6"/>
    </row>
    <row r="120" spans="1:12" x14ac:dyDescent="0.3">
      <c r="A120" s="6" t="s">
        <v>37</v>
      </c>
      <c r="B120" s="6" t="s">
        <v>76</v>
      </c>
      <c r="C120" s="6" t="s">
        <v>298</v>
      </c>
      <c r="D120" s="6" t="s">
        <v>298</v>
      </c>
      <c r="E120" s="7">
        <v>7397813.2740000002</v>
      </c>
      <c r="F120" s="7">
        <v>358421.21500000003</v>
      </c>
      <c r="G120" s="7">
        <v>-23.5237689</v>
      </c>
      <c r="H120" s="7">
        <v>-46.386821400000002</v>
      </c>
      <c r="I120" s="7">
        <v>814.01400000000001</v>
      </c>
      <c r="J120" s="7">
        <v>802.01400000000001</v>
      </c>
      <c r="K120" s="6">
        <v>12</v>
      </c>
      <c r="L120" s="6"/>
    </row>
    <row r="121" spans="1:12" x14ac:dyDescent="0.3">
      <c r="A121" s="6" t="s">
        <v>37</v>
      </c>
      <c r="B121" s="6" t="s">
        <v>76</v>
      </c>
      <c r="C121" s="6" t="s">
        <v>299</v>
      </c>
      <c r="D121" s="6" t="s">
        <v>299</v>
      </c>
      <c r="E121" s="7">
        <v>7397792.5599999996</v>
      </c>
      <c r="F121" s="7">
        <v>358490.951</v>
      </c>
      <c r="G121" s="7">
        <v>-23.523962000000001</v>
      </c>
      <c r="H121" s="7">
        <v>-46.386140400000002</v>
      </c>
      <c r="I121" s="7">
        <v>804.85199999999998</v>
      </c>
      <c r="J121" s="7">
        <v>802.13199999999995</v>
      </c>
      <c r="K121" s="7">
        <v>2.72</v>
      </c>
      <c r="L121" s="6"/>
    </row>
    <row r="122" spans="1:12" x14ac:dyDescent="0.3">
      <c r="A122" s="6" t="s">
        <v>37</v>
      </c>
      <c r="B122" s="6" t="s">
        <v>76</v>
      </c>
      <c r="C122" s="6" t="s">
        <v>300</v>
      </c>
      <c r="D122" s="6" t="s">
        <v>300</v>
      </c>
      <c r="E122" s="7">
        <v>7397793.5089999996</v>
      </c>
      <c r="F122" s="7">
        <v>358492.50900000002</v>
      </c>
      <c r="G122" s="7">
        <v>-23.523953599999999</v>
      </c>
      <c r="H122" s="7">
        <v>-46.386125</v>
      </c>
      <c r="I122" s="7">
        <v>805.01599999999996</v>
      </c>
      <c r="J122" s="7">
        <v>802.71600000000001</v>
      </c>
      <c r="K122" s="7">
        <v>2.2999999999999998</v>
      </c>
      <c r="L122" s="6" t="s">
        <v>301</v>
      </c>
    </row>
    <row r="123" spans="1:12" x14ac:dyDescent="0.3">
      <c r="A123" s="6" t="s">
        <v>37</v>
      </c>
      <c r="B123" s="6" t="s">
        <v>133</v>
      </c>
      <c r="C123" s="6" t="s">
        <v>302</v>
      </c>
      <c r="D123" s="6" t="s">
        <v>302</v>
      </c>
      <c r="E123" s="7">
        <v>7397791.0070000002</v>
      </c>
      <c r="F123" s="7">
        <v>358552.43900000001</v>
      </c>
      <c r="G123" s="7">
        <v>-23.5239814</v>
      </c>
      <c r="H123" s="7">
        <v>-46.385538400000002</v>
      </c>
      <c r="I123" s="7">
        <v>805.69899999999996</v>
      </c>
      <c r="J123" s="7">
        <v>804.529</v>
      </c>
      <c r="K123" s="7">
        <v>1.17</v>
      </c>
      <c r="L123" s="6" t="s">
        <v>303</v>
      </c>
    </row>
    <row r="124" spans="1:12" x14ac:dyDescent="0.3">
      <c r="A124" s="6" t="s">
        <v>37</v>
      </c>
      <c r="B124" s="6" t="s">
        <v>133</v>
      </c>
      <c r="C124" s="6" t="s">
        <v>304</v>
      </c>
      <c r="D124" s="6" t="s">
        <v>304</v>
      </c>
      <c r="E124" s="7">
        <v>7397811.1260000002</v>
      </c>
      <c r="F124" s="7">
        <v>358436.62</v>
      </c>
      <c r="G124" s="7">
        <v>-23.523789600000001</v>
      </c>
      <c r="H124" s="7">
        <v>-46.386670700000003</v>
      </c>
      <c r="I124" s="7">
        <v>812.74</v>
      </c>
      <c r="J124" s="7">
        <v>811.79</v>
      </c>
      <c r="K124" s="7">
        <v>0.95</v>
      </c>
      <c r="L124" s="6" t="s">
        <v>305</v>
      </c>
    </row>
    <row r="125" spans="1:12" x14ac:dyDescent="0.3">
      <c r="A125" s="6" t="s">
        <v>37</v>
      </c>
      <c r="B125" s="6" t="s">
        <v>133</v>
      </c>
      <c r="C125" s="6" t="s">
        <v>306</v>
      </c>
      <c r="D125" s="6" t="s">
        <v>306</v>
      </c>
      <c r="E125" s="7">
        <v>7397785.6390000004</v>
      </c>
      <c r="F125" s="7">
        <v>358542.01500000001</v>
      </c>
      <c r="G125" s="7">
        <v>-23.524028999999999</v>
      </c>
      <c r="H125" s="7">
        <v>-46.385641</v>
      </c>
      <c r="I125" s="7">
        <v>804.14300000000003</v>
      </c>
      <c r="J125" s="7">
        <v>803.16300000000001</v>
      </c>
      <c r="K125" s="7">
        <v>0.98</v>
      </c>
      <c r="L125" s="6"/>
    </row>
    <row r="126" spans="1:12" x14ac:dyDescent="0.3">
      <c r="A126" s="6" t="s">
        <v>37</v>
      </c>
      <c r="B126" s="6" t="s">
        <v>133</v>
      </c>
      <c r="C126" s="6" t="s">
        <v>307</v>
      </c>
      <c r="D126" s="6" t="s">
        <v>307</v>
      </c>
      <c r="E126" s="7">
        <v>7397787.3360000001</v>
      </c>
      <c r="F126" s="7">
        <v>358548.70400000003</v>
      </c>
      <c r="G126" s="7">
        <v>-23.5240142</v>
      </c>
      <c r="H126" s="7">
        <v>-46.385575299999999</v>
      </c>
      <c r="I126" s="7">
        <v>804.97799999999995</v>
      </c>
      <c r="J126" s="7">
        <v>803.97799999999995</v>
      </c>
      <c r="K126" s="6">
        <v>1</v>
      </c>
      <c r="L126" s="6" t="s">
        <v>308</v>
      </c>
    </row>
    <row r="127" spans="1:12" x14ac:dyDescent="0.3">
      <c r="A127" s="6" t="s">
        <v>37</v>
      </c>
      <c r="B127" s="6" t="s">
        <v>133</v>
      </c>
      <c r="C127" s="6" t="s">
        <v>309</v>
      </c>
      <c r="D127" s="6" t="s">
        <v>309</v>
      </c>
      <c r="E127" s="7">
        <v>7397820.4780000001</v>
      </c>
      <c r="F127" s="7">
        <v>358582.766</v>
      </c>
      <c r="G127" s="7">
        <v>-23.523717900000001</v>
      </c>
      <c r="H127" s="7">
        <v>-46.385238600000001</v>
      </c>
      <c r="I127" s="7">
        <v>810.83600000000001</v>
      </c>
      <c r="J127" s="7">
        <v>809.58600000000001</v>
      </c>
      <c r="K127" s="6"/>
      <c r="L127" s="6" t="s">
        <v>310</v>
      </c>
    </row>
    <row r="128" spans="1:12" x14ac:dyDescent="0.3">
      <c r="A128" s="6" t="s">
        <v>37</v>
      </c>
      <c r="B128" s="6" t="s">
        <v>133</v>
      </c>
      <c r="C128" s="6" t="s">
        <v>311</v>
      </c>
      <c r="D128" s="6" t="s">
        <v>311</v>
      </c>
      <c r="E128" s="7">
        <v>7397800.2470000004</v>
      </c>
      <c r="F128" s="7">
        <v>358470.63</v>
      </c>
      <c r="G128" s="7">
        <v>-23.5238908</v>
      </c>
      <c r="H128" s="7">
        <v>-46.386338700000003</v>
      </c>
      <c r="I128" s="7">
        <v>806.31399999999996</v>
      </c>
      <c r="J128" s="7">
        <v>805.13400000000001</v>
      </c>
      <c r="K128" s="7">
        <v>1.18</v>
      </c>
      <c r="L128" s="6" t="s">
        <v>312</v>
      </c>
    </row>
    <row r="129" spans="1:12" x14ac:dyDescent="0.3">
      <c r="A129" s="6" t="s">
        <v>37</v>
      </c>
      <c r="B129" s="6" t="s">
        <v>133</v>
      </c>
      <c r="C129" s="6" t="s">
        <v>313</v>
      </c>
      <c r="D129" s="6" t="s">
        <v>313</v>
      </c>
      <c r="E129" s="7">
        <v>7397736.7060000002</v>
      </c>
      <c r="F129" s="7">
        <v>358206.723</v>
      </c>
      <c r="G129" s="7">
        <v>-23.524441599999999</v>
      </c>
      <c r="H129" s="7">
        <v>-46.3889292</v>
      </c>
      <c r="I129" s="7">
        <v>801.81700000000001</v>
      </c>
      <c r="J129" s="7">
        <v>799.96699999999998</v>
      </c>
      <c r="K129" s="7">
        <v>1.85</v>
      </c>
      <c r="L129" s="6"/>
    </row>
    <row r="130" spans="1:12" x14ac:dyDescent="0.3">
      <c r="A130" s="6" t="s">
        <v>39</v>
      </c>
      <c r="B130" s="6" t="s">
        <v>76</v>
      </c>
      <c r="C130" s="6" t="s">
        <v>162</v>
      </c>
      <c r="D130" s="6" t="s">
        <v>162</v>
      </c>
      <c r="E130" s="7">
        <v>7400267.1780000003</v>
      </c>
      <c r="F130" s="7">
        <v>357001.76400000002</v>
      </c>
      <c r="G130" s="7">
        <v>-23.501485299999999</v>
      </c>
      <c r="H130" s="7">
        <v>-46.400487900000002</v>
      </c>
      <c r="I130" s="7">
        <v>751.33399999999995</v>
      </c>
      <c r="J130" s="7">
        <v>747.98400000000004</v>
      </c>
      <c r="K130" s="7">
        <v>3.35</v>
      </c>
      <c r="L130" s="6" t="s">
        <v>314</v>
      </c>
    </row>
    <row r="131" spans="1:12" x14ac:dyDescent="0.3">
      <c r="A131" s="6" t="s">
        <v>39</v>
      </c>
      <c r="B131" s="6" t="s">
        <v>76</v>
      </c>
      <c r="C131" s="6" t="s">
        <v>229</v>
      </c>
      <c r="D131" s="6" t="s">
        <v>229</v>
      </c>
      <c r="E131" s="7">
        <v>7400264.6560000004</v>
      </c>
      <c r="F131" s="7">
        <v>357001.473</v>
      </c>
      <c r="G131" s="7">
        <v>-23.501508000000001</v>
      </c>
      <c r="H131" s="7">
        <v>-46.400490900000001</v>
      </c>
      <c r="I131" s="7">
        <v>751.56299999999999</v>
      </c>
      <c r="J131" s="7">
        <v>748.11300000000006</v>
      </c>
      <c r="K131" s="7">
        <v>3.45</v>
      </c>
      <c r="L131" s="6" t="s">
        <v>315</v>
      </c>
    </row>
    <row r="132" spans="1:12" x14ac:dyDescent="0.3">
      <c r="A132" s="6" t="s">
        <v>39</v>
      </c>
      <c r="B132" s="6" t="s">
        <v>76</v>
      </c>
      <c r="C132" s="6" t="s">
        <v>164</v>
      </c>
      <c r="D132" s="6" t="s">
        <v>164</v>
      </c>
      <c r="E132" s="7">
        <v>7400209.432</v>
      </c>
      <c r="F132" s="7">
        <v>357001.36499999999</v>
      </c>
      <c r="G132" s="7">
        <v>-23.502006699999999</v>
      </c>
      <c r="H132" s="7">
        <v>-46.400497299999998</v>
      </c>
      <c r="I132" s="7">
        <v>756.25800000000004</v>
      </c>
      <c r="J132" s="7">
        <v>748.70799999999997</v>
      </c>
      <c r="K132" s="7">
        <v>7.55</v>
      </c>
      <c r="L132" s="6" t="s">
        <v>316</v>
      </c>
    </row>
    <row r="133" spans="1:12" x14ac:dyDescent="0.3">
      <c r="A133" s="6" t="s">
        <v>39</v>
      </c>
      <c r="B133" s="6" t="s">
        <v>76</v>
      </c>
      <c r="C133" s="6" t="s">
        <v>239</v>
      </c>
      <c r="D133" s="6" t="s">
        <v>239</v>
      </c>
      <c r="E133" s="7">
        <v>7400208.8789999997</v>
      </c>
      <c r="F133" s="7">
        <v>357086.87300000002</v>
      </c>
      <c r="G133" s="7">
        <v>-23.502019199999999</v>
      </c>
      <c r="H133" s="7">
        <v>-46.399660099999998</v>
      </c>
      <c r="I133" s="7">
        <v>751.41600000000005</v>
      </c>
      <c r="J133" s="7">
        <v>749.11599999999999</v>
      </c>
      <c r="K133" s="7">
        <v>2.2999999999999998</v>
      </c>
      <c r="L133" s="6" t="s">
        <v>317</v>
      </c>
    </row>
    <row r="134" spans="1:12" x14ac:dyDescent="0.3">
      <c r="A134" s="6" t="s">
        <v>39</v>
      </c>
      <c r="B134" s="6" t="s">
        <v>76</v>
      </c>
      <c r="C134" s="6" t="s">
        <v>264</v>
      </c>
      <c r="D134" s="6" t="s">
        <v>264</v>
      </c>
      <c r="E134" s="7">
        <v>7400209.0379999997</v>
      </c>
      <c r="F134" s="7">
        <v>357098.46100000001</v>
      </c>
      <c r="G134" s="7">
        <v>-23.502018799999998</v>
      </c>
      <c r="H134" s="7">
        <v>-46.399546600000001</v>
      </c>
      <c r="I134" s="7">
        <v>751.30700000000002</v>
      </c>
      <c r="J134" s="7">
        <v>749.33699999999999</v>
      </c>
      <c r="K134" s="7">
        <v>1.97</v>
      </c>
      <c r="L134" s="6" t="s">
        <v>318</v>
      </c>
    </row>
    <row r="135" spans="1:12" x14ac:dyDescent="0.3">
      <c r="A135" s="6" t="s">
        <v>39</v>
      </c>
      <c r="B135" s="6" t="s">
        <v>133</v>
      </c>
      <c r="C135" s="6" t="s">
        <v>319</v>
      </c>
      <c r="D135" s="6" t="s">
        <v>319</v>
      </c>
      <c r="E135" s="7">
        <v>7400211.9809999997</v>
      </c>
      <c r="F135" s="7">
        <v>357098.4</v>
      </c>
      <c r="G135" s="7">
        <v>-23.5019922</v>
      </c>
      <c r="H135" s="7">
        <v>-46.399546899999997</v>
      </c>
      <c r="I135" s="7">
        <v>751.30899999999997</v>
      </c>
      <c r="J135" s="7">
        <v>750.00900000000001</v>
      </c>
      <c r="K135" s="7">
        <v>1.3</v>
      </c>
      <c r="L135" s="6" t="s">
        <v>320</v>
      </c>
    </row>
    <row r="136" spans="1:12" x14ac:dyDescent="0.3">
      <c r="A136" s="6" t="s">
        <v>39</v>
      </c>
      <c r="B136" s="6" t="s">
        <v>76</v>
      </c>
      <c r="C136" s="6" t="s">
        <v>321</v>
      </c>
      <c r="D136" s="6" t="s">
        <v>321</v>
      </c>
      <c r="E136" s="7">
        <v>7400209.3430000003</v>
      </c>
      <c r="F136" s="7">
        <v>357110.57699999999</v>
      </c>
      <c r="G136" s="7">
        <v>-23.5020171</v>
      </c>
      <c r="H136" s="7">
        <v>-46.399427899999999</v>
      </c>
      <c r="I136" s="7">
        <v>751.33199999999999</v>
      </c>
      <c r="J136" s="7">
        <v>749.35199999999998</v>
      </c>
      <c r="K136" s="7">
        <v>1.98</v>
      </c>
      <c r="L136" s="6" t="s">
        <v>322</v>
      </c>
    </row>
    <row r="137" spans="1:12" x14ac:dyDescent="0.3">
      <c r="A137" s="6" t="s">
        <v>39</v>
      </c>
      <c r="B137" s="6" t="s">
        <v>133</v>
      </c>
      <c r="C137" s="6" t="s">
        <v>323</v>
      </c>
      <c r="D137" s="6" t="s">
        <v>323</v>
      </c>
      <c r="E137" s="7">
        <v>7400212.1600000001</v>
      </c>
      <c r="F137" s="7">
        <v>357112.755</v>
      </c>
      <c r="G137" s="7">
        <v>-23.5019919</v>
      </c>
      <c r="H137" s="7">
        <v>-46.399406300000003</v>
      </c>
      <c r="I137" s="7">
        <v>751.36599999999999</v>
      </c>
      <c r="J137" s="7">
        <v>750.06600000000003</v>
      </c>
      <c r="K137" s="7">
        <v>1.3</v>
      </c>
      <c r="L137" s="6" t="s">
        <v>324</v>
      </c>
    </row>
    <row r="138" spans="1:12" x14ac:dyDescent="0.3">
      <c r="A138" s="6" t="s">
        <v>39</v>
      </c>
      <c r="B138" s="6" t="s">
        <v>133</v>
      </c>
      <c r="C138" s="6" t="s">
        <v>325</v>
      </c>
      <c r="D138" s="6" t="s">
        <v>325</v>
      </c>
      <c r="E138" s="7">
        <v>7400209.1639999999</v>
      </c>
      <c r="F138" s="7">
        <v>357113.67599999998</v>
      </c>
      <c r="G138" s="7">
        <v>-23.502019000000001</v>
      </c>
      <c r="H138" s="7">
        <v>-46.3993976</v>
      </c>
      <c r="I138" s="7">
        <v>751.41200000000003</v>
      </c>
      <c r="J138" s="7">
        <v>750.26199999999994</v>
      </c>
      <c r="K138" s="7">
        <v>1.1499999999999999</v>
      </c>
      <c r="L138" s="6" t="s">
        <v>326</v>
      </c>
    </row>
    <row r="139" spans="1:12" x14ac:dyDescent="0.3">
      <c r="A139" s="6" t="s">
        <v>39</v>
      </c>
      <c r="B139" s="6" t="s">
        <v>76</v>
      </c>
      <c r="C139" s="6" t="s">
        <v>166</v>
      </c>
      <c r="D139" s="6" t="s">
        <v>166</v>
      </c>
      <c r="E139" s="7">
        <v>7400162.551</v>
      </c>
      <c r="F139" s="7">
        <v>357085.95699999999</v>
      </c>
      <c r="G139" s="7">
        <v>-23.502437499999999</v>
      </c>
      <c r="H139" s="7">
        <v>-46.399673499999999</v>
      </c>
      <c r="I139" s="7">
        <v>752.51499999999999</v>
      </c>
      <c r="J139" s="7">
        <v>749.61500000000001</v>
      </c>
      <c r="K139" s="7">
        <v>2.9</v>
      </c>
      <c r="L139" s="6" t="s">
        <v>327</v>
      </c>
    </row>
    <row r="140" spans="1:12" x14ac:dyDescent="0.3">
      <c r="A140" s="6" t="s">
        <v>39</v>
      </c>
      <c r="B140" s="6" t="s">
        <v>76</v>
      </c>
      <c r="C140" s="6" t="s">
        <v>328</v>
      </c>
      <c r="D140" s="6" t="s">
        <v>328</v>
      </c>
      <c r="E140" s="7">
        <v>7400164.1799999997</v>
      </c>
      <c r="F140" s="7">
        <v>357134.799</v>
      </c>
      <c r="G140" s="7">
        <v>-23.502427099999998</v>
      </c>
      <c r="H140" s="7">
        <v>-46.3991951</v>
      </c>
      <c r="I140" s="7">
        <v>752.22500000000002</v>
      </c>
      <c r="J140" s="7">
        <v>750.42499999999995</v>
      </c>
      <c r="K140" s="7">
        <v>1.8</v>
      </c>
      <c r="L140" s="6" t="s">
        <v>329</v>
      </c>
    </row>
    <row r="141" spans="1:12" x14ac:dyDescent="0.3">
      <c r="A141" s="6" t="s">
        <v>39</v>
      </c>
      <c r="B141" s="6" t="s">
        <v>133</v>
      </c>
      <c r="C141" s="6" t="s">
        <v>330</v>
      </c>
      <c r="D141" s="6" t="s">
        <v>330</v>
      </c>
      <c r="E141" s="7">
        <v>7400166.2300000004</v>
      </c>
      <c r="F141" s="7">
        <v>357134.272</v>
      </c>
      <c r="G141" s="7">
        <v>-23.502408500000001</v>
      </c>
      <c r="H141" s="7">
        <v>-46.3992</v>
      </c>
      <c r="I141" s="7">
        <v>752.14499999999998</v>
      </c>
      <c r="J141" s="7">
        <v>750.745</v>
      </c>
      <c r="K141" s="7">
        <v>1.4</v>
      </c>
      <c r="L141" s="6" t="s">
        <v>331</v>
      </c>
    </row>
    <row r="142" spans="1:12" x14ac:dyDescent="0.3">
      <c r="A142" s="6" t="s">
        <v>39</v>
      </c>
      <c r="B142" s="6" t="s">
        <v>76</v>
      </c>
      <c r="C142" s="6" t="s">
        <v>268</v>
      </c>
      <c r="D142" s="6" t="s">
        <v>268</v>
      </c>
      <c r="E142" s="7">
        <v>7400164.4730000002</v>
      </c>
      <c r="F142" s="7">
        <v>357141.49</v>
      </c>
      <c r="G142" s="7">
        <v>-23.502424999999999</v>
      </c>
      <c r="H142" s="7">
        <v>-46.399129500000001</v>
      </c>
      <c r="I142" s="7">
        <v>752.39499999999998</v>
      </c>
      <c r="J142" s="7">
        <v>750.59500000000003</v>
      </c>
      <c r="K142" s="7">
        <v>1.8</v>
      </c>
      <c r="L142" s="6" t="s">
        <v>332</v>
      </c>
    </row>
    <row r="143" spans="1:12" x14ac:dyDescent="0.3">
      <c r="A143" s="6" t="s">
        <v>39</v>
      </c>
      <c r="B143" s="6" t="s">
        <v>133</v>
      </c>
      <c r="C143" s="6" t="s">
        <v>333</v>
      </c>
      <c r="D143" s="6" t="s">
        <v>333</v>
      </c>
      <c r="E143" s="7">
        <v>7400167.5970000001</v>
      </c>
      <c r="F143" s="7">
        <v>357142.39399999997</v>
      </c>
      <c r="G143" s="7">
        <v>-23.502396900000001</v>
      </c>
      <c r="H143" s="7">
        <v>-46.399120400000001</v>
      </c>
      <c r="I143" s="7">
        <v>752.42499999999995</v>
      </c>
      <c r="J143" s="7">
        <v>750.92499999999995</v>
      </c>
      <c r="K143" s="7">
        <v>1.5</v>
      </c>
      <c r="L143" s="6" t="s">
        <v>334</v>
      </c>
    </row>
    <row r="144" spans="1:12" x14ac:dyDescent="0.3">
      <c r="A144" s="6" t="s">
        <v>39</v>
      </c>
      <c r="B144" s="6" t="s">
        <v>133</v>
      </c>
      <c r="C144" s="6" t="s">
        <v>335</v>
      </c>
      <c r="D144" s="6" t="s">
        <v>335</v>
      </c>
      <c r="E144" s="7">
        <v>7400163.0279999999</v>
      </c>
      <c r="F144" s="7">
        <v>357141.68599999999</v>
      </c>
      <c r="G144" s="7">
        <v>-23.502438099999999</v>
      </c>
      <c r="H144" s="7">
        <v>-46.399127700000001</v>
      </c>
      <c r="I144" s="7">
        <v>752.36500000000001</v>
      </c>
      <c r="J144" s="7">
        <v>751.41499999999996</v>
      </c>
      <c r="K144" s="7">
        <v>0.95</v>
      </c>
      <c r="L144" s="6" t="s">
        <v>336</v>
      </c>
    </row>
    <row r="145" spans="1:12" x14ac:dyDescent="0.3">
      <c r="A145" s="6" t="s">
        <v>39</v>
      </c>
      <c r="B145" s="6" t="s">
        <v>76</v>
      </c>
      <c r="C145" s="6" t="s">
        <v>242</v>
      </c>
      <c r="D145" s="6" t="s">
        <v>242</v>
      </c>
      <c r="E145" s="7">
        <v>7400116.1229999997</v>
      </c>
      <c r="F145" s="7">
        <v>357087.473</v>
      </c>
      <c r="G145" s="7">
        <v>-23.502856900000001</v>
      </c>
      <c r="H145" s="7">
        <v>-46.399663099999998</v>
      </c>
      <c r="I145" s="7">
        <v>754.48500000000001</v>
      </c>
      <c r="J145" s="7">
        <v>749.93499999999995</v>
      </c>
      <c r="K145" s="7">
        <v>4.55</v>
      </c>
      <c r="L145" s="6" t="s">
        <v>337</v>
      </c>
    </row>
    <row r="146" spans="1:12" x14ac:dyDescent="0.3">
      <c r="A146" s="6" t="s">
        <v>39</v>
      </c>
      <c r="B146" s="6" t="s">
        <v>76</v>
      </c>
      <c r="C146" s="6" t="s">
        <v>338</v>
      </c>
      <c r="D146" s="6" t="s">
        <v>338</v>
      </c>
      <c r="E146" s="7">
        <v>7400114.3810000001</v>
      </c>
      <c r="F146" s="7">
        <v>357138.696</v>
      </c>
      <c r="G146" s="7">
        <v>-23.502877099999999</v>
      </c>
      <c r="H146" s="7">
        <v>-46.399161700000001</v>
      </c>
      <c r="I146" s="7">
        <v>752.745</v>
      </c>
      <c r="J146" s="7">
        <v>750.84500000000003</v>
      </c>
      <c r="K146" s="7">
        <v>1.9</v>
      </c>
      <c r="L146" s="6" t="s">
        <v>339</v>
      </c>
    </row>
    <row r="147" spans="1:12" x14ac:dyDescent="0.3">
      <c r="A147" s="6" t="s">
        <v>39</v>
      </c>
      <c r="B147" s="6" t="s">
        <v>76</v>
      </c>
      <c r="C147" s="6" t="s">
        <v>340</v>
      </c>
      <c r="D147" s="6" t="s">
        <v>340</v>
      </c>
      <c r="E147" s="7">
        <v>7400114.1550000003</v>
      </c>
      <c r="F147" s="7">
        <v>357146.717</v>
      </c>
      <c r="G147" s="7">
        <v>-23.5028799</v>
      </c>
      <c r="H147" s="7">
        <v>-46.399083099999999</v>
      </c>
      <c r="I147" s="7">
        <v>752.81500000000005</v>
      </c>
      <c r="J147" s="7">
        <v>750.96500000000003</v>
      </c>
      <c r="K147" s="7">
        <v>1.85</v>
      </c>
      <c r="L147" s="6" t="s">
        <v>341</v>
      </c>
    </row>
    <row r="148" spans="1:12" x14ac:dyDescent="0.3">
      <c r="A148" s="6" t="s">
        <v>39</v>
      </c>
      <c r="B148" s="6" t="s">
        <v>133</v>
      </c>
      <c r="C148" s="6" t="s">
        <v>342</v>
      </c>
      <c r="D148" s="6" t="s">
        <v>342</v>
      </c>
      <c r="E148" s="7">
        <v>7400115.7410000004</v>
      </c>
      <c r="F148" s="7">
        <v>357148.47200000001</v>
      </c>
      <c r="G148" s="7">
        <v>-23.502865700000001</v>
      </c>
      <c r="H148" s="7">
        <v>-46.399065800000002</v>
      </c>
      <c r="I148" s="7">
        <v>752.76499999999999</v>
      </c>
      <c r="J148" s="7">
        <v>752.06500000000005</v>
      </c>
      <c r="K148" s="7">
        <v>0.7</v>
      </c>
      <c r="L148" s="6" t="s">
        <v>343</v>
      </c>
    </row>
    <row r="149" spans="1:12" x14ac:dyDescent="0.3">
      <c r="A149" s="6" t="s">
        <v>39</v>
      </c>
      <c r="B149" s="6" t="s">
        <v>76</v>
      </c>
      <c r="C149" s="6" t="s">
        <v>168</v>
      </c>
      <c r="D149" s="6" t="s">
        <v>168</v>
      </c>
      <c r="E149" s="7">
        <v>7400068.8260000004</v>
      </c>
      <c r="F149" s="7">
        <v>357086.59</v>
      </c>
      <c r="G149" s="7">
        <v>-23.5032839</v>
      </c>
      <c r="H149" s="7">
        <v>-46.399676200000002</v>
      </c>
      <c r="I149" s="7">
        <v>756.58500000000004</v>
      </c>
      <c r="J149" s="7">
        <v>750.18499999999995</v>
      </c>
      <c r="K149" s="7">
        <v>6.4</v>
      </c>
      <c r="L149" s="6" t="s">
        <v>344</v>
      </c>
    </row>
    <row r="150" spans="1:12" x14ac:dyDescent="0.3">
      <c r="A150" s="6" t="s">
        <v>39</v>
      </c>
      <c r="B150" s="6" t="s">
        <v>76</v>
      </c>
      <c r="C150" s="6" t="s">
        <v>170</v>
      </c>
      <c r="D150" s="6" t="s">
        <v>170</v>
      </c>
      <c r="E150" s="7">
        <v>7400067.5499999998</v>
      </c>
      <c r="F150" s="7">
        <v>357149.42</v>
      </c>
      <c r="G150" s="7">
        <v>-23.503301</v>
      </c>
      <c r="H150" s="7">
        <v>-46.399061099999997</v>
      </c>
      <c r="I150" s="7">
        <v>753.47500000000002</v>
      </c>
      <c r="J150" s="7">
        <v>750.755</v>
      </c>
      <c r="K150" s="7">
        <v>2.72</v>
      </c>
      <c r="L150" s="6" t="s">
        <v>345</v>
      </c>
    </row>
    <row r="151" spans="1:12" x14ac:dyDescent="0.3">
      <c r="A151" s="6" t="s">
        <v>39</v>
      </c>
      <c r="B151" s="6" t="s">
        <v>76</v>
      </c>
      <c r="C151" s="6" t="s">
        <v>176</v>
      </c>
      <c r="D151" s="6" t="s">
        <v>176</v>
      </c>
      <c r="E151" s="7">
        <v>7400067.3909999998</v>
      </c>
      <c r="F151" s="7">
        <v>357160.69</v>
      </c>
      <c r="G151" s="7">
        <v>-23.5033034</v>
      </c>
      <c r="H151" s="7">
        <v>-46.398950800000001</v>
      </c>
      <c r="I151" s="7">
        <v>753.69500000000005</v>
      </c>
      <c r="J151" s="7">
        <v>750.84500000000003</v>
      </c>
      <c r="K151" s="7">
        <v>2.85</v>
      </c>
      <c r="L151" s="6" t="s">
        <v>346</v>
      </c>
    </row>
    <row r="152" spans="1:12" x14ac:dyDescent="0.3">
      <c r="A152" s="6" t="s">
        <v>39</v>
      </c>
      <c r="B152" s="6" t="s">
        <v>133</v>
      </c>
      <c r="C152" s="6" t="s">
        <v>347</v>
      </c>
      <c r="D152" s="6" t="s">
        <v>347</v>
      </c>
      <c r="E152" s="7">
        <v>7400069.2699999996</v>
      </c>
      <c r="F152" s="7">
        <v>357149.88</v>
      </c>
      <c r="G152" s="7">
        <v>-23.5032855</v>
      </c>
      <c r="H152" s="7">
        <v>-46.3990565</v>
      </c>
      <c r="I152" s="7">
        <v>753.495</v>
      </c>
      <c r="J152" s="7">
        <v>752.19500000000005</v>
      </c>
      <c r="K152" s="7">
        <v>1.3</v>
      </c>
      <c r="L152" s="6" t="s">
        <v>348</v>
      </c>
    </row>
    <row r="153" spans="1:12" x14ac:dyDescent="0.3">
      <c r="A153" s="6" t="s">
        <v>39</v>
      </c>
      <c r="B153" s="6" t="s">
        <v>133</v>
      </c>
      <c r="C153" s="6" t="s">
        <v>349</v>
      </c>
      <c r="D153" s="6" t="s">
        <v>349</v>
      </c>
      <c r="E153" s="7">
        <v>7400066.6279999996</v>
      </c>
      <c r="F153" s="7">
        <v>357154.62</v>
      </c>
      <c r="G153" s="7">
        <v>-23.503309699999999</v>
      </c>
      <c r="H153" s="7">
        <v>-46.3990103</v>
      </c>
      <c r="I153" s="7">
        <v>753.59500000000003</v>
      </c>
      <c r="J153" s="7">
        <v>752.495</v>
      </c>
      <c r="K153" s="7">
        <v>1.1000000000000001</v>
      </c>
      <c r="L153" s="6" t="s">
        <v>350</v>
      </c>
    </row>
    <row r="154" spans="1:12" x14ac:dyDescent="0.3">
      <c r="A154" s="6" t="s">
        <v>39</v>
      </c>
      <c r="B154" s="6" t="s">
        <v>133</v>
      </c>
      <c r="C154" s="6" t="s">
        <v>351</v>
      </c>
      <c r="D154" s="6" t="s">
        <v>351</v>
      </c>
      <c r="E154" s="7">
        <v>7400069.4929999998</v>
      </c>
      <c r="F154" s="7">
        <v>357161.03</v>
      </c>
      <c r="G154" s="7">
        <v>-23.503284399999998</v>
      </c>
      <c r="H154" s="7">
        <v>-46.398947300000003</v>
      </c>
      <c r="I154" s="7">
        <v>753.64499999999998</v>
      </c>
      <c r="J154" s="7">
        <v>752.64499999999998</v>
      </c>
      <c r="K154" s="6">
        <v>1</v>
      </c>
      <c r="L154" s="6" t="s">
        <v>352</v>
      </c>
    </row>
    <row r="155" spans="1:12" x14ac:dyDescent="0.3">
      <c r="A155" s="6" t="s">
        <v>42</v>
      </c>
      <c r="B155" s="6" t="s">
        <v>133</v>
      </c>
      <c r="C155" s="6" t="s">
        <v>353</v>
      </c>
      <c r="D155" s="6" t="s">
        <v>353</v>
      </c>
      <c r="E155" s="7">
        <v>7395952.909883</v>
      </c>
      <c r="F155" s="7">
        <v>358473.29317299998</v>
      </c>
      <c r="G155" s="7">
        <v>-23.5405728</v>
      </c>
      <c r="H155" s="7">
        <v>-46.3864874</v>
      </c>
      <c r="I155" s="7">
        <v>787.04100000000005</v>
      </c>
      <c r="J155" s="7">
        <v>785.971</v>
      </c>
      <c r="K155" s="7">
        <v>1.07</v>
      </c>
      <c r="L155" s="6"/>
    </row>
    <row r="156" spans="1:12" x14ac:dyDescent="0.3">
      <c r="A156" s="6" t="s">
        <v>42</v>
      </c>
      <c r="B156" s="6" t="s">
        <v>133</v>
      </c>
      <c r="C156" s="6" t="s">
        <v>354</v>
      </c>
      <c r="D156" s="6" t="s">
        <v>354</v>
      </c>
      <c r="E156" s="7">
        <v>7396466.0267816093</v>
      </c>
      <c r="F156" s="7">
        <v>358369.93706399918</v>
      </c>
      <c r="G156" s="7">
        <v>-23.5359303</v>
      </c>
      <c r="H156" s="7">
        <v>-46.3874511</v>
      </c>
      <c r="I156" s="7">
        <v>770.39200000000005</v>
      </c>
      <c r="J156" s="7">
        <v>769.62199999999996</v>
      </c>
      <c r="K156" s="7">
        <v>0.77</v>
      </c>
      <c r="L156" s="6" t="s">
        <v>355</v>
      </c>
    </row>
    <row r="157" spans="1:12" x14ac:dyDescent="0.3">
      <c r="A157" s="6" t="s">
        <v>42</v>
      </c>
      <c r="B157" s="6" t="s">
        <v>133</v>
      </c>
      <c r="C157" s="6" t="s">
        <v>356</v>
      </c>
      <c r="D157" s="6" t="s">
        <v>356</v>
      </c>
      <c r="E157" s="7">
        <v>7396456.4356278591</v>
      </c>
      <c r="F157" s="7">
        <v>358373.39852619742</v>
      </c>
      <c r="G157" s="7">
        <v>-23.5360172</v>
      </c>
      <c r="H157" s="7">
        <v>-46.387418099999998</v>
      </c>
      <c r="I157" s="7">
        <v>771.08799999999997</v>
      </c>
      <c r="J157" s="7">
        <v>770.08799999999997</v>
      </c>
      <c r="K157" s="7">
        <v>1</v>
      </c>
      <c r="L157" s="6" t="s">
        <v>357</v>
      </c>
    </row>
    <row r="158" spans="1:12" x14ac:dyDescent="0.3">
      <c r="A158" s="6" t="s">
        <v>42</v>
      </c>
      <c r="B158" s="6" t="s">
        <v>76</v>
      </c>
      <c r="C158" s="6" t="s">
        <v>358</v>
      </c>
      <c r="D158" s="6" t="s">
        <v>358</v>
      </c>
      <c r="E158" s="7">
        <v>7396994.1815259997</v>
      </c>
      <c r="F158" s="7">
        <v>357919.09249399998</v>
      </c>
      <c r="G158" s="7">
        <v>-23.531121500000001</v>
      </c>
      <c r="H158" s="7">
        <v>-46.391816499999997</v>
      </c>
      <c r="I158" s="7">
        <v>758.94200000000001</v>
      </c>
      <c r="J158" s="7">
        <v>755.21199999999999</v>
      </c>
      <c r="K158" s="7">
        <v>3.73</v>
      </c>
      <c r="L158" s="6"/>
    </row>
    <row r="159" spans="1:12" x14ac:dyDescent="0.3">
      <c r="A159" s="6" t="s">
        <v>42</v>
      </c>
      <c r="B159" s="6" t="s">
        <v>76</v>
      </c>
      <c r="C159" s="6" t="s">
        <v>359</v>
      </c>
      <c r="D159" s="6" t="s">
        <v>359</v>
      </c>
      <c r="E159" s="7">
        <v>7397035.9608850004</v>
      </c>
      <c r="F159" s="7">
        <v>357787.31366500002</v>
      </c>
      <c r="G159" s="7">
        <v>-23.530732700000002</v>
      </c>
      <c r="H159" s="7">
        <v>-46.393103199999999</v>
      </c>
      <c r="I159" s="7">
        <v>757.24099999999999</v>
      </c>
      <c r="J159" s="7">
        <v>752.88099999999997</v>
      </c>
      <c r="K159" s="7">
        <v>4.3600000000000003</v>
      </c>
      <c r="L159" s="6"/>
    </row>
    <row r="160" spans="1:12" x14ac:dyDescent="0.3">
      <c r="A160" s="6" t="s">
        <v>42</v>
      </c>
      <c r="B160" s="6" t="s">
        <v>76</v>
      </c>
      <c r="C160" s="6" t="s">
        <v>360</v>
      </c>
      <c r="D160" s="6" t="s">
        <v>360</v>
      </c>
      <c r="E160" s="7">
        <v>7397013.087354999</v>
      </c>
      <c r="F160" s="7">
        <v>357870.21844700002</v>
      </c>
      <c r="G160" s="7">
        <v>-23.530946499999999</v>
      </c>
      <c r="H160" s="7">
        <v>-46.3922934</v>
      </c>
      <c r="I160" s="7">
        <v>758.45100000000002</v>
      </c>
      <c r="J160" s="7">
        <v>753.971</v>
      </c>
      <c r="K160" s="7">
        <v>4.4800000000000004</v>
      </c>
      <c r="L160" s="6"/>
    </row>
    <row r="161" spans="1:12" x14ac:dyDescent="0.3">
      <c r="A161" s="6" t="s">
        <v>42</v>
      </c>
      <c r="B161" s="6" t="s">
        <v>76</v>
      </c>
      <c r="C161" s="6" t="s">
        <v>361</v>
      </c>
      <c r="D161" s="6" t="s">
        <v>361</v>
      </c>
      <c r="E161" s="7">
        <v>7397075.2584520001</v>
      </c>
      <c r="F161" s="7">
        <v>357881.366584</v>
      </c>
      <c r="G161" s="7">
        <v>-23.530386100000001</v>
      </c>
      <c r="H161" s="7">
        <v>-46.392178299999998</v>
      </c>
      <c r="I161" s="7">
        <v>758.06100000000004</v>
      </c>
      <c r="J161" s="7">
        <v>754.71100000000001</v>
      </c>
      <c r="K161" s="7">
        <v>3.35</v>
      </c>
      <c r="L161" s="6"/>
    </row>
    <row r="162" spans="1:12" x14ac:dyDescent="0.3">
      <c r="A162" s="6" t="s">
        <v>42</v>
      </c>
      <c r="B162" s="6" t="s">
        <v>76</v>
      </c>
      <c r="C162" s="6" t="s">
        <v>299</v>
      </c>
      <c r="D162" s="6" t="s">
        <v>299</v>
      </c>
      <c r="E162" s="7">
        <v>7397054.371177</v>
      </c>
      <c r="F162" s="7">
        <v>357705.66140899999</v>
      </c>
      <c r="G162" s="7">
        <v>-23.5305593</v>
      </c>
      <c r="H162" s="7">
        <v>-46.393901100000001</v>
      </c>
      <c r="I162" s="7">
        <v>756.51099999999997</v>
      </c>
      <c r="J162" s="7">
        <v>752.31100000000004</v>
      </c>
      <c r="K162" s="7">
        <v>4.2</v>
      </c>
      <c r="L162" s="6"/>
    </row>
    <row r="163" spans="1:12" x14ac:dyDescent="0.3">
      <c r="A163" s="6" t="s">
        <v>42</v>
      </c>
      <c r="B163" s="6" t="s">
        <v>76</v>
      </c>
      <c r="C163" s="6" t="s">
        <v>297</v>
      </c>
      <c r="D163" s="6" t="s">
        <v>297</v>
      </c>
      <c r="E163" s="7">
        <v>7397085.085239999</v>
      </c>
      <c r="F163" s="7">
        <v>357561.64913500001</v>
      </c>
      <c r="G163" s="7">
        <v>-23.5302693</v>
      </c>
      <c r="H163" s="7">
        <v>-46.3953086</v>
      </c>
      <c r="I163" s="7">
        <v>755.39099999999996</v>
      </c>
      <c r="J163" s="7">
        <v>751.27099999999996</v>
      </c>
      <c r="K163" s="7">
        <v>4.12</v>
      </c>
      <c r="L163" s="6"/>
    </row>
    <row r="164" spans="1:12" x14ac:dyDescent="0.3">
      <c r="A164" s="6" t="s">
        <v>42</v>
      </c>
      <c r="B164" s="6" t="s">
        <v>76</v>
      </c>
      <c r="C164" s="6" t="s">
        <v>296</v>
      </c>
      <c r="D164" s="6" t="s">
        <v>296</v>
      </c>
      <c r="E164" s="7">
        <v>7397084.8009039992</v>
      </c>
      <c r="F164" s="7">
        <v>357550.10874200013</v>
      </c>
      <c r="G164" s="7">
        <v>-23.530270900000001</v>
      </c>
      <c r="H164" s="7">
        <v>-46.395421599999999</v>
      </c>
      <c r="I164" s="7">
        <v>755.51</v>
      </c>
      <c r="J164" s="7">
        <v>751.26</v>
      </c>
      <c r="K164" s="7">
        <v>4.25</v>
      </c>
      <c r="L164" s="6"/>
    </row>
    <row r="165" spans="1:12" x14ac:dyDescent="0.3">
      <c r="A165" s="6" t="s">
        <v>42</v>
      </c>
      <c r="B165" s="6" t="s">
        <v>76</v>
      </c>
      <c r="C165" s="6" t="s">
        <v>362</v>
      </c>
      <c r="D165" s="6" t="s">
        <v>362</v>
      </c>
      <c r="E165" s="7">
        <v>7397138.991223</v>
      </c>
      <c r="F165" s="7">
        <v>357567.329203</v>
      </c>
      <c r="G165" s="7">
        <v>-23.529782999999998</v>
      </c>
      <c r="H165" s="7">
        <v>-46.3952478</v>
      </c>
      <c r="I165" s="7">
        <v>754.78499999999997</v>
      </c>
      <c r="J165" s="7">
        <v>750.32500000000005</v>
      </c>
      <c r="K165" s="7">
        <v>4.46</v>
      </c>
      <c r="L165" s="6"/>
    </row>
    <row r="166" spans="1:12" x14ac:dyDescent="0.3">
      <c r="A166" s="6" t="s">
        <v>42</v>
      </c>
      <c r="B166" s="6" t="s">
        <v>76</v>
      </c>
      <c r="C166" s="6" t="s">
        <v>363</v>
      </c>
      <c r="D166" s="6" t="s">
        <v>363</v>
      </c>
      <c r="E166" s="7">
        <v>7396338.4323399998</v>
      </c>
      <c r="F166" s="7">
        <v>358428.64902000001</v>
      </c>
      <c r="G166" s="7">
        <v>-23.5370876</v>
      </c>
      <c r="H166" s="7">
        <v>-46.386888200000001</v>
      </c>
      <c r="I166" s="7">
        <v>775.13599999999997</v>
      </c>
      <c r="J166" s="7">
        <v>771.83600000000001</v>
      </c>
      <c r="K166" s="7">
        <v>3.3</v>
      </c>
      <c r="L166" s="6"/>
    </row>
    <row r="167" spans="1:12" x14ac:dyDescent="0.3">
      <c r="A167" s="6" t="s">
        <v>42</v>
      </c>
      <c r="B167" s="6" t="s">
        <v>76</v>
      </c>
      <c r="C167" s="6" t="s">
        <v>364</v>
      </c>
      <c r="D167" s="6" t="s">
        <v>364</v>
      </c>
      <c r="E167" s="7">
        <v>7395984.8205000004</v>
      </c>
      <c r="F167" s="7">
        <v>358467.99586299999</v>
      </c>
      <c r="G167" s="7">
        <v>-23.540284199999999</v>
      </c>
      <c r="H167" s="7">
        <v>-46.386536300000003</v>
      </c>
      <c r="I167" s="7">
        <v>785.57500000000005</v>
      </c>
      <c r="J167" s="7">
        <v>783.78499999999997</v>
      </c>
      <c r="K167" s="7">
        <v>1.79</v>
      </c>
      <c r="L167" s="6"/>
    </row>
    <row r="168" spans="1:12" x14ac:dyDescent="0.3">
      <c r="A168" s="6" t="s">
        <v>42</v>
      </c>
      <c r="B168" s="6" t="s">
        <v>76</v>
      </c>
      <c r="C168" s="6" t="s">
        <v>365</v>
      </c>
      <c r="D168" s="6" t="s">
        <v>365</v>
      </c>
      <c r="E168" s="7">
        <v>7396003.905774001</v>
      </c>
      <c r="F168" s="7">
        <v>358465.33525200002</v>
      </c>
      <c r="G168" s="7">
        <v>-23.540111700000001</v>
      </c>
      <c r="H168" s="7">
        <v>-46.386560500000002</v>
      </c>
      <c r="I168" s="7">
        <v>784.91700000000003</v>
      </c>
      <c r="J168" s="7">
        <v>782.96699999999998</v>
      </c>
      <c r="K168" s="7">
        <v>1.95</v>
      </c>
      <c r="L168" s="6"/>
    </row>
    <row r="169" spans="1:12" x14ac:dyDescent="0.3">
      <c r="A169" s="6" t="s">
        <v>42</v>
      </c>
      <c r="B169" s="6" t="s">
        <v>76</v>
      </c>
      <c r="C169" s="6" t="s">
        <v>366</v>
      </c>
      <c r="D169" s="6" t="s">
        <v>366</v>
      </c>
      <c r="E169" s="7">
        <v>7396081.850048</v>
      </c>
      <c r="F169" s="7">
        <v>358500.32256900001</v>
      </c>
      <c r="G169" s="7">
        <v>-23.5394109</v>
      </c>
      <c r="H169" s="7">
        <v>-46.386210499999997</v>
      </c>
      <c r="I169" s="7">
        <v>789.29899999999998</v>
      </c>
      <c r="J169" s="7">
        <v>781.88900000000001</v>
      </c>
      <c r="K169" s="7">
        <v>7.41</v>
      </c>
      <c r="L169" s="6"/>
    </row>
    <row r="170" spans="1:12" x14ac:dyDescent="0.3">
      <c r="A170" s="6" t="s">
        <v>42</v>
      </c>
      <c r="B170" s="6" t="s">
        <v>76</v>
      </c>
      <c r="C170" s="6" t="s">
        <v>367</v>
      </c>
      <c r="D170" s="6" t="s">
        <v>367</v>
      </c>
      <c r="E170" s="7">
        <v>7396152.9251469998</v>
      </c>
      <c r="F170" s="7">
        <v>358474.52891699999</v>
      </c>
      <c r="G170" s="7">
        <v>-23.538766800000001</v>
      </c>
      <c r="H170" s="7">
        <v>-46.3864564</v>
      </c>
      <c r="I170" s="7">
        <v>786.03899999999999</v>
      </c>
      <c r="J170" s="7">
        <v>781.19899999999996</v>
      </c>
      <c r="K170" s="7">
        <v>4.84</v>
      </c>
      <c r="L170" s="6"/>
    </row>
    <row r="171" spans="1:12" x14ac:dyDescent="0.3">
      <c r="A171" s="6" t="s">
        <v>42</v>
      </c>
      <c r="B171" s="6" t="s">
        <v>76</v>
      </c>
      <c r="C171" s="6" t="s">
        <v>368</v>
      </c>
      <c r="D171" s="6" t="s">
        <v>368</v>
      </c>
      <c r="E171" s="7">
        <v>7396256.6835740013</v>
      </c>
      <c r="F171" s="7">
        <v>358460.0171590001</v>
      </c>
      <c r="G171" s="7">
        <v>-23.537828600000001</v>
      </c>
      <c r="H171" s="7">
        <v>-46.386588699999997</v>
      </c>
      <c r="I171" s="7">
        <v>783.67899999999997</v>
      </c>
      <c r="J171" s="7">
        <v>779.29899999999998</v>
      </c>
      <c r="K171" s="7">
        <v>4.38</v>
      </c>
      <c r="L171" s="6"/>
    </row>
    <row r="172" spans="1:12" x14ac:dyDescent="0.3">
      <c r="A172" s="6" t="s">
        <v>42</v>
      </c>
      <c r="B172" s="6" t="s">
        <v>76</v>
      </c>
      <c r="C172" s="6" t="s">
        <v>369</v>
      </c>
      <c r="D172" s="6" t="s">
        <v>369</v>
      </c>
      <c r="E172" s="7">
        <v>7396432.1601050003</v>
      </c>
      <c r="F172" s="7">
        <v>358375.17464500002</v>
      </c>
      <c r="G172" s="7">
        <v>-23.536236599999999</v>
      </c>
      <c r="H172" s="7">
        <v>-46.387402999999999</v>
      </c>
      <c r="I172" s="7">
        <v>772.97299999999996</v>
      </c>
      <c r="J172" s="7">
        <v>768.52300000000002</v>
      </c>
      <c r="K172" s="7">
        <v>4.45</v>
      </c>
      <c r="L172" s="6"/>
    </row>
    <row r="173" spans="1:12" x14ac:dyDescent="0.3">
      <c r="A173" s="6" t="s">
        <v>42</v>
      </c>
      <c r="B173" s="6" t="s">
        <v>76</v>
      </c>
      <c r="C173" s="6" t="s">
        <v>370</v>
      </c>
      <c r="D173" s="6" t="s">
        <v>370</v>
      </c>
      <c r="E173" s="7">
        <v>7396475.1818350004</v>
      </c>
      <c r="F173" s="7">
        <v>358376.45548900007</v>
      </c>
      <c r="G173" s="7">
        <v>-23.5358482</v>
      </c>
      <c r="H173" s="7">
        <v>-46.387386399999997</v>
      </c>
      <c r="I173" s="7">
        <v>769.88</v>
      </c>
      <c r="J173" s="7">
        <v>765.98</v>
      </c>
      <c r="K173" s="7">
        <v>3.9</v>
      </c>
      <c r="L173" s="6"/>
    </row>
    <row r="174" spans="1:12" x14ac:dyDescent="0.3">
      <c r="A174" s="6" t="s">
        <v>42</v>
      </c>
      <c r="B174" s="6" t="s">
        <v>76</v>
      </c>
      <c r="C174" s="6" t="s">
        <v>371</v>
      </c>
      <c r="D174" s="6" t="s">
        <v>371</v>
      </c>
      <c r="E174" s="7">
        <v>7396559.7025130009</v>
      </c>
      <c r="F174" s="7">
        <v>358372.8521570001</v>
      </c>
      <c r="G174" s="7">
        <v>-23.535084600000001</v>
      </c>
      <c r="H174" s="7">
        <v>-46.387413700000003</v>
      </c>
      <c r="I174" s="7">
        <v>769.41</v>
      </c>
      <c r="J174" s="7">
        <v>764.96</v>
      </c>
      <c r="K174" s="7">
        <v>4.45</v>
      </c>
      <c r="L174" s="6"/>
    </row>
    <row r="175" spans="1:12" x14ac:dyDescent="0.3">
      <c r="A175" s="6" t="s">
        <v>42</v>
      </c>
      <c r="B175" s="6" t="s">
        <v>76</v>
      </c>
      <c r="C175" s="6" t="s">
        <v>340</v>
      </c>
      <c r="D175" s="6" t="s">
        <v>340</v>
      </c>
      <c r="E175" s="7">
        <v>7396607.6648119986</v>
      </c>
      <c r="F175" s="7">
        <v>358343.55978000013</v>
      </c>
      <c r="G175" s="7">
        <v>-23.534649000000002</v>
      </c>
      <c r="H175" s="7">
        <v>-46.387695999999998</v>
      </c>
      <c r="I175" s="7">
        <v>767.68600000000004</v>
      </c>
      <c r="J175" s="7">
        <v>763.96600000000001</v>
      </c>
      <c r="K175" s="7">
        <v>3.72</v>
      </c>
      <c r="L175" s="6"/>
    </row>
    <row r="176" spans="1:12" x14ac:dyDescent="0.3">
      <c r="A176" s="6" t="s">
        <v>42</v>
      </c>
      <c r="B176" s="6" t="s">
        <v>76</v>
      </c>
      <c r="C176" s="6" t="s">
        <v>372</v>
      </c>
      <c r="D176" s="6" t="s">
        <v>372</v>
      </c>
      <c r="E176" s="7">
        <v>7396646.5698109996</v>
      </c>
      <c r="F176" s="7">
        <v>358298.81574799999</v>
      </c>
      <c r="G176" s="7">
        <v>-23.534293699999999</v>
      </c>
      <c r="H176" s="7">
        <v>-46.388130599999997</v>
      </c>
      <c r="I176" s="7">
        <v>766.62400000000002</v>
      </c>
      <c r="J176" s="7">
        <v>763.404</v>
      </c>
      <c r="K176" s="7">
        <v>3.22</v>
      </c>
      <c r="L176" s="6"/>
    </row>
    <row r="177" spans="1:12" x14ac:dyDescent="0.3">
      <c r="A177" s="6" t="s">
        <v>42</v>
      </c>
      <c r="B177" s="6" t="s">
        <v>76</v>
      </c>
      <c r="C177" s="6" t="s">
        <v>373</v>
      </c>
      <c r="D177" s="6" t="s">
        <v>373</v>
      </c>
      <c r="E177" s="7">
        <v>7396667.7066820012</v>
      </c>
      <c r="F177" s="7">
        <v>358270.10139500001</v>
      </c>
      <c r="G177" s="7">
        <v>-23.5341004</v>
      </c>
      <c r="H177" s="7">
        <v>-46.388409799999998</v>
      </c>
      <c r="I177" s="7">
        <v>767.79899999999998</v>
      </c>
      <c r="J177" s="7">
        <v>762.59900000000005</v>
      </c>
      <c r="K177" s="7">
        <v>5.2</v>
      </c>
      <c r="L177" s="6"/>
    </row>
    <row r="178" spans="1:12" x14ac:dyDescent="0.3">
      <c r="A178" s="6" t="s">
        <v>42</v>
      </c>
      <c r="B178" s="6" t="s">
        <v>76</v>
      </c>
      <c r="C178" s="6" t="s">
        <v>270</v>
      </c>
      <c r="D178" s="6" t="s">
        <v>270</v>
      </c>
      <c r="E178" s="7">
        <v>7396758.6820589993</v>
      </c>
      <c r="F178" s="7">
        <v>358273.2218050001</v>
      </c>
      <c r="G178" s="7">
        <v>-23.533279100000001</v>
      </c>
      <c r="H178" s="7">
        <v>-46.388370600000002</v>
      </c>
      <c r="I178" s="7">
        <v>764.77</v>
      </c>
      <c r="J178" s="7">
        <v>761.57</v>
      </c>
      <c r="K178" s="7">
        <v>3.2</v>
      </c>
      <c r="L178" s="6"/>
    </row>
    <row r="179" spans="1:12" x14ac:dyDescent="0.3">
      <c r="A179" s="6" t="s">
        <v>42</v>
      </c>
      <c r="B179" s="6" t="s">
        <v>76</v>
      </c>
      <c r="C179" s="6" t="s">
        <v>268</v>
      </c>
      <c r="D179" s="6" t="s">
        <v>268</v>
      </c>
      <c r="E179" s="7">
        <v>7396799.1842380008</v>
      </c>
      <c r="F179" s="7">
        <v>358241.7539880001</v>
      </c>
      <c r="G179" s="7">
        <v>-23.532910600000001</v>
      </c>
      <c r="H179" s="7">
        <v>-46.388674999999999</v>
      </c>
      <c r="I179" s="7">
        <v>763.97699999999998</v>
      </c>
      <c r="J179" s="7">
        <v>761.25699999999995</v>
      </c>
      <c r="K179" s="7">
        <v>2.72</v>
      </c>
      <c r="L179" s="6"/>
    </row>
    <row r="180" spans="1:12" x14ac:dyDescent="0.3">
      <c r="A180" s="6" t="s">
        <v>42</v>
      </c>
      <c r="B180" s="6" t="s">
        <v>76</v>
      </c>
      <c r="C180" s="6" t="s">
        <v>328</v>
      </c>
      <c r="D180" s="6" t="s">
        <v>328</v>
      </c>
      <c r="E180" s="7">
        <v>7396842.0918410001</v>
      </c>
      <c r="F180" s="7">
        <v>358185.04215300002</v>
      </c>
      <c r="G180" s="7">
        <v>-23.532518199999998</v>
      </c>
      <c r="H180" s="7">
        <v>-46.389226299999997</v>
      </c>
      <c r="I180" s="7">
        <v>763.82</v>
      </c>
      <c r="J180" s="7">
        <v>760.47</v>
      </c>
      <c r="K180" s="7">
        <v>3.35</v>
      </c>
      <c r="L180" s="6"/>
    </row>
    <row r="181" spans="1:12" x14ac:dyDescent="0.3">
      <c r="A181" s="6" t="s">
        <v>42</v>
      </c>
      <c r="B181" s="6" t="s">
        <v>76</v>
      </c>
      <c r="C181" s="6" t="s">
        <v>180</v>
      </c>
      <c r="D181" s="6" t="s">
        <v>180</v>
      </c>
      <c r="E181" s="7">
        <v>7396963.9899009988</v>
      </c>
      <c r="F181" s="7">
        <v>357997.12276500009</v>
      </c>
      <c r="G181" s="7">
        <v>-23.531400999999999</v>
      </c>
      <c r="H181" s="7">
        <v>-46.391055199999997</v>
      </c>
      <c r="I181" s="7">
        <v>759.97500000000002</v>
      </c>
      <c r="J181" s="7">
        <v>757.07500000000005</v>
      </c>
      <c r="K181" s="7">
        <v>2.9</v>
      </c>
      <c r="L181" s="6"/>
    </row>
    <row r="182" spans="1:12" x14ac:dyDescent="0.3">
      <c r="A182" s="6" t="s">
        <v>42</v>
      </c>
      <c r="B182" s="6" t="s">
        <v>76</v>
      </c>
      <c r="C182" s="6" t="s">
        <v>298</v>
      </c>
      <c r="D182" s="6" t="s">
        <v>298</v>
      </c>
      <c r="E182" s="7">
        <v>7397071.4206067612</v>
      </c>
      <c r="F182" s="7">
        <v>357625.71994536661</v>
      </c>
      <c r="G182" s="7">
        <v>-23.530398300000002</v>
      </c>
      <c r="H182" s="7">
        <v>-46.394682400000001</v>
      </c>
      <c r="I182" s="7">
        <v>756.37599999999998</v>
      </c>
      <c r="J182" s="7">
        <v>751.70600000000002</v>
      </c>
      <c r="K182" s="7">
        <v>4.67</v>
      </c>
      <c r="L182" s="6"/>
    </row>
    <row r="183" spans="1:12" x14ac:dyDescent="0.3">
      <c r="A183" s="6" t="s">
        <v>42</v>
      </c>
      <c r="B183" s="6" t="s">
        <v>76</v>
      </c>
      <c r="C183" s="6" t="s">
        <v>264</v>
      </c>
      <c r="D183" s="6" t="s">
        <v>264</v>
      </c>
      <c r="E183" s="7">
        <v>7396907.9415222434</v>
      </c>
      <c r="F183" s="7">
        <v>358015.11908507848</v>
      </c>
      <c r="G183" s="7">
        <v>-23.531908699999999</v>
      </c>
      <c r="H183" s="7">
        <v>-46.390884300000003</v>
      </c>
      <c r="I183" s="7">
        <v>763.83900000000006</v>
      </c>
      <c r="J183" s="7">
        <v>758.35900000000004</v>
      </c>
      <c r="K183" s="7">
        <v>5.48</v>
      </c>
      <c r="L183" s="6"/>
    </row>
    <row r="184" spans="1:12" x14ac:dyDescent="0.3">
      <c r="A184" s="6" t="s">
        <v>42</v>
      </c>
      <c r="B184" s="6" t="s">
        <v>76</v>
      </c>
      <c r="C184" s="6" t="s">
        <v>374</v>
      </c>
      <c r="D184" s="6" t="s">
        <v>374</v>
      </c>
      <c r="E184" s="7">
        <v>7396876.4490000028</v>
      </c>
      <c r="F184" s="7">
        <v>358033.63300002599</v>
      </c>
      <c r="G184" s="7">
        <v>-23.532194700000002</v>
      </c>
      <c r="H184" s="7">
        <v>-46.3907059</v>
      </c>
      <c r="I184" s="7">
        <v>765.923</v>
      </c>
      <c r="J184" s="7">
        <v>758.82299999999998</v>
      </c>
      <c r="K184" s="7">
        <v>7.1</v>
      </c>
      <c r="L184" s="6"/>
    </row>
    <row r="185" spans="1:12" x14ac:dyDescent="0.3">
      <c r="A185" s="6" t="s">
        <v>42</v>
      </c>
      <c r="B185" s="6" t="s">
        <v>76</v>
      </c>
      <c r="C185" s="6" t="s">
        <v>375</v>
      </c>
      <c r="D185" s="6" t="s">
        <v>375</v>
      </c>
      <c r="E185" s="7">
        <v>7396831.7706275173</v>
      </c>
      <c r="F185" s="7">
        <v>358042.60305262951</v>
      </c>
      <c r="G185" s="7">
        <v>-23.5325989</v>
      </c>
      <c r="H185" s="7">
        <v>-46.390622299999997</v>
      </c>
      <c r="I185" s="7">
        <v>770.73900000000003</v>
      </c>
      <c r="J185" s="7">
        <v>759.32899999999995</v>
      </c>
      <c r="K185" s="7">
        <v>11.41</v>
      </c>
      <c r="L185" s="6"/>
    </row>
    <row r="186" spans="1:12" x14ac:dyDescent="0.3">
      <c r="A186" s="6" t="s">
        <v>42</v>
      </c>
      <c r="B186" s="6" t="s">
        <v>76</v>
      </c>
      <c r="C186" s="6" t="s">
        <v>266</v>
      </c>
      <c r="D186" s="6" t="s">
        <v>266</v>
      </c>
      <c r="E186" s="7">
        <v>7396822.7179111252</v>
      </c>
      <c r="F186" s="7">
        <v>358150.79468423151</v>
      </c>
      <c r="G186" s="7">
        <v>-23.532690200000001</v>
      </c>
      <c r="H186" s="7">
        <v>-46.389563600000002</v>
      </c>
      <c r="I186" s="7">
        <v>764.78099999999995</v>
      </c>
      <c r="J186" s="7">
        <v>759.63099999999997</v>
      </c>
      <c r="K186" s="7">
        <v>5.15</v>
      </c>
      <c r="L186" s="6"/>
    </row>
    <row r="187" spans="1:12" x14ac:dyDescent="0.3">
      <c r="A187" s="6" t="s">
        <v>45</v>
      </c>
      <c r="B187" s="6" t="s">
        <v>133</v>
      </c>
      <c r="C187" s="6" t="s">
        <v>376</v>
      </c>
      <c r="D187" s="6" t="s">
        <v>376</v>
      </c>
      <c r="E187" s="7">
        <v>7399508.7926600007</v>
      </c>
      <c r="F187" s="7">
        <v>356387.19099999999</v>
      </c>
      <c r="G187" s="7">
        <v>-23.508279399999999</v>
      </c>
      <c r="H187" s="7">
        <v>-46.406578099999997</v>
      </c>
      <c r="I187" s="7">
        <v>744.221</v>
      </c>
      <c r="J187" s="7">
        <v>743.05100000000004</v>
      </c>
      <c r="K187" s="7">
        <v>1.17</v>
      </c>
      <c r="L187" s="6" t="s">
        <v>376</v>
      </c>
    </row>
    <row r="188" spans="1:12" x14ac:dyDescent="0.3">
      <c r="A188" s="6" t="s">
        <v>45</v>
      </c>
      <c r="B188" s="6" t="s">
        <v>133</v>
      </c>
      <c r="C188" s="6" t="s">
        <v>377</v>
      </c>
      <c r="D188" s="6" t="s">
        <v>377</v>
      </c>
      <c r="E188" s="7">
        <v>7399400.8666699994</v>
      </c>
      <c r="F188" s="7">
        <v>356317.17642999999</v>
      </c>
      <c r="G188" s="7">
        <v>-23.509247800000001</v>
      </c>
      <c r="H188" s="7">
        <v>-46.407274100000002</v>
      </c>
      <c r="I188" s="7">
        <v>748.28399999999999</v>
      </c>
      <c r="J188" s="7">
        <v>746.70399999999995</v>
      </c>
      <c r="K188" s="7">
        <v>1.58</v>
      </c>
      <c r="L188" s="6" t="s">
        <v>377</v>
      </c>
    </row>
    <row r="189" spans="1:12" x14ac:dyDescent="0.3">
      <c r="A189" s="6" t="s">
        <v>45</v>
      </c>
      <c r="B189" s="6" t="s">
        <v>133</v>
      </c>
      <c r="C189" s="6" t="s">
        <v>378</v>
      </c>
      <c r="D189" s="6" t="s">
        <v>378</v>
      </c>
      <c r="E189" s="7">
        <v>7399272.0085100019</v>
      </c>
      <c r="F189" s="7">
        <v>356207.87429000012</v>
      </c>
      <c r="G189" s="7">
        <v>-23.510401699999999</v>
      </c>
      <c r="H189" s="7">
        <v>-46.408356699999999</v>
      </c>
      <c r="I189" s="7">
        <v>754.18700000000001</v>
      </c>
      <c r="J189" s="7">
        <v>752.72699999999998</v>
      </c>
      <c r="K189" s="7">
        <v>1.46</v>
      </c>
      <c r="L189" s="6" t="s">
        <v>378</v>
      </c>
    </row>
    <row r="190" spans="1:12" x14ac:dyDescent="0.3">
      <c r="A190" s="6" t="s">
        <v>45</v>
      </c>
      <c r="B190" s="6" t="s">
        <v>133</v>
      </c>
      <c r="C190" s="6" t="s">
        <v>379</v>
      </c>
      <c r="D190" s="6" t="s">
        <v>379</v>
      </c>
      <c r="E190" s="7">
        <v>7399260.8224899992</v>
      </c>
      <c r="F190" s="7">
        <v>356217.63128999999</v>
      </c>
      <c r="G190" s="7">
        <v>-23.5105036</v>
      </c>
      <c r="H190" s="7">
        <v>-46.408262299999997</v>
      </c>
      <c r="I190" s="7">
        <v>754.221</v>
      </c>
      <c r="J190" s="7">
        <v>752.68100000000004</v>
      </c>
      <c r="K190" s="7">
        <v>1.54</v>
      </c>
      <c r="L190" s="6" t="s">
        <v>379</v>
      </c>
    </row>
    <row r="191" spans="1:12" x14ac:dyDescent="0.3">
      <c r="A191" s="6" t="s">
        <v>45</v>
      </c>
      <c r="B191" s="6" t="s">
        <v>76</v>
      </c>
      <c r="C191" s="6" t="s">
        <v>176</v>
      </c>
      <c r="D191" s="6" t="s">
        <v>176</v>
      </c>
      <c r="E191" s="7">
        <v>7399311.227000189</v>
      </c>
      <c r="F191" s="7">
        <v>356253.24561305612</v>
      </c>
      <c r="G191" s="7">
        <v>-23.510051600000001</v>
      </c>
      <c r="H191" s="7">
        <v>-46.4079087</v>
      </c>
      <c r="I191" s="7">
        <v>751.28200000000004</v>
      </c>
      <c r="J191" s="7">
        <v>749.202</v>
      </c>
      <c r="K191" s="7">
        <v>2.08</v>
      </c>
      <c r="L191" s="6"/>
    </row>
    <row r="192" spans="1:12" x14ac:dyDescent="0.3">
      <c r="A192" s="6" t="s">
        <v>45</v>
      </c>
      <c r="B192" s="6" t="s">
        <v>76</v>
      </c>
      <c r="C192" s="6" t="s">
        <v>358</v>
      </c>
      <c r="D192" s="6" t="s">
        <v>358</v>
      </c>
      <c r="E192" s="7">
        <v>7399353.2997600008</v>
      </c>
      <c r="F192" s="7">
        <v>356281.40253000002</v>
      </c>
      <c r="G192" s="7">
        <v>-23.509674199999999</v>
      </c>
      <c r="H192" s="7">
        <v>-46.407628899999999</v>
      </c>
      <c r="I192" s="7">
        <v>749.28099999999995</v>
      </c>
      <c r="J192" s="7">
        <v>746.61099999999999</v>
      </c>
      <c r="K192" s="7">
        <v>2.67</v>
      </c>
      <c r="L192" s="6"/>
    </row>
    <row r="193" spans="1:12" x14ac:dyDescent="0.3">
      <c r="A193" s="6" t="s">
        <v>45</v>
      </c>
      <c r="B193" s="6" t="s">
        <v>76</v>
      </c>
      <c r="C193" s="6" t="s">
        <v>299</v>
      </c>
      <c r="D193" s="6" t="s">
        <v>299</v>
      </c>
      <c r="E193" s="7">
        <v>7399461.1755899983</v>
      </c>
      <c r="F193" s="7">
        <v>356359.32590000011</v>
      </c>
      <c r="G193" s="7">
        <v>-23.5087069</v>
      </c>
      <c r="H193" s="7">
        <v>-46.4068556</v>
      </c>
      <c r="I193" s="7">
        <v>745.21</v>
      </c>
      <c r="J193" s="7">
        <v>743.45</v>
      </c>
      <c r="K193" s="7">
        <v>1.76</v>
      </c>
      <c r="L193" s="6"/>
    </row>
    <row r="194" spans="1:12" x14ac:dyDescent="0.3">
      <c r="A194" s="6" t="s">
        <v>45</v>
      </c>
      <c r="B194" s="6" t="s">
        <v>76</v>
      </c>
      <c r="C194" s="6" t="s">
        <v>296</v>
      </c>
      <c r="D194" s="6" t="s">
        <v>296</v>
      </c>
      <c r="E194" s="7">
        <v>7399562.6844600011</v>
      </c>
      <c r="F194" s="7">
        <v>356411.7834799994</v>
      </c>
      <c r="G194" s="7">
        <v>-23.5077949</v>
      </c>
      <c r="H194" s="7">
        <v>-46.406332200000001</v>
      </c>
      <c r="I194" s="7">
        <v>743.76800000000003</v>
      </c>
      <c r="J194" s="7">
        <v>739.68799999999999</v>
      </c>
      <c r="K194" s="7">
        <v>4.08</v>
      </c>
      <c r="L194" s="6"/>
    </row>
    <row r="195" spans="1:12" x14ac:dyDescent="0.3">
      <c r="A195" s="6" t="s">
        <v>45</v>
      </c>
      <c r="B195" s="6" t="s">
        <v>76</v>
      </c>
      <c r="C195" s="6" t="s">
        <v>362</v>
      </c>
      <c r="D195" s="6" t="s">
        <v>362</v>
      </c>
      <c r="E195" s="7">
        <v>7399562.7675299989</v>
      </c>
      <c r="F195" s="7">
        <v>356437.70372999931</v>
      </c>
      <c r="G195" s="7">
        <v>-23.507796500000001</v>
      </c>
      <c r="H195" s="7">
        <v>-46.406078299999997</v>
      </c>
      <c r="I195" s="7">
        <v>743.68200000000002</v>
      </c>
      <c r="J195" s="7">
        <v>739.41200000000003</v>
      </c>
      <c r="K195" s="7">
        <v>4.2699999999999996</v>
      </c>
      <c r="L195" s="6"/>
    </row>
    <row r="196" spans="1:12" x14ac:dyDescent="0.3">
      <c r="A196" s="6" t="s">
        <v>45</v>
      </c>
      <c r="B196" s="6" t="s">
        <v>76</v>
      </c>
      <c r="C196" s="6" t="s">
        <v>298</v>
      </c>
      <c r="D196" s="6" t="s">
        <v>298</v>
      </c>
      <c r="E196" s="7">
        <v>7399509.5188999996</v>
      </c>
      <c r="F196" s="7">
        <v>356388.31947000098</v>
      </c>
      <c r="G196" s="7">
        <v>-23.508272900000001</v>
      </c>
      <c r="H196" s="7">
        <v>-46.406567000000003</v>
      </c>
      <c r="I196" s="7">
        <v>744.11300000000006</v>
      </c>
      <c r="J196" s="7">
        <v>742.07299999999998</v>
      </c>
      <c r="K196" s="7">
        <v>2.04</v>
      </c>
      <c r="L196" s="6"/>
    </row>
    <row r="197" spans="1:12" x14ac:dyDescent="0.3">
      <c r="A197" s="6" t="s">
        <v>45</v>
      </c>
      <c r="B197" s="6" t="s">
        <v>76</v>
      </c>
      <c r="C197" s="6" t="s">
        <v>180</v>
      </c>
      <c r="D197" s="6" t="s">
        <v>180</v>
      </c>
      <c r="E197" s="7">
        <v>7399263.3825899996</v>
      </c>
      <c r="F197" s="7">
        <v>356220.63920999999</v>
      </c>
      <c r="G197" s="7">
        <v>-23.510480699999999</v>
      </c>
      <c r="H197" s="7">
        <v>-46.408232599999998</v>
      </c>
      <c r="I197" s="7">
        <v>754.24099999999999</v>
      </c>
      <c r="J197" s="7">
        <v>751.76099999999997</v>
      </c>
      <c r="K197" s="7">
        <v>2.48</v>
      </c>
      <c r="L197" s="6"/>
    </row>
    <row r="198" spans="1:12" x14ac:dyDescent="0.3">
      <c r="A198" s="6" t="s">
        <v>45</v>
      </c>
      <c r="B198" s="6" t="s">
        <v>76</v>
      </c>
      <c r="C198" s="6" t="s">
        <v>380</v>
      </c>
      <c r="D198" s="6" t="s">
        <v>380</v>
      </c>
      <c r="E198" s="7">
        <v>7399403.9152100012</v>
      </c>
      <c r="F198" s="7">
        <v>356317.71353000251</v>
      </c>
      <c r="G198" s="7">
        <v>-23.509220299999999</v>
      </c>
      <c r="H198" s="7">
        <v>-46.407268500000001</v>
      </c>
      <c r="I198" s="7">
        <v>748.149</v>
      </c>
      <c r="J198" s="7">
        <v>745.66899999999998</v>
      </c>
      <c r="K198" s="7">
        <v>2.48</v>
      </c>
      <c r="L198" s="6"/>
    </row>
    <row r="199" spans="1:12" x14ac:dyDescent="0.3">
      <c r="A199" s="6" t="s">
        <v>45</v>
      </c>
      <c r="B199" s="6" t="s">
        <v>76</v>
      </c>
      <c r="C199" s="6" t="s">
        <v>362</v>
      </c>
      <c r="D199" s="6" t="s">
        <v>362</v>
      </c>
      <c r="E199" s="7">
        <v>7399563.6726900004</v>
      </c>
      <c r="F199" s="7">
        <v>356439.52896000003</v>
      </c>
      <c r="G199" s="7">
        <v>-23.507788399999999</v>
      </c>
      <c r="H199" s="7">
        <v>-46.406060400000001</v>
      </c>
      <c r="I199" s="7">
        <v>743.57899999999995</v>
      </c>
      <c r="J199" s="7">
        <v>734.21900000000005</v>
      </c>
      <c r="K199" s="7">
        <v>9.36</v>
      </c>
      <c r="L199" s="6" t="s">
        <v>381</v>
      </c>
    </row>
    <row r="200" spans="1:12" x14ac:dyDescent="0.3">
      <c r="A200" s="6" t="s">
        <v>47</v>
      </c>
      <c r="B200" s="6" t="s">
        <v>76</v>
      </c>
      <c r="C200" s="6" t="s">
        <v>77</v>
      </c>
      <c r="D200" s="6" t="s">
        <v>77</v>
      </c>
      <c r="E200" s="7">
        <v>7398336.3240295714</v>
      </c>
      <c r="F200" s="7">
        <v>357140.12719218963</v>
      </c>
      <c r="G200" s="7">
        <v>-23.518933400000002</v>
      </c>
      <c r="H200" s="7">
        <v>-46.3993173</v>
      </c>
      <c r="I200" s="6"/>
      <c r="J200" s="6"/>
      <c r="K200" s="6"/>
      <c r="L200" s="6"/>
    </row>
    <row r="201" spans="1:12" x14ac:dyDescent="0.3">
      <c r="A201" s="6" t="s">
        <v>47</v>
      </c>
      <c r="B201" s="6" t="s">
        <v>76</v>
      </c>
      <c r="C201" s="6" t="s">
        <v>79</v>
      </c>
      <c r="D201" s="6" t="s">
        <v>79</v>
      </c>
      <c r="E201" s="7">
        <v>7398261.6900000004</v>
      </c>
      <c r="F201" s="7">
        <v>357177.71000000008</v>
      </c>
      <c r="G201" s="7">
        <v>-23.5196106</v>
      </c>
      <c r="H201" s="7">
        <v>-46.398956400000003</v>
      </c>
      <c r="I201" s="6"/>
      <c r="J201" s="6"/>
      <c r="K201" s="6"/>
      <c r="L201" s="6"/>
    </row>
    <row r="202" spans="1:12" x14ac:dyDescent="0.3">
      <c r="A202" s="6" t="s">
        <v>47</v>
      </c>
      <c r="B202" s="6" t="s">
        <v>76</v>
      </c>
      <c r="C202" s="6" t="s">
        <v>81</v>
      </c>
      <c r="D202" s="6" t="s">
        <v>81</v>
      </c>
      <c r="E202" s="7">
        <v>7398183.3559999987</v>
      </c>
      <c r="F202" s="7">
        <v>357202.62300000002</v>
      </c>
      <c r="G202" s="7">
        <v>-23.5203202</v>
      </c>
      <c r="H202" s="7">
        <v>-46.398719900000003</v>
      </c>
      <c r="I202" s="6"/>
      <c r="J202" s="6"/>
      <c r="K202" s="6"/>
      <c r="L202" s="6"/>
    </row>
    <row r="203" spans="1:12" x14ac:dyDescent="0.3">
      <c r="A203" s="6" t="s">
        <v>47</v>
      </c>
      <c r="B203" s="6" t="s">
        <v>76</v>
      </c>
      <c r="C203" s="6" t="s">
        <v>83</v>
      </c>
      <c r="D203" s="6" t="s">
        <v>83</v>
      </c>
      <c r="E203" s="7">
        <v>7398204.7699999986</v>
      </c>
      <c r="F203" s="7">
        <v>357252.6100000001</v>
      </c>
      <c r="G203" s="7">
        <v>-23.520131200000002</v>
      </c>
      <c r="H203" s="7">
        <v>-46.3982283</v>
      </c>
      <c r="I203" s="6"/>
      <c r="J203" s="6"/>
      <c r="K203" s="6"/>
      <c r="L203" s="6"/>
    </row>
    <row r="204" spans="1:12" x14ac:dyDescent="0.3">
      <c r="A204" s="6" t="s">
        <v>47</v>
      </c>
      <c r="B204" s="6" t="s">
        <v>76</v>
      </c>
      <c r="C204" s="6" t="s">
        <v>85</v>
      </c>
      <c r="D204" s="6" t="s">
        <v>85</v>
      </c>
      <c r="E204" s="7">
        <v>7398206.2999999998</v>
      </c>
      <c r="F204" s="7">
        <v>357256.1455230001</v>
      </c>
      <c r="G204" s="7">
        <v>-23.5201177</v>
      </c>
      <c r="H204" s="7">
        <v>-46.398193599999999</v>
      </c>
      <c r="I204" s="6"/>
      <c r="J204" s="6"/>
      <c r="K204" s="6"/>
      <c r="L204" s="6"/>
    </row>
    <row r="205" spans="1:12" x14ac:dyDescent="0.3">
      <c r="A205" s="6" t="s">
        <v>47</v>
      </c>
      <c r="B205" s="6" t="s">
        <v>76</v>
      </c>
      <c r="C205" s="6" t="s">
        <v>87</v>
      </c>
      <c r="D205" s="6" t="s">
        <v>87</v>
      </c>
      <c r="E205" s="7">
        <v>7398198.7550000008</v>
      </c>
      <c r="F205" s="7">
        <v>357265.59100000001</v>
      </c>
      <c r="G205" s="7">
        <v>-23.5201867</v>
      </c>
      <c r="H205" s="7">
        <v>-46.398101799999999</v>
      </c>
      <c r="I205" s="6"/>
      <c r="J205" s="6"/>
      <c r="K205" s="6"/>
      <c r="L205" s="6"/>
    </row>
    <row r="206" spans="1:12" x14ac:dyDescent="0.3">
      <c r="A206" s="6" t="s">
        <v>47</v>
      </c>
      <c r="B206" s="6" t="s">
        <v>76</v>
      </c>
      <c r="C206" s="6" t="s">
        <v>89</v>
      </c>
      <c r="D206" s="6" t="s">
        <v>89</v>
      </c>
      <c r="E206" s="7">
        <v>7398117.5899999999</v>
      </c>
      <c r="F206" s="7">
        <v>357205.16600000003</v>
      </c>
      <c r="G206" s="7">
        <v>-23.520914300000001</v>
      </c>
      <c r="H206" s="7">
        <v>-46.398701299999999</v>
      </c>
      <c r="I206" s="6"/>
      <c r="J206" s="6"/>
      <c r="K206" s="6"/>
      <c r="L206" s="6"/>
    </row>
    <row r="207" spans="1:12" x14ac:dyDescent="0.3">
      <c r="A207" s="6" t="s">
        <v>47</v>
      </c>
      <c r="B207" s="6" t="s">
        <v>76</v>
      </c>
      <c r="C207" s="6" t="s">
        <v>91</v>
      </c>
      <c r="D207" s="6" t="s">
        <v>91</v>
      </c>
      <c r="E207" s="7">
        <v>7398058.0810000002</v>
      </c>
      <c r="F207" s="7">
        <v>357210.88</v>
      </c>
      <c r="G207" s="7">
        <v>-23.521452199999999</v>
      </c>
      <c r="H207" s="7">
        <v>-46.398651000000001</v>
      </c>
      <c r="I207" s="6"/>
      <c r="J207" s="6"/>
      <c r="K207" s="6"/>
      <c r="L207" s="6"/>
    </row>
    <row r="208" spans="1:12" x14ac:dyDescent="0.3">
      <c r="A208" s="6" t="s">
        <v>47</v>
      </c>
      <c r="B208" s="6" t="s">
        <v>76</v>
      </c>
      <c r="C208" s="6" t="s">
        <v>93</v>
      </c>
      <c r="D208" s="6" t="s">
        <v>93</v>
      </c>
      <c r="E208" s="7">
        <v>7398057.5800000001</v>
      </c>
      <c r="F208" s="7">
        <v>357213.32000000012</v>
      </c>
      <c r="G208" s="7">
        <v>-23.5214569</v>
      </c>
      <c r="H208" s="7">
        <v>-46.398627099999999</v>
      </c>
      <c r="I208" s="6"/>
      <c r="J208" s="6"/>
      <c r="K208" s="6"/>
      <c r="L208" s="6"/>
    </row>
    <row r="209" spans="1:12" x14ac:dyDescent="0.3">
      <c r="A209" s="6" t="s">
        <v>47</v>
      </c>
      <c r="B209" s="6" t="s">
        <v>76</v>
      </c>
      <c r="C209" s="6" t="s">
        <v>95</v>
      </c>
      <c r="D209" s="6" t="s">
        <v>95</v>
      </c>
      <c r="E209" s="7">
        <v>7398014.0449999999</v>
      </c>
      <c r="F209" s="7">
        <v>357237.36900000012</v>
      </c>
      <c r="G209" s="7">
        <v>-23.521852200000001</v>
      </c>
      <c r="H209" s="7">
        <v>-46.398395800000003</v>
      </c>
      <c r="I209" s="6"/>
      <c r="J209" s="6"/>
      <c r="K209" s="6"/>
      <c r="L209" s="6"/>
    </row>
    <row r="210" spans="1:12" x14ac:dyDescent="0.3">
      <c r="A210" s="6" t="s">
        <v>47</v>
      </c>
      <c r="B210" s="6" t="s">
        <v>76</v>
      </c>
      <c r="C210" s="6" t="s">
        <v>97</v>
      </c>
      <c r="D210" s="6" t="s">
        <v>97</v>
      </c>
      <c r="E210" s="7">
        <v>7397992.4299999997</v>
      </c>
      <c r="F210" s="7">
        <v>357303.64</v>
      </c>
      <c r="G210" s="7">
        <v>-23.522053199999998</v>
      </c>
      <c r="H210" s="7">
        <v>-46.397748900000003</v>
      </c>
      <c r="I210" s="6"/>
      <c r="J210" s="6"/>
      <c r="K210" s="6"/>
      <c r="L210" s="6"/>
    </row>
    <row r="211" spans="1:12" x14ac:dyDescent="0.3">
      <c r="A211" s="6" t="s">
        <v>47</v>
      </c>
      <c r="B211" s="6" t="s">
        <v>76</v>
      </c>
      <c r="C211" s="6" t="s">
        <v>99</v>
      </c>
      <c r="D211" s="6" t="s">
        <v>99</v>
      </c>
      <c r="E211" s="7">
        <v>7398016</v>
      </c>
      <c r="F211" s="7">
        <v>357320.43</v>
      </c>
      <c r="G211" s="7">
        <v>-23.521841800000001</v>
      </c>
      <c r="H211" s="7">
        <v>-46.397582200000002</v>
      </c>
      <c r="I211" s="6"/>
      <c r="J211" s="6"/>
      <c r="K211" s="6"/>
      <c r="L211" s="6"/>
    </row>
    <row r="212" spans="1:12" x14ac:dyDescent="0.3">
      <c r="A212" s="6" t="s">
        <v>47</v>
      </c>
      <c r="B212" s="6" t="s">
        <v>76</v>
      </c>
      <c r="C212" s="6" t="s">
        <v>101</v>
      </c>
      <c r="D212" s="6" t="s">
        <v>101</v>
      </c>
      <c r="E212" s="7">
        <v>7398029.6100000003</v>
      </c>
      <c r="F212" s="7">
        <v>357297.65000000008</v>
      </c>
      <c r="G212" s="7">
        <v>-23.521716900000001</v>
      </c>
      <c r="H212" s="7">
        <v>-46.397804000000001</v>
      </c>
      <c r="I212" s="6"/>
      <c r="J212" s="6"/>
      <c r="K212" s="6"/>
      <c r="L212" s="6"/>
    </row>
    <row r="213" spans="1:12" x14ac:dyDescent="0.3">
      <c r="A213" s="6" t="s">
        <v>47</v>
      </c>
      <c r="B213" s="6" t="s">
        <v>76</v>
      </c>
      <c r="C213" s="6" t="s">
        <v>103</v>
      </c>
      <c r="D213" s="6" t="s">
        <v>103</v>
      </c>
      <c r="E213" s="7">
        <v>7398029.3200000003</v>
      </c>
      <c r="F213" s="7">
        <v>357298.85</v>
      </c>
      <c r="G213" s="7">
        <v>-23.521719600000001</v>
      </c>
      <c r="H213" s="7">
        <v>-46.397792199999998</v>
      </c>
      <c r="I213" s="6"/>
      <c r="J213" s="6"/>
      <c r="K213" s="6"/>
      <c r="L213" s="6"/>
    </row>
    <row r="214" spans="1:12" x14ac:dyDescent="0.3">
      <c r="A214" s="6" t="s">
        <v>47</v>
      </c>
      <c r="B214" s="6" t="s">
        <v>76</v>
      </c>
      <c r="C214" s="6" t="s">
        <v>105</v>
      </c>
      <c r="D214" s="6" t="s">
        <v>105</v>
      </c>
      <c r="E214" s="7">
        <v>7398043.0060000001</v>
      </c>
      <c r="F214" s="7">
        <v>357276.80699999997</v>
      </c>
      <c r="G214" s="7">
        <v>-23.521594100000002</v>
      </c>
      <c r="H214" s="7">
        <v>-46.398006799999997</v>
      </c>
      <c r="I214" s="6"/>
      <c r="J214" s="6"/>
      <c r="K214" s="6"/>
      <c r="L214" s="6"/>
    </row>
    <row r="215" spans="1:12" x14ac:dyDescent="0.3">
      <c r="A215" s="6" t="s">
        <v>47</v>
      </c>
      <c r="B215" s="6" t="s">
        <v>76</v>
      </c>
      <c r="C215" s="6" t="s">
        <v>382</v>
      </c>
      <c r="D215" s="6" t="s">
        <v>382</v>
      </c>
      <c r="E215" s="7">
        <v>7398372.2510000002</v>
      </c>
      <c r="F215" s="7">
        <v>357107.15399999998</v>
      </c>
      <c r="G215" s="7">
        <v>-23.5186061</v>
      </c>
      <c r="H215" s="7">
        <v>-46.399636800000003</v>
      </c>
      <c r="I215" s="6"/>
      <c r="J215" s="6"/>
      <c r="K215" s="6"/>
      <c r="L215" s="6" t="s">
        <v>383</v>
      </c>
    </row>
    <row r="216" spans="1:12" x14ac:dyDescent="0.3">
      <c r="A216" s="6" t="s">
        <v>49</v>
      </c>
      <c r="B216" s="6" t="s">
        <v>76</v>
      </c>
      <c r="C216" s="6" t="s">
        <v>382</v>
      </c>
      <c r="D216" s="6" t="s">
        <v>382</v>
      </c>
      <c r="E216" s="7">
        <v>7397310.4544000002</v>
      </c>
      <c r="F216" s="7">
        <v>358093.89020000031</v>
      </c>
      <c r="G216" s="7">
        <v>-23.528280800000001</v>
      </c>
      <c r="H216" s="7">
        <v>-46.390074599999998</v>
      </c>
      <c r="I216" s="6"/>
      <c r="J216" s="6"/>
      <c r="K216" s="6"/>
      <c r="L216" s="6" t="s">
        <v>383</v>
      </c>
    </row>
    <row r="217" spans="1:12" x14ac:dyDescent="0.3">
      <c r="A217" s="6" t="s">
        <v>49</v>
      </c>
      <c r="B217" s="6" t="s">
        <v>76</v>
      </c>
      <c r="C217" s="6" t="s">
        <v>384</v>
      </c>
      <c r="D217" s="6" t="s">
        <v>384</v>
      </c>
      <c r="E217" s="7">
        <v>7397175.4121650411</v>
      </c>
      <c r="F217" s="7">
        <v>358017.08327958197</v>
      </c>
      <c r="G217" s="7">
        <v>-23.529493599999999</v>
      </c>
      <c r="H217" s="7">
        <v>-46.3908396</v>
      </c>
      <c r="I217" s="6"/>
      <c r="J217" s="6"/>
      <c r="K217" s="6"/>
      <c r="L217" s="6" t="s">
        <v>383</v>
      </c>
    </row>
    <row r="218" spans="1:12" x14ac:dyDescent="0.3">
      <c r="A218" s="6" t="s">
        <v>51</v>
      </c>
      <c r="B218" s="6" t="s">
        <v>133</v>
      </c>
      <c r="C218" s="6" t="s">
        <v>385</v>
      </c>
      <c r="D218" s="6" t="s">
        <v>385</v>
      </c>
      <c r="E218" s="7">
        <v>7398353.4270470012</v>
      </c>
      <c r="F218" s="7">
        <v>357274.07721100008</v>
      </c>
      <c r="G218" s="7">
        <v>-23.5187907</v>
      </c>
      <c r="H218" s="7">
        <v>-46.398003899999999</v>
      </c>
      <c r="I218" s="7">
        <v>748.66700000000003</v>
      </c>
      <c r="J218" s="7">
        <v>747.26700000000005</v>
      </c>
      <c r="K218" s="7">
        <v>1.4</v>
      </c>
      <c r="L218" s="6" t="s">
        <v>386</v>
      </c>
    </row>
    <row r="219" spans="1:12" x14ac:dyDescent="0.3">
      <c r="A219" s="6" t="s">
        <v>51</v>
      </c>
      <c r="B219" s="6" t="s">
        <v>133</v>
      </c>
      <c r="C219" s="6" t="s">
        <v>387</v>
      </c>
      <c r="D219" s="6" t="s">
        <v>387</v>
      </c>
      <c r="E219" s="7">
        <v>7398355.9076960012</v>
      </c>
      <c r="F219" s="7">
        <v>357276.57847299997</v>
      </c>
      <c r="G219" s="7">
        <v>-23.5187685</v>
      </c>
      <c r="H219" s="7">
        <v>-46.397979200000002</v>
      </c>
      <c r="I219" s="7">
        <v>748.72699999999998</v>
      </c>
      <c r="J219" s="7">
        <v>747.40700000000004</v>
      </c>
      <c r="K219" s="7">
        <v>1.32</v>
      </c>
      <c r="L219" s="6" t="s">
        <v>388</v>
      </c>
    </row>
    <row r="220" spans="1:12" x14ac:dyDescent="0.3">
      <c r="A220" s="6" t="s">
        <v>51</v>
      </c>
      <c r="B220" s="6" t="s">
        <v>133</v>
      </c>
      <c r="C220" s="6" t="s">
        <v>389</v>
      </c>
      <c r="D220" s="6" t="s">
        <v>389</v>
      </c>
      <c r="E220" s="7">
        <v>7398362.271408</v>
      </c>
      <c r="F220" s="7">
        <v>357274.34138900001</v>
      </c>
      <c r="G220" s="7">
        <v>-23.518710899999999</v>
      </c>
      <c r="H220" s="7">
        <v>-46.398000500000002</v>
      </c>
      <c r="I220" s="7">
        <v>748.74199999999996</v>
      </c>
      <c r="J220" s="7">
        <v>747.74199999999996</v>
      </c>
      <c r="K220" s="7">
        <v>1</v>
      </c>
      <c r="L220" s="6" t="s">
        <v>390</v>
      </c>
    </row>
    <row r="221" spans="1:12" x14ac:dyDescent="0.3">
      <c r="A221" s="6" t="s">
        <v>51</v>
      </c>
      <c r="B221" s="6" t="s">
        <v>133</v>
      </c>
      <c r="C221" s="6" t="s">
        <v>391</v>
      </c>
      <c r="D221" s="6" t="s">
        <v>391</v>
      </c>
      <c r="E221" s="7">
        <v>7398366.52422</v>
      </c>
      <c r="F221" s="7">
        <v>357265.22601799999</v>
      </c>
      <c r="G221" s="7">
        <v>-23.518671699999999</v>
      </c>
      <c r="H221" s="7">
        <v>-46.398089400000003</v>
      </c>
      <c r="I221" s="7">
        <v>748.67200000000003</v>
      </c>
      <c r="J221" s="7">
        <v>747.12199999999996</v>
      </c>
      <c r="K221" s="7">
        <v>1.55</v>
      </c>
      <c r="L221" s="6" t="s">
        <v>392</v>
      </c>
    </row>
    <row r="222" spans="1:12" x14ac:dyDescent="0.3">
      <c r="A222" s="6" t="s">
        <v>51</v>
      </c>
      <c r="B222" s="6" t="s">
        <v>133</v>
      </c>
      <c r="C222" s="6" t="s">
        <v>393</v>
      </c>
      <c r="D222" s="6" t="s">
        <v>393</v>
      </c>
      <c r="E222" s="7">
        <v>7398471.2208369998</v>
      </c>
      <c r="F222" s="7">
        <v>357026.10881800001</v>
      </c>
      <c r="G222" s="7">
        <v>-23.517705200000002</v>
      </c>
      <c r="H222" s="7">
        <v>-46.400421000000001</v>
      </c>
      <c r="I222" s="7">
        <v>745.80399999999997</v>
      </c>
      <c r="J222" s="7">
        <v>744.654</v>
      </c>
      <c r="K222" s="7">
        <v>1.1499999999999999</v>
      </c>
      <c r="L222" s="6"/>
    </row>
    <row r="223" spans="1:12" x14ac:dyDescent="0.3">
      <c r="A223" s="6" t="s">
        <v>51</v>
      </c>
      <c r="B223" s="6" t="s">
        <v>76</v>
      </c>
      <c r="C223" s="6" t="s">
        <v>270</v>
      </c>
      <c r="D223" s="6" t="s">
        <v>270</v>
      </c>
      <c r="E223" s="7">
        <v>7398316.8025850002</v>
      </c>
      <c r="F223" s="7">
        <v>357305.13269</v>
      </c>
      <c r="G223" s="7">
        <v>-23.5191242</v>
      </c>
      <c r="H223" s="7">
        <v>-46.397703300000003</v>
      </c>
      <c r="I223" s="7">
        <v>750.827</v>
      </c>
      <c r="J223" s="7">
        <v>747.47699999999998</v>
      </c>
      <c r="K223" s="7">
        <v>3.35</v>
      </c>
      <c r="L223" s="6"/>
    </row>
    <row r="224" spans="1:12" x14ac:dyDescent="0.3">
      <c r="A224" s="6" t="s">
        <v>51</v>
      </c>
      <c r="B224" s="6" t="s">
        <v>76</v>
      </c>
      <c r="C224" s="6" t="s">
        <v>268</v>
      </c>
      <c r="D224" s="6" t="s">
        <v>268</v>
      </c>
      <c r="E224" s="7">
        <v>7398354.4027079996</v>
      </c>
      <c r="F224" s="7">
        <v>357275.13882400002</v>
      </c>
      <c r="G224" s="7">
        <v>-23.518782000000002</v>
      </c>
      <c r="H224" s="7">
        <v>-46.397993399999997</v>
      </c>
      <c r="I224" s="7">
        <v>748.697</v>
      </c>
      <c r="J224" s="7">
        <v>745.81700000000001</v>
      </c>
      <c r="K224" s="7">
        <v>2.88</v>
      </c>
      <c r="L224" s="6"/>
    </row>
    <row r="225" spans="1:12" x14ac:dyDescent="0.3">
      <c r="A225" s="6" t="s">
        <v>51</v>
      </c>
      <c r="B225" s="6" t="s">
        <v>76</v>
      </c>
      <c r="C225" s="6" t="s">
        <v>328</v>
      </c>
      <c r="D225" s="6" t="s">
        <v>328</v>
      </c>
      <c r="E225" s="7">
        <v>7398372.8153839996</v>
      </c>
      <c r="F225" s="7">
        <v>357265.69386300008</v>
      </c>
      <c r="G225" s="7">
        <v>-23.518614899999999</v>
      </c>
      <c r="H225" s="7">
        <v>-46.3980842</v>
      </c>
      <c r="I225" s="7">
        <v>748.62699999999995</v>
      </c>
      <c r="J225" s="7">
        <v>745.577</v>
      </c>
      <c r="K225" s="7">
        <v>3.05</v>
      </c>
      <c r="L225" s="6"/>
    </row>
    <row r="226" spans="1:12" x14ac:dyDescent="0.3">
      <c r="A226" s="6" t="s">
        <v>51</v>
      </c>
      <c r="B226" s="6" t="s">
        <v>76</v>
      </c>
      <c r="C226" s="6" t="s">
        <v>266</v>
      </c>
      <c r="D226" s="6" t="s">
        <v>266</v>
      </c>
      <c r="E226" s="7">
        <v>7398392.7190500004</v>
      </c>
      <c r="F226" s="7">
        <v>357253.26332799997</v>
      </c>
      <c r="G226" s="7">
        <v>-23.5184341</v>
      </c>
      <c r="H226" s="7">
        <v>-46.398204</v>
      </c>
      <c r="I226" s="7">
        <v>750.16700000000003</v>
      </c>
      <c r="J226" s="7">
        <v>744.96699999999998</v>
      </c>
      <c r="K226" s="7">
        <v>5.2</v>
      </c>
      <c r="L226" s="6"/>
    </row>
    <row r="227" spans="1:12" x14ac:dyDescent="0.3">
      <c r="A227" s="6" t="s">
        <v>51</v>
      </c>
      <c r="B227" s="6" t="s">
        <v>76</v>
      </c>
      <c r="C227" s="6" t="s">
        <v>366</v>
      </c>
      <c r="D227" s="6" t="s">
        <v>366</v>
      </c>
      <c r="E227" s="7">
        <v>7398339.2204960007</v>
      </c>
      <c r="F227" s="7">
        <v>357215.564694</v>
      </c>
      <c r="G227" s="7">
        <v>-23.518913900000001</v>
      </c>
      <c r="H227" s="7">
        <v>-46.398578299999997</v>
      </c>
      <c r="I227" s="7">
        <v>747.90700000000004</v>
      </c>
      <c r="J227" s="7">
        <v>744.90700000000004</v>
      </c>
      <c r="K227" s="7">
        <v>3</v>
      </c>
      <c r="L227" s="6"/>
    </row>
    <row r="228" spans="1:12" x14ac:dyDescent="0.3">
      <c r="A228" s="6" t="s">
        <v>51</v>
      </c>
      <c r="B228" s="6" t="s">
        <v>76</v>
      </c>
      <c r="C228" s="6" t="s">
        <v>375</v>
      </c>
      <c r="D228" s="6" t="s">
        <v>375</v>
      </c>
      <c r="E228" s="7">
        <v>7398371.9224330001</v>
      </c>
      <c r="F228" s="7">
        <v>357199.636764</v>
      </c>
      <c r="G228" s="7">
        <v>-23.518617200000001</v>
      </c>
      <c r="H228" s="7">
        <v>-46.398731099999999</v>
      </c>
      <c r="I228" s="7">
        <v>747.78200000000004</v>
      </c>
      <c r="J228" s="7">
        <v>744.63199999999995</v>
      </c>
      <c r="K228" s="7">
        <v>3.15</v>
      </c>
      <c r="L228" s="6"/>
    </row>
    <row r="229" spans="1:12" x14ac:dyDescent="0.3">
      <c r="A229" s="6" t="s">
        <v>51</v>
      </c>
      <c r="B229" s="6" t="s">
        <v>76</v>
      </c>
      <c r="C229" s="6" t="s">
        <v>264</v>
      </c>
      <c r="D229" s="6" t="s">
        <v>264</v>
      </c>
      <c r="E229" s="7">
        <v>7398410.6882750001</v>
      </c>
      <c r="F229" s="7">
        <v>357160.43770300009</v>
      </c>
      <c r="G229" s="7">
        <v>-23.518263600000001</v>
      </c>
      <c r="H229" s="7">
        <v>-46.399111300000001</v>
      </c>
      <c r="I229" s="7">
        <v>747.08199999999999</v>
      </c>
      <c r="J229" s="7">
        <v>743.88199999999995</v>
      </c>
      <c r="K229" s="7">
        <v>3.2</v>
      </c>
      <c r="L229" s="6"/>
    </row>
    <row r="230" spans="1:12" x14ac:dyDescent="0.3">
      <c r="A230" s="6" t="s">
        <v>51</v>
      </c>
      <c r="B230" s="6" t="s">
        <v>76</v>
      </c>
      <c r="C230" s="6" t="s">
        <v>394</v>
      </c>
      <c r="D230" s="6" t="s">
        <v>394</v>
      </c>
      <c r="E230" s="7">
        <v>7398391.0709929997</v>
      </c>
      <c r="F230" s="7">
        <v>357131.50564500003</v>
      </c>
      <c r="G230" s="7">
        <v>-23.518438199999999</v>
      </c>
      <c r="H230" s="7">
        <v>-46.399396500000002</v>
      </c>
      <c r="I230" s="7">
        <v>746.56200000000001</v>
      </c>
      <c r="J230" s="7">
        <v>743.76199999999994</v>
      </c>
      <c r="K230" s="7">
        <v>2.8</v>
      </c>
      <c r="L230" s="6" t="s">
        <v>395</v>
      </c>
    </row>
    <row r="231" spans="1:12" x14ac:dyDescent="0.3">
      <c r="A231" s="6" t="s">
        <v>51</v>
      </c>
      <c r="B231" s="6" t="s">
        <v>76</v>
      </c>
      <c r="C231" s="6" t="s">
        <v>180</v>
      </c>
      <c r="D231" s="6" t="s">
        <v>180</v>
      </c>
      <c r="E231" s="7">
        <v>7398371.9980640002</v>
      </c>
      <c r="F231" s="7">
        <v>357107.12599999999</v>
      </c>
      <c r="G231" s="7">
        <v>-23.5186083</v>
      </c>
      <c r="H231" s="7">
        <v>-46.3996371</v>
      </c>
      <c r="I231" s="7">
        <v>746.59199999999998</v>
      </c>
      <c r="J231" s="7">
        <v>743.34199999999998</v>
      </c>
      <c r="K231" s="7">
        <v>3.25</v>
      </c>
      <c r="L231" s="6"/>
    </row>
    <row r="232" spans="1:12" x14ac:dyDescent="0.3">
      <c r="A232" s="6" t="s">
        <v>51</v>
      </c>
      <c r="B232" s="6" t="s">
        <v>76</v>
      </c>
      <c r="C232" s="6" t="s">
        <v>369</v>
      </c>
      <c r="D232" s="6" t="s">
        <v>369</v>
      </c>
      <c r="E232" s="7">
        <v>7398333.6977020008</v>
      </c>
      <c r="F232" s="7">
        <v>357494.73336200003</v>
      </c>
      <c r="G232" s="7">
        <v>-23.5189883</v>
      </c>
      <c r="H232" s="7">
        <v>-46.395845000000001</v>
      </c>
      <c r="I232" s="7">
        <v>754.86</v>
      </c>
      <c r="J232" s="7">
        <v>751.85</v>
      </c>
      <c r="K232" s="7">
        <v>3.01</v>
      </c>
      <c r="L232" s="6"/>
    </row>
    <row r="233" spans="1:12" x14ac:dyDescent="0.3">
      <c r="A233" s="6" t="s">
        <v>51</v>
      </c>
      <c r="B233" s="6" t="s">
        <v>76</v>
      </c>
      <c r="C233" s="6" t="s">
        <v>396</v>
      </c>
      <c r="D233" s="6" t="s">
        <v>396</v>
      </c>
      <c r="E233" s="7">
        <v>7398355.6365419999</v>
      </c>
      <c r="F233" s="7">
        <v>357537.33949200012</v>
      </c>
      <c r="G233" s="7">
        <v>-23.518793899999999</v>
      </c>
      <c r="H233" s="7">
        <v>-46.395425699999997</v>
      </c>
      <c r="I233" s="7">
        <v>756.61699999999996</v>
      </c>
      <c r="J233" s="7">
        <v>753.46699999999998</v>
      </c>
      <c r="K233" s="7">
        <v>3.15</v>
      </c>
      <c r="L233" s="6"/>
    </row>
    <row r="234" spans="1:12" x14ac:dyDescent="0.3">
      <c r="A234" s="6" t="s">
        <v>51</v>
      </c>
      <c r="B234" s="6" t="s">
        <v>76</v>
      </c>
      <c r="C234" s="6" t="s">
        <v>372</v>
      </c>
      <c r="D234" s="6" t="s">
        <v>372</v>
      </c>
      <c r="E234" s="7">
        <v>7398401.7323540002</v>
      </c>
      <c r="F234" s="7">
        <v>357777.23366999999</v>
      </c>
      <c r="G234" s="7">
        <v>-23.518398699999999</v>
      </c>
      <c r="H234" s="7">
        <v>-46.393071999999997</v>
      </c>
      <c r="I234" s="7">
        <v>761.91</v>
      </c>
      <c r="J234" s="7">
        <v>759.66</v>
      </c>
      <c r="K234" s="7">
        <v>2.25</v>
      </c>
      <c r="L234" s="6"/>
    </row>
    <row r="235" spans="1:12" x14ac:dyDescent="0.3">
      <c r="A235" s="6" t="s">
        <v>51</v>
      </c>
      <c r="B235" s="6" t="s">
        <v>76</v>
      </c>
      <c r="C235" s="6" t="s">
        <v>397</v>
      </c>
      <c r="D235" s="6" t="s">
        <v>397</v>
      </c>
      <c r="E235" s="7">
        <v>7398407.4561940003</v>
      </c>
      <c r="F235" s="7">
        <v>357848.234406</v>
      </c>
      <c r="G235" s="7">
        <v>-23.5183532</v>
      </c>
      <c r="H235" s="7">
        <v>-46.392376200000001</v>
      </c>
      <c r="I235" s="7">
        <v>764.45699999999999</v>
      </c>
      <c r="J235" s="7">
        <v>760.95699999999999</v>
      </c>
      <c r="K235" s="7">
        <v>3.5</v>
      </c>
      <c r="L235" s="6"/>
    </row>
    <row r="236" spans="1:12" x14ac:dyDescent="0.3">
      <c r="A236" s="6" t="s">
        <v>51</v>
      </c>
      <c r="B236" s="6" t="s">
        <v>76</v>
      </c>
      <c r="C236" s="6" t="s">
        <v>398</v>
      </c>
      <c r="D236" s="6" t="s">
        <v>398</v>
      </c>
      <c r="E236" s="7">
        <v>7398438.2479830002</v>
      </c>
      <c r="F236" s="7">
        <v>357847.89537899999</v>
      </c>
      <c r="G236" s="7">
        <v>-23.518075100000001</v>
      </c>
      <c r="H236" s="7">
        <v>-46.392376599999999</v>
      </c>
      <c r="I236" s="7">
        <v>763.75199999999995</v>
      </c>
      <c r="J236" s="7">
        <v>761.45</v>
      </c>
      <c r="K236" s="7">
        <v>2.2999999999999998</v>
      </c>
      <c r="L236" s="6" t="s">
        <v>399</v>
      </c>
    </row>
    <row r="237" spans="1:12" x14ac:dyDescent="0.3">
      <c r="A237" s="6" t="s">
        <v>51</v>
      </c>
      <c r="B237" s="6" t="s">
        <v>76</v>
      </c>
      <c r="C237" s="6" t="s">
        <v>298</v>
      </c>
      <c r="D237" s="6" t="s">
        <v>298</v>
      </c>
      <c r="E237" s="7">
        <v>7398584.4820904089</v>
      </c>
      <c r="F237" s="7">
        <v>356890.1827641679</v>
      </c>
      <c r="G237" s="7">
        <v>-23.5166705</v>
      </c>
      <c r="H237" s="7">
        <v>-46.401741199999996</v>
      </c>
      <c r="I237" s="7">
        <v>744.64200000000005</v>
      </c>
      <c r="J237" s="7">
        <v>741.48199999999997</v>
      </c>
      <c r="K237" s="7">
        <v>3.16</v>
      </c>
      <c r="L237" s="6"/>
    </row>
    <row r="238" spans="1:12" x14ac:dyDescent="0.3">
      <c r="A238" s="6" t="s">
        <v>51</v>
      </c>
      <c r="B238" s="6" t="s">
        <v>76</v>
      </c>
      <c r="C238" s="6" t="s">
        <v>299</v>
      </c>
      <c r="D238" s="6" t="s">
        <v>299</v>
      </c>
      <c r="E238" s="7">
        <v>7398536.7480539894</v>
      </c>
      <c r="F238" s="7">
        <v>356933.519134</v>
      </c>
      <c r="G238" s="7">
        <v>-23.517105300000001</v>
      </c>
      <c r="H238" s="7">
        <v>-46.4013214</v>
      </c>
      <c r="I238" s="7">
        <v>745.20500000000004</v>
      </c>
      <c r="J238" s="7">
        <v>742.005</v>
      </c>
      <c r="K238" s="7">
        <v>3.15</v>
      </c>
      <c r="L238" s="6"/>
    </row>
    <row r="239" spans="1:12" x14ac:dyDescent="0.3">
      <c r="A239" s="6" t="s">
        <v>51</v>
      </c>
      <c r="B239" s="6" t="s">
        <v>76</v>
      </c>
      <c r="C239" s="6" t="s">
        <v>296</v>
      </c>
      <c r="D239" s="6" t="s">
        <v>296</v>
      </c>
      <c r="E239" s="7">
        <v>7398658.5950580016</v>
      </c>
      <c r="F239" s="7">
        <v>356836.15352300002</v>
      </c>
      <c r="G239" s="7">
        <v>-23.515996399999999</v>
      </c>
      <c r="H239" s="7">
        <v>-46.4022632</v>
      </c>
      <c r="I239" s="7">
        <v>744.34500000000003</v>
      </c>
      <c r="J239" s="7">
        <v>740.84500000000003</v>
      </c>
      <c r="K239" s="7">
        <v>3.5</v>
      </c>
      <c r="L239" s="6"/>
    </row>
    <row r="240" spans="1:12" x14ac:dyDescent="0.3">
      <c r="A240" s="6" t="s">
        <v>51</v>
      </c>
      <c r="B240" s="6" t="s">
        <v>76</v>
      </c>
      <c r="C240" s="6" t="s">
        <v>359</v>
      </c>
      <c r="D240" s="6" t="s">
        <v>359</v>
      </c>
      <c r="E240" s="7">
        <v>7398486.1666119983</v>
      </c>
      <c r="F240" s="7">
        <v>356989.38522</v>
      </c>
      <c r="G240" s="7">
        <v>-23.517567</v>
      </c>
      <c r="H240" s="7">
        <v>-46.400779200000002</v>
      </c>
      <c r="I240" s="7">
        <v>745.69399999999996</v>
      </c>
      <c r="J240" s="7">
        <v>742.41399999999999</v>
      </c>
      <c r="K240" s="7">
        <v>3.28</v>
      </c>
      <c r="L240" s="6"/>
    </row>
    <row r="241" spans="1:12" x14ac:dyDescent="0.3">
      <c r="A241" s="6" t="s">
        <v>51</v>
      </c>
      <c r="B241" s="6" t="s">
        <v>76</v>
      </c>
      <c r="C241" s="6" t="s">
        <v>360</v>
      </c>
      <c r="D241" s="6" t="s">
        <v>360</v>
      </c>
      <c r="E241" s="7">
        <v>7398418.5950240009</v>
      </c>
      <c r="F241" s="7">
        <v>357045.35705400078</v>
      </c>
      <c r="G241" s="7">
        <v>-23.518182100000001</v>
      </c>
      <c r="H241" s="7">
        <v>-46.400237500000003</v>
      </c>
      <c r="I241" s="7">
        <v>746.03899999999999</v>
      </c>
      <c r="J241" s="7">
        <v>742.58900000000006</v>
      </c>
      <c r="K241" s="7">
        <v>3.45</v>
      </c>
      <c r="L241" s="6"/>
    </row>
    <row r="242" spans="1:12" x14ac:dyDescent="0.3">
      <c r="A242" s="6" t="s">
        <v>51</v>
      </c>
      <c r="B242" s="6" t="s">
        <v>76</v>
      </c>
      <c r="C242" s="6" t="s">
        <v>400</v>
      </c>
      <c r="D242" s="6" t="s">
        <v>400</v>
      </c>
      <c r="E242" s="7">
        <v>7398424.7100419989</v>
      </c>
      <c r="F242" s="7">
        <v>357064.10043699999</v>
      </c>
      <c r="G242" s="7">
        <v>-23.5181285</v>
      </c>
      <c r="H242" s="7">
        <v>-46.400053399999997</v>
      </c>
      <c r="I242" s="7">
        <v>746.42</v>
      </c>
      <c r="J242" s="7">
        <v>743.87</v>
      </c>
      <c r="K242" s="7">
        <v>2.5499999999999998</v>
      </c>
      <c r="L242" s="6"/>
    </row>
    <row r="243" spans="1:12" x14ac:dyDescent="0.3">
      <c r="A243" s="6" t="s">
        <v>51</v>
      </c>
      <c r="B243" s="6" t="s">
        <v>76</v>
      </c>
      <c r="C243" s="6" t="s">
        <v>380</v>
      </c>
      <c r="D243" s="6" t="s">
        <v>380</v>
      </c>
      <c r="E243" s="7">
        <v>7398377.4928479977</v>
      </c>
      <c r="F243" s="7">
        <v>357078.101891</v>
      </c>
      <c r="G243" s="7">
        <v>-23.518556199999999</v>
      </c>
      <c r="H243" s="7">
        <v>-46.399920799999997</v>
      </c>
      <c r="I243" s="7">
        <v>746.62699999999995</v>
      </c>
      <c r="J243" s="7">
        <v>743.17700000000002</v>
      </c>
      <c r="K243" s="7">
        <v>3.45</v>
      </c>
      <c r="L243" s="6"/>
    </row>
    <row r="244" spans="1:12" x14ac:dyDescent="0.3">
      <c r="A244" s="6" t="s">
        <v>51</v>
      </c>
      <c r="B244" s="6" t="s">
        <v>76</v>
      </c>
      <c r="C244" s="6" t="s">
        <v>358</v>
      </c>
      <c r="D244" s="6" t="s">
        <v>358</v>
      </c>
      <c r="E244" s="7">
        <v>7398385.1815870004</v>
      </c>
      <c r="F244" s="7">
        <v>357097.27434900001</v>
      </c>
      <c r="G244" s="7">
        <v>-23.518488399999999</v>
      </c>
      <c r="H244" s="7">
        <v>-46.399732299999997</v>
      </c>
      <c r="I244" s="7">
        <v>746.572</v>
      </c>
      <c r="J244" s="7">
        <v>743.322</v>
      </c>
      <c r="K244" s="7">
        <v>3.25</v>
      </c>
      <c r="L244" s="6"/>
    </row>
    <row r="245" spans="1:12" x14ac:dyDescent="0.3">
      <c r="A245" s="6" t="s">
        <v>51</v>
      </c>
      <c r="B245" s="6" t="s">
        <v>76</v>
      </c>
      <c r="C245" s="6" t="s">
        <v>373</v>
      </c>
      <c r="D245" s="6" t="s">
        <v>373</v>
      </c>
      <c r="E245" s="7">
        <v>7398276.3801739533</v>
      </c>
      <c r="F245" s="7">
        <v>357339.9786428868</v>
      </c>
      <c r="G245" s="7">
        <v>-23.5194923</v>
      </c>
      <c r="H245" s="7">
        <v>-46.397365899999997</v>
      </c>
      <c r="I245" s="7">
        <v>755.60500000000002</v>
      </c>
      <c r="J245" s="7">
        <v>747.94500000000005</v>
      </c>
      <c r="K245" s="7">
        <v>7.66</v>
      </c>
      <c r="L245" s="6"/>
    </row>
    <row r="246" spans="1:12" x14ac:dyDescent="0.3">
      <c r="A246" s="6" t="s">
        <v>51</v>
      </c>
      <c r="B246" s="6" t="s">
        <v>76</v>
      </c>
      <c r="C246" s="6" t="s">
        <v>338</v>
      </c>
      <c r="D246" s="6" t="s">
        <v>338</v>
      </c>
      <c r="E246" s="7">
        <v>7398311.4422219992</v>
      </c>
      <c r="F246" s="7">
        <v>357383.36480500002</v>
      </c>
      <c r="G246" s="7">
        <v>-23.5191795</v>
      </c>
      <c r="H246" s="7">
        <v>-46.396937700000002</v>
      </c>
      <c r="I246" s="7">
        <v>752.78499999999997</v>
      </c>
      <c r="J246" s="7">
        <v>748.32500000000005</v>
      </c>
      <c r="K246" s="7">
        <v>4.46</v>
      </c>
      <c r="L246" s="6"/>
    </row>
    <row r="247" spans="1:12" x14ac:dyDescent="0.3">
      <c r="A247" s="6" t="s">
        <v>51</v>
      </c>
      <c r="B247" s="6" t="s">
        <v>76</v>
      </c>
      <c r="C247" s="6" t="s">
        <v>340</v>
      </c>
      <c r="D247" s="6" t="s">
        <v>340</v>
      </c>
      <c r="E247" s="7">
        <v>7398336.9308479996</v>
      </c>
      <c r="F247" s="7">
        <v>357414.35185600008</v>
      </c>
      <c r="G247" s="7">
        <v>-23.518951999999999</v>
      </c>
      <c r="H247" s="7">
        <v>-46.396631800000002</v>
      </c>
      <c r="I247" s="7">
        <v>752.2</v>
      </c>
      <c r="J247" s="7">
        <v>748.95</v>
      </c>
      <c r="K247" s="7">
        <v>3.25</v>
      </c>
      <c r="L247" s="6"/>
    </row>
    <row r="248" spans="1:12" x14ac:dyDescent="0.3">
      <c r="A248" s="6" t="s">
        <v>51</v>
      </c>
      <c r="B248" s="6" t="s">
        <v>76</v>
      </c>
      <c r="C248" s="6" t="s">
        <v>371</v>
      </c>
      <c r="D248" s="6" t="s">
        <v>371</v>
      </c>
      <c r="E248" s="7">
        <v>7398315.9628809998</v>
      </c>
      <c r="F248" s="7">
        <v>357450.432424</v>
      </c>
      <c r="G248" s="7">
        <v>-23.519144499999999</v>
      </c>
      <c r="H248" s="7">
        <v>-46.396280500000003</v>
      </c>
      <c r="I248" s="7">
        <v>752.94</v>
      </c>
      <c r="J248" s="7">
        <v>750.24</v>
      </c>
      <c r="K248" s="7">
        <v>2.7</v>
      </c>
      <c r="L248" s="6"/>
    </row>
    <row r="249" spans="1:12" x14ac:dyDescent="0.3">
      <c r="A249" s="6" t="s">
        <v>51</v>
      </c>
      <c r="B249" s="6" t="s">
        <v>76</v>
      </c>
      <c r="C249" s="6" t="s">
        <v>370</v>
      </c>
      <c r="D249" s="6" t="s">
        <v>370</v>
      </c>
      <c r="E249" s="7">
        <v>7398318.9670000002</v>
      </c>
      <c r="F249" s="7">
        <v>357469.36300000001</v>
      </c>
      <c r="G249" s="7">
        <v>-23.519119100000001</v>
      </c>
      <c r="H249" s="7">
        <v>-46.3960948</v>
      </c>
      <c r="I249" s="7">
        <v>753.95</v>
      </c>
      <c r="J249" s="7">
        <v>750.9</v>
      </c>
      <c r="K249" s="7">
        <v>3.05</v>
      </c>
      <c r="L249" s="6"/>
    </row>
    <row r="250" spans="1:12" x14ac:dyDescent="0.3">
      <c r="A250" s="6" t="s">
        <v>51</v>
      </c>
      <c r="B250" s="6" t="s">
        <v>76</v>
      </c>
      <c r="C250" s="6" t="s">
        <v>401</v>
      </c>
      <c r="D250" s="6" t="s">
        <v>401</v>
      </c>
      <c r="E250" s="7">
        <v>7398300.2314520003</v>
      </c>
      <c r="F250" s="7">
        <v>357479.16808800009</v>
      </c>
      <c r="G250" s="7">
        <v>-23.519289100000002</v>
      </c>
      <c r="H250" s="7">
        <v>-46.396000600000001</v>
      </c>
      <c r="I250" s="7">
        <v>754.55700000000002</v>
      </c>
      <c r="J250" s="7">
        <v>752.41700000000003</v>
      </c>
      <c r="K250" s="7">
        <v>2.14</v>
      </c>
      <c r="L250" s="6"/>
    </row>
    <row r="251" spans="1:12" x14ac:dyDescent="0.3">
      <c r="A251" s="6" t="s">
        <v>51</v>
      </c>
      <c r="B251" s="6" t="s">
        <v>76</v>
      </c>
      <c r="C251" s="6" t="s">
        <v>402</v>
      </c>
      <c r="D251" s="6" t="s">
        <v>402</v>
      </c>
      <c r="E251" s="7">
        <v>7398323.2692009993</v>
      </c>
      <c r="F251" s="7">
        <v>357516.76819200272</v>
      </c>
      <c r="G251" s="7">
        <v>-23.519084400000001</v>
      </c>
      <c r="H251" s="7">
        <v>-46.395630199999999</v>
      </c>
      <c r="I251" s="7">
        <v>756.20699999999999</v>
      </c>
      <c r="J251" s="7">
        <v>752.20699999999999</v>
      </c>
      <c r="K251" s="7">
        <v>4</v>
      </c>
      <c r="L251" s="6"/>
    </row>
    <row r="252" spans="1:12" x14ac:dyDescent="0.3">
      <c r="A252" s="6" t="s">
        <v>51</v>
      </c>
      <c r="B252" s="6" t="s">
        <v>76</v>
      </c>
      <c r="C252" s="6" t="s">
        <v>363</v>
      </c>
      <c r="D252" s="6" t="s">
        <v>363</v>
      </c>
      <c r="E252" s="7">
        <v>7398358.4412149992</v>
      </c>
      <c r="F252" s="7">
        <v>357576.74454300001</v>
      </c>
      <c r="G252" s="7">
        <v>-23.518771999999998</v>
      </c>
      <c r="H252" s="7">
        <v>-46.395039500000003</v>
      </c>
      <c r="I252" s="7">
        <v>757.55799999999999</v>
      </c>
      <c r="J252" s="7">
        <v>753.81799999999998</v>
      </c>
      <c r="K252" s="7">
        <v>3.74</v>
      </c>
      <c r="L252" s="6"/>
    </row>
    <row r="253" spans="1:12" x14ac:dyDescent="0.3">
      <c r="A253" s="6" t="s">
        <v>51</v>
      </c>
      <c r="B253" s="6" t="s">
        <v>76</v>
      </c>
      <c r="C253" s="6" t="s">
        <v>403</v>
      </c>
      <c r="D253" s="6" t="s">
        <v>403</v>
      </c>
      <c r="E253" s="7">
        <v>7398376.6720739994</v>
      </c>
      <c r="F253" s="7">
        <v>357726.689319</v>
      </c>
      <c r="G253" s="7">
        <v>-23.518620599999998</v>
      </c>
      <c r="H253" s="7">
        <v>-46.393569399999997</v>
      </c>
      <c r="I253" s="7">
        <v>761.26900000000001</v>
      </c>
      <c r="J253" s="7">
        <v>759.149</v>
      </c>
      <c r="K253" s="7">
        <v>2.12</v>
      </c>
      <c r="L253" s="6"/>
    </row>
    <row r="254" spans="1:12" x14ac:dyDescent="0.3">
      <c r="A254" s="6" t="s">
        <v>51</v>
      </c>
      <c r="B254" s="6" t="s">
        <v>76</v>
      </c>
      <c r="C254" s="6" t="s">
        <v>404</v>
      </c>
      <c r="D254" s="6" t="s">
        <v>404</v>
      </c>
      <c r="E254" s="7">
        <v>7398344.262341002</v>
      </c>
      <c r="F254" s="7">
        <v>357572.21866100008</v>
      </c>
      <c r="G254" s="7">
        <v>-23.518899699999999</v>
      </c>
      <c r="H254" s="7">
        <v>-46.395085199999997</v>
      </c>
      <c r="I254" s="7">
        <v>757.572</v>
      </c>
      <c r="J254" s="7">
        <v>754.14200000000005</v>
      </c>
      <c r="K254" s="7">
        <v>3.43</v>
      </c>
      <c r="L254" s="6"/>
    </row>
    <row r="255" spans="1:12" x14ac:dyDescent="0.3">
      <c r="A255" s="6" t="s">
        <v>51</v>
      </c>
      <c r="B255" s="6" t="s">
        <v>76</v>
      </c>
      <c r="C255" s="6" t="s">
        <v>382</v>
      </c>
      <c r="D255" s="6" t="s">
        <v>382</v>
      </c>
      <c r="E255" s="7">
        <v>7398353.8330779998</v>
      </c>
      <c r="F255" s="7">
        <v>357711.789116</v>
      </c>
      <c r="G255" s="7">
        <v>-23.518825499999998</v>
      </c>
      <c r="H255" s="7">
        <v>-46.393717500000001</v>
      </c>
      <c r="I255" s="6"/>
      <c r="J255" s="6"/>
      <c r="K255" s="6"/>
      <c r="L255" s="6" t="s">
        <v>383</v>
      </c>
    </row>
    <row r="256" spans="1:12" x14ac:dyDescent="0.3">
      <c r="A256" s="6" t="s">
        <v>51</v>
      </c>
      <c r="B256" s="6" t="s">
        <v>133</v>
      </c>
      <c r="C256" s="6" t="s">
        <v>405</v>
      </c>
      <c r="D256" s="6" t="s">
        <v>405</v>
      </c>
      <c r="E256" s="7">
        <v>7398449.7553580003</v>
      </c>
      <c r="F256" s="7">
        <v>358036.78116000001</v>
      </c>
      <c r="G256" s="7">
        <v>-23.5179878</v>
      </c>
      <c r="H256" s="7">
        <v>-46.390525799999999</v>
      </c>
      <c r="I256" s="7">
        <v>771.29</v>
      </c>
      <c r="J256" s="7">
        <v>769.93</v>
      </c>
      <c r="K256" s="7">
        <v>1.36</v>
      </c>
      <c r="L256" s="6"/>
    </row>
    <row r="257" spans="1:12" x14ac:dyDescent="0.3">
      <c r="A257" s="6" t="s">
        <v>51</v>
      </c>
      <c r="B257" s="6" t="s">
        <v>133</v>
      </c>
      <c r="C257" s="6" t="s">
        <v>406</v>
      </c>
      <c r="D257" s="6" t="s">
        <v>406</v>
      </c>
      <c r="E257" s="7">
        <v>7398440.860417</v>
      </c>
      <c r="F257" s="7">
        <v>357971.15701299999</v>
      </c>
      <c r="G257" s="7">
        <v>-23.5180623</v>
      </c>
      <c r="H257" s="7">
        <v>-46.391169300000001</v>
      </c>
      <c r="I257" s="7">
        <v>768.01300000000003</v>
      </c>
      <c r="J257" s="7">
        <v>766.56299999999999</v>
      </c>
      <c r="K257" s="7">
        <v>1.45</v>
      </c>
      <c r="L257" s="6"/>
    </row>
    <row r="258" spans="1:12" x14ac:dyDescent="0.3">
      <c r="A258" s="6" t="s">
        <v>51</v>
      </c>
      <c r="B258" s="6" t="s">
        <v>133</v>
      </c>
      <c r="C258" s="6" t="s">
        <v>407</v>
      </c>
      <c r="D258" s="6" t="s">
        <v>407</v>
      </c>
      <c r="E258" s="7">
        <v>7398506.6984600006</v>
      </c>
      <c r="F258" s="7">
        <v>358035.33960000001</v>
      </c>
      <c r="G258" s="7">
        <v>-23.5174734</v>
      </c>
      <c r="H258" s="7">
        <v>-46.390534500000001</v>
      </c>
      <c r="I258" s="7">
        <v>775.27800000000002</v>
      </c>
      <c r="J258" s="7">
        <v>774.27800000000002</v>
      </c>
      <c r="K258" s="7">
        <v>1</v>
      </c>
      <c r="L258" s="6" t="s">
        <v>408</v>
      </c>
    </row>
    <row r="259" spans="1:12" x14ac:dyDescent="0.3">
      <c r="A259" s="6" t="s">
        <v>51</v>
      </c>
      <c r="B259" s="6" t="s">
        <v>133</v>
      </c>
      <c r="C259" s="6" t="s">
        <v>409</v>
      </c>
      <c r="D259" s="6" t="s">
        <v>409</v>
      </c>
      <c r="E259" s="7">
        <v>7398501.1510899998</v>
      </c>
      <c r="F259" s="7">
        <v>357995.98077000002</v>
      </c>
      <c r="G259" s="7">
        <v>-23.517520099999999</v>
      </c>
      <c r="H259" s="7">
        <v>-46.3909205</v>
      </c>
      <c r="I259" s="7">
        <v>772.91800000000001</v>
      </c>
      <c r="J259" s="7">
        <v>771.99800000000005</v>
      </c>
      <c r="K259" s="7">
        <v>0.92</v>
      </c>
      <c r="L259" s="6"/>
    </row>
    <row r="260" spans="1:12" x14ac:dyDescent="0.3">
      <c r="A260" s="6" t="s">
        <v>51</v>
      </c>
      <c r="B260" s="6" t="s">
        <v>76</v>
      </c>
      <c r="C260" s="6" t="s">
        <v>410</v>
      </c>
      <c r="D260" s="6" t="s">
        <v>410</v>
      </c>
      <c r="E260" s="7">
        <v>7398411.0471259998</v>
      </c>
      <c r="F260" s="7">
        <v>357873.966441</v>
      </c>
      <c r="G260" s="7">
        <v>-23.518322999999999</v>
      </c>
      <c r="H260" s="7">
        <v>-46.392123900000001</v>
      </c>
      <c r="I260" s="7">
        <v>765.702</v>
      </c>
      <c r="J260" s="7">
        <v>761.12199999999996</v>
      </c>
      <c r="K260" s="7">
        <v>4.58</v>
      </c>
      <c r="L260" s="6"/>
    </row>
    <row r="261" spans="1:12" x14ac:dyDescent="0.3">
      <c r="A261" s="6" t="s">
        <v>51</v>
      </c>
      <c r="B261" s="6" t="s">
        <v>76</v>
      </c>
      <c r="C261" s="6" t="s">
        <v>411</v>
      </c>
      <c r="D261" s="6" t="s">
        <v>411</v>
      </c>
      <c r="E261" s="7">
        <v>7398493.8855619989</v>
      </c>
      <c r="F261" s="7">
        <v>357948.666471</v>
      </c>
      <c r="G261" s="7">
        <v>-23.517581499999999</v>
      </c>
      <c r="H261" s="7">
        <v>-46.391384500000001</v>
      </c>
      <c r="I261" s="7">
        <v>772.08799999999997</v>
      </c>
      <c r="J261" s="7">
        <v>769.428</v>
      </c>
      <c r="K261" s="7">
        <v>2.66</v>
      </c>
      <c r="L261" s="6"/>
    </row>
    <row r="262" spans="1:12" x14ac:dyDescent="0.3">
      <c r="A262" s="6" t="s">
        <v>51</v>
      </c>
      <c r="B262" s="6" t="s">
        <v>76</v>
      </c>
      <c r="C262" s="6" t="s">
        <v>412</v>
      </c>
      <c r="D262" s="6" t="s">
        <v>412</v>
      </c>
      <c r="E262" s="7">
        <v>7398439.5004949989</v>
      </c>
      <c r="F262" s="7">
        <v>357942.060199</v>
      </c>
      <c r="G262" s="7">
        <v>-23.518072100000001</v>
      </c>
      <c r="H262" s="7">
        <v>-46.391454400000001</v>
      </c>
      <c r="I262" s="7">
        <v>767.00199999999995</v>
      </c>
      <c r="J262" s="7">
        <v>762.54200000000003</v>
      </c>
      <c r="K262" s="7">
        <v>4.46</v>
      </c>
      <c r="L262" s="6"/>
    </row>
    <row r="263" spans="1:12" x14ac:dyDescent="0.3">
      <c r="A263" s="6" t="s">
        <v>51</v>
      </c>
      <c r="B263" s="6" t="s">
        <v>76</v>
      </c>
      <c r="C263" s="6" t="s">
        <v>413</v>
      </c>
      <c r="D263" s="6" t="s">
        <v>413</v>
      </c>
      <c r="E263" s="7">
        <v>7398418.4728179993</v>
      </c>
      <c r="F263" s="7">
        <v>357941.94665500009</v>
      </c>
      <c r="G263" s="7">
        <v>-23.518261899999999</v>
      </c>
      <c r="H263" s="7">
        <v>-46.391457500000001</v>
      </c>
      <c r="I263" s="7">
        <v>765.70899999999995</v>
      </c>
      <c r="J263" s="7">
        <v>761.779</v>
      </c>
      <c r="K263" s="7">
        <v>3.93</v>
      </c>
      <c r="L263" s="6"/>
    </row>
    <row r="264" spans="1:12" x14ac:dyDescent="0.3">
      <c r="A264" s="6" t="s">
        <v>51</v>
      </c>
      <c r="B264" s="6" t="s">
        <v>76</v>
      </c>
      <c r="C264" s="6" t="s">
        <v>414</v>
      </c>
      <c r="D264" s="6" t="s">
        <v>414</v>
      </c>
      <c r="E264" s="7">
        <v>7398552.5482899994</v>
      </c>
      <c r="F264" s="7">
        <v>358037.42057000002</v>
      </c>
      <c r="G264" s="7">
        <v>-23.5170596</v>
      </c>
      <c r="H264" s="7">
        <v>-46.390509799999997</v>
      </c>
      <c r="I264" s="7">
        <v>777.41600000000005</v>
      </c>
      <c r="J264" s="7">
        <v>775.61599999999999</v>
      </c>
      <c r="K264" s="7">
        <v>1.8</v>
      </c>
      <c r="L264" s="6"/>
    </row>
    <row r="265" spans="1:12" x14ac:dyDescent="0.3">
      <c r="A265" s="6" t="s">
        <v>51</v>
      </c>
      <c r="B265" s="6" t="s">
        <v>76</v>
      </c>
      <c r="C265" s="6" t="s">
        <v>415</v>
      </c>
      <c r="D265" s="6" t="s">
        <v>415</v>
      </c>
      <c r="E265" s="7">
        <v>7398488.3849910013</v>
      </c>
      <c r="F265" s="7">
        <v>357949.16593200009</v>
      </c>
      <c r="G265" s="7">
        <v>-23.517631300000001</v>
      </c>
      <c r="H265" s="7">
        <v>-46.391380099999999</v>
      </c>
      <c r="I265" s="7">
        <v>771.30499999999995</v>
      </c>
      <c r="J265" s="7">
        <v>768.005</v>
      </c>
      <c r="K265" s="7">
        <v>3.3</v>
      </c>
      <c r="L265" s="6"/>
    </row>
    <row r="266" spans="1:12" x14ac:dyDescent="0.3">
      <c r="A266" s="6" t="s">
        <v>51</v>
      </c>
      <c r="B266" s="6" t="s">
        <v>76</v>
      </c>
      <c r="C266" s="6" t="s">
        <v>416</v>
      </c>
      <c r="D266" s="6" t="s">
        <v>416</v>
      </c>
      <c r="E266" s="7">
        <v>7398508.0787579967</v>
      </c>
      <c r="F266" s="7">
        <v>358032.7712140021</v>
      </c>
      <c r="G266" s="7">
        <v>-23.517460700000001</v>
      </c>
      <c r="H266" s="7">
        <v>-46.390559500000002</v>
      </c>
      <c r="I266" s="7">
        <v>774.96600000000001</v>
      </c>
      <c r="J266" s="7">
        <v>773.62599999999998</v>
      </c>
      <c r="K266" s="7">
        <v>1.34</v>
      </c>
      <c r="L266" s="6"/>
    </row>
    <row r="267" spans="1:12" x14ac:dyDescent="0.3">
      <c r="A267" s="6" t="s">
        <v>51</v>
      </c>
      <c r="B267" s="6" t="s">
        <v>76</v>
      </c>
      <c r="C267" s="6" t="s">
        <v>417</v>
      </c>
      <c r="D267" s="6" t="s">
        <v>417</v>
      </c>
      <c r="E267" s="7">
        <v>7398510.8313090513</v>
      </c>
      <c r="F267" s="7">
        <v>358038.74505003053</v>
      </c>
      <c r="G267" s="7">
        <v>-23.517436400000001</v>
      </c>
      <c r="H267" s="7">
        <v>-46.390500799999998</v>
      </c>
      <c r="I267" s="7">
        <v>775.36</v>
      </c>
      <c r="J267" s="7">
        <v>774.07</v>
      </c>
      <c r="K267" s="7">
        <v>1.29</v>
      </c>
      <c r="L267" s="6"/>
    </row>
    <row r="268" spans="1:12" x14ac:dyDescent="0.3">
      <c r="A268" s="6" t="s">
        <v>51</v>
      </c>
      <c r="B268" s="6" t="s">
        <v>76</v>
      </c>
      <c r="C268" s="6" t="s">
        <v>418</v>
      </c>
      <c r="D268" s="6" t="s">
        <v>418</v>
      </c>
      <c r="E268" s="7">
        <v>7398503.6625100011</v>
      </c>
      <c r="F268" s="7">
        <v>358001.44500000001</v>
      </c>
      <c r="G268" s="7">
        <v>-23.517497899999999</v>
      </c>
      <c r="H268" s="7">
        <v>-46.390866699999997</v>
      </c>
      <c r="I268" s="7">
        <v>773.43399999999997</v>
      </c>
      <c r="J268" s="7">
        <v>770.70399999999995</v>
      </c>
      <c r="K268" s="7">
        <v>2.73</v>
      </c>
      <c r="L268" s="6"/>
    </row>
    <row r="269" spans="1:12" x14ac:dyDescent="0.3">
      <c r="A269" s="6" t="s">
        <v>51</v>
      </c>
      <c r="B269" s="6" t="s">
        <v>76</v>
      </c>
      <c r="C269" s="6" t="s">
        <v>382</v>
      </c>
      <c r="D269" s="6" t="s">
        <v>382</v>
      </c>
      <c r="E269" s="7">
        <v>7398407.4561940003</v>
      </c>
      <c r="F269" s="7">
        <v>357848.234406</v>
      </c>
      <c r="G269" s="7">
        <v>-23.5183532</v>
      </c>
      <c r="H269" s="7">
        <v>-46.392376200000001</v>
      </c>
      <c r="I269" s="6"/>
      <c r="J269" s="6"/>
      <c r="K269" s="6"/>
      <c r="L269" s="6" t="s">
        <v>383</v>
      </c>
    </row>
    <row r="270" spans="1:12" x14ac:dyDescent="0.3">
      <c r="A270" s="6" t="s">
        <v>57</v>
      </c>
      <c r="B270" s="6" t="s">
        <v>133</v>
      </c>
      <c r="C270" s="6" t="s">
        <v>419</v>
      </c>
      <c r="D270" s="6" t="s">
        <v>419</v>
      </c>
      <c r="E270" s="7">
        <v>7398612.2050010003</v>
      </c>
      <c r="F270" s="7">
        <v>357867.18409100012</v>
      </c>
      <c r="G270" s="7">
        <v>-23.516506</v>
      </c>
      <c r="H270" s="7">
        <v>-46.3921712</v>
      </c>
      <c r="I270" s="7">
        <v>768.33</v>
      </c>
      <c r="J270" s="7">
        <v>766.57</v>
      </c>
      <c r="K270" s="7">
        <v>1.76</v>
      </c>
      <c r="L270" s="6" t="s">
        <v>420</v>
      </c>
    </row>
    <row r="271" spans="1:12" x14ac:dyDescent="0.3">
      <c r="A271" s="6" t="s">
        <v>57</v>
      </c>
      <c r="B271" s="6" t="s">
        <v>76</v>
      </c>
      <c r="C271" s="6" t="s">
        <v>359</v>
      </c>
      <c r="D271" s="6" t="s">
        <v>359</v>
      </c>
      <c r="E271" s="7">
        <v>7398599.3302619988</v>
      </c>
      <c r="F271" s="7">
        <v>357907.20375400007</v>
      </c>
      <c r="G271" s="7">
        <v>-23.516625699999999</v>
      </c>
      <c r="H271" s="7">
        <v>-46.391780500000003</v>
      </c>
      <c r="I271" s="7">
        <v>770.22799999999995</v>
      </c>
      <c r="J271" s="7">
        <v>766.048</v>
      </c>
      <c r="K271" s="7">
        <v>4.18</v>
      </c>
      <c r="L271" s="6"/>
    </row>
    <row r="272" spans="1:12" x14ac:dyDescent="0.3">
      <c r="A272" s="6" t="s">
        <v>57</v>
      </c>
      <c r="B272" s="6" t="s">
        <v>76</v>
      </c>
      <c r="C272" s="6" t="s">
        <v>270</v>
      </c>
      <c r="D272" s="6" t="s">
        <v>270</v>
      </c>
      <c r="E272" s="7">
        <v>7398781.374566</v>
      </c>
      <c r="F272" s="7">
        <v>357813.69822299998</v>
      </c>
      <c r="G272" s="7">
        <v>-23.514973600000001</v>
      </c>
      <c r="H272" s="7">
        <v>-46.3926789</v>
      </c>
      <c r="I272" s="7">
        <v>777.33900000000006</v>
      </c>
      <c r="J272" s="7">
        <v>775.73900000000003</v>
      </c>
      <c r="K272" s="7">
        <v>1.6</v>
      </c>
      <c r="L272" s="6"/>
    </row>
    <row r="273" spans="1:12" x14ac:dyDescent="0.3">
      <c r="A273" s="6" t="s">
        <v>57</v>
      </c>
      <c r="B273" s="6" t="s">
        <v>76</v>
      </c>
      <c r="C273" s="6" t="s">
        <v>264</v>
      </c>
      <c r="D273" s="6" t="s">
        <v>264</v>
      </c>
      <c r="E273" s="7">
        <v>7398774.6374199996</v>
      </c>
      <c r="F273" s="7">
        <v>357838.68967300002</v>
      </c>
      <c r="G273" s="7">
        <v>-23.5150367</v>
      </c>
      <c r="H273" s="7">
        <v>-46.392434799999997</v>
      </c>
      <c r="I273" s="7">
        <v>773.327</v>
      </c>
      <c r="J273" s="7">
        <v>770.72699999999998</v>
      </c>
      <c r="K273" s="7">
        <v>2.6</v>
      </c>
      <c r="L273" s="6"/>
    </row>
    <row r="274" spans="1:12" x14ac:dyDescent="0.3">
      <c r="A274" s="6" t="s">
        <v>57</v>
      </c>
      <c r="B274" s="6" t="s">
        <v>76</v>
      </c>
      <c r="C274" s="6" t="s">
        <v>358</v>
      </c>
      <c r="D274" s="6" t="s">
        <v>358</v>
      </c>
      <c r="E274" s="7">
        <v>7398657.1450190013</v>
      </c>
      <c r="F274" s="7">
        <v>357875.35080100008</v>
      </c>
      <c r="G274" s="7">
        <v>-23.516100900000001</v>
      </c>
      <c r="H274" s="7">
        <v>-46.392086999999997</v>
      </c>
      <c r="I274" s="7">
        <v>771.63400000000001</v>
      </c>
      <c r="J274" s="7">
        <v>766.92399999999998</v>
      </c>
      <c r="K274" s="7">
        <v>4.71</v>
      </c>
      <c r="L274" s="6"/>
    </row>
    <row r="275" spans="1:12" x14ac:dyDescent="0.3">
      <c r="A275" s="6" t="s">
        <v>57</v>
      </c>
      <c r="B275" s="6" t="s">
        <v>76</v>
      </c>
      <c r="C275" s="6" t="s">
        <v>176</v>
      </c>
      <c r="D275" s="6" t="s">
        <v>176</v>
      </c>
      <c r="E275" s="7">
        <v>7398715.0269839996</v>
      </c>
      <c r="F275" s="7">
        <v>357865.51718700002</v>
      </c>
      <c r="G275" s="7">
        <v>-23.5155773</v>
      </c>
      <c r="H275" s="7">
        <v>-46.392177799999999</v>
      </c>
      <c r="I275" s="7">
        <v>772.31399999999996</v>
      </c>
      <c r="J275" s="7">
        <v>767.56399999999996</v>
      </c>
      <c r="K275" s="7">
        <v>4.75</v>
      </c>
      <c r="L275" s="6"/>
    </row>
    <row r="276" spans="1:12" x14ac:dyDescent="0.3">
      <c r="A276" s="6" t="s">
        <v>57</v>
      </c>
      <c r="B276" s="6" t="s">
        <v>76</v>
      </c>
      <c r="C276" s="6" t="s">
        <v>380</v>
      </c>
      <c r="D276" s="6" t="s">
        <v>380</v>
      </c>
      <c r="E276" s="7">
        <v>7398609.7368090004</v>
      </c>
      <c r="F276" s="7">
        <v>357867.23951500002</v>
      </c>
      <c r="G276" s="7">
        <v>-23.516528300000001</v>
      </c>
      <c r="H276" s="7">
        <v>-46.392170900000004</v>
      </c>
      <c r="I276" s="7">
        <v>768.22500000000002</v>
      </c>
      <c r="J276" s="7">
        <v>766.255</v>
      </c>
      <c r="K276" s="7">
        <v>1.97</v>
      </c>
      <c r="L276" s="6"/>
    </row>
    <row r="277" spans="1:12" x14ac:dyDescent="0.3">
      <c r="A277" s="6" t="s">
        <v>57</v>
      </c>
      <c r="B277" s="6" t="s">
        <v>76</v>
      </c>
      <c r="C277" s="6" t="s">
        <v>297</v>
      </c>
      <c r="D277" s="6" t="s">
        <v>297</v>
      </c>
      <c r="E277" s="7">
        <v>7398423.5394890001</v>
      </c>
      <c r="F277" s="7">
        <v>357876.54750100011</v>
      </c>
      <c r="G277" s="7">
        <v>-23.518210499999999</v>
      </c>
      <c r="H277" s="7">
        <v>-46.392097399999997</v>
      </c>
      <c r="I277" s="7">
        <v>763.29899999999998</v>
      </c>
      <c r="J277" s="7">
        <v>761.44899999999996</v>
      </c>
      <c r="K277" s="7">
        <v>1.85</v>
      </c>
      <c r="L277" s="6"/>
    </row>
    <row r="278" spans="1:12" x14ac:dyDescent="0.3">
      <c r="A278" s="6" t="s">
        <v>57</v>
      </c>
      <c r="B278" s="6" t="s">
        <v>76</v>
      </c>
      <c r="C278" s="6" t="s">
        <v>298</v>
      </c>
      <c r="D278" s="6" t="s">
        <v>298</v>
      </c>
      <c r="E278" s="7">
        <v>7398500.6708779084</v>
      </c>
      <c r="F278" s="7">
        <v>357890.51323741331</v>
      </c>
      <c r="G278" s="7">
        <v>-23.517515199999998</v>
      </c>
      <c r="H278" s="7">
        <v>-46.391953299999997</v>
      </c>
      <c r="I278" s="7">
        <v>770.59799999999996</v>
      </c>
      <c r="J278" s="7">
        <v>765.31799999999998</v>
      </c>
      <c r="K278" s="7">
        <v>5.28</v>
      </c>
      <c r="L278" s="6"/>
    </row>
    <row r="279" spans="1:12" x14ac:dyDescent="0.3">
      <c r="A279" s="6" t="s">
        <v>59</v>
      </c>
      <c r="B279" s="6" t="s">
        <v>76</v>
      </c>
      <c r="C279" s="6" t="s">
        <v>375</v>
      </c>
      <c r="D279" s="6" t="s">
        <v>375</v>
      </c>
      <c r="E279" s="7">
        <v>7397511.7215500008</v>
      </c>
      <c r="F279" s="7">
        <v>358310.15897429478</v>
      </c>
      <c r="G279" s="7">
        <v>-23.526482300000001</v>
      </c>
      <c r="H279" s="7">
        <v>-46.3879375</v>
      </c>
      <c r="I279" s="7">
        <v>773.79899999999998</v>
      </c>
      <c r="J279" s="7">
        <v>769.82899999999995</v>
      </c>
      <c r="K279" s="7">
        <v>3.97</v>
      </c>
      <c r="L279" s="6"/>
    </row>
    <row r="280" spans="1:12" x14ac:dyDescent="0.3">
      <c r="A280" s="6" t="s">
        <v>59</v>
      </c>
      <c r="B280" s="6" t="s">
        <v>76</v>
      </c>
      <c r="C280" s="6" t="s">
        <v>176</v>
      </c>
      <c r="D280" s="6" t="s">
        <v>176</v>
      </c>
      <c r="E280" s="7">
        <v>7397410.6862000041</v>
      </c>
      <c r="F280" s="7">
        <v>358193.20850000018</v>
      </c>
      <c r="G280" s="7">
        <v>-23.527384399999999</v>
      </c>
      <c r="H280" s="7">
        <v>-46.389092400000003</v>
      </c>
      <c r="I280" s="7">
        <v>769.30100000000004</v>
      </c>
      <c r="J280" s="7">
        <v>766.17100000000005</v>
      </c>
      <c r="K280" s="7">
        <v>3.13</v>
      </c>
      <c r="L280" s="6"/>
    </row>
    <row r="281" spans="1:12" x14ac:dyDescent="0.3">
      <c r="A281" s="6" t="s">
        <v>59</v>
      </c>
      <c r="B281" s="6" t="s">
        <v>76</v>
      </c>
      <c r="C281" s="6" t="s">
        <v>380</v>
      </c>
      <c r="D281" s="6" t="s">
        <v>380</v>
      </c>
      <c r="E281" s="7">
        <v>7397351.6219100012</v>
      </c>
      <c r="F281" s="7">
        <v>358154.19257999992</v>
      </c>
      <c r="G281" s="7">
        <v>-23.5279144</v>
      </c>
      <c r="H281" s="7">
        <v>-46.3894801</v>
      </c>
      <c r="I281" s="7">
        <v>769.93399999999997</v>
      </c>
      <c r="J281" s="7">
        <v>765.35400000000004</v>
      </c>
      <c r="K281" s="7">
        <v>4.58</v>
      </c>
      <c r="L281" s="6"/>
    </row>
    <row r="282" spans="1:12" x14ac:dyDescent="0.3">
      <c r="A282" s="6" t="s">
        <v>59</v>
      </c>
      <c r="B282" s="6" t="s">
        <v>76</v>
      </c>
      <c r="C282" s="6" t="s">
        <v>360</v>
      </c>
      <c r="D282" s="6" t="s">
        <v>360</v>
      </c>
      <c r="E282" s="7">
        <v>7397297.0109400004</v>
      </c>
      <c r="F282" s="7">
        <v>358117.27347999992</v>
      </c>
      <c r="G282" s="7">
        <v>-23.528404299999998</v>
      </c>
      <c r="H282" s="7">
        <v>-46.389846900000002</v>
      </c>
      <c r="I282" s="7">
        <v>769.10299999999995</v>
      </c>
      <c r="J282" s="7">
        <v>764.47299999999996</v>
      </c>
      <c r="K282" s="7">
        <v>4.63</v>
      </c>
      <c r="L282" s="6"/>
    </row>
    <row r="283" spans="1:12" x14ac:dyDescent="0.3">
      <c r="A283" s="6" t="s">
        <v>59</v>
      </c>
      <c r="B283" s="6" t="s">
        <v>76</v>
      </c>
      <c r="C283" s="6" t="s">
        <v>359</v>
      </c>
      <c r="D283" s="6" t="s">
        <v>359</v>
      </c>
      <c r="E283" s="7">
        <v>7397230.5391800012</v>
      </c>
      <c r="F283" s="7">
        <v>358078.35797000001</v>
      </c>
      <c r="G283" s="7">
        <v>-23.529001099999999</v>
      </c>
      <c r="H283" s="7">
        <v>-46.390234300000003</v>
      </c>
      <c r="I283" s="7">
        <v>768.51199999999994</v>
      </c>
      <c r="J283" s="7">
        <v>763.73199999999997</v>
      </c>
      <c r="K283" s="7">
        <v>4.78</v>
      </c>
      <c r="L283" s="6"/>
    </row>
    <row r="284" spans="1:12" x14ac:dyDescent="0.3">
      <c r="A284" s="6" t="s">
        <v>59</v>
      </c>
      <c r="B284" s="6" t="s">
        <v>76</v>
      </c>
      <c r="C284" s="6" t="s">
        <v>299</v>
      </c>
      <c r="D284" s="6" t="s">
        <v>299</v>
      </c>
      <c r="E284" s="7">
        <v>7397167.2288800022</v>
      </c>
      <c r="F284" s="7">
        <v>358040.31074999907</v>
      </c>
      <c r="G284" s="7">
        <v>-23.529569500000001</v>
      </c>
      <c r="H284" s="7">
        <v>-46.390612900000001</v>
      </c>
      <c r="I284" s="7">
        <v>767.50699999999995</v>
      </c>
      <c r="J284" s="7">
        <v>762.84699999999998</v>
      </c>
      <c r="K284" s="7">
        <v>4.66</v>
      </c>
      <c r="L284" s="6"/>
    </row>
    <row r="285" spans="1:12" x14ac:dyDescent="0.3">
      <c r="A285" s="6" t="s">
        <v>59</v>
      </c>
      <c r="B285" s="6" t="s">
        <v>76</v>
      </c>
      <c r="C285" s="6" t="s">
        <v>297</v>
      </c>
      <c r="D285" s="6" t="s">
        <v>297</v>
      </c>
      <c r="E285" s="7">
        <v>7397138.1182000004</v>
      </c>
      <c r="F285" s="7">
        <v>357960.24170999997</v>
      </c>
      <c r="G285" s="7">
        <v>-23.5298254</v>
      </c>
      <c r="H285" s="7">
        <v>-46.391399900000003</v>
      </c>
      <c r="I285" s="7">
        <v>761.73900000000003</v>
      </c>
      <c r="J285" s="7">
        <v>757.30899999999997</v>
      </c>
      <c r="K285" s="7">
        <v>4.43</v>
      </c>
      <c r="L285" s="6"/>
    </row>
    <row r="286" spans="1:12" x14ac:dyDescent="0.3">
      <c r="A286" s="6" t="s">
        <v>59</v>
      </c>
      <c r="B286" s="6" t="s">
        <v>76</v>
      </c>
      <c r="C286" s="6" t="s">
        <v>296</v>
      </c>
      <c r="D286" s="6" t="s">
        <v>296</v>
      </c>
      <c r="E286" s="7">
        <v>7397107.896449999</v>
      </c>
      <c r="F286" s="7">
        <v>357926.34694999998</v>
      </c>
      <c r="G286" s="7">
        <v>-23.530095299999999</v>
      </c>
      <c r="H286" s="7">
        <v>-46.391734700000001</v>
      </c>
      <c r="I286" s="7">
        <v>760.93</v>
      </c>
      <c r="J286" s="7">
        <v>756.5</v>
      </c>
      <c r="K286" s="7">
        <v>4.43</v>
      </c>
      <c r="L286" s="6" t="s">
        <v>421</v>
      </c>
    </row>
    <row r="287" spans="1:12" x14ac:dyDescent="0.3">
      <c r="A287" s="6" t="s">
        <v>59</v>
      </c>
      <c r="B287" s="6" t="s">
        <v>76</v>
      </c>
      <c r="C287" s="6" t="s">
        <v>422</v>
      </c>
      <c r="D287" s="6" t="s">
        <v>422</v>
      </c>
      <c r="E287" s="7">
        <v>7397454.6122000003</v>
      </c>
      <c r="F287" s="7">
        <v>358245.67226000002</v>
      </c>
      <c r="G287" s="7">
        <v>-23.5269923</v>
      </c>
      <c r="H287" s="7">
        <v>-46.388574499999997</v>
      </c>
      <c r="I287" s="7">
        <v>770.51499999999999</v>
      </c>
      <c r="J287" s="7">
        <v>768.66499999999996</v>
      </c>
      <c r="K287" s="7">
        <v>1.85</v>
      </c>
      <c r="L287" s="6" t="s">
        <v>423</v>
      </c>
    </row>
    <row r="288" spans="1:12" x14ac:dyDescent="0.3">
      <c r="A288" s="6" t="s">
        <v>59</v>
      </c>
      <c r="B288" s="6" t="s">
        <v>76</v>
      </c>
      <c r="C288" s="6" t="s">
        <v>328</v>
      </c>
      <c r="D288" s="6" t="s">
        <v>328</v>
      </c>
      <c r="E288" s="7">
        <v>7397504.8905300004</v>
      </c>
      <c r="F288" s="7">
        <v>358390.16473000002</v>
      </c>
      <c r="G288" s="7">
        <v>-23.5265509</v>
      </c>
      <c r="H288" s="7">
        <v>-46.387154600000002</v>
      </c>
      <c r="I288" s="7">
        <v>778.64400000000001</v>
      </c>
      <c r="J288" s="7">
        <v>772.11400000000003</v>
      </c>
      <c r="K288" s="7">
        <v>6.53</v>
      </c>
      <c r="L288" s="6"/>
    </row>
    <row r="289" spans="1:12" x14ac:dyDescent="0.3">
      <c r="A289" s="6" t="s">
        <v>59</v>
      </c>
      <c r="B289" s="6" t="s">
        <v>76</v>
      </c>
      <c r="C289" s="6" t="s">
        <v>373</v>
      </c>
      <c r="D289" s="6" t="s">
        <v>373</v>
      </c>
      <c r="E289" s="7">
        <v>7397567.8759100009</v>
      </c>
      <c r="F289" s="7">
        <v>358466.88928</v>
      </c>
      <c r="G289" s="7">
        <v>-23.525988900000002</v>
      </c>
      <c r="H289" s="7">
        <v>-46.386397299999999</v>
      </c>
      <c r="I289" s="7">
        <v>780.6</v>
      </c>
      <c r="J289" s="7">
        <v>774.52</v>
      </c>
      <c r="K289" s="7">
        <v>6.08</v>
      </c>
      <c r="L289" s="6"/>
    </row>
    <row r="290" spans="1:12" x14ac:dyDescent="0.3">
      <c r="A290" s="6" t="s">
        <v>59</v>
      </c>
      <c r="B290" s="6" t="s">
        <v>76</v>
      </c>
      <c r="C290" s="6" t="s">
        <v>424</v>
      </c>
      <c r="D290" s="6" t="s">
        <v>424</v>
      </c>
      <c r="E290" s="7">
        <v>7397620.2875800002</v>
      </c>
      <c r="F290" s="7">
        <v>358445.50735999999</v>
      </c>
      <c r="G290" s="7">
        <v>-23.525513700000001</v>
      </c>
      <c r="H290" s="7">
        <v>-46.3866017</v>
      </c>
      <c r="I290" s="7">
        <v>784.37800000000004</v>
      </c>
      <c r="J290" s="7">
        <v>782.77800000000002</v>
      </c>
      <c r="K290" s="7">
        <v>1.6</v>
      </c>
      <c r="L290" s="6"/>
    </row>
    <row r="291" spans="1:12" x14ac:dyDescent="0.3">
      <c r="A291" s="6" t="s">
        <v>59</v>
      </c>
      <c r="B291" s="6" t="s">
        <v>76</v>
      </c>
      <c r="C291" s="6" t="s">
        <v>370</v>
      </c>
      <c r="D291" s="6" t="s">
        <v>370</v>
      </c>
      <c r="E291" s="7">
        <v>7397624.936139999</v>
      </c>
      <c r="F291" s="7">
        <v>358447.34341999999</v>
      </c>
      <c r="G291" s="7">
        <v>-23.525471899999999</v>
      </c>
      <c r="H291" s="7">
        <v>-46.386583299999998</v>
      </c>
      <c r="I291" s="7">
        <v>784.46400000000006</v>
      </c>
      <c r="J291" s="7">
        <v>782.31399999999996</v>
      </c>
      <c r="K291" s="7">
        <v>2.15</v>
      </c>
      <c r="L291" s="6"/>
    </row>
    <row r="292" spans="1:12" x14ac:dyDescent="0.3">
      <c r="A292" s="6" t="s">
        <v>59</v>
      </c>
      <c r="B292" s="6" t="s">
        <v>76</v>
      </c>
      <c r="C292" s="6" t="s">
        <v>425</v>
      </c>
      <c r="D292" s="6" t="s">
        <v>425</v>
      </c>
      <c r="E292" s="7">
        <v>7397643.9722600002</v>
      </c>
      <c r="F292" s="7">
        <v>358474.77753999998</v>
      </c>
      <c r="G292" s="7">
        <v>-23.525302400000001</v>
      </c>
      <c r="H292" s="7">
        <v>-46.386312799999999</v>
      </c>
      <c r="I292" s="7">
        <v>780.30799999999999</v>
      </c>
      <c r="J292" s="7">
        <v>779.44799999999998</v>
      </c>
      <c r="K292" s="7">
        <v>0.86</v>
      </c>
      <c r="L292" s="6"/>
    </row>
    <row r="293" spans="1:12" x14ac:dyDescent="0.3">
      <c r="A293" s="6" t="s">
        <v>59</v>
      </c>
      <c r="B293" s="6" t="s">
        <v>76</v>
      </c>
      <c r="C293" s="6" t="s">
        <v>371</v>
      </c>
      <c r="D293" s="6" t="s">
        <v>371</v>
      </c>
      <c r="E293" s="7">
        <v>7397651.6052000001</v>
      </c>
      <c r="F293" s="7">
        <v>358484.8769700001</v>
      </c>
      <c r="G293" s="7">
        <v>-23.525234300000001</v>
      </c>
      <c r="H293" s="7">
        <v>-46.3862132</v>
      </c>
      <c r="I293" s="7">
        <v>780.80899999999997</v>
      </c>
      <c r="J293" s="7">
        <v>778.65899999999999</v>
      </c>
      <c r="K293" s="7">
        <v>2.15</v>
      </c>
      <c r="L293" s="6"/>
    </row>
    <row r="294" spans="1:12" x14ac:dyDescent="0.3">
      <c r="A294" s="6" t="s">
        <v>59</v>
      </c>
      <c r="B294" s="6" t="s">
        <v>76</v>
      </c>
      <c r="C294" s="6" t="s">
        <v>374</v>
      </c>
      <c r="D294" s="6" t="s">
        <v>374</v>
      </c>
      <c r="E294" s="7">
        <v>7397469.1017700015</v>
      </c>
      <c r="F294" s="7">
        <v>358259.99106999952</v>
      </c>
      <c r="G294" s="7">
        <v>-23.526862699999999</v>
      </c>
      <c r="H294" s="7">
        <v>-46.388432899999998</v>
      </c>
      <c r="I294" s="7">
        <v>770.93499999999995</v>
      </c>
      <c r="J294" s="7">
        <v>767.53499999999997</v>
      </c>
      <c r="K294" s="7">
        <v>3.4</v>
      </c>
      <c r="L294" s="6"/>
    </row>
    <row r="295" spans="1:12" x14ac:dyDescent="0.3">
      <c r="A295" s="6" t="s">
        <v>59</v>
      </c>
      <c r="B295" s="6" t="s">
        <v>76</v>
      </c>
      <c r="C295" s="6" t="s">
        <v>298</v>
      </c>
      <c r="D295" s="6" t="s">
        <v>298</v>
      </c>
      <c r="E295" s="7">
        <v>7397176.4566899268</v>
      </c>
      <c r="F295" s="7">
        <v>358017.84935989667</v>
      </c>
      <c r="G295" s="7">
        <v>-23.529484199999999</v>
      </c>
      <c r="H295" s="7">
        <v>-46.390832000000003</v>
      </c>
      <c r="I295" s="7">
        <v>763.63800000000003</v>
      </c>
      <c r="J295" s="7">
        <v>758.81799999999998</v>
      </c>
      <c r="K295" s="7">
        <v>4.82</v>
      </c>
      <c r="L295" s="6"/>
    </row>
    <row r="296" spans="1:12" x14ac:dyDescent="0.3">
      <c r="A296" s="6" t="s">
        <v>59</v>
      </c>
      <c r="B296" s="6" t="s">
        <v>76</v>
      </c>
      <c r="C296" s="6" t="s">
        <v>426</v>
      </c>
      <c r="D296" s="6" t="s">
        <v>426</v>
      </c>
      <c r="E296" s="7">
        <v>7397188.2795000002</v>
      </c>
      <c r="F296" s="7">
        <v>358024.42170000001</v>
      </c>
      <c r="G296" s="7">
        <v>-23.529378000000001</v>
      </c>
      <c r="H296" s="7">
        <v>-46.390766499999998</v>
      </c>
      <c r="I296" s="7">
        <v>762.21299999999997</v>
      </c>
      <c r="J296" s="7">
        <v>759.82299999999998</v>
      </c>
      <c r="K296" s="7">
        <v>2.39</v>
      </c>
      <c r="L296" s="6" t="s">
        <v>427</v>
      </c>
    </row>
    <row r="297" spans="1:12" x14ac:dyDescent="0.3">
      <c r="A297" s="6" t="s">
        <v>59</v>
      </c>
      <c r="B297" s="6" t="s">
        <v>76</v>
      </c>
      <c r="C297" s="6" t="s">
        <v>264</v>
      </c>
      <c r="D297" s="6" t="s">
        <v>264</v>
      </c>
      <c r="E297" s="7">
        <v>7397446.9335922208</v>
      </c>
      <c r="F297" s="7">
        <v>358235.29901009088</v>
      </c>
      <c r="G297" s="7">
        <v>-23.527060800000001</v>
      </c>
      <c r="H297" s="7">
        <v>-46.388676799999999</v>
      </c>
      <c r="I297" s="7">
        <v>770.01700000000005</v>
      </c>
      <c r="J297" s="7">
        <v>766.80700000000002</v>
      </c>
      <c r="K297" s="7">
        <v>3.21</v>
      </c>
      <c r="L297" s="6"/>
    </row>
    <row r="298" spans="1:12" x14ac:dyDescent="0.3">
      <c r="A298" s="6" t="s">
        <v>59</v>
      </c>
      <c r="B298" s="6" t="s">
        <v>76</v>
      </c>
      <c r="C298" s="6" t="s">
        <v>338</v>
      </c>
      <c r="D298" s="6" t="s">
        <v>338</v>
      </c>
      <c r="E298" s="7">
        <v>7397631.0226289937</v>
      </c>
      <c r="F298" s="7">
        <v>358510.15963172779</v>
      </c>
      <c r="G298" s="7">
        <v>-23.5254224</v>
      </c>
      <c r="H298" s="7">
        <v>-46.3859675</v>
      </c>
      <c r="I298" s="7">
        <v>782.38300000000004</v>
      </c>
      <c r="J298" s="7">
        <v>776.68299999999999</v>
      </c>
      <c r="K298" s="7">
        <v>5.7</v>
      </c>
      <c r="L298" s="6"/>
    </row>
    <row r="299" spans="1:12" x14ac:dyDescent="0.3">
      <c r="A299" s="6" t="s">
        <v>59</v>
      </c>
      <c r="B299" s="6" t="s">
        <v>76</v>
      </c>
      <c r="C299" s="6" t="s">
        <v>382</v>
      </c>
      <c r="D299" s="6" t="s">
        <v>382</v>
      </c>
      <c r="E299" s="7">
        <v>7397075.2479749369</v>
      </c>
      <c r="F299" s="7">
        <v>357881.23439287941</v>
      </c>
      <c r="G299" s="7">
        <v>-23.530386199999999</v>
      </c>
      <c r="H299" s="7">
        <v>-46.392179599999999</v>
      </c>
      <c r="I299" s="6"/>
      <c r="J299" s="6"/>
      <c r="K299" s="6"/>
      <c r="L299" s="6" t="s">
        <v>383</v>
      </c>
    </row>
    <row r="300" spans="1:12" x14ac:dyDescent="0.3">
      <c r="A300" s="6" t="s">
        <v>61</v>
      </c>
      <c r="B300" s="6" t="s">
        <v>76</v>
      </c>
      <c r="C300" s="6" t="s">
        <v>298</v>
      </c>
      <c r="D300" s="6" t="s">
        <v>298</v>
      </c>
      <c r="E300" s="7">
        <v>7397739.3606126811</v>
      </c>
      <c r="F300" s="7">
        <v>357455.77005761612</v>
      </c>
      <c r="G300" s="7">
        <v>-23.524351800000002</v>
      </c>
      <c r="H300" s="7">
        <v>-46.396283199999999</v>
      </c>
      <c r="I300" s="7">
        <v>756.82</v>
      </c>
      <c r="J300" s="7">
        <v>749.89</v>
      </c>
      <c r="K300" s="7">
        <v>6.93</v>
      </c>
      <c r="L300" s="6"/>
    </row>
    <row r="301" spans="1:12" x14ac:dyDescent="0.3">
      <c r="A301" s="6" t="s">
        <v>61</v>
      </c>
      <c r="B301" s="6" t="s">
        <v>76</v>
      </c>
      <c r="C301" s="6" t="s">
        <v>380</v>
      </c>
      <c r="D301" s="6" t="s">
        <v>380</v>
      </c>
      <c r="E301" s="7">
        <v>7397735.1670199987</v>
      </c>
      <c r="F301" s="7">
        <v>357518.18633000011</v>
      </c>
      <c r="G301" s="7">
        <v>-23.524395200000001</v>
      </c>
      <c r="H301" s="7">
        <v>-46.395672300000001</v>
      </c>
      <c r="I301" s="7">
        <v>758.89099999999996</v>
      </c>
      <c r="J301" s="7">
        <v>754.74099999999999</v>
      </c>
      <c r="K301" s="7">
        <v>4.1500000000000004</v>
      </c>
      <c r="L301" s="6"/>
    </row>
    <row r="302" spans="1:12" x14ac:dyDescent="0.3">
      <c r="A302" s="6" t="s">
        <v>61</v>
      </c>
      <c r="B302" s="6" t="s">
        <v>76</v>
      </c>
      <c r="C302" s="6" t="s">
        <v>358</v>
      </c>
      <c r="D302" s="6" t="s">
        <v>358</v>
      </c>
      <c r="E302" s="7">
        <v>7397761.554793613</v>
      </c>
      <c r="F302" s="7">
        <v>357573.7646894771</v>
      </c>
      <c r="G302" s="7">
        <v>-23.524161800000002</v>
      </c>
      <c r="H302" s="7">
        <v>-46.395125499999999</v>
      </c>
      <c r="I302" s="7">
        <v>761.09400000000005</v>
      </c>
      <c r="J302" s="7">
        <v>755.57399999999996</v>
      </c>
      <c r="K302" s="7">
        <v>5.52</v>
      </c>
      <c r="L302" s="6"/>
    </row>
    <row r="303" spans="1:12" x14ac:dyDescent="0.3">
      <c r="A303" s="6" t="s">
        <v>61</v>
      </c>
      <c r="B303" s="6" t="s">
        <v>76</v>
      </c>
      <c r="C303" s="6" t="s">
        <v>374</v>
      </c>
      <c r="D303" s="6" t="s">
        <v>374</v>
      </c>
      <c r="E303" s="7">
        <v>7397737.5181500008</v>
      </c>
      <c r="F303" s="7">
        <v>357646.92934999941</v>
      </c>
      <c r="G303" s="7">
        <v>-23.524385200000001</v>
      </c>
      <c r="H303" s="7">
        <v>-46.394411300000002</v>
      </c>
      <c r="I303" s="7">
        <v>758.601</v>
      </c>
      <c r="J303" s="7">
        <v>756.721</v>
      </c>
      <c r="K303" s="7">
        <v>1.88</v>
      </c>
      <c r="L303" s="6"/>
    </row>
    <row r="304" spans="1:12" x14ac:dyDescent="0.3">
      <c r="A304" s="6" t="s">
        <v>61</v>
      </c>
      <c r="B304" s="6" t="s">
        <v>76</v>
      </c>
      <c r="C304" s="6" t="s">
        <v>428</v>
      </c>
      <c r="D304" s="6" t="s">
        <v>428</v>
      </c>
      <c r="E304" s="7">
        <v>7397755.4900099998</v>
      </c>
      <c r="F304" s="7">
        <v>357692.85793</v>
      </c>
      <c r="G304" s="7">
        <v>-23.524227</v>
      </c>
      <c r="H304" s="7">
        <v>-46.393959799999998</v>
      </c>
      <c r="I304" s="7">
        <v>760.62099999999998</v>
      </c>
      <c r="J304" s="7">
        <v>758.55100000000004</v>
      </c>
      <c r="K304" s="7">
        <v>2.0699999999999998</v>
      </c>
      <c r="L304" s="6"/>
    </row>
    <row r="305" spans="1:12" x14ac:dyDescent="0.3">
      <c r="A305" s="6" t="s">
        <v>61</v>
      </c>
      <c r="B305" s="6" t="s">
        <v>76</v>
      </c>
      <c r="C305" s="6" t="s">
        <v>362</v>
      </c>
      <c r="D305" s="6" t="s">
        <v>362</v>
      </c>
      <c r="E305" s="7">
        <v>7397700.9354864452</v>
      </c>
      <c r="F305" s="7">
        <v>357313.3492810899</v>
      </c>
      <c r="G305" s="7">
        <v>-23.524686299999999</v>
      </c>
      <c r="H305" s="7">
        <v>-46.397681599999999</v>
      </c>
      <c r="I305" s="7">
        <v>750.89300000000003</v>
      </c>
      <c r="J305" s="7">
        <v>747.98299999999995</v>
      </c>
      <c r="K305" s="7">
        <v>2.91</v>
      </c>
      <c r="L305" s="6"/>
    </row>
    <row r="306" spans="1:12" x14ac:dyDescent="0.3">
      <c r="A306" s="6" t="s">
        <v>61</v>
      </c>
      <c r="B306" s="6" t="s">
        <v>76</v>
      </c>
      <c r="C306" s="6" t="s">
        <v>264</v>
      </c>
      <c r="D306" s="6" t="s">
        <v>264</v>
      </c>
      <c r="E306" s="7">
        <v>7397731.8211999992</v>
      </c>
      <c r="F306" s="7">
        <v>357624.26185000001</v>
      </c>
      <c r="G306" s="7">
        <v>-23.5244347</v>
      </c>
      <c r="H306" s="7">
        <v>-46.394633800000001</v>
      </c>
      <c r="I306" s="7">
        <v>758.46400000000006</v>
      </c>
      <c r="J306" s="7">
        <v>756.54399999999998</v>
      </c>
      <c r="K306" s="7">
        <v>1.91</v>
      </c>
      <c r="L306" s="6"/>
    </row>
    <row r="307" spans="1:12" x14ac:dyDescent="0.3">
      <c r="A307" s="6" t="s">
        <v>61</v>
      </c>
      <c r="B307" s="6" t="s">
        <v>76</v>
      </c>
      <c r="C307" s="6" t="s">
        <v>400</v>
      </c>
      <c r="D307" s="6" t="s">
        <v>400</v>
      </c>
      <c r="E307" s="7">
        <v>7397868.3101899996</v>
      </c>
      <c r="F307" s="7">
        <v>357978.64276000019</v>
      </c>
      <c r="G307" s="7">
        <v>-23.5232332</v>
      </c>
      <c r="H307" s="7">
        <v>-46.3911503</v>
      </c>
      <c r="I307" s="7">
        <v>769.95899999999995</v>
      </c>
      <c r="J307" s="7">
        <v>765.90899999999999</v>
      </c>
      <c r="K307" s="7">
        <v>4.05</v>
      </c>
      <c r="L307" s="6"/>
    </row>
    <row r="308" spans="1:12" x14ac:dyDescent="0.3">
      <c r="A308" s="6" t="s">
        <v>61</v>
      </c>
      <c r="B308" s="6" t="s">
        <v>76</v>
      </c>
      <c r="C308" s="6" t="s">
        <v>429</v>
      </c>
      <c r="D308" s="6" t="s">
        <v>429</v>
      </c>
      <c r="E308" s="7">
        <v>7397855.1521899989</v>
      </c>
      <c r="F308" s="7">
        <v>358083.41719000001</v>
      </c>
      <c r="G308" s="7">
        <v>-23.5233612</v>
      </c>
      <c r="H308" s="7">
        <v>-46.390125500000003</v>
      </c>
      <c r="I308" s="7">
        <v>774.57</v>
      </c>
      <c r="J308" s="7">
        <v>771.07</v>
      </c>
      <c r="K308" s="7">
        <v>3.5</v>
      </c>
      <c r="L308" s="6"/>
    </row>
    <row r="309" spans="1:12" x14ac:dyDescent="0.3">
      <c r="A309" s="6" t="s">
        <v>61</v>
      </c>
      <c r="B309" s="6" t="s">
        <v>76</v>
      </c>
      <c r="C309" s="6" t="s">
        <v>430</v>
      </c>
      <c r="D309" s="6" t="s">
        <v>430</v>
      </c>
      <c r="E309" s="7">
        <v>7397896.5565699991</v>
      </c>
      <c r="F309" s="7">
        <v>358165.58388000028</v>
      </c>
      <c r="G309" s="7">
        <v>-23.522994499999999</v>
      </c>
      <c r="H309" s="7">
        <v>-46.389316899999997</v>
      </c>
      <c r="I309" s="7">
        <v>785.99099999999999</v>
      </c>
      <c r="J309" s="7">
        <v>784.24099999999999</v>
      </c>
      <c r="K309" s="7">
        <v>1.75</v>
      </c>
      <c r="L309" s="6"/>
    </row>
    <row r="310" spans="1:12" x14ac:dyDescent="0.3">
      <c r="A310" s="6" t="s">
        <v>61</v>
      </c>
      <c r="B310" s="6" t="s">
        <v>76</v>
      </c>
      <c r="C310" s="6" t="s">
        <v>371</v>
      </c>
      <c r="D310" s="6" t="s">
        <v>371</v>
      </c>
      <c r="E310" s="7">
        <v>7397813.6233600006</v>
      </c>
      <c r="F310" s="7">
        <v>357845.2808700006</v>
      </c>
      <c r="G310" s="7">
        <v>-23.5237154</v>
      </c>
      <c r="H310" s="7">
        <v>-46.392461500000003</v>
      </c>
      <c r="I310" s="7">
        <v>765.80600000000004</v>
      </c>
      <c r="J310" s="7">
        <v>762.91600000000005</v>
      </c>
      <c r="K310" s="7">
        <v>2.89</v>
      </c>
      <c r="L310" s="6"/>
    </row>
    <row r="311" spans="1:12" x14ac:dyDescent="0.3">
      <c r="A311" s="6" t="s">
        <v>61</v>
      </c>
      <c r="B311" s="6" t="s">
        <v>76</v>
      </c>
      <c r="C311" s="6" t="s">
        <v>340</v>
      </c>
      <c r="D311" s="6" t="s">
        <v>340</v>
      </c>
      <c r="E311" s="7">
        <v>7397810.3153300006</v>
      </c>
      <c r="F311" s="7">
        <v>357797.64732000011</v>
      </c>
      <c r="G311" s="7">
        <v>-23.523741099999999</v>
      </c>
      <c r="H311" s="7">
        <v>-46.392928300000001</v>
      </c>
      <c r="I311" s="7">
        <v>763.98199999999997</v>
      </c>
      <c r="J311" s="7">
        <v>761.77200000000005</v>
      </c>
      <c r="K311" s="7">
        <v>2.21</v>
      </c>
      <c r="L311" s="6" t="s">
        <v>431</v>
      </c>
    </row>
    <row r="312" spans="1:12" x14ac:dyDescent="0.3">
      <c r="A312" s="6" t="s">
        <v>61</v>
      </c>
      <c r="B312" s="6" t="s">
        <v>76</v>
      </c>
      <c r="C312" s="6" t="s">
        <v>296</v>
      </c>
      <c r="D312" s="6" t="s">
        <v>296</v>
      </c>
      <c r="E312" s="7">
        <v>7397708.9276552387</v>
      </c>
      <c r="F312" s="7">
        <v>357338.71349135757</v>
      </c>
      <c r="G312" s="7">
        <v>-23.524616300000002</v>
      </c>
      <c r="H312" s="7">
        <v>-46.3974324</v>
      </c>
      <c r="I312" s="7">
        <v>751.64800000000002</v>
      </c>
      <c r="J312" s="7">
        <v>747.98800000000006</v>
      </c>
      <c r="K312" s="7">
        <v>3.66</v>
      </c>
      <c r="L312" s="6"/>
    </row>
    <row r="313" spans="1:12" x14ac:dyDescent="0.3">
      <c r="A313" s="6" t="s">
        <v>61</v>
      </c>
      <c r="B313" s="6" t="s">
        <v>76</v>
      </c>
      <c r="C313" s="6" t="s">
        <v>297</v>
      </c>
      <c r="D313" s="6" t="s">
        <v>297</v>
      </c>
      <c r="E313" s="7">
        <v>7397723.0024800012</v>
      </c>
      <c r="F313" s="7">
        <v>357392.20386000001</v>
      </c>
      <c r="G313" s="7">
        <v>-23.5244939</v>
      </c>
      <c r="H313" s="7">
        <v>-46.396907200000001</v>
      </c>
      <c r="I313" s="7">
        <v>753.36300000000006</v>
      </c>
      <c r="J313" s="7">
        <v>749.35299999999995</v>
      </c>
      <c r="K313" s="7">
        <v>4.01</v>
      </c>
      <c r="L313" s="6"/>
    </row>
    <row r="314" spans="1:12" x14ac:dyDescent="0.3">
      <c r="A314" s="6" t="s">
        <v>61</v>
      </c>
      <c r="B314" s="6" t="s">
        <v>76</v>
      </c>
      <c r="C314" s="6" t="s">
        <v>413</v>
      </c>
      <c r="D314" s="6" t="s">
        <v>413</v>
      </c>
      <c r="E314" s="7">
        <v>7397690.8604100002</v>
      </c>
      <c r="F314" s="7">
        <v>357473.78720000002</v>
      </c>
      <c r="G314" s="7">
        <v>-23.524791400000002</v>
      </c>
      <c r="H314" s="7">
        <v>-46.396111300000001</v>
      </c>
      <c r="I314" s="7">
        <v>755.33600000000001</v>
      </c>
      <c r="J314" s="7">
        <v>752.68600000000004</v>
      </c>
      <c r="K314" s="7">
        <v>2.65</v>
      </c>
      <c r="L314" s="6" t="s">
        <v>432</v>
      </c>
    </row>
    <row r="315" spans="1:12" x14ac:dyDescent="0.3">
      <c r="A315" s="6" t="s">
        <v>61</v>
      </c>
      <c r="B315" s="6" t="s">
        <v>76</v>
      </c>
      <c r="C315" s="6" t="s">
        <v>176</v>
      </c>
      <c r="D315" s="6" t="s">
        <v>176</v>
      </c>
      <c r="E315" s="7">
        <v>7397731.8050555158</v>
      </c>
      <c r="F315" s="7">
        <v>357595.28295191127</v>
      </c>
      <c r="G315" s="7">
        <v>-23.524432300000001</v>
      </c>
      <c r="H315" s="7">
        <v>-46.394917599999999</v>
      </c>
      <c r="I315" s="7">
        <v>759.48</v>
      </c>
      <c r="J315" s="7">
        <v>755.72</v>
      </c>
      <c r="K315" s="7">
        <v>3.76</v>
      </c>
      <c r="L315" s="6"/>
    </row>
    <row r="316" spans="1:12" x14ac:dyDescent="0.3">
      <c r="A316" s="6" t="s">
        <v>61</v>
      </c>
      <c r="B316" s="6" t="s">
        <v>76</v>
      </c>
      <c r="C316" s="6" t="s">
        <v>266</v>
      </c>
      <c r="D316" s="6" t="s">
        <v>266</v>
      </c>
      <c r="E316" s="7">
        <v>7397766.2541399961</v>
      </c>
      <c r="F316" s="7">
        <v>357725.32907999429</v>
      </c>
      <c r="G316" s="7">
        <v>-23.524132600000002</v>
      </c>
      <c r="H316" s="7">
        <v>-46.3936408</v>
      </c>
      <c r="I316" s="7">
        <v>762.02300000000002</v>
      </c>
      <c r="J316" s="7">
        <v>759.53300000000002</v>
      </c>
      <c r="K316" s="7">
        <v>2.4900000000000002</v>
      </c>
      <c r="L316" s="6"/>
    </row>
    <row r="317" spans="1:12" x14ac:dyDescent="0.3">
      <c r="A317" s="6" t="s">
        <v>61</v>
      </c>
      <c r="B317" s="6" t="s">
        <v>76</v>
      </c>
      <c r="C317" s="6" t="s">
        <v>270</v>
      </c>
      <c r="D317" s="6" t="s">
        <v>270</v>
      </c>
      <c r="E317" s="7">
        <v>7397788.5658569727</v>
      </c>
      <c r="F317" s="7">
        <v>357764.491395558</v>
      </c>
      <c r="G317" s="7">
        <v>-23.5239346</v>
      </c>
      <c r="H317" s="7">
        <v>-46.393255099999998</v>
      </c>
      <c r="I317" s="7">
        <v>763.37400000000002</v>
      </c>
      <c r="J317" s="7">
        <v>760.43399999999997</v>
      </c>
      <c r="K317" s="7">
        <v>2.94</v>
      </c>
      <c r="L317" s="6"/>
    </row>
    <row r="318" spans="1:12" x14ac:dyDescent="0.3">
      <c r="A318" s="6" t="s">
        <v>61</v>
      </c>
      <c r="B318" s="6" t="s">
        <v>76</v>
      </c>
      <c r="C318" s="6" t="s">
        <v>433</v>
      </c>
      <c r="D318" s="6" t="s">
        <v>433</v>
      </c>
      <c r="E318" s="7">
        <v>7397796.0207571816</v>
      </c>
      <c r="F318" s="7">
        <v>357764.30166586163</v>
      </c>
      <c r="G318" s="7">
        <v>-23.523867200000002</v>
      </c>
      <c r="H318" s="7">
        <v>-46.393256299999997</v>
      </c>
      <c r="I318" s="7">
        <v>763.27300000000002</v>
      </c>
      <c r="J318" s="7">
        <v>760.923</v>
      </c>
      <c r="K318" s="7">
        <v>2.35</v>
      </c>
      <c r="L318" s="6" t="s">
        <v>434</v>
      </c>
    </row>
    <row r="319" spans="1:12" x14ac:dyDescent="0.3">
      <c r="A319" s="6" t="s">
        <v>61</v>
      </c>
      <c r="B319" s="6" t="s">
        <v>76</v>
      </c>
      <c r="C319" s="6" t="s">
        <v>340</v>
      </c>
      <c r="D319" s="6" t="s">
        <v>340</v>
      </c>
      <c r="E319" s="7">
        <v>7397799.2757100007</v>
      </c>
      <c r="F319" s="7">
        <v>357796.38582000002</v>
      </c>
      <c r="G319" s="7">
        <v>-23.523840700000001</v>
      </c>
      <c r="H319" s="7">
        <v>-46.392941700000002</v>
      </c>
      <c r="I319" s="7">
        <v>764.45799999999997</v>
      </c>
      <c r="J319" s="7">
        <v>761.16800000000001</v>
      </c>
      <c r="K319" s="7">
        <v>3.29</v>
      </c>
      <c r="L319" s="6"/>
    </row>
    <row r="320" spans="1:12" x14ac:dyDescent="0.3">
      <c r="A320" s="6" t="s">
        <v>61</v>
      </c>
      <c r="B320" s="6" t="s">
        <v>76</v>
      </c>
      <c r="C320" s="6" t="s">
        <v>370</v>
      </c>
      <c r="D320" s="6" t="s">
        <v>370</v>
      </c>
      <c r="E320" s="7">
        <v>7397825.7860100009</v>
      </c>
      <c r="F320" s="7">
        <v>357872.83312000002</v>
      </c>
      <c r="G320" s="7">
        <v>-23.523607999999999</v>
      </c>
      <c r="H320" s="7">
        <v>-46.392190599999999</v>
      </c>
      <c r="I320" s="7">
        <v>766.91300000000001</v>
      </c>
      <c r="J320" s="7">
        <v>763.11300000000006</v>
      </c>
      <c r="K320" s="7">
        <v>3.8</v>
      </c>
      <c r="L320" s="6"/>
    </row>
    <row r="321" spans="1:12" x14ac:dyDescent="0.3">
      <c r="A321" s="6" t="s">
        <v>61</v>
      </c>
      <c r="B321" s="6" t="s">
        <v>76</v>
      </c>
      <c r="C321" s="6" t="s">
        <v>363</v>
      </c>
      <c r="D321" s="6" t="s">
        <v>363</v>
      </c>
      <c r="E321" s="7">
        <v>7397858.9376300015</v>
      </c>
      <c r="F321" s="7">
        <v>357930.81818</v>
      </c>
      <c r="G321" s="7">
        <v>-23.523313699999999</v>
      </c>
      <c r="H321" s="7">
        <v>-46.391619599999999</v>
      </c>
      <c r="I321" s="7">
        <v>768.51099999999997</v>
      </c>
      <c r="J321" s="7">
        <v>764.57100000000003</v>
      </c>
      <c r="K321" s="7">
        <v>3.94</v>
      </c>
      <c r="L321" s="6"/>
    </row>
    <row r="322" spans="1:12" x14ac:dyDescent="0.3">
      <c r="A322" s="6" t="s">
        <v>61</v>
      </c>
      <c r="B322" s="6" t="s">
        <v>76</v>
      </c>
      <c r="C322" s="6" t="s">
        <v>435</v>
      </c>
      <c r="D322" s="6" t="s">
        <v>435</v>
      </c>
      <c r="E322" s="7">
        <v>7397879.1092499988</v>
      </c>
      <c r="F322" s="7">
        <v>358027.14345000009</v>
      </c>
      <c r="G322" s="7">
        <v>-23.5231399</v>
      </c>
      <c r="H322" s="7">
        <v>-46.390674300000001</v>
      </c>
      <c r="I322" s="7">
        <v>771.73400000000004</v>
      </c>
      <c r="J322" s="7">
        <v>767.48400000000004</v>
      </c>
      <c r="K322" s="7">
        <v>4.25</v>
      </c>
      <c r="L322" s="6"/>
    </row>
    <row r="323" spans="1:12" x14ac:dyDescent="0.3">
      <c r="A323" s="6" t="s">
        <v>61</v>
      </c>
      <c r="B323" s="6" t="s">
        <v>76</v>
      </c>
      <c r="C323" s="6" t="s">
        <v>426</v>
      </c>
      <c r="D323" s="6" t="s">
        <v>426</v>
      </c>
      <c r="E323" s="7">
        <v>7397848.9724500002</v>
      </c>
      <c r="F323" s="7">
        <v>358119.2123800001</v>
      </c>
      <c r="G323" s="7">
        <v>-23.523420099999999</v>
      </c>
      <c r="H323" s="7">
        <v>-46.389775499999999</v>
      </c>
      <c r="I323" s="7">
        <v>775.56500000000005</v>
      </c>
      <c r="J323" s="7">
        <v>771.52499999999998</v>
      </c>
      <c r="K323" s="7">
        <v>3.55</v>
      </c>
      <c r="L323" s="6"/>
    </row>
    <row r="324" spans="1:12" x14ac:dyDescent="0.3">
      <c r="A324" s="6" t="s">
        <v>61</v>
      </c>
      <c r="B324" s="6" t="s">
        <v>76</v>
      </c>
      <c r="C324" s="6" t="s">
        <v>361</v>
      </c>
      <c r="D324" s="6" t="s">
        <v>361</v>
      </c>
      <c r="E324" s="7">
        <v>7397855.6880400004</v>
      </c>
      <c r="F324" s="7">
        <v>358149.85146999999</v>
      </c>
      <c r="G324" s="7">
        <v>-23.523362200000001</v>
      </c>
      <c r="H324" s="7">
        <v>-46.389474800000002</v>
      </c>
      <c r="I324" s="7">
        <v>776.68100000000004</v>
      </c>
      <c r="J324" s="7">
        <v>774.00099999999998</v>
      </c>
      <c r="K324" s="7">
        <v>2.68</v>
      </c>
      <c r="L324" s="6"/>
    </row>
    <row r="325" spans="1:12" x14ac:dyDescent="0.3">
      <c r="A325" s="6" t="s">
        <v>61</v>
      </c>
      <c r="B325" s="6" t="s">
        <v>76</v>
      </c>
      <c r="C325" s="6" t="s">
        <v>436</v>
      </c>
      <c r="D325" s="6" t="s">
        <v>436</v>
      </c>
      <c r="E325" s="7">
        <v>7397841.529889999</v>
      </c>
      <c r="F325" s="7">
        <v>358174.83632000012</v>
      </c>
      <c r="G325" s="7">
        <v>-23.5234922</v>
      </c>
      <c r="H325" s="7">
        <v>-46.389231500000001</v>
      </c>
      <c r="I325" s="7">
        <v>780.71199999999999</v>
      </c>
      <c r="J325" s="7">
        <v>778.98199999999997</v>
      </c>
      <c r="K325" s="7">
        <v>1.73</v>
      </c>
      <c r="L325" s="6"/>
    </row>
    <row r="326" spans="1:12" x14ac:dyDescent="0.3">
      <c r="A326" s="6" t="s">
        <v>61</v>
      </c>
      <c r="B326" s="6" t="s">
        <v>76</v>
      </c>
      <c r="C326" s="6" t="s">
        <v>404</v>
      </c>
      <c r="D326" s="6" t="s">
        <v>404</v>
      </c>
      <c r="E326" s="7">
        <v>7397873.9998399988</v>
      </c>
      <c r="F326" s="7">
        <v>358199.06748000003</v>
      </c>
      <c r="G326" s="7">
        <v>-23.523201100000001</v>
      </c>
      <c r="H326" s="7">
        <v>-46.388991099999998</v>
      </c>
      <c r="I326" s="7">
        <v>780.41099999999994</v>
      </c>
      <c r="J326" s="7">
        <v>776.601</v>
      </c>
      <c r="K326" s="7">
        <v>3.81</v>
      </c>
      <c r="L326" s="6"/>
    </row>
    <row r="327" spans="1:12" x14ac:dyDescent="0.3">
      <c r="A327" s="6" t="s">
        <v>61</v>
      </c>
      <c r="B327" s="6" t="s">
        <v>76</v>
      </c>
      <c r="C327" s="6" t="s">
        <v>402</v>
      </c>
      <c r="D327" s="6" t="s">
        <v>402</v>
      </c>
      <c r="E327" s="7">
        <v>7397897.8645799998</v>
      </c>
      <c r="F327" s="7">
        <v>358211.27531</v>
      </c>
      <c r="G327" s="7">
        <v>-23.522986700000001</v>
      </c>
      <c r="H327" s="7">
        <v>-46.388869300000003</v>
      </c>
      <c r="I327" s="7">
        <v>785.00599999999997</v>
      </c>
      <c r="J327" s="7">
        <v>780.43600000000004</v>
      </c>
      <c r="K327" s="7">
        <v>4.57</v>
      </c>
      <c r="L327" s="6"/>
    </row>
    <row r="328" spans="1:12" x14ac:dyDescent="0.3">
      <c r="A328" s="6" t="s">
        <v>61</v>
      </c>
      <c r="B328" s="6" t="s">
        <v>76</v>
      </c>
      <c r="C328" s="6" t="s">
        <v>437</v>
      </c>
      <c r="D328" s="6" t="s">
        <v>437</v>
      </c>
      <c r="E328" s="7">
        <v>7397908.9759999998</v>
      </c>
      <c r="F328" s="7">
        <v>358213.09357000003</v>
      </c>
      <c r="G328" s="7">
        <v>-23.522886499999998</v>
      </c>
      <c r="H328" s="7">
        <v>-46.388850499999997</v>
      </c>
      <c r="I328" s="7">
        <v>787.40700000000004</v>
      </c>
      <c r="J328" s="7">
        <v>783.73699999999997</v>
      </c>
      <c r="K328" s="7">
        <v>3.67</v>
      </c>
      <c r="L328" s="6"/>
    </row>
    <row r="329" spans="1:12" x14ac:dyDescent="0.3">
      <c r="A329" s="6" t="s">
        <v>61</v>
      </c>
      <c r="B329" s="6" t="s">
        <v>76</v>
      </c>
      <c r="C329" s="6" t="s">
        <v>438</v>
      </c>
      <c r="D329" s="6" t="s">
        <v>438</v>
      </c>
      <c r="E329" s="7">
        <v>7397796.1514613293</v>
      </c>
      <c r="F329" s="7">
        <v>357798.52058006928</v>
      </c>
      <c r="G329" s="7">
        <v>-23.523869099999999</v>
      </c>
      <c r="H329" s="7">
        <v>-46.392921100000002</v>
      </c>
      <c r="I329" s="7">
        <v>765.01199999999994</v>
      </c>
      <c r="J329" s="7">
        <v>763.35199999999998</v>
      </c>
      <c r="K329" s="7">
        <v>1.66</v>
      </c>
      <c r="L329" s="6" t="s">
        <v>439</v>
      </c>
    </row>
    <row r="330" spans="1:12" x14ac:dyDescent="0.3">
      <c r="A330" s="6" t="s">
        <v>61</v>
      </c>
      <c r="B330" s="6" t="s">
        <v>76</v>
      </c>
      <c r="C330" s="6" t="s">
        <v>299</v>
      </c>
      <c r="D330" s="6" t="s">
        <v>299</v>
      </c>
      <c r="E330" s="7">
        <v>7397718.5311916936</v>
      </c>
      <c r="F330" s="7">
        <v>357460.91768275382</v>
      </c>
      <c r="G330" s="7">
        <v>-23.524540399999999</v>
      </c>
      <c r="H330" s="7">
        <v>-46.396234700000001</v>
      </c>
      <c r="I330" s="7">
        <v>755.5</v>
      </c>
      <c r="J330" s="7">
        <v>750.34</v>
      </c>
      <c r="K330" s="7">
        <v>5.16</v>
      </c>
      <c r="L330" s="6"/>
    </row>
    <row r="331" spans="1:12" x14ac:dyDescent="0.3">
      <c r="A331" s="6" t="s">
        <v>61</v>
      </c>
      <c r="B331" s="6" t="s">
        <v>76</v>
      </c>
      <c r="C331" s="6" t="s">
        <v>440</v>
      </c>
      <c r="D331" s="6" t="s">
        <v>440</v>
      </c>
      <c r="E331" s="7">
        <v>7397769.9591499995</v>
      </c>
      <c r="F331" s="7">
        <v>357727.38219999999</v>
      </c>
      <c r="G331" s="7">
        <v>-23.5240993</v>
      </c>
      <c r="H331" s="7">
        <v>-46.393620300000002</v>
      </c>
      <c r="I331" s="7">
        <v>762.06200000000001</v>
      </c>
      <c r="J331" s="7">
        <v>760.14200000000005</v>
      </c>
      <c r="K331" s="7">
        <v>1.92</v>
      </c>
      <c r="L331" s="6" t="s">
        <v>434</v>
      </c>
    </row>
    <row r="332" spans="1:12" x14ac:dyDescent="0.3">
      <c r="A332" s="6" t="s">
        <v>61</v>
      </c>
      <c r="B332" s="6" t="s">
        <v>76</v>
      </c>
      <c r="C332" s="6" t="s">
        <v>382</v>
      </c>
      <c r="D332" s="6" t="s">
        <v>382</v>
      </c>
      <c r="E332" s="7">
        <v>7397738.5539149987</v>
      </c>
      <c r="F332" s="7">
        <v>357293.10656599997</v>
      </c>
      <c r="G332" s="7">
        <v>-23.524344800000001</v>
      </c>
      <c r="H332" s="7">
        <v>-46.397876199999999</v>
      </c>
      <c r="I332" s="6"/>
      <c r="J332" s="6"/>
      <c r="K332" s="6"/>
      <c r="L332" s="6" t="s">
        <v>383</v>
      </c>
    </row>
    <row r="333" spans="1:12" x14ac:dyDescent="0.3">
      <c r="A333" s="6" t="s">
        <v>63</v>
      </c>
      <c r="B333" s="6" t="s">
        <v>133</v>
      </c>
      <c r="C333" s="6" t="s">
        <v>441</v>
      </c>
      <c r="D333" s="6" t="s">
        <v>441</v>
      </c>
      <c r="E333" s="7">
        <v>7398902.4979999997</v>
      </c>
      <c r="F333" s="7">
        <v>357197.41399999999</v>
      </c>
      <c r="G333" s="7">
        <v>-23.513825799999999</v>
      </c>
      <c r="H333" s="7">
        <v>-46.398702299999997</v>
      </c>
      <c r="I333" s="7">
        <v>757.452</v>
      </c>
      <c r="J333" s="7">
        <v>756.42200000000003</v>
      </c>
      <c r="K333" s="7">
        <v>1.03</v>
      </c>
      <c r="L333" s="6"/>
    </row>
    <row r="334" spans="1:12" x14ac:dyDescent="0.3">
      <c r="A334" s="6" t="s">
        <v>63</v>
      </c>
      <c r="B334" s="6" t="s">
        <v>133</v>
      </c>
      <c r="C334" s="6" t="s">
        <v>442</v>
      </c>
      <c r="D334" s="6" t="s">
        <v>442</v>
      </c>
      <c r="E334" s="7">
        <v>7398913.6799999997</v>
      </c>
      <c r="F334" s="7">
        <v>357196.842</v>
      </c>
      <c r="G334" s="7">
        <v>-23.513724799999999</v>
      </c>
      <c r="H334" s="7">
        <v>-46.398706799999999</v>
      </c>
      <c r="I334" s="7">
        <v>757.62400000000002</v>
      </c>
      <c r="J334" s="7">
        <v>756.62400000000002</v>
      </c>
      <c r="K334" s="7">
        <v>1</v>
      </c>
      <c r="L334" s="6"/>
    </row>
    <row r="335" spans="1:12" x14ac:dyDescent="0.3">
      <c r="A335" s="6" t="s">
        <v>63</v>
      </c>
      <c r="B335" s="6" t="s">
        <v>133</v>
      </c>
      <c r="C335" s="6" t="s">
        <v>443</v>
      </c>
      <c r="D335" s="6" t="s">
        <v>443</v>
      </c>
      <c r="E335" s="7">
        <v>7398883.79</v>
      </c>
      <c r="F335" s="7">
        <v>357134.31900000002</v>
      </c>
      <c r="G335" s="7">
        <v>-23.513989200000001</v>
      </c>
      <c r="H335" s="7">
        <v>-46.399321899999997</v>
      </c>
      <c r="I335" s="7">
        <v>754.81</v>
      </c>
      <c r="J335" s="7">
        <v>753.21</v>
      </c>
      <c r="K335" s="7">
        <v>1.6</v>
      </c>
      <c r="L335" s="6" t="s">
        <v>444</v>
      </c>
    </row>
    <row r="336" spans="1:12" x14ac:dyDescent="0.3">
      <c r="A336" s="6" t="s">
        <v>63</v>
      </c>
      <c r="B336" s="6" t="s">
        <v>76</v>
      </c>
      <c r="C336" s="6" t="s">
        <v>359</v>
      </c>
      <c r="D336" s="6" t="s">
        <v>359</v>
      </c>
      <c r="E336" s="7">
        <v>7398742.4620000003</v>
      </c>
      <c r="F336" s="7">
        <v>357063.30200000003</v>
      </c>
      <c r="G336" s="7">
        <v>-23.515259100000002</v>
      </c>
      <c r="H336" s="7">
        <v>-46.400030800000003</v>
      </c>
      <c r="I336" s="7">
        <v>748.71199999999999</v>
      </c>
      <c r="J336" s="7">
        <v>746.822</v>
      </c>
      <c r="K336" s="7">
        <v>1.89</v>
      </c>
      <c r="L336" s="6"/>
    </row>
    <row r="337" spans="1:12" x14ac:dyDescent="0.3">
      <c r="A337" s="6" t="s">
        <v>63</v>
      </c>
      <c r="B337" s="6" t="s">
        <v>76</v>
      </c>
      <c r="C337" s="6" t="s">
        <v>358</v>
      </c>
      <c r="D337" s="6" t="s">
        <v>358</v>
      </c>
      <c r="E337" s="7">
        <v>7398805.4029999999</v>
      </c>
      <c r="F337" s="7">
        <v>357065.68900000001</v>
      </c>
      <c r="G337" s="7">
        <v>-23.514690999999999</v>
      </c>
      <c r="H337" s="7">
        <v>-46.400001500000002</v>
      </c>
      <c r="I337" s="7">
        <v>753.94200000000001</v>
      </c>
      <c r="J337" s="7">
        <v>750.05200000000002</v>
      </c>
      <c r="K337" s="7">
        <v>3.89</v>
      </c>
      <c r="L337" s="6"/>
    </row>
    <row r="338" spans="1:12" x14ac:dyDescent="0.3">
      <c r="A338" s="6" t="s">
        <v>63</v>
      </c>
      <c r="B338" s="6" t="s">
        <v>76</v>
      </c>
      <c r="C338" s="6" t="s">
        <v>176</v>
      </c>
      <c r="D338" s="6" t="s">
        <v>176</v>
      </c>
      <c r="E338" s="7">
        <v>7398799.5470000003</v>
      </c>
      <c r="F338" s="7">
        <v>357141.14399999997</v>
      </c>
      <c r="G338" s="7">
        <v>-23.514750500000002</v>
      </c>
      <c r="H338" s="7">
        <v>-46.399263099999999</v>
      </c>
      <c r="I338" s="7">
        <v>759.51300000000003</v>
      </c>
      <c r="J338" s="7">
        <v>752.58299999999997</v>
      </c>
      <c r="K338" s="7">
        <v>6.93</v>
      </c>
      <c r="L338" s="6"/>
    </row>
    <row r="339" spans="1:12" x14ac:dyDescent="0.3">
      <c r="A339" s="6" t="s">
        <v>63</v>
      </c>
      <c r="B339" s="6" t="s">
        <v>76</v>
      </c>
      <c r="C339" s="6" t="s">
        <v>180</v>
      </c>
      <c r="D339" s="6" t="s">
        <v>180</v>
      </c>
      <c r="E339" s="7">
        <v>7398798.1140000001</v>
      </c>
      <c r="F339" s="7">
        <v>357210.46899999998</v>
      </c>
      <c r="G339" s="7">
        <v>-23.5147695</v>
      </c>
      <c r="H339" s="7">
        <v>-46.398584399999997</v>
      </c>
      <c r="I339" s="7">
        <v>765.11400000000003</v>
      </c>
      <c r="J339" s="7">
        <v>755.87400000000002</v>
      </c>
      <c r="K339" s="7">
        <v>9.24</v>
      </c>
      <c r="L339" s="6"/>
    </row>
    <row r="340" spans="1:12" x14ac:dyDescent="0.3">
      <c r="A340" s="6" t="s">
        <v>63</v>
      </c>
      <c r="B340" s="6" t="s">
        <v>76</v>
      </c>
      <c r="C340" s="6" t="s">
        <v>180</v>
      </c>
      <c r="D340" s="6" t="s">
        <v>180</v>
      </c>
      <c r="E340" s="7">
        <v>7398887.6689999998</v>
      </c>
      <c r="F340" s="7">
        <v>357198.97499999998</v>
      </c>
      <c r="G340" s="7">
        <v>-23.513959799999999</v>
      </c>
      <c r="H340" s="7">
        <v>-46.398688399999998</v>
      </c>
      <c r="I340" s="7">
        <v>757.92600000000004</v>
      </c>
      <c r="J340" s="7">
        <v>755.89599999999996</v>
      </c>
      <c r="K340" s="7">
        <v>2.0299999999999998</v>
      </c>
      <c r="L340" s="6" t="s">
        <v>445</v>
      </c>
    </row>
    <row r="341" spans="1:12" x14ac:dyDescent="0.3">
      <c r="A341" s="6" t="s">
        <v>63</v>
      </c>
      <c r="B341" s="6" t="s">
        <v>76</v>
      </c>
      <c r="C341" s="6" t="s">
        <v>270</v>
      </c>
      <c r="D341" s="6" t="s">
        <v>270</v>
      </c>
      <c r="E341" s="7">
        <v>7398883.7800000003</v>
      </c>
      <c r="F341" s="7">
        <v>357133.08</v>
      </c>
      <c r="G341" s="7">
        <v>-23.513989200000001</v>
      </c>
      <c r="H341" s="7">
        <v>-46.399334099999997</v>
      </c>
      <c r="I341" s="7">
        <v>754.98400000000004</v>
      </c>
      <c r="J341" s="7">
        <v>753.00400000000002</v>
      </c>
      <c r="K341" s="7">
        <v>1.98</v>
      </c>
      <c r="L341" s="6"/>
    </row>
    <row r="342" spans="1:12" x14ac:dyDescent="0.3">
      <c r="A342" s="6" t="s">
        <v>63</v>
      </c>
      <c r="B342" s="6" t="s">
        <v>76</v>
      </c>
      <c r="C342" s="6" t="s">
        <v>296</v>
      </c>
      <c r="D342" s="6" t="s">
        <v>296</v>
      </c>
      <c r="E342" s="7">
        <v>7398787.807</v>
      </c>
      <c r="F342" s="7">
        <v>356833.212</v>
      </c>
      <c r="G342" s="7">
        <v>-23.5148294</v>
      </c>
      <c r="H342" s="7">
        <v>-46.402279700000001</v>
      </c>
      <c r="I342" s="7">
        <v>744.92700000000002</v>
      </c>
      <c r="J342" s="7">
        <v>740.88699999999994</v>
      </c>
      <c r="K342" s="7">
        <v>4.04</v>
      </c>
      <c r="L342" s="6"/>
    </row>
    <row r="343" spans="1:12" x14ac:dyDescent="0.3">
      <c r="A343" s="6" t="s">
        <v>63</v>
      </c>
      <c r="B343" s="6" t="s">
        <v>76</v>
      </c>
      <c r="C343" s="6" t="s">
        <v>297</v>
      </c>
      <c r="D343" s="6" t="s">
        <v>297</v>
      </c>
      <c r="E343" s="7">
        <v>7398782.2819999997</v>
      </c>
      <c r="F343" s="7">
        <v>356866.07699999999</v>
      </c>
      <c r="G343" s="7">
        <v>-23.514882199999999</v>
      </c>
      <c r="H343" s="7">
        <v>-46.401958399999998</v>
      </c>
      <c r="I343" s="7">
        <v>744.51099999999997</v>
      </c>
      <c r="J343" s="7">
        <v>741.03099999999995</v>
      </c>
      <c r="K343" s="7">
        <v>3.48</v>
      </c>
      <c r="L343" s="6"/>
    </row>
    <row r="344" spans="1:12" x14ac:dyDescent="0.3">
      <c r="A344" s="6" t="s">
        <v>63</v>
      </c>
      <c r="B344" s="6" t="s">
        <v>76</v>
      </c>
      <c r="C344" s="6" t="s">
        <v>298</v>
      </c>
      <c r="D344" s="6" t="s">
        <v>298</v>
      </c>
      <c r="E344" s="7">
        <v>7398767.9249999998</v>
      </c>
      <c r="F344" s="7">
        <v>356928.45199999999</v>
      </c>
      <c r="G344" s="7">
        <v>-23.5150173</v>
      </c>
      <c r="H344" s="7">
        <v>-46.401348900000002</v>
      </c>
      <c r="I344" s="7">
        <v>743.702</v>
      </c>
      <c r="J344" s="7">
        <v>741.64200000000005</v>
      </c>
      <c r="K344" s="7">
        <v>2.06</v>
      </c>
      <c r="L344" s="6"/>
    </row>
    <row r="345" spans="1:12" x14ac:dyDescent="0.3">
      <c r="A345" s="6" t="s">
        <v>63</v>
      </c>
      <c r="B345" s="6" t="s">
        <v>76</v>
      </c>
      <c r="C345" s="6" t="s">
        <v>299</v>
      </c>
      <c r="D345" s="6" t="s">
        <v>299</v>
      </c>
      <c r="E345" s="7">
        <v>7398754.3509999998</v>
      </c>
      <c r="F345" s="7">
        <v>357001.82</v>
      </c>
      <c r="G345" s="7">
        <v>-23.515146399999999</v>
      </c>
      <c r="H345" s="7">
        <v>-46.400631799999999</v>
      </c>
      <c r="I345" s="7">
        <v>745.69299999999998</v>
      </c>
      <c r="J345" s="7">
        <v>743.10299999999995</v>
      </c>
      <c r="K345" s="7">
        <v>2.59</v>
      </c>
      <c r="L345" s="6"/>
    </row>
    <row r="346" spans="1:12" x14ac:dyDescent="0.3">
      <c r="A346" s="6" t="s">
        <v>63</v>
      </c>
      <c r="B346" s="6" t="s">
        <v>76</v>
      </c>
      <c r="C346" s="6" t="s">
        <v>446</v>
      </c>
      <c r="D346" s="6" t="s">
        <v>446</v>
      </c>
      <c r="E346" s="7">
        <v>7398785.1349999998</v>
      </c>
      <c r="F346" s="7">
        <v>356842.93699999998</v>
      </c>
      <c r="G346" s="7">
        <v>-23.514854400000001</v>
      </c>
      <c r="H346" s="7">
        <v>-46.402184699999999</v>
      </c>
      <c r="I346" s="7">
        <v>744.85699999999997</v>
      </c>
      <c r="J346" s="7">
        <v>743.05</v>
      </c>
      <c r="K346" s="7">
        <v>1.81</v>
      </c>
      <c r="L346" s="6" t="s">
        <v>447</v>
      </c>
    </row>
    <row r="347" spans="1:12" x14ac:dyDescent="0.3">
      <c r="A347" s="6" t="s">
        <v>63</v>
      </c>
      <c r="B347" s="6" t="s">
        <v>76</v>
      </c>
      <c r="C347" s="6" t="s">
        <v>268</v>
      </c>
      <c r="D347" s="6" t="s">
        <v>268</v>
      </c>
      <c r="E347" s="7">
        <v>7398777.9440000001</v>
      </c>
      <c r="F347" s="7">
        <v>356884.70899999997</v>
      </c>
      <c r="G347" s="7">
        <v>-23.514923</v>
      </c>
      <c r="H347" s="7">
        <v>-46.401776300000002</v>
      </c>
      <c r="I347" s="7">
        <v>743.96100000000001</v>
      </c>
      <c r="J347" s="7">
        <v>741.90099999999995</v>
      </c>
      <c r="K347" s="7">
        <v>2.06</v>
      </c>
      <c r="L347" s="6"/>
    </row>
    <row r="348" spans="1:12" x14ac:dyDescent="0.3">
      <c r="A348" s="6" t="s">
        <v>63</v>
      </c>
      <c r="B348" s="6" t="s">
        <v>76</v>
      </c>
      <c r="C348" s="6" t="s">
        <v>382</v>
      </c>
      <c r="D348" s="6" t="s">
        <v>382</v>
      </c>
      <c r="E348" s="7">
        <v>7398909.0659999996</v>
      </c>
      <c r="F348" s="7">
        <v>357130.52</v>
      </c>
      <c r="G348" s="7">
        <v>-23.513760600000001</v>
      </c>
      <c r="H348" s="7">
        <v>-46.399356699999998</v>
      </c>
      <c r="I348" s="6"/>
      <c r="J348" s="6"/>
      <c r="K348" s="6"/>
      <c r="L348" s="6" t="s">
        <v>383</v>
      </c>
    </row>
    <row r="349" spans="1:12" x14ac:dyDescent="0.3">
      <c r="A349" s="6" t="s">
        <v>63</v>
      </c>
      <c r="B349" s="6" t="s">
        <v>76</v>
      </c>
      <c r="C349" s="6" t="s">
        <v>384</v>
      </c>
      <c r="D349" s="6" t="s">
        <v>384</v>
      </c>
      <c r="E349" s="7">
        <v>7398798.3210000005</v>
      </c>
      <c r="F349" s="7">
        <v>356780.55800000002</v>
      </c>
      <c r="G349" s="7">
        <v>-23.514729800000001</v>
      </c>
      <c r="H349" s="7">
        <v>-46.402794299999996</v>
      </c>
      <c r="I349" s="6"/>
      <c r="J349" s="6"/>
      <c r="K349" s="6"/>
      <c r="L349" s="6" t="s">
        <v>383</v>
      </c>
    </row>
    <row r="350" spans="1:12" x14ac:dyDescent="0.3">
      <c r="A350" t="s">
        <v>61</v>
      </c>
      <c r="B350" t="s">
        <v>76</v>
      </c>
      <c r="C350" t="s">
        <v>157</v>
      </c>
      <c r="D350" t="s">
        <v>157</v>
      </c>
      <c r="E350">
        <v>7397554.784</v>
      </c>
      <c r="F350">
        <v>357432.13900000002</v>
      </c>
      <c r="G350">
        <v>-23.526016483025899</v>
      </c>
      <c r="H350">
        <v>-46.396532166130292</v>
      </c>
      <c r="I350">
        <v>752.221</v>
      </c>
      <c r="J350">
        <v>748.721</v>
      </c>
      <c r="K350">
        <v>3.5</v>
      </c>
      <c r="L350" t="s">
        <v>448</v>
      </c>
    </row>
    <row r="351" spans="1:12" x14ac:dyDescent="0.3">
      <c r="A351" t="s">
        <v>61</v>
      </c>
      <c r="B351" t="s">
        <v>76</v>
      </c>
      <c r="C351" t="s">
        <v>450</v>
      </c>
      <c r="D351" t="s">
        <v>450</v>
      </c>
      <c r="E351">
        <v>7397522.1030000001</v>
      </c>
      <c r="F351">
        <v>357483.21</v>
      </c>
      <c r="G351">
        <v>-23.526316084338571</v>
      </c>
      <c r="H351">
        <v>-46.396035125748718</v>
      </c>
      <c r="I351">
        <v>752.38900000000001</v>
      </c>
      <c r="J351">
        <v>749.18899999999996</v>
      </c>
      <c r="K351">
        <v>3.2</v>
      </c>
      <c r="L351" t="s">
        <v>449</v>
      </c>
    </row>
    <row r="352" spans="1:12" x14ac:dyDescent="0.3">
      <c r="A352" t="s">
        <v>61</v>
      </c>
      <c r="B352" t="s">
        <v>76</v>
      </c>
      <c r="C352" t="s">
        <v>1141</v>
      </c>
      <c r="D352" t="s">
        <v>1141</v>
      </c>
      <c r="E352">
        <v>7397528.0333409999</v>
      </c>
      <c r="F352">
        <v>357498.65189199999</v>
      </c>
      <c r="G352">
        <v>-23.526263888900001</v>
      </c>
      <c r="H352">
        <v>-46.395883333299999</v>
      </c>
      <c r="L352" t="s">
        <v>451</v>
      </c>
    </row>
  </sheetData>
  <dataValidations count="1">
    <dataValidation type="list" allowBlank="1" sqref="B2:B1991" xr:uid="{00000000-0002-0000-0200-000000000000}">
      <formula1>"PV,PI"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63"/>
  <sheetViews>
    <sheetView tabSelected="1" topLeftCell="A337" workbookViewId="0">
      <selection activeCell="C370" sqref="C370"/>
    </sheetView>
  </sheetViews>
  <sheetFormatPr defaultRowHeight="14.4" x14ac:dyDescent="0.3"/>
  <cols>
    <col min="1" max="1" width="22" customWidth="1"/>
    <col min="2" max="2" width="14" customWidth="1"/>
    <col min="3" max="3" width="28" customWidth="1"/>
    <col min="4" max="6" width="16" customWidth="1"/>
    <col min="7" max="7" width="10" customWidth="1"/>
    <col min="8" max="8" width="30" customWidth="1"/>
    <col min="9" max="12" width="14" customWidth="1"/>
    <col min="13" max="13" width="16" customWidth="1"/>
    <col min="14" max="14" width="38" customWidth="1"/>
    <col min="15" max="18" width="14" customWidth="1"/>
  </cols>
  <sheetData>
    <row r="1" spans="1:18" x14ac:dyDescent="0.3">
      <c r="A1" s="5" t="s">
        <v>8</v>
      </c>
      <c r="B1" s="5" t="s">
        <v>452</v>
      </c>
      <c r="C1" s="5" t="s">
        <v>453</v>
      </c>
      <c r="D1" s="5" t="s">
        <v>454</v>
      </c>
      <c r="E1" s="5" t="s">
        <v>455</v>
      </c>
      <c r="F1" s="5" t="s">
        <v>456</v>
      </c>
      <c r="G1" s="5" t="s">
        <v>457</v>
      </c>
      <c r="H1" s="5" t="s">
        <v>458</v>
      </c>
      <c r="I1" s="5" t="s">
        <v>459</v>
      </c>
      <c r="J1" s="5" t="s">
        <v>460</v>
      </c>
      <c r="K1" s="5" t="s">
        <v>461</v>
      </c>
      <c r="L1" s="5" t="s">
        <v>462</v>
      </c>
      <c r="M1" s="5" t="s">
        <v>463</v>
      </c>
      <c r="N1" s="5" t="s">
        <v>75</v>
      </c>
      <c r="O1" s="5" t="s">
        <v>464</v>
      </c>
      <c r="P1" s="5" t="s">
        <v>465</v>
      </c>
      <c r="Q1" s="5" t="s">
        <v>466</v>
      </c>
      <c r="R1" s="5" t="s">
        <v>467</v>
      </c>
    </row>
    <row r="2" spans="1:18" x14ac:dyDescent="0.3">
      <c r="A2" s="6" t="s">
        <v>13</v>
      </c>
      <c r="B2" s="6" t="s">
        <v>468</v>
      </c>
      <c r="C2" s="6" t="s">
        <v>469</v>
      </c>
      <c r="D2" s="6" t="s">
        <v>106</v>
      </c>
      <c r="E2" s="6" t="s">
        <v>104</v>
      </c>
      <c r="F2" s="6" t="s">
        <v>470</v>
      </c>
      <c r="G2" s="6">
        <v>200</v>
      </c>
      <c r="H2" s="6" t="s">
        <v>471</v>
      </c>
      <c r="I2" s="7">
        <v>3.22</v>
      </c>
      <c r="J2" s="7">
        <v>1.6</v>
      </c>
      <c r="K2" s="7">
        <v>1.94</v>
      </c>
      <c r="L2" s="6"/>
      <c r="M2" s="6" t="s">
        <v>472</v>
      </c>
      <c r="N2" s="6"/>
      <c r="O2" s="7">
        <v>-23.522478400000001</v>
      </c>
      <c r="P2" s="7">
        <v>-46.416257899999998</v>
      </c>
      <c r="Q2" s="7">
        <v>-23.522449600000002</v>
      </c>
      <c r="R2" s="7">
        <v>-46.416253400000002</v>
      </c>
    </row>
    <row r="3" spans="1:18" x14ac:dyDescent="0.3">
      <c r="A3" s="6" t="s">
        <v>13</v>
      </c>
      <c r="B3" s="6" t="s">
        <v>473</v>
      </c>
      <c r="C3" s="6" t="s">
        <v>474</v>
      </c>
      <c r="D3" s="6" t="s">
        <v>98</v>
      </c>
      <c r="E3" s="6" t="s">
        <v>96</v>
      </c>
      <c r="F3" s="6" t="s">
        <v>475</v>
      </c>
      <c r="G3" s="6">
        <v>355</v>
      </c>
      <c r="H3" s="6" t="s">
        <v>476</v>
      </c>
      <c r="I3" s="7">
        <v>38.96</v>
      </c>
      <c r="J3" s="7">
        <v>3.56</v>
      </c>
      <c r="K3" s="7">
        <v>3.46</v>
      </c>
      <c r="L3" s="6"/>
      <c r="M3" s="6" t="s">
        <v>472</v>
      </c>
      <c r="N3" s="6"/>
      <c r="O3" s="7">
        <v>-23.519235699999999</v>
      </c>
      <c r="P3" s="7">
        <v>-46.416511399999997</v>
      </c>
      <c r="Q3" s="7">
        <v>-23.518932</v>
      </c>
      <c r="R3" s="7">
        <v>-46.416704099999997</v>
      </c>
    </row>
    <row r="4" spans="1:18" x14ac:dyDescent="0.3">
      <c r="A4" s="6" t="s">
        <v>13</v>
      </c>
      <c r="B4" s="6" t="s">
        <v>477</v>
      </c>
      <c r="C4" s="6" t="s">
        <v>478</v>
      </c>
      <c r="D4" s="6" t="s">
        <v>94</v>
      </c>
      <c r="E4" s="6" t="s">
        <v>92</v>
      </c>
      <c r="F4" s="6" t="s">
        <v>475</v>
      </c>
      <c r="G4" s="6">
        <v>355</v>
      </c>
      <c r="H4" s="6" t="s">
        <v>476</v>
      </c>
      <c r="I4" s="7">
        <v>71.28</v>
      </c>
      <c r="J4" s="7">
        <v>3.22</v>
      </c>
      <c r="K4" s="7">
        <v>2.9</v>
      </c>
      <c r="L4" s="6"/>
      <c r="M4" s="6" t="s">
        <v>472</v>
      </c>
      <c r="N4" s="6"/>
      <c r="O4" s="7">
        <v>-23.518354299999999</v>
      </c>
      <c r="P4" s="7">
        <v>-46.416913999999998</v>
      </c>
      <c r="Q4" s="7">
        <v>-23.517762999999999</v>
      </c>
      <c r="R4" s="7">
        <v>-46.417190099999999</v>
      </c>
    </row>
    <row r="5" spans="1:18" x14ac:dyDescent="0.3">
      <c r="A5" s="6" t="s">
        <v>13</v>
      </c>
      <c r="B5" s="6" t="s">
        <v>479</v>
      </c>
      <c r="C5" s="6" t="s">
        <v>480</v>
      </c>
      <c r="D5" s="6" t="s">
        <v>92</v>
      </c>
      <c r="E5" s="6" t="s">
        <v>90</v>
      </c>
      <c r="F5" s="6" t="s">
        <v>475</v>
      </c>
      <c r="G5" s="6">
        <v>355</v>
      </c>
      <c r="H5" s="6" t="s">
        <v>476</v>
      </c>
      <c r="I5" s="7">
        <v>31.87</v>
      </c>
      <c r="J5" s="7">
        <v>2.9</v>
      </c>
      <c r="K5" s="7">
        <v>2.86</v>
      </c>
      <c r="L5" s="6"/>
      <c r="M5" s="6" t="s">
        <v>472</v>
      </c>
      <c r="N5" s="6"/>
      <c r="O5" s="7">
        <v>-23.517762999999999</v>
      </c>
      <c r="P5" s="7">
        <v>-46.417190099999999</v>
      </c>
      <c r="Q5" s="7">
        <v>-23.5175111</v>
      </c>
      <c r="R5" s="7">
        <v>-46.417341</v>
      </c>
    </row>
    <row r="6" spans="1:18" x14ac:dyDescent="0.3">
      <c r="A6" s="6" t="s">
        <v>13</v>
      </c>
      <c r="B6" s="6" t="s">
        <v>481</v>
      </c>
      <c r="C6" s="6" t="s">
        <v>482</v>
      </c>
      <c r="D6" s="6" t="s">
        <v>90</v>
      </c>
      <c r="E6" s="6" t="s">
        <v>88</v>
      </c>
      <c r="F6" s="6" t="s">
        <v>475</v>
      </c>
      <c r="G6" s="6">
        <v>355</v>
      </c>
      <c r="H6" s="6" t="s">
        <v>476</v>
      </c>
      <c r="I6" s="7">
        <v>33.74</v>
      </c>
      <c r="J6" s="7">
        <v>2.93</v>
      </c>
      <c r="K6" s="7">
        <v>2.92</v>
      </c>
      <c r="L6" s="6"/>
      <c r="M6" s="6" t="s">
        <v>472</v>
      </c>
      <c r="N6" s="6"/>
      <c r="O6" s="7">
        <v>-23.5175111</v>
      </c>
      <c r="P6" s="7">
        <v>-46.417341</v>
      </c>
      <c r="Q6" s="7">
        <v>-23.517244900000001</v>
      </c>
      <c r="R6" s="7">
        <v>-46.417501700000003</v>
      </c>
    </row>
    <row r="7" spans="1:18" x14ac:dyDescent="0.3">
      <c r="A7" s="6" t="s">
        <v>13</v>
      </c>
      <c r="B7" s="6" t="s">
        <v>483</v>
      </c>
      <c r="C7" s="6" t="s">
        <v>484</v>
      </c>
      <c r="D7" s="6" t="s">
        <v>88</v>
      </c>
      <c r="E7" s="6" t="s">
        <v>86</v>
      </c>
      <c r="F7" s="6" t="s">
        <v>475</v>
      </c>
      <c r="G7" s="6">
        <v>355</v>
      </c>
      <c r="H7" s="6" t="s">
        <v>476</v>
      </c>
      <c r="I7" s="7">
        <v>34.36</v>
      </c>
      <c r="J7" s="7">
        <v>2.92</v>
      </c>
      <c r="K7" s="7">
        <v>2.8</v>
      </c>
      <c r="L7" s="6"/>
      <c r="M7" s="6" t="s">
        <v>472</v>
      </c>
      <c r="N7" s="6"/>
      <c r="O7" s="7">
        <v>-23.517244900000001</v>
      </c>
      <c r="P7" s="7">
        <v>-46.417501700000003</v>
      </c>
      <c r="Q7" s="7">
        <v>-23.516983</v>
      </c>
      <c r="R7" s="7">
        <v>-46.4176821</v>
      </c>
    </row>
    <row r="8" spans="1:18" x14ac:dyDescent="0.3">
      <c r="A8" s="6" t="s">
        <v>13</v>
      </c>
      <c r="B8" s="6" t="s">
        <v>485</v>
      </c>
      <c r="C8" s="6" t="s">
        <v>486</v>
      </c>
      <c r="D8" s="6" t="s">
        <v>86</v>
      </c>
      <c r="E8" s="6" t="s">
        <v>84</v>
      </c>
      <c r="F8" s="6" t="s">
        <v>475</v>
      </c>
      <c r="G8" s="6">
        <v>355</v>
      </c>
      <c r="H8" s="6" t="s">
        <v>476</v>
      </c>
      <c r="I8" s="7">
        <v>74.31</v>
      </c>
      <c r="J8" s="6">
        <v>3</v>
      </c>
      <c r="K8" s="7">
        <v>3.11</v>
      </c>
      <c r="L8" s="6"/>
      <c r="M8" s="6" t="s">
        <v>472</v>
      </c>
      <c r="N8" s="6"/>
      <c r="O8" s="7">
        <v>-23.516983</v>
      </c>
      <c r="P8" s="7">
        <v>-46.4176821</v>
      </c>
      <c r="Q8" s="7">
        <v>-23.516371199999998</v>
      </c>
      <c r="R8" s="7">
        <v>-46.417981300000001</v>
      </c>
    </row>
    <row r="9" spans="1:18" x14ac:dyDescent="0.3">
      <c r="A9" s="6" t="s">
        <v>13</v>
      </c>
      <c r="B9" s="6" t="s">
        <v>487</v>
      </c>
      <c r="C9" s="6" t="s">
        <v>488</v>
      </c>
      <c r="D9" s="6" t="s">
        <v>80</v>
      </c>
      <c r="E9" s="6" t="s">
        <v>78</v>
      </c>
      <c r="F9" s="6" t="s">
        <v>475</v>
      </c>
      <c r="G9" s="6">
        <v>355</v>
      </c>
      <c r="H9" s="6" t="s">
        <v>476</v>
      </c>
      <c r="I9" s="7">
        <v>53.46</v>
      </c>
      <c r="J9" s="7">
        <v>2.67</v>
      </c>
      <c r="K9" s="7">
        <v>2.62</v>
      </c>
      <c r="L9" s="6"/>
      <c r="M9" s="6" t="s">
        <v>472</v>
      </c>
      <c r="N9" s="6"/>
      <c r="O9" s="7">
        <v>-23.514676000000001</v>
      </c>
      <c r="P9" s="7">
        <v>-46.418435899999999</v>
      </c>
      <c r="Q9" s="7">
        <v>-23.514194</v>
      </c>
      <c r="R9" s="7">
        <v>-46.418407199999997</v>
      </c>
    </row>
    <row r="10" spans="1:18" x14ac:dyDescent="0.3">
      <c r="A10" s="6" t="s">
        <v>13</v>
      </c>
      <c r="B10" s="6" t="s">
        <v>489</v>
      </c>
      <c r="C10" s="6" t="s">
        <v>490</v>
      </c>
      <c r="D10" s="6" t="s">
        <v>78</v>
      </c>
      <c r="E10" s="6" t="s">
        <v>110</v>
      </c>
      <c r="F10" s="6" t="s">
        <v>475</v>
      </c>
      <c r="G10" s="6">
        <v>225</v>
      </c>
      <c r="H10" s="6" t="s">
        <v>476</v>
      </c>
      <c r="I10" s="7">
        <v>20.52</v>
      </c>
      <c r="J10" s="7">
        <v>3.1</v>
      </c>
      <c r="K10" s="7">
        <v>3.32</v>
      </c>
      <c r="L10" s="6"/>
      <c r="M10" s="6" t="s">
        <v>472</v>
      </c>
      <c r="N10" s="6"/>
      <c r="O10" s="7">
        <v>-23.514194</v>
      </c>
      <c r="P10" s="7">
        <v>-46.418407199999997</v>
      </c>
      <c r="Q10" s="7">
        <v>-23.514206000000001</v>
      </c>
      <c r="R10" s="7">
        <v>-46.418206699999999</v>
      </c>
    </row>
    <row r="11" spans="1:18" x14ac:dyDescent="0.3">
      <c r="A11" s="6" t="s">
        <v>13</v>
      </c>
      <c r="B11" s="6" t="s">
        <v>491</v>
      </c>
      <c r="C11" s="6" t="s">
        <v>492</v>
      </c>
      <c r="D11" s="6" t="s">
        <v>84</v>
      </c>
      <c r="E11" s="6" t="s">
        <v>114</v>
      </c>
      <c r="F11" s="6" t="s">
        <v>475</v>
      </c>
      <c r="G11" s="6">
        <v>355</v>
      </c>
      <c r="H11" s="6" t="s">
        <v>476</v>
      </c>
      <c r="I11" s="7">
        <v>20.95</v>
      </c>
      <c r="J11" s="7">
        <v>3.11</v>
      </c>
      <c r="K11" s="7">
        <v>3.01</v>
      </c>
      <c r="L11" s="6"/>
      <c r="M11" s="6" t="s">
        <v>472</v>
      </c>
      <c r="N11" s="6"/>
      <c r="O11" s="7">
        <v>-23.516371199999998</v>
      </c>
      <c r="P11" s="7">
        <v>-46.417981300000001</v>
      </c>
      <c r="Q11" s="7">
        <v>-23.516191800000001</v>
      </c>
      <c r="R11" s="7">
        <v>-46.4180463</v>
      </c>
    </row>
    <row r="12" spans="1:18" x14ac:dyDescent="0.3">
      <c r="A12" s="6" t="s">
        <v>13</v>
      </c>
      <c r="B12" s="6" t="s">
        <v>493</v>
      </c>
      <c r="C12" s="6" t="s">
        <v>494</v>
      </c>
      <c r="D12" s="6" t="s">
        <v>114</v>
      </c>
      <c r="E12" s="6" t="s">
        <v>82</v>
      </c>
      <c r="F12" s="6" t="s">
        <v>475</v>
      </c>
      <c r="G12" s="6">
        <v>355</v>
      </c>
      <c r="H12" s="6" t="s">
        <v>476</v>
      </c>
      <c r="I12" s="7">
        <v>77.34</v>
      </c>
      <c r="J12" s="7">
        <v>3.01</v>
      </c>
      <c r="K12" s="7">
        <v>2.83</v>
      </c>
      <c r="L12" s="6"/>
      <c r="M12" s="6" t="s">
        <v>472</v>
      </c>
      <c r="N12" s="6"/>
      <c r="O12" s="7">
        <v>-23.516191800000001</v>
      </c>
      <c r="P12" s="7">
        <v>-46.4180463</v>
      </c>
      <c r="Q12" s="7">
        <v>-23.515522799999999</v>
      </c>
      <c r="R12" s="7">
        <v>-46.418264100000002</v>
      </c>
    </row>
    <row r="13" spans="1:18" x14ac:dyDescent="0.3">
      <c r="A13" s="6" t="s">
        <v>13</v>
      </c>
      <c r="B13" s="6" t="s">
        <v>495</v>
      </c>
      <c r="C13" s="6" t="s">
        <v>496</v>
      </c>
      <c r="D13" s="6" t="s">
        <v>82</v>
      </c>
      <c r="E13" s="6" t="s">
        <v>112</v>
      </c>
      <c r="F13" s="6" t="s">
        <v>475</v>
      </c>
      <c r="G13" s="6">
        <v>355</v>
      </c>
      <c r="H13" s="6" t="s">
        <v>476</v>
      </c>
      <c r="I13" s="7">
        <v>54.1</v>
      </c>
      <c r="J13" s="7">
        <v>2.83</v>
      </c>
      <c r="K13" s="7">
        <v>2.84</v>
      </c>
      <c r="L13" s="6"/>
      <c r="M13" s="6" t="s">
        <v>472</v>
      </c>
      <c r="N13" s="6"/>
      <c r="O13" s="7">
        <v>-23.515522799999999</v>
      </c>
      <c r="P13" s="7">
        <v>-46.418264100000002</v>
      </c>
      <c r="Q13" s="7">
        <v>-23.515043200000001</v>
      </c>
      <c r="R13" s="7">
        <v>-46.4183649</v>
      </c>
    </row>
    <row r="14" spans="1:18" x14ac:dyDescent="0.3">
      <c r="A14" s="6" t="s">
        <v>13</v>
      </c>
      <c r="B14" s="6" t="s">
        <v>497</v>
      </c>
      <c r="C14" s="6" t="s">
        <v>498</v>
      </c>
      <c r="D14" s="6" t="s">
        <v>112</v>
      </c>
      <c r="E14" s="6" t="s">
        <v>80</v>
      </c>
      <c r="F14" s="6" t="s">
        <v>475</v>
      </c>
      <c r="G14" s="6">
        <v>355</v>
      </c>
      <c r="H14" s="6" t="s">
        <v>476</v>
      </c>
      <c r="I14" s="7">
        <v>41.3</v>
      </c>
      <c r="J14" s="7">
        <v>2.84</v>
      </c>
      <c r="K14" s="7">
        <v>2.67</v>
      </c>
      <c r="L14" s="6"/>
      <c r="M14" s="6" t="s">
        <v>472</v>
      </c>
      <c r="N14" s="6"/>
      <c r="O14" s="7">
        <v>-23.515043200000001</v>
      </c>
      <c r="P14" s="7">
        <v>-46.4183649</v>
      </c>
      <c r="Q14" s="7">
        <v>-23.514676000000001</v>
      </c>
      <c r="R14" s="7">
        <v>-46.418435899999999</v>
      </c>
    </row>
    <row r="15" spans="1:18" x14ac:dyDescent="0.3">
      <c r="A15" s="6" t="s">
        <v>13</v>
      </c>
      <c r="B15" s="6" t="s">
        <v>499</v>
      </c>
      <c r="C15" s="6" t="s">
        <v>500</v>
      </c>
      <c r="D15" s="6" t="s">
        <v>96</v>
      </c>
      <c r="E15" s="6" t="s">
        <v>116</v>
      </c>
      <c r="F15" s="6" t="s">
        <v>475</v>
      </c>
      <c r="G15" s="6">
        <v>355</v>
      </c>
      <c r="H15" s="6" t="s">
        <v>476</v>
      </c>
      <c r="I15" s="7">
        <v>34.99</v>
      </c>
      <c r="J15" s="7">
        <v>3.72</v>
      </c>
      <c r="K15" s="7">
        <v>3.29</v>
      </c>
      <c r="L15" s="6"/>
      <c r="M15" s="6" t="s">
        <v>472</v>
      </c>
      <c r="N15" s="6"/>
      <c r="O15" s="7">
        <v>-23.518932</v>
      </c>
      <c r="P15" s="7">
        <v>-46.416704099999997</v>
      </c>
      <c r="Q15" s="7">
        <v>-23.518630600000002</v>
      </c>
      <c r="R15" s="7">
        <v>-46.416806899999997</v>
      </c>
    </row>
    <row r="16" spans="1:18" x14ac:dyDescent="0.3">
      <c r="A16" s="6" t="s">
        <v>13</v>
      </c>
      <c r="B16" s="6" t="s">
        <v>501</v>
      </c>
      <c r="C16" s="6" t="s">
        <v>502</v>
      </c>
      <c r="D16" s="6" t="s">
        <v>116</v>
      </c>
      <c r="E16" s="6" t="s">
        <v>94</v>
      </c>
      <c r="F16" s="6" t="s">
        <v>475</v>
      </c>
      <c r="G16" s="6">
        <v>355</v>
      </c>
      <c r="H16" s="6" t="s">
        <v>476</v>
      </c>
      <c r="I16" s="7">
        <v>32.5</v>
      </c>
      <c r="J16" s="7">
        <v>3.29</v>
      </c>
      <c r="K16" s="7">
        <v>3.22</v>
      </c>
      <c r="L16" s="6"/>
      <c r="M16" s="6" t="s">
        <v>472</v>
      </c>
      <c r="N16" s="6"/>
      <c r="O16" s="7">
        <v>-23.518630600000002</v>
      </c>
      <c r="P16" s="7">
        <v>-46.416806899999997</v>
      </c>
      <c r="Q16" s="7">
        <v>-23.518354299999999</v>
      </c>
      <c r="R16" s="7">
        <v>-46.416913999999998</v>
      </c>
    </row>
    <row r="17" spans="1:18" x14ac:dyDescent="0.3">
      <c r="A17" s="6" t="s">
        <v>13</v>
      </c>
      <c r="B17" s="6" t="s">
        <v>503</v>
      </c>
      <c r="C17" s="6" t="s">
        <v>504</v>
      </c>
      <c r="D17" s="6" t="s">
        <v>118</v>
      </c>
      <c r="E17" s="6" t="s">
        <v>98</v>
      </c>
      <c r="F17" s="6" t="s">
        <v>475</v>
      </c>
      <c r="G17" s="6">
        <v>355</v>
      </c>
      <c r="H17" s="6" t="s">
        <v>476</v>
      </c>
      <c r="I17" s="7">
        <v>39.840000000000003</v>
      </c>
      <c r="J17" s="7">
        <v>3.78</v>
      </c>
      <c r="K17" s="7">
        <v>3.46</v>
      </c>
      <c r="L17" s="6"/>
      <c r="M17" s="6" t="s">
        <v>472</v>
      </c>
      <c r="N17" s="6"/>
      <c r="O17" s="7">
        <v>-23.5195592</v>
      </c>
      <c r="P17" s="7">
        <v>-46.416340599999998</v>
      </c>
      <c r="Q17" s="7">
        <v>-23.519235699999999</v>
      </c>
      <c r="R17" s="7">
        <v>-46.416511399999997</v>
      </c>
    </row>
    <row r="18" spans="1:18" x14ac:dyDescent="0.3">
      <c r="A18" s="6" t="s">
        <v>13</v>
      </c>
      <c r="B18" s="6" t="s">
        <v>505</v>
      </c>
      <c r="C18" s="6" t="s">
        <v>506</v>
      </c>
      <c r="D18" s="6" t="s">
        <v>102</v>
      </c>
      <c r="E18" s="6" t="s">
        <v>120</v>
      </c>
      <c r="F18" s="6" t="s">
        <v>475</v>
      </c>
      <c r="G18" s="6">
        <v>355</v>
      </c>
      <c r="H18" s="6" t="s">
        <v>476</v>
      </c>
      <c r="I18" s="7">
        <v>73.89</v>
      </c>
      <c r="J18" s="7">
        <v>4.07</v>
      </c>
      <c r="K18" s="7">
        <v>3.97</v>
      </c>
      <c r="L18" s="6"/>
      <c r="M18" s="6" t="s">
        <v>472</v>
      </c>
      <c r="N18" s="6"/>
      <c r="O18" s="7">
        <v>-23.521410199999998</v>
      </c>
      <c r="P18" s="7">
        <v>-46.416177500000003</v>
      </c>
      <c r="Q18" s="7">
        <v>-23.520743299999999</v>
      </c>
      <c r="R18" s="7">
        <v>-46.416153399999999</v>
      </c>
    </row>
    <row r="19" spans="1:18" x14ac:dyDescent="0.3">
      <c r="A19" s="6" t="s">
        <v>13</v>
      </c>
      <c r="B19" s="6" t="s">
        <v>507</v>
      </c>
      <c r="C19" s="6" t="s">
        <v>508</v>
      </c>
      <c r="D19" s="6" t="s">
        <v>104</v>
      </c>
      <c r="E19" s="6" t="s">
        <v>122</v>
      </c>
      <c r="F19" s="6" t="s">
        <v>475</v>
      </c>
      <c r="G19" s="6">
        <v>355</v>
      </c>
      <c r="H19" s="6" t="s">
        <v>476</v>
      </c>
      <c r="I19" s="7">
        <v>62.11</v>
      </c>
      <c r="J19" s="7">
        <v>2.15</v>
      </c>
      <c r="K19" s="7">
        <v>3.65</v>
      </c>
      <c r="L19" s="6"/>
      <c r="M19" s="6" t="s">
        <v>472</v>
      </c>
      <c r="N19" s="6"/>
      <c r="O19" s="7">
        <v>-23.522449600000002</v>
      </c>
      <c r="P19" s="7">
        <v>-46.416253400000002</v>
      </c>
      <c r="Q19" s="7">
        <v>-23.521890299999999</v>
      </c>
      <c r="R19" s="7">
        <v>-46.416207999999997</v>
      </c>
    </row>
    <row r="20" spans="1:18" x14ac:dyDescent="0.3">
      <c r="A20" s="6" t="s">
        <v>13</v>
      </c>
      <c r="B20" s="6" t="s">
        <v>509</v>
      </c>
      <c r="C20" s="6" t="s">
        <v>510</v>
      </c>
      <c r="D20" s="6" t="s">
        <v>122</v>
      </c>
      <c r="E20" s="6" t="s">
        <v>102</v>
      </c>
      <c r="F20" s="6" t="s">
        <v>475</v>
      </c>
      <c r="G20" s="6">
        <v>355</v>
      </c>
      <c r="H20" s="6" t="s">
        <v>476</v>
      </c>
      <c r="I20" s="7">
        <v>53.26</v>
      </c>
      <c r="J20" s="7">
        <v>3.65</v>
      </c>
      <c r="K20" s="7">
        <v>4.0199999999999996</v>
      </c>
      <c r="L20" s="6"/>
      <c r="M20" s="6" t="s">
        <v>472</v>
      </c>
      <c r="N20" s="6"/>
      <c r="O20" s="7">
        <v>-23.521890299999999</v>
      </c>
      <c r="P20" s="7">
        <v>-46.416207999999997</v>
      </c>
      <c r="Q20" s="7">
        <v>-23.521410199999998</v>
      </c>
      <c r="R20" s="7">
        <v>-46.416177500000003</v>
      </c>
    </row>
    <row r="21" spans="1:18" x14ac:dyDescent="0.3">
      <c r="A21" s="6" t="s">
        <v>13</v>
      </c>
      <c r="B21" s="6" t="s">
        <v>511</v>
      </c>
      <c r="C21" s="6" t="s">
        <v>512</v>
      </c>
      <c r="D21" s="6" t="s">
        <v>124</v>
      </c>
      <c r="E21" s="6" t="s">
        <v>78</v>
      </c>
      <c r="F21" s="6" t="s">
        <v>475</v>
      </c>
      <c r="G21" s="6">
        <v>355</v>
      </c>
      <c r="H21" s="6" t="s">
        <v>476</v>
      </c>
      <c r="I21" s="7">
        <v>70.11</v>
      </c>
      <c r="J21" s="7">
        <v>1.6</v>
      </c>
      <c r="K21" s="7">
        <v>3.12</v>
      </c>
      <c r="L21" s="6"/>
      <c r="M21" s="6" t="s">
        <v>472</v>
      </c>
      <c r="N21" s="6"/>
      <c r="O21" s="7">
        <v>-23.5135614</v>
      </c>
      <c r="P21" s="7">
        <v>-46.418435299999999</v>
      </c>
      <c r="Q21" s="7">
        <v>-23.514194</v>
      </c>
      <c r="R21" s="7">
        <v>-46.418407199999997</v>
      </c>
    </row>
    <row r="22" spans="1:18" x14ac:dyDescent="0.3">
      <c r="A22" s="6" t="s">
        <v>13</v>
      </c>
      <c r="B22" s="6" t="s">
        <v>513</v>
      </c>
      <c r="C22" s="6" t="s">
        <v>514</v>
      </c>
      <c r="D22" s="6" t="s">
        <v>135</v>
      </c>
      <c r="E22" s="6" t="s">
        <v>124</v>
      </c>
      <c r="F22" s="6" t="s">
        <v>475</v>
      </c>
      <c r="G22" s="6">
        <v>225</v>
      </c>
      <c r="H22" s="6" t="s">
        <v>476</v>
      </c>
      <c r="I22" s="7">
        <v>1.1499999999999999</v>
      </c>
      <c r="J22" s="7">
        <v>1.32</v>
      </c>
      <c r="K22" s="7">
        <v>1.35</v>
      </c>
      <c r="L22" s="6"/>
      <c r="M22" s="6" t="s">
        <v>472</v>
      </c>
      <c r="N22" s="6"/>
      <c r="O22" s="7">
        <v>-23.513557200000001</v>
      </c>
      <c r="P22" s="7">
        <v>-46.418424999999999</v>
      </c>
      <c r="Q22" s="7">
        <v>-23.5135614</v>
      </c>
      <c r="R22" s="7">
        <v>-46.418435299999999</v>
      </c>
    </row>
    <row r="23" spans="1:18" x14ac:dyDescent="0.3">
      <c r="A23" s="6" t="s">
        <v>13</v>
      </c>
      <c r="B23" s="6" t="s">
        <v>515</v>
      </c>
      <c r="C23" s="6" t="s">
        <v>516</v>
      </c>
      <c r="D23" s="6" t="s">
        <v>108</v>
      </c>
      <c r="E23" s="6" t="s">
        <v>104</v>
      </c>
      <c r="F23" s="6" t="s">
        <v>475</v>
      </c>
      <c r="G23" s="6">
        <v>225</v>
      </c>
      <c r="H23" s="6" t="s">
        <v>476</v>
      </c>
      <c r="I23" s="7">
        <v>70.930000000000007</v>
      </c>
      <c r="J23" s="7">
        <v>2.04</v>
      </c>
      <c r="K23" s="7">
        <v>1.94</v>
      </c>
      <c r="L23" s="6"/>
      <c r="M23" s="6" t="s">
        <v>472</v>
      </c>
      <c r="N23" s="6"/>
      <c r="O23" s="7">
        <v>-23.521809600000001</v>
      </c>
      <c r="P23" s="7">
        <v>-46.416224999999997</v>
      </c>
      <c r="Q23" s="7">
        <v>-23.522449600000002</v>
      </c>
      <c r="R23" s="7">
        <v>-46.416253400000002</v>
      </c>
    </row>
    <row r="24" spans="1:18" x14ac:dyDescent="0.3">
      <c r="A24" s="6" t="s">
        <v>13</v>
      </c>
      <c r="B24" s="6" t="s">
        <v>517</v>
      </c>
      <c r="C24" s="6" t="s">
        <v>518</v>
      </c>
      <c r="D24" s="6" t="s">
        <v>137</v>
      </c>
      <c r="E24" s="6" t="s">
        <v>126</v>
      </c>
      <c r="F24" s="6" t="s">
        <v>470</v>
      </c>
      <c r="G24" s="6">
        <v>200</v>
      </c>
      <c r="H24" s="6" t="s">
        <v>471</v>
      </c>
      <c r="I24" s="7">
        <v>2.5499999999999998</v>
      </c>
      <c r="J24" s="7">
        <v>0.93</v>
      </c>
      <c r="K24" s="7">
        <v>0.98</v>
      </c>
      <c r="L24" s="6"/>
      <c r="M24" s="6" t="s">
        <v>472</v>
      </c>
      <c r="N24" s="6"/>
      <c r="O24" s="7">
        <v>-23.518806999999999</v>
      </c>
      <c r="P24" s="7">
        <v>-46.416353899999997</v>
      </c>
      <c r="Q24" s="7">
        <v>-23.5188272</v>
      </c>
      <c r="R24" s="7">
        <v>-46.416341899999999</v>
      </c>
    </row>
    <row r="25" spans="1:18" x14ac:dyDescent="0.3">
      <c r="A25" s="6" t="s">
        <v>13</v>
      </c>
      <c r="B25" s="6" t="s">
        <v>519</v>
      </c>
      <c r="C25" s="6" t="s">
        <v>520</v>
      </c>
      <c r="D25" s="6" t="s">
        <v>126</v>
      </c>
      <c r="E25" s="6" t="s">
        <v>96</v>
      </c>
      <c r="F25" s="6" t="s">
        <v>475</v>
      </c>
      <c r="G25" s="6">
        <v>225</v>
      </c>
      <c r="H25" s="6" t="s">
        <v>476</v>
      </c>
      <c r="I25" s="7">
        <v>38.74</v>
      </c>
      <c r="J25" s="7">
        <v>1.88</v>
      </c>
      <c r="K25" s="7">
        <v>3.46</v>
      </c>
      <c r="L25" s="6"/>
      <c r="M25" s="6" t="s">
        <v>472</v>
      </c>
      <c r="N25" s="6"/>
      <c r="O25" s="7">
        <v>-23.5188272</v>
      </c>
      <c r="P25" s="7">
        <v>-46.416341899999999</v>
      </c>
      <c r="Q25" s="7">
        <v>-23.518932</v>
      </c>
      <c r="R25" s="7">
        <v>-46.416704099999997</v>
      </c>
    </row>
    <row r="26" spans="1:18" x14ac:dyDescent="0.3">
      <c r="A26" s="6" t="s">
        <v>13</v>
      </c>
      <c r="B26" s="6" t="s">
        <v>521</v>
      </c>
      <c r="C26" s="6" t="s">
        <v>522</v>
      </c>
      <c r="D26" s="6" t="s">
        <v>139</v>
      </c>
      <c r="E26" s="6" t="s">
        <v>141</v>
      </c>
      <c r="F26" s="6" t="s">
        <v>470</v>
      </c>
      <c r="G26" s="6">
        <v>200</v>
      </c>
      <c r="H26" s="6" t="s">
        <v>471</v>
      </c>
      <c r="I26" s="7">
        <v>3.3</v>
      </c>
      <c r="J26" s="7">
        <v>0.61</v>
      </c>
      <c r="K26" s="7">
        <v>1.37</v>
      </c>
      <c r="L26" s="6"/>
      <c r="M26" s="6" t="s">
        <v>472</v>
      </c>
      <c r="N26" s="6"/>
      <c r="O26" s="7">
        <v>-23.520066</v>
      </c>
      <c r="P26" s="7">
        <v>-46.415708700000003</v>
      </c>
      <c r="Q26" s="7">
        <v>-23.5200958</v>
      </c>
      <c r="R26" s="7">
        <v>-46.415709800000002</v>
      </c>
    </row>
    <row r="27" spans="1:18" x14ac:dyDescent="0.3">
      <c r="A27" s="6" t="s">
        <v>13</v>
      </c>
      <c r="B27" s="6" t="s">
        <v>523</v>
      </c>
      <c r="C27" s="6" t="s">
        <v>524</v>
      </c>
      <c r="D27" s="6" t="s">
        <v>141</v>
      </c>
      <c r="E27" s="6" t="s">
        <v>128</v>
      </c>
      <c r="F27" s="6" t="s">
        <v>470</v>
      </c>
      <c r="G27" s="6">
        <v>200</v>
      </c>
      <c r="H27" s="6" t="s">
        <v>471</v>
      </c>
      <c r="I27" s="7">
        <v>0.99</v>
      </c>
      <c r="J27" s="7">
        <v>1.37</v>
      </c>
      <c r="K27" s="7">
        <v>1.43</v>
      </c>
      <c r="L27" s="6"/>
      <c r="M27" s="6" t="s">
        <v>472</v>
      </c>
      <c r="N27" s="6"/>
      <c r="O27" s="7">
        <v>-23.5200958</v>
      </c>
      <c r="P27" s="7">
        <v>-46.415709800000002</v>
      </c>
      <c r="Q27" s="7">
        <v>-23.5201046</v>
      </c>
      <c r="R27" s="7">
        <v>-46.415711799999997</v>
      </c>
    </row>
    <row r="28" spans="1:18" x14ac:dyDescent="0.3">
      <c r="A28" s="6" t="s">
        <v>13</v>
      </c>
      <c r="B28" s="6" t="s">
        <v>525</v>
      </c>
      <c r="C28" s="6" t="s">
        <v>526</v>
      </c>
      <c r="D28" s="6" t="s">
        <v>130</v>
      </c>
      <c r="E28" s="6" t="s">
        <v>116</v>
      </c>
      <c r="F28" s="6" t="s">
        <v>475</v>
      </c>
      <c r="G28" s="6">
        <v>255</v>
      </c>
      <c r="H28" s="6" t="s">
        <v>476</v>
      </c>
      <c r="I28" s="7">
        <v>37.33</v>
      </c>
      <c r="J28" s="7">
        <v>1.82</v>
      </c>
      <c r="K28" s="7">
        <v>3.29</v>
      </c>
      <c r="L28" s="6"/>
      <c r="M28" s="6" t="s">
        <v>472</v>
      </c>
      <c r="N28" s="6"/>
      <c r="O28" s="7">
        <v>-23.518504</v>
      </c>
      <c r="P28" s="7">
        <v>-46.416468100000003</v>
      </c>
      <c r="Q28" s="7">
        <v>-23.518630600000002</v>
      </c>
      <c r="R28" s="7">
        <v>-46.416806899999997</v>
      </c>
    </row>
    <row r="29" spans="1:18" x14ac:dyDescent="0.3">
      <c r="A29" s="6" t="s">
        <v>13</v>
      </c>
      <c r="B29" s="6" t="s">
        <v>527</v>
      </c>
      <c r="C29" s="6" t="s">
        <v>528</v>
      </c>
      <c r="D29" s="6" t="s">
        <v>100</v>
      </c>
      <c r="E29" s="6" t="s">
        <v>118</v>
      </c>
      <c r="F29" s="6" t="s">
        <v>475</v>
      </c>
      <c r="G29" s="6">
        <v>225</v>
      </c>
      <c r="H29" s="6" t="s">
        <v>476</v>
      </c>
      <c r="I29" s="7">
        <v>72.849999999999994</v>
      </c>
      <c r="J29" s="7">
        <v>4.66</v>
      </c>
      <c r="K29" s="7">
        <v>3.75</v>
      </c>
      <c r="L29" s="6"/>
      <c r="M29" s="6" t="s">
        <v>472</v>
      </c>
      <c r="N29" s="6"/>
      <c r="O29" s="7">
        <v>-23.520195399999999</v>
      </c>
      <c r="P29" s="7">
        <v>-46.416158799999998</v>
      </c>
      <c r="Q29" s="7">
        <v>-23.5195592</v>
      </c>
      <c r="R29" s="7">
        <v>-46.416340599999998</v>
      </c>
    </row>
    <row r="30" spans="1:18" x14ac:dyDescent="0.3">
      <c r="A30" s="6" t="s">
        <v>13</v>
      </c>
      <c r="B30" s="6" t="s">
        <v>529</v>
      </c>
      <c r="C30" s="6" t="s">
        <v>530</v>
      </c>
      <c r="D30" s="6" t="s">
        <v>128</v>
      </c>
      <c r="E30" s="6" t="s">
        <v>100</v>
      </c>
      <c r="F30" s="6" t="s">
        <v>475</v>
      </c>
      <c r="G30" s="6">
        <v>225</v>
      </c>
      <c r="H30" s="6" t="s">
        <v>476</v>
      </c>
      <c r="I30" s="7">
        <v>46.74</v>
      </c>
      <c r="J30" s="7">
        <v>1.89</v>
      </c>
      <c r="K30" s="7">
        <v>4.66</v>
      </c>
      <c r="L30" s="6"/>
      <c r="M30" s="6" t="s">
        <v>472</v>
      </c>
      <c r="N30" s="6"/>
      <c r="O30" s="7">
        <v>-23.5201046</v>
      </c>
      <c r="P30" s="7">
        <v>-46.415711799999997</v>
      </c>
      <c r="Q30" s="7">
        <v>-23.520195399999999</v>
      </c>
      <c r="R30" s="7">
        <v>-46.416158799999998</v>
      </c>
    </row>
    <row r="31" spans="1:18" x14ac:dyDescent="0.3">
      <c r="A31" s="6" t="s">
        <v>13</v>
      </c>
      <c r="B31" s="6" t="s">
        <v>531</v>
      </c>
      <c r="C31" s="6" t="s">
        <v>532</v>
      </c>
      <c r="D31" s="6" t="s">
        <v>120</v>
      </c>
      <c r="E31" s="6" t="s">
        <v>100</v>
      </c>
      <c r="F31" s="6" t="s">
        <v>475</v>
      </c>
      <c r="G31" s="6">
        <v>355</v>
      </c>
      <c r="H31" s="6" t="s">
        <v>476</v>
      </c>
      <c r="I31" s="7">
        <v>60.67</v>
      </c>
      <c r="J31" s="7">
        <v>4.13</v>
      </c>
      <c r="K31" s="7">
        <v>4.66</v>
      </c>
      <c r="L31" s="6"/>
      <c r="M31" s="6" t="s">
        <v>472</v>
      </c>
      <c r="N31" s="6"/>
      <c r="O31" s="7">
        <v>-23.520743299999999</v>
      </c>
      <c r="P31" s="7">
        <v>-46.416153399999999</v>
      </c>
      <c r="Q31" s="7">
        <v>-23.520195399999999</v>
      </c>
      <c r="R31" s="7">
        <v>-46.416158799999998</v>
      </c>
    </row>
    <row r="32" spans="1:18" x14ac:dyDescent="0.3">
      <c r="A32" s="6" t="s">
        <v>13</v>
      </c>
      <c r="B32" s="6" t="s">
        <v>533</v>
      </c>
      <c r="C32" s="6" t="s">
        <v>534</v>
      </c>
      <c r="D32" s="6" t="s">
        <v>132</v>
      </c>
      <c r="E32" s="6" t="s">
        <v>98</v>
      </c>
      <c r="F32" s="6" t="s">
        <v>475</v>
      </c>
      <c r="G32" s="6">
        <v>225</v>
      </c>
      <c r="H32" s="6" t="s">
        <v>476</v>
      </c>
      <c r="I32" s="7">
        <v>47.68</v>
      </c>
      <c r="J32" s="7">
        <v>1.49</v>
      </c>
      <c r="K32" s="7">
        <v>3.46</v>
      </c>
      <c r="L32" s="6"/>
      <c r="M32" s="6" t="s">
        <v>472</v>
      </c>
      <c r="N32" s="6"/>
      <c r="O32" s="7">
        <v>-23.519057499999999</v>
      </c>
      <c r="P32" s="7">
        <v>-46.416086399999998</v>
      </c>
      <c r="Q32" s="7">
        <v>-23.519235699999999</v>
      </c>
      <c r="R32" s="7">
        <v>-46.416511399999997</v>
      </c>
    </row>
    <row r="33" spans="1:18" x14ac:dyDescent="0.3">
      <c r="A33" s="6" t="s">
        <v>18</v>
      </c>
      <c r="B33" s="6" t="s">
        <v>535</v>
      </c>
      <c r="C33" s="6" t="s">
        <v>536</v>
      </c>
      <c r="D33" s="6" t="s">
        <v>153</v>
      </c>
      <c r="E33" s="6" t="s">
        <v>151</v>
      </c>
      <c r="F33" s="6" t="s">
        <v>470</v>
      </c>
      <c r="G33" s="6">
        <v>200</v>
      </c>
      <c r="H33" s="6" t="s">
        <v>471</v>
      </c>
      <c r="I33" s="7">
        <v>34.65</v>
      </c>
      <c r="J33" s="7">
        <v>0.77</v>
      </c>
      <c r="K33" s="7">
        <v>1.31</v>
      </c>
      <c r="L33" s="6"/>
      <c r="M33" s="6" t="s">
        <v>472</v>
      </c>
      <c r="N33" s="6"/>
      <c r="O33" s="7">
        <v>-23.523715964610769</v>
      </c>
      <c r="P33" s="7">
        <v>-46.385604121210292</v>
      </c>
      <c r="Q33" s="7">
        <v>-23.523755437376259</v>
      </c>
      <c r="R33" s="7">
        <v>-46.38594079802948</v>
      </c>
    </row>
    <row r="34" spans="1:18" x14ac:dyDescent="0.3">
      <c r="A34" s="6" t="s">
        <v>18</v>
      </c>
      <c r="B34" s="6" t="s">
        <v>537</v>
      </c>
      <c r="C34" s="6" t="s">
        <v>538</v>
      </c>
      <c r="D34" s="6" t="s">
        <v>151</v>
      </c>
      <c r="E34" s="6" t="s">
        <v>143</v>
      </c>
      <c r="F34" s="6" t="s">
        <v>470</v>
      </c>
      <c r="G34" s="6">
        <v>200</v>
      </c>
      <c r="H34" s="6" t="s">
        <v>471</v>
      </c>
      <c r="I34" s="7">
        <v>63.91</v>
      </c>
      <c r="J34" s="7">
        <v>1.31</v>
      </c>
      <c r="K34" s="7">
        <v>3.05</v>
      </c>
      <c r="L34" s="6"/>
      <c r="M34" s="6" t="s">
        <v>472</v>
      </c>
      <c r="N34" s="6"/>
      <c r="O34" s="7">
        <v>-23.523755437376259</v>
      </c>
      <c r="P34" s="7">
        <v>-46.38594079802948</v>
      </c>
      <c r="Q34" s="7">
        <v>-23.523576204649221</v>
      </c>
      <c r="R34" s="7">
        <v>-46.386535748682967</v>
      </c>
    </row>
    <row r="35" spans="1:18" x14ac:dyDescent="0.3">
      <c r="A35" s="6" t="s">
        <v>18</v>
      </c>
      <c r="B35" s="6" t="s">
        <v>539</v>
      </c>
      <c r="C35" s="6" t="s">
        <v>540</v>
      </c>
      <c r="D35" s="6" t="s">
        <v>145</v>
      </c>
      <c r="E35" s="6" t="s">
        <v>147</v>
      </c>
      <c r="F35" s="6" t="s">
        <v>470</v>
      </c>
      <c r="G35" s="6">
        <v>200</v>
      </c>
      <c r="H35" s="6" t="s">
        <v>471</v>
      </c>
      <c r="I35" s="7">
        <v>32.29</v>
      </c>
      <c r="J35" s="7">
        <v>1.1499999999999999</v>
      </c>
      <c r="K35" s="7">
        <v>1.23</v>
      </c>
      <c r="L35" s="6"/>
      <c r="M35" s="6" t="s">
        <v>472</v>
      </c>
      <c r="N35" s="6"/>
      <c r="O35" s="7">
        <v>-23.52370847526354</v>
      </c>
      <c r="P35" s="7">
        <v>-46.385549936324821</v>
      </c>
      <c r="Q35" s="7">
        <v>-23.52349781228359</v>
      </c>
      <c r="R35" s="7">
        <v>-46.385331250405009</v>
      </c>
    </row>
    <row r="36" spans="1:18" x14ac:dyDescent="0.3">
      <c r="A36" s="6" t="s">
        <v>18</v>
      </c>
      <c r="B36" s="6" t="s">
        <v>541</v>
      </c>
      <c r="C36" s="6" t="s">
        <v>542</v>
      </c>
      <c r="D36" s="6" t="s">
        <v>147</v>
      </c>
      <c r="E36" s="6" t="s">
        <v>149</v>
      </c>
      <c r="F36" s="6" t="s">
        <v>470</v>
      </c>
      <c r="G36" s="6">
        <v>200</v>
      </c>
      <c r="H36" s="6" t="s">
        <v>471</v>
      </c>
      <c r="I36" s="7">
        <v>25.58</v>
      </c>
      <c r="J36" s="7">
        <v>1.23</v>
      </c>
      <c r="K36" s="7">
        <v>1.6</v>
      </c>
      <c r="L36" s="6"/>
      <c r="M36" s="6" t="s">
        <v>472</v>
      </c>
      <c r="N36" s="6"/>
      <c r="O36" s="7">
        <v>-23.52349781228359</v>
      </c>
      <c r="P36" s="7">
        <v>-46.385331250405009</v>
      </c>
      <c r="Q36" s="7">
        <v>-23.523295747360521</v>
      </c>
      <c r="R36" s="7">
        <v>-46.385209892569947</v>
      </c>
    </row>
    <row r="37" spans="1:18" x14ac:dyDescent="0.3">
      <c r="A37" s="6" t="s">
        <v>18</v>
      </c>
      <c r="B37" s="6" t="s">
        <v>543</v>
      </c>
      <c r="C37" s="6" t="s">
        <v>544</v>
      </c>
      <c r="D37" s="6" t="s">
        <v>149</v>
      </c>
      <c r="E37" s="6" t="s">
        <v>155</v>
      </c>
      <c r="F37" s="6" t="s">
        <v>470</v>
      </c>
      <c r="G37" s="6">
        <v>200</v>
      </c>
      <c r="H37" s="6" t="s">
        <v>471</v>
      </c>
      <c r="I37" s="7">
        <v>11.34</v>
      </c>
      <c r="J37" s="7">
        <v>1.6</v>
      </c>
      <c r="K37" s="7">
        <v>1.04</v>
      </c>
      <c r="L37" s="6"/>
      <c r="M37" s="6" t="s">
        <v>472</v>
      </c>
      <c r="N37" s="6"/>
      <c r="O37" s="7">
        <v>-23.523295747360521</v>
      </c>
      <c r="P37" s="7">
        <v>-46.385209892569947</v>
      </c>
      <c r="Q37" s="7">
        <v>-23.523286462987819</v>
      </c>
      <c r="R37" s="7">
        <v>-46.385099328186982</v>
      </c>
    </row>
    <row r="38" spans="1:18" x14ac:dyDescent="0.3">
      <c r="A38" s="6" t="s">
        <v>21</v>
      </c>
      <c r="B38" s="6" t="s">
        <v>545</v>
      </c>
      <c r="C38" s="6" t="s">
        <v>546</v>
      </c>
      <c r="D38" s="6" t="s">
        <v>157</v>
      </c>
      <c r="E38" s="6" t="s">
        <v>160</v>
      </c>
      <c r="F38" s="6" t="s">
        <v>475</v>
      </c>
      <c r="G38" s="6">
        <v>355</v>
      </c>
      <c r="H38" s="6" t="s">
        <v>476</v>
      </c>
      <c r="I38" s="7">
        <v>46.43</v>
      </c>
      <c r="J38" s="7">
        <v>3.7</v>
      </c>
      <c r="K38" s="7">
        <v>2.2000000000000002</v>
      </c>
      <c r="L38" s="7">
        <v>3.7</v>
      </c>
      <c r="M38" s="6" t="s">
        <v>472</v>
      </c>
      <c r="N38" s="6" t="s">
        <v>547</v>
      </c>
      <c r="O38" s="7">
        <v>-23.525665799999999</v>
      </c>
      <c r="P38" s="7">
        <v>-46.397130799999999</v>
      </c>
      <c r="Q38" s="7">
        <v>-23.526066499999999</v>
      </c>
      <c r="R38" s="7">
        <v>-46.397264999999997</v>
      </c>
    </row>
    <row r="39" spans="1:18" x14ac:dyDescent="0.3">
      <c r="A39" s="6" t="s">
        <v>21</v>
      </c>
      <c r="B39" s="6" t="s">
        <v>548</v>
      </c>
      <c r="C39" s="6" t="s">
        <v>549</v>
      </c>
      <c r="D39" s="6" t="s">
        <v>160</v>
      </c>
      <c r="E39" s="6" t="s">
        <v>162</v>
      </c>
      <c r="F39" s="6" t="s">
        <v>475</v>
      </c>
      <c r="G39" s="6">
        <v>355</v>
      </c>
      <c r="H39" s="6" t="s">
        <v>476</v>
      </c>
      <c r="I39" s="7">
        <v>77.739999999999995</v>
      </c>
      <c r="J39" s="7">
        <v>2.2000000000000002</v>
      </c>
      <c r="K39" s="7">
        <v>7.4</v>
      </c>
      <c r="L39" s="7">
        <v>7.54</v>
      </c>
      <c r="M39" s="6" t="s">
        <v>472</v>
      </c>
      <c r="N39" s="6" t="s">
        <v>550</v>
      </c>
      <c r="O39" s="7">
        <v>-23.526066499999999</v>
      </c>
      <c r="P39" s="7">
        <v>-46.397264999999997</v>
      </c>
      <c r="Q39" s="7">
        <v>-23.5267576</v>
      </c>
      <c r="R39" s="7">
        <v>-46.397381000000003</v>
      </c>
    </row>
    <row r="40" spans="1:18" x14ac:dyDescent="0.3">
      <c r="A40" s="6" t="s">
        <v>21</v>
      </c>
      <c r="B40" s="6" t="s">
        <v>551</v>
      </c>
      <c r="C40" s="6" t="s">
        <v>552</v>
      </c>
      <c r="D40" s="6" t="s">
        <v>162</v>
      </c>
      <c r="E40" s="6" t="s">
        <v>164</v>
      </c>
      <c r="F40" s="6" t="s">
        <v>475</v>
      </c>
      <c r="G40" s="6">
        <v>355</v>
      </c>
      <c r="H40" s="6" t="s">
        <v>476</v>
      </c>
      <c r="I40" s="7">
        <v>79.34</v>
      </c>
      <c r="J40" s="7">
        <v>7.15</v>
      </c>
      <c r="K40" s="7">
        <v>2.5</v>
      </c>
      <c r="L40" s="7">
        <v>7.15</v>
      </c>
      <c r="M40" s="6" t="s">
        <v>472</v>
      </c>
      <c r="N40" s="6" t="s">
        <v>553</v>
      </c>
      <c r="O40" s="7">
        <v>-23.5267576</v>
      </c>
      <c r="P40" s="7">
        <v>-46.397381000000003</v>
      </c>
      <c r="Q40" s="7">
        <v>-23.5261958</v>
      </c>
      <c r="R40" s="7">
        <v>-46.3978599</v>
      </c>
    </row>
    <row r="41" spans="1:18" x14ac:dyDescent="0.3">
      <c r="A41" s="6" t="s">
        <v>21</v>
      </c>
      <c r="B41" s="6" t="s">
        <v>554</v>
      </c>
      <c r="C41" s="6" t="s">
        <v>555</v>
      </c>
      <c r="D41" s="6" t="s">
        <v>164</v>
      </c>
      <c r="E41" s="6" t="s">
        <v>166</v>
      </c>
      <c r="F41" s="6" t="s">
        <v>475</v>
      </c>
      <c r="G41" s="6">
        <v>355</v>
      </c>
      <c r="H41" s="6" t="s">
        <v>476</v>
      </c>
      <c r="I41" s="7">
        <v>93.299000000000007</v>
      </c>
      <c r="J41" s="7">
        <v>2.5</v>
      </c>
      <c r="K41" s="7">
        <v>2.2000000000000002</v>
      </c>
      <c r="L41" s="7">
        <v>2.5</v>
      </c>
      <c r="M41" s="6" t="s">
        <v>472</v>
      </c>
      <c r="N41" s="6" t="s">
        <v>556</v>
      </c>
      <c r="O41" s="7">
        <v>-23.526235799999998</v>
      </c>
      <c r="P41" s="7">
        <v>-46.397913500000001</v>
      </c>
      <c r="Q41" s="7">
        <v>-23.5255884</v>
      </c>
      <c r="R41" s="7">
        <v>-46.3984983</v>
      </c>
    </row>
    <row r="42" spans="1:18" x14ac:dyDescent="0.3">
      <c r="A42" s="6" t="s">
        <v>21</v>
      </c>
      <c r="B42" s="6" t="s">
        <v>557</v>
      </c>
      <c r="C42" s="6" t="s">
        <v>558</v>
      </c>
      <c r="D42" s="6" t="s">
        <v>166</v>
      </c>
      <c r="E42" s="6" t="s">
        <v>168</v>
      </c>
      <c r="F42" s="6" t="s">
        <v>475</v>
      </c>
      <c r="G42" s="6">
        <v>355</v>
      </c>
      <c r="H42" s="6" t="s">
        <v>476</v>
      </c>
      <c r="I42" s="7">
        <v>79.582999999999998</v>
      </c>
      <c r="J42" s="7">
        <v>2.2000000000000002</v>
      </c>
      <c r="K42" s="7">
        <v>8.1</v>
      </c>
      <c r="L42" s="7">
        <v>8.1</v>
      </c>
      <c r="M42" s="6" t="s">
        <v>472</v>
      </c>
      <c r="N42" s="6" t="s">
        <v>559</v>
      </c>
      <c r="O42" s="7">
        <v>-23.5255884</v>
      </c>
      <c r="P42" s="7">
        <v>-46.3984983</v>
      </c>
      <c r="Q42" s="7">
        <v>-23.525940299999998</v>
      </c>
      <c r="R42" s="7">
        <v>-46.399177899999998</v>
      </c>
    </row>
    <row r="43" spans="1:18" x14ac:dyDescent="0.3">
      <c r="A43" s="6" t="s">
        <v>21</v>
      </c>
      <c r="B43" s="6" t="s">
        <v>560</v>
      </c>
      <c r="C43" s="6" t="s">
        <v>561</v>
      </c>
      <c r="D43" s="6" t="s">
        <v>168</v>
      </c>
      <c r="E43" s="6" t="s">
        <v>170</v>
      </c>
      <c r="F43" s="6" t="s">
        <v>475</v>
      </c>
      <c r="G43" s="6">
        <v>355</v>
      </c>
      <c r="H43" s="6" t="s">
        <v>476</v>
      </c>
      <c r="I43" s="7">
        <v>79.941000000000003</v>
      </c>
      <c r="J43" s="7">
        <v>8.1</v>
      </c>
      <c r="K43" s="7">
        <v>8.5</v>
      </c>
      <c r="L43" s="7">
        <v>9.1</v>
      </c>
      <c r="M43" s="6" t="s">
        <v>472</v>
      </c>
      <c r="N43" s="6" t="s">
        <v>562</v>
      </c>
      <c r="O43" s="7">
        <v>-23.525940299999998</v>
      </c>
      <c r="P43" s="7">
        <v>-46.399177899999998</v>
      </c>
      <c r="Q43" s="7">
        <v>-23.526268099999999</v>
      </c>
      <c r="R43" s="7">
        <v>-46.3998755</v>
      </c>
    </row>
    <row r="44" spans="1:18" x14ac:dyDescent="0.3">
      <c r="A44" s="6" t="s">
        <v>21</v>
      </c>
      <c r="B44" s="6" t="s">
        <v>563</v>
      </c>
      <c r="C44" s="6" t="s">
        <v>564</v>
      </c>
      <c r="D44" s="6" t="s">
        <v>170</v>
      </c>
      <c r="E44" s="6" t="s">
        <v>172</v>
      </c>
      <c r="F44" s="6" t="s">
        <v>475</v>
      </c>
      <c r="G44" s="6">
        <v>355</v>
      </c>
      <c r="H44" s="6" t="s">
        <v>476</v>
      </c>
      <c r="I44" s="7">
        <v>167.39</v>
      </c>
      <c r="J44" s="7">
        <v>8.5</v>
      </c>
      <c r="K44" s="6">
        <v>8</v>
      </c>
      <c r="L44" s="7">
        <v>8.5299999999999994</v>
      </c>
      <c r="M44" s="6" t="s">
        <v>472</v>
      </c>
      <c r="N44" s="6" t="s">
        <v>565</v>
      </c>
      <c r="O44" s="7">
        <v>-23.526268099999999</v>
      </c>
      <c r="P44" s="7">
        <v>-46.3998755</v>
      </c>
      <c r="Q44" s="7">
        <v>-23.526983699999999</v>
      </c>
      <c r="R44" s="7">
        <v>-46.401319600000001</v>
      </c>
    </row>
    <row r="45" spans="1:18" x14ac:dyDescent="0.3">
      <c r="A45" s="6" t="s">
        <v>21</v>
      </c>
      <c r="B45" s="6" t="s">
        <v>566</v>
      </c>
      <c r="C45" s="6" t="s">
        <v>567</v>
      </c>
      <c r="D45" s="6" t="s">
        <v>174</v>
      </c>
      <c r="E45" s="6" t="s">
        <v>172</v>
      </c>
      <c r="F45" s="6" t="s">
        <v>475</v>
      </c>
      <c r="G45" s="6">
        <v>355</v>
      </c>
      <c r="H45" s="6" t="s">
        <v>476</v>
      </c>
      <c r="I45" s="7">
        <v>120.49</v>
      </c>
      <c r="J45" s="7">
        <v>8.2200000000000006</v>
      </c>
      <c r="K45" s="7">
        <v>8.1999999999999993</v>
      </c>
      <c r="L45" s="7">
        <v>8.32</v>
      </c>
      <c r="M45" s="6" t="s">
        <v>472</v>
      </c>
      <c r="N45" s="6" t="s">
        <v>568</v>
      </c>
      <c r="O45" s="7">
        <v>-23.526461900000001</v>
      </c>
      <c r="P45" s="7">
        <v>-46.400265300000001</v>
      </c>
      <c r="Q45" s="7">
        <v>-23.526983699999999</v>
      </c>
      <c r="R45" s="7">
        <v>-46.401319600000001</v>
      </c>
    </row>
    <row r="46" spans="1:18" x14ac:dyDescent="0.3">
      <c r="A46" s="6" t="s">
        <v>21</v>
      </c>
      <c r="B46" s="6" t="s">
        <v>569</v>
      </c>
      <c r="C46" s="6" t="s">
        <v>570</v>
      </c>
      <c r="D46" s="6" t="s">
        <v>176</v>
      </c>
      <c r="E46" s="6" t="s">
        <v>172</v>
      </c>
      <c r="F46" s="6" t="s">
        <v>475</v>
      </c>
      <c r="G46" s="6">
        <v>355</v>
      </c>
      <c r="H46" s="6" t="s">
        <v>476</v>
      </c>
      <c r="I46" s="7">
        <v>79.626000000000005</v>
      </c>
      <c r="J46" s="7">
        <v>7.45</v>
      </c>
      <c r="K46" s="6">
        <v>8</v>
      </c>
      <c r="L46" s="7">
        <v>8.06</v>
      </c>
      <c r="M46" s="6" t="s">
        <v>472</v>
      </c>
      <c r="N46" s="6" t="s">
        <v>571</v>
      </c>
      <c r="O46" s="7">
        <v>-23.526647199999999</v>
      </c>
      <c r="P46" s="7">
        <v>-46.400630399999997</v>
      </c>
      <c r="Q46" s="7">
        <v>-23.526983699999999</v>
      </c>
      <c r="R46" s="7">
        <v>-46.401319600000001</v>
      </c>
    </row>
    <row r="47" spans="1:18" x14ac:dyDescent="0.3">
      <c r="A47" s="6" t="s">
        <v>21</v>
      </c>
      <c r="B47" s="6" t="s">
        <v>572</v>
      </c>
      <c r="C47" s="6" t="s">
        <v>573</v>
      </c>
      <c r="D47" s="6" t="s">
        <v>172</v>
      </c>
      <c r="E47" s="6" t="s">
        <v>178</v>
      </c>
      <c r="F47" s="6" t="s">
        <v>475</v>
      </c>
      <c r="G47" s="6">
        <v>355</v>
      </c>
      <c r="H47" s="6" t="s">
        <v>476</v>
      </c>
      <c r="I47" s="7">
        <v>32.46</v>
      </c>
      <c r="J47" s="7">
        <v>8.1999999999999993</v>
      </c>
      <c r="K47" s="6">
        <v>2</v>
      </c>
      <c r="L47" s="7">
        <v>8.1999999999999993</v>
      </c>
      <c r="M47" s="6" t="s">
        <v>472</v>
      </c>
      <c r="N47" s="6" t="s">
        <v>574</v>
      </c>
      <c r="O47" s="7">
        <v>-23.526983699999999</v>
      </c>
      <c r="P47" s="7">
        <v>-46.401319600000001</v>
      </c>
      <c r="Q47" s="7">
        <v>-23.527201099999999</v>
      </c>
      <c r="R47" s="7">
        <v>-46.4011809</v>
      </c>
    </row>
    <row r="48" spans="1:18" x14ac:dyDescent="0.3">
      <c r="A48" s="6" t="s">
        <v>21</v>
      </c>
      <c r="B48" s="6" t="s">
        <v>575</v>
      </c>
      <c r="C48" s="6" t="s">
        <v>576</v>
      </c>
      <c r="D48" s="6" t="s">
        <v>176</v>
      </c>
      <c r="E48" s="6" t="s">
        <v>180</v>
      </c>
      <c r="F48" s="6" t="s">
        <v>475</v>
      </c>
      <c r="G48" s="6">
        <v>355</v>
      </c>
      <c r="H48" s="6" t="s">
        <v>476</v>
      </c>
      <c r="I48" s="7">
        <v>19.010000000000002</v>
      </c>
      <c r="J48" s="7">
        <v>7.45</v>
      </c>
      <c r="K48" s="7">
        <v>3.8</v>
      </c>
      <c r="L48" s="7">
        <v>7.45</v>
      </c>
      <c r="M48" s="6" t="s">
        <v>472</v>
      </c>
      <c r="N48" s="6" t="s">
        <v>577</v>
      </c>
      <c r="O48" s="7">
        <v>-23.526647199999999</v>
      </c>
      <c r="P48" s="7">
        <v>-46.400630399999997</v>
      </c>
      <c r="Q48" s="7">
        <v>-23.526806300000001</v>
      </c>
      <c r="R48" s="7">
        <v>-46.400560599999999</v>
      </c>
    </row>
    <row r="49" spans="1:18" x14ac:dyDescent="0.3">
      <c r="A49" s="6" t="s">
        <v>24</v>
      </c>
      <c r="B49" s="6" t="s">
        <v>578</v>
      </c>
      <c r="C49" s="6" t="s">
        <v>579</v>
      </c>
      <c r="D49" s="6" t="s">
        <v>182</v>
      </c>
      <c r="E49" s="6" t="s">
        <v>184</v>
      </c>
      <c r="F49" s="6" t="s">
        <v>475</v>
      </c>
      <c r="G49" s="6">
        <v>450</v>
      </c>
      <c r="H49" s="6" t="s">
        <v>476</v>
      </c>
      <c r="I49" s="7">
        <v>59.67</v>
      </c>
      <c r="J49" s="7">
        <v>4.76</v>
      </c>
      <c r="K49" s="7">
        <v>5.16</v>
      </c>
      <c r="L49" s="7">
        <v>5.26</v>
      </c>
      <c r="M49" s="6" t="s">
        <v>472</v>
      </c>
      <c r="N49" s="6" t="s">
        <v>580</v>
      </c>
      <c r="O49" s="7">
        <v>-23.5143135</v>
      </c>
      <c r="P49" s="7">
        <v>-46.417649900000001</v>
      </c>
      <c r="Q49" s="7">
        <v>-23.514829200000001</v>
      </c>
      <c r="R49" s="7">
        <v>-46.417480300000001</v>
      </c>
    </row>
    <row r="50" spans="1:18" x14ac:dyDescent="0.3">
      <c r="A50" s="6" t="s">
        <v>24</v>
      </c>
      <c r="B50" s="6" t="s">
        <v>581</v>
      </c>
      <c r="C50" s="6" t="s">
        <v>582</v>
      </c>
      <c r="D50" s="6" t="s">
        <v>184</v>
      </c>
      <c r="E50" s="6" t="s">
        <v>186</v>
      </c>
      <c r="F50" s="6" t="s">
        <v>475</v>
      </c>
      <c r="G50" s="6">
        <v>450</v>
      </c>
      <c r="H50" s="6" t="s">
        <v>476</v>
      </c>
      <c r="I50" s="7">
        <v>54.89</v>
      </c>
      <c r="J50" s="7">
        <v>5.16</v>
      </c>
      <c r="K50" s="7">
        <v>5.35</v>
      </c>
      <c r="L50" s="7">
        <v>5.35</v>
      </c>
      <c r="M50" s="6" t="s">
        <v>472</v>
      </c>
      <c r="N50" s="6" t="s">
        <v>583</v>
      </c>
      <c r="O50" s="7">
        <v>-23.514829200000001</v>
      </c>
      <c r="P50" s="7">
        <v>-46.417480300000001</v>
      </c>
      <c r="Q50" s="7">
        <v>-23.515291600000001</v>
      </c>
      <c r="R50" s="7">
        <v>-46.417286099999998</v>
      </c>
    </row>
    <row r="51" spans="1:18" x14ac:dyDescent="0.3">
      <c r="A51" s="6" t="s">
        <v>24</v>
      </c>
      <c r="B51" s="6" t="s">
        <v>584</v>
      </c>
      <c r="C51" s="6" t="s">
        <v>585</v>
      </c>
      <c r="D51" s="6" t="s">
        <v>186</v>
      </c>
      <c r="E51" s="6" t="s">
        <v>188</v>
      </c>
      <c r="F51" s="6" t="s">
        <v>475</v>
      </c>
      <c r="G51" s="6">
        <v>450</v>
      </c>
      <c r="H51" s="6" t="s">
        <v>476</v>
      </c>
      <c r="I51" s="7">
        <v>55.45</v>
      </c>
      <c r="J51" s="7">
        <v>5.35</v>
      </c>
      <c r="K51" s="7">
        <v>5.86</v>
      </c>
      <c r="L51" s="7">
        <v>5.86</v>
      </c>
      <c r="M51" s="6" t="s">
        <v>472</v>
      </c>
      <c r="N51" s="6" t="s">
        <v>586</v>
      </c>
      <c r="O51" s="7">
        <v>-23.515291600000001</v>
      </c>
      <c r="P51" s="7">
        <v>-46.417286099999998</v>
      </c>
      <c r="Q51" s="7">
        <v>-23.515759200000002</v>
      </c>
      <c r="R51" s="7">
        <v>-46.417091800000001</v>
      </c>
    </row>
    <row r="52" spans="1:18" x14ac:dyDescent="0.3">
      <c r="A52" s="6" t="s">
        <v>24</v>
      </c>
      <c r="B52" s="6" t="s">
        <v>587</v>
      </c>
      <c r="C52" s="6" t="s">
        <v>588</v>
      </c>
      <c r="D52" s="6" t="s">
        <v>190</v>
      </c>
      <c r="E52" s="6" t="s">
        <v>182</v>
      </c>
      <c r="F52" s="6" t="s">
        <v>475</v>
      </c>
      <c r="G52" s="6">
        <v>450</v>
      </c>
      <c r="H52" s="6" t="s">
        <v>476</v>
      </c>
      <c r="I52" s="7">
        <v>40.79</v>
      </c>
      <c r="J52" s="7">
        <v>4.4000000000000004</v>
      </c>
      <c r="K52" s="7">
        <v>4.76</v>
      </c>
      <c r="L52" s="7">
        <v>4.76</v>
      </c>
      <c r="M52" s="6" t="s">
        <v>472</v>
      </c>
      <c r="N52" s="6" t="s">
        <v>589</v>
      </c>
      <c r="O52" s="7">
        <v>-23.514194400000001</v>
      </c>
      <c r="P52" s="7">
        <v>-46.418027899999998</v>
      </c>
      <c r="Q52" s="7">
        <v>-23.5143135</v>
      </c>
      <c r="R52" s="7">
        <v>-46.417649900000001</v>
      </c>
    </row>
    <row r="53" spans="1:18" x14ac:dyDescent="0.3">
      <c r="A53" s="6" t="s">
        <v>24</v>
      </c>
      <c r="B53" s="6" t="s">
        <v>590</v>
      </c>
      <c r="C53" s="6" t="s">
        <v>591</v>
      </c>
      <c r="D53" s="6" t="s">
        <v>188</v>
      </c>
      <c r="E53" s="6" t="s">
        <v>192</v>
      </c>
      <c r="F53" s="6" t="s">
        <v>475</v>
      </c>
      <c r="G53" s="6">
        <v>450</v>
      </c>
      <c r="H53" s="6" t="s">
        <v>476</v>
      </c>
      <c r="I53" s="7">
        <v>51.71</v>
      </c>
      <c r="J53" s="7">
        <v>5.86</v>
      </c>
      <c r="K53" s="7">
        <v>6.09</v>
      </c>
      <c r="L53" s="7">
        <v>6.1</v>
      </c>
      <c r="M53" s="6" t="s">
        <v>472</v>
      </c>
      <c r="N53" s="6" t="s">
        <v>592</v>
      </c>
      <c r="O53" s="7">
        <v>-23.515759200000002</v>
      </c>
      <c r="P53" s="7">
        <v>-46.417091800000001</v>
      </c>
      <c r="Q53" s="7">
        <v>-23.516196000000001</v>
      </c>
      <c r="R53" s="7">
        <v>-46.416912699999997</v>
      </c>
    </row>
    <row r="54" spans="1:18" x14ac:dyDescent="0.3">
      <c r="A54" s="6" t="s">
        <v>24</v>
      </c>
      <c r="B54" s="6" t="s">
        <v>593</v>
      </c>
      <c r="C54" s="6" t="s">
        <v>594</v>
      </c>
      <c r="D54" s="6" t="s">
        <v>192</v>
      </c>
      <c r="E54" s="6" t="s">
        <v>194</v>
      </c>
      <c r="F54" s="6" t="s">
        <v>475</v>
      </c>
      <c r="G54" s="6">
        <v>450</v>
      </c>
      <c r="H54" s="6" t="s">
        <v>476</v>
      </c>
      <c r="I54" s="7">
        <v>67.05</v>
      </c>
      <c r="J54" s="7">
        <v>6.09</v>
      </c>
      <c r="K54" s="7">
        <v>5.3</v>
      </c>
      <c r="L54" s="7">
        <v>6.13</v>
      </c>
      <c r="M54" s="6" t="s">
        <v>472</v>
      </c>
      <c r="N54" s="6" t="s">
        <v>595</v>
      </c>
      <c r="O54" s="7">
        <v>-23.516196000000001</v>
      </c>
      <c r="P54" s="7">
        <v>-46.416912699999997</v>
      </c>
      <c r="Q54" s="7">
        <v>-23.516761899999999</v>
      </c>
      <c r="R54" s="7">
        <v>-46.416679000000002</v>
      </c>
    </row>
    <row r="55" spans="1:18" x14ac:dyDescent="0.3">
      <c r="A55" s="6" t="s">
        <v>24</v>
      </c>
      <c r="B55" s="6" t="s">
        <v>596</v>
      </c>
      <c r="C55" s="6" t="s">
        <v>597</v>
      </c>
      <c r="D55" s="6" t="s">
        <v>194</v>
      </c>
      <c r="E55" s="6" t="s">
        <v>196</v>
      </c>
      <c r="F55" s="6" t="s">
        <v>475</v>
      </c>
      <c r="G55" s="6">
        <v>450</v>
      </c>
      <c r="H55" s="6" t="s">
        <v>476</v>
      </c>
      <c r="I55" s="7">
        <v>32.99</v>
      </c>
      <c r="J55" s="7">
        <v>5.3</v>
      </c>
      <c r="K55" s="7">
        <v>5.45</v>
      </c>
      <c r="L55" s="7">
        <v>5.46</v>
      </c>
      <c r="M55" s="6" t="s">
        <v>472</v>
      </c>
      <c r="N55" s="6" t="s">
        <v>598</v>
      </c>
      <c r="O55" s="7">
        <v>-23.516761899999999</v>
      </c>
      <c r="P55" s="7">
        <v>-46.416679000000002</v>
      </c>
      <c r="Q55" s="7">
        <v>-23.517023600000002</v>
      </c>
      <c r="R55" s="7">
        <v>-46.416524600000002</v>
      </c>
    </row>
    <row r="56" spans="1:18" x14ac:dyDescent="0.3">
      <c r="A56" s="6" t="s">
        <v>24</v>
      </c>
      <c r="B56" s="6" t="s">
        <v>599</v>
      </c>
      <c r="C56" s="6" t="s">
        <v>600</v>
      </c>
      <c r="D56" s="6" t="s">
        <v>196</v>
      </c>
      <c r="E56" s="6" t="s">
        <v>198</v>
      </c>
      <c r="F56" s="6" t="s">
        <v>475</v>
      </c>
      <c r="G56" s="6">
        <v>450</v>
      </c>
      <c r="H56" s="6" t="s">
        <v>476</v>
      </c>
      <c r="I56" s="7">
        <v>35.479999999999997</v>
      </c>
      <c r="J56" s="7">
        <v>5.45</v>
      </c>
      <c r="K56" s="7">
        <v>5.5</v>
      </c>
      <c r="L56" s="7">
        <v>5.55</v>
      </c>
      <c r="M56" s="6" t="s">
        <v>472</v>
      </c>
      <c r="N56" s="6" t="s">
        <v>601</v>
      </c>
      <c r="O56" s="7">
        <v>-23.517023600000002</v>
      </c>
      <c r="P56" s="7">
        <v>-46.416524600000002</v>
      </c>
      <c r="Q56" s="7">
        <v>-23.517296699999999</v>
      </c>
      <c r="R56" s="7">
        <v>-46.416342700000001</v>
      </c>
    </row>
    <row r="57" spans="1:18" x14ac:dyDescent="0.3">
      <c r="A57" s="6" t="s">
        <v>24</v>
      </c>
      <c r="B57" s="6" t="s">
        <v>602</v>
      </c>
      <c r="C57" s="6" t="s">
        <v>603</v>
      </c>
      <c r="D57" s="6" t="s">
        <v>198</v>
      </c>
      <c r="E57" s="6" t="s">
        <v>200</v>
      </c>
      <c r="F57" s="6" t="s">
        <v>475</v>
      </c>
      <c r="G57" s="6">
        <v>450</v>
      </c>
      <c r="H57" s="6" t="s">
        <v>476</v>
      </c>
      <c r="I57" s="7">
        <v>34.06</v>
      </c>
      <c r="J57" s="7">
        <v>5.5</v>
      </c>
      <c r="K57" s="7">
        <v>5.4</v>
      </c>
      <c r="L57" s="7">
        <v>5.55</v>
      </c>
      <c r="M57" s="6" t="s">
        <v>472</v>
      </c>
      <c r="N57" s="6" t="s">
        <v>604</v>
      </c>
      <c r="O57" s="7">
        <v>-23.517296699999999</v>
      </c>
      <c r="P57" s="7">
        <v>-46.416342700000001</v>
      </c>
      <c r="Q57" s="7">
        <v>-23.517559599999998</v>
      </c>
      <c r="R57" s="7">
        <v>-46.416169500000002</v>
      </c>
    </row>
    <row r="58" spans="1:18" x14ac:dyDescent="0.3">
      <c r="A58" s="6" t="s">
        <v>24</v>
      </c>
      <c r="B58" s="6" t="s">
        <v>605</v>
      </c>
      <c r="C58" s="6" t="s">
        <v>606</v>
      </c>
      <c r="D58" s="6" t="s">
        <v>200</v>
      </c>
      <c r="E58" s="6" t="s">
        <v>202</v>
      </c>
      <c r="F58" s="6" t="s">
        <v>475</v>
      </c>
      <c r="G58" s="6">
        <v>450</v>
      </c>
      <c r="H58" s="6" t="s">
        <v>476</v>
      </c>
      <c r="I58" s="7">
        <v>34.1</v>
      </c>
      <c r="J58" s="7">
        <v>5.4</v>
      </c>
      <c r="K58" s="7">
        <v>5.3</v>
      </c>
      <c r="L58" s="7">
        <v>5.41</v>
      </c>
      <c r="M58" s="6" t="s">
        <v>472</v>
      </c>
      <c r="N58" s="6" t="s">
        <v>607</v>
      </c>
      <c r="O58" s="7">
        <v>-23.517559599999998</v>
      </c>
      <c r="P58" s="7">
        <v>-46.416169500000002</v>
      </c>
      <c r="Q58" s="7">
        <v>-23.517821999999999</v>
      </c>
      <c r="R58" s="7">
        <v>-46.4159948</v>
      </c>
    </row>
    <row r="59" spans="1:18" x14ac:dyDescent="0.3">
      <c r="A59" s="6" t="s">
        <v>24</v>
      </c>
      <c r="B59" s="6" t="s">
        <v>608</v>
      </c>
      <c r="C59" s="6" t="s">
        <v>609</v>
      </c>
      <c r="D59" s="6" t="s">
        <v>202</v>
      </c>
      <c r="E59" s="6" t="s">
        <v>204</v>
      </c>
      <c r="F59" s="6" t="s">
        <v>475</v>
      </c>
      <c r="G59" s="6">
        <v>450</v>
      </c>
      <c r="H59" s="6" t="s">
        <v>476</v>
      </c>
      <c r="I59" s="7">
        <v>35.72</v>
      </c>
      <c r="J59" s="7">
        <v>5.3</v>
      </c>
      <c r="K59" s="7">
        <v>5.77</v>
      </c>
      <c r="L59" s="7">
        <v>5.77</v>
      </c>
      <c r="M59" s="6" t="s">
        <v>472</v>
      </c>
      <c r="N59" s="6" t="s">
        <v>610</v>
      </c>
      <c r="O59" s="7">
        <v>-23.517821999999999</v>
      </c>
      <c r="P59" s="7">
        <v>-46.4159948</v>
      </c>
      <c r="Q59" s="7">
        <v>-23.518098699999999</v>
      </c>
      <c r="R59" s="7">
        <v>-46.415814900000001</v>
      </c>
    </row>
    <row r="60" spans="1:18" x14ac:dyDescent="0.3">
      <c r="A60" s="6" t="s">
        <v>24</v>
      </c>
      <c r="B60" s="6" t="s">
        <v>611</v>
      </c>
      <c r="C60" s="6" t="s">
        <v>612</v>
      </c>
      <c r="D60" s="6" t="s">
        <v>204</v>
      </c>
      <c r="E60" s="6" t="s">
        <v>206</v>
      </c>
      <c r="F60" s="6" t="s">
        <v>475</v>
      </c>
      <c r="G60" s="6">
        <v>450</v>
      </c>
      <c r="H60" s="6" t="s">
        <v>476</v>
      </c>
      <c r="I60" s="7">
        <v>34.409999999999997</v>
      </c>
      <c r="J60" s="7">
        <v>5.77</v>
      </c>
      <c r="K60" s="7">
        <v>5.7</v>
      </c>
      <c r="L60" s="7">
        <v>5.8</v>
      </c>
      <c r="M60" s="6" t="s">
        <v>472</v>
      </c>
      <c r="N60" s="6" t="s">
        <v>613</v>
      </c>
      <c r="O60" s="7">
        <v>-23.518098699999999</v>
      </c>
      <c r="P60" s="7">
        <v>-46.415814900000001</v>
      </c>
      <c r="Q60" s="7">
        <v>-23.518363799999999</v>
      </c>
      <c r="R60" s="7">
        <v>-46.4156391</v>
      </c>
    </row>
    <row r="61" spans="1:18" x14ac:dyDescent="0.3">
      <c r="A61" s="6" t="s">
        <v>24</v>
      </c>
      <c r="B61" s="6" t="s">
        <v>614</v>
      </c>
      <c r="C61" s="6" t="s">
        <v>615</v>
      </c>
      <c r="D61" s="6" t="s">
        <v>206</v>
      </c>
      <c r="E61" s="6" t="s">
        <v>208</v>
      </c>
      <c r="F61" s="6" t="s">
        <v>475</v>
      </c>
      <c r="G61" s="6">
        <v>450</v>
      </c>
      <c r="H61" s="6" t="s">
        <v>476</v>
      </c>
      <c r="I61" s="7">
        <v>47.44</v>
      </c>
      <c r="J61" s="7">
        <v>5.7</v>
      </c>
      <c r="K61" s="7">
        <v>5.85</v>
      </c>
      <c r="L61" s="7">
        <v>5.96</v>
      </c>
      <c r="M61" s="6" t="s">
        <v>472</v>
      </c>
      <c r="N61" s="6" t="s">
        <v>616</v>
      </c>
      <c r="O61" s="7">
        <v>-23.518363799999999</v>
      </c>
      <c r="P61" s="7">
        <v>-46.4156391</v>
      </c>
      <c r="Q61" s="7">
        <v>-23.518703899999998</v>
      </c>
      <c r="R61" s="7">
        <v>-46.4153284</v>
      </c>
    </row>
    <row r="62" spans="1:18" x14ac:dyDescent="0.3">
      <c r="A62" s="6" t="s">
        <v>24</v>
      </c>
      <c r="B62" s="6" t="s">
        <v>617</v>
      </c>
      <c r="C62" s="6" t="s">
        <v>618</v>
      </c>
      <c r="D62" s="6" t="s">
        <v>208</v>
      </c>
      <c r="E62" s="6" t="s">
        <v>210</v>
      </c>
      <c r="F62" s="6" t="s">
        <v>475</v>
      </c>
      <c r="G62" s="6">
        <v>450</v>
      </c>
      <c r="H62" s="6" t="s">
        <v>476</v>
      </c>
      <c r="I62" s="7">
        <v>67.05</v>
      </c>
      <c r="J62" s="7">
        <v>5.85</v>
      </c>
      <c r="K62" s="7">
        <v>5.6</v>
      </c>
      <c r="L62" s="7">
        <v>5.87</v>
      </c>
      <c r="M62" s="6" t="s">
        <v>472</v>
      </c>
      <c r="N62" s="6" t="s">
        <v>619</v>
      </c>
      <c r="O62" s="7">
        <v>-23.518703899999998</v>
      </c>
      <c r="P62" s="7">
        <v>-46.4153284</v>
      </c>
      <c r="Q62" s="7">
        <v>-23.5191096</v>
      </c>
      <c r="R62" s="7">
        <v>-46.414642399999998</v>
      </c>
    </row>
    <row r="63" spans="1:18" x14ac:dyDescent="0.3">
      <c r="A63" s="6" t="s">
        <v>24</v>
      </c>
      <c r="B63" s="6" t="s">
        <v>620</v>
      </c>
      <c r="C63" s="6" t="s">
        <v>621</v>
      </c>
      <c r="D63" s="6" t="s">
        <v>210</v>
      </c>
      <c r="E63" s="6" t="s">
        <v>212</v>
      </c>
      <c r="F63" s="6" t="s">
        <v>475</v>
      </c>
      <c r="G63" s="6">
        <v>450</v>
      </c>
      <c r="H63" s="6" t="s">
        <v>476</v>
      </c>
      <c r="I63" s="7">
        <v>65.45</v>
      </c>
      <c r="J63" s="7">
        <v>5.6</v>
      </c>
      <c r="K63" s="7">
        <v>4.75</v>
      </c>
      <c r="L63" s="7">
        <v>5.71</v>
      </c>
      <c r="M63" s="6" t="s">
        <v>472</v>
      </c>
      <c r="N63" s="6" t="s">
        <v>622</v>
      </c>
      <c r="O63" s="7">
        <v>-23.5191096</v>
      </c>
      <c r="P63" s="7">
        <v>-46.414642399999998</v>
      </c>
      <c r="Q63" s="7">
        <v>-23.5195629</v>
      </c>
      <c r="R63" s="7">
        <v>-46.415048900000002</v>
      </c>
    </row>
    <row r="64" spans="1:18" x14ac:dyDescent="0.3">
      <c r="A64" s="6" t="s">
        <v>24</v>
      </c>
      <c r="B64" s="6" t="s">
        <v>623</v>
      </c>
      <c r="C64" s="6" t="s">
        <v>624</v>
      </c>
      <c r="D64" s="6" t="s">
        <v>212</v>
      </c>
      <c r="E64" s="6" t="s">
        <v>214</v>
      </c>
      <c r="F64" s="6" t="s">
        <v>475</v>
      </c>
      <c r="G64" s="6">
        <v>450</v>
      </c>
      <c r="H64" s="6" t="s">
        <v>476</v>
      </c>
      <c r="I64" s="7">
        <v>20.350000000000001</v>
      </c>
      <c r="J64" s="7">
        <v>4.75</v>
      </c>
      <c r="K64" s="7">
        <v>4.1500000000000004</v>
      </c>
      <c r="L64" s="7">
        <v>4.75</v>
      </c>
      <c r="M64" s="6" t="s">
        <v>472</v>
      </c>
      <c r="N64" s="6" t="s">
        <v>625</v>
      </c>
      <c r="O64" s="7">
        <v>-23.5195629</v>
      </c>
      <c r="P64" s="7">
        <v>-46.415048900000002</v>
      </c>
      <c r="Q64" s="7">
        <v>-23.5197067</v>
      </c>
      <c r="R64" s="7">
        <v>-46.415173099999997</v>
      </c>
    </row>
    <row r="65" spans="1:18" x14ac:dyDescent="0.3">
      <c r="A65" s="6" t="s">
        <v>24</v>
      </c>
      <c r="B65" s="6" t="s">
        <v>626</v>
      </c>
      <c r="C65" s="6" t="s">
        <v>627</v>
      </c>
      <c r="D65" s="6" t="s">
        <v>214</v>
      </c>
      <c r="E65" s="6" t="s">
        <v>216</v>
      </c>
      <c r="F65" s="6" t="s">
        <v>475</v>
      </c>
      <c r="G65" s="6">
        <v>450</v>
      </c>
      <c r="H65" s="6" t="s">
        <v>476</v>
      </c>
      <c r="I65" s="7">
        <v>43.87</v>
      </c>
      <c r="J65" s="7">
        <v>4.2</v>
      </c>
      <c r="K65" s="7">
        <v>3.3</v>
      </c>
      <c r="L65" s="7">
        <v>4.2</v>
      </c>
      <c r="M65" s="6" t="s">
        <v>472</v>
      </c>
      <c r="N65" s="6" t="s">
        <v>628</v>
      </c>
      <c r="O65" s="7">
        <v>-23.5197067</v>
      </c>
      <c r="P65" s="7">
        <v>-46.415173099999997</v>
      </c>
      <c r="Q65" s="7">
        <v>-23.520046499999999</v>
      </c>
      <c r="R65" s="7">
        <v>-46.4153941</v>
      </c>
    </row>
    <row r="66" spans="1:18" x14ac:dyDescent="0.3">
      <c r="A66" s="6" t="s">
        <v>24</v>
      </c>
      <c r="B66" s="6" t="s">
        <v>629</v>
      </c>
      <c r="C66" s="6" t="s">
        <v>630</v>
      </c>
      <c r="D66" s="6" t="s">
        <v>194</v>
      </c>
      <c r="E66" s="6" t="s">
        <v>224</v>
      </c>
      <c r="F66" s="6" t="s">
        <v>475</v>
      </c>
      <c r="G66" s="6">
        <v>225</v>
      </c>
      <c r="H66" s="6" t="s">
        <v>476</v>
      </c>
      <c r="I66" s="7">
        <v>56.06</v>
      </c>
      <c r="J66" s="7">
        <v>4.7</v>
      </c>
      <c r="K66" s="7">
        <v>1.5</v>
      </c>
      <c r="L66" s="7">
        <v>4.7</v>
      </c>
      <c r="M66" s="6" t="s">
        <v>472</v>
      </c>
      <c r="N66" s="6" t="s">
        <v>631</v>
      </c>
      <c r="O66" s="7">
        <v>-23.516761899999999</v>
      </c>
      <c r="P66" s="7">
        <v>-46.416679000000002</v>
      </c>
      <c r="Q66" s="7">
        <v>-23.5169806</v>
      </c>
      <c r="R66" s="7">
        <v>-46.4171725</v>
      </c>
    </row>
    <row r="67" spans="1:18" x14ac:dyDescent="0.3">
      <c r="A67" s="6" t="s">
        <v>24</v>
      </c>
      <c r="B67" s="6" t="s">
        <v>632</v>
      </c>
      <c r="C67" s="6" t="s">
        <v>633</v>
      </c>
      <c r="D67" s="6" t="s">
        <v>200</v>
      </c>
      <c r="E67" s="6" t="s">
        <v>218</v>
      </c>
      <c r="F67" s="6" t="s">
        <v>475</v>
      </c>
      <c r="G67" s="6">
        <v>225</v>
      </c>
      <c r="H67" s="6" t="s">
        <v>476</v>
      </c>
      <c r="I67" s="7">
        <v>28.69</v>
      </c>
      <c r="J67" s="7">
        <v>4.5999999999999996</v>
      </c>
      <c r="K67" s="7">
        <v>2.8</v>
      </c>
      <c r="L67" s="7">
        <v>4.5999999999999996</v>
      </c>
      <c r="M67" s="6" t="s">
        <v>472</v>
      </c>
      <c r="N67" s="6" t="s">
        <v>634</v>
      </c>
      <c r="O67" s="7">
        <v>-23.517559599999998</v>
      </c>
      <c r="P67" s="7">
        <v>-46.416169500000002</v>
      </c>
      <c r="Q67" s="7">
        <v>-23.517674400000001</v>
      </c>
      <c r="R67" s="7">
        <v>-46.4164241</v>
      </c>
    </row>
    <row r="68" spans="1:18" x14ac:dyDescent="0.3">
      <c r="A68" s="6" t="s">
        <v>24</v>
      </c>
      <c r="B68" s="6" t="s">
        <v>635</v>
      </c>
      <c r="C68" s="6" t="s">
        <v>636</v>
      </c>
      <c r="D68" s="6" t="s">
        <v>218</v>
      </c>
      <c r="E68" s="6" t="s">
        <v>226</v>
      </c>
      <c r="F68" s="6" t="s">
        <v>475</v>
      </c>
      <c r="G68" s="6">
        <v>225</v>
      </c>
      <c r="H68" s="6" t="s">
        <v>476</v>
      </c>
      <c r="I68" s="7">
        <v>19.75</v>
      </c>
      <c r="J68" s="7">
        <v>2.8</v>
      </c>
      <c r="K68" s="7">
        <v>1.95</v>
      </c>
      <c r="L68" s="7">
        <v>2.8</v>
      </c>
      <c r="M68" s="6" t="s">
        <v>472</v>
      </c>
      <c r="N68" s="6" t="s">
        <v>637</v>
      </c>
      <c r="O68" s="7">
        <v>-23.517674400000001</v>
      </c>
      <c r="P68" s="7">
        <v>-46.4164241</v>
      </c>
      <c r="Q68" s="7">
        <v>-23.517768</v>
      </c>
      <c r="R68" s="7">
        <v>-46.4165888</v>
      </c>
    </row>
    <row r="69" spans="1:18" x14ac:dyDescent="0.3">
      <c r="A69" s="6" t="s">
        <v>24</v>
      </c>
      <c r="B69" s="6" t="s">
        <v>638</v>
      </c>
      <c r="C69" s="6" t="s">
        <v>639</v>
      </c>
      <c r="D69" s="6" t="s">
        <v>206</v>
      </c>
      <c r="E69" s="6" t="s">
        <v>220</v>
      </c>
      <c r="F69" s="6" t="s">
        <v>475</v>
      </c>
      <c r="G69" s="6">
        <v>225</v>
      </c>
      <c r="H69" s="6" t="s">
        <v>476</v>
      </c>
      <c r="I69" s="7">
        <v>27.71</v>
      </c>
      <c r="J69" s="7">
        <v>3.8</v>
      </c>
      <c r="K69" s="7">
        <v>2.1</v>
      </c>
      <c r="L69" s="7">
        <v>3.8</v>
      </c>
      <c r="M69" s="6" t="s">
        <v>472</v>
      </c>
      <c r="N69" s="6" t="s">
        <v>640</v>
      </c>
      <c r="O69" s="7">
        <v>-23.518363799999999</v>
      </c>
      <c r="P69" s="7">
        <v>-46.4156391</v>
      </c>
      <c r="Q69" s="7">
        <v>-23.518488699999999</v>
      </c>
      <c r="R69" s="7">
        <v>-46.415878399999997</v>
      </c>
    </row>
    <row r="70" spans="1:18" x14ac:dyDescent="0.3">
      <c r="A70" s="6" t="s">
        <v>24</v>
      </c>
      <c r="B70" s="6" t="s">
        <v>641</v>
      </c>
      <c r="C70" s="6" t="s">
        <v>642</v>
      </c>
      <c r="D70" s="6" t="s">
        <v>192</v>
      </c>
      <c r="E70" s="6" t="s">
        <v>222</v>
      </c>
      <c r="F70" s="6" t="s">
        <v>475</v>
      </c>
      <c r="G70" s="6">
        <v>225</v>
      </c>
      <c r="H70" s="6" t="s">
        <v>476</v>
      </c>
      <c r="I70" s="7">
        <v>34.29</v>
      </c>
      <c r="J70" s="6">
        <v>3</v>
      </c>
      <c r="K70" s="7">
        <v>2.7</v>
      </c>
      <c r="L70" s="6">
        <v>3</v>
      </c>
      <c r="M70" s="6" t="s">
        <v>472</v>
      </c>
      <c r="N70" s="6" t="s">
        <v>643</v>
      </c>
      <c r="O70" s="7">
        <v>-23.516195199999999</v>
      </c>
      <c r="P70" s="7">
        <v>-46.416911399999996</v>
      </c>
      <c r="Q70" s="7">
        <v>-23.516327700000001</v>
      </c>
      <c r="R70" s="7">
        <v>-46.417214999999999</v>
      </c>
    </row>
    <row r="71" spans="1:18" x14ac:dyDescent="0.3">
      <c r="A71" s="6" t="s">
        <v>27</v>
      </c>
      <c r="B71" s="6" t="s">
        <v>644</v>
      </c>
      <c r="C71" s="6" t="s">
        <v>645</v>
      </c>
      <c r="D71" s="6" t="s">
        <v>157</v>
      </c>
      <c r="E71" s="6" t="s">
        <v>229</v>
      </c>
      <c r="F71" s="6" t="s">
        <v>475</v>
      </c>
      <c r="G71" s="6">
        <v>355</v>
      </c>
      <c r="H71" s="6" t="s">
        <v>476</v>
      </c>
      <c r="I71" s="7">
        <v>78.08</v>
      </c>
      <c r="J71" s="7">
        <v>2.4</v>
      </c>
      <c r="K71" s="7">
        <v>3.5</v>
      </c>
      <c r="L71" s="7">
        <v>3.5</v>
      </c>
      <c r="M71" s="6" t="s">
        <v>472</v>
      </c>
      <c r="N71" s="6" t="s">
        <v>646</v>
      </c>
      <c r="O71" s="7">
        <v>-23.525064100000002</v>
      </c>
      <c r="P71" s="7">
        <v>-46.416319799999997</v>
      </c>
      <c r="Q71" s="7">
        <v>-23.525767800000001</v>
      </c>
      <c r="R71" s="7">
        <v>-46.416325299999997</v>
      </c>
    </row>
    <row r="72" spans="1:18" x14ac:dyDescent="0.3">
      <c r="A72" s="6" t="s">
        <v>27</v>
      </c>
      <c r="B72" s="6" t="s">
        <v>647</v>
      </c>
      <c r="C72" s="6" t="s">
        <v>648</v>
      </c>
      <c r="D72" s="6" t="s">
        <v>229</v>
      </c>
      <c r="E72" s="6" t="s">
        <v>164</v>
      </c>
      <c r="F72" s="6" t="s">
        <v>475</v>
      </c>
      <c r="G72" s="6">
        <v>355</v>
      </c>
      <c r="H72" s="6" t="s">
        <v>476</v>
      </c>
      <c r="I72" s="7">
        <v>30.79</v>
      </c>
      <c r="J72" s="7">
        <v>3.5</v>
      </c>
      <c r="K72" s="6">
        <v>2</v>
      </c>
      <c r="L72" s="7">
        <v>3.5</v>
      </c>
      <c r="M72" s="6" t="s">
        <v>472</v>
      </c>
      <c r="N72" s="6" t="s">
        <v>649</v>
      </c>
      <c r="O72" s="7">
        <v>-23.525767800000001</v>
      </c>
      <c r="P72" s="7">
        <v>-46.416325299999997</v>
      </c>
      <c r="Q72" s="7">
        <v>-23.5258094</v>
      </c>
      <c r="R72" s="7">
        <v>-46.416036499999997</v>
      </c>
    </row>
    <row r="73" spans="1:18" x14ac:dyDescent="0.3">
      <c r="A73" s="6" t="s">
        <v>30</v>
      </c>
      <c r="B73" s="6" t="s">
        <v>650</v>
      </c>
      <c r="C73" s="6" t="s">
        <v>651</v>
      </c>
      <c r="D73" s="6" t="s">
        <v>232</v>
      </c>
      <c r="E73" s="6" t="s">
        <v>162</v>
      </c>
      <c r="F73" s="6" t="s">
        <v>475</v>
      </c>
      <c r="G73" s="6">
        <v>355</v>
      </c>
      <c r="H73" s="6" t="s">
        <v>476</v>
      </c>
      <c r="I73" s="7">
        <v>65.700999999999993</v>
      </c>
      <c r="J73" s="7">
        <v>2.1</v>
      </c>
      <c r="K73" s="7">
        <v>6.5</v>
      </c>
      <c r="L73" s="7">
        <v>6.5</v>
      </c>
      <c r="M73" s="6" t="s">
        <v>472</v>
      </c>
      <c r="N73" s="6" t="s">
        <v>652</v>
      </c>
      <c r="O73" s="7">
        <v>-23.494913</v>
      </c>
      <c r="P73" s="7">
        <v>-46.3858496</v>
      </c>
      <c r="Q73" s="7">
        <v>-23.495350599999998</v>
      </c>
      <c r="R73" s="7">
        <v>-46.386283900000002</v>
      </c>
    </row>
    <row r="74" spans="1:18" x14ac:dyDescent="0.3">
      <c r="A74" s="6" t="s">
        <v>30</v>
      </c>
      <c r="B74" s="6" t="s">
        <v>653</v>
      </c>
      <c r="C74" s="6" t="s">
        <v>654</v>
      </c>
      <c r="D74" s="6" t="s">
        <v>162</v>
      </c>
      <c r="E74" s="6" t="s">
        <v>229</v>
      </c>
      <c r="F74" s="6" t="s">
        <v>475</v>
      </c>
      <c r="G74" s="6">
        <v>355</v>
      </c>
      <c r="H74" s="6" t="s">
        <v>476</v>
      </c>
      <c r="I74" s="7">
        <v>77.441000000000003</v>
      </c>
      <c r="J74" s="7">
        <v>6.5</v>
      </c>
      <c r="K74" s="7">
        <v>4.1100000000000003</v>
      </c>
      <c r="L74" s="7">
        <v>6.5</v>
      </c>
      <c r="M74" s="6" t="s">
        <v>472</v>
      </c>
      <c r="N74" s="6" t="s">
        <v>655</v>
      </c>
      <c r="O74" s="7">
        <v>-23.495350599999998</v>
      </c>
      <c r="P74" s="7">
        <v>-46.386283900000002</v>
      </c>
      <c r="Q74" s="7">
        <v>-23.495755800000001</v>
      </c>
      <c r="R74" s="7">
        <v>-46.385665899999999</v>
      </c>
    </row>
    <row r="75" spans="1:18" x14ac:dyDescent="0.3">
      <c r="A75" s="6" t="s">
        <v>30</v>
      </c>
      <c r="B75" s="6" t="s">
        <v>656</v>
      </c>
      <c r="C75" s="6" t="s">
        <v>657</v>
      </c>
      <c r="D75" s="6" t="s">
        <v>229</v>
      </c>
      <c r="E75" s="6" t="s">
        <v>236</v>
      </c>
      <c r="F75" s="6" t="s">
        <v>475</v>
      </c>
      <c r="G75" s="6">
        <v>355</v>
      </c>
      <c r="H75" s="6" t="s">
        <v>476</v>
      </c>
      <c r="I75" s="7">
        <v>68.299000000000007</v>
      </c>
      <c r="J75" s="7">
        <v>4.1100000000000003</v>
      </c>
      <c r="K75" s="7">
        <v>2.95</v>
      </c>
      <c r="L75" s="7">
        <v>4.17</v>
      </c>
      <c r="M75" s="6" t="s">
        <v>472</v>
      </c>
      <c r="N75" s="6" t="s">
        <v>658</v>
      </c>
      <c r="O75" s="7">
        <v>-23.495755800000001</v>
      </c>
      <c r="P75" s="7">
        <v>-46.385665899999999</v>
      </c>
      <c r="Q75" s="7">
        <v>-23.496113300000001</v>
      </c>
      <c r="R75" s="7">
        <v>-46.385120899999997</v>
      </c>
    </row>
    <row r="76" spans="1:18" x14ac:dyDescent="0.3">
      <c r="A76" s="6" t="s">
        <v>32</v>
      </c>
      <c r="B76" s="6" t="s">
        <v>659</v>
      </c>
      <c r="C76" s="6" t="s">
        <v>660</v>
      </c>
      <c r="D76" s="6" t="s">
        <v>164</v>
      </c>
      <c r="E76" s="6" t="s">
        <v>239</v>
      </c>
      <c r="F76" s="6" t="s">
        <v>475</v>
      </c>
      <c r="G76" s="6">
        <v>355</v>
      </c>
      <c r="H76" s="6" t="s">
        <v>476</v>
      </c>
      <c r="I76" s="7">
        <v>71.849999999999994</v>
      </c>
      <c r="J76" s="7">
        <v>2.4500000000000002</v>
      </c>
      <c r="K76" s="6">
        <v>2</v>
      </c>
      <c r="L76" s="7">
        <v>3.07</v>
      </c>
      <c r="M76" s="6" t="s">
        <v>472</v>
      </c>
      <c r="N76" s="6" t="s">
        <v>661</v>
      </c>
      <c r="O76" s="7">
        <v>-23.483219999999999</v>
      </c>
      <c r="P76" s="7">
        <v>-46.388924500000002</v>
      </c>
      <c r="Q76" s="7">
        <v>-23.4829583</v>
      </c>
      <c r="R76" s="7">
        <v>-46.388280700000003</v>
      </c>
    </row>
    <row r="77" spans="1:18" x14ac:dyDescent="0.3">
      <c r="A77" s="6" t="s">
        <v>32</v>
      </c>
      <c r="B77" s="6" t="s">
        <v>662</v>
      </c>
      <c r="C77" s="6" t="s">
        <v>663</v>
      </c>
      <c r="D77" s="6" t="s">
        <v>239</v>
      </c>
      <c r="E77" s="6" t="s">
        <v>166</v>
      </c>
      <c r="F77" s="6" t="s">
        <v>475</v>
      </c>
      <c r="G77" s="6">
        <v>355</v>
      </c>
      <c r="H77" s="6" t="s">
        <v>476</v>
      </c>
      <c r="I77" s="7">
        <v>76.400000000000006</v>
      </c>
      <c r="J77" s="6">
        <v>2</v>
      </c>
      <c r="K77" s="6">
        <v>4</v>
      </c>
      <c r="L77" s="6">
        <v>4</v>
      </c>
      <c r="M77" s="6" t="s">
        <v>472</v>
      </c>
      <c r="N77" s="6" t="s">
        <v>664</v>
      </c>
      <c r="O77" s="7">
        <v>-23.4829583</v>
      </c>
      <c r="P77" s="7">
        <v>-46.388280700000003</v>
      </c>
      <c r="Q77" s="7">
        <v>-23.4835271</v>
      </c>
      <c r="R77" s="7">
        <v>-46.387854900000001</v>
      </c>
    </row>
    <row r="78" spans="1:18" x14ac:dyDescent="0.3">
      <c r="A78" s="6" t="s">
        <v>32</v>
      </c>
      <c r="B78" s="6" t="s">
        <v>665</v>
      </c>
      <c r="C78" s="6" t="s">
        <v>666</v>
      </c>
      <c r="D78" s="6" t="s">
        <v>166</v>
      </c>
      <c r="E78" s="6" t="s">
        <v>242</v>
      </c>
      <c r="F78" s="6" t="s">
        <v>475</v>
      </c>
      <c r="G78" s="6">
        <v>355</v>
      </c>
      <c r="H78" s="6" t="s">
        <v>476</v>
      </c>
      <c r="I78" s="7">
        <v>49.49</v>
      </c>
      <c r="J78" s="6">
        <v>4</v>
      </c>
      <c r="K78" s="7">
        <v>5.7</v>
      </c>
      <c r="L78" s="7">
        <v>5.7</v>
      </c>
      <c r="M78" s="6" t="s">
        <v>472</v>
      </c>
      <c r="N78" s="6" t="s">
        <v>667</v>
      </c>
      <c r="O78" s="7">
        <v>-23.4835271</v>
      </c>
      <c r="P78" s="7">
        <v>-46.387854900000001</v>
      </c>
      <c r="Q78" s="7">
        <v>-23.483888199999999</v>
      </c>
      <c r="R78" s="7">
        <v>-46.387569300000003</v>
      </c>
    </row>
    <row r="79" spans="1:18" x14ac:dyDescent="0.3">
      <c r="A79" s="6" t="s">
        <v>32</v>
      </c>
      <c r="B79" s="6" t="s">
        <v>668</v>
      </c>
      <c r="C79" s="6" t="s">
        <v>552</v>
      </c>
      <c r="D79" s="6" t="s">
        <v>162</v>
      </c>
      <c r="E79" s="6" t="s">
        <v>164</v>
      </c>
      <c r="F79" s="6" t="s">
        <v>475</v>
      </c>
      <c r="G79" s="6">
        <v>355</v>
      </c>
      <c r="H79" s="6" t="s">
        <v>476</v>
      </c>
      <c r="I79" s="7">
        <v>158.16999999999999</v>
      </c>
      <c r="J79" s="7">
        <v>3.05</v>
      </c>
      <c r="K79" s="7">
        <v>2.4500000000000002</v>
      </c>
      <c r="L79" s="7">
        <v>3.06</v>
      </c>
      <c r="M79" s="6" t="s">
        <v>472</v>
      </c>
      <c r="N79" s="6" t="s">
        <v>669</v>
      </c>
      <c r="O79" s="7">
        <v>-23.482268000000001</v>
      </c>
      <c r="P79" s="7">
        <v>-46.390076499999999</v>
      </c>
      <c r="Q79" s="7">
        <v>-23.483219999999999</v>
      </c>
      <c r="R79" s="7">
        <v>-46.388924500000002</v>
      </c>
    </row>
    <row r="80" spans="1:18" x14ac:dyDescent="0.3">
      <c r="A80" s="6" t="s">
        <v>32</v>
      </c>
      <c r="B80" s="6" t="s">
        <v>670</v>
      </c>
      <c r="C80" s="6" t="s">
        <v>671</v>
      </c>
      <c r="D80" s="6" t="s">
        <v>242</v>
      </c>
      <c r="E80" s="6" t="s">
        <v>168</v>
      </c>
      <c r="F80" s="6" t="s">
        <v>475</v>
      </c>
      <c r="G80" s="6">
        <v>355</v>
      </c>
      <c r="H80" s="6" t="s">
        <v>476</v>
      </c>
      <c r="I80" s="7">
        <v>61.95</v>
      </c>
      <c r="J80" s="7">
        <v>5.7</v>
      </c>
      <c r="K80" s="7">
        <v>2.9</v>
      </c>
      <c r="L80" s="7">
        <v>5.7</v>
      </c>
      <c r="M80" s="6" t="s">
        <v>472</v>
      </c>
      <c r="N80" s="6" t="s">
        <v>672</v>
      </c>
      <c r="O80" s="7">
        <v>-23.483888199999999</v>
      </c>
      <c r="P80" s="7">
        <v>-46.387569300000003</v>
      </c>
      <c r="Q80" s="7">
        <v>-23.484219</v>
      </c>
      <c r="R80" s="7">
        <v>-46.3880585</v>
      </c>
    </row>
    <row r="81" spans="1:18" x14ac:dyDescent="0.3">
      <c r="A81" s="6" t="s">
        <v>34</v>
      </c>
      <c r="B81" s="6" t="s">
        <v>673</v>
      </c>
      <c r="C81" s="6" t="s">
        <v>674</v>
      </c>
      <c r="D81" s="6" t="s">
        <v>246</v>
      </c>
      <c r="E81" s="6" t="s">
        <v>249</v>
      </c>
      <c r="F81" s="6" t="s">
        <v>475</v>
      </c>
      <c r="G81" s="6">
        <v>355</v>
      </c>
      <c r="H81" s="6" t="s">
        <v>476</v>
      </c>
      <c r="I81" s="7">
        <v>56.22</v>
      </c>
      <c r="J81" s="6">
        <v>2</v>
      </c>
      <c r="K81" s="7">
        <v>1.69</v>
      </c>
      <c r="L81" s="6">
        <v>2</v>
      </c>
      <c r="M81" s="6" t="s">
        <v>472</v>
      </c>
      <c r="N81" s="6" t="s">
        <v>675</v>
      </c>
      <c r="O81" s="7">
        <v>-23.5326278916049</v>
      </c>
      <c r="P81" s="7">
        <v>-46.394649688907528</v>
      </c>
      <c r="Q81" s="7">
        <v>-23.53312000459179</v>
      </c>
      <c r="R81" s="7">
        <v>-46.394514126473538</v>
      </c>
    </row>
    <row r="82" spans="1:18" x14ac:dyDescent="0.3">
      <c r="A82" s="6" t="s">
        <v>34</v>
      </c>
      <c r="B82" s="6" t="s">
        <v>676</v>
      </c>
      <c r="C82" s="6" t="s">
        <v>677</v>
      </c>
      <c r="D82" s="6" t="s">
        <v>249</v>
      </c>
      <c r="E82" s="6" t="s">
        <v>251</v>
      </c>
      <c r="F82" s="6" t="s">
        <v>475</v>
      </c>
      <c r="G82" s="6">
        <v>355</v>
      </c>
      <c r="H82" s="6" t="s">
        <v>476</v>
      </c>
      <c r="I82" s="7">
        <v>39.880000000000003</v>
      </c>
      <c r="J82" s="7">
        <v>1.39</v>
      </c>
      <c r="K82" s="7">
        <v>1.35</v>
      </c>
      <c r="L82" s="7">
        <v>1.39</v>
      </c>
      <c r="M82" s="6" t="s">
        <v>472</v>
      </c>
      <c r="N82" s="6" t="s">
        <v>675</v>
      </c>
      <c r="O82" s="7">
        <v>-23.53312000459179</v>
      </c>
      <c r="P82" s="7">
        <v>-46.394514126473538</v>
      </c>
      <c r="Q82" s="7">
        <v>-23.53346577729172</v>
      </c>
      <c r="R82" s="7">
        <v>-46.39440497485721</v>
      </c>
    </row>
    <row r="83" spans="1:18" x14ac:dyDescent="0.3">
      <c r="A83" s="6" t="s">
        <v>34</v>
      </c>
      <c r="B83" s="6" t="s">
        <v>678</v>
      </c>
      <c r="C83" s="6" t="s">
        <v>679</v>
      </c>
      <c r="D83" s="6" t="s">
        <v>251</v>
      </c>
      <c r="E83" s="6" t="s">
        <v>253</v>
      </c>
      <c r="F83" s="6" t="s">
        <v>475</v>
      </c>
      <c r="G83" s="6">
        <v>355</v>
      </c>
      <c r="H83" s="6" t="s">
        <v>476</v>
      </c>
      <c r="I83" s="7">
        <v>67.849999999999994</v>
      </c>
      <c r="J83" s="7">
        <v>1.35</v>
      </c>
      <c r="K83" s="7">
        <v>1.93</v>
      </c>
      <c r="L83" s="7">
        <v>1.93</v>
      </c>
      <c r="M83" s="6" t="s">
        <v>472</v>
      </c>
      <c r="N83" s="6" t="s">
        <v>675</v>
      </c>
      <c r="O83" s="7">
        <v>-23.53346577729172</v>
      </c>
      <c r="P83" s="7">
        <v>-46.39440497485721</v>
      </c>
      <c r="Q83" s="7">
        <v>-23.534045735623351</v>
      </c>
      <c r="R83" s="7">
        <v>-46.394190685187283</v>
      </c>
    </row>
    <row r="84" spans="1:18" x14ac:dyDescent="0.3">
      <c r="A84" s="6" t="s">
        <v>34</v>
      </c>
      <c r="B84" s="6" t="s">
        <v>680</v>
      </c>
      <c r="C84" s="6" t="s">
        <v>681</v>
      </c>
      <c r="D84" s="6" t="s">
        <v>253</v>
      </c>
      <c r="E84" s="6" t="s">
        <v>255</v>
      </c>
      <c r="F84" s="6" t="s">
        <v>475</v>
      </c>
      <c r="G84" s="6">
        <v>355</v>
      </c>
      <c r="H84" s="6" t="s">
        <v>476</v>
      </c>
      <c r="I84" s="7">
        <v>64.77</v>
      </c>
      <c r="J84" s="7">
        <v>1.93</v>
      </c>
      <c r="K84" s="7">
        <v>2.2200000000000002</v>
      </c>
      <c r="L84" s="7">
        <v>2.2200000000000002</v>
      </c>
      <c r="M84" s="6" t="s">
        <v>472</v>
      </c>
      <c r="N84" s="6" t="s">
        <v>675</v>
      </c>
      <c r="O84" s="7">
        <v>-23.534045735623351</v>
      </c>
      <c r="P84" s="7">
        <v>-46.394190685187283</v>
      </c>
      <c r="Q84" s="7">
        <v>-23.534549109444569</v>
      </c>
      <c r="R84" s="7">
        <v>-46.393867676588513</v>
      </c>
    </row>
    <row r="85" spans="1:18" x14ac:dyDescent="0.3">
      <c r="A85" s="6" t="s">
        <v>34</v>
      </c>
      <c r="B85" s="6" t="s">
        <v>682</v>
      </c>
      <c r="C85" s="6" t="s">
        <v>683</v>
      </c>
      <c r="D85" s="6" t="s">
        <v>255</v>
      </c>
      <c r="E85" s="6" t="s">
        <v>160</v>
      </c>
      <c r="F85" s="6" t="s">
        <v>475</v>
      </c>
      <c r="G85" s="6">
        <v>355</v>
      </c>
      <c r="H85" s="6" t="s">
        <v>476</v>
      </c>
      <c r="I85" s="7">
        <v>17.82</v>
      </c>
      <c r="J85" s="7">
        <v>1.84</v>
      </c>
      <c r="K85" s="7">
        <v>2.44</v>
      </c>
      <c r="L85" s="7">
        <v>2.44</v>
      </c>
      <c r="M85" s="6" t="s">
        <v>472</v>
      </c>
      <c r="N85" s="6" t="s">
        <v>675</v>
      </c>
      <c r="O85" s="7">
        <v>-23.534549109444569</v>
      </c>
      <c r="P85" s="7">
        <v>-46.393867676588513</v>
      </c>
      <c r="Q85" s="7">
        <v>-23.534668696341239</v>
      </c>
      <c r="R85" s="7">
        <v>-46.393750908484463</v>
      </c>
    </row>
    <row r="86" spans="1:18" x14ac:dyDescent="0.3">
      <c r="A86" s="6" t="s">
        <v>34</v>
      </c>
      <c r="B86" s="6" t="s">
        <v>684</v>
      </c>
      <c r="C86" s="6" t="s">
        <v>685</v>
      </c>
      <c r="D86" s="6" t="s">
        <v>160</v>
      </c>
      <c r="E86" s="6" t="s">
        <v>229</v>
      </c>
      <c r="F86" s="6" t="s">
        <v>475</v>
      </c>
      <c r="G86" s="6">
        <v>355</v>
      </c>
      <c r="H86" s="6" t="s">
        <v>476</v>
      </c>
      <c r="I86" s="7">
        <v>96.02</v>
      </c>
      <c r="J86" s="7">
        <v>2.44</v>
      </c>
      <c r="K86" s="7">
        <v>3.89</v>
      </c>
      <c r="L86" s="7">
        <v>3.89</v>
      </c>
      <c r="M86" s="6" t="s">
        <v>472</v>
      </c>
      <c r="N86" s="6" t="s">
        <v>675</v>
      </c>
      <c r="O86" s="7">
        <v>-23.534668696341239</v>
      </c>
      <c r="P86" s="7">
        <v>-46.393750908484463</v>
      </c>
      <c r="Q86" s="7">
        <v>-23.535535781660151</v>
      </c>
      <c r="R86" s="7">
        <v>-46.393754824461297</v>
      </c>
    </row>
    <row r="87" spans="1:18" x14ac:dyDescent="0.3">
      <c r="A87" s="6" t="s">
        <v>34</v>
      </c>
      <c r="B87" s="6" t="s">
        <v>686</v>
      </c>
      <c r="C87" s="6" t="s">
        <v>648</v>
      </c>
      <c r="D87" s="6" t="s">
        <v>229</v>
      </c>
      <c r="E87" s="6" t="s">
        <v>164</v>
      </c>
      <c r="F87" s="6" t="s">
        <v>475</v>
      </c>
      <c r="G87" s="6">
        <v>355</v>
      </c>
      <c r="H87" s="6" t="s">
        <v>476</v>
      </c>
      <c r="I87" s="7">
        <v>60.18</v>
      </c>
      <c r="J87" s="7">
        <v>3.89</v>
      </c>
      <c r="K87" s="7">
        <v>4.37</v>
      </c>
      <c r="L87" s="7">
        <v>4.37</v>
      </c>
      <c r="M87" s="6" t="s">
        <v>472</v>
      </c>
      <c r="N87" s="6" t="s">
        <v>675</v>
      </c>
      <c r="O87" s="7">
        <v>-23.535535781660151</v>
      </c>
      <c r="P87" s="7">
        <v>-46.393754824461297</v>
      </c>
      <c r="Q87" s="7">
        <v>-23.536074557061418</v>
      </c>
      <c r="R87" s="7">
        <v>-46.393677744048787</v>
      </c>
    </row>
    <row r="88" spans="1:18" x14ac:dyDescent="0.3">
      <c r="A88" s="6" t="s">
        <v>34</v>
      </c>
      <c r="B88" s="6" t="s">
        <v>687</v>
      </c>
      <c r="C88" s="6" t="s">
        <v>660</v>
      </c>
      <c r="D88" s="6" t="s">
        <v>164</v>
      </c>
      <c r="E88" s="6" t="s">
        <v>239</v>
      </c>
      <c r="F88" s="6" t="s">
        <v>475</v>
      </c>
      <c r="G88" s="6">
        <v>355</v>
      </c>
      <c r="H88" s="6" t="s">
        <v>476</v>
      </c>
      <c r="I88" s="7">
        <v>56.12</v>
      </c>
      <c r="J88" s="7">
        <v>3.32</v>
      </c>
      <c r="K88" s="7">
        <v>3.27</v>
      </c>
      <c r="L88" s="7">
        <v>3.32</v>
      </c>
      <c r="M88" s="6" t="s">
        <v>472</v>
      </c>
      <c r="N88" s="6" t="s">
        <v>675</v>
      </c>
      <c r="O88" s="7">
        <v>-23.536074557061418</v>
      </c>
      <c r="P88" s="7">
        <v>-46.393677744048787</v>
      </c>
      <c r="Q88" s="7">
        <v>-23.536581293839099</v>
      </c>
      <c r="R88" s="7">
        <v>-46.393669850604603</v>
      </c>
    </row>
    <row r="89" spans="1:18" x14ac:dyDescent="0.3">
      <c r="A89" s="6" t="s">
        <v>34</v>
      </c>
      <c r="B89" s="6" t="s">
        <v>688</v>
      </c>
      <c r="C89" s="6" t="s">
        <v>689</v>
      </c>
      <c r="D89" s="6" t="s">
        <v>239</v>
      </c>
      <c r="E89" s="6" t="s">
        <v>242</v>
      </c>
      <c r="F89" s="6" t="s">
        <v>475</v>
      </c>
      <c r="G89" s="6">
        <v>355</v>
      </c>
      <c r="H89" s="6" t="s">
        <v>476</v>
      </c>
      <c r="I89" s="7">
        <v>72.08</v>
      </c>
      <c r="J89" s="7">
        <v>3.27</v>
      </c>
      <c r="K89" s="6">
        <v>4</v>
      </c>
      <c r="L89" s="6">
        <v>4</v>
      </c>
      <c r="M89" s="6" t="s">
        <v>472</v>
      </c>
      <c r="N89" s="6" t="s">
        <v>675</v>
      </c>
      <c r="O89" s="7">
        <v>-23.536581293839099</v>
      </c>
      <c r="P89" s="7">
        <v>-46.393669850604603</v>
      </c>
      <c r="Q89" s="7">
        <v>-23.5372304548352</v>
      </c>
      <c r="R89" s="7">
        <v>-46.393617999096797</v>
      </c>
    </row>
    <row r="90" spans="1:18" x14ac:dyDescent="0.3">
      <c r="A90" s="6" t="s">
        <v>34</v>
      </c>
      <c r="B90" s="6" t="s">
        <v>690</v>
      </c>
      <c r="C90" s="6" t="s">
        <v>671</v>
      </c>
      <c r="D90" s="6" t="s">
        <v>242</v>
      </c>
      <c r="E90" s="6" t="s">
        <v>168</v>
      </c>
      <c r="F90" s="6" t="s">
        <v>475</v>
      </c>
      <c r="G90" s="6">
        <v>355</v>
      </c>
      <c r="H90" s="6" t="s">
        <v>476</v>
      </c>
      <c r="I90" s="7">
        <v>62.85</v>
      </c>
      <c r="J90" s="7">
        <v>3.92</v>
      </c>
      <c r="K90" s="7">
        <v>4.8</v>
      </c>
      <c r="L90" s="7">
        <v>4.8</v>
      </c>
      <c r="M90" s="6" t="s">
        <v>472</v>
      </c>
      <c r="N90" s="6" t="s">
        <v>675</v>
      </c>
      <c r="O90" s="7">
        <v>-23.5372304548352</v>
      </c>
      <c r="P90" s="7">
        <v>-46.393617999096797</v>
      </c>
      <c r="Q90" s="7">
        <v>-23.53776999032625</v>
      </c>
      <c r="R90" s="7">
        <v>-46.39342680270682</v>
      </c>
    </row>
    <row r="91" spans="1:18" x14ac:dyDescent="0.3">
      <c r="A91" s="6" t="s">
        <v>34</v>
      </c>
      <c r="B91" s="6" t="s">
        <v>691</v>
      </c>
      <c r="C91" s="6" t="s">
        <v>692</v>
      </c>
      <c r="D91" s="6" t="s">
        <v>168</v>
      </c>
      <c r="E91" s="6" t="s">
        <v>176</v>
      </c>
      <c r="F91" s="6" t="s">
        <v>475</v>
      </c>
      <c r="G91" s="6">
        <v>355</v>
      </c>
      <c r="H91" s="6" t="s">
        <v>476</v>
      </c>
      <c r="I91" s="7">
        <v>82.82</v>
      </c>
      <c r="J91" s="7">
        <v>4.74</v>
      </c>
      <c r="K91" s="7">
        <v>4.38</v>
      </c>
      <c r="L91" s="7">
        <v>4.74</v>
      </c>
      <c r="M91" s="6" t="s">
        <v>472</v>
      </c>
      <c r="N91" s="6" t="s">
        <v>675</v>
      </c>
      <c r="O91" s="7">
        <v>-23.53776999032625</v>
      </c>
      <c r="P91" s="7">
        <v>-46.39342680270682</v>
      </c>
      <c r="Q91" s="7">
        <v>-23.538461796826791</v>
      </c>
      <c r="R91" s="7">
        <v>-46.393118667987821</v>
      </c>
    </row>
    <row r="92" spans="1:18" x14ac:dyDescent="0.3">
      <c r="A92" s="6" t="s">
        <v>34</v>
      </c>
      <c r="B92" s="6" t="s">
        <v>693</v>
      </c>
      <c r="C92" s="6" t="s">
        <v>694</v>
      </c>
      <c r="D92" s="6" t="s">
        <v>176</v>
      </c>
      <c r="E92" s="6" t="s">
        <v>264</v>
      </c>
      <c r="F92" s="6" t="s">
        <v>475</v>
      </c>
      <c r="G92" s="6">
        <v>355</v>
      </c>
      <c r="H92" s="6" t="s">
        <v>476</v>
      </c>
      <c r="I92" s="7">
        <v>90.87</v>
      </c>
      <c r="J92" s="7">
        <v>4.3</v>
      </c>
      <c r="K92" s="7">
        <v>4.22</v>
      </c>
      <c r="L92" s="7">
        <v>4.3</v>
      </c>
      <c r="M92" s="6" t="s">
        <v>472</v>
      </c>
      <c r="N92" s="6" t="s">
        <v>675</v>
      </c>
      <c r="O92" s="7">
        <v>-23.538461796826791</v>
      </c>
      <c r="P92" s="7">
        <v>-46.393118667987821</v>
      </c>
      <c r="Q92" s="7">
        <v>-23.539177732030961</v>
      </c>
      <c r="R92" s="7">
        <v>-46.392683603256813</v>
      </c>
    </row>
    <row r="93" spans="1:18" x14ac:dyDescent="0.3">
      <c r="A93" s="6" t="s">
        <v>34</v>
      </c>
      <c r="B93" s="6" t="s">
        <v>695</v>
      </c>
      <c r="C93" s="6" t="s">
        <v>696</v>
      </c>
      <c r="D93" s="6" t="s">
        <v>264</v>
      </c>
      <c r="E93" s="6" t="s">
        <v>266</v>
      </c>
      <c r="F93" s="6" t="s">
        <v>475</v>
      </c>
      <c r="G93" s="6">
        <v>355</v>
      </c>
      <c r="H93" s="6" t="s">
        <v>476</v>
      </c>
      <c r="I93" s="7">
        <v>70.930000000000007</v>
      </c>
      <c r="J93" s="7">
        <v>4.22</v>
      </c>
      <c r="K93" s="7">
        <v>4.9000000000000004</v>
      </c>
      <c r="L93" s="7">
        <v>4.9000000000000004</v>
      </c>
      <c r="M93" s="6" t="s">
        <v>472</v>
      </c>
      <c r="N93" s="6" t="s">
        <v>675</v>
      </c>
      <c r="O93" s="7">
        <v>-23.539177732030961</v>
      </c>
      <c r="P93" s="7">
        <v>-46.392683603256813</v>
      </c>
      <c r="Q93" s="7">
        <v>-23.539809210804211</v>
      </c>
      <c r="R93" s="7">
        <v>-46.392567097741733</v>
      </c>
    </row>
    <row r="94" spans="1:18" x14ac:dyDescent="0.3">
      <c r="A94" s="6" t="s">
        <v>34</v>
      </c>
      <c r="B94" s="6" t="s">
        <v>697</v>
      </c>
      <c r="C94" s="6" t="s">
        <v>698</v>
      </c>
      <c r="D94" s="6" t="s">
        <v>266</v>
      </c>
      <c r="E94" s="6" t="s">
        <v>268</v>
      </c>
      <c r="F94" s="6" t="s">
        <v>475</v>
      </c>
      <c r="G94" s="6">
        <v>355</v>
      </c>
      <c r="H94" s="6" t="s">
        <v>476</v>
      </c>
      <c r="I94" s="7">
        <v>62.27</v>
      </c>
      <c r="J94" s="7">
        <v>4.9000000000000004</v>
      </c>
      <c r="K94" s="7">
        <v>4.4000000000000004</v>
      </c>
      <c r="L94" s="7">
        <v>4.9000000000000004</v>
      </c>
      <c r="M94" s="6" t="s">
        <v>472</v>
      </c>
      <c r="N94" s="6" t="s">
        <v>675</v>
      </c>
      <c r="O94" s="7">
        <v>-23.539809210804211</v>
      </c>
      <c r="P94" s="7">
        <v>-46.392567097741733</v>
      </c>
      <c r="Q94" s="7">
        <v>-23.540238172520599</v>
      </c>
      <c r="R94" s="7">
        <v>-46.392172750576698</v>
      </c>
    </row>
    <row r="95" spans="1:18" x14ac:dyDescent="0.3">
      <c r="A95" s="6" t="s">
        <v>34</v>
      </c>
      <c r="B95" s="6" t="s">
        <v>699</v>
      </c>
      <c r="C95" s="6" t="s">
        <v>700</v>
      </c>
      <c r="D95" s="6" t="s">
        <v>268</v>
      </c>
      <c r="E95" s="6" t="s">
        <v>270</v>
      </c>
      <c r="F95" s="6" t="s">
        <v>475</v>
      </c>
      <c r="G95" s="6">
        <v>355</v>
      </c>
      <c r="H95" s="6" t="s">
        <v>476</v>
      </c>
      <c r="I95" s="7">
        <v>76.75</v>
      </c>
      <c r="J95" s="7">
        <v>4.4000000000000004</v>
      </c>
      <c r="K95" s="7">
        <v>4.01</v>
      </c>
      <c r="L95" s="7">
        <v>4.4000000000000004</v>
      </c>
      <c r="M95" s="6" t="s">
        <v>472</v>
      </c>
      <c r="N95" s="6" t="s">
        <v>675</v>
      </c>
      <c r="O95" s="7">
        <v>-23.540238172520599</v>
      </c>
      <c r="P95" s="7">
        <v>-46.392172750576698</v>
      </c>
      <c r="Q95" s="7">
        <v>-23.54078048237465</v>
      </c>
      <c r="R95" s="7">
        <v>-46.391704600778667</v>
      </c>
    </row>
    <row r="96" spans="1:18" x14ac:dyDescent="0.3">
      <c r="A96" s="6" t="s">
        <v>34</v>
      </c>
      <c r="B96" s="6" t="s">
        <v>701</v>
      </c>
      <c r="C96" s="6" t="s">
        <v>702</v>
      </c>
      <c r="D96" s="6" t="s">
        <v>229</v>
      </c>
      <c r="E96" s="6" t="s">
        <v>272</v>
      </c>
      <c r="F96" s="6" t="s">
        <v>475</v>
      </c>
      <c r="G96" s="6">
        <v>355</v>
      </c>
      <c r="H96" s="6" t="s">
        <v>476</v>
      </c>
      <c r="I96" s="7">
        <v>23.87</v>
      </c>
      <c r="J96" s="7">
        <v>3.89</v>
      </c>
      <c r="K96" s="7">
        <v>1.57</v>
      </c>
      <c r="L96" s="7">
        <v>3.89</v>
      </c>
      <c r="M96" s="6" t="s">
        <v>472</v>
      </c>
      <c r="N96" s="6" t="s">
        <v>675</v>
      </c>
      <c r="O96" s="7">
        <v>-23.535535781660151</v>
      </c>
      <c r="P96" s="7">
        <v>-46.393754824461297</v>
      </c>
      <c r="Q96" s="7">
        <v>-23.535495487001871</v>
      </c>
      <c r="R96" s="7">
        <v>-46.393984483001361</v>
      </c>
    </row>
    <row r="97" spans="1:18" x14ac:dyDescent="0.3">
      <c r="A97" s="6" t="s">
        <v>34</v>
      </c>
      <c r="B97" s="6" t="s">
        <v>703</v>
      </c>
      <c r="C97" s="6" t="s">
        <v>704</v>
      </c>
      <c r="D97" s="6" t="s">
        <v>272</v>
      </c>
      <c r="E97" s="6" t="s">
        <v>274</v>
      </c>
      <c r="F97" s="6" t="s">
        <v>475</v>
      </c>
      <c r="G97" s="6">
        <v>355</v>
      </c>
      <c r="H97" s="6" t="s">
        <v>476</v>
      </c>
      <c r="I97" s="7">
        <v>26.99</v>
      </c>
      <c r="J97" s="7">
        <v>1.57</v>
      </c>
      <c r="K97" s="7">
        <v>1.31</v>
      </c>
      <c r="L97" s="7">
        <v>1.57</v>
      </c>
      <c r="M97" s="6" t="s">
        <v>472</v>
      </c>
      <c r="N97" s="6" t="s">
        <v>675</v>
      </c>
      <c r="O97" s="7">
        <v>-23.535495487001871</v>
      </c>
      <c r="P97" s="7">
        <v>-46.393984483001361</v>
      </c>
      <c r="Q97" s="7">
        <v>-23.535374860977232</v>
      </c>
      <c r="R97" s="7">
        <v>-46.39421417616888</v>
      </c>
    </row>
    <row r="98" spans="1:18" x14ac:dyDescent="0.3">
      <c r="A98" s="6" t="s">
        <v>34</v>
      </c>
      <c r="B98" s="6" t="s">
        <v>705</v>
      </c>
      <c r="C98" s="6" t="s">
        <v>706</v>
      </c>
      <c r="D98" s="6" t="s">
        <v>164</v>
      </c>
      <c r="E98" s="6" t="s">
        <v>236</v>
      </c>
      <c r="F98" s="6" t="s">
        <v>475</v>
      </c>
      <c r="G98" s="6">
        <v>355</v>
      </c>
      <c r="H98" s="6" t="s">
        <v>476</v>
      </c>
      <c r="I98" s="7">
        <v>21.24</v>
      </c>
      <c r="J98" s="7">
        <v>4.1399999999999997</v>
      </c>
      <c r="K98" s="7">
        <v>3.32</v>
      </c>
      <c r="L98" s="7">
        <v>4.1399999999999997</v>
      </c>
      <c r="M98" s="6" t="s">
        <v>472</v>
      </c>
      <c r="N98" s="6" t="s">
        <v>675</v>
      </c>
      <c r="O98" s="7">
        <v>-23.536074557061418</v>
      </c>
      <c r="P98" s="7">
        <v>-46.393677744048787</v>
      </c>
      <c r="Q98" s="7">
        <v>-23.53605766386822</v>
      </c>
      <c r="R98" s="7">
        <v>-46.393884994376727</v>
      </c>
    </row>
    <row r="99" spans="1:18" x14ac:dyDescent="0.3">
      <c r="A99" s="6" t="s">
        <v>34</v>
      </c>
      <c r="B99" s="6" t="s">
        <v>707</v>
      </c>
      <c r="C99" s="6" t="s">
        <v>708</v>
      </c>
      <c r="D99" s="6" t="s">
        <v>236</v>
      </c>
      <c r="E99" s="6" t="s">
        <v>277</v>
      </c>
      <c r="F99" s="6" t="s">
        <v>475</v>
      </c>
      <c r="G99" s="6">
        <v>355</v>
      </c>
      <c r="H99" s="6" t="s">
        <v>476</v>
      </c>
      <c r="I99" s="7">
        <v>4.9800000000000004</v>
      </c>
      <c r="J99" s="6">
        <v>2</v>
      </c>
      <c r="K99" s="6">
        <v>2</v>
      </c>
      <c r="L99" s="6">
        <v>2</v>
      </c>
      <c r="M99" s="6" t="s">
        <v>472</v>
      </c>
      <c r="N99" s="6" t="s">
        <v>675</v>
      </c>
      <c r="O99" s="7">
        <v>-23.53605766386822</v>
      </c>
      <c r="P99" s="7">
        <v>-46.393884994376727</v>
      </c>
      <c r="Q99" s="7">
        <v>-23.536070511222899</v>
      </c>
      <c r="R99" s="7">
        <v>-46.393931783273203</v>
      </c>
    </row>
    <row r="100" spans="1:18" x14ac:dyDescent="0.3">
      <c r="A100" s="6" t="s">
        <v>34</v>
      </c>
      <c r="B100" s="6" t="s">
        <v>709</v>
      </c>
      <c r="C100" s="6" t="s">
        <v>710</v>
      </c>
      <c r="D100" s="6" t="s">
        <v>239</v>
      </c>
      <c r="E100" s="6" t="s">
        <v>279</v>
      </c>
      <c r="F100" s="6" t="s">
        <v>475</v>
      </c>
      <c r="G100" s="6">
        <v>355</v>
      </c>
      <c r="H100" s="6" t="s">
        <v>476</v>
      </c>
      <c r="I100" s="7">
        <v>16.04</v>
      </c>
      <c r="J100" s="7">
        <v>3.27</v>
      </c>
      <c r="K100" s="7">
        <v>2.96</v>
      </c>
      <c r="L100" s="7">
        <v>3.27</v>
      </c>
      <c r="M100" s="6" t="s">
        <v>472</v>
      </c>
      <c r="N100" s="6" t="s">
        <v>675</v>
      </c>
      <c r="O100" s="7">
        <v>-23.536581293839099</v>
      </c>
      <c r="P100" s="7">
        <v>-46.393669850604603</v>
      </c>
      <c r="Q100" s="7">
        <v>-23.536581918504041</v>
      </c>
      <c r="R100" s="7">
        <v>-46.393826949732833</v>
      </c>
    </row>
    <row r="101" spans="1:18" x14ac:dyDescent="0.3">
      <c r="A101" s="6" t="s">
        <v>34</v>
      </c>
      <c r="B101" s="6" t="s">
        <v>711</v>
      </c>
      <c r="C101" s="6" t="s">
        <v>712</v>
      </c>
      <c r="D101" s="6" t="s">
        <v>242</v>
      </c>
      <c r="E101" s="6" t="s">
        <v>281</v>
      </c>
      <c r="F101" s="6" t="s">
        <v>475</v>
      </c>
      <c r="G101" s="6">
        <v>355</v>
      </c>
      <c r="H101" s="6" t="s">
        <v>476</v>
      </c>
      <c r="I101" s="7">
        <v>22.39</v>
      </c>
      <c r="J101" s="7">
        <v>3.86</v>
      </c>
      <c r="K101" s="7">
        <v>2.92</v>
      </c>
      <c r="L101" s="7">
        <v>3.86</v>
      </c>
      <c r="M101" s="6" t="s">
        <v>472</v>
      </c>
      <c r="N101" s="6" t="s">
        <v>675</v>
      </c>
      <c r="O101" s="7">
        <v>-23.5372304548352</v>
      </c>
      <c r="P101" s="7">
        <v>-46.393617999096797</v>
      </c>
      <c r="Q101" s="7">
        <v>-23.537265049527729</v>
      </c>
      <c r="R101" s="7">
        <v>-46.393834080493427</v>
      </c>
    </row>
    <row r="102" spans="1:18" x14ac:dyDescent="0.3">
      <c r="A102" s="6" t="s">
        <v>34</v>
      </c>
      <c r="B102" s="6" t="s">
        <v>713</v>
      </c>
      <c r="C102" s="6" t="s">
        <v>714</v>
      </c>
      <c r="D102" s="6" t="s">
        <v>281</v>
      </c>
      <c r="E102" s="6" t="s">
        <v>283</v>
      </c>
      <c r="F102" s="6" t="s">
        <v>475</v>
      </c>
      <c r="G102" s="6">
        <v>355</v>
      </c>
      <c r="H102" s="6" t="s">
        <v>476</v>
      </c>
      <c r="I102" s="7">
        <v>6.04</v>
      </c>
      <c r="J102" s="7">
        <v>1.1399999999999999</v>
      </c>
      <c r="K102" s="6">
        <v>1</v>
      </c>
      <c r="L102" s="7">
        <v>1.1399999999999999</v>
      </c>
      <c r="M102" s="6" t="s">
        <v>472</v>
      </c>
      <c r="N102" s="6" t="s">
        <v>675</v>
      </c>
      <c r="O102" s="7">
        <v>-23.537265049527729</v>
      </c>
      <c r="P102" s="7">
        <v>-46.393834080493427</v>
      </c>
      <c r="Q102" s="7">
        <v>-23.537304664812911</v>
      </c>
      <c r="R102" s="7">
        <v>-46.393874814521602</v>
      </c>
    </row>
    <row r="103" spans="1:18" x14ac:dyDescent="0.3">
      <c r="A103" s="6" t="s">
        <v>34</v>
      </c>
      <c r="B103" s="6" t="s">
        <v>715</v>
      </c>
      <c r="C103" s="6" t="s">
        <v>716</v>
      </c>
      <c r="D103" s="6" t="s">
        <v>168</v>
      </c>
      <c r="E103" s="6" t="s">
        <v>285</v>
      </c>
      <c r="F103" s="6" t="s">
        <v>475</v>
      </c>
      <c r="G103" s="6">
        <v>355</v>
      </c>
      <c r="H103" s="6" t="s">
        <v>476</v>
      </c>
      <c r="I103" s="7">
        <v>18.29</v>
      </c>
      <c r="J103" s="7">
        <v>4.63</v>
      </c>
      <c r="K103" s="7">
        <v>2.62</v>
      </c>
      <c r="L103" s="7">
        <v>4.63</v>
      </c>
      <c r="M103" s="6" t="s">
        <v>472</v>
      </c>
      <c r="N103" s="6" t="s">
        <v>675</v>
      </c>
      <c r="O103" s="7">
        <v>-23.53776999032625</v>
      </c>
      <c r="P103" s="7">
        <v>-46.39342680270682</v>
      </c>
      <c r="Q103" s="7">
        <v>-23.537812076060089</v>
      </c>
      <c r="R103" s="7">
        <v>-46.393600080891758</v>
      </c>
    </row>
    <row r="104" spans="1:18" x14ac:dyDescent="0.3">
      <c r="A104" s="6" t="s">
        <v>34</v>
      </c>
      <c r="B104" s="6" t="s">
        <v>717</v>
      </c>
      <c r="C104" s="6" t="s">
        <v>718</v>
      </c>
      <c r="D104" s="6" t="s">
        <v>264</v>
      </c>
      <c r="E104" s="6" t="s">
        <v>287</v>
      </c>
      <c r="F104" s="6" t="s">
        <v>475</v>
      </c>
      <c r="G104" s="6">
        <v>355</v>
      </c>
      <c r="H104" s="6" t="s">
        <v>476</v>
      </c>
      <c r="I104" s="7">
        <v>14.32</v>
      </c>
      <c r="J104" s="7">
        <v>4.1399999999999997</v>
      </c>
      <c r="K104" s="7">
        <v>2.77</v>
      </c>
      <c r="L104" s="7">
        <v>4.1399999999999997</v>
      </c>
      <c r="M104" s="6" t="s">
        <v>472</v>
      </c>
      <c r="N104" s="6" t="s">
        <v>675</v>
      </c>
      <c r="O104" s="7">
        <v>-23.539177732030961</v>
      </c>
      <c r="P104" s="7">
        <v>-46.392683603256813</v>
      </c>
      <c r="Q104" s="7">
        <v>-23.539227942998352</v>
      </c>
      <c r="R104" s="7">
        <v>-46.392812880408918</v>
      </c>
    </row>
    <row r="105" spans="1:18" x14ac:dyDescent="0.3">
      <c r="A105" s="6" t="s">
        <v>34</v>
      </c>
      <c r="B105" s="6" t="s">
        <v>719</v>
      </c>
      <c r="C105" s="6" t="s">
        <v>720</v>
      </c>
      <c r="D105" s="6" t="s">
        <v>287</v>
      </c>
      <c r="E105" s="6" t="s">
        <v>289</v>
      </c>
      <c r="F105" s="6" t="s">
        <v>475</v>
      </c>
      <c r="G105" s="6">
        <v>355</v>
      </c>
      <c r="H105" s="6" t="s">
        <v>476</v>
      </c>
      <c r="I105" s="7">
        <v>1.56</v>
      </c>
      <c r="J105" s="7">
        <v>2.2999999999999998</v>
      </c>
      <c r="K105" s="7">
        <v>1.98</v>
      </c>
      <c r="L105" s="7">
        <v>2.2999999999999998</v>
      </c>
      <c r="M105" s="6" t="s">
        <v>472</v>
      </c>
      <c r="N105" s="6" t="s">
        <v>675</v>
      </c>
      <c r="O105" s="7">
        <v>-23.539227942998352</v>
      </c>
      <c r="P105" s="7">
        <v>-46.392812880408918</v>
      </c>
      <c r="Q105" s="7">
        <v>-23.539228583324721</v>
      </c>
      <c r="R105" s="7">
        <v>-46.392828108924483</v>
      </c>
    </row>
    <row r="106" spans="1:18" x14ac:dyDescent="0.3">
      <c r="A106" s="6" t="s">
        <v>34</v>
      </c>
      <c r="B106" s="6" t="s">
        <v>721</v>
      </c>
      <c r="C106" s="6" t="s">
        <v>722</v>
      </c>
      <c r="D106" s="6" t="s">
        <v>266</v>
      </c>
      <c r="E106" s="6" t="s">
        <v>291</v>
      </c>
      <c r="F106" s="6" t="s">
        <v>475</v>
      </c>
      <c r="G106" s="6">
        <v>355</v>
      </c>
      <c r="H106" s="6" t="s">
        <v>476</v>
      </c>
      <c r="I106" s="7">
        <v>12.67</v>
      </c>
      <c r="J106" s="7">
        <v>4.47</v>
      </c>
      <c r="K106" s="6">
        <v>3</v>
      </c>
      <c r="L106" s="7">
        <v>4.47</v>
      </c>
      <c r="M106" s="6" t="s">
        <v>472</v>
      </c>
      <c r="N106" s="6" t="s">
        <v>675</v>
      </c>
      <c r="O106" s="7">
        <v>-23.539809210804211</v>
      </c>
      <c r="P106" s="7">
        <v>-46.392567097741733</v>
      </c>
      <c r="Q106" s="7">
        <v>-23.539874414360121</v>
      </c>
      <c r="R106" s="7">
        <v>-46.392669018473534</v>
      </c>
    </row>
    <row r="107" spans="1:18" x14ac:dyDescent="0.3">
      <c r="A107" s="6" t="s">
        <v>34</v>
      </c>
      <c r="B107" s="6" t="s">
        <v>723</v>
      </c>
      <c r="C107" s="6" t="s">
        <v>724</v>
      </c>
      <c r="D107" s="6" t="s">
        <v>268</v>
      </c>
      <c r="E107" s="6" t="s">
        <v>293</v>
      </c>
      <c r="F107" s="6" t="s">
        <v>475</v>
      </c>
      <c r="G107" s="6">
        <v>355</v>
      </c>
      <c r="H107" s="6" t="s">
        <v>476</v>
      </c>
      <c r="I107" s="7">
        <v>11.21</v>
      </c>
      <c r="J107" s="7">
        <v>4.33</v>
      </c>
      <c r="K107" s="7">
        <v>2.65</v>
      </c>
      <c r="L107" s="7">
        <v>4.33</v>
      </c>
      <c r="M107" s="6" t="s">
        <v>472</v>
      </c>
      <c r="N107" s="6" t="s">
        <v>675</v>
      </c>
      <c r="O107" s="7">
        <v>-23.540238172520599</v>
      </c>
      <c r="P107" s="7">
        <v>-46.392172750576698</v>
      </c>
      <c r="Q107" s="7">
        <v>-23.540305477600469</v>
      </c>
      <c r="R107" s="7">
        <v>-46.3922548189284</v>
      </c>
    </row>
    <row r="108" spans="1:18" x14ac:dyDescent="0.3">
      <c r="A108" s="6" t="s">
        <v>34</v>
      </c>
      <c r="B108" s="6" t="s">
        <v>725</v>
      </c>
      <c r="C108" s="6" t="s">
        <v>726</v>
      </c>
      <c r="D108" s="6" t="s">
        <v>270</v>
      </c>
      <c r="E108" s="6" t="s">
        <v>295</v>
      </c>
      <c r="F108" s="6" t="s">
        <v>475</v>
      </c>
      <c r="G108" s="6">
        <v>355</v>
      </c>
      <c r="H108" s="6" t="s">
        <v>476</v>
      </c>
      <c r="I108" s="7">
        <v>25.62</v>
      </c>
      <c r="J108" s="7">
        <v>3.84</v>
      </c>
      <c r="K108" s="7">
        <v>3.2</v>
      </c>
      <c r="L108" s="7">
        <v>3.84</v>
      </c>
      <c r="M108" s="6" t="s">
        <v>472</v>
      </c>
      <c r="N108" s="6" t="s">
        <v>675</v>
      </c>
      <c r="O108" s="7">
        <v>-23.54078048237465</v>
      </c>
      <c r="P108" s="7">
        <v>-46.391704600778667</v>
      </c>
      <c r="Q108" s="7">
        <v>-23.54095673955473</v>
      </c>
      <c r="R108" s="7">
        <v>-46.391867207322441</v>
      </c>
    </row>
    <row r="109" spans="1:18" x14ac:dyDescent="0.3">
      <c r="A109" s="6" t="s">
        <v>37</v>
      </c>
      <c r="B109" s="6" t="s">
        <v>727</v>
      </c>
      <c r="C109" s="6" t="s">
        <v>728</v>
      </c>
      <c r="D109" s="6" t="s">
        <v>309</v>
      </c>
      <c r="E109" s="6" t="s">
        <v>302</v>
      </c>
      <c r="F109" s="6" t="s">
        <v>470</v>
      </c>
      <c r="G109" s="6">
        <v>200</v>
      </c>
      <c r="H109" s="6" t="s">
        <v>471</v>
      </c>
      <c r="I109" s="7">
        <v>42.29</v>
      </c>
      <c r="J109" s="7">
        <v>1.23</v>
      </c>
      <c r="K109" s="7">
        <v>1.17</v>
      </c>
      <c r="L109" s="7">
        <v>1.23</v>
      </c>
      <c r="M109" s="6" t="s">
        <v>472</v>
      </c>
      <c r="N109" s="6"/>
      <c r="O109" s="7">
        <v>-23.523717900000001</v>
      </c>
      <c r="P109" s="7">
        <v>-46.385238600000001</v>
      </c>
      <c r="Q109" s="7">
        <v>-23.5239814</v>
      </c>
      <c r="R109" s="7">
        <v>-46.385538400000002</v>
      </c>
    </row>
    <row r="110" spans="1:18" x14ac:dyDescent="0.3">
      <c r="A110" s="6" t="s">
        <v>37</v>
      </c>
      <c r="B110" s="6" t="s">
        <v>729</v>
      </c>
      <c r="C110" s="6" t="s">
        <v>730</v>
      </c>
      <c r="D110" s="6" t="s">
        <v>302</v>
      </c>
      <c r="E110" s="6" t="s">
        <v>307</v>
      </c>
      <c r="F110" s="6" t="s">
        <v>470</v>
      </c>
      <c r="G110" s="6">
        <v>200</v>
      </c>
      <c r="H110" s="6" t="s">
        <v>471</v>
      </c>
      <c r="I110" s="7">
        <v>5.19</v>
      </c>
      <c r="J110" s="7">
        <v>1.17</v>
      </c>
      <c r="K110" s="6">
        <v>1</v>
      </c>
      <c r="L110" s="7">
        <v>1.17</v>
      </c>
      <c r="M110" s="6" t="s">
        <v>472</v>
      </c>
      <c r="N110" s="6"/>
      <c r="O110" s="7">
        <v>-23.5239814</v>
      </c>
      <c r="P110" s="7">
        <v>-46.385538400000002</v>
      </c>
      <c r="Q110" s="7">
        <v>-23.5240142</v>
      </c>
      <c r="R110" s="7">
        <v>-46.385575299999999</v>
      </c>
    </row>
    <row r="111" spans="1:18" x14ac:dyDescent="0.3">
      <c r="A111" s="6" t="s">
        <v>37</v>
      </c>
      <c r="B111" s="6" t="s">
        <v>731</v>
      </c>
      <c r="C111" s="6" t="s">
        <v>732</v>
      </c>
      <c r="D111" s="6" t="s">
        <v>307</v>
      </c>
      <c r="E111" s="6" t="s">
        <v>306</v>
      </c>
      <c r="F111" s="6" t="s">
        <v>470</v>
      </c>
      <c r="G111" s="6">
        <v>200</v>
      </c>
      <c r="H111" s="6" t="s">
        <v>471</v>
      </c>
      <c r="I111" s="7">
        <v>6.95</v>
      </c>
      <c r="J111" s="6">
        <v>1</v>
      </c>
      <c r="K111" s="7">
        <v>0.98</v>
      </c>
      <c r="L111" s="6">
        <v>1</v>
      </c>
      <c r="M111" s="6" t="s">
        <v>472</v>
      </c>
      <c r="N111" s="6"/>
      <c r="O111" s="7">
        <v>-23.5240142</v>
      </c>
      <c r="P111" s="7">
        <v>-46.385575299999999</v>
      </c>
      <c r="Q111" s="7">
        <v>-23.524028999999999</v>
      </c>
      <c r="R111" s="7">
        <v>-46.385641</v>
      </c>
    </row>
    <row r="112" spans="1:18" x14ac:dyDescent="0.3">
      <c r="A112" s="6" t="s">
        <v>37</v>
      </c>
      <c r="B112" s="6" t="s">
        <v>733</v>
      </c>
      <c r="C112" s="6" t="s">
        <v>734</v>
      </c>
      <c r="D112" s="6" t="s">
        <v>311</v>
      </c>
      <c r="E112" s="6" t="s">
        <v>300</v>
      </c>
      <c r="F112" s="6" t="s">
        <v>470</v>
      </c>
      <c r="G112" s="6">
        <v>200</v>
      </c>
      <c r="H112" s="6" t="s">
        <v>471</v>
      </c>
      <c r="I112" s="7">
        <v>22.89</v>
      </c>
      <c r="J112" s="7">
        <v>1.18</v>
      </c>
      <c r="K112" s="7">
        <v>2.2799999999999998</v>
      </c>
      <c r="L112" s="7">
        <v>2.2799999999999998</v>
      </c>
      <c r="M112" s="6" t="s">
        <v>472</v>
      </c>
      <c r="N112" s="6"/>
      <c r="O112" s="7">
        <v>-23.5238908</v>
      </c>
      <c r="P112" s="7">
        <v>-46.386338700000003</v>
      </c>
      <c r="Q112" s="7">
        <v>-23.523953599999999</v>
      </c>
      <c r="R112" s="7">
        <v>-46.386125</v>
      </c>
    </row>
    <row r="113" spans="1:18" x14ac:dyDescent="0.3">
      <c r="A113" s="6" t="s">
        <v>37</v>
      </c>
      <c r="B113" s="6" t="s">
        <v>735</v>
      </c>
      <c r="C113" s="6" t="s">
        <v>736</v>
      </c>
      <c r="D113" s="6" t="s">
        <v>304</v>
      </c>
      <c r="E113" s="6" t="s">
        <v>311</v>
      </c>
      <c r="F113" s="6" t="s">
        <v>470</v>
      </c>
      <c r="G113" s="6">
        <v>200</v>
      </c>
      <c r="H113" s="6" t="s">
        <v>471</v>
      </c>
      <c r="I113" s="7">
        <v>35.71</v>
      </c>
      <c r="J113" s="7">
        <v>0.95</v>
      </c>
      <c r="K113" s="7">
        <v>1.18</v>
      </c>
      <c r="L113" s="7">
        <v>1.18</v>
      </c>
      <c r="M113" s="6" t="s">
        <v>472</v>
      </c>
      <c r="N113" s="6"/>
      <c r="O113" s="7">
        <v>-23.523789600000001</v>
      </c>
      <c r="P113" s="7">
        <v>-46.386670700000003</v>
      </c>
      <c r="Q113" s="7">
        <v>-23.5238908</v>
      </c>
      <c r="R113" s="7">
        <v>-46.386338700000003</v>
      </c>
    </row>
    <row r="114" spans="1:18" x14ac:dyDescent="0.3">
      <c r="A114" s="6" t="s">
        <v>37</v>
      </c>
      <c r="B114" s="6" t="s">
        <v>737</v>
      </c>
      <c r="C114" s="6" t="s">
        <v>738</v>
      </c>
      <c r="D114" s="6" t="s">
        <v>298</v>
      </c>
      <c r="E114" s="6" t="s">
        <v>297</v>
      </c>
      <c r="F114" s="6" t="s">
        <v>475</v>
      </c>
      <c r="G114" s="6">
        <v>355</v>
      </c>
      <c r="H114" s="6" t="s">
        <v>476</v>
      </c>
      <c r="I114" s="7">
        <v>71.62</v>
      </c>
      <c r="J114" s="6">
        <v>12</v>
      </c>
      <c r="K114" s="7">
        <v>9.4</v>
      </c>
      <c r="L114" s="6">
        <v>12</v>
      </c>
      <c r="M114" s="6" t="s">
        <v>472</v>
      </c>
      <c r="N114" s="6"/>
      <c r="O114" s="7">
        <v>-23.5237689</v>
      </c>
      <c r="P114" s="7">
        <v>-46.386821400000002</v>
      </c>
      <c r="Q114" s="7">
        <v>-23.524013799999999</v>
      </c>
      <c r="R114" s="7">
        <v>-46.387470700000002</v>
      </c>
    </row>
    <row r="115" spans="1:18" x14ac:dyDescent="0.3">
      <c r="A115" s="6" t="s">
        <v>37</v>
      </c>
      <c r="B115" s="6" t="s">
        <v>739</v>
      </c>
      <c r="C115" s="6" t="s">
        <v>740</v>
      </c>
      <c r="D115" s="6" t="s">
        <v>297</v>
      </c>
      <c r="E115" s="6" t="s">
        <v>296</v>
      </c>
      <c r="F115" s="6" t="s">
        <v>475</v>
      </c>
      <c r="G115" s="6">
        <v>355</v>
      </c>
      <c r="H115" s="6" t="s">
        <v>476</v>
      </c>
      <c r="I115" s="7">
        <v>74.099999999999994</v>
      </c>
      <c r="J115" s="7">
        <v>9.4</v>
      </c>
      <c r="K115" s="7">
        <v>5.72</v>
      </c>
      <c r="L115" s="7">
        <v>9.4</v>
      </c>
      <c r="M115" s="6" t="s">
        <v>472</v>
      </c>
      <c r="N115" s="6"/>
      <c r="O115" s="7">
        <v>-23.524013799999999</v>
      </c>
      <c r="P115" s="7">
        <v>-46.387470700000002</v>
      </c>
      <c r="Q115" s="7">
        <v>-23.524234499999999</v>
      </c>
      <c r="R115" s="7">
        <v>-46.3881558</v>
      </c>
    </row>
    <row r="116" spans="1:18" x14ac:dyDescent="0.3">
      <c r="A116" s="6" t="s">
        <v>37</v>
      </c>
      <c r="B116" s="6" t="s">
        <v>741</v>
      </c>
      <c r="C116" s="6" t="s">
        <v>742</v>
      </c>
      <c r="D116" s="6" t="s">
        <v>296</v>
      </c>
      <c r="E116" s="6" t="s">
        <v>313</v>
      </c>
      <c r="F116" s="6" t="s">
        <v>475</v>
      </c>
      <c r="G116" s="6">
        <v>355</v>
      </c>
      <c r="H116" s="6" t="s">
        <v>476</v>
      </c>
      <c r="I116" s="7">
        <v>82.22</v>
      </c>
      <c r="J116" s="7">
        <v>5.72</v>
      </c>
      <c r="K116" s="7">
        <v>1.85</v>
      </c>
      <c r="L116" s="7">
        <v>5.72</v>
      </c>
      <c r="M116" s="6" t="s">
        <v>472</v>
      </c>
      <c r="N116" s="6"/>
      <c r="O116" s="7">
        <v>-23.524234499999999</v>
      </c>
      <c r="P116" s="7">
        <v>-46.3881558</v>
      </c>
      <c r="Q116" s="7">
        <v>-23.524441599999999</v>
      </c>
      <c r="R116" s="7">
        <v>-46.3889292</v>
      </c>
    </row>
    <row r="117" spans="1:18" x14ac:dyDescent="0.3">
      <c r="A117" s="6" t="s">
        <v>37</v>
      </c>
      <c r="B117" s="6" t="s">
        <v>743</v>
      </c>
      <c r="C117" s="6" t="s">
        <v>744</v>
      </c>
      <c r="D117" s="6" t="s">
        <v>300</v>
      </c>
      <c r="E117" s="6" t="s">
        <v>299</v>
      </c>
      <c r="F117" s="6" t="s">
        <v>470</v>
      </c>
      <c r="G117" s="6">
        <v>200</v>
      </c>
      <c r="H117" s="6" t="s">
        <v>471</v>
      </c>
      <c r="I117" s="7">
        <v>1.82</v>
      </c>
      <c r="J117" s="7">
        <v>2.2999999999999998</v>
      </c>
      <c r="K117" s="7">
        <v>2.33</v>
      </c>
      <c r="L117" s="7">
        <v>2.33</v>
      </c>
      <c r="M117" s="6" t="s">
        <v>472</v>
      </c>
      <c r="N117" s="6"/>
      <c r="O117" s="7">
        <v>-23.523953599999999</v>
      </c>
      <c r="P117" s="7">
        <v>-46.386125</v>
      </c>
      <c r="Q117" s="7">
        <v>-23.523962000000001</v>
      </c>
      <c r="R117" s="7">
        <v>-46.386140400000002</v>
      </c>
    </row>
    <row r="118" spans="1:18" x14ac:dyDescent="0.3">
      <c r="A118" s="6" t="s">
        <v>37</v>
      </c>
      <c r="B118" s="6" t="s">
        <v>745</v>
      </c>
      <c r="C118" s="6" t="s">
        <v>746</v>
      </c>
      <c r="D118" s="6" t="s">
        <v>306</v>
      </c>
      <c r="E118" s="6" t="s">
        <v>300</v>
      </c>
      <c r="F118" s="6" t="s">
        <v>470</v>
      </c>
      <c r="G118" s="6">
        <v>200</v>
      </c>
      <c r="H118" s="6" t="s">
        <v>471</v>
      </c>
      <c r="I118" s="7">
        <v>50.13</v>
      </c>
      <c r="J118" s="7">
        <v>0.98</v>
      </c>
      <c r="K118" s="7">
        <v>2.2799999999999998</v>
      </c>
      <c r="L118" s="7">
        <v>2.2799999999999998</v>
      </c>
      <c r="M118" s="6" t="s">
        <v>472</v>
      </c>
      <c r="N118" s="6"/>
      <c r="O118" s="7">
        <v>-23.524028999999999</v>
      </c>
      <c r="P118" s="7">
        <v>-46.385641</v>
      </c>
      <c r="Q118" s="7">
        <v>-23.523953599999999</v>
      </c>
      <c r="R118" s="7">
        <v>-46.386125</v>
      </c>
    </row>
    <row r="119" spans="1:18" x14ac:dyDescent="0.3">
      <c r="A119" s="6" t="s">
        <v>37</v>
      </c>
      <c r="B119" s="6" t="s">
        <v>747</v>
      </c>
      <c r="C119" s="6" t="s">
        <v>748</v>
      </c>
      <c r="D119" s="6" t="s">
        <v>299</v>
      </c>
      <c r="E119" s="6" t="s">
        <v>298</v>
      </c>
      <c r="F119" s="6" t="s">
        <v>475</v>
      </c>
      <c r="G119" s="6">
        <v>355</v>
      </c>
      <c r="H119" s="6" t="s">
        <v>476</v>
      </c>
      <c r="I119" s="7">
        <v>72.739999999999995</v>
      </c>
      <c r="J119" s="7">
        <v>2.72</v>
      </c>
      <c r="K119" s="6">
        <v>12</v>
      </c>
      <c r="L119" s="6">
        <v>12</v>
      </c>
      <c r="M119" s="6" t="s">
        <v>472</v>
      </c>
      <c r="N119" s="6"/>
      <c r="O119" s="7">
        <v>-23.523962000000001</v>
      </c>
      <c r="P119" s="7">
        <v>-46.386140400000002</v>
      </c>
      <c r="Q119" s="7">
        <v>-23.5237689</v>
      </c>
      <c r="R119" s="7">
        <v>-46.386821400000002</v>
      </c>
    </row>
    <row r="120" spans="1:18" x14ac:dyDescent="0.3">
      <c r="A120" s="6" t="s">
        <v>37</v>
      </c>
      <c r="B120" s="6" t="s">
        <v>749</v>
      </c>
      <c r="C120" s="6" t="s">
        <v>750</v>
      </c>
      <c r="D120" s="6" t="s">
        <v>313</v>
      </c>
      <c r="E120" s="6"/>
      <c r="F120" s="6" t="s">
        <v>470</v>
      </c>
      <c r="G120" s="6">
        <v>300</v>
      </c>
      <c r="H120" s="6" t="s">
        <v>471</v>
      </c>
      <c r="I120" s="7">
        <v>4.71</v>
      </c>
      <c r="J120" s="7">
        <v>1.85</v>
      </c>
      <c r="K120" s="7">
        <v>1.83</v>
      </c>
      <c r="L120" s="7">
        <v>1.85</v>
      </c>
      <c r="M120" s="6" t="s">
        <v>472</v>
      </c>
      <c r="N120" s="6"/>
      <c r="O120" s="7">
        <v>-23.524441599999999</v>
      </c>
      <c r="P120" s="7">
        <v>-46.3889292</v>
      </c>
      <c r="Q120" s="7">
        <v>-23.5244614</v>
      </c>
      <c r="R120" s="7">
        <v>-46.388970100000002</v>
      </c>
    </row>
    <row r="121" spans="1:18" x14ac:dyDescent="0.3">
      <c r="A121" s="6" t="s">
        <v>39</v>
      </c>
      <c r="B121" s="6" t="s">
        <v>751</v>
      </c>
      <c r="C121" s="6" t="s">
        <v>654</v>
      </c>
      <c r="D121" s="6" t="s">
        <v>162</v>
      </c>
      <c r="E121" s="6" t="s">
        <v>229</v>
      </c>
      <c r="F121" s="6" t="s">
        <v>752</v>
      </c>
      <c r="G121" s="6">
        <v>200</v>
      </c>
      <c r="H121" s="6" t="s">
        <v>753</v>
      </c>
      <c r="I121" s="7">
        <v>2.54</v>
      </c>
      <c r="J121" s="7">
        <v>3.35</v>
      </c>
      <c r="K121" s="7">
        <v>3.45</v>
      </c>
      <c r="L121" s="7">
        <v>3.45</v>
      </c>
      <c r="M121" s="6" t="s">
        <v>472</v>
      </c>
      <c r="N121" s="6" t="s">
        <v>754</v>
      </c>
      <c r="O121" s="7">
        <v>-23.501485299999999</v>
      </c>
      <c r="P121" s="7">
        <v>-46.400487900000002</v>
      </c>
      <c r="Q121" s="7">
        <v>-23.501508000000001</v>
      </c>
      <c r="R121" s="7">
        <v>-46.400490900000001</v>
      </c>
    </row>
    <row r="122" spans="1:18" x14ac:dyDescent="0.3">
      <c r="A122" s="6" t="s">
        <v>39</v>
      </c>
      <c r="B122" s="6" t="s">
        <v>755</v>
      </c>
      <c r="C122" s="6" t="s">
        <v>648</v>
      </c>
      <c r="D122" s="6" t="s">
        <v>229</v>
      </c>
      <c r="E122" s="6" t="s">
        <v>164</v>
      </c>
      <c r="F122" s="6" t="s">
        <v>752</v>
      </c>
      <c r="G122" s="6">
        <v>200</v>
      </c>
      <c r="H122" s="6" t="s">
        <v>753</v>
      </c>
      <c r="I122" s="7">
        <v>55.22</v>
      </c>
      <c r="J122" s="7">
        <v>3.45</v>
      </c>
      <c r="K122" s="7">
        <v>7.55</v>
      </c>
      <c r="L122" s="7">
        <v>7.55</v>
      </c>
      <c r="M122" s="6" t="s">
        <v>472</v>
      </c>
      <c r="N122" s="6" t="s">
        <v>756</v>
      </c>
      <c r="O122" s="7">
        <v>-23.501508000000001</v>
      </c>
      <c r="P122" s="7">
        <v>-46.400490900000001</v>
      </c>
      <c r="Q122" s="7">
        <v>-23.502006699999999</v>
      </c>
      <c r="R122" s="7">
        <v>-46.400497299999998</v>
      </c>
    </row>
    <row r="123" spans="1:18" x14ac:dyDescent="0.3">
      <c r="A123" s="6" t="s">
        <v>39</v>
      </c>
      <c r="B123" s="6" t="s">
        <v>757</v>
      </c>
      <c r="C123" s="6" t="s">
        <v>660</v>
      </c>
      <c r="D123" s="6" t="s">
        <v>164</v>
      </c>
      <c r="E123" s="6" t="s">
        <v>239</v>
      </c>
      <c r="F123" s="6" t="s">
        <v>752</v>
      </c>
      <c r="G123" s="6">
        <v>200</v>
      </c>
      <c r="H123" s="6" t="s">
        <v>753</v>
      </c>
      <c r="I123" s="7">
        <v>85.51</v>
      </c>
      <c r="J123" s="7">
        <v>7.55</v>
      </c>
      <c r="K123" s="7">
        <v>2.2999999999999998</v>
      </c>
      <c r="L123" s="7">
        <v>7.55</v>
      </c>
      <c r="M123" s="6" t="s">
        <v>472</v>
      </c>
      <c r="N123" s="6" t="s">
        <v>758</v>
      </c>
      <c r="O123" s="7">
        <v>-23.502006699999999</v>
      </c>
      <c r="P123" s="7">
        <v>-46.400497299999998</v>
      </c>
      <c r="Q123" s="7">
        <v>-23.502019199999999</v>
      </c>
      <c r="R123" s="7">
        <v>-46.399660099999998</v>
      </c>
    </row>
    <row r="124" spans="1:18" x14ac:dyDescent="0.3">
      <c r="A124" s="6" t="s">
        <v>39</v>
      </c>
      <c r="B124" s="6" t="s">
        <v>759</v>
      </c>
      <c r="C124" s="6" t="s">
        <v>760</v>
      </c>
      <c r="D124" s="6" t="s">
        <v>239</v>
      </c>
      <c r="E124" s="6" t="s">
        <v>264</v>
      </c>
      <c r="F124" s="6" t="s">
        <v>752</v>
      </c>
      <c r="G124" s="6">
        <v>200</v>
      </c>
      <c r="H124" s="6" t="s">
        <v>753</v>
      </c>
      <c r="I124" s="7">
        <v>11.59</v>
      </c>
      <c r="J124" s="7">
        <v>2.2999999999999998</v>
      </c>
      <c r="K124" s="7">
        <v>1.97</v>
      </c>
      <c r="L124" s="7">
        <v>2.2999999999999998</v>
      </c>
      <c r="M124" s="6" t="s">
        <v>472</v>
      </c>
      <c r="N124" s="6" t="s">
        <v>761</v>
      </c>
      <c r="O124" s="7">
        <v>-23.502019199999999</v>
      </c>
      <c r="P124" s="7">
        <v>-46.399660099999998</v>
      </c>
      <c r="Q124" s="7">
        <v>-23.502018799999998</v>
      </c>
      <c r="R124" s="7">
        <v>-46.399546600000001</v>
      </c>
    </row>
    <row r="125" spans="1:18" x14ac:dyDescent="0.3">
      <c r="A125" s="6" t="s">
        <v>39</v>
      </c>
      <c r="B125" s="6" t="s">
        <v>762</v>
      </c>
      <c r="C125" s="6" t="s">
        <v>763</v>
      </c>
      <c r="D125" s="6" t="s">
        <v>264</v>
      </c>
      <c r="E125" s="6" t="s">
        <v>319</v>
      </c>
      <c r="F125" s="6" t="s">
        <v>752</v>
      </c>
      <c r="G125" s="6">
        <v>200</v>
      </c>
      <c r="H125" s="6" t="s">
        <v>753</v>
      </c>
      <c r="I125" s="7">
        <v>2.94</v>
      </c>
      <c r="J125" s="7">
        <v>1.7</v>
      </c>
      <c r="K125" s="7">
        <v>1.3</v>
      </c>
      <c r="L125" s="7">
        <v>1.7</v>
      </c>
      <c r="M125" s="6" t="s">
        <v>472</v>
      </c>
      <c r="N125" s="6" t="s">
        <v>764</v>
      </c>
      <c r="O125" s="7">
        <v>-23.502018799999998</v>
      </c>
      <c r="P125" s="7">
        <v>-46.399546600000001</v>
      </c>
      <c r="Q125" s="7">
        <v>-23.5019922</v>
      </c>
      <c r="R125" s="7">
        <v>-46.399546899999997</v>
      </c>
    </row>
    <row r="126" spans="1:18" x14ac:dyDescent="0.3">
      <c r="A126" s="6" t="s">
        <v>39</v>
      </c>
      <c r="B126" s="6" t="s">
        <v>765</v>
      </c>
      <c r="C126" s="6" t="s">
        <v>766</v>
      </c>
      <c r="D126" s="6" t="s">
        <v>264</v>
      </c>
      <c r="E126" s="6" t="s">
        <v>321</v>
      </c>
      <c r="F126" s="6" t="s">
        <v>752</v>
      </c>
      <c r="G126" s="6">
        <v>200</v>
      </c>
      <c r="H126" s="6" t="s">
        <v>753</v>
      </c>
      <c r="I126" s="7">
        <v>12.12</v>
      </c>
      <c r="J126" s="7">
        <v>1.97</v>
      </c>
      <c r="K126" s="7">
        <v>1.98</v>
      </c>
      <c r="L126" s="7">
        <v>1.98</v>
      </c>
      <c r="M126" s="6" t="s">
        <v>472</v>
      </c>
      <c r="N126" s="6" t="s">
        <v>767</v>
      </c>
      <c r="O126" s="7">
        <v>-23.502018799999998</v>
      </c>
      <c r="P126" s="7">
        <v>-46.399546600000001</v>
      </c>
      <c r="Q126" s="7">
        <v>-23.5020171</v>
      </c>
      <c r="R126" s="7">
        <v>-46.399427899999999</v>
      </c>
    </row>
    <row r="127" spans="1:18" x14ac:dyDescent="0.3">
      <c r="A127" s="6" t="s">
        <v>39</v>
      </c>
      <c r="B127" s="6" t="s">
        <v>768</v>
      </c>
      <c r="C127" s="6" t="s">
        <v>769</v>
      </c>
      <c r="D127" s="6" t="s">
        <v>321</v>
      </c>
      <c r="E127" s="6" t="s">
        <v>323</v>
      </c>
      <c r="F127" s="6" t="s">
        <v>752</v>
      </c>
      <c r="G127" s="6">
        <v>200</v>
      </c>
      <c r="H127" s="6" t="s">
        <v>753</v>
      </c>
      <c r="I127" s="7">
        <v>3.56</v>
      </c>
      <c r="J127" s="7">
        <v>1.85</v>
      </c>
      <c r="K127" s="7">
        <v>1.3</v>
      </c>
      <c r="L127" s="7">
        <v>1.85</v>
      </c>
      <c r="M127" s="6" t="s">
        <v>472</v>
      </c>
      <c r="N127" s="6" t="s">
        <v>770</v>
      </c>
      <c r="O127" s="7">
        <v>-23.5020171</v>
      </c>
      <c r="P127" s="7">
        <v>-46.399427899999999</v>
      </c>
      <c r="Q127" s="7">
        <v>-23.5019919</v>
      </c>
      <c r="R127" s="7">
        <v>-46.399406300000003</v>
      </c>
    </row>
    <row r="128" spans="1:18" x14ac:dyDescent="0.3">
      <c r="A128" s="6" t="s">
        <v>39</v>
      </c>
      <c r="B128" s="6" t="s">
        <v>771</v>
      </c>
      <c r="C128" s="6" t="s">
        <v>772</v>
      </c>
      <c r="D128" s="6" t="s">
        <v>321</v>
      </c>
      <c r="E128" s="6" t="s">
        <v>325</v>
      </c>
      <c r="F128" s="6" t="s">
        <v>752</v>
      </c>
      <c r="G128" s="6">
        <v>200</v>
      </c>
      <c r="H128" s="6" t="s">
        <v>753</v>
      </c>
      <c r="I128" s="7">
        <v>3.1</v>
      </c>
      <c r="J128" s="7">
        <v>1.3</v>
      </c>
      <c r="K128" s="7">
        <v>1.1499999999999999</v>
      </c>
      <c r="L128" s="7">
        <v>1.3</v>
      </c>
      <c r="M128" s="6" t="s">
        <v>472</v>
      </c>
      <c r="N128" s="6" t="s">
        <v>773</v>
      </c>
      <c r="O128" s="7">
        <v>-23.5020171</v>
      </c>
      <c r="P128" s="7">
        <v>-46.399427899999999</v>
      </c>
      <c r="Q128" s="7">
        <v>-23.502019000000001</v>
      </c>
      <c r="R128" s="7">
        <v>-46.3993976</v>
      </c>
    </row>
    <row r="129" spans="1:18" x14ac:dyDescent="0.3">
      <c r="A129" s="6" t="s">
        <v>39</v>
      </c>
      <c r="B129" s="6" t="s">
        <v>774</v>
      </c>
      <c r="C129" s="6" t="s">
        <v>663</v>
      </c>
      <c r="D129" s="6" t="s">
        <v>239</v>
      </c>
      <c r="E129" s="6" t="s">
        <v>166</v>
      </c>
      <c r="F129" s="6" t="s">
        <v>752</v>
      </c>
      <c r="G129" s="6">
        <v>200</v>
      </c>
      <c r="H129" s="6" t="s">
        <v>753</v>
      </c>
      <c r="I129" s="7">
        <v>46.33</v>
      </c>
      <c r="J129" s="7">
        <v>1.95</v>
      </c>
      <c r="K129" s="7">
        <v>2.9</v>
      </c>
      <c r="L129" s="7">
        <v>2.9</v>
      </c>
      <c r="M129" s="6" t="s">
        <v>472</v>
      </c>
      <c r="N129" s="6" t="s">
        <v>775</v>
      </c>
      <c r="O129" s="7">
        <v>-23.502019199999999</v>
      </c>
      <c r="P129" s="7">
        <v>-46.399660099999998</v>
      </c>
      <c r="Q129" s="7">
        <v>-23.502437499999999</v>
      </c>
      <c r="R129" s="7">
        <v>-46.399673499999999</v>
      </c>
    </row>
    <row r="130" spans="1:18" x14ac:dyDescent="0.3">
      <c r="A130" s="6" t="s">
        <v>39</v>
      </c>
      <c r="B130" s="6" t="s">
        <v>776</v>
      </c>
      <c r="C130" s="6" t="s">
        <v>777</v>
      </c>
      <c r="D130" s="6" t="s">
        <v>166</v>
      </c>
      <c r="E130" s="6" t="s">
        <v>328</v>
      </c>
      <c r="F130" s="6" t="s">
        <v>752</v>
      </c>
      <c r="G130" s="6">
        <v>200</v>
      </c>
      <c r="H130" s="6" t="s">
        <v>753</v>
      </c>
      <c r="I130" s="7">
        <v>48.86</v>
      </c>
      <c r="J130" s="7">
        <v>2.6</v>
      </c>
      <c r="K130" s="7">
        <v>1.8</v>
      </c>
      <c r="L130" s="7">
        <v>2.6</v>
      </c>
      <c r="M130" s="6" t="s">
        <v>472</v>
      </c>
      <c r="N130" s="6" t="s">
        <v>778</v>
      </c>
      <c r="O130" s="7">
        <v>-23.502437499999999</v>
      </c>
      <c r="P130" s="7">
        <v>-46.399673499999999</v>
      </c>
      <c r="Q130" s="7">
        <v>-23.502427099999998</v>
      </c>
      <c r="R130" s="7">
        <v>-46.3991951</v>
      </c>
    </row>
    <row r="131" spans="1:18" x14ac:dyDescent="0.3">
      <c r="A131" s="6" t="s">
        <v>39</v>
      </c>
      <c r="B131" s="6" t="s">
        <v>779</v>
      </c>
      <c r="C131" s="6" t="s">
        <v>780</v>
      </c>
      <c r="D131" s="6" t="s">
        <v>328</v>
      </c>
      <c r="E131" s="6" t="s">
        <v>330</v>
      </c>
      <c r="F131" s="6" t="s">
        <v>752</v>
      </c>
      <c r="G131" s="6">
        <v>200</v>
      </c>
      <c r="H131" s="6" t="s">
        <v>753</v>
      </c>
      <c r="I131" s="7">
        <v>2.11</v>
      </c>
      <c r="J131" s="7">
        <v>1.54</v>
      </c>
      <c r="K131" s="7">
        <v>1.4</v>
      </c>
      <c r="L131" s="7">
        <v>1.54</v>
      </c>
      <c r="M131" s="6" t="s">
        <v>472</v>
      </c>
      <c r="N131" s="6" t="s">
        <v>781</v>
      </c>
      <c r="O131" s="7">
        <v>-23.502427099999998</v>
      </c>
      <c r="P131" s="7">
        <v>-46.3991951</v>
      </c>
      <c r="Q131" s="7">
        <v>-23.502408500000001</v>
      </c>
      <c r="R131" s="7">
        <v>-46.3992</v>
      </c>
    </row>
    <row r="132" spans="1:18" x14ac:dyDescent="0.3">
      <c r="A132" s="6" t="s">
        <v>39</v>
      </c>
      <c r="B132" s="6" t="s">
        <v>782</v>
      </c>
      <c r="C132" s="6" t="s">
        <v>783</v>
      </c>
      <c r="D132" s="6" t="s">
        <v>328</v>
      </c>
      <c r="E132" s="6" t="s">
        <v>268</v>
      </c>
      <c r="F132" s="6" t="s">
        <v>752</v>
      </c>
      <c r="G132" s="6">
        <v>200</v>
      </c>
      <c r="H132" s="6" t="s">
        <v>753</v>
      </c>
      <c r="I132" s="7">
        <v>6.69</v>
      </c>
      <c r="J132" s="7">
        <v>1.8</v>
      </c>
      <c r="K132" s="7">
        <v>1.8</v>
      </c>
      <c r="L132" s="7">
        <v>1.8</v>
      </c>
      <c r="M132" s="6" t="s">
        <v>472</v>
      </c>
      <c r="N132" s="6" t="s">
        <v>784</v>
      </c>
      <c r="O132" s="7">
        <v>-23.502427099999998</v>
      </c>
      <c r="P132" s="7">
        <v>-46.3991951</v>
      </c>
      <c r="Q132" s="7">
        <v>-23.502424999999999</v>
      </c>
      <c r="R132" s="7">
        <v>-46.399129500000001</v>
      </c>
    </row>
    <row r="133" spans="1:18" x14ac:dyDescent="0.3">
      <c r="A133" s="6" t="s">
        <v>39</v>
      </c>
      <c r="B133" s="6" t="s">
        <v>785</v>
      </c>
      <c r="C133" s="6" t="s">
        <v>786</v>
      </c>
      <c r="D133" s="6" t="s">
        <v>268</v>
      </c>
      <c r="E133" s="6" t="s">
        <v>333</v>
      </c>
      <c r="F133" s="6" t="s">
        <v>752</v>
      </c>
      <c r="G133" s="6">
        <v>200</v>
      </c>
      <c r="H133" s="6" t="s">
        <v>753</v>
      </c>
      <c r="I133" s="7">
        <v>3.25</v>
      </c>
      <c r="J133" s="7">
        <v>1.75</v>
      </c>
      <c r="K133" s="7">
        <v>1.5</v>
      </c>
      <c r="L133" s="7">
        <v>1.75</v>
      </c>
      <c r="M133" s="6" t="s">
        <v>472</v>
      </c>
      <c r="N133" s="6" t="s">
        <v>787</v>
      </c>
      <c r="O133" s="7">
        <v>-23.502424999999999</v>
      </c>
      <c r="P133" s="7">
        <v>-46.399129500000001</v>
      </c>
      <c r="Q133" s="7">
        <v>-23.502396900000001</v>
      </c>
      <c r="R133" s="7">
        <v>-46.399120400000001</v>
      </c>
    </row>
    <row r="134" spans="1:18" x14ac:dyDescent="0.3">
      <c r="A134" s="6" t="s">
        <v>39</v>
      </c>
      <c r="B134" s="6" t="s">
        <v>788</v>
      </c>
      <c r="C134" s="6" t="s">
        <v>789</v>
      </c>
      <c r="D134" s="6" t="s">
        <v>268</v>
      </c>
      <c r="E134" s="6" t="s">
        <v>335</v>
      </c>
      <c r="F134" s="6" t="s">
        <v>752</v>
      </c>
      <c r="G134" s="6">
        <v>200</v>
      </c>
      <c r="H134" s="6" t="s">
        <v>753</v>
      </c>
      <c r="I134" s="7">
        <v>1.45</v>
      </c>
      <c r="J134" s="7">
        <v>1.02</v>
      </c>
      <c r="K134" s="7">
        <v>0.95</v>
      </c>
      <c r="L134" s="7">
        <v>1.02</v>
      </c>
      <c r="M134" s="6" t="s">
        <v>472</v>
      </c>
      <c r="N134" s="6" t="s">
        <v>790</v>
      </c>
      <c r="O134" s="7">
        <v>-23.502424999999999</v>
      </c>
      <c r="P134" s="7">
        <v>-46.399129500000001</v>
      </c>
      <c r="Q134" s="7">
        <v>-23.502438099999999</v>
      </c>
      <c r="R134" s="7">
        <v>-46.399127700000001</v>
      </c>
    </row>
    <row r="135" spans="1:18" x14ac:dyDescent="0.3">
      <c r="A135" s="6" t="s">
        <v>39</v>
      </c>
      <c r="B135" s="6" t="s">
        <v>791</v>
      </c>
      <c r="C135" s="6" t="s">
        <v>666</v>
      </c>
      <c r="D135" s="6" t="s">
        <v>166</v>
      </c>
      <c r="E135" s="6" t="s">
        <v>242</v>
      </c>
      <c r="F135" s="6" t="s">
        <v>752</v>
      </c>
      <c r="G135" s="6">
        <v>200</v>
      </c>
      <c r="H135" s="6" t="s">
        <v>753</v>
      </c>
      <c r="I135" s="7">
        <v>46.45</v>
      </c>
      <c r="J135" s="7">
        <v>2.9</v>
      </c>
      <c r="K135" s="7">
        <v>4.55</v>
      </c>
      <c r="L135" s="7">
        <v>4.55</v>
      </c>
      <c r="M135" s="6" t="s">
        <v>472</v>
      </c>
      <c r="N135" s="6" t="s">
        <v>792</v>
      </c>
      <c r="O135" s="7">
        <v>-23.502437499999999</v>
      </c>
      <c r="P135" s="7">
        <v>-46.399673499999999</v>
      </c>
      <c r="Q135" s="7">
        <v>-23.502856900000001</v>
      </c>
      <c r="R135" s="7">
        <v>-46.399663099999998</v>
      </c>
    </row>
    <row r="136" spans="1:18" x14ac:dyDescent="0.3">
      <c r="A136" s="6" t="s">
        <v>39</v>
      </c>
      <c r="B136" s="6" t="s">
        <v>793</v>
      </c>
      <c r="C136" s="6" t="s">
        <v>794</v>
      </c>
      <c r="D136" s="6" t="s">
        <v>242</v>
      </c>
      <c r="E136" s="6" t="s">
        <v>338</v>
      </c>
      <c r="F136" s="6" t="s">
        <v>752</v>
      </c>
      <c r="G136" s="6">
        <v>200</v>
      </c>
      <c r="H136" s="6" t="s">
        <v>753</v>
      </c>
      <c r="I136" s="7">
        <v>51.25</v>
      </c>
      <c r="J136" s="7">
        <v>4.4800000000000004</v>
      </c>
      <c r="K136" s="7">
        <v>1.9</v>
      </c>
      <c r="L136" s="7">
        <v>4.4800000000000004</v>
      </c>
      <c r="M136" s="6" t="s">
        <v>472</v>
      </c>
      <c r="N136" s="6" t="s">
        <v>795</v>
      </c>
      <c r="O136" s="7">
        <v>-23.502856900000001</v>
      </c>
      <c r="P136" s="7">
        <v>-46.399663099999998</v>
      </c>
      <c r="Q136" s="7">
        <v>-23.502877099999999</v>
      </c>
      <c r="R136" s="7">
        <v>-46.399161700000001</v>
      </c>
    </row>
    <row r="137" spans="1:18" x14ac:dyDescent="0.3">
      <c r="A137" s="6" t="s">
        <v>39</v>
      </c>
      <c r="B137" s="6" t="s">
        <v>796</v>
      </c>
      <c r="C137" s="6" t="s">
        <v>797</v>
      </c>
      <c r="D137" s="6" t="s">
        <v>338</v>
      </c>
      <c r="E137" s="6" t="s">
        <v>340</v>
      </c>
      <c r="F137" s="6" t="s">
        <v>752</v>
      </c>
      <c r="G137" s="6">
        <v>200</v>
      </c>
      <c r="H137" s="6" t="s">
        <v>753</v>
      </c>
      <c r="I137" s="7">
        <v>8.02</v>
      </c>
      <c r="J137" s="7">
        <v>1.9</v>
      </c>
      <c r="K137" s="7">
        <v>1.85</v>
      </c>
      <c r="L137" s="7">
        <v>1.9</v>
      </c>
      <c r="M137" s="6" t="s">
        <v>472</v>
      </c>
      <c r="N137" s="6" t="s">
        <v>798</v>
      </c>
      <c r="O137" s="7">
        <v>-23.502877099999999</v>
      </c>
      <c r="P137" s="7">
        <v>-46.399161700000001</v>
      </c>
      <c r="Q137" s="7">
        <v>-23.5028799</v>
      </c>
      <c r="R137" s="7">
        <v>-46.399083099999999</v>
      </c>
    </row>
    <row r="138" spans="1:18" x14ac:dyDescent="0.3">
      <c r="A138" s="6" t="s">
        <v>39</v>
      </c>
      <c r="B138" s="6" t="s">
        <v>799</v>
      </c>
      <c r="C138" s="6" t="s">
        <v>800</v>
      </c>
      <c r="D138" s="6" t="s">
        <v>340</v>
      </c>
      <c r="E138" s="6" t="s">
        <v>342</v>
      </c>
      <c r="F138" s="6" t="s">
        <v>752</v>
      </c>
      <c r="G138" s="6">
        <v>200</v>
      </c>
      <c r="H138" s="6" t="s">
        <v>753</v>
      </c>
      <c r="I138" s="7">
        <v>2.36</v>
      </c>
      <c r="J138" s="6">
        <v>1</v>
      </c>
      <c r="K138" s="7">
        <v>0.7</v>
      </c>
      <c r="L138" s="6">
        <v>1</v>
      </c>
      <c r="M138" s="6" t="s">
        <v>472</v>
      </c>
      <c r="N138" s="6" t="s">
        <v>801</v>
      </c>
      <c r="O138" s="7">
        <v>-23.5028799</v>
      </c>
      <c r="P138" s="7">
        <v>-46.399083099999999</v>
      </c>
      <c r="Q138" s="7">
        <v>-23.502865700000001</v>
      </c>
      <c r="R138" s="7">
        <v>-46.399065800000002</v>
      </c>
    </row>
    <row r="139" spans="1:18" x14ac:dyDescent="0.3">
      <c r="A139" s="6" t="s">
        <v>39</v>
      </c>
      <c r="B139" s="6" t="s">
        <v>802</v>
      </c>
      <c r="C139" s="6" t="s">
        <v>671</v>
      </c>
      <c r="D139" s="6" t="s">
        <v>242</v>
      </c>
      <c r="E139" s="6" t="s">
        <v>168</v>
      </c>
      <c r="F139" s="6" t="s">
        <v>752</v>
      </c>
      <c r="G139" s="6">
        <v>200</v>
      </c>
      <c r="H139" s="6" t="s">
        <v>753</v>
      </c>
      <c r="I139" s="7">
        <v>47.3</v>
      </c>
      <c r="J139" s="7">
        <v>4.55</v>
      </c>
      <c r="K139" s="7">
        <v>6.4</v>
      </c>
      <c r="L139" s="7">
        <v>6.4</v>
      </c>
      <c r="M139" s="6" t="s">
        <v>472</v>
      </c>
      <c r="N139" s="6" t="s">
        <v>803</v>
      </c>
      <c r="O139" s="7">
        <v>-23.502856900000001</v>
      </c>
      <c r="P139" s="7">
        <v>-46.399663099999998</v>
      </c>
      <c r="Q139" s="7">
        <v>-23.5032839</v>
      </c>
      <c r="R139" s="7">
        <v>-46.399676200000002</v>
      </c>
    </row>
    <row r="140" spans="1:18" x14ac:dyDescent="0.3">
      <c r="A140" s="6" t="s">
        <v>39</v>
      </c>
      <c r="B140" s="6" t="s">
        <v>804</v>
      </c>
      <c r="C140" s="6" t="s">
        <v>561</v>
      </c>
      <c r="D140" s="6" t="s">
        <v>168</v>
      </c>
      <c r="E140" s="6" t="s">
        <v>170</v>
      </c>
      <c r="F140" s="6" t="s">
        <v>752</v>
      </c>
      <c r="G140" s="6">
        <v>200</v>
      </c>
      <c r="H140" s="6" t="s">
        <v>753</v>
      </c>
      <c r="I140" s="7">
        <v>62.84</v>
      </c>
      <c r="J140" s="7">
        <v>6.4</v>
      </c>
      <c r="K140" s="7">
        <v>2.72</v>
      </c>
      <c r="L140" s="7">
        <v>6.4</v>
      </c>
      <c r="M140" s="6" t="s">
        <v>472</v>
      </c>
      <c r="N140" s="6" t="s">
        <v>805</v>
      </c>
      <c r="O140" s="7">
        <v>-23.5032839</v>
      </c>
      <c r="P140" s="7">
        <v>-46.399676200000002</v>
      </c>
      <c r="Q140" s="7">
        <v>-23.503301</v>
      </c>
      <c r="R140" s="7">
        <v>-46.399061099999997</v>
      </c>
    </row>
    <row r="141" spans="1:18" x14ac:dyDescent="0.3">
      <c r="A141" s="6" t="s">
        <v>39</v>
      </c>
      <c r="B141" s="6" t="s">
        <v>806</v>
      </c>
      <c r="C141" s="6" t="s">
        <v>807</v>
      </c>
      <c r="D141" s="6" t="s">
        <v>170</v>
      </c>
      <c r="E141" s="6" t="s">
        <v>176</v>
      </c>
      <c r="F141" s="6" t="s">
        <v>752</v>
      </c>
      <c r="G141" s="6">
        <v>200</v>
      </c>
      <c r="H141" s="6" t="s">
        <v>753</v>
      </c>
      <c r="I141" s="7">
        <v>11.26</v>
      </c>
      <c r="J141" s="7">
        <v>2.72</v>
      </c>
      <c r="K141" s="7">
        <v>2.85</v>
      </c>
      <c r="L141" s="7">
        <v>2.85</v>
      </c>
      <c r="M141" s="6" t="s">
        <v>472</v>
      </c>
      <c r="N141" s="6" t="s">
        <v>808</v>
      </c>
      <c r="O141" s="7">
        <v>-23.503301</v>
      </c>
      <c r="P141" s="7">
        <v>-46.399061099999997</v>
      </c>
      <c r="Q141" s="7">
        <v>-23.5033034</v>
      </c>
      <c r="R141" s="7">
        <v>-46.398950800000001</v>
      </c>
    </row>
    <row r="142" spans="1:18" x14ac:dyDescent="0.3">
      <c r="A142" s="6" t="s">
        <v>39</v>
      </c>
      <c r="B142" s="6" t="s">
        <v>809</v>
      </c>
      <c r="C142" s="6" t="s">
        <v>810</v>
      </c>
      <c r="D142" s="6" t="s">
        <v>170</v>
      </c>
      <c r="E142" s="6" t="s">
        <v>347</v>
      </c>
      <c r="F142" s="6" t="s">
        <v>752</v>
      </c>
      <c r="G142" s="6">
        <v>200</v>
      </c>
      <c r="H142" s="6" t="s">
        <v>753</v>
      </c>
      <c r="I142" s="7">
        <v>1.77</v>
      </c>
      <c r="J142" s="7">
        <v>1.3</v>
      </c>
      <c r="K142" s="7">
        <v>1.3</v>
      </c>
      <c r="L142" s="7">
        <v>1.3</v>
      </c>
      <c r="M142" s="6" t="s">
        <v>472</v>
      </c>
      <c r="N142" s="6" t="s">
        <v>811</v>
      </c>
      <c r="O142" s="7">
        <v>-23.503301</v>
      </c>
      <c r="P142" s="7">
        <v>-46.399061099999997</v>
      </c>
      <c r="Q142" s="7">
        <v>-23.5032855</v>
      </c>
      <c r="R142" s="7">
        <v>-46.3990565</v>
      </c>
    </row>
    <row r="143" spans="1:18" x14ac:dyDescent="0.3">
      <c r="A143" s="6" t="s">
        <v>39</v>
      </c>
      <c r="B143" s="6" t="s">
        <v>812</v>
      </c>
      <c r="C143" s="6" t="s">
        <v>813</v>
      </c>
      <c r="D143" s="6" t="s">
        <v>170</v>
      </c>
      <c r="E143" s="6" t="s">
        <v>349</v>
      </c>
      <c r="F143" s="6" t="s">
        <v>752</v>
      </c>
      <c r="G143" s="6">
        <v>200</v>
      </c>
      <c r="H143" s="6" t="s">
        <v>753</v>
      </c>
      <c r="I143" s="7">
        <v>5.27</v>
      </c>
      <c r="J143" s="7">
        <v>1.26</v>
      </c>
      <c r="K143" s="7">
        <v>1.1000000000000001</v>
      </c>
      <c r="L143" s="7">
        <v>1.26</v>
      </c>
      <c r="M143" s="6" t="s">
        <v>472</v>
      </c>
      <c r="N143" s="6" t="s">
        <v>814</v>
      </c>
      <c r="O143" s="7">
        <v>-23.503301</v>
      </c>
      <c r="P143" s="7">
        <v>-46.399061099999997</v>
      </c>
      <c r="Q143" s="7">
        <v>-23.503309699999999</v>
      </c>
      <c r="R143" s="7">
        <v>-46.3990103</v>
      </c>
    </row>
    <row r="144" spans="1:18" x14ac:dyDescent="0.3">
      <c r="A144" s="6" t="s">
        <v>39</v>
      </c>
      <c r="B144" s="6" t="s">
        <v>815</v>
      </c>
      <c r="C144" s="6" t="s">
        <v>816</v>
      </c>
      <c r="D144" s="6" t="s">
        <v>176</v>
      </c>
      <c r="E144" s="6" t="s">
        <v>351</v>
      </c>
      <c r="F144" s="6" t="s">
        <v>752</v>
      </c>
      <c r="G144" s="6">
        <v>200</v>
      </c>
      <c r="H144" s="6" t="s">
        <v>753</v>
      </c>
      <c r="I144" s="7">
        <v>2.13</v>
      </c>
      <c r="J144" s="7">
        <v>1.23</v>
      </c>
      <c r="K144" s="6">
        <v>1</v>
      </c>
      <c r="L144" s="7">
        <v>1.23</v>
      </c>
      <c r="M144" s="6" t="s">
        <v>472</v>
      </c>
      <c r="N144" s="6" t="s">
        <v>817</v>
      </c>
      <c r="O144" s="7">
        <v>-23.5033034</v>
      </c>
      <c r="P144" s="7">
        <v>-46.398950800000001</v>
      </c>
      <c r="Q144" s="7">
        <v>-23.503284399999998</v>
      </c>
      <c r="R144" s="7">
        <v>-46.398947300000003</v>
      </c>
    </row>
    <row r="145" spans="1:18" x14ac:dyDescent="0.3">
      <c r="A145" s="6" t="s">
        <v>42</v>
      </c>
      <c r="B145" s="6" t="s">
        <v>818</v>
      </c>
      <c r="C145" s="6" t="s">
        <v>819</v>
      </c>
      <c r="D145" s="6" t="s">
        <v>372</v>
      </c>
      <c r="E145" s="6" t="s">
        <v>373</v>
      </c>
      <c r="F145" s="6" t="s">
        <v>470</v>
      </c>
      <c r="G145" s="6">
        <v>200</v>
      </c>
      <c r="H145" s="6" t="s">
        <v>471</v>
      </c>
      <c r="I145" s="7">
        <v>35.28</v>
      </c>
      <c r="J145" s="7">
        <v>3.22</v>
      </c>
      <c r="K145" s="7">
        <v>5.2</v>
      </c>
      <c r="L145" s="7">
        <v>5.2</v>
      </c>
      <c r="M145" s="6" t="s">
        <v>472</v>
      </c>
      <c r="N145" s="6"/>
      <c r="O145" s="7">
        <v>-23.534293699999999</v>
      </c>
      <c r="P145" s="7">
        <v>-46.388130599999997</v>
      </c>
      <c r="Q145" s="7">
        <v>-23.5341004</v>
      </c>
      <c r="R145" s="7">
        <v>-46.388409799999998</v>
      </c>
    </row>
    <row r="146" spans="1:18" x14ac:dyDescent="0.3">
      <c r="A146" s="6" t="s">
        <v>42</v>
      </c>
      <c r="B146" s="6" t="s">
        <v>820</v>
      </c>
      <c r="C146" s="6" t="s">
        <v>821</v>
      </c>
      <c r="D146" s="6" t="s">
        <v>367</v>
      </c>
      <c r="E146" s="6" t="s">
        <v>368</v>
      </c>
      <c r="F146" s="6" t="s">
        <v>475</v>
      </c>
      <c r="G146" s="6">
        <v>355</v>
      </c>
      <c r="H146" s="6" t="s">
        <v>476</v>
      </c>
      <c r="I146" s="7">
        <v>104.81</v>
      </c>
      <c r="J146" s="7">
        <v>4.84</v>
      </c>
      <c r="K146" s="7">
        <v>4.38</v>
      </c>
      <c r="L146" s="7">
        <v>4.84</v>
      </c>
      <c r="M146" s="6" t="s">
        <v>472</v>
      </c>
      <c r="N146" s="6"/>
      <c r="O146" s="7">
        <v>-23.538766800000001</v>
      </c>
      <c r="P146" s="7">
        <v>-46.3864564</v>
      </c>
      <c r="Q146" s="7">
        <v>-23.537828600000001</v>
      </c>
      <c r="R146" s="7">
        <v>-46.386588699999997</v>
      </c>
    </row>
    <row r="147" spans="1:18" x14ac:dyDescent="0.3">
      <c r="A147" s="6" t="s">
        <v>42</v>
      </c>
      <c r="B147" s="6" t="s">
        <v>822</v>
      </c>
      <c r="C147" s="6" t="s">
        <v>823</v>
      </c>
      <c r="D147" s="6" t="s">
        <v>366</v>
      </c>
      <c r="E147" s="6" t="s">
        <v>367</v>
      </c>
      <c r="F147" s="6" t="s">
        <v>475</v>
      </c>
      <c r="G147" s="6">
        <v>355</v>
      </c>
      <c r="H147" s="6" t="s">
        <v>476</v>
      </c>
      <c r="I147" s="7">
        <v>75.61</v>
      </c>
      <c r="J147" s="7">
        <v>7.41</v>
      </c>
      <c r="K147" s="7">
        <v>4.84</v>
      </c>
      <c r="L147" s="7">
        <v>7.41</v>
      </c>
      <c r="M147" s="6" t="s">
        <v>472</v>
      </c>
      <c r="N147" s="6"/>
      <c r="O147" s="7">
        <v>-23.5394109</v>
      </c>
      <c r="P147" s="7">
        <v>-46.386210499999997</v>
      </c>
      <c r="Q147" s="7">
        <v>-23.538766800000001</v>
      </c>
      <c r="R147" s="7">
        <v>-46.3864564</v>
      </c>
    </row>
    <row r="148" spans="1:18" x14ac:dyDescent="0.3">
      <c r="A148" s="6" t="s">
        <v>42</v>
      </c>
      <c r="B148" s="6" t="s">
        <v>824</v>
      </c>
      <c r="C148" s="6" t="s">
        <v>825</v>
      </c>
      <c r="D148" s="6" t="s">
        <v>354</v>
      </c>
      <c r="E148" s="6" t="s">
        <v>370</v>
      </c>
      <c r="F148" s="6" t="s">
        <v>470</v>
      </c>
      <c r="G148" s="6">
        <v>200</v>
      </c>
      <c r="H148" s="6" t="s">
        <v>471</v>
      </c>
      <c r="I148" s="7">
        <v>11.55</v>
      </c>
      <c r="J148" s="7">
        <v>0.77</v>
      </c>
      <c r="K148" s="7">
        <v>1.36</v>
      </c>
      <c r="L148" s="7">
        <v>1.36</v>
      </c>
      <c r="M148" s="6" t="s">
        <v>472</v>
      </c>
      <c r="N148" s="6"/>
      <c r="O148" s="7">
        <v>-23.5359303</v>
      </c>
      <c r="P148" s="7">
        <v>-46.3874511</v>
      </c>
      <c r="Q148" s="7">
        <v>-23.5358482</v>
      </c>
      <c r="R148" s="7">
        <v>-46.387386399999997</v>
      </c>
    </row>
    <row r="149" spans="1:18" x14ac:dyDescent="0.3">
      <c r="A149" s="6" t="s">
        <v>42</v>
      </c>
      <c r="B149" s="6" t="s">
        <v>826</v>
      </c>
      <c r="C149" s="6" t="s">
        <v>827</v>
      </c>
      <c r="D149" s="6" t="s">
        <v>369</v>
      </c>
      <c r="E149" s="6" t="s">
        <v>369</v>
      </c>
      <c r="F149" s="6" t="s">
        <v>470</v>
      </c>
      <c r="G149" s="6">
        <v>200</v>
      </c>
      <c r="H149" s="6" t="s">
        <v>471</v>
      </c>
      <c r="I149" s="7">
        <v>13.8</v>
      </c>
      <c r="J149" s="7">
        <v>1.59</v>
      </c>
      <c r="K149" s="7">
        <v>1.77</v>
      </c>
      <c r="L149" s="7">
        <v>1.77</v>
      </c>
      <c r="M149" s="6" t="s">
        <v>472</v>
      </c>
      <c r="N149" s="6"/>
      <c r="O149" s="7">
        <v>-23.536290399999999</v>
      </c>
      <c r="P149" s="7">
        <v>-46.387281299999998</v>
      </c>
      <c r="Q149" s="7">
        <v>-23.536236899999999</v>
      </c>
      <c r="R149" s="7">
        <v>-46.387402899999998</v>
      </c>
    </row>
    <row r="150" spans="1:18" x14ac:dyDescent="0.3">
      <c r="A150" s="6" t="s">
        <v>42</v>
      </c>
      <c r="B150" s="6" t="s">
        <v>828</v>
      </c>
      <c r="C150" s="6" t="s">
        <v>829</v>
      </c>
      <c r="D150" s="6" t="s">
        <v>356</v>
      </c>
      <c r="E150" s="6" t="s">
        <v>354</v>
      </c>
      <c r="F150" s="6" t="s">
        <v>470</v>
      </c>
      <c r="G150" s="6">
        <v>200</v>
      </c>
      <c r="H150" s="6" t="s">
        <v>471</v>
      </c>
      <c r="I150" s="7">
        <v>11.59</v>
      </c>
      <c r="J150" s="7">
        <v>1</v>
      </c>
      <c r="K150" s="7">
        <v>0.77</v>
      </c>
      <c r="L150" s="7">
        <v>1</v>
      </c>
      <c r="M150" s="6" t="s">
        <v>472</v>
      </c>
      <c r="N150" s="6"/>
      <c r="O150" s="7">
        <v>-23.5360172</v>
      </c>
      <c r="P150" s="7">
        <v>-46.387418099999998</v>
      </c>
      <c r="Q150" s="7">
        <v>-23.5359303</v>
      </c>
      <c r="R150" s="7">
        <v>-46.3874511</v>
      </c>
    </row>
    <row r="151" spans="1:18" x14ac:dyDescent="0.3">
      <c r="A151" s="6" t="s">
        <v>42</v>
      </c>
      <c r="B151" s="6" t="s">
        <v>830</v>
      </c>
      <c r="C151" s="6" t="s">
        <v>831</v>
      </c>
      <c r="D151" s="6" t="s">
        <v>353</v>
      </c>
      <c r="E151" s="6" t="s">
        <v>364</v>
      </c>
      <c r="F151" s="6" t="s">
        <v>475</v>
      </c>
      <c r="G151" s="6">
        <v>355</v>
      </c>
      <c r="H151" s="6" t="s">
        <v>476</v>
      </c>
      <c r="I151" s="7">
        <v>32.33</v>
      </c>
      <c r="J151" s="7">
        <v>1.07</v>
      </c>
      <c r="K151" s="7">
        <v>1.78</v>
      </c>
      <c r="L151" s="7">
        <v>1.78</v>
      </c>
      <c r="M151" s="6" t="s">
        <v>472</v>
      </c>
      <c r="N151" s="6"/>
      <c r="O151" s="7">
        <v>-23.540572900000001</v>
      </c>
      <c r="P151" s="7">
        <v>-46.3864874</v>
      </c>
      <c r="Q151" s="7">
        <v>-23.540284199999999</v>
      </c>
      <c r="R151" s="7">
        <v>-46.386536300000003</v>
      </c>
    </row>
    <row r="152" spans="1:18" x14ac:dyDescent="0.3">
      <c r="A152" s="6" t="s">
        <v>42</v>
      </c>
      <c r="B152" s="6" t="s">
        <v>832</v>
      </c>
      <c r="C152" s="6" t="s">
        <v>833</v>
      </c>
      <c r="D152" s="6" t="s">
        <v>296</v>
      </c>
      <c r="E152" s="6" t="s">
        <v>362</v>
      </c>
      <c r="F152" s="6" t="s">
        <v>475</v>
      </c>
      <c r="G152" s="6">
        <v>355</v>
      </c>
      <c r="H152" s="6" t="s">
        <v>476</v>
      </c>
      <c r="I152" s="7">
        <v>56.85</v>
      </c>
      <c r="J152" s="7">
        <v>4.25</v>
      </c>
      <c r="K152" s="7">
        <v>4.46</v>
      </c>
      <c r="L152" s="7">
        <v>4.46</v>
      </c>
      <c r="M152" s="6" t="s">
        <v>472</v>
      </c>
      <c r="N152" s="6"/>
      <c r="O152" s="7">
        <v>-23.530270900000001</v>
      </c>
      <c r="P152" s="7">
        <v>-46.395421599999999</v>
      </c>
      <c r="Q152" s="7">
        <v>-23.529782999999998</v>
      </c>
      <c r="R152" s="7">
        <v>-46.3952478</v>
      </c>
    </row>
    <row r="153" spans="1:18" x14ac:dyDescent="0.3">
      <c r="A153" s="6" t="s">
        <v>42</v>
      </c>
      <c r="B153" s="6" t="s">
        <v>834</v>
      </c>
      <c r="C153" s="6" t="s">
        <v>740</v>
      </c>
      <c r="D153" s="6" t="s">
        <v>297</v>
      </c>
      <c r="E153" s="6" t="s">
        <v>296</v>
      </c>
      <c r="F153" s="6" t="s">
        <v>475</v>
      </c>
      <c r="G153" s="6">
        <v>355</v>
      </c>
      <c r="H153" s="6" t="s">
        <v>476</v>
      </c>
      <c r="I153" s="7">
        <v>11.45</v>
      </c>
      <c r="J153" s="7">
        <v>4.12</v>
      </c>
      <c r="K153" s="7">
        <v>4.25</v>
      </c>
      <c r="L153" s="7">
        <v>4.25</v>
      </c>
      <c r="M153" s="6" t="s">
        <v>472</v>
      </c>
      <c r="N153" s="6"/>
      <c r="O153" s="7">
        <v>-23.5302693</v>
      </c>
      <c r="P153" s="7">
        <v>-46.395309099999999</v>
      </c>
      <c r="Q153" s="7">
        <v>-23.530270900000001</v>
      </c>
      <c r="R153" s="7">
        <v>-46.395421599999999</v>
      </c>
    </row>
    <row r="154" spans="1:18" x14ac:dyDescent="0.3">
      <c r="A154" s="6" t="s">
        <v>42</v>
      </c>
      <c r="B154" s="6" t="s">
        <v>835</v>
      </c>
      <c r="C154" s="6" t="s">
        <v>738</v>
      </c>
      <c r="D154" s="6" t="s">
        <v>298</v>
      </c>
      <c r="E154" s="6" t="s">
        <v>297</v>
      </c>
      <c r="F154" s="6" t="s">
        <v>475</v>
      </c>
      <c r="G154" s="6">
        <v>355</v>
      </c>
      <c r="H154" s="6" t="s">
        <v>476</v>
      </c>
      <c r="I154" s="7">
        <v>65.489999999999995</v>
      </c>
      <c r="J154" s="7">
        <v>4.67</v>
      </c>
      <c r="K154" s="7">
        <v>4.12</v>
      </c>
      <c r="L154" s="7">
        <v>4.67</v>
      </c>
      <c r="M154" s="6" t="s">
        <v>472</v>
      </c>
      <c r="N154" s="6"/>
      <c r="O154" s="7">
        <v>-23.530398300000002</v>
      </c>
      <c r="P154" s="7">
        <v>-46.394682400000001</v>
      </c>
      <c r="Q154" s="7">
        <v>-23.5302693</v>
      </c>
      <c r="R154" s="7">
        <v>-46.395309099999999</v>
      </c>
    </row>
    <row r="155" spans="1:18" x14ac:dyDescent="0.3">
      <c r="A155" s="6" t="s">
        <v>42</v>
      </c>
      <c r="B155" s="6" t="s">
        <v>836</v>
      </c>
      <c r="C155" s="6" t="s">
        <v>837</v>
      </c>
      <c r="D155" s="6" t="s">
        <v>361</v>
      </c>
      <c r="E155" s="6" t="s">
        <v>360</v>
      </c>
      <c r="F155" s="6" t="s">
        <v>475</v>
      </c>
      <c r="G155" s="6">
        <v>355</v>
      </c>
      <c r="H155" s="6" t="s">
        <v>476</v>
      </c>
      <c r="I155" s="7">
        <v>63.1</v>
      </c>
      <c r="J155" s="7">
        <v>3.35</v>
      </c>
      <c r="K155" s="7">
        <v>4.38</v>
      </c>
      <c r="L155" s="7">
        <v>4.38</v>
      </c>
      <c r="M155" s="6" t="s">
        <v>472</v>
      </c>
      <c r="N155" s="6"/>
      <c r="O155" s="7">
        <v>-23.530386100000001</v>
      </c>
      <c r="P155" s="7">
        <v>-46.392178299999998</v>
      </c>
      <c r="Q155" s="7">
        <v>-23.530946499999999</v>
      </c>
      <c r="R155" s="7">
        <v>-46.3922934</v>
      </c>
    </row>
    <row r="156" spans="1:18" x14ac:dyDescent="0.3">
      <c r="A156" s="6" t="s">
        <v>42</v>
      </c>
      <c r="B156" s="6" t="s">
        <v>838</v>
      </c>
      <c r="C156" s="6" t="s">
        <v>839</v>
      </c>
      <c r="D156" s="6" t="s">
        <v>358</v>
      </c>
      <c r="E156" s="6" t="s">
        <v>360</v>
      </c>
      <c r="F156" s="6" t="s">
        <v>475</v>
      </c>
      <c r="G156" s="6">
        <v>355</v>
      </c>
      <c r="H156" s="6" t="s">
        <v>476</v>
      </c>
      <c r="I156" s="7">
        <v>52.44</v>
      </c>
      <c r="J156" s="7">
        <v>3.73</v>
      </c>
      <c r="K156" s="7">
        <v>4.4800000000000004</v>
      </c>
      <c r="L156" s="7">
        <v>4.4800000000000004</v>
      </c>
      <c r="M156" s="6" t="s">
        <v>472</v>
      </c>
      <c r="N156" s="6"/>
      <c r="O156" s="7">
        <v>-23.531121500000001</v>
      </c>
      <c r="P156" s="7">
        <v>-46.391816499999997</v>
      </c>
      <c r="Q156" s="7">
        <v>-23.530946499999999</v>
      </c>
      <c r="R156" s="7">
        <v>-46.3922934</v>
      </c>
    </row>
    <row r="157" spans="1:18" x14ac:dyDescent="0.3">
      <c r="A157" s="6" t="s">
        <v>42</v>
      </c>
      <c r="B157" s="6" t="s">
        <v>840</v>
      </c>
      <c r="C157" s="6" t="s">
        <v>841</v>
      </c>
      <c r="D157" s="6" t="s">
        <v>180</v>
      </c>
      <c r="E157" s="6" t="s">
        <v>358</v>
      </c>
      <c r="F157" s="6" t="s">
        <v>475</v>
      </c>
      <c r="G157" s="6">
        <v>355</v>
      </c>
      <c r="H157" s="6" t="s">
        <v>476</v>
      </c>
      <c r="I157" s="7">
        <v>83.66</v>
      </c>
      <c r="J157" s="7">
        <v>2.9</v>
      </c>
      <c r="K157" s="7">
        <v>3.73</v>
      </c>
      <c r="L157" s="7">
        <v>3.73</v>
      </c>
      <c r="M157" s="6" t="s">
        <v>472</v>
      </c>
      <c r="N157" s="6"/>
      <c r="O157" s="7">
        <v>-23.531400999999999</v>
      </c>
      <c r="P157" s="7">
        <v>-46.391055199999997</v>
      </c>
      <c r="Q157" s="7">
        <v>-23.531121500000001</v>
      </c>
      <c r="R157" s="7">
        <v>-46.391816499999997</v>
      </c>
    </row>
    <row r="158" spans="1:18" x14ac:dyDescent="0.3">
      <c r="A158" s="6" t="s">
        <v>42</v>
      </c>
      <c r="B158" s="6" t="s">
        <v>842</v>
      </c>
      <c r="C158" s="6" t="s">
        <v>843</v>
      </c>
      <c r="D158" s="6" t="s">
        <v>264</v>
      </c>
      <c r="E158" s="6" t="s">
        <v>180</v>
      </c>
      <c r="F158" s="6" t="s">
        <v>475</v>
      </c>
      <c r="G158" s="6">
        <v>355</v>
      </c>
      <c r="H158" s="6" t="s">
        <v>476</v>
      </c>
      <c r="I158" s="7">
        <v>59.22</v>
      </c>
      <c r="J158" s="7">
        <v>5.48</v>
      </c>
      <c r="K158" s="7">
        <v>2.81</v>
      </c>
      <c r="L158" s="7">
        <v>5.48</v>
      </c>
      <c r="M158" s="6" t="s">
        <v>472</v>
      </c>
      <c r="N158" s="6"/>
      <c r="O158" s="7">
        <v>-23.531908699999999</v>
      </c>
      <c r="P158" s="7">
        <v>-46.390884300000003</v>
      </c>
      <c r="Q158" s="7">
        <v>-23.531400999999999</v>
      </c>
      <c r="R158" s="7">
        <v>-46.391055199999997</v>
      </c>
    </row>
    <row r="159" spans="1:18" x14ac:dyDescent="0.3">
      <c r="A159" s="6" t="s">
        <v>42</v>
      </c>
      <c r="B159" s="6" t="s">
        <v>844</v>
      </c>
      <c r="C159" s="6" t="s">
        <v>845</v>
      </c>
      <c r="D159" s="6" t="s">
        <v>374</v>
      </c>
      <c r="E159" s="6" t="s">
        <v>264</v>
      </c>
      <c r="F159" s="6" t="s">
        <v>475</v>
      </c>
      <c r="G159" s="6">
        <v>355</v>
      </c>
      <c r="H159" s="6" t="s">
        <v>476</v>
      </c>
      <c r="I159" s="7">
        <v>36.31</v>
      </c>
      <c r="J159" s="7">
        <v>7.1</v>
      </c>
      <c r="K159" s="7">
        <v>5.48</v>
      </c>
      <c r="L159" s="7">
        <v>7.1</v>
      </c>
      <c r="M159" s="6" t="s">
        <v>472</v>
      </c>
      <c r="N159" s="6"/>
      <c r="O159" s="7">
        <v>-23.532194700000002</v>
      </c>
      <c r="P159" s="7">
        <v>-46.3907059</v>
      </c>
      <c r="Q159" s="7">
        <v>-23.531908699999999</v>
      </c>
      <c r="R159" s="7">
        <v>-46.390884300000003</v>
      </c>
    </row>
    <row r="160" spans="1:18" x14ac:dyDescent="0.3">
      <c r="A160" s="6" t="s">
        <v>42</v>
      </c>
      <c r="B160" s="6" t="s">
        <v>846</v>
      </c>
      <c r="C160" s="6" t="s">
        <v>847</v>
      </c>
      <c r="D160" s="6" t="s">
        <v>375</v>
      </c>
      <c r="E160" s="6" t="s">
        <v>374</v>
      </c>
      <c r="F160" s="6" t="s">
        <v>475</v>
      </c>
      <c r="G160" s="6">
        <v>355</v>
      </c>
      <c r="H160" s="6" t="s">
        <v>476</v>
      </c>
      <c r="I160" s="7">
        <v>45.26</v>
      </c>
      <c r="J160" s="7">
        <v>11.41</v>
      </c>
      <c r="K160" s="7">
        <v>7.1</v>
      </c>
      <c r="L160" s="7">
        <v>11.41</v>
      </c>
      <c r="M160" s="6" t="s">
        <v>472</v>
      </c>
      <c r="N160" s="6"/>
      <c r="O160" s="7">
        <v>-23.5325989</v>
      </c>
      <c r="P160" s="7">
        <v>-46.390622299999997</v>
      </c>
      <c r="Q160" s="7">
        <v>-23.532194700000002</v>
      </c>
      <c r="R160" s="7">
        <v>-46.3907059</v>
      </c>
    </row>
    <row r="161" spans="1:18" x14ac:dyDescent="0.3">
      <c r="A161" s="6" t="s">
        <v>42</v>
      </c>
      <c r="B161" s="6" t="s">
        <v>848</v>
      </c>
      <c r="C161" s="6" t="s">
        <v>849</v>
      </c>
      <c r="D161" s="6" t="s">
        <v>328</v>
      </c>
      <c r="E161" s="6" t="s">
        <v>266</v>
      </c>
      <c r="F161" s="6" t="s">
        <v>475</v>
      </c>
      <c r="G161" s="6">
        <v>355</v>
      </c>
      <c r="H161" s="6" t="s">
        <v>476</v>
      </c>
      <c r="I161" s="7">
        <v>39.270000000000003</v>
      </c>
      <c r="J161" s="7">
        <v>3.35</v>
      </c>
      <c r="K161" s="7">
        <v>4.96</v>
      </c>
      <c r="L161" s="7">
        <v>4.96</v>
      </c>
      <c r="M161" s="6" t="s">
        <v>472</v>
      </c>
      <c r="N161" s="6"/>
      <c r="O161" s="7">
        <v>-23.532518199999998</v>
      </c>
      <c r="P161" s="7">
        <v>-46.389226299999997</v>
      </c>
      <c r="Q161" s="7">
        <v>-23.532690200000001</v>
      </c>
      <c r="R161" s="7">
        <v>-46.389563600000002</v>
      </c>
    </row>
    <row r="162" spans="1:18" x14ac:dyDescent="0.3">
      <c r="A162" s="6" t="s">
        <v>42</v>
      </c>
      <c r="B162" s="6" t="s">
        <v>850</v>
      </c>
      <c r="C162" s="6" t="s">
        <v>851</v>
      </c>
      <c r="D162" s="6" t="s">
        <v>268</v>
      </c>
      <c r="E162" s="6" t="s">
        <v>328</v>
      </c>
      <c r="F162" s="6" t="s">
        <v>475</v>
      </c>
      <c r="G162" s="6">
        <v>355</v>
      </c>
      <c r="H162" s="6" t="s">
        <v>476</v>
      </c>
      <c r="I162" s="7">
        <v>71.099999999999994</v>
      </c>
      <c r="J162" s="7">
        <v>2.72</v>
      </c>
      <c r="K162" s="7">
        <v>3.3</v>
      </c>
      <c r="L162" s="7">
        <v>3.3</v>
      </c>
      <c r="M162" s="6" t="s">
        <v>472</v>
      </c>
      <c r="N162" s="6"/>
      <c r="O162" s="7">
        <v>-23.532910600000001</v>
      </c>
      <c r="P162" s="7">
        <v>-46.388674999999999</v>
      </c>
      <c r="Q162" s="7">
        <v>-23.532518199999998</v>
      </c>
      <c r="R162" s="7">
        <v>-46.389226299999997</v>
      </c>
    </row>
    <row r="163" spans="1:18" x14ac:dyDescent="0.3">
      <c r="A163" s="6" t="s">
        <v>42</v>
      </c>
      <c r="B163" s="6" t="s">
        <v>852</v>
      </c>
      <c r="C163" s="6" t="s">
        <v>853</v>
      </c>
      <c r="D163" s="6" t="s">
        <v>270</v>
      </c>
      <c r="E163" s="6" t="s">
        <v>268</v>
      </c>
      <c r="F163" s="6" t="s">
        <v>475</v>
      </c>
      <c r="G163" s="6">
        <v>355</v>
      </c>
      <c r="H163" s="6" t="s">
        <v>476</v>
      </c>
      <c r="I163" s="7">
        <v>51.3</v>
      </c>
      <c r="J163" s="7">
        <v>3.2</v>
      </c>
      <c r="K163" s="7">
        <v>2.72</v>
      </c>
      <c r="L163" s="7">
        <v>3.2</v>
      </c>
      <c r="M163" s="6" t="s">
        <v>472</v>
      </c>
      <c r="N163" s="6"/>
      <c r="O163" s="7">
        <v>-23.533279100000001</v>
      </c>
      <c r="P163" s="7">
        <v>-46.388370600000002</v>
      </c>
      <c r="Q163" s="7">
        <v>-23.532910600000001</v>
      </c>
      <c r="R163" s="7">
        <v>-46.388674999999999</v>
      </c>
    </row>
    <row r="164" spans="1:18" x14ac:dyDescent="0.3">
      <c r="A164" s="6" t="s">
        <v>42</v>
      </c>
      <c r="B164" s="6" t="s">
        <v>854</v>
      </c>
      <c r="C164" s="6" t="s">
        <v>855</v>
      </c>
      <c r="D164" s="6" t="s">
        <v>373</v>
      </c>
      <c r="E164" s="6" t="s">
        <v>270</v>
      </c>
      <c r="F164" s="6" t="s">
        <v>475</v>
      </c>
      <c r="G164" s="6">
        <v>355</v>
      </c>
      <c r="H164" s="6" t="s">
        <v>476</v>
      </c>
      <c r="I164" s="7">
        <v>90.97</v>
      </c>
      <c r="J164" s="7">
        <v>5.2</v>
      </c>
      <c r="K164" s="7">
        <v>3.2</v>
      </c>
      <c r="L164" s="7">
        <v>5.2</v>
      </c>
      <c r="M164" s="6" t="s">
        <v>472</v>
      </c>
      <c r="N164" s="6"/>
      <c r="O164" s="7">
        <v>-23.5341004</v>
      </c>
      <c r="P164" s="7">
        <v>-46.388409799999998</v>
      </c>
      <c r="Q164" s="7">
        <v>-23.533279100000001</v>
      </c>
      <c r="R164" s="7">
        <v>-46.388370600000002</v>
      </c>
    </row>
    <row r="165" spans="1:18" x14ac:dyDescent="0.3">
      <c r="A165" s="6" t="s">
        <v>42</v>
      </c>
      <c r="B165" s="6" t="s">
        <v>856</v>
      </c>
      <c r="C165" s="6" t="s">
        <v>857</v>
      </c>
      <c r="D165" s="6" t="s">
        <v>340</v>
      </c>
      <c r="E165" s="6" t="s">
        <v>373</v>
      </c>
      <c r="F165" s="6" t="s">
        <v>475</v>
      </c>
      <c r="G165" s="6">
        <v>355</v>
      </c>
      <c r="H165" s="6" t="s">
        <v>476</v>
      </c>
      <c r="I165" s="7">
        <v>94.87</v>
      </c>
      <c r="J165" s="7">
        <v>3.72</v>
      </c>
      <c r="K165" s="7">
        <v>4.7300000000000004</v>
      </c>
      <c r="L165" s="7">
        <v>4.7300000000000004</v>
      </c>
      <c r="M165" s="6" t="s">
        <v>472</v>
      </c>
      <c r="N165" s="6"/>
      <c r="O165" s="7">
        <v>-23.534649000000002</v>
      </c>
      <c r="P165" s="7">
        <v>-46.387695999999998</v>
      </c>
      <c r="Q165" s="7">
        <v>-23.5341004</v>
      </c>
      <c r="R165" s="7">
        <v>-46.388409799999998</v>
      </c>
    </row>
    <row r="166" spans="1:18" x14ac:dyDescent="0.3">
      <c r="A166" s="6" t="s">
        <v>42</v>
      </c>
      <c r="B166" s="6" t="s">
        <v>858</v>
      </c>
      <c r="C166" s="6" t="s">
        <v>859</v>
      </c>
      <c r="D166" s="6" t="s">
        <v>371</v>
      </c>
      <c r="E166" s="6" t="s">
        <v>340</v>
      </c>
      <c r="F166" s="6" t="s">
        <v>475</v>
      </c>
      <c r="G166" s="6">
        <v>355</v>
      </c>
      <c r="H166" s="6" t="s">
        <v>476</v>
      </c>
      <c r="I166" s="7">
        <v>56.19</v>
      </c>
      <c r="J166" s="7">
        <v>4.45</v>
      </c>
      <c r="K166" s="7">
        <v>3.72</v>
      </c>
      <c r="L166" s="7">
        <v>4.45</v>
      </c>
      <c r="M166" s="6" t="s">
        <v>472</v>
      </c>
      <c r="N166" s="6"/>
      <c r="O166" s="7">
        <v>-23.535084600000001</v>
      </c>
      <c r="P166" s="7">
        <v>-46.387413700000003</v>
      </c>
      <c r="Q166" s="7">
        <v>-23.534649000000002</v>
      </c>
      <c r="R166" s="7">
        <v>-46.387695999999998</v>
      </c>
    </row>
    <row r="167" spans="1:18" x14ac:dyDescent="0.3">
      <c r="A167" s="6" t="s">
        <v>42</v>
      </c>
      <c r="B167" s="6" t="s">
        <v>860</v>
      </c>
      <c r="C167" s="6" t="s">
        <v>861</v>
      </c>
      <c r="D167" s="6" t="s">
        <v>370</v>
      </c>
      <c r="E167" s="6" t="s">
        <v>371</v>
      </c>
      <c r="F167" s="6" t="s">
        <v>475</v>
      </c>
      <c r="G167" s="6">
        <v>355</v>
      </c>
      <c r="H167" s="6" t="s">
        <v>476</v>
      </c>
      <c r="I167" s="7">
        <v>84.6</v>
      </c>
      <c r="J167" s="7">
        <v>3.9</v>
      </c>
      <c r="K167" s="7">
        <v>4.45</v>
      </c>
      <c r="L167" s="7">
        <v>4.45</v>
      </c>
      <c r="M167" s="6" t="s">
        <v>472</v>
      </c>
      <c r="N167" s="6"/>
      <c r="O167" s="7">
        <v>-23.5358482</v>
      </c>
      <c r="P167" s="7">
        <v>-46.387386399999997</v>
      </c>
      <c r="Q167" s="7">
        <v>-23.535084600000001</v>
      </c>
      <c r="R167" s="7">
        <v>-46.387413700000003</v>
      </c>
    </row>
    <row r="168" spans="1:18" x14ac:dyDescent="0.3">
      <c r="A168" s="6" t="s">
        <v>42</v>
      </c>
      <c r="B168" s="6" t="s">
        <v>862</v>
      </c>
      <c r="C168" s="6" t="s">
        <v>863</v>
      </c>
      <c r="D168" s="6" t="s">
        <v>369</v>
      </c>
      <c r="E168" s="6" t="s">
        <v>370</v>
      </c>
      <c r="F168" s="6" t="s">
        <v>475</v>
      </c>
      <c r="G168" s="6">
        <v>355</v>
      </c>
      <c r="H168" s="6" t="s">
        <v>476</v>
      </c>
      <c r="I168" s="7">
        <v>43.08</v>
      </c>
      <c r="J168" s="7">
        <v>4.45</v>
      </c>
      <c r="K168" s="7">
        <v>3.9</v>
      </c>
      <c r="L168" s="7">
        <v>4.45</v>
      </c>
      <c r="M168" s="6" t="s">
        <v>472</v>
      </c>
      <c r="N168" s="6"/>
      <c r="O168" s="7">
        <v>-23.536236899999999</v>
      </c>
      <c r="P168" s="7">
        <v>-46.387402899999998</v>
      </c>
      <c r="Q168" s="7">
        <v>-23.5358482</v>
      </c>
      <c r="R168" s="7">
        <v>-46.387386399999997</v>
      </c>
    </row>
    <row r="169" spans="1:18" x14ac:dyDescent="0.3">
      <c r="A169" s="6" t="s">
        <v>42</v>
      </c>
      <c r="B169" s="6" t="s">
        <v>864</v>
      </c>
      <c r="C169" s="6" t="s">
        <v>865</v>
      </c>
      <c r="D169" s="6" t="s">
        <v>363</v>
      </c>
      <c r="E169" s="6" t="s">
        <v>369</v>
      </c>
      <c r="F169" s="6" t="s">
        <v>475</v>
      </c>
      <c r="G169" s="6">
        <v>355</v>
      </c>
      <c r="H169" s="6" t="s">
        <v>476</v>
      </c>
      <c r="I169" s="7">
        <v>107.91</v>
      </c>
      <c r="J169" s="7">
        <v>3.3</v>
      </c>
      <c r="K169" s="7">
        <v>4.45</v>
      </c>
      <c r="L169" s="7">
        <v>4.45</v>
      </c>
      <c r="M169" s="6" t="s">
        <v>472</v>
      </c>
      <c r="N169" s="6"/>
      <c r="O169" s="7">
        <v>-23.5370876</v>
      </c>
      <c r="P169" s="7">
        <v>-46.386888200000001</v>
      </c>
      <c r="Q169" s="7">
        <v>-23.536236899999999</v>
      </c>
      <c r="R169" s="7">
        <v>-46.387402899999998</v>
      </c>
    </row>
    <row r="170" spans="1:18" x14ac:dyDescent="0.3">
      <c r="A170" s="6" t="s">
        <v>42</v>
      </c>
      <c r="B170" s="6" t="s">
        <v>866</v>
      </c>
      <c r="C170" s="6" t="s">
        <v>867</v>
      </c>
      <c r="D170" s="6" t="s">
        <v>368</v>
      </c>
      <c r="E170" s="6" t="s">
        <v>363</v>
      </c>
      <c r="F170" s="6" t="s">
        <v>475</v>
      </c>
      <c r="G170" s="6">
        <v>355</v>
      </c>
      <c r="H170" s="6" t="s">
        <v>476</v>
      </c>
      <c r="I170" s="7">
        <v>87.55</v>
      </c>
      <c r="J170" s="7">
        <v>4.38</v>
      </c>
      <c r="K170" s="7">
        <v>3.3</v>
      </c>
      <c r="L170" s="7">
        <v>4.38</v>
      </c>
      <c r="M170" s="6" t="s">
        <v>472</v>
      </c>
      <c r="N170" s="6"/>
      <c r="O170" s="7">
        <v>-23.537828600000001</v>
      </c>
      <c r="P170" s="7">
        <v>-46.386588699999997</v>
      </c>
      <c r="Q170" s="7">
        <v>-23.5370876</v>
      </c>
      <c r="R170" s="7">
        <v>-46.386888200000001</v>
      </c>
    </row>
    <row r="171" spans="1:18" x14ac:dyDescent="0.3">
      <c r="A171" s="6" t="s">
        <v>42</v>
      </c>
      <c r="B171" s="6" t="s">
        <v>868</v>
      </c>
      <c r="C171" s="6" t="s">
        <v>869</v>
      </c>
      <c r="D171" s="6" t="s">
        <v>365</v>
      </c>
      <c r="E171" s="6" t="s">
        <v>366</v>
      </c>
      <c r="F171" s="6" t="s">
        <v>475</v>
      </c>
      <c r="G171" s="6">
        <v>355</v>
      </c>
      <c r="H171" s="6" t="s">
        <v>476</v>
      </c>
      <c r="I171" s="7">
        <v>85.48</v>
      </c>
      <c r="J171" s="7">
        <v>1.95</v>
      </c>
      <c r="K171" s="7">
        <v>7.41</v>
      </c>
      <c r="L171" s="7">
        <v>7.41</v>
      </c>
      <c r="M171" s="6" t="s">
        <v>472</v>
      </c>
      <c r="N171" s="6"/>
      <c r="O171" s="7">
        <v>-23.540111700000001</v>
      </c>
      <c r="P171" s="7">
        <v>-46.386560500000002</v>
      </c>
      <c r="Q171" s="7">
        <v>-23.5394109</v>
      </c>
      <c r="R171" s="7">
        <v>-46.386210499999997</v>
      </c>
    </row>
    <row r="172" spans="1:18" x14ac:dyDescent="0.3">
      <c r="A172" s="6" t="s">
        <v>42</v>
      </c>
      <c r="B172" s="6" t="s">
        <v>870</v>
      </c>
      <c r="C172" s="6" t="s">
        <v>871</v>
      </c>
      <c r="D172" s="6" t="s">
        <v>364</v>
      </c>
      <c r="E172" s="6" t="s">
        <v>365</v>
      </c>
      <c r="F172" s="6" t="s">
        <v>475</v>
      </c>
      <c r="G172" s="6">
        <v>355</v>
      </c>
      <c r="H172" s="6" t="s">
        <v>476</v>
      </c>
      <c r="I172" s="7">
        <v>19.239999999999998</v>
      </c>
      <c r="J172" s="7">
        <v>1.79</v>
      </c>
      <c r="K172" s="7">
        <v>1.95</v>
      </c>
      <c r="L172" s="7">
        <v>1.95</v>
      </c>
      <c r="M172" s="6" t="s">
        <v>472</v>
      </c>
      <c r="N172" s="6"/>
      <c r="O172" s="7">
        <v>-23.540284199999999</v>
      </c>
      <c r="P172" s="7">
        <v>-46.386536300000003</v>
      </c>
      <c r="Q172" s="7">
        <v>-23.540111700000001</v>
      </c>
      <c r="R172" s="7">
        <v>-46.386560500000002</v>
      </c>
    </row>
    <row r="173" spans="1:18" x14ac:dyDescent="0.3">
      <c r="A173" s="6" t="s">
        <v>42</v>
      </c>
      <c r="B173" s="6" t="s">
        <v>872</v>
      </c>
      <c r="C173" s="6" t="s">
        <v>873</v>
      </c>
      <c r="D173" s="6" t="s">
        <v>361</v>
      </c>
      <c r="E173" s="6" t="s">
        <v>361</v>
      </c>
      <c r="F173" s="6" t="s">
        <v>470</v>
      </c>
      <c r="G173" s="6">
        <v>200</v>
      </c>
      <c r="H173" s="6" t="s">
        <v>471</v>
      </c>
      <c r="I173" s="7">
        <v>8.08</v>
      </c>
      <c r="J173" s="7">
        <v>1.95</v>
      </c>
      <c r="K173" s="7">
        <v>2.44</v>
      </c>
      <c r="L173" s="7">
        <v>2.44</v>
      </c>
      <c r="M173" s="6" t="s">
        <v>472</v>
      </c>
      <c r="N173" s="6"/>
      <c r="O173" s="7">
        <v>-23.530350800000001</v>
      </c>
      <c r="P173" s="7">
        <v>-46.392108800000003</v>
      </c>
      <c r="Q173" s="7">
        <v>-23.530386100000001</v>
      </c>
      <c r="R173" s="7">
        <v>-46.392178299999998</v>
      </c>
    </row>
    <row r="174" spans="1:18" x14ac:dyDescent="0.3">
      <c r="A174" s="6" t="s">
        <v>42</v>
      </c>
      <c r="B174" s="6" t="s">
        <v>874</v>
      </c>
      <c r="C174" s="6" t="s">
        <v>748</v>
      </c>
      <c r="D174" s="6" t="s">
        <v>299</v>
      </c>
      <c r="E174" s="6" t="s">
        <v>298</v>
      </c>
      <c r="F174" s="6" t="s">
        <v>475</v>
      </c>
      <c r="G174" s="6">
        <v>355</v>
      </c>
      <c r="H174" s="6" t="s">
        <v>476</v>
      </c>
      <c r="I174" s="7">
        <v>81.75</v>
      </c>
      <c r="J174" s="7">
        <v>4.2</v>
      </c>
      <c r="K174" s="7">
        <v>4.67</v>
      </c>
      <c r="L174" s="7">
        <v>4.67</v>
      </c>
      <c r="M174" s="6" t="s">
        <v>472</v>
      </c>
      <c r="N174" s="6"/>
      <c r="O174" s="7">
        <v>-23.5305593</v>
      </c>
      <c r="P174" s="7">
        <v>-46.393901100000001</v>
      </c>
      <c r="Q174" s="7">
        <v>-23.530398300000002</v>
      </c>
      <c r="R174" s="7">
        <v>-46.394682400000001</v>
      </c>
    </row>
    <row r="175" spans="1:18" x14ac:dyDescent="0.3">
      <c r="A175" s="6" t="s">
        <v>42</v>
      </c>
      <c r="B175" s="6" t="s">
        <v>875</v>
      </c>
      <c r="C175" s="6" t="s">
        <v>876</v>
      </c>
      <c r="D175" s="6" t="s">
        <v>359</v>
      </c>
      <c r="E175" s="6" t="s">
        <v>299</v>
      </c>
      <c r="F175" s="6" t="s">
        <v>475</v>
      </c>
      <c r="G175" s="6">
        <v>355</v>
      </c>
      <c r="H175" s="6" t="s">
        <v>476</v>
      </c>
      <c r="I175" s="7">
        <v>83.67</v>
      </c>
      <c r="J175" s="7">
        <v>4.3600000000000003</v>
      </c>
      <c r="K175" s="7">
        <v>4.2</v>
      </c>
      <c r="L175" s="7">
        <v>4.3600000000000003</v>
      </c>
      <c r="M175" s="6" t="s">
        <v>472</v>
      </c>
      <c r="N175" s="6"/>
      <c r="O175" s="7">
        <v>-23.530732700000002</v>
      </c>
      <c r="P175" s="7">
        <v>-46.393103199999999</v>
      </c>
      <c r="Q175" s="7">
        <v>-23.5305593</v>
      </c>
      <c r="R175" s="7">
        <v>-46.393901100000001</v>
      </c>
    </row>
    <row r="176" spans="1:18" x14ac:dyDescent="0.3">
      <c r="A176" s="6" t="s">
        <v>42</v>
      </c>
      <c r="B176" s="6" t="s">
        <v>877</v>
      </c>
      <c r="C176" s="6" t="s">
        <v>878</v>
      </c>
      <c r="D176" s="6" t="s">
        <v>360</v>
      </c>
      <c r="E176" s="6" t="s">
        <v>359</v>
      </c>
      <c r="F176" s="6" t="s">
        <v>475</v>
      </c>
      <c r="G176" s="6">
        <v>355</v>
      </c>
      <c r="H176" s="6" t="s">
        <v>476</v>
      </c>
      <c r="I176" s="7">
        <v>86.03</v>
      </c>
      <c r="J176" s="7">
        <v>4.4800000000000004</v>
      </c>
      <c r="K176" s="7">
        <v>4.3600000000000003</v>
      </c>
      <c r="L176" s="7">
        <v>4.4800000000000004</v>
      </c>
      <c r="M176" s="6" t="s">
        <v>472</v>
      </c>
      <c r="N176" s="6"/>
      <c r="O176" s="7">
        <v>-23.530946499999999</v>
      </c>
      <c r="P176" s="7">
        <v>-46.3922934</v>
      </c>
      <c r="Q176" s="7">
        <v>-23.530732700000002</v>
      </c>
      <c r="R176" s="7">
        <v>-46.393103199999999</v>
      </c>
    </row>
    <row r="177" spans="1:18" x14ac:dyDescent="0.3">
      <c r="A177" s="6" t="s">
        <v>42</v>
      </c>
      <c r="B177" s="6" t="s">
        <v>879</v>
      </c>
      <c r="C177" s="6" t="s">
        <v>880</v>
      </c>
      <c r="D177" s="6" t="s">
        <v>362</v>
      </c>
      <c r="E177" s="6" t="s">
        <v>362</v>
      </c>
      <c r="F177" s="6" t="s">
        <v>475</v>
      </c>
      <c r="G177" s="6">
        <v>355</v>
      </c>
      <c r="H177" s="6" t="s">
        <v>476</v>
      </c>
      <c r="I177" s="7">
        <v>2.94</v>
      </c>
      <c r="J177" s="7">
        <v>4.46</v>
      </c>
      <c r="K177" s="7">
        <v>4.5</v>
      </c>
      <c r="L177" s="7">
        <v>4.5</v>
      </c>
      <c r="M177" s="6" t="s">
        <v>472</v>
      </c>
      <c r="N177" s="6"/>
      <c r="O177" s="7">
        <v>-23.529782999999998</v>
      </c>
      <c r="P177" s="7">
        <v>-46.3952478</v>
      </c>
      <c r="Q177" s="7">
        <v>-23.529762900000001</v>
      </c>
      <c r="R177" s="7">
        <v>-46.395246</v>
      </c>
    </row>
    <row r="178" spans="1:18" x14ac:dyDescent="0.3">
      <c r="A178" s="6" t="s">
        <v>42</v>
      </c>
      <c r="B178" s="6" t="s">
        <v>881</v>
      </c>
      <c r="C178" s="6" t="s">
        <v>882</v>
      </c>
      <c r="D178" s="6" t="s">
        <v>266</v>
      </c>
      <c r="E178" s="6" t="s">
        <v>375</v>
      </c>
      <c r="F178" s="6" t="s">
        <v>475</v>
      </c>
      <c r="G178" s="6">
        <v>355</v>
      </c>
      <c r="H178" s="6" t="s">
        <v>476</v>
      </c>
      <c r="I178" s="7">
        <v>109.55</v>
      </c>
      <c r="J178" s="7">
        <v>5.15</v>
      </c>
      <c r="K178" s="7">
        <v>11.41</v>
      </c>
      <c r="L178" s="7">
        <v>11.41</v>
      </c>
      <c r="M178" s="6" t="s">
        <v>472</v>
      </c>
      <c r="N178" s="6"/>
      <c r="O178" s="7">
        <v>-23.532690200000001</v>
      </c>
      <c r="P178" s="7">
        <v>-46.389563600000002</v>
      </c>
      <c r="Q178" s="7">
        <v>-23.5325989</v>
      </c>
      <c r="R178" s="7">
        <v>-46.390622299999997</v>
      </c>
    </row>
    <row r="179" spans="1:18" x14ac:dyDescent="0.3">
      <c r="A179" s="6" t="s">
        <v>42</v>
      </c>
      <c r="B179" s="6" t="s">
        <v>883</v>
      </c>
      <c r="C179" s="6" t="s">
        <v>884</v>
      </c>
      <c r="D179" s="6" t="s">
        <v>372</v>
      </c>
      <c r="E179" s="6" t="s">
        <v>372</v>
      </c>
      <c r="F179" s="6" t="s">
        <v>470</v>
      </c>
      <c r="G179" s="6">
        <v>200</v>
      </c>
      <c r="H179" s="6" t="s">
        <v>471</v>
      </c>
      <c r="I179" s="7">
        <v>1.36</v>
      </c>
      <c r="J179" s="7">
        <v>1.36</v>
      </c>
      <c r="K179" s="7">
        <v>1.44</v>
      </c>
      <c r="L179" s="7">
        <v>1.44</v>
      </c>
      <c r="M179" s="6" t="s">
        <v>472</v>
      </c>
      <c r="N179" s="6"/>
      <c r="O179" s="7">
        <v>-23.534300200000001</v>
      </c>
      <c r="P179" s="7">
        <v>-46.388118599999999</v>
      </c>
      <c r="Q179" s="7">
        <v>-23.534293699999999</v>
      </c>
      <c r="R179" s="7">
        <v>-46.388130599999997</v>
      </c>
    </row>
    <row r="180" spans="1:18" x14ac:dyDescent="0.3">
      <c r="A180" s="6" t="s">
        <v>45</v>
      </c>
      <c r="B180" s="6" t="s">
        <v>885</v>
      </c>
      <c r="C180" s="6" t="s">
        <v>833</v>
      </c>
      <c r="D180" s="6" t="s">
        <v>296</v>
      </c>
      <c r="E180" s="6" t="s">
        <v>362</v>
      </c>
      <c r="F180" s="6" t="s">
        <v>475</v>
      </c>
      <c r="G180" s="6">
        <v>355</v>
      </c>
      <c r="H180" s="6" t="s">
        <v>476</v>
      </c>
      <c r="I180" s="7">
        <v>25.94</v>
      </c>
      <c r="J180" s="7">
        <v>4.08</v>
      </c>
      <c r="K180" s="7">
        <v>4.2699999999999996</v>
      </c>
      <c r="L180" s="7">
        <v>4.2699999999999996</v>
      </c>
      <c r="M180" s="6" t="s">
        <v>472</v>
      </c>
      <c r="N180" s="6"/>
      <c r="O180" s="7">
        <v>-23.5077949</v>
      </c>
      <c r="P180" s="7">
        <v>-46.406332200000001</v>
      </c>
      <c r="Q180" s="7">
        <v>-23.507796500000001</v>
      </c>
      <c r="R180" s="7">
        <v>-46.406078299999997</v>
      </c>
    </row>
    <row r="181" spans="1:18" x14ac:dyDescent="0.3">
      <c r="A181" s="6" t="s">
        <v>45</v>
      </c>
      <c r="B181" s="6" t="s">
        <v>886</v>
      </c>
      <c r="C181" s="6" t="s">
        <v>748</v>
      </c>
      <c r="D181" s="6" t="s">
        <v>299</v>
      </c>
      <c r="E181" s="6" t="s">
        <v>298</v>
      </c>
      <c r="F181" s="6" t="s">
        <v>475</v>
      </c>
      <c r="G181" s="6">
        <v>355</v>
      </c>
      <c r="H181" s="6" t="s">
        <v>476</v>
      </c>
      <c r="I181" s="7">
        <v>56.37</v>
      </c>
      <c r="J181" s="7">
        <v>1.76</v>
      </c>
      <c r="K181" s="7">
        <v>2.04</v>
      </c>
      <c r="L181" s="7">
        <v>2.04</v>
      </c>
      <c r="M181" s="6" t="s">
        <v>472</v>
      </c>
      <c r="N181" s="6"/>
      <c r="O181" s="7">
        <v>-23.5087069</v>
      </c>
      <c r="P181" s="7">
        <v>-46.4068556</v>
      </c>
      <c r="Q181" s="7">
        <v>-23.508272900000001</v>
      </c>
      <c r="R181" s="7">
        <v>-46.406567000000003</v>
      </c>
    </row>
    <row r="182" spans="1:18" x14ac:dyDescent="0.3">
      <c r="A182" s="6" t="s">
        <v>45</v>
      </c>
      <c r="B182" s="6" t="s">
        <v>887</v>
      </c>
      <c r="C182" s="6" t="s">
        <v>888</v>
      </c>
      <c r="D182" s="6" t="s">
        <v>358</v>
      </c>
      <c r="E182" s="6" t="s">
        <v>380</v>
      </c>
      <c r="F182" s="6" t="s">
        <v>475</v>
      </c>
      <c r="G182" s="6">
        <v>355</v>
      </c>
      <c r="H182" s="6" t="s">
        <v>476</v>
      </c>
      <c r="I182" s="7">
        <v>62.29</v>
      </c>
      <c r="J182" s="7">
        <v>2.67</v>
      </c>
      <c r="K182" s="7">
        <v>2.48</v>
      </c>
      <c r="L182" s="7">
        <v>2.67</v>
      </c>
      <c r="M182" s="6" t="s">
        <v>472</v>
      </c>
      <c r="N182" s="6"/>
      <c r="O182" s="7">
        <v>-23.509674199999999</v>
      </c>
      <c r="P182" s="7">
        <v>-46.407628899999999</v>
      </c>
      <c r="Q182" s="7">
        <v>-23.509220299999999</v>
      </c>
      <c r="R182" s="7">
        <v>-46.407268500000001</v>
      </c>
    </row>
    <row r="183" spans="1:18" x14ac:dyDescent="0.3">
      <c r="A183" s="6" t="s">
        <v>45</v>
      </c>
      <c r="B183" s="6" t="s">
        <v>889</v>
      </c>
      <c r="C183" s="6" t="s">
        <v>890</v>
      </c>
      <c r="D183" s="6" t="s">
        <v>176</v>
      </c>
      <c r="E183" s="6" t="s">
        <v>358</v>
      </c>
      <c r="F183" s="6" t="s">
        <v>475</v>
      </c>
      <c r="G183" s="6">
        <v>355</v>
      </c>
      <c r="H183" s="6" t="s">
        <v>476</v>
      </c>
      <c r="I183" s="7">
        <v>50.62</v>
      </c>
      <c r="J183" s="7">
        <v>2.08</v>
      </c>
      <c r="K183" s="7">
        <v>2.67</v>
      </c>
      <c r="L183" s="7">
        <v>2.67</v>
      </c>
      <c r="M183" s="6" t="s">
        <v>472</v>
      </c>
      <c r="N183" s="6"/>
      <c r="O183" s="7">
        <v>-23.510051600000001</v>
      </c>
      <c r="P183" s="7">
        <v>-46.4079087</v>
      </c>
      <c r="Q183" s="7">
        <v>-23.509674199999999</v>
      </c>
      <c r="R183" s="7">
        <v>-46.407628899999999</v>
      </c>
    </row>
    <row r="184" spans="1:18" x14ac:dyDescent="0.3">
      <c r="A184" s="6" t="s">
        <v>45</v>
      </c>
      <c r="B184" s="6" t="s">
        <v>891</v>
      </c>
      <c r="C184" s="6" t="s">
        <v>892</v>
      </c>
      <c r="D184" s="6" t="s">
        <v>180</v>
      </c>
      <c r="E184" s="6" t="s">
        <v>176</v>
      </c>
      <c r="F184" s="6" t="s">
        <v>475</v>
      </c>
      <c r="G184" s="6">
        <v>355</v>
      </c>
      <c r="H184" s="6" t="s">
        <v>476</v>
      </c>
      <c r="I184" s="7">
        <v>57.9</v>
      </c>
      <c r="J184" s="7">
        <v>2.48</v>
      </c>
      <c r="K184" s="7">
        <v>2.08</v>
      </c>
      <c r="L184" s="7">
        <v>2.48</v>
      </c>
      <c r="M184" s="6" t="s">
        <v>472</v>
      </c>
      <c r="N184" s="6"/>
      <c r="O184" s="7">
        <v>-23.510480699999999</v>
      </c>
      <c r="P184" s="7">
        <v>-46.408232599999998</v>
      </c>
      <c r="Q184" s="7">
        <v>-23.510051600000001</v>
      </c>
      <c r="R184" s="7">
        <v>-46.4079087</v>
      </c>
    </row>
    <row r="185" spans="1:18" x14ac:dyDescent="0.3">
      <c r="A185" s="6" t="s">
        <v>45</v>
      </c>
      <c r="B185" s="6" t="s">
        <v>893</v>
      </c>
      <c r="C185" s="6" t="s">
        <v>880</v>
      </c>
      <c r="D185" s="6" t="s">
        <v>362</v>
      </c>
      <c r="E185" s="6" t="s">
        <v>362</v>
      </c>
      <c r="F185" s="6" t="s">
        <v>475</v>
      </c>
      <c r="G185" s="6">
        <v>355</v>
      </c>
      <c r="H185" s="6" t="s">
        <v>476</v>
      </c>
      <c r="I185" s="7">
        <v>2.04</v>
      </c>
      <c r="J185" s="7">
        <v>4.2699999999999996</v>
      </c>
      <c r="K185" s="7">
        <v>4.22</v>
      </c>
      <c r="L185" s="7">
        <v>4.2699999999999996</v>
      </c>
      <c r="M185" s="6" t="s">
        <v>472</v>
      </c>
      <c r="N185" s="6"/>
      <c r="O185" s="7">
        <v>-23.507796500000001</v>
      </c>
      <c r="P185" s="7">
        <v>-46.406078299999997</v>
      </c>
      <c r="Q185" s="7">
        <v>-23.507788399999999</v>
      </c>
      <c r="R185" s="7">
        <v>-46.406060400000001</v>
      </c>
    </row>
    <row r="186" spans="1:18" x14ac:dyDescent="0.3">
      <c r="A186" s="6" t="s">
        <v>45</v>
      </c>
      <c r="B186" s="6" t="s">
        <v>894</v>
      </c>
      <c r="C186" s="6" t="s">
        <v>895</v>
      </c>
      <c r="D186" s="6" t="s">
        <v>378</v>
      </c>
      <c r="E186" s="6" t="s">
        <v>180</v>
      </c>
      <c r="F186" s="6" t="s">
        <v>470</v>
      </c>
      <c r="G186" s="6">
        <v>200</v>
      </c>
      <c r="H186" s="6" t="s">
        <v>471</v>
      </c>
      <c r="I186" s="7">
        <v>15.41</v>
      </c>
      <c r="J186" s="7">
        <v>1.46</v>
      </c>
      <c r="K186" s="7">
        <v>2.19</v>
      </c>
      <c r="L186" s="7">
        <v>2.19</v>
      </c>
      <c r="M186" s="6" t="s">
        <v>472</v>
      </c>
      <c r="N186" s="6"/>
      <c r="O186" s="7">
        <v>-23.510401699999999</v>
      </c>
      <c r="P186" s="7">
        <v>-46.408356699999999</v>
      </c>
      <c r="Q186" s="7">
        <v>-23.510480699999999</v>
      </c>
      <c r="R186" s="7">
        <v>-46.408232599999998</v>
      </c>
    </row>
    <row r="187" spans="1:18" x14ac:dyDescent="0.3">
      <c r="A187" s="6" t="s">
        <v>45</v>
      </c>
      <c r="B187" s="6" t="s">
        <v>896</v>
      </c>
      <c r="C187" s="6" t="s">
        <v>897</v>
      </c>
      <c r="D187" s="6" t="s">
        <v>379</v>
      </c>
      <c r="E187" s="6" t="s">
        <v>180</v>
      </c>
      <c r="F187" s="6" t="s">
        <v>470</v>
      </c>
      <c r="G187" s="6">
        <v>200</v>
      </c>
      <c r="H187" s="6" t="s">
        <v>471</v>
      </c>
      <c r="I187" s="7">
        <v>3.95</v>
      </c>
      <c r="J187" s="7">
        <v>1.54</v>
      </c>
      <c r="K187" s="7">
        <v>2.0099999999999998</v>
      </c>
      <c r="L187" s="7">
        <v>2.0099999999999998</v>
      </c>
      <c r="M187" s="6" t="s">
        <v>472</v>
      </c>
      <c r="N187" s="6"/>
      <c r="O187" s="7">
        <v>-23.5105036</v>
      </c>
      <c r="P187" s="7">
        <v>-46.408262299999997</v>
      </c>
      <c r="Q187" s="7">
        <v>-23.510480699999999</v>
      </c>
      <c r="R187" s="7">
        <v>-46.408232599999998</v>
      </c>
    </row>
    <row r="188" spans="1:18" x14ac:dyDescent="0.3">
      <c r="A188" s="6" t="s">
        <v>45</v>
      </c>
      <c r="B188" s="6" t="s">
        <v>898</v>
      </c>
      <c r="C188" s="6" t="s">
        <v>899</v>
      </c>
      <c r="D188" s="6" t="s">
        <v>376</v>
      </c>
      <c r="E188" s="6" t="s">
        <v>298</v>
      </c>
      <c r="F188" s="6" t="s">
        <v>470</v>
      </c>
      <c r="G188" s="6">
        <v>200</v>
      </c>
      <c r="H188" s="6" t="s">
        <v>471</v>
      </c>
      <c r="I188" s="7">
        <v>1.34</v>
      </c>
      <c r="J188" s="7">
        <v>1.17</v>
      </c>
      <c r="K188" s="7">
        <v>1.2</v>
      </c>
      <c r="L188" s="7">
        <v>1.2</v>
      </c>
      <c r="M188" s="6" t="s">
        <v>472</v>
      </c>
      <c r="N188" s="6"/>
      <c r="O188" s="7">
        <v>-23.508279399999999</v>
      </c>
      <c r="P188" s="7">
        <v>-46.406578099999997</v>
      </c>
      <c r="Q188" s="7">
        <v>-23.508272900000001</v>
      </c>
      <c r="R188" s="7">
        <v>-46.406567000000003</v>
      </c>
    </row>
    <row r="189" spans="1:18" x14ac:dyDescent="0.3">
      <c r="A189" s="6" t="s">
        <v>45</v>
      </c>
      <c r="B189" s="6" t="s">
        <v>900</v>
      </c>
      <c r="C189" s="6" t="s">
        <v>901</v>
      </c>
      <c r="D189" s="6" t="s">
        <v>377</v>
      </c>
      <c r="E189" s="6" t="s">
        <v>380</v>
      </c>
      <c r="F189" s="6" t="s">
        <v>470</v>
      </c>
      <c r="G189" s="6">
        <v>200</v>
      </c>
      <c r="H189" s="6" t="s">
        <v>471</v>
      </c>
      <c r="I189" s="7">
        <v>3.1</v>
      </c>
      <c r="J189" s="7">
        <v>1.58</v>
      </c>
      <c r="K189" s="7">
        <v>1.62</v>
      </c>
      <c r="L189" s="7">
        <v>1.62</v>
      </c>
      <c r="M189" s="6" t="s">
        <v>472</v>
      </c>
      <c r="N189" s="6"/>
      <c r="O189" s="7">
        <v>-23.509247800000001</v>
      </c>
      <c r="P189" s="7">
        <v>-46.407274100000002</v>
      </c>
      <c r="Q189" s="7">
        <v>-23.509220299999999</v>
      </c>
      <c r="R189" s="7">
        <v>-46.407268500000001</v>
      </c>
    </row>
    <row r="190" spans="1:18" x14ac:dyDescent="0.3">
      <c r="A190" s="6" t="s">
        <v>45</v>
      </c>
      <c r="B190" s="6" t="s">
        <v>902</v>
      </c>
      <c r="C190" s="6" t="s">
        <v>903</v>
      </c>
      <c r="D190" s="6" t="s">
        <v>298</v>
      </c>
      <c r="E190" s="6" t="s">
        <v>296</v>
      </c>
      <c r="F190" s="6" t="s">
        <v>475</v>
      </c>
      <c r="G190" s="6">
        <v>355</v>
      </c>
      <c r="H190" s="6" t="s">
        <v>476</v>
      </c>
      <c r="I190" s="7">
        <v>58.33</v>
      </c>
      <c r="J190" s="7">
        <v>2.04</v>
      </c>
      <c r="K190" s="7">
        <v>4</v>
      </c>
      <c r="L190" s="7">
        <v>4</v>
      </c>
      <c r="M190" s="6" t="s">
        <v>472</v>
      </c>
      <c r="N190" s="6"/>
      <c r="O190" s="7">
        <v>-23.508272900000001</v>
      </c>
      <c r="P190" s="7">
        <v>-46.406567000000003</v>
      </c>
      <c r="Q190" s="7">
        <v>-23.507794700000002</v>
      </c>
      <c r="R190" s="7">
        <v>-46.406331600000001</v>
      </c>
    </row>
    <row r="191" spans="1:18" x14ac:dyDescent="0.3">
      <c r="A191" s="6" t="s">
        <v>45</v>
      </c>
      <c r="B191" s="6" t="s">
        <v>904</v>
      </c>
      <c r="C191" s="6" t="s">
        <v>905</v>
      </c>
      <c r="D191" s="6" t="s">
        <v>380</v>
      </c>
      <c r="E191" s="6" t="s">
        <v>299</v>
      </c>
      <c r="F191" s="6" t="s">
        <v>475</v>
      </c>
      <c r="G191" s="6">
        <v>355</v>
      </c>
      <c r="H191" s="6" t="s">
        <v>476</v>
      </c>
      <c r="I191" s="7">
        <v>70.88</v>
      </c>
      <c r="J191" s="7">
        <v>2.48</v>
      </c>
      <c r="K191" s="7">
        <v>1.76</v>
      </c>
      <c r="L191" s="7">
        <v>2.48</v>
      </c>
      <c r="M191" s="6" t="s">
        <v>472</v>
      </c>
      <c r="N191" s="6"/>
      <c r="O191" s="7">
        <v>-23.509220299999999</v>
      </c>
      <c r="P191" s="7">
        <v>-46.407268500000001</v>
      </c>
      <c r="Q191" s="7">
        <v>-23.508706400000001</v>
      </c>
      <c r="R191" s="7">
        <v>-46.406856099999999</v>
      </c>
    </row>
    <row r="192" spans="1:18" x14ac:dyDescent="0.3">
      <c r="A192" s="6" t="s">
        <v>47</v>
      </c>
      <c r="B192" s="6" t="s">
        <v>906</v>
      </c>
      <c r="C192" s="6" t="s">
        <v>907</v>
      </c>
      <c r="D192" s="6" t="s">
        <v>77</v>
      </c>
      <c r="E192" s="6" t="s">
        <v>382</v>
      </c>
      <c r="F192" s="6" t="s">
        <v>908</v>
      </c>
      <c r="G192" s="6"/>
      <c r="H192" s="6" t="s">
        <v>908</v>
      </c>
      <c r="I192" s="7">
        <v>48.78</v>
      </c>
      <c r="J192" s="6"/>
      <c r="K192" s="6"/>
      <c r="L192" s="6"/>
      <c r="M192" s="6" t="s">
        <v>472</v>
      </c>
      <c r="N192" s="6" t="s">
        <v>909</v>
      </c>
      <c r="O192" s="7">
        <v>-23.518933400000002</v>
      </c>
      <c r="P192" s="7">
        <v>-46.399317199999999</v>
      </c>
      <c r="Q192" s="7">
        <v>-23.5186061</v>
      </c>
      <c r="R192" s="7">
        <v>-46.399636800000003</v>
      </c>
    </row>
    <row r="193" spans="1:18" x14ac:dyDescent="0.3">
      <c r="A193" s="6" t="s">
        <v>47</v>
      </c>
      <c r="B193" s="6" t="s">
        <v>910</v>
      </c>
      <c r="C193" s="6" t="s">
        <v>911</v>
      </c>
      <c r="D193" s="6" t="s">
        <v>79</v>
      </c>
      <c r="E193" s="6" t="s">
        <v>77</v>
      </c>
      <c r="F193" s="6" t="s">
        <v>908</v>
      </c>
      <c r="G193" s="6"/>
      <c r="H193" s="6" t="s">
        <v>908</v>
      </c>
      <c r="I193" s="7">
        <v>83.55</v>
      </c>
      <c r="J193" s="6"/>
      <c r="K193" s="6"/>
      <c r="L193" s="6"/>
      <c r="M193" s="6" t="s">
        <v>472</v>
      </c>
      <c r="N193" s="6" t="s">
        <v>909</v>
      </c>
      <c r="O193" s="7">
        <v>-23.5196106</v>
      </c>
      <c r="P193" s="7">
        <v>-46.398956400000003</v>
      </c>
      <c r="Q193" s="7">
        <v>-23.518933400000002</v>
      </c>
      <c r="R193" s="7">
        <v>-46.399317199999999</v>
      </c>
    </row>
    <row r="194" spans="1:18" x14ac:dyDescent="0.3">
      <c r="A194" s="6" t="s">
        <v>47</v>
      </c>
      <c r="B194" s="6" t="s">
        <v>912</v>
      </c>
      <c r="C194" s="6" t="s">
        <v>913</v>
      </c>
      <c r="D194" s="6" t="s">
        <v>81</v>
      </c>
      <c r="E194" s="6" t="s">
        <v>79</v>
      </c>
      <c r="F194" s="6" t="s">
        <v>908</v>
      </c>
      <c r="G194" s="6"/>
      <c r="H194" s="6" t="s">
        <v>908</v>
      </c>
      <c r="I194" s="7">
        <v>82.2</v>
      </c>
      <c r="J194" s="6"/>
      <c r="K194" s="6"/>
      <c r="L194" s="6"/>
      <c r="M194" s="6" t="s">
        <v>472</v>
      </c>
      <c r="N194" s="6" t="s">
        <v>909</v>
      </c>
      <c r="O194" s="7">
        <v>-23.5203202</v>
      </c>
      <c r="P194" s="7">
        <v>-46.398719900000003</v>
      </c>
      <c r="Q194" s="7">
        <v>-23.5196106</v>
      </c>
      <c r="R194" s="7">
        <v>-46.398956400000003</v>
      </c>
    </row>
    <row r="195" spans="1:18" x14ac:dyDescent="0.3">
      <c r="A195" s="6" t="s">
        <v>47</v>
      </c>
      <c r="B195" s="6" t="s">
        <v>914</v>
      </c>
      <c r="C195" s="6" t="s">
        <v>915</v>
      </c>
      <c r="D195" s="6" t="s">
        <v>89</v>
      </c>
      <c r="E195" s="6" t="s">
        <v>81</v>
      </c>
      <c r="F195" s="6" t="s">
        <v>908</v>
      </c>
      <c r="G195" s="6"/>
      <c r="H195" s="6" t="s">
        <v>908</v>
      </c>
      <c r="I195" s="7">
        <v>65.819999999999993</v>
      </c>
      <c r="J195" s="6"/>
      <c r="K195" s="6"/>
      <c r="L195" s="6"/>
      <c r="M195" s="6" t="s">
        <v>472</v>
      </c>
      <c r="N195" s="6" t="s">
        <v>909</v>
      </c>
      <c r="O195" s="7">
        <v>-23.520914300000001</v>
      </c>
      <c r="P195" s="7">
        <v>-46.398701299999999</v>
      </c>
      <c r="Q195" s="7">
        <v>-23.5203202</v>
      </c>
      <c r="R195" s="7">
        <v>-46.398719900000003</v>
      </c>
    </row>
    <row r="196" spans="1:18" x14ac:dyDescent="0.3">
      <c r="A196" s="6" t="s">
        <v>47</v>
      </c>
      <c r="B196" s="6" t="s">
        <v>916</v>
      </c>
      <c r="C196" s="6" t="s">
        <v>917</v>
      </c>
      <c r="D196" s="6" t="s">
        <v>91</v>
      </c>
      <c r="E196" s="6" t="s">
        <v>89</v>
      </c>
      <c r="F196" s="6" t="s">
        <v>908</v>
      </c>
      <c r="G196" s="6"/>
      <c r="H196" s="6" t="s">
        <v>908</v>
      </c>
      <c r="I196" s="7">
        <v>59.78</v>
      </c>
      <c r="J196" s="6"/>
      <c r="K196" s="6"/>
      <c r="L196" s="6"/>
      <c r="M196" s="6" t="s">
        <v>472</v>
      </c>
      <c r="N196" s="6" t="s">
        <v>909</v>
      </c>
      <c r="O196" s="7">
        <v>-23.521452199999999</v>
      </c>
      <c r="P196" s="7">
        <v>-46.398651000000001</v>
      </c>
      <c r="Q196" s="7">
        <v>-23.520914300000001</v>
      </c>
      <c r="R196" s="7">
        <v>-46.398701299999999</v>
      </c>
    </row>
    <row r="197" spans="1:18" x14ac:dyDescent="0.3">
      <c r="A197" s="6" t="s">
        <v>47</v>
      </c>
      <c r="B197" s="6" t="s">
        <v>918</v>
      </c>
      <c r="C197" s="6" t="s">
        <v>919</v>
      </c>
      <c r="D197" s="6" t="s">
        <v>95</v>
      </c>
      <c r="E197" s="6" t="s">
        <v>91</v>
      </c>
      <c r="F197" s="6" t="s">
        <v>908</v>
      </c>
      <c r="G197" s="6"/>
      <c r="H197" s="6" t="s">
        <v>908</v>
      </c>
      <c r="I197" s="7">
        <v>51.39</v>
      </c>
      <c r="J197" s="6"/>
      <c r="K197" s="6"/>
      <c r="L197" s="6"/>
      <c r="M197" s="6" t="s">
        <v>472</v>
      </c>
      <c r="N197" s="6" t="s">
        <v>909</v>
      </c>
      <c r="O197" s="7">
        <v>-23.521852200000001</v>
      </c>
      <c r="P197" s="7">
        <v>-46.398395800000003</v>
      </c>
      <c r="Q197" s="7">
        <v>-23.521452199999999</v>
      </c>
      <c r="R197" s="7">
        <v>-46.398651000000001</v>
      </c>
    </row>
    <row r="198" spans="1:18" x14ac:dyDescent="0.3">
      <c r="A198" s="6" t="s">
        <v>47</v>
      </c>
      <c r="B198" s="6" t="s">
        <v>920</v>
      </c>
      <c r="C198" s="6" t="s">
        <v>921</v>
      </c>
      <c r="D198" s="6" t="s">
        <v>97</v>
      </c>
      <c r="E198" s="6" t="s">
        <v>95</v>
      </c>
      <c r="F198" s="6" t="s">
        <v>908</v>
      </c>
      <c r="G198" s="6"/>
      <c r="H198" s="6" t="s">
        <v>908</v>
      </c>
      <c r="I198" s="7">
        <v>69.709999999999994</v>
      </c>
      <c r="J198" s="6"/>
      <c r="K198" s="6"/>
      <c r="L198" s="6"/>
      <c r="M198" s="6" t="s">
        <v>472</v>
      </c>
      <c r="N198" s="6" t="s">
        <v>909</v>
      </c>
      <c r="O198" s="7">
        <v>-23.522053199999998</v>
      </c>
      <c r="P198" s="7">
        <v>-46.397748900000003</v>
      </c>
      <c r="Q198" s="7">
        <v>-23.521852200000001</v>
      </c>
      <c r="R198" s="7">
        <v>-46.398395800000003</v>
      </c>
    </row>
    <row r="199" spans="1:18" x14ac:dyDescent="0.3">
      <c r="A199" s="6" t="s">
        <v>47</v>
      </c>
      <c r="B199" s="6" t="s">
        <v>922</v>
      </c>
      <c r="C199" s="6" t="s">
        <v>923</v>
      </c>
      <c r="D199" s="6" t="s">
        <v>99</v>
      </c>
      <c r="E199" s="6" t="s">
        <v>97</v>
      </c>
      <c r="F199" s="6" t="s">
        <v>908</v>
      </c>
      <c r="G199" s="6"/>
      <c r="H199" s="6" t="s">
        <v>908</v>
      </c>
      <c r="I199" s="7">
        <v>28.94</v>
      </c>
      <c r="J199" s="6"/>
      <c r="K199" s="6"/>
      <c r="L199" s="6"/>
      <c r="M199" s="6" t="s">
        <v>472</v>
      </c>
      <c r="N199" s="6" t="s">
        <v>909</v>
      </c>
      <c r="O199" s="7">
        <v>-23.521841800000001</v>
      </c>
      <c r="P199" s="7">
        <v>-46.397582200000002</v>
      </c>
      <c r="Q199" s="7">
        <v>-23.522053199999998</v>
      </c>
      <c r="R199" s="7">
        <v>-46.397748900000003</v>
      </c>
    </row>
    <row r="200" spans="1:18" x14ac:dyDescent="0.3">
      <c r="A200" s="6" t="s">
        <v>47</v>
      </c>
      <c r="B200" s="6" t="s">
        <v>924</v>
      </c>
      <c r="C200" s="6" t="s">
        <v>925</v>
      </c>
      <c r="D200" s="6" t="s">
        <v>101</v>
      </c>
      <c r="E200" s="6" t="s">
        <v>99</v>
      </c>
      <c r="F200" s="6" t="s">
        <v>908</v>
      </c>
      <c r="G200" s="6"/>
      <c r="H200" s="6" t="s">
        <v>908</v>
      </c>
      <c r="I200" s="7">
        <v>26.54</v>
      </c>
      <c r="J200" s="6"/>
      <c r="K200" s="6"/>
      <c r="L200" s="6"/>
      <c r="M200" s="6" t="s">
        <v>472</v>
      </c>
      <c r="N200" s="6" t="s">
        <v>909</v>
      </c>
      <c r="O200" s="7">
        <v>-23.521716900000001</v>
      </c>
      <c r="P200" s="7">
        <v>-46.397804000000001</v>
      </c>
      <c r="Q200" s="7">
        <v>-23.521841800000001</v>
      </c>
      <c r="R200" s="7">
        <v>-46.397582200000002</v>
      </c>
    </row>
    <row r="201" spans="1:18" x14ac:dyDescent="0.3">
      <c r="A201" s="6" t="s">
        <v>47</v>
      </c>
      <c r="B201" s="6" t="s">
        <v>926</v>
      </c>
      <c r="C201" s="6" t="s">
        <v>927</v>
      </c>
      <c r="D201" s="6" t="s">
        <v>105</v>
      </c>
      <c r="E201" s="6" t="s">
        <v>101</v>
      </c>
      <c r="F201" s="6" t="s">
        <v>908</v>
      </c>
      <c r="G201" s="6"/>
      <c r="H201" s="6" t="s">
        <v>908</v>
      </c>
      <c r="I201" s="7">
        <v>24.78</v>
      </c>
      <c r="J201" s="6"/>
      <c r="K201" s="6"/>
      <c r="L201" s="6"/>
      <c r="M201" s="6" t="s">
        <v>472</v>
      </c>
      <c r="N201" s="6" t="s">
        <v>909</v>
      </c>
      <c r="O201" s="7">
        <v>-23.521594100000002</v>
      </c>
      <c r="P201" s="7">
        <v>-46.398006799999997</v>
      </c>
      <c r="Q201" s="7">
        <v>-23.521716900000001</v>
      </c>
      <c r="R201" s="7">
        <v>-46.397804000000001</v>
      </c>
    </row>
    <row r="202" spans="1:18" x14ac:dyDescent="0.3">
      <c r="A202" s="6" t="s">
        <v>47</v>
      </c>
      <c r="B202" s="6" t="s">
        <v>928</v>
      </c>
      <c r="C202" s="6" t="s">
        <v>929</v>
      </c>
      <c r="D202" s="6" t="s">
        <v>83</v>
      </c>
      <c r="E202" s="6" t="s">
        <v>81</v>
      </c>
      <c r="F202" s="6" t="s">
        <v>908</v>
      </c>
      <c r="G202" s="6"/>
      <c r="H202" s="6" t="s">
        <v>908</v>
      </c>
      <c r="I202" s="7">
        <v>54.38</v>
      </c>
      <c r="J202" s="6"/>
      <c r="K202" s="6"/>
      <c r="L202" s="6"/>
      <c r="M202" s="6" t="s">
        <v>472</v>
      </c>
      <c r="N202" s="6" t="s">
        <v>909</v>
      </c>
      <c r="O202" s="7">
        <v>-23.520131200000002</v>
      </c>
      <c r="P202" s="7">
        <v>-46.3982283</v>
      </c>
      <c r="Q202" s="7">
        <v>-23.5203202</v>
      </c>
      <c r="R202" s="7">
        <v>-46.398719900000003</v>
      </c>
    </row>
    <row r="203" spans="1:18" x14ac:dyDescent="0.3">
      <c r="A203" s="6" t="s">
        <v>47</v>
      </c>
      <c r="B203" s="6" t="s">
        <v>930</v>
      </c>
      <c r="C203" s="6" t="s">
        <v>931</v>
      </c>
      <c r="D203" s="6" t="s">
        <v>87</v>
      </c>
      <c r="E203" s="6" t="s">
        <v>83</v>
      </c>
      <c r="F203" s="6" t="s">
        <v>908</v>
      </c>
      <c r="G203" s="6"/>
      <c r="H203" s="6" t="s">
        <v>908</v>
      </c>
      <c r="I203" s="7">
        <v>14.31</v>
      </c>
      <c r="J203" s="6"/>
      <c r="K203" s="6"/>
      <c r="L203" s="6"/>
      <c r="M203" s="6" t="s">
        <v>472</v>
      </c>
      <c r="N203" s="6" t="s">
        <v>909</v>
      </c>
      <c r="O203" s="7">
        <v>-23.5201867</v>
      </c>
      <c r="P203" s="7">
        <v>-46.398101799999999</v>
      </c>
      <c r="Q203" s="7">
        <v>-23.520131200000002</v>
      </c>
      <c r="R203" s="7">
        <v>-46.3982283</v>
      </c>
    </row>
    <row r="204" spans="1:18" x14ac:dyDescent="0.3">
      <c r="A204" s="6" t="s">
        <v>47</v>
      </c>
      <c r="B204" s="6" t="s">
        <v>932</v>
      </c>
      <c r="C204" s="6" t="s">
        <v>933</v>
      </c>
      <c r="D204" s="6" t="s">
        <v>85</v>
      </c>
      <c r="E204" s="6" t="s">
        <v>83</v>
      </c>
      <c r="F204" s="6" t="s">
        <v>908</v>
      </c>
      <c r="G204" s="6"/>
      <c r="H204" s="6" t="s">
        <v>908</v>
      </c>
      <c r="I204" s="7">
        <v>3.85</v>
      </c>
      <c r="J204" s="6"/>
      <c r="K204" s="6"/>
      <c r="L204" s="6"/>
      <c r="M204" s="6" t="s">
        <v>472</v>
      </c>
      <c r="N204" s="6" t="s">
        <v>909</v>
      </c>
      <c r="O204" s="7">
        <v>-23.5201177</v>
      </c>
      <c r="P204" s="7">
        <v>-46.398193599999999</v>
      </c>
      <c r="Q204" s="7">
        <v>-23.520131200000002</v>
      </c>
      <c r="R204" s="7">
        <v>-46.3982283</v>
      </c>
    </row>
    <row r="205" spans="1:18" x14ac:dyDescent="0.3">
      <c r="A205" s="6" t="s">
        <v>47</v>
      </c>
      <c r="B205" s="6" t="s">
        <v>934</v>
      </c>
      <c r="C205" s="6" t="s">
        <v>935</v>
      </c>
      <c r="D205" s="6" t="s">
        <v>93</v>
      </c>
      <c r="E205" s="6" t="s">
        <v>91</v>
      </c>
      <c r="F205" s="6" t="s">
        <v>908</v>
      </c>
      <c r="G205" s="6"/>
      <c r="H205" s="6" t="s">
        <v>908</v>
      </c>
      <c r="I205" s="7">
        <v>2.4900000000000002</v>
      </c>
      <c r="J205" s="6"/>
      <c r="K205" s="6"/>
      <c r="L205" s="6"/>
      <c r="M205" s="6" t="s">
        <v>472</v>
      </c>
      <c r="N205" s="6" t="s">
        <v>909</v>
      </c>
      <c r="O205" s="7">
        <v>-23.5214569</v>
      </c>
      <c r="P205" s="7">
        <v>-46.398627099999999</v>
      </c>
      <c r="Q205" s="7">
        <v>-23.521452199999999</v>
      </c>
      <c r="R205" s="7">
        <v>-46.398651000000001</v>
      </c>
    </row>
    <row r="206" spans="1:18" x14ac:dyDescent="0.3">
      <c r="A206" s="6" t="s">
        <v>47</v>
      </c>
      <c r="B206" s="6" t="s">
        <v>936</v>
      </c>
      <c r="C206" s="6" t="s">
        <v>937</v>
      </c>
      <c r="D206" s="6" t="s">
        <v>103</v>
      </c>
      <c r="E206" s="6" t="s">
        <v>101</v>
      </c>
      <c r="F206" s="6" t="s">
        <v>908</v>
      </c>
      <c r="G206" s="6"/>
      <c r="H206" s="6" t="s">
        <v>908</v>
      </c>
      <c r="I206" s="7">
        <v>1.24</v>
      </c>
      <c r="J206" s="6"/>
      <c r="K206" s="6"/>
      <c r="L206" s="6"/>
      <c r="M206" s="6" t="s">
        <v>472</v>
      </c>
      <c r="N206" s="6" t="s">
        <v>909</v>
      </c>
      <c r="O206" s="7">
        <v>-23.521719600000001</v>
      </c>
      <c r="P206" s="7">
        <v>-46.397792199999998</v>
      </c>
      <c r="Q206" s="7">
        <v>-23.521716900000001</v>
      </c>
      <c r="R206" s="7">
        <v>-46.397804000000001</v>
      </c>
    </row>
    <row r="207" spans="1:18" x14ac:dyDescent="0.3">
      <c r="A207" s="6" t="s">
        <v>51</v>
      </c>
      <c r="B207" s="6" t="s">
        <v>885</v>
      </c>
      <c r="C207" s="6" t="s">
        <v>938</v>
      </c>
      <c r="D207" s="6" t="s">
        <v>404</v>
      </c>
      <c r="E207" s="6" t="s">
        <v>363</v>
      </c>
      <c r="F207" s="6" t="s">
        <v>475</v>
      </c>
      <c r="G207" s="6">
        <v>355</v>
      </c>
      <c r="H207" s="6" t="s">
        <v>476</v>
      </c>
      <c r="I207" s="7">
        <v>14.88</v>
      </c>
      <c r="J207" s="7">
        <v>3.7</v>
      </c>
      <c r="K207" s="7">
        <v>3.4</v>
      </c>
      <c r="L207" s="7">
        <v>3.7</v>
      </c>
      <c r="M207" s="6" t="s">
        <v>939</v>
      </c>
      <c r="N207" s="6"/>
      <c r="O207" s="7">
        <v>-23.518899699999999</v>
      </c>
      <c r="P207" s="7">
        <v>-46.395085199999997</v>
      </c>
      <c r="Q207" s="7">
        <v>-23.518771999999998</v>
      </c>
      <c r="R207" s="7">
        <v>-46.395039500000003</v>
      </c>
    </row>
    <row r="208" spans="1:18" x14ac:dyDescent="0.3">
      <c r="A208" s="6" t="s">
        <v>51</v>
      </c>
      <c r="B208" s="6" t="s">
        <v>886</v>
      </c>
      <c r="C208" s="6" t="s">
        <v>888</v>
      </c>
      <c r="D208" s="6" t="s">
        <v>358</v>
      </c>
      <c r="E208" s="6" t="s">
        <v>380</v>
      </c>
      <c r="F208" s="6" t="s">
        <v>475</v>
      </c>
      <c r="G208" s="6">
        <v>355</v>
      </c>
      <c r="H208" s="6" t="s">
        <v>476</v>
      </c>
      <c r="I208" s="7">
        <v>20.68</v>
      </c>
      <c r="J208" s="7">
        <v>3.25</v>
      </c>
      <c r="K208" s="7">
        <v>3.45</v>
      </c>
      <c r="L208" s="7">
        <v>3.45</v>
      </c>
      <c r="M208" s="6" t="s">
        <v>939</v>
      </c>
      <c r="N208" s="6"/>
      <c r="O208" s="7">
        <v>-23.518488399999999</v>
      </c>
      <c r="P208" s="7">
        <v>-46.399732299999997</v>
      </c>
      <c r="Q208" s="7">
        <v>-23.518556199999999</v>
      </c>
      <c r="R208" s="7">
        <v>-46.399920799999997</v>
      </c>
    </row>
    <row r="209" spans="1:18" x14ac:dyDescent="0.3">
      <c r="A209" s="6" t="s">
        <v>51</v>
      </c>
      <c r="B209" s="6" t="s">
        <v>887</v>
      </c>
      <c r="C209" s="6" t="s">
        <v>940</v>
      </c>
      <c r="D209" s="6" t="s">
        <v>400</v>
      </c>
      <c r="E209" s="6" t="s">
        <v>358</v>
      </c>
      <c r="F209" s="6" t="s">
        <v>475</v>
      </c>
      <c r="G209" s="6">
        <v>355</v>
      </c>
      <c r="H209" s="6" t="s">
        <v>476</v>
      </c>
      <c r="I209" s="7">
        <v>51.6</v>
      </c>
      <c r="J209" s="7">
        <v>2.5499999999999998</v>
      </c>
      <c r="K209" s="7">
        <v>3.25</v>
      </c>
      <c r="L209" s="7">
        <v>3.25</v>
      </c>
      <c r="M209" s="6" t="s">
        <v>939</v>
      </c>
      <c r="N209" s="6"/>
      <c r="O209" s="7">
        <v>-23.5181285</v>
      </c>
      <c r="P209" s="7">
        <v>-46.400053399999997</v>
      </c>
      <c r="Q209" s="7">
        <v>-23.518488399999999</v>
      </c>
      <c r="R209" s="7">
        <v>-46.399732299999997</v>
      </c>
    </row>
    <row r="210" spans="1:18" x14ac:dyDescent="0.3">
      <c r="A210" s="6" t="s">
        <v>51</v>
      </c>
      <c r="B210" s="6" t="s">
        <v>889</v>
      </c>
      <c r="C210" s="6" t="s">
        <v>941</v>
      </c>
      <c r="D210" s="6" t="s">
        <v>296</v>
      </c>
      <c r="E210" s="6" t="s">
        <v>296</v>
      </c>
      <c r="F210" s="6" t="s">
        <v>475</v>
      </c>
      <c r="G210" s="6">
        <v>355</v>
      </c>
      <c r="H210" s="6" t="s">
        <v>476</v>
      </c>
      <c r="I210" s="7">
        <v>3.27</v>
      </c>
      <c r="J210" s="7">
        <v>3.5</v>
      </c>
      <c r="K210" s="7">
        <v>3.56</v>
      </c>
      <c r="L210" s="7">
        <v>3.56</v>
      </c>
      <c r="M210" s="6" t="s">
        <v>939</v>
      </c>
      <c r="N210" s="6"/>
      <c r="O210" s="7">
        <v>-23.515996399999999</v>
      </c>
      <c r="P210" s="7">
        <v>-46.4022632</v>
      </c>
      <c r="Q210" s="7">
        <v>-23.515998700000001</v>
      </c>
      <c r="R210" s="7">
        <v>-46.402293800000002</v>
      </c>
    </row>
    <row r="211" spans="1:18" x14ac:dyDescent="0.3">
      <c r="A211" s="6" t="s">
        <v>51</v>
      </c>
      <c r="B211" s="6" t="s">
        <v>891</v>
      </c>
      <c r="C211" s="6" t="s">
        <v>748</v>
      </c>
      <c r="D211" s="6" t="s">
        <v>299</v>
      </c>
      <c r="E211" s="6" t="s">
        <v>298</v>
      </c>
      <c r="F211" s="6" t="s">
        <v>475</v>
      </c>
      <c r="G211" s="6">
        <v>355</v>
      </c>
      <c r="H211" s="6" t="s">
        <v>476</v>
      </c>
      <c r="I211" s="7">
        <v>64.510000000000005</v>
      </c>
      <c r="J211" s="7">
        <v>3.15</v>
      </c>
      <c r="K211" s="7">
        <v>3.09</v>
      </c>
      <c r="L211" s="7">
        <v>3.15</v>
      </c>
      <c r="M211" s="6" t="s">
        <v>939</v>
      </c>
      <c r="N211" s="6"/>
      <c r="O211" s="7">
        <v>-23.517105300000001</v>
      </c>
      <c r="P211" s="7">
        <v>-46.4013214</v>
      </c>
      <c r="Q211" s="7">
        <v>-23.5166705</v>
      </c>
      <c r="R211" s="7">
        <v>-46.401741199999996</v>
      </c>
    </row>
    <row r="212" spans="1:18" x14ac:dyDescent="0.3">
      <c r="A212" s="6" t="s">
        <v>51</v>
      </c>
      <c r="B212" s="6" t="s">
        <v>893</v>
      </c>
      <c r="C212" s="6" t="s">
        <v>876</v>
      </c>
      <c r="D212" s="6" t="s">
        <v>359</v>
      </c>
      <c r="E212" s="6" t="s">
        <v>299</v>
      </c>
      <c r="F212" s="6" t="s">
        <v>475</v>
      </c>
      <c r="G212" s="6">
        <v>355</v>
      </c>
      <c r="H212" s="6" t="s">
        <v>476</v>
      </c>
      <c r="I212" s="7">
        <v>75.36</v>
      </c>
      <c r="J212" s="7">
        <v>3.28</v>
      </c>
      <c r="K212" s="7">
        <v>3.05</v>
      </c>
      <c r="L212" s="7">
        <v>3.28</v>
      </c>
      <c r="M212" s="6" t="s">
        <v>939</v>
      </c>
      <c r="N212" s="6"/>
      <c r="O212" s="7">
        <v>-23.517567</v>
      </c>
      <c r="P212" s="7">
        <v>-46.400779200000002</v>
      </c>
      <c r="Q212" s="7">
        <v>-23.517105300000001</v>
      </c>
      <c r="R212" s="7">
        <v>-46.4013214</v>
      </c>
    </row>
    <row r="213" spans="1:18" x14ac:dyDescent="0.3">
      <c r="A213" s="6" t="s">
        <v>51</v>
      </c>
      <c r="B213" s="6" t="s">
        <v>894</v>
      </c>
      <c r="C213" s="6" t="s">
        <v>878</v>
      </c>
      <c r="D213" s="6" t="s">
        <v>360</v>
      </c>
      <c r="E213" s="6" t="s">
        <v>359</v>
      </c>
      <c r="F213" s="6" t="s">
        <v>475</v>
      </c>
      <c r="G213" s="6">
        <v>355</v>
      </c>
      <c r="H213" s="6" t="s">
        <v>476</v>
      </c>
      <c r="I213" s="7">
        <v>87.74</v>
      </c>
      <c r="J213" s="7">
        <v>3.45</v>
      </c>
      <c r="K213" s="7">
        <v>3.19</v>
      </c>
      <c r="L213" s="7">
        <v>3.45</v>
      </c>
      <c r="M213" s="6" t="s">
        <v>939</v>
      </c>
      <c r="N213" s="6"/>
      <c r="O213" s="7">
        <v>-23.518182100000001</v>
      </c>
      <c r="P213" s="7">
        <v>-46.400237500000003</v>
      </c>
      <c r="Q213" s="7">
        <v>-23.517567</v>
      </c>
      <c r="R213" s="7">
        <v>-46.400779200000002</v>
      </c>
    </row>
    <row r="214" spans="1:18" x14ac:dyDescent="0.3">
      <c r="A214" s="6" t="s">
        <v>51</v>
      </c>
      <c r="B214" s="6" t="s">
        <v>896</v>
      </c>
      <c r="C214" s="6" t="s">
        <v>942</v>
      </c>
      <c r="D214" s="6" t="s">
        <v>380</v>
      </c>
      <c r="E214" s="6" t="s">
        <v>360</v>
      </c>
      <c r="F214" s="6" t="s">
        <v>475</v>
      </c>
      <c r="G214" s="6">
        <v>355</v>
      </c>
      <c r="H214" s="6" t="s">
        <v>476</v>
      </c>
      <c r="I214" s="7">
        <v>52.59</v>
      </c>
      <c r="J214" s="7">
        <v>3.45</v>
      </c>
      <c r="K214" s="7">
        <v>3.3</v>
      </c>
      <c r="L214" s="7">
        <v>3.45</v>
      </c>
      <c r="M214" s="6" t="s">
        <v>939</v>
      </c>
      <c r="N214" s="6"/>
      <c r="O214" s="7">
        <v>-23.518556199999999</v>
      </c>
      <c r="P214" s="7">
        <v>-46.399920799999997</v>
      </c>
      <c r="Q214" s="7">
        <v>-23.518182100000001</v>
      </c>
      <c r="R214" s="7">
        <v>-46.400237500000003</v>
      </c>
    </row>
    <row r="215" spans="1:18" x14ac:dyDescent="0.3">
      <c r="A215" s="6" t="s">
        <v>51</v>
      </c>
      <c r="B215" s="6" t="s">
        <v>898</v>
      </c>
      <c r="C215" s="6" t="s">
        <v>943</v>
      </c>
      <c r="D215" s="6" t="s">
        <v>393</v>
      </c>
      <c r="E215" s="6" t="s">
        <v>400</v>
      </c>
      <c r="F215" s="6" t="s">
        <v>475</v>
      </c>
      <c r="G215" s="6">
        <v>355</v>
      </c>
      <c r="H215" s="6" t="s">
        <v>476</v>
      </c>
      <c r="I215" s="7">
        <v>60.05</v>
      </c>
      <c r="J215" s="7">
        <v>1.1499999999999999</v>
      </c>
      <c r="K215" s="7">
        <v>2.5499999999999998</v>
      </c>
      <c r="L215" s="7">
        <v>2.5499999999999998</v>
      </c>
      <c r="M215" s="6" t="s">
        <v>939</v>
      </c>
      <c r="N215" s="6"/>
      <c r="O215" s="7">
        <v>-23.517705200000002</v>
      </c>
      <c r="P215" s="7">
        <v>-46.400421000000001</v>
      </c>
      <c r="Q215" s="7">
        <v>-23.5181285</v>
      </c>
      <c r="R215" s="7">
        <v>-46.400053399999997</v>
      </c>
    </row>
    <row r="216" spans="1:18" x14ac:dyDescent="0.3">
      <c r="A216" s="6" t="s">
        <v>51</v>
      </c>
      <c r="B216" s="6" t="s">
        <v>900</v>
      </c>
      <c r="C216" s="6" t="s">
        <v>853</v>
      </c>
      <c r="D216" s="6" t="s">
        <v>270</v>
      </c>
      <c r="E216" s="6" t="s">
        <v>268</v>
      </c>
      <c r="F216" s="6" t="s">
        <v>475</v>
      </c>
      <c r="G216" s="6">
        <v>355</v>
      </c>
      <c r="H216" s="6" t="s">
        <v>476</v>
      </c>
      <c r="I216" s="7">
        <v>48.1</v>
      </c>
      <c r="J216" s="7">
        <v>3.35</v>
      </c>
      <c r="K216" s="7">
        <v>2.88</v>
      </c>
      <c r="L216" s="7">
        <v>3.35</v>
      </c>
      <c r="M216" s="6" t="s">
        <v>939</v>
      </c>
      <c r="N216" s="6"/>
      <c r="O216" s="7">
        <v>-23.5191242</v>
      </c>
      <c r="P216" s="7">
        <v>-46.397703300000003</v>
      </c>
      <c r="Q216" s="7">
        <v>-23.518782000000002</v>
      </c>
      <c r="R216" s="7">
        <v>-46.397993399999997</v>
      </c>
    </row>
    <row r="217" spans="1:18" x14ac:dyDescent="0.3">
      <c r="A217" s="6" t="s">
        <v>51</v>
      </c>
      <c r="B217" s="6" t="s">
        <v>902</v>
      </c>
      <c r="C217" s="6" t="s">
        <v>851</v>
      </c>
      <c r="D217" s="6" t="s">
        <v>268</v>
      </c>
      <c r="E217" s="6" t="s">
        <v>328</v>
      </c>
      <c r="F217" s="6" t="s">
        <v>475</v>
      </c>
      <c r="G217" s="6">
        <v>355</v>
      </c>
      <c r="H217" s="6" t="s">
        <v>476</v>
      </c>
      <c r="I217" s="7">
        <v>20.69</v>
      </c>
      <c r="J217" s="7">
        <v>2.88</v>
      </c>
      <c r="K217" s="7">
        <v>3.05</v>
      </c>
      <c r="L217" s="7">
        <v>3.05</v>
      </c>
      <c r="M217" s="6" t="s">
        <v>939</v>
      </c>
      <c r="N217" s="6"/>
      <c r="O217" s="7">
        <v>-23.518782000000002</v>
      </c>
      <c r="P217" s="7">
        <v>-46.397993399999997</v>
      </c>
      <c r="Q217" s="7">
        <v>-23.518614899999999</v>
      </c>
      <c r="R217" s="7">
        <v>-46.3980842</v>
      </c>
    </row>
    <row r="218" spans="1:18" x14ac:dyDescent="0.3">
      <c r="A218" s="6" t="s">
        <v>51</v>
      </c>
      <c r="B218" s="6" t="s">
        <v>904</v>
      </c>
      <c r="C218" s="6" t="s">
        <v>849</v>
      </c>
      <c r="D218" s="6" t="s">
        <v>328</v>
      </c>
      <c r="E218" s="6" t="s">
        <v>266</v>
      </c>
      <c r="F218" s="6" t="s">
        <v>475</v>
      </c>
      <c r="G218" s="6">
        <v>355</v>
      </c>
      <c r="H218" s="6" t="s">
        <v>476</v>
      </c>
      <c r="I218" s="7">
        <v>23.47</v>
      </c>
      <c r="J218" s="7">
        <v>3.05</v>
      </c>
      <c r="K218" s="7">
        <v>5.2</v>
      </c>
      <c r="L218" s="7">
        <v>5.2</v>
      </c>
      <c r="M218" s="6" t="s">
        <v>939</v>
      </c>
      <c r="N218" s="6"/>
      <c r="O218" s="7">
        <v>-23.518614899999999</v>
      </c>
      <c r="P218" s="7">
        <v>-46.3980842</v>
      </c>
      <c r="Q218" s="7">
        <v>-23.5184341</v>
      </c>
      <c r="R218" s="7">
        <v>-46.398204</v>
      </c>
    </row>
    <row r="219" spans="1:18" x14ac:dyDescent="0.3">
      <c r="A219" s="6" t="s">
        <v>51</v>
      </c>
      <c r="B219" s="6" t="s">
        <v>944</v>
      </c>
      <c r="C219" s="6" t="s">
        <v>945</v>
      </c>
      <c r="D219" s="6" t="s">
        <v>366</v>
      </c>
      <c r="E219" s="6" t="s">
        <v>375</v>
      </c>
      <c r="F219" s="6" t="s">
        <v>475</v>
      </c>
      <c r="G219" s="6">
        <v>355</v>
      </c>
      <c r="H219" s="6" t="s">
        <v>476</v>
      </c>
      <c r="I219" s="7">
        <v>36.369999999999997</v>
      </c>
      <c r="J219" s="7">
        <v>3</v>
      </c>
      <c r="K219" s="7">
        <v>3.15</v>
      </c>
      <c r="L219" s="7">
        <v>3.15</v>
      </c>
      <c r="M219" s="6" t="s">
        <v>939</v>
      </c>
      <c r="N219" s="6"/>
      <c r="O219" s="7">
        <v>-23.518913900000001</v>
      </c>
      <c r="P219" s="7">
        <v>-46.398578299999997</v>
      </c>
      <c r="Q219" s="7">
        <v>-23.518617200000001</v>
      </c>
      <c r="R219" s="7">
        <v>-46.398731099999999</v>
      </c>
    </row>
    <row r="220" spans="1:18" x14ac:dyDescent="0.3">
      <c r="A220" s="6" t="s">
        <v>51</v>
      </c>
      <c r="B220" s="6" t="s">
        <v>946</v>
      </c>
      <c r="C220" s="6" t="s">
        <v>947</v>
      </c>
      <c r="D220" s="6" t="s">
        <v>366</v>
      </c>
      <c r="E220" s="6" t="s">
        <v>366</v>
      </c>
      <c r="F220" s="6" t="s">
        <v>470</v>
      </c>
      <c r="G220" s="6">
        <v>200</v>
      </c>
      <c r="H220" s="6" t="s">
        <v>471</v>
      </c>
      <c r="I220" s="7">
        <v>2.14</v>
      </c>
      <c r="J220" s="7">
        <v>1.77</v>
      </c>
      <c r="K220" s="7">
        <v>2</v>
      </c>
      <c r="L220" s="7">
        <v>2</v>
      </c>
      <c r="M220" s="6" t="s">
        <v>939</v>
      </c>
      <c r="N220" s="6"/>
      <c r="O220" s="7">
        <v>-23.5189378</v>
      </c>
      <c r="P220" s="7">
        <v>-46.398585400000002</v>
      </c>
      <c r="Q220" s="7">
        <v>-23.518913900000001</v>
      </c>
      <c r="R220" s="7">
        <v>-46.398578299999997</v>
      </c>
    </row>
    <row r="221" spans="1:18" x14ac:dyDescent="0.3">
      <c r="A221" s="6" t="s">
        <v>51</v>
      </c>
      <c r="B221" s="6" t="s">
        <v>948</v>
      </c>
      <c r="C221" s="6" t="s">
        <v>949</v>
      </c>
      <c r="D221" s="6" t="s">
        <v>375</v>
      </c>
      <c r="E221" s="6" t="s">
        <v>264</v>
      </c>
      <c r="F221" s="6" t="s">
        <v>475</v>
      </c>
      <c r="G221" s="6">
        <v>355</v>
      </c>
      <c r="H221" s="6" t="s">
        <v>476</v>
      </c>
      <c r="I221" s="7">
        <v>55.13</v>
      </c>
      <c r="J221" s="7">
        <v>3.15</v>
      </c>
      <c r="K221" s="7">
        <v>3.2</v>
      </c>
      <c r="L221" s="7">
        <v>3.2</v>
      </c>
      <c r="M221" s="6" t="s">
        <v>939</v>
      </c>
      <c r="N221" s="6"/>
      <c r="O221" s="7">
        <v>-23.518617200000001</v>
      </c>
      <c r="P221" s="7">
        <v>-46.398731099999999</v>
      </c>
      <c r="Q221" s="7">
        <v>-23.518263600000001</v>
      </c>
      <c r="R221" s="7">
        <v>-46.399111300000001</v>
      </c>
    </row>
    <row r="222" spans="1:18" x14ac:dyDescent="0.3">
      <c r="A222" s="6" t="s">
        <v>51</v>
      </c>
      <c r="B222" s="6" t="s">
        <v>950</v>
      </c>
      <c r="C222" s="6" t="s">
        <v>951</v>
      </c>
      <c r="D222" s="6" t="s">
        <v>264</v>
      </c>
      <c r="E222" s="6" t="s">
        <v>394</v>
      </c>
      <c r="F222" s="6" t="s">
        <v>475</v>
      </c>
      <c r="G222" s="6">
        <v>355</v>
      </c>
      <c r="H222" s="6" t="s">
        <v>476</v>
      </c>
      <c r="I222" s="7">
        <v>34.96</v>
      </c>
      <c r="J222" s="7">
        <v>3.2</v>
      </c>
      <c r="K222" s="7">
        <v>2.8</v>
      </c>
      <c r="L222" s="7">
        <v>3.2</v>
      </c>
      <c r="M222" s="6" t="s">
        <v>939</v>
      </c>
      <c r="N222" s="6"/>
      <c r="O222" s="7">
        <v>-23.518263600000001</v>
      </c>
      <c r="P222" s="7">
        <v>-46.399111300000001</v>
      </c>
      <c r="Q222" s="7">
        <v>-23.518438199999999</v>
      </c>
      <c r="R222" s="7">
        <v>-46.399396500000002</v>
      </c>
    </row>
    <row r="223" spans="1:18" x14ac:dyDescent="0.3">
      <c r="A223" s="6" t="s">
        <v>51</v>
      </c>
      <c r="B223" s="6" t="s">
        <v>952</v>
      </c>
      <c r="C223" s="6" t="s">
        <v>953</v>
      </c>
      <c r="D223" s="6" t="s">
        <v>394</v>
      </c>
      <c r="E223" s="6" t="s">
        <v>180</v>
      </c>
      <c r="F223" s="6" t="s">
        <v>475</v>
      </c>
      <c r="G223" s="6">
        <v>355</v>
      </c>
      <c r="H223" s="6" t="s">
        <v>476</v>
      </c>
      <c r="I223" s="7">
        <v>30.95</v>
      </c>
      <c r="J223" s="7">
        <v>2.8</v>
      </c>
      <c r="K223" s="7">
        <v>3.25</v>
      </c>
      <c r="L223" s="7">
        <v>3.25</v>
      </c>
      <c r="M223" s="6" t="s">
        <v>939</v>
      </c>
      <c r="N223" s="6"/>
      <c r="O223" s="7">
        <v>-23.518438199999999</v>
      </c>
      <c r="P223" s="7">
        <v>-46.399396500000002</v>
      </c>
      <c r="Q223" s="7">
        <v>-23.5186083</v>
      </c>
      <c r="R223" s="7">
        <v>-46.3996371</v>
      </c>
    </row>
    <row r="224" spans="1:18" x14ac:dyDescent="0.3">
      <c r="A224" s="6" t="s">
        <v>51</v>
      </c>
      <c r="B224" s="6" t="s">
        <v>954</v>
      </c>
      <c r="C224" s="6" t="s">
        <v>841</v>
      </c>
      <c r="D224" s="6" t="s">
        <v>180</v>
      </c>
      <c r="E224" s="6" t="s">
        <v>358</v>
      </c>
      <c r="F224" s="6" t="s">
        <v>475</v>
      </c>
      <c r="G224" s="6">
        <v>355</v>
      </c>
      <c r="H224" s="6" t="s">
        <v>476</v>
      </c>
      <c r="I224" s="7">
        <v>16.34</v>
      </c>
      <c r="J224" s="7">
        <v>3.25</v>
      </c>
      <c r="K224" s="7">
        <v>3.25</v>
      </c>
      <c r="L224" s="7">
        <v>3.25</v>
      </c>
      <c r="M224" s="6" t="s">
        <v>939</v>
      </c>
      <c r="N224" s="6"/>
      <c r="O224" s="7">
        <v>-23.5186083</v>
      </c>
      <c r="P224" s="7">
        <v>-46.3996371</v>
      </c>
      <c r="Q224" s="7">
        <v>-23.518488399999999</v>
      </c>
      <c r="R224" s="7">
        <v>-46.399732299999997</v>
      </c>
    </row>
    <row r="225" spans="1:18" x14ac:dyDescent="0.3">
      <c r="A225" s="6" t="s">
        <v>51</v>
      </c>
      <c r="B225" s="6" t="s">
        <v>955</v>
      </c>
      <c r="C225" s="6" t="s">
        <v>855</v>
      </c>
      <c r="D225" s="6" t="s">
        <v>373</v>
      </c>
      <c r="E225" s="6" t="s">
        <v>270</v>
      </c>
      <c r="F225" s="6" t="s">
        <v>475</v>
      </c>
      <c r="G225" s="6">
        <v>355</v>
      </c>
      <c r="H225" s="6" t="s">
        <v>476</v>
      </c>
      <c r="I225" s="7">
        <v>53.37</v>
      </c>
      <c r="J225" s="7">
        <v>7.66</v>
      </c>
      <c r="K225" s="7">
        <v>3.35</v>
      </c>
      <c r="L225" s="7">
        <v>7.66</v>
      </c>
      <c r="M225" s="6" t="s">
        <v>939</v>
      </c>
      <c r="N225" s="6"/>
      <c r="O225" s="7">
        <v>-23.5194923</v>
      </c>
      <c r="P225" s="7">
        <v>-46.397365899999997</v>
      </c>
      <c r="Q225" s="7">
        <v>-23.5191242</v>
      </c>
      <c r="R225" s="7">
        <v>-46.397703300000003</v>
      </c>
    </row>
    <row r="226" spans="1:18" x14ac:dyDescent="0.3">
      <c r="A226" s="6" t="s">
        <v>51</v>
      </c>
      <c r="B226" s="6" t="s">
        <v>956</v>
      </c>
      <c r="C226" s="6" t="s">
        <v>957</v>
      </c>
      <c r="D226" s="6" t="s">
        <v>338</v>
      </c>
      <c r="E226" s="6" t="s">
        <v>373</v>
      </c>
      <c r="F226" s="6" t="s">
        <v>475</v>
      </c>
      <c r="G226" s="6">
        <v>355</v>
      </c>
      <c r="H226" s="6" t="s">
        <v>476</v>
      </c>
      <c r="I226" s="7">
        <v>55.78</v>
      </c>
      <c r="J226" s="7">
        <v>4.46</v>
      </c>
      <c r="K226" s="7">
        <v>7.66</v>
      </c>
      <c r="L226" s="7">
        <v>7.66</v>
      </c>
      <c r="M226" s="6" t="s">
        <v>939</v>
      </c>
      <c r="N226" s="6"/>
      <c r="O226" s="7">
        <v>-23.5191795</v>
      </c>
      <c r="P226" s="7">
        <v>-46.396937700000002</v>
      </c>
      <c r="Q226" s="7">
        <v>-23.5194923</v>
      </c>
      <c r="R226" s="7">
        <v>-46.397365899999997</v>
      </c>
    </row>
    <row r="227" spans="1:18" x14ac:dyDescent="0.3">
      <c r="A227" s="6" t="s">
        <v>51</v>
      </c>
      <c r="B227" s="6" t="s">
        <v>958</v>
      </c>
      <c r="C227" s="6" t="s">
        <v>959</v>
      </c>
      <c r="D227" s="6" t="s">
        <v>340</v>
      </c>
      <c r="E227" s="6" t="s">
        <v>338</v>
      </c>
      <c r="F227" s="6" t="s">
        <v>475</v>
      </c>
      <c r="G227" s="6">
        <v>355</v>
      </c>
      <c r="H227" s="6" t="s">
        <v>476</v>
      </c>
      <c r="I227" s="7">
        <v>40.119999999999997</v>
      </c>
      <c r="J227" s="7">
        <v>3.25</v>
      </c>
      <c r="K227" s="7">
        <v>4.46</v>
      </c>
      <c r="L227" s="7">
        <v>4.46</v>
      </c>
      <c r="M227" s="6" t="s">
        <v>939</v>
      </c>
      <c r="N227" s="6"/>
      <c r="O227" s="7">
        <v>-23.518951999999999</v>
      </c>
      <c r="P227" s="7">
        <v>-46.396631800000002</v>
      </c>
      <c r="Q227" s="7">
        <v>-23.5191795</v>
      </c>
      <c r="R227" s="7">
        <v>-46.396937700000002</v>
      </c>
    </row>
    <row r="228" spans="1:18" x14ac:dyDescent="0.3">
      <c r="A228" s="6" t="s">
        <v>51</v>
      </c>
      <c r="B228" s="6" t="s">
        <v>960</v>
      </c>
      <c r="C228" s="6" t="s">
        <v>859</v>
      </c>
      <c r="D228" s="6" t="s">
        <v>371</v>
      </c>
      <c r="E228" s="6" t="s">
        <v>340</v>
      </c>
      <c r="F228" s="6" t="s">
        <v>475</v>
      </c>
      <c r="G228" s="6">
        <v>355</v>
      </c>
      <c r="H228" s="6" t="s">
        <v>476</v>
      </c>
      <c r="I228" s="7">
        <v>41.73</v>
      </c>
      <c r="J228" s="7">
        <v>2.7</v>
      </c>
      <c r="K228" s="7">
        <v>3.25</v>
      </c>
      <c r="L228" s="7">
        <v>3.25</v>
      </c>
      <c r="M228" s="6" t="s">
        <v>939</v>
      </c>
      <c r="N228" s="6"/>
      <c r="O228" s="7">
        <v>-23.519144499999999</v>
      </c>
      <c r="P228" s="7">
        <v>-46.396280500000003</v>
      </c>
      <c r="Q228" s="7">
        <v>-23.518951999999999</v>
      </c>
      <c r="R228" s="7">
        <v>-46.396631800000002</v>
      </c>
    </row>
    <row r="229" spans="1:18" x14ac:dyDescent="0.3">
      <c r="A229" s="6" t="s">
        <v>51</v>
      </c>
      <c r="B229" s="6" t="s">
        <v>961</v>
      </c>
      <c r="C229" s="6" t="s">
        <v>861</v>
      </c>
      <c r="D229" s="6" t="s">
        <v>370</v>
      </c>
      <c r="E229" s="6" t="s">
        <v>371</v>
      </c>
      <c r="F229" s="6" t="s">
        <v>475</v>
      </c>
      <c r="G229" s="6">
        <v>355</v>
      </c>
      <c r="H229" s="6" t="s">
        <v>476</v>
      </c>
      <c r="I229" s="7">
        <v>19.170000000000002</v>
      </c>
      <c r="J229" s="7">
        <v>3.05</v>
      </c>
      <c r="K229" s="7">
        <v>2.7</v>
      </c>
      <c r="L229" s="7">
        <v>3.05</v>
      </c>
      <c r="M229" s="6" t="s">
        <v>939</v>
      </c>
      <c r="N229" s="6"/>
      <c r="O229" s="7">
        <v>-23.519119100000001</v>
      </c>
      <c r="P229" s="7">
        <v>-46.3960948</v>
      </c>
      <c r="Q229" s="7">
        <v>-23.519144499999999</v>
      </c>
      <c r="R229" s="7">
        <v>-46.396280500000003</v>
      </c>
    </row>
    <row r="230" spans="1:18" x14ac:dyDescent="0.3">
      <c r="A230" s="6" t="s">
        <v>51</v>
      </c>
      <c r="B230" s="6" t="s">
        <v>962</v>
      </c>
      <c r="C230" s="6" t="s">
        <v>963</v>
      </c>
      <c r="D230" s="6" t="s">
        <v>396</v>
      </c>
      <c r="E230" s="6" t="s">
        <v>369</v>
      </c>
      <c r="F230" s="6" t="s">
        <v>475</v>
      </c>
      <c r="G230" s="6">
        <v>355</v>
      </c>
      <c r="H230" s="6" t="s">
        <v>476</v>
      </c>
      <c r="I230" s="7">
        <v>47.92</v>
      </c>
      <c r="J230" s="7">
        <v>3.11</v>
      </c>
      <c r="K230" s="7">
        <v>2.87</v>
      </c>
      <c r="L230" s="7">
        <v>3.11</v>
      </c>
      <c r="M230" s="6" t="s">
        <v>939</v>
      </c>
      <c r="N230" s="6"/>
      <c r="O230" s="7">
        <v>-23.518794</v>
      </c>
      <c r="P230" s="7">
        <v>-46.395425600000003</v>
      </c>
      <c r="Q230" s="7">
        <v>-23.5189883</v>
      </c>
      <c r="R230" s="7">
        <v>-46.395845000000001</v>
      </c>
    </row>
    <row r="231" spans="1:18" x14ac:dyDescent="0.3">
      <c r="A231" s="6" t="s">
        <v>51</v>
      </c>
      <c r="B231" s="6" t="s">
        <v>964</v>
      </c>
      <c r="C231" s="6" t="s">
        <v>965</v>
      </c>
      <c r="D231" s="6" t="s">
        <v>396</v>
      </c>
      <c r="E231" s="6" t="s">
        <v>396</v>
      </c>
      <c r="F231" s="6" t="s">
        <v>470</v>
      </c>
      <c r="G231" s="6">
        <v>200</v>
      </c>
      <c r="H231" s="6" t="s">
        <v>471</v>
      </c>
      <c r="I231" s="7">
        <v>11.08</v>
      </c>
      <c r="J231" s="7">
        <v>2.02</v>
      </c>
      <c r="K231" s="7">
        <v>2.5099999999999998</v>
      </c>
      <c r="L231" s="7">
        <v>2.5099999999999998</v>
      </c>
      <c r="M231" s="6" t="s">
        <v>939</v>
      </c>
      <c r="N231" s="6"/>
      <c r="O231" s="7">
        <v>-23.518694400000001</v>
      </c>
      <c r="P231" s="7">
        <v>-46.395435399999997</v>
      </c>
      <c r="Q231" s="7">
        <v>-23.518794</v>
      </c>
      <c r="R231" s="7">
        <v>-46.395425600000003</v>
      </c>
    </row>
    <row r="232" spans="1:18" x14ac:dyDescent="0.3">
      <c r="A232" s="6" t="s">
        <v>51</v>
      </c>
      <c r="B232" s="6" t="s">
        <v>966</v>
      </c>
      <c r="C232" s="6" t="s">
        <v>967</v>
      </c>
      <c r="D232" s="6" t="s">
        <v>363</v>
      </c>
      <c r="E232" s="6" t="s">
        <v>396</v>
      </c>
      <c r="F232" s="6" t="s">
        <v>475</v>
      </c>
      <c r="G232" s="6">
        <v>355</v>
      </c>
      <c r="H232" s="6" t="s">
        <v>476</v>
      </c>
      <c r="I232" s="7">
        <v>39.5</v>
      </c>
      <c r="J232" s="7">
        <v>3.7</v>
      </c>
      <c r="K232" s="7">
        <v>3.11</v>
      </c>
      <c r="L232" s="7">
        <v>3.7</v>
      </c>
      <c r="M232" s="6" t="s">
        <v>939</v>
      </c>
      <c r="N232" s="6"/>
      <c r="O232" s="7">
        <v>-23.518771999999998</v>
      </c>
      <c r="P232" s="7">
        <v>-46.395039500000003</v>
      </c>
      <c r="Q232" s="7">
        <v>-23.518794</v>
      </c>
      <c r="R232" s="7">
        <v>-46.395425600000003</v>
      </c>
    </row>
    <row r="233" spans="1:18" x14ac:dyDescent="0.3">
      <c r="A233" s="6" t="s">
        <v>51</v>
      </c>
      <c r="B233" s="6" t="s">
        <v>968</v>
      </c>
      <c r="C233" s="6" t="s">
        <v>969</v>
      </c>
      <c r="D233" s="6" t="s">
        <v>403</v>
      </c>
      <c r="E233" s="6" t="s">
        <v>382</v>
      </c>
      <c r="F233" s="6" t="s">
        <v>475</v>
      </c>
      <c r="G233" s="6">
        <v>355</v>
      </c>
      <c r="H233" s="6" t="s">
        <v>476</v>
      </c>
      <c r="I233" s="7">
        <v>27.42</v>
      </c>
      <c r="J233" s="7">
        <v>2.12</v>
      </c>
      <c r="K233" s="7">
        <v>1.94</v>
      </c>
      <c r="L233" s="7">
        <v>2.12</v>
      </c>
      <c r="M233" s="6" t="s">
        <v>939</v>
      </c>
      <c r="N233" s="6"/>
      <c r="O233" s="7">
        <v>-23.518620599999998</v>
      </c>
      <c r="P233" s="7">
        <v>-46.393569399999997</v>
      </c>
      <c r="Q233" s="7">
        <v>-23.518825499999998</v>
      </c>
      <c r="R233" s="7">
        <v>-46.393717500000001</v>
      </c>
    </row>
    <row r="234" spans="1:18" x14ac:dyDescent="0.3">
      <c r="A234" s="6" t="s">
        <v>51</v>
      </c>
      <c r="B234" s="6" t="s">
        <v>970</v>
      </c>
      <c r="C234" s="6" t="s">
        <v>971</v>
      </c>
      <c r="D234" s="6" t="s">
        <v>372</v>
      </c>
      <c r="E234" s="6" t="s">
        <v>403</v>
      </c>
      <c r="F234" s="6" t="s">
        <v>475</v>
      </c>
      <c r="G234" s="6">
        <v>355</v>
      </c>
      <c r="H234" s="6" t="s">
        <v>476</v>
      </c>
      <c r="I234" s="7">
        <v>56.26</v>
      </c>
      <c r="J234" s="7">
        <v>2.2200000000000002</v>
      </c>
      <c r="K234" s="7">
        <v>2.12</v>
      </c>
      <c r="L234" s="7">
        <v>2.2200000000000002</v>
      </c>
      <c r="M234" s="6" t="s">
        <v>939</v>
      </c>
      <c r="N234" s="6"/>
      <c r="O234" s="7">
        <v>-23.518398699999999</v>
      </c>
      <c r="P234" s="7">
        <v>-46.393071999999997</v>
      </c>
      <c r="Q234" s="7">
        <v>-23.518620599999998</v>
      </c>
      <c r="R234" s="7">
        <v>-46.393569399999997</v>
      </c>
    </row>
    <row r="235" spans="1:18" x14ac:dyDescent="0.3">
      <c r="A235" s="6" t="s">
        <v>51</v>
      </c>
      <c r="B235" s="6" t="s">
        <v>972</v>
      </c>
      <c r="C235" s="6" t="s">
        <v>973</v>
      </c>
      <c r="D235" s="6" t="s">
        <v>397</v>
      </c>
      <c r="E235" s="6" t="s">
        <v>372</v>
      </c>
      <c r="F235" s="6" t="s">
        <v>475</v>
      </c>
      <c r="G235" s="6">
        <v>355</v>
      </c>
      <c r="H235" s="6" t="s">
        <v>476</v>
      </c>
      <c r="I235" s="7">
        <v>71.25</v>
      </c>
      <c r="J235" s="7">
        <v>3.46</v>
      </c>
      <c r="K235" s="7">
        <v>2.2200000000000002</v>
      </c>
      <c r="L235" s="7">
        <v>3.46</v>
      </c>
      <c r="M235" s="6" t="s">
        <v>939</v>
      </c>
      <c r="N235" s="6"/>
      <c r="O235" s="7">
        <v>-23.5183532</v>
      </c>
      <c r="P235" s="7">
        <v>-46.392376200000001</v>
      </c>
      <c r="Q235" s="7">
        <v>-23.518398699999999</v>
      </c>
      <c r="R235" s="7">
        <v>-46.393071999999997</v>
      </c>
    </row>
    <row r="236" spans="1:18" x14ac:dyDescent="0.3">
      <c r="A236" s="6" t="s">
        <v>51</v>
      </c>
      <c r="B236" s="6" t="s">
        <v>974</v>
      </c>
      <c r="C236" s="6" t="s">
        <v>975</v>
      </c>
      <c r="D236" s="6" t="s">
        <v>398</v>
      </c>
      <c r="E236" s="6" t="s">
        <v>397</v>
      </c>
      <c r="F236" s="6" t="s">
        <v>475</v>
      </c>
      <c r="G236" s="6">
        <v>355</v>
      </c>
      <c r="H236" s="6" t="s">
        <v>476</v>
      </c>
      <c r="I236" s="7">
        <v>30.85</v>
      </c>
      <c r="J236" s="7">
        <v>2.2999999999999998</v>
      </c>
      <c r="K236" s="7">
        <v>3.46</v>
      </c>
      <c r="L236" s="7">
        <v>3.46</v>
      </c>
      <c r="M236" s="6" t="s">
        <v>939</v>
      </c>
      <c r="N236" s="6"/>
      <c r="O236" s="7">
        <v>-23.518075100000001</v>
      </c>
      <c r="P236" s="7">
        <v>-46.392376599999999</v>
      </c>
      <c r="Q236" s="7">
        <v>-23.5183532</v>
      </c>
      <c r="R236" s="7">
        <v>-46.392376200000001</v>
      </c>
    </row>
    <row r="237" spans="1:18" x14ac:dyDescent="0.3">
      <c r="A237" s="6" t="s">
        <v>51</v>
      </c>
      <c r="B237" s="6" t="s">
        <v>976</v>
      </c>
      <c r="C237" s="6" t="s">
        <v>863</v>
      </c>
      <c r="D237" s="6" t="s">
        <v>369</v>
      </c>
      <c r="E237" s="6" t="s">
        <v>370</v>
      </c>
      <c r="F237" s="6" t="s">
        <v>475</v>
      </c>
      <c r="G237" s="6">
        <v>355</v>
      </c>
      <c r="H237" s="6" t="s">
        <v>476</v>
      </c>
      <c r="I237" s="7">
        <v>29.26</v>
      </c>
      <c r="J237" s="7">
        <v>2.97</v>
      </c>
      <c r="K237" s="7">
        <v>3.05</v>
      </c>
      <c r="L237" s="7">
        <v>3.05</v>
      </c>
      <c r="M237" s="6" t="s">
        <v>939</v>
      </c>
      <c r="N237" s="6"/>
      <c r="O237" s="7">
        <v>-23.5189883</v>
      </c>
      <c r="P237" s="7">
        <v>-46.395845000000001</v>
      </c>
      <c r="Q237" s="7">
        <v>-23.519119100000001</v>
      </c>
      <c r="R237" s="7">
        <v>-46.3960948</v>
      </c>
    </row>
    <row r="238" spans="1:18" x14ac:dyDescent="0.3">
      <c r="A238" s="6" t="s">
        <v>51</v>
      </c>
      <c r="B238" s="6" t="s">
        <v>977</v>
      </c>
      <c r="C238" s="6" t="s">
        <v>882</v>
      </c>
      <c r="D238" s="6" t="s">
        <v>266</v>
      </c>
      <c r="E238" s="6" t="s">
        <v>375</v>
      </c>
      <c r="F238" s="6" t="s">
        <v>475</v>
      </c>
      <c r="G238" s="6">
        <v>355</v>
      </c>
      <c r="H238" s="6" t="s">
        <v>476</v>
      </c>
      <c r="I238" s="7">
        <v>57.52</v>
      </c>
      <c r="J238" s="7">
        <v>5.2</v>
      </c>
      <c r="K238" s="7">
        <v>3.15</v>
      </c>
      <c r="L238" s="7">
        <v>5.2</v>
      </c>
      <c r="M238" s="6" t="s">
        <v>939</v>
      </c>
      <c r="N238" s="6"/>
      <c r="O238" s="7">
        <v>-23.5184341</v>
      </c>
      <c r="P238" s="7">
        <v>-46.398204</v>
      </c>
      <c r="Q238" s="7">
        <v>-23.518617200000001</v>
      </c>
      <c r="R238" s="7">
        <v>-46.398731099999999</v>
      </c>
    </row>
    <row r="239" spans="1:18" x14ac:dyDescent="0.3">
      <c r="A239" s="6" t="s">
        <v>51</v>
      </c>
      <c r="B239" s="6" t="s">
        <v>978</v>
      </c>
      <c r="C239" s="6" t="s">
        <v>903</v>
      </c>
      <c r="D239" s="6" t="s">
        <v>298</v>
      </c>
      <c r="E239" s="6" t="s">
        <v>296</v>
      </c>
      <c r="F239" s="6" t="s">
        <v>475</v>
      </c>
      <c r="G239" s="6">
        <v>355</v>
      </c>
      <c r="H239" s="6" t="s">
        <v>476</v>
      </c>
      <c r="I239" s="7">
        <v>91.65</v>
      </c>
      <c r="J239" s="7">
        <v>3.16</v>
      </c>
      <c r="K239" s="7">
        <v>3.5</v>
      </c>
      <c r="L239" s="7">
        <v>3.5</v>
      </c>
      <c r="M239" s="6" t="s">
        <v>939</v>
      </c>
      <c r="N239" s="6"/>
      <c r="O239" s="7">
        <v>-23.5166705</v>
      </c>
      <c r="P239" s="7">
        <v>-46.401741199999996</v>
      </c>
      <c r="Q239" s="7">
        <v>-23.515996399999999</v>
      </c>
      <c r="R239" s="7">
        <v>-46.4022632</v>
      </c>
    </row>
    <row r="240" spans="1:18" x14ac:dyDescent="0.3">
      <c r="A240" s="6" t="s">
        <v>51</v>
      </c>
      <c r="B240" s="6" t="s">
        <v>979</v>
      </c>
      <c r="C240" s="6" t="s">
        <v>980</v>
      </c>
      <c r="D240" s="6" t="s">
        <v>402</v>
      </c>
      <c r="E240" s="6" t="s">
        <v>369</v>
      </c>
      <c r="F240" s="6" t="s">
        <v>475</v>
      </c>
      <c r="G240" s="6">
        <v>355</v>
      </c>
      <c r="H240" s="6" t="s">
        <v>476</v>
      </c>
      <c r="I240" s="7">
        <v>24.38</v>
      </c>
      <c r="J240" s="7">
        <v>4</v>
      </c>
      <c r="K240" s="7">
        <v>2.9</v>
      </c>
      <c r="L240" s="7">
        <v>4</v>
      </c>
      <c r="M240" s="6" t="s">
        <v>939</v>
      </c>
      <c r="N240" s="6"/>
      <c r="O240" s="7">
        <v>-23.519084400000001</v>
      </c>
      <c r="P240" s="7">
        <v>-46.395630199999999</v>
      </c>
      <c r="Q240" s="7">
        <v>-23.5189883</v>
      </c>
      <c r="R240" s="7">
        <v>-46.395845000000001</v>
      </c>
    </row>
    <row r="241" spans="1:18" x14ac:dyDescent="0.3">
      <c r="A241" s="6" t="s">
        <v>51</v>
      </c>
      <c r="B241" s="6" t="s">
        <v>981</v>
      </c>
      <c r="C241" s="6" t="s">
        <v>982</v>
      </c>
      <c r="D241" s="6" t="s">
        <v>401</v>
      </c>
      <c r="E241" s="6" t="s">
        <v>370</v>
      </c>
      <c r="F241" s="6" t="s">
        <v>475</v>
      </c>
      <c r="G241" s="6">
        <v>355</v>
      </c>
      <c r="H241" s="6" t="s">
        <v>476</v>
      </c>
      <c r="I241" s="7">
        <v>21.15</v>
      </c>
      <c r="J241" s="7">
        <v>2.14</v>
      </c>
      <c r="K241" s="7">
        <v>2.85</v>
      </c>
      <c r="L241" s="7">
        <v>2.85</v>
      </c>
      <c r="M241" s="6" t="s">
        <v>939</v>
      </c>
      <c r="N241" s="6"/>
      <c r="O241" s="7">
        <v>-23.519289100000002</v>
      </c>
      <c r="P241" s="7">
        <v>-46.396000600000001</v>
      </c>
      <c r="Q241" s="7">
        <v>-23.519119100000001</v>
      </c>
      <c r="R241" s="7">
        <v>-46.3960948</v>
      </c>
    </row>
    <row r="242" spans="1:18" x14ac:dyDescent="0.3">
      <c r="A242" s="6" t="s">
        <v>51</v>
      </c>
      <c r="B242" s="6" t="s">
        <v>983</v>
      </c>
      <c r="C242" s="6" t="s">
        <v>984</v>
      </c>
      <c r="D242" s="6" t="s">
        <v>401</v>
      </c>
      <c r="E242" s="6" t="s">
        <v>401</v>
      </c>
      <c r="F242" s="6" t="s">
        <v>470</v>
      </c>
      <c r="G242" s="6">
        <v>200</v>
      </c>
      <c r="H242" s="6" t="s">
        <v>476</v>
      </c>
      <c r="I242" s="7">
        <v>4.0599999999999996</v>
      </c>
      <c r="J242" s="7">
        <v>1.25</v>
      </c>
      <c r="K242" s="7">
        <v>1.94</v>
      </c>
      <c r="L242" s="7">
        <v>1.94</v>
      </c>
      <c r="M242" s="6" t="s">
        <v>939</v>
      </c>
      <c r="N242" s="6"/>
      <c r="O242" s="7">
        <v>-23.5193239</v>
      </c>
      <c r="P242" s="7">
        <v>-46.396009499999998</v>
      </c>
      <c r="Q242" s="7">
        <v>-23.519289100000002</v>
      </c>
      <c r="R242" s="7">
        <v>-46.396000600000001</v>
      </c>
    </row>
    <row r="243" spans="1:18" x14ac:dyDescent="0.3">
      <c r="A243" s="6" t="s">
        <v>51</v>
      </c>
      <c r="B243" s="6" t="s">
        <v>985</v>
      </c>
      <c r="C243" s="6" t="s">
        <v>986</v>
      </c>
      <c r="D243" s="6" t="s">
        <v>402</v>
      </c>
      <c r="E243" s="6" t="s">
        <v>402</v>
      </c>
      <c r="F243" s="6" t="s">
        <v>470</v>
      </c>
      <c r="G243" s="6">
        <v>200</v>
      </c>
      <c r="H243" s="6" t="s">
        <v>471</v>
      </c>
      <c r="I243" s="7">
        <v>7.97</v>
      </c>
      <c r="J243" s="7">
        <v>1.88</v>
      </c>
      <c r="K243" s="7">
        <v>2.27</v>
      </c>
      <c r="L243" s="7">
        <v>2.27</v>
      </c>
      <c r="M243" s="6" t="s">
        <v>939</v>
      </c>
      <c r="N243" s="6"/>
      <c r="O243" s="7">
        <v>-23.5191202</v>
      </c>
      <c r="P243" s="7">
        <v>-46.395562499999997</v>
      </c>
      <c r="Q243" s="7">
        <v>-23.519084400000001</v>
      </c>
      <c r="R243" s="7">
        <v>-46.395630199999999</v>
      </c>
    </row>
    <row r="244" spans="1:18" x14ac:dyDescent="0.3">
      <c r="A244" s="6" t="s">
        <v>51</v>
      </c>
      <c r="B244" s="6" t="s">
        <v>987</v>
      </c>
      <c r="C244" s="6" t="s">
        <v>988</v>
      </c>
      <c r="D244" s="6" t="s">
        <v>385</v>
      </c>
      <c r="E244" s="6" t="s">
        <v>268</v>
      </c>
      <c r="F244" s="6" t="s">
        <v>470</v>
      </c>
      <c r="G244" s="6">
        <v>200</v>
      </c>
      <c r="H244" s="6" t="s">
        <v>471</v>
      </c>
      <c r="I244" s="7">
        <v>1.44</v>
      </c>
      <c r="J244" s="7">
        <v>1.4</v>
      </c>
      <c r="K244" s="7">
        <v>1.45</v>
      </c>
      <c r="L244" s="7">
        <v>1.45</v>
      </c>
      <c r="M244" s="6" t="s">
        <v>939</v>
      </c>
      <c r="N244" s="6"/>
      <c r="O244" s="7">
        <v>-23.5187907</v>
      </c>
      <c r="P244" s="7">
        <v>-46.398003899999999</v>
      </c>
      <c r="Q244" s="7">
        <v>-23.518782000000002</v>
      </c>
      <c r="R244" s="7">
        <v>-46.397993399999997</v>
      </c>
    </row>
    <row r="245" spans="1:18" x14ac:dyDescent="0.3">
      <c r="A245" s="6" t="s">
        <v>51</v>
      </c>
      <c r="B245" s="6" t="s">
        <v>989</v>
      </c>
      <c r="C245" s="6" t="s">
        <v>990</v>
      </c>
      <c r="D245" s="6" t="s">
        <v>387</v>
      </c>
      <c r="E245" s="6" t="s">
        <v>268</v>
      </c>
      <c r="F245" s="6" t="s">
        <v>470</v>
      </c>
      <c r="G245" s="6">
        <v>300</v>
      </c>
      <c r="H245" s="6" t="s">
        <v>471</v>
      </c>
      <c r="I245" s="7">
        <v>2.08</v>
      </c>
      <c r="J245" s="7">
        <v>1.32</v>
      </c>
      <c r="K245" s="7">
        <v>1.45</v>
      </c>
      <c r="L245" s="7">
        <v>1.45</v>
      </c>
      <c r="M245" s="6" t="s">
        <v>939</v>
      </c>
      <c r="N245" s="6"/>
      <c r="O245" s="7">
        <v>-23.5187685</v>
      </c>
      <c r="P245" s="7">
        <v>-46.397979200000002</v>
      </c>
      <c r="Q245" s="7">
        <v>-23.518782000000002</v>
      </c>
      <c r="R245" s="7">
        <v>-46.397993399999997</v>
      </c>
    </row>
    <row r="246" spans="1:18" x14ac:dyDescent="0.3">
      <c r="A246" s="6" t="s">
        <v>51</v>
      </c>
      <c r="B246" s="6" t="s">
        <v>991</v>
      </c>
      <c r="C246" s="6" t="s">
        <v>992</v>
      </c>
      <c r="D246" s="6" t="s">
        <v>389</v>
      </c>
      <c r="E246" s="6" t="s">
        <v>387</v>
      </c>
      <c r="F246" s="6" t="s">
        <v>470</v>
      </c>
      <c r="G246" s="6">
        <v>300</v>
      </c>
      <c r="H246" s="6" t="s">
        <v>471</v>
      </c>
      <c r="I246" s="7">
        <v>6.74</v>
      </c>
      <c r="J246" s="7">
        <v>1</v>
      </c>
      <c r="K246" s="7">
        <v>1.32</v>
      </c>
      <c r="L246" s="7">
        <v>1.32</v>
      </c>
      <c r="M246" s="6" t="s">
        <v>939</v>
      </c>
      <c r="N246" s="6"/>
      <c r="O246" s="7">
        <v>-23.518710899999999</v>
      </c>
      <c r="P246" s="7">
        <v>-46.398000500000002</v>
      </c>
      <c r="Q246" s="7">
        <v>-23.5187685</v>
      </c>
      <c r="R246" s="7">
        <v>-46.397979200000002</v>
      </c>
    </row>
    <row r="247" spans="1:18" x14ac:dyDescent="0.3">
      <c r="A247" s="6" t="s">
        <v>51</v>
      </c>
      <c r="B247" s="6" t="s">
        <v>993</v>
      </c>
      <c r="C247" s="6" t="s">
        <v>994</v>
      </c>
      <c r="D247" s="6" t="s">
        <v>391</v>
      </c>
      <c r="E247" s="6" t="s">
        <v>328</v>
      </c>
      <c r="F247" s="6" t="s">
        <v>470</v>
      </c>
      <c r="G247" s="6">
        <v>200</v>
      </c>
      <c r="H247" s="6" t="s">
        <v>471</v>
      </c>
      <c r="I247" s="7">
        <v>6.31</v>
      </c>
      <c r="J247" s="7">
        <v>1.55</v>
      </c>
      <c r="K247" s="7">
        <v>1.87</v>
      </c>
      <c r="L247" s="7">
        <v>1.87</v>
      </c>
      <c r="M247" s="6" t="s">
        <v>939</v>
      </c>
      <c r="N247" s="6"/>
      <c r="O247" s="7">
        <v>-23.518671699999999</v>
      </c>
      <c r="P247" s="7">
        <v>-46.398089400000003</v>
      </c>
      <c r="Q247" s="7">
        <v>-23.518614899999999</v>
      </c>
      <c r="R247" s="7">
        <v>-46.3980842</v>
      </c>
    </row>
    <row r="248" spans="1:18" x14ac:dyDescent="0.3">
      <c r="A248" s="6" t="s">
        <v>51</v>
      </c>
      <c r="B248" s="6" t="s">
        <v>995</v>
      </c>
      <c r="C248" s="6" t="s">
        <v>996</v>
      </c>
      <c r="D248" s="6" t="s">
        <v>389</v>
      </c>
      <c r="E248" s="6" t="s">
        <v>391</v>
      </c>
      <c r="F248" s="6" t="s">
        <v>470</v>
      </c>
      <c r="G248" s="6">
        <v>200</v>
      </c>
      <c r="H248" s="6" t="s">
        <v>471</v>
      </c>
      <c r="I248" s="7">
        <v>5.85</v>
      </c>
      <c r="J248" s="6"/>
      <c r="K248" s="7">
        <v>1.55</v>
      </c>
      <c r="L248" s="7">
        <v>1.55</v>
      </c>
      <c r="M248" s="6" t="s">
        <v>939</v>
      </c>
      <c r="N248" s="6"/>
      <c r="O248" s="7">
        <v>-23.5186843</v>
      </c>
      <c r="P248" s="7">
        <v>-46.398033699999999</v>
      </c>
      <c r="Q248" s="7">
        <v>-23.518671699999999</v>
      </c>
      <c r="R248" s="7">
        <v>-46.398089400000003</v>
      </c>
    </row>
    <row r="249" spans="1:18" x14ac:dyDescent="0.3">
      <c r="A249" s="6" t="s">
        <v>51</v>
      </c>
      <c r="B249" s="6" t="s">
        <v>997</v>
      </c>
      <c r="C249" s="6" t="s">
        <v>998</v>
      </c>
      <c r="D249" s="6" t="s">
        <v>410</v>
      </c>
      <c r="E249" s="6" t="s">
        <v>382</v>
      </c>
      <c r="F249" s="6" t="s">
        <v>475</v>
      </c>
      <c r="G249" s="6">
        <v>355</v>
      </c>
      <c r="H249" s="6" t="s">
        <v>476</v>
      </c>
      <c r="I249" s="7">
        <v>26.27</v>
      </c>
      <c r="J249" s="7">
        <v>4.58</v>
      </c>
      <c r="K249" s="7">
        <v>3.46</v>
      </c>
      <c r="L249" s="7">
        <v>4.58</v>
      </c>
      <c r="M249" s="6" t="s">
        <v>939</v>
      </c>
      <c r="N249" s="6"/>
      <c r="O249" s="7">
        <v>-23.518322999999999</v>
      </c>
      <c r="P249" s="7">
        <v>-46.392123900000001</v>
      </c>
      <c r="Q249" s="7">
        <v>-23.5183532</v>
      </c>
      <c r="R249" s="7">
        <v>-46.392376200000001</v>
      </c>
    </row>
    <row r="250" spans="1:18" x14ac:dyDescent="0.3">
      <c r="A250" s="6" t="s">
        <v>51</v>
      </c>
      <c r="B250" s="6" t="s">
        <v>999</v>
      </c>
      <c r="C250" s="6" t="s">
        <v>1000</v>
      </c>
      <c r="D250" s="6" t="s">
        <v>417</v>
      </c>
      <c r="E250" s="6" t="s">
        <v>416</v>
      </c>
      <c r="F250" s="6" t="s">
        <v>475</v>
      </c>
      <c r="G250" s="6">
        <v>355</v>
      </c>
      <c r="H250" s="6" t="s">
        <v>476</v>
      </c>
      <c r="I250" s="7">
        <v>6.83</v>
      </c>
      <c r="J250" s="7">
        <v>1.29</v>
      </c>
      <c r="K250" s="7">
        <v>1.34</v>
      </c>
      <c r="L250" s="7">
        <v>1.34</v>
      </c>
      <c r="M250" s="6" t="s">
        <v>939</v>
      </c>
      <c r="N250" s="6"/>
      <c r="O250" s="7">
        <v>-23.517436400000001</v>
      </c>
      <c r="P250" s="7">
        <v>-46.390500799999998</v>
      </c>
      <c r="Q250" s="7">
        <v>-23.517460700000001</v>
      </c>
      <c r="R250" s="7">
        <v>-46.390559500000002</v>
      </c>
    </row>
    <row r="251" spans="1:18" x14ac:dyDescent="0.3">
      <c r="A251" s="6" t="s">
        <v>51</v>
      </c>
      <c r="B251" s="6" t="s">
        <v>1001</v>
      </c>
      <c r="C251" s="6" t="s">
        <v>1002</v>
      </c>
      <c r="D251" s="6" t="s">
        <v>405</v>
      </c>
      <c r="E251" s="6" t="s">
        <v>406</v>
      </c>
      <c r="F251" s="6" t="s">
        <v>470</v>
      </c>
      <c r="G251" s="6">
        <v>200</v>
      </c>
      <c r="H251" s="6" t="s">
        <v>471</v>
      </c>
      <c r="I251" s="7">
        <v>66.52</v>
      </c>
      <c r="J251" s="7">
        <v>1.36</v>
      </c>
      <c r="K251" s="7">
        <v>1.45</v>
      </c>
      <c r="L251" s="7">
        <v>1.45</v>
      </c>
      <c r="M251" s="6" t="s">
        <v>939</v>
      </c>
      <c r="N251" s="6"/>
      <c r="O251" s="7">
        <v>-23.5179878</v>
      </c>
      <c r="P251" s="7">
        <v>-46.390525799999999</v>
      </c>
      <c r="Q251" s="7">
        <v>-23.5180623</v>
      </c>
      <c r="R251" s="7">
        <v>-46.391169300000001</v>
      </c>
    </row>
    <row r="252" spans="1:18" x14ac:dyDescent="0.3">
      <c r="A252" s="6" t="s">
        <v>51</v>
      </c>
      <c r="B252" s="6" t="s">
        <v>1003</v>
      </c>
      <c r="C252" s="6" t="s">
        <v>1004</v>
      </c>
      <c r="D252" s="6" t="s">
        <v>415</v>
      </c>
      <c r="E252" s="6" t="s">
        <v>412</v>
      </c>
      <c r="F252" s="6" t="s">
        <v>475</v>
      </c>
      <c r="G252" s="6">
        <v>355</v>
      </c>
      <c r="H252" s="6" t="s">
        <v>476</v>
      </c>
      <c r="I252" s="7">
        <v>49.77</v>
      </c>
      <c r="J252" s="7">
        <v>3.3</v>
      </c>
      <c r="K252" s="7">
        <v>4.46</v>
      </c>
      <c r="L252" s="7">
        <v>4.46</v>
      </c>
      <c r="M252" s="6" t="s">
        <v>939</v>
      </c>
      <c r="N252" s="6"/>
      <c r="O252" s="7">
        <v>-23.517631300000001</v>
      </c>
      <c r="P252" s="7">
        <v>-46.391380099999999</v>
      </c>
      <c r="Q252" s="7">
        <v>-23.518071899999999</v>
      </c>
      <c r="R252" s="7">
        <v>-46.391454299999999</v>
      </c>
    </row>
    <row r="253" spans="1:18" x14ac:dyDescent="0.3">
      <c r="A253" s="6" t="s">
        <v>51</v>
      </c>
      <c r="B253" s="6" t="s">
        <v>1005</v>
      </c>
      <c r="C253" s="6" t="s">
        <v>1006</v>
      </c>
      <c r="D253" s="6" t="s">
        <v>411</v>
      </c>
      <c r="E253" s="6" t="s">
        <v>415</v>
      </c>
      <c r="F253" s="6" t="s">
        <v>470</v>
      </c>
      <c r="G253" s="6">
        <v>200</v>
      </c>
      <c r="H253" s="6" t="s">
        <v>471</v>
      </c>
      <c r="I253" s="7">
        <v>5.52</v>
      </c>
      <c r="J253" s="7">
        <v>2.66</v>
      </c>
      <c r="K253" s="7">
        <v>2.74</v>
      </c>
      <c r="L253" s="7">
        <v>2.74</v>
      </c>
      <c r="M253" s="6" t="s">
        <v>939</v>
      </c>
      <c r="N253" s="6"/>
      <c r="O253" s="7">
        <v>-23.517581499999999</v>
      </c>
      <c r="P253" s="7">
        <v>-46.391384500000001</v>
      </c>
      <c r="Q253" s="7">
        <v>-23.517631300000001</v>
      </c>
      <c r="R253" s="7">
        <v>-46.391380099999999</v>
      </c>
    </row>
    <row r="254" spans="1:18" x14ac:dyDescent="0.3">
      <c r="A254" s="6" t="s">
        <v>51</v>
      </c>
      <c r="B254" s="6" t="s">
        <v>1007</v>
      </c>
      <c r="C254" s="6" t="s">
        <v>1008</v>
      </c>
      <c r="D254" s="6" t="s">
        <v>413</v>
      </c>
      <c r="E254" s="6" t="s">
        <v>410</v>
      </c>
      <c r="F254" s="6" t="s">
        <v>475</v>
      </c>
      <c r="G254" s="6">
        <v>355</v>
      </c>
      <c r="H254" s="6" t="s">
        <v>476</v>
      </c>
      <c r="I254" s="7">
        <v>68.23</v>
      </c>
      <c r="J254" s="7">
        <v>3.93</v>
      </c>
      <c r="K254" s="7">
        <v>4.42</v>
      </c>
      <c r="L254" s="7">
        <v>4.42</v>
      </c>
      <c r="M254" s="6" t="s">
        <v>939</v>
      </c>
      <c r="N254" s="6"/>
      <c r="O254" s="7">
        <v>-23.518261899999999</v>
      </c>
      <c r="P254" s="7">
        <v>-46.391457500000001</v>
      </c>
      <c r="Q254" s="7">
        <v>-23.518322999999999</v>
      </c>
      <c r="R254" s="7">
        <v>-46.392123900000001</v>
      </c>
    </row>
    <row r="255" spans="1:18" x14ac:dyDescent="0.3">
      <c r="A255" s="6" t="s">
        <v>51</v>
      </c>
      <c r="B255" s="6" t="s">
        <v>1009</v>
      </c>
      <c r="C255" s="6" t="s">
        <v>1010</v>
      </c>
      <c r="D255" s="6" t="s">
        <v>406</v>
      </c>
      <c r="E255" s="6" t="s">
        <v>412</v>
      </c>
      <c r="F255" s="6" t="s">
        <v>470</v>
      </c>
      <c r="G255" s="6">
        <v>200</v>
      </c>
      <c r="H255" s="6" t="s">
        <v>471</v>
      </c>
      <c r="I255" s="7">
        <v>29.16</v>
      </c>
      <c r="J255" s="7">
        <v>1.45</v>
      </c>
      <c r="K255" s="7">
        <v>1.25</v>
      </c>
      <c r="L255" s="7">
        <v>1.45</v>
      </c>
      <c r="M255" s="6" t="s">
        <v>939</v>
      </c>
      <c r="N255" s="6"/>
      <c r="O255" s="7">
        <v>-23.5180623</v>
      </c>
      <c r="P255" s="7">
        <v>-46.391169300000001</v>
      </c>
      <c r="Q255" s="7">
        <v>-23.518072100000001</v>
      </c>
      <c r="R255" s="7">
        <v>-46.391454400000001</v>
      </c>
    </row>
    <row r="256" spans="1:18" x14ac:dyDescent="0.3">
      <c r="A256" s="6" t="s">
        <v>51</v>
      </c>
      <c r="B256" s="6" t="s">
        <v>1011</v>
      </c>
      <c r="C256" s="6" t="s">
        <v>1012</v>
      </c>
      <c r="D256" s="6" t="s">
        <v>412</v>
      </c>
      <c r="E256" s="6" t="s">
        <v>413</v>
      </c>
      <c r="F256" s="6" t="s">
        <v>475</v>
      </c>
      <c r="G256" s="6">
        <v>355</v>
      </c>
      <c r="H256" s="6" t="s">
        <v>476</v>
      </c>
      <c r="I256" s="7">
        <v>20.98</v>
      </c>
      <c r="J256" s="7">
        <v>4.46</v>
      </c>
      <c r="K256" s="7">
        <v>3.75</v>
      </c>
      <c r="L256" s="7">
        <v>4.46</v>
      </c>
      <c r="M256" s="6" t="s">
        <v>939</v>
      </c>
      <c r="N256" s="6"/>
      <c r="O256" s="7">
        <v>-23.518072100000001</v>
      </c>
      <c r="P256" s="7">
        <v>-46.391454400000001</v>
      </c>
      <c r="Q256" s="7">
        <v>-23.518261899999999</v>
      </c>
      <c r="R256" s="7">
        <v>-46.391457500000001</v>
      </c>
    </row>
    <row r="257" spans="1:18" x14ac:dyDescent="0.3">
      <c r="A257" s="6" t="s">
        <v>51</v>
      </c>
      <c r="B257" s="6" t="s">
        <v>1013</v>
      </c>
      <c r="C257" s="6" t="s">
        <v>1014</v>
      </c>
      <c r="D257" s="6" t="s">
        <v>414</v>
      </c>
      <c r="E257" s="6" t="s">
        <v>417</v>
      </c>
      <c r="F257" s="6" t="s">
        <v>475</v>
      </c>
      <c r="G257" s="6">
        <v>355</v>
      </c>
      <c r="H257" s="6" t="s">
        <v>476</v>
      </c>
      <c r="I257" s="7">
        <v>41.48</v>
      </c>
      <c r="J257" s="7">
        <v>1.8</v>
      </c>
      <c r="K257" s="7">
        <v>1.29</v>
      </c>
      <c r="L257" s="7">
        <v>1.8</v>
      </c>
      <c r="M257" s="6" t="s">
        <v>939</v>
      </c>
      <c r="N257" s="6"/>
      <c r="O257" s="7">
        <v>-23.5170596</v>
      </c>
      <c r="P257" s="7">
        <v>-46.390509799999997</v>
      </c>
      <c r="Q257" s="7">
        <v>-23.517436400000001</v>
      </c>
      <c r="R257" s="7">
        <v>-46.390500799999998</v>
      </c>
    </row>
    <row r="258" spans="1:18" x14ac:dyDescent="0.3">
      <c r="A258" s="6" t="s">
        <v>51</v>
      </c>
      <c r="B258" s="6" t="s">
        <v>1015</v>
      </c>
      <c r="C258" s="6" t="s">
        <v>1016</v>
      </c>
      <c r="D258" s="6" t="s">
        <v>414</v>
      </c>
      <c r="E258" s="6" t="s">
        <v>414</v>
      </c>
      <c r="F258" s="6" t="s">
        <v>475</v>
      </c>
      <c r="G258" s="6">
        <v>355</v>
      </c>
      <c r="H258" s="6" t="s">
        <v>476</v>
      </c>
      <c r="I258" s="7">
        <v>9.51</v>
      </c>
      <c r="J258" s="7">
        <v>1.63</v>
      </c>
      <c r="K258" s="7">
        <v>1.64</v>
      </c>
      <c r="L258" s="7">
        <v>1.64</v>
      </c>
      <c r="M258" s="6" t="s">
        <v>939</v>
      </c>
      <c r="N258" s="6"/>
      <c r="O258" s="7">
        <v>-23.516988999999999</v>
      </c>
      <c r="P258" s="7">
        <v>-46.390456700000001</v>
      </c>
      <c r="Q258" s="7">
        <v>-23.5170596</v>
      </c>
      <c r="R258" s="7">
        <v>-46.390509799999997</v>
      </c>
    </row>
    <row r="259" spans="1:18" x14ac:dyDescent="0.3">
      <c r="A259" s="6" t="s">
        <v>51</v>
      </c>
      <c r="B259" s="6" t="s">
        <v>1017</v>
      </c>
      <c r="C259" s="6" t="s">
        <v>1018</v>
      </c>
      <c r="D259" s="6" t="s">
        <v>418</v>
      </c>
      <c r="E259" s="6" t="s">
        <v>415</v>
      </c>
      <c r="F259" s="6" t="s">
        <v>475</v>
      </c>
      <c r="G259" s="6">
        <v>355</v>
      </c>
      <c r="H259" s="6" t="s">
        <v>476</v>
      </c>
      <c r="I259" s="7">
        <v>57.06</v>
      </c>
      <c r="J259" s="7">
        <v>2.73</v>
      </c>
      <c r="K259" s="7">
        <v>2.75</v>
      </c>
      <c r="L259" s="7">
        <v>2.75</v>
      </c>
      <c r="M259" s="6" t="s">
        <v>939</v>
      </c>
      <c r="N259" s="6"/>
      <c r="O259" s="7">
        <v>-23.517497899999999</v>
      </c>
      <c r="P259" s="7">
        <v>-46.390866699999997</v>
      </c>
      <c r="Q259" s="7">
        <v>-23.517631300000001</v>
      </c>
      <c r="R259" s="7">
        <v>-46.391380099999999</v>
      </c>
    </row>
    <row r="260" spans="1:18" x14ac:dyDescent="0.3">
      <c r="A260" s="6" t="s">
        <v>51</v>
      </c>
      <c r="B260" s="6" t="s">
        <v>1019</v>
      </c>
      <c r="C260" s="6" t="s">
        <v>1020</v>
      </c>
      <c r="D260" s="6" t="s">
        <v>416</v>
      </c>
      <c r="E260" s="6" t="s">
        <v>418</v>
      </c>
      <c r="F260" s="6" t="s">
        <v>475</v>
      </c>
      <c r="G260" s="6">
        <v>355</v>
      </c>
      <c r="H260" s="6" t="s">
        <v>476</v>
      </c>
      <c r="I260" s="7">
        <v>31.63</v>
      </c>
      <c r="J260" s="7">
        <v>1.34</v>
      </c>
      <c r="K260" s="7">
        <v>2.73</v>
      </c>
      <c r="L260" s="7">
        <v>2.73</v>
      </c>
      <c r="M260" s="6" t="s">
        <v>939</v>
      </c>
      <c r="N260" s="6"/>
      <c r="O260" s="7">
        <v>-23.517460700000001</v>
      </c>
      <c r="P260" s="7">
        <v>-46.390559500000002</v>
      </c>
      <c r="Q260" s="7">
        <v>-23.517497899999999</v>
      </c>
      <c r="R260" s="7">
        <v>-46.390866699999997</v>
      </c>
    </row>
    <row r="261" spans="1:18" x14ac:dyDescent="0.3">
      <c r="A261" s="6" t="s">
        <v>51</v>
      </c>
      <c r="B261" s="6" t="s">
        <v>1021</v>
      </c>
      <c r="C261" s="6" t="s">
        <v>1022</v>
      </c>
      <c r="D261" s="6" t="s">
        <v>409</v>
      </c>
      <c r="E261" s="6" t="s">
        <v>407</v>
      </c>
      <c r="F261" s="6" t="s">
        <v>470</v>
      </c>
      <c r="G261" s="6">
        <v>200</v>
      </c>
      <c r="H261" s="6" t="s">
        <v>471</v>
      </c>
      <c r="I261" s="7">
        <v>39.74</v>
      </c>
      <c r="J261" s="7">
        <v>1</v>
      </c>
      <c r="K261" s="7">
        <v>0.92</v>
      </c>
      <c r="L261" s="7">
        <v>1</v>
      </c>
      <c r="M261" s="6" t="s">
        <v>939</v>
      </c>
      <c r="N261" s="6"/>
      <c r="O261" s="7">
        <v>-23.517520099999999</v>
      </c>
      <c r="P261" s="7">
        <v>-46.390920399999999</v>
      </c>
      <c r="Q261" s="7">
        <v>-23.5174734</v>
      </c>
      <c r="R261" s="7">
        <v>-46.390534500000001</v>
      </c>
    </row>
    <row r="262" spans="1:18" x14ac:dyDescent="0.3">
      <c r="A262" s="6" t="s">
        <v>51</v>
      </c>
      <c r="B262" s="6" t="s">
        <v>1023</v>
      </c>
      <c r="C262" s="6" t="s">
        <v>1024</v>
      </c>
      <c r="D262" s="6" t="s">
        <v>409</v>
      </c>
      <c r="E262" s="6" t="s">
        <v>411</v>
      </c>
      <c r="F262" s="6" t="s">
        <v>470</v>
      </c>
      <c r="G262" s="6">
        <v>200</v>
      </c>
      <c r="H262" s="6" t="s">
        <v>471</v>
      </c>
      <c r="I262" s="7">
        <v>47.87</v>
      </c>
      <c r="J262" s="7">
        <v>0.92</v>
      </c>
      <c r="K262" s="7">
        <v>2.15</v>
      </c>
      <c r="L262" s="7">
        <v>2.15</v>
      </c>
      <c r="M262" s="6" t="s">
        <v>939</v>
      </c>
      <c r="N262" s="6"/>
      <c r="O262" s="7">
        <v>-23.517520099999999</v>
      </c>
      <c r="P262" s="7">
        <v>-46.3909205</v>
      </c>
      <c r="Q262" s="7">
        <v>-23.517581499999999</v>
      </c>
      <c r="R262" s="7">
        <v>-46.391384500000001</v>
      </c>
    </row>
    <row r="263" spans="1:18" x14ac:dyDescent="0.3">
      <c r="A263" s="6" t="s">
        <v>57</v>
      </c>
      <c r="B263" s="6" t="s">
        <v>818</v>
      </c>
      <c r="C263" s="6" t="s">
        <v>738</v>
      </c>
      <c r="D263" s="6" t="s">
        <v>298</v>
      </c>
      <c r="E263" s="6" t="s">
        <v>297</v>
      </c>
      <c r="F263" s="6" t="s">
        <v>475</v>
      </c>
      <c r="G263" s="6">
        <v>355</v>
      </c>
      <c r="H263" s="6" t="s">
        <v>476</v>
      </c>
      <c r="I263" s="7">
        <v>78.36</v>
      </c>
      <c r="J263" s="7">
        <v>5.28</v>
      </c>
      <c r="K263" s="7">
        <v>1.85</v>
      </c>
      <c r="L263" s="7">
        <v>5.28</v>
      </c>
      <c r="M263" s="6" t="s">
        <v>939</v>
      </c>
      <c r="N263" s="6"/>
      <c r="O263" s="7">
        <v>-23.517515199999998</v>
      </c>
      <c r="P263" s="7">
        <v>-46.391953299999997</v>
      </c>
      <c r="Q263" s="7">
        <v>-23.518210499999999</v>
      </c>
      <c r="R263" s="7">
        <v>-46.392097399999997</v>
      </c>
    </row>
    <row r="264" spans="1:18" x14ac:dyDescent="0.3">
      <c r="A264" s="6" t="s">
        <v>57</v>
      </c>
      <c r="B264" s="6" t="s">
        <v>820</v>
      </c>
      <c r="C264" s="6" t="s">
        <v>1025</v>
      </c>
      <c r="D264" s="6" t="s">
        <v>359</v>
      </c>
      <c r="E264" s="6" t="s">
        <v>298</v>
      </c>
      <c r="F264" s="6" t="s">
        <v>475</v>
      </c>
      <c r="G264" s="6">
        <v>355</v>
      </c>
      <c r="H264" s="6" t="s">
        <v>476</v>
      </c>
      <c r="I264" s="7">
        <v>100.16</v>
      </c>
      <c r="J264" s="7">
        <v>4.18</v>
      </c>
      <c r="K264" s="7">
        <v>5.23</v>
      </c>
      <c r="L264" s="7">
        <v>5.23</v>
      </c>
      <c r="M264" s="6" t="s">
        <v>939</v>
      </c>
      <c r="N264" s="6"/>
      <c r="O264" s="7">
        <v>-23.516625699999999</v>
      </c>
      <c r="P264" s="7">
        <v>-46.391780500000003</v>
      </c>
      <c r="Q264" s="7">
        <v>-23.517515199999998</v>
      </c>
      <c r="R264" s="7">
        <v>-46.391953299999997</v>
      </c>
    </row>
    <row r="265" spans="1:18" x14ac:dyDescent="0.3">
      <c r="A265" s="6" t="s">
        <v>57</v>
      </c>
      <c r="B265" s="6" t="s">
        <v>822</v>
      </c>
      <c r="C265" s="6" t="s">
        <v>1026</v>
      </c>
      <c r="D265" s="6" t="s">
        <v>380</v>
      </c>
      <c r="E265" s="6" t="s">
        <v>359</v>
      </c>
      <c r="F265" s="6" t="s">
        <v>475</v>
      </c>
      <c r="G265" s="6">
        <v>355</v>
      </c>
      <c r="H265" s="6" t="s">
        <v>476</v>
      </c>
      <c r="I265" s="7">
        <v>41.01</v>
      </c>
      <c r="J265" s="7">
        <v>1.97</v>
      </c>
      <c r="K265" s="7">
        <v>4.18</v>
      </c>
      <c r="L265" s="7">
        <v>4.18</v>
      </c>
      <c r="M265" s="6" t="s">
        <v>939</v>
      </c>
      <c r="N265" s="6"/>
      <c r="O265" s="7">
        <v>-23.516528300000001</v>
      </c>
      <c r="P265" s="7">
        <v>-46.392170900000004</v>
      </c>
      <c r="Q265" s="7">
        <v>-23.516625699999999</v>
      </c>
      <c r="R265" s="7">
        <v>-46.391780500000003</v>
      </c>
    </row>
    <row r="266" spans="1:18" x14ac:dyDescent="0.3">
      <c r="A266" s="6" t="s">
        <v>57</v>
      </c>
      <c r="B266" s="6" t="s">
        <v>824</v>
      </c>
      <c r="C266" s="6" t="s">
        <v>888</v>
      </c>
      <c r="D266" s="6" t="s">
        <v>358</v>
      </c>
      <c r="E266" s="6" t="s">
        <v>380</v>
      </c>
      <c r="F266" s="6" t="s">
        <v>475</v>
      </c>
      <c r="G266" s="6">
        <v>355</v>
      </c>
      <c r="H266" s="6" t="s">
        <v>476</v>
      </c>
      <c r="I266" s="7">
        <v>48.08</v>
      </c>
      <c r="J266" s="7">
        <v>4.71</v>
      </c>
      <c r="K266" s="7">
        <v>1.97</v>
      </c>
      <c r="L266" s="7">
        <v>4.71</v>
      </c>
      <c r="M266" s="6" t="s">
        <v>939</v>
      </c>
      <c r="N266" s="6"/>
      <c r="O266" s="7">
        <v>-23.516100900000001</v>
      </c>
      <c r="P266" s="7">
        <v>-46.392086900000002</v>
      </c>
      <c r="Q266" s="7">
        <v>-23.516528300000001</v>
      </c>
      <c r="R266" s="7">
        <v>-46.392170900000004</v>
      </c>
    </row>
    <row r="267" spans="1:18" x14ac:dyDescent="0.3">
      <c r="A267" s="6" t="s">
        <v>57</v>
      </c>
      <c r="B267" s="6" t="s">
        <v>826</v>
      </c>
      <c r="C267" s="6" t="s">
        <v>890</v>
      </c>
      <c r="D267" s="6" t="s">
        <v>176</v>
      </c>
      <c r="E267" s="6" t="s">
        <v>358</v>
      </c>
      <c r="F267" s="6" t="s">
        <v>475</v>
      </c>
      <c r="G267" s="6">
        <v>355</v>
      </c>
      <c r="H267" s="6" t="s">
        <v>476</v>
      </c>
      <c r="I267" s="7">
        <v>58.82</v>
      </c>
      <c r="J267" s="7">
        <v>4.75</v>
      </c>
      <c r="K267" s="7">
        <v>4.71</v>
      </c>
      <c r="L267" s="7">
        <v>4.75</v>
      </c>
      <c r="M267" s="6" t="s">
        <v>939</v>
      </c>
      <c r="N267" s="6"/>
      <c r="O267" s="7">
        <v>-23.5155773</v>
      </c>
      <c r="P267" s="7">
        <v>-46.392177699999998</v>
      </c>
      <c r="Q267" s="7">
        <v>-23.516100900000001</v>
      </c>
      <c r="R267" s="7">
        <v>-46.392086900000002</v>
      </c>
    </row>
    <row r="268" spans="1:18" x14ac:dyDescent="0.3">
      <c r="A268" s="6" t="s">
        <v>57</v>
      </c>
      <c r="B268" s="6" t="s">
        <v>828</v>
      </c>
      <c r="C268" s="6" t="s">
        <v>1027</v>
      </c>
      <c r="D268" s="6" t="s">
        <v>264</v>
      </c>
      <c r="E268" s="6" t="s">
        <v>176</v>
      </c>
      <c r="F268" s="6" t="s">
        <v>475</v>
      </c>
      <c r="G268" s="6">
        <v>355</v>
      </c>
      <c r="H268" s="6" t="s">
        <v>476</v>
      </c>
      <c r="I268" s="7">
        <v>65.209999999999994</v>
      </c>
      <c r="J268" s="7">
        <v>2.6</v>
      </c>
      <c r="K268" s="7">
        <v>4.59</v>
      </c>
      <c r="L268" s="7">
        <v>4.59</v>
      </c>
      <c r="M268" s="6" t="s">
        <v>939</v>
      </c>
      <c r="N268" s="6"/>
      <c r="O268" s="7">
        <v>-23.5150367</v>
      </c>
      <c r="P268" s="7">
        <v>-46.392434799999997</v>
      </c>
      <c r="Q268" s="7">
        <v>-23.5155773</v>
      </c>
      <c r="R268" s="7">
        <v>-46.392177699999998</v>
      </c>
    </row>
    <row r="269" spans="1:18" x14ac:dyDescent="0.3">
      <c r="A269" s="6" t="s">
        <v>57</v>
      </c>
      <c r="B269" s="6" t="s">
        <v>830</v>
      </c>
      <c r="C269" s="6" t="s">
        <v>1028</v>
      </c>
      <c r="D269" s="6" t="s">
        <v>270</v>
      </c>
      <c r="E269" s="6" t="s">
        <v>264</v>
      </c>
      <c r="F269" s="6" t="s">
        <v>475</v>
      </c>
      <c r="G269" s="6">
        <v>355</v>
      </c>
      <c r="H269" s="6" t="s">
        <v>476</v>
      </c>
      <c r="I269" s="7">
        <v>25.9</v>
      </c>
      <c r="J269" s="7">
        <v>1.6</v>
      </c>
      <c r="K269" s="7">
        <v>2.6</v>
      </c>
      <c r="L269" s="7">
        <v>2.6</v>
      </c>
      <c r="M269" s="6" t="s">
        <v>939</v>
      </c>
      <c r="N269" s="6"/>
      <c r="O269" s="7">
        <v>-23.514973600000001</v>
      </c>
      <c r="P269" s="7">
        <v>-46.3926789</v>
      </c>
      <c r="Q269" s="7">
        <v>-23.5150367</v>
      </c>
      <c r="R269" s="7">
        <v>-46.392434799999997</v>
      </c>
    </row>
    <row r="270" spans="1:18" x14ac:dyDescent="0.3">
      <c r="A270" s="6" t="s">
        <v>57</v>
      </c>
      <c r="B270" s="6" t="s">
        <v>832</v>
      </c>
      <c r="C270" s="6" t="s">
        <v>1029</v>
      </c>
      <c r="D270" s="6" t="s">
        <v>270</v>
      </c>
      <c r="E270" s="6" t="s">
        <v>270</v>
      </c>
      <c r="F270" s="6" t="s">
        <v>470</v>
      </c>
      <c r="G270" s="6">
        <v>200</v>
      </c>
      <c r="H270" s="6" t="s">
        <v>471</v>
      </c>
      <c r="I270" s="7">
        <v>13.84</v>
      </c>
      <c r="J270" s="7">
        <v>1.95</v>
      </c>
      <c r="K270" s="7">
        <v>1.6</v>
      </c>
      <c r="L270" s="7">
        <v>1.95</v>
      </c>
      <c r="M270" s="6" t="s">
        <v>939</v>
      </c>
      <c r="N270" s="6"/>
      <c r="O270" s="7">
        <v>-23.5148568</v>
      </c>
      <c r="P270" s="7">
        <v>-46.392655300000001</v>
      </c>
      <c r="Q270" s="7">
        <v>-23.514973600000001</v>
      </c>
      <c r="R270" s="7">
        <v>-46.3926789</v>
      </c>
    </row>
    <row r="271" spans="1:18" x14ac:dyDescent="0.3">
      <c r="A271" s="6" t="s">
        <v>57</v>
      </c>
      <c r="B271" s="6" t="s">
        <v>834</v>
      </c>
      <c r="C271" s="6" t="s">
        <v>1030</v>
      </c>
      <c r="D271" s="6" t="s">
        <v>264</v>
      </c>
      <c r="E271" s="6" t="s">
        <v>264</v>
      </c>
      <c r="F271" s="6" t="s">
        <v>470</v>
      </c>
      <c r="G271" s="6">
        <v>200</v>
      </c>
      <c r="H271" s="6" t="s">
        <v>476</v>
      </c>
      <c r="I271" s="7">
        <v>20.28</v>
      </c>
      <c r="J271" s="7">
        <v>1.38</v>
      </c>
      <c r="K271" s="7">
        <v>1.1499999999999999</v>
      </c>
      <c r="L271" s="7">
        <v>1.38</v>
      </c>
      <c r="M271" s="6" t="s">
        <v>939</v>
      </c>
      <c r="N271" s="6"/>
      <c r="O271" s="7">
        <v>-23.514959699999999</v>
      </c>
      <c r="P271" s="7">
        <v>-46.392254299999998</v>
      </c>
      <c r="Q271" s="7">
        <v>-23.5150367</v>
      </c>
      <c r="R271" s="7">
        <v>-46.392434799999997</v>
      </c>
    </row>
    <row r="272" spans="1:18" x14ac:dyDescent="0.3">
      <c r="A272" s="6" t="s">
        <v>57</v>
      </c>
      <c r="B272" s="6" t="s">
        <v>835</v>
      </c>
      <c r="C272" s="6" t="s">
        <v>1031</v>
      </c>
      <c r="D272" s="6" t="s">
        <v>419</v>
      </c>
      <c r="E272" s="6" t="s">
        <v>380</v>
      </c>
      <c r="F272" s="6" t="s">
        <v>470</v>
      </c>
      <c r="G272" s="6">
        <v>200</v>
      </c>
      <c r="H272" s="6" t="s">
        <v>471</v>
      </c>
      <c r="I272" s="7">
        <v>2.87</v>
      </c>
      <c r="J272" s="7">
        <v>1.76</v>
      </c>
      <c r="K272" s="7">
        <v>1.78</v>
      </c>
      <c r="L272" s="7">
        <v>1.78</v>
      </c>
      <c r="M272" s="6" t="s">
        <v>939</v>
      </c>
      <c r="N272" s="6"/>
      <c r="O272" s="7">
        <v>-23.516506</v>
      </c>
      <c r="P272" s="7">
        <v>-46.3921712</v>
      </c>
      <c r="Q272" s="7">
        <v>-23.516528300000001</v>
      </c>
      <c r="R272" s="7">
        <v>-46.392170900000004</v>
      </c>
    </row>
    <row r="273" spans="1:18" x14ac:dyDescent="0.3">
      <c r="A273" s="6" t="s">
        <v>57</v>
      </c>
      <c r="B273" s="6" t="s">
        <v>836</v>
      </c>
      <c r="C273" s="6" t="s">
        <v>1032</v>
      </c>
      <c r="D273" s="6" t="s">
        <v>359</v>
      </c>
      <c r="E273" s="6" t="s">
        <v>359</v>
      </c>
      <c r="F273" s="6" t="s">
        <v>470</v>
      </c>
      <c r="G273" s="6">
        <v>200</v>
      </c>
      <c r="H273" s="6" t="s">
        <v>471</v>
      </c>
      <c r="I273" s="7">
        <v>3.61</v>
      </c>
      <c r="J273" s="7">
        <v>2.0099999999999998</v>
      </c>
      <c r="K273" s="7">
        <v>1.59</v>
      </c>
      <c r="L273" s="7">
        <v>2.0099999999999998</v>
      </c>
      <c r="M273" s="6" t="s">
        <v>939</v>
      </c>
      <c r="N273" s="6"/>
      <c r="O273" s="7">
        <v>-23.516618600000001</v>
      </c>
      <c r="P273" s="7">
        <v>-46.391747700000003</v>
      </c>
      <c r="Q273" s="7">
        <v>-23.516625699999999</v>
      </c>
      <c r="R273" s="7">
        <v>-46.391780500000003</v>
      </c>
    </row>
    <row r="274" spans="1:18" x14ac:dyDescent="0.3">
      <c r="A274" s="6" t="s">
        <v>57</v>
      </c>
      <c r="B274" s="6" t="s">
        <v>838</v>
      </c>
      <c r="C274" s="6" t="s">
        <v>1033</v>
      </c>
      <c r="D274" s="6" t="s">
        <v>297</v>
      </c>
      <c r="E274" s="6" t="s">
        <v>297</v>
      </c>
      <c r="F274" s="6" t="s">
        <v>475</v>
      </c>
      <c r="G274" s="6">
        <v>355</v>
      </c>
      <c r="H274" s="6" t="s">
        <v>476</v>
      </c>
      <c r="I274" s="7">
        <v>13.52</v>
      </c>
      <c r="J274" s="7">
        <v>1.87</v>
      </c>
      <c r="K274" s="7">
        <v>4.58</v>
      </c>
      <c r="L274" s="7">
        <v>4.58</v>
      </c>
      <c r="M274" s="6" t="s">
        <v>939</v>
      </c>
      <c r="N274" s="6"/>
      <c r="O274" s="7">
        <v>-23.518210499999999</v>
      </c>
      <c r="P274" s="7">
        <v>-46.392097399999997</v>
      </c>
      <c r="Q274" s="7">
        <v>-23.518322999999999</v>
      </c>
      <c r="R274" s="7">
        <v>-46.392123900000001</v>
      </c>
    </row>
    <row r="275" spans="1:18" x14ac:dyDescent="0.3">
      <c r="A275" s="6" t="s">
        <v>57</v>
      </c>
      <c r="B275" s="6" t="s">
        <v>840</v>
      </c>
      <c r="C275" s="6" t="s">
        <v>1033</v>
      </c>
      <c r="D275" s="6" t="s">
        <v>297</v>
      </c>
      <c r="E275" s="6" t="s">
        <v>297</v>
      </c>
      <c r="F275" s="6" t="s">
        <v>470</v>
      </c>
      <c r="G275" s="6">
        <v>200</v>
      </c>
      <c r="H275" s="6" t="s">
        <v>471</v>
      </c>
      <c r="I275" s="7">
        <v>13.43</v>
      </c>
      <c r="J275" s="7">
        <v>1</v>
      </c>
      <c r="K275" s="7">
        <v>1.22</v>
      </c>
      <c r="L275" s="7">
        <v>1.22</v>
      </c>
      <c r="M275" s="6" t="s">
        <v>939</v>
      </c>
      <c r="N275" s="6"/>
      <c r="O275" s="7">
        <v>-23.5181006</v>
      </c>
      <c r="P275" s="7">
        <v>-46.392040199999997</v>
      </c>
      <c r="Q275" s="7">
        <v>-23.518210499999999</v>
      </c>
      <c r="R275" s="7">
        <v>-46.392097399999997</v>
      </c>
    </row>
    <row r="276" spans="1:18" x14ac:dyDescent="0.3">
      <c r="A276" s="6" t="s">
        <v>57</v>
      </c>
      <c r="B276" s="6" t="s">
        <v>842</v>
      </c>
      <c r="C276" s="6" t="s">
        <v>1026</v>
      </c>
      <c r="D276" s="6" t="s">
        <v>380</v>
      </c>
      <c r="E276" s="6" t="s">
        <v>359</v>
      </c>
      <c r="F276" s="6" t="s">
        <v>470</v>
      </c>
      <c r="G276" s="6">
        <v>200</v>
      </c>
      <c r="H276" s="6" t="s">
        <v>471</v>
      </c>
      <c r="I276" s="7">
        <v>25.91</v>
      </c>
      <c r="J276" s="7">
        <v>0.57999999999999996</v>
      </c>
      <c r="K276" s="7">
        <v>2.62</v>
      </c>
      <c r="L276" s="7">
        <v>2.62</v>
      </c>
      <c r="M276" s="6" t="s">
        <v>939</v>
      </c>
      <c r="N276" s="6"/>
      <c r="O276" s="7">
        <v>-23.516560699999999</v>
      </c>
      <c r="P276" s="7">
        <v>-46.392024200000002</v>
      </c>
      <c r="Q276" s="7">
        <v>-23.5166258</v>
      </c>
      <c r="R276" s="7">
        <v>-46.391780699999998</v>
      </c>
    </row>
    <row r="277" spans="1:18" x14ac:dyDescent="0.3">
      <c r="A277" s="6" t="s">
        <v>59</v>
      </c>
      <c r="B277" s="6" t="s">
        <v>818</v>
      </c>
      <c r="C277" s="6" t="s">
        <v>740</v>
      </c>
      <c r="D277" s="6" t="s">
        <v>297</v>
      </c>
      <c r="E277" s="6" t="s">
        <v>296</v>
      </c>
      <c r="F277" s="6" t="s">
        <v>475</v>
      </c>
      <c r="G277" s="6">
        <v>355</v>
      </c>
      <c r="H277" s="6" t="s">
        <v>476</v>
      </c>
      <c r="I277" s="7">
        <v>45.42</v>
      </c>
      <c r="J277" s="7">
        <v>4.43</v>
      </c>
      <c r="K277" s="7">
        <v>4.43</v>
      </c>
      <c r="L277" s="7">
        <v>4.43</v>
      </c>
      <c r="M277" s="6" t="s">
        <v>939</v>
      </c>
      <c r="N277" s="6"/>
      <c r="O277" s="7">
        <v>-23.5298254</v>
      </c>
      <c r="P277" s="7">
        <v>-46.391399900000003</v>
      </c>
      <c r="Q277" s="7">
        <v>-23.530095299999999</v>
      </c>
      <c r="R277" s="7">
        <v>-46.391734700000001</v>
      </c>
    </row>
    <row r="278" spans="1:18" x14ac:dyDescent="0.3">
      <c r="A278" s="6" t="s">
        <v>59</v>
      </c>
      <c r="B278" s="6" t="s">
        <v>820</v>
      </c>
      <c r="C278" s="6" t="s">
        <v>738</v>
      </c>
      <c r="D278" s="6" t="s">
        <v>298</v>
      </c>
      <c r="E278" s="6" t="s">
        <v>297</v>
      </c>
      <c r="F278" s="6" t="s">
        <v>475</v>
      </c>
      <c r="G278" s="6">
        <v>355</v>
      </c>
      <c r="H278" s="6" t="s">
        <v>476</v>
      </c>
      <c r="I278" s="7">
        <v>69.2</v>
      </c>
      <c r="J278" s="7">
        <v>4.82</v>
      </c>
      <c r="K278" s="7">
        <v>4.43</v>
      </c>
      <c r="L278" s="7">
        <v>4.82</v>
      </c>
      <c r="M278" s="6" t="s">
        <v>939</v>
      </c>
      <c r="N278" s="6"/>
      <c r="O278" s="7">
        <v>-23.529484199999999</v>
      </c>
      <c r="P278" s="7">
        <v>-46.390832000000003</v>
      </c>
      <c r="Q278" s="7">
        <v>-23.5298254</v>
      </c>
      <c r="R278" s="7">
        <v>-46.391399900000003</v>
      </c>
    </row>
    <row r="279" spans="1:18" x14ac:dyDescent="0.3">
      <c r="A279" s="6" t="s">
        <v>59</v>
      </c>
      <c r="B279" s="6" t="s">
        <v>822</v>
      </c>
      <c r="C279" s="6" t="s">
        <v>1034</v>
      </c>
      <c r="D279" s="6" t="s">
        <v>426</v>
      </c>
      <c r="E279" s="6" t="s">
        <v>298</v>
      </c>
      <c r="F279" s="6" t="s">
        <v>475</v>
      </c>
      <c r="G279" s="6">
        <v>355</v>
      </c>
      <c r="H279" s="6" t="s">
        <v>476</v>
      </c>
      <c r="I279" s="7">
        <v>13.53</v>
      </c>
      <c r="J279" s="7">
        <v>2.39</v>
      </c>
      <c r="K279" s="7">
        <v>4.82</v>
      </c>
      <c r="L279" s="7">
        <v>4.82</v>
      </c>
      <c r="M279" s="6" t="s">
        <v>939</v>
      </c>
      <c r="N279" s="6"/>
      <c r="O279" s="7">
        <v>-23.529378000000001</v>
      </c>
      <c r="P279" s="7">
        <v>-46.390766499999998</v>
      </c>
      <c r="Q279" s="7">
        <v>-23.529484199999999</v>
      </c>
      <c r="R279" s="7">
        <v>-46.390832000000003</v>
      </c>
    </row>
    <row r="280" spans="1:18" x14ac:dyDescent="0.3">
      <c r="A280" s="6" t="s">
        <v>59</v>
      </c>
      <c r="B280" s="6" t="s">
        <v>824</v>
      </c>
      <c r="C280" s="6" t="s">
        <v>1035</v>
      </c>
      <c r="D280" s="6" t="s">
        <v>426</v>
      </c>
      <c r="E280" s="6" t="s">
        <v>426</v>
      </c>
      <c r="F280" s="6" t="s">
        <v>470</v>
      </c>
      <c r="G280" s="6">
        <v>300</v>
      </c>
      <c r="H280" s="6" t="s">
        <v>471</v>
      </c>
      <c r="I280" s="7">
        <v>3.58</v>
      </c>
      <c r="J280" s="7">
        <v>1.4</v>
      </c>
      <c r="K280" s="7">
        <v>2.02</v>
      </c>
      <c r="L280" s="7">
        <v>2.02</v>
      </c>
      <c r="M280" s="6" t="s">
        <v>939</v>
      </c>
      <c r="N280" s="6"/>
      <c r="O280" s="7">
        <v>-23.5293548</v>
      </c>
      <c r="P280" s="7">
        <v>-46.390791299999997</v>
      </c>
      <c r="Q280" s="7">
        <v>-23.529378000000001</v>
      </c>
      <c r="R280" s="7">
        <v>-46.390766499999998</v>
      </c>
    </row>
    <row r="281" spans="1:18" x14ac:dyDescent="0.3">
      <c r="A281" s="6" t="s">
        <v>59</v>
      </c>
      <c r="B281" s="6" t="s">
        <v>826</v>
      </c>
      <c r="C281" s="6" t="s">
        <v>748</v>
      </c>
      <c r="D281" s="6" t="s">
        <v>299</v>
      </c>
      <c r="E281" s="6" t="s">
        <v>298</v>
      </c>
      <c r="F281" s="6" t="s">
        <v>475</v>
      </c>
      <c r="G281" s="6">
        <v>355</v>
      </c>
      <c r="H281" s="6" t="s">
        <v>476</v>
      </c>
      <c r="I281" s="7">
        <v>24.28</v>
      </c>
      <c r="J281" s="7">
        <v>4.66</v>
      </c>
      <c r="K281" s="7">
        <v>4.59</v>
      </c>
      <c r="L281" s="7">
        <v>4.66</v>
      </c>
      <c r="M281" s="6" t="s">
        <v>939</v>
      </c>
      <c r="N281" s="6"/>
      <c r="O281" s="7">
        <v>-23.529569500000001</v>
      </c>
      <c r="P281" s="7">
        <v>-46.390613000000002</v>
      </c>
      <c r="Q281" s="7">
        <v>-23.529484199999999</v>
      </c>
      <c r="R281" s="7">
        <v>-46.390832000000003</v>
      </c>
    </row>
    <row r="282" spans="1:18" x14ac:dyDescent="0.3">
      <c r="A282" s="6" t="s">
        <v>59</v>
      </c>
      <c r="B282" s="6" t="s">
        <v>828</v>
      </c>
      <c r="C282" s="6" t="s">
        <v>876</v>
      </c>
      <c r="D282" s="6" t="s">
        <v>359</v>
      </c>
      <c r="E282" s="6" t="s">
        <v>299</v>
      </c>
      <c r="F282" s="6" t="s">
        <v>475</v>
      </c>
      <c r="G282" s="6">
        <v>355</v>
      </c>
      <c r="H282" s="6" t="s">
        <v>476</v>
      </c>
      <c r="I282" s="7">
        <v>73.77</v>
      </c>
      <c r="J282" s="7">
        <v>4.78</v>
      </c>
      <c r="K282" s="7">
        <v>4.66</v>
      </c>
      <c r="L282" s="7">
        <v>4.78</v>
      </c>
      <c r="M282" s="6" t="s">
        <v>939</v>
      </c>
      <c r="N282" s="6"/>
      <c r="O282" s="7">
        <v>-23.529001099999999</v>
      </c>
      <c r="P282" s="7">
        <v>-46.390234300000003</v>
      </c>
      <c r="Q282" s="7">
        <v>-23.529569500000001</v>
      </c>
      <c r="R282" s="7">
        <v>-46.390613000000002</v>
      </c>
    </row>
    <row r="283" spans="1:18" x14ac:dyDescent="0.3">
      <c r="A283" s="6" t="s">
        <v>59</v>
      </c>
      <c r="B283" s="6" t="s">
        <v>830</v>
      </c>
      <c r="C283" s="6" t="s">
        <v>878</v>
      </c>
      <c r="D283" s="6" t="s">
        <v>360</v>
      </c>
      <c r="E283" s="6" t="s">
        <v>359</v>
      </c>
      <c r="F283" s="6" t="s">
        <v>475</v>
      </c>
      <c r="G283" s="6">
        <v>355</v>
      </c>
      <c r="H283" s="6" t="s">
        <v>476</v>
      </c>
      <c r="I283" s="7">
        <v>77.12</v>
      </c>
      <c r="J283" s="7">
        <v>4.63</v>
      </c>
      <c r="K283" s="7">
        <v>4.78</v>
      </c>
      <c r="L283" s="7">
        <v>4.78</v>
      </c>
      <c r="M283" s="6" t="s">
        <v>939</v>
      </c>
      <c r="N283" s="6"/>
      <c r="O283" s="7">
        <v>-23.528404299999998</v>
      </c>
      <c r="P283" s="7">
        <v>-46.389846900000002</v>
      </c>
      <c r="Q283" s="7">
        <v>-23.529001099999999</v>
      </c>
      <c r="R283" s="7">
        <v>-46.390234300000003</v>
      </c>
    </row>
    <row r="284" spans="1:18" x14ac:dyDescent="0.3">
      <c r="A284" s="6" t="s">
        <v>59</v>
      </c>
      <c r="B284" s="6" t="s">
        <v>832</v>
      </c>
      <c r="C284" s="6" t="s">
        <v>942</v>
      </c>
      <c r="D284" s="6" t="s">
        <v>380</v>
      </c>
      <c r="E284" s="6" t="s">
        <v>360</v>
      </c>
      <c r="F284" s="6" t="s">
        <v>475</v>
      </c>
      <c r="G284" s="6">
        <v>355</v>
      </c>
      <c r="H284" s="6" t="s">
        <v>476</v>
      </c>
      <c r="I284" s="7">
        <v>65.92</v>
      </c>
      <c r="J284" s="7">
        <v>4.58</v>
      </c>
      <c r="K284" s="7">
        <v>4.63</v>
      </c>
      <c r="L284" s="7">
        <v>4.63</v>
      </c>
      <c r="M284" s="6" t="s">
        <v>939</v>
      </c>
      <c r="N284" s="6"/>
      <c r="O284" s="7">
        <v>-23.5279144</v>
      </c>
      <c r="P284" s="7">
        <v>-46.3894801</v>
      </c>
      <c r="Q284" s="7">
        <v>-23.528404299999998</v>
      </c>
      <c r="R284" s="7">
        <v>-46.389846900000002</v>
      </c>
    </row>
    <row r="285" spans="1:18" x14ac:dyDescent="0.3">
      <c r="A285" s="6" t="s">
        <v>59</v>
      </c>
      <c r="B285" s="6" t="s">
        <v>834</v>
      </c>
      <c r="C285" s="6" t="s">
        <v>1036</v>
      </c>
      <c r="D285" s="6" t="s">
        <v>176</v>
      </c>
      <c r="E285" s="6" t="s">
        <v>380</v>
      </c>
      <c r="F285" s="6" t="s">
        <v>475</v>
      </c>
      <c r="G285" s="6">
        <v>355</v>
      </c>
      <c r="H285" s="6" t="s">
        <v>476</v>
      </c>
      <c r="I285" s="7">
        <v>70.790000000000006</v>
      </c>
      <c r="J285" s="7">
        <v>3.13</v>
      </c>
      <c r="K285" s="7">
        <v>4.58</v>
      </c>
      <c r="L285" s="7">
        <v>4.58</v>
      </c>
      <c r="M285" s="6" t="s">
        <v>939</v>
      </c>
      <c r="N285" s="6"/>
      <c r="O285" s="7">
        <v>-23.527384399999999</v>
      </c>
      <c r="P285" s="7">
        <v>-46.389092400000003</v>
      </c>
      <c r="Q285" s="7">
        <v>-23.5279144</v>
      </c>
      <c r="R285" s="7">
        <v>-46.3894801</v>
      </c>
    </row>
    <row r="286" spans="1:18" x14ac:dyDescent="0.3">
      <c r="A286" s="6" t="s">
        <v>59</v>
      </c>
      <c r="B286" s="6" t="s">
        <v>835</v>
      </c>
      <c r="C286" s="6" t="s">
        <v>1027</v>
      </c>
      <c r="D286" s="6" t="s">
        <v>264</v>
      </c>
      <c r="E286" s="6" t="s">
        <v>176</v>
      </c>
      <c r="F286" s="6" t="s">
        <v>475</v>
      </c>
      <c r="G286" s="6">
        <v>355</v>
      </c>
      <c r="H286" s="6" t="s">
        <v>476</v>
      </c>
      <c r="I286" s="7">
        <v>55.26</v>
      </c>
      <c r="J286" s="7">
        <v>3.21</v>
      </c>
      <c r="K286" s="7">
        <v>3.13</v>
      </c>
      <c r="L286" s="7">
        <v>3.21</v>
      </c>
      <c r="M286" s="6" t="s">
        <v>939</v>
      </c>
      <c r="N286" s="6"/>
      <c r="O286" s="7">
        <v>-23.527060800000001</v>
      </c>
      <c r="P286" s="7">
        <v>-46.388676799999999</v>
      </c>
      <c r="Q286" s="7">
        <v>-23.527384399999999</v>
      </c>
      <c r="R286" s="7">
        <v>-46.389092400000003</v>
      </c>
    </row>
    <row r="287" spans="1:18" x14ac:dyDescent="0.3">
      <c r="A287" s="6" t="s">
        <v>59</v>
      </c>
      <c r="B287" s="6" t="s">
        <v>836</v>
      </c>
      <c r="C287" s="6" t="s">
        <v>845</v>
      </c>
      <c r="D287" s="6" t="s">
        <v>374</v>
      </c>
      <c r="E287" s="6" t="s">
        <v>264</v>
      </c>
      <c r="F287" s="6" t="s">
        <v>475</v>
      </c>
      <c r="G287" s="6">
        <v>355</v>
      </c>
      <c r="H287" s="6" t="s">
        <v>476</v>
      </c>
      <c r="I287" s="7">
        <v>33.479999999999997</v>
      </c>
      <c r="J287" s="7">
        <v>3.4</v>
      </c>
      <c r="K287" s="7">
        <v>3.21</v>
      </c>
      <c r="L287" s="7">
        <v>3.4</v>
      </c>
      <c r="M287" s="6" t="s">
        <v>939</v>
      </c>
      <c r="N287" s="6"/>
      <c r="O287" s="7">
        <v>-23.526862699999999</v>
      </c>
      <c r="P287" s="7">
        <v>-46.388432899999998</v>
      </c>
      <c r="Q287" s="7">
        <v>-23.527060800000001</v>
      </c>
      <c r="R287" s="7">
        <v>-46.388676799999999</v>
      </c>
    </row>
    <row r="288" spans="1:18" x14ac:dyDescent="0.3">
      <c r="A288" s="6" t="s">
        <v>59</v>
      </c>
      <c r="B288" s="6" t="s">
        <v>838</v>
      </c>
      <c r="C288" s="6" t="s">
        <v>957</v>
      </c>
      <c r="D288" s="6" t="s">
        <v>338</v>
      </c>
      <c r="E288" s="6" t="s">
        <v>373</v>
      </c>
      <c r="F288" s="6" t="s">
        <v>475</v>
      </c>
      <c r="G288" s="6">
        <v>355</v>
      </c>
      <c r="H288" s="6" t="s">
        <v>476</v>
      </c>
      <c r="I288" s="7">
        <v>76.55</v>
      </c>
      <c r="J288" s="7">
        <v>5.58</v>
      </c>
      <c r="K288" s="7">
        <v>6.08</v>
      </c>
      <c r="L288" s="7">
        <v>6.08</v>
      </c>
      <c r="M288" s="6" t="s">
        <v>939</v>
      </c>
      <c r="N288" s="6"/>
      <c r="O288" s="7">
        <v>-23.5254224</v>
      </c>
      <c r="P288" s="7">
        <v>-46.3859675</v>
      </c>
      <c r="Q288" s="7">
        <v>-23.5259888</v>
      </c>
      <c r="R288" s="7">
        <v>-46.386397299999999</v>
      </c>
    </row>
    <row r="289" spans="1:18" x14ac:dyDescent="0.3">
      <c r="A289" s="6" t="s">
        <v>59</v>
      </c>
      <c r="B289" s="6" t="s">
        <v>840</v>
      </c>
      <c r="C289" s="6" t="s">
        <v>1037</v>
      </c>
      <c r="D289" s="6" t="s">
        <v>373</v>
      </c>
      <c r="E289" s="6" t="s">
        <v>328</v>
      </c>
      <c r="F289" s="6" t="s">
        <v>475</v>
      </c>
      <c r="G289" s="6">
        <v>355</v>
      </c>
      <c r="H289" s="6" t="s">
        <v>476</v>
      </c>
      <c r="I289" s="7">
        <v>99.27</v>
      </c>
      <c r="J289" s="7">
        <v>6.08</v>
      </c>
      <c r="K289" s="7">
        <v>6.44</v>
      </c>
      <c r="L289" s="7">
        <v>6.44</v>
      </c>
      <c r="M289" s="6" t="s">
        <v>939</v>
      </c>
      <c r="N289" s="6"/>
      <c r="O289" s="7">
        <v>-23.5259888</v>
      </c>
      <c r="P289" s="7">
        <v>-46.386397299999999</v>
      </c>
      <c r="Q289" s="7">
        <v>-23.5265509</v>
      </c>
      <c r="R289" s="7">
        <v>-46.387154600000002</v>
      </c>
    </row>
    <row r="290" spans="1:18" x14ac:dyDescent="0.3">
      <c r="A290" s="6" t="s">
        <v>59</v>
      </c>
      <c r="B290" s="6" t="s">
        <v>842</v>
      </c>
      <c r="C290" s="6" t="s">
        <v>1038</v>
      </c>
      <c r="D290" s="6" t="s">
        <v>328</v>
      </c>
      <c r="E290" s="6" t="s">
        <v>375</v>
      </c>
      <c r="F290" s="6" t="s">
        <v>475</v>
      </c>
      <c r="G290" s="6">
        <v>355</v>
      </c>
      <c r="H290" s="6" t="s">
        <v>476</v>
      </c>
      <c r="I290" s="7">
        <v>80.099999999999994</v>
      </c>
      <c r="J290" s="7">
        <v>6.53</v>
      </c>
      <c r="K290" s="7">
        <v>3.97</v>
      </c>
      <c r="L290" s="7">
        <v>6.53</v>
      </c>
      <c r="M290" s="6" t="s">
        <v>939</v>
      </c>
      <c r="N290" s="6"/>
      <c r="O290" s="7">
        <v>-23.5265509</v>
      </c>
      <c r="P290" s="7">
        <v>-46.387154600000002</v>
      </c>
      <c r="Q290" s="7">
        <v>-23.526482300000001</v>
      </c>
      <c r="R290" s="7">
        <v>-46.3879375</v>
      </c>
    </row>
    <row r="291" spans="1:18" x14ac:dyDescent="0.3">
      <c r="A291" s="6" t="s">
        <v>59</v>
      </c>
      <c r="B291" s="6" t="s">
        <v>844</v>
      </c>
      <c r="C291" s="6" t="s">
        <v>1039</v>
      </c>
      <c r="D291" s="6" t="s">
        <v>371</v>
      </c>
      <c r="E291" s="6" t="s">
        <v>338</v>
      </c>
      <c r="F291" s="6" t="s">
        <v>475</v>
      </c>
      <c r="G291" s="6">
        <v>355</v>
      </c>
      <c r="H291" s="6" t="s">
        <v>476</v>
      </c>
      <c r="I291" s="7">
        <v>32.6</v>
      </c>
      <c r="J291" s="7">
        <v>2.15</v>
      </c>
      <c r="K291" s="7">
        <v>5.58</v>
      </c>
      <c r="L291" s="7">
        <v>5.58</v>
      </c>
      <c r="M291" s="6" t="s">
        <v>939</v>
      </c>
      <c r="N291" s="6"/>
      <c r="O291" s="7">
        <v>-23.525234300000001</v>
      </c>
      <c r="P291" s="7">
        <v>-46.3862132</v>
      </c>
      <c r="Q291" s="7">
        <v>-23.5254224</v>
      </c>
      <c r="R291" s="7">
        <v>-46.3859675</v>
      </c>
    </row>
    <row r="292" spans="1:18" x14ac:dyDescent="0.3">
      <c r="A292" s="6" t="s">
        <v>59</v>
      </c>
      <c r="B292" s="6" t="s">
        <v>846</v>
      </c>
      <c r="C292" s="6" t="s">
        <v>1040</v>
      </c>
      <c r="D292" s="6" t="s">
        <v>425</v>
      </c>
      <c r="E292" s="6" t="s">
        <v>371</v>
      </c>
      <c r="F292" s="6" t="s">
        <v>470</v>
      </c>
      <c r="G292" s="6">
        <v>300</v>
      </c>
      <c r="H292" s="6" t="s">
        <v>471</v>
      </c>
      <c r="I292" s="7">
        <v>12.66</v>
      </c>
      <c r="J292" s="7">
        <v>0.86</v>
      </c>
      <c r="K292" s="7">
        <v>1.98</v>
      </c>
      <c r="L292" s="7">
        <v>1.98</v>
      </c>
      <c r="M292" s="6" t="s">
        <v>939</v>
      </c>
      <c r="N292" s="6"/>
      <c r="O292" s="7">
        <v>-23.525302400000001</v>
      </c>
      <c r="P292" s="7">
        <v>-46.386312799999999</v>
      </c>
      <c r="Q292" s="7">
        <v>-23.525234300000001</v>
      </c>
      <c r="R292" s="7">
        <v>-46.3862132</v>
      </c>
    </row>
    <row r="293" spans="1:18" x14ac:dyDescent="0.3">
      <c r="A293" s="6" t="s">
        <v>59</v>
      </c>
      <c r="B293" s="6" t="s">
        <v>848</v>
      </c>
      <c r="C293" s="6" t="s">
        <v>1041</v>
      </c>
      <c r="D293" s="6" t="s">
        <v>370</v>
      </c>
      <c r="E293" s="6" t="s">
        <v>425</v>
      </c>
      <c r="F293" s="6" t="s">
        <v>470</v>
      </c>
      <c r="G293" s="6">
        <v>300</v>
      </c>
      <c r="H293" s="6" t="s">
        <v>471</v>
      </c>
      <c r="I293" s="7">
        <v>33.39</v>
      </c>
      <c r="J293" s="7">
        <v>2.15</v>
      </c>
      <c r="K293" s="7">
        <v>0.86</v>
      </c>
      <c r="L293" s="7">
        <v>2.15</v>
      </c>
      <c r="M293" s="6" t="s">
        <v>939</v>
      </c>
      <c r="N293" s="6"/>
      <c r="O293" s="7">
        <v>-23.525471899999999</v>
      </c>
      <c r="P293" s="7">
        <v>-46.386583299999998</v>
      </c>
      <c r="Q293" s="7">
        <v>-23.525302400000001</v>
      </c>
      <c r="R293" s="7">
        <v>-46.3863129</v>
      </c>
    </row>
    <row r="294" spans="1:18" x14ac:dyDescent="0.3">
      <c r="A294" s="6" t="s">
        <v>59</v>
      </c>
      <c r="B294" s="6" t="s">
        <v>850</v>
      </c>
      <c r="C294" s="6" t="s">
        <v>1042</v>
      </c>
      <c r="D294" s="6" t="s">
        <v>424</v>
      </c>
      <c r="E294" s="6" t="s">
        <v>370</v>
      </c>
      <c r="F294" s="6" t="s">
        <v>470</v>
      </c>
      <c r="G294" s="6">
        <v>300</v>
      </c>
      <c r="H294" s="6" t="s">
        <v>471</v>
      </c>
      <c r="I294" s="7">
        <v>5</v>
      </c>
      <c r="J294" s="7">
        <v>1.6</v>
      </c>
      <c r="K294" s="7">
        <v>2.15</v>
      </c>
      <c r="L294" s="7">
        <v>2.15</v>
      </c>
      <c r="M294" s="6" t="s">
        <v>939</v>
      </c>
      <c r="N294" s="6"/>
      <c r="O294" s="7">
        <v>-23.525513700000001</v>
      </c>
      <c r="P294" s="7">
        <v>-46.3866017</v>
      </c>
      <c r="Q294" s="7">
        <v>-23.525471899999999</v>
      </c>
      <c r="R294" s="7">
        <v>-46.386583299999998</v>
      </c>
    </row>
    <row r="295" spans="1:18" x14ac:dyDescent="0.3">
      <c r="A295" s="6" t="s">
        <v>59</v>
      </c>
      <c r="B295" s="6" t="s">
        <v>852</v>
      </c>
      <c r="C295" s="6" t="s">
        <v>1043</v>
      </c>
      <c r="D295" s="6" t="s">
        <v>296</v>
      </c>
      <c r="E295" s="6" t="s">
        <v>382</v>
      </c>
      <c r="F295" s="6" t="s">
        <v>475</v>
      </c>
      <c r="G295" s="6">
        <v>355</v>
      </c>
      <c r="H295" s="6" t="s">
        <v>476</v>
      </c>
      <c r="I295" s="7">
        <v>55.7</v>
      </c>
      <c r="J295" s="7">
        <v>4.43</v>
      </c>
      <c r="K295" s="7">
        <v>2.44</v>
      </c>
      <c r="L295" s="7">
        <v>4.43</v>
      </c>
      <c r="M295" s="6" t="s">
        <v>939</v>
      </c>
      <c r="N295" s="6"/>
      <c r="O295" s="7">
        <v>-23.530095299999999</v>
      </c>
      <c r="P295" s="7">
        <v>-46.391734700000001</v>
      </c>
      <c r="Q295" s="7">
        <v>-23.530386199999999</v>
      </c>
      <c r="R295" s="7">
        <v>-46.392179599999999</v>
      </c>
    </row>
    <row r="296" spans="1:18" x14ac:dyDescent="0.3">
      <c r="A296" s="6" t="s">
        <v>59</v>
      </c>
      <c r="B296" s="6" t="s">
        <v>854</v>
      </c>
      <c r="C296" s="6" t="s">
        <v>847</v>
      </c>
      <c r="D296" s="6" t="s">
        <v>375</v>
      </c>
      <c r="E296" s="6" t="s">
        <v>374</v>
      </c>
      <c r="F296" s="6" t="s">
        <v>475</v>
      </c>
      <c r="G296" s="6">
        <v>355</v>
      </c>
      <c r="H296" s="6" t="s">
        <v>476</v>
      </c>
      <c r="I296" s="7">
        <v>65.86</v>
      </c>
      <c r="J296" s="7">
        <v>3.97</v>
      </c>
      <c r="K296" s="7">
        <v>3.27</v>
      </c>
      <c r="L296" s="7">
        <v>3.97</v>
      </c>
      <c r="M296" s="6" t="s">
        <v>939</v>
      </c>
      <c r="N296" s="6"/>
      <c r="O296" s="7">
        <v>-23.526482300000001</v>
      </c>
      <c r="P296" s="7">
        <v>-46.3879375</v>
      </c>
      <c r="Q296" s="7">
        <v>-23.526862699999999</v>
      </c>
      <c r="R296" s="7">
        <v>-46.388432899999998</v>
      </c>
    </row>
    <row r="297" spans="1:18" x14ac:dyDescent="0.3">
      <c r="A297" s="6" t="s">
        <v>59</v>
      </c>
      <c r="B297" s="6" t="s">
        <v>856</v>
      </c>
      <c r="C297" s="6" t="s">
        <v>1044</v>
      </c>
      <c r="D297" s="6" t="s">
        <v>422</v>
      </c>
      <c r="E297" s="6" t="s">
        <v>264</v>
      </c>
      <c r="F297" s="6" t="s">
        <v>470</v>
      </c>
      <c r="G297" s="6">
        <v>300</v>
      </c>
      <c r="H297" s="6" t="s">
        <v>471</v>
      </c>
      <c r="I297" s="7">
        <v>13.17</v>
      </c>
      <c r="J297" s="7">
        <v>1.85</v>
      </c>
      <c r="K297" s="7">
        <v>2.69</v>
      </c>
      <c r="L297" s="7">
        <v>2.69</v>
      </c>
      <c r="M297" s="6" t="s">
        <v>939</v>
      </c>
      <c r="N297" s="6"/>
      <c r="O297" s="7">
        <v>-23.5269923</v>
      </c>
      <c r="P297" s="7">
        <v>-46.388574499999997</v>
      </c>
      <c r="Q297" s="7">
        <v>-23.527060800000001</v>
      </c>
      <c r="R297" s="7">
        <v>-46.388676799999999</v>
      </c>
    </row>
    <row r="298" spans="1:18" x14ac:dyDescent="0.3">
      <c r="A298" s="6" t="s">
        <v>61</v>
      </c>
      <c r="B298" s="6" t="s">
        <v>818</v>
      </c>
      <c r="C298" s="6" t="s">
        <v>833</v>
      </c>
      <c r="D298" s="6" t="s">
        <v>296</v>
      </c>
      <c r="E298" s="6" t="s">
        <v>362</v>
      </c>
      <c r="F298" s="6" t="s">
        <v>475</v>
      </c>
      <c r="G298" s="6">
        <v>355</v>
      </c>
      <c r="H298" s="6" t="s">
        <v>476</v>
      </c>
      <c r="I298" s="7">
        <v>26.6</v>
      </c>
      <c r="J298" s="7">
        <v>3.66</v>
      </c>
      <c r="K298" s="7">
        <v>2.91</v>
      </c>
      <c r="L298" s="7">
        <v>3.66</v>
      </c>
      <c r="M298" s="6" t="s">
        <v>939</v>
      </c>
      <c r="N298" s="6"/>
      <c r="O298" s="7">
        <v>-23.524616300000002</v>
      </c>
      <c r="P298" s="7">
        <v>-46.3974324</v>
      </c>
      <c r="Q298" s="7">
        <v>-23.524686299999999</v>
      </c>
      <c r="R298" s="7">
        <v>-46.397681599999999</v>
      </c>
    </row>
    <row r="299" spans="1:18" x14ac:dyDescent="0.3">
      <c r="A299" s="6" t="s">
        <v>61</v>
      </c>
      <c r="B299" s="6" t="s">
        <v>820</v>
      </c>
      <c r="C299" s="6" t="s">
        <v>740</v>
      </c>
      <c r="D299" s="6" t="s">
        <v>297</v>
      </c>
      <c r="E299" s="6" t="s">
        <v>296</v>
      </c>
      <c r="F299" s="6" t="s">
        <v>475</v>
      </c>
      <c r="G299" s="6">
        <v>355</v>
      </c>
      <c r="H299" s="6" t="s">
        <v>476</v>
      </c>
      <c r="I299" s="7">
        <v>55.31</v>
      </c>
      <c r="J299" s="7">
        <v>4.01</v>
      </c>
      <c r="K299" s="7">
        <v>3.66</v>
      </c>
      <c r="L299" s="7">
        <v>4.01</v>
      </c>
      <c r="M299" s="6" t="s">
        <v>939</v>
      </c>
      <c r="N299" s="6"/>
      <c r="O299" s="7">
        <v>-23.5244939</v>
      </c>
      <c r="P299" s="7">
        <v>-46.396907200000001</v>
      </c>
      <c r="Q299" s="7">
        <v>-23.524616300000002</v>
      </c>
      <c r="R299" s="7">
        <v>-46.3974324</v>
      </c>
    </row>
    <row r="300" spans="1:18" x14ac:dyDescent="0.3">
      <c r="A300" s="6" t="s">
        <v>61</v>
      </c>
      <c r="B300" s="6" t="s">
        <v>822</v>
      </c>
      <c r="C300" s="6" t="s">
        <v>738</v>
      </c>
      <c r="D300" s="6" t="s">
        <v>298</v>
      </c>
      <c r="E300" s="6" t="s">
        <v>297</v>
      </c>
      <c r="F300" s="6" t="s">
        <v>475</v>
      </c>
      <c r="G300" s="6">
        <v>355</v>
      </c>
      <c r="H300" s="6" t="s">
        <v>476</v>
      </c>
      <c r="I300" s="7">
        <v>65.64</v>
      </c>
      <c r="J300" s="7">
        <v>6.93</v>
      </c>
      <c r="K300" s="7">
        <v>4.01</v>
      </c>
      <c r="L300" s="7">
        <v>6.93</v>
      </c>
      <c r="M300" s="6" t="s">
        <v>939</v>
      </c>
      <c r="N300" s="6"/>
      <c r="O300" s="7">
        <v>-23.524351800000002</v>
      </c>
      <c r="P300" s="7">
        <v>-46.396283199999999</v>
      </c>
      <c r="Q300" s="7">
        <v>-23.5244939</v>
      </c>
      <c r="R300" s="7">
        <v>-46.396907200000001</v>
      </c>
    </row>
    <row r="301" spans="1:18" x14ac:dyDescent="0.3">
      <c r="A301" s="6" t="s">
        <v>61</v>
      </c>
      <c r="B301" s="6" t="s">
        <v>824</v>
      </c>
      <c r="C301" s="6" t="s">
        <v>748</v>
      </c>
      <c r="D301" s="6" t="s">
        <v>299</v>
      </c>
      <c r="E301" s="6" t="s">
        <v>298</v>
      </c>
      <c r="F301" s="6" t="s">
        <v>475</v>
      </c>
      <c r="G301" s="6">
        <v>355</v>
      </c>
      <c r="H301" s="6" t="s">
        <v>476</v>
      </c>
      <c r="I301" s="7">
        <v>21.46</v>
      </c>
      <c r="J301" s="7">
        <v>5.16</v>
      </c>
      <c r="K301" s="7">
        <v>6.93</v>
      </c>
      <c r="L301" s="7">
        <v>6.93</v>
      </c>
      <c r="M301" s="6" t="s">
        <v>939</v>
      </c>
      <c r="N301" s="6"/>
      <c r="O301" s="7">
        <v>-23.524540399999999</v>
      </c>
      <c r="P301" s="7">
        <v>-46.396234700000001</v>
      </c>
      <c r="Q301" s="7">
        <v>-23.524351800000002</v>
      </c>
      <c r="R301" s="7">
        <v>-46.396283199999999</v>
      </c>
    </row>
    <row r="302" spans="1:18" x14ac:dyDescent="0.3">
      <c r="A302" s="6" t="s">
        <v>61</v>
      </c>
      <c r="B302" s="6" t="s">
        <v>826</v>
      </c>
      <c r="C302" s="6" t="s">
        <v>1045</v>
      </c>
      <c r="D302" s="6" t="s">
        <v>413</v>
      </c>
      <c r="E302" s="6" t="s">
        <v>299</v>
      </c>
      <c r="F302" s="6" t="s">
        <v>475</v>
      </c>
      <c r="G302" s="6">
        <v>355</v>
      </c>
      <c r="H302" s="6" t="s">
        <v>476</v>
      </c>
      <c r="I302" s="7">
        <v>30.51</v>
      </c>
      <c r="J302" s="7">
        <v>2.65</v>
      </c>
      <c r="K302" s="7">
        <v>5.15</v>
      </c>
      <c r="L302" s="7">
        <v>5.15</v>
      </c>
      <c r="M302" s="6" t="s">
        <v>939</v>
      </c>
      <c r="N302" s="6"/>
      <c r="O302" s="7">
        <v>-23.524791400000002</v>
      </c>
      <c r="P302" s="7">
        <v>-46.396111300000001</v>
      </c>
      <c r="Q302" s="7">
        <v>-23.524540399999999</v>
      </c>
      <c r="R302" s="7">
        <v>-46.396234700000001</v>
      </c>
    </row>
    <row r="303" spans="1:18" x14ac:dyDescent="0.3">
      <c r="A303" s="6" t="s">
        <v>61</v>
      </c>
      <c r="B303" s="6" t="s">
        <v>828</v>
      </c>
      <c r="C303" s="6" t="s">
        <v>905</v>
      </c>
      <c r="D303" s="6" t="s">
        <v>380</v>
      </c>
      <c r="E303" s="6" t="s">
        <v>299</v>
      </c>
      <c r="F303" s="6" t="s">
        <v>475</v>
      </c>
      <c r="G303" s="6">
        <v>355</v>
      </c>
      <c r="H303" s="6" t="s">
        <v>476</v>
      </c>
      <c r="I303" s="7">
        <v>59.64</v>
      </c>
      <c r="J303" s="7">
        <v>4.1500000000000004</v>
      </c>
      <c r="K303" s="7">
        <v>2.91</v>
      </c>
      <c r="L303" s="7">
        <v>4.1500000000000004</v>
      </c>
      <c r="M303" s="6" t="s">
        <v>939</v>
      </c>
      <c r="N303" s="6"/>
      <c r="O303" s="7">
        <v>-23.524395200000001</v>
      </c>
      <c r="P303" s="7">
        <v>-46.395672300000001</v>
      </c>
      <c r="Q303" s="7">
        <v>-23.524540399999999</v>
      </c>
      <c r="R303" s="7">
        <v>-46.396234700000001</v>
      </c>
    </row>
    <row r="304" spans="1:18" x14ac:dyDescent="0.3">
      <c r="A304" s="6" t="s">
        <v>61</v>
      </c>
      <c r="B304" s="6" t="s">
        <v>830</v>
      </c>
      <c r="C304" s="6" t="s">
        <v>888</v>
      </c>
      <c r="D304" s="6" t="s">
        <v>358</v>
      </c>
      <c r="E304" s="6" t="s">
        <v>380</v>
      </c>
      <c r="F304" s="6" t="s">
        <v>475</v>
      </c>
      <c r="G304" s="6">
        <v>355</v>
      </c>
      <c r="H304" s="6" t="s">
        <v>476</v>
      </c>
      <c r="I304" s="7">
        <v>62.49</v>
      </c>
      <c r="J304" s="7">
        <v>5.52</v>
      </c>
      <c r="K304" s="7">
        <v>4.1500000000000004</v>
      </c>
      <c r="L304" s="7">
        <v>5.52</v>
      </c>
      <c r="M304" s="6" t="s">
        <v>939</v>
      </c>
      <c r="N304" s="6"/>
      <c r="O304" s="7">
        <v>-23.524161800000002</v>
      </c>
      <c r="P304" s="7">
        <v>-46.395125499999999</v>
      </c>
      <c r="Q304" s="7">
        <v>-23.524395200000001</v>
      </c>
      <c r="R304" s="7">
        <v>-46.395672300000001</v>
      </c>
    </row>
    <row r="305" spans="1:18" x14ac:dyDescent="0.3">
      <c r="A305" s="6" t="s">
        <v>61</v>
      </c>
      <c r="B305" s="6" t="s">
        <v>832</v>
      </c>
      <c r="C305" s="6" t="s">
        <v>1046</v>
      </c>
      <c r="D305" s="6" t="s">
        <v>428</v>
      </c>
      <c r="E305" s="6" t="s">
        <v>374</v>
      </c>
      <c r="F305" s="6" t="s">
        <v>475</v>
      </c>
      <c r="G305" s="6">
        <v>355</v>
      </c>
      <c r="H305" s="6" t="s">
        <v>476</v>
      </c>
      <c r="I305" s="7">
        <v>49.32</v>
      </c>
      <c r="J305" s="7">
        <v>2.0699999999999998</v>
      </c>
      <c r="K305" s="7">
        <v>1.88</v>
      </c>
      <c r="L305" s="7">
        <v>2.0699999999999998</v>
      </c>
      <c r="M305" s="6" t="s">
        <v>939</v>
      </c>
      <c r="N305" s="6"/>
      <c r="O305" s="7">
        <v>-23.524227</v>
      </c>
      <c r="P305" s="7">
        <v>-46.393959799999998</v>
      </c>
      <c r="Q305" s="7">
        <v>-23.524385200000001</v>
      </c>
      <c r="R305" s="7">
        <v>-46.394411300000002</v>
      </c>
    </row>
    <row r="306" spans="1:18" x14ac:dyDescent="0.3">
      <c r="A306" s="6" t="s">
        <v>61</v>
      </c>
      <c r="B306" s="6" t="s">
        <v>834</v>
      </c>
      <c r="C306" s="6" t="s">
        <v>1047</v>
      </c>
      <c r="D306" s="6" t="s">
        <v>266</v>
      </c>
      <c r="E306" s="6" t="s">
        <v>428</v>
      </c>
      <c r="F306" s="6" t="s">
        <v>475</v>
      </c>
      <c r="G306" s="6">
        <v>355</v>
      </c>
      <c r="H306" s="6" t="s">
        <v>476</v>
      </c>
      <c r="I306" s="7">
        <v>34.21</v>
      </c>
      <c r="J306" s="7">
        <v>2.4900000000000002</v>
      </c>
      <c r="K306" s="7">
        <v>2.0699999999999998</v>
      </c>
      <c r="L306" s="7">
        <v>2.4900000000000002</v>
      </c>
      <c r="M306" s="6" t="s">
        <v>939</v>
      </c>
      <c r="N306" s="6"/>
      <c r="O306" s="7">
        <v>-23.524132600000002</v>
      </c>
      <c r="P306" s="7">
        <v>-46.3936408</v>
      </c>
      <c r="Q306" s="7">
        <v>-23.524227</v>
      </c>
      <c r="R306" s="7">
        <v>-46.393959799999998</v>
      </c>
    </row>
    <row r="307" spans="1:18" x14ac:dyDescent="0.3">
      <c r="A307" s="6" t="s">
        <v>61</v>
      </c>
      <c r="B307" s="6" t="s">
        <v>835</v>
      </c>
      <c r="C307" s="6" t="s">
        <v>1048</v>
      </c>
      <c r="D307" s="6" t="s">
        <v>270</v>
      </c>
      <c r="E307" s="6" t="s">
        <v>266</v>
      </c>
      <c r="F307" s="6" t="s">
        <v>475</v>
      </c>
      <c r="G307" s="6">
        <v>355</v>
      </c>
      <c r="H307" s="6" t="s">
        <v>476</v>
      </c>
      <c r="I307" s="7">
        <v>45.07</v>
      </c>
      <c r="J307" s="7">
        <v>2.94</v>
      </c>
      <c r="K307" s="7">
        <v>2.4900000000000002</v>
      </c>
      <c r="L307" s="7">
        <v>2.94</v>
      </c>
      <c r="M307" s="6" t="s">
        <v>939</v>
      </c>
      <c r="N307" s="6"/>
      <c r="O307" s="7">
        <v>-23.5239346</v>
      </c>
      <c r="P307" s="7">
        <v>-46.393255099999998</v>
      </c>
      <c r="Q307" s="7">
        <v>-23.524132600000002</v>
      </c>
      <c r="R307" s="7">
        <v>-46.3936408</v>
      </c>
    </row>
    <row r="308" spans="1:18" x14ac:dyDescent="0.3">
      <c r="A308" s="6" t="s">
        <v>61</v>
      </c>
      <c r="B308" s="6" t="s">
        <v>836</v>
      </c>
      <c r="C308" s="6" t="s">
        <v>1049</v>
      </c>
      <c r="D308" s="6" t="s">
        <v>340</v>
      </c>
      <c r="E308" s="6" t="s">
        <v>270</v>
      </c>
      <c r="F308" s="6" t="s">
        <v>475</v>
      </c>
      <c r="G308" s="6">
        <v>355</v>
      </c>
      <c r="H308" s="6" t="s">
        <v>476</v>
      </c>
      <c r="I308" s="7">
        <v>33.64</v>
      </c>
      <c r="J308" s="7">
        <v>3.29</v>
      </c>
      <c r="K308" s="7">
        <v>2.94</v>
      </c>
      <c r="L308" s="7">
        <v>3.29</v>
      </c>
      <c r="M308" s="6" t="s">
        <v>939</v>
      </c>
      <c r="N308" s="6"/>
      <c r="O308" s="7">
        <v>-23.523840700000001</v>
      </c>
      <c r="P308" s="7">
        <v>-46.392941700000002</v>
      </c>
      <c r="Q308" s="7">
        <v>-23.5239346</v>
      </c>
      <c r="R308" s="7">
        <v>-46.393255099999998</v>
      </c>
    </row>
    <row r="309" spans="1:18" x14ac:dyDescent="0.3">
      <c r="A309" s="6" t="s">
        <v>61</v>
      </c>
      <c r="B309" s="6" t="s">
        <v>838</v>
      </c>
      <c r="C309" s="6" t="s">
        <v>1050</v>
      </c>
      <c r="D309" s="6" t="s">
        <v>413</v>
      </c>
      <c r="E309" s="6" t="s">
        <v>413</v>
      </c>
      <c r="F309" s="6" t="s">
        <v>470</v>
      </c>
      <c r="G309" s="6">
        <v>200</v>
      </c>
      <c r="H309" s="6" t="s">
        <v>471</v>
      </c>
      <c r="I309" s="7">
        <v>6.8</v>
      </c>
      <c r="J309" s="7">
        <v>2.0099999999999998</v>
      </c>
      <c r="K309" s="7">
        <v>2.5299999999999998</v>
      </c>
      <c r="L309" s="7">
        <v>2.5299999999999998</v>
      </c>
      <c r="M309" s="6" t="s">
        <v>939</v>
      </c>
      <c r="N309" s="6"/>
      <c r="O309" s="7">
        <v>-23.524848899999999</v>
      </c>
      <c r="P309" s="7">
        <v>-46.396087999999999</v>
      </c>
      <c r="Q309" s="7">
        <v>-23.524791400000002</v>
      </c>
      <c r="R309" s="7">
        <v>-46.396111300000001</v>
      </c>
    </row>
    <row r="310" spans="1:18" x14ac:dyDescent="0.3">
      <c r="A310" s="6" t="s">
        <v>61</v>
      </c>
      <c r="B310" s="6" t="s">
        <v>840</v>
      </c>
      <c r="C310" s="6" t="s">
        <v>890</v>
      </c>
      <c r="D310" s="6" t="s">
        <v>176</v>
      </c>
      <c r="E310" s="6" t="s">
        <v>358</v>
      </c>
      <c r="F310" s="6" t="s">
        <v>475</v>
      </c>
      <c r="G310" s="6">
        <v>355</v>
      </c>
      <c r="H310" s="6" t="s">
        <v>476</v>
      </c>
      <c r="I310" s="7">
        <v>37.76</v>
      </c>
      <c r="J310" s="7">
        <v>3.76</v>
      </c>
      <c r="K310" s="7">
        <v>5.52</v>
      </c>
      <c r="L310" s="7">
        <v>5.52</v>
      </c>
      <c r="M310" s="6" t="s">
        <v>939</v>
      </c>
      <c r="N310" s="6"/>
      <c r="O310" s="7">
        <v>-23.524432300000001</v>
      </c>
      <c r="P310" s="7">
        <v>-46.394917599999999</v>
      </c>
      <c r="Q310" s="7">
        <v>-23.524161800000002</v>
      </c>
      <c r="R310" s="7">
        <v>-46.395125499999999</v>
      </c>
    </row>
    <row r="311" spans="1:18" x14ac:dyDescent="0.3">
      <c r="A311" s="6" t="s">
        <v>61</v>
      </c>
      <c r="B311" s="6" t="s">
        <v>842</v>
      </c>
      <c r="C311" s="6" t="s">
        <v>1051</v>
      </c>
      <c r="D311" s="6" t="s">
        <v>362</v>
      </c>
      <c r="E311" s="6" t="s">
        <v>382</v>
      </c>
      <c r="F311" s="6" t="s">
        <v>470</v>
      </c>
      <c r="G311" s="6">
        <v>300</v>
      </c>
      <c r="H311" s="6" t="s">
        <v>471</v>
      </c>
      <c r="I311" s="7">
        <v>42.7</v>
      </c>
      <c r="J311" s="7">
        <v>2.91</v>
      </c>
      <c r="K311" s="7">
        <v>3.49</v>
      </c>
      <c r="L311" s="7">
        <v>3.49</v>
      </c>
      <c r="M311" s="6" t="s">
        <v>939</v>
      </c>
      <c r="N311" s="6"/>
      <c r="O311" s="7">
        <v>-23.524686299999999</v>
      </c>
      <c r="P311" s="7">
        <v>-46.397681599999999</v>
      </c>
      <c r="Q311" s="7">
        <v>-23.524344800000001</v>
      </c>
      <c r="R311" s="7">
        <v>-46.397876199999999</v>
      </c>
    </row>
    <row r="312" spans="1:18" x14ac:dyDescent="0.3">
      <c r="A312" s="6" t="s">
        <v>61</v>
      </c>
      <c r="B312" s="6" t="s">
        <v>844</v>
      </c>
      <c r="C312" s="6" t="s">
        <v>1027</v>
      </c>
      <c r="D312" s="6" t="s">
        <v>264</v>
      </c>
      <c r="E312" s="6" t="s">
        <v>176</v>
      </c>
      <c r="F312" s="6" t="s">
        <v>475</v>
      </c>
      <c r="G312" s="6">
        <v>355</v>
      </c>
      <c r="H312" s="6" t="s">
        <v>476</v>
      </c>
      <c r="I312" s="7">
        <v>28.98</v>
      </c>
      <c r="J312" s="7">
        <v>1.91</v>
      </c>
      <c r="K312" s="7">
        <v>3.76</v>
      </c>
      <c r="L312" s="7">
        <v>3.76</v>
      </c>
      <c r="M312" s="6" t="s">
        <v>939</v>
      </c>
      <c r="N312" s="6"/>
      <c r="O312" s="7">
        <v>-23.5244347</v>
      </c>
      <c r="P312" s="7">
        <v>-46.394633800000001</v>
      </c>
      <c r="Q312" s="7">
        <v>-23.524432300000001</v>
      </c>
      <c r="R312" s="7">
        <v>-46.394917599999999</v>
      </c>
    </row>
    <row r="313" spans="1:18" x14ac:dyDescent="0.3">
      <c r="A313" s="6" t="s">
        <v>61</v>
      </c>
      <c r="B313" s="6" t="s">
        <v>846</v>
      </c>
      <c r="C313" s="6" t="s">
        <v>845</v>
      </c>
      <c r="D313" s="6" t="s">
        <v>374</v>
      </c>
      <c r="E313" s="6" t="s">
        <v>264</v>
      </c>
      <c r="F313" s="6" t="s">
        <v>475</v>
      </c>
      <c r="G313" s="6">
        <v>355</v>
      </c>
      <c r="H313" s="6" t="s">
        <v>476</v>
      </c>
      <c r="I313" s="7">
        <v>23.37</v>
      </c>
      <c r="J313" s="7">
        <v>1.88</v>
      </c>
      <c r="K313" s="7">
        <v>1.91</v>
      </c>
      <c r="L313" s="7">
        <v>1.91</v>
      </c>
      <c r="M313" s="6" t="s">
        <v>939</v>
      </c>
      <c r="N313" s="6"/>
      <c r="O313" s="7">
        <v>-23.524385200000001</v>
      </c>
      <c r="P313" s="7">
        <v>-46.394411300000002</v>
      </c>
      <c r="Q313" s="7">
        <v>-23.5244347</v>
      </c>
      <c r="R313" s="7">
        <v>-46.394633800000001</v>
      </c>
    </row>
    <row r="314" spans="1:18" x14ac:dyDescent="0.3">
      <c r="A314" s="6" t="s">
        <v>61</v>
      </c>
      <c r="B314" s="6" t="s">
        <v>848</v>
      </c>
      <c r="C314" s="6" t="s">
        <v>859</v>
      </c>
      <c r="D314" s="6" t="s">
        <v>371</v>
      </c>
      <c r="E314" s="6" t="s">
        <v>340</v>
      </c>
      <c r="F314" s="6" t="s">
        <v>475</v>
      </c>
      <c r="G314" s="6">
        <v>355</v>
      </c>
      <c r="H314" s="6" t="s">
        <v>476</v>
      </c>
      <c r="I314" s="7">
        <v>50.96</v>
      </c>
      <c r="J314" s="7">
        <v>2.89</v>
      </c>
      <c r="K314" s="7">
        <v>3.29</v>
      </c>
      <c r="L314" s="7">
        <v>3.29</v>
      </c>
      <c r="M314" s="6" t="s">
        <v>939</v>
      </c>
      <c r="N314" s="6"/>
      <c r="O314" s="7">
        <v>-23.5237154</v>
      </c>
      <c r="P314" s="7">
        <v>-46.392461500000003</v>
      </c>
      <c r="Q314" s="7">
        <v>-23.523840700000001</v>
      </c>
      <c r="R314" s="7">
        <v>-46.392941700000002</v>
      </c>
    </row>
    <row r="315" spans="1:18" x14ac:dyDescent="0.3">
      <c r="A315" s="6" t="s">
        <v>61</v>
      </c>
      <c r="B315" s="6" t="s">
        <v>850</v>
      </c>
      <c r="C315" s="6" t="s">
        <v>1052</v>
      </c>
      <c r="D315" s="6" t="s">
        <v>429</v>
      </c>
      <c r="E315" s="6" t="s">
        <v>429</v>
      </c>
      <c r="F315" s="6" t="s">
        <v>475</v>
      </c>
      <c r="G315" s="6">
        <v>355</v>
      </c>
      <c r="H315" s="6" t="s">
        <v>476</v>
      </c>
      <c r="I315" s="7">
        <v>14.53</v>
      </c>
      <c r="J315" s="7">
        <v>1.7</v>
      </c>
      <c r="K315" s="7">
        <v>1.04</v>
      </c>
      <c r="L315" s="7">
        <v>1.7</v>
      </c>
      <c r="M315" s="6" t="s">
        <v>939</v>
      </c>
      <c r="N315" s="6"/>
      <c r="O315" s="7">
        <v>-23.523487899999999</v>
      </c>
      <c r="P315" s="7">
        <v>-46.390088400000003</v>
      </c>
      <c r="Q315" s="7">
        <v>-23.5233612</v>
      </c>
      <c r="R315" s="7">
        <v>-46.390125500000003</v>
      </c>
    </row>
    <row r="316" spans="1:18" x14ac:dyDescent="0.3">
      <c r="A316" s="6" t="s">
        <v>61</v>
      </c>
      <c r="B316" s="6" t="s">
        <v>852</v>
      </c>
      <c r="C316" s="6" t="s">
        <v>1052</v>
      </c>
      <c r="D316" s="6" t="s">
        <v>429</v>
      </c>
      <c r="E316" s="6" t="s">
        <v>429</v>
      </c>
      <c r="F316" s="6" t="s">
        <v>475</v>
      </c>
      <c r="G316" s="6">
        <v>355</v>
      </c>
      <c r="H316" s="6" t="s">
        <v>476</v>
      </c>
      <c r="I316" s="7">
        <v>2.8</v>
      </c>
      <c r="J316" s="7">
        <v>2.1800000000000002</v>
      </c>
      <c r="K316" s="7">
        <v>2.4700000000000002</v>
      </c>
      <c r="L316" s="7">
        <v>2.4700000000000002</v>
      </c>
      <c r="M316" s="6" t="s">
        <v>939</v>
      </c>
      <c r="N316" s="6"/>
      <c r="O316" s="7">
        <v>-23.523340399999999</v>
      </c>
      <c r="P316" s="7">
        <v>-46.390109899999999</v>
      </c>
      <c r="Q316" s="7">
        <v>-23.5233612</v>
      </c>
      <c r="R316" s="7">
        <v>-46.390125500000003</v>
      </c>
    </row>
    <row r="317" spans="1:18" x14ac:dyDescent="0.3">
      <c r="A317" s="6" t="s">
        <v>61</v>
      </c>
      <c r="B317" s="6" t="s">
        <v>854</v>
      </c>
      <c r="C317" s="6" t="s">
        <v>1053</v>
      </c>
      <c r="D317" s="6" t="s">
        <v>430</v>
      </c>
      <c r="E317" s="6" t="s">
        <v>430</v>
      </c>
      <c r="F317" s="6" t="s">
        <v>475</v>
      </c>
      <c r="G317" s="6">
        <v>355</v>
      </c>
      <c r="H317" s="6" t="s">
        <v>476</v>
      </c>
      <c r="I317" s="7">
        <v>1.99</v>
      </c>
      <c r="J317" s="7">
        <v>1.75</v>
      </c>
      <c r="K317" s="7">
        <v>1.75</v>
      </c>
      <c r="L317" s="7">
        <v>1.75</v>
      </c>
      <c r="M317" s="6" t="s">
        <v>939</v>
      </c>
      <c r="N317" s="6"/>
      <c r="O317" s="7">
        <v>-23.5229803</v>
      </c>
      <c r="P317" s="7">
        <v>-46.389328800000001</v>
      </c>
      <c r="Q317" s="7">
        <v>-23.522994499999999</v>
      </c>
      <c r="R317" s="7">
        <v>-46.389316899999997</v>
      </c>
    </row>
    <row r="318" spans="1:18" x14ac:dyDescent="0.3">
      <c r="A318" s="6" t="s">
        <v>61</v>
      </c>
      <c r="B318" s="6" t="s">
        <v>856</v>
      </c>
      <c r="C318" s="6" t="s">
        <v>1054</v>
      </c>
      <c r="D318" s="6" t="s">
        <v>430</v>
      </c>
      <c r="E318" s="6" t="s">
        <v>437</v>
      </c>
      <c r="F318" s="6" t="s">
        <v>475</v>
      </c>
      <c r="G318" s="6">
        <v>355</v>
      </c>
      <c r="H318" s="6" t="s">
        <v>476</v>
      </c>
      <c r="I318" s="7">
        <v>49.11</v>
      </c>
      <c r="J318" s="7">
        <v>1.75</v>
      </c>
      <c r="K318" s="7">
        <v>3.67</v>
      </c>
      <c r="L318" s="7">
        <v>3.67</v>
      </c>
      <c r="M318" s="6" t="s">
        <v>939</v>
      </c>
      <c r="N318" s="6"/>
      <c r="O318" s="7">
        <v>-23.522994499999999</v>
      </c>
      <c r="P318" s="7">
        <v>-46.389316899999997</v>
      </c>
      <c r="Q318" s="7">
        <v>-23.522886499999998</v>
      </c>
      <c r="R318" s="7">
        <v>-46.388850499999997</v>
      </c>
    </row>
    <row r="319" spans="1:18" x14ac:dyDescent="0.3">
      <c r="A319" s="6" t="s">
        <v>61</v>
      </c>
      <c r="B319" s="6" t="s">
        <v>858</v>
      </c>
      <c r="C319" s="6" t="s">
        <v>1055</v>
      </c>
      <c r="D319" s="6" t="s">
        <v>437</v>
      </c>
      <c r="E319" s="6" t="s">
        <v>402</v>
      </c>
      <c r="F319" s="6" t="s">
        <v>475</v>
      </c>
      <c r="G319" s="6">
        <v>355</v>
      </c>
      <c r="H319" s="6" t="s">
        <v>476</v>
      </c>
      <c r="I319" s="7">
        <v>11.26</v>
      </c>
      <c r="J319" s="7">
        <v>3.67</v>
      </c>
      <c r="K319" s="7">
        <v>2.77</v>
      </c>
      <c r="L319" s="7">
        <v>3.67</v>
      </c>
      <c r="M319" s="6" t="s">
        <v>939</v>
      </c>
      <c r="N319" s="6"/>
      <c r="O319" s="7">
        <v>-23.522886499999998</v>
      </c>
      <c r="P319" s="7">
        <v>-46.388850499999997</v>
      </c>
      <c r="Q319" s="7">
        <v>-23.522986700000001</v>
      </c>
      <c r="R319" s="7">
        <v>-46.388869300000003</v>
      </c>
    </row>
    <row r="320" spans="1:18" x14ac:dyDescent="0.3">
      <c r="A320" s="6" t="s">
        <v>61</v>
      </c>
      <c r="B320" s="6" t="s">
        <v>860</v>
      </c>
      <c r="C320" s="6" t="s">
        <v>1056</v>
      </c>
      <c r="D320" s="6" t="s">
        <v>402</v>
      </c>
      <c r="E320" s="6" t="s">
        <v>404</v>
      </c>
      <c r="F320" s="6" t="s">
        <v>475</v>
      </c>
      <c r="G320" s="6">
        <v>355</v>
      </c>
      <c r="H320" s="6" t="s">
        <v>476</v>
      </c>
      <c r="I320" s="7">
        <v>26.81</v>
      </c>
      <c r="J320" s="7">
        <v>4.57</v>
      </c>
      <c r="K320" s="7">
        <v>3.81</v>
      </c>
      <c r="L320" s="7">
        <v>4.57</v>
      </c>
      <c r="M320" s="6" t="s">
        <v>939</v>
      </c>
      <c r="N320" s="6"/>
      <c r="O320" s="7">
        <v>-23.522986700000001</v>
      </c>
      <c r="P320" s="7">
        <v>-46.388869300000003</v>
      </c>
      <c r="Q320" s="7">
        <v>-23.523201100000001</v>
      </c>
      <c r="R320" s="7">
        <v>-46.388991099999998</v>
      </c>
    </row>
    <row r="321" spans="1:18" x14ac:dyDescent="0.3">
      <c r="A321" s="6" t="s">
        <v>61</v>
      </c>
      <c r="B321" s="6" t="s">
        <v>862</v>
      </c>
      <c r="C321" s="6" t="s">
        <v>1057</v>
      </c>
      <c r="D321" s="6" t="s">
        <v>404</v>
      </c>
      <c r="E321" s="6" t="s">
        <v>361</v>
      </c>
      <c r="F321" s="6" t="s">
        <v>475</v>
      </c>
      <c r="G321" s="6">
        <v>355</v>
      </c>
      <c r="H321" s="6" t="s">
        <v>476</v>
      </c>
      <c r="I321" s="7">
        <v>52.51</v>
      </c>
      <c r="J321" s="7">
        <v>3.81</v>
      </c>
      <c r="K321" s="7">
        <v>2.68</v>
      </c>
      <c r="L321" s="7">
        <v>3.81</v>
      </c>
      <c r="M321" s="6" t="s">
        <v>939</v>
      </c>
      <c r="N321" s="6"/>
      <c r="O321" s="7">
        <v>-23.523201100000001</v>
      </c>
      <c r="P321" s="7">
        <v>-46.388991099999998</v>
      </c>
      <c r="Q321" s="7">
        <v>-23.523362200000001</v>
      </c>
      <c r="R321" s="7">
        <v>-46.389474800000002</v>
      </c>
    </row>
    <row r="322" spans="1:18" x14ac:dyDescent="0.3">
      <c r="A322" s="6" t="s">
        <v>61</v>
      </c>
      <c r="B322" s="6" t="s">
        <v>864</v>
      </c>
      <c r="C322" s="6" t="s">
        <v>1058</v>
      </c>
      <c r="D322" s="6" t="s">
        <v>361</v>
      </c>
      <c r="E322" s="6" t="s">
        <v>426</v>
      </c>
      <c r="F322" s="6" t="s">
        <v>475</v>
      </c>
      <c r="G322" s="6">
        <v>355</v>
      </c>
      <c r="H322" s="6" t="s">
        <v>476</v>
      </c>
      <c r="I322" s="7">
        <v>31.37</v>
      </c>
      <c r="J322" s="7">
        <v>2.68</v>
      </c>
      <c r="K322" s="7">
        <v>3.55</v>
      </c>
      <c r="L322" s="7">
        <v>3.55</v>
      </c>
      <c r="M322" s="6" t="s">
        <v>939</v>
      </c>
      <c r="N322" s="6"/>
      <c r="O322" s="7">
        <v>-23.523362200000001</v>
      </c>
      <c r="P322" s="7">
        <v>-46.389474800000002</v>
      </c>
      <c r="Q322" s="7">
        <v>-23.523420099999999</v>
      </c>
      <c r="R322" s="7">
        <v>-46.389775499999999</v>
      </c>
    </row>
    <row r="323" spans="1:18" x14ac:dyDescent="0.3">
      <c r="A323" s="6" t="s">
        <v>61</v>
      </c>
      <c r="B323" s="6" t="s">
        <v>866</v>
      </c>
      <c r="C323" s="6" t="s">
        <v>1059</v>
      </c>
      <c r="D323" s="6" t="s">
        <v>435</v>
      </c>
      <c r="E323" s="6" t="s">
        <v>400</v>
      </c>
      <c r="F323" s="6" t="s">
        <v>475</v>
      </c>
      <c r="G323" s="6">
        <v>355</v>
      </c>
      <c r="H323" s="6" t="s">
        <v>476</v>
      </c>
      <c r="I323" s="7">
        <v>49.69</v>
      </c>
      <c r="J323" s="7">
        <v>4.25</v>
      </c>
      <c r="K323" s="7">
        <v>3.91</v>
      </c>
      <c r="L323" s="7">
        <v>4.25</v>
      </c>
      <c r="M323" s="6" t="s">
        <v>939</v>
      </c>
      <c r="N323" s="6"/>
      <c r="O323" s="7">
        <v>-23.5231399</v>
      </c>
      <c r="P323" s="7">
        <v>-46.390674300000001</v>
      </c>
      <c r="Q323" s="7">
        <v>-23.5232332</v>
      </c>
      <c r="R323" s="7">
        <v>-46.3911503</v>
      </c>
    </row>
    <row r="324" spans="1:18" x14ac:dyDescent="0.3">
      <c r="A324" s="6" t="s">
        <v>61</v>
      </c>
      <c r="B324" s="6" t="s">
        <v>868</v>
      </c>
      <c r="C324" s="6" t="s">
        <v>1060</v>
      </c>
      <c r="D324" s="6" t="s">
        <v>435</v>
      </c>
      <c r="E324" s="6" t="s">
        <v>435</v>
      </c>
      <c r="F324" s="6" t="s">
        <v>470</v>
      </c>
      <c r="G324" s="6">
        <v>200</v>
      </c>
      <c r="H324" s="6" t="s">
        <v>471</v>
      </c>
      <c r="I324" s="7">
        <v>5.1100000000000003</v>
      </c>
      <c r="J324" s="7">
        <v>1.63</v>
      </c>
      <c r="K324" s="7">
        <v>2.11</v>
      </c>
      <c r="L324" s="7">
        <v>2.11</v>
      </c>
      <c r="M324" s="6" t="s">
        <v>939</v>
      </c>
      <c r="N324" s="6"/>
      <c r="O324" s="7">
        <v>-23.5231827</v>
      </c>
      <c r="P324" s="7">
        <v>-46.390655500000001</v>
      </c>
      <c r="Q324" s="7">
        <v>-23.5231399</v>
      </c>
      <c r="R324" s="7">
        <v>-46.390674300000001</v>
      </c>
    </row>
    <row r="325" spans="1:18" x14ac:dyDescent="0.3">
      <c r="A325" s="6" t="s">
        <v>61</v>
      </c>
      <c r="B325" s="6" t="s">
        <v>870</v>
      </c>
      <c r="C325" s="6" t="s">
        <v>1060</v>
      </c>
      <c r="D325" s="6" t="s">
        <v>435</v>
      </c>
      <c r="E325" s="6" t="s">
        <v>435</v>
      </c>
      <c r="F325" s="6" t="s">
        <v>470</v>
      </c>
      <c r="G325" s="6">
        <v>200</v>
      </c>
      <c r="H325" s="6" t="s">
        <v>471</v>
      </c>
      <c r="I325" s="7">
        <v>8.25</v>
      </c>
      <c r="J325" s="7">
        <v>1.74</v>
      </c>
      <c r="K325" s="7">
        <v>1.77</v>
      </c>
      <c r="L325" s="7">
        <v>1.77</v>
      </c>
      <c r="M325" s="6" t="s">
        <v>939</v>
      </c>
      <c r="N325" s="6"/>
      <c r="O325" s="7">
        <v>-23.5230663</v>
      </c>
      <c r="P325" s="7">
        <v>-46.390686500000001</v>
      </c>
      <c r="Q325" s="7">
        <v>-23.5231399</v>
      </c>
      <c r="R325" s="7">
        <v>-46.390674300000001</v>
      </c>
    </row>
    <row r="326" spans="1:18" x14ac:dyDescent="0.3">
      <c r="A326" s="6" t="s">
        <v>61</v>
      </c>
      <c r="B326" s="6" t="s">
        <v>872</v>
      </c>
      <c r="C326" s="6" t="s">
        <v>1061</v>
      </c>
      <c r="D326" s="6" t="s">
        <v>429</v>
      </c>
      <c r="E326" s="6" t="s">
        <v>435</v>
      </c>
      <c r="F326" s="6" t="s">
        <v>475</v>
      </c>
      <c r="G326" s="6">
        <v>355</v>
      </c>
      <c r="H326" s="6" t="s">
        <v>476</v>
      </c>
      <c r="I326" s="7">
        <v>61.16</v>
      </c>
      <c r="J326" s="7">
        <v>3.5</v>
      </c>
      <c r="K326" s="7">
        <v>4.25</v>
      </c>
      <c r="L326" s="7">
        <v>4.25</v>
      </c>
      <c r="M326" s="6" t="s">
        <v>939</v>
      </c>
      <c r="N326" s="6"/>
      <c r="O326" s="7">
        <v>-23.5233612</v>
      </c>
      <c r="P326" s="7">
        <v>-46.390125500000003</v>
      </c>
      <c r="Q326" s="7">
        <v>-23.5231399</v>
      </c>
      <c r="R326" s="7">
        <v>-46.390674300000001</v>
      </c>
    </row>
    <row r="327" spans="1:18" x14ac:dyDescent="0.3">
      <c r="A327" s="6" t="s">
        <v>61</v>
      </c>
      <c r="B327" s="6" t="s">
        <v>874</v>
      </c>
      <c r="C327" s="6" t="s">
        <v>1062</v>
      </c>
      <c r="D327" s="6" t="s">
        <v>426</v>
      </c>
      <c r="E327" s="6" t="s">
        <v>429</v>
      </c>
      <c r="F327" s="6" t="s">
        <v>475</v>
      </c>
      <c r="G327" s="6">
        <v>355</v>
      </c>
      <c r="H327" s="6" t="s">
        <v>476</v>
      </c>
      <c r="I327" s="7">
        <v>36.32</v>
      </c>
      <c r="J327" s="7">
        <v>4.04</v>
      </c>
      <c r="K327" s="7">
        <v>3.5</v>
      </c>
      <c r="L327" s="7">
        <v>4.04</v>
      </c>
      <c r="M327" s="6" t="s">
        <v>939</v>
      </c>
      <c r="N327" s="6"/>
      <c r="O327" s="7">
        <v>-23.523420099999999</v>
      </c>
      <c r="P327" s="7">
        <v>-46.389775499999999</v>
      </c>
      <c r="Q327" s="7">
        <v>-23.5233612</v>
      </c>
      <c r="R327" s="7">
        <v>-46.390125500000003</v>
      </c>
    </row>
    <row r="328" spans="1:18" x14ac:dyDescent="0.3">
      <c r="A328" s="6" t="s">
        <v>61</v>
      </c>
      <c r="B328" s="6" t="s">
        <v>875</v>
      </c>
      <c r="C328" s="6" t="s">
        <v>1063</v>
      </c>
      <c r="D328" s="6" t="s">
        <v>440</v>
      </c>
      <c r="E328" s="6" t="s">
        <v>266</v>
      </c>
      <c r="F328" s="6" t="s">
        <v>470</v>
      </c>
      <c r="G328" s="6">
        <v>200</v>
      </c>
      <c r="H328" s="6" t="s">
        <v>471</v>
      </c>
      <c r="I328" s="7">
        <v>4.24</v>
      </c>
      <c r="J328" s="7">
        <v>2.31</v>
      </c>
      <c r="K328" s="7">
        <v>1.92</v>
      </c>
      <c r="L328" s="7">
        <v>2.31</v>
      </c>
      <c r="M328" s="6" t="s">
        <v>939</v>
      </c>
      <c r="N328" s="6"/>
      <c r="O328" s="7">
        <v>-23.5240993</v>
      </c>
      <c r="P328" s="7">
        <v>-46.393620300000002</v>
      </c>
      <c r="Q328" s="7">
        <v>-23.524132600000002</v>
      </c>
      <c r="R328" s="7">
        <v>-46.3936408</v>
      </c>
    </row>
    <row r="329" spans="1:18" x14ac:dyDescent="0.3">
      <c r="A329" s="6" t="s">
        <v>61</v>
      </c>
      <c r="B329" s="6" t="s">
        <v>877</v>
      </c>
      <c r="C329" s="6" t="s">
        <v>861</v>
      </c>
      <c r="D329" s="6" t="s">
        <v>370</v>
      </c>
      <c r="E329" s="6" t="s">
        <v>371</v>
      </c>
      <c r="F329" s="6" t="s">
        <v>475</v>
      </c>
      <c r="G329" s="6">
        <v>355</v>
      </c>
      <c r="H329" s="6" t="s">
        <v>476</v>
      </c>
      <c r="I329" s="7">
        <v>30.12</v>
      </c>
      <c r="J329" s="7">
        <v>3.72</v>
      </c>
      <c r="K329" s="7">
        <v>2.89</v>
      </c>
      <c r="L329" s="7">
        <v>3.72</v>
      </c>
      <c r="M329" s="6" t="s">
        <v>939</v>
      </c>
      <c r="N329" s="6"/>
      <c r="O329" s="7">
        <v>-23.523607999999999</v>
      </c>
      <c r="P329" s="7">
        <v>-46.392190599999999</v>
      </c>
      <c r="Q329" s="7">
        <v>-23.5237154</v>
      </c>
      <c r="R329" s="7">
        <v>-46.392461500000003</v>
      </c>
    </row>
    <row r="330" spans="1:18" x14ac:dyDescent="0.3">
      <c r="A330" s="6" t="s">
        <v>61</v>
      </c>
      <c r="B330" s="6" t="s">
        <v>879</v>
      </c>
      <c r="C330" s="6" t="s">
        <v>1064</v>
      </c>
      <c r="D330" s="6" t="s">
        <v>363</v>
      </c>
      <c r="E330" s="6" t="s">
        <v>370</v>
      </c>
      <c r="F330" s="6" t="s">
        <v>475</v>
      </c>
      <c r="G330" s="6">
        <v>355</v>
      </c>
      <c r="H330" s="6" t="s">
        <v>476</v>
      </c>
      <c r="I330" s="7">
        <v>66.790000000000006</v>
      </c>
      <c r="J330" s="7">
        <v>3.94</v>
      </c>
      <c r="K330" s="7">
        <v>3.8</v>
      </c>
      <c r="L330" s="7">
        <v>3.94</v>
      </c>
      <c r="M330" s="6" t="s">
        <v>939</v>
      </c>
      <c r="N330" s="6"/>
      <c r="O330" s="7">
        <v>-23.523313699999999</v>
      </c>
      <c r="P330" s="7">
        <v>-46.391619599999999</v>
      </c>
      <c r="Q330" s="7">
        <v>-23.523607999999999</v>
      </c>
      <c r="R330" s="7">
        <v>-46.392190599999999</v>
      </c>
    </row>
    <row r="331" spans="1:18" x14ac:dyDescent="0.3">
      <c r="A331" s="6" t="s">
        <v>61</v>
      </c>
      <c r="B331" s="6" t="s">
        <v>881</v>
      </c>
      <c r="C331" s="6" t="s">
        <v>1065</v>
      </c>
      <c r="D331" s="6" t="s">
        <v>400</v>
      </c>
      <c r="E331" s="6" t="s">
        <v>363</v>
      </c>
      <c r="F331" s="6" t="s">
        <v>475</v>
      </c>
      <c r="G331" s="6">
        <v>355</v>
      </c>
      <c r="H331" s="6" t="s">
        <v>476</v>
      </c>
      <c r="I331" s="7">
        <v>48.73</v>
      </c>
      <c r="J331" s="7">
        <v>4.05</v>
      </c>
      <c r="K331" s="7">
        <v>3.94</v>
      </c>
      <c r="L331" s="7">
        <v>4.05</v>
      </c>
      <c r="M331" s="6" t="s">
        <v>939</v>
      </c>
      <c r="N331" s="6"/>
      <c r="O331" s="7">
        <v>-23.5232332</v>
      </c>
      <c r="P331" s="7">
        <v>-46.3911503</v>
      </c>
      <c r="Q331" s="7">
        <v>-23.523313699999999</v>
      </c>
      <c r="R331" s="7">
        <v>-46.391619599999999</v>
      </c>
    </row>
    <row r="332" spans="1:18" x14ac:dyDescent="0.3">
      <c r="A332" s="6" t="s">
        <v>61</v>
      </c>
      <c r="B332" s="6" t="s">
        <v>883</v>
      </c>
      <c r="C332" s="6" t="s">
        <v>1066</v>
      </c>
      <c r="D332" s="6" t="s">
        <v>340</v>
      </c>
      <c r="E332" s="6" t="s">
        <v>340</v>
      </c>
      <c r="F332" s="6" t="s">
        <v>475</v>
      </c>
      <c r="G332" s="6">
        <v>225</v>
      </c>
      <c r="H332" s="6" t="s">
        <v>476</v>
      </c>
      <c r="I332" s="7">
        <v>9.9499999999999993</v>
      </c>
      <c r="J332" s="7">
        <v>2.2000000000000002</v>
      </c>
      <c r="K332" s="7">
        <v>3.27</v>
      </c>
      <c r="L332" s="7">
        <v>3.27</v>
      </c>
      <c r="M332" s="6" t="s">
        <v>939</v>
      </c>
      <c r="N332" s="6"/>
      <c r="O332" s="7">
        <v>-23.523741099999999</v>
      </c>
      <c r="P332" s="7">
        <v>-46.392928300000001</v>
      </c>
      <c r="Q332" s="7">
        <v>-23.523840700000001</v>
      </c>
      <c r="R332" s="7">
        <v>-46.392941700000002</v>
      </c>
    </row>
    <row r="333" spans="1:18" x14ac:dyDescent="0.3">
      <c r="A333" s="6" t="s">
        <v>61</v>
      </c>
      <c r="B333" s="6" t="s">
        <v>1067</v>
      </c>
      <c r="C333" s="6" t="s">
        <v>1068</v>
      </c>
      <c r="D333" s="6" t="s">
        <v>436</v>
      </c>
      <c r="E333" s="6" t="s">
        <v>361</v>
      </c>
      <c r="F333" s="6" t="s">
        <v>470</v>
      </c>
      <c r="G333" s="6">
        <v>200</v>
      </c>
      <c r="H333" s="6" t="s">
        <v>476</v>
      </c>
      <c r="I333" s="7">
        <v>28.72</v>
      </c>
      <c r="J333" s="7">
        <v>1.73</v>
      </c>
      <c r="K333" s="7">
        <v>0.85</v>
      </c>
      <c r="L333" s="7">
        <v>1.73</v>
      </c>
      <c r="M333" s="6" t="s">
        <v>939</v>
      </c>
      <c r="N333" s="6"/>
      <c r="O333" s="7">
        <v>-23.5234922</v>
      </c>
      <c r="P333" s="7">
        <v>-46.389231500000001</v>
      </c>
      <c r="Q333" s="7">
        <v>-23.523362200000001</v>
      </c>
      <c r="R333" s="7">
        <v>-46.389474800000002</v>
      </c>
    </row>
    <row r="334" spans="1:18" x14ac:dyDescent="0.3">
      <c r="A334" s="6" t="s">
        <v>61</v>
      </c>
      <c r="B334" s="6" t="s">
        <v>1069</v>
      </c>
      <c r="C334" s="6" t="s">
        <v>1070</v>
      </c>
      <c r="D334" s="6" t="s">
        <v>433</v>
      </c>
      <c r="E334" s="6" t="s">
        <v>270</v>
      </c>
      <c r="F334" s="6" t="s">
        <v>470</v>
      </c>
      <c r="G334" s="6">
        <v>200</v>
      </c>
      <c r="H334" s="6" t="s">
        <v>471</v>
      </c>
      <c r="I334" s="7">
        <v>7.46</v>
      </c>
      <c r="J334" s="7">
        <v>2.35</v>
      </c>
      <c r="K334" s="7">
        <v>2.92</v>
      </c>
      <c r="L334" s="7">
        <v>2.92</v>
      </c>
      <c r="M334" s="6" t="s">
        <v>939</v>
      </c>
      <c r="N334" s="6"/>
      <c r="O334" s="7">
        <v>-23.523867200000002</v>
      </c>
      <c r="P334" s="7">
        <v>-46.393256299999997</v>
      </c>
      <c r="Q334" s="7">
        <v>-23.5239346</v>
      </c>
      <c r="R334" s="7">
        <v>-46.393255099999998</v>
      </c>
    </row>
    <row r="335" spans="1:18" x14ac:dyDescent="0.3">
      <c r="A335" s="6" t="s">
        <v>61</v>
      </c>
      <c r="B335" s="6" t="s">
        <v>1071</v>
      </c>
      <c r="C335" s="6" t="s">
        <v>1072</v>
      </c>
      <c r="D335" s="6" t="s">
        <v>433</v>
      </c>
      <c r="E335" s="6" t="s">
        <v>433</v>
      </c>
      <c r="F335" s="6" t="s">
        <v>470</v>
      </c>
      <c r="G335" s="6">
        <v>200</v>
      </c>
      <c r="H335" s="6" t="s">
        <v>471</v>
      </c>
      <c r="I335" s="7">
        <v>4.63</v>
      </c>
      <c r="J335" s="7">
        <v>1.66</v>
      </c>
      <c r="K335" s="7">
        <v>2.35</v>
      </c>
      <c r="L335" s="7">
        <v>2.35</v>
      </c>
      <c r="M335" s="6" t="s">
        <v>939</v>
      </c>
      <c r="N335" s="6"/>
      <c r="O335" s="7">
        <v>-23.523842399999999</v>
      </c>
      <c r="P335" s="7">
        <v>-46.393219700000003</v>
      </c>
      <c r="Q335" s="7">
        <v>-23.523867200000002</v>
      </c>
      <c r="R335" s="7">
        <v>-46.393256299999997</v>
      </c>
    </row>
    <row r="336" spans="1:18" x14ac:dyDescent="0.3">
      <c r="A336" s="6" t="s">
        <v>61</v>
      </c>
      <c r="B336" s="6" t="s">
        <v>1073</v>
      </c>
      <c r="C336" s="6" t="s">
        <v>1070</v>
      </c>
      <c r="D336" s="6" t="s">
        <v>433</v>
      </c>
      <c r="E336" s="6" t="s">
        <v>270</v>
      </c>
      <c r="F336" s="6" t="s">
        <v>470</v>
      </c>
      <c r="G336" s="6">
        <v>200</v>
      </c>
      <c r="H336" s="6" t="s">
        <v>471</v>
      </c>
      <c r="I336" s="7">
        <v>5.96</v>
      </c>
      <c r="J336" s="7">
        <v>1.47</v>
      </c>
      <c r="K336" s="7">
        <v>2.92</v>
      </c>
      <c r="L336" s="7">
        <v>2.92</v>
      </c>
      <c r="M336" s="6" t="s">
        <v>939</v>
      </c>
      <c r="N336" s="6"/>
      <c r="O336" s="7">
        <v>-23.523891899999999</v>
      </c>
      <c r="P336" s="7">
        <v>-46.393219500000001</v>
      </c>
      <c r="Q336" s="7">
        <v>-23.5239346</v>
      </c>
      <c r="R336" s="7">
        <v>-46.393255099999998</v>
      </c>
    </row>
    <row r="337" spans="1:18" x14ac:dyDescent="0.3">
      <c r="A337" s="6" t="s">
        <v>61</v>
      </c>
      <c r="B337" s="6" t="s">
        <v>1074</v>
      </c>
      <c r="C337" s="6" t="s">
        <v>1075</v>
      </c>
      <c r="D337" s="6" t="s">
        <v>438</v>
      </c>
      <c r="E337" s="6" t="s">
        <v>340</v>
      </c>
      <c r="F337" s="6" t="s">
        <v>470</v>
      </c>
      <c r="G337" s="6">
        <v>200</v>
      </c>
      <c r="H337" s="6" t="s">
        <v>471</v>
      </c>
      <c r="I337" s="7">
        <v>3.72</v>
      </c>
      <c r="J337" s="7">
        <v>1.66</v>
      </c>
      <c r="K337" s="7">
        <v>2.69</v>
      </c>
      <c r="L337" s="7">
        <v>2.69</v>
      </c>
      <c r="M337" s="6" t="s">
        <v>939</v>
      </c>
      <c r="N337" s="6"/>
      <c r="O337" s="7">
        <v>-23.523869099999999</v>
      </c>
      <c r="P337" s="7">
        <v>-46.392921100000002</v>
      </c>
      <c r="Q337" s="7">
        <v>-23.523840700000001</v>
      </c>
      <c r="R337" s="7">
        <v>-46.392941700000002</v>
      </c>
    </row>
    <row r="338" spans="1:18" x14ac:dyDescent="0.3">
      <c r="A338" s="6" t="s">
        <v>61</v>
      </c>
      <c r="B338" s="6" t="s">
        <v>1076</v>
      </c>
      <c r="C338" s="6" t="s">
        <v>1077</v>
      </c>
      <c r="D338" s="6" t="s">
        <v>438</v>
      </c>
      <c r="E338" s="6" t="s">
        <v>438</v>
      </c>
      <c r="F338" s="6" t="s">
        <v>470</v>
      </c>
      <c r="G338" s="6">
        <v>200</v>
      </c>
      <c r="H338" s="6" t="s">
        <v>471</v>
      </c>
      <c r="I338" s="7">
        <v>2.72</v>
      </c>
      <c r="J338" s="7">
        <v>1.73</v>
      </c>
      <c r="K338" s="7">
        <v>1.63</v>
      </c>
      <c r="L338" s="7">
        <v>1.73</v>
      </c>
      <c r="M338" s="6" t="s">
        <v>939</v>
      </c>
      <c r="N338" s="6"/>
      <c r="O338" s="7">
        <v>-23.523888700000001</v>
      </c>
      <c r="P338" s="7">
        <v>-46.3929033</v>
      </c>
      <c r="Q338" s="7">
        <v>-23.523869099999999</v>
      </c>
      <c r="R338" s="7">
        <v>-46.392921100000002</v>
      </c>
    </row>
    <row r="339" spans="1:18" x14ac:dyDescent="0.3">
      <c r="A339" s="6" t="s">
        <v>61</v>
      </c>
      <c r="B339" s="6" t="s">
        <v>1078</v>
      </c>
      <c r="C339" s="6" t="s">
        <v>1077</v>
      </c>
      <c r="D339" s="6" t="s">
        <v>438</v>
      </c>
      <c r="E339" s="6" t="s">
        <v>438</v>
      </c>
      <c r="F339" s="6" t="s">
        <v>470</v>
      </c>
      <c r="G339" s="6">
        <v>200</v>
      </c>
      <c r="H339" s="6" t="s">
        <v>471</v>
      </c>
      <c r="I339" s="7">
        <v>6.18</v>
      </c>
      <c r="J339" s="7">
        <v>1.66</v>
      </c>
      <c r="K339" s="7">
        <v>1.34</v>
      </c>
      <c r="L339" s="7">
        <v>1.66</v>
      </c>
      <c r="M339" s="6" t="s">
        <v>939</v>
      </c>
      <c r="N339" s="6"/>
      <c r="O339" s="7">
        <v>-23.523883000000001</v>
      </c>
      <c r="P339" s="7">
        <v>-46.392868700000001</v>
      </c>
      <c r="Q339" s="7">
        <v>-23.523869099999999</v>
      </c>
      <c r="R339" s="7">
        <v>-46.392921100000002</v>
      </c>
    </row>
    <row r="340" spans="1:18" x14ac:dyDescent="0.3">
      <c r="A340" s="6" t="s">
        <v>63</v>
      </c>
      <c r="B340" s="6" t="s">
        <v>1079</v>
      </c>
      <c r="C340" s="6" t="s">
        <v>892</v>
      </c>
      <c r="D340" s="6" t="s">
        <v>180</v>
      </c>
      <c r="E340" s="6" t="s">
        <v>176</v>
      </c>
      <c r="F340" s="6" t="s">
        <v>475</v>
      </c>
      <c r="G340" s="6">
        <v>355</v>
      </c>
      <c r="H340" s="6" t="s">
        <v>476</v>
      </c>
      <c r="I340" s="7">
        <v>69.34</v>
      </c>
      <c r="J340" s="7">
        <v>9.24</v>
      </c>
      <c r="K340" s="7">
        <v>6.93</v>
      </c>
      <c r="L340" s="7">
        <v>9.24</v>
      </c>
      <c r="M340" s="6" t="s">
        <v>939</v>
      </c>
      <c r="N340" s="6"/>
      <c r="O340" s="7">
        <v>-23.5147695</v>
      </c>
      <c r="P340" s="7">
        <v>-46.398584399999997</v>
      </c>
      <c r="Q340" s="7">
        <v>-23.514750500000002</v>
      </c>
      <c r="R340" s="7">
        <v>-46.399263099999999</v>
      </c>
    </row>
    <row r="341" spans="1:18" x14ac:dyDescent="0.3">
      <c r="A341" s="6" t="s">
        <v>63</v>
      </c>
      <c r="B341" s="6" t="s">
        <v>1080</v>
      </c>
      <c r="C341" s="6" t="s">
        <v>890</v>
      </c>
      <c r="D341" s="6" t="s">
        <v>176</v>
      </c>
      <c r="E341" s="6" t="s">
        <v>358</v>
      </c>
      <c r="F341" s="6" t="s">
        <v>475</v>
      </c>
      <c r="G341" s="6">
        <v>355</v>
      </c>
      <c r="H341" s="6" t="s">
        <v>476</v>
      </c>
      <c r="I341" s="7">
        <v>75.680000000000007</v>
      </c>
      <c r="J341" s="7">
        <v>6.93</v>
      </c>
      <c r="K341" s="7">
        <v>3.8</v>
      </c>
      <c r="L341" s="7">
        <v>6.93</v>
      </c>
      <c r="M341" s="6" t="s">
        <v>939</v>
      </c>
      <c r="N341" s="6"/>
      <c r="O341" s="7">
        <v>-23.514750500000002</v>
      </c>
      <c r="P341" s="7">
        <v>-46.399263099999999</v>
      </c>
      <c r="Q341" s="7">
        <v>-23.514690999999999</v>
      </c>
      <c r="R341" s="7">
        <v>-46.400001500000002</v>
      </c>
    </row>
    <row r="342" spans="1:18" x14ac:dyDescent="0.3">
      <c r="A342" s="6" t="s">
        <v>63</v>
      </c>
      <c r="B342" s="6" t="s">
        <v>1081</v>
      </c>
      <c r="C342" s="6" t="s">
        <v>1082</v>
      </c>
      <c r="D342" s="6" t="s">
        <v>358</v>
      </c>
      <c r="E342" s="6" t="s">
        <v>359</v>
      </c>
      <c r="F342" s="6" t="s">
        <v>475</v>
      </c>
      <c r="G342" s="6">
        <v>355</v>
      </c>
      <c r="H342" s="6" t="s">
        <v>476</v>
      </c>
      <c r="I342" s="7">
        <v>62.99</v>
      </c>
      <c r="J342" s="7">
        <v>3.89</v>
      </c>
      <c r="K342" s="7">
        <v>1.69</v>
      </c>
      <c r="L342" s="7">
        <v>3.89</v>
      </c>
      <c r="M342" s="6" t="s">
        <v>939</v>
      </c>
      <c r="N342" s="6"/>
      <c r="O342" s="7">
        <v>-23.514690999999999</v>
      </c>
      <c r="P342" s="7">
        <v>-46.400001500000002</v>
      </c>
      <c r="Q342" s="7">
        <v>-23.515259100000002</v>
      </c>
      <c r="R342" s="7">
        <v>-46.400030800000003</v>
      </c>
    </row>
    <row r="343" spans="1:18" x14ac:dyDescent="0.3">
      <c r="A343" s="6" t="s">
        <v>63</v>
      </c>
      <c r="B343" s="6" t="s">
        <v>1083</v>
      </c>
      <c r="C343" s="6" t="s">
        <v>1084</v>
      </c>
      <c r="D343" s="6" t="s">
        <v>180</v>
      </c>
      <c r="E343" s="6" t="s">
        <v>180</v>
      </c>
      <c r="F343" s="6" t="s">
        <v>475</v>
      </c>
      <c r="G343" s="6">
        <v>355</v>
      </c>
      <c r="H343" s="6" t="s">
        <v>476</v>
      </c>
      <c r="I343" s="7">
        <v>90.29</v>
      </c>
      <c r="J343" s="7">
        <v>2.0299999999999998</v>
      </c>
      <c r="K343" s="7">
        <v>9.24</v>
      </c>
      <c r="L343" s="7">
        <v>9.24</v>
      </c>
      <c r="M343" s="6" t="s">
        <v>939</v>
      </c>
      <c r="N343" s="6"/>
      <c r="O343" s="7">
        <v>-23.513959799999999</v>
      </c>
      <c r="P343" s="7">
        <v>-46.398688399999998</v>
      </c>
      <c r="Q343" s="7">
        <v>-23.5147695</v>
      </c>
      <c r="R343" s="7">
        <v>-46.398584399999997</v>
      </c>
    </row>
    <row r="344" spans="1:18" x14ac:dyDescent="0.3">
      <c r="A344" s="6" t="s">
        <v>63</v>
      </c>
      <c r="B344" s="6" t="s">
        <v>1085</v>
      </c>
      <c r="C344" s="6" t="s">
        <v>1086</v>
      </c>
      <c r="D344" s="6" t="s">
        <v>270</v>
      </c>
      <c r="E344" s="6" t="s">
        <v>176</v>
      </c>
      <c r="F344" s="6" t="s">
        <v>475</v>
      </c>
      <c r="G344" s="6">
        <v>355</v>
      </c>
      <c r="H344" s="6" t="s">
        <v>476</v>
      </c>
      <c r="I344" s="7">
        <v>84.62</v>
      </c>
      <c r="J344" s="7">
        <v>1.98</v>
      </c>
      <c r="K344" s="7">
        <v>6.93</v>
      </c>
      <c r="L344" s="7">
        <v>6.93</v>
      </c>
      <c r="M344" s="6" t="s">
        <v>939</v>
      </c>
      <c r="N344" s="6"/>
      <c r="O344" s="7">
        <v>-23.513989200000001</v>
      </c>
      <c r="P344" s="7">
        <v>-46.399334099999997</v>
      </c>
      <c r="Q344" s="7">
        <v>-23.514750500000002</v>
      </c>
      <c r="R344" s="7">
        <v>-46.399263099999999</v>
      </c>
    </row>
    <row r="345" spans="1:18" x14ac:dyDescent="0.3">
      <c r="A345" s="6" t="s">
        <v>63</v>
      </c>
      <c r="B345" s="6" t="s">
        <v>1087</v>
      </c>
      <c r="C345" s="6" t="s">
        <v>1088</v>
      </c>
      <c r="D345" s="6" t="s">
        <v>382</v>
      </c>
      <c r="E345" s="6" t="s">
        <v>270</v>
      </c>
      <c r="F345" s="6" t="s">
        <v>470</v>
      </c>
      <c r="G345" s="6">
        <v>200</v>
      </c>
      <c r="H345" s="6" t="s">
        <v>471</v>
      </c>
      <c r="I345" s="7">
        <v>25.42</v>
      </c>
      <c r="J345" s="7">
        <v>1.8</v>
      </c>
      <c r="K345" s="7">
        <v>1.98</v>
      </c>
      <c r="L345" s="7">
        <v>1.98</v>
      </c>
      <c r="M345" s="6" t="s">
        <v>939</v>
      </c>
      <c r="N345" s="6"/>
      <c r="O345" s="7">
        <v>-23.513760600000001</v>
      </c>
      <c r="P345" s="7">
        <v>-46.399356699999998</v>
      </c>
      <c r="Q345" s="7">
        <v>-23.513989200000001</v>
      </c>
      <c r="R345" s="7">
        <v>-46.399334099999997</v>
      </c>
    </row>
    <row r="346" spans="1:18" x14ac:dyDescent="0.3">
      <c r="A346" s="6" t="s">
        <v>63</v>
      </c>
      <c r="B346" s="6" t="s">
        <v>1089</v>
      </c>
      <c r="C346" s="6" t="s">
        <v>1090</v>
      </c>
      <c r="D346" s="6" t="s">
        <v>443</v>
      </c>
      <c r="E346" s="6" t="s">
        <v>270</v>
      </c>
      <c r="F346" s="6" t="s">
        <v>470</v>
      </c>
      <c r="G346" s="6">
        <v>200</v>
      </c>
      <c r="H346" s="6" t="s">
        <v>471</v>
      </c>
      <c r="I346" s="7">
        <v>1.24</v>
      </c>
      <c r="J346" s="7">
        <v>1.6</v>
      </c>
      <c r="K346" s="7">
        <v>1.78</v>
      </c>
      <c r="L346" s="7">
        <v>1.78</v>
      </c>
      <c r="M346" s="6" t="s">
        <v>939</v>
      </c>
      <c r="N346" s="6"/>
      <c r="O346" s="7">
        <v>-23.513989200000001</v>
      </c>
      <c r="P346" s="7">
        <v>-46.399321899999997</v>
      </c>
      <c r="Q346" s="7">
        <v>-23.513989200000001</v>
      </c>
      <c r="R346" s="7">
        <v>-46.399334099999997</v>
      </c>
    </row>
    <row r="347" spans="1:18" x14ac:dyDescent="0.3">
      <c r="A347" s="6" t="s">
        <v>63</v>
      </c>
      <c r="B347" s="6" t="s">
        <v>1091</v>
      </c>
      <c r="C347" s="6" t="s">
        <v>1092</v>
      </c>
      <c r="D347" s="6" t="s">
        <v>442</v>
      </c>
      <c r="E347" s="6" t="s">
        <v>441</v>
      </c>
      <c r="F347" s="6" t="s">
        <v>470</v>
      </c>
      <c r="G347" s="6">
        <v>200</v>
      </c>
      <c r="H347" s="6" t="s">
        <v>471</v>
      </c>
      <c r="I347" s="7">
        <v>11.2</v>
      </c>
      <c r="J347" s="7">
        <v>1</v>
      </c>
      <c r="K347" s="7">
        <v>1.03</v>
      </c>
      <c r="L347" s="7">
        <v>1.03</v>
      </c>
      <c r="M347" s="6" t="s">
        <v>939</v>
      </c>
      <c r="N347" s="6"/>
      <c r="O347" s="7">
        <v>-23.513724799999999</v>
      </c>
      <c r="P347" s="7">
        <v>-46.398706799999999</v>
      </c>
      <c r="Q347" s="7">
        <v>-23.513825799999999</v>
      </c>
      <c r="R347" s="7">
        <v>-46.398702299999997</v>
      </c>
    </row>
    <row r="348" spans="1:18" x14ac:dyDescent="0.3">
      <c r="A348" s="6" t="s">
        <v>63</v>
      </c>
      <c r="B348" s="6" t="s">
        <v>1093</v>
      </c>
      <c r="C348" s="6" t="s">
        <v>1094</v>
      </c>
      <c r="D348" s="6" t="s">
        <v>441</v>
      </c>
      <c r="E348" s="6" t="s">
        <v>180</v>
      </c>
      <c r="F348" s="6" t="s">
        <v>470</v>
      </c>
      <c r="G348" s="6">
        <v>200</v>
      </c>
      <c r="H348" s="6" t="s">
        <v>471</v>
      </c>
      <c r="I348" s="7">
        <v>14.91</v>
      </c>
      <c r="J348" s="7">
        <v>1.03</v>
      </c>
      <c r="K348" s="7">
        <v>1.98</v>
      </c>
      <c r="L348" s="7">
        <v>1.98</v>
      </c>
      <c r="M348" s="6" t="s">
        <v>939</v>
      </c>
      <c r="N348" s="6"/>
      <c r="O348" s="7">
        <v>-23.513825799999999</v>
      </c>
      <c r="P348" s="7">
        <v>-46.398702299999997</v>
      </c>
      <c r="Q348" s="7">
        <v>-23.513959799999999</v>
      </c>
      <c r="R348" s="7">
        <v>-46.398688399999998</v>
      </c>
    </row>
    <row r="349" spans="1:18" x14ac:dyDescent="0.3">
      <c r="A349" s="6" t="s">
        <v>63</v>
      </c>
      <c r="B349" s="6" t="s">
        <v>1095</v>
      </c>
      <c r="C349" s="6" t="s">
        <v>1096</v>
      </c>
      <c r="D349" s="6" t="s">
        <v>442</v>
      </c>
      <c r="E349" s="6" t="s">
        <v>442</v>
      </c>
      <c r="F349" s="6" t="s">
        <v>470</v>
      </c>
      <c r="G349" s="6">
        <v>200</v>
      </c>
      <c r="H349" s="6" t="s">
        <v>471</v>
      </c>
      <c r="I349" s="7">
        <v>2.48</v>
      </c>
      <c r="J349" s="7">
        <v>0.97</v>
      </c>
      <c r="K349" s="7">
        <v>1</v>
      </c>
      <c r="L349" s="7">
        <v>1</v>
      </c>
      <c r="M349" s="6" t="s">
        <v>939</v>
      </c>
      <c r="N349" s="6"/>
      <c r="O349" s="7">
        <v>-23.513718300000001</v>
      </c>
      <c r="P349" s="7">
        <v>-46.398683499999997</v>
      </c>
      <c r="Q349" s="7">
        <v>-23.513724799999999</v>
      </c>
      <c r="R349" s="7">
        <v>-46.398706799999999</v>
      </c>
    </row>
    <row r="350" spans="1:18" x14ac:dyDescent="0.3">
      <c r="A350" s="6" t="s">
        <v>63</v>
      </c>
      <c r="B350" s="6" t="s">
        <v>1097</v>
      </c>
      <c r="C350" s="6" t="s">
        <v>1098</v>
      </c>
      <c r="D350" s="6" t="s">
        <v>441</v>
      </c>
      <c r="E350" s="6" t="s">
        <v>441</v>
      </c>
      <c r="F350" s="6" t="s">
        <v>470</v>
      </c>
      <c r="G350" s="6">
        <v>200</v>
      </c>
      <c r="H350" s="6" t="s">
        <v>471</v>
      </c>
      <c r="I350" s="7">
        <v>2.81</v>
      </c>
      <c r="J350" s="7">
        <v>0.85</v>
      </c>
      <c r="K350" s="7">
        <v>1.03</v>
      </c>
      <c r="L350" s="7">
        <v>1.03</v>
      </c>
      <c r="M350" s="6" t="s">
        <v>939</v>
      </c>
      <c r="N350" s="6"/>
      <c r="O350" s="7">
        <v>-23.513827200000001</v>
      </c>
      <c r="P350" s="7">
        <v>-46.398674800000002</v>
      </c>
      <c r="Q350" s="7">
        <v>-23.513825799999999</v>
      </c>
      <c r="R350" s="7">
        <v>-46.398702299999997</v>
      </c>
    </row>
    <row r="351" spans="1:18" x14ac:dyDescent="0.3">
      <c r="A351" s="6" t="s">
        <v>63</v>
      </c>
      <c r="B351" s="6" t="s">
        <v>1099</v>
      </c>
      <c r="C351" s="6" t="s">
        <v>876</v>
      </c>
      <c r="D351" s="6" t="s">
        <v>359</v>
      </c>
      <c r="E351" s="6" t="s">
        <v>299</v>
      </c>
      <c r="F351" s="6" t="s">
        <v>475</v>
      </c>
      <c r="G351" s="6">
        <v>355</v>
      </c>
      <c r="H351" s="6" t="s">
        <v>476</v>
      </c>
      <c r="I351" s="7">
        <v>62.62</v>
      </c>
      <c r="J351" s="7">
        <v>1.89</v>
      </c>
      <c r="K351" s="7">
        <v>2.59</v>
      </c>
      <c r="L351" s="7">
        <v>2.59</v>
      </c>
      <c r="M351" s="6" t="s">
        <v>939</v>
      </c>
      <c r="N351" s="6"/>
      <c r="O351" s="7">
        <v>-23.515259100000002</v>
      </c>
      <c r="P351" s="7">
        <v>-46.400030800000003</v>
      </c>
      <c r="Q351" s="7">
        <v>-23.515146399999999</v>
      </c>
      <c r="R351" s="7">
        <v>-46.400631799999999</v>
      </c>
    </row>
    <row r="352" spans="1:18" x14ac:dyDescent="0.3">
      <c r="A352" s="6" t="s">
        <v>63</v>
      </c>
      <c r="B352" s="6" t="s">
        <v>1100</v>
      </c>
      <c r="C352" s="6" t="s">
        <v>748</v>
      </c>
      <c r="D352" s="6" t="s">
        <v>299</v>
      </c>
      <c r="E352" s="6" t="s">
        <v>298</v>
      </c>
      <c r="F352" s="6" t="s">
        <v>475</v>
      </c>
      <c r="G352" s="6">
        <v>355</v>
      </c>
      <c r="H352" s="6" t="s">
        <v>476</v>
      </c>
      <c r="I352" s="7">
        <v>74.61</v>
      </c>
      <c r="J352" s="7">
        <v>2.59</v>
      </c>
      <c r="K352" s="7">
        <v>2.06</v>
      </c>
      <c r="L352" s="7">
        <v>2.59</v>
      </c>
      <c r="M352" s="6" t="s">
        <v>939</v>
      </c>
      <c r="N352" s="6"/>
      <c r="O352" s="7">
        <v>-23.515146399999999</v>
      </c>
      <c r="P352" s="7">
        <v>-46.400631799999999</v>
      </c>
      <c r="Q352" s="7">
        <v>-23.5150173</v>
      </c>
      <c r="R352" s="7">
        <v>-46.401348900000002</v>
      </c>
    </row>
    <row r="353" spans="1:18" x14ac:dyDescent="0.3">
      <c r="A353" s="6" t="s">
        <v>63</v>
      </c>
      <c r="B353" s="6" t="s">
        <v>1101</v>
      </c>
      <c r="C353" s="6" t="s">
        <v>1102</v>
      </c>
      <c r="D353" s="6" t="s">
        <v>298</v>
      </c>
      <c r="E353" s="6" t="s">
        <v>298</v>
      </c>
      <c r="F353" s="6" t="s">
        <v>908</v>
      </c>
      <c r="G353" s="6"/>
      <c r="H353" s="6" t="s">
        <v>908</v>
      </c>
      <c r="I353" s="7">
        <v>0</v>
      </c>
      <c r="J353" s="6"/>
      <c r="K353" s="6"/>
      <c r="L353" s="6"/>
      <c r="M353" s="6" t="s">
        <v>939</v>
      </c>
      <c r="N353" s="6"/>
      <c r="O353" s="7">
        <v>-23.5150173</v>
      </c>
      <c r="P353" s="7">
        <v>-46.401348900000002</v>
      </c>
      <c r="Q353" s="7">
        <v>-23.5150173</v>
      </c>
      <c r="R353" s="7">
        <v>-46.401348900000002</v>
      </c>
    </row>
    <row r="354" spans="1:18" x14ac:dyDescent="0.3">
      <c r="A354" s="6" t="s">
        <v>63</v>
      </c>
      <c r="B354" s="6" t="s">
        <v>1103</v>
      </c>
      <c r="C354" s="6" t="s">
        <v>1104</v>
      </c>
      <c r="D354" s="6" t="s">
        <v>268</v>
      </c>
      <c r="E354" s="6" t="s">
        <v>268</v>
      </c>
      <c r="F354" s="6" t="s">
        <v>908</v>
      </c>
      <c r="G354" s="6"/>
      <c r="H354" s="6" t="s">
        <v>908</v>
      </c>
      <c r="I354" s="7">
        <v>0</v>
      </c>
      <c r="J354" s="6"/>
      <c r="K354" s="6"/>
      <c r="L354" s="6"/>
      <c r="M354" s="6" t="s">
        <v>939</v>
      </c>
      <c r="N354" s="6"/>
      <c r="O354" s="7">
        <v>-23.514923</v>
      </c>
      <c r="P354" s="7">
        <v>-46.401776300000002</v>
      </c>
      <c r="Q354" s="7">
        <v>-23.514923</v>
      </c>
      <c r="R354" s="7">
        <v>-46.401776300000002</v>
      </c>
    </row>
    <row r="355" spans="1:18" x14ac:dyDescent="0.3">
      <c r="A355" s="6" t="s">
        <v>63</v>
      </c>
      <c r="B355" s="6" t="s">
        <v>1105</v>
      </c>
      <c r="C355" s="6" t="s">
        <v>1102</v>
      </c>
      <c r="D355" s="6" t="s">
        <v>298</v>
      </c>
      <c r="E355" s="6" t="s">
        <v>298</v>
      </c>
      <c r="F355" s="6" t="s">
        <v>908</v>
      </c>
      <c r="G355" s="6"/>
      <c r="H355" s="6" t="s">
        <v>908</v>
      </c>
      <c r="I355" s="7">
        <v>0</v>
      </c>
      <c r="J355" s="6"/>
      <c r="K355" s="6"/>
      <c r="L355" s="6"/>
      <c r="M355" s="6" t="s">
        <v>939</v>
      </c>
      <c r="N355" s="6"/>
      <c r="O355" s="7">
        <v>-23.5150173</v>
      </c>
      <c r="P355" s="7">
        <v>-46.401348900000002</v>
      </c>
      <c r="Q355" s="7">
        <v>-23.5150173</v>
      </c>
      <c r="R355" s="7">
        <v>-46.401348900000002</v>
      </c>
    </row>
    <row r="356" spans="1:18" x14ac:dyDescent="0.3">
      <c r="A356" s="6" t="s">
        <v>63</v>
      </c>
      <c r="B356" s="6" t="s">
        <v>1106</v>
      </c>
      <c r="C356" s="6" t="s">
        <v>738</v>
      </c>
      <c r="D356" s="6" t="s">
        <v>298</v>
      </c>
      <c r="E356" s="6" t="s">
        <v>297</v>
      </c>
      <c r="F356" s="6" t="s">
        <v>475</v>
      </c>
      <c r="G356" s="6">
        <v>355</v>
      </c>
      <c r="H356" s="6" t="s">
        <v>476</v>
      </c>
      <c r="I356" s="7">
        <v>64.010000000000005</v>
      </c>
      <c r="J356" s="7">
        <v>2.06</v>
      </c>
      <c r="K356" s="7">
        <v>3.14</v>
      </c>
      <c r="L356" s="7">
        <v>3.14</v>
      </c>
      <c r="M356" s="6" t="s">
        <v>939</v>
      </c>
      <c r="N356" s="6"/>
      <c r="O356" s="7">
        <v>-23.5150173</v>
      </c>
      <c r="P356" s="7">
        <v>-46.401348900000002</v>
      </c>
      <c r="Q356" s="7">
        <v>-23.514882199999999</v>
      </c>
      <c r="R356" s="7">
        <v>-46.401958399999998</v>
      </c>
    </row>
    <row r="357" spans="1:18" x14ac:dyDescent="0.3">
      <c r="A357" s="6" t="s">
        <v>63</v>
      </c>
      <c r="B357" s="6" t="s">
        <v>1107</v>
      </c>
      <c r="C357" s="6" t="s">
        <v>1108</v>
      </c>
      <c r="D357" s="6" t="s">
        <v>296</v>
      </c>
      <c r="E357" s="6" t="s">
        <v>384</v>
      </c>
      <c r="F357" s="6" t="s">
        <v>475</v>
      </c>
      <c r="G357" s="6">
        <v>355</v>
      </c>
      <c r="H357" s="6" t="s">
        <v>476</v>
      </c>
      <c r="I357" s="7">
        <v>53.69</v>
      </c>
      <c r="J357" s="7">
        <v>4.04</v>
      </c>
      <c r="K357" s="7">
        <v>6.23</v>
      </c>
      <c r="L357" s="7">
        <v>6.23</v>
      </c>
      <c r="M357" s="6" t="s">
        <v>939</v>
      </c>
      <c r="N357" s="6"/>
      <c r="O357" s="7">
        <v>-23.5148294</v>
      </c>
      <c r="P357" s="7">
        <v>-46.402279700000001</v>
      </c>
      <c r="Q357" s="7">
        <v>-23.514729800000001</v>
      </c>
      <c r="R357" s="7">
        <v>-46.402794299999996</v>
      </c>
    </row>
    <row r="358" spans="1:18" x14ac:dyDescent="0.3">
      <c r="A358" s="6" t="s">
        <v>63</v>
      </c>
      <c r="B358" s="6" t="s">
        <v>1109</v>
      </c>
      <c r="C358" s="6" t="s">
        <v>740</v>
      </c>
      <c r="D358" s="6" t="s">
        <v>297</v>
      </c>
      <c r="E358" s="6" t="s">
        <v>296</v>
      </c>
      <c r="F358" s="6" t="s">
        <v>475</v>
      </c>
      <c r="G358" s="6">
        <v>355</v>
      </c>
      <c r="H358" s="6" t="s">
        <v>476</v>
      </c>
      <c r="I358" s="7">
        <v>33.33</v>
      </c>
      <c r="J358" s="7">
        <v>3.48</v>
      </c>
      <c r="K358" s="7">
        <v>4.04</v>
      </c>
      <c r="L358" s="7">
        <v>4.04</v>
      </c>
      <c r="M358" s="6" t="s">
        <v>939</v>
      </c>
      <c r="N358" s="6"/>
      <c r="O358" s="7">
        <v>-23.514882199999999</v>
      </c>
      <c r="P358" s="7">
        <v>-46.401958399999998</v>
      </c>
      <c r="Q358" s="7">
        <v>-23.5148294</v>
      </c>
      <c r="R358" s="7">
        <v>-46.402279700000001</v>
      </c>
    </row>
    <row r="359" spans="1:18" x14ac:dyDescent="0.3">
      <c r="A359" s="6" t="s">
        <v>63</v>
      </c>
      <c r="B359" s="6" t="s">
        <v>1110</v>
      </c>
      <c r="C359" s="6" t="s">
        <v>1111</v>
      </c>
      <c r="D359" s="6" t="s">
        <v>446</v>
      </c>
      <c r="E359" s="6" t="s">
        <v>446</v>
      </c>
      <c r="F359" s="6" t="s">
        <v>470</v>
      </c>
      <c r="G359" s="6">
        <v>200</v>
      </c>
      <c r="H359" s="6" t="s">
        <v>471</v>
      </c>
      <c r="I359" s="7">
        <v>3.63</v>
      </c>
      <c r="J359" s="7">
        <v>742.82600000000002</v>
      </c>
      <c r="K359" s="7">
        <v>742.577</v>
      </c>
      <c r="L359" s="7">
        <v>742.82600000000002</v>
      </c>
      <c r="M359" s="6" t="s">
        <v>939</v>
      </c>
      <c r="N359" s="6"/>
      <c r="O359" s="7">
        <v>-23.514821600000001</v>
      </c>
      <c r="P359" s="7">
        <v>-46.4021829</v>
      </c>
      <c r="Q359" s="7">
        <v>-23.514854400000001</v>
      </c>
      <c r="R359" s="7">
        <v>-46.402184699999999</v>
      </c>
    </row>
    <row r="360" spans="1:18" x14ac:dyDescent="0.3">
      <c r="A360" s="6" t="s">
        <v>63</v>
      </c>
      <c r="B360" s="6" t="s">
        <v>1112</v>
      </c>
      <c r="C360" s="6" t="s">
        <v>1113</v>
      </c>
      <c r="D360" s="6" t="s">
        <v>446</v>
      </c>
      <c r="E360" s="6" t="s">
        <v>296</v>
      </c>
      <c r="F360" s="6" t="s">
        <v>470</v>
      </c>
      <c r="G360" s="6">
        <v>200</v>
      </c>
      <c r="H360" s="6" t="s">
        <v>471</v>
      </c>
      <c r="I360" s="7">
        <v>10.09</v>
      </c>
      <c r="J360" s="7">
        <v>2.2799999999999998</v>
      </c>
      <c r="K360" s="7">
        <v>2.85</v>
      </c>
      <c r="L360" s="7">
        <v>2.85</v>
      </c>
      <c r="M360" s="6" t="s">
        <v>939</v>
      </c>
      <c r="N360" s="6"/>
      <c r="O360" s="7">
        <v>-23.514854400000001</v>
      </c>
      <c r="P360" s="7">
        <v>-46.402184699999999</v>
      </c>
      <c r="Q360" s="7">
        <v>-23.5148294</v>
      </c>
      <c r="R360" s="7">
        <v>-46.402279700000001</v>
      </c>
    </row>
    <row r="361" spans="1:18" x14ac:dyDescent="0.3">
      <c r="A361" s="6" t="s">
        <v>63</v>
      </c>
      <c r="B361" s="6" t="s">
        <v>1114</v>
      </c>
      <c r="C361" s="6" t="s">
        <v>1115</v>
      </c>
      <c r="D361" s="6" t="s">
        <v>268</v>
      </c>
      <c r="E361" s="6" t="s">
        <v>297</v>
      </c>
      <c r="F361" s="6" t="s">
        <v>470</v>
      </c>
      <c r="G361" s="6">
        <v>200</v>
      </c>
      <c r="H361" s="6" t="s">
        <v>471</v>
      </c>
      <c r="I361" s="7">
        <v>19.13</v>
      </c>
      <c r="J361" s="7">
        <v>2.06</v>
      </c>
      <c r="K361" s="7">
        <v>3.14</v>
      </c>
      <c r="L361" s="7">
        <v>3.14</v>
      </c>
      <c r="M361" s="6" t="s">
        <v>939</v>
      </c>
      <c r="N361" s="6"/>
      <c r="O361" s="7">
        <v>-23.514923</v>
      </c>
      <c r="P361" s="7">
        <v>-46.401776300000002</v>
      </c>
      <c r="Q361" s="7">
        <v>-23.514882199999999</v>
      </c>
      <c r="R361" s="7">
        <v>-46.401958399999998</v>
      </c>
    </row>
    <row r="362" spans="1:18" x14ac:dyDescent="0.3">
      <c r="A362" t="s">
        <v>61</v>
      </c>
      <c r="B362" t="s">
        <v>1116</v>
      </c>
      <c r="C362" t="s">
        <v>1143</v>
      </c>
      <c r="D362" t="s">
        <v>157</v>
      </c>
      <c r="E362" t="s">
        <v>450</v>
      </c>
      <c r="F362" t="s">
        <v>475</v>
      </c>
      <c r="G362">
        <v>355</v>
      </c>
      <c r="H362" t="s">
        <v>476</v>
      </c>
      <c r="I362">
        <v>60.63</v>
      </c>
      <c r="J362">
        <v>3.5</v>
      </c>
      <c r="K362">
        <v>3.2</v>
      </c>
      <c r="L362">
        <v>3.6</v>
      </c>
      <c r="M362" t="s">
        <v>939</v>
      </c>
      <c r="N362" t="s">
        <v>1117</v>
      </c>
      <c r="O362">
        <v>-23.526016483025899</v>
      </c>
      <c r="P362">
        <v>-46.396532166130292</v>
      </c>
      <c r="Q362">
        <v>-23.526316084338571</v>
      </c>
      <c r="R362">
        <v>-46.396035125748718</v>
      </c>
    </row>
    <row r="363" spans="1:18" x14ac:dyDescent="0.3">
      <c r="A363" t="s">
        <v>61</v>
      </c>
      <c r="B363" t="s">
        <v>1118</v>
      </c>
      <c r="C363" t="s">
        <v>1142</v>
      </c>
      <c r="D363" t="s">
        <v>1141</v>
      </c>
      <c r="E363" t="s">
        <v>450</v>
      </c>
      <c r="F363" t="s">
        <v>475</v>
      </c>
      <c r="G363">
        <v>225</v>
      </c>
      <c r="H363" t="s">
        <v>476</v>
      </c>
      <c r="I363">
        <v>16.53</v>
      </c>
      <c r="K363">
        <v>3.2</v>
      </c>
      <c r="L363">
        <v>3.2</v>
      </c>
      <c r="M363" t="s">
        <v>939</v>
      </c>
      <c r="N363" t="s">
        <v>1119</v>
      </c>
      <c r="O363">
        <v>-23.526263888900001</v>
      </c>
      <c r="P363">
        <v>-46.395883333299999</v>
      </c>
      <c r="Q363">
        <v>-23.526316084338571</v>
      </c>
      <c r="R363">
        <v>-46.396035125748718</v>
      </c>
    </row>
  </sheetData>
  <dataValidations count="3">
    <dataValidation type="list" allowBlank="1" sqref="F2:F1986" xr:uid="{00000000-0002-0000-0300-000000000000}">
      <formula1>"PEAD,PVC,CONCRETO"</formula1>
    </dataValidation>
    <dataValidation type="list" allowBlank="1" sqref="H2:H1986" xr:uid="{00000000-0002-0000-0300-000001000000}">
      <formula1>"Método Não Destrutivo - MND,Vala a Céu Aberto - VCA,Tubo Cravado"</formula1>
    </dataValidation>
    <dataValidation type="list" allowBlank="1" sqref="M2:M1986" xr:uid="{00000000-0002-0000-0300-000002000000}">
      <formula1>"não iniciada,em andamento,concluída,projetado"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workbookViewId="0">
      <selection sqref="A1:E1"/>
    </sheetView>
  </sheetViews>
  <sheetFormatPr defaultRowHeight="14.4" x14ac:dyDescent="0.3"/>
  <cols>
    <col min="1" max="1" width="28" customWidth="1"/>
    <col min="2" max="2" width="20" customWidth="1"/>
  </cols>
  <sheetData>
    <row r="1" spans="1:5" x14ac:dyDescent="0.3">
      <c r="A1" s="15" t="s">
        <v>1120</v>
      </c>
      <c r="B1" s="14"/>
      <c r="C1" s="14"/>
      <c r="D1" s="14"/>
      <c r="E1" s="14"/>
    </row>
    <row r="2" spans="1:5" x14ac:dyDescent="0.3">
      <c r="A2" s="8" t="s">
        <v>1121</v>
      </c>
      <c r="B2" s="3" t="s">
        <v>1122</v>
      </c>
      <c r="C2" s="3"/>
      <c r="D2" s="3"/>
      <c r="E2" s="3"/>
    </row>
    <row r="3" spans="1:5" x14ac:dyDescent="0.3">
      <c r="A3" s="9" t="s">
        <v>1123</v>
      </c>
      <c r="B3" s="4">
        <f>COUNTA(OBRAS!A2:A1000)</f>
        <v>20</v>
      </c>
    </row>
    <row r="4" spans="1:5" x14ac:dyDescent="0.3">
      <c r="A4" s="9" t="s">
        <v>1124</v>
      </c>
      <c r="B4" s="4">
        <f>COUNTA(TRECHOS!B2:B2986)</f>
        <v>362</v>
      </c>
    </row>
    <row r="5" spans="1:5" x14ac:dyDescent="0.3">
      <c r="A5" s="9" t="s">
        <v>1125</v>
      </c>
      <c r="B5" s="4">
        <f>SUM(TRECHOS!I2:I2986)</f>
        <v>14753.580000000007</v>
      </c>
    </row>
    <row r="6" spans="1:5" x14ac:dyDescent="0.3">
      <c r="A6" s="9" t="s">
        <v>1126</v>
      </c>
      <c r="B6" s="4">
        <f>SUMIF(TRECHOS!H2:H2986,"*MND*",TRECHOS!I2:I2986)</f>
        <v>12610.360000000008</v>
      </c>
    </row>
    <row r="7" spans="1:5" x14ac:dyDescent="0.3">
      <c r="A7" s="9" t="s">
        <v>1127</v>
      </c>
      <c r="B7" s="4">
        <f>SUMIF(TRECHOS!H2:H2986,"*VCA*",TRECHOS!I2:I2986)</f>
        <v>1001.54</v>
      </c>
    </row>
    <row r="8" spans="1:5" x14ac:dyDescent="0.3">
      <c r="A8" s="9" t="s">
        <v>1128</v>
      </c>
      <c r="B8" s="4">
        <f>COUNTIF(PONTOS!B2:B2991,"PV")</f>
        <v>303</v>
      </c>
    </row>
    <row r="9" spans="1:5" x14ac:dyDescent="0.3">
      <c r="A9" s="9" t="s">
        <v>1129</v>
      </c>
      <c r="B9" s="4">
        <f>COUNTIF(PONTOS!B2:B2991,"PI")</f>
        <v>48</v>
      </c>
    </row>
    <row r="10" spans="1:5" x14ac:dyDescent="0.3">
      <c r="A10" s="9" t="s">
        <v>1130</v>
      </c>
      <c r="B10" s="4">
        <f>MAX(TRECHOS!J2:L2986)</f>
        <v>742.82600000000002</v>
      </c>
    </row>
    <row r="12" spans="1:5" x14ac:dyDescent="0.3">
      <c r="A12" s="10" t="s">
        <v>1131</v>
      </c>
      <c r="B12">
        <v>10</v>
      </c>
    </row>
    <row r="13" spans="1:5" x14ac:dyDescent="0.3">
      <c r="A13" s="10" t="s">
        <v>1132</v>
      </c>
      <c r="B13">
        <v>204</v>
      </c>
    </row>
    <row r="14" spans="1:5" x14ac:dyDescent="0.3">
      <c r="A14" s="10" t="s">
        <v>1133</v>
      </c>
      <c r="B14">
        <v>231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4"/>
  <sheetViews>
    <sheetView workbookViewId="0"/>
  </sheetViews>
  <sheetFormatPr defaultRowHeight="14.4" x14ac:dyDescent="0.3"/>
  <cols>
    <col min="1" max="1" width="68.109375" customWidth="1"/>
    <col min="2" max="2" width="34.6640625" customWidth="1"/>
    <col min="3" max="3" width="30" customWidth="1"/>
    <col min="4" max="4" width="4.109375" customWidth="1"/>
    <col min="5" max="5" width="10" customWidth="1"/>
    <col min="6" max="6" width="10.44140625" customWidth="1"/>
    <col min="7" max="7" width="5.109375" customWidth="1"/>
  </cols>
  <sheetData>
    <row r="1" spans="1:7" ht="18" x14ac:dyDescent="0.35">
      <c r="A1" s="11" t="s">
        <v>1134</v>
      </c>
      <c r="B1" s="11"/>
      <c r="C1" s="11"/>
      <c r="D1" s="11"/>
      <c r="E1" s="11"/>
      <c r="F1" s="11"/>
      <c r="G1" s="11"/>
    </row>
    <row r="2" spans="1:7" x14ac:dyDescent="0.3">
      <c r="A2" t="s">
        <v>1135</v>
      </c>
    </row>
    <row r="4" spans="1:7" x14ac:dyDescent="0.3">
      <c r="A4" s="12" t="s">
        <v>1136</v>
      </c>
      <c r="B4" s="12" t="s">
        <v>9</v>
      </c>
      <c r="C4" s="12" t="s">
        <v>1137</v>
      </c>
      <c r="D4" s="12" t="s">
        <v>12</v>
      </c>
      <c r="E4" s="12" t="s">
        <v>1138</v>
      </c>
      <c r="F4" s="12" t="s">
        <v>1139</v>
      </c>
      <c r="G4" s="12" t="s">
        <v>463</v>
      </c>
    </row>
    <row r="5" spans="1:7" x14ac:dyDescent="0.3">
      <c r="A5" t="s">
        <v>13</v>
      </c>
      <c r="B5" t="s">
        <v>14</v>
      </c>
      <c r="C5" t="s">
        <v>13</v>
      </c>
      <c r="D5" t="s">
        <v>17</v>
      </c>
      <c r="E5">
        <v>32</v>
      </c>
      <c r="F5">
        <v>31</v>
      </c>
      <c r="G5" t="s">
        <v>1140</v>
      </c>
    </row>
    <row r="6" spans="1:7" x14ac:dyDescent="0.3">
      <c r="A6" t="s">
        <v>18</v>
      </c>
      <c r="B6" t="s">
        <v>19</v>
      </c>
      <c r="C6" t="s">
        <v>18</v>
      </c>
      <c r="D6" t="s">
        <v>17</v>
      </c>
      <c r="E6">
        <v>7</v>
      </c>
      <c r="F6">
        <v>5</v>
      </c>
      <c r="G6" t="s">
        <v>1140</v>
      </c>
    </row>
    <row r="7" spans="1:7" x14ac:dyDescent="0.3">
      <c r="A7" t="s">
        <v>21</v>
      </c>
      <c r="B7" t="s">
        <v>22</v>
      </c>
      <c r="C7" t="s">
        <v>21</v>
      </c>
      <c r="D7" t="s">
        <v>17</v>
      </c>
      <c r="E7">
        <v>12</v>
      </c>
      <c r="F7">
        <v>11</v>
      </c>
      <c r="G7" t="s">
        <v>1140</v>
      </c>
    </row>
    <row r="8" spans="1:7" x14ac:dyDescent="0.3">
      <c r="A8" t="s">
        <v>24</v>
      </c>
      <c r="B8" t="s">
        <v>25</v>
      </c>
      <c r="C8" t="s">
        <v>24</v>
      </c>
      <c r="D8" t="s">
        <v>17</v>
      </c>
      <c r="E8">
        <v>23</v>
      </c>
      <c r="F8">
        <v>22</v>
      </c>
      <c r="G8" t="s">
        <v>1140</v>
      </c>
    </row>
    <row r="9" spans="1:7" x14ac:dyDescent="0.3">
      <c r="A9" t="s">
        <v>27</v>
      </c>
      <c r="B9" t="s">
        <v>28</v>
      </c>
      <c r="C9" t="s">
        <v>27</v>
      </c>
      <c r="D9" t="s">
        <v>17</v>
      </c>
      <c r="E9">
        <v>3</v>
      </c>
      <c r="F9">
        <v>2</v>
      </c>
      <c r="G9" t="s">
        <v>1140</v>
      </c>
    </row>
    <row r="10" spans="1:7" x14ac:dyDescent="0.3">
      <c r="A10" t="s">
        <v>30</v>
      </c>
      <c r="B10" t="s">
        <v>31</v>
      </c>
      <c r="C10" t="s">
        <v>30</v>
      </c>
      <c r="D10" t="s">
        <v>17</v>
      </c>
      <c r="E10">
        <v>4</v>
      </c>
      <c r="F10">
        <v>3</v>
      </c>
      <c r="G10" t="s">
        <v>1140</v>
      </c>
    </row>
    <row r="11" spans="1:7" x14ac:dyDescent="0.3">
      <c r="A11" t="s">
        <v>32</v>
      </c>
      <c r="B11" t="s">
        <v>33</v>
      </c>
      <c r="C11" t="s">
        <v>32</v>
      </c>
      <c r="D11" t="s">
        <v>17</v>
      </c>
      <c r="E11">
        <v>6</v>
      </c>
      <c r="F11">
        <v>5</v>
      </c>
      <c r="G11" t="s">
        <v>1140</v>
      </c>
    </row>
    <row r="12" spans="1:7" x14ac:dyDescent="0.3">
      <c r="A12" t="s">
        <v>34</v>
      </c>
      <c r="B12" t="s">
        <v>35</v>
      </c>
      <c r="C12" t="s">
        <v>34</v>
      </c>
      <c r="D12" t="s">
        <v>17</v>
      </c>
      <c r="E12">
        <v>29</v>
      </c>
      <c r="F12">
        <v>28</v>
      </c>
      <c r="G12" t="s">
        <v>1140</v>
      </c>
    </row>
    <row r="13" spans="1:7" x14ac:dyDescent="0.3">
      <c r="A13" t="s">
        <v>37</v>
      </c>
      <c r="B13" t="s">
        <v>38</v>
      </c>
      <c r="C13" t="s">
        <v>37</v>
      </c>
      <c r="D13" t="s">
        <v>17</v>
      </c>
      <c r="E13">
        <v>12</v>
      </c>
      <c r="F13">
        <v>12</v>
      </c>
      <c r="G13" t="s">
        <v>1140</v>
      </c>
    </row>
    <row r="14" spans="1:7" x14ac:dyDescent="0.3">
      <c r="A14" t="s">
        <v>39</v>
      </c>
      <c r="B14" t="s">
        <v>40</v>
      </c>
      <c r="C14" t="s">
        <v>39</v>
      </c>
      <c r="D14" t="s">
        <v>17</v>
      </c>
      <c r="E14">
        <v>25</v>
      </c>
      <c r="F14">
        <v>24</v>
      </c>
      <c r="G14" t="s">
        <v>1140</v>
      </c>
    </row>
    <row r="15" spans="1:7" x14ac:dyDescent="0.3">
      <c r="A15" t="s">
        <v>42</v>
      </c>
      <c r="B15" t="s">
        <v>43</v>
      </c>
      <c r="C15" t="s">
        <v>42</v>
      </c>
      <c r="D15" t="s">
        <v>17</v>
      </c>
      <c r="E15">
        <v>32</v>
      </c>
      <c r="F15">
        <v>35</v>
      </c>
      <c r="G15" t="s">
        <v>1140</v>
      </c>
    </row>
    <row r="16" spans="1:7" x14ac:dyDescent="0.3">
      <c r="A16" t="s">
        <v>45</v>
      </c>
      <c r="B16" t="s">
        <v>46</v>
      </c>
      <c r="C16" t="s">
        <v>45</v>
      </c>
      <c r="D16" t="s">
        <v>17</v>
      </c>
      <c r="E16">
        <v>13</v>
      </c>
      <c r="F16">
        <v>12</v>
      </c>
      <c r="G16" t="s">
        <v>1140</v>
      </c>
    </row>
    <row r="17" spans="1:7" x14ac:dyDescent="0.3">
      <c r="A17" t="s">
        <v>47</v>
      </c>
      <c r="B17" t="s">
        <v>48</v>
      </c>
      <c r="C17" t="s">
        <v>47</v>
      </c>
      <c r="D17" t="s">
        <v>17</v>
      </c>
      <c r="E17">
        <v>16</v>
      </c>
      <c r="F17">
        <v>15</v>
      </c>
      <c r="G17" t="s">
        <v>1140</v>
      </c>
    </row>
    <row r="18" spans="1:7" x14ac:dyDescent="0.3">
      <c r="A18" t="s">
        <v>49</v>
      </c>
      <c r="B18" t="s">
        <v>50</v>
      </c>
      <c r="C18" t="s">
        <v>49</v>
      </c>
      <c r="D18" t="s">
        <v>17</v>
      </c>
      <c r="E18">
        <v>2</v>
      </c>
      <c r="F18">
        <v>0</v>
      </c>
      <c r="G18" t="s">
        <v>1140</v>
      </c>
    </row>
    <row r="19" spans="1:7" x14ac:dyDescent="0.3">
      <c r="A19" t="s">
        <v>51</v>
      </c>
      <c r="B19" t="s">
        <v>52</v>
      </c>
      <c r="C19" t="s">
        <v>51</v>
      </c>
      <c r="D19" t="s">
        <v>17</v>
      </c>
      <c r="E19">
        <v>52</v>
      </c>
      <c r="F19">
        <v>56</v>
      </c>
      <c r="G19" t="s">
        <v>1140</v>
      </c>
    </row>
    <row r="20" spans="1:7" x14ac:dyDescent="0.3">
      <c r="A20" t="s">
        <v>53</v>
      </c>
      <c r="B20" t="s">
        <v>54</v>
      </c>
      <c r="C20" t="s">
        <v>51</v>
      </c>
      <c r="D20" t="s">
        <v>56</v>
      </c>
      <c r="E20">
        <v>52</v>
      </c>
      <c r="F20">
        <v>56</v>
      </c>
      <c r="G20" t="s">
        <v>1140</v>
      </c>
    </row>
    <row r="21" spans="1:7" x14ac:dyDescent="0.3">
      <c r="A21" t="s">
        <v>57</v>
      </c>
      <c r="B21" t="s">
        <v>58</v>
      </c>
      <c r="C21" t="s">
        <v>57</v>
      </c>
      <c r="D21" t="s">
        <v>17</v>
      </c>
      <c r="E21">
        <v>9</v>
      </c>
      <c r="F21">
        <v>14</v>
      </c>
      <c r="G21" t="s">
        <v>1140</v>
      </c>
    </row>
    <row r="22" spans="1:7" x14ac:dyDescent="0.3">
      <c r="A22" t="s">
        <v>59</v>
      </c>
      <c r="B22" t="s">
        <v>60</v>
      </c>
      <c r="C22" t="s">
        <v>59</v>
      </c>
      <c r="D22" t="s">
        <v>17</v>
      </c>
      <c r="E22">
        <v>21</v>
      </c>
      <c r="F22">
        <v>21</v>
      </c>
      <c r="G22" t="s">
        <v>1140</v>
      </c>
    </row>
    <row r="23" spans="1:7" x14ac:dyDescent="0.3">
      <c r="A23" t="s">
        <v>61</v>
      </c>
      <c r="B23" t="s">
        <v>62</v>
      </c>
      <c r="C23" t="s">
        <v>61</v>
      </c>
      <c r="D23" t="s">
        <v>17</v>
      </c>
      <c r="E23">
        <v>33</v>
      </c>
      <c r="F23">
        <v>42</v>
      </c>
      <c r="G23" t="s">
        <v>1140</v>
      </c>
    </row>
    <row r="24" spans="1:7" x14ac:dyDescent="0.3">
      <c r="A24" t="s">
        <v>63</v>
      </c>
      <c r="B24" t="s">
        <v>64</v>
      </c>
      <c r="C24" t="s">
        <v>63</v>
      </c>
      <c r="D24" t="s">
        <v>17</v>
      </c>
      <c r="E24">
        <v>17</v>
      </c>
      <c r="F24">
        <v>22</v>
      </c>
      <c r="G24" t="s">
        <v>1140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LEIA-ME</vt:lpstr>
      <vt:lpstr>OBRAS</vt:lpstr>
      <vt:lpstr>PONTOS</vt:lpstr>
      <vt:lpstr>TRECHOS</vt:lpstr>
      <vt:lpstr>RESUMO</vt:lpstr>
      <vt:lpstr>VALIDACAO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2026-04-29T19:32:38Z</dcterms:created>
  <dcterms:modified xsi:type="dcterms:W3CDTF">2026-04-29T19:36:09Z</dcterms:modified>
</cp:coreProperties>
</file>